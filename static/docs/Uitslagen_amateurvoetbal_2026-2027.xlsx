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ediahuis-my.sharepoint.com/personal/torsten_faruhn_delimburger_nl/Documents/Torsten/CUE Print/AI-tools/uitslagendienst/Seizoen 2026-2027/"/>
    </mc:Choice>
  </mc:AlternateContent>
  <xr:revisionPtr revIDLastSave="354" documentId="13_ncr:1_{C8FA1DE7-0E92-4156-BA82-8E5E3920016E}" xr6:coauthVersionLast="47" xr6:coauthVersionMax="47" xr10:uidLastSave="{803CEE07-8FD1-4DAB-8565-97EB2284F3E7}"/>
  <bookViews>
    <workbookView xWindow="-120" yWindow="-120" windowWidth="29040" windowHeight="15720" activeTab="2" xr2:uid="{00000000-000D-0000-FFFF-FFFF00000000}"/>
  </bookViews>
  <sheets>
    <sheet name="INVOER" sheetId="1" r:id="rId1"/>
    <sheet name="FORMULE" sheetId="2" r:id="rId2"/>
    <sheet name="SPELERS" sheetId="3" r:id="rId3"/>
    <sheet name="UITGESLOTEN_CLUBS" sheetId="4" r:id="rId4"/>
    <sheet name="CLUBS_CONTROLE" sheetId="5" r:id="rId5"/>
  </sheets>
  <definedNames>
    <definedName name="ASWH">DERDE_DIVISIE_B</definedName>
    <definedName name="DERDE_DIVISIE_B">FORMULE!$F$2:$F$22</definedName>
    <definedName name="DERDE_KLASSE_B">FORMULE!$N$3:$N$16</definedName>
    <definedName name="DERDE_KLASSE_C">FORMULE!$P$2:$P$24</definedName>
    <definedName name="DERDE_KLASSE_D">FORMULE!$R$2:$R$22</definedName>
    <definedName name="EERSTE_KLASSE_E">FORMULE!$J$2:$J$22</definedName>
    <definedName name="KIES_DIVISIE_KLASSE">FORMULE!$D$2:$D$30</definedName>
    <definedName name="TWEEDE_KLASSE_E">FORMULE!$L$2:$L$22</definedName>
    <definedName name="TWEEDE_KLASSE_I">FORMULE!$L$2:$L$16</definedName>
    <definedName name="VIERDE_DIVISIE_C">FORMULE!$H$2:$H$22</definedName>
    <definedName name="VIERDE_KLASSE_A">FORMULE!$T$2:$T$22</definedName>
    <definedName name="VIERDE_KLASSE_B">FORMULE!$V$2:$V$22</definedName>
    <definedName name="VIERDE_KLASSE_C">FORMULE!$X$2:$X$22</definedName>
    <definedName name="VIERDE_KLASSE_D">FORMULE!$Z$2:$Z$22</definedName>
    <definedName name="VIERDE_KLASSE_E">FORMULE!$AB$2:$AB$14</definedName>
    <definedName name="VIERDE_KLASSE_F">FORMULE!$AD$2:$AD$14</definedName>
    <definedName name="VIERDE_KLASSE_G">FORMULE!$AF$2:$AF$14</definedName>
    <definedName name="VIJFDE_KLASSE_A">FORMULE!$AH$2:$AH$22</definedName>
    <definedName name="VIJFDE_KLASSE_B">FORMULE!$AJ$2:$AJ$22</definedName>
    <definedName name="VIJFDE_KLASSE_C">FORMULE!$AL$2:$AL$22</definedName>
    <definedName name="VIJFDE_KLASSE_D">FORMULE!$AN$2:$AN$22</definedName>
    <definedName name="VIJFDE_KLASSE_E">FORMULE!$AP$2:$AP$22</definedName>
    <definedName name="VROUWEN_EERSTE_KLASSE_D">FORMULE!$AT$2:$AT$22</definedName>
    <definedName name="VROUWEN_HOOFDKLASSE_B">FORMULE!$AR$2:$AR$26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I304" i="1" l="1"/>
  <c r="DF304" i="1"/>
  <c r="DG304" i="1" s="1"/>
  <c r="DH304" i="1" s="1"/>
  <c r="DT304" i="1" s="1"/>
  <c r="DC304" i="1"/>
  <c r="CZ304" i="1"/>
  <c r="EN304" i="1" s="1"/>
  <c r="CW304" i="1"/>
  <c r="CT304" i="1"/>
  <c r="CU304" i="1" s="1"/>
  <c r="CV304" i="1" s="1"/>
  <c r="DP304" i="1" s="1"/>
  <c r="CQ304" i="1"/>
  <c r="CN304" i="1"/>
  <c r="EB304" i="1" s="1"/>
  <c r="CK304" i="1"/>
  <c r="CL304" i="1" s="1"/>
  <c r="CM304" i="1" s="1"/>
  <c r="DM304" i="1" s="1"/>
  <c r="CH304" i="1"/>
  <c r="CI304" i="1" s="1"/>
  <c r="CJ304" i="1" s="1"/>
  <c r="DL304" i="1" s="1"/>
  <c r="M304" i="1"/>
  <c r="DI303" i="1"/>
  <c r="DJ303" i="1" s="1"/>
  <c r="DK303" i="1" s="1"/>
  <c r="DU303" i="1" s="1"/>
  <c r="DF303" i="1"/>
  <c r="ET303" i="1" s="1"/>
  <c r="DC303" i="1"/>
  <c r="EQ303" i="1" s="1"/>
  <c r="ES303" i="1" s="1"/>
  <c r="CZ303" i="1"/>
  <c r="EN303" i="1" s="1"/>
  <c r="CW303" i="1"/>
  <c r="CX303" i="1" s="1"/>
  <c r="CY303" i="1" s="1"/>
  <c r="DQ303" i="1" s="1"/>
  <c r="CT303" i="1"/>
  <c r="EH303" i="1" s="1"/>
  <c r="EI303" i="1" s="1"/>
  <c r="CQ303" i="1"/>
  <c r="EE303" i="1" s="1"/>
  <c r="EG303" i="1" s="1"/>
  <c r="CN303" i="1"/>
  <c r="EB303" i="1" s="1"/>
  <c r="CK303" i="1"/>
  <c r="CH303" i="1"/>
  <c r="DV303" i="1" s="1"/>
  <c r="DW303" i="1" s="1"/>
  <c r="M303" i="1"/>
  <c r="DI302" i="1"/>
  <c r="DJ302" i="1" s="1"/>
  <c r="DK302" i="1" s="1"/>
  <c r="DU302" i="1" s="1"/>
  <c r="DF302" i="1"/>
  <c r="ET302" i="1" s="1"/>
  <c r="DC302" i="1"/>
  <c r="EQ302" i="1" s="1"/>
  <c r="ES302" i="1" s="1"/>
  <c r="CZ302" i="1"/>
  <c r="EN302" i="1" s="1"/>
  <c r="CW302" i="1"/>
  <c r="EK302" i="1" s="1"/>
  <c r="CT302" i="1"/>
  <c r="CQ302" i="1"/>
  <c r="CR302" i="1" s="1"/>
  <c r="CS302" i="1" s="1"/>
  <c r="DO302" i="1" s="1"/>
  <c r="CN302" i="1"/>
  <c r="EB302" i="1" s="1"/>
  <c r="CK302" i="1"/>
  <c r="CL302" i="1" s="1"/>
  <c r="CM302" i="1" s="1"/>
  <c r="DM302" i="1" s="1"/>
  <c r="CH302" i="1"/>
  <c r="DV302" i="1" s="1"/>
  <c r="M302" i="1"/>
  <c r="DI301" i="1"/>
  <c r="EW301" i="1" s="1"/>
  <c r="EY301" i="1" s="1"/>
  <c r="DF301" i="1"/>
  <c r="DG301" i="1" s="1"/>
  <c r="DH301" i="1" s="1"/>
  <c r="DT301" i="1" s="1"/>
  <c r="DC301" i="1"/>
  <c r="CZ301" i="1"/>
  <c r="CW301" i="1"/>
  <c r="CX301" i="1" s="1"/>
  <c r="CY301" i="1" s="1"/>
  <c r="DQ301" i="1" s="1"/>
  <c r="CT301" i="1"/>
  <c r="CU301" i="1" s="1"/>
  <c r="CV301" i="1" s="1"/>
  <c r="DP301" i="1" s="1"/>
  <c r="CQ301" i="1"/>
  <c r="CR301" i="1" s="1"/>
  <c r="CS301" i="1" s="1"/>
  <c r="DO301" i="1" s="1"/>
  <c r="CN301" i="1"/>
  <c r="CK301" i="1"/>
  <c r="DY301" i="1" s="1"/>
  <c r="EA301" i="1" s="1"/>
  <c r="CH301" i="1"/>
  <c r="CI301" i="1" s="1"/>
  <c r="CJ301" i="1" s="1"/>
  <c r="DL301" i="1" s="1"/>
  <c r="M301" i="1"/>
  <c r="DI300" i="1"/>
  <c r="EW300" i="1" s="1"/>
  <c r="DF300" i="1"/>
  <c r="DC300" i="1"/>
  <c r="EQ300" i="1" s="1"/>
  <c r="ER300" i="1" s="1"/>
  <c r="CZ300" i="1"/>
  <c r="EN300" i="1" s="1"/>
  <c r="EP300" i="1" s="1"/>
  <c r="CW300" i="1"/>
  <c r="EK300" i="1" s="1"/>
  <c r="CT300" i="1"/>
  <c r="CU300" i="1" s="1"/>
  <c r="CV300" i="1" s="1"/>
  <c r="DP300" i="1" s="1"/>
  <c r="CQ300" i="1"/>
  <c r="EE300" i="1" s="1"/>
  <c r="EF300" i="1" s="1"/>
  <c r="CN300" i="1"/>
  <c r="EB300" i="1" s="1"/>
  <c r="CK300" i="1"/>
  <c r="DY300" i="1" s="1"/>
  <c r="CH300" i="1"/>
  <c r="M300" i="1"/>
  <c r="DI299" i="1"/>
  <c r="DF299" i="1"/>
  <c r="ET299" i="1" s="1"/>
  <c r="DC299" i="1"/>
  <c r="EQ299" i="1" s="1"/>
  <c r="CZ299" i="1"/>
  <c r="DA299" i="1" s="1"/>
  <c r="DB299" i="1" s="1"/>
  <c r="DR299" i="1" s="1"/>
  <c r="CW299" i="1"/>
  <c r="EK299" i="1" s="1"/>
  <c r="CT299" i="1"/>
  <c r="EH299" i="1" s="1"/>
  <c r="CQ299" i="1"/>
  <c r="EE299" i="1" s="1"/>
  <c r="CN299" i="1"/>
  <c r="CK299" i="1"/>
  <c r="DY299" i="1" s="1"/>
  <c r="CH299" i="1"/>
  <c r="CI299" i="1" s="1"/>
  <c r="CJ299" i="1" s="1"/>
  <c r="DL299" i="1" s="1"/>
  <c r="M299" i="1"/>
  <c r="DI298" i="1"/>
  <c r="DF298" i="1"/>
  <c r="ET298" i="1" s="1"/>
  <c r="DC298" i="1"/>
  <c r="EQ298" i="1" s="1"/>
  <c r="CZ298" i="1"/>
  <c r="CW298" i="1"/>
  <c r="CT298" i="1"/>
  <c r="CQ298" i="1"/>
  <c r="CR298" i="1" s="1"/>
  <c r="CS298" i="1" s="1"/>
  <c r="DO298" i="1" s="1"/>
  <c r="CN298" i="1"/>
  <c r="CO298" i="1" s="1"/>
  <c r="CP298" i="1" s="1"/>
  <c r="DN298" i="1" s="1"/>
  <c r="CK298" i="1"/>
  <c r="CH298" i="1"/>
  <c r="DV298" i="1" s="1"/>
  <c r="M298" i="1"/>
  <c r="DI297" i="1"/>
  <c r="EW297" i="1" s="1"/>
  <c r="DF297" i="1"/>
  <c r="ET297" i="1" s="1"/>
  <c r="DC297" i="1"/>
  <c r="DD297" i="1" s="1"/>
  <c r="DE297" i="1" s="1"/>
  <c r="DS297" i="1" s="1"/>
  <c r="CZ297" i="1"/>
  <c r="EN297" i="1" s="1"/>
  <c r="CW297" i="1"/>
  <c r="EK297" i="1" s="1"/>
  <c r="CT297" i="1"/>
  <c r="EH297" i="1" s="1"/>
  <c r="CQ297" i="1"/>
  <c r="CR297" i="1" s="1"/>
  <c r="CS297" i="1" s="1"/>
  <c r="DO297" i="1" s="1"/>
  <c r="CN297" i="1"/>
  <c r="EB297" i="1" s="1"/>
  <c r="EC297" i="1" s="1"/>
  <c r="CK297" i="1"/>
  <c r="DY297" i="1" s="1"/>
  <c r="EA297" i="1" s="1"/>
  <c r="CH297" i="1"/>
  <c r="DV297" i="1" s="1"/>
  <c r="M297" i="1"/>
  <c r="DI296" i="1"/>
  <c r="EW296" i="1" s="1"/>
  <c r="EY296" i="1" s="1"/>
  <c r="DF296" i="1"/>
  <c r="ET296" i="1" s="1"/>
  <c r="DC296" i="1"/>
  <c r="EQ296" i="1" s="1"/>
  <c r="CZ296" i="1"/>
  <c r="EN296" i="1" s="1"/>
  <c r="CW296" i="1"/>
  <c r="CX296" i="1" s="1"/>
  <c r="CY296" i="1" s="1"/>
  <c r="DQ296" i="1" s="1"/>
  <c r="CT296" i="1"/>
  <c r="EH296" i="1" s="1"/>
  <c r="CQ296" i="1"/>
  <c r="CN296" i="1"/>
  <c r="EB296" i="1" s="1"/>
  <c r="CK296" i="1"/>
  <c r="DY296" i="1" s="1"/>
  <c r="EA296" i="1" s="1"/>
  <c r="CH296" i="1"/>
  <c r="DV296" i="1" s="1"/>
  <c r="M296" i="1"/>
  <c r="DI295" i="1"/>
  <c r="DJ295" i="1" s="1"/>
  <c r="DK295" i="1" s="1"/>
  <c r="DU295" i="1" s="1"/>
  <c r="DF295" i="1"/>
  <c r="DC295" i="1"/>
  <c r="CZ295" i="1"/>
  <c r="EN295" i="1" s="1"/>
  <c r="EP295" i="1" s="1"/>
  <c r="CW295" i="1"/>
  <c r="CX295" i="1" s="1"/>
  <c r="CY295" i="1" s="1"/>
  <c r="DQ295" i="1" s="1"/>
  <c r="CT295" i="1"/>
  <c r="CQ295" i="1"/>
  <c r="EE295" i="1" s="1"/>
  <c r="CN295" i="1"/>
  <c r="EB295" i="1" s="1"/>
  <c r="CK295" i="1"/>
  <c r="CL295" i="1" s="1"/>
  <c r="CM295" i="1" s="1"/>
  <c r="DM295" i="1" s="1"/>
  <c r="CH295" i="1"/>
  <c r="M295" i="1"/>
  <c r="DI294" i="1"/>
  <c r="EW294" i="1" s="1"/>
  <c r="DF294" i="1"/>
  <c r="ET294" i="1" s="1"/>
  <c r="DC294" i="1"/>
  <c r="EQ294" i="1" s="1"/>
  <c r="CZ294" i="1"/>
  <c r="CW294" i="1"/>
  <c r="EK294" i="1" s="1"/>
  <c r="EL294" i="1" s="1"/>
  <c r="CT294" i="1"/>
  <c r="EH294" i="1" s="1"/>
  <c r="EI294" i="1" s="1"/>
  <c r="CQ294" i="1"/>
  <c r="CN294" i="1"/>
  <c r="CK294" i="1"/>
  <c r="DY294" i="1" s="1"/>
  <c r="CH294" i="1"/>
  <c r="DV294" i="1" s="1"/>
  <c r="M294" i="1"/>
  <c r="DI293" i="1"/>
  <c r="EW293" i="1" s="1"/>
  <c r="DF293" i="1"/>
  <c r="DG293" i="1" s="1"/>
  <c r="DH293" i="1" s="1"/>
  <c r="DT293" i="1" s="1"/>
  <c r="DC293" i="1"/>
  <c r="EQ293" i="1" s="1"/>
  <c r="CZ293" i="1"/>
  <c r="CW293" i="1"/>
  <c r="CX293" i="1" s="1"/>
  <c r="CY293" i="1" s="1"/>
  <c r="DQ293" i="1" s="1"/>
  <c r="CT293" i="1"/>
  <c r="CQ293" i="1"/>
  <c r="EE293" i="1" s="1"/>
  <c r="CN293" i="1"/>
  <c r="CO293" i="1" s="1"/>
  <c r="CP293" i="1" s="1"/>
  <c r="DN293" i="1" s="1"/>
  <c r="CK293" i="1"/>
  <c r="CH293" i="1"/>
  <c r="CI293" i="1" s="1"/>
  <c r="CJ293" i="1" s="1"/>
  <c r="DL293" i="1" s="1"/>
  <c r="M293" i="1"/>
  <c r="DI292" i="1"/>
  <c r="EW292" i="1" s="1"/>
  <c r="EX292" i="1" s="1"/>
  <c r="DF292" i="1"/>
  <c r="DG292" i="1" s="1"/>
  <c r="DH292" i="1" s="1"/>
  <c r="DT292" i="1" s="1"/>
  <c r="DC292" i="1"/>
  <c r="CZ292" i="1"/>
  <c r="EN292" i="1" s="1"/>
  <c r="CW292" i="1"/>
  <c r="CX292" i="1" s="1"/>
  <c r="CY292" i="1" s="1"/>
  <c r="DQ292" i="1" s="1"/>
  <c r="CT292" i="1"/>
  <c r="CU292" i="1" s="1"/>
  <c r="CV292" i="1" s="1"/>
  <c r="DP292" i="1" s="1"/>
  <c r="CQ292" i="1"/>
  <c r="CN292" i="1"/>
  <c r="EB292" i="1" s="1"/>
  <c r="CK292" i="1"/>
  <c r="DY292" i="1" s="1"/>
  <c r="CH292" i="1"/>
  <c r="CI292" i="1" s="1"/>
  <c r="CJ292" i="1" s="1"/>
  <c r="DL292" i="1" s="1"/>
  <c r="M292" i="1"/>
  <c r="DI291" i="1"/>
  <c r="DF291" i="1"/>
  <c r="DG291" i="1" s="1"/>
  <c r="DH291" i="1" s="1"/>
  <c r="DT291" i="1" s="1"/>
  <c r="DC291" i="1"/>
  <c r="EQ291" i="1" s="1"/>
  <c r="ES291" i="1" s="1"/>
  <c r="CZ291" i="1"/>
  <c r="EN291" i="1" s="1"/>
  <c r="CW291" i="1"/>
  <c r="CX291" i="1" s="1"/>
  <c r="CY291" i="1" s="1"/>
  <c r="DQ291" i="1" s="1"/>
  <c r="CT291" i="1"/>
  <c r="EH291" i="1" s="1"/>
  <c r="CQ291" i="1"/>
  <c r="EE291" i="1" s="1"/>
  <c r="EG291" i="1" s="1"/>
  <c r="CN291" i="1"/>
  <c r="EB291" i="1" s="1"/>
  <c r="CK291" i="1"/>
  <c r="CL291" i="1" s="1"/>
  <c r="CM291" i="1" s="1"/>
  <c r="DM291" i="1" s="1"/>
  <c r="CH291" i="1"/>
  <c r="M291" i="1"/>
  <c r="DI290" i="1"/>
  <c r="DJ290" i="1" s="1"/>
  <c r="DK290" i="1" s="1"/>
  <c r="DU290" i="1" s="1"/>
  <c r="DF290" i="1"/>
  <c r="DC290" i="1"/>
  <c r="CZ290" i="1"/>
  <c r="CW290" i="1"/>
  <c r="CX290" i="1" s="1"/>
  <c r="CY290" i="1" s="1"/>
  <c r="DQ290" i="1" s="1"/>
  <c r="CT290" i="1"/>
  <c r="CU290" i="1" s="1"/>
  <c r="CV290" i="1" s="1"/>
  <c r="DP290" i="1" s="1"/>
  <c r="CQ290" i="1"/>
  <c r="CR290" i="1" s="1"/>
  <c r="CS290" i="1" s="1"/>
  <c r="DO290" i="1" s="1"/>
  <c r="CN290" i="1"/>
  <c r="EB290" i="1" s="1"/>
  <c r="CK290" i="1"/>
  <c r="CH290" i="1"/>
  <c r="DV290" i="1" s="1"/>
  <c r="M290" i="1"/>
  <c r="DI289" i="1"/>
  <c r="DF289" i="1"/>
  <c r="ET289" i="1" s="1"/>
  <c r="DC289" i="1"/>
  <c r="DD289" i="1" s="1"/>
  <c r="DE289" i="1" s="1"/>
  <c r="DS289" i="1" s="1"/>
  <c r="CZ289" i="1"/>
  <c r="CW289" i="1"/>
  <c r="EK289" i="1" s="1"/>
  <c r="CT289" i="1"/>
  <c r="EH289" i="1" s="1"/>
  <c r="CQ289" i="1"/>
  <c r="CR289" i="1" s="1"/>
  <c r="CS289" i="1" s="1"/>
  <c r="DO289" i="1" s="1"/>
  <c r="CN289" i="1"/>
  <c r="CK289" i="1"/>
  <c r="DY289" i="1" s="1"/>
  <c r="CH289" i="1"/>
  <c r="CI289" i="1" s="1"/>
  <c r="CJ289" i="1" s="1"/>
  <c r="DL289" i="1" s="1"/>
  <c r="M289" i="1"/>
  <c r="DI288" i="1"/>
  <c r="DF288" i="1"/>
  <c r="DG288" i="1" s="1"/>
  <c r="DH288" i="1" s="1"/>
  <c r="DT288" i="1" s="1"/>
  <c r="DC288" i="1"/>
  <c r="DD288" i="1" s="1"/>
  <c r="DE288" i="1" s="1"/>
  <c r="DS288" i="1" s="1"/>
  <c r="CZ288" i="1"/>
  <c r="EN288" i="1" s="1"/>
  <c r="CW288" i="1"/>
  <c r="EK288" i="1" s="1"/>
  <c r="CT288" i="1"/>
  <c r="CU288" i="1" s="1"/>
  <c r="CV288" i="1" s="1"/>
  <c r="DP288" i="1" s="1"/>
  <c r="CQ288" i="1"/>
  <c r="EE288" i="1" s="1"/>
  <c r="EG288" i="1" s="1"/>
  <c r="CN288" i="1"/>
  <c r="EB288" i="1" s="1"/>
  <c r="ED288" i="1" s="1"/>
  <c r="CK288" i="1"/>
  <c r="DY288" i="1" s="1"/>
  <c r="CH288" i="1"/>
  <c r="M288" i="1"/>
  <c r="DI287" i="1"/>
  <c r="DF287" i="1"/>
  <c r="DG287" i="1" s="1"/>
  <c r="DH287" i="1" s="1"/>
  <c r="DT287" i="1" s="1"/>
  <c r="DC287" i="1"/>
  <c r="DD287" i="1" s="1"/>
  <c r="DE287" i="1" s="1"/>
  <c r="DS287" i="1" s="1"/>
  <c r="CZ287" i="1"/>
  <c r="CW287" i="1"/>
  <c r="EK287" i="1" s="1"/>
  <c r="CT287" i="1"/>
  <c r="EH287" i="1" s="1"/>
  <c r="EI287" i="1" s="1"/>
  <c r="CQ287" i="1"/>
  <c r="EE287" i="1" s="1"/>
  <c r="CN287" i="1"/>
  <c r="EB287" i="1" s="1"/>
  <c r="CK287" i="1"/>
  <c r="DY287" i="1" s="1"/>
  <c r="CH287" i="1"/>
  <c r="M287" i="1"/>
  <c r="DI286" i="1"/>
  <c r="EW286" i="1" s="1"/>
  <c r="EX286" i="1" s="1"/>
  <c r="DF286" i="1"/>
  <c r="DG286" i="1" s="1"/>
  <c r="DH286" i="1" s="1"/>
  <c r="DT286" i="1" s="1"/>
  <c r="DC286" i="1"/>
  <c r="EQ286" i="1" s="1"/>
  <c r="ER286" i="1" s="1"/>
  <c r="CZ286" i="1"/>
  <c r="DA286" i="1" s="1"/>
  <c r="DB286" i="1" s="1"/>
  <c r="DR286" i="1" s="1"/>
  <c r="CW286" i="1"/>
  <c r="EK286" i="1" s="1"/>
  <c r="CT286" i="1"/>
  <c r="CU286" i="1" s="1"/>
  <c r="CV286" i="1" s="1"/>
  <c r="DP286" i="1" s="1"/>
  <c r="CQ286" i="1"/>
  <c r="EE286" i="1" s="1"/>
  <c r="EF286" i="1" s="1"/>
  <c r="CN286" i="1"/>
  <c r="CK286" i="1"/>
  <c r="DY286" i="1" s="1"/>
  <c r="CH286" i="1"/>
  <c r="CI286" i="1" s="1"/>
  <c r="CJ286" i="1" s="1"/>
  <c r="DL286" i="1" s="1"/>
  <c r="M286" i="1"/>
  <c r="DI285" i="1"/>
  <c r="DF285" i="1"/>
  <c r="DG285" i="1" s="1"/>
  <c r="DH285" i="1" s="1"/>
  <c r="DT285" i="1" s="1"/>
  <c r="DC285" i="1"/>
  <c r="CZ285" i="1"/>
  <c r="CW285" i="1"/>
  <c r="EK285" i="1" s="1"/>
  <c r="EM285" i="1" s="1"/>
  <c r="CT285" i="1"/>
  <c r="CU285" i="1" s="1"/>
  <c r="CV285" i="1" s="1"/>
  <c r="DP285" i="1" s="1"/>
  <c r="CQ285" i="1"/>
  <c r="CN285" i="1"/>
  <c r="CK285" i="1"/>
  <c r="CH285" i="1"/>
  <c r="CI285" i="1" s="1"/>
  <c r="CJ285" i="1" s="1"/>
  <c r="DL285" i="1" s="1"/>
  <c r="M285" i="1"/>
  <c r="DI284" i="1"/>
  <c r="EW284" i="1" s="1"/>
  <c r="DF284" i="1"/>
  <c r="ET284" i="1" s="1"/>
  <c r="EV284" i="1" s="1"/>
  <c r="DC284" i="1"/>
  <c r="CZ284" i="1"/>
  <c r="DA284" i="1" s="1"/>
  <c r="DB284" i="1" s="1"/>
  <c r="DR284" i="1" s="1"/>
  <c r="CW284" i="1"/>
  <c r="CX284" i="1" s="1"/>
  <c r="CY284" i="1" s="1"/>
  <c r="DQ284" i="1" s="1"/>
  <c r="CT284" i="1"/>
  <c r="EH284" i="1" s="1"/>
  <c r="EJ284" i="1" s="1"/>
  <c r="CQ284" i="1"/>
  <c r="EE284" i="1" s="1"/>
  <c r="EG284" i="1" s="1"/>
  <c r="CN284" i="1"/>
  <c r="EB284" i="1" s="1"/>
  <c r="ED284" i="1" s="1"/>
  <c r="CK284" i="1"/>
  <c r="CL284" i="1" s="1"/>
  <c r="CM284" i="1" s="1"/>
  <c r="DM284" i="1" s="1"/>
  <c r="CH284" i="1"/>
  <c r="M284" i="1"/>
  <c r="DI283" i="1"/>
  <c r="DJ283" i="1" s="1"/>
  <c r="DK283" i="1" s="1"/>
  <c r="DU283" i="1" s="1"/>
  <c r="DF283" i="1"/>
  <c r="ET283" i="1" s="1"/>
  <c r="DC283" i="1"/>
  <c r="DD283" i="1" s="1"/>
  <c r="DE283" i="1" s="1"/>
  <c r="DS283" i="1" s="1"/>
  <c r="CZ283" i="1"/>
  <c r="CW283" i="1"/>
  <c r="EK283" i="1" s="1"/>
  <c r="CT283" i="1"/>
  <c r="EH283" i="1" s="1"/>
  <c r="CQ283" i="1"/>
  <c r="CR283" i="1" s="1"/>
  <c r="CS283" i="1" s="1"/>
  <c r="DO283" i="1" s="1"/>
  <c r="CN283" i="1"/>
  <c r="CK283" i="1"/>
  <c r="CL283" i="1" s="1"/>
  <c r="CM283" i="1" s="1"/>
  <c r="DM283" i="1" s="1"/>
  <c r="CH283" i="1"/>
  <c r="CI283" i="1" s="1"/>
  <c r="CJ283" i="1" s="1"/>
  <c r="DL283" i="1" s="1"/>
  <c r="M283" i="1"/>
  <c r="DI282" i="1"/>
  <c r="DF282" i="1"/>
  <c r="ET282" i="1" s="1"/>
  <c r="EV282" i="1" s="1"/>
  <c r="DC282" i="1"/>
  <c r="DD282" i="1" s="1"/>
  <c r="DE282" i="1" s="1"/>
  <c r="DS282" i="1" s="1"/>
  <c r="CZ282" i="1"/>
  <c r="CW282" i="1"/>
  <c r="CT282" i="1"/>
  <c r="EH282" i="1" s="1"/>
  <c r="EI282" i="1" s="1"/>
  <c r="CQ282" i="1"/>
  <c r="CR282" i="1" s="1"/>
  <c r="CS282" i="1" s="1"/>
  <c r="DO282" i="1" s="1"/>
  <c r="CN282" i="1"/>
  <c r="CK282" i="1"/>
  <c r="CH282" i="1"/>
  <c r="M282" i="1"/>
  <c r="DI281" i="1"/>
  <c r="EW281" i="1" s="1"/>
  <c r="EY281" i="1" s="1"/>
  <c r="DF281" i="1"/>
  <c r="ET281" i="1" s="1"/>
  <c r="DC281" i="1"/>
  <c r="EQ281" i="1" s="1"/>
  <c r="ES281" i="1" s="1"/>
  <c r="CZ281" i="1"/>
  <c r="EN281" i="1" s="1"/>
  <c r="CW281" i="1"/>
  <c r="EK281" i="1" s="1"/>
  <c r="EM281" i="1" s="1"/>
  <c r="CT281" i="1"/>
  <c r="CU281" i="1" s="1"/>
  <c r="CV281" i="1" s="1"/>
  <c r="DP281" i="1" s="1"/>
  <c r="CQ281" i="1"/>
  <c r="EE281" i="1" s="1"/>
  <c r="EG281" i="1" s="1"/>
  <c r="CN281" i="1"/>
  <c r="CK281" i="1"/>
  <c r="CL281" i="1" s="1"/>
  <c r="CM281" i="1" s="1"/>
  <c r="DM281" i="1" s="1"/>
  <c r="CH281" i="1"/>
  <c r="CI281" i="1" s="1"/>
  <c r="CJ281" i="1" s="1"/>
  <c r="DL281" i="1" s="1"/>
  <c r="M281" i="1"/>
  <c r="DI280" i="1"/>
  <c r="EW280" i="1" s="1"/>
  <c r="EX280" i="1" s="1"/>
  <c r="DF280" i="1"/>
  <c r="DG280" i="1" s="1"/>
  <c r="DH280" i="1" s="1"/>
  <c r="DT280" i="1" s="1"/>
  <c r="DC280" i="1"/>
  <c r="DD280" i="1" s="1"/>
  <c r="DE280" i="1" s="1"/>
  <c r="DS280" i="1" s="1"/>
  <c r="CZ280" i="1"/>
  <c r="DA280" i="1" s="1"/>
  <c r="DB280" i="1" s="1"/>
  <c r="DR280" i="1" s="1"/>
  <c r="CW280" i="1"/>
  <c r="CT280" i="1"/>
  <c r="EH280" i="1" s="1"/>
  <c r="CQ280" i="1"/>
  <c r="EE280" i="1" s="1"/>
  <c r="EF280" i="1" s="1"/>
  <c r="CN280" i="1"/>
  <c r="CO280" i="1" s="1"/>
  <c r="CP280" i="1" s="1"/>
  <c r="DN280" i="1" s="1"/>
  <c r="CK280" i="1"/>
  <c r="DY280" i="1" s="1"/>
  <c r="DZ280" i="1" s="1"/>
  <c r="CH280" i="1"/>
  <c r="CI280" i="1" s="1"/>
  <c r="CJ280" i="1" s="1"/>
  <c r="DL280" i="1" s="1"/>
  <c r="M280" i="1"/>
  <c r="DI279" i="1"/>
  <c r="DF279" i="1"/>
  <c r="DC279" i="1"/>
  <c r="CZ279" i="1"/>
  <c r="DA279" i="1" s="1"/>
  <c r="DB279" i="1" s="1"/>
  <c r="DR279" i="1" s="1"/>
  <c r="CW279" i="1"/>
  <c r="CT279" i="1"/>
  <c r="CQ279" i="1"/>
  <c r="EE279" i="1" s="1"/>
  <c r="EG279" i="1" s="1"/>
  <c r="CN279" i="1"/>
  <c r="CO279" i="1" s="1"/>
  <c r="CP279" i="1" s="1"/>
  <c r="DN279" i="1" s="1"/>
  <c r="CK279" i="1"/>
  <c r="CH279" i="1"/>
  <c r="M279" i="1"/>
  <c r="DI278" i="1"/>
  <c r="DJ278" i="1" s="1"/>
  <c r="DK278" i="1" s="1"/>
  <c r="DU278" i="1" s="1"/>
  <c r="DF278" i="1"/>
  <c r="ET278" i="1" s="1"/>
  <c r="DC278" i="1"/>
  <c r="DD278" i="1" s="1"/>
  <c r="DE278" i="1" s="1"/>
  <c r="DS278" i="1" s="1"/>
  <c r="CZ278" i="1"/>
  <c r="CW278" i="1"/>
  <c r="CX278" i="1" s="1"/>
  <c r="CY278" i="1" s="1"/>
  <c r="DQ278" i="1" s="1"/>
  <c r="CT278" i="1"/>
  <c r="EH278" i="1" s="1"/>
  <c r="CQ278" i="1"/>
  <c r="EE278" i="1" s="1"/>
  <c r="CN278" i="1"/>
  <c r="CK278" i="1"/>
  <c r="CH278" i="1"/>
  <c r="DV278" i="1" s="1"/>
  <c r="M278" i="1"/>
  <c r="DI277" i="1"/>
  <c r="DJ277" i="1" s="1"/>
  <c r="DK277" i="1" s="1"/>
  <c r="DU277" i="1" s="1"/>
  <c r="DF277" i="1"/>
  <c r="ET277" i="1" s="1"/>
  <c r="EU277" i="1" s="1"/>
  <c r="DC277" i="1"/>
  <c r="CZ277" i="1"/>
  <c r="CW277" i="1"/>
  <c r="CT277" i="1"/>
  <c r="EH277" i="1" s="1"/>
  <c r="EI277" i="1" s="1"/>
  <c r="CQ277" i="1"/>
  <c r="CN277" i="1"/>
  <c r="CO277" i="1" s="1"/>
  <c r="CP277" i="1" s="1"/>
  <c r="DN277" i="1" s="1"/>
  <c r="CK277" i="1"/>
  <c r="CH277" i="1"/>
  <c r="M277" i="1"/>
  <c r="DI276" i="1"/>
  <c r="DJ276" i="1" s="1"/>
  <c r="DK276" i="1" s="1"/>
  <c r="DU276" i="1" s="1"/>
  <c r="DF276" i="1"/>
  <c r="DC276" i="1"/>
  <c r="CZ276" i="1"/>
  <c r="DA276" i="1" s="1"/>
  <c r="DB276" i="1" s="1"/>
  <c r="DR276" i="1" s="1"/>
  <c r="CW276" i="1"/>
  <c r="CX276" i="1" s="1"/>
  <c r="CY276" i="1" s="1"/>
  <c r="DQ276" i="1" s="1"/>
  <c r="CT276" i="1"/>
  <c r="CQ276" i="1"/>
  <c r="CN276" i="1"/>
  <c r="EB276" i="1" s="1"/>
  <c r="EC276" i="1" s="1"/>
  <c r="CK276" i="1"/>
  <c r="CL276" i="1" s="1"/>
  <c r="CM276" i="1" s="1"/>
  <c r="DM276" i="1" s="1"/>
  <c r="CH276" i="1"/>
  <c r="DV276" i="1" s="1"/>
  <c r="DX276" i="1" s="1"/>
  <c r="M276" i="1"/>
  <c r="DI275" i="1"/>
  <c r="EW275" i="1" s="1"/>
  <c r="EY275" i="1" s="1"/>
  <c r="DF275" i="1"/>
  <c r="DG275" i="1" s="1"/>
  <c r="DH275" i="1" s="1"/>
  <c r="DT275" i="1" s="1"/>
  <c r="DC275" i="1"/>
  <c r="DD275" i="1" s="1"/>
  <c r="DE275" i="1" s="1"/>
  <c r="DS275" i="1" s="1"/>
  <c r="CZ275" i="1"/>
  <c r="DA275" i="1" s="1"/>
  <c r="DB275" i="1" s="1"/>
  <c r="DR275" i="1" s="1"/>
  <c r="CW275" i="1"/>
  <c r="CT275" i="1"/>
  <c r="CQ275" i="1"/>
  <c r="EE275" i="1" s="1"/>
  <c r="CN275" i="1"/>
  <c r="CO275" i="1" s="1"/>
  <c r="CP275" i="1" s="1"/>
  <c r="DN275" i="1" s="1"/>
  <c r="CK275" i="1"/>
  <c r="DY275" i="1" s="1"/>
  <c r="EA275" i="1" s="1"/>
  <c r="CH275" i="1"/>
  <c r="CI275" i="1" s="1"/>
  <c r="CJ275" i="1" s="1"/>
  <c r="DL275" i="1" s="1"/>
  <c r="M275" i="1"/>
  <c r="DI273" i="1"/>
  <c r="DJ273" i="1" s="1"/>
  <c r="DK273" i="1" s="1"/>
  <c r="DU273" i="1" s="1"/>
  <c r="DF273" i="1"/>
  <c r="ET273" i="1" s="1"/>
  <c r="DC273" i="1"/>
  <c r="EQ273" i="1" s="1"/>
  <c r="CZ273" i="1"/>
  <c r="DA273" i="1" s="1"/>
  <c r="DB273" i="1" s="1"/>
  <c r="DR273" i="1" s="1"/>
  <c r="CW273" i="1"/>
  <c r="CX273" i="1" s="1"/>
  <c r="CY273" i="1" s="1"/>
  <c r="DQ273" i="1" s="1"/>
  <c r="CT273" i="1"/>
  <c r="EH273" i="1" s="1"/>
  <c r="CQ273" i="1"/>
  <c r="CR273" i="1" s="1"/>
  <c r="CS273" i="1" s="1"/>
  <c r="DO273" i="1" s="1"/>
  <c r="CN273" i="1"/>
  <c r="EB273" i="1" s="1"/>
  <c r="CK273" i="1"/>
  <c r="CH273" i="1"/>
  <c r="DV273" i="1" s="1"/>
  <c r="M273" i="1"/>
  <c r="DI272" i="1"/>
  <c r="DJ272" i="1" s="1"/>
  <c r="DK272" i="1" s="1"/>
  <c r="DU272" i="1" s="1"/>
  <c r="DF272" i="1"/>
  <c r="DC272" i="1"/>
  <c r="EQ272" i="1" s="1"/>
  <c r="CZ272" i="1"/>
  <c r="CW272" i="1"/>
  <c r="CX272" i="1" s="1"/>
  <c r="CY272" i="1" s="1"/>
  <c r="DQ272" i="1" s="1"/>
  <c r="CT272" i="1"/>
  <c r="CQ272" i="1"/>
  <c r="EE272" i="1" s="1"/>
  <c r="EG272" i="1" s="1"/>
  <c r="CN272" i="1"/>
  <c r="CK272" i="1"/>
  <c r="CL272" i="1" s="1"/>
  <c r="CM272" i="1" s="1"/>
  <c r="DM272" i="1" s="1"/>
  <c r="CH272" i="1"/>
  <c r="M272" i="1"/>
  <c r="N271" i="1"/>
  <c r="AH271" i="1" s="1"/>
  <c r="M271" i="1"/>
  <c r="N270" i="1"/>
  <c r="CT270" i="1" s="1"/>
  <c r="M270" i="1"/>
  <c r="N269" i="1"/>
  <c r="CN269" i="1" s="1"/>
  <c r="M269" i="1"/>
  <c r="N268" i="1"/>
  <c r="CW268" i="1" s="1"/>
  <c r="M268" i="1"/>
  <c r="N267" i="1"/>
  <c r="AB267" i="1" s="1"/>
  <c r="M267" i="1"/>
  <c r="N266" i="1"/>
  <c r="M266" i="1"/>
  <c r="N265" i="1"/>
  <c r="CN265" i="1" s="1"/>
  <c r="M265" i="1"/>
  <c r="N264" i="1"/>
  <c r="AK264" i="1" s="1"/>
  <c r="M264" i="1"/>
  <c r="N263" i="1"/>
  <c r="CQ263" i="1" s="1"/>
  <c r="M263" i="1"/>
  <c r="N262" i="1"/>
  <c r="CH262" i="1" s="1"/>
  <c r="M262" i="1"/>
  <c r="CE261" i="1"/>
  <c r="CG261" i="1" s="1"/>
  <c r="CB261" i="1"/>
  <c r="CC261" i="1" s="1"/>
  <c r="BY261" i="1"/>
  <c r="CA261" i="1" s="1"/>
  <c r="BV261" i="1"/>
  <c r="BS261" i="1"/>
  <c r="BU261" i="1" s="1"/>
  <c r="BP261" i="1"/>
  <c r="BR261" i="1" s="1"/>
  <c r="BM261" i="1"/>
  <c r="BO261" i="1" s="1"/>
  <c r="BJ261" i="1"/>
  <c r="BG261" i="1"/>
  <c r="BH261" i="1" s="1"/>
  <c r="BD261" i="1"/>
  <c r="BE261" i="1" s="1"/>
  <c r="N260" i="1"/>
  <c r="M260" i="1"/>
  <c r="N259" i="1"/>
  <c r="CN259" i="1" s="1"/>
  <c r="CO259" i="1" s="1"/>
  <c r="CP259" i="1" s="1"/>
  <c r="DN259" i="1" s="1"/>
  <c r="M259" i="1"/>
  <c r="N258" i="1"/>
  <c r="AK258" i="1" s="1"/>
  <c r="M258" i="1"/>
  <c r="N257" i="1"/>
  <c r="DI257" i="1" s="1"/>
  <c r="M257" i="1"/>
  <c r="N256" i="1"/>
  <c r="DI256" i="1" s="1"/>
  <c r="M256" i="1"/>
  <c r="N255" i="1"/>
  <c r="M255" i="1"/>
  <c r="N254" i="1"/>
  <c r="AH254" i="1" s="1"/>
  <c r="M254" i="1"/>
  <c r="N253" i="1"/>
  <c r="M253" i="1"/>
  <c r="N252" i="1"/>
  <c r="DI252" i="1" s="1"/>
  <c r="DJ252" i="1" s="1"/>
  <c r="DK252" i="1" s="1"/>
  <c r="DU252" i="1" s="1"/>
  <c r="M252" i="1"/>
  <c r="N251" i="1"/>
  <c r="M251" i="1"/>
  <c r="N250" i="1"/>
  <c r="AB250" i="1" s="1"/>
  <c r="AC250" i="1" s="1"/>
  <c r="AD250" i="1" s="1"/>
  <c r="AX250" i="1" s="1"/>
  <c r="M250" i="1"/>
  <c r="N249" i="1"/>
  <c r="M249" i="1"/>
  <c r="CE248" i="1"/>
  <c r="CG248" i="1" s="1"/>
  <c r="CB248" i="1"/>
  <c r="CD248" i="1" s="1"/>
  <c r="BY248" i="1"/>
  <c r="CA248" i="1" s="1"/>
  <c r="BV248" i="1"/>
  <c r="BS248" i="1"/>
  <c r="BU248" i="1" s="1"/>
  <c r="BP248" i="1"/>
  <c r="BR248" i="1" s="1"/>
  <c r="BM248" i="1"/>
  <c r="BO248" i="1" s="1"/>
  <c r="BJ248" i="1"/>
  <c r="BK248" i="1" s="1"/>
  <c r="BG248" i="1"/>
  <c r="BI248" i="1" s="1"/>
  <c r="BD248" i="1"/>
  <c r="N247" i="1"/>
  <c r="AN247" i="1" s="1"/>
  <c r="M247" i="1"/>
  <c r="N246" i="1"/>
  <c r="DF246" i="1" s="1"/>
  <c r="M246" i="1"/>
  <c r="N245" i="1"/>
  <c r="CZ245" i="1" s="1"/>
  <c r="M245" i="1"/>
  <c r="N244" i="1"/>
  <c r="CQ244" i="1" s="1"/>
  <c r="M244" i="1"/>
  <c r="N243" i="1"/>
  <c r="DC243" i="1" s="1"/>
  <c r="M243" i="1"/>
  <c r="N242" i="1"/>
  <c r="DI242" i="1" s="1"/>
  <c r="M242" i="1"/>
  <c r="N241" i="1"/>
  <c r="DI241" i="1" s="1"/>
  <c r="M241" i="1"/>
  <c r="N240" i="1"/>
  <c r="CZ240" i="1" s="1"/>
  <c r="M240" i="1"/>
  <c r="N239" i="1"/>
  <c r="DI239" i="1" s="1"/>
  <c r="EW239" i="1" s="1"/>
  <c r="M239" i="1"/>
  <c r="N238" i="1"/>
  <c r="M238" i="1"/>
  <c r="N237" i="1"/>
  <c r="O237" i="1" s="1"/>
  <c r="M237" i="1"/>
  <c r="N236" i="1"/>
  <c r="DF236" i="1" s="1"/>
  <c r="CE235" i="1"/>
  <c r="CG235" i="1" s="1"/>
  <c r="CB235" i="1"/>
  <c r="BY235" i="1"/>
  <c r="BV235" i="1"/>
  <c r="BS235" i="1"/>
  <c r="BP235" i="1"/>
  <c r="BM235" i="1"/>
  <c r="BO235" i="1" s="1"/>
  <c r="BJ235" i="1"/>
  <c r="BL235" i="1" s="1"/>
  <c r="BG235" i="1"/>
  <c r="BI235" i="1" s="1"/>
  <c r="BD235" i="1"/>
  <c r="N234" i="1"/>
  <c r="DI234" i="1" s="1"/>
  <c r="DJ234" i="1" s="1"/>
  <c r="DK234" i="1" s="1"/>
  <c r="DU234" i="1" s="1"/>
  <c r="M234" i="1"/>
  <c r="N233" i="1"/>
  <c r="CZ233" i="1" s="1"/>
  <c r="EN233" i="1" s="1"/>
  <c r="M233" i="1"/>
  <c r="N232" i="1"/>
  <c r="AK232" i="1" s="1"/>
  <c r="M232" i="1"/>
  <c r="N231" i="1"/>
  <c r="M231" i="1"/>
  <c r="N230" i="1"/>
  <c r="M230" i="1"/>
  <c r="N229" i="1"/>
  <c r="M229" i="1"/>
  <c r="N228" i="1"/>
  <c r="M228" i="1"/>
  <c r="N227" i="1"/>
  <c r="M227" i="1"/>
  <c r="N226" i="1"/>
  <c r="AK226" i="1" s="1"/>
  <c r="BY226" i="1" s="1"/>
  <c r="M226" i="1"/>
  <c r="N225" i="1"/>
  <c r="AQ225" i="1" s="1"/>
  <c r="CE225" i="1" s="1"/>
  <c r="CG225" i="1" s="1"/>
  <c r="M225" i="1"/>
  <c r="N224" i="1"/>
  <c r="DC224" i="1" s="1"/>
  <c r="DD224" i="1" s="1"/>
  <c r="DE224" i="1" s="1"/>
  <c r="DS224" i="1" s="1"/>
  <c r="M224" i="1"/>
  <c r="N223" i="1"/>
  <c r="AE223" i="1" s="1"/>
  <c r="M223" i="1"/>
  <c r="CE222" i="1"/>
  <c r="CG222" i="1" s="1"/>
  <c r="CB222" i="1"/>
  <c r="CD222" i="1" s="1"/>
  <c r="BY222" i="1"/>
  <c r="BV222" i="1"/>
  <c r="BS222" i="1"/>
  <c r="BP222" i="1"/>
  <c r="BR222" i="1" s="1"/>
  <c r="BM222" i="1"/>
  <c r="BJ222" i="1"/>
  <c r="BK222" i="1" s="1"/>
  <c r="BG222" i="1"/>
  <c r="BD222" i="1"/>
  <c r="N221" i="1"/>
  <c r="M221" i="1"/>
  <c r="N220" i="1"/>
  <c r="M220" i="1"/>
  <c r="N219" i="1"/>
  <c r="AK219" i="1" s="1"/>
  <c r="M219" i="1"/>
  <c r="N218" i="1"/>
  <c r="DC218" i="1" s="1"/>
  <c r="M218" i="1"/>
  <c r="N217" i="1"/>
  <c r="CQ217" i="1" s="1"/>
  <c r="M217" i="1"/>
  <c r="N216" i="1"/>
  <c r="CK216" i="1" s="1"/>
  <c r="DY216" i="1" s="1"/>
  <c r="M216" i="1"/>
  <c r="N215" i="1"/>
  <c r="Y215" i="1" s="1"/>
  <c r="BM215" i="1" s="1"/>
  <c r="M215" i="1"/>
  <c r="N214" i="1"/>
  <c r="M214" i="1"/>
  <c r="N213" i="1"/>
  <c r="CT213" i="1" s="1"/>
  <c r="CU213" i="1" s="1"/>
  <c r="CV213" i="1" s="1"/>
  <c r="DP213" i="1" s="1"/>
  <c r="M213" i="1"/>
  <c r="N212" i="1"/>
  <c r="CZ212" i="1" s="1"/>
  <c r="EN212" i="1" s="1"/>
  <c r="M212" i="1"/>
  <c r="N211" i="1"/>
  <c r="M211" i="1"/>
  <c r="N210" i="1"/>
  <c r="AN210" i="1" s="1"/>
  <c r="M210" i="1"/>
  <c r="CE209" i="1"/>
  <c r="CG209" i="1" s="1"/>
  <c r="CB209" i="1"/>
  <c r="BY209" i="1"/>
  <c r="BV209" i="1"/>
  <c r="BS209" i="1"/>
  <c r="BT209" i="1" s="1"/>
  <c r="BP209" i="1"/>
  <c r="BM209" i="1"/>
  <c r="BJ209" i="1"/>
  <c r="BG209" i="1"/>
  <c r="BI209" i="1" s="1"/>
  <c r="BD209" i="1"/>
  <c r="BE209" i="1" s="1"/>
  <c r="N208" i="1"/>
  <c r="CT208" i="1" s="1"/>
  <c r="EH208" i="1" s="1"/>
  <c r="M208" i="1"/>
  <c r="N207" i="1"/>
  <c r="DC207" i="1" s="1"/>
  <c r="DD207" i="1" s="1"/>
  <c r="DE207" i="1" s="1"/>
  <c r="DS207" i="1" s="1"/>
  <c r="M207" i="1"/>
  <c r="N206" i="1"/>
  <c r="Y206" i="1" s="1"/>
  <c r="M206" i="1"/>
  <c r="N205" i="1"/>
  <c r="Y205" i="1" s="1"/>
  <c r="M205" i="1"/>
  <c r="N204" i="1"/>
  <c r="CT204" i="1" s="1"/>
  <c r="EH204" i="1" s="1"/>
  <c r="M204" i="1"/>
  <c r="N203" i="1"/>
  <c r="M203" i="1"/>
  <c r="N202" i="1"/>
  <c r="CQ202" i="1" s="1"/>
  <c r="M202" i="1"/>
  <c r="N201" i="1"/>
  <c r="CN201" i="1" s="1"/>
  <c r="M201" i="1"/>
  <c r="N200" i="1"/>
  <c r="AH200" i="1" s="1"/>
  <c r="M200" i="1"/>
  <c r="N199" i="1"/>
  <c r="AQ199" i="1" s="1"/>
  <c r="M199" i="1"/>
  <c r="N198" i="1"/>
  <c r="M198" i="1"/>
  <c r="N197" i="1"/>
  <c r="DF197" i="1" s="1"/>
  <c r="CE196" i="1"/>
  <c r="CF196" i="1" s="1"/>
  <c r="CB196" i="1"/>
  <c r="CD196" i="1" s="1"/>
  <c r="BY196" i="1"/>
  <c r="CA196" i="1" s="1"/>
  <c r="BV196" i="1"/>
  <c r="BX196" i="1" s="1"/>
  <c r="BS196" i="1"/>
  <c r="BT196" i="1" s="1"/>
  <c r="BP196" i="1"/>
  <c r="BM196" i="1"/>
  <c r="BJ196" i="1"/>
  <c r="BL196" i="1" s="1"/>
  <c r="BG196" i="1"/>
  <c r="BH196" i="1" s="1"/>
  <c r="BD196" i="1"/>
  <c r="N195" i="1"/>
  <c r="DF195" i="1" s="1"/>
  <c r="ET195" i="1" s="1"/>
  <c r="M195" i="1"/>
  <c r="N194" i="1"/>
  <c r="CZ194" i="1" s="1"/>
  <c r="M194" i="1"/>
  <c r="N193" i="1"/>
  <c r="DI193" i="1" s="1"/>
  <c r="M193" i="1"/>
  <c r="N192" i="1"/>
  <c r="AQ192" i="1" s="1"/>
  <c r="M192" i="1"/>
  <c r="N191" i="1"/>
  <c r="Y191" i="1" s="1"/>
  <c r="Z191" i="1" s="1"/>
  <c r="AA191" i="1" s="1"/>
  <c r="AW191" i="1" s="1"/>
  <c r="M191" i="1"/>
  <c r="N190" i="1"/>
  <c r="CK190" i="1" s="1"/>
  <c r="CL190" i="1" s="1"/>
  <c r="CM190" i="1" s="1"/>
  <c r="DM190" i="1" s="1"/>
  <c r="M190" i="1"/>
  <c r="N189" i="1"/>
  <c r="M189" i="1"/>
  <c r="N188" i="1"/>
  <c r="CQ188" i="1" s="1"/>
  <c r="M188" i="1"/>
  <c r="N187" i="1"/>
  <c r="AB187" i="1" s="1"/>
  <c r="AC187" i="1" s="1"/>
  <c r="AD187" i="1" s="1"/>
  <c r="AX187" i="1" s="1"/>
  <c r="M187" i="1"/>
  <c r="N186" i="1"/>
  <c r="AH186" i="1" s="1"/>
  <c r="M186" i="1"/>
  <c r="N185" i="1"/>
  <c r="DF185" i="1" s="1"/>
  <c r="M185" i="1"/>
  <c r="N184" i="1"/>
  <c r="AN184" i="1" s="1"/>
  <c r="CB184" i="1" s="1"/>
  <c r="M184" i="1"/>
  <c r="CE183" i="1"/>
  <c r="CG183" i="1" s="1"/>
  <c r="CB183" i="1"/>
  <c r="CD183" i="1" s="1"/>
  <c r="BY183" i="1"/>
  <c r="BV183" i="1"/>
  <c r="BW183" i="1" s="1"/>
  <c r="BS183" i="1"/>
  <c r="BP183" i="1"/>
  <c r="BR183" i="1" s="1"/>
  <c r="BM183" i="1"/>
  <c r="BO183" i="1" s="1"/>
  <c r="BJ183" i="1"/>
  <c r="BG183" i="1"/>
  <c r="BI183" i="1" s="1"/>
  <c r="BD183" i="1"/>
  <c r="BF183" i="1" s="1"/>
  <c r="N182" i="1"/>
  <c r="M182" i="1"/>
  <c r="N181" i="1"/>
  <c r="M181" i="1"/>
  <c r="N180" i="1"/>
  <c r="CZ180" i="1" s="1"/>
  <c r="M180" i="1"/>
  <c r="N179" i="1"/>
  <c r="CZ179" i="1" s="1"/>
  <c r="DA179" i="1" s="1"/>
  <c r="DB179" i="1" s="1"/>
  <c r="DR179" i="1" s="1"/>
  <c r="M179" i="1"/>
  <c r="N178" i="1"/>
  <c r="DC178" i="1" s="1"/>
  <c r="M178" i="1"/>
  <c r="N177" i="1"/>
  <c r="CW177" i="1" s="1"/>
  <c r="M177" i="1"/>
  <c r="N176" i="1"/>
  <c r="DI176" i="1" s="1"/>
  <c r="M176" i="1"/>
  <c r="N175" i="1"/>
  <c r="CQ175" i="1" s="1"/>
  <c r="CR175" i="1" s="1"/>
  <c r="CS175" i="1" s="1"/>
  <c r="DO175" i="1" s="1"/>
  <c r="M175" i="1"/>
  <c r="N174" i="1"/>
  <c r="M174" i="1"/>
  <c r="N173" i="1"/>
  <c r="M173" i="1"/>
  <c r="N172" i="1"/>
  <c r="O172" i="1" s="1"/>
  <c r="M172" i="1"/>
  <c r="N171" i="1"/>
  <c r="CH171" i="1" s="1"/>
  <c r="M171" i="1"/>
  <c r="CE170" i="1"/>
  <c r="CG170" i="1" s="1"/>
  <c r="CB170" i="1"/>
  <c r="BY170" i="1"/>
  <c r="BZ170" i="1" s="1"/>
  <c r="BV170" i="1"/>
  <c r="BX170" i="1" s="1"/>
  <c r="BS170" i="1"/>
  <c r="BP170" i="1"/>
  <c r="BM170" i="1"/>
  <c r="BN170" i="1" s="1"/>
  <c r="BJ170" i="1"/>
  <c r="BK170" i="1" s="1"/>
  <c r="BG170" i="1"/>
  <c r="BI170" i="1" s="1"/>
  <c r="BD170" i="1"/>
  <c r="N169" i="1"/>
  <c r="CK169" i="1" s="1"/>
  <c r="CL169" i="1" s="1"/>
  <c r="CM169" i="1" s="1"/>
  <c r="DM169" i="1" s="1"/>
  <c r="M169" i="1"/>
  <c r="N168" i="1"/>
  <c r="AE168" i="1" s="1"/>
  <c r="M168" i="1"/>
  <c r="N167" i="1"/>
  <c r="CW167" i="1" s="1"/>
  <c r="M167" i="1"/>
  <c r="N166" i="1"/>
  <c r="M166" i="1"/>
  <c r="N165" i="1"/>
  <c r="DF165" i="1" s="1"/>
  <c r="M165" i="1"/>
  <c r="N164" i="1"/>
  <c r="M164" i="1"/>
  <c r="N163" i="1"/>
  <c r="M163" i="1"/>
  <c r="N162" i="1"/>
  <c r="V162" i="1" s="1"/>
  <c r="BJ162" i="1" s="1"/>
  <c r="M162" i="1"/>
  <c r="N161" i="1"/>
  <c r="CZ161" i="1" s="1"/>
  <c r="M161" i="1"/>
  <c r="N160" i="1"/>
  <c r="AQ160" i="1" s="1"/>
  <c r="CE160" i="1" s="1"/>
  <c r="CF160" i="1" s="1"/>
  <c r="M160" i="1"/>
  <c r="N159" i="1"/>
  <c r="AN159" i="1" s="1"/>
  <c r="M159" i="1"/>
  <c r="N158" i="1"/>
  <c r="DF158" i="1" s="1"/>
  <c r="M158" i="1"/>
  <c r="CE157" i="1"/>
  <c r="CG157" i="1" s="1"/>
  <c r="CB157" i="1"/>
  <c r="CD157" i="1" s="1"/>
  <c r="BY157" i="1"/>
  <c r="CA157" i="1" s="1"/>
  <c r="BV157" i="1"/>
  <c r="BS157" i="1"/>
  <c r="BT157" i="1" s="1"/>
  <c r="BP157" i="1"/>
  <c r="BR157" i="1" s="1"/>
  <c r="BM157" i="1"/>
  <c r="BO157" i="1" s="1"/>
  <c r="BJ157" i="1"/>
  <c r="BG157" i="1"/>
  <c r="BI157" i="1" s="1"/>
  <c r="BD157" i="1"/>
  <c r="BF157" i="1" s="1"/>
  <c r="N156" i="1"/>
  <c r="V156" i="1" s="1"/>
  <c r="M156" i="1"/>
  <c r="N155" i="1"/>
  <c r="AK155" i="1" s="1"/>
  <c r="BY155" i="1" s="1"/>
  <c r="BZ155" i="1" s="1"/>
  <c r="M155" i="1"/>
  <c r="N154" i="1"/>
  <c r="AQ154" i="1" s="1"/>
  <c r="M154" i="1"/>
  <c r="N153" i="1"/>
  <c r="M153" i="1"/>
  <c r="N152" i="1"/>
  <c r="DI152" i="1" s="1"/>
  <c r="M152" i="1"/>
  <c r="N151" i="1"/>
  <c r="CZ151" i="1" s="1"/>
  <c r="EN151" i="1" s="1"/>
  <c r="M151" i="1"/>
  <c r="N150" i="1"/>
  <c r="M150" i="1"/>
  <c r="N149" i="1"/>
  <c r="CT149" i="1" s="1"/>
  <c r="EH149" i="1" s="1"/>
  <c r="M149" i="1"/>
  <c r="N148" i="1"/>
  <c r="M148" i="1"/>
  <c r="N147" i="1"/>
  <c r="DI147" i="1" s="1"/>
  <c r="EW147" i="1" s="1"/>
  <c r="M147" i="1"/>
  <c r="N146" i="1"/>
  <c r="M146" i="1"/>
  <c r="N145" i="1"/>
  <c r="V145" i="1" s="1"/>
  <c r="M145" i="1"/>
  <c r="CE144" i="1"/>
  <c r="CG144" i="1" s="1"/>
  <c r="CB144" i="1"/>
  <c r="CC144" i="1" s="1"/>
  <c r="BY144" i="1"/>
  <c r="BV144" i="1"/>
  <c r="BX144" i="1" s="1"/>
  <c r="BS144" i="1"/>
  <c r="BP144" i="1"/>
  <c r="BQ144" i="1" s="1"/>
  <c r="BM144" i="1"/>
  <c r="BO144" i="1" s="1"/>
  <c r="BJ144" i="1"/>
  <c r="BL144" i="1" s="1"/>
  <c r="BG144" i="1"/>
  <c r="BI144" i="1" s="1"/>
  <c r="BD144" i="1"/>
  <c r="N143" i="1"/>
  <c r="CT143" i="1" s="1"/>
  <c r="EH143" i="1" s="1"/>
  <c r="EI143" i="1" s="1"/>
  <c r="M143" i="1"/>
  <c r="N142" i="1"/>
  <c r="M142" i="1"/>
  <c r="N141" i="1"/>
  <c r="DC141" i="1" s="1"/>
  <c r="M141" i="1"/>
  <c r="N140" i="1"/>
  <c r="CZ140" i="1" s="1"/>
  <c r="M140" i="1"/>
  <c r="N139" i="1"/>
  <c r="CQ139" i="1" s="1"/>
  <c r="M139" i="1"/>
  <c r="N138" i="1"/>
  <c r="CT138" i="1" s="1"/>
  <c r="EH138" i="1" s="1"/>
  <c r="M138" i="1"/>
  <c r="N137" i="1"/>
  <c r="M137" i="1"/>
  <c r="N136" i="1"/>
  <c r="M136" i="1"/>
  <c r="N135" i="1"/>
  <c r="Y135" i="1" s="1"/>
  <c r="M135" i="1"/>
  <c r="N134" i="1"/>
  <c r="M134" i="1"/>
  <c r="N133" i="1"/>
  <c r="DC133" i="1" s="1"/>
  <c r="M133" i="1"/>
  <c r="N132" i="1"/>
  <c r="CQ132" i="1" s="1"/>
  <c r="EE132" i="1" s="1"/>
  <c r="M132" i="1"/>
  <c r="CE131" i="1"/>
  <c r="CB131" i="1"/>
  <c r="CD131" i="1" s="1"/>
  <c r="BY131" i="1"/>
  <c r="CA131" i="1" s="1"/>
  <c r="BV131" i="1"/>
  <c r="BX131" i="1" s="1"/>
  <c r="BS131" i="1"/>
  <c r="BP131" i="1"/>
  <c r="BR131" i="1" s="1"/>
  <c r="BM131" i="1"/>
  <c r="BN131" i="1" s="1"/>
  <c r="BJ131" i="1"/>
  <c r="BL131" i="1" s="1"/>
  <c r="BG131" i="1"/>
  <c r="BD131" i="1"/>
  <c r="BF131" i="1" s="1"/>
  <c r="N130" i="1"/>
  <c r="AQ130" i="1" s="1"/>
  <c r="M130" i="1"/>
  <c r="N129" i="1"/>
  <c r="M129" i="1"/>
  <c r="N128" i="1"/>
  <c r="AQ128" i="1" s="1"/>
  <c r="M128" i="1"/>
  <c r="N127" i="1"/>
  <c r="O127" i="1" s="1"/>
  <c r="M127" i="1"/>
  <c r="N126" i="1"/>
  <c r="CW126" i="1" s="1"/>
  <c r="M126" i="1"/>
  <c r="N125" i="1"/>
  <c r="DC125" i="1" s="1"/>
  <c r="M125" i="1"/>
  <c r="N124" i="1"/>
  <c r="DI124" i="1" s="1"/>
  <c r="M124" i="1"/>
  <c r="N123" i="1"/>
  <c r="AB123" i="1" s="1"/>
  <c r="M123" i="1"/>
  <c r="N122" i="1"/>
  <c r="M122" i="1"/>
  <c r="N121" i="1"/>
  <c r="DI121" i="1" s="1"/>
  <c r="M121" i="1"/>
  <c r="N120" i="1"/>
  <c r="AK120" i="1" s="1"/>
  <c r="M120" i="1"/>
  <c r="N119" i="1"/>
  <c r="DI119" i="1" s="1"/>
  <c r="M119" i="1"/>
  <c r="CE118" i="1"/>
  <c r="CB118" i="1"/>
  <c r="CD118" i="1" s="1"/>
  <c r="BY118" i="1"/>
  <c r="CA118" i="1" s="1"/>
  <c r="BV118" i="1"/>
  <c r="BX118" i="1" s="1"/>
  <c r="BS118" i="1"/>
  <c r="BU118" i="1" s="1"/>
  <c r="BP118" i="1"/>
  <c r="BR118" i="1" s="1"/>
  <c r="BM118" i="1"/>
  <c r="BO118" i="1" s="1"/>
  <c r="BJ118" i="1"/>
  <c r="BL118" i="1" s="1"/>
  <c r="BG118" i="1"/>
  <c r="BD118" i="1"/>
  <c r="BF118" i="1" s="1"/>
  <c r="N117" i="1"/>
  <c r="M117" i="1"/>
  <c r="N116" i="1"/>
  <c r="AK116" i="1" s="1"/>
  <c r="M116" i="1"/>
  <c r="N115" i="1"/>
  <c r="AN115" i="1" s="1"/>
  <c r="M115" i="1"/>
  <c r="N114" i="1"/>
  <c r="M114" i="1"/>
  <c r="N113" i="1"/>
  <c r="AQ113" i="1" s="1"/>
  <c r="M113" i="1"/>
  <c r="N112" i="1"/>
  <c r="CZ112" i="1" s="1"/>
  <c r="DA112" i="1" s="1"/>
  <c r="DB112" i="1" s="1"/>
  <c r="DR112" i="1" s="1"/>
  <c r="M112" i="1"/>
  <c r="N111" i="1"/>
  <c r="DI111" i="1" s="1"/>
  <c r="M111" i="1"/>
  <c r="N110" i="1"/>
  <c r="AK110" i="1" s="1"/>
  <c r="M110" i="1"/>
  <c r="N109" i="1"/>
  <c r="CH109" i="1" s="1"/>
  <c r="CI109" i="1" s="1"/>
  <c r="CJ109" i="1" s="1"/>
  <c r="DL109" i="1" s="1"/>
  <c r="M109" i="1"/>
  <c r="N108" i="1"/>
  <c r="M108" i="1"/>
  <c r="N107" i="1"/>
  <c r="AN107" i="1" s="1"/>
  <c r="AO107" i="1" s="1"/>
  <c r="AP107" i="1" s="1"/>
  <c r="BB107" i="1" s="1"/>
  <c r="M107" i="1"/>
  <c r="N106" i="1"/>
  <c r="AB106" i="1" s="1"/>
  <c r="M106" i="1"/>
  <c r="CE105" i="1"/>
  <c r="CF105" i="1" s="1"/>
  <c r="CB105" i="1"/>
  <c r="CC105" i="1" s="1"/>
  <c r="BY105" i="1"/>
  <c r="BZ105" i="1" s="1"/>
  <c r="BV105" i="1"/>
  <c r="BS105" i="1"/>
  <c r="BU105" i="1" s="1"/>
  <c r="BP105" i="1"/>
  <c r="BR105" i="1" s="1"/>
  <c r="BM105" i="1"/>
  <c r="BJ105" i="1"/>
  <c r="BK105" i="1" s="1"/>
  <c r="BG105" i="1"/>
  <c r="BI105" i="1" s="1"/>
  <c r="BD105" i="1"/>
  <c r="BF105" i="1" s="1"/>
  <c r="N104" i="1"/>
  <c r="M104" i="1"/>
  <c r="N103" i="1"/>
  <c r="M103" i="1"/>
  <c r="N102" i="1"/>
  <c r="M102" i="1"/>
  <c r="N101" i="1"/>
  <c r="DI101" i="1" s="1"/>
  <c r="M101" i="1"/>
  <c r="N100" i="1"/>
  <c r="CW100" i="1" s="1"/>
  <c r="M100" i="1"/>
  <c r="N99" i="1"/>
  <c r="M99" i="1"/>
  <c r="N98" i="1"/>
  <c r="AQ98" i="1" s="1"/>
  <c r="M98" i="1"/>
  <c r="N97" i="1"/>
  <c r="M97" i="1"/>
  <c r="N96" i="1"/>
  <c r="M96" i="1"/>
  <c r="N95" i="1"/>
  <c r="CN95" i="1" s="1"/>
  <c r="M95" i="1"/>
  <c r="N94" i="1"/>
  <c r="M94" i="1"/>
  <c r="N93" i="1"/>
  <c r="M93" i="1"/>
  <c r="CE92" i="1"/>
  <c r="CB92" i="1"/>
  <c r="CD92" i="1" s="1"/>
  <c r="BY92" i="1"/>
  <c r="CA92" i="1" s="1"/>
  <c r="BV92" i="1"/>
  <c r="BS92" i="1"/>
  <c r="BP92" i="1"/>
  <c r="BQ92" i="1" s="1"/>
  <c r="BM92" i="1"/>
  <c r="BO92" i="1" s="1"/>
  <c r="BJ92" i="1"/>
  <c r="BL92" i="1" s="1"/>
  <c r="BG92" i="1"/>
  <c r="BD92" i="1"/>
  <c r="N91" i="1"/>
  <c r="M91" i="1"/>
  <c r="N90" i="1"/>
  <c r="CN90" i="1" s="1"/>
  <c r="M90" i="1"/>
  <c r="N89" i="1"/>
  <c r="CQ89" i="1" s="1"/>
  <c r="M89" i="1"/>
  <c r="N88" i="1"/>
  <c r="CT88" i="1" s="1"/>
  <c r="M88" i="1"/>
  <c r="N87" i="1"/>
  <c r="CW87" i="1" s="1"/>
  <c r="M87" i="1"/>
  <c r="N86" i="1"/>
  <c r="DF86" i="1" s="1"/>
  <c r="M86" i="1"/>
  <c r="N85" i="1"/>
  <c r="M85" i="1"/>
  <c r="N84" i="1"/>
  <c r="Y84" i="1" s="1"/>
  <c r="BM84" i="1" s="1"/>
  <c r="M84" i="1"/>
  <c r="N83" i="1"/>
  <c r="CK83" i="1" s="1"/>
  <c r="M83" i="1"/>
  <c r="N82" i="1"/>
  <c r="AB82" i="1" s="1"/>
  <c r="M82" i="1"/>
  <c r="N81" i="1"/>
  <c r="M81" i="1"/>
  <c r="N80" i="1"/>
  <c r="M80" i="1"/>
  <c r="CE79" i="1"/>
  <c r="CB79" i="1"/>
  <c r="BY79" i="1"/>
  <c r="CA79" i="1" s="1"/>
  <c r="BV79" i="1"/>
  <c r="BX79" i="1" s="1"/>
  <c r="BS79" i="1"/>
  <c r="BP79" i="1"/>
  <c r="BR79" i="1" s="1"/>
  <c r="BM79" i="1"/>
  <c r="BJ79" i="1"/>
  <c r="BG79" i="1"/>
  <c r="BH79" i="1" s="1"/>
  <c r="BD79" i="1"/>
  <c r="BF79" i="1" s="1"/>
  <c r="N78" i="1"/>
  <c r="DC78" i="1" s="1"/>
  <c r="DD78" i="1" s="1"/>
  <c r="DE78" i="1" s="1"/>
  <c r="DS78" i="1" s="1"/>
  <c r="M78" i="1"/>
  <c r="N77" i="1"/>
  <c r="P77" i="1" s="1"/>
  <c r="M77" i="1"/>
  <c r="N76" i="1"/>
  <c r="CZ76" i="1" s="1"/>
  <c r="M76" i="1"/>
  <c r="N75" i="1"/>
  <c r="V75" i="1" s="1"/>
  <c r="M75" i="1"/>
  <c r="N74" i="1"/>
  <c r="CN74" i="1" s="1"/>
  <c r="EB74" i="1" s="1"/>
  <c r="ED74" i="1" s="1"/>
  <c r="M74" i="1"/>
  <c r="N73" i="1"/>
  <c r="DC73" i="1" s="1"/>
  <c r="M73" i="1"/>
  <c r="N72" i="1"/>
  <c r="DI72" i="1" s="1"/>
  <c r="EW72" i="1" s="1"/>
  <c r="M72" i="1"/>
  <c r="N71" i="1"/>
  <c r="AN71" i="1" s="1"/>
  <c r="AO71" i="1" s="1"/>
  <c r="AP71" i="1" s="1"/>
  <c r="BB71" i="1" s="1"/>
  <c r="M71" i="1"/>
  <c r="N70" i="1"/>
  <c r="O70" i="1" s="1"/>
  <c r="M70" i="1"/>
  <c r="N69" i="1"/>
  <c r="DF69" i="1" s="1"/>
  <c r="DG69" i="1" s="1"/>
  <c r="DH69" i="1" s="1"/>
  <c r="DT69" i="1" s="1"/>
  <c r="M69" i="1"/>
  <c r="N68" i="1"/>
  <c r="DF68" i="1" s="1"/>
  <c r="M68" i="1"/>
  <c r="N67" i="1"/>
  <c r="AB67" i="1" s="1"/>
  <c r="M67" i="1"/>
  <c r="CE66" i="1"/>
  <c r="CG66" i="1" s="1"/>
  <c r="CB66" i="1"/>
  <c r="CC66" i="1" s="1"/>
  <c r="BY66" i="1"/>
  <c r="BV66" i="1"/>
  <c r="BX66" i="1" s="1"/>
  <c r="BS66" i="1"/>
  <c r="BU66" i="1" s="1"/>
  <c r="BP66" i="1"/>
  <c r="BQ66" i="1" s="1"/>
  <c r="BM66" i="1"/>
  <c r="BN66" i="1" s="1"/>
  <c r="BJ66" i="1"/>
  <c r="BL66" i="1" s="1"/>
  <c r="BG66" i="1"/>
  <c r="BI66" i="1" s="1"/>
  <c r="BD66" i="1"/>
  <c r="BE66" i="1" s="1"/>
  <c r="N65" i="1"/>
  <c r="DF65" i="1" s="1"/>
  <c r="M65" i="1"/>
  <c r="N64" i="1"/>
  <c r="DF64" i="1" s="1"/>
  <c r="DG64" i="1" s="1"/>
  <c r="DH64" i="1" s="1"/>
  <c r="DT64" i="1" s="1"/>
  <c r="M64" i="1"/>
  <c r="N63" i="1"/>
  <c r="M63" i="1"/>
  <c r="N62" i="1"/>
  <c r="AN62" i="1" s="1"/>
  <c r="M62" i="1"/>
  <c r="N61" i="1"/>
  <c r="P61" i="1" s="1"/>
  <c r="M61" i="1"/>
  <c r="N60" i="1"/>
  <c r="CW60" i="1" s="1"/>
  <c r="EK60" i="1" s="1"/>
  <c r="M60" i="1"/>
  <c r="N59" i="1"/>
  <c r="M59" i="1"/>
  <c r="N58" i="1"/>
  <c r="AQ58" i="1" s="1"/>
  <c r="M58" i="1"/>
  <c r="N57" i="1"/>
  <c r="DI57" i="1" s="1"/>
  <c r="M57" i="1"/>
  <c r="N56" i="1"/>
  <c r="CK56" i="1" s="1"/>
  <c r="M56" i="1"/>
  <c r="N55" i="1"/>
  <c r="M55" i="1"/>
  <c r="N54" i="1"/>
  <c r="CQ54" i="1" s="1"/>
  <c r="CR54" i="1" s="1"/>
  <c r="CS54" i="1" s="1"/>
  <c r="DO54" i="1" s="1"/>
  <c r="M54" i="1"/>
  <c r="CE53" i="1"/>
  <c r="CG53" i="1" s="1"/>
  <c r="CB53" i="1"/>
  <c r="CC53" i="1" s="1"/>
  <c r="BY53" i="1"/>
  <c r="BV53" i="1"/>
  <c r="BX53" i="1" s="1"/>
  <c r="BS53" i="1"/>
  <c r="BT53" i="1" s="1"/>
  <c r="BP53" i="1"/>
  <c r="BM53" i="1"/>
  <c r="BN53" i="1" s="1"/>
  <c r="BJ53" i="1"/>
  <c r="BL53" i="1" s="1"/>
  <c r="BG53" i="1"/>
  <c r="BI53" i="1" s="1"/>
  <c r="BD53" i="1"/>
  <c r="BE53" i="1" s="1"/>
  <c r="N52" i="1"/>
  <c r="DI52" i="1" s="1"/>
  <c r="EW52" i="1" s="1"/>
  <c r="EY52" i="1" s="1"/>
  <c r="M52" i="1"/>
  <c r="N51" i="1"/>
  <c r="DC51" i="1" s="1"/>
  <c r="DD51" i="1" s="1"/>
  <c r="DE51" i="1" s="1"/>
  <c r="DS51" i="1" s="1"/>
  <c r="M51" i="1"/>
  <c r="N50" i="1"/>
  <c r="P50" i="1" s="1"/>
  <c r="M50" i="1"/>
  <c r="N49" i="1"/>
  <c r="AE49" i="1" s="1"/>
  <c r="M49" i="1"/>
  <c r="N48" i="1"/>
  <c r="CZ48" i="1" s="1"/>
  <c r="M48" i="1"/>
  <c r="N47" i="1"/>
  <c r="CW47" i="1" s="1"/>
  <c r="M47" i="1"/>
  <c r="N46" i="1"/>
  <c r="M46" i="1"/>
  <c r="N45" i="1"/>
  <c r="DF45" i="1" s="1"/>
  <c r="ET45" i="1" s="1"/>
  <c r="EU45" i="1" s="1"/>
  <c r="M45" i="1"/>
  <c r="N44" i="1"/>
  <c r="DF44" i="1" s="1"/>
  <c r="M44" i="1"/>
  <c r="N43" i="1"/>
  <c r="CN43" i="1" s="1"/>
  <c r="M43" i="1"/>
  <c r="N42" i="1"/>
  <c r="CN42" i="1" s="1"/>
  <c r="M42" i="1"/>
  <c r="N41" i="1"/>
  <c r="DC41" i="1" s="1"/>
  <c r="M41" i="1"/>
  <c r="CE40" i="1"/>
  <c r="CB40" i="1"/>
  <c r="CD40" i="1" s="1"/>
  <c r="BY40" i="1"/>
  <c r="BV40" i="1"/>
  <c r="BW40" i="1" s="1"/>
  <c r="BS40" i="1"/>
  <c r="BU40" i="1" s="1"/>
  <c r="BP40" i="1"/>
  <c r="BR40" i="1" s="1"/>
  <c r="BM40" i="1"/>
  <c r="BJ40" i="1"/>
  <c r="BK40" i="1" s="1"/>
  <c r="BG40" i="1"/>
  <c r="BD40" i="1"/>
  <c r="BE40" i="1" s="1"/>
  <c r="N39" i="1"/>
  <c r="DC39" i="1" s="1"/>
  <c r="M39" i="1"/>
  <c r="N38" i="1"/>
  <c r="DI38" i="1" s="1"/>
  <c r="M38" i="1"/>
  <c r="N37" i="1"/>
  <c r="CK37" i="1" s="1"/>
  <c r="M37" i="1"/>
  <c r="N36" i="1"/>
  <c r="DF36" i="1" s="1"/>
  <c r="ET36" i="1" s="1"/>
  <c r="EU36" i="1" s="1"/>
  <c r="M36" i="1"/>
  <c r="N35" i="1"/>
  <c r="AE35" i="1" s="1"/>
  <c r="BS35" i="1" s="1"/>
  <c r="M35" i="1"/>
  <c r="N34" i="1"/>
  <c r="AQ34" i="1" s="1"/>
  <c r="M34" i="1"/>
  <c r="N33" i="1"/>
  <c r="DF33" i="1" s="1"/>
  <c r="DG33" i="1" s="1"/>
  <c r="DH33" i="1" s="1"/>
  <c r="DT33" i="1" s="1"/>
  <c r="M33" i="1"/>
  <c r="N32" i="1"/>
  <c r="AH32" i="1" s="1"/>
  <c r="BV32" i="1" s="1"/>
  <c r="BW32" i="1" s="1"/>
  <c r="M32" i="1"/>
  <c r="N31" i="1"/>
  <c r="DI31" i="1" s="1"/>
  <c r="M31" i="1"/>
  <c r="N30" i="1"/>
  <c r="DI30" i="1" s="1"/>
  <c r="M30" i="1"/>
  <c r="N29" i="1"/>
  <c r="DF29" i="1" s="1"/>
  <c r="M29" i="1"/>
  <c r="N28" i="1"/>
  <c r="CN28" i="1" s="1"/>
  <c r="M28" i="1"/>
  <c r="CE27" i="1"/>
  <c r="CG27" i="1" s="1"/>
  <c r="CB27" i="1"/>
  <c r="BY27" i="1"/>
  <c r="CA27" i="1" s="1"/>
  <c r="BV27" i="1"/>
  <c r="BX27" i="1" s="1"/>
  <c r="BS27" i="1"/>
  <c r="BT27" i="1" s="1"/>
  <c r="BP27" i="1"/>
  <c r="BR27" i="1" s="1"/>
  <c r="BM27" i="1"/>
  <c r="BO27" i="1" s="1"/>
  <c r="BJ27" i="1"/>
  <c r="BK27" i="1" s="1"/>
  <c r="BG27" i="1"/>
  <c r="BI27" i="1" s="1"/>
  <c r="BD27" i="1"/>
  <c r="BF27" i="1" s="1"/>
  <c r="N26" i="1"/>
  <c r="DI26" i="1" s="1"/>
  <c r="EW26" i="1" s="1"/>
  <c r="M26" i="1"/>
  <c r="N25" i="1"/>
  <c r="AH25" i="1" s="1"/>
  <c r="M25" i="1"/>
  <c r="N24" i="1"/>
  <c r="AB24" i="1" s="1"/>
  <c r="M24" i="1"/>
  <c r="N23" i="1"/>
  <c r="CZ23" i="1" s="1"/>
  <c r="M23" i="1"/>
  <c r="N22" i="1"/>
  <c r="Y22" i="1" s="1"/>
  <c r="M22" i="1"/>
  <c r="N21" i="1"/>
  <c r="DF21" i="1" s="1"/>
  <c r="DG21" i="1" s="1"/>
  <c r="DH21" i="1" s="1"/>
  <c r="DT21" i="1" s="1"/>
  <c r="M21" i="1"/>
  <c r="N20" i="1"/>
  <c r="O20" i="1" s="1"/>
  <c r="M20" i="1"/>
  <c r="N19" i="1"/>
  <c r="DF19" i="1" s="1"/>
  <c r="ET19" i="1" s="1"/>
  <c r="M19" i="1"/>
  <c r="N18" i="1"/>
  <c r="CZ18" i="1" s="1"/>
  <c r="EN18" i="1" s="1"/>
  <c r="M18" i="1"/>
  <c r="N17" i="1"/>
  <c r="O17" i="1" s="1"/>
  <c r="M17" i="1"/>
  <c r="N16" i="1"/>
  <c r="DF16" i="1" s="1"/>
  <c r="ET16" i="1" s="1"/>
  <c r="EU16" i="1" s="1"/>
  <c r="M16" i="1"/>
  <c r="N15" i="1"/>
  <c r="AQ15" i="1" s="1"/>
  <c r="M15" i="1"/>
  <c r="CE14" i="1"/>
  <c r="CF14" i="1" s="1"/>
  <c r="CB14" i="1"/>
  <c r="BY14" i="1"/>
  <c r="BZ14" i="1" s="1"/>
  <c r="BV14" i="1"/>
  <c r="BX14" i="1" s="1"/>
  <c r="BS14" i="1"/>
  <c r="BU14" i="1" s="1"/>
  <c r="BP14" i="1"/>
  <c r="BM14" i="1"/>
  <c r="BN14" i="1" s="1"/>
  <c r="BJ14" i="1"/>
  <c r="BL14" i="1" s="1"/>
  <c r="BG14" i="1"/>
  <c r="BH14" i="1" s="1"/>
  <c r="BD14" i="1"/>
  <c r="N13" i="1"/>
  <c r="AN13" i="1" s="1"/>
  <c r="CB13" i="1" s="1"/>
  <c r="CD13" i="1" s="1"/>
  <c r="M13" i="1"/>
  <c r="N12" i="1"/>
  <c r="O12" i="1" s="1"/>
  <c r="M12" i="1"/>
  <c r="N11" i="1"/>
  <c r="DF11" i="1" s="1"/>
  <c r="ET11" i="1" s="1"/>
  <c r="EU11" i="1" s="1"/>
  <c r="M11" i="1"/>
  <c r="N10" i="1"/>
  <c r="AE10" i="1" s="1"/>
  <c r="M10" i="1"/>
  <c r="N9" i="1"/>
  <c r="CQ9" i="1" s="1"/>
  <c r="M9" i="1"/>
  <c r="N8" i="1"/>
  <c r="V8" i="1" s="1"/>
  <c r="M8" i="1"/>
  <c r="N7" i="1"/>
  <c r="AQ7" i="1" s="1"/>
  <c r="AR7" i="1" s="1"/>
  <c r="AS7" i="1" s="1"/>
  <c r="BC7" i="1" s="1"/>
  <c r="M7" i="1"/>
  <c r="N6" i="1"/>
  <c r="M6" i="1"/>
  <c r="N5" i="1"/>
  <c r="M5" i="1"/>
  <c r="N4" i="1"/>
  <c r="AN4" i="1" s="1"/>
  <c r="AO4" i="1" s="1"/>
  <c r="AP4" i="1" s="1"/>
  <c r="BB4" i="1" s="1"/>
  <c r="M4" i="1"/>
  <c r="N3" i="1"/>
  <c r="DC3" i="1" s="1"/>
  <c r="N2" i="1"/>
  <c r="DI2" i="1" s="1"/>
  <c r="AQ11" i="1" l="1"/>
  <c r="CE11" i="1" s="1"/>
  <c r="AK186" i="1"/>
  <c r="AL186" i="1" s="1"/>
  <c r="AM186" i="1" s="1"/>
  <c r="BA186" i="1" s="1"/>
  <c r="EN299" i="1"/>
  <c r="EP299" i="1" s="1"/>
  <c r="DV301" i="1"/>
  <c r="DX301" i="1" s="1"/>
  <c r="CH160" i="1"/>
  <c r="S107" i="1"/>
  <c r="BG107" i="1" s="1"/>
  <c r="CH154" i="1"/>
  <c r="AH225" i="1"/>
  <c r="BV225" i="1" s="1"/>
  <c r="BW225" i="1" s="1"/>
  <c r="CU204" i="1"/>
  <c r="CV204" i="1" s="1"/>
  <c r="DP204" i="1" s="1"/>
  <c r="AK225" i="1"/>
  <c r="BY225" i="1" s="1"/>
  <c r="AK88" i="1"/>
  <c r="AL88" i="1" s="1"/>
  <c r="AM88" i="1" s="1"/>
  <c r="BA88" i="1" s="1"/>
  <c r="AN225" i="1"/>
  <c r="CB225" i="1" s="1"/>
  <c r="Y165" i="1"/>
  <c r="Z165" i="1" s="1"/>
  <c r="AA165" i="1" s="1"/>
  <c r="AW165" i="1" s="1"/>
  <c r="EH290" i="1"/>
  <c r="EI290" i="1" s="1"/>
  <c r="AB193" i="1"/>
  <c r="BP193" i="1" s="1"/>
  <c r="EK290" i="1"/>
  <c r="V113" i="1"/>
  <c r="EW302" i="1"/>
  <c r="EY302" i="1" s="1"/>
  <c r="Y4" i="1"/>
  <c r="Z4" i="1" s="1"/>
  <c r="AA4" i="1" s="1"/>
  <c r="AW4" i="1" s="1"/>
  <c r="CQ225" i="1"/>
  <c r="EE225" i="1" s="1"/>
  <c r="EG225" i="1" s="1"/>
  <c r="EQ297" i="1"/>
  <c r="ES297" i="1" s="1"/>
  <c r="EB280" i="1"/>
  <c r="ED280" i="1" s="1"/>
  <c r="DF140" i="1"/>
  <c r="DG140" i="1" s="1"/>
  <c r="DH140" i="1" s="1"/>
  <c r="DT140" i="1" s="1"/>
  <c r="EM294" i="1"/>
  <c r="DC177" i="1"/>
  <c r="EQ177" i="1" s="1"/>
  <c r="DC195" i="1"/>
  <c r="CK184" i="1"/>
  <c r="DY184" i="1" s="1"/>
  <c r="V76" i="1"/>
  <c r="BJ76" i="1" s="1"/>
  <c r="CN130" i="1"/>
  <c r="P225" i="1"/>
  <c r="Q225" i="1" s="1"/>
  <c r="R225" i="1" s="1"/>
  <c r="AT225" i="1" s="1"/>
  <c r="AB64" i="1"/>
  <c r="AC64" i="1" s="1"/>
  <c r="AD64" i="1" s="1"/>
  <c r="AX64" i="1" s="1"/>
  <c r="AK115" i="1"/>
  <c r="BY115" i="1" s="1"/>
  <c r="CZ160" i="1"/>
  <c r="EN160" i="1" s="1"/>
  <c r="EO160" i="1" s="1"/>
  <c r="AH165" i="1"/>
  <c r="AI165" i="1" s="1"/>
  <c r="AJ165" i="1" s="1"/>
  <c r="AZ165" i="1" s="1"/>
  <c r="V256" i="1"/>
  <c r="BJ256" i="1" s="1"/>
  <c r="BL256" i="1" s="1"/>
  <c r="S106" i="1"/>
  <c r="BG106" i="1" s="1"/>
  <c r="CH184" i="1"/>
  <c r="CI184" i="1" s="1"/>
  <c r="CJ184" i="1" s="1"/>
  <c r="DL184" i="1" s="1"/>
  <c r="CK206" i="1"/>
  <c r="AH256" i="1"/>
  <c r="BV256" i="1" s="1"/>
  <c r="EK276" i="1"/>
  <c r="EM276" i="1" s="1"/>
  <c r="EK278" i="1"/>
  <c r="EK296" i="1"/>
  <c r="EM296" i="1" s="1"/>
  <c r="CZ172" i="1"/>
  <c r="DA172" i="1" s="1"/>
  <c r="DB172" i="1" s="1"/>
  <c r="DR172" i="1" s="1"/>
  <c r="CN184" i="1"/>
  <c r="CO184" i="1" s="1"/>
  <c r="CP184" i="1" s="1"/>
  <c r="DN184" i="1" s="1"/>
  <c r="P194" i="1"/>
  <c r="BD194" i="1" s="1"/>
  <c r="BE194" i="1" s="1"/>
  <c r="EE290" i="1"/>
  <c r="EF290" i="1" s="1"/>
  <c r="CO304" i="1"/>
  <c r="CP304" i="1" s="1"/>
  <c r="DN304" i="1" s="1"/>
  <c r="P8" i="1"/>
  <c r="BD8" i="1" s="1"/>
  <c r="BE8" i="1" s="1"/>
  <c r="P47" i="1"/>
  <c r="Q47" i="1" s="1"/>
  <c r="R47" i="1" s="1"/>
  <c r="AT47" i="1" s="1"/>
  <c r="CF157" i="1"/>
  <c r="S194" i="1"/>
  <c r="BG194" i="1" s="1"/>
  <c r="BI194" i="1" s="1"/>
  <c r="S199" i="1"/>
  <c r="BG199" i="1" s="1"/>
  <c r="V245" i="1"/>
  <c r="BJ245" i="1" s="1"/>
  <c r="AH8" i="1"/>
  <c r="AI8" i="1" s="1"/>
  <c r="AJ8" i="1" s="1"/>
  <c r="AZ8" i="1" s="1"/>
  <c r="BL40" i="1"/>
  <c r="AQ47" i="1"/>
  <c r="AR47" i="1" s="1"/>
  <c r="AS47" i="1" s="1"/>
  <c r="BC47" i="1" s="1"/>
  <c r="AQ107" i="1"/>
  <c r="CE107" i="1" s="1"/>
  <c r="CG107" i="1" s="1"/>
  <c r="CW125" i="1"/>
  <c r="EK125" i="1" s="1"/>
  <c r="O167" i="1"/>
  <c r="V194" i="1"/>
  <c r="BJ194" i="1" s="1"/>
  <c r="BL194" i="1" s="1"/>
  <c r="DF199" i="1"/>
  <c r="ET199" i="1" s="1"/>
  <c r="EV199" i="1" s="1"/>
  <c r="V204" i="1"/>
  <c r="W204" i="1" s="1"/>
  <c r="X204" i="1" s="1"/>
  <c r="AV204" i="1" s="1"/>
  <c r="O223" i="1"/>
  <c r="CH245" i="1"/>
  <c r="CI245" i="1" s="1"/>
  <c r="CJ245" i="1" s="1"/>
  <c r="DL245" i="1" s="1"/>
  <c r="P4" i="1"/>
  <c r="Q4" i="1" s="1"/>
  <c r="R4" i="1" s="1"/>
  <c r="AT4" i="1" s="1"/>
  <c r="CH8" i="1"/>
  <c r="DV8" i="1" s="1"/>
  <c r="CW107" i="1"/>
  <c r="CX107" i="1" s="1"/>
  <c r="CY107" i="1" s="1"/>
  <c r="DQ107" i="1" s="1"/>
  <c r="V167" i="1"/>
  <c r="BJ167" i="1" s="1"/>
  <c r="BK167" i="1" s="1"/>
  <c r="AQ194" i="1"/>
  <c r="CE194" i="1" s="1"/>
  <c r="CG194" i="1" s="1"/>
  <c r="AH204" i="1"/>
  <c r="BV204" i="1" s="1"/>
  <c r="BX204" i="1" s="1"/>
  <c r="AN69" i="1"/>
  <c r="AO69" i="1" s="1"/>
  <c r="AP69" i="1" s="1"/>
  <c r="BB69" i="1" s="1"/>
  <c r="CW139" i="1"/>
  <c r="CX139" i="1" s="1"/>
  <c r="CY139" i="1" s="1"/>
  <c r="DQ139" i="1" s="1"/>
  <c r="AK204" i="1"/>
  <c r="BY204" i="1" s="1"/>
  <c r="CA204" i="1" s="1"/>
  <c r="CU278" i="1"/>
  <c r="CV278" i="1" s="1"/>
  <c r="DP278" i="1" s="1"/>
  <c r="BT40" i="1"/>
  <c r="AG40" i="1" s="1"/>
  <c r="AE195" i="1"/>
  <c r="BS195" i="1" s="1"/>
  <c r="BT195" i="1" s="1"/>
  <c r="Y236" i="1"/>
  <c r="CQ70" i="1"/>
  <c r="EE70" i="1" s="1"/>
  <c r="DC168" i="1"/>
  <c r="EQ168" i="1" s="1"/>
  <c r="ER168" i="1" s="1"/>
  <c r="CK195" i="1"/>
  <c r="CL195" i="1" s="1"/>
  <c r="CM195" i="1" s="1"/>
  <c r="DM195" i="1" s="1"/>
  <c r="AH201" i="1"/>
  <c r="CN212" i="1"/>
  <c r="EB212" i="1" s="1"/>
  <c r="Y242" i="1"/>
  <c r="BM242" i="1" s="1"/>
  <c r="CC118" i="1"/>
  <c r="AP118" i="1" s="1"/>
  <c r="O179" i="1"/>
  <c r="ET293" i="1"/>
  <c r="Y41" i="1"/>
  <c r="Z41" i="1" s="1"/>
  <c r="AA41" i="1" s="1"/>
  <c r="AW41" i="1" s="1"/>
  <c r="DC65" i="1"/>
  <c r="EQ65" i="1" s="1"/>
  <c r="ES65" i="1" s="1"/>
  <c r="V71" i="1"/>
  <c r="AB90" i="1"/>
  <c r="BP90" i="1" s="1"/>
  <c r="AQ127" i="1"/>
  <c r="CE127" i="1" s="1"/>
  <c r="CG127" i="1" s="1"/>
  <c r="V138" i="1"/>
  <c r="W138" i="1" s="1"/>
  <c r="X138" i="1" s="1"/>
  <c r="AV138" i="1" s="1"/>
  <c r="BW144" i="1"/>
  <c r="AJ144" i="1" s="1"/>
  <c r="Y147" i="1"/>
  <c r="Z147" i="1" s="1"/>
  <c r="AA147" i="1" s="1"/>
  <c r="AW147" i="1" s="1"/>
  <c r="DC152" i="1"/>
  <c r="DD152" i="1" s="1"/>
  <c r="DE152" i="1" s="1"/>
  <c r="DS152" i="1" s="1"/>
  <c r="AB171" i="1"/>
  <c r="BP171" i="1" s="1"/>
  <c r="DC179" i="1"/>
  <c r="EQ179" i="1" s="1"/>
  <c r="ES179" i="1" s="1"/>
  <c r="DI195" i="1"/>
  <c r="DJ195" i="1" s="1"/>
  <c r="DK195" i="1" s="1"/>
  <c r="DU195" i="1" s="1"/>
  <c r="AN204" i="1"/>
  <c r="AO204" i="1" s="1"/>
  <c r="AP204" i="1" s="1"/>
  <c r="BB204" i="1" s="1"/>
  <c r="DI225" i="1"/>
  <c r="DJ225" i="1" s="1"/>
  <c r="DK225" i="1" s="1"/>
  <c r="DU225" i="1" s="1"/>
  <c r="CZ242" i="1"/>
  <c r="EN242" i="1" s="1"/>
  <c r="CW246" i="1"/>
  <c r="EK246" i="1" s="1"/>
  <c r="DJ275" i="1"/>
  <c r="DK275" i="1" s="1"/>
  <c r="DU275" i="1" s="1"/>
  <c r="DG278" i="1"/>
  <c r="DH278" i="1" s="1"/>
  <c r="DT278" i="1" s="1"/>
  <c r="DI60" i="1"/>
  <c r="EW60" i="1" s="1"/>
  <c r="AN161" i="1"/>
  <c r="AO161" i="1" s="1"/>
  <c r="AP161" i="1" s="1"/>
  <c r="BB161" i="1" s="1"/>
  <c r="Y132" i="1"/>
  <c r="Z132" i="1" s="1"/>
  <c r="AA132" i="1" s="1"/>
  <c r="AW132" i="1" s="1"/>
  <c r="O264" i="1"/>
  <c r="Y71" i="1"/>
  <c r="Z71" i="1" s="1"/>
  <c r="AA71" i="1" s="1"/>
  <c r="AW71" i="1" s="1"/>
  <c r="AE90" i="1"/>
  <c r="AF90" i="1" s="1"/>
  <c r="AG90" i="1" s="1"/>
  <c r="AY90" i="1" s="1"/>
  <c r="DC138" i="1"/>
  <c r="EQ138" i="1" s="1"/>
  <c r="ES138" i="1" s="1"/>
  <c r="CT171" i="1"/>
  <c r="EH171" i="1" s="1"/>
  <c r="EJ171" i="1" s="1"/>
  <c r="EX275" i="1"/>
  <c r="S65" i="1"/>
  <c r="T65" i="1" s="1"/>
  <c r="U65" i="1" s="1"/>
  <c r="AU65" i="1" s="1"/>
  <c r="CW65" i="1"/>
  <c r="CX65" i="1" s="1"/>
  <c r="CY65" i="1" s="1"/>
  <c r="DQ65" i="1" s="1"/>
  <c r="CQ74" i="1"/>
  <c r="EE74" i="1" s="1"/>
  <c r="O90" i="1"/>
  <c r="P246" i="1"/>
  <c r="Q246" i="1" s="1"/>
  <c r="R246" i="1" s="1"/>
  <c r="AT246" i="1" s="1"/>
  <c r="AB41" i="1"/>
  <c r="BP41" i="1" s="1"/>
  <c r="CH22" i="1"/>
  <c r="CI22" i="1" s="1"/>
  <c r="CJ22" i="1" s="1"/>
  <c r="DL22" i="1" s="1"/>
  <c r="BU53" i="1"/>
  <c r="AG53" i="1" s="1"/>
  <c r="CB71" i="1"/>
  <c r="CZ90" i="1"/>
  <c r="DA90" i="1" s="1"/>
  <c r="DB90" i="1" s="1"/>
  <c r="DR90" i="1" s="1"/>
  <c r="BO131" i="1"/>
  <c r="AA131" i="1" s="1"/>
  <c r="DF171" i="1"/>
  <c r="DG171" i="1" s="1"/>
  <c r="DH171" i="1" s="1"/>
  <c r="DT171" i="1" s="1"/>
  <c r="DC204" i="1"/>
  <c r="DD204" i="1" s="1"/>
  <c r="DE204" i="1" s="1"/>
  <c r="DS204" i="1" s="1"/>
  <c r="CF248" i="1"/>
  <c r="V265" i="1"/>
  <c r="W265" i="1" s="1"/>
  <c r="X265" i="1" s="1"/>
  <c r="AV265" i="1" s="1"/>
  <c r="EF279" i="1"/>
  <c r="EN284" i="1"/>
  <c r="EP284" i="1" s="1"/>
  <c r="AN200" i="1"/>
  <c r="AO200" i="1" s="1"/>
  <c r="AP200" i="1" s="1"/>
  <c r="BB200" i="1" s="1"/>
  <c r="O45" i="1"/>
  <c r="AQ242" i="1"/>
  <c r="CE242" i="1" s="1"/>
  <c r="DC22" i="1"/>
  <c r="AB57" i="1"/>
  <c r="BP57" i="1" s="1"/>
  <c r="CN71" i="1"/>
  <c r="CO71" i="1" s="1"/>
  <c r="CP71" i="1" s="1"/>
  <c r="DN71" i="1" s="1"/>
  <c r="DC90" i="1"/>
  <c r="AB180" i="1"/>
  <c r="AC180" i="1" s="1"/>
  <c r="AD180" i="1" s="1"/>
  <c r="AX180" i="1" s="1"/>
  <c r="CH232" i="1"/>
  <c r="DV232" i="1" s="1"/>
  <c r="AK247" i="1"/>
  <c r="BY247" i="1" s="1"/>
  <c r="BZ247" i="1" s="1"/>
  <c r="EQ280" i="1"/>
  <c r="ER280" i="1" s="1"/>
  <c r="DJ281" i="1"/>
  <c r="DK281" i="1" s="1"/>
  <c r="DU281" i="1" s="1"/>
  <c r="AK74" i="1"/>
  <c r="BY74" i="1" s="1"/>
  <c r="CX285" i="1"/>
  <c r="CY285" i="1" s="1"/>
  <c r="DQ285" i="1" s="1"/>
  <c r="CT21" i="1"/>
  <c r="CU21" i="1" s="1"/>
  <c r="CV21" i="1" s="1"/>
  <c r="DP21" i="1" s="1"/>
  <c r="V127" i="1"/>
  <c r="BJ127" i="1" s="1"/>
  <c r="AE11" i="1"/>
  <c r="BS11" i="1" s="1"/>
  <c r="BU11" i="1" s="1"/>
  <c r="DF18" i="1"/>
  <c r="ET18" i="1" s="1"/>
  <c r="EV18" i="1" s="1"/>
  <c r="P42" i="1"/>
  <c r="BD42" i="1" s="1"/>
  <c r="O47" i="1"/>
  <c r="O76" i="1"/>
  <c r="P125" i="1"/>
  <c r="Q125" i="1" s="1"/>
  <c r="R125" i="1" s="1"/>
  <c r="AT125" i="1" s="1"/>
  <c r="S139" i="1"/>
  <c r="BG139" i="1" s="1"/>
  <c r="V160" i="1"/>
  <c r="BJ160" i="1" s="1"/>
  <c r="O177" i="1"/>
  <c r="AN194" i="1"/>
  <c r="AO194" i="1" s="1"/>
  <c r="AP194" i="1" s="1"/>
  <c r="BB194" i="1" s="1"/>
  <c r="Y202" i="1"/>
  <c r="Z202" i="1" s="1"/>
  <c r="AA202" i="1" s="1"/>
  <c r="AW202" i="1" s="1"/>
  <c r="AE224" i="1"/>
  <c r="BT105" i="1"/>
  <c r="AG105" i="1" s="1"/>
  <c r="Y47" i="1"/>
  <c r="Z47" i="1" s="1"/>
  <c r="AA47" i="1" s="1"/>
  <c r="AW47" i="1" s="1"/>
  <c r="CK52" i="1"/>
  <c r="DY52" i="1" s="1"/>
  <c r="EA52" i="1" s="1"/>
  <c r="CQ76" i="1"/>
  <c r="CR76" i="1" s="1"/>
  <c r="CS76" i="1" s="1"/>
  <c r="DO76" i="1" s="1"/>
  <c r="CN106" i="1"/>
  <c r="O115" i="1"/>
  <c r="DI125" i="1"/>
  <c r="DJ125" i="1" s="1"/>
  <c r="DK125" i="1" s="1"/>
  <c r="DU125" i="1" s="1"/>
  <c r="DI139" i="1"/>
  <c r="DJ139" i="1" s="1"/>
  <c r="DK139" i="1" s="1"/>
  <c r="DU139" i="1" s="1"/>
  <c r="AE145" i="1"/>
  <c r="AF145" i="1" s="1"/>
  <c r="AG145" i="1" s="1"/>
  <c r="AY145" i="1" s="1"/>
  <c r="CW160" i="1"/>
  <c r="CX160" i="1" s="1"/>
  <c r="CY160" i="1" s="1"/>
  <c r="DQ160" i="1" s="1"/>
  <c r="S168" i="1"/>
  <c r="T168" i="1" s="1"/>
  <c r="U168" i="1" s="1"/>
  <c r="AU168" i="1" s="1"/>
  <c r="AN199" i="1"/>
  <c r="BU209" i="1"/>
  <c r="AG209" i="1" s="1"/>
  <c r="V115" i="1"/>
  <c r="BJ115" i="1" s="1"/>
  <c r="DF145" i="1"/>
  <c r="ET145" i="1" s="1"/>
  <c r="EV145" i="1" s="1"/>
  <c r="AB168" i="1"/>
  <c r="BP168" i="1" s="1"/>
  <c r="O4" i="1"/>
  <c r="AE70" i="1"/>
  <c r="BS70" i="1" s="1"/>
  <c r="P84" i="1"/>
  <c r="BD84" i="1" s="1"/>
  <c r="BE84" i="1" s="1"/>
  <c r="AH89" i="1"/>
  <c r="BV89" i="1" s="1"/>
  <c r="BX89" i="1" s="1"/>
  <c r="AH115" i="1"/>
  <c r="BV115" i="1" s="1"/>
  <c r="BW115" i="1" s="1"/>
  <c r="AK130" i="1"/>
  <c r="BY130" i="1" s="1"/>
  <c r="CK168" i="1"/>
  <c r="DY168" i="1" s="1"/>
  <c r="EA168" i="1" s="1"/>
  <c r="DF178" i="1"/>
  <c r="ET178" i="1" s="1"/>
  <c r="S195" i="1"/>
  <c r="T195" i="1" s="1"/>
  <c r="U195" i="1" s="1"/>
  <c r="AU195" i="1" s="1"/>
  <c r="DF213" i="1"/>
  <c r="S236" i="1"/>
  <c r="T236" i="1" s="1"/>
  <c r="U236" i="1" s="1"/>
  <c r="AU236" i="1" s="1"/>
  <c r="CU284" i="1"/>
  <c r="CV284" i="1" s="1"/>
  <c r="DP284" i="1" s="1"/>
  <c r="DJ301" i="1"/>
  <c r="DK301" i="1" s="1"/>
  <c r="DU301" i="1" s="1"/>
  <c r="CX177" i="1"/>
  <c r="CY177" i="1" s="1"/>
  <c r="DQ177" i="1" s="1"/>
  <c r="EK177" i="1"/>
  <c r="EM177" i="1" s="1"/>
  <c r="AQ95" i="1"/>
  <c r="CE95" i="1" s="1"/>
  <c r="O100" i="1"/>
  <c r="Y120" i="1"/>
  <c r="BM120" i="1" s="1"/>
  <c r="Y127" i="1"/>
  <c r="Z127" i="1" s="1"/>
  <c r="AA127" i="1" s="1"/>
  <c r="AW127" i="1" s="1"/>
  <c r="S133" i="1"/>
  <c r="T133" i="1" s="1"/>
  <c r="U133" i="1" s="1"/>
  <c r="AU133" i="1" s="1"/>
  <c r="AH138" i="1"/>
  <c r="BV138" i="1" s="1"/>
  <c r="BX138" i="1" s="1"/>
  <c r="AN171" i="1"/>
  <c r="CQ177" i="1"/>
  <c r="EE177" i="1" s="1"/>
  <c r="BN183" i="1"/>
  <c r="AA183" i="1" s="1"/>
  <c r="DF187" i="1"/>
  <c r="DG187" i="1" s="1"/>
  <c r="DH187" i="1" s="1"/>
  <c r="DT187" i="1" s="1"/>
  <c r="AQ202" i="1"/>
  <c r="AR202" i="1" s="1"/>
  <c r="AS202" i="1" s="1"/>
  <c r="BC202" i="1" s="1"/>
  <c r="CN232" i="1"/>
  <c r="EB232" i="1" s="1"/>
  <c r="O244" i="1"/>
  <c r="Y246" i="1"/>
  <c r="BM246" i="1" s="1"/>
  <c r="BO246" i="1" s="1"/>
  <c r="CH257" i="1"/>
  <c r="CI257" i="1" s="1"/>
  <c r="CJ257" i="1" s="1"/>
  <c r="DL257" i="1" s="1"/>
  <c r="DF263" i="1"/>
  <c r="DG263" i="1" s="1"/>
  <c r="DH263" i="1" s="1"/>
  <c r="DT263" i="1" s="1"/>
  <c r="DD281" i="1"/>
  <c r="DE281" i="1" s="1"/>
  <c r="DS281" i="1" s="1"/>
  <c r="AN56" i="1"/>
  <c r="CB56" i="1" s="1"/>
  <c r="CD56" i="1" s="1"/>
  <c r="O73" i="1"/>
  <c r="Z84" i="1"/>
  <c r="AA84" i="1" s="1"/>
  <c r="AW84" i="1" s="1"/>
  <c r="AQ4" i="1"/>
  <c r="CE4" i="1" s="1"/>
  <c r="CF4" i="1" s="1"/>
  <c r="EV11" i="1"/>
  <c r="CN16" i="1"/>
  <c r="EB16" i="1" s="1"/>
  <c r="Y19" i="1"/>
  <c r="Z19" i="1" s="1"/>
  <c r="AA19" i="1" s="1"/>
  <c r="AW19" i="1" s="1"/>
  <c r="CQ47" i="1"/>
  <c r="EE47" i="1" s="1"/>
  <c r="EF47" i="1" s="1"/>
  <c r="O65" i="1"/>
  <c r="AN67" i="1"/>
  <c r="CB67" i="1" s="1"/>
  <c r="S73" i="1"/>
  <c r="BG73" i="1" s="1"/>
  <c r="AB84" i="1"/>
  <c r="V100" i="1"/>
  <c r="BJ100" i="1" s="1"/>
  <c r="BK100" i="1" s="1"/>
  <c r="AE127" i="1"/>
  <c r="BS127" i="1" s="1"/>
  <c r="BU127" i="1" s="1"/>
  <c r="CH138" i="1"/>
  <c r="DV138" i="1" s="1"/>
  <c r="BK144" i="1"/>
  <c r="X144" i="1" s="1"/>
  <c r="S145" i="1"/>
  <c r="O147" i="1"/>
  <c r="CN158" i="1"/>
  <c r="EB158" i="1" s="1"/>
  <c r="BL170" i="1"/>
  <c r="X170" i="1" s="1"/>
  <c r="AE194" i="1"/>
  <c r="AF194" i="1" s="1"/>
  <c r="AG194" i="1" s="1"/>
  <c r="AY194" i="1" s="1"/>
  <c r="CZ195" i="1"/>
  <c r="EN195" i="1" s="1"/>
  <c r="EP195" i="1" s="1"/>
  <c r="CN202" i="1"/>
  <c r="EB202" i="1" s="1"/>
  <c r="AB206" i="1"/>
  <c r="S224" i="1"/>
  <c r="T224" i="1" s="1"/>
  <c r="U224" i="1" s="1"/>
  <c r="AU224" i="1" s="1"/>
  <c r="AR225" i="1"/>
  <c r="AS225" i="1" s="1"/>
  <c r="BC225" i="1" s="1"/>
  <c r="CZ232" i="1"/>
  <c r="EN232" i="1" s="1"/>
  <c r="AK244" i="1"/>
  <c r="BY244" i="1" s="1"/>
  <c r="CA244" i="1" s="1"/>
  <c r="AK246" i="1"/>
  <c r="BY246" i="1" s="1"/>
  <c r="DI11" i="1"/>
  <c r="EW11" i="1" s="1"/>
  <c r="EY11" i="1" s="1"/>
  <c r="CQ19" i="1"/>
  <c r="EE19" i="1" s="1"/>
  <c r="EG19" i="1" s="1"/>
  <c r="P65" i="1"/>
  <c r="BD65" i="1" s="1"/>
  <c r="BF65" i="1" s="1"/>
  <c r="V73" i="1"/>
  <c r="BJ73" i="1" s="1"/>
  <c r="AK127" i="1"/>
  <c r="AL127" i="1" s="1"/>
  <c r="AM127" i="1" s="1"/>
  <c r="BA127" i="1" s="1"/>
  <c r="Y145" i="1"/>
  <c r="BM145" i="1" s="1"/>
  <c r="S147" i="1"/>
  <c r="T147" i="1" s="1"/>
  <c r="U147" i="1" s="1"/>
  <c r="AU147" i="1" s="1"/>
  <c r="CK204" i="1"/>
  <c r="AQ206" i="1"/>
  <c r="V224" i="1"/>
  <c r="BJ224" i="1" s="1"/>
  <c r="BL224" i="1" s="1"/>
  <c r="CK225" i="1"/>
  <c r="CL225" i="1" s="1"/>
  <c r="CM225" i="1" s="1"/>
  <c r="DM225" i="1" s="1"/>
  <c r="S242" i="1"/>
  <c r="T242" i="1" s="1"/>
  <c r="U242" i="1" s="1"/>
  <c r="AU242" i="1" s="1"/>
  <c r="CN244" i="1"/>
  <c r="CO244" i="1" s="1"/>
  <c r="CP244" i="1" s="1"/>
  <c r="DN244" i="1" s="1"/>
  <c r="AQ246" i="1"/>
  <c r="AR246" i="1" s="1"/>
  <c r="AS246" i="1" s="1"/>
  <c r="BC246" i="1" s="1"/>
  <c r="CR287" i="1"/>
  <c r="CS287" i="1" s="1"/>
  <c r="DO287" i="1" s="1"/>
  <c r="CI297" i="1"/>
  <c r="CJ297" i="1" s="1"/>
  <c r="DL297" i="1" s="1"/>
  <c r="AQ73" i="1"/>
  <c r="CE73" i="1" s="1"/>
  <c r="CG73" i="1" s="1"/>
  <c r="CK12" i="1"/>
  <c r="CL12" i="1" s="1"/>
  <c r="CM12" i="1" s="1"/>
  <c r="DM12" i="1" s="1"/>
  <c r="CZ17" i="1"/>
  <c r="EN17" i="1" s="1"/>
  <c r="AH37" i="1"/>
  <c r="BV37" i="1" s="1"/>
  <c r="AK41" i="1"/>
  <c r="BY41" i="1" s="1"/>
  <c r="BZ41" i="1" s="1"/>
  <c r="CN45" i="1"/>
  <c r="EB45" i="1" s="1"/>
  <c r="ED45" i="1" s="1"/>
  <c r="CT48" i="1"/>
  <c r="CU48" i="1" s="1"/>
  <c r="CV48" i="1" s="1"/>
  <c r="DP48" i="1" s="1"/>
  <c r="CF53" i="1"/>
  <c r="DF57" i="1"/>
  <c r="ET57" i="1" s="1"/>
  <c r="O62" i="1"/>
  <c r="V65" i="1"/>
  <c r="BJ65" i="1" s="1"/>
  <c r="BK65" i="1" s="1"/>
  <c r="AH71" i="1"/>
  <c r="BV71" i="1" s="1"/>
  <c r="Y76" i="1"/>
  <c r="BM76" i="1" s="1"/>
  <c r="CK84" i="1"/>
  <c r="DY84" i="1" s="1"/>
  <c r="EA84" i="1" s="1"/>
  <c r="CC92" i="1"/>
  <c r="AP92" i="1" s="1"/>
  <c r="V101" i="1"/>
  <c r="BJ101" i="1" s="1"/>
  <c r="DF106" i="1"/>
  <c r="ET106" i="1" s="1"/>
  <c r="AH113" i="1"/>
  <c r="AI113" i="1" s="1"/>
  <c r="AJ113" i="1" s="1"/>
  <c r="AZ113" i="1" s="1"/>
  <c r="P116" i="1"/>
  <c r="BD116" i="1" s="1"/>
  <c r="AB121" i="1"/>
  <c r="CQ127" i="1"/>
  <c r="EE127" i="1" s="1"/>
  <c r="EF127" i="1" s="1"/>
  <c r="DC130" i="1"/>
  <c r="EQ130" i="1" s="1"/>
  <c r="AH145" i="1"/>
  <c r="AI145" i="1" s="1"/>
  <c r="AJ145" i="1" s="1"/>
  <c r="AZ145" i="1" s="1"/>
  <c r="AE147" i="1"/>
  <c r="AF147" i="1" s="1"/>
  <c r="AG147" i="1" s="1"/>
  <c r="AY147" i="1" s="1"/>
  <c r="O151" i="1"/>
  <c r="CH161" i="1"/>
  <c r="DV161" i="1" s="1"/>
  <c r="AE176" i="1"/>
  <c r="BS176" i="1" s="1"/>
  <c r="CT194" i="1"/>
  <c r="EH194" i="1" s="1"/>
  <c r="P197" i="1"/>
  <c r="Q197" i="1" s="1"/>
  <c r="CK200" i="1"/>
  <c r="CL200" i="1" s="1"/>
  <c r="CM200" i="1" s="1"/>
  <c r="DM200" i="1" s="1"/>
  <c r="CN204" i="1"/>
  <c r="CO204" i="1" s="1"/>
  <c r="CP204" i="1" s="1"/>
  <c r="DN204" i="1" s="1"/>
  <c r="V215" i="1"/>
  <c r="P219" i="1"/>
  <c r="Q219" i="1" s="1"/>
  <c r="R219" i="1" s="1"/>
  <c r="AT219" i="1" s="1"/>
  <c r="CZ225" i="1"/>
  <c r="DA225" i="1" s="1"/>
  <c r="DB225" i="1" s="1"/>
  <c r="DR225" i="1" s="1"/>
  <c r="AQ239" i="1"/>
  <c r="AR239" i="1" s="1"/>
  <c r="AS239" i="1" s="1"/>
  <c r="BC239" i="1" s="1"/>
  <c r="AE242" i="1"/>
  <c r="BS242" i="1" s="1"/>
  <c r="DC246" i="1"/>
  <c r="DD246" i="1" s="1"/>
  <c r="DE246" i="1" s="1"/>
  <c r="DS246" i="1" s="1"/>
  <c r="P252" i="1"/>
  <c r="Q252" i="1" s="1"/>
  <c r="R252" i="1" s="1"/>
  <c r="AT252" i="1" s="1"/>
  <c r="DC264" i="1"/>
  <c r="EQ264" i="1" s="1"/>
  <c r="AB268" i="1"/>
  <c r="BP268" i="1" s="1"/>
  <c r="BR268" i="1" s="1"/>
  <c r="DV281" i="1"/>
  <c r="DX281" i="1" s="1"/>
  <c r="AH84" i="1"/>
  <c r="AI84" i="1" s="1"/>
  <c r="AJ84" i="1" s="1"/>
  <c r="AZ84" i="1" s="1"/>
  <c r="P10" i="1"/>
  <c r="Q10" i="1" s="1"/>
  <c r="R10" i="1" s="1"/>
  <c r="AT10" i="1" s="1"/>
  <c r="CN12" i="1"/>
  <c r="EB12" i="1" s="1"/>
  <c r="BW14" i="1"/>
  <c r="AJ14" i="1" s="1"/>
  <c r="DC17" i="1"/>
  <c r="EQ17" i="1" s="1"/>
  <c r="ER17" i="1" s="1"/>
  <c r="CN37" i="1"/>
  <c r="CO37" i="1" s="1"/>
  <c r="CP37" i="1" s="1"/>
  <c r="DN37" i="1" s="1"/>
  <c r="DC48" i="1"/>
  <c r="EQ48" i="1" s="1"/>
  <c r="CW62" i="1"/>
  <c r="EK62" i="1" s="1"/>
  <c r="AB65" i="1"/>
  <c r="BP65" i="1" s="1"/>
  <c r="BR65" i="1" s="1"/>
  <c r="CW84" i="1"/>
  <c r="EK84" i="1" s="1"/>
  <c r="AK101" i="1"/>
  <c r="AL101" i="1" s="1"/>
  <c r="AM101" i="1" s="1"/>
  <c r="BA101" i="1" s="1"/>
  <c r="CW127" i="1"/>
  <c r="EK127" i="1" s="1"/>
  <c r="EM127" i="1" s="1"/>
  <c r="CQ145" i="1"/>
  <c r="CR145" i="1" s="1"/>
  <c r="CS145" i="1" s="1"/>
  <c r="DO145" i="1" s="1"/>
  <c r="AK147" i="1"/>
  <c r="BY147" i="1" s="1"/>
  <c r="AE151" i="1"/>
  <c r="AH176" i="1"/>
  <c r="BV176" i="1" s="1"/>
  <c r="BW176" i="1" s="1"/>
  <c r="AB197" i="1"/>
  <c r="BP197" i="1" s="1"/>
  <c r="BR197" i="1" s="1"/>
  <c r="CN239" i="1"/>
  <c r="EB239" i="1" s="1"/>
  <c r="ED239" i="1" s="1"/>
  <c r="AH242" i="1"/>
  <c r="BV242" i="1" s="1"/>
  <c r="Y252" i="1"/>
  <c r="BM252" i="1" s="1"/>
  <c r="EE282" i="1"/>
  <c r="EG282" i="1" s="1"/>
  <c r="DI12" i="1"/>
  <c r="DJ12" i="1" s="1"/>
  <c r="DK12" i="1" s="1"/>
  <c r="DU12" i="1" s="1"/>
  <c r="CF27" i="1"/>
  <c r="AS27" i="1" s="1"/>
  <c r="AN65" i="1"/>
  <c r="CB65" i="1" s="1"/>
  <c r="CD65" i="1" s="1"/>
  <c r="O69" i="1"/>
  <c r="CK71" i="1"/>
  <c r="CL71" i="1" s="1"/>
  <c r="CM71" i="1" s="1"/>
  <c r="DM71" i="1" s="1"/>
  <c r="BW79" i="1"/>
  <c r="AJ79" i="1" s="1"/>
  <c r="DI84" i="1"/>
  <c r="EW84" i="1" s="1"/>
  <c r="CZ127" i="1"/>
  <c r="EN127" i="1" s="1"/>
  <c r="V132" i="1"/>
  <c r="BJ132" i="1" s="1"/>
  <c r="P139" i="1"/>
  <c r="BD139" i="1" s="1"/>
  <c r="CT145" i="1"/>
  <c r="EH145" i="1" s="1"/>
  <c r="CK147" i="1"/>
  <c r="DY147" i="1" s="1"/>
  <c r="DZ147" i="1" s="1"/>
  <c r="DF154" i="1"/>
  <c r="DG154" i="1" s="1"/>
  <c r="DH154" i="1" s="1"/>
  <c r="DT154" i="1" s="1"/>
  <c r="O160" i="1"/>
  <c r="AN176" i="1"/>
  <c r="AO176" i="1" s="1"/>
  <c r="AP176" i="1" s="1"/>
  <c r="BB176" i="1" s="1"/>
  <c r="V178" i="1"/>
  <c r="V186" i="1"/>
  <c r="W186" i="1" s="1"/>
  <c r="X186" i="1" s="1"/>
  <c r="AV186" i="1" s="1"/>
  <c r="CZ204" i="1"/>
  <c r="AB252" i="1"/>
  <c r="AC252" i="1" s="1"/>
  <c r="AD252" i="1" s="1"/>
  <c r="AX252" i="1" s="1"/>
  <c r="EK284" i="1"/>
  <c r="EM284" i="1" s="1"/>
  <c r="AH151" i="1"/>
  <c r="BV151" i="1" s="1"/>
  <c r="CQ176" i="1"/>
  <c r="EE176" i="1" s="1"/>
  <c r="AE252" i="1"/>
  <c r="BS252" i="1" s="1"/>
  <c r="P11" i="1"/>
  <c r="BD11" i="1" s="1"/>
  <c r="BE11" i="1" s="1"/>
  <c r="AH18" i="1"/>
  <c r="CW38" i="1"/>
  <c r="EK38" i="1" s="1"/>
  <c r="EM38" i="1" s="1"/>
  <c r="AE42" i="1"/>
  <c r="BS42" i="1" s="1"/>
  <c r="CN65" i="1"/>
  <c r="EB65" i="1" s="1"/>
  <c r="BZ79" i="1"/>
  <c r="AM79" i="1" s="1"/>
  <c r="P111" i="1"/>
  <c r="BD111" i="1" s="1"/>
  <c r="AB132" i="1"/>
  <c r="Y139" i="1"/>
  <c r="Z139" i="1" s="1"/>
  <c r="AA139" i="1" s="1"/>
  <c r="AW139" i="1" s="1"/>
  <c r="DI145" i="1"/>
  <c r="DJ145" i="1" s="1"/>
  <c r="DK145" i="1" s="1"/>
  <c r="DU145" i="1" s="1"/>
  <c r="CW151" i="1"/>
  <c r="CX151" i="1" s="1"/>
  <c r="CY151" i="1" s="1"/>
  <c r="DQ151" i="1" s="1"/>
  <c r="AK160" i="1"/>
  <c r="BY160" i="1" s="1"/>
  <c r="DC176" i="1"/>
  <c r="EQ176" i="1" s="1"/>
  <c r="CN186" i="1"/>
  <c r="AK190" i="1"/>
  <c r="BY190" i="1" s="1"/>
  <c r="Y195" i="1"/>
  <c r="Z195" i="1" s="1"/>
  <c r="AA195" i="1" s="1"/>
  <c r="AW195" i="1" s="1"/>
  <c r="DF204" i="1"/>
  <c r="CF209" i="1"/>
  <c r="AS209" i="1" s="1"/>
  <c r="O213" i="1"/>
  <c r="V216" i="1"/>
  <c r="BJ216" i="1" s="1"/>
  <c r="BL216" i="1" s="1"/>
  <c r="V225" i="1"/>
  <c r="BJ225" i="1" s="1"/>
  <c r="V226" i="1"/>
  <c r="BJ226" i="1" s="1"/>
  <c r="AE236" i="1"/>
  <c r="AF236" i="1" s="1"/>
  <c r="AG236" i="1" s="1"/>
  <c r="AY236" i="1" s="1"/>
  <c r="AB240" i="1"/>
  <c r="BP240" i="1" s="1"/>
  <c r="BR240" i="1" s="1"/>
  <c r="CQ252" i="1"/>
  <c r="CR252" i="1" s="1"/>
  <c r="CS252" i="1" s="1"/>
  <c r="DO252" i="1" s="1"/>
  <c r="AQ256" i="1"/>
  <c r="Y265" i="1"/>
  <c r="ET285" i="1"/>
  <c r="EV285" i="1" s="1"/>
  <c r="EH286" i="1"/>
  <c r="EI286" i="1" s="1"/>
  <c r="DA292" i="1"/>
  <c r="DB292" i="1" s="1"/>
  <c r="DR292" i="1" s="1"/>
  <c r="DA295" i="1"/>
  <c r="DB295" i="1" s="1"/>
  <c r="DR295" i="1" s="1"/>
  <c r="BI14" i="1"/>
  <c r="U14" i="1" s="1"/>
  <c r="AQ35" i="1"/>
  <c r="CE35" i="1" s="1"/>
  <c r="AQ65" i="1"/>
  <c r="CE65" i="1" s="1"/>
  <c r="V11" i="1"/>
  <c r="BJ11" i="1" s="1"/>
  <c r="DC18" i="1"/>
  <c r="EQ18" i="1" s="1"/>
  <c r="ER18" i="1" s="1"/>
  <c r="DC38" i="1"/>
  <c r="EQ38" i="1" s="1"/>
  <c r="CQ65" i="1"/>
  <c r="BK92" i="1"/>
  <c r="AE111" i="1"/>
  <c r="AF111" i="1" s="1"/>
  <c r="AG111" i="1" s="1"/>
  <c r="AY111" i="1" s="1"/>
  <c r="AR160" i="1"/>
  <c r="AS160" i="1" s="1"/>
  <c r="BC160" i="1" s="1"/>
  <c r="AH184" i="1"/>
  <c r="BV184" i="1" s="1"/>
  <c r="CQ186" i="1"/>
  <c r="CR186" i="1" s="1"/>
  <c r="CS186" i="1" s="1"/>
  <c r="DO186" i="1" s="1"/>
  <c r="O194" i="1"/>
  <c r="AB195" i="1"/>
  <c r="Y204" i="1"/>
  <c r="Z204" i="1" s="1"/>
  <c r="AA204" i="1" s="1"/>
  <c r="AW204" i="1" s="1"/>
  <c r="AE213" i="1"/>
  <c r="AF213" i="1" s="1"/>
  <c r="AG213" i="1" s="1"/>
  <c r="AY213" i="1" s="1"/>
  <c r="Y225" i="1"/>
  <c r="Z225" i="1" s="1"/>
  <c r="AA225" i="1" s="1"/>
  <c r="AW225" i="1" s="1"/>
  <c r="Y226" i="1"/>
  <c r="BM226" i="1" s="1"/>
  <c r="AQ236" i="1"/>
  <c r="EW252" i="1"/>
  <c r="EY252" i="1" s="1"/>
  <c r="Y270" i="1"/>
  <c r="BM270" i="1" s="1"/>
  <c r="CX281" i="1"/>
  <c r="CY281" i="1" s="1"/>
  <c r="DQ281" i="1" s="1"/>
  <c r="EQ288" i="1"/>
  <c r="ER288" i="1" s="1"/>
  <c r="CT111" i="1"/>
  <c r="ET288" i="1"/>
  <c r="EV288" i="1" s="1"/>
  <c r="EW241" i="1"/>
  <c r="EX241" i="1" s="1"/>
  <c r="DJ241" i="1"/>
  <c r="DK241" i="1" s="1"/>
  <c r="DU241" i="1" s="1"/>
  <c r="CE113" i="1"/>
  <c r="AR113" i="1"/>
  <c r="AS113" i="1" s="1"/>
  <c r="BC113" i="1" s="1"/>
  <c r="EX239" i="1"/>
  <c r="EY239" i="1"/>
  <c r="O173" i="1"/>
  <c r="AQ173" i="1"/>
  <c r="CE173" i="1" s="1"/>
  <c r="AN173" i="1"/>
  <c r="CB173" i="1" s="1"/>
  <c r="Y173" i="1"/>
  <c r="Z173" i="1" s="1"/>
  <c r="AA173" i="1" s="1"/>
  <c r="AW173" i="1" s="1"/>
  <c r="P173" i="1"/>
  <c r="DC214" i="1"/>
  <c r="AK214" i="1"/>
  <c r="BY214" i="1" s="1"/>
  <c r="AE228" i="1"/>
  <c r="BS228" i="1" s="1"/>
  <c r="BU228" i="1" s="1"/>
  <c r="DC228" i="1"/>
  <c r="DD228" i="1" s="1"/>
  <c r="DE228" i="1" s="1"/>
  <c r="DS228" i="1" s="1"/>
  <c r="AB228" i="1"/>
  <c r="BP228" i="1" s="1"/>
  <c r="BU235" i="1"/>
  <c r="BT235" i="1"/>
  <c r="CZ241" i="1"/>
  <c r="DA241" i="1" s="1"/>
  <c r="DB241" i="1" s="1"/>
  <c r="DR241" i="1" s="1"/>
  <c r="CQ255" i="1"/>
  <c r="CR255" i="1" s="1"/>
  <c r="CS255" i="1" s="1"/>
  <c r="DO255" i="1" s="1"/>
  <c r="AN255" i="1"/>
  <c r="AB255" i="1"/>
  <c r="AC255" i="1" s="1"/>
  <c r="AD255" i="1" s="1"/>
  <c r="AX255" i="1" s="1"/>
  <c r="EM278" i="1"/>
  <c r="EL278" i="1"/>
  <c r="EW287" i="1"/>
  <c r="EX287" i="1" s="1"/>
  <c r="DJ287" i="1"/>
  <c r="DK287" i="1" s="1"/>
  <c r="DU287" i="1" s="1"/>
  <c r="EW288" i="1"/>
  <c r="EY288" i="1" s="1"/>
  <c r="DJ288" i="1"/>
  <c r="DK288" i="1" s="1"/>
  <c r="DU288" i="1" s="1"/>
  <c r="DD290" i="1"/>
  <c r="DE290" i="1" s="1"/>
  <c r="DS290" i="1" s="1"/>
  <c r="EQ290" i="1"/>
  <c r="CI300" i="1"/>
  <c r="CJ300" i="1" s="1"/>
  <c r="DL300" i="1" s="1"/>
  <c r="DV300" i="1"/>
  <c r="DX300" i="1" s="1"/>
  <c r="DI103" i="1"/>
  <c r="AQ103" i="1"/>
  <c r="CE103" i="1" s="1"/>
  <c r="AK182" i="1"/>
  <c r="AL182" i="1" s="1"/>
  <c r="AM182" i="1" s="1"/>
  <c r="BA182" i="1" s="1"/>
  <c r="Y182" i="1"/>
  <c r="BM182" i="1" s="1"/>
  <c r="BO182" i="1" s="1"/>
  <c r="P25" i="1"/>
  <c r="BD25" i="1" s="1"/>
  <c r="CQ33" i="1"/>
  <c r="EE33" i="1" s="1"/>
  <c r="EF33" i="1" s="1"/>
  <c r="V7" i="1"/>
  <c r="AB8" i="1"/>
  <c r="BP8" i="1" s="1"/>
  <c r="BQ8" i="1" s="1"/>
  <c r="S10" i="1"/>
  <c r="CK11" i="1"/>
  <c r="O16" i="1"/>
  <c r="EV16" i="1"/>
  <c r="CZ19" i="1"/>
  <c r="EN19" i="1" s="1"/>
  <c r="EP19" i="1" s="1"/>
  <c r="DI21" i="1"/>
  <c r="DJ21" i="1" s="1"/>
  <c r="DK21" i="1" s="1"/>
  <c r="DU21" i="1" s="1"/>
  <c r="Y23" i="1"/>
  <c r="BM23" i="1" s="1"/>
  <c r="BN23" i="1" s="1"/>
  <c r="S25" i="1"/>
  <c r="T25" i="1" s="1"/>
  <c r="U25" i="1" s="1"/>
  <c r="AU25" i="1" s="1"/>
  <c r="CT30" i="1"/>
  <c r="EH30" i="1" s="1"/>
  <c r="EJ30" i="1" s="1"/>
  <c r="AB32" i="1"/>
  <c r="CW33" i="1"/>
  <c r="EK33" i="1" s="1"/>
  <c r="EM33" i="1" s="1"/>
  <c r="AN41" i="1"/>
  <c r="CB41" i="1" s="1"/>
  <c r="DF42" i="1"/>
  <c r="DG42" i="1" s="1"/>
  <c r="DH42" i="1" s="1"/>
  <c r="DT42" i="1" s="1"/>
  <c r="Y45" i="1"/>
  <c r="CZ45" i="1"/>
  <c r="DA45" i="1" s="1"/>
  <c r="DB45" i="1" s="1"/>
  <c r="DR45" i="1" s="1"/>
  <c r="O49" i="1"/>
  <c r="AB51" i="1"/>
  <c r="BP51" i="1" s="1"/>
  <c r="BQ51" i="1" s="1"/>
  <c r="BH53" i="1"/>
  <c r="U53" i="1" s="1"/>
  <c r="O60" i="1"/>
  <c r="S61" i="1"/>
  <c r="BG61" i="1" s="1"/>
  <c r="BI61" i="1" s="1"/>
  <c r="S62" i="1"/>
  <c r="BG62" i="1" s="1"/>
  <c r="BW66" i="1"/>
  <c r="AJ66" i="1" s="1"/>
  <c r="V68" i="1"/>
  <c r="W68" i="1" s="1"/>
  <c r="X68" i="1" s="1"/>
  <c r="AV68" i="1" s="1"/>
  <c r="CQ69" i="1"/>
  <c r="CR69" i="1" s="1"/>
  <c r="CS69" i="1" s="1"/>
  <c r="DO69" i="1" s="1"/>
  <c r="EQ78" i="1"/>
  <c r="ER78" i="1" s="1"/>
  <c r="CD79" i="1"/>
  <c r="CC79" i="1"/>
  <c r="Y100" i="1"/>
  <c r="Z100" i="1" s="1"/>
  <c r="AA100" i="1" s="1"/>
  <c r="AW100" i="1" s="1"/>
  <c r="CN103" i="1"/>
  <c r="CO103" i="1" s="1"/>
  <c r="CP103" i="1" s="1"/>
  <c r="DN103" i="1" s="1"/>
  <c r="BL105" i="1"/>
  <c r="X105" i="1" s="1"/>
  <c r="AK113" i="1"/>
  <c r="AL113" i="1" s="1"/>
  <c r="AM113" i="1" s="1"/>
  <c r="BA113" i="1" s="1"/>
  <c r="DF123" i="1"/>
  <c r="DG123" i="1" s="1"/>
  <c r="DH123" i="1" s="1"/>
  <c r="DT123" i="1" s="1"/>
  <c r="AE123" i="1"/>
  <c r="BS123" i="1" s="1"/>
  <c r="P123" i="1"/>
  <c r="BD123" i="1" s="1"/>
  <c r="DF168" i="1"/>
  <c r="DG168" i="1" s="1"/>
  <c r="DH168" i="1" s="1"/>
  <c r="DT168" i="1" s="1"/>
  <c r="AQ168" i="1"/>
  <c r="CZ168" i="1"/>
  <c r="EN168" i="1" s="1"/>
  <c r="S173" i="1"/>
  <c r="BG173" i="1" s="1"/>
  <c r="BH183" i="1"/>
  <c r="U183" i="1" s="1"/>
  <c r="DF201" i="1"/>
  <c r="DG201" i="1" s="1"/>
  <c r="DH201" i="1" s="1"/>
  <c r="DT201" i="1" s="1"/>
  <c r="P201" i="1"/>
  <c r="BD201" i="1" s="1"/>
  <c r="O201" i="1"/>
  <c r="AN205" i="1"/>
  <c r="CB205" i="1" s="1"/>
  <c r="CD205" i="1" s="1"/>
  <c r="AK213" i="1"/>
  <c r="BY213" i="1" s="1"/>
  <c r="BZ213" i="1" s="1"/>
  <c r="Y213" i="1"/>
  <c r="V213" i="1"/>
  <c r="W213" i="1" s="1"/>
  <c r="X213" i="1" s="1"/>
  <c r="AV213" i="1" s="1"/>
  <c r="DC213" i="1"/>
  <c r="DD213" i="1" s="1"/>
  <c r="DE213" i="1" s="1"/>
  <c r="DS213" i="1" s="1"/>
  <c r="S213" i="1"/>
  <c r="CN213" i="1"/>
  <c r="P214" i="1"/>
  <c r="Q214" i="1" s="1"/>
  <c r="R214" i="1" s="1"/>
  <c r="AT214" i="1" s="1"/>
  <c r="CZ216" i="1"/>
  <c r="AK216" i="1"/>
  <c r="Y216" i="1"/>
  <c r="O216" i="1"/>
  <c r="DC216" i="1"/>
  <c r="CW216" i="1"/>
  <c r="EK216" i="1" s="1"/>
  <c r="AE218" i="1"/>
  <c r="AF218" i="1" s="1"/>
  <c r="AG218" i="1" s="1"/>
  <c r="AY218" i="1" s="1"/>
  <c r="CZ239" i="1"/>
  <c r="EN239" i="1" s="1"/>
  <c r="EP239" i="1" s="1"/>
  <c r="S243" i="1"/>
  <c r="T243" i="1" s="1"/>
  <c r="U243" i="1" s="1"/>
  <c r="AU243" i="1" s="1"/>
  <c r="DF255" i="1"/>
  <c r="CW259" i="1"/>
  <c r="CX259" i="1" s="1"/>
  <c r="CY259" i="1" s="1"/>
  <c r="DQ259" i="1" s="1"/>
  <c r="CT259" i="1"/>
  <c r="EH259" i="1" s="1"/>
  <c r="EK275" i="1"/>
  <c r="EL275" i="1" s="1"/>
  <c r="CX275" i="1"/>
  <c r="CY275" i="1" s="1"/>
  <c r="DQ275" i="1" s="1"/>
  <c r="DY278" i="1"/>
  <c r="EA278" i="1" s="1"/>
  <c r="CL278" i="1"/>
  <c r="CM278" i="1" s="1"/>
  <c r="DM278" i="1" s="1"/>
  <c r="ET290" i="1"/>
  <c r="EV290" i="1" s="1"/>
  <c r="DG290" i="1"/>
  <c r="DH290" i="1" s="1"/>
  <c r="DT290" i="1" s="1"/>
  <c r="EN293" i="1"/>
  <c r="EP293" i="1" s="1"/>
  <c r="DA293" i="1"/>
  <c r="DB293" i="1" s="1"/>
  <c r="DR293" i="1" s="1"/>
  <c r="CR296" i="1"/>
  <c r="CS296" i="1" s="1"/>
  <c r="DO296" i="1" s="1"/>
  <c r="EE296" i="1"/>
  <c r="EG296" i="1" s="1"/>
  <c r="CO299" i="1"/>
  <c r="CP299" i="1" s="1"/>
  <c r="DN299" i="1" s="1"/>
  <c r="EB299" i="1"/>
  <c r="ED299" i="1" s="1"/>
  <c r="DW302" i="1"/>
  <c r="DX302" i="1"/>
  <c r="S32" i="1"/>
  <c r="T32" i="1" s="1"/>
  <c r="U32" i="1" s="1"/>
  <c r="AU32" i="1" s="1"/>
  <c r="CG105" i="1"/>
  <c r="AS105" i="1" s="1"/>
  <c r="AE4" i="1"/>
  <c r="BS4" i="1" s="1"/>
  <c r="BT4" i="1" s="1"/>
  <c r="AE8" i="1"/>
  <c r="AF8" i="1" s="1"/>
  <c r="AG8" i="1" s="1"/>
  <c r="AY8" i="1" s="1"/>
  <c r="CH10" i="1"/>
  <c r="CI10" i="1" s="1"/>
  <c r="CJ10" i="1" s="1"/>
  <c r="DL10" i="1" s="1"/>
  <c r="CN11" i="1"/>
  <c r="EB11" i="1" s="1"/>
  <c r="P16" i="1"/>
  <c r="Q16" i="1" s="1"/>
  <c r="R16" i="1" s="1"/>
  <c r="AT16" i="1" s="1"/>
  <c r="AE18" i="1"/>
  <c r="AF18" i="1" s="1"/>
  <c r="AG18" i="1" s="1"/>
  <c r="AY18" i="1" s="1"/>
  <c r="AQ23" i="1"/>
  <c r="V25" i="1"/>
  <c r="W25" i="1" s="1"/>
  <c r="X25" i="1" s="1"/>
  <c r="AV25" i="1" s="1"/>
  <c r="BE27" i="1"/>
  <c r="R27" i="1" s="1"/>
  <c r="AB37" i="1"/>
  <c r="BP37" i="1" s="1"/>
  <c r="BR37" i="1" s="1"/>
  <c r="AQ41" i="1"/>
  <c r="AR41" i="1" s="1"/>
  <c r="AS41" i="1" s="1"/>
  <c r="BC41" i="1" s="1"/>
  <c r="AB45" i="1"/>
  <c r="DC45" i="1"/>
  <c r="DD45" i="1" s="1"/>
  <c r="DE45" i="1" s="1"/>
  <c r="DS45" i="1" s="1"/>
  <c r="DI47" i="1"/>
  <c r="S49" i="1"/>
  <c r="T49" i="1" s="1"/>
  <c r="U49" i="1" s="1"/>
  <c r="AU49" i="1" s="1"/>
  <c r="AK51" i="1"/>
  <c r="BY51" i="1" s="1"/>
  <c r="CA51" i="1" s="1"/>
  <c r="P57" i="1"/>
  <c r="BD57" i="1" s="1"/>
  <c r="BE57" i="1" s="1"/>
  <c r="S60" i="1"/>
  <c r="BG60" i="1" s="1"/>
  <c r="BH60" i="1" s="1"/>
  <c r="Y61" i="1"/>
  <c r="Z61" i="1" s="1"/>
  <c r="AA61" i="1" s="1"/>
  <c r="AW61" i="1" s="1"/>
  <c r="AB62" i="1"/>
  <c r="BP62" i="1" s="1"/>
  <c r="CZ65" i="1"/>
  <c r="AE68" i="1"/>
  <c r="AF68" i="1" s="1"/>
  <c r="AG68" i="1" s="1"/>
  <c r="AY68" i="1" s="1"/>
  <c r="CZ69" i="1"/>
  <c r="DI73" i="1"/>
  <c r="EW73" i="1" s="1"/>
  <c r="CN73" i="1"/>
  <c r="CO73" i="1" s="1"/>
  <c r="CP73" i="1" s="1"/>
  <c r="DN73" i="1" s="1"/>
  <c r="Y73" i="1"/>
  <c r="BM73" i="1" s="1"/>
  <c r="AQ74" i="1"/>
  <c r="CE74" i="1" s="1"/>
  <c r="CF74" i="1" s="1"/>
  <c r="AN74" i="1"/>
  <c r="AO74" i="1" s="1"/>
  <c r="AP74" i="1" s="1"/>
  <c r="BB74" i="1" s="1"/>
  <c r="CO90" i="1"/>
  <c r="CP90" i="1" s="1"/>
  <c r="DN90" i="1" s="1"/>
  <c r="EB90" i="1"/>
  <c r="ED90" i="1" s="1"/>
  <c r="BN92" i="1"/>
  <c r="AA92" i="1" s="1"/>
  <c r="AB100" i="1"/>
  <c r="BP100" i="1" s="1"/>
  <c r="CZ103" i="1"/>
  <c r="DA103" i="1" s="1"/>
  <c r="DB103" i="1" s="1"/>
  <c r="DR103" i="1" s="1"/>
  <c r="BK118" i="1"/>
  <c r="X118" i="1" s="1"/>
  <c r="S123" i="1"/>
  <c r="DF139" i="1"/>
  <c r="DG139" i="1" s="1"/>
  <c r="DH139" i="1" s="1"/>
  <c r="DT139" i="1" s="1"/>
  <c r="CN139" i="1"/>
  <c r="CK139" i="1"/>
  <c r="DY139" i="1" s="1"/>
  <c r="AN139" i="1"/>
  <c r="CB139" i="1" s="1"/>
  <c r="AB139" i="1"/>
  <c r="CK143" i="1"/>
  <c r="DY143" i="1" s="1"/>
  <c r="EA143" i="1" s="1"/>
  <c r="DC161" i="1"/>
  <c r="EQ161" i="1" s="1"/>
  <c r="AB161" i="1"/>
  <c r="AC161" i="1" s="1"/>
  <c r="AD161" i="1" s="1"/>
  <c r="AX161" i="1" s="1"/>
  <c r="V161" i="1"/>
  <c r="BJ161" i="1" s="1"/>
  <c r="P168" i="1"/>
  <c r="BD168" i="1" s="1"/>
  <c r="V173" i="1"/>
  <c r="BJ173" i="1" s="1"/>
  <c r="BL183" i="1"/>
  <c r="BK183" i="1"/>
  <c r="AE201" i="1"/>
  <c r="BS201" i="1" s="1"/>
  <c r="V214" i="1"/>
  <c r="BJ214" i="1" s="1"/>
  <c r="CW218" i="1"/>
  <c r="EK218" i="1" s="1"/>
  <c r="AQ224" i="1"/>
  <c r="CE224" i="1" s="1"/>
  <c r="CK224" i="1"/>
  <c r="CL224" i="1" s="1"/>
  <c r="CM224" i="1" s="1"/>
  <c r="DM224" i="1" s="1"/>
  <c r="AH224" i="1"/>
  <c r="BV224" i="1" s="1"/>
  <c r="AB224" i="1"/>
  <c r="AC224" i="1" s="1"/>
  <c r="AD224" i="1" s="1"/>
  <c r="AX224" i="1" s="1"/>
  <c r="P224" i="1"/>
  <c r="Q224" i="1" s="1"/>
  <c r="R224" i="1" s="1"/>
  <c r="AT224" i="1" s="1"/>
  <c r="O224" i="1"/>
  <c r="DI226" i="1"/>
  <c r="EW226" i="1" s="1"/>
  <c r="CQ226" i="1"/>
  <c r="DF238" i="1"/>
  <c r="DG238" i="1" s="1"/>
  <c r="DH238" i="1" s="1"/>
  <c r="DT238" i="1" s="1"/>
  <c r="CH238" i="1"/>
  <c r="DV238" i="1" s="1"/>
  <c r="AN238" i="1"/>
  <c r="CB238" i="1" s="1"/>
  <c r="DC239" i="1"/>
  <c r="DD239" i="1" s="1"/>
  <c r="DE239" i="1" s="1"/>
  <c r="DS239" i="1" s="1"/>
  <c r="BE248" i="1"/>
  <c r="BF248" i="1"/>
  <c r="O259" i="1"/>
  <c r="CK266" i="1"/>
  <c r="DY266" i="1" s="1"/>
  <c r="S266" i="1"/>
  <c r="BG266" i="1" s="1"/>
  <c r="BI266" i="1" s="1"/>
  <c r="CW266" i="1"/>
  <c r="EB278" i="1"/>
  <c r="ED278" i="1" s="1"/>
  <c r="CO278" i="1"/>
  <c r="CP278" i="1" s="1"/>
  <c r="DN278" i="1" s="1"/>
  <c r="DV287" i="1"/>
  <c r="DW287" i="1" s="1"/>
  <c r="CI287" i="1"/>
  <c r="CJ287" i="1" s="1"/>
  <c r="DL287" i="1" s="1"/>
  <c r="EW289" i="1"/>
  <c r="EY289" i="1" s="1"/>
  <c r="DJ289" i="1"/>
  <c r="DK289" i="1" s="1"/>
  <c r="DU289" i="1" s="1"/>
  <c r="Y16" i="1"/>
  <c r="Z16" i="1" s="1"/>
  <c r="AA16" i="1" s="1"/>
  <c r="AW16" i="1" s="1"/>
  <c r="Y25" i="1"/>
  <c r="Z25" i="1" s="1"/>
  <c r="AA25" i="1" s="1"/>
  <c r="AW25" i="1" s="1"/>
  <c r="AE32" i="1"/>
  <c r="AF32" i="1" s="1"/>
  <c r="AG32" i="1" s="1"/>
  <c r="AY32" i="1" s="1"/>
  <c r="DG45" i="1"/>
  <c r="DH45" i="1" s="1"/>
  <c r="DT45" i="1" s="1"/>
  <c r="Y49" i="1"/>
  <c r="Z49" i="1" s="1"/>
  <c r="AA49" i="1" s="1"/>
  <c r="AW49" i="1" s="1"/>
  <c r="CH51" i="1"/>
  <c r="AE60" i="1"/>
  <c r="BS60" i="1" s="1"/>
  <c r="BU60" i="1" s="1"/>
  <c r="AN61" i="1"/>
  <c r="AO61" i="1" s="1"/>
  <c r="AP61" i="1" s="1"/>
  <c r="BB61" i="1" s="1"/>
  <c r="AE62" i="1"/>
  <c r="BS62" i="1" s="1"/>
  <c r="AH68" i="1"/>
  <c r="AI68" i="1" s="1"/>
  <c r="AJ68" i="1" s="1"/>
  <c r="AZ68" i="1" s="1"/>
  <c r="AK100" i="1"/>
  <c r="CN126" i="1"/>
  <c r="EB126" i="1" s="1"/>
  <c r="ED126" i="1" s="1"/>
  <c r="CZ126" i="1"/>
  <c r="DA126" i="1" s="1"/>
  <c r="DB126" i="1" s="1"/>
  <c r="DR126" i="1" s="1"/>
  <c r="AK126" i="1"/>
  <c r="AL126" i="1" s="1"/>
  <c r="AM126" i="1" s="1"/>
  <c r="BA126" i="1" s="1"/>
  <c r="AK140" i="1"/>
  <c r="AL140" i="1" s="1"/>
  <c r="AM140" i="1" s="1"/>
  <c r="BA140" i="1" s="1"/>
  <c r="CK140" i="1"/>
  <c r="Y140" i="1"/>
  <c r="P142" i="1"/>
  <c r="Q142" i="1" s="1"/>
  <c r="R142" i="1" s="1"/>
  <c r="AT142" i="1" s="1"/>
  <c r="O142" i="1"/>
  <c r="CZ150" i="1"/>
  <c r="AN150" i="1"/>
  <c r="AO150" i="1" s="1"/>
  <c r="AP150" i="1" s="1"/>
  <c r="BB150" i="1" s="1"/>
  <c r="S150" i="1"/>
  <c r="BG150" i="1" s="1"/>
  <c r="BI150" i="1" s="1"/>
  <c r="BG168" i="1"/>
  <c r="DF172" i="1"/>
  <c r="ET172" i="1" s="1"/>
  <c r="CN172" i="1"/>
  <c r="CO172" i="1" s="1"/>
  <c r="CP172" i="1" s="1"/>
  <c r="DN172" i="1" s="1"/>
  <c r="CK172" i="1"/>
  <c r="DY172" i="1" s="1"/>
  <c r="AH172" i="1"/>
  <c r="BV172" i="1" s="1"/>
  <c r="BW172" i="1" s="1"/>
  <c r="V172" i="1"/>
  <c r="BJ172" i="1" s="1"/>
  <c r="BL172" i="1" s="1"/>
  <c r="AK173" i="1"/>
  <c r="AL173" i="1" s="1"/>
  <c r="AM173" i="1" s="1"/>
  <c r="BA173" i="1" s="1"/>
  <c r="DF191" i="1"/>
  <c r="ET191" i="1" s="1"/>
  <c r="V191" i="1"/>
  <c r="DC210" i="1"/>
  <c r="EQ210" i="1" s="1"/>
  <c r="ES210" i="1" s="1"/>
  <c r="AK210" i="1"/>
  <c r="BY210" i="1" s="1"/>
  <c r="P210" i="1"/>
  <c r="BD210" i="1" s="1"/>
  <c r="AH214" i="1"/>
  <c r="BN222" i="1"/>
  <c r="BO222" i="1"/>
  <c r="AN266" i="1"/>
  <c r="AO266" i="1" s="1"/>
  <c r="AP266" i="1" s="1"/>
  <c r="BB266" i="1" s="1"/>
  <c r="Y271" i="1"/>
  <c r="BM271" i="1" s="1"/>
  <c r="AQ271" i="1"/>
  <c r="CE271" i="1" s="1"/>
  <c r="CG271" i="1" s="1"/>
  <c r="AE271" i="1"/>
  <c r="O271" i="1"/>
  <c r="DC271" i="1"/>
  <c r="CQ271" i="1"/>
  <c r="CR271" i="1" s="1"/>
  <c r="CS271" i="1" s="1"/>
  <c r="DO271" i="1" s="1"/>
  <c r="EN272" i="1"/>
  <c r="EP272" i="1" s="1"/>
  <c r="DA272" i="1"/>
  <c r="DB272" i="1" s="1"/>
  <c r="DR272" i="1" s="1"/>
  <c r="CR277" i="1"/>
  <c r="CS277" i="1" s="1"/>
  <c r="DO277" i="1" s="1"/>
  <c r="EE277" i="1"/>
  <c r="EF277" i="1" s="1"/>
  <c r="CI288" i="1"/>
  <c r="CJ288" i="1" s="1"/>
  <c r="DL288" i="1" s="1"/>
  <c r="DV288" i="1"/>
  <c r="DX288" i="1" s="1"/>
  <c r="DD293" i="1"/>
  <c r="DE293" i="1" s="1"/>
  <c r="DS293" i="1" s="1"/>
  <c r="DA294" i="1"/>
  <c r="DB294" i="1" s="1"/>
  <c r="DR294" i="1" s="1"/>
  <c r="EN294" i="1"/>
  <c r="S143" i="1"/>
  <c r="BG143" i="1" s="1"/>
  <c r="BH143" i="1" s="1"/>
  <c r="AH143" i="1"/>
  <c r="Y143" i="1"/>
  <c r="CK4" i="1"/>
  <c r="CL4" i="1" s="1"/>
  <c r="CM4" i="1" s="1"/>
  <c r="DM4" i="1" s="1"/>
  <c r="AH7" i="1"/>
  <c r="AQ8" i="1"/>
  <c r="CE8" i="1" s="1"/>
  <c r="S13" i="1"/>
  <c r="BG13" i="1" s="1"/>
  <c r="BI13" i="1" s="1"/>
  <c r="AB16" i="1"/>
  <c r="AC16" i="1" s="1"/>
  <c r="AD16" i="1" s="1"/>
  <c r="AX16" i="1" s="1"/>
  <c r="AB17" i="1"/>
  <c r="AQ18" i="1"/>
  <c r="AR18" i="1" s="1"/>
  <c r="AS18" i="1" s="1"/>
  <c r="BC18" i="1" s="1"/>
  <c r="S20" i="1"/>
  <c r="BG20" i="1" s="1"/>
  <c r="BI20" i="1" s="1"/>
  <c r="V22" i="1"/>
  <c r="BJ22" i="1" s="1"/>
  <c r="BL22" i="1" s="1"/>
  <c r="CT23" i="1"/>
  <c r="EH23" i="1" s="1"/>
  <c r="AN25" i="1"/>
  <c r="CB25" i="1" s="1"/>
  <c r="CD25" i="1" s="1"/>
  <c r="BH27" i="1"/>
  <c r="U27" i="1" s="1"/>
  <c r="O31" i="1"/>
  <c r="BX32" i="1"/>
  <c r="AE34" i="1"/>
  <c r="AF34" i="1" s="1"/>
  <c r="AG34" i="1" s="1"/>
  <c r="AY34" i="1" s="1"/>
  <c r="AN37" i="1"/>
  <c r="CB37" i="1" s="1"/>
  <c r="CD37" i="1" s="1"/>
  <c r="O41" i="1"/>
  <c r="CQ41" i="1"/>
  <c r="EE41" i="1" s="1"/>
  <c r="EF41" i="1" s="1"/>
  <c r="AK43" i="1"/>
  <c r="AE45" i="1"/>
  <c r="BS45" i="1" s="1"/>
  <c r="BT45" i="1" s="1"/>
  <c r="CK49" i="1"/>
  <c r="CL49" i="1" s="1"/>
  <c r="CM49" i="1" s="1"/>
  <c r="DM49" i="1" s="1"/>
  <c r="BO53" i="1"/>
  <c r="AA53" i="1" s="1"/>
  <c r="CH54" i="1"/>
  <c r="AN57" i="1"/>
  <c r="CB57" i="1" s="1"/>
  <c r="CC57" i="1" s="1"/>
  <c r="AK60" i="1"/>
  <c r="AL60" i="1" s="1"/>
  <c r="AM60" i="1" s="1"/>
  <c r="BA60" i="1" s="1"/>
  <c r="CH61" i="1"/>
  <c r="CI61" i="1" s="1"/>
  <c r="CJ61" i="1" s="1"/>
  <c r="DL61" i="1" s="1"/>
  <c r="AH62" i="1"/>
  <c r="AI62" i="1" s="1"/>
  <c r="AJ62" i="1" s="1"/>
  <c r="AZ62" i="1" s="1"/>
  <c r="CD66" i="1"/>
  <c r="AP66" i="1" s="1"/>
  <c r="AQ68" i="1"/>
  <c r="CE68" i="1" s="1"/>
  <c r="CT77" i="1"/>
  <c r="EH77" i="1" s="1"/>
  <c r="DC77" i="1"/>
  <c r="EQ77" i="1" s="1"/>
  <c r="BR92" i="1"/>
  <c r="AD92" i="1" s="1"/>
  <c r="AN100" i="1"/>
  <c r="CB100" i="1" s="1"/>
  <c r="CD100" i="1" s="1"/>
  <c r="DI102" i="1"/>
  <c r="EW102" i="1" s="1"/>
  <c r="AQ102" i="1"/>
  <c r="AR102" i="1" s="1"/>
  <c r="AS102" i="1" s="1"/>
  <c r="BC102" i="1" s="1"/>
  <c r="AB104" i="1"/>
  <c r="AC104" i="1" s="1"/>
  <c r="AD104" i="1" s="1"/>
  <c r="AX104" i="1" s="1"/>
  <c r="O104" i="1"/>
  <c r="BQ105" i="1"/>
  <c r="AD105" i="1" s="1"/>
  <c r="O126" i="1"/>
  <c r="V140" i="1"/>
  <c r="W140" i="1" s="1"/>
  <c r="X140" i="1" s="1"/>
  <c r="AV140" i="1" s="1"/>
  <c r="V142" i="1"/>
  <c r="BJ142" i="1" s="1"/>
  <c r="BK142" i="1" s="1"/>
  <c r="O150" i="1"/>
  <c r="O152" i="1"/>
  <c r="CK152" i="1"/>
  <c r="AN152" i="1"/>
  <c r="V152" i="1"/>
  <c r="BJ152" i="1" s="1"/>
  <c r="CK173" i="1"/>
  <c r="DY173" i="1" s="1"/>
  <c r="EA173" i="1" s="1"/>
  <c r="BQ209" i="1"/>
  <c r="BR209" i="1"/>
  <c r="AN214" i="1"/>
  <c r="AO214" i="1" s="1"/>
  <c r="AP214" i="1" s="1"/>
  <c r="BB214" i="1" s="1"/>
  <c r="CW230" i="1"/>
  <c r="EK230" i="1" s="1"/>
  <c r="AK230" i="1"/>
  <c r="BY230" i="1" s="1"/>
  <c r="AH230" i="1"/>
  <c r="DF239" i="1"/>
  <c r="ET239" i="1" s="1"/>
  <c r="CW239" i="1"/>
  <c r="EK239" i="1" s="1"/>
  <c r="V239" i="1"/>
  <c r="BJ239" i="1" s="1"/>
  <c r="BL239" i="1" s="1"/>
  <c r="CQ239" i="1"/>
  <c r="CR239" i="1" s="1"/>
  <c r="CS239" i="1" s="1"/>
  <c r="DO239" i="1" s="1"/>
  <c r="S239" i="1"/>
  <c r="T239" i="1" s="1"/>
  <c r="U239" i="1" s="1"/>
  <c r="AU239" i="1" s="1"/>
  <c r="CK239" i="1"/>
  <c r="CL239" i="1" s="1"/>
  <c r="CM239" i="1" s="1"/>
  <c r="DM239" i="1" s="1"/>
  <c r="O239" i="1"/>
  <c r="AN239" i="1"/>
  <c r="CB239" i="1" s="1"/>
  <c r="CC239" i="1" s="1"/>
  <c r="AK239" i="1"/>
  <c r="AL239" i="1" s="1"/>
  <c r="AM239" i="1" s="1"/>
  <c r="BA239" i="1" s="1"/>
  <c r="CZ256" i="1"/>
  <c r="DA256" i="1" s="1"/>
  <c r="DB256" i="1" s="1"/>
  <c r="DR256" i="1" s="1"/>
  <c r="AK256" i="1"/>
  <c r="AL256" i="1" s="1"/>
  <c r="AM256" i="1" s="1"/>
  <c r="BA256" i="1" s="1"/>
  <c r="Y256" i="1"/>
  <c r="Z256" i="1" s="1"/>
  <c r="AA256" i="1" s="1"/>
  <c r="AW256" i="1" s="1"/>
  <c r="DC256" i="1"/>
  <c r="DD256" i="1" s="1"/>
  <c r="DE256" i="1" s="1"/>
  <c r="DS256" i="1" s="1"/>
  <c r="S256" i="1"/>
  <c r="T256" i="1" s="1"/>
  <c r="U256" i="1" s="1"/>
  <c r="AU256" i="1" s="1"/>
  <c r="CW256" i="1"/>
  <c r="EK256" i="1" s="1"/>
  <c r="O256" i="1"/>
  <c r="CQ259" i="1"/>
  <c r="CR259" i="1" s="1"/>
  <c r="CS259" i="1" s="1"/>
  <c r="DO259" i="1" s="1"/>
  <c r="S271" i="1"/>
  <c r="T271" i="1" s="1"/>
  <c r="U271" i="1" s="1"/>
  <c r="AU271" i="1" s="1"/>
  <c r="EJ290" i="1"/>
  <c r="EH298" i="1"/>
  <c r="EJ298" i="1" s="1"/>
  <c r="CU298" i="1"/>
  <c r="CV298" i="1" s="1"/>
  <c r="DP298" i="1" s="1"/>
  <c r="CZ4" i="1"/>
  <c r="V13" i="1"/>
  <c r="BJ13" i="1" s="1"/>
  <c r="AE16" i="1"/>
  <c r="BS16" i="1" s="1"/>
  <c r="BU16" i="1" s="1"/>
  <c r="AN20" i="1"/>
  <c r="AO20" i="1" s="1"/>
  <c r="AP20" i="1" s="1"/>
  <c r="BB20" i="1" s="1"/>
  <c r="AH22" i="1"/>
  <c r="AI22" i="1" s="1"/>
  <c r="AJ22" i="1" s="1"/>
  <c r="AZ22" i="1" s="1"/>
  <c r="CW25" i="1"/>
  <c r="V31" i="1"/>
  <c r="CW32" i="1"/>
  <c r="EK32" i="1" s="1"/>
  <c r="P41" i="1"/>
  <c r="BD41" i="1" s="1"/>
  <c r="CT41" i="1"/>
  <c r="EH41" i="1" s="1"/>
  <c r="EJ41" i="1" s="1"/>
  <c r="AH45" i="1"/>
  <c r="BV45" i="1" s="1"/>
  <c r="CQ49" i="1"/>
  <c r="EE49" i="1" s="1"/>
  <c r="EG49" i="1" s="1"/>
  <c r="AQ60" i="1"/>
  <c r="AR60" i="1" s="1"/>
  <c r="AS60" i="1" s="1"/>
  <c r="BC60" i="1" s="1"/>
  <c r="CK61" i="1"/>
  <c r="AQ62" i="1"/>
  <c r="CE62" i="1" s="1"/>
  <c r="CK68" i="1"/>
  <c r="DY68" i="1" s="1"/>
  <c r="BN79" i="1"/>
  <c r="BO79" i="1"/>
  <c r="DI95" i="1"/>
  <c r="V95" i="1"/>
  <c r="BJ95" i="1" s="1"/>
  <c r="O95" i="1"/>
  <c r="S102" i="1"/>
  <c r="P104" i="1"/>
  <c r="Q104" i="1" s="1"/>
  <c r="R104" i="1" s="1"/>
  <c r="AT104" i="1" s="1"/>
  <c r="Y126" i="1"/>
  <c r="Z126" i="1" s="1"/>
  <c r="AA126" i="1" s="1"/>
  <c r="AW126" i="1" s="1"/>
  <c r="AH140" i="1"/>
  <c r="AN142" i="1"/>
  <c r="CB142" i="1" s="1"/>
  <c r="AN146" i="1"/>
  <c r="DI146" i="1"/>
  <c r="EW146" i="1" s="1"/>
  <c r="EX146" i="1" s="1"/>
  <c r="DF146" i="1"/>
  <c r="DG146" i="1" s="1"/>
  <c r="DH146" i="1" s="1"/>
  <c r="DT146" i="1" s="1"/>
  <c r="AH146" i="1"/>
  <c r="BV146" i="1" s="1"/>
  <c r="V150" i="1"/>
  <c r="W150" i="1" s="1"/>
  <c r="X150" i="1" s="1"/>
  <c r="AV150" i="1" s="1"/>
  <c r="AH152" i="1"/>
  <c r="BV152" i="1" s="1"/>
  <c r="BH157" i="1"/>
  <c r="U157" i="1" s="1"/>
  <c r="DC158" i="1"/>
  <c r="AE158" i="1"/>
  <c r="BS158" i="1" s="1"/>
  <c r="BU158" i="1" s="1"/>
  <c r="Y158" i="1"/>
  <c r="BM158" i="1" s="1"/>
  <c r="BO158" i="1" s="1"/>
  <c r="S158" i="1"/>
  <c r="CZ158" i="1"/>
  <c r="EN158" i="1" s="1"/>
  <c r="BS168" i="1"/>
  <c r="BT168" i="1" s="1"/>
  <c r="AF168" i="1"/>
  <c r="AG168" i="1" s="1"/>
  <c r="AY168" i="1" s="1"/>
  <c r="S172" i="1"/>
  <c r="CN173" i="1"/>
  <c r="EB173" i="1" s="1"/>
  <c r="ED173" i="1" s="1"/>
  <c r="CQ210" i="1"/>
  <c r="CN214" i="1"/>
  <c r="CO214" i="1" s="1"/>
  <c r="CP214" i="1" s="1"/>
  <c r="DN214" i="1" s="1"/>
  <c r="P239" i="1"/>
  <c r="BD239" i="1" s="1"/>
  <c r="BE239" i="1" s="1"/>
  <c r="BL248" i="1"/>
  <c r="X248" i="1" s="1"/>
  <c r="CZ258" i="1"/>
  <c r="DA258" i="1" s="1"/>
  <c r="DB258" i="1" s="1"/>
  <c r="DR258" i="1" s="1"/>
  <c r="CN258" i="1"/>
  <c r="CO258" i="1" s="1"/>
  <c r="CP258" i="1" s="1"/>
  <c r="DN258" i="1" s="1"/>
  <c r="AH258" i="1"/>
  <c r="V258" i="1"/>
  <c r="BJ258" i="1" s="1"/>
  <c r="EN283" i="1"/>
  <c r="EO283" i="1" s="1"/>
  <c r="DA283" i="1"/>
  <c r="DB283" i="1" s="1"/>
  <c r="DR283" i="1" s="1"/>
  <c r="DA296" i="1"/>
  <c r="DB296" i="1" s="1"/>
  <c r="DR296" i="1" s="1"/>
  <c r="CU302" i="1"/>
  <c r="CV302" i="1" s="1"/>
  <c r="DP302" i="1" s="1"/>
  <c r="EH302" i="1"/>
  <c r="EJ302" i="1" s="1"/>
  <c r="DF8" i="1"/>
  <c r="ET8" i="1" s="1"/>
  <c r="S11" i="1"/>
  <c r="BG11" i="1" s="1"/>
  <c r="BI11" i="1" s="1"/>
  <c r="AN16" i="1"/>
  <c r="AN17" i="1"/>
  <c r="CB17" i="1" s="1"/>
  <c r="CD17" i="1" s="1"/>
  <c r="AQ20" i="1"/>
  <c r="AR20" i="1" s="1"/>
  <c r="AS20" i="1" s="1"/>
  <c r="BC20" i="1" s="1"/>
  <c r="AK22" i="1"/>
  <c r="BY22" i="1" s="1"/>
  <c r="DF25" i="1"/>
  <c r="ET25" i="1" s="1"/>
  <c r="EV25" i="1" s="1"/>
  <c r="AN31" i="1"/>
  <c r="AO31" i="1" s="1"/>
  <c r="AP31" i="1" s="1"/>
  <c r="BB31" i="1" s="1"/>
  <c r="DC32" i="1"/>
  <c r="S41" i="1"/>
  <c r="DF41" i="1"/>
  <c r="DG41" i="1" s="1"/>
  <c r="DH41" i="1" s="1"/>
  <c r="DT41" i="1" s="1"/>
  <c r="AN45" i="1"/>
  <c r="V48" i="1"/>
  <c r="W48" i="1" s="1"/>
  <c r="X48" i="1" s="1"/>
  <c r="AV48" i="1" s="1"/>
  <c r="DC49" i="1"/>
  <c r="CK60" i="1"/>
  <c r="DY60" i="1" s="1"/>
  <c r="AE64" i="1"/>
  <c r="BS64" i="1" s="1"/>
  <c r="AE65" i="1"/>
  <c r="BS65" i="1" s="1"/>
  <c r="BU65" i="1" s="1"/>
  <c r="CT68" i="1"/>
  <c r="EH68" i="1" s="1"/>
  <c r="EJ68" i="1" s="1"/>
  <c r="AH70" i="1"/>
  <c r="BV70" i="1" s="1"/>
  <c r="BW70" i="1" s="1"/>
  <c r="CW71" i="1"/>
  <c r="EK71" i="1" s="1"/>
  <c r="EM71" i="1" s="1"/>
  <c r="AE73" i="1"/>
  <c r="BS73" i="1" s="1"/>
  <c r="AB77" i="1"/>
  <c r="BP77" i="1" s="1"/>
  <c r="Y87" i="1"/>
  <c r="BM87" i="1" s="1"/>
  <c r="P95" i="1"/>
  <c r="BD95" i="1" s="1"/>
  <c r="CK100" i="1"/>
  <c r="CL100" i="1" s="1"/>
  <c r="CM100" i="1" s="1"/>
  <c r="DM100" i="1" s="1"/>
  <c r="AE102" i="1"/>
  <c r="AF102" i="1" s="1"/>
  <c r="AG102" i="1" s="1"/>
  <c r="AY102" i="1" s="1"/>
  <c r="S104" i="1"/>
  <c r="BG104" i="1" s="1"/>
  <c r="AQ112" i="1"/>
  <c r="AR112" i="1" s="1"/>
  <c r="AS112" i="1" s="1"/>
  <c r="BC112" i="1" s="1"/>
  <c r="DF116" i="1"/>
  <c r="ET116" i="1" s="1"/>
  <c r="AE116" i="1"/>
  <c r="AF116" i="1" s="1"/>
  <c r="AG116" i="1" s="1"/>
  <c r="AY116" i="1" s="1"/>
  <c r="DF124" i="1"/>
  <c r="ET124" i="1" s="1"/>
  <c r="AB126" i="1"/>
  <c r="BP126" i="1" s="1"/>
  <c r="CN138" i="1"/>
  <c r="CO138" i="1" s="1"/>
  <c r="CP138" i="1" s="1"/>
  <c r="DN138" i="1" s="1"/>
  <c r="CZ138" i="1"/>
  <c r="DA138" i="1" s="1"/>
  <c r="DB138" i="1" s="1"/>
  <c r="DR138" i="1" s="1"/>
  <c r="AN138" i="1"/>
  <c r="AO138" i="1" s="1"/>
  <c r="AP138" i="1" s="1"/>
  <c r="BB138" i="1" s="1"/>
  <c r="AQ142" i="1"/>
  <c r="CE142" i="1" s="1"/>
  <c r="CQ147" i="1"/>
  <c r="EE147" i="1" s="1"/>
  <c r="AH150" i="1"/>
  <c r="AI150" i="1" s="1"/>
  <c r="AJ150" i="1" s="1"/>
  <c r="AZ150" i="1" s="1"/>
  <c r="V158" i="1"/>
  <c r="BJ158" i="1" s="1"/>
  <c r="BL158" i="1" s="1"/>
  <c r="AN168" i="1"/>
  <c r="CB168" i="1" s="1"/>
  <c r="CF170" i="1"/>
  <c r="AS170" i="1" s="1"/>
  <c r="AB172" i="1"/>
  <c r="CW173" i="1"/>
  <c r="CX173" i="1" s="1"/>
  <c r="CY173" i="1" s="1"/>
  <c r="DQ173" i="1" s="1"/>
  <c r="Y181" i="1"/>
  <c r="Z181" i="1" s="1"/>
  <c r="AA181" i="1" s="1"/>
  <c r="AW181" i="1" s="1"/>
  <c r="CT181" i="1"/>
  <c r="EH181" i="1" s="1"/>
  <c r="AK181" i="1"/>
  <c r="BY181" i="1" s="1"/>
  <c r="BT183" i="1"/>
  <c r="BU183" i="1"/>
  <c r="AH213" i="1"/>
  <c r="BV213" i="1" s="1"/>
  <c r="CL216" i="1"/>
  <c r="CM216" i="1" s="1"/>
  <c r="DM216" i="1" s="1"/>
  <c r="CQ224" i="1"/>
  <c r="EE224" i="1" s="1"/>
  <c r="CT226" i="1"/>
  <c r="CU226" i="1" s="1"/>
  <c r="CV226" i="1" s="1"/>
  <c r="DP226" i="1" s="1"/>
  <c r="CQ230" i="1"/>
  <c r="EE230" i="1" s="1"/>
  <c r="EF230" i="1" s="1"/>
  <c r="Y239" i="1"/>
  <c r="Z239" i="1" s="1"/>
  <c r="AA239" i="1" s="1"/>
  <c r="AW239" i="1" s="1"/>
  <c r="O258" i="1"/>
  <c r="AK262" i="1"/>
  <c r="BY262" i="1" s="1"/>
  <c r="CA262" i="1" s="1"/>
  <c r="CT262" i="1"/>
  <c r="CU262" i="1" s="1"/>
  <c r="CV262" i="1" s="1"/>
  <c r="DP262" i="1" s="1"/>
  <c r="CQ262" i="1"/>
  <c r="EE262" i="1" s="1"/>
  <c r="AQ262" i="1"/>
  <c r="CE262" i="1" s="1"/>
  <c r="AN271" i="1"/>
  <c r="AO271" i="1" s="1"/>
  <c r="AP271" i="1" s="1"/>
  <c r="BB271" i="1" s="1"/>
  <c r="EQ276" i="1"/>
  <c r="ES276" i="1" s="1"/>
  <c r="DD276" i="1"/>
  <c r="DE276" i="1" s="1"/>
  <c r="DS276" i="1" s="1"/>
  <c r="CR280" i="1"/>
  <c r="CS280" i="1" s="1"/>
  <c r="DO280" i="1" s="1"/>
  <c r="EB281" i="1"/>
  <c r="ED281" i="1" s="1"/>
  <c r="CO281" i="1"/>
  <c r="CP281" i="1" s="1"/>
  <c r="DN281" i="1" s="1"/>
  <c r="EQ295" i="1"/>
  <c r="ES295" i="1" s="1"/>
  <c r="DD295" i="1"/>
  <c r="DE295" i="1" s="1"/>
  <c r="DS295" i="1" s="1"/>
  <c r="DA298" i="1"/>
  <c r="DB298" i="1" s="1"/>
  <c r="DR298" i="1" s="1"/>
  <c r="EN298" i="1"/>
  <c r="EP298" i="1" s="1"/>
  <c r="AE72" i="1"/>
  <c r="AF72" i="1" s="1"/>
  <c r="AG72" i="1" s="1"/>
  <c r="AY72" i="1" s="1"/>
  <c r="Y7" i="1"/>
  <c r="BM7" i="1" s="1"/>
  <c r="DI8" i="1"/>
  <c r="EW8" i="1" s="1"/>
  <c r="AQ16" i="1"/>
  <c r="CE16" i="1" s="1"/>
  <c r="CG16" i="1" s="1"/>
  <c r="CK17" i="1"/>
  <c r="CL17" i="1" s="1"/>
  <c r="CM17" i="1" s="1"/>
  <c r="DM17" i="1" s="1"/>
  <c r="CN20" i="1"/>
  <c r="EB20" i="1" s="1"/>
  <c r="EC20" i="1" s="1"/>
  <c r="AN22" i="1"/>
  <c r="AO22" i="1" s="1"/>
  <c r="AP22" i="1" s="1"/>
  <c r="BB22" i="1" s="1"/>
  <c r="O24" i="1"/>
  <c r="DI25" i="1"/>
  <c r="DJ25" i="1" s="1"/>
  <c r="DK25" i="1" s="1"/>
  <c r="DU25" i="1" s="1"/>
  <c r="DI41" i="1"/>
  <c r="DJ41" i="1" s="1"/>
  <c r="DK41" i="1" s="1"/>
  <c r="DU41" i="1" s="1"/>
  <c r="AB48" i="1"/>
  <c r="AC48" i="1" s="1"/>
  <c r="AD48" i="1" s="1"/>
  <c r="AX48" i="1" s="1"/>
  <c r="CN60" i="1"/>
  <c r="EB60" i="1" s="1"/>
  <c r="EC60" i="1" s="1"/>
  <c r="DF61" i="1"/>
  <c r="ET61" i="1" s="1"/>
  <c r="CH62" i="1"/>
  <c r="DV62" i="1" s="1"/>
  <c r="DX62" i="1" s="1"/>
  <c r="CK64" i="1"/>
  <c r="DY64" i="1" s="1"/>
  <c r="DZ64" i="1" s="1"/>
  <c r="CW68" i="1"/>
  <c r="EK68" i="1" s="1"/>
  <c r="CN70" i="1"/>
  <c r="CZ71" i="1"/>
  <c r="EN71" i="1" s="1"/>
  <c r="AH73" i="1"/>
  <c r="BV73" i="1" s="1"/>
  <c r="AN77" i="1"/>
  <c r="CB77" i="1" s="1"/>
  <c r="BQ79" i="1"/>
  <c r="AD79" i="1" s="1"/>
  <c r="AN87" i="1"/>
  <c r="S95" i="1"/>
  <c r="T95" i="1" s="1"/>
  <c r="U95" i="1" s="1"/>
  <c r="AU95" i="1" s="1"/>
  <c r="CN100" i="1"/>
  <c r="AQ104" i="1"/>
  <c r="CE104" i="1" s="1"/>
  <c r="CF104" i="1" s="1"/>
  <c r="BX105" i="1"/>
  <c r="BW105" i="1"/>
  <c r="DF107" i="1"/>
  <c r="ET107" i="1" s="1"/>
  <c r="CN107" i="1"/>
  <c r="AB107" i="1"/>
  <c r="BP107" i="1" s="1"/>
  <c r="BR107" i="1" s="1"/>
  <c r="DC112" i="1"/>
  <c r="AE126" i="1"/>
  <c r="BS126" i="1" s="1"/>
  <c r="AK139" i="1"/>
  <c r="AL139" i="1" s="1"/>
  <c r="AM139" i="1" s="1"/>
  <c r="BA139" i="1" s="1"/>
  <c r="CN140" i="1"/>
  <c r="CO140" i="1" s="1"/>
  <c r="CP140" i="1" s="1"/>
  <c r="DN140" i="1" s="1"/>
  <c r="CW142" i="1"/>
  <c r="EK142" i="1" s="1"/>
  <c r="AQ150" i="1"/>
  <c r="CE150" i="1" s="1"/>
  <c r="CG150" i="1" s="1"/>
  <c r="CN152" i="1"/>
  <c r="CO152" i="1" s="1"/>
  <c r="CP152" i="1" s="1"/>
  <c r="DN152" i="1" s="1"/>
  <c r="CW155" i="1"/>
  <c r="CX155" i="1" s="1"/>
  <c r="CY155" i="1" s="1"/>
  <c r="DQ155" i="1" s="1"/>
  <c r="CZ155" i="1"/>
  <c r="EN155" i="1" s="1"/>
  <c r="EP155" i="1" s="1"/>
  <c r="CN155" i="1"/>
  <c r="S155" i="1"/>
  <c r="BG155" i="1" s="1"/>
  <c r="AK158" i="1"/>
  <c r="AL158" i="1" s="1"/>
  <c r="AM158" i="1" s="1"/>
  <c r="BA158" i="1" s="1"/>
  <c r="CW181" i="1"/>
  <c r="EK181" i="1" s="1"/>
  <c r="AN202" i="1"/>
  <c r="AO202" i="1" s="1"/>
  <c r="AP202" i="1" s="1"/>
  <c r="BB202" i="1" s="1"/>
  <c r="AH202" i="1"/>
  <c r="BV202" i="1" s="1"/>
  <c r="BX202" i="1" s="1"/>
  <c r="AE202" i="1"/>
  <c r="AF202" i="1" s="1"/>
  <c r="AG202" i="1" s="1"/>
  <c r="AY202" i="1" s="1"/>
  <c r="DI202" i="1"/>
  <c r="DC202" i="1"/>
  <c r="EQ202" i="1" s="1"/>
  <c r="CK211" i="1"/>
  <c r="DY211" i="1" s="1"/>
  <c r="CH211" i="1"/>
  <c r="DV211" i="1" s="1"/>
  <c r="AQ213" i="1"/>
  <c r="AR213" i="1" s="1"/>
  <c r="AS213" i="1" s="1"/>
  <c r="BC213" i="1" s="1"/>
  <c r="CW224" i="1"/>
  <c r="CX224" i="1" s="1"/>
  <c r="CY224" i="1" s="1"/>
  <c r="DQ224" i="1" s="1"/>
  <c r="CW226" i="1"/>
  <c r="AB239" i="1"/>
  <c r="BP239" i="1" s="1"/>
  <c r="BQ239" i="1" s="1"/>
  <c r="P258" i="1"/>
  <c r="Q258" i="1" s="1"/>
  <c r="R258" i="1" s="1"/>
  <c r="AT258" i="1" s="1"/>
  <c r="AE262" i="1"/>
  <c r="AF262" i="1" s="1"/>
  <c r="AG262" i="1" s="1"/>
  <c r="AY262" i="1" s="1"/>
  <c r="CN271" i="1"/>
  <c r="CO271" i="1" s="1"/>
  <c r="CP271" i="1" s="1"/>
  <c r="DN271" i="1" s="1"/>
  <c r="EK272" i="1"/>
  <c r="EM272" i="1" s="1"/>
  <c r="EQ275" i="1"/>
  <c r="ES275" i="1" s="1"/>
  <c r="DA278" i="1"/>
  <c r="DB278" i="1" s="1"/>
  <c r="DR278" i="1" s="1"/>
  <c r="EN278" i="1"/>
  <c r="EP278" i="1" s="1"/>
  <c r="EQ284" i="1"/>
  <c r="ES284" i="1" s="1"/>
  <c r="DD284" i="1"/>
  <c r="DE284" i="1" s="1"/>
  <c r="DS284" i="1" s="1"/>
  <c r="CI291" i="1"/>
  <c r="CJ291" i="1" s="1"/>
  <c r="DL291" i="1" s="1"/>
  <c r="DV291" i="1"/>
  <c r="ES298" i="1"/>
  <c r="ER298" i="1"/>
  <c r="DD301" i="1"/>
  <c r="DE301" i="1" s="1"/>
  <c r="DS301" i="1" s="1"/>
  <c r="EQ301" i="1"/>
  <c r="ER301" i="1" s="1"/>
  <c r="CW122" i="1"/>
  <c r="EK122" i="1" s="1"/>
  <c r="EM122" i="1" s="1"/>
  <c r="CN122" i="1"/>
  <c r="CO122" i="1" s="1"/>
  <c r="CP122" i="1" s="1"/>
  <c r="DN122" i="1" s="1"/>
  <c r="AN26" i="1"/>
  <c r="CB26" i="1" s="1"/>
  <c r="CC26" i="1" s="1"/>
  <c r="BH118" i="1"/>
  <c r="BI118" i="1"/>
  <c r="DC135" i="1"/>
  <c r="EQ135" i="1" s="1"/>
  <c r="CQ7" i="1"/>
  <c r="AB11" i="1"/>
  <c r="P12" i="1"/>
  <c r="BD12" i="1" s="1"/>
  <c r="BF12" i="1" s="1"/>
  <c r="CG14" i="1"/>
  <c r="AS14" i="1" s="1"/>
  <c r="CW17" i="1"/>
  <c r="CX17" i="1" s="1"/>
  <c r="CY17" i="1" s="1"/>
  <c r="DQ17" i="1" s="1"/>
  <c r="CQ20" i="1"/>
  <c r="EE20" i="1" s="1"/>
  <c r="AQ22" i="1"/>
  <c r="AR22" i="1" s="1"/>
  <c r="AS22" i="1" s="1"/>
  <c r="BC22" i="1" s="1"/>
  <c r="CT24" i="1"/>
  <c r="EH24" i="1" s="1"/>
  <c r="EI24" i="1" s="1"/>
  <c r="BN27" i="1"/>
  <c r="AA27" i="1" s="1"/>
  <c r="DF31" i="1"/>
  <c r="ET31" i="1" s="1"/>
  <c r="DI32" i="1"/>
  <c r="EW32" i="1" s="1"/>
  <c r="V41" i="1"/>
  <c r="BJ41" i="1" s="1"/>
  <c r="AQ45" i="1"/>
  <c r="CE45" i="1" s="1"/>
  <c r="AK48" i="1"/>
  <c r="BY48" i="1" s="1"/>
  <c r="DF49" i="1"/>
  <c r="ET49" i="1" s="1"/>
  <c r="CQ60" i="1"/>
  <c r="CR60" i="1" s="1"/>
  <c r="CS60" i="1" s="1"/>
  <c r="DO60" i="1" s="1"/>
  <c r="CK62" i="1"/>
  <c r="CL62" i="1" s="1"/>
  <c r="CM62" i="1" s="1"/>
  <c r="DM62" i="1" s="1"/>
  <c r="DI64" i="1"/>
  <c r="AK67" i="1"/>
  <c r="BY67" i="1" s="1"/>
  <c r="DC71" i="1"/>
  <c r="EQ71" i="1" s="1"/>
  <c r="ER71" i="1" s="1"/>
  <c r="AK73" i="1"/>
  <c r="BY73" i="1" s="1"/>
  <c r="BZ73" i="1" s="1"/>
  <c r="DF77" i="1"/>
  <c r="ET77" i="1" s="1"/>
  <c r="CZ87" i="1"/>
  <c r="DA87" i="1" s="1"/>
  <c r="DB87" i="1" s="1"/>
  <c r="DR87" i="1" s="1"/>
  <c r="DI90" i="1"/>
  <c r="DJ90" i="1" s="1"/>
  <c r="DK90" i="1" s="1"/>
  <c r="DU90" i="1" s="1"/>
  <c r="AH90" i="1"/>
  <c r="S90" i="1"/>
  <c r="T90" i="1" s="1"/>
  <c r="U90" i="1" s="1"/>
  <c r="AU90" i="1" s="1"/>
  <c r="BZ92" i="1"/>
  <c r="AM92" i="1" s="1"/>
  <c r="AB95" i="1"/>
  <c r="BP95" i="1" s="1"/>
  <c r="DC102" i="1"/>
  <c r="EQ102" i="1" s="1"/>
  <c r="P107" i="1"/>
  <c r="CZ115" i="1"/>
  <c r="EN115" i="1" s="1"/>
  <c r="EP115" i="1" s="1"/>
  <c r="P115" i="1"/>
  <c r="Q115" i="1" s="1"/>
  <c r="R115" i="1" s="1"/>
  <c r="AT115" i="1" s="1"/>
  <c r="DC115" i="1"/>
  <c r="AN126" i="1"/>
  <c r="CB126" i="1" s="1"/>
  <c r="AB138" i="1"/>
  <c r="AC138" i="1" s="1"/>
  <c r="AD138" i="1" s="1"/>
  <c r="AX138" i="1" s="1"/>
  <c r="AQ139" i="1"/>
  <c r="CE139" i="1" s="1"/>
  <c r="CT140" i="1"/>
  <c r="CU140" i="1" s="1"/>
  <c r="CV140" i="1" s="1"/>
  <c r="DP140" i="1" s="1"/>
  <c r="DC142" i="1"/>
  <c r="EQ142" i="1" s="1"/>
  <c r="ER142" i="1" s="1"/>
  <c r="AH147" i="1"/>
  <c r="BV147" i="1" s="1"/>
  <c r="BX147" i="1" s="1"/>
  <c r="AN147" i="1"/>
  <c r="CB147" i="1" s="1"/>
  <c r="CC147" i="1" s="1"/>
  <c r="AB147" i="1"/>
  <c r="BP147" i="1" s="1"/>
  <c r="CZ152" i="1"/>
  <c r="EN152" i="1" s="1"/>
  <c r="EP152" i="1" s="1"/>
  <c r="O155" i="1"/>
  <c r="BN157" i="1"/>
  <c r="AA157" i="1" s="1"/>
  <c r="AQ158" i="1"/>
  <c r="AR158" i="1" s="1"/>
  <c r="AS158" i="1" s="1"/>
  <c r="BC158" i="1" s="1"/>
  <c r="DF167" i="1"/>
  <c r="ET167" i="1" s="1"/>
  <c r="CK167" i="1"/>
  <c r="DY167" i="1" s="1"/>
  <c r="AB167" i="1"/>
  <c r="BP167" i="1" s="1"/>
  <c r="BR167" i="1" s="1"/>
  <c r="S167" i="1"/>
  <c r="BG167" i="1" s="1"/>
  <c r="BI167" i="1" s="1"/>
  <c r="BH170" i="1"/>
  <c r="U170" i="1" s="1"/>
  <c r="AQ172" i="1"/>
  <c r="CE172" i="1" s="1"/>
  <c r="CF172" i="1" s="1"/>
  <c r="AQ177" i="1"/>
  <c r="CE177" i="1" s="1"/>
  <c r="CN177" i="1"/>
  <c r="CK177" i="1"/>
  <c r="AH177" i="1"/>
  <c r="BV177" i="1" s="1"/>
  <c r="DF181" i="1"/>
  <c r="ET181" i="1" s="1"/>
  <c r="CG196" i="1"/>
  <c r="AS196" i="1" s="1"/>
  <c r="V202" i="1"/>
  <c r="CQ213" i="1"/>
  <c r="EE213" i="1" s="1"/>
  <c r="EG213" i="1" s="1"/>
  <c r="DI215" i="1"/>
  <c r="EW215" i="1" s="1"/>
  <c r="EY215" i="1" s="1"/>
  <c r="CW215" i="1"/>
  <c r="DI216" i="1"/>
  <c r="EW216" i="1" s="1"/>
  <c r="EY216" i="1" s="1"/>
  <c r="CZ224" i="1"/>
  <c r="DA224" i="1" s="1"/>
  <c r="DB224" i="1" s="1"/>
  <c r="DR224" i="1" s="1"/>
  <c r="DF226" i="1"/>
  <c r="ET226" i="1" s="1"/>
  <c r="Z236" i="1"/>
  <c r="AA236" i="1" s="1"/>
  <c r="AW236" i="1" s="1"/>
  <c r="BM236" i="1"/>
  <c r="BN236" i="1" s="1"/>
  <c r="AE239" i="1"/>
  <c r="AF239" i="1" s="1"/>
  <c r="AG239" i="1" s="1"/>
  <c r="AY239" i="1" s="1"/>
  <c r="S258" i="1"/>
  <c r="BG258" i="1" s="1"/>
  <c r="CI262" i="1"/>
  <c r="CJ262" i="1" s="1"/>
  <c r="DL262" i="1" s="1"/>
  <c r="DV262" i="1"/>
  <c r="DW262" i="1" s="1"/>
  <c r="ET275" i="1"/>
  <c r="EV275" i="1" s="1"/>
  <c r="EJ282" i="1"/>
  <c r="DY293" i="1"/>
  <c r="EA293" i="1" s="1"/>
  <c r="CL293" i="1"/>
  <c r="CM293" i="1" s="1"/>
  <c r="DM293" i="1" s="1"/>
  <c r="EW152" i="1"/>
  <c r="EY152" i="1" s="1"/>
  <c r="DJ152" i="1"/>
  <c r="DK152" i="1" s="1"/>
  <c r="DU152" i="1" s="1"/>
  <c r="DI16" i="1"/>
  <c r="EW16" i="1" s="1"/>
  <c r="EY16" i="1" s="1"/>
  <c r="V30" i="1"/>
  <c r="W30" i="1" s="1"/>
  <c r="X30" i="1" s="1"/>
  <c r="AV30" i="1" s="1"/>
  <c r="CK16" i="1"/>
  <c r="DY16" i="1" s="1"/>
  <c r="EA16" i="1" s="1"/>
  <c r="DC60" i="1"/>
  <c r="EQ60" i="1" s="1"/>
  <c r="CT62" i="1"/>
  <c r="EH62" i="1" s="1"/>
  <c r="EJ62" i="1" s="1"/>
  <c r="DF100" i="1"/>
  <c r="DG100" i="1" s="1"/>
  <c r="DH100" i="1" s="1"/>
  <c r="DT100" i="1" s="1"/>
  <c r="AQ100" i="1"/>
  <c r="CE100" i="1" s="1"/>
  <c r="AH100" i="1"/>
  <c r="BV100" i="1" s="1"/>
  <c r="BW100" i="1" s="1"/>
  <c r="DI100" i="1"/>
  <c r="DJ100" i="1" s="1"/>
  <c r="DK100" i="1" s="1"/>
  <c r="DU100" i="1" s="1"/>
  <c r="DI110" i="1"/>
  <c r="EW110" i="1" s="1"/>
  <c r="EY110" i="1" s="1"/>
  <c r="AH110" i="1"/>
  <c r="AI110" i="1" s="1"/>
  <c r="AJ110" i="1" s="1"/>
  <c r="AZ110" i="1" s="1"/>
  <c r="CN113" i="1"/>
  <c r="CO113" i="1" s="1"/>
  <c r="CP113" i="1" s="1"/>
  <c r="DN113" i="1" s="1"/>
  <c r="AE113" i="1"/>
  <c r="BS113" i="1" s="1"/>
  <c r="S113" i="1"/>
  <c r="T113" i="1" s="1"/>
  <c r="U113" i="1" s="1"/>
  <c r="AU113" i="1" s="1"/>
  <c r="DC113" i="1"/>
  <c r="EQ113" i="1" s="1"/>
  <c r="AH239" i="1"/>
  <c r="BV239" i="1" s="1"/>
  <c r="BX239" i="1" s="1"/>
  <c r="CW262" i="1"/>
  <c r="AH265" i="1"/>
  <c r="BV265" i="1" s="1"/>
  <c r="BW265" i="1" s="1"/>
  <c r="DI265" i="1"/>
  <c r="EW265" i="1" s="1"/>
  <c r="EX265" i="1" s="1"/>
  <c r="DF265" i="1"/>
  <c r="ET265" i="1" s="1"/>
  <c r="EV265" i="1" s="1"/>
  <c r="CH265" i="1"/>
  <c r="P265" i="1"/>
  <c r="Q265" i="1" s="1"/>
  <c r="R265" i="1" s="1"/>
  <c r="AT265" i="1" s="1"/>
  <c r="O265" i="1"/>
  <c r="ED276" i="1"/>
  <c r="EQ279" i="1"/>
  <c r="ER279" i="1" s="1"/>
  <c r="DD279" i="1"/>
  <c r="DE279" i="1" s="1"/>
  <c r="DS279" i="1" s="1"/>
  <c r="EQ282" i="1"/>
  <c r="ES282" i="1" s="1"/>
  <c r="EN287" i="1"/>
  <c r="EP287" i="1" s="1"/>
  <c r="DA287" i="1"/>
  <c r="DB287" i="1" s="1"/>
  <c r="DR287" i="1" s="1"/>
  <c r="EX297" i="1"/>
  <c r="EY297" i="1"/>
  <c r="DV299" i="1"/>
  <c r="DX299" i="1" s="1"/>
  <c r="DV284" i="1"/>
  <c r="DW284" i="1" s="1"/>
  <c r="CI284" i="1"/>
  <c r="CJ284" i="1" s="1"/>
  <c r="DL284" i="1" s="1"/>
  <c r="ES300" i="1"/>
  <c r="AN241" i="1"/>
  <c r="CB241" i="1" s="1"/>
  <c r="AK241" i="1"/>
  <c r="AL241" i="1" s="1"/>
  <c r="AM241" i="1" s="1"/>
  <c r="BA241" i="1" s="1"/>
  <c r="AH241" i="1"/>
  <c r="BV241" i="1" s="1"/>
  <c r="BX241" i="1" s="1"/>
  <c r="V4" i="1"/>
  <c r="W4" i="1" s="1"/>
  <c r="X4" i="1" s="1"/>
  <c r="AV4" i="1" s="1"/>
  <c r="AN11" i="1"/>
  <c r="CB11" i="1" s="1"/>
  <c r="CC11" i="1" s="1"/>
  <c r="CQ12" i="1"/>
  <c r="EE12" i="1" s="1"/>
  <c r="CW16" i="1"/>
  <c r="EK16" i="1" s="1"/>
  <c r="EM16" i="1" s="1"/>
  <c r="DI17" i="1"/>
  <c r="DJ17" i="1" s="1"/>
  <c r="DK17" i="1" s="1"/>
  <c r="DU17" i="1" s="1"/>
  <c r="AB19" i="1"/>
  <c r="AC19" i="1" s="1"/>
  <c r="AD19" i="1" s="1"/>
  <c r="AX19" i="1" s="1"/>
  <c r="O25" i="1"/>
  <c r="AB26" i="1"/>
  <c r="BP26" i="1" s="1"/>
  <c r="O30" i="1"/>
  <c r="P32" i="1"/>
  <c r="BD32" i="1" s="1"/>
  <c r="BF32" i="1" s="1"/>
  <c r="Y33" i="1"/>
  <c r="Z33" i="1" s="1"/>
  <c r="AA33" i="1" s="1"/>
  <c r="AW33" i="1" s="1"/>
  <c r="AE41" i="1"/>
  <c r="AF41" i="1" s="1"/>
  <c r="AG41" i="1" s="1"/>
  <c r="AY41" i="1" s="1"/>
  <c r="V42" i="1"/>
  <c r="W42" i="1" s="1"/>
  <c r="X42" i="1" s="1"/>
  <c r="AV42" i="1" s="1"/>
  <c r="P45" i="1"/>
  <c r="CK45" i="1"/>
  <c r="CL45" i="1" s="1"/>
  <c r="CM45" i="1" s="1"/>
  <c r="DM45" i="1" s="1"/>
  <c r="BF53" i="1"/>
  <c r="R53" i="1" s="1"/>
  <c r="P62" i="1"/>
  <c r="DI62" i="1"/>
  <c r="P69" i="1"/>
  <c r="Q69" i="1" s="1"/>
  <c r="R69" i="1" s="1"/>
  <c r="AT69" i="1" s="1"/>
  <c r="S72" i="1"/>
  <c r="BG72" i="1" s="1"/>
  <c r="CZ73" i="1"/>
  <c r="DA73" i="1" s="1"/>
  <c r="DB73" i="1" s="1"/>
  <c r="DR73" i="1" s="1"/>
  <c r="AE78" i="1"/>
  <c r="DC83" i="1"/>
  <c r="EQ83" i="1" s="1"/>
  <c r="CN83" i="1"/>
  <c r="DC95" i="1"/>
  <c r="EQ95" i="1" s="1"/>
  <c r="S100" i="1"/>
  <c r="T100" i="1" s="1"/>
  <c r="U100" i="1" s="1"/>
  <c r="AU100" i="1" s="1"/>
  <c r="O101" i="1"/>
  <c r="P101" i="1"/>
  <c r="BD101" i="1" s="1"/>
  <c r="BE101" i="1" s="1"/>
  <c r="S103" i="1"/>
  <c r="BG103" i="1" s="1"/>
  <c r="BH105" i="1"/>
  <c r="U105" i="1" s="1"/>
  <c r="V107" i="1"/>
  <c r="BJ107" i="1" s="1"/>
  <c r="Y113" i="1"/>
  <c r="BM113" i="1" s="1"/>
  <c r="BN113" i="1" s="1"/>
  <c r="AB115" i="1"/>
  <c r="BP115" i="1" s="1"/>
  <c r="CK122" i="1"/>
  <c r="DY122" i="1" s="1"/>
  <c r="BE131" i="1"/>
  <c r="R131" i="1" s="1"/>
  <c r="CZ135" i="1"/>
  <c r="EN135" i="1" s="1"/>
  <c r="CZ139" i="1"/>
  <c r="DA139" i="1" s="1"/>
  <c r="DB139" i="1" s="1"/>
  <c r="DR139" i="1" s="1"/>
  <c r="V143" i="1"/>
  <c r="W143" i="1" s="1"/>
  <c r="X143" i="1" s="1"/>
  <c r="AV143" i="1" s="1"/>
  <c r="O149" i="1"/>
  <c r="Y149" i="1"/>
  <c r="S149" i="1"/>
  <c r="BG149" i="1" s="1"/>
  <c r="CQ158" i="1"/>
  <c r="EE158" i="1" s="1"/>
  <c r="CW168" i="1"/>
  <c r="AK175" i="1"/>
  <c r="BY175" i="1" s="1"/>
  <c r="BZ175" i="1" s="1"/>
  <c r="V179" i="1"/>
  <c r="BJ179" i="1" s="1"/>
  <c r="BL179" i="1" s="1"/>
  <c r="AN190" i="1"/>
  <c r="CB190" i="1" s="1"/>
  <c r="DF190" i="1"/>
  <c r="ET190" i="1" s="1"/>
  <c r="CQ190" i="1"/>
  <c r="EE190" i="1" s="1"/>
  <c r="EG190" i="1" s="1"/>
  <c r="CK202" i="1"/>
  <c r="DY202" i="1" s="1"/>
  <c r="CQ212" i="1"/>
  <c r="EE212" i="1" s="1"/>
  <c r="AB215" i="1"/>
  <c r="AC215" i="1" s="1"/>
  <c r="AD215" i="1" s="1"/>
  <c r="AX215" i="1" s="1"/>
  <c r="AQ241" i="1"/>
  <c r="CE241" i="1" s="1"/>
  <c r="CG241" i="1" s="1"/>
  <c r="W245" i="1"/>
  <c r="X245" i="1" s="1"/>
  <c r="AV245" i="1" s="1"/>
  <c r="DF247" i="1"/>
  <c r="DG247" i="1" s="1"/>
  <c r="DH247" i="1" s="1"/>
  <c r="DT247" i="1" s="1"/>
  <c r="DC247" i="1"/>
  <c r="EQ247" i="1" s="1"/>
  <c r="ES247" i="1" s="1"/>
  <c r="AB247" i="1"/>
  <c r="BP247" i="1" s="1"/>
  <c r="Y247" i="1"/>
  <c r="BM247" i="1" s="1"/>
  <c r="CQ256" i="1"/>
  <c r="CR256" i="1" s="1"/>
  <c r="CS256" i="1" s="1"/>
  <c r="DO256" i="1" s="1"/>
  <c r="CT258" i="1"/>
  <c r="EH258" i="1" s="1"/>
  <c r="EI258" i="1" s="1"/>
  <c r="EW285" i="1"/>
  <c r="DJ285" i="1"/>
  <c r="DK285" i="1" s="1"/>
  <c r="DU285" i="1" s="1"/>
  <c r="CU293" i="1"/>
  <c r="CV293" i="1" s="1"/>
  <c r="DP293" i="1" s="1"/>
  <c r="EH293" i="1"/>
  <c r="EJ293" i="1" s="1"/>
  <c r="CH270" i="1"/>
  <c r="CI270" i="1" s="1"/>
  <c r="CJ270" i="1" s="1"/>
  <c r="DL270" i="1" s="1"/>
  <c r="DG302" i="1"/>
  <c r="DH302" i="1" s="1"/>
  <c r="DT302" i="1" s="1"/>
  <c r="DC76" i="1"/>
  <c r="DD76" i="1" s="1"/>
  <c r="DE76" i="1" s="1"/>
  <c r="DS76" i="1" s="1"/>
  <c r="AN84" i="1"/>
  <c r="CB84" i="1" s="1"/>
  <c r="CD84" i="1" s="1"/>
  <c r="AN127" i="1"/>
  <c r="CB127" i="1" s="1"/>
  <c r="CC127" i="1" s="1"/>
  <c r="CN160" i="1"/>
  <c r="EB160" i="1" s="1"/>
  <c r="DC187" i="1"/>
  <c r="EQ187" i="1" s="1"/>
  <c r="AK207" i="1"/>
  <c r="BY207" i="1" s="1"/>
  <c r="CN225" i="1"/>
  <c r="BH235" i="1"/>
  <c r="U235" i="1" s="1"/>
  <c r="AE263" i="1"/>
  <c r="DD273" i="1"/>
  <c r="DE273" i="1" s="1"/>
  <c r="DS273" i="1" s="1"/>
  <c r="CI276" i="1"/>
  <c r="CJ276" i="1" s="1"/>
  <c r="DL276" i="1" s="1"/>
  <c r="CI290" i="1"/>
  <c r="CJ290" i="1" s="1"/>
  <c r="DL290" i="1" s="1"/>
  <c r="EK293" i="1"/>
  <c r="DG299" i="1"/>
  <c r="DH299" i="1" s="1"/>
  <c r="DT299" i="1" s="1"/>
  <c r="CI302" i="1"/>
  <c r="CJ302" i="1" s="1"/>
  <c r="DL302" i="1" s="1"/>
  <c r="CN263" i="1"/>
  <c r="EB263" i="1" s="1"/>
  <c r="EW276" i="1"/>
  <c r="EX276" i="1" s="1"/>
  <c r="EE302" i="1"/>
  <c r="CK127" i="1"/>
  <c r="AE186" i="1"/>
  <c r="AF186" i="1" s="1"/>
  <c r="AG186" i="1" s="1"/>
  <c r="AY186" i="1" s="1"/>
  <c r="CK257" i="1"/>
  <c r="DY257" i="1" s="1"/>
  <c r="CK268" i="1"/>
  <c r="CL268" i="1" s="1"/>
  <c r="CM268" i="1" s="1"/>
  <c r="DM268" i="1" s="1"/>
  <c r="DZ275" i="1"/>
  <c r="CH111" i="1"/>
  <c r="CI111" i="1" s="1"/>
  <c r="CJ111" i="1" s="1"/>
  <c r="DL111" i="1" s="1"/>
  <c r="S127" i="1"/>
  <c r="Y130" i="1"/>
  <c r="Z130" i="1" s="1"/>
  <c r="AA130" i="1" s="1"/>
  <c r="AW130" i="1" s="1"/>
  <c r="CK145" i="1"/>
  <c r="CL145" i="1" s="1"/>
  <c r="CM145" i="1" s="1"/>
  <c r="DM145" i="1" s="1"/>
  <c r="BU157" i="1"/>
  <c r="AG157" i="1" s="1"/>
  <c r="BW170" i="1"/>
  <c r="AJ170" i="1" s="1"/>
  <c r="ET171" i="1"/>
  <c r="EV171" i="1" s="1"/>
  <c r="P176" i="1"/>
  <c r="Q176" i="1" s="1"/>
  <c r="R176" i="1" s="1"/>
  <c r="AT176" i="1" s="1"/>
  <c r="V184" i="1"/>
  <c r="BJ184" i="1" s="1"/>
  <c r="BL184" i="1" s="1"/>
  <c r="AK194" i="1"/>
  <c r="AL194" i="1" s="1"/>
  <c r="AM194" i="1" s="1"/>
  <c r="BA194" i="1" s="1"/>
  <c r="AN195" i="1"/>
  <c r="AO195" i="1" s="1"/>
  <c r="AP195" i="1" s="1"/>
  <c r="BB195" i="1" s="1"/>
  <c r="CQ204" i="1"/>
  <c r="BF209" i="1"/>
  <c r="R209" i="1" s="1"/>
  <c r="DA233" i="1"/>
  <c r="DB233" i="1" s="1"/>
  <c r="DR233" i="1" s="1"/>
  <c r="CN242" i="1"/>
  <c r="EB242" i="1" s="1"/>
  <c r="ED242" i="1" s="1"/>
  <c r="CK246" i="1"/>
  <c r="DY246" i="1" s="1"/>
  <c r="DZ246" i="1" s="1"/>
  <c r="AQ252" i="1"/>
  <c r="AR252" i="1" s="1"/>
  <c r="AS252" i="1" s="1"/>
  <c r="BC252" i="1" s="1"/>
  <c r="CO273" i="1"/>
  <c r="CP273" i="1" s="1"/>
  <c r="DN273" i="1" s="1"/>
  <c r="CL275" i="1"/>
  <c r="CM275" i="1" s="1"/>
  <c r="DM275" i="1" s="1"/>
  <c r="CI278" i="1"/>
  <c r="CJ278" i="1" s="1"/>
  <c r="DL278" i="1" s="1"/>
  <c r="EH300" i="1"/>
  <c r="EJ300" i="1" s="1"/>
  <c r="CX302" i="1"/>
  <c r="CY302" i="1" s="1"/>
  <c r="DQ302" i="1" s="1"/>
  <c r="DX303" i="1"/>
  <c r="EJ303" i="1"/>
  <c r="EK303" i="1"/>
  <c r="CC40" i="1"/>
  <c r="AP40" i="1" s="1"/>
  <c r="EW38" i="1"/>
  <c r="DJ38" i="1"/>
  <c r="DK38" i="1" s="1"/>
  <c r="DU38" i="1" s="1"/>
  <c r="EY26" i="1"/>
  <c r="EX26" i="1"/>
  <c r="CO42" i="1"/>
  <c r="CP42" i="1" s="1"/>
  <c r="DN42" i="1" s="1"/>
  <c r="EB42" i="1"/>
  <c r="ED42" i="1" s="1"/>
  <c r="CL37" i="1"/>
  <c r="CM37" i="1" s="1"/>
  <c r="DM37" i="1" s="1"/>
  <c r="DY37" i="1"/>
  <c r="EA37" i="1" s="1"/>
  <c r="BM22" i="1"/>
  <c r="Z22" i="1"/>
  <c r="AA22" i="1" s="1"/>
  <c r="AW22" i="1" s="1"/>
  <c r="EB43" i="1"/>
  <c r="ED43" i="1" s="1"/>
  <c r="CO43" i="1"/>
  <c r="CP43" i="1" s="1"/>
  <c r="DN43" i="1" s="1"/>
  <c r="O28" i="1"/>
  <c r="AK20" i="1"/>
  <c r="CH28" i="1"/>
  <c r="DV28" i="1" s="1"/>
  <c r="EQ39" i="1"/>
  <c r="ES39" i="1" s="1"/>
  <c r="DD39" i="1"/>
  <c r="DE39" i="1" s="1"/>
  <c r="DS39" i="1" s="1"/>
  <c r="EE65" i="1"/>
  <c r="CR65" i="1"/>
  <c r="CS65" i="1" s="1"/>
  <c r="DO65" i="1" s="1"/>
  <c r="CX87" i="1"/>
  <c r="CY87" i="1" s="1"/>
  <c r="DQ87" i="1" s="1"/>
  <c r="EK87" i="1"/>
  <c r="EM87" i="1" s="1"/>
  <c r="CF118" i="1"/>
  <c r="CG118" i="1"/>
  <c r="O13" i="1"/>
  <c r="DI13" i="1"/>
  <c r="DJ13" i="1" s="1"/>
  <c r="DK13" i="1" s="1"/>
  <c r="DU13" i="1" s="1"/>
  <c r="BO14" i="1"/>
  <c r="AA14" i="1" s="1"/>
  <c r="P20" i="1"/>
  <c r="CK20" i="1"/>
  <c r="DC21" i="1"/>
  <c r="EQ21" i="1" s="1"/>
  <c r="ER21" i="1" s="1"/>
  <c r="AH26" i="1"/>
  <c r="BV26" i="1" s="1"/>
  <c r="CQ28" i="1"/>
  <c r="V33" i="1"/>
  <c r="W33" i="1" s="1"/>
  <c r="X33" i="1" s="1"/>
  <c r="AV33" i="1" s="1"/>
  <c r="AQ33" i="1"/>
  <c r="DI37" i="1"/>
  <c r="CK38" i="1"/>
  <c r="DY38" i="1" s="1"/>
  <c r="BX40" i="1"/>
  <c r="AJ40" i="1" s="1"/>
  <c r="AN82" i="1"/>
  <c r="CB82" i="1" s="1"/>
  <c r="P82" i="1"/>
  <c r="CT82" i="1"/>
  <c r="DX290" i="1"/>
  <c r="DW290" i="1"/>
  <c r="AH4" i="1"/>
  <c r="AI4" i="1" s="1"/>
  <c r="AJ4" i="1" s="1"/>
  <c r="AZ4" i="1" s="1"/>
  <c r="AB7" i="1"/>
  <c r="AC7" i="1" s="1"/>
  <c r="AD7" i="1" s="1"/>
  <c r="AX7" i="1" s="1"/>
  <c r="AK8" i="1"/>
  <c r="Y9" i="1"/>
  <c r="Z9" i="1" s="1"/>
  <c r="AA9" i="1" s="1"/>
  <c r="AW9" i="1" s="1"/>
  <c r="AB10" i="1"/>
  <c r="BP10" i="1" s="1"/>
  <c r="Y11" i="1"/>
  <c r="CW12" i="1"/>
  <c r="AE13" i="1"/>
  <c r="BS13" i="1" s="1"/>
  <c r="BT14" i="1"/>
  <c r="AG14" i="1" s="1"/>
  <c r="AH16" i="1"/>
  <c r="BV16" i="1" s="1"/>
  <c r="BX16" i="1" s="1"/>
  <c r="CZ16" i="1"/>
  <c r="EN16" i="1" s="1"/>
  <c r="BU27" i="1"/>
  <c r="AG27" i="1" s="1"/>
  <c r="S28" i="1"/>
  <c r="P29" i="1"/>
  <c r="AK30" i="1"/>
  <c r="BY30" i="1" s="1"/>
  <c r="BZ30" i="1" s="1"/>
  <c r="CT31" i="1"/>
  <c r="CU31" i="1" s="1"/>
  <c r="CV31" i="1" s="1"/>
  <c r="DP31" i="1" s="1"/>
  <c r="AI32" i="1"/>
  <c r="AJ32" i="1" s="1"/>
  <c r="AZ32" i="1" s="1"/>
  <c r="AB33" i="1"/>
  <c r="CZ33" i="1"/>
  <c r="DA33" i="1" s="1"/>
  <c r="DB33" i="1" s="1"/>
  <c r="DR33" i="1" s="1"/>
  <c r="P36" i="1"/>
  <c r="AK36" i="1"/>
  <c r="AL36" i="1" s="1"/>
  <c r="AM36" i="1" s="1"/>
  <c r="BA36" i="1" s="1"/>
  <c r="CQ36" i="1"/>
  <c r="CR36" i="1" s="1"/>
  <c r="CS36" i="1" s="1"/>
  <c r="DO36" i="1" s="1"/>
  <c r="BF40" i="1"/>
  <c r="R40" i="1" s="1"/>
  <c r="AK42" i="1"/>
  <c r="AL42" i="1" s="1"/>
  <c r="AM42" i="1" s="1"/>
  <c r="BA42" i="1" s="1"/>
  <c r="CW51" i="1"/>
  <c r="CX51" i="1" s="1"/>
  <c r="CY51" i="1" s="1"/>
  <c r="DQ51" i="1" s="1"/>
  <c r="CA53" i="1"/>
  <c r="BZ53" i="1"/>
  <c r="CN36" i="1"/>
  <c r="AK4" i="1"/>
  <c r="CN4" i="1"/>
  <c r="EB4" i="1" s="1"/>
  <c r="ED4" i="1" s="1"/>
  <c r="CN7" i="1"/>
  <c r="CH9" i="1"/>
  <c r="CI9" i="1" s="1"/>
  <c r="CJ9" i="1" s="1"/>
  <c r="DL9" i="1" s="1"/>
  <c r="AN10" i="1"/>
  <c r="CB10" i="1" s="1"/>
  <c r="CZ12" i="1"/>
  <c r="EN12" i="1" s="1"/>
  <c r="EP12" i="1" s="1"/>
  <c r="AH13" i="1"/>
  <c r="BV13" i="1" s="1"/>
  <c r="AK16" i="1"/>
  <c r="AL16" i="1" s="1"/>
  <c r="AM16" i="1" s="1"/>
  <c r="BA16" i="1" s="1"/>
  <c r="DG16" i="1"/>
  <c r="DH16" i="1" s="1"/>
  <c r="DT16" i="1" s="1"/>
  <c r="AE19" i="1"/>
  <c r="AF19" i="1" s="1"/>
  <c r="AG19" i="1" s="1"/>
  <c r="AY19" i="1" s="1"/>
  <c r="DC19" i="1"/>
  <c r="EQ19" i="1" s="1"/>
  <c r="ES19" i="1" s="1"/>
  <c r="O22" i="1"/>
  <c r="AB25" i="1"/>
  <c r="BP25" i="1" s="1"/>
  <c r="Y28" i="1"/>
  <c r="BM28" i="1" s="1"/>
  <c r="CZ28" i="1"/>
  <c r="Y29" i="1"/>
  <c r="AN30" i="1"/>
  <c r="CB30" i="1" s="1"/>
  <c r="CW31" i="1"/>
  <c r="EK31" i="1" s="1"/>
  <c r="AN32" i="1"/>
  <c r="CB32" i="1" s="1"/>
  <c r="CD32" i="1" s="1"/>
  <c r="DC33" i="1"/>
  <c r="S36" i="1"/>
  <c r="AN36" i="1"/>
  <c r="AO36" i="1" s="1"/>
  <c r="AP36" i="1" s="1"/>
  <c r="BB36" i="1" s="1"/>
  <c r="CZ36" i="1"/>
  <c r="EN36" i="1" s="1"/>
  <c r="EP36" i="1" s="1"/>
  <c r="BI40" i="1"/>
  <c r="BH40" i="1"/>
  <c r="CK42" i="1"/>
  <c r="DY42" i="1" s="1"/>
  <c r="AH47" i="1"/>
  <c r="CK47" i="1"/>
  <c r="CH50" i="1"/>
  <c r="DI56" i="1"/>
  <c r="DF56" i="1"/>
  <c r="CW56" i="1"/>
  <c r="CT56" i="1"/>
  <c r="EH56" i="1" s="1"/>
  <c r="AK56" i="1"/>
  <c r="BY56" i="1" s="1"/>
  <c r="AB56" i="1"/>
  <c r="AC56" i="1" s="1"/>
  <c r="AD56" i="1" s="1"/>
  <c r="AX56" i="1" s="1"/>
  <c r="P56" i="1"/>
  <c r="BD56" i="1" s="1"/>
  <c r="Q61" i="1"/>
  <c r="R61" i="1" s="1"/>
  <c r="AT61" i="1" s="1"/>
  <c r="BD61" i="1"/>
  <c r="BF61" i="1" s="1"/>
  <c r="AH75" i="1"/>
  <c r="AI75" i="1" s="1"/>
  <c r="AJ75" i="1" s="1"/>
  <c r="AZ75" i="1" s="1"/>
  <c r="DF75" i="1"/>
  <c r="ET75" i="1" s="1"/>
  <c r="CW4" i="1"/>
  <c r="AN8" i="1"/>
  <c r="CB8" i="1" s="1"/>
  <c r="CC8" i="1" s="1"/>
  <c r="CK9" i="1"/>
  <c r="AQ10" i="1"/>
  <c r="CE10" i="1" s="1"/>
  <c r="DC12" i="1"/>
  <c r="DD12" i="1" s="1"/>
  <c r="DE12" i="1" s="1"/>
  <c r="DS12" i="1" s="1"/>
  <c r="AQ13" i="1"/>
  <c r="CE13" i="1" s="1"/>
  <c r="CG13" i="1" s="1"/>
  <c r="DG19" i="1"/>
  <c r="DH19" i="1" s="1"/>
  <c r="DT19" i="1" s="1"/>
  <c r="V20" i="1"/>
  <c r="CT20" i="1"/>
  <c r="CU20" i="1" s="1"/>
  <c r="CV20" i="1" s="1"/>
  <c r="DP20" i="1" s="1"/>
  <c r="S22" i="1"/>
  <c r="BW27" i="1"/>
  <c r="AJ27" i="1" s="1"/>
  <c r="AK28" i="1"/>
  <c r="BY28" i="1" s="1"/>
  <c r="DC28" i="1"/>
  <c r="DC31" i="1"/>
  <c r="DD31" i="1" s="1"/>
  <c r="DE31" i="1" s="1"/>
  <c r="DS31" i="1" s="1"/>
  <c r="AQ32" i="1"/>
  <c r="CE32" i="1" s="1"/>
  <c r="AE33" i="1"/>
  <c r="AQ36" i="1"/>
  <c r="DC36" i="1"/>
  <c r="DD36" i="1" s="1"/>
  <c r="DE36" i="1" s="1"/>
  <c r="DS36" i="1" s="1"/>
  <c r="X40" i="1"/>
  <c r="CG40" i="1"/>
  <c r="CF40" i="1"/>
  <c r="O56" i="1"/>
  <c r="AH58" i="1"/>
  <c r="DC58" i="1"/>
  <c r="DD58" i="1" s="1"/>
  <c r="DE58" i="1" s="1"/>
  <c r="DS58" i="1" s="1"/>
  <c r="AK58" i="1"/>
  <c r="AL58" i="1" s="1"/>
  <c r="AM58" i="1" s="1"/>
  <c r="BA58" i="1" s="1"/>
  <c r="CW58" i="1"/>
  <c r="EK58" i="1" s="1"/>
  <c r="EL58" i="1" s="1"/>
  <c r="CQ58" i="1"/>
  <c r="CR58" i="1" s="1"/>
  <c r="CS58" i="1" s="1"/>
  <c r="DO58" i="1" s="1"/>
  <c r="AE58" i="1"/>
  <c r="AF58" i="1" s="1"/>
  <c r="AG58" i="1" s="1"/>
  <c r="AY58" i="1" s="1"/>
  <c r="AB58" i="1"/>
  <c r="BP58" i="1" s="1"/>
  <c r="CK58" i="1"/>
  <c r="Y58" i="1"/>
  <c r="Z58" i="1" s="1"/>
  <c r="AA58" i="1" s="1"/>
  <c r="AW58" i="1" s="1"/>
  <c r="S58" i="1"/>
  <c r="P58" i="1"/>
  <c r="O58" i="1"/>
  <c r="DI58" i="1"/>
  <c r="EW58" i="1" s="1"/>
  <c r="EX58" i="1" s="1"/>
  <c r="AN58" i="1"/>
  <c r="CB58" i="1" s="1"/>
  <c r="CD58" i="1" s="1"/>
  <c r="EQ73" i="1"/>
  <c r="ES73" i="1" s="1"/>
  <c r="DD73" i="1"/>
  <c r="DE73" i="1" s="1"/>
  <c r="DS73" i="1" s="1"/>
  <c r="DI93" i="1"/>
  <c r="DJ93" i="1" s="1"/>
  <c r="DK93" i="1" s="1"/>
  <c r="DU93" i="1" s="1"/>
  <c r="DF93" i="1"/>
  <c r="ET93" i="1" s="1"/>
  <c r="CW93" i="1"/>
  <c r="CK93" i="1"/>
  <c r="CT93" i="1"/>
  <c r="EH93" i="1" s="1"/>
  <c r="AH93" i="1"/>
  <c r="V93" i="1"/>
  <c r="O36" i="1"/>
  <c r="Y20" i="1"/>
  <c r="Z20" i="1" s="1"/>
  <c r="AA20" i="1" s="1"/>
  <c r="AW20" i="1" s="1"/>
  <c r="CQ26" i="1"/>
  <c r="AQ28" i="1"/>
  <c r="AB29" i="1"/>
  <c r="V36" i="1"/>
  <c r="DI39" i="1"/>
  <c r="AQ39" i="1"/>
  <c r="AR39" i="1" s="1"/>
  <c r="AS39" i="1" s="1"/>
  <c r="BC39" i="1" s="1"/>
  <c r="DF46" i="1"/>
  <c r="DG46" i="1" s="1"/>
  <c r="DH46" i="1" s="1"/>
  <c r="DT46" i="1" s="1"/>
  <c r="AN46" i="1"/>
  <c r="AO46" i="1" s="1"/>
  <c r="AP46" i="1" s="1"/>
  <c r="BB46" i="1" s="1"/>
  <c r="AR58" i="1"/>
  <c r="AS58" i="1" s="1"/>
  <c r="BC58" i="1" s="1"/>
  <c r="CE58" i="1"/>
  <c r="BM61" i="1"/>
  <c r="CW63" i="1"/>
  <c r="EK63" i="1" s="1"/>
  <c r="AH63" i="1"/>
  <c r="AE63" i="1"/>
  <c r="AF63" i="1" s="1"/>
  <c r="AG63" i="1" s="1"/>
  <c r="AY63" i="1" s="1"/>
  <c r="CT63" i="1"/>
  <c r="AB63" i="1"/>
  <c r="AC63" i="1" s="1"/>
  <c r="AD63" i="1" s="1"/>
  <c r="AX63" i="1" s="1"/>
  <c r="CQ63" i="1"/>
  <c r="CR63" i="1" s="1"/>
  <c r="CS63" i="1" s="1"/>
  <c r="DO63" i="1" s="1"/>
  <c r="V63" i="1"/>
  <c r="BJ63" i="1" s="1"/>
  <c r="CH63" i="1"/>
  <c r="S63" i="1"/>
  <c r="P63" i="1"/>
  <c r="DC63" i="1"/>
  <c r="DD63" i="1" s="1"/>
  <c r="DE63" i="1" s="1"/>
  <c r="DS63" i="1" s="1"/>
  <c r="CT28" i="1"/>
  <c r="CN9" i="1"/>
  <c r="EB9" i="1" s="1"/>
  <c r="CW9" i="1"/>
  <c r="CH18" i="1"/>
  <c r="O19" i="1"/>
  <c r="AK19" i="1"/>
  <c r="BY19" i="1" s="1"/>
  <c r="AB20" i="1"/>
  <c r="DC20" i="1"/>
  <c r="EQ20" i="1" s="1"/>
  <c r="V21" i="1"/>
  <c r="BJ21" i="1" s="1"/>
  <c r="O26" i="1"/>
  <c r="CW26" i="1"/>
  <c r="BZ27" i="1"/>
  <c r="AM27" i="1" s="1"/>
  <c r="DF28" i="1"/>
  <c r="ET28" i="1" s="1"/>
  <c r="EV28" i="1" s="1"/>
  <c r="CW30" i="1"/>
  <c r="CX30" i="1" s="1"/>
  <c r="CY30" i="1" s="1"/>
  <c r="DQ30" i="1" s="1"/>
  <c r="O33" i="1"/>
  <c r="AH33" i="1"/>
  <c r="AI33" i="1" s="1"/>
  <c r="AJ33" i="1" s="1"/>
  <c r="AZ33" i="1" s="1"/>
  <c r="DI33" i="1"/>
  <c r="O37" i="1"/>
  <c r="DC37" i="1"/>
  <c r="AN38" i="1"/>
  <c r="CB38" i="1" s="1"/>
  <c r="V38" i="1"/>
  <c r="O38" i="1"/>
  <c r="CQ38" i="1"/>
  <c r="S39" i="1"/>
  <c r="AE46" i="1"/>
  <c r="BS46" i="1" s="1"/>
  <c r="V52" i="1"/>
  <c r="W52" i="1" s="1"/>
  <c r="X52" i="1" s="1"/>
  <c r="AV52" i="1" s="1"/>
  <c r="DF52" i="1"/>
  <c r="ET52" i="1" s="1"/>
  <c r="CW52" i="1"/>
  <c r="EK52" i="1" s="1"/>
  <c r="CT52" i="1"/>
  <c r="EH52" i="1" s="1"/>
  <c r="EJ52" i="1" s="1"/>
  <c r="CH52" i="1"/>
  <c r="AN52" i="1"/>
  <c r="AO52" i="1" s="1"/>
  <c r="AP52" i="1" s="1"/>
  <c r="BB52" i="1" s="1"/>
  <c r="AB52" i="1"/>
  <c r="BP52" i="1" s="1"/>
  <c r="BQ52" i="1" s="1"/>
  <c r="O63" i="1"/>
  <c r="DF91" i="1"/>
  <c r="ET91" i="1" s="1"/>
  <c r="DI91" i="1"/>
  <c r="EW91" i="1" s="1"/>
  <c r="AQ91" i="1"/>
  <c r="DC91" i="1"/>
  <c r="AN91" i="1"/>
  <c r="V91" i="1"/>
  <c r="CZ91" i="1"/>
  <c r="DA91" i="1" s="1"/>
  <c r="DB91" i="1" s="1"/>
  <c r="DR91" i="1" s="1"/>
  <c r="AK91" i="1"/>
  <c r="CW91" i="1"/>
  <c r="EK91" i="1" s="1"/>
  <c r="S91" i="1"/>
  <c r="CQ91" i="1"/>
  <c r="AH91" i="1"/>
  <c r="P91" i="1"/>
  <c r="CN91" i="1"/>
  <c r="O91" i="1"/>
  <c r="AE91" i="1"/>
  <c r="CK91" i="1"/>
  <c r="CL91" i="1" s="1"/>
  <c r="CM91" i="1" s="1"/>
  <c r="DM91" i="1" s="1"/>
  <c r="AB91" i="1"/>
  <c r="Y91" i="1"/>
  <c r="DF96" i="1"/>
  <c r="ET96" i="1" s="1"/>
  <c r="AB96" i="1"/>
  <c r="DI96" i="1"/>
  <c r="EW96" i="1" s="1"/>
  <c r="Y96" i="1"/>
  <c r="AQ96" i="1"/>
  <c r="DC96" i="1"/>
  <c r="AN96" i="1"/>
  <c r="V96" i="1"/>
  <c r="CW96" i="1"/>
  <c r="EK96" i="1" s="1"/>
  <c r="S96" i="1"/>
  <c r="AK96" i="1"/>
  <c r="AL96" i="1" s="1"/>
  <c r="AM96" i="1" s="1"/>
  <c r="BA96" i="1" s="1"/>
  <c r="AH96" i="1"/>
  <c r="CZ96" i="1"/>
  <c r="AE96" i="1"/>
  <c r="CQ96" i="1"/>
  <c r="CN96" i="1"/>
  <c r="CK96" i="1"/>
  <c r="DY96" i="1" s="1"/>
  <c r="P96" i="1"/>
  <c r="AK7" i="1"/>
  <c r="BY7" i="1" s="1"/>
  <c r="CZ7" i="1"/>
  <c r="S8" i="1"/>
  <c r="BG8" i="1" s="1"/>
  <c r="CK8" i="1"/>
  <c r="DY8" i="1" s="1"/>
  <c r="DC9" i="1"/>
  <c r="DD9" i="1" s="1"/>
  <c r="DE9" i="1" s="1"/>
  <c r="DS9" i="1" s="1"/>
  <c r="CW11" i="1"/>
  <c r="EK11" i="1" s="1"/>
  <c r="AB12" i="1"/>
  <c r="CK13" i="1"/>
  <c r="S16" i="1"/>
  <c r="CN17" i="1"/>
  <c r="O18" i="1"/>
  <c r="CN18" i="1"/>
  <c r="EB18" i="1" s="1"/>
  <c r="EC18" i="1" s="1"/>
  <c r="P19" i="1"/>
  <c r="AN19" i="1"/>
  <c r="AE20" i="1"/>
  <c r="DF20" i="1"/>
  <c r="DG20" i="1" s="1"/>
  <c r="DH20" i="1" s="1"/>
  <c r="DT20" i="1" s="1"/>
  <c r="Y21" i="1"/>
  <c r="P26" i="1"/>
  <c r="BD26" i="1" s="1"/>
  <c r="CZ26" i="1"/>
  <c r="DA26" i="1" s="1"/>
  <c r="DB26" i="1" s="1"/>
  <c r="DR26" i="1" s="1"/>
  <c r="CH29" i="1"/>
  <c r="DF30" i="1"/>
  <c r="ET30" i="1" s="1"/>
  <c r="CK32" i="1"/>
  <c r="DY32" i="1" s="1"/>
  <c r="P33" i="1"/>
  <c r="AK33" i="1"/>
  <c r="CK33" i="1"/>
  <c r="Y36" i="1"/>
  <c r="Z36" i="1" s="1"/>
  <c r="AA36" i="1" s="1"/>
  <c r="AW36" i="1" s="1"/>
  <c r="P37" i="1"/>
  <c r="CQ37" i="1"/>
  <c r="Y38" i="1"/>
  <c r="Z38" i="1" s="1"/>
  <c r="AA38" i="1" s="1"/>
  <c r="AW38" i="1" s="1"/>
  <c r="AE39" i="1"/>
  <c r="AF39" i="1" s="1"/>
  <c r="AG39" i="1" s="1"/>
  <c r="AY39" i="1" s="1"/>
  <c r="CN44" i="1"/>
  <c r="BD47" i="1"/>
  <c r="DI51" i="1"/>
  <c r="DF51" i="1"/>
  <c r="ET51" i="1" s="1"/>
  <c r="AN51" i="1"/>
  <c r="CB51" i="1" s="1"/>
  <c r="CT51" i="1"/>
  <c r="EH51" i="1" s="1"/>
  <c r="EJ51" i="1" s="1"/>
  <c r="CQ51" i="1"/>
  <c r="CR51" i="1" s="1"/>
  <c r="CS51" i="1" s="1"/>
  <c r="DO51" i="1" s="1"/>
  <c r="Y51" i="1"/>
  <c r="CK51" i="1"/>
  <c r="CL51" i="1" s="1"/>
  <c r="CM51" i="1" s="1"/>
  <c r="DM51" i="1" s="1"/>
  <c r="O51" i="1"/>
  <c r="O52" i="1"/>
  <c r="AN63" i="1"/>
  <c r="CB63" i="1" s="1"/>
  <c r="DF80" i="1"/>
  <c r="ET80" i="1" s="1"/>
  <c r="AH80" i="1"/>
  <c r="AI80" i="1" s="1"/>
  <c r="AJ80" i="1" s="1"/>
  <c r="AZ80" i="1" s="1"/>
  <c r="O96" i="1"/>
  <c r="AH19" i="1"/>
  <c r="BV19" i="1" s="1"/>
  <c r="CZ20" i="1"/>
  <c r="DA20" i="1" s="1"/>
  <c r="DB20" i="1" s="1"/>
  <c r="DR20" i="1" s="1"/>
  <c r="BD4" i="1"/>
  <c r="DI4" i="1"/>
  <c r="O7" i="1"/>
  <c r="AN7" i="1"/>
  <c r="AO7" i="1" s="1"/>
  <c r="AP7" i="1" s="1"/>
  <c r="BB7" i="1" s="1"/>
  <c r="Y8" i="1"/>
  <c r="CT8" i="1"/>
  <c r="CU8" i="1" s="1"/>
  <c r="CV8" i="1" s="1"/>
  <c r="DP8" i="1" s="1"/>
  <c r="DF9" i="1"/>
  <c r="ET9" i="1" s="1"/>
  <c r="EU9" i="1" s="1"/>
  <c r="AH11" i="1"/>
  <c r="BV11" i="1" s="1"/>
  <c r="CZ11" i="1"/>
  <c r="EN11" i="1" s="1"/>
  <c r="BK14" i="1"/>
  <c r="X14" i="1" s="1"/>
  <c r="CA14" i="1"/>
  <c r="AM14" i="1" s="1"/>
  <c r="S18" i="1"/>
  <c r="BG18" i="1" s="1"/>
  <c r="BI18" i="1" s="1"/>
  <c r="DA18" i="1"/>
  <c r="DB18" i="1" s="1"/>
  <c r="DR18" i="1" s="1"/>
  <c r="S19" i="1"/>
  <c r="BG19" i="1" s="1"/>
  <c r="BH19" i="1" s="1"/>
  <c r="DI20" i="1"/>
  <c r="V26" i="1"/>
  <c r="DF26" i="1"/>
  <c r="ET26" i="1" s="1"/>
  <c r="EU26" i="1" s="1"/>
  <c r="BL27" i="1"/>
  <c r="X27" i="1" s="1"/>
  <c r="O32" i="1"/>
  <c r="CQ32" i="1"/>
  <c r="AN33" i="1"/>
  <c r="AB36" i="1"/>
  <c r="CW37" i="1"/>
  <c r="AH38" i="1"/>
  <c r="BV38" i="1" s="1"/>
  <c r="DF47" i="1"/>
  <c r="ET47" i="1" s="1"/>
  <c r="EV47" i="1" s="1"/>
  <c r="AN47" i="1"/>
  <c r="V47" i="1"/>
  <c r="S47" i="1"/>
  <c r="T47" i="1" s="1"/>
  <c r="U47" i="1" s="1"/>
  <c r="AU47" i="1" s="1"/>
  <c r="CN47" i="1"/>
  <c r="AK47" i="1"/>
  <c r="AE47" i="1"/>
  <c r="CZ47" i="1"/>
  <c r="AB47" i="1"/>
  <c r="DC47" i="1"/>
  <c r="EQ47" i="1" s="1"/>
  <c r="ER47" i="1" s="1"/>
  <c r="AQ59" i="1"/>
  <c r="CE59" i="1" s="1"/>
  <c r="DI59" i="1"/>
  <c r="CZ59" i="1"/>
  <c r="CW59" i="1"/>
  <c r="EK59" i="1" s="1"/>
  <c r="EM59" i="1" s="1"/>
  <c r="CT59" i="1"/>
  <c r="CU59" i="1" s="1"/>
  <c r="CV59" i="1" s="1"/>
  <c r="DP59" i="1" s="1"/>
  <c r="CN59" i="1"/>
  <c r="CK59" i="1"/>
  <c r="AE59" i="1"/>
  <c r="BS59" i="1" s="1"/>
  <c r="BU59" i="1" s="1"/>
  <c r="AQ63" i="1"/>
  <c r="AH36" i="1"/>
  <c r="AH50" i="1"/>
  <c r="AI50" i="1" s="1"/>
  <c r="AJ50" i="1" s="1"/>
  <c r="AZ50" i="1" s="1"/>
  <c r="DF50" i="1"/>
  <c r="ET50" i="1" s="1"/>
  <c r="EU50" i="1" s="1"/>
  <c r="CN50" i="1"/>
  <c r="AB50" i="1"/>
  <c r="Y50" i="1"/>
  <c r="DF10" i="1"/>
  <c r="ET10" i="1" s="1"/>
  <c r="EU10" i="1" s="1"/>
  <c r="S4" i="1"/>
  <c r="BG4" i="1" s="1"/>
  <c r="P7" i="1"/>
  <c r="DC7" i="1"/>
  <c r="CW8" i="1"/>
  <c r="EK8" i="1" s="1"/>
  <c r="DI9" i="1"/>
  <c r="EW9" i="1" s="1"/>
  <c r="EX9" i="1" s="1"/>
  <c r="O11" i="1"/>
  <c r="AK11" i="1"/>
  <c r="DG11" i="1"/>
  <c r="DH11" i="1" s="1"/>
  <c r="DT11" i="1" s="1"/>
  <c r="AN12" i="1"/>
  <c r="AO12" i="1" s="1"/>
  <c r="AP12" i="1" s="1"/>
  <c r="BB12" i="1" s="1"/>
  <c r="CW13" i="1"/>
  <c r="V16" i="1"/>
  <c r="BJ16" i="1" s="1"/>
  <c r="P17" i="1"/>
  <c r="CQ17" i="1"/>
  <c r="EE17" i="1" s="1"/>
  <c r="V18" i="1"/>
  <c r="V19" i="1"/>
  <c r="AQ19" i="1"/>
  <c r="CN19" i="1"/>
  <c r="EB19" i="1" s="1"/>
  <c r="AH20" i="1"/>
  <c r="BV20" i="1" s="1"/>
  <c r="BW20" i="1" s="1"/>
  <c r="CN29" i="1"/>
  <c r="S33" i="1"/>
  <c r="CN33" i="1"/>
  <c r="AE36" i="1"/>
  <c r="V37" i="1"/>
  <c r="BJ37" i="1" s="1"/>
  <c r="CZ37" i="1"/>
  <c r="AK38" i="1"/>
  <c r="CQ39" i="1"/>
  <c r="EE39" i="1" s="1"/>
  <c r="EG39" i="1" s="1"/>
  <c r="DI42" i="1"/>
  <c r="EW42" i="1" s="1"/>
  <c r="AN42" i="1"/>
  <c r="Y42" i="1"/>
  <c r="CT42" i="1"/>
  <c r="DI43" i="1"/>
  <c r="DJ43" i="1" s="1"/>
  <c r="DK43" i="1" s="1"/>
  <c r="DU43" i="1" s="1"/>
  <c r="AE43" i="1"/>
  <c r="CW43" i="1"/>
  <c r="Y43" i="1"/>
  <c r="Z43" i="1" s="1"/>
  <c r="AA43" i="1" s="1"/>
  <c r="AW43" i="1" s="1"/>
  <c r="O43" i="1"/>
  <c r="AQ43" i="1"/>
  <c r="AN43" i="1"/>
  <c r="DI63" i="1"/>
  <c r="CN69" i="1"/>
  <c r="EB69" i="1" s="1"/>
  <c r="CL83" i="1"/>
  <c r="CM83" i="1" s="1"/>
  <c r="DM83" i="1" s="1"/>
  <c r="DY83" i="1"/>
  <c r="EK107" i="1"/>
  <c r="EM107" i="1" s="1"/>
  <c r="DC114" i="1"/>
  <c r="EQ114" i="1" s="1"/>
  <c r="CZ114" i="1"/>
  <c r="CW114" i="1"/>
  <c r="CX114" i="1" s="1"/>
  <c r="CY114" i="1" s="1"/>
  <c r="DQ114" i="1" s="1"/>
  <c r="CN114" i="1"/>
  <c r="EB114" i="1" s="1"/>
  <c r="AK114" i="1"/>
  <c r="V114" i="1"/>
  <c r="BJ114" i="1" s="1"/>
  <c r="BL114" i="1" s="1"/>
  <c r="DF48" i="1"/>
  <c r="DG48" i="1" s="1"/>
  <c r="DH48" i="1" s="1"/>
  <c r="DT48" i="1" s="1"/>
  <c r="CT61" i="1"/>
  <c r="CU61" i="1" s="1"/>
  <c r="CV61" i="1" s="1"/>
  <c r="DP61" i="1" s="1"/>
  <c r="AH64" i="1"/>
  <c r="CH67" i="1"/>
  <c r="CI67" i="1" s="1"/>
  <c r="CJ67" i="1" s="1"/>
  <c r="DL67" i="1" s="1"/>
  <c r="S69" i="1"/>
  <c r="AQ69" i="1"/>
  <c r="DC69" i="1"/>
  <c r="AK70" i="1"/>
  <c r="AK78" i="1"/>
  <c r="CQ83" i="1"/>
  <c r="EE83" i="1" s="1"/>
  <c r="CN87" i="1"/>
  <c r="CH60" i="1"/>
  <c r="AK61" i="1"/>
  <c r="CW61" i="1"/>
  <c r="CN64" i="1"/>
  <c r="EB64" i="1" s="1"/>
  <c r="CT67" i="1"/>
  <c r="CU67" i="1" s="1"/>
  <c r="CV67" i="1" s="1"/>
  <c r="DP67" i="1" s="1"/>
  <c r="AN70" i="1"/>
  <c r="CB70" i="1" s="1"/>
  <c r="CW70" i="1"/>
  <c r="CX70" i="1" s="1"/>
  <c r="CY70" i="1" s="1"/>
  <c r="DQ70" i="1" s="1"/>
  <c r="AQ72" i="1"/>
  <c r="AR72" i="1" s="1"/>
  <c r="AS72" i="1" s="1"/>
  <c r="BC72" i="1" s="1"/>
  <c r="CK78" i="1"/>
  <c r="DY78" i="1" s="1"/>
  <c r="CZ81" i="1"/>
  <c r="DA81" i="1" s="1"/>
  <c r="DB81" i="1" s="1"/>
  <c r="DR81" i="1" s="1"/>
  <c r="Y81" i="1"/>
  <c r="O81" i="1"/>
  <c r="CW83" i="1"/>
  <c r="DF99" i="1"/>
  <c r="DC99" i="1"/>
  <c r="CZ99" i="1"/>
  <c r="EN99" i="1" s="1"/>
  <c r="CQ99" i="1"/>
  <c r="CN99" i="1"/>
  <c r="EB99" i="1" s="1"/>
  <c r="AN99" i="1"/>
  <c r="BW222" i="1"/>
  <c r="BX222" i="1"/>
  <c r="CW41" i="1"/>
  <c r="DI45" i="1"/>
  <c r="P48" i="1"/>
  <c r="Q48" i="1" s="1"/>
  <c r="R48" i="1" s="1"/>
  <c r="AT48" i="1" s="1"/>
  <c r="CW49" i="1"/>
  <c r="CX49" i="1" s="1"/>
  <c r="CY49" i="1" s="1"/>
  <c r="DQ49" i="1" s="1"/>
  <c r="Y54" i="1"/>
  <c r="O57" i="1"/>
  <c r="P60" i="1"/>
  <c r="AN60" i="1"/>
  <c r="CZ61" i="1"/>
  <c r="DA61" i="1" s="1"/>
  <c r="DB61" i="1" s="1"/>
  <c r="DR61" i="1" s="1"/>
  <c r="V62" i="1"/>
  <c r="W62" i="1" s="1"/>
  <c r="X62" i="1" s="1"/>
  <c r="AV62" i="1" s="1"/>
  <c r="AN64" i="1"/>
  <c r="AO64" i="1" s="1"/>
  <c r="AP64" i="1" s="1"/>
  <c r="BB64" i="1" s="1"/>
  <c r="CQ64" i="1"/>
  <c r="CR64" i="1" s="1"/>
  <c r="CS64" i="1" s="1"/>
  <c r="DO64" i="1" s="1"/>
  <c r="Y65" i="1"/>
  <c r="BF66" i="1"/>
  <c r="R66" i="1" s="1"/>
  <c r="DF67" i="1"/>
  <c r="CH68" i="1"/>
  <c r="DV68" i="1" s="1"/>
  <c r="V69" i="1"/>
  <c r="AQ70" i="1"/>
  <c r="CE70" i="1" s="1"/>
  <c r="CZ70" i="1"/>
  <c r="CQ71" i="1"/>
  <c r="EE71" i="1" s="1"/>
  <c r="EF71" i="1" s="1"/>
  <c r="O78" i="1"/>
  <c r="AN78" i="1"/>
  <c r="CN78" i="1"/>
  <c r="BE79" i="1"/>
  <c r="R79" i="1" s="1"/>
  <c r="V81" i="1"/>
  <c r="BJ81" i="1" s="1"/>
  <c r="BL81" i="1" s="1"/>
  <c r="O99" i="1"/>
  <c r="W115" i="1"/>
  <c r="X115" i="1" s="1"/>
  <c r="AV115" i="1" s="1"/>
  <c r="BN118" i="1"/>
  <c r="AA118" i="1" s="1"/>
  <c r="AQ64" i="1"/>
  <c r="CW64" i="1"/>
  <c r="P78" i="1"/>
  <c r="CW78" i="1"/>
  <c r="CX78" i="1" s="1"/>
  <c r="CY78" i="1" s="1"/>
  <c r="DQ78" i="1" s="1"/>
  <c r="AH81" i="1"/>
  <c r="BV81" i="1" s="1"/>
  <c r="DF83" i="1"/>
  <c r="AB83" i="1"/>
  <c r="CZ83" i="1"/>
  <c r="Y83" i="1"/>
  <c r="Z83" i="1" s="1"/>
  <c r="AA83" i="1" s="1"/>
  <c r="AW83" i="1" s="1"/>
  <c r="DI83" i="1"/>
  <c r="P99" i="1"/>
  <c r="EW101" i="1"/>
  <c r="DJ101" i="1"/>
  <c r="DK101" i="1" s="1"/>
  <c r="DU101" i="1" s="1"/>
  <c r="CX126" i="1"/>
  <c r="CY126" i="1" s="1"/>
  <c r="DQ126" i="1" s="1"/>
  <c r="EK126" i="1"/>
  <c r="EM126" i="1" s="1"/>
  <c r="DD141" i="1"/>
  <c r="DE141" i="1" s="1"/>
  <c r="DS141" i="1" s="1"/>
  <c r="EQ141" i="1"/>
  <c r="DI61" i="1"/>
  <c r="EW61" i="1" s="1"/>
  <c r="O64" i="1"/>
  <c r="ET64" i="1"/>
  <c r="EV64" i="1" s="1"/>
  <c r="AB69" i="1"/>
  <c r="P70" i="1"/>
  <c r="BD70" i="1" s="1"/>
  <c r="BF70" i="1" s="1"/>
  <c r="DC70" i="1"/>
  <c r="CQ72" i="1"/>
  <c r="EE72" i="1" s="1"/>
  <c r="AQ78" i="1"/>
  <c r="CZ78" i="1"/>
  <c r="AK81" i="1"/>
  <c r="BY81" i="1" s="1"/>
  <c r="O83" i="1"/>
  <c r="DF87" i="1"/>
  <c r="DG87" i="1" s="1"/>
  <c r="DH87" i="1" s="1"/>
  <c r="DT87" i="1" s="1"/>
  <c r="CK87" i="1"/>
  <c r="AB87" i="1"/>
  <c r="S87" i="1"/>
  <c r="BG87" i="1" s="1"/>
  <c r="P87" i="1"/>
  <c r="O87" i="1"/>
  <c r="DI87" i="1"/>
  <c r="AQ87" i="1"/>
  <c r="CE87" i="1" s="1"/>
  <c r="BX92" i="1"/>
  <c r="BW92" i="1"/>
  <c r="AB99" i="1"/>
  <c r="CZ117" i="1"/>
  <c r="DA117" i="1" s="1"/>
  <c r="DB117" i="1" s="1"/>
  <c r="DR117" i="1" s="1"/>
  <c r="CW117" i="1"/>
  <c r="EK117" i="1" s="1"/>
  <c r="EM117" i="1" s="1"/>
  <c r="CT117" i="1"/>
  <c r="CN117" i="1"/>
  <c r="CK117" i="1"/>
  <c r="DY117" i="1" s="1"/>
  <c r="CH117" i="1"/>
  <c r="AK117" i="1"/>
  <c r="Y117" i="1"/>
  <c r="Z117" i="1" s="1"/>
  <c r="AA117" i="1" s="1"/>
  <c r="AW117" i="1" s="1"/>
  <c r="DI134" i="1"/>
  <c r="DJ134" i="1" s="1"/>
  <c r="DK134" i="1" s="1"/>
  <c r="DU134" i="1" s="1"/>
  <c r="DC134" i="1"/>
  <c r="AE134" i="1"/>
  <c r="BS134" i="1" s="1"/>
  <c r="V134" i="1"/>
  <c r="BJ134" i="1" s="1"/>
  <c r="CQ134" i="1"/>
  <c r="S134" i="1"/>
  <c r="CZ134" i="1"/>
  <c r="DA134" i="1" s="1"/>
  <c r="DB134" i="1" s="1"/>
  <c r="DR134" i="1" s="1"/>
  <c r="CN134" i="1"/>
  <c r="AQ134" i="1"/>
  <c r="AK134" i="1"/>
  <c r="BY134" i="1" s="1"/>
  <c r="BZ134" i="1" s="1"/>
  <c r="AH134" i="1"/>
  <c r="BV134" i="1" s="1"/>
  <c r="Y134" i="1"/>
  <c r="BM134" i="1" s="1"/>
  <c r="BN134" i="1" s="1"/>
  <c r="CZ137" i="1"/>
  <c r="EN137" i="1" s="1"/>
  <c r="O137" i="1"/>
  <c r="AN137" i="1"/>
  <c r="CB137" i="1" s="1"/>
  <c r="AK137" i="1"/>
  <c r="BY137" i="1" s="1"/>
  <c r="AB137" i="1"/>
  <c r="BP137" i="1" s="1"/>
  <c r="DF137" i="1"/>
  <c r="DC137" i="1"/>
  <c r="EQ137" i="1" s="1"/>
  <c r="CQ137" i="1"/>
  <c r="AH137" i="1"/>
  <c r="Y137" i="1"/>
  <c r="BM137" i="1" s="1"/>
  <c r="V137" i="1"/>
  <c r="P137" i="1"/>
  <c r="BD137" i="1" s="1"/>
  <c r="BE137" i="1" s="1"/>
  <c r="P64" i="1"/>
  <c r="Q64" i="1" s="1"/>
  <c r="R64" i="1" s="1"/>
  <c r="AT64" i="1" s="1"/>
  <c r="P67" i="1"/>
  <c r="S70" i="1"/>
  <c r="BG70" i="1" s="1"/>
  <c r="DC72" i="1"/>
  <c r="EQ72" i="1" s="1"/>
  <c r="CZ74" i="1"/>
  <c r="S78" i="1"/>
  <c r="BI79" i="1"/>
  <c r="U79" i="1" s="1"/>
  <c r="CQ81" i="1"/>
  <c r="P83" i="1"/>
  <c r="BD83" i="1" s="1"/>
  <c r="CZ94" i="1"/>
  <c r="DA94" i="1" s="1"/>
  <c r="DB94" i="1" s="1"/>
  <c r="DR94" i="1" s="1"/>
  <c r="DC94" i="1"/>
  <c r="DD94" i="1" s="1"/>
  <c r="DE94" i="1" s="1"/>
  <c r="DS94" i="1" s="1"/>
  <c r="CQ94" i="1"/>
  <c r="AH94" i="1"/>
  <c r="O117" i="1"/>
  <c r="DD125" i="1"/>
  <c r="DE125" i="1" s="1"/>
  <c r="DS125" i="1" s="1"/>
  <c r="EQ125" i="1"/>
  <c r="O134" i="1"/>
  <c r="DI137" i="1"/>
  <c r="CH41" i="1"/>
  <c r="EE54" i="1"/>
  <c r="EG54" i="1" s="1"/>
  <c r="CK57" i="1"/>
  <c r="CT60" i="1"/>
  <c r="CU60" i="1" s="1"/>
  <c r="CV60" i="1" s="1"/>
  <c r="DP60" i="1" s="1"/>
  <c r="O61" i="1"/>
  <c r="AK62" i="1"/>
  <c r="S64" i="1"/>
  <c r="CZ64" i="1"/>
  <c r="EN64" i="1" s="1"/>
  <c r="Y67" i="1"/>
  <c r="DI68" i="1"/>
  <c r="AE69" i="1"/>
  <c r="V70" i="1"/>
  <c r="BJ70" i="1" s="1"/>
  <c r="DI70" i="1"/>
  <c r="AK71" i="1"/>
  <c r="DI71" i="1"/>
  <c r="EW71" i="1" s="1"/>
  <c r="DJ72" i="1"/>
  <c r="DK72" i="1" s="1"/>
  <c r="DU72" i="1" s="1"/>
  <c r="P74" i="1"/>
  <c r="AH76" i="1"/>
  <c r="CQ77" i="1"/>
  <c r="DI78" i="1"/>
  <c r="EW78" i="1" s="1"/>
  <c r="BL79" i="1"/>
  <c r="BK79" i="1"/>
  <c r="AK83" i="1"/>
  <c r="AL83" i="1" s="1"/>
  <c r="AM83" i="1" s="1"/>
  <c r="BA83" i="1" s="1"/>
  <c r="AE87" i="1"/>
  <c r="BF92" i="1"/>
  <c r="BE92" i="1"/>
  <c r="O94" i="1"/>
  <c r="DF117" i="1"/>
  <c r="DG117" i="1" s="1"/>
  <c r="DH117" i="1" s="1"/>
  <c r="DT117" i="1" s="1"/>
  <c r="BQ40" i="1"/>
  <c r="AD40" i="1" s="1"/>
  <c r="AH41" i="1"/>
  <c r="S45" i="1"/>
  <c r="T45" i="1" s="1"/>
  <c r="U45" i="1" s="1"/>
  <c r="AU45" i="1" s="1"/>
  <c r="AK45" i="1"/>
  <c r="CQ45" i="1"/>
  <c r="CR45" i="1" s="1"/>
  <c r="CS45" i="1" s="1"/>
  <c r="DO45" i="1" s="1"/>
  <c r="AK49" i="1"/>
  <c r="BY49" i="1" s="1"/>
  <c r="BZ49" i="1" s="1"/>
  <c r="CT57" i="1"/>
  <c r="EH57" i="1" s="1"/>
  <c r="Y60" i="1"/>
  <c r="Z60" i="1" s="1"/>
  <c r="AA60" i="1" s="1"/>
  <c r="AW60" i="1" s="1"/>
  <c r="CZ60" i="1"/>
  <c r="DC64" i="1"/>
  <c r="AH65" i="1"/>
  <c r="BV65" i="1" s="1"/>
  <c r="BW65" i="1" s="1"/>
  <c r="CK65" i="1"/>
  <c r="CL65" i="1" s="1"/>
  <c r="CM65" i="1" s="1"/>
  <c r="DM65" i="1" s="1"/>
  <c r="DI65" i="1"/>
  <c r="DJ65" i="1" s="1"/>
  <c r="DK65" i="1" s="1"/>
  <c r="DU65" i="1" s="1"/>
  <c r="BR66" i="1"/>
  <c r="AD66" i="1" s="1"/>
  <c r="O68" i="1"/>
  <c r="Y70" i="1"/>
  <c r="Y74" i="1"/>
  <c r="BM74" i="1" s="1"/>
  <c r="DC74" i="1"/>
  <c r="EQ74" i="1" s="1"/>
  <c r="Y78" i="1"/>
  <c r="DC81" i="1"/>
  <c r="AN83" i="1"/>
  <c r="CZ88" i="1"/>
  <c r="EN88" i="1" s="1"/>
  <c r="CW88" i="1"/>
  <c r="CX88" i="1" s="1"/>
  <c r="CY88" i="1" s="1"/>
  <c r="DQ88" i="1" s="1"/>
  <c r="CN88" i="1"/>
  <c r="V94" i="1"/>
  <c r="BJ94" i="1" s="1"/>
  <c r="CO95" i="1"/>
  <c r="CP95" i="1" s="1"/>
  <c r="DN95" i="1" s="1"/>
  <c r="EB95" i="1"/>
  <c r="ED95" i="1" s="1"/>
  <c r="DI117" i="1"/>
  <c r="CK41" i="1"/>
  <c r="CL41" i="1" s="1"/>
  <c r="CM41" i="1" s="1"/>
  <c r="DM41" i="1" s="1"/>
  <c r="V45" i="1"/>
  <c r="CW45" i="1"/>
  <c r="CN48" i="1"/>
  <c r="AQ49" i="1"/>
  <c r="BK53" i="1"/>
  <c r="X53" i="1" s="1"/>
  <c r="CW57" i="1"/>
  <c r="EK57" i="1" s="1"/>
  <c r="EM57" i="1" s="1"/>
  <c r="AB60" i="1"/>
  <c r="V64" i="1"/>
  <c r="AK65" i="1"/>
  <c r="S68" i="1"/>
  <c r="BG68" i="1" s="1"/>
  <c r="AH69" i="1"/>
  <c r="AB70" i="1"/>
  <c r="CK70" i="1"/>
  <c r="CQ73" i="1"/>
  <c r="AB74" i="1"/>
  <c r="AK76" i="1"/>
  <c r="BY76" i="1" s="1"/>
  <c r="AB78" i="1"/>
  <c r="AK87" i="1"/>
  <c r="BY87" i="1" s="1"/>
  <c r="AH88" i="1"/>
  <c r="CH97" i="1"/>
  <c r="DV97" i="1" s="1"/>
  <c r="CT97" i="1"/>
  <c r="AK97" i="1"/>
  <c r="BY97" i="1" s="1"/>
  <c r="CX100" i="1"/>
  <c r="CY100" i="1" s="1"/>
  <c r="DQ100" i="1" s="1"/>
  <c r="EK100" i="1"/>
  <c r="EM100" i="1" s="1"/>
  <c r="CZ104" i="1"/>
  <c r="AN104" i="1"/>
  <c r="DI104" i="1"/>
  <c r="DJ104" i="1" s="1"/>
  <c r="DK104" i="1" s="1"/>
  <c r="DU104" i="1" s="1"/>
  <c r="AK104" i="1"/>
  <c r="BY104" i="1" s="1"/>
  <c r="DF104" i="1"/>
  <c r="ET104" i="1" s="1"/>
  <c r="CN104" i="1"/>
  <c r="CO104" i="1" s="1"/>
  <c r="CP104" i="1" s="1"/>
  <c r="DN104" i="1" s="1"/>
  <c r="AE104" i="1"/>
  <c r="Y104" i="1"/>
  <c r="BM104" i="1" s="1"/>
  <c r="ET158" i="1"/>
  <c r="DG158" i="1"/>
  <c r="DH158" i="1" s="1"/>
  <c r="DT158" i="1" s="1"/>
  <c r="AN110" i="1"/>
  <c r="AO110" i="1" s="1"/>
  <c r="AP110" i="1" s="1"/>
  <c r="BB110" i="1" s="1"/>
  <c r="DF112" i="1"/>
  <c r="DG112" i="1" s="1"/>
  <c r="DH112" i="1" s="1"/>
  <c r="DT112" i="1" s="1"/>
  <c r="DI129" i="1"/>
  <c r="DJ129" i="1" s="1"/>
  <c r="DK129" i="1" s="1"/>
  <c r="DU129" i="1" s="1"/>
  <c r="AK129" i="1"/>
  <c r="BY129" i="1" s="1"/>
  <c r="CZ129" i="1"/>
  <c r="DA129" i="1" s="1"/>
  <c r="DB129" i="1" s="1"/>
  <c r="DR129" i="1" s="1"/>
  <c r="AH129" i="1"/>
  <c r="BV129" i="1" s="1"/>
  <c r="CN129" i="1"/>
  <c r="V129" i="1"/>
  <c r="BJ129" i="1" s="1"/>
  <c r="AE133" i="1"/>
  <c r="DA140" i="1"/>
  <c r="DB140" i="1" s="1"/>
  <c r="DR140" i="1" s="1"/>
  <c r="EN140" i="1"/>
  <c r="AN153" i="1"/>
  <c r="CB153" i="1" s="1"/>
  <c r="CC153" i="1" s="1"/>
  <c r="AQ153" i="1"/>
  <c r="AR153" i="1" s="1"/>
  <c r="AS153" i="1" s="1"/>
  <c r="BC153" i="1" s="1"/>
  <c r="CZ153" i="1"/>
  <c r="AK153" i="1"/>
  <c r="CW153" i="1"/>
  <c r="CQ153" i="1"/>
  <c r="EE153" i="1" s="1"/>
  <c r="AH153" i="1"/>
  <c r="AE153" i="1"/>
  <c r="AF153" i="1" s="1"/>
  <c r="AG153" i="1" s="1"/>
  <c r="AY153" i="1" s="1"/>
  <c r="Y153" i="1"/>
  <c r="Z153" i="1" s="1"/>
  <c r="AA153" i="1" s="1"/>
  <c r="AW153" i="1" s="1"/>
  <c r="CN153" i="1"/>
  <c r="V153" i="1"/>
  <c r="S153" i="1"/>
  <c r="T153" i="1" s="1"/>
  <c r="U153" i="1" s="1"/>
  <c r="AU153" i="1" s="1"/>
  <c r="CZ163" i="1"/>
  <c r="DA163" i="1" s="1"/>
  <c r="DB163" i="1" s="1"/>
  <c r="DR163" i="1" s="1"/>
  <c r="Y163" i="1"/>
  <c r="BM163" i="1" s="1"/>
  <c r="BO163" i="1" s="1"/>
  <c r="CT163" i="1"/>
  <c r="CU163" i="1" s="1"/>
  <c r="CV163" i="1" s="1"/>
  <c r="DP163" i="1" s="1"/>
  <c r="V163" i="1"/>
  <c r="W163" i="1" s="1"/>
  <c r="X163" i="1" s="1"/>
  <c r="AV163" i="1" s="1"/>
  <c r="CN163" i="1"/>
  <c r="DF163" i="1"/>
  <c r="DG163" i="1" s="1"/>
  <c r="DH163" i="1" s="1"/>
  <c r="DT163" i="1" s="1"/>
  <c r="DC163" i="1"/>
  <c r="DD163" i="1" s="1"/>
  <c r="DE163" i="1" s="1"/>
  <c r="DS163" i="1" s="1"/>
  <c r="CQ163" i="1"/>
  <c r="CR163" i="1" s="1"/>
  <c r="CS163" i="1" s="1"/>
  <c r="DO163" i="1" s="1"/>
  <c r="AN163" i="1"/>
  <c r="AK163" i="1"/>
  <c r="AN90" i="1"/>
  <c r="AO90" i="1" s="1"/>
  <c r="AP90" i="1" s="1"/>
  <c r="BB90" i="1" s="1"/>
  <c r="CQ95" i="1"/>
  <c r="EE95" i="1" s="1"/>
  <c r="CQ100" i="1"/>
  <c r="Y101" i="1"/>
  <c r="CK101" i="1"/>
  <c r="DY101" i="1" s="1"/>
  <c r="CQ103" i="1"/>
  <c r="Y107" i="1"/>
  <c r="CZ107" i="1"/>
  <c r="DA107" i="1" s="1"/>
  <c r="DB107" i="1" s="1"/>
  <c r="DR107" i="1" s="1"/>
  <c r="O110" i="1"/>
  <c r="O112" i="1"/>
  <c r="AN113" i="1"/>
  <c r="AO113" i="1" s="1"/>
  <c r="AP113" i="1" s="1"/>
  <c r="BB113" i="1" s="1"/>
  <c r="Y115" i="1"/>
  <c r="Z115" i="1" s="1"/>
  <c r="AA115" i="1" s="1"/>
  <c r="AW115" i="1" s="1"/>
  <c r="BQ118" i="1"/>
  <c r="AD118" i="1" s="1"/>
  <c r="AH126" i="1"/>
  <c r="BV126" i="1" s="1"/>
  <c r="DC126" i="1"/>
  <c r="O129" i="1"/>
  <c r="CQ129" i="1"/>
  <c r="BZ131" i="1"/>
  <c r="AM131" i="1" s="1"/>
  <c r="AQ135" i="1"/>
  <c r="CQ135" i="1"/>
  <c r="EE135" i="1" s="1"/>
  <c r="CN135" i="1"/>
  <c r="AK135" i="1"/>
  <c r="CK142" i="1"/>
  <c r="CT142" i="1"/>
  <c r="EH142" i="1" s="1"/>
  <c r="AH142" i="1"/>
  <c r="AE142" i="1"/>
  <c r="AF142" i="1" s="1"/>
  <c r="AG142" i="1" s="1"/>
  <c r="AY142" i="1" s="1"/>
  <c r="CH142" i="1"/>
  <c r="AB142" i="1"/>
  <c r="S142" i="1"/>
  <c r="EX147" i="1"/>
  <c r="EY147" i="1"/>
  <c r="O153" i="1"/>
  <c r="DI156" i="1"/>
  <c r="DJ156" i="1" s="1"/>
  <c r="DK156" i="1" s="1"/>
  <c r="DU156" i="1" s="1"/>
  <c r="CN156" i="1"/>
  <c r="EB156" i="1" s="1"/>
  <c r="AN156" i="1"/>
  <c r="AB156" i="1"/>
  <c r="O163" i="1"/>
  <c r="DA180" i="1"/>
  <c r="DB180" i="1" s="1"/>
  <c r="DR180" i="1" s="1"/>
  <c r="EN180" i="1"/>
  <c r="EP180" i="1" s="1"/>
  <c r="AQ90" i="1"/>
  <c r="CZ95" i="1"/>
  <c r="AE100" i="1"/>
  <c r="AB101" i="1"/>
  <c r="CW101" i="1"/>
  <c r="CX101" i="1" s="1"/>
  <c r="CY101" i="1" s="1"/>
  <c r="DQ101" i="1" s="1"/>
  <c r="CQ102" i="1"/>
  <c r="EE102" i="1" s="1"/>
  <c r="DI107" i="1"/>
  <c r="DJ107" i="1" s="1"/>
  <c r="DK107" i="1" s="1"/>
  <c r="DU107" i="1" s="1"/>
  <c r="P110" i="1"/>
  <c r="Q110" i="1" s="1"/>
  <c r="R110" i="1" s="1"/>
  <c r="AT110" i="1" s="1"/>
  <c r="AQ110" i="1"/>
  <c r="CE110" i="1" s="1"/>
  <c r="S112" i="1"/>
  <c r="CH112" i="1"/>
  <c r="DF125" i="1"/>
  <c r="CK125" i="1"/>
  <c r="AN125" i="1"/>
  <c r="AO125" i="1" s="1"/>
  <c r="AP125" i="1" s="1"/>
  <c r="BB125" i="1" s="1"/>
  <c r="CZ125" i="1"/>
  <c r="EN125" i="1" s="1"/>
  <c r="EP125" i="1" s="1"/>
  <c r="O125" i="1"/>
  <c r="S129" i="1"/>
  <c r="DC129" i="1"/>
  <c r="AE132" i="1"/>
  <c r="CK132" i="1"/>
  <c r="AH163" i="1"/>
  <c r="AI163" i="1" s="1"/>
  <c r="AJ163" i="1" s="1"/>
  <c r="AZ163" i="1" s="1"/>
  <c r="CC209" i="1"/>
  <c r="CD209" i="1"/>
  <c r="S110" i="1"/>
  <c r="V112" i="1"/>
  <c r="BJ112" i="1" s="1"/>
  <c r="CT124" i="1"/>
  <c r="EH124" i="1" s="1"/>
  <c r="CW124" i="1"/>
  <c r="EK124" i="1" s="1"/>
  <c r="CN124" i="1"/>
  <c r="EB124" i="1" s="1"/>
  <c r="CK124" i="1"/>
  <c r="DY124" i="1" s="1"/>
  <c r="AQ124" i="1"/>
  <c r="CE124" i="1" s="1"/>
  <c r="CK153" i="1"/>
  <c r="P90" i="1"/>
  <c r="Q90" i="1" s="1"/>
  <c r="R90" i="1" s="1"/>
  <c r="AT90" i="1" s="1"/>
  <c r="AE95" i="1"/>
  <c r="P100" i="1"/>
  <c r="BD100" i="1" s="1"/>
  <c r="CZ100" i="1"/>
  <c r="AH101" i="1"/>
  <c r="BV101" i="1" s="1"/>
  <c r="DC103" i="1"/>
  <c r="AE107" i="1"/>
  <c r="CN110" i="1"/>
  <c r="CO110" i="1" s="1"/>
  <c r="CP110" i="1" s="1"/>
  <c r="DN110" i="1" s="1"/>
  <c r="Y112" i="1"/>
  <c r="CN112" i="1"/>
  <c r="BE118" i="1"/>
  <c r="R118" i="1" s="1"/>
  <c r="BT118" i="1"/>
  <c r="AG118" i="1" s="1"/>
  <c r="CZ120" i="1"/>
  <c r="EN120" i="1" s="1"/>
  <c r="DC120" i="1"/>
  <c r="V120" i="1"/>
  <c r="BJ120" i="1" s="1"/>
  <c r="BL120" i="1" s="1"/>
  <c r="P120" i="1"/>
  <c r="BD120" i="1" s="1"/>
  <c r="CQ120" i="1"/>
  <c r="O120" i="1"/>
  <c r="AN120" i="1"/>
  <c r="AO120" i="1" s="1"/>
  <c r="AP120" i="1" s="1"/>
  <c r="BB120" i="1" s="1"/>
  <c r="O124" i="1"/>
  <c r="AB125" i="1"/>
  <c r="W127" i="1"/>
  <c r="X127" i="1" s="1"/>
  <c r="AV127" i="1" s="1"/>
  <c r="Y129" i="1"/>
  <c r="BM129" i="1" s="1"/>
  <c r="CC131" i="1"/>
  <c r="AP131" i="1" s="1"/>
  <c r="CN132" i="1"/>
  <c r="CQ133" i="1"/>
  <c r="CR133" i="1" s="1"/>
  <c r="CS133" i="1" s="1"/>
  <c r="DO133" i="1" s="1"/>
  <c r="AQ141" i="1"/>
  <c r="AR141" i="1" s="1"/>
  <c r="AS141" i="1" s="1"/>
  <c r="BC141" i="1" s="1"/>
  <c r="AK141" i="1"/>
  <c r="BY141" i="1" s="1"/>
  <c r="CA141" i="1" s="1"/>
  <c r="AE141" i="1"/>
  <c r="AF141" i="1" s="1"/>
  <c r="AG141" i="1" s="1"/>
  <c r="AY141" i="1" s="1"/>
  <c r="DF141" i="1"/>
  <c r="Y141" i="1"/>
  <c r="CT141" i="1"/>
  <c r="EH141" i="1" s="1"/>
  <c r="V141" i="1"/>
  <c r="CQ141" i="1"/>
  <c r="BZ157" i="1"/>
  <c r="AM157" i="1" s="1"/>
  <c r="AH95" i="1"/>
  <c r="V110" i="1"/>
  <c r="CQ110" i="1"/>
  <c r="S124" i="1"/>
  <c r="BG124" i="1" s="1"/>
  <c r="BI124" i="1" s="1"/>
  <c r="AE129" i="1"/>
  <c r="AQ132" i="1"/>
  <c r="S141" i="1"/>
  <c r="BH144" i="1"/>
  <c r="U144" i="1" s="1"/>
  <c r="DC153" i="1"/>
  <c r="EQ153" i="1" s="1"/>
  <c r="AQ164" i="1"/>
  <c r="AN164" i="1"/>
  <c r="CB164" i="1" s="1"/>
  <c r="AE164" i="1"/>
  <c r="AF164" i="1" s="1"/>
  <c r="AG164" i="1" s="1"/>
  <c r="AY164" i="1" s="1"/>
  <c r="CW164" i="1"/>
  <c r="O164" i="1"/>
  <c r="DF164" i="1"/>
  <c r="ET164" i="1" s="1"/>
  <c r="CT164" i="1"/>
  <c r="CQ164" i="1"/>
  <c r="EE164" i="1" s="1"/>
  <c r="EG164" i="1" s="1"/>
  <c r="CH164" i="1"/>
  <c r="DV164" i="1" s="1"/>
  <c r="AK164" i="1"/>
  <c r="S164" i="1"/>
  <c r="T164" i="1" s="1"/>
  <c r="U164" i="1" s="1"/>
  <c r="AU164" i="1" s="1"/>
  <c r="V84" i="1"/>
  <c r="W84" i="1" s="1"/>
  <c r="X84" i="1" s="1"/>
  <c r="AV84" i="1" s="1"/>
  <c r="CT84" i="1"/>
  <c r="CU84" i="1" s="1"/>
  <c r="CV84" i="1" s="1"/>
  <c r="DP84" i="1" s="1"/>
  <c r="V90" i="1"/>
  <c r="CQ90" i="1"/>
  <c r="EE90" i="1" s="1"/>
  <c r="EG90" i="1" s="1"/>
  <c r="AE98" i="1"/>
  <c r="BS98" i="1" s="1"/>
  <c r="DC100" i="1"/>
  <c r="AN101" i="1"/>
  <c r="O103" i="1"/>
  <c r="CA105" i="1"/>
  <c r="AM105" i="1" s="1"/>
  <c r="Y110" i="1"/>
  <c r="BM110" i="1" s="1"/>
  <c r="AE112" i="1"/>
  <c r="CQ116" i="1"/>
  <c r="EE116" i="1" s="1"/>
  <c r="BW118" i="1"/>
  <c r="AJ118" i="1" s="1"/>
  <c r="AB120" i="1"/>
  <c r="BP120" i="1" s="1"/>
  <c r="AN121" i="1"/>
  <c r="CB121" i="1" s="1"/>
  <c r="AE124" i="1"/>
  <c r="BS124" i="1" s="1"/>
  <c r="BU124" i="1" s="1"/>
  <c r="CN125" i="1"/>
  <c r="AQ129" i="1"/>
  <c r="CE129" i="1" s="1"/>
  <c r="W145" i="1"/>
  <c r="X145" i="1" s="1"/>
  <c r="AV145" i="1" s="1"/>
  <c r="BJ145" i="1"/>
  <c r="DA151" i="1"/>
  <c r="DB151" i="1" s="1"/>
  <c r="DR151" i="1" s="1"/>
  <c r="DI153" i="1"/>
  <c r="BV200" i="1"/>
  <c r="AI200" i="1"/>
  <c r="AJ200" i="1" s="1"/>
  <c r="AZ200" i="1" s="1"/>
  <c r="CT98" i="1"/>
  <c r="CU98" i="1" s="1"/>
  <c r="CV98" i="1" s="1"/>
  <c r="DP98" i="1" s="1"/>
  <c r="AH107" i="1"/>
  <c r="AI107" i="1" s="1"/>
  <c r="AJ107" i="1" s="1"/>
  <c r="AZ107" i="1" s="1"/>
  <c r="CK107" i="1"/>
  <c r="AB110" i="1"/>
  <c r="AC110" i="1" s="1"/>
  <c r="AD110" i="1" s="1"/>
  <c r="AX110" i="1" s="1"/>
  <c r="CT112" i="1"/>
  <c r="CT116" i="1"/>
  <c r="EH116" i="1" s="1"/>
  <c r="AH120" i="1"/>
  <c r="CH124" i="1"/>
  <c r="DI128" i="1"/>
  <c r="DC128" i="1"/>
  <c r="EQ128" i="1" s="1"/>
  <c r="CQ128" i="1"/>
  <c r="EE128" i="1" s="1"/>
  <c r="S128" i="1"/>
  <c r="T128" i="1" s="1"/>
  <c r="U128" i="1" s="1"/>
  <c r="AU128" i="1" s="1"/>
  <c r="O132" i="1"/>
  <c r="AN132" i="1"/>
  <c r="DI132" i="1"/>
  <c r="EW132" i="1" s="1"/>
  <c r="AK132" i="1"/>
  <c r="DC132" i="1"/>
  <c r="EQ132" i="1" s="1"/>
  <c r="AH132" i="1"/>
  <c r="BV132" i="1" s="1"/>
  <c r="P132" i="1"/>
  <c r="CW132" i="1"/>
  <c r="CZ132" i="1"/>
  <c r="EN132" i="1" s="1"/>
  <c r="DF136" i="1"/>
  <c r="DG136" i="1" s="1"/>
  <c r="DH136" i="1" s="1"/>
  <c r="DT136" i="1" s="1"/>
  <c r="CT136" i="1"/>
  <c r="CU136" i="1" s="1"/>
  <c r="CV136" i="1" s="1"/>
  <c r="DP136" i="1" s="1"/>
  <c r="V136" i="1"/>
  <c r="EE139" i="1"/>
  <c r="CR139" i="1"/>
  <c r="CS139" i="1" s="1"/>
  <c r="DO139" i="1" s="1"/>
  <c r="BU170" i="1"/>
  <c r="BT170" i="1"/>
  <c r="AN95" i="1"/>
  <c r="CB95" i="1" s="1"/>
  <c r="AE103" i="1"/>
  <c r="CD105" i="1"/>
  <c r="AP105" i="1" s="1"/>
  <c r="O107" i="1"/>
  <c r="AK107" i="1"/>
  <c r="CZ110" i="1"/>
  <c r="DA110" i="1" s="1"/>
  <c r="DB110" i="1" s="1"/>
  <c r="DR110" i="1" s="1"/>
  <c r="AH112" i="1"/>
  <c r="AI112" i="1" s="1"/>
  <c r="AJ112" i="1" s="1"/>
  <c r="AZ112" i="1" s="1"/>
  <c r="CQ115" i="1"/>
  <c r="CR115" i="1" s="1"/>
  <c r="CS115" i="1" s="1"/>
  <c r="DO115" i="1" s="1"/>
  <c r="DI116" i="1"/>
  <c r="EW116" i="1" s="1"/>
  <c r="DC122" i="1"/>
  <c r="AK122" i="1"/>
  <c r="Y122" i="1"/>
  <c r="Z122" i="1" s="1"/>
  <c r="AA122" i="1" s="1"/>
  <c r="AW122" i="1" s="1"/>
  <c r="DI122" i="1"/>
  <c r="O122" i="1"/>
  <c r="CZ122" i="1"/>
  <c r="CT123" i="1"/>
  <c r="CH123" i="1"/>
  <c r="CI123" i="1" s="1"/>
  <c r="CJ123" i="1" s="1"/>
  <c r="DL123" i="1" s="1"/>
  <c r="AQ123" i="1"/>
  <c r="CE123" i="1" s="1"/>
  <c r="Y123" i="1"/>
  <c r="BM123" i="1" s="1"/>
  <c r="CQ125" i="1"/>
  <c r="DF126" i="1"/>
  <c r="DG126" i="1" s="1"/>
  <c r="DH126" i="1" s="1"/>
  <c r="DT126" i="1" s="1"/>
  <c r="CK126" i="1"/>
  <c r="V126" i="1"/>
  <c r="BJ126" i="1" s="1"/>
  <c r="DI126" i="1"/>
  <c r="S126" i="1"/>
  <c r="BG126" i="1" s="1"/>
  <c r="P126" i="1"/>
  <c r="Q126" i="1" s="1"/>
  <c r="R126" i="1" s="1"/>
  <c r="AT126" i="1" s="1"/>
  <c r="AQ126" i="1"/>
  <c r="CE126" i="1" s="1"/>
  <c r="CQ126" i="1"/>
  <c r="AE128" i="1"/>
  <c r="S132" i="1"/>
  <c r="AH136" i="1"/>
  <c r="AI136" i="1" s="1"/>
  <c r="AJ136" i="1" s="1"/>
  <c r="AZ136" i="1" s="1"/>
  <c r="DF151" i="1"/>
  <c r="ET151" i="1" s="1"/>
  <c r="CQ151" i="1"/>
  <c r="CR151" i="1" s="1"/>
  <c r="CS151" i="1" s="1"/>
  <c r="DO151" i="1" s="1"/>
  <c r="AB151" i="1"/>
  <c r="CN151" i="1"/>
  <c r="Y151" i="1"/>
  <c r="CK151" i="1"/>
  <c r="CL151" i="1" s="1"/>
  <c r="CM151" i="1" s="1"/>
  <c r="DM151" i="1" s="1"/>
  <c r="AQ151" i="1"/>
  <c r="V151" i="1"/>
  <c r="AN151" i="1"/>
  <c r="DI151" i="1"/>
  <c r="DJ151" i="1" s="1"/>
  <c r="DK151" i="1" s="1"/>
  <c r="DU151" i="1" s="1"/>
  <c r="AK151" i="1"/>
  <c r="S151" i="1"/>
  <c r="DC151" i="1"/>
  <c r="P151" i="1"/>
  <c r="BO196" i="1"/>
  <c r="BN196" i="1"/>
  <c r="BZ235" i="1"/>
  <c r="CA235" i="1"/>
  <c r="AE110" i="1"/>
  <c r="BS110" i="1" s="1"/>
  <c r="DC110" i="1"/>
  <c r="AK112" i="1"/>
  <c r="CZ124" i="1"/>
  <c r="EN124" i="1" s="1"/>
  <c r="DI133" i="1"/>
  <c r="EW133" i="1" s="1"/>
  <c r="CZ133" i="1"/>
  <c r="CN133" i="1"/>
  <c r="AQ133" i="1"/>
  <c r="EB201" i="1"/>
  <c r="ED201" i="1" s="1"/>
  <c r="CO201" i="1"/>
  <c r="CP201" i="1" s="1"/>
  <c r="DN201" i="1" s="1"/>
  <c r="BV254" i="1"/>
  <c r="BX254" i="1" s="1"/>
  <c r="AI254" i="1"/>
  <c r="AJ254" i="1" s="1"/>
  <c r="AZ254" i="1" s="1"/>
  <c r="CH146" i="1"/>
  <c r="BH173" i="1"/>
  <c r="BI173" i="1"/>
  <c r="AH174" i="1"/>
  <c r="AI174" i="1" s="1"/>
  <c r="AJ174" i="1" s="1"/>
  <c r="AZ174" i="1" s="1"/>
  <c r="AE174" i="1"/>
  <c r="V174" i="1"/>
  <c r="W174" i="1" s="1"/>
  <c r="X174" i="1" s="1"/>
  <c r="AV174" i="1" s="1"/>
  <c r="Y189" i="1"/>
  <c r="DC189" i="1"/>
  <c r="V189" i="1"/>
  <c r="CT189" i="1"/>
  <c r="P189" i="1"/>
  <c r="CN189" i="1"/>
  <c r="CO189" i="1" s="1"/>
  <c r="CP189" i="1" s="1"/>
  <c r="DN189" i="1" s="1"/>
  <c r="AN189" i="1"/>
  <c r="AE189" i="1"/>
  <c r="AF189" i="1" s="1"/>
  <c r="AG189" i="1" s="1"/>
  <c r="AY189" i="1" s="1"/>
  <c r="DA194" i="1"/>
  <c r="DB194" i="1" s="1"/>
  <c r="DR194" i="1" s="1"/>
  <c r="EN194" i="1"/>
  <c r="EO194" i="1" s="1"/>
  <c r="DF198" i="1"/>
  <c r="ET198" i="1" s="1"/>
  <c r="EV198" i="1" s="1"/>
  <c r="AQ198" i="1"/>
  <c r="AR198" i="1" s="1"/>
  <c r="AS198" i="1" s="1"/>
  <c r="BC198" i="1" s="1"/>
  <c r="O198" i="1"/>
  <c r="BP267" i="1"/>
  <c r="BQ267" i="1" s="1"/>
  <c r="AC267" i="1"/>
  <c r="AD267" i="1" s="1"/>
  <c r="AX267" i="1" s="1"/>
  <c r="EP296" i="1"/>
  <c r="EO296" i="1"/>
  <c r="AB127" i="1"/>
  <c r="CN127" i="1"/>
  <c r="CO127" i="1" s="1"/>
  <c r="CP127" i="1" s="1"/>
  <c r="DN127" i="1" s="1"/>
  <c r="AQ138" i="1"/>
  <c r="AE139" i="1"/>
  <c r="CW140" i="1"/>
  <c r="AE143" i="1"/>
  <c r="BS143" i="1" s="1"/>
  <c r="CN143" i="1"/>
  <c r="CO143" i="1" s="1"/>
  <c r="CP143" i="1" s="1"/>
  <c r="DN143" i="1" s="1"/>
  <c r="CF144" i="1"/>
  <c r="AS144" i="1" s="1"/>
  <c r="AK145" i="1"/>
  <c r="AK149" i="1"/>
  <c r="AL149" i="1" s="1"/>
  <c r="AM149" i="1" s="1"/>
  <c r="BA149" i="1" s="1"/>
  <c r="T173" i="1"/>
  <c r="U173" i="1" s="1"/>
  <c r="AU173" i="1" s="1"/>
  <c r="CT174" i="1"/>
  <c r="CU174" i="1" s="1"/>
  <c r="CV174" i="1" s="1"/>
  <c r="DP174" i="1" s="1"/>
  <c r="BX183" i="1"/>
  <c r="AJ183" i="1" s="1"/>
  <c r="AK185" i="1"/>
  <c r="BY185" i="1" s="1"/>
  <c r="CN185" i="1"/>
  <c r="AN185" i="1"/>
  <c r="AO185" i="1" s="1"/>
  <c r="AP185" i="1" s="1"/>
  <c r="BB185" i="1" s="1"/>
  <c r="CQ221" i="1"/>
  <c r="EE221" i="1" s="1"/>
  <c r="DI221" i="1"/>
  <c r="DJ221" i="1" s="1"/>
  <c r="DK221" i="1" s="1"/>
  <c r="DU221" i="1" s="1"/>
  <c r="AQ221" i="1"/>
  <c r="AR221" i="1" s="1"/>
  <c r="AS221" i="1" s="1"/>
  <c r="BC221" i="1" s="1"/>
  <c r="O221" i="1"/>
  <c r="CW229" i="1"/>
  <c r="AH229" i="1"/>
  <c r="DI229" i="1"/>
  <c r="DJ229" i="1" s="1"/>
  <c r="DK229" i="1" s="1"/>
  <c r="DU229" i="1" s="1"/>
  <c r="CT229" i="1"/>
  <c r="EH229" i="1" s="1"/>
  <c r="EJ229" i="1" s="1"/>
  <c r="CH229" i="1"/>
  <c r="DV229" i="1" s="1"/>
  <c r="AB229" i="1"/>
  <c r="BP229" i="1" s="1"/>
  <c r="V229" i="1"/>
  <c r="CK146" i="1"/>
  <c r="AQ149" i="1"/>
  <c r="AR149" i="1" s="1"/>
  <c r="AS149" i="1" s="1"/>
  <c r="BC149" i="1" s="1"/>
  <c r="AQ162" i="1"/>
  <c r="CW162" i="1"/>
  <c r="EK162" i="1" s="1"/>
  <c r="CW174" i="1"/>
  <c r="CX174" i="1" s="1"/>
  <c r="CY174" i="1" s="1"/>
  <c r="DQ174" i="1" s="1"/>
  <c r="CA183" i="1"/>
  <c r="BZ183" i="1"/>
  <c r="AK189" i="1"/>
  <c r="AL189" i="1" s="1"/>
  <c r="AM189" i="1" s="1"/>
  <c r="BA189" i="1" s="1"/>
  <c r="BF222" i="1"/>
  <c r="BE222" i="1"/>
  <c r="CO173" i="1"/>
  <c r="CP173" i="1" s="1"/>
  <c r="DN173" i="1" s="1"/>
  <c r="CQ189" i="1"/>
  <c r="AK143" i="1"/>
  <c r="AL143" i="1" s="1"/>
  <c r="AM143" i="1" s="1"/>
  <c r="BA143" i="1" s="1"/>
  <c r="CU143" i="1"/>
  <c r="CV143" i="1" s="1"/>
  <c r="DP143" i="1" s="1"/>
  <c r="AN145" i="1"/>
  <c r="CB145" i="1" s="1"/>
  <c r="CW145" i="1"/>
  <c r="P146" i="1"/>
  <c r="CN146" i="1"/>
  <c r="CU149" i="1"/>
  <c r="CV149" i="1" s="1"/>
  <c r="DP149" i="1" s="1"/>
  <c r="AB162" i="1"/>
  <c r="BP162" i="1" s="1"/>
  <c r="CT166" i="1"/>
  <c r="EH166" i="1" s="1"/>
  <c r="CK166" i="1"/>
  <c r="DY166" i="1" s="1"/>
  <c r="DI175" i="1"/>
  <c r="DC175" i="1"/>
  <c r="CZ175" i="1"/>
  <c r="EN175" i="1" s="1"/>
  <c r="AH175" i="1"/>
  <c r="CN175" i="1"/>
  <c r="EB175" i="1" s="1"/>
  <c r="AE175" i="1"/>
  <c r="Y175" i="1"/>
  <c r="BM175" i="1" s="1"/>
  <c r="V175" i="1"/>
  <c r="S175" i="1"/>
  <c r="BG175" i="1" s="1"/>
  <c r="AH180" i="1"/>
  <c r="CQ180" i="1"/>
  <c r="AN180" i="1"/>
  <c r="AO180" i="1" s="1"/>
  <c r="AP180" i="1" s="1"/>
  <c r="BB180" i="1" s="1"/>
  <c r="AK180" i="1"/>
  <c r="BY180" i="1" s="1"/>
  <c r="DC180" i="1"/>
  <c r="P180" i="1"/>
  <c r="BD180" i="1" s="1"/>
  <c r="EE186" i="1"/>
  <c r="EG186" i="1" s="1"/>
  <c r="DI188" i="1"/>
  <c r="AK188" i="1"/>
  <c r="DF188" i="1"/>
  <c r="AE188" i="1"/>
  <c r="DC188" i="1"/>
  <c r="EQ188" i="1" s="1"/>
  <c r="Y188" i="1"/>
  <c r="Z188" i="1" s="1"/>
  <c r="AA188" i="1" s="1"/>
  <c r="AW188" i="1" s="1"/>
  <c r="V188" i="1"/>
  <c r="W188" i="1" s="1"/>
  <c r="X188" i="1" s="1"/>
  <c r="AV188" i="1" s="1"/>
  <c r="CT188" i="1"/>
  <c r="S188" i="1"/>
  <c r="T188" i="1" s="1"/>
  <c r="U188" i="1" s="1"/>
  <c r="AU188" i="1" s="1"/>
  <c r="O188" i="1"/>
  <c r="CK188" i="1"/>
  <c r="DC127" i="1"/>
  <c r="EQ127" i="1" s="1"/>
  <c r="ER127" i="1" s="1"/>
  <c r="CQ130" i="1"/>
  <c r="CR130" i="1" s="1"/>
  <c r="CS130" i="1" s="1"/>
  <c r="DO130" i="1" s="1"/>
  <c r="BQ131" i="1"/>
  <c r="AD131" i="1" s="1"/>
  <c r="DC139" i="1"/>
  <c r="DI140" i="1"/>
  <c r="EW140" i="1" s="1"/>
  <c r="O143" i="1"/>
  <c r="AN143" i="1"/>
  <c r="CB143" i="1" s="1"/>
  <c r="CW143" i="1"/>
  <c r="CX143" i="1" s="1"/>
  <c r="CY143" i="1" s="1"/>
  <c r="DQ143" i="1" s="1"/>
  <c r="O145" i="1"/>
  <c r="DC145" i="1"/>
  <c r="CT146" i="1"/>
  <c r="EH146" i="1" s="1"/>
  <c r="Y155" i="1"/>
  <c r="BM155" i="1" s="1"/>
  <c r="BN155" i="1" s="1"/>
  <c r="CT158" i="1"/>
  <c r="CU158" i="1" s="1"/>
  <c r="CV158" i="1" s="1"/>
  <c r="DP158" i="1" s="1"/>
  <c r="AE159" i="1"/>
  <c r="BS159" i="1" s="1"/>
  <c r="AN162" i="1"/>
  <c r="CB162" i="1" s="1"/>
  <c r="CD162" i="1" s="1"/>
  <c r="DF166" i="1"/>
  <c r="DG166" i="1" s="1"/>
  <c r="DH166" i="1" s="1"/>
  <c r="DT166" i="1" s="1"/>
  <c r="O175" i="1"/>
  <c r="O180" i="1"/>
  <c r="DF186" i="1"/>
  <c r="ET186" i="1" s="1"/>
  <c r="EV186" i="1" s="1"/>
  <c r="Y186" i="1"/>
  <c r="DI186" i="1"/>
  <c r="DC186" i="1"/>
  <c r="S186" i="1"/>
  <c r="CZ186" i="1"/>
  <c r="EN186" i="1" s="1"/>
  <c r="EP186" i="1" s="1"/>
  <c r="AQ186" i="1"/>
  <c r="AR186" i="1" s="1"/>
  <c r="AS186" i="1" s="1"/>
  <c r="BC186" i="1" s="1"/>
  <c r="CW186" i="1"/>
  <c r="AN186" i="1"/>
  <c r="AO186" i="1" s="1"/>
  <c r="AP186" i="1" s="1"/>
  <c r="BB186" i="1" s="1"/>
  <c r="P186" i="1"/>
  <c r="CK186" i="1"/>
  <c r="CL186" i="1" s="1"/>
  <c r="CM186" i="1" s="1"/>
  <c r="DM186" i="1" s="1"/>
  <c r="AH188" i="1"/>
  <c r="BV188" i="1" s="1"/>
  <c r="BW188" i="1" s="1"/>
  <c r="BZ118" i="1"/>
  <c r="AM118" i="1" s="1"/>
  <c r="P127" i="1"/>
  <c r="AH127" i="1"/>
  <c r="BV127" i="1" s="1"/>
  <c r="BX127" i="1" s="1"/>
  <c r="DI127" i="1"/>
  <c r="CZ130" i="1"/>
  <c r="EN130" i="1" s="1"/>
  <c r="EP130" i="1" s="1"/>
  <c r="P138" i="1"/>
  <c r="O139" i="1"/>
  <c r="P143" i="1"/>
  <c r="AQ143" i="1"/>
  <c r="CE143" i="1" s="1"/>
  <c r="DI143" i="1"/>
  <c r="EW143" i="1" s="1"/>
  <c r="BR144" i="1"/>
  <c r="AD144" i="1" s="1"/>
  <c r="P145" i="1"/>
  <c r="BD145" i="1" s="1"/>
  <c r="V146" i="1"/>
  <c r="CW146" i="1"/>
  <c r="AQ147" i="1"/>
  <c r="CW147" i="1"/>
  <c r="CT150" i="1"/>
  <c r="P152" i="1"/>
  <c r="BD152" i="1" s="1"/>
  <c r="CQ152" i="1"/>
  <c r="AE155" i="1"/>
  <c r="BS155" i="1" s="1"/>
  <c r="DF155" i="1"/>
  <c r="ET155" i="1" s="1"/>
  <c r="O158" i="1"/>
  <c r="CW158" i="1"/>
  <c r="EK158" i="1" s="1"/>
  <c r="DC159" i="1"/>
  <c r="EQ159" i="1" s="1"/>
  <c r="CH162" i="1"/>
  <c r="BY173" i="1"/>
  <c r="Y180" i="1"/>
  <c r="BM180" i="1" s="1"/>
  <c r="O186" i="1"/>
  <c r="CR188" i="1"/>
  <c r="CS188" i="1" s="1"/>
  <c r="DO188" i="1" s="1"/>
  <c r="EE188" i="1"/>
  <c r="EF188" i="1" s="1"/>
  <c r="DF200" i="1"/>
  <c r="DG200" i="1" s="1"/>
  <c r="DH200" i="1" s="1"/>
  <c r="DT200" i="1" s="1"/>
  <c r="DI200" i="1"/>
  <c r="AE200" i="1"/>
  <c r="DC200" i="1"/>
  <c r="AB200" i="1"/>
  <c r="CZ200" i="1"/>
  <c r="CW200" i="1"/>
  <c r="EK200" i="1" s="1"/>
  <c r="V200" i="1"/>
  <c r="CQ200" i="1"/>
  <c r="CR200" i="1" s="1"/>
  <c r="CS200" i="1" s="1"/>
  <c r="DO200" i="1" s="1"/>
  <c r="AQ200" i="1"/>
  <c r="CN200" i="1"/>
  <c r="EB200" i="1" s="1"/>
  <c r="ED200" i="1" s="1"/>
  <c r="S200" i="1"/>
  <c r="O200" i="1"/>
  <c r="CT203" i="1"/>
  <c r="EH203" i="1" s="1"/>
  <c r="DF203" i="1"/>
  <c r="ET203" i="1" s="1"/>
  <c r="EV203" i="1" s="1"/>
  <c r="AQ203" i="1"/>
  <c r="CE203" i="1" s="1"/>
  <c r="CG203" i="1" s="1"/>
  <c r="S203" i="1"/>
  <c r="BG203" i="1" s="1"/>
  <c r="BI203" i="1" s="1"/>
  <c r="AE227" i="1"/>
  <c r="V227" i="1"/>
  <c r="BJ227" i="1" s="1"/>
  <c r="CT227" i="1"/>
  <c r="AK227" i="1"/>
  <c r="BY227" i="1" s="1"/>
  <c r="CA227" i="1" s="1"/>
  <c r="CQ227" i="1"/>
  <c r="CR227" i="1" s="1"/>
  <c r="CS227" i="1" s="1"/>
  <c r="DO227" i="1" s="1"/>
  <c r="AQ227" i="1"/>
  <c r="AR227" i="1" s="1"/>
  <c r="AS227" i="1" s="1"/>
  <c r="BC227" i="1" s="1"/>
  <c r="Y227" i="1"/>
  <c r="BM227" i="1" s="1"/>
  <c r="BO227" i="1" s="1"/>
  <c r="S227" i="1"/>
  <c r="S138" i="1"/>
  <c r="BG138" i="1" s="1"/>
  <c r="AB146" i="1"/>
  <c r="DC146" i="1"/>
  <c r="P147" i="1"/>
  <c r="DC147" i="1"/>
  <c r="P150" i="1"/>
  <c r="AB152" i="1"/>
  <c r="CW152" i="1"/>
  <c r="AQ155" i="1"/>
  <c r="Y161" i="1"/>
  <c r="BM161" i="1" s="1"/>
  <c r="BO161" i="1" s="1"/>
  <c r="AQ175" i="1"/>
  <c r="CE175" i="1" s="1"/>
  <c r="CG175" i="1" s="1"/>
  <c r="CN180" i="1"/>
  <c r="AB186" i="1"/>
  <c r="AC186" i="1" s="1"/>
  <c r="AD186" i="1" s="1"/>
  <c r="AX186" i="1" s="1"/>
  <c r="DC193" i="1"/>
  <c r="CZ193" i="1"/>
  <c r="EN193" i="1" s="1"/>
  <c r="CW193" i="1"/>
  <c r="EK193" i="1" s="1"/>
  <c r="CQ193" i="1"/>
  <c r="CK193" i="1"/>
  <c r="DY193" i="1" s="1"/>
  <c r="O193" i="1"/>
  <c r="P200" i="1"/>
  <c r="AE203" i="1"/>
  <c r="DF234" i="1"/>
  <c r="V234" i="1"/>
  <c r="BJ234" i="1" s="1"/>
  <c r="CW234" i="1"/>
  <c r="P234" i="1"/>
  <c r="BD234" i="1" s="1"/>
  <c r="AN234" i="1"/>
  <c r="AH234" i="1"/>
  <c r="BV234" i="1" s="1"/>
  <c r="AB234" i="1"/>
  <c r="O234" i="1"/>
  <c r="CK234" i="1"/>
  <c r="CL234" i="1" s="1"/>
  <c r="CM234" i="1" s="1"/>
  <c r="DM234" i="1" s="1"/>
  <c r="AH194" i="1"/>
  <c r="DF194" i="1"/>
  <c r="CW195" i="1"/>
  <c r="DI197" i="1"/>
  <c r="EW197" i="1" s="1"/>
  <c r="EY197" i="1" s="1"/>
  <c r="AB210" i="1"/>
  <c r="BP210" i="1" s="1"/>
  <c r="CK215" i="1"/>
  <c r="CL215" i="1" s="1"/>
  <c r="CM215" i="1" s="1"/>
  <c r="DM215" i="1" s="1"/>
  <c r="AN215" i="1"/>
  <c r="DC215" i="1"/>
  <c r="AK215" i="1"/>
  <c r="BY215" i="1" s="1"/>
  <c r="P215" i="1"/>
  <c r="Q215" i="1" s="1"/>
  <c r="R215" i="1" s="1"/>
  <c r="AT215" i="1" s="1"/>
  <c r="DF215" i="1"/>
  <c r="ET215" i="1" s="1"/>
  <c r="EQ224" i="1"/>
  <c r="ES224" i="1" s="1"/>
  <c r="CT233" i="1"/>
  <c r="EH233" i="1" s="1"/>
  <c r="CH253" i="1"/>
  <c r="CI253" i="1" s="1"/>
  <c r="CJ253" i="1" s="1"/>
  <c r="DL253" i="1" s="1"/>
  <c r="CZ253" i="1"/>
  <c r="EN253" i="1" s="1"/>
  <c r="CT253" i="1"/>
  <c r="EH253" i="1" s="1"/>
  <c r="EY293" i="1"/>
  <c r="EX293" i="1"/>
  <c r="ES299" i="1"/>
  <c r="ER299" i="1"/>
  <c r="EV302" i="1"/>
  <c r="EU302" i="1"/>
  <c r="CK201" i="1"/>
  <c r="DI201" i="1"/>
  <c r="DI205" i="1"/>
  <c r="S205" i="1"/>
  <c r="T205" i="1" s="1"/>
  <c r="U205" i="1" s="1"/>
  <c r="AU205" i="1" s="1"/>
  <c r="AS248" i="1"/>
  <c r="AQ254" i="1"/>
  <c r="AR254" i="1" s="1"/>
  <c r="AS254" i="1" s="1"/>
  <c r="BC254" i="1" s="1"/>
  <c r="DI254" i="1"/>
  <c r="Y254" i="1"/>
  <c r="Z254" i="1" s="1"/>
  <c r="AA254" i="1" s="1"/>
  <c r="AW254" i="1" s="1"/>
  <c r="DC254" i="1"/>
  <c r="DD254" i="1" s="1"/>
  <c r="DE254" i="1" s="1"/>
  <c r="DS254" i="1" s="1"/>
  <c r="CZ254" i="1"/>
  <c r="EN254" i="1" s="1"/>
  <c r="V254" i="1"/>
  <c r="CW254" i="1"/>
  <c r="CX254" i="1" s="1"/>
  <c r="CY254" i="1" s="1"/>
  <c r="DQ254" i="1" s="1"/>
  <c r="O254" i="1"/>
  <c r="CQ254" i="1"/>
  <c r="CN254" i="1"/>
  <c r="EB254" i="1" s="1"/>
  <c r="ED254" i="1" s="1"/>
  <c r="CK254" i="1"/>
  <c r="EI291" i="1"/>
  <c r="EJ291" i="1"/>
  <c r="DG213" i="1"/>
  <c r="DH213" i="1" s="1"/>
  <c r="DT213" i="1" s="1"/>
  <c r="ET213" i="1"/>
  <c r="EV213" i="1" s="1"/>
  <c r="BZ222" i="1"/>
  <c r="CA222" i="1"/>
  <c r="AK231" i="1"/>
  <c r="BY231" i="1" s="1"/>
  <c r="AQ231" i="1"/>
  <c r="CE231" i="1" s="1"/>
  <c r="CT231" i="1"/>
  <c r="EH231" i="1" s="1"/>
  <c r="EP242" i="1"/>
  <c r="EO242" i="1"/>
  <c r="EE244" i="1"/>
  <c r="EG244" i="1" s="1"/>
  <c r="CR244" i="1"/>
  <c r="CS244" i="1" s="1"/>
  <c r="DO244" i="1" s="1"/>
  <c r="O249" i="1"/>
  <c r="AK249" i="1"/>
  <c r="BY249" i="1" s="1"/>
  <c r="DC249" i="1"/>
  <c r="CW249" i="1"/>
  <c r="EK249" i="1" s="1"/>
  <c r="EM249" i="1" s="1"/>
  <c r="AH249" i="1"/>
  <c r="CQ249" i="1"/>
  <c r="CN249" i="1"/>
  <c r="Y249" i="1"/>
  <c r="BM249" i="1" s="1"/>
  <c r="V249" i="1"/>
  <c r="BJ249" i="1" s="1"/>
  <c r="BL249" i="1" s="1"/>
  <c r="S249" i="1"/>
  <c r="DI251" i="1"/>
  <c r="EW251" i="1" s="1"/>
  <c r="CK251" i="1"/>
  <c r="DY251" i="1" s="1"/>
  <c r="EA251" i="1" s="1"/>
  <c r="CH251" i="1"/>
  <c r="CI251" i="1" s="1"/>
  <c r="CJ251" i="1" s="1"/>
  <c r="DL251" i="1" s="1"/>
  <c r="AQ251" i="1"/>
  <c r="CE251" i="1" s="1"/>
  <c r="V251" i="1"/>
  <c r="BJ251" i="1" s="1"/>
  <c r="BL251" i="1" s="1"/>
  <c r="AR256" i="1"/>
  <c r="AS256" i="1" s="1"/>
  <c r="BC256" i="1" s="1"/>
  <c r="CE256" i="1"/>
  <c r="CF256" i="1" s="1"/>
  <c r="AE167" i="1"/>
  <c r="CN167" i="1"/>
  <c r="CO167" i="1" s="1"/>
  <c r="CP167" i="1" s="1"/>
  <c r="DN167" i="1" s="1"/>
  <c r="Y168" i="1"/>
  <c r="DI168" i="1"/>
  <c r="AE172" i="1"/>
  <c r="BS172" i="1" s="1"/>
  <c r="CW172" i="1"/>
  <c r="CX172" i="1" s="1"/>
  <c r="CY172" i="1" s="1"/>
  <c r="DQ172" i="1" s="1"/>
  <c r="CQ173" i="1"/>
  <c r="EE173" i="1" s="1"/>
  <c r="AQ176" i="1"/>
  <c r="AH179" i="1"/>
  <c r="BV179" i="1" s="1"/>
  <c r="DI181" i="1"/>
  <c r="EW181" i="1" s="1"/>
  <c r="CW184" i="1"/>
  <c r="CT190" i="1"/>
  <c r="AB191" i="1"/>
  <c r="AC191" i="1" s="1"/>
  <c r="AD191" i="1" s="1"/>
  <c r="AX191" i="1" s="1"/>
  <c r="CH194" i="1"/>
  <c r="AH195" i="1"/>
  <c r="BU196" i="1"/>
  <c r="AG196" i="1" s="1"/>
  <c r="S201" i="1"/>
  <c r="AK201" i="1"/>
  <c r="AK202" i="1"/>
  <c r="CT205" i="1"/>
  <c r="CU205" i="1" s="1"/>
  <c r="CV205" i="1" s="1"/>
  <c r="DP205" i="1" s="1"/>
  <c r="BH209" i="1"/>
  <c r="U209" i="1" s="1"/>
  <c r="S231" i="1"/>
  <c r="BG231" i="1" s="1"/>
  <c r="O240" i="1"/>
  <c r="CQ240" i="1"/>
  <c r="EE240" i="1" s="1"/>
  <c r="EG240" i="1" s="1"/>
  <c r="P240" i="1"/>
  <c r="Q240" i="1" s="1"/>
  <c r="R240" i="1" s="1"/>
  <c r="AT240" i="1" s="1"/>
  <c r="DI240" i="1"/>
  <c r="DC240" i="1"/>
  <c r="AN240" i="1"/>
  <c r="CW240" i="1"/>
  <c r="S240" i="1"/>
  <c r="AE249" i="1"/>
  <c r="CN251" i="1"/>
  <c r="EB251" i="1" s="1"/>
  <c r="AK254" i="1"/>
  <c r="AL254" i="1" s="1"/>
  <c r="AM254" i="1" s="1"/>
  <c r="BA254" i="1" s="1"/>
  <c r="EK268" i="1"/>
  <c r="EM268" i="1" s="1"/>
  <c r="CX268" i="1"/>
  <c r="CY268" i="1" s="1"/>
  <c r="DQ268" i="1" s="1"/>
  <c r="CQ179" i="1"/>
  <c r="BM191" i="1"/>
  <c r="BO191" i="1" s="1"/>
  <c r="AK197" i="1"/>
  <c r="AN201" i="1"/>
  <c r="CQ201" i="1"/>
  <c r="DC205" i="1"/>
  <c r="Y231" i="1"/>
  <c r="EO233" i="1"/>
  <c r="EP233" i="1"/>
  <c r="AQ249" i="1"/>
  <c r="CZ251" i="1"/>
  <c r="EN251" i="1" s="1"/>
  <c r="EP251" i="1" s="1"/>
  <c r="AH167" i="1"/>
  <c r="BV167" i="1" s="1"/>
  <c r="BW167" i="1" s="1"/>
  <c r="CZ167" i="1"/>
  <c r="DA167" i="1" s="1"/>
  <c r="DB167" i="1" s="1"/>
  <c r="DR167" i="1" s="1"/>
  <c r="AN172" i="1"/>
  <c r="DI172" i="1"/>
  <c r="EW172" i="1" s="1"/>
  <c r="AB173" i="1"/>
  <c r="S176" i="1"/>
  <c r="V177" i="1"/>
  <c r="W177" i="1" s="1"/>
  <c r="X177" i="1" s="1"/>
  <c r="AV177" i="1" s="1"/>
  <c r="CZ177" i="1"/>
  <c r="DI184" i="1"/>
  <c r="EW184" i="1" s="1"/>
  <c r="AH187" i="1"/>
  <c r="O190" i="1"/>
  <c r="CW190" i="1"/>
  <c r="CX190" i="1" s="1"/>
  <c r="CY190" i="1" s="1"/>
  <c r="DQ190" i="1" s="1"/>
  <c r="CH191" i="1"/>
  <c r="CI191" i="1" s="1"/>
  <c r="CJ191" i="1" s="1"/>
  <c r="DL191" i="1" s="1"/>
  <c r="Y194" i="1"/>
  <c r="CK194" i="1"/>
  <c r="O195" i="1"/>
  <c r="AK195" i="1"/>
  <c r="EW195" i="1"/>
  <c r="EY195" i="1" s="1"/>
  <c r="BW196" i="1"/>
  <c r="AJ196" i="1" s="1"/>
  <c r="CW202" i="1"/>
  <c r="CT207" i="1"/>
  <c r="AK211" i="1"/>
  <c r="DI211" i="1"/>
  <c r="DJ211" i="1" s="1"/>
  <c r="DK211" i="1" s="1"/>
  <c r="DU211" i="1" s="1"/>
  <c r="AH211" i="1"/>
  <c r="AI211" i="1" s="1"/>
  <c r="AJ211" i="1" s="1"/>
  <c r="AZ211" i="1" s="1"/>
  <c r="CH215" i="1"/>
  <c r="DV215" i="1" s="1"/>
  <c r="BL222" i="1"/>
  <c r="X222" i="1" s="1"/>
  <c r="AN224" i="1"/>
  <c r="P233" i="1"/>
  <c r="AE240" i="1"/>
  <c r="BS240" i="1" s="1"/>
  <c r="DI245" i="1"/>
  <c r="DC245" i="1"/>
  <c r="EQ245" i="1" s="1"/>
  <c r="AK245" i="1"/>
  <c r="CW245" i="1"/>
  <c r="EK245" i="1" s="1"/>
  <c r="EL245" i="1" s="1"/>
  <c r="AH245" i="1"/>
  <c r="CQ245" i="1"/>
  <c r="EE245" i="1" s="1"/>
  <c r="EG245" i="1" s="1"/>
  <c r="AB245" i="1"/>
  <c r="AC245" i="1" s="1"/>
  <c r="AD245" i="1" s="1"/>
  <c r="AX245" i="1" s="1"/>
  <c r="CK245" i="1"/>
  <c r="Y245" i="1"/>
  <c r="BM245" i="1" s="1"/>
  <c r="DF251" i="1"/>
  <c r="ET251" i="1" s="1"/>
  <c r="ED273" i="1"/>
  <c r="EC273" i="1"/>
  <c r="AN167" i="1"/>
  <c r="DI167" i="1"/>
  <c r="EW167" i="1" s="1"/>
  <c r="EN172" i="1"/>
  <c r="EO172" i="1" s="1"/>
  <c r="AE173" i="1"/>
  <c r="CZ173" i="1"/>
  <c r="V176" i="1"/>
  <c r="CN176" i="1"/>
  <c r="EB176" i="1" s="1"/>
  <c r="Y177" i="1"/>
  <c r="BM177" i="1" s="1"/>
  <c r="O182" i="1"/>
  <c r="CF183" i="1"/>
  <c r="AS183" i="1" s="1"/>
  <c r="BP187" i="1"/>
  <c r="BQ187" i="1" s="1"/>
  <c r="Y190" i="1"/>
  <c r="CZ190" i="1"/>
  <c r="DA190" i="1" s="1"/>
  <c r="DB190" i="1" s="1"/>
  <c r="DR190" i="1" s="1"/>
  <c r="AB194" i="1"/>
  <c r="P195" i="1"/>
  <c r="BD195" i="1" s="1"/>
  <c r="CK197" i="1"/>
  <c r="DY197" i="1" s="1"/>
  <c r="EA197" i="1" s="1"/>
  <c r="V201" i="1"/>
  <c r="BJ201" i="1" s="1"/>
  <c r="CW201" i="1"/>
  <c r="DI204" i="1"/>
  <c r="EW204" i="1" s="1"/>
  <c r="CZ214" i="1"/>
  <c r="DA214" i="1" s="1"/>
  <c r="DB214" i="1" s="1"/>
  <c r="DR214" i="1" s="1"/>
  <c r="AQ214" i="1"/>
  <c r="Y214" i="1"/>
  <c r="BM214" i="1" s="1"/>
  <c r="CQ214" i="1"/>
  <c r="CR214" i="1" s="1"/>
  <c r="CS214" i="1" s="1"/>
  <c r="DO214" i="1" s="1"/>
  <c r="CN215" i="1"/>
  <c r="AB233" i="1"/>
  <c r="BK235" i="1"/>
  <c r="X235" i="1" s="1"/>
  <c r="CN236" i="1"/>
  <c r="CO236" i="1" s="1"/>
  <c r="CP236" i="1" s="1"/>
  <c r="DN236" i="1" s="1"/>
  <c r="CH236" i="1"/>
  <c r="DV236" i="1" s="1"/>
  <c r="AK236" i="1"/>
  <c r="AQ240" i="1"/>
  <c r="AR240" i="1" s="1"/>
  <c r="AS240" i="1" s="1"/>
  <c r="BC240" i="1" s="1"/>
  <c r="P245" i="1"/>
  <c r="BD245" i="1" s="1"/>
  <c r="BY264" i="1"/>
  <c r="BZ264" i="1" s="1"/>
  <c r="AL264" i="1"/>
  <c r="AM264" i="1" s="1"/>
  <c r="BA264" i="1" s="1"/>
  <c r="EG299" i="1"/>
  <c r="EF299" i="1"/>
  <c r="CN197" i="1"/>
  <c r="CO197" i="1" s="1"/>
  <c r="CP197" i="1" s="1"/>
  <c r="DN197" i="1" s="1"/>
  <c r="Y201" i="1"/>
  <c r="AQ201" i="1"/>
  <c r="CZ201" i="1"/>
  <c r="EQ207" i="1"/>
  <c r="ES207" i="1" s="1"/>
  <c r="AH210" i="1"/>
  <c r="O210" i="1"/>
  <c r="CT215" i="1"/>
  <c r="EH215" i="1" s="1"/>
  <c r="CH233" i="1"/>
  <c r="AQ244" i="1"/>
  <c r="CE244" i="1" s="1"/>
  <c r="V244" i="1"/>
  <c r="BJ244" i="1" s="1"/>
  <c r="BL244" i="1" s="1"/>
  <c r="AN244" i="1"/>
  <c r="AH244" i="1"/>
  <c r="BV244" i="1" s="1"/>
  <c r="DC244" i="1"/>
  <c r="AB244" i="1"/>
  <c r="CZ244" i="1"/>
  <c r="Y244" i="1"/>
  <c r="BM244" i="1" s="1"/>
  <c r="BN244" i="1" s="1"/>
  <c r="BL245" i="1"/>
  <c r="BK245" i="1"/>
  <c r="P167" i="1"/>
  <c r="AQ167" i="1"/>
  <c r="CN168" i="1"/>
  <c r="EB168" i="1" s="1"/>
  <c r="P172" i="1"/>
  <c r="DC173" i="1"/>
  <c r="EQ173" i="1" s="1"/>
  <c r="ES173" i="1" s="1"/>
  <c r="AK177" i="1"/>
  <c r="BY177" i="1" s="1"/>
  <c r="Y178" i="1"/>
  <c r="BM178" i="1" s="1"/>
  <c r="EN179" i="1"/>
  <c r="EP179" i="1" s="1"/>
  <c r="CT182" i="1"/>
  <c r="CN187" i="1"/>
  <c r="DI190" i="1"/>
  <c r="EW190" i="1" s="1"/>
  <c r="CW194" i="1"/>
  <c r="AQ195" i="1"/>
  <c r="CN195" i="1"/>
  <c r="EB195" i="1" s="1"/>
  <c r="ED195" i="1" s="1"/>
  <c r="CC196" i="1"/>
  <c r="AP196" i="1" s="1"/>
  <c r="CT197" i="1"/>
  <c r="AB201" i="1"/>
  <c r="CZ202" i="1"/>
  <c r="DF206" i="1"/>
  <c r="ET206" i="1" s="1"/>
  <c r="AN206" i="1"/>
  <c r="CB206" i="1" s="1"/>
  <c r="CK220" i="1"/>
  <c r="DI220" i="1"/>
  <c r="EW220" i="1" s="1"/>
  <c r="EY220" i="1" s="1"/>
  <c r="CT232" i="1"/>
  <c r="EH232" i="1" s="1"/>
  <c r="AE232" i="1"/>
  <c r="BS232" i="1" s="1"/>
  <c r="BU232" i="1" s="1"/>
  <c r="CK240" i="1"/>
  <c r="DY240" i="1" s="1"/>
  <c r="DZ240" i="1" s="1"/>
  <c r="EG275" i="1"/>
  <c r="EF275" i="1"/>
  <c r="V165" i="1"/>
  <c r="W165" i="1" s="1"/>
  <c r="X165" i="1" s="1"/>
  <c r="AV165" i="1" s="1"/>
  <c r="O168" i="1"/>
  <c r="AK168" i="1"/>
  <c r="AL168" i="1" s="1"/>
  <c r="AM168" i="1" s="1"/>
  <c r="BA168" i="1" s="1"/>
  <c r="CQ168" i="1"/>
  <c r="EE168" i="1" s="1"/>
  <c r="BO170" i="1"/>
  <c r="AA170" i="1" s="1"/>
  <c r="AH173" i="1"/>
  <c r="DI173" i="1"/>
  <c r="AB176" i="1"/>
  <c r="AC176" i="1" s="1"/>
  <c r="AD176" i="1" s="1"/>
  <c r="AX176" i="1" s="1"/>
  <c r="CZ176" i="1"/>
  <c r="DI177" i="1"/>
  <c r="DF182" i="1"/>
  <c r="O184" i="1"/>
  <c r="V195" i="1"/>
  <c r="CQ195" i="1"/>
  <c r="CR195" i="1" s="1"/>
  <c r="CS195" i="1" s="1"/>
  <c r="DO195" i="1" s="1"/>
  <c r="BI196" i="1"/>
  <c r="U196" i="1" s="1"/>
  <c r="DC201" i="1"/>
  <c r="S202" i="1"/>
  <c r="T202" i="1" s="1"/>
  <c r="U202" i="1" s="1"/>
  <c r="AU202" i="1" s="1"/>
  <c r="V206" i="1"/>
  <c r="W206" i="1" s="1"/>
  <c r="X206" i="1" s="1"/>
  <c r="AV206" i="1" s="1"/>
  <c r="AE208" i="1"/>
  <c r="BS208" i="1" s="1"/>
  <c r="AB208" i="1"/>
  <c r="AC208" i="1" s="1"/>
  <c r="AD208" i="1" s="1"/>
  <c r="AX208" i="1" s="1"/>
  <c r="Y210" i="1"/>
  <c r="Z210" i="1" s="1"/>
  <c r="AA210" i="1" s="1"/>
  <c r="AW210" i="1" s="1"/>
  <c r="CT211" i="1"/>
  <c r="CZ215" i="1"/>
  <c r="AH217" i="1"/>
  <c r="AI217" i="1" s="1"/>
  <c r="AJ217" i="1" s="1"/>
  <c r="AZ217" i="1" s="1"/>
  <c r="CT220" i="1"/>
  <c r="CU220" i="1" s="1"/>
  <c r="CV220" i="1" s="1"/>
  <c r="DP220" i="1" s="1"/>
  <c r="BQ222" i="1"/>
  <c r="AD222" i="1" s="1"/>
  <c r="DF224" i="1"/>
  <c r="AK224" i="1"/>
  <c r="BY224" i="1" s="1"/>
  <c r="CN224" i="1"/>
  <c r="DI224" i="1"/>
  <c r="Y224" i="1"/>
  <c r="BM224" i="1" s="1"/>
  <c r="BN224" i="1" s="1"/>
  <c r="S232" i="1"/>
  <c r="CN233" i="1"/>
  <c r="EB233" i="1" s="1"/>
  <c r="CN240" i="1"/>
  <c r="EB240" i="1" s="1"/>
  <c r="P244" i="1"/>
  <c r="ED296" i="1"/>
  <c r="EC296" i="1"/>
  <c r="AK252" i="1"/>
  <c r="BY252" i="1" s="1"/>
  <c r="CZ259" i="1"/>
  <c r="DA259" i="1" s="1"/>
  <c r="DB259" i="1" s="1"/>
  <c r="DR259" i="1" s="1"/>
  <c r="CH269" i="1"/>
  <c r="DV269" i="1" s="1"/>
  <c r="DW269" i="1" s="1"/>
  <c r="EH288" i="1"/>
  <c r="EB293" i="1"/>
  <c r="ED293" i="1" s="1"/>
  <c r="EJ294" i="1"/>
  <c r="DZ297" i="1"/>
  <c r="EB298" i="1"/>
  <c r="ED298" i="1" s="1"/>
  <c r="CQ216" i="1"/>
  <c r="DC225" i="1"/>
  <c r="AE238" i="1"/>
  <c r="BS238" i="1" s="1"/>
  <c r="S241" i="1"/>
  <c r="CK241" i="1"/>
  <c r="V242" i="1"/>
  <c r="BJ242" i="1" s="1"/>
  <c r="V246" i="1"/>
  <c r="CQ247" i="1"/>
  <c r="EE247" i="1" s="1"/>
  <c r="BQ248" i="1"/>
  <c r="AD248" i="1" s="1"/>
  <c r="O252" i="1"/>
  <c r="AN252" i="1"/>
  <c r="CN252" i="1"/>
  <c r="V255" i="1"/>
  <c r="AB257" i="1"/>
  <c r="BP257" i="1" s="1"/>
  <c r="DC259" i="1"/>
  <c r="BI261" i="1"/>
  <c r="U261" i="1" s="1"/>
  <c r="CD261" i="1"/>
  <c r="AP261" i="1" s="1"/>
  <c r="CK269" i="1"/>
  <c r="CL269" i="1" s="1"/>
  <c r="CM269" i="1" s="1"/>
  <c r="DM269" i="1" s="1"/>
  <c r="DV280" i="1"/>
  <c r="DX280" i="1" s="1"/>
  <c r="EQ287" i="1"/>
  <c r="EE298" i="1"/>
  <c r="DY302" i="1"/>
  <c r="EA302" i="1" s="1"/>
  <c r="DI259" i="1"/>
  <c r="DJ259" i="1" s="1"/>
  <c r="DK259" i="1" s="1"/>
  <c r="DU259" i="1" s="1"/>
  <c r="S269" i="1"/>
  <c r="CT269" i="1"/>
  <c r="CI273" i="1"/>
  <c r="CJ273" i="1" s="1"/>
  <c r="DL273" i="1" s="1"/>
  <c r="EN276" i="1"/>
  <c r="EP276" i="1" s="1"/>
  <c r="EA280" i="1"/>
  <c r="CR281" i="1"/>
  <c r="CS281" i="1" s="1"/>
  <c r="DO281" i="1" s="1"/>
  <c r="DJ286" i="1"/>
  <c r="DK286" i="1" s="1"/>
  <c r="DU286" i="1" s="1"/>
  <c r="CL287" i="1"/>
  <c r="CM287" i="1" s="1"/>
  <c r="DM287" i="1" s="1"/>
  <c r="DJ292" i="1"/>
  <c r="DK292" i="1" s="1"/>
  <c r="DU292" i="1" s="1"/>
  <c r="CL296" i="1"/>
  <c r="CM296" i="1" s="1"/>
  <c r="DM296" i="1" s="1"/>
  <c r="ED297" i="1"/>
  <c r="CR299" i="1"/>
  <c r="CS299" i="1" s="1"/>
  <c r="DO299" i="1" s="1"/>
  <c r="DJ300" i="1"/>
  <c r="DK300" i="1" s="1"/>
  <c r="DU300" i="1" s="1"/>
  <c r="CL301" i="1"/>
  <c r="CM301" i="1" s="1"/>
  <c r="DM301" i="1" s="1"/>
  <c r="EQ278" i="1"/>
  <c r="ES278" i="1" s="1"/>
  <c r="DV286" i="1"/>
  <c r="DW286" i="1" s="1"/>
  <c r="ET287" i="1"/>
  <c r="EU287" i="1" s="1"/>
  <c r="DV292" i="1"/>
  <c r="DX292" i="1" s="1"/>
  <c r="EE297" i="1"/>
  <c r="EG297" i="1" s="1"/>
  <c r="CT238" i="1"/>
  <c r="EH238" i="1" s="1"/>
  <c r="V241" i="1"/>
  <c r="BJ241" i="1" s="1"/>
  <c r="BL241" i="1" s="1"/>
  <c r="CN241" i="1"/>
  <c r="EB241" i="1" s="1"/>
  <c r="S252" i="1"/>
  <c r="BG252" i="1" s="1"/>
  <c r="CZ252" i="1"/>
  <c r="AK259" i="1"/>
  <c r="DF262" i="1"/>
  <c r="DG262" i="1" s="1"/>
  <c r="DH262" i="1" s="1"/>
  <c r="DT262" i="1" s="1"/>
  <c r="AB265" i="1"/>
  <c r="AC265" i="1" s="1"/>
  <c r="AD265" i="1" s="1"/>
  <c r="AX265" i="1" s="1"/>
  <c r="CW269" i="1"/>
  <c r="CX269" i="1" s="1"/>
  <c r="CY269" i="1" s="1"/>
  <c r="DQ269" i="1" s="1"/>
  <c r="DY272" i="1"/>
  <c r="EA272" i="1" s="1"/>
  <c r="CR275" i="1"/>
  <c r="CS275" i="1" s="1"/>
  <c r="DO275" i="1" s="1"/>
  <c r="EB275" i="1"/>
  <c r="EB277" i="1"/>
  <c r="DY281" i="1"/>
  <c r="EA281" i="1" s="1"/>
  <c r="DG283" i="1"/>
  <c r="DH283" i="1" s="1"/>
  <c r="DT283" i="1" s="1"/>
  <c r="CO284" i="1"/>
  <c r="CP284" i="1" s="1"/>
  <c r="DN284" i="1" s="1"/>
  <c r="DG289" i="1"/>
  <c r="DH289" i="1" s="1"/>
  <c r="DT289" i="1" s="1"/>
  <c r="CU291" i="1"/>
  <c r="CV291" i="1" s="1"/>
  <c r="DP291" i="1" s="1"/>
  <c r="EF291" i="1"/>
  <c r="CO292" i="1"/>
  <c r="CP292" i="1" s="1"/>
  <c r="DN292" i="1" s="1"/>
  <c r="EH292" i="1"/>
  <c r="EI292" i="1" s="1"/>
  <c r="CO296" i="1"/>
  <c r="CP296" i="1" s="1"/>
  <c r="DN296" i="1" s="1"/>
  <c r="DD296" i="1"/>
  <c r="DE296" i="1" s="1"/>
  <c r="DS296" i="1" s="1"/>
  <c r="CU299" i="1"/>
  <c r="CV299" i="1" s="1"/>
  <c r="DP299" i="1" s="1"/>
  <c r="EE301" i="1"/>
  <c r="EG301" i="1" s="1"/>
  <c r="DD302" i="1"/>
  <c r="DE302" i="1" s="1"/>
  <c r="DS302" i="1" s="1"/>
  <c r="ER303" i="1"/>
  <c r="DA304" i="1"/>
  <c r="DB304" i="1" s="1"/>
  <c r="DR304" i="1" s="1"/>
  <c r="AB225" i="1"/>
  <c r="BN235" i="1"/>
  <c r="AA235" i="1" s="1"/>
  <c r="CF235" i="1"/>
  <c r="AS235" i="1" s="1"/>
  <c r="Y241" i="1"/>
  <c r="CW241" i="1"/>
  <c r="CH243" i="1"/>
  <c r="DV243" i="1" s="1"/>
  <c r="S247" i="1"/>
  <c r="T247" i="1" s="1"/>
  <c r="U247" i="1" s="1"/>
  <c r="AU247" i="1" s="1"/>
  <c r="V252" i="1"/>
  <c r="CH255" i="1"/>
  <c r="AE256" i="1"/>
  <c r="CK256" i="1"/>
  <c r="DY256" i="1" s="1"/>
  <c r="CH258" i="1"/>
  <c r="AN259" i="1"/>
  <c r="CB259" i="1" s="1"/>
  <c r="BQ261" i="1"/>
  <c r="AD261" i="1" s="1"/>
  <c r="Y262" i="1"/>
  <c r="BM262" i="1" s="1"/>
  <c r="DI262" i="1"/>
  <c r="EW262" i="1" s="1"/>
  <c r="V269" i="1"/>
  <c r="CZ269" i="1"/>
  <c r="DA269" i="1" s="1"/>
  <c r="DB269" i="1" s="1"/>
  <c r="DR269" i="1" s="1"/>
  <c r="EF272" i="1"/>
  <c r="EW278" i="1"/>
  <c r="EY278" i="1" s="1"/>
  <c r="EN280" i="1"/>
  <c r="EP280" i="1" s="1"/>
  <c r="DG284" i="1"/>
  <c r="DH284" i="1" s="1"/>
  <c r="DT284" i="1" s="1"/>
  <c r="EK292" i="1"/>
  <c r="CU297" i="1"/>
  <c r="CV297" i="1" s="1"/>
  <c r="DP297" i="1" s="1"/>
  <c r="EG300" i="1"/>
  <c r="EH301" i="1"/>
  <c r="EJ301" i="1" s="1"/>
  <c r="CO302" i="1"/>
  <c r="CP302" i="1" s="1"/>
  <c r="DN302" i="1" s="1"/>
  <c r="CO303" i="1"/>
  <c r="CP303" i="1" s="1"/>
  <c r="DN303" i="1" s="1"/>
  <c r="EW303" i="1"/>
  <c r="EY303" i="1" s="1"/>
  <c r="AH216" i="1"/>
  <c r="BV216" i="1" s="1"/>
  <c r="BX216" i="1" s="1"/>
  <c r="DJ239" i="1"/>
  <c r="DK239" i="1" s="1"/>
  <c r="DU239" i="1" s="1"/>
  <c r="AE241" i="1"/>
  <c r="BS241" i="1" s="1"/>
  <c r="AK242" i="1"/>
  <c r="BY242" i="1" s="1"/>
  <c r="V247" i="1"/>
  <c r="BJ247" i="1" s="1"/>
  <c r="BL247" i="1" s="1"/>
  <c r="CC248" i="1"/>
  <c r="AP248" i="1" s="1"/>
  <c r="DC252" i="1"/>
  <c r="DD252" i="1" s="1"/>
  <c r="DE252" i="1" s="1"/>
  <c r="DS252" i="1" s="1"/>
  <c r="DC255" i="1"/>
  <c r="EQ255" i="1" s="1"/>
  <c r="Y269" i="1"/>
  <c r="DF269" i="1"/>
  <c r="DV283" i="1"/>
  <c r="DW283" i="1" s="1"/>
  <c r="EK301" i="1"/>
  <c r="EM301" i="1" s="1"/>
  <c r="CK259" i="1"/>
  <c r="DY259" i="1" s="1"/>
  <c r="AE269" i="1"/>
  <c r="AF269" i="1" s="1"/>
  <c r="AG269" i="1" s="1"/>
  <c r="AY269" i="1" s="1"/>
  <c r="EE273" i="1"/>
  <c r="EF273" i="1" s="1"/>
  <c r="EJ277" i="1"/>
  <c r="CR278" i="1"/>
  <c r="CS278" i="1" s="1"/>
  <c r="DO278" i="1" s="1"/>
  <c r="DA281" i="1"/>
  <c r="DB281" i="1" s="1"/>
  <c r="DR281" i="1" s="1"/>
  <c r="EH281" i="1"/>
  <c r="EJ281" i="1" s="1"/>
  <c r="DY283" i="1"/>
  <c r="EA283" i="1" s="1"/>
  <c r="CR284" i="1"/>
  <c r="CS284" i="1" s="1"/>
  <c r="DO284" i="1" s="1"/>
  <c r="DV285" i="1"/>
  <c r="DW285" i="1" s="1"/>
  <c r="EN286" i="1"/>
  <c r="EO286" i="1" s="1"/>
  <c r="DV289" i="1"/>
  <c r="DX289" i="1" s="1"/>
  <c r="EW290" i="1"/>
  <c r="EY290" i="1" s="1"/>
  <c r="DJ293" i="1"/>
  <c r="DK293" i="1" s="1"/>
  <c r="DU293" i="1" s="1"/>
  <c r="DD294" i="1"/>
  <c r="DE294" i="1" s="1"/>
  <c r="DS294" i="1" s="1"/>
  <c r="DY295" i="1"/>
  <c r="EA295" i="1" s="1"/>
  <c r="DG296" i="1"/>
  <c r="DH296" i="1" s="1"/>
  <c r="DT296" i="1" s="1"/>
  <c r="DD298" i="1"/>
  <c r="DE298" i="1" s="1"/>
  <c r="DS298" i="1" s="1"/>
  <c r="CX299" i="1"/>
  <c r="CY299" i="1" s="1"/>
  <c r="DQ299" i="1" s="1"/>
  <c r="AH269" i="1"/>
  <c r="AI269" i="1" s="1"/>
  <c r="AJ269" i="1" s="1"/>
  <c r="AZ269" i="1" s="1"/>
  <c r="DI269" i="1"/>
  <c r="EW269" i="1" s="1"/>
  <c r="EY269" i="1" s="1"/>
  <c r="EN273" i="1"/>
  <c r="EP273" i="1" s="1"/>
  <c r="EV277" i="1"/>
  <c r="EB279" i="1"/>
  <c r="ED279" i="1" s="1"/>
  <c r="EE283" i="1"/>
  <c r="EG283" i="1" s="1"/>
  <c r="EH285" i="1"/>
  <c r="ET286" i="1"/>
  <c r="EV286" i="1" s="1"/>
  <c r="CU287" i="1"/>
  <c r="CV287" i="1" s="1"/>
  <c r="DP287" i="1" s="1"/>
  <c r="CO288" i="1"/>
  <c r="CP288" i="1" s="1"/>
  <c r="DN288" i="1" s="1"/>
  <c r="EE289" i="1"/>
  <c r="EG289" i="1" s="1"/>
  <c r="DA291" i="1"/>
  <c r="DB291" i="1" s="1"/>
  <c r="DR291" i="1" s="1"/>
  <c r="ER291" i="1"/>
  <c r="ET292" i="1"/>
  <c r="EU292" i="1" s="1"/>
  <c r="DV293" i="1"/>
  <c r="DX293" i="1" s="1"/>
  <c r="EK295" i="1"/>
  <c r="EL295" i="1" s="1"/>
  <c r="EO300" i="1"/>
  <c r="ET301" i="1"/>
  <c r="EV301" i="1" s="1"/>
  <c r="DV304" i="1"/>
  <c r="DX304" i="1" s="1"/>
  <c r="EW272" i="1"/>
  <c r="EW273" i="1"/>
  <c r="EY273" i="1" s="1"/>
  <c r="EN275" i="1"/>
  <c r="EW277" i="1"/>
  <c r="EY277" i="1" s="1"/>
  <c r="EQ283" i="1"/>
  <c r="ER283" i="1" s="1"/>
  <c r="DY284" i="1"/>
  <c r="EA284" i="1" s="1"/>
  <c r="EQ289" i="1"/>
  <c r="ES289" i="1" s="1"/>
  <c r="CR295" i="1"/>
  <c r="CS295" i="1" s="1"/>
  <c r="DO295" i="1" s="1"/>
  <c r="DJ296" i="1"/>
  <c r="DK296" i="1" s="1"/>
  <c r="DU296" i="1" s="1"/>
  <c r="CI298" i="1"/>
  <c r="CJ298" i="1" s="1"/>
  <c r="DL298" i="1" s="1"/>
  <c r="DG298" i="1"/>
  <c r="DH298" i="1" s="1"/>
  <c r="DT298" i="1" s="1"/>
  <c r="DY304" i="1"/>
  <c r="EA304" i="1" s="1"/>
  <c r="BZ261" i="1"/>
  <c r="AM261" i="1" s="1"/>
  <c r="CZ265" i="1"/>
  <c r="DA265" i="1" s="1"/>
  <c r="DB265" i="1" s="1"/>
  <c r="DR265" i="1" s="1"/>
  <c r="DY276" i="1"/>
  <c r="DZ276" i="1" s="1"/>
  <c r="CU277" i="1"/>
  <c r="CV277" i="1" s="1"/>
  <c r="DP277" i="1" s="1"/>
  <c r="EL285" i="1"/>
  <c r="CX287" i="1"/>
  <c r="CY287" i="1" s="1"/>
  <c r="DQ287" i="1" s="1"/>
  <c r="ET291" i="1"/>
  <c r="EW295" i="1"/>
  <c r="EY295" i="1" s="1"/>
  <c r="EH304" i="1"/>
  <c r="EJ304" i="1" s="1"/>
  <c r="CW225" i="1"/>
  <c r="CX225" i="1" s="1"/>
  <c r="CY225" i="1" s="1"/>
  <c r="DQ225" i="1" s="1"/>
  <c r="CH247" i="1"/>
  <c r="AH252" i="1"/>
  <c r="AI252" i="1" s="1"/>
  <c r="AJ252" i="1" s="1"/>
  <c r="AZ252" i="1" s="1"/>
  <c r="AB258" i="1"/>
  <c r="AC258" i="1" s="1"/>
  <c r="AD258" i="1" s="1"/>
  <c r="AX258" i="1" s="1"/>
  <c r="BF261" i="1"/>
  <c r="R261" i="1" s="1"/>
  <c r="DC265" i="1"/>
  <c r="AK266" i="1"/>
  <c r="AL266" i="1" s="1"/>
  <c r="AM266" i="1" s="1"/>
  <c r="BA266" i="1" s="1"/>
  <c r="CR279" i="1"/>
  <c r="CS279" i="1" s="1"/>
  <c r="DO279" i="1" s="1"/>
  <c r="EN279" i="1"/>
  <c r="EP279" i="1" s="1"/>
  <c r="DG281" i="1"/>
  <c r="DH281" i="1" s="1"/>
  <c r="DT281" i="1" s="1"/>
  <c r="CR288" i="1"/>
  <c r="CS288" i="1" s="1"/>
  <c r="DO288" i="1" s="1"/>
  <c r="DD299" i="1"/>
  <c r="DE299" i="1" s="1"/>
  <c r="DS299" i="1" s="1"/>
  <c r="ET304" i="1"/>
  <c r="EV304" i="1" s="1"/>
  <c r="CN2" i="1"/>
  <c r="EB2" i="1" s="1"/>
  <c r="EC2" i="1" s="1"/>
  <c r="CZ2" i="1"/>
  <c r="EN2" i="1" s="1"/>
  <c r="EO2" i="1" s="1"/>
  <c r="AQ2" i="1"/>
  <c r="CE2" i="1" s="1"/>
  <c r="CG2" i="1" s="1"/>
  <c r="S2" i="1"/>
  <c r="AE2" i="1"/>
  <c r="Y2" i="1"/>
  <c r="BM2" i="1" s="1"/>
  <c r="BO2" i="1" s="1"/>
  <c r="AK2" i="1"/>
  <c r="BY2" i="1" s="1"/>
  <c r="CA2" i="1" s="1"/>
  <c r="BS10" i="1"/>
  <c r="AF10" i="1"/>
  <c r="AG10" i="1" s="1"/>
  <c r="AY10" i="1" s="1"/>
  <c r="W8" i="1"/>
  <c r="X8" i="1" s="1"/>
  <c r="AV8" i="1" s="1"/>
  <c r="BJ8" i="1"/>
  <c r="DJ2" i="1"/>
  <c r="DK2" i="1" s="1"/>
  <c r="DU2" i="1" s="1"/>
  <c r="EW2" i="1"/>
  <c r="EQ3" i="1"/>
  <c r="DD3" i="1"/>
  <c r="DE3" i="1" s="1"/>
  <c r="DS3" i="1" s="1"/>
  <c r="CR9" i="1"/>
  <c r="CS9" i="1" s="1"/>
  <c r="DO9" i="1" s="1"/>
  <c r="EE9" i="1"/>
  <c r="CE15" i="1"/>
  <c r="AR15" i="1"/>
  <c r="AS15" i="1" s="1"/>
  <c r="BC15" i="1" s="1"/>
  <c r="CZ5" i="1"/>
  <c r="CN5" i="1"/>
  <c r="DI5" i="1"/>
  <c r="CW5" i="1"/>
  <c r="CK5" i="1"/>
  <c r="O5" i="1"/>
  <c r="AN6" i="1"/>
  <c r="AB6" i="1"/>
  <c r="P6" i="1"/>
  <c r="AK6" i="1"/>
  <c r="Y6" i="1"/>
  <c r="CZ6" i="1"/>
  <c r="AH3" i="1"/>
  <c r="CQ3" i="1"/>
  <c r="AH5" i="1"/>
  <c r="BG10" i="1"/>
  <c r="T10" i="1"/>
  <c r="U10" i="1" s="1"/>
  <c r="AU10" i="1" s="1"/>
  <c r="EP17" i="1"/>
  <c r="EO17" i="1"/>
  <c r="AI25" i="1"/>
  <c r="AJ25" i="1" s="1"/>
  <c r="AZ25" i="1" s="1"/>
  <c r="BV25" i="1"/>
  <c r="CE34" i="1"/>
  <c r="AR34" i="1"/>
  <c r="AS34" i="1" s="1"/>
  <c r="BC34" i="1" s="1"/>
  <c r="V2" i="1"/>
  <c r="AH2" i="1"/>
  <c r="DC5" i="1"/>
  <c r="CK6" i="1"/>
  <c r="DC6" i="1"/>
  <c r="CZ9" i="1"/>
  <c r="DY11" i="1"/>
  <c r="CL11" i="1"/>
  <c r="CM11" i="1" s="1"/>
  <c r="DM11" i="1" s="1"/>
  <c r="AO13" i="1"/>
  <c r="AP13" i="1" s="1"/>
  <c r="BB13" i="1" s="1"/>
  <c r="CD14" i="1"/>
  <c r="CC14" i="1"/>
  <c r="AE15" i="1"/>
  <c r="DA17" i="1"/>
  <c r="DB17" i="1" s="1"/>
  <c r="DR17" i="1" s="1"/>
  <c r="AN23" i="1"/>
  <c r="AB23" i="1"/>
  <c r="P23" i="1"/>
  <c r="AH23" i="1"/>
  <c r="V23" i="1"/>
  <c r="DI23" i="1"/>
  <c r="CQ23" i="1"/>
  <c r="DF23" i="1"/>
  <c r="CN23" i="1"/>
  <c r="AK23" i="1"/>
  <c r="S23" i="1"/>
  <c r="CK23" i="1"/>
  <c r="DC23" i="1"/>
  <c r="O23" i="1"/>
  <c r="AE23" i="1"/>
  <c r="CW23" i="1"/>
  <c r="CH23" i="1"/>
  <c r="AK35" i="1"/>
  <c r="Y35" i="1"/>
  <c r="DC35" i="1"/>
  <c r="CQ35" i="1"/>
  <c r="DI35" i="1"/>
  <c r="CW35" i="1"/>
  <c r="CK35" i="1"/>
  <c r="AN35" i="1"/>
  <c r="AB35" i="1"/>
  <c r="P35" i="1"/>
  <c r="CH35" i="1"/>
  <c r="DF35" i="1"/>
  <c r="V35" i="1"/>
  <c r="CZ35" i="1"/>
  <c r="S35" i="1"/>
  <c r="O35" i="1"/>
  <c r="CT35" i="1"/>
  <c r="CN35" i="1"/>
  <c r="AH35" i="1"/>
  <c r="V3" i="1"/>
  <c r="P5" i="1"/>
  <c r="AH6" i="1"/>
  <c r="DC2" i="1"/>
  <c r="S5" i="1"/>
  <c r="CG11" i="1"/>
  <c r="CF11" i="1"/>
  <c r="DF15" i="1"/>
  <c r="EV19" i="1"/>
  <c r="EU19" i="1"/>
  <c r="EQ22" i="1"/>
  <c r="DD22" i="1"/>
  <c r="DE22" i="1" s="1"/>
  <c r="DS22" i="1" s="1"/>
  <c r="AC24" i="1"/>
  <c r="AD24" i="1" s="1"/>
  <c r="AX24" i="1" s="1"/>
  <c r="BP24" i="1"/>
  <c r="CO28" i="1"/>
  <c r="CP28" i="1" s="1"/>
  <c r="DN28" i="1" s="1"/>
  <c r="EB28" i="1"/>
  <c r="ET29" i="1"/>
  <c r="DG29" i="1"/>
  <c r="DH29" i="1" s="1"/>
  <c r="DT29" i="1" s="1"/>
  <c r="BG32" i="1"/>
  <c r="BU35" i="1"/>
  <c r="BT35" i="1"/>
  <c r="BP82" i="1"/>
  <c r="AC82" i="1"/>
  <c r="AD82" i="1" s="1"/>
  <c r="AX82" i="1" s="1"/>
  <c r="DF3" i="1"/>
  <c r="O6" i="1"/>
  <c r="CQ2" i="1"/>
  <c r="CT3" i="1"/>
  <c r="DI3" i="1"/>
  <c r="AK5" i="1"/>
  <c r="S6" i="1"/>
  <c r="Y3" i="1"/>
  <c r="AK3" i="1"/>
  <c r="CH3" i="1"/>
  <c r="BM4" i="1"/>
  <c r="CB4" i="1"/>
  <c r="DF5" i="1"/>
  <c r="CN6" i="1"/>
  <c r="DF6" i="1"/>
  <c r="AR11" i="1"/>
  <c r="AS11" i="1" s="1"/>
  <c r="BC11" i="1" s="1"/>
  <c r="BK22" i="1"/>
  <c r="AF35" i="1"/>
  <c r="AG35" i="1" s="1"/>
  <c r="AY35" i="1" s="1"/>
  <c r="V6" i="1"/>
  <c r="BR14" i="1"/>
  <c r="BQ14" i="1"/>
  <c r="DA23" i="1"/>
  <c r="DB23" i="1" s="1"/>
  <c r="DR23" i="1" s="1"/>
  <c r="EN23" i="1"/>
  <c r="CQ5" i="1"/>
  <c r="CQ6" i="1"/>
  <c r="DI6" i="1"/>
  <c r="DJ30" i="1"/>
  <c r="DK30" i="1" s="1"/>
  <c r="DU30" i="1" s="1"/>
  <c r="EW30" i="1"/>
  <c r="DG44" i="1"/>
  <c r="DH44" i="1" s="1"/>
  <c r="DT44" i="1" s="1"/>
  <c r="ET44" i="1"/>
  <c r="CE7" i="1"/>
  <c r="DF2" i="1"/>
  <c r="O3" i="1"/>
  <c r="AN3" i="1"/>
  <c r="ED12" i="1"/>
  <c r="EC12" i="1"/>
  <c r="AK15" i="1"/>
  <c r="Y15" i="1"/>
  <c r="DC15" i="1"/>
  <c r="CQ15" i="1"/>
  <c r="AH15" i="1"/>
  <c r="V15" i="1"/>
  <c r="CZ15" i="1"/>
  <c r="CN15" i="1"/>
  <c r="DI15" i="1"/>
  <c r="CW15" i="1"/>
  <c r="CK15" i="1"/>
  <c r="AN15" i="1"/>
  <c r="AB15" i="1"/>
  <c r="P15" i="1"/>
  <c r="CH15" i="1"/>
  <c r="CH5" i="1"/>
  <c r="AN5" i="1"/>
  <c r="CT2" i="1"/>
  <c r="CW3" i="1"/>
  <c r="P3" i="1"/>
  <c r="AB3" i="1"/>
  <c r="AQ5" i="1"/>
  <c r="P2" i="1"/>
  <c r="AB2" i="1"/>
  <c r="AN2" i="1"/>
  <c r="CT5" i="1"/>
  <c r="CT6" i="1"/>
  <c r="CO12" i="1"/>
  <c r="CP12" i="1" s="1"/>
  <c r="DN12" i="1" s="1"/>
  <c r="CC13" i="1"/>
  <c r="BF14" i="1"/>
  <c r="BE14" i="1"/>
  <c r="O15" i="1"/>
  <c r="BV18" i="1"/>
  <c r="AI18" i="1"/>
  <c r="AJ18" i="1" s="1"/>
  <c r="AZ18" i="1" s="1"/>
  <c r="CH2" i="1"/>
  <c r="O2" i="1"/>
  <c r="Y5" i="1"/>
  <c r="AQ6" i="1"/>
  <c r="CK2" i="1"/>
  <c r="CZ3" i="1"/>
  <c r="EO18" i="1"/>
  <c r="EP18" i="1"/>
  <c r="EW31" i="1"/>
  <c r="DJ31" i="1"/>
  <c r="DK31" i="1" s="1"/>
  <c r="DU31" i="1" s="1"/>
  <c r="CH6" i="1"/>
  <c r="V5" i="1"/>
  <c r="CK3" i="1"/>
  <c r="CW2" i="1"/>
  <c r="AB5" i="1"/>
  <c r="AH9" i="1"/>
  <c r="V9" i="1"/>
  <c r="AQ9" i="1"/>
  <c r="AE9" i="1"/>
  <c r="S9" i="1"/>
  <c r="AN9" i="1"/>
  <c r="AB9" i="1"/>
  <c r="P9" i="1"/>
  <c r="AK10" i="1"/>
  <c r="Y10" i="1"/>
  <c r="DC10" i="1"/>
  <c r="CQ10" i="1"/>
  <c r="AH10" i="1"/>
  <c r="V10" i="1"/>
  <c r="CZ10" i="1"/>
  <c r="CN10" i="1"/>
  <c r="DI10" i="1"/>
  <c r="CW10" i="1"/>
  <c r="CK10" i="1"/>
  <c r="S3" i="1"/>
  <c r="AE3" i="1"/>
  <c r="AQ3" i="1"/>
  <c r="CN3" i="1"/>
  <c r="CW6" i="1"/>
  <c r="DC8" i="1"/>
  <c r="CQ8" i="1"/>
  <c r="CZ8" i="1"/>
  <c r="CN8" i="1"/>
  <c r="O8" i="1"/>
  <c r="O9" i="1"/>
  <c r="AK9" i="1"/>
  <c r="CT9" i="1"/>
  <c r="O10" i="1"/>
  <c r="CT10" i="1"/>
  <c r="S15" i="1"/>
  <c r="ET21" i="1"/>
  <c r="CD27" i="1"/>
  <c r="CC27" i="1"/>
  <c r="DC34" i="1"/>
  <c r="CQ34" i="1"/>
  <c r="AH34" i="1"/>
  <c r="V34" i="1"/>
  <c r="CZ34" i="1"/>
  <c r="CN34" i="1"/>
  <c r="DI34" i="1"/>
  <c r="CW34" i="1"/>
  <c r="CK34" i="1"/>
  <c r="AN34" i="1"/>
  <c r="AB34" i="1"/>
  <c r="P34" i="1"/>
  <c r="O34" i="1"/>
  <c r="CH34" i="1"/>
  <c r="DF34" i="1"/>
  <c r="Y34" i="1"/>
  <c r="S34" i="1"/>
  <c r="CT34" i="1"/>
  <c r="AK34" i="1"/>
  <c r="EN45" i="1"/>
  <c r="EV45" i="1"/>
  <c r="CX47" i="1"/>
  <c r="CY47" i="1" s="1"/>
  <c r="DQ47" i="1" s="1"/>
  <c r="EK47" i="1"/>
  <c r="BT79" i="1"/>
  <c r="BU79" i="1"/>
  <c r="AE5" i="1"/>
  <c r="AE6" i="1"/>
  <c r="CT15" i="1"/>
  <c r="DD41" i="1"/>
  <c r="DE41" i="1" s="1"/>
  <c r="DS41" i="1" s="1"/>
  <c r="EQ41" i="1"/>
  <c r="AK21" i="1"/>
  <c r="CQ21" i="1"/>
  <c r="AN29" i="1"/>
  <c r="CZ29" i="1"/>
  <c r="ET33" i="1"/>
  <c r="BO40" i="1"/>
  <c r="BN40" i="1"/>
  <c r="AH44" i="1"/>
  <c r="CQ4" i="1"/>
  <c r="DC4" i="1"/>
  <c r="CH7" i="1"/>
  <c r="CT7" i="1"/>
  <c r="DF7" i="1"/>
  <c r="S12" i="1"/>
  <c r="AE12" i="1"/>
  <c r="AQ12" i="1"/>
  <c r="CN13" i="1"/>
  <c r="CZ13" i="1"/>
  <c r="S17" i="1"/>
  <c r="AE17" i="1"/>
  <c r="AQ17" i="1"/>
  <c r="CQ18" i="1"/>
  <c r="CZ25" i="1"/>
  <c r="CN25" i="1"/>
  <c r="DC25" i="1"/>
  <c r="CQ25" i="1"/>
  <c r="AE25" i="1"/>
  <c r="CH25" i="1"/>
  <c r="AQ26" i="1"/>
  <c r="AE26" i="1"/>
  <c r="S26" i="1"/>
  <c r="AK26" i="1"/>
  <c r="Y26" i="1"/>
  <c r="CH26" i="1"/>
  <c r="Y30" i="1"/>
  <c r="CH30" i="1"/>
  <c r="CH31" i="1"/>
  <c r="Q50" i="1"/>
  <c r="R50" i="1" s="1"/>
  <c r="AT50" i="1" s="1"/>
  <c r="BD50" i="1"/>
  <c r="CD53" i="1"/>
  <c r="AP53" i="1" s="1"/>
  <c r="AQ24" i="1"/>
  <c r="AE24" i="1"/>
  <c r="S24" i="1"/>
  <c r="DI24" i="1"/>
  <c r="CW24" i="1"/>
  <c r="CK24" i="1"/>
  <c r="DC24" i="1"/>
  <c r="CQ24" i="1"/>
  <c r="AH24" i="1"/>
  <c r="V24" i="1"/>
  <c r="CH24" i="1"/>
  <c r="CZ24" i="1"/>
  <c r="AF49" i="1"/>
  <c r="AG49" i="1" s="1"/>
  <c r="AY49" i="1" s="1"/>
  <c r="BS49" i="1"/>
  <c r="CH4" i="1"/>
  <c r="CT4" i="1"/>
  <c r="DF4" i="1"/>
  <c r="CK7" i="1"/>
  <c r="CW7" i="1"/>
  <c r="DI7" i="1"/>
  <c r="V12" i="1"/>
  <c r="AH12" i="1"/>
  <c r="CQ13" i="1"/>
  <c r="DC13" i="1"/>
  <c r="V17" i="1"/>
  <c r="AH17" i="1"/>
  <c r="CT18" i="1"/>
  <c r="DI18" i="1"/>
  <c r="DI22" i="1"/>
  <c r="CW22" i="1"/>
  <c r="CK22" i="1"/>
  <c r="CZ22" i="1"/>
  <c r="CN22" i="1"/>
  <c r="AB22" i="1"/>
  <c r="P24" i="1"/>
  <c r="AK25" i="1"/>
  <c r="CK25" i="1"/>
  <c r="CK26" i="1"/>
  <c r="DC26" i="1"/>
  <c r="AB30" i="1"/>
  <c r="CK30" i="1"/>
  <c r="AB31" i="1"/>
  <c r="CK31" i="1"/>
  <c r="DG36" i="1"/>
  <c r="DH36" i="1" s="1"/>
  <c r="DT36" i="1" s="1"/>
  <c r="BQ53" i="1"/>
  <c r="BR53" i="1"/>
  <c r="AQ55" i="1"/>
  <c r="AE55" i="1"/>
  <c r="S55" i="1"/>
  <c r="DI55" i="1"/>
  <c r="CW55" i="1"/>
  <c r="CK55" i="1"/>
  <c r="DC55" i="1"/>
  <c r="CQ55" i="1"/>
  <c r="CH55" i="1"/>
  <c r="Y55" i="1"/>
  <c r="CZ55" i="1"/>
  <c r="AN55" i="1"/>
  <c r="V55" i="1"/>
  <c r="P55" i="1"/>
  <c r="CT55" i="1"/>
  <c r="AK55" i="1"/>
  <c r="O55" i="1"/>
  <c r="AH55" i="1"/>
  <c r="CN55" i="1"/>
  <c r="AB55" i="1"/>
  <c r="CL56" i="1"/>
  <c r="CM56" i="1" s="1"/>
  <c r="DM56" i="1" s="1"/>
  <c r="DY56" i="1"/>
  <c r="AN21" i="1"/>
  <c r="AB21" i="1"/>
  <c r="P21" i="1"/>
  <c r="AQ21" i="1"/>
  <c r="AE21" i="1"/>
  <c r="S21" i="1"/>
  <c r="CH21" i="1"/>
  <c r="CW21" i="1"/>
  <c r="AK24" i="1"/>
  <c r="BE42" i="1"/>
  <c r="BF42" i="1"/>
  <c r="BZ66" i="1"/>
  <c r="CA66" i="1"/>
  <c r="CC71" i="1"/>
  <c r="CD71" i="1"/>
  <c r="AB4" i="1"/>
  <c r="S7" i="1"/>
  <c r="AE7" i="1"/>
  <c r="CQ11" i="1"/>
  <c r="DC11" i="1"/>
  <c r="Y13" i="1"/>
  <c r="AK13" i="1"/>
  <c r="CQ16" i="1"/>
  <c r="DC16" i="1"/>
  <c r="Y18" i="1"/>
  <c r="AK18" i="1"/>
  <c r="CW18" i="1"/>
  <c r="CH20" i="1"/>
  <c r="CW20" i="1"/>
  <c r="O21" i="1"/>
  <c r="P22" i="1"/>
  <c r="AE22" i="1"/>
  <c r="CQ22" i="1"/>
  <c r="DF22" i="1"/>
  <c r="CN24" i="1"/>
  <c r="DF24" i="1"/>
  <c r="CN26" i="1"/>
  <c r="BQ27" i="1"/>
  <c r="AD27" i="1" s="1"/>
  <c r="AE28" i="1"/>
  <c r="Q42" i="1"/>
  <c r="R42" i="1" s="1"/>
  <c r="AT42" i="1" s="1"/>
  <c r="DI46" i="1"/>
  <c r="CW46" i="1"/>
  <c r="CK46" i="1"/>
  <c r="O46" i="1"/>
  <c r="AK46" i="1"/>
  <c r="Y46" i="1"/>
  <c r="CN46" i="1"/>
  <c r="V46" i="1"/>
  <c r="DC46" i="1"/>
  <c r="CH46" i="1"/>
  <c r="AH46" i="1"/>
  <c r="S46" i="1"/>
  <c r="CZ46" i="1"/>
  <c r="P46" i="1"/>
  <c r="CT46" i="1"/>
  <c r="AB46" i="1"/>
  <c r="CQ46" i="1"/>
  <c r="AQ46" i="1"/>
  <c r="DA48" i="1"/>
  <c r="DB48" i="1" s="1"/>
  <c r="DR48" i="1" s="1"/>
  <c r="EN48" i="1"/>
  <c r="DY49" i="1"/>
  <c r="DF55" i="1"/>
  <c r="EW57" i="1"/>
  <c r="DJ57" i="1"/>
  <c r="DK57" i="1" s="1"/>
  <c r="DU57" i="1" s="1"/>
  <c r="Y12" i="1"/>
  <c r="AK12" i="1"/>
  <c r="CH13" i="1"/>
  <c r="CT13" i="1"/>
  <c r="DF13" i="1"/>
  <c r="Y17" i="1"/>
  <c r="AK17" i="1"/>
  <c r="CK18" i="1"/>
  <c r="CK21" i="1"/>
  <c r="CZ21" i="1"/>
  <c r="CZ30" i="1"/>
  <c r="CN30" i="1"/>
  <c r="AQ30" i="1"/>
  <c r="AE30" i="1"/>
  <c r="S30" i="1"/>
  <c r="DC30" i="1"/>
  <c r="CQ30" i="1"/>
  <c r="AH30" i="1"/>
  <c r="CZ31" i="1"/>
  <c r="CN31" i="1"/>
  <c r="AQ31" i="1"/>
  <c r="AE31" i="1"/>
  <c r="S31" i="1"/>
  <c r="AK31" i="1"/>
  <c r="Y31" i="1"/>
  <c r="AH31" i="1"/>
  <c r="CQ31" i="1"/>
  <c r="CH12" i="1"/>
  <c r="CT12" i="1"/>
  <c r="DF12" i="1"/>
  <c r="CH17" i="1"/>
  <c r="CT17" i="1"/>
  <c r="DF17" i="1"/>
  <c r="AN24" i="1"/>
  <c r="AQ29" i="1"/>
  <c r="AE29" i="1"/>
  <c r="S29" i="1"/>
  <c r="DI29" i="1"/>
  <c r="CW29" i="1"/>
  <c r="CK29" i="1"/>
  <c r="DC29" i="1"/>
  <c r="CQ29" i="1"/>
  <c r="AH29" i="1"/>
  <c r="V29" i="1"/>
  <c r="CA40" i="1"/>
  <c r="BZ40" i="1"/>
  <c r="O44" i="1"/>
  <c r="AK44" i="1"/>
  <c r="Y44" i="1"/>
  <c r="DC44" i="1"/>
  <c r="CQ44" i="1"/>
  <c r="AQ44" i="1"/>
  <c r="AB44" i="1"/>
  <c r="CZ44" i="1"/>
  <c r="CK44" i="1"/>
  <c r="AN44" i="1"/>
  <c r="V44" i="1"/>
  <c r="CH44" i="1"/>
  <c r="CW44" i="1"/>
  <c r="CT44" i="1"/>
  <c r="DI44" i="1"/>
  <c r="AE44" i="1"/>
  <c r="P44" i="1"/>
  <c r="CH11" i="1"/>
  <c r="CT11" i="1"/>
  <c r="P13" i="1"/>
  <c r="AB13" i="1"/>
  <c r="CH16" i="1"/>
  <c r="CT16" i="1"/>
  <c r="P18" i="1"/>
  <c r="AB18" i="1"/>
  <c r="AN18" i="1"/>
  <c r="AH21" i="1"/>
  <c r="CN21" i="1"/>
  <c r="CT22" i="1"/>
  <c r="Y24" i="1"/>
  <c r="AQ25" i="1"/>
  <c r="CT25" i="1"/>
  <c r="CT26" i="1"/>
  <c r="DJ26" i="1"/>
  <c r="DK26" i="1" s="1"/>
  <c r="DU26" i="1" s="1"/>
  <c r="DI28" i="1"/>
  <c r="CW28" i="1"/>
  <c r="CK28" i="1"/>
  <c r="AN28" i="1"/>
  <c r="AB28" i="1"/>
  <c r="P28" i="1"/>
  <c r="AH28" i="1"/>
  <c r="V28" i="1"/>
  <c r="O29" i="1"/>
  <c r="AK29" i="1"/>
  <c r="CT29" i="1"/>
  <c r="P30" i="1"/>
  <c r="P31" i="1"/>
  <c r="EV36" i="1"/>
  <c r="S44" i="1"/>
  <c r="CB62" i="1"/>
  <c r="AO62" i="1"/>
  <c r="AP62" i="1" s="1"/>
  <c r="BB62" i="1" s="1"/>
  <c r="CK19" i="1"/>
  <c r="CW19" i="1"/>
  <c r="DI19" i="1"/>
  <c r="Y32" i="1"/>
  <c r="AK32" i="1"/>
  <c r="CH33" i="1"/>
  <c r="CT33" i="1"/>
  <c r="CK36" i="1"/>
  <c r="CW36" i="1"/>
  <c r="DI36" i="1"/>
  <c r="S38" i="1"/>
  <c r="AE38" i="1"/>
  <c r="AQ38" i="1"/>
  <c r="CN39" i="1"/>
  <c r="CZ39" i="1"/>
  <c r="CZ42" i="1"/>
  <c r="S43" i="1"/>
  <c r="CQ43" i="1"/>
  <c r="V50" i="1"/>
  <c r="AN50" i="1"/>
  <c r="CZ50" i="1"/>
  <c r="DF54" i="1"/>
  <c r="S59" i="1"/>
  <c r="CX60" i="1"/>
  <c r="CY60" i="1" s="1"/>
  <c r="DQ60" i="1" s="1"/>
  <c r="CH32" i="1"/>
  <c r="CT32" i="1"/>
  <c r="DF32" i="1"/>
  <c r="S37" i="1"/>
  <c r="AE37" i="1"/>
  <c r="AQ37" i="1"/>
  <c r="CN38" i="1"/>
  <c r="CZ38" i="1"/>
  <c r="S42" i="1"/>
  <c r="AH42" i="1"/>
  <c r="CZ49" i="1"/>
  <c r="CN49" i="1"/>
  <c r="DI49" i="1"/>
  <c r="AN49" i="1"/>
  <c r="AB49" i="1"/>
  <c r="P49" i="1"/>
  <c r="AH49" i="1"/>
  <c r="V49" i="1"/>
  <c r="CH49" i="1"/>
  <c r="EQ51" i="1"/>
  <c r="AS53" i="1"/>
  <c r="AE54" i="1"/>
  <c r="CQ56" i="1"/>
  <c r="V39" i="1"/>
  <c r="AH39" i="1"/>
  <c r="CE41" i="1"/>
  <c r="ET42" i="1"/>
  <c r="AQ48" i="1"/>
  <c r="AE48" i="1"/>
  <c r="S48" i="1"/>
  <c r="DI48" i="1"/>
  <c r="CW48" i="1"/>
  <c r="CK48" i="1"/>
  <c r="O48" i="1"/>
  <c r="AH48" i="1"/>
  <c r="CH48" i="1"/>
  <c r="AH56" i="1"/>
  <c r="V56" i="1"/>
  <c r="CZ56" i="1"/>
  <c r="CN56" i="1"/>
  <c r="AQ56" i="1"/>
  <c r="AE56" i="1"/>
  <c r="S56" i="1"/>
  <c r="DC57" i="1"/>
  <c r="CQ57" i="1"/>
  <c r="CZ57" i="1"/>
  <c r="CN57" i="1"/>
  <c r="AQ57" i="1"/>
  <c r="AE57" i="1"/>
  <c r="S57" i="1"/>
  <c r="AK57" i="1"/>
  <c r="Y57" i="1"/>
  <c r="AH57" i="1"/>
  <c r="AN85" i="1"/>
  <c r="AB85" i="1"/>
  <c r="P85" i="1"/>
  <c r="O85" i="1"/>
  <c r="CZ85" i="1"/>
  <c r="CN85" i="1"/>
  <c r="DC85" i="1"/>
  <c r="CH85" i="1"/>
  <c r="Y85" i="1"/>
  <c r="AQ85" i="1"/>
  <c r="V85" i="1"/>
  <c r="S85" i="1"/>
  <c r="CW85" i="1"/>
  <c r="CT85" i="1"/>
  <c r="AK85" i="1"/>
  <c r="CQ85" i="1"/>
  <c r="AH85" i="1"/>
  <c r="DI85" i="1"/>
  <c r="DF85" i="1"/>
  <c r="AE85" i="1"/>
  <c r="CK85" i="1"/>
  <c r="CZ54" i="1"/>
  <c r="CN54" i="1"/>
  <c r="DI54" i="1"/>
  <c r="CW54" i="1"/>
  <c r="CK54" i="1"/>
  <c r="AN54" i="1"/>
  <c r="AB54" i="1"/>
  <c r="P54" i="1"/>
  <c r="AH54" i="1"/>
  <c r="V54" i="1"/>
  <c r="EX72" i="1"/>
  <c r="EY72" i="1"/>
  <c r="BD77" i="1"/>
  <c r="Q77" i="1"/>
  <c r="R77" i="1" s="1"/>
  <c r="AT77" i="1" s="1"/>
  <c r="Y39" i="1"/>
  <c r="AK39" i="1"/>
  <c r="AC51" i="1"/>
  <c r="AD51" i="1" s="1"/>
  <c r="AX51" i="1" s="1"/>
  <c r="CL52" i="1"/>
  <c r="CM52" i="1" s="1"/>
  <c r="DM52" i="1" s="1"/>
  <c r="EX52" i="1"/>
  <c r="BW53" i="1"/>
  <c r="AJ53" i="1" s="1"/>
  <c r="O54" i="1"/>
  <c r="AK54" i="1"/>
  <c r="CT54" i="1"/>
  <c r="ET68" i="1"/>
  <c r="DG68" i="1"/>
  <c r="DH68" i="1" s="1"/>
  <c r="DT68" i="1" s="1"/>
  <c r="W75" i="1"/>
  <c r="X75" i="1" s="1"/>
  <c r="AV75" i="1" s="1"/>
  <c r="BJ75" i="1"/>
  <c r="CH39" i="1"/>
  <c r="CT39" i="1"/>
  <c r="DF39" i="1"/>
  <c r="S54" i="1"/>
  <c r="ED65" i="1"/>
  <c r="EC65" i="1"/>
  <c r="EW90" i="1"/>
  <c r="CN32" i="1"/>
  <c r="CZ32" i="1"/>
  <c r="Y37" i="1"/>
  <c r="AK37" i="1"/>
  <c r="CH38" i="1"/>
  <c r="CT38" i="1"/>
  <c r="DF38" i="1"/>
  <c r="O39" i="1"/>
  <c r="DF43" i="1"/>
  <c r="CT43" i="1"/>
  <c r="CH43" i="1"/>
  <c r="AH43" i="1"/>
  <c r="V43" i="1"/>
  <c r="AB43" i="1"/>
  <c r="CK43" i="1"/>
  <c r="CZ43" i="1"/>
  <c r="AN48" i="1"/>
  <c r="CQ48" i="1"/>
  <c r="AH51" i="1"/>
  <c r="V51" i="1"/>
  <c r="CZ51" i="1"/>
  <c r="CN51" i="1"/>
  <c r="AQ51" i="1"/>
  <c r="AE51" i="1"/>
  <c r="S51" i="1"/>
  <c r="DC52" i="1"/>
  <c r="CQ52" i="1"/>
  <c r="CZ52" i="1"/>
  <c r="CN52" i="1"/>
  <c r="AQ52" i="1"/>
  <c r="AE52" i="1"/>
  <c r="S52" i="1"/>
  <c r="AK52" i="1"/>
  <c r="Y52" i="1"/>
  <c r="AH52" i="1"/>
  <c r="DJ52" i="1"/>
  <c r="DK52" i="1" s="1"/>
  <c r="DU52" i="1" s="1"/>
  <c r="V57" i="1"/>
  <c r="CH37" i="1"/>
  <c r="CT37" i="1"/>
  <c r="DF37" i="1"/>
  <c r="P39" i="1"/>
  <c r="AB39" i="1"/>
  <c r="AN39" i="1"/>
  <c r="DC42" i="1"/>
  <c r="CQ42" i="1"/>
  <c r="AB42" i="1"/>
  <c r="CH42" i="1"/>
  <c r="AQ50" i="1"/>
  <c r="AE50" i="1"/>
  <c r="S50" i="1"/>
  <c r="DI50" i="1"/>
  <c r="CW50" i="1"/>
  <c r="CK50" i="1"/>
  <c r="DC50" i="1"/>
  <c r="CQ50" i="1"/>
  <c r="AQ54" i="1"/>
  <c r="Y56" i="1"/>
  <c r="CH56" i="1"/>
  <c r="DC56" i="1"/>
  <c r="CH57" i="1"/>
  <c r="BP67" i="1"/>
  <c r="AC67" i="1"/>
  <c r="AD67" i="1" s="1"/>
  <c r="AX67" i="1" s="1"/>
  <c r="CF79" i="1"/>
  <c r="CG79" i="1"/>
  <c r="BF111" i="1"/>
  <c r="BE111" i="1"/>
  <c r="CE130" i="1"/>
  <c r="AR130" i="1"/>
  <c r="AS130" i="1" s="1"/>
  <c r="BC130" i="1" s="1"/>
  <c r="CH19" i="1"/>
  <c r="CT19" i="1"/>
  <c r="V32" i="1"/>
  <c r="CH36" i="1"/>
  <c r="CT36" i="1"/>
  <c r="P38" i="1"/>
  <c r="AB38" i="1"/>
  <c r="CK39" i="1"/>
  <c r="CW39" i="1"/>
  <c r="CZ41" i="1"/>
  <c r="CN41" i="1"/>
  <c r="O42" i="1"/>
  <c r="AQ42" i="1"/>
  <c r="CW42" i="1"/>
  <c r="P43" i="1"/>
  <c r="DC43" i="1"/>
  <c r="Y48" i="1"/>
  <c r="CT49" i="1"/>
  <c r="O50" i="1"/>
  <c r="AK50" i="1"/>
  <c r="CT50" i="1"/>
  <c r="P51" i="1"/>
  <c r="P52" i="1"/>
  <c r="DC54" i="1"/>
  <c r="AK59" i="1"/>
  <c r="Y59" i="1"/>
  <c r="DC59" i="1"/>
  <c r="CQ59" i="1"/>
  <c r="AH59" i="1"/>
  <c r="V59" i="1"/>
  <c r="AN59" i="1"/>
  <c r="AB59" i="1"/>
  <c r="P59" i="1"/>
  <c r="O59" i="1"/>
  <c r="CH59" i="1"/>
  <c r="DF59" i="1"/>
  <c r="EL60" i="1"/>
  <c r="EM60" i="1"/>
  <c r="CH58" i="1"/>
  <c r="CT58" i="1"/>
  <c r="DF58" i="1"/>
  <c r="ET69" i="1"/>
  <c r="EC74" i="1"/>
  <c r="CT75" i="1"/>
  <c r="ET86" i="1"/>
  <c r="DG86" i="1"/>
  <c r="DH86" i="1" s="1"/>
  <c r="DT86" i="1" s="1"/>
  <c r="BO84" i="1"/>
  <c r="BN84" i="1"/>
  <c r="EQ90" i="1"/>
  <c r="DD90" i="1"/>
  <c r="DE90" i="1" s="1"/>
  <c r="DS90" i="1" s="1"/>
  <c r="EN69" i="1"/>
  <c r="DA69" i="1"/>
  <c r="DB69" i="1" s="1"/>
  <c r="DR69" i="1" s="1"/>
  <c r="BJ71" i="1"/>
  <c r="W71" i="1"/>
  <c r="X71" i="1" s="1"/>
  <c r="AV71" i="1" s="1"/>
  <c r="CZ80" i="1"/>
  <c r="CN80" i="1"/>
  <c r="AQ80" i="1"/>
  <c r="AE80" i="1"/>
  <c r="S80" i="1"/>
  <c r="DI80" i="1"/>
  <c r="CW80" i="1"/>
  <c r="CK80" i="1"/>
  <c r="AN80" i="1"/>
  <c r="AB80" i="1"/>
  <c r="P80" i="1"/>
  <c r="O80" i="1"/>
  <c r="AK80" i="1"/>
  <c r="Y80" i="1"/>
  <c r="DC80" i="1"/>
  <c r="CQ80" i="1"/>
  <c r="CH80" i="1"/>
  <c r="BU92" i="1"/>
  <c r="BT92" i="1"/>
  <c r="AC106" i="1"/>
  <c r="AD106" i="1" s="1"/>
  <c r="AX106" i="1" s="1"/>
  <c r="BP106" i="1"/>
  <c r="CH47" i="1"/>
  <c r="CT47" i="1"/>
  <c r="CN58" i="1"/>
  <c r="CZ58" i="1"/>
  <c r="V60" i="1"/>
  <c r="AH60" i="1"/>
  <c r="DF60" i="1"/>
  <c r="Y62" i="1"/>
  <c r="BK66" i="1"/>
  <c r="X66" i="1" s="1"/>
  <c r="DI82" i="1"/>
  <c r="CW82" i="1"/>
  <c r="CK82" i="1"/>
  <c r="AH82" i="1"/>
  <c r="V82" i="1"/>
  <c r="DF82" i="1"/>
  <c r="CQ82" i="1"/>
  <c r="AQ82" i="1"/>
  <c r="AE82" i="1"/>
  <c r="S82" i="1"/>
  <c r="CN82" i="1"/>
  <c r="DC82" i="1"/>
  <c r="CZ82" i="1"/>
  <c r="O82" i="1"/>
  <c r="AK82" i="1"/>
  <c r="Y82" i="1"/>
  <c r="CH82" i="1"/>
  <c r="DZ84" i="1"/>
  <c r="CE98" i="1"/>
  <c r="AR98" i="1"/>
  <c r="AS98" i="1" s="1"/>
  <c r="BC98" i="1" s="1"/>
  <c r="BP64" i="1"/>
  <c r="V80" i="1"/>
  <c r="DI86" i="1"/>
  <c r="CW86" i="1"/>
  <c r="CK86" i="1"/>
  <c r="AN86" i="1"/>
  <c r="AB86" i="1"/>
  <c r="P86" i="1"/>
  <c r="AK86" i="1"/>
  <c r="Y86" i="1"/>
  <c r="AH86" i="1"/>
  <c r="V86" i="1"/>
  <c r="DC86" i="1"/>
  <c r="CH86" i="1"/>
  <c r="CZ86" i="1"/>
  <c r="AQ86" i="1"/>
  <c r="S86" i="1"/>
  <c r="CT86" i="1"/>
  <c r="O86" i="1"/>
  <c r="CQ86" i="1"/>
  <c r="CH45" i="1"/>
  <c r="CT45" i="1"/>
  <c r="V58" i="1"/>
  <c r="BO66" i="1"/>
  <c r="AA66" i="1" s="1"/>
  <c r="DC67" i="1"/>
  <c r="CQ67" i="1"/>
  <c r="AH67" i="1"/>
  <c r="V67" i="1"/>
  <c r="CZ67" i="1"/>
  <c r="CN67" i="1"/>
  <c r="AQ67" i="1"/>
  <c r="AE67" i="1"/>
  <c r="S67" i="1"/>
  <c r="DI67" i="1"/>
  <c r="CW67" i="1"/>
  <c r="CK67" i="1"/>
  <c r="O67" i="1"/>
  <c r="AK68" i="1"/>
  <c r="Y68" i="1"/>
  <c r="DC68" i="1"/>
  <c r="CQ68" i="1"/>
  <c r="CZ68" i="1"/>
  <c r="CN68" i="1"/>
  <c r="AN68" i="1"/>
  <c r="AB68" i="1"/>
  <c r="P68" i="1"/>
  <c r="EH88" i="1"/>
  <c r="CU88" i="1"/>
  <c r="CV88" i="1" s="1"/>
  <c r="DP88" i="1" s="1"/>
  <c r="CX68" i="1"/>
  <c r="CY68" i="1" s="1"/>
  <c r="DQ68" i="1" s="1"/>
  <c r="CZ75" i="1"/>
  <c r="CN75" i="1"/>
  <c r="AQ75" i="1"/>
  <c r="AE75" i="1"/>
  <c r="S75" i="1"/>
  <c r="DI75" i="1"/>
  <c r="CW75" i="1"/>
  <c r="CK75" i="1"/>
  <c r="AN75" i="1"/>
  <c r="AB75" i="1"/>
  <c r="P75" i="1"/>
  <c r="O75" i="1"/>
  <c r="AK75" i="1"/>
  <c r="Y75" i="1"/>
  <c r="DC75" i="1"/>
  <c r="CQ75" i="1"/>
  <c r="CH75" i="1"/>
  <c r="DA76" i="1"/>
  <c r="DB76" i="1" s="1"/>
  <c r="DR76" i="1" s="1"/>
  <c r="EN76" i="1"/>
  <c r="CT80" i="1"/>
  <c r="CR89" i="1"/>
  <c r="CS89" i="1" s="1"/>
  <c r="DO89" i="1" s="1"/>
  <c r="EE89" i="1"/>
  <c r="BI92" i="1"/>
  <c r="BH92" i="1"/>
  <c r="EB106" i="1"/>
  <c r="CO106" i="1"/>
  <c r="CP106" i="1" s="1"/>
  <c r="DN106" i="1" s="1"/>
  <c r="AQ108" i="1"/>
  <c r="AE108" i="1"/>
  <c r="S108" i="1"/>
  <c r="O108" i="1"/>
  <c r="DC108" i="1"/>
  <c r="CN108" i="1"/>
  <c r="AB108" i="1"/>
  <c r="CK108" i="1"/>
  <c r="Y108" i="1"/>
  <c r="CZ108" i="1"/>
  <c r="AN108" i="1"/>
  <c r="CH108" i="1"/>
  <c r="V108" i="1"/>
  <c r="CW108" i="1"/>
  <c r="AK108" i="1"/>
  <c r="CT108" i="1"/>
  <c r="AH108" i="1"/>
  <c r="DI108" i="1"/>
  <c r="CQ108" i="1"/>
  <c r="P108" i="1"/>
  <c r="DF108" i="1"/>
  <c r="DC61" i="1"/>
  <c r="CQ61" i="1"/>
  <c r="AH61" i="1"/>
  <c r="V61" i="1"/>
  <c r="AQ61" i="1"/>
  <c r="AE61" i="1"/>
  <c r="AB61" i="1"/>
  <c r="CN61" i="1"/>
  <c r="DC62" i="1"/>
  <c r="CQ62" i="1"/>
  <c r="CZ62" i="1"/>
  <c r="CN62" i="1"/>
  <c r="DF62" i="1"/>
  <c r="AK63" i="1"/>
  <c r="Y63" i="1"/>
  <c r="CZ63" i="1"/>
  <c r="CN63" i="1"/>
  <c r="CK63" i="1"/>
  <c r="DF63" i="1"/>
  <c r="DG65" i="1"/>
  <c r="DH65" i="1" s="1"/>
  <c r="DT65" i="1" s="1"/>
  <c r="ET65" i="1"/>
  <c r="CO74" i="1"/>
  <c r="CP74" i="1" s="1"/>
  <c r="DN74" i="1" s="1"/>
  <c r="AH77" i="1"/>
  <c r="V77" i="1"/>
  <c r="CZ77" i="1"/>
  <c r="CN77" i="1"/>
  <c r="AQ77" i="1"/>
  <c r="AE77" i="1"/>
  <c r="S77" i="1"/>
  <c r="DI77" i="1"/>
  <c r="CW77" i="1"/>
  <c r="CK77" i="1"/>
  <c r="O77" i="1"/>
  <c r="AK77" i="1"/>
  <c r="Y77" i="1"/>
  <c r="CH77" i="1"/>
  <c r="ES78" i="1"/>
  <c r="AE86" i="1"/>
  <c r="CN86" i="1"/>
  <c r="DV109" i="1"/>
  <c r="CK69" i="1"/>
  <c r="CW69" i="1"/>
  <c r="DI69" i="1"/>
  <c r="S71" i="1"/>
  <c r="AE71" i="1"/>
  <c r="AQ71" i="1"/>
  <c r="CN72" i="1"/>
  <c r="CZ72" i="1"/>
  <c r="V74" i="1"/>
  <c r="AH74" i="1"/>
  <c r="CH78" i="1"/>
  <c r="CT78" i="1"/>
  <c r="DF78" i="1"/>
  <c r="EW95" i="1"/>
  <c r="DJ95" i="1"/>
  <c r="DK95" i="1" s="1"/>
  <c r="DU95" i="1" s="1"/>
  <c r="CH98" i="1"/>
  <c r="CC100" i="1"/>
  <c r="EW111" i="1"/>
  <c r="DJ111" i="1"/>
  <c r="DK111" i="1" s="1"/>
  <c r="DU111" i="1" s="1"/>
  <c r="AR128" i="1"/>
  <c r="AS128" i="1" s="1"/>
  <c r="BC128" i="1" s="1"/>
  <c r="CE128" i="1"/>
  <c r="DJ119" i="1"/>
  <c r="DK119" i="1" s="1"/>
  <c r="DU119" i="1" s="1"/>
  <c r="EW119" i="1"/>
  <c r="V72" i="1"/>
  <c r="AH72" i="1"/>
  <c r="CH76" i="1"/>
  <c r="CT76" i="1"/>
  <c r="DF76" i="1"/>
  <c r="CH81" i="1"/>
  <c r="CT81" i="1"/>
  <c r="DF81" i="1"/>
  <c r="Q111" i="1"/>
  <c r="R111" i="1" s="1"/>
  <c r="AT111" i="1" s="1"/>
  <c r="CU111" i="1"/>
  <c r="CV111" i="1" s="1"/>
  <c r="DP111" i="1" s="1"/>
  <c r="EH111" i="1"/>
  <c r="CH74" i="1"/>
  <c r="CT74" i="1"/>
  <c r="DF74" i="1"/>
  <c r="P76" i="1"/>
  <c r="AB76" i="1"/>
  <c r="AN76" i="1"/>
  <c r="P81" i="1"/>
  <c r="AB81" i="1"/>
  <c r="AN81" i="1"/>
  <c r="AQ88" i="1"/>
  <c r="AE88" i="1"/>
  <c r="S88" i="1"/>
  <c r="AN88" i="1"/>
  <c r="AB88" i="1"/>
  <c r="P88" i="1"/>
  <c r="O88" i="1"/>
  <c r="DC88" i="1"/>
  <c r="CQ88" i="1"/>
  <c r="CH88" i="1"/>
  <c r="DF88" i="1"/>
  <c r="CZ89" i="1"/>
  <c r="CN89" i="1"/>
  <c r="AQ89" i="1"/>
  <c r="AE89" i="1"/>
  <c r="S89" i="1"/>
  <c r="DI89" i="1"/>
  <c r="CW89" i="1"/>
  <c r="CK89" i="1"/>
  <c r="AN89" i="1"/>
  <c r="AB89" i="1"/>
  <c r="P89" i="1"/>
  <c r="DF89" i="1"/>
  <c r="CT89" i="1"/>
  <c r="CH89" i="1"/>
  <c r="AK89" i="1"/>
  <c r="Y89" i="1"/>
  <c r="BN105" i="1"/>
  <c r="BO105" i="1"/>
  <c r="BG123" i="1"/>
  <c r="T123" i="1"/>
  <c r="U123" i="1" s="1"/>
  <c r="AU123" i="1" s="1"/>
  <c r="Y72" i="1"/>
  <c r="AK72" i="1"/>
  <c r="CH73" i="1"/>
  <c r="CT73" i="1"/>
  <c r="DF73" i="1"/>
  <c r="O74" i="1"/>
  <c r="CK76" i="1"/>
  <c r="CW76" i="1"/>
  <c r="DI76" i="1"/>
  <c r="CK81" i="1"/>
  <c r="CW81" i="1"/>
  <c r="DI81" i="1"/>
  <c r="O84" i="1"/>
  <c r="DC84" i="1"/>
  <c r="CQ84" i="1"/>
  <c r="CZ84" i="1"/>
  <c r="CN84" i="1"/>
  <c r="AQ84" i="1"/>
  <c r="AE84" i="1"/>
  <c r="S84" i="1"/>
  <c r="CH84" i="1"/>
  <c r="CK88" i="1"/>
  <c r="DI88" i="1"/>
  <c r="O89" i="1"/>
  <c r="DC89" i="1"/>
  <c r="BG90" i="1"/>
  <c r="X92" i="1"/>
  <c r="DJ103" i="1"/>
  <c r="DK103" i="1" s="1"/>
  <c r="DU103" i="1" s="1"/>
  <c r="EW103" i="1"/>
  <c r="CH72" i="1"/>
  <c r="CT72" i="1"/>
  <c r="DF72" i="1"/>
  <c r="DC97" i="1"/>
  <c r="CQ97" i="1"/>
  <c r="AH97" i="1"/>
  <c r="V97" i="1"/>
  <c r="CZ97" i="1"/>
  <c r="CN97" i="1"/>
  <c r="AQ97" i="1"/>
  <c r="AE97" i="1"/>
  <c r="S97" i="1"/>
  <c r="DI97" i="1"/>
  <c r="CW97" i="1"/>
  <c r="CK97" i="1"/>
  <c r="AN97" i="1"/>
  <c r="AB97" i="1"/>
  <c r="P97" i="1"/>
  <c r="O97" i="1"/>
  <c r="DF97" i="1"/>
  <c r="AK98" i="1"/>
  <c r="Y98" i="1"/>
  <c r="DC98" i="1"/>
  <c r="CQ98" i="1"/>
  <c r="AH98" i="1"/>
  <c r="V98" i="1"/>
  <c r="CZ98" i="1"/>
  <c r="CN98" i="1"/>
  <c r="DI98" i="1"/>
  <c r="CW98" i="1"/>
  <c r="CK98" i="1"/>
  <c r="AN98" i="1"/>
  <c r="AB98" i="1"/>
  <c r="P98" i="1"/>
  <c r="DF98" i="1"/>
  <c r="EN103" i="1"/>
  <c r="CZ109" i="1"/>
  <c r="CN109" i="1"/>
  <c r="AN109" i="1"/>
  <c r="AB109" i="1"/>
  <c r="P109" i="1"/>
  <c r="AK109" i="1"/>
  <c r="Y109" i="1"/>
  <c r="DC109" i="1"/>
  <c r="CQ109" i="1"/>
  <c r="AQ109" i="1"/>
  <c r="CW109" i="1"/>
  <c r="CT109" i="1"/>
  <c r="V109" i="1"/>
  <c r="DI109" i="1"/>
  <c r="AH109" i="1"/>
  <c r="DF109" i="1"/>
  <c r="CK109" i="1"/>
  <c r="AE109" i="1"/>
  <c r="O109" i="1"/>
  <c r="CH71" i="1"/>
  <c r="CT71" i="1"/>
  <c r="DF71" i="1"/>
  <c r="O72" i="1"/>
  <c r="P73" i="1"/>
  <c r="AB73" i="1"/>
  <c r="AN73" i="1"/>
  <c r="CK74" i="1"/>
  <c r="CW74" i="1"/>
  <c r="DI74" i="1"/>
  <c r="S76" i="1"/>
  <c r="AE76" i="1"/>
  <c r="AQ76" i="1"/>
  <c r="S81" i="1"/>
  <c r="AE81" i="1"/>
  <c r="AQ81" i="1"/>
  <c r="CG92" i="1"/>
  <c r="CF92" i="1"/>
  <c r="O98" i="1"/>
  <c r="S109" i="1"/>
  <c r="Y64" i="1"/>
  <c r="AK64" i="1"/>
  <c r="CH65" i="1"/>
  <c r="CT65" i="1"/>
  <c r="BH66" i="1"/>
  <c r="U66" i="1" s="1"/>
  <c r="BT66" i="1"/>
  <c r="AG66" i="1" s="1"/>
  <c r="CF66" i="1"/>
  <c r="AS66" i="1" s="1"/>
  <c r="Y69" i="1"/>
  <c r="AK69" i="1"/>
  <c r="CH70" i="1"/>
  <c r="CT70" i="1"/>
  <c r="DF70" i="1"/>
  <c r="O71" i="1"/>
  <c r="P72" i="1"/>
  <c r="AB72" i="1"/>
  <c r="AN72" i="1"/>
  <c r="CK73" i="1"/>
  <c r="CW73" i="1"/>
  <c r="CN76" i="1"/>
  <c r="V78" i="1"/>
  <c r="AH78" i="1"/>
  <c r="CN81" i="1"/>
  <c r="AK84" i="1"/>
  <c r="CL84" i="1"/>
  <c r="CM84" i="1" s="1"/>
  <c r="DM84" i="1" s="1"/>
  <c r="V88" i="1"/>
  <c r="V89" i="1"/>
  <c r="Y97" i="1"/>
  <c r="S98" i="1"/>
  <c r="AO100" i="1"/>
  <c r="AP100" i="1" s="1"/>
  <c r="BB100" i="1" s="1"/>
  <c r="T103" i="1"/>
  <c r="U103" i="1" s="1"/>
  <c r="AU103" i="1" s="1"/>
  <c r="CH64" i="1"/>
  <c r="CT64" i="1"/>
  <c r="CH69" i="1"/>
  <c r="CT69" i="1"/>
  <c r="P71" i="1"/>
  <c r="AB71" i="1"/>
  <c r="CK72" i="1"/>
  <c r="CW72" i="1"/>
  <c r="S74" i="1"/>
  <c r="AE74" i="1"/>
  <c r="CQ78" i="1"/>
  <c r="DF84" i="1"/>
  <c r="Y88" i="1"/>
  <c r="BS90" i="1"/>
  <c r="CZ93" i="1"/>
  <c r="CN93" i="1"/>
  <c r="AQ93" i="1"/>
  <c r="AE93" i="1"/>
  <c r="S93" i="1"/>
  <c r="AN93" i="1"/>
  <c r="AB93" i="1"/>
  <c r="P93" i="1"/>
  <c r="O93" i="1"/>
  <c r="AK93" i="1"/>
  <c r="Y93" i="1"/>
  <c r="DC93" i="1"/>
  <c r="CQ93" i="1"/>
  <c r="CH93" i="1"/>
  <c r="DI106" i="1"/>
  <c r="CW106" i="1"/>
  <c r="CK106" i="1"/>
  <c r="AK106" i="1"/>
  <c r="Y106" i="1"/>
  <c r="AH106" i="1"/>
  <c r="V106" i="1"/>
  <c r="DC106" i="1"/>
  <c r="AQ106" i="1"/>
  <c r="CZ106" i="1"/>
  <c r="AN106" i="1"/>
  <c r="CH106" i="1"/>
  <c r="CT106" i="1"/>
  <c r="P106" i="1"/>
  <c r="CQ106" i="1"/>
  <c r="AE106" i="1"/>
  <c r="O106" i="1"/>
  <c r="BP121" i="1"/>
  <c r="AC121" i="1"/>
  <c r="AD121" i="1" s="1"/>
  <c r="AX121" i="1" s="1"/>
  <c r="V87" i="1"/>
  <c r="AH87" i="1"/>
  <c r="Y90" i="1"/>
  <c r="AK90" i="1"/>
  <c r="CH91" i="1"/>
  <c r="CT91" i="1"/>
  <c r="Y95" i="1"/>
  <c r="AK95" i="1"/>
  <c r="CH96" i="1"/>
  <c r="CT96" i="1"/>
  <c r="CK99" i="1"/>
  <c r="CW99" i="1"/>
  <c r="DI99" i="1"/>
  <c r="S101" i="1"/>
  <c r="AE101" i="1"/>
  <c r="AQ101" i="1"/>
  <c r="CN102" i="1"/>
  <c r="CZ102" i="1"/>
  <c r="V104" i="1"/>
  <c r="AH104" i="1"/>
  <c r="DC104" i="1"/>
  <c r="S111" i="1"/>
  <c r="AN111" i="1"/>
  <c r="CW111" i="1"/>
  <c r="EN112" i="1"/>
  <c r="CT119" i="1"/>
  <c r="S83" i="1"/>
  <c r="AE83" i="1"/>
  <c r="AQ83" i="1"/>
  <c r="CQ87" i="1"/>
  <c r="DC87" i="1"/>
  <c r="CH90" i="1"/>
  <c r="CT90" i="1"/>
  <c r="DF90" i="1"/>
  <c r="Y94" i="1"/>
  <c r="AK94" i="1"/>
  <c r="CH95" i="1"/>
  <c r="CT95" i="1"/>
  <c r="DF95" i="1"/>
  <c r="CN101" i="1"/>
  <c r="CZ101" i="1"/>
  <c r="V103" i="1"/>
  <c r="AH103" i="1"/>
  <c r="CQ104" i="1"/>
  <c r="CB107" i="1"/>
  <c r="AH121" i="1"/>
  <c r="V121" i="1"/>
  <c r="CZ121" i="1"/>
  <c r="CN121" i="1"/>
  <c r="O121" i="1"/>
  <c r="AK121" i="1"/>
  <c r="Y121" i="1"/>
  <c r="CT121" i="1"/>
  <c r="CQ121" i="1"/>
  <c r="AQ121" i="1"/>
  <c r="S121" i="1"/>
  <c r="CK121" i="1"/>
  <c r="DF121" i="1"/>
  <c r="DC121" i="1"/>
  <c r="AE121" i="1"/>
  <c r="CW121" i="1"/>
  <c r="CH121" i="1"/>
  <c r="BU131" i="1"/>
  <c r="BT131" i="1"/>
  <c r="CH94" i="1"/>
  <c r="CT94" i="1"/>
  <c r="DF94" i="1"/>
  <c r="S99" i="1"/>
  <c r="AE99" i="1"/>
  <c r="AQ99" i="1"/>
  <c r="V102" i="1"/>
  <c r="AH102" i="1"/>
  <c r="AQ111" i="1"/>
  <c r="CZ111" i="1"/>
  <c r="AQ114" i="1"/>
  <c r="AE114" i="1"/>
  <c r="S114" i="1"/>
  <c r="AN114" i="1"/>
  <c r="AB114" i="1"/>
  <c r="P114" i="1"/>
  <c r="CK114" i="1"/>
  <c r="Y114" i="1"/>
  <c r="DI114" i="1"/>
  <c r="AH114" i="1"/>
  <c r="O114" i="1"/>
  <c r="DF114" i="1"/>
  <c r="AL116" i="1"/>
  <c r="AM116" i="1" s="1"/>
  <c r="BA116" i="1" s="1"/>
  <c r="BY116" i="1"/>
  <c r="P121" i="1"/>
  <c r="V83" i="1"/>
  <c r="AH83" i="1"/>
  <c r="CH87" i="1"/>
  <c r="CT87" i="1"/>
  <c r="CK90" i="1"/>
  <c r="CW90" i="1"/>
  <c r="P94" i="1"/>
  <c r="AB94" i="1"/>
  <c r="AN94" i="1"/>
  <c r="CK95" i="1"/>
  <c r="CW95" i="1"/>
  <c r="CQ101" i="1"/>
  <c r="DC101" i="1"/>
  <c r="Y103" i="1"/>
  <c r="AK103" i="1"/>
  <c r="CH104" i="1"/>
  <c r="CT104" i="1"/>
  <c r="DC111" i="1"/>
  <c r="EJ149" i="1"/>
  <c r="EI149" i="1"/>
  <c r="CE154" i="1"/>
  <c r="AR154" i="1"/>
  <c r="AS154" i="1" s="1"/>
  <c r="BC154" i="1" s="1"/>
  <c r="CK94" i="1"/>
  <c r="CW94" i="1"/>
  <c r="DI94" i="1"/>
  <c r="V99" i="1"/>
  <c r="AH99" i="1"/>
  <c r="Y102" i="1"/>
  <c r="AK102" i="1"/>
  <c r="CH103" i="1"/>
  <c r="CT103" i="1"/>
  <c r="DF103" i="1"/>
  <c r="AB111" i="1"/>
  <c r="CK111" i="1"/>
  <c r="DF111" i="1"/>
  <c r="CH114" i="1"/>
  <c r="DC148" i="1"/>
  <c r="CQ148" i="1"/>
  <c r="AH148" i="1"/>
  <c r="V148" i="1"/>
  <c r="AQ148" i="1"/>
  <c r="AE148" i="1"/>
  <c r="S148" i="1"/>
  <c r="AN148" i="1"/>
  <c r="AB148" i="1"/>
  <c r="P148" i="1"/>
  <c r="O148" i="1"/>
  <c r="CW148" i="1"/>
  <c r="CT148" i="1"/>
  <c r="Y148" i="1"/>
  <c r="CN148" i="1"/>
  <c r="DI148" i="1"/>
  <c r="CK148" i="1"/>
  <c r="AK148" i="1"/>
  <c r="CH148" i="1"/>
  <c r="DF148" i="1"/>
  <c r="CZ148" i="1"/>
  <c r="CH102" i="1"/>
  <c r="CT102" i="1"/>
  <c r="DF102" i="1"/>
  <c r="BY110" i="1"/>
  <c r="AL110" i="1"/>
  <c r="AM110" i="1" s="1"/>
  <c r="BA110" i="1" s="1"/>
  <c r="EW121" i="1"/>
  <c r="DJ121" i="1"/>
  <c r="DK121" i="1" s="1"/>
  <c r="DU121" i="1" s="1"/>
  <c r="S94" i="1"/>
  <c r="AE94" i="1"/>
  <c r="AQ94" i="1"/>
  <c r="CH101" i="1"/>
  <c r="CT101" i="1"/>
  <c r="DF101" i="1"/>
  <c r="O102" i="1"/>
  <c r="P103" i="1"/>
  <c r="AB103" i="1"/>
  <c r="AN103" i="1"/>
  <c r="CK104" i="1"/>
  <c r="CW104" i="1"/>
  <c r="BE105" i="1"/>
  <c r="R105" i="1" s="1"/>
  <c r="BS111" i="1"/>
  <c r="CN111" i="1"/>
  <c r="CZ119" i="1"/>
  <c r="CN119" i="1"/>
  <c r="AQ119" i="1"/>
  <c r="AE119" i="1"/>
  <c r="S119" i="1"/>
  <c r="AN119" i="1"/>
  <c r="AB119" i="1"/>
  <c r="P119" i="1"/>
  <c r="AK119" i="1"/>
  <c r="Y119" i="1"/>
  <c r="DC119" i="1"/>
  <c r="CH119" i="1"/>
  <c r="V119" i="1"/>
  <c r="CW119" i="1"/>
  <c r="CQ119" i="1"/>
  <c r="AH119" i="1"/>
  <c r="DF119" i="1"/>
  <c r="CK119" i="1"/>
  <c r="EB130" i="1"/>
  <c r="CO130" i="1"/>
  <c r="CP130" i="1" s="1"/>
  <c r="DN130" i="1" s="1"/>
  <c r="CH83" i="1"/>
  <c r="CT83" i="1"/>
  <c r="CN94" i="1"/>
  <c r="Y99" i="1"/>
  <c r="AK99" i="1"/>
  <c r="CH100" i="1"/>
  <c r="CT100" i="1"/>
  <c r="P102" i="1"/>
  <c r="AB102" i="1"/>
  <c r="AN102" i="1"/>
  <c r="CK103" i="1"/>
  <c r="CW103" i="1"/>
  <c r="CQ114" i="1"/>
  <c r="CB115" i="1"/>
  <c r="AO115" i="1"/>
  <c r="AP115" i="1" s="1"/>
  <c r="BB115" i="1" s="1"/>
  <c r="O119" i="1"/>
  <c r="CG131" i="1"/>
  <c r="CF131" i="1"/>
  <c r="CH99" i="1"/>
  <c r="CT99" i="1"/>
  <c r="CK102" i="1"/>
  <c r="CW102" i="1"/>
  <c r="AH111" i="1"/>
  <c r="V111" i="1"/>
  <c r="O111" i="1"/>
  <c r="AK111" i="1"/>
  <c r="Y111" i="1"/>
  <c r="CQ111" i="1"/>
  <c r="W113" i="1"/>
  <c r="X113" i="1" s="1"/>
  <c r="AV113" i="1" s="1"/>
  <c r="BJ113" i="1"/>
  <c r="CT114" i="1"/>
  <c r="EF132" i="1"/>
  <c r="EG132" i="1"/>
  <c r="DI113" i="1"/>
  <c r="CW113" i="1"/>
  <c r="CK113" i="1"/>
  <c r="O113" i="1"/>
  <c r="CQ113" i="1"/>
  <c r="DF113" i="1"/>
  <c r="AQ116" i="1"/>
  <c r="DC116" i="1"/>
  <c r="AN123" i="1"/>
  <c r="EL127" i="1"/>
  <c r="P113" i="1"/>
  <c r="Y116" i="1"/>
  <c r="CH116" i="1"/>
  <c r="DC123" i="1"/>
  <c r="CQ123" i="1"/>
  <c r="AH123" i="1"/>
  <c r="V123" i="1"/>
  <c r="CZ123" i="1"/>
  <c r="CN123" i="1"/>
  <c r="DI123" i="1"/>
  <c r="CW123" i="1"/>
  <c r="CK123" i="1"/>
  <c r="O123" i="1"/>
  <c r="AK124" i="1"/>
  <c r="Y124" i="1"/>
  <c r="DC124" i="1"/>
  <c r="CQ124" i="1"/>
  <c r="AH124" i="1"/>
  <c r="V124" i="1"/>
  <c r="AN124" i="1"/>
  <c r="AB124" i="1"/>
  <c r="P124" i="1"/>
  <c r="DD135" i="1"/>
  <c r="DE135" i="1" s="1"/>
  <c r="DS135" i="1" s="1"/>
  <c r="EQ133" i="1"/>
  <c r="DD133" i="1"/>
  <c r="DE133" i="1" s="1"/>
  <c r="DS133" i="1" s="1"/>
  <c r="EJ138" i="1"/>
  <c r="EI138" i="1"/>
  <c r="CQ107" i="1"/>
  <c r="DC107" i="1"/>
  <c r="CH110" i="1"/>
  <c r="CT110" i="1"/>
  <c r="DF110" i="1"/>
  <c r="CT113" i="1"/>
  <c r="AB116" i="1"/>
  <c r="CK116" i="1"/>
  <c r="CU138" i="1"/>
  <c r="CV138" i="1" s="1"/>
  <c r="DP138" i="1" s="1"/>
  <c r="BM140" i="1"/>
  <c r="Z140" i="1"/>
  <c r="AA140" i="1" s="1"/>
  <c r="AW140" i="1" s="1"/>
  <c r="CH107" i="1"/>
  <c r="CT107" i="1"/>
  <c r="CK110" i="1"/>
  <c r="CW110" i="1"/>
  <c r="CH113" i="1"/>
  <c r="CZ113" i="1"/>
  <c r="DC117" i="1"/>
  <c r="CQ117" i="1"/>
  <c r="AH117" i="1"/>
  <c r="V117" i="1"/>
  <c r="AQ117" i="1"/>
  <c r="AE117" i="1"/>
  <c r="S117" i="1"/>
  <c r="AN117" i="1"/>
  <c r="AB117" i="1"/>
  <c r="P117" i="1"/>
  <c r="BY120" i="1"/>
  <c r="AL120" i="1"/>
  <c r="AM120" i="1" s="1"/>
  <c r="BA120" i="1" s="1"/>
  <c r="BL127" i="1"/>
  <c r="BK127" i="1"/>
  <c r="AH116" i="1"/>
  <c r="V116" i="1"/>
  <c r="CZ116" i="1"/>
  <c r="CN116" i="1"/>
  <c r="O116" i="1"/>
  <c r="BP123" i="1"/>
  <c r="AC123" i="1"/>
  <c r="AD123" i="1" s="1"/>
  <c r="AX123" i="1" s="1"/>
  <c r="EW124" i="1"/>
  <c r="DJ124" i="1"/>
  <c r="DK124" i="1" s="1"/>
  <c r="DU124" i="1" s="1"/>
  <c r="CZ136" i="1"/>
  <c r="CN136" i="1"/>
  <c r="AQ136" i="1"/>
  <c r="AE136" i="1"/>
  <c r="S136" i="1"/>
  <c r="DI136" i="1"/>
  <c r="CW136" i="1"/>
  <c r="CK136" i="1"/>
  <c r="AN136" i="1"/>
  <c r="AB136" i="1"/>
  <c r="P136" i="1"/>
  <c r="O136" i="1"/>
  <c r="AK136" i="1"/>
  <c r="Y136" i="1"/>
  <c r="DC136" i="1"/>
  <c r="CQ136" i="1"/>
  <c r="CH136" i="1"/>
  <c r="BU144" i="1"/>
  <c r="BT144" i="1"/>
  <c r="T145" i="1"/>
  <c r="U145" i="1" s="1"/>
  <c r="AU145" i="1" s="1"/>
  <c r="BG145" i="1"/>
  <c r="CX127" i="1"/>
  <c r="CY127" i="1" s="1"/>
  <c r="DQ127" i="1" s="1"/>
  <c r="BI131" i="1"/>
  <c r="BH131" i="1"/>
  <c r="CB138" i="1"/>
  <c r="DI112" i="1"/>
  <c r="CW112" i="1"/>
  <c r="CK112" i="1"/>
  <c r="AN112" i="1"/>
  <c r="AB112" i="1"/>
  <c r="P112" i="1"/>
  <c r="CQ112" i="1"/>
  <c r="AB113" i="1"/>
  <c r="S116" i="1"/>
  <c r="AN116" i="1"/>
  <c r="CW116" i="1"/>
  <c r="AK123" i="1"/>
  <c r="BM135" i="1"/>
  <c r="Z135" i="1"/>
  <c r="AA135" i="1" s="1"/>
  <c r="AW135" i="1" s="1"/>
  <c r="BE144" i="1"/>
  <c r="BF144" i="1"/>
  <c r="CH122" i="1"/>
  <c r="CT122" i="1"/>
  <c r="DF122" i="1"/>
  <c r="CN128" i="1"/>
  <c r="CZ128" i="1"/>
  <c r="V130" i="1"/>
  <c r="AH130" i="1"/>
  <c r="V135" i="1"/>
  <c r="AH135" i="1"/>
  <c r="CI171" i="1"/>
  <c r="CJ171" i="1" s="1"/>
  <c r="DL171" i="1" s="1"/>
  <c r="DV171" i="1"/>
  <c r="CH115" i="1"/>
  <c r="CT115" i="1"/>
  <c r="DF115" i="1"/>
  <c r="CH120" i="1"/>
  <c r="CT120" i="1"/>
  <c r="DF120" i="1"/>
  <c r="P122" i="1"/>
  <c r="AB122" i="1"/>
  <c r="AN122" i="1"/>
  <c r="S125" i="1"/>
  <c r="AE125" i="1"/>
  <c r="AQ125" i="1"/>
  <c r="V128" i="1"/>
  <c r="AH128" i="1"/>
  <c r="V133" i="1"/>
  <c r="AH133" i="1"/>
  <c r="CH137" i="1"/>
  <c r="CT137" i="1"/>
  <c r="CB152" i="1"/>
  <c r="AO152" i="1"/>
  <c r="AP152" i="1" s="1"/>
  <c r="BB152" i="1" s="1"/>
  <c r="CH130" i="1"/>
  <c r="CT130" i="1"/>
  <c r="DF130" i="1"/>
  <c r="CH135" i="1"/>
  <c r="CT135" i="1"/>
  <c r="DF135" i="1"/>
  <c r="CA144" i="1"/>
  <c r="BZ144" i="1"/>
  <c r="CI154" i="1"/>
  <c r="CJ154" i="1" s="1"/>
  <c r="DL154" i="1" s="1"/>
  <c r="DV154" i="1"/>
  <c r="AO159" i="1"/>
  <c r="AP159" i="1" s="1"/>
  <c r="BB159" i="1" s="1"/>
  <c r="CB159" i="1"/>
  <c r="DJ176" i="1"/>
  <c r="DK176" i="1" s="1"/>
  <c r="DU176" i="1" s="1"/>
  <c r="EW176" i="1"/>
  <c r="CK115" i="1"/>
  <c r="CW115" i="1"/>
  <c r="DI115" i="1"/>
  <c r="CK120" i="1"/>
  <c r="CW120" i="1"/>
  <c r="DI120" i="1"/>
  <c r="S122" i="1"/>
  <c r="AE122" i="1"/>
  <c r="AQ122" i="1"/>
  <c r="V125" i="1"/>
  <c r="AH125" i="1"/>
  <c r="CF127" i="1"/>
  <c r="Y128" i="1"/>
  <c r="AK128" i="1"/>
  <c r="CH129" i="1"/>
  <c r="CT129" i="1"/>
  <c r="DF129" i="1"/>
  <c r="O130" i="1"/>
  <c r="CR132" i="1"/>
  <c r="CS132" i="1" s="1"/>
  <c r="DO132" i="1" s="1"/>
  <c r="Y133" i="1"/>
  <c r="AK133" i="1"/>
  <c r="CH134" i="1"/>
  <c r="CT134" i="1"/>
  <c r="DF134" i="1"/>
  <c r="O135" i="1"/>
  <c r="CK137" i="1"/>
  <c r="CW137" i="1"/>
  <c r="DJ147" i="1"/>
  <c r="DK147" i="1" s="1"/>
  <c r="DU147" i="1" s="1"/>
  <c r="EN150" i="1"/>
  <c r="DA150" i="1"/>
  <c r="DB150" i="1" s="1"/>
  <c r="DR150" i="1" s="1"/>
  <c r="CH128" i="1"/>
  <c r="CT128" i="1"/>
  <c r="DF128" i="1"/>
  <c r="P130" i="1"/>
  <c r="AB130" i="1"/>
  <c r="AN130" i="1"/>
  <c r="CH133" i="1"/>
  <c r="CT133" i="1"/>
  <c r="DF133" i="1"/>
  <c r="P135" i="1"/>
  <c r="AB135" i="1"/>
  <c r="AN135" i="1"/>
  <c r="S115" i="1"/>
  <c r="AE115" i="1"/>
  <c r="AQ115" i="1"/>
  <c r="S120" i="1"/>
  <c r="AE120" i="1"/>
  <c r="AQ120" i="1"/>
  <c r="CH127" i="1"/>
  <c r="CT127" i="1"/>
  <c r="DF127" i="1"/>
  <c r="O128" i="1"/>
  <c r="P129" i="1"/>
  <c r="AB129" i="1"/>
  <c r="AN129" i="1"/>
  <c r="CK130" i="1"/>
  <c r="CW130" i="1"/>
  <c r="DI130" i="1"/>
  <c r="BK131" i="1"/>
  <c r="X131" i="1" s="1"/>
  <c r="BW131" i="1"/>
  <c r="AJ131" i="1" s="1"/>
  <c r="CH132" i="1"/>
  <c r="CT132" i="1"/>
  <c r="DF132" i="1"/>
  <c r="O133" i="1"/>
  <c r="P134" i="1"/>
  <c r="AB134" i="1"/>
  <c r="AN134" i="1"/>
  <c r="CK135" i="1"/>
  <c r="CW135" i="1"/>
  <c r="DI135" i="1"/>
  <c r="S137" i="1"/>
  <c r="AE137" i="1"/>
  <c r="AQ137" i="1"/>
  <c r="AK138" i="1"/>
  <c r="Y138" i="1"/>
  <c r="DI138" i="1"/>
  <c r="CW138" i="1"/>
  <c r="CK138" i="1"/>
  <c r="DF138" i="1"/>
  <c r="DI141" i="1"/>
  <c r="CW141" i="1"/>
  <c r="CK141" i="1"/>
  <c r="AN141" i="1"/>
  <c r="AB141" i="1"/>
  <c r="P141" i="1"/>
  <c r="CZ141" i="1"/>
  <c r="CN141" i="1"/>
  <c r="CH141" i="1"/>
  <c r="DI154" i="1"/>
  <c r="CW154" i="1"/>
  <c r="CK154" i="1"/>
  <c r="AN154" i="1"/>
  <c r="AB154" i="1"/>
  <c r="P154" i="1"/>
  <c r="O154" i="1"/>
  <c r="AK154" i="1"/>
  <c r="Y154" i="1"/>
  <c r="AH154" i="1"/>
  <c r="V154" i="1"/>
  <c r="DC154" i="1"/>
  <c r="CZ154" i="1"/>
  <c r="AE154" i="1"/>
  <c r="CT154" i="1"/>
  <c r="CQ154" i="1"/>
  <c r="CN154" i="1"/>
  <c r="BJ156" i="1"/>
  <c r="W156" i="1"/>
  <c r="X156" i="1" s="1"/>
  <c r="AV156" i="1" s="1"/>
  <c r="CN115" i="1"/>
  <c r="CN120" i="1"/>
  <c r="V122" i="1"/>
  <c r="AH122" i="1"/>
  <c r="Y125" i="1"/>
  <c r="AK125" i="1"/>
  <c r="CH126" i="1"/>
  <c r="CT126" i="1"/>
  <c r="P128" i="1"/>
  <c r="AB128" i="1"/>
  <c r="AN128" i="1"/>
  <c r="CK129" i="1"/>
  <c r="CW129" i="1"/>
  <c r="P133" i="1"/>
  <c r="AB133" i="1"/>
  <c r="AN133" i="1"/>
  <c r="CK134" i="1"/>
  <c r="CW134" i="1"/>
  <c r="CN137" i="1"/>
  <c r="O138" i="1"/>
  <c r="AE138" i="1"/>
  <c r="CQ138" i="1"/>
  <c r="AN140" i="1"/>
  <c r="AB140" i="1"/>
  <c r="P140" i="1"/>
  <c r="O140" i="1"/>
  <c r="DC140" i="1"/>
  <c r="CQ140" i="1"/>
  <c r="AQ140" i="1"/>
  <c r="AE140" i="1"/>
  <c r="S140" i="1"/>
  <c r="CH140" i="1"/>
  <c r="O141" i="1"/>
  <c r="AH141" i="1"/>
  <c r="DD142" i="1"/>
  <c r="DE142" i="1" s="1"/>
  <c r="DS142" i="1" s="1"/>
  <c r="EJ143" i="1"/>
  <c r="S154" i="1"/>
  <c r="CQ122" i="1"/>
  <c r="CH125" i="1"/>
  <c r="CT125" i="1"/>
  <c r="CK128" i="1"/>
  <c r="CW128" i="1"/>
  <c r="S130" i="1"/>
  <c r="AE130" i="1"/>
  <c r="CK133" i="1"/>
  <c r="CW133" i="1"/>
  <c r="S135" i="1"/>
  <c r="AE135" i="1"/>
  <c r="DI142" i="1"/>
  <c r="DC143" i="1"/>
  <c r="CQ143" i="1"/>
  <c r="AB143" i="1"/>
  <c r="CH143" i="1"/>
  <c r="DC149" i="1"/>
  <c r="CQ149" i="1"/>
  <c r="AH149" i="1"/>
  <c r="V149" i="1"/>
  <c r="CZ149" i="1"/>
  <c r="CN149" i="1"/>
  <c r="DI149" i="1"/>
  <c r="CW149" i="1"/>
  <c r="CK149" i="1"/>
  <c r="AN149" i="1"/>
  <c r="AB149" i="1"/>
  <c r="P149" i="1"/>
  <c r="CH149" i="1"/>
  <c r="DF149" i="1"/>
  <c r="AK150" i="1"/>
  <c r="Y150" i="1"/>
  <c r="DC150" i="1"/>
  <c r="CQ150" i="1"/>
  <c r="DI150" i="1"/>
  <c r="CW150" i="1"/>
  <c r="CK150" i="1"/>
  <c r="BJ150" i="1"/>
  <c r="CH150" i="1"/>
  <c r="DF150" i="1"/>
  <c r="CA155" i="1"/>
  <c r="EQ178" i="1"/>
  <c r="DD178" i="1"/>
  <c r="DE178" i="1" s="1"/>
  <c r="DS178" i="1" s="1"/>
  <c r="CN159" i="1"/>
  <c r="BX157" i="1"/>
  <c r="BW157" i="1"/>
  <c r="DW161" i="1"/>
  <c r="DX161" i="1"/>
  <c r="ET165" i="1"/>
  <c r="DG165" i="1"/>
  <c r="DH165" i="1" s="1"/>
  <c r="DT165" i="1" s="1"/>
  <c r="V139" i="1"/>
  <c r="AH139" i="1"/>
  <c r="Y142" i="1"/>
  <c r="AK142" i="1"/>
  <c r="CZ143" i="1"/>
  <c r="BN144" i="1"/>
  <c r="AA144" i="1" s="1"/>
  <c r="CD144" i="1"/>
  <c r="AP144" i="1" s="1"/>
  <c r="CN150" i="1"/>
  <c r="CI161" i="1"/>
  <c r="CJ161" i="1" s="1"/>
  <c r="DL161" i="1" s="1"/>
  <c r="DG185" i="1"/>
  <c r="DH185" i="1" s="1"/>
  <c r="DT185" i="1" s="1"/>
  <c r="ET185" i="1"/>
  <c r="CZ142" i="1"/>
  <c r="CN142" i="1"/>
  <c r="BY182" i="1"/>
  <c r="EP151" i="1"/>
  <c r="EO151" i="1"/>
  <c r="BL157" i="1"/>
  <c r="BK157" i="1"/>
  <c r="CR158" i="1"/>
  <c r="CS158" i="1" s="1"/>
  <c r="DO158" i="1" s="1"/>
  <c r="DI159" i="1"/>
  <c r="CW159" i="1"/>
  <c r="CK159" i="1"/>
  <c r="AK159" i="1"/>
  <c r="CZ159" i="1"/>
  <c r="V159" i="1"/>
  <c r="CH159" i="1"/>
  <c r="AH159" i="1"/>
  <c r="CT159" i="1"/>
  <c r="S159" i="1"/>
  <c r="DF159" i="1"/>
  <c r="AQ159" i="1"/>
  <c r="P159" i="1"/>
  <c r="CQ159" i="1"/>
  <c r="AB159" i="1"/>
  <c r="O159" i="1"/>
  <c r="EN161" i="1"/>
  <c r="DA161" i="1"/>
  <c r="DB161" i="1" s="1"/>
  <c r="DR161" i="1" s="1"/>
  <c r="BL162" i="1"/>
  <c r="BK162" i="1"/>
  <c r="DY169" i="1"/>
  <c r="CD173" i="1"/>
  <c r="CC173" i="1"/>
  <c r="CH139" i="1"/>
  <c r="CT139" i="1"/>
  <c r="CQ142" i="1"/>
  <c r="DF143" i="1"/>
  <c r="CZ146" i="1"/>
  <c r="AQ146" i="1"/>
  <c r="AE146" i="1"/>
  <c r="S146" i="1"/>
  <c r="AK146" i="1"/>
  <c r="Y146" i="1"/>
  <c r="AB150" i="1"/>
  <c r="AQ156" i="1"/>
  <c r="AE156" i="1"/>
  <c r="S156" i="1"/>
  <c r="CZ156" i="1"/>
  <c r="Y156" i="1"/>
  <c r="CK156" i="1"/>
  <c r="AK156" i="1"/>
  <c r="CW156" i="1"/>
  <c r="CH156" i="1"/>
  <c r="AH156" i="1"/>
  <c r="CT156" i="1"/>
  <c r="CQ156" i="1"/>
  <c r="P156" i="1"/>
  <c r="DC156" i="1"/>
  <c r="CG160" i="1"/>
  <c r="W162" i="1"/>
  <c r="X162" i="1" s="1"/>
  <c r="AV162" i="1" s="1"/>
  <c r="CO186" i="1"/>
  <c r="CP186" i="1" s="1"/>
  <c r="DN186" i="1" s="1"/>
  <c r="EB186" i="1"/>
  <c r="DF142" i="1"/>
  <c r="CZ145" i="1"/>
  <c r="CN145" i="1"/>
  <c r="AB145" i="1"/>
  <c r="AQ145" i="1"/>
  <c r="CH145" i="1"/>
  <c r="O146" i="1"/>
  <c r="CQ146" i="1"/>
  <c r="BG147" i="1"/>
  <c r="EA147" i="1"/>
  <c r="AE149" i="1"/>
  <c r="AE150" i="1"/>
  <c r="O156" i="1"/>
  <c r="DF156" i="1"/>
  <c r="AS157" i="1"/>
  <c r="Y159" i="1"/>
  <c r="DV160" i="1"/>
  <c r="CI160" i="1"/>
  <c r="CJ160" i="1" s="1"/>
  <c r="DL160" i="1" s="1"/>
  <c r="BJ178" i="1"/>
  <c r="W178" i="1"/>
  <c r="X178" i="1" s="1"/>
  <c r="AV178" i="1" s="1"/>
  <c r="AN169" i="1"/>
  <c r="AB169" i="1"/>
  <c r="P169" i="1"/>
  <c r="O169" i="1"/>
  <c r="AK169" i="1"/>
  <c r="Y169" i="1"/>
  <c r="DC169" i="1"/>
  <c r="CQ169" i="1"/>
  <c r="CZ169" i="1"/>
  <c r="CN169" i="1"/>
  <c r="CT169" i="1"/>
  <c r="V169" i="1"/>
  <c r="AH169" i="1"/>
  <c r="CW169" i="1"/>
  <c r="CH147" i="1"/>
  <c r="CT147" i="1"/>
  <c r="DF147" i="1"/>
  <c r="S152" i="1"/>
  <c r="AE152" i="1"/>
  <c r="AQ152" i="1"/>
  <c r="V155" i="1"/>
  <c r="AH155" i="1"/>
  <c r="DC155" i="1"/>
  <c r="AN158" i="1"/>
  <c r="AB158" i="1"/>
  <c r="P158" i="1"/>
  <c r="Y160" i="1"/>
  <c r="CK160" i="1"/>
  <c r="DA160" i="1"/>
  <c r="DB160" i="1" s="1"/>
  <c r="DR160" i="1" s="1"/>
  <c r="CK162" i="1"/>
  <c r="DC162" i="1"/>
  <c r="DC164" i="1"/>
  <c r="AH164" i="1"/>
  <c r="V164" i="1"/>
  <c r="CZ164" i="1"/>
  <c r="CN164" i="1"/>
  <c r="CK164" i="1"/>
  <c r="DI164" i="1"/>
  <c r="P164" i="1"/>
  <c r="AB165" i="1"/>
  <c r="AB166" i="1"/>
  <c r="CH166" i="1"/>
  <c r="CA170" i="1"/>
  <c r="AM170" i="1" s="1"/>
  <c r="CQ155" i="1"/>
  <c r="CN161" i="1"/>
  <c r="CW165" i="1"/>
  <c r="S169" i="1"/>
  <c r="CD170" i="1"/>
  <c r="CC170" i="1"/>
  <c r="CB171" i="1"/>
  <c r="AO171" i="1"/>
  <c r="AP171" i="1" s="1"/>
  <c r="BB171" i="1" s="1"/>
  <c r="EE175" i="1"/>
  <c r="AQ161" i="1"/>
  <c r="AE161" i="1"/>
  <c r="S161" i="1"/>
  <c r="DI161" i="1"/>
  <c r="CW161" i="1"/>
  <c r="CK161" i="1"/>
  <c r="DF161" i="1"/>
  <c r="CZ162" i="1"/>
  <c r="CN162" i="1"/>
  <c r="DF162" i="1"/>
  <c r="AK162" i="1"/>
  <c r="Y162" i="1"/>
  <c r="EK167" i="1"/>
  <c r="CX167" i="1"/>
  <c r="CY167" i="1" s="1"/>
  <c r="DQ167" i="1" s="1"/>
  <c r="EP168" i="1"/>
  <c r="EO168" i="1"/>
  <c r="DF169" i="1"/>
  <c r="AL155" i="1"/>
  <c r="AM155" i="1" s="1"/>
  <c r="BA155" i="1" s="1"/>
  <c r="CH155" i="1"/>
  <c r="CT155" i="1"/>
  <c r="AN160" i="1"/>
  <c r="AB160" i="1"/>
  <c r="P160" i="1"/>
  <c r="DC160" i="1"/>
  <c r="CQ160" i="1"/>
  <c r="AE160" i="1"/>
  <c r="DF160" i="1"/>
  <c r="O161" i="1"/>
  <c r="CQ161" i="1"/>
  <c r="O162" i="1"/>
  <c r="AE162" i="1"/>
  <c r="CQ162" i="1"/>
  <c r="DA168" i="1"/>
  <c r="DB168" i="1" s="1"/>
  <c r="DR168" i="1" s="1"/>
  <c r="AE169" i="1"/>
  <c r="DI169" i="1"/>
  <c r="P161" i="1"/>
  <c r="P162" i="1"/>
  <c r="DI162" i="1"/>
  <c r="DC165" i="1"/>
  <c r="CQ165" i="1"/>
  <c r="AQ165" i="1"/>
  <c r="AE165" i="1"/>
  <c r="S165" i="1"/>
  <c r="CK165" i="1"/>
  <c r="AK165" i="1"/>
  <c r="CZ165" i="1"/>
  <c r="O165" i="1"/>
  <c r="CT165" i="1"/>
  <c r="CH165" i="1"/>
  <c r="AK166" i="1"/>
  <c r="Y166" i="1"/>
  <c r="AH166" i="1"/>
  <c r="V166" i="1"/>
  <c r="CZ166" i="1"/>
  <c r="CN166" i="1"/>
  <c r="DI166" i="1"/>
  <c r="CW166" i="1"/>
  <c r="CQ166" i="1"/>
  <c r="AE166" i="1"/>
  <c r="O166" i="1"/>
  <c r="BR170" i="1"/>
  <c r="BQ170" i="1"/>
  <c r="AK171" i="1"/>
  <c r="Y171" i="1"/>
  <c r="AH171" i="1"/>
  <c r="V171" i="1"/>
  <c r="CZ171" i="1"/>
  <c r="CN171" i="1"/>
  <c r="DI171" i="1"/>
  <c r="CW171" i="1"/>
  <c r="CK171" i="1"/>
  <c r="CQ171" i="1"/>
  <c r="AQ171" i="1"/>
  <c r="S171" i="1"/>
  <c r="O171" i="1"/>
  <c r="AE171" i="1"/>
  <c r="CN147" i="1"/>
  <c r="CZ147" i="1"/>
  <c r="Y152" i="1"/>
  <c r="AK152" i="1"/>
  <c r="CH153" i="1"/>
  <c r="CT153" i="1"/>
  <c r="DF153" i="1"/>
  <c r="P155" i="1"/>
  <c r="AB155" i="1"/>
  <c r="AN155" i="1"/>
  <c r="DI155" i="1"/>
  <c r="BE157" i="1"/>
  <c r="R157" i="1" s="1"/>
  <c r="BQ157" i="1"/>
  <c r="AD157" i="1" s="1"/>
  <c r="CC157" i="1"/>
  <c r="AP157" i="1" s="1"/>
  <c r="AH158" i="1"/>
  <c r="CH158" i="1"/>
  <c r="DI158" i="1"/>
  <c r="DI160" i="1"/>
  <c r="AH161" i="1"/>
  <c r="CT161" i="1"/>
  <c r="AH162" i="1"/>
  <c r="CT162" i="1"/>
  <c r="Y164" i="1"/>
  <c r="P165" i="1"/>
  <c r="AN165" i="1"/>
  <c r="P166" i="1"/>
  <c r="AN166" i="1"/>
  <c r="ES168" i="1"/>
  <c r="P171" i="1"/>
  <c r="CH152" i="1"/>
  <c r="CT152" i="1"/>
  <c r="DF152" i="1"/>
  <c r="CK155" i="1"/>
  <c r="S160" i="1"/>
  <c r="AH160" i="1"/>
  <c r="CT160" i="1"/>
  <c r="S162" i="1"/>
  <c r="DI165" i="1"/>
  <c r="CZ178" i="1"/>
  <c r="CN178" i="1"/>
  <c r="AQ178" i="1"/>
  <c r="AE178" i="1"/>
  <c r="S178" i="1"/>
  <c r="DI178" i="1"/>
  <c r="CW178" i="1"/>
  <c r="CK178" i="1"/>
  <c r="AN178" i="1"/>
  <c r="AB178" i="1"/>
  <c r="P178" i="1"/>
  <c r="O178" i="1"/>
  <c r="AK178" i="1"/>
  <c r="CT178" i="1"/>
  <c r="CQ178" i="1"/>
  <c r="AH178" i="1"/>
  <c r="CE192" i="1"/>
  <c r="AR192" i="1"/>
  <c r="AS192" i="1" s="1"/>
  <c r="BC192" i="1" s="1"/>
  <c r="V147" i="1"/>
  <c r="CH151" i="1"/>
  <c r="CT151" i="1"/>
  <c r="P153" i="1"/>
  <c r="AB153" i="1"/>
  <c r="CK158" i="1"/>
  <c r="AK161" i="1"/>
  <c r="AB164" i="1"/>
  <c r="CN165" i="1"/>
  <c r="S166" i="1"/>
  <c r="AQ166" i="1"/>
  <c r="DC166" i="1"/>
  <c r="AQ169" i="1"/>
  <c r="CH169" i="1"/>
  <c r="DC171" i="1"/>
  <c r="CH178" i="1"/>
  <c r="BV186" i="1"/>
  <c r="AI186" i="1"/>
  <c r="AJ186" i="1" s="1"/>
  <c r="AZ186" i="1" s="1"/>
  <c r="DC191" i="1"/>
  <c r="CQ191" i="1"/>
  <c r="AQ191" i="1"/>
  <c r="AE191" i="1"/>
  <c r="S191" i="1"/>
  <c r="CN191" i="1"/>
  <c r="AH191" i="1"/>
  <c r="CZ191" i="1"/>
  <c r="CK191" i="1"/>
  <c r="P191" i="1"/>
  <c r="CW191" i="1"/>
  <c r="O191" i="1"/>
  <c r="DI191" i="1"/>
  <c r="CT191" i="1"/>
  <c r="AN191" i="1"/>
  <c r="DG197" i="1"/>
  <c r="DH197" i="1" s="1"/>
  <c r="DT197" i="1" s="1"/>
  <c r="ET197" i="1"/>
  <c r="W191" i="1"/>
  <c r="X191" i="1" s="1"/>
  <c r="AV191" i="1" s="1"/>
  <c r="BJ191" i="1"/>
  <c r="EU191" i="1"/>
  <c r="EV191" i="1"/>
  <c r="EV195" i="1"/>
  <c r="EU195" i="1"/>
  <c r="DG199" i="1"/>
  <c r="DH199" i="1" s="1"/>
  <c r="DT199" i="1" s="1"/>
  <c r="DG191" i="1"/>
  <c r="DH191" i="1" s="1"/>
  <c r="DT191" i="1" s="1"/>
  <c r="DC192" i="1"/>
  <c r="CQ192" i="1"/>
  <c r="CZ192" i="1"/>
  <c r="CN192" i="1"/>
  <c r="DI192" i="1"/>
  <c r="CW192" i="1"/>
  <c r="CK192" i="1"/>
  <c r="CT192" i="1"/>
  <c r="AN192" i="1"/>
  <c r="Y192" i="1"/>
  <c r="V192" i="1"/>
  <c r="AK192" i="1"/>
  <c r="S192" i="1"/>
  <c r="AH192" i="1"/>
  <c r="DF192" i="1"/>
  <c r="CH192" i="1"/>
  <c r="AE192" i="1"/>
  <c r="P192" i="1"/>
  <c r="O192" i="1"/>
  <c r="AN174" i="1"/>
  <c r="AB174" i="1"/>
  <c r="P174" i="1"/>
  <c r="O174" i="1"/>
  <c r="AK174" i="1"/>
  <c r="Y174" i="1"/>
  <c r="DC174" i="1"/>
  <c r="CQ174" i="1"/>
  <c r="CZ174" i="1"/>
  <c r="CN174" i="1"/>
  <c r="CH174" i="1"/>
  <c r="DF174" i="1"/>
  <c r="AQ163" i="1"/>
  <c r="AE163" i="1"/>
  <c r="S163" i="1"/>
  <c r="DI163" i="1"/>
  <c r="CW163" i="1"/>
  <c r="CK163" i="1"/>
  <c r="AB163" i="1"/>
  <c r="CH163" i="1"/>
  <c r="CK174" i="1"/>
  <c r="DI174" i="1"/>
  <c r="DC182" i="1"/>
  <c r="CQ182" i="1"/>
  <c r="AH182" i="1"/>
  <c r="V182" i="1"/>
  <c r="CZ182" i="1"/>
  <c r="CN182" i="1"/>
  <c r="AQ182" i="1"/>
  <c r="AE182" i="1"/>
  <c r="S182" i="1"/>
  <c r="DI182" i="1"/>
  <c r="CW182" i="1"/>
  <c r="CK182" i="1"/>
  <c r="AN182" i="1"/>
  <c r="AB182" i="1"/>
  <c r="P182" i="1"/>
  <c r="CH182" i="1"/>
  <c r="DI185" i="1"/>
  <c r="CW185" i="1"/>
  <c r="CK185" i="1"/>
  <c r="AH185" i="1"/>
  <c r="CH185" i="1"/>
  <c r="S185" i="1"/>
  <c r="AE185" i="1"/>
  <c r="CT185" i="1"/>
  <c r="AQ185" i="1"/>
  <c r="P185" i="1"/>
  <c r="AB185" i="1"/>
  <c r="O185" i="1"/>
  <c r="DC185" i="1"/>
  <c r="Y185" i="1"/>
  <c r="CQ185" i="1"/>
  <c r="AK191" i="1"/>
  <c r="DG195" i="1"/>
  <c r="DH195" i="1" s="1"/>
  <c r="DT195" i="1" s="1"/>
  <c r="BF170" i="1"/>
  <c r="BE170" i="1"/>
  <c r="DC181" i="1"/>
  <c r="CQ181" i="1"/>
  <c r="AH181" i="1"/>
  <c r="V181" i="1"/>
  <c r="CZ181" i="1"/>
  <c r="CN181" i="1"/>
  <c r="AQ181" i="1"/>
  <c r="AE181" i="1"/>
  <c r="S181" i="1"/>
  <c r="AN181" i="1"/>
  <c r="AB181" i="1"/>
  <c r="P181" i="1"/>
  <c r="O181" i="1"/>
  <c r="CH181" i="1"/>
  <c r="V185" i="1"/>
  <c r="CZ185" i="1"/>
  <c r="AB192" i="1"/>
  <c r="CE199" i="1"/>
  <c r="AR199" i="1"/>
  <c r="AS199" i="1" s="1"/>
  <c r="BC199" i="1" s="1"/>
  <c r="P163" i="1"/>
  <c r="S174" i="1"/>
  <c r="AQ174" i="1"/>
  <c r="CK181" i="1"/>
  <c r="CD184" i="1"/>
  <c r="CC184" i="1"/>
  <c r="BY186" i="1"/>
  <c r="Y179" i="1"/>
  <c r="AK179" i="1"/>
  <c r="CH180" i="1"/>
  <c r="CT180" i="1"/>
  <c r="DF180" i="1"/>
  <c r="Y184" i="1"/>
  <c r="AK184" i="1"/>
  <c r="V187" i="1"/>
  <c r="DF189" i="1"/>
  <c r="AO199" i="1"/>
  <c r="AP199" i="1" s="1"/>
  <c r="BB199" i="1" s="1"/>
  <c r="CB199" i="1"/>
  <c r="BV201" i="1"/>
  <c r="AI201" i="1"/>
  <c r="AJ201" i="1" s="1"/>
  <c r="AZ201" i="1" s="1"/>
  <c r="EI204" i="1"/>
  <c r="EJ204" i="1"/>
  <c r="EJ208" i="1"/>
  <c r="EI208" i="1"/>
  <c r="CH179" i="1"/>
  <c r="CT179" i="1"/>
  <c r="DF179" i="1"/>
  <c r="CZ184" i="1"/>
  <c r="AK187" i="1"/>
  <c r="CQ187" i="1"/>
  <c r="AK193" i="1"/>
  <c r="Y193" i="1"/>
  <c r="AH193" i="1"/>
  <c r="V193" i="1"/>
  <c r="AQ193" i="1"/>
  <c r="AE193" i="1"/>
  <c r="S193" i="1"/>
  <c r="CH193" i="1"/>
  <c r="DF193" i="1"/>
  <c r="AF195" i="1"/>
  <c r="AG195" i="1" s="1"/>
  <c r="AY195" i="1" s="1"/>
  <c r="BR196" i="1"/>
  <c r="BQ196" i="1"/>
  <c r="CU208" i="1"/>
  <c r="CV208" i="1" s="1"/>
  <c r="DP208" i="1" s="1"/>
  <c r="V168" i="1"/>
  <c r="AH168" i="1"/>
  <c r="Y176" i="1"/>
  <c r="AK176" i="1"/>
  <c r="CH177" i="1"/>
  <c r="CT177" i="1"/>
  <c r="DF177" i="1"/>
  <c r="P179" i="1"/>
  <c r="AB179" i="1"/>
  <c r="AN179" i="1"/>
  <c r="CK180" i="1"/>
  <c r="CW180" i="1"/>
  <c r="DI180" i="1"/>
  <c r="P184" i="1"/>
  <c r="AB184" i="1"/>
  <c r="AO184" i="1"/>
  <c r="AP184" i="1" s="1"/>
  <c r="BB184" i="1" s="1"/>
  <c r="Y187" i="1"/>
  <c r="AN187" i="1"/>
  <c r="AH190" i="1"/>
  <c r="V190" i="1"/>
  <c r="AB190" i="1"/>
  <c r="AQ190" i="1"/>
  <c r="CH190" i="1"/>
  <c r="DY190" i="1"/>
  <c r="P193" i="1"/>
  <c r="AN193" i="1"/>
  <c r="EE202" i="1"/>
  <c r="CR202" i="1"/>
  <c r="CS202" i="1" s="1"/>
  <c r="DO202" i="1" s="1"/>
  <c r="CH176" i="1"/>
  <c r="CT176" i="1"/>
  <c r="DF176" i="1"/>
  <c r="CK179" i="1"/>
  <c r="CW179" i="1"/>
  <c r="DI179" i="1"/>
  <c r="DC184" i="1"/>
  <c r="CT187" i="1"/>
  <c r="DI187" i="1"/>
  <c r="DI189" i="1"/>
  <c r="CW189" i="1"/>
  <c r="CK189" i="1"/>
  <c r="AB189" i="1"/>
  <c r="AQ189" i="1"/>
  <c r="CH189" i="1"/>
  <c r="EW193" i="1"/>
  <c r="DJ193" i="1"/>
  <c r="DK193" i="1" s="1"/>
  <c r="DU193" i="1" s="1"/>
  <c r="DA204" i="1"/>
  <c r="DB204" i="1" s="1"/>
  <c r="DR204" i="1" s="1"/>
  <c r="EN204" i="1"/>
  <c r="CQ167" i="1"/>
  <c r="DC167" i="1"/>
  <c r="DD168" i="1"/>
  <c r="DE168" i="1" s="1"/>
  <c r="DS168" i="1" s="1"/>
  <c r="CQ172" i="1"/>
  <c r="DC172" i="1"/>
  <c r="CH175" i="1"/>
  <c r="CT175" i="1"/>
  <c r="DF175" i="1"/>
  <c r="O176" i="1"/>
  <c r="P177" i="1"/>
  <c r="AB177" i="1"/>
  <c r="AN177" i="1"/>
  <c r="S180" i="1"/>
  <c r="AE180" i="1"/>
  <c r="AQ180" i="1"/>
  <c r="AQ184" i="1"/>
  <c r="CQ184" i="1"/>
  <c r="CZ188" i="1"/>
  <c r="CN188" i="1"/>
  <c r="AN188" i="1"/>
  <c r="AB188" i="1"/>
  <c r="P188" i="1"/>
  <c r="AQ188" i="1"/>
  <c r="CH188" i="1"/>
  <c r="CW188" i="1"/>
  <c r="O189" i="1"/>
  <c r="P190" i="1"/>
  <c r="AE190" i="1"/>
  <c r="CN193" i="1"/>
  <c r="Q194" i="1"/>
  <c r="R194" i="1" s="1"/>
  <c r="AT194" i="1" s="1"/>
  <c r="DC198" i="1"/>
  <c r="CQ198" i="1"/>
  <c r="AH198" i="1"/>
  <c r="V198" i="1"/>
  <c r="CZ198" i="1"/>
  <c r="CN198" i="1"/>
  <c r="DI198" i="1"/>
  <c r="CW198" i="1"/>
  <c r="CK198" i="1"/>
  <c r="AN198" i="1"/>
  <c r="AB198" i="1"/>
  <c r="P198" i="1"/>
  <c r="AK198" i="1"/>
  <c r="AE198" i="1"/>
  <c r="CT198" i="1"/>
  <c r="Y198" i="1"/>
  <c r="CH198" i="1"/>
  <c r="BX209" i="1"/>
  <c r="BW209" i="1"/>
  <c r="S179" i="1"/>
  <c r="AE179" i="1"/>
  <c r="AQ179" i="1"/>
  <c r="S184" i="1"/>
  <c r="AE184" i="1"/>
  <c r="AQ187" i="1"/>
  <c r="AE187" i="1"/>
  <c r="S187" i="1"/>
  <c r="O187" i="1"/>
  <c r="CH187" i="1"/>
  <c r="CW187" i="1"/>
  <c r="BF196" i="1"/>
  <c r="BE196" i="1"/>
  <c r="AK199" i="1"/>
  <c r="Y199" i="1"/>
  <c r="DC199" i="1"/>
  <c r="CQ199" i="1"/>
  <c r="DI199" i="1"/>
  <c r="CW199" i="1"/>
  <c r="CK199" i="1"/>
  <c r="AH199" i="1"/>
  <c r="CZ199" i="1"/>
  <c r="AE199" i="1"/>
  <c r="AB199" i="1"/>
  <c r="CT199" i="1"/>
  <c r="V199" i="1"/>
  <c r="CN199" i="1"/>
  <c r="CH199" i="1"/>
  <c r="BZ209" i="1"/>
  <c r="CA209" i="1"/>
  <c r="Y167" i="1"/>
  <c r="AK167" i="1"/>
  <c r="CH168" i="1"/>
  <c r="CT168" i="1"/>
  <c r="Y172" i="1"/>
  <c r="AK172" i="1"/>
  <c r="CH173" i="1"/>
  <c r="CT173" i="1"/>
  <c r="DF173" i="1"/>
  <c r="P175" i="1"/>
  <c r="AB175" i="1"/>
  <c r="AN175" i="1"/>
  <c r="CK176" i="1"/>
  <c r="CW176" i="1"/>
  <c r="CN179" i="1"/>
  <c r="BE183" i="1"/>
  <c r="R183" i="1" s="1"/>
  <c r="BQ183" i="1"/>
  <c r="AD183" i="1" s="1"/>
  <c r="CC183" i="1"/>
  <c r="AP183" i="1" s="1"/>
  <c r="DF184" i="1"/>
  <c r="P187" i="1"/>
  <c r="CZ189" i="1"/>
  <c r="S190" i="1"/>
  <c r="CT193" i="1"/>
  <c r="O199" i="1"/>
  <c r="DG204" i="1"/>
  <c r="DH204" i="1" s="1"/>
  <c r="DT204" i="1" s="1"/>
  <c r="ET204" i="1"/>
  <c r="CH167" i="1"/>
  <c r="CT167" i="1"/>
  <c r="CH172" i="1"/>
  <c r="CT172" i="1"/>
  <c r="CK175" i="1"/>
  <c r="CW175" i="1"/>
  <c r="S177" i="1"/>
  <c r="AE177" i="1"/>
  <c r="V180" i="1"/>
  <c r="CT184" i="1"/>
  <c r="CK187" i="1"/>
  <c r="CZ187" i="1"/>
  <c r="S189" i="1"/>
  <c r="AH189" i="1"/>
  <c r="CN190" i="1"/>
  <c r="DC190" i="1"/>
  <c r="DD195" i="1"/>
  <c r="DE195" i="1" s="1"/>
  <c r="DS195" i="1" s="1"/>
  <c r="EQ195" i="1"/>
  <c r="S198" i="1"/>
  <c r="P199" i="1"/>
  <c r="CF194" i="1"/>
  <c r="EQ218" i="1"/>
  <c r="DD218" i="1"/>
  <c r="DE218" i="1" s="1"/>
  <c r="DS218" i="1" s="1"/>
  <c r="DC197" i="1"/>
  <c r="CQ197" i="1"/>
  <c r="AH197" i="1"/>
  <c r="V197" i="1"/>
  <c r="AQ197" i="1"/>
  <c r="AE197" i="1"/>
  <c r="S197" i="1"/>
  <c r="O197" i="1"/>
  <c r="BM206" i="1"/>
  <c r="Z206" i="1"/>
  <c r="AA206" i="1" s="1"/>
  <c r="AW206" i="1" s="1"/>
  <c r="BD197" i="1"/>
  <c r="BP206" i="1"/>
  <c r="AC206" i="1"/>
  <c r="AD206" i="1" s="1"/>
  <c r="AX206" i="1" s="1"/>
  <c r="EO212" i="1"/>
  <c r="EP212" i="1"/>
  <c r="DA212" i="1"/>
  <c r="DB212" i="1" s="1"/>
  <c r="DR212" i="1" s="1"/>
  <c r="CH186" i="1"/>
  <c r="CT186" i="1"/>
  <c r="EE217" i="1"/>
  <c r="CR217" i="1"/>
  <c r="CS217" i="1" s="1"/>
  <c r="DO217" i="1" s="1"/>
  <c r="AN197" i="1"/>
  <c r="CW197" i="1"/>
  <c r="BN209" i="1"/>
  <c r="BO209" i="1"/>
  <c r="EE210" i="1"/>
  <c r="CR210" i="1"/>
  <c r="CS210" i="1" s="1"/>
  <c r="DO210" i="1" s="1"/>
  <c r="BO215" i="1"/>
  <c r="BN215" i="1"/>
  <c r="EY226" i="1"/>
  <c r="EX226" i="1"/>
  <c r="DY206" i="1"/>
  <c r="CL206" i="1"/>
  <c r="CM206" i="1" s="1"/>
  <c r="DM206" i="1" s="1"/>
  <c r="BZ196" i="1"/>
  <c r="AM196" i="1" s="1"/>
  <c r="CZ197" i="1"/>
  <c r="CE206" i="1"/>
  <c r="AR206" i="1"/>
  <c r="AS206" i="1" s="1"/>
  <c r="BC206" i="1" s="1"/>
  <c r="DC194" i="1"/>
  <c r="CQ194" i="1"/>
  <c r="DI194" i="1"/>
  <c r="CN194" i="1"/>
  <c r="BK196" i="1"/>
  <c r="X196" i="1" s="1"/>
  <c r="Y197" i="1"/>
  <c r="CH197" i="1"/>
  <c r="Q201" i="1"/>
  <c r="R201" i="1" s="1"/>
  <c r="AT201" i="1" s="1"/>
  <c r="Z205" i="1"/>
  <c r="AA205" i="1" s="1"/>
  <c r="AW205" i="1" s="1"/>
  <c r="BM205" i="1"/>
  <c r="BY219" i="1"/>
  <c r="AL219" i="1"/>
  <c r="AM219" i="1" s="1"/>
  <c r="BA219" i="1" s="1"/>
  <c r="DC203" i="1"/>
  <c r="AK205" i="1"/>
  <c r="CQ205" i="1"/>
  <c r="CZ207" i="1"/>
  <c r="AK212" i="1"/>
  <c r="AH218" i="1"/>
  <c r="V218" i="1"/>
  <c r="CZ218" i="1"/>
  <c r="CN218" i="1"/>
  <c r="AQ218" i="1"/>
  <c r="AN218" i="1"/>
  <c r="AB218" i="1"/>
  <c r="P218" i="1"/>
  <c r="CT218" i="1"/>
  <c r="Y218" i="1"/>
  <c r="CQ218" i="1"/>
  <c r="DI218" i="1"/>
  <c r="CK218" i="1"/>
  <c r="S218" i="1"/>
  <c r="DF218" i="1"/>
  <c r="CH218" i="1"/>
  <c r="AK218" i="1"/>
  <c r="O218" i="1"/>
  <c r="V203" i="1"/>
  <c r="AH203" i="1"/>
  <c r="CQ203" i="1"/>
  <c r="DF205" i="1"/>
  <c r="BL209" i="1"/>
  <c r="BK209" i="1"/>
  <c r="DC206" i="1"/>
  <c r="CQ206" i="1"/>
  <c r="CZ206" i="1"/>
  <c r="CN206" i="1"/>
  <c r="DI206" i="1"/>
  <c r="AH207" i="1"/>
  <c r="V207" i="1"/>
  <c r="AQ207" i="1"/>
  <c r="AE207" i="1"/>
  <c r="S207" i="1"/>
  <c r="DI207" i="1"/>
  <c r="CW207" i="1"/>
  <c r="CK207" i="1"/>
  <c r="AN207" i="1"/>
  <c r="AB207" i="1"/>
  <c r="P207" i="1"/>
  <c r="CH207" i="1"/>
  <c r="DF207" i="1"/>
  <c r="AK208" i="1"/>
  <c r="Y208" i="1"/>
  <c r="DC208" i="1"/>
  <c r="CQ208" i="1"/>
  <c r="AH208" i="1"/>
  <c r="V208" i="1"/>
  <c r="CZ208" i="1"/>
  <c r="CN208" i="1"/>
  <c r="DI208" i="1"/>
  <c r="CW208" i="1"/>
  <c r="CK208" i="1"/>
  <c r="CH208" i="1"/>
  <c r="DF208" i="1"/>
  <c r="CK212" i="1"/>
  <c r="CW212" i="1"/>
  <c r="AH212" i="1"/>
  <c r="V212" i="1"/>
  <c r="CT212" i="1"/>
  <c r="DI212" i="1"/>
  <c r="DF212" i="1"/>
  <c r="AQ212" i="1"/>
  <c r="AE212" i="1"/>
  <c r="S212" i="1"/>
  <c r="DC212" i="1"/>
  <c r="AN212" i="1"/>
  <c r="AB212" i="1"/>
  <c r="P212" i="1"/>
  <c r="Y203" i="1"/>
  <c r="AK203" i="1"/>
  <c r="O206" i="1"/>
  <c r="CT206" i="1"/>
  <c r="O207" i="1"/>
  <c r="O208" i="1"/>
  <c r="DC211" i="1"/>
  <c r="CQ211" i="1"/>
  <c r="CZ211" i="1"/>
  <c r="CN211" i="1"/>
  <c r="AQ211" i="1"/>
  <c r="AE211" i="1"/>
  <c r="S211" i="1"/>
  <c r="AN211" i="1"/>
  <c r="AB211" i="1"/>
  <c r="P211" i="1"/>
  <c r="O211" i="1"/>
  <c r="CW211" i="1"/>
  <c r="O212" i="1"/>
  <c r="CF222" i="1"/>
  <c r="AS222" i="1" s="1"/>
  <c r="CZ203" i="1"/>
  <c r="CN203" i="1"/>
  <c r="CH203" i="1"/>
  <c r="AH205" i="1"/>
  <c r="V205" i="1"/>
  <c r="CZ205" i="1"/>
  <c r="CN205" i="1"/>
  <c r="AB205" i="1"/>
  <c r="CH205" i="1"/>
  <c r="P206" i="1"/>
  <c r="AE206" i="1"/>
  <c r="P208" i="1"/>
  <c r="AN208" i="1"/>
  <c r="CH202" i="1"/>
  <c r="CT202" i="1"/>
  <c r="DF202" i="1"/>
  <c r="O203" i="1"/>
  <c r="DI203" i="1"/>
  <c r="AQ204" i="1"/>
  <c r="AE204" i="1"/>
  <c r="S204" i="1"/>
  <c r="AB204" i="1"/>
  <c r="CH204" i="1"/>
  <c r="O205" i="1"/>
  <c r="AQ205" i="1"/>
  <c r="CW205" i="1"/>
  <c r="AH206" i="1"/>
  <c r="CN207" i="1"/>
  <c r="S208" i="1"/>
  <c r="AQ208" i="1"/>
  <c r="V211" i="1"/>
  <c r="Y200" i="1"/>
  <c r="AK200" i="1"/>
  <c r="CH201" i="1"/>
  <c r="CT201" i="1"/>
  <c r="O202" i="1"/>
  <c r="P203" i="1"/>
  <c r="AB203" i="1"/>
  <c r="AN203" i="1"/>
  <c r="CW203" i="1"/>
  <c r="O204" i="1"/>
  <c r="CW204" i="1"/>
  <c r="P205" i="1"/>
  <c r="CW206" i="1"/>
  <c r="CQ207" i="1"/>
  <c r="Y212" i="1"/>
  <c r="CH212" i="1"/>
  <c r="CX215" i="1"/>
  <c r="CY215" i="1" s="1"/>
  <c r="DQ215" i="1" s="1"/>
  <c r="EK215" i="1"/>
  <c r="CH195" i="1"/>
  <c r="CT195" i="1"/>
  <c r="CH200" i="1"/>
  <c r="CT200" i="1"/>
  <c r="P202" i="1"/>
  <c r="AB202" i="1"/>
  <c r="CK203" i="1"/>
  <c r="P204" i="1"/>
  <c r="AE205" i="1"/>
  <c r="CK205" i="1"/>
  <c r="S206" i="1"/>
  <c r="AK206" i="1"/>
  <c r="CH206" i="1"/>
  <c r="Y207" i="1"/>
  <c r="CB210" i="1"/>
  <c r="AO210" i="1"/>
  <c r="AP210" i="1" s="1"/>
  <c r="BB210" i="1" s="1"/>
  <c r="Y211" i="1"/>
  <c r="DF211" i="1"/>
  <c r="BJ215" i="1"/>
  <c r="W215" i="1"/>
  <c r="X215" i="1" s="1"/>
  <c r="AV215" i="1" s="1"/>
  <c r="EA216" i="1"/>
  <c r="DZ216" i="1"/>
  <c r="CH210" i="1"/>
  <c r="CT210" i="1"/>
  <c r="DF210" i="1"/>
  <c r="EH213" i="1"/>
  <c r="CZ217" i="1"/>
  <c r="CN217" i="1"/>
  <c r="AQ217" i="1"/>
  <c r="AE217" i="1"/>
  <c r="S217" i="1"/>
  <c r="DI217" i="1"/>
  <c r="CW217" i="1"/>
  <c r="CK217" i="1"/>
  <c r="O217" i="1"/>
  <c r="DI219" i="1"/>
  <c r="CH219" i="1"/>
  <c r="AH219" i="1"/>
  <c r="V219" i="1"/>
  <c r="CT219" i="1"/>
  <c r="DF219" i="1"/>
  <c r="AE219" i="1"/>
  <c r="S219" i="1"/>
  <c r="CQ219" i="1"/>
  <c r="AQ219" i="1"/>
  <c r="DC219" i="1"/>
  <c r="CN219" i="1"/>
  <c r="AQ220" i="1"/>
  <c r="AE220" i="1"/>
  <c r="S220" i="1"/>
  <c r="O220" i="1"/>
  <c r="AN220" i="1"/>
  <c r="Y220" i="1"/>
  <c r="DF220" i="1"/>
  <c r="CQ220" i="1"/>
  <c r="AK220" i="1"/>
  <c r="V220" i="1"/>
  <c r="DC220" i="1"/>
  <c r="CN220" i="1"/>
  <c r="AH220" i="1"/>
  <c r="P220" i="1"/>
  <c r="CW220" i="1"/>
  <c r="BD214" i="1"/>
  <c r="P217" i="1"/>
  <c r="AK217" i="1"/>
  <c r="CT217" i="1"/>
  <c r="O219" i="1"/>
  <c r="AN219" i="1"/>
  <c r="CZ220" i="1"/>
  <c r="BU222" i="1"/>
  <c r="BT222" i="1"/>
  <c r="CA226" i="1"/>
  <c r="BZ226" i="1"/>
  <c r="DX232" i="1"/>
  <c r="DW232" i="1"/>
  <c r="CK210" i="1"/>
  <c r="CW210" i="1"/>
  <c r="DI210" i="1"/>
  <c r="Z215" i="1"/>
  <c r="AA215" i="1" s="1"/>
  <c r="AW215" i="1" s="1"/>
  <c r="V217" i="1"/>
  <c r="AN217" i="1"/>
  <c r="CK219" i="1"/>
  <c r="AB220" i="1"/>
  <c r="CZ221" i="1"/>
  <c r="CN221" i="1"/>
  <c r="AN221" i="1"/>
  <c r="AB221" i="1"/>
  <c r="P221" i="1"/>
  <c r="DC221" i="1"/>
  <c r="CK221" i="1"/>
  <c r="Y221" i="1"/>
  <c r="CH221" i="1"/>
  <c r="AK221" i="1"/>
  <c r="V221" i="1"/>
  <c r="CW221" i="1"/>
  <c r="CT221" i="1"/>
  <c r="AH221" i="1"/>
  <c r="S221" i="1"/>
  <c r="AE221" i="1"/>
  <c r="DF221" i="1"/>
  <c r="AL226" i="1"/>
  <c r="AM226" i="1" s="1"/>
  <c r="BA226" i="1" s="1"/>
  <c r="CI232" i="1"/>
  <c r="CJ232" i="1" s="1"/>
  <c r="DL232" i="1" s="1"/>
  <c r="BF235" i="1"/>
  <c r="BE235" i="1"/>
  <c r="BS223" i="1"/>
  <c r="AF223" i="1"/>
  <c r="AG223" i="1" s="1"/>
  <c r="AY223" i="1" s="1"/>
  <c r="S210" i="1"/>
  <c r="AE210" i="1"/>
  <c r="AQ210" i="1"/>
  <c r="DI214" i="1"/>
  <c r="CW214" i="1"/>
  <c r="CK214" i="1"/>
  <c r="DF214" i="1"/>
  <c r="CT214" i="1"/>
  <c r="CH214" i="1"/>
  <c r="AB214" i="1"/>
  <c r="DC217" i="1"/>
  <c r="Y219" i="1"/>
  <c r="BI222" i="1"/>
  <c r="BH222" i="1"/>
  <c r="CN210" i="1"/>
  <c r="CZ210" i="1"/>
  <c r="DI213" i="1"/>
  <c r="CW213" i="1"/>
  <c r="CK213" i="1"/>
  <c r="AN213" i="1"/>
  <c r="AB213" i="1"/>
  <c r="P213" i="1"/>
  <c r="CH213" i="1"/>
  <c r="O214" i="1"/>
  <c r="AE214" i="1"/>
  <c r="AQ215" i="1"/>
  <c r="AE215" i="1"/>
  <c r="S215" i="1"/>
  <c r="O215" i="1"/>
  <c r="CQ215" i="1"/>
  <c r="Y217" i="1"/>
  <c r="CH217" i="1"/>
  <c r="CW219" i="1"/>
  <c r="EW242" i="1"/>
  <c r="DJ242" i="1"/>
  <c r="DK242" i="1" s="1"/>
  <c r="DU242" i="1" s="1"/>
  <c r="V210" i="1"/>
  <c r="CZ213" i="1"/>
  <c r="S214" i="1"/>
  <c r="AH215" i="1"/>
  <c r="AB217" i="1"/>
  <c r="DF217" i="1"/>
  <c r="AB219" i="1"/>
  <c r="CZ219" i="1"/>
  <c r="CH220" i="1"/>
  <c r="BS224" i="1"/>
  <c r="AF224" i="1"/>
  <c r="AG224" i="1" s="1"/>
  <c r="AY224" i="1" s="1"/>
  <c r="DI223" i="1"/>
  <c r="CW223" i="1"/>
  <c r="CK223" i="1"/>
  <c r="AN223" i="1"/>
  <c r="AB223" i="1"/>
  <c r="P223" i="1"/>
  <c r="AK223" i="1"/>
  <c r="Y223" i="1"/>
  <c r="CH223" i="1"/>
  <c r="CZ223" i="1"/>
  <c r="BX235" i="1"/>
  <c r="BW235" i="1"/>
  <c r="BX248" i="1"/>
  <c r="BW248" i="1"/>
  <c r="DI228" i="1"/>
  <c r="CW228" i="1"/>
  <c r="CK228" i="1"/>
  <c r="AH228" i="1"/>
  <c r="V228" i="1"/>
  <c r="CH228" i="1"/>
  <c r="CT228" i="1"/>
  <c r="AQ228" i="1"/>
  <c r="DF228" i="1"/>
  <c r="O228" i="1"/>
  <c r="ET236" i="1"/>
  <c r="DG236" i="1"/>
  <c r="DH236" i="1" s="1"/>
  <c r="DT236" i="1" s="1"/>
  <c r="CH216" i="1"/>
  <c r="CT216" i="1"/>
  <c r="DF216" i="1"/>
  <c r="AH223" i="1"/>
  <c r="P228" i="1"/>
  <c r="AK228" i="1"/>
  <c r="CN228" i="1"/>
  <c r="S223" i="1"/>
  <c r="DC223" i="1"/>
  <c r="S228" i="1"/>
  <c r="BY232" i="1"/>
  <c r="AL232" i="1"/>
  <c r="AM232" i="1" s="1"/>
  <c r="BA232" i="1" s="1"/>
  <c r="P216" i="1"/>
  <c r="AB216" i="1"/>
  <c r="AN216" i="1"/>
  <c r="CN223" i="1"/>
  <c r="DF223" i="1"/>
  <c r="AN228" i="1"/>
  <c r="CQ228" i="1"/>
  <c r="V223" i="1"/>
  <c r="CF225" i="1"/>
  <c r="CZ227" i="1"/>
  <c r="CN227" i="1"/>
  <c r="DI227" i="1"/>
  <c r="CW227" i="1"/>
  <c r="CK227" i="1"/>
  <c r="AN227" i="1"/>
  <c r="AB227" i="1"/>
  <c r="P227" i="1"/>
  <c r="DF227" i="1"/>
  <c r="AH227" i="1"/>
  <c r="CH227" i="1"/>
  <c r="CZ228" i="1"/>
  <c r="CZ229" i="1"/>
  <c r="CN229" i="1"/>
  <c r="AQ229" i="1"/>
  <c r="DF229" i="1"/>
  <c r="CQ229" i="1"/>
  <c r="AE229" i="1"/>
  <c r="P229" i="1"/>
  <c r="O229" i="1"/>
  <c r="DC229" i="1"/>
  <c r="CK229" i="1"/>
  <c r="AN229" i="1"/>
  <c r="Y229" i="1"/>
  <c r="AK229" i="1"/>
  <c r="S216" i="1"/>
  <c r="AE216" i="1"/>
  <c r="AQ216" i="1"/>
  <c r="CC222" i="1"/>
  <c r="AP222" i="1" s="1"/>
  <c r="AQ223" i="1"/>
  <c r="CQ223" i="1"/>
  <c r="CZ226" i="1"/>
  <c r="CN226" i="1"/>
  <c r="AQ226" i="1"/>
  <c r="AE226" i="1"/>
  <c r="S226" i="1"/>
  <c r="AN226" i="1"/>
  <c r="AB226" i="1"/>
  <c r="P226" i="1"/>
  <c r="O226" i="1"/>
  <c r="AH226" i="1"/>
  <c r="CH226" i="1"/>
  <c r="O227" i="1"/>
  <c r="DC227" i="1"/>
  <c r="Y228" i="1"/>
  <c r="CN216" i="1"/>
  <c r="CT223" i="1"/>
  <c r="CK226" i="1"/>
  <c r="DC226" i="1"/>
  <c r="S229" i="1"/>
  <c r="AR242" i="1"/>
  <c r="AS242" i="1" s="1"/>
  <c r="BC242" i="1" s="1"/>
  <c r="DC237" i="1"/>
  <c r="CQ237" i="1"/>
  <c r="AH237" i="1"/>
  <c r="V237" i="1"/>
  <c r="AQ237" i="1"/>
  <c r="AE237" i="1"/>
  <c r="S237" i="1"/>
  <c r="AB237" i="1"/>
  <c r="CT237" i="1"/>
  <c r="DI237" i="1"/>
  <c r="Y237" i="1"/>
  <c r="CN237" i="1"/>
  <c r="DF237" i="1"/>
  <c r="CK237" i="1"/>
  <c r="AK237" i="1"/>
  <c r="P237" i="1"/>
  <c r="DA240" i="1"/>
  <c r="DB240" i="1" s="1"/>
  <c r="DR240" i="1" s="1"/>
  <c r="EN240" i="1"/>
  <c r="CZ230" i="1"/>
  <c r="CN230" i="1"/>
  <c r="AQ230" i="1"/>
  <c r="AE230" i="1"/>
  <c r="S230" i="1"/>
  <c r="AN230" i="1"/>
  <c r="AB230" i="1"/>
  <c r="P230" i="1"/>
  <c r="O230" i="1"/>
  <c r="CT230" i="1"/>
  <c r="CH260" i="1"/>
  <c r="CT260" i="1"/>
  <c r="AH260" i="1"/>
  <c r="V260" i="1"/>
  <c r="CQ260" i="1"/>
  <c r="AQ260" i="1"/>
  <c r="AE260" i="1"/>
  <c r="S260" i="1"/>
  <c r="AB260" i="1"/>
  <c r="DI260" i="1"/>
  <c r="DF260" i="1"/>
  <c r="CN260" i="1"/>
  <c r="AN260" i="1"/>
  <c r="Y260" i="1"/>
  <c r="DC260" i="1"/>
  <c r="CK260" i="1"/>
  <c r="CZ260" i="1"/>
  <c r="CW260" i="1"/>
  <c r="P260" i="1"/>
  <c r="O260" i="1"/>
  <c r="AK260" i="1"/>
  <c r="BG242" i="1"/>
  <c r="CH225" i="1"/>
  <c r="CT225" i="1"/>
  <c r="DF225" i="1"/>
  <c r="AE231" i="1"/>
  <c r="DC232" i="1"/>
  <c r="CQ232" i="1"/>
  <c r="AH232" i="1"/>
  <c r="V232" i="1"/>
  <c r="DI232" i="1"/>
  <c r="CW232" i="1"/>
  <c r="CK232" i="1"/>
  <c r="AN232" i="1"/>
  <c r="AB232" i="1"/>
  <c r="P232" i="1"/>
  <c r="AQ232" i="1"/>
  <c r="AK233" i="1"/>
  <c r="Y233" i="1"/>
  <c r="DC233" i="1"/>
  <c r="CQ233" i="1"/>
  <c r="AH233" i="1"/>
  <c r="V233" i="1"/>
  <c r="AQ233" i="1"/>
  <c r="AE233" i="1"/>
  <c r="S233" i="1"/>
  <c r="DI233" i="1"/>
  <c r="CW233" i="1"/>
  <c r="CK233" i="1"/>
  <c r="AN233" i="1"/>
  <c r="EW234" i="1"/>
  <c r="CD235" i="1"/>
  <c r="CC235" i="1"/>
  <c r="CH237" i="1"/>
  <c r="EQ243" i="1"/>
  <c r="DD243" i="1"/>
  <c r="DE243" i="1" s="1"/>
  <c r="DS243" i="1" s="1"/>
  <c r="CH224" i="1"/>
  <c r="CT224" i="1"/>
  <c r="O225" i="1"/>
  <c r="V230" i="1"/>
  <c r="DC230" i="1"/>
  <c r="O232" i="1"/>
  <c r="O233" i="1"/>
  <c r="DI243" i="1"/>
  <c r="CW243" i="1"/>
  <c r="CK243" i="1"/>
  <c r="AN243" i="1"/>
  <c r="AB243" i="1"/>
  <c r="P243" i="1"/>
  <c r="O243" i="1"/>
  <c r="AK243" i="1"/>
  <c r="Y243" i="1"/>
  <c r="AH243" i="1"/>
  <c r="CZ243" i="1"/>
  <c r="AE243" i="1"/>
  <c r="CT243" i="1"/>
  <c r="CQ243" i="1"/>
  <c r="V243" i="1"/>
  <c r="CN243" i="1"/>
  <c r="DF243" i="1"/>
  <c r="AR236" i="1"/>
  <c r="AS236" i="1" s="1"/>
  <c r="BC236" i="1" s="1"/>
  <c r="CE236" i="1"/>
  <c r="AN237" i="1"/>
  <c r="AL246" i="1"/>
  <c r="AM246" i="1" s="1"/>
  <c r="BA246" i="1" s="1"/>
  <c r="DG246" i="1"/>
  <c r="DH246" i="1" s="1"/>
  <c r="DT246" i="1" s="1"/>
  <c r="ET246" i="1"/>
  <c r="DC231" i="1"/>
  <c r="CQ231" i="1"/>
  <c r="AH231" i="1"/>
  <c r="V231" i="1"/>
  <c r="CZ231" i="1"/>
  <c r="CN231" i="1"/>
  <c r="DI231" i="1"/>
  <c r="CW231" i="1"/>
  <c r="CK231" i="1"/>
  <c r="AN231" i="1"/>
  <c r="AB231" i="1"/>
  <c r="P231" i="1"/>
  <c r="CH231" i="1"/>
  <c r="DF231" i="1"/>
  <c r="BR235" i="1"/>
  <c r="BQ235" i="1"/>
  <c r="CW237" i="1"/>
  <c r="Y230" i="1"/>
  <c r="CH230" i="1"/>
  <c r="DF230" i="1"/>
  <c r="O231" i="1"/>
  <c r="Y232" i="1"/>
  <c r="DF232" i="1"/>
  <c r="DF233" i="1"/>
  <c r="AK238" i="1"/>
  <c r="Y238" i="1"/>
  <c r="DC238" i="1"/>
  <c r="CQ238" i="1"/>
  <c r="CZ238" i="1"/>
  <c r="CN238" i="1"/>
  <c r="AB238" i="1"/>
  <c r="CW238" i="1"/>
  <c r="AQ238" i="1"/>
  <c r="V238" i="1"/>
  <c r="S238" i="1"/>
  <c r="DI238" i="1"/>
  <c r="AH238" i="1"/>
  <c r="CK238" i="1"/>
  <c r="P238" i="1"/>
  <c r="S225" i="1"/>
  <c r="AE225" i="1"/>
  <c r="CK230" i="1"/>
  <c r="DI230" i="1"/>
  <c r="DC236" i="1"/>
  <c r="CZ236" i="1"/>
  <c r="CK236" i="1"/>
  <c r="AH236" i="1"/>
  <c r="V236" i="1"/>
  <c r="CW236" i="1"/>
  <c r="DI236" i="1"/>
  <c r="CT236" i="1"/>
  <c r="AN236" i="1"/>
  <c r="AB236" i="1"/>
  <c r="P236" i="1"/>
  <c r="O236" i="1"/>
  <c r="CQ236" i="1"/>
  <c r="CZ237" i="1"/>
  <c r="O238" i="1"/>
  <c r="AQ243" i="1"/>
  <c r="EX252" i="1"/>
  <c r="EN245" i="1"/>
  <c r="DA245" i="1"/>
  <c r="DB245" i="1" s="1"/>
  <c r="DR245" i="1" s="1"/>
  <c r="O250" i="1"/>
  <c r="CN250" i="1"/>
  <c r="AN250" i="1"/>
  <c r="Y250" i="1"/>
  <c r="CZ250" i="1"/>
  <c r="AK250" i="1"/>
  <c r="CK250" i="1"/>
  <c r="V250" i="1"/>
  <c r="CW250" i="1"/>
  <c r="DI250" i="1"/>
  <c r="AE250" i="1"/>
  <c r="DF250" i="1"/>
  <c r="DC250" i="1"/>
  <c r="CT250" i="1"/>
  <c r="S250" i="1"/>
  <c r="S234" i="1"/>
  <c r="AE234" i="1"/>
  <c r="AQ234" i="1"/>
  <c r="P250" i="1"/>
  <c r="BP250" i="1"/>
  <c r="DI253" i="1"/>
  <c r="CW253" i="1"/>
  <c r="CK253" i="1"/>
  <c r="O253" i="1"/>
  <c r="AK253" i="1"/>
  <c r="Y253" i="1"/>
  <c r="CQ253" i="1"/>
  <c r="AQ253" i="1"/>
  <c r="AN253" i="1"/>
  <c r="V253" i="1"/>
  <c r="DF253" i="1"/>
  <c r="CN253" i="1"/>
  <c r="DC253" i="1"/>
  <c r="S253" i="1"/>
  <c r="AH253" i="1"/>
  <c r="P253" i="1"/>
  <c r="AE253" i="1"/>
  <c r="AB253" i="1"/>
  <c r="CN234" i="1"/>
  <c r="CZ234" i="1"/>
  <c r="EN241" i="1"/>
  <c r="BX261" i="1"/>
  <c r="BW261" i="1"/>
  <c r="CB247" i="1"/>
  <c r="AO247" i="1"/>
  <c r="AP247" i="1" s="1"/>
  <c r="BB247" i="1" s="1"/>
  <c r="CQ234" i="1"/>
  <c r="DC234" i="1"/>
  <c r="AH250" i="1"/>
  <c r="CH250" i="1"/>
  <c r="EE263" i="1"/>
  <c r="CR263" i="1"/>
  <c r="CS263" i="1" s="1"/>
  <c r="DO263" i="1" s="1"/>
  <c r="Y234" i="1"/>
  <c r="AK234" i="1"/>
  <c r="EE239" i="1"/>
  <c r="DA242" i="1"/>
  <c r="DB242" i="1" s="1"/>
  <c r="DR242" i="1" s="1"/>
  <c r="EW257" i="1"/>
  <c r="DJ257" i="1"/>
  <c r="DK257" i="1" s="1"/>
  <c r="DU257" i="1" s="1"/>
  <c r="CH234" i="1"/>
  <c r="CT234" i="1"/>
  <c r="AQ250" i="1"/>
  <c r="CQ250" i="1"/>
  <c r="CQ242" i="1"/>
  <c r="DC242" i="1"/>
  <c r="AQ245" i="1"/>
  <c r="AE245" i="1"/>
  <c r="CN245" i="1"/>
  <c r="CZ246" i="1"/>
  <c r="CN246" i="1"/>
  <c r="AN246" i="1"/>
  <c r="V240" i="1"/>
  <c r="AH240" i="1"/>
  <c r="CQ241" i="1"/>
  <c r="DC241" i="1"/>
  <c r="CH244" i="1"/>
  <c r="CT244" i="1"/>
  <c r="DF244" i="1"/>
  <c r="O245" i="1"/>
  <c r="AN245" i="1"/>
  <c r="O246" i="1"/>
  <c r="AB246" i="1"/>
  <c r="CQ246" i="1"/>
  <c r="AQ247" i="1"/>
  <c r="BT248" i="1"/>
  <c r="AG248" i="1" s="1"/>
  <c r="CH242" i="1"/>
  <c r="CT242" i="1"/>
  <c r="DF242" i="1"/>
  <c r="CZ247" i="1"/>
  <c r="CN247" i="1"/>
  <c r="DI247" i="1"/>
  <c r="CW247" i="1"/>
  <c r="CK247" i="1"/>
  <c r="Y240" i="1"/>
  <c r="AK240" i="1"/>
  <c r="CH241" i="1"/>
  <c r="CT241" i="1"/>
  <c r="DF241" i="1"/>
  <c r="O242" i="1"/>
  <c r="CK244" i="1"/>
  <c r="CW244" i="1"/>
  <c r="DI244" i="1"/>
  <c r="AE246" i="1"/>
  <c r="CT246" i="1"/>
  <c r="O247" i="1"/>
  <c r="AE247" i="1"/>
  <c r="CB255" i="1"/>
  <c r="AO255" i="1"/>
  <c r="AP255" i="1" s="1"/>
  <c r="BB255" i="1" s="1"/>
  <c r="CH240" i="1"/>
  <c r="CT240" i="1"/>
  <c r="DF240" i="1"/>
  <c r="O241" i="1"/>
  <c r="P242" i="1"/>
  <c r="AB242" i="1"/>
  <c r="AN242" i="1"/>
  <c r="S245" i="1"/>
  <c r="DF245" i="1"/>
  <c r="S246" i="1"/>
  <c r="DI246" i="1"/>
  <c r="P247" i="1"/>
  <c r="AH247" i="1"/>
  <c r="CT247" i="1"/>
  <c r="BH248" i="1"/>
  <c r="U248" i="1" s="1"/>
  <c r="CH239" i="1"/>
  <c r="CT239" i="1"/>
  <c r="P241" i="1"/>
  <c r="AB241" i="1"/>
  <c r="CK242" i="1"/>
  <c r="CW242" i="1"/>
  <c r="S244" i="1"/>
  <c r="AE244" i="1"/>
  <c r="CT245" i="1"/>
  <c r="AH246" i="1"/>
  <c r="CH246" i="1"/>
  <c r="AN251" i="1"/>
  <c r="AB251" i="1"/>
  <c r="P251" i="1"/>
  <c r="AK251" i="1"/>
  <c r="Y251" i="1"/>
  <c r="DC251" i="1"/>
  <c r="CQ251" i="1"/>
  <c r="BY258" i="1"/>
  <c r="AL258" i="1"/>
  <c r="AM258" i="1" s="1"/>
  <c r="BA258" i="1" s="1"/>
  <c r="DF249" i="1"/>
  <c r="CT249" i="1"/>
  <c r="CH249" i="1"/>
  <c r="DI249" i="1"/>
  <c r="O251" i="1"/>
  <c r="AE251" i="1"/>
  <c r="CT251" i="1"/>
  <c r="CQ257" i="1"/>
  <c r="AH257" i="1"/>
  <c r="V257" i="1"/>
  <c r="DC257" i="1"/>
  <c r="CN257" i="1"/>
  <c r="AQ257" i="1"/>
  <c r="AE257" i="1"/>
  <c r="S257" i="1"/>
  <c r="CW257" i="1"/>
  <c r="O257" i="1"/>
  <c r="CT257" i="1"/>
  <c r="AK257" i="1"/>
  <c r="Y257" i="1"/>
  <c r="DF257" i="1"/>
  <c r="AN257" i="1"/>
  <c r="P249" i="1"/>
  <c r="AB249" i="1"/>
  <c r="AN249" i="1"/>
  <c r="CK249" i="1"/>
  <c r="CW251" i="1"/>
  <c r="AH255" i="1"/>
  <c r="EW256" i="1"/>
  <c r="DJ256" i="1"/>
  <c r="DK256" i="1" s="1"/>
  <c r="DU256" i="1" s="1"/>
  <c r="P257" i="1"/>
  <c r="BN248" i="1"/>
  <c r="AA248" i="1" s="1"/>
  <c r="BZ248" i="1"/>
  <c r="AM248" i="1" s="1"/>
  <c r="S251" i="1"/>
  <c r="AH251" i="1"/>
  <c r="CZ255" i="1"/>
  <c r="CN255" i="1"/>
  <c r="AQ255" i="1"/>
  <c r="AE255" i="1"/>
  <c r="S255" i="1"/>
  <c r="DI255" i="1"/>
  <c r="CW255" i="1"/>
  <c r="CK255" i="1"/>
  <c r="O255" i="1"/>
  <c r="AK255" i="1"/>
  <c r="Y255" i="1"/>
  <c r="CZ257" i="1"/>
  <c r="CZ249" i="1"/>
  <c r="P255" i="1"/>
  <c r="CT255" i="1"/>
  <c r="AH259" i="1"/>
  <c r="V259" i="1"/>
  <c r="AB259" i="1"/>
  <c r="AQ259" i="1"/>
  <c r="CH259" i="1"/>
  <c r="CH256" i="1"/>
  <c r="CT256" i="1"/>
  <c r="DF256" i="1"/>
  <c r="P259" i="1"/>
  <c r="AE259" i="1"/>
  <c r="EB259" i="1"/>
  <c r="BL261" i="1"/>
  <c r="BK261" i="1"/>
  <c r="AH263" i="1"/>
  <c r="CH254" i="1"/>
  <c r="CT254" i="1"/>
  <c r="DF254" i="1"/>
  <c r="P256" i="1"/>
  <c r="AB256" i="1"/>
  <c r="AN256" i="1"/>
  <c r="Y258" i="1"/>
  <c r="S259" i="1"/>
  <c r="DI264" i="1"/>
  <c r="CW264" i="1"/>
  <c r="CK264" i="1"/>
  <c r="AN264" i="1"/>
  <c r="AB264" i="1"/>
  <c r="P264" i="1"/>
  <c r="AH264" i="1"/>
  <c r="V264" i="1"/>
  <c r="CZ264" i="1"/>
  <c r="AE264" i="1"/>
  <c r="CT264" i="1"/>
  <c r="Y264" i="1"/>
  <c r="AQ264" i="1"/>
  <c r="DF264" i="1"/>
  <c r="S264" i="1"/>
  <c r="CH264" i="1"/>
  <c r="DI263" i="1"/>
  <c r="CW263" i="1"/>
  <c r="CK263" i="1"/>
  <c r="AN263" i="1"/>
  <c r="AB263" i="1"/>
  <c r="P263" i="1"/>
  <c r="O263" i="1"/>
  <c r="AQ263" i="1"/>
  <c r="Y263" i="1"/>
  <c r="CZ263" i="1"/>
  <c r="CH263" i="1"/>
  <c r="AK263" i="1"/>
  <c r="V263" i="1"/>
  <c r="CH252" i="1"/>
  <c r="CT252" i="1"/>
  <c r="DF252" i="1"/>
  <c r="P254" i="1"/>
  <c r="AB254" i="1"/>
  <c r="AN254" i="1"/>
  <c r="DI258" i="1"/>
  <c r="CW258" i="1"/>
  <c r="CK258" i="1"/>
  <c r="AN258" i="1"/>
  <c r="DC258" i="1"/>
  <c r="CF261" i="1"/>
  <c r="AS261" i="1" s="1"/>
  <c r="CN264" i="1"/>
  <c r="Z265" i="1"/>
  <c r="AA265" i="1" s="1"/>
  <c r="AW265" i="1" s="1"/>
  <c r="BM265" i="1"/>
  <c r="S263" i="1"/>
  <c r="CT263" i="1"/>
  <c r="BQ268" i="1"/>
  <c r="CN256" i="1"/>
  <c r="AQ258" i="1"/>
  <c r="CQ258" i="1"/>
  <c r="DF259" i="1"/>
  <c r="BT261" i="1"/>
  <c r="AG261" i="1" s="1"/>
  <c r="DC263" i="1"/>
  <c r="CQ264" i="1"/>
  <c r="CK252" i="1"/>
  <c r="CW252" i="1"/>
  <c r="S254" i="1"/>
  <c r="AE254" i="1"/>
  <c r="AE258" i="1"/>
  <c r="DF258" i="1"/>
  <c r="Y259" i="1"/>
  <c r="AN262" i="1"/>
  <c r="AB262" i="1"/>
  <c r="P262" i="1"/>
  <c r="O262" i="1"/>
  <c r="V262" i="1"/>
  <c r="DC262" i="1"/>
  <c r="CN262" i="1"/>
  <c r="AH262" i="1"/>
  <c r="S262" i="1"/>
  <c r="CZ262" i="1"/>
  <c r="CK262" i="1"/>
  <c r="CX266" i="1"/>
  <c r="CY266" i="1" s="1"/>
  <c r="DQ266" i="1" s="1"/>
  <c r="EK266" i="1"/>
  <c r="DC267" i="1"/>
  <c r="CQ267" i="1"/>
  <c r="AQ267" i="1"/>
  <c r="AE267" i="1"/>
  <c r="S267" i="1"/>
  <c r="CT267" i="1"/>
  <c r="DI267" i="1"/>
  <c r="Y267" i="1"/>
  <c r="AN267" i="1"/>
  <c r="V267" i="1"/>
  <c r="CN267" i="1"/>
  <c r="DF267" i="1"/>
  <c r="AH267" i="1"/>
  <c r="P267" i="1"/>
  <c r="CZ267" i="1"/>
  <c r="O267" i="1"/>
  <c r="EB272" i="1"/>
  <c r="CO272" i="1"/>
  <c r="CP272" i="1" s="1"/>
  <c r="DN272" i="1" s="1"/>
  <c r="DW276" i="1"/>
  <c r="EP281" i="1"/>
  <c r="EO281" i="1"/>
  <c r="EB286" i="1"/>
  <c r="CO286" i="1"/>
  <c r="CP286" i="1" s="1"/>
  <c r="DN286" i="1" s="1"/>
  <c r="EN290" i="1"/>
  <c r="DA290" i="1"/>
  <c r="DB290" i="1" s="1"/>
  <c r="DR290" i="1" s="1"/>
  <c r="EH270" i="1"/>
  <c r="CU270" i="1"/>
  <c r="CV270" i="1" s="1"/>
  <c r="DP270" i="1" s="1"/>
  <c r="CH267" i="1"/>
  <c r="DV275" i="1"/>
  <c r="DV279" i="1"/>
  <c r="CI279" i="1"/>
  <c r="CJ279" i="1" s="1"/>
  <c r="DL279" i="1" s="1"/>
  <c r="CI265" i="1"/>
  <c r="CJ265" i="1" s="1"/>
  <c r="DL265" i="1" s="1"/>
  <c r="DV265" i="1"/>
  <c r="AK267" i="1"/>
  <c r="CK267" i="1"/>
  <c r="DI270" i="1"/>
  <c r="CW270" i="1"/>
  <c r="CK270" i="1"/>
  <c r="AN270" i="1"/>
  <c r="AB270" i="1"/>
  <c r="P270" i="1"/>
  <c r="V270" i="1"/>
  <c r="DC270" i="1"/>
  <c r="CN270" i="1"/>
  <c r="AH270" i="1"/>
  <c r="S270" i="1"/>
  <c r="AE270" i="1"/>
  <c r="O270" i="1"/>
  <c r="DF270" i="1"/>
  <c r="AK270" i="1"/>
  <c r="CZ270" i="1"/>
  <c r="CQ270" i="1"/>
  <c r="AQ270" i="1"/>
  <c r="BN261" i="1"/>
  <c r="AA261" i="1" s="1"/>
  <c r="Z270" i="1"/>
  <c r="AA270" i="1" s="1"/>
  <c r="AW270" i="1" s="1"/>
  <c r="ES272" i="1"/>
  <c r="ER272" i="1"/>
  <c r="DJ265" i="1"/>
  <c r="DK265" i="1" s="1"/>
  <c r="DU265" i="1" s="1"/>
  <c r="CW267" i="1"/>
  <c r="DD272" i="1"/>
  <c r="DE272" i="1" s="1"/>
  <c r="DS272" i="1" s="1"/>
  <c r="EH275" i="1"/>
  <c r="CU275" i="1"/>
  <c r="CV275" i="1" s="1"/>
  <c r="DP275" i="1" s="1"/>
  <c r="CO265" i="1"/>
  <c r="CP265" i="1" s="1"/>
  <c r="DN265" i="1" s="1"/>
  <c r="EB265" i="1"/>
  <c r="AK268" i="1"/>
  <c r="Y268" i="1"/>
  <c r="DC268" i="1"/>
  <c r="CQ268" i="1"/>
  <c r="AH268" i="1"/>
  <c r="V268" i="1"/>
  <c r="CZ268" i="1"/>
  <c r="CN268" i="1"/>
  <c r="AQ268" i="1"/>
  <c r="CT268" i="1"/>
  <c r="AN268" i="1"/>
  <c r="DI268" i="1"/>
  <c r="S268" i="1"/>
  <c r="DF268" i="1"/>
  <c r="P268" i="1"/>
  <c r="AE268" i="1"/>
  <c r="O268" i="1"/>
  <c r="CH268" i="1"/>
  <c r="DV272" i="1"/>
  <c r="CI272" i="1"/>
  <c r="CJ272" i="1" s="1"/>
  <c r="DL272" i="1" s="1"/>
  <c r="EJ273" i="1"/>
  <c r="EI273" i="1"/>
  <c r="CX304" i="1"/>
  <c r="CY304" i="1" s="1"/>
  <c r="DQ304" i="1" s="1"/>
  <c r="EK304" i="1"/>
  <c r="AK265" i="1"/>
  <c r="CQ265" i="1"/>
  <c r="CH266" i="1"/>
  <c r="CU273" i="1"/>
  <c r="CV273" i="1" s="1"/>
  <c r="DP273" i="1" s="1"/>
  <c r="DZ278" i="1"/>
  <c r="EI284" i="1"/>
  <c r="EM303" i="1"/>
  <c r="EL303" i="1"/>
  <c r="Y266" i="1"/>
  <c r="EN282" i="1"/>
  <c r="DA282" i="1"/>
  <c r="DB282" i="1" s="1"/>
  <c r="DR282" i="1" s="1"/>
  <c r="AN265" i="1"/>
  <c r="CT265" i="1"/>
  <c r="BV271" i="1"/>
  <c r="AI271" i="1"/>
  <c r="AJ271" i="1" s="1"/>
  <c r="AZ271" i="1" s="1"/>
  <c r="ET276" i="1"/>
  <c r="DG276" i="1"/>
  <c r="DH276" i="1" s="1"/>
  <c r="DT276" i="1" s="1"/>
  <c r="CX277" i="1"/>
  <c r="CY277" i="1" s="1"/>
  <c r="DQ277" i="1" s="1"/>
  <c r="EK277" i="1"/>
  <c r="EA287" i="1"/>
  <c r="DZ287" i="1"/>
  <c r="DC266" i="1"/>
  <c r="CQ266" i="1"/>
  <c r="AH266" i="1"/>
  <c r="V266" i="1"/>
  <c r="CZ266" i="1"/>
  <c r="CN266" i="1"/>
  <c r="AB266" i="1"/>
  <c r="AQ266" i="1"/>
  <c r="DF266" i="1"/>
  <c r="EN277" i="1"/>
  <c r="DA277" i="1"/>
  <c r="DB277" i="1" s="1"/>
  <c r="DR277" i="1" s="1"/>
  <c r="EG278" i="1"/>
  <c r="EF278" i="1"/>
  <c r="EK280" i="1"/>
  <c r="CX280" i="1"/>
  <c r="CY280" i="1" s="1"/>
  <c r="DQ280" i="1" s="1"/>
  <c r="O266" i="1"/>
  <c r="ER273" i="1"/>
  <c r="ES273" i="1"/>
  <c r="EQ277" i="1"/>
  <c r="DD277" i="1"/>
  <c r="DE277" i="1" s="1"/>
  <c r="DS277" i="1" s="1"/>
  <c r="EI283" i="1"/>
  <c r="EJ283" i="1"/>
  <c r="EA292" i="1"/>
  <c r="DZ292" i="1"/>
  <c r="DZ294" i="1"/>
  <c r="EA294" i="1"/>
  <c r="AQ265" i="1"/>
  <c r="CW265" i="1"/>
  <c r="P266" i="1"/>
  <c r="CO269" i="1"/>
  <c r="CP269" i="1" s="1"/>
  <c r="DN269" i="1" s="1"/>
  <c r="EB269" i="1"/>
  <c r="EQ271" i="1"/>
  <c r="DD271" i="1"/>
  <c r="DE271" i="1" s="1"/>
  <c r="DS271" i="1" s="1"/>
  <c r="EE276" i="1"/>
  <c r="CR276" i="1"/>
  <c r="CS276" i="1" s="1"/>
  <c r="DO276" i="1" s="1"/>
  <c r="ES280" i="1"/>
  <c r="DV282" i="1"/>
  <c r="CI282" i="1"/>
  <c r="CJ282" i="1" s="1"/>
  <c r="DL282" i="1" s="1"/>
  <c r="EM283" i="1"/>
  <c r="EL283" i="1"/>
  <c r="AE266" i="1"/>
  <c r="DI266" i="1"/>
  <c r="DI271" i="1"/>
  <c r="CW271" i="1"/>
  <c r="CK271" i="1"/>
  <c r="DF271" i="1"/>
  <c r="CT271" i="1"/>
  <c r="CH271" i="1"/>
  <c r="CZ271" i="1"/>
  <c r="AK271" i="1"/>
  <c r="V271" i="1"/>
  <c r="P271" i="1"/>
  <c r="AB271" i="1"/>
  <c r="CL273" i="1"/>
  <c r="CM273" i="1" s="1"/>
  <c r="DM273" i="1" s="1"/>
  <c r="DY273" i="1"/>
  <c r="EK273" i="1"/>
  <c r="DZ286" i="1"/>
  <c r="EA286" i="1"/>
  <c r="CO294" i="1"/>
  <c r="CP294" i="1" s="1"/>
  <c r="DN294" i="1" s="1"/>
  <c r="EB294" i="1"/>
  <c r="S265" i="1"/>
  <c r="AE265" i="1"/>
  <c r="CK265" i="1"/>
  <c r="CT266" i="1"/>
  <c r="EH276" i="1"/>
  <c r="CU276" i="1"/>
  <c r="CV276" i="1" s="1"/>
  <c r="DP276" i="1" s="1"/>
  <c r="CL286" i="1"/>
  <c r="CM286" i="1" s="1"/>
  <c r="DM286" i="1" s="1"/>
  <c r="DX273" i="1"/>
  <c r="DW273" i="1"/>
  <c r="EJ278" i="1"/>
  <c r="EI278" i="1"/>
  <c r="DY279" i="1"/>
  <c r="CL279" i="1"/>
  <c r="CM279" i="1" s="1"/>
  <c r="DM279" i="1" s="1"/>
  <c r="EJ280" i="1"/>
  <c r="EI280" i="1"/>
  <c r="EY284" i="1"/>
  <c r="EX284" i="1"/>
  <c r="ED303" i="1"/>
  <c r="EC303" i="1"/>
  <c r="EU283" i="1"/>
  <c r="EV283" i="1"/>
  <c r="EM297" i="1"/>
  <c r="EL297" i="1"/>
  <c r="AK269" i="1"/>
  <c r="DV277" i="1"/>
  <c r="CI277" i="1"/>
  <c r="CJ277" i="1" s="1"/>
  <c r="DL277" i="1" s="1"/>
  <c r="DY282" i="1"/>
  <c r="CL282" i="1"/>
  <c r="CM282" i="1" s="1"/>
  <c r="DM282" i="1" s="1"/>
  <c r="EN285" i="1"/>
  <c r="DA285" i="1"/>
  <c r="DB285" i="1" s="1"/>
  <c r="DR285" i="1" s="1"/>
  <c r="ES296" i="1"/>
  <c r="ER296" i="1"/>
  <c r="EM302" i="1"/>
  <c r="EL302" i="1"/>
  <c r="ET272" i="1"/>
  <c r="DG272" i="1"/>
  <c r="DH272" i="1" s="1"/>
  <c r="DT272" i="1" s="1"/>
  <c r="CL277" i="1"/>
  <c r="CM277" i="1" s="1"/>
  <c r="DM277" i="1" s="1"/>
  <c r="DY277" i="1"/>
  <c r="EV281" i="1"/>
  <c r="EU281" i="1"/>
  <c r="EL286" i="1"/>
  <c r="EM286" i="1"/>
  <c r="CR272" i="1"/>
  <c r="CS272" i="1" s="1"/>
  <c r="DO272" i="1" s="1"/>
  <c r="EF281" i="1"/>
  <c r="ED287" i="1"/>
  <c r="EC287" i="1"/>
  <c r="EA300" i="1"/>
  <c r="DZ300" i="1"/>
  <c r="AN269" i="1"/>
  <c r="AB269" i="1"/>
  <c r="P269" i="1"/>
  <c r="EV273" i="1"/>
  <c r="EU273" i="1"/>
  <c r="EK279" i="1"/>
  <c r="CX279" i="1"/>
  <c r="CY279" i="1" s="1"/>
  <c r="DQ279" i="1" s="1"/>
  <c r="CO287" i="1"/>
  <c r="CP287" i="1" s="1"/>
  <c r="DN287" i="1" s="1"/>
  <c r="EJ289" i="1"/>
  <c r="EI289" i="1"/>
  <c r="EQ292" i="1"/>
  <c r="DD292" i="1"/>
  <c r="DE292" i="1" s="1"/>
  <c r="DS292" i="1" s="1"/>
  <c r="ET295" i="1"/>
  <c r="DG295" i="1"/>
  <c r="DH295" i="1" s="1"/>
  <c r="DT295" i="1" s="1"/>
  <c r="CL300" i="1"/>
  <c r="CM300" i="1" s="1"/>
  <c r="DM300" i="1" s="1"/>
  <c r="EB301" i="1"/>
  <c r="CO301" i="1"/>
  <c r="CP301" i="1" s="1"/>
  <c r="DN301" i="1" s="1"/>
  <c r="O269" i="1"/>
  <c r="DC269" i="1"/>
  <c r="EH272" i="1"/>
  <c r="CU272" i="1"/>
  <c r="CV272" i="1" s="1"/>
  <c r="DP272" i="1" s="1"/>
  <c r="DG273" i="1"/>
  <c r="DH273" i="1" s="1"/>
  <c r="DT273" i="1" s="1"/>
  <c r="CU289" i="1"/>
  <c r="CV289" i="1" s="1"/>
  <c r="DP289" i="1" s="1"/>
  <c r="EC295" i="1"/>
  <c r="ED295" i="1"/>
  <c r="AQ269" i="1"/>
  <c r="CQ269" i="1"/>
  <c r="DX278" i="1"/>
  <c r="DW278" i="1"/>
  <c r="CL280" i="1"/>
  <c r="CM280" i="1" s="1"/>
  <c r="DM280" i="1" s="1"/>
  <c r="EK282" i="1"/>
  <c r="CX282" i="1"/>
  <c r="CY282" i="1" s="1"/>
  <c r="DQ282" i="1" s="1"/>
  <c r="EB283" i="1"/>
  <c r="CO283" i="1"/>
  <c r="CP283" i="1" s="1"/>
  <c r="DN283" i="1" s="1"/>
  <c r="DY285" i="1"/>
  <c r="CL285" i="1"/>
  <c r="CM285" i="1" s="1"/>
  <c r="DM285" i="1" s="1"/>
  <c r="DD286" i="1"/>
  <c r="DE286" i="1" s="1"/>
  <c r="DS286" i="1" s="1"/>
  <c r="ES286" i="1"/>
  <c r="EX294" i="1"/>
  <c r="EY294" i="1"/>
  <c r="CO295" i="1"/>
  <c r="CP295" i="1" s="1"/>
  <c r="DN295" i="1" s="1"/>
  <c r="EM289" i="1"/>
  <c r="EL289" i="1"/>
  <c r="CL290" i="1"/>
  <c r="CM290" i="1" s="1"/>
  <c r="DM290" i="1" s="1"/>
  <c r="DY290" i="1"/>
  <c r="EY292" i="1"/>
  <c r="EE294" i="1"/>
  <c r="CR294" i="1"/>
  <c r="CS294" i="1" s="1"/>
  <c r="DO294" i="1" s="1"/>
  <c r="EG295" i="1"/>
  <c r="EF295" i="1"/>
  <c r="EO297" i="1"/>
  <c r="EP297" i="1"/>
  <c r="ED300" i="1"/>
  <c r="EC300" i="1"/>
  <c r="EQ285" i="1"/>
  <c r="DD285" i="1"/>
  <c r="DE285" i="1" s="1"/>
  <c r="DS285" i="1" s="1"/>
  <c r="EM288" i="1"/>
  <c r="EL288" i="1"/>
  <c r="CX289" i="1"/>
  <c r="CY289" i="1" s="1"/>
  <c r="DQ289" i="1" s="1"/>
  <c r="CL292" i="1"/>
  <c r="CM292" i="1" s="1"/>
  <c r="DM292" i="1" s="1"/>
  <c r="DZ296" i="1"/>
  <c r="EX296" i="1"/>
  <c r="ER297" i="1"/>
  <c r="EJ299" i="1"/>
  <c r="EI299" i="1"/>
  <c r="EW283" i="1"/>
  <c r="EA288" i="1"/>
  <c r="DZ288" i="1"/>
  <c r="CX288" i="1"/>
  <c r="CY288" i="1" s="1"/>
  <c r="DQ288" i="1" s="1"/>
  <c r="EN289" i="1"/>
  <c r="DA289" i="1"/>
  <c r="DB289" i="1" s="1"/>
  <c r="DR289" i="1" s="1"/>
  <c r="ED290" i="1"/>
  <c r="EC290" i="1"/>
  <c r="EH295" i="1"/>
  <c r="CU295" i="1"/>
  <c r="CV295" i="1" s="1"/>
  <c r="DP295" i="1" s="1"/>
  <c r="EK298" i="1"/>
  <c r="CX298" i="1"/>
  <c r="CY298" i="1" s="1"/>
  <c r="DQ298" i="1" s="1"/>
  <c r="ET280" i="1"/>
  <c r="EB285" i="1"/>
  <c r="CO285" i="1"/>
  <c r="CP285" i="1" s="1"/>
  <c r="DN285" i="1" s="1"/>
  <c r="CR286" i="1"/>
  <c r="CS286" i="1" s="1"/>
  <c r="DO286" i="1" s="1"/>
  <c r="EG286" i="1"/>
  <c r="EY286" i="1"/>
  <c r="EG287" i="1"/>
  <c r="EF287" i="1"/>
  <c r="CL288" i="1"/>
  <c r="CM288" i="1" s="1"/>
  <c r="DM288" i="1" s="1"/>
  <c r="CO290" i="1"/>
  <c r="CP290" i="1" s="1"/>
  <c r="DN290" i="1" s="1"/>
  <c r="EM290" i="1"/>
  <c r="EL290" i="1"/>
  <c r="ED291" i="1"/>
  <c r="EC291" i="1"/>
  <c r="EV293" i="1"/>
  <c r="EU293" i="1"/>
  <c r="ET279" i="1"/>
  <c r="DG279" i="1"/>
  <c r="DH279" i="1" s="1"/>
  <c r="DT279" i="1" s="1"/>
  <c r="EY280" i="1"/>
  <c r="DW281" i="1"/>
  <c r="EB282" i="1"/>
  <c r="CO282" i="1"/>
  <c r="CP282" i="1" s="1"/>
  <c r="DN282" i="1" s="1"/>
  <c r="DG282" i="1"/>
  <c r="DH282" i="1" s="1"/>
  <c r="DT282" i="1" s="1"/>
  <c r="EU282" i="1"/>
  <c r="CU283" i="1"/>
  <c r="CV283" i="1" s="1"/>
  <c r="DP283" i="1" s="1"/>
  <c r="EP288" i="1"/>
  <c r="EO288" i="1"/>
  <c r="EC288" i="1"/>
  <c r="CO291" i="1"/>
  <c r="CP291" i="1" s="1"/>
  <c r="DN291" i="1" s="1"/>
  <c r="EU303" i="1"/>
  <c r="EV303" i="1"/>
  <c r="EV278" i="1"/>
  <c r="EU278" i="1"/>
  <c r="EE285" i="1"/>
  <c r="CR285" i="1"/>
  <c r="CS285" i="1" s="1"/>
  <c r="DO285" i="1" s="1"/>
  <c r="EM287" i="1"/>
  <c r="EL287" i="1"/>
  <c r="DJ291" i="1"/>
  <c r="DK291" i="1" s="1"/>
  <c r="DU291" i="1" s="1"/>
  <c r="EW291" i="1"/>
  <c r="EC278" i="1"/>
  <c r="EW279" i="1"/>
  <c r="DJ279" i="1"/>
  <c r="DK279" i="1" s="1"/>
  <c r="DU279" i="1" s="1"/>
  <c r="DJ280" i="1"/>
  <c r="DK280" i="1" s="1"/>
  <c r="DU280" i="1" s="1"/>
  <c r="ER281" i="1"/>
  <c r="EW282" i="1"/>
  <c r="DJ282" i="1"/>
  <c r="DK282" i="1" s="1"/>
  <c r="DU282" i="1" s="1"/>
  <c r="DJ284" i="1"/>
  <c r="DK284" i="1" s="1"/>
  <c r="DU284" i="1" s="1"/>
  <c r="EU284" i="1"/>
  <c r="CX286" i="1"/>
  <c r="CY286" i="1" s="1"/>
  <c r="DQ286" i="1" s="1"/>
  <c r="CO276" i="1"/>
  <c r="CP276" i="1" s="1"/>
  <c r="DN276" i="1" s="1"/>
  <c r="EH279" i="1"/>
  <c r="CU279" i="1"/>
  <c r="CV279" i="1" s="1"/>
  <c r="DP279" i="1" s="1"/>
  <c r="EG280" i="1"/>
  <c r="EF282" i="1"/>
  <c r="CX283" i="1"/>
  <c r="CY283" i="1" s="1"/>
  <c r="DQ283" i="1" s="1"/>
  <c r="EF284" i="1"/>
  <c r="EF288" i="1"/>
  <c r="EV289" i="1"/>
  <c r="EU289" i="1"/>
  <c r="EP292" i="1"/>
  <c r="EO292" i="1"/>
  <c r="EW299" i="1"/>
  <c r="DJ299" i="1"/>
  <c r="DK299" i="1" s="1"/>
  <c r="DU299" i="1" s="1"/>
  <c r="DG300" i="1"/>
  <c r="DH300" i="1" s="1"/>
  <c r="DT300" i="1" s="1"/>
  <c r="ET300" i="1"/>
  <c r="EE304" i="1"/>
  <c r="CR304" i="1"/>
  <c r="CS304" i="1" s="1"/>
  <c r="DO304" i="1" s="1"/>
  <c r="DG277" i="1"/>
  <c r="DH277" i="1" s="1"/>
  <c r="DT277" i="1" s="1"/>
  <c r="CU280" i="1"/>
  <c r="CV280" i="1" s="1"/>
  <c r="DP280" i="1" s="1"/>
  <c r="CU282" i="1"/>
  <c r="CV282" i="1" s="1"/>
  <c r="DP282" i="1" s="1"/>
  <c r="DX294" i="1"/>
  <c r="DW294" i="1"/>
  <c r="EV294" i="1"/>
  <c r="EU294" i="1"/>
  <c r="EO295" i="1"/>
  <c r="EJ297" i="1"/>
  <c r="EI297" i="1"/>
  <c r="EY300" i="1"/>
  <c r="EX300" i="1"/>
  <c r="CL303" i="1"/>
  <c r="CM303" i="1" s="1"/>
  <c r="DM303" i="1" s="1"/>
  <c r="DY303" i="1"/>
  <c r="EP302" i="1"/>
  <c r="EO302" i="1"/>
  <c r="EP304" i="1"/>
  <c r="EO304" i="1"/>
  <c r="EK291" i="1"/>
  <c r="ED292" i="1"/>
  <c r="EC292" i="1"/>
  <c r="EV296" i="1"/>
  <c r="EU296" i="1"/>
  <c r="DX297" i="1"/>
  <c r="DW297" i="1"/>
  <c r="DX298" i="1"/>
  <c r="DW298" i="1"/>
  <c r="EM299" i="1"/>
  <c r="EL299" i="1"/>
  <c r="EO299" i="1"/>
  <c r="DA302" i="1"/>
  <c r="DB302" i="1" s="1"/>
  <c r="DR302" i="1" s="1"/>
  <c r="ER302" i="1"/>
  <c r="ED302" i="1"/>
  <c r="EC302" i="1"/>
  <c r="EA289" i="1"/>
  <c r="DZ289" i="1"/>
  <c r="EJ296" i="1"/>
  <c r="EI296" i="1"/>
  <c r="EV297" i="1"/>
  <c r="EU297" i="1"/>
  <c r="EV298" i="1"/>
  <c r="EU298" i="1"/>
  <c r="EA299" i="1"/>
  <c r="DZ299" i="1"/>
  <c r="EM300" i="1"/>
  <c r="EL300" i="1"/>
  <c r="EQ304" i="1"/>
  <c r="DD304" i="1"/>
  <c r="DE304" i="1" s="1"/>
  <c r="DS304" i="1" s="1"/>
  <c r="CL289" i="1"/>
  <c r="CM289" i="1" s="1"/>
  <c r="DM289" i="1" s="1"/>
  <c r="EP291" i="1"/>
  <c r="EO291" i="1"/>
  <c r="EE292" i="1"/>
  <c r="CR292" i="1"/>
  <c r="CS292" i="1" s="1"/>
  <c r="DO292" i="1" s="1"/>
  <c r="ES293" i="1"/>
  <c r="ER293" i="1"/>
  <c r="CU296" i="1"/>
  <c r="CV296" i="1" s="1"/>
  <c r="DP296" i="1" s="1"/>
  <c r="DG297" i="1"/>
  <c r="DH297" i="1" s="1"/>
  <c r="DT297" i="1" s="1"/>
  <c r="DY298" i="1"/>
  <c r="CL298" i="1"/>
  <c r="CM298" i="1" s="1"/>
  <c r="DM298" i="1" s="1"/>
  <c r="CL299" i="1"/>
  <c r="CM299" i="1" s="1"/>
  <c r="DM299" i="1" s="1"/>
  <c r="CX300" i="1"/>
  <c r="CY300" i="1" s="1"/>
  <c r="DQ300" i="1" s="1"/>
  <c r="DW301" i="1"/>
  <c r="DX296" i="1"/>
  <c r="DW296" i="1"/>
  <c r="EV299" i="1"/>
  <c r="EU299" i="1"/>
  <c r="EN301" i="1"/>
  <c r="DA301" i="1"/>
  <c r="DB301" i="1" s="1"/>
  <c r="DR301" i="1" s="1"/>
  <c r="EP303" i="1"/>
  <c r="EO303" i="1"/>
  <c r="EW304" i="1"/>
  <c r="DJ304" i="1"/>
  <c r="DK304" i="1" s="1"/>
  <c r="DU304" i="1" s="1"/>
  <c r="EL281" i="1"/>
  <c r="EX281" i="1"/>
  <c r="EC284" i="1"/>
  <c r="EJ287" i="1"/>
  <c r="EB289" i="1"/>
  <c r="CO289" i="1"/>
  <c r="CP289" i="1" s="1"/>
  <c r="DN289" i="1" s="1"/>
  <c r="EG293" i="1"/>
  <c r="EF293" i="1"/>
  <c r="CI296" i="1"/>
  <c r="CJ296" i="1" s="1"/>
  <c r="DL296" i="1" s="1"/>
  <c r="EW298" i="1"/>
  <c r="DJ298" i="1"/>
  <c r="DK298" i="1" s="1"/>
  <c r="DU298" i="1" s="1"/>
  <c r="DA303" i="1"/>
  <c r="DB303" i="1" s="1"/>
  <c r="DR303" i="1" s="1"/>
  <c r="ED304" i="1"/>
  <c r="EC304" i="1"/>
  <c r="DY291" i="1"/>
  <c r="CR293" i="1"/>
  <c r="CS293" i="1" s="1"/>
  <c r="DO293" i="1" s="1"/>
  <c r="ES294" i="1"/>
  <c r="ER294" i="1"/>
  <c r="DV295" i="1"/>
  <c r="CI295" i="1"/>
  <c r="CJ295" i="1" s="1"/>
  <c r="DL295" i="1" s="1"/>
  <c r="EF303" i="1"/>
  <c r="DA288" i="1"/>
  <c r="DB288" i="1" s="1"/>
  <c r="DR288" i="1" s="1"/>
  <c r="CR291" i="1"/>
  <c r="CS291" i="1" s="1"/>
  <c r="DO291" i="1" s="1"/>
  <c r="DD291" i="1"/>
  <c r="DE291" i="1" s="1"/>
  <c r="DS291" i="1" s="1"/>
  <c r="CI294" i="1"/>
  <c r="CJ294" i="1" s="1"/>
  <c r="DL294" i="1" s="1"/>
  <c r="CU294" i="1"/>
  <c r="CV294" i="1" s="1"/>
  <c r="DP294" i="1" s="1"/>
  <c r="DG294" i="1"/>
  <c r="DH294" i="1" s="1"/>
  <c r="DT294" i="1" s="1"/>
  <c r="CL297" i="1"/>
  <c r="CM297" i="1" s="1"/>
  <c r="DM297" i="1" s="1"/>
  <c r="CX297" i="1"/>
  <c r="CY297" i="1" s="1"/>
  <c r="DQ297" i="1" s="1"/>
  <c r="DJ297" i="1"/>
  <c r="DK297" i="1" s="1"/>
  <c r="DU297" i="1" s="1"/>
  <c r="CO300" i="1"/>
  <c r="CP300" i="1" s="1"/>
  <c r="DN300" i="1" s="1"/>
  <c r="DA300" i="1"/>
  <c r="DB300" i="1" s="1"/>
  <c r="DR300" i="1" s="1"/>
  <c r="DZ301" i="1"/>
  <c r="EX301" i="1"/>
  <c r="CR303" i="1"/>
  <c r="CS303" i="1" s="1"/>
  <c r="DO303" i="1" s="1"/>
  <c r="DD303" i="1"/>
  <c r="DE303" i="1" s="1"/>
  <c r="DS303" i="1" s="1"/>
  <c r="CL294" i="1"/>
  <c r="CM294" i="1" s="1"/>
  <c r="DM294" i="1" s="1"/>
  <c r="CX294" i="1"/>
  <c r="CY294" i="1" s="1"/>
  <c r="DQ294" i="1" s="1"/>
  <c r="DJ294" i="1"/>
  <c r="DK294" i="1" s="1"/>
  <c r="DU294" i="1" s="1"/>
  <c r="CO297" i="1"/>
  <c r="CP297" i="1" s="1"/>
  <c r="DN297" i="1" s="1"/>
  <c r="DA297" i="1"/>
  <c r="DB297" i="1" s="1"/>
  <c r="DR297" i="1" s="1"/>
  <c r="CR300" i="1"/>
  <c r="CS300" i="1" s="1"/>
  <c r="DO300" i="1" s="1"/>
  <c r="DD300" i="1"/>
  <c r="DE300" i="1" s="1"/>
  <c r="DS300" i="1" s="1"/>
  <c r="CI303" i="1"/>
  <c r="CJ303" i="1" s="1"/>
  <c r="DL303" i="1" s="1"/>
  <c r="CU303" i="1"/>
  <c r="CV303" i="1" s="1"/>
  <c r="DP303" i="1" s="1"/>
  <c r="DG303" i="1"/>
  <c r="DH303" i="1" s="1"/>
  <c r="DT303" i="1" s="1"/>
  <c r="Q168" i="1" l="1"/>
  <c r="R168" i="1" s="1"/>
  <c r="AT168" i="1" s="1"/>
  <c r="T143" i="1"/>
  <c r="U143" i="1" s="1"/>
  <c r="AU143" i="1" s="1"/>
  <c r="BI143" i="1"/>
  <c r="CU23" i="1"/>
  <c r="CV23" i="1" s="1"/>
  <c r="DP23" i="1" s="1"/>
  <c r="CX32" i="1"/>
  <c r="CY32" i="1" s="1"/>
  <c r="DQ32" i="1" s="1"/>
  <c r="EE259" i="1"/>
  <c r="EG259" i="1" s="1"/>
  <c r="W134" i="1"/>
  <c r="X134" i="1" s="1"/>
  <c r="AV134" i="1" s="1"/>
  <c r="DJ8" i="1"/>
  <c r="DK8" i="1" s="1"/>
  <c r="DU8" i="1" s="1"/>
  <c r="DG167" i="1"/>
  <c r="DH167" i="1" s="1"/>
  <c r="DT167" i="1" s="1"/>
  <c r="DG31" i="1"/>
  <c r="DH31" i="1" s="1"/>
  <c r="DT31" i="1" s="1"/>
  <c r="AR127" i="1"/>
  <c r="AS127" i="1" s="1"/>
  <c r="BC127" i="1" s="1"/>
  <c r="BM173" i="1"/>
  <c r="BO173" i="1" s="1"/>
  <c r="EB204" i="1"/>
  <c r="T107" i="1"/>
  <c r="U107" i="1" s="1"/>
  <c r="AU107" i="1" s="1"/>
  <c r="AC168" i="1"/>
  <c r="AD168" i="1" s="1"/>
  <c r="AX168" i="1" s="1"/>
  <c r="BP255" i="1"/>
  <c r="BR255" i="1" s="1"/>
  <c r="EQ204" i="1"/>
  <c r="ES204" i="1" s="1"/>
  <c r="DY225" i="1"/>
  <c r="EA225" i="1" s="1"/>
  <c r="BD10" i="1"/>
  <c r="BF10" i="1" s="1"/>
  <c r="ET112" i="1"/>
  <c r="EV112" i="1" s="1"/>
  <c r="CU41" i="1"/>
  <c r="CV41" i="1" s="1"/>
  <c r="DP41" i="1" s="1"/>
  <c r="EE130" i="1"/>
  <c r="EG130" i="1" s="1"/>
  <c r="AI146" i="1"/>
  <c r="AJ146" i="1" s="1"/>
  <c r="AZ146" i="1" s="1"/>
  <c r="CL211" i="1"/>
  <c r="CM211" i="1" s="1"/>
  <c r="DM211" i="1" s="1"/>
  <c r="BK172" i="1"/>
  <c r="EB152" i="1"/>
  <c r="EC152" i="1" s="1"/>
  <c r="EO278" i="1"/>
  <c r="DX262" i="1"/>
  <c r="AO126" i="1"/>
  <c r="AP126" i="1" s="1"/>
  <c r="BB126" i="1" s="1"/>
  <c r="DG61" i="1"/>
  <c r="DH61" i="1" s="1"/>
  <c r="DT61" i="1" s="1"/>
  <c r="CF271" i="1"/>
  <c r="CL266" i="1"/>
  <c r="CM266" i="1" s="1"/>
  <c r="DM266" i="1" s="1"/>
  <c r="EC173" i="1"/>
  <c r="AR271" i="1"/>
  <c r="AS271" i="1" s="1"/>
  <c r="BC271" i="1" s="1"/>
  <c r="W172" i="1"/>
  <c r="X172" i="1" s="1"/>
  <c r="AV172" i="1" s="1"/>
  <c r="DG77" i="1"/>
  <c r="DH77" i="1" s="1"/>
  <c r="DT77" i="1" s="1"/>
  <c r="CG104" i="1"/>
  <c r="ET100" i="1"/>
  <c r="EU100" i="1" s="1"/>
  <c r="EC201" i="1"/>
  <c r="EI293" i="1"/>
  <c r="BP215" i="1"/>
  <c r="BR215" i="1" s="1"/>
  <c r="T139" i="1"/>
  <c r="U139" i="1" s="1"/>
  <c r="AU139" i="1" s="1"/>
  <c r="EI41" i="1"/>
  <c r="AO173" i="1"/>
  <c r="AP173" i="1" s="1"/>
  <c r="BB173" i="1" s="1"/>
  <c r="CB61" i="1"/>
  <c r="CD61" i="1" s="1"/>
  <c r="EP160" i="1"/>
  <c r="DY17" i="1"/>
  <c r="DZ17" i="1" s="1"/>
  <c r="BR51" i="1"/>
  <c r="CO65" i="1"/>
  <c r="CP65" i="1" s="1"/>
  <c r="DN65" i="1" s="1"/>
  <c r="BK224" i="1"/>
  <c r="EJ286" i="1"/>
  <c r="EW17" i="1"/>
  <c r="EY17" i="1" s="1"/>
  <c r="DJ215" i="1"/>
  <c r="DK215" i="1" s="1"/>
  <c r="DU215" i="1" s="1"/>
  <c r="DV253" i="1"/>
  <c r="DX253" i="1" s="1"/>
  <c r="BQ167" i="1"/>
  <c r="DW299" i="1"/>
  <c r="DG265" i="1"/>
  <c r="DH265" i="1" s="1"/>
  <c r="DT265" i="1" s="1"/>
  <c r="EU265" i="1"/>
  <c r="CB271" i="1"/>
  <c r="CC271" i="1" s="1"/>
  <c r="AR139" i="1"/>
  <c r="AS139" i="1" s="1"/>
  <c r="BC139" i="1" s="1"/>
  <c r="AC167" i="1"/>
  <c r="AD167" i="1" s="1"/>
  <c r="AX167" i="1" s="1"/>
  <c r="DG57" i="1"/>
  <c r="DH57" i="1" s="1"/>
  <c r="DT57" i="1" s="1"/>
  <c r="DA130" i="1"/>
  <c r="DB130" i="1" s="1"/>
  <c r="DR130" i="1" s="1"/>
  <c r="DG96" i="1"/>
  <c r="DH96" i="1" s="1"/>
  <c r="DT96" i="1" s="1"/>
  <c r="BP252" i="1"/>
  <c r="BQ252" i="1" s="1"/>
  <c r="DJ11" i="1"/>
  <c r="DK11" i="1" s="1"/>
  <c r="DU11" i="1" s="1"/>
  <c r="CA247" i="1"/>
  <c r="BD219" i="1"/>
  <c r="BE219" i="1" s="1"/>
  <c r="CR127" i="1"/>
  <c r="CS127" i="1" s="1"/>
  <c r="DO127" i="1" s="1"/>
  <c r="EB184" i="1"/>
  <c r="ED184" i="1" s="1"/>
  <c r="BD125" i="1"/>
  <c r="BF125" i="1" s="1"/>
  <c r="BN182" i="1"/>
  <c r="BJ138" i="1"/>
  <c r="BL138" i="1" s="1"/>
  <c r="DJ84" i="1"/>
  <c r="DK84" i="1" s="1"/>
  <c r="DU84" i="1" s="1"/>
  <c r="CU52" i="1"/>
  <c r="CV52" i="1" s="1"/>
  <c r="DP52" i="1" s="1"/>
  <c r="BX225" i="1"/>
  <c r="DX286" i="1"/>
  <c r="Z249" i="1"/>
  <c r="AA249" i="1" s="1"/>
  <c r="AW249" i="1" s="1"/>
  <c r="EL301" i="1"/>
  <c r="BZ244" i="1"/>
  <c r="BP180" i="1"/>
  <c r="BR180" i="1" s="1"/>
  <c r="DY71" i="1"/>
  <c r="DZ71" i="1" s="1"/>
  <c r="AL244" i="1"/>
  <c r="AM244" i="1" s="1"/>
  <c r="BA244" i="1" s="1"/>
  <c r="AI184" i="1"/>
  <c r="AJ184" i="1" s="1"/>
  <c r="AZ184" i="1" s="1"/>
  <c r="BY60" i="1"/>
  <c r="BZ60" i="1" s="1"/>
  <c r="BJ186" i="1"/>
  <c r="BK186" i="1" s="1"/>
  <c r="CI28" i="1"/>
  <c r="CJ28" i="1" s="1"/>
  <c r="DL28" i="1" s="1"/>
  <c r="BY83" i="1"/>
  <c r="CA83" i="1" s="1"/>
  <c r="EI52" i="1"/>
  <c r="EP286" i="1"/>
  <c r="EM295" i="1"/>
  <c r="EI304" i="1"/>
  <c r="AI100" i="1"/>
  <c r="AJ100" i="1" s="1"/>
  <c r="AZ100" i="1" s="1"/>
  <c r="DJ220" i="1"/>
  <c r="DK220" i="1" s="1"/>
  <c r="DU220" i="1" s="1"/>
  <c r="AL225" i="1"/>
  <c r="AM225" i="1" s="1"/>
  <c r="BA225" i="1" s="1"/>
  <c r="ET87" i="1"/>
  <c r="EU87" i="1" s="1"/>
  <c r="CX117" i="1"/>
  <c r="CY117" i="1" s="1"/>
  <c r="DQ117" i="1" s="1"/>
  <c r="EW125" i="1"/>
  <c r="EY125" i="1" s="1"/>
  <c r="CF107" i="1"/>
  <c r="AI204" i="1"/>
  <c r="AJ204" i="1" s="1"/>
  <c r="AZ204" i="1" s="1"/>
  <c r="EE63" i="1"/>
  <c r="EF63" i="1" s="1"/>
  <c r="AL19" i="1"/>
  <c r="AM19" i="1" s="1"/>
  <c r="BA19" i="1" s="1"/>
  <c r="EL117" i="1"/>
  <c r="CO158" i="1"/>
  <c r="CP158" i="1" s="1"/>
  <c r="DN158" i="1" s="1"/>
  <c r="AR107" i="1"/>
  <c r="AS107" i="1" s="1"/>
  <c r="BC107" i="1" s="1"/>
  <c r="Z177" i="1"/>
  <c r="AA177" i="1" s="1"/>
  <c r="AW177" i="1" s="1"/>
  <c r="EN214" i="1"/>
  <c r="EO214" i="1" s="1"/>
  <c r="DA186" i="1"/>
  <c r="DB186" i="1" s="1"/>
  <c r="DR186" i="1" s="1"/>
  <c r="EC298" i="1"/>
  <c r="BV107" i="1"/>
  <c r="BW107" i="1" s="1"/>
  <c r="EH158" i="1"/>
  <c r="EJ158" i="1" s="1"/>
  <c r="CU124" i="1"/>
  <c r="CV124" i="1" s="1"/>
  <c r="DP124" i="1" s="1"/>
  <c r="BX100" i="1"/>
  <c r="ES283" i="1"/>
  <c r="EX220" i="1"/>
  <c r="BH167" i="1"/>
  <c r="EN20" i="1"/>
  <c r="EP20" i="1" s="1"/>
  <c r="AF208" i="1"/>
  <c r="AG208" i="1" s="1"/>
  <c r="AY208" i="1" s="1"/>
  <c r="DY45" i="1"/>
  <c r="DZ45" i="1" s="1"/>
  <c r="Z175" i="1"/>
  <c r="AA175" i="1" s="1"/>
  <c r="AW175" i="1" s="1"/>
  <c r="EI281" i="1"/>
  <c r="DD245" i="1"/>
  <c r="DE245" i="1" s="1"/>
  <c r="DS245" i="1" s="1"/>
  <c r="AR59" i="1"/>
  <c r="AS59" i="1" s="1"/>
  <c r="BC59" i="1" s="1"/>
  <c r="T60" i="1"/>
  <c r="U60" i="1" s="1"/>
  <c r="AU60" i="1" s="1"/>
  <c r="EF296" i="1"/>
  <c r="CU181" i="1"/>
  <c r="CV181" i="1" s="1"/>
  <c r="DP181" i="1" s="1"/>
  <c r="DD161" i="1"/>
  <c r="DE161" i="1" s="1"/>
  <c r="DS161" i="1" s="1"/>
  <c r="CX52" i="1"/>
  <c r="CY52" i="1" s="1"/>
  <c r="DQ52" i="1" s="1"/>
  <c r="W129" i="1"/>
  <c r="X129" i="1" s="1"/>
  <c r="AV129" i="1" s="1"/>
  <c r="CU141" i="1"/>
  <c r="CV141" i="1" s="1"/>
  <c r="DP141" i="1" s="1"/>
  <c r="AO41" i="1"/>
  <c r="AP41" i="1" s="1"/>
  <c r="BB41" i="1" s="1"/>
  <c r="AF60" i="1"/>
  <c r="AG60" i="1" s="1"/>
  <c r="AY60" i="1" s="1"/>
  <c r="BJ143" i="1"/>
  <c r="BK143" i="1" s="1"/>
  <c r="CU62" i="1"/>
  <c r="CV62" i="1" s="1"/>
  <c r="DP62" i="1" s="1"/>
  <c r="AO25" i="1"/>
  <c r="AP25" i="1" s="1"/>
  <c r="BB25" i="1" s="1"/>
  <c r="CX239" i="1"/>
  <c r="CY239" i="1" s="1"/>
  <c r="DQ239" i="1" s="1"/>
  <c r="CR212" i="1"/>
  <c r="CS212" i="1" s="1"/>
  <c r="DO212" i="1" s="1"/>
  <c r="CE186" i="1"/>
  <c r="CG186" i="1" s="1"/>
  <c r="DA120" i="1"/>
  <c r="DB120" i="1" s="1"/>
  <c r="DR120" i="1" s="1"/>
  <c r="AC77" i="1"/>
  <c r="AD77" i="1" s="1"/>
  <c r="AX77" i="1" s="1"/>
  <c r="CX11" i="1"/>
  <c r="CY11" i="1" s="1"/>
  <c r="DQ11" i="1" s="1"/>
  <c r="EE69" i="1"/>
  <c r="EG69" i="1" s="1"/>
  <c r="BY266" i="1"/>
  <c r="BZ266" i="1" s="1"/>
  <c r="BS68" i="1"/>
  <c r="BU68" i="1" s="1"/>
  <c r="EB138" i="1"/>
  <c r="EC138" i="1" s="1"/>
  <c r="BS18" i="1"/>
  <c r="BU18" i="1" s="1"/>
  <c r="EF245" i="1"/>
  <c r="EB167" i="1"/>
  <c r="ED167" i="1" s="1"/>
  <c r="EN91" i="1"/>
  <c r="EP91" i="1" s="1"/>
  <c r="BI60" i="1"/>
  <c r="ER65" i="1"/>
  <c r="EF164" i="1"/>
  <c r="CO18" i="1"/>
  <c r="CP18" i="1" s="1"/>
  <c r="DN18" i="1" s="1"/>
  <c r="AO153" i="1"/>
  <c r="AP153" i="1" s="1"/>
  <c r="BB153" i="1" s="1"/>
  <c r="CD153" i="1"/>
  <c r="AR104" i="1"/>
  <c r="AS104" i="1" s="1"/>
  <c r="BC104" i="1" s="1"/>
  <c r="W100" i="1"/>
  <c r="X100" i="1" s="1"/>
  <c r="AV100" i="1" s="1"/>
  <c r="Z110" i="1"/>
  <c r="AA110" i="1" s="1"/>
  <c r="AW110" i="1" s="1"/>
  <c r="CB20" i="1"/>
  <c r="CD20" i="1" s="1"/>
  <c r="BZ262" i="1"/>
  <c r="BM25" i="1"/>
  <c r="BN25" i="1" s="1"/>
  <c r="DD188" i="1"/>
  <c r="DE188" i="1" s="1"/>
  <c r="DS188" i="1" s="1"/>
  <c r="AC162" i="1"/>
  <c r="AD162" i="1" s="1"/>
  <c r="AX162" i="1" s="1"/>
  <c r="CB120" i="1"/>
  <c r="CD120" i="1" s="1"/>
  <c r="EB122" i="1"/>
  <c r="ED122" i="1" s="1"/>
  <c r="DG151" i="1"/>
  <c r="DH151" i="1" s="1"/>
  <c r="DT151" i="1" s="1"/>
  <c r="CL143" i="1"/>
  <c r="CM143" i="1" s="1"/>
  <c r="DM143" i="1" s="1"/>
  <c r="CA134" i="1"/>
  <c r="CL68" i="1"/>
  <c r="CM68" i="1" s="1"/>
  <c r="DM68" i="1" s="1"/>
  <c r="Q57" i="1"/>
  <c r="R57" i="1" s="1"/>
  <c r="AT57" i="1" s="1"/>
  <c r="DJ42" i="1"/>
  <c r="DK42" i="1" s="1"/>
  <c r="DU42" i="1" s="1"/>
  <c r="EQ213" i="1"/>
  <c r="ES213" i="1" s="1"/>
  <c r="CE149" i="1"/>
  <c r="CF149" i="1" s="1"/>
  <c r="BG128" i="1"/>
  <c r="BI128" i="1" s="1"/>
  <c r="BM38" i="1"/>
  <c r="BO38" i="1" s="1"/>
  <c r="BG243" i="1"/>
  <c r="BI243" i="1" s="1"/>
  <c r="ET168" i="1"/>
  <c r="EU168" i="1" s="1"/>
  <c r="BY126" i="1"/>
  <c r="BZ126" i="1" s="1"/>
  <c r="BD16" i="1"/>
  <c r="Z137" i="1"/>
  <c r="AA137" i="1" s="1"/>
  <c r="AW137" i="1" s="1"/>
  <c r="BF57" i="1"/>
  <c r="EJ24" i="1"/>
  <c r="AL262" i="1"/>
  <c r="AM262" i="1" s="1"/>
  <c r="BA262" i="1" s="1"/>
  <c r="EC42" i="1"/>
  <c r="DG181" i="1"/>
  <c r="DH181" i="1" s="1"/>
  <c r="DT181" i="1" s="1"/>
  <c r="AL134" i="1"/>
  <c r="AM134" i="1" s="1"/>
  <c r="BA134" i="1" s="1"/>
  <c r="EH8" i="1"/>
  <c r="EJ8" i="1" s="1"/>
  <c r="DZ143" i="1"/>
  <c r="BD115" i="1"/>
  <c r="BF115" i="1" s="1"/>
  <c r="BU45" i="1"/>
  <c r="DD21" i="1"/>
  <c r="DE21" i="1" s="1"/>
  <c r="DS21" i="1" s="1"/>
  <c r="ES21" i="1"/>
  <c r="ER284" i="1"/>
  <c r="CC162" i="1"/>
  <c r="CE202" i="1"/>
  <c r="CG202" i="1" s="1"/>
  <c r="BJ33" i="1"/>
  <c r="BL33" i="1" s="1"/>
  <c r="DJ32" i="1"/>
  <c r="DK32" i="1" s="1"/>
  <c r="DU32" i="1" s="1"/>
  <c r="BE12" i="1"/>
  <c r="EY265" i="1"/>
  <c r="AI176" i="1"/>
  <c r="AJ176" i="1" s="1"/>
  <c r="AZ176" i="1" s="1"/>
  <c r="CE198" i="1"/>
  <c r="CF198" i="1" s="1"/>
  <c r="BY158" i="1"/>
  <c r="CA158" i="1" s="1"/>
  <c r="BQ107" i="1"/>
  <c r="CR74" i="1"/>
  <c r="CS74" i="1" s="1"/>
  <c r="DO74" i="1" s="1"/>
  <c r="BK216" i="1"/>
  <c r="W216" i="1"/>
  <c r="X216" i="1" s="1"/>
  <c r="AV216" i="1" s="1"/>
  <c r="BJ265" i="1"/>
  <c r="BL265" i="1" s="1"/>
  <c r="EN259" i="1"/>
  <c r="EP259" i="1" s="1"/>
  <c r="AL247" i="1"/>
  <c r="AM247" i="1" s="1"/>
  <c r="BA247" i="1" s="1"/>
  <c r="AL210" i="1"/>
  <c r="AM210" i="1" s="1"/>
  <c r="BA210" i="1" s="1"/>
  <c r="EE151" i="1"/>
  <c r="EF151" i="1" s="1"/>
  <c r="AO239" i="1"/>
  <c r="AP239" i="1" s="1"/>
  <c r="BB239" i="1" s="1"/>
  <c r="EU275" i="1"/>
  <c r="BG247" i="1"/>
  <c r="BH247" i="1" s="1"/>
  <c r="EH136" i="1"/>
  <c r="EJ136" i="1" s="1"/>
  <c r="BP56" i="1"/>
  <c r="BR56" i="1" s="1"/>
  <c r="DZ37" i="1"/>
  <c r="EB244" i="1"/>
  <c r="ED244" i="1" s="1"/>
  <c r="AI225" i="1"/>
  <c r="AJ225" i="1" s="1"/>
  <c r="AZ225" i="1" s="1"/>
  <c r="ER224" i="1"/>
  <c r="BS239" i="1"/>
  <c r="BT239" i="1" s="1"/>
  <c r="ED20" i="1"/>
  <c r="BP138" i="1"/>
  <c r="BQ138" i="1" s="1"/>
  <c r="EF225" i="1"/>
  <c r="Z182" i="1"/>
  <c r="AA182" i="1" s="1"/>
  <c r="AW182" i="1" s="1"/>
  <c r="DY195" i="1"/>
  <c r="DZ195" i="1" s="1"/>
  <c r="BL167" i="1"/>
  <c r="CR128" i="1"/>
  <c r="CS128" i="1" s="1"/>
  <c r="DO128" i="1" s="1"/>
  <c r="AL115" i="1"/>
  <c r="AM115" i="1" s="1"/>
  <c r="BA115" i="1" s="1"/>
  <c r="BY36" i="1"/>
  <c r="CA36" i="1" s="1"/>
  <c r="CR213" i="1"/>
  <c r="CS213" i="1" s="1"/>
  <c r="DO213" i="1" s="1"/>
  <c r="CE47" i="1"/>
  <c r="CG47" i="1" s="1"/>
  <c r="DY234" i="1"/>
  <c r="EA234" i="1" s="1"/>
  <c r="W167" i="1"/>
  <c r="X167" i="1" s="1"/>
  <c r="AV167" i="1" s="1"/>
  <c r="EU288" i="1"/>
  <c r="CR225" i="1"/>
  <c r="CS225" i="1" s="1"/>
  <c r="DO225" i="1" s="1"/>
  <c r="ET200" i="1"/>
  <c r="EU200" i="1" s="1"/>
  <c r="BT124" i="1"/>
  <c r="EN117" i="1"/>
  <c r="EO117" i="1" s="1"/>
  <c r="AF124" i="1"/>
  <c r="AG124" i="1" s="1"/>
  <c r="AY124" i="1" s="1"/>
  <c r="EE45" i="1"/>
  <c r="EF45" i="1" s="1"/>
  <c r="AC229" i="1"/>
  <c r="AD229" i="1" s="1"/>
  <c r="AX229" i="1" s="1"/>
  <c r="DA125" i="1"/>
  <c r="DB125" i="1" s="1"/>
  <c r="DR125" i="1" s="1"/>
  <c r="CR164" i="1"/>
  <c r="CS164" i="1" s="1"/>
  <c r="DO164" i="1" s="1"/>
  <c r="BK114" i="1"/>
  <c r="DG107" i="1"/>
  <c r="DH107" i="1" s="1"/>
  <c r="DT107" i="1" s="1"/>
  <c r="DG52" i="1"/>
  <c r="DH52" i="1" s="1"/>
  <c r="DT52" i="1" s="1"/>
  <c r="W173" i="1"/>
  <c r="X173" i="1" s="1"/>
  <c r="AV173" i="1" s="1"/>
  <c r="BX176" i="1"/>
  <c r="DJ226" i="1"/>
  <c r="DK226" i="1" s="1"/>
  <c r="DU226" i="1" s="1"/>
  <c r="EK224" i="1"/>
  <c r="EL224" i="1" s="1"/>
  <c r="BM100" i="1"/>
  <c r="BO100" i="1" s="1"/>
  <c r="CC25" i="1"/>
  <c r="CO254" i="1"/>
  <c r="CP254" i="1" s="1"/>
  <c r="DN254" i="1" s="1"/>
  <c r="CU231" i="1"/>
  <c r="CV231" i="1" s="1"/>
  <c r="DP231" i="1" s="1"/>
  <c r="EF186" i="1"/>
  <c r="AL185" i="1"/>
  <c r="AM185" i="1" s="1"/>
  <c r="BA185" i="1" s="1"/>
  <c r="W114" i="1"/>
  <c r="X114" i="1" s="1"/>
  <c r="AV114" i="1" s="1"/>
  <c r="CO99" i="1"/>
  <c r="CP99" i="1" s="1"/>
  <c r="DN99" i="1" s="1"/>
  <c r="BY96" i="1"/>
  <c r="CA96" i="1" s="1"/>
  <c r="AR103" i="1"/>
  <c r="AS103" i="1" s="1"/>
  <c r="BC103" i="1" s="1"/>
  <c r="AI241" i="1"/>
  <c r="AJ241" i="1" s="1"/>
  <c r="AZ241" i="1" s="1"/>
  <c r="EC254" i="1"/>
  <c r="EQ9" i="1"/>
  <c r="ES9" i="1" s="1"/>
  <c r="AI213" i="1"/>
  <c r="AJ213" i="1" s="1"/>
  <c r="AZ213" i="1" s="1"/>
  <c r="BK249" i="1"/>
  <c r="AO164" i="1"/>
  <c r="AP164" i="1" s="1"/>
  <c r="BB164" i="1" s="1"/>
  <c r="CR147" i="1"/>
  <c r="CS147" i="1" s="1"/>
  <c r="DO147" i="1" s="1"/>
  <c r="EE163" i="1"/>
  <c r="EG163" i="1" s="1"/>
  <c r="T167" i="1"/>
  <c r="U167" i="1" s="1"/>
  <c r="AU167" i="1" s="1"/>
  <c r="W179" i="1"/>
  <c r="X179" i="1" s="1"/>
  <c r="AV179" i="1" s="1"/>
  <c r="AI134" i="1"/>
  <c r="AJ134" i="1" s="1"/>
  <c r="AZ134" i="1" s="1"/>
  <c r="DD130" i="1"/>
  <c r="DE130" i="1" s="1"/>
  <c r="DS130" i="1" s="1"/>
  <c r="BY113" i="1"/>
  <c r="BZ113" i="1" s="1"/>
  <c r="BM19" i="1"/>
  <c r="BO19" i="1" s="1"/>
  <c r="AR194" i="1"/>
  <c r="AS194" i="1" s="1"/>
  <c r="BC194" i="1" s="1"/>
  <c r="CR12" i="1"/>
  <c r="CS12" i="1" s="1"/>
  <c r="DO12" i="1" s="1"/>
  <c r="BP265" i="1"/>
  <c r="BR265" i="1" s="1"/>
  <c r="Q56" i="1"/>
  <c r="R56" i="1" s="1"/>
  <c r="AT56" i="1" s="1"/>
  <c r="AL137" i="1"/>
  <c r="AM137" i="1" s="1"/>
  <c r="BA137" i="1" s="1"/>
  <c r="BG100" i="1"/>
  <c r="BI100" i="1" s="1"/>
  <c r="DD72" i="1"/>
  <c r="DE72" i="1" s="1"/>
  <c r="DS72" i="1" s="1"/>
  <c r="DJ60" i="1"/>
  <c r="DK60" i="1" s="1"/>
  <c r="DU60" i="1" s="1"/>
  <c r="EY241" i="1"/>
  <c r="BM139" i="1"/>
  <c r="BN139" i="1" s="1"/>
  <c r="DD20" i="1"/>
  <c r="DE20" i="1" s="1"/>
  <c r="DS20" i="1" s="1"/>
  <c r="EC95" i="1"/>
  <c r="CX162" i="1"/>
  <c r="CY162" i="1" s="1"/>
  <c r="DQ162" i="1" s="1"/>
  <c r="BO23" i="1"/>
  <c r="AC197" i="1"/>
  <c r="AD197" i="1" s="1"/>
  <c r="AX197" i="1" s="1"/>
  <c r="BQ197" i="1"/>
  <c r="DA127" i="1"/>
  <c r="DB127" i="1" s="1"/>
  <c r="DR127" i="1" s="1"/>
  <c r="DD17" i="1"/>
  <c r="DE17" i="1" s="1"/>
  <c r="DS17" i="1" s="1"/>
  <c r="AF13" i="1"/>
  <c r="AG13" i="1" s="1"/>
  <c r="AY13" i="1" s="1"/>
  <c r="EF19" i="1"/>
  <c r="CE246" i="1"/>
  <c r="CF246" i="1" s="1"/>
  <c r="EH60" i="1"/>
  <c r="EI60" i="1" s="1"/>
  <c r="EI62" i="1"/>
  <c r="EB140" i="1"/>
  <c r="ED140" i="1" s="1"/>
  <c r="EO179" i="1"/>
  <c r="EO186" i="1"/>
  <c r="EE36" i="1"/>
  <c r="EG36" i="1" s="1"/>
  <c r="EW41" i="1"/>
  <c r="EX41" i="1" s="1"/>
  <c r="AI177" i="1"/>
  <c r="AJ177" i="1" s="1"/>
  <c r="AZ177" i="1" s="1"/>
  <c r="AF159" i="1"/>
  <c r="AG159" i="1" s="1"/>
  <c r="AY159" i="1" s="1"/>
  <c r="W21" i="1"/>
  <c r="X21" i="1" s="1"/>
  <c r="AV21" i="1" s="1"/>
  <c r="EF190" i="1"/>
  <c r="AO206" i="1"/>
  <c r="AP206" i="1" s="1"/>
  <c r="BB206" i="1" s="1"/>
  <c r="DD83" i="1"/>
  <c r="DE83" i="1" s="1"/>
  <c r="DS83" i="1" s="1"/>
  <c r="CR240" i="1"/>
  <c r="CS240" i="1" s="1"/>
  <c r="DO240" i="1" s="1"/>
  <c r="EB236" i="1"/>
  <c r="ED236" i="1" s="1"/>
  <c r="CI215" i="1"/>
  <c r="CJ215" i="1" s="1"/>
  <c r="DL215" i="1" s="1"/>
  <c r="EN167" i="1"/>
  <c r="EO167" i="1" s="1"/>
  <c r="DD113" i="1"/>
  <c r="DE113" i="1" s="1"/>
  <c r="DS113" i="1" s="1"/>
  <c r="CR245" i="1"/>
  <c r="CS245" i="1" s="1"/>
  <c r="DO245" i="1" s="1"/>
  <c r="AR244" i="1"/>
  <c r="AS244" i="1" s="1"/>
  <c r="BC244" i="1" s="1"/>
  <c r="AO38" i="1"/>
  <c r="AP38" i="1" s="1"/>
  <c r="BB38" i="1" s="1"/>
  <c r="EX295" i="1"/>
  <c r="AL224" i="1"/>
  <c r="AM224" i="1" s="1"/>
  <c r="BA224" i="1" s="1"/>
  <c r="BG202" i="1"/>
  <c r="BI202" i="1" s="1"/>
  <c r="BJ4" i="1"/>
  <c r="BL4" i="1" s="1"/>
  <c r="CR190" i="1"/>
  <c r="CS190" i="1" s="1"/>
  <c r="DO190" i="1" s="1"/>
  <c r="BW241" i="1"/>
  <c r="BO236" i="1"/>
  <c r="BT60" i="1"/>
  <c r="CL251" i="1"/>
  <c r="CM251" i="1" s="1"/>
  <c r="DM251" i="1" s="1"/>
  <c r="EB143" i="1"/>
  <c r="ED143" i="1" s="1"/>
  <c r="BG113" i="1"/>
  <c r="BI113" i="1" s="1"/>
  <c r="CU93" i="1"/>
  <c r="CV93" i="1" s="1"/>
  <c r="DP93" i="1" s="1"/>
  <c r="CE252" i="1"/>
  <c r="CL42" i="1"/>
  <c r="CM42" i="1" s="1"/>
  <c r="DM42" i="1" s="1"/>
  <c r="DZ16" i="1"/>
  <c r="EL272" i="1"/>
  <c r="ER282" i="1"/>
  <c r="CX122" i="1"/>
  <c r="CY122" i="1" s="1"/>
  <c r="DQ122" i="1" s="1"/>
  <c r="EU171" i="1"/>
  <c r="AC126" i="1"/>
  <c r="AD126" i="1" s="1"/>
  <c r="AX126" i="1" s="1"/>
  <c r="DA16" i="1"/>
  <c r="DB16" i="1" s="1"/>
  <c r="DR16" i="1" s="1"/>
  <c r="DA135" i="1"/>
  <c r="DB135" i="1" s="1"/>
  <c r="DR135" i="1" s="1"/>
  <c r="ER39" i="1"/>
  <c r="BJ42" i="1"/>
  <c r="BL42" i="1" s="1"/>
  <c r="BS202" i="1"/>
  <c r="BM117" i="1"/>
  <c r="BN117" i="1" s="1"/>
  <c r="AO95" i="1"/>
  <c r="AP95" i="1" s="1"/>
  <c r="BB95" i="1" s="1"/>
  <c r="AR70" i="1"/>
  <c r="AS70" i="1" s="1"/>
  <c r="BC70" i="1" s="1"/>
  <c r="CE22" i="1"/>
  <c r="CG22" i="1" s="1"/>
  <c r="CL16" i="1"/>
  <c r="CM16" i="1" s="1"/>
  <c r="DM16" i="1" s="1"/>
  <c r="BM130" i="1"/>
  <c r="BO130" i="1" s="1"/>
  <c r="CR168" i="1"/>
  <c r="CS168" i="1" s="1"/>
  <c r="DO168" i="1" s="1"/>
  <c r="ER278" i="1"/>
  <c r="EX11" i="1"/>
  <c r="AF238" i="1"/>
  <c r="AG238" i="1" s="1"/>
  <c r="AY238" i="1" s="1"/>
  <c r="DG206" i="1"/>
  <c r="DH206" i="1" s="1"/>
  <c r="DT206" i="1" s="1"/>
  <c r="BD215" i="1"/>
  <c r="BF215" i="1" s="1"/>
  <c r="CE227" i="1"/>
  <c r="CF227" i="1" s="1"/>
  <c r="Z178" i="1"/>
  <c r="AA178" i="1" s="1"/>
  <c r="AW178" i="1" s="1"/>
  <c r="BR239" i="1"/>
  <c r="ES142" i="1"/>
  <c r="EG127" i="1"/>
  <c r="ES17" i="1"/>
  <c r="BF194" i="1"/>
  <c r="ET262" i="1"/>
  <c r="EU262" i="1" s="1"/>
  <c r="BV211" i="1"/>
  <c r="BX211" i="1" s="1"/>
  <c r="CL193" i="1"/>
  <c r="CM193" i="1" s="1"/>
  <c r="DM193" i="1" s="1"/>
  <c r="CO212" i="1"/>
  <c r="CP212" i="1" s="1"/>
  <c r="DN212" i="1" s="1"/>
  <c r="EF289" i="1"/>
  <c r="CR19" i="1"/>
  <c r="CS19" i="1" s="1"/>
  <c r="DO19" i="1" s="1"/>
  <c r="DD132" i="1"/>
  <c r="DE132" i="1" s="1"/>
  <c r="DS132" i="1" s="1"/>
  <c r="BK251" i="1"/>
  <c r="Z247" i="1"/>
  <c r="AA247" i="1" s="1"/>
  <c r="AW247" i="1" s="1"/>
  <c r="ET46" i="1"/>
  <c r="EU46" i="1" s="1"/>
  <c r="T252" i="1"/>
  <c r="U252" i="1" s="1"/>
  <c r="AU252" i="1" s="1"/>
  <c r="AL230" i="1"/>
  <c r="AM230" i="1" s="1"/>
  <c r="BA230" i="1" s="1"/>
  <c r="EU47" i="1"/>
  <c r="BJ84" i="1"/>
  <c r="BK84" i="1" s="1"/>
  <c r="AF45" i="1"/>
  <c r="AG45" i="1" s="1"/>
  <c r="AY45" i="1" s="1"/>
  <c r="EH220" i="1"/>
  <c r="EI220" i="1" s="1"/>
  <c r="AO70" i="1"/>
  <c r="AP70" i="1" s="1"/>
  <c r="BB70" i="1" s="1"/>
  <c r="EW65" i="1"/>
  <c r="EY65" i="1" s="1"/>
  <c r="BV163" i="1"/>
  <c r="BW163" i="1" s="1"/>
  <c r="CO160" i="1"/>
  <c r="CP160" i="1" s="1"/>
  <c r="DN160" i="1" s="1"/>
  <c r="DG47" i="1"/>
  <c r="DH47" i="1" s="1"/>
  <c r="DT47" i="1" s="1"/>
  <c r="BW254" i="1"/>
  <c r="EE51" i="1"/>
  <c r="EF51" i="1" s="1"/>
  <c r="BK179" i="1"/>
  <c r="AA222" i="1"/>
  <c r="EE227" i="1"/>
  <c r="EG227" i="1" s="1"/>
  <c r="AC257" i="1"/>
  <c r="AD257" i="1" s="1"/>
  <c r="AX257" i="1" s="1"/>
  <c r="BY168" i="1"/>
  <c r="CA168" i="1" s="1"/>
  <c r="AL177" i="1"/>
  <c r="AM177" i="1" s="1"/>
  <c r="BA177" i="1" s="1"/>
  <c r="CL197" i="1"/>
  <c r="CM197" i="1" s="1"/>
  <c r="DM197" i="1" s="1"/>
  <c r="DZ197" i="1"/>
  <c r="AI244" i="1"/>
  <c r="AJ244" i="1" s="1"/>
  <c r="AZ244" i="1" s="1"/>
  <c r="CR72" i="1"/>
  <c r="CS72" i="1" s="1"/>
  <c r="DO72" i="1" s="1"/>
  <c r="EG290" i="1"/>
  <c r="CU116" i="1"/>
  <c r="CV116" i="1" s="1"/>
  <c r="DP116" i="1" s="1"/>
  <c r="CL101" i="1"/>
  <c r="CM101" i="1" s="1"/>
  <c r="DM101" i="1" s="1"/>
  <c r="CX181" i="1"/>
  <c r="CY181" i="1" s="1"/>
  <c r="DQ181" i="1" s="1"/>
  <c r="ER173" i="1"/>
  <c r="DW304" i="1"/>
  <c r="BY254" i="1"/>
  <c r="CA254" i="1" s="1"/>
  <c r="EE256" i="1"/>
  <c r="EF256" i="1" s="1"/>
  <c r="AL242" i="1"/>
  <c r="AM242" i="1" s="1"/>
  <c r="BA242" i="1" s="1"/>
  <c r="CO241" i="1"/>
  <c r="CP241" i="1" s="1"/>
  <c r="DN241" i="1" s="1"/>
  <c r="AO137" i="1"/>
  <c r="AP137" i="1" s="1"/>
  <c r="BB137" i="1" s="1"/>
  <c r="AR32" i="1"/>
  <c r="AS32" i="1" s="1"/>
  <c r="BC32" i="1" s="1"/>
  <c r="AR10" i="1"/>
  <c r="AS10" i="1" s="1"/>
  <c r="BC10" i="1" s="1"/>
  <c r="W251" i="1"/>
  <c r="X251" i="1" s="1"/>
  <c r="AV251" i="1" s="1"/>
  <c r="EX273" i="1"/>
  <c r="AI70" i="1"/>
  <c r="AJ70" i="1" s="1"/>
  <c r="AZ70" i="1" s="1"/>
  <c r="EB197" i="1"/>
  <c r="ED197" i="1" s="1"/>
  <c r="EO180" i="1"/>
  <c r="DJ181" i="1"/>
  <c r="DK181" i="1" s="1"/>
  <c r="DU181" i="1" s="1"/>
  <c r="AR87" i="1"/>
  <c r="AS87" i="1" s="1"/>
  <c r="BC87" i="1" s="1"/>
  <c r="EH67" i="1"/>
  <c r="EJ67" i="1" s="1"/>
  <c r="EN265" i="1"/>
  <c r="EP265" i="1" s="1"/>
  <c r="AL175" i="1"/>
  <c r="AM175" i="1" s="1"/>
  <c r="BA175" i="1" s="1"/>
  <c r="BS63" i="1"/>
  <c r="BU63" i="1" s="1"/>
  <c r="BV145" i="1"/>
  <c r="BX145" i="1" s="1"/>
  <c r="CD190" i="1"/>
  <c r="CC190" i="1"/>
  <c r="EW93" i="1"/>
  <c r="EY93" i="1" s="1"/>
  <c r="BX188" i="1"/>
  <c r="CX158" i="1"/>
  <c r="CY158" i="1" s="1"/>
  <c r="DQ158" i="1" s="1"/>
  <c r="AF134" i="1"/>
  <c r="AG134" i="1" s="1"/>
  <c r="AY134" i="1" s="1"/>
  <c r="EF301" i="1"/>
  <c r="DD187" i="1"/>
  <c r="DE187" i="1" s="1"/>
  <c r="DS187" i="1" s="1"/>
  <c r="AI188" i="1"/>
  <c r="AJ188" i="1" s="1"/>
  <c r="AZ188" i="1" s="1"/>
  <c r="BX70" i="1"/>
  <c r="EE58" i="1"/>
  <c r="EF58" i="1" s="1"/>
  <c r="EN33" i="1"/>
  <c r="EO33" i="1" s="1"/>
  <c r="EQ163" i="1"/>
  <c r="ES163" i="1" s="1"/>
  <c r="Q145" i="1"/>
  <c r="R145" i="1" s="1"/>
  <c r="AT145" i="1" s="1"/>
  <c r="AI132" i="1"/>
  <c r="AJ132" i="1" s="1"/>
  <c r="AZ132" i="1" s="1"/>
  <c r="T70" i="1"/>
  <c r="U70" i="1" s="1"/>
  <c r="AU70" i="1" s="1"/>
  <c r="DG25" i="1"/>
  <c r="DH25" i="1" s="1"/>
  <c r="DT25" i="1" s="1"/>
  <c r="ET20" i="1"/>
  <c r="EV20" i="1" s="1"/>
  <c r="EV10" i="1"/>
  <c r="W258" i="1"/>
  <c r="X258" i="1" s="1"/>
  <c r="AV258" i="1" s="1"/>
  <c r="EL59" i="1"/>
  <c r="EU25" i="1"/>
  <c r="DA64" i="1"/>
  <c r="DB64" i="1" s="1"/>
  <c r="DR64" i="1" s="1"/>
  <c r="BM239" i="1"/>
  <c r="BN239" i="1" s="1"/>
  <c r="AO142" i="1"/>
  <c r="AP142" i="1" s="1"/>
  <c r="BB142" i="1" s="1"/>
  <c r="DG124" i="1"/>
  <c r="DH124" i="1" s="1"/>
  <c r="DT124" i="1" s="1"/>
  <c r="DY91" i="1"/>
  <c r="EA91" i="1" s="1"/>
  <c r="T19" i="1"/>
  <c r="U19" i="1" s="1"/>
  <c r="AU19" i="1" s="1"/>
  <c r="DZ281" i="1"/>
  <c r="AO190" i="1"/>
  <c r="AP190" i="1" s="1"/>
  <c r="BB190" i="1" s="1"/>
  <c r="CO240" i="1"/>
  <c r="CP240" i="1" s="1"/>
  <c r="DN240" i="1" s="1"/>
  <c r="ED212" i="1"/>
  <c r="EC212" i="1"/>
  <c r="EM125" i="1"/>
  <c r="EL125" i="1"/>
  <c r="BP186" i="1"/>
  <c r="BQ186" i="1" s="1"/>
  <c r="EW151" i="1"/>
  <c r="EX151" i="1" s="1"/>
  <c r="BD126" i="1"/>
  <c r="BF126" i="1" s="1"/>
  <c r="BH124" i="1"/>
  <c r="W65" i="1"/>
  <c r="X65" i="1" s="1"/>
  <c r="AV65" i="1" s="1"/>
  <c r="BR187" i="1"/>
  <c r="DX285" i="1"/>
  <c r="Q234" i="1"/>
  <c r="R234" i="1" s="1"/>
  <c r="AT234" i="1" s="1"/>
  <c r="CO233" i="1"/>
  <c r="CP233" i="1" s="1"/>
  <c r="DN233" i="1" s="1"/>
  <c r="DV123" i="1"/>
  <c r="DX123" i="1" s="1"/>
  <c r="AR95" i="1"/>
  <c r="AS95" i="1" s="1"/>
  <c r="BC95" i="1" s="1"/>
  <c r="BE65" i="1"/>
  <c r="BP7" i="1"/>
  <c r="BR7" i="1" s="1"/>
  <c r="EN225" i="1"/>
  <c r="EP225" i="1" s="1"/>
  <c r="EN256" i="1"/>
  <c r="EP256" i="1" s="1"/>
  <c r="BJ177" i="1"/>
  <c r="BL177" i="1" s="1"/>
  <c r="BS34" i="1"/>
  <c r="BT34" i="1" s="1"/>
  <c r="EG47" i="1"/>
  <c r="EU64" i="1"/>
  <c r="BW216" i="1"/>
  <c r="T155" i="1"/>
  <c r="U155" i="1" s="1"/>
  <c r="AU155" i="1" s="1"/>
  <c r="EW100" i="1"/>
  <c r="EY100" i="1" s="1"/>
  <c r="EN269" i="1"/>
  <c r="EP269" i="1" s="1"/>
  <c r="AI216" i="1"/>
  <c r="AJ216" i="1" s="1"/>
  <c r="AZ216" i="1" s="1"/>
  <c r="EE214" i="1"/>
  <c r="EG214" i="1" s="1"/>
  <c r="CB180" i="1"/>
  <c r="CD180" i="1" s="1"/>
  <c r="DD159" i="1"/>
  <c r="DE159" i="1" s="1"/>
  <c r="DS159" i="1" s="1"/>
  <c r="BM153" i="1"/>
  <c r="BO153" i="1" s="1"/>
  <c r="BM115" i="1"/>
  <c r="BN115" i="1" s="1"/>
  <c r="CB90" i="1"/>
  <c r="CD90" i="1" s="1"/>
  <c r="EN26" i="1"/>
  <c r="EO26" i="1" s="1"/>
  <c r="CO20" i="1"/>
  <c r="CP20" i="1" s="1"/>
  <c r="DN20" i="1" s="1"/>
  <c r="AC239" i="1"/>
  <c r="AD239" i="1" s="1"/>
  <c r="AX239" i="1" s="1"/>
  <c r="DW293" i="1"/>
  <c r="CO251" i="1"/>
  <c r="CP251" i="1" s="1"/>
  <c r="DN251" i="1" s="1"/>
  <c r="CI243" i="1"/>
  <c r="CJ243" i="1" s="1"/>
  <c r="DL243" i="1" s="1"/>
  <c r="BG153" i="1"/>
  <c r="BH153" i="1" s="1"/>
  <c r="CU142" i="1"/>
  <c r="CV142" i="1" s="1"/>
  <c r="DP142" i="1" s="1"/>
  <c r="DA71" i="1"/>
  <c r="DB71" i="1" s="1"/>
  <c r="DR71" i="1" s="1"/>
  <c r="CR47" i="1"/>
  <c r="CS47" i="1" s="1"/>
  <c r="DO47" i="1" s="1"/>
  <c r="EC280" i="1"/>
  <c r="DZ251" i="1"/>
  <c r="AI179" i="1"/>
  <c r="AJ179" i="1" s="1"/>
  <c r="AZ179" i="1" s="1"/>
  <c r="AL141" i="1"/>
  <c r="AM141" i="1" s="1"/>
  <c r="BA141" i="1" s="1"/>
  <c r="DD128" i="1"/>
  <c r="DE128" i="1" s="1"/>
  <c r="DS128" i="1" s="1"/>
  <c r="DX284" i="1"/>
  <c r="CX125" i="1"/>
  <c r="CY125" i="1" s="1"/>
  <c r="DQ125" i="1" s="1"/>
  <c r="EO273" i="1"/>
  <c r="EQ254" i="1"/>
  <c r="ER254" i="1" s="1"/>
  <c r="CX230" i="1"/>
  <c r="CY230" i="1" s="1"/>
  <c r="DQ230" i="1" s="1"/>
  <c r="W160" i="1"/>
  <c r="X160" i="1" s="1"/>
  <c r="AV160" i="1" s="1"/>
  <c r="CO156" i="1"/>
  <c r="CP156" i="1" s="1"/>
  <c r="DN156" i="1" s="1"/>
  <c r="EN110" i="1"/>
  <c r="EP110" i="1" s="1"/>
  <c r="EE64" i="1"/>
  <c r="EG64" i="1" s="1"/>
  <c r="BV4" i="1"/>
  <c r="BX4" i="1" s="1"/>
  <c r="DV9" i="1"/>
  <c r="DX9" i="1" s="1"/>
  <c r="BW204" i="1"/>
  <c r="BL65" i="1"/>
  <c r="BZ141" i="1"/>
  <c r="AC107" i="1"/>
  <c r="AD107" i="1" s="1"/>
  <c r="AX107" i="1" s="1"/>
  <c r="CL139" i="1"/>
  <c r="CM139" i="1" s="1"/>
  <c r="DM139" i="1" s="1"/>
  <c r="EG230" i="1"/>
  <c r="BM188" i="1"/>
  <c r="BO188" i="1" s="1"/>
  <c r="BJ188" i="1"/>
  <c r="BL188" i="1" s="1"/>
  <c r="EB127" i="1"/>
  <c r="ED127" i="1" s="1"/>
  <c r="T106" i="1"/>
  <c r="U106" i="1" s="1"/>
  <c r="AU106" i="1" s="1"/>
  <c r="BX20" i="1"/>
  <c r="EK174" i="1"/>
  <c r="EM174" i="1" s="1"/>
  <c r="Z113" i="1"/>
  <c r="AA113" i="1" s="1"/>
  <c r="AW113" i="1" s="1"/>
  <c r="DJ61" i="1"/>
  <c r="DK61" i="1" s="1"/>
  <c r="DU61" i="1" s="1"/>
  <c r="AI20" i="1"/>
  <c r="AJ20" i="1" s="1"/>
  <c r="AZ20" i="1" s="1"/>
  <c r="DG251" i="1"/>
  <c r="DH251" i="1" s="1"/>
  <c r="DT251" i="1" s="1"/>
  <c r="Z224" i="1"/>
  <c r="AA224" i="1" s="1"/>
  <c r="AW224" i="1" s="1"/>
  <c r="AF240" i="1"/>
  <c r="AG240" i="1" s="1"/>
  <c r="AY240" i="1" s="1"/>
  <c r="CU232" i="1"/>
  <c r="CV232" i="1" s="1"/>
  <c r="DP232" i="1" s="1"/>
  <c r="EB172" i="1"/>
  <c r="ED172" i="1" s="1"/>
  <c r="EH174" i="1"/>
  <c r="EJ174" i="1" s="1"/>
  <c r="AI73" i="1"/>
  <c r="AJ73" i="1" s="1"/>
  <c r="AZ73" i="1" s="1"/>
  <c r="Z245" i="1"/>
  <c r="AA245" i="1" s="1"/>
  <c r="AW245" i="1" s="1"/>
  <c r="CX200" i="1"/>
  <c r="CY200" i="1" s="1"/>
  <c r="DQ200" i="1" s="1"/>
  <c r="AO168" i="1"/>
  <c r="AP168" i="1" s="1"/>
  <c r="BB168" i="1" s="1"/>
  <c r="BV110" i="1"/>
  <c r="BX110" i="1" s="1"/>
  <c r="CR83" i="1"/>
  <c r="CS83" i="1" s="1"/>
  <c r="DO83" i="1" s="1"/>
  <c r="AO37" i="1"/>
  <c r="AP37" i="1" s="1"/>
  <c r="BB37" i="1" s="1"/>
  <c r="CR176" i="1"/>
  <c r="CS176" i="1" s="1"/>
  <c r="DO176" i="1" s="1"/>
  <c r="CE240" i="1"/>
  <c r="CG240" i="1" s="1"/>
  <c r="AC95" i="1"/>
  <c r="AD95" i="1" s="1"/>
  <c r="AX95" i="1" s="1"/>
  <c r="BV50" i="1"/>
  <c r="BX50" i="1" s="1"/>
  <c r="EQ152" i="1"/>
  <c r="ER152" i="1" s="1"/>
  <c r="DG226" i="1"/>
  <c r="DH226" i="1" s="1"/>
  <c r="DT226" i="1" s="1"/>
  <c r="DG172" i="1"/>
  <c r="DH172" i="1" s="1"/>
  <c r="DT172" i="1" s="1"/>
  <c r="DG155" i="1"/>
  <c r="DH155" i="1" s="1"/>
  <c r="DT155" i="1" s="1"/>
  <c r="CR102" i="1"/>
  <c r="CS102" i="1" s="1"/>
  <c r="DO102" i="1" s="1"/>
  <c r="BM60" i="1"/>
  <c r="BO60" i="1" s="1"/>
  <c r="T13" i="1"/>
  <c r="U13" i="1" s="1"/>
  <c r="AU13" i="1" s="1"/>
  <c r="EO293" i="1"/>
  <c r="EC281" i="1"/>
  <c r="EG277" i="1"/>
  <c r="EH226" i="1"/>
  <c r="EJ226" i="1" s="1"/>
  <c r="EW229" i="1"/>
  <c r="EX229" i="1" s="1"/>
  <c r="EX215" i="1"/>
  <c r="BJ140" i="1"/>
  <c r="BL140" i="1" s="1"/>
  <c r="BS116" i="1"/>
  <c r="BT116" i="1" s="1"/>
  <c r="W70" i="1"/>
  <c r="X70" i="1" s="1"/>
  <c r="AV70" i="1" s="1"/>
  <c r="BD258" i="1"/>
  <c r="BE258" i="1" s="1"/>
  <c r="EW156" i="1"/>
  <c r="EY156" i="1" s="1"/>
  <c r="DG116" i="1"/>
  <c r="DH116" i="1" s="1"/>
  <c r="DT116" i="1" s="1"/>
  <c r="CB22" i="1"/>
  <c r="CD22" i="1" s="1"/>
  <c r="EI229" i="1"/>
  <c r="CL166" i="1"/>
  <c r="CM166" i="1" s="1"/>
  <c r="DM166" i="1" s="1"/>
  <c r="BY143" i="1"/>
  <c r="BZ143" i="1" s="1"/>
  <c r="CB113" i="1"/>
  <c r="CC113" i="1" s="1"/>
  <c r="DJ143" i="1"/>
  <c r="DK143" i="1" s="1"/>
  <c r="DU143" i="1" s="1"/>
  <c r="EY58" i="1"/>
  <c r="EV287" i="1"/>
  <c r="CU229" i="1"/>
  <c r="CV229" i="1" s="1"/>
  <c r="DP229" i="1" s="1"/>
  <c r="BP208" i="1"/>
  <c r="BR208" i="1" s="1"/>
  <c r="CG224" i="1"/>
  <c r="CF224" i="1"/>
  <c r="Z252" i="1"/>
  <c r="AA252" i="1" s="1"/>
  <c r="AW252" i="1" s="1"/>
  <c r="W247" i="1"/>
  <c r="X247" i="1" s="1"/>
  <c r="AV247" i="1" s="1"/>
  <c r="DJ172" i="1"/>
  <c r="DK172" i="1" s="1"/>
  <c r="DU172" i="1" s="1"/>
  <c r="EK139" i="1"/>
  <c r="EL139" i="1" s="1"/>
  <c r="DJ133" i="1"/>
  <c r="DK133" i="1" s="1"/>
  <c r="DU133" i="1" s="1"/>
  <c r="EN126" i="1"/>
  <c r="EP126" i="1" s="1"/>
  <c r="BP258" i="1"/>
  <c r="BR258" i="1" s="1"/>
  <c r="Z244" i="1"/>
  <c r="AA244" i="1" s="1"/>
  <c r="AW244" i="1" s="1"/>
  <c r="DV257" i="1"/>
  <c r="DW257" i="1" s="1"/>
  <c r="DJ204" i="1"/>
  <c r="DK204" i="1" s="1"/>
  <c r="DU204" i="1" s="1"/>
  <c r="ER207" i="1"/>
  <c r="CO176" i="1"/>
  <c r="CP176" i="1" s="1"/>
  <c r="DN176" i="1" s="1"/>
  <c r="EK160" i="1"/>
  <c r="EM160" i="1" s="1"/>
  <c r="AL22" i="1"/>
  <c r="AM22" i="1" s="1"/>
  <c r="BA22" i="1" s="1"/>
  <c r="BP16" i="1"/>
  <c r="BR16" i="1" s="1"/>
  <c r="BM256" i="1"/>
  <c r="BN256" i="1" s="1"/>
  <c r="CR230" i="1"/>
  <c r="CS230" i="1" s="1"/>
  <c r="DO230" i="1" s="1"/>
  <c r="BK194" i="1"/>
  <c r="DG198" i="1"/>
  <c r="DH198" i="1" s="1"/>
  <c r="DT198" i="1" s="1"/>
  <c r="AC171" i="1"/>
  <c r="AD171" i="1" s="1"/>
  <c r="AX171" i="1" s="1"/>
  <c r="AR224" i="1"/>
  <c r="AS224" i="1" s="1"/>
  <c r="BC224" i="1" s="1"/>
  <c r="Q8" i="1"/>
  <c r="R8" i="1" s="1"/>
  <c r="AT8" i="1" s="1"/>
  <c r="CB202" i="1"/>
  <c r="CC202" i="1" s="1"/>
  <c r="Z120" i="1"/>
  <c r="AA120" i="1" s="1"/>
  <c r="AW120" i="1" s="1"/>
  <c r="CU68" i="1"/>
  <c r="CV68" i="1" s="1"/>
  <c r="DP68" i="1" s="1"/>
  <c r="DV22" i="1"/>
  <c r="DX22" i="1" s="1"/>
  <c r="EU198" i="1"/>
  <c r="CX62" i="1"/>
  <c r="CY62" i="1" s="1"/>
  <c r="DQ62" i="1" s="1"/>
  <c r="W194" i="1"/>
  <c r="X194" i="1" s="1"/>
  <c r="AV194" i="1" s="1"/>
  <c r="BO244" i="1"/>
  <c r="CR173" i="1"/>
  <c r="CS173" i="1" s="1"/>
  <c r="DO173" i="1" s="1"/>
  <c r="AO77" i="1"/>
  <c r="AP77" i="1" s="1"/>
  <c r="BB77" i="1" s="1"/>
  <c r="AO121" i="1"/>
  <c r="AP121" i="1" s="1"/>
  <c r="BB121" i="1" s="1"/>
  <c r="CB194" i="1"/>
  <c r="CD194" i="1" s="1"/>
  <c r="DY215" i="1"/>
  <c r="DZ215" i="1" s="1"/>
  <c r="AL130" i="1"/>
  <c r="AM130" i="1" s="1"/>
  <c r="BA130" i="1" s="1"/>
  <c r="BM16" i="1"/>
  <c r="BN16" i="1" s="1"/>
  <c r="AO225" i="1"/>
  <c r="AP225" i="1" s="1"/>
  <c r="BB225" i="1" s="1"/>
  <c r="EI68" i="1"/>
  <c r="CL256" i="1"/>
  <c r="CM256" i="1" s="1"/>
  <c r="DM256" i="1" s="1"/>
  <c r="AF143" i="1"/>
  <c r="AG143" i="1" s="1"/>
  <c r="AY143" i="1" s="1"/>
  <c r="CU145" i="1"/>
  <c r="CV145" i="1" s="1"/>
  <c r="DP145" i="1" s="1"/>
  <c r="BF8" i="1"/>
  <c r="EQ246" i="1"/>
  <c r="CI236" i="1"/>
  <c r="CJ236" i="1" s="1"/>
  <c r="DL236" i="1" s="1"/>
  <c r="EK88" i="1"/>
  <c r="EM88" i="1" s="1"/>
  <c r="CB74" i="1"/>
  <c r="X209" i="1"/>
  <c r="EW43" i="1"/>
  <c r="EX43" i="1" s="1"/>
  <c r="CR135" i="1"/>
  <c r="CS135" i="1" s="1"/>
  <c r="DO135" i="1" s="1"/>
  <c r="EN107" i="1"/>
  <c r="EP107" i="1" s="1"/>
  <c r="DJ184" i="1"/>
  <c r="DK184" i="1" s="1"/>
  <c r="DU184" i="1" s="1"/>
  <c r="BS153" i="1"/>
  <c r="BT153" i="1" s="1"/>
  <c r="EO125" i="1"/>
  <c r="T18" i="1"/>
  <c r="U18" i="1" s="1"/>
  <c r="AU18" i="1" s="1"/>
  <c r="AI38" i="1"/>
  <c r="AJ38" i="1" s="1"/>
  <c r="AZ38" i="1" s="1"/>
  <c r="BH18" i="1"/>
  <c r="BM122" i="1"/>
  <c r="BO122" i="1" s="1"/>
  <c r="DG50" i="1"/>
  <c r="DH50" i="1" s="1"/>
  <c r="DT50" i="1" s="1"/>
  <c r="AO162" i="1"/>
  <c r="AP162" i="1" s="1"/>
  <c r="BB162" i="1" s="1"/>
  <c r="EV50" i="1"/>
  <c r="BP191" i="1"/>
  <c r="BR191" i="1" s="1"/>
  <c r="W16" i="1"/>
  <c r="X16" i="1" s="1"/>
  <c r="AV16" i="1" s="1"/>
  <c r="BT65" i="1"/>
  <c r="AF65" i="1"/>
  <c r="AG65" i="1" s="1"/>
  <c r="AY65" i="1" s="1"/>
  <c r="W37" i="1"/>
  <c r="X37" i="1" s="1"/>
  <c r="AV37" i="1" s="1"/>
  <c r="CX31" i="1"/>
  <c r="CY31" i="1" s="1"/>
  <c r="DQ31" i="1" s="1"/>
  <c r="DG26" i="1"/>
  <c r="DH26" i="1" s="1"/>
  <c r="DT26" i="1" s="1"/>
  <c r="CC37" i="1"/>
  <c r="AL97" i="1"/>
  <c r="AM97" i="1" s="1"/>
  <c r="BA97" i="1" s="1"/>
  <c r="AO63" i="1"/>
  <c r="AP63" i="1" s="1"/>
  <c r="BB63" i="1" s="1"/>
  <c r="AC10" i="1"/>
  <c r="AD10" i="1" s="1"/>
  <c r="AX10" i="1" s="1"/>
  <c r="EV26" i="1"/>
  <c r="BM126" i="1"/>
  <c r="BN126" i="1" s="1"/>
  <c r="DA99" i="1"/>
  <c r="DB99" i="1" s="1"/>
  <c r="DR99" i="1" s="1"/>
  <c r="BV75" i="1"/>
  <c r="BX75" i="1" s="1"/>
  <c r="T72" i="1"/>
  <c r="U72" i="1" s="1"/>
  <c r="AU72" i="1" s="1"/>
  <c r="BD90" i="1"/>
  <c r="BF90" i="1" s="1"/>
  <c r="AI13" i="1"/>
  <c r="AJ13" i="1" s="1"/>
  <c r="AZ13" i="1" s="1"/>
  <c r="Z74" i="1"/>
  <c r="AA74" i="1" s="1"/>
  <c r="AW74" i="1" s="1"/>
  <c r="EQ63" i="1"/>
  <c r="ER63" i="1" s="1"/>
  <c r="EE60" i="1"/>
  <c r="EG60" i="1" s="1"/>
  <c r="BH13" i="1"/>
  <c r="CF175" i="1"/>
  <c r="ET163" i="1"/>
  <c r="EV163" i="1" s="1"/>
  <c r="AI115" i="1"/>
  <c r="AJ115" i="1" s="1"/>
  <c r="AZ115" i="1" s="1"/>
  <c r="BY58" i="1"/>
  <c r="BZ58" i="1" s="1"/>
  <c r="BS194" i="1"/>
  <c r="BU194" i="1" s="1"/>
  <c r="BX115" i="1"/>
  <c r="BM132" i="1"/>
  <c r="BO132" i="1" s="1"/>
  <c r="Z246" i="1"/>
  <c r="AA246" i="1" s="1"/>
  <c r="AW246" i="1" s="1"/>
  <c r="EF240" i="1"/>
  <c r="CX216" i="1"/>
  <c r="CY216" i="1" s="1"/>
  <c r="DQ216" i="1" s="1"/>
  <c r="CL32" i="1"/>
  <c r="CM32" i="1" s="1"/>
  <c r="DM32" i="1" s="1"/>
  <c r="T87" i="1"/>
  <c r="U87" i="1" s="1"/>
  <c r="AU87" i="1" s="1"/>
  <c r="BW89" i="1"/>
  <c r="EV292" i="1"/>
  <c r="EY276" i="1"/>
  <c r="CI238" i="1"/>
  <c r="CJ238" i="1" s="1"/>
  <c r="DL238" i="1" s="1"/>
  <c r="CU233" i="1"/>
  <c r="CV233" i="1" s="1"/>
  <c r="DP233" i="1" s="1"/>
  <c r="DD137" i="1"/>
  <c r="DE137" i="1" s="1"/>
  <c r="DS137" i="1" s="1"/>
  <c r="AI71" i="1"/>
  <c r="AJ71" i="1" s="1"/>
  <c r="AZ71" i="1" s="1"/>
  <c r="BP104" i="1"/>
  <c r="BR104" i="1" s="1"/>
  <c r="W256" i="1"/>
  <c r="X256" i="1" s="1"/>
  <c r="AV256" i="1" s="1"/>
  <c r="BT228" i="1"/>
  <c r="CB69" i="1"/>
  <c r="CC69" i="1" s="1"/>
  <c r="AO82" i="1"/>
  <c r="AP82" i="1" s="1"/>
  <c r="BB82" i="1" s="1"/>
  <c r="BK256" i="1"/>
  <c r="EA246" i="1"/>
  <c r="EL268" i="1"/>
  <c r="Z242" i="1"/>
  <c r="AA242" i="1" s="1"/>
  <c r="AW242" i="1" s="1"/>
  <c r="ET140" i="1"/>
  <c r="EU140" i="1" s="1"/>
  <c r="BV112" i="1"/>
  <c r="BX112" i="1" s="1"/>
  <c r="BM83" i="1"/>
  <c r="BO83" i="1" s="1"/>
  <c r="BY88" i="1"/>
  <c r="CA88" i="1" s="1"/>
  <c r="Q65" i="1"/>
  <c r="R65" i="1" s="1"/>
  <c r="AT65" i="1" s="1"/>
  <c r="EX269" i="1"/>
  <c r="BM204" i="1"/>
  <c r="BN204" i="1" s="1"/>
  <c r="T150" i="1"/>
  <c r="U150" i="1" s="1"/>
  <c r="AU150" i="1" s="1"/>
  <c r="BS145" i="1"/>
  <c r="BT145" i="1" s="1"/>
  <c r="AR123" i="1"/>
  <c r="AS123" i="1" s="1"/>
  <c r="BC123" i="1" s="1"/>
  <c r="AL49" i="1"/>
  <c r="AM49" i="1" s="1"/>
  <c r="BA49" i="1" s="1"/>
  <c r="AI89" i="1"/>
  <c r="AJ89" i="1" s="1"/>
  <c r="AZ89" i="1" s="1"/>
  <c r="AR175" i="1"/>
  <c r="AS175" i="1" s="1"/>
  <c r="BC175" i="1" s="1"/>
  <c r="T138" i="1"/>
  <c r="U138" i="1" s="1"/>
  <c r="AU138" i="1" s="1"/>
  <c r="W73" i="1"/>
  <c r="X73" i="1" s="1"/>
  <c r="AV73" i="1" s="1"/>
  <c r="CD8" i="1"/>
  <c r="CB200" i="1"/>
  <c r="CD200" i="1" s="1"/>
  <c r="AR231" i="1"/>
  <c r="AS231" i="1" s="1"/>
  <c r="BC231" i="1" s="1"/>
  <c r="CR153" i="1"/>
  <c r="CS153" i="1" s="1"/>
  <c r="DO153" i="1" s="1"/>
  <c r="EN134" i="1"/>
  <c r="EP134" i="1" s="1"/>
  <c r="DG91" i="1"/>
  <c r="DH91" i="1" s="1"/>
  <c r="DT91" i="1" s="1"/>
  <c r="EK114" i="1"/>
  <c r="EM114" i="1" s="1"/>
  <c r="AL74" i="1"/>
  <c r="AM74" i="1" s="1"/>
  <c r="BA74" i="1" s="1"/>
  <c r="AC41" i="1"/>
  <c r="AD41" i="1" s="1"/>
  <c r="AX41" i="1" s="1"/>
  <c r="CL246" i="1"/>
  <c r="CM246" i="1" s="1"/>
  <c r="DM246" i="1" s="1"/>
  <c r="AO8" i="1"/>
  <c r="AP8" i="1" s="1"/>
  <c r="BB8" i="1" s="1"/>
  <c r="BV165" i="1"/>
  <c r="ES177" i="1"/>
  <c r="ER177" i="1"/>
  <c r="EG176" i="1"/>
  <c r="EF176" i="1"/>
  <c r="AR203" i="1"/>
  <c r="AS203" i="1" s="1"/>
  <c r="BC203" i="1" s="1"/>
  <c r="BS164" i="1"/>
  <c r="BT164" i="1" s="1"/>
  <c r="BL100" i="1"/>
  <c r="DD60" i="1"/>
  <c r="DE60" i="1" s="1"/>
  <c r="DS60" i="1" s="1"/>
  <c r="W11" i="1"/>
  <c r="X11" i="1" s="1"/>
  <c r="AV11" i="1" s="1"/>
  <c r="EH21" i="1"/>
  <c r="EI21" i="1" s="1"/>
  <c r="AO67" i="1"/>
  <c r="AP67" i="1" s="1"/>
  <c r="BB67" i="1" s="1"/>
  <c r="AL76" i="1"/>
  <c r="AM76" i="1" s="1"/>
  <c r="BA76" i="1" s="1"/>
  <c r="EI30" i="1"/>
  <c r="EW13" i="1"/>
  <c r="EY13" i="1" s="1"/>
  <c r="EX288" i="1"/>
  <c r="DA253" i="1"/>
  <c r="DB253" i="1" s="1"/>
  <c r="DR253" i="1" s="1"/>
  <c r="EK190" i="1"/>
  <c r="EL190" i="1" s="1"/>
  <c r="Q180" i="1"/>
  <c r="R180" i="1" s="1"/>
  <c r="AT180" i="1" s="1"/>
  <c r="DZ168" i="1"/>
  <c r="BM165" i="1"/>
  <c r="BO165" i="1" s="1"/>
  <c r="EO195" i="1"/>
  <c r="EU199" i="1"/>
  <c r="CF203" i="1"/>
  <c r="EL57" i="1"/>
  <c r="DV10" i="1"/>
  <c r="DX10" i="1" s="1"/>
  <c r="BM202" i="1"/>
  <c r="BO202" i="1" s="1"/>
  <c r="CD239" i="1"/>
  <c r="DJ269" i="1"/>
  <c r="DK269" i="1" s="1"/>
  <c r="DU269" i="1" s="1"/>
  <c r="DG186" i="1"/>
  <c r="DH186" i="1" s="1"/>
  <c r="DT186" i="1" s="1"/>
  <c r="BS141" i="1"/>
  <c r="BT141" i="1" s="1"/>
  <c r="Z73" i="1"/>
  <c r="AA73" i="1" s="1"/>
  <c r="AW73" i="1" s="1"/>
  <c r="EK151" i="1"/>
  <c r="EL151" i="1" s="1"/>
  <c r="AL204" i="1"/>
  <c r="AM204" i="1" s="1"/>
  <c r="BA204" i="1" s="1"/>
  <c r="DA175" i="1"/>
  <c r="DB175" i="1" s="1"/>
  <c r="DR175" i="1" s="1"/>
  <c r="T62" i="1"/>
  <c r="U62" i="1" s="1"/>
  <c r="AU62" i="1" s="1"/>
  <c r="CX57" i="1"/>
  <c r="CY57" i="1" s="1"/>
  <c r="DQ57" i="1" s="1"/>
  <c r="BG49" i="1"/>
  <c r="BI49" i="1" s="1"/>
  <c r="DD177" i="1"/>
  <c r="DE177" i="1" s="1"/>
  <c r="DS177" i="1" s="1"/>
  <c r="EX289" i="1"/>
  <c r="Q210" i="1"/>
  <c r="R210" i="1" s="1"/>
  <c r="AT210" i="1" s="1"/>
  <c r="DA195" i="1"/>
  <c r="DB195" i="1" s="1"/>
  <c r="DR195" i="1" s="1"/>
  <c r="ER289" i="1"/>
  <c r="W249" i="1"/>
  <c r="X249" i="1" s="1"/>
  <c r="AV249" i="1" s="1"/>
  <c r="AI239" i="1"/>
  <c r="AJ239" i="1" s="1"/>
  <c r="AZ239" i="1" s="1"/>
  <c r="AO238" i="1"/>
  <c r="AP238" i="1" s="1"/>
  <c r="BB238" i="1" s="1"/>
  <c r="BS213" i="1"/>
  <c r="BU213" i="1" s="1"/>
  <c r="W214" i="1"/>
  <c r="X214" i="1" s="1"/>
  <c r="AV214" i="1" s="1"/>
  <c r="ER179" i="1"/>
  <c r="AF123" i="1"/>
  <c r="AG123" i="1" s="1"/>
  <c r="AY123" i="1" s="1"/>
  <c r="EW129" i="1"/>
  <c r="EY129" i="1" s="1"/>
  <c r="W126" i="1"/>
  <c r="X126" i="1" s="1"/>
  <c r="AV126" i="1" s="1"/>
  <c r="CU30" i="1"/>
  <c r="CV30" i="1" s="1"/>
  <c r="DP30" i="1" s="1"/>
  <c r="T4" i="1"/>
  <c r="U4" i="1" s="1"/>
  <c r="AU4" i="1" s="1"/>
  <c r="BM127" i="1"/>
  <c r="BO127" i="1" s="1"/>
  <c r="AL28" i="1"/>
  <c r="AM28" i="1" s="1"/>
  <c r="BA28" i="1" s="1"/>
  <c r="DD95" i="1"/>
  <c r="DE95" i="1" s="1"/>
  <c r="DS95" i="1" s="1"/>
  <c r="BZ204" i="1"/>
  <c r="EX303" i="1"/>
  <c r="BS236" i="1"/>
  <c r="BU236" i="1" s="1"/>
  <c r="DV184" i="1"/>
  <c r="DW184" i="1" s="1"/>
  <c r="DV61" i="1"/>
  <c r="DW61" i="1" s="1"/>
  <c r="BM71" i="1"/>
  <c r="BN71" i="1" s="1"/>
  <c r="EK65" i="1"/>
  <c r="ET263" i="1"/>
  <c r="EV263" i="1" s="1"/>
  <c r="CO242" i="1"/>
  <c r="CP242" i="1" s="1"/>
  <c r="DN242" i="1" s="1"/>
  <c r="EQ228" i="1"/>
  <c r="ER228" i="1" s="1"/>
  <c r="DD179" i="1"/>
  <c r="DE179" i="1" s="1"/>
  <c r="DS179" i="1" s="1"/>
  <c r="AC137" i="1"/>
  <c r="AD137" i="1" s="1"/>
  <c r="AX137" i="1" s="1"/>
  <c r="BM20" i="1"/>
  <c r="BN20" i="1" s="1"/>
  <c r="EU186" i="1"/>
  <c r="EK254" i="1"/>
  <c r="EL254" i="1" s="1"/>
  <c r="AC247" i="1"/>
  <c r="AD247" i="1" s="1"/>
  <c r="AX247" i="1" s="1"/>
  <c r="EP194" i="1"/>
  <c r="BG164" i="1"/>
  <c r="BH164" i="1" s="1"/>
  <c r="AF113" i="1"/>
  <c r="AG113" i="1" s="1"/>
  <c r="AY113" i="1" s="1"/>
  <c r="BS39" i="1"/>
  <c r="BU39" i="1" s="1"/>
  <c r="ET139" i="1"/>
  <c r="EV139" i="1" s="1"/>
  <c r="CX71" i="1"/>
  <c r="CY71" i="1" s="1"/>
  <c r="DQ71" i="1" s="1"/>
  <c r="BM43" i="1"/>
  <c r="BN43" i="1" s="1"/>
  <c r="EE271" i="1"/>
  <c r="EG271" i="1" s="1"/>
  <c r="BV174" i="1"/>
  <c r="BX174" i="1" s="1"/>
  <c r="AC193" i="1"/>
  <c r="AD193" i="1" s="1"/>
  <c r="AX193" i="1" s="1"/>
  <c r="EH98" i="1"/>
  <c r="EJ98" i="1" s="1"/>
  <c r="EP283" i="1"/>
  <c r="AO205" i="1"/>
  <c r="AP205" i="1" s="1"/>
  <c r="BB205" i="1" s="1"/>
  <c r="T194" i="1"/>
  <c r="U194" i="1" s="1"/>
  <c r="AU194" i="1" s="1"/>
  <c r="DV111" i="1"/>
  <c r="DW111" i="1" s="1"/>
  <c r="DJ73" i="1"/>
  <c r="DK73" i="1" s="1"/>
  <c r="DU73" i="1" s="1"/>
  <c r="BG47" i="1"/>
  <c r="BI47" i="1" s="1"/>
  <c r="Q245" i="1"/>
  <c r="R245" i="1" s="1"/>
  <c r="AT245" i="1" s="1"/>
  <c r="CB110" i="1"/>
  <c r="CC110" i="1" s="1"/>
  <c r="Q26" i="1"/>
  <c r="R26" i="1" s="1"/>
  <c r="AT26" i="1" s="1"/>
  <c r="T231" i="1"/>
  <c r="U231" i="1" s="1"/>
  <c r="AU231" i="1" s="1"/>
  <c r="CL184" i="1"/>
  <c r="CM184" i="1" s="1"/>
  <c r="DM184" i="1" s="1"/>
  <c r="DD153" i="1"/>
  <c r="DE153" i="1" s="1"/>
  <c r="DS153" i="1" s="1"/>
  <c r="Q152" i="1"/>
  <c r="R152" i="1" s="1"/>
  <c r="AT152" i="1" s="1"/>
  <c r="DJ140" i="1"/>
  <c r="DK140" i="1" s="1"/>
  <c r="DU140" i="1" s="1"/>
  <c r="CB31" i="1"/>
  <c r="CC31" i="1" s="1"/>
  <c r="CL168" i="1"/>
  <c r="CM168" i="1" s="1"/>
  <c r="DM168" i="1" s="1"/>
  <c r="Z227" i="1"/>
  <c r="AA227" i="1" s="1"/>
  <c r="AW227" i="1" s="1"/>
  <c r="ER295" i="1"/>
  <c r="CG256" i="1"/>
  <c r="AR129" i="1"/>
  <c r="AS129" i="1" s="1"/>
  <c r="BC129" i="1" s="1"/>
  <c r="EL71" i="1"/>
  <c r="CA30" i="1"/>
  <c r="BN227" i="1"/>
  <c r="Z214" i="1"/>
  <c r="AA214" i="1" s="1"/>
  <c r="AW214" i="1" s="1"/>
  <c r="CU166" i="1"/>
  <c r="CV166" i="1" s="1"/>
  <c r="DP166" i="1" s="1"/>
  <c r="EH20" i="1"/>
  <c r="EJ20" i="1" s="1"/>
  <c r="AL147" i="1"/>
  <c r="AM147" i="1" s="1"/>
  <c r="BA147" i="1" s="1"/>
  <c r="CI229" i="1"/>
  <c r="CJ229" i="1" s="1"/>
  <c r="DL229" i="1" s="1"/>
  <c r="AI202" i="1"/>
  <c r="AJ202" i="1" s="1"/>
  <c r="AZ202" i="1" s="1"/>
  <c r="BW202" i="1"/>
  <c r="BY139" i="1"/>
  <c r="BZ139" i="1" s="1"/>
  <c r="CD127" i="1"/>
  <c r="ET123" i="1"/>
  <c r="EV123" i="1" s="1"/>
  <c r="EH61" i="1"/>
  <c r="EI61" i="1" s="1"/>
  <c r="EA276" i="1"/>
  <c r="CC205" i="1"/>
  <c r="BJ204" i="1"/>
  <c r="BL204" i="1" s="1"/>
  <c r="BK95" i="1"/>
  <c r="BL95" i="1"/>
  <c r="AI152" i="1"/>
  <c r="AJ152" i="1" s="1"/>
  <c r="AZ152" i="1" s="1"/>
  <c r="EP172" i="1"/>
  <c r="BK81" i="1"/>
  <c r="EB110" i="1"/>
  <c r="ED110" i="1" s="1"/>
  <c r="BY239" i="1"/>
  <c r="BZ239" i="1" s="1"/>
  <c r="AF176" i="1"/>
  <c r="AG176" i="1" s="1"/>
  <c r="AY176" i="1" s="1"/>
  <c r="Q11" i="1"/>
  <c r="R11" i="1" s="1"/>
  <c r="AT11" i="1" s="1"/>
  <c r="EC293" i="1"/>
  <c r="DZ283" i="1"/>
  <c r="DJ262" i="1"/>
  <c r="DK262" i="1" s="1"/>
  <c r="DU262" i="1" s="1"/>
  <c r="CB214" i="1"/>
  <c r="CC214" i="1" s="1"/>
  <c r="CO175" i="1"/>
  <c r="CP175" i="1" s="1"/>
  <c r="DN175" i="1" s="1"/>
  <c r="BZ51" i="1"/>
  <c r="EO287" i="1"/>
  <c r="EW211" i="1"/>
  <c r="EY211" i="1" s="1"/>
  <c r="CX218" i="1"/>
  <c r="CY218" i="1" s="1"/>
  <c r="DQ218" i="1" s="1"/>
  <c r="BT127" i="1"/>
  <c r="Q41" i="1"/>
  <c r="R41" i="1" s="1"/>
  <c r="AT41" i="1" s="1"/>
  <c r="CD11" i="1"/>
  <c r="EB214" i="1"/>
  <c r="ED214" i="1" s="1"/>
  <c r="BV217" i="1"/>
  <c r="BW217" i="1" s="1"/>
  <c r="T258" i="1"/>
  <c r="U258" i="1" s="1"/>
  <c r="AU258" i="1" s="1"/>
  <c r="W242" i="1"/>
  <c r="X242" i="1" s="1"/>
  <c r="AV242" i="1" s="1"/>
  <c r="EM245" i="1"/>
  <c r="BG236" i="1"/>
  <c r="BI236" i="1" s="1"/>
  <c r="CE158" i="1"/>
  <c r="CG158" i="1" s="1"/>
  <c r="W81" i="1"/>
  <c r="X81" i="1" s="1"/>
  <c r="AV81" i="1" s="1"/>
  <c r="EK78" i="1"/>
  <c r="EM78" i="1" s="1"/>
  <c r="BY16" i="1"/>
  <c r="CA16" i="1" s="1"/>
  <c r="DG10" i="1"/>
  <c r="DH10" i="1" s="1"/>
  <c r="DT10" i="1" s="1"/>
  <c r="EN87" i="1"/>
  <c r="EP87" i="1" s="1"/>
  <c r="EX302" i="1"/>
  <c r="DZ284" i="1"/>
  <c r="EO279" i="1"/>
  <c r="EQ239" i="1"/>
  <c r="ER239" i="1" s="1"/>
  <c r="BJ163" i="1"/>
  <c r="BK163" i="1" s="1"/>
  <c r="T126" i="1"/>
  <c r="U126" i="1" s="1"/>
  <c r="AU126" i="1" s="1"/>
  <c r="AO139" i="1"/>
  <c r="AP139" i="1" s="1"/>
  <c r="BB139" i="1" s="1"/>
  <c r="BR52" i="1"/>
  <c r="CO11" i="1"/>
  <c r="CP11" i="1" s="1"/>
  <c r="DN11" i="1" s="1"/>
  <c r="CU258" i="1"/>
  <c r="CV258" i="1" s="1"/>
  <c r="DP258" i="1" s="1"/>
  <c r="EI298" i="1"/>
  <c r="BH203" i="1"/>
  <c r="Q195" i="1"/>
  <c r="R195" i="1" s="1"/>
  <c r="AT195" i="1" s="1"/>
  <c r="W101" i="1"/>
  <c r="X101" i="1" s="1"/>
  <c r="AV101" i="1" s="1"/>
  <c r="BT59" i="1"/>
  <c r="DD38" i="1"/>
  <c r="DE38" i="1" s="1"/>
  <c r="DS38" i="1" s="1"/>
  <c r="BD48" i="1"/>
  <c r="BE48" i="1" s="1"/>
  <c r="BV62" i="1"/>
  <c r="BW62" i="1" s="1"/>
  <c r="EV9" i="1"/>
  <c r="CO263" i="1"/>
  <c r="CP263" i="1" s="1"/>
  <c r="DN263" i="1" s="1"/>
  <c r="EO239" i="1"/>
  <c r="T203" i="1"/>
  <c r="U203" i="1" s="1"/>
  <c r="AU203" i="1" s="1"/>
  <c r="ET136" i="1"/>
  <c r="EV136" i="1" s="1"/>
  <c r="AC90" i="1"/>
  <c r="AD90" i="1" s="1"/>
  <c r="AX90" i="1" s="1"/>
  <c r="AL73" i="1"/>
  <c r="AM73" i="1" s="1"/>
  <c r="BA73" i="1" s="1"/>
  <c r="DG75" i="1"/>
  <c r="DH75" i="1" s="1"/>
  <c r="DT75" i="1" s="1"/>
  <c r="CG74" i="1"/>
  <c r="CC32" i="1"/>
  <c r="DG9" i="1"/>
  <c r="DH9" i="1" s="1"/>
  <c r="DT9" i="1" s="1"/>
  <c r="DY269" i="1"/>
  <c r="DZ269" i="1" s="1"/>
  <c r="EH262" i="1"/>
  <c r="EJ262" i="1" s="1"/>
  <c r="BW239" i="1"/>
  <c r="CE221" i="1"/>
  <c r="CG221" i="1" s="1"/>
  <c r="DG190" i="1"/>
  <c r="DH190" i="1" s="1"/>
  <c r="DT190" i="1" s="1"/>
  <c r="AL51" i="1"/>
  <c r="AM51" i="1" s="1"/>
  <c r="BA51" i="1" s="1"/>
  <c r="CI8" i="1"/>
  <c r="CJ8" i="1" s="1"/>
  <c r="DL8" i="1" s="1"/>
  <c r="CO126" i="1"/>
  <c r="CP126" i="1" s="1"/>
  <c r="DN126" i="1" s="1"/>
  <c r="AJ105" i="1"/>
  <c r="AR74" i="1"/>
  <c r="AS74" i="1" s="1"/>
  <c r="BC74" i="1" s="1"/>
  <c r="AO32" i="1"/>
  <c r="AP32" i="1" s="1"/>
  <c r="BB32" i="1" s="1"/>
  <c r="BG65" i="1"/>
  <c r="BI65" i="1" s="1"/>
  <c r="AR8" i="1"/>
  <c r="AS8" i="1" s="1"/>
  <c r="BC8" i="1" s="1"/>
  <c r="W95" i="1"/>
  <c r="X95" i="1" s="1"/>
  <c r="AV95" i="1" s="1"/>
  <c r="DA239" i="1"/>
  <c r="DB239" i="1" s="1"/>
  <c r="DR239" i="1" s="1"/>
  <c r="EJ258" i="1"/>
  <c r="CX245" i="1"/>
  <c r="CY245" i="1" s="1"/>
  <c r="DQ245" i="1" s="1"/>
  <c r="AC52" i="1"/>
  <c r="AD52" i="1" s="1"/>
  <c r="AX52" i="1" s="1"/>
  <c r="DJ58" i="1"/>
  <c r="DK58" i="1" s="1"/>
  <c r="DU58" i="1" s="1"/>
  <c r="AO11" i="1"/>
  <c r="AP11" i="1" s="1"/>
  <c r="BB11" i="1" s="1"/>
  <c r="CA73" i="1"/>
  <c r="DD173" i="1"/>
  <c r="DE173" i="1" s="1"/>
  <c r="DS173" i="1" s="1"/>
  <c r="AO127" i="1"/>
  <c r="AP127" i="1" s="1"/>
  <c r="BB127" i="1" s="1"/>
  <c r="ES288" i="1"/>
  <c r="EE195" i="1"/>
  <c r="EG195" i="1" s="1"/>
  <c r="CU146" i="1"/>
  <c r="CV146" i="1" s="1"/>
  <c r="DP146" i="1" s="1"/>
  <c r="CL117" i="1"/>
  <c r="CM117" i="1" s="1"/>
  <c r="DM117" i="1" s="1"/>
  <c r="CA49" i="1"/>
  <c r="ED18" i="1"/>
  <c r="Q101" i="1"/>
  <c r="R101" i="1" s="1"/>
  <c r="AT101" i="1" s="1"/>
  <c r="BS102" i="1"/>
  <c r="BU102" i="1" s="1"/>
  <c r="BF101" i="1"/>
  <c r="BS32" i="1"/>
  <c r="BU32" i="1" s="1"/>
  <c r="BI19" i="1"/>
  <c r="BJ165" i="1"/>
  <c r="BK165" i="1" s="1"/>
  <c r="BN191" i="1"/>
  <c r="DJ190" i="1"/>
  <c r="DK190" i="1" s="1"/>
  <c r="DU190" i="1" s="1"/>
  <c r="CI97" i="1"/>
  <c r="CJ97" i="1" s="1"/>
  <c r="DL97" i="1" s="1"/>
  <c r="Z28" i="1"/>
  <c r="AA28" i="1" s="1"/>
  <c r="AW28" i="1" s="1"/>
  <c r="CA213" i="1"/>
  <c r="X183" i="1"/>
  <c r="BV136" i="1"/>
  <c r="BX136" i="1" s="1"/>
  <c r="CU57" i="1"/>
  <c r="CV57" i="1" s="1"/>
  <c r="DP57" i="1" s="1"/>
  <c r="ES47" i="1"/>
  <c r="CL173" i="1"/>
  <c r="CM173" i="1" s="1"/>
  <c r="DM173" i="1" s="1"/>
  <c r="CI68" i="1"/>
  <c r="CJ68" i="1" s="1"/>
  <c r="DL68" i="1" s="1"/>
  <c r="EE115" i="1"/>
  <c r="EG115" i="1" s="1"/>
  <c r="AF201" i="1"/>
  <c r="AG201" i="1" s="1"/>
  <c r="AY201" i="1" s="1"/>
  <c r="DJ71" i="1"/>
  <c r="DK71" i="1" s="1"/>
  <c r="DU71" i="1" s="1"/>
  <c r="EQ12" i="1"/>
  <c r="ES12" i="1" s="1"/>
  <c r="DY239" i="1"/>
  <c r="BD225" i="1"/>
  <c r="CX124" i="1"/>
  <c r="CY124" i="1" s="1"/>
  <c r="DQ124" i="1" s="1"/>
  <c r="ET146" i="1"/>
  <c r="EV146" i="1" s="1"/>
  <c r="AR45" i="1"/>
  <c r="AS45" i="1" s="1"/>
  <c r="BC45" i="1" s="1"/>
  <c r="EU145" i="1"/>
  <c r="AR100" i="1"/>
  <c r="AS100" i="1" s="1"/>
  <c r="BC100" i="1" s="1"/>
  <c r="EK173" i="1"/>
  <c r="EM173" i="1" s="1"/>
  <c r="EE76" i="1"/>
  <c r="AG183" i="1"/>
  <c r="R248" i="1"/>
  <c r="DZ52" i="1"/>
  <c r="DD47" i="1"/>
  <c r="DE47" i="1" s="1"/>
  <c r="DS47" i="1" s="1"/>
  <c r="CX246" i="1"/>
  <c r="CY246" i="1" s="1"/>
  <c r="DQ246" i="1" s="1"/>
  <c r="Z123" i="1"/>
  <c r="AA123" i="1" s="1"/>
  <c r="AW123" i="1" s="1"/>
  <c r="AI37" i="1"/>
  <c r="AJ37" i="1" s="1"/>
  <c r="AZ37" i="1" s="1"/>
  <c r="EW107" i="1"/>
  <c r="EY107" i="1" s="1"/>
  <c r="EW104" i="1"/>
  <c r="EY104" i="1" s="1"/>
  <c r="BR100" i="1"/>
  <c r="BQ100" i="1"/>
  <c r="BN145" i="1"/>
  <c r="BO145" i="1"/>
  <c r="BI72" i="1"/>
  <c r="BH72" i="1"/>
  <c r="AL214" i="1"/>
  <c r="AM214" i="1" s="1"/>
  <c r="BA214" i="1" s="1"/>
  <c r="CO200" i="1"/>
  <c r="CP200" i="1" s="1"/>
  <c r="DN200" i="1" s="1"/>
  <c r="DA193" i="1"/>
  <c r="DB193" i="1" s="1"/>
  <c r="DR193" i="1" s="1"/>
  <c r="EB189" i="1"/>
  <c r="ED189" i="1" s="1"/>
  <c r="CD147" i="1"/>
  <c r="EW145" i="1"/>
  <c r="EX145" i="1" s="1"/>
  <c r="EK143" i="1"/>
  <c r="EM143" i="1" s="1"/>
  <c r="EN138" i="1"/>
  <c r="EO138" i="1" s="1"/>
  <c r="CR95" i="1"/>
  <c r="CS95" i="1" s="1"/>
  <c r="DO95" i="1" s="1"/>
  <c r="CX96" i="1"/>
  <c r="CY96" i="1" s="1"/>
  <c r="DQ96" i="1" s="1"/>
  <c r="EB71" i="1"/>
  <c r="ED71" i="1" s="1"/>
  <c r="EK51" i="1"/>
  <c r="EL51" i="1" s="1"/>
  <c r="BT11" i="1"/>
  <c r="CO202" i="1"/>
  <c r="CP202" i="1" s="1"/>
  <c r="DN202" i="1" s="1"/>
  <c r="Q139" i="1"/>
  <c r="R139" i="1" s="1"/>
  <c r="AT139" i="1" s="1"/>
  <c r="AI151" i="1"/>
  <c r="AJ151" i="1" s="1"/>
  <c r="AZ151" i="1" s="1"/>
  <c r="DA19" i="1"/>
  <c r="DB19" i="1" s="1"/>
  <c r="DR19" i="1" s="1"/>
  <c r="EG33" i="1"/>
  <c r="CE239" i="1"/>
  <c r="Z145" i="1"/>
  <c r="AA145" i="1" s="1"/>
  <c r="AW145" i="1" s="1"/>
  <c r="EN224" i="1"/>
  <c r="EP224" i="1" s="1"/>
  <c r="EI171" i="1"/>
  <c r="BW138" i="1"/>
  <c r="BO113" i="1"/>
  <c r="Q70" i="1"/>
  <c r="R70" i="1" s="1"/>
  <c r="AT70" i="1" s="1"/>
  <c r="CC56" i="1"/>
  <c r="EF49" i="1"/>
  <c r="CU77" i="1"/>
  <c r="CV77" i="1" s="1"/>
  <c r="DP77" i="1" s="1"/>
  <c r="BM47" i="1"/>
  <c r="BN47" i="1" s="1"/>
  <c r="AR35" i="1"/>
  <c r="AS35" i="1" s="1"/>
  <c r="BC35" i="1" s="1"/>
  <c r="EO12" i="1"/>
  <c r="DA12" i="1"/>
  <c r="DB12" i="1" s="1"/>
  <c r="DR12" i="1" s="1"/>
  <c r="W142" i="1"/>
  <c r="X142" i="1" s="1"/>
  <c r="AV142" i="1" s="1"/>
  <c r="AC100" i="1"/>
  <c r="AD100" i="1" s="1"/>
  <c r="AX100" i="1" s="1"/>
  <c r="BG133" i="1"/>
  <c r="BI133" i="1" s="1"/>
  <c r="AI256" i="1"/>
  <c r="AJ256" i="1" s="1"/>
  <c r="AZ256" i="1" s="1"/>
  <c r="EB37" i="1"/>
  <c r="ED37" i="1" s="1"/>
  <c r="BS147" i="1"/>
  <c r="BT147" i="1" s="1"/>
  <c r="AI138" i="1"/>
  <c r="AJ138" i="1" s="1"/>
  <c r="AZ138" i="1" s="1"/>
  <c r="DW289" i="1"/>
  <c r="EY287" i="1"/>
  <c r="EM275" i="1"/>
  <c r="Z271" i="1"/>
  <c r="AA271" i="1" s="1"/>
  <c r="AW271" i="1" s="1"/>
  <c r="BH266" i="1"/>
  <c r="CL259" i="1"/>
  <c r="CM259" i="1" s="1"/>
  <c r="DM259" i="1" s="1"/>
  <c r="CU215" i="1"/>
  <c r="CV215" i="1" s="1"/>
  <c r="DP215" i="1" s="1"/>
  <c r="W226" i="1"/>
  <c r="X226" i="1" s="1"/>
  <c r="AV226" i="1" s="1"/>
  <c r="DV191" i="1"/>
  <c r="DW191" i="1" s="1"/>
  <c r="W184" i="1"/>
  <c r="X184" i="1" s="1"/>
  <c r="AV184" i="1" s="1"/>
  <c r="T149" i="1"/>
  <c r="U149" i="1" s="1"/>
  <c r="AU149" i="1" s="1"/>
  <c r="BT158" i="1"/>
  <c r="EE133" i="1"/>
  <c r="EG133" i="1" s="1"/>
  <c r="DJ78" i="1"/>
  <c r="DK78" i="1" s="1"/>
  <c r="DU78" i="1" s="1"/>
  <c r="W76" i="1"/>
  <c r="X76" i="1" s="1"/>
  <c r="AV76" i="1" s="1"/>
  <c r="ET41" i="1"/>
  <c r="EV41" i="1" s="1"/>
  <c r="Q25" i="1"/>
  <c r="R25" i="1" s="1"/>
  <c r="AT25" i="1" s="1"/>
  <c r="EU18" i="1"/>
  <c r="DD48" i="1"/>
  <c r="DE48" i="1" s="1"/>
  <c r="DS48" i="1" s="1"/>
  <c r="U40" i="1"/>
  <c r="BG195" i="1"/>
  <c r="AF110" i="1"/>
  <c r="AG110" i="1" s="1"/>
  <c r="AY110" i="1" s="1"/>
  <c r="EU301" i="1"/>
  <c r="CE254" i="1"/>
  <c r="CF254" i="1" s="1"/>
  <c r="AI242" i="1"/>
  <c r="AJ242" i="1" s="1"/>
  <c r="AZ242" i="1" s="1"/>
  <c r="EW225" i="1"/>
  <c r="EY225" i="1" s="1"/>
  <c r="AL227" i="1"/>
  <c r="AM227" i="1" s="1"/>
  <c r="BA227" i="1" s="1"/>
  <c r="BH194" i="1"/>
  <c r="AI167" i="1"/>
  <c r="AJ167" i="1" s="1"/>
  <c r="AZ167" i="1" s="1"/>
  <c r="EN190" i="1"/>
  <c r="EO190" i="1" s="1"/>
  <c r="BN163" i="1"/>
  <c r="EN163" i="1"/>
  <c r="EP163" i="1" s="1"/>
  <c r="BK184" i="1"/>
  <c r="W161" i="1"/>
  <c r="X161" i="1" s="1"/>
  <c r="AV161" i="1" s="1"/>
  <c r="EO130" i="1"/>
  <c r="AR110" i="1"/>
  <c r="AS110" i="1" s="1"/>
  <c r="BC110" i="1" s="1"/>
  <c r="AR65" i="1"/>
  <c r="AS65" i="1" s="1"/>
  <c r="BC65" i="1" s="1"/>
  <c r="CR49" i="1"/>
  <c r="CS49" i="1" s="1"/>
  <c r="DO49" i="1" s="1"/>
  <c r="AF46" i="1"/>
  <c r="AG46" i="1" s="1"/>
  <c r="AY46" i="1" s="1"/>
  <c r="AL30" i="1"/>
  <c r="AM30" i="1" s="1"/>
  <c r="BA30" i="1" s="1"/>
  <c r="EL284" i="1"/>
  <c r="AF242" i="1"/>
  <c r="AG242" i="1" s="1"/>
  <c r="AY242" i="1" s="1"/>
  <c r="DV245" i="1"/>
  <c r="EN90" i="1"/>
  <c r="CO239" i="1"/>
  <c r="CP239" i="1" s="1"/>
  <c r="DN239" i="1" s="1"/>
  <c r="EO280" i="1"/>
  <c r="BK241" i="1"/>
  <c r="BP224" i="1"/>
  <c r="BR224" i="1" s="1"/>
  <c r="AF228" i="1"/>
  <c r="AG228" i="1" s="1"/>
  <c r="AY228" i="1" s="1"/>
  <c r="EC200" i="1"/>
  <c r="DY186" i="1"/>
  <c r="EA186" i="1" s="1"/>
  <c r="Z180" i="1"/>
  <c r="AA180" i="1" s="1"/>
  <c r="AW180" i="1" s="1"/>
  <c r="AL129" i="1"/>
  <c r="AM129" i="1" s="1"/>
  <c r="BA129" i="1" s="1"/>
  <c r="DG178" i="1"/>
  <c r="DH178" i="1" s="1"/>
  <c r="DT178" i="1" s="1"/>
  <c r="T8" i="1"/>
  <c r="U8" i="1" s="1"/>
  <c r="AU8" i="1" s="1"/>
  <c r="AO10" i="1"/>
  <c r="AP10" i="1" s="1"/>
  <c r="BB10" i="1" s="1"/>
  <c r="AO30" i="1"/>
  <c r="AP30" i="1" s="1"/>
  <c r="BB30" i="1" s="1"/>
  <c r="CB204" i="1"/>
  <c r="CC204" i="1" s="1"/>
  <c r="BY127" i="1"/>
  <c r="CA127" i="1" s="1"/>
  <c r="EW259" i="1"/>
  <c r="EX259" i="1" s="1"/>
  <c r="DW288" i="1"/>
  <c r="EL276" i="1"/>
  <c r="EC239" i="1"/>
  <c r="BU195" i="1"/>
  <c r="T199" i="1"/>
  <c r="U199" i="1" s="1"/>
  <c r="AU199" i="1" s="1"/>
  <c r="Z163" i="1"/>
  <c r="AA163" i="1" s="1"/>
  <c r="AW163" i="1" s="1"/>
  <c r="Z87" i="1"/>
  <c r="AA87" i="1" s="1"/>
  <c r="AW87" i="1" s="1"/>
  <c r="Z76" i="1"/>
  <c r="AA76" i="1" s="1"/>
  <c r="AW76" i="1" s="1"/>
  <c r="DG18" i="1"/>
  <c r="DH18" i="1" s="1"/>
  <c r="DT18" i="1" s="1"/>
  <c r="BR267" i="1"/>
  <c r="CB266" i="1"/>
  <c r="CD266" i="1" s="1"/>
  <c r="EO298" i="1"/>
  <c r="AL252" i="1"/>
  <c r="AM252" i="1" s="1"/>
  <c r="BA252" i="1" s="1"/>
  <c r="EF244" i="1"/>
  <c r="BZ227" i="1"/>
  <c r="AL181" i="1"/>
  <c r="AM181" i="1" s="1"/>
  <c r="BA181" i="1" s="1"/>
  <c r="BE70" i="1"/>
  <c r="CF73" i="1"/>
  <c r="T73" i="1"/>
  <c r="U73" i="1" s="1"/>
  <c r="AU73" i="1" s="1"/>
  <c r="AC58" i="1"/>
  <c r="AD58" i="1" s="1"/>
  <c r="AX58" i="1" s="1"/>
  <c r="AC57" i="1"/>
  <c r="AD57" i="1" s="1"/>
  <c r="AX57" i="1" s="1"/>
  <c r="AO147" i="1"/>
  <c r="AP147" i="1" s="1"/>
  <c r="BB147" i="1" s="1"/>
  <c r="BM41" i="1"/>
  <c r="BO41" i="1" s="1"/>
  <c r="DG49" i="1"/>
  <c r="DH49" i="1" s="1"/>
  <c r="DT49" i="1" s="1"/>
  <c r="DD138" i="1"/>
  <c r="DE138" i="1" s="1"/>
  <c r="DS138" i="1" s="1"/>
  <c r="CR33" i="1"/>
  <c r="CS33" i="1" s="1"/>
  <c r="DO33" i="1" s="1"/>
  <c r="CR262" i="1"/>
  <c r="CS262" i="1" s="1"/>
  <c r="DO262" i="1" s="1"/>
  <c r="DG239" i="1"/>
  <c r="DH239" i="1" s="1"/>
  <c r="DT239" i="1" s="1"/>
  <c r="AF241" i="1"/>
  <c r="AG241" i="1" s="1"/>
  <c r="AY241" i="1" s="1"/>
  <c r="DJ167" i="1"/>
  <c r="DK167" i="1" s="1"/>
  <c r="DU167" i="1" s="1"/>
  <c r="EX152" i="1"/>
  <c r="W132" i="1"/>
  <c r="X132" i="1" s="1"/>
  <c r="AV132" i="1" s="1"/>
  <c r="Q83" i="1"/>
  <c r="R83" i="1" s="1"/>
  <c r="AT83" i="1" s="1"/>
  <c r="DG93" i="1"/>
  <c r="DH93" i="1" s="1"/>
  <c r="DT93" i="1" s="1"/>
  <c r="CB64" i="1"/>
  <c r="CD64" i="1" s="1"/>
  <c r="CR17" i="1"/>
  <c r="CS17" i="1" s="1"/>
  <c r="DO17" i="1" s="1"/>
  <c r="EF39" i="1"/>
  <c r="AF11" i="1"/>
  <c r="AG11" i="1" s="1"/>
  <c r="AY11" i="1" s="1"/>
  <c r="EO19" i="1"/>
  <c r="CU171" i="1"/>
  <c r="CV171" i="1" s="1"/>
  <c r="DP171" i="1" s="1"/>
  <c r="EK172" i="1"/>
  <c r="EM172" i="1" s="1"/>
  <c r="DD65" i="1"/>
  <c r="DE65" i="1" s="1"/>
  <c r="DS65" i="1" s="1"/>
  <c r="BD104" i="1"/>
  <c r="BF104" i="1" s="1"/>
  <c r="W241" i="1"/>
  <c r="X241" i="1" s="1"/>
  <c r="AV241" i="1" s="1"/>
  <c r="Q239" i="1"/>
  <c r="R239" i="1" s="1"/>
  <c r="AT239" i="1" s="1"/>
  <c r="EK225" i="1"/>
  <c r="EL225" i="1" s="1"/>
  <c r="EG188" i="1"/>
  <c r="AR177" i="1"/>
  <c r="AS177" i="1" s="1"/>
  <c r="BC177" i="1" s="1"/>
  <c r="BY189" i="1"/>
  <c r="CA189" i="1" s="1"/>
  <c r="AF158" i="1"/>
  <c r="AG158" i="1" s="1"/>
  <c r="AY158" i="1" s="1"/>
  <c r="BP161" i="1"/>
  <c r="BQ161" i="1" s="1"/>
  <c r="BS142" i="1"/>
  <c r="BU142" i="1" s="1"/>
  <c r="EL107" i="1"/>
  <c r="AR73" i="1"/>
  <c r="AS73" i="1" s="1"/>
  <c r="BC73" i="1" s="1"/>
  <c r="AO56" i="1"/>
  <c r="AP56" i="1" s="1"/>
  <c r="BB56" i="1" s="1"/>
  <c r="BV33" i="1"/>
  <c r="BX33" i="1" s="1"/>
  <c r="EB104" i="1"/>
  <c r="EC104" i="1" s="1"/>
  <c r="DG51" i="1"/>
  <c r="DH51" i="1" s="1"/>
  <c r="DT51" i="1" s="1"/>
  <c r="EW21" i="1"/>
  <c r="EY21" i="1" s="1"/>
  <c r="EF283" i="1"/>
  <c r="BD224" i="1"/>
  <c r="BF224" i="1" s="1"/>
  <c r="AF232" i="1"/>
  <c r="AG232" i="1" s="1"/>
  <c r="AY232" i="1" s="1"/>
  <c r="BY194" i="1"/>
  <c r="BZ194" i="1" s="1"/>
  <c r="AI172" i="1"/>
  <c r="AJ172" i="1" s="1"/>
  <c r="AZ172" i="1" s="1"/>
  <c r="BX167" i="1"/>
  <c r="Q100" i="1"/>
  <c r="R100" i="1" s="1"/>
  <c r="AT100" i="1" s="1"/>
  <c r="BE61" i="1"/>
  <c r="CR39" i="1"/>
  <c r="CS39" i="1" s="1"/>
  <c r="DO39" i="1" s="1"/>
  <c r="EM246" i="1"/>
  <c r="EL246" i="1"/>
  <c r="EF177" i="1"/>
  <c r="EG177" i="1"/>
  <c r="BS262" i="1"/>
  <c r="BU262" i="1" s="1"/>
  <c r="BF239" i="1"/>
  <c r="CE18" i="1"/>
  <c r="CG18" i="1" s="1"/>
  <c r="AI11" i="1"/>
  <c r="AJ11" i="1" s="1"/>
  <c r="AZ11" i="1" s="1"/>
  <c r="CL8" i="1"/>
  <c r="CM8" i="1" s="1"/>
  <c r="DM8" i="1" s="1"/>
  <c r="AF59" i="1"/>
  <c r="AG59" i="1" s="1"/>
  <c r="AY59" i="1" s="1"/>
  <c r="BD252" i="1"/>
  <c r="BE252" i="1" s="1"/>
  <c r="DG145" i="1"/>
  <c r="DH145" i="1" s="1"/>
  <c r="DT145" i="1" s="1"/>
  <c r="Q12" i="1"/>
  <c r="R12" i="1" s="1"/>
  <c r="AT12" i="1" s="1"/>
  <c r="CL147" i="1"/>
  <c r="CM147" i="1" s="1"/>
  <c r="DM147" i="1" s="1"/>
  <c r="AI127" i="1"/>
  <c r="AJ127" i="1" s="1"/>
  <c r="AZ127" i="1" s="1"/>
  <c r="DD77" i="1"/>
  <c r="DE77" i="1" s="1"/>
  <c r="DS77" i="1" s="1"/>
  <c r="BQ65" i="1"/>
  <c r="DY12" i="1"/>
  <c r="BJ52" i="1"/>
  <c r="BL52" i="1" s="1"/>
  <c r="AF127" i="1"/>
  <c r="AG127" i="1" s="1"/>
  <c r="AY127" i="1" s="1"/>
  <c r="BS186" i="1"/>
  <c r="BS41" i="1"/>
  <c r="BJ30" i="1"/>
  <c r="U118" i="1"/>
  <c r="BM58" i="1"/>
  <c r="BN58" i="1" s="1"/>
  <c r="CE39" i="1"/>
  <c r="CG39" i="1" s="1"/>
  <c r="EL296" i="1"/>
  <c r="AG170" i="1"/>
  <c r="CR177" i="1"/>
  <c r="CS177" i="1" s="1"/>
  <c r="DO177" i="1" s="1"/>
  <c r="AC37" i="1"/>
  <c r="AD37" i="1" s="1"/>
  <c r="AX37" i="1" s="1"/>
  <c r="BQ37" i="1"/>
  <c r="W225" i="1"/>
  <c r="X225" i="1" s="1"/>
  <c r="AV225" i="1" s="1"/>
  <c r="AC65" i="1"/>
  <c r="AD65" i="1" s="1"/>
  <c r="AX65" i="1" s="1"/>
  <c r="T124" i="1"/>
  <c r="U124" i="1" s="1"/>
  <c r="AU124" i="1" s="1"/>
  <c r="BG95" i="1"/>
  <c r="BI95" i="1" s="1"/>
  <c r="W63" i="1"/>
  <c r="X63" i="1" s="1"/>
  <c r="AV63" i="1" s="1"/>
  <c r="AI26" i="1"/>
  <c r="AJ26" i="1" s="1"/>
  <c r="AZ26" i="1" s="1"/>
  <c r="EI302" i="1"/>
  <c r="BX172" i="1"/>
  <c r="CR70" i="1"/>
  <c r="CS70" i="1" s="1"/>
  <c r="DO70" i="1" s="1"/>
  <c r="EW25" i="1"/>
  <c r="EY25" i="1" s="1"/>
  <c r="CB125" i="1"/>
  <c r="CD125" i="1" s="1"/>
  <c r="W94" i="1"/>
  <c r="X94" i="1" s="1"/>
  <c r="AV94" i="1" s="1"/>
  <c r="EH84" i="1"/>
  <c r="EJ84" i="1" s="1"/>
  <c r="AO51" i="1"/>
  <c r="AP51" i="1" s="1"/>
  <c r="BB51" i="1" s="1"/>
  <c r="EL100" i="1"/>
  <c r="BV8" i="1"/>
  <c r="BW8" i="1" s="1"/>
  <c r="T266" i="1"/>
  <c r="U266" i="1" s="1"/>
  <c r="AU266" i="1" s="1"/>
  <c r="EQ256" i="1"/>
  <c r="ER256" i="1" s="1"/>
  <c r="BG224" i="1"/>
  <c r="BI224" i="1" s="1"/>
  <c r="CE60" i="1"/>
  <c r="CG60" i="1" s="1"/>
  <c r="BP19" i="1"/>
  <c r="BR19" i="1" s="1"/>
  <c r="BZ190" i="1"/>
  <c r="CA190" i="1"/>
  <c r="CO16" i="1"/>
  <c r="CP16" i="1" s="1"/>
  <c r="DN16" i="1" s="1"/>
  <c r="CX256" i="1"/>
  <c r="CY256" i="1" s="1"/>
  <c r="DQ256" i="1" s="1"/>
  <c r="BN246" i="1"/>
  <c r="BD176" i="1"/>
  <c r="BF176" i="1" s="1"/>
  <c r="BV84" i="1"/>
  <c r="BX84" i="1" s="1"/>
  <c r="BT16" i="1"/>
  <c r="BR8" i="1"/>
  <c r="CX33" i="1"/>
  <c r="CY33" i="1" s="1"/>
  <c r="DQ33" i="1" s="1"/>
  <c r="EU286" i="1"/>
  <c r="DG215" i="1"/>
  <c r="DH215" i="1" s="1"/>
  <c r="DT215" i="1" s="1"/>
  <c r="DJ251" i="1"/>
  <c r="DK251" i="1" s="1"/>
  <c r="DU251" i="1" s="1"/>
  <c r="DY200" i="1"/>
  <c r="DZ200" i="1" s="1"/>
  <c r="CE141" i="1"/>
  <c r="CF141" i="1" s="1"/>
  <c r="DA132" i="1"/>
  <c r="DB132" i="1" s="1"/>
  <c r="DR132" i="1" s="1"/>
  <c r="BM147" i="1"/>
  <c r="BN147" i="1" s="1"/>
  <c r="W107" i="1"/>
  <c r="X107" i="1" s="1"/>
  <c r="AV107" i="1" s="1"/>
  <c r="BD69" i="1"/>
  <c r="BF69" i="1" s="1"/>
  <c r="CX38" i="1"/>
  <c r="CY38" i="1" s="1"/>
  <c r="DQ38" i="1" s="1"/>
  <c r="AF16" i="1"/>
  <c r="AG16" i="1" s="1"/>
  <c r="AY16" i="1" s="1"/>
  <c r="AL7" i="1"/>
  <c r="AM7" i="1" s="1"/>
  <c r="BA7" i="1" s="1"/>
  <c r="AF4" i="1"/>
  <c r="AG4" i="1" s="1"/>
  <c r="AY4" i="1" s="1"/>
  <c r="BH11" i="1"/>
  <c r="BF84" i="1"/>
  <c r="CR20" i="1"/>
  <c r="CS20" i="1" s="1"/>
  <c r="DO20" i="1" s="1"/>
  <c r="EK70" i="1"/>
  <c r="EL70" i="1" s="1"/>
  <c r="R14" i="1"/>
  <c r="W13" i="1"/>
  <c r="X13" i="1" s="1"/>
  <c r="AV13" i="1" s="1"/>
  <c r="EL33" i="1"/>
  <c r="DZ293" i="1"/>
  <c r="BJ68" i="1"/>
  <c r="T20" i="1"/>
  <c r="U20" i="1" s="1"/>
  <c r="AU20" i="1" s="1"/>
  <c r="BH20" i="1"/>
  <c r="AI147" i="1"/>
  <c r="AJ147" i="1" s="1"/>
  <c r="AZ147" i="1" s="1"/>
  <c r="AR150" i="1"/>
  <c r="AS150" i="1" s="1"/>
  <c r="BC150" i="1" s="1"/>
  <c r="EW139" i="1"/>
  <c r="EX139" i="1" s="1"/>
  <c r="EK269" i="1"/>
  <c r="EM269" i="1" s="1"/>
  <c r="EB271" i="1"/>
  <c r="ED271" i="1" s="1"/>
  <c r="EE255" i="1"/>
  <c r="EG255" i="1" s="1"/>
  <c r="BD246" i="1"/>
  <c r="BF246" i="1" s="1"/>
  <c r="ET238" i="1"/>
  <c r="EV238" i="1" s="1"/>
  <c r="EX216" i="1"/>
  <c r="BM195" i="1"/>
  <c r="BN195" i="1" s="1"/>
  <c r="BS189" i="1"/>
  <c r="BT189" i="1" s="1"/>
  <c r="EU213" i="1"/>
  <c r="CI164" i="1"/>
  <c r="CJ164" i="1" s="1"/>
  <c r="DL164" i="1" s="1"/>
  <c r="AR172" i="1"/>
  <c r="AS172" i="1" s="1"/>
  <c r="BC172" i="1" s="1"/>
  <c r="CB161" i="1"/>
  <c r="CD161" i="1" s="1"/>
  <c r="CG172" i="1"/>
  <c r="BK120" i="1"/>
  <c r="Q120" i="1"/>
  <c r="R120" i="1" s="1"/>
  <c r="AT120" i="1" s="1"/>
  <c r="DD102" i="1"/>
  <c r="DE102" i="1" s="1"/>
  <c r="DS102" i="1" s="1"/>
  <c r="T68" i="1"/>
  <c r="U68" i="1" s="1"/>
  <c r="AU68" i="1" s="1"/>
  <c r="CC65" i="1"/>
  <c r="EL38" i="1"/>
  <c r="AC26" i="1"/>
  <c r="AD26" i="1" s="1"/>
  <c r="AX26" i="1" s="1"/>
  <c r="BV80" i="1"/>
  <c r="BX80" i="1" s="1"/>
  <c r="AF70" i="1"/>
  <c r="AG70" i="1" s="1"/>
  <c r="AY70" i="1" s="1"/>
  <c r="BK239" i="1"/>
  <c r="BD142" i="1"/>
  <c r="BM49" i="1"/>
  <c r="CB176" i="1"/>
  <c r="CD176" i="1" s="1"/>
  <c r="Z158" i="1"/>
  <c r="AA158" i="1" s="1"/>
  <c r="AW158" i="1" s="1"/>
  <c r="EL177" i="1"/>
  <c r="W120" i="1"/>
  <c r="X120" i="1" s="1"/>
  <c r="AV120" i="1" s="1"/>
  <c r="DD114" i="1"/>
  <c r="DE114" i="1" s="1"/>
  <c r="DS114" i="1" s="1"/>
  <c r="Z104" i="1"/>
  <c r="AA104" i="1" s="1"/>
  <c r="AW104" i="1" s="1"/>
  <c r="CE72" i="1"/>
  <c r="CG72" i="1" s="1"/>
  <c r="DY41" i="1"/>
  <c r="DZ41" i="1" s="1"/>
  <c r="CX59" i="1"/>
  <c r="CY59" i="1" s="1"/>
  <c r="DQ59" i="1" s="1"/>
  <c r="DG28" i="1"/>
  <c r="DH28" i="1" s="1"/>
  <c r="DT28" i="1" s="1"/>
  <c r="AF42" i="1"/>
  <c r="AG42" i="1" s="1"/>
  <c r="AY42" i="1" s="1"/>
  <c r="AL213" i="1"/>
  <c r="AM213" i="1" s="1"/>
  <c r="BA213" i="1" s="1"/>
  <c r="EU290" i="1"/>
  <c r="AC8" i="1"/>
  <c r="AD8" i="1" s="1"/>
  <c r="AX8" i="1" s="1"/>
  <c r="BM254" i="1"/>
  <c r="BN254" i="1" s="1"/>
  <c r="ES301" i="1"/>
  <c r="CE153" i="1"/>
  <c r="CG153" i="1" s="1"/>
  <c r="BN158" i="1"/>
  <c r="Q116" i="1"/>
  <c r="R116" i="1" s="1"/>
  <c r="AT116" i="1" s="1"/>
  <c r="DA124" i="1"/>
  <c r="DB124" i="1" s="1"/>
  <c r="DR124" i="1" s="1"/>
  <c r="Z7" i="1"/>
  <c r="AA7" i="1" s="1"/>
  <c r="AW7" i="1" s="1"/>
  <c r="CX8" i="1"/>
  <c r="CY8" i="1" s="1"/>
  <c r="DQ8" i="1" s="1"/>
  <c r="DW300" i="1"/>
  <c r="AR173" i="1"/>
  <c r="AS173" i="1" s="1"/>
  <c r="BC173" i="1" s="1"/>
  <c r="W22" i="1"/>
  <c r="X22" i="1" s="1"/>
  <c r="AV22" i="1" s="1"/>
  <c r="BS72" i="1"/>
  <c r="BU4" i="1"/>
  <c r="EE145" i="1"/>
  <c r="CA264" i="1"/>
  <c r="CO232" i="1"/>
  <c r="CP232" i="1" s="1"/>
  <c r="DN232" i="1" s="1"/>
  <c r="CR221" i="1"/>
  <c r="CS221" i="1" s="1"/>
  <c r="DO221" i="1" s="1"/>
  <c r="AF172" i="1"/>
  <c r="AG172" i="1" s="1"/>
  <c r="AY172" i="1" s="1"/>
  <c r="EN129" i="1"/>
  <c r="EP129" i="1" s="1"/>
  <c r="ET126" i="1"/>
  <c r="EV126" i="1" s="1"/>
  <c r="DY100" i="1"/>
  <c r="DZ100" i="1" s="1"/>
  <c r="DJ91" i="1"/>
  <c r="DK91" i="1" s="1"/>
  <c r="DU91" i="1" s="1"/>
  <c r="Q123" i="1"/>
  <c r="R123" i="1" s="1"/>
  <c r="AT123" i="1" s="1"/>
  <c r="CO60" i="1"/>
  <c r="CP60" i="1" s="1"/>
  <c r="DN60" i="1" s="1"/>
  <c r="CB7" i="1"/>
  <c r="CC7" i="1" s="1"/>
  <c r="DJ110" i="1"/>
  <c r="DK110" i="1" s="1"/>
  <c r="DU110" i="1" s="1"/>
  <c r="DY62" i="1"/>
  <c r="EA62" i="1" s="1"/>
  <c r="EO284" i="1"/>
  <c r="BS218" i="1"/>
  <c r="BU218" i="1" s="1"/>
  <c r="CF150" i="1"/>
  <c r="CB185" i="1"/>
  <c r="CD185" i="1" s="1"/>
  <c r="AR124" i="1"/>
  <c r="AS124" i="1" s="1"/>
  <c r="BC124" i="1" s="1"/>
  <c r="BS58" i="1"/>
  <c r="BT58" i="1" s="1"/>
  <c r="DG80" i="1"/>
  <c r="DH80" i="1" s="1"/>
  <c r="DT80" i="1" s="1"/>
  <c r="BY42" i="1"/>
  <c r="BZ42" i="1" s="1"/>
  <c r="CB36" i="1"/>
  <c r="CC36" i="1" s="1"/>
  <c r="EK17" i="1"/>
  <c r="EM17" i="1" s="1"/>
  <c r="T11" i="1"/>
  <c r="U11" i="1" s="1"/>
  <c r="AU11" i="1" s="1"/>
  <c r="AL190" i="1"/>
  <c r="AM190" i="1" s="1"/>
  <c r="BA190" i="1" s="1"/>
  <c r="EX110" i="1"/>
  <c r="ED60" i="1"/>
  <c r="BJ48" i="1"/>
  <c r="BK48" i="1" s="1"/>
  <c r="BW147" i="1"/>
  <c r="AR142" i="1"/>
  <c r="AS142" i="1" s="1"/>
  <c r="BC142" i="1" s="1"/>
  <c r="DJ116" i="1"/>
  <c r="DK116" i="1" s="1"/>
  <c r="DU116" i="1" s="1"/>
  <c r="AI101" i="1"/>
  <c r="AJ101" i="1" s="1"/>
  <c r="AZ101" i="1" s="1"/>
  <c r="EC43" i="1"/>
  <c r="BS19" i="1"/>
  <c r="BU19" i="1" s="1"/>
  <c r="DG8" i="1"/>
  <c r="DH8" i="1" s="1"/>
  <c r="DT8" i="1" s="1"/>
  <c r="BP48" i="1"/>
  <c r="BQ48" i="1" s="1"/>
  <c r="BM9" i="1"/>
  <c r="BO9" i="1" s="1"/>
  <c r="EQ36" i="1"/>
  <c r="ES36" i="1" s="1"/>
  <c r="DG30" i="1"/>
  <c r="DH30" i="1" s="1"/>
  <c r="DT30" i="1" s="1"/>
  <c r="BD265" i="1"/>
  <c r="CX142" i="1"/>
  <c r="CY142" i="1" s="1"/>
  <c r="DQ142" i="1" s="1"/>
  <c r="EQ45" i="1"/>
  <c r="EG273" i="1"/>
  <c r="DW280" i="1"/>
  <c r="AR241" i="1"/>
  <c r="AS241" i="1" s="1"/>
  <c r="BC241" i="1" s="1"/>
  <c r="DD202" i="1"/>
  <c r="DE202" i="1" s="1"/>
  <c r="DS202" i="1" s="1"/>
  <c r="DW292" i="1"/>
  <c r="EU285" i="1"/>
  <c r="AR262" i="1"/>
  <c r="AS262" i="1" s="1"/>
  <c r="BC262" i="1" s="1"/>
  <c r="BD240" i="1"/>
  <c r="BF240" i="1" s="1"/>
  <c r="BJ206" i="1"/>
  <c r="BL206" i="1" s="1"/>
  <c r="CL124" i="1"/>
  <c r="CM124" i="1" s="1"/>
  <c r="DM124" i="1" s="1"/>
  <c r="EL122" i="1"/>
  <c r="ET117" i="1"/>
  <c r="EU117" i="1" s="1"/>
  <c r="Q84" i="1"/>
  <c r="R84" i="1" s="1"/>
  <c r="AT84" i="1" s="1"/>
  <c r="Q95" i="1"/>
  <c r="R95" i="1" s="1"/>
  <c r="AT95" i="1" s="1"/>
  <c r="DY65" i="1"/>
  <c r="EA65" i="1" s="1"/>
  <c r="AR62" i="1"/>
  <c r="AS62" i="1" s="1"/>
  <c r="BC62" i="1" s="1"/>
  <c r="EU28" i="1"/>
  <c r="BP63" i="1"/>
  <c r="BQ63" i="1" s="1"/>
  <c r="EH48" i="1"/>
  <c r="EJ48" i="1" s="1"/>
  <c r="BG256" i="1"/>
  <c r="AM222" i="1"/>
  <c r="BV113" i="1"/>
  <c r="BX113" i="1" s="1"/>
  <c r="CF241" i="1"/>
  <c r="DV270" i="1"/>
  <c r="DX270" i="1" s="1"/>
  <c r="W239" i="1"/>
  <c r="X239" i="1" s="1"/>
  <c r="AV239" i="1" s="1"/>
  <c r="DJ216" i="1"/>
  <c r="DK216" i="1" s="1"/>
  <c r="DU216" i="1" s="1"/>
  <c r="BY149" i="1"/>
  <c r="BZ149" i="1" s="1"/>
  <c r="AI65" i="1"/>
  <c r="AJ65" i="1" s="1"/>
  <c r="AZ65" i="1" s="1"/>
  <c r="BX65" i="1"/>
  <c r="BS8" i="1"/>
  <c r="BT8" i="1" s="1"/>
  <c r="AO65" i="1"/>
  <c r="AP65" i="1" s="1"/>
  <c r="BB65" i="1" s="1"/>
  <c r="BU176" i="1"/>
  <c r="BT176" i="1"/>
  <c r="BK225" i="1"/>
  <c r="BL225" i="1"/>
  <c r="EA122" i="1"/>
  <c r="DZ122" i="1"/>
  <c r="DZ295" i="1"/>
  <c r="DZ272" i="1"/>
  <c r="ES279" i="1"/>
  <c r="AC268" i="1"/>
  <c r="AD268" i="1" s="1"/>
  <c r="AX268" i="1" s="1"/>
  <c r="EF259" i="1"/>
  <c r="EQ252" i="1"/>
  <c r="ES252" i="1" s="1"/>
  <c r="BV252" i="1"/>
  <c r="BX252" i="1" s="1"/>
  <c r="DD255" i="1"/>
  <c r="DE255" i="1" s="1"/>
  <c r="DS255" i="1" s="1"/>
  <c r="AL249" i="1"/>
  <c r="AM249" i="1" s="1"/>
  <c r="BA249" i="1" s="1"/>
  <c r="BY241" i="1"/>
  <c r="CA241" i="1" s="1"/>
  <c r="EO251" i="1"/>
  <c r="BM210" i="1"/>
  <c r="BO210" i="1" s="1"/>
  <c r="CI211" i="1"/>
  <c r="CJ211" i="1" s="1"/>
  <c r="DL211" i="1" s="1"/>
  <c r="CB186" i="1"/>
  <c r="CD186" i="1" s="1"/>
  <c r="EX197" i="1"/>
  <c r="BN161" i="1"/>
  <c r="Q137" i="1"/>
  <c r="R137" i="1" s="1"/>
  <c r="AT137" i="1" s="1"/>
  <c r="AC115" i="1"/>
  <c r="AD115" i="1" s="1"/>
  <c r="AX115" i="1" s="1"/>
  <c r="CR116" i="1"/>
  <c r="CS116" i="1" s="1"/>
  <c r="DO116" i="1" s="1"/>
  <c r="EK101" i="1"/>
  <c r="EL101" i="1" s="1"/>
  <c r="CX58" i="1"/>
  <c r="CY58" i="1" s="1"/>
  <c r="DQ58" i="1" s="1"/>
  <c r="AL104" i="1"/>
  <c r="AM104" i="1" s="1"/>
  <c r="BA104" i="1" s="1"/>
  <c r="CE102" i="1"/>
  <c r="CG102" i="1" s="1"/>
  <c r="CB52" i="1"/>
  <c r="CC52" i="1" s="1"/>
  <c r="AI19" i="1"/>
  <c r="AJ19" i="1" s="1"/>
  <c r="AZ19" i="1" s="1"/>
  <c r="Z226" i="1"/>
  <c r="AA226" i="1" s="1"/>
  <c r="AW226" i="1" s="1"/>
  <c r="CA175" i="1"/>
  <c r="DA152" i="1"/>
  <c r="DB152" i="1" s="1"/>
  <c r="DR152" i="1" s="1"/>
  <c r="CC84" i="1"/>
  <c r="EW12" i="1"/>
  <c r="CL64" i="1"/>
  <c r="CM64" i="1" s="1"/>
  <c r="DM64" i="1" s="1"/>
  <c r="DY4" i="1"/>
  <c r="BY101" i="1"/>
  <c r="DY204" i="1"/>
  <c r="CL204" i="1"/>
  <c r="CM204" i="1" s="1"/>
  <c r="DM204" i="1" s="1"/>
  <c r="ET187" i="1"/>
  <c r="EU187" i="1" s="1"/>
  <c r="CO168" i="1"/>
  <c r="CP168" i="1" s="1"/>
  <c r="DN168" i="1" s="1"/>
  <c r="BV150" i="1"/>
  <c r="BX150" i="1" s="1"/>
  <c r="AR126" i="1"/>
  <c r="AS126" i="1" s="1"/>
  <c r="BC126" i="1" s="1"/>
  <c r="W112" i="1"/>
  <c r="X112" i="1" s="1"/>
  <c r="AV112" i="1" s="1"/>
  <c r="AL87" i="1"/>
  <c r="AM87" i="1" s="1"/>
  <c r="BA87" i="1" s="1"/>
  <c r="CO69" i="1"/>
  <c r="CP69" i="1" s="1"/>
  <c r="DN69" i="1" s="1"/>
  <c r="AC62" i="1"/>
  <c r="AD62" i="1" s="1"/>
  <c r="AX62" i="1" s="1"/>
  <c r="EQ76" i="1"/>
  <c r="ER76" i="1" s="1"/>
  <c r="EF54" i="1"/>
  <c r="AC25" i="1"/>
  <c r="AD25" i="1" s="1"/>
  <c r="AX25" i="1" s="1"/>
  <c r="EE252" i="1"/>
  <c r="ES71" i="1"/>
  <c r="EN73" i="1"/>
  <c r="T104" i="1"/>
  <c r="U104" i="1" s="1"/>
  <c r="AU104" i="1" s="1"/>
  <c r="Z262" i="1"/>
  <c r="AA262" i="1" s="1"/>
  <c r="AW262" i="1" s="1"/>
  <c r="DZ302" i="1"/>
  <c r="EJ292" i="1"/>
  <c r="EA240" i="1"/>
  <c r="AF252" i="1"/>
  <c r="AG252" i="1" s="1"/>
  <c r="AY252" i="1" s="1"/>
  <c r="DA254" i="1"/>
  <c r="DB254" i="1" s="1"/>
  <c r="DR254" i="1" s="1"/>
  <c r="DD247" i="1"/>
  <c r="DE247" i="1" s="1"/>
  <c r="DS247" i="1" s="1"/>
  <c r="CU238" i="1"/>
  <c r="CV238" i="1" s="1"/>
  <c r="DP238" i="1" s="1"/>
  <c r="BM225" i="1"/>
  <c r="BO225" i="1" s="1"/>
  <c r="AC228" i="1"/>
  <c r="AD228" i="1" s="1"/>
  <c r="AX228" i="1" s="1"/>
  <c r="AC210" i="1"/>
  <c r="AD210" i="1" s="1"/>
  <c r="AX210" i="1" s="1"/>
  <c r="R170" i="1"/>
  <c r="BJ174" i="1"/>
  <c r="BL174" i="1" s="1"/>
  <c r="BK158" i="1"/>
  <c r="W152" i="1"/>
  <c r="X152" i="1" s="1"/>
  <c r="AV152" i="1" s="1"/>
  <c r="DA137" i="1"/>
  <c r="DB137" i="1" s="1"/>
  <c r="DR137" i="1" s="1"/>
  <c r="EY146" i="1"/>
  <c r="CI138" i="1"/>
  <c r="CJ138" i="1" s="1"/>
  <c r="DL138" i="1" s="1"/>
  <c r="CR90" i="1"/>
  <c r="CS90" i="1" s="1"/>
  <c r="DO90" i="1" s="1"/>
  <c r="AL67" i="1"/>
  <c r="AM67" i="1" s="1"/>
  <c r="BA67" i="1" s="1"/>
  <c r="CX84" i="1"/>
  <c r="CY84" i="1" s="1"/>
  <c r="DQ84" i="1" s="1"/>
  <c r="DJ102" i="1"/>
  <c r="DK102" i="1" s="1"/>
  <c r="DU102" i="1" s="1"/>
  <c r="AL41" i="1"/>
  <c r="AM41" i="1" s="1"/>
  <c r="BA41" i="1" s="1"/>
  <c r="BD64" i="1"/>
  <c r="BF64" i="1" s="1"/>
  <c r="BE32" i="1"/>
  <c r="DW62" i="1"/>
  <c r="CF16" i="1"/>
  <c r="CO9" i="1"/>
  <c r="CP9" i="1" s="1"/>
  <c r="DN9" i="1" s="1"/>
  <c r="DY224" i="1"/>
  <c r="EA224" i="1" s="1"/>
  <c r="AM183" i="1"/>
  <c r="EB113" i="1"/>
  <c r="CL122" i="1"/>
  <c r="CM122" i="1" s="1"/>
  <c r="DM122" i="1" s="1"/>
  <c r="CC17" i="1"/>
  <c r="EC45" i="1"/>
  <c r="BP195" i="1"/>
  <c r="AC195" i="1"/>
  <c r="AD195" i="1" s="1"/>
  <c r="AX195" i="1" s="1"/>
  <c r="BP84" i="1"/>
  <c r="AC84" i="1"/>
  <c r="AD84" i="1" s="1"/>
  <c r="AX84" i="1" s="1"/>
  <c r="DG203" i="1"/>
  <c r="DH203" i="1" s="1"/>
  <c r="DT203" i="1" s="1"/>
  <c r="DJ197" i="1"/>
  <c r="DK197" i="1" s="1"/>
  <c r="DU197" i="1" s="1"/>
  <c r="BG188" i="1"/>
  <c r="BI188" i="1" s="1"/>
  <c r="ET154" i="1"/>
  <c r="EV154" i="1" s="1"/>
  <c r="CO114" i="1"/>
  <c r="CP114" i="1" s="1"/>
  <c r="DN114" i="1" s="1"/>
  <c r="ER73" i="1"/>
  <c r="BO134" i="1"/>
  <c r="EN94" i="1"/>
  <c r="EP94" i="1" s="1"/>
  <c r="T61" i="1"/>
  <c r="U61" i="1" s="1"/>
  <c r="AU61" i="1" s="1"/>
  <c r="CX63" i="1"/>
  <c r="CY63" i="1" s="1"/>
  <c r="DQ63" i="1" s="1"/>
  <c r="DJ16" i="1"/>
  <c r="DK16" i="1" s="1"/>
  <c r="DU16" i="1" s="1"/>
  <c r="EC4" i="1"/>
  <c r="BU168" i="1"/>
  <c r="AI224" i="1"/>
  <c r="AJ224" i="1" s="1"/>
  <c r="AZ224" i="1" s="1"/>
  <c r="DA155" i="1"/>
  <c r="DB155" i="1" s="1"/>
  <c r="DR155" i="1" s="1"/>
  <c r="EA64" i="1"/>
  <c r="AC132" i="1"/>
  <c r="AD132" i="1" s="1"/>
  <c r="AX132" i="1" s="1"/>
  <c r="BP132" i="1"/>
  <c r="CL257" i="1"/>
  <c r="CM257" i="1" s="1"/>
  <c r="DM257" i="1" s="1"/>
  <c r="DZ304" i="1"/>
  <c r="ER276" i="1"/>
  <c r="BG271" i="1"/>
  <c r="BH271" i="1" s="1"/>
  <c r="DY268" i="1"/>
  <c r="EA268" i="1" s="1"/>
  <c r="AC240" i="1"/>
  <c r="AD240" i="1" s="1"/>
  <c r="AX240" i="1" s="1"/>
  <c r="ET247" i="1"/>
  <c r="EU247" i="1" s="1"/>
  <c r="DA232" i="1"/>
  <c r="DB232" i="1" s="1"/>
  <c r="DR232" i="1" s="1"/>
  <c r="BQ240" i="1"/>
  <c r="BT232" i="1"/>
  <c r="CU203" i="1"/>
  <c r="CV203" i="1" s="1"/>
  <c r="DP203" i="1" s="1"/>
  <c r="AL180" i="1"/>
  <c r="AM180" i="1" s="1"/>
  <c r="BA180" i="1" s="1"/>
  <c r="DZ173" i="1"/>
  <c r="ER138" i="1"/>
  <c r="BW127" i="1"/>
  <c r="DA115" i="1"/>
  <c r="DB115" i="1" s="1"/>
  <c r="DR115" i="1" s="1"/>
  <c r="EO115" i="1"/>
  <c r="BH61" i="1"/>
  <c r="EH31" i="1"/>
  <c r="EJ31" i="1" s="1"/>
  <c r="AL56" i="1"/>
  <c r="AM56" i="1" s="1"/>
  <c r="BA56" i="1" s="1"/>
  <c r="CG4" i="1"/>
  <c r="CU24" i="1"/>
  <c r="CV24" i="1" s="1"/>
  <c r="DP24" i="1" s="1"/>
  <c r="AP79" i="1"/>
  <c r="EU304" i="1"/>
  <c r="DA251" i="1"/>
  <c r="DB251" i="1" s="1"/>
  <c r="DR251" i="1" s="1"/>
  <c r="DV251" i="1"/>
  <c r="DX251" i="1" s="1"/>
  <c r="EO272" i="1"/>
  <c r="CR224" i="1"/>
  <c r="CS224" i="1" s="1"/>
  <c r="DO224" i="1" s="1"/>
  <c r="EW221" i="1"/>
  <c r="EY221" i="1" s="1"/>
  <c r="CU194" i="1"/>
  <c r="CV194" i="1" s="1"/>
  <c r="DP194" i="1" s="1"/>
  <c r="W234" i="1"/>
  <c r="X234" i="1" s="1"/>
  <c r="AV234" i="1" s="1"/>
  <c r="W158" i="1"/>
  <c r="X158" i="1" s="1"/>
  <c r="AV158" i="1" s="1"/>
  <c r="EK155" i="1"/>
  <c r="EL155" i="1" s="1"/>
  <c r="ET166" i="1"/>
  <c r="EU166" i="1" s="1"/>
  <c r="DA158" i="1"/>
  <c r="DB158" i="1" s="1"/>
  <c r="DR158" i="1" s="1"/>
  <c r="DY151" i="1"/>
  <c r="DZ151" i="1" s="1"/>
  <c r="EW134" i="1"/>
  <c r="EY134" i="1" s="1"/>
  <c r="EC90" i="1"/>
  <c r="DJ96" i="1"/>
  <c r="DK96" i="1" s="1"/>
  <c r="DU96" i="1" s="1"/>
  <c r="EL126" i="1"/>
  <c r="EB103" i="1"/>
  <c r="ED103" i="1" s="1"/>
  <c r="AO143" i="1"/>
  <c r="AP143" i="1" s="1"/>
  <c r="BB143" i="1" s="1"/>
  <c r="EN81" i="1"/>
  <c r="EP81" i="1" s="1"/>
  <c r="DD74" i="1"/>
  <c r="DE74" i="1" s="1"/>
  <c r="DS74" i="1" s="1"/>
  <c r="CI62" i="1"/>
  <c r="CJ62" i="1" s="1"/>
  <c r="DL62" i="1" s="1"/>
  <c r="AF64" i="1"/>
  <c r="AG64" i="1" s="1"/>
  <c r="AY64" i="1" s="1"/>
  <c r="BJ25" i="1"/>
  <c r="BL25" i="1" s="1"/>
  <c r="CE213" i="1"/>
  <c r="CG213" i="1" s="1"/>
  <c r="CB150" i="1"/>
  <c r="CD150" i="1" s="1"/>
  <c r="W41" i="1"/>
  <c r="X41" i="1" s="1"/>
  <c r="AV41" i="1" s="1"/>
  <c r="CE20" i="1"/>
  <c r="CA41" i="1"/>
  <c r="CL240" i="1"/>
  <c r="CM240" i="1" s="1"/>
  <c r="DM240" i="1" s="1"/>
  <c r="EI301" i="1"/>
  <c r="CU259" i="1"/>
  <c r="CV259" i="1" s="1"/>
  <c r="DP259" i="1" s="1"/>
  <c r="AR251" i="1"/>
  <c r="AS251" i="1" s="1"/>
  <c r="BC251" i="1" s="1"/>
  <c r="W224" i="1"/>
  <c r="X224" i="1" s="1"/>
  <c r="AV224" i="1" s="1"/>
  <c r="EU203" i="1"/>
  <c r="CX193" i="1"/>
  <c r="CY193" i="1" s="1"/>
  <c r="DQ193" i="1" s="1"/>
  <c r="EO152" i="1"/>
  <c r="BH150" i="1"/>
  <c r="EO155" i="1"/>
  <c r="Z134" i="1"/>
  <c r="AA134" i="1" s="1"/>
  <c r="AW134" i="1" s="1"/>
  <c r="DJ132" i="1"/>
  <c r="DK132" i="1" s="1"/>
  <c r="DU132" i="1" s="1"/>
  <c r="BP110" i="1"/>
  <c r="BQ110" i="1" s="1"/>
  <c r="BV68" i="1"/>
  <c r="BX68" i="1" s="1"/>
  <c r="AF62" i="1"/>
  <c r="AG62" i="1" s="1"/>
  <c r="AY62" i="1" s="1"/>
  <c r="BM33" i="1"/>
  <c r="BO33" i="1" s="1"/>
  <c r="BG25" i="1"/>
  <c r="BH25" i="1" s="1"/>
  <c r="CO4" i="1"/>
  <c r="CP4" i="1" s="1"/>
  <c r="DN4" i="1" s="1"/>
  <c r="EX16" i="1"/>
  <c r="BG239" i="1"/>
  <c r="CO45" i="1"/>
  <c r="CP45" i="1" s="1"/>
  <c r="DN45" i="1" s="1"/>
  <c r="BV22" i="1"/>
  <c r="BS151" i="1"/>
  <c r="AF151" i="1"/>
  <c r="AG151" i="1" s="1"/>
  <c r="AY151" i="1" s="1"/>
  <c r="ER275" i="1"/>
  <c r="DD264" i="1"/>
  <c r="DE264" i="1" s="1"/>
  <c r="DS264" i="1" s="1"/>
  <c r="AO241" i="1"/>
  <c r="AP241" i="1" s="1"/>
  <c r="BB241" i="1" s="1"/>
  <c r="CU253" i="1"/>
  <c r="CV253" i="1" s="1"/>
  <c r="DP253" i="1" s="1"/>
  <c r="BO224" i="1"/>
  <c r="ET201" i="1"/>
  <c r="EV201" i="1" s="1"/>
  <c r="EC195" i="1"/>
  <c r="AL160" i="1"/>
  <c r="AM160" i="1" s="1"/>
  <c r="BA160" i="1" s="1"/>
  <c r="DJ146" i="1"/>
  <c r="DK146" i="1" s="1"/>
  <c r="DU146" i="1" s="1"/>
  <c r="AC147" i="1"/>
  <c r="AD147" i="1" s="1"/>
  <c r="AX147" i="1" s="1"/>
  <c r="BF137" i="1"/>
  <c r="CE112" i="1"/>
  <c r="CF112" i="1" s="1"/>
  <c r="DD71" i="1"/>
  <c r="DE71" i="1" s="1"/>
  <c r="DS71" i="1" s="1"/>
  <c r="EG71" i="1"/>
  <c r="CX91" i="1"/>
  <c r="CY91" i="1" s="1"/>
  <c r="DQ91" i="1" s="1"/>
  <c r="AO57" i="1"/>
  <c r="AP57" i="1" s="1"/>
  <c r="BB57" i="1" s="1"/>
  <c r="BJ62" i="1"/>
  <c r="BL62" i="1" s="1"/>
  <c r="CL60" i="1"/>
  <c r="CM60" i="1" s="1"/>
  <c r="DM60" i="1" s="1"/>
  <c r="CD26" i="1"/>
  <c r="AI81" i="1"/>
  <c r="AJ81" i="1" s="1"/>
  <c r="AZ81" i="1" s="1"/>
  <c r="CB12" i="1"/>
  <c r="CD12" i="1" s="1"/>
  <c r="BF11" i="1"/>
  <c r="EN258" i="1"/>
  <c r="EP258" i="1" s="1"/>
  <c r="EI300" i="1"/>
  <c r="ER247" i="1"/>
  <c r="DD176" i="1"/>
  <c r="DE176" i="1" s="1"/>
  <c r="DS176" i="1" s="1"/>
  <c r="AO84" i="1"/>
  <c r="AP84" i="1" s="1"/>
  <c r="BB84" i="1" s="1"/>
  <c r="AR16" i="1"/>
  <c r="AS16" i="1" s="1"/>
  <c r="BC16" i="1" s="1"/>
  <c r="ES18" i="1"/>
  <c r="CD57" i="1"/>
  <c r="DD210" i="1"/>
  <c r="DE210" i="1" s="1"/>
  <c r="DS210" i="1" s="1"/>
  <c r="CO195" i="1"/>
  <c r="CP195" i="1" s="1"/>
  <c r="DN195" i="1" s="1"/>
  <c r="Z161" i="1"/>
  <c r="AA161" i="1" s="1"/>
  <c r="AW161" i="1" s="1"/>
  <c r="EF90" i="1"/>
  <c r="CR71" i="1"/>
  <c r="CS71" i="1" s="1"/>
  <c r="DO71" i="1" s="1"/>
  <c r="AO145" i="1"/>
  <c r="AP145" i="1" s="1"/>
  <c r="BB145" i="1" s="1"/>
  <c r="CL78" i="1"/>
  <c r="CM78" i="1" s="1"/>
  <c r="DM78" i="1" s="1"/>
  <c r="EN61" i="1"/>
  <c r="EO61" i="1" s="1"/>
  <c r="DV67" i="1"/>
  <c r="DX67" i="1" s="1"/>
  <c r="DY51" i="1"/>
  <c r="DZ51" i="1" s="1"/>
  <c r="DG106" i="1"/>
  <c r="DH106" i="1" s="1"/>
  <c r="DT106" i="1" s="1"/>
  <c r="Z23" i="1"/>
  <c r="AA23" i="1" s="1"/>
  <c r="AW23" i="1" s="1"/>
  <c r="EK259" i="1"/>
  <c r="CB195" i="1"/>
  <c r="AO17" i="1"/>
  <c r="AP17" i="1" s="1"/>
  <c r="BB17" i="1" s="1"/>
  <c r="AO26" i="1"/>
  <c r="AP26" i="1" s="1"/>
  <c r="BB26" i="1" s="1"/>
  <c r="EB258" i="1"/>
  <c r="EC258" i="1" s="1"/>
  <c r="EC299" i="1"/>
  <c r="U222" i="1"/>
  <c r="R235" i="1"/>
  <c r="ER210" i="1"/>
  <c r="EQ94" i="1"/>
  <c r="ES94" i="1" s="1"/>
  <c r="EM58" i="1"/>
  <c r="Q32" i="1"/>
  <c r="R32" i="1" s="1"/>
  <c r="AT32" i="1" s="1"/>
  <c r="AI16" i="1"/>
  <c r="AJ16" i="1" s="1"/>
  <c r="AZ16" i="1" s="1"/>
  <c r="DD18" i="1"/>
  <c r="DE18" i="1" s="1"/>
  <c r="DS18" i="1" s="1"/>
  <c r="AR4" i="1"/>
  <c r="AS4" i="1" s="1"/>
  <c r="BC4" i="1" s="1"/>
  <c r="BL41" i="1"/>
  <c r="BK41" i="1"/>
  <c r="CA48" i="1"/>
  <c r="BZ48" i="1"/>
  <c r="BX45" i="1"/>
  <c r="BW45" i="1"/>
  <c r="EY285" i="1"/>
  <c r="EX285" i="1"/>
  <c r="DZ202" i="1"/>
  <c r="EA202" i="1"/>
  <c r="BJ202" i="1"/>
  <c r="W202" i="1"/>
  <c r="X202" i="1" s="1"/>
  <c r="AV202" i="1" s="1"/>
  <c r="BV90" i="1"/>
  <c r="AI90" i="1"/>
  <c r="AJ90" i="1" s="1"/>
  <c r="AZ90" i="1" s="1"/>
  <c r="BP11" i="1"/>
  <c r="AC11" i="1"/>
  <c r="AD11" i="1" s="1"/>
  <c r="AX11" i="1" s="1"/>
  <c r="DW291" i="1"/>
  <c r="DX291" i="1"/>
  <c r="BX256" i="1"/>
  <c r="BW256" i="1"/>
  <c r="BP17" i="1"/>
  <c r="AC17" i="1"/>
  <c r="AD17" i="1" s="1"/>
  <c r="AX17" i="1" s="1"/>
  <c r="CO139" i="1"/>
  <c r="CP139" i="1" s="1"/>
  <c r="DN139" i="1" s="1"/>
  <c r="EB139" i="1"/>
  <c r="DJ47" i="1"/>
  <c r="DK47" i="1" s="1"/>
  <c r="DU47" i="1" s="1"/>
  <c r="EW47" i="1"/>
  <c r="CA147" i="1"/>
  <c r="BZ147" i="1"/>
  <c r="Z45" i="1"/>
  <c r="AA45" i="1" s="1"/>
  <c r="AW45" i="1" s="1"/>
  <c r="BM45" i="1"/>
  <c r="BD173" i="1"/>
  <c r="Q173" i="1"/>
  <c r="R173" i="1" s="1"/>
  <c r="AT173" i="1" s="1"/>
  <c r="BS269" i="1"/>
  <c r="BT269" i="1" s="1"/>
  <c r="EL249" i="1"/>
  <c r="AL231" i="1"/>
  <c r="AM231" i="1" s="1"/>
  <c r="BA231" i="1" s="1"/>
  <c r="EE200" i="1"/>
  <c r="EG200" i="1" s="1"/>
  <c r="DY145" i="1"/>
  <c r="DZ145" i="1" s="1"/>
  <c r="DD19" i="1"/>
  <c r="DE19" i="1" s="1"/>
  <c r="DS19" i="1" s="1"/>
  <c r="AR13" i="1"/>
  <c r="AS13" i="1" s="1"/>
  <c r="BC13" i="1" s="1"/>
  <c r="ER19" i="1"/>
  <c r="BX265" i="1"/>
  <c r="BY256" i="1"/>
  <c r="EK262" i="1"/>
  <c r="CX262" i="1"/>
  <c r="CY262" i="1" s="1"/>
  <c r="DQ262" i="1" s="1"/>
  <c r="CR7" i="1"/>
  <c r="CS7" i="1" s="1"/>
  <c r="DO7" i="1" s="1"/>
  <c r="EE7" i="1"/>
  <c r="EQ112" i="1"/>
  <c r="DD112" i="1"/>
  <c r="DE112" i="1" s="1"/>
  <c r="DS112" i="1" s="1"/>
  <c r="EQ32" i="1"/>
  <c r="DD32" i="1"/>
  <c r="DE32" i="1" s="1"/>
  <c r="DS32" i="1" s="1"/>
  <c r="EE226" i="1"/>
  <c r="CR226" i="1"/>
  <c r="CS226" i="1" s="1"/>
  <c r="DO226" i="1" s="1"/>
  <c r="BM213" i="1"/>
  <c r="Z213" i="1"/>
  <c r="AA213" i="1" s="1"/>
  <c r="AW213" i="1" s="1"/>
  <c r="CX249" i="1"/>
  <c r="CY249" i="1" s="1"/>
  <c r="DQ249" i="1" s="1"/>
  <c r="AL215" i="1"/>
  <c r="AM215" i="1" s="1"/>
  <c r="BA215" i="1" s="1"/>
  <c r="EH140" i="1"/>
  <c r="EI140" i="1" s="1"/>
  <c r="AC120" i="1"/>
  <c r="AD120" i="1" s="1"/>
  <c r="AX120" i="1" s="1"/>
  <c r="AI129" i="1"/>
  <c r="AJ129" i="1" s="1"/>
  <c r="AZ129" i="1" s="1"/>
  <c r="EL87" i="1"/>
  <c r="AF98" i="1"/>
  <c r="AG98" i="1" s="1"/>
  <c r="AY98" i="1" s="1"/>
  <c r="BG127" i="1"/>
  <c r="T127" i="1"/>
  <c r="U127" i="1" s="1"/>
  <c r="AU127" i="1" s="1"/>
  <c r="BD45" i="1"/>
  <c r="Q45" i="1"/>
  <c r="R45" i="1" s="1"/>
  <c r="AT45" i="1" s="1"/>
  <c r="EK226" i="1"/>
  <c r="CX226" i="1"/>
  <c r="CY226" i="1" s="1"/>
  <c r="DQ226" i="1" s="1"/>
  <c r="BP172" i="1"/>
  <c r="AC172" i="1"/>
  <c r="AD172" i="1" s="1"/>
  <c r="AX172" i="1" s="1"/>
  <c r="EU172" i="1"/>
  <c r="EV172" i="1"/>
  <c r="BP45" i="1"/>
  <c r="AC45" i="1"/>
  <c r="AD45" i="1" s="1"/>
  <c r="AX45" i="1" s="1"/>
  <c r="EC279" i="1"/>
  <c r="EX290" i="1"/>
  <c r="CR247" i="1"/>
  <c r="CS247" i="1" s="1"/>
  <c r="DO247" i="1" s="1"/>
  <c r="AI234" i="1"/>
  <c r="AJ234" i="1" s="1"/>
  <c r="AZ234" i="1" s="1"/>
  <c r="DG164" i="1"/>
  <c r="DH164" i="1" s="1"/>
  <c r="DT164" i="1" s="1"/>
  <c r="CL172" i="1"/>
  <c r="CM172" i="1" s="1"/>
  <c r="DM172" i="1" s="1"/>
  <c r="CL167" i="1"/>
  <c r="CM167" i="1" s="1"/>
  <c r="DM167" i="1" s="1"/>
  <c r="BO155" i="1"/>
  <c r="BD110" i="1"/>
  <c r="BE110" i="1" s="1"/>
  <c r="CF13" i="1"/>
  <c r="EK30" i="1"/>
  <c r="EM30" i="1" s="1"/>
  <c r="EN139" i="1"/>
  <c r="EB83" i="1"/>
  <c r="CO83" i="1"/>
  <c r="CP83" i="1" s="1"/>
  <c r="DN83" i="1" s="1"/>
  <c r="BI155" i="1"/>
  <c r="BH155" i="1"/>
  <c r="EB107" i="1"/>
  <c r="CO107" i="1"/>
  <c r="CP107" i="1" s="1"/>
  <c r="DN107" i="1" s="1"/>
  <c r="EB70" i="1"/>
  <c r="CO70" i="1"/>
  <c r="CP70" i="1" s="1"/>
  <c r="DN70" i="1" s="1"/>
  <c r="BG172" i="1"/>
  <c r="T172" i="1"/>
  <c r="U172" i="1" s="1"/>
  <c r="AU172" i="1" s="1"/>
  <c r="BV214" i="1"/>
  <c r="AI214" i="1"/>
  <c r="AJ214" i="1" s="1"/>
  <c r="AZ214" i="1" s="1"/>
  <c r="BF168" i="1"/>
  <c r="BE168" i="1"/>
  <c r="EQ216" i="1"/>
  <c r="DD216" i="1"/>
  <c r="DE216" i="1" s="1"/>
  <c r="DS216" i="1" s="1"/>
  <c r="BK244" i="1"/>
  <c r="BP176" i="1"/>
  <c r="BR176" i="1" s="1"/>
  <c r="EH163" i="1"/>
  <c r="EI163" i="1" s="1"/>
  <c r="EC126" i="1"/>
  <c r="BJ213" i="1"/>
  <c r="EC242" i="1"/>
  <c r="AI45" i="1"/>
  <c r="AJ45" i="1" s="1"/>
  <c r="AZ45" i="1" s="1"/>
  <c r="EE204" i="1"/>
  <c r="CR204" i="1"/>
  <c r="CS204" i="1" s="1"/>
  <c r="DO204" i="1" s="1"/>
  <c r="EM293" i="1"/>
  <c r="EL293" i="1"/>
  <c r="EQ115" i="1"/>
  <c r="DD115" i="1"/>
  <c r="DE115" i="1" s="1"/>
  <c r="DS115" i="1" s="1"/>
  <c r="EB155" i="1"/>
  <c r="CO155" i="1"/>
  <c r="CP155" i="1" s="1"/>
  <c r="DN155" i="1" s="1"/>
  <c r="AI258" i="1"/>
  <c r="AJ258" i="1" s="1"/>
  <c r="AZ258" i="1" s="1"/>
  <c r="BV258" i="1"/>
  <c r="W31" i="1"/>
  <c r="X31" i="1" s="1"/>
  <c r="AV31" i="1" s="1"/>
  <c r="BJ31" i="1"/>
  <c r="AD209" i="1"/>
  <c r="BV7" i="1"/>
  <c r="AI7" i="1"/>
  <c r="AJ7" i="1" s="1"/>
  <c r="AZ7" i="1" s="1"/>
  <c r="BH168" i="1"/>
  <c r="BI168" i="1"/>
  <c r="AL100" i="1"/>
  <c r="AM100" i="1" s="1"/>
  <c r="BA100" i="1" s="1"/>
  <c r="BY100" i="1"/>
  <c r="DA65" i="1"/>
  <c r="DB65" i="1" s="1"/>
  <c r="DR65" i="1" s="1"/>
  <c r="EN65" i="1"/>
  <c r="BP32" i="1"/>
  <c r="AC32" i="1"/>
  <c r="AD32" i="1" s="1"/>
  <c r="AX32" i="1" s="1"/>
  <c r="BJ7" i="1"/>
  <c r="W7" i="1"/>
  <c r="X7" i="1" s="1"/>
  <c r="AV7" i="1" s="1"/>
  <c r="W244" i="1"/>
  <c r="X244" i="1" s="1"/>
  <c r="AV244" i="1" s="1"/>
  <c r="W227" i="1"/>
  <c r="X227" i="1" s="1"/>
  <c r="AV227" i="1" s="1"/>
  <c r="AF126" i="1"/>
  <c r="AG126" i="1" s="1"/>
  <c r="AY126" i="1" s="1"/>
  <c r="CC58" i="1"/>
  <c r="DA11" i="1"/>
  <c r="DB11" i="1" s="1"/>
  <c r="DR11" i="1" s="1"/>
  <c r="BM181" i="1"/>
  <c r="AJ92" i="1"/>
  <c r="BS78" i="1"/>
  <c r="AF78" i="1"/>
  <c r="AG78" i="1" s="1"/>
  <c r="AY78" i="1" s="1"/>
  <c r="CL177" i="1"/>
  <c r="CM177" i="1" s="1"/>
  <c r="DM177" i="1" s="1"/>
  <c r="DY177" i="1"/>
  <c r="CX25" i="1"/>
  <c r="CY25" i="1" s="1"/>
  <c r="DQ25" i="1" s="1"/>
  <c r="EK25" i="1"/>
  <c r="Z216" i="1"/>
  <c r="AA216" i="1" s="1"/>
  <c r="AW216" i="1" s="1"/>
  <c r="BM216" i="1"/>
  <c r="BE201" i="1"/>
  <c r="BF201" i="1"/>
  <c r="ES290" i="1"/>
  <c r="ER290" i="1"/>
  <c r="EF213" i="1"/>
  <c r="EX195" i="1"/>
  <c r="W201" i="1"/>
  <c r="X201" i="1" s="1"/>
  <c r="AV201" i="1" s="1"/>
  <c r="T175" i="1"/>
  <c r="U175" i="1" s="1"/>
  <c r="AU175" i="1" s="1"/>
  <c r="AF73" i="1"/>
  <c r="AG73" i="1" s="1"/>
  <c r="AY73" i="1" s="1"/>
  <c r="BG45" i="1"/>
  <c r="BI45" i="1" s="1"/>
  <c r="CL38" i="1"/>
  <c r="CM38" i="1" s="1"/>
  <c r="DM38" i="1" s="1"/>
  <c r="EO36" i="1"/>
  <c r="EK49" i="1"/>
  <c r="EL49" i="1" s="1"/>
  <c r="CX168" i="1"/>
  <c r="CY168" i="1" s="1"/>
  <c r="DQ168" i="1" s="1"/>
  <c r="EK168" i="1"/>
  <c r="EB177" i="1"/>
  <c r="CO177" i="1"/>
  <c r="CP177" i="1" s="1"/>
  <c r="DN177" i="1" s="1"/>
  <c r="CA67" i="1"/>
  <c r="BZ67" i="1"/>
  <c r="AO146" i="1"/>
  <c r="AP146" i="1" s="1"/>
  <c r="BB146" i="1" s="1"/>
  <c r="CB146" i="1"/>
  <c r="AA79" i="1"/>
  <c r="DV54" i="1"/>
  <c r="CI54" i="1"/>
  <c r="CJ54" i="1" s="1"/>
  <c r="DL54" i="1" s="1"/>
  <c r="BM143" i="1"/>
  <c r="Z143" i="1"/>
  <c r="AA143" i="1" s="1"/>
  <c r="AW143" i="1" s="1"/>
  <c r="AL216" i="1"/>
  <c r="AM216" i="1" s="1"/>
  <c r="BA216" i="1" s="1"/>
  <c r="BY216" i="1"/>
  <c r="AG235" i="1"/>
  <c r="AO259" i="1"/>
  <c r="AP259" i="1" s="1"/>
  <c r="BB259" i="1" s="1"/>
  <c r="BK247" i="1"/>
  <c r="BG205" i="1"/>
  <c r="BI205" i="1" s="1"/>
  <c r="Z129" i="1"/>
  <c r="AA129" i="1" s="1"/>
  <c r="AW129" i="1" s="1"/>
  <c r="AR143" i="1"/>
  <c r="AS143" i="1" s="1"/>
  <c r="BC143" i="1" s="1"/>
  <c r="CL96" i="1"/>
  <c r="CM96" i="1" s="1"/>
  <c r="DM96" i="1" s="1"/>
  <c r="DA88" i="1"/>
  <c r="DB88" i="1" s="1"/>
  <c r="DR88" i="1" s="1"/>
  <c r="BM36" i="1"/>
  <c r="BO36" i="1" s="1"/>
  <c r="DA36" i="1"/>
  <c r="DB36" i="1" s="1"/>
  <c r="DR36" i="1" s="1"/>
  <c r="CO19" i="1"/>
  <c r="CP19" i="1" s="1"/>
  <c r="DN19" i="1" s="1"/>
  <c r="BW16" i="1"/>
  <c r="EY9" i="1"/>
  <c r="DX287" i="1"/>
  <c r="EG41" i="1"/>
  <c r="CF177" i="1"/>
  <c r="CG177" i="1"/>
  <c r="BD107" i="1"/>
  <c r="Q107" i="1"/>
  <c r="R107" i="1" s="1"/>
  <c r="AT107" i="1" s="1"/>
  <c r="EG147" i="1"/>
  <c r="EF147" i="1"/>
  <c r="EQ49" i="1"/>
  <c r="DD49" i="1"/>
  <c r="DE49" i="1" s="1"/>
  <c r="DS49" i="1" s="1"/>
  <c r="AO16" i="1"/>
  <c r="AP16" i="1" s="1"/>
  <c r="BB16" i="1" s="1"/>
  <c r="CB16" i="1"/>
  <c r="T158" i="1"/>
  <c r="U158" i="1" s="1"/>
  <c r="AU158" i="1" s="1"/>
  <c r="BG158" i="1"/>
  <c r="AI143" i="1"/>
  <c r="AJ143" i="1" s="1"/>
  <c r="AZ143" i="1" s="1"/>
  <c r="BV143" i="1"/>
  <c r="CE23" i="1"/>
  <c r="AR23" i="1"/>
  <c r="AS23" i="1" s="1"/>
  <c r="BC23" i="1" s="1"/>
  <c r="DA216" i="1"/>
  <c r="DB216" i="1" s="1"/>
  <c r="DR216" i="1" s="1"/>
  <c r="EN216" i="1"/>
  <c r="EH205" i="1"/>
  <c r="EJ205" i="1" s="1"/>
  <c r="AL207" i="1"/>
  <c r="AM207" i="1" s="1"/>
  <c r="BA207" i="1" s="1"/>
  <c r="AP170" i="1"/>
  <c r="AI126" i="1"/>
  <c r="AJ126" i="1" s="1"/>
  <c r="AZ126" i="1" s="1"/>
  <c r="CO124" i="1"/>
  <c r="CP124" i="1" s="1"/>
  <c r="DN124" i="1" s="1"/>
  <c r="AG92" i="1"/>
  <c r="ET48" i="1"/>
  <c r="EU48" i="1" s="1"/>
  <c r="AM40" i="1"/>
  <c r="DJ9" i="1"/>
  <c r="DK9" i="1" s="1"/>
  <c r="DU9" i="1" s="1"/>
  <c r="EH59" i="1"/>
  <c r="EI59" i="1" s="1"/>
  <c r="AI265" i="1"/>
  <c r="AJ265" i="1" s="1"/>
  <c r="AZ265" i="1" s="1"/>
  <c r="BY140" i="1"/>
  <c r="AL48" i="1"/>
  <c r="AM48" i="1" s="1"/>
  <c r="BA48" i="1" s="1"/>
  <c r="CR41" i="1"/>
  <c r="CS41" i="1" s="1"/>
  <c r="DO41" i="1" s="1"/>
  <c r="EW64" i="1"/>
  <c r="DJ64" i="1"/>
  <c r="DK64" i="1" s="1"/>
  <c r="DU64" i="1" s="1"/>
  <c r="EF20" i="1"/>
  <c r="EG20" i="1"/>
  <c r="CO100" i="1"/>
  <c r="CP100" i="1" s="1"/>
  <c r="DN100" i="1" s="1"/>
  <c r="EB100" i="1"/>
  <c r="AI140" i="1"/>
  <c r="AJ140" i="1" s="1"/>
  <c r="AZ140" i="1" s="1"/>
  <c r="BV140" i="1"/>
  <c r="DY152" i="1"/>
  <c r="CL152" i="1"/>
  <c r="CM152" i="1" s="1"/>
  <c r="DM152" i="1" s="1"/>
  <c r="DG255" i="1"/>
  <c r="DH255" i="1" s="1"/>
  <c r="DT255" i="1" s="1"/>
  <c r="ET255" i="1"/>
  <c r="CF113" i="1"/>
  <c r="CG113" i="1"/>
  <c r="BP245" i="1"/>
  <c r="BR245" i="1" s="1"/>
  <c r="BL142" i="1"/>
  <c r="CO64" i="1"/>
  <c r="CP64" i="1" s="1"/>
  <c r="DN64" i="1" s="1"/>
  <c r="EQ58" i="1"/>
  <c r="ES58" i="1" s="1"/>
  <c r="EB73" i="1"/>
  <c r="ED73" i="1" s="1"/>
  <c r="CU56" i="1"/>
  <c r="CV56" i="1" s="1"/>
  <c r="DP56" i="1" s="1"/>
  <c r="CX16" i="1"/>
  <c r="CY16" i="1" s="1"/>
  <c r="DQ16" i="1" s="1"/>
  <c r="BS263" i="1"/>
  <c r="AF263" i="1"/>
  <c r="AG263" i="1" s="1"/>
  <c r="AY263" i="1" s="1"/>
  <c r="BM149" i="1"/>
  <c r="Z149" i="1"/>
  <c r="AA149" i="1" s="1"/>
  <c r="AW149" i="1" s="1"/>
  <c r="EW202" i="1"/>
  <c r="DJ202" i="1"/>
  <c r="DK202" i="1" s="1"/>
  <c r="DU202" i="1" s="1"/>
  <c r="CB45" i="1"/>
  <c r="AO45" i="1"/>
  <c r="AP45" i="1" s="1"/>
  <c r="BB45" i="1" s="1"/>
  <c r="DY61" i="1"/>
  <c r="CL61" i="1"/>
  <c r="CM61" i="1" s="1"/>
  <c r="DM61" i="1" s="1"/>
  <c r="EP294" i="1"/>
  <c r="EO294" i="1"/>
  <c r="BS271" i="1"/>
  <c r="AF271" i="1"/>
  <c r="AG271" i="1" s="1"/>
  <c r="AY271" i="1" s="1"/>
  <c r="BP139" i="1"/>
  <c r="AC139" i="1"/>
  <c r="AD139" i="1" s="1"/>
  <c r="AX139" i="1" s="1"/>
  <c r="EB213" i="1"/>
  <c r="CO213" i="1"/>
  <c r="CP213" i="1" s="1"/>
  <c r="DN213" i="1" s="1"/>
  <c r="DD127" i="1"/>
  <c r="DE127" i="1" s="1"/>
  <c r="DS127" i="1" s="1"/>
  <c r="AR68" i="1"/>
  <c r="AS68" i="1" s="1"/>
  <c r="BC68" i="1" s="1"/>
  <c r="CU51" i="1"/>
  <c r="CV51" i="1" s="1"/>
  <c r="DP51" i="1" s="1"/>
  <c r="EI51" i="1"/>
  <c r="EL16" i="1"/>
  <c r="CB46" i="1"/>
  <c r="CC46" i="1" s="1"/>
  <c r="DY127" i="1"/>
  <c r="CL127" i="1"/>
  <c r="CM127" i="1" s="1"/>
  <c r="DM127" i="1" s="1"/>
  <c r="BI103" i="1"/>
  <c r="BH103" i="1"/>
  <c r="EW62" i="1"/>
  <c r="DJ62" i="1"/>
  <c r="DK62" i="1" s="1"/>
  <c r="DU62" i="1" s="1"/>
  <c r="AO87" i="1"/>
  <c r="AP87" i="1" s="1"/>
  <c r="BB87" i="1" s="1"/>
  <c r="CB87" i="1"/>
  <c r="EQ158" i="1"/>
  <c r="DD158" i="1"/>
  <c r="DE158" i="1" s="1"/>
  <c r="DS158" i="1" s="1"/>
  <c r="DA4" i="1"/>
  <c r="DB4" i="1" s="1"/>
  <c r="DR4" i="1" s="1"/>
  <c r="EN4" i="1"/>
  <c r="DV51" i="1"/>
  <c r="CI51" i="1"/>
  <c r="CJ51" i="1" s="1"/>
  <c r="DL51" i="1" s="1"/>
  <c r="BG213" i="1"/>
  <c r="T213" i="1"/>
  <c r="U213" i="1" s="1"/>
  <c r="AU213" i="1" s="1"/>
  <c r="CE168" i="1"/>
  <c r="AR168" i="1"/>
  <c r="AS168" i="1" s="1"/>
  <c r="BC168" i="1" s="1"/>
  <c r="EF297" i="1"/>
  <c r="AG222" i="1"/>
  <c r="CL202" i="1"/>
  <c r="CM202" i="1" s="1"/>
  <c r="DM202" i="1" s="1"/>
  <c r="Z155" i="1"/>
  <c r="AA155" i="1" s="1"/>
  <c r="AW155" i="1" s="1"/>
  <c r="AF155" i="1"/>
  <c r="AG155" i="1" s="1"/>
  <c r="AY155" i="1" s="1"/>
  <c r="ES127" i="1"/>
  <c r="AO58" i="1"/>
  <c r="AP58" i="1" s="1"/>
  <c r="BB58" i="1" s="1"/>
  <c r="EQ31" i="1"/>
  <c r="ES31" i="1" s="1"/>
  <c r="EG302" i="1"/>
  <c r="EF302" i="1"/>
  <c r="EB225" i="1"/>
  <c r="CO225" i="1"/>
  <c r="CP225" i="1" s="1"/>
  <c r="DN225" i="1" s="1"/>
  <c r="BD62" i="1"/>
  <c r="Q62" i="1"/>
  <c r="R62" i="1" s="1"/>
  <c r="AT62" i="1" s="1"/>
  <c r="BG41" i="1"/>
  <c r="T41" i="1"/>
  <c r="U41" i="1" s="1"/>
  <c r="AU41" i="1" s="1"/>
  <c r="T102" i="1"/>
  <c r="U102" i="1" s="1"/>
  <c r="AU102" i="1" s="1"/>
  <c r="BG102" i="1"/>
  <c r="AI230" i="1"/>
  <c r="AJ230" i="1" s="1"/>
  <c r="AZ230" i="1" s="1"/>
  <c r="BV230" i="1"/>
  <c r="BY43" i="1"/>
  <c r="AL43" i="1"/>
  <c r="AM43" i="1" s="1"/>
  <c r="BA43" i="1" s="1"/>
  <c r="DY140" i="1"/>
  <c r="CL140" i="1"/>
  <c r="CM140" i="1" s="1"/>
  <c r="DM140" i="1" s="1"/>
  <c r="BN73" i="1"/>
  <c r="BO73" i="1"/>
  <c r="DD214" i="1"/>
  <c r="DE214" i="1" s="1"/>
  <c r="DS214" i="1" s="1"/>
  <c r="EQ214" i="1"/>
  <c r="ED2" i="1"/>
  <c r="DX269" i="1"/>
  <c r="AL81" i="1"/>
  <c r="AM81" i="1" s="1"/>
  <c r="BA81" i="1" s="1"/>
  <c r="EQ249" i="1"/>
  <c r="DD249" i="1"/>
  <c r="DE249" i="1" s="1"/>
  <c r="DS249" i="1" s="1"/>
  <c r="DJ205" i="1"/>
  <c r="DK205" i="1" s="1"/>
  <c r="DU205" i="1" s="1"/>
  <c r="EW205" i="1"/>
  <c r="EX205" i="1" s="1"/>
  <c r="EQ215" i="1"/>
  <c r="DD215" i="1"/>
  <c r="DE215" i="1" s="1"/>
  <c r="DS215" i="1" s="1"/>
  <c r="CB234" i="1"/>
  <c r="AO234" i="1"/>
  <c r="AP234" i="1" s="1"/>
  <c r="BB234" i="1" s="1"/>
  <c r="BD200" i="1"/>
  <c r="BE200" i="1" s="1"/>
  <c r="Q200" i="1"/>
  <c r="R200" i="1" s="1"/>
  <c r="AT200" i="1" s="1"/>
  <c r="AC146" i="1"/>
  <c r="AD146" i="1" s="1"/>
  <c r="AX146" i="1" s="1"/>
  <c r="BP146" i="1"/>
  <c r="AF227" i="1"/>
  <c r="AG227" i="1" s="1"/>
  <c r="AY227" i="1" s="1"/>
  <c r="BS227" i="1"/>
  <c r="BT227" i="1" s="1"/>
  <c r="BJ200" i="1"/>
  <c r="W200" i="1"/>
  <c r="X200" i="1" s="1"/>
  <c r="AV200" i="1" s="1"/>
  <c r="EE152" i="1"/>
  <c r="CR152" i="1"/>
  <c r="CS152" i="1" s="1"/>
  <c r="DO152" i="1" s="1"/>
  <c r="BD143" i="1"/>
  <c r="Q143" i="1"/>
  <c r="R143" i="1" s="1"/>
  <c r="AT143" i="1" s="1"/>
  <c r="Z186" i="1"/>
  <c r="AA186" i="1" s="1"/>
  <c r="AW186" i="1" s="1"/>
  <c r="BM186" i="1"/>
  <c r="BN186" i="1" s="1"/>
  <c r="AL188" i="1"/>
  <c r="AM188" i="1" s="1"/>
  <c r="BA188" i="1" s="1"/>
  <c r="BY188" i="1"/>
  <c r="BJ175" i="1"/>
  <c r="W175" i="1"/>
  <c r="X175" i="1" s="1"/>
  <c r="AV175" i="1" s="1"/>
  <c r="W229" i="1"/>
  <c r="X229" i="1" s="1"/>
  <c r="AV229" i="1" s="1"/>
  <c r="BJ229" i="1"/>
  <c r="BL229" i="1" s="1"/>
  <c r="CO185" i="1"/>
  <c r="CP185" i="1" s="1"/>
  <c r="DN185" i="1" s="1"/>
  <c r="EB185" i="1"/>
  <c r="AL197" i="1"/>
  <c r="AM197" i="1" s="1"/>
  <c r="BA197" i="1" s="1"/>
  <c r="BY197" i="1"/>
  <c r="CA197" i="1" s="1"/>
  <c r="AO240" i="1"/>
  <c r="AP240" i="1" s="1"/>
  <c r="BB240" i="1" s="1"/>
  <c r="CB240" i="1"/>
  <c r="AL201" i="1"/>
  <c r="AM201" i="1" s="1"/>
  <c r="BA201" i="1" s="1"/>
  <c r="BY201" i="1"/>
  <c r="CE176" i="1"/>
  <c r="AR176" i="1"/>
  <c r="AS176" i="1" s="1"/>
  <c r="BC176" i="1" s="1"/>
  <c r="EX278" i="1"/>
  <c r="EX277" i="1"/>
  <c r="AJ261" i="1"/>
  <c r="BT242" i="1"/>
  <c r="BU242" i="1"/>
  <c r="ET224" i="1"/>
  <c r="DG224" i="1"/>
  <c r="DH224" i="1" s="1"/>
  <c r="DT224" i="1" s="1"/>
  <c r="EQ201" i="1"/>
  <c r="DD201" i="1"/>
  <c r="DE201" i="1" s="1"/>
  <c r="DS201" i="1" s="1"/>
  <c r="CL220" i="1"/>
  <c r="CM220" i="1" s="1"/>
  <c r="DM220" i="1" s="1"/>
  <c r="DY220" i="1"/>
  <c r="EA220" i="1" s="1"/>
  <c r="EB187" i="1"/>
  <c r="CO187" i="1"/>
  <c r="CP187" i="1" s="1"/>
  <c r="DN187" i="1" s="1"/>
  <c r="BP194" i="1"/>
  <c r="BR194" i="1" s="1"/>
  <c r="AC194" i="1"/>
  <c r="AD194" i="1" s="1"/>
  <c r="AX194" i="1" s="1"/>
  <c r="DY194" i="1"/>
  <c r="CL194" i="1"/>
  <c r="CM194" i="1" s="1"/>
  <c r="DM194" i="1" s="1"/>
  <c r="BP173" i="1"/>
  <c r="AC173" i="1"/>
  <c r="AD173" i="1" s="1"/>
  <c r="AX173" i="1" s="1"/>
  <c r="AR249" i="1"/>
  <c r="AS249" i="1" s="1"/>
  <c r="BC249" i="1" s="1"/>
  <c r="CE249" i="1"/>
  <c r="DD69" i="1"/>
  <c r="DE69" i="1" s="1"/>
  <c r="DS69" i="1" s="1"/>
  <c r="EQ69" i="1"/>
  <c r="ES69" i="1" s="1"/>
  <c r="CB43" i="1"/>
  <c r="AO43" i="1"/>
  <c r="AP43" i="1" s="1"/>
  <c r="BB43" i="1" s="1"/>
  <c r="AL38" i="1"/>
  <c r="AM38" i="1" s="1"/>
  <c r="BA38" i="1" s="1"/>
  <c r="BY38" i="1"/>
  <c r="CA38" i="1" s="1"/>
  <c r="W18" i="1"/>
  <c r="X18" i="1" s="1"/>
  <c r="AV18" i="1" s="1"/>
  <c r="BJ18" i="1"/>
  <c r="BL18" i="1" s="1"/>
  <c r="Q7" i="1"/>
  <c r="R7" i="1" s="1"/>
  <c r="AT7" i="1" s="1"/>
  <c r="BD7" i="1"/>
  <c r="EW59" i="1"/>
  <c r="DJ59" i="1"/>
  <c r="DK59" i="1" s="1"/>
  <c r="DU59" i="1" s="1"/>
  <c r="BJ26" i="1"/>
  <c r="W26" i="1"/>
  <c r="X26" i="1" s="1"/>
  <c r="AV26" i="1" s="1"/>
  <c r="DJ51" i="1"/>
  <c r="DK51" i="1" s="1"/>
  <c r="DU51" i="1" s="1"/>
  <c r="EW51" i="1"/>
  <c r="BD33" i="1"/>
  <c r="Q33" i="1"/>
  <c r="R33" i="1" s="1"/>
  <c r="AT33" i="1" s="1"/>
  <c r="AO19" i="1"/>
  <c r="AP19" i="1" s="1"/>
  <c r="BB19" i="1" s="1"/>
  <c r="CB19" i="1"/>
  <c r="BS96" i="1"/>
  <c r="AF96" i="1"/>
  <c r="AG96" i="1" s="1"/>
  <c r="AY96" i="1" s="1"/>
  <c r="BP96" i="1"/>
  <c r="AC96" i="1"/>
  <c r="AD96" i="1" s="1"/>
  <c r="AX96" i="1" s="1"/>
  <c r="CI52" i="1"/>
  <c r="CJ52" i="1" s="1"/>
  <c r="DL52" i="1" s="1"/>
  <c r="DV52" i="1"/>
  <c r="EE38" i="1"/>
  <c r="EG38" i="1" s="1"/>
  <c r="CR38" i="1"/>
  <c r="CS38" i="1" s="1"/>
  <c r="DO38" i="1" s="1"/>
  <c r="EK26" i="1"/>
  <c r="CX26" i="1"/>
  <c r="CY26" i="1" s="1"/>
  <c r="DQ26" i="1" s="1"/>
  <c r="EK9" i="1"/>
  <c r="CX9" i="1"/>
  <c r="CY9" i="1" s="1"/>
  <c r="DQ9" i="1" s="1"/>
  <c r="EW39" i="1"/>
  <c r="DJ39" i="1"/>
  <c r="DK39" i="1" s="1"/>
  <c r="DU39" i="1" s="1"/>
  <c r="CL93" i="1"/>
  <c r="CM93" i="1" s="1"/>
  <c r="DM93" i="1" s="1"/>
  <c r="DY93" i="1"/>
  <c r="BD58" i="1"/>
  <c r="Q58" i="1"/>
  <c r="R58" i="1" s="1"/>
  <c r="AT58" i="1" s="1"/>
  <c r="BZ28" i="1"/>
  <c r="CA28" i="1"/>
  <c r="DY9" i="1"/>
  <c r="CL9" i="1"/>
  <c r="CM9" i="1" s="1"/>
  <c r="DM9" i="1" s="1"/>
  <c r="DJ56" i="1"/>
  <c r="DK56" i="1" s="1"/>
  <c r="DU56" i="1" s="1"/>
  <c r="EW56" i="1"/>
  <c r="DD33" i="1"/>
  <c r="DE33" i="1" s="1"/>
  <c r="DS33" i="1" s="1"/>
  <c r="EQ33" i="1"/>
  <c r="EB36" i="1"/>
  <c r="CO36" i="1"/>
  <c r="CP36" i="1" s="1"/>
  <c r="DN36" i="1" s="1"/>
  <c r="BD29" i="1"/>
  <c r="BF29" i="1" s="1"/>
  <c r="Q29" i="1"/>
  <c r="R29" i="1" s="1"/>
  <c r="AT29" i="1" s="1"/>
  <c r="CX12" i="1"/>
  <c r="CY12" i="1" s="1"/>
  <c r="DQ12" i="1" s="1"/>
  <c r="EK12" i="1"/>
  <c r="EL12" i="1" s="1"/>
  <c r="BD82" i="1"/>
  <c r="BF82" i="1" s="1"/>
  <c r="Q82" i="1"/>
  <c r="R82" i="1" s="1"/>
  <c r="AT82" i="1" s="1"/>
  <c r="EG65" i="1"/>
  <c r="EF65" i="1"/>
  <c r="BM141" i="1"/>
  <c r="Z141" i="1"/>
  <c r="AA141" i="1" s="1"/>
  <c r="AW141" i="1" s="1"/>
  <c r="BG110" i="1"/>
  <c r="T110" i="1"/>
  <c r="U110" i="1" s="1"/>
  <c r="AU110" i="1" s="1"/>
  <c r="BP101" i="1"/>
  <c r="AC101" i="1"/>
  <c r="AD101" i="1" s="1"/>
  <c r="AX101" i="1" s="1"/>
  <c r="AL135" i="1"/>
  <c r="AM135" i="1" s="1"/>
  <c r="BA135" i="1" s="1"/>
  <c r="BY135" i="1"/>
  <c r="CA135" i="1" s="1"/>
  <c r="BX151" i="1"/>
  <c r="BW151" i="1"/>
  <c r="EW117" i="1"/>
  <c r="DJ117" i="1"/>
  <c r="DK117" i="1" s="1"/>
  <c r="DU117" i="1" s="1"/>
  <c r="Z78" i="1"/>
  <c r="AA78" i="1" s="1"/>
  <c r="AW78" i="1" s="1"/>
  <c r="BM78" i="1"/>
  <c r="DD64" i="1"/>
  <c r="DE64" i="1" s="1"/>
  <c r="DS64" i="1" s="1"/>
  <c r="EQ64" i="1"/>
  <c r="ES64" i="1" s="1"/>
  <c r="CL57" i="1"/>
  <c r="CM57" i="1" s="1"/>
  <c r="DM57" i="1" s="1"/>
  <c r="DY57" i="1"/>
  <c r="DZ57" i="1" s="1"/>
  <c r="BD67" i="1"/>
  <c r="BF67" i="1" s="1"/>
  <c r="Q67" i="1"/>
  <c r="R67" i="1" s="1"/>
  <c r="AT67" i="1" s="1"/>
  <c r="DD134" i="1"/>
  <c r="DE134" i="1" s="1"/>
  <c r="DS134" i="1" s="1"/>
  <c r="EQ134" i="1"/>
  <c r="AC99" i="1"/>
  <c r="AD99" i="1" s="1"/>
  <c r="AX99" i="1" s="1"/>
  <c r="BP99" i="1"/>
  <c r="ES141" i="1"/>
  <c r="ER141" i="1"/>
  <c r="AO78" i="1"/>
  <c r="AP78" i="1" s="1"/>
  <c r="BB78" i="1" s="1"/>
  <c r="CB78" i="1"/>
  <c r="AD235" i="1"/>
  <c r="DG104" i="1"/>
  <c r="DH104" i="1" s="1"/>
  <c r="DT104" i="1" s="1"/>
  <c r="BL145" i="1"/>
  <c r="BK145" i="1"/>
  <c r="AR164" i="1"/>
  <c r="AS164" i="1" s="1"/>
  <c r="BC164" i="1" s="1"/>
  <c r="CE164" i="1"/>
  <c r="BJ110" i="1"/>
  <c r="BK110" i="1" s="1"/>
  <c r="W110" i="1"/>
  <c r="X110" i="1" s="1"/>
  <c r="AV110" i="1" s="1"/>
  <c r="X261" i="1"/>
  <c r="Q189" i="1"/>
  <c r="R189" i="1" s="1"/>
  <c r="AT189" i="1" s="1"/>
  <c r="BD189" i="1"/>
  <c r="BE189" i="1" s="1"/>
  <c r="BY112" i="1"/>
  <c r="AL112" i="1"/>
  <c r="AM112" i="1" s="1"/>
  <c r="BA112" i="1" s="1"/>
  <c r="AL151" i="1"/>
  <c r="AM151" i="1" s="1"/>
  <c r="BA151" i="1" s="1"/>
  <c r="BY151" i="1"/>
  <c r="CL126" i="1"/>
  <c r="CM126" i="1" s="1"/>
  <c r="DM126" i="1" s="1"/>
  <c r="DY126" i="1"/>
  <c r="EA126" i="1" s="1"/>
  <c r="EQ122" i="1"/>
  <c r="DD122" i="1"/>
  <c r="DE122" i="1" s="1"/>
  <c r="DS122" i="1" s="1"/>
  <c r="EO276" i="1"/>
  <c r="ET194" i="1"/>
  <c r="EV194" i="1" s="1"/>
  <c r="DG194" i="1"/>
  <c r="DH194" i="1" s="1"/>
  <c r="DT194" i="1" s="1"/>
  <c r="BO226" i="1"/>
  <c r="BN226" i="1"/>
  <c r="DD193" i="1"/>
  <c r="DE193" i="1" s="1"/>
  <c r="DS193" i="1" s="1"/>
  <c r="EQ193" i="1"/>
  <c r="ER193" i="1" s="1"/>
  <c r="CX152" i="1"/>
  <c r="CY152" i="1" s="1"/>
  <c r="DQ152" i="1" s="1"/>
  <c r="EK152" i="1"/>
  <c r="DJ200" i="1"/>
  <c r="DK200" i="1" s="1"/>
  <c r="DU200" i="1" s="1"/>
  <c r="EW200" i="1"/>
  <c r="EX200" i="1" s="1"/>
  <c r="CI162" i="1"/>
  <c r="CJ162" i="1" s="1"/>
  <c r="DL162" i="1" s="1"/>
  <c r="DV162" i="1"/>
  <c r="BJ146" i="1"/>
  <c r="W146" i="1"/>
  <c r="X146" i="1" s="1"/>
  <c r="AV146" i="1" s="1"/>
  <c r="BD127" i="1"/>
  <c r="Q127" i="1"/>
  <c r="R127" i="1" s="1"/>
  <c r="AT127" i="1" s="1"/>
  <c r="CX186" i="1"/>
  <c r="CY186" i="1" s="1"/>
  <c r="DQ186" i="1" s="1"/>
  <c r="EK186" i="1"/>
  <c r="CU188" i="1"/>
  <c r="CV188" i="1" s="1"/>
  <c r="DP188" i="1" s="1"/>
  <c r="EH188" i="1"/>
  <c r="EQ180" i="1"/>
  <c r="DD180" i="1"/>
  <c r="DE180" i="1" s="1"/>
  <c r="DS180" i="1" s="1"/>
  <c r="DD175" i="1"/>
  <c r="DE175" i="1" s="1"/>
  <c r="DS175" i="1" s="1"/>
  <c r="EQ175" i="1"/>
  <c r="CX145" i="1"/>
  <c r="CY145" i="1" s="1"/>
  <c r="DQ145" i="1" s="1"/>
  <c r="EK145" i="1"/>
  <c r="EL145" i="1" s="1"/>
  <c r="AR162" i="1"/>
  <c r="AS162" i="1" s="1"/>
  <c r="BC162" i="1" s="1"/>
  <c r="CE162" i="1"/>
  <c r="CF162" i="1" s="1"/>
  <c r="CX229" i="1"/>
  <c r="CY229" i="1" s="1"/>
  <c r="DQ229" i="1" s="1"/>
  <c r="EK229" i="1"/>
  <c r="EM229" i="1" s="1"/>
  <c r="ES176" i="1"/>
  <c r="ER176" i="1"/>
  <c r="EK140" i="1"/>
  <c r="CX140" i="1"/>
  <c r="CY140" i="1" s="1"/>
  <c r="DQ140" i="1" s="1"/>
  <c r="ED202" i="1"/>
  <c r="EC202" i="1"/>
  <c r="BW224" i="1"/>
  <c r="BX224" i="1"/>
  <c r="Z168" i="1"/>
  <c r="AA168" i="1" s="1"/>
  <c r="AW168" i="1" s="1"/>
  <c r="BM168" i="1"/>
  <c r="BO168" i="1" s="1"/>
  <c r="BV269" i="1"/>
  <c r="BX269" i="1" s="1"/>
  <c r="CD225" i="1"/>
  <c r="CC225" i="1"/>
  <c r="EH211" i="1"/>
  <c r="EJ211" i="1" s="1"/>
  <c r="CU211" i="1"/>
  <c r="CV211" i="1" s="1"/>
  <c r="DP211" i="1" s="1"/>
  <c r="ET182" i="1"/>
  <c r="EV182" i="1" s="1"/>
  <c r="DG182" i="1"/>
  <c r="DH182" i="1" s="1"/>
  <c r="DT182" i="1" s="1"/>
  <c r="CU197" i="1"/>
  <c r="CV197" i="1" s="1"/>
  <c r="DP197" i="1" s="1"/>
  <c r="EH197" i="1"/>
  <c r="Q172" i="1"/>
  <c r="R172" i="1" s="1"/>
  <c r="AT172" i="1" s="1"/>
  <c r="BD172" i="1"/>
  <c r="EQ244" i="1"/>
  <c r="DD244" i="1"/>
  <c r="DE244" i="1" s="1"/>
  <c r="DS244" i="1" s="1"/>
  <c r="EK202" i="1"/>
  <c r="CX202" i="1"/>
  <c r="CY202" i="1" s="1"/>
  <c r="DQ202" i="1" s="1"/>
  <c r="BV187" i="1"/>
  <c r="AI187" i="1"/>
  <c r="AJ187" i="1" s="1"/>
  <c r="AZ187" i="1" s="1"/>
  <c r="DA114" i="1"/>
  <c r="DB114" i="1" s="1"/>
  <c r="DR114" i="1" s="1"/>
  <c r="EN114" i="1"/>
  <c r="EP114" i="1" s="1"/>
  <c r="EL142" i="1"/>
  <c r="EM142" i="1"/>
  <c r="CO29" i="1"/>
  <c r="CP29" i="1" s="1"/>
  <c r="DN29" i="1" s="1"/>
  <c r="EB29" i="1"/>
  <c r="ED29" i="1" s="1"/>
  <c r="BG241" i="1"/>
  <c r="T241" i="1"/>
  <c r="U241" i="1" s="1"/>
  <c r="AU241" i="1" s="1"/>
  <c r="CI269" i="1"/>
  <c r="CJ269" i="1" s="1"/>
  <c r="DL269" i="1" s="1"/>
  <c r="EI285" i="1"/>
  <c r="EJ285" i="1"/>
  <c r="CR216" i="1"/>
  <c r="CS216" i="1" s="1"/>
  <c r="DO216" i="1" s="1"/>
  <c r="EE216" i="1"/>
  <c r="EB132" i="1"/>
  <c r="ED132" i="1" s="1"/>
  <c r="CO132" i="1"/>
  <c r="CP132" i="1" s="1"/>
  <c r="DN132" i="1" s="1"/>
  <c r="EQ120" i="1"/>
  <c r="DD120" i="1"/>
  <c r="DE120" i="1" s="1"/>
  <c r="DS120" i="1" s="1"/>
  <c r="DY132" i="1"/>
  <c r="CL132" i="1"/>
  <c r="CM132" i="1" s="1"/>
  <c r="DM132" i="1" s="1"/>
  <c r="BG112" i="1"/>
  <c r="BI112" i="1" s="1"/>
  <c r="T112" i="1"/>
  <c r="U112" i="1" s="1"/>
  <c r="AU112" i="1" s="1"/>
  <c r="DV142" i="1"/>
  <c r="CI142" i="1"/>
  <c r="CJ142" i="1" s="1"/>
  <c r="DL142" i="1" s="1"/>
  <c r="Z101" i="1"/>
  <c r="AA101" i="1" s="1"/>
  <c r="AW101" i="1" s="1"/>
  <c r="BM101" i="1"/>
  <c r="CO163" i="1"/>
  <c r="CP163" i="1" s="1"/>
  <c r="DN163" i="1" s="1"/>
  <c r="EB163" i="1"/>
  <c r="EK153" i="1"/>
  <c r="EM153" i="1" s="1"/>
  <c r="CX153" i="1"/>
  <c r="CY153" i="1" s="1"/>
  <c r="DQ153" i="1" s="1"/>
  <c r="EV158" i="1"/>
  <c r="EU158" i="1"/>
  <c r="CL70" i="1"/>
  <c r="CM70" i="1" s="1"/>
  <c r="DM70" i="1" s="1"/>
  <c r="DY70" i="1"/>
  <c r="EA70" i="1" s="1"/>
  <c r="CO48" i="1"/>
  <c r="CP48" i="1" s="1"/>
  <c r="DN48" i="1" s="1"/>
  <c r="EB48" i="1"/>
  <c r="EC48" i="1" s="1"/>
  <c r="EB88" i="1"/>
  <c r="CO88" i="1"/>
  <c r="CP88" i="1" s="1"/>
  <c r="DN88" i="1" s="1"/>
  <c r="T64" i="1"/>
  <c r="U64" i="1" s="1"/>
  <c r="AU64" i="1" s="1"/>
  <c r="BG64" i="1"/>
  <c r="CR81" i="1"/>
  <c r="CS81" i="1" s="1"/>
  <c r="DO81" i="1" s="1"/>
  <c r="EE81" i="1"/>
  <c r="EG81" i="1" s="1"/>
  <c r="EE137" i="1"/>
  <c r="EG137" i="1" s="1"/>
  <c r="CR137" i="1"/>
  <c r="CS137" i="1" s="1"/>
  <c r="DO137" i="1" s="1"/>
  <c r="CO134" i="1"/>
  <c r="CP134" i="1" s="1"/>
  <c r="DN134" i="1" s="1"/>
  <c r="EB134" i="1"/>
  <c r="CI117" i="1"/>
  <c r="CJ117" i="1" s="1"/>
  <c r="DL117" i="1" s="1"/>
  <c r="DV117" i="1"/>
  <c r="DX117" i="1" s="1"/>
  <c r="Q87" i="1"/>
  <c r="R87" i="1" s="1"/>
  <c r="AT87" i="1" s="1"/>
  <c r="BD87" i="1"/>
  <c r="AC69" i="1"/>
  <c r="AD69" i="1" s="1"/>
  <c r="AX69" i="1" s="1"/>
  <c r="BP69" i="1"/>
  <c r="Q99" i="1"/>
  <c r="R99" i="1" s="1"/>
  <c r="AT99" i="1" s="1"/>
  <c r="BD99" i="1"/>
  <c r="CX64" i="1"/>
  <c r="CY64" i="1" s="1"/>
  <c r="DQ64" i="1" s="1"/>
  <c r="EK64" i="1"/>
  <c r="CR99" i="1"/>
  <c r="CS99" i="1" s="1"/>
  <c r="DO99" i="1" s="1"/>
  <c r="EE99" i="1"/>
  <c r="CI255" i="1"/>
  <c r="CJ255" i="1" s="1"/>
  <c r="DL255" i="1" s="1"/>
  <c r="DV255" i="1"/>
  <c r="BJ153" i="1"/>
  <c r="W153" i="1"/>
  <c r="X153" i="1" s="1"/>
  <c r="AV153" i="1" s="1"/>
  <c r="AI88" i="1"/>
  <c r="AJ88" i="1" s="1"/>
  <c r="AZ88" i="1" s="1"/>
  <c r="BV88" i="1"/>
  <c r="EW68" i="1"/>
  <c r="EX68" i="1" s="1"/>
  <c r="DJ68" i="1"/>
  <c r="DK68" i="1" s="1"/>
  <c r="DU68" i="1" s="1"/>
  <c r="CR94" i="1"/>
  <c r="CS94" i="1" s="1"/>
  <c r="DO94" i="1" s="1"/>
  <c r="EE94" i="1"/>
  <c r="BP83" i="1"/>
  <c r="BR83" i="1" s="1"/>
  <c r="AC83" i="1"/>
  <c r="AD83" i="1" s="1"/>
  <c r="AX83" i="1" s="1"/>
  <c r="BM81" i="1"/>
  <c r="BO81" i="1" s="1"/>
  <c r="Z81" i="1"/>
  <c r="AA81" i="1" s="1"/>
  <c r="AW81" i="1" s="1"/>
  <c r="DX283" i="1"/>
  <c r="AJ235" i="1"/>
  <c r="EH164" i="1"/>
  <c r="CU164" i="1"/>
  <c r="CV164" i="1" s="1"/>
  <c r="DP164" i="1" s="1"/>
  <c r="EN252" i="1"/>
  <c r="DA252" i="1"/>
  <c r="DB252" i="1" s="1"/>
  <c r="DR252" i="1" s="1"/>
  <c r="BS174" i="1"/>
  <c r="BU174" i="1" s="1"/>
  <c r="AF174" i="1"/>
  <c r="AG174" i="1" s="1"/>
  <c r="AY174" i="1" s="1"/>
  <c r="CF173" i="1"/>
  <c r="CG173" i="1"/>
  <c r="Z151" i="1"/>
  <c r="AA151" i="1" s="1"/>
  <c r="AW151" i="1" s="1"/>
  <c r="BM151" i="1"/>
  <c r="CR126" i="1"/>
  <c r="CS126" i="1" s="1"/>
  <c r="DO126" i="1" s="1"/>
  <c r="EE126" i="1"/>
  <c r="CU123" i="1"/>
  <c r="CV123" i="1" s="1"/>
  <c r="DP123" i="1" s="1"/>
  <c r="EH123" i="1"/>
  <c r="EJ123" i="1" s="1"/>
  <c r="AL107" i="1"/>
  <c r="AM107" i="1" s="1"/>
  <c r="BA107" i="1" s="1"/>
  <c r="BY107" i="1"/>
  <c r="AL132" i="1"/>
  <c r="AM132" i="1" s="1"/>
  <c r="BA132" i="1" s="1"/>
  <c r="BY132" i="1"/>
  <c r="CU112" i="1"/>
  <c r="CV112" i="1" s="1"/>
  <c r="DP112" i="1" s="1"/>
  <c r="EH112" i="1"/>
  <c r="AG131" i="1"/>
  <c r="AS92" i="1"/>
  <c r="EY262" i="1"/>
  <c r="EX262" i="1"/>
  <c r="Z241" i="1"/>
  <c r="AA241" i="1" s="1"/>
  <c r="AW241" i="1" s="1"/>
  <c r="BM241" i="1"/>
  <c r="ED275" i="1"/>
  <c r="EC275" i="1"/>
  <c r="AO252" i="1"/>
  <c r="AP252" i="1" s="1"/>
  <c r="BB252" i="1" s="1"/>
  <c r="CB252" i="1"/>
  <c r="DA215" i="1"/>
  <c r="DB215" i="1" s="1"/>
  <c r="DR215" i="1" s="1"/>
  <c r="EN215" i="1"/>
  <c r="BP201" i="1"/>
  <c r="AC201" i="1"/>
  <c r="AD201" i="1" s="1"/>
  <c r="AX201" i="1" s="1"/>
  <c r="AC244" i="1"/>
  <c r="AD244" i="1" s="1"/>
  <c r="AX244" i="1" s="1"/>
  <c r="BP244" i="1"/>
  <c r="AL236" i="1"/>
  <c r="AM236" i="1" s="1"/>
  <c r="BA236" i="1" s="1"/>
  <c r="BY236" i="1"/>
  <c r="CE214" i="1"/>
  <c r="AR214" i="1"/>
  <c r="AS214" i="1" s="1"/>
  <c r="BC214" i="1" s="1"/>
  <c r="EH207" i="1"/>
  <c r="CU207" i="1"/>
  <c r="CV207" i="1" s="1"/>
  <c r="DP207" i="1" s="1"/>
  <c r="CI194" i="1"/>
  <c r="CJ194" i="1" s="1"/>
  <c r="DL194" i="1" s="1"/>
  <c r="DV194" i="1"/>
  <c r="DJ168" i="1"/>
  <c r="DK168" i="1" s="1"/>
  <c r="DU168" i="1" s="1"/>
  <c r="EW168" i="1"/>
  <c r="T249" i="1"/>
  <c r="U249" i="1" s="1"/>
  <c r="AU249" i="1" s="1"/>
  <c r="BG249" i="1"/>
  <c r="DJ254" i="1"/>
  <c r="DK254" i="1" s="1"/>
  <c r="DU254" i="1" s="1"/>
  <c r="EW254" i="1"/>
  <c r="CX195" i="1"/>
  <c r="CY195" i="1" s="1"/>
  <c r="DQ195" i="1" s="1"/>
  <c r="EK195" i="1"/>
  <c r="CE155" i="1"/>
  <c r="AR155" i="1"/>
  <c r="AS155" i="1" s="1"/>
  <c r="BC155" i="1" s="1"/>
  <c r="T227" i="1"/>
  <c r="U227" i="1" s="1"/>
  <c r="AU227" i="1" s="1"/>
  <c r="BG227" i="1"/>
  <c r="AF200" i="1"/>
  <c r="AG200" i="1" s="1"/>
  <c r="AY200" i="1" s="1"/>
  <c r="BS200" i="1"/>
  <c r="EK146" i="1"/>
  <c r="CX146" i="1"/>
  <c r="CY146" i="1" s="1"/>
  <c r="DQ146" i="1" s="1"/>
  <c r="BD146" i="1"/>
  <c r="Q146" i="1"/>
  <c r="R146" i="1" s="1"/>
  <c r="AT146" i="1" s="1"/>
  <c r="R222" i="1"/>
  <c r="BV229" i="1"/>
  <c r="AI229" i="1"/>
  <c r="AJ229" i="1" s="1"/>
  <c r="AZ229" i="1" s="1"/>
  <c r="BT143" i="1"/>
  <c r="BU143" i="1"/>
  <c r="T151" i="1"/>
  <c r="U151" i="1" s="1"/>
  <c r="AU151" i="1" s="1"/>
  <c r="BG151" i="1"/>
  <c r="AL122" i="1"/>
  <c r="AM122" i="1" s="1"/>
  <c r="BA122" i="1" s="1"/>
  <c r="BY122" i="1"/>
  <c r="CR110" i="1"/>
  <c r="CS110" i="1" s="1"/>
  <c r="DO110" i="1" s="1"/>
  <c r="EE110" i="1"/>
  <c r="AC125" i="1"/>
  <c r="AD125" i="1" s="1"/>
  <c r="AX125" i="1" s="1"/>
  <c r="BP125" i="1"/>
  <c r="BM112" i="1"/>
  <c r="Z112" i="1"/>
  <c r="AA112" i="1" s="1"/>
  <c r="AW112" i="1" s="1"/>
  <c r="DY153" i="1"/>
  <c r="CL153" i="1"/>
  <c r="CM153" i="1" s="1"/>
  <c r="DM153" i="1" s="1"/>
  <c r="ES95" i="1"/>
  <c r="ER95" i="1"/>
  <c r="BJ64" i="1"/>
  <c r="W64" i="1"/>
  <c r="X64" i="1" s="1"/>
  <c r="AV64" i="1" s="1"/>
  <c r="DD81" i="1"/>
  <c r="DE81" i="1" s="1"/>
  <c r="DS81" i="1" s="1"/>
  <c r="EQ81" i="1"/>
  <c r="X79" i="1"/>
  <c r="AF69" i="1"/>
  <c r="AG69" i="1" s="1"/>
  <c r="AY69" i="1" s="1"/>
  <c r="BS69" i="1"/>
  <c r="BV94" i="1"/>
  <c r="AI94" i="1"/>
  <c r="AJ94" i="1" s="1"/>
  <c r="AZ94" i="1" s="1"/>
  <c r="CC137" i="1"/>
  <c r="CD137" i="1"/>
  <c r="EN83" i="1"/>
  <c r="DA83" i="1"/>
  <c r="DB83" i="1" s="1"/>
  <c r="DR83" i="1" s="1"/>
  <c r="BL115" i="1"/>
  <c r="BK115" i="1"/>
  <c r="CO78" i="1"/>
  <c r="CP78" i="1" s="1"/>
  <c r="DN78" i="1" s="1"/>
  <c r="EB78" i="1"/>
  <c r="EK41" i="1"/>
  <c r="CX41" i="1"/>
  <c r="CY41" i="1" s="1"/>
  <c r="DQ41" i="1" s="1"/>
  <c r="BY61" i="1"/>
  <c r="AL61" i="1"/>
  <c r="AM61" i="1" s="1"/>
  <c r="BA61" i="1" s="1"/>
  <c r="AL70" i="1"/>
  <c r="AM70" i="1" s="1"/>
  <c r="BA70" i="1" s="1"/>
  <c r="BY70" i="1"/>
  <c r="BJ19" i="1"/>
  <c r="W19" i="1"/>
  <c r="X19" i="1" s="1"/>
  <c r="AV19" i="1" s="1"/>
  <c r="EQ7" i="1"/>
  <c r="DD7" i="1"/>
  <c r="DE7" i="1" s="1"/>
  <c r="DS7" i="1" s="1"/>
  <c r="DA59" i="1"/>
  <c r="DB59" i="1" s="1"/>
  <c r="DR59" i="1" s="1"/>
  <c r="EN59" i="1"/>
  <c r="AL33" i="1"/>
  <c r="AM33" i="1" s="1"/>
  <c r="BA33" i="1" s="1"/>
  <c r="BY33" i="1"/>
  <c r="BS20" i="1"/>
  <c r="AF20" i="1"/>
  <c r="AG20" i="1" s="1"/>
  <c r="AY20" i="1" s="1"/>
  <c r="EM11" i="1"/>
  <c r="EL11" i="1"/>
  <c r="EE96" i="1"/>
  <c r="CR96" i="1"/>
  <c r="CS96" i="1" s="1"/>
  <c r="DO96" i="1" s="1"/>
  <c r="T91" i="1"/>
  <c r="U91" i="1" s="1"/>
  <c r="AU91" i="1" s="1"/>
  <c r="BG91" i="1"/>
  <c r="T39" i="1"/>
  <c r="U39" i="1" s="1"/>
  <c r="AU39" i="1" s="1"/>
  <c r="BG39" i="1"/>
  <c r="DD28" i="1"/>
  <c r="DE28" i="1" s="1"/>
  <c r="DS28" i="1" s="1"/>
  <c r="EQ28" i="1"/>
  <c r="ET56" i="1"/>
  <c r="DG56" i="1"/>
  <c r="DH56" i="1" s="1"/>
  <c r="DT56" i="1" s="1"/>
  <c r="BG36" i="1"/>
  <c r="T36" i="1"/>
  <c r="U36" i="1" s="1"/>
  <c r="AU36" i="1" s="1"/>
  <c r="BH104" i="1"/>
  <c r="BI104" i="1"/>
  <c r="BU13" i="1"/>
  <c r="BT13" i="1"/>
  <c r="EH82" i="1"/>
  <c r="CU82" i="1"/>
  <c r="CV82" i="1" s="1"/>
  <c r="DP82" i="1" s="1"/>
  <c r="AP14" i="1"/>
  <c r="EG298" i="1"/>
  <c r="EF298" i="1"/>
  <c r="DJ177" i="1"/>
  <c r="DK177" i="1" s="1"/>
  <c r="DU177" i="1" s="1"/>
  <c r="EW177" i="1"/>
  <c r="BX244" i="1"/>
  <c r="BW244" i="1"/>
  <c r="DA201" i="1"/>
  <c r="DB201" i="1" s="1"/>
  <c r="DR201" i="1" s="1"/>
  <c r="EN201" i="1"/>
  <c r="EX204" i="1"/>
  <c r="EY204" i="1"/>
  <c r="AF249" i="1"/>
  <c r="AG249" i="1" s="1"/>
  <c r="AY249" i="1" s="1"/>
  <c r="BS249" i="1"/>
  <c r="BV194" i="1"/>
  <c r="AI194" i="1"/>
  <c r="AJ194" i="1" s="1"/>
  <c r="AZ194" i="1" s="1"/>
  <c r="BP152" i="1"/>
  <c r="AC152" i="1"/>
  <c r="AD152" i="1" s="1"/>
  <c r="AX152" i="1" s="1"/>
  <c r="EW175" i="1"/>
  <c r="DJ175" i="1"/>
  <c r="DK175" i="1" s="1"/>
  <c r="DU175" i="1" s="1"/>
  <c r="AF139" i="1"/>
  <c r="AG139" i="1" s="1"/>
  <c r="AY139" i="1" s="1"/>
  <c r="BS139" i="1"/>
  <c r="CU189" i="1"/>
  <c r="CV189" i="1" s="1"/>
  <c r="DP189" i="1" s="1"/>
  <c r="EH189" i="1"/>
  <c r="EQ110" i="1"/>
  <c r="DD110" i="1"/>
  <c r="DE110" i="1" s="1"/>
  <c r="DS110" i="1" s="1"/>
  <c r="DJ128" i="1"/>
  <c r="DK128" i="1" s="1"/>
  <c r="DU128" i="1" s="1"/>
  <c r="EW128" i="1"/>
  <c r="BX200" i="1"/>
  <c r="BW200" i="1"/>
  <c r="DG141" i="1"/>
  <c r="DH141" i="1" s="1"/>
  <c r="DT141" i="1" s="1"/>
  <c r="ET141" i="1"/>
  <c r="BS100" i="1"/>
  <c r="AF100" i="1"/>
  <c r="AG100" i="1" s="1"/>
  <c r="AY100" i="1" s="1"/>
  <c r="EB135" i="1"/>
  <c r="CO135" i="1"/>
  <c r="CP135" i="1" s="1"/>
  <c r="DN135" i="1" s="1"/>
  <c r="BY163" i="1"/>
  <c r="AL163" i="1"/>
  <c r="AM163" i="1" s="1"/>
  <c r="BA163" i="1" s="1"/>
  <c r="EB153" i="1"/>
  <c r="CO153" i="1"/>
  <c r="CP153" i="1" s="1"/>
  <c r="DN153" i="1" s="1"/>
  <c r="BM67" i="1"/>
  <c r="Z67" i="1"/>
  <c r="AA67" i="1" s="1"/>
  <c r="AW67" i="1" s="1"/>
  <c r="EO137" i="1"/>
  <c r="EP137" i="1"/>
  <c r="DA78" i="1"/>
  <c r="DB78" i="1" s="1"/>
  <c r="DR78" i="1" s="1"/>
  <c r="EN78" i="1"/>
  <c r="ET83" i="1"/>
  <c r="DG83" i="1"/>
  <c r="DH83" i="1" s="1"/>
  <c r="DT83" i="1" s="1"/>
  <c r="AJ222" i="1"/>
  <c r="CI60" i="1"/>
  <c r="CJ60" i="1" s="1"/>
  <c r="DL60" i="1" s="1"/>
  <c r="DV60" i="1"/>
  <c r="CE69" i="1"/>
  <c r="AR69" i="1"/>
  <c r="AS69" i="1" s="1"/>
  <c r="BC69" i="1" s="1"/>
  <c r="AR43" i="1"/>
  <c r="AS43" i="1" s="1"/>
  <c r="BC43" i="1" s="1"/>
  <c r="CE43" i="1"/>
  <c r="EN37" i="1"/>
  <c r="DA37" i="1"/>
  <c r="DB37" i="1" s="1"/>
  <c r="DR37" i="1" s="1"/>
  <c r="EG17" i="1"/>
  <c r="EF17" i="1"/>
  <c r="BI4" i="1"/>
  <c r="BH4" i="1"/>
  <c r="DJ20" i="1"/>
  <c r="DK20" i="1" s="1"/>
  <c r="DU20" i="1" s="1"/>
  <c r="EW20" i="1"/>
  <c r="BM8" i="1"/>
  <c r="Z8" i="1"/>
  <c r="AA8" i="1" s="1"/>
  <c r="AW8" i="1" s="1"/>
  <c r="BF47" i="1"/>
  <c r="BE47" i="1"/>
  <c r="Q19" i="1"/>
  <c r="R19" i="1" s="1"/>
  <c r="AT19" i="1" s="1"/>
  <c r="BD19" i="1"/>
  <c r="DA96" i="1"/>
  <c r="DB96" i="1" s="1"/>
  <c r="DR96" i="1" s="1"/>
  <c r="EN96" i="1"/>
  <c r="AL91" i="1"/>
  <c r="AM91" i="1" s="1"/>
  <c r="BA91" i="1" s="1"/>
  <c r="BY91" i="1"/>
  <c r="CU63" i="1"/>
  <c r="CV63" i="1" s="1"/>
  <c r="DP63" i="1" s="1"/>
  <c r="EH63" i="1"/>
  <c r="BJ36" i="1"/>
  <c r="W36" i="1"/>
  <c r="X36" i="1" s="1"/>
  <c r="AV36" i="1" s="1"/>
  <c r="CX93" i="1"/>
  <c r="CY93" i="1" s="1"/>
  <c r="DQ93" i="1" s="1"/>
  <c r="EK93" i="1"/>
  <c r="T58" i="1"/>
  <c r="U58" i="1" s="1"/>
  <c r="AU58" i="1" s="1"/>
  <c r="BG58" i="1"/>
  <c r="DV50" i="1"/>
  <c r="CI50" i="1"/>
  <c r="CJ50" i="1" s="1"/>
  <c r="DL50" i="1" s="1"/>
  <c r="T28" i="1"/>
  <c r="U28" i="1" s="1"/>
  <c r="AU28" i="1" s="1"/>
  <c r="BG28" i="1"/>
  <c r="CE33" i="1"/>
  <c r="AR33" i="1"/>
  <c r="AS33" i="1" s="1"/>
  <c r="BC33" i="1" s="1"/>
  <c r="EU291" i="1"/>
  <c r="EV291" i="1"/>
  <c r="ES287" i="1"/>
  <c r="ER287" i="1"/>
  <c r="EN176" i="1"/>
  <c r="DA176" i="1"/>
  <c r="DB176" i="1" s="1"/>
  <c r="DR176" i="1" s="1"/>
  <c r="AO244" i="1"/>
  <c r="AP244" i="1" s="1"/>
  <c r="BB244" i="1" s="1"/>
  <c r="CB244" i="1"/>
  <c r="AR201" i="1"/>
  <c r="AS201" i="1" s="1"/>
  <c r="BC201" i="1" s="1"/>
  <c r="CE201" i="1"/>
  <c r="CX201" i="1"/>
  <c r="CY201" i="1" s="1"/>
  <c r="DQ201" i="1" s="1"/>
  <c r="EK201" i="1"/>
  <c r="CL245" i="1"/>
  <c r="CM245" i="1" s="1"/>
  <c r="DM245" i="1" s="1"/>
  <c r="DY245" i="1"/>
  <c r="EH190" i="1"/>
  <c r="CU190" i="1"/>
  <c r="CV190" i="1" s="1"/>
  <c r="DP190" i="1" s="1"/>
  <c r="BS167" i="1"/>
  <c r="AF167" i="1"/>
  <c r="AG167" i="1" s="1"/>
  <c r="AY167" i="1" s="1"/>
  <c r="CO249" i="1"/>
  <c r="CP249" i="1" s="1"/>
  <c r="DN249" i="1" s="1"/>
  <c r="EB249" i="1"/>
  <c r="CL254" i="1"/>
  <c r="CM254" i="1" s="1"/>
  <c r="DM254" i="1" s="1"/>
  <c r="DY254" i="1"/>
  <c r="Q150" i="1"/>
  <c r="R150" i="1" s="1"/>
  <c r="AT150" i="1" s="1"/>
  <c r="BD150" i="1"/>
  <c r="BG200" i="1"/>
  <c r="T200" i="1"/>
  <c r="U200" i="1" s="1"/>
  <c r="AU200" i="1" s="1"/>
  <c r="EM158" i="1"/>
  <c r="EL158" i="1"/>
  <c r="EQ139" i="1"/>
  <c r="DD139" i="1"/>
  <c r="DE139" i="1" s="1"/>
  <c r="DS139" i="1" s="1"/>
  <c r="BX213" i="1"/>
  <c r="BW213" i="1"/>
  <c r="DY146" i="1"/>
  <c r="CL146" i="1"/>
  <c r="CM146" i="1" s="1"/>
  <c r="DM146" i="1" s="1"/>
  <c r="CE138" i="1"/>
  <c r="AR138" i="1"/>
  <c r="AS138" i="1" s="1"/>
  <c r="BC138" i="1" s="1"/>
  <c r="BJ189" i="1"/>
  <c r="W189" i="1"/>
  <c r="X189" i="1" s="1"/>
  <c r="AV189" i="1" s="1"/>
  <c r="AO151" i="1"/>
  <c r="AP151" i="1" s="1"/>
  <c r="BB151" i="1" s="1"/>
  <c r="CB151" i="1"/>
  <c r="CR125" i="1"/>
  <c r="CS125" i="1" s="1"/>
  <c r="DO125" i="1" s="1"/>
  <c r="EE125" i="1"/>
  <c r="EK132" i="1"/>
  <c r="CX132" i="1"/>
  <c r="CY132" i="1" s="1"/>
  <c r="DQ132" i="1" s="1"/>
  <c r="DV124" i="1"/>
  <c r="CI124" i="1"/>
  <c r="CJ124" i="1" s="1"/>
  <c r="DL124" i="1" s="1"/>
  <c r="CG129" i="1"/>
  <c r="CF129" i="1"/>
  <c r="CB101" i="1"/>
  <c r="AO101" i="1"/>
  <c r="AP101" i="1" s="1"/>
  <c r="BB101" i="1" s="1"/>
  <c r="BV95" i="1"/>
  <c r="AI95" i="1"/>
  <c r="AJ95" i="1" s="1"/>
  <c r="AZ95" i="1" s="1"/>
  <c r="BS107" i="1"/>
  <c r="AF107" i="1"/>
  <c r="AG107" i="1" s="1"/>
  <c r="AY107" i="1" s="1"/>
  <c r="AP209" i="1"/>
  <c r="DA95" i="1"/>
  <c r="DB95" i="1" s="1"/>
  <c r="DR95" i="1" s="1"/>
  <c r="EN95" i="1"/>
  <c r="CB163" i="1"/>
  <c r="AO163" i="1"/>
  <c r="AP163" i="1" s="1"/>
  <c r="BB163" i="1" s="1"/>
  <c r="BP78" i="1"/>
  <c r="AC78" i="1"/>
  <c r="AD78" i="1" s="1"/>
  <c r="AX78" i="1" s="1"/>
  <c r="BP60" i="1"/>
  <c r="AC60" i="1"/>
  <c r="AD60" i="1" s="1"/>
  <c r="AX60" i="1" s="1"/>
  <c r="DA60" i="1"/>
  <c r="DB60" i="1" s="1"/>
  <c r="DR60" i="1" s="1"/>
  <c r="EN60" i="1"/>
  <c r="EE77" i="1"/>
  <c r="CR77" i="1"/>
  <c r="CS77" i="1" s="1"/>
  <c r="DO77" i="1" s="1"/>
  <c r="CI41" i="1"/>
  <c r="CJ41" i="1" s="1"/>
  <c r="DL41" i="1" s="1"/>
  <c r="DV41" i="1"/>
  <c r="CE78" i="1"/>
  <c r="AR78" i="1"/>
  <c r="AS78" i="1" s="1"/>
  <c r="BC78" i="1" s="1"/>
  <c r="BG69" i="1"/>
  <c r="T69" i="1"/>
  <c r="U69" i="1" s="1"/>
  <c r="AU69" i="1" s="1"/>
  <c r="DZ83" i="1"/>
  <c r="EA83" i="1"/>
  <c r="BD17" i="1"/>
  <c r="Q17" i="1"/>
  <c r="R17" i="1" s="1"/>
  <c r="AT17" i="1" s="1"/>
  <c r="BV96" i="1"/>
  <c r="AI96" i="1"/>
  <c r="AJ96" i="1" s="1"/>
  <c r="AZ96" i="1" s="1"/>
  <c r="Z91" i="1"/>
  <c r="AA91" i="1" s="1"/>
  <c r="AW91" i="1" s="1"/>
  <c r="BM91" i="1"/>
  <c r="BJ38" i="1"/>
  <c r="W38" i="1"/>
  <c r="X38" i="1" s="1"/>
  <c r="AV38" i="1" s="1"/>
  <c r="EH28" i="1"/>
  <c r="CU28" i="1"/>
  <c r="CV28" i="1" s="1"/>
  <c r="DP28" i="1" s="1"/>
  <c r="AS40" i="1"/>
  <c r="CX4" i="1"/>
  <c r="CY4" i="1" s="1"/>
  <c r="DQ4" i="1" s="1"/>
  <c r="EK4" i="1"/>
  <c r="Z11" i="1"/>
  <c r="AA11" i="1" s="1"/>
  <c r="AW11" i="1" s="1"/>
  <c r="BM11" i="1"/>
  <c r="EV49" i="1"/>
  <c r="EU49" i="1"/>
  <c r="AM144" i="1"/>
  <c r="AP27" i="1"/>
  <c r="EM292" i="1"/>
  <c r="EL292" i="1"/>
  <c r="CI258" i="1"/>
  <c r="CJ258" i="1" s="1"/>
  <c r="DL258" i="1" s="1"/>
  <c r="DV258" i="1"/>
  <c r="AC225" i="1"/>
  <c r="AD225" i="1" s="1"/>
  <c r="AX225" i="1" s="1"/>
  <c r="BP225" i="1"/>
  <c r="BJ246" i="1"/>
  <c r="W246" i="1"/>
  <c r="X246" i="1" s="1"/>
  <c r="AV246" i="1" s="1"/>
  <c r="DJ224" i="1"/>
  <c r="DK224" i="1" s="1"/>
  <c r="DU224" i="1" s="1"/>
  <c r="EW224" i="1"/>
  <c r="AR195" i="1"/>
  <c r="AS195" i="1" s="1"/>
  <c r="BC195" i="1" s="1"/>
  <c r="CE195" i="1"/>
  <c r="CE167" i="1"/>
  <c r="AR167" i="1"/>
  <c r="AS167" i="1" s="1"/>
  <c r="BC167" i="1" s="1"/>
  <c r="Z201" i="1"/>
  <c r="AA201" i="1" s="1"/>
  <c r="AW201" i="1" s="1"/>
  <c r="BM201" i="1"/>
  <c r="AC233" i="1"/>
  <c r="AD233" i="1" s="1"/>
  <c r="AX233" i="1" s="1"/>
  <c r="BP233" i="1"/>
  <c r="BJ176" i="1"/>
  <c r="W176" i="1"/>
  <c r="X176" i="1" s="1"/>
  <c r="AV176" i="1" s="1"/>
  <c r="Q233" i="1"/>
  <c r="R233" i="1" s="1"/>
  <c r="AT233" i="1" s="1"/>
  <c r="BD233" i="1"/>
  <c r="DA177" i="1"/>
  <c r="DB177" i="1" s="1"/>
  <c r="DR177" i="1" s="1"/>
  <c r="EN177" i="1"/>
  <c r="EQ205" i="1"/>
  <c r="DD205" i="1"/>
  <c r="DE205" i="1" s="1"/>
  <c r="DS205" i="1" s="1"/>
  <c r="EK184" i="1"/>
  <c r="CX184" i="1"/>
  <c r="CY184" i="1" s="1"/>
  <c r="DQ184" i="1" s="1"/>
  <c r="CR249" i="1"/>
  <c r="CS249" i="1" s="1"/>
  <c r="DO249" i="1" s="1"/>
  <c r="EE249" i="1"/>
  <c r="EQ147" i="1"/>
  <c r="DD147" i="1"/>
  <c r="DE147" i="1" s="1"/>
  <c r="DS147" i="1" s="1"/>
  <c r="BG186" i="1"/>
  <c r="T186" i="1"/>
  <c r="U186" i="1" s="1"/>
  <c r="AU186" i="1" s="1"/>
  <c r="ER188" i="1"/>
  <c r="ES188" i="1"/>
  <c r="EE180" i="1"/>
  <c r="CR180" i="1"/>
  <c r="CS180" i="1" s="1"/>
  <c r="DO180" i="1" s="1"/>
  <c r="EQ189" i="1"/>
  <c r="DD189" i="1"/>
  <c r="DE189" i="1" s="1"/>
  <c r="DS189" i="1" s="1"/>
  <c r="BJ151" i="1"/>
  <c r="W151" i="1"/>
  <c r="X151" i="1" s="1"/>
  <c r="AV151" i="1" s="1"/>
  <c r="Q132" i="1"/>
  <c r="R132" i="1" s="1"/>
  <c r="AT132" i="1" s="1"/>
  <c r="BD132" i="1"/>
  <c r="BV120" i="1"/>
  <c r="AI120" i="1"/>
  <c r="AJ120" i="1" s="1"/>
  <c r="AZ120" i="1" s="1"/>
  <c r="BY164" i="1"/>
  <c r="AL164" i="1"/>
  <c r="AM164" i="1" s="1"/>
  <c r="BA164" i="1" s="1"/>
  <c r="EE120" i="1"/>
  <c r="CR120" i="1"/>
  <c r="CS120" i="1" s="1"/>
  <c r="DO120" i="1" s="1"/>
  <c r="EQ103" i="1"/>
  <c r="DD103" i="1"/>
  <c r="DE103" i="1" s="1"/>
  <c r="DS103" i="1" s="1"/>
  <c r="DY125" i="1"/>
  <c r="CL125" i="1"/>
  <c r="CM125" i="1" s="1"/>
  <c r="DM125" i="1" s="1"/>
  <c r="AR90" i="1"/>
  <c r="AS90" i="1" s="1"/>
  <c r="BC90" i="1" s="1"/>
  <c r="CE90" i="1"/>
  <c r="AR135" i="1"/>
  <c r="AS135" i="1" s="1"/>
  <c r="BC135" i="1" s="1"/>
  <c r="CE135" i="1"/>
  <c r="Z107" i="1"/>
  <c r="AA107" i="1" s="1"/>
  <c r="AW107" i="1" s="1"/>
  <c r="BM107" i="1"/>
  <c r="EP140" i="1"/>
  <c r="EO140" i="1"/>
  <c r="AO104" i="1"/>
  <c r="AP104" i="1" s="1"/>
  <c r="BB104" i="1" s="1"/>
  <c r="CB104" i="1"/>
  <c r="BV76" i="1"/>
  <c r="AI76" i="1"/>
  <c r="AJ76" i="1" s="1"/>
  <c r="AZ76" i="1" s="1"/>
  <c r="DJ137" i="1"/>
  <c r="DK137" i="1" s="1"/>
  <c r="DU137" i="1" s="1"/>
  <c r="EW137" i="1"/>
  <c r="BJ137" i="1"/>
  <c r="W137" i="1"/>
  <c r="X137" i="1" s="1"/>
  <c r="AV137" i="1" s="1"/>
  <c r="DA70" i="1"/>
  <c r="DB70" i="1" s="1"/>
  <c r="DR70" i="1" s="1"/>
  <c r="EN70" i="1"/>
  <c r="BY114" i="1"/>
  <c r="AL114" i="1"/>
  <c r="AM114" i="1" s="1"/>
  <c r="BA114" i="1" s="1"/>
  <c r="BS36" i="1"/>
  <c r="AF36" i="1"/>
  <c r="AG36" i="1" s="1"/>
  <c r="AY36" i="1" s="1"/>
  <c r="BL16" i="1"/>
  <c r="BK16" i="1"/>
  <c r="AC47" i="1"/>
  <c r="AD47" i="1" s="1"/>
  <c r="AX47" i="1" s="1"/>
  <c r="BP47" i="1"/>
  <c r="EB44" i="1"/>
  <c r="CO44" i="1"/>
  <c r="CP44" i="1" s="1"/>
  <c r="DN44" i="1" s="1"/>
  <c r="DV29" i="1"/>
  <c r="CI29" i="1"/>
  <c r="CJ29" i="1" s="1"/>
  <c r="DL29" i="1" s="1"/>
  <c r="AC91" i="1"/>
  <c r="AD91" i="1" s="1"/>
  <c r="AX91" i="1" s="1"/>
  <c r="BP91" i="1"/>
  <c r="BJ91" i="1"/>
  <c r="W91" i="1"/>
  <c r="X91" i="1" s="1"/>
  <c r="AV91" i="1" s="1"/>
  <c r="CC38" i="1"/>
  <c r="CD38" i="1"/>
  <c r="BV63" i="1"/>
  <c r="AI63" i="1"/>
  <c r="AJ63" i="1" s="1"/>
  <c r="AZ63" i="1" s="1"/>
  <c r="AC29" i="1"/>
  <c r="AD29" i="1" s="1"/>
  <c r="AX29" i="1" s="1"/>
  <c r="BP29" i="1"/>
  <c r="DY58" i="1"/>
  <c r="CL58" i="1"/>
  <c r="CM58" i="1" s="1"/>
  <c r="DM58" i="1" s="1"/>
  <c r="T22" i="1"/>
  <c r="U22" i="1" s="1"/>
  <c r="AU22" i="1" s="1"/>
  <c r="BG22" i="1"/>
  <c r="CL47" i="1"/>
  <c r="CM47" i="1" s="1"/>
  <c r="DM47" i="1" s="1"/>
  <c r="DY47" i="1"/>
  <c r="CR28" i="1"/>
  <c r="CS28" i="1" s="1"/>
  <c r="DO28" i="1" s="1"/>
  <c r="EE28" i="1"/>
  <c r="EQ265" i="1"/>
  <c r="DD265" i="1"/>
  <c r="DE265" i="1" s="1"/>
  <c r="DS265" i="1" s="1"/>
  <c r="BU241" i="1"/>
  <c r="BT241" i="1"/>
  <c r="Q244" i="1"/>
  <c r="R244" i="1" s="1"/>
  <c r="AT244" i="1" s="1"/>
  <c r="BD244" i="1"/>
  <c r="CO224" i="1"/>
  <c r="CP224" i="1" s="1"/>
  <c r="DN224" i="1" s="1"/>
  <c r="EB224" i="1"/>
  <c r="EW173" i="1"/>
  <c r="DJ173" i="1"/>
  <c r="DK173" i="1" s="1"/>
  <c r="DU173" i="1" s="1"/>
  <c r="CX194" i="1"/>
  <c r="CY194" i="1" s="1"/>
  <c r="DQ194" i="1" s="1"/>
  <c r="EK194" i="1"/>
  <c r="Q167" i="1"/>
  <c r="R167" i="1" s="1"/>
  <c r="AT167" i="1" s="1"/>
  <c r="BD167" i="1"/>
  <c r="EN173" i="1"/>
  <c r="DA173" i="1"/>
  <c r="DB173" i="1" s="1"/>
  <c r="DR173" i="1" s="1"/>
  <c r="AO224" i="1"/>
  <c r="AP224" i="1" s="1"/>
  <c r="BB224" i="1" s="1"/>
  <c r="CB224" i="1"/>
  <c r="AL195" i="1"/>
  <c r="AM195" i="1" s="1"/>
  <c r="BA195" i="1" s="1"/>
  <c r="BY195" i="1"/>
  <c r="EE201" i="1"/>
  <c r="CR201" i="1"/>
  <c r="CS201" i="1" s="1"/>
  <c r="DO201" i="1" s="1"/>
  <c r="BG240" i="1"/>
  <c r="T240" i="1"/>
  <c r="U240" i="1" s="1"/>
  <c r="AU240" i="1" s="1"/>
  <c r="BV249" i="1"/>
  <c r="AI249" i="1"/>
  <c r="AJ249" i="1" s="1"/>
  <c r="AZ249" i="1" s="1"/>
  <c r="CR254" i="1"/>
  <c r="CS254" i="1" s="1"/>
  <c r="DO254" i="1" s="1"/>
  <c r="EE254" i="1"/>
  <c r="BP234" i="1"/>
  <c r="AC234" i="1"/>
  <c r="AD234" i="1" s="1"/>
  <c r="AX234" i="1" s="1"/>
  <c r="CO180" i="1"/>
  <c r="CP180" i="1" s="1"/>
  <c r="DN180" i="1" s="1"/>
  <c r="EB180" i="1"/>
  <c r="BD147" i="1"/>
  <c r="Q147" i="1"/>
  <c r="R147" i="1" s="1"/>
  <c r="AT147" i="1" s="1"/>
  <c r="CU227" i="1"/>
  <c r="CV227" i="1" s="1"/>
  <c r="DP227" i="1" s="1"/>
  <c r="EH227" i="1"/>
  <c r="AR200" i="1"/>
  <c r="AS200" i="1" s="1"/>
  <c r="BC200" i="1" s="1"/>
  <c r="CE200" i="1"/>
  <c r="EU155" i="1"/>
  <c r="EV155" i="1"/>
  <c r="DD186" i="1"/>
  <c r="DE186" i="1" s="1"/>
  <c r="DS186" i="1" s="1"/>
  <c r="EQ186" i="1"/>
  <c r="AF188" i="1"/>
  <c r="AG188" i="1" s="1"/>
  <c r="AY188" i="1" s="1"/>
  <c r="BS188" i="1"/>
  <c r="BV180" i="1"/>
  <c r="AI180" i="1"/>
  <c r="AJ180" i="1" s="1"/>
  <c r="AZ180" i="1" s="1"/>
  <c r="BP127" i="1"/>
  <c r="AC127" i="1"/>
  <c r="AD127" i="1" s="1"/>
  <c r="AX127" i="1" s="1"/>
  <c r="BM189" i="1"/>
  <c r="Z189" i="1"/>
  <c r="AA189" i="1" s="1"/>
  <c r="AW189" i="1" s="1"/>
  <c r="AM235" i="1"/>
  <c r="AR151" i="1"/>
  <c r="AS151" i="1" s="1"/>
  <c r="BC151" i="1" s="1"/>
  <c r="CE151" i="1"/>
  <c r="BG132" i="1"/>
  <c r="T132" i="1"/>
  <c r="U132" i="1" s="1"/>
  <c r="AU132" i="1" s="1"/>
  <c r="EB125" i="1"/>
  <c r="CO125" i="1"/>
  <c r="CP125" i="1" s="1"/>
  <c r="DN125" i="1" s="1"/>
  <c r="DD100" i="1"/>
  <c r="DE100" i="1" s="1"/>
  <c r="DS100" i="1" s="1"/>
  <c r="EQ100" i="1"/>
  <c r="T141" i="1"/>
  <c r="U141" i="1" s="1"/>
  <c r="AU141" i="1" s="1"/>
  <c r="BG141" i="1"/>
  <c r="DG125" i="1"/>
  <c r="DH125" i="1" s="1"/>
  <c r="DT125" i="1" s="1"/>
  <c r="ET125" i="1"/>
  <c r="T142" i="1"/>
  <c r="U142" i="1" s="1"/>
  <c r="AU142" i="1" s="1"/>
  <c r="BG142" i="1"/>
  <c r="EE103" i="1"/>
  <c r="CR103" i="1"/>
  <c r="CS103" i="1" s="1"/>
  <c r="DO103" i="1" s="1"/>
  <c r="BV153" i="1"/>
  <c r="AI153" i="1"/>
  <c r="AJ153" i="1" s="1"/>
  <c r="AZ153" i="1" s="1"/>
  <c r="EN104" i="1"/>
  <c r="DA104" i="1"/>
  <c r="DB104" i="1" s="1"/>
  <c r="DR104" i="1" s="1"/>
  <c r="AC74" i="1"/>
  <c r="AD74" i="1" s="1"/>
  <c r="AX74" i="1" s="1"/>
  <c r="BP74" i="1"/>
  <c r="Q74" i="1"/>
  <c r="R74" i="1" s="1"/>
  <c r="AT74" i="1" s="1"/>
  <c r="BD74" i="1"/>
  <c r="DJ87" i="1"/>
  <c r="DK87" i="1" s="1"/>
  <c r="DU87" i="1" s="1"/>
  <c r="EW87" i="1"/>
  <c r="EQ70" i="1"/>
  <c r="DD70" i="1"/>
  <c r="DE70" i="1" s="1"/>
  <c r="DS70" i="1" s="1"/>
  <c r="BD78" i="1"/>
  <c r="Q78" i="1"/>
  <c r="R78" i="1" s="1"/>
  <c r="AT78" i="1" s="1"/>
  <c r="AO60" i="1"/>
  <c r="AP60" i="1" s="1"/>
  <c r="BB60" i="1" s="1"/>
  <c r="CB60" i="1"/>
  <c r="AO99" i="1"/>
  <c r="AP99" i="1" s="1"/>
  <c r="BB99" i="1" s="1"/>
  <c r="CB99" i="1"/>
  <c r="EC114" i="1"/>
  <c r="ED114" i="1"/>
  <c r="CX43" i="1"/>
  <c r="CY43" i="1" s="1"/>
  <c r="DQ43" i="1" s="1"/>
  <c r="EK43" i="1"/>
  <c r="CO33" i="1"/>
  <c r="CP33" i="1" s="1"/>
  <c r="DN33" i="1" s="1"/>
  <c r="EB33" i="1"/>
  <c r="EK13" i="1"/>
  <c r="CX13" i="1"/>
  <c r="CY13" i="1" s="1"/>
  <c r="DQ13" i="1" s="1"/>
  <c r="BM50" i="1"/>
  <c r="Z50" i="1"/>
  <c r="AA50" i="1" s="1"/>
  <c r="AW50" i="1" s="1"/>
  <c r="EF70" i="1"/>
  <c r="EG70" i="1"/>
  <c r="DA47" i="1"/>
  <c r="DB47" i="1" s="1"/>
  <c r="DR47" i="1" s="1"/>
  <c r="EN47" i="1"/>
  <c r="DJ4" i="1"/>
  <c r="DK4" i="1" s="1"/>
  <c r="DU4" i="1" s="1"/>
  <c r="EW4" i="1"/>
  <c r="EB17" i="1"/>
  <c r="CO17" i="1"/>
  <c r="CP17" i="1" s="1"/>
  <c r="DN17" i="1" s="1"/>
  <c r="DA7" i="1"/>
  <c r="DB7" i="1" s="1"/>
  <c r="DR7" i="1" s="1"/>
  <c r="EN7" i="1"/>
  <c r="BG96" i="1"/>
  <c r="T96" i="1"/>
  <c r="U96" i="1" s="1"/>
  <c r="AU96" i="1" s="1"/>
  <c r="CB91" i="1"/>
  <c r="AO91" i="1"/>
  <c r="AP91" i="1" s="1"/>
  <c r="BB91" i="1" s="1"/>
  <c r="EQ37" i="1"/>
  <c r="DD37" i="1"/>
  <c r="DE37" i="1" s="1"/>
  <c r="DS37" i="1" s="1"/>
  <c r="CE28" i="1"/>
  <c r="AR28" i="1"/>
  <c r="AS28" i="1" s="1"/>
  <c r="BC28" i="1" s="1"/>
  <c r="BV47" i="1"/>
  <c r="AI47" i="1"/>
  <c r="AJ47" i="1" s="1"/>
  <c r="AZ47" i="1" s="1"/>
  <c r="BM29" i="1"/>
  <c r="Z29" i="1"/>
  <c r="AA29" i="1" s="1"/>
  <c r="AW29" i="1" s="1"/>
  <c r="ES83" i="1"/>
  <c r="ER83" i="1"/>
  <c r="BO22" i="1"/>
  <c r="BN22" i="1"/>
  <c r="AF256" i="1"/>
  <c r="AG256" i="1" s="1"/>
  <c r="AY256" i="1" s="1"/>
  <c r="BS256" i="1"/>
  <c r="AL259" i="1"/>
  <c r="AM259" i="1" s="1"/>
  <c r="BA259" i="1" s="1"/>
  <c r="BY259" i="1"/>
  <c r="DY241" i="1"/>
  <c r="CL241" i="1"/>
  <c r="CM241" i="1" s="1"/>
  <c r="DM241" i="1" s="1"/>
  <c r="EJ288" i="1"/>
  <c r="EI288" i="1"/>
  <c r="BZ224" i="1"/>
  <c r="CA224" i="1"/>
  <c r="BV173" i="1"/>
  <c r="AI173" i="1"/>
  <c r="AJ173" i="1" s="1"/>
  <c r="AZ173" i="1" s="1"/>
  <c r="DV233" i="1"/>
  <c r="CI233" i="1"/>
  <c r="CJ233" i="1" s="1"/>
  <c r="DL233" i="1" s="1"/>
  <c r="BS173" i="1"/>
  <c r="AF173" i="1"/>
  <c r="AG173" i="1" s="1"/>
  <c r="AY173" i="1" s="1"/>
  <c r="BV245" i="1"/>
  <c r="AI245" i="1"/>
  <c r="AJ245" i="1" s="1"/>
  <c r="AZ245" i="1" s="1"/>
  <c r="T176" i="1"/>
  <c r="U176" i="1" s="1"/>
  <c r="AU176" i="1" s="1"/>
  <c r="BG176" i="1"/>
  <c r="CB201" i="1"/>
  <c r="AO201" i="1"/>
  <c r="AP201" i="1" s="1"/>
  <c r="BB201" i="1" s="1"/>
  <c r="EK240" i="1"/>
  <c r="CX240" i="1"/>
  <c r="CY240" i="1" s="1"/>
  <c r="DQ240" i="1" s="1"/>
  <c r="AL202" i="1"/>
  <c r="AM202" i="1" s="1"/>
  <c r="BA202" i="1" s="1"/>
  <c r="BY202" i="1"/>
  <c r="BS203" i="1"/>
  <c r="AF203" i="1"/>
  <c r="AG203" i="1" s="1"/>
  <c r="AY203" i="1" s="1"/>
  <c r="EQ146" i="1"/>
  <c r="DD146" i="1"/>
  <c r="DE146" i="1" s="1"/>
  <c r="DS146" i="1" s="1"/>
  <c r="BU155" i="1"/>
  <c r="BT155" i="1"/>
  <c r="BU201" i="1"/>
  <c r="BT201" i="1"/>
  <c r="DJ186" i="1"/>
  <c r="DK186" i="1" s="1"/>
  <c r="DU186" i="1" s="1"/>
  <c r="EW186" i="1"/>
  <c r="ET188" i="1"/>
  <c r="DG188" i="1"/>
  <c r="DH188" i="1" s="1"/>
  <c r="DT188" i="1" s="1"/>
  <c r="CR189" i="1"/>
  <c r="CS189" i="1" s="1"/>
  <c r="DO189" i="1" s="1"/>
  <c r="EE189" i="1"/>
  <c r="AA196" i="1"/>
  <c r="AF128" i="1"/>
  <c r="AG128" i="1" s="1"/>
  <c r="AY128" i="1" s="1"/>
  <c r="BS128" i="1"/>
  <c r="ER132" i="1"/>
  <c r="ES132" i="1"/>
  <c r="DA100" i="1"/>
  <c r="DB100" i="1" s="1"/>
  <c r="DR100" i="1" s="1"/>
  <c r="EN100" i="1"/>
  <c r="CI112" i="1"/>
  <c r="CJ112" i="1" s="1"/>
  <c r="DL112" i="1" s="1"/>
  <c r="DV112" i="1"/>
  <c r="AC142" i="1"/>
  <c r="AD142" i="1" s="1"/>
  <c r="AX142" i="1" s="1"/>
  <c r="BP142" i="1"/>
  <c r="CR129" i="1"/>
  <c r="CS129" i="1" s="1"/>
  <c r="DO129" i="1" s="1"/>
  <c r="EE129" i="1"/>
  <c r="EA101" i="1"/>
  <c r="DZ101" i="1"/>
  <c r="AF133" i="1"/>
  <c r="AG133" i="1" s="1"/>
  <c r="AY133" i="1" s="1"/>
  <c r="BS133" i="1"/>
  <c r="EE73" i="1"/>
  <c r="CR73" i="1"/>
  <c r="CS73" i="1" s="1"/>
  <c r="DO73" i="1" s="1"/>
  <c r="AR49" i="1"/>
  <c r="AS49" i="1" s="1"/>
  <c r="BC49" i="1" s="1"/>
  <c r="CE49" i="1"/>
  <c r="Z70" i="1"/>
  <c r="AA70" i="1" s="1"/>
  <c r="AW70" i="1" s="1"/>
  <c r="BM70" i="1"/>
  <c r="ES125" i="1"/>
  <c r="ER125" i="1"/>
  <c r="BF83" i="1"/>
  <c r="BE83" i="1"/>
  <c r="BV137" i="1"/>
  <c r="AI137" i="1"/>
  <c r="AJ137" i="1" s="1"/>
  <c r="AZ137" i="1" s="1"/>
  <c r="CE134" i="1"/>
  <c r="AR134" i="1"/>
  <c r="AS134" i="1" s="1"/>
  <c r="BC134" i="1" s="1"/>
  <c r="BY117" i="1"/>
  <c r="AL117" i="1"/>
  <c r="AM117" i="1" s="1"/>
  <c r="BA117" i="1" s="1"/>
  <c r="EY101" i="1"/>
  <c r="EX101" i="1"/>
  <c r="BJ69" i="1"/>
  <c r="W69" i="1"/>
  <c r="X69" i="1" s="1"/>
  <c r="AV69" i="1" s="1"/>
  <c r="BD60" i="1"/>
  <c r="Q60" i="1"/>
  <c r="R60" i="1" s="1"/>
  <c r="AT60" i="1" s="1"/>
  <c r="CD70" i="1"/>
  <c r="CC70" i="1"/>
  <c r="EB87" i="1"/>
  <c r="CO87" i="1"/>
  <c r="CP87" i="1" s="1"/>
  <c r="DN87" i="1" s="1"/>
  <c r="BS43" i="1"/>
  <c r="AF43" i="1"/>
  <c r="AG43" i="1" s="1"/>
  <c r="AY43" i="1" s="1"/>
  <c r="BG33" i="1"/>
  <c r="T33" i="1"/>
  <c r="U33" i="1" s="1"/>
  <c r="AU33" i="1" s="1"/>
  <c r="AC50" i="1"/>
  <c r="AD50" i="1" s="1"/>
  <c r="AX50" i="1" s="1"/>
  <c r="BP50" i="1"/>
  <c r="AR63" i="1"/>
  <c r="AS63" i="1" s="1"/>
  <c r="BC63" i="1" s="1"/>
  <c r="CE63" i="1"/>
  <c r="AF47" i="1"/>
  <c r="AG47" i="1" s="1"/>
  <c r="AY47" i="1" s="1"/>
  <c r="BS47" i="1"/>
  <c r="CX37" i="1"/>
  <c r="CY37" i="1" s="1"/>
  <c r="DQ37" i="1" s="1"/>
  <c r="EK37" i="1"/>
  <c r="BE4" i="1"/>
  <c r="BF4" i="1"/>
  <c r="BS91" i="1"/>
  <c r="AF91" i="1"/>
  <c r="AG91" i="1" s="1"/>
  <c r="AY91" i="1" s="1"/>
  <c r="EQ91" i="1"/>
  <c r="DD91" i="1"/>
  <c r="DE91" i="1" s="1"/>
  <c r="DS91" i="1" s="1"/>
  <c r="BO61" i="1"/>
  <c r="BN61" i="1"/>
  <c r="CR26" i="1"/>
  <c r="CS26" i="1" s="1"/>
  <c r="DO26" i="1" s="1"/>
  <c r="EE26" i="1"/>
  <c r="W20" i="1"/>
  <c r="X20" i="1" s="1"/>
  <c r="AV20" i="1" s="1"/>
  <c r="BJ20" i="1"/>
  <c r="DA28" i="1"/>
  <c r="DB28" i="1" s="1"/>
  <c r="DR28" i="1" s="1"/>
  <c r="EN28" i="1"/>
  <c r="BY8" i="1"/>
  <c r="AL8" i="1"/>
  <c r="AM8" i="1" s="1"/>
  <c r="BA8" i="1" s="1"/>
  <c r="CF45" i="1"/>
  <c r="CG45" i="1"/>
  <c r="CO50" i="1"/>
  <c r="CP50" i="1" s="1"/>
  <c r="DN50" i="1" s="1"/>
  <c r="EB50" i="1"/>
  <c r="AL47" i="1"/>
  <c r="AM47" i="1" s="1"/>
  <c r="BA47" i="1" s="1"/>
  <c r="BY47" i="1"/>
  <c r="AC36" i="1"/>
  <c r="AD36" i="1" s="1"/>
  <c r="AX36" i="1" s="1"/>
  <c r="BP36" i="1"/>
  <c r="BG16" i="1"/>
  <c r="T16" i="1"/>
  <c r="U16" i="1" s="1"/>
  <c r="AU16" i="1" s="1"/>
  <c r="BJ96" i="1"/>
  <c r="W96" i="1"/>
  <c r="X96" i="1" s="1"/>
  <c r="AV96" i="1" s="1"/>
  <c r="AR91" i="1"/>
  <c r="AS91" i="1" s="1"/>
  <c r="BC91" i="1" s="1"/>
  <c r="CE91" i="1"/>
  <c r="EW33" i="1"/>
  <c r="DJ33" i="1"/>
  <c r="DK33" i="1" s="1"/>
  <c r="DU33" i="1" s="1"/>
  <c r="AC20" i="1"/>
  <c r="AD20" i="1" s="1"/>
  <c r="AX20" i="1" s="1"/>
  <c r="BP20" i="1"/>
  <c r="AR36" i="1"/>
  <c r="AS36" i="1" s="1"/>
  <c r="BC36" i="1" s="1"/>
  <c r="CE36" i="1"/>
  <c r="BF56" i="1"/>
  <c r="BE56" i="1"/>
  <c r="Q36" i="1"/>
  <c r="R36" i="1" s="1"/>
  <c r="AT36" i="1" s="1"/>
  <c r="BD36" i="1"/>
  <c r="CL20" i="1"/>
  <c r="CM20" i="1" s="1"/>
  <c r="DM20" i="1" s="1"/>
  <c r="DY20" i="1"/>
  <c r="AG79" i="1"/>
  <c r="EP275" i="1"/>
  <c r="EO275" i="1"/>
  <c r="ET269" i="1"/>
  <c r="DG269" i="1"/>
  <c r="DH269" i="1" s="1"/>
  <c r="DT269" i="1" s="1"/>
  <c r="BJ252" i="1"/>
  <c r="W252" i="1"/>
  <c r="X252" i="1" s="1"/>
  <c r="AV252" i="1" s="1"/>
  <c r="DD259" i="1"/>
  <c r="DE259" i="1" s="1"/>
  <c r="DS259" i="1" s="1"/>
  <c r="EQ259" i="1"/>
  <c r="EG168" i="1"/>
  <c r="EF168" i="1"/>
  <c r="CU182" i="1"/>
  <c r="CV182" i="1" s="1"/>
  <c r="DP182" i="1" s="1"/>
  <c r="EH182" i="1"/>
  <c r="EB215" i="1"/>
  <c r="CO215" i="1"/>
  <c r="CP215" i="1" s="1"/>
  <c r="DN215" i="1" s="1"/>
  <c r="AL245" i="1"/>
  <c r="AM245" i="1" s="1"/>
  <c r="BA245" i="1" s="1"/>
  <c r="BY245" i="1"/>
  <c r="EQ240" i="1"/>
  <c r="DD240" i="1"/>
  <c r="DE240" i="1" s="1"/>
  <c r="DS240" i="1" s="1"/>
  <c r="T201" i="1"/>
  <c r="U201" i="1" s="1"/>
  <c r="AU201" i="1" s="1"/>
  <c r="BG201" i="1"/>
  <c r="BJ254" i="1"/>
  <c r="W254" i="1"/>
  <c r="X254" i="1" s="1"/>
  <c r="AV254" i="1" s="1"/>
  <c r="EW201" i="1"/>
  <c r="DJ201" i="1"/>
  <c r="DK201" i="1" s="1"/>
  <c r="DU201" i="1" s="1"/>
  <c r="CB215" i="1"/>
  <c r="AO215" i="1"/>
  <c r="AP215" i="1" s="1"/>
  <c r="BB215" i="1" s="1"/>
  <c r="BF234" i="1"/>
  <c r="BE234" i="1"/>
  <c r="DJ188" i="1"/>
  <c r="DK188" i="1" s="1"/>
  <c r="DU188" i="1" s="1"/>
  <c r="EW188" i="1"/>
  <c r="BN175" i="1"/>
  <c r="BO175" i="1"/>
  <c r="AR133" i="1"/>
  <c r="AS133" i="1" s="1"/>
  <c r="BC133" i="1" s="1"/>
  <c r="CE133" i="1"/>
  <c r="EB151" i="1"/>
  <c r="CO151" i="1"/>
  <c r="CP151" i="1" s="1"/>
  <c r="DN151" i="1" s="1"/>
  <c r="DA122" i="1"/>
  <c r="DB122" i="1" s="1"/>
  <c r="DR122" i="1" s="1"/>
  <c r="EN122" i="1"/>
  <c r="EF139" i="1"/>
  <c r="EG139" i="1"/>
  <c r="EV164" i="1"/>
  <c r="EU164" i="1"/>
  <c r="AR132" i="1"/>
  <c r="AS132" i="1" s="1"/>
  <c r="BC132" i="1" s="1"/>
  <c r="CE132" i="1"/>
  <c r="AF95" i="1"/>
  <c r="AG95" i="1" s="1"/>
  <c r="AY95" i="1" s="1"/>
  <c r="BS95" i="1"/>
  <c r="BS132" i="1"/>
  <c r="AF132" i="1"/>
  <c r="AG132" i="1" s="1"/>
  <c r="AY132" i="1" s="1"/>
  <c r="CF110" i="1"/>
  <c r="CG110" i="1"/>
  <c r="AC156" i="1"/>
  <c r="AD156" i="1" s="1"/>
  <c r="AX156" i="1" s="1"/>
  <c r="BP156" i="1"/>
  <c r="DD126" i="1"/>
  <c r="DE126" i="1" s="1"/>
  <c r="DS126" i="1" s="1"/>
  <c r="EQ126" i="1"/>
  <c r="CR100" i="1"/>
  <c r="CS100" i="1" s="1"/>
  <c r="DO100" i="1" s="1"/>
  <c r="EE100" i="1"/>
  <c r="AL153" i="1"/>
  <c r="AM153" i="1" s="1"/>
  <c r="BA153" i="1" s="1"/>
  <c r="BY153" i="1"/>
  <c r="CO129" i="1"/>
  <c r="CP129" i="1" s="1"/>
  <c r="DN129" i="1" s="1"/>
  <c r="EB129" i="1"/>
  <c r="BP70" i="1"/>
  <c r="AC70" i="1"/>
  <c r="AD70" i="1" s="1"/>
  <c r="AX70" i="1" s="1"/>
  <c r="CX45" i="1"/>
  <c r="CY45" i="1" s="1"/>
  <c r="DQ45" i="1" s="1"/>
  <c r="EK45" i="1"/>
  <c r="AL45" i="1"/>
  <c r="AM45" i="1" s="1"/>
  <c r="BA45" i="1" s="1"/>
  <c r="BY45" i="1"/>
  <c r="R92" i="1"/>
  <c r="AR64" i="1"/>
  <c r="AS64" i="1" s="1"/>
  <c r="BC64" i="1" s="1"/>
  <c r="CE64" i="1"/>
  <c r="DG67" i="1"/>
  <c r="DH67" i="1" s="1"/>
  <c r="DT67" i="1" s="1"/>
  <c r="ET67" i="1"/>
  <c r="BM54" i="1"/>
  <c r="Z54" i="1"/>
  <c r="AA54" i="1" s="1"/>
  <c r="AW54" i="1" s="1"/>
  <c r="BV64" i="1"/>
  <c r="AI64" i="1"/>
  <c r="AJ64" i="1" s="1"/>
  <c r="AZ64" i="1" s="1"/>
  <c r="CU42" i="1"/>
  <c r="CV42" i="1" s="1"/>
  <c r="DP42" i="1" s="1"/>
  <c r="EH42" i="1"/>
  <c r="AL11" i="1"/>
  <c r="AM11" i="1" s="1"/>
  <c r="BA11" i="1" s="1"/>
  <c r="BY11" i="1"/>
  <c r="DY59" i="1"/>
  <c r="CL59" i="1"/>
  <c r="CM59" i="1" s="1"/>
  <c r="DM59" i="1" s="1"/>
  <c r="CO47" i="1"/>
  <c r="CP47" i="1" s="1"/>
  <c r="DN47" i="1" s="1"/>
  <c r="EB47" i="1"/>
  <c r="AO33" i="1"/>
  <c r="AP33" i="1" s="1"/>
  <c r="BB33" i="1" s="1"/>
  <c r="CB33" i="1"/>
  <c r="BM51" i="1"/>
  <c r="Z51" i="1"/>
  <c r="AA51" i="1" s="1"/>
  <c r="AW51" i="1" s="1"/>
  <c r="EE37" i="1"/>
  <c r="CR37" i="1"/>
  <c r="CS37" i="1" s="1"/>
  <c r="DO37" i="1" s="1"/>
  <c r="CB96" i="1"/>
  <c r="AO96" i="1"/>
  <c r="AP96" i="1" s="1"/>
  <c r="BB96" i="1" s="1"/>
  <c r="CO91" i="1"/>
  <c r="CP91" i="1" s="1"/>
  <c r="DN91" i="1" s="1"/>
  <c r="EB91" i="1"/>
  <c r="BD63" i="1"/>
  <c r="Q63" i="1"/>
  <c r="R63" i="1" s="1"/>
  <c r="AT63" i="1" s="1"/>
  <c r="CF58" i="1"/>
  <c r="CG58" i="1"/>
  <c r="BS33" i="1"/>
  <c r="AF33" i="1"/>
  <c r="AG33" i="1" s="1"/>
  <c r="AY33" i="1" s="1"/>
  <c r="CO7" i="1"/>
  <c r="CP7" i="1" s="1"/>
  <c r="DN7" i="1" s="1"/>
  <c r="EB7" i="1"/>
  <c r="BD20" i="1"/>
  <c r="Q20" i="1"/>
  <c r="R20" i="1" s="1"/>
  <c r="AT20" i="1" s="1"/>
  <c r="AD53" i="1"/>
  <c r="Z269" i="1"/>
  <c r="AA269" i="1" s="1"/>
  <c r="AW269" i="1" s="1"/>
  <c r="BM269" i="1"/>
  <c r="EH269" i="1"/>
  <c r="CU269" i="1"/>
  <c r="CV269" i="1" s="1"/>
  <c r="DP269" i="1" s="1"/>
  <c r="Z190" i="1"/>
  <c r="AA190" i="1" s="1"/>
  <c r="AW190" i="1" s="1"/>
  <c r="BM190" i="1"/>
  <c r="Z194" i="1"/>
  <c r="AA194" i="1" s="1"/>
  <c r="AW194" i="1" s="1"/>
  <c r="BM194" i="1"/>
  <c r="AO172" i="1"/>
  <c r="AP172" i="1" s="1"/>
  <c r="BB172" i="1" s="1"/>
  <c r="CB172" i="1"/>
  <c r="EE179" i="1"/>
  <c r="CR179" i="1"/>
  <c r="CS179" i="1" s="1"/>
  <c r="DO179" i="1" s="1"/>
  <c r="EW240" i="1"/>
  <c r="DJ240" i="1"/>
  <c r="DK240" i="1" s="1"/>
  <c r="DU240" i="1" s="1"/>
  <c r="EG173" i="1"/>
  <c r="EF173" i="1"/>
  <c r="CL201" i="1"/>
  <c r="CM201" i="1" s="1"/>
  <c r="DM201" i="1" s="1"/>
  <c r="DY201" i="1"/>
  <c r="CX234" i="1"/>
  <c r="CY234" i="1" s="1"/>
  <c r="DQ234" i="1" s="1"/>
  <c r="EK234" i="1"/>
  <c r="EN200" i="1"/>
  <c r="DA200" i="1"/>
  <c r="DB200" i="1" s="1"/>
  <c r="DR200" i="1" s="1"/>
  <c r="CA173" i="1"/>
  <c r="BZ173" i="1"/>
  <c r="EH150" i="1"/>
  <c r="CU150" i="1"/>
  <c r="CV150" i="1" s="1"/>
  <c r="DP150" i="1" s="1"/>
  <c r="Q138" i="1"/>
  <c r="R138" i="1" s="1"/>
  <c r="AT138" i="1" s="1"/>
  <c r="BD138" i="1"/>
  <c r="EQ145" i="1"/>
  <c r="DD145" i="1"/>
  <c r="DE145" i="1" s="1"/>
  <c r="DS145" i="1" s="1"/>
  <c r="AF175" i="1"/>
  <c r="AG175" i="1" s="1"/>
  <c r="AY175" i="1" s="1"/>
  <c r="BS175" i="1"/>
  <c r="BY145" i="1"/>
  <c r="AL145" i="1"/>
  <c r="AM145" i="1" s="1"/>
  <c r="BA145" i="1" s="1"/>
  <c r="CO133" i="1"/>
  <c r="CP133" i="1" s="1"/>
  <c r="DN133" i="1" s="1"/>
  <c r="EB133" i="1"/>
  <c r="BP151" i="1"/>
  <c r="AC151" i="1"/>
  <c r="AD151" i="1" s="1"/>
  <c r="AX151" i="1" s="1"/>
  <c r="BF139" i="1"/>
  <c r="BE139" i="1"/>
  <c r="CB132" i="1"/>
  <c r="AO132" i="1"/>
  <c r="AP132" i="1" s="1"/>
  <c r="BB132" i="1" s="1"/>
  <c r="CL107" i="1"/>
  <c r="CM107" i="1" s="1"/>
  <c r="DM107" i="1" s="1"/>
  <c r="DY107" i="1"/>
  <c r="BS129" i="1"/>
  <c r="AF129" i="1"/>
  <c r="AG129" i="1" s="1"/>
  <c r="AY129" i="1" s="1"/>
  <c r="BN129" i="1"/>
  <c r="BO129" i="1"/>
  <c r="EQ129" i="1"/>
  <c r="DD129" i="1"/>
  <c r="DE129" i="1" s="1"/>
  <c r="DS129" i="1" s="1"/>
  <c r="CB156" i="1"/>
  <c r="AO156" i="1"/>
  <c r="AP156" i="1" s="1"/>
  <c r="BB156" i="1" s="1"/>
  <c r="AI142" i="1"/>
  <c r="AJ142" i="1" s="1"/>
  <c r="AZ142" i="1" s="1"/>
  <c r="BV142" i="1"/>
  <c r="DA153" i="1"/>
  <c r="DB153" i="1" s="1"/>
  <c r="DR153" i="1" s="1"/>
  <c r="EN153" i="1"/>
  <c r="CU97" i="1"/>
  <c r="CV97" i="1" s="1"/>
  <c r="DP97" i="1" s="1"/>
  <c r="EH97" i="1"/>
  <c r="BV69" i="1"/>
  <c r="AI69" i="1"/>
  <c r="AJ69" i="1" s="1"/>
  <c r="AZ69" i="1" s="1"/>
  <c r="BJ45" i="1"/>
  <c r="W45" i="1"/>
  <c r="X45" i="1" s="1"/>
  <c r="AV45" i="1" s="1"/>
  <c r="EO88" i="1"/>
  <c r="EP88" i="1"/>
  <c r="BS87" i="1"/>
  <c r="AF87" i="1"/>
  <c r="AG87" i="1" s="1"/>
  <c r="AY87" i="1" s="1"/>
  <c r="AL71" i="1"/>
  <c r="AM71" i="1" s="1"/>
  <c r="BA71" i="1" s="1"/>
  <c r="BY71" i="1"/>
  <c r="BY62" i="1"/>
  <c r="AL62" i="1"/>
  <c r="AM62" i="1" s="1"/>
  <c r="BA62" i="1" s="1"/>
  <c r="BG78" i="1"/>
  <c r="T78" i="1"/>
  <c r="U78" i="1" s="1"/>
  <c r="AU78" i="1" s="1"/>
  <c r="DG137" i="1"/>
  <c r="DH137" i="1" s="1"/>
  <c r="DT137" i="1" s="1"/>
  <c r="ET137" i="1"/>
  <c r="BG134" i="1"/>
  <c r="T134" i="1"/>
  <c r="U134" i="1" s="1"/>
  <c r="AU134" i="1" s="1"/>
  <c r="CO117" i="1"/>
  <c r="CP117" i="1" s="1"/>
  <c r="DN117" i="1" s="1"/>
  <c r="EB117" i="1"/>
  <c r="AC87" i="1"/>
  <c r="AD87" i="1" s="1"/>
  <c r="AX87" i="1" s="1"/>
  <c r="BP87" i="1"/>
  <c r="DD99" i="1"/>
  <c r="DE99" i="1" s="1"/>
  <c r="DS99" i="1" s="1"/>
  <c r="EQ99" i="1"/>
  <c r="BM42" i="1"/>
  <c r="Z42" i="1"/>
  <c r="AA42" i="1" s="1"/>
  <c r="AW42" i="1" s="1"/>
  <c r="CO59" i="1"/>
  <c r="CP59" i="1" s="1"/>
  <c r="DN59" i="1" s="1"/>
  <c r="EB59" i="1"/>
  <c r="EE32" i="1"/>
  <c r="CR32" i="1"/>
  <c r="CS32" i="1" s="1"/>
  <c r="DO32" i="1" s="1"/>
  <c r="BD37" i="1"/>
  <c r="Q37" i="1"/>
  <c r="R37" i="1" s="1"/>
  <c r="AT37" i="1" s="1"/>
  <c r="DY13" i="1"/>
  <c r="CL13" i="1"/>
  <c r="CM13" i="1" s="1"/>
  <c r="DM13" i="1" s="1"/>
  <c r="BD96" i="1"/>
  <c r="Q96" i="1"/>
  <c r="R96" i="1" s="1"/>
  <c r="AT96" i="1" s="1"/>
  <c r="EQ96" i="1"/>
  <c r="DD96" i="1"/>
  <c r="DE96" i="1" s="1"/>
  <c r="DS96" i="1" s="1"/>
  <c r="BD91" i="1"/>
  <c r="Q91" i="1"/>
  <c r="R91" i="1" s="1"/>
  <c r="AT91" i="1" s="1"/>
  <c r="T63" i="1"/>
  <c r="U63" i="1" s="1"/>
  <c r="AU63" i="1" s="1"/>
  <c r="BG63" i="1"/>
  <c r="AM53" i="1"/>
  <c r="AC33" i="1"/>
  <c r="AD33" i="1" s="1"/>
  <c r="AX33" i="1" s="1"/>
  <c r="BP33" i="1"/>
  <c r="AS118" i="1"/>
  <c r="EY272" i="1"/>
  <c r="EX272" i="1"/>
  <c r="W269" i="1"/>
  <c r="X269" i="1" s="1"/>
  <c r="AV269" i="1" s="1"/>
  <c r="BJ269" i="1"/>
  <c r="BG269" i="1"/>
  <c r="T269" i="1"/>
  <c r="U269" i="1" s="1"/>
  <c r="AU269" i="1" s="1"/>
  <c r="W255" i="1"/>
  <c r="X255" i="1" s="1"/>
  <c r="AV255" i="1" s="1"/>
  <c r="BJ255" i="1"/>
  <c r="BJ195" i="1"/>
  <c r="W195" i="1"/>
  <c r="X195" i="1" s="1"/>
  <c r="AV195" i="1" s="1"/>
  <c r="CB167" i="1"/>
  <c r="AO167" i="1"/>
  <c r="AP167" i="1" s="1"/>
  <c r="BB167" i="1" s="1"/>
  <c r="DJ245" i="1"/>
  <c r="DK245" i="1" s="1"/>
  <c r="DU245" i="1" s="1"/>
  <c r="EW245" i="1"/>
  <c r="CR193" i="1"/>
  <c r="CS193" i="1" s="1"/>
  <c r="DO193" i="1" s="1"/>
  <c r="EE193" i="1"/>
  <c r="AC200" i="1"/>
  <c r="AD200" i="1" s="1"/>
  <c r="AX200" i="1" s="1"/>
  <c r="BP200" i="1"/>
  <c r="EK147" i="1"/>
  <c r="CX147" i="1"/>
  <c r="CY147" i="1" s="1"/>
  <c r="DQ147" i="1" s="1"/>
  <c r="CL188" i="1"/>
  <c r="CM188" i="1" s="1"/>
  <c r="DM188" i="1" s="1"/>
  <c r="DY188" i="1"/>
  <c r="EN133" i="1"/>
  <c r="DA133" i="1"/>
  <c r="DB133" i="1" s="1"/>
  <c r="DR133" i="1" s="1"/>
  <c r="Q151" i="1"/>
  <c r="R151" i="1" s="1"/>
  <c r="AT151" i="1" s="1"/>
  <c r="BD151" i="1"/>
  <c r="EW122" i="1"/>
  <c r="DJ122" i="1"/>
  <c r="DK122" i="1" s="1"/>
  <c r="DU122" i="1" s="1"/>
  <c r="BS103" i="1"/>
  <c r="AF103" i="1"/>
  <c r="AG103" i="1" s="1"/>
  <c r="AY103" i="1" s="1"/>
  <c r="EW153" i="1"/>
  <c r="DJ153" i="1"/>
  <c r="DK153" i="1" s="1"/>
  <c r="DU153" i="1" s="1"/>
  <c r="BJ90" i="1"/>
  <c r="W90" i="1"/>
  <c r="X90" i="1" s="1"/>
  <c r="AV90" i="1" s="1"/>
  <c r="CX164" i="1"/>
  <c r="CY164" i="1" s="1"/>
  <c r="DQ164" i="1" s="1"/>
  <c r="EK164" i="1"/>
  <c r="CR141" i="1"/>
  <c r="CS141" i="1" s="1"/>
  <c r="DO141" i="1" s="1"/>
  <c r="EE141" i="1"/>
  <c r="BG129" i="1"/>
  <c r="T129" i="1"/>
  <c r="U129" i="1" s="1"/>
  <c r="AU129" i="1" s="1"/>
  <c r="EG95" i="1"/>
  <c r="EF95" i="1"/>
  <c r="AI41" i="1"/>
  <c r="AJ41" i="1" s="1"/>
  <c r="AZ41" i="1" s="1"/>
  <c r="BV41" i="1"/>
  <c r="DJ70" i="1"/>
  <c r="DK70" i="1" s="1"/>
  <c r="DU70" i="1" s="1"/>
  <c r="EW70" i="1"/>
  <c r="EN74" i="1"/>
  <c r="DA74" i="1"/>
  <c r="DB74" i="1" s="1"/>
  <c r="DR74" i="1" s="1"/>
  <c r="BQ137" i="1"/>
  <c r="BR137" i="1"/>
  <c r="CR134" i="1"/>
  <c r="CS134" i="1" s="1"/>
  <c r="DO134" i="1" s="1"/>
  <c r="EE134" i="1"/>
  <c r="EH117" i="1"/>
  <c r="CU117" i="1"/>
  <c r="CV117" i="1" s="1"/>
  <c r="DP117" i="1" s="1"/>
  <c r="CL87" i="1"/>
  <c r="CM87" i="1" s="1"/>
  <c r="DM87" i="1" s="1"/>
  <c r="DY87" i="1"/>
  <c r="DJ83" i="1"/>
  <c r="DK83" i="1" s="1"/>
  <c r="DU83" i="1" s="1"/>
  <c r="EW83" i="1"/>
  <c r="Z65" i="1"/>
  <c r="AA65" i="1" s="1"/>
  <c r="AW65" i="1" s="1"/>
  <c r="BM65" i="1"/>
  <c r="ET99" i="1"/>
  <c r="DG99" i="1"/>
  <c r="DH99" i="1" s="1"/>
  <c r="DT99" i="1" s="1"/>
  <c r="AL78" i="1"/>
  <c r="AM78" i="1" s="1"/>
  <c r="BA78" i="1" s="1"/>
  <c r="BY78" i="1"/>
  <c r="EW63" i="1"/>
  <c r="DJ63" i="1"/>
  <c r="DK63" i="1" s="1"/>
  <c r="DU63" i="1" s="1"/>
  <c r="AO42" i="1"/>
  <c r="AP42" i="1" s="1"/>
  <c r="BB42" i="1" s="1"/>
  <c r="CB42" i="1"/>
  <c r="BV36" i="1"/>
  <c r="AI36" i="1"/>
  <c r="AJ36" i="1" s="1"/>
  <c r="AZ36" i="1" s="1"/>
  <c r="BJ47" i="1"/>
  <c r="W47" i="1"/>
  <c r="X47" i="1" s="1"/>
  <c r="AV47" i="1" s="1"/>
  <c r="BM21" i="1"/>
  <c r="Z21" i="1"/>
  <c r="AA21" i="1" s="1"/>
  <c r="AW21" i="1" s="1"/>
  <c r="AR96" i="1"/>
  <c r="AS96" i="1" s="1"/>
  <c r="BC96" i="1" s="1"/>
  <c r="CE96" i="1"/>
  <c r="BV91" i="1"/>
  <c r="AI91" i="1"/>
  <c r="AJ91" i="1" s="1"/>
  <c r="AZ91" i="1" s="1"/>
  <c r="CI18" i="1"/>
  <c r="CJ18" i="1" s="1"/>
  <c r="DL18" i="1" s="1"/>
  <c r="DV18" i="1"/>
  <c r="DV63" i="1"/>
  <c r="CI63" i="1"/>
  <c r="CJ63" i="1" s="1"/>
  <c r="DL63" i="1" s="1"/>
  <c r="W93" i="1"/>
  <c r="X93" i="1" s="1"/>
  <c r="AV93" i="1" s="1"/>
  <c r="BJ93" i="1"/>
  <c r="CG100" i="1"/>
  <c r="CF100" i="1"/>
  <c r="AL4" i="1"/>
  <c r="AM4" i="1" s="1"/>
  <c r="BA4" i="1" s="1"/>
  <c r="BY4" i="1"/>
  <c r="EA38" i="1"/>
  <c r="DZ38" i="1"/>
  <c r="BY20" i="1"/>
  <c r="AL20" i="1"/>
  <c r="AM20" i="1" s="1"/>
  <c r="BA20" i="1" s="1"/>
  <c r="AS131" i="1"/>
  <c r="CI247" i="1"/>
  <c r="CJ247" i="1" s="1"/>
  <c r="DL247" i="1" s="1"/>
  <c r="DV247" i="1"/>
  <c r="EK241" i="1"/>
  <c r="CX241" i="1"/>
  <c r="CY241" i="1" s="1"/>
  <c r="DQ241" i="1" s="1"/>
  <c r="EC277" i="1"/>
  <c r="ED277" i="1"/>
  <c r="EB252" i="1"/>
  <c r="CO252" i="1"/>
  <c r="CP252" i="1" s="1"/>
  <c r="DN252" i="1" s="1"/>
  <c r="EQ225" i="1"/>
  <c r="DD225" i="1"/>
  <c r="DE225" i="1" s="1"/>
  <c r="DS225" i="1" s="1"/>
  <c r="BG232" i="1"/>
  <c r="T232" i="1"/>
  <c r="U232" i="1" s="1"/>
  <c r="AU232" i="1" s="1"/>
  <c r="DA202" i="1"/>
  <c r="DB202" i="1" s="1"/>
  <c r="DR202" i="1" s="1"/>
  <c r="EN202" i="1"/>
  <c r="DA244" i="1"/>
  <c r="DB244" i="1" s="1"/>
  <c r="DR244" i="1" s="1"/>
  <c r="EN244" i="1"/>
  <c r="BV210" i="1"/>
  <c r="AI210" i="1"/>
  <c r="AJ210" i="1" s="1"/>
  <c r="AZ210" i="1" s="1"/>
  <c r="BN214" i="1"/>
  <c r="BO214" i="1"/>
  <c r="BY211" i="1"/>
  <c r="AL211" i="1"/>
  <c r="AM211" i="1" s="1"/>
  <c r="BA211" i="1" s="1"/>
  <c r="BM231" i="1"/>
  <c r="Z231" i="1"/>
  <c r="AA231" i="1" s="1"/>
  <c r="AW231" i="1" s="1"/>
  <c r="BV195" i="1"/>
  <c r="AI195" i="1"/>
  <c r="AJ195" i="1" s="1"/>
  <c r="AZ195" i="1" s="1"/>
  <c r="ET234" i="1"/>
  <c r="DG234" i="1"/>
  <c r="DH234" i="1" s="1"/>
  <c r="DT234" i="1" s="1"/>
  <c r="DD200" i="1"/>
  <c r="DE200" i="1" s="1"/>
  <c r="DS200" i="1" s="1"/>
  <c r="EQ200" i="1"/>
  <c r="AR147" i="1"/>
  <c r="AS147" i="1" s="1"/>
  <c r="BC147" i="1" s="1"/>
  <c r="CE147" i="1"/>
  <c r="EW127" i="1"/>
  <c r="DJ127" i="1"/>
  <c r="DK127" i="1" s="1"/>
  <c r="DU127" i="1" s="1"/>
  <c r="BD186" i="1"/>
  <c r="Q186" i="1"/>
  <c r="R186" i="1" s="1"/>
  <c r="AT186" i="1" s="1"/>
  <c r="BR168" i="1"/>
  <c r="BQ168" i="1"/>
  <c r="BV175" i="1"/>
  <c r="AI175" i="1"/>
  <c r="AJ175" i="1" s="1"/>
  <c r="AZ175" i="1" s="1"/>
  <c r="CO146" i="1"/>
  <c r="CP146" i="1" s="1"/>
  <c r="DN146" i="1" s="1"/>
  <c r="EB146" i="1"/>
  <c r="BK173" i="1"/>
  <c r="BL173" i="1"/>
  <c r="AO189" i="1"/>
  <c r="AP189" i="1" s="1"/>
  <c r="BB189" i="1" s="1"/>
  <c r="CB189" i="1"/>
  <c r="CI146" i="1"/>
  <c r="CJ146" i="1" s="1"/>
  <c r="DL146" i="1" s="1"/>
  <c r="DV146" i="1"/>
  <c r="DD151" i="1"/>
  <c r="DE151" i="1" s="1"/>
  <c r="DS151" i="1" s="1"/>
  <c r="EQ151" i="1"/>
  <c r="DJ126" i="1"/>
  <c r="DK126" i="1" s="1"/>
  <c r="DU126" i="1" s="1"/>
  <c r="EW126" i="1"/>
  <c r="W136" i="1"/>
  <c r="X136" i="1" s="1"/>
  <c r="AV136" i="1" s="1"/>
  <c r="BJ136" i="1"/>
  <c r="AF112" i="1"/>
  <c r="AG112" i="1" s="1"/>
  <c r="AY112" i="1" s="1"/>
  <c r="BS112" i="1"/>
  <c r="BJ141" i="1"/>
  <c r="W141" i="1"/>
  <c r="X141" i="1" s="1"/>
  <c r="AV141" i="1" s="1"/>
  <c r="CO112" i="1"/>
  <c r="CP112" i="1" s="1"/>
  <c r="DN112" i="1" s="1"/>
  <c r="EB112" i="1"/>
  <c r="CL142" i="1"/>
  <c r="CM142" i="1" s="1"/>
  <c r="DM142" i="1" s="1"/>
  <c r="DY142" i="1"/>
  <c r="BZ129" i="1"/>
  <c r="CA129" i="1"/>
  <c r="BS104" i="1"/>
  <c r="AF104" i="1"/>
  <c r="AG104" i="1" s="1"/>
  <c r="AY104" i="1" s="1"/>
  <c r="AL65" i="1"/>
  <c r="AM65" i="1" s="1"/>
  <c r="BA65" i="1" s="1"/>
  <c r="BY65" i="1"/>
  <c r="AO83" i="1"/>
  <c r="AP83" i="1" s="1"/>
  <c r="BB83" i="1" s="1"/>
  <c r="CB83" i="1"/>
  <c r="BK70" i="1"/>
  <c r="BL70" i="1"/>
  <c r="DJ45" i="1"/>
  <c r="DK45" i="1" s="1"/>
  <c r="DU45" i="1" s="1"/>
  <c r="EW45" i="1"/>
  <c r="CX83" i="1"/>
  <c r="CY83" i="1" s="1"/>
  <c r="DQ83" i="1" s="1"/>
  <c r="EK83" i="1"/>
  <c r="CX61" i="1"/>
  <c r="CY61" i="1" s="1"/>
  <c r="DQ61" i="1" s="1"/>
  <c r="EK61" i="1"/>
  <c r="CE19" i="1"/>
  <c r="AR19" i="1"/>
  <c r="AS19" i="1" s="1"/>
  <c r="BC19" i="1" s="1"/>
  <c r="CB47" i="1"/>
  <c r="AO47" i="1"/>
  <c r="AP47" i="1" s="1"/>
  <c r="BB47" i="1" s="1"/>
  <c r="DY33" i="1"/>
  <c r="CL33" i="1"/>
  <c r="CM33" i="1" s="1"/>
  <c r="DM33" i="1" s="1"/>
  <c r="AC12" i="1"/>
  <c r="AD12" i="1" s="1"/>
  <c r="AX12" i="1" s="1"/>
  <c r="BP12" i="1"/>
  <c r="CO96" i="1"/>
  <c r="CP96" i="1" s="1"/>
  <c r="DN96" i="1" s="1"/>
  <c r="EB96" i="1"/>
  <c r="Z96" i="1"/>
  <c r="AA96" i="1" s="1"/>
  <c r="AW96" i="1" s="1"/>
  <c r="BM96" i="1"/>
  <c r="EE91" i="1"/>
  <c r="CR91" i="1"/>
  <c r="CS91" i="1" s="1"/>
  <c r="DO91" i="1" s="1"/>
  <c r="AI93" i="1"/>
  <c r="AJ93" i="1" s="1"/>
  <c r="AZ93" i="1" s="1"/>
  <c r="BV93" i="1"/>
  <c r="BV58" i="1"/>
  <c r="AI58" i="1"/>
  <c r="AJ58" i="1" s="1"/>
  <c r="AZ58" i="1" s="1"/>
  <c r="CX56" i="1"/>
  <c r="CY56" i="1" s="1"/>
  <c r="DQ56" i="1" s="1"/>
  <c r="EK56" i="1"/>
  <c r="DJ37" i="1"/>
  <c r="DK37" i="1" s="1"/>
  <c r="DU37" i="1" s="1"/>
  <c r="EW37" i="1"/>
  <c r="EX38" i="1"/>
  <c r="EY38" i="1"/>
  <c r="DA2" i="1"/>
  <c r="AL2" i="1"/>
  <c r="EP2" i="1"/>
  <c r="CO2" i="1"/>
  <c r="CP2" i="1" s="1"/>
  <c r="DN2" i="1" s="1"/>
  <c r="Z2" i="1"/>
  <c r="AR2" i="1"/>
  <c r="CF2" i="1"/>
  <c r="BN2" i="1"/>
  <c r="BZ2" i="1"/>
  <c r="BS2" i="1"/>
  <c r="AF2" i="1"/>
  <c r="BG2" i="1"/>
  <c r="T2" i="1"/>
  <c r="CE269" i="1"/>
  <c r="AR269" i="1"/>
  <c r="AS269" i="1" s="1"/>
  <c r="BC269" i="1" s="1"/>
  <c r="EH266" i="1"/>
  <c r="CU266" i="1"/>
  <c r="CV266" i="1" s="1"/>
  <c r="DP266" i="1" s="1"/>
  <c r="EM266" i="1"/>
  <c r="EL266" i="1"/>
  <c r="ET254" i="1"/>
  <c r="DG254" i="1"/>
  <c r="DH254" i="1" s="1"/>
  <c r="DT254" i="1" s="1"/>
  <c r="AR243" i="1"/>
  <c r="AS243" i="1" s="1"/>
  <c r="BC243" i="1" s="1"/>
  <c r="CE243" i="1"/>
  <c r="AC237" i="1"/>
  <c r="AD237" i="1" s="1"/>
  <c r="AX237" i="1" s="1"/>
  <c r="BP237" i="1"/>
  <c r="ET227" i="1"/>
  <c r="DG227" i="1"/>
  <c r="DH227" i="1" s="1"/>
  <c r="DT227" i="1" s="1"/>
  <c r="BR228" i="1"/>
  <c r="BQ228" i="1"/>
  <c r="BM220" i="1"/>
  <c r="Z220" i="1"/>
  <c r="AA220" i="1" s="1"/>
  <c r="AW220" i="1" s="1"/>
  <c r="AI206" i="1"/>
  <c r="AJ206" i="1" s="1"/>
  <c r="AZ206" i="1" s="1"/>
  <c r="BV206" i="1"/>
  <c r="BJ203" i="1"/>
  <c r="W203" i="1"/>
  <c r="X203" i="1" s="1"/>
  <c r="AV203" i="1" s="1"/>
  <c r="CC206" i="1"/>
  <c r="CD206" i="1"/>
  <c r="CE197" i="1"/>
  <c r="AR197" i="1"/>
  <c r="AS197" i="1" s="1"/>
  <c r="BC197" i="1" s="1"/>
  <c r="Z172" i="1"/>
  <c r="AA172" i="1" s="1"/>
  <c r="AW172" i="1" s="1"/>
  <c r="BM172" i="1"/>
  <c r="DY163" i="1"/>
  <c r="CL163" i="1"/>
  <c r="CM163" i="1" s="1"/>
  <c r="DM163" i="1" s="1"/>
  <c r="AR171" i="1"/>
  <c r="AS171" i="1" s="1"/>
  <c r="BC171" i="1" s="1"/>
  <c r="CE171" i="1"/>
  <c r="CB160" i="1"/>
  <c r="AO160" i="1"/>
  <c r="AP160" i="1" s="1"/>
  <c r="BB160" i="1" s="1"/>
  <c r="ET147" i="1"/>
  <c r="DG147" i="1"/>
  <c r="DH147" i="1" s="1"/>
  <c r="DT147" i="1" s="1"/>
  <c r="DY133" i="1"/>
  <c r="CL133" i="1"/>
  <c r="CM133" i="1" s="1"/>
  <c r="DM133" i="1" s="1"/>
  <c r="T137" i="1"/>
  <c r="U137" i="1" s="1"/>
  <c r="AU137" i="1" s="1"/>
  <c r="BG137" i="1"/>
  <c r="CU133" i="1"/>
  <c r="CV133" i="1" s="1"/>
  <c r="DP133" i="1" s="1"/>
  <c r="EH133" i="1"/>
  <c r="EX176" i="1"/>
  <c r="EY176" i="1"/>
  <c r="DV120" i="1"/>
  <c r="CI120" i="1"/>
  <c r="CJ120" i="1" s="1"/>
  <c r="DL120" i="1" s="1"/>
  <c r="AC112" i="1"/>
  <c r="AD112" i="1" s="1"/>
  <c r="AX112" i="1" s="1"/>
  <c r="BP112" i="1"/>
  <c r="AC117" i="1"/>
  <c r="AD117" i="1" s="1"/>
  <c r="AX117" i="1" s="1"/>
  <c r="BP117" i="1"/>
  <c r="BZ116" i="1"/>
  <c r="CA116" i="1"/>
  <c r="EN101" i="1"/>
  <c r="DA101" i="1"/>
  <c r="DB101" i="1" s="1"/>
  <c r="DR101" i="1" s="1"/>
  <c r="CX106" i="1"/>
  <c r="CY106" i="1" s="1"/>
  <c r="DQ106" i="1" s="1"/>
  <c r="EK106" i="1"/>
  <c r="DG109" i="1"/>
  <c r="DH109" i="1" s="1"/>
  <c r="DT109" i="1" s="1"/>
  <c r="ET109" i="1"/>
  <c r="EE84" i="1"/>
  <c r="CR84" i="1"/>
  <c r="CS84" i="1" s="1"/>
  <c r="DO84" i="1" s="1"/>
  <c r="CO89" i="1"/>
  <c r="CP89" i="1" s="1"/>
  <c r="DN89" i="1" s="1"/>
  <c r="EB89" i="1"/>
  <c r="CD95" i="1"/>
  <c r="CC95" i="1"/>
  <c r="EG89" i="1"/>
  <c r="EF89" i="1"/>
  <c r="DV36" i="1"/>
  <c r="CI36" i="1"/>
  <c r="CJ36" i="1" s="1"/>
  <c r="DL36" i="1" s="1"/>
  <c r="T51" i="1"/>
  <c r="U51" i="1" s="1"/>
  <c r="AU51" i="1" s="1"/>
  <c r="BG51" i="1"/>
  <c r="EY2" i="1"/>
  <c r="EX2" i="1"/>
  <c r="CL271" i="1"/>
  <c r="CM271" i="1" s="1"/>
  <c r="DM271" i="1" s="1"/>
  <c r="DY271" i="1"/>
  <c r="AI270" i="1"/>
  <c r="AJ270" i="1" s="1"/>
  <c r="AZ270" i="1" s="1"/>
  <c r="BV270" i="1"/>
  <c r="ET267" i="1"/>
  <c r="DG267" i="1"/>
  <c r="DH267" i="1" s="1"/>
  <c r="DT267" i="1" s="1"/>
  <c r="CI263" i="1"/>
  <c r="CJ263" i="1" s="1"/>
  <c r="DL263" i="1" s="1"/>
  <c r="DV263" i="1"/>
  <c r="BS257" i="1"/>
  <c r="AF257" i="1"/>
  <c r="AG257" i="1" s="1"/>
  <c r="AY257" i="1" s="1"/>
  <c r="CX244" i="1"/>
  <c r="CY244" i="1" s="1"/>
  <c r="DQ244" i="1" s="1"/>
  <c r="EK244" i="1"/>
  <c r="CB246" i="1"/>
  <c r="AO246" i="1"/>
  <c r="AP246" i="1" s="1"/>
  <c r="BB246" i="1" s="1"/>
  <c r="BQ247" i="1"/>
  <c r="BR247" i="1"/>
  <c r="BM233" i="1"/>
  <c r="Z233" i="1"/>
  <c r="AA233" i="1" s="1"/>
  <c r="AW233" i="1" s="1"/>
  <c r="BF210" i="1"/>
  <c r="BE210" i="1"/>
  <c r="BP205" i="1"/>
  <c r="AC205" i="1"/>
  <c r="AD205" i="1" s="1"/>
  <c r="AX205" i="1" s="1"/>
  <c r="EN208" i="1"/>
  <c r="DA208" i="1"/>
  <c r="DB208" i="1" s="1"/>
  <c r="DR208" i="1" s="1"/>
  <c r="BN205" i="1"/>
  <c r="BO205" i="1"/>
  <c r="EU204" i="1"/>
  <c r="EV204" i="1"/>
  <c r="EB199" i="1"/>
  <c r="CO199" i="1"/>
  <c r="CP199" i="1" s="1"/>
  <c r="DN199" i="1" s="1"/>
  <c r="BG182" i="1"/>
  <c r="T182" i="1"/>
  <c r="U182" i="1" s="1"/>
  <c r="AU182" i="1" s="1"/>
  <c r="CA177" i="1"/>
  <c r="BZ177" i="1"/>
  <c r="BP153" i="1"/>
  <c r="AC153" i="1"/>
  <c r="AD153" i="1" s="1"/>
  <c r="AX153" i="1" s="1"/>
  <c r="EW158" i="1"/>
  <c r="DJ158" i="1"/>
  <c r="DK158" i="1" s="1"/>
  <c r="DU158" i="1" s="1"/>
  <c r="BY162" i="1"/>
  <c r="AL162" i="1"/>
  <c r="AM162" i="1" s="1"/>
  <c r="BA162" i="1" s="1"/>
  <c r="EH156" i="1"/>
  <c r="CU156" i="1"/>
  <c r="CV156" i="1" s="1"/>
  <c r="DP156" i="1" s="1"/>
  <c r="AI149" i="1"/>
  <c r="AJ149" i="1" s="1"/>
  <c r="AZ149" i="1" s="1"/>
  <c r="BV149" i="1"/>
  <c r="Q133" i="1"/>
  <c r="R133" i="1" s="1"/>
  <c r="AT133" i="1" s="1"/>
  <c r="BD133" i="1"/>
  <c r="CI132" i="1"/>
  <c r="CJ132" i="1" s="1"/>
  <c r="DL132" i="1" s="1"/>
  <c r="DV132" i="1"/>
  <c r="CD152" i="1"/>
  <c r="CC152" i="1"/>
  <c r="EW123" i="1"/>
  <c r="DJ123" i="1"/>
  <c r="DK123" i="1" s="1"/>
  <c r="DU123" i="1" s="1"/>
  <c r="CD115" i="1"/>
  <c r="CC115" i="1"/>
  <c r="CI102" i="1"/>
  <c r="CJ102" i="1" s="1"/>
  <c r="DL102" i="1" s="1"/>
  <c r="DV102" i="1"/>
  <c r="CB94" i="1"/>
  <c r="AO94" i="1"/>
  <c r="AP94" i="1" s="1"/>
  <c r="BB94" i="1" s="1"/>
  <c r="CX74" i="1"/>
  <c r="CY74" i="1" s="1"/>
  <c r="DQ74" i="1" s="1"/>
  <c r="EK74" i="1"/>
  <c r="BG97" i="1"/>
  <c r="T97" i="1"/>
  <c r="U97" i="1" s="1"/>
  <c r="AU97" i="1" s="1"/>
  <c r="EY143" i="1"/>
  <c r="EX143" i="1"/>
  <c r="DV81" i="1"/>
  <c r="CI81" i="1"/>
  <c r="CJ81" i="1" s="1"/>
  <c r="DL81" i="1" s="1"/>
  <c r="EW77" i="1"/>
  <c r="DJ77" i="1"/>
  <c r="DK77" i="1" s="1"/>
  <c r="DU77" i="1" s="1"/>
  <c r="AF75" i="1"/>
  <c r="AG75" i="1" s="1"/>
  <c r="AY75" i="1" s="1"/>
  <c r="BS75" i="1"/>
  <c r="EJ93" i="1"/>
  <c r="EI93" i="1"/>
  <c r="ES90" i="1"/>
  <c r="ER90" i="1"/>
  <c r="BD52" i="1"/>
  <c r="Q52" i="1"/>
  <c r="R52" i="1" s="1"/>
  <c r="AT52" i="1" s="1"/>
  <c r="CI37" i="1"/>
  <c r="CJ37" i="1" s="1"/>
  <c r="DL37" i="1" s="1"/>
  <c r="DV37" i="1"/>
  <c r="DG38" i="1"/>
  <c r="DH38" i="1" s="1"/>
  <c r="DT38" i="1" s="1"/>
  <c r="ET38" i="1"/>
  <c r="DA54" i="1"/>
  <c r="DB54" i="1" s="1"/>
  <c r="DR54" i="1" s="1"/>
  <c r="EN54" i="1"/>
  <c r="DY48" i="1"/>
  <c r="CL48" i="1"/>
  <c r="CM48" i="1" s="1"/>
  <c r="DM48" i="1" s="1"/>
  <c r="CI33" i="1"/>
  <c r="CJ33" i="1" s="1"/>
  <c r="DL33" i="1" s="1"/>
  <c r="DV33" i="1"/>
  <c r="T31" i="1"/>
  <c r="U31" i="1" s="1"/>
  <c r="AU31" i="1" s="1"/>
  <c r="BG31" i="1"/>
  <c r="CU46" i="1"/>
  <c r="CV46" i="1" s="1"/>
  <c r="DP46" i="1" s="1"/>
  <c r="EH46" i="1"/>
  <c r="DV55" i="1"/>
  <c r="CI55" i="1"/>
  <c r="CJ55" i="1" s="1"/>
  <c r="DL55" i="1" s="1"/>
  <c r="EW22" i="1"/>
  <c r="DJ22" i="1"/>
  <c r="DK22" i="1" s="1"/>
  <c r="DU22" i="1" s="1"/>
  <c r="DY24" i="1"/>
  <c r="CL24" i="1"/>
  <c r="CM24" i="1" s="1"/>
  <c r="DM24" i="1" s="1"/>
  <c r="CR21" i="1"/>
  <c r="CS21" i="1" s="1"/>
  <c r="DO21" i="1" s="1"/>
  <c r="EE21" i="1"/>
  <c r="CU34" i="1"/>
  <c r="CV34" i="1" s="1"/>
  <c r="DP34" i="1" s="1"/>
  <c r="EH34" i="1"/>
  <c r="EE5" i="1"/>
  <c r="CR5" i="1"/>
  <c r="CS5" i="1" s="1"/>
  <c r="DO5" i="1" s="1"/>
  <c r="CO6" i="1"/>
  <c r="CP6" i="1" s="1"/>
  <c r="DN6" i="1" s="1"/>
  <c r="EB6" i="1"/>
  <c r="BY35" i="1"/>
  <c r="AL35" i="1"/>
  <c r="AM35" i="1" s="1"/>
  <c r="BA35" i="1" s="1"/>
  <c r="BS23" i="1"/>
  <c r="AF23" i="1"/>
  <c r="AG23" i="1" s="1"/>
  <c r="AY23" i="1" s="1"/>
  <c r="BD23" i="1"/>
  <c r="Q23" i="1"/>
  <c r="R23" i="1" s="1"/>
  <c r="AT23" i="1" s="1"/>
  <c r="BY6" i="1"/>
  <c r="AL6" i="1"/>
  <c r="AM6" i="1" s="1"/>
  <c r="BA6" i="1" s="1"/>
  <c r="DX282" i="1"/>
  <c r="DW282" i="1"/>
  <c r="CU268" i="1"/>
  <c r="CV268" i="1" s="1"/>
  <c r="DP268" i="1" s="1"/>
  <c r="EH268" i="1"/>
  <c r="BL258" i="1"/>
  <c r="BK258" i="1"/>
  <c r="CC255" i="1"/>
  <c r="CD255" i="1"/>
  <c r="CB237" i="1"/>
  <c r="AO237" i="1"/>
  <c r="AP237" i="1" s="1"/>
  <c r="BB237" i="1" s="1"/>
  <c r="BY233" i="1"/>
  <c r="AL233" i="1"/>
  <c r="AM233" i="1" s="1"/>
  <c r="BA233" i="1" s="1"/>
  <c r="DA230" i="1"/>
  <c r="DB230" i="1" s="1"/>
  <c r="DR230" i="1" s="1"/>
  <c r="EN230" i="1"/>
  <c r="BM228" i="1"/>
  <c r="Z228" i="1"/>
  <c r="AA228" i="1" s="1"/>
  <c r="AW228" i="1" s="1"/>
  <c r="BD216" i="1"/>
  <c r="Q216" i="1"/>
  <c r="R216" i="1" s="1"/>
  <c r="AT216" i="1" s="1"/>
  <c r="BU224" i="1"/>
  <c r="BT224" i="1"/>
  <c r="AL221" i="1"/>
  <c r="AM221" i="1" s="1"/>
  <c r="BA221" i="1" s="1"/>
  <c r="BY221" i="1"/>
  <c r="BM207" i="1"/>
  <c r="Z207" i="1"/>
  <c r="AA207" i="1" s="1"/>
  <c r="AW207" i="1" s="1"/>
  <c r="DY175" i="1"/>
  <c r="CL175" i="1"/>
  <c r="CM175" i="1" s="1"/>
  <c r="DM175" i="1" s="1"/>
  <c r="EN198" i="1"/>
  <c r="DA198" i="1"/>
  <c r="DB198" i="1" s="1"/>
  <c r="DR198" i="1" s="1"/>
  <c r="BZ186" i="1"/>
  <c r="CA186" i="1"/>
  <c r="EK163" i="1"/>
  <c r="CX163" i="1"/>
  <c r="CY163" i="1" s="1"/>
  <c r="DQ163" i="1" s="1"/>
  <c r="EY181" i="1"/>
  <c r="EX181" i="1"/>
  <c r="BL227" i="1"/>
  <c r="BK227" i="1"/>
  <c r="AL166" i="1"/>
  <c r="AM166" i="1" s="1"/>
  <c r="BA166" i="1" s="1"/>
  <c r="BY166" i="1"/>
  <c r="AF130" i="1"/>
  <c r="AG130" i="1" s="1"/>
  <c r="AY130" i="1" s="1"/>
  <c r="BS130" i="1"/>
  <c r="EQ154" i="1"/>
  <c r="DD154" i="1"/>
  <c r="DE154" i="1" s="1"/>
  <c r="DS154" i="1" s="1"/>
  <c r="CU127" i="1"/>
  <c r="CV127" i="1" s="1"/>
  <c r="DP127" i="1" s="1"/>
  <c r="EH127" i="1"/>
  <c r="BR147" i="1"/>
  <c r="BQ147" i="1"/>
  <c r="BP136" i="1"/>
  <c r="AC136" i="1"/>
  <c r="AD136" i="1" s="1"/>
  <c r="AX136" i="1" s="1"/>
  <c r="BO140" i="1"/>
  <c r="BN140" i="1"/>
  <c r="EB101" i="1"/>
  <c r="CO101" i="1"/>
  <c r="CP101" i="1" s="1"/>
  <c r="DN101" i="1" s="1"/>
  <c r="BM88" i="1"/>
  <c r="Z88" i="1"/>
  <c r="AA88" i="1" s="1"/>
  <c r="AW88" i="1" s="1"/>
  <c r="CX73" i="1"/>
  <c r="CY73" i="1" s="1"/>
  <c r="DQ73" i="1" s="1"/>
  <c r="EK73" i="1"/>
  <c r="DD98" i="1"/>
  <c r="DE98" i="1" s="1"/>
  <c r="DS98" i="1" s="1"/>
  <c r="EQ98" i="1"/>
  <c r="DA89" i="1"/>
  <c r="DB89" i="1" s="1"/>
  <c r="DR89" i="1" s="1"/>
  <c r="EN89" i="1"/>
  <c r="ET76" i="1"/>
  <c r="DG76" i="1"/>
  <c r="DH76" i="1" s="1"/>
  <c r="DT76" i="1" s="1"/>
  <c r="DX109" i="1"/>
  <c r="DW109" i="1"/>
  <c r="DY63" i="1"/>
  <c r="CL63" i="1"/>
  <c r="CM63" i="1" s="1"/>
  <c r="DM63" i="1" s="1"/>
  <c r="DZ139" i="1"/>
  <c r="EA139" i="1"/>
  <c r="CG65" i="1"/>
  <c r="CF65" i="1"/>
  <c r="EP71" i="1"/>
  <c r="EO71" i="1"/>
  <c r="BD85" i="1"/>
  <c r="Q85" i="1"/>
  <c r="R85" i="1" s="1"/>
  <c r="AT85" i="1" s="1"/>
  <c r="EH32" i="1"/>
  <c r="CU32" i="1"/>
  <c r="CV32" i="1" s="1"/>
  <c r="DP32" i="1" s="1"/>
  <c r="AF31" i="1"/>
  <c r="AG31" i="1" s="1"/>
  <c r="AY31" i="1" s="1"/>
  <c r="BS31" i="1"/>
  <c r="EW7" i="1"/>
  <c r="DJ7" i="1"/>
  <c r="DK7" i="1" s="1"/>
  <c r="DU7" i="1" s="1"/>
  <c r="CX24" i="1"/>
  <c r="CY24" i="1" s="1"/>
  <c r="DQ24" i="1" s="1"/>
  <c r="EK24" i="1"/>
  <c r="EB25" i="1"/>
  <c r="CO25" i="1"/>
  <c r="CP25" i="1" s="1"/>
  <c r="DN25" i="1" s="1"/>
  <c r="CU15" i="1"/>
  <c r="CV15" i="1" s="1"/>
  <c r="DP15" i="1" s="1"/>
  <c r="EH15" i="1"/>
  <c r="BG34" i="1"/>
  <c r="T34" i="1"/>
  <c r="U34" i="1" s="1"/>
  <c r="AU34" i="1" s="1"/>
  <c r="CO8" i="1"/>
  <c r="CP8" i="1" s="1"/>
  <c r="DN8" i="1" s="1"/>
  <c r="EB8" i="1"/>
  <c r="W15" i="1"/>
  <c r="X15" i="1" s="1"/>
  <c r="AV15" i="1" s="1"/>
  <c r="BJ15" i="1"/>
  <c r="AC23" i="1"/>
  <c r="AD23" i="1" s="1"/>
  <c r="AX23" i="1" s="1"/>
  <c r="BP23" i="1"/>
  <c r="EQ5" i="1"/>
  <c r="DD5" i="1"/>
  <c r="DE5" i="1" s="1"/>
  <c r="DS5" i="1" s="1"/>
  <c r="BD6" i="1"/>
  <c r="Q6" i="1"/>
  <c r="R6" i="1" s="1"/>
  <c r="AT6" i="1" s="1"/>
  <c r="AC264" i="1"/>
  <c r="AD264" i="1" s="1"/>
  <c r="AX264" i="1" s="1"/>
  <c r="BP264" i="1"/>
  <c r="DJ238" i="1"/>
  <c r="DK238" i="1" s="1"/>
  <c r="DU238" i="1" s="1"/>
  <c r="EW238" i="1"/>
  <c r="EH224" i="1"/>
  <c r="CU224" i="1"/>
  <c r="CV224" i="1" s="1"/>
  <c r="DP224" i="1" s="1"/>
  <c r="CI220" i="1"/>
  <c r="CJ220" i="1" s="1"/>
  <c r="DL220" i="1" s="1"/>
  <c r="DV220" i="1"/>
  <c r="DV195" i="1"/>
  <c r="CI195" i="1"/>
  <c r="CJ195" i="1" s="1"/>
  <c r="DL195" i="1" s="1"/>
  <c r="EK211" i="1"/>
  <c r="CX211" i="1"/>
  <c r="CY211" i="1" s="1"/>
  <c r="DQ211" i="1" s="1"/>
  <c r="EW207" i="1"/>
  <c r="DJ207" i="1"/>
  <c r="DK207" i="1" s="1"/>
  <c r="DU207" i="1" s="1"/>
  <c r="EF212" i="1"/>
  <c r="EG212" i="1"/>
  <c r="EQ190" i="1"/>
  <c r="DD190" i="1"/>
  <c r="DE190" i="1" s="1"/>
  <c r="DS190" i="1" s="1"/>
  <c r="EH172" i="1"/>
  <c r="CU172" i="1"/>
  <c r="CV172" i="1" s="1"/>
  <c r="DP172" i="1" s="1"/>
  <c r="EI194" i="1"/>
  <c r="EJ194" i="1"/>
  <c r="CI168" i="1"/>
  <c r="CJ168" i="1" s="1"/>
  <c r="DL168" i="1" s="1"/>
  <c r="DV168" i="1"/>
  <c r="AR179" i="1"/>
  <c r="AS179" i="1" s="1"/>
  <c r="BC179" i="1" s="1"/>
  <c r="CE179" i="1"/>
  <c r="W198" i="1"/>
  <c r="X198" i="1" s="1"/>
  <c r="AV198" i="1" s="1"/>
  <c r="BJ198" i="1"/>
  <c r="BD179" i="1"/>
  <c r="Q179" i="1"/>
  <c r="R179" i="1" s="1"/>
  <c r="AT179" i="1" s="1"/>
  <c r="AR193" i="1"/>
  <c r="AS193" i="1" s="1"/>
  <c r="BC193" i="1" s="1"/>
  <c r="CE193" i="1"/>
  <c r="ET179" i="1"/>
  <c r="DG179" i="1"/>
  <c r="DH179" i="1" s="1"/>
  <c r="DT179" i="1" s="1"/>
  <c r="W187" i="1"/>
  <c r="X187" i="1" s="1"/>
  <c r="AV187" i="1" s="1"/>
  <c r="BJ187" i="1"/>
  <c r="BI199" i="1"/>
  <c r="BH199" i="1"/>
  <c r="CX185" i="1"/>
  <c r="CY185" i="1" s="1"/>
  <c r="DQ185" i="1" s="1"/>
  <c r="EK185" i="1"/>
  <c r="EN174" i="1"/>
  <c r="DA174" i="1"/>
  <c r="DB174" i="1" s="1"/>
  <c r="DR174" i="1" s="1"/>
  <c r="Z192" i="1"/>
  <c r="AA192" i="1" s="1"/>
  <c r="AW192" i="1" s="1"/>
  <c r="BM192" i="1"/>
  <c r="EH151" i="1"/>
  <c r="CU151" i="1"/>
  <c r="CV151" i="1" s="1"/>
  <c r="DP151" i="1" s="1"/>
  <c r="AR178" i="1"/>
  <c r="AS178" i="1" s="1"/>
  <c r="BC178" i="1" s="1"/>
  <c r="CE178" i="1"/>
  <c r="CU152" i="1"/>
  <c r="CV152" i="1" s="1"/>
  <c r="DP152" i="1" s="1"/>
  <c r="EH152" i="1"/>
  <c r="DX164" i="1"/>
  <c r="DW164" i="1"/>
  <c r="EM181" i="1"/>
  <c r="EL181" i="1"/>
  <c r="EB162" i="1"/>
  <c r="CO162" i="1"/>
  <c r="CP162" i="1" s="1"/>
  <c r="DN162" i="1" s="1"/>
  <c r="BG169" i="1"/>
  <c r="T169" i="1"/>
  <c r="U169" i="1" s="1"/>
  <c r="AU169" i="1" s="1"/>
  <c r="BM160" i="1"/>
  <c r="Z160" i="1"/>
  <c r="AA160" i="1" s="1"/>
  <c r="AW160" i="1" s="1"/>
  <c r="BX184" i="1"/>
  <c r="BW184" i="1"/>
  <c r="DV149" i="1"/>
  <c r="CI149" i="1"/>
  <c r="CJ149" i="1" s="1"/>
  <c r="DL149" i="1" s="1"/>
  <c r="BG130" i="1"/>
  <c r="T130" i="1"/>
  <c r="U130" i="1" s="1"/>
  <c r="AU130" i="1" s="1"/>
  <c r="AO140" i="1"/>
  <c r="AP140" i="1" s="1"/>
  <c r="BB140" i="1" s="1"/>
  <c r="CB140" i="1"/>
  <c r="CL129" i="1"/>
  <c r="CM129" i="1" s="1"/>
  <c r="DM129" i="1" s="1"/>
  <c r="DY129" i="1"/>
  <c r="W154" i="1"/>
  <c r="X154" i="1" s="1"/>
  <c r="AV154" i="1" s="1"/>
  <c r="BJ154" i="1"/>
  <c r="CX135" i="1"/>
  <c r="CY135" i="1" s="1"/>
  <c r="DQ135" i="1" s="1"/>
  <c r="EK135" i="1"/>
  <c r="CI127" i="1"/>
  <c r="CJ127" i="1" s="1"/>
  <c r="DL127" i="1" s="1"/>
  <c r="DV127" i="1"/>
  <c r="DV134" i="1"/>
  <c r="CI134" i="1"/>
  <c r="CJ134" i="1" s="1"/>
  <c r="DL134" i="1" s="1"/>
  <c r="EH115" i="1"/>
  <c r="CU115" i="1"/>
  <c r="CV115" i="1" s="1"/>
  <c r="DP115" i="1" s="1"/>
  <c r="R144" i="1"/>
  <c r="BX134" i="1"/>
  <c r="BW134" i="1"/>
  <c r="BG117" i="1"/>
  <c r="T117" i="1"/>
  <c r="U117" i="1" s="1"/>
  <c r="AU117" i="1" s="1"/>
  <c r="DY110" i="1"/>
  <c r="CL110" i="1"/>
  <c r="CM110" i="1" s="1"/>
  <c r="DM110" i="1" s="1"/>
  <c r="BK126" i="1"/>
  <c r="BL126" i="1"/>
  <c r="CB124" i="1"/>
  <c r="AO124" i="1"/>
  <c r="AP124" i="1" s="1"/>
  <c r="BB124" i="1" s="1"/>
  <c r="CB123" i="1"/>
  <c r="AO123" i="1"/>
  <c r="AP123" i="1" s="1"/>
  <c r="BB123" i="1" s="1"/>
  <c r="CX113" i="1"/>
  <c r="CY113" i="1" s="1"/>
  <c r="DQ113" i="1" s="1"/>
  <c r="EK113" i="1"/>
  <c r="EE111" i="1"/>
  <c r="CR111" i="1"/>
  <c r="CS111" i="1" s="1"/>
  <c r="DO111" i="1" s="1"/>
  <c r="Q148" i="1"/>
  <c r="R148" i="1" s="1"/>
  <c r="AT148" i="1" s="1"/>
  <c r="BD148" i="1"/>
  <c r="CL111" i="1"/>
  <c r="CM111" i="1" s="1"/>
  <c r="DM111" i="1" s="1"/>
  <c r="DY111" i="1"/>
  <c r="EJ146" i="1"/>
  <c r="EI146" i="1"/>
  <c r="DG84" i="1"/>
  <c r="DH84" i="1" s="1"/>
  <c r="DT84" i="1" s="1"/>
  <c r="ET84" i="1"/>
  <c r="CI64" i="1"/>
  <c r="CJ64" i="1" s="1"/>
  <c r="DL64" i="1" s="1"/>
  <c r="DV64" i="1"/>
  <c r="BJ89" i="1"/>
  <c r="W89" i="1"/>
  <c r="X89" i="1" s="1"/>
  <c r="AV89" i="1" s="1"/>
  <c r="CL73" i="1"/>
  <c r="CM73" i="1" s="1"/>
  <c r="DM73" i="1" s="1"/>
  <c r="DY73" i="1"/>
  <c r="T109" i="1"/>
  <c r="U109" i="1" s="1"/>
  <c r="AU109" i="1" s="1"/>
  <c r="BG109" i="1"/>
  <c r="EB109" i="1"/>
  <c r="CO109" i="1"/>
  <c r="CP109" i="1" s="1"/>
  <c r="DN109" i="1" s="1"/>
  <c r="BM98" i="1"/>
  <c r="Z98" i="1"/>
  <c r="AA98" i="1" s="1"/>
  <c r="AW98" i="1" s="1"/>
  <c r="AA105" i="1"/>
  <c r="ET88" i="1"/>
  <c r="DG88" i="1"/>
  <c r="DH88" i="1" s="1"/>
  <c r="DT88" i="1" s="1"/>
  <c r="EH76" i="1"/>
  <c r="CU76" i="1"/>
  <c r="CV76" i="1" s="1"/>
  <c r="DP76" i="1" s="1"/>
  <c r="EG102" i="1"/>
  <c r="EF102" i="1"/>
  <c r="EB72" i="1"/>
  <c r="CO72" i="1"/>
  <c r="CP72" i="1" s="1"/>
  <c r="DN72" i="1" s="1"/>
  <c r="CE61" i="1"/>
  <c r="AR61" i="1"/>
  <c r="AS61" i="1" s="1"/>
  <c r="BC61" i="1" s="1"/>
  <c r="BM75" i="1"/>
  <c r="Z75" i="1"/>
  <c r="AA75" i="1" s="1"/>
  <c r="AW75" i="1" s="1"/>
  <c r="EI88" i="1"/>
  <c r="EJ88" i="1"/>
  <c r="BY86" i="1"/>
  <c r="AL86" i="1"/>
  <c r="AM86" i="1" s="1"/>
  <c r="BA86" i="1" s="1"/>
  <c r="BP80" i="1"/>
  <c r="AC80" i="1"/>
  <c r="AD80" i="1" s="1"/>
  <c r="AX80" i="1" s="1"/>
  <c r="CE42" i="1"/>
  <c r="AR42" i="1"/>
  <c r="AS42" i="1" s="1"/>
  <c r="BC42" i="1" s="1"/>
  <c r="CU19" i="1"/>
  <c r="CV19" i="1" s="1"/>
  <c r="DP19" i="1" s="1"/>
  <c r="EH19" i="1"/>
  <c r="AI52" i="1"/>
  <c r="AJ52" i="1" s="1"/>
  <c r="AZ52" i="1" s="1"/>
  <c r="BV52" i="1"/>
  <c r="CL43" i="1"/>
  <c r="CM43" i="1" s="1"/>
  <c r="DM43" i="1" s="1"/>
  <c r="DY43" i="1"/>
  <c r="CI38" i="1"/>
  <c r="CJ38" i="1" s="1"/>
  <c r="DL38" i="1" s="1"/>
  <c r="DV38" i="1"/>
  <c r="EA68" i="1"/>
  <c r="DZ68" i="1"/>
  <c r="CU85" i="1"/>
  <c r="CV85" i="1" s="1"/>
  <c r="DP85" i="1" s="1"/>
  <c r="EH85" i="1"/>
  <c r="BP85" i="1"/>
  <c r="AC85" i="1"/>
  <c r="AD85" i="1" s="1"/>
  <c r="AX85" i="1" s="1"/>
  <c r="CO57" i="1"/>
  <c r="CP57" i="1" s="1"/>
  <c r="DN57" i="1" s="1"/>
  <c r="EB57" i="1"/>
  <c r="EW48" i="1"/>
  <c r="DJ48" i="1"/>
  <c r="DK48" i="1" s="1"/>
  <c r="DU48" i="1" s="1"/>
  <c r="CL21" i="1"/>
  <c r="CM21" i="1" s="1"/>
  <c r="DM21" i="1" s="1"/>
  <c r="DY21" i="1"/>
  <c r="EN46" i="1"/>
  <c r="DA46" i="1"/>
  <c r="DB46" i="1" s="1"/>
  <c r="DR46" i="1" s="1"/>
  <c r="CX18" i="1"/>
  <c r="CY18" i="1" s="1"/>
  <c r="DQ18" i="1" s="1"/>
  <c r="EK18" i="1"/>
  <c r="CO55" i="1"/>
  <c r="CP55" i="1" s="1"/>
  <c r="DN55" i="1" s="1"/>
  <c r="EB55" i="1"/>
  <c r="EM52" i="1"/>
  <c r="EL52" i="1"/>
  <c r="CX7" i="1"/>
  <c r="CY7" i="1" s="1"/>
  <c r="DQ7" i="1" s="1"/>
  <c r="EK7" i="1"/>
  <c r="BR41" i="1"/>
  <c r="BQ41" i="1"/>
  <c r="DA8" i="1"/>
  <c r="DB8" i="1" s="1"/>
  <c r="DR8" i="1" s="1"/>
  <c r="EN8" i="1"/>
  <c r="CB9" i="1"/>
  <c r="AO9" i="1"/>
  <c r="AP9" i="1" s="1"/>
  <c r="BB9" i="1" s="1"/>
  <c r="EG12" i="1"/>
  <c r="EF12" i="1"/>
  <c r="ET2" i="1"/>
  <c r="DG2" i="1"/>
  <c r="BK11" i="1"/>
  <c r="BL11" i="1"/>
  <c r="DV35" i="1"/>
  <c r="CI35" i="1"/>
  <c r="CJ35" i="1" s="1"/>
  <c r="DL35" i="1" s="1"/>
  <c r="EQ23" i="1"/>
  <c r="DD23" i="1"/>
  <c r="DE23" i="1" s="1"/>
  <c r="DS23" i="1" s="1"/>
  <c r="BI10" i="1"/>
  <c r="BH10" i="1"/>
  <c r="AC6" i="1"/>
  <c r="AD6" i="1" s="1"/>
  <c r="AX6" i="1" s="1"/>
  <c r="BP6" i="1"/>
  <c r="EX298" i="1"/>
  <c r="EY298" i="1"/>
  <c r="EO301" i="1"/>
  <c r="EP301" i="1"/>
  <c r="EA303" i="1"/>
  <c r="DZ303" i="1"/>
  <c r="EG285" i="1"/>
  <c r="EF285" i="1"/>
  <c r="EM282" i="1"/>
  <c r="EL282" i="1"/>
  <c r="EL279" i="1"/>
  <c r="EM279" i="1"/>
  <c r="EU272" i="1"/>
  <c r="EV272" i="1"/>
  <c r="BG265" i="1"/>
  <c r="T265" i="1"/>
  <c r="U265" i="1" s="1"/>
  <c r="AU265" i="1" s="1"/>
  <c r="AR265" i="1"/>
  <c r="AS265" i="1" s="1"/>
  <c r="BC265" i="1" s="1"/>
  <c r="CE265" i="1"/>
  <c r="CE266" i="1"/>
  <c r="AR266" i="1"/>
  <c r="AS266" i="1" s="1"/>
  <c r="BC266" i="1" s="1"/>
  <c r="EL277" i="1"/>
  <c r="EM277" i="1"/>
  <c r="EP282" i="1"/>
  <c r="EO282" i="1"/>
  <c r="EB268" i="1"/>
  <c r="CO268" i="1"/>
  <c r="CP268" i="1" s="1"/>
  <c r="DN268" i="1" s="1"/>
  <c r="BJ270" i="1"/>
  <c r="W270" i="1"/>
  <c r="X270" i="1" s="1"/>
  <c r="AV270" i="1" s="1"/>
  <c r="DX279" i="1"/>
  <c r="DW279" i="1"/>
  <c r="EI270" i="1"/>
  <c r="EJ270" i="1"/>
  <c r="CB267" i="1"/>
  <c r="AO267" i="1"/>
  <c r="AP267" i="1" s="1"/>
  <c r="BB267" i="1" s="1"/>
  <c r="DA262" i="1"/>
  <c r="DB262" i="1" s="1"/>
  <c r="DR262" i="1" s="1"/>
  <c r="EN262" i="1"/>
  <c r="BS258" i="1"/>
  <c r="AF258" i="1"/>
  <c r="AG258" i="1" s="1"/>
  <c r="AY258" i="1" s="1"/>
  <c r="AC254" i="1"/>
  <c r="AD254" i="1" s="1"/>
  <c r="AX254" i="1" s="1"/>
  <c r="BP254" i="1"/>
  <c r="AR263" i="1"/>
  <c r="AS263" i="1" s="1"/>
  <c r="BC263" i="1" s="1"/>
  <c r="CE263" i="1"/>
  <c r="DV264" i="1"/>
  <c r="CI264" i="1"/>
  <c r="CJ264" i="1" s="1"/>
  <c r="DL264" i="1" s="1"/>
  <c r="AO264" i="1"/>
  <c r="AP264" i="1" s="1"/>
  <c r="BB264" i="1" s="1"/>
  <c r="CB264" i="1"/>
  <c r="BD255" i="1"/>
  <c r="Q255" i="1"/>
  <c r="R255" i="1" s="1"/>
  <c r="AT255" i="1" s="1"/>
  <c r="EN257" i="1"/>
  <c r="DA257" i="1"/>
  <c r="DB257" i="1" s="1"/>
  <c r="DR257" i="1" s="1"/>
  <c r="AI255" i="1"/>
  <c r="AJ255" i="1" s="1"/>
  <c r="AZ255" i="1" s="1"/>
  <c r="BV255" i="1"/>
  <c r="ES264" i="1"/>
  <c r="ER264" i="1"/>
  <c r="EQ257" i="1"/>
  <c r="DD257" i="1"/>
  <c r="DE257" i="1" s="1"/>
  <c r="DS257" i="1" s="1"/>
  <c r="BZ258" i="1"/>
  <c r="CA258" i="1"/>
  <c r="BG244" i="1"/>
  <c r="T244" i="1"/>
  <c r="U244" i="1" s="1"/>
  <c r="AU244" i="1" s="1"/>
  <c r="BN249" i="1"/>
  <c r="BO249" i="1"/>
  <c r="Q242" i="1"/>
  <c r="R242" i="1" s="1"/>
  <c r="AT242" i="1" s="1"/>
  <c r="BD242" i="1"/>
  <c r="EV251" i="1"/>
  <c r="EU251" i="1"/>
  <c r="DG241" i="1"/>
  <c r="DH241" i="1" s="1"/>
  <c r="DT241" i="1" s="1"/>
  <c r="ET241" i="1"/>
  <c r="ET244" i="1"/>
  <c r="DG244" i="1"/>
  <c r="DH244" i="1" s="1"/>
  <c r="DT244" i="1" s="1"/>
  <c r="EB245" i="1"/>
  <c r="CO245" i="1"/>
  <c r="CP245" i="1" s="1"/>
  <c r="DN245" i="1" s="1"/>
  <c r="ES255" i="1"/>
  <c r="ER255" i="1"/>
  <c r="AO253" i="1"/>
  <c r="AP253" i="1" s="1"/>
  <c r="BB253" i="1" s="1"/>
  <c r="CB253" i="1"/>
  <c r="DJ250" i="1"/>
  <c r="DK250" i="1" s="1"/>
  <c r="DU250" i="1" s="1"/>
  <c r="EW250" i="1"/>
  <c r="BJ236" i="1"/>
  <c r="W236" i="1"/>
  <c r="X236" i="1" s="1"/>
  <c r="AV236" i="1" s="1"/>
  <c r="BG238" i="1"/>
  <c r="T238" i="1"/>
  <c r="U238" i="1" s="1"/>
  <c r="AU238" i="1" s="1"/>
  <c r="ET233" i="1"/>
  <c r="DG233" i="1"/>
  <c r="DH233" i="1" s="1"/>
  <c r="DT233" i="1" s="1"/>
  <c r="CO231" i="1"/>
  <c r="CP231" i="1" s="1"/>
  <c r="DN231" i="1" s="1"/>
  <c r="EB231" i="1"/>
  <c r="DX236" i="1"/>
  <c r="DW236" i="1"/>
  <c r="W243" i="1"/>
  <c r="X243" i="1" s="1"/>
  <c r="AV243" i="1" s="1"/>
  <c r="BJ243" i="1"/>
  <c r="CL243" i="1"/>
  <c r="CM243" i="1" s="1"/>
  <c r="DM243" i="1" s="1"/>
  <c r="DY243" i="1"/>
  <c r="DV224" i="1"/>
  <c r="CI224" i="1"/>
  <c r="CJ224" i="1" s="1"/>
  <c r="DL224" i="1" s="1"/>
  <c r="BO245" i="1"/>
  <c r="BN245" i="1"/>
  <c r="CX233" i="1"/>
  <c r="CY233" i="1" s="1"/>
  <c r="DQ233" i="1" s="1"/>
  <c r="EK233" i="1"/>
  <c r="Q232" i="1"/>
  <c r="R232" i="1" s="1"/>
  <c r="AT232" i="1" s="1"/>
  <c r="BD232" i="1"/>
  <c r="EH225" i="1"/>
  <c r="CU225" i="1"/>
  <c r="CV225" i="1" s="1"/>
  <c r="DP225" i="1" s="1"/>
  <c r="AO260" i="1"/>
  <c r="AP260" i="1" s="1"/>
  <c r="BB260" i="1" s="1"/>
  <c r="CB260" i="1"/>
  <c r="DV260" i="1"/>
  <c r="CI260" i="1"/>
  <c r="CJ260" i="1" s="1"/>
  <c r="DL260" i="1" s="1"/>
  <c r="CE237" i="1"/>
  <c r="AR237" i="1"/>
  <c r="AS237" i="1" s="1"/>
  <c r="BC237" i="1" s="1"/>
  <c r="T229" i="1"/>
  <c r="U229" i="1" s="1"/>
  <c r="AU229" i="1" s="1"/>
  <c r="BG229" i="1"/>
  <c r="DA226" i="1"/>
  <c r="DB226" i="1" s="1"/>
  <c r="DR226" i="1" s="1"/>
  <c r="EN226" i="1"/>
  <c r="AF229" i="1"/>
  <c r="AG229" i="1" s="1"/>
  <c r="AY229" i="1" s="1"/>
  <c r="BS229" i="1"/>
  <c r="CB227" i="1"/>
  <c r="AO227" i="1"/>
  <c r="AP227" i="1" s="1"/>
  <c r="BB227" i="1" s="1"/>
  <c r="EC233" i="1"/>
  <c r="ED233" i="1"/>
  <c r="BZ232" i="1"/>
  <c r="CA232" i="1"/>
  <c r="EJ253" i="1"/>
  <c r="EI253" i="1"/>
  <c r="EV236" i="1"/>
  <c r="EU236" i="1"/>
  <c r="W228" i="1"/>
  <c r="X228" i="1" s="1"/>
  <c r="AV228" i="1" s="1"/>
  <c r="BJ228" i="1"/>
  <c r="EL230" i="1"/>
  <c r="EM230" i="1"/>
  <c r="DJ223" i="1"/>
  <c r="DK223" i="1" s="1"/>
  <c r="DU223" i="1" s="1"/>
  <c r="EW223" i="1"/>
  <c r="EN219" i="1"/>
  <c r="DA219" i="1"/>
  <c r="DB219" i="1" s="1"/>
  <c r="DR219" i="1" s="1"/>
  <c r="CX219" i="1"/>
  <c r="CY219" i="1" s="1"/>
  <c r="DQ219" i="1" s="1"/>
  <c r="EK219" i="1"/>
  <c r="Q213" i="1"/>
  <c r="R213" i="1" s="1"/>
  <c r="AT213" i="1" s="1"/>
  <c r="BD213" i="1"/>
  <c r="ET214" i="1"/>
  <c r="DG214" i="1"/>
  <c r="DH214" i="1" s="1"/>
  <c r="DT214" i="1" s="1"/>
  <c r="Z221" i="1"/>
  <c r="AA221" i="1" s="1"/>
  <c r="AW221" i="1" s="1"/>
  <c r="BM221" i="1"/>
  <c r="BJ217" i="1"/>
  <c r="W217" i="1"/>
  <c r="X217" i="1" s="1"/>
  <c r="AV217" i="1" s="1"/>
  <c r="EK220" i="1"/>
  <c r="CX220" i="1"/>
  <c r="CY220" i="1" s="1"/>
  <c r="DQ220" i="1" s="1"/>
  <c r="T220" i="1"/>
  <c r="U220" i="1" s="1"/>
  <c r="AU220" i="1" s="1"/>
  <c r="BG220" i="1"/>
  <c r="BV219" i="1"/>
  <c r="AI219" i="1"/>
  <c r="AJ219" i="1" s="1"/>
  <c r="AZ219" i="1" s="1"/>
  <c r="BY206" i="1"/>
  <c r="AL206" i="1"/>
  <c r="AM206" i="1" s="1"/>
  <c r="BA206" i="1" s="1"/>
  <c r="EM215" i="1"/>
  <c r="EL215" i="1"/>
  <c r="BD205" i="1"/>
  <c r="Q205" i="1"/>
  <c r="R205" i="1" s="1"/>
  <c r="AT205" i="1" s="1"/>
  <c r="W205" i="1"/>
  <c r="X205" i="1" s="1"/>
  <c r="AV205" i="1" s="1"/>
  <c r="BJ205" i="1"/>
  <c r="BP212" i="1"/>
  <c r="AC212" i="1"/>
  <c r="AD212" i="1" s="1"/>
  <c r="AX212" i="1" s="1"/>
  <c r="DY212" i="1"/>
  <c r="CL212" i="1"/>
  <c r="CM212" i="1" s="1"/>
  <c r="DM212" i="1" s="1"/>
  <c r="CR208" i="1"/>
  <c r="CS208" i="1" s="1"/>
  <c r="DO208" i="1" s="1"/>
  <c r="EE208" i="1"/>
  <c r="T207" i="1"/>
  <c r="U207" i="1" s="1"/>
  <c r="AU207" i="1" s="1"/>
  <c r="BG207" i="1"/>
  <c r="CB218" i="1"/>
  <c r="AO218" i="1"/>
  <c r="AP218" i="1" s="1"/>
  <c r="BB218" i="1" s="1"/>
  <c r="AL205" i="1"/>
  <c r="AM205" i="1" s="1"/>
  <c r="BA205" i="1" s="1"/>
  <c r="BY205" i="1"/>
  <c r="EQ194" i="1"/>
  <c r="DD194" i="1"/>
  <c r="DE194" i="1" s="1"/>
  <c r="DS194" i="1" s="1"/>
  <c r="EE197" i="1"/>
  <c r="CR197" i="1"/>
  <c r="CS197" i="1" s="1"/>
  <c r="DO197" i="1" s="1"/>
  <c r="EB190" i="1"/>
  <c r="CO190" i="1"/>
  <c r="CP190" i="1" s="1"/>
  <c r="DN190" i="1" s="1"/>
  <c r="DV172" i="1"/>
  <c r="CI172" i="1"/>
  <c r="CJ172" i="1" s="1"/>
  <c r="DL172" i="1" s="1"/>
  <c r="CX176" i="1"/>
  <c r="CY176" i="1" s="1"/>
  <c r="DQ176" i="1" s="1"/>
  <c r="EK176" i="1"/>
  <c r="AL167" i="1"/>
  <c r="AM167" i="1" s="1"/>
  <c r="BA167" i="1" s="1"/>
  <c r="BY167" i="1"/>
  <c r="AC199" i="1"/>
  <c r="AD199" i="1" s="1"/>
  <c r="AX199" i="1" s="1"/>
  <c r="BP199" i="1"/>
  <c r="AF179" i="1"/>
  <c r="AG179" i="1" s="1"/>
  <c r="AY179" i="1" s="1"/>
  <c r="BS179" i="1"/>
  <c r="CU198" i="1"/>
  <c r="CV198" i="1" s="1"/>
  <c r="DP198" i="1" s="1"/>
  <c r="EH198" i="1"/>
  <c r="AI198" i="1"/>
  <c r="AJ198" i="1" s="1"/>
  <c r="AZ198" i="1" s="1"/>
  <c r="BV198" i="1"/>
  <c r="AR188" i="1"/>
  <c r="AS188" i="1" s="1"/>
  <c r="BC188" i="1" s="1"/>
  <c r="CE188" i="1"/>
  <c r="AC177" i="1"/>
  <c r="AD177" i="1" s="1"/>
  <c r="AX177" i="1" s="1"/>
  <c r="BP177" i="1"/>
  <c r="CI189" i="1"/>
  <c r="CJ189" i="1" s="1"/>
  <c r="DL189" i="1" s="1"/>
  <c r="DV189" i="1"/>
  <c r="DY179" i="1"/>
  <c r="CL179" i="1"/>
  <c r="CM179" i="1" s="1"/>
  <c r="DM179" i="1" s="1"/>
  <c r="AO193" i="1"/>
  <c r="AP193" i="1" s="1"/>
  <c r="BB193" i="1" s="1"/>
  <c r="CB193" i="1"/>
  <c r="Z187" i="1"/>
  <c r="AA187" i="1" s="1"/>
  <c r="AW187" i="1" s="1"/>
  <c r="BM187" i="1"/>
  <c r="ET177" i="1"/>
  <c r="DG177" i="1"/>
  <c r="DH177" i="1" s="1"/>
  <c r="DT177" i="1" s="1"/>
  <c r="W193" i="1"/>
  <c r="X193" i="1" s="1"/>
  <c r="AV193" i="1" s="1"/>
  <c r="BJ193" i="1"/>
  <c r="EH179" i="1"/>
  <c r="CU179" i="1"/>
  <c r="CV179" i="1" s="1"/>
  <c r="DP179" i="1" s="1"/>
  <c r="CC199" i="1"/>
  <c r="CD199" i="1"/>
  <c r="DZ184" i="1"/>
  <c r="EA184" i="1"/>
  <c r="BP181" i="1"/>
  <c r="AC181" i="1"/>
  <c r="AD181" i="1" s="1"/>
  <c r="AX181" i="1" s="1"/>
  <c r="DD185" i="1"/>
  <c r="DE185" i="1" s="1"/>
  <c r="DS185" i="1" s="1"/>
  <c r="EQ185" i="1"/>
  <c r="DJ185" i="1"/>
  <c r="DK185" i="1" s="1"/>
  <c r="DU185" i="1" s="1"/>
  <c r="EW185" i="1"/>
  <c r="EB182" i="1"/>
  <c r="CO182" i="1"/>
  <c r="CP182" i="1" s="1"/>
  <c r="DN182" i="1" s="1"/>
  <c r="BG163" i="1"/>
  <c r="T163" i="1"/>
  <c r="U163" i="1" s="1"/>
  <c r="AU163" i="1" s="1"/>
  <c r="EE174" i="1"/>
  <c r="CR174" i="1"/>
  <c r="CS174" i="1" s="1"/>
  <c r="DO174" i="1" s="1"/>
  <c r="CB192" i="1"/>
  <c r="AO192" i="1"/>
  <c r="AP192" i="1" s="1"/>
  <c r="BB192" i="1" s="1"/>
  <c r="CX191" i="1"/>
  <c r="CY191" i="1" s="1"/>
  <c r="DQ191" i="1" s="1"/>
  <c r="EK191" i="1"/>
  <c r="BX186" i="1"/>
  <c r="BW186" i="1"/>
  <c r="AR166" i="1"/>
  <c r="AS166" i="1" s="1"/>
  <c r="BC166" i="1" s="1"/>
  <c r="CE166" i="1"/>
  <c r="DV151" i="1"/>
  <c r="CI151" i="1"/>
  <c r="CJ151" i="1" s="1"/>
  <c r="DL151" i="1" s="1"/>
  <c r="EH178" i="1"/>
  <c r="CU178" i="1"/>
  <c r="CV178" i="1" s="1"/>
  <c r="DP178" i="1" s="1"/>
  <c r="EB178" i="1"/>
  <c r="CO178" i="1"/>
  <c r="CP178" i="1" s="1"/>
  <c r="DN178" i="1" s="1"/>
  <c r="CI152" i="1"/>
  <c r="CJ152" i="1" s="1"/>
  <c r="DL152" i="1" s="1"/>
  <c r="DV152" i="1"/>
  <c r="BV158" i="1"/>
  <c r="AI158" i="1"/>
  <c r="AJ158" i="1" s="1"/>
  <c r="AZ158" i="1" s="1"/>
  <c r="Z152" i="1"/>
  <c r="AA152" i="1" s="1"/>
  <c r="AW152" i="1" s="1"/>
  <c r="BM152" i="1"/>
  <c r="EK171" i="1"/>
  <c r="CX171" i="1"/>
  <c r="CY171" i="1" s="1"/>
  <c r="DQ171" i="1" s="1"/>
  <c r="EH165" i="1"/>
  <c r="CU165" i="1"/>
  <c r="CV165" i="1" s="1"/>
  <c r="DP165" i="1" s="1"/>
  <c r="CR161" i="1"/>
  <c r="CS161" i="1" s="1"/>
  <c r="DO161" i="1" s="1"/>
  <c r="EE161" i="1"/>
  <c r="EH155" i="1"/>
  <c r="CU155" i="1"/>
  <c r="CV155" i="1" s="1"/>
  <c r="DP155" i="1" s="1"/>
  <c r="DA162" i="1"/>
  <c r="DB162" i="1" s="1"/>
  <c r="DR162" i="1" s="1"/>
  <c r="EN162" i="1"/>
  <c r="EN164" i="1"/>
  <c r="DA164" i="1"/>
  <c r="DB164" i="1" s="1"/>
  <c r="DR164" i="1" s="1"/>
  <c r="BD158" i="1"/>
  <c r="Q158" i="1"/>
  <c r="R158" i="1" s="1"/>
  <c r="AT158" i="1" s="1"/>
  <c r="ET156" i="1"/>
  <c r="DG156" i="1"/>
  <c r="DH156" i="1" s="1"/>
  <c r="DT156" i="1" s="1"/>
  <c r="EE146" i="1"/>
  <c r="CR146" i="1"/>
  <c r="CS146" i="1" s="1"/>
  <c r="DO146" i="1" s="1"/>
  <c r="CX156" i="1"/>
  <c r="CY156" i="1" s="1"/>
  <c r="DQ156" i="1" s="1"/>
  <c r="EK156" i="1"/>
  <c r="DA146" i="1"/>
  <c r="DB146" i="1" s="1"/>
  <c r="DR146" i="1" s="1"/>
  <c r="EN146" i="1"/>
  <c r="AC159" i="1"/>
  <c r="AD159" i="1" s="1"/>
  <c r="AX159" i="1" s="1"/>
  <c r="BP159" i="1"/>
  <c r="CL159" i="1"/>
  <c r="CM159" i="1" s="1"/>
  <c r="DM159" i="1" s="1"/>
  <c r="DY159" i="1"/>
  <c r="ES159" i="1"/>
  <c r="ER159" i="1"/>
  <c r="ET150" i="1"/>
  <c r="DG150" i="1"/>
  <c r="DH150" i="1" s="1"/>
  <c r="DT150" i="1" s="1"/>
  <c r="BD149" i="1"/>
  <c r="Q149" i="1"/>
  <c r="R149" i="1" s="1"/>
  <c r="AT149" i="1" s="1"/>
  <c r="DV143" i="1"/>
  <c r="CI143" i="1"/>
  <c r="CJ143" i="1" s="1"/>
  <c r="DL143" i="1" s="1"/>
  <c r="EK128" i="1"/>
  <c r="CX128" i="1"/>
  <c r="CY128" i="1" s="1"/>
  <c r="DQ128" i="1" s="1"/>
  <c r="AI141" i="1"/>
  <c r="AJ141" i="1" s="1"/>
  <c r="AZ141" i="1" s="1"/>
  <c r="BV141" i="1"/>
  <c r="CR138" i="1"/>
  <c r="CS138" i="1" s="1"/>
  <c r="DO138" i="1" s="1"/>
  <c r="EE138" i="1"/>
  <c r="AO128" i="1"/>
  <c r="AP128" i="1" s="1"/>
  <c r="BB128" i="1" s="1"/>
  <c r="CB128" i="1"/>
  <c r="ED176" i="1"/>
  <c r="EC176" i="1"/>
  <c r="AI154" i="1"/>
  <c r="AJ154" i="1" s="1"/>
  <c r="AZ154" i="1" s="1"/>
  <c r="BV154" i="1"/>
  <c r="CL135" i="1"/>
  <c r="CM135" i="1" s="1"/>
  <c r="DM135" i="1" s="1"/>
  <c r="DY135" i="1"/>
  <c r="DJ130" i="1"/>
  <c r="DK130" i="1" s="1"/>
  <c r="DU130" i="1" s="1"/>
  <c r="EW130" i="1"/>
  <c r="AC130" i="1"/>
  <c r="AD130" i="1" s="1"/>
  <c r="AX130" i="1" s="1"/>
  <c r="BP130" i="1"/>
  <c r="EP158" i="1"/>
  <c r="EO158" i="1"/>
  <c r="BX146" i="1"/>
  <c r="BW146" i="1"/>
  <c r="ET129" i="1"/>
  <c r="DG129" i="1"/>
  <c r="DH129" i="1" s="1"/>
  <c r="DT129" i="1" s="1"/>
  <c r="CE122" i="1"/>
  <c r="AR122" i="1"/>
  <c r="AS122" i="1" s="1"/>
  <c r="BC122" i="1" s="1"/>
  <c r="DV130" i="1"/>
  <c r="CI130" i="1"/>
  <c r="CJ130" i="1" s="1"/>
  <c r="DL130" i="1" s="1"/>
  <c r="BJ128" i="1"/>
  <c r="W128" i="1"/>
  <c r="X128" i="1" s="1"/>
  <c r="AV128" i="1" s="1"/>
  <c r="CI115" i="1"/>
  <c r="CJ115" i="1" s="1"/>
  <c r="DL115" i="1" s="1"/>
  <c r="DV115" i="1"/>
  <c r="EB128" i="1"/>
  <c r="CO128" i="1"/>
  <c r="CP128" i="1" s="1"/>
  <c r="DN128" i="1" s="1"/>
  <c r="EK116" i="1"/>
  <c r="CX116" i="1"/>
  <c r="CY116" i="1" s="1"/>
  <c r="DQ116" i="1" s="1"/>
  <c r="CX112" i="1"/>
  <c r="CY112" i="1" s="1"/>
  <c r="DQ112" i="1" s="1"/>
  <c r="EK112" i="1"/>
  <c r="BW126" i="1"/>
  <c r="BX126" i="1"/>
  <c r="CL136" i="1"/>
  <c r="CM136" i="1" s="1"/>
  <c r="DM136" i="1" s="1"/>
  <c r="DY136" i="1"/>
  <c r="BS117" i="1"/>
  <c r="AF117" i="1"/>
  <c r="AG117" i="1" s="1"/>
  <c r="AY117" i="1" s="1"/>
  <c r="EH107" i="1"/>
  <c r="CU107" i="1"/>
  <c r="CV107" i="1" s="1"/>
  <c r="DP107" i="1" s="1"/>
  <c r="DY116" i="1"/>
  <c r="CL116" i="1"/>
  <c r="CM116" i="1" s="1"/>
  <c r="DM116" i="1" s="1"/>
  <c r="ES135" i="1"/>
  <c r="ER135" i="1"/>
  <c r="W124" i="1"/>
  <c r="X124" i="1" s="1"/>
  <c r="AV124" i="1" s="1"/>
  <c r="BJ124" i="1"/>
  <c r="W123" i="1"/>
  <c r="X123" i="1" s="1"/>
  <c r="AV123" i="1" s="1"/>
  <c r="BJ123" i="1"/>
  <c r="DJ113" i="1"/>
  <c r="DK113" i="1" s="1"/>
  <c r="DU113" i="1" s="1"/>
  <c r="EW113" i="1"/>
  <c r="Z111" i="1"/>
  <c r="AA111" i="1" s="1"/>
  <c r="AW111" i="1" s="1"/>
  <c r="BM111" i="1"/>
  <c r="CI100" i="1"/>
  <c r="CJ100" i="1" s="1"/>
  <c r="DL100" i="1" s="1"/>
  <c r="DV100" i="1"/>
  <c r="BD119" i="1"/>
  <c r="Q119" i="1"/>
  <c r="R119" i="1" s="1"/>
  <c r="AT119" i="1" s="1"/>
  <c r="EX116" i="1"/>
  <c r="EY116" i="1"/>
  <c r="DA148" i="1"/>
  <c r="DB148" i="1" s="1"/>
  <c r="DR148" i="1" s="1"/>
  <c r="EN148" i="1"/>
  <c r="AC148" i="1"/>
  <c r="AD148" i="1" s="1"/>
  <c r="AX148" i="1" s="1"/>
  <c r="BP148" i="1"/>
  <c r="EO124" i="1"/>
  <c r="EP124" i="1"/>
  <c r="AC111" i="1"/>
  <c r="AD111" i="1" s="1"/>
  <c r="AX111" i="1" s="1"/>
  <c r="BP111" i="1"/>
  <c r="DY94" i="1"/>
  <c r="CL94" i="1"/>
  <c r="CM94" i="1" s="1"/>
  <c r="DM94" i="1" s="1"/>
  <c r="EK90" i="1"/>
  <c r="CX90" i="1"/>
  <c r="CY90" i="1" s="1"/>
  <c r="DQ90" i="1" s="1"/>
  <c r="ET114" i="1"/>
  <c r="DG114" i="1"/>
  <c r="DH114" i="1" s="1"/>
  <c r="DT114" i="1" s="1"/>
  <c r="EN111" i="1"/>
  <c r="DA111" i="1"/>
  <c r="DB111" i="1" s="1"/>
  <c r="DR111" i="1" s="1"/>
  <c r="T121" i="1"/>
  <c r="U121" i="1" s="1"/>
  <c r="AU121" i="1" s="1"/>
  <c r="BG121" i="1"/>
  <c r="EH95" i="1"/>
  <c r="CU95" i="1"/>
  <c r="CV95" i="1" s="1"/>
  <c r="DP95" i="1" s="1"/>
  <c r="EH119" i="1"/>
  <c r="CU119" i="1"/>
  <c r="CV119" i="1" s="1"/>
  <c r="DP119" i="1" s="1"/>
  <c r="EQ104" i="1"/>
  <c r="DD104" i="1"/>
  <c r="DE104" i="1" s="1"/>
  <c r="DS104" i="1" s="1"/>
  <c r="DV96" i="1"/>
  <c r="CI96" i="1"/>
  <c r="CJ96" i="1" s="1"/>
  <c r="DL96" i="1" s="1"/>
  <c r="BR121" i="1"/>
  <c r="BQ121" i="1"/>
  <c r="AO106" i="1"/>
  <c r="AP106" i="1" s="1"/>
  <c r="BB106" i="1" s="1"/>
  <c r="CB106" i="1"/>
  <c r="BD93" i="1"/>
  <c r="Q93" i="1"/>
  <c r="R93" i="1" s="1"/>
  <c r="AT93" i="1" s="1"/>
  <c r="EP99" i="1"/>
  <c r="EO99" i="1"/>
  <c r="W88" i="1"/>
  <c r="X88" i="1" s="1"/>
  <c r="AV88" i="1" s="1"/>
  <c r="BJ88" i="1"/>
  <c r="AO72" i="1"/>
  <c r="AP72" i="1" s="1"/>
  <c r="BB72" i="1" s="1"/>
  <c r="CB72" i="1"/>
  <c r="CU65" i="1"/>
  <c r="CV65" i="1" s="1"/>
  <c r="DP65" i="1" s="1"/>
  <c r="EH65" i="1"/>
  <c r="AF81" i="1"/>
  <c r="AG81" i="1" s="1"/>
  <c r="AY81" i="1" s="1"/>
  <c r="BS81" i="1"/>
  <c r="BJ109" i="1"/>
  <c r="W109" i="1"/>
  <c r="X109" i="1" s="1"/>
  <c r="AV109" i="1" s="1"/>
  <c r="EN109" i="1"/>
  <c r="DA109" i="1"/>
  <c r="DB109" i="1" s="1"/>
  <c r="DR109" i="1" s="1"/>
  <c r="BP98" i="1"/>
  <c r="AC98" i="1"/>
  <c r="AD98" i="1" s="1"/>
  <c r="AX98" i="1" s="1"/>
  <c r="BY98" i="1"/>
  <c r="AL98" i="1"/>
  <c r="AM98" i="1" s="1"/>
  <c r="BA98" i="1" s="1"/>
  <c r="EB97" i="1"/>
  <c r="CO97" i="1"/>
  <c r="CP97" i="1" s="1"/>
  <c r="DN97" i="1" s="1"/>
  <c r="DJ88" i="1"/>
  <c r="DK88" i="1" s="1"/>
  <c r="DU88" i="1" s="1"/>
  <c r="EW88" i="1"/>
  <c r="EW81" i="1"/>
  <c r="DJ81" i="1"/>
  <c r="DK81" i="1" s="1"/>
  <c r="DU81" i="1" s="1"/>
  <c r="BY72" i="1"/>
  <c r="AL72" i="1"/>
  <c r="AM72" i="1" s="1"/>
  <c r="BA72" i="1" s="1"/>
  <c r="BD89" i="1"/>
  <c r="Q89" i="1"/>
  <c r="R89" i="1" s="1"/>
  <c r="AT89" i="1" s="1"/>
  <c r="DV88" i="1"/>
  <c r="CI88" i="1"/>
  <c r="CJ88" i="1" s="1"/>
  <c r="DL88" i="1" s="1"/>
  <c r="BD81" i="1"/>
  <c r="Q81" i="1"/>
  <c r="R81" i="1" s="1"/>
  <c r="AT81" i="1" s="1"/>
  <c r="EC124" i="1"/>
  <c r="ED124" i="1"/>
  <c r="EM96" i="1"/>
  <c r="EL96" i="1"/>
  <c r="DV76" i="1"/>
  <c r="CI76" i="1"/>
  <c r="CJ76" i="1" s="1"/>
  <c r="DL76" i="1" s="1"/>
  <c r="CE71" i="1"/>
  <c r="AR71" i="1"/>
  <c r="AS71" i="1" s="1"/>
  <c r="BC71" i="1" s="1"/>
  <c r="AR77" i="1"/>
  <c r="AS77" i="1" s="1"/>
  <c r="BC77" i="1" s="1"/>
  <c r="CE77" i="1"/>
  <c r="EN63" i="1"/>
  <c r="DA63" i="1"/>
  <c r="DB63" i="1" s="1"/>
  <c r="DR63" i="1" s="1"/>
  <c r="W61" i="1"/>
  <c r="X61" i="1" s="1"/>
  <c r="AV61" i="1" s="1"/>
  <c r="BJ61" i="1"/>
  <c r="AL108" i="1"/>
  <c r="AM108" i="1" s="1"/>
  <c r="BA108" i="1" s="1"/>
  <c r="BY108" i="1"/>
  <c r="BG108" i="1"/>
  <c r="T108" i="1"/>
  <c r="U108" i="1" s="1"/>
  <c r="AU108" i="1" s="1"/>
  <c r="BY75" i="1"/>
  <c r="AL75" i="1"/>
  <c r="AM75" i="1" s="1"/>
  <c r="BA75" i="1" s="1"/>
  <c r="EN75" i="1"/>
  <c r="DA75" i="1"/>
  <c r="DB75" i="1" s="1"/>
  <c r="DR75" i="1" s="1"/>
  <c r="CB68" i="1"/>
  <c r="AO68" i="1"/>
  <c r="AP68" i="1" s="1"/>
  <c r="BB68" i="1" s="1"/>
  <c r="BS67" i="1"/>
  <c r="AF67" i="1"/>
  <c r="AG67" i="1" s="1"/>
  <c r="AY67" i="1" s="1"/>
  <c r="EE86" i="1"/>
  <c r="CR86" i="1"/>
  <c r="CS86" i="1" s="1"/>
  <c r="DO86" i="1" s="1"/>
  <c r="Q86" i="1"/>
  <c r="R86" i="1" s="1"/>
  <c r="AT86" i="1" s="1"/>
  <c r="BD86" i="1"/>
  <c r="W80" i="1"/>
  <c r="X80" i="1" s="1"/>
  <c r="AV80" i="1" s="1"/>
  <c r="BJ80" i="1"/>
  <c r="AR82" i="1"/>
  <c r="AS82" i="1" s="1"/>
  <c r="BC82" i="1" s="1"/>
  <c r="CE82" i="1"/>
  <c r="Z62" i="1"/>
  <c r="AA62" i="1" s="1"/>
  <c r="AW62" i="1" s="1"/>
  <c r="BM62" i="1"/>
  <c r="CB80" i="1"/>
  <c r="AO80" i="1"/>
  <c r="AP80" i="1" s="1"/>
  <c r="BB80" i="1" s="1"/>
  <c r="CA76" i="1"/>
  <c r="BZ76" i="1"/>
  <c r="EP64" i="1"/>
  <c r="EO64" i="1"/>
  <c r="EM84" i="1"/>
  <c r="EL84" i="1"/>
  <c r="EG83" i="1"/>
  <c r="EF83" i="1"/>
  <c r="BT62" i="1"/>
  <c r="BU62" i="1"/>
  <c r="CC63" i="1"/>
  <c r="CD63" i="1"/>
  <c r="W59" i="1"/>
  <c r="X59" i="1" s="1"/>
  <c r="AV59" i="1" s="1"/>
  <c r="BJ59" i="1"/>
  <c r="BD51" i="1"/>
  <c r="Q51" i="1"/>
  <c r="R51" i="1" s="1"/>
  <c r="AT51" i="1" s="1"/>
  <c r="CI19" i="1"/>
  <c r="CJ19" i="1" s="1"/>
  <c r="DL19" i="1" s="1"/>
  <c r="DV19" i="1"/>
  <c r="BR67" i="1"/>
  <c r="BQ67" i="1"/>
  <c r="EE50" i="1"/>
  <c r="CR50" i="1"/>
  <c r="CS50" i="1" s="1"/>
  <c r="DO50" i="1" s="1"/>
  <c r="AC42" i="1"/>
  <c r="AD42" i="1" s="1"/>
  <c r="AX42" i="1" s="1"/>
  <c r="BP42" i="1"/>
  <c r="BM52" i="1"/>
  <c r="Z52" i="1"/>
  <c r="AA52" i="1" s="1"/>
  <c r="AW52" i="1" s="1"/>
  <c r="EB51" i="1"/>
  <c r="CO51" i="1"/>
  <c r="CP51" i="1" s="1"/>
  <c r="DN51" i="1" s="1"/>
  <c r="AC43" i="1"/>
  <c r="AD43" i="1" s="1"/>
  <c r="AX43" i="1" s="1"/>
  <c r="BP43" i="1"/>
  <c r="AL37" i="1"/>
  <c r="AM37" i="1" s="1"/>
  <c r="BA37" i="1" s="1"/>
  <c r="BY37" i="1"/>
  <c r="BU73" i="1"/>
  <c r="BT73" i="1"/>
  <c r="EH54" i="1"/>
  <c r="CU54" i="1"/>
  <c r="CV54" i="1" s="1"/>
  <c r="DP54" i="1" s="1"/>
  <c r="BJ54" i="1"/>
  <c r="W54" i="1"/>
  <c r="X54" i="1" s="1"/>
  <c r="AV54" i="1" s="1"/>
  <c r="EK85" i="1"/>
  <c r="CX85" i="1"/>
  <c r="CY85" i="1" s="1"/>
  <c r="DQ85" i="1" s="1"/>
  <c r="CB85" i="1"/>
  <c r="AO85" i="1"/>
  <c r="AP85" i="1" s="1"/>
  <c r="BB85" i="1" s="1"/>
  <c r="CF62" i="1"/>
  <c r="CG62" i="1"/>
  <c r="DA57" i="1"/>
  <c r="DB57" i="1" s="1"/>
  <c r="DR57" i="1" s="1"/>
  <c r="EN57" i="1"/>
  <c r="BG48" i="1"/>
  <c r="T48" i="1"/>
  <c r="U48" i="1" s="1"/>
  <c r="AU48" i="1" s="1"/>
  <c r="ER51" i="1"/>
  <c r="ES51" i="1"/>
  <c r="BG59" i="1"/>
  <c r="T59" i="1"/>
  <c r="U59" i="1" s="1"/>
  <c r="AU59" i="1" s="1"/>
  <c r="AR38" i="1"/>
  <c r="AS38" i="1" s="1"/>
  <c r="BC38" i="1" s="1"/>
  <c r="CE38" i="1"/>
  <c r="AL32" i="1"/>
  <c r="AM32" i="1" s="1"/>
  <c r="BA32" i="1" s="1"/>
  <c r="BY32" i="1"/>
  <c r="CC62" i="1"/>
  <c r="CD62" i="1"/>
  <c r="BU46" i="1"/>
  <c r="BT46" i="1"/>
  <c r="BJ28" i="1"/>
  <c r="W28" i="1"/>
  <c r="X28" i="1" s="1"/>
  <c r="AV28" i="1" s="1"/>
  <c r="BD13" i="1"/>
  <c r="Q13" i="1"/>
  <c r="R13" i="1" s="1"/>
  <c r="AT13" i="1" s="1"/>
  <c r="CE44" i="1"/>
  <c r="AR44" i="1"/>
  <c r="AS44" i="1" s="1"/>
  <c r="BC44" i="1" s="1"/>
  <c r="CO31" i="1"/>
  <c r="CP31" i="1" s="1"/>
  <c r="DN31" i="1" s="1"/>
  <c r="EB31" i="1"/>
  <c r="CL18" i="1"/>
  <c r="CM18" i="1" s="1"/>
  <c r="DM18" i="1" s="1"/>
  <c r="DY18" i="1"/>
  <c r="ET55" i="1"/>
  <c r="DG55" i="1"/>
  <c r="DH55" i="1" s="1"/>
  <c r="DT55" i="1" s="1"/>
  <c r="T46" i="1"/>
  <c r="U46" i="1" s="1"/>
  <c r="AU46" i="1" s="1"/>
  <c r="BG46" i="1"/>
  <c r="EE22" i="1"/>
  <c r="CR22" i="1"/>
  <c r="CS22" i="1" s="1"/>
  <c r="DO22" i="1" s="1"/>
  <c r="BY18" i="1"/>
  <c r="AL18" i="1"/>
  <c r="AM18" i="1" s="1"/>
  <c r="BA18" i="1" s="1"/>
  <c r="BS7" i="1"/>
  <c r="AF7" i="1"/>
  <c r="AG7" i="1" s="1"/>
  <c r="AY7" i="1" s="1"/>
  <c r="AM66" i="1"/>
  <c r="BK37" i="1"/>
  <c r="BL37" i="1"/>
  <c r="AR21" i="1"/>
  <c r="AS21" i="1" s="1"/>
  <c r="BC21" i="1" s="1"/>
  <c r="CE21" i="1"/>
  <c r="AI55" i="1"/>
  <c r="AJ55" i="1" s="1"/>
  <c r="AZ55" i="1" s="1"/>
  <c r="BV55" i="1"/>
  <c r="DY55" i="1"/>
  <c r="CL55" i="1"/>
  <c r="CM55" i="1" s="1"/>
  <c r="DM55" i="1" s="1"/>
  <c r="DY26" i="1"/>
  <c r="CL26" i="1"/>
  <c r="CM26" i="1" s="1"/>
  <c r="DM26" i="1" s="1"/>
  <c r="DY7" i="1"/>
  <c r="CL7" i="1"/>
  <c r="CM7" i="1" s="1"/>
  <c r="DM7" i="1" s="1"/>
  <c r="BG24" i="1"/>
  <c r="T24" i="1"/>
  <c r="U24" i="1" s="1"/>
  <c r="AU24" i="1" s="1"/>
  <c r="DV26" i="1"/>
  <c r="CI26" i="1"/>
  <c r="CJ26" i="1" s="1"/>
  <c r="DL26" i="1" s="1"/>
  <c r="EN13" i="1"/>
  <c r="DA13" i="1"/>
  <c r="DB13" i="1" s="1"/>
  <c r="DR13" i="1" s="1"/>
  <c r="DV7" i="1"/>
  <c r="CI7" i="1"/>
  <c r="CJ7" i="1" s="1"/>
  <c r="DL7" i="1" s="1"/>
  <c r="BQ26" i="1"/>
  <c r="BR26" i="1"/>
  <c r="EM47" i="1"/>
  <c r="EL47" i="1"/>
  <c r="DG34" i="1"/>
  <c r="DH34" i="1" s="1"/>
  <c r="DT34" i="1" s="1"/>
  <c r="ET34" i="1"/>
  <c r="AI34" i="1"/>
  <c r="AJ34" i="1" s="1"/>
  <c r="AZ34" i="1" s="1"/>
  <c r="BV34" i="1"/>
  <c r="EE8" i="1"/>
  <c r="CR8" i="1"/>
  <c r="CS8" i="1" s="1"/>
  <c r="DO8" i="1" s="1"/>
  <c r="EW10" i="1"/>
  <c r="DJ10" i="1"/>
  <c r="DK10" i="1" s="1"/>
  <c r="DU10" i="1" s="1"/>
  <c r="BG9" i="1"/>
  <c r="T9" i="1"/>
  <c r="U9" i="1" s="1"/>
  <c r="AU9" i="1" s="1"/>
  <c r="EY31" i="1"/>
  <c r="EX31" i="1"/>
  <c r="AO2" i="1"/>
  <c r="CB2" i="1"/>
  <c r="CR15" i="1"/>
  <c r="CS15" i="1" s="1"/>
  <c r="DO15" i="1" s="1"/>
  <c r="EE15" i="1"/>
  <c r="CC4" i="1"/>
  <c r="CD4" i="1"/>
  <c r="BI8" i="1"/>
  <c r="BH8" i="1"/>
  <c r="ES48" i="1"/>
  <c r="ER48" i="1"/>
  <c r="EU29" i="1"/>
  <c r="EV29" i="1"/>
  <c r="Q35" i="1"/>
  <c r="R35" i="1" s="1"/>
  <c r="AT35" i="1" s="1"/>
  <c r="BD35" i="1"/>
  <c r="CL23" i="1"/>
  <c r="CM23" i="1" s="1"/>
  <c r="DM23" i="1" s="1"/>
  <c r="DY23" i="1"/>
  <c r="CB6" i="1"/>
  <c r="AO6" i="1"/>
  <c r="AP6" i="1" s="1"/>
  <c r="BB6" i="1" s="1"/>
  <c r="BU10" i="1"/>
  <c r="BT10" i="1"/>
  <c r="DX265" i="1"/>
  <c r="DW265" i="1"/>
  <c r="CB262" i="1"/>
  <c r="AO262" i="1"/>
  <c r="AP262" i="1" s="1"/>
  <c r="BB262" i="1" s="1"/>
  <c r="AI264" i="1"/>
  <c r="AJ264" i="1" s="1"/>
  <c r="AZ264" i="1" s="1"/>
  <c r="BV264" i="1"/>
  <c r="AC249" i="1"/>
  <c r="AD249" i="1" s="1"/>
  <c r="AX249" i="1" s="1"/>
  <c r="BP249" i="1"/>
  <c r="BV240" i="1"/>
  <c r="AI240" i="1"/>
  <c r="AJ240" i="1" s="1"/>
  <c r="AZ240" i="1" s="1"/>
  <c r="EQ250" i="1"/>
  <c r="DD250" i="1"/>
  <c r="DE250" i="1" s="1"/>
  <c r="DS250" i="1" s="1"/>
  <c r="EY234" i="1"/>
  <c r="EX234" i="1"/>
  <c r="CO230" i="1"/>
  <c r="CP230" i="1" s="1"/>
  <c r="DN230" i="1" s="1"/>
  <c r="EB230" i="1"/>
  <c r="CE228" i="1"/>
  <c r="AR228" i="1"/>
  <c r="AS228" i="1" s="1"/>
  <c r="BC228" i="1" s="1"/>
  <c r="AF214" i="1"/>
  <c r="AG214" i="1" s="1"/>
  <c r="AY214" i="1" s="1"/>
  <c r="BS214" i="1"/>
  <c r="BP220" i="1"/>
  <c r="AC220" i="1"/>
  <c r="AD220" i="1" s="1"/>
  <c r="AX220" i="1" s="1"/>
  <c r="AR217" i="1"/>
  <c r="AS217" i="1" s="1"/>
  <c r="BC217" i="1" s="1"/>
  <c r="CE217" i="1"/>
  <c r="DG202" i="1"/>
  <c r="DH202" i="1" s="1"/>
  <c r="DT202" i="1" s="1"/>
  <c r="ET202" i="1"/>
  <c r="W212" i="1"/>
  <c r="X212" i="1" s="1"/>
  <c r="AV212" i="1" s="1"/>
  <c r="BJ212" i="1"/>
  <c r="EG210" i="1"/>
  <c r="EF210" i="1"/>
  <c r="EV206" i="1"/>
  <c r="EU206" i="1"/>
  <c r="CB179" i="1"/>
  <c r="AO179" i="1"/>
  <c r="AP179" i="1" s="1"/>
  <c r="BB179" i="1" s="1"/>
  <c r="EE181" i="1"/>
  <c r="CR181" i="1"/>
  <c r="CS181" i="1" s="1"/>
  <c r="DO181" i="1" s="1"/>
  <c r="BY192" i="1"/>
  <c r="AL192" i="1"/>
  <c r="AM192" i="1" s="1"/>
  <c r="BA192" i="1" s="1"/>
  <c r="EE191" i="1"/>
  <c r="CR191" i="1"/>
  <c r="CS191" i="1" s="1"/>
  <c r="DO191" i="1" s="1"/>
  <c r="DY155" i="1"/>
  <c r="CL155" i="1"/>
  <c r="CM155" i="1" s="1"/>
  <c r="DM155" i="1" s="1"/>
  <c r="BJ139" i="1"/>
  <c r="W139" i="1"/>
  <c r="X139" i="1" s="1"/>
  <c r="AV139" i="1" s="1"/>
  <c r="EN154" i="1"/>
  <c r="DA154" i="1"/>
  <c r="DB154" i="1" s="1"/>
  <c r="DR154" i="1" s="1"/>
  <c r="DV135" i="1"/>
  <c r="CI135" i="1"/>
  <c r="CJ135" i="1" s="1"/>
  <c r="DL135" i="1" s="1"/>
  <c r="DV113" i="1"/>
  <c r="CI113" i="1"/>
  <c r="CJ113" i="1" s="1"/>
  <c r="DL113" i="1" s="1"/>
  <c r="BJ99" i="1"/>
  <c r="W99" i="1"/>
  <c r="X99" i="1" s="1"/>
  <c r="AV99" i="1" s="1"/>
  <c r="DV94" i="1"/>
  <c r="CI94" i="1"/>
  <c r="CJ94" i="1" s="1"/>
  <c r="DL94" i="1" s="1"/>
  <c r="CE83" i="1"/>
  <c r="AR83" i="1"/>
  <c r="AS83" i="1" s="1"/>
  <c r="BC83" i="1" s="1"/>
  <c r="Q106" i="1"/>
  <c r="R106" i="1" s="1"/>
  <c r="AT106" i="1" s="1"/>
  <c r="BD106" i="1"/>
  <c r="CI69" i="1"/>
  <c r="CJ69" i="1" s="1"/>
  <c r="DL69" i="1" s="1"/>
  <c r="DV69" i="1"/>
  <c r="BR95" i="1"/>
  <c r="BQ95" i="1"/>
  <c r="DV73" i="1"/>
  <c r="CI73" i="1"/>
  <c r="CJ73" i="1" s="1"/>
  <c r="DL73" i="1" s="1"/>
  <c r="BT110" i="1"/>
  <c r="BU110" i="1"/>
  <c r="BJ74" i="1"/>
  <c r="W74" i="1"/>
  <c r="X74" i="1" s="1"/>
  <c r="AV74" i="1" s="1"/>
  <c r="EW108" i="1"/>
  <c r="DJ108" i="1"/>
  <c r="DK108" i="1" s="1"/>
  <c r="DU108" i="1" s="1"/>
  <c r="BV86" i="1"/>
  <c r="AI86" i="1"/>
  <c r="AJ86" i="1" s="1"/>
  <c r="AZ86" i="1" s="1"/>
  <c r="CO82" i="1"/>
  <c r="CP82" i="1" s="1"/>
  <c r="DN82" i="1" s="1"/>
  <c r="EB82" i="1"/>
  <c r="BD59" i="1"/>
  <c r="Q59" i="1"/>
  <c r="R59" i="1" s="1"/>
  <c r="AT59" i="1" s="1"/>
  <c r="BR62" i="1"/>
  <c r="BQ62" i="1"/>
  <c r="DJ49" i="1"/>
  <c r="DK49" i="1" s="1"/>
  <c r="DU49" i="1" s="1"/>
  <c r="EW49" i="1"/>
  <c r="CL44" i="1"/>
  <c r="CM44" i="1" s="1"/>
  <c r="DM44" i="1" s="1"/>
  <c r="DY44" i="1"/>
  <c r="EN30" i="1"/>
  <c r="DA30" i="1"/>
  <c r="DB30" i="1" s="1"/>
  <c r="DR30" i="1" s="1"/>
  <c r="EY57" i="1"/>
  <c r="EX57" i="1"/>
  <c r="BJ12" i="1"/>
  <c r="W12" i="1"/>
  <c r="X12" i="1" s="1"/>
  <c r="AV12" i="1" s="1"/>
  <c r="EA42" i="1"/>
  <c r="DZ42" i="1"/>
  <c r="DV30" i="1"/>
  <c r="CI30" i="1"/>
  <c r="CJ30" i="1" s="1"/>
  <c r="DL30" i="1" s="1"/>
  <c r="T3" i="1"/>
  <c r="BG3" i="1"/>
  <c r="BN28" i="1"/>
  <c r="BO28" i="1"/>
  <c r="EP23" i="1"/>
  <c r="EO23" i="1"/>
  <c r="BI32" i="1"/>
  <c r="BH32" i="1"/>
  <c r="BN270" i="1"/>
  <c r="BO270" i="1"/>
  <c r="BM259" i="1"/>
  <c r="Z259" i="1"/>
  <c r="AA259" i="1" s="1"/>
  <c r="AW259" i="1" s="1"/>
  <c r="CU245" i="1"/>
  <c r="CV245" i="1" s="1"/>
  <c r="DP245" i="1" s="1"/>
  <c r="EH245" i="1"/>
  <c r="EW236" i="1"/>
  <c r="DJ236" i="1"/>
  <c r="DK236" i="1" s="1"/>
  <c r="DU236" i="1" s="1"/>
  <c r="AC243" i="1"/>
  <c r="AD243" i="1" s="1"/>
  <c r="AX243" i="1" s="1"/>
  <c r="BP243" i="1"/>
  <c r="BY228" i="1"/>
  <c r="AL228" i="1"/>
  <c r="AM228" i="1" s="1"/>
  <c r="BA228" i="1" s="1"/>
  <c r="EH195" i="1"/>
  <c r="CU195" i="1"/>
  <c r="CV195" i="1" s="1"/>
  <c r="DP195" i="1" s="1"/>
  <c r="EN184" i="1"/>
  <c r="DA184" i="1"/>
  <c r="DB184" i="1" s="1"/>
  <c r="DR184" i="1" s="1"/>
  <c r="EQ181" i="1"/>
  <c r="DD181" i="1"/>
  <c r="DE181" i="1" s="1"/>
  <c r="DS181" i="1" s="1"/>
  <c r="BD153" i="1"/>
  <c r="Q153" i="1"/>
  <c r="R153" i="1" s="1"/>
  <c r="AT153" i="1" s="1"/>
  <c r="BD171" i="1"/>
  <c r="Q171" i="1"/>
  <c r="R171" i="1" s="1"/>
  <c r="AT171" i="1" s="1"/>
  <c r="Z169" i="1"/>
  <c r="AA169" i="1" s="1"/>
  <c r="AW169" i="1" s="1"/>
  <c r="BM169" i="1"/>
  <c r="BM159" i="1"/>
  <c r="Z159" i="1"/>
  <c r="AA159" i="1" s="1"/>
  <c r="AW159" i="1" s="1"/>
  <c r="BS146" i="1"/>
  <c r="AF146" i="1"/>
  <c r="AG146" i="1" s="1"/>
  <c r="AY146" i="1" s="1"/>
  <c r="EP161" i="1"/>
  <c r="EO161" i="1"/>
  <c r="BK152" i="1"/>
  <c r="BL152" i="1"/>
  <c r="ET149" i="1"/>
  <c r="DG149" i="1"/>
  <c r="DH149" i="1" s="1"/>
  <c r="DT149" i="1" s="1"/>
  <c r="CX129" i="1"/>
  <c r="CY129" i="1" s="1"/>
  <c r="DQ129" i="1" s="1"/>
  <c r="EK129" i="1"/>
  <c r="BJ130" i="1"/>
  <c r="W130" i="1"/>
  <c r="X130" i="1" s="1"/>
  <c r="AV130" i="1" s="1"/>
  <c r="EK110" i="1"/>
  <c r="CX110" i="1"/>
  <c r="CY110" i="1" s="1"/>
  <c r="DQ110" i="1" s="1"/>
  <c r="Q113" i="1"/>
  <c r="R113" i="1" s="1"/>
  <c r="AT113" i="1" s="1"/>
  <c r="BD113" i="1"/>
  <c r="CL113" i="1"/>
  <c r="CM113" i="1" s="1"/>
  <c r="DM113" i="1" s="1"/>
  <c r="DY113" i="1"/>
  <c r="Q102" i="1"/>
  <c r="R102" i="1" s="1"/>
  <c r="AT102" i="1" s="1"/>
  <c r="BD102" i="1"/>
  <c r="ES113" i="1"/>
  <c r="ER113" i="1"/>
  <c r="BO120" i="1"/>
  <c r="BN120" i="1"/>
  <c r="BS83" i="1"/>
  <c r="AF83" i="1"/>
  <c r="AG83" i="1" s="1"/>
  <c r="AY83" i="1" s="1"/>
  <c r="BM86" i="1"/>
  <c r="Z86" i="1"/>
  <c r="AA86" i="1" s="1"/>
  <c r="AW86" i="1" s="1"/>
  <c r="T82" i="1"/>
  <c r="U82" i="1" s="1"/>
  <c r="AU82" i="1" s="1"/>
  <c r="BG82" i="1"/>
  <c r="EK42" i="1"/>
  <c r="CX42" i="1"/>
  <c r="CY42" i="1" s="1"/>
  <c r="DQ42" i="1" s="1"/>
  <c r="EN43" i="1"/>
  <c r="DA43" i="1"/>
  <c r="DB43" i="1" s="1"/>
  <c r="DR43" i="1" s="1"/>
  <c r="CE57" i="1"/>
  <c r="AR57" i="1"/>
  <c r="AS57" i="1" s="1"/>
  <c r="BC57" i="1" s="1"/>
  <c r="AF54" i="1"/>
  <c r="AG54" i="1" s="1"/>
  <c r="AY54" i="1" s="1"/>
  <c r="BS54" i="1"/>
  <c r="DA39" i="1"/>
  <c r="DB39" i="1" s="1"/>
  <c r="DR39" i="1" s="1"/>
  <c r="EN39" i="1"/>
  <c r="DA44" i="1"/>
  <c r="DB44" i="1" s="1"/>
  <c r="DR44" i="1" s="1"/>
  <c r="EN44" i="1"/>
  <c r="DA21" i="1"/>
  <c r="DB21" i="1" s="1"/>
  <c r="DR21" i="1" s="1"/>
  <c r="EN21" i="1"/>
  <c r="EV52" i="1"/>
  <c r="EU52" i="1"/>
  <c r="EE55" i="1"/>
  <c r="CR55" i="1"/>
  <c r="CS55" i="1" s="1"/>
  <c r="DO55" i="1" s="1"/>
  <c r="BM30" i="1"/>
  <c r="Z30" i="1"/>
  <c r="AA30" i="1" s="1"/>
  <c r="AW30" i="1" s="1"/>
  <c r="DY10" i="1"/>
  <c r="CL10" i="1"/>
  <c r="CM10" i="1" s="1"/>
  <c r="DM10" i="1" s="1"/>
  <c r="DV2" i="1"/>
  <c r="CI2" i="1"/>
  <c r="CU5" i="1"/>
  <c r="CV5" i="1" s="1"/>
  <c r="DP5" i="1" s="1"/>
  <c r="EH5" i="1"/>
  <c r="EE2" i="1"/>
  <c r="CR2" i="1"/>
  <c r="ET35" i="1"/>
  <c r="DG35" i="1"/>
  <c r="DH35" i="1" s="1"/>
  <c r="DT35" i="1" s="1"/>
  <c r="EK265" i="1"/>
  <c r="CX265" i="1"/>
  <c r="CY265" i="1" s="1"/>
  <c r="DQ265" i="1" s="1"/>
  <c r="AR268" i="1"/>
  <c r="AS268" i="1" s="1"/>
  <c r="BC268" i="1" s="1"/>
  <c r="CE268" i="1"/>
  <c r="EB264" i="1"/>
  <c r="CO264" i="1"/>
  <c r="CP264" i="1" s="1"/>
  <c r="DN264" i="1" s="1"/>
  <c r="CE250" i="1"/>
  <c r="AR250" i="1"/>
  <c r="AS250" i="1" s="1"/>
  <c r="BC250" i="1" s="1"/>
  <c r="EH260" i="1"/>
  <c r="CU260" i="1"/>
  <c r="CV260" i="1" s="1"/>
  <c r="DP260" i="1" s="1"/>
  <c r="EH214" i="1"/>
  <c r="CU214" i="1"/>
  <c r="CV214" i="1" s="1"/>
  <c r="DP214" i="1" s="1"/>
  <c r="BD217" i="1"/>
  <c r="Q217" i="1"/>
  <c r="R217" i="1" s="1"/>
  <c r="AT217" i="1" s="1"/>
  <c r="DV206" i="1"/>
  <c r="CI206" i="1"/>
  <c r="CJ206" i="1" s="1"/>
  <c r="DL206" i="1" s="1"/>
  <c r="EN205" i="1"/>
  <c r="DA205" i="1"/>
  <c r="DB205" i="1" s="1"/>
  <c r="DR205" i="1" s="1"/>
  <c r="AA209" i="1"/>
  <c r="DX211" i="1"/>
  <c r="DW211" i="1"/>
  <c r="AI197" i="1"/>
  <c r="AJ197" i="1" s="1"/>
  <c r="AZ197" i="1" s="1"/>
  <c r="BV197" i="1"/>
  <c r="CO179" i="1"/>
  <c r="CP179" i="1" s="1"/>
  <c r="DN179" i="1" s="1"/>
  <c r="EB179" i="1"/>
  <c r="EH199" i="1"/>
  <c r="CU199" i="1"/>
  <c r="CV199" i="1" s="1"/>
  <c r="DP199" i="1" s="1"/>
  <c r="BM198" i="1"/>
  <c r="Z198" i="1"/>
  <c r="AA198" i="1" s="1"/>
  <c r="AW198" i="1" s="1"/>
  <c r="CI188" i="1"/>
  <c r="CJ188" i="1" s="1"/>
  <c r="DL188" i="1" s="1"/>
  <c r="DV188" i="1"/>
  <c r="AO177" i="1"/>
  <c r="AP177" i="1" s="1"/>
  <c r="BB177" i="1" s="1"/>
  <c r="CB177" i="1"/>
  <c r="EE172" i="1"/>
  <c r="CR172" i="1"/>
  <c r="CS172" i="1" s="1"/>
  <c r="DO172" i="1" s="1"/>
  <c r="DZ193" i="1"/>
  <c r="EA193" i="1"/>
  <c r="EK179" i="1"/>
  <c r="CX179" i="1"/>
  <c r="CY179" i="1" s="1"/>
  <c r="DQ179" i="1" s="1"/>
  <c r="AO187" i="1"/>
  <c r="AP187" i="1" s="1"/>
  <c r="BB187" i="1" s="1"/>
  <c r="CB187" i="1"/>
  <c r="BW201" i="1"/>
  <c r="BX201" i="1"/>
  <c r="Q163" i="1"/>
  <c r="R163" i="1" s="1"/>
  <c r="AT163" i="1" s="1"/>
  <c r="BD163" i="1"/>
  <c r="BD181" i="1"/>
  <c r="Q181" i="1"/>
  <c r="R181" i="1" s="1"/>
  <c r="AT181" i="1" s="1"/>
  <c r="BM185" i="1"/>
  <c r="Z185" i="1"/>
  <c r="AA185" i="1" s="1"/>
  <c r="AW185" i="1" s="1"/>
  <c r="CE182" i="1"/>
  <c r="AR182" i="1"/>
  <c r="AS182" i="1" s="1"/>
  <c r="BC182" i="1" s="1"/>
  <c r="EW163" i="1"/>
  <c r="DJ163" i="1"/>
  <c r="DK163" i="1" s="1"/>
  <c r="DU163" i="1" s="1"/>
  <c r="DD166" i="1"/>
  <c r="DE166" i="1" s="1"/>
  <c r="DS166" i="1" s="1"/>
  <c r="EQ166" i="1"/>
  <c r="EE178" i="1"/>
  <c r="CR178" i="1"/>
  <c r="CS178" i="1" s="1"/>
  <c r="DO178" i="1" s="1"/>
  <c r="Z164" i="1"/>
  <c r="AA164" i="1" s="1"/>
  <c r="AW164" i="1" s="1"/>
  <c r="BM164" i="1"/>
  <c r="AL152" i="1"/>
  <c r="AM152" i="1" s="1"/>
  <c r="BA152" i="1" s="1"/>
  <c r="BY152" i="1"/>
  <c r="DY171" i="1"/>
  <c r="CL171" i="1"/>
  <c r="CM171" i="1" s="1"/>
  <c r="DM171" i="1" s="1"/>
  <c r="CI165" i="1"/>
  <c r="CJ165" i="1" s="1"/>
  <c r="DL165" i="1" s="1"/>
  <c r="DV165" i="1"/>
  <c r="EV190" i="1"/>
  <c r="EU190" i="1"/>
  <c r="CO164" i="1"/>
  <c r="CP164" i="1" s="1"/>
  <c r="DN164" i="1" s="1"/>
  <c r="EB164" i="1"/>
  <c r="DV147" i="1"/>
  <c r="CI147" i="1"/>
  <c r="CJ147" i="1" s="1"/>
  <c r="DL147" i="1" s="1"/>
  <c r="AL169" i="1"/>
  <c r="AM169" i="1" s="1"/>
  <c r="BA169" i="1" s="1"/>
  <c r="BY169" i="1"/>
  <c r="BL178" i="1"/>
  <c r="BK178" i="1"/>
  <c r="DV156" i="1"/>
  <c r="CI156" i="1"/>
  <c r="CJ156" i="1" s="1"/>
  <c r="DL156" i="1" s="1"/>
  <c r="AR146" i="1"/>
  <c r="AS146" i="1" s="1"/>
  <c r="BC146" i="1" s="1"/>
  <c r="CE146" i="1"/>
  <c r="BY159" i="1"/>
  <c r="AL159" i="1"/>
  <c r="AM159" i="1" s="1"/>
  <c r="BA159" i="1" s="1"/>
  <c r="DD149" i="1"/>
  <c r="DE149" i="1" s="1"/>
  <c r="DS149" i="1" s="1"/>
  <c r="EQ149" i="1"/>
  <c r="BL161" i="1"/>
  <c r="BK161" i="1"/>
  <c r="AO130" i="1"/>
  <c r="AP130" i="1" s="1"/>
  <c r="BB130" i="1" s="1"/>
  <c r="CB130" i="1"/>
  <c r="BJ125" i="1"/>
  <c r="W125" i="1"/>
  <c r="X125" i="1" s="1"/>
  <c r="AV125" i="1" s="1"/>
  <c r="EH130" i="1"/>
  <c r="CU130" i="1"/>
  <c r="CV130" i="1" s="1"/>
  <c r="DP130" i="1" s="1"/>
  <c r="BV128" i="1"/>
  <c r="AI128" i="1"/>
  <c r="AJ128" i="1" s="1"/>
  <c r="AZ128" i="1" s="1"/>
  <c r="EN128" i="1"/>
  <c r="DA128" i="1"/>
  <c r="DB128" i="1" s="1"/>
  <c r="DR128" i="1" s="1"/>
  <c r="DY112" i="1"/>
  <c r="CL112" i="1"/>
  <c r="CM112" i="1" s="1"/>
  <c r="DM112" i="1" s="1"/>
  <c r="BT123" i="1"/>
  <c r="BU123" i="1"/>
  <c r="CB136" i="1"/>
  <c r="AO136" i="1"/>
  <c r="AP136" i="1" s="1"/>
  <c r="BB136" i="1" s="1"/>
  <c r="EY124" i="1"/>
  <c r="EX124" i="1"/>
  <c r="EN123" i="1"/>
  <c r="DA123" i="1"/>
  <c r="DB123" i="1" s="1"/>
  <c r="DR123" i="1" s="1"/>
  <c r="BO137" i="1"/>
  <c r="BN137" i="1"/>
  <c r="CU100" i="1"/>
  <c r="CV100" i="1" s="1"/>
  <c r="DP100" i="1" s="1"/>
  <c r="EH100" i="1"/>
  <c r="EX133" i="1"/>
  <c r="EY133" i="1"/>
  <c r="AL119" i="1"/>
  <c r="AM119" i="1" s="1"/>
  <c r="BA119" i="1" s="1"/>
  <c r="BY119" i="1"/>
  <c r="Q103" i="1"/>
  <c r="R103" i="1" s="1"/>
  <c r="AT103" i="1" s="1"/>
  <c r="BD103" i="1"/>
  <c r="EK94" i="1"/>
  <c r="CX94" i="1"/>
  <c r="CY94" i="1" s="1"/>
  <c r="DQ94" i="1" s="1"/>
  <c r="EQ111" i="1"/>
  <c r="DD111" i="1"/>
  <c r="DE111" i="1" s="1"/>
  <c r="DS111" i="1" s="1"/>
  <c r="BD94" i="1"/>
  <c r="Q94" i="1"/>
  <c r="R94" i="1" s="1"/>
  <c r="AT94" i="1" s="1"/>
  <c r="EY132" i="1"/>
  <c r="EX132" i="1"/>
  <c r="AR114" i="1"/>
  <c r="AS114" i="1" s="1"/>
  <c r="BC114" i="1" s="1"/>
  <c r="CE114" i="1"/>
  <c r="DY121" i="1"/>
  <c r="CL121" i="1"/>
  <c r="CM121" i="1" s="1"/>
  <c r="DM121" i="1" s="1"/>
  <c r="ET95" i="1"/>
  <c r="DG95" i="1"/>
  <c r="DH95" i="1" s="1"/>
  <c r="DT95" i="1" s="1"/>
  <c r="T83" i="1"/>
  <c r="U83" i="1" s="1"/>
  <c r="AU83" i="1" s="1"/>
  <c r="BG83" i="1"/>
  <c r="EH96" i="1"/>
  <c r="CU96" i="1"/>
  <c r="CV96" i="1" s="1"/>
  <c r="DP96" i="1" s="1"/>
  <c r="CI106" i="1"/>
  <c r="CJ106" i="1" s="1"/>
  <c r="DL106" i="1" s="1"/>
  <c r="DV106" i="1"/>
  <c r="AR81" i="1"/>
  <c r="AS81" i="1" s="1"/>
  <c r="BC81" i="1" s="1"/>
  <c r="CE81" i="1"/>
  <c r="EW109" i="1"/>
  <c r="DJ109" i="1"/>
  <c r="DK109" i="1" s="1"/>
  <c r="DU109" i="1" s="1"/>
  <c r="BD98" i="1"/>
  <c r="Q98" i="1"/>
  <c r="R98" i="1" s="1"/>
  <c r="AT98" i="1" s="1"/>
  <c r="CE97" i="1"/>
  <c r="AR97" i="1"/>
  <c r="AS97" i="1" s="1"/>
  <c r="BC97" i="1" s="1"/>
  <c r="ET89" i="1"/>
  <c r="DG89" i="1"/>
  <c r="DH89" i="1" s="1"/>
  <c r="DT89" i="1" s="1"/>
  <c r="BP81" i="1"/>
  <c r="AC81" i="1"/>
  <c r="AD81" i="1" s="1"/>
  <c r="AX81" i="1" s="1"/>
  <c r="CG128" i="1"/>
  <c r="CF128" i="1"/>
  <c r="EX95" i="1"/>
  <c r="EY95" i="1"/>
  <c r="AF77" i="1"/>
  <c r="AG77" i="1" s="1"/>
  <c r="AY77" i="1" s="1"/>
  <c r="BS77" i="1"/>
  <c r="EB63" i="1"/>
  <c r="CO63" i="1"/>
  <c r="CP63" i="1" s="1"/>
  <c r="DN63" i="1" s="1"/>
  <c r="CU108" i="1"/>
  <c r="CV108" i="1" s="1"/>
  <c r="DP108" i="1" s="1"/>
  <c r="EH108" i="1"/>
  <c r="CO75" i="1"/>
  <c r="CP75" i="1" s="1"/>
  <c r="DN75" i="1" s="1"/>
  <c r="EB75" i="1"/>
  <c r="BP68" i="1"/>
  <c r="AC68" i="1"/>
  <c r="AD68" i="1" s="1"/>
  <c r="AX68" i="1" s="1"/>
  <c r="BG67" i="1"/>
  <c r="T67" i="1"/>
  <c r="U67" i="1" s="1"/>
  <c r="AU67" i="1" s="1"/>
  <c r="ED64" i="1"/>
  <c r="EC64" i="1"/>
  <c r="BZ87" i="1"/>
  <c r="CA87" i="1"/>
  <c r="AF82" i="1"/>
  <c r="AG82" i="1" s="1"/>
  <c r="AY82" i="1" s="1"/>
  <c r="BS82" i="1"/>
  <c r="ES74" i="1"/>
  <c r="ER74" i="1"/>
  <c r="CB59" i="1"/>
  <c r="AO59" i="1"/>
  <c r="AP59" i="1" s="1"/>
  <c r="BB59" i="1" s="1"/>
  <c r="CI42" i="1"/>
  <c r="CJ42" i="1" s="1"/>
  <c r="DL42" i="1" s="1"/>
  <c r="DV42" i="1"/>
  <c r="AR51" i="1"/>
  <c r="AS51" i="1" s="1"/>
  <c r="BC51" i="1" s="1"/>
  <c r="CE51" i="1"/>
  <c r="DA49" i="1"/>
  <c r="DB49" i="1" s="1"/>
  <c r="DR49" i="1" s="1"/>
  <c r="EN49" i="1"/>
  <c r="DV32" i="1"/>
  <c r="CI32" i="1"/>
  <c r="CJ32" i="1" s="1"/>
  <c r="DL32" i="1" s="1"/>
  <c r="CO39" i="1"/>
  <c r="CP39" i="1" s="1"/>
  <c r="DN39" i="1" s="1"/>
  <c r="EB39" i="1"/>
  <c r="EH25" i="1"/>
  <c r="CU25" i="1"/>
  <c r="CV25" i="1" s="1"/>
  <c r="DP25" i="1" s="1"/>
  <c r="BP13" i="1"/>
  <c r="AC13" i="1"/>
  <c r="AD13" i="1" s="1"/>
  <c r="AX13" i="1" s="1"/>
  <c r="BP44" i="1"/>
  <c r="AC44" i="1"/>
  <c r="AD44" i="1" s="1"/>
  <c r="AX44" i="1" s="1"/>
  <c r="AR31" i="1"/>
  <c r="AS31" i="1" s="1"/>
  <c r="BC31" i="1" s="1"/>
  <c r="CE31" i="1"/>
  <c r="EW46" i="1"/>
  <c r="DJ46" i="1"/>
  <c r="DK46" i="1" s="1"/>
  <c r="DU46" i="1" s="1"/>
  <c r="DG22" i="1"/>
  <c r="DH22" i="1" s="1"/>
  <c r="DT22" i="1" s="1"/>
  <c r="ET22" i="1"/>
  <c r="CR11" i="1"/>
  <c r="CS11" i="1" s="1"/>
  <c r="DO11" i="1" s="1"/>
  <c r="EE11" i="1"/>
  <c r="AF21" i="1"/>
  <c r="AG21" i="1" s="1"/>
  <c r="AY21" i="1" s="1"/>
  <c r="BS21" i="1"/>
  <c r="EQ55" i="1"/>
  <c r="DD55" i="1"/>
  <c r="DE55" i="1" s="1"/>
  <c r="DS55" i="1" s="1"/>
  <c r="DD26" i="1"/>
  <c r="DE26" i="1" s="1"/>
  <c r="DS26" i="1" s="1"/>
  <c r="EQ26" i="1"/>
  <c r="DJ24" i="1"/>
  <c r="DK24" i="1" s="1"/>
  <c r="DU24" i="1" s="1"/>
  <c r="EW24" i="1"/>
  <c r="EN25" i="1"/>
  <c r="DA25" i="1"/>
  <c r="DB25" i="1" s="1"/>
  <c r="DR25" i="1" s="1"/>
  <c r="EH7" i="1"/>
  <c r="CU7" i="1"/>
  <c r="CV7" i="1" s="1"/>
  <c r="DP7" i="1" s="1"/>
  <c r="BM34" i="1"/>
  <c r="Z34" i="1"/>
  <c r="AA34" i="1" s="1"/>
  <c r="AW34" i="1" s="1"/>
  <c r="W34" i="1"/>
  <c r="X34" i="1" s="1"/>
  <c r="AV34" i="1" s="1"/>
  <c r="BJ34" i="1"/>
  <c r="EK10" i="1"/>
  <c r="CX10" i="1"/>
  <c r="CY10" i="1" s="1"/>
  <c r="DQ10" i="1" s="1"/>
  <c r="ED16" i="1"/>
  <c r="EC16" i="1"/>
  <c r="AI15" i="1"/>
  <c r="AJ15" i="1" s="1"/>
  <c r="AZ15" i="1" s="1"/>
  <c r="BV15" i="1"/>
  <c r="AO23" i="1"/>
  <c r="AP23" i="1" s="1"/>
  <c r="BB23" i="1" s="1"/>
  <c r="CB23" i="1"/>
  <c r="EY282" i="1"/>
  <c r="EX282" i="1"/>
  <c r="EI295" i="1"/>
  <c r="EJ295" i="1"/>
  <c r="ED294" i="1"/>
  <c r="EC294" i="1"/>
  <c r="AC271" i="1"/>
  <c r="AD271" i="1" s="1"/>
  <c r="AX271" i="1" s="1"/>
  <c r="BP271" i="1"/>
  <c r="AC266" i="1"/>
  <c r="AD266" i="1" s="1"/>
  <c r="AX266" i="1" s="1"/>
  <c r="BP266" i="1"/>
  <c r="BN271" i="1"/>
  <c r="BO271" i="1"/>
  <c r="EN268" i="1"/>
  <c r="DA268" i="1"/>
  <c r="DB268" i="1" s="1"/>
  <c r="DR268" i="1" s="1"/>
  <c r="EJ275" i="1"/>
  <c r="EI275" i="1"/>
  <c r="CE270" i="1"/>
  <c r="AR270" i="1"/>
  <c r="AS270" i="1" s="1"/>
  <c r="BC270" i="1" s="1"/>
  <c r="Q270" i="1"/>
  <c r="R270" i="1" s="1"/>
  <c r="AT270" i="1" s="1"/>
  <c r="BD270" i="1"/>
  <c r="Z267" i="1"/>
  <c r="AA267" i="1" s="1"/>
  <c r="AW267" i="1" s="1"/>
  <c r="BM267" i="1"/>
  <c r="T262" i="1"/>
  <c r="U262" i="1" s="1"/>
  <c r="AU262" i="1" s="1"/>
  <c r="BG262" i="1"/>
  <c r="BS254" i="1"/>
  <c r="AF254" i="1"/>
  <c r="AG254" i="1" s="1"/>
  <c r="AY254" i="1" s="1"/>
  <c r="CE258" i="1"/>
  <c r="AR258" i="1"/>
  <c r="AS258" i="1" s="1"/>
  <c r="BC258" i="1" s="1"/>
  <c r="BD254" i="1"/>
  <c r="Q254" i="1"/>
  <c r="R254" i="1" s="1"/>
  <c r="AT254" i="1" s="1"/>
  <c r="BG264" i="1"/>
  <c r="T264" i="1"/>
  <c r="U264" i="1" s="1"/>
  <c r="AU264" i="1" s="1"/>
  <c r="CL264" i="1"/>
  <c r="CM264" i="1" s="1"/>
  <c r="DM264" i="1" s="1"/>
  <c r="DY264" i="1"/>
  <c r="BM255" i="1"/>
  <c r="Z255" i="1"/>
  <c r="AA255" i="1" s="1"/>
  <c r="AW255" i="1" s="1"/>
  <c r="AI251" i="1"/>
  <c r="AJ251" i="1" s="1"/>
  <c r="AZ251" i="1" s="1"/>
  <c r="BV251" i="1"/>
  <c r="AO257" i="1"/>
  <c r="AP257" i="1" s="1"/>
  <c r="BB257" i="1" s="1"/>
  <c r="CB257" i="1"/>
  <c r="BJ257" i="1"/>
  <c r="W257" i="1"/>
  <c r="X257" i="1" s="1"/>
  <c r="AV257" i="1" s="1"/>
  <c r="CD259" i="1"/>
  <c r="CC259" i="1"/>
  <c r="CX242" i="1"/>
  <c r="CY242" i="1" s="1"/>
  <c r="DQ242" i="1" s="1"/>
  <c r="EK242" i="1"/>
  <c r="CU241" i="1"/>
  <c r="CV241" i="1" s="1"/>
  <c r="DP241" i="1" s="1"/>
  <c r="EH241" i="1"/>
  <c r="DY247" i="1"/>
  <c r="CL247" i="1"/>
  <c r="CM247" i="1" s="1"/>
  <c r="DM247" i="1" s="1"/>
  <c r="EH244" i="1"/>
  <c r="CU244" i="1"/>
  <c r="CV244" i="1" s="1"/>
  <c r="DP244" i="1" s="1"/>
  <c r="BS245" i="1"/>
  <c r="AF245" i="1"/>
  <c r="AG245" i="1" s="1"/>
  <c r="AY245" i="1" s="1"/>
  <c r="BX242" i="1"/>
  <c r="BW242" i="1"/>
  <c r="DD234" i="1"/>
  <c r="DE234" i="1" s="1"/>
  <c r="DS234" i="1" s="1"/>
  <c r="EQ234" i="1"/>
  <c r="EN234" i="1"/>
  <c r="DA234" i="1"/>
  <c r="DB234" i="1" s="1"/>
  <c r="DR234" i="1" s="1"/>
  <c r="AR253" i="1"/>
  <c r="AS253" i="1" s="1"/>
  <c r="BC253" i="1" s="1"/>
  <c r="CE253" i="1"/>
  <c r="CX250" i="1"/>
  <c r="CY250" i="1" s="1"/>
  <c r="DQ250" i="1" s="1"/>
  <c r="EK250" i="1"/>
  <c r="EO245" i="1"/>
  <c r="EP245" i="1"/>
  <c r="AI236" i="1"/>
  <c r="AJ236" i="1" s="1"/>
  <c r="AZ236" i="1" s="1"/>
  <c r="BV236" i="1"/>
  <c r="W238" i="1"/>
  <c r="X238" i="1" s="1"/>
  <c r="AV238" i="1" s="1"/>
  <c r="BJ238" i="1"/>
  <c r="ET232" i="1"/>
  <c r="DG232" i="1"/>
  <c r="DH232" i="1" s="1"/>
  <c r="DT232" i="1" s="1"/>
  <c r="DA231" i="1"/>
  <c r="DB231" i="1" s="1"/>
  <c r="DR231" i="1" s="1"/>
  <c r="EN231" i="1"/>
  <c r="CA246" i="1"/>
  <c r="BZ246" i="1"/>
  <c r="CG236" i="1"/>
  <c r="CF236" i="1"/>
  <c r="EE243" i="1"/>
  <c r="CR243" i="1"/>
  <c r="CS243" i="1" s="1"/>
  <c r="DO243" i="1" s="1"/>
  <c r="CX243" i="1"/>
  <c r="CY243" i="1" s="1"/>
  <c r="DQ243" i="1" s="1"/>
  <c r="EK243" i="1"/>
  <c r="DJ233" i="1"/>
  <c r="DK233" i="1" s="1"/>
  <c r="DU233" i="1" s="1"/>
  <c r="EW233" i="1"/>
  <c r="AC232" i="1"/>
  <c r="AD232" i="1" s="1"/>
  <c r="AX232" i="1" s="1"/>
  <c r="BP232" i="1"/>
  <c r="DV225" i="1"/>
  <c r="CI225" i="1"/>
  <c r="CJ225" i="1" s="1"/>
  <c r="DL225" i="1" s="1"/>
  <c r="EV239" i="1"/>
  <c r="EU239" i="1"/>
  <c r="CO260" i="1"/>
  <c r="CP260" i="1" s="1"/>
  <c r="DN260" i="1" s="1"/>
  <c r="EB260" i="1"/>
  <c r="CU230" i="1"/>
  <c r="CV230" i="1" s="1"/>
  <c r="DP230" i="1" s="1"/>
  <c r="EH230" i="1"/>
  <c r="BD237" i="1"/>
  <c r="Q237" i="1"/>
  <c r="R237" i="1" s="1"/>
  <c r="AT237" i="1" s="1"/>
  <c r="W237" i="1"/>
  <c r="X237" i="1" s="1"/>
  <c r="AV237" i="1" s="1"/>
  <c r="BJ237" i="1"/>
  <c r="EQ226" i="1"/>
  <c r="DD226" i="1"/>
  <c r="DE226" i="1" s="1"/>
  <c r="DS226" i="1" s="1"/>
  <c r="EI233" i="1"/>
  <c r="EJ233" i="1"/>
  <c r="EE229" i="1"/>
  <c r="CR229" i="1"/>
  <c r="CS229" i="1" s="1"/>
  <c r="DO229" i="1" s="1"/>
  <c r="DY227" i="1"/>
  <c r="CL227" i="1"/>
  <c r="CM227" i="1" s="1"/>
  <c r="DM227" i="1" s="1"/>
  <c r="BV228" i="1"/>
  <c r="AI228" i="1"/>
  <c r="AJ228" i="1" s="1"/>
  <c r="AZ228" i="1" s="1"/>
  <c r="BP219" i="1"/>
  <c r="AC219" i="1"/>
  <c r="AD219" i="1" s="1"/>
  <c r="AX219" i="1" s="1"/>
  <c r="DX229" i="1"/>
  <c r="DW229" i="1"/>
  <c r="CI217" i="1"/>
  <c r="CJ217" i="1" s="1"/>
  <c r="DL217" i="1" s="1"/>
  <c r="DV217" i="1"/>
  <c r="AC213" i="1"/>
  <c r="AD213" i="1" s="1"/>
  <c r="AX213" i="1" s="1"/>
  <c r="BP213" i="1"/>
  <c r="CL214" i="1"/>
  <c r="CM214" i="1" s="1"/>
  <c r="DM214" i="1" s="1"/>
  <c r="DY214" i="1"/>
  <c r="BU223" i="1"/>
  <c r="BT223" i="1"/>
  <c r="CL221" i="1"/>
  <c r="CM221" i="1" s="1"/>
  <c r="DM221" i="1" s="1"/>
  <c r="DY221" i="1"/>
  <c r="BF214" i="1"/>
  <c r="BE214" i="1"/>
  <c r="Q220" i="1"/>
  <c r="R220" i="1" s="1"/>
  <c r="AT220" i="1" s="1"/>
  <c r="BD220" i="1"/>
  <c r="AF220" i="1"/>
  <c r="AG220" i="1" s="1"/>
  <c r="AY220" i="1" s="1"/>
  <c r="BS220" i="1"/>
  <c r="DV219" i="1"/>
  <c r="CI219" i="1"/>
  <c r="CJ219" i="1" s="1"/>
  <c r="DL219" i="1" s="1"/>
  <c r="DW215" i="1"/>
  <c r="DX215" i="1"/>
  <c r="BK215" i="1"/>
  <c r="BL215" i="1"/>
  <c r="BG206" i="1"/>
  <c r="T206" i="1"/>
  <c r="U206" i="1" s="1"/>
  <c r="AU206" i="1" s="1"/>
  <c r="EK204" i="1"/>
  <c r="CX204" i="1"/>
  <c r="CY204" i="1" s="1"/>
  <c r="DQ204" i="1" s="1"/>
  <c r="BV205" i="1"/>
  <c r="AI205" i="1"/>
  <c r="AJ205" i="1" s="1"/>
  <c r="AZ205" i="1" s="1"/>
  <c r="BD211" i="1"/>
  <c r="Q211" i="1"/>
  <c r="R211" i="1" s="1"/>
  <c r="AT211" i="1" s="1"/>
  <c r="EH206" i="1"/>
  <c r="CU206" i="1"/>
  <c r="CV206" i="1" s="1"/>
  <c r="DP206" i="1" s="1"/>
  <c r="CB212" i="1"/>
  <c r="AO212" i="1"/>
  <c r="AP212" i="1" s="1"/>
  <c r="BB212" i="1" s="1"/>
  <c r="EQ208" i="1"/>
  <c r="DD208" i="1"/>
  <c r="DE208" i="1" s="1"/>
  <c r="DS208" i="1" s="1"/>
  <c r="BS207" i="1"/>
  <c r="AF207" i="1"/>
  <c r="AG207" i="1" s="1"/>
  <c r="AY207" i="1" s="1"/>
  <c r="AL218" i="1"/>
  <c r="AM218" i="1" s="1"/>
  <c r="BA218" i="1" s="1"/>
  <c r="BY218" i="1"/>
  <c r="AR218" i="1"/>
  <c r="AS218" i="1" s="1"/>
  <c r="BC218" i="1" s="1"/>
  <c r="CE218" i="1"/>
  <c r="DD203" i="1"/>
  <c r="DE203" i="1" s="1"/>
  <c r="DS203" i="1" s="1"/>
  <c r="EQ203" i="1"/>
  <c r="EF221" i="1"/>
  <c r="EG221" i="1"/>
  <c r="EK197" i="1"/>
  <c r="CX197" i="1"/>
  <c r="CY197" i="1" s="1"/>
  <c r="DQ197" i="1" s="1"/>
  <c r="EH186" i="1"/>
  <c r="CU186" i="1"/>
  <c r="CV186" i="1" s="1"/>
  <c r="DP186" i="1" s="1"/>
  <c r="BR210" i="1"/>
  <c r="BQ210" i="1"/>
  <c r="BO206" i="1"/>
  <c r="BN206" i="1"/>
  <c r="EQ197" i="1"/>
  <c r="DD197" i="1"/>
  <c r="DE197" i="1" s="1"/>
  <c r="DS197" i="1" s="1"/>
  <c r="BV189" i="1"/>
  <c r="AI189" i="1"/>
  <c r="AJ189" i="1" s="1"/>
  <c r="AZ189" i="1" s="1"/>
  <c r="EH167" i="1"/>
  <c r="CU167" i="1"/>
  <c r="CV167" i="1" s="1"/>
  <c r="DP167" i="1" s="1"/>
  <c r="CL176" i="1"/>
  <c r="CM176" i="1" s="1"/>
  <c r="DM176" i="1" s="1"/>
  <c r="DY176" i="1"/>
  <c r="Z167" i="1"/>
  <c r="AA167" i="1" s="1"/>
  <c r="AW167" i="1" s="1"/>
  <c r="BM167" i="1"/>
  <c r="BS199" i="1"/>
  <c r="AF199" i="1"/>
  <c r="AG199" i="1" s="1"/>
  <c r="AY199" i="1" s="1"/>
  <c r="R196" i="1"/>
  <c r="T179" i="1"/>
  <c r="U179" i="1" s="1"/>
  <c r="AU179" i="1" s="1"/>
  <c r="BG179" i="1"/>
  <c r="BS198" i="1"/>
  <c r="AF198" i="1"/>
  <c r="AG198" i="1" s="1"/>
  <c r="AY198" i="1" s="1"/>
  <c r="CR198" i="1"/>
  <c r="CS198" i="1" s="1"/>
  <c r="DO198" i="1" s="1"/>
  <c r="EE198" i="1"/>
  <c r="BD188" i="1"/>
  <c r="Q188" i="1"/>
  <c r="R188" i="1" s="1"/>
  <c r="AT188" i="1" s="1"/>
  <c r="Q177" i="1"/>
  <c r="R177" i="1" s="1"/>
  <c r="AT177" i="1" s="1"/>
  <c r="BD177" i="1"/>
  <c r="EJ203" i="1"/>
  <c r="EI203" i="1"/>
  <c r="AR189" i="1"/>
  <c r="AS189" i="1" s="1"/>
  <c r="BC189" i="1" s="1"/>
  <c r="CE189" i="1"/>
  <c r="ET176" i="1"/>
  <c r="DG176" i="1"/>
  <c r="DH176" i="1" s="1"/>
  <c r="DT176" i="1" s="1"/>
  <c r="Q193" i="1"/>
  <c r="R193" i="1" s="1"/>
  <c r="AT193" i="1" s="1"/>
  <c r="BD193" i="1"/>
  <c r="EH177" i="1"/>
  <c r="CU177" i="1"/>
  <c r="CV177" i="1" s="1"/>
  <c r="DP177" i="1" s="1"/>
  <c r="AD196" i="1"/>
  <c r="BV193" i="1"/>
  <c r="AI193" i="1"/>
  <c r="AJ193" i="1" s="1"/>
  <c r="AZ193" i="1" s="1"/>
  <c r="DV179" i="1"/>
  <c r="CI179" i="1"/>
  <c r="CJ179" i="1" s="1"/>
  <c r="DL179" i="1" s="1"/>
  <c r="AL184" i="1"/>
  <c r="AM184" i="1" s="1"/>
  <c r="BA184" i="1" s="1"/>
  <c r="BY184" i="1"/>
  <c r="CB181" i="1"/>
  <c r="AO181" i="1"/>
  <c r="AP181" i="1" s="1"/>
  <c r="BB181" i="1" s="1"/>
  <c r="EN182" i="1"/>
  <c r="DA182" i="1"/>
  <c r="DB182" i="1" s="1"/>
  <c r="DR182" i="1" s="1"/>
  <c r="EP175" i="1"/>
  <c r="EO175" i="1"/>
  <c r="BS163" i="1"/>
  <c r="AF163" i="1"/>
  <c r="AG163" i="1" s="1"/>
  <c r="AY163" i="1" s="1"/>
  <c r="EQ174" i="1"/>
  <c r="DD174" i="1"/>
  <c r="DE174" i="1" s="1"/>
  <c r="DS174" i="1" s="1"/>
  <c r="EO193" i="1"/>
  <c r="EP193" i="1"/>
  <c r="EH192" i="1"/>
  <c r="CU192" i="1"/>
  <c r="CV192" i="1" s="1"/>
  <c r="DP192" i="1" s="1"/>
  <c r="Q191" i="1"/>
  <c r="R191" i="1" s="1"/>
  <c r="AT191" i="1" s="1"/>
  <c r="BD191" i="1"/>
  <c r="DV178" i="1"/>
  <c r="CI178" i="1"/>
  <c r="CJ178" i="1" s="1"/>
  <c r="DL178" i="1" s="1"/>
  <c r="T166" i="1"/>
  <c r="U166" i="1" s="1"/>
  <c r="AU166" i="1" s="1"/>
  <c r="BG166" i="1"/>
  <c r="BJ147" i="1"/>
  <c r="W147" i="1"/>
  <c r="X147" i="1" s="1"/>
  <c r="AV147" i="1" s="1"/>
  <c r="BY178" i="1"/>
  <c r="AL178" i="1"/>
  <c r="AM178" i="1" s="1"/>
  <c r="BA178" i="1" s="1"/>
  <c r="EN178" i="1"/>
  <c r="DA178" i="1"/>
  <c r="DB178" i="1" s="1"/>
  <c r="DR178" i="1" s="1"/>
  <c r="DA147" i="1"/>
  <c r="DB147" i="1" s="1"/>
  <c r="DR147" i="1" s="1"/>
  <c r="EN147" i="1"/>
  <c r="EW171" i="1"/>
  <c r="DJ171" i="1"/>
  <c r="DK171" i="1" s="1"/>
  <c r="DU171" i="1" s="1"/>
  <c r="AF166" i="1"/>
  <c r="AG166" i="1" s="1"/>
  <c r="AY166" i="1" s="1"/>
  <c r="BS166" i="1"/>
  <c r="EW162" i="1"/>
  <c r="DJ162" i="1"/>
  <c r="DK162" i="1" s="1"/>
  <c r="DU162" i="1" s="1"/>
  <c r="DV155" i="1"/>
  <c r="CI155" i="1"/>
  <c r="CJ155" i="1" s="1"/>
  <c r="DL155" i="1" s="1"/>
  <c r="EM167" i="1"/>
  <c r="EL167" i="1"/>
  <c r="DG161" i="1"/>
  <c r="DH161" i="1" s="1"/>
  <c r="DT161" i="1" s="1"/>
  <c r="ET161" i="1"/>
  <c r="BO180" i="1"/>
  <c r="BN180" i="1"/>
  <c r="W164" i="1"/>
  <c r="X164" i="1" s="1"/>
  <c r="AV164" i="1" s="1"/>
  <c r="BJ164" i="1"/>
  <c r="BP158" i="1"/>
  <c r="AC158" i="1"/>
  <c r="AD158" i="1" s="1"/>
  <c r="AX158" i="1" s="1"/>
  <c r="BU172" i="1"/>
  <c r="BT172" i="1"/>
  <c r="BD169" i="1"/>
  <c r="Q169" i="1"/>
  <c r="R169" i="1" s="1"/>
  <c r="AT169" i="1" s="1"/>
  <c r="ED175" i="1"/>
  <c r="EC175" i="1"/>
  <c r="CD168" i="1"/>
  <c r="CC168" i="1"/>
  <c r="BY156" i="1"/>
  <c r="AL156" i="1"/>
  <c r="AM156" i="1" s="1"/>
  <c r="BA156" i="1" s="1"/>
  <c r="EE159" i="1"/>
  <c r="CR159" i="1"/>
  <c r="CS159" i="1" s="1"/>
  <c r="DO159" i="1" s="1"/>
  <c r="CX159" i="1"/>
  <c r="CY159" i="1" s="1"/>
  <c r="DQ159" i="1" s="1"/>
  <c r="EK159" i="1"/>
  <c r="EB142" i="1"/>
  <c r="CO142" i="1"/>
  <c r="CP142" i="1" s="1"/>
  <c r="DN142" i="1" s="1"/>
  <c r="DV150" i="1"/>
  <c r="CI150" i="1"/>
  <c r="CJ150" i="1" s="1"/>
  <c r="DL150" i="1" s="1"/>
  <c r="BP149" i="1"/>
  <c r="AC149" i="1"/>
  <c r="AD149" i="1" s="1"/>
  <c r="AX149" i="1" s="1"/>
  <c r="BP143" i="1"/>
  <c r="AC143" i="1"/>
  <c r="AD143" i="1" s="1"/>
  <c r="AX143" i="1" s="1"/>
  <c r="EJ145" i="1"/>
  <c r="EI145" i="1"/>
  <c r="DY128" i="1"/>
  <c r="CL128" i="1"/>
  <c r="CM128" i="1" s="1"/>
  <c r="DM128" i="1" s="1"/>
  <c r="AF138" i="1"/>
  <c r="AG138" i="1" s="1"/>
  <c r="AY138" i="1" s="1"/>
  <c r="BS138" i="1"/>
  <c r="AC128" i="1"/>
  <c r="AD128" i="1" s="1"/>
  <c r="AX128" i="1" s="1"/>
  <c r="BP128" i="1"/>
  <c r="BM154" i="1"/>
  <c r="Z154" i="1"/>
  <c r="AA154" i="1" s="1"/>
  <c r="AW154" i="1" s="1"/>
  <c r="DG138" i="1"/>
  <c r="DH138" i="1" s="1"/>
  <c r="DT138" i="1" s="1"/>
  <c r="ET138" i="1"/>
  <c r="CX130" i="1"/>
  <c r="CY130" i="1" s="1"/>
  <c r="DQ130" i="1" s="1"/>
  <c r="EK130" i="1"/>
  <c r="ED156" i="1"/>
  <c r="EC156" i="1"/>
  <c r="Q130" i="1"/>
  <c r="R130" i="1" s="1"/>
  <c r="AT130" i="1" s="1"/>
  <c r="BD130" i="1"/>
  <c r="EH129" i="1"/>
  <c r="CU129" i="1"/>
  <c r="CV129" i="1" s="1"/>
  <c r="DP129" i="1" s="1"/>
  <c r="BS122" i="1"/>
  <c r="AF122" i="1"/>
  <c r="AG122" i="1" s="1"/>
  <c r="AY122" i="1" s="1"/>
  <c r="EM162" i="1"/>
  <c r="EL162" i="1"/>
  <c r="EU151" i="1"/>
  <c r="EV151" i="1"/>
  <c r="CE125" i="1"/>
  <c r="AR125" i="1"/>
  <c r="AS125" i="1" s="1"/>
  <c r="BC125" i="1" s="1"/>
  <c r="DG122" i="1"/>
  <c r="DH122" i="1" s="1"/>
  <c r="DT122" i="1" s="1"/>
  <c r="ET122" i="1"/>
  <c r="CB116" i="1"/>
  <c r="AO116" i="1"/>
  <c r="AP116" i="1" s="1"/>
  <c r="BB116" i="1" s="1"/>
  <c r="DJ112" i="1"/>
  <c r="DK112" i="1" s="1"/>
  <c r="DU112" i="1" s="1"/>
  <c r="EW112" i="1"/>
  <c r="EG135" i="1"/>
  <c r="EF135" i="1"/>
  <c r="CX136" i="1"/>
  <c r="CY136" i="1" s="1"/>
  <c r="DQ136" i="1" s="1"/>
  <c r="EK136" i="1"/>
  <c r="BL132" i="1"/>
  <c r="BK132" i="1"/>
  <c r="BR123" i="1"/>
  <c r="BQ123" i="1"/>
  <c r="CE117" i="1"/>
  <c r="AR117" i="1"/>
  <c r="AS117" i="1" s="1"/>
  <c r="BC117" i="1" s="1"/>
  <c r="DV107" i="1"/>
  <c r="CI107" i="1"/>
  <c r="CJ107" i="1" s="1"/>
  <c r="DL107" i="1" s="1"/>
  <c r="BP116" i="1"/>
  <c r="AC116" i="1"/>
  <c r="AD116" i="1" s="1"/>
  <c r="AX116" i="1" s="1"/>
  <c r="AI124" i="1"/>
  <c r="AJ124" i="1" s="1"/>
  <c r="AZ124" i="1" s="1"/>
  <c r="BV124" i="1"/>
  <c r="AI123" i="1"/>
  <c r="AJ123" i="1" s="1"/>
  <c r="AZ123" i="1" s="1"/>
  <c r="BV123" i="1"/>
  <c r="AL111" i="1"/>
  <c r="AM111" i="1" s="1"/>
  <c r="BA111" i="1" s="1"/>
  <c r="BY111" i="1"/>
  <c r="AL99" i="1"/>
  <c r="AM99" i="1" s="1"/>
  <c r="BA99" i="1" s="1"/>
  <c r="BY99" i="1"/>
  <c r="ED130" i="1"/>
  <c r="EC130" i="1"/>
  <c r="BP119" i="1"/>
  <c r="AC119" i="1"/>
  <c r="AD119" i="1" s="1"/>
  <c r="AX119" i="1" s="1"/>
  <c r="DG101" i="1"/>
  <c r="DH101" i="1" s="1"/>
  <c r="DT101" i="1" s="1"/>
  <c r="ET101" i="1"/>
  <c r="DG148" i="1"/>
  <c r="DH148" i="1" s="1"/>
  <c r="DT148" i="1" s="1"/>
  <c r="ET148" i="1"/>
  <c r="AO148" i="1"/>
  <c r="AP148" i="1" s="1"/>
  <c r="BB148" i="1" s="1"/>
  <c r="CB148" i="1"/>
  <c r="EH104" i="1"/>
  <c r="CU104" i="1"/>
  <c r="CV104" i="1" s="1"/>
  <c r="DP104" i="1" s="1"/>
  <c r="DY90" i="1"/>
  <c r="CL90" i="1"/>
  <c r="CM90" i="1" s="1"/>
  <c r="DM90" i="1" s="1"/>
  <c r="CE111" i="1"/>
  <c r="AR111" i="1"/>
  <c r="AS111" i="1" s="1"/>
  <c r="BC111" i="1" s="1"/>
  <c r="AR121" i="1"/>
  <c r="AS121" i="1" s="1"/>
  <c r="BC121" i="1" s="1"/>
  <c r="CE121" i="1"/>
  <c r="DV95" i="1"/>
  <c r="CI95" i="1"/>
  <c r="CJ95" i="1" s="1"/>
  <c r="DL95" i="1" s="1"/>
  <c r="BV104" i="1"/>
  <c r="AI104" i="1"/>
  <c r="AJ104" i="1" s="1"/>
  <c r="AZ104" i="1" s="1"/>
  <c r="BY95" i="1"/>
  <c r="AL95" i="1"/>
  <c r="AM95" i="1" s="1"/>
  <c r="BA95" i="1" s="1"/>
  <c r="DA106" i="1"/>
  <c r="DB106" i="1" s="1"/>
  <c r="DR106" i="1" s="1"/>
  <c r="EN106" i="1"/>
  <c r="BP93" i="1"/>
  <c r="AC93" i="1"/>
  <c r="AD93" i="1" s="1"/>
  <c r="AX93" i="1" s="1"/>
  <c r="EE78" i="1"/>
  <c r="CR78" i="1"/>
  <c r="CS78" i="1" s="1"/>
  <c r="DO78" i="1" s="1"/>
  <c r="BG98" i="1"/>
  <c r="T98" i="1"/>
  <c r="U98" i="1" s="1"/>
  <c r="AU98" i="1" s="1"/>
  <c r="AC72" i="1"/>
  <c r="AD72" i="1" s="1"/>
  <c r="AX72" i="1" s="1"/>
  <c r="BP72" i="1"/>
  <c r="CI65" i="1"/>
  <c r="CJ65" i="1" s="1"/>
  <c r="DL65" i="1" s="1"/>
  <c r="DV65" i="1"/>
  <c r="T81" i="1"/>
  <c r="U81" i="1" s="1"/>
  <c r="AU81" i="1" s="1"/>
  <c r="BG81" i="1"/>
  <c r="AO73" i="1"/>
  <c r="AP73" i="1" s="1"/>
  <c r="BB73" i="1" s="1"/>
  <c r="CB73" i="1"/>
  <c r="CU109" i="1"/>
  <c r="CV109" i="1" s="1"/>
  <c r="DP109" i="1" s="1"/>
  <c r="EH109" i="1"/>
  <c r="CB98" i="1"/>
  <c r="AO98" i="1"/>
  <c r="AP98" i="1" s="1"/>
  <c r="BB98" i="1" s="1"/>
  <c r="DG97" i="1"/>
  <c r="DH97" i="1" s="1"/>
  <c r="DT97" i="1" s="1"/>
  <c r="ET97" i="1"/>
  <c r="EN97" i="1"/>
  <c r="DA97" i="1"/>
  <c r="DB97" i="1" s="1"/>
  <c r="DR97" i="1" s="1"/>
  <c r="BR90" i="1"/>
  <c r="BQ90" i="1"/>
  <c r="CL88" i="1"/>
  <c r="CM88" i="1" s="1"/>
  <c r="DM88" i="1" s="1"/>
  <c r="DY88" i="1"/>
  <c r="EK81" i="1"/>
  <c r="CX81" i="1"/>
  <c r="CY81" i="1" s="1"/>
  <c r="DQ81" i="1" s="1"/>
  <c r="BM72" i="1"/>
  <c r="Z72" i="1"/>
  <c r="AA72" i="1" s="1"/>
  <c r="AW72" i="1" s="1"/>
  <c r="BP89" i="1"/>
  <c r="AC89" i="1"/>
  <c r="AD89" i="1" s="1"/>
  <c r="AX89" i="1" s="1"/>
  <c r="EE88" i="1"/>
  <c r="CR88" i="1"/>
  <c r="CS88" i="1" s="1"/>
  <c r="DO88" i="1" s="1"/>
  <c r="CB76" i="1"/>
  <c r="AO76" i="1"/>
  <c r="AP76" i="1" s="1"/>
  <c r="BB76" i="1" s="1"/>
  <c r="BV72" i="1"/>
  <c r="AI72" i="1"/>
  <c r="AJ72" i="1" s="1"/>
  <c r="AZ72" i="1" s="1"/>
  <c r="BL101" i="1"/>
  <c r="BK101" i="1"/>
  <c r="BS71" i="1"/>
  <c r="AF71" i="1"/>
  <c r="AG71" i="1" s="1"/>
  <c r="AY71" i="1" s="1"/>
  <c r="CO77" i="1"/>
  <c r="CP77" i="1" s="1"/>
  <c r="DN77" i="1" s="1"/>
  <c r="EB77" i="1"/>
  <c r="BX71" i="1"/>
  <c r="BW71" i="1"/>
  <c r="BM63" i="1"/>
  <c r="Z63" i="1"/>
  <c r="AA63" i="1" s="1"/>
  <c r="AW63" i="1" s="1"/>
  <c r="AI61" i="1"/>
  <c r="AJ61" i="1" s="1"/>
  <c r="AZ61" i="1" s="1"/>
  <c r="BV61" i="1"/>
  <c r="CX108" i="1"/>
  <c r="CY108" i="1" s="1"/>
  <c r="DQ108" i="1" s="1"/>
  <c r="EK108" i="1"/>
  <c r="BS108" i="1"/>
  <c r="AF108" i="1"/>
  <c r="AG108" i="1" s="1"/>
  <c r="AY108" i="1" s="1"/>
  <c r="EY73" i="1"/>
  <c r="EX73" i="1"/>
  <c r="EB68" i="1"/>
  <c r="CO68" i="1"/>
  <c r="CP68" i="1" s="1"/>
  <c r="DN68" i="1" s="1"/>
  <c r="CE67" i="1"/>
  <c r="AR67" i="1"/>
  <c r="AS67" i="1" s="1"/>
  <c r="BC67" i="1" s="1"/>
  <c r="BJ58" i="1"/>
  <c r="W58" i="1"/>
  <c r="X58" i="1" s="1"/>
  <c r="AV58" i="1" s="1"/>
  <c r="AC86" i="1"/>
  <c r="AD86" i="1" s="1"/>
  <c r="AX86" i="1" s="1"/>
  <c r="BP86" i="1"/>
  <c r="CR82" i="1"/>
  <c r="CS82" i="1" s="1"/>
  <c r="DO82" i="1" s="1"/>
  <c r="EE82" i="1"/>
  <c r="BX73" i="1"/>
  <c r="BW73" i="1"/>
  <c r="DG60" i="1"/>
  <c r="DH60" i="1" s="1"/>
  <c r="DT60" i="1" s="1"/>
  <c r="ET60" i="1"/>
  <c r="CL80" i="1"/>
  <c r="CM80" i="1" s="1"/>
  <c r="DM80" i="1" s="1"/>
  <c r="DY80" i="1"/>
  <c r="CA74" i="1"/>
  <c r="BZ74" i="1"/>
  <c r="AI59" i="1"/>
  <c r="AJ59" i="1" s="1"/>
  <c r="AZ59" i="1" s="1"/>
  <c r="BV59" i="1"/>
  <c r="EH50" i="1"/>
  <c r="CU50" i="1"/>
  <c r="CV50" i="1" s="1"/>
  <c r="DP50" i="1" s="1"/>
  <c r="EQ50" i="1"/>
  <c r="DD50" i="1"/>
  <c r="DE50" i="1" s="1"/>
  <c r="DS50" i="1" s="1"/>
  <c r="CR42" i="1"/>
  <c r="CS42" i="1" s="1"/>
  <c r="DO42" i="1" s="1"/>
  <c r="EE42" i="1"/>
  <c r="EG74" i="1"/>
  <c r="EF74" i="1"/>
  <c r="BY52" i="1"/>
  <c r="AL52" i="1"/>
  <c r="AM52" i="1" s="1"/>
  <c r="BA52" i="1" s="1"/>
  <c r="EN51" i="1"/>
  <c r="DA51" i="1"/>
  <c r="DB51" i="1" s="1"/>
  <c r="DR51" i="1" s="1"/>
  <c r="BJ43" i="1"/>
  <c r="W43" i="1"/>
  <c r="X43" i="1" s="1"/>
  <c r="AV43" i="1" s="1"/>
  <c r="Z37" i="1"/>
  <c r="AA37" i="1" s="1"/>
  <c r="AW37" i="1" s="1"/>
  <c r="BM37" i="1"/>
  <c r="T54" i="1"/>
  <c r="U54" i="1" s="1"/>
  <c r="AU54" i="1" s="1"/>
  <c r="BG54" i="1"/>
  <c r="DZ60" i="1"/>
  <c r="EA60" i="1"/>
  <c r="BY54" i="1"/>
  <c r="AL54" i="1"/>
  <c r="AM54" i="1" s="1"/>
  <c r="BA54" i="1" s="1"/>
  <c r="ES77" i="1"/>
  <c r="ER77" i="1"/>
  <c r="AI54" i="1"/>
  <c r="AJ54" i="1" s="1"/>
  <c r="AZ54" i="1" s="1"/>
  <c r="BV54" i="1"/>
  <c r="T85" i="1"/>
  <c r="U85" i="1" s="1"/>
  <c r="AU85" i="1" s="1"/>
  <c r="BG85" i="1"/>
  <c r="CR57" i="1"/>
  <c r="CS57" i="1" s="1"/>
  <c r="DO57" i="1" s="1"/>
  <c r="EE57" i="1"/>
  <c r="AF48" i="1"/>
  <c r="AG48" i="1" s="1"/>
  <c r="AY48" i="1" s="1"/>
  <c r="BS48" i="1"/>
  <c r="AF38" i="1"/>
  <c r="AG38" i="1" s="1"/>
  <c r="AY38" i="1" s="1"/>
  <c r="BS38" i="1"/>
  <c r="Z32" i="1"/>
  <c r="AA32" i="1" s="1"/>
  <c r="AW32" i="1" s="1"/>
  <c r="BM32" i="1"/>
  <c r="BG44" i="1"/>
  <c r="T44" i="1"/>
  <c r="U44" i="1" s="1"/>
  <c r="AU44" i="1" s="1"/>
  <c r="BV28" i="1"/>
  <c r="AI28" i="1"/>
  <c r="AJ28" i="1" s="1"/>
  <c r="AZ28" i="1" s="1"/>
  <c r="AR25" i="1"/>
  <c r="AS25" i="1" s="1"/>
  <c r="BC25" i="1" s="1"/>
  <c r="CE25" i="1"/>
  <c r="EH11" i="1"/>
  <c r="CU11" i="1"/>
  <c r="CV11" i="1" s="1"/>
  <c r="DP11" i="1" s="1"/>
  <c r="BD44" i="1"/>
  <c r="Q44" i="1"/>
  <c r="R44" i="1" s="1"/>
  <c r="AT44" i="1" s="1"/>
  <c r="EE44" i="1"/>
  <c r="CR44" i="1"/>
  <c r="CS44" i="1" s="1"/>
  <c r="DO44" i="1" s="1"/>
  <c r="ER38" i="1"/>
  <c r="ES38" i="1"/>
  <c r="W29" i="1"/>
  <c r="X29" i="1" s="1"/>
  <c r="AV29" i="1" s="1"/>
  <c r="BJ29" i="1"/>
  <c r="AO24" i="1"/>
  <c r="AP24" i="1" s="1"/>
  <c r="BB24" i="1" s="1"/>
  <c r="CB24" i="1"/>
  <c r="DA31" i="1"/>
  <c r="DB31" i="1" s="1"/>
  <c r="DR31" i="1" s="1"/>
  <c r="EN31" i="1"/>
  <c r="AL17" i="1"/>
  <c r="AM17" i="1" s="1"/>
  <c r="BA17" i="1" s="1"/>
  <c r="BY17" i="1"/>
  <c r="EJ77" i="1"/>
  <c r="EI77" i="1"/>
  <c r="AI46" i="1"/>
  <c r="AJ46" i="1" s="1"/>
  <c r="AZ46" i="1" s="1"/>
  <c r="BV46" i="1"/>
  <c r="AF22" i="1"/>
  <c r="AG22" i="1" s="1"/>
  <c r="AY22" i="1" s="1"/>
  <c r="BS22" i="1"/>
  <c r="BM18" i="1"/>
  <c r="Z18" i="1"/>
  <c r="AA18" i="1" s="1"/>
  <c r="AW18" i="1" s="1"/>
  <c r="BG7" i="1"/>
  <c r="T7" i="1"/>
  <c r="U7" i="1" s="1"/>
  <c r="AU7" i="1" s="1"/>
  <c r="Q21" i="1"/>
  <c r="R21" i="1" s="1"/>
  <c r="AT21" i="1" s="1"/>
  <c r="BD21" i="1"/>
  <c r="EK55" i="1"/>
  <c r="CX55" i="1"/>
  <c r="CY55" i="1" s="1"/>
  <c r="DQ55" i="1" s="1"/>
  <c r="CD51" i="1"/>
  <c r="CC51" i="1"/>
  <c r="CL25" i="1"/>
  <c r="CM25" i="1" s="1"/>
  <c r="DM25" i="1" s="1"/>
  <c r="DY25" i="1"/>
  <c r="ET4" i="1"/>
  <c r="DG4" i="1"/>
  <c r="DH4" i="1" s="1"/>
  <c r="DT4" i="1" s="1"/>
  <c r="BS24" i="1"/>
  <c r="AF24" i="1"/>
  <c r="AG24" i="1" s="1"/>
  <c r="AY24" i="1" s="1"/>
  <c r="Z26" i="1"/>
  <c r="AA26" i="1" s="1"/>
  <c r="AW26" i="1" s="1"/>
  <c r="BM26" i="1"/>
  <c r="EB13" i="1"/>
  <c r="CO13" i="1"/>
  <c r="CP13" i="1" s="1"/>
  <c r="DN13" i="1" s="1"/>
  <c r="EQ4" i="1"/>
  <c r="DD4" i="1"/>
  <c r="DE4" i="1" s="1"/>
  <c r="DS4" i="1" s="1"/>
  <c r="CI34" i="1"/>
  <c r="CJ34" i="1" s="1"/>
  <c r="DL34" i="1" s="1"/>
  <c r="DV34" i="1"/>
  <c r="CR34" i="1"/>
  <c r="CS34" i="1" s="1"/>
  <c r="DO34" i="1" s="1"/>
  <c r="EE34" i="1"/>
  <c r="ED19" i="1"/>
  <c r="EC19" i="1"/>
  <c r="EP11" i="1"/>
  <c r="EO11" i="1"/>
  <c r="EQ8" i="1"/>
  <c r="DD8" i="1"/>
  <c r="DE8" i="1" s="1"/>
  <c r="DS8" i="1" s="1"/>
  <c r="CO10" i="1"/>
  <c r="CP10" i="1" s="1"/>
  <c r="DN10" i="1" s="1"/>
  <c r="EB10" i="1"/>
  <c r="AF9" i="1"/>
  <c r="AG9" i="1" s="1"/>
  <c r="AY9" i="1" s="1"/>
  <c r="BS9" i="1"/>
  <c r="BU70" i="1"/>
  <c r="BT70" i="1"/>
  <c r="AC2" i="1"/>
  <c r="BP2" i="1"/>
  <c r="CB5" i="1"/>
  <c r="AO5" i="1"/>
  <c r="AP5" i="1" s="1"/>
  <c r="BB5" i="1" s="1"/>
  <c r="DV15" i="1"/>
  <c r="CI15" i="1"/>
  <c r="CJ15" i="1" s="1"/>
  <c r="DL15" i="1" s="1"/>
  <c r="DD15" i="1"/>
  <c r="DE15" i="1" s="1"/>
  <c r="DS15" i="1" s="1"/>
  <c r="EQ15" i="1"/>
  <c r="CF7" i="1"/>
  <c r="CG7" i="1"/>
  <c r="EV8" i="1"/>
  <c r="EU8" i="1"/>
  <c r="AD14" i="1"/>
  <c r="BX81" i="1"/>
  <c r="BW81" i="1"/>
  <c r="BO4" i="1"/>
  <c r="BN4" i="1"/>
  <c r="CD10" i="1"/>
  <c r="CC10" i="1"/>
  <c r="BQ25" i="1"/>
  <c r="BR25" i="1"/>
  <c r="AC35" i="1"/>
  <c r="AD35" i="1" s="1"/>
  <c r="AX35" i="1" s="1"/>
  <c r="BP35" i="1"/>
  <c r="EL31" i="1"/>
  <c r="EM31" i="1"/>
  <c r="BG23" i="1"/>
  <c r="T23" i="1"/>
  <c r="U23" i="1" s="1"/>
  <c r="AU23" i="1" s="1"/>
  <c r="BX25" i="1"/>
  <c r="BW25" i="1"/>
  <c r="BV5" i="1"/>
  <c r="AI5" i="1"/>
  <c r="AJ5" i="1" s="1"/>
  <c r="AZ5" i="1" s="1"/>
  <c r="DY231" i="1"/>
  <c r="CL231" i="1"/>
  <c r="CM231" i="1" s="1"/>
  <c r="DM231" i="1" s="1"/>
  <c r="AF180" i="1"/>
  <c r="AG180" i="1" s="1"/>
  <c r="AY180" i="1" s="1"/>
  <c r="BS180" i="1"/>
  <c r="BP109" i="1"/>
  <c r="AC109" i="1"/>
  <c r="AD109" i="1" s="1"/>
  <c r="AX109" i="1" s="1"/>
  <c r="DY6" i="1"/>
  <c r="CL6" i="1"/>
  <c r="CM6" i="1" s="1"/>
  <c r="DM6" i="1" s="1"/>
  <c r="EC283" i="1"/>
  <c r="ED283" i="1"/>
  <c r="BJ240" i="1"/>
  <c r="W240" i="1"/>
  <c r="X240" i="1" s="1"/>
  <c r="AV240" i="1" s="1"/>
  <c r="EK231" i="1"/>
  <c r="CX231" i="1"/>
  <c r="CY231" i="1" s="1"/>
  <c r="DQ231" i="1" s="1"/>
  <c r="CL219" i="1"/>
  <c r="CM219" i="1" s="1"/>
  <c r="DM219" i="1" s="1"/>
  <c r="DY219" i="1"/>
  <c r="CX205" i="1"/>
  <c r="CY205" i="1" s="1"/>
  <c r="DQ205" i="1" s="1"/>
  <c r="EK205" i="1"/>
  <c r="EN207" i="1"/>
  <c r="DA207" i="1"/>
  <c r="DB207" i="1" s="1"/>
  <c r="DR207" i="1" s="1"/>
  <c r="CU168" i="1"/>
  <c r="CV168" i="1" s="1"/>
  <c r="DP168" i="1" s="1"/>
  <c r="EH168" i="1"/>
  <c r="AI178" i="1"/>
  <c r="AJ178" i="1" s="1"/>
  <c r="AZ178" i="1" s="1"/>
  <c r="BV178" i="1"/>
  <c r="CL160" i="1"/>
  <c r="CM160" i="1" s="1"/>
  <c r="DM160" i="1" s="1"/>
  <c r="DY160" i="1"/>
  <c r="BV125" i="1"/>
  <c r="AI125" i="1"/>
  <c r="AJ125" i="1" s="1"/>
  <c r="AZ125" i="1" s="1"/>
  <c r="AC124" i="1"/>
  <c r="AD124" i="1" s="1"/>
  <c r="AX124" i="1" s="1"/>
  <c r="BP124" i="1"/>
  <c r="DY99" i="1"/>
  <c r="CL99" i="1"/>
  <c r="CM99" i="1" s="1"/>
  <c r="DM99" i="1" s="1"/>
  <c r="CU64" i="1"/>
  <c r="CV64" i="1" s="1"/>
  <c r="DP64" i="1" s="1"/>
  <c r="EH64" i="1"/>
  <c r="CL74" i="1"/>
  <c r="CM74" i="1" s="1"/>
  <c r="DM74" i="1" s="1"/>
  <c r="DY74" i="1"/>
  <c r="BV108" i="1"/>
  <c r="AI108" i="1"/>
  <c r="AJ108" i="1" s="1"/>
  <c r="AZ108" i="1" s="1"/>
  <c r="CA104" i="1"/>
  <c r="BZ104" i="1"/>
  <c r="EK46" i="1"/>
  <c r="CX46" i="1"/>
  <c r="CY46" i="1" s="1"/>
  <c r="DQ46" i="1" s="1"/>
  <c r="BY269" i="1"/>
  <c r="AL269" i="1"/>
  <c r="AM269" i="1" s="1"/>
  <c r="BA269" i="1" s="1"/>
  <c r="EK236" i="1"/>
  <c r="CX236" i="1"/>
  <c r="CY236" i="1" s="1"/>
  <c r="DQ236" i="1" s="1"/>
  <c r="BP218" i="1"/>
  <c r="AC218" i="1"/>
  <c r="AD218" i="1" s="1"/>
  <c r="AX218" i="1" s="1"/>
  <c r="EA291" i="1"/>
  <c r="DZ291" i="1"/>
  <c r="EB266" i="1"/>
  <c r="CO266" i="1"/>
  <c r="CP266" i="1" s="1"/>
  <c r="DN266" i="1" s="1"/>
  <c r="AC270" i="1"/>
  <c r="AD270" i="1" s="1"/>
  <c r="AX270" i="1" s="1"/>
  <c r="BP270" i="1"/>
  <c r="BY255" i="1"/>
  <c r="AL255" i="1"/>
  <c r="AM255" i="1" s="1"/>
  <c r="BA255" i="1" s="1"/>
  <c r="EH234" i="1"/>
  <c r="CU234" i="1"/>
  <c r="CV234" i="1" s="1"/>
  <c r="DP234" i="1" s="1"/>
  <c r="EE253" i="1"/>
  <c r="CR253" i="1"/>
  <c r="CS253" i="1" s="1"/>
  <c r="DO253" i="1" s="1"/>
  <c r="ES243" i="1"/>
  <c r="ER243" i="1"/>
  <c r="EO253" i="1"/>
  <c r="EP253" i="1"/>
  <c r="DY226" i="1"/>
  <c r="CL226" i="1"/>
  <c r="CM226" i="1" s="1"/>
  <c r="DM226" i="1" s="1"/>
  <c r="CO218" i="1"/>
  <c r="CP218" i="1" s="1"/>
  <c r="DN218" i="1" s="1"/>
  <c r="EB218" i="1"/>
  <c r="DV186" i="1"/>
  <c r="CI186" i="1"/>
  <c r="CJ186" i="1" s="1"/>
  <c r="DL186" i="1" s="1"/>
  <c r="DV167" i="1"/>
  <c r="CI167" i="1"/>
  <c r="CJ167" i="1" s="1"/>
  <c r="DL167" i="1" s="1"/>
  <c r="AC189" i="1"/>
  <c r="AD189" i="1" s="1"/>
  <c r="AX189" i="1" s="1"/>
  <c r="BP189" i="1"/>
  <c r="CG199" i="1"/>
  <c r="CF199" i="1"/>
  <c r="CE163" i="1"/>
  <c r="AR163" i="1"/>
  <c r="AS163" i="1" s="1"/>
  <c r="BC163" i="1" s="1"/>
  <c r="EN165" i="1"/>
  <c r="DA165" i="1"/>
  <c r="DB165" i="1" s="1"/>
  <c r="DR165" i="1" s="1"/>
  <c r="DJ159" i="1"/>
  <c r="DK159" i="1" s="1"/>
  <c r="DU159" i="1" s="1"/>
  <c r="EW159" i="1"/>
  <c r="DA142" i="1"/>
  <c r="DB142" i="1" s="1"/>
  <c r="DR142" i="1" s="1"/>
  <c r="EN142" i="1"/>
  <c r="EH125" i="1"/>
  <c r="CU125" i="1"/>
  <c r="CV125" i="1" s="1"/>
  <c r="DP125" i="1" s="1"/>
  <c r="DY138" i="1"/>
  <c r="CL138" i="1"/>
  <c r="CM138" i="1" s="1"/>
  <c r="DM138" i="1" s="1"/>
  <c r="BG122" i="1"/>
  <c r="T122" i="1"/>
  <c r="U122" i="1" s="1"/>
  <c r="AU122" i="1" s="1"/>
  <c r="BI175" i="1"/>
  <c r="BH175" i="1"/>
  <c r="T116" i="1"/>
  <c r="U116" i="1" s="1"/>
  <c r="AU116" i="1" s="1"/>
  <c r="BG116" i="1"/>
  <c r="BL134" i="1"/>
  <c r="BK134" i="1"/>
  <c r="EQ116" i="1"/>
  <c r="DD116" i="1"/>
  <c r="DE116" i="1" s="1"/>
  <c r="DS116" i="1" s="1"/>
  <c r="CO111" i="1"/>
  <c r="CP111" i="1" s="1"/>
  <c r="DN111" i="1" s="1"/>
  <c r="EB111" i="1"/>
  <c r="CG124" i="1"/>
  <c r="CF124" i="1"/>
  <c r="BM97" i="1"/>
  <c r="Z97" i="1"/>
  <c r="AA97" i="1" s="1"/>
  <c r="AW97" i="1" s="1"/>
  <c r="AC73" i="1"/>
  <c r="AD73" i="1" s="1"/>
  <c r="AX73" i="1" s="1"/>
  <c r="BP73" i="1"/>
  <c r="ED99" i="1"/>
  <c r="EC99" i="1"/>
  <c r="BJ72" i="1"/>
  <c r="W72" i="1"/>
  <c r="X72" i="1" s="1"/>
  <c r="AV72" i="1" s="1"/>
  <c r="EY78" i="1"/>
  <c r="EX78" i="1"/>
  <c r="AR108" i="1"/>
  <c r="AS108" i="1" s="1"/>
  <c r="BC108" i="1" s="1"/>
  <c r="CE108" i="1"/>
  <c r="AO86" i="1"/>
  <c r="AP86" i="1" s="1"/>
  <c r="BB86" i="1" s="1"/>
  <c r="CB86" i="1"/>
  <c r="EV75" i="1"/>
  <c r="EU75" i="1"/>
  <c r="CA81" i="1"/>
  <c r="BZ81" i="1"/>
  <c r="EY61" i="1"/>
  <c r="EX61" i="1"/>
  <c r="EB41" i="1"/>
  <c r="CO41" i="1"/>
  <c r="CP41" i="1" s="1"/>
  <c r="DN41" i="1" s="1"/>
  <c r="DD42" i="1"/>
  <c r="DE42" i="1" s="1"/>
  <c r="DS42" i="1" s="1"/>
  <c r="EQ42" i="1"/>
  <c r="BV43" i="1"/>
  <c r="AI43" i="1"/>
  <c r="AJ43" i="1" s="1"/>
  <c r="AZ43" i="1" s="1"/>
  <c r="DX68" i="1"/>
  <c r="DW68" i="1"/>
  <c r="AR48" i="1"/>
  <c r="AS48" i="1" s="1"/>
  <c r="BC48" i="1" s="1"/>
  <c r="CE48" i="1"/>
  <c r="AI42" i="1"/>
  <c r="AJ42" i="1" s="1"/>
  <c r="AZ42" i="1" s="1"/>
  <c r="BV42" i="1"/>
  <c r="DJ19" i="1"/>
  <c r="DK19" i="1" s="1"/>
  <c r="DU19" i="1" s="1"/>
  <c r="EW19" i="1"/>
  <c r="BM24" i="1"/>
  <c r="Z24" i="1"/>
  <c r="AA24" i="1" s="1"/>
  <c r="AW24" i="1" s="1"/>
  <c r="AI29" i="1"/>
  <c r="AJ29" i="1" s="1"/>
  <c r="AZ29" i="1" s="1"/>
  <c r="BV29" i="1"/>
  <c r="CI46" i="1"/>
  <c r="CJ46" i="1" s="1"/>
  <c r="DL46" i="1" s="1"/>
  <c r="DV46" i="1"/>
  <c r="Q22" i="1"/>
  <c r="R22" i="1" s="1"/>
  <c r="AT22" i="1" s="1"/>
  <c r="BD22" i="1"/>
  <c r="AC21" i="1"/>
  <c r="AD21" i="1" s="1"/>
  <c r="AX21" i="1" s="1"/>
  <c r="BP21" i="1"/>
  <c r="BY25" i="1"/>
  <c r="AL25" i="1"/>
  <c r="AM25" i="1" s="1"/>
  <c r="BA25" i="1" s="1"/>
  <c r="BY26" i="1"/>
  <c r="AL26" i="1"/>
  <c r="AM26" i="1" s="1"/>
  <c r="BA26" i="1" s="1"/>
  <c r="EU33" i="1"/>
  <c r="EV33" i="1"/>
  <c r="DA10" i="1"/>
  <c r="DB10" i="1" s="1"/>
  <c r="DR10" i="1" s="1"/>
  <c r="EN10" i="1"/>
  <c r="BJ271" i="1"/>
  <c r="W271" i="1"/>
  <c r="X271" i="1" s="1"/>
  <c r="AV271" i="1" s="1"/>
  <c r="DJ266" i="1"/>
  <c r="DK266" i="1" s="1"/>
  <c r="DU266" i="1" s="1"/>
  <c r="EW266" i="1"/>
  <c r="DA266" i="1"/>
  <c r="DB266" i="1" s="1"/>
  <c r="DR266" i="1" s="1"/>
  <c r="EN266" i="1"/>
  <c r="EV276" i="1"/>
  <c r="EU276" i="1"/>
  <c r="DV266" i="1"/>
  <c r="CI266" i="1"/>
  <c r="CJ266" i="1" s="1"/>
  <c r="DL266" i="1" s="1"/>
  <c r="BV268" i="1"/>
  <c r="AI268" i="1"/>
  <c r="AJ268" i="1" s="1"/>
  <c r="AZ268" i="1" s="1"/>
  <c r="EK267" i="1"/>
  <c r="CX267" i="1"/>
  <c r="CY267" i="1" s="1"/>
  <c r="DQ267" i="1" s="1"/>
  <c r="DA270" i="1"/>
  <c r="DB270" i="1" s="1"/>
  <c r="DR270" i="1" s="1"/>
  <c r="EN270" i="1"/>
  <c r="AO270" i="1"/>
  <c r="AP270" i="1" s="1"/>
  <c r="BB270" i="1" s="1"/>
  <c r="CB270" i="1"/>
  <c r="DX275" i="1"/>
  <c r="DW275" i="1"/>
  <c r="CU267" i="1"/>
  <c r="CV267" i="1" s="1"/>
  <c r="DP267" i="1" s="1"/>
  <c r="EH267" i="1"/>
  <c r="CO262" i="1"/>
  <c r="CP262" i="1" s="1"/>
  <c r="DN262" i="1" s="1"/>
  <c r="EB262" i="1"/>
  <c r="CX252" i="1"/>
  <c r="CY252" i="1" s="1"/>
  <c r="DQ252" i="1" s="1"/>
  <c r="EK252" i="1"/>
  <c r="EH252" i="1"/>
  <c r="CU252" i="1"/>
  <c r="CV252" i="1" s="1"/>
  <c r="DP252" i="1" s="1"/>
  <c r="AC263" i="1"/>
  <c r="AD263" i="1" s="1"/>
  <c r="AX263" i="1" s="1"/>
  <c r="BP263" i="1"/>
  <c r="CE264" i="1"/>
  <c r="AR264" i="1"/>
  <c r="AS264" i="1" s="1"/>
  <c r="BC264" i="1" s="1"/>
  <c r="DJ264" i="1"/>
  <c r="DK264" i="1" s="1"/>
  <c r="DU264" i="1" s="1"/>
  <c r="EW264" i="1"/>
  <c r="DV259" i="1"/>
  <c r="CI259" i="1"/>
  <c r="CJ259" i="1" s="1"/>
  <c r="DL259" i="1" s="1"/>
  <c r="BM257" i="1"/>
  <c r="Z257" i="1"/>
  <c r="AA257" i="1" s="1"/>
  <c r="AW257" i="1" s="1"/>
  <c r="EE257" i="1"/>
  <c r="CR257" i="1"/>
  <c r="CS257" i="1" s="1"/>
  <c r="DO257" i="1" s="1"/>
  <c r="AF251" i="1"/>
  <c r="AG251" i="1" s="1"/>
  <c r="AY251" i="1" s="1"/>
  <c r="BS251" i="1"/>
  <c r="AC241" i="1"/>
  <c r="AD241" i="1" s="1"/>
  <c r="AX241" i="1" s="1"/>
  <c r="BP241" i="1"/>
  <c r="CU247" i="1"/>
  <c r="CV247" i="1" s="1"/>
  <c r="DP247" i="1" s="1"/>
  <c r="EH247" i="1"/>
  <c r="CU240" i="1"/>
  <c r="CV240" i="1" s="1"/>
  <c r="DP240" i="1" s="1"/>
  <c r="EH240" i="1"/>
  <c r="AF247" i="1"/>
  <c r="AG247" i="1" s="1"/>
  <c r="AY247" i="1" s="1"/>
  <c r="BS247" i="1"/>
  <c r="AL240" i="1"/>
  <c r="AM240" i="1" s="1"/>
  <c r="BA240" i="1" s="1"/>
  <c r="BY240" i="1"/>
  <c r="EW247" i="1"/>
  <c r="DJ247" i="1"/>
  <c r="DK247" i="1" s="1"/>
  <c r="DU247" i="1" s="1"/>
  <c r="EQ242" i="1"/>
  <c r="DD242" i="1"/>
  <c r="DE242" i="1" s="1"/>
  <c r="DS242" i="1" s="1"/>
  <c r="DV234" i="1"/>
  <c r="CI234" i="1"/>
  <c r="CJ234" i="1" s="1"/>
  <c r="DL234" i="1" s="1"/>
  <c r="Z234" i="1"/>
  <c r="AA234" i="1" s="1"/>
  <c r="AW234" i="1" s="1"/>
  <c r="BM234" i="1"/>
  <c r="CI250" i="1"/>
  <c r="CJ250" i="1" s="1"/>
  <c r="DL250" i="1" s="1"/>
  <c r="DV250" i="1"/>
  <c r="AC253" i="1"/>
  <c r="AD253" i="1" s="1"/>
  <c r="AX253" i="1" s="1"/>
  <c r="BP253" i="1"/>
  <c r="BM253" i="1"/>
  <c r="Z253" i="1"/>
  <c r="AA253" i="1" s="1"/>
  <c r="AW253" i="1" s="1"/>
  <c r="BS234" i="1"/>
  <c r="AF234" i="1"/>
  <c r="AG234" i="1" s="1"/>
  <c r="AY234" i="1" s="1"/>
  <c r="CL250" i="1"/>
  <c r="CM250" i="1" s="1"/>
  <c r="DM250" i="1" s="1"/>
  <c r="DY250" i="1"/>
  <c r="EN237" i="1"/>
  <c r="DA237" i="1"/>
  <c r="DB237" i="1" s="1"/>
  <c r="DR237" i="1" s="1"/>
  <c r="DA236" i="1"/>
  <c r="DB236" i="1" s="1"/>
  <c r="DR236" i="1" s="1"/>
  <c r="EN236" i="1"/>
  <c r="CX238" i="1"/>
  <c r="CY238" i="1" s="1"/>
  <c r="DQ238" i="1" s="1"/>
  <c r="EK238" i="1"/>
  <c r="AI231" i="1"/>
  <c r="AJ231" i="1" s="1"/>
  <c r="AZ231" i="1" s="1"/>
  <c r="BV231" i="1"/>
  <c r="AF243" i="1"/>
  <c r="AG243" i="1" s="1"/>
  <c r="AY243" i="1" s="1"/>
  <c r="BS243" i="1"/>
  <c r="BS233" i="1"/>
  <c r="AF233" i="1"/>
  <c r="AG233" i="1" s="1"/>
  <c r="AY233" i="1" s="1"/>
  <c r="DY232" i="1"/>
  <c r="CL232" i="1"/>
  <c r="CM232" i="1" s="1"/>
  <c r="DM232" i="1" s="1"/>
  <c r="BX234" i="1"/>
  <c r="BW234" i="1"/>
  <c r="DJ260" i="1"/>
  <c r="DK260" i="1" s="1"/>
  <c r="DU260" i="1" s="1"/>
  <c r="EW260" i="1"/>
  <c r="BD230" i="1"/>
  <c r="Q230" i="1"/>
  <c r="R230" i="1" s="1"/>
  <c r="AT230" i="1" s="1"/>
  <c r="CL237" i="1"/>
  <c r="CM237" i="1" s="1"/>
  <c r="DM237" i="1" s="1"/>
  <c r="DY237" i="1"/>
  <c r="CR237" i="1"/>
  <c r="CS237" i="1" s="1"/>
  <c r="DO237" i="1" s="1"/>
  <c r="EE237" i="1"/>
  <c r="AI226" i="1"/>
  <c r="AJ226" i="1" s="1"/>
  <c r="AZ226" i="1" s="1"/>
  <c r="BV226" i="1"/>
  <c r="AR229" i="1"/>
  <c r="AS229" i="1" s="1"/>
  <c r="BC229" i="1" s="1"/>
  <c r="CE229" i="1"/>
  <c r="EW227" i="1"/>
  <c r="DJ227" i="1"/>
  <c r="DK227" i="1" s="1"/>
  <c r="DU227" i="1" s="1"/>
  <c r="CX228" i="1"/>
  <c r="CY228" i="1" s="1"/>
  <c r="DQ228" i="1" s="1"/>
  <c r="EK228" i="1"/>
  <c r="EN223" i="1"/>
  <c r="DA223" i="1"/>
  <c r="DB223" i="1" s="1"/>
  <c r="DR223" i="1" s="1"/>
  <c r="EV226" i="1"/>
  <c r="EU226" i="1"/>
  <c r="BP217" i="1"/>
  <c r="AC217" i="1"/>
  <c r="AD217" i="1" s="1"/>
  <c r="AX217" i="1" s="1"/>
  <c r="CL213" i="1"/>
  <c r="CM213" i="1" s="1"/>
  <c r="DM213" i="1" s="1"/>
  <c r="DY213" i="1"/>
  <c r="EQ217" i="1"/>
  <c r="DD217" i="1"/>
  <c r="DE217" i="1" s="1"/>
  <c r="DS217" i="1" s="1"/>
  <c r="DJ214" i="1"/>
  <c r="DK214" i="1" s="1"/>
  <c r="DU214" i="1" s="1"/>
  <c r="EW214" i="1"/>
  <c r="DG221" i="1"/>
  <c r="DH221" i="1" s="1"/>
  <c r="DT221" i="1" s="1"/>
  <c r="ET221" i="1"/>
  <c r="BD221" i="1"/>
  <c r="Q221" i="1"/>
  <c r="R221" i="1" s="1"/>
  <c r="AT221" i="1" s="1"/>
  <c r="CO220" i="1"/>
  <c r="CP220" i="1" s="1"/>
  <c r="DN220" i="1" s="1"/>
  <c r="EB220" i="1"/>
  <c r="EB219" i="1"/>
  <c r="CO219" i="1"/>
  <c r="CP219" i="1" s="1"/>
  <c r="DN219" i="1" s="1"/>
  <c r="AF205" i="1"/>
  <c r="AG205" i="1" s="1"/>
  <c r="AY205" i="1" s="1"/>
  <c r="BS205" i="1"/>
  <c r="CX203" i="1"/>
  <c r="CY203" i="1" s="1"/>
  <c r="DQ203" i="1" s="1"/>
  <c r="EK203" i="1"/>
  <c r="BL214" i="1"/>
  <c r="BK214" i="1"/>
  <c r="AC204" i="1"/>
  <c r="AD204" i="1" s="1"/>
  <c r="AX204" i="1" s="1"/>
  <c r="BP204" i="1"/>
  <c r="EI215" i="1"/>
  <c r="EJ215" i="1"/>
  <c r="CO203" i="1"/>
  <c r="CP203" i="1" s="1"/>
  <c r="DN203" i="1" s="1"/>
  <c r="EB203" i="1"/>
  <c r="CB211" i="1"/>
  <c r="AO211" i="1"/>
  <c r="AP211" i="1" s="1"/>
  <c r="BB211" i="1" s="1"/>
  <c r="T212" i="1"/>
  <c r="U212" i="1" s="1"/>
  <c r="AU212" i="1" s="1"/>
  <c r="BG212" i="1"/>
  <c r="ET208" i="1"/>
  <c r="DG208" i="1"/>
  <c r="DH208" i="1" s="1"/>
  <c r="DT208" i="1" s="1"/>
  <c r="BY208" i="1"/>
  <c r="AL208" i="1"/>
  <c r="AM208" i="1" s="1"/>
  <c r="BA208" i="1" s="1"/>
  <c r="W207" i="1"/>
  <c r="X207" i="1" s="1"/>
  <c r="AV207" i="1" s="1"/>
  <c r="BJ207" i="1"/>
  <c r="DG205" i="1"/>
  <c r="DH205" i="1" s="1"/>
  <c r="DT205" i="1" s="1"/>
  <c r="ET205" i="1"/>
  <c r="ET218" i="1"/>
  <c r="DG218" i="1"/>
  <c r="DH218" i="1" s="1"/>
  <c r="DT218" i="1" s="1"/>
  <c r="DA218" i="1"/>
  <c r="DB218" i="1" s="1"/>
  <c r="DR218" i="1" s="1"/>
  <c r="EN218" i="1"/>
  <c r="BQ206" i="1"/>
  <c r="BR206" i="1"/>
  <c r="EN187" i="1"/>
  <c r="DA187" i="1"/>
  <c r="DB187" i="1" s="1"/>
  <c r="DR187" i="1" s="1"/>
  <c r="EL200" i="1"/>
  <c r="EM200" i="1"/>
  <c r="T190" i="1"/>
  <c r="U190" i="1" s="1"/>
  <c r="AU190" i="1" s="1"/>
  <c r="BG190" i="1"/>
  <c r="AC175" i="1"/>
  <c r="AD175" i="1" s="1"/>
  <c r="AX175" i="1" s="1"/>
  <c r="BP175" i="1"/>
  <c r="AM209" i="1"/>
  <c r="AI199" i="1"/>
  <c r="AJ199" i="1" s="1"/>
  <c r="AZ199" i="1" s="1"/>
  <c r="BV199" i="1"/>
  <c r="CX187" i="1"/>
  <c r="CY187" i="1" s="1"/>
  <c r="DQ187" i="1" s="1"/>
  <c r="EK187" i="1"/>
  <c r="BD198" i="1"/>
  <c r="Q198" i="1"/>
  <c r="R198" i="1" s="1"/>
  <c r="AT198" i="1" s="1"/>
  <c r="CB188" i="1"/>
  <c r="AO188" i="1"/>
  <c r="AP188" i="1" s="1"/>
  <c r="BB188" i="1" s="1"/>
  <c r="ET175" i="1"/>
  <c r="DG175" i="1"/>
  <c r="DH175" i="1" s="1"/>
  <c r="DT175" i="1" s="1"/>
  <c r="DY189" i="1"/>
  <c r="CL189" i="1"/>
  <c r="CM189" i="1" s="1"/>
  <c r="DM189" i="1" s="1"/>
  <c r="DV176" i="1"/>
  <c r="CI176" i="1"/>
  <c r="CJ176" i="1" s="1"/>
  <c r="DL176" i="1" s="1"/>
  <c r="DZ190" i="1"/>
  <c r="EA190" i="1"/>
  <c r="BY176" i="1"/>
  <c r="AL176" i="1"/>
  <c r="AM176" i="1" s="1"/>
  <c r="BA176" i="1" s="1"/>
  <c r="AL193" i="1"/>
  <c r="AM193" i="1" s="1"/>
  <c r="BA193" i="1" s="1"/>
  <c r="BY193" i="1"/>
  <c r="BL234" i="1"/>
  <c r="BK234" i="1"/>
  <c r="ET180" i="1"/>
  <c r="DG180" i="1"/>
  <c r="DH180" i="1" s="1"/>
  <c r="DT180" i="1" s="1"/>
  <c r="DY181" i="1"/>
  <c r="CL181" i="1"/>
  <c r="CM181" i="1" s="1"/>
  <c r="DM181" i="1" s="1"/>
  <c r="BS181" i="1"/>
  <c r="AF181" i="1"/>
  <c r="AG181" i="1" s="1"/>
  <c r="AY181" i="1" s="1"/>
  <c r="Q185" i="1"/>
  <c r="R185" i="1" s="1"/>
  <c r="AT185" i="1" s="1"/>
  <c r="BD185" i="1"/>
  <c r="BD182" i="1"/>
  <c r="Q182" i="1"/>
  <c r="R182" i="1" s="1"/>
  <c r="AT182" i="1" s="1"/>
  <c r="AI182" i="1"/>
  <c r="AJ182" i="1" s="1"/>
  <c r="AZ182" i="1" s="1"/>
  <c r="BV182" i="1"/>
  <c r="CL174" i="1"/>
  <c r="CM174" i="1" s="1"/>
  <c r="DM174" i="1" s="1"/>
  <c r="DY174" i="1"/>
  <c r="AL174" i="1"/>
  <c r="AM174" i="1" s="1"/>
  <c r="BA174" i="1" s="1"/>
  <c r="BY174" i="1"/>
  <c r="BD192" i="1"/>
  <c r="Q192" i="1"/>
  <c r="R192" i="1" s="1"/>
  <c r="AT192" i="1" s="1"/>
  <c r="EK192" i="1"/>
  <c r="CX192" i="1"/>
  <c r="CY192" i="1" s="1"/>
  <c r="DQ192" i="1" s="1"/>
  <c r="DA191" i="1"/>
  <c r="DB191" i="1" s="1"/>
  <c r="DR191" i="1" s="1"/>
  <c r="EN191" i="1"/>
  <c r="BO177" i="1"/>
  <c r="BN177" i="1"/>
  <c r="BP164" i="1"/>
  <c r="AC164" i="1"/>
  <c r="AD164" i="1" s="1"/>
  <c r="AX164" i="1" s="1"/>
  <c r="CF192" i="1"/>
  <c r="CG192" i="1"/>
  <c r="BD178" i="1"/>
  <c r="Q178" i="1"/>
  <c r="R178" i="1" s="1"/>
  <c r="AT178" i="1" s="1"/>
  <c r="EW165" i="1"/>
  <c r="DJ165" i="1"/>
  <c r="DK165" i="1" s="1"/>
  <c r="DU165" i="1" s="1"/>
  <c r="EH162" i="1"/>
  <c r="CU162" i="1"/>
  <c r="CV162" i="1" s="1"/>
  <c r="DP162" i="1" s="1"/>
  <c r="EN171" i="1"/>
  <c r="DA171" i="1"/>
  <c r="DB171" i="1" s="1"/>
  <c r="DR171" i="1" s="1"/>
  <c r="EK166" i="1"/>
  <c r="CX166" i="1"/>
  <c r="CY166" i="1" s="1"/>
  <c r="DQ166" i="1" s="1"/>
  <c r="AL165" i="1"/>
  <c r="AM165" i="1" s="1"/>
  <c r="BA165" i="1" s="1"/>
  <c r="BY165" i="1"/>
  <c r="BD162" i="1"/>
  <c r="Q162" i="1"/>
  <c r="R162" i="1" s="1"/>
  <c r="AT162" i="1" s="1"/>
  <c r="DJ169" i="1"/>
  <c r="DK169" i="1" s="1"/>
  <c r="DU169" i="1" s="1"/>
  <c r="EW169" i="1"/>
  <c r="ET160" i="1"/>
  <c r="DG160" i="1"/>
  <c r="DH160" i="1" s="1"/>
  <c r="DT160" i="1" s="1"/>
  <c r="EJ181" i="1"/>
  <c r="EI181" i="1"/>
  <c r="DZ166" i="1"/>
  <c r="EA166" i="1"/>
  <c r="CX161" i="1"/>
  <c r="CY161" i="1" s="1"/>
  <c r="DQ161" i="1" s="1"/>
  <c r="EK161" i="1"/>
  <c r="DD164" i="1"/>
  <c r="DE164" i="1" s="1"/>
  <c r="DS164" i="1" s="1"/>
  <c r="EQ164" i="1"/>
  <c r="EQ155" i="1"/>
  <c r="DD155" i="1"/>
  <c r="DE155" i="1" s="1"/>
  <c r="DS155" i="1" s="1"/>
  <c r="AI169" i="1"/>
  <c r="AJ169" i="1" s="1"/>
  <c r="AZ169" i="1" s="1"/>
  <c r="BV169" i="1"/>
  <c r="CB169" i="1"/>
  <c r="AO169" i="1"/>
  <c r="AP169" i="1" s="1"/>
  <c r="BB169" i="1" s="1"/>
  <c r="AR145" i="1"/>
  <c r="AS145" i="1" s="1"/>
  <c r="BC145" i="1" s="1"/>
  <c r="CE145" i="1"/>
  <c r="BM156" i="1"/>
  <c r="Z156" i="1"/>
  <c r="AA156" i="1" s="1"/>
  <c r="AW156" i="1" s="1"/>
  <c r="CR142" i="1"/>
  <c r="CS142" i="1" s="1"/>
  <c r="DO142" i="1" s="1"/>
  <c r="EE142" i="1"/>
  <c r="BR171" i="1"/>
  <c r="BQ171" i="1"/>
  <c r="AR159" i="1"/>
  <c r="AS159" i="1" s="1"/>
  <c r="BC159" i="1" s="1"/>
  <c r="CE159" i="1"/>
  <c r="EV185" i="1"/>
  <c r="EU185" i="1"/>
  <c r="DA143" i="1"/>
  <c r="DB143" i="1" s="1"/>
  <c r="DR143" i="1" s="1"/>
  <c r="EN143" i="1"/>
  <c r="DY150" i="1"/>
  <c r="CL150" i="1"/>
  <c r="CM150" i="1" s="1"/>
  <c r="DM150" i="1" s="1"/>
  <c r="CL149" i="1"/>
  <c r="CM149" i="1" s="1"/>
  <c r="DM149" i="1" s="1"/>
  <c r="DY149" i="1"/>
  <c r="DD143" i="1"/>
  <c r="DE143" i="1" s="1"/>
  <c r="DS143" i="1" s="1"/>
  <c r="EQ143" i="1"/>
  <c r="CD142" i="1"/>
  <c r="CC142" i="1"/>
  <c r="CI125" i="1"/>
  <c r="CJ125" i="1" s="1"/>
  <c r="DL125" i="1" s="1"/>
  <c r="DV125" i="1"/>
  <c r="BG140" i="1"/>
  <c r="T140" i="1"/>
  <c r="U140" i="1" s="1"/>
  <c r="AU140" i="1" s="1"/>
  <c r="CU126" i="1"/>
  <c r="CV126" i="1" s="1"/>
  <c r="DP126" i="1" s="1"/>
  <c r="EH126" i="1"/>
  <c r="EB141" i="1"/>
  <c r="CO141" i="1"/>
  <c r="CP141" i="1" s="1"/>
  <c r="DN141" i="1" s="1"/>
  <c r="EK138" i="1"/>
  <c r="CX138" i="1"/>
  <c r="CY138" i="1" s="1"/>
  <c r="DQ138" i="1" s="1"/>
  <c r="AO134" i="1"/>
  <c r="AP134" i="1" s="1"/>
  <c r="BB134" i="1" s="1"/>
  <c r="CB134" i="1"/>
  <c r="AF120" i="1"/>
  <c r="AG120" i="1" s="1"/>
  <c r="AY120" i="1" s="1"/>
  <c r="BS120" i="1"/>
  <c r="CU128" i="1"/>
  <c r="CV128" i="1" s="1"/>
  <c r="DP128" i="1" s="1"/>
  <c r="EH128" i="1"/>
  <c r="CX137" i="1"/>
  <c r="CY137" i="1" s="1"/>
  <c r="DQ137" i="1" s="1"/>
  <c r="EK137" i="1"/>
  <c r="EW120" i="1"/>
  <c r="DJ120" i="1"/>
  <c r="DK120" i="1" s="1"/>
  <c r="DU120" i="1" s="1"/>
  <c r="CD159" i="1"/>
  <c r="CC159" i="1"/>
  <c r="BL143" i="1"/>
  <c r="BG125" i="1"/>
  <c r="T125" i="1"/>
  <c r="U125" i="1" s="1"/>
  <c r="AU125" i="1" s="1"/>
  <c r="DX171" i="1"/>
  <c r="DW171" i="1"/>
  <c r="CI122" i="1"/>
  <c r="CJ122" i="1" s="1"/>
  <c r="DL122" i="1" s="1"/>
  <c r="DV122" i="1"/>
  <c r="EF153" i="1"/>
  <c r="EG153" i="1"/>
  <c r="DV136" i="1"/>
  <c r="CI136" i="1"/>
  <c r="CJ136" i="1" s="1"/>
  <c r="DL136" i="1" s="1"/>
  <c r="T136" i="1"/>
  <c r="U136" i="1" s="1"/>
  <c r="AU136" i="1" s="1"/>
  <c r="BG136" i="1"/>
  <c r="AI117" i="1"/>
  <c r="AJ117" i="1" s="1"/>
  <c r="AZ117" i="1" s="1"/>
  <c r="BV117" i="1"/>
  <c r="BO178" i="1"/>
  <c r="BN178" i="1"/>
  <c r="DG110" i="1"/>
  <c r="DH110" i="1" s="1"/>
  <c r="DT110" i="1" s="1"/>
  <c r="ET110" i="1"/>
  <c r="DD124" i="1"/>
  <c r="DE124" i="1" s="1"/>
  <c r="DS124" i="1" s="1"/>
  <c r="EQ124" i="1"/>
  <c r="DD123" i="1"/>
  <c r="DE123" i="1" s="1"/>
  <c r="DS123" i="1" s="1"/>
  <c r="EQ123" i="1"/>
  <c r="AR116" i="1"/>
  <c r="AS116" i="1" s="1"/>
  <c r="BC116" i="1" s="1"/>
  <c r="CE116" i="1"/>
  <c r="BJ111" i="1"/>
  <c r="W111" i="1"/>
  <c r="X111" i="1" s="1"/>
  <c r="AV111" i="1" s="1"/>
  <c r="CO94" i="1"/>
  <c r="CP94" i="1" s="1"/>
  <c r="DN94" i="1" s="1"/>
  <c r="EB94" i="1"/>
  <c r="ET119" i="1"/>
  <c r="DG119" i="1"/>
  <c r="DH119" i="1" s="1"/>
  <c r="DT119" i="1" s="1"/>
  <c r="T119" i="1"/>
  <c r="U119" i="1" s="1"/>
  <c r="AU119" i="1" s="1"/>
  <c r="BG119" i="1"/>
  <c r="BU111" i="1"/>
  <c r="BT111" i="1"/>
  <c r="CI101" i="1"/>
  <c r="CJ101" i="1" s="1"/>
  <c r="DL101" i="1" s="1"/>
  <c r="DV101" i="1"/>
  <c r="CA110" i="1"/>
  <c r="BZ110" i="1"/>
  <c r="BY148" i="1"/>
  <c r="AL148" i="1"/>
  <c r="AM148" i="1" s="1"/>
  <c r="BA148" i="1" s="1"/>
  <c r="BS148" i="1"/>
  <c r="AF148" i="1"/>
  <c r="AG148" i="1" s="1"/>
  <c r="AY148" i="1" s="1"/>
  <c r="ET103" i="1"/>
  <c r="DG103" i="1"/>
  <c r="DH103" i="1" s="1"/>
  <c r="DT103" i="1" s="1"/>
  <c r="BY103" i="1"/>
  <c r="AL103" i="1"/>
  <c r="AM103" i="1" s="1"/>
  <c r="BA103" i="1" s="1"/>
  <c r="DV87" i="1"/>
  <c r="CI87" i="1"/>
  <c r="CJ87" i="1" s="1"/>
  <c r="DL87" i="1" s="1"/>
  <c r="BD121" i="1"/>
  <c r="Q121" i="1"/>
  <c r="R121" i="1" s="1"/>
  <c r="AT121" i="1" s="1"/>
  <c r="DJ114" i="1"/>
  <c r="DK114" i="1" s="1"/>
  <c r="DU114" i="1" s="1"/>
  <c r="EW114" i="1"/>
  <c r="BJ102" i="1"/>
  <c r="W102" i="1"/>
  <c r="X102" i="1" s="1"/>
  <c r="AV102" i="1" s="1"/>
  <c r="EH121" i="1"/>
  <c r="CU121" i="1"/>
  <c r="CV121" i="1" s="1"/>
  <c r="DP121" i="1" s="1"/>
  <c r="BM94" i="1"/>
  <c r="Z94" i="1"/>
  <c r="AA94" i="1" s="1"/>
  <c r="AW94" i="1" s="1"/>
  <c r="BT113" i="1"/>
  <c r="BU113" i="1"/>
  <c r="EN102" i="1"/>
  <c r="DA102" i="1"/>
  <c r="DB102" i="1" s="1"/>
  <c r="DR102" i="1" s="1"/>
  <c r="EH91" i="1"/>
  <c r="CU91" i="1"/>
  <c r="CV91" i="1" s="1"/>
  <c r="DP91" i="1" s="1"/>
  <c r="DD106" i="1"/>
  <c r="DE106" i="1" s="1"/>
  <c r="DS106" i="1" s="1"/>
  <c r="EQ106" i="1"/>
  <c r="EA96" i="1"/>
  <c r="DZ96" i="1"/>
  <c r="T93" i="1"/>
  <c r="U93" i="1" s="1"/>
  <c r="AU93" i="1" s="1"/>
  <c r="BG93" i="1"/>
  <c r="T74" i="1"/>
  <c r="U74" i="1" s="1"/>
  <c r="AU74" i="1" s="1"/>
  <c r="BG74" i="1"/>
  <c r="Z64" i="1"/>
  <c r="AA64" i="1" s="1"/>
  <c r="AW64" i="1" s="1"/>
  <c r="BM64" i="1"/>
  <c r="Q73" i="1"/>
  <c r="R73" i="1" s="1"/>
  <c r="AT73" i="1" s="1"/>
  <c r="BD73" i="1"/>
  <c r="ER114" i="1"/>
  <c r="ES114" i="1"/>
  <c r="AR109" i="1"/>
  <c r="AS109" i="1" s="1"/>
  <c r="BC109" i="1" s="1"/>
  <c r="CE109" i="1"/>
  <c r="EP103" i="1"/>
  <c r="EO103" i="1"/>
  <c r="EK98" i="1"/>
  <c r="CX98" i="1"/>
  <c r="CY98" i="1" s="1"/>
  <c r="DQ98" i="1" s="1"/>
  <c r="BD97" i="1"/>
  <c r="Q97" i="1"/>
  <c r="R97" i="1" s="1"/>
  <c r="AT97" i="1" s="1"/>
  <c r="AI97" i="1"/>
  <c r="AJ97" i="1" s="1"/>
  <c r="AZ97" i="1" s="1"/>
  <c r="BV97" i="1"/>
  <c r="CU72" i="1"/>
  <c r="CV72" i="1" s="1"/>
  <c r="DP72" i="1" s="1"/>
  <c r="EH72" i="1"/>
  <c r="EV93" i="1"/>
  <c r="EU93" i="1"/>
  <c r="CI84" i="1"/>
  <c r="CJ84" i="1" s="1"/>
  <c r="DL84" i="1" s="1"/>
  <c r="DV84" i="1"/>
  <c r="EW76" i="1"/>
  <c r="DJ76" i="1"/>
  <c r="DK76" i="1" s="1"/>
  <c r="DU76" i="1" s="1"/>
  <c r="EJ124" i="1"/>
  <c r="EI124" i="1"/>
  <c r="DY89" i="1"/>
  <c r="CL89" i="1"/>
  <c r="CM89" i="1" s="1"/>
  <c r="DM89" i="1" s="1"/>
  <c r="BD76" i="1"/>
  <c r="Q76" i="1"/>
  <c r="R76" i="1" s="1"/>
  <c r="AT76" i="1" s="1"/>
  <c r="DV98" i="1"/>
  <c r="CI98" i="1"/>
  <c r="CJ98" i="1" s="1"/>
  <c r="DL98" i="1" s="1"/>
  <c r="EW69" i="1"/>
  <c r="DJ69" i="1"/>
  <c r="DK69" i="1" s="1"/>
  <c r="DU69" i="1" s="1"/>
  <c r="DV77" i="1"/>
  <c r="CI77" i="1"/>
  <c r="CJ77" i="1" s="1"/>
  <c r="DL77" i="1" s="1"/>
  <c r="W77" i="1"/>
  <c r="X77" i="1" s="1"/>
  <c r="AV77" i="1" s="1"/>
  <c r="BJ77" i="1"/>
  <c r="ET62" i="1"/>
  <c r="DG62" i="1"/>
  <c r="DH62" i="1" s="1"/>
  <c r="DT62" i="1" s="1"/>
  <c r="EQ61" i="1"/>
  <c r="DD61" i="1"/>
  <c r="DE61" i="1" s="1"/>
  <c r="DS61" i="1" s="1"/>
  <c r="CI108" i="1"/>
  <c r="CJ108" i="1" s="1"/>
  <c r="DL108" i="1" s="1"/>
  <c r="DV108" i="1"/>
  <c r="BP75" i="1"/>
  <c r="AC75" i="1"/>
  <c r="AD75" i="1" s="1"/>
  <c r="AX75" i="1" s="1"/>
  <c r="BU98" i="1"/>
  <c r="BT98" i="1"/>
  <c r="CR68" i="1"/>
  <c r="CS68" i="1" s="1"/>
  <c r="DO68" i="1" s="1"/>
  <c r="EE68" i="1"/>
  <c r="EN67" i="1"/>
  <c r="DA67" i="1"/>
  <c r="DB67" i="1" s="1"/>
  <c r="DR67" i="1" s="1"/>
  <c r="CI45" i="1"/>
  <c r="CJ45" i="1" s="1"/>
  <c r="DL45" i="1" s="1"/>
  <c r="DV45" i="1"/>
  <c r="BO110" i="1"/>
  <c r="BN110" i="1"/>
  <c r="T86" i="1"/>
  <c r="U86" i="1" s="1"/>
  <c r="AU86" i="1" s="1"/>
  <c r="BG86" i="1"/>
  <c r="DY86" i="1"/>
  <c r="CL86" i="1"/>
  <c r="CM86" i="1" s="1"/>
  <c r="DM86" i="1" s="1"/>
  <c r="CG98" i="1"/>
  <c r="CF98" i="1"/>
  <c r="DV82" i="1"/>
  <c r="CI82" i="1"/>
  <c r="CJ82" i="1" s="1"/>
  <c r="DL82" i="1" s="1"/>
  <c r="BJ82" i="1"/>
  <c r="W82" i="1"/>
  <c r="X82" i="1" s="1"/>
  <c r="AV82" i="1" s="1"/>
  <c r="BJ60" i="1"/>
  <c r="W60" i="1"/>
  <c r="X60" i="1" s="1"/>
  <c r="AV60" i="1" s="1"/>
  <c r="DJ80" i="1"/>
  <c r="DK80" i="1" s="1"/>
  <c r="DU80" i="1" s="1"/>
  <c r="EW80" i="1"/>
  <c r="EY84" i="1"/>
  <c r="EX84" i="1"/>
  <c r="ES72" i="1"/>
  <c r="ER72" i="1"/>
  <c r="CU58" i="1"/>
  <c r="CV58" i="1" s="1"/>
  <c r="DP58" i="1" s="1"/>
  <c r="EH58" i="1"/>
  <c r="EQ59" i="1"/>
  <c r="DD59" i="1"/>
  <c r="DE59" i="1" s="1"/>
  <c r="DS59" i="1" s="1"/>
  <c r="EN41" i="1"/>
  <c r="DA41" i="1"/>
  <c r="DB41" i="1" s="1"/>
  <c r="DR41" i="1" s="1"/>
  <c r="EK50" i="1"/>
  <c r="CX50" i="1"/>
  <c r="CY50" i="1" s="1"/>
  <c r="DQ50" i="1" s="1"/>
  <c r="BS52" i="1"/>
  <c r="AF52" i="1"/>
  <c r="AG52" i="1" s="1"/>
  <c r="AY52" i="1" s="1"/>
  <c r="AI51" i="1"/>
  <c r="AJ51" i="1" s="1"/>
  <c r="AZ51" i="1" s="1"/>
  <c r="BV51" i="1"/>
  <c r="CI43" i="1"/>
  <c r="CJ43" i="1" s="1"/>
  <c r="DL43" i="1" s="1"/>
  <c r="DV43" i="1"/>
  <c r="CO32" i="1"/>
  <c r="CP32" i="1" s="1"/>
  <c r="DN32" i="1" s="1"/>
  <c r="EB32" i="1"/>
  <c r="BF77" i="1"/>
  <c r="BE77" i="1"/>
  <c r="BP54" i="1"/>
  <c r="AC54" i="1"/>
  <c r="AD54" i="1" s="1"/>
  <c r="AX54" i="1" s="1"/>
  <c r="AR85" i="1"/>
  <c r="AS85" i="1" s="1"/>
  <c r="BC85" i="1" s="1"/>
  <c r="CE85" i="1"/>
  <c r="T56" i="1"/>
  <c r="U56" i="1" s="1"/>
  <c r="AU56" i="1" s="1"/>
  <c r="BG56" i="1"/>
  <c r="EV42" i="1"/>
  <c r="EU42" i="1"/>
  <c r="BI73" i="1"/>
  <c r="BH73" i="1"/>
  <c r="DV49" i="1"/>
  <c r="CI49" i="1"/>
  <c r="CJ49" i="1" s="1"/>
  <c r="DL49" i="1" s="1"/>
  <c r="BG42" i="1"/>
  <c r="T42" i="1"/>
  <c r="U42" i="1" s="1"/>
  <c r="AU42" i="1" s="1"/>
  <c r="DA50" i="1"/>
  <c r="DB50" i="1" s="1"/>
  <c r="DR50" i="1" s="1"/>
  <c r="EN50" i="1"/>
  <c r="DJ36" i="1"/>
  <c r="DK36" i="1" s="1"/>
  <c r="DU36" i="1" s="1"/>
  <c r="EW36" i="1"/>
  <c r="CX19" i="1"/>
  <c r="CY19" i="1" s="1"/>
  <c r="DQ19" i="1" s="1"/>
  <c r="EK19" i="1"/>
  <c r="AC28" i="1"/>
  <c r="AD28" i="1" s="1"/>
  <c r="AX28" i="1" s="1"/>
  <c r="BP28" i="1"/>
  <c r="CU22" i="1"/>
  <c r="CV22" i="1" s="1"/>
  <c r="DP22" i="1" s="1"/>
  <c r="EH22" i="1"/>
  <c r="EW44" i="1"/>
  <c r="DJ44" i="1"/>
  <c r="DK44" i="1" s="1"/>
  <c r="DU44" i="1" s="1"/>
  <c r="Z44" i="1"/>
  <c r="AA44" i="1" s="1"/>
  <c r="AW44" i="1" s="1"/>
  <c r="BM44" i="1"/>
  <c r="EE29" i="1"/>
  <c r="CR29" i="1"/>
  <c r="CS29" i="1" s="1"/>
  <c r="DO29" i="1" s="1"/>
  <c r="CU17" i="1"/>
  <c r="CV17" i="1" s="1"/>
  <c r="DP17" i="1" s="1"/>
  <c r="EH17" i="1"/>
  <c r="CR30" i="1"/>
  <c r="CS30" i="1" s="1"/>
  <c r="DO30" i="1" s="1"/>
  <c r="EE30" i="1"/>
  <c r="DG13" i="1"/>
  <c r="DH13" i="1" s="1"/>
  <c r="DT13" i="1" s="1"/>
  <c r="ET13" i="1"/>
  <c r="EQ46" i="1"/>
  <c r="DD46" i="1"/>
  <c r="DE46" i="1" s="1"/>
  <c r="DS46" i="1" s="1"/>
  <c r="CB21" i="1"/>
  <c r="AO21" i="1"/>
  <c r="AP21" i="1" s="1"/>
  <c r="BB21" i="1" s="1"/>
  <c r="EH55" i="1"/>
  <c r="CU55" i="1"/>
  <c r="CV55" i="1" s="1"/>
  <c r="DP55" i="1" s="1"/>
  <c r="BG55" i="1"/>
  <c r="T55" i="1"/>
  <c r="U55" i="1" s="1"/>
  <c r="AU55" i="1" s="1"/>
  <c r="Q24" i="1"/>
  <c r="R24" i="1" s="1"/>
  <c r="AT24" i="1" s="1"/>
  <c r="BD24" i="1"/>
  <c r="CU18" i="1"/>
  <c r="CV18" i="1" s="1"/>
  <c r="DP18" i="1" s="1"/>
  <c r="EH18" i="1"/>
  <c r="CI4" i="1"/>
  <c r="CJ4" i="1" s="1"/>
  <c r="DL4" i="1" s="1"/>
  <c r="DV4" i="1"/>
  <c r="EN24" i="1"/>
  <c r="DA24" i="1"/>
  <c r="DB24" i="1" s="1"/>
  <c r="DR24" i="1" s="1"/>
  <c r="BE50" i="1"/>
  <c r="BF50" i="1"/>
  <c r="BG26" i="1"/>
  <c r="T26" i="1"/>
  <c r="U26" i="1" s="1"/>
  <c r="AU26" i="1" s="1"/>
  <c r="ES41" i="1"/>
  <c r="ER41" i="1"/>
  <c r="BD34" i="1"/>
  <c r="Q34" i="1"/>
  <c r="R34" i="1" s="1"/>
  <c r="AT34" i="1" s="1"/>
  <c r="CG32" i="1"/>
  <c r="CF32" i="1"/>
  <c r="BX11" i="1"/>
  <c r="BW11" i="1"/>
  <c r="W10" i="1"/>
  <c r="X10" i="1" s="1"/>
  <c r="AV10" i="1" s="1"/>
  <c r="BJ10" i="1"/>
  <c r="BJ9" i="1"/>
  <c r="W9" i="1"/>
  <c r="X9" i="1" s="1"/>
  <c r="AV9" i="1" s="1"/>
  <c r="AR5" i="1"/>
  <c r="AS5" i="1" s="1"/>
  <c r="BC5" i="1" s="1"/>
  <c r="CE5" i="1"/>
  <c r="BP15" i="1"/>
  <c r="AC15" i="1"/>
  <c r="AD15" i="1" s="1"/>
  <c r="AX15" i="1" s="1"/>
  <c r="BY15" i="1"/>
  <c r="AL15" i="1"/>
  <c r="AM15" i="1" s="1"/>
  <c r="BA15" i="1" s="1"/>
  <c r="EA8" i="1"/>
  <c r="DZ8" i="1"/>
  <c r="BJ6" i="1"/>
  <c r="W6" i="1"/>
  <c r="X6" i="1" s="1"/>
  <c r="AV6" i="1" s="1"/>
  <c r="EG72" i="1"/>
  <c r="EF72" i="1"/>
  <c r="CI3" i="1"/>
  <c r="CJ3" i="1" s="1"/>
  <c r="DL3" i="1" s="1"/>
  <c r="DV3" i="1"/>
  <c r="AI35" i="1"/>
  <c r="AJ35" i="1" s="1"/>
  <c r="AZ35" i="1" s="1"/>
  <c r="BV35" i="1"/>
  <c r="DY35" i="1"/>
  <c r="CL35" i="1"/>
  <c r="CM35" i="1" s="1"/>
  <c r="DM35" i="1" s="1"/>
  <c r="CD30" i="1"/>
  <c r="CC30" i="1"/>
  <c r="CO23" i="1"/>
  <c r="CP23" i="1" s="1"/>
  <c r="DN23" i="1" s="1"/>
  <c r="EB23" i="1"/>
  <c r="BJ2" i="1"/>
  <c r="W2" i="1"/>
  <c r="BV3" i="1"/>
  <c r="AI3" i="1"/>
  <c r="AJ3" i="1" s="1"/>
  <c r="AZ3" i="1" s="1"/>
  <c r="CX5" i="1"/>
  <c r="CY5" i="1" s="1"/>
  <c r="DQ5" i="1" s="1"/>
  <c r="EK5" i="1"/>
  <c r="EF9" i="1"/>
  <c r="EG9" i="1"/>
  <c r="BK8" i="1"/>
  <c r="BL8" i="1"/>
  <c r="EA273" i="1"/>
  <c r="DZ273" i="1"/>
  <c r="EH256" i="1"/>
  <c r="CU256" i="1"/>
  <c r="CV256" i="1" s="1"/>
  <c r="DP256" i="1" s="1"/>
  <c r="EB253" i="1"/>
  <c r="CO253" i="1"/>
  <c r="CP253" i="1" s="1"/>
  <c r="DN253" i="1" s="1"/>
  <c r="BJ230" i="1"/>
  <c r="W230" i="1"/>
  <c r="X230" i="1" s="1"/>
  <c r="AV230" i="1" s="1"/>
  <c r="W260" i="1"/>
  <c r="X260" i="1" s="1"/>
  <c r="AV260" i="1" s="1"/>
  <c r="BJ260" i="1"/>
  <c r="AF226" i="1"/>
  <c r="AG226" i="1" s="1"/>
  <c r="AY226" i="1" s="1"/>
  <c r="BS226" i="1"/>
  <c r="BP216" i="1"/>
  <c r="AC216" i="1"/>
  <c r="AD216" i="1" s="1"/>
  <c r="AX216" i="1" s="1"/>
  <c r="AO223" i="1"/>
  <c r="AP223" i="1" s="1"/>
  <c r="BB223" i="1" s="1"/>
  <c r="CB223" i="1"/>
  <c r="W221" i="1"/>
  <c r="X221" i="1" s="1"/>
  <c r="AV221" i="1" s="1"/>
  <c r="BJ221" i="1"/>
  <c r="ET219" i="1"/>
  <c r="DG219" i="1"/>
  <c r="DH219" i="1" s="1"/>
  <c r="DT219" i="1" s="1"/>
  <c r="EB194" i="1"/>
  <c r="CO194" i="1"/>
  <c r="CP194" i="1" s="1"/>
  <c r="DN194" i="1" s="1"/>
  <c r="T193" i="1"/>
  <c r="U193" i="1" s="1"/>
  <c r="AU193" i="1" s="1"/>
  <c r="BG193" i="1"/>
  <c r="BG174" i="1"/>
  <c r="T174" i="1"/>
  <c r="U174" i="1" s="1"/>
  <c r="AU174" i="1" s="1"/>
  <c r="CI174" i="1"/>
  <c r="CJ174" i="1" s="1"/>
  <c r="DL174" i="1" s="1"/>
  <c r="DV174" i="1"/>
  <c r="CU191" i="1"/>
  <c r="CV191" i="1" s="1"/>
  <c r="DP191" i="1" s="1"/>
  <c r="EH191" i="1"/>
  <c r="DJ164" i="1"/>
  <c r="DK164" i="1" s="1"/>
  <c r="DU164" i="1" s="1"/>
  <c r="EW164" i="1"/>
  <c r="EQ169" i="1"/>
  <c r="DD169" i="1"/>
  <c r="DE169" i="1" s="1"/>
  <c r="DS169" i="1" s="1"/>
  <c r="BI147" i="1"/>
  <c r="BH147" i="1"/>
  <c r="BJ159" i="1"/>
  <c r="W159" i="1"/>
  <c r="X159" i="1" s="1"/>
  <c r="AV159" i="1" s="1"/>
  <c r="BY150" i="1"/>
  <c r="AL150" i="1"/>
  <c r="AM150" i="1" s="1"/>
  <c r="BA150" i="1" s="1"/>
  <c r="CO120" i="1"/>
  <c r="CP120" i="1" s="1"/>
  <c r="DN120" i="1" s="1"/>
  <c r="EB120" i="1"/>
  <c r="BM116" i="1"/>
  <c r="Z116" i="1"/>
  <c r="AA116" i="1" s="1"/>
  <c r="AW116" i="1" s="1"/>
  <c r="EQ119" i="1"/>
  <c r="DD119" i="1"/>
  <c r="DE119" i="1" s="1"/>
  <c r="DS119" i="1" s="1"/>
  <c r="W121" i="1"/>
  <c r="X121" i="1" s="1"/>
  <c r="AV121" i="1" s="1"/>
  <c r="BJ121" i="1"/>
  <c r="BM93" i="1"/>
  <c r="Z93" i="1"/>
  <c r="AA93" i="1" s="1"/>
  <c r="AW93" i="1" s="1"/>
  <c r="CI89" i="1"/>
  <c r="CJ89" i="1" s="1"/>
  <c r="DL89" i="1" s="1"/>
  <c r="DV89" i="1"/>
  <c r="BP61" i="1"/>
  <c r="AC61" i="1"/>
  <c r="AD61" i="1" s="1"/>
  <c r="AX61" i="1" s="1"/>
  <c r="BD43" i="1"/>
  <c r="Q43" i="1"/>
  <c r="R43" i="1" s="1"/>
  <c r="AT43" i="1" s="1"/>
  <c r="EM63" i="1"/>
  <c r="EL63" i="1"/>
  <c r="BM39" i="1"/>
  <c r="Z39" i="1"/>
  <c r="AA39" i="1" s="1"/>
  <c r="AW39" i="1" s="1"/>
  <c r="AI56" i="1"/>
  <c r="AJ56" i="1" s="1"/>
  <c r="AZ56" i="1" s="1"/>
  <c r="BV56" i="1"/>
  <c r="CR56" i="1"/>
  <c r="CS56" i="1" s="1"/>
  <c r="DO56" i="1" s="1"/>
  <c r="EE56" i="1"/>
  <c r="DA42" i="1"/>
  <c r="DB42" i="1" s="1"/>
  <c r="DR42" i="1" s="1"/>
  <c r="EN42" i="1"/>
  <c r="EH16" i="1"/>
  <c r="CU16" i="1"/>
  <c r="CV16" i="1" s="1"/>
  <c r="DP16" i="1" s="1"/>
  <c r="CL46" i="1"/>
  <c r="CM46" i="1" s="1"/>
  <c r="DM46" i="1" s="1"/>
  <c r="DY46" i="1"/>
  <c r="EB24" i="1"/>
  <c r="CO24" i="1"/>
  <c r="CP24" i="1" s="1"/>
  <c r="DN24" i="1" s="1"/>
  <c r="CI21" i="1"/>
  <c r="CJ21" i="1" s="1"/>
  <c r="DL21" i="1" s="1"/>
  <c r="DV21" i="1"/>
  <c r="DD25" i="1"/>
  <c r="DE25" i="1" s="1"/>
  <c r="DS25" i="1" s="1"/>
  <c r="EQ25" i="1"/>
  <c r="EB34" i="1"/>
  <c r="CO34" i="1"/>
  <c r="CP34" i="1" s="1"/>
  <c r="DN34" i="1" s="1"/>
  <c r="Q9" i="1"/>
  <c r="R9" i="1" s="1"/>
  <c r="AT9" i="1" s="1"/>
  <c r="BD9" i="1"/>
  <c r="CB3" i="1"/>
  <c r="AO3" i="1"/>
  <c r="AP3" i="1" s="1"/>
  <c r="BB3" i="1" s="1"/>
  <c r="BX26" i="1"/>
  <c r="BW26" i="1"/>
  <c r="EQ2" i="1"/>
  <c r="DD2" i="1"/>
  <c r="DW277" i="1"/>
  <c r="DX277" i="1"/>
  <c r="BP251" i="1"/>
  <c r="AC251" i="1"/>
  <c r="AD251" i="1" s="1"/>
  <c r="AX251" i="1" s="1"/>
  <c r="CB245" i="1"/>
  <c r="AO245" i="1"/>
  <c r="AP245" i="1" s="1"/>
  <c r="BB245" i="1" s="1"/>
  <c r="DG250" i="1"/>
  <c r="DH250" i="1" s="1"/>
  <c r="DT250" i="1" s="1"/>
  <c r="ET250" i="1"/>
  <c r="BY238" i="1"/>
  <c r="AL238" i="1"/>
  <c r="AM238" i="1" s="1"/>
  <c r="BA238" i="1" s="1"/>
  <c r="AI260" i="1"/>
  <c r="AJ260" i="1" s="1"/>
  <c r="AZ260" i="1" s="1"/>
  <c r="BV260" i="1"/>
  <c r="EH219" i="1"/>
  <c r="CU219" i="1"/>
  <c r="CV219" i="1" s="1"/>
  <c r="DP219" i="1" s="1"/>
  <c r="EB205" i="1"/>
  <c r="CO205" i="1"/>
  <c r="CP205" i="1" s="1"/>
  <c r="DN205" i="1" s="1"/>
  <c r="ED204" i="1"/>
  <c r="EC204" i="1"/>
  <c r="BK201" i="1"/>
  <c r="BL201" i="1"/>
  <c r="BY199" i="1"/>
  <c r="AL199" i="1"/>
  <c r="AM199" i="1" s="1"/>
  <c r="BA199" i="1" s="1"/>
  <c r="DD172" i="1"/>
  <c r="DE172" i="1" s="1"/>
  <c r="DS172" i="1" s="1"/>
  <c r="EQ172" i="1"/>
  <c r="W192" i="1"/>
  <c r="X192" i="1" s="1"/>
  <c r="AV192" i="1" s="1"/>
  <c r="BJ192" i="1"/>
  <c r="CR171" i="1"/>
  <c r="CS171" i="1" s="1"/>
  <c r="DO171" i="1" s="1"/>
  <c r="EE171" i="1"/>
  <c r="EH147" i="1"/>
  <c r="CU147" i="1"/>
  <c r="CV147" i="1" s="1"/>
  <c r="DP147" i="1" s="1"/>
  <c r="BV156" i="1"/>
  <c r="AI156" i="1"/>
  <c r="AJ156" i="1" s="1"/>
  <c r="AZ156" i="1" s="1"/>
  <c r="EH134" i="1"/>
  <c r="CU134" i="1"/>
  <c r="CV134" i="1" s="1"/>
  <c r="DP134" i="1" s="1"/>
  <c r="BJ133" i="1"/>
  <c r="W133" i="1"/>
  <c r="X133" i="1" s="1"/>
  <c r="AV133" i="1" s="1"/>
  <c r="AO112" i="1"/>
  <c r="AP112" i="1" s="1"/>
  <c r="BB112" i="1" s="1"/>
  <c r="CB112" i="1"/>
  <c r="CR114" i="1"/>
  <c r="CS114" i="1" s="1"/>
  <c r="DO114" i="1" s="1"/>
  <c r="EE114" i="1"/>
  <c r="EW94" i="1"/>
  <c r="DJ94" i="1"/>
  <c r="DK94" i="1" s="1"/>
  <c r="DU94" i="1" s="1"/>
  <c r="BP94" i="1"/>
  <c r="AC94" i="1"/>
  <c r="AD94" i="1" s="1"/>
  <c r="AX94" i="1" s="1"/>
  <c r="ET121" i="1"/>
  <c r="DG121" i="1"/>
  <c r="DH121" i="1" s="1"/>
  <c r="DT121" i="1" s="1"/>
  <c r="BY93" i="1"/>
  <c r="AL93" i="1"/>
  <c r="AM93" i="1" s="1"/>
  <c r="BA93" i="1" s="1"/>
  <c r="ET98" i="1"/>
  <c r="DG98" i="1"/>
  <c r="DH98" i="1" s="1"/>
  <c r="DT98" i="1" s="1"/>
  <c r="BS61" i="1"/>
  <c r="AF61" i="1"/>
  <c r="AG61" i="1" s="1"/>
  <c r="AY61" i="1" s="1"/>
  <c r="EQ75" i="1"/>
  <c r="DD75" i="1"/>
  <c r="DE75" i="1" s="1"/>
  <c r="DS75" i="1" s="1"/>
  <c r="EW67" i="1"/>
  <c r="DJ67" i="1"/>
  <c r="DK67" i="1" s="1"/>
  <c r="DU67" i="1" s="1"/>
  <c r="CD67" i="1"/>
  <c r="CC67" i="1"/>
  <c r="BJ32" i="1"/>
  <c r="W32" i="1"/>
  <c r="X32" i="1" s="1"/>
  <c r="AV32" i="1" s="1"/>
  <c r="AF51" i="1"/>
  <c r="AG51" i="1" s="1"/>
  <c r="AY51" i="1" s="1"/>
  <c r="BS51" i="1"/>
  <c r="BL63" i="1"/>
  <c r="BK63" i="1"/>
  <c r="EB49" i="1"/>
  <c r="CO49" i="1"/>
  <c r="CP49" i="1" s="1"/>
  <c r="DN49" i="1" s="1"/>
  <c r="DV16" i="1"/>
  <c r="CI16" i="1"/>
  <c r="CJ16" i="1" s="1"/>
  <c r="DL16" i="1" s="1"/>
  <c r="CE29" i="1"/>
  <c r="AR29" i="1"/>
  <c r="AS29" i="1" s="1"/>
  <c r="BC29" i="1" s="1"/>
  <c r="Q46" i="1"/>
  <c r="R46" i="1" s="1"/>
  <c r="AT46" i="1" s="1"/>
  <c r="BD46" i="1"/>
  <c r="DD11" i="1"/>
  <c r="DE11" i="1" s="1"/>
  <c r="DS11" i="1" s="1"/>
  <c r="EQ11" i="1"/>
  <c r="BX38" i="1"/>
  <c r="BW38" i="1"/>
  <c r="EV31" i="1"/>
  <c r="EU31" i="1"/>
  <c r="EJ279" i="1"/>
  <c r="EI279" i="1"/>
  <c r="AF265" i="1"/>
  <c r="AG265" i="1" s="1"/>
  <c r="AY265" i="1" s="1"/>
  <c r="BS265" i="1"/>
  <c r="ET266" i="1"/>
  <c r="DG266" i="1"/>
  <c r="DH266" i="1" s="1"/>
  <c r="DT266" i="1" s="1"/>
  <c r="EA266" i="1"/>
  <c r="DZ266" i="1"/>
  <c r="CL262" i="1"/>
  <c r="CM262" i="1" s="1"/>
  <c r="DM262" i="1" s="1"/>
  <c r="DY262" i="1"/>
  <c r="BM263" i="1"/>
  <c r="Z263" i="1"/>
  <c r="AA263" i="1" s="1"/>
  <c r="AW263" i="1" s="1"/>
  <c r="BO242" i="1"/>
  <c r="BN242" i="1"/>
  <c r="AO243" i="1"/>
  <c r="AP243" i="1" s="1"/>
  <c r="BB243" i="1" s="1"/>
  <c r="CB243" i="1"/>
  <c r="CE232" i="1"/>
  <c r="AR232" i="1"/>
  <c r="AS232" i="1" s="1"/>
  <c r="BC232" i="1" s="1"/>
  <c r="CG231" i="1"/>
  <c r="CF231" i="1"/>
  <c r="BP227" i="1"/>
  <c r="AC227" i="1"/>
  <c r="AD227" i="1" s="1"/>
  <c r="AX227" i="1" s="1"/>
  <c r="EY242" i="1"/>
  <c r="EX242" i="1"/>
  <c r="DA217" i="1"/>
  <c r="DB217" i="1" s="1"/>
  <c r="DR217" i="1" s="1"/>
  <c r="EN217" i="1"/>
  <c r="EK206" i="1"/>
  <c r="CX206" i="1"/>
  <c r="CY206" i="1" s="1"/>
  <c r="DQ206" i="1" s="1"/>
  <c r="AR205" i="1"/>
  <c r="AS205" i="1" s="1"/>
  <c r="BC205" i="1" s="1"/>
  <c r="CE205" i="1"/>
  <c r="AI208" i="1"/>
  <c r="AJ208" i="1" s="1"/>
  <c r="AZ208" i="1" s="1"/>
  <c r="BV208" i="1"/>
  <c r="BG254" i="1"/>
  <c r="T254" i="1"/>
  <c r="U254" i="1" s="1"/>
  <c r="AU254" i="1" s="1"/>
  <c r="ET264" i="1"/>
  <c r="DG264" i="1"/>
  <c r="DH264" i="1" s="1"/>
  <c r="DT264" i="1" s="1"/>
  <c r="EN249" i="1"/>
  <c r="DA249" i="1"/>
  <c r="DB249" i="1" s="1"/>
  <c r="DR249" i="1" s="1"/>
  <c r="DG240" i="1"/>
  <c r="DH240" i="1" s="1"/>
  <c r="DT240" i="1" s="1"/>
  <c r="ET240" i="1"/>
  <c r="AL234" i="1"/>
  <c r="AM234" i="1" s="1"/>
  <c r="BA234" i="1" s="1"/>
  <c r="BY234" i="1"/>
  <c r="BT252" i="1"/>
  <c r="BU252" i="1"/>
  <c r="CE238" i="1"/>
  <c r="AR238" i="1"/>
  <c r="AS238" i="1" s="1"/>
  <c r="BC238" i="1" s="1"/>
  <c r="AO232" i="1"/>
  <c r="AP232" i="1" s="1"/>
  <c r="BB232" i="1" s="1"/>
  <c r="CB232" i="1"/>
  <c r="CA230" i="1"/>
  <c r="BZ230" i="1"/>
  <c r="DG217" i="1"/>
  <c r="DH217" i="1" s="1"/>
  <c r="DT217" i="1" s="1"/>
  <c r="ET217" i="1"/>
  <c r="BM219" i="1"/>
  <c r="Z219" i="1"/>
  <c r="AA219" i="1" s="1"/>
  <c r="AW219" i="1" s="1"/>
  <c r="AI220" i="1"/>
  <c r="AJ220" i="1" s="1"/>
  <c r="AZ220" i="1" s="1"/>
  <c r="BV220" i="1"/>
  <c r="BM208" i="1"/>
  <c r="Z208" i="1"/>
  <c r="AA208" i="1" s="1"/>
  <c r="AW208" i="1" s="1"/>
  <c r="EH193" i="1"/>
  <c r="CU193" i="1"/>
  <c r="CV193" i="1" s="1"/>
  <c r="DP193" i="1" s="1"/>
  <c r="BP188" i="1"/>
  <c r="AC188" i="1"/>
  <c r="AD188" i="1" s="1"/>
  <c r="AX188" i="1" s="1"/>
  <c r="DV182" i="1"/>
  <c r="CI182" i="1"/>
  <c r="CJ182" i="1" s="1"/>
  <c r="DL182" i="1" s="1"/>
  <c r="DJ174" i="1"/>
  <c r="DK174" i="1" s="1"/>
  <c r="DU174" i="1" s="1"/>
  <c r="EW174" i="1"/>
  <c r="CA180" i="1"/>
  <c r="BZ180" i="1"/>
  <c r="EB165" i="1"/>
  <c r="CO165" i="1"/>
  <c r="CP165" i="1" s="1"/>
  <c r="DN165" i="1" s="1"/>
  <c r="EY167" i="1"/>
  <c r="EX167" i="1"/>
  <c r="CR166" i="1"/>
  <c r="CS166" i="1" s="1"/>
  <c r="DO166" i="1" s="1"/>
  <c r="EE166" i="1"/>
  <c r="DY161" i="1"/>
  <c r="CL161" i="1"/>
  <c r="CM161" i="1" s="1"/>
  <c r="DM161" i="1" s="1"/>
  <c r="BV164" i="1"/>
  <c r="AI164" i="1"/>
  <c r="AJ164" i="1" s="1"/>
  <c r="AZ164" i="1" s="1"/>
  <c r="EK169" i="1"/>
  <c r="CX169" i="1"/>
  <c r="CY169" i="1" s="1"/>
  <c r="DQ169" i="1" s="1"/>
  <c r="DV145" i="1"/>
  <c r="CI145" i="1"/>
  <c r="CJ145" i="1" s="1"/>
  <c r="DL145" i="1" s="1"/>
  <c r="DG143" i="1"/>
  <c r="DH143" i="1" s="1"/>
  <c r="DT143" i="1" s="1"/>
  <c r="ET143" i="1"/>
  <c r="Q128" i="1"/>
  <c r="R128" i="1" s="1"/>
  <c r="AT128" i="1" s="1"/>
  <c r="BD128" i="1"/>
  <c r="DG128" i="1"/>
  <c r="DH128" i="1" s="1"/>
  <c r="DT128" i="1" s="1"/>
  <c r="ET128" i="1"/>
  <c r="DV129" i="1"/>
  <c r="CI129" i="1"/>
  <c r="CJ129" i="1" s="1"/>
  <c r="DL129" i="1" s="1"/>
  <c r="EH122" i="1"/>
  <c r="CU122" i="1"/>
  <c r="CV122" i="1" s="1"/>
  <c r="DP122" i="1" s="1"/>
  <c r="DJ136" i="1"/>
  <c r="DK136" i="1" s="1"/>
  <c r="DU136" i="1" s="1"/>
  <c r="EW136" i="1"/>
  <c r="CR124" i="1"/>
  <c r="CS124" i="1" s="1"/>
  <c r="DO124" i="1" s="1"/>
  <c r="EE124" i="1"/>
  <c r="Z99" i="1"/>
  <c r="AA99" i="1" s="1"/>
  <c r="AW99" i="1" s="1"/>
  <c r="BM99" i="1"/>
  <c r="CG154" i="1"/>
  <c r="CF154" i="1"/>
  <c r="AI114" i="1"/>
  <c r="AJ114" i="1" s="1"/>
  <c r="AZ114" i="1" s="1"/>
  <c r="BV114" i="1"/>
  <c r="BY94" i="1"/>
  <c r="AL94" i="1"/>
  <c r="AM94" i="1" s="1"/>
  <c r="BA94" i="1" s="1"/>
  <c r="BJ104" i="1"/>
  <c r="W104" i="1"/>
  <c r="X104" i="1" s="1"/>
  <c r="AV104" i="1" s="1"/>
  <c r="AR106" i="1"/>
  <c r="AS106" i="1" s="1"/>
  <c r="BC106" i="1" s="1"/>
  <c r="CE106" i="1"/>
  <c r="CX109" i="1"/>
  <c r="CY109" i="1" s="1"/>
  <c r="DQ109" i="1" s="1"/>
  <c r="EK109" i="1"/>
  <c r="W97" i="1"/>
  <c r="X97" i="1" s="1"/>
  <c r="AV97" i="1" s="1"/>
  <c r="BJ97" i="1"/>
  <c r="CB89" i="1"/>
  <c r="AO89" i="1"/>
  <c r="AP89" i="1" s="1"/>
  <c r="BB89" i="1" s="1"/>
  <c r="BF95" i="1"/>
  <c r="BE95" i="1"/>
  <c r="DA77" i="1"/>
  <c r="DB77" i="1" s="1"/>
  <c r="DR77" i="1" s="1"/>
  <c r="EN77" i="1"/>
  <c r="W108" i="1"/>
  <c r="X108" i="1" s="1"/>
  <c r="AV108" i="1" s="1"/>
  <c r="BJ108" i="1"/>
  <c r="EB67" i="1"/>
  <c r="CO67" i="1"/>
  <c r="CP67" i="1" s="1"/>
  <c r="DN67" i="1" s="1"/>
  <c r="CU86" i="1"/>
  <c r="CV86" i="1" s="1"/>
  <c r="DP86" i="1" s="1"/>
  <c r="EH86" i="1"/>
  <c r="ET82" i="1"/>
  <c r="DG82" i="1"/>
  <c r="DH82" i="1" s="1"/>
  <c r="DT82" i="1" s="1"/>
  <c r="CX80" i="1"/>
  <c r="CY80" i="1" s="1"/>
  <c r="DQ80" i="1" s="1"/>
  <c r="EK80" i="1"/>
  <c r="DG58" i="1"/>
  <c r="DH58" i="1" s="1"/>
  <c r="DT58" i="1" s="1"/>
  <c r="ET58" i="1"/>
  <c r="BY50" i="1"/>
  <c r="AL50" i="1"/>
  <c r="AM50" i="1" s="1"/>
  <c r="BA50" i="1" s="1"/>
  <c r="BG52" i="1"/>
  <c r="T52" i="1"/>
  <c r="U52" i="1" s="1"/>
  <c r="AU52" i="1" s="1"/>
  <c r="W85" i="1"/>
  <c r="X85" i="1" s="1"/>
  <c r="AV85" i="1" s="1"/>
  <c r="BJ85" i="1"/>
  <c r="ET54" i="1"/>
  <c r="DG54" i="1"/>
  <c r="DH54" i="1" s="1"/>
  <c r="DT54" i="1" s="1"/>
  <c r="Q28" i="1"/>
  <c r="R28" i="1" s="1"/>
  <c r="AT28" i="1" s="1"/>
  <c r="BD28" i="1"/>
  <c r="EQ44" i="1"/>
  <c r="DD44" i="1"/>
  <c r="DE44" i="1" s="1"/>
  <c r="DS44" i="1" s="1"/>
  <c r="Z17" i="1"/>
  <c r="AA17" i="1" s="1"/>
  <c r="AW17" i="1" s="1"/>
  <c r="BM17" i="1"/>
  <c r="BP4" i="1"/>
  <c r="AC4" i="1"/>
  <c r="AD4" i="1" s="1"/>
  <c r="AX4" i="1" s="1"/>
  <c r="BY55" i="1"/>
  <c r="AL55" i="1"/>
  <c r="AM55" i="1" s="1"/>
  <c r="BA55" i="1" s="1"/>
  <c r="EH4" i="1"/>
  <c r="CU4" i="1"/>
  <c r="CV4" i="1" s="1"/>
  <c r="DP4" i="1" s="1"/>
  <c r="EE4" i="1"/>
  <c r="CR4" i="1"/>
  <c r="CS4" i="1" s="1"/>
  <c r="DO4" i="1" s="1"/>
  <c r="DD34" i="1"/>
  <c r="DE34" i="1" s="1"/>
  <c r="DS34" i="1" s="1"/>
  <c r="EQ34" i="1"/>
  <c r="DW28" i="1"/>
  <c r="DX28" i="1"/>
  <c r="CG10" i="1"/>
  <c r="CF10" i="1"/>
  <c r="EY304" i="1"/>
  <c r="EX304" i="1"/>
  <c r="DZ298" i="1"/>
  <c r="EA298" i="1"/>
  <c r="ES304" i="1"/>
  <c r="ER304" i="1"/>
  <c r="EF304" i="1"/>
  <c r="EG304" i="1"/>
  <c r="ED285" i="1"/>
  <c r="EC285" i="1"/>
  <c r="BY271" i="1"/>
  <c r="AL271" i="1"/>
  <c r="AM271" i="1" s="1"/>
  <c r="BA271" i="1" s="1"/>
  <c r="BS266" i="1"/>
  <c r="AF266" i="1"/>
  <c r="AG266" i="1" s="1"/>
  <c r="AY266" i="1" s="1"/>
  <c r="W266" i="1"/>
  <c r="X266" i="1" s="1"/>
  <c r="AV266" i="1" s="1"/>
  <c r="BJ266" i="1"/>
  <c r="EE265" i="1"/>
  <c r="CR265" i="1"/>
  <c r="CS265" i="1" s="1"/>
  <c r="DO265" i="1" s="1"/>
  <c r="AF268" i="1"/>
  <c r="AG268" i="1" s="1"/>
  <c r="AY268" i="1" s="1"/>
  <c r="BS268" i="1"/>
  <c r="EE268" i="1"/>
  <c r="CR268" i="1"/>
  <c r="CS268" i="1" s="1"/>
  <c r="DO268" i="1" s="1"/>
  <c r="BY270" i="1"/>
  <c r="AL270" i="1"/>
  <c r="AM270" i="1" s="1"/>
  <c r="BA270" i="1" s="1"/>
  <c r="DY270" i="1"/>
  <c r="CL270" i="1"/>
  <c r="CM270" i="1" s="1"/>
  <c r="DM270" i="1" s="1"/>
  <c r="ED286" i="1"/>
  <c r="EC286" i="1"/>
  <c r="EC272" i="1"/>
  <c r="ED272" i="1"/>
  <c r="BG267" i="1"/>
  <c r="T267" i="1"/>
  <c r="U267" i="1" s="1"/>
  <c r="AU267" i="1" s="1"/>
  <c r="EQ262" i="1"/>
  <c r="DD262" i="1"/>
  <c r="DE262" i="1" s="1"/>
  <c r="DS262" i="1" s="1"/>
  <c r="DY252" i="1"/>
  <c r="CL252" i="1"/>
  <c r="CM252" i="1" s="1"/>
  <c r="DM252" i="1" s="1"/>
  <c r="DV252" i="1"/>
  <c r="CI252" i="1"/>
  <c r="CJ252" i="1" s="1"/>
  <c r="DL252" i="1" s="1"/>
  <c r="AO263" i="1"/>
  <c r="AP263" i="1" s="1"/>
  <c r="BB263" i="1" s="1"/>
  <c r="CB263" i="1"/>
  <c r="BM264" i="1"/>
  <c r="Z264" i="1"/>
  <c r="AA264" i="1" s="1"/>
  <c r="AW264" i="1" s="1"/>
  <c r="T259" i="1"/>
  <c r="U259" i="1" s="1"/>
  <c r="AU259" i="1" s="1"/>
  <c r="BG259" i="1"/>
  <c r="CE259" i="1"/>
  <c r="AR259" i="1"/>
  <c r="AS259" i="1" s="1"/>
  <c r="BC259" i="1" s="1"/>
  <c r="CL255" i="1"/>
  <c r="CM255" i="1" s="1"/>
  <c r="DM255" i="1" s="1"/>
  <c r="DY255" i="1"/>
  <c r="BO252" i="1"/>
  <c r="BN252" i="1"/>
  <c r="BY257" i="1"/>
  <c r="AL257" i="1"/>
  <c r="AM257" i="1" s="1"/>
  <c r="BA257" i="1" s="1"/>
  <c r="CA252" i="1"/>
  <c r="BZ252" i="1"/>
  <c r="EL256" i="1"/>
  <c r="EM256" i="1"/>
  <c r="BD241" i="1"/>
  <c r="Q241" i="1"/>
  <c r="R241" i="1" s="1"/>
  <c r="AT241" i="1" s="1"/>
  <c r="AI247" i="1"/>
  <c r="AJ247" i="1" s="1"/>
  <c r="AZ247" i="1" s="1"/>
  <c r="BV247" i="1"/>
  <c r="CI240" i="1"/>
  <c r="CJ240" i="1" s="1"/>
  <c r="DL240" i="1" s="1"/>
  <c r="DV240" i="1"/>
  <c r="Z240" i="1"/>
  <c r="AA240" i="1" s="1"/>
  <c r="AW240" i="1" s="1"/>
  <c r="BM240" i="1"/>
  <c r="CO247" i="1"/>
  <c r="CP247" i="1" s="1"/>
  <c r="DN247" i="1" s="1"/>
  <c r="EB247" i="1"/>
  <c r="EE242" i="1"/>
  <c r="CR242" i="1"/>
  <c r="CS242" i="1" s="1"/>
  <c r="DO242" i="1" s="1"/>
  <c r="BV250" i="1"/>
  <c r="AI250" i="1"/>
  <c r="AJ250" i="1" s="1"/>
  <c r="AZ250" i="1" s="1"/>
  <c r="EP254" i="1"/>
  <c r="EO254" i="1"/>
  <c r="BZ249" i="1"/>
  <c r="CA249" i="1"/>
  <c r="BS253" i="1"/>
  <c r="AF253" i="1"/>
  <c r="AG253" i="1" s="1"/>
  <c r="AY253" i="1" s="1"/>
  <c r="BY253" i="1"/>
  <c r="AL253" i="1"/>
  <c r="AM253" i="1" s="1"/>
  <c r="BA253" i="1" s="1"/>
  <c r="BG234" i="1"/>
  <c r="T234" i="1"/>
  <c r="U234" i="1" s="1"/>
  <c r="AU234" i="1" s="1"/>
  <c r="AL250" i="1"/>
  <c r="AM250" i="1" s="1"/>
  <c r="BA250" i="1" s="1"/>
  <c r="BY250" i="1"/>
  <c r="EE236" i="1"/>
  <c r="CR236" i="1"/>
  <c r="CS236" i="1" s="1"/>
  <c r="DO236" i="1" s="1"/>
  <c r="EQ236" i="1"/>
  <c r="DD236" i="1"/>
  <c r="DE236" i="1" s="1"/>
  <c r="DS236" i="1" s="1"/>
  <c r="BP238" i="1"/>
  <c r="AC238" i="1"/>
  <c r="AD238" i="1" s="1"/>
  <c r="AX238" i="1" s="1"/>
  <c r="DG230" i="1"/>
  <c r="DH230" i="1" s="1"/>
  <c r="DT230" i="1" s="1"/>
  <c r="ET230" i="1"/>
  <c r="DG231" i="1"/>
  <c r="DH231" i="1" s="1"/>
  <c r="DT231" i="1" s="1"/>
  <c r="ET231" i="1"/>
  <c r="EE231" i="1"/>
  <c r="CR231" i="1"/>
  <c r="CS231" i="1" s="1"/>
  <c r="DO231" i="1" s="1"/>
  <c r="EN243" i="1"/>
  <c r="DA243" i="1"/>
  <c r="DB243" i="1" s="1"/>
  <c r="DR243" i="1" s="1"/>
  <c r="EM239" i="1"/>
  <c r="EL239" i="1"/>
  <c r="CE233" i="1"/>
  <c r="AR233" i="1"/>
  <c r="AS233" i="1" s="1"/>
  <c r="BC233" i="1" s="1"/>
  <c r="EK232" i="1"/>
  <c r="CX232" i="1"/>
  <c r="CY232" i="1" s="1"/>
  <c r="DQ232" i="1" s="1"/>
  <c r="BY260" i="1"/>
  <c r="AL260" i="1"/>
  <c r="AM260" i="1" s="1"/>
  <c r="BA260" i="1" s="1"/>
  <c r="BP260" i="1"/>
  <c r="AC260" i="1"/>
  <c r="AD260" i="1" s="1"/>
  <c r="AX260" i="1" s="1"/>
  <c r="DX243" i="1"/>
  <c r="DW243" i="1"/>
  <c r="BP230" i="1"/>
  <c r="AC230" i="1"/>
  <c r="AD230" i="1" s="1"/>
  <c r="AX230" i="1" s="1"/>
  <c r="BH252" i="1"/>
  <c r="BI252" i="1"/>
  <c r="ET237" i="1"/>
  <c r="DG237" i="1"/>
  <c r="DH237" i="1" s="1"/>
  <c r="DT237" i="1" s="1"/>
  <c r="DD237" i="1"/>
  <c r="DE237" i="1" s="1"/>
  <c r="DS237" i="1" s="1"/>
  <c r="EQ237" i="1"/>
  <c r="CU223" i="1"/>
  <c r="CV223" i="1" s="1"/>
  <c r="DP223" i="1" s="1"/>
  <c r="EH223" i="1"/>
  <c r="CR223" i="1"/>
  <c r="CS223" i="1" s="1"/>
  <c r="DO223" i="1" s="1"/>
  <c r="EE223" i="1"/>
  <c r="EB229" i="1"/>
  <c r="CO229" i="1"/>
  <c r="CP229" i="1" s="1"/>
  <c r="DN229" i="1" s="1"/>
  <c r="CO227" i="1"/>
  <c r="CP227" i="1" s="1"/>
  <c r="DN227" i="1" s="1"/>
  <c r="EB227" i="1"/>
  <c r="ED232" i="1"/>
  <c r="EC232" i="1"/>
  <c r="EW228" i="1"/>
  <c r="DJ228" i="1"/>
  <c r="DK228" i="1" s="1"/>
  <c r="DU228" i="1" s="1"/>
  <c r="DV223" i="1"/>
  <c r="CI223" i="1"/>
  <c r="CJ223" i="1" s="1"/>
  <c r="DL223" i="1" s="1"/>
  <c r="EE215" i="1"/>
  <c r="CR215" i="1"/>
  <c r="CS215" i="1" s="1"/>
  <c r="DO215" i="1" s="1"/>
  <c r="CX213" i="1"/>
  <c r="CY213" i="1" s="1"/>
  <c r="DQ213" i="1" s="1"/>
  <c r="EK213" i="1"/>
  <c r="AF221" i="1"/>
  <c r="AG221" i="1" s="1"/>
  <c r="AY221" i="1" s="1"/>
  <c r="BS221" i="1"/>
  <c r="BP221" i="1"/>
  <c r="AC221" i="1"/>
  <c r="AD221" i="1" s="1"/>
  <c r="AX221" i="1" s="1"/>
  <c r="EW210" i="1"/>
  <c r="DJ210" i="1"/>
  <c r="DK210" i="1" s="1"/>
  <c r="DU210" i="1" s="1"/>
  <c r="EQ220" i="1"/>
  <c r="DD220" i="1"/>
  <c r="DE220" i="1" s="1"/>
  <c r="DS220" i="1" s="1"/>
  <c r="DD219" i="1"/>
  <c r="DE219" i="1" s="1"/>
  <c r="DS219" i="1" s="1"/>
  <c r="EQ219" i="1"/>
  <c r="DY217" i="1"/>
  <c r="CL217" i="1"/>
  <c r="CM217" i="1" s="1"/>
  <c r="DM217" i="1" s="1"/>
  <c r="BZ214" i="1"/>
  <c r="CA214" i="1"/>
  <c r="ET211" i="1"/>
  <c r="DG211" i="1"/>
  <c r="DH211" i="1" s="1"/>
  <c r="DT211" i="1" s="1"/>
  <c r="BD204" i="1"/>
  <c r="Q204" i="1"/>
  <c r="R204" i="1" s="1"/>
  <c r="AT204" i="1" s="1"/>
  <c r="AO203" i="1"/>
  <c r="AP203" i="1" s="1"/>
  <c r="BB203" i="1" s="1"/>
  <c r="CB203" i="1"/>
  <c r="W211" i="1"/>
  <c r="X211" i="1" s="1"/>
  <c r="AV211" i="1" s="1"/>
  <c r="BJ211" i="1"/>
  <c r="BG204" i="1"/>
  <c r="T204" i="1"/>
  <c r="U204" i="1" s="1"/>
  <c r="AU204" i="1" s="1"/>
  <c r="CB208" i="1"/>
  <c r="AO208" i="1"/>
  <c r="AP208" i="1" s="1"/>
  <c r="BB208" i="1" s="1"/>
  <c r="EN203" i="1"/>
  <c r="DA203" i="1"/>
  <c r="DB203" i="1" s="1"/>
  <c r="DR203" i="1" s="1"/>
  <c r="BG211" i="1"/>
  <c r="T211" i="1"/>
  <c r="U211" i="1" s="1"/>
  <c r="AU211" i="1" s="1"/>
  <c r="BS212" i="1"/>
  <c r="AF212" i="1"/>
  <c r="AG212" i="1" s="1"/>
  <c r="AY212" i="1" s="1"/>
  <c r="DV208" i="1"/>
  <c r="CI208" i="1"/>
  <c r="CJ208" i="1" s="1"/>
  <c r="DL208" i="1" s="1"/>
  <c r="DG207" i="1"/>
  <c r="DH207" i="1" s="1"/>
  <c r="DT207" i="1" s="1"/>
  <c r="ET207" i="1"/>
  <c r="AI207" i="1"/>
  <c r="AJ207" i="1" s="1"/>
  <c r="AZ207" i="1" s="1"/>
  <c r="BV207" i="1"/>
  <c r="T218" i="1"/>
  <c r="U218" i="1" s="1"/>
  <c r="AU218" i="1" s="1"/>
  <c r="BG218" i="1"/>
  <c r="W218" i="1"/>
  <c r="X218" i="1" s="1"/>
  <c r="AV218" i="1" s="1"/>
  <c r="BJ218" i="1"/>
  <c r="ER218" i="1"/>
  <c r="ES218" i="1"/>
  <c r="Q199" i="1"/>
  <c r="R199" i="1" s="1"/>
  <c r="AT199" i="1" s="1"/>
  <c r="BD199" i="1"/>
  <c r="DY187" i="1"/>
  <c r="CL187" i="1"/>
  <c r="CM187" i="1" s="1"/>
  <c r="DM187" i="1" s="1"/>
  <c r="EL218" i="1"/>
  <c r="EM218" i="1"/>
  <c r="DA189" i="1"/>
  <c r="DB189" i="1" s="1"/>
  <c r="DR189" i="1" s="1"/>
  <c r="EN189" i="1"/>
  <c r="Q175" i="1"/>
  <c r="R175" i="1" s="1"/>
  <c r="AT175" i="1" s="1"/>
  <c r="BD175" i="1"/>
  <c r="DY199" i="1"/>
  <c r="CL199" i="1"/>
  <c r="CM199" i="1" s="1"/>
  <c r="DM199" i="1" s="1"/>
  <c r="CI187" i="1"/>
  <c r="CJ187" i="1" s="1"/>
  <c r="DL187" i="1" s="1"/>
  <c r="DV187" i="1"/>
  <c r="AJ209" i="1"/>
  <c r="BP198" i="1"/>
  <c r="AC198" i="1"/>
  <c r="AD198" i="1" s="1"/>
  <c r="AX198" i="1" s="1"/>
  <c r="EB188" i="1"/>
  <c r="CO188" i="1"/>
  <c r="CP188" i="1" s="1"/>
  <c r="DN188" i="1" s="1"/>
  <c r="CU175" i="1"/>
  <c r="CV175" i="1" s="1"/>
  <c r="DP175" i="1" s="1"/>
  <c r="EH175" i="1"/>
  <c r="DD167" i="1"/>
  <c r="DE167" i="1" s="1"/>
  <c r="DS167" i="1" s="1"/>
  <c r="EQ167" i="1"/>
  <c r="EK189" i="1"/>
  <c r="CX189" i="1"/>
  <c r="CY189" i="1" s="1"/>
  <c r="DQ189" i="1" s="1"/>
  <c r="DV190" i="1"/>
  <c r="CI190" i="1"/>
  <c r="CJ190" i="1" s="1"/>
  <c r="DL190" i="1" s="1"/>
  <c r="BP184" i="1"/>
  <c r="AC184" i="1"/>
  <c r="AD184" i="1" s="1"/>
  <c r="AX184" i="1" s="1"/>
  <c r="BM176" i="1"/>
  <c r="Z176" i="1"/>
  <c r="AA176" i="1" s="1"/>
  <c r="AW176" i="1" s="1"/>
  <c r="EH180" i="1"/>
  <c r="CU180" i="1"/>
  <c r="CV180" i="1" s="1"/>
  <c r="DP180" i="1" s="1"/>
  <c r="CE181" i="1"/>
  <c r="AR181" i="1"/>
  <c r="AS181" i="1" s="1"/>
  <c r="BC181" i="1" s="1"/>
  <c r="AR185" i="1"/>
  <c r="AS185" i="1" s="1"/>
  <c r="BC185" i="1" s="1"/>
  <c r="CE185" i="1"/>
  <c r="BP182" i="1"/>
  <c r="AC182" i="1"/>
  <c r="AD182" i="1" s="1"/>
  <c r="AX182" i="1" s="1"/>
  <c r="CR182" i="1"/>
  <c r="CS182" i="1" s="1"/>
  <c r="DO182" i="1" s="1"/>
  <c r="EE182" i="1"/>
  <c r="BS192" i="1"/>
  <c r="AF192" i="1"/>
  <c r="AG192" i="1" s="1"/>
  <c r="AY192" i="1" s="1"/>
  <c r="EW192" i="1"/>
  <c r="DJ192" i="1"/>
  <c r="DK192" i="1" s="1"/>
  <c r="DU192" i="1" s="1"/>
  <c r="ES187" i="1"/>
  <c r="ER187" i="1"/>
  <c r="EU197" i="1"/>
  <c r="EV197" i="1"/>
  <c r="AI191" i="1"/>
  <c r="AJ191" i="1" s="1"/>
  <c r="AZ191" i="1" s="1"/>
  <c r="BV191" i="1"/>
  <c r="BX177" i="1"/>
  <c r="BW177" i="1"/>
  <c r="BP178" i="1"/>
  <c r="AC178" i="1"/>
  <c r="AD178" i="1" s="1"/>
  <c r="AX178" i="1" s="1"/>
  <c r="AI162" i="1"/>
  <c r="AJ162" i="1" s="1"/>
  <c r="AZ162" i="1" s="1"/>
  <c r="BV162" i="1"/>
  <c r="DJ155" i="1"/>
  <c r="DK155" i="1" s="1"/>
  <c r="DU155" i="1" s="1"/>
  <c r="EW155" i="1"/>
  <c r="EA172" i="1"/>
  <c r="DZ172" i="1"/>
  <c r="W171" i="1"/>
  <c r="X171" i="1" s="1"/>
  <c r="AV171" i="1" s="1"/>
  <c r="BJ171" i="1"/>
  <c r="EW166" i="1"/>
  <c r="DJ166" i="1"/>
  <c r="DK166" i="1" s="1"/>
  <c r="DU166" i="1" s="1"/>
  <c r="DY165" i="1"/>
  <c r="CL165" i="1"/>
  <c r="CM165" i="1" s="1"/>
  <c r="DM165" i="1" s="1"/>
  <c r="Q161" i="1"/>
  <c r="R161" i="1" s="1"/>
  <c r="AT161" i="1" s="1"/>
  <c r="BD161" i="1"/>
  <c r="BS169" i="1"/>
  <c r="AF169" i="1"/>
  <c r="AG169" i="1" s="1"/>
  <c r="AY169" i="1" s="1"/>
  <c r="BS160" i="1"/>
  <c r="AF160" i="1"/>
  <c r="AG160" i="1" s="1"/>
  <c r="AY160" i="1" s="1"/>
  <c r="DJ161" i="1"/>
  <c r="DK161" i="1" s="1"/>
  <c r="DU161" i="1" s="1"/>
  <c r="EW161" i="1"/>
  <c r="EK165" i="1"/>
  <c r="CX165" i="1"/>
  <c r="CY165" i="1" s="1"/>
  <c r="DQ165" i="1" s="1"/>
  <c r="DV166" i="1"/>
  <c r="CI166" i="1"/>
  <c r="CJ166" i="1" s="1"/>
  <c r="DL166" i="1" s="1"/>
  <c r="BV155" i="1"/>
  <c r="AI155" i="1"/>
  <c r="AJ155" i="1" s="1"/>
  <c r="AZ155" i="1" s="1"/>
  <c r="W169" i="1"/>
  <c r="X169" i="1" s="1"/>
  <c r="AV169" i="1" s="1"/>
  <c r="BJ169" i="1"/>
  <c r="BW152" i="1"/>
  <c r="BX152" i="1"/>
  <c r="BP145" i="1"/>
  <c r="AC145" i="1"/>
  <c r="AD145" i="1" s="1"/>
  <c r="AX145" i="1" s="1"/>
  <c r="EN156" i="1"/>
  <c r="DA156" i="1"/>
  <c r="DB156" i="1" s="1"/>
  <c r="DR156" i="1" s="1"/>
  <c r="AC150" i="1"/>
  <c r="AD150" i="1" s="1"/>
  <c r="AX150" i="1" s="1"/>
  <c r="BP150" i="1"/>
  <c r="CU139" i="1"/>
  <c r="CV139" i="1" s="1"/>
  <c r="DP139" i="1" s="1"/>
  <c r="EH139" i="1"/>
  <c r="EA169" i="1"/>
  <c r="DZ169" i="1"/>
  <c r="DG159" i="1"/>
  <c r="DH159" i="1" s="1"/>
  <c r="DT159" i="1" s="1"/>
  <c r="ET159" i="1"/>
  <c r="EF158" i="1"/>
  <c r="EG158" i="1"/>
  <c r="EK150" i="1"/>
  <c r="CX150" i="1"/>
  <c r="CY150" i="1" s="1"/>
  <c r="DQ150" i="1" s="1"/>
  <c r="CX149" i="1"/>
  <c r="CY149" i="1" s="1"/>
  <c r="DQ149" i="1" s="1"/>
  <c r="EK149" i="1"/>
  <c r="EW142" i="1"/>
  <c r="DJ142" i="1"/>
  <c r="DK142" i="1" s="1"/>
  <c r="DU142" i="1" s="1"/>
  <c r="CR122" i="1"/>
  <c r="CS122" i="1" s="1"/>
  <c r="DO122" i="1" s="1"/>
  <c r="EE122" i="1"/>
  <c r="BS140" i="1"/>
  <c r="AF140" i="1"/>
  <c r="AG140" i="1" s="1"/>
  <c r="AY140" i="1" s="1"/>
  <c r="EB137" i="1"/>
  <c r="CO137" i="1"/>
  <c r="CP137" i="1" s="1"/>
  <c r="DN137" i="1" s="1"/>
  <c r="CI126" i="1"/>
  <c r="CJ126" i="1" s="1"/>
  <c r="DL126" i="1" s="1"/>
  <c r="DV126" i="1"/>
  <c r="BL156" i="1"/>
  <c r="BK156" i="1"/>
  <c r="Q154" i="1"/>
  <c r="R154" i="1" s="1"/>
  <c r="AT154" i="1" s="1"/>
  <c r="BD154" i="1"/>
  <c r="EN141" i="1"/>
  <c r="DA141" i="1"/>
  <c r="DB141" i="1" s="1"/>
  <c r="DR141" i="1" s="1"/>
  <c r="EW138" i="1"/>
  <c r="DJ138" i="1"/>
  <c r="DK138" i="1" s="1"/>
  <c r="DU138" i="1" s="1"/>
  <c r="AC134" i="1"/>
  <c r="AD134" i="1" s="1"/>
  <c r="AX134" i="1" s="1"/>
  <c r="BP134" i="1"/>
  <c r="T120" i="1"/>
  <c r="U120" i="1" s="1"/>
  <c r="AU120" i="1" s="1"/>
  <c r="BG120" i="1"/>
  <c r="CI128" i="1"/>
  <c r="CJ128" i="1" s="1"/>
  <c r="DL128" i="1" s="1"/>
  <c r="DV128" i="1"/>
  <c r="DY137" i="1"/>
  <c r="CL137" i="1"/>
  <c r="CM137" i="1" s="1"/>
  <c r="DM137" i="1" s="1"/>
  <c r="BY133" i="1"/>
  <c r="AL133" i="1"/>
  <c r="AM133" i="1" s="1"/>
  <c r="BA133" i="1" s="1"/>
  <c r="EK120" i="1"/>
  <c r="CX120" i="1"/>
  <c r="CY120" i="1" s="1"/>
  <c r="DQ120" i="1" s="1"/>
  <c r="EV178" i="1"/>
  <c r="EU178" i="1"/>
  <c r="CB122" i="1"/>
  <c r="AO122" i="1"/>
  <c r="AP122" i="1" s="1"/>
  <c r="BB122" i="1" s="1"/>
  <c r="EG128" i="1"/>
  <c r="EF128" i="1"/>
  <c r="EJ116" i="1"/>
  <c r="EI116" i="1"/>
  <c r="EE136" i="1"/>
  <c r="CR136" i="1"/>
  <c r="CS136" i="1" s="1"/>
  <c r="DO136" i="1" s="1"/>
  <c r="AF136" i="1"/>
  <c r="AG136" i="1" s="1"/>
  <c r="AY136" i="1" s="1"/>
  <c r="BS136" i="1"/>
  <c r="CR117" i="1"/>
  <c r="CS117" i="1" s="1"/>
  <c r="DO117" i="1" s="1"/>
  <c r="EE117" i="1"/>
  <c r="EH110" i="1"/>
  <c r="CU110" i="1"/>
  <c r="CV110" i="1" s="1"/>
  <c r="DP110" i="1" s="1"/>
  <c r="ES133" i="1"/>
  <c r="ER133" i="1"/>
  <c r="CG126" i="1"/>
  <c r="CF126" i="1"/>
  <c r="Z124" i="1"/>
  <c r="AA124" i="1" s="1"/>
  <c r="AW124" i="1" s="1"/>
  <c r="BM124" i="1"/>
  <c r="BV111" i="1"/>
  <c r="AI111" i="1"/>
  <c r="AJ111" i="1" s="1"/>
  <c r="AZ111" i="1" s="1"/>
  <c r="EH83" i="1"/>
  <c r="CU83" i="1"/>
  <c r="CV83" i="1" s="1"/>
  <c r="DP83" i="1" s="1"/>
  <c r="BV119" i="1"/>
  <c r="AI119" i="1"/>
  <c r="AJ119" i="1" s="1"/>
  <c r="AZ119" i="1" s="1"/>
  <c r="AF119" i="1"/>
  <c r="AG119" i="1" s="1"/>
  <c r="AY119" i="1" s="1"/>
  <c r="BS119" i="1"/>
  <c r="EV124" i="1"/>
  <c r="EU124" i="1"/>
  <c r="DY148" i="1"/>
  <c r="CL148" i="1"/>
  <c r="CM148" i="1" s="1"/>
  <c r="DM148" i="1" s="1"/>
  <c r="CE148" i="1"/>
  <c r="AR148" i="1"/>
  <c r="AS148" i="1" s="1"/>
  <c r="BC148" i="1" s="1"/>
  <c r="EH103" i="1"/>
  <c r="CU103" i="1"/>
  <c r="CV103" i="1" s="1"/>
  <c r="DP103" i="1" s="1"/>
  <c r="EM124" i="1"/>
  <c r="EL124" i="1"/>
  <c r="BM103" i="1"/>
  <c r="Z103" i="1"/>
  <c r="AA103" i="1" s="1"/>
  <c r="AW103" i="1" s="1"/>
  <c r="BV83" i="1"/>
  <c r="AI83" i="1"/>
  <c r="AJ83" i="1" s="1"/>
  <c r="AZ83" i="1" s="1"/>
  <c r="BM114" i="1"/>
  <c r="Z114" i="1"/>
  <c r="AA114" i="1" s="1"/>
  <c r="AW114" i="1" s="1"/>
  <c r="CE99" i="1"/>
  <c r="AR99" i="1"/>
  <c r="AS99" i="1" s="1"/>
  <c r="BC99" i="1" s="1"/>
  <c r="Z121" i="1"/>
  <c r="AA121" i="1" s="1"/>
  <c r="AW121" i="1" s="1"/>
  <c r="BM121" i="1"/>
  <c r="ET90" i="1"/>
  <c r="DG90" i="1"/>
  <c r="DH90" i="1" s="1"/>
  <c r="DT90" i="1" s="1"/>
  <c r="EP112" i="1"/>
  <c r="EO112" i="1"/>
  <c r="EB102" i="1"/>
  <c r="CO102" i="1"/>
  <c r="CP102" i="1" s="1"/>
  <c r="DN102" i="1" s="1"/>
  <c r="DV91" i="1"/>
  <c r="CI91" i="1"/>
  <c r="CJ91" i="1" s="1"/>
  <c r="DL91" i="1" s="1"/>
  <c r="W106" i="1"/>
  <c r="X106" i="1" s="1"/>
  <c r="AV106" i="1" s="1"/>
  <c r="BJ106" i="1"/>
  <c r="AF93" i="1"/>
  <c r="AG93" i="1" s="1"/>
  <c r="AY93" i="1" s="1"/>
  <c r="BS93" i="1"/>
  <c r="CX72" i="1"/>
  <c r="CY72" i="1" s="1"/>
  <c r="DQ72" i="1" s="1"/>
  <c r="EK72" i="1"/>
  <c r="AL84" i="1"/>
  <c r="AM84" i="1" s="1"/>
  <c r="BA84" i="1" s="1"/>
  <c r="BY84" i="1"/>
  <c r="DG70" i="1"/>
  <c r="DH70" i="1" s="1"/>
  <c r="DT70" i="1" s="1"/>
  <c r="ET70" i="1"/>
  <c r="CR109" i="1"/>
  <c r="CS109" i="1" s="1"/>
  <c r="DO109" i="1" s="1"/>
  <c r="EE109" i="1"/>
  <c r="EW98" i="1"/>
  <c r="DJ98" i="1"/>
  <c r="DK98" i="1" s="1"/>
  <c r="DU98" i="1" s="1"/>
  <c r="BP97" i="1"/>
  <c r="AC97" i="1"/>
  <c r="AD97" i="1" s="1"/>
  <c r="AX97" i="1" s="1"/>
  <c r="CR97" i="1"/>
  <c r="CS97" i="1" s="1"/>
  <c r="DO97" i="1" s="1"/>
  <c r="EE97" i="1"/>
  <c r="CI72" i="1"/>
  <c r="CJ72" i="1" s="1"/>
  <c r="DL72" i="1" s="1"/>
  <c r="DV72" i="1"/>
  <c r="BG84" i="1"/>
  <c r="T84" i="1"/>
  <c r="U84" i="1" s="1"/>
  <c r="AU84" i="1" s="1"/>
  <c r="EK76" i="1"/>
  <c r="CX76" i="1"/>
  <c r="CY76" i="1" s="1"/>
  <c r="DQ76" i="1" s="1"/>
  <c r="EK89" i="1"/>
  <c r="CX89" i="1"/>
  <c r="CY89" i="1" s="1"/>
  <c r="DQ89" i="1" s="1"/>
  <c r="Q88" i="1"/>
  <c r="R88" i="1" s="1"/>
  <c r="AT88" i="1" s="1"/>
  <c r="BD88" i="1"/>
  <c r="ET74" i="1"/>
  <c r="DG74" i="1"/>
  <c r="DH74" i="1" s="1"/>
  <c r="DT74" i="1" s="1"/>
  <c r="EY111" i="1"/>
  <c r="EX111" i="1"/>
  <c r="EK69" i="1"/>
  <c r="CX69" i="1"/>
  <c r="CY69" i="1" s="1"/>
  <c r="DQ69" i="1" s="1"/>
  <c r="BM77" i="1"/>
  <c r="Z77" i="1"/>
  <c r="AA77" i="1" s="1"/>
  <c r="AW77" i="1" s="1"/>
  <c r="BV77" i="1"/>
  <c r="AI77" i="1"/>
  <c r="AJ77" i="1" s="1"/>
  <c r="AZ77" i="1" s="1"/>
  <c r="EB62" i="1"/>
  <c r="CO62" i="1"/>
  <c r="CP62" i="1" s="1"/>
  <c r="DN62" i="1" s="1"/>
  <c r="AO108" i="1"/>
  <c r="AP108" i="1" s="1"/>
  <c r="BB108" i="1" s="1"/>
  <c r="CB108" i="1"/>
  <c r="EC106" i="1"/>
  <c r="ED106" i="1"/>
  <c r="CB75" i="1"/>
  <c r="AO75" i="1"/>
  <c r="AP75" i="1" s="1"/>
  <c r="BB75" i="1" s="1"/>
  <c r="CG70" i="1"/>
  <c r="CF70" i="1"/>
  <c r="DD68" i="1"/>
  <c r="DE68" i="1" s="1"/>
  <c r="DS68" i="1" s="1"/>
  <c r="EQ68" i="1"/>
  <c r="W67" i="1"/>
  <c r="X67" i="1" s="1"/>
  <c r="AV67" i="1" s="1"/>
  <c r="BJ67" i="1"/>
  <c r="AR86" i="1"/>
  <c r="AS86" i="1" s="1"/>
  <c r="BC86" i="1" s="1"/>
  <c r="CE86" i="1"/>
  <c r="EK86" i="1"/>
  <c r="CX86" i="1"/>
  <c r="CY86" i="1" s="1"/>
  <c r="DQ86" i="1" s="1"/>
  <c r="CD77" i="1"/>
  <c r="CC77" i="1"/>
  <c r="BM82" i="1"/>
  <c r="Z82" i="1"/>
  <c r="AA82" i="1" s="1"/>
  <c r="AW82" i="1" s="1"/>
  <c r="AI82" i="1"/>
  <c r="AJ82" i="1" s="1"/>
  <c r="AZ82" i="1" s="1"/>
  <c r="BV82" i="1"/>
  <c r="EN58" i="1"/>
  <c r="DA58" i="1"/>
  <c r="DB58" i="1" s="1"/>
  <c r="DR58" i="1" s="1"/>
  <c r="DV80" i="1"/>
  <c r="CI80" i="1"/>
  <c r="CJ80" i="1" s="1"/>
  <c r="DL80" i="1" s="1"/>
  <c r="T80" i="1"/>
  <c r="U80" i="1" s="1"/>
  <c r="AU80" i="1" s="1"/>
  <c r="BG80" i="1"/>
  <c r="CG95" i="1"/>
  <c r="CF95" i="1"/>
  <c r="ES102" i="1"/>
  <c r="ER102" i="1"/>
  <c r="BO76" i="1"/>
  <c r="BN76" i="1"/>
  <c r="EX102" i="1"/>
  <c r="EY102" i="1"/>
  <c r="CI58" i="1"/>
  <c r="CJ58" i="1" s="1"/>
  <c r="DL58" i="1" s="1"/>
  <c r="DV58" i="1"/>
  <c r="BM59" i="1"/>
  <c r="Z59" i="1"/>
  <c r="AA59" i="1" s="1"/>
  <c r="AW59" i="1" s="1"/>
  <c r="EH49" i="1"/>
  <c r="CU49" i="1"/>
  <c r="CV49" i="1" s="1"/>
  <c r="DP49" i="1" s="1"/>
  <c r="EK39" i="1"/>
  <c r="CX39" i="1"/>
  <c r="CY39" i="1" s="1"/>
  <c r="DQ39" i="1" s="1"/>
  <c r="EU61" i="1"/>
  <c r="EV61" i="1"/>
  <c r="EW50" i="1"/>
  <c r="DJ50" i="1"/>
  <c r="DK50" i="1" s="1"/>
  <c r="DU50" i="1" s="1"/>
  <c r="AO39" i="1"/>
  <c r="AP39" i="1" s="1"/>
  <c r="BB39" i="1" s="1"/>
  <c r="CB39" i="1"/>
  <c r="CE52" i="1"/>
  <c r="AR52" i="1"/>
  <c r="AS52" i="1" s="1"/>
  <c r="BC52" i="1" s="1"/>
  <c r="EH43" i="1"/>
  <c r="CU43" i="1"/>
  <c r="CV43" i="1" s="1"/>
  <c r="DP43" i="1" s="1"/>
  <c r="DG39" i="1"/>
  <c r="DH39" i="1" s="1"/>
  <c r="DT39" i="1" s="1"/>
  <c r="ET39" i="1"/>
  <c r="EV68" i="1"/>
  <c r="EU68" i="1"/>
  <c r="CB54" i="1"/>
  <c r="AO54" i="1"/>
  <c r="AP54" i="1" s="1"/>
  <c r="BB54" i="1" s="1"/>
  <c r="DY85" i="1"/>
  <c r="CL85" i="1"/>
  <c r="CM85" i="1" s="1"/>
  <c r="DM85" i="1" s="1"/>
  <c r="BM85" i="1"/>
  <c r="Z85" i="1"/>
  <c r="AA85" i="1" s="1"/>
  <c r="AW85" i="1" s="1"/>
  <c r="BU64" i="1"/>
  <c r="BT64" i="1"/>
  <c r="AF56" i="1"/>
  <c r="AG56" i="1" s="1"/>
  <c r="AY56" i="1" s="1"/>
  <c r="BS56" i="1"/>
  <c r="CG41" i="1"/>
  <c r="CF41" i="1"/>
  <c r="BJ49" i="1"/>
  <c r="W49" i="1"/>
  <c r="X49" i="1" s="1"/>
  <c r="AV49" i="1" s="1"/>
  <c r="EN38" i="1"/>
  <c r="DA38" i="1"/>
  <c r="DB38" i="1" s="1"/>
  <c r="DR38" i="1" s="1"/>
  <c r="AO50" i="1"/>
  <c r="AP50" i="1" s="1"/>
  <c r="BB50" i="1" s="1"/>
  <c r="CB50" i="1"/>
  <c r="CX36" i="1"/>
  <c r="CY36" i="1" s="1"/>
  <c r="DQ36" i="1" s="1"/>
  <c r="EK36" i="1"/>
  <c r="CL19" i="1"/>
  <c r="CM19" i="1" s="1"/>
  <c r="DM19" i="1" s="1"/>
  <c r="DY19" i="1"/>
  <c r="AO28" i="1"/>
  <c r="AP28" i="1" s="1"/>
  <c r="BB28" i="1" s="1"/>
  <c r="CB28" i="1"/>
  <c r="EB21" i="1"/>
  <c r="CO21" i="1"/>
  <c r="CP21" i="1" s="1"/>
  <c r="DN21" i="1" s="1"/>
  <c r="EV106" i="1"/>
  <c r="EU106" i="1"/>
  <c r="CU44" i="1"/>
  <c r="CV44" i="1" s="1"/>
  <c r="DP44" i="1" s="1"/>
  <c r="EH44" i="1"/>
  <c r="AL44" i="1"/>
  <c r="AM44" i="1" s="1"/>
  <c r="BA44" i="1" s="1"/>
  <c r="BY44" i="1"/>
  <c r="EQ29" i="1"/>
  <c r="DD29" i="1"/>
  <c r="DE29" i="1" s="1"/>
  <c r="DS29" i="1" s="1"/>
  <c r="CI17" i="1"/>
  <c r="CJ17" i="1" s="1"/>
  <c r="DL17" i="1" s="1"/>
  <c r="DV17" i="1"/>
  <c r="DZ32" i="1"/>
  <c r="EA32" i="1"/>
  <c r="DD30" i="1"/>
  <c r="DE30" i="1" s="1"/>
  <c r="DS30" i="1" s="1"/>
  <c r="EQ30" i="1"/>
  <c r="CU13" i="1"/>
  <c r="CV13" i="1" s="1"/>
  <c r="DP13" i="1" s="1"/>
  <c r="EH13" i="1"/>
  <c r="EP48" i="1"/>
  <c r="EO48" i="1"/>
  <c r="BJ46" i="1"/>
  <c r="W46" i="1"/>
  <c r="X46" i="1" s="1"/>
  <c r="AV46" i="1" s="1"/>
  <c r="DD16" i="1"/>
  <c r="DE16" i="1" s="1"/>
  <c r="DS16" i="1" s="1"/>
  <c r="EQ16" i="1"/>
  <c r="EX32" i="1"/>
  <c r="EY32" i="1"/>
  <c r="Q55" i="1"/>
  <c r="R55" i="1" s="1"/>
  <c r="AT55" i="1" s="1"/>
  <c r="BD55" i="1"/>
  <c r="BS55" i="1"/>
  <c r="AF55" i="1"/>
  <c r="AG55" i="1" s="1"/>
  <c r="AY55" i="1" s="1"/>
  <c r="AC22" i="1"/>
  <c r="AD22" i="1" s="1"/>
  <c r="AX22" i="1" s="1"/>
  <c r="BP22" i="1"/>
  <c r="BV17" i="1"/>
  <c r="AI17" i="1"/>
  <c r="AJ17" i="1" s="1"/>
  <c r="AZ17" i="1" s="1"/>
  <c r="DV24" i="1"/>
  <c r="CI24" i="1"/>
  <c r="CJ24" i="1" s="1"/>
  <c r="DL24" i="1" s="1"/>
  <c r="BS26" i="1"/>
  <c r="AF26" i="1"/>
  <c r="AG26" i="1" s="1"/>
  <c r="AY26" i="1" s="1"/>
  <c r="CR18" i="1"/>
  <c r="CS18" i="1" s="1"/>
  <c r="DO18" i="1" s="1"/>
  <c r="EE18" i="1"/>
  <c r="EL32" i="1"/>
  <c r="EM32" i="1"/>
  <c r="AF6" i="1"/>
  <c r="AG6" i="1" s="1"/>
  <c r="AY6" i="1" s="1"/>
  <c r="BS6" i="1"/>
  <c r="EP45" i="1"/>
  <c r="EO45" i="1"/>
  <c r="BP34" i="1"/>
  <c r="AC34" i="1"/>
  <c r="AD34" i="1" s="1"/>
  <c r="AX34" i="1" s="1"/>
  <c r="BW19" i="1"/>
  <c r="BX19" i="1"/>
  <c r="CU10" i="1"/>
  <c r="CV10" i="1" s="1"/>
  <c r="DP10" i="1" s="1"/>
  <c r="EH10" i="1"/>
  <c r="EK6" i="1"/>
  <c r="CX6" i="1"/>
  <c r="CY6" i="1" s="1"/>
  <c r="DQ6" i="1" s="1"/>
  <c r="AI10" i="1"/>
  <c r="AJ10" i="1" s="1"/>
  <c r="AZ10" i="1" s="1"/>
  <c r="BV10" i="1"/>
  <c r="AI9" i="1"/>
  <c r="AJ9" i="1" s="1"/>
  <c r="AZ9" i="1" s="1"/>
  <c r="BV9" i="1"/>
  <c r="BP3" i="1"/>
  <c r="AC3" i="1"/>
  <c r="AD3" i="1" s="1"/>
  <c r="AX3" i="1" s="1"/>
  <c r="CI5" i="1"/>
  <c r="CJ5" i="1" s="1"/>
  <c r="DL5" i="1" s="1"/>
  <c r="DV5" i="1"/>
  <c r="BE26" i="1"/>
  <c r="BF26" i="1"/>
  <c r="CB15" i="1"/>
  <c r="AO15" i="1"/>
  <c r="AP15" i="1" s="1"/>
  <c r="BB15" i="1" s="1"/>
  <c r="EV44" i="1"/>
  <c r="EU44" i="1"/>
  <c r="ED11" i="1"/>
  <c r="EC11" i="1"/>
  <c r="BY3" i="1"/>
  <c r="AL3" i="1"/>
  <c r="AM3" i="1" s="1"/>
  <c r="BA3" i="1" s="1"/>
  <c r="BR24" i="1"/>
  <c r="BQ24" i="1"/>
  <c r="EM8" i="1"/>
  <c r="EL8" i="1"/>
  <c r="EB35" i="1"/>
  <c r="CO35" i="1"/>
  <c r="CP35" i="1" s="1"/>
  <c r="DN35" i="1" s="1"/>
  <c r="EK35" i="1"/>
  <c r="CX35" i="1"/>
  <c r="CY35" i="1" s="1"/>
  <c r="DQ35" i="1" s="1"/>
  <c r="ET23" i="1"/>
  <c r="DG23" i="1"/>
  <c r="DH23" i="1" s="1"/>
  <c r="DT23" i="1" s="1"/>
  <c r="EW5" i="1"/>
  <c r="DJ5" i="1"/>
  <c r="DK5" i="1" s="1"/>
  <c r="DU5" i="1" s="1"/>
  <c r="ES285" i="1"/>
  <c r="ER285" i="1"/>
  <c r="CB268" i="1"/>
  <c r="AO268" i="1"/>
  <c r="AP268" i="1" s="1"/>
  <c r="BB268" i="1" s="1"/>
  <c r="EY256" i="1"/>
  <c r="EX256" i="1"/>
  <c r="Q251" i="1"/>
  <c r="R251" i="1" s="1"/>
  <c r="AT251" i="1" s="1"/>
  <c r="BD251" i="1"/>
  <c r="CI242" i="1"/>
  <c r="CJ242" i="1" s="1"/>
  <c r="DL242" i="1" s="1"/>
  <c r="DV242" i="1"/>
  <c r="BR250" i="1"/>
  <c r="BQ250" i="1"/>
  <c r="CL238" i="1"/>
  <c r="CM238" i="1" s="1"/>
  <c r="DM238" i="1" s="1"/>
  <c r="DY238" i="1"/>
  <c r="DD232" i="1"/>
  <c r="DE232" i="1" s="1"/>
  <c r="DS232" i="1" s="1"/>
  <c r="EQ232" i="1"/>
  <c r="EP240" i="1"/>
  <c r="EO240" i="1"/>
  <c r="EQ229" i="1"/>
  <c r="DD229" i="1"/>
  <c r="DE229" i="1" s="1"/>
  <c r="DS229" i="1" s="1"/>
  <c r="EB228" i="1"/>
  <c r="CO228" i="1"/>
  <c r="CP228" i="1" s="1"/>
  <c r="DN228" i="1" s="1"/>
  <c r="EE211" i="1"/>
  <c r="CR211" i="1"/>
  <c r="CS211" i="1" s="1"/>
  <c r="DO211" i="1" s="1"/>
  <c r="CA215" i="1"/>
  <c r="BZ215" i="1"/>
  <c r="BF197" i="1"/>
  <c r="BE197" i="1"/>
  <c r="BS184" i="1"/>
  <c r="AF184" i="1"/>
  <c r="AG184" i="1" s="1"/>
  <c r="AY184" i="1" s="1"/>
  <c r="DV181" i="1"/>
  <c r="CI181" i="1"/>
  <c r="CJ181" i="1" s="1"/>
  <c r="DL181" i="1" s="1"/>
  <c r="Q165" i="1"/>
  <c r="R165" i="1" s="1"/>
  <c r="AT165" i="1" s="1"/>
  <c r="BD165" i="1"/>
  <c r="Z166" i="1"/>
  <c r="AA166" i="1" s="1"/>
  <c r="AW166" i="1" s="1"/>
  <c r="BM166" i="1"/>
  <c r="DG169" i="1"/>
  <c r="DH169" i="1" s="1"/>
  <c r="DT169" i="1" s="1"/>
  <c r="ET169" i="1"/>
  <c r="BX179" i="1"/>
  <c r="BW179" i="1"/>
  <c r="Q140" i="1"/>
  <c r="R140" i="1" s="1"/>
  <c r="AT140" i="1" s="1"/>
  <c r="BD140" i="1"/>
  <c r="BD136" i="1"/>
  <c r="Q136" i="1"/>
  <c r="R136" i="1" s="1"/>
  <c r="AT136" i="1" s="1"/>
  <c r="BD124" i="1"/>
  <c r="Q124" i="1"/>
  <c r="R124" i="1" s="1"/>
  <c r="AT124" i="1" s="1"/>
  <c r="BK113" i="1"/>
  <c r="BL113" i="1"/>
  <c r="AO103" i="1"/>
  <c r="AP103" i="1" s="1"/>
  <c r="BB103" i="1" s="1"/>
  <c r="CB103" i="1"/>
  <c r="EQ121" i="1"/>
  <c r="DD121" i="1"/>
  <c r="DE121" i="1" s="1"/>
  <c r="DS121" i="1" s="1"/>
  <c r="BI90" i="1"/>
  <c r="BH90" i="1"/>
  <c r="CE88" i="1"/>
  <c r="AR88" i="1"/>
  <c r="AS88" i="1" s="1"/>
  <c r="BC88" i="1" s="1"/>
  <c r="EE75" i="1"/>
  <c r="CR75" i="1"/>
  <c r="CS75" i="1" s="1"/>
  <c r="DO75" i="1" s="1"/>
  <c r="CX67" i="1"/>
  <c r="CY67" i="1" s="1"/>
  <c r="DQ67" i="1" s="1"/>
  <c r="EK67" i="1"/>
  <c r="BF123" i="1"/>
  <c r="BE123" i="1"/>
  <c r="BR77" i="1"/>
  <c r="BQ77" i="1"/>
  <c r="EX60" i="1"/>
  <c r="EY60" i="1"/>
  <c r="EE85" i="1"/>
  <c r="CR85" i="1"/>
  <c r="CS85" i="1" s="1"/>
  <c r="DO85" i="1" s="1"/>
  <c r="CA56" i="1"/>
  <c r="BZ56" i="1"/>
  <c r="CX271" i="1"/>
  <c r="CY271" i="1" s="1"/>
  <c r="DQ271" i="1" s="1"/>
  <c r="EK271" i="1"/>
  <c r="ET259" i="1"/>
  <c r="DG259" i="1"/>
  <c r="DH259" i="1" s="1"/>
  <c r="DT259" i="1" s="1"/>
  <c r="DA263" i="1"/>
  <c r="DB263" i="1" s="1"/>
  <c r="DR263" i="1" s="1"/>
  <c r="EN263" i="1"/>
  <c r="DV256" i="1"/>
  <c r="CI256" i="1"/>
  <c r="CJ256" i="1" s="1"/>
  <c r="DL256" i="1" s="1"/>
  <c r="CO255" i="1"/>
  <c r="CP255" i="1" s="1"/>
  <c r="DN255" i="1" s="1"/>
  <c r="EB255" i="1"/>
  <c r="CG262" i="1"/>
  <c r="CF262" i="1"/>
  <c r="BR257" i="1"/>
  <c r="BQ257" i="1"/>
  <c r="EE250" i="1"/>
  <c r="CR250" i="1"/>
  <c r="CS250" i="1" s="1"/>
  <c r="DO250" i="1" s="1"/>
  <c r="BD250" i="1"/>
  <c r="Q250" i="1"/>
  <c r="R250" i="1" s="1"/>
  <c r="AT250" i="1" s="1"/>
  <c r="EV246" i="1"/>
  <c r="EU246" i="1"/>
  <c r="BG237" i="1"/>
  <c r="T237" i="1"/>
  <c r="U237" i="1" s="1"/>
  <c r="AU237" i="1" s="1"/>
  <c r="CR228" i="1"/>
  <c r="CS228" i="1" s="1"/>
  <c r="DO228" i="1" s="1"/>
  <c r="EE228" i="1"/>
  <c r="CB220" i="1"/>
  <c r="AO220" i="1"/>
  <c r="AP220" i="1" s="1"/>
  <c r="BB220" i="1" s="1"/>
  <c r="AL200" i="1"/>
  <c r="AM200" i="1" s="1"/>
  <c r="BA200" i="1" s="1"/>
  <c r="BY200" i="1"/>
  <c r="CU202" i="1"/>
  <c r="CV202" i="1" s="1"/>
  <c r="DP202" i="1" s="1"/>
  <c r="EH202" i="1"/>
  <c r="BV212" i="1"/>
  <c r="AI212" i="1"/>
  <c r="AJ212" i="1" s="1"/>
  <c r="AZ212" i="1" s="1"/>
  <c r="EK207" i="1"/>
  <c r="CX207" i="1"/>
  <c r="CY207" i="1" s="1"/>
  <c r="DQ207" i="1" s="1"/>
  <c r="BD218" i="1"/>
  <c r="Q218" i="1"/>
  <c r="R218" i="1" s="1"/>
  <c r="AT218" i="1" s="1"/>
  <c r="EW194" i="1"/>
  <c r="DJ194" i="1"/>
  <c r="DK194" i="1" s="1"/>
  <c r="DU194" i="1" s="1"/>
  <c r="W197" i="1"/>
  <c r="X197" i="1" s="1"/>
  <c r="AV197" i="1" s="1"/>
  <c r="BJ197" i="1"/>
  <c r="BG184" i="1"/>
  <c r="T184" i="1"/>
  <c r="U184" i="1" s="1"/>
  <c r="AU184" i="1" s="1"/>
  <c r="CX188" i="1"/>
  <c r="CY188" i="1" s="1"/>
  <c r="DQ188" i="1" s="1"/>
  <c r="EK188" i="1"/>
  <c r="EP204" i="1"/>
  <c r="EO204" i="1"/>
  <c r="BP179" i="1"/>
  <c r="AC179" i="1"/>
  <c r="AD179" i="1" s="1"/>
  <c r="AX179" i="1" s="1"/>
  <c r="BS182" i="1"/>
  <c r="AF182" i="1"/>
  <c r="AG182" i="1" s="1"/>
  <c r="AY182" i="1" s="1"/>
  <c r="EB174" i="1"/>
  <c r="CO174" i="1"/>
  <c r="CP174" i="1" s="1"/>
  <c r="DN174" i="1" s="1"/>
  <c r="DG152" i="1"/>
  <c r="DH152" i="1" s="1"/>
  <c r="DT152" i="1" s="1"/>
  <c r="ET152" i="1"/>
  <c r="ER153" i="1"/>
  <c r="ES153" i="1"/>
  <c r="DJ135" i="1"/>
  <c r="DK135" i="1" s="1"/>
  <c r="DU135" i="1" s="1"/>
  <c r="EW135" i="1"/>
  <c r="BV116" i="1"/>
  <c r="AI116" i="1"/>
  <c r="AJ116" i="1" s="1"/>
  <c r="AZ116" i="1" s="1"/>
  <c r="EB123" i="1"/>
  <c r="CO123" i="1"/>
  <c r="CP123" i="1" s="1"/>
  <c r="DN123" i="1" s="1"/>
  <c r="AC103" i="1"/>
  <c r="AD103" i="1" s="1"/>
  <c r="AX103" i="1" s="1"/>
  <c r="BP103" i="1"/>
  <c r="AF114" i="1"/>
  <c r="AG114" i="1" s="1"/>
  <c r="AY114" i="1" s="1"/>
  <c r="BS114" i="1"/>
  <c r="DD89" i="1"/>
  <c r="DE89" i="1" s="1"/>
  <c r="DS89" i="1" s="1"/>
  <c r="EQ89" i="1"/>
  <c r="DW272" i="1"/>
  <c r="DX272" i="1"/>
  <c r="CR258" i="1"/>
  <c r="CS258" i="1" s="1"/>
  <c r="DO258" i="1" s="1"/>
  <c r="EE258" i="1"/>
  <c r="BH258" i="1"/>
  <c r="BI258" i="1"/>
  <c r="CA242" i="1"/>
  <c r="BZ242" i="1"/>
  <c r="EW231" i="1"/>
  <c r="DJ231" i="1"/>
  <c r="DK231" i="1" s="1"/>
  <c r="DU231" i="1" s="1"/>
  <c r="CD241" i="1"/>
  <c r="CC241" i="1"/>
  <c r="AO228" i="1"/>
  <c r="AP228" i="1" s="1"/>
  <c r="BB228" i="1" s="1"/>
  <c r="CB228" i="1"/>
  <c r="BL226" i="1"/>
  <c r="BK226" i="1"/>
  <c r="EC301" i="1"/>
  <c r="ED301" i="1"/>
  <c r="EG276" i="1"/>
  <c r="EF276" i="1"/>
  <c r="Z266" i="1"/>
  <c r="AA266" i="1" s="1"/>
  <c r="AW266" i="1" s="1"/>
  <c r="BM266" i="1"/>
  <c r="EE270" i="1"/>
  <c r="CR270" i="1"/>
  <c r="CS270" i="1" s="1"/>
  <c r="DO270" i="1" s="1"/>
  <c r="AI262" i="1"/>
  <c r="AJ262" i="1" s="1"/>
  <c r="AZ262" i="1" s="1"/>
  <c r="BV262" i="1"/>
  <c r="CX264" i="1"/>
  <c r="CY264" i="1" s="1"/>
  <c r="DQ264" i="1" s="1"/>
  <c r="EK264" i="1"/>
  <c r="T251" i="1"/>
  <c r="U251" i="1" s="1"/>
  <c r="AU251" i="1" s="1"/>
  <c r="BG251" i="1"/>
  <c r="BN262" i="1"/>
  <c r="BO262" i="1"/>
  <c r="EB234" i="1"/>
  <c r="CO234" i="1"/>
  <c r="CP234" i="1" s="1"/>
  <c r="DN234" i="1" s="1"/>
  <c r="W231" i="1"/>
  <c r="X231" i="1" s="1"/>
  <c r="AV231" i="1" s="1"/>
  <c r="BJ231" i="1"/>
  <c r="AI237" i="1"/>
  <c r="AJ237" i="1" s="1"/>
  <c r="AZ237" i="1" s="1"/>
  <c r="BV237" i="1"/>
  <c r="DY228" i="1"/>
  <c r="CL228" i="1"/>
  <c r="CM228" i="1" s="1"/>
  <c r="DM228" i="1" s="1"/>
  <c r="AO213" i="1"/>
  <c r="AP213" i="1" s="1"/>
  <c r="BB213" i="1" s="1"/>
  <c r="CB213" i="1"/>
  <c r="EQ221" i="1"/>
  <c r="DD221" i="1"/>
  <c r="DE221" i="1" s="1"/>
  <c r="DS221" i="1" s="1"/>
  <c r="DJ219" i="1"/>
  <c r="DK219" i="1" s="1"/>
  <c r="DU219" i="1" s="1"/>
  <c r="EW219" i="1"/>
  <c r="EQ212" i="1"/>
  <c r="DD212" i="1"/>
  <c r="DE212" i="1" s="1"/>
  <c r="DS212" i="1" s="1"/>
  <c r="DV218" i="1"/>
  <c r="CI218" i="1"/>
  <c r="CJ218" i="1" s="1"/>
  <c r="DL218" i="1" s="1"/>
  <c r="AO197" i="1"/>
  <c r="AP197" i="1" s="1"/>
  <c r="BB197" i="1" s="1"/>
  <c r="CB197" i="1"/>
  <c r="AO175" i="1"/>
  <c r="AP175" i="1" s="1"/>
  <c r="BB175" i="1" s="1"/>
  <c r="CB175" i="1"/>
  <c r="BM184" i="1"/>
  <c r="Z184" i="1"/>
  <c r="AA184" i="1" s="1"/>
  <c r="AW184" i="1" s="1"/>
  <c r="CF143" i="1"/>
  <c r="CG143" i="1"/>
  <c r="CB119" i="1"/>
  <c r="AO119" i="1"/>
  <c r="AP119" i="1" s="1"/>
  <c r="BB119" i="1" s="1"/>
  <c r="EE121" i="1"/>
  <c r="CR121" i="1"/>
  <c r="CS121" i="1" s="1"/>
  <c r="DO121" i="1" s="1"/>
  <c r="AL64" i="1"/>
  <c r="AM64" i="1" s="1"/>
  <c r="BA64" i="1" s="1"/>
  <c r="BY64" i="1"/>
  <c r="EV104" i="1"/>
  <c r="EU104" i="1"/>
  <c r="BG71" i="1"/>
  <c r="T71" i="1"/>
  <c r="U71" i="1" s="1"/>
  <c r="AU71" i="1" s="1"/>
  <c r="EE61" i="1"/>
  <c r="CR61" i="1"/>
  <c r="CS61" i="1" s="1"/>
  <c r="DO61" i="1" s="1"/>
  <c r="BD75" i="1"/>
  <c r="Q75" i="1"/>
  <c r="R75" i="1" s="1"/>
  <c r="AT75" i="1" s="1"/>
  <c r="CU45" i="1"/>
  <c r="CV45" i="1" s="1"/>
  <c r="DP45" i="1" s="1"/>
  <c r="EH45" i="1"/>
  <c r="BR64" i="1"/>
  <c r="BQ64" i="1"/>
  <c r="BH62" i="1"/>
  <c r="BI62" i="1"/>
  <c r="DA32" i="1"/>
  <c r="DB32" i="1" s="1"/>
  <c r="DR32" i="1" s="1"/>
  <c r="EN32" i="1"/>
  <c r="BD54" i="1"/>
  <c r="Q54" i="1"/>
  <c r="R54" i="1" s="1"/>
  <c r="AT54" i="1" s="1"/>
  <c r="AI30" i="1"/>
  <c r="AJ30" i="1" s="1"/>
  <c r="AZ30" i="1" s="1"/>
  <c r="BV30" i="1"/>
  <c r="AF28" i="1"/>
  <c r="AG28" i="1" s="1"/>
  <c r="AY28" i="1" s="1"/>
  <c r="BS28" i="1"/>
  <c r="BO7" i="1"/>
  <c r="BN7" i="1"/>
  <c r="CG15" i="1"/>
  <c r="CF15" i="1"/>
  <c r="EV300" i="1"/>
  <c r="EU300" i="1"/>
  <c r="EX279" i="1"/>
  <c r="EY279" i="1"/>
  <c r="ED282" i="1"/>
  <c r="EC282" i="1"/>
  <c r="EO289" i="1"/>
  <c r="EP289" i="1"/>
  <c r="EG294" i="1"/>
  <c r="EF294" i="1"/>
  <c r="EU295" i="1"/>
  <c r="EV295" i="1"/>
  <c r="BD269" i="1"/>
  <c r="Q269" i="1"/>
  <c r="R269" i="1" s="1"/>
  <c r="AT269" i="1" s="1"/>
  <c r="EN271" i="1"/>
  <c r="DA271" i="1"/>
  <c r="DB271" i="1" s="1"/>
  <c r="DR271" i="1" s="1"/>
  <c r="EL280" i="1"/>
  <c r="EM280" i="1"/>
  <c r="AI266" i="1"/>
  <c r="AJ266" i="1" s="1"/>
  <c r="AZ266" i="1" s="1"/>
  <c r="BV266" i="1"/>
  <c r="BX271" i="1"/>
  <c r="BW271" i="1"/>
  <c r="AL265" i="1"/>
  <c r="AM265" i="1" s="1"/>
  <c r="BA265" i="1" s="1"/>
  <c r="BY265" i="1"/>
  <c r="BD268" i="1"/>
  <c r="Q268" i="1"/>
  <c r="R268" i="1" s="1"/>
  <c r="AT268" i="1" s="1"/>
  <c r="EQ268" i="1"/>
  <c r="DD268" i="1"/>
  <c r="DE268" i="1" s="1"/>
  <c r="DS268" i="1" s="1"/>
  <c r="ET270" i="1"/>
  <c r="DG270" i="1"/>
  <c r="DH270" i="1" s="1"/>
  <c r="DT270" i="1" s="1"/>
  <c r="CX270" i="1"/>
  <c r="CY270" i="1" s="1"/>
  <c r="DQ270" i="1" s="1"/>
  <c r="EK270" i="1"/>
  <c r="BS267" i="1"/>
  <c r="AF267" i="1"/>
  <c r="AG267" i="1" s="1"/>
  <c r="AY267" i="1" s="1"/>
  <c r="BJ262" i="1"/>
  <c r="W262" i="1"/>
  <c r="X262" i="1" s="1"/>
  <c r="AV262" i="1" s="1"/>
  <c r="CU263" i="1"/>
  <c r="CV263" i="1" s="1"/>
  <c r="DP263" i="1" s="1"/>
  <c r="EH263" i="1"/>
  <c r="CL263" i="1"/>
  <c r="CM263" i="1" s="1"/>
  <c r="DM263" i="1" s="1"/>
  <c r="DY263" i="1"/>
  <c r="EH264" i="1"/>
  <c r="CU264" i="1"/>
  <c r="CV264" i="1" s="1"/>
  <c r="DP264" i="1" s="1"/>
  <c r="BM258" i="1"/>
  <c r="Z258" i="1"/>
  <c r="AA258" i="1" s="1"/>
  <c r="AW258" i="1" s="1"/>
  <c r="ED259" i="1"/>
  <c r="EC259" i="1"/>
  <c r="BP259" i="1"/>
  <c r="AC259" i="1"/>
  <c r="AD259" i="1" s="1"/>
  <c r="AX259" i="1" s="1"/>
  <c r="EK255" i="1"/>
  <c r="CX255" i="1"/>
  <c r="CY255" i="1" s="1"/>
  <c r="DQ255" i="1" s="1"/>
  <c r="CX251" i="1"/>
  <c r="CY251" i="1" s="1"/>
  <c r="DQ251" i="1" s="1"/>
  <c r="EK251" i="1"/>
  <c r="EH257" i="1"/>
  <c r="CU257" i="1"/>
  <c r="CV257" i="1" s="1"/>
  <c r="DP257" i="1" s="1"/>
  <c r="CU251" i="1"/>
  <c r="CV251" i="1" s="1"/>
  <c r="DP251" i="1" s="1"/>
  <c r="EH251" i="1"/>
  <c r="EW249" i="1"/>
  <c r="DJ249" i="1"/>
  <c r="DK249" i="1" s="1"/>
  <c r="DU249" i="1" s="1"/>
  <c r="EE251" i="1"/>
  <c r="CR251" i="1"/>
  <c r="CS251" i="1" s="1"/>
  <c r="DO251" i="1" s="1"/>
  <c r="EH239" i="1"/>
  <c r="CU239" i="1"/>
  <c r="CV239" i="1" s="1"/>
  <c r="DP239" i="1" s="1"/>
  <c r="BD247" i="1"/>
  <c r="Q247" i="1"/>
  <c r="R247" i="1" s="1"/>
  <c r="AT247" i="1" s="1"/>
  <c r="CU246" i="1"/>
  <c r="CV246" i="1" s="1"/>
  <c r="DP246" i="1" s="1"/>
  <c r="EH246" i="1"/>
  <c r="DA247" i="1"/>
  <c r="DB247" i="1" s="1"/>
  <c r="DR247" i="1" s="1"/>
  <c r="EN247" i="1"/>
  <c r="EQ241" i="1"/>
  <c r="DD241" i="1"/>
  <c r="DE241" i="1" s="1"/>
  <c r="DS241" i="1" s="1"/>
  <c r="EF262" i="1"/>
  <c r="EG262" i="1"/>
  <c r="EG263" i="1"/>
  <c r="EF263" i="1"/>
  <c r="Q253" i="1"/>
  <c r="R253" i="1" s="1"/>
  <c r="AT253" i="1" s="1"/>
  <c r="BD253" i="1"/>
  <c r="EN250" i="1"/>
  <c r="DA250" i="1"/>
  <c r="DB250" i="1" s="1"/>
  <c r="DR250" i="1" s="1"/>
  <c r="EW230" i="1"/>
  <c r="DJ230" i="1"/>
  <c r="DK230" i="1" s="1"/>
  <c r="DU230" i="1" s="1"/>
  <c r="EB238" i="1"/>
  <c r="CO238" i="1"/>
  <c r="CP238" i="1" s="1"/>
  <c r="DN238" i="1" s="1"/>
  <c r="CI230" i="1"/>
  <c r="CJ230" i="1" s="1"/>
  <c r="DL230" i="1" s="1"/>
  <c r="DV230" i="1"/>
  <c r="CI231" i="1"/>
  <c r="CJ231" i="1" s="1"/>
  <c r="DL231" i="1" s="1"/>
  <c r="DV231" i="1"/>
  <c r="EQ231" i="1"/>
  <c r="DD231" i="1"/>
  <c r="DE231" i="1" s="1"/>
  <c r="DS231" i="1" s="1"/>
  <c r="EP232" i="1"/>
  <c r="EO232" i="1"/>
  <c r="BV243" i="1"/>
  <c r="AI243" i="1"/>
  <c r="AJ243" i="1" s="1"/>
  <c r="AZ243" i="1" s="1"/>
  <c r="DV237" i="1"/>
  <c r="CI237" i="1"/>
  <c r="CJ237" i="1" s="1"/>
  <c r="DL237" i="1" s="1"/>
  <c r="W233" i="1"/>
  <c r="X233" i="1" s="1"/>
  <c r="AV233" i="1" s="1"/>
  <c r="BJ233" i="1"/>
  <c r="EW232" i="1"/>
  <c r="DJ232" i="1"/>
  <c r="DK232" i="1" s="1"/>
  <c r="DU232" i="1" s="1"/>
  <c r="EC251" i="1"/>
  <c r="ED251" i="1"/>
  <c r="BG260" i="1"/>
  <c r="T260" i="1"/>
  <c r="U260" i="1" s="1"/>
  <c r="AU260" i="1" s="1"/>
  <c r="CB230" i="1"/>
  <c r="AO230" i="1"/>
  <c r="AP230" i="1" s="1"/>
  <c r="BB230" i="1" s="1"/>
  <c r="EB237" i="1"/>
  <c r="CO237" i="1"/>
  <c r="CP237" i="1" s="1"/>
  <c r="DN237" i="1" s="1"/>
  <c r="EB216" i="1"/>
  <c r="CO216" i="1"/>
  <c r="CP216" i="1" s="1"/>
  <c r="DN216" i="1" s="1"/>
  <c r="BD226" i="1"/>
  <c r="Q226" i="1"/>
  <c r="R226" i="1" s="1"/>
  <c r="AT226" i="1" s="1"/>
  <c r="AR223" i="1"/>
  <c r="AS223" i="1" s="1"/>
  <c r="BC223" i="1" s="1"/>
  <c r="CE223" i="1"/>
  <c r="BY229" i="1"/>
  <c r="AL229" i="1"/>
  <c r="AM229" i="1" s="1"/>
  <c r="BA229" i="1" s="1"/>
  <c r="EN229" i="1"/>
  <c r="DA229" i="1"/>
  <c r="DB229" i="1" s="1"/>
  <c r="DR229" i="1" s="1"/>
  <c r="DA227" i="1"/>
  <c r="DB227" i="1" s="1"/>
  <c r="DR227" i="1" s="1"/>
  <c r="EN227" i="1"/>
  <c r="ET223" i="1"/>
  <c r="DG223" i="1"/>
  <c r="DH223" i="1" s="1"/>
  <c r="DT223" i="1" s="1"/>
  <c r="BG228" i="1"/>
  <c r="T228" i="1"/>
  <c r="U228" i="1" s="1"/>
  <c r="AU228" i="1" s="1"/>
  <c r="EJ232" i="1"/>
  <c r="EI232" i="1"/>
  <c r="BV223" i="1"/>
  <c r="AI223" i="1"/>
  <c r="AJ223" i="1" s="1"/>
  <c r="AZ223" i="1" s="1"/>
  <c r="BM223" i="1"/>
  <c r="Z223" i="1"/>
  <c r="AA223" i="1" s="1"/>
  <c r="AW223" i="1" s="1"/>
  <c r="DJ213" i="1"/>
  <c r="DK213" i="1" s="1"/>
  <c r="DU213" i="1" s="1"/>
  <c r="EW213" i="1"/>
  <c r="AR210" i="1"/>
  <c r="AS210" i="1" s="1"/>
  <c r="BC210" i="1" s="1"/>
  <c r="CE210" i="1"/>
  <c r="T221" i="1"/>
  <c r="U221" i="1" s="1"/>
  <c r="AU221" i="1" s="1"/>
  <c r="BG221" i="1"/>
  <c r="CB221" i="1"/>
  <c r="AO221" i="1"/>
  <c r="AP221" i="1" s="1"/>
  <c r="BB221" i="1" s="1"/>
  <c r="EK210" i="1"/>
  <c r="CX210" i="1"/>
  <c r="CY210" i="1" s="1"/>
  <c r="DQ210" i="1" s="1"/>
  <c r="W220" i="1"/>
  <c r="X220" i="1" s="1"/>
  <c r="AV220" i="1" s="1"/>
  <c r="BJ220" i="1"/>
  <c r="CE219" i="1"/>
  <c r="AR219" i="1"/>
  <c r="AS219" i="1" s="1"/>
  <c r="BC219" i="1" s="1"/>
  <c r="EK217" i="1"/>
  <c r="CX217" i="1"/>
  <c r="CY217" i="1" s="1"/>
  <c r="DQ217" i="1" s="1"/>
  <c r="EI213" i="1"/>
  <c r="EJ213" i="1"/>
  <c r="BM211" i="1"/>
  <c r="Z211" i="1"/>
  <c r="AA211" i="1" s="1"/>
  <c r="AW211" i="1" s="1"/>
  <c r="DY203" i="1"/>
  <c r="CL203" i="1"/>
  <c r="CM203" i="1" s="1"/>
  <c r="DM203" i="1" s="1"/>
  <c r="CI212" i="1"/>
  <c r="CJ212" i="1" s="1"/>
  <c r="DL212" i="1" s="1"/>
  <c r="DV212" i="1"/>
  <c r="AC203" i="1"/>
  <c r="AD203" i="1" s="1"/>
  <c r="AX203" i="1" s="1"/>
  <c r="BP203" i="1"/>
  <c r="BS204" i="1"/>
  <c r="AF204" i="1"/>
  <c r="AG204" i="1" s="1"/>
  <c r="AY204" i="1" s="1"/>
  <c r="BD208" i="1"/>
  <c r="Q208" i="1"/>
  <c r="R208" i="1" s="1"/>
  <c r="AT208" i="1" s="1"/>
  <c r="BS211" i="1"/>
  <c r="AF211" i="1"/>
  <c r="AG211" i="1" s="1"/>
  <c r="AY211" i="1" s="1"/>
  <c r="BY203" i="1"/>
  <c r="AL203" i="1"/>
  <c r="AM203" i="1" s="1"/>
  <c r="BA203" i="1" s="1"/>
  <c r="CE212" i="1"/>
  <c r="AR212" i="1"/>
  <c r="AS212" i="1" s="1"/>
  <c r="BC212" i="1" s="1"/>
  <c r="CL208" i="1"/>
  <c r="CM208" i="1" s="1"/>
  <c r="DM208" i="1" s="1"/>
  <c r="DY208" i="1"/>
  <c r="CI207" i="1"/>
  <c r="CJ207" i="1" s="1"/>
  <c r="DL207" i="1" s="1"/>
  <c r="DV207" i="1"/>
  <c r="EW206" i="1"/>
  <c r="DJ206" i="1"/>
  <c r="DK206" i="1" s="1"/>
  <c r="DU206" i="1" s="1"/>
  <c r="DY218" i="1"/>
  <c r="CL218" i="1"/>
  <c r="CM218" i="1" s="1"/>
  <c r="DM218" i="1" s="1"/>
  <c r="BV218" i="1"/>
  <c r="AI218" i="1"/>
  <c r="AJ218" i="1" s="1"/>
  <c r="AZ218" i="1" s="1"/>
  <c r="BZ219" i="1"/>
  <c r="CA219" i="1"/>
  <c r="CG206" i="1"/>
  <c r="CF206" i="1"/>
  <c r="DA197" i="1"/>
  <c r="DB197" i="1" s="1"/>
  <c r="DR197" i="1" s="1"/>
  <c r="EN197" i="1"/>
  <c r="EG217" i="1"/>
  <c r="EF217" i="1"/>
  <c r="BG198" i="1"/>
  <c r="T198" i="1"/>
  <c r="U198" i="1" s="1"/>
  <c r="AU198" i="1" s="1"/>
  <c r="EH184" i="1"/>
  <c r="CU184" i="1"/>
  <c r="CV184" i="1" s="1"/>
  <c r="DP184" i="1" s="1"/>
  <c r="Q187" i="1"/>
  <c r="R187" i="1" s="1"/>
  <c r="AT187" i="1" s="1"/>
  <c r="BD187" i="1"/>
  <c r="DG173" i="1"/>
  <c r="DH173" i="1" s="1"/>
  <c r="DT173" i="1" s="1"/>
  <c r="ET173" i="1"/>
  <c r="EK199" i="1"/>
  <c r="CX199" i="1"/>
  <c r="CY199" i="1" s="1"/>
  <c r="DQ199" i="1" s="1"/>
  <c r="CB198" i="1"/>
  <c r="AO198" i="1"/>
  <c r="AP198" i="1" s="1"/>
  <c r="BB198" i="1" s="1"/>
  <c r="DA188" i="1"/>
  <c r="DB188" i="1" s="1"/>
  <c r="DR188" i="1" s="1"/>
  <c r="EN188" i="1"/>
  <c r="DV175" i="1"/>
  <c r="CI175" i="1"/>
  <c r="CJ175" i="1" s="1"/>
  <c r="DL175" i="1" s="1"/>
  <c r="EE167" i="1"/>
  <c r="CR167" i="1"/>
  <c r="CS167" i="1" s="1"/>
  <c r="DO167" i="1" s="1"/>
  <c r="EW189" i="1"/>
  <c r="DJ189" i="1"/>
  <c r="DK189" i="1" s="1"/>
  <c r="DU189" i="1" s="1"/>
  <c r="EF202" i="1"/>
  <c r="EG202" i="1"/>
  <c r="AR190" i="1"/>
  <c r="AS190" i="1" s="1"/>
  <c r="BC190" i="1" s="1"/>
  <c r="CE190" i="1"/>
  <c r="BD184" i="1"/>
  <c r="Q184" i="1"/>
  <c r="R184" i="1" s="1"/>
  <c r="AT184" i="1" s="1"/>
  <c r="BV168" i="1"/>
  <c r="AI168" i="1"/>
  <c r="AJ168" i="1" s="1"/>
  <c r="AZ168" i="1" s="1"/>
  <c r="DV180" i="1"/>
  <c r="CI180" i="1"/>
  <c r="CJ180" i="1" s="1"/>
  <c r="DL180" i="1" s="1"/>
  <c r="BP192" i="1"/>
  <c r="AC192" i="1"/>
  <c r="AD192" i="1" s="1"/>
  <c r="AX192" i="1" s="1"/>
  <c r="CO181" i="1"/>
  <c r="CP181" i="1" s="1"/>
  <c r="DN181" i="1" s="1"/>
  <c r="EB181" i="1"/>
  <c r="BY191" i="1"/>
  <c r="AL191" i="1"/>
  <c r="AM191" i="1" s="1"/>
  <c r="BA191" i="1" s="1"/>
  <c r="CU185" i="1"/>
  <c r="CV185" i="1" s="1"/>
  <c r="DP185" i="1" s="1"/>
  <c r="EH185" i="1"/>
  <c r="CB182" i="1"/>
  <c r="AO182" i="1"/>
  <c r="AP182" i="1" s="1"/>
  <c r="BB182" i="1" s="1"/>
  <c r="DD182" i="1"/>
  <c r="DE182" i="1" s="1"/>
  <c r="DS182" i="1" s="1"/>
  <c r="EQ182" i="1"/>
  <c r="BD174" i="1"/>
  <c r="Q174" i="1"/>
  <c r="R174" i="1" s="1"/>
  <c r="AT174" i="1" s="1"/>
  <c r="DV192" i="1"/>
  <c r="CI192" i="1"/>
  <c r="CJ192" i="1" s="1"/>
  <c r="DL192" i="1" s="1"/>
  <c r="EB192" i="1"/>
  <c r="CO192" i="1"/>
  <c r="CP192" i="1" s="1"/>
  <c r="DN192" i="1" s="1"/>
  <c r="CO191" i="1"/>
  <c r="CP191" i="1" s="1"/>
  <c r="DN191" i="1" s="1"/>
  <c r="EB191" i="1"/>
  <c r="DD171" i="1"/>
  <c r="DE171" i="1" s="1"/>
  <c r="DS171" i="1" s="1"/>
  <c r="EQ171" i="1"/>
  <c r="BY161" i="1"/>
  <c r="AL161" i="1"/>
  <c r="AM161" i="1" s="1"/>
  <c r="BA161" i="1" s="1"/>
  <c r="CB178" i="1"/>
  <c r="AO178" i="1"/>
  <c r="AP178" i="1" s="1"/>
  <c r="BB178" i="1" s="1"/>
  <c r="T162" i="1"/>
  <c r="U162" i="1" s="1"/>
  <c r="AU162" i="1" s="1"/>
  <c r="BG162" i="1"/>
  <c r="CU161" i="1"/>
  <c r="CV161" i="1" s="1"/>
  <c r="DP161" i="1" s="1"/>
  <c r="EH161" i="1"/>
  <c r="AO155" i="1"/>
  <c r="AP155" i="1" s="1"/>
  <c r="BB155" i="1" s="1"/>
  <c r="CB155" i="1"/>
  <c r="AI171" i="1"/>
  <c r="AJ171" i="1" s="1"/>
  <c r="AZ171" i="1" s="1"/>
  <c r="BV171" i="1"/>
  <c r="EB166" i="1"/>
  <c r="CO166" i="1"/>
  <c r="CP166" i="1" s="1"/>
  <c r="DN166" i="1" s="1"/>
  <c r="BG165" i="1"/>
  <c r="T165" i="1"/>
  <c r="U165" i="1" s="1"/>
  <c r="AU165" i="1" s="1"/>
  <c r="CR160" i="1"/>
  <c r="CS160" i="1" s="1"/>
  <c r="DO160" i="1" s="1"/>
  <c r="EE160" i="1"/>
  <c r="CD164" i="1"/>
  <c r="CC164" i="1"/>
  <c r="T161" i="1"/>
  <c r="U161" i="1" s="1"/>
  <c r="AU161" i="1" s="1"/>
  <c r="BG161" i="1"/>
  <c r="BP166" i="1"/>
  <c r="AC166" i="1"/>
  <c r="AD166" i="1" s="1"/>
  <c r="AX166" i="1" s="1"/>
  <c r="EQ162" i="1"/>
  <c r="DD162" i="1"/>
  <c r="DE162" i="1" s="1"/>
  <c r="DS162" i="1" s="1"/>
  <c r="BJ155" i="1"/>
  <c r="W155" i="1"/>
  <c r="X155" i="1" s="1"/>
  <c r="AV155" i="1" s="1"/>
  <c r="CU169" i="1"/>
  <c r="CV169" i="1" s="1"/>
  <c r="DP169" i="1" s="1"/>
  <c r="EH169" i="1"/>
  <c r="BQ162" i="1"/>
  <c r="BR162" i="1"/>
  <c r="CO145" i="1"/>
  <c r="CP145" i="1" s="1"/>
  <c r="DN145" i="1" s="1"/>
  <c r="EB145" i="1"/>
  <c r="BG156" i="1"/>
  <c r="T156" i="1"/>
  <c r="U156" i="1" s="1"/>
  <c r="AU156" i="1" s="1"/>
  <c r="CI139" i="1"/>
  <c r="CJ139" i="1" s="1"/>
  <c r="DL139" i="1" s="1"/>
  <c r="DV139" i="1"/>
  <c r="BG159" i="1"/>
  <c r="T159" i="1"/>
  <c r="U159" i="1" s="1"/>
  <c r="AU159" i="1" s="1"/>
  <c r="X157" i="1"/>
  <c r="AJ157" i="1"/>
  <c r="EB159" i="1"/>
  <c r="CO159" i="1"/>
  <c r="CP159" i="1" s="1"/>
  <c r="DN159" i="1" s="1"/>
  <c r="ES161" i="1"/>
  <c r="ER161" i="1"/>
  <c r="EW150" i="1"/>
  <c r="DJ150" i="1"/>
  <c r="DK150" i="1" s="1"/>
  <c r="DU150" i="1" s="1"/>
  <c r="DJ149" i="1"/>
  <c r="DK149" i="1" s="1"/>
  <c r="DU149" i="1" s="1"/>
  <c r="EW149" i="1"/>
  <c r="CE140" i="1"/>
  <c r="AR140" i="1"/>
  <c r="AS140" i="1" s="1"/>
  <c r="BC140" i="1" s="1"/>
  <c r="CX134" i="1"/>
  <c r="CY134" i="1" s="1"/>
  <c r="DQ134" i="1" s="1"/>
  <c r="EK134" i="1"/>
  <c r="AL125" i="1"/>
  <c r="AM125" i="1" s="1"/>
  <c r="BA125" i="1" s="1"/>
  <c r="BY125" i="1"/>
  <c r="EB154" i="1"/>
  <c r="CO154" i="1"/>
  <c r="CP154" i="1" s="1"/>
  <c r="DN154" i="1" s="1"/>
  <c r="AC154" i="1"/>
  <c r="AD154" i="1" s="1"/>
  <c r="AX154" i="1" s="1"/>
  <c r="BP154" i="1"/>
  <c r="Q141" i="1"/>
  <c r="R141" i="1" s="1"/>
  <c r="AT141" i="1" s="1"/>
  <c r="BD141" i="1"/>
  <c r="BM138" i="1"/>
  <c r="Z138" i="1"/>
  <c r="AA138" i="1" s="1"/>
  <c r="AW138" i="1" s="1"/>
  <c r="Q134" i="1"/>
  <c r="R134" i="1" s="1"/>
  <c r="AT134" i="1" s="1"/>
  <c r="BD134" i="1"/>
  <c r="AO129" i="1"/>
  <c r="AP129" i="1" s="1"/>
  <c r="BB129" i="1" s="1"/>
  <c r="CB129" i="1"/>
  <c r="AR115" i="1"/>
  <c r="AS115" i="1" s="1"/>
  <c r="BC115" i="1" s="1"/>
  <c r="CE115" i="1"/>
  <c r="AO135" i="1"/>
  <c r="AP135" i="1" s="1"/>
  <c r="BB135" i="1" s="1"/>
  <c r="CB135" i="1"/>
  <c r="BM133" i="1"/>
  <c r="Z133" i="1"/>
  <c r="AA133" i="1" s="1"/>
  <c r="AW133" i="1" s="1"/>
  <c r="BY128" i="1"/>
  <c r="AL128" i="1"/>
  <c r="AM128" i="1" s="1"/>
  <c r="BA128" i="1" s="1"/>
  <c r="DY120" i="1"/>
  <c r="CL120" i="1"/>
  <c r="CM120" i="1" s="1"/>
  <c r="DM120" i="1" s="1"/>
  <c r="BP122" i="1"/>
  <c r="AC122" i="1"/>
  <c r="AD122" i="1" s="1"/>
  <c r="AX122" i="1" s="1"/>
  <c r="U131" i="1"/>
  <c r="EQ136" i="1"/>
  <c r="DD136" i="1"/>
  <c r="DE136" i="1" s="1"/>
  <c r="DS136" i="1" s="1"/>
  <c r="AR136" i="1"/>
  <c r="AS136" i="1" s="1"/>
  <c r="BC136" i="1" s="1"/>
  <c r="CE136" i="1"/>
  <c r="CA120" i="1"/>
  <c r="BZ120" i="1"/>
  <c r="EQ117" i="1"/>
  <c r="DD117" i="1"/>
  <c r="DE117" i="1" s="1"/>
  <c r="DS117" i="1" s="1"/>
  <c r="DV110" i="1"/>
  <c r="CI110" i="1"/>
  <c r="CJ110" i="1" s="1"/>
  <c r="DL110" i="1" s="1"/>
  <c r="AL124" i="1"/>
  <c r="AM124" i="1" s="1"/>
  <c r="BA124" i="1" s="1"/>
  <c r="BY124" i="1"/>
  <c r="CA115" i="1"/>
  <c r="BZ115" i="1"/>
  <c r="BX129" i="1"/>
  <c r="BW129" i="1"/>
  <c r="EK102" i="1"/>
  <c r="CX102" i="1"/>
  <c r="CY102" i="1" s="1"/>
  <c r="DQ102" i="1" s="1"/>
  <c r="DV83" i="1"/>
  <c r="CI83" i="1"/>
  <c r="CJ83" i="1" s="1"/>
  <c r="DL83" i="1" s="1"/>
  <c r="EE119" i="1"/>
  <c r="CR119" i="1"/>
  <c r="CS119" i="1" s="1"/>
  <c r="DO119" i="1" s="1"/>
  <c r="AR119" i="1"/>
  <c r="AS119" i="1" s="1"/>
  <c r="BC119" i="1" s="1"/>
  <c r="CE119" i="1"/>
  <c r="CX104" i="1"/>
  <c r="CY104" i="1" s="1"/>
  <c r="DQ104" i="1" s="1"/>
  <c r="EK104" i="1"/>
  <c r="BL107" i="1"/>
  <c r="BK107" i="1"/>
  <c r="EW148" i="1"/>
  <c r="DJ148" i="1"/>
  <c r="DK148" i="1" s="1"/>
  <c r="DU148" i="1" s="1"/>
  <c r="W148" i="1"/>
  <c r="X148" i="1" s="1"/>
  <c r="AV148" i="1" s="1"/>
  <c r="BJ148" i="1"/>
  <c r="DV114" i="1"/>
  <c r="CI114" i="1"/>
  <c r="CJ114" i="1" s="1"/>
  <c r="DL114" i="1" s="1"/>
  <c r="DV103" i="1"/>
  <c r="CI103" i="1"/>
  <c r="CJ103" i="1" s="1"/>
  <c r="DL103" i="1" s="1"/>
  <c r="EQ101" i="1"/>
  <c r="DD101" i="1"/>
  <c r="DE101" i="1" s="1"/>
  <c r="DS101" i="1" s="1"/>
  <c r="BJ83" i="1"/>
  <c r="W83" i="1"/>
  <c r="X83" i="1" s="1"/>
  <c r="AV83" i="1" s="1"/>
  <c r="CL114" i="1"/>
  <c r="CM114" i="1" s="1"/>
  <c r="DM114" i="1" s="1"/>
  <c r="DY114" i="1"/>
  <c r="BS99" i="1"/>
  <c r="AF99" i="1"/>
  <c r="AG99" i="1" s="1"/>
  <c r="AY99" i="1" s="1"/>
  <c r="BY121" i="1"/>
  <c r="AL121" i="1"/>
  <c r="AM121" i="1" s="1"/>
  <c r="BA121" i="1" s="1"/>
  <c r="CC107" i="1"/>
  <c r="CD107" i="1"/>
  <c r="EH90" i="1"/>
  <c r="CU90" i="1"/>
  <c r="CV90" i="1" s="1"/>
  <c r="DP90" i="1" s="1"/>
  <c r="CE101" i="1"/>
  <c r="AR101" i="1"/>
  <c r="AS101" i="1" s="1"/>
  <c r="BC101" i="1" s="1"/>
  <c r="BY90" i="1"/>
  <c r="AL90" i="1"/>
  <c r="AM90" i="1" s="1"/>
  <c r="BA90" i="1" s="1"/>
  <c r="BV106" i="1"/>
  <c r="AI106" i="1"/>
  <c r="AJ106" i="1" s="1"/>
  <c r="AZ106" i="1" s="1"/>
  <c r="AR93" i="1"/>
  <c r="AS93" i="1" s="1"/>
  <c r="BC93" i="1" s="1"/>
  <c r="CE93" i="1"/>
  <c r="DY72" i="1"/>
  <c r="CL72" i="1"/>
  <c r="CM72" i="1" s="1"/>
  <c r="DM72" i="1" s="1"/>
  <c r="CU70" i="1"/>
  <c r="CV70" i="1" s="1"/>
  <c r="DP70" i="1" s="1"/>
  <c r="EH70" i="1"/>
  <c r="EY96" i="1"/>
  <c r="EX96" i="1"/>
  <c r="AR76" i="1"/>
  <c r="AS76" i="1" s="1"/>
  <c r="BC76" i="1" s="1"/>
  <c r="CE76" i="1"/>
  <c r="DG71" i="1"/>
  <c r="DH71" i="1" s="1"/>
  <c r="DT71" i="1" s="1"/>
  <c r="ET71" i="1"/>
  <c r="DD109" i="1"/>
  <c r="DE109" i="1" s="1"/>
  <c r="DS109" i="1" s="1"/>
  <c r="EQ109" i="1"/>
  <c r="EB98" i="1"/>
  <c r="CO98" i="1"/>
  <c r="CP98" i="1" s="1"/>
  <c r="DN98" i="1" s="1"/>
  <c r="CB97" i="1"/>
  <c r="AO97" i="1"/>
  <c r="AP97" i="1" s="1"/>
  <c r="BB97" i="1" s="1"/>
  <c r="DD97" i="1"/>
  <c r="DE97" i="1" s="1"/>
  <c r="DS97" i="1" s="1"/>
  <c r="EQ97" i="1"/>
  <c r="BO104" i="1"/>
  <c r="BN104" i="1"/>
  <c r="BS84" i="1"/>
  <c r="AF84" i="1"/>
  <c r="AG84" i="1" s="1"/>
  <c r="AY84" i="1" s="1"/>
  <c r="DY76" i="1"/>
  <c r="CL76" i="1"/>
  <c r="CM76" i="1" s="1"/>
  <c r="DM76" i="1" s="1"/>
  <c r="BH123" i="1"/>
  <c r="BI123" i="1"/>
  <c r="EW89" i="1"/>
  <c r="DJ89" i="1"/>
  <c r="DK89" i="1" s="1"/>
  <c r="DU89" i="1" s="1"/>
  <c r="BP88" i="1"/>
  <c r="AC88" i="1"/>
  <c r="AD88" i="1" s="1"/>
  <c r="AX88" i="1" s="1"/>
  <c r="EH74" i="1"/>
  <c r="CU74" i="1"/>
  <c r="CV74" i="1" s="1"/>
  <c r="DP74" i="1" s="1"/>
  <c r="EJ111" i="1"/>
  <c r="EI111" i="1"/>
  <c r="ET78" i="1"/>
  <c r="DG78" i="1"/>
  <c r="DH78" i="1" s="1"/>
  <c r="DT78" i="1" s="1"/>
  <c r="DY69" i="1"/>
  <c r="CL69" i="1"/>
  <c r="CM69" i="1" s="1"/>
  <c r="DM69" i="1" s="1"/>
  <c r="BY77" i="1"/>
  <c r="AL77" i="1"/>
  <c r="AM77" i="1" s="1"/>
  <c r="BA77" i="1" s="1"/>
  <c r="EN62" i="1"/>
  <c r="DA62" i="1"/>
  <c r="DB62" i="1" s="1"/>
  <c r="DR62" i="1" s="1"/>
  <c r="EN108" i="1"/>
  <c r="DA108" i="1"/>
  <c r="DB108" i="1" s="1"/>
  <c r="DR108" i="1" s="1"/>
  <c r="U92" i="1"/>
  <c r="EH80" i="1"/>
  <c r="CU80" i="1"/>
  <c r="CV80" i="1" s="1"/>
  <c r="DP80" i="1" s="1"/>
  <c r="CL75" i="1"/>
  <c r="CM75" i="1" s="1"/>
  <c r="DM75" i="1" s="1"/>
  <c r="DY75" i="1"/>
  <c r="BM68" i="1"/>
  <c r="Z68" i="1"/>
  <c r="AA68" i="1" s="1"/>
  <c r="AW68" i="1" s="1"/>
  <c r="AI67" i="1"/>
  <c r="AJ67" i="1" s="1"/>
  <c r="AZ67" i="1" s="1"/>
  <c r="BV67" i="1"/>
  <c r="DA86" i="1"/>
  <c r="DB86" i="1" s="1"/>
  <c r="DR86" i="1" s="1"/>
  <c r="EN86" i="1"/>
  <c r="EW86" i="1"/>
  <c r="DJ86" i="1"/>
  <c r="DK86" i="1" s="1"/>
  <c r="DU86" i="1" s="1"/>
  <c r="CA97" i="1"/>
  <c r="BZ97" i="1"/>
  <c r="BY82" i="1"/>
  <c r="AL82" i="1"/>
  <c r="AM82" i="1" s="1"/>
  <c r="BA82" i="1" s="1"/>
  <c r="DY82" i="1"/>
  <c r="CL82" i="1"/>
  <c r="CM82" i="1" s="1"/>
  <c r="DM82" i="1" s="1"/>
  <c r="EB58" i="1"/>
  <c r="CO58" i="1"/>
  <c r="CP58" i="1" s="1"/>
  <c r="DN58" i="1" s="1"/>
  <c r="EE80" i="1"/>
  <c r="CR80" i="1"/>
  <c r="CS80" i="1" s="1"/>
  <c r="DO80" i="1" s="1"/>
  <c r="AF80" i="1"/>
  <c r="AG80" i="1" s="1"/>
  <c r="AY80" i="1" s="1"/>
  <c r="BS80" i="1"/>
  <c r="BL71" i="1"/>
  <c r="BK71" i="1"/>
  <c r="EH75" i="1"/>
  <c r="CU75" i="1"/>
  <c r="CV75" i="1" s="1"/>
  <c r="DP75" i="1" s="1"/>
  <c r="EU69" i="1"/>
  <c r="EV69" i="1"/>
  <c r="AL59" i="1"/>
  <c r="AM59" i="1" s="1"/>
  <c r="BA59" i="1" s="1"/>
  <c r="BY59" i="1"/>
  <c r="BM48" i="1"/>
  <c r="Z48" i="1"/>
  <c r="AA48" i="1" s="1"/>
  <c r="AW48" i="1" s="1"/>
  <c r="DY39" i="1"/>
  <c r="CL39" i="1"/>
  <c r="CM39" i="1" s="1"/>
  <c r="DM39" i="1" s="1"/>
  <c r="DV57" i="1"/>
  <c r="CI57" i="1"/>
  <c r="CJ57" i="1" s="1"/>
  <c r="DL57" i="1" s="1"/>
  <c r="BG50" i="1"/>
  <c r="T50" i="1"/>
  <c r="U50" i="1" s="1"/>
  <c r="AU50" i="1" s="1"/>
  <c r="AC39" i="1"/>
  <c r="AD39" i="1" s="1"/>
  <c r="AX39" i="1" s="1"/>
  <c r="BP39" i="1"/>
  <c r="BI68" i="1"/>
  <c r="BH68" i="1"/>
  <c r="CO52" i="1"/>
  <c r="CP52" i="1" s="1"/>
  <c r="DN52" i="1" s="1"/>
  <c r="EB52" i="1"/>
  <c r="EE48" i="1"/>
  <c r="CR48" i="1"/>
  <c r="CS48" i="1" s="1"/>
  <c r="DO48" i="1" s="1"/>
  <c r="ET43" i="1"/>
  <c r="DG43" i="1"/>
  <c r="DH43" i="1" s="1"/>
  <c r="DT43" i="1" s="1"/>
  <c r="EX90" i="1"/>
  <c r="EY90" i="1"/>
  <c r="CU39" i="1"/>
  <c r="CV39" i="1" s="1"/>
  <c r="DP39" i="1" s="1"/>
  <c r="EH39" i="1"/>
  <c r="CL54" i="1"/>
  <c r="CM54" i="1" s="1"/>
  <c r="DM54" i="1" s="1"/>
  <c r="DY54" i="1"/>
  <c r="AF85" i="1"/>
  <c r="AG85" i="1" s="1"/>
  <c r="AY85" i="1" s="1"/>
  <c r="BS85" i="1"/>
  <c r="CI85" i="1"/>
  <c r="CJ85" i="1" s="1"/>
  <c r="DL85" i="1" s="1"/>
  <c r="DV85" i="1"/>
  <c r="AI57" i="1"/>
  <c r="AJ57" i="1" s="1"/>
  <c r="AZ57" i="1" s="1"/>
  <c r="BV57" i="1"/>
  <c r="AR56" i="1"/>
  <c r="AS56" i="1" s="1"/>
  <c r="BC56" i="1" s="1"/>
  <c r="CE56" i="1"/>
  <c r="BV39" i="1"/>
  <c r="AI39" i="1"/>
  <c r="AJ39" i="1" s="1"/>
  <c r="AZ39" i="1" s="1"/>
  <c r="BV49" i="1"/>
  <c r="AI49" i="1"/>
  <c r="AJ49" i="1" s="1"/>
  <c r="AZ49" i="1" s="1"/>
  <c r="EB38" i="1"/>
  <c r="CO38" i="1"/>
  <c r="CP38" i="1" s="1"/>
  <c r="DN38" i="1" s="1"/>
  <c r="W50" i="1"/>
  <c r="X50" i="1" s="1"/>
  <c r="AV50" i="1" s="1"/>
  <c r="BJ50" i="1"/>
  <c r="CL36" i="1"/>
  <c r="CM36" i="1" s="1"/>
  <c r="DM36" i="1" s="1"/>
  <c r="DY36" i="1"/>
  <c r="CD41" i="1"/>
  <c r="CC41" i="1"/>
  <c r="BD31" i="1"/>
  <c r="Q31" i="1"/>
  <c r="R31" i="1" s="1"/>
  <c r="AT31" i="1" s="1"/>
  <c r="CL28" i="1"/>
  <c r="CM28" i="1" s="1"/>
  <c r="DM28" i="1" s="1"/>
  <c r="DY28" i="1"/>
  <c r="BV21" i="1"/>
  <c r="AI21" i="1"/>
  <c r="AJ21" i="1" s="1"/>
  <c r="AZ21" i="1" s="1"/>
  <c r="CX44" i="1"/>
  <c r="CY44" i="1" s="1"/>
  <c r="DQ44" i="1" s="1"/>
  <c r="EK44" i="1"/>
  <c r="CL29" i="1"/>
  <c r="CM29" i="1" s="1"/>
  <c r="DM29" i="1" s="1"/>
  <c r="DY29" i="1"/>
  <c r="DG12" i="1"/>
  <c r="DH12" i="1" s="1"/>
  <c r="DT12" i="1" s="1"/>
  <c r="ET12" i="1"/>
  <c r="CR31" i="1"/>
  <c r="CS31" i="1" s="1"/>
  <c r="DO31" i="1" s="1"/>
  <c r="EE31" i="1"/>
  <c r="T30" i="1"/>
  <c r="U30" i="1" s="1"/>
  <c r="AU30" i="1" s="1"/>
  <c r="BG30" i="1"/>
  <c r="CI13" i="1"/>
  <c r="CJ13" i="1" s="1"/>
  <c r="DL13" i="1" s="1"/>
  <c r="DV13" i="1"/>
  <c r="EB46" i="1"/>
  <c r="CO46" i="1"/>
  <c r="CP46" i="1" s="1"/>
  <c r="DN46" i="1" s="1"/>
  <c r="CR16" i="1"/>
  <c r="CS16" i="1" s="1"/>
  <c r="DO16" i="1" s="1"/>
  <c r="EE16" i="1"/>
  <c r="W55" i="1"/>
  <c r="X55" i="1" s="1"/>
  <c r="AV55" i="1" s="1"/>
  <c r="BJ55" i="1"/>
  <c r="CE55" i="1"/>
  <c r="AR55" i="1"/>
  <c r="AS55" i="1" s="1"/>
  <c r="BC55" i="1" s="1"/>
  <c r="DY31" i="1"/>
  <c r="CL31" i="1"/>
  <c r="CM31" i="1" s="1"/>
  <c r="DM31" i="1" s="1"/>
  <c r="CO22" i="1"/>
  <c r="CP22" i="1" s="1"/>
  <c r="DN22" i="1" s="1"/>
  <c r="EB22" i="1"/>
  <c r="BJ17" i="1"/>
  <c r="W17" i="1"/>
  <c r="X17" i="1" s="1"/>
  <c r="AV17" i="1" s="1"/>
  <c r="EA117" i="1"/>
  <c r="DZ117" i="1"/>
  <c r="BR58" i="1"/>
  <c r="BQ58" i="1"/>
  <c r="W24" i="1"/>
  <c r="X24" i="1" s="1"/>
  <c r="AV24" i="1" s="1"/>
  <c r="BJ24" i="1"/>
  <c r="CA19" i="1"/>
  <c r="BZ19" i="1"/>
  <c r="CE26" i="1"/>
  <c r="AR26" i="1"/>
  <c r="AS26" i="1" s="1"/>
  <c r="BC26" i="1" s="1"/>
  <c r="AR12" i="1"/>
  <c r="AS12" i="1" s="1"/>
  <c r="BC12" i="1" s="1"/>
  <c r="CE12" i="1"/>
  <c r="AI44" i="1"/>
  <c r="AJ44" i="1" s="1"/>
  <c r="AZ44" i="1" s="1"/>
  <c r="BV44" i="1"/>
  <c r="EA17" i="1"/>
  <c r="AF5" i="1"/>
  <c r="AG5" i="1" s="1"/>
  <c r="AY5" i="1" s="1"/>
  <c r="BS5" i="1"/>
  <c r="CB34" i="1"/>
  <c r="AO34" i="1"/>
  <c r="AP34" i="1" s="1"/>
  <c r="BB34" i="1" s="1"/>
  <c r="CR10" i="1"/>
  <c r="CS10" i="1" s="1"/>
  <c r="DO10" i="1" s="1"/>
  <c r="EE10" i="1"/>
  <c r="BP5" i="1"/>
  <c r="AC5" i="1"/>
  <c r="AD5" i="1" s="1"/>
  <c r="AX5" i="1" s="1"/>
  <c r="BJ5" i="1"/>
  <c r="W5" i="1"/>
  <c r="X5" i="1" s="1"/>
  <c r="AV5" i="1" s="1"/>
  <c r="DA3" i="1"/>
  <c r="DB3" i="1" s="1"/>
  <c r="DR3" i="1" s="1"/>
  <c r="EN3" i="1"/>
  <c r="EY8" i="1"/>
  <c r="EX8" i="1"/>
  <c r="BD3" i="1"/>
  <c r="Q3" i="1"/>
  <c r="DY15" i="1"/>
  <c r="CL15" i="1"/>
  <c r="CM15" i="1" s="1"/>
  <c r="DM15" i="1" s="1"/>
  <c r="EV51" i="1"/>
  <c r="EU51" i="1"/>
  <c r="EI23" i="1"/>
  <c r="EJ23" i="1"/>
  <c r="BM3" i="1"/>
  <c r="Z3" i="1"/>
  <c r="AA3" i="1" s="1"/>
  <c r="AW3" i="1" s="1"/>
  <c r="BV6" i="1"/>
  <c r="AI6" i="1"/>
  <c r="AJ6" i="1" s="1"/>
  <c r="AZ6" i="1" s="1"/>
  <c r="EH35" i="1"/>
  <c r="CU35" i="1"/>
  <c r="CV35" i="1" s="1"/>
  <c r="DP35" i="1" s="1"/>
  <c r="EW35" i="1"/>
  <c r="DJ35" i="1"/>
  <c r="DK35" i="1" s="1"/>
  <c r="DU35" i="1" s="1"/>
  <c r="CR23" i="1"/>
  <c r="CS23" i="1" s="1"/>
  <c r="DO23" i="1" s="1"/>
  <c r="EE23" i="1"/>
  <c r="BS15" i="1"/>
  <c r="AF15" i="1"/>
  <c r="AG15" i="1" s="1"/>
  <c r="AY15" i="1" s="1"/>
  <c r="EN9" i="1"/>
  <c r="DA9" i="1"/>
  <c r="DB9" i="1" s="1"/>
  <c r="DR9" i="1" s="1"/>
  <c r="BU42" i="1"/>
  <c r="BT42" i="1"/>
  <c r="EB5" i="1"/>
  <c r="CO5" i="1"/>
  <c r="CP5" i="1" s="1"/>
  <c r="DN5" i="1" s="1"/>
  <c r="BV246" i="1"/>
  <c r="AI246" i="1"/>
  <c r="AJ246" i="1" s="1"/>
  <c r="AZ246" i="1" s="1"/>
  <c r="Z238" i="1"/>
  <c r="AA238" i="1" s="1"/>
  <c r="AW238" i="1" s="1"/>
  <c r="BM238" i="1"/>
  <c r="DD223" i="1"/>
  <c r="DE223" i="1" s="1"/>
  <c r="DS223" i="1" s="1"/>
  <c r="EQ223" i="1"/>
  <c r="DV200" i="1"/>
  <c r="CI200" i="1"/>
  <c r="CJ200" i="1" s="1"/>
  <c r="DL200" i="1" s="1"/>
  <c r="EQ206" i="1"/>
  <c r="DD206" i="1"/>
  <c r="DE206" i="1" s="1"/>
  <c r="DS206" i="1" s="1"/>
  <c r="EB198" i="1"/>
  <c r="CO198" i="1"/>
  <c r="CP198" i="1" s="1"/>
  <c r="DN198" i="1" s="1"/>
  <c r="DD165" i="1"/>
  <c r="DE165" i="1" s="1"/>
  <c r="DS165" i="1" s="1"/>
  <c r="EQ165" i="1"/>
  <c r="EW154" i="1"/>
  <c r="DJ154" i="1"/>
  <c r="DK154" i="1" s="1"/>
  <c r="DU154" i="1" s="1"/>
  <c r="ET134" i="1"/>
  <c r="DG134" i="1"/>
  <c r="DH134" i="1" s="1"/>
  <c r="DT134" i="1" s="1"/>
  <c r="T111" i="1"/>
  <c r="U111" i="1" s="1"/>
  <c r="AU111" i="1" s="1"/>
  <c r="BG111" i="1"/>
  <c r="CO76" i="1"/>
  <c r="CP76" i="1" s="1"/>
  <c r="DN76" i="1" s="1"/>
  <c r="EB76" i="1"/>
  <c r="EY91" i="1"/>
  <c r="EX91" i="1"/>
  <c r="ET63" i="1"/>
  <c r="DG63" i="1"/>
  <c r="DH63" i="1" s="1"/>
  <c r="DT63" i="1" s="1"/>
  <c r="Z13" i="1"/>
  <c r="AA13" i="1" s="1"/>
  <c r="AW13" i="1" s="1"/>
  <c r="BM13" i="1"/>
  <c r="EV30" i="1"/>
  <c r="EU30" i="1"/>
  <c r="EV279" i="1"/>
  <c r="EU279" i="1"/>
  <c r="Q266" i="1"/>
  <c r="R266" i="1" s="1"/>
  <c r="AT266" i="1" s="1"/>
  <c r="BD266" i="1"/>
  <c r="EC265" i="1"/>
  <c r="ED265" i="1"/>
  <c r="EB267" i="1"/>
  <c r="CO267" i="1"/>
  <c r="CP267" i="1" s="1"/>
  <c r="DN267" i="1" s="1"/>
  <c r="EH254" i="1"/>
  <c r="CU254" i="1"/>
  <c r="CV254" i="1" s="1"/>
  <c r="DP254" i="1" s="1"/>
  <c r="Q249" i="1"/>
  <c r="R249" i="1" s="1"/>
  <c r="AT249" i="1" s="1"/>
  <c r="BD249" i="1"/>
  <c r="AO242" i="1"/>
  <c r="AP242" i="1" s="1"/>
  <c r="BB242" i="1" s="1"/>
  <c r="CB242" i="1"/>
  <c r="EB246" i="1"/>
  <c r="CO246" i="1"/>
  <c r="CP246" i="1" s="1"/>
  <c r="DN246" i="1" s="1"/>
  <c r="ET243" i="1"/>
  <c r="DG243" i="1"/>
  <c r="DH243" i="1" s="1"/>
  <c r="DT243" i="1" s="1"/>
  <c r="CD238" i="1"/>
  <c r="CC238" i="1"/>
  <c r="BD227" i="1"/>
  <c r="Q227" i="1"/>
  <c r="R227" i="1" s="1"/>
  <c r="AT227" i="1" s="1"/>
  <c r="CU228" i="1"/>
  <c r="CV228" i="1" s="1"/>
  <c r="DP228" i="1" s="1"/>
  <c r="EH228" i="1"/>
  <c r="BY217" i="1"/>
  <c r="AL217" i="1"/>
  <c r="AM217" i="1" s="1"/>
  <c r="BA217" i="1" s="1"/>
  <c r="CR207" i="1"/>
  <c r="CS207" i="1" s="1"/>
  <c r="DO207" i="1" s="1"/>
  <c r="EE207" i="1"/>
  <c r="W208" i="1"/>
  <c r="X208" i="1" s="1"/>
  <c r="AV208" i="1" s="1"/>
  <c r="BJ208" i="1"/>
  <c r="ER202" i="1"/>
  <c r="ES202" i="1"/>
  <c r="T180" i="1"/>
  <c r="U180" i="1" s="1"/>
  <c r="AU180" i="1" s="1"/>
  <c r="BG180" i="1"/>
  <c r="BS193" i="1"/>
  <c r="AF193" i="1"/>
  <c r="AG193" i="1" s="1"/>
  <c r="AY193" i="1" s="1"/>
  <c r="DY185" i="1"/>
  <c r="CL185" i="1"/>
  <c r="CM185" i="1" s="1"/>
  <c r="DM185" i="1" s="1"/>
  <c r="EL193" i="1"/>
  <c r="EM193" i="1"/>
  <c r="AF178" i="1"/>
  <c r="AG178" i="1" s="1"/>
  <c r="AY178" i="1" s="1"/>
  <c r="BS178" i="1"/>
  <c r="CI153" i="1"/>
  <c r="CJ153" i="1" s="1"/>
  <c r="DL153" i="1" s="1"/>
  <c r="DV153" i="1"/>
  <c r="AF162" i="1"/>
  <c r="AG162" i="1" s="1"/>
  <c r="AY162" i="1" s="1"/>
  <c r="BS162" i="1"/>
  <c r="BP140" i="1"/>
  <c r="AC140" i="1"/>
  <c r="AD140" i="1" s="1"/>
  <c r="AX140" i="1" s="1"/>
  <c r="ET115" i="1"/>
  <c r="DG115" i="1"/>
  <c r="DH115" i="1" s="1"/>
  <c r="DT115" i="1" s="1"/>
  <c r="EJ141" i="1"/>
  <c r="EI141" i="1"/>
  <c r="BI138" i="1"/>
  <c r="BH138" i="1"/>
  <c r="CG142" i="1"/>
  <c r="CF142" i="1"/>
  <c r="BU134" i="1"/>
  <c r="BT134" i="1"/>
  <c r="EH106" i="1"/>
  <c r="CU106" i="1"/>
  <c r="CV106" i="1" s="1"/>
  <c r="DP106" i="1" s="1"/>
  <c r="CB109" i="1"/>
  <c r="AO109" i="1"/>
  <c r="AP109" i="1" s="1"/>
  <c r="BB109" i="1" s="1"/>
  <c r="BR106" i="1"/>
  <c r="BQ106" i="1"/>
  <c r="EQ269" i="1"/>
  <c r="DD269" i="1"/>
  <c r="DE269" i="1" s="1"/>
  <c r="DS269" i="1" s="1"/>
  <c r="EA256" i="1"/>
  <c r="DZ256" i="1"/>
  <c r="CB251" i="1"/>
  <c r="AO251" i="1"/>
  <c r="AP251" i="1" s="1"/>
  <c r="BB251" i="1" s="1"/>
  <c r="EF239" i="1"/>
  <c r="EG239" i="1"/>
  <c r="W253" i="1"/>
  <c r="X253" i="1" s="1"/>
  <c r="AV253" i="1" s="1"/>
  <c r="BJ253" i="1"/>
  <c r="ET225" i="1"/>
  <c r="DG225" i="1"/>
  <c r="DH225" i="1" s="1"/>
  <c r="DT225" i="1" s="1"/>
  <c r="EB226" i="1"/>
  <c r="CO226" i="1"/>
  <c r="CP226" i="1" s="1"/>
  <c r="DN226" i="1" s="1"/>
  <c r="BD228" i="1"/>
  <c r="Q228" i="1"/>
  <c r="R228" i="1" s="1"/>
  <c r="AT228" i="1" s="1"/>
  <c r="CX223" i="1"/>
  <c r="CY223" i="1" s="1"/>
  <c r="DQ223" i="1" s="1"/>
  <c r="EK223" i="1"/>
  <c r="CI213" i="1"/>
  <c r="CJ213" i="1" s="1"/>
  <c r="DL213" i="1" s="1"/>
  <c r="DV213" i="1"/>
  <c r="CB217" i="1"/>
  <c r="AO217" i="1"/>
  <c r="AP217" i="1" s="1"/>
  <c r="BB217" i="1" s="1"/>
  <c r="CR205" i="1"/>
  <c r="CS205" i="1" s="1"/>
  <c r="DO205" i="1" s="1"/>
  <c r="EE205" i="1"/>
  <c r="DV268" i="1"/>
  <c r="CI268" i="1"/>
  <c r="CJ268" i="1" s="1"/>
  <c r="DL268" i="1" s="1"/>
  <c r="EP290" i="1"/>
  <c r="EO290" i="1"/>
  <c r="CO256" i="1"/>
  <c r="CP256" i="1" s="1"/>
  <c r="DN256" i="1" s="1"/>
  <c r="EB256" i="1"/>
  <c r="BV263" i="1"/>
  <c r="AI263" i="1"/>
  <c r="AJ263" i="1" s="1"/>
  <c r="AZ263" i="1" s="1"/>
  <c r="BV257" i="1"/>
  <c r="AI257" i="1"/>
  <c r="AJ257" i="1" s="1"/>
  <c r="AZ257" i="1" s="1"/>
  <c r="DY242" i="1"/>
  <c r="CL242" i="1"/>
  <c r="CM242" i="1" s="1"/>
  <c r="DM242" i="1" s="1"/>
  <c r="DV244" i="1"/>
  <c r="CI244" i="1"/>
  <c r="CJ244" i="1" s="1"/>
  <c r="DL244" i="1" s="1"/>
  <c r="ET260" i="1"/>
  <c r="DG260" i="1"/>
  <c r="DH260" i="1" s="1"/>
  <c r="DT260" i="1" s="1"/>
  <c r="BP211" i="1"/>
  <c r="AC211" i="1"/>
  <c r="AD211" i="1" s="1"/>
  <c r="AX211" i="1" s="1"/>
  <c r="AR207" i="1"/>
  <c r="AS207" i="1" s="1"/>
  <c r="BC207" i="1" s="1"/>
  <c r="CE207" i="1"/>
  <c r="DD198" i="1"/>
  <c r="DE198" i="1" s="1"/>
  <c r="DS198" i="1" s="1"/>
  <c r="EQ198" i="1"/>
  <c r="DV177" i="1"/>
  <c r="CI177" i="1"/>
  <c r="CJ177" i="1" s="1"/>
  <c r="DL177" i="1" s="1"/>
  <c r="BM174" i="1"/>
  <c r="Z174" i="1"/>
  <c r="AA174" i="1" s="1"/>
  <c r="AW174" i="1" s="1"/>
  <c r="CL191" i="1"/>
  <c r="CM191" i="1" s="1"/>
  <c r="DM191" i="1" s="1"/>
  <c r="DY191" i="1"/>
  <c r="CB158" i="1"/>
  <c r="AO158" i="1"/>
  <c r="AP158" i="1" s="1"/>
  <c r="BB158" i="1" s="1"/>
  <c r="CL156" i="1"/>
  <c r="CM156" i="1" s="1"/>
  <c r="DM156" i="1" s="1"/>
  <c r="DY156" i="1"/>
  <c r="Q159" i="1"/>
  <c r="R159" i="1" s="1"/>
  <c r="AT159" i="1" s="1"/>
  <c r="BD159" i="1"/>
  <c r="EC158" i="1"/>
  <c r="ED158" i="1"/>
  <c r="EJ166" i="1"/>
  <c r="EI166" i="1"/>
  <c r="CR143" i="1"/>
  <c r="CS143" i="1" s="1"/>
  <c r="DO143" i="1" s="1"/>
  <c r="EE143" i="1"/>
  <c r="CL130" i="1"/>
  <c r="CM130" i="1" s="1"/>
  <c r="DM130" i="1" s="1"/>
  <c r="DY130" i="1"/>
  <c r="BS125" i="1"/>
  <c r="AF125" i="1"/>
  <c r="AG125" i="1" s="1"/>
  <c r="AY125" i="1" s="1"/>
  <c r="EJ142" i="1"/>
  <c r="EI142" i="1"/>
  <c r="CU101" i="1"/>
  <c r="CV101" i="1" s="1"/>
  <c r="DP101" i="1" s="1"/>
  <c r="EH101" i="1"/>
  <c r="DV104" i="1"/>
  <c r="CI104" i="1"/>
  <c r="CJ104" i="1" s="1"/>
  <c r="DL104" i="1" s="1"/>
  <c r="CB93" i="1"/>
  <c r="AO93" i="1"/>
  <c r="AP93" i="1" s="1"/>
  <c r="BB93" i="1" s="1"/>
  <c r="Q72" i="1"/>
  <c r="R72" i="1" s="1"/>
  <c r="AT72" i="1" s="1"/>
  <c r="BD72" i="1"/>
  <c r="DG72" i="1"/>
  <c r="DH72" i="1" s="1"/>
  <c r="DT72" i="1" s="1"/>
  <c r="ET72" i="1"/>
  <c r="BP76" i="1"/>
  <c r="AC76" i="1"/>
  <c r="AD76" i="1" s="1"/>
  <c r="AX76" i="1" s="1"/>
  <c r="EN68" i="1"/>
  <c r="DA68" i="1"/>
  <c r="DB68" i="1" s="1"/>
  <c r="DR68" i="1" s="1"/>
  <c r="BM15" i="1"/>
  <c r="Z15" i="1"/>
  <c r="AA15" i="1" s="1"/>
  <c r="AW15" i="1" s="1"/>
  <c r="EE3" i="1"/>
  <c r="CR3" i="1"/>
  <c r="CS3" i="1" s="1"/>
  <c r="DO3" i="1" s="1"/>
  <c r="DW295" i="1"/>
  <c r="DX295" i="1"/>
  <c r="EP285" i="1"/>
  <c r="EO285" i="1"/>
  <c r="EJ276" i="1"/>
  <c r="EI276" i="1"/>
  <c r="DV271" i="1"/>
  <c r="CI271" i="1"/>
  <c r="CJ271" i="1" s="1"/>
  <c r="DL271" i="1" s="1"/>
  <c r="ES271" i="1"/>
  <c r="ER271" i="1"/>
  <c r="CR266" i="1"/>
  <c r="CS266" i="1" s="1"/>
  <c r="DO266" i="1" s="1"/>
  <c r="EE266" i="1"/>
  <c r="EM304" i="1"/>
  <c r="EL304" i="1"/>
  <c r="ET268" i="1"/>
  <c r="DG268" i="1"/>
  <c r="DH268" i="1" s="1"/>
  <c r="DT268" i="1" s="1"/>
  <c r="Z268" i="1"/>
  <c r="AA268" i="1" s="1"/>
  <c r="AW268" i="1" s="1"/>
  <c r="BM268" i="1"/>
  <c r="EW270" i="1"/>
  <c r="DJ270" i="1"/>
  <c r="DK270" i="1" s="1"/>
  <c r="DU270" i="1" s="1"/>
  <c r="DV267" i="1"/>
  <c r="CI267" i="1"/>
  <c r="CJ267" i="1" s="1"/>
  <c r="DL267" i="1" s="1"/>
  <c r="EN267" i="1"/>
  <c r="DA267" i="1"/>
  <c r="DB267" i="1" s="1"/>
  <c r="DR267" i="1" s="1"/>
  <c r="CE267" i="1"/>
  <c r="AR267" i="1"/>
  <c r="AS267" i="1" s="1"/>
  <c r="BC267" i="1" s="1"/>
  <c r="CR264" i="1"/>
  <c r="CS264" i="1" s="1"/>
  <c r="DO264" i="1" s="1"/>
  <c r="EE264" i="1"/>
  <c r="T263" i="1"/>
  <c r="U263" i="1" s="1"/>
  <c r="AU263" i="1" s="1"/>
  <c r="BG263" i="1"/>
  <c r="DD258" i="1"/>
  <c r="DE258" i="1" s="1"/>
  <c r="DS258" i="1" s="1"/>
  <c r="EQ258" i="1"/>
  <c r="CX263" i="1"/>
  <c r="CY263" i="1" s="1"/>
  <c r="DQ263" i="1" s="1"/>
  <c r="EK263" i="1"/>
  <c r="AF264" i="1"/>
  <c r="AG264" i="1" s="1"/>
  <c r="AY264" i="1" s="1"/>
  <c r="BS264" i="1"/>
  <c r="CB256" i="1"/>
  <c r="AO256" i="1"/>
  <c r="AP256" i="1" s="1"/>
  <c r="BB256" i="1" s="1"/>
  <c r="BS259" i="1"/>
  <c r="AF259" i="1"/>
  <c r="AG259" i="1" s="1"/>
  <c r="AY259" i="1" s="1"/>
  <c r="W259" i="1"/>
  <c r="X259" i="1" s="1"/>
  <c r="AV259" i="1" s="1"/>
  <c r="BJ259" i="1"/>
  <c r="DJ255" i="1"/>
  <c r="DK255" i="1" s="1"/>
  <c r="DU255" i="1" s="1"/>
  <c r="EW255" i="1"/>
  <c r="DZ259" i="1"/>
  <c r="EA259" i="1"/>
  <c r="DV249" i="1"/>
  <c r="CI249" i="1"/>
  <c r="CJ249" i="1" s="1"/>
  <c r="DL249" i="1" s="1"/>
  <c r="EQ251" i="1"/>
  <c r="DD251" i="1"/>
  <c r="DE251" i="1" s="1"/>
  <c r="DS251" i="1" s="1"/>
  <c r="DV239" i="1"/>
  <c r="CI239" i="1"/>
  <c r="CJ239" i="1" s="1"/>
  <c r="DL239" i="1" s="1"/>
  <c r="DJ246" i="1"/>
  <c r="DK246" i="1" s="1"/>
  <c r="DU246" i="1" s="1"/>
  <c r="EW246" i="1"/>
  <c r="AF246" i="1"/>
  <c r="AG246" i="1" s="1"/>
  <c r="AY246" i="1" s="1"/>
  <c r="BS246" i="1"/>
  <c r="ED263" i="1"/>
  <c r="EC263" i="1"/>
  <c r="AR247" i="1"/>
  <c r="AS247" i="1" s="1"/>
  <c r="BC247" i="1" s="1"/>
  <c r="CE247" i="1"/>
  <c r="EE241" i="1"/>
  <c r="CR241" i="1"/>
  <c r="CS241" i="1" s="1"/>
  <c r="DO241" i="1" s="1"/>
  <c r="EA257" i="1"/>
  <c r="DZ257" i="1"/>
  <c r="BV253" i="1"/>
  <c r="AI253" i="1"/>
  <c r="AJ253" i="1" s="1"/>
  <c r="AZ253" i="1" s="1"/>
  <c r="CL253" i="1"/>
  <c r="CM253" i="1" s="1"/>
  <c r="DM253" i="1" s="1"/>
  <c r="DY253" i="1"/>
  <c r="ES245" i="1"/>
  <c r="ER245" i="1"/>
  <c r="CG251" i="1"/>
  <c r="CF251" i="1"/>
  <c r="Z250" i="1"/>
  <c r="AA250" i="1" s="1"/>
  <c r="AW250" i="1" s="1"/>
  <c r="BM250" i="1"/>
  <c r="BD236" i="1"/>
  <c r="Q236" i="1"/>
  <c r="DY230" i="1"/>
  <c r="CL230" i="1"/>
  <c r="CM230" i="1" s="1"/>
  <c r="DM230" i="1" s="1"/>
  <c r="EN238" i="1"/>
  <c r="DA238" i="1"/>
  <c r="DB238" i="1" s="1"/>
  <c r="DR238" i="1" s="1"/>
  <c r="Z230" i="1"/>
  <c r="AA230" i="1" s="1"/>
  <c r="AW230" i="1" s="1"/>
  <c r="BM230" i="1"/>
  <c r="BD231" i="1"/>
  <c r="Q231" i="1"/>
  <c r="R231" i="1" s="1"/>
  <c r="AT231" i="1" s="1"/>
  <c r="ED240" i="1"/>
  <c r="EC240" i="1"/>
  <c r="BM243" i="1"/>
  <c r="Z243" i="1"/>
  <c r="AA243" i="1" s="1"/>
  <c r="AW243" i="1" s="1"/>
  <c r="AI233" i="1"/>
  <c r="AJ233" i="1" s="1"/>
  <c r="AZ233" i="1" s="1"/>
  <c r="BV233" i="1"/>
  <c r="W232" i="1"/>
  <c r="X232" i="1" s="1"/>
  <c r="AV232" i="1" s="1"/>
  <c r="BJ232" i="1"/>
  <c r="BD260" i="1"/>
  <c r="Q260" i="1"/>
  <c r="R260" i="1" s="1"/>
  <c r="AT260" i="1" s="1"/>
  <c r="BS260" i="1"/>
  <c r="AF260" i="1"/>
  <c r="AG260" i="1" s="1"/>
  <c r="AY260" i="1" s="1"/>
  <c r="ED241" i="1"/>
  <c r="EC241" i="1"/>
  <c r="T230" i="1"/>
  <c r="U230" i="1" s="1"/>
  <c r="AU230" i="1" s="1"/>
  <c r="BG230" i="1"/>
  <c r="Z237" i="1"/>
  <c r="AA237" i="1" s="1"/>
  <c r="AW237" i="1" s="1"/>
  <c r="BM237" i="1"/>
  <c r="BP226" i="1"/>
  <c r="AC226" i="1"/>
  <c r="AD226" i="1" s="1"/>
  <c r="AX226" i="1" s="1"/>
  <c r="Z229" i="1"/>
  <c r="AA229" i="1" s="1"/>
  <c r="AW229" i="1" s="1"/>
  <c r="BM229" i="1"/>
  <c r="EN228" i="1"/>
  <c r="DA228" i="1"/>
  <c r="DB228" i="1" s="1"/>
  <c r="DR228" i="1" s="1"/>
  <c r="EB223" i="1"/>
  <c r="CO223" i="1"/>
  <c r="CP223" i="1" s="1"/>
  <c r="DN223" i="1" s="1"/>
  <c r="ET216" i="1"/>
  <c r="DG216" i="1"/>
  <c r="DH216" i="1" s="1"/>
  <c r="DT216" i="1" s="1"/>
  <c r="BY223" i="1"/>
  <c r="AL223" i="1"/>
  <c r="AM223" i="1" s="1"/>
  <c r="BA223" i="1" s="1"/>
  <c r="BV215" i="1"/>
  <c r="AI215" i="1"/>
  <c r="AJ215" i="1" s="1"/>
  <c r="AZ215" i="1" s="1"/>
  <c r="BG215" i="1"/>
  <c r="T215" i="1"/>
  <c r="U215" i="1" s="1"/>
  <c r="AU215" i="1" s="1"/>
  <c r="DA210" i="1"/>
  <c r="DB210" i="1" s="1"/>
  <c r="DR210" i="1" s="1"/>
  <c r="EN210" i="1"/>
  <c r="AF210" i="1"/>
  <c r="AG210" i="1" s="1"/>
  <c r="AY210" i="1" s="1"/>
  <c r="BS210" i="1"/>
  <c r="AI221" i="1"/>
  <c r="AJ221" i="1" s="1"/>
  <c r="AZ221" i="1" s="1"/>
  <c r="BV221" i="1"/>
  <c r="EB221" i="1"/>
  <c r="CO221" i="1"/>
  <c r="CP221" i="1" s="1"/>
  <c r="DN221" i="1" s="1"/>
  <c r="DY210" i="1"/>
  <c r="CL210" i="1"/>
  <c r="CM210" i="1" s="1"/>
  <c r="DM210" i="1" s="1"/>
  <c r="DA220" i="1"/>
  <c r="DB220" i="1" s="1"/>
  <c r="DR220" i="1" s="1"/>
  <c r="EN220" i="1"/>
  <c r="AL220" i="1"/>
  <c r="AM220" i="1" s="1"/>
  <c r="BA220" i="1" s="1"/>
  <c r="BY220" i="1"/>
  <c r="EE219" i="1"/>
  <c r="CR219" i="1"/>
  <c r="CS219" i="1" s="1"/>
  <c r="DO219" i="1" s="1"/>
  <c r="EW217" i="1"/>
  <c r="DJ217" i="1"/>
  <c r="DK217" i="1" s="1"/>
  <c r="DU217" i="1" s="1"/>
  <c r="BP202" i="1"/>
  <c r="AC202" i="1"/>
  <c r="AD202" i="1" s="1"/>
  <c r="AX202" i="1" s="1"/>
  <c r="BM212" i="1"/>
  <c r="Z212" i="1"/>
  <c r="AA212" i="1" s="1"/>
  <c r="AW212" i="1" s="1"/>
  <c r="Q203" i="1"/>
  <c r="R203" i="1" s="1"/>
  <c r="AT203" i="1" s="1"/>
  <c r="BD203" i="1"/>
  <c r="CE208" i="1"/>
  <c r="AR208" i="1"/>
  <c r="AS208" i="1" s="1"/>
  <c r="BC208" i="1" s="1"/>
  <c r="AR204" i="1"/>
  <c r="AS204" i="1" s="1"/>
  <c r="BC204" i="1" s="1"/>
  <c r="CE204" i="1"/>
  <c r="BS206" i="1"/>
  <c r="AF206" i="1"/>
  <c r="AG206" i="1" s="1"/>
  <c r="AY206" i="1" s="1"/>
  <c r="CE211" i="1"/>
  <c r="AR211" i="1"/>
  <c r="AS211" i="1" s="1"/>
  <c r="BC211" i="1" s="1"/>
  <c r="BM203" i="1"/>
  <c r="Z203" i="1"/>
  <c r="AA203" i="1" s="1"/>
  <c r="AW203" i="1" s="1"/>
  <c r="DG212" i="1"/>
  <c r="DH212" i="1" s="1"/>
  <c r="DT212" i="1" s="1"/>
  <c r="ET212" i="1"/>
  <c r="CX208" i="1"/>
  <c r="CY208" i="1" s="1"/>
  <c r="DQ208" i="1" s="1"/>
  <c r="EK208" i="1"/>
  <c r="Q207" i="1"/>
  <c r="R207" i="1" s="1"/>
  <c r="AT207" i="1" s="1"/>
  <c r="BD207" i="1"/>
  <c r="CO206" i="1"/>
  <c r="CP206" i="1" s="1"/>
  <c r="DN206" i="1" s="1"/>
  <c r="EB206" i="1"/>
  <c r="EW218" i="1"/>
  <c r="DJ218" i="1"/>
  <c r="DK218" i="1" s="1"/>
  <c r="DU218" i="1" s="1"/>
  <c r="CI197" i="1"/>
  <c r="CJ197" i="1" s="1"/>
  <c r="DL197" i="1" s="1"/>
  <c r="DV197" i="1"/>
  <c r="BJ180" i="1"/>
  <c r="W180" i="1"/>
  <c r="X180" i="1" s="1"/>
  <c r="AV180" i="1" s="1"/>
  <c r="CU173" i="1"/>
  <c r="CV173" i="1" s="1"/>
  <c r="DP173" i="1" s="1"/>
  <c r="EH173" i="1"/>
  <c r="EW199" i="1"/>
  <c r="DJ199" i="1"/>
  <c r="DK199" i="1" s="1"/>
  <c r="DU199" i="1" s="1"/>
  <c r="BG187" i="1"/>
  <c r="T187" i="1"/>
  <c r="U187" i="1" s="1"/>
  <c r="AU187" i="1" s="1"/>
  <c r="DY198" i="1"/>
  <c r="CL198" i="1"/>
  <c r="CM198" i="1" s="1"/>
  <c r="DM198" i="1" s="1"/>
  <c r="EB193" i="1"/>
  <c r="CO193" i="1"/>
  <c r="CP193" i="1" s="1"/>
  <c r="DN193" i="1" s="1"/>
  <c r="EE184" i="1"/>
  <c r="CR184" i="1"/>
  <c r="CS184" i="1" s="1"/>
  <c r="DO184" i="1" s="1"/>
  <c r="DJ187" i="1"/>
  <c r="DK187" i="1" s="1"/>
  <c r="DU187" i="1" s="1"/>
  <c r="EW187" i="1"/>
  <c r="AC190" i="1"/>
  <c r="AD190" i="1" s="1"/>
  <c r="AX190" i="1" s="1"/>
  <c r="BP190" i="1"/>
  <c r="EW180" i="1"/>
  <c r="DJ180" i="1"/>
  <c r="DK180" i="1" s="1"/>
  <c r="DU180" i="1" s="1"/>
  <c r="BJ168" i="1"/>
  <c r="W168" i="1"/>
  <c r="X168" i="1" s="1"/>
  <c r="AV168" i="1" s="1"/>
  <c r="EE187" i="1"/>
  <c r="CR187" i="1"/>
  <c r="CS187" i="1" s="1"/>
  <c r="DO187" i="1" s="1"/>
  <c r="BY179" i="1"/>
  <c r="AL179" i="1"/>
  <c r="AM179" i="1" s="1"/>
  <c r="BA179" i="1" s="1"/>
  <c r="DA181" i="1"/>
  <c r="DB181" i="1" s="1"/>
  <c r="DR181" i="1" s="1"/>
  <c r="EN181" i="1"/>
  <c r="BS185" i="1"/>
  <c r="AF185" i="1"/>
  <c r="AG185" i="1" s="1"/>
  <c r="AY185" i="1" s="1"/>
  <c r="DY182" i="1"/>
  <c r="CL182" i="1"/>
  <c r="CM182" i="1" s="1"/>
  <c r="DM182" i="1" s="1"/>
  <c r="BP174" i="1"/>
  <c r="AC174" i="1"/>
  <c r="AD174" i="1" s="1"/>
  <c r="AX174" i="1" s="1"/>
  <c r="ET192" i="1"/>
  <c r="DG192" i="1"/>
  <c r="DH192" i="1" s="1"/>
  <c r="DT192" i="1" s="1"/>
  <c r="EN192" i="1"/>
  <c r="DA192" i="1"/>
  <c r="DB192" i="1" s="1"/>
  <c r="DR192" i="1" s="1"/>
  <c r="BG191" i="1"/>
  <c r="T191" i="1"/>
  <c r="U191" i="1" s="1"/>
  <c r="AU191" i="1" s="1"/>
  <c r="CI169" i="1"/>
  <c r="CJ169" i="1" s="1"/>
  <c r="DL169" i="1" s="1"/>
  <c r="DV169" i="1"/>
  <c r="CL178" i="1"/>
  <c r="CM178" i="1" s="1"/>
  <c r="DM178" i="1" s="1"/>
  <c r="DY178" i="1"/>
  <c r="EH160" i="1"/>
  <c r="CU160" i="1"/>
  <c r="CV160" i="1" s="1"/>
  <c r="DP160" i="1" s="1"/>
  <c r="CB166" i="1"/>
  <c r="AO166" i="1"/>
  <c r="AP166" i="1" s="1"/>
  <c r="BB166" i="1" s="1"/>
  <c r="AC155" i="1"/>
  <c r="AD155" i="1" s="1"/>
  <c r="AX155" i="1" s="1"/>
  <c r="BP155" i="1"/>
  <c r="AF171" i="1"/>
  <c r="AG171" i="1" s="1"/>
  <c r="AY171" i="1" s="1"/>
  <c r="BS171" i="1"/>
  <c r="BM171" i="1"/>
  <c r="Z171" i="1"/>
  <c r="AA171" i="1" s="1"/>
  <c r="AW171" i="1" s="1"/>
  <c r="EN166" i="1"/>
  <c r="DA166" i="1"/>
  <c r="DB166" i="1" s="1"/>
  <c r="DR166" i="1" s="1"/>
  <c r="BS165" i="1"/>
  <c r="AF165" i="1"/>
  <c r="AG165" i="1" s="1"/>
  <c r="AY165" i="1" s="1"/>
  <c r="EQ160" i="1"/>
  <c r="DD160" i="1"/>
  <c r="DE160" i="1" s="1"/>
  <c r="DS160" i="1" s="1"/>
  <c r="AF161" i="1"/>
  <c r="AG161" i="1" s="1"/>
  <c r="AY161" i="1" s="1"/>
  <c r="BS161" i="1"/>
  <c r="EG175" i="1"/>
  <c r="EF175" i="1"/>
  <c r="EB161" i="1"/>
  <c r="CO161" i="1"/>
  <c r="CP161" i="1" s="1"/>
  <c r="DN161" i="1" s="1"/>
  <c r="BP165" i="1"/>
  <c r="AC165" i="1"/>
  <c r="AD165" i="1" s="1"/>
  <c r="AX165" i="1" s="1"/>
  <c r="DY162" i="1"/>
  <c r="CL162" i="1"/>
  <c r="CM162" i="1" s="1"/>
  <c r="DM162" i="1" s="1"/>
  <c r="CE152" i="1"/>
  <c r="AR152" i="1"/>
  <c r="AS152" i="1" s="1"/>
  <c r="BC152" i="1" s="1"/>
  <c r="EB169" i="1"/>
  <c r="CO169" i="1"/>
  <c r="CP169" i="1" s="1"/>
  <c r="DN169" i="1" s="1"/>
  <c r="EX190" i="1"/>
  <c r="EY190" i="1"/>
  <c r="BS150" i="1"/>
  <c r="AF150" i="1"/>
  <c r="AG150" i="1" s="1"/>
  <c r="AY150" i="1" s="1"/>
  <c r="EN145" i="1"/>
  <c r="DA145" i="1"/>
  <c r="DB145" i="1" s="1"/>
  <c r="DR145" i="1" s="1"/>
  <c r="EQ156" i="1"/>
  <c r="DD156" i="1"/>
  <c r="DE156" i="1" s="1"/>
  <c r="DS156" i="1" s="1"/>
  <c r="BS156" i="1"/>
  <c r="AF156" i="1"/>
  <c r="AG156" i="1" s="1"/>
  <c r="AY156" i="1" s="1"/>
  <c r="EA167" i="1"/>
  <c r="DZ167" i="1"/>
  <c r="CU159" i="1"/>
  <c r="CV159" i="1" s="1"/>
  <c r="DP159" i="1" s="1"/>
  <c r="EH159" i="1"/>
  <c r="ED168" i="1"/>
  <c r="EC168" i="1"/>
  <c r="AL142" i="1"/>
  <c r="AM142" i="1" s="1"/>
  <c r="BA142" i="1" s="1"/>
  <c r="BY142" i="1"/>
  <c r="EU165" i="1"/>
  <c r="EV165" i="1"/>
  <c r="CR150" i="1"/>
  <c r="CS150" i="1" s="1"/>
  <c r="DO150" i="1" s="1"/>
  <c r="EE150" i="1"/>
  <c r="EB149" i="1"/>
  <c r="CO149" i="1"/>
  <c r="CP149" i="1" s="1"/>
  <c r="DN149" i="1" s="1"/>
  <c r="BS135" i="1"/>
  <c r="AF135" i="1"/>
  <c r="AG135" i="1" s="1"/>
  <c r="AY135" i="1" s="1"/>
  <c r="EE140" i="1"/>
  <c r="CR140" i="1"/>
  <c r="CS140" i="1" s="1"/>
  <c r="DO140" i="1" s="1"/>
  <c r="CL134" i="1"/>
  <c r="CM134" i="1" s="1"/>
  <c r="DM134" i="1" s="1"/>
  <c r="DY134" i="1"/>
  <c r="Z125" i="1"/>
  <c r="AA125" i="1" s="1"/>
  <c r="AW125" i="1" s="1"/>
  <c r="BM125" i="1"/>
  <c r="EE154" i="1"/>
  <c r="CR154" i="1"/>
  <c r="CS154" i="1" s="1"/>
  <c r="DO154" i="1" s="1"/>
  <c r="AO154" i="1"/>
  <c r="AP154" i="1" s="1"/>
  <c r="BB154" i="1" s="1"/>
  <c r="CB154" i="1"/>
  <c r="AC141" i="1"/>
  <c r="AD141" i="1" s="1"/>
  <c r="AX141" i="1" s="1"/>
  <c r="BP141" i="1"/>
  <c r="BY138" i="1"/>
  <c r="AL138" i="1"/>
  <c r="AM138" i="1" s="1"/>
  <c r="BA138" i="1" s="1"/>
  <c r="AC129" i="1"/>
  <c r="AD129" i="1" s="1"/>
  <c r="AX129" i="1" s="1"/>
  <c r="BP129" i="1"/>
  <c r="AF115" i="1"/>
  <c r="AG115" i="1" s="1"/>
  <c r="AY115" i="1" s="1"/>
  <c r="BS115" i="1"/>
  <c r="AC135" i="1"/>
  <c r="AD135" i="1" s="1"/>
  <c r="AX135" i="1" s="1"/>
  <c r="BP135" i="1"/>
  <c r="BM128" i="1"/>
  <c r="Z128" i="1"/>
  <c r="AA128" i="1" s="1"/>
  <c r="AW128" i="1" s="1"/>
  <c r="EW115" i="1"/>
  <c r="DJ115" i="1"/>
  <c r="DK115" i="1" s="1"/>
  <c r="DU115" i="1" s="1"/>
  <c r="CA139" i="1"/>
  <c r="BD122" i="1"/>
  <c r="Q122" i="1"/>
  <c r="R122" i="1" s="1"/>
  <c r="AT122" i="1" s="1"/>
  <c r="ED160" i="1"/>
  <c r="EC160" i="1"/>
  <c r="AC113" i="1"/>
  <c r="AD113" i="1" s="1"/>
  <c r="AX113" i="1" s="1"/>
  <c r="BP113" i="1"/>
  <c r="BI145" i="1"/>
  <c r="BH145" i="1"/>
  <c r="EP132" i="1"/>
  <c r="EO132" i="1"/>
  <c r="BM136" i="1"/>
  <c r="Z136" i="1"/>
  <c r="AA136" i="1" s="1"/>
  <c r="AW136" i="1" s="1"/>
  <c r="EB136" i="1"/>
  <c r="CO136" i="1"/>
  <c r="CP136" i="1" s="1"/>
  <c r="DN136" i="1" s="1"/>
  <c r="EY140" i="1"/>
  <c r="EX140" i="1"/>
  <c r="EQ107" i="1"/>
  <c r="DD107" i="1"/>
  <c r="DE107" i="1" s="1"/>
  <c r="DS107" i="1" s="1"/>
  <c r="BI139" i="1"/>
  <c r="BH139" i="1"/>
  <c r="BX132" i="1"/>
  <c r="BW132" i="1"/>
  <c r="BI126" i="1"/>
  <c r="BH126" i="1"/>
  <c r="CA130" i="1"/>
  <c r="BZ130" i="1"/>
  <c r="ET113" i="1"/>
  <c r="DG113" i="1"/>
  <c r="DH113" i="1" s="1"/>
  <c r="DT113" i="1" s="1"/>
  <c r="DY102" i="1"/>
  <c r="CL102" i="1"/>
  <c r="CM102" i="1" s="1"/>
  <c r="DM102" i="1" s="1"/>
  <c r="CX103" i="1"/>
  <c r="CY103" i="1" s="1"/>
  <c r="DQ103" i="1" s="1"/>
  <c r="EK103" i="1"/>
  <c r="CX119" i="1"/>
  <c r="CY119" i="1" s="1"/>
  <c r="DQ119" i="1" s="1"/>
  <c r="EK119" i="1"/>
  <c r="EB119" i="1"/>
  <c r="CO119" i="1"/>
  <c r="CP119" i="1" s="1"/>
  <c r="DN119" i="1" s="1"/>
  <c r="DY104" i="1"/>
  <c r="CL104" i="1"/>
  <c r="CM104" i="1" s="1"/>
  <c r="DM104" i="1" s="1"/>
  <c r="AR94" i="1"/>
  <c r="AS94" i="1" s="1"/>
  <c r="BC94" i="1" s="1"/>
  <c r="CE94" i="1"/>
  <c r="EX121" i="1"/>
  <c r="EY121" i="1"/>
  <c r="CO148" i="1"/>
  <c r="CP148" i="1" s="1"/>
  <c r="DN148" i="1" s="1"/>
  <c r="EB148" i="1"/>
  <c r="AI148" i="1"/>
  <c r="AJ148" i="1" s="1"/>
  <c r="AZ148" i="1" s="1"/>
  <c r="BV148" i="1"/>
  <c r="BY102" i="1"/>
  <c r="AL102" i="1"/>
  <c r="AM102" i="1" s="1"/>
  <c r="BA102" i="1" s="1"/>
  <c r="EE101" i="1"/>
  <c r="CR101" i="1"/>
  <c r="CS101" i="1" s="1"/>
  <c r="DO101" i="1" s="1"/>
  <c r="Q114" i="1"/>
  <c r="R114" i="1" s="1"/>
  <c r="AT114" i="1" s="1"/>
  <c r="BD114" i="1"/>
  <c r="BG99" i="1"/>
  <c r="T99" i="1"/>
  <c r="U99" i="1" s="1"/>
  <c r="AU99" i="1" s="1"/>
  <c r="DV121" i="1"/>
  <c r="CI121" i="1"/>
  <c r="CJ121" i="1" s="1"/>
  <c r="DL121" i="1" s="1"/>
  <c r="EE104" i="1"/>
  <c r="CR104" i="1"/>
  <c r="CS104" i="1" s="1"/>
  <c r="DO104" i="1" s="1"/>
  <c r="DV90" i="1"/>
  <c r="CI90" i="1"/>
  <c r="CJ90" i="1" s="1"/>
  <c r="DL90" i="1" s="1"/>
  <c r="BL112" i="1"/>
  <c r="BK112" i="1"/>
  <c r="BS101" i="1"/>
  <c r="AF101" i="1"/>
  <c r="AG101" i="1" s="1"/>
  <c r="AY101" i="1" s="1"/>
  <c r="BM90" i="1"/>
  <c r="Z90" i="1"/>
  <c r="AA90" i="1" s="1"/>
  <c r="AW90" i="1" s="1"/>
  <c r="BM106" i="1"/>
  <c r="Z106" i="1"/>
  <c r="AA106" i="1" s="1"/>
  <c r="AW106" i="1" s="1"/>
  <c r="DV93" i="1"/>
  <c r="CI93" i="1"/>
  <c r="CJ93" i="1" s="1"/>
  <c r="DL93" i="1" s="1"/>
  <c r="EB93" i="1"/>
  <c r="CO93" i="1"/>
  <c r="CP93" i="1" s="1"/>
  <c r="DN93" i="1" s="1"/>
  <c r="BP71" i="1"/>
  <c r="AC71" i="1"/>
  <c r="AD71" i="1" s="1"/>
  <c r="AX71" i="1" s="1"/>
  <c r="CO81" i="1"/>
  <c r="CP81" i="1" s="1"/>
  <c r="DN81" i="1" s="1"/>
  <c r="EB81" i="1"/>
  <c r="CI70" i="1"/>
  <c r="CJ70" i="1" s="1"/>
  <c r="DL70" i="1" s="1"/>
  <c r="DV70" i="1"/>
  <c r="AF76" i="1"/>
  <c r="AG76" i="1" s="1"/>
  <c r="AY76" i="1" s="1"/>
  <c r="BS76" i="1"/>
  <c r="CU71" i="1"/>
  <c r="CV71" i="1" s="1"/>
  <c r="DP71" i="1" s="1"/>
  <c r="EH71" i="1"/>
  <c r="Z109" i="1"/>
  <c r="AA109" i="1" s="1"/>
  <c r="AW109" i="1" s="1"/>
  <c r="BM109" i="1"/>
  <c r="EN98" i="1"/>
  <c r="DA98" i="1"/>
  <c r="DB98" i="1" s="1"/>
  <c r="DR98" i="1" s="1"/>
  <c r="DY97" i="1"/>
  <c r="CL97" i="1"/>
  <c r="CM97" i="1" s="1"/>
  <c r="DM97" i="1" s="1"/>
  <c r="EY103" i="1"/>
  <c r="EX103" i="1"/>
  <c r="CE84" i="1"/>
  <c r="AR84" i="1"/>
  <c r="AS84" i="1" s="1"/>
  <c r="BC84" i="1" s="1"/>
  <c r="T89" i="1"/>
  <c r="U89" i="1" s="1"/>
  <c r="AU89" i="1" s="1"/>
  <c r="BG89" i="1"/>
  <c r="AO88" i="1"/>
  <c r="AP88" i="1" s="1"/>
  <c r="BB88" i="1" s="1"/>
  <c r="CB88" i="1"/>
  <c r="DV74" i="1"/>
  <c r="CI74" i="1"/>
  <c r="CJ74" i="1" s="1"/>
  <c r="DL74" i="1" s="1"/>
  <c r="ES137" i="1"/>
  <c r="ER137" i="1"/>
  <c r="EH78" i="1"/>
  <c r="CU78" i="1"/>
  <c r="CV78" i="1" s="1"/>
  <c r="DP78" i="1" s="1"/>
  <c r="EV65" i="1"/>
  <c r="EU65" i="1"/>
  <c r="CR62" i="1"/>
  <c r="CS62" i="1" s="1"/>
  <c r="DO62" i="1" s="1"/>
  <c r="EE62" i="1"/>
  <c r="DG108" i="1"/>
  <c r="DH108" i="1" s="1"/>
  <c r="DT108" i="1" s="1"/>
  <c r="ET108" i="1"/>
  <c r="Z108" i="1"/>
  <c r="AA108" i="1" s="1"/>
  <c r="AW108" i="1" s="1"/>
  <c r="BM108" i="1"/>
  <c r="EP76" i="1"/>
  <c r="EO76" i="1"/>
  <c r="CX75" i="1"/>
  <c r="CY75" i="1" s="1"/>
  <c r="DQ75" i="1" s="1"/>
  <c r="EK75" i="1"/>
  <c r="EM68" i="1"/>
  <c r="EL68" i="1"/>
  <c r="AL68" i="1"/>
  <c r="AM68" i="1" s="1"/>
  <c r="BA68" i="1" s="1"/>
  <c r="BY68" i="1"/>
  <c r="CR67" i="1"/>
  <c r="CS67" i="1" s="1"/>
  <c r="DO67" i="1" s="1"/>
  <c r="EE67" i="1"/>
  <c r="DV86" i="1"/>
  <c r="CI86" i="1"/>
  <c r="CJ86" i="1" s="1"/>
  <c r="DL86" i="1" s="1"/>
  <c r="EK82" i="1"/>
  <c r="CX82" i="1"/>
  <c r="CY82" i="1" s="1"/>
  <c r="DQ82" i="1" s="1"/>
  <c r="EH47" i="1"/>
  <c r="CU47" i="1"/>
  <c r="CV47" i="1" s="1"/>
  <c r="DP47" i="1" s="1"/>
  <c r="EQ80" i="1"/>
  <c r="DD80" i="1"/>
  <c r="DE80" i="1" s="1"/>
  <c r="DS80" i="1" s="1"/>
  <c r="AR80" i="1"/>
  <c r="AS80" i="1" s="1"/>
  <c r="BC80" i="1" s="1"/>
  <c r="CE80" i="1"/>
  <c r="DG59" i="1"/>
  <c r="DH59" i="1" s="1"/>
  <c r="DT59" i="1" s="1"/>
  <c r="ET59" i="1"/>
  <c r="BP38" i="1"/>
  <c r="AC38" i="1"/>
  <c r="AD38" i="1" s="1"/>
  <c r="AX38" i="1" s="1"/>
  <c r="BI106" i="1"/>
  <c r="BH106" i="1"/>
  <c r="DD56" i="1"/>
  <c r="DE56" i="1" s="1"/>
  <c r="DS56" i="1" s="1"/>
  <c r="EQ56" i="1"/>
  <c r="BS50" i="1"/>
  <c r="AF50" i="1"/>
  <c r="AG50" i="1" s="1"/>
  <c r="AY50" i="1" s="1"/>
  <c r="Q39" i="1"/>
  <c r="R39" i="1" s="1"/>
  <c r="AT39" i="1" s="1"/>
  <c r="BD39" i="1"/>
  <c r="DA52" i="1"/>
  <c r="DB52" i="1" s="1"/>
  <c r="DR52" i="1" s="1"/>
  <c r="EN52" i="1"/>
  <c r="AO48" i="1"/>
  <c r="AP48" i="1" s="1"/>
  <c r="BB48" i="1" s="1"/>
  <c r="CB48" i="1"/>
  <c r="CI39" i="1"/>
  <c r="CJ39" i="1" s="1"/>
  <c r="DL39" i="1" s="1"/>
  <c r="DV39" i="1"/>
  <c r="CX54" i="1"/>
  <c r="CY54" i="1" s="1"/>
  <c r="DQ54" i="1" s="1"/>
  <c r="EK54" i="1"/>
  <c r="DG85" i="1"/>
  <c r="DH85" i="1" s="1"/>
  <c r="DT85" i="1" s="1"/>
  <c r="ET85" i="1"/>
  <c r="EQ85" i="1"/>
  <c r="DD85" i="1"/>
  <c r="DE85" i="1" s="1"/>
  <c r="DS85" i="1" s="1"/>
  <c r="BM57" i="1"/>
  <c r="Z57" i="1"/>
  <c r="AA57" i="1" s="1"/>
  <c r="AW57" i="1" s="1"/>
  <c r="EB56" i="1"/>
  <c r="CO56" i="1"/>
  <c r="CP56" i="1" s="1"/>
  <c r="DN56" i="1" s="1"/>
  <c r="CI48" i="1"/>
  <c r="CJ48" i="1" s="1"/>
  <c r="DL48" i="1" s="1"/>
  <c r="DV48" i="1"/>
  <c r="BJ39" i="1"/>
  <c r="W39" i="1"/>
  <c r="X39" i="1" s="1"/>
  <c r="AV39" i="1" s="1"/>
  <c r="BD49" i="1"/>
  <c r="Q49" i="1"/>
  <c r="R49" i="1" s="1"/>
  <c r="AT49" i="1" s="1"/>
  <c r="CE37" i="1"/>
  <c r="AR37" i="1"/>
  <c r="AS37" i="1" s="1"/>
  <c r="BC37" i="1" s="1"/>
  <c r="EJ57" i="1"/>
  <c r="EI57" i="1"/>
  <c r="CX28" i="1"/>
  <c r="CY28" i="1" s="1"/>
  <c r="DQ28" i="1" s="1"/>
  <c r="EK28" i="1"/>
  <c r="CB18" i="1"/>
  <c r="AO18" i="1"/>
  <c r="AP18" i="1" s="1"/>
  <c r="BB18" i="1" s="1"/>
  <c r="CI44" i="1"/>
  <c r="CJ44" i="1" s="1"/>
  <c r="DL44" i="1" s="1"/>
  <c r="DV44" i="1"/>
  <c r="CX29" i="1"/>
  <c r="CY29" i="1" s="1"/>
  <c r="DQ29" i="1" s="1"/>
  <c r="EK29" i="1"/>
  <c r="CU12" i="1"/>
  <c r="CV12" i="1" s="1"/>
  <c r="DP12" i="1" s="1"/>
  <c r="EH12" i="1"/>
  <c r="AI31" i="1"/>
  <c r="AJ31" i="1" s="1"/>
  <c r="AZ31" i="1" s="1"/>
  <c r="BV31" i="1"/>
  <c r="AF30" i="1"/>
  <c r="AG30" i="1" s="1"/>
  <c r="AY30" i="1" s="1"/>
  <c r="BS30" i="1"/>
  <c r="AL12" i="1"/>
  <c r="AM12" i="1" s="1"/>
  <c r="BA12" i="1" s="1"/>
  <c r="BY12" i="1"/>
  <c r="CE46" i="1"/>
  <c r="AR46" i="1"/>
  <c r="AS46" i="1" s="1"/>
  <c r="BC46" i="1" s="1"/>
  <c r="BM46" i="1"/>
  <c r="Z46" i="1"/>
  <c r="AA46" i="1" s="1"/>
  <c r="AW46" i="1" s="1"/>
  <c r="CO26" i="1"/>
  <c r="CP26" i="1" s="1"/>
  <c r="DN26" i="1" s="1"/>
  <c r="EB26" i="1"/>
  <c r="CX20" i="1"/>
  <c r="CY20" i="1" s="1"/>
  <c r="DQ20" i="1" s="1"/>
  <c r="EK20" i="1"/>
  <c r="AO55" i="1"/>
  <c r="AP55" i="1" s="1"/>
  <c r="BB55" i="1" s="1"/>
  <c r="CB55" i="1"/>
  <c r="BP31" i="1"/>
  <c r="AC31" i="1"/>
  <c r="AD31" i="1" s="1"/>
  <c r="AX31" i="1" s="1"/>
  <c r="EN22" i="1"/>
  <c r="DA22" i="1"/>
  <c r="DB22" i="1" s="1"/>
  <c r="DR22" i="1" s="1"/>
  <c r="EQ13" i="1"/>
  <c r="DD13" i="1"/>
  <c r="DE13" i="1" s="1"/>
  <c r="DS13" i="1" s="1"/>
  <c r="AI24" i="1"/>
  <c r="AJ24" i="1" s="1"/>
  <c r="AZ24" i="1" s="1"/>
  <c r="BV24" i="1"/>
  <c r="DV25" i="1"/>
  <c r="CI25" i="1"/>
  <c r="CJ25" i="1" s="1"/>
  <c r="DL25" i="1" s="1"/>
  <c r="CE17" i="1"/>
  <c r="AR17" i="1"/>
  <c r="AS17" i="1" s="1"/>
  <c r="BC17" i="1" s="1"/>
  <c r="BS12" i="1"/>
  <c r="AF12" i="1"/>
  <c r="AG12" i="1" s="1"/>
  <c r="AY12" i="1" s="1"/>
  <c r="EY71" i="1"/>
  <c r="EX71" i="1"/>
  <c r="DA29" i="1"/>
  <c r="DB29" i="1" s="1"/>
  <c r="DR29" i="1" s="1"/>
  <c r="EN29" i="1"/>
  <c r="DY34" i="1"/>
  <c r="CL34" i="1"/>
  <c r="CM34" i="1" s="1"/>
  <c r="DM34" i="1" s="1"/>
  <c r="EP16" i="1"/>
  <c r="EO16" i="1"/>
  <c r="CU9" i="1"/>
  <c r="CV9" i="1" s="1"/>
  <c r="DP9" i="1" s="1"/>
  <c r="EH9" i="1"/>
  <c r="CO3" i="1"/>
  <c r="CP3" i="1" s="1"/>
  <c r="DN3" i="1" s="1"/>
  <c r="EB3" i="1"/>
  <c r="DD10" i="1"/>
  <c r="DE10" i="1" s="1"/>
  <c r="DS10" i="1" s="1"/>
  <c r="EQ10" i="1"/>
  <c r="CX2" i="1"/>
  <c r="EK2" i="1"/>
  <c r="CL2" i="1"/>
  <c r="DY2" i="1"/>
  <c r="CX3" i="1"/>
  <c r="CY3" i="1" s="1"/>
  <c r="DQ3" i="1" s="1"/>
  <c r="EK3" i="1"/>
  <c r="BF25" i="1"/>
  <c r="BE25" i="1"/>
  <c r="EK15" i="1"/>
  <c r="CX15" i="1"/>
  <c r="CY15" i="1" s="1"/>
  <c r="DQ15" i="1" s="1"/>
  <c r="EY30" i="1"/>
  <c r="EX30" i="1"/>
  <c r="BL13" i="1"/>
  <c r="BK13" i="1"/>
  <c r="CA7" i="1"/>
  <c r="BZ7" i="1"/>
  <c r="CG35" i="1"/>
  <c r="CF35" i="1"/>
  <c r="BG6" i="1"/>
  <c r="T6" i="1"/>
  <c r="U6" i="1" s="1"/>
  <c r="AU6" i="1" s="1"/>
  <c r="BX13" i="1"/>
  <c r="BW13" i="1"/>
  <c r="BW37" i="1"/>
  <c r="BX37" i="1"/>
  <c r="BD5" i="1"/>
  <c r="Q5" i="1"/>
  <c r="R5" i="1" s="1"/>
  <c r="AT5" i="1" s="1"/>
  <c r="CR35" i="1"/>
  <c r="CS35" i="1" s="1"/>
  <c r="DO35" i="1" s="1"/>
  <c r="EE35" i="1"/>
  <c r="DJ23" i="1"/>
  <c r="DK23" i="1" s="1"/>
  <c r="DU23" i="1" s="1"/>
  <c r="EW23" i="1"/>
  <c r="EN5" i="1"/>
  <c r="DA5" i="1"/>
  <c r="DB5" i="1" s="1"/>
  <c r="DR5" i="1" s="1"/>
  <c r="DZ277" i="1"/>
  <c r="EA277" i="1"/>
  <c r="EK258" i="1"/>
  <c r="CX258" i="1"/>
  <c r="CY258" i="1" s="1"/>
  <c r="DQ258" i="1" s="1"/>
  <c r="AR255" i="1"/>
  <c r="AS255" i="1" s="1"/>
  <c r="BC255" i="1" s="1"/>
  <c r="CE255" i="1"/>
  <c r="EY251" i="1"/>
  <c r="EX251" i="1"/>
  <c r="EH236" i="1"/>
  <c r="CU236" i="1"/>
  <c r="CV236" i="1" s="1"/>
  <c r="DP236" i="1" s="1"/>
  <c r="Q243" i="1"/>
  <c r="R243" i="1" s="1"/>
  <c r="AT243" i="1" s="1"/>
  <c r="BD243" i="1"/>
  <c r="CL260" i="1"/>
  <c r="CM260" i="1" s="1"/>
  <c r="DM260" i="1" s="1"/>
  <c r="DY260" i="1"/>
  <c r="AC214" i="1"/>
  <c r="AD214" i="1" s="1"/>
  <c r="AX214" i="1" s="1"/>
  <c r="BP214" i="1"/>
  <c r="CU217" i="1"/>
  <c r="CV217" i="1" s="1"/>
  <c r="DP217" i="1" s="1"/>
  <c r="EH217" i="1"/>
  <c r="CI201" i="1"/>
  <c r="CJ201" i="1" s="1"/>
  <c r="DL201" i="1" s="1"/>
  <c r="DV201" i="1"/>
  <c r="DY207" i="1"/>
  <c r="CL207" i="1"/>
  <c r="CM207" i="1" s="1"/>
  <c r="DM207" i="1" s="1"/>
  <c r="EK175" i="1"/>
  <c r="CX175" i="1"/>
  <c r="CY175" i="1" s="1"/>
  <c r="DQ175" i="1" s="1"/>
  <c r="BM199" i="1"/>
  <c r="Z199" i="1"/>
  <c r="AA199" i="1" s="1"/>
  <c r="AW199" i="1" s="1"/>
  <c r="EX193" i="1"/>
  <c r="EY193" i="1"/>
  <c r="T178" i="1"/>
  <c r="U178" i="1" s="1"/>
  <c r="AU178" i="1" s="1"/>
  <c r="BG178" i="1"/>
  <c r="CU153" i="1"/>
  <c r="CV153" i="1" s="1"/>
  <c r="DP153" i="1" s="1"/>
  <c r="EH153" i="1"/>
  <c r="EE162" i="1"/>
  <c r="CR162" i="1"/>
  <c r="CS162" i="1" s="1"/>
  <c r="DO162" i="1" s="1"/>
  <c r="EY184" i="1"/>
  <c r="EX184" i="1"/>
  <c r="BG154" i="1"/>
  <c r="T154" i="1"/>
  <c r="U154" i="1" s="1"/>
  <c r="AU154" i="1" s="1"/>
  <c r="EK141" i="1"/>
  <c r="CX141" i="1"/>
  <c r="CY141" i="1" s="1"/>
  <c r="DQ141" i="1" s="1"/>
  <c r="BV133" i="1"/>
  <c r="AI133" i="1"/>
  <c r="AJ133" i="1" s="1"/>
  <c r="AZ133" i="1" s="1"/>
  <c r="BJ116" i="1"/>
  <c r="W116" i="1"/>
  <c r="X116" i="1" s="1"/>
  <c r="AV116" i="1" s="1"/>
  <c r="EK148" i="1"/>
  <c r="CX148" i="1"/>
  <c r="CY148" i="1" s="1"/>
  <c r="DQ148" i="1" s="1"/>
  <c r="BG114" i="1"/>
  <c r="T114" i="1"/>
  <c r="U114" i="1" s="1"/>
  <c r="AU114" i="1" s="1"/>
  <c r="EK99" i="1"/>
  <c r="CX99" i="1"/>
  <c r="CY99" i="1" s="1"/>
  <c r="DQ99" i="1" s="1"/>
  <c r="CR98" i="1"/>
  <c r="CS98" i="1" s="1"/>
  <c r="DO98" i="1" s="1"/>
  <c r="EE98" i="1"/>
  <c r="BH107" i="1"/>
  <c r="BI107" i="1"/>
  <c r="AF86" i="1"/>
  <c r="AG86" i="1" s="1"/>
  <c r="AY86" i="1" s="1"/>
  <c r="BS86" i="1"/>
  <c r="EB108" i="1"/>
  <c r="CO108" i="1"/>
  <c r="CP108" i="1" s="1"/>
  <c r="DN108" i="1" s="1"/>
  <c r="CG68" i="1"/>
  <c r="CF68" i="1"/>
  <c r="EV77" i="1"/>
  <c r="EU77" i="1"/>
  <c r="BS57" i="1"/>
  <c r="AF57" i="1"/>
  <c r="AG57" i="1" s="1"/>
  <c r="AY57" i="1" s="1"/>
  <c r="ET32" i="1"/>
  <c r="DG32" i="1"/>
  <c r="DH32" i="1" s="1"/>
  <c r="DT32" i="1" s="1"/>
  <c r="EH26" i="1"/>
  <c r="CU26" i="1"/>
  <c r="CV26" i="1" s="1"/>
  <c r="DP26" i="1" s="1"/>
  <c r="BS29" i="1"/>
  <c r="AF29" i="1"/>
  <c r="AG29" i="1" s="1"/>
  <c r="AY29" i="1" s="1"/>
  <c r="EV80" i="1"/>
  <c r="EU80" i="1"/>
  <c r="EH6" i="1"/>
  <c r="CU6" i="1"/>
  <c r="CV6" i="1" s="1"/>
  <c r="DP6" i="1" s="1"/>
  <c r="EN15" i="1"/>
  <c r="DA15" i="1"/>
  <c r="DB15" i="1" s="1"/>
  <c r="DR15" i="1" s="1"/>
  <c r="BR10" i="1"/>
  <c r="BQ10" i="1"/>
  <c r="EH3" i="1"/>
  <c r="CU3" i="1"/>
  <c r="CV3" i="1" s="1"/>
  <c r="DP3" i="1" s="1"/>
  <c r="ES22" i="1"/>
  <c r="ER22" i="1"/>
  <c r="W35" i="1"/>
  <c r="X35" i="1" s="1"/>
  <c r="AV35" i="1" s="1"/>
  <c r="BJ35" i="1"/>
  <c r="EI272" i="1"/>
  <c r="EJ272" i="1"/>
  <c r="DY265" i="1"/>
  <c r="CL265" i="1"/>
  <c r="CM265" i="1" s="1"/>
  <c r="DM265" i="1" s="1"/>
  <c r="CO270" i="1"/>
  <c r="CP270" i="1" s="1"/>
  <c r="DN270" i="1" s="1"/>
  <c r="EB270" i="1"/>
  <c r="EW258" i="1"/>
  <c r="DJ258" i="1"/>
  <c r="DK258" i="1" s="1"/>
  <c r="DU258" i="1" s="1"/>
  <c r="CL244" i="1"/>
  <c r="CM244" i="1" s="1"/>
  <c r="DM244" i="1" s="1"/>
  <c r="DY244" i="1"/>
  <c r="AO233" i="1"/>
  <c r="AP233" i="1" s="1"/>
  <c r="BB233" i="1" s="1"/>
  <c r="CB233" i="1"/>
  <c r="EQ260" i="1"/>
  <c r="DD260" i="1"/>
  <c r="DE260" i="1" s="1"/>
  <c r="DS260" i="1" s="1"/>
  <c r="AR226" i="1"/>
  <c r="AS226" i="1" s="1"/>
  <c r="BC226" i="1" s="1"/>
  <c r="CE226" i="1"/>
  <c r="BG223" i="1"/>
  <c r="T223" i="1"/>
  <c r="U223" i="1" s="1"/>
  <c r="AU223" i="1" s="1"/>
  <c r="DY223" i="1"/>
  <c r="CL223" i="1"/>
  <c r="CM223" i="1" s="1"/>
  <c r="DM223" i="1" s="1"/>
  <c r="DV214" i="1"/>
  <c r="CI214" i="1"/>
  <c r="CJ214" i="1" s="1"/>
  <c r="DL214" i="1" s="1"/>
  <c r="CO217" i="1"/>
  <c r="CP217" i="1" s="1"/>
  <c r="DN217" i="1" s="1"/>
  <c r="EB217" i="1"/>
  <c r="EQ211" i="1"/>
  <c r="DD211" i="1"/>
  <c r="DE211" i="1" s="1"/>
  <c r="DS211" i="1" s="1"/>
  <c r="DV198" i="1"/>
  <c r="CI198" i="1"/>
  <c r="CJ198" i="1" s="1"/>
  <c r="DL198" i="1" s="1"/>
  <c r="EW179" i="1"/>
  <c r="DJ179" i="1"/>
  <c r="DK179" i="1" s="1"/>
  <c r="DU179" i="1" s="1"/>
  <c r="DG189" i="1"/>
  <c r="DH189" i="1" s="1"/>
  <c r="DT189" i="1" s="1"/>
  <c r="ET189" i="1"/>
  <c r="DJ191" i="1"/>
  <c r="DK191" i="1" s="1"/>
  <c r="DU191" i="1" s="1"/>
  <c r="EW191" i="1"/>
  <c r="ET162" i="1"/>
  <c r="DG162" i="1"/>
  <c r="DH162" i="1" s="1"/>
  <c r="DT162" i="1" s="1"/>
  <c r="CL164" i="1"/>
  <c r="CM164" i="1" s="1"/>
  <c r="DM164" i="1" s="1"/>
  <c r="DY164" i="1"/>
  <c r="CR149" i="1"/>
  <c r="CS149" i="1" s="1"/>
  <c r="DO149" i="1" s="1"/>
  <c r="EE149" i="1"/>
  <c r="EB115" i="1"/>
  <c r="CO115" i="1"/>
  <c r="CP115" i="1" s="1"/>
  <c r="DN115" i="1" s="1"/>
  <c r="EW141" i="1"/>
  <c r="DJ141" i="1"/>
  <c r="DK141" i="1" s="1"/>
  <c r="DU141" i="1" s="1"/>
  <c r="ET130" i="1"/>
  <c r="DG130" i="1"/>
  <c r="DH130" i="1" s="1"/>
  <c r="DT130" i="1" s="1"/>
  <c r="AO117" i="1"/>
  <c r="AP117" i="1" s="1"/>
  <c r="BB117" i="1" s="1"/>
  <c r="CB117" i="1"/>
  <c r="ET111" i="1"/>
  <c r="DG111" i="1"/>
  <c r="DH111" i="1" s="1"/>
  <c r="DT111" i="1" s="1"/>
  <c r="EP120" i="1"/>
  <c r="EO120" i="1"/>
  <c r="EW106" i="1"/>
  <c r="DJ106" i="1"/>
  <c r="DK106" i="1" s="1"/>
  <c r="DU106" i="1" s="1"/>
  <c r="BV109" i="1"/>
  <c r="AI109" i="1"/>
  <c r="AJ109" i="1" s="1"/>
  <c r="AZ109" i="1" s="1"/>
  <c r="BS97" i="1"/>
  <c r="AF97" i="1"/>
  <c r="AG97" i="1" s="1"/>
  <c r="AY97" i="1" s="1"/>
  <c r="EQ84" i="1"/>
  <c r="DD84" i="1"/>
  <c r="DE84" i="1" s="1"/>
  <c r="DS84" i="1" s="1"/>
  <c r="CU89" i="1"/>
  <c r="CV89" i="1" s="1"/>
  <c r="DP89" i="1" s="1"/>
  <c r="EH89" i="1"/>
  <c r="EN72" i="1"/>
  <c r="DA72" i="1"/>
  <c r="DB72" i="1" s="1"/>
  <c r="DR72" i="1" s="1"/>
  <c r="T77" i="1"/>
  <c r="U77" i="1" s="1"/>
  <c r="AU77" i="1" s="1"/>
  <c r="BG77" i="1"/>
  <c r="EQ108" i="1"/>
  <c r="DD108" i="1"/>
  <c r="DE108" i="1" s="1"/>
  <c r="DS108" i="1" s="1"/>
  <c r="BD68" i="1"/>
  <c r="Q68" i="1"/>
  <c r="R68" i="1" s="1"/>
  <c r="AT68" i="1" s="1"/>
  <c r="BD80" i="1"/>
  <c r="Q80" i="1"/>
  <c r="R80" i="1" s="1"/>
  <c r="AT80" i="1" s="1"/>
  <c r="EV86" i="1"/>
  <c r="EU86" i="1"/>
  <c r="AC59" i="1"/>
  <c r="AD59" i="1" s="1"/>
  <c r="AX59" i="1" s="1"/>
  <c r="BP59" i="1"/>
  <c r="CU38" i="1"/>
  <c r="CV38" i="1" s="1"/>
  <c r="DP38" i="1" s="1"/>
  <c r="EH38" i="1"/>
  <c r="EK48" i="1"/>
  <c r="CX48" i="1"/>
  <c r="CY48" i="1" s="1"/>
  <c r="DQ48" i="1" s="1"/>
  <c r="EM62" i="1"/>
  <c r="EL62" i="1"/>
  <c r="CG59" i="1"/>
  <c r="CF59" i="1"/>
  <c r="T21" i="1"/>
  <c r="U21" i="1" s="1"/>
  <c r="AU21" i="1" s="1"/>
  <c r="BG21" i="1"/>
  <c r="BU49" i="1"/>
  <c r="BT49" i="1"/>
  <c r="DG7" i="1"/>
  <c r="DH7" i="1" s="1"/>
  <c r="DT7" i="1" s="1"/>
  <c r="ET7" i="1"/>
  <c r="BY21" i="1"/>
  <c r="AL21" i="1"/>
  <c r="AM21" i="1" s="1"/>
  <c r="BA21" i="1" s="1"/>
  <c r="EN34" i="1"/>
  <c r="DA34" i="1"/>
  <c r="DB34" i="1" s="1"/>
  <c r="DR34" i="1" s="1"/>
  <c r="BP9" i="1"/>
  <c r="AC9" i="1"/>
  <c r="AD9" i="1" s="1"/>
  <c r="AX9" i="1" s="1"/>
  <c r="DG5" i="1"/>
  <c r="DH5" i="1" s="1"/>
  <c r="DT5" i="1" s="1"/>
  <c r="ET5" i="1"/>
  <c r="EF292" i="1"/>
  <c r="EG292" i="1"/>
  <c r="EL298" i="1"/>
  <c r="EM298" i="1"/>
  <c r="DJ271" i="1"/>
  <c r="DK271" i="1" s="1"/>
  <c r="DU271" i="1" s="1"/>
  <c r="EW271" i="1"/>
  <c r="DD270" i="1"/>
  <c r="DE270" i="1" s="1"/>
  <c r="DS270" i="1" s="1"/>
  <c r="EQ270" i="1"/>
  <c r="W267" i="1"/>
  <c r="X267" i="1" s="1"/>
  <c r="AV267" i="1" s="1"/>
  <c r="BJ267" i="1"/>
  <c r="ET258" i="1"/>
  <c r="DG258" i="1"/>
  <c r="DH258" i="1" s="1"/>
  <c r="DT258" i="1" s="1"/>
  <c r="CB254" i="1"/>
  <c r="AO254" i="1"/>
  <c r="AP254" i="1" s="1"/>
  <c r="BB254" i="1" s="1"/>
  <c r="DV254" i="1"/>
  <c r="CI254" i="1"/>
  <c r="CJ254" i="1" s="1"/>
  <c r="DL254" i="1" s="1"/>
  <c r="CU255" i="1"/>
  <c r="CV255" i="1" s="1"/>
  <c r="DP255" i="1" s="1"/>
  <c r="EH255" i="1"/>
  <c r="EB257" i="1"/>
  <c r="CO257" i="1"/>
  <c r="CP257" i="1" s="1"/>
  <c r="DN257" i="1" s="1"/>
  <c r="AF244" i="1"/>
  <c r="AG244" i="1" s="1"/>
  <c r="AY244" i="1" s="1"/>
  <c r="BS244" i="1"/>
  <c r="AC242" i="1"/>
  <c r="AD242" i="1" s="1"/>
  <c r="AX242" i="1" s="1"/>
  <c r="BP242" i="1"/>
  <c r="EN246" i="1"/>
  <c r="DA246" i="1"/>
  <c r="DB246" i="1" s="1"/>
  <c r="DR246" i="1" s="1"/>
  <c r="EK237" i="1"/>
  <c r="CX237" i="1"/>
  <c r="CY237" i="1" s="1"/>
  <c r="DQ237" i="1" s="1"/>
  <c r="EB243" i="1"/>
  <c r="CO243" i="1"/>
  <c r="CP243" i="1" s="1"/>
  <c r="DN243" i="1" s="1"/>
  <c r="CL233" i="1"/>
  <c r="CM233" i="1" s="1"/>
  <c r="DM233" i="1" s="1"/>
  <c r="DY233" i="1"/>
  <c r="Z260" i="1"/>
  <c r="AA260" i="1" s="1"/>
  <c r="AW260" i="1" s="1"/>
  <c r="BM260" i="1"/>
  <c r="BS237" i="1"/>
  <c r="AF237" i="1"/>
  <c r="AG237" i="1" s="1"/>
  <c r="AY237" i="1" s="1"/>
  <c r="DD227" i="1"/>
  <c r="DE227" i="1" s="1"/>
  <c r="DS227" i="1" s="1"/>
  <c r="EQ227" i="1"/>
  <c r="BD229" i="1"/>
  <c r="Q229" i="1"/>
  <c r="R229" i="1" s="1"/>
  <c r="AT229" i="1" s="1"/>
  <c r="CI228" i="1"/>
  <c r="CJ228" i="1" s="1"/>
  <c r="DL228" i="1" s="1"/>
  <c r="DV228" i="1"/>
  <c r="EG224" i="1"/>
  <c r="EF224" i="1"/>
  <c r="CI221" i="1"/>
  <c r="CJ221" i="1" s="1"/>
  <c r="DL221" i="1" s="1"/>
  <c r="DV221" i="1"/>
  <c r="W219" i="1"/>
  <c r="X219" i="1" s="1"/>
  <c r="AV219" i="1" s="1"/>
  <c r="BJ219" i="1"/>
  <c r="Z200" i="1"/>
  <c r="AA200" i="1" s="1"/>
  <c r="AW200" i="1" s="1"/>
  <c r="BM200" i="1"/>
  <c r="CI202" i="1"/>
  <c r="CJ202" i="1" s="1"/>
  <c r="DL202" i="1" s="1"/>
  <c r="DV202" i="1"/>
  <c r="BD212" i="1"/>
  <c r="Q212" i="1"/>
  <c r="R212" i="1" s="1"/>
  <c r="AT212" i="1" s="1"/>
  <c r="EK212" i="1"/>
  <c r="CX212" i="1"/>
  <c r="CY212" i="1" s="1"/>
  <c r="DQ212" i="1" s="1"/>
  <c r="Q271" i="1"/>
  <c r="R271" i="1" s="1"/>
  <c r="AT271" i="1" s="1"/>
  <c r="BD271" i="1"/>
  <c r="BJ268" i="1"/>
  <c r="W268" i="1"/>
  <c r="X268" i="1" s="1"/>
  <c r="AV268" i="1" s="1"/>
  <c r="EW267" i="1"/>
  <c r="DJ267" i="1"/>
  <c r="DK267" i="1" s="1"/>
  <c r="DU267" i="1" s="1"/>
  <c r="ET252" i="1"/>
  <c r="DG252" i="1"/>
  <c r="DH252" i="1" s="1"/>
  <c r="DT252" i="1" s="1"/>
  <c r="CI241" i="1"/>
  <c r="CJ241" i="1" s="1"/>
  <c r="DL241" i="1" s="1"/>
  <c r="DV241" i="1"/>
  <c r="CE245" i="1"/>
  <c r="AR245" i="1"/>
  <c r="AS245" i="1" s="1"/>
  <c r="BC245" i="1" s="1"/>
  <c r="BF245" i="1"/>
  <c r="BE245" i="1"/>
  <c r="BJ250" i="1"/>
  <c r="W250" i="1"/>
  <c r="X250" i="1" s="1"/>
  <c r="AV250" i="1" s="1"/>
  <c r="EH243" i="1"/>
  <c r="CU243" i="1"/>
  <c r="CV243" i="1" s="1"/>
  <c r="DP243" i="1" s="1"/>
  <c r="BG233" i="1"/>
  <c r="T233" i="1"/>
  <c r="U233" i="1" s="1"/>
  <c r="AU233" i="1" s="1"/>
  <c r="CI226" i="1"/>
  <c r="CJ226" i="1" s="1"/>
  <c r="DL226" i="1" s="1"/>
  <c r="DV226" i="1"/>
  <c r="EK227" i="1"/>
  <c r="CX227" i="1"/>
  <c r="CY227" i="1" s="1"/>
  <c r="DQ227" i="1" s="1"/>
  <c r="BR229" i="1"/>
  <c r="BQ229" i="1"/>
  <c r="BM217" i="1"/>
  <c r="Z217" i="1"/>
  <c r="AA217" i="1" s="1"/>
  <c r="AW217" i="1" s="1"/>
  <c r="CE220" i="1"/>
  <c r="AR220" i="1"/>
  <c r="AS220" i="1" s="1"/>
  <c r="BC220" i="1" s="1"/>
  <c r="CI204" i="1"/>
  <c r="CJ204" i="1" s="1"/>
  <c r="DL204" i="1" s="1"/>
  <c r="DV204" i="1"/>
  <c r="BG189" i="1"/>
  <c r="T189" i="1"/>
  <c r="U189" i="1" s="1"/>
  <c r="AU189" i="1" s="1"/>
  <c r="EN199" i="1"/>
  <c r="DA199" i="1"/>
  <c r="DB199" i="1" s="1"/>
  <c r="DR199" i="1" s="1"/>
  <c r="BY198" i="1"/>
  <c r="AL198" i="1"/>
  <c r="AM198" i="1" s="1"/>
  <c r="BA198" i="1" s="1"/>
  <c r="EH176" i="1"/>
  <c r="CU176" i="1"/>
  <c r="CV176" i="1" s="1"/>
  <c r="DP176" i="1" s="1"/>
  <c r="Z193" i="1"/>
  <c r="AA193" i="1" s="1"/>
  <c r="AW193" i="1" s="1"/>
  <c r="BM193" i="1"/>
  <c r="AC185" i="1"/>
  <c r="AD185" i="1" s="1"/>
  <c r="AX185" i="1" s="1"/>
  <c r="BP185" i="1"/>
  <c r="W182" i="1"/>
  <c r="X182" i="1" s="1"/>
  <c r="AV182" i="1" s="1"/>
  <c r="BJ182" i="1"/>
  <c r="EB171" i="1"/>
  <c r="CO171" i="1"/>
  <c r="CP171" i="1" s="1"/>
  <c r="DN171" i="1" s="1"/>
  <c r="CB149" i="1"/>
  <c r="AO149" i="1"/>
  <c r="AP149" i="1" s="1"/>
  <c r="BB149" i="1" s="1"/>
  <c r="CI140" i="1"/>
  <c r="CJ140" i="1" s="1"/>
  <c r="DL140" i="1" s="1"/>
  <c r="DV140" i="1"/>
  <c r="DV141" i="1"/>
  <c r="CI141" i="1"/>
  <c r="CJ141" i="1" s="1"/>
  <c r="DL141" i="1" s="1"/>
  <c r="AR120" i="1"/>
  <c r="AS120" i="1" s="1"/>
  <c r="BC120" i="1" s="1"/>
  <c r="CE120" i="1"/>
  <c r="CA185" i="1"/>
  <c r="BZ185" i="1"/>
  <c r="BF145" i="1"/>
  <c r="BE145" i="1"/>
  <c r="W117" i="1"/>
  <c r="X117" i="1" s="1"/>
  <c r="AV117" i="1" s="1"/>
  <c r="BJ117" i="1"/>
  <c r="EH113" i="1"/>
  <c r="CU113" i="1"/>
  <c r="CV113" i="1" s="1"/>
  <c r="DP113" i="1" s="1"/>
  <c r="CL119" i="1"/>
  <c r="CM119" i="1" s="1"/>
  <c r="DM119" i="1" s="1"/>
  <c r="DY119" i="1"/>
  <c r="CI148" i="1"/>
  <c r="CJ148" i="1" s="1"/>
  <c r="DL148" i="1" s="1"/>
  <c r="DV148" i="1"/>
  <c r="EH87" i="1"/>
  <c r="CU87" i="1"/>
  <c r="CV87" i="1" s="1"/>
  <c r="DP87" i="1" s="1"/>
  <c r="BV102" i="1"/>
  <c r="AI102" i="1"/>
  <c r="AJ102" i="1" s="1"/>
  <c r="AZ102" i="1" s="1"/>
  <c r="BM95" i="1"/>
  <c r="Z95" i="1"/>
  <c r="AA95" i="1" s="1"/>
  <c r="AW95" i="1" s="1"/>
  <c r="BS74" i="1"/>
  <c r="AF74" i="1"/>
  <c r="AG74" i="1" s="1"/>
  <c r="AY74" i="1" s="1"/>
  <c r="DY98" i="1"/>
  <c r="CL98" i="1"/>
  <c r="CM98" i="1" s="1"/>
  <c r="DM98" i="1" s="1"/>
  <c r="DY81" i="1"/>
  <c r="CL81" i="1"/>
  <c r="CM81" i="1" s="1"/>
  <c r="DM81" i="1" s="1"/>
  <c r="EQ88" i="1"/>
  <c r="DD88" i="1"/>
  <c r="DE88" i="1" s="1"/>
  <c r="DS88" i="1" s="1"/>
  <c r="BF100" i="1"/>
  <c r="BE100" i="1"/>
  <c r="BY63" i="1"/>
  <c r="AL63" i="1"/>
  <c r="AM63" i="1" s="1"/>
  <c r="BA63" i="1" s="1"/>
  <c r="CF87" i="1"/>
  <c r="CG87" i="1"/>
  <c r="AI60" i="1"/>
  <c r="AJ60" i="1" s="1"/>
  <c r="AZ60" i="1" s="1"/>
  <c r="BV60" i="1"/>
  <c r="EA78" i="1"/>
  <c r="DZ78" i="1"/>
  <c r="EE59" i="1"/>
  <c r="CR59" i="1"/>
  <c r="CS59" i="1" s="1"/>
  <c r="DO59" i="1" s="1"/>
  <c r="CF130" i="1"/>
  <c r="CG130" i="1"/>
  <c r="W51" i="1"/>
  <c r="X51" i="1" s="1"/>
  <c r="AV51" i="1" s="1"/>
  <c r="BJ51" i="1"/>
  <c r="DV11" i="1"/>
  <c r="CI11" i="1"/>
  <c r="CJ11" i="1" s="1"/>
  <c r="DL11" i="1" s="1"/>
  <c r="DG17" i="1"/>
  <c r="DH17" i="1" s="1"/>
  <c r="DT17" i="1" s="1"/>
  <c r="ET17" i="1"/>
  <c r="EW55" i="1"/>
  <c r="DJ55" i="1"/>
  <c r="DK55" i="1" s="1"/>
  <c r="DU55" i="1" s="1"/>
  <c r="DJ18" i="1"/>
  <c r="DK18" i="1" s="1"/>
  <c r="DU18" i="1" s="1"/>
  <c r="EW18" i="1"/>
  <c r="CE24" i="1"/>
  <c r="AR24" i="1"/>
  <c r="AS24" i="1" s="1"/>
  <c r="BC24" i="1" s="1"/>
  <c r="CA22" i="1"/>
  <c r="BZ22" i="1"/>
  <c r="AR9" i="1"/>
  <c r="AS9" i="1" s="1"/>
  <c r="BC9" i="1" s="1"/>
  <c r="CE9" i="1"/>
  <c r="BX18" i="1"/>
  <c r="BW18" i="1"/>
  <c r="Q2" i="1"/>
  <c r="BD2" i="1"/>
  <c r="BD15" i="1"/>
  <c r="Q15" i="1"/>
  <c r="R15" i="1" s="1"/>
  <c r="AT15" i="1" s="1"/>
  <c r="DG3" i="1"/>
  <c r="DH3" i="1" s="1"/>
  <c r="DT3" i="1" s="1"/>
  <c r="ET3" i="1"/>
  <c r="ED28" i="1"/>
  <c r="EC28" i="1"/>
  <c r="AO35" i="1"/>
  <c r="AP35" i="1" s="1"/>
  <c r="BB35" i="1" s="1"/>
  <c r="CB35" i="1"/>
  <c r="BY23" i="1"/>
  <c r="AL23" i="1"/>
  <c r="AM23" i="1" s="1"/>
  <c r="BA23" i="1" s="1"/>
  <c r="EA11" i="1"/>
  <c r="DZ11" i="1"/>
  <c r="BV2" i="1"/>
  <c r="AI2" i="1"/>
  <c r="DY5" i="1"/>
  <c r="CL5" i="1"/>
  <c r="CM5" i="1" s="1"/>
  <c r="DM5" i="1" s="1"/>
  <c r="BP269" i="1"/>
  <c r="AC269" i="1"/>
  <c r="AD269" i="1" s="1"/>
  <c r="AX269" i="1" s="1"/>
  <c r="EC289" i="1"/>
  <c r="ED289" i="1"/>
  <c r="EM291" i="1"/>
  <c r="EL291" i="1"/>
  <c r="EY291" i="1"/>
  <c r="EX291" i="1"/>
  <c r="EV280" i="1"/>
  <c r="EU280" i="1"/>
  <c r="EA290" i="1"/>
  <c r="DZ290" i="1"/>
  <c r="EA285" i="1"/>
  <c r="DZ285" i="1"/>
  <c r="ER292" i="1"/>
  <c r="ES292" i="1"/>
  <c r="CB269" i="1"/>
  <c r="AO269" i="1"/>
  <c r="AP269" i="1" s="1"/>
  <c r="BB269" i="1" s="1"/>
  <c r="EA279" i="1"/>
  <c r="DZ279" i="1"/>
  <c r="EH271" i="1"/>
  <c r="CU271" i="1"/>
  <c r="CV271" i="1" s="1"/>
  <c r="DP271" i="1" s="1"/>
  <c r="EQ266" i="1"/>
  <c r="DD266" i="1"/>
  <c r="DE266" i="1" s="1"/>
  <c r="DS266" i="1" s="1"/>
  <c r="EH265" i="1"/>
  <c r="CU265" i="1"/>
  <c r="CV265" i="1" s="1"/>
  <c r="DP265" i="1" s="1"/>
  <c r="T268" i="1"/>
  <c r="U268" i="1" s="1"/>
  <c r="AU268" i="1" s="1"/>
  <c r="BG268" i="1"/>
  <c r="BY268" i="1"/>
  <c r="AL268" i="1"/>
  <c r="AM268" i="1" s="1"/>
  <c r="BA268" i="1" s="1"/>
  <c r="AF270" i="1"/>
  <c r="AG270" i="1" s="1"/>
  <c r="AY270" i="1" s="1"/>
  <c r="BS270" i="1"/>
  <c r="DY267" i="1"/>
  <c r="CL267" i="1"/>
  <c r="CM267" i="1" s="1"/>
  <c r="DM267" i="1" s="1"/>
  <c r="BD267" i="1"/>
  <c r="Q267" i="1"/>
  <c r="R267" i="1" s="1"/>
  <c r="AT267" i="1" s="1"/>
  <c r="CR267" i="1"/>
  <c r="CS267" i="1" s="1"/>
  <c r="DO267" i="1" s="1"/>
  <c r="EE267" i="1"/>
  <c r="BD262" i="1"/>
  <c r="Q262" i="1"/>
  <c r="R262" i="1" s="1"/>
  <c r="AT262" i="1" s="1"/>
  <c r="EQ263" i="1"/>
  <c r="DD263" i="1"/>
  <c r="DE263" i="1" s="1"/>
  <c r="DS263" i="1" s="1"/>
  <c r="AO258" i="1"/>
  <c r="AP258" i="1" s="1"/>
  <c r="BB258" i="1" s="1"/>
  <c r="CB258" i="1"/>
  <c r="W263" i="1"/>
  <c r="X263" i="1" s="1"/>
  <c r="AV263" i="1" s="1"/>
  <c r="BJ263" i="1"/>
  <c r="EW263" i="1"/>
  <c r="DJ263" i="1"/>
  <c r="DK263" i="1" s="1"/>
  <c r="DU263" i="1" s="1"/>
  <c r="EN264" i="1"/>
  <c r="DA264" i="1"/>
  <c r="DB264" i="1" s="1"/>
  <c r="DR264" i="1" s="1"/>
  <c r="BP256" i="1"/>
  <c r="AC256" i="1"/>
  <c r="AD256" i="1" s="1"/>
  <c r="AX256" i="1" s="1"/>
  <c r="BD259" i="1"/>
  <c r="Q259" i="1"/>
  <c r="R259" i="1" s="1"/>
  <c r="AT259" i="1" s="1"/>
  <c r="BV259" i="1"/>
  <c r="AI259" i="1"/>
  <c r="AJ259" i="1" s="1"/>
  <c r="AZ259" i="1" s="1"/>
  <c r="EJ259" i="1"/>
  <c r="EI259" i="1"/>
  <c r="T255" i="1"/>
  <c r="U255" i="1" s="1"/>
  <c r="AU255" i="1" s="1"/>
  <c r="BG255" i="1"/>
  <c r="Q257" i="1"/>
  <c r="R257" i="1" s="1"/>
  <c r="AT257" i="1" s="1"/>
  <c r="BD257" i="1"/>
  <c r="DY249" i="1"/>
  <c r="CL249" i="1"/>
  <c r="CM249" i="1" s="1"/>
  <c r="DM249" i="1" s="1"/>
  <c r="CX257" i="1"/>
  <c r="CY257" i="1" s="1"/>
  <c r="DQ257" i="1" s="1"/>
  <c r="EK257" i="1"/>
  <c r="CU249" i="1"/>
  <c r="CV249" i="1" s="1"/>
  <c r="DP249" i="1" s="1"/>
  <c r="EH249" i="1"/>
  <c r="BM251" i="1"/>
  <c r="Z251" i="1"/>
  <c r="AA251" i="1" s="1"/>
  <c r="AW251" i="1" s="1"/>
  <c r="T246" i="1"/>
  <c r="U246" i="1" s="1"/>
  <c r="AU246" i="1" s="1"/>
  <c r="BG246" i="1"/>
  <c r="DG242" i="1"/>
  <c r="DH242" i="1" s="1"/>
  <c r="DT242" i="1" s="1"/>
  <c r="ET242" i="1"/>
  <c r="EE246" i="1"/>
  <c r="CR246" i="1"/>
  <c r="CS246" i="1" s="1"/>
  <c r="DO246" i="1" s="1"/>
  <c r="EY257" i="1"/>
  <c r="EX257" i="1"/>
  <c r="CC247" i="1"/>
  <c r="CD247" i="1"/>
  <c r="BL242" i="1"/>
  <c r="BK242" i="1"/>
  <c r="BG253" i="1"/>
  <c r="T253" i="1"/>
  <c r="U253" i="1" s="1"/>
  <c r="AU253" i="1" s="1"/>
  <c r="CX253" i="1"/>
  <c r="CY253" i="1" s="1"/>
  <c r="DQ253" i="1" s="1"/>
  <c r="EK253" i="1"/>
  <c r="BG250" i="1"/>
  <c r="T250" i="1"/>
  <c r="U250" i="1" s="1"/>
  <c r="AU250" i="1" s="1"/>
  <c r="AO250" i="1"/>
  <c r="AP250" i="1" s="1"/>
  <c r="BB250" i="1" s="1"/>
  <c r="CB250" i="1"/>
  <c r="AC236" i="1"/>
  <c r="AD236" i="1" s="1"/>
  <c r="AX236" i="1" s="1"/>
  <c r="BP236" i="1"/>
  <c r="AF225" i="1"/>
  <c r="AG225" i="1" s="1"/>
  <c r="AY225" i="1" s="1"/>
  <c r="BS225" i="1"/>
  <c r="CR238" i="1"/>
  <c r="CS238" i="1" s="1"/>
  <c r="DO238" i="1" s="1"/>
  <c r="EE238" i="1"/>
  <c r="BP231" i="1"/>
  <c r="AC231" i="1"/>
  <c r="AD231" i="1" s="1"/>
  <c r="AX231" i="1" s="1"/>
  <c r="BY243" i="1"/>
  <c r="AL243" i="1"/>
  <c r="AM243" i="1" s="1"/>
  <c r="BA243" i="1" s="1"/>
  <c r="AP235" i="1"/>
  <c r="CR233" i="1"/>
  <c r="CS233" i="1" s="1"/>
  <c r="DO233" i="1" s="1"/>
  <c r="EE233" i="1"/>
  <c r="AI232" i="1"/>
  <c r="AJ232" i="1" s="1"/>
  <c r="AZ232" i="1" s="1"/>
  <c r="BV232" i="1"/>
  <c r="BH242" i="1"/>
  <c r="BI242" i="1"/>
  <c r="CX260" i="1"/>
  <c r="CY260" i="1" s="1"/>
  <c r="DQ260" i="1" s="1"/>
  <c r="EK260" i="1"/>
  <c r="AR260" i="1"/>
  <c r="AS260" i="1" s="1"/>
  <c r="BC260" i="1" s="1"/>
  <c r="CE260" i="1"/>
  <c r="AF230" i="1"/>
  <c r="AG230" i="1" s="1"/>
  <c r="AY230" i="1" s="1"/>
  <c r="BS230" i="1"/>
  <c r="CG244" i="1"/>
  <c r="CF244" i="1"/>
  <c r="EW237" i="1"/>
  <c r="DJ237" i="1"/>
  <c r="DK237" i="1" s="1"/>
  <c r="DU237" i="1" s="1"/>
  <c r="CF242" i="1"/>
  <c r="CG242" i="1"/>
  <c r="DX238" i="1"/>
  <c r="DW238" i="1"/>
  <c r="CB226" i="1"/>
  <c r="AO226" i="1"/>
  <c r="AP226" i="1" s="1"/>
  <c r="BB226" i="1" s="1"/>
  <c r="AR216" i="1"/>
  <c r="AS216" i="1" s="1"/>
  <c r="BC216" i="1" s="1"/>
  <c r="CE216" i="1"/>
  <c r="CB229" i="1"/>
  <c r="AO229" i="1"/>
  <c r="AP229" i="1" s="1"/>
  <c r="BB229" i="1" s="1"/>
  <c r="CI227" i="1"/>
  <c r="CJ227" i="1" s="1"/>
  <c r="DL227" i="1" s="1"/>
  <c r="DV227" i="1"/>
  <c r="BJ223" i="1"/>
  <c r="W223" i="1"/>
  <c r="X223" i="1" s="1"/>
  <c r="AV223" i="1" s="1"/>
  <c r="EH216" i="1"/>
  <c r="CU216" i="1"/>
  <c r="CV216" i="1" s="1"/>
  <c r="DP216" i="1" s="1"/>
  <c r="AJ248" i="1"/>
  <c r="Q223" i="1"/>
  <c r="R223" i="1" s="1"/>
  <c r="AT223" i="1" s="1"/>
  <c r="BD223" i="1"/>
  <c r="BG214" i="1"/>
  <c r="T214" i="1"/>
  <c r="U214" i="1" s="1"/>
  <c r="AU214" i="1" s="1"/>
  <c r="AF215" i="1"/>
  <c r="AG215" i="1" s="1"/>
  <c r="AY215" i="1" s="1"/>
  <c r="BS215" i="1"/>
  <c r="EB210" i="1"/>
  <c r="CO210" i="1"/>
  <c r="CP210" i="1" s="1"/>
  <c r="DN210" i="1" s="1"/>
  <c r="T210" i="1"/>
  <c r="U210" i="1" s="1"/>
  <c r="AU210" i="1" s="1"/>
  <c r="BG210" i="1"/>
  <c r="EJ231" i="1"/>
  <c r="EI231" i="1"/>
  <c r="CU221" i="1"/>
  <c r="CV221" i="1" s="1"/>
  <c r="DP221" i="1" s="1"/>
  <c r="EH221" i="1"/>
  <c r="EN221" i="1"/>
  <c r="DA221" i="1"/>
  <c r="DB221" i="1" s="1"/>
  <c r="DR221" i="1" s="1"/>
  <c r="AO219" i="1"/>
  <c r="AP219" i="1" s="1"/>
  <c r="BB219" i="1" s="1"/>
  <c r="CB219" i="1"/>
  <c r="EE220" i="1"/>
  <c r="CR220" i="1"/>
  <c r="CS220" i="1" s="1"/>
  <c r="DO220" i="1" s="1"/>
  <c r="BG219" i="1"/>
  <c r="T219" i="1"/>
  <c r="U219" i="1" s="1"/>
  <c r="AU219" i="1" s="1"/>
  <c r="T217" i="1"/>
  <c r="U217" i="1" s="1"/>
  <c r="AU217" i="1" s="1"/>
  <c r="BG217" i="1"/>
  <c r="ET210" i="1"/>
  <c r="DG210" i="1"/>
  <c r="DH210" i="1" s="1"/>
  <c r="DT210" i="1" s="1"/>
  <c r="CD210" i="1"/>
  <c r="CC210" i="1"/>
  <c r="BD202" i="1"/>
  <c r="Q202" i="1"/>
  <c r="R202" i="1" s="1"/>
  <c r="AT202" i="1" s="1"/>
  <c r="BG208" i="1"/>
  <c r="T208" i="1"/>
  <c r="U208" i="1" s="1"/>
  <c r="AU208" i="1" s="1"/>
  <c r="DJ203" i="1"/>
  <c r="DK203" i="1" s="1"/>
  <c r="DU203" i="1" s="1"/>
  <c r="EW203" i="1"/>
  <c r="BD206" i="1"/>
  <c r="Q206" i="1"/>
  <c r="R206" i="1" s="1"/>
  <c r="AT206" i="1" s="1"/>
  <c r="CO211" i="1"/>
  <c r="CP211" i="1" s="1"/>
  <c r="DN211" i="1" s="1"/>
  <c r="EB211" i="1"/>
  <c r="DJ212" i="1"/>
  <c r="DK212" i="1" s="1"/>
  <c r="DU212" i="1" s="1"/>
  <c r="EW212" i="1"/>
  <c r="DJ208" i="1"/>
  <c r="DK208" i="1" s="1"/>
  <c r="DU208" i="1" s="1"/>
  <c r="EW208" i="1"/>
  <c r="AC207" i="1"/>
  <c r="AD207" i="1" s="1"/>
  <c r="AX207" i="1" s="1"/>
  <c r="BP207" i="1"/>
  <c r="DA206" i="1"/>
  <c r="DB206" i="1" s="1"/>
  <c r="DR206" i="1" s="1"/>
  <c r="EN206" i="1"/>
  <c r="EM216" i="1"/>
  <c r="EL216" i="1"/>
  <c r="EE203" i="1"/>
  <c r="CR203" i="1"/>
  <c r="CS203" i="1" s="1"/>
  <c r="DO203" i="1" s="1"/>
  <c r="CR218" i="1"/>
  <c r="CS218" i="1" s="1"/>
  <c r="DO218" i="1" s="1"/>
  <c r="EE218" i="1"/>
  <c r="BM197" i="1"/>
  <c r="Z197" i="1"/>
  <c r="AA197" i="1" s="1"/>
  <c r="AW197" i="1" s="1"/>
  <c r="EA206" i="1"/>
  <c r="DZ206" i="1"/>
  <c r="EA211" i="1"/>
  <c r="DZ211" i="1"/>
  <c r="BG197" i="1"/>
  <c r="T197" i="1"/>
  <c r="U197" i="1" s="1"/>
  <c r="AU197" i="1" s="1"/>
  <c r="ER195" i="1"/>
  <c r="ES195" i="1"/>
  <c r="BS177" i="1"/>
  <c r="AF177" i="1"/>
  <c r="AG177" i="1" s="1"/>
  <c r="AY177" i="1" s="1"/>
  <c r="DG184" i="1"/>
  <c r="DH184" i="1" s="1"/>
  <c r="DT184" i="1" s="1"/>
  <c r="ET184" i="1"/>
  <c r="CI173" i="1"/>
  <c r="CJ173" i="1" s="1"/>
  <c r="DL173" i="1" s="1"/>
  <c r="DV173" i="1"/>
  <c r="CR199" i="1"/>
  <c r="CS199" i="1" s="1"/>
  <c r="DO199" i="1" s="1"/>
  <c r="EE199" i="1"/>
  <c r="AF187" i="1"/>
  <c r="AG187" i="1" s="1"/>
  <c r="AY187" i="1" s="1"/>
  <c r="BS187" i="1"/>
  <c r="CX198" i="1"/>
  <c r="CY198" i="1" s="1"/>
  <c r="DQ198" i="1" s="1"/>
  <c r="EK198" i="1"/>
  <c r="AF190" i="1"/>
  <c r="AG190" i="1" s="1"/>
  <c r="AY190" i="1" s="1"/>
  <c r="BS190" i="1"/>
  <c r="CE184" i="1"/>
  <c r="AR184" i="1"/>
  <c r="AS184" i="1" s="1"/>
  <c r="BC184" i="1" s="1"/>
  <c r="BF195" i="1"/>
  <c r="BE195" i="1"/>
  <c r="CU187" i="1"/>
  <c r="CV187" i="1" s="1"/>
  <c r="DP187" i="1" s="1"/>
  <c r="EH187" i="1"/>
  <c r="BJ190" i="1"/>
  <c r="W190" i="1"/>
  <c r="X190" i="1" s="1"/>
  <c r="AV190" i="1" s="1"/>
  <c r="EK180" i="1"/>
  <c r="CX180" i="1"/>
  <c r="CY180" i="1" s="1"/>
  <c r="DQ180" i="1" s="1"/>
  <c r="ET193" i="1"/>
  <c r="DG193" i="1"/>
  <c r="DH193" i="1" s="1"/>
  <c r="DT193" i="1" s="1"/>
  <c r="BY187" i="1"/>
  <c r="AL187" i="1"/>
  <c r="AM187" i="1" s="1"/>
  <c r="BA187" i="1" s="1"/>
  <c r="CA207" i="1"/>
  <c r="BZ207" i="1"/>
  <c r="BM179" i="1"/>
  <c r="Z179" i="1"/>
  <c r="AA179" i="1" s="1"/>
  <c r="AW179" i="1" s="1"/>
  <c r="EN185" i="1"/>
  <c r="DA185" i="1"/>
  <c r="DB185" i="1" s="1"/>
  <c r="DR185" i="1" s="1"/>
  <c r="W181" i="1"/>
  <c r="X181" i="1" s="1"/>
  <c r="AV181" i="1" s="1"/>
  <c r="BJ181" i="1"/>
  <c r="BG185" i="1"/>
  <c r="T185" i="1"/>
  <c r="U185" i="1" s="1"/>
  <c r="AU185" i="1" s="1"/>
  <c r="EK182" i="1"/>
  <c r="CX182" i="1"/>
  <c r="CY182" i="1" s="1"/>
  <c r="DQ182" i="1" s="1"/>
  <c r="BF180" i="1"/>
  <c r="BE180" i="1"/>
  <c r="DV163" i="1"/>
  <c r="CI163" i="1"/>
  <c r="CJ163" i="1" s="1"/>
  <c r="DL163" i="1" s="1"/>
  <c r="CB174" i="1"/>
  <c r="AO174" i="1"/>
  <c r="AP174" i="1" s="1"/>
  <c r="BB174" i="1" s="1"/>
  <c r="AI192" i="1"/>
  <c r="AJ192" i="1" s="1"/>
  <c r="AZ192" i="1" s="1"/>
  <c r="BV192" i="1"/>
  <c r="CR192" i="1"/>
  <c r="CS192" i="1" s="1"/>
  <c r="DO192" i="1" s="1"/>
  <c r="EE192" i="1"/>
  <c r="EV181" i="1"/>
  <c r="EU181" i="1"/>
  <c r="BS191" i="1"/>
  <c r="AF191" i="1"/>
  <c r="AG191" i="1" s="1"/>
  <c r="AY191" i="1" s="1"/>
  <c r="CE169" i="1"/>
  <c r="AR169" i="1"/>
  <c r="AS169" i="1" s="1"/>
  <c r="BC169" i="1" s="1"/>
  <c r="DY158" i="1"/>
  <c r="CL158" i="1"/>
  <c r="CM158" i="1" s="1"/>
  <c r="DM158" i="1" s="1"/>
  <c r="CX178" i="1"/>
  <c r="CY178" i="1" s="1"/>
  <c r="DQ178" i="1" s="1"/>
  <c r="EK178" i="1"/>
  <c r="AI160" i="1"/>
  <c r="AJ160" i="1" s="1"/>
  <c r="AZ160" i="1" s="1"/>
  <c r="BV160" i="1"/>
  <c r="BD166" i="1"/>
  <c r="Q166" i="1"/>
  <c r="R166" i="1" s="1"/>
  <c r="AT166" i="1" s="1"/>
  <c r="AI161" i="1"/>
  <c r="AJ161" i="1" s="1"/>
  <c r="AZ161" i="1" s="1"/>
  <c r="BV161" i="1"/>
  <c r="Q155" i="1"/>
  <c r="R155" i="1" s="1"/>
  <c r="AT155" i="1" s="1"/>
  <c r="BD155" i="1"/>
  <c r="BY171" i="1"/>
  <c r="AL171" i="1"/>
  <c r="AM171" i="1" s="1"/>
  <c r="BA171" i="1" s="1"/>
  <c r="BJ166" i="1"/>
  <c r="W166" i="1"/>
  <c r="X166" i="1" s="1"/>
  <c r="AV166" i="1" s="1"/>
  <c r="CE165" i="1"/>
  <c r="AR165" i="1"/>
  <c r="AS165" i="1" s="1"/>
  <c r="BC165" i="1" s="1"/>
  <c r="Q160" i="1"/>
  <c r="R160" i="1" s="1"/>
  <c r="AT160" i="1" s="1"/>
  <c r="BD160" i="1"/>
  <c r="CE161" i="1"/>
  <c r="AR161" i="1"/>
  <c r="AS161" i="1" s="1"/>
  <c r="BC161" i="1" s="1"/>
  <c r="CR155" i="1"/>
  <c r="CS155" i="1" s="1"/>
  <c r="DO155" i="1" s="1"/>
  <c r="EE155" i="1"/>
  <c r="BS152" i="1"/>
  <c r="AF152" i="1"/>
  <c r="AG152" i="1" s="1"/>
  <c r="AY152" i="1" s="1"/>
  <c r="EN169" i="1"/>
  <c r="DA169" i="1"/>
  <c r="DB169" i="1" s="1"/>
  <c r="DR169" i="1" s="1"/>
  <c r="DX160" i="1"/>
  <c r="DW160" i="1"/>
  <c r="BS149" i="1"/>
  <c r="AF149" i="1"/>
  <c r="AG149" i="1" s="1"/>
  <c r="AY149" i="1" s="1"/>
  <c r="DG142" i="1"/>
  <c r="DH142" i="1" s="1"/>
  <c r="DT142" i="1" s="1"/>
  <c r="ET142" i="1"/>
  <c r="Q156" i="1"/>
  <c r="R156" i="1" s="1"/>
  <c r="AT156" i="1" s="1"/>
  <c r="BD156" i="1"/>
  <c r="CE156" i="1"/>
  <c r="AR156" i="1"/>
  <c r="AS156" i="1" s="1"/>
  <c r="BC156" i="1" s="1"/>
  <c r="Z146" i="1"/>
  <c r="AA146" i="1" s="1"/>
  <c r="AW146" i="1" s="1"/>
  <c r="BM146" i="1"/>
  <c r="BV159" i="1"/>
  <c r="AI159" i="1"/>
  <c r="AJ159" i="1" s="1"/>
  <c r="AZ159" i="1" s="1"/>
  <c r="EB150" i="1"/>
  <c r="CO150" i="1"/>
  <c r="CP150" i="1" s="1"/>
  <c r="DN150" i="1" s="1"/>
  <c r="Z142" i="1"/>
  <c r="AA142" i="1" s="1"/>
  <c r="AW142" i="1" s="1"/>
  <c r="BM142" i="1"/>
  <c r="DD150" i="1"/>
  <c r="DE150" i="1" s="1"/>
  <c r="DS150" i="1" s="1"/>
  <c r="EQ150" i="1"/>
  <c r="EN149" i="1"/>
  <c r="DA149" i="1"/>
  <c r="DB149" i="1" s="1"/>
  <c r="DR149" i="1" s="1"/>
  <c r="BG135" i="1"/>
  <c r="T135" i="1"/>
  <c r="U135" i="1" s="1"/>
  <c r="AU135" i="1" s="1"/>
  <c r="EQ140" i="1"/>
  <c r="DD140" i="1"/>
  <c r="DE140" i="1" s="1"/>
  <c r="DS140" i="1" s="1"/>
  <c r="AO133" i="1"/>
  <c r="AP133" i="1" s="1"/>
  <c r="BB133" i="1" s="1"/>
  <c r="CB133" i="1"/>
  <c r="AI122" i="1"/>
  <c r="AJ122" i="1" s="1"/>
  <c r="AZ122" i="1" s="1"/>
  <c r="BV122" i="1"/>
  <c r="CU154" i="1"/>
  <c r="CV154" i="1" s="1"/>
  <c r="DP154" i="1" s="1"/>
  <c r="EH154" i="1"/>
  <c r="DY154" i="1"/>
  <c r="CL154" i="1"/>
  <c r="CM154" i="1" s="1"/>
  <c r="DM154" i="1" s="1"/>
  <c r="AO141" i="1"/>
  <c r="AP141" i="1" s="1"/>
  <c r="BB141" i="1" s="1"/>
  <c r="CB141" i="1"/>
  <c r="AR137" i="1"/>
  <c r="AS137" i="1" s="1"/>
  <c r="BC137" i="1" s="1"/>
  <c r="CE137" i="1"/>
  <c r="DG132" i="1"/>
  <c r="DH132" i="1" s="1"/>
  <c r="DT132" i="1" s="1"/>
  <c r="ET132" i="1"/>
  <c r="Q129" i="1"/>
  <c r="R129" i="1" s="1"/>
  <c r="AT129" i="1" s="1"/>
  <c r="BD129" i="1"/>
  <c r="T115" i="1"/>
  <c r="U115" i="1" s="1"/>
  <c r="AU115" i="1" s="1"/>
  <c r="BG115" i="1"/>
  <c r="BF152" i="1"/>
  <c r="BE152" i="1"/>
  <c r="Q135" i="1"/>
  <c r="R135" i="1" s="1"/>
  <c r="AT135" i="1" s="1"/>
  <c r="BD135" i="1"/>
  <c r="EO150" i="1"/>
  <c r="EP150" i="1"/>
  <c r="CX115" i="1"/>
  <c r="CY115" i="1" s="1"/>
  <c r="DQ115" i="1" s="1"/>
  <c r="EK115" i="1"/>
  <c r="DX154" i="1"/>
  <c r="DW154" i="1"/>
  <c r="ET135" i="1"/>
  <c r="DG135" i="1"/>
  <c r="DH135" i="1" s="1"/>
  <c r="DT135" i="1" s="1"/>
  <c r="CU137" i="1"/>
  <c r="CV137" i="1" s="1"/>
  <c r="DP137" i="1" s="1"/>
  <c r="EH137" i="1"/>
  <c r="DG120" i="1"/>
  <c r="DH120" i="1" s="1"/>
  <c r="DT120" i="1" s="1"/>
  <c r="ET120" i="1"/>
  <c r="BV135" i="1"/>
  <c r="AI135" i="1"/>
  <c r="AJ135" i="1" s="1"/>
  <c r="AZ135" i="1" s="1"/>
  <c r="EP127" i="1"/>
  <c r="EO127" i="1"/>
  <c r="EE112" i="1"/>
  <c r="CR112" i="1"/>
  <c r="CS112" i="1" s="1"/>
  <c r="DO112" i="1" s="1"/>
  <c r="EA124" i="1"/>
  <c r="DZ124" i="1"/>
  <c r="BY136" i="1"/>
  <c r="AL136" i="1"/>
  <c r="AM136" i="1" s="1"/>
  <c r="BA136" i="1" s="1"/>
  <c r="EN136" i="1"/>
  <c r="DA136" i="1"/>
  <c r="DB136" i="1" s="1"/>
  <c r="DR136" i="1" s="1"/>
  <c r="BU126" i="1"/>
  <c r="BT126" i="1"/>
  <c r="CO116" i="1"/>
  <c r="CP116" i="1" s="1"/>
  <c r="DN116" i="1" s="1"/>
  <c r="EB116" i="1"/>
  <c r="BE120" i="1"/>
  <c r="BF120" i="1"/>
  <c r="BR115" i="1"/>
  <c r="BQ115" i="1"/>
  <c r="EE107" i="1"/>
  <c r="CR107" i="1"/>
  <c r="CS107" i="1" s="1"/>
  <c r="DO107" i="1" s="1"/>
  <c r="DY123" i="1"/>
  <c r="CL123" i="1"/>
  <c r="CM123" i="1" s="1"/>
  <c r="DM123" i="1" s="1"/>
  <c r="BQ120" i="1"/>
  <c r="BR120" i="1"/>
  <c r="EE113" i="1"/>
  <c r="CR113" i="1"/>
  <c r="CS113" i="1" s="1"/>
  <c r="DO113" i="1" s="1"/>
  <c r="BF116" i="1"/>
  <c r="BE116" i="1"/>
  <c r="EH99" i="1"/>
  <c r="CU99" i="1"/>
  <c r="CV99" i="1" s="1"/>
  <c r="DP99" i="1" s="1"/>
  <c r="EV116" i="1"/>
  <c r="EU116" i="1"/>
  <c r="CL103" i="1"/>
  <c r="CM103" i="1" s="1"/>
  <c r="DM103" i="1" s="1"/>
  <c r="DY103" i="1"/>
  <c r="W119" i="1"/>
  <c r="X119" i="1" s="1"/>
  <c r="AV119" i="1" s="1"/>
  <c r="BJ119" i="1"/>
  <c r="EN119" i="1"/>
  <c r="DA119" i="1"/>
  <c r="DB119" i="1" s="1"/>
  <c r="DR119" i="1" s="1"/>
  <c r="AF94" i="1"/>
  <c r="AG94" i="1" s="1"/>
  <c r="AY94" i="1" s="1"/>
  <c r="BS94" i="1"/>
  <c r="DG102" i="1"/>
  <c r="DH102" i="1" s="1"/>
  <c r="DT102" i="1" s="1"/>
  <c r="ET102" i="1"/>
  <c r="Z148" i="1"/>
  <c r="AA148" i="1" s="1"/>
  <c r="AW148" i="1" s="1"/>
  <c r="BM148" i="1"/>
  <c r="EE148" i="1"/>
  <c r="CR148" i="1"/>
  <c r="CS148" i="1" s="1"/>
  <c r="DO148" i="1" s="1"/>
  <c r="BM102" i="1"/>
  <c r="Z102" i="1"/>
  <c r="AA102" i="1" s="1"/>
  <c r="AW102" i="1" s="1"/>
  <c r="EK95" i="1"/>
  <c r="CX95" i="1"/>
  <c r="CY95" i="1" s="1"/>
  <c r="DQ95" i="1" s="1"/>
  <c r="DX138" i="1"/>
  <c r="DW138" i="1"/>
  <c r="AC114" i="1"/>
  <c r="AD114" i="1" s="1"/>
  <c r="AX114" i="1" s="1"/>
  <c r="BP114" i="1"/>
  <c r="ET94" i="1"/>
  <c r="DG94" i="1"/>
  <c r="DH94" i="1" s="1"/>
  <c r="DT94" i="1" s="1"/>
  <c r="EK121" i="1"/>
  <c r="CX121" i="1"/>
  <c r="CY121" i="1" s="1"/>
  <c r="DQ121" i="1" s="1"/>
  <c r="CO121" i="1"/>
  <c r="CP121" i="1" s="1"/>
  <c r="DN121" i="1" s="1"/>
  <c r="EB121" i="1"/>
  <c r="BV103" i="1"/>
  <c r="AI103" i="1"/>
  <c r="AJ103" i="1" s="1"/>
  <c r="AZ103" i="1" s="1"/>
  <c r="EQ87" i="1"/>
  <c r="DD87" i="1"/>
  <c r="DE87" i="1" s="1"/>
  <c r="DS87" i="1" s="1"/>
  <c r="BO123" i="1"/>
  <c r="BN123" i="1"/>
  <c r="CX111" i="1"/>
  <c r="CY111" i="1" s="1"/>
  <c r="DQ111" i="1" s="1"/>
  <c r="EK111" i="1"/>
  <c r="BG101" i="1"/>
  <c r="T101" i="1"/>
  <c r="U101" i="1" s="1"/>
  <c r="AU101" i="1" s="1"/>
  <c r="BV87" i="1"/>
  <c r="AI87" i="1"/>
  <c r="AJ87" i="1" s="1"/>
  <c r="AZ87" i="1" s="1"/>
  <c r="BS106" i="1"/>
  <c r="AF106" i="1"/>
  <c r="AG106" i="1" s="1"/>
  <c r="AY106" i="1" s="1"/>
  <c r="BY106" i="1"/>
  <c r="AL106" i="1"/>
  <c r="AM106" i="1" s="1"/>
  <c r="BA106" i="1" s="1"/>
  <c r="EE93" i="1"/>
  <c r="CR93" i="1"/>
  <c r="CS93" i="1" s="1"/>
  <c r="DO93" i="1" s="1"/>
  <c r="EN93" i="1"/>
  <c r="DA93" i="1"/>
  <c r="DB93" i="1" s="1"/>
  <c r="DR93" i="1" s="1"/>
  <c r="BD71" i="1"/>
  <c r="Q71" i="1"/>
  <c r="R71" i="1" s="1"/>
  <c r="AT71" i="1" s="1"/>
  <c r="AI78" i="1"/>
  <c r="AJ78" i="1" s="1"/>
  <c r="AZ78" i="1" s="1"/>
  <c r="BV78" i="1"/>
  <c r="AL69" i="1"/>
  <c r="AM69" i="1" s="1"/>
  <c r="BA69" i="1" s="1"/>
  <c r="BY69" i="1"/>
  <c r="T76" i="1"/>
  <c r="U76" i="1" s="1"/>
  <c r="AU76" i="1" s="1"/>
  <c r="BG76" i="1"/>
  <c r="CI71" i="1"/>
  <c r="CJ71" i="1" s="1"/>
  <c r="DL71" i="1" s="1"/>
  <c r="DV71" i="1"/>
  <c r="AF109" i="1"/>
  <c r="AG109" i="1" s="1"/>
  <c r="AY109" i="1" s="1"/>
  <c r="BS109" i="1"/>
  <c r="BY109" i="1"/>
  <c r="AL109" i="1"/>
  <c r="AM109" i="1" s="1"/>
  <c r="BA109" i="1" s="1"/>
  <c r="W98" i="1"/>
  <c r="X98" i="1" s="1"/>
  <c r="AV98" i="1" s="1"/>
  <c r="BJ98" i="1"/>
  <c r="EK97" i="1"/>
  <c r="CX97" i="1"/>
  <c r="CY97" i="1" s="1"/>
  <c r="DQ97" i="1" s="1"/>
  <c r="EV96" i="1"/>
  <c r="EU96" i="1"/>
  <c r="CO84" i="1"/>
  <c r="CP84" i="1" s="1"/>
  <c r="DN84" i="1" s="1"/>
  <c r="EB84" i="1"/>
  <c r="ET73" i="1"/>
  <c r="DG73" i="1"/>
  <c r="DH73" i="1" s="1"/>
  <c r="DT73" i="1" s="1"/>
  <c r="BM89" i="1"/>
  <c r="Z89" i="1"/>
  <c r="AA89" i="1" s="1"/>
  <c r="AW89" i="1" s="1"/>
  <c r="AF89" i="1"/>
  <c r="AG89" i="1" s="1"/>
  <c r="AY89" i="1" s="1"/>
  <c r="BS89" i="1"/>
  <c r="BG88" i="1"/>
  <c r="T88" i="1"/>
  <c r="U88" i="1" s="1"/>
  <c r="AU88" i="1" s="1"/>
  <c r="ET81" i="1"/>
  <c r="DG81" i="1"/>
  <c r="DH81" i="1" s="1"/>
  <c r="DT81" i="1" s="1"/>
  <c r="EX119" i="1"/>
  <c r="EY119" i="1"/>
  <c r="DV78" i="1"/>
  <c r="CI78" i="1"/>
  <c r="CJ78" i="1" s="1"/>
  <c r="DL78" i="1" s="1"/>
  <c r="ES130" i="1"/>
  <c r="ER130" i="1"/>
  <c r="DY77" i="1"/>
  <c r="CL77" i="1"/>
  <c r="CM77" i="1" s="1"/>
  <c r="DM77" i="1" s="1"/>
  <c r="DD62" i="1"/>
  <c r="DE62" i="1" s="1"/>
  <c r="DS62" i="1" s="1"/>
  <c r="EQ62" i="1"/>
  <c r="BD108" i="1"/>
  <c r="Q108" i="1"/>
  <c r="R108" i="1" s="1"/>
  <c r="AT108" i="1" s="1"/>
  <c r="CL108" i="1"/>
  <c r="CM108" i="1" s="1"/>
  <c r="DM108" i="1" s="1"/>
  <c r="DY108" i="1"/>
  <c r="DJ75" i="1"/>
  <c r="DK75" i="1" s="1"/>
  <c r="DU75" i="1" s="1"/>
  <c r="EW75" i="1"/>
  <c r="DD67" i="1"/>
  <c r="DE67" i="1" s="1"/>
  <c r="DS67" i="1" s="1"/>
  <c r="EQ67" i="1"/>
  <c r="CC143" i="1"/>
  <c r="CD143" i="1"/>
  <c r="EQ86" i="1"/>
  <c r="DD86" i="1"/>
  <c r="DE86" i="1" s="1"/>
  <c r="DS86" i="1" s="1"/>
  <c r="BI70" i="1"/>
  <c r="BH70" i="1"/>
  <c r="BR126" i="1"/>
  <c r="BQ126" i="1"/>
  <c r="DA82" i="1"/>
  <c r="DB82" i="1" s="1"/>
  <c r="DR82" i="1" s="1"/>
  <c r="EN82" i="1"/>
  <c r="EW82" i="1"/>
  <c r="DJ82" i="1"/>
  <c r="DK82" i="1" s="1"/>
  <c r="DU82" i="1" s="1"/>
  <c r="DV47" i="1"/>
  <c r="CI47" i="1"/>
  <c r="CJ47" i="1" s="1"/>
  <c r="DL47" i="1" s="1"/>
  <c r="BL94" i="1"/>
  <c r="BK94" i="1"/>
  <c r="BM80" i="1"/>
  <c r="Z80" i="1"/>
  <c r="AA80" i="1" s="1"/>
  <c r="AW80" i="1" s="1"/>
  <c r="EB80" i="1"/>
  <c r="CO80" i="1"/>
  <c r="CP80" i="1" s="1"/>
  <c r="DN80" i="1" s="1"/>
  <c r="EP69" i="1"/>
  <c r="EO69" i="1"/>
  <c r="CD82" i="1"/>
  <c r="CC82" i="1"/>
  <c r="BL73" i="1"/>
  <c r="BK73" i="1"/>
  <c r="ED69" i="1"/>
  <c r="EC69" i="1"/>
  <c r="CI59" i="1"/>
  <c r="CJ59" i="1" s="1"/>
  <c r="DL59" i="1" s="1"/>
  <c r="DV59" i="1"/>
  <c r="DD54" i="1"/>
  <c r="DE54" i="1" s="1"/>
  <c r="DS54" i="1" s="1"/>
  <c r="EQ54" i="1"/>
  <c r="BD38" i="1"/>
  <c r="Q38" i="1"/>
  <c r="R38" i="1" s="1"/>
  <c r="AT38" i="1" s="1"/>
  <c r="DV56" i="1"/>
  <c r="CI56" i="1"/>
  <c r="CJ56" i="1" s="1"/>
  <c r="DL56" i="1" s="1"/>
  <c r="CE50" i="1"/>
  <c r="AR50" i="1"/>
  <c r="AS50" i="1" s="1"/>
  <c r="BC50" i="1" s="1"/>
  <c r="DG37" i="1"/>
  <c r="DH37" i="1" s="1"/>
  <c r="DT37" i="1" s="1"/>
  <c r="ET37" i="1"/>
  <c r="CR52" i="1"/>
  <c r="CS52" i="1" s="1"/>
  <c r="DO52" i="1" s="1"/>
  <c r="EE52" i="1"/>
  <c r="BL75" i="1"/>
  <c r="BK75" i="1"/>
  <c r="DJ54" i="1"/>
  <c r="DK54" i="1" s="1"/>
  <c r="DU54" i="1" s="1"/>
  <c r="EW54" i="1"/>
  <c r="EW85" i="1"/>
  <c r="DJ85" i="1"/>
  <c r="DK85" i="1" s="1"/>
  <c r="DU85" i="1" s="1"/>
  <c r="EB85" i="1"/>
  <c r="CO85" i="1"/>
  <c r="CP85" i="1" s="1"/>
  <c r="DN85" i="1" s="1"/>
  <c r="BY57" i="1"/>
  <c r="AL57" i="1"/>
  <c r="AM57" i="1" s="1"/>
  <c r="BA57" i="1" s="1"/>
  <c r="EN56" i="1"/>
  <c r="DA56" i="1"/>
  <c r="DB56" i="1" s="1"/>
  <c r="DR56" i="1" s="1"/>
  <c r="BV48" i="1"/>
  <c r="AI48" i="1"/>
  <c r="AJ48" i="1" s="1"/>
  <c r="AZ48" i="1" s="1"/>
  <c r="BP49" i="1"/>
  <c r="AC49" i="1"/>
  <c r="AD49" i="1" s="1"/>
  <c r="AX49" i="1" s="1"/>
  <c r="BS37" i="1"/>
  <c r="AF37" i="1"/>
  <c r="AG37" i="1" s="1"/>
  <c r="AY37" i="1" s="1"/>
  <c r="CR43" i="1"/>
  <c r="CS43" i="1" s="1"/>
  <c r="DO43" i="1" s="1"/>
  <c r="EE43" i="1"/>
  <c r="DJ28" i="1"/>
  <c r="DK28" i="1" s="1"/>
  <c r="DU28" i="1" s="1"/>
  <c r="EW28" i="1"/>
  <c r="BP18" i="1"/>
  <c r="AC18" i="1"/>
  <c r="AD18" i="1" s="1"/>
  <c r="AX18" i="1" s="1"/>
  <c r="W44" i="1"/>
  <c r="X44" i="1" s="1"/>
  <c r="AV44" i="1" s="1"/>
  <c r="BJ44" i="1"/>
  <c r="DJ29" i="1"/>
  <c r="DK29" i="1" s="1"/>
  <c r="DU29" i="1" s="1"/>
  <c r="EW29" i="1"/>
  <c r="CI12" i="1"/>
  <c r="CJ12" i="1" s="1"/>
  <c r="DL12" i="1" s="1"/>
  <c r="DV12" i="1"/>
  <c r="BM31" i="1"/>
  <c r="Z31" i="1"/>
  <c r="AA31" i="1" s="1"/>
  <c r="AW31" i="1" s="1"/>
  <c r="AR30" i="1"/>
  <c r="AS30" i="1" s="1"/>
  <c r="BC30" i="1" s="1"/>
  <c r="CE30" i="1"/>
  <c r="Z12" i="1"/>
  <c r="AA12" i="1" s="1"/>
  <c r="AW12" i="1" s="1"/>
  <c r="BM12" i="1"/>
  <c r="EE46" i="1"/>
  <c r="CR46" i="1"/>
  <c r="CS46" i="1" s="1"/>
  <c r="DO46" i="1" s="1"/>
  <c r="BY46" i="1"/>
  <c r="AL46" i="1"/>
  <c r="AM46" i="1" s="1"/>
  <c r="BA46" i="1" s="1"/>
  <c r="CI20" i="1"/>
  <c r="CJ20" i="1" s="1"/>
  <c r="DL20" i="1" s="1"/>
  <c r="DV20" i="1"/>
  <c r="BY24" i="1"/>
  <c r="AL24" i="1"/>
  <c r="AM24" i="1" s="1"/>
  <c r="BA24" i="1" s="1"/>
  <c r="DA55" i="1"/>
  <c r="DB55" i="1" s="1"/>
  <c r="DR55" i="1" s="1"/>
  <c r="EN55" i="1"/>
  <c r="EY42" i="1"/>
  <c r="EX42" i="1"/>
  <c r="CL30" i="1"/>
  <c r="CM30" i="1" s="1"/>
  <c r="DM30" i="1" s="1"/>
  <c r="DY30" i="1"/>
  <c r="DY22" i="1"/>
  <c r="CL22" i="1"/>
  <c r="CM22" i="1" s="1"/>
  <c r="DM22" i="1" s="1"/>
  <c r="EE13" i="1"/>
  <c r="CR13" i="1"/>
  <c r="CS13" i="1" s="1"/>
  <c r="DO13" i="1" s="1"/>
  <c r="CR24" i="1"/>
  <c r="CS24" i="1" s="1"/>
  <c r="DO24" i="1" s="1"/>
  <c r="EE24" i="1"/>
  <c r="AF25" i="1"/>
  <c r="AG25" i="1" s="1"/>
  <c r="AY25" i="1" s="1"/>
  <c r="BS25" i="1"/>
  <c r="BS17" i="1"/>
  <c r="AF17" i="1"/>
  <c r="AG17" i="1" s="1"/>
  <c r="AY17" i="1" s="1"/>
  <c r="BG12" i="1"/>
  <c r="T12" i="1"/>
  <c r="U12" i="1" s="1"/>
  <c r="AU12" i="1" s="1"/>
  <c r="AO29" i="1"/>
  <c r="AP29" i="1" s="1"/>
  <c r="BB29" i="1" s="1"/>
  <c r="CB29" i="1"/>
  <c r="EK34" i="1"/>
  <c r="CX34" i="1"/>
  <c r="CY34" i="1" s="1"/>
  <c r="DQ34" i="1" s="1"/>
  <c r="BG15" i="1"/>
  <c r="T15" i="1"/>
  <c r="U15" i="1" s="1"/>
  <c r="AU15" i="1" s="1"/>
  <c r="AL9" i="1"/>
  <c r="AM9" i="1" s="1"/>
  <c r="BA9" i="1" s="1"/>
  <c r="BY9" i="1"/>
  <c r="AR3" i="1"/>
  <c r="AS3" i="1" s="1"/>
  <c r="BC3" i="1" s="1"/>
  <c r="CE3" i="1"/>
  <c r="BM10" i="1"/>
  <c r="Z10" i="1"/>
  <c r="AA10" i="1" s="1"/>
  <c r="AW10" i="1" s="1"/>
  <c r="CE6" i="1"/>
  <c r="AR6" i="1"/>
  <c r="AS6" i="1" s="1"/>
  <c r="BC6" i="1" s="1"/>
  <c r="EH2" i="1"/>
  <c r="CU2" i="1"/>
  <c r="EW15" i="1"/>
  <c r="DJ15" i="1"/>
  <c r="DK15" i="1" s="1"/>
  <c r="DU15" i="1" s="1"/>
  <c r="EW6" i="1"/>
  <c r="DJ6" i="1"/>
  <c r="DK6" i="1" s="1"/>
  <c r="DU6" i="1" s="1"/>
  <c r="DX8" i="1"/>
  <c r="DW8" i="1"/>
  <c r="BY5" i="1"/>
  <c r="AL5" i="1"/>
  <c r="AM5" i="1" s="1"/>
  <c r="BA5" i="1" s="1"/>
  <c r="ET15" i="1"/>
  <c r="DG15" i="1"/>
  <c r="DH15" i="1" s="1"/>
  <c r="DT15" i="1" s="1"/>
  <c r="CG8" i="1"/>
  <c r="CF8" i="1"/>
  <c r="BG35" i="1"/>
  <c r="T35" i="1"/>
  <c r="U35" i="1" s="1"/>
  <c r="AU35" i="1" s="1"/>
  <c r="DD35" i="1"/>
  <c r="DE35" i="1" s="1"/>
  <c r="DS35" i="1" s="1"/>
  <c r="EQ35" i="1"/>
  <c r="DV23" i="1"/>
  <c r="CI23" i="1"/>
  <c r="CJ23" i="1" s="1"/>
  <c r="DL23" i="1" s="1"/>
  <c r="W23" i="1"/>
  <c r="X23" i="1" s="1"/>
  <c r="AV23" i="1" s="1"/>
  <c r="BJ23" i="1"/>
  <c r="CF34" i="1"/>
  <c r="CG34" i="1"/>
  <c r="DA6" i="1"/>
  <c r="DB6" i="1" s="1"/>
  <c r="DR6" i="1" s="1"/>
  <c r="EN6" i="1"/>
  <c r="EO277" i="1"/>
  <c r="EP277" i="1"/>
  <c r="BO265" i="1"/>
  <c r="BN265" i="1"/>
  <c r="BG245" i="1"/>
  <c r="T245" i="1"/>
  <c r="U245" i="1" s="1"/>
  <c r="AU245" i="1" s="1"/>
  <c r="T216" i="1"/>
  <c r="U216" i="1" s="1"/>
  <c r="AU216" i="1" s="1"/>
  <c r="BG216" i="1"/>
  <c r="BJ210" i="1"/>
  <c r="W210" i="1"/>
  <c r="X210" i="1" s="1"/>
  <c r="AV210" i="1" s="1"/>
  <c r="DV210" i="1"/>
  <c r="CI210" i="1"/>
  <c r="CJ210" i="1" s="1"/>
  <c r="DL210" i="1" s="1"/>
  <c r="EH218" i="1"/>
  <c r="CU218" i="1"/>
  <c r="CV218" i="1" s="1"/>
  <c r="DP218" i="1" s="1"/>
  <c r="EQ184" i="1"/>
  <c r="DD184" i="1"/>
  <c r="DE184" i="1" s="1"/>
  <c r="DS184" i="1" s="1"/>
  <c r="BV185" i="1"/>
  <c r="AI185" i="1"/>
  <c r="AJ185" i="1" s="1"/>
  <c r="AZ185" i="1" s="1"/>
  <c r="CA181" i="1"/>
  <c r="BZ181" i="1"/>
  <c r="BG146" i="1"/>
  <c r="T146" i="1"/>
  <c r="U146" i="1" s="1"/>
  <c r="AU146" i="1" s="1"/>
  <c r="DG127" i="1"/>
  <c r="DH127" i="1" s="1"/>
  <c r="DT127" i="1" s="1"/>
  <c r="ET127" i="1"/>
  <c r="BV130" i="1"/>
  <c r="AI130" i="1"/>
  <c r="AJ130" i="1" s="1"/>
  <c r="AZ130" i="1" s="1"/>
  <c r="AC102" i="1"/>
  <c r="AD102" i="1" s="1"/>
  <c r="AX102" i="1" s="1"/>
  <c r="BP102" i="1"/>
  <c r="CA137" i="1"/>
  <c r="BZ137" i="1"/>
  <c r="BU90" i="1"/>
  <c r="BT90" i="1"/>
  <c r="BX101" i="1"/>
  <c r="BW101" i="1"/>
  <c r="CD126" i="1"/>
  <c r="CC126" i="1"/>
  <c r="AR54" i="1"/>
  <c r="AS54" i="1" s="1"/>
  <c r="BC54" i="1" s="1"/>
  <c r="CE54" i="1"/>
  <c r="EH29" i="1"/>
  <c r="CU29" i="1"/>
  <c r="CV29" i="1" s="1"/>
  <c r="DP29" i="1" s="1"/>
  <c r="EY283" i="1"/>
  <c r="EX283" i="1"/>
  <c r="Q264" i="1"/>
  <c r="R264" i="1" s="1"/>
  <c r="AT264" i="1" s="1"/>
  <c r="BD264" i="1"/>
  <c r="AR257" i="1"/>
  <c r="AS257" i="1" s="1"/>
  <c r="BC257" i="1" s="1"/>
  <c r="CE257" i="1"/>
  <c r="ET253" i="1"/>
  <c r="DG253" i="1"/>
  <c r="DH253" i="1" s="1"/>
  <c r="DT253" i="1" s="1"/>
  <c r="AI238" i="1"/>
  <c r="AJ238" i="1" s="1"/>
  <c r="AZ238" i="1" s="1"/>
  <c r="BV238" i="1"/>
  <c r="BS231" i="1"/>
  <c r="AF231" i="1"/>
  <c r="AG231" i="1" s="1"/>
  <c r="AY231" i="1" s="1"/>
  <c r="BU240" i="1"/>
  <c r="BT240" i="1"/>
  <c r="CA225" i="1"/>
  <c r="BZ225" i="1"/>
  <c r="W199" i="1"/>
  <c r="X199" i="1" s="1"/>
  <c r="AV199" i="1" s="1"/>
  <c r="BJ199" i="1"/>
  <c r="CR185" i="1"/>
  <c r="CS185" i="1" s="1"/>
  <c r="DO185" i="1" s="1"/>
  <c r="EE185" i="1"/>
  <c r="DD191" i="1"/>
  <c r="DE191" i="1" s="1"/>
  <c r="DS191" i="1" s="1"/>
  <c r="EQ191" i="1"/>
  <c r="CI158" i="1"/>
  <c r="CJ158" i="1" s="1"/>
  <c r="DL158" i="1" s="1"/>
  <c r="DV158" i="1"/>
  <c r="DA159" i="1"/>
  <c r="DB159" i="1" s="1"/>
  <c r="DR159" i="1" s="1"/>
  <c r="EN159" i="1"/>
  <c r="CI133" i="1"/>
  <c r="CJ133" i="1" s="1"/>
  <c r="DL133" i="1" s="1"/>
  <c r="DV133" i="1"/>
  <c r="BY123" i="1"/>
  <c r="AL123" i="1"/>
  <c r="AM123" i="1" s="1"/>
  <c r="BA123" i="1" s="1"/>
  <c r="BM119" i="1"/>
  <c r="Z119" i="1"/>
  <c r="AA119" i="1" s="1"/>
  <c r="AW119" i="1" s="1"/>
  <c r="BV121" i="1"/>
  <c r="AI121" i="1"/>
  <c r="AJ121" i="1" s="1"/>
  <c r="AZ121" i="1" s="1"/>
  <c r="CB81" i="1"/>
  <c r="AO81" i="1"/>
  <c r="AP81" i="1" s="1"/>
  <c r="BB81" i="1" s="1"/>
  <c r="AR75" i="1"/>
  <c r="AS75" i="1" s="1"/>
  <c r="BC75" i="1" s="1"/>
  <c r="CE75" i="1"/>
  <c r="AL85" i="1"/>
  <c r="AM85" i="1" s="1"/>
  <c r="BA85" i="1" s="1"/>
  <c r="BY85" i="1"/>
  <c r="BY29" i="1"/>
  <c r="AL29" i="1"/>
  <c r="AM29" i="1" s="1"/>
  <c r="BA29" i="1" s="1"/>
  <c r="AC55" i="1"/>
  <c r="AD55" i="1" s="1"/>
  <c r="AX55" i="1" s="1"/>
  <c r="BP55" i="1"/>
  <c r="EN255" i="1"/>
  <c r="DA255" i="1"/>
  <c r="DB255" i="1" s="1"/>
  <c r="DR255" i="1" s="1"/>
  <c r="AF250" i="1"/>
  <c r="AG250" i="1" s="1"/>
  <c r="AY250" i="1" s="1"/>
  <c r="BS250" i="1"/>
  <c r="EE194" i="1"/>
  <c r="CR194" i="1"/>
  <c r="CS194" i="1" s="1"/>
  <c r="DO194" i="1" s="1"/>
  <c r="Q263" i="1"/>
  <c r="R263" i="1" s="1"/>
  <c r="AT263" i="1" s="1"/>
  <c r="BD263" i="1"/>
  <c r="DG257" i="1"/>
  <c r="DH257" i="1" s="1"/>
  <c r="DT257" i="1" s="1"/>
  <c r="ET257" i="1"/>
  <c r="EK247" i="1"/>
  <c r="CX247" i="1"/>
  <c r="CY247" i="1" s="1"/>
  <c r="DQ247" i="1" s="1"/>
  <c r="CR234" i="1"/>
  <c r="CS234" i="1" s="1"/>
  <c r="DO234" i="1" s="1"/>
  <c r="EE234" i="1"/>
  <c r="CE234" i="1"/>
  <c r="AR234" i="1"/>
  <c r="AS234" i="1" s="1"/>
  <c r="BC234" i="1" s="1"/>
  <c r="DY236" i="1"/>
  <c r="CL236" i="1"/>
  <c r="CM236" i="1" s="1"/>
  <c r="DM236" i="1" s="1"/>
  <c r="BM232" i="1"/>
  <c r="Z232" i="1"/>
  <c r="AA232" i="1" s="1"/>
  <c r="AW232" i="1" s="1"/>
  <c r="DJ243" i="1"/>
  <c r="DK243" i="1" s="1"/>
  <c r="DU243" i="1" s="1"/>
  <c r="EW243" i="1"/>
  <c r="BY237" i="1"/>
  <c r="AL237" i="1"/>
  <c r="AM237" i="1" s="1"/>
  <c r="BA237" i="1" s="1"/>
  <c r="ET229" i="1"/>
  <c r="DG229" i="1"/>
  <c r="DH229" i="1" s="1"/>
  <c r="DT229" i="1" s="1"/>
  <c r="BI231" i="1"/>
  <c r="BH231" i="1"/>
  <c r="CX214" i="1"/>
  <c r="CY214" i="1" s="1"/>
  <c r="DQ214" i="1" s="1"/>
  <c r="EK214" i="1"/>
  <c r="DY205" i="1"/>
  <c r="CL205" i="1"/>
  <c r="CM205" i="1" s="1"/>
  <c r="DM205" i="1" s="1"/>
  <c r="DV203" i="1"/>
  <c r="CI203" i="1"/>
  <c r="CJ203" i="1" s="1"/>
  <c r="DL203" i="1" s="1"/>
  <c r="BG181" i="1"/>
  <c r="T181" i="1"/>
  <c r="U181" i="1" s="1"/>
  <c r="AU181" i="1" s="1"/>
  <c r="DY192" i="1"/>
  <c r="CL192" i="1"/>
  <c r="CM192" i="1" s="1"/>
  <c r="DM192" i="1" s="1"/>
  <c r="CO147" i="1"/>
  <c r="CP147" i="1" s="1"/>
  <c r="DN147" i="1" s="1"/>
  <c r="EB147" i="1"/>
  <c r="BP169" i="1"/>
  <c r="AC169" i="1"/>
  <c r="AD169" i="1" s="1"/>
  <c r="AX169" i="1" s="1"/>
  <c r="EU167" i="1"/>
  <c r="EV167" i="1"/>
  <c r="BL150" i="1"/>
  <c r="BK150" i="1"/>
  <c r="BY154" i="1"/>
  <c r="AL154" i="1"/>
  <c r="AM154" i="1" s="1"/>
  <c r="BA154" i="1" s="1"/>
  <c r="CR123" i="1"/>
  <c r="CS123" i="1" s="1"/>
  <c r="DO123" i="1" s="1"/>
  <c r="EE123" i="1"/>
  <c r="BG148" i="1"/>
  <c r="T148" i="1"/>
  <c r="U148" i="1" s="1"/>
  <c r="AU148" i="1" s="1"/>
  <c r="CG103" i="1"/>
  <c r="CF103" i="1"/>
  <c r="DY50" i="1"/>
  <c r="CL50" i="1"/>
  <c r="CM50" i="1" s="1"/>
  <c r="DM50" i="1" s="1"/>
  <c r="DD57" i="1"/>
  <c r="DE57" i="1" s="1"/>
  <c r="DS57" i="1" s="1"/>
  <c r="EQ57" i="1"/>
  <c r="T38" i="1"/>
  <c r="U38" i="1" s="1"/>
  <c r="AU38" i="1" s="1"/>
  <c r="BG38" i="1"/>
  <c r="BS44" i="1"/>
  <c r="AF44" i="1"/>
  <c r="AG44" i="1" s="1"/>
  <c r="AY44" i="1" s="1"/>
  <c r="DZ49" i="1"/>
  <c r="EA49" i="1"/>
  <c r="ER20" i="1"/>
  <c r="ES20" i="1"/>
  <c r="EY299" i="1"/>
  <c r="EX299" i="1"/>
  <c r="EE269" i="1"/>
  <c r="CR269" i="1"/>
  <c r="CS269" i="1" s="1"/>
  <c r="DO269" i="1" s="1"/>
  <c r="EA282" i="1"/>
  <c r="DZ282" i="1"/>
  <c r="EM273" i="1"/>
  <c r="EL273" i="1"/>
  <c r="ET271" i="1"/>
  <c r="DG271" i="1"/>
  <c r="DH271" i="1" s="1"/>
  <c r="DT271" i="1" s="1"/>
  <c r="ED269" i="1"/>
  <c r="EC269" i="1"/>
  <c r="ER277" i="1"/>
  <c r="ES277" i="1"/>
  <c r="AO265" i="1"/>
  <c r="AP265" i="1" s="1"/>
  <c r="BB265" i="1" s="1"/>
  <c r="CB265" i="1"/>
  <c r="DJ268" i="1"/>
  <c r="DK268" i="1" s="1"/>
  <c r="DU268" i="1" s="1"/>
  <c r="EW268" i="1"/>
  <c r="T270" i="1"/>
  <c r="U270" i="1" s="1"/>
  <c r="AU270" i="1" s="1"/>
  <c r="BG270" i="1"/>
  <c r="BY267" i="1"/>
  <c r="AL267" i="1"/>
  <c r="AM267" i="1" s="1"/>
  <c r="BA267" i="1" s="1"/>
  <c r="AI267" i="1"/>
  <c r="AJ267" i="1" s="1"/>
  <c r="AZ267" i="1" s="1"/>
  <c r="BV267" i="1"/>
  <c r="DD267" i="1"/>
  <c r="DE267" i="1" s="1"/>
  <c r="DS267" i="1" s="1"/>
  <c r="EQ267" i="1"/>
  <c r="BP262" i="1"/>
  <c r="AC262" i="1"/>
  <c r="AD262" i="1" s="1"/>
  <c r="AX262" i="1" s="1"/>
  <c r="DY258" i="1"/>
  <c r="CL258" i="1"/>
  <c r="CM258" i="1" s="1"/>
  <c r="DM258" i="1" s="1"/>
  <c r="BY263" i="1"/>
  <c r="AL263" i="1"/>
  <c r="AM263" i="1" s="1"/>
  <c r="BA263" i="1" s="1"/>
  <c r="BJ264" i="1"/>
  <c r="W264" i="1"/>
  <c r="X264" i="1" s="1"/>
  <c r="AV264" i="1" s="1"/>
  <c r="BD256" i="1"/>
  <c r="Q256" i="1"/>
  <c r="R256" i="1" s="1"/>
  <c r="AT256" i="1" s="1"/>
  <c r="ET256" i="1"/>
  <c r="DG256" i="1"/>
  <c r="DH256" i="1" s="1"/>
  <c r="DT256" i="1" s="1"/>
  <c r="AF255" i="1"/>
  <c r="AG255" i="1" s="1"/>
  <c r="AY255" i="1" s="1"/>
  <c r="BS255" i="1"/>
  <c r="AO249" i="1"/>
  <c r="AP249" i="1" s="1"/>
  <c r="BB249" i="1" s="1"/>
  <c r="CB249" i="1"/>
  <c r="T257" i="1"/>
  <c r="U257" i="1" s="1"/>
  <c r="AU257" i="1" s="1"/>
  <c r="BG257" i="1"/>
  <c r="ET249" i="1"/>
  <c r="DG249" i="1"/>
  <c r="DH249" i="1" s="1"/>
  <c r="DT249" i="1" s="1"/>
  <c r="BY251" i="1"/>
  <c r="AL251" i="1"/>
  <c r="AM251" i="1" s="1"/>
  <c r="BA251" i="1" s="1"/>
  <c r="DV246" i="1"/>
  <c r="CI246" i="1"/>
  <c r="CJ246" i="1" s="1"/>
  <c r="DL246" i="1" s="1"/>
  <c r="ET245" i="1"/>
  <c r="DG245" i="1"/>
  <c r="DH245" i="1" s="1"/>
  <c r="DT245" i="1" s="1"/>
  <c r="DJ244" i="1"/>
  <c r="DK244" i="1" s="1"/>
  <c r="DU244" i="1" s="1"/>
  <c r="EW244" i="1"/>
  <c r="CU242" i="1"/>
  <c r="CV242" i="1" s="1"/>
  <c r="DP242" i="1" s="1"/>
  <c r="EH242" i="1"/>
  <c r="BP246" i="1"/>
  <c r="AC246" i="1"/>
  <c r="AD246" i="1" s="1"/>
  <c r="AX246" i="1" s="1"/>
  <c r="EP241" i="1"/>
  <c r="EO241" i="1"/>
  <c r="EQ253" i="1"/>
  <c r="DD253" i="1"/>
  <c r="DE253" i="1" s="1"/>
  <c r="DS253" i="1" s="1"/>
  <c r="DJ253" i="1"/>
  <c r="DK253" i="1" s="1"/>
  <c r="DU253" i="1" s="1"/>
  <c r="EW253" i="1"/>
  <c r="CU250" i="1"/>
  <c r="CV250" i="1" s="1"/>
  <c r="DP250" i="1" s="1"/>
  <c r="EH250" i="1"/>
  <c r="EB250" i="1"/>
  <c r="CO250" i="1"/>
  <c r="CP250" i="1" s="1"/>
  <c r="DN250" i="1" s="1"/>
  <c r="AO236" i="1"/>
  <c r="AP236" i="1" s="1"/>
  <c r="BB236" i="1" s="1"/>
  <c r="CB236" i="1"/>
  <c r="BG225" i="1"/>
  <c r="T225" i="1"/>
  <c r="U225" i="1" s="1"/>
  <c r="AU225" i="1" s="1"/>
  <c r="BD238" i="1"/>
  <c r="Q238" i="1"/>
  <c r="R238" i="1" s="1"/>
  <c r="AT238" i="1" s="1"/>
  <c r="DD238" i="1"/>
  <c r="DE238" i="1" s="1"/>
  <c r="DS238" i="1" s="1"/>
  <c r="EQ238" i="1"/>
  <c r="CB231" i="1"/>
  <c r="AO231" i="1"/>
  <c r="AP231" i="1" s="1"/>
  <c r="BB231" i="1" s="1"/>
  <c r="BN247" i="1"/>
  <c r="BO247" i="1"/>
  <c r="EQ230" i="1"/>
  <c r="DD230" i="1"/>
  <c r="DE230" i="1" s="1"/>
  <c r="DS230" i="1" s="1"/>
  <c r="EG247" i="1"/>
  <c r="EF247" i="1"/>
  <c r="DD233" i="1"/>
  <c r="DE233" i="1" s="1"/>
  <c r="DS233" i="1" s="1"/>
  <c r="EQ233" i="1"/>
  <c r="CR232" i="1"/>
  <c r="CS232" i="1" s="1"/>
  <c r="DO232" i="1" s="1"/>
  <c r="EE232" i="1"/>
  <c r="EN260" i="1"/>
  <c r="DA260" i="1"/>
  <c r="DB260" i="1" s="1"/>
  <c r="DR260" i="1" s="1"/>
  <c r="CR260" i="1"/>
  <c r="CS260" i="1" s="1"/>
  <c r="DO260" i="1" s="1"/>
  <c r="EE260" i="1"/>
  <c r="EJ238" i="1"/>
  <c r="EI238" i="1"/>
  <c r="AR230" i="1"/>
  <c r="AS230" i="1" s="1"/>
  <c r="BC230" i="1" s="1"/>
  <c r="CE230" i="1"/>
  <c r="CU237" i="1"/>
  <c r="CV237" i="1" s="1"/>
  <c r="DP237" i="1" s="1"/>
  <c r="EH237" i="1"/>
  <c r="T226" i="1"/>
  <c r="U226" i="1" s="1"/>
  <c r="AU226" i="1" s="1"/>
  <c r="BG226" i="1"/>
  <c r="AF216" i="1"/>
  <c r="AG216" i="1" s="1"/>
  <c r="AY216" i="1" s="1"/>
  <c r="BS216" i="1"/>
  <c r="CL229" i="1"/>
  <c r="CM229" i="1" s="1"/>
  <c r="DM229" i="1" s="1"/>
  <c r="DY229" i="1"/>
  <c r="AI227" i="1"/>
  <c r="AJ227" i="1" s="1"/>
  <c r="AZ227" i="1" s="1"/>
  <c r="BV227" i="1"/>
  <c r="BU238" i="1"/>
  <c r="BT238" i="1"/>
  <c r="CB216" i="1"/>
  <c r="AO216" i="1"/>
  <c r="AP216" i="1" s="1"/>
  <c r="BB216" i="1" s="1"/>
  <c r="CA231" i="1"/>
  <c r="BZ231" i="1"/>
  <c r="DV216" i="1"/>
  <c r="CI216" i="1"/>
  <c r="CJ216" i="1" s="1"/>
  <c r="DL216" i="1" s="1"/>
  <c r="DG228" i="1"/>
  <c r="DH228" i="1" s="1"/>
  <c r="DT228" i="1" s="1"/>
  <c r="ET228" i="1"/>
  <c r="AC223" i="1"/>
  <c r="AD223" i="1" s="1"/>
  <c r="AX223" i="1" s="1"/>
  <c r="BP223" i="1"/>
  <c r="EN213" i="1"/>
  <c r="DA213" i="1"/>
  <c r="DB213" i="1" s="1"/>
  <c r="DR213" i="1" s="1"/>
  <c r="AR215" i="1"/>
  <c r="AS215" i="1" s="1"/>
  <c r="BC215" i="1" s="1"/>
  <c r="CE215" i="1"/>
  <c r="EU215" i="1"/>
  <c r="EV215" i="1"/>
  <c r="EK221" i="1"/>
  <c r="CX221" i="1"/>
  <c r="CY221" i="1" s="1"/>
  <c r="DQ221" i="1" s="1"/>
  <c r="DG220" i="1"/>
  <c r="DH220" i="1" s="1"/>
  <c r="DT220" i="1" s="1"/>
  <c r="ET220" i="1"/>
  <c r="BS219" i="1"/>
  <c r="AF219" i="1"/>
  <c r="AG219" i="1" s="1"/>
  <c r="AY219" i="1" s="1"/>
  <c r="AF217" i="1"/>
  <c r="AG217" i="1" s="1"/>
  <c r="AY217" i="1" s="1"/>
  <c r="BS217" i="1"/>
  <c r="EH210" i="1"/>
  <c r="CU210" i="1"/>
  <c r="CV210" i="1" s="1"/>
  <c r="DP210" i="1" s="1"/>
  <c r="EH200" i="1"/>
  <c r="CU200" i="1"/>
  <c r="CV200" i="1" s="1"/>
  <c r="DP200" i="1" s="1"/>
  <c r="CA210" i="1"/>
  <c r="BZ210" i="1"/>
  <c r="CU201" i="1"/>
  <c r="CV201" i="1" s="1"/>
  <c r="DP201" i="1" s="1"/>
  <c r="EH201" i="1"/>
  <c r="EB207" i="1"/>
  <c r="CO207" i="1"/>
  <c r="CP207" i="1" s="1"/>
  <c r="DN207" i="1" s="1"/>
  <c r="CI205" i="1"/>
  <c r="CJ205" i="1" s="1"/>
  <c r="DL205" i="1" s="1"/>
  <c r="DV205" i="1"/>
  <c r="DA211" i="1"/>
  <c r="DB211" i="1" s="1"/>
  <c r="DR211" i="1" s="1"/>
  <c r="EN211" i="1"/>
  <c r="CU212" i="1"/>
  <c r="CV212" i="1" s="1"/>
  <c r="DP212" i="1" s="1"/>
  <c r="EH212" i="1"/>
  <c r="CO208" i="1"/>
  <c r="CP208" i="1" s="1"/>
  <c r="DN208" i="1" s="1"/>
  <c r="EB208" i="1"/>
  <c r="AO207" i="1"/>
  <c r="AP207" i="1" s="1"/>
  <c r="BB207" i="1" s="1"/>
  <c r="CB207" i="1"/>
  <c r="EE206" i="1"/>
  <c r="CR206" i="1"/>
  <c r="CS206" i="1" s="1"/>
  <c r="DO206" i="1" s="1"/>
  <c r="BV203" i="1"/>
  <c r="AI203" i="1"/>
  <c r="AJ203" i="1" s="1"/>
  <c r="AZ203" i="1" s="1"/>
  <c r="Z218" i="1"/>
  <c r="AA218" i="1" s="1"/>
  <c r="AW218" i="1" s="1"/>
  <c r="BM218" i="1"/>
  <c r="BY212" i="1"/>
  <c r="AL212" i="1"/>
  <c r="AM212" i="1" s="1"/>
  <c r="BA212" i="1" s="1"/>
  <c r="BS197" i="1"/>
  <c r="AF197" i="1"/>
  <c r="AG197" i="1" s="1"/>
  <c r="AY197" i="1" s="1"/>
  <c r="BG177" i="1"/>
  <c r="T177" i="1"/>
  <c r="U177" i="1" s="1"/>
  <c r="AU177" i="1" s="1"/>
  <c r="BU208" i="1"/>
  <c r="BT208" i="1"/>
  <c r="AL172" i="1"/>
  <c r="AM172" i="1" s="1"/>
  <c r="BA172" i="1" s="1"/>
  <c r="BY172" i="1"/>
  <c r="DV199" i="1"/>
  <c r="CI199" i="1"/>
  <c r="CJ199" i="1" s="1"/>
  <c r="DL199" i="1" s="1"/>
  <c r="DD199" i="1"/>
  <c r="DE199" i="1" s="1"/>
  <c r="DS199" i="1" s="1"/>
  <c r="EQ199" i="1"/>
  <c r="AR187" i="1"/>
  <c r="AS187" i="1" s="1"/>
  <c r="BC187" i="1" s="1"/>
  <c r="CE187" i="1"/>
  <c r="EW198" i="1"/>
  <c r="DJ198" i="1"/>
  <c r="DK198" i="1" s="1"/>
  <c r="DU198" i="1" s="1"/>
  <c r="Q190" i="1"/>
  <c r="R190" i="1" s="1"/>
  <c r="AT190" i="1" s="1"/>
  <c r="BD190" i="1"/>
  <c r="AR180" i="1"/>
  <c r="AS180" i="1" s="1"/>
  <c r="BC180" i="1" s="1"/>
  <c r="CE180" i="1"/>
  <c r="AI190" i="1"/>
  <c r="AJ190" i="1" s="1"/>
  <c r="AZ190" i="1" s="1"/>
  <c r="BV190" i="1"/>
  <c r="DY180" i="1"/>
  <c r="CL180" i="1"/>
  <c r="CM180" i="1" s="1"/>
  <c r="DM180" i="1" s="1"/>
  <c r="DV193" i="1"/>
  <c r="CI193" i="1"/>
  <c r="CJ193" i="1" s="1"/>
  <c r="DL193" i="1" s="1"/>
  <c r="CE174" i="1"/>
  <c r="AR174" i="1"/>
  <c r="AS174" i="1" s="1"/>
  <c r="BC174" i="1" s="1"/>
  <c r="BJ185" i="1"/>
  <c r="W185" i="1"/>
  <c r="X185" i="1" s="1"/>
  <c r="AV185" i="1" s="1"/>
  <c r="AI181" i="1"/>
  <c r="AJ181" i="1" s="1"/>
  <c r="AZ181" i="1" s="1"/>
  <c r="BV181" i="1"/>
  <c r="CI185" i="1"/>
  <c r="CJ185" i="1" s="1"/>
  <c r="DL185" i="1" s="1"/>
  <c r="DV185" i="1"/>
  <c r="EW182" i="1"/>
  <c r="DJ182" i="1"/>
  <c r="DK182" i="1" s="1"/>
  <c r="DU182" i="1" s="1"/>
  <c r="AC163" i="1"/>
  <c r="AD163" i="1" s="1"/>
  <c r="AX163" i="1" s="1"/>
  <c r="BP163" i="1"/>
  <c r="DG174" i="1"/>
  <c r="DH174" i="1" s="1"/>
  <c r="DT174" i="1" s="1"/>
  <c r="ET174" i="1"/>
  <c r="BG192" i="1"/>
  <c r="T192" i="1"/>
  <c r="U192" i="1" s="1"/>
  <c r="AU192" i="1" s="1"/>
  <c r="DD192" i="1"/>
  <c r="DE192" i="1" s="1"/>
  <c r="DS192" i="1" s="1"/>
  <c r="EQ192" i="1"/>
  <c r="BL191" i="1"/>
  <c r="BK191" i="1"/>
  <c r="AO191" i="1"/>
  <c r="AP191" i="1" s="1"/>
  <c r="BB191" i="1" s="1"/>
  <c r="CB191" i="1"/>
  <c r="CE191" i="1"/>
  <c r="AR191" i="1"/>
  <c r="AS191" i="1" s="1"/>
  <c r="BC191" i="1" s="1"/>
  <c r="DJ178" i="1"/>
  <c r="DK178" i="1" s="1"/>
  <c r="DU178" i="1" s="1"/>
  <c r="EW178" i="1"/>
  <c r="BG160" i="1"/>
  <c r="T160" i="1"/>
  <c r="U160" i="1" s="1"/>
  <c r="AU160" i="1" s="1"/>
  <c r="AO165" i="1"/>
  <c r="AP165" i="1" s="1"/>
  <c r="BB165" i="1" s="1"/>
  <c r="CB165" i="1"/>
  <c r="DJ160" i="1"/>
  <c r="DK160" i="1" s="1"/>
  <c r="DU160" i="1" s="1"/>
  <c r="EW160" i="1"/>
  <c r="DG153" i="1"/>
  <c r="DH153" i="1" s="1"/>
  <c r="DT153" i="1" s="1"/>
  <c r="ET153" i="1"/>
  <c r="BR193" i="1"/>
  <c r="BQ193" i="1"/>
  <c r="T171" i="1"/>
  <c r="U171" i="1" s="1"/>
  <c r="AU171" i="1" s="1"/>
  <c r="BG171" i="1"/>
  <c r="AD170" i="1"/>
  <c r="AI166" i="1"/>
  <c r="AJ166" i="1" s="1"/>
  <c r="AZ166" i="1" s="1"/>
  <c r="BV166" i="1"/>
  <c r="CR165" i="1"/>
  <c r="CS165" i="1" s="1"/>
  <c r="DO165" i="1" s="1"/>
  <c r="EE165" i="1"/>
  <c r="BP160" i="1"/>
  <c r="AC160" i="1"/>
  <c r="AD160" i="1" s="1"/>
  <c r="AX160" i="1" s="1"/>
  <c r="BM162" i="1"/>
  <c r="Z162" i="1"/>
  <c r="AA162" i="1" s="1"/>
  <c r="AW162" i="1" s="1"/>
  <c r="CD171" i="1"/>
  <c r="CC171" i="1"/>
  <c r="EY172" i="1"/>
  <c r="EX172" i="1"/>
  <c r="BD164" i="1"/>
  <c r="Q164" i="1"/>
  <c r="R164" i="1" s="1"/>
  <c r="AT164" i="1" s="1"/>
  <c r="BG152" i="1"/>
  <c r="T152" i="1"/>
  <c r="U152" i="1" s="1"/>
  <c r="AU152" i="1" s="1"/>
  <c r="EE169" i="1"/>
  <c r="CR169" i="1"/>
  <c r="CS169" i="1" s="1"/>
  <c r="DO169" i="1" s="1"/>
  <c r="BL160" i="1"/>
  <c r="BK160" i="1"/>
  <c r="ED186" i="1"/>
  <c r="EC186" i="1"/>
  <c r="EE156" i="1"/>
  <c r="CR156" i="1"/>
  <c r="CS156" i="1" s="1"/>
  <c r="DO156" i="1" s="1"/>
  <c r="BY146" i="1"/>
  <c r="AL146" i="1"/>
  <c r="AM146" i="1" s="1"/>
  <c r="BA146" i="1" s="1"/>
  <c r="CI159" i="1"/>
  <c r="CJ159" i="1" s="1"/>
  <c r="DL159" i="1" s="1"/>
  <c r="DV159" i="1"/>
  <c r="CA182" i="1"/>
  <c r="BZ182" i="1"/>
  <c r="BV139" i="1"/>
  <c r="AI139" i="1"/>
  <c r="AJ139" i="1" s="1"/>
  <c r="AZ139" i="1" s="1"/>
  <c r="BH149" i="1"/>
  <c r="BI149" i="1"/>
  <c r="ES178" i="1"/>
  <c r="ER178" i="1"/>
  <c r="BU159" i="1"/>
  <c r="BT159" i="1"/>
  <c r="BM150" i="1"/>
  <c r="Z150" i="1"/>
  <c r="AA150" i="1" s="1"/>
  <c r="AW150" i="1" s="1"/>
  <c r="W149" i="1"/>
  <c r="X149" i="1" s="1"/>
  <c r="AV149" i="1" s="1"/>
  <c r="BJ149" i="1"/>
  <c r="BZ160" i="1"/>
  <c r="CA160" i="1"/>
  <c r="CX133" i="1"/>
  <c r="CY133" i="1" s="1"/>
  <c r="DQ133" i="1" s="1"/>
  <c r="EK133" i="1"/>
  <c r="AC133" i="1"/>
  <c r="AD133" i="1" s="1"/>
  <c r="AX133" i="1" s="1"/>
  <c r="BP133" i="1"/>
  <c r="W122" i="1"/>
  <c r="X122" i="1" s="1"/>
  <c r="AV122" i="1" s="1"/>
  <c r="BJ122" i="1"/>
  <c r="AF154" i="1"/>
  <c r="AG154" i="1" s="1"/>
  <c r="AY154" i="1" s="1"/>
  <c r="BS154" i="1"/>
  <c r="EK154" i="1"/>
  <c r="CX154" i="1"/>
  <c r="CY154" i="1" s="1"/>
  <c r="DQ154" i="1" s="1"/>
  <c r="CL141" i="1"/>
  <c r="CM141" i="1" s="1"/>
  <c r="DM141" i="1" s="1"/>
  <c r="DY141" i="1"/>
  <c r="AF137" i="1"/>
  <c r="AG137" i="1" s="1"/>
  <c r="AY137" i="1" s="1"/>
  <c r="BS137" i="1"/>
  <c r="CU132" i="1"/>
  <c r="CV132" i="1" s="1"/>
  <c r="DP132" i="1" s="1"/>
  <c r="EH132" i="1"/>
  <c r="DG133" i="1"/>
  <c r="DH133" i="1" s="1"/>
  <c r="DT133" i="1" s="1"/>
  <c r="ET133" i="1"/>
  <c r="DY115" i="1"/>
  <c r="CL115" i="1"/>
  <c r="CM115" i="1" s="1"/>
  <c r="DM115" i="1" s="1"/>
  <c r="EH135" i="1"/>
  <c r="CU135" i="1"/>
  <c r="CV135" i="1" s="1"/>
  <c r="DP135" i="1" s="1"/>
  <c r="DV137" i="1"/>
  <c r="CI137" i="1"/>
  <c r="CJ137" i="1" s="1"/>
  <c r="DL137" i="1" s="1"/>
  <c r="CU120" i="1"/>
  <c r="CV120" i="1" s="1"/>
  <c r="DP120" i="1" s="1"/>
  <c r="EH120" i="1"/>
  <c r="BJ135" i="1"/>
  <c r="W135" i="1"/>
  <c r="X135" i="1" s="1"/>
  <c r="AV135" i="1" s="1"/>
  <c r="BO135" i="1"/>
  <c r="BN135" i="1"/>
  <c r="BD112" i="1"/>
  <c r="Q112" i="1"/>
  <c r="R112" i="1" s="1"/>
  <c r="AT112" i="1" s="1"/>
  <c r="CC138" i="1"/>
  <c r="CD138" i="1"/>
  <c r="AG144" i="1"/>
  <c r="DA116" i="1"/>
  <c r="DB116" i="1" s="1"/>
  <c r="DR116" i="1" s="1"/>
  <c r="EN116" i="1"/>
  <c r="Q117" i="1"/>
  <c r="R117" i="1" s="1"/>
  <c r="AT117" i="1" s="1"/>
  <c r="BD117" i="1"/>
  <c r="DA113" i="1"/>
  <c r="DB113" i="1" s="1"/>
  <c r="DR113" i="1" s="1"/>
  <c r="EN113" i="1"/>
  <c r="ES128" i="1"/>
  <c r="ER128" i="1"/>
  <c r="CG139" i="1"/>
  <c r="CF139" i="1"/>
  <c r="EK123" i="1"/>
  <c r="CX123" i="1"/>
  <c r="CY123" i="1" s="1"/>
  <c r="DQ123" i="1" s="1"/>
  <c r="DV116" i="1"/>
  <c r="CI116" i="1"/>
  <c r="CJ116" i="1" s="1"/>
  <c r="DL116" i="1" s="1"/>
  <c r="CD139" i="1"/>
  <c r="CC139" i="1"/>
  <c r="BL129" i="1"/>
  <c r="BK129" i="1"/>
  <c r="EH114" i="1"/>
  <c r="CU114" i="1"/>
  <c r="CV114" i="1" s="1"/>
  <c r="DP114" i="1" s="1"/>
  <c r="DV99" i="1"/>
  <c r="CI99" i="1"/>
  <c r="CJ99" i="1" s="1"/>
  <c r="DL99" i="1" s="1"/>
  <c r="AO102" i="1"/>
  <c r="AP102" i="1" s="1"/>
  <c r="BB102" i="1" s="1"/>
  <c r="CB102" i="1"/>
  <c r="DV119" i="1"/>
  <c r="CI119" i="1"/>
  <c r="CJ119" i="1" s="1"/>
  <c r="DL119" i="1" s="1"/>
  <c r="T94" i="1"/>
  <c r="U94" i="1" s="1"/>
  <c r="AU94" i="1" s="1"/>
  <c r="BG94" i="1"/>
  <c r="CD121" i="1"/>
  <c r="CC121" i="1"/>
  <c r="CU102" i="1"/>
  <c r="CV102" i="1" s="1"/>
  <c r="DP102" i="1" s="1"/>
  <c r="EH102" i="1"/>
  <c r="CU148" i="1"/>
  <c r="CV148" i="1" s="1"/>
  <c r="DP148" i="1" s="1"/>
  <c r="EH148" i="1"/>
  <c r="EQ148" i="1"/>
  <c r="DD148" i="1"/>
  <c r="DE148" i="1" s="1"/>
  <c r="DS148" i="1" s="1"/>
  <c r="BV99" i="1"/>
  <c r="AI99" i="1"/>
  <c r="AJ99" i="1" s="1"/>
  <c r="AZ99" i="1" s="1"/>
  <c r="EP135" i="1"/>
  <c r="EO135" i="1"/>
  <c r="CF123" i="1"/>
  <c r="CG123" i="1"/>
  <c r="DY95" i="1"/>
  <c r="CL95" i="1"/>
  <c r="CM95" i="1" s="1"/>
  <c r="DM95" i="1" s="1"/>
  <c r="EG116" i="1"/>
  <c r="EF116" i="1"/>
  <c r="AO114" i="1"/>
  <c r="AP114" i="1" s="1"/>
  <c r="BB114" i="1" s="1"/>
  <c r="CB114" i="1"/>
  <c r="EH94" i="1"/>
  <c r="CU94" i="1"/>
  <c r="CV94" i="1" s="1"/>
  <c r="DP94" i="1" s="1"/>
  <c r="AF121" i="1"/>
  <c r="AG121" i="1" s="1"/>
  <c r="AY121" i="1" s="1"/>
  <c r="BS121" i="1"/>
  <c r="DA121" i="1"/>
  <c r="DB121" i="1" s="1"/>
  <c r="DR121" i="1" s="1"/>
  <c r="EN121" i="1"/>
  <c r="BJ103" i="1"/>
  <c r="W103" i="1"/>
  <c r="X103" i="1" s="1"/>
  <c r="AV103" i="1" s="1"/>
  <c r="EE87" i="1"/>
  <c r="CR87" i="1"/>
  <c r="CS87" i="1" s="1"/>
  <c r="DO87" i="1" s="1"/>
  <c r="AO111" i="1"/>
  <c r="AP111" i="1" s="1"/>
  <c r="BB111" i="1" s="1"/>
  <c r="CB111" i="1"/>
  <c r="EW99" i="1"/>
  <c r="DJ99" i="1"/>
  <c r="DK99" i="1" s="1"/>
  <c r="DU99" i="1" s="1"/>
  <c r="BJ87" i="1"/>
  <c r="W87" i="1"/>
  <c r="X87" i="1" s="1"/>
  <c r="AV87" i="1" s="1"/>
  <c r="EE106" i="1"/>
  <c r="CR106" i="1"/>
  <c r="CS106" i="1" s="1"/>
  <c r="DO106" i="1" s="1"/>
  <c r="CL106" i="1"/>
  <c r="CM106" i="1" s="1"/>
  <c r="DM106" i="1" s="1"/>
  <c r="DY106" i="1"/>
  <c r="EQ93" i="1"/>
  <c r="DD93" i="1"/>
  <c r="DE93" i="1" s="1"/>
  <c r="DS93" i="1" s="1"/>
  <c r="EH69" i="1"/>
  <c r="CU69" i="1"/>
  <c r="CV69" i="1" s="1"/>
  <c r="DP69" i="1" s="1"/>
  <c r="W78" i="1"/>
  <c r="X78" i="1" s="1"/>
  <c r="AV78" i="1" s="1"/>
  <c r="BJ78" i="1"/>
  <c r="Z69" i="1"/>
  <c r="AA69" i="1" s="1"/>
  <c r="AW69" i="1" s="1"/>
  <c r="BM69" i="1"/>
  <c r="BN87" i="1"/>
  <c r="BO87" i="1"/>
  <c r="DJ74" i="1"/>
  <c r="DK74" i="1" s="1"/>
  <c r="DU74" i="1" s="1"/>
  <c r="EW74" i="1"/>
  <c r="CL109" i="1"/>
  <c r="CM109" i="1" s="1"/>
  <c r="DM109" i="1" s="1"/>
  <c r="DY109" i="1"/>
  <c r="BD109" i="1"/>
  <c r="Q109" i="1"/>
  <c r="R109" i="1" s="1"/>
  <c r="AT109" i="1" s="1"/>
  <c r="AI98" i="1"/>
  <c r="AJ98" i="1" s="1"/>
  <c r="AZ98" i="1" s="1"/>
  <c r="BV98" i="1"/>
  <c r="EW97" i="1"/>
  <c r="DJ97" i="1"/>
  <c r="DK97" i="1" s="1"/>
  <c r="DU97" i="1" s="1"/>
  <c r="EU91" i="1"/>
  <c r="EV91" i="1"/>
  <c r="EN84" i="1"/>
  <c r="DA84" i="1"/>
  <c r="DB84" i="1" s="1"/>
  <c r="DR84" i="1" s="1"/>
  <c r="EH73" i="1"/>
  <c r="CU73" i="1"/>
  <c r="CV73" i="1" s="1"/>
  <c r="DP73" i="1" s="1"/>
  <c r="BY89" i="1"/>
  <c r="AL89" i="1"/>
  <c r="AM89" i="1" s="1"/>
  <c r="BA89" i="1" s="1"/>
  <c r="AR89" i="1"/>
  <c r="AS89" i="1" s="1"/>
  <c r="BC89" i="1" s="1"/>
  <c r="CE89" i="1"/>
  <c r="BS88" i="1"/>
  <c r="AF88" i="1"/>
  <c r="AG88" i="1" s="1"/>
  <c r="AY88" i="1" s="1"/>
  <c r="CD145" i="1"/>
  <c r="CC145" i="1"/>
  <c r="EH81" i="1"/>
  <c r="CU81" i="1"/>
  <c r="CV81" i="1" s="1"/>
  <c r="DP81" i="1" s="1"/>
  <c r="EV107" i="1"/>
  <c r="EU107" i="1"/>
  <c r="BV74" i="1"/>
  <c r="AI74" i="1"/>
  <c r="AJ74" i="1" s="1"/>
  <c r="AZ74" i="1" s="1"/>
  <c r="CO86" i="1"/>
  <c r="CP86" i="1" s="1"/>
  <c r="DN86" i="1" s="1"/>
  <c r="EB86" i="1"/>
  <c r="EK77" i="1"/>
  <c r="CX77" i="1"/>
  <c r="CY77" i="1" s="1"/>
  <c r="DQ77" i="1" s="1"/>
  <c r="BO74" i="1"/>
  <c r="BN74" i="1"/>
  <c r="EB61" i="1"/>
  <c r="CO61" i="1"/>
  <c r="CP61" i="1" s="1"/>
  <c r="DN61" i="1" s="1"/>
  <c r="EE108" i="1"/>
  <c r="CR108" i="1"/>
  <c r="CS108" i="1" s="1"/>
  <c r="DO108" i="1" s="1"/>
  <c r="AC108" i="1"/>
  <c r="AD108" i="1" s="1"/>
  <c r="AX108" i="1" s="1"/>
  <c r="BP108" i="1"/>
  <c r="DV75" i="1"/>
  <c r="CI75" i="1"/>
  <c r="CJ75" i="1" s="1"/>
  <c r="DL75" i="1" s="1"/>
  <c r="T75" i="1"/>
  <c r="U75" i="1" s="1"/>
  <c r="AU75" i="1" s="1"/>
  <c r="BG75" i="1"/>
  <c r="DY67" i="1"/>
  <c r="CL67" i="1"/>
  <c r="CM67" i="1" s="1"/>
  <c r="DM67" i="1" s="1"/>
  <c r="W86" i="1"/>
  <c r="X86" i="1" s="1"/>
  <c r="AV86" i="1" s="1"/>
  <c r="BJ86" i="1"/>
  <c r="EM91" i="1"/>
  <c r="EL91" i="1"/>
  <c r="DD82" i="1"/>
  <c r="DE82" i="1" s="1"/>
  <c r="DS82" i="1" s="1"/>
  <c r="EQ82" i="1"/>
  <c r="BY80" i="1"/>
  <c r="AL80" i="1"/>
  <c r="AM80" i="1" s="1"/>
  <c r="BA80" i="1" s="1"/>
  <c r="DA80" i="1"/>
  <c r="DB80" i="1" s="1"/>
  <c r="DR80" i="1" s="1"/>
  <c r="EN80" i="1"/>
  <c r="BH87" i="1"/>
  <c r="BI87" i="1"/>
  <c r="BL76" i="1"/>
  <c r="BK76" i="1"/>
  <c r="DD43" i="1"/>
  <c r="DE43" i="1" s="1"/>
  <c r="DS43" i="1" s="1"/>
  <c r="EQ43" i="1"/>
  <c r="EH36" i="1"/>
  <c r="CU36" i="1"/>
  <c r="CV36" i="1" s="1"/>
  <c r="DP36" i="1" s="1"/>
  <c r="AS79" i="1"/>
  <c r="BM56" i="1"/>
  <c r="Z56" i="1"/>
  <c r="AA56" i="1" s="1"/>
  <c r="AW56" i="1" s="1"/>
  <c r="CU37" i="1"/>
  <c r="CV37" i="1" s="1"/>
  <c r="DP37" i="1" s="1"/>
  <c r="EH37" i="1"/>
  <c r="W57" i="1"/>
  <c r="X57" i="1" s="1"/>
  <c r="AV57" i="1" s="1"/>
  <c r="BJ57" i="1"/>
  <c r="DD52" i="1"/>
  <c r="DE52" i="1" s="1"/>
  <c r="DS52" i="1" s="1"/>
  <c r="EQ52" i="1"/>
  <c r="BY39" i="1"/>
  <c r="AL39" i="1"/>
  <c r="AM39" i="1" s="1"/>
  <c r="BA39" i="1" s="1"/>
  <c r="CO54" i="1"/>
  <c r="CP54" i="1" s="1"/>
  <c r="DN54" i="1" s="1"/>
  <c r="EB54" i="1"/>
  <c r="BV85" i="1"/>
  <c r="AI85" i="1"/>
  <c r="AJ85" i="1" s="1"/>
  <c r="AZ85" i="1" s="1"/>
  <c r="EN85" i="1"/>
  <c r="DA85" i="1"/>
  <c r="DB85" i="1" s="1"/>
  <c r="DR85" i="1" s="1"/>
  <c r="BG57" i="1"/>
  <c r="T57" i="1"/>
  <c r="U57" i="1" s="1"/>
  <c r="AU57" i="1" s="1"/>
  <c r="W56" i="1"/>
  <c r="X56" i="1" s="1"/>
  <c r="AV56" i="1" s="1"/>
  <c r="BJ56" i="1"/>
  <c r="CB49" i="1"/>
  <c r="AO49" i="1"/>
  <c r="AP49" i="1" s="1"/>
  <c r="BB49" i="1" s="1"/>
  <c r="BG37" i="1"/>
  <c r="T37" i="1"/>
  <c r="U37" i="1" s="1"/>
  <c r="AU37" i="1" s="1"/>
  <c r="BG43" i="1"/>
  <c r="T43" i="1"/>
  <c r="U43" i="1" s="1"/>
  <c r="AU43" i="1" s="1"/>
  <c r="CU33" i="1"/>
  <c r="CV33" i="1" s="1"/>
  <c r="DP33" i="1" s="1"/>
  <c r="EH33" i="1"/>
  <c r="BD30" i="1"/>
  <c r="Q30" i="1"/>
  <c r="R30" i="1" s="1"/>
  <c r="AT30" i="1" s="1"/>
  <c r="BD18" i="1"/>
  <c r="Q18" i="1"/>
  <c r="R18" i="1" s="1"/>
  <c r="AT18" i="1" s="1"/>
  <c r="AO44" i="1"/>
  <c r="AP44" i="1" s="1"/>
  <c r="BB44" i="1" s="1"/>
  <c r="CB44" i="1"/>
  <c r="BG29" i="1"/>
  <c r="T29" i="1"/>
  <c r="U29" i="1" s="1"/>
  <c r="AU29" i="1" s="1"/>
  <c r="BY31" i="1"/>
  <c r="AL31" i="1"/>
  <c r="AM31" i="1" s="1"/>
  <c r="BA31" i="1" s="1"/>
  <c r="EB30" i="1"/>
  <c r="CO30" i="1"/>
  <c r="CP30" i="1" s="1"/>
  <c r="DN30" i="1" s="1"/>
  <c r="DX97" i="1"/>
  <c r="DW97" i="1"/>
  <c r="AC46" i="1"/>
  <c r="AD46" i="1" s="1"/>
  <c r="AX46" i="1" s="1"/>
  <c r="BP46" i="1"/>
  <c r="ET24" i="1"/>
  <c r="DG24" i="1"/>
  <c r="DH24" i="1" s="1"/>
  <c r="DT24" i="1" s="1"/>
  <c r="AL13" i="1"/>
  <c r="AM13" i="1" s="1"/>
  <c r="BA13" i="1" s="1"/>
  <c r="BY13" i="1"/>
  <c r="EJ56" i="1"/>
  <c r="EI56" i="1"/>
  <c r="BE41" i="1"/>
  <c r="BF41" i="1"/>
  <c r="CX21" i="1"/>
  <c r="CY21" i="1" s="1"/>
  <c r="DQ21" i="1" s="1"/>
  <c r="EK21" i="1"/>
  <c r="DZ56" i="1"/>
  <c r="EA56" i="1"/>
  <c r="BM55" i="1"/>
  <c r="Z55" i="1"/>
  <c r="AA55" i="1" s="1"/>
  <c r="AW55" i="1" s="1"/>
  <c r="BP30" i="1"/>
  <c r="AC30" i="1"/>
  <c r="AD30" i="1" s="1"/>
  <c r="AX30" i="1" s="1"/>
  <c r="EK22" i="1"/>
  <c r="CX22" i="1"/>
  <c r="CY22" i="1" s="1"/>
  <c r="DQ22" i="1" s="1"/>
  <c r="BV12" i="1"/>
  <c r="AI12" i="1"/>
  <c r="AJ12" i="1" s="1"/>
  <c r="AZ12" i="1" s="1"/>
  <c r="EQ24" i="1"/>
  <c r="DD24" i="1"/>
  <c r="DE24" i="1" s="1"/>
  <c r="DS24" i="1" s="1"/>
  <c r="DV31" i="1"/>
  <c r="CI31" i="1"/>
  <c r="CJ31" i="1" s="1"/>
  <c r="DL31" i="1" s="1"/>
  <c r="CR25" i="1"/>
  <c r="CS25" i="1" s="1"/>
  <c r="DO25" i="1" s="1"/>
  <c r="EE25" i="1"/>
  <c r="BG17" i="1"/>
  <c r="T17" i="1"/>
  <c r="U17" i="1" s="1"/>
  <c r="AU17" i="1" s="1"/>
  <c r="ER60" i="1"/>
  <c r="ES60" i="1"/>
  <c r="AA40" i="1"/>
  <c r="BY34" i="1"/>
  <c r="AL34" i="1"/>
  <c r="AM34" i="1" s="1"/>
  <c r="BA34" i="1" s="1"/>
  <c r="DJ34" i="1"/>
  <c r="DK34" i="1" s="1"/>
  <c r="DU34" i="1" s="1"/>
  <c r="EW34" i="1"/>
  <c r="EU21" i="1"/>
  <c r="EV21" i="1"/>
  <c r="AF3" i="1"/>
  <c r="AG3" i="1" s="1"/>
  <c r="AY3" i="1" s="1"/>
  <c r="BS3" i="1"/>
  <c r="BY10" i="1"/>
  <c r="AL10" i="1"/>
  <c r="AM10" i="1" s="1"/>
  <c r="BA10" i="1" s="1"/>
  <c r="CL3" i="1"/>
  <c r="CM3" i="1" s="1"/>
  <c r="DM3" i="1" s="1"/>
  <c r="DY3" i="1"/>
  <c r="DV6" i="1"/>
  <c r="CI6" i="1"/>
  <c r="CJ6" i="1" s="1"/>
  <c r="DL6" i="1" s="1"/>
  <c r="BM5" i="1"/>
  <c r="Z5" i="1"/>
  <c r="AA5" i="1" s="1"/>
  <c r="AW5" i="1" s="1"/>
  <c r="BQ57" i="1"/>
  <c r="BR57" i="1"/>
  <c r="BL21" i="1"/>
  <c r="BK21" i="1"/>
  <c r="EB15" i="1"/>
  <c r="CO15" i="1"/>
  <c r="CP15" i="1" s="1"/>
  <c r="DN15" i="1" s="1"/>
  <c r="ED9" i="1"/>
  <c r="EC9" i="1"/>
  <c r="EE6" i="1"/>
  <c r="CR6" i="1"/>
  <c r="CS6" i="1" s="1"/>
  <c r="DO6" i="1" s="1"/>
  <c r="ET6" i="1"/>
  <c r="DG6" i="1"/>
  <c r="DH6" i="1" s="1"/>
  <c r="DT6" i="1" s="1"/>
  <c r="EW3" i="1"/>
  <c r="DJ3" i="1"/>
  <c r="DK3" i="1" s="1"/>
  <c r="DU3" i="1" s="1"/>
  <c r="BR82" i="1"/>
  <c r="BQ82" i="1"/>
  <c r="T5" i="1"/>
  <c r="U5" i="1" s="1"/>
  <c r="AU5" i="1" s="1"/>
  <c r="BG5" i="1"/>
  <c r="BJ3" i="1"/>
  <c r="W3" i="1"/>
  <c r="X3" i="1" s="1"/>
  <c r="AV3" i="1" s="1"/>
  <c r="EV57" i="1"/>
  <c r="EU57" i="1"/>
  <c r="EN35" i="1"/>
  <c r="DA35" i="1"/>
  <c r="DB35" i="1" s="1"/>
  <c r="DR35" i="1" s="1"/>
  <c r="BM35" i="1"/>
  <c r="Z35" i="1"/>
  <c r="AA35" i="1" s="1"/>
  <c r="AW35" i="1" s="1"/>
  <c r="CX23" i="1"/>
  <c r="CY23" i="1" s="1"/>
  <c r="DQ23" i="1" s="1"/>
  <c r="EK23" i="1"/>
  <c r="BV23" i="1"/>
  <c r="AI23" i="1"/>
  <c r="AJ23" i="1" s="1"/>
  <c r="AZ23" i="1" s="1"/>
  <c r="EQ6" i="1"/>
  <c r="DD6" i="1"/>
  <c r="DE6" i="1" s="1"/>
  <c r="DS6" i="1" s="1"/>
  <c r="BM6" i="1"/>
  <c r="Z6" i="1"/>
  <c r="AA6" i="1" s="1"/>
  <c r="AW6" i="1" s="1"/>
  <c r="ES3" i="1"/>
  <c r="ER3" i="1"/>
  <c r="R197" i="1" l="1"/>
  <c r="AT197" i="1" s="1"/>
  <c r="M197" i="1" s="1"/>
  <c r="BN173" i="1"/>
  <c r="BQ255" i="1"/>
  <c r="EX17" i="1"/>
  <c r="DZ225" i="1"/>
  <c r="ER204" i="1"/>
  <c r="BE10" i="1"/>
  <c r="BQ224" i="1"/>
  <c r="EF130" i="1"/>
  <c r="EU112" i="1"/>
  <c r="CA266" i="1"/>
  <c r="CD271" i="1"/>
  <c r="BQ215" i="1"/>
  <c r="EV100" i="1"/>
  <c r="ED152" i="1"/>
  <c r="BF219" i="1"/>
  <c r="ES76" i="1"/>
  <c r="EV166" i="1"/>
  <c r="CC61" i="1"/>
  <c r="BQ180" i="1"/>
  <c r="DW253" i="1"/>
  <c r="EC184" i="1"/>
  <c r="CC64" i="1"/>
  <c r="CC266" i="1"/>
  <c r="EP214" i="1"/>
  <c r="EA45" i="1"/>
  <c r="BZ16" i="1"/>
  <c r="BE125" i="1"/>
  <c r="EM101" i="1"/>
  <c r="EL114" i="1"/>
  <c r="CC120" i="1"/>
  <c r="EY205" i="1"/>
  <c r="CD110" i="1"/>
  <c r="EU154" i="1"/>
  <c r="BR252" i="1"/>
  <c r="ER9" i="1"/>
  <c r="CA60" i="1"/>
  <c r="BQ16" i="1"/>
  <c r="BK138" i="1"/>
  <c r="EA71" i="1"/>
  <c r="CA126" i="1"/>
  <c r="EX21" i="1"/>
  <c r="BL186" i="1"/>
  <c r="BX107" i="1"/>
  <c r="EV262" i="1"/>
  <c r="CC20" i="1"/>
  <c r="BQ265" i="1"/>
  <c r="EF36" i="1"/>
  <c r="CF202" i="1"/>
  <c r="BK265" i="1"/>
  <c r="ED138" i="1"/>
  <c r="EI158" i="1"/>
  <c r="BZ83" i="1"/>
  <c r="BO115" i="1"/>
  <c r="BX8" i="1"/>
  <c r="CF186" i="1"/>
  <c r="CF153" i="1"/>
  <c r="BR138" i="1"/>
  <c r="BT68" i="1"/>
  <c r="BR186" i="1"/>
  <c r="EV87" i="1"/>
  <c r="EL30" i="1"/>
  <c r="EF69" i="1"/>
  <c r="EX125" i="1"/>
  <c r="EG45" i="1"/>
  <c r="EC236" i="1"/>
  <c r="BQ56" i="1"/>
  <c r="BT18" i="1"/>
  <c r="EF81" i="1"/>
  <c r="BO25" i="1"/>
  <c r="EG63" i="1"/>
  <c r="BE115" i="1"/>
  <c r="BW269" i="1"/>
  <c r="EC122" i="1"/>
  <c r="EO20" i="1"/>
  <c r="EV200" i="1"/>
  <c r="EV168" i="1"/>
  <c r="CG149" i="1"/>
  <c r="BU239" i="1"/>
  <c r="DZ234" i="1"/>
  <c r="EO91" i="1"/>
  <c r="BH128" i="1"/>
  <c r="BN153" i="1"/>
  <c r="CF47" i="1"/>
  <c r="CD113" i="1"/>
  <c r="BK33" i="1"/>
  <c r="EC167" i="1"/>
  <c r="ER213" i="1"/>
  <c r="BW211" i="1"/>
  <c r="EF227" i="1"/>
  <c r="BK188" i="1"/>
  <c r="EC143" i="1"/>
  <c r="EO259" i="1"/>
  <c r="BL84" i="1"/>
  <c r="BO20" i="1"/>
  <c r="EY41" i="1"/>
  <c r="EG151" i="1"/>
  <c r="EI8" i="1"/>
  <c r="BN38" i="1"/>
  <c r="EI136" i="1"/>
  <c r="CG162" i="1"/>
  <c r="CA113" i="1"/>
  <c r="EI205" i="1"/>
  <c r="BN33" i="1"/>
  <c r="CF22" i="1"/>
  <c r="DZ220" i="1"/>
  <c r="EA51" i="1"/>
  <c r="BE126" i="1"/>
  <c r="BZ36" i="1"/>
  <c r="EC244" i="1"/>
  <c r="CC180" i="1"/>
  <c r="CG254" i="1"/>
  <c r="EP167" i="1"/>
  <c r="BO43" i="1"/>
  <c r="CF240" i="1"/>
  <c r="BN165" i="1"/>
  <c r="CA239" i="1"/>
  <c r="EO107" i="1"/>
  <c r="EY259" i="1"/>
  <c r="EO256" i="1"/>
  <c r="EG256" i="1"/>
  <c r="EO114" i="1"/>
  <c r="BE215" i="1"/>
  <c r="CA42" i="1"/>
  <c r="BF16" i="1"/>
  <c r="BE16" i="1"/>
  <c r="BH243" i="1"/>
  <c r="CG227" i="1"/>
  <c r="EC103" i="1"/>
  <c r="EX221" i="1"/>
  <c r="BO254" i="1"/>
  <c r="EX65" i="1"/>
  <c r="EI67" i="1"/>
  <c r="BZ96" i="1"/>
  <c r="CG246" i="1"/>
  <c r="DW9" i="1"/>
  <c r="BO117" i="1"/>
  <c r="CG198" i="1"/>
  <c r="BH113" i="1"/>
  <c r="EF163" i="1"/>
  <c r="EY145" i="1"/>
  <c r="BT213" i="1"/>
  <c r="BH100" i="1"/>
  <c r="BW112" i="1"/>
  <c r="EX104" i="1"/>
  <c r="BH202" i="1"/>
  <c r="BI247" i="1"/>
  <c r="BH65" i="1"/>
  <c r="EA195" i="1"/>
  <c r="EJ60" i="1"/>
  <c r="BO139" i="1"/>
  <c r="BZ158" i="1"/>
  <c r="EO269" i="1"/>
  <c r="EP117" i="1"/>
  <c r="BN19" i="1"/>
  <c r="EM224" i="1"/>
  <c r="EG58" i="1"/>
  <c r="EC140" i="1"/>
  <c r="BU147" i="1"/>
  <c r="BN9" i="1"/>
  <c r="BN130" i="1"/>
  <c r="EG51" i="1"/>
  <c r="EI48" i="1"/>
  <c r="ER163" i="1"/>
  <c r="ES228" i="1"/>
  <c r="EF214" i="1"/>
  <c r="BW145" i="1"/>
  <c r="BI153" i="1"/>
  <c r="EY151" i="1"/>
  <c r="EM225" i="1"/>
  <c r="ES256" i="1"/>
  <c r="EC110" i="1"/>
  <c r="BO58" i="1"/>
  <c r="ES254" i="1"/>
  <c r="BN100" i="1"/>
  <c r="EO225" i="1"/>
  <c r="CF221" i="1"/>
  <c r="ER252" i="1"/>
  <c r="EL78" i="1"/>
  <c r="BZ127" i="1"/>
  <c r="EV247" i="1"/>
  <c r="BU189" i="1"/>
  <c r="BN127" i="1"/>
  <c r="BQ258" i="1"/>
  <c r="EU41" i="1"/>
  <c r="BK42" i="1"/>
  <c r="BZ168" i="1"/>
  <c r="EA100" i="1"/>
  <c r="EU20" i="1"/>
  <c r="BK140" i="1"/>
  <c r="BZ254" i="1"/>
  <c r="BE90" i="1"/>
  <c r="EJ220" i="1"/>
  <c r="EF64" i="1"/>
  <c r="CC90" i="1"/>
  <c r="BK4" i="1"/>
  <c r="BH205" i="1"/>
  <c r="BE29" i="1"/>
  <c r="CF252" i="1"/>
  <c r="CG252" i="1"/>
  <c r="CD31" i="1"/>
  <c r="BX163" i="1"/>
  <c r="ES193" i="1"/>
  <c r="EX156" i="1"/>
  <c r="CA149" i="1"/>
  <c r="BU227" i="1"/>
  <c r="EL229" i="1"/>
  <c r="BF48" i="1"/>
  <c r="BU202" i="1"/>
  <c r="BT202" i="1"/>
  <c r="CD7" i="1"/>
  <c r="EV46" i="1"/>
  <c r="EP33" i="1"/>
  <c r="BT63" i="1"/>
  <c r="BQ7" i="1"/>
  <c r="EL17" i="1"/>
  <c r="BO195" i="1"/>
  <c r="BW84" i="1"/>
  <c r="BO239" i="1"/>
  <c r="BT39" i="1"/>
  <c r="EO163" i="1"/>
  <c r="EO258" i="1"/>
  <c r="EA145" i="1"/>
  <c r="BO71" i="1"/>
  <c r="EU238" i="1"/>
  <c r="BW150" i="1"/>
  <c r="EA57" i="1"/>
  <c r="ED258" i="1"/>
  <c r="BT19" i="1"/>
  <c r="BW110" i="1"/>
  <c r="CA143" i="1"/>
  <c r="EI226" i="1"/>
  <c r="BN81" i="1"/>
  <c r="CA58" i="1"/>
  <c r="EU123" i="1"/>
  <c r="BO256" i="1"/>
  <c r="EM139" i="1"/>
  <c r="EM151" i="1"/>
  <c r="DZ91" i="1"/>
  <c r="BW75" i="1"/>
  <c r="BN188" i="1"/>
  <c r="EX93" i="1"/>
  <c r="BK177" i="1"/>
  <c r="ES152" i="1"/>
  <c r="BN36" i="1"/>
  <c r="BT262" i="1"/>
  <c r="EX107" i="1"/>
  <c r="BW136" i="1"/>
  <c r="BU153" i="1"/>
  <c r="EJ61" i="1"/>
  <c r="BZ189" i="1"/>
  <c r="BW174" i="1"/>
  <c r="EO110" i="1"/>
  <c r="EC197" i="1"/>
  <c r="EJ59" i="1"/>
  <c r="EJ21" i="1"/>
  <c r="CF60" i="1"/>
  <c r="EF271" i="1"/>
  <c r="EU136" i="1"/>
  <c r="EC189" i="1"/>
  <c r="EO126" i="1"/>
  <c r="EM49" i="1"/>
  <c r="DZ126" i="1"/>
  <c r="EV140" i="1"/>
  <c r="BT194" i="1"/>
  <c r="BH188" i="1"/>
  <c r="EI174" i="1"/>
  <c r="BU34" i="1"/>
  <c r="EF133" i="1"/>
  <c r="BW50" i="1"/>
  <c r="EC172" i="1"/>
  <c r="EY229" i="1"/>
  <c r="EC127" i="1"/>
  <c r="BE224" i="1"/>
  <c r="EU146" i="1"/>
  <c r="EX13" i="1"/>
  <c r="DW123" i="1"/>
  <c r="ES239" i="1"/>
  <c r="CD214" i="1"/>
  <c r="EO265" i="1"/>
  <c r="BF258" i="1"/>
  <c r="BL165" i="1"/>
  <c r="BN122" i="1"/>
  <c r="BQ208" i="1"/>
  <c r="ES63" i="1"/>
  <c r="EA215" i="1"/>
  <c r="BN60" i="1"/>
  <c r="CD69" i="1"/>
  <c r="EL174" i="1"/>
  <c r="DX184" i="1"/>
  <c r="DW10" i="1"/>
  <c r="BL163" i="1"/>
  <c r="EU182" i="1"/>
  <c r="BO147" i="1"/>
  <c r="DX257" i="1"/>
  <c r="CD202" i="1"/>
  <c r="EX129" i="1"/>
  <c r="BT142" i="1"/>
  <c r="DW270" i="1"/>
  <c r="EY200" i="1"/>
  <c r="BI164" i="1"/>
  <c r="EC73" i="1"/>
  <c r="BK25" i="1"/>
  <c r="BZ88" i="1"/>
  <c r="EX100" i="1"/>
  <c r="EM12" i="1"/>
  <c r="EV117" i="1"/>
  <c r="EU126" i="1"/>
  <c r="BW113" i="1"/>
  <c r="EF60" i="1"/>
  <c r="CC161" i="1"/>
  <c r="BW4" i="1"/>
  <c r="EI31" i="1"/>
  <c r="BH45" i="1"/>
  <c r="EX25" i="1"/>
  <c r="BQ104" i="1"/>
  <c r="EA41" i="1"/>
  <c r="BN132" i="1"/>
  <c r="DZ62" i="1"/>
  <c r="EP26" i="1"/>
  <c r="BN83" i="1"/>
  <c r="BU116" i="1"/>
  <c r="CF18" i="1"/>
  <c r="EC214" i="1"/>
  <c r="BN168" i="1"/>
  <c r="BR110" i="1"/>
  <c r="EA151" i="1"/>
  <c r="BQ176" i="1"/>
  <c r="EU163" i="1"/>
  <c r="BK62" i="1"/>
  <c r="BW33" i="1"/>
  <c r="BF200" i="1"/>
  <c r="EO94" i="1"/>
  <c r="BQ191" i="1"/>
  <c r="CD52" i="1"/>
  <c r="CC22" i="1"/>
  <c r="EY43" i="1"/>
  <c r="BU141" i="1"/>
  <c r="DX191" i="1"/>
  <c r="EU139" i="1"/>
  <c r="DW22" i="1"/>
  <c r="BN225" i="1"/>
  <c r="EM190" i="1"/>
  <c r="ED104" i="1"/>
  <c r="EL160" i="1"/>
  <c r="EV187" i="1"/>
  <c r="EU263" i="1"/>
  <c r="ER94" i="1"/>
  <c r="EO134" i="1"/>
  <c r="EU201" i="1"/>
  <c r="ER12" i="1"/>
  <c r="BO126" i="1"/>
  <c r="BI25" i="1"/>
  <c r="BU164" i="1"/>
  <c r="CD46" i="1"/>
  <c r="EM51" i="1"/>
  <c r="BF252" i="1"/>
  <c r="BZ197" i="1"/>
  <c r="BE69" i="1"/>
  <c r="BQ83" i="1"/>
  <c r="EX211" i="1"/>
  <c r="BU58" i="1"/>
  <c r="BO16" i="1"/>
  <c r="EC37" i="1"/>
  <c r="CF158" i="1"/>
  <c r="EI262" i="1"/>
  <c r="BH95" i="1"/>
  <c r="BH47" i="1"/>
  <c r="BU145" i="1"/>
  <c r="BK206" i="1"/>
  <c r="CG141" i="1"/>
  <c r="BQ245" i="1"/>
  <c r="ER246" i="1"/>
  <c r="ES246" i="1"/>
  <c r="EI20" i="1"/>
  <c r="EO224" i="1"/>
  <c r="EL269" i="1"/>
  <c r="BH49" i="1"/>
  <c r="CC194" i="1"/>
  <c r="BK52" i="1"/>
  <c r="EL88" i="1"/>
  <c r="BN202" i="1"/>
  <c r="DX61" i="1"/>
  <c r="EC132" i="1"/>
  <c r="BT218" i="1"/>
  <c r="CG112" i="1"/>
  <c r="EF115" i="1"/>
  <c r="CC200" i="1"/>
  <c r="DZ224" i="1"/>
  <c r="BK204" i="1"/>
  <c r="CD74" i="1"/>
  <c r="CC74" i="1"/>
  <c r="BO204" i="1"/>
  <c r="CC185" i="1"/>
  <c r="BH236" i="1"/>
  <c r="EA269" i="1"/>
  <c r="EO81" i="1"/>
  <c r="BZ241" i="1"/>
  <c r="EF195" i="1"/>
  <c r="EC71" i="1"/>
  <c r="BF189" i="1"/>
  <c r="BX165" i="1"/>
  <c r="BW165" i="1"/>
  <c r="DX111" i="1"/>
  <c r="BX62" i="1"/>
  <c r="EF255" i="1"/>
  <c r="EL153" i="1"/>
  <c r="BW68" i="1"/>
  <c r="EC29" i="1"/>
  <c r="DZ70" i="1"/>
  <c r="EO87" i="1"/>
  <c r="BT236" i="1"/>
  <c r="EL143" i="1"/>
  <c r="DZ186" i="1"/>
  <c r="BX217" i="1"/>
  <c r="DZ268" i="1"/>
  <c r="EI98" i="1"/>
  <c r="EM254" i="1"/>
  <c r="BT32" i="1"/>
  <c r="EM65" i="1"/>
  <c r="EL65" i="1"/>
  <c r="EI211" i="1"/>
  <c r="CF72" i="1"/>
  <c r="BT102" i="1"/>
  <c r="BQ19" i="1"/>
  <c r="EJ163" i="1"/>
  <c r="BU269" i="1"/>
  <c r="EJ140" i="1"/>
  <c r="BR63" i="1"/>
  <c r="CC125" i="1"/>
  <c r="EY139" i="1"/>
  <c r="BE64" i="1"/>
  <c r="BR161" i="1"/>
  <c r="BR48" i="1"/>
  <c r="BI271" i="1"/>
  <c r="BK174" i="1"/>
  <c r="CA194" i="1"/>
  <c r="CF213" i="1"/>
  <c r="EX134" i="1"/>
  <c r="EA200" i="1"/>
  <c r="EP138" i="1"/>
  <c r="BU8" i="1"/>
  <c r="DW251" i="1"/>
  <c r="BZ38" i="1"/>
  <c r="EL173" i="1"/>
  <c r="EP190" i="1"/>
  <c r="EM70" i="1"/>
  <c r="EY68" i="1"/>
  <c r="CC150" i="1"/>
  <c r="EG76" i="1"/>
  <c r="EF76" i="1"/>
  <c r="EI84" i="1"/>
  <c r="BH133" i="1"/>
  <c r="BH112" i="1"/>
  <c r="EL172" i="1"/>
  <c r="EO129" i="1"/>
  <c r="BF110" i="1"/>
  <c r="BO186" i="1"/>
  <c r="ER36" i="1"/>
  <c r="EC271" i="1"/>
  <c r="BE240" i="1"/>
  <c r="BW252" i="1"/>
  <c r="BF225" i="1"/>
  <c r="BE225" i="1"/>
  <c r="EA239" i="1"/>
  <c r="DZ239" i="1"/>
  <c r="ER31" i="1"/>
  <c r="EI123" i="1"/>
  <c r="BO47" i="1"/>
  <c r="EX225" i="1"/>
  <c r="CD204" i="1"/>
  <c r="BH195" i="1"/>
  <c r="BI195" i="1"/>
  <c r="EP90" i="1"/>
  <c r="EO90" i="1"/>
  <c r="BK18" i="1"/>
  <c r="DW117" i="1"/>
  <c r="BE104" i="1"/>
  <c r="DW245" i="1"/>
  <c r="DX245" i="1"/>
  <c r="BE176" i="1"/>
  <c r="ER69" i="1"/>
  <c r="CF39" i="1"/>
  <c r="EV48" i="1"/>
  <c r="BE246" i="1"/>
  <c r="CF102" i="1"/>
  <c r="BN210" i="1"/>
  <c r="BH224" i="1"/>
  <c r="BN41" i="1"/>
  <c r="ED48" i="1"/>
  <c r="CG239" i="1"/>
  <c r="CF239" i="1"/>
  <c r="BU186" i="1"/>
  <c r="BT186" i="1"/>
  <c r="DZ12" i="1"/>
  <c r="EA12" i="1"/>
  <c r="BL30" i="1"/>
  <c r="BK30" i="1"/>
  <c r="BT41" i="1"/>
  <c r="BU41" i="1"/>
  <c r="ER58" i="1"/>
  <c r="EG145" i="1"/>
  <c r="EF145" i="1"/>
  <c r="CD36" i="1"/>
  <c r="BT174" i="1"/>
  <c r="BL110" i="1"/>
  <c r="CC176" i="1"/>
  <c r="BU72" i="1"/>
  <c r="BT72" i="1"/>
  <c r="BL68" i="1"/>
  <c r="BK68" i="1"/>
  <c r="CC12" i="1"/>
  <c r="ER45" i="1"/>
  <c r="ES45" i="1"/>
  <c r="CC186" i="1"/>
  <c r="EM155" i="1"/>
  <c r="BE265" i="1"/>
  <c r="BF265" i="1"/>
  <c r="BW80" i="1"/>
  <c r="EP61" i="1"/>
  <c r="BK229" i="1"/>
  <c r="BH256" i="1"/>
  <c r="BI256" i="1"/>
  <c r="BO49" i="1"/>
  <c r="BN49" i="1"/>
  <c r="DW67" i="1"/>
  <c r="BZ135" i="1"/>
  <c r="BF142" i="1"/>
  <c r="BE142" i="1"/>
  <c r="DZ65" i="1"/>
  <c r="BL48" i="1"/>
  <c r="EL259" i="1"/>
  <c r="EM259" i="1"/>
  <c r="BQ84" i="1"/>
  <c r="BR84" i="1"/>
  <c r="BR195" i="1"/>
  <c r="BQ195" i="1"/>
  <c r="EP73" i="1"/>
  <c r="EO73" i="1"/>
  <c r="BQ132" i="1"/>
  <c r="BR132" i="1"/>
  <c r="EF252" i="1"/>
  <c r="EG252" i="1"/>
  <c r="ED113" i="1"/>
  <c r="EC113" i="1"/>
  <c r="DZ204" i="1"/>
  <c r="EA204" i="1"/>
  <c r="BT151" i="1"/>
  <c r="BU151" i="1"/>
  <c r="CA101" i="1"/>
  <c r="BZ101" i="1"/>
  <c r="BX22" i="1"/>
  <c r="BW22" i="1"/>
  <c r="CF20" i="1"/>
  <c r="CG20" i="1"/>
  <c r="EA4" i="1"/>
  <c r="DZ4" i="1"/>
  <c r="CD195" i="1"/>
  <c r="CC195" i="1"/>
  <c r="BI239" i="1"/>
  <c r="BH239" i="1"/>
  <c r="EX12" i="1"/>
  <c r="EY12" i="1"/>
  <c r="CA43" i="1"/>
  <c r="BZ43" i="1"/>
  <c r="BI158" i="1"/>
  <c r="BH158" i="1"/>
  <c r="BR45" i="1"/>
  <c r="BQ45" i="1"/>
  <c r="ED139" i="1"/>
  <c r="EC139" i="1"/>
  <c r="BX230" i="1"/>
  <c r="BW230" i="1"/>
  <c r="BH213" i="1"/>
  <c r="BI213" i="1"/>
  <c r="BR139" i="1"/>
  <c r="BQ139" i="1"/>
  <c r="BO149" i="1"/>
  <c r="BN149" i="1"/>
  <c r="EX64" i="1"/>
  <c r="EY64" i="1"/>
  <c r="BR32" i="1"/>
  <c r="BQ32" i="1"/>
  <c r="BW258" i="1"/>
  <c r="BX258" i="1"/>
  <c r="BL213" i="1"/>
  <c r="BK213" i="1"/>
  <c r="BI172" i="1"/>
  <c r="BH172" i="1"/>
  <c r="ES112" i="1"/>
  <c r="ER112" i="1"/>
  <c r="BL202" i="1"/>
  <c r="BK202" i="1"/>
  <c r="EV255" i="1"/>
  <c r="EU255" i="1"/>
  <c r="CD16" i="1"/>
  <c r="CC16" i="1"/>
  <c r="BT78" i="1"/>
  <c r="BU78" i="1"/>
  <c r="EP65" i="1"/>
  <c r="EO65" i="1"/>
  <c r="EG7" i="1"/>
  <c r="EF7" i="1"/>
  <c r="BI102" i="1"/>
  <c r="BH102" i="1"/>
  <c r="DX51" i="1"/>
  <c r="DW51" i="1"/>
  <c r="EA127" i="1"/>
  <c r="DZ127" i="1"/>
  <c r="BU271" i="1"/>
  <c r="BT271" i="1"/>
  <c r="BU263" i="1"/>
  <c r="BT263" i="1"/>
  <c r="CA216" i="1"/>
  <c r="BZ216" i="1"/>
  <c r="ED177" i="1"/>
  <c r="EC177" i="1"/>
  <c r="ED70" i="1"/>
  <c r="EC70" i="1"/>
  <c r="BR17" i="1"/>
  <c r="BQ17" i="1"/>
  <c r="EP4" i="1"/>
  <c r="EO4" i="1"/>
  <c r="CA140" i="1"/>
  <c r="BZ140" i="1"/>
  <c r="EP216" i="1"/>
  <c r="EO216" i="1"/>
  <c r="EL168" i="1"/>
  <c r="EM168" i="1"/>
  <c r="BO181" i="1"/>
  <c r="BN181" i="1"/>
  <c r="CA100" i="1"/>
  <c r="BZ100" i="1"/>
  <c r="EC155" i="1"/>
  <c r="ED155" i="1"/>
  <c r="BR172" i="1"/>
  <c r="BQ172" i="1"/>
  <c r="ES214" i="1"/>
  <c r="ER214" i="1"/>
  <c r="EA152" i="1"/>
  <c r="DZ152" i="1"/>
  <c r="ES49" i="1"/>
  <c r="ER49" i="1"/>
  <c r="ED107" i="1"/>
  <c r="EC107" i="1"/>
  <c r="EM262" i="1"/>
  <c r="EL262" i="1"/>
  <c r="BF173" i="1"/>
  <c r="BE173" i="1"/>
  <c r="BE67" i="1"/>
  <c r="BI41" i="1"/>
  <c r="BH41" i="1"/>
  <c r="BX140" i="1"/>
  <c r="BW140" i="1"/>
  <c r="BO143" i="1"/>
  <c r="BN143" i="1"/>
  <c r="ES115" i="1"/>
  <c r="ER115" i="1"/>
  <c r="EM226" i="1"/>
  <c r="EL226" i="1"/>
  <c r="CA256" i="1"/>
  <c r="BZ256" i="1"/>
  <c r="BO45" i="1"/>
  <c r="BN45" i="1"/>
  <c r="ER158" i="1"/>
  <c r="ES158" i="1"/>
  <c r="EA61" i="1"/>
  <c r="DZ61" i="1"/>
  <c r="CF23" i="1"/>
  <c r="CG23" i="1"/>
  <c r="BO216" i="1"/>
  <c r="BN216" i="1"/>
  <c r="ER216" i="1"/>
  <c r="ES216" i="1"/>
  <c r="BO213" i="1"/>
  <c r="BN213" i="1"/>
  <c r="BE82" i="1"/>
  <c r="BF62" i="1"/>
  <c r="BE62" i="1"/>
  <c r="CD87" i="1"/>
  <c r="CC87" i="1"/>
  <c r="ED100" i="1"/>
  <c r="EC100" i="1"/>
  <c r="DX54" i="1"/>
  <c r="DW54" i="1"/>
  <c r="BF45" i="1"/>
  <c r="BE45" i="1"/>
  <c r="EF200" i="1"/>
  <c r="CD45" i="1"/>
  <c r="CC45" i="1"/>
  <c r="BF107" i="1"/>
  <c r="BE107" i="1"/>
  <c r="EM25" i="1"/>
  <c r="EL25" i="1"/>
  <c r="BX7" i="1"/>
  <c r="BW7" i="1"/>
  <c r="ED83" i="1"/>
  <c r="EC83" i="1"/>
  <c r="EF226" i="1"/>
  <c r="EG226" i="1"/>
  <c r="BQ11" i="1"/>
  <c r="BR11" i="1"/>
  <c r="EF137" i="1"/>
  <c r="EA140" i="1"/>
  <c r="DZ140" i="1"/>
  <c r="ED225" i="1"/>
  <c r="EC225" i="1"/>
  <c r="BX143" i="1"/>
  <c r="BW143" i="1"/>
  <c r="CC146" i="1"/>
  <c r="CD146" i="1"/>
  <c r="EG204" i="1"/>
  <c r="EF204" i="1"/>
  <c r="EP139" i="1"/>
  <c r="EO139" i="1"/>
  <c r="BI127" i="1"/>
  <c r="BH127" i="1"/>
  <c r="EY47" i="1"/>
  <c r="EX47" i="1"/>
  <c r="CF168" i="1"/>
  <c r="CG168" i="1"/>
  <c r="EY62" i="1"/>
  <c r="EX62" i="1"/>
  <c r="ED213" i="1"/>
  <c r="EC213" i="1"/>
  <c r="EY202" i="1"/>
  <c r="EX202" i="1"/>
  <c r="DZ177" i="1"/>
  <c r="EA177" i="1"/>
  <c r="BL7" i="1"/>
  <c r="BK7" i="1"/>
  <c r="BL31" i="1"/>
  <c r="BK31" i="1"/>
  <c r="BX214" i="1"/>
  <c r="BW214" i="1"/>
  <c r="ES32" i="1"/>
  <c r="ER32" i="1"/>
  <c r="BW90" i="1"/>
  <c r="BX90" i="1"/>
  <c r="BT112" i="1"/>
  <c r="BU112" i="1"/>
  <c r="EO200" i="1"/>
  <c r="EP200" i="1"/>
  <c r="ED17" i="1"/>
  <c r="EC17" i="1"/>
  <c r="BQ47" i="1"/>
  <c r="BR47" i="1"/>
  <c r="EF38" i="1"/>
  <c r="EM145" i="1"/>
  <c r="BL141" i="1"/>
  <c r="BK141" i="1"/>
  <c r="EY127" i="1"/>
  <c r="EX127" i="1"/>
  <c r="CA211" i="1"/>
  <c r="BZ211" i="1"/>
  <c r="ER225" i="1"/>
  <c r="ES225" i="1"/>
  <c r="DX18" i="1"/>
  <c r="DW18" i="1"/>
  <c r="CC42" i="1"/>
  <c r="CD42" i="1"/>
  <c r="EA87" i="1"/>
  <c r="DZ87" i="1"/>
  <c r="BX41" i="1"/>
  <c r="BW41" i="1"/>
  <c r="DZ188" i="1"/>
  <c r="EA188" i="1"/>
  <c r="BR87" i="1"/>
  <c r="BQ87" i="1"/>
  <c r="CA71" i="1"/>
  <c r="BZ71" i="1"/>
  <c r="EP153" i="1"/>
  <c r="EO153" i="1"/>
  <c r="CD172" i="1"/>
  <c r="CC172" i="1"/>
  <c r="BF20" i="1"/>
  <c r="BE20" i="1"/>
  <c r="EA59" i="1"/>
  <c r="DZ59" i="1"/>
  <c r="BZ153" i="1"/>
  <c r="CA153" i="1"/>
  <c r="BU95" i="1"/>
  <c r="BT95" i="1"/>
  <c r="CG133" i="1"/>
  <c r="CF133" i="1"/>
  <c r="ES259" i="1"/>
  <c r="ER259" i="1"/>
  <c r="ES91" i="1"/>
  <c r="ER91" i="1"/>
  <c r="BL69" i="1"/>
  <c r="BK69" i="1"/>
  <c r="ED33" i="1"/>
  <c r="EC33" i="1"/>
  <c r="ES100" i="1"/>
  <c r="ER100" i="1"/>
  <c r="BQ127" i="1"/>
  <c r="BR127" i="1"/>
  <c r="BW249" i="1"/>
  <c r="BX249" i="1"/>
  <c r="ER265" i="1"/>
  <c r="ES265" i="1"/>
  <c r="EC44" i="1"/>
  <c r="ED44" i="1"/>
  <c r="BL137" i="1"/>
  <c r="BK137" i="1"/>
  <c r="BX120" i="1"/>
  <c r="BW120" i="1"/>
  <c r="BI186" i="1"/>
  <c r="BH186" i="1"/>
  <c r="EM132" i="1"/>
  <c r="EL132" i="1"/>
  <c r="DW50" i="1"/>
  <c r="DX50" i="1"/>
  <c r="EP78" i="1"/>
  <c r="EO78" i="1"/>
  <c r="EJ189" i="1"/>
  <c r="EI189" i="1"/>
  <c r="BT249" i="1"/>
  <c r="BU249" i="1"/>
  <c r="EY177" i="1"/>
  <c r="EX177" i="1"/>
  <c r="BH36" i="1"/>
  <c r="BI36" i="1"/>
  <c r="BI151" i="1"/>
  <c r="BH151" i="1"/>
  <c r="BR201" i="1"/>
  <c r="BQ201" i="1"/>
  <c r="BE172" i="1"/>
  <c r="BF172" i="1"/>
  <c r="BE127" i="1"/>
  <c r="BF127" i="1"/>
  <c r="BQ101" i="1"/>
  <c r="BR101" i="1"/>
  <c r="EM26" i="1"/>
  <c r="EL26" i="1"/>
  <c r="BF33" i="1"/>
  <c r="BE33" i="1"/>
  <c r="EA194" i="1"/>
  <c r="DZ194" i="1"/>
  <c r="EU224" i="1"/>
  <c r="EV224" i="1"/>
  <c r="EL83" i="1"/>
  <c r="EM83" i="1"/>
  <c r="BK90" i="1"/>
  <c r="BL90" i="1"/>
  <c r="ES240" i="1"/>
  <c r="ER240" i="1"/>
  <c r="BX47" i="1"/>
  <c r="BW47" i="1"/>
  <c r="EM194" i="1"/>
  <c r="EL194" i="1"/>
  <c r="BT104" i="1"/>
  <c r="BU104" i="1"/>
  <c r="ED252" i="1"/>
  <c r="EC252" i="1"/>
  <c r="EC117" i="1"/>
  <c r="ED117" i="1"/>
  <c r="EA107" i="1"/>
  <c r="DZ107" i="1"/>
  <c r="BU175" i="1"/>
  <c r="BT175" i="1"/>
  <c r="EM234" i="1"/>
  <c r="EL234" i="1"/>
  <c r="BO194" i="1"/>
  <c r="BN194" i="1"/>
  <c r="CC96" i="1"/>
  <c r="CD96" i="1"/>
  <c r="EG100" i="1"/>
  <c r="EF100" i="1"/>
  <c r="CG132" i="1"/>
  <c r="CF132" i="1"/>
  <c r="BZ245" i="1"/>
  <c r="CA245" i="1"/>
  <c r="BK96" i="1"/>
  <c r="BL96" i="1"/>
  <c r="BZ8" i="1"/>
  <c r="CA8" i="1"/>
  <c r="BU91" i="1"/>
  <c r="BT91" i="1"/>
  <c r="BI33" i="1"/>
  <c r="BH33" i="1"/>
  <c r="EG189" i="1"/>
  <c r="EF189" i="1"/>
  <c r="BZ259" i="1"/>
  <c r="CA259" i="1"/>
  <c r="EY4" i="1"/>
  <c r="EX4" i="1"/>
  <c r="EL43" i="1"/>
  <c r="EM43" i="1"/>
  <c r="EY87" i="1"/>
  <c r="EX87" i="1"/>
  <c r="BI240" i="1"/>
  <c r="BH240" i="1"/>
  <c r="BX63" i="1"/>
  <c r="BW63" i="1"/>
  <c r="ES147" i="1"/>
  <c r="ER147" i="1"/>
  <c r="BL176" i="1"/>
  <c r="BK176" i="1"/>
  <c r="BK246" i="1"/>
  <c r="BL246" i="1"/>
  <c r="EO60" i="1"/>
  <c r="EP60" i="1"/>
  <c r="BU107" i="1"/>
  <c r="BT107" i="1"/>
  <c r="ES139" i="1"/>
  <c r="ER139" i="1"/>
  <c r="BU167" i="1"/>
  <c r="BT167" i="1"/>
  <c r="EP176" i="1"/>
  <c r="EO176" i="1"/>
  <c r="EP37" i="1"/>
  <c r="EO37" i="1"/>
  <c r="BU139" i="1"/>
  <c r="BT139" i="1"/>
  <c r="EU56" i="1"/>
  <c r="EV56" i="1"/>
  <c r="BU20" i="1"/>
  <c r="BT20" i="1"/>
  <c r="CA61" i="1"/>
  <c r="BZ61" i="1"/>
  <c r="BX94" i="1"/>
  <c r="BW94" i="1"/>
  <c r="ED88" i="1"/>
  <c r="EC88" i="1"/>
  <c r="EI197" i="1"/>
  <c r="EJ197" i="1"/>
  <c r="BH110" i="1"/>
  <c r="BI110" i="1"/>
  <c r="CD43" i="1"/>
  <c r="CC43" i="1"/>
  <c r="EC185" i="1"/>
  <c r="ED185" i="1"/>
  <c r="EU194" i="1"/>
  <c r="EY45" i="1"/>
  <c r="EX45" i="1"/>
  <c r="BK136" i="1"/>
  <c r="BL136" i="1"/>
  <c r="EC146" i="1"/>
  <c r="ED146" i="1"/>
  <c r="ES200" i="1"/>
  <c r="ER200" i="1"/>
  <c r="BX91" i="1"/>
  <c r="BW91" i="1"/>
  <c r="EY63" i="1"/>
  <c r="EX63" i="1"/>
  <c r="EI117" i="1"/>
  <c r="EJ117" i="1"/>
  <c r="EY153" i="1"/>
  <c r="EX153" i="1"/>
  <c r="EL147" i="1"/>
  <c r="EM147" i="1"/>
  <c r="BL195" i="1"/>
  <c r="BK195" i="1"/>
  <c r="BE37" i="1"/>
  <c r="BF37" i="1"/>
  <c r="BU87" i="1"/>
  <c r="BT87" i="1"/>
  <c r="EJ42" i="1"/>
  <c r="EI42" i="1"/>
  <c r="EO28" i="1"/>
  <c r="EP28" i="1"/>
  <c r="CG49" i="1"/>
  <c r="CF49" i="1"/>
  <c r="DX112" i="1"/>
  <c r="DW112" i="1"/>
  <c r="BU203" i="1"/>
  <c r="BT203" i="1"/>
  <c r="BT173" i="1"/>
  <c r="BU173" i="1"/>
  <c r="CF28" i="1"/>
  <c r="CG28" i="1"/>
  <c r="EG103" i="1"/>
  <c r="EF103" i="1"/>
  <c r="ED125" i="1"/>
  <c r="EC125" i="1"/>
  <c r="EG249" i="1"/>
  <c r="EF249" i="1"/>
  <c r="BR233" i="1"/>
  <c r="BQ233" i="1"/>
  <c r="BR225" i="1"/>
  <c r="BQ225" i="1"/>
  <c r="EM4" i="1"/>
  <c r="EL4" i="1"/>
  <c r="BE17" i="1"/>
  <c r="BF17" i="1"/>
  <c r="CD151" i="1"/>
  <c r="CC151" i="1"/>
  <c r="EM93" i="1"/>
  <c r="EL93" i="1"/>
  <c r="CF43" i="1"/>
  <c r="CG43" i="1"/>
  <c r="BU100" i="1"/>
  <c r="BT100" i="1"/>
  <c r="ER28" i="1"/>
  <c r="ES28" i="1"/>
  <c r="CA33" i="1"/>
  <c r="BZ33" i="1"/>
  <c r="BU69" i="1"/>
  <c r="BT69" i="1"/>
  <c r="BN112" i="1"/>
  <c r="BO112" i="1"/>
  <c r="CD252" i="1"/>
  <c r="CC252" i="1"/>
  <c r="CA132" i="1"/>
  <c r="BZ132" i="1"/>
  <c r="EG94" i="1"/>
  <c r="EF94" i="1"/>
  <c r="ES175" i="1"/>
  <c r="ER175" i="1"/>
  <c r="DW162" i="1"/>
  <c r="DX162" i="1"/>
  <c r="BO78" i="1"/>
  <c r="BN78" i="1"/>
  <c r="DX52" i="1"/>
  <c r="DW52" i="1"/>
  <c r="EG152" i="1"/>
  <c r="EF152" i="1"/>
  <c r="ER215" i="1"/>
  <c r="ES215" i="1"/>
  <c r="EL56" i="1"/>
  <c r="EM56" i="1"/>
  <c r="CG147" i="1"/>
  <c r="CF147" i="1"/>
  <c r="CD167" i="1"/>
  <c r="CC167" i="1"/>
  <c r="EY137" i="1"/>
  <c r="EX137" i="1"/>
  <c r="BF19" i="1"/>
  <c r="BE19" i="1"/>
  <c r="EF216" i="1"/>
  <c r="EG216" i="1"/>
  <c r="BW58" i="1"/>
  <c r="BX58" i="1"/>
  <c r="EA33" i="1"/>
  <c r="DZ33" i="1"/>
  <c r="BW210" i="1"/>
  <c r="BX210" i="1"/>
  <c r="CA4" i="1"/>
  <c r="BZ4" i="1"/>
  <c r="CG96" i="1"/>
  <c r="CF96" i="1"/>
  <c r="CA78" i="1"/>
  <c r="BZ78" i="1"/>
  <c r="EG134" i="1"/>
  <c r="EF134" i="1"/>
  <c r="BR200" i="1"/>
  <c r="BQ200" i="1"/>
  <c r="BK255" i="1"/>
  <c r="BL255" i="1"/>
  <c r="BI63" i="1"/>
  <c r="BH63" i="1"/>
  <c r="BW142" i="1"/>
  <c r="BX142" i="1"/>
  <c r="EA201" i="1"/>
  <c r="DZ201" i="1"/>
  <c r="BN190" i="1"/>
  <c r="BO190" i="1"/>
  <c r="EG37" i="1"/>
  <c r="EF37" i="1"/>
  <c r="CA45" i="1"/>
  <c r="BZ45" i="1"/>
  <c r="ER126" i="1"/>
  <c r="ES126" i="1"/>
  <c r="BI16" i="1"/>
  <c r="BH16" i="1"/>
  <c r="BT43" i="1"/>
  <c r="BU43" i="1"/>
  <c r="BZ117" i="1"/>
  <c r="CA117" i="1"/>
  <c r="BZ202" i="1"/>
  <c r="CA202" i="1"/>
  <c r="BT256" i="1"/>
  <c r="BU256" i="1"/>
  <c r="EP47" i="1"/>
  <c r="EO47" i="1"/>
  <c r="BF74" i="1"/>
  <c r="BE74" i="1"/>
  <c r="BH142" i="1"/>
  <c r="BI142" i="1"/>
  <c r="BW180" i="1"/>
  <c r="BX180" i="1"/>
  <c r="BE147" i="1"/>
  <c r="BF147" i="1"/>
  <c r="EG201" i="1"/>
  <c r="EF201" i="1"/>
  <c r="EX173" i="1"/>
  <c r="EY173" i="1"/>
  <c r="BX76" i="1"/>
  <c r="BW76" i="1"/>
  <c r="EA125" i="1"/>
  <c r="DZ125" i="1"/>
  <c r="BK151" i="1"/>
  <c r="BL151" i="1"/>
  <c r="BW95" i="1"/>
  <c r="BX95" i="1"/>
  <c r="EI190" i="1"/>
  <c r="EJ190" i="1"/>
  <c r="EV141" i="1"/>
  <c r="EU141" i="1"/>
  <c r="EL41" i="1"/>
  <c r="EM41" i="1"/>
  <c r="BR125" i="1"/>
  <c r="BQ125" i="1"/>
  <c r="CG155" i="1"/>
  <c r="CF155" i="1"/>
  <c r="EJ207" i="1"/>
  <c r="EI207" i="1"/>
  <c r="DX142" i="1"/>
  <c r="DW142" i="1"/>
  <c r="BN141" i="1"/>
  <c r="BO141" i="1"/>
  <c r="BF58" i="1"/>
  <c r="BE58" i="1"/>
  <c r="BL26" i="1"/>
  <c r="BK26" i="1"/>
  <c r="BR12" i="1"/>
  <c r="BQ12" i="1"/>
  <c r="BZ20" i="1"/>
  <c r="CA20" i="1"/>
  <c r="BR142" i="1"/>
  <c r="BQ142" i="1"/>
  <c r="EG77" i="1"/>
  <c r="EF77" i="1"/>
  <c r="BH58" i="1"/>
  <c r="BI58" i="1"/>
  <c r="EO215" i="1"/>
  <c r="EP215" i="1"/>
  <c r="BE143" i="1"/>
  <c r="BF143" i="1"/>
  <c r="BX93" i="1"/>
  <c r="BW93" i="1"/>
  <c r="DZ142" i="1"/>
  <c r="EA142" i="1"/>
  <c r="EY126" i="1"/>
  <c r="EX126" i="1"/>
  <c r="EO244" i="1"/>
  <c r="EP244" i="1"/>
  <c r="BI129" i="1"/>
  <c r="BH129" i="1"/>
  <c r="BT103" i="1"/>
  <c r="BU103" i="1"/>
  <c r="EG32" i="1"/>
  <c r="EF32" i="1"/>
  <c r="BI134" i="1"/>
  <c r="BH134" i="1"/>
  <c r="CC132" i="1"/>
  <c r="CD132" i="1"/>
  <c r="ES145" i="1"/>
  <c r="ER145" i="1"/>
  <c r="CD215" i="1"/>
  <c r="CC215" i="1"/>
  <c r="EC215" i="1"/>
  <c r="ED215" i="1"/>
  <c r="BL252" i="1"/>
  <c r="BK252" i="1"/>
  <c r="CG36" i="1"/>
  <c r="CF36" i="1"/>
  <c r="BR36" i="1"/>
  <c r="BQ36" i="1"/>
  <c r="BK20" i="1"/>
  <c r="BL20" i="1"/>
  <c r="EM37" i="1"/>
  <c r="EL37" i="1"/>
  <c r="EP100" i="1"/>
  <c r="EO100" i="1"/>
  <c r="EV188" i="1"/>
  <c r="EU188" i="1"/>
  <c r="DW233" i="1"/>
  <c r="DX233" i="1"/>
  <c r="ES37" i="1"/>
  <c r="ER37" i="1"/>
  <c r="BI132" i="1"/>
  <c r="BH132" i="1"/>
  <c r="BT188" i="1"/>
  <c r="BU188" i="1"/>
  <c r="ED180" i="1"/>
  <c r="EC180" i="1"/>
  <c r="BZ195" i="1"/>
  <c r="CA195" i="1"/>
  <c r="ED224" i="1"/>
  <c r="EC224" i="1"/>
  <c r="EA47" i="1"/>
  <c r="DZ47" i="1"/>
  <c r="CD104" i="1"/>
  <c r="CC104" i="1"/>
  <c r="BO201" i="1"/>
  <c r="BN201" i="1"/>
  <c r="DX258" i="1"/>
  <c r="DW258" i="1"/>
  <c r="BR60" i="1"/>
  <c r="BQ60" i="1"/>
  <c r="EA245" i="1"/>
  <c r="DZ245" i="1"/>
  <c r="BO67" i="1"/>
  <c r="BN67" i="1"/>
  <c r="EY175" i="1"/>
  <c r="EX175" i="1"/>
  <c r="BI39" i="1"/>
  <c r="BH39" i="1"/>
  <c r="EO59" i="1"/>
  <c r="EP59" i="1"/>
  <c r="ED78" i="1"/>
  <c r="EC78" i="1"/>
  <c r="BX229" i="1"/>
  <c r="BW229" i="1"/>
  <c r="EM195" i="1"/>
  <c r="EL195" i="1"/>
  <c r="BZ107" i="1"/>
  <c r="CA107" i="1"/>
  <c r="EG99" i="1"/>
  <c r="EF99" i="1"/>
  <c r="ED134" i="1"/>
  <c r="EC134" i="1"/>
  <c r="BW187" i="1"/>
  <c r="BX187" i="1"/>
  <c r="ER122" i="1"/>
  <c r="ES122" i="1"/>
  <c r="CF164" i="1"/>
  <c r="CG164" i="1"/>
  <c r="BQ99" i="1"/>
  <c r="BR99" i="1"/>
  <c r="ES33" i="1"/>
  <c r="ER33" i="1"/>
  <c r="EA93" i="1"/>
  <c r="DZ93" i="1"/>
  <c r="BL200" i="1"/>
  <c r="BK200" i="1"/>
  <c r="BF36" i="1"/>
  <c r="BE36" i="1"/>
  <c r="BQ194" i="1"/>
  <c r="CD47" i="1"/>
  <c r="CC47" i="1"/>
  <c r="BX175" i="1"/>
  <c r="BW175" i="1"/>
  <c r="EV234" i="1"/>
  <c r="EU234" i="1"/>
  <c r="EM241" i="1"/>
  <c r="EL241" i="1"/>
  <c r="EG141" i="1"/>
  <c r="EF141" i="1"/>
  <c r="EF193" i="1"/>
  <c r="EG193" i="1"/>
  <c r="EC59" i="1"/>
  <c r="ED59" i="1"/>
  <c r="EV137" i="1"/>
  <c r="EU137" i="1"/>
  <c r="BF138" i="1"/>
  <c r="BE138" i="1"/>
  <c r="BT33" i="1"/>
  <c r="BU33" i="1"/>
  <c r="BO51" i="1"/>
  <c r="BN51" i="1"/>
  <c r="BX64" i="1"/>
  <c r="BW64" i="1"/>
  <c r="EM45" i="1"/>
  <c r="EL45" i="1"/>
  <c r="BQ156" i="1"/>
  <c r="BR156" i="1"/>
  <c r="EX188" i="1"/>
  <c r="EY188" i="1"/>
  <c r="EJ182" i="1"/>
  <c r="EI182" i="1"/>
  <c r="EC87" i="1"/>
  <c r="ED87" i="1"/>
  <c r="CG134" i="1"/>
  <c r="CF134" i="1"/>
  <c r="EG73" i="1"/>
  <c r="EF73" i="1"/>
  <c r="EY186" i="1"/>
  <c r="EX186" i="1"/>
  <c r="CC99" i="1"/>
  <c r="CD99" i="1"/>
  <c r="EU125" i="1"/>
  <c r="EV125" i="1"/>
  <c r="CG151" i="1"/>
  <c r="CF151" i="1"/>
  <c r="BL91" i="1"/>
  <c r="BK91" i="1"/>
  <c r="BT36" i="1"/>
  <c r="BU36" i="1"/>
  <c r="ES103" i="1"/>
  <c r="ER103" i="1"/>
  <c r="ES189" i="1"/>
  <c r="ER189" i="1"/>
  <c r="EM184" i="1"/>
  <c r="EL184" i="1"/>
  <c r="CC101" i="1"/>
  <c r="CD101" i="1"/>
  <c r="BK189" i="1"/>
  <c r="BL189" i="1"/>
  <c r="BI200" i="1"/>
  <c r="BH200" i="1"/>
  <c r="BK36" i="1"/>
  <c r="BL36" i="1"/>
  <c r="BN8" i="1"/>
  <c r="BO8" i="1"/>
  <c r="CG69" i="1"/>
  <c r="CF69" i="1"/>
  <c r="EI82" i="1"/>
  <c r="EJ82" i="1"/>
  <c r="ER81" i="1"/>
  <c r="ES81" i="1"/>
  <c r="EG110" i="1"/>
  <c r="EF110" i="1"/>
  <c r="CG214" i="1"/>
  <c r="CF214" i="1"/>
  <c r="EP252" i="1"/>
  <c r="EO252" i="1"/>
  <c r="EM140" i="1"/>
  <c r="EL140" i="1"/>
  <c r="ES180" i="1"/>
  <c r="ER180" i="1"/>
  <c r="EY117" i="1"/>
  <c r="EX117" i="1"/>
  <c r="BR96" i="1"/>
  <c r="BQ96" i="1"/>
  <c r="EY59" i="1"/>
  <c r="EX59" i="1"/>
  <c r="ED187" i="1"/>
  <c r="EC187" i="1"/>
  <c r="BK146" i="1"/>
  <c r="BL146" i="1"/>
  <c r="ER64" i="1"/>
  <c r="CC83" i="1"/>
  <c r="CD83" i="1"/>
  <c r="ES151" i="1"/>
  <c r="ER151" i="1"/>
  <c r="EP202" i="1"/>
  <c r="EO202" i="1"/>
  <c r="BO21" i="1"/>
  <c r="BN21" i="1"/>
  <c r="EU99" i="1"/>
  <c r="EV99" i="1"/>
  <c r="EY122" i="1"/>
  <c r="EX122" i="1"/>
  <c r="BI269" i="1"/>
  <c r="BH269" i="1"/>
  <c r="BF91" i="1"/>
  <c r="BE91" i="1"/>
  <c r="BL45" i="1"/>
  <c r="BK45" i="1"/>
  <c r="CD156" i="1"/>
  <c r="CC156" i="1"/>
  <c r="EJ269" i="1"/>
  <c r="EI269" i="1"/>
  <c r="CC33" i="1"/>
  <c r="CD33" i="1"/>
  <c r="EX201" i="1"/>
  <c r="EY201" i="1"/>
  <c r="EV269" i="1"/>
  <c r="EU269" i="1"/>
  <c r="BR20" i="1"/>
  <c r="BQ20" i="1"/>
  <c r="BZ47" i="1"/>
  <c r="CA47" i="1"/>
  <c r="EG26" i="1"/>
  <c r="EF26" i="1"/>
  <c r="BU47" i="1"/>
  <c r="BT47" i="1"/>
  <c r="BU133" i="1"/>
  <c r="BT133" i="1"/>
  <c r="EL240" i="1"/>
  <c r="EM240" i="1"/>
  <c r="BW173" i="1"/>
  <c r="BX173" i="1"/>
  <c r="CD91" i="1"/>
  <c r="CC91" i="1"/>
  <c r="ER186" i="1"/>
  <c r="ES186" i="1"/>
  <c r="CD224" i="1"/>
  <c r="CC224" i="1"/>
  <c r="BF244" i="1"/>
  <c r="BE244" i="1"/>
  <c r="BI22" i="1"/>
  <c r="BH22" i="1"/>
  <c r="BQ91" i="1"/>
  <c r="BR91" i="1"/>
  <c r="EI28" i="1"/>
  <c r="EJ28" i="1"/>
  <c r="BI69" i="1"/>
  <c r="BH69" i="1"/>
  <c r="BR78" i="1"/>
  <c r="BQ78" i="1"/>
  <c r="BE150" i="1"/>
  <c r="BF150" i="1"/>
  <c r="EL201" i="1"/>
  <c r="EM201" i="1"/>
  <c r="EJ63" i="1"/>
  <c r="EI63" i="1"/>
  <c r="EY20" i="1"/>
  <c r="EX20" i="1"/>
  <c r="DW60" i="1"/>
  <c r="DX60" i="1"/>
  <c r="BI91" i="1"/>
  <c r="BH91" i="1"/>
  <c r="EY254" i="1"/>
  <c r="EX254" i="1"/>
  <c r="BZ236" i="1"/>
  <c r="CA236" i="1"/>
  <c r="BO241" i="1"/>
  <c r="BN241" i="1"/>
  <c r="BW88" i="1"/>
  <c r="BX88" i="1"/>
  <c r="EL64" i="1"/>
  <c r="EM64" i="1"/>
  <c r="EL202" i="1"/>
  <c r="EM202" i="1"/>
  <c r="EJ188" i="1"/>
  <c r="EI188" i="1"/>
  <c r="EM152" i="1"/>
  <c r="EL152" i="1"/>
  <c r="ES134" i="1"/>
  <c r="ER134" i="1"/>
  <c r="EY56" i="1"/>
  <c r="EX56" i="1"/>
  <c r="BF7" i="1"/>
  <c r="BE7" i="1"/>
  <c r="CF249" i="1"/>
  <c r="CG249" i="1"/>
  <c r="CG176" i="1"/>
  <c r="CF176" i="1"/>
  <c r="BL175" i="1"/>
  <c r="BK175" i="1"/>
  <c r="EA13" i="1"/>
  <c r="DZ13" i="1"/>
  <c r="BU129" i="1"/>
  <c r="BT129" i="1"/>
  <c r="ED7" i="1"/>
  <c r="EC7" i="1"/>
  <c r="EA241" i="1"/>
  <c r="DZ241" i="1"/>
  <c r="EG125" i="1"/>
  <c r="EF125" i="1"/>
  <c r="DX194" i="1"/>
  <c r="DW194" i="1"/>
  <c r="BO101" i="1"/>
  <c r="BN101" i="1"/>
  <c r="EX51" i="1"/>
  <c r="EY51" i="1"/>
  <c r="EF91" i="1"/>
  <c r="EG91" i="1"/>
  <c r="BW195" i="1"/>
  <c r="BX195" i="1"/>
  <c r="BK93" i="1"/>
  <c r="BL93" i="1"/>
  <c r="BN65" i="1"/>
  <c r="BO65" i="1"/>
  <c r="BF151" i="1"/>
  <c r="BE151" i="1"/>
  <c r="BK269" i="1"/>
  <c r="BL269" i="1"/>
  <c r="BO269" i="1"/>
  <c r="BN269" i="1"/>
  <c r="BN54" i="1"/>
  <c r="BO54" i="1"/>
  <c r="EP122" i="1"/>
  <c r="EO122" i="1"/>
  <c r="BX137" i="1"/>
  <c r="BW137" i="1"/>
  <c r="CD60" i="1"/>
  <c r="CC60" i="1"/>
  <c r="BR74" i="1"/>
  <c r="BQ74" i="1"/>
  <c r="BR234" i="1"/>
  <c r="BQ234" i="1"/>
  <c r="CA114" i="1"/>
  <c r="BZ114" i="1"/>
  <c r="EG120" i="1"/>
  <c r="EF120" i="1"/>
  <c r="EG180" i="1"/>
  <c r="EF180" i="1"/>
  <c r="ES205" i="1"/>
  <c r="ER205" i="1"/>
  <c r="CG167" i="1"/>
  <c r="CF167" i="1"/>
  <c r="CG138" i="1"/>
  <c r="CF138" i="1"/>
  <c r="CF33" i="1"/>
  <c r="CG33" i="1"/>
  <c r="EX128" i="1"/>
  <c r="EY128" i="1"/>
  <c r="EP201" i="1"/>
  <c r="EO201" i="1"/>
  <c r="ES7" i="1"/>
  <c r="ER7" i="1"/>
  <c r="BE146" i="1"/>
  <c r="BF146" i="1"/>
  <c r="EJ164" i="1"/>
  <c r="EI164" i="1"/>
  <c r="EA132" i="1"/>
  <c r="DZ132" i="1"/>
  <c r="CA151" i="1"/>
  <c r="BZ151" i="1"/>
  <c r="EX39" i="1"/>
  <c r="EY39" i="1"/>
  <c r="BU96" i="1"/>
  <c r="BT96" i="1"/>
  <c r="CA201" i="1"/>
  <c r="BZ201" i="1"/>
  <c r="CA188" i="1"/>
  <c r="BZ188" i="1"/>
  <c r="BR146" i="1"/>
  <c r="BQ146" i="1"/>
  <c r="BR33" i="1"/>
  <c r="BQ33" i="1"/>
  <c r="BZ145" i="1"/>
  <c r="CA145" i="1"/>
  <c r="BZ11" i="1"/>
  <c r="CA11" i="1"/>
  <c r="ER146" i="1"/>
  <c r="ES146" i="1"/>
  <c r="ES70" i="1"/>
  <c r="ER70" i="1"/>
  <c r="EJ227" i="1"/>
  <c r="EI227" i="1"/>
  <c r="BE132" i="1"/>
  <c r="BF132" i="1"/>
  <c r="BO96" i="1"/>
  <c r="BN96" i="1"/>
  <c r="EC112" i="1"/>
  <c r="ED112" i="1"/>
  <c r="DW146" i="1"/>
  <c r="DX146" i="1"/>
  <c r="DX247" i="1"/>
  <c r="DW247" i="1"/>
  <c r="BL47" i="1"/>
  <c r="BK47" i="1"/>
  <c r="EP74" i="1"/>
  <c r="EO74" i="1"/>
  <c r="ER96" i="1"/>
  <c r="ES96" i="1"/>
  <c r="BO42" i="1"/>
  <c r="BN42" i="1"/>
  <c r="BI78" i="1"/>
  <c r="BH78" i="1"/>
  <c r="BX69" i="1"/>
  <c r="BW69" i="1"/>
  <c r="ES129" i="1"/>
  <c r="ER129" i="1"/>
  <c r="BR151" i="1"/>
  <c r="BQ151" i="1"/>
  <c r="EJ150" i="1"/>
  <c r="EI150" i="1"/>
  <c r="EX240" i="1"/>
  <c r="EY240" i="1"/>
  <c r="ED47" i="1"/>
  <c r="EC47" i="1"/>
  <c r="EV67" i="1"/>
  <c r="EU67" i="1"/>
  <c r="BR70" i="1"/>
  <c r="BQ70" i="1"/>
  <c r="BL254" i="1"/>
  <c r="BK254" i="1"/>
  <c r="ED50" i="1"/>
  <c r="EC50" i="1"/>
  <c r="CG63" i="1"/>
  <c r="CF63" i="1"/>
  <c r="CD201" i="1"/>
  <c r="CC201" i="1"/>
  <c r="BH96" i="1"/>
  <c r="BI96" i="1"/>
  <c r="BO50" i="1"/>
  <c r="BN50" i="1"/>
  <c r="EF254" i="1"/>
  <c r="EG254" i="1"/>
  <c r="EP70" i="1"/>
  <c r="EO70" i="1"/>
  <c r="BN107" i="1"/>
  <c r="BO107" i="1"/>
  <c r="EP177" i="1"/>
  <c r="EO177" i="1"/>
  <c r="CF195" i="1"/>
  <c r="CG195" i="1"/>
  <c r="BL38" i="1"/>
  <c r="BK38" i="1"/>
  <c r="CG78" i="1"/>
  <c r="CF78" i="1"/>
  <c r="CC163" i="1"/>
  <c r="CD163" i="1"/>
  <c r="EA254" i="1"/>
  <c r="DZ254" i="1"/>
  <c r="CG201" i="1"/>
  <c r="CF201" i="1"/>
  <c r="BI28" i="1"/>
  <c r="BH28" i="1"/>
  <c r="CA91" i="1"/>
  <c r="BZ91" i="1"/>
  <c r="ED153" i="1"/>
  <c r="EC153" i="1"/>
  <c r="BQ152" i="1"/>
  <c r="BR152" i="1"/>
  <c r="BL64" i="1"/>
  <c r="BK64" i="1"/>
  <c r="BH249" i="1"/>
  <c r="BI249" i="1"/>
  <c r="BR244" i="1"/>
  <c r="BQ244" i="1"/>
  <c r="EG126" i="1"/>
  <c r="EF126" i="1"/>
  <c r="BF99" i="1"/>
  <c r="BE99" i="1"/>
  <c r="BI241" i="1"/>
  <c r="BH241" i="1"/>
  <c r="EL186" i="1"/>
  <c r="EM186" i="1"/>
  <c r="CD19" i="1"/>
  <c r="CC19" i="1"/>
  <c r="ER249" i="1"/>
  <c r="ES249" i="1"/>
  <c r="BN70" i="1"/>
  <c r="BO70" i="1"/>
  <c r="BW245" i="1"/>
  <c r="BX245" i="1"/>
  <c r="BX153" i="1"/>
  <c r="BW153" i="1"/>
  <c r="BX96" i="1"/>
  <c r="BW96" i="1"/>
  <c r="EA153" i="1"/>
  <c r="DZ153" i="1"/>
  <c r="EJ112" i="1"/>
  <c r="EI112" i="1"/>
  <c r="BF87" i="1"/>
  <c r="BE87" i="1"/>
  <c r="CD234" i="1"/>
  <c r="CC234" i="1"/>
  <c r="CG19" i="1"/>
  <c r="CF19" i="1"/>
  <c r="BE186" i="1"/>
  <c r="BF186" i="1"/>
  <c r="BN231" i="1"/>
  <c r="BO231" i="1"/>
  <c r="BH232" i="1"/>
  <c r="BI232" i="1"/>
  <c r="EX83" i="1"/>
  <c r="EY83" i="1"/>
  <c r="EY70" i="1"/>
  <c r="EX70" i="1"/>
  <c r="EL164" i="1"/>
  <c r="EM164" i="1"/>
  <c r="EY245" i="1"/>
  <c r="EX245" i="1"/>
  <c r="ES99" i="1"/>
  <c r="ER99" i="1"/>
  <c r="EJ97" i="1"/>
  <c r="EI97" i="1"/>
  <c r="ED133" i="1"/>
  <c r="EC133" i="1"/>
  <c r="BE63" i="1"/>
  <c r="BF63" i="1"/>
  <c r="EC129" i="1"/>
  <c r="ED129" i="1"/>
  <c r="BI201" i="1"/>
  <c r="BH201" i="1"/>
  <c r="EX33" i="1"/>
  <c r="EY33" i="1"/>
  <c r="BF60" i="1"/>
  <c r="BE60" i="1"/>
  <c r="BH176" i="1"/>
  <c r="BI176" i="1"/>
  <c r="EP7" i="1"/>
  <c r="EO7" i="1"/>
  <c r="BI141" i="1"/>
  <c r="BH141" i="1"/>
  <c r="BO189" i="1"/>
  <c r="BN189" i="1"/>
  <c r="EP173" i="1"/>
  <c r="EO173" i="1"/>
  <c r="DZ58" i="1"/>
  <c r="EA58" i="1"/>
  <c r="DW29" i="1"/>
  <c r="DX29" i="1"/>
  <c r="BZ164" i="1"/>
  <c r="CA164" i="1"/>
  <c r="BO91" i="1"/>
  <c r="BN91" i="1"/>
  <c r="DX41" i="1"/>
  <c r="DW41" i="1"/>
  <c r="EP95" i="1"/>
  <c r="EO95" i="1"/>
  <c r="DW124" i="1"/>
  <c r="DX124" i="1"/>
  <c r="EA146" i="1"/>
  <c r="DZ146" i="1"/>
  <c r="EF96" i="1"/>
  <c r="EG96" i="1"/>
  <c r="BK19" i="1"/>
  <c r="BL19" i="1"/>
  <c r="EP83" i="1"/>
  <c r="EO83" i="1"/>
  <c r="CA122" i="1"/>
  <c r="BZ122" i="1"/>
  <c r="EM146" i="1"/>
  <c r="EL146" i="1"/>
  <c r="BL153" i="1"/>
  <c r="BK153" i="1"/>
  <c r="ES120" i="1"/>
  <c r="ER120" i="1"/>
  <c r="DZ9" i="1"/>
  <c r="EA9" i="1"/>
  <c r="EL9" i="1"/>
  <c r="EM9" i="1"/>
  <c r="BQ173" i="1"/>
  <c r="BR173" i="1"/>
  <c r="ES201" i="1"/>
  <c r="ER201" i="1"/>
  <c r="CC240" i="1"/>
  <c r="CD240" i="1"/>
  <c r="EF28" i="1"/>
  <c r="EG28" i="1"/>
  <c r="CG90" i="1"/>
  <c r="CF90" i="1"/>
  <c r="BN11" i="1"/>
  <c r="BO11" i="1"/>
  <c r="ED135" i="1"/>
  <c r="EC135" i="1"/>
  <c r="BI227" i="1"/>
  <c r="BH227" i="1"/>
  <c r="DW255" i="1"/>
  <c r="DX255" i="1"/>
  <c r="ED36" i="1"/>
  <c r="EC36" i="1"/>
  <c r="EX37" i="1"/>
  <c r="EY37" i="1"/>
  <c r="ED96" i="1"/>
  <c r="EC96" i="1"/>
  <c r="EL61" i="1"/>
  <c r="EM61" i="1"/>
  <c r="BZ65" i="1"/>
  <c r="CA65" i="1"/>
  <c r="CD189" i="1"/>
  <c r="CC189" i="1"/>
  <c r="DX63" i="1"/>
  <c r="DW63" i="1"/>
  <c r="BX36" i="1"/>
  <c r="BW36" i="1"/>
  <c r="EP133" i="1"/>
  <c r="EO133" i="1"/>
  <c r="BE96" i="1"/>
  <c r="BF96" i="1"/>
  <c r="CA62" i="1"/>
  <c r="BZ62" i="1"/>
  <c r="EF179" i="1"/>
  <c r="EG179" i="1"/>
  <c r="ED91" i="1"/>
  <c r="EC91" i="1"/>
  <c r="CG64" i="1"/>
  <c r="CF64" i="1"/>
  <c r="BU132" i="1"/>
  <c r="BT132" i="1"/>
  <c r="EC151" i="1"/>
  <c r="ED151" i="1"/>
  <c r="EA20" i="1"/>
  <c r="DZ20" i="1"/>
  <c r="CG91" i="1"/>
  <c r="CF91" i="1"/>
  <c r="BQ50" i="1"/>
  <c r="BR50" i="1"/>
  <c r="EG129" i="1"/>
  <c r="EF129" i="1"/>
  <c r="BU128" i="1"/>
  <c r="BT128" i="1"/>
  <c r="BN29" i="1"/>
  <c r="BO29" i="1"/>
  <c r="EM13" i="1"/>
  <c r="EL13" i="1"/>
  <c r="BF78" i="1"/>
  <c r="BE78" i="1"/>
  <c r="EP104" i="1"/>
  <c r="EO104" i="1"/>
  <c r="CG200" i="1"/>
  <c r="CF200" i="1"/>
  <c r="BF167" i="1"/>
  <c r="BE167" i="1"/>
  <c r="BQ29" i="1"/>
  <c r="BR29" i="1"/>
  <c r="CF135" i="1"/>
  <c r="CG135" i="1"/>
  <c r="BF233" i="1"/>
  <c r="BE233" i="1"/>
  <c r="EY224" i="1"/>
  <c r="EX224" i="1"/>
  <c r="ED249" i="1"/>
  <c r="EC249" i="1"/>
  <c r="CD244" i="1"/>
  <c r="CC244" i="1"/>
  <c r="EP96" i="1"/>
  <c r="EO96" i="1"/>
  <c r="EU83" i="1"/>
  <c r="EV83" i="1"/>
  <c r="CA163" i="1"/>
  <c r="BZ163" i="1"/>
  <c r="ES110" i="1"/>
  <c r="ER110" i="1"/>
  <c r="BW194" i="1"/>
  <c r="BX194" i="1"/>
  <c r="BZ70" i="1"/>
  <c r="CA70" i="1"/>
  <c r="BT200" i="1"/>
  <c r="BU200" i="1"/>
  <c r="EY168" i="1"/>
  <c r="EX168" i="1"/>
  <c r="BO151" i="1"/>
  <c r="BN151" i="1"/>
  <c r="BR69" i="1"/>
  <c r="BQ69" i="1"/>
  <c r="BI64" i="1"/>
  <c r="BH64" i="1"/>
  <c r="ED163" i="1"/>
  <c r="EC163" i="1"/>
  <c r="ES244" i="1"/>
  <c r="ER244" i="1"/>
  <c r="BZ112" i="1"/>
  <c r="CA112" i="1"/>
  <c r="CD78" i="1"/>
  <c r="CC78" i="1"/>
  <c r="AP2" i="1"/>
  <c r="BB2" i="1" s="1"/>
  <c r="BI2" i="1"/>
  <c r="BH2" i="1"/>
  <c r="BU2" i="1"/>
  <c r="BT2" i="1"/>
  <c r="AG2" i="1" s="1"/>
  <c r="AY2" i="1" s="1"/>
  <c r="DX6" i="1"/>
  <c r="DW6" i="1"/>
  <c r="DZ141" i="1"/>
  <c r="EA141" i="1"/>
  <c r="EG165" i="1"/>
  <c r="EF165" i="1"/>
  <c r="BL264" i="1"/>
  <c r="BK264" i="1"/>
  <c r="BR169" i="1"/>
  <c r="BQ169" i="1"/>
  <c r="BO10" i="1"/>
  <c r="BN10" i="1"/>
  <c r="CA109" i="1"/>
  <c r="BZ109" i="1"/>
  <c r="BK166" i="1"/>
  <c r="BL166" i="1"/>
  <c r="CG184" i="1"/>
  <c r="CF184" i="1"/>
  <c r="EG220" i="1"/>
  <c r="EF220" i="1"/>
  <c r="BI250" i="1"/>
  <c r="BH250" i="1"/>
  <c r="EI3" i="1"/>
  <c r="EJ3" i="1"/>
  <c r="EP5" i="1"/>
  <c r="EO5" i="1"/>
  <c r="BU150" i="1"/>
  <c r="BT150" i="1"/>
  <c r="EV216" i="1"/>
  <c r="EU216" i="1"/>
  <c r="CF267" i="1"/>
  <c r="CG267" i="1"/>
  <c r="DW244" i="1"/>
  <c r="DX244" i="1"/>
  <c r="BO3" i="1"/>
  <c r="BN3" i="1"/>
  <c r="BH156" i="1"/>
  <c r="BI156" i="1"/>
  <c r="CA191" i="1"/>
  <c r="BZ191" i="1"/>
  <c r="EA203" i="1"/>
  <c r="DZ203" i="1"/>
  <c r="BQ179" i="1"/>
  <c r="BR179" i="1"/>
  <c r="BR34" i="1"/>
  <c r="BQ34" i="1"/>
  <c r="DW91" i="1"/>
  <c r="DX91" i="1"/>
  <c r="EM120" i="1"/>
  <c r="EL120" i="1"/>
  <c r="EV230" i="1"/>
  <c r="EU230" i="1"/>
  <c r="BL10" i="1"/>
  <c r="BK10" i="1"/>
  <c r="BI93" i="1"/>
  <c r="BH93" i="1"/>
  <c r="ED41" i="1"/>
  <c r="EC41" i="1"/>
  <c r="DX34" i="1"/>
  <c r="DW34" i="1"/>
  <c r="EF57" i="1"/>
  <c r="EG57" i="1"/>
  <c r="CG31" i="1"/>
  <c r="CF31" i="1"/>
  <c r="CG57" i="1"/>
  <c r="CF57" i="1"/>
  <c r="EF191" i="1"/>
  <c r="EG191" i="1"/>
  <c r="BZ32" i="1"/>
  <c r="CA32" i="1"/>
  <c r="DX100" i="1"/>
  <c r="DW100" i="1"/>
  <c r="DX152" i="1"/>
  <c r="DW152" i="1"/>
  <c r="DX189" i="1"/>
  <c r="DW189" i="1"/>
  <c r="EP262" i="1"/>
  <c r="EO262" i="1"/>
  <c r="BN98" i="1"/>
  <c r="BO98" i="1"/>
  <c r="EA110" i="1"/>
  <c r="DZ110" i="1"/>
  <c r="EM185" i="1"/>
  <c r="EL185" i="1"/>
  <c r="CC165" i="1"/>
  <c r="CD165" i="1"/>
  <c r="DX205" i="1"/>
  <c r="DW205" i="1"/>
  <c r="BU216" i="1"/>
  <c r="BT216" i="1"/>
  <c r="DZ108" i="1"/>
  <c r="EA108" i="1"/>
  <c r="BU190" i="1"/>
  <c r="BT190" i="1"/>
  <c r="EG150" i="1"/>
  <c r="EF150" i="1"/>
  <c r="EF23" i="1"/>
  <c r="EG23" i="1"/>
  <c r="DZ36" i="1"/>
  <c r="EA36" i="1"/>
  <c r="BR39" i="1"/>
  <c r="BQ39" i="1"/>
  <c r="EP108" i="1"/>
  <c r="EO108" i="1"/>
  <c r="BZ121" i="1"/>
  <c r="CA121" i="1"/>
  <c r="EC145" i="1"/>
  <c r="ED145" i="1"/>
  <c r="BX9" i="1"/>
  <c r="BW9" i="1"/>
  <c r="EV70" i="1"/>
  <c r="EU70" i="1"/>
  <c r="EU237" i="1"/>
  <c r="EV237" i="1"/>
  <c r="EJ256" i="1"/>
  <c r="EI256" i="1"/>
  <c r="DW87" i="1"/>
  <c r="DX87" i="1"/>
  <c r="BH212" i="1"/>
  <c r="BI212" i="1"/>
  <c r="BO234" i="1"/>
  <c r="BN234" i="1"/>
  <c r="BI44" i="1"/>
  <c r="BH44" i="1"/>
  <c r="EJ104" i="1"/>
  <c r="EI104" i="1"/>
  <c r="BT163" i="1"/>
  <c r="BU163" i="1"/>
  <c r="EV89" i="1"/>
  <c r="EU89" i="1"/>
  <c r="EA212" i="1"/>
  <c r="DZ212" i="1"/>
  <c r="CG42" i="1"/>
  <c r="CF42" i="1"/>
  <c r="DW64" i="1"/>
  <c r="DX64" i="1"/>
  <c r="BI169" i="1"/>
  <c r="BH169" i="1"/>
  <c r="EJ224" i="1"/>
  <c r="EI224" i="1"/>
  <c r="BO88" i="1"/>
  <c r="BN88" i="1"/>
  <c r="EA48" i="1"/>
  <c r="DZ48" i="1"/>
  <c r="EX158" i="1"/>
  <c r="EY158" i="1"/>
  <c r="BL3" i="1"/>
  <c r="BK3" i="1"/>
  <c r="EJ94" i="1"/>
  <c r="EI94" i="1"/>
  <c r="BI177" i="1"/>
  <c r="BH177" i="1"/>
  <c r="EP260" i="1"/>
  <c r="EO260" i="1"/>
  <c r="BI35" i="1"/>
  <c r="BH35" i="1"/>
  <c r="BU37" i="1"/>
  <c r="BT37" i="1"/>
  <c r="EA123" i="1"/>
  <c r="DZ123" i="1"/>
  <c r="EA98" i="1"/>
  <c r="DZ98" i="1"/>
  <c r="EJ243" i="1"/>
  <c r="EI243" i="1"/>
  <c r="EL48" i="1"/>
  <c r="EM48" i="1"/>
  <c r="EX179" i="1"/>
  <c r="EY179" i="1"/>
  <c r="EC161" i="1"/>
  <c r="ED161" i="1"/>
  <c r="BW253" i="1"/>
  <c r="BX253" i="1"/>
  <c r="DW177" i="1"/>
  <c r="DX177" i="1"/>
  <c r="EC46" i="1"/>
  <c r="ED46" i="1"/>
  <c r="DZ82" i="1"/>
  <c r="EA82" i="1"/>
  <c r="EC62" i="1"/>
  <c r="ED62" i="1"/>
  <c r="CG148" i="1"/>
  <c r="CF148" i="1"/>
  <c r="EM150" i="1"/>
  <c r="EL150" i="1"/>
  <c r="EC188" i="1"/>
  <c r="ED188" i="1"/>
  <c r="EJ22" i="1"/>
  <c r="EI22" i="1"/>
  <c r="BX268" i="1"/>
  <c r="BW268" i="1"/>
  <c r="DW2" i="1"/>
  <c r="CJ2" i="1" s="1"/>
  <c r="DL2" i="1" s="1"/>
  <c r="DX2" i="1"/>
  <c r="CD106" i="1"/>
  <c r="CC106" i="1"/>
  <c r="BZ167" i="1"/>
  <c r="CA167" i="1"/>
  <c r="EL7" i="1"/>
  <c r="EM7" i="1"/>
  <c r="EC109" i="1"/>
  <c r="ED109" i="1"/>
  <c r="BH5" i="1"/>
  <c r="BI5" i="1"/>
  <c r="BW12" i="1"/>
  <c r="BX12" i="1"/>
  <c r="ED30" i="1"/>
  <c r="EC30" i="1"/>
  <c r="BF30" i="1"/>
  <c r="BE30" i="1"/>
  <c r="CA39" i="1"/>
  <c r="BZ39" i="1"/>
  <c r="BO56" i="1"/>
  <c r="BN56" i="1"/>
  <c r="EO80" i="1"/>
  <c r="EP80" i="1"/>
  <c r="CD111" i="1"/>
  <c r="CC111" i="1"/>
  <c r="CD114" i="1"/>
  <c r="CC114" i="1"/>
  <c r="CD102" i="1"/>
  <c r="CC102" i="1"/>
  <c r="BF117" i="1"/>
  <c r="BE117" i="1"/>
  <c r="BE112" i="1"/>
  <c r="BF112" i="1"/>
  <c r="DZ115" i="1"/>
  <c r="EA115" i="1"/>
  <c r="EL154" i="1"/>
  <c r="EM154" i="1"/>
  <c r="BW139" i="1"/>
  <c r="BX139" i="1"/>
  <c r="ES199" i="1"/>
  <c r="ER199" i="1"/>
  <c r="BI226" i="1"/>
  <c r="BH226" i="1"/>
  <c r="EG232" i="1"/>
  <c r="EF232" i="1"/>
  <c r="EI250" i="1"/>
  <c r="EJ250" i="1"/>
  <c r="EY244" i="1"/>
  <c r="EX244" i="1"/>
  <c r="CD249" i="1"/>
  <c r="CC249" i="1"/>
  <c r="BI270" i="1"/>
  <c r="BH270" i="1"/>
  <c r="EG123" i="1"/>
  <c r="EF123" i="1"/>
  <c r="BT250" i="1"/>
  <c r="BU250" i="1"/>
  <c r="EP159" i="1"/>
  <c r="EO159" i="1"/>
  <c r="BF264" i="1"/>
  <c r="BE264" i="1"/>
  <c r="BH216" i="1"/>
  <c r="BI216" i="1"/>
  <c r="CA9" i="1"/>
  <c r="BZ9" i="1"/>
  <c r="BT25" i="1"/>
  <c r="BU25" i="1"/>
  <c r="BO12" i="1"/>
  <c r="BN12" i="1"/>
  <c r="BK44" i="1"/>
  <c r="BL44" i="1"/>
  <c r="DW71" i="1"/>
  <c r="DX71" i="1"/>
  <c r="EM111" i="1"/>
  <c r="EL111" i="1"/>
  <c r="BO148" i="1"/>
  <c r="BN148" i="1"/>
  <c r="EV120" i="1"/>
  <c r="EU120" i="1"/>
  <c r="CF137" i="1"/>
  <c r="CG137" i="1"/>
  <c r="BO142" i="1"/>
  <c r="BN142" i="1"/>
  <c r="BE156" i="1"/>
  <c r="BF156" i="1"/>
  <c r="EG155" i="1"/>
  <c r="EF155" i="1"/>
  <c r="BF155" i="1"/>
  <c r="BE155" i="1"/>
  <c r="EM198" i="1"/>
  <c r="EL198" i="1"/>
  <c r="EF218" i="1"/>
  <c r="EG218" i="1"/>
  <c r="EY212" i="1"/>
  <c r="EX212" i="1"/>
  <c r="CD219" i="1"/>
  <c r="CC219" i="1"/>
  <c r="EF238" i="1"/>
  <c r="EG238" i="1"/>
  <c r="EY18" i="1"/>
  <c r="EX18" i="1"/>
  <c r="BL51" i="1"/>
  <c r="BK51" i="1"/>
  <c r="BO200" i="1"/>
  <c r="BN200" i="1"/>
  <c r="ES227" i="1"/>
  <c r="ER227" i="1"/>
  <c r="EV7" i="1"/>
  <c r="EU7" i="1"/>
  <c r="EJ38" i="1"/>
  <c r="EI38" i="1"/>
  <c r="CD117" i="1"/>
  <c r="CC117" i="1"/>
  <c r="EG149" i="1"/>
  <c r="EF149" i="1"/>
  <c r="CG226" i="1"/>
  <c r="CF226" i="1"/>
  <c r="BH178" i="1"/>
  <c r="BI178" i="1"/>
  <c r="DX201" i="1"/>
  <c r="DW201" i="1"/>
  <c r="EG35" i="1"/>
  <c r="EF35" i="1"/>
  <c r="EL3" i="1"/>
  <c r="EM3" i="1"/>
  <c r="EC3" i="1"/>
  <c r="ED3" i="1"/>
  <c r="EI12" i="1"/>
  <c r="EJ12" i="1"/>
  <c r="CC48" i="1"/>
  <c r="CD48" i="1"/>
  <c r="EM75" i="1"/>
  <c r="EL75" i="1"/>
  <c r="BT76" i="1"/>
  <c r="BU76" i="1"/>
  <c r="EC148" i="1"/>
  <c r="ED148" i="1"/>
  <c r="EM119" i="1"/>
  <c r="EL119" i="1"/>
  <c r="BQ129" i="1"/>
  <c r="BR129" i="1"/>
  <c r="EA134" i="1"/>
  <c r="DZ134" i="1"/>
  <c r="DW197" i="1"/>
  <c r="DX197" i="1"/>
  <c r="EV212" i="1"/>
  <c r="EU212" i="1"/>
  <c r="BF203" i="1"/>
  <c r="BE203" i="1"/>
  <c r="EO220" i="1"/>
  <c r="EP220" i="1"/>
  <c r="EP210" i="1"/>
  <c r="EO210" i="1"/>
  <c r="BU246" i="1"/>
  <c r="BT246" i="1"/>
  <c r="EY255" i="1"/>
  <c r="EX255" i="1"/>
  <c r="EG266" i="1"/>
  <c r="EF266" i="1"/>
  <c r="EV72" i="1"/>
  <c r="EU72" i="1"/>
  <c r="BF159" i="1"/>
  <c r="BE159" i="1"/>
  <c r="ES198" i="1"/>
  <c r="ER198" i="1"/>
  <c r="BK253" i="1"/>
  <c r="BL253" i="1"/>
  <c r="BL208" i="1"/>
  <c r="BK208" i="1"/>
  <c r="EM44" i="1"/>
  <c r="EL44" i="1"/>
  <c r="BL50" i="1"/>
  <c r="BK50" i="1"/>
  <c r="DX85" i="1"/>
  <c r="DW85" i="1"/>
  <c r="BW67" i="1"/>
  <c r="BX67" i="1"/>
  <c r="EP62" i="1"/>
  <c r="EO62" i="1"/>
  <c r="EI74" i="1"/>
  <c r="EJ74" i="1"/>
  <c r="BW106" i="1"/>
  <c r="BX106" i="1"/>
  <c r="BU99" i="1"/>
  <c r="BT99" i="1"/>
  <c r="DW114" i="1"/>
  <c r="DX114" i="1"/>
  <c r="EF119" i="1"/>
  <c r="EG119" i="1"/>
  <c r="DX110" i="1"/>
  <c r="DW110" i="1"/>
  <c r="EU173" i="1"/>
  <c r="EV173" i="1"/>
  <c r="EP197" i="1"/>
  <c r="EO197" i="1"/>
  <c r="CG223" i="1"/>
  <c r="CF223" i="1"/>
  <c r="BF253" i="1"/>
  <c r="BE253" i="1"/>
  <c r="EM251" i="1"/>
  <c r="EL251" i="1"/>
  <c r="EA263" i="1"/>
  <c r="DZ263" i="1"/>
  <c r="BX30" i="1"/>
  <c r="BW30" i="1"/>
  <c r="EJ45" i="1"/>
  <c r="EI45" i="1"/>
  <c r="BN266" i="1"/>
  <c r="BO266" i="1"/>
  <c r="BU114" i="1"/>
  <c r="BT114" i="1"/>
  <c r="EV152" i="1"/>
  <c r="EU152" i="1"/>
  <c r="EM188" i="1"/>
  <c r="EL188" i="1"/>
  <c r="BE140" i="1"/>
  <c r="BF140" i="1"/>
  <c r="BX10" i="1"/>
  <c r="BW10" i="1"/>
  <c r="BU6" i="1"/>
  <c r="BT6" i="1"/>
  <c r="DX72" i="1"/>
  <c r="DW72" i="1"/>
  <c r="CA84" i="1"/>
  <c r="BZ84" i="1"/>
  <c r="CG185" i="1"/>
  <c r="CF185" i="1"/>
  <c r="BI211" i="1"/>
  <c r="BH211" i="1"/>
  <c r="BE204" i="1"/>
  <c r="BF204" i="1"/>
  <c r="EG215" i="1"/>
  <c r="EF215" i="1"/>
  <c r="CG233" i="1"/>
  <c r="CF233" i="1"/>
  <c r="BR238" i="1"/>
  <c r="BQ238" i="1"/>
  <c r="BU253" i="1"/>
  <c r="BT253" i="1"/>
  <c r="BH267" i="1"/>
  <c r="BI267" i="1"/>
  <c r="BZ271" i="1"/>
  <c r="CA271" i="1"/>
  <c r="EF4" i="1"/>
  <c r="EG4" i="1"/>
  <c r="CA94" i="1"/>
  <c r="BZ94" i="1"/>
  <c r="EJ122" i="1"/>
  <c r="EI122" i="1"/>
  <c r="EM169" i="1"/>
  <c r="EL169" i="1"/>
  <c r="EI193" i="1"/>
  <c r="EJ193" i="1"/>
  <c r="EM206" i="1"/>
  <c r="EL206" i="1"/>
  <c r="CF232" i="1"/>
  <c r="CG232" i="1"/>
  <c r="BU61" i="1"/>
  <c r="BT61" i="1"/>
  <c r="EV121" i="1"/>
  <c r="EU121" i="1"/>
  <c r="EJ219" i="1"/>
  <c r="EI219" i="1"/>
  <c r="BR251" i="1"/>
  <c r="BQ251" i="1"/>
  <c r="ED34" i="1"/>
  <c r="EC34" i="1"/>
  <c r="ER119" i="1"/>
  <c r="ES119" i="1"/>
  <c r="BK2" i="1"/>
  <c r="AA2" i="1" s="1"/>
  <c r="AW2" i="1" s="1"/>
  <c r="BL2" i="1"/>
  <c r="CA15" i="1"/>
  <c r="BZ15" i="1"/>
  <c r="BI26" i="1"/>
  <c r="BH26" i="1"/>
  <c r="DX49" i="1"/>
  <c r="DW49" i="1"/>
  <c r="BR54" i="1"/>
  <c r="BQ54" i="1"/>
  <c r="BU52" i="1"/>
  <c r="BT52" i="1"/>
  <c r="BK82" i="1"/>
  <c r="BL82" i="1"/>
  <c r="ES61" i="1"/>
  <c r="ER61" i="1"/>
  <c r="DX98" i="1"/>
  <c r="DW98" i="1"/>
  <c r="BZ103" i="1"/>
  <c r="CA103" i="1"/>
  <c r="BK111" i="1"/>
  <c r="BL111" i="1"/>
  <c r="EX120" i="1"/>
  <c r="EY120" i="1"/>
  <c r="BF178" i="1"/>
  <c r="BE178" i="1"/>
  <c r="EM192" i="1"/>
  <c r="EL192" i="1"/>
  <c r="CD188" i="1"/>
  <c r="CC188" i="1"/>
  <c r="BU205" i="1"/>
  <c r="BT205" i="1"/>
  <c r="EA237" i="1"/>
  <c r="DZ237" i="1"/>
  <c r="BU243" i="1"/>
  <c r="BT243" i="1"/>
  <c r="EA250" i="1"/>
  <c r="DZ250" i="1"/>
  <c r="EJ247" i="1"/>
  <c r="EI247" i="1"/>
  <c r="EX264" i="1"/>
  <c r="EY264" i="1"/>
  <c r="EI267" i="1"/>
  <c r="EJ267" i="1"/>
  <c r="BF22" i="1"/>
  <c r="BE22" i="1"/>
  <c r="CG48" i="1"/>
  <c r="CF48" i="1"/>
  <c r="BQ189" i="1"/>
  <c r="BR189" i="1"/>
  <c r="EI168" i="1"/>
  <c r="EJ168" i="1"/>
  <c r="BU180" i="1"/>
  <c r="BT180" i="1"/>
  <c r="BI7" i="1"/>
  <c r="BH7" i="1"/>
  <c r="EG44" i="1"/>
  <c r="EF44" i="1"/>
  <c r="ES50" i="1"/>
  <c r="ER50" i="1"/>
  <c r="EM81" i="1"/>
  <c r="EL81" i="1"/>
  <c r="EF78" i="1"/>
  <c r="EG78" i="1"/>
  <c r="CD116" i="1"/>
  <c r="CC116" i="1"/>
  <c r="EJ129" i="1"/>
  <c r="EI129" i="1"/>
  <c r="BN154" i="1"/>
  <c r="BO154" i="1"/>
  <c r="BQ143" i="1"/>
  <c r="BR143" i="1"/>
  <c r="EG159" i="1"/>
  <c r="EF159" i="1"/>
  <c r="DX155" i="1"/>
  <c r="DW155" i="1"/>
  <c r="BW193" i="1"/>
  <c r="BX193" i="1"/>
  <c r="BF177" i="1"/>
  <c r="BE177" i="1"/>
  <c r="BU199" i="1"/>
  <c r="BT199" i="1"/>
  <c r="ER197" i="1"/>
  <c r="ES197" i="1"/>
  <c r="EJ206" i="1"/>
  <c r="EI206" i="1"/>
  <c r="BR219" i="1"/>
  <c r="BQ219" i="1"/>
  <c r="ER226" i="1"/>
  <c r="ES226" i="1"/>
  <c r="DW225" i="1"/>
  <c r="DX225" i="1"/>
  <c r="EI244" i="1"/>
  <c r="EJ244" i="1"/>
  <c r="CG258" i="1"/>
  <c r="CF258" i="1"/>
  <c r="CG270" i="1"/>
  <c r="CF270" i="1"/>
  <c r="EJ7" i="1"/>
  <c r="EI7" i="1"/>
  <c r="BR44" i="1"/>
  <c r="BQ44" i="1"/>
  <c r="BH67" i="1"/>
  <c r="BI67" i="1"/>
  <c r="EC63" i="1"/>
  <c r="ED63" i="1"/>
  <c r="CF97" i="1"/>
  <c r="CG97" i="1"/>
  <c r="ER111" i="1"/>
  <c r="ES111" i="1"/>
  <c r="EP128" i="1"/>
  <c r="EO128" i="1"/>
  <c r="DX147" i="1"/>
  <c r="DW147" i="1"/>
  <c r="BN185" i="1"/>
  <c r="BO185" i="1"/>
  <c r="EJ199" i="1"/>
  <c r="EI199" i="1"/>
  <c r="CG268" i="1"/>
  <c r="CF268" i="1"/>
  <c r="EM129" i="1"/>
  <c r="EL129" i="1"/>
  <c r="BN169" i="1"/>
  <c r="BO169" i="1"/>
  <c r="EX49" i="1"/>
  <c r="EY49" i="1"/>
  <c r="BF106" i="1"/>
  <c r="BE106" i="1"/>
  <c r="CG217" i="1"/>
  <c r="CF217" i="1"/>
  <c r="BE35" i="1"/>
  <c r="BF35" i="1"/>
  <c r="BZ18" i="1"/>
  <c r="CA18" i="1"/>
  <c r="BL54" i="1"/>
  <c r="BK54" i="1"/>
  <c r="ED51" i="1"/>
  <c r="EC51" i="1"/>
  <c r="BF51" i="1"/>
  <c r="BE51" i="1"/>
  <c r="EO63" i="1"/>
  <c r="EP63" i="1"/>
  <c r="BE81" i="1"/>
  <c r="BF81" i="1"/>
  <c r="ED97" i="1"/>
  <c r="EC97" i="1"/>
  <c r="BL128" i="1"/>
  <c r="BK128" i="1"/>
  <c r="EU150" i="1"/>
  <c r="EV150" i="1"/>
  <c r="EI165" i="1"/>
  <c r="EJ165" i="1"/>
  <c r="EC178" i="1"/>
  <c r="ED178" i="1"/>
  <c r="ES194" i="1"/>
  <c r="ER194" i="1"/>
  <c r="BR212" i="1"/>
  <c r="BQ212" i="1"/>
  <c r="BW219" i="1"/>
  <c r="BX219" i="1"/>
  <c r="EV214" i="1"/>
  <c r="EU214" i="1"/>
  <c r="EI225" i="1"/>
  <c r="EJ225" i="1"/>
  <c r="BL236" i="1"/>
  <c r="BK236" i="1"/>
  <c r="CC267" i="1"/>
  <c r="CD267" i="1"/>
  <c r="EU2" i="1"/>
  <c r="DH2" i="1" s="1"/>
  <c r="DT2" i="1" s="1"/>
  <c r="EV2" i="1"/>
  <c r="BQ80" i="1"/>
  <c r="BR80" i="1"/>
  <c r="ED72" i="1"/>
  <c r="EC72" i="1"/>
  <c r="EV84" i="1"/>
  <c r="EU84" i="1"/>
  <c r="EM113" i="1"/>
  <c r="EL113" i="1"/>
  <c r="BH130" i="1"/>
  <c r="BI130" i="1"/>
  <c r="ED162" i="1"/>
  <c r="EC162" i="1"/>
  <c r="EI151" i="1"/>
  <c r="EJ151" i="1"/>
  <c r="EX7" i="1"/>
  <c r="EY7" i="1"/>
  <c r="BE85" i="1"/>
  <c r="BF85" i="1"/>
  <c r="ED101" i="1"/>
  <c r="EC101" i="1"/>
  <c r="BF216" i="1"/>
  <c r="BE216" i="1"/>
  <c r="BZ35" i="1"/>
  <c r="CA35" i="1"/>
  <c r="EY22" i="1"/>
  <c r="EX22" i="1"/>
  <c r="BQ153" i="1"/>
  <c r="BR153" i="1"/>
  <c r="EO208" i="1"/>
  <c r="EP208" i="1"/>
  <c r="DZ163" i="1"/>
  <c r="EA163" i="1"/>
  <c r="BL203" i="1"/>
  <c r="BK203" i="1"/>
  <c r="CA34" i="1"/>
  <c r="BZ34" i="1"/>
  <c r="DX216" i="1"/>
  <c r="DW216" i="1"/>
  <c r="EF269" i="1"/>
  <c r="EG269" i="1"/>
  <c r="CA46" i="1"/>
  <c r="BZ46" i="1"/>
  <c r="DX78" i="1"/>
  <c r="DW78" i="1"/>
  <c r="BI208" i="1"/>
  <c r="BH208" i="1"/>
  <c r="EF246" i="1"/>
  <c r="EG246" i="1"/>
  <c r="BI233" i="1"/>
  <c r="BH233" i="1"/>
  <c r="BI6" i="1"/>
  <c r="BH6" i="1"/>
  <c r="DX90" i="1"/>
  <c r="DW90" i="1"/>
  <c r="BK180" i="1"/>
  <c r="BL180" i="1"/>
  <c r="BE227" i="1"/>
  <c r="BF227" i="1"/>
  <c r="CG26" i="1"/>
  <c r="CF26" i="1"/>
  <c r="ED58" i="1"/>
  <c r="EC58" i="1"/>
  <c r="BZ124" i="1"/>
  <c r="CA124" i="1"/>
  <c r="CD220" i="1"/>
  <c r="CC220" i="1"/>
  <c r="CD268" i="1"/>
  <c r="CC268" i="1"/>
  <c r="EL76" i="1"/>
  <c r="EM76" i="1"/>
  <c r="CD203" i="1"/>
  <c r="CC203" i="1"/>
  <c r="ED247" i="1"/>
  <c r="EC247" i="1"/>
  <c r="EA262" i="1"/>
  <c r="DZ262" i="1"/>
  <c r="CF85" i="1"/>
  <c r="CG85" i="1"/>
  <c r="BU120" i="1"/>
  <c r="BT120" i="1"/>
  <c r="EM267" i="1"/>
  <c r="EL267" i="1"/>
  <c r="EG253" i="1"/>
  <c r="EF253" i="1"/>
  <c r="EY112" i="1"/>
  <c r="EX112" i="1"/>
  <c r="BL61" i="1"/>
  <c r="BK61" i="1"/>
  <c r="ES24" i="1"/>
  <c r="ER24" i="1"/>
  <c r="BL86" i="1"/>
  <c r="BK86" i="1"/>
  <c r="EM214" i="1"/>
  <c r="EL214" i="1"/>
  <c r="CG257" i="1"/>
  <c r="CF257" i="1"/>
  <c r="CG3" i="1"/>
  <c r="CF3" i="1"/>
  <c r="CD133" i="1"/>
  <c r="CC133" i="1"/>
  <c r="BI210" i="1"/>
  <c r="BH210" i="1"/>
  <c r="EJ153" i="1"/>
  <c r="EI153" i="1"/>
  <c r="ES10" i="1"/>
  <c r="ER10" i="1"/>
  <c r="EJ159" i="1"/>
  <c r="EI159" i="1"/>
  <c r="BU178" i="1"/>
  <c r="BT178" i="1"/>
  <c r="ES165" i="1"/>
  <c r="ER165" i="1"/>
  <c r="EJ39" i="1"/>
  <c r="EI39" i="1"/>
  <c r="BU84" i="1"/>
  <c r="BT84" i="1"/>
  <c r="DW103" i="1"/>
  <c r="DX103" i="1"/>
  <c r="BI162" i="1"/>
  <c r="BH162" i="1"/>
  <c r="EG228" i="1"/>
  <c r="EF228" i="1"/>
  <c r="BQ134" i="1"/>
  <c r="BR134" i="1"/>
  <c r="BF161" i="1"/>
  <c r="BE161" i="1"/>
  <c r="BT266" i="1"/>
  <c r="BU266" i="1"/>
  <c r="BR188" i="1"/>
  <c r="BQ188" i="1"/>
  <c r="BO39" i="1"/>
  <c r="BN39" i="1"/>
  <c r="BF162" i="1"/>
  <c r="BE162" i="1"/>
  <c r="EV175" i="1"/>
  <c r="EU175" i="1"/>
  <c r="EM203" i="1"/>
  <c r="EL203" i="1"/>
  <c r="EJ240" i="1"/>
  <c r="EI240" i="1"/>
  <c r="BQ21" i="1"/>
  <c r="BR21" i="1"/>
  <c r="CD98" i="1"/>
  <c r="CC98" i="1"/>
  <c r="CF182" i="1"/>
  <c r="CG182" i="1"/>
  <c r="EP21" i="1"/>
  <c r="EO21" i="1"/>
  <c r="BF93" i="1"/>
  <c r="BE93" i="1"/>
  <c r="EP164" i="1"/>
  <c r="EO164" i="1"/>
  <c r="CF61" i="1"/>
  <c r="CG61" i="1"/>
  <c r="EA63" i="1"/>
  <c r="DZ63" i="1"/>
  <c r="EA24" i="1"/>
  <c r="DZ24" i="1"/>
  <c r="BX99" i="1"/>
  <c r="BW99" i="1"/>
  <c r="CA263" i="1"/>
  <c r="BZ263" i="1"/>
  <c r="EG194" i="1"/>
  <c r="EF194" i="1"/>
  <c r="BI146" i="1"/>
  <c r="BH146" i="1"/>
  <c r="BU17" i="1"/>
  <c r="BT17" i="1"/>
  <c r="BI101" i="1"/>
  <c r="BH101" i="1"/>
  <c r="CA171" i="1"/>
  <c r="BZ171" i="1"/>
  <c r="BU177" i="1"/>
  <c r="BT177" i="1"/>
  <c r="BW2" i="1"/>
  <c r="AM2" i="1" s="1"/>
  <c r="BA2" i="1" s="1"/>
  <c r="BX2" i="1"/>
  <c r="DZ207" i="1"/>
  <c r="EA207" i="1"/>
  <c r="ES80" i="1"/>
  <c r="ER80" i="1"/>
  <c r="EG104" i="1"/>
  <c r="EF104" i="1"/>
  <c r="BK168" i="1"/>
  <c r="BL168" i="1"/>
  <c r="ED267" i="1"/>
  <c r="EC267" i="1"/>
  <c r="BH260" i="1"/>
  <c r="BI260" i="1"/>
  <c r="EV270" i="1"/>
  <c r="EU270" i="1"/>
  <c r="BO184" i="1"/>
  <c r="BN184" i="1"/>
  <c r="ED137" i="1"/>
  <c r="EC137" i="1"/>
  <c r="BN176" i="1"/>
  <c r="BO176" i="1"/>
  <c r="EV240" i="1"/>
  <c r="EU240" i="1"/>
  <c r="CC112" i="1"/>
  <c r="CD112" i="1"/>
  <c r="EA46" i="1"/>
  <c r="DZ46" i="1"/>
  <c r="BU226" i="1"/>
  <c r="BT226" i="1"/>
  <c r="DX45" i="1"/>
  <c r="DW45" i="1"/>
  <c r="CG109" i="1"/>
  <c r="CF109" i="1"/>
  <c r="EM161" i="1"/>
  <c r="EL161" i="1"/>
  <c r="ES15" i="1"/>
  <c r="ER15" i="1"/>
  <c r="EJ109" i="1"/>
  <c r="EI109" i="1"/>
  <c r="EP49" i="1"/>
  <c r="EO49" i="1"/>
  <c r="BL130" i="1"/>
  <c r="BK130" i="1"/>
  <c r="DX30" i="1"/>
  <c r="DW30" i="1"/>
  <c r="DW135" i="1"/>
  <c r="DX135" i="1"/>
  <c r="BI121" i="1"/>
  <c r="BH121" i="1"/>
  <c r="CD128" i="1"/>
  <c r="CC128" i="1"/>
  <c r="EO146" i="1"/>
  <c r="EP146" i="1"/>
  <c r="ES185" i="1"/>
  <c r="ER185" i="1"/>
  <c r="BR177" i="1"/>
  <c r="BQ177" i="1"/>
  <c r="BL228" i="1"/>
  <c r="BK228" i="1"/>
  <c r="BU229" i="1"/>
  <c r="BT229" i="1"/>
  <c r="BL243" i="1"/>
  <c r="BK243" i="1"/>
  <c r="BF242" i="1"/>
  <c r="BE242" i="1"/>
  <c r="CG263" i="1"/>
  <c r="CF263" i="1"/>
  <c r="BQ6" i="1"/>
  <c r="BR6" i="1"/>
  <c r="EG111" i="1"/>
  <c r="EF111" i="1"/>
  <c r="DW127" i="1"/>
  <c r="DX127" i="1"/>
  <c r="CG179" i="1"/>
  <c r="CF179" i="1"/>
  <c r="EY238" i="1"/>
  <c r="EX238" i="1"/>
  <c r="CG243" i="1"/>
  <c r="CF243" i="1"/>
  <c r="BX23" i="1"/>
  <c r="BW23" i="1"/>
  <c r="EC15" i="1"/>
  <c r="ED15" i="1"/>
  <c r="BZ10" i="1"/>
  <c r="CA10" i="1"/>
  <c r="EI33" i="1"/>
  <c r="EJ33" i="1"/>
  <c r="EA67" i="1"/>
  <c r="DZ67" i="1"/>
  <c r="EI69" i="1"/>
  <c r="EJ69" i="1"/>
  <c r="ER148" i="1"/>
  <c r="ES148" i="1"/>
  <c r="DX116" i="1"/>
  <c r="DW116" i="1"/>
  <c r="BU154" i="1"/>
  <c r="BT154" i="1"/>
  <c r="BI160" i="1"/>
  <c r="BH160" i="1"/>
  <c r="BH192" i="1"/>
  <c r="BI192" i="1"/>
  <c r="BL185" i="1"/>
  <c r="BK185" i="1"/>
  <c r="BT197" i="1"/>
  <c r="BU197" i="1"/>
  <c r="EG206" i="1"/>
  <c r="EF206" i="1"/>
  <c r="ED207" i="1"/>
  <c r="EC207" i="1"/>
  <c r="BU219" i="1"/>
  <c r="BT219" i="1"/>
  <c r="CD231" i="1"/>
  <c r="CC231" i="1"/>
  <c r="EA258" i="1"/>
  <c r="DZ258" i="1"/>
  <c r="EV271" i="1"/>
  <c r="EU271" i="1"/>
  <c r="EA50" i="1"/>
  <c r="DZ50" i="1"/>
  <c r="EA192" i="1"/>
  <c r="DZ192" i="1"/>
  <c r="CG234" i="1"/>
  <c r="CF234" i="1"/>
  <c r="CC81" i="1"/>
  <c r="CD81" i="1"/>
  <c r="EI2" i="1"/>
  <c r="CV2" i="1" s="1"/>
  <c r="DP2" i="1" s="1"/>
  <c r="EJ2" i="1"/>
  <c r="BR49" i="1"/>
  <c r="BQ49" i="1"/>
  <c r="EC85" i="1"/>
  <c r="ED85" i="1"/>
  <c r="CG50" i="1"/>
  <c r="CF50" i="1"/>
  <c r="ES86" i="1"/>
  <c r="ER86" i="1"/>
  <c r="BF108" i="1"/>
  <c r="BE108" i="1"/>
  <c r="EV81" i="1"/>
  <c r="EU81" i="1"/>
  <c r="EO93" i="1"/>
  <c r="EP93" i="1"/>
  <c r="EV94" i="1"/>
  <c r="EU94" i="1"/>
  <c r="EG107" i="1"/>
  <c r="EF107" i="1"/>
  <c r="CA136" i="1"/>
  <c r="BZ136" i="1"/>
  <c r="ER140" i="1"/>
  <c r="ES140" i="1"/>
  <c r="CG169" i="1"/>
  <c r="CF169" i="1"/>
  <c r="CD174" i="1"/>
  <c r="CC174" i="1"/>
  <c r="EO185" i="1"/>
  <c r="EP185" i="1"/>
  <c r="EL180" i="1"/>
  <c r="EM180" i="1"/>
  <c r="ED210" i="1"/>
  <c r="EC210" i="1"/>
  <c r="BI253" i="1"/>
  <c r="BH253" i="1"/>
  <c r="DZ249" i="1"/>
  <c r="EA249" i="1"/>
  <c r="BQ256" i="1"/>
  <c r="BR256" i="1"/>
  <c r="BF262" i="1"/>
  <c r="BE262" i="1"/>
  <c r="CA268" i="1"/>
  <c r="BZ268" i="1"/>
  <c r="BF15" i="1"/>
  <c r="BE15" i="1"/>
  <c r="BT74" i="1"/>
  <c r="BU74" i="1"/>
  <c r="EC171" i="1"/>
  <c r="ED171" i="1"/>
  <c r="CA198" i="1"/>
  <c r="BZ198" i="1"/>
  <c r="BO217" i="1"/>
  <c r="BN217" i="1"/>
  <c r="BK250" i="1"/>
  <c r="BL250" i="1"/>
  <c r="BK268" i="1"/>
  <c r="BL268" i="1"/>
  <c r="DW254" i="1"/>
  <c r="DX254" i="1"/>
  <c r="ES108" i="1"/>
  <c r="ER108" i="1"/>
  <c r="BT97" i="1"/>
  <c r="BU97" i="1"/>
  <c r="DX198" i="1"/>
  <c r="DW198" i="1"/>
  <c r="DZ265" i="1"/>
  <c r="EA265" i="1"/>
  <c r="EO15" i="1"/>
  <c r="EP15" i="1"/>
  <c r="BU57" i="1"/>
  <c r="BT57" i="1"/>
  <c r="BX133" i="1"/>
  <c r="BW133" i="1"/>
  <c r="ER13" i="1"/>
  <c r="ES13" i="1"/>
  <c r="BO46" i="1"/>
  <c r="BN46" i="1"/>
  <c r="BO57" i="1"/>
  <c r="BN57" i="1"/>
  <c r="BQ38" i="1"/>
  <c r="BR38" i="1"/>
  <c r="EJ47" i="1"/>
  <c r="EI47" i="1"/>
  <c r="EJ78" i="1"/>
  <c r="EI78" i="1"/>
  <c r="CG84" i="1"/>
  <c r="CF84" i="1"/>
  <c r="BN106" i="1"/>
  <c r="BO106" i="1"/>
  <c r="DX121" i="1"/>
  <c r="DW121" i="1"/>
  <c r="EC136" i="1"/>
  <c r="ED136" i="1"/>
  <c r="BF122" i="1"/>
  <c r="BE122" i="1"/>
  <c r="EC169" i="1"/>
  <c r="ED169" i="1"/>
  <c r="BO171" i="1"/>
  <c r="BN171" i="1"/>
  <c r="EA182" i="1"/>
  <c r="DZ182" i="1"/>
  <c r="EX180" i="1"/>
  <c r="EY180" i="1"/>
  <c r="EC223" i="1"/>
  <c r="ED223" i="1"/>
  <c r="BE236" i="1"/>
  <c r="R236" i="1" s="1"/>
  <c r="BF236" i="1"/>
  <c r="DW267" i="1"/>
  <c r="DX267" i="1"/>
  <c r="EG3" i="1"/>
  <c r="EF3" i="1"/>
  <c r="BU125" i="1"/>
  <c r="BT125" i="1"/>
  <c r="BW257" i="1"/>
  <c r="BX257" i="1"/>
  <c r="CC217" i="1"/>
  <c r="CD217" i="1"/>
  <c r="EV243" i="1"/>
  <c r="EU243" i="1"/>
  <c r="BX246" i="1"/>
  <c r="BW246" i="1"/>
  <c r="EY35" i="1"/>
  <c r="EX35" i="1"/>
  <c r="BK5" i="1"/>
  <c r="BL5" i="1"/>
  <c r="EA31" i="1"/>
  <c r="DZ31" i="1"/>
  <c r="BH50" i="1"/>
  <c r="BI50" i="1"/>
  <c r="EJ75" i="1"/>
  <c r="EI75" i="1"/>
  <c r="CA82" i="1"/>
  <c r="BZ82" i="1"/>
  <c r="CF76" i="1"/>
  <c r="CG76" i="1"/>
  <c r="DZ114" i="1"/>
  <c r="EA114" i="1"/>
  <c r="BL148" i="1"/>
  <c r="BK148" i="1"/>
  <c r="BZ128" i="1"/>
  <c r="CA128" i="1"/>
  <c r="BN138" i="1"/>
  <c r="BO138" i="1"/>
  <c r="CG140" i="1"/>
  <c r="CF140" i="1"/>
  <c r="BH165" i="1"/>
  <c r="BI165" i="1"/>
  <c r="CD178" i="1"/>
  <c r="CC178" i="1"/>
  <c r="BF174" i="1"/>
  <c r="BE174" i="1"/>
  <c r="BR192" i="1"/>
  <c r="BQ192" i="1"/>
  <c r="EY189" i="1"/>
  <c r="EX189" i="1"/>
  <c r="EY206" i="1"/>
  <c r="EX206" i="1"/>
  <c r="BF208" i="1"/>
  <c r="BE208" i="1"/>
  <c r="CD221" i="1"/>
  <c r="CC221" i="1"/>
  <c r="ES231" i="1"/>
  <c r="ER231" i="1"/>
  <c r="EJ239" i="1"/>
  <c r="EI239" i="1"/>
  <c r="ES268" i="1"/>
  <c r="ER268" i="1"/>
  <c r="EP271" i="1"/>
  <c r="EO271" i="1"/>
  <c r="EG121" i="1"/>
  <c r="EF121" i="1"/>
  <c r="ER221" i="1"/>
  <c r="ES221" i="1"/>
  <c r="EY231" i="1"/>
  <c r="EX231" i="1"/>
  <c r="EL207" i="1"/>
  <c r="EM207" i="1"/>
  <c r="BH237" i="1"/>
  <c r="BI237" i="1"/>
  <c r="ES121" i="1"/>
  <c r="ER121" i="1"/>
  <c r="DX181" i="1"/>
  <c r="DW181" i="1"/>
  <c r="ED228" i="1"/>
  <c r="EC228" i="1"/>
  <c r="EY5" i="1"/>
  <c r="EX5" i="1"/>
  <c r="CD15" i="1"/>
  <c r="CC15" i="1"/>
  <c r="BW17" i="1"/>
  <c r="BX17" i="1"/>
  <c r="ED21" i="1"/>
  <c r="EC21" i="1"/>
  <c r="BL49" i="1"/>
  <c r="BK49" i="1"/>
  <c r="EA85" i="1"/>
  <c r="DZ85" i="1"/>
  <c r="EI43" i="1"/>
  <c r="EJ43" i="1"/>
  <c r="EJ49" i="1"/>
  <c r="EI49" i="1"/>
  <c r="BO82" i="1"/>
  <c r="BN82" i="1"/>
  <c r="BW77" i="1"/>
  <c r="BX77" i="1"/>
  <c r="EU74" i="1"/>
  <c r="EV74" i="1"/>
  <c r="EA148" i="1"/>
  <c r="DZ148" i="1"/>
  <c r="BW111" i="1"/>
  <c r="BX111" i="1"/>
  <c r="EA137" i="1"/>
  <c r="DZ137" i="1"/>
  <c r="EY138" i="1"/>
  <c r="EX138" i="1"/>
  <c r="BU140" i="1"/>
  <c r="BT140" i="1"/>
  <c r="EP156" i="1"/>
  <c r="EO156" i="1"/>
  <c r="DX166" i="1"/>
  <c r="DW166" i="1"/>
  <c r="EA165" i="1"/>
  <c r="DZ165" i="1"/>
  <c r="BR184" i="1"/>
  <c r="BQ184" i="1"/>
  <c r="BR198" i="1"/>
  <c r="BQ198" i="1"/>
  <c r="DX240" i="1"/>
  <c r="DW240" i="1"/>
  <c r="BX114" i="1"/>
  <c r="BW114" i="1"/>
  <c r="EP217" i="1"/>
  <c r="EO217" i="1"/>
  <c r="CD243" i="1"/>
  <c r="CC243" i="1"/>
  <c r="ES11" i="1"/>
  <c r="ER11" i="1"/>
  <c r="BT51" i="1"/>
  <c r="BU51" i="1"/>
  <c r="ES172" i="1"/>
  <c r="ER172" i="1"/>
  <c r="ES25" i="1"/>
  <c r="ER25" i="1"/>
  <c r="BL260" i="1"/>
  <c r="BK260" i="1"/>
  <c r="ED23" i="1"/>
  <c r="EC23" i="1"/>
  <c r="DX3" i="1"/>
  <c r="DW3" i="1"/>
  <c r="EG30" i="1"/>
  <c r="EF30" i="1"/>
  <c r="BR28" i="1"/>
  <c r="BQ28" i="1"/>
  <c r="EJ72" i="1"/>
  <c r="EI72" i="1"/>
  <c r="ES106" i="1"/>
  <c r="ER106" i="1"/>
  <c r="CG116" i="1"/>
  <c r="CF116" i="1"/>
  <c r="DX122" i="1"/>
  <c r="DW122" i="1"/>
  <c r="EM137" i="1"/>
  <c r="EL137" i="1"/>
  <c r="ES143" i="1"/>
  <c r="ER143" i="1"/>
  <c r="EV218" i="1"/>
  <c r="EU218" i="1"/>
  <c r="CC211" i="1"/>
  <c r="CD211" i="1"/>
  <c r="ES217" i="1"/>
  <c r="ER217" i="1"/>
  <c r="DX234" i="1"/>
  <c r="DW234" i="1"/>
  <c r="DX266" i="1"/>
  <c r="DW266" i="1"/>
  <c r="EI125" i="1"/>
  <c r="EJ125" i="1"/>
  <c r="CA255" i="1"/>
  <c r="BZ255" i="1"/>
  <c r="CA269" i="1"/>
  <c r="BZ269" i="1"/>
  <c r="EA99" i="1"/>
  <c r="DZ99" i="1"/>
  <c r="EO31" i="1"/>
  <c r="EP31" i="1"/>
  <c r="BT38" i="1"/>
  <c r="BU38" i="1"/>
  <c r="BX54" i="1"/>
  <c r="BW54" i="1"/>
  <c r="EV60" i="1"/>
  <c r="EU60" i="1"/>
  <c r="BX61" i="1"/>
  <c r="BW61" i="1"/>
  <c r="EA88" i="1"/>
  <c r="DZ88" i="1"/>
  <c r="CC73" i="1"/>
  <c r="CD73" i="1"/>
  <c r="CD148" i="1"/>
  <c r="CC148" i="1"/>
  <c r="CA99" i="1"/>
  <c r="BZ99" i="1"/>
  <c r="BX124" i="1"/>
  <c r="BW124" i="1"/>
  <c r="EV122" i="1"/>
  <c r="EU122" i="1"/>
  <c r="BN167" i="1"/>
  <c r="BO167" i="1"/>
  <c r="CG218" i="1"/>
  <c r="CF218" i="1"/>
  <c r="BL237" i="1"/>
  <c r="BK237" i="1"/>
  <c r="BR232" i="1"/>
  <c r="BQ232" i="1"/>
  <c r="EP231" i="1"/>
  <c r="EO231" i="1"/>
  <c r="CG253" i="1"/>
  <c r="CF253" i="1"/>
  <c r="BX251" i="1"/>
  <c r="BW251" i="1"/>
  <c r="BR271" i="1"/>
  <c r="BQ271" i="1"/>
  <c r="EG11" i="1"/>
  <c r="EF11" i="1"/>
  <c r="CF51" i="1"/>
  <c r="CG51" i="1"/>
  <c r="BU82" i="1"/>
  <c r="BT82" i="1"/>
  <c r="BU77" i="1"/>
  <c r="BT77" i="1"/>
  <c r="EC164" i="1"/>
  <c r="ED164" i="1"/>
  <c r="ED179" i="1"/>
  <c r="EC179" i="1"/>
  <c r="BE217" i="1"/>
  <c r="BF217" i="1"/>
  <c r="EA10" i="1"/>
  <c r="DZ10" i="1"/>
  <c r="EM42" i="1"/>
  <c r="EL42" i="1"/>
  <c r="EI195" i="1"/>
  <c r="EJ195" i="1"/>
  <c r="EY108" i="1"/>
  <c r="EX108" i="1"/>
  <c r="EO154" i="1"/>
  <c r="EP154" i="1"/>
  <c r="EF181" i="1"/>
  <c r="EG181" i="1"/>
  <c r="CD262" i="1"/>
  <c r="CC262" i="1"/>
  <c r="BH9" i="1"/>
  <c r="BI9" i="1"/>
  <c r="DW26" i="1"/>
  <c r="DX26" i="1"/>
  <c r="EA55" i="1"/>
  <c r="DZ55" i="1"/>
  <c r="EO57" i="1"/>
  <c r="EP57" i="1"/>
  <c r="BL59" i="1"/>
  <c r="BK59" i="1"/>
  <c r="BF86" i="1"/>
  <c r="BE86" i="1"/>
  <c r="CG77" i="1"/>
  <c r="CF77" i="1"/>
  <c r="CD72" i="1"/>
  <c r="CC72" i="1"/>
  <c r="BR148" i="1"/>
  <c r="BQ148" i="1"/>
  <c r="EY113" i="1"/>
  <c r="EX113" i="1"/>
  <c r="EM112" i="1"/>
  <c r="EL112" i="1"/>
  <c r="BR130" i="1"/>
  <c r="BQ130" i="1"/>
  <c r="EG138" i="1"/>
  <c r="EF138" i="1"/>
  <c r="EM156" i="1"/>
  <c r="EL156" i="1"/>
  <c r="EO162" i="1"/>
  <c r="EP162" i="1"/>
  <c r="CG188" i="1"/>
  <c r="CF188" i="1"/>
  <c r="EL176" i="1"/>
  <c r="EM176" i="1"/>
  <c r="CA205" i="1"/>
  <c r="BZ205" i="1"/>
  <c r="BL205" i="1"/>
  <c r="BK205" i="1"/>
  <c r="BI220" i="1"/>
  <c r="BH220" i="1"/>
  <c r="BF213" i="1"/>
  <c r="BE213" i="1"/>
  <c r="EP226" i="1"/>
  <c r="EO226" i="1"/>
  <c r="BF232" i="1"/>
  <c r="BE232" i="1"/>
  <c r="EY250" i="1"/>
  <c r="EX250" i="1"/>
  <c r="BR254" i="1"/>
  <c r="BQ254" i="1"/>
  <c r="DX38" i="1"/>
  <c r="DW38" i="1"/>
  <c r="EL135" i="1"/>
  <c r="EM135" i="1"/>
  <c r="BK187" i="1"/>
  <c r="BL187" i="1"/>
  <c r="DW168" i="1"/>
  <c r="DX168" i="1"/>
  <c r="BR264" i="1"/>
  <c r="BQ264" i="1"/>
  <c r="ED8" i="1"/>
  <c r="EC8" i="1"/>
  <c r="CA166" i="1"/>
  <c r="BZ166" i="1"/>
  <c r="EJ268" i="1"/>
  <c r="EI268" i="1"/>
  <c r="EC6" i="1"/>
  <c r="ED6" i="1"/>
  <c r="EV38" i="1"/>
  <c r="EU38" i="1"/>
  <c r="BU75" i="1"/>
  <c r="BT75" i="1"/>
  <c r="BF133" i="1"/>
  <c r="BE133" i="1"/>
  <c r="BH51" i="1"/>
  <c r="BI51" i="1"/>
  <c r="BR117" i="1"/>
  <c r="BQ117" i="1"/>
  <c r="BH137" i="1"/>
  <c r="BI137" i="1"/>
  <c r="BW206" i="1"/>
  <c r="BX206" i="1"/>
  <c r="DZ180" i="1"/>
  <c r="EA180" i="1"/>
  <c r="EV249" i="1"/>
  <c r="EU249" i="1"/>
  <c r="DZ205" i="1"/>
  <c r="EA205" i="1"/>
  <c r="BW87" i="1"/>
  <c r="BX87" i="1"/>
  <c r="EO169" i="1"/>
  <c r="EP169" i="1"/>
  <c r="EI271" i="1"/>
  <c r="EJ271" i="1"/>
  <c r="CD149" i="1"/>
  <c r="CC149" i="1"/>
  <c r="BF212" i="1"/>
  <c r="BE212" i="1"/>
  <c r="EA223" i="1"/>
  <c r="DZ223" i="1"/>
  <c r="EM148" i="1"/>
  <c r="EL148" i="1"/>
  <c r="EM15" i="1"/>
  <c r="EL15" i="1"/>
  <c r="DX25" i="1"/>
  <c r="DW25" i="1"/>
  <c r="EG187" i="1"/>
  <c r="EF187" i="1"/>
  <c r="EI254" i="1"/>
  <c r="EJ254" i="1"/>
  <c r="EX86" i="1"/>
  <c r="EY86" i="1"/>
  <c r="ER109" i="1"/>
  <c r="ES109" i="1"/>
  <c r="ES162" i="1"/>
  <c r="ER162" i="1"/>
  <c r="CD198" i="1"/>
  <c r="CC198" i="1"/>
  <c r="BX243" i="1"/>
  <c r="BW243" i="1"/>
  <c r="ER212" i="1"/>
  <c r="ES212" i="1"/>
  <c r="BF218" i="1"/>
  <c r="BE218" i="1"/>
  <c r="EJ103" i="1"/>
  <c r="EI103" i="1"/>
  <c r="BU169" i="1"/>
  <c r="BT169" i="1"/>
  <c r="EP189" i="1"/>
  <c r="EO189" i="1"/>
  <c r="CA234" i="1"/>
  <c r="BZ234" i="1"/>
  <c r="BK121" i="1"/>
  <c r="BL121" i="1"/>
  <c r="BX51" i="1"/>
  <c r="BW51" i="1"/>
  <c r="DW108" i="1"/>
  <c r="DX108" i="1"/>
  <c r="EV110" i="1"/>
  <c r="EU110" i="1"/>
  <c r="DW125" i="1"/>
  <c r="DX125" i="1"/>
  <c r="EV208" i="1"/>
  <c r="EU208" i="1"/>
  <c r="BO257" i="1"/>
  <c r="BN257" i="1"/>
  <c r="EA6" i="1"/>
  <c r="DZ6" i="1"/>
  <c r="BT9" i="1"/>
  <c r="BU9" i="1"/>
  <c r="CD23" i="1"/>
  <c r="CC23" i="1"/>
  <c r="BU21" i="1"/>
  <c r="BT21" i="1"/>
  <c r="CA152" i="1"/>
  <c r="BZ152" i="1"/>
  <c r="EP205" i="1"/>
  <c r="EO205" i="1"/>
  <c r="BU146" i="1"/>
  <c r="BT146" i="1"/>
  <c r="EP30" i="1"/>
  <c r="EO30" i="1"/>
  <c r="EP13" i="1"/>
  <c r="EO13" i="1"/>
  <c r="BR43" i="1"/>
  <c r="BQ43" i="1"/>
  <c r="CG82" i="1"/>
  <c r="CF82" i="1"/>
  <c r="EY88" i="1"/>
  <c r="EX88" i="1"/>
  <c r="BR111" i="1"/>
  <c r="BQ111" i="1"/>
  <c r="EA136" i="1"/>
  <c r="DZ136" i="1"/>
  <c r="BQ159" i="1"/>
  <c r="BR159" i="1"/>
  <c r="EJ85" i="1"/>
  <c r="EI85" i="1"/>
  <c r="BL89" i="1"/>
  <c r="BK89" i="1"/>
  <c r="CD140" i="1"/>
  <c r="CC140" i="1"/>
  <c r="EI135" i="1"/>
  <c r="EJ135" i="1"/>
  <c r="BX190" i="1"/>
  <c r="BW190" i="1"/>
  <c r="BI257" i="1"/>
  <c r="BH257" i="1"/>
  <c r="ER57" i="1"/>
  <c r="ES57" i="1"/>
  <c r="CG75" i="1"/>
  <c r="CF75" i="1"/>
  <c r="DX59" i="1"/>
  <c r="DW59" i="1"/>
  <c r="BU109" i="1"/>
  <c r="BT109" i="1"/>
  <c r="EU132" i="1"/>
  <c r="EV132" i="1"/>
  <c r="CD226" i="1"/>
  <c r="CC226" i="1"/>
  <c r="EX23" i="1"/>
  <c r="EY23" i="1"/>
  <c r="EC26" i="1"/>
  <c r="ED26" i="1"/>
  <c r="BO125" i="1"/>
  <c r="BN125" i="1"/>
  <c r="EG205" i="1"/>
  <c r="EF205" i="1"/>
  <c r="EM134" i="1"/>
  <c r="EL134" i="1"/>
  <c r="ED181" i="1"/>
  <c r="EC181" i="1"/>
  <c r="EX219" i="1"/>
  <c r="EY219" i="1"/>
  <c r="BQ150" i="1"/>
  <c r="BR150" i="1"/>
  <c r="BU212" i="1"/>
  <c r="BT212" i="1"/>
  <c r="EM232" i="1"/>
  <c r="EL232" i="1"/>
  <c r="ER262" i="1"/>
  <c r="ES262" i="1"/>
  <c r="ED165" i="1"/>
  <c r="EC165" i="1"/>
  <c r="BK159" i="1"/>
  <c r="BL159" i="1"/>
  <c r="BO94" i="1"/>
  <c r="BN94" i="1"/>
  <c r="BF182" i="1"/>
  <c r="BE182" i="1"/>
  <c r="EI64" i="1"/>
  <c r="EJ64" i="1"/>
  <c r="BO72" i="1"/>
  <c r="BN72" i="1"/>
  <c r="DX179" i="1"/>
  <c r="DW179" i="1"/>
  <c r="DW69" i="1"/>
  <c r="DX69" i="1"/>
  <c r="CC68" i="1"/>
  <c r="CD68" i="1"/>
  <c r="EJ95" i="1"/>
  <c r="EI95" i="1"/>
  <c r="CC227" i="1"/>
  <c r="CD227" i="1"/>
  <c r="EJ32" i="1"/>
  <c r="EI32" i="1"/>
  <c r="EJ81" i="1"/>
  <c r="EI81" i="1"/>
  <c r="BX203" i="1"/>
  <c r="BW203" i="1"/>
  <c r="EL121" i="1"/>
  <c r="EM121" i="1"/>
  <c r="EA158" i="1"/>
  <c r="DZ158" i="1"/>
  <c r="EY267" i="1"/>
  <c r="EX267" i="1"/>
  <c r="CA21" i="1"/>
  <c r="BZ21" i="1"/>
  <c r="ED115" i="1"/>
  <c r="EC115" i="1"/>
  <c r="BN243" i="1"/>
  <c r="BO243" i="1"/>
  <c r="EU225" i="1"/>
  <c r="EV225" i="1"/>
  <c r="EA120" i="1"/>
  <c r="DZ120" i="1"/>
  <c r="EM199" i="1"/>
  <c r="EL199" i="1"/>
  <c r="BX223" i="1"/>
  <c r="BW223" i="1"/>
  <c r="EP250" i="1"/>
  <c r="EO250" i="1"/>
  <c r="EJ264" i="1"/>
  <c r="EI264" i="1"/>
  <c r="EF211" i="1"/>
  <c r="EG211" i="1"/>
  <c r="ED102" i="1"/>
  <c r="EC102" i="1"/>
  <c r="CA133" i="1"/>
  <c r="BZ133" i="1"/>
  <c r="BF28" i="1"/>
  <c r="BE28" i="1"/>
  <c r="DX101" i="1"/>
  <c r="DW101" i="1"/>
  <c r="BR109" i="1"/>
  <c r="BQ109" i="1"/>
  <c r="CA17" i="1"/>
  <c r="BZ17" i="1"/>
  <c r="BR266" i="1"/>
  <c r="BQ266" i="1"/>
  <c r="BX86" i="1"/>
  <c r="BW86" i="1"/>
  <c r="BW255" i="1"/>
  <c r="BX255" i="1"/>
  <c r="BI117" i="1"/>
  <c r="BH117" i="1"/>
  <c r="BL15" i="1"/>
  <c r="BK15" i="1"/>
  <c r="BT130" i="1"/>
  <c r="BU130" i="1"/>
  <c r="EP54" i="1"/>
  <c r="EO54" i="1"/>
  <c r="EL74" i="1"/>
  <c r="EM74" i="1"/>
  <c r="DW132" i="1"/>
  <c r="DX132" i="1"/>
  <c r="EL23" i="1"/>
  <c r="EM23" i="1"/>
  <c r="BU3" i="1"/>
  <c r="BT3" i="1"/>
  <c r="EM22" i="1"/>
  <c r="EL22" i="1"/>
  <c r="CA31" i="1"/>
  <c r="BZ31" i="1"/>
  <c r="BI57" i="1"/>
  <c r="BH57" i="1"/>
  <c r="BI75" i="1"/>
  <c r="BH75" i="1"/>
  <c r="EI148" i="1"/>
  <c r="EJ148" i="1"/>
  <c r="EP116" i="1"/>
  <c r="EO116" i="1"/>
  <c r="BN150" i="1"/>
  <c r="BO150" i="1"/>
  <c r="EF169" i="1"/>
  <c r="EG169" i="1"/>
  <c r="BN162" i="1"/>
  <c r="BO162" i="1"/>
  <c r="BI171" i="1"/>
  <c r="BH171" i="1"/>
  <c r="EY178" i="1"/>
  <c r="EX178" i="1"/>
  <c r="EV174" i="1"/>
  <c r="EU174" i="1"/>
  <c r="CG180" i="1"/>
  <c r="CF180" i="1"/>
  <c r="CD207" i="1"/>
  <c r="CC207" i="1"/>
  <c r="EJ201" i="1"/>
  <c r="EI201" i="1"/>
  <c r="EU220" i="1"/>
  <c r="EV220" i="1"/>
  <c r="EI237" i="1"/>
  <c r="EJ237" i="1"/>
  <c r="ES233" i="1"/>
  <c r="ER233" i="1"/>
  <c r="ER238" i="1"/>
  <c r="ES238" i="1"/>
  <c r="EY253" i="1"/>
  <c r="EX253" i="1"/>
  <c r="BU255" i="1"/>
  <c r="BT255" i="1"/>
  <c r="EF234" i="1"/>
  <c r="EG234" i="1"/>
  <c r="DX158" i="1"/>
  <c r="DW158" i="1"/>
  <c r="EG24" i="1"/>
  <c r="EF24" i="1"/>
  <c r="EP55" i="1"/>
  <c r="EO55" i="1"/>
  <c r="CF30" i="1"/>
  <c r="CG30" i="1"/>
  <c r="ER62" i="1"/>
  <c r="ES62" i="1"/>
  <c r="BH76" i="1"/>
  <c r="BI76" i="1"/>
  <c r="BQ114" i="1"/>
  <c r="BR114" i="1"/>
  <c r="EV102" i="1"/>
  <c r="EU102" i="1"/>
  <c r="EJ137" i="1"/>
  <c r="EI137" i="1"/>
  <c r="BF135" i="1"/>
  <c r="BE135" i="1"/>
  <c r="CD141" i="1"/>
  <c r="CC141" i="1"/>
  <c r="EV142" i="1"/>
  <c r="EU142" i="1"/>
  <c r="BW161" i="1"/>
  <c r="BX161" i="1"/>
  <c r="BU187" i="1"/>
  <c r="BT187" i="1"/>
  <c r="ED211" i="1"/>
  <c r="EC211" i="1"/>
  <c r="BU215" i="1"/>
  <c r="BT215" i="1"/>
  <c r="BL223" i="1"/>
  <c r="BK223" i="1"/>
  <c r="BU225" i="1"/>
  <c r="BT225" i="1"/>
  <c r="BF257" i="1"/>
  <c r="BE257" i="1"/>
  <c r="EF267" i="1"/>
  <c r="EG267" i="1"/>
  <c r="BI268" i="1"/>
  <c r="BH268" i="1"/>
  <c r="BE2" i="1"/>
  <c r="BF2" i="1"/>
  <c r="EA119" i="1"/>
  <c r="DZ119" i="1"/>
  <c r="CG120" i="1"/>
  <c r="CF120" i="1"/>
  <c r="BL182" i="1"/>
  <c r="BK182" i="1"/>
  <c r="BF271" i="1"/>
  <c r="BE271" i="1"/>
  <c r="BL219" i="1"/>
  <c r="BK219" i="1"/>
  <c r="BR59" i="1"/>
  <c r="BQ59" i="1"/>
  <c r="BI77" i="1"/>
  <c r="BH77" i="1"/>
  <c r="EA164" i="1"/>
  <c r="DZ164" i="1"/>
  <c r="EG98" i="1"/>
  <c r="EF98" i="1"/>
  <c r="EJ217" i="1"/>
  <c r="EI217" i="1"/>
  <c r="CG255" i="1"/>
  <c r="CF255" i="1"/>
  <c r="EI9" i="1"/>
  <c r="EJ9" i="1"/>
  <c r="EM29" i="1"/>
  <c r="EL29" i="1"/>
  <c r="EO52" i="1"/>
  <c r="EP52" i="1"/>
  <c r="DX70" i="1"/>
  <c r="DW70" i="1"/>
  <c r="EM103" i="1"/>
  <c r="EL103" i="1"/>
  <c r="BT161" i="1"/>
  <c r="BU161" i="1"/>
  <c r="BU171" i="1"/>
  <c r="BT171" i="1"/>
  <c r="DX169" i="1"/>
  <c r="DW169" i="1"/>
  <c r="BR190" i="1"/>
  <c r="BQ190" i="1"/>
  <c r="BN250" i="1"/>
  <c r="BO250" i="1"/>
  <c r="EY246" i="1"/>
  <c r="EX246" i="1"/>
  <c r="BL259" i="1"/>
  <c r="BK259" i="1"/>
  <c r="ES258" i="1"/>
  <c r="ER258" i="1"/>
  <c r="BF72" i="1"/>
  <c r="BE72" i="1"/>
  <c r="DZ156" i="1"/>
  <c r="EA156" i="1"/>
  <c r="CF207" i="1"/>
  <c r="CG207" i="1"/>
  <c r="DX213" i="1"/>
  <c r="DW213" i="1"/>
  <c r="EG207" i="1"/>
  <c r="EF207" i="1"/>
  <c r="BF266" i="1"/>
  <c r="BE266" i="1"/>
  <c r="ED76" i="1"/>
  <c r="EC76" i="1"/>
  <c r="BL24" i="1"/>
  <c r="BK24" i="1"/>
  <c r="DX13" i="1"/>
  <c r="DW13" i="1"/>
  <c r="BT85" i="1"/>
  <c r="BU85" i="1"/>
  <c r="BR88" i="1"/>
  <c r="BQ88" i="1"/>
  <c r="BZ90" i="1"/>
  <c r="CA90" i="1"/>
  <c r="DW83" i="1"/>
  <c r="DX83" i="1"/>
  <c r="ER117" i="1"/>
  <c r="ES117" i="1"/>
  <c r="BF141" i="1"/>
  <c r="BE141" i="1"/>
  <c r="BH161" i="1"/>
  <c r="BI161" i="1"/>
  <c r="ES182" i="1"/>
  <c r="ER182" i="1"/>
  <c r="BF187" i="1"/>
  <c r="BE187" i="1"/>
  <c r="DW207" i="1"/>
  <c r="DX207" i="1"/>
  <c r="BI221" i="1"/>
  <c r="BH221" i="1"/>
  <c r="DX231" i="1"/>
  <c r="DW231" i="1"/>
  <c r="EI263" i="1"/>
  <c r="EJ263" i="1"/>
  <c r="CC175" i="1"/>
  <c r="CD175" i="1"/>
  <c r="CC213" i="1"/>
  <c r="CD213" i="1"/>
  <c r="BR103" i="1"/>
  <c r="BQ103" i="1"/>
  <c r="EC255" i="1"/>
  <c r="ED255" i="1"/>
  <c r="DX242" i="1"/>
  <c r="DW242" i="1"/>
  <c r="BR22" i="1"/>
  <c r="BQ22" i="1"/>
  <c r="DW17" i="1"/>
  <c r="DX17" i="1"/>
  <c r="CD28" i="1"/>
  <c r="CC28" i="1"/>
  <c r="BI80" i="1"/>
  <c r="BH80" i="1"/>
  <c r="BF88" i="1"/>
  <c r="BE88" i="1"/>
  <c r="EG97" i="1"/>
  <c r="EF97" i="1"/>
  <c r="EL72" i="1"/>
  <c r="EM72" i="1"/>
  <c r="BN124" i="1"/>
  <c r="BO124" i="1"/>
  <c r="EF117" i="1"/>
  <c r="EG117" i="1"/>
  <c r="DX128" i="1"/>
  <c r="DW128" i="1"/>
  <c r="EF122" i="1"/>
  <c r="EG122" i="1"/>
  <c r="EA187" i="1"/>
  <c r="DZ187" i="1"/>
  <c r="EO203" i="1"/>
  <c r="EP203" i="1"/>
  <c r="EV211" i="1"/>
  <c r="EU211" i="1"/>
  <c r="EX210" i="1"/>
  <c r="EY210" i="1"/>
  <c r="ED229" i="1"/>
  <c r="EC229" i="1"/>
  <c r="BQ230" i="1"/>
  <c r="BR230" i="1"/>
  <c r="ES236" i="1"/>
  <c r="ER236" i="1"/>
  <c r="CA257" i="1"/>
  <c r="BZ257" i="1"/>
  <c r="BN264" i="1"/>
  <c r="BO264" i="1"/>
  <c r="EG268" i="1"/>
  <c r="EF268" i="1"/>
  <c r="EI4" i="1"/>
  <c r="EJ4" i="1"/>
  <c r="EV54" i="1"/>
  <c r="EU54" i="1"/>
  <c r="EU82" i="1"/>
  <c r="EV82" i="1"/>
  <c r="CC89" i="1"/>
  <c r="CD89" i="1"/>
  <c r="DX129" i="1"/>
  <c r="DW129" i="1"/>
  <c r="BX164" i="1"/>
  <c r="BW164" i="1"/>
  <c r="EP249" i="1"/>
  <c r="EO249" i="1"/>
  <c r="EV266" i="1"/>
  <c r="EU266" i="1"/>
  <c r="BQ94" i="1"/>
  <c r="BR94" i="1"/>
  <c r="BL133" i="1"/>
  <c r="BK133" i="1"/>
  <c r="EJ16" i="1"/>
  <c r="EI16" i="1"/>
  <c r="BF43" i="1"/>
  <c r="BE43" i="1"/>
  <c r="BN116" i="1"/>
  <c r="BO116" i="1"/>
  <c r="ER169" i="1"/>
  <c r="ES169" i="1"/>
  <c r="EC194" i="1"/>
  <c r="ED194" i="1"/>
  <c r="BR15" i="1"/>
  <c r="BQ15" i="1"/>
  <c r="BI55" i="1"/>
  <c r="BH55" i="1"/>
  <c r="DX82" i="1"/>
  <c r="DW82" i="1"/>
  <c r="EP67" i="1"/>
  <c r="EO67" i="1"/>
  <c r="EV62" i="1"/>
  <c r="EU62" i="1"/>
  <c r="BE76" i="1"/>
  <c r="BF76" i="1"/>
  <c r="EJ121" i="1"/>
  <c r="EI121" i="1"/>
  <c r="EV103" i="1"/>
  <c r="EU103" i="1"/>
  <c r="EM138" i="1"/>
  <c r="EL138" i="1"/>
  <c r="CD169" i="1"/>
  <c r="CC169" i="1"/>
  <c r="EL166" i="1"/>
  <c r="EM166" i="1"/>
  <c r="BF192" i="1"/>
  <c r="BE192" i="1"/>
  <c r="BT181" i="1"/>
  <c r="BU181" i="1"/>
  <c r="BZ176" i="1"/>
  <c r="CA176" i="1"/>
  <c r="BF198" i="1"/>
  <c r="BE198" i="1"/>
  <c r="EV205" i="1"/>
  <c r="EU205" i="1"/>
  <c r="ED203" i="1"/>
  <c r="EC203" i="1"/>
  <c r="EA213" i="1"/>
  <c r="DZ213" i="1"/>
  <c r="BR241" i="1"/>
  <c r="BQ241" i="1"/>
  <c r="EO10" i="1"/>
  <c r="EP10" i="1"/>
  <c r="DW46" i="1"/>
  <c r="DX46" i="1"/>
  <c r="BQ73" i="1"/>
  <c r="BR73" i="1"/>
  <c r="EO142" i="1"/>
  <c r="EP142" i="1"/>
  <c r="BR270" i="1"/>
  <c r="BQ270" i="1"/>
  <c r="BR124" i="1"/>
  <c r="BQ124" i="1"/>
  <c r="BQ35" i="1"/>
  <c r="BR35" i="1"/>
  <c r="DX15" i="1"/>
  <c r="DW15" i="1"/>
  <c r="ES8" i="1"/>
  <c r="ER8" i="1"/>
  <c r="ER4" i="1"/>
  <c r="ES4" i="1"/>
  <c r="EU4" i="1"/>
  <c r="EV4" i="1"/>
  <c r="BO18" i="1"/>
  <c r="BN18" i="1"/>
  <c r="BF44" i="1"/>
  <c r="BE44" i="1"/>
  <c r="BL43" i="1"/>
  <c r="BK43" i="1"/>
  <c r="BL58" i="1"/>
  <c r="BK58" i="1"/>
  <c r="BX72" i="1"/>
  <c r="BW72" i="1"/>
  <c r="BR93" i="1"/>
  <c r="BQ93" i="1"/>
  <c r="DX95" i="1"/>
  <c r="DW95" i="1"/>
  <c r="BR149" i="1"/>
  <c r="BQ149" i="1"/>
  <c r="BR158" i="1"/>
  <c r="BQ158" i="1"/>
  <c r="EO178" i="1"/>
  <c r="EP178" i="1"/>
  <c r="EO182" i="1"/>
  <c r="EP182" i="1"/>
  <c r="BE211" i="1"/>
  <c r="BF211" i="1"/>
  <c r="DW219" i="1"/>
  <c r="DX219" i="1"/>
  <c r="BX228" i="1"/>
  <c r="BW228" i="1"/>
  <c r="DZ247" i="1"/>
  <c r="EA247" i="1"/>
  <c r="BU254" i="1"/>
  <c r="BT254" i="1"/>
  <c r="EP25" i="1"/>
  <c r="EO25" i="1"/>
  <c r="BR13" i="1"/>
  <c r="BQ13" i="1"/>
  <c r="BQ68" i="1"/>
  <c r="BR68" i="1"/>
  <c r="BF98" i="1"/>
  <c r="BE98" i="1"/>
  <c r="EV95" i="1"/>
  <c r="EU95" i="1"/>
  <c r="EM94" i="1"/>
  <c r="EL94" i="1"/>
  <c r="EP123" i="1"/>
  <c r="EO123" i="1"/>
  <c r="BX128" i="1"/>
  <c r="BW128" i="1"/>
  <c r="CA159" i="1"/>
  <c r="BZ159" i="1"/>
  <c r="BF181" i="1"/>
  <c r="BE181" i="1"/>
  <c r="EF172" i="1"/>
  <c r="EG172" i="1"/>
  <c r="EO44" i="1"/>
  <c r="EP44" i="1"/>
  <c r="BF102" i="1"/>
  <c r="BE102" i="1"/>
  <c r="EG15" i="1"/>
  <c r="EF15" i="1"/>
  <c r="BX55" i="1"/>
  <c r="BW55" i="1"/>
  <c r="EG22" i="1"/>
  <c r="EF22" i="1"/>
  <c r="BL28" i="1"/>
  <c r="BK28" i="1"/>
  <c r="BI59" i="1"/>
  <c r="BH59" i="1"/>
  <c r="BO52" i="1"/>
  <c r="BN52" i="1"/>
  <c r="EO75" i="1"/>
  <c r="EP75" i="1"/>
  <c r="DW88" i="1"/>
  <c r="DX88" i="1"/>
  <c r="BZ98" i="1"/>
  <c r="CA98" i="1"/>
  <c r="EP111" i="1"/>
  <c r="EO111" i="1"/>
  <c r="DW130" i="1"/>
  <c r="DX130" i="1"/>
  <c r="EL171" i="1"/>
  <c r="EM171" i="1"/>
  <c r="EJ178" i="1"/>
  <c r="EI178" i="1"/>
  <c r="CD192" i="1"/>
  <c r="CC192" i="1"/>
  <c r="BR181" i="1"/>
  <c r="BQ181" i="1"/>
  <c r="EU177" i="1"/>
  <c r="EV177" i="1"/>
  <c r="ED245" i="1"/>
  <c r="EC245" i="1"/>
  <c r="CG266" i="1"/>
  <c r="CF266" i="1"/>
  <c r="DX149" i="1"/>
  <c r="DW149" i="1"/>
  <c r="EX207" i="1"/>
  <c r="EY207" i="1"/>
  <c r="EV76" i="1"/>
  <c r="EU76" i="1"/>
  <c r="EP198" i="1"/>
  <c r="EO198" i="1"/>
  <c r="BO228" i="1"/>
  <c r="BN228" i="1"/>
  <c r="DW55" i="1"/>
  <c r="DX55" i="1"/>
  <c r="CC94" i="1"/>
  <c r="CD94" i="1"/>
  <c r="BR205" i="1"/>
  <c r="BQ205" i="1"/>
  <c r="BU257" i="1"/>
  <c r="BT257" i="1"/>
  <c r="EF84" i="1"/>
  <c r="EG84" i="1"/>
  <c r="EU254" i="1"/>
  <c r="EV254" i="1"/>
  <c r="EF6" i="1"/>
  <c r="EG6" i="1"/>
  <c r="EJ73" i="1"/>
  <c r="EI73" i="1"/>
  <c r="EJ210" i="1"/>
  <c r="EI210" i="1"/>
  <c r="DX210" i="1"/>
  <c r="DW210" i="1"/>
  <c r="CA187" i="1"/>
  <c r="BZ187" i="1"/>
  <c r="EA267" i="1"/>
  <c r="DZ267" i="1"/>
  <c r="EA81" i="1"/>
  <c r="DZ81" i="1"/>
  <c r="EV252" i="1"/>
  <c r="EU252" i="1"/>
  <c r="EL175" i="1"/>
  <c r="EM175" i="1"/>
  <c r="EI160" i="1"/>
  <c r="EJ160" i="1"/>
  <c r="BO174" i="1"/>
  <c r="BN174" i="1"/>
  <c r="EX154" i="1"/>
  <c r="EY154" i="1"/>
  <c r="CG93" i="1"/>
  <c r="CF93" i="1"/>
  <c r="ED192" i="1"/>
  <c r="EC192" i="1"/>
  <c r="BZ203" i="1"/>
  <c r="CA203" i="1"/>
  <c r="EP229" i="1"/>
  <c r="EO229" i="1"/>
  <c r="BO258" i="1"/>
  <c r="BN258" i="1"/>
  <c r="CF88" i="1"/>
  <c r="CG88" i="1"/>
  <c r="DW24" i="1"/>
  <c r="DX24" i="1"/>
  <c r="EV58" i="1"/>
  <c r="EU58" i="1"/>
  <c r="EY136" i="1"/>
  <c r="EX136" i="1"/>
  <c r="CG205" i="1"/>
  <c r="CF205" i="1"/>
  <c r="DX84" i="1"/>
  <c r="DW84" i="1"/>
  <c r="EP143" i="1"/>
  <c r="EO143" i="1"/>
  <c r="EO223" i="1"/>
  <c r="EP223" i="1"/>
  <c r="BZ25" i="1"/>
  <c r="CA25" i="1"/>
  <c r="BI122" i="1"/>
  <c r="BH122" i="1"/>
  <c r="BF21" i="1"/>
  <c r="BE21" i="1"/>
  <c r="EF42" i="1"/>
  <c r="EG42" i="1"/>
  <c r="EI108" i="1"/>
  <c r="EJ108" i="1"/>
  <c r="EJ100" i="1"/>
  <c r="EI100" i="1"/>
  <c r="CA169" i="1"/>
  <c r="BZ169" i="1"/>
  <c r="DX113" i="1"/>
  <c r="DW113" i="1"/>
  <c r="EA18" i="1"/>
  <c r="DZ18" i="1"/>
  <c r="BT81" i="1"/>
  <c r="BU81" i="1"/>
  <c r="BL124" i="1"/>
  <c r="BK124" i="1"/>
  <c r="EM191" i="1"/>
  <c r="EL191" i="1"/>
  <c r="BL193" i="1"/>
  <c r="BK193" i="1"/>
  <c r="CD260" i="1"/>
  <c r="CC260" i="1"/>
  <c r="CG171" i="1"/>
  <c r="CF171" i="1"/>
  <c r="BF18" i="1"/>
  <c r="BE18" i="1"/>
  <c r="EP113" i="1"/>
  <c r="EO113" i="1"/>
  <c r="BX181" i="1"/>
  <c r="BW181" i="1"/>
  <c r="BU217" i="1"/>
  <c r="BT217" i="1"/>
  <c r="ED147" i="1"/>
  <c r="EC147" i="1"/>
  <c r="BL199" i="1"/>
  <c r="BK199" i="1"/>
  <c r="EC84" i="1"/>
  <c r="ED84" i="1"/>
  <c r="EL257" i="1"/>
  <c r="EM257" i="1"/>
  <c r="DW148" i="1"/>
  <c r="DX148" i="1"/>
  <c r="EI71" i="1"/>
  <c r="EJ71" i="1"/>
  <c r="CA220" i="1"/>
  <c r="BZ220" i="1"/>
  <c r="EM263" i="1"/>
  <c r="EL263" i="1"/>
  <c r="BO238" i="1"/>
  <c r="BN238" i="1"/>
  <c r="BW57" i="1"/>
  <c r="BX57" i="1"/>
  <c r="BE134" i="1"/>
  <c r="BF134" i="1"/>
  <c r="BU28" i="1"/>
  <c r="BT28" i="1"/>
  <c r="ES89" i="1"/>
  <c r="ER89" i="1"/>
  <c r="BW162" i="1"/>
  <c r="BX162" i="1"/>
  <c r="ES44" i="1"/>
  <c r="ER44" i="1"/>
  <c r="BO156" i="1"/>
  <c r="BN156" i="1"/>
  <c r="EY214" i="1"/>
  <c r="EX214" i="1"/>
  <c r="BU71" i="1"/>
  <c r="BT71" i="1"/>
  <c r="CF117" i="1"/>
  <c r="CG117" i="1"/>
  <c r="BF169" i="1"/>
  <c r="BE169" i="1"/>
  <c r="CD212" i="1"/>
  <c r="CC212" i="1"/>
  <c r="BF254" i="1"/>
  <c r="BE254" i="1"/>
  <c r="DZ112" i="1"/>
  <c r="EA112" i="1"/>
  <c r="BL56" i="1"/>
  <c r="BK56" i="1"/>
  <c r="EP84" i="1"/>
  <c r="EO84" i="1"/>
  <c r="BW166" i="1"/>
  <c r="BX166" i="1"/>
  <c r="BK210" i="1"/>
  <c r="BL210" i="1"/>
  <c r="EF148" i="1"/>
  <c r="EG148" i="1"/>
  <c r="BR231" i="1"/>
  <c r="BQ231" i="1"/>
  <c r="EM237" i="1"/>
  <c r="EL237" i="1"/>
  <c r="EC119" i="1"/>
  <c r="ED119" i="1"/>
  <c r="BQ76" i="1"/>
  <c r="BR76" i="1"/>
  <c r="ER269" i="1"/>
  <c r="ES269" i="1"/>
  <c r="EV63" i="1"/>
  <c r="EU63" i="1"/>
  <c r="EC159" i="1"/>
  <c r="ED159" i="1"/>
  <c r="EL210" i="1"/>
  <c r="EM210" i="1"/>
  <c r="BN85" i="1"/>
  <c r="BO85" i="1"/>
  <c r="BO114" i="1"/>
  <c r="BN114" i="1"/>
  <c r="ED227" i="1"/>
  <c r="EC227" i="1"/>
  <c r="EA138" i="1"/>
  <c r="DZ138" i="1"/>
  <c r="BH85" i="1"/>
  <c r="BI85" i="1"/>
  <c r="BF191" i="1"/>
  <c r="BE191" i="1"/>
  <c r="CD257" i="1"/>
  <c r="CC257" i="1"/>
  <c r="EC264" i="1"/>
  <c r="ED264" i="1"/>
  <c r="CA80" i="1"/>
  <c r="BZ80" i="1"/>
  <c r="EL77" i="1"/>
  <c r="EM77" i="1"/>
  <c r="ER93" i="1"/>
  <c r="ES93" i="1"/>
  <c r="EG87" i="1"/>
  <c r="EF87" i="1"/>
  <c r="DW99" i="1"/>
  <c r="DX99" i="1"/>
  <c r="EM123" i="1"/>
  <c r="EL123" i="1"/>
  <c r="EV133" i="1"/>
  <c r="EU133" i="1"/>
  <c r="BL122" i="1"/>
  <c r="BK122" i="1"/>
  <c r="DX159" i="1"/>
  <c r="DW159" i="1"/>
  <c r="CG174" i="1"/>
  <c r="CF174" i="1"/>
  <c r="DX199" i="1"/>
  <c r="DW199" i="1"/>
  <c r="EP213" i="1"/>
  <c r="EO213" i="1"/>
  <c r="CD216" i="1"/>
  <c r="CC216" i="1"/>
  <c r="EU245" i="1"/>
  <c r="EV245" i="1"/>
  <c r="CA154" i="1"/>
  <c r="BZ154" i="1"/>
  <c r="BH181" i="1"/>
  <c r="BI181" i="1"/>
  <c r="EV229" i="1"/>
  <c r="EU229" i="1"/>
  <c r="EO255" i="1"/>
  <c r="EP255" i="1"/>
  <c r="BW121" i="1"/>
  <c r="BX121" i="1"/>
  <c r="BX185" i="1"/>
  <c r="BW185" i="1"/>
  <c r="BI245" i="1"/>
  <c r="BH245" i="1"/>
  <c r="EV15" i="1"/>
  <c r="EU15" i="1"/>
  <c r="BI15" i="1"/>
  <c r="BH15" i="1"/>
  <c r="BQ18" i="1"/>
  <c r="BR18" i="1"/>
  <c r="EX85" i="1"/>
  <c r="EY85" i="1"/>
  <c r="DX56" i="1"/>
  <c r="DW56" i="1"/>
  <c r="DX47" i="1"/>
  <c r="DW47" i="1"/>
  <c r="BH88" i="1"/>
  <c r="BI88" i="1"/>
  <c r="EF93" i="1"/>
  <c r="EG93" i="1"/>
  <c r="EI99" i="1"/>
  <c r="EJ99" i="1"/>
  <c r="BH135" i="1"/>
  <c r="BI135" i="1"/>
  <c r="EC150" i="1"/>
  <c r="ED150" i="1"/>
  <c r="CF161" i="1"/>
  <c r="CG161" i="1"/>
  <c r="DW163" i="1"/>
  <c r="DX163" i="1"/>
  <c r="BK190" i="1"/>
  <c r="BL190" i="1"/>
  <c r="BI197" i="1"/>
  <c r="BH197" i="1"/>
  <c r="EF203" i="1"/>
  <c r="EG203" i="1"/>
  <c r="EV210" i="1"/>
  <c r="EU210" i="1"/>
  <c r="DX227" i="1"/>
  <c r="DW227" i="1"/>
  <c r="BX232" i="1"/>
  <c r="BW232" i="1"/>
  <c r="EO264" i="1"/>
  <c r="EP264" i="1"/>
  <c r="CD269" i="1"/>
  <c r="CC269" i="1"/>
  <c r="BZ23" i="1"/>
  <c r="CA23" i="1"/>
  <c r="EY55" i="1"/>
  <c r="EX55" i="1"/>
  <c r="CA63" i="1"/>
  <c r="BZ63" i="1"/>
  <c r="BN95" i="1"/>
  <c r="BO95" i="1"/>
  <c r="EO199" i="1"/>
  <c r="EP199" i="1"/>
  <c r="BT237" i="1"/>
  <c r="BU237" i="1"/>
  <c r="EO246" i="1"/>
  <c r="EP246" i="1"/>
  <c r="CD254" i="1"/>
  <c r="CC254" i="1"/>
  <c r="BX109" i="1"/>
  <c r="BW109" i="1"/>
  <c r="ER211" i="1"/>
  <c r="ES211" i="1"/>
  <c r="ER260" i="1"/>
  <c r="ES260" i="1"/>
  <c r="EI6" i="1"/>
  <c r="EJ6" i="1"/>
  <c r="EM141" i="1"/>
  <c r="EL141" i="1"/>
  <c r="BF5" i="1"/>
  <c r="BE5" i="1"/>
  <c r="EP22" i="1"/>
  <c r="EO22" i="1"/>
  <c r="CG46" i="1"/>
  <c r="CF46" i="1"/>
  <c r="CG37" i="1"/>
  <c r="CF37" i="1"/>
  <c r="ER85" i="1"/>
  <c r="ES85" i="1"/>
  <c r="EM82" i="1"/>
  <c r="EL82" i="1"/>
  <c r="BN90" i="1"/>
  <c r="BO90" i="1"/>
  <c r="BI99" i="1"/>
  <c r="BH99" i="1"/>
  <c r="BO136" i="1"/>
  <c r="BN136" i="1"/>
  <c r="CA138" i="1"/>
  <c r="BZ138" i="1"/>
  <c r="EF140" i="1"/>
  <c r="EG140" i="1"/>
  <c r="BU156" i="1"/>
  <c r="BT156" i="1"/>
  <c r="CG152" i="1"/>
  <c r="CF152" i="1"/>
  <c r="BU185" i="1"/>
  <c r="BT185" i="1"/>
  <c r="BH187" i="1"/>
  <c r="BI187" i="1"/>
  <c r="BO203" i="1"/>
  <c r="BN203" i="1"/>
  <c r="BN212" i="1"/>
  <c r="BO212" i="1"/>
  <c r="DZ210" i="1"/>
  <c r="EA210" i="1"/>
  <c r="BI215" i="1"/>
  <c r="BH215" i="1"/>
  <c r="EO228" i="1"/>
  <c r="EP228" i="1"/>
  <c r="BU260" i="1"/>
  <c r="BT260" i="1"/>
  <c r="BF231" i="1"/>
  <c r="BE231" i="1"/>
  <c r="EY270" i="1"/>
  <c r="EX270" i="1"/>
  <c r="BO15" i="1"/>
  <c r="BN15" i="1"/>
  <c r="BX263" i="1"/>
  <c r="BW263" i="1"/>
  <c r="CD109" i="1"/>
  <c r="CC109" i="1"/>
  <c r="EV115" i="1"/>
  <c r="EU115" i="1"/>
  <c r="EA185" i="1"/>
  <c r="DZ185" i="1"/>
  <c r="ED246" i="1"/>
  <c r="EC246" i="1"/>
  <c r="EC198" i="1"/>
  <c r="ED198" i="1"/>
  <c r="ED5" i="1"/>
  <c r="EC5" i="1"/>
  <c r="EJ35" i="1"/>
  <c r="EI35" i="1"/>
  <c r="EA15" i="1"/>
  <c r="DZ15" i="1"/>
  <c r="BQ5" i="1"/>
  <c r="BR5" i="1"/>
  <c r="CG55" i="1"/>
  <c r="CF55" i="1"/>
  <c r="BX21" i="1"/>
  <c r="BW21" i="1"/>
  <c r="ED38" i="1"/>
  <c r="EC38" i="1"/>
  <c r="EV43" i="1"/>
  <c r="EU43" i="1"/>
  <c r="DX57" i="1"/>
  <c r="DW57" i="1"/>
  <c r="BN68" i="1"/>
  <c r="BO68" i="1"/>
  <c r="ES97" i="1"/>
  <c r="ER97" i="1"/>
  <c r="BO133" i="1"/>
  <c r="BN133" i="1"/>
  <c r="EC166" i="1"/>
  <c r="ED166" i="1"/>
  <c r="CA161" i="1"/>
  <c r="BZ161" i="1"/>
  <c r="DX180" i="1"/>
  <c r="DW180" i="1"/>
  <c r="EF167" i="1"/>
  <c r="EG167" i="1"/>
  <c r="BU204" i="1"/>
  <c r="BT204" i="1"/>
  <c r="EM217" i="1"/>
  <c r="EL217" i="1"/>
  <c r="BI228" i="1"/>
  <c r="BH228" i="1"/>
  <c r="BF226" i="1"/>
  <c r="BE226" i="1"/>
  <c r="EY232" i="1"/>
  <c r="EX232" i="1"/>
  <c r="ER241" i="1"/>
  <c r="ES241" i="1"/>
  <c r="EM255" i="1"/>
  <c r="EL255" i="1"/>
  <c r="BF268" i="1"/>
  <c r="BE268" i="1"/>
  <c r="BF269" i="1"/>
  <c r="BE269" i="1"/>
  <c r="BF54" i="1"/>
  <c r="BE54" i="1"/>
  <c r="BE75" i="1"/>
  <c r="BF75" i="1"/>
  <c r="CD119" i="1"/>
  <c r="CC119" i="1"/>
  <c r="BI184" i="1"/>
  <c r="BH184" i="1"/>
  <c r="BX212" i="1"/>
  <c r="BW212" i="1"/>
  <c r="BT184" i="1"/>
  <c r="BU184" i="1"/>
  <c r="ES229" i="1"/>
  <c r="ER229" i="1"/>
  <c r="EU23" i="1"/>
  <c r="EV23" i="1"/>
  <c r="EM6" i="1"/>
  <c r="EL6" i="1"/>
  <c r="BK46" i="1"/>
  <c r="BL46" i="1"/>
  <c r="CD54" i="1"/>
  <c r="CC54" i="1"/>
  <c r="CG52" i="1"/>
  <c r="CF52" i="1"/>
  <c r="BO59" i="1"/>
  <c r="BN59" i="1"/>
  <c r="CD75" i="1"/>
  <c r="CC75" i="1"/>
  <c r="BO77" i="1"/>
  <c r="BN77" i="1"/>
  <c r="EV90" i="1"/>
  <c r="EU90" i="1"/>
  <c r="BX83" i="1"/>
  <c r="BW83" i="1"/>
  <c r="EO141" i="1"/>
  <c r="EP141" i="1"/>
  <c r="BQ145" i="1"/>
  <c r="BR145" i="1"/>
  <c r="EM165" i="1"/>
  <c r="EL165" i="1"/>
  <c r="EX166" i="1"/>
  <c r="EY166" i="1"/>
  <c r="BR178" i="1"/>
  <c r="BQ178" i="1"/>
  <c r="CG181" i="1"/>
  <c r="CF181" i="1"/>
  <c r="DW190" i="1"/>
  <c r="DX190" i="1"/>
  <c r="DW187" i="1"/>
  <c r="DX187" i="1"/>
  <c r="BE199" i="1"/>
  <c r="BF199" i="1"/>
  <c r="BX207" i="1"/>
  <c r="BW207" i="1"/>
  <c r="EG223" i="1"/>
  <c r="EF223" i="1"/>
  <c r="BW247" i="1"/>
  <c r="BX247" i="1"/>
  <c r="CD263" i="1"/>
  <c r="CC263" i="1"/>
  <c r="BU268" i="1"/>
  <c r="BT268" i="1"/>
  <c r="BL85" i="1"/>
  <c r="BK85" i="1"/>
  <c r="EI86" i="1"/>
  <c r="EJ86" i="1"/>
  <c r="BL97" i="1"/>
  <c r="BK97" i="1"/>
  <c r="EV128" i="1"/>
  <c r="EU128" i="1"/>
  <c r="EY174" i="1"/>
  <c r="EX174" i="1"/>
  <c r="CD232" i="1"/>
  <c r="CC232" i="1"/>
  <c r="BU265" i="1"/>
  <c r="BT265" i="1"/>
  <c r="BF46" i="1"/>
  <c r="BE46" i="1"/>
  <c r="BX260" i="1"/>
  <c r="BW260" i="1"/>
  <c r="EO42" i="1"/>
  <c r="EP42" i="1"/>
  <c r="EY164" i="1"/>
  <c r="EX164" i="1"/>
  <c r="CF5" i="1"/>
  <c r="CG5" i="1"/>
  <c r="EI17" i="1"/>
  <c r="EJ17" i="1"/>
  <c r="EM19" i="1"/>
  <c r="EL19" i="1"/>
  <c r="EF68" i="1"/>
  <c r="EG68" i="1"/>
  <c r="BK77" i="1"/>
  <c r="BL77" i="1"/>
  <c r="BX97" i="1"/>
  <c r="BW97" i="1"/>
  <c r="BE73" i="1"/>
  <c r="BF73" i="1"/>
  <c r="BI119" i="1"/>
  <c r="BH119" i="1"/>
  <c r="ES123" i="1"/>
  <c r="ER123" i="1"/>
  <c r="BX117" i="1"/>
  <c r="BW117" i="1"/>
  <c r="EA149" i="1"/>
  <c r="DZ149" i="1"/>
  <c r="CG159" i="1"/>
  <c r="CF159" i="1"/>
  <c r="BX169" i="1"/>
  <c r="BW169" i="1"/>
  <c r="BZ174" i="1"/>
  <c r="CA174" i="1"/>
  <c r="EM187" i="1"/>
  <c r="EL187" i="1"/>
  <c r="EP187" i="1"/>
  <c r="EO187" i="1"/>
  <c r="ED219" i="1"/>
  <c r="EC219" i="1"/>
  <c r="EY227" i="1"/>
  <c r="EX227" i="1"/>
  <c r="BE230" i="1"/>
  <c r="BF230" i="1"/>
  <c r="BU234" i="1"/>
  <c r="BT234" i="1"/>
  <c r="ES242" i="1"/>
  <c r="ER242" i="1"/>
  <c r="CF264" i="1"/>
  <c r="CG264" i="1"/>
  <c r="DX167" i="1"/>
  <c r="DW167" i="1"/>
  <c r="EA226" i="1"/>
  <c r="DZ226" i="1"/>
  <c r="EM46" i="1"/>
  <c r="EL46" i="1"/>
  <c r="EO207" i="1"/>
  <c r="EP207" i="1"/>
  <c r="EA231" i="1"/>
  <c r="DZ231" i="1"/>
  <c r="EA25" i="1"/>
  <c r="DZ25" i="1"/>
  <c r="BU22" i="1"/>
  <c r="BT22" i="1"/>
  <c r="BH81" i="1"/>
  <c r="BI81" i="1"/>
  <c r="EO106" i="1"/>
  <c r="EP106" i="1"/>
  <c r="CG121" i="1"/>
  <c r="CF121" i="1"/>
  <c r="EU148" i="1"/>
  <c r="EV148" i="1"/>
  <c r="EM136" i="1"/>
  <c r="EL136" i="1"/>
  <c r="BF130" i="1"/>
  <c r="BE130" i="1"/>
  <c r="BR128" i="1"/>
  <c r="BQ128" i="1"/>
  <c r="BL164" i="1"/>
  <c r="BK164" i="1"/>
  <c r="EI177" i="1"/>
  <c r="EJ177" i="1"/>
  <c r="BF188" i="1"/>
  <c r="BE188" i="1"/>
  <c r="DZ176" i="1"/>
  <c r="EA176" i="1"/>
  <c r="CA218" i="1"/>
  <c r="BZ218" i="1"/>
  <c r="BU220" i="1"/>
  <c r="BT220" i="1"/>
  <c r="DZ214" i="1"/>
  <c r="EA214" i="1"/>
  <c r="EY233" i="1"/>
  <c r="EX233" i="1"/>
  <c r="EJ241" i="1"/>
  <c r="EI241" i="1"/>
  <c r="BI262" i="1"/>
  <c r="BH262" i="1"/>
  <c r="EY24" i="1"/>
  <c r="EX24" i="1"/>
  <c r="EV22" i="1"/>
  <c r="EU22" i="1"/>
  <c r="DX42" i="1"/>
  <c r="DW42" i="1"/>
  <c r="BF103" i="1"/>
  <c r="BE103" i="1"/>
  <c r="CG146" i="1"/>
  <c r="CF146" i="1"/>
  <c r="BE163" i="1"/>
  <c r="BF163" i="1"/>
  <c r="CC177" i="1"/>
  <c r="CD177" i="1"/>
  <c r="BW197" i="1"/>
  <c r="BX197" i="1"/>
  <c r="EJ214" i="1"/>
  <c r="EI214" i="1"/>
  <c r="EL265" i="1"/>
  <c r="EM265" i="1"/>
  <c r="BO30" i="1"/>
  <c r="BN30" i="1"/>
  <c r="EV149" i="1"/>
  <c r="EU149" i="1"/>
  <c r="BF171" i="1"/>
  <c r="BE171" i="1"/>
  <c r="CA228" i="1"/>
  <c r="BZ228" i="1"/>
  <c r="BK12" i="1"/>
  <c r="BL12" i="1"/>
  <c r="BL74" i="1"/>
  <c r="BK74" i="1"/>
  <c r="CG83" i="1"/>
  <c r="CF83" i="1"/>
  <c r="BK139" i="1"/>
  <c r="BL139" i="1"/>
  <c r="CC179" i="1"/>
  <c r="CD179" i="1"/>
  <c r="BQ220" i="1"/>
  <c r="BR220" i="1"/>
  <c r="ES250" i="1"/>
  <c r="ER250" i="1"/>
  <c r="EY10" i="1"/>
  <c r="EX10" i="1"/>
  <c r="BQ42" i="1"/>
  <c r="BR42" i="1"/>
  <c r="BL88" i="1"/>
  <c r="BK88" i="1"/>
  <c r="EP148" i="1"/>
  <c r="EO148" i="1"/>
  <c r="EX130" i="1"/>
  <c r="EY130" i="1"/>
  <c r="BX141" i="1"/>
  <c r="BW141" i="1"/>
  <c r="BO152" i="1"/>
  <c r="BN152" i="1"/>
  <c r="BO187" i="1"/>
  <c r="BN187" i="1"/>
  <c r="BX198" i="1"/>
  <c r="BW198" i="1"/>
  <c r="EM219" i="1"/>
  <c r="EL219" i="1"/>
  <c r="BI229" i="1"/>
  <c r="BH229" i="1"/>
  <c r="EM233" i="1"/>
  <c r="EL233" i="1"/>
  <c r="ED231" i="1"/>
  <c r="EC231" i="1"/>
  <c r="CC253" i="1"/>
  <c r="CD253" i="1"/>
  <c r="CF265" i="1"/>
  <c r="CG265" i="1"/>
  <c r="ED55" i="1"/>
  <c r="EC55" i="1"/>
  <c r="DZ43" i="1"/>
  <c r="EA43" i="1"/>
  <c r="CD123" i="1"/>
  <c r="CC123" i="1"/>
  <c r="BN192" i="1"/>
  <c r="BO192" i="1"/>
  <c r="BU31" i="1"/>
  <c r="BT31" i="1"/>
  <c r="EP89" i="1"/>
  <c r="EO89" i="1"/>
  <c r="EP230" i="1"/>
  <c r="EO230" i="1"/>
  <c r="EI46" i="1"/>
  <c r="EJ46" i="1"/>
  <c r="DX37" i="1"/>
  <c r="DW37" i="1"/>
  <c r="DX102" i="1"/>
  <c r="DW102" i="1"/>
  <c r="BX149" i="1"/>
  <c r="BW149" i="1"/>
  <c r="DX263" i="1"/>
  <c r="DW263" i="1"/>
  <c r="EV109" i="1"/>
  <c r="EU109" i="1"/>
  <c r="EO34" i="1"/>
  <c r="EP34" i="1"/>
  <c r="EP58" i="1"/>
  <c r="EO58" i="1"/>
  <c r="EX74" i="1"/>
  <c r="EY74" i="1"/>
  <c r="EJ242" i="1"/>
  <c r="EI242" i="1"/>
  <c r="EV37" i="1"/>
  <c r="EU37" i="1"/>
  <c r="BL181" i="1"/>
  <c r="BK181" i="1"/>
  <c r="EY208" i="1"/>
  <c r="EX208" i="1"/>
  <c r="EJ216" i="1"/>
  <c r="EI216" i="1"/>
  <c r="EV242" i="1"/>
  <c r="EU242" i="1"/>
  <c r="BW60" i="1"/>
  <c r="BX60" i="1"/>
  <c r="DX202" i="1"/>
  <c r="DW202" i="1"/>
  <c r="EJ255" i="1"/>
  <c r="EI255" i="1"/>
  <c r="BX24" i="1"/>
  <c r="BW24" i="1"/>
  <c r="BU115" i="1"/>
  <c r="BT115" i="1"/>
  <c r="EA178" i="1"/>
  <c r="DZ178" i="1"/>
  <c r="ED22" i="1"/>
  <c r="EC22" i="1"/>
  <c r="ES136" i="1"/>
  <c r="ER136" i="1"/>
  <c r="BE165" i="1"/>
  <c r="BF165" i="1"/>
  <c r="ER68" i="1"/>
  <c r="ES68" i="1"/>
  <c r="CA270" i="1"/>
  <c r="BZ270" i="1"/>
  <c r="BL104" i="1"/>
  <c r="BK104" i="1"/>
  <c r="CD245" i="1"/>
  <c r="CC245" i="1"/>
  <c r="ER59" i="1"/>
  <c r="ES59" i="1"/>
  <c r="EL228" i="1"/>
  <c r="EM228" i="1"/>
  <c r="BX42" i="1"/>
  <c r="BW42" i="1"/>
  <c r="BK257" i="1"/>
  <c r="BL257" i="1"/>
  <c r="CC246" i="1"/>
  <c r="CD246" i="1"/>
  <c r="BR166" i="1"/>
  <c r="BQ166" i="1"/>
  <c r="EL244" i="1"/>
  <c r="EM244" i="1"/>
  <c r="CA13" i="1"/>
  <c r="BZ13" i="1"/>
  <c r="ER52" i="1"/>
  <c r="ES52" i="1"/>
  <c r="EI36" i="1"/>
  <c r="EJ36" i="1"/>
  <c r="BT88" i="1"/>
  <c r="BU88" i="1"/>
  <c r="BR30" i="1"/>
  <c r="BQ30" i="1"/>
  <c r="EP85" i="1"/>
  <c r="EO85" i="1"/>
  <c r="ES82" i="1"/>
  <c r="ER82" i="1"/>
  <c r="CG89" i="1"/>
  <c r="CF89" i="1"/>
  <c r="EJ102" i="1"/>
  <c r="EI102" i="1"/>
  <c r="BZ172" i="1"/>
  <c r="CA172" i="1"/>
  <c r="CF230" i="1"/>
  <c r="CG230" i="1"/>
  <c r="EX268" i="1"/>
  <c r="EY268" i="1"/>
  <c r="BQ55" i="1"/>
  <c r="BR55" i="1"/>
  <c r="ES191" i="1"/>
  <c r="ER191" i="1"/>
  <c r="BR102" i="1"/>
  <c r="BQ102" i="1"/>
  <c r="BL23" i="1"/>
  <c r="BK23" i="1"/>
  <c r="EX28" i="1"/>
  <c r="EY28" i="1"/>
  <c r="EX54" i="1"/>
  <c r="EY54" i="1"/>
  <c r="ES67" i="1"/>
  <c r="ER67" i="1"/>
  <c r="BU89" i="1"/>
  <c r="BT89" i="1"/>
  <c r="BU94" i="1"/>
  <c r="BT94" i="1"/>
  <c r="BF160" i="1"/>
  <c r="BE160" i="1"/>
  <c r="EI187" i="1"/>
  <c r="EJ187" i="1"/>
  <c r="EG199" i="1"/>
  <c r="EF199" i="1"/>
  <c r="BI217" i="1"/>
  <c r="BH217" i="1"/>
  <c r="EY237" i="1"/>
  <c r="EX237" i="1"/>
  <c r="BQ236" i="1"/>
  <c r="BR236" i="1"/>
  <c r="BH246" i="1"/>
  <c r="BI246" i="1"/>
  <c r="BI255" i="1"/>
  <c r="BH255" i="1"/>
  <c r="CC35" i="1"/>
  <c r="CD35" i="1"/>
  <c r="BR185" i="1"/>
  <c r="BQ185" i="1"/>
  <c r="DX221" i="1"/>
  <c r="DW221" i="1"/>
  <c r="BN260" i="1"/>
  <c r="BO260" i="1"/>
  <c r="BR242" i="1"/>
  <c r="BQ242" i="1"/>
  <c r="EV5" i="1"/>
  <c r="EU5" i="1"/>
  <c r="BI21" i="1"/>
  <c r="BH21" i="1"/>
  <c r="ED217" i="1"/>
  <c r="EC217" i="1"/>
  <c r="CD233" i="1"/>
  <c r="CC233" i="1"/>
  <c r="BL35" i="1"/>
  <c r="BK35" i="1"/>
  <c r="BR214" i="1"/>
  <c r="BQ214" i="1"/>
  <c r="EA2" i="1"/>
  <c r="DZ2" i="1"/>
  <c r="CM2" i="1" s="1"/>
  <c r="DM2" i="1" s="1"/>
  <c r="DX44" i="1"/>
  <c r="DW44" i="1"/>
  <c r="EV85" i="1"/>
  <c r="EU85" i="1"/>
  <c r="BF39" i="1"/>
  <c r="BE39" i="1"/>
  <c r="EV59" i="1"/>
  <c r="EU59" i="1"/>
  <c r="BO108" i="1"/>
  <c r="BN108" i="1"/>
  <c r="ED81" i="1"/>
  <c r="EC81" i="1"/>
  <c r="BF114" i="1"/>
  <c r="BE114" i="1"/>
  <c r="BR141" i="1"/>
  <c r="BQ141" i="1"/>
  <c r="CA142" i="1"/>
  <c r="BZ142" i="1"/>
  <c r="BR155" i="1"/>
  <c r="BQ155" i="1"/>
  <c r="EP181" i="1"/>
  <c r="EO181" i="1"/>
  <c r="EY187" i="1"/>
  <c r="EX187" i="1"/>
  <c r="BO229" i="1"/>
  <c r="BN229" i="1"/>
  <c r="BO230" i="1"/>
  <c r="BN230" i="1"/>
  <c r="BH263" i="1"/>
  <c r="BI263" i="1"/>
  <c r="BO268" i="1"/>
  <c r="BN268" i="1"/>
  <c r="DZ130" i="1"/>
  <c r="EA130" i="1"/>
  <c r="ED256" i="1"/>
  <c r="EC256" i="1"/>
  <c r="EM223" i="1"/>
  <c r="EL223" i="1"/>
  <c r="CD242" i="1"/>
  <c r="CC242" i="1"/>
  <c r="BI111" i="1"/>
  <c r="BH111" i="1"/>
  <c r="EG10" i="1"/>
  <c r="EF10" i="1"/>
  <c r="BW44" i="1"/>
  <c r="BX44" i="1"/>
  <c r="BL55" i="1"/>
  <c r="BK55" i="1"/>
  <c r="BH30" i="1"/>
  <c r="BI30" i="1"/>
  <c r="DZ28" i="1"/>
  <c r="EA28" i="1"/>
  <c r="DZ54" i="1"/>
  <c r="EA54" i="1"/>
  <c r="BU80" i="1"/>
  <c r="BT80" i="1"/>
  <c r="EA75" i="1"/>
  <c r="DZ75" i="1"/>
  <c r="CA77" i="1"/>
  <c r="BZ77" i="1"/>
  <c r="EY89" i="1"/>
  <c r="EX89" i="1"/>
  <c r="CG101" i="1"/>
  <c r="CF101" i="1"/>
  <c r="BK83" i="1"/>
  <c r="BL83" i="1"/>
  <c r="EY148" i="1"/>
  <c r="EX148" i="1"/>
  <c r="EL102" i="1"/>
  <c r="EM102" i="1"/>
  <c r="CD135" i="1"/>
  <c r="CC135" i="1"/>
  <c r="BR154" i="1"/>
  <c r="BQ154" i="1"/>
  <c r="EY149" i="1"/>
  <c r="EX149" i="1"/>
  <c r="EJ169" i="1"/>
  <c r="EI169" i="1"/>
  <c r="BX171" i="1"/>
  <c r="BW171" i="1"/>
  <c r="ES171" i="1"/>
  <c r="ER171" i="1"/>
  <c r="EA208" i="1"/>
  <c r="DZ208" i="1"/>
  <c r="BR203" i="1"/>
  <c r="BQ203" i="1"/>
  <c r="CG210" i="1"/>
  <c r="CF210" i="1"/>
  <c r="BL233" i="1"/>
  <c r="BK233" i="1"/>
  <c r="DX230" i="1"/>
  <c r="DW230" i="1"/>
  <c r="EP247" i="1"/>
  <c r="EO247" i="1"/>
  <c r="CA265" i="1"/>
  <c r="BZ265" i="1"/>
  <c r="EP32" i="1"/>
  <c r="EO32" i="1"/>
  <c r="CD197" i="1"/>
  <c r="CC197" i="1"/>
  <c r="BI251" i="1"/>
  <c r="BH251" i="1"/>
  <c r="BK197" i="1"/>
  <c r="BL197" i="1"/>
  <c r="EJ202" i="1"/>
  <c r="EI202" i="1"/>
  <c r="EM67" i="1"/>
  <c r="EL67" i="1"/>
  <c r="CD103" i="1"/>
  <c r="CC103" i="1"/>
  <c r="BF251" i="1"/>
  <c r="BE251" i="1"/>
  <c r="DX5" i="1"/>
  <c r="DW5" i="1"/>
  <c r="EJ10" i="1"/>
  <c r="EI10" i="1"/>
  <c r="EF18" i="1"/>
  <c r="EG18" i="1"/>
  <c r="EA19" i="1"/>
  <c r="DZ19" i="1"/>
  <c r="CD39" i="1"/>
  <c r="CC39" i="1"/>
  <c r="DX58" i="1"/>
  <c r="DW58" i="1"/>
  <c r="BU93" i="1"/>
  <c r="BT93" i="1"/>
  <c r="BU119" i="1"/>
  <c r="BT119" i="1"/>
  <c r="BF154" i="1"/>
  <c r="BE154" i="1"/>
  <c r="EV159" i="1"/>
  <c r="EU159" i="1"/>
  <c r="EY161" i="1"/>
  <c r="EX161" i="1"/>
  <c r="BK171" i="1"/>
  <c r="BL171" i="1"/>
  <c r="CD208" i="1"/>
  <c r="CC208" i="1"/>
  <c r="BR221" i="1"/>
  <c r="BQ221" i="1"/>
  <c r="DX223" i="1"/>
  <c r="DW223" i="1"/>
  <c r="EO243" i="1"/>
  <c r="EP243" i="1"/>
  <c r="EG236" i="1"/>
  <c r="EF236" i="1"/>
  <c r="CA55" i="1"/>
  <c r="BZ55" i="1"/>
  <c r="EA161" i="1"/>
  <c r="DZ161" i="1"/>
  <c r="BN208" i="1"/>
  <c r="BO208" i="1"/>
  <c r="EV264" i="1"/>
  <c r="EU264" i="1"/>
  <c r="BL32" i="1"/>
  <c r="BK32" i="1"/>
  <c r="EV98" i="1"/>
  <c r="EU98" i="1"/>
  <c r="EX94" i="1"/>
  <c r="EY94" i="1"/>
  <c r="EJ134" i="1"/>
  <c r="EI134" i="1"/>
  <c r="BZ199" i="1"/>
  <c r="CA199" i="1"/>
  <c r="ES2" i="1"/>
  <c r="ER2" i="1"/>
  <c r="DE2" i="1" s="1"/>
  <c r="DS2" i="1" s="1"/>
  <c r="BR61" i="1"/>
  <c r="BQ61" i="1"/>
  <c r="EV219" i="1"/>
  <c r="EU219" i="1"/>
  <c r="BL230" i="1"/>
  <c r="BK230" i="1"/>
  <c r="EI55" i="1"/>
  <c r="EJ55" i="1"/>
  <c r="DZ89" i="1"/>
  <c r="EA89" i="1"/>
  <c r="EI91" i="1"/>
  <c r="EJ91" i="1"/>
  <c r="BL102" i="1"/>
  <c r="BK102" i="1"/>
  <c r="EC141" i="1"/>
  <c r="ED141" i="1"/>
  <c r="EO171" i="1"/>
  <c r="EP171" i="1"/>
  <c r="BR164" i="1"/>
  <c r="BQ164" i="1"/>
  <c r="EA181" i="1"/>
  <c r="DZ181" i="1"/>
  <c r="BL207" i="1"/>
  <c r="BK207" i="1"/>
  <c r="ED220" i="1"/>
  <c r="EC220" i="1"/>
  <c r="CG229" i="1"/>
  <c r="CF229" i="1"/>
  <c r="EX260" i="1"/>
  <c r="EY260" i="1"/>
  <c r="BX231" i="1"/>
  <c r="BW231" i="1"/>
  <c r="BU251" i="1"/>
  <c r="BT251" i="1"/>
  <c r="BR263" i="1"/>
  <c r="BQ263" i="1"/>
  <c r="CD270" i="1"/>
  <c r="CC270" i="1"/>
  <c r="EP266" i="1"/>
  <c r="EO266" i="1"/>
  <c r="BX29" i="1"/>
  <c r="BW29" i="1"/>
  <c r="CD86" i="1"/>
  <c r="CC86" i="1"/>
  <c r="BI116" i="1"/>
  <c r="BH116" i="1"/>
  <c r="EX159" i="1"/>
  <c r="EY159" i="1"/>
  <c r="EL205" i="1"/>
  <c r="EM205" i="1"/>
  <c r="CD5" i="1"/>
  <c r="CC5" i="1"/>
  <c r="ED13" i="1"/>
  <c r="EC13" i="1"/>
  <c r="EI11" i="1"/>
  <c r="EJ11" i="1"/>
  <c r="EP51" i="1"/>
  <c r="EO51" i="1"/>
  <c r="EI50" i="1"/>
  <c r="EJ50" i="1"/>
  <c r="CF67" i="1"/>
  <c r="CG67" i="1"/>
  <c r="BO63" i="1"/>
  <c r="BN63" i="1"/>
  <c r="CC76" i="1"/>
  <c r="CD76" i="1"/>
  <c r="CG125" i="1"/>
  <c r="CF125" i="1"/>
  <c r="DW150" i="1"/>
  <c r="DX150" i="1"/>
  <c r="CA156" i="1"/>
  <c r="BZ156" i="1"/>
  <c r="EY162" i="1"/>
  <c r="EX162" i="1"/>
  <c r="CA178" i="1"/>
  <c r="BZ178" i="1"/>
  <c r="EJ192" i="1"/>
  <c r="EI192" i="1"/>
  <c r="BF193" i="1"/>
  <c r="BE193" i="1"/>
  <c r="EG198" i="1"/>
  <c r="EF198" i="1"/>
  <c r="BW205" i="1"/>
  <c r="BX205" i="1"/>
  <c r="DZ227" i="1"/>
  <c r="EA227" i="1"/>
  <c r="BF237" i="1"/>
  <c r="BE237" i="1"/>
  <c r="EV232" i="1"/>
  <c r="EU232" i="1"/>
  <c r="EP234" i="1"/>
  <c r="EO234" i="1"/>
  <c r="BO255" i="1"/>
  <c r="BN255" i="1"/>
  <c r="EP268" i="1"/>
  <c r="EO268" i="1"/>
  <c r="EM10" i="1"/>
  <c r="EL10" i="1"/>
  <c r="EJ25" i="1"/>
  <c r="EI25" i="1"/>
  <c r="EY109" i="1"/>
  <c r="EX109" i="1"/>
  <c r="DZ121" i="1"/>
  <c r="EA121" i="1"/>
  <c r="EI130" i="1"/>
  <c r="EJ130" i="1"/>
  <c r="EG178" i="1"/>
  <c r="EF178" i="1"/>
  <c r="EP39" i="1"/>
  <c r="EO39" i="1"/>
  <c r="BI82" i="1"/>
  <c r="BH82" i="1"/>
  <c r="EA113" i="1"/>
  <c r="DZ113" i="1"/>
  <c r="BR243" i="1"/>
  <c r="BQ243" i="1"/>
  <c r="BU214" i="1"/>
  <c r="BT214" i="1"/>
  <c r="CG21" i="1"/>
  <c r="CF21" i="1"/>
  <c r="EJ54" i="1"/>
  <c r="EI54" i="1"/>
  <c r="EG86" i="1"/>
  <c r="EF86" i="1"/>
  <c r="CA75" i="1"/>
  <c r="BZ75" i="1"/>
  <c r="CG71" i="1"/>
  <c r="CF71" i="1"/>
  <c r="BE89" i="1"/>
  <c r="BF89" i="1"/>
  <c r="BR98" i="1"/>
  <c r="BQ98" i="1"/>
  <c r="DX96" i="1"/>
  <c r="DW96" i="1"/>
  <c r="EU114" i="1"/>
  <c r="EV114" i="1"/>
  <c r="DZ116" i="1"/>
  <c r="EA116" i="1"/>
  <c r="EL116" i="1"/>
  <c r="EM116" i="1"/>
  <c r="EG146" i="1"/>
  <c r="EF146" i="1"/>
  <c r="DW151" i="1"/>
  <c r="DX151" i="1"/>
  <c r="EF174" i="1"/>
  <c r="EG174" i="1"/>
  <c r="DX172" i="1"/>
  <c r="DW172" i="1"/>
  <c r="CD218" i="1"/>
  <c r="CC218" i="1"/>
  <c r="EM220" i="1"/>
  <c r="EL220" i="1"/>
  <c r="EU244" i="1"/>
  <c r="EV244" i="1"/>
  <c r="BI244" i="1"/>
  <c r="BH244" i="1"/>
  <c r="EP257" i="1"/>
  <c r="EO257" i="1"/>
  <c r="CD9" i="1"/>
  <c r="CC9" i="1"/>
  <c r="EY48" i="1"/>
  <c r="EX48" i="1"/>
  <c r="CA86" i="1"/>
  <c r="BZ86" i="1"/>
  <c r="EJ76" i="1"/>
  <c r="EI76" i="1"/>
  <c r="BI109" i="1"/>
  <c r="BH109" i="1"/>
  <c r="EV179" i="1"/>
  <c r="EU179" i="1"/>
  <c r="EM211" i="1"/>
  <c r="EL211" i="1"/>
  <c r="BE6" i="1"/>
  <c r="BF6" i="1"/>
  <c r="BH34" i="1"/>
  <c r="BI34" i="1"/>
  <c r="BR136" i="1"/>
  <c r="BQ136" i="1"/>
  <c r="EA175" i="1"/>
  <c r="DZ175" i="1"/>
  <c r="EG5" i="1"/>
  <c r="EF5" i="1"/>
  <c r="EX77" i="1"/>
  <c r="EY77" i="1"/>
  <c r="BH182" i="1"/>
  <c r="BI182" i="1"/>
  <c r="DW36" i="1"/>
  <c r="DX36" i="1"/>
  <c r="DZ133" i="1"/>
  <c r="EA133" i="1"/>
  <c r="BO220" i="1"/>
  <c r="BN220" i="1"/>
  <c r="BN232" i="1"/>
  <c r="BO232" i="1"/>
  <c r="EV253" i="1"/>
  <c r="EU253" i="1"/>
  <c r="EY6" i="1"/>
  <c r="EX6" i="1"/>
  <c r="EU73" i="1"/>
  <c r="EV73" i="1"/>
  <c r="BO102" i="1"/>
  <c r="BN102" i="1"/>
  <c r="BH185" i="1"/>
  <c r="BI185" i="1"/>
  <c r="BX259" i="1"/>
  <c r="BW259" i="1"/>
  <c r="DZ5" i="1"/>
  <c r="EA5" i="1"/>
  <c r="ED257" i="1"/>
  <c r="EC257" i="1"/>
  <c r="EX141" i="1"/>
  <c r="EY141" i="1"/>
  <c r="DZ104" i="1"/>
  <c r="EA104" i="1"/>
  <c r="ED149" i="1"/>
  <c r="EC149" i="1"/>
  <c r="EV192" i="1"/>
  <c r="EU192" i="1"/>
  <c r="EX230" i="1"/>
  <c r="EY230" i="1"/>
  <c r="EJ110" i="1"/>
  <c r="EI110" i="1"/>
  <c r="BU83" i="1"/>
  <c r="BT83" i="1"/>
  <c r="EC24" i="1"/>
  <c r="ED24" i="1"/>
  <c r="EY44" i="1"/>
  <c r="EX44" i="1"/>
  <c r="EY165" i="1"/>
  <c r="EX165" i="1"/>
  <c r="BR119" i="1"/>
  <c r="BQ119" i="1"/>
  <c r="BE94" i="1"/>
  <c r="BF94" i="1"/>
  <c r="EA44" i="1"/>
  <c r="DZ44" i="1"/>
  <c r="DZ23" i="1"/>
  <c r="EA23" i="1"/>
  <c r="BI48" i="1"/>
  <c r="BH48" i="1"/>
  <c r="BZ206" i="1"/>
  <c r="CA206" i="1"/>
  <c r="BI238" i="1"/>
  <c r="BH238" i="1"/>
  <c r="ED61" i="1"/>
  <c r="EC61" i="1"/>
  <c r="EY99" i="1"/>
  <c r="EX99" i="1"/>
  <c r="DX119" i="1"/>
  <c r="DW119" i="1"/>
  <c r="BL149" i="1"/>
  <c r="BK149" i="1"/>
  <c r="ED250" i="1"/>
  <c r="EC250" i="1"/>
  <c r="EG46" i="1"/>
  <c r="EF46" i="1"/>
  <c r="BE202" i="1"/>
  <c r="BF202" i="1"/>
  <c r="EM260" i="1"/>
  <c r="EL260" i="1"/>
  <c r="ES263" i="1"/>
  <c r="ER263" i="1"/>
  <c r="CG24" i="1"/>
  <c r="CF24" i="1"/>
  <c r="CG220" i="1"/>
  <c r="CF220" i="1"/>
  <c r="ED56" i="1"/>
  <c r="EC56" i="1"/>
  <c r="EA198" i="1"/>
  <c r="DZ198" i="1"/>
  <c r="DZ230" i="1"/>
  <c r="EA230" i="1"/>
  <c r="EU71" i="1"/>
  <c r="EV71" i="1"/>
  <c r="DX192" i="1"/>
  <c r="DW192" i="1"/>
  <c r="BU211" i="1"/>
  <c r="BT211" i="1"/>
  <c r="BE247" i="1"/>
  <c r="BF247" i="1"/>
  <c r="EG270" i="1"/>
  <c r="EF270" i="1"/>
  <c r="EL39" i="1"/>
  <c r="EM39" i="1"/>
  <c r="BR182" i="1"/>
  <c r="BQ182" i="1"/>
  <c r="BI218" i="1"/>
  <c r="BH218" i="1"/>
  <c r="EV13" i="1"/>
  <c r="EU13" i="1"/>
  <c r="EJ58" i="1"/>
  <c r="EI58" i="1"/>
  <c r="CC134" i="1"/>
  <c r="CD134" i="1"/>
  <c r="CG145" i="1"/>
  <c r="CF145" i="1"/>
  <c r="BF185" i="1"/>
  <c r="BE185" i="1"/>
  <c r="EP237" i="1"/>
  <c r="EO237" i="1"/>
  <c r="ER116" i="1"/>
  <c r="ES116" i="1"/>
  <c r="EJ234" i="1"/>
  <c r="EI234" i="1"/>
  <c r="BK240" i="1"/>
  <c r="BL240" i="1"/>
  <c r="EC10" i="1"/>
  <c r="ED10" i="1"/>
  <c r="BO37" i="1"/>
  <c r="BN37" i="1"/>
  <c r="EM108" i="1"/>
  <c r="EL108" i="1"/>
  <c r="BW123" i="1"/>
  <c r="BX123" i="1"/>
  <c r="ES203" i="1"/>
  <c r="ER203" i="1"/>
  <c r="EA221" i="1"/>
  <c r="DZ221" i="1"/>
  <c r="ES149" i="1"/>
  <c r="ER149" i="1"/>
  <c r="EP43" i="1"/>
  <c r="EO43" i="1"/>
  <c r="BO159" i="1"/>
  <c r="BN159" i="1"/>
  <c r="BZ192" i="1"/>
  <c r="CA192" i="1"/>
  <c r="EA26" i="1"/>
  <c r="DZ26" i="1"/>
  <c r="BN111" i="1"/>
  <c r="BO111" i="1"/>
  <c r="EJ133" i="1"/>
  <c r="EI133" i="1"/>
  <c r="EY97" i="1"/>
  <c r="EX97" i="1"/>
  <c r="BI17" i="1"/>
  <c r="BH17" i="1"/>
  <c r="BH43" i="1"/>
  <c r="BI43" i="1"/>
  <c r="ES43" i="1"/>
  <c r="ER43" i="1"/>
  <c r="ED86" i="1"/>
  <c r="EC86" i="1"/>
  <c r="BX98" i="1"/>
  <c r="BW98" i="1"/>
  <c r="BO69" i="1"/>
  <c r="BN69" i="1"/>
  <c r="DZ106" i="1"/>
  <c r="EA106" i="1"/>
  <c r="BL135" i="1"/>
  <c r="BK135" i="1"/>
  <c r="BI152" i="1"/>
  <c r="BH152" i="1"/>
  <c r="BQ163" i="1"/>
  <c r="BR163" i="1"/>
  <c r="BF190" i="1"/>
  <c r="BE190" i="1"/>
  <c r="EC208" i="1"/>
  <c r="ED208" i="1"/>
  <c r="BR223" i="1"/>
  <c r="BQ223" i="1"/>
  <c r="BN35" i="1"/>
  <c r="BO35" i="1"/>
  <c r="EX3" i="1"/>
  <c r="EY3" i="1"/>
  <c r="EG25" i="1"/>
  <c r="EF25" i="1"/>
  <c r="BL57" i="1"/>
  <c r="BK57" i="1"/>
  <c r="DX75" i="1"/>
  <c r="DW75" i="1"/>
  <c r="BL103" i="1"/>
  <c r="BK103" i="1"/>
  <c r="DZ95" i="1"/>
  <c r="EA95" i="1"/>
  <c r="EI114" i="1"/>
  <c r="EJ114" i="1"/>
  <c r="EJ120" i="1"/>
  <c r="EI120" i="1"/>
  <c r="EI132" i="1"/>
  <c r="EJ132" i="1"/>
  <c r="BR133" i="1"/>
  <c r="BQ133" i="1"/>
  <c r="CG191" i="1"/>
  <c r="CF191" i="1"/>
  <c r="BF238" i="1"/>
  <c r="BE238" i="1"/>
  <c r="ES253" i="1"/>
  <c r="ER253" i="1"/>
  <c r="DX246" i="1"/>
  <c r="DW246" i="1"/>
  <c r="EV256" i="1"/>
  <c r="EU256" i="1"/>
  <c r="BR262" i="1"/>
  <c r="BQ262" i="1"/>
  <c r="CA237" i="1"/>
  <c r="BZ237" i="1"/>
  <c r="EM247" i="1"/>
  <c r="EL247" i="1"/>
  <c r="BO119" i="1"/>
  <c r="BN119" i="1"/>
  <c r="BU231" i="1"/>
  <c r="BT231" i="1"/>
  <c r="EI29" i="1"/>
  <c r="EJ29" i="1"/>
  <c r="ER184" i="1"/>
  <c r="ES184" i="1"/>
  <c r="CA5" i="1"/>
  <c r="BZ5" i="1"/>
  <c r="EM34" i="1"/>
  <c r="EL34" i="1"/>
  <c r="CA24" i="1"/>
  <c r="BZ24" i="1"/>
  <c r="BO31" i="1"/>
  <c r="BN31" i="1"/>
  <c r="BW48" i="1"/>
  <c r="BX48" i="1"/>
  <c r="BE38" i="1"/>
  <c r="BF38" i="1"/>
  <c r="EX82" i="1"/>
  <c r="EY82" i="1"/>
  <c r="DZ77" i="1"/>
  <c r="EA77" i="1"/>
  <c r="EM97" i="1"/>
  <c r="EL97" i="1"/>
  <c r="CA106" i="1"/>
  <c r="BZ106" i="1"/>
  <c r="ES87" i="1"/>
  <c r="ER87" i="1"/>
  <c r="EG112" i="1"/>
  <c r="EF112" i="1"/>
  <c r="EU135" i="1"/>
  <c r="EV135" i="1"/>
  <c r="DZ154" i="1"/>
  <c r="EA154" i="1"/>
  <c r="EP149" i="1"/>
  <c r="EO149" i="1"/>
  <c r="BT149" i="1"/>
  <c r="BU149" i="1"/>
  <c r="BF166" i="1"/>
  <c r="BE166" i="1"/>
  <c r="BU191" i="1"/>
  <c r="BT191" i="1"/>
  <c r="BO179" i="1"/>
  <c r="BN179" i="1"/>
  <c r="BE206" i="1"/>
  <c r="BF206" i="1"/>
  <c r="EP221" i="1"/>
  <c r="EO221" i="1"/>
  <c r="BI214" i="1"/>
  <c r="BH214" i="1"/>
  <c r="EG233" i="1"/>
  <c r="EF233" i="1"/>
  <c r="EY263" i="1"/>
  <c r="EX263" i="1"/>
  <c r="BE267" i="1"/>
  <c r="BF267" i="1"/>
  <c r="EJ265" i="1"/>
  <c r="EI265" i="1"/>
  <c r="BX102" i="1"/>
  <c r="BW102" i="1"/>
  <c r="EJ113" i="1"/>
  <c r="EI113" i="1"/>
  <c r="DX141" i="1"/>
  <c r="DW141" i="1"/>
  <c r="BI189" i="1"/>
  <c r="BH189" i="1"/>
  <c r="EM227" i="1"/>
  <c r="EL227" i="1"/>
  <c r="CG245" i="1"/>
  <c r="CF245" i="1"/>
  <c r="EV258" i="1"/>
  <c r="EU258" i="1"/>
  <c r="EP72" i="1"/>
  <c r="EO72" i="1"/>
  <c r="EX106" i="1"/>
  <c r="EY106" i="1"/>
  <c r="EU130" i="1"/>
  <c r="EV130" i="1"/>
  <c r="EV162" i="1"/>
  <c r="EU162" i="1"/>
  <c r="EM99" i="1"/>
  <c r="EL99" i="1"/>
  <c r="BI154" i="1"/>
  <c r="BH154" i="1"/>
  <c r="EM258" i="1"/>
  <c r="EL258" i="1"/>
  <c r="BU12" i="1"/>
  <c r="BT12" i="1"/>
  <c r="BQ31" i="1"/>
  <c r="BR31" i="1"/>
  <c r="BF49" i="1"/>
  <c r="BE49" i="1"/>
  <c r="DX86" i="1"/>
  <c r="DW86" i="1"/>
  <c r="DW74" i="1"/>
  <c r="DX74" i="1"/>
  <c r="EA97" i="1"/>
  <c r="DZ97" i="1"/>
  <c r="BU101" i="1"/>
  <c r="BT101" i="1"/>
  <c r="DZ102" i="1"/>
  <c r="EA102" i="1"/>
  <c r="ES107" i="1"/>
  <c r="ER107" i="1"/>
  <c r="EY115" i="1"/>
  <c r="EX115" i="1"/>
  <c r="ER156" i="1"/>
  <c r="ES156" i="1"/>
  <c r="EA162" i="1"/>
  <c r="DZ162" i="1"/>
  <c r="BI191" i="1"/>
  <c r="BH191" i="1"/>
  <c r="EY199" i="1"/>
  <c r="EX199" i="1"/>
  <c r="EX218" i="1"/>
  <c r="EY218" i="1"/>
  <c r="CF211" i="1"/>
  <c r="CG211" i="1"/>
  <c r="BQ202" i="1"/>
  <c r="BR202" i="1"/>
  <c r="ED221" i="1"/>
  <c r="EC221" i="1"/>
  <c r="BW215" i="1"/>
  <c r="BX215" i="1"/>
  <c r="BF260" i="1"/>
  <c r="BE260" i="1"/>
  <c r="EF241" i="1"/>
  <c r="EG241" i="1"/>
  <c r="DX239" i="1"/>
  <c r="DW239" i="1"/>
  <c r="BT259" i="1"/>
  <c r="BU259" i="1"/>
  <c r="DW271" i="1"/>
  <c r="DX271" i="1"/>
  <c r="CD93" i="1"/>
  <c r="CC93" i="1"/>
  <c r="CC158" i="1"/>
  <c r="CD158" i="1"/>
  <c r="BQ211" i="1"/>
  <c r="BR211" i="1"/>
  <c r="CD251" i="1"/>
  <c r="CC251" i="1"/>
  <c r="EI106" i="1"/>
  <c r="EJ106" i="1"/>
  <c r="BR140" i="1"/>
  <c r="BQ140" i="1"/>
  <c r="BU193" i="1"/>
  <c r="BT193" i="1"/>
  <c r="CA217" i="1"/>
  <c r="BZ217" i="1"/>
  <c r="ER206" i="1"/>
  <c r="ES206" i="1"/>
  <c r="BX6" i="1"/>
  <c r="BW6" i="1"/>
  <c r="BX49" i="1"/>
  <c r="BW49" i="1"/>
  <c r="EG48" i="1"/>
  <c r="EF48" i="1"/>
  <c r="DZ39" i="1"/>
  <c r="EA39" i="1"/>
  <c r="EJ70" i="1"/>
  <c r="EI70" i="1"/>
  <c r="BI159" i="1"/>
  <c r="BH159" i="1"/>
  <c r="CD182" i="1"/>
  <c r="CC182" i="1"/>
  <c r="BW168" i="1"/>
  <c r="BX168" i="1"/>
  <c r="DX175" i="1"/>
  <c r="DW175" i="1"/>
  <c r="EJ184" i="1"/>
  <c r="EI184" i="1"/>
  <c r="CG219" i="1"/>
  <c r="CF219" i="1"/>
  <c r="EV223" i="1"/>
  <c r="EU223" i="1"/>
  <c r="ED216" i="1"/>
  <c r="EC216" i="1"/>
  <c r="EF251" i="1"/>
  <c r="EG251" i="1"/>
  <c r="BR259" i="1"/>
  <c r="BQ259" i="1"/>
  <c r="BL262" i="1"/>
  <c r="BK262" i="1"/>
  <c r="EG61" i="1"/>
  <c r="EF61" i="1"/>
  <c r="EA228" i="1"/>
  <c r="DZ228" i="1"/>
  <c r="ED123" i="1"/>
  <c r="EC123" i="1"/>
  <c r="EC174" i="1"/>
  <c r="ED174" i="1"/>
  <c r="BF250" i="1"/>
  <c r="BE250" i="1"/>
  <c r="DX256" i="1"/>
  <c r="DW256" i="1"/>
  <c r="EF85" i="1"/>
  <c r="EG85" i="1"/>
  <c r="EM35" i="1"/>
  <c r="EL35" i="1"/>
  <c r="BU55" i="1"/>
  <c r="BT55" i="1"/>
  <c r="ES29" i="1"/>
  <c r="ER29" i="1"/>
  <c r="DX80" i="1"/>
  <c r="DW80" i="1"/>
  <c r="EL86" i="1"/>
  <c r="EM86" i="1"/>
  <c r="EL69" i="1"/>
  <c r="EM69" i="1"/>
  <c r="EM89" i="1"/>
  <c r="EL89" i="1"/>
  <c r="BR97" i="1"/>
  <c r="BQ97" i="1"/>
  <c r="BN103" i="1"/>
  <c r="BO103" i="1"/>
  <c r="CD122" i="1"/>
  <c r="CC122" i="1"/>
  <c r="EY192" i="1"/>
  <c r="EX192" i="1"/>
  <c r="EM189" i="1"/>
  <c r="EL189" i="1"/>
  <c r="EU207" i="1"/>
  <c r="EV207" i="1"/>
  <c r="BU221" i="1"/>
  <c r="BT221" i="1"/>
  <c r="EJ223" i="1"/>
  <c r="EI223" i="1"/>
  <c r="CA250" i="1"/>
  <c r="BZ250" i="1"/>
  <c r="EA255" i="1"/>
  <c r="DZ255" i="1"/>
  <c r="EM109" i="1"/>
  <c r="EL109" i="1"/>
  <c r="BO99" i="1"/>
  <c r="BN99" i="1"/>
  <c r="BF128" i="1"/>
  <c r="BE128" i="1"/>
  <c r="EG166" i="1"/>
  <c r="EF166" i="1"/>
  <c r="BW220" i="1"/>
  <c r="BX220" i="1"/>
  <c r="DW21" i="1"/>
  <c r="DX21" i="1"/>
  <c r="EF56" i="1"/>
  <c r="EG56" i="1"/>
  <c r="DX89" i="1"/>
  <c r="DW89" i="1"/>
  <c r="ED120" i="1"/>
  <c r="EC120" i="1"/>
  <c r="EI191" i="1"/>
  <c r="EJ191" i="1"/>
  <c r="BL221" i="1"/>
  <c r="BK221" i="1"/>
  <c r="EL5" i="1"/>
  <c r="EM5" i="1"/>
  <c r="EX36" i="1"/>
  <c r="EY36" i="1"/>
  <c r="BH56" i="1"/>
  <c r="BI56" i="1"/>
  <c r="ED32" i="1"/>
  <c r="EC32" i="1"/>
  <c r="EY80" i="1"/>
  <c r="EX80" i="1"/>
  <c r="BO64" i="1"/>
  <c r="BN64" i="1"/>
  <c r="EY114" i="1"/>
  <c r="EX114" i="1"/>
  <c r="ER124" i="1"/>
  <c r="ES124" i="1"/>
  <c r="BI136" i="1"/>
  <c r="BH136" i="1"/>
  <c r="EJ128" i="1"/>
  <c r="EI128" i="1"/>
  <c r="EJ126" i="1"/>
  <c r="EI126" i="1"/>
  <c r="EA174" i="1"/>
  <c r="DZ174" i="1"/>
  <c r="BX199" i="1"/>
  <c r="BW199" i="1"/>
  <c r="BQ217" i="1"/>
  <c r="BR217" i="1"/>
  <c r="BN253" i="1"/>
  <c r="BO253" i="1"/>
  <c r="EY247" i="1"/>
  <c r="EX247" i="1"/>
  <c r="BX43" i="1"/>
  <c r="BW43" i="1"/>
  <c r="BO97" i="1"/>
  <c r="BN97" i="1"/>
  <c r="DX186" i="1"/>
  <c r="DW186" i="1"/>
  <c r="ED266" i="1"/>
  <c r="EC266" i="1"/>
  <c r="BX125" i="1"/>
  <c r="BW125" i="1"/>
  <c r="BR2" i="1"/>
  <c r="BQ2" i="1"/>
  <c r="AD2" i="1" s="1"/>
  <c r="AX2" i="1" s="1"/>
  <c r="BO26" i="1"/>
  <c r="BN26" i="1"/>
  <c r="BW46" i="1"/>
  <c r="BX46" i="1"/>
  <c r="CD24" i="1"/>
  <c r="CC24" i="1"/>
  <c r="CF25" i="1"/>
  <c r="CG25" i="1"/>
  <c r="BX59" i="1"/>
  <c r="BW59" i="1"/>
  <c r="EG82" i="1"/>
  <c r="EF82" i="1"/>
  <c r="DX65" i="1"/>
  <c r="DW65" i="1"/>
  <c r="BZ111" i="1"/>
  <c r="CA111" i="1"/>
  <c r="BU138" i="1"/>
  <c r="BT138" i="1"/>
  <c r="BU166" i="1"/>
  <c r="BT166" i="1"/>
  <c r="BF220" i="1"/>
  <c r="BE220" i="1"/>
  <c r="BR213" i="1"/>
  <c r="BQ213" i="1"/>
  <c r="EJ230" i="1"/>
  <c r="EI230" i="1"/>
  <c r="EM243" i="1"/>
  <c r="EL243" i="1"/>
  <c r="BL238" i="1"/>
  <c r="BK238" i="1"/>
  <c r="ES234" i="1"/>
  <c r="ER234" i="1"/>
  <c r="EM242" i="1"/>
  <c r="EL242" i="1"/>
  <c r="DZ264" i="1"/>
  <c r="EA264" i="1"/>
  <c r="BO267" i="1"/>
  <c r="BN267" i="1"/>
  <c r="BL34" i="1"/>
  <c r="BK34" i="1"/>
  <c r="ES26" i="1"/>
  <c r="ER26" i="1"/>
  <c r="EC75" i="1"/>
  <c r="ED75" i="1"/>
  <c r="CF81" i="1"/>
  <c r="CG81" i="1"/>
  <c r="CF114" i="1"/>
  <c r="CG114" i="1"/>
  <c r="CA119" i="1"/>
  <c r="BZ119" i="1"/>
  <c r="DW165" i="1"/>
  <c r="DX165" i="1"/>
  <c r="ES166" i="1"/>
  <c r="ER166" i="1"/>
  <c r="DX188" i="1"/>
  <c r="DW188" i="1"/>
  <c r="EI260" i="1"/>
  <c r="EJ260" i="1"/>
  <c r="EV35" i="1"/>
  <c r="EU35" i="1"/>
  <c r="BE153" i="1"/>
  <c r="BF153" i="1"/>
  <c r="DX94" i="1"/>
  <c r="DW94" i="1"/>
  <c r="EG8" i="1"/>
  <c r="EF8" i="1"/>
  <c r="BI24" i="1"/>
  <c r="BH24" i="1"/>
  <c r="BI46" i="1"/>
  <c r="BH46" i="1"/>
  <c r="DZ135" i="1"/>
  <c r="EA135" i="1"/>
  <c r="CG166" i="1"/>
  <c r="CF166" i="1"/>
  <c r="CD193" i="1"/>
  <c r="CC193" i="1"/>
  <c r="EJ198" i="1"/>
  <c r="EI198" i="1"/>
  <c r="BH207" i="1"/>
  <c r="BI207" i="1"/>
  <c r="EP8" i="1"/>
  <c r="EO8" i="1"/>
  <c r="EM18" i="1"/>
  <c r="EL18" i="1"/>
  <c r="EC57" i="1"/>
  <c r="ED57" i="1"/>
  <c r="BX52" i="1"/>
  <c r="BW52" i="1"/>
  <c r="CD124" i="1"/>
  <c r="CC124" i="1"/>
  <c r="BL154" i="1"/>
  <c r="BK154" i="1"/>
  <c r="CG193" i="1"/>
  <c r="CF193" i="1"/>
  <c r="EJ15" i="1"/>
  <c r="EI15" i="1"/>
  <c r="ES98" i="1"/>
  <c r="ER98" i="1"/>
  <c r="EJ34" i="1"/>
  <c r="EI34" i="1"/>
  <c r="BI31" i="1"/>
  <c r="BH31" i="1"/>
  <c r="EL106" i="1"/>
  <c r="EM106" i="1"/>
  <c r="BR112" i="1"/>
  <c r="BQ112" i="1"/>
  <c r="BN172" i="1"/>
  <c r="BO172" i="1"/>
  <c r="EG108" i="1"/>
  <c r="EF108" i="1"/>
  <c r="BI148" i="1"/>
  <c r="BH148" i="1"/>
  <c r="BZ243" i="1"/>
  <c r="CA243" i="1"/>
  <c r="DX249" i="1"/>
  <c r="DW249" i="1"/>
  <c r="EM213" i="1"/>
  <c r="EL213" i="1"/>
  <c r="BR216" i="1"/>
  <c r="BQ216" i="1"/>
  <c r="DW12" i="1"/>
  <c r="DX12" i="1"/>
  <c r="CA69" i="1"/>
  <c r="BZ69" i="1"/>
  <c r="ED116" i="1"/>
  <c r="EC116" i="1"/>
  <c r="BH115" i="1"/>
  <c r="BI115" i="1"/>
  <c r="ES150" i="1"/>
  <c r="ER150" i="1"/>
  <c r="BX160" i="1"/>
  <c r="BW160" i="1"/>
  <c r="DW173" i="1"/>
  <c r="DX173" i="1"/>
  <c r="EP206" i="1"/>
  <c r="EO206" i="1"/>
  <c r="EY203" i="1"/>
  <c r="EX203" i="1"/>
  <c r="EJ221" i="1"/>
  <c r="EI221" i="1"/>
  <c r="BF223" i="1"/>
  <c r="BE223" i="1"/>
  <c r="CD229" i="1"/>
  <c r="CC229" i="1"/>
  <c r="CD250" i="1"/>
  <c r="CC250" i="1"/>
  <c r="BL263" i="1"/>
  <c r="BK263" i="1"/>
  <c r="CF9" i="1"/>
  <c r="CG9" i="1"/>
  <c r="EU17" i="1"/>
  <c r="EV17" i="1"/>
  <c r="BL117" i="1"/>
  <c r="BK117" i="1"/>
  <c r="DW140" i="1"/>
  <c r="DX140" i="1"/>
  <c r="BO193" i="1"/>
  <c r="BN193" i="1"/>
  <c r="DX226" i="1"/>
  <c r="DW226" i="1"/>
  <c r="DX241" i="1"/>
  <c r="DW241" i="1"/>
  <c r="EA233" i="1"/>
  <c r="DZ233" i="1"/>
  <c r="BU244" i="1"/>
  <c r="BT244" i="1"/>
  <c r="BK267" i="1"/>
  <c r="BL267" i="1"/>
  <c r="EY191" i="1"/>
  <c r="EX191" i="1"/>
  <c r="EA244" i="1"/>
  <c r="DZ244" i="1"/>
  <c r="EA260" i="1"/>
  <c r="DZ260" i="1"/>
  <c r="CC55" i="1"/>
  <c r="CD55" i="1"/>
  <c r="CA12" i="1"/>
  <c r="BZ12" i="1"/>
  <c r="EL54" i="1"/>
  <c r="EM54" i="1"/>
  <c r="EG67" i="1"/>
  <c r="EF67" i="1"/>
  <c r="EU108" i="1"/>
  <c r="EV108" i="1"/>
  <c r="CD88" i="1"/>
  <c r="CC88" i="1"/>
  <c r="CG94" i="1"/>
  <c r="CF94" i="1"/>
  <c r="CD154" i="1"/>
  <c r="CC154" i="1"/>
  <c r="EI173" i="1"/>
  <c r="EJ173" i="1"/>
  <c r="ED206" i="1"/>
  <c r="EC206" i="1"/>
  <c r="BX221" i="1"/>
  <c r="BW221" i="1"/>
  <c r="BL232" i="1"/>
  <c r="BK232" i="1"/>
  <c r="CG247" i="1"/>
  <c r="CF247" i="1"/>
  <c r="EG264" i="1"/>
  <c r="EF264" i="1"/>
  <c r="EF143" i="1"/>
  <c r="EG143" i="1"/>
  <c r="EA191" i="1"/>
  <c r="DZ191" i="1"/>
  <c r="BU162" i="1"/>
  <c r="BT162" i="1"/>
  <c r="BH180" i="1"/>
  <c r="BI180" i="1"/>
  <c r="EI228" i="1"/>
  <c r="EJ228" i="1"/>
  <c r="BF249" i="1"/>
  <c r="BE249" i="1"/>
  <c r="CG12" i="1"/>
  <c r="CF12" i="1"/>
  <c r="EG31" i="1"/>
  <c r="EF31" i="1"/>
  <c r="EC52" i="1"/>
  <c r="ED52" i="1"/>
  <c r="DZ69" i="1"/>
  <c r="EA69" i="1"/>
  <c r="CD97" i="1"/>
  <c r="CC97" i="1"/>
  <c r="EJ90" i="1"/>
  <c r="EI90" i="1"/>
  <c r="ER101" i="1"/>
  <c r="ES101" i="1"/>
  <c r="CF115" i="1"/>
  <c r="CG115" i="1"/>
  <c r="DX139" i="1"/>
  <c r="DW139" i="1"/>
  <c r="CD155" i="1"/>
  <c r="CC155" i="1"/>
  <c r="ED191" i="1"/>
  <c r="EC191" i="1"/>
  <c r="EJ185" i="1"/>
  <c r="EI185" i="1"/>
  <c r="EP188" i="1"/>
  <c r="EO188" i="1"/>
  <c r="DX212" i="1"/>
  <c r="DW212" i="1"/>
  <c r="BK220" i="1"/>
  <c r="BL220" i="1"/>
  <c r="EY213" i="1"/>
  <c r="EX213" i="1"/>
  <c r="EP227" i="1"/>
  <c r="EO227" i="1"/>
  <c r="EJ246" i="1"/>
  <c r="EI246" i="1"/>
  <c r="BW237" i="1"/>
  <c r="BX237" i="1"/>
  <c r="EL264" i="1"/>
  <c r="EM264" i="1"/>
  <c r="EG258" i="1"/>
  <c r="EF258" i="1"/>
  <c r="CA200" i="1"/>
  <c r="BZ200" i="1"/>
  <c r="EP263" i="1"/>
  <c r="EO263" i="1"/>
  <c r="EV169" i="1"/>
  <c r="EU169" i="1"/>
  <c r="ES232" i="1"/>
  <c r="ER232" i="1"/>
  <c r="BE55" i="1"/>
  <c r="BF55" i="1"/>
  <c r="EJ13" i="1"/>
  <c r="EI13" i="1"/>
  <c r="CA44" i="1"/>
  <c r="BZ44" i="1"/>
  <c r="EL36" i="1"/>
  <c r="EM36" i="1"/>
  <c r="BT56" i="1"/>
  <c r="BU56" i="1"/>
  <c r="CG86" i="1"/>
  <c r="CF86" i="1"/>
  <c r="BL106" i="1"/>
  <c r="BK106" i="1"/>
  <c r="BN121" i="1"/>
  <c r="BO121" i="1"/>
  <c r="BU136" i="1"/>
  <c r="BT136" i="1"/>
  <c r="BL169" i="1"/>
  <c r="BK169" i="1"/>
  <c r="ES167" i="1"/>
  <c r="ER167" i="1"/>
  <c r="EA199" i="1"/>
  <c r="DZ199" i="1"/>
  <c r="BH204" i="1"/>
  <c r="BI204" i="1"/>
  <c r="EA217" i="1"/>
  <c r="DZ217" i="1"/>
  <c r="EY228" i="1"/>
  <c r="EX228" i="1"/>
  <c r="BQ260" i="1"/>
  <c r="BR260" i="1"/>
  <c r="EG231" i="1"/>
  <c r="EF231" i="1"/>
  <c r="BW250" i="1"/>
  <c r="BX250" i="1"/>
  <c r="BF241" i="1"/>
  <c r="BE241" i="1"/>
  <c r="DX252" i="1"/>
  <c r="DW252" i="1"/>
  <c r="EG265" i="1"/>
  <c r="EF265" i="1"/>
  <c r="BR4" i="1"/>
  <c r="BQ4" i="1"/>
  <c r="BI52" i="1"/>
  <c r="BH52" i="1"/>
  <c r="ED67" i="1"/>
  <c r="EC67" i="1"/>
  <c r="DX182" i="1"/>
  <c r="DW182" i="1"/>
  <c r="CG238" i="1"/>
  <c r="CF238" i="1"/>
  <c r="BH254" i="1"/>
  <c r="BI254" i="1"/>
  <c r="BQ227" i="1"/>
  <c r="BR227" i="1"/>
  <c r="CG29" i="1"/>
  <c r="CF29" i="1"/>
  <c r="BX156" i="1"/>
  <c r="BW156" i="1"/>
  <c r="CA238" i="1"/>
  <c r="BZ238" i="1"/>
  <c r="EA35" i="1"/>
  <c r="DZ35" i="1"/>
  <c r="BL6" i="1"/>
  <c r="BK6" i="1"/>
  <c r="BF34" i="1"/>
  <c r="BE34" i="1"/>
  <c r="EP24" i="1"/>
  <c r="EO24" i="1"/>
  <c r="CD21" i="1"/>
  <c r="CC21" i="1"/>
  <c r="EG29" i="1"/>
  <c r="EF29" i="1"/>
  <c r="EM50" i="1"/>
  <c r="EL50" i="1"/>
  <c r="DZ86" i="1"/>
  <c r="EA86" i="1"/>
  <c r="DX77" i="1"/>
  <c r="DW77" i="1"/>
  <c r="BF97" i="1"/>
  <c r="BE97" i="1"/>
  <c r="EP102" i="1"/>
  <c r="EO102" i="1"/>
  <c r="BU148" i="1"/>
  <c r="BT148" i="1"/>
  <c r="EV119" i="1"/>
  <c r="EU119" i="1"/>
  <c r="BI125" i="1"/>
  <c r="BH125" i="1"/>
  <c r="EA150" i="1"/>
  <c r="DZ150" i="1"/>
  <c r="ES155" i="1"/>
  <c r="ER155" i="1"/>
  <c r="EV160" i="1"/>
  <c r="EU160" i="1"/>
  <c r="EJ162" i="1"/>
  <c r="EI162" i="1"/>
  <c r="EV180" i="1"/>
  <c r="EU180" i="1"/>
  <c r="DW176" i="1"/>
  <c r="DX176" i="1"/>
  <c r="BQ204" i="1"/>
  <c r="BR204" i="1"/>
  <c r="EM238" i="1"/>
  <c r="EL238" i="1"/>
  <c r="BR253" i="1"/>
  <c r="BQ253" i="1"/>
  <c r="CA240" i="1"/>
  <c r="BZ240" i="1"/>
  <c r="EO270" i="1"/>
  <c r="EP270" i="1"/>
  <c r="EY266" i="1"/>
  <c r="EX266" i="1"/>
  <c r="ES42" i="1"/>
  <c r="ER42" i="1"/>
  <c r="CF108" i="1"/>
  <c r="CG108" i="1"/>
  <c r="ED218" i="1"/>
  <c r="EC218" i="1"/>
  <c r="EA160" i="1"/>
  <c r="DZ160" i="1"/>
  <c r="EA219" i="1"/>
  <c r="DZ219" i="1"/>
  <c r="BZ54" i="1"/>
  <c r="CA54" i="1"/>
  <c r="CA52" i="1"/>
  <c r="BZ52" i="1"/>
  <c r="EC68" i="1"/>
  <c r="ED68" i="1"/>
  <c r="EF88" i="1"/>
  <c r="EG88" i="1"/>
  <c r="EO97" i="1"/>
  <c r="EP97" i="1"/>
  <c r="BZ95" i="1"/>
  <c r="CA95" i="1"/>
  <c r="CG111" i="1"/>
  <c r="CF111" i="1"/>
  <c r="BR116" i="1"/>
  <c r="BQ116" i="1"/>
  <c r="BK147" i="1"/>
  <c r="BL147" i="1"/>
  <c r="CD181" i="1"/>
  <c r="CC181" i="1"/>
  <c r="EJ167" i="1"/>
  <c r="EI167" i="1"/>
  <c r="EJ186" i="1"/>
  <c r="EI186" i="1"/>
  <c r="BT207" i="1"/>
  <c r="BU207" i="1"/>
  <c r="EM204" i="1"/>
  <c r="EL204" i="1"/>
  <c r="EG229" i="1"/>
  <c r="EF229" i="1"/>
  <c r="EY46" i="1"/>
  <c r="EX46" i="1"/>
  <c r="CD59" i="1"/>
  <c r="CC59" i="1"/>
  <c r="CD136" i="1"/>
  <c r="CC136" i="1"/>
  <c r="BL125" i="1"/>
  <c r="BK125" i="1"/>
  <c r="DW156" i="1"/>
  <c r="DX156" i="1"/>
  <c r="BU54" i="1"/>
  <c r="BT54" i="1"/>
  <c r="BE113" i="1"/>
  <c r="BF113" i="1"/>
  <c r="CC2" i="1"/>
  <c r="AS2" i="1" s="1"/>
  <c r="BC2" i="1" s="1"/>
  <c r="CD2" i="1"/>
  <c r="BX34" i="1"/>
  <c r="BW34" i="1"/>
  <c r="CG44" i="1"/>
  <c r="CF44" i="1"/>
  <c r="CC85" i="1"/>
  <c r="CD85" i="1"/>
  <c r="EG50" i="1"/>
  <c r="EF50" i="1"/>
  <c r="CD80" i="1"/>
  <c r="CC80" i="1"/>
  <c r="BH108" i="1"/>
  <c r="BI108" i="1"/>
  <c r="DX76" i="1"/>
  <c r="DW76" i="1"/>
  <c r="CA72" i="1"/>
  <c r="BZ72" i="1"/>
  <c r="EO109" i="1"/>
  <c r="EP109" i="1"/>
  <c r="ER104" i="1"/>
  <c r="ES104" i="1"/>
  <c r="EL90" i="1"/>
  <c r="EM90" i="1"/>
  <c r="EI107" i="1"/>
  <c r="EJ107" i="1"/>
  <c r="CG122" i="1"/>
  <c r="CF122" i="1"/>
  <c r="EL128" i="1"/>
  <c r="EM128" i="1"/>
  <c r="EU156" i="1"/>
  <c r="EV156" i="1"/>
  <c r="EJ155" i="1"/>
  <c r="EI155" i="1"/>
  <c r="BX158" i="1"/>
  <c r="BW158" i="1"/>
  <c r="BH163" i="1"/>
  <c r="BI163" i="1"/>
  <c r="ED190" i="1"/>
  <c r="EC190" i="1"/>
  <c r="BF205" i="1"/>
  <c r="BE205" i="1"/>
  <c r="EP219" i="1"/>
  <c r="EO219" i="1"/>
  <c r="CF237" i="1"/>
  <c r="CG237" i="1"/>
  <c r="BF255" i="1"/>
  <c r="BE255" i="1"/>
  <c r="BL270" i="1"/>
  <c r="BK270" i="1"/>
  <c r="ER23" i="1"/>
  <c r="ES23" i="1"/>
  <c r="EU88" i="1"/>
  <c r="EV88" i="1"/>
  <c r="EA73" i="1"/>
  <c r="DZ73" i="1"/>
  <c r="EA111" i="1"/>
  <c r="DZ111" i="1"/>
  <c r="EJ115" i="1"/>
  <c r="EI115" i="1"/>
  <c r="EO174" i="1"/>
  <c r="EP174" i="1"/>
  <c r="EJ172" i="1"/>
  <c r="EI172" i="1"/>
  <c r="DX195" i="1"/>
  <c r="DW195" i="1"/>
  <c r="ES5" i="1"/>
  <c r="ER5" i="1"/>
  <c r="BO207" i="1"/>
  <c r="BN207" i="1"/>
  <c r="CA233" i="1"/>
  <c r="BZ233" i="1"/>
  <c r="BZ6" i="1"/>
  <c r="CA6" i="1"/>
  <c r="BE52" i="1"/>
  <c r="BF52" i="1"/>
  <c r="DX81" i="1"/>
  <c r="DW81" i="1"/>
  <c r="EI156" i="1"/>
  <c r="EJ156" i="1"/>
  <c r="EC199" i="1"/>
  <c r="ED199" i="1"/>
  <c r="BO233" i="1"/>
  <c r="BN233" i="1"/>
  <c r="EU267" i="1"/>
  <c r="EV267" i="1"/>
  <c r="EV147" i="1"/>
  <c r="EU147" i="1"/>
  <c r="EJ266" i="1"/>
  <c r="EI266" i="1"/>
  <c r="BK87" i="1"/>
  <c r="BL87" i="1"/>
  <c r="BR246" i="1"/>
  <c r="BQ246" i="1"/>
  <c r="EA22" i="1"/>
  <c r="DZ22" i="1"/>
  <c r="EC80" i="1"/>
  <c r="ED80" i="1"/>
  <c r="BX135" i="1"/>
  <c r="BW135" i="1"/>
  <c r="BO197" i="1"/>
  <c r="BN197" i="1"/>
  <c r="CG260" i="1"/>
  <c r="CF260" i="1"/>
  <c r="EX258" i="1"/>
  <c r="EY258" i="1"/>
  <c r="EF162" i="1"/>
  <c r="EG162" i="1"/>
  <c r="CA102" i="1"/>
  <c r="BZ102" i="1"/>
  <c r="EG154" i="1"/>
  <c r="EF154" i="1"/>
  <c r="BT165" i="1"/>
  <c r="BU165" i="1"/>
  <c r="EC193" i="1"/>
  <c r="ED193" i="1"/>
  <c r="EG219" i="1"/>
  <c r="EF219" i="1"/>
  <c r="ED226" i="1"/>
  <c r="EC226" i="1"/>
  <c r="CG119" i="1"/>
  <c r="CF119" i="1"/>
  <c r="BO223" i="1"/>
  <c r="BN223" i="1"/>
  <c r="CG99" i="1"/>
  <c r="CF99" i="1"/>
  <c r="EG136" i="1"/>
  <c r="EF136" i="1"/>
  <c r="EO77" i="1"/>
  <c r="EP77" i="1"/>
  <c r="EV217" i="1"/>
  <c r="EU217" i="1"/>
  <c r="BF9" i="1"/>
  <c r="BE9" i="1"/>
  <c r="BL271" i="1"/>
  <c r="BK271" i="1"/>
  <c r="CG163" i="1"/>
  <c r="CF163" i="1"/>
  <c r="EM231" i="1"/>
  <c r="EL231" i="1"/>
  <c r="BI54" i="1"/>
  <c r="BH54" i="1"/>
  <c r="EU138" i="1"/>
  <c r="EV138" i="1"/>
  <c r="EP147" i="1"/>
  <c r="EO147" i="1"/>
  <c r="EM110" i="1"/>
  <c r="EL110" i="1"/>
  <c r="EP184" i="1"/>
  <c r="EO184" i="1"/>
  <c r="DX19" i="1"/>
  <c r="DW19" i="1"/>
  <c r="DX115" i="1"/>
  <c r="DW115" i="1"/>
  <c r="EY185" i="1"/>
  <c r="EX185" i="1"/>
  <c r="BQ199" i="1"/>
  <c r="BR199" i="1"/>
  <c r="BO221" i="1"/>
  <c r="BN221" i="1"/>
  <c r="DZ243" i="1"/>
  <c r="EA243" i="1"/>
  <c r="EA21" i="1"/>
  <c r="DZ21" i="1"/>
  <c r="CG178" i="1"/>
  <c r="CF178" i="1"/>
  <c r="BL198" i="1"/>
  <c r="BK198" i="1"/>
  <c r="EM24" i="1"/>
  <c r="EL24" i="1"/>
  <c r="BR237" i="1"/>
  <c r="BQ237" i="1"/>
  <c r="DZ3" i="1"/>
  <c r="EA3" i="1"/>
  <c r="ES192" i="1"/>
  <c r="ER192" i="1"/>
  <c r="CG215" i="1"/>
  <c r="CF215" i="1"/>
  <c r="EA30" i="1"/>
  <c r="DZ30" i="1"/>
  <c r="EA103" i="1"/>
  <c r="DZ103" i="1"/>
  <c r="BX192" i="1"/>
  <c r="BW192" i="1"/>
  <c r="EM253" i="1"/>
  <c r="EL253" i="1"/>
  <c r="BU270" i="1"/>
  <c r="BT270" i="1"/>
  <c r="BX148" i="1"/>
  <c r="BW148" i="1"/>
  <c r="EM208" i="1"/>
  <c r="EL208" i="1"/>
  <c r="EA29" i="1"/>
  <c r="DZ29" i="1"/>
  <c r="EP86" i="1"/>
  <c r="EO86" i="1"/>
  <c r="CA64" i="1"/>
  <c r="BZ64" i="1"/>
  <c r="EM271" i="1"/>
  <c r="EL271" i="1"/>
  <c r="BW82" i="1"/>
  <c r="BX82" i="1"/>
  <c r="BX191" i="1"/>
  <c r="BW191" i="1"/>
  <c r="CG259" i="1"/>
  <c r="CF259" i="1"/>
  <c r="DX145" i="1"/>
  <c r="DW145" i="1"/>
  <c r="ED49" i="1"/>
  <c r="EC49" i="1"/>
  <c r="EC205" i="1"/>
  <c r="ED205" i="1"/>
  <c r="BI174" i="1"/>
  <c r="BH174" i="1"/>
  <c r="ES46" i="1"/>
  <c r="ER46" i="1"/>
  <c r="EP218" i="1"/>
  <c r="EO218" i="1"/>
  <c r="BX178" i="1"/>
  <c r="BW178" i="1"/>
  <c r="BT108" i="1"/>
  <c r="BU108" i="1"/>
  <c r="DX178" i="1"/>
  <c r="DW178" i="1"/>
  <c r="EM179" i="1"/>
  <c r="EL179" i="1"/>
  <c r="BX264" i="1"/>
  <c r="BW264" i="1"/>
  <c r="BT7" i="1"/>
  <c r="BU7" i="1"/>
  <c r="BF149" i="1"/>
  <c r="BE149" i="1"/>
  <c r="DX264" i="1"/>
  <c r="DW264" i="1"/>
  <c r="ES154" i="1"/>
  <c r="ER154" i="1"/>
  <c r="BU23" i="1"/>
  <c r="BT23" i="1"/>
  <c r="BH97" i="1"/>
  <c r="BI97" i="1"/>
  <c r="CA267" i="1"/>
  <c r="BZ267" i="1"/>
  <c r="EA236" i="1"/>
  <c r="DZ236" i="1"/>
  <c r="BU152" i="1"/>
  <c r="BT152" i="1"/>
  <c r="EU193" i="1"/>
  <c r="EV193" i="1"/>
  <c r="EJ176" i="1"/>
  <c r="EI176" i="1"/>
  <c r="BF229" i="1"/>
  <c r="BE229" i="1"/>
  <c r="ER84" i="1"/>
  <c r="ES84" i="1"/>
  <c r="EV32" i="1"/>
  <c r="EU32" i="1"/>
  <c r="EJ236" i="1"/>
  <c r="EI236" i="1"/>
  <c r="BR174" i="1"/>
  <c r="BQ174" i="1"/>
  <c r="CG208" i="1"/>
  <c r="CF208" i="1"/>
  <c r="CA229" i="1"/>
  <c r="BZ229" i="1"/>
  <c r="ED234" i="1"/>
  <c r="EC234" i="1"/>
  <c r="EP38" i="1"/>
  <c r="EO38" i="1"/>
  <c r="BH259" i="1"/>
  <c r="BI259" i="1"/>
  <c r="BL192" i="1"/>
  <c r="BK192" i="1"/>
  <c r="BI193" i="1"/>
  <c r="BH193" i="1"/>
  <c r="BL72" i="1"/>
  <c r="BK72" i="1"/>
  <c r="EM236" i="1"/>
  <c r="EL236" i="1"/>
  <c r="BR86" i="1"/>
  <c r="BQ86" i="1"/>
  <c r="BH83" i="1"/>
  <c r="BI83" i="1"/>
  <c r="CG38" i="1"/>
  <c r="CF38" i="1"/>
  <c r="BL80" i="1"/>
  <c r="BK80" i="1"/>
  <c r="EJ65" i="1"/>
  <c r="EI65" i="1"/>
  <c r="EY34" i="1"/>
  <c r="EX34" i="1"/>
  <c r="EU24" i="1"/>
  <c r="EV24" i="1"/>
  <c r="BR108" i="1"/>
  <c r="BQ108" i="1"/>
  <c r="CA146" i="1"/>
  <c r="BZ146" i="1"/>
  <c r="BR160" i="1"/>
  <c r="BQ160" i="1"/>
  <c r="EV153" i="1"/>
  <c r="EU153" i="1"/>
  <c r="CD191" i="1"/>
  <c r="CC191" i="1"/>
  <c r="EJ212" i="1"/>
  <c r="EI212" i="1"/>
  <c r="BX227" i="1"/>
  <c r="BW227" i="1"/>
  <c r="EU257" i="1"/>
  <c r="EV257" i="1"/>
  <c r="BW238" i="1"/>
  <c r="BX238" i="1"/>
  <c r="DX20" i="1"/>
  <c r="DW20" i="1"/>
  <c r="EO82" i="1"/>
  <c r="EP82" i="1"/>
  <c r="BL98" i="1"/>
  <c r="BK98" i="1"/>
  <c r="EI154" i="1"/>
  <c r="EJ154" i="1"/>
  <c r="EO35" i="1"/>
  <c r="EP35" i="1"/>
  <c r="BR46" i="1"/>
  <c r="BQ46" i="1"/>
  <c r="ED54" i="1"/>
  <c r="EC54" i="1"/>
  <c r="EJ37" i="1"/>
  <c r="EI37" i="1"/>
  <c r="BX74" i="1"/>
  <c r="BW74" i="1"/>
  <c r="CA89" i="1"/>
  <c r="BZ89" i="1"/>
  <c r="BF109" i="1"/>
  <c r="BE109" i="1"/>
  <c r="EG106" i="1"/>
  <c r="EF106" i="1"/>
  <c r="BT137" i="1"/>
  <c r="BU137" i="1"/>
  <c r="EL133" i="1"/>
  <c r="EM133" i="1"/>
  <c r="EY182" i="1"/>
  <c r="EX182" i="1"/>
  <c r="DW193" i="1"/>
  <c r="DX193" i="1"/>
  <c r="EY198" i="1"/>
  <c r="EX198" i="1"/>
  <c r="CA212" i="1"/>
  <c r="BZ212" i="1"/>
  <c r="EI200" i="1"/>
  <c r="EJ200" i="1"/>
  <c r="EM221" i="1"/>
  <c r="EL221" i="1"/>
  <c r="ER230" i="1"/>
  <c r="ES230" i="1"/>
  <c r="BI225" i="1"/>
  <c r="BH225" i="1"/>
  <c r="CA251" i="1"/>
  <c r="BZ251" i="1"/>
  <c r="BE256" i="1"/>
  <c r="BF256" i="1"/>
  <c r="BU44" i="1"/>
  <c r="BT44" i="1"/>
  <c r="DX203" i="1"/>
  <c r="DW203" i="1"/>
  <c r="CA29" i="1"/>
  <c r="BZ29" i="1"/>
  <c r="BZ123" i="1"/>
  <c r="CA123" i="1"/>
  <c r="BX130" i="1"/>
  <c r="BW130" i="1"/>
  <c r="EJ218" i="1"/>
  <c r="EI218" i="1"/>
  <c r="DX23" i="1"/>
  <c r="DW23" i="1"/>
  <c r="CG6" i="1"/>
  <c r="CF6" i="1"/>
  <c r="EF13" i="1"/>
  <c r="EG13" i="1"/>
  <c r="EP56" i="1"/>
  <c r="EO56" i="1"/>
  <c r="BO89" i="1"/>
  <c r="BN89" i="1"/>
  <c r="BU106" i="1"/>
  <c r="BT106" i="1"/>
  <c r="BX103" i="1"/>
  <c r="BW103" i="1"/>
  <c r="EL95" i="1"/>
  <c r="EM95" i="1"/>
  <c r="EO119" i="1"/>
  <c r="EP119" i="1"/>
  <c r="EG113" i="1"/>
  <c r="EF113" i="1"/>
  <c r="BX159" i="1"/>
  <c r="BW159" i="1"/>
  <c r="CF165" i="1"/>
  <c r="CG165" i="1"/>
  <c r="EM182" i="1"/>
  <c r="EL182" i="1"/>
  <c r="BI219" i="1"/>
  <c r="BH219" i="1"/>
  <c r="CG216" i="1"/>
  <c r="CF216" i="1"/>
  <c r="BU230" i="1"/>
  <c r="BT230" i="1"/>
  <c r="BO251" i="1"/>
  <c r="BN251" i="1"/>
  <c r="ES266" i="1"/>
  <c r="ER266" i="1"/>
  <c r="BQ269" i="1"/>
  <c r="BR269" i="1"/>
  <c r="EF59" i="1"/>
  <c r="EG59" i="1"/>
  <c r="ER88" i="1"/>
  <c r="ES88" i="1"/>
  <c r="EJ87" i="1"/>
  <c r="EI87" i="1"/>
  <c r="EM212" i="1"/>
  <c r="EL212" i="1"/>
  <c r="BR9" i="1"/>
  <c r="BQ9" i="1"/>
  <c r="BF80" i="1"/>
  <c r="BE80" i="1"/>
  <c r="DX214" i="1"/>
  <c r="DW214" i="1"/>
  <c r="BU29" i="1"/>
  <c r="BT29" i="1"/>
  <c r="ED108" i="1"/>
  <c r="EC108" i="1"/>
  <c r="BI114" i="1"/>
  <c r="BH114" i="1"/>
  <c r="BN199" i="1"/>
  <c r="BO199" i="1"/>
  <c r="EA34" i="1"/>
  <c r="DZ34" i="1"/>
  <c r="CG17" i="1"/>
  <c r="CF17" i="1"/>
  <c r="CD18" i="1"/>
  <c r="CC18" i="1"/>
  <c r="BL39" i="1"/>
  <c r="BK39" i="1"/>
  <c r="BU50" i="1"/>
  <c r="BT50" i="1"/>
  <c r="EO98" i="1"/>
  <c r="EP98" i="1"/>
  <c r="BQ71" i="1"/>
  <c r="BR71" i="1"/>
  <c r="EF101" i="1"/>
  <c r="EG101" i="1"/>
  <c r="EV113" i="1"/>
  <c r="EU113" i="1"/>
  <c r="BO128" i="1"/>
  <c r="BN128" i="1"/>
  <c r="BT135" i="1"/>
  <c r="BU135" i="1"/>
  <c r="EP145" i="1"/>
  <c r="EO145" i="1"/>
  <c r="BQ165" i="1"/>
  <c r="BR165" i="1"/>
  <c r="ER160" i="1"/>
  <c r="ES160" i="1"/>
  <c r="CD166" i="1"/>
  <c r="CC166" i="1"/>
  <c r="EP192" i="1"/>
  <c r="EO192" i="1"/>
  <c r="CA179" i="1"/>
  <c r="BZ179" i="1"/>
  <c r="EF184" i="1"/>
  <c r="EG184" i="1"/>
  <c r="BU206" i="1"/>
  <c r="BT206" i="1"/>
  <c r="EX217" i="1"/>
  <c r="EY217" i="1"/>
  <c r="CA223" i="1"/>
  <c r="BZ223" i="1"/>
  <c r="BR226" i="1"/>
  <c r="BQ226" i="1"/>
  <c r="EO238" i="1"/>
  <c r="EP238" i="1"/>
  <c r="ER251" i="1"/>
  <c r="ES251" i="1"/>
  <c r="CC256" i="1"/>
  <c r="CD256" i="1"/>
  <c r="EU268" i="1"/>
  <c r="EV268" i="1"/>
  <c r="EO68" i="1"/>
  <c r="EP68" i="1"/>
  <c r="DX104" i="1"/>
  <c r="DW104" i="1"/>
  <c r="EV260" i="1"/>
  <c r="EU260" i="1"/>
  <c r="BF228" i="1"/>
  <c r="BE228" i="1"/>
  <c r="EV134" i="1"/>
  <c r="EU134" i="1"/>
  <c r="DW200" i="1"/>
  <c r="DX200" i="1"/>
  <c r="EO9" i="1"/>
  <c r="EP9" i="1"/>
  <c r="BF3" i="1"/>
  <c r="BE3" i="1"/>
  <c r="CD34" i="1"/>
  <c r="CC34" i="1"/>
  <c r="BE31" i="1"/>
  <c r="BF31" i="1"/>
  <c r="BX39" i="1"/>
  <c r="BW39" i="1"/>
  <c r="BO48" i="1"/>
  <c r="BN48" i="1"/>
  <c r="EG80" i="1"/>
  <c r="EF80" i="1"/>
  <c r="EJ80" i="1"/>
  <c r="EI80" i="1"/>
  <c r="EM104" i="1"/>
  <c r="EL104" i="1"/>
  <c r="CG136" i="1"/>
  <c r="CF136" i="1"/>
  <c r="BR122" i="1"/>
  <c r="BQ122" i="1"/>
  <c r="EC154" i="1"/>
  <c r="ED154" i="1"/>
  <c r="EY150" i="1"/>
  <c r="EX150" i="1"/>
  <c r="BL155" i="1"/>
  <c r="BK155" i="1"/>
  <c r="BF184" i="1"/>
  <c r="BE184" i="1"/>
  <c r="BH198" i="1"/>
  <c r="BI198" i="1"/>
  <c r="BX218" i="1"/>
  <c r="BW218" i="1"/>
  <c r="CG212" i="1"/>
  <c r="CF212" i="1"/>
  <c r="ED237" i="1"/>
  <c r="EC237" i="1"/>
  <c r="DW237" i="1"/>
  <c r="DX237" i="1"/>
  <c r="EC238" i="1"/>
  <c r="ED238" i="1"/>
  <c r="EY249" i="1"/>
  <c r="EX249" i="1"/>
  <c r="BT267" i="1"/>
  <c r="BU267" i="1"/>
  <c r="BI71" i="1"/>
  <c r="BH71" i="1"/>
  <c r="DX218" i="1"/>
  <c r="DW218" i="1"/>
  <c r="BW116" i="1"/>
  <c r="BX116" i="1"/>
  <c r="BT182" i="1"/>
  <c r="BU182" i="1"/>
  <c r="EY194" i="1"/>
  <c r="EX194" i="1"/>
  <c r="EF250" i="1"/>
  <c r="EG250" i="1"/>
  <c r="EG75" i="1"/>
  <c r="EF75" i="1"/>
  <c r="EC35" i="1"/>
  <c r="ED35" i="1"/>
  <c r="CA3" i="1"/>
  <c r="BZ3" i="1"/>
  <c r="BR3" i="1"/>
  <c r="BQ3" i="1"/>
  <c r="BU26" i="1"/>
  <c r="BT26" i="1"/>
  <c r="EY50" i="1"/>
  <c r="EX50" i="1"/>
  <c r="EY98" i="1"/>
  <c r="EX98" i="1"/>
  <c r="BX119" i="1"/>
  <c r="BW119" i="1"/>
  <c r="EX142" i="1"/>
  <c r="EY142" i="1"/>
  <c r="BU160" i="1"/>
  <c r="BT160" i="1"/>
  <c r="BT192" i="1"/>
  <c r="BU192" i="1"/>
  <c r="EJ180" i="1"/>
  <c r="EI180" i="1"/>
  <c r="BE175" i="1"/>
  <c r="BF175" i="1"/>
  <c r="BL211" i="1"/>
  <c r="BK211" i="1"/>
  <c r="ES219" i="1"/>
  <c r="ER219" i="1"/>
  <c r="ES237" i="1"/>
  <c r="ER237" i="1"/>
  <c r="EV231" i="1"/>
  <c r="EU231" i="1"/>
  <c r="BL266" i="1"/>
  <c r="BK266" i="1"/>
  <c r="ES34" i="1"/>
  <c r="ER34" i="1"/>
  <c r="BO17" i="1"/>
  <c r="BN17" i="1"/>
  <c r="BK108" i="1"/>
  <c r="BL108" i="1"/>
  <c r="CG106" i="1"/>
  <c r="CF106" i="1"/>
  <c r="EF124" i="1"/>
  <c r="EG124" i="1"/>
  <c r="EV143" i="1"/>
  <c r="EU143" i="1"/>
  <c r="BX208" i="1"/>
  <c r="BW208" i="1"/>
  <c r="EF114" i="1"/>
  <c r="EG114" i="1"/>
  <c r="EV250" i="1"/>
  <c r="EU250" i="1"/>
  <c r="BW56" i="1"/>
  <c r="BX56" i="1"/>
  <c r="DX174" i="1"/>
  <c r="DW174" i="1"/>
  <c r="CD223" i="1"/>
  <c r="CC223" i="1"/>
  <c r="BX35" i="1"/>
  <c r="BW35" i="1"/>
  <c r="DX4" i="1"/>
  <c r="DW4" i="1"/>
  <c r="BN44" i="1"/>
  <c r="BO44" i="1"/>
  <c r="EP50" i="1"/>
  <c r="EO50" i="1"/>
  <c r="DX43" i="1"/>
  <c r="DW43" i="1"/>
  <c r="BI86" i="1"/>
  <c r="BH86" i="1"/>
  <c r="BH74" i="1"/>
  <c r="BI74" i="1"/>
  <c r="ED94" i="1"/>
  <c r="EC94" i="1"/>
  <c r="EG142" i="1"/>
  <c r="EF142" i="1"/>
  <c r="ES164" i="1"/>
  <c r="ER164" i="1"/>
  <c r="EY169" i="1"/>
  <c r="EX169" i="1"/>
  <c r="EP191" i="1"/>
  <c r="EO191" i="1"/>
  <c r="BX182" i="1"/>
  <c r="BW182" i="1"/>
  <c r="BZ208" i="1"/>
  <c r="CA208" i="1"/>
  <c r="BF221" i="1"/>
  <c r="BE221" i="1"/>
  <c r="EF257" i="1"/>
  <c r="EG257" i="1"/>
  <c r="EI252" i="1"/>
  <c r="EJ252" i="1"/>
  <c r="CA26" i="1"/>
  <c r="BZ26" i="1"/>
  <c r="BO24" i="1"/>
  <c r="BN24" i="1"/>
  <c r="EO165" i="1"/>
  <c r="EP165" i="1"/>
  <c r="BW108" i="1"/>
  <c r="BX108" i="1"/>
  <c r="BW5" i="1"/>
  <c r="BX5" i="1"/>
  <c r="EG34" i="1"/>
  <c r="EF34" i="1"/>
  <c r="BL29" i="1"/>
  <c r="BK29" i="1"/>
  <c r="BU48" i="1"/>
  <c r="BT48" i="1"/>
  <c r="EC77" i="1"/>
  <c r="ED77" i="1"/>
  <c r="EV97" i="1"/>
  <c r="EU97" i="1"/>
  <c r="BR72" i="1"/>
  <c r="BQ72" i="1"/>
  <c r="EV101" i="1"/>
  <c r="EU101" i="1"/>
  <c r="EL130" i="1"/>
  <c r="EM130" i="1"/>
  <c r="EU161" i="1"/>
  <c r="EV161" i="1"/>
  <c r="BI166" i="1"/>
  <c r="BH166" i="1"/>
  <c r="BZ184" i="1"/>
  <c r="CA184" i="1"/>
  <c r="EV176" i="1"/>
  <c r="EU176" i="1"/>
  <c r="BT198" i="1"/>
  <c r="BU198" i="1"/>
  <c r="DX217" i="1"/>
  <c r="DW217" i="1"/>
  <c r="ED260" i="1"/>
  <c r="EC260" i="1"/>
  <c r="BX236" i="1"/>
  <c r="BW236" i="1"/>
  <c r="ED39" i="1"/>
  <c r="EC39" i="1"/>
  <c r="DX106" i="1"/>
  <c r="DW106" i="1"/>
  <c r="CD130" i="1"/>
  <c r="CC130" i="1"/>
  <c r="CC187" i="1"/>
  <c r="CD187" i="1"/>
  <c r="CG250" i="1"/>
  <c r="CF250" i="1"/>
  <c r="EG2" i="1"/>
  <c r="EF2" i="1"/>
  <c r="CS2" i="1" s="1"/>
  <c r="DO2" i="1" s="1"/>
  <c r="EG55" i="1"/>
  <c r="EF55" i="1"/>
  <c r="BN86" i="1"/>
  <c r="BO86" i="1"/>
  <c r="ER181" i="1"/>
  <c r="ES181" i="1"/>
  <c r="EY236" i="1"/>
  <c r="EX236" i="1"/>
  <c r="BF59" i="1"/>
  <c r="BE59" i="1"/>
  <c r="DW73" i="1"/>
  <c r="DX73" i="1"/>
  <c r="BL99" i="1"/>
  <c r="BK99" i="1"/>
  <c r="DZ155" i="1"/>
  <c r="EA155" i="1"/>
  <c r="CF228" i="1"/>
  <c r="CG228" i="1"/>
  <c r="BW240" i="1"/>
  <c r="BX240" i="1"/>
  <c r="CC6" i="1"/>
  <c r="CD6" i="1"/>
  <c r="DX7" i="1"/>
  <c r="DW7" i="1"/>
  <c r="DZ7" i="1"/>
  <c r="EA7" i="1"/>
  <c r="CA37" i="1"/>
  <c r="BZ37" i="1"/>
  <c r="BO62" i="1"/>
  <c r="BN62" i="1"/>
  <c r="CA108" i="1"/>
  <c r="BZ108" i="1"/>
  <c r="BK123" i="1"/>
  <c r="BL123" i="1"/>
  <c r="BX154" i="1"/>
  <c r="BW154" i="1"/>
  <c r="EA159" i="1"/>
  <c r="DZ159" i="1"/>
  <c r="EG161" i="1"/>
  <c r="EF161" i="1"/>
  <c r="BU179" i="1"/>
  <c r="BT179" i="1"/>
  <c r="EG208" i="1"/>
  <c r="EF208" i="1"/>
  <c r="EY223" i="1"/>
  <c r="EX223" i="1"/>
  <c r="EV241" i="1"/>
  <c r="EU241" i="1"/>
  <c r="CD264" i="1"/>
  <c r="CC264" i="1"/>
  <c r="EI19" i="1"/>
  <c r="EJ19" i="1"/>
  <c r="EA129" i="1"/>
  <c r="DZ129" i="1"/>
  <c r="EJ152" i="1"/>
  <c r="EI152" i="1"/>
  <c r="DW220" i="1"/>
  <c r="DX220" i="1"/>
  <c r="BR23" i="1"/>
  <c r="BQ23" i="1"/>
  <c r="EM73" i="1"/>
  <c r="EL73" i="1"/>
  <c r="EI127" i="1"/>
  <c r="EJ127" i="1"/>
  <c r="CA221" i="1"/>
  <c r="BZ221" i="1"/>
  <c r="EF21" i="1"/>
  <c r="EG21" i="1"/>
  <c r="DW33" i="1"/>
  <c r="DX33" i="1"/>
  <c r="BX270" i="1"/>
  <c r="BW270" i="1"/>
  <c r="ER6" i="1"/>
  <c r="ES6" i="1"/>
  <c r="EM21" i="1"/>
  <c r="EL21" i="1"/>
  <c r="BI12" i="1"/>
  <c r="BH12" i="1"/>
  <c r="CA57" i="1"/>
  <c r="BZ57" i="1"/>
  <c r="DX11" i="1"/>
  <c r="DW11" i="1"/>
  <c r="EC243" i="1"/>
  <c r="ED243" i="1"/>
  <c r="EV111" i="1"/>
  <c r="EU111" i="1"/>
  <c r="EI26" i="1"/>
  <c r="EJ26" i="1"/>
  <c r="EC93" i="1"/>
  <c r="ED93" i="1"/>
  <c r="DX268" i="1"/>
  <c r="DW268" i="1"/>
  <c r="BU15" i="1"/>
  <c r="BT15" i="1"/>
  <c r="BK17" i="1"/>
  <c r="BL17" i="1"/>
  <c r="DZ218" i="1"/>
  <c r="EA218" i="1"/>
  <c r="CC230" i="1"/>
  <c r="CD230" i="1"/>
  <c r="EV259" i="1"/>
  <c r="EU259" i="1"/>
  <c r="BF124" i="1"/>
  <c r="BE124" i="1"/>
  <c r="EI83" i="1"/>
  <c r="EJ83" i="1"/>
  <c r="BX155" i="1"/>
  <c r="BW155" i="1"/>
  <c r="BL218" i="1"/>
  <c r="BK218" i="1"/>
  <c r="EG171" i="1"/>
  <c r="EF171" i="1"/>
  <c r="EI18" i="1"/>
  <c r="EJ18" i="1"/>
  <c r="EA232" i="1"/>
  <c r="DZ232" i="1"/>
  <c r="BR218" i="1"/>
  <c r="BQ218" i="1"/>
  <c r="EM159" i="1"/>
  <c r="EL159" i="1"/>
  <c r="BF270" i="1"/>
  <c r="BE270" i="1"/>
  <c r="DZ271" i="1"/>
  <c r="EA271" i="1"/>
  <c r="CG187" i="1"/>
  <c r="CF187" i="1"/>
  <c r="EY271" i="1"/>
  <c r="EX271" i="1"/>
  <c r="ED270" i="1"/>
  <c r="EC270" i="1"/>
  <c r="EP29" i="1"/>
  <c r="EO29" i="1"/>
  <c r="BX31" i="1"/>
  <c r="BW31" i="1"/>
  <c r="DX39" i="1"/>
  <c r="DW39" i="1"/>
  <c r="BI230" i="1"/>
  <c r="BH230" i="1"/>
  <c r="EO3" i="1"/>
  <c r="EP3" i="1"/>
  <c r="ES16" i="1"/>
  <c r="ER16" i="1"/>
  <c r="ES220" i="1"/>
  <c r="ER220" i="1"/>
  <c r="BZ253" i="1"/>
  <c r="CA253" i="1"/>
  <c r="ES75" i="1"/>
  <c r="ER75" i="1"/>
  <c r="BI42" i="1"/>
  <c r="BH42" i="1"/>
  <c r="BI190" i="1"/>
  <c r="BH190" i="1"/>
  <c r="EF237" i="1"/>
  <c r="EG237" i="1"/>
  <c r="ED262" i="1"/>
  <c r="EC262" i="1"/>
  <c r="BI98" i="1"/>
  <c r="BH98" i="1"/>
  <c r="BU122" i="1"/>
  <c r="BT122" i="1"/>
  <c r="BT245" i="1"/>
  <c r="BU245" i="1"/>
  <c r="DX32" i="1"/>
  <c r="DW32" i="1"/>
  <c r="EJ96" i="1"/>
  <c r="EI96" i="1"/>
  <c r="EV202" i="1"/>
  <c r="EU202" i="1"/>
  <c r="BF13" i="1"/>
  <c r="BE13" i="1"/>
  <c r="EY15" i="1"/>
  <c r="EX15" i="1"/>
  <c r="BO80" i="1"/>
  <c r="BN80" i="1"/>
  <c r="BE71" i="1"/>
  <c r="BF71" i="1"/>
  <c r="EO136" i="1"/>
  <c r="EP136" i="1"/>
  <c r="CG156" i="1"/>
  <c r="CF156" i="1"/>
  <c r="BF259" i="1"/>
  <c r="BE259" i="1"/>
  <c r="BE68" i="1"/>
  <c r="BF68" i="1"/>
  <c r="BI223" i="1"/>
  <c r="BH223" i="1"/>
  <c r="BK116" i="1"/>
  <c r="BL116" i="1"/>
  <c r="DX93" i="1"/>
  <c r="DW93" i="1"/>
  <c r="EO166" i="1"/>
  <c r="EP166" i="1"/>
  <c r="EP267" i="1"/>
  <c r="EO267" i="1"/>
  <c r="EA242" i="1"/>
  <c r="DZ242" i="1"/>
  <c r="BO211" i="1"/>
  <c r="BN211" i="1"/>
  <c r="EJ257" i="1"/>
  <c r="EI257" i="1"/>
  <c r="BF136" i="1"/>
  <c r="BE136" i="1"/>
  <c r="BI84" i="1"/>
  <c r="BH84" i="1"/>
  <c r="BO240" i="1"/>
  <c r="BN240" i="1"/>
  <c r="EM80" i="1"/>
  <c r="EL80" i="1"/>
  <c r="BF24" i="1"/>
  <c r="BE24" i="1"/>
  <c r="CA165" i="1"/>
  <c r="BZ165" i="1"/>
  <c r="CA193" i="1"/>
  <c r="BZ193" i="1"/>
  <c r="BU233" i="1"/>
  <c r="BT233" i="1"/>
  <c r="DX259" i="1"/>
  <c r="DW259" i="1"/>
  <c r="BH23" i="1"/>
  <c r="BI23" i="1"/>
  <c r="BN32" i="1"/>
  <c r="BO32" i="1"/>
  <c r="EA80" i="1"/>
  <c r="DZ80" i="1"/>
  <c r="EM250" i="1"/>
  <c r="EL250" i="1"/>
  <c r="BX15" i="1"/>
  <c r="BW15" i="1"/>
  <c r="BN164" i="1"/>
  <c r="BO164" i="1"/>
  <c r="DX206" i="1"/>
  <c r="DW206" i="1"/>
  <c r="BN259" i="1"/>
  <c r="BO259" i="1"/>
  <c r="EC31" i="1"/>
  <c r="ED31" i="1"/>
  <c r="ED89" i="1"/>
  <c r="EC89" i="1"/>
  <c r="BO55" i="1"/>
  <c r="BN55" i="1"/>
  <c r="BH29" i="1"/>
  <c r="BI29" i="1"/>
  <c r="BI37" i="1"/>
  <c r="BH37" i="1"/>
  <c r="BX85" i="1"/>
  <c r="BW85" i="1"/>
  <c r="BL78" i="1"/>
  <c r="BK78" i="1"/>
  <c r="EO121" i="1"/>
  <c r="EP121" i="1"/>
  <c r="BF164" i="1"/>
  <c r="BE164" i="1"/>
  <c r="EU228" i="1"/>
  <c r="EV228" i="1"/>
  <c r="ES267" i="1"/>
  <c r="ER267" i="1"/>
  <c r="CD265" i="1"/>
  <c r="CC265" i="1"/>
  <c r="EX243" i="1"/>
  <c r="EY243" i="1"/>
  <c r="EG185" i="1"/>
  <c r="EF185" i="1"/>
  <c r="CG54" i="1"/>
  <c r="CF54" i="1"/>
  <c r="CD29" i="1"/>
  <c r="CC29" i="1"/>
  <c r="BN6" i="1"/>
  <c r="BO6" i="1"/>
  <c r="EV6" i="1"/>
  <c r="EU6" i="1"/>
  <c r="BO5" i="1"/>
  <c r="BN5" i="1"/>
  <c r="CC44" i="1"/>
  <c r="CD44" i="1"/>
  <c r="DX31" i="1"/>
  <c r="DW31" i="1"/>
  <c r="CD49" i="1"/>
  <c r="CC49" i="1"/>
  <c r="EA109" i="1"/>
  <c r="DZ109" i="1"/>
  <c r="BU121" i="1"/>
  <c r="BT121" i="1"/>
  <c r="BI94" i="1"/>
  <c r="BH94" i="1"/>
  <c r="DX137" i="1"/>
  <c r="DW137" i="1"/>
  <c r="EG156" i="1"/>
  <c r="EF156" i="1"/>
  <c r="EY160" i="1"/>
  <c r="EX160" i="1"/>
  <c r="DX185" i="1"/>
  <c r="DW185" i="1"/>
  <c r="BO218" i="1"/>
  <c r="BN218" i="1"/>
  <c r="EP211" i="1"/>
  <c r="EO211" i="1"/>
  <c r="DZ229" i="1"/>
  <c r="EA229" i="1"/>
  <c r="EG260" i="1"/>
  <c r="EF260" i="1"/>
  <c r="CC236" i="1"/>
  <c r="CD236" i="1"/>
  <c r="BX267" i="1"/>
  <c r="BW267" i="1"/>
  <c r="BH38" i="1"/>
  <c r="BI38" i="1"/>
  <c r="BF263" i="1"/>
  <c r="BE263" i="1"/>
  <c r="CA85" i="1"/>
  <c r="BZ85" i="1"/>
  <c r="DX133" i="1"/>
  <c r="DW133" i="1"/>
  <c r="EU127" i="1"/>
  <c r="EV127" i="1"/>
  <c r="EO6" i="1"/>
  <c r="EP6" i="1"/>
  <c r="ES35" i="1"/>
  <c r="ER35" i="1"/>
  <c r="EY29" i="1"/>
  <c r="EX29" i="1"/>
  <c r="EG43" i="1"/>
  <c r="EF43" i="1"/>
  <c r="EG52" i="1"/>
  <c r="EF52" i="1"/>
  <c r="ES54" i="1"/>
  <c r="ER54" i="1"/>
  <c r="EY75" i="1"/>
  <c r="EX75" i="1"/>
  <c r="BX78" i="1"/>
  <c r="BW78" i="1"/>
  <c r="EC121" i="1"/>
  <c r="ED121" i="1"/>
  <c r="BL119" i="1"/>
  <c r="BK119" i="1"/>
  <c r="EM115" i="1"/>
  <c r="EL115" i="1"/>
  <c r="BE129" i="1"/>
  <c r="BF129" i="1"/>
  <c r="BX122" i="1"/>
  <c r="BW122" i="1"/>
  <c r="BO146" i="1"/>
  <c r="BN146" i="1"/>
  <c r="EL178" i="1"/>
  <c r="EM178" i="1"/>
  <c r="EG192" i="1"/>
  <c r="EF192" i="1"/>
  <c r="EU184" i="1"/>
  <c r="EV184" i="1"/>
  <c r="BR207" i="1"/>
  <c r="BQ207" i="1"/>
  <c r="EJ249" i="1"/>
  <c r="EI249" i="1"/>
  <c r="CD258" i="1"/>
  <c r="CC258" i="1"/>
  <c r="EV3" i="1"/>
  <c r="EU3" i="1"/>
  <c r="DW204" i="1"/>
  <c r="DX204" i="1"/>
  <c r="DW228" i="1"/>
  <c r="DX228" i="1"/>
  <c r="ES270" i="1"/>
  <c r="ER270" i="1"/>
  <c r="EJ89" i="1"/>
  <c r="EI89" i="1"/>
  <c r="EV189" i="1"/>
  <c r="EU189" i="1"/>
  <c r="BU86" i="1"/>
  <c r="BT86" i="1"/>
  <c r="BF243" i="1"/>
  <c r="BE243" i="1"/>
  <c r="EM2" i="1"/>
  <c r="EL2" i="1"/>
  <c r="DB2" i="1" s="1"/>
  <c r="DR2" i="1" s="1"/>
  <c r="EM20" i="1"/>
  <c r="EL20" i="1"/>
  <c r="BT30" i="1"/>
  <c r="BU30" i="1"/>
  <c r="EL28" i="1"/>
  <c r="EM28" i="1"/>
  <c r="DW48" i="1"/>
  <c r="DX48" i="1"/>
  <c r="ER56" i="1"/>
  <c r="ES56" i="1"/>
  <c r="CG80" i="1"/>
  <c r="CF80" i="1"/>
  <c r="BZ68" i="1"/>
  <c r="CA68" i="1"/>
  <c r="EG62" i="1"/>
  <c r="EF62" i="1"/>
  <c r="BI89" i="1"/>
  <c r="BH89" i="1"/>
  <c r="BO109" i="1"/>
  <c r="BN109" i="1"/>
  <c r="BR113" i="1"/>
  <c r="BQ113" i="1"/>
  <c r="BR135" i="1"/>
  <c r="BQ135" i="1"/>
  <c r="BF207" i="1"/>
  <c r="BE207" i="1"/>
  <c r="CG204" i="1"/>
  <c r="CF204" i="1"/>
  <c r="BU210" i="1"/>
  <c r="BT210" i="1"/>
  <c r="BO237" i="1"/>
  <c r="BN237" i="1"/>
  <c r="BX233" i="1"/>
  <c r="BW233" i="1"/>
  <c r="EA253" i="1"/>
  <c r="DZ253" i="1"/>
  <c r="BT264" i="1"/>
  <c r="BU264" i="1"/>
  <c r="EJ101" i="1"/>
  <c r="EI101" i="1"/>
  <c r="DX153" i="1"/>
  <c r="DW153" i="1"/>
  <c r="BO13" i="1"/>
  <c r="BN13" i="1"/>
  <c r="ES223" i="1"/>
  <c r="ER223" i="1"/>
  <c r="BT5" i="1"/>
  <c r="BU5" i="1"/>
  <c r="EG16" i="1"/>
  <c r="EF16" i="1"/>
  <c r="EU12" i="1"/>
  <c r="EV12" i="1"/>
  <c r="CF56" i="1"/>
  <c r="CG56" i="1"/>
  <c r="CA59" i="1"/>
  <c r="BZ59" i="1"/>
  <c r="EV78" i="1"/>
  <c r="EU78" i="1"/>
  <c r="EA76" i="1"/>
  <c r="DZ76" i="1"/>
  <c r="EC98" i="1"/>
  <c r="ED98" i="1"/>
  <c r="DZ72" i="1"/>
  <c r="EA72" i="1"/>
  <c r="CC129" i="1"/>
  <c r="CD129" i="1"/>
  <c r="CA125" i="1"/>
  <c r="BZ125" i="1"/>
  <c r="EF160" i="1"/>
  <c r="EG160" i="1"/>
  <c r="EI161" i="1"/>
  <c r="EJ161" i="1"/>
  <c r="CF190" i="1"/>
  <c r="CG190" i="1"/>
  <c r="EI251" i="1"/>
  <c r="EJ251" i="1"/>
  <c r="EM270" i="1"/>
  <c r="EL270" i="1"/>
  <c r="BX266" i="1"/>
  <c r="BW266" i="1"/>
  <c r="BL231" i="1"/>
  <c r="BK231" i="1"/>
  <c r="BX262" i="1"/>
  <c r="BW262" i="1"/>
  <c r="CD228" i="1"/>
  <c r="CC228" i="1"/>
  <c r="EX135" i="1"/>
  <c r="EY135" i="1"/>
  <c r="BO166" i="1"/>
  <c r="BN166" i="1"/>
  <c r="EA238" i="1"/>
  <c r="DZ238" i="1"/>
  <c r="ER30" i="1"/>
  <c r="ES30" i="1"/>
  <c r="EI44" i="1"/>
  <c r="EJ44" i="1"/>
  <c r="CC50" i="1"/>
  <c r="CD50" i="1"/>
  <c r="EV39" i="1"/>
  <c r="EU39" i="1"/>
  <c r="BK67" i="1"/>
  <c r="BL67" i="1"/>
  <c r="CD108" i="1"/>
  <c r="CC108" i="1"/>
  <c r="EF109" i="1"/>
  <c r="EG109" i="1"/>
  <c r="BI120" i="1"/>
  <c r="BH120" i="1"/>
  <c r="DX126" i="1"/>
  <c r="DW126" i="1"/>
  <c r="EM149" i="1"/>
  <c r="EL149" i="1"/>
  <c r="EJ139" i="1"/>
  <c r="EI139" i="1"/>
  <c r="EY155" i="1"/>
  <c r="EX155" i="1"/>
  <c r="EG182" i="1"/>
  <c r="EF182" i="1"/>
  <c r="EJ175" i="1"/>
  <c r="EI175" i="1"/>
  <c r="DX208" i="1"/>
  <c r="DW208" i="1"/>
  <c r="BZ260" i="1"/>
  <c r="CA260" i="1"/>
  <c r="BI234" i="1"/>
  <c r="BH234" i="1"/>
  <c r="EG242" i="1"/>
  <c r="EF242" i="1"/>
  <c r="EA252" i="1"/>
  <c r="DZ252" i="1"/>
  <c r="EA270" i="1"/>
  <c r="DZ270" i="1"/>
  <c r="CA50" i="1"/>
  <c r="BZ50" i="1"/>
  <c r="BN219" i="1"/>
  <c r="BO219" i="1"/>
  <c r="BO263" i="1"/>
  <c r="BN263" i="1"/>
  <c r="DX16" i="1"/>
  <c r="DW16" i="1"/>
  <c r="EY67" i="1"/>
  <c r="EX67" i="1"/>
  <c r="CA93" i="1"/>
  <c r="BZ93" i="1"/>
  <c r="EJ147" i="1"/>
  <c r="EI147" i="1"/>
  <c r="CC3" i="1"/>
  <c r="CD3" i="1"/>
  <c r="BO93" i="1"/>
  <c r="BN93" i="1"/>
  <c r="BZ150" i="1"/>
  <c r="CA150" i="1"/>
  <c r="EC253" i="1"/>
  <c r="ED253" i="1"/>
  <c r="BX3" i="1"/>
  <c r="BW3" i="1"/>
  <c r="BL9" i="1"/>
  <c r="BK9" i="1"/>
  <c r="EP41" i="1"/>
  <c r="EO41" i="1"/>
  <c r="BL60" i="1"/>
  <c r="BK60" i="1"/>
  <c r="BR75" i="1"/>
  <c r="BQ75" i="1"/>
  <c r="EX69" i="1"/>
  <c r="EY69" i="1"/>
  <c r="EY76" i="1"/>
  <c r="EX76" i="1"/>
  <c r="EM98" i="1"/>
  <c r="EL98" i="1"/>
  <c r="BF121" i="1"/>
  <c r="BE121" i="1"/>
  <c r="CA148" i="1"/>
  <c r="BZ148" i="1"/>
  <c r="DX136" i="1"/>
  <c r="DW136" i="1"/>
  <c r="BH140" i="1"/>
  <c r="BI140" i="1"/>
  <c r="EA189" i="1"/>
  <c r="DZ189" i="1"/>
  <c r="BQ175" i="1"/>
  <c r="BR175" i="1"/>
  <c r="EV221" i="1"/>
  <c r="EU221" i="1"/>
  <c r="BX226" i="1"/>
  <c r="BW226" i="1"/>
  <c r="EP236" i="1"/>
  <c r="EO236" i="1"/>
  <c r="DX250" i="1"/>
  <c r="DW250" i="1"/>
  <c r="BU247" i="1"/>
  <c r="BT247" i="1"/>
  <c r="EM252" i="1"/>
  <c r="EL252" i="1"/>
  <c r="EY19" i="1"/>
  <c r="EX19" i="1"/>
  <c r="ED111" i="1"/>
  <c r="EC111" i="1"/>
  <c r="DZ74" i="1"/>
  <c r="EA74" i="1"/>
  <c r="BU24" i="1"/>
  <c r="BT24" i="1"/>
  <c r="EM55" i="1"/>
  <c r="EL55" i="1"/>
  <c r="BX28" i="1"/>
  <c r="BW28" i="1"/>
  <c r="BQ89" i="1"/>
  <c r="BR89" i="1"/>
  <c r="BX104" i="1"/>
  <c r="BW104" i="1"/>
  <c r="DZ90" i="1"/>
  <c r="EA90" i="1"/>
  <c r="DX107" i="1"/>
  <c r="DW107" i="1"/>
  <c r="DZ128" i="1"/>
  <c r="EA128" i="1"/>
  <c r="ED142" i="1"/>
  <c r="EC142" i="1"/>
  <c r="EX171" i="1"/>
  <c r="EY171" i="1"/>
  <c r="ER174" i="1"/>
  <c r="ES174" i="1"/>
  <c r="CG189" i="1"/>
  <c r="CF189" i="1"/>
  <c r="BI179" i="1"/>
  <c r="BH179" i="1"/>
  <c r="BX189" i="1"/>
  <c r="BW189" i="1"/>
  <c r="EM197" i="1"/>
  <c r="EL197" i="1"/>
  <c r="ES208" i="1"/>
  <c r="ER208" i="1"/>
  <c r="BH206" i="1"/>
  <c r="BI206" i="1"/>
  <c r="EG243" i="1"/>
  <c r="EF243" i="1"/>
  <c r="BI264" i="1"/>
  <c r="BH264" i="1"/>
  <c r="BO34" i="1"/>
  <c r="BN34" i="1"/>
  <c r="ES55" i="1"/>
  <c r="ER55" i="1"/>
  <c r="BQ81" i="1"/>
  <c r="BR81" i="1"/>
  <c r="DZ171" i="1"/>
  <c r="EA171" i="1"/>
  <c r="EX163" i="1"/>
  <c r="EY163" i="1"/>
  <c r="BO198" i="1"/>
  <c r="BN198" i="1"/>
  <c r="EJ5" i="1"/>
  <c r="EI5" i="1"/>
  <c r="EI245" i="1"/>
  <c r="EJ245" i="1"/>
  <c r="BI3" i="1"/>
  <c r="BH3" i="1"/>
  <c r="U3" i="1" s="1"/>
  <c r="AU3" i="1" s="1"/>
  <c r="EC82" i="1"/>
  <c r="ED82" i="1"/>
  <c r="BL212" i="1"/>
  <c r="BK212" i="1"/>
  <c r="ED230" i="1"/>
  <c r="EC230" i="1"/>
  <c r="BR249" i="1"/>
  <c r="BQ249" i="1"/>
  <c r="EV34" i="1"/>
  <c r="EU34" i="1"/>
  <c r="EU55" i="1"/>
  <c r="EV55" i="1"/>
  <c r="EM85" i="1"/>
  <c r="EL85" i="1"/>
  <c r="BT67" i="1"/>
  <c r="BU67" i="1"/>
  <c r="EX81" i="1"/>
  <c r="EY81" i="1"/>
  <c r="BL109" i="1"/>
  <c r="BK109" i="1"/>
  <c r="EJ119" i="1"/>
  <c r="EI119" i="1"/>
  <c r="EA94" i="1"/>
  <c r="DZ94" i="1"/>
  <c r="BF119" i="1"/>
  <c r="BE119" i="1"/>
  <c r="BT117" i="1"/>
  <c r="BU117" i="1"/>
  <c r="ED128" i="1"/>
  <c r="EC128" i="1"/>
  <c r="EV129" i="1"/>
  <c r="EU129" i="1"/>
  <c r="DX143" i="1"/>
  <c r="DW143" i="1"/>
  <c r="BF158" i="1"/>
  <c r="BE158" i="1"/>
  <c r="ED182" i="1"/>
  <c r="EC182" i="1"/>
  <c r="EJ179" i="1"/>
  <c r="EI179" i="1"/>
  <c r="EA179" i="1"/>
  <c r="DZ179" i="1"/>
  <c r="EF197" i="1"/>
  <c r="EG197" i="1"/>
  <c r="BK217" i="1"/>
  <c r="BL217" i="1"/>
  <c r="DX260" i="1"/>
  <c r="DW260" i="1"/>
  <c r="DX224" i="1"/>
  <c r="DW224" i="1"/>
  <c r="EU233" i="1"/>
  <c r="EV233" i="1"/>
  <c r="ER257" i="1"/>
  <c r="ES257" i="1"/>
  <c r="BU258" i="1"/>
  <c r="BT258" i="1"/>
  <c r="EC268" i="1"/>
  <c r="ED268" i="1"/>
  <c r="BI265" i="1"/>
  <c r="BH265" i="1"/>
  <c r="DW35" i="1"/>
  <c r="DX35" i="1"/>
  <c r="EO46" i="1"/>
  <c r="EP46" i="1"/>
  <c r="BQ85" i="1"/>
  <c r="BR85" i="1"/>
  <c r="BO75" i="1"/>
  <c r="BN75" i="1"/>
  <c r="BF148" i="1"/>
  <c r="BE148" i="1"/>
  <c r="DX134" i="1"/>
  <c r="DW134" i="1"/>
  <c r="BN160" i="1"/>
  <c r="BO160" i="1"/>
  <c r="BE179" i="1"/>
  <c r="BF179" i="1"/>
  <c r="ES190" i="1"/>
  <c r="ER190" i="1"/>
  <c r="ED25" i="1"/>
  <c r="EC25" i="1"/>
  <c r="EM163" i="1"/>
  <c r="EL163" i="1"/>
  <c r="CD237" i="1"/>
  <c r="CC237" i="1"/>
  <c r="BF23" i="1"/>
  <c r="BE23" i="1"/>
  <c r="EY123" i="1"/>
  <c r="EX123" i="1"/>
  <c r="BZ162" i="1"/>
  <c r="CA162" i="1"/>
  <c r="EP101" i="1"/>
  <c r="EO101" i="1"/>
  <c r="DX120" i="1"/>
  <c r="DW120" i="1"/>
  <c r="CD160" i="1"/>
  <c r="CC160" i="1"/>
  <c r="CG197" i="1"/>
  <c r="CF197" i="1"/>
  <c r="EV227" i="1"/>
  <c r="EU227" i="1"/>
  <c r="CG269" i="1"/>
  <c r="CF269" i="1"/>
  <c r="AT236" i="1" l="1"/>
  <c r="M236" i="1"/>
  <c r="R3" i="1"/>
  <c r="AT3" i="1" s="1"/>
  <c r="U2" i="1"/>
  <c r="AU2" i="1" s="1"/>
  <c r="R2" i="1"/>
  <c r="CY2" i="1"/>
  <c r="DQ2" i="1" s="1"/>
  <c r="AJ2" i="1"/>
  <c r="AZ2" i="1" s="1"/>
  <c r="X2" i="1"/>
  <c r="AV2" i="1" s="1"/>
  <c r="AT2" i="1" l="1"/>
  <c r="M2" i="1"/>
  <c r="M3" i="1"/>
</calcChain>
</file>

<file path=xl/sharedStrings.xml><?xml version="1.0" encoding="utf-8"?>
<sst xmlns="http://schemas.openxmlformats.org/spreadsheetml/2006/main" count="21095" uniqueCount="4705">
  <si>
    <t>DERDE DIVISIE B</t>
  </si>
  <si>
    <t>EINDSTAND</t>
  </si>
  <si>
    <t>RUSTSTAND</t>
  </si>
  <si>
    <t>DOELPUNTENMAKERS</t>
  </si>
  <si>
    <t>CONTROLE (spelers)</t>
  </si>
  <si>
    <t>L_CLEAN</t>
  </si>
  <si>
    <t>AANTAL_ITEMS</t>
  </si>
  <si>
    <t>ITEM1</t>
  </si>
  <si>
    <t>NAAM1</t>
  </si>
  <si>
    <t>STATUS1</t>
  </si>
  <si>
    <t>ITEM2</t>
  </si>
  <si>
    <t>NAAM2</t>
  </si>
  <si>
    <t>STATUS2</t>
  </si>
  <si>
    <t>ITEM3</t>
  </si>
  <si>
    <t>NAAM3</t>
  </si>
  <si>
    <t>STATUS3</t>
  </si>
  <si>
    <t>ITEM4</t>
  </si>
  <si>
    <t>NAAM4</t>
  </si>
  <si>
    <t>STATUS4</t>
  </si>
  <si>
    <t>ITEM5</t>
  </si>
  <si>
    <t>NAAM5</t>
  </si>
  <si>
    <t>STATUS5</t>
  </si>
  <si>
    <t>ITEM6</t>
  </si>
  <si>
    <t>NAAM6</t>
  </si>
  <si>
    <t>STATUS6</t>
  </si>
  <si>
    <t>ITEM7</t>
  </si>
  <si>
    <t>NAAM7</t>
  </si>
  <si>
    <t>STATUS7</t>
  </si>
  <si>
    <t>ITEM8</t>
  </si>
  <si>
    <t>NAAM8</t>
  </si>
  <si>
    <t>STATUS8</t>
  </si>
  <si>
    <t>ITEM9</t>
  </si>
  <si>
    <t>NAAM9</t>
  </si>
  <si>
    <t>STATUS9</t>
  </si>
  <si>
    <t>ITEM10</t>
  </si>
  <si>
    <t>NAAM10</t>
  </si>
  <si>
    <t>STATUS10</t>
  </si>
  <si>
    <t>ONBEKEND1</t>
  </si>
  <si>
    <t>ONBEKEND2</t>
  </si>
  <si>
    <t>ONBEKEND3</t>
  </si>
  <si>
    <t>ONBEKEND4</t>
  </si>
  <si>
    <t>ONBEKEND5</t>
  </si>
  <si>
    <t>ONBEKEND6</t>
  </si>
  <si>
    <t>ONBEKEND7</t>
  </si>
  <si>
    <t>ONBEKEND8</t>
  </si>
  <si>
    <t>ONBEKEND9</t>
  </si>
  <si>
    <t>ONBEKEND10</t>
  </si>
  <si>
    <t>SCORE1</t>
  </si>
  <si>
    <t>HS1</t>
  </si>
  <si>
    <t>AS1</t>
  </si>
  <si>
    <t>SCORE2</t>
  </si>
  <si>
    <t>HS2</t>
  </si>
  <si>
    <t>AS2</t>
  </si>
  <si>
    <t>SCORE3</t>
  </si>
  <si>
    <t>HS3</t>
  </si>
  <si>
    <t>AS3</t>
  </si>
  <si>
    <t>SCORE4</t>
  </si>
  <si>
    <t>HS4</t>
  </si>
  <si>
    <t>AS4</t>
  </si>
  <si>
    <t>SCORE5</t>
  </si>
  <si>
    <t>HS5</t>
  </si>
  <si>
    <t>AS5</t>
  </si>
  <si>
    <t>SCORE6</t>
  </si>
  <si>
    <t>HS6</t>
  </si>
  <si>
    <t>AS6</t>
  </si>
  <si>
    <t>SCORE7</t>
  </si>
  <si>
    <t>HS7</t>
  </si>
  <si>
    <t>AS7</t>
  </si>
  <si>
    <t>SCORE8</t>
  </si>
  <si>
    <t>HS8</t>
  </si>
  <si>
    <t>AS8</t>
  </si>
  <si>
    <t>SCORE9</t>
  </si>
  <si>
    <t>HS9</t>
  </si>
  <si>
    <t>AS9</t>
  </si>
  <si>
    <t>SCORE10</t>
  </si>
  <si>
    <t>HS10</t>
  </si>
  <si>
    <t>AS10</t>
  </si>
  <si>
    <t>ITEM11</t>
  </si>
  <si>
    <t>NAAM11</t>
  </si>
  <si>
    <t>STATUS11</t>
  </si>
  <si>
    <t>ITEM12</t>
  </si>
  <si>
    <t>NAAM12</t>
  </si>
  <si>
    <t>STATUS12</t>
  </si>
  <si>
    <t>ITEM13</t>
  </si>
  <si>
    <t>NAAM13</t>
  </si>
  <si>
    <t>STATUS13</t>
  </si>
  <si>
    <t>ITEM14</t>
  </si>
  <si>
    <t>NAAM14</t>
  </si>
  <si>
    <t>STATUS14</t>
  </si>
  <si>
    <t>ITEM15</t>
  </si>
  <si>
    <t>NAAM15</t>
  </si>
  <si>
    <t>STATUS15</t>
  </si>
  <si>
    <t>ITEM16</t>
  </si>
  <si>
    <t>NAAM16</t>
  </si>
  <si>
    <t>STATUS16</t>
  </si>
  <si>
    <t>ITEM17</t>
  </si>
  <si>
    <t>NAAM17</t>
  </si>
  <si>
    <t>STATUS17</t>
  </si>
  <si>
    <t>ITEM18</t>
  </si>
  <si>
    <t>NAAM18</t>
  </si>
  <si>
    <t>STATUS18</t>
  </si>
  <si>
    <t>ITEM19</t>
  </si>
  <si>
    <t>NAAM19</t>
  </si>
  <si>
    <t>STATUS19</t>
  </si>
  <si>
    <t>ITEM20</t>
  </si>
  <si>
    <t>NAAM20</t>
  </si>
  <si>
    <t>STATUS20</t>
  </si>
  <si>
    <t>ONBEKEND11</t>
  </si>
  <si>
    <t>ONBEKEND12</t>
  </si>
  <si>
    <t>ONBEKEND13</t>
  </si>
  <si>
    <t>ONBEKEND14</t>
  </si>
  <si>
    <t>ONBEKEND15</t>
  </si>
  <si>
    <t>ONBEKEND16</t>
  </si>
  <si>
    <t>ONBEKEND17</t>
  </si>
  <si>
    <t>ONBEKEND18</t>
  </si>
  <si>
    <t>ONBEKEND19</t>
  </si>
  <si>
    <t>ONBEKEND20</t>
  </si>
  <si>
    <t>SCORE11</t>
  </si>
  <si>
    <t>HS11</t>
  </si>
  <si>
    <t>AS11</t>
  </si>
  <si>
    <t>SCORE12</t>
  </si>
  <si>
    <t>HS12</t>
  </si>
  <si>
    <t>AS12</t>
  </si>
  <si>
    <t>SCORE13</t>
  </si>
  <si>
    <t>HS13</t>
  </si>
  <si>
    <t>AS13</t>
  </si>
  <si>
    <t>SCORE14</t>
  </si>
  <si>
    <t>HS14</t>
  </si>
  <si>
    <t>AS14</t>
  </si>
  <si>
    <t>SCORE15</t>
  </si>
  <si>
    <t>HS15</t>
  </si>
  <si>
    <t>AS15</t>
  </si>
  <si>
    <t>SCORE16</t>
  </si>
  <si>
    <t>HS16</t>
  </si>
  <si>
    <t>AS16</t>
  </si>
  <si>
    <t>SCORE17</t>
  </si>
  <si>
    <t>HS17</t>
  </si>
  <si>
    <t>AS17</t>
  </si>
  <si>
    <t>SCORE18</t>
  </si>
  <si>
    <t>HS18</t>
  </si>
  <si>
    <t>AS18</t>
  </si>
  <si>
    <t>SCORE19</t>
  </si>
  <si>
    <t>HS19</t>
  </si>
  <si>
    <t>AS19</t>
  </si>
  <si>
    <t>SCORE20</t>
  </si>
  <si>
    <t>HS20</t>
  </si>
  <si>
    <t>AS20</t>
  </si>
  <si>
    <t>-</t>
  </si>
  <si>
    <t>VIERDE DIVISIE C</t>
  </si>
  <si>
    <t>EERSTE KLASSE E</t>
  </si>
  <si>
    <t>Lindenheuvel-Heidebloem Combinatie</t>
  </si>
  <si>
    <t>VIERDE KLASSE A</t>
  </si>
  <si>
    <t>VIERDE KLASSE B</t>
  </si>
  <si>
    <t>VIERDE KLASSE C</t>
  </si>
  <si>
    <t>VIERDE KLASSE D</t>
  </si>
  <si>
    <t>VIERDE KLASSE F</t>
  </si>
  <si>
    <t>VIERDE KLASSE G</t>
  </si>
  <si>
    <t>VIJFDE KLASSE A</t>
  </si>
  <si>
    <t>VIJFDE KLASSE B</t>
  </si>
  <si>
    <t>VIJFDE KLASSE C</t>
  </si>
  <si>
    <t>VIJFDE KLASSE D</t>
  </si>
  <si>
    <t>VIJFDE KLASSE E</t>
  </si>
  <si>
    <t>BEKER</t>
  </si>
  <si>
    <t>KLASSE</t>
  </si>
  <si>
    <t>KIES DIVISIE/KLASSE</t>
  </si>
  <si>
    <t>Origineel</t>
  </si>
  <si>
    <t>Bereiknaam</t>
  </si>
  <si>
    <t>CLUB</t>
  </si>
  <si>
    <t>KIES HIER DE DIVISIE/KLASSE</t>
  </si>
  <si>
    <t>Baarlo</t>
  </si>
  <si>
    <t>DERDE_DIVISIE_B</t>
  </si>
  <si>
    <t>Achilles Veen</t>
  </si>
  <si>
    <t>Bekkerveld</t>
  </si>
  <si>
    <t>Alfa Sport</t>
  </si>
  <si>
    <t>Blerick</t>
  </si>
  <si>
    <t>Brevendia</t>
  </si>
  <si>
    <t>Bunde</t>
  </si>
  <si>
    <t>BMR</t>
  </si>
  <si>
    <t>FC Kerkrade-West</t>
  </si>
  <si>
    <t>Amstenrade</t>
  </si>
  <si>
    <t>Astrantia</t>
  </si>
  <si>
    <t>DBSV</t>
  </si>
  <si>
    <t>Abdissenbosch</t>
  </si>
  <si>
    <t>Belfeldia</t>
  </si>
  <si>
    <t>BEVO</t>
  </si>
  <si>
    <t>America</t>
  </si>
  <si>
    <t>VIERDE_DIVISIE_C</t>
  </si>
  <si>
    <t>Blauw Geel'38/JUMBO</t>
  </si>
  <si>
    <t>AWC</t>
  </si>
  <si>
    <t>Best Vooruit</t>
  </si>
  <si>
    <t>Bruheze</t>
  </si>
  <si>
    <t>DVO</t>
  </si>
  <si>
    <t>FC Gulpen</t>
  </si>
  <si>
    <t>Berg'28</t>
  </si>
  <si>
    <t>Laura Hopel Combinatie</t>
  </si>
  <si>
    <t>FC Geleen Zuid</t>
  </si>
  <si>
    <t>Constantia</t>
  </si>
  <si>
    <t>FC Bemelen</t>
  </si>
  <si>
    <t>Eikenderveld</t>
  </si>
  <si>
    <t>Centrum Boys</t>
  </si>
  <si>
    <t>Leunen</t>
  </si>
  <si>
    <t>EERSTE_KLASSE_E</t>
  </si>
  <si>
    <t>FC Lisse</t>
  </si>
  <si>
    <t>Baronie</t>
  </si>
  <si>
    <t>Bladella</t>
  </si>
  <si>
    <t>Caesar</t>
  </si>
  <si>
    <t>FCV-Venlo</t>
  </si>
  <si>
    <t>De Leeuw</t>
  </si>
  <si>
    <t>FC Hoensbroek</t>
  </si>
  <si>
    <t>Daalhof</t>
  </si>
  <si>
    <t>NEC-Heksenberg</t>
  </si>
  <si>
    <t>FC Roerdalen</t>
  </si>
  <si>
    <t>H.B.S.V.</t>
  </si>
  <si>
    <t>Kronenberg</t>
  </si>
  <si>
    <t>De Zwaluw</t>
  </si>
  <si>
    <t>KVC Oranje</t>
  </si>
  <si>
    <t>Geulsche Boys</t>
  </si>
  <si>
    <t>Conventus'03</t>
  </si>
  <si>
    <t>DES Swalmen</t>
  </si>
  <si>
    <t>Grashoek</t>
  </si>
  <si>
    <t>Merselo</t>
  </si>
  <si>
    <t>Gemert</t>
  </si>
  <si>
    <t>Dongen</t>
  </si>
  <si>
    <t>Boekel Sport</t>
  </si>
  <si>
    <t>Chevremont</t>
  </si>
  <si>
    <t>Hegelsom</t>
  </si>
  <si>
    <t>FC Landgraaf</t>
  </si>
  <si>
    <t>Geusselt Sport</t>
  </si>
  <si>
    <t>Geertruidse Boys</t>
  </si>
  <si>
    <t>RKHBS</t>
  </si>
  <si>
    <t>Horn</t>
  </si>
  <si>
    <t>Haelen</t>
  </si>
  <si>
    <t>Liessel</t>
  </si>
  <si>
    <t>DSV</t>
  </si>
  <si>
    <t>FC RIA</t>
  </si>
  <si>
    <t>DESM</t>
  </si>
  <si>
    <t>Koningslust</t>
  </si>
  <si>
    <t>RKDSO</t>
  </si>
  <si>
    <t>Goes</t>
  </si>
  <si>
    <t>EVV</t>
  </si>
  <si>
    <t>BSV Limburgia</t>
  </si>
  <si>
    <t>Eijsden</t>
  </si>
  <si>
    <t>Helden</t>
  </si>
  <si>
    <t>FC Maasgouw</t>
  </si>
  <si>
    <t>Haslou</t>
  </si>
  <si>
    <t>Keer</t>
  </si>
  <si>
    <t>Rood Groen LVC'01</t>
  </si>
  <si>
    <t>IVS</t>
  </si>
  <si>
    <t>Melderslo</t>
  </si>
  <si>
    <t>Excellent</t>
  </si>
  <si>
    <t>RKIVV</t>
  </si>
  <si>
    <t>Passart-VKC</t>
  </si>
  <si>
    <t>EMS</t>
  </si>
  <si>
    <t>Oostrum</t>
  </si>
  <si>
    <t>Groene Ster</t>
  </si>
  <si>
    <t>De Ster</t>
  </si>
  <si>
    <t>Merefeldia</t>
  </si>
  <si>
    <t>IVO</t>
  </si>
  <si>
    <t>Langeberg</t>
  </si>
  <si>
    <t>Heer</t>
  </si>
  <si>
    <t>SV Geuldal</t>
  </si>
  <si>
    <t>Linne</t>
  </si>
  <si>
    <t>MMC Weert</t>
  </si>
  <si>
    <t>Meterik</t>
  </si>
  <si>
    <t>Hapse Boys</t>
  </si>
  <si>
    <t>RKMVC</t>
  </si>
  <si>
    <t>Rimburg</t>
  </si>
  <si>
    <t>Eindse Boys</t>
  </si>
  <si>
    <t>MVC'19</t>
  </si>
  <si>
    <t>LRC</t>
  </si>
  <si>
    <t>De Valk</t>
  </si>
  <si>
    <t>Minor</t>
  </si>
  <si>
    <t>Lierop</t>
  </si>
  <si>
    <t>RKASV</t>
  </si>
  <si>
    <t>RKVVM</t>
  </si>
  <si>
    <t>SV Simpelveld</t>
  </si>
  <si>
    <t>Oranje Blauw'15</t>
  </si>
  <si>
    <t>Reuver</t>
  </si>
  <si>
    <t>Neerkandia</t>
  </si>
  <si>
    <t>Heijen</t>
  </si>
  <si>
    <t>RKSVB</t>
  </si>
  <si>
    <t>SV Brunssum</t>
  </si>
  <si>
    <t>Sanderbout</t>
  </si>
  <si>
    <t>MBC'13</t>
  </si>
  <si>
    <t>Olympia Boys</t>
  </si>
  <si>
    <t>Noordwijk</t>
  </si>
  <si>
    <t>MASV</t>
  </si>
  <si>
    <t>Deurne</t>
  </si>
  <si>
    <t>RVU</t>
  </si>
  <si>
    <t>RKSVN</t>
  </si>
  <si>
    <t>RKHSV</t>
  </si>
  <si>
    <t>SNC'14</t>
  </si>
  <si>
    <t>Sporting H.A.C.</t>
  </si>
  <si>
    <t>Neerbeek</t>
  </si>
  <si>
    <t>Roggel</t>
  </si>
  <si>
    <t>MSH Maasduinen</t>
  </si>
  <si>
    <t>Juliana Mill</t>
  </si>
  <si>
    <t>RKTSV</t>
  </si>
  <si>
    <t>De Dem</t>
  </si>
  <si>
    <t>Slekker Boys</t>
  </si>
  <si>
    <t>RKAVC</t>
  </si>
  <si>
    <t>RKMSV</t>
  </si>
  <si>
    <t>SVS</t>
  </si>
  <si>
    <t>Nuenen</t>
  </si>
  <si>
    <t>VIERDE_KLASSE_B</t>
  </si>
  <si>
    <t>RBC</t>
  </si>
  <si>
    <t>Mifano</t>
  </si>
  <si>
    <t>SHH</t>
  </si>
  <si>
    <t>RKUVC</t>
  </si>
  <si>
    <t>SV Hulsberg</t>
  </si>
  <si>
    <t>Voerendaal</t>
  </si>
  <si>
    <t>Roosteren</t>
  </si>
  <si>
    <t>SV Heythuysen</t>
  </si>
  <si>
    <t>SCG</t>
  </si>
  <si>
    <t>SVM</t>
  </si>
  <si>
    <t>St. Joost</t>
  </si>
  <si>
    <t>Sambeek</t>
  </si>
  <si>
    <t>Orion</t>
  </si>
  <si>
    <t>VIERDE_KLASSE_C</t>
  </si>
  <si>
    <t>Rijnvogels</t>
  </si>
  <si>
    <t>GSV'28</t>
  </si>
  <si>
    <t>Sparta'18</t>
  </si>
  <si>
    <t>PEC'20</t>
  </si>
  <si>
    <t>SVH'39</t>
  </si>
  <si>
    <t>Scharn</t>
  </si>
  <si>
    <t>Schimmert</t>
  </si>
  <si>
    <t>WDZ</t>
  </si>
  <si>
    <t>Sportclub Leeuwen</t>
  </si>
  <si>
    <t>TSC Irene</t>
  </si>
  <si>
    <t>SSS'18</t>
  </si>
  <si>
    <t>Schinveld</t>
  </si>
  <si>
    <t>Susterse Boys</t>
  </si>
  <si>
    <t>RKVB</t>
  </si>
  <si>
    <t>SJVV</t>
  </si>
  <si>
    <t>VV Schaesberg</t>
  </si>
  <si>
    <t>VIERDE_KLASSE_D</t>
  </si>
  <si>
    <t>Sportclub'25</t>
  </si>
  <si>
    <t>RKSVO</t>
  </si>
  <si>
    <t>Sittard</t>
  </si>
  <si>
    <t>Spaubeek</t>
  </si>
  <si>
    <t>Walram</t>
  </si>
  <si>
    <t>Weltania</t>
  </si>
  <si>
    <t>Urmondia</t>
  </si>
  <si>
    <t>VV Kessel</t>
  </si>
  <si>
    <t>SVOC'01</t>
  </si>
  <si>
    <t>Achates</t>
  </si>
  <si>
    <t>SVME</t>
  </si>
  <si>
    <t>Hellas</t>
  </si>
  <si>
    <t>Zwentibold</t>
  </si>
  <si>
    <t>SNA</t>
  </si>
  <si>
    <t>Holthees-Smakt</t>
  </si>
  <si>
    <t>VIERDE_KLASSE_F</t>
  </si>
  <si>
    <t>SteDoCo</t>
  </si>
  <si>
    <t>SV Laar</t>
  </si>
  <si>
    <t>Sportclub Susteren</t>
  </si>
  <si>
    <t>Sporting Heerlen</t>
  </si>
  <si>
    <t>UOW'02</t>
  </si>
  <si>
    <t>Sportclub Jekerdal</t>
  </si>
  <si>
    <t>Willem I</t>
  </si>
  <si>
    <t>Woander Forest</t>
  </si>
  <si>
    <t>Ysselsteyn</t>
  </si>
  <si>
    <t>VIOS'38</t>
  </si>
  <si>
    <t>Vijlen</t>
  </si>
  <si>
    <t>Wijnandia</t>
  </si>
  <si>
    <t>SVC 2000</t>
  </si>
  <si>
    <t>Vitesse'08</t>
  </si>
  <si>
    <t>Wittenhorst</t>
  </si>
  <si>
    <t>VIERDE_KLASSE_G</t>
  </si>
  <si>
    <t>SV Meerssen</t>
  </si>
  <si>
    <t>SV Valkenswaard</t>
  </si>
  <si>
    <t>SV Someren</t>
  </si>
  <si>
    <t>Venlosche Boys</t>
  </si>
  <si>
    <t>SV United</t>
  </si>
  <si>
    <t>Vaesrade</t>
  </si>
  <si>
    <t>VIJFDE_KLASSE_A</t>
  </si>
  <si>
    <t>TOGB</t>
  </si>
  <si>
    <t>SV Venray</t>
  </si>
  <si>
    <t>Veritas</t>
  </si>
  <si>
    <t>VV Maastricht West</t>
  </si>
  <si>
    <t>VIJFDE_KLASSE_B</t>
  </si>
  <si>
    <t>VIJFDE_KLASSE_C</t>
  </si>
  <si>
    <t>UNA</t>
  </si>
  <si>
    <t>VIJFDE_KLASSE_D</t>
  </si>
  <si>
    <t>VVSB</t>
  </si>
  <si>
    <t>VIJFDE_KLASSE_E</t>
  </si>
  <si>
    <t>Zwaluwen</t>
  </si>
  <si>
    <t>SPELER</t>
  </si>
  <si>
    <t>Bas Beugels</t>
  </si>
  <si>
    <t>Marc Everartz</t>
  </si>
  <si>
    <t>Koen Veugen</t>
  </si>
  <si>
    <t>Kenneth Schenk</t>
  </si>
  <si>
    <t>Jesper Senden</t>
  </si>
  <si>
    <t>Bjarne Pellegrom</t>
  </si>
  <si>
    <t>Stan Cloodt</t>
  </si>
  <si>
    <t>Dimitri Orbons</t>
  </si>
  <si>
    <t>Raf Copier</t>
  </si>
  <si>
    <t>Jop Engelen</t>
  </si>
  <si>
    <t>Lars Colen</t>
  </si>
  <si>
    <t>Sander Beuken</t>
  </si>
  <si>
    <t>Demsey Dowson</t>
  </si>
  <si>
    <t>Thom Vluggen</t>
  </si>
  <si>
    <t>Stijn Dippel</t>
  </si>
  <si>
    <t>Sebastian Musz</t>
  </si>
  <si>
    <t>Kane Arets</t>
  </si>
  <si>
    <t>Noah Ngodizi</t>
  </si>
  <si>
    <t>Mitch Senden</t>
  </si>
  <si>
    <t>Malik Nuhu</t>
  </si>
  <si>
    <t>Marijn Snippe</t>
  </si>
  <si>
    <t>Jermaine Wiermans</t>
  </si>
  <si>
    <t>Mika Bielders</t>
  </si>
  <si>
    <t>Miklo van den Boogaart</t>
  </si>
  <si>
    <t>Bjorn Broeders</t>
  </si>
  <si>
    <t>Jurrandy van Dijk</t>
  </si>
  <si>
    <t>Noah van Dijk</t>
  </si>
  <si>
    <t>Mike Nuchelmans</t>
  </si>
  <si>
    <t>Dylan Hofland</t>
  </si>
  <si>
    <t>Jordy Mayunga</t>
  </si>
  <si>
    <t>Jelle Raets</t>
  </si>
  <si>
    <t>Marcel Velraeds</t>
  </si>
  <si>
    <t>Denzel Walden</t>
  </si>
  <si>
    <t>Renzo Raemaekers</t>
  </si>
  <si>
    <t>Dani Mierop</t>
  </si>
  <si>
    <t>Koen Janssen</t>
  </si>
  <si>
    <t>Ruben Rokx</t>
  </si>
  <si>
    <t>Diyar Acik</t>
  </si>
  <si>
    <t>Younes Bizdi</t>
  </si>
  <si>
    <t>Bart Dings</t>
  </si>
  <si>
    <t>Bob Dukers</t>
  </si>
  <si>
    <t>Mike Haberland</t>
  </si>
  <si>
    <t>Timo Haberland</t>
  </si>
  <si>
    <t>Davy Hodselmans</t>
  </si>
  <si>
    <t>Frank Kamps</t>
  </si>
  <si>
    <t>Bas Koolen</t>
  </si>
  <si>
    <t>Tycho Martens</t>
  </si>
  <si>
    <t>Sjoerd van Mulken</t>
  </si>
  <si>
    <t>Giel Piereij</t>
  </si>
  <si>
    <t>Bob Vankan</t>
  </si>
  <si>
    <t>Siem van Dijck</t>
  </si>
  <si>
    <t>Demen Roumen</t>
  </si>
  <si>
    <t>Aram Krawczyk</t>
  </si>
  <si>
    <t>Steff Haemers</t>
  </si>
  <si>
    <t>Quinn Devoi</t>
  </si>
  <si>
    <t>Koen Verheij</t>
  </si>
  <si>
    <t>Rico Zeegers</t>
  </si>
  <si>
    <t>Aron Gielen</t>
  </si>
  <si>
    <t>Remco Gielen</t>
  </si>
  <si>
    <t>Jip Vergoossen</t>
  </si>
  <si>
    <t>Ryan Vierhout</t>
  </si>
  <si>
    <t>Boris Gehlen</t>
  </si>
  <si>
    <t>Stef Baetsen</t>
  </si>
  <si>
    <t>Ronan Pluijmen</t>
  </si>
  <si>
    <t>Jimmy Vijgen</t>
  </si>
  <si>
    <t>Nigel Bougard</t>
  </si>
  <si>
    <t>Thiago Vonken</t>
  </si>
  <si>
    <t>Mark Voss</t>
  </si>
  <si>
    <t>Joris de Kleijn</t>
  </si>
  <si>
    <t>Youri Senden</t>
  </si>
  <si>
    <t>Martijn van der Ven</t>
  </si>
  <si>
    <t>Dylan Goulding</t>
  </si>
  <si>
    <t>Dogan Gölpek</t>
  </si>
  <si>
    <t>Levi Golsteijn</t>
  </si>
  <si>
    <t>Danny Stassar</t>
  </si>
  <si>
    <t>Clint Ghijsen</t>
  </si>
  <si>
    <t>Jop Bleijlevens</t>
  </si>
  <si>
    <t>Marc van Wersch</t>
  </si>
  <si>
    <t>Kenji van Geul</t>
  </si>
  <si>
    <t>Stan Shotton</t>
  </si>
  <si>
    <t>Chris Potter</t>
  </si>
  <si>
    <t>Jeannot Sporck</t>
  </si>
  <si>
    <t>Jori Driessens</t>
  </si>
  <si>
    <t>Jarno Leen</t>
  </si>
  <si>
    <t>Julien Rompelberg</t>
  </si>
  <si>
    <t>Merijn Welters</t>
  </si>
  <si>
    <t>Milian Vidic</t>
  </si>
  <si>
    <t>Per Hendrix</t>
  </si>
  <si>
    <t>Thom Brinkhof</t>
  </si>
  <si>
    <t>Yannick Paulussen</t>
  </si>
  <si>
    <t>Yves Jamin</t>
  </si>
  <si>
    <t>Jeroen Gerets</t>
  </si>
  <si>
    <t>Milan Koetsier</t>
  </si>
  <si>
    <t>Stijn van Luijk</t>
  </si>
  <si>
    <t>Luca Scheijen</t>
  </si>
  <si>
    <t>Levy Jans</t>
  </si>
  <si>
    <t>Ivo Claessen</t>
  </si>
  <si>
    <t>Senne Thijssen</t>
  </si>
  <si>
    <t>Thomas van der Meulen</t>
  </si>
  <si>
    <t>Tom Houps</t>
  </si>
  <si>
    <t>Roel Queis</t>
  </si>
  <si>
    <t>Lars Toonen</t>
  </si>
  <si>
    <t>Jules Visser</t>
  </si>
  <si>
    <t>Omar Vlemmings</t>
  </si>
  <si>
    <t>Kaylen van den Brink</t>
  </si>
  <si>
    <t>Daan Katzenbauer</t>
  </si>
  <si>
    <t>Wout Rutten</t>
  </si>
  <si>
    <t>Len Schmitz</t>
  </si>
  <si>
    <t>Roel van Melick</t>
  </si>
  <si>
    <t>Anass Mephtah</t>
  </si>
  <si>
    <t>Dylan Creemers</t>
  </si>
  <si>
    <t>Mike Betting</t>
  </si>
  <si>
    <t>Kevin Huijerjans</t>
  </si>
  <si>
    <t>Steven Boelaars</t>
  </si>
  <si>
    <t>Jochem Neijnens</t>
  </si>
  <si>
    <t>Sven Peeters</t>
  </si>
  <si>
    <t>Rens Spitters</t>
  </si>
  <si>
    <t>Leroy de Jager</t>
  </si>
  <si>
    <t>Jordi Beelen</t>
  </si>
  <si>
    <t>Stijn Jacobs</t>
  </si>
  <si>
    <t>Jurre Neijnens</t>
  </si>
  <si>
    <t>Jacco Bongers</t>
  </si>
  <si>
    <t>Luc Lambrichts</t>
  </si>
  <si>
    <t>Ries Spitters</t>
  </si>
  <si>
    <t>Stan Louis</t>
  </si>
  <si>
    <t>Raf Mertens</t>
  </si>
  <si>
    <t>Pim Souren</t>
  </si>
  <si>
    <t>Michiel Knops</t>
  </si>
  <si>
    <t>Jasper Kuijs</t>
  </si>
  <si>
    <t>Jeroen Kuijs</t>
  </si>
  <si>
    <t>Julian Tillmans</t>
  </si>
  <si>
    <t>Nino Everaers</t>
  </si>
  <si>
    <t>Bas Poper</t>
  </si>
  <si>
    <t>Kai Schmitz</t>
  </si>
  <si>
    <t>Emre Yetimoglu</t>
  </si>
  <si>
    <t>Joep Ceha</t>
  </si>
  <si>
    <t>Milo Delrock</t>
  </si>
  <si>
    <t>Richard Hannon</t>
  </si>
  <si>
    <t>Youri Poper</t>
  </si>
  <si>
    <t>Jerno Beckers</t>
  </si>
  <si>
    <t>Jens Willems</t>
  </si>
  <si>
    <t>Max Sangen</t>
  </si>
  <si>
    <t>Wesley Westenberg</t>
  </si>
  <si>
    <t>Luuk Veeneman</t>
  </si>
  <si>
    <t>Roel Cornelissen</t>
  </si>
  <si>
    <t>Sjors Witt</t>
  </si>
  <si>
    <t>Sjors Boots</t>
  </si>
  <si>
    <t>Stijn Brinkman</t>
  </si>
  <si>
    <t>Bram Kersten</t>
  </si>
  <si>
    <t>Jarno Peeters</t>
  </si>
  <si>
    <t>Timo van de Voort</t>
  </si>
  <si>
    <t>Jelt Verrijth</t>
  </si>
  <si>
    <t>Jeroen Vullings</t>
  </si>
  <si>
    <t>Aron Franssen</t>
  </si>
  <si>
    <t>Jay Beer</t>
  </si>
  <si>
    <t>OPMERKING</t>
  </si>
  <si>
    <t>Vul hier clubs in die je wilt uitsluiten van de controle.</t>
  </si>
  <si>
    <t>Finn Derksen</t>
  </si>
  <si>
    <t>Job Bosch</t>
  </si>
  <si>
    <t>Boyd Derksen</t>
  </si>
  <si>
    <t>Hay Notermans</t>
  </si>
  <si>
    <t>Kevin Hermans</t>
  </si>
  <si>
    <t>Ruben Custers</t>
  </si>
  <si>
    <t>Tom Hermans</t>
  </si>
  <si>
    <t>Daan Pinckers</t>
  </si>
  <si>
    <t>Tristan Yigit</t>
  </si>
  <si>
    <t>Dylano van Dijk</t>
  </si>
  <si>
    <t>Kasper Spierings</t>
  </si>
  <si>
    <t>Rik van Lier</t>
  </si>
  <si>
    <t>Rik Janssen</t>
  </si>
  <si>
    <t>Robin Veenstra</t>
  </si>
  <si>
    <t>Ruben Korteweg</t>
  </si>
  <si>
    <t>Stan Wolters</t>
  </si>
  <si>
    <t>Max Buiting</t>
  </si>
  <si>
    <t>Stan Erkens</t>
  </si>
  <si>
    <t>Maikel Schuffelen</t>
  </si>
  <si>
    <t>Thijs den Dunnen</t>
  </si>
  <si>
    <t>Dylan Dirks</t>
  </si>
  <si>
    <t>Stan Giepmans</t>
  </si>
  <si>
    <t>Jaimy Janssen</t>
  </si>
  <si>
    <t>Sonny Janssen</t>
  </si>
  <si>
    <t>Tristan Janssen</t>
  </si>
  <si>
    <t>Milan Muytjens</t>
  </si>
  <si>
    <t>Randy Walraven</t>
  </si>
  <si>
    <t>Tim Blanken</t>
  </si>
  <si>
    <t>Jasper van Caldenborgh</t>
  </si>
  <si>
    <t>Raymond Frijns</t>
  </si>
  <si>
    <t>Randy van Goethem</t>
  </si>
  <si>
    <t>Mirko Deckers</t>
  </si>
  <si>
    <t>Guy Duijsens</t>
  </si>
  <si>
    <t>Cas Jeukens</t>
  </si>
  <si>
    <t>Daan Konings</t>
  </si>
  <si>
    <t>Skip Linkens</t>
  </si>
  <si>
    <t>Robin Nelissen</t>
  </si>
  <si>
    <t>Thom Senden</t>
  </si>
  <si>
    <t>Raoul van Lijf</t>
  </si>
  <si>
    <t>Rik Wolfs</t>
  </si>
  <si>
    <t>Tren Caris</t>
  </si>
  <si>
    <t>Levi Skiersinis</t>
  </si>
  <si>
    <t>Bram Cuppens</t>
  </si>
  <si>
    <t>Daan Kierkels</t>
  </si>
  <si>
    <t>Bjorn Bastiaans</t>
  </si>
  <si>
    <t>Aaron Bastiaans</t>
  </si>
  <si>
    <t>Conner Bax</t>
  </si>
  <si>
    <t>Vince Coumans</t>
  </si>
  <si>
    <t>Ray Jacobs</t>
  </si>
  <si>
    <t>Raf Knapen</t>
  </si>
  <si>
    <t>Jelle Meisters</t>
  </si>
  <si>
    <t>Vince Smolenaers</t>
  </si>
  <si>
    <t>Jack Vonken</t>
  </si>
  <si>
    <t>Jay Stals</t>
  </si>
  <si>
    <t>Ruben Vaes</t>
  </si>
  <si>
    <t>Max Derckx</t>
  </si>
  <si>
    <t>Dean Greijmans</t>
  </si>
  <si>
    <t>Pim Feijen</t>
  </si>
  <si>
    <t>Jasper van Loon</t>
  </si>
  <si>
    <t>Kenvis Odigwe Gomez</t>
  </si>
  <si>
    <t>Thijs Spetgens</t>
  </si>
  <si>
    <t>Glenn Versluis</t>
  </si>
  <si>
    <t>Dylan Wiechmann</t>
  </si>
  <si>
    <t>Gijs Wullems</t>
  </si>
  <si>
    <t>Milan Stultjens</t>
  </si>
  <si>
    <t>Merijn Strijbos</t>
  </si>
  <si>
    <t>Casper Bussmann</t>
  </si>
  <si>
    <t>Lucas Bussmann</t>
  </si>
  <si>
    <t>Thijs Jacobs</t>
  </si>
  <si>
    <t>Gereno Janssen</t>
  </si>
  <si>
    <t>Florian Lenaerts</t>
  </si>
  <si>
    <t>Calvin Römer</t>
  </si>
  <si>
    <t>Lars Voskuilen</t>
  </si>
  <si>
    <t>Dylan Vranken</t>
  </si>
  <si>
    <t>Jelle Zupancic</t>
  </si>
  <si>
    <t>Tycho Harst</t>
  </si>
  <si>
    <t>Bor Fraser</t>
  </si>
  <si>
    <t>Levi Hanckmann</t>
  </si>
  <si>
    <t>Garcia Lukombo</t>
  </si>
  <si>
    <t>Zev van Melick</t>
  </si>
  <si>
    <t>Seth van den Bergh</t>
  </si>
  <si>
    <t>Cyril Vojacek</t>
  </si>
  <si>
    <t>Elyas Annajar</t>
  </si>
  <si>
    <t>Remi Ahn</t>
  </si>
  <si>
    <t>Devin Nyapanzola</t>
  </si>
  <si>
    <t>Koen Claasens</t>
  </si>
  <si>
    <t>Dwayne Dolmans</t>
  </si>
  <si>
    <t>Glenn Dolmans</t>
  </si>
  <si>
    <t>Quint Franssen</t>
  </si>
  <si>
    <t>Nardo Persoon</t>
  </si>
  <si>
    <t>Yves Ruyl</t>
  </si>
  <si>
    <t>Mick Niessen</t>
  </si>
  <si>
    <t>Tieme Jongschaap</t>
  </si>
  <si>
    <t>Kylian Huynen</t>
  </si>
  <si>
    <t>Raoul Bleeser</t>
  </si>
  <si>
    <t>Erik Erps</t>
  </si>
  <si>
    <t>Erik Gerrits</t>
  </si>
  <si>
    <t>Scott Adriolo</t>
  </si>
  <si>
    <t>Janik Jacobs</t>
  </si>
  <si>
    <t>Jaydi Bonnie</t>
  </si>
  <si>
    <t>Thijs Middeldorp</t>
  </si>
  <si>
    <t>Timo Regtop</t>
  </si>
  <si>
    <t>Inigo Coral</t>
  </si>
  <si>
    <t>Philip Gaber</t>
  </si>
  <si>
    <t>Tom Dautzenberg</t>
  </si>
  <si>
    <t>Deven van Leeuwen</t>
  </si>
  <si>
    <t>Lars Gorissen</t>
  </si>
  <si>
    <t>Kamil Faluszczak</t>
  </si>
  <si>
    <t>Sam Kersten</t>
  </si>
  <si>
    <t>Tom Spreeuwenberg</t>
  </si>
  <si>
    <t>Stan Verhorstert</t>
  </si>
  <si>
    <t>Bart Vissers</t>
  </si>
  <si>
    <t>Dennis van der Zee</t>
  </si>
  <si>
    <t>Freek Wijnen</t>
  </si>
  <si>
    <t>Jeroen Smits</t>
  </si>
  <si>
    <t>Jimmie de Jong</t>
  </si>
  <si>
    <t>Joep Willemssen</t>
  </si>
  <si>
    <t>Lars de Kanter</t>
  </si>
  <si>
    <t>Milan de Kanter</t>
  </si>
  <si>
    <t>Nino Jansen</t>
  </si>
  <si>
    <t>Thomas Cox</t>
  </si>
  <si>
    <t>Vincent Kersten</t>
  </si>
  <si>
    <t>Finn Geerkens</t>
  </si>
  <si>
    <t>Inze Straat</t>
  </si>
  <si>
    <t>Jeroen Hunen</t>
  </si>
  <si>
    <t>Joep Wijnen</t>
  </si>
  <si>
    <t>Vince Habets</t>
  </si>
  <si>
    <t>Luuk Brinkhoff</t>
  </si>
  <si>
    <t>Bart Dieteren</t>
  </si>
  <si>
    <t>Max Gaber</t>
  </si>
  <si>
    <t>Roel Hendriks</t>
  </si>
  <si>
    <t>Lars Huits</t>
  </si>
  <si>
    <t>Bas Hunen</t>
  </si>
  <si>
    <t>Ryan te Kampe</t>
  </si>
  <si>
    <t>Niek Lacroix</t>
  </si>
  <si>
    <t>Bas Loozen</t>
  </si>
  <si>
    <t>Kian Merx</t>
  </si>
  <si>
    <t>Lars van Meurs</t>
  </si>
  <si>
    <t>Tom Windmuller</t>
  </si>
  <si>
    <t>Kyanu Ploum</t>
  </si>
  <si>
    <t>Roy Wetzels</t>
  </si>
  <si>
    <t>Amir Skraoui</t>
  </si>
  <si>
    <t>Diego Gommans</t>
  </si>
  <si>
    <t>Haroun Benaziba</t>
  </si>
  <si>
    <t>Makram Bouchara</t>
  </si>
  <si>
    <t>Zaid Akachar</t>
  </si>
  <si>
    <t>Yorick Krul</t>
  </si>
  <si>
    <t>Jamal Skraoui</t>
  </si>
  <si>
    <t>Othman Azouzal</t>
  </si>
  <si>
    <t>Jonas Swoboda</t>
  </si>
  <si>
    <t>Youp van Wijk</t>
  </si>
  <si>
    <t>Xavi Stienen</t>
  </si>
  <si>
    <t>Kyan Meyer</t>
  </si>
  <si>
    <t>Daan Steijvers</t>
  </si>
  <si>
    <t>Jens Simons</t>
  </si>
  <si>
    <t>Siebe Vries</t>
  </si>
  <si>
    <t>Yves Haelewijn</t>
  </si>
  <si>
    <t>Roel Gijsen</t>
  </si>
  <si>
    <t>Ries Geusen</t>
  </si>
  <si>
    <t>Jasper Hupkens</t>
  </si>
  <si>
    <t>Teun Schroijen</t>
  </si>
  <si>
    <t>Marco Timmermans</t>
  </si>
  <si>
    <t>Sil Wolters</t>
  </si>
  <si>
    <t>Ruben Reijven</t>
  </si>
  <si>
    <t>Daan Coolen</t>
  </si>
  <si>
    <t>Tim Blättler</t>
  </si>
  <si>
    <t>Raf Struijk</t>
  </si>
  <si>
    <t>Tuur Kirkels</t>
  </si>
  <si>
    <t>Raf Schreurs</t>
  </si>
  <si>
    <t>Raf Weerts</t>
  </si>
  <si>
    <t>Stef Pleunis</t>
  </si>
  <si>
    <t>Lars Kiggen</t>
  </si>
  <si>
    <t>Rick Kunnen</t>
  </si>
  <si>
    <t>Tim Heijdeman</t>
  </si>
  <si>
    <t>Camiel Huijskens</t>
  </si>
  <si>
    <t>Guido Wolters</t>
  </si>
  <si>
    <t>Milan Lemmens</t>
  </si>
  <si>
    <t>Ben Kierkels</t>
  </si>
  <si>
    <t>Nizar Bouhajeb</t>
  </si>
  <si>
    <t>Jasper Speetjens</t>
  </si>
  <si>
    <t>Anton Fijneman</t>
  </si>
  <si>
    <t>Bram Stevelmans</t>
  </si>
  <si>
    <t>Dave Velraeds</t>
  </si>
  <si>
    <t>Mick Hellemons</t>
  </si>
  <si>
    <t>Ivar Peeters</t>
  </si>
  <si>
    <t>Jeffrey Geurts</t>
  </si>
  <si>
    <t>Nick Frolichs</t>
  </si>
  <si>
    <t>Rafe Lucassen</t>
  </si>
  <si>
    <t>Roy Janssen</t>
  </si>
  <si>
    <t>Sem Hartendorp</t>
  </si>
  <si>
    <t>Ruben Smaniotto</t>
  </si>
  <si>
    <t>Stan Schilperoort</t>
  </si>
  <si>
    <t>Thijs Hildebrand</t>
  </si>
  <si>
    <t>Tom van Vugt</t>
  </si>
  <si>
    <t>Willem Bindels</t>
  </si>
  <si>
    <t>Kenny Debey</t>
  </si>
  <si>
    <t>Daan Ermans</t>
  </si>
  <si>
    <t>Menne Gras</t>
  </si>
  <si>
    <t>Sam Houben</t>
  </si>
  <si>
    <t>Tim Maassen</t>
  </si>
  <si>
    <t>Max Mengels</t>
  </si>
  <si>
    <t>Yannick Meulenberg</t>
  </si>
  <si>
    <t>Yves Oberdorf</t>
  </si>
  <si>
    <t>Ruben Reubzaat</t>
  </si>
  <si>
    <t>Diego Schmeitz</t>
  </si>
  <si>
    <t>Raf Waltmans</t>
  </si>
  <si>
    <t>Tim Buscher</t>
  </si>
  <si>
    <t>Joep Coenen</t>
  </si>
  <si>
    <t>Bo Coenen</t>
  </si>
  <si>
    <t>Raf Erps</t>
  </si>
  <si>
    <t>Kris Franken</t>
  </si>
  <si>
    <t>Bram Goffin</t>
  </si>
  <si>
    <t>Sjeer Hamers</t>
  </si>
  <si>
    <t>Yarno Leunissen</t>
  </si>
  <si>
    <t>Thei van Mierlo</t>
  </si>
  <si>
    <t>Math van Mierlo</t>
  </si>
  <si>
    <t>Jesse Oberije</t>
  </si>
  <si>
    <t>Rory Pantus</t>
  </si>
  <si>
    <t>Vincent Patelski</t>
  </si>
  <si>
    <t>Tom Schmeits</t>
  </si>
  <si>
    <t>Luuk Hennes</t>
  </si>
  <si>
    <t>Renst van Hien</t>
  </si>
  <si>
    <t>Sjoerd Hodzelmans</t>
  </si>
  <si>
    <t>Job Hustinx</t>
  </si>
  <si>
    <t>Kevin Janssen</t>
  </si>
  <si>
    <t>Lucas Kirchberg</t>
  </si>
  <si>
    <t>Kay Smeets</t>
  </si>
  <si>
    <t>Jules Wenmekers</t>
  </si>
  <si>
    <t>Walid Blom</t>
  </si>
  <si>
    <t>Semm van Dijk</t>
  </si>
  <si>
    <t>Teun van Gool</t>
  </si>
  <si>
    <t>Niels Kusters</t>
  </si>
  <si>
    <t>Guyvan Maessen</t>
  </si>
  <si>
    <t>Roel Roijen</t>
  </si>
  <si>
    <t>Kelvin Roolant</t>
  </si>
  <si>
    <t>Micha Tholen</t>
  </si>
  <si>
    <t>Milan Arets</t>
  </si>
  <si>
    <t>Jesse van Dijk</t>
  </si>
  <si>
    <t>Daan Giezenaar</t>
  </si>
  <si>
    <t>Youri Gommans</t>
  </si>
  <si>
    <t>Dani Heesbeen</t>
  </si>
  <si>
    <t>Jelle Nauts</t>
  </si>
  <si>
    <t>Nawfal Pijjou</t>
  </si>
  <si>
    <t>Collin Slob</t>
  </si>
  <si>
    <t>Paul Smeets</t>
  </si>
  <si>
    <t>Sven Snelting</t>
  </si>
  <si>
    <t>Mike Tempels</t>
  </si>
  <si>
    <t>Ton Velraeds</t>
  </si>
  <si>
    <t>Bente Wijnen</t>
  </si>
  <si>
    <t>Aron Choumas</t>
  </si>
  <si>
    <t>Amin Essalih</t>
  </si>
  <si>
    <t>Valentino Leonora</t>
  </si>
  <si>
    <t>Mika van der Hulst</t>
  </si>
  <si>
    <t>Erik Thorissen</t>
  </si>
  <si>
    <t>Yassine Dahmazi</t>
  </si>
  <si>
    <t>Ricardo Geurts</t>
  </si>
  <si>
    <t>Gino Hendriks</t>
  </si>
  <si>
    <t>Yoëll Henssen</t>
  </si>
  <si>
    <t>Ravi van den Heuvel</t>
  </si>
  <si>
    <t>Keanu Jessen</t>
  </si>
  <si>
    <t>Eric van Loo</t>
  </si>
  <si>
    <t>Roger van Loo</t>
  </si>
  <si>
    <t>Ayoub el Majdoub</t>
  </si>
  <si>
    <t>Devon Stans</t>
  </si>
  <si>
    <t>Mark Stauthamer</t>
  </si>
  <si>
    <t>Cian Steens</t>
  </si>
  <si>
    <t>Milan Virdis</t>
  </si>
  <si>
    <t>Niels Oostendorp</t>
  </si>
  <si>
    <t>Bjarne van Heugten</t>
  </si>
  <si>
    <t>Nino Eijer</t>
  </si>
  <si>
    <t>Ray Strous</t>
  </si>
  <si>
    <t>Colin Eijer</t>
  </si>
  <si>
    <t>Remco Reuterink</t>
  </si>
  <si>
    <t>Ruben Corbey</t>
  </si>
  <si>
    <t>Sander Dijkstra</t>
  </si>
  <si>
    <t>Sander Reuterink</t>
  </si>
  <si>
    <t>Jeroen Corbey</t>
  </si>
  <si>
    <t>Senna Dehing</t>
  </si>
  <si>
    <t>Sjoerd Deneer</t>
  </si>
  <si>
    <t>Stef Azzakriti</t>
  </si>
  <si>
    <t>Max van Helden</t>
  </si>
  <si>
    <t>Mika Wolter</t>
  </si>
  <si>
    <t>Stan Peeters</t>
  </si>
  <si>
    <t>Niels van Kessel</t>
  </si>
  <si>
    <t>Joshua Geurts</t>
  </si>
  <si>
    <t>Rim Mooren</t>
  </si>
  <si>
    <t>Stavros Apostolakis</t>
  </si>
  <si>
    <t>Messaoud Bougueroua</t>
  </si>
  <si>
    <t>Juul Hamers</t>
  </si>
  <si>
    <t>Thijn Gerrits</t>
  </si>
  <si>
    <t>Yves Ingeveldt</t>
  </si>
  <si>
    <t>Sten Kochanowski</t>
  </si>
  <si>
    <t>Casper Metsemakers</t>
  </si>
  <si>
    <t>Remco Ostlender</t>
  </si>
  <si>
    <t>Daan Verhagen</t>
  </si>
  <si>
    <t>Job Verhagen</t>
  </si>
  <si>
    <t>Thijs Verhagen</t>
  </si>
  <si>
    <t>Loek Vilters</t>
  </si>
  <si>
    <t>Stan Loog</t>
  </si>
  <si>
    <t>Ajrim Bytyqi</t>
  </si>
  <si>
    <t>Djairo Habets</t>
  </si>
  <si>
    <t>Bart de Bruijn</t>
  </si>
  <si>
    <t>Stijn Schroder</t>
  </si>
  <si>
    <t>Max Adams</t>
  </si>
  <si>
    <t>Ali Al-Sharbaty</t>
  </si>
  <si>
    <t>Kiehran Arets</t>
  </si>
  <si>
    <t>Amar Delic</t>
  </si>
  <si>
    <t>Jorg Fuchs</t>
  </si>
  <si>
    <t>Justin Grootenboer</t>
  </si>
  <si>
    <t>Ruud Janssen</t>
  </si>
  <si>
    <t>Tim Jaspers</t>
  </si>
  <si>
    <t>Lars van Nieuwenhoven</t>
  </si>
  <si>
    <t>Tony Nwannukwu</t>
  </si>
  <si>
    <t>Jarno Pernot</t>
  </si>
  <si>
    <t>Dario Pibiri</t>
  </si>
  <si>
    <t>Yves Seuren</t>
  </si>
  <si>
    <t>Michel van Veen</t>
  </si>
  <si>
    <t>Finn Webers</t>
  </si>
  <si>
    <t>Pim Bergmans</t>
  </si>
  <si>
    <t>Niek de Bruin</t>
  </si>
  <si>
    <t>Jop Goossen</t>
  </si>
  <si>
    <t>Hakob Hagopian</t>
  </si>
  <si>
    <t>Pie Hanssen</t>
  </si>
  <si>
    <t>Melle Hoenen</t>
  </si>
  <si>
    <t>Thijmen Hoenen</t>
  </si>
  <si>
    <t>Tigran Khachatryan</t>
  </si>
  <si>
    <t>Stan Rensink</t>
  </si>
  <si>
    <t>Juul Riga</t>
  </si>
  <si>
    <t>Ruben Sockalingasivam</t>
  </si>
  <si>
    <t>Vernon Smit</t>
  </si>
  <si>
    <t>Justin Tetz</t>
  </si>
  <si>
    <t>Daan Dohmen</t>
  </si>
  <si>
    <t>Sten Dohmen</t>
  </si>
  <si>
    <t>Sep van Bommel</t>
  </si>
  <si>
    <t>Dave Schmitz</t>
  </si>
  <si>
    <t>Drew Thoolen</t>
  </si>
  <si>
    <t>Stijn Ramakers</t>
  </si>
  <si>
    <t>Quinn Schoenmakers</t>
  </si>
  <si>
    <t>Dennis Scholly</t>
  </si>
  <si>
    <t>Daan Dela Haije</t>
  </si>
  <si>
    <t>Tom Wellens</t>
  </si>
  <si>
    <t>Max Frenken</t>
  </si>
  <si>
    <t>Sandro Aruvaino</t>
  </si>
  <si>
    <t>Tijn Klomp</t>
  </si>
  <si>
    <t>Bas Heinen</t>
  </si>
  <si>
    <t>Niels van Gemeren</t>
  </si>
  <si>
    <t>Kay Hintjes</t>
  </si>
  <si>
    <t>Mark Bäumler</t>
  </si>
  <si>
    <t>Pim Theunissen</t>
  </si>
  <si>
    <t>Ronald Geuskens</t>
  </si>
  <si>
    <t>Jelle Kösters</t>
  </si>
  <si>
    <t>Edwin van Els</t>
  </si>
  <si>
    <t>Joeri Balendonck</t>
  </si>
  <si>
    <t>Robin Leunissen</t>
  </si>
  <si>
    <t>Jordy Abel</t>
  </si>
  <si>
    <t>Yves Meurders</t>
  </si>
  <si>
    <t>Jeremy Bovens</t>
  </si>
  <si>
    <t>David Cabo</t>
  </si>
  <si>
    <t>Job Hanssen</t>
  </si>
  <si>
    <t>Guy Jaspers</t>
  </si>
  <si>
    <t>Jork Loozen</t>
  </si>
  <si>
    <t>Sem Mares</t>
  </si>
  <si>
    <t>Lars Morreau</t>
  </si>
  <si>
    <t>Ken Schattenberg</t>
  </si>
  <si>
    <t>Luka Scheffers</t>
  </si>
  <si>
    <t>Rick Smeets</t>
  </si>
  <si>
    <t>Youri Theunissen</t>
  </si>
  <si>
    <t>Dani Timmermans</t>
  </si>
  <si>
    <t>Milan Zurek</t>
  </si>
  <si>
    <t>Giyon Girma</t>
  </si>
  <si>
    <t>Dustin Paffen</t>
  </si>
  <si>
    <t>Azdin Ziani</t>
  </si>
  <si>
    <t>Quinn Konings</t>
  </si>
  <si>
    <t>Figo Frissen</t>
  </si>
  <si>
    <t>Luca Elzinga</t>
  </si>
  <si>
    <t>Jarmo Drossaerts</t>
  </si>
  <si>
    <t>Finn Mevis</t>
  </si>
  <si>
    <t>Lucas Huntelerslag</t>
  </si>
  <si>
    <t>Jip Linssen</t>
  </si>
  <si>
    <t>Yari Rings</t>
  </si>
  <si>
    <t>Liam Roumen</t>
  </si>
  <si>
    <t>Levi Smeets</t>
  </si>
  <si>
    <t>Kylian Veen</t>
  </si>
  <si>
    <t>Michele Zotti</t>
  </si>
  <si>
    <t>Elby Saya</t>
  </si>
  <si>
    <t>Nigel Biesmans</t>
  </si>
  <si>
    <t>Mitchell Jongen</t>
  </si>
  <si>
    <t>Sies Maas</t>
  </si>
  <si>
    <t>Rowan Roumen</t>
  </si>
  <si>
    <t>Raoul Kraft</t>
  </si>
  <si>
    <t>Dean Brouwers</t>
  </si>
  <si>
    <t>Pol Cimmermans</t>
  </si>
  <si>
    <t>Jim Franssen</t>
  </si>
  <si>
    <t>Scott Ropers</t>
  </si>
  <si>
    <t>Dimmy Kool</t>
  </si>
  <si>
    <t>Kay Hermans</t>
  </si>
  <si>
    <t>Didier van Heusden</t>
  </si>
  <si>
    <t>Dani Limbourg</t>
  </si>
  <si>
    <t>Damiano Smeets</t>
  </si>
  <si>
    <t>Ralf Wijns</t>
  </si>
  <si>
    <t>Nigaio Voorjans</t>
  </si>
  <si>
    <t>Kenneth Damen</t>
  </si>
  <si>
    <t>Ilai Verstappen</t>
  </si>
  <si>
    <t>Ahmet Karabektas</t>
  </si>
  <si>
    <t>Lars Willems</t>
  </si>
  <si>
    <t>Bas Coenen</t>
  </si>
  <si>
    <t>Tijn Hoenen</t>
  </si>
  <si>
    <t>Mostafa el Sayed</t>
  </si>
  <si>
    <t>Dean Biesmans</t>
  </si>
  <si>
    <t>Bo Blankenhagen</t>
  </si>
  <si>
    <t>Kenny Faassen</t>
  </si>
  <si>
    <t>Robin Faassen</t>
  </si>
  <si>
    <t>Jayden Hendriks</t>
  </si>
  <si>
    <t>Jarno Hönen</t>
  </si>
  <si>
    <t>Diego Jacobs</t>
  </si>
  <si>
    <t>Yannick Kramer</t>
  </si>
  <si>
    <t>Gianluca Martinelli</t>
  </si>
  <si>
    <t>Christiaan Meurders</t>
  </si>
  <si>
    <t>Milan Offergeld</t>
  </si>
  <si>
    <t>Randy Quaedackers</t>
  </si>
  <si>
    <t>Mitch Reijntjens</t>
  </si>
  <si>
    <t>Noah Ruijters</t>
  </si>
  <si>
    <t>Melvin Senden</t>
  </si>
  <si>
    <t>Quinten Preusting</t>
  </si>
  <si>
    <t>Vince Bastiaans</t>
  </si>
  <si>
    <t>Max Haupst</t>
  </si>
  <si>
    <t>Tom Haupst</t>
  </si>
  <si>
    <t>Tom Derwig</t>
  </si>
  <si>
    <t>Mila Pustjens</t>
  </si>
  <si>
    <t>Marco Sour</t>
  </si>
  <si>
    <t>Luuk Egberts</t>
  </si>
  <si>
    <t>Kaj Fievez</t>
  </si>
  <si>
    <t>Joep Elissen</t>
  </si>
  <si>
    <t>Teun Elissen</t>
  </si>
  <si>
    <t>Roy de Vlam</t>
  </si>
  <si>
    <t>Tim Ensinck</t>
  </si>
  <si>
    <t>Ilias Bounahlass</t>
  </si>
  <si>
    <t>Sem Custers</t>
  </si>
  <si>
    <t>Zorano van Deijck</t>
  </si>
  <si>
    <t>Dani Penders</t>
  </si>
  <si>
    <t>Nazim Chahboun</t>
  </si>
  <si>
    <t>Naoufel Zligui</t>
  </si>
  <si>
    <t>Sjors Bastiaans</t>
  </si>
  <si>
    <t>Ryan Last</t>
  </si>
  <si>
    <t>Raoul Verhoeven</t>
  </si>
  <si>
    <t>Mika Albertz</t>
  </si>
  <si>
    <t>Redondo Asselmans</t>
  </si>
  <si>
    <t>Sem van Dijk</t>
  </si>
  <si>
    <t>Ruben Janssen</t>
  </si>
  <si>
    <t>Stan Schevers</t>
  </si>
  <si>
    <t>Diego Vranken</t>
  </si>
  <si>
    <t>Stan Smeets</t>
  </si>
  <si>
    <t>Mika Thijssen</t>
  </si>
  <si>
    <t>Davy Hensen</t>
  </si>
  <si>
    <t>Liam Heusschen</t>
  </si>
  <si>
    <t>Max Jacobs</t>
  </si>
  <si>
    <t>Nick Winkens</t>
  </si>
  <si>
    <t>Jordy Smoorenburg</t>
  </si>
  <si>
    <t>Pascal Beenkens</t>
  </si>
  <si>
    <t>Wesley Kraus</t>
  </si>
  <si>
    <t>Twan Bams</t>
  </si>
  <si>
    <t>Tycho Last</t>
  </si>
  <si>
    <t>Mel Nelissen</t>
  </si>
  <si>
    <t>Finn Heuts</t>
  </si>
  <si>
    <t>Bas de Groot</t>
  </si>
  <si>
    <t>Milan Backus</t>
  </si>
  <si>
    <t>Bram van Geel</t>
  </si>
  <si>
    <t>Ties Rouschop</t>
  </si>
  <si>
    <t>Cas Bayens</t>
  </si>
  <si>
    <t>Jules Hageman</t>
  </si>
  <si>
    <t>Mick Puts</t>
  </si>
  <si>
    <t>Jop Winkens</t>
  </si>
  <si>
    <t>Felix Goossens</t>
  </si>
  <si>
    <t>Jelle Winkens</t>
  </si>
  <si>
    <t>Cisco Conjour</t>
  </si>
  <si>
    <t>Sem Conjour</t>
  </si>
  <si>
    <t>Dries Haenen</t>
  </si>
  <si>
    <t>Rim Nijsten</t>
  </si>
  <si>
    <t>Tim Wouters</t>
  </si>
  <si>
    <t>Bradley Schwillens</t>
  </si>
  <si>
    <t>Sean Cobben</t>
  </si>
  <si>
    <t>Cas Jansen</t>
  </si>
  <si>
    <t>Bas Meijs</t>
  </si>
  <si>
    <t>Medi Soetelmans</t>
  </si>
  <si>
    <t>Robbie Terwint</t>
  </si>
  <si>
    <t>Bram Sluijsmans</t>
  </si>
  <si>
    <t>Dennis Hendrix</t>
  </si>
  <si>
    <t>Bob Nijsten</t>
  </si>
  <si>
    <t>Timo Hermsen</t>
  </si>
  <si>
    <t>Colin Bos</t>
  </si>
  <si>
    <t>Mohamed Belabid</t>
  </si>
  <si>
    <t>Rodney Klinkenberg</t>
  </si>
  <si>
    <t>Yves Fleuren</t>
  </si>
  <si>
    <t>Lars de Haan</t>
  </si>
  <si>
    <t>Tarek Trabelsi</t>
  </si>
  <si>
    <t>Hicham Foufa</t>
  </si>
  <si>
    <t>Lorenzo van der Venne</t>
  </si>
  <si>
    <t>Sem Bronzwaer</t>
  </si>
  <si>
    <t>Melchior Coenen</t>
  </si>
  <si>
    <t>Raf Lemmens</t>
  </si>
  <si>
    <t>Toon Wintjes</t>
  </si>
  <si>
    <t>Quino Fraats</t>
  </si>
  <si>
    <t>Mauritz Coenen</t>
  </si>
  <si>
    <t>Christophe Coenen</t>
  </si>
  <si>
    <t>Delano Geijselaers</t>
  </si>
  <si>
    <t>Thimo Frijns</t>
  </si>
  <si>
    <t>Maximiliaan Bergsteyn</t>
  </si>
  <si>
    <t>Yannick Kleijnen</t>
  </si>
  <si>
    <t>Daniel Barkey</t>
  </si>
  <si>
    <t>Jesper Croonen</t>
  </si>
  <si>
    <t>Florian Dahmen</t>
  </si>
  <si>
    <t>Timo Warnier</t>
  </si>
  <si>
    <t>Dajs Essers</t>
  </si>
  <si>
    <t>Raf Roijen</t>
  </si>
  <si>
    <t>Rick Bendermacher</t>
  </si>
  <si>
    <t>Joep Bisscheroux</t>
  </si>
  <si>
    <t>Cas Crijns</t>
  </si>
  <si>
    <t>Demi Cruts</t>
  </si>
  <si>
    <t>Jelle Denis</t>
  </si>
  <si>
    <t>Jarno van Engelshoven</t>
  </si>
  <si>
    <t>Jules Franssen</t>
  </si>
  <si>
    <t>Basil Magermans</t>
  </si>
  <si>
    <t>Stan Magermans</t>
  </si>
  <si>
    <t>Jordi Mares</t>
  </si>
  <si>
    <t>Jermo Roijen</t>
  </si>
  <si>
    <t>Jorn Roijen</t>
  </si>
  <si>
    <t>Thies Ronckers</t>
  </si>
  <si>
    <t>Jos Simonis</t>
  </si>
  <si>
    <t>Jules Waterval</t>
  </si>
  <si>
    <t>Mark van Dooijewaard</t>
  </si>
  <si>
    <t>Boy Bastiaens</t>
  </si>
  <si>
    <t>Tum Bastiaens</t>
  </si>
  <si>
    <t>Geno Habets</t>
  </si>
  <si>
    <t>Davino Peeters</t>
  </si>
  <si>
    <t>Roberto Scotti</t>
  </si>
  <si>
    <t>Dennis Walthouwer</t>
  </si>
  <si>
    <t>Sam Vranken</t>
  </si>
  <si>
    <t>Noud Drummen</t>
  </si>
  <si>
    <t>Cedric Maas</t>
  </si>
  <si>
    <t>Laurent Crijnen</t>
  </si>
  <si>
    <t>Sander Ramakers</t>
  </si>
  <si>
    <t>Tim Maas</t>
  </si>
  <si>
    <t>Cedric Dresen</t>
  </si>
  <si>
    <t>Giel Ramakers</t>
  </si>
  <si>
    <t>Danyal Meij</t>
  </si>
  <si>
    <t>Bram Curfs</t>
  </si>
  <si>
    <t>Fabrice Houtvast</t>
  </si>
  <si>
    <t>Dani Hoyer</t>
  </si>
  <si>
    <t>Mitchel Broeren</t>
  </si>
  <si>
    <t>Sven van Bree</t>
  </si>
  <si>
    <t>Max Bemelmans</t>
  </si>
  <si>
    <t>Mik Smeets</t>
  </si>
  <si>
    <t>Tim Ackermans</t>
  </si>
  <si>
    <t>Owen van Berlo</t>
  </si>
  <si>
    <t>Diego Derkx</t>
  </si>
  <si>
    <t>Mickey Knarren</t>
  </si>
  <si>
    <t>Sem Ottenheijm</t>
  </si>
  <si>
    <t>Yannick Ottenheijm</t>
  </si>
  <si>
    <t>Sjoerd Riedel</t>
  </si>
  <si>
    <t>Luc Schormans</t>
  </si>
  <si>
    <t>Levi Schormans</t>
  </si>
  <si>
    <t>Ruben de Boer</t>
  </si>
  <si>
    <t>Sil Hompes</t>
  </si>
  <si>
    <t>Tim Thijssen</t>
  </si>
  <si>
    <t>Stijn Thijssen</t>
  </si>
  <si>
    <t>Jens Vaessen</t>
  </si>
  <si>
    <t>Nils Vaessen</t>
  </si>
  <si>
    <t>Julian Kruts</t>
  </si>
  <si>
    <t>Luc Crijns</t>
  </si>
  <si>
    <t>Marco Delcid</t>
  </si>
  <si>
    <t>Luc Geelen</t>
  </si>
  <si>
    <t>Siem Houben</t>
  </si>
  <si>
    <t>Dániel van der Meer</t>
  </si>
  <si>
    <t>Raf Satijn</t>
  </si>
  <si>
    <t>Pepijn Aarts</t>
  </si>
  <si>
    <t>Timo Alink</t>
  </si>
  <si>
    <t>Enzo Brandts</t>
  </si>
  <si>
    <t>Jerôme Buijs</t>
  </si>
  <si>
    <t>Axel Caubergh</t>
  </si>
  <si>
    <t>Yves Custers</t>
  </si>
  <si>
    <t>Sebastiaan Cuypers</t>
  </si>
  <si>
    <t>Patrick Daggenvoorde</t>
  </si>
  <si>
    <t>Sjors Driessens</t>
  </si>
  <si>
    <t>Géno Elsen</t>
  </si>
  <si>
    <t>Raoul Elsen</t>
  </si>
  <si>
    <t>Mathijs Franssen</t>
  </si>
  <si>
    <t>Remco Karnebeek</t>
  </si>
  <si>
    <t>Stefan Karnebeek</t>
  </si>
  <si>
    <t>Rik Lenaerts</t>
  </si>
  <si>
    <t>Tijmen ter Lingen</t>
  </si>
  <si>
    <t>Rick Monfrance</t>
  </si>
  <si>
    <t>Dominique van Nunspeet</t>
  </si>
  <si>
    <t>Zeno van Pelt</t>
  </si>
  <si>
    <t>Tim Smeets</t>
  </si>
  <si>
    <t>Boris Smits</t>
  </si>
  <si>
    <t>Ruben Verhoeven</t>
  </si>
  <si>
    <t>Tuur Zwarts</t>
  </si>
  <si>
    <t>Nils Adang</t>
  </si>
  <si>
    <t>Matthew Sullivan</t>
  </si>
  <si>
    <t>Milan Luijk</t>
  </si>
  <si>
    <t>Joep Thewissen</t>
  </si>
  <si>
    <t>Bjorn Vaessens</t>
  </si>
  <si>
    <t>René Beuken</t>
  </si>
  <si>
    <t>Jorn Bos</t>
  </si>
  <si>
    <t>Bram Doyen</t>
  </si>
  <si>
    <t>Stan Doyen</t>
  </si>
  <si>
    <t>Nigel Hollands</t>
  </si>
  <si>
    <t>Mika van Loo</t>
  </si>
  <si>
    <t>Sacha Onnou</t>
  </si>
  <si>
    <t>Bjorn Ruitenschild</t>
  </si>
  <si>
    <t>Nick Slijpen</t>
  </si>
  <si>
    <t>Koen Souren</t>
  </si>
  <si>
    <t>Tom Souren</t>
  </si>
  <si>
    <t>Lars Vaessens</t>
  </si>
  <si>
    <t>Jim Vleugels</t>
  </si>
  <si>
    <t>Nik Vleugels</t>
  </si>
  <si>
    <t>Coen Wienen</t>
  </si>
  <si>
    <t>Finn Provaas</t>
  </si>
  <si>
    <t>Jorg Eurelings</t>
  </si>
  <si>
    <t>Laurent Boshouwers</t>
  </si>
  <si>
    <t>Melles Pitti</t>
  </si>
  <si>
    <t>Christian Vleugels</t>
  </si>
  <si>
    <t>Max Maessen</t>
  </si>
  <si>
    <t>Chiel Knols</t>
  </si>
  <si>
    <t>Kevin Nijenhuis</t>
  </si>
  <si>
    <t>Jens Eggen</t>
  </si>
  <si>
    <t>Teun Bonnema</t>
  </si>
  <si>
    <t>Toine Boshouwers</t>
  </si>
  <si>
    <t>Sem Kusters</t>
  </si>
  <si>
    <t>Tijn Bosch</t>
  </si>
  <si>
    <t>Kyan Byrman</t>
  </si>
  <si>
    <t>Puk Hamers</t>
  </si>
  <si>
    <t>Keano Kuijpers</t>
  </si>
  <si>
    <t>Jordi Regtop</t>
  </si>
  <si>
    <t>Luuk Kallen</t>
  </si>
  <si>
    <t>Dirk Knoppen</t>
  </si>
  <si>
    <t>Nick Ramaekers</t>
  </si>
  <si>
    <t>Sander Gerards</t>
  </si>
  <si>
    <t>Robert Duijsens</t>
  </si>
  <si>
    <t>Max Nuijts</t>
  </si>
  <si>
    <t>Guy Rompelberg</t>
  </si>
  <si>
    <t>Koen Steins</t>
  </si>
  <si>
    <t>Yoshi Franssen</t>
  </si>
  <si>
    <t>Mathon Hardy</t>
  </si>
  <si>
    <t>Arjan Habets</t>
  </si>
  <si>
    <t>Micha Pleijers</t>
  </si>
  <si>
    <t>Max Schepers</t>
  </si>
  <si>
    <t>Roel Demollin</t>
  </si>
  <si>
    <t>Ralph Cornips</t>
  </si>
  <si>
    <t>Enzo Voorjans</t>
  </si>
  <si>
    <t>Philippe van Laar</t>
  </si>
  <si>
    <t>Glenn Moers</t>
  </si>
  <si>
    <t>Yves Meulenberg</t>
  </si>
  <si>
    <t>Lars van Winssen</t>
  </si>
  <si>
    <t>Delano Vriesde</t>
  </si>
  <si>
    <t>Winston Vriesde</t>
  </si>
  <si>
    <t>Jim Thewissen</t>
  </si>
  <si>
    <t>Lesley Overmeer</t>
  </si>
  <si>
    <t>Noah Zibret</t>
  </si>
  <si>
    <t>Sem Frissen</t>
  </si>
  <si>
    <t>Sven Beers</t>
  </si>
  <si>
    <t>Tijn Becker</t>
  </si>
  <si>
    <t>Mike Willems</t>
  </si>
  <si>
    <t>Wess van Can</t>
  </si>
  <si>
    <t>Rune Huntjens</t>
  </si>
  <si>
    <t>Damiano Curvers</t>
  </si>
  <si>
    <t>Senna Houben</t>
  </si>
  <si>
    <t>Keano Wolfs</t>
  </si>
  <si>
    <t>Julian Gijbels</t>
  </si>
  <si>
    <t>Kelvin Hamboch</t>
  </si>
  <si>
    <t>Michael Dupont</t>
  </si>
  <si>
    <t>Michael Kersten</t>
  </si>
  <si>
    <t>Mike Godding</t>
  </si>
  <si>
    <t>Younes Chitich</t>
  </si>
  <si>
    <t>Dani Parlag</t>
  </si>
  <si>
    <t>Danny Smeets</t>
  </si>
  <si>
    <t>Ghian Franken</t>
  </si>
  <si>
    <t>Jerôme Huntjens</t>
  </si>
  <si>
    <t>Kay Hameleers</t>
  </si>
  <si>
    <t>Ivo Schrouff</t>
  </si>
  <si>
    <t>Milan Marcus</t>
  </si>
  <si>
    <t>Scott Caubo</t>
  </si>
  <si>
    <t>Sjors Huntjens</t>
  </si>
  <si>
    <t>Nick Finders</t>
  </si>
  <si>
    <t>Dajo Scheeren</t>
  </si>
  <si>
    <t>Dani Becholtz</t>
  </si>
  <si>
    <t>Finn Eschweiler</t>
  </si>
  <si>
    <t>Martijn Schröder</t>
  </si>
  <si>
    <t>Devon Degens</t>
  </si>
  <si>
    <t>Kai Sterk</t>
  </si>
  <si>
    <t>Bjorn Jonkers</t>
  </si>
  <si>
    <t>Julian Freudenberg</t>
  </si>
  <si>
    <t>Wout Trompetter</t>
  </si>
  <si>
    <t>Koen Trompetter</t>
  </si>
  <si>
    <t>Silvano Thiyegesu</t>
  </si>
  <si>
    <t>Damien Razdevsek</t>
  </si>
  <si>
    <t>Mik Smit</t>
  </si>
  <si>
    <t>Owen Callemeijn</t>
  </si>
  <si>
    <t>Stan Schroën</t>
  </si>
  <si>
    <t>Ali Bayram Koyuncu</t>
  </si>
  <si>
    <t>Anis Nait Oumenssour</t>
  </si>
  <si>
    <t>Kenneth Nijsten</t>
  </si>
  <si>
    <t>Jasper Wijnen</t>
  </si>
  <si>
    <t>Lars Laumen</t>
  </si>
  <si>
    <t>Marouan Bouta</t>
  </si>
  <si>
    <t>Maysara Bouta</t>
  </si>
  <si>
    <t>Joey Coervers</t>
  </si>
  <si>
    <t>Stijn Franssen</t>
  </si>
  <si>
    <t>Julian Greven</t>
  </si>
  <si>
    <t>Mirsad Huric</t>
  </si>
  <si>
    <t>Owen Janssen</t>
  </si>
  <si>
    <t>Armin Javorovac</t>
  </si>
  <si>
    <t>Faruk Kaya</t>
  </si>
  <si>
    <t>Sim Krasovec</t>
  </si>
  <si>
    <t>Jarno Meertens</t>
  </si>
  <si>
    <t>Jeffrey Sloote</t>
  </si>
  <si>
    <t>Loek Weelen</t>
  </si>
  <si>
    <t>Jordy van der Molen</t>
  </si>
  <si>
    <t>Michael Nieskens</t>
  </si>
  <si>
    <t>Thom Theunissen</t>
  </si>
  <si>
    <t>Mel Angerer</t>
  </si>
  <si>
    <t>Jacco Quaedvlieg</t>
  </si>
  <si>
    <t>Tomyen van Lierop</t>
  </si>
  <si>
    <t>Chendo Kölker</t>
  </si>
  <si>
    <t>Yarin Meessen</t>
  </si>
  <si>
    <t>Dave Delnoy</t>
  </si>
  <si>
    <t>Petter Schings</t>
  </si>
  <si>
    <t>Maurice Smeets</t>
  </si>
  <si>
    <t>Jesper Schings</t>
  </si>
  <si>
    <t>Bas Dohmen</t>
  </si>
  <si>
    <t>Owen van Leeuwen</t>
  </si>
  <si>
    <t>Jeroen Klinkenberg</t>
  </si>
  <si>
    <t>Ramon Borger</t>
  </si>
  <si>
    <t>Bram Bemelmans</t>
  </si>
  <si>
    <t>Dominique Vanweersch</t>
  </si>
  <si>
    <t>Noah Rombach</t>
  </si>
  <si>
    <t>Kevin Savelberg</t>
  </si>
  <si>
    <t>Sem Kaus</t>
  </si>
  <si>
    <t>Meltin Vroomen</t>
  </si>
  <si>
    <t>Luca Debets</t>
  </si>
  <si>
    <t>Jayden Zafarin</t>
  </si>
  <si>
    <t>Rens Buitenkamp</t>
  </si>
  <si>
    <t>Ian Wante</t>
  </si>
  <si>
    <t>Wilger Houtermans</t>
  </si>
  <si>
    <t>Ron Latten</t>
  </si>
  <si>
    <t>Danny Latten</t>
  </si>
  <si>
    <t>Jordy Douven</t>
  </si>
  <si>
    <t>Pim Douven</t>
  </si>
  <si>
    <t>Luc Borgans</t>
  </si>
  <si>
    <t>Rick Wetzelaer</t>
  </si>
  <si>
    <t>Timo van der Heijden</t>
  </si>
  <si>
    <t>Gunnar Bruins</t>
  </si>
  <si>
    <t>Tim Lemmens</t>
  </si>
  <si>
    <t>Mart Pieters</t>
  </si>
  <si>
    <t>Sander Smeets</t>
  </si>
  <si>
    <t>Coen Schlösser</t>
  </si>
  <si>
    <t>Cas Vermeulen</t>
  </si>
  <si>
    <t>Youri Gijzen</t>
  </si>
  <si>
    <t>Jurre Driessen</t>
  </si>
  <si>
    <t>Cas Starmans</t>
  </si>
  <si>
    <t>Jelle Zweers</t>
  </si>
  <si>
    <t>Ian van Liempd</t>
  </si>
  <si>
    <t>Freek Pieters</t>
  </si>
  <si>
    <t>Stijn Gouverne</t>
  </si>
  <si>
    <t>Juul Hengst</t>
  </si>
  <si>
    <t>Bram Vrinzen</t>
  </si>
  <si>
    <t>Jari Sormani</t>
  </si>
  <si>
    <t>Alain Crutzen</t>
  </si>
  <si>
    <t>Lucas Hutschemaekers</t>
  </si>
  <si>
    <t>Ties Dullens</t>
  </si>
  <si>
    <t>Pepijn Linssen</t>
  </si>
  <si>
    <t>Djew Aalders</t>
  </si>
  <si>
    <t>Kyan Jacobi</t>
  </si>
  <si>
    <t>Jordy van der Ven</t>
  </si>
  <si>
    <t>Ivan Wauben</t>
  </si>
  <si>
    <t>Daan Baggen</t>
  </si>
  <si>
    <t>Bram Beugels</t>
  </si>
  <si>
    <t>Pelle Bindels</t>
  </si>
  <si>
    <t>Bram Brands</t>
  </si>
  <si>
    <t>Koen Brands</t>
  </si>
  <si>
    <t>Stijn Brands</t>
  </si>
  <si>
    <t>Dean Canisius</t>
  </si>
  <si>
    <t>Tijn Clignet</t>
  </si>
  <si>
    <t>Marvin Everartz</t>
  </si>
  <si>
    <t>Yannick Frijns</t>
  </si>
  <si>
    <t>Tom Gillissen</t>
  </si>
  <si>
    <t>Maarten Goossens</t>
  </si>
  <si>
    <t>Max Hamers</t>
  </si>
  <si>
    <t>Frank Heijnen</t>
  </si>
  <si>
    <t>Tren Heuts</t>
  </si>
  <si>
    <t>Stijn Janssen</t>
  </si>
  <si>
    <t>René Jorissen</t>
  </si>
  <si>
    <t>Rick Kisters</t>
  </si>
  <si>
    <t>Jordy Kleykers</t>
  </si>
  <si>
    <t>Tom Koekelkoren</t>
  </si>
  <si>
    <t>Rico Lauvenberg</t>
  </si>
  <si>
    <t>Jasper Maertzdorf</t>
  </si>
  <si>
    <t>Luca Matheus</t>
  </si>
  <si>
    <t>Noah Ramakers</t>
  </si>
  <si>
    <t>Kay Ritt</t>
  </si>
  <si>
    <t>Justin Schmets</t>
  </si>
  <si>
    <t>Marc Schröder</t>
  </si>
  <si>
    <t>Sem Sodermans</t>
  </si>
  <si>
    <t>Tum Speck</t>
  </si>
  <si>
    <t>Dean Swinkels</t>
  </si>
  <si>
    <t>Tijn Vaessen</t>
  </si>
  <si>
    <t>Bas de Vreede</t>
  </si>
  <si>
    <t>Jaouad Bakkali</t>
  </si>
  <si>
    <t>Lars Blom</t>
  </si>
  <si>
    <t>Yarno Driessen</t>
  </si>
  <si>
    <t>Tim Kanters</t>
  </si>
  <si>
    <t>Bas Lambermont</t>
  </si>
  <si>
    <t>Pepijn Otten</t>
  </si>
  <si>
    <t>Max van Amerongen</t>
  </si>
  <si>
    <t>Remco Beuken</t>
  </si>
  <si>
    <t>Max Conemans</t>
  </si>
  <si>
    <t>Tijmen Dings</t>
  </si>
  <si>
    <t>Jesse Dohmen</t>
  </si>
  <si>
    <t>Robbert van Esburg</t>
  </si>
  <si>
    <t>Simon Eurlings</t>
  </si>
  <si>
    <t>Luca Pelt</t>
  </si>
  <si>
    <t>Joep de Poel</t>
  </si>
  <si>
    <t>Sjoerd de Poel</t>
  </si>
  <si>
    <t>Ruben Seelen</t>
  </si>
  <si>
    <t>Mick Vandenbergh</t>
  </si>
  <si>
    <t>Rick Weyts</t>
  </si>
  <si>
    <t>Thijmen Beek</t>
  </si>
  <si>
    <t>Cayo Urlings</t>
  </si>
  <si>
    <t>Wassim Ajamai</t>
  </si>
  <si>
    <t>Luciano Mager</t>
  </si>
  <si>
    <t>Bram Lentjens</t>
  </si>
  <si>
    <t>Eray Soyturk</t>
  </si>
  <si>
    <t>Esmir Mujkic</t>
  </si>
  <si>
    <t>Dylan Lutjens</t>
  </si>
  <si>
    <t>Pim Maes</t>
  </si>
  <si>
    <t>Brian Ruipers</t>
  </si>
  <si>
    <t>Batiz Brassé</t>
  </si>
  <si>
    <t>Amine Farah</t>
  </si>
  <si>
    <t>Halit Yurdakul</t>
  </si>
  <si>
    <t>Eyan Schuffelen</t>
  </si>
  <si>
    <t>Kasdi Wobben</t>
  </si>
  <si>
    <t>Mithu Ponnuthurai</t>
  </si>
  <si>
    <t>Stan Aelfers</t>
  </si>
  <si>
    <t>Ravin Thyegesu</t>
  </si>
  <si>
    <t>Walson Maessen</t>
  </si>
  <si>
    <t>Dex Dukers</t>
  </si>
  <si>
    <t>Jesse Brouns</t>
  </si>
  <si>
    <t>Bodhi Brouns</t>
  </si>
  <si>
    <t>Vince Elzinga</t>
  </si>
  <si>
    <t>Donny Jacobs</t>
  </si>
  <si>
    <t>Joost Jager</t>
  </si>
  <si>
    <t>Niels Stouten</t>
  </si>
  <si>
    <t>Sasha Teeuwen</t>
  </si>
  <si>
    <t>Tim Wenmeekers</t>
  </si>
  <si>
    <t>Stef Nelissen</t>
  </si>
  <si>
    <t>Diego Booijen</t>
  </si>
  <si>
    <t>Burak Unsal</t>
  </si>
  <si>
    <t>Lars Wassenberg</t>
  </si>
  <si>
    <t>Nick Bongaerts</t>
  </si>
  <si>
    <t>Sem de Fretes</t>
  </si>
  <si>
    <t>Quin Kemper</t>
  </si>
  <si>
    <t>Bow Maas</t>
  </si>
  <si>
    <t>Sten Meerts</t>
  </si>
  <si>
    <t>Sam van Seccelen</t>
  </si>
  <si>
    <t>Bohdy Thijssen</t>
  </si>
  <si>
    <t>Jaydon Thijssen</t>
  </si>
  <si>
    <t>Kay Huskens</t>
  </si>
  <si>
    <t>Mohamed Camara</t>
  </si>
  <si>
    <t>Lars Aben</t>
  </si>
  <si>
    <t>Levi Boom</t>
  </si>
  <si>
    <t>Jur Cox</t>
  </si>
  <si>
    <t>Thom Cleven</t>
  </si>
  <si>
    <t>Tom Derks</t>
  </si>
  <si>
    <t>Cas Eijssen</t>
  </si>
  <si>
    <t>Neill Hoffman</t>
  </si>
  <si>
    <t>Ali Jakir</t>
  </si>
  <si>
    <t>Lars Koelen</t>
  </si>
  <si>
    <t>Bjorn Peeters</t>
  </si>
  <si>
    <t>Dylan Schuman</t>
  </si>
  <si>
    <t>Jeroen Versteegen</t>
  </si>
  <si>
    <t>Wouter Cabo</t>
  </si>
  <si>
    <t>Bram Cramers</t>
  </si>
  <si>
    <t>Christian Deneer</t>
  </si>
  <si>
    <t>Timon Essers</t>
  </si>
  <si>
    <t>Victor Hendrickx</t>
  </si>
  <si>
    <t>Dillon Janssens</t>
  </si>
  <si>
    <t>Yves Krekelberg</t>
  </si>
  <si>
    <t>Remco van Teeffelen</t>
  </si>
  <si>
    <t>Joeri de Vreese</t>
  </si>
  <si>
    <t>Rob Wijers</t>
  </si>
  <si>
    <t>Rik Beckers</t>
  </si>
  <si>
    <t>Berj Morjan</t>
  </si>
  <si>
    <t>Patrick Smeets</t>
  </si>
  <si>
    <t>Koen Rademakers</t>
  </si>
  <si>
    <t>Sem Penners</t>
  </si>
  <si>
    <t>Stef Pisters</t>
  </si>
  <si>
    <t>Ferry Stassen</t>
  </si>
  <si>
    <t>Bas Greefkes</t>
  </si>
  <si>
    <t>Job Cox</t>
  </si>
  <si>
    <t>Juanito Janssen</t>
  </si>
  <si>
    <t>Ruben Bouwens</t>
  </si>
  <si>
    <t>Nigel van der Loo</t>
  </si>
  <si>
    <t>Stan Wessels</t>
  </si>
  <si>
    <t>Randy Verhulst</t>
  </si>
  <si>
    <t>Frits Brouwer</t>
  </si>
  <si>
    <t>Dario Armani</t>
  </si>
  <si>
    <t>Patrick Virdis</t>
  </si>
  <si>
    <t>Keano Schumans</t>
  </si>
  <si>
    <t>Mark Hoedemakers</t>
  </si>
  <si>
    <t>Joep Smits</t>
  </si>
  <si>
    <t>Sven Lemmens</t>
  </si>
  <si>
    <t>Boyd Borger</t>
  </si>
  <si>
    <t>Vince Meijers</t>
  </si>
  <si>
    <t>Remco Kivit</t>
  </si>
  <si>
    <t>Yannick Idema</t>
  </si>
  <si>
    <t>Deejay Soudant</t>
  </si>
  <si>
    <t>Tim van Riet</t>
  </si>
  <si>
    <t>Job Theulen</t>
  </si>
  <si>
    <t>Nick Hoks</t>
  </si>
  <si>
    <t>Niels Hendriks</t>
  </si>
  <si>
    <t>Jip Roemen</t>
  </si>
  <si>
    <t>Luca van Helden</t>
  </si>
  <si>
    <t>Mitch Schmitz</t>
  </si>
  <si>
    <t>Daan Sonnemans</t>
  </si>
  <si>
    <t>Max Willems</t>
  </si>
  <si>
    <t>Mike Kurvers</t>
  </si>
  <si>
    <t>Tom Schoonbrood</t>
  </si>
  <si>
    <t>Peter van Wichen</t>
  </si>
  <si>
    <t>Joppe Hover</t>
  </si>
  <si>
    <t>Niels Hamacher</t>
  </si>
  <si>
    <t>Milo Pustjens</t>
  </si>
  <si>
    <t>Max Henssen</t>
  </si>
  <si>
    <t>Nick Henssen</t>
  </si>
  <si>
    <t>Tom Sleijpen</t>
  </si>
  <si>
    <t>Finn Golsteijn</t>
  </si>
  <si>
    <t>Joep Mols</t>
  </si>
  <si>
    <t>Jelle Stassen</t>
  </si>
  <si>
    <t>Luc Monster</t>
  </si>
  <si>
    <t>John Vogten</t>
  </si>
  <si>
    <t>Sam van der Zwaag</t>
  </si>
  <si>
    <t>Mika van Tillo</t>
  </si>
  <si>
    <t>Ryan Martens</t>
  </si>
  <si>
    <t>Kyro Kuijpers</t>
  </si>
  <si>
    <t>Quincy Hofman</t>
  </si>
  <si>
    <t>Latif Nuhu</t>
  </si>
  <si>
    <t>Bas Maussen</t>
  </si>
  <si>
    <t>Bouke Mennens</t>
  </si>
  <si>
    <t>Christian Michiels</t>
  </si>
  <si>
    <t>Daan Klaassen</t>
  </si>
  <si>
    <t>Delano Dominguez</t>
  </si>
  <si>
    <t>Fabian Out</t>
  </si>
  <si>
    <t>Jord Mennens</t>
  </si>
  <si>
    <t>Luc Cremers</t>
  </si>
  <si>
    <t>Mahdi Handels</t>
  </si>
  <si>
    <t>Niels Reuling</t>
  </si>
  <si>
    <t>Sandy Janssen</t>
  </si>
  <si>
    <t>Thomas van Ginkel</t>
  </si>
  <si>
    <t>Youri Bezemer</t>
  </si>
  <si>
    <t>DERDE/VIERDE DIVISIE</t>
  </si>
  <si>
    <t>VIERDE DIVISIE/EERSTE KLASSE</t>
  </si>
  <si>
    <t>EERSTE/TWEEDE KLASSE</t>
  </si>
  <si>
    <t>TWEEDE/DERDE KLASSE</t>
  </si>
  <si>
    <t>DERDE/VIERDE KLASSE</t>
  </si>
  <si>
    <t>VIERDE/VIJFDE KLASSE</t>
  </si>
  <si>
    <t>DERDE/VIERDE_DIVISIE</t>
  </si>
  <si>
    <t>VIERDE_DIVISIE/EERSTE_KLASSE</t>
  </si>
  <si>
    <t>EERSTE/TWEEDE_KLASSE</t>
  </si>
  <si>
    <t>TWEEDE/DERDE_KLASSE</t>
  </si>
  <si>
    <t>DERDE/VIERDE_KLASSE</t>
  </si>
  <si>
    <t>VIERDE/VIJFDE_KLASSE</t>
  </si>
  <si>
    <t>Excelsior M</t>
  </si>
  <si>
    <t>SV Poortugaal</t>
  </si>
  <si>
    <t>UDI '19</t>
  </si>
  <si>
    <t>Kampong</t>
  </si>
  <si>
    <t>Mierlo-Hout</t>
  </si>
  <si>
    <t>Roda Boys</t>
  </si>
  <si>
    <t>WNC</t>
  </si>
  <si>
    <t>Erp</t>
  </si>
  <si>
    <t>Handel</t>
  </si>
  <si>
    <t>Nemelaer</t>
  </si>
  <si>
    <t>Sarto</t>
  </si>
  <si>
    <t>TWEEDE KLASSE I</t>
  </si>
  <si>
    <t>DERDE KLASSE B</t>
  </si>
  <si>
    <t>ASV'33</t>
  </si>
  <si>
    <t>Olympia'18</t>
  </si>
  <si>
    <t>VICI 04</t>
  </si>
  <si>
    <t>ZSV</t>
  </si>
  <si>
    <t>DERDE KLASSE C</t>
  </si>
  <si>
    <t>FC Oda</t>
  </si>
  <si>
    <t>Rood Wit'67</t>
  </si>
  <si>
    <t>VV HEBES</t>
  </si>
  <si>
    <t>DERDE KLASSE D</t>
  </si>
  <si>
    <t>Leonidas W</t>
  </si>
  <si>
    <t>VV Zwentibold</t>
  </si>
  <si>
    <t>DFO '20</t>
  </si>
  <si>
    <t>VIERDE KLASSE E</t>
  </si>
  <si>
    <t>DOSL</t>
  </si>
  <si>
    <t>Maarheeze</t>
  </si>
  <si>
    <t>ONDO</t>
  </si>
  <si>
    <t>SPV</t>
  </si>
  <si>
    <t>SV Brandevoort</t>
  </si>
  <si>
    <t>SV De Braak</t>
  </si>
  <si>
    <t>SVSH</t>
  </si>
  <si>
    <t>DEV Arcen</t>
  </si>
  <si>
    <t>Milheezer Boys</t>
  </si>
  <si>
    <t>Kakertse Boys</t>
  </si>
  <si>
    <t>OVCS</t>
  </si>
  <si>
    <t>HBC'09</t>
  </si>
  <si>
    <t>SV Argo</t>
  </si>
  <si>
    <t>SSE</t>
  </si>
  <si>
    <t>VVV'03</t>
  </si>
  <si>
    <t>Bavos</t>
  </si>
  <si>
    <t>De Mortel</t>
  </si>
  <si>
    <t>Gassel</t>
  </si>
  <si>
    <t>Odiliapeel</t>
  </si>
  <si>
    <t>SV De Middenpeel</t>
  </si>
  <si>
    <t>SES</t>
  </si>
  <si>
    <t>SSA/SJO VBS'25</t>
  </si>
  <si>
    <t>SV DWSH'18</t>
  </si>
  <si>
    <t>SV Milsbeek</t>
  </si>
  <si>
    <t>VESTA'19</t>
  </si>
  <si>
    <t>Vorstenbossche Boys</t>
  </si>
  <si>
    <t>Zwart-Wit '19</t>
  </si>
  <si>
    <t>TWEEDE_KLASSE_I</t>
  </si>
  <si>
    <t>DERDE_KLASSE_B</t>
  </si>
  <si>
    <t>DERDE_KLASSE_C</t>
  </si>
  <si>
    <t>DERDE_KLASSE_D</t>
  </si>
  <si>
    <t>VIERDE_KLASSE_E</t>
  </si>
  <si>
    <t>###Namen origineel en bereiknaam moeten overeenkomen met _ ipv spatie</t>
  </si>
  <si>
    <t>###Formule &gt; Namen controleren: checken of bereiknaam in lijst voorkomt, zo niet: aanpassen en nieuwe formule (= slepen waarden tabel van klasse/divisie)</t>
  </si>
  <si>
    <t>### https://www.knvb.nl/assist-wedstrijdsecretarissen/veldvoetbal/seizoensplanning/indelingen-en-wedstrijdschemas</t>
  </si>
  <si>
    <t>VROUWEN HOOFDKLASSE B</t>
  </si>
  <si>
    <t>VROUWEN EERSTE KLASSE D</t>
  </si>
  <si>
    <t>VROUWEN_HOOFDKLASSE_B</t>
  </si>
  <si>
    <t>VROUWE_EERSTE_KLASSE_D</t>
  </si>
  <si>
    <t>ADO'20 VR1</t>
  </si>
  <si>
    <t>Always Forward VR1</t>
  </si>
  <si>
    <t>VV Bavel VR1</t>
  </si>
  <si>
    <t>Beerse Boys VR1</t>
  </si>
  <si>
    <t>FC Eindhoven AV VR2</t>
  </si>
  <si>
    <t>VV Hoogland VR1</t>
  </si>
  <si>
    <t>RKSV Nuenen VR1</t>
  </si>
  <si>
    <t>FC Tilburg VR1</t>
  </si>
  <si>
    <t>UDI'19 VR1</t>
  </si>
  <si>
    <t>VDZ VR1</t>
  </si>
  <si>
    <t>ZVV Zaandijk VR1</t>
  </si>
  <si>
    <t>VV Bavel VR2</t>
  </si>
  <si>
    <t>VV FSG VR1</t>
  </si>
  <si>
    <t>SC Gastel VR1</t>
  </si>
  <si>
    <t>SV Leveroy VR1</t>
  </si>
  <si>
    <t>Moerse Boys VR1</t>
  </si>
  <si>
    <t>RKSV Nuenen VR2</t>
  </si>
  <si>
    <t>SV Someren VR1</t>
  </si>
  <si>
    <t>SSS '18 VR1</t>
  </si>
  <si>
    <t>VIVOO VR1</t>
  </si>
  <si>
    <t>RKSV Wittenhorst VR1</t>
  </si>
  <si>
    <t>Vul hier de namen van de Limburgse clubs en spelers in voor de controle van de namen.</t>
  </si>
  <si>
    <t>Vul hier Limburgse clubs in die je wilt inbegrijpen in de controle.</t>
  </si>
  <si>
    <t>FC Eindhoven AV VR3</t>
  </si>
  <si>
    <t>RKHBS VR1</t>
  </si>
  <si>
    <t>Ilias Bouhlri</t>
  </si>
  <si>
    <t>Rayan Addarazi</t>
  </si>
  <si>
    <t>Tijn van de Bercken</t>
  </si>
  <si>
    <t>Yakub Akdiz</t>
  </si>
  <si>
    <t>Jaimy Vaessen</t>
  </si>
  <si>
    <t>Teun Oestreich</t>
  </si>
  <si>
    <t>Rick van der Zee</t>
  </si>
  <si>
    <t>Kai Zanders</t>
  </si>
  <si>
    <t>Ruben Peulen</t>
  </si>
  <si>
    <t>Max Hendrix</t>
  </si>
  <si>
    <t>Jesse Vijver</t>
  </si>
  <si>
    <t>Daan van Nienhuijs</t>
  </si>
  <si>
    <t>Tim Diebels</t>
  </si>
  <si>
    <t>Etienne Verhofstad</t>
  </si>
  <si>
    <t>Sergi Simons</t>
  </si>
  <si>
    <t>Luuk Maas</t>
  </si>
  <si>
    <t>Jasper Swaghoven</t>
  </si>
  <si>
    <t>Sergio Verhostert</t>
  </si>
  <si>
    <t>David Driessen</t>
  </si>
  <si>
    <t>Bob Hoveling</t>
  </si>
  <si>
    <t>Noah Janssen</t>
  </si>
  <si>
    <t>Aasif Dahlou</t>
  </si>
  <si>
    <t>Kane Trienekes</t>
  </si>
  <si>
    <t>Tom Abbenhuis</t>
  </si>
  <si>
    <t>Diyae-Eddine Chraiha</t>
  </si>
  <si>
    <t>Rens Beurskens</t>
  </si>
  <si>
    <t>Reno Kochanowski</t>
  </si>
  <si>
    <t>Nicolas Mitchell</t>
  </si>
  <si>
    <t>Yorick Schilken</t>
  </si>
  <si>
    <t>Levi Gorts</t>
  </si>
  <si>
    <t>Loek Heuvelmans</t>
  </si>
  <si>
    <t>Raf Janssen</t>
  </si>
  <si>
    <t>Tycho Janssen</t>
  </si>
  <si>
    <t>Blade Marcet</t>
  </si>
  <si>
    <t>Jayden Pereira</t>
  </si>
  <si>
    <t>Max Sahusilawane</t>
  </si>
  <si>
    <t>Milan Trajcev</t>
  </si>
  <si>
    <t>Keano van der Sluizen</t>
  </si>
  <si>
    <t>Jordi Wolters</t>
  </si>
  <si>
    <t>Mateusz Wysocki</t>
  </si>
  <si>
    <t>Melvin Wijngaarden</t>
  </si>
  <si>
    <t>Uygar Yavuz</t>
  </si>
  <si>
    <t>Glenn Ariaans</t>
  </si>
  <si>
    <t>Jorn Avazaat</t>
  </si>
  <si>
    <t>Tom Beek</t>
  </si>
  <si>
    <t>Loewieke van Cruchten</t>
  </si>
  <si>
    <t>Jort Emans</t>
  </si>
  <si>
    <t>Chekil Fonkel</t>
  </si>
  <si>
    <t>Job Heijmans</t>
  </si>
  <si>
    <t>Guillaime Janssen</t>
  </si>
  <si>
    <t>Gijs Laumen</t>
  </si>
  <si>
    <t>Quincy Valanti</t>
  </si>
  <si>
    <t>Luc Romeijnders</t>
  </si>
  <si>
    <t>Ryan van Soest</t>
  </si>
  <si>
    <t>Danel Sofic</t>
  </si>
  <si>
    <t>Denis Sofic</t>
  </si>
  <si>
    <t>Kevin van Soest</t>
  </si>
  <si>
    <t>Yvo Sahusilawane</t>
  </si>
  <si>
    <t>Ali Touray</t>
  </si>
  <si>
    <t>Bart van Wylick</t>
  </si>
  <si>
    <t>Sjoerd Waajen</t>
  </si>
  <si>
    <t>Frank Vincken</t>
  </si>
  <si>
    <t>Jordy Matzner</t>
  </si>
  <si>
    <t>Sylvano Theunissen</t>
  </si>
  <si>
    <t>Mike Minten</t>
  </si>
  <si>
    <t>Guy Leclaire</t>
  </si>
  <si>
    <t>Noah Driessen</t>
  </si>
  <si>
    <t>Levi Mingelers</t>
  </si>
  <si>
    <t>Wilco Brouns</t>
  </si>
  <si>
    <t>Robin Luyten</t>
  </si>
  <si>
    <t>Robert Kok</t>
  </si>
  <si>
    <t>Bram Kools</t>
  </si>
  <si>
    <t>Robin Dikschen</t>
  </si>
  <si>
    <t>Levi Crauwels</t>
  </si>
  <si>
    <t>Levi van den Hove</t>
  </si>
  <si>
    <t>Jeffrey Koenen</t>
  </si>
  <si>
    <t>Jaison Trinidad</t>
  </si>
  <si>
    <t>Marijn Versteegen</t>
  </si>
  <si>
    <t>Joeri Wiertz</t>
  </si>
  <si>
    <t>Rob Opheij</t>
  </si>
  <si>
    <t>Daan Franssen</t>
  </si>
  <si>
    <t>Jens Hunnekens</t>
  </si>
  <si>
    <t>Juul van Wylick</t>
  </si>
  <si>
    <t>Rijn Seuntjens</t>
  </si>
  <si>
    <t>Vinnie Steeghs</t>
  </si>
  <si>
    <t>Raf Teeuwen</t>
  </si>
  <si>
    <t>Mees Verkoelen</t>
  </si>
  <si>
    <t>Bart Jacobs</t>
  </si>
  <si>
    <t>Giel Jacobs</t>
  </si>
  <si>
    <t>Tom Smits</t>
  </si>
  <si>
    <t>Bram Geraedts</t>
  </si>
  <si>
    <t>Daan Zeelen</t>
  </si>
  <si>
    <t>Jurre Simons</t>
  </si>
  <si>
    <t>Willem Kruijk</t>
  </si>
  <si>
    <t>Wessel van Nisselroij</t>
  </si>
  <si>
    <t>Jort Sieben</t>
  </si>
  <si>
    <t>Vince Pieters</t>
  </si>
  <si>
    <t>Wout Vercoulen</t>
  </si>
  <si>
    <t>Storm Jacobs</t>
  </si>
  <si>
    <t>Juul van den Beuken</t>
  </si>
  <si>
    <t>Daan Verstegen</t>
  </si>
  <si>
    <t>Chefrino Eind</t>
  </si>
  <si>
    <t>Renz Smoorenburg</t>
  </si>
  <si>
    <t>Marko Jevric</t>
  </si>
  <si>
    <t>Colin van Eijk</t>
  </si>
  <si>
    <t>Lars Reck</t>
  </si>
  <si>
    <t>Luc Roex</t>
  </si>
  <si>
    <t>Mika Peters</t>
  </si>
  <si>
    <t>Jordy Stoffelen</t>
  </si>
  <si>
    <t>Chris Darding</t>
  </si>
  <si>
    <t>Tom Creusen</t>
  </si>
  <si>
    <t>Pascal Janssen</t>
  </si>
  <si>
    <t>Azziz Azou</t>
  </si>
  <si>
    <t>Dean Willems</t>
  </si>
  <si>
    <t>Con van Liere</t>
  </si>
  <si>
    <t>Ian van de Berg</t>
  </si>
  <si>
    <t>Denus Smeets</t>
  </si>
  <si>
    <t>Gerson Mayasii</t>
  </si>
  <si>
    <t>Mitchel Franken</t>
  </si>
  <si>
    <t>Joeri Simons</t>
  </si>
  <si>
    <t>Bram Remans</t>
  </si>
  <si>
    <t>Dean Schenkhuizen</t>
  </si>
  <si>
    <t>Seb Loeffen</t>
  </si>
  <si>
    <t>Sebastian van Grimbergen</t>
  </si>
  <si>
    <t>Justin Verjans</t>
  </si>
  <si>
    <t>Sam Krawczyk</t>
  </si>
  <si>
    <t>Milan Dekkers</t>
  </si>
  <si>
    <t>Jur van Driel</t>
  </si>
  <si>
    <t>Wout van Driel</t>
  </si>
  <si>
    <t>Jeroen Evers</t>
  </si>
  <si>
    <t>Wout Frenken</t>
  </si>
  <si>
    <t>Stef van Geel</t>
  </si>
  <si>
    <t>Bas Jacobs</t>
  </si>
  <si>
    <t>Kay ten Kley</t>
  </si>
  <si>
    <t>Timo Molkenboer</t>
  </si>
  <si>
    <t>Mitchel van de Vorst</t>
  </si>
  <si>
    <t>Steven van de Vorst</t>
  </si>
  <si>
    <t>Pieter Wanten</t>
  </si>
  <si>
    <t>Mick Berkers</t>
  </si>
  <si>
    <t>Tommy Janssen</t>
  </si>
  <si>
    <t>Rik Bos</t>
  </si>
  <si>
    <t>Bram Kessels</t>
  </si>
  <si>
    <t>Pim Janssen</t>
  </si>
  <si>
    <t>Jurjen Verbong</t>
  </si>
  <si>
    <t>Niek Schers</t>
  </si>
  <si>
    <t>Bram Rongen</t>
  </si>
  <si>
    <t>Wouter Coolen</t>
  </si>
  <si>
    <t>Freek Kessels</t>
  </si>
  <si>
    <t>Jeffrey Daniels</t>
  </si>
  <si>
    <t>Bas Lemmen</t>
  </si>
  <si>
    <t>Luka Aerts</t>
  </si>
  <si>
    <t>Stan Vaessen</t>
  </si>
  <si>
    <t>Wesley Goeden</t>
  </si>
  <si>
    <t>Lars van der Doelen</t>
  </si>
  <si>
    <t>Gery Mommertz</t>
  </si>
  <si>
    <t>Siep Grooten</t>
  </si>
  <si>
    <t>Mees Vanhommerig</t>
  </si>
  <si>
    <t>Timo Muitjens</t>
  </si>
  <si>
    <t>Jean-Paul Moureau</t>
  </si>
  <si>
    <t>Laurents van den Ham</t>
  </si>
  <si>
    <t>Niels Huijs</t>
  </si>
  <si>
    <t>Max van Leur</t>
  </si>
  <si>
    <t>Koen Jenniskens</t>
  </si>
  <si>
    <t>Siem Jenniskens</t>
  </si>
  <si>
    <t>Gianluca Maria</t>
  </si>
  <si>
    <t>Ezra Edward</t>
  </si>
  <si>
    <t>Dominic van Zundert</t>
  </si>
  <si>
    <t>Darrel Lemmert</t>
  </si>
  <si>
    <t>Lars Wijenberg</t>
  </si>
  <si>
    <t>Stan Kersten</t>
  </si>
  <si>
    <t>Cas van Haren</t>
  </si>
  <si>
    <t>Tom van Dijck</t>
  </si>
  <si>
    <t>Jesse Verhaag</t>
  </si>
  <si>
    <t>Younes Bouri</t>
  </si>
  <si>
    <t>Badr Ben Aicha</t>
  </si>
  <si>
    <t>Necati Yildirim</t>
  </si>
  <si>
    <t>Raf Piepers</t>
  </si>
  <si>
    <t>Lars Verheesen</t>
  </si>
  <si>
    <t>Jorn de Rechter</t>
  </si>
  <si>
    <t>Juul Hermans</t>
  </si>
  <si>
    <t>Roan Beckers</t>
  </si>
  <si>
    <t>Cas van Zantvoort</t>
  </si>
  <si>
    <t>Levi Beckers</t>
  </si>
  <si>
    <t>Diego Hellebrand</t>
  </si>
  <si>
    <t>Belmin Ekic</t>
  </si>
  <si>
    <t>Pierre Ciftcioglu</t>
  </si>
  <si>
    <t>Dominic Jankowski</t>
  </si>
  <si>
    <t>Djaimen Martin</t>
  </si>
  <si>
    <t>Joost Berden</t>
  </si>
  <si>
    <t>Jean-Paul van de Burgt</t>
  </si>
  <si>
    <t>Boris Begovic</t>
  </si>
  <si>
    <t>Furkan Kiravi</t>
  </si>
  <si>
    <t>Nesjet Kose</t>
  </si>
  <si>
    <t>Alex Robberts</t>
  </si>
  <si>
    <t>Max Robberts</t>
  </si>
  <si>
    <t>Daan Speetjens</t>
  </si>
  <si>
    <t>Mees Thewissen</t>
  </si>
  <si>
    <t>Robin Leerssen</t>
  </si>
  <si>
    <t>Xavi Jennen</t>
  </si>
  <si>
    <t>Jordy van Duuren</t>
  </si>
  <si>
    <t>Mika Colaris</t>
  </si>
  <si>
    <t>Noah Colaris</t>
  </si>
  <si>
    <t>Daan Bemelmans</t>
  </si>
  <si>
    <t>Daan Heuts</t>
  </si>
  <si>
    <t>Lou Vrencken</t>
  </si>
  <si>
    <t>Yord Conjour</t>
  </si>
  <si>
    <t>Daan Kreuwers</t>
  </si>
  <si>
    <t>Jusfre Balter</t>
  </si>
  <si>
    <t>Finn Schrooten</t>
  </si>
  <si>
    <t>Sem Schrooten</t>
  </si>
  <si>
    <t>Rik Vencken</t>
  </si>
  <si>
    <t>Levy de Wit</t>
  </si>
  <si>
    <t>Jasper Hoedemakers</t>
  </si>
  <si>
    <t>Fabio Morelli</t>
  </si>
  <si>
    <t>Kay Colaris</t>
  </si>
  <si>
    <t>Raff Vencken</t>
  </si>
  <si>
    <t>Mischa van Loo</t>
  </si>
  <si>
    <t>Rick Oberndorff</t>
  </si>
  <si>
    <t>Björn van Nistelrooy</t>
  </si>
  <si>
    <t>Wesley Mulleners</t>
  </si>
  <si>
    <t>Youcef Benhamida</t>
  </si>
  <si>
    <t>Denis Nkonika Jiwulu</t>
  </si>
  <si>
    <t>Dean Glasbergen</t>
  </si>
  <si>
    <t>Cas Gijselaers</t>
  </si>
  <si>
    <t>Guus Mullers</t>
  </si>
  <si>
    <t>Raff Jorissen</t>
  </si>
  <si>
    <t>Siandro Teixera</t>
  </si>
  <si>
    <t>Danny Ritchi</t>
  </si>
  <si>
    <t>Stan Heijnen</t>
  </si>
  <si>
    <t>Mylan Rapati</t>
  </si>
  <si>
    <t>Reno Hameleers</t>
  </si>
  <si>
    <t>Xander van Hoorn</t>
  </si>
  <si>
    <t>Erik Walthouwer</t>
  </si>
  <si>
    <t>Glenn Kourkouliotis</t>
  </si>
  <si>
    <t>Keanu Waelauruw</t>
  </si>
  <si>
    <t>Levy Martoredjo</t>
  </si>
  <si>
    <t>Youri Snel</t>
  </si>
  <si>
    <t>Maro Masset</t>
  </si>
  <si>
    <t>Youri Beyers</t>
  </si>
  <si>
    <t>Daan Wijler</t>
  </si>
  <si>
    <t>Floris Aretz</t>
  </si>
  <si>
    <t>Luca Smeets</t>
  </si>
  <si>
    <t>Isak de Vries</t>
  </si>
  <si>
    <t>Dennis Dengering</t>
  </si>
  <si>
    <t>Made de Jong</t>
  </si>
  <si>
    <t>Cas Solberg</t>
  </si>
  <si>
    <t>Yves Swilden</t>
  </si>
  <si>
    <t>Marnix Heuts</t>
  </si>
  <si>
    <t>Timo Stoffer</t>
  </si>
  <si>
    <t>Zakaria Tarrazi</t>
  </si>
  <si>
    <t>Agit Sahin</t>
  </si>
  <si>
    <t>Marwan Baha-Ali</t>
  </si>
  <si>
    <t>Mees van Rooy</t>
  </si>
  <si>
    <t>Milan Beijes</t>
  </si>
  <si>
    <t>Ries Bijlmakers</t>
  </si>
  <si>
    <t>Fer Driessen</t>
  </si>
  <si>
    <t>Wouter Duysens</t>
  </si>
  <si>
    <t>Dirk van Eijndhoven</t>
  </si>
  <si>
    <t>Bas Frissen</t>
  </si>
  <si>
    <t>Jelte Hermans</t>
  </si>
  <si>
    <t>Cis Sijbers</t>
  </si>
  <si>
    <t>Sander Lanters</t>
  </si>
  <si>
    <t>Brien Arrammach</t>
  </si>
  <si>
    <t>Iwan Brauers</t>
  </si>
  <si>
    <t>Ward Brauers</t>
  </si>
  <si>
    <t>Kay Göbbels</t>
  </si>
  <si>
    <t>Jarno Hendriks</t>
  </si>
  <si>
    <t>Scott van Delden</t>
  </si>
  <si>
    <t>Mike Schösser</t>
  </si>
  <si>
    <t>Mika Vermeeren</t>
  </si>
  <si>
    <t>Rowan Vanwersch</t>
  </si>
  <si>
    <t>Bas Houben</t>
  </si>
  <si>
    <t>Jarno Geerkens</t>
  </si>
  <si>
    <t>Kevin van Tilburg</t>
  </si>
  <si>
    <t>Kyano Evertz</t>
  </si>
  <si>
    <t>Ceylan Ibrahim Klaas</t>
  </si>
  <si>
    <t>Melvin Kortis</t>
  </si>
  <si>
    <t>Arjan Kersten</t>
  </si>
  <si>
    <t>Kjell Bessems</t>
  </si>
  <si>
    <t>David Vranken</t>
  </si>
  <si>
    <t>Juul Kuijpers</t>
  </si>
  <si>
    <t>Bob Schuurman</t>
  </si>
  <si>
    <t>Julien Rutten</t>
  </si>
  <si>
    <t>Brian Dodemont</t>
  </si>
  <si>
    <t>Drik van der Pluym</t>
  </si>
  <si>
    <t>Joep Houben</t>
  </si>
  <si>
    <t>Jort Hendrikx</t>
  </si>
  <si>
    <t>Jules Dassen</t>
  </si>
  <si>
    <t>Raf van der Pluym</t>
  </si>
  <si>
    <t>Roel Jaspars</t>
  </si>
  <si>
    <t>Stijn Huysmans</t>
  </si>
  <si>
    <t>Thom Nelissen</t>
  </si>
  <si>
    <t>Youri van Lijf</t>
  </si>
  <si>
    <t>Mats Nicolaas</t>
  </si>
  <si>
    <t>Dennis van de Leygraaf</t>
  </si>
  <si>
    <t>Yannick Maas</t>
  </si>
  <si>
    <t>Maxim Dresen</t>
  </si>
  <si>
    <t>Guido Mullenders</t>
  </si>
  <si>
    <t>Samuel Mengstab</t>
  </si>
  <si>
    <t>Thimo Curfs</t>
  </si>
  <si>
    <t>Sam Bosma</t>
  </si>
  <si>
    <t>Hicham Sadike</t>
  </si>
  <si>
    <t>Camille Huntjens</t>
  </si>
  <si>
    <t>Jordi Steinbusch</t>
  </si>
  <si>
    <t>Milan Mingels</t>
  </si>
  <si>
    <t>Stan Driessen</t>
  </si>
  <si>
    <t>Zep Laeven</t>
  </si>
  <si>
    <t>Adam al Haiba</t>
  </si>
  <si>
    <t>Alexander Jochems</t>
  </si>
  <si>
    <t>Lars Cortenrade</t>
  </si>
  <si>
    <t>Jimmy Vriezelaar</t>
  </si>
  <si>
    <t>Nicky Vanderstraeten</t>
  </si>
  <si>
    <t>Sjoerd Waterval</t>
  </si>
  <si>
    <t>Mels Stoffens</t>
  </si>
  <si>
    <t>Benoît Caris</t>
  </si>
  <si>
    <t>Joël Leenders</t>
  </si>
  <si>
    <t>Mike Felten</t>
  </si>
  <si>
    <t>Stijn Boonen</t>
  </si>
  <si>
    <t>Jur Huibers</t>
  </si>
  <si>
    <t>Rob van Dijk</t>
  </si>
  <si>
    <t>Finn Valckx</t>
  </si>
  <si>
    <t>Ward van Cleef</t>
  </si>
  <si>
    <t>Tom Keltjens</t>
  </si>
  <si>
    <t>Bram Peulen</t>
  </si>
  <si>
    <t>Wout Peulen</t>
  </si>
  <si>
    <t>Bert Smeets</t>
  </si>
  <si>
    <t>Max Gerards</t>
  </si>
  <si>
    <t>Jelle Wolters</t>
  </si>
  <si>
    <t>Stefan Cuijpers</t>
  </si>
  <si>
    <t>Sem Geurts</t>
  </si>
  <si>
    <t>Ran Schouenberg</t>
  </si>
  <si>
    <t>Joeri Holtman</t>
  </si>
  <si>
    <t>Aidan de Maaijer</t>
  </si>
  <si>
    <t>Tim van Horck</t>
  </si>
  <si>
    <t>Finn Simons</t>
  </si>
  <si>
    <t>Tren Knoben</t>
  </si>
  <si>
    <t>Amin Abarbia</t>
  </si>
  <si>
    <t>Wout Wijnands</t>
  </si>
  <si>
    <t>Mika Janssen</t>
  </si>
  <si>
    <t>Bram Janssen</t>
  </si>
  <si>
    <t>Zepp Linders</t>
  </si>
  <si>
    <t>Job Pansters</t>
  </si>
  <si>
    <t>Jente Valckx</t>
  </si>
  <si>
    <t>Clim van Leipsig</t>
  </si>
  <si>
    <t>Siem Kurstjens</t>
  </si>
  <si>
    <t>Tren Peeters</t>
  </si>
  <si>
    <t>Jens van den Bongard</t>
  </si>
  <si>
    <t>Roger Derks</t>
  </si>
  <si>
    <t>Sjoerd Bosman</t>
  </si>
  <si>
    <t>Aron Kropfeld</t>
  </si>
  <si>
    <t>Lars Huibers</t>
  </si>
  <si>
    <t>Lars Peulen</t>
  </si>
  <si>
    <t>Luuk Coumanns</t>
  </si>
  <si>
    <t>Niels Kessels</t>
  </si>
  <si>
    <t>Tygo Pelzer</t>
  </si>
  <si>
    <t>Tim Visser</t>
  </si>
  <si>
    <t>Fer van Rooij</t>
  </si>
  <si>
    <t>Dido Verrijth</t>
  </si>
  <si>
    <t>Steef Raedts</t>
  </si>
  <si>
    <t>Luc Bloemen</t>
  </si>
  <si>
    <t>Joep Cornelissen</t>
  </si>
  <si>
    <t>Wouter Derks</t>
  </si>
  <si>
    <t>Bob van Goch</t>
  </si>
  <si>
    <t>Gijs van den Goor</t>
  </si>
  <si>
    <t>Max van Goch</t>
  </si>
  <si>
    <t>Wout Holtackers</t>
  </si>
  <si>
    <t>Hans Hartog</t>
  </si>
  <si>
    <t>Jesper Holtackers</t>
  </si>
  <si>
    <t>Stijn Heldens</t>
  </si>
  <si>
    <t>Stijn Holtackers</t>
  </si>
  <si>
    <t>Koen Jacobs</t>
  </si>
  <si>
    <t>Wessel Loeffen</t>
  </si>
  <si>
    <t>Kenny Lommen</t>
  </si>
  <si>
    <t>Michiel Linskens</t>
  </si>
  <si>
    <t>Stan Litjens</t>
  </si>
  <si>
    <t>Okke Roth</t>
  </si>
  <si>
    <t>Joeri Pelzer</t>
  </si>
  <si>
    <t>Tijn Sanders</t>
  </si>
  <si>
    <t>Daan Verhoeven</t>
  </si>
  <si>
    <t>Stef Peters</t>
  </si>
  <si>
    <t>Quinten Vierveijzer</t>
  </si>
  <si>
    <t>Timo Senden</t>
  </si>
  <si>
    <t>Martijn Bemelmans</t>
  </si>
  <si>
    <t>Paulus Waaifoort</t>
  </si>
  <si>
    <t>Guilliano Reljic</t>
  </si>
  <si>
    <t>Pim Vluggen</t>
  </si>
  <si>
    <t>Lorenz Taxhet</t>
  </si>
  <si>
    <t>Levy Jongen</t>
  </si>
  <si>
    <t>Levi Kloth</t>
  </si>
  <si>
    <t>Joep Bours</t>
  </si>
  <si>
    <t>Lars Spillmann</t>
  </si>
  <si>
    <t>Serginio Weiss</t>
  </si>
  <si>
    <t>Jordy Frijns</t>
  </si>
  <si>
    <t>Yvo Engelen</t>
  </si>
  <si>
    <t>Noel Bindels</t>
  </si>
  <si>
    <t>Jayden Wilms</t>
  </si>
  <si>
    <t>Ahmed Issa</t>
  </si>
  <si>
    <t>Devin van Leusden</t>
  </si>
  <si>
    <t>Amine Elalji</t>
  </si>
  <si>
    <t>Jort Munt</t>
  </si>
  <si>
    <t>Mohammed Issa</t>
  </si>
  <si>
    <t>Royin Kariemie</t>
  </si>
  <si>
    <t>Sirvangelo Lourens</t>
  </si>
  <si>
    <t>Igli Moqi</t>
  </si>
  <si>
    <t>Jordy Nillissen</t>
  </si>
  <si>
    <t>Kjell Smeets</t>
  </si>
  <si>
    <t>Fedde de Vries</t>
  </si>
  <si>
    <t>Rik Dohmen</t>
  </si>
  <si>
    <t>Marijn Janssen</t>
  </si>
  <si>
    <t>Vincent van den Bosch</t>
  </si>
  <si>
    <t>Kurt Kusters</t>
  </si>
  <si>
    <t>Sean Pluis</t>
  </si>
  <si>
    <t>Jasper Moonen</t>
  </si>
  <si>
    <t>Joey Ferdinandus</t>
  </si>
  <si>
    <t>Muruts Huruy Teum</t>
  </si>
  <si>
    <t>Jay Douven</t>
  </si>
  <si>
    <t>Tabitha Gillies</t>
  </si>
  <si>
    <t>Niels Hellebrand</t>
  </si>
  <si>
    <t>Finn Cleuskens</t>
  </si>
  <si>
    <t>Niels Cortenraad</t>
  </si>
  <si>
    <t>Donato Contino</t>
  </si>
  <si>
    <t>Bas Dolmans</t>
  </si>
  <si>
    <t>Naud van Eijsden</t>
  </si>
  <si>
    <t>Twan Bosten</t>
  </si>
  <si>
    <t>Servé Debije</t>
  </si>
  <si>
    <t>Finn Decrauw</t>
  </si>
  <si>
    <t>Wouter Devens</t>
  </si>
  <si>
    <t>Niels Driesen</t>
  </si>
  <si>
    <t>Jon Duckers</t>
  </si>
  <si>
    <t>Daan van Eijsden</t>
  </si>
  <si>
    <t>Jair Geraards</t>
  </si>
  <si>
    <t>Floris Hanssen</t>
  </si>
  <si>
    <t>Sander Hoedemakers</t>
  </si>
  <si>
    <t>Luc Klinkers</t>
  </si>
  <si>
    <t>Bjorn Kusters</t>
  </si>
  <si>
    <t>Liam Maessen</t>
  </si>
  <si>
    <t>Yves Mommers</t>
  </si>
  <si>
    <t>Colin Penners</t>
  </si>
  <si>
    <t>Stijn Pijls</t>
  </si>
  <si>
    <t>Dajo Smeets</t>
  </si>
  <si>
    <t>Niels Zeegers</t>
  </si>
  <si>
    <t>Nick Nijssen</t>
  </si>
  <si>
    <t>Daan Jenniskens</t>
  </si>
  <si>
    <t>David Arts</t>
  </si>
  <si>
    <t>Dirk Wilmsen</t>
  </si>
  <si>
    <t>Freek Wilmsen</t>
  </si>
  <si>
    <t>Ivo Coopmans</t>
  </si>
  <si>
    <t>Jens Houben</t>
  </si>
  <si>
    <t>Jesper Spreeuwenberg</t>
  </si>
  <si>
    <t>Joey Hendriks</t>
  </si>
  <si>
    <t>Jurre van de Ven</t>
  </si>
  <si>
    <t>Kay Loenen</t>
  </si>
  <si>
    <t>Koen van den Boogaard</t>
  </si>
  <si>
    <t>Lars Strijbosch</t>
  </si>
  <si>
    <t>Loek Linders</t>
  </si>
  <si>
    <t>Lou Bruin</t>
  </si>
  <si>
    <t>Mark Leeijen</t>
  </si>
  <si>
    <t>Martijn Franken</t>
  </si>
  <si>
    <t>Mike Arts</t>
  </si>
  <si>
    <t>Mike Kuenen</t>
  </si>
  <si>
    <t>Roy Hendriks</t>
  </si>
  <si>
    <t>Ruben Smits</t>
  </si>
  <si>
    <t>Tijmen Claessens</t>
  </si>
  <si>
    <t>Sander Spreeuwenberg</t>
  </si>
  <si>
    <t>Sander Swinkels</t>
  </si>
  <si>
    <t>Sjoerd Swinkels</t>
  </si>
  <si>
    <t>Stan Baetsen</t>
  </si>
  <si>
    <t>Stan Franken</t>
  </si>
  <si>
    <t>Stef van Dijck</t>
  </si>
  <si>
    <t>Stef van Soest</t>
  </si>
  <si>
    <t>Timo Hubers</t>
  </si>
  <si>
    <t>Vic Bruin</t>
  </si>
  <si>
    <t>Willem Janssen</t>
  </si>
  <si>
    <t>Youssri Kab</t>
  </si>
  <si>
    <t>Emrah Martina</t>
  </si>
  <si>
    <t>Reggie Vonken</t>
  </si>
  <si>
    <t>Conner Mevis</t>
  </si>
  <si>
    <t>Daan Driessen</t>
  </si>
  <si>
    <t>Finn Heijnens</t>
  </si>
  <si>
    <t>Lars Moers</t>
  </si>
  <si>
    <t>Jaimy Kurvers</t>
  </si>
  <si>
    <t>Timo Bruijnen</t>
  </si>
  <si>
    <t>Timo Tap</t>
  </si>
  <si>
    <t>Colin Meijers</t>
  </si>
  <si>
    <t>Jordy Booten</t>
  </si>
  <si>
    <t>Dani Nijsten</t>
  </si>
  <si>
    <t>Yowi Janssen</t>
  </si>
  <si>
    <t>Jort Langen</t>
  </si>
  <si>
    <t>Staf Vogten</t>
  </si>
  <si>
    <t>Mitch Diederen</t>
  </si>
  <si>
    <t>Louis Eyssen</t>
  </si>
  <si>
    <t>Yu Luo</t>
  </si>
  <si>
    <t>Viggo Zegers</t>
  </si>
  <si>
    <t>Bram Bosch</t>
  </si>
  <si>
    <t>Samuel Wormer</t>
  </si>
  <si>
    <t>Niels Meijers</t>
  </si>
  <si>
    <t>Mika Huydts</t>
  </si>
  <si>
    <t>Merlijn Schouten</t>
  </si>
  <si>
    <t>Joeri Dullens</t>
  </si>
  <si>
    <t>Jur Derks</t>
  </si>
  <si>
    <t>Jasper Beukers</t>
  </si>
  <si>
    <t>Stijn Blank</t>
  </si>
  <si>
    <t>Bram van der Pouw</t>
  </si>
  <si>
    <t>Thuur Brouwers</t>
  </si>
  <si>
    <t>Niek van der Kreeft</t>
  </si>
  <si>
    <t>Alexandru Gaspar</t>
  </si>
  <si>
    <t>Giel Rennenberg</t>
  </si>
  <si>
    <t>Rens Verboord</t>
  </si>
  <si>
    <t>Hay Simons</t>
  </si>
  <si>
    <t>Bas Overhof</t>
  </si>
  <si>
    <t>Ronan Eijpe</t>
  </si>
  <si>
    <t>Raf Keulen</t>
  </si>
  <si>
    <t>Milan Maggen</t>
  </si>
  <si>
    <t>Sebastiaan Beukers</t>
  </si>
  <si>
    <t>Chris Knoors</t>
  </si>
  <si>
    <t>Mitch Helgers</t>
  </si>
  <si>
    <t>Julian Coenen</t>
  </si>
  <si>
    <t>Joep van der Pouw</t>
  </si>
  <si>
    <t>Sidney Young</t>
  </si>
  <si>
    <t>Stan Slijpen</t>
  </si>
  <si>
    <t>Len Stassen</t>
  </si>
  <si>
    <t>Milan Onnou</t>
  </si>
  <si>
    <t>Diego Deckers</t>
  </si>
  <si>
    <t>Roel Schurgers</t>
  </si>
  <si>
    <t>Guus Mostard</t>
  </si>
  <si>
    <t>Mohamed Alibrahim</t>
  </si>
  <si>
    <t>Wayne Krewinkel</t>
  </si>
  <si>
    <t>Joep Mostard</t>
  </si>
  <si>
    <t>Jim Boonpila</t>
  </si>
  <si>
    <t>Jiang Borghans</t>
  </si>
  <si>
    <t>Jhohan Estivenson Cortes Tobon</t>
  </si>
  <si>
    <t>Milan Dirks</t>
  </si>
  <si>
    <t>Dylano Urff</t>
  </si>
  <si>
    <t>Ruben Delsing</t>
  </si>
  <si>
    <t>Rik Jansen</t>
  </si>
  <si>
    <t>Luuk Riemens</t>
  </si>
  <si>
    <t>Cas Volf</t>
  </si>
  <si>
    <t>Sjors Maas</t>
  </si>
  <si>
    <t>Rolf Verheezen</t>
  </si>
  <si>
    <t>Thom Mares</t>
  </si>
  <si>
    <t>Connor Vonken</t>
  </si>
  <si>
    <t>Jur Faessen</t>
  </si>
  <si>
    <t>Simon Dahlhaus</t>
  </si>
  <si>
    <t>Maik Claessens</t>
  </si>
  <si>
    <t>Ge Grapendaal</t>
  </si>
  <si>
    <t>Carlo Sporken</t>
  </si>
  <si>
    <t>Joeri Leen</t>
  </si>
  <si>
    <t>Christiaan Hochstenbach</t>
  </si>
  <si>
    <t>Arsen Kazarian</t>
  </si>
  <si>
    <t>Niek Horsmans</t>
  </si>
  <si>
    <t>Rick Huijnen</t>
  </si>
  <si>
    <t>Jonas Paalvast</t>
  </si>
  <si>
    <t>Sean Deckers</t>
  </si>
  <si>
    <t>Paul Beugels</t>
  </si>
  <si>
    <t>Job Rademakers</t>
  </si>
  <si>
    <t>Yama Maghsoedi</t>
  </si>
  <si>
    <t>Jorn Scheepens</t>
  </si>
  <si>
    <t>Fabian Vorselen</t>
  </si>
  <si>
    <t>Bodhi Borger</t>
  </si>
  <si>
    <t>Jordi Meijers</t>
  </si>
  <si>
    <t>Gijs Caanen</t>
  </si>
  <si>
    <t>Omar Jouaz</t>
  </si>
  <si>
    <t>Mauro Schrijen</t>
  </si>
  <si>
    <t>Abdulrahman Kawara</t>
  </si>
  <si>
    <t>Bjarne van Eggelen</t>
  </si>
  <si>
    <t>Damian Konings</t>
  </si>
  <si>
    <t>Jens Parren</t>
  </si>
  <si>
    <t>Jop Schroijen</t>
  </si>
  <si>
    <t>Seare Tflasie</t>
  </si>
  <si>
    <t>Tristan Straetemans</t>
  </si>
  <si>
    <t>Tijn Bergs</t>
  </si>
  <si>
    <t>Ruben van Poelgeest</t>
  </si>
  <si>
    <t>Merlijn Vorselen</t>
  </si>
  <si>
    <t>Jamie Wolter</t>
  </si>
  <si>
    <t>Wesley Rietjens</t>
  </si>
  <si>
    <t>Tom van de Heuvel</t>
  </si>
  <si>
    <t>Dennis Systermans</t>
  </si>
  <si>
    <t>Remco van Gemeren</t>
  </si>
  <si>
    <t>Kyle Rinkens</t>
  </si>
  <si>
    <t>Arjan Lippinkhof</t>
  </si>
  <si>
    <t>Mark Franssen</t>
  </si>
  <si>
    <t>Patrick Maenen</t>
  </si>
  <si>
    <t>Finn Janssen</t>
  </si>
  <si>
    <t>Kars Laeven</t>
  </si>
  <si>
    <t>Stijn Görtzen</t>
  </si>
  <si>
    <t>Cem Rollas</t>
  </si>
  <si>
    <t>Bob Keulers</t>
  </si>
  <si>
    <t>Denzel Reuleaux</t>
  </si>
  <si>
    <t>Simon van de Wetering</t>
  </si>
  <si>
    <t>Armand Tummers</t>
  </si>
  <si>
    <t>Raf Quaedackers</t>
  </si>
  <si>
    <t>Thomas Urlings</t>
  </si>
  <si>
    <t>Mathias Ponfa</t>
  </si>
  <si>
    <t>Simon Klinkenberg</t>
  </si>
  <si>
    <t>Soerish Baidjoe</t>
  </si>
  <si>
    <t>Juul Gregoire</t>
  </si>
  <si>
    <t>Sjors Quaedackers</t>
  </si>
  <si>
    <t>Jeffrey Souren</t>
  </si>
  <si>
    <t>Can Biber</t>
  </si>
  <si>
    <t>Jeron Ernste</t>
  </si>
  <si>
    <t>Justin Mullenders</t>
  </si>
  <si>
    <t>Jaimy Engelmann</t>
  </si>
  <si>
    <t>Rens van der Heijden</t>
  </si>
  <si>
    <t>Kay van Haaren</t>
  </si>
  <si>
    <t>Sven van Haaren</t>
  </si>
  <si>
    <t>Noah van Horssen</t>
  </si>
  <si>
    <t>Mart Senden</t>
  </si>
  <si>
    <t>Rick Schmitz</t>
  </si>
  <si>
    <t>Stan Manders</t>
  </si>
  <si>
    <t>Nathaniel Hoogeveen</t>
  </si>
  <si>
    <t>Randy Eberhard</t>
  </si>
  <si>
    <t>Jelle Reumkens</t>
  </si>
  <si>
    <t>Marvin Janssen</t>
  </si>
  <si>
    <t>Len Tullemans</t>
  </si>
  <si>
    <t>Dion Chudik</t>
  </si>
  <si>
    <t>Sean Chudik</t>
  </si>
  <si>
    <t>Juul van Kessel</t>
  </si>
  <si>
    <t>Wout Sampers</t>
  </si>
  <si>
    <t>Christos Dedja</t>
  </si>
  <si>
    <t>Loek Bisschops</t>
  </si>
  <si>
    <t>Luc Jordens</t>
  </si>
  <si>
    <t>Raoul Jeurissen</t>
  </si>
  <si>
    <t>Rick Michiels</t>
  </si>
  <si>
    <t>Sil Passage</t>
  </si>
  <si>
    <t>Bas Hermans</t>
  </si>
  <si>
    <t>Raf Gijzen</t>
  </si>
  <si>
    <t>Luuk Huijs</t>
  </si>
  <si>
    <t>Rens Aerts</t>
  </si>
  <si>
    <t>Luuk Haenen</t>
  </si>
  <si>
    <t>Giel Hermans</t>
  </si>
  <si>
    <t>Teun Jacobs</t>
  </si>
  <si>
    <t>Cas Janssen</t>
  </si>
  <si>
    <t>Bram Litjens</t>
  </si>
  <si>
    <t>Lars Litjens</t>
  </si>
  <si>
    <t>Dré Peeters</t>
  </si>
  <si>
    <t>Chris van Rengs</t>
  </si>
  <si>
    <t>Jordi van Rens</t>
  </si>
  <si>
    <t>Jim Voermans</t>
  </si>
  <si>
    <t>Giel Vullings</t>
  </si>
  <si>
    <t>Teun Willemssen</t>
  </si>
  <si>
    <t>Nick van Berlo</t>
  </si>
  <si>
    <t>Noud Craenmehr</t>
  </si>
  <si>
    <t>Brent La Crois</t>
  </si>
  <si>
    <t>Kay Hesen</t>
  </si>
  <si>
    <t>Rick Hesen</t>
  </si>
  <si>
    <t>Rob Verbong</t>
  </si>
  <si>
    <t>Tom Verbong</t>
  </si>
  <si>
    <t>Stef Teluij</t>
  </si>
  <si>
    <t>Aswin Dierx</t>
  </si>
  <si>
    <t>Leon Cuppen</t>
  </si>
  <si>
    <t>Jannik Quadvlieg</t>
  </si>
  <si>
    <t>Kamyar Baroshi</t>
  </si>
  <si>
    <t>Remco Stoeber</t>
  </si>
  <si>
    <t>Ber Lemmens</t>
  </si>
  <si>
    <t>Ayman Ouirine</t>
  </si>
  <si>
    <t>Hazem Salim</t>
  </si>
  <si>
    <t>Stef Swinkels</t>
  </si>
  <si>
    <t>Merijn Heurkens</t>
  </si>
  <si>
    <t>Stijn Vollerg</t>
  </si>
  <si>
    <t>Juul Wismans</t>
  </si>
  <si>
    <t>Rik Wijers</t>
  </si>
  <si>
    <t>Ravi Arts</t>
  </si>
  <si>
    <t>Daniel Coenders</t>
  </si>
  <si>
    <t>Simon ter Braak</t>
  </si>
  <si>
    <t>Siem van der Heijden</t>
  </si>
  <si>
    <t>Mike Kroon</t>
  </si>
  <si>
    <t>Joris Peelen</t>
  </si>
  <si>
    <t>Perry Phillips</t>
  </si>
  <si>
    <t>Cas Lensen</t>
  </si>
  <si>
    <t>Mats Cuijpers</t>
  </si>
  <si>
    <t>Bart Vousten</t>
  </si>
  <si>
    <t>Rik van de Pasch</t>
  </si>
  <si>
    <t>Mike Linders</t>
  </si>
  <si>
    <t>Lucas Wijnhoven</t>
  </si>
  <si>
    <t>Indy Phillips</t>
  </si>
  <si>
    <t>Tuur Philipsen</t>
  </si>
  <si>
    <t>Bram Lookman</t>
  </si>
  <si>
    <t>Freek Wijnbergen</t>
  </si>
  <si>
    <t>Jerry Driessen</t>
  </si>
  <si>
    <t>Alex Ciemniak</t>
  </si>
  <si>
    <t>Youri Budding</t>
  </si>
  <si>
    <t>Mohamed el Arguioui</t>
  </si>
  <si>
    <t>Rik Teunissen</t>
  </si>
  <si>
    <t>Stijn van Meerwijk</t>
  </si>
  <si>
    <t>Wessel Adriaens</t>
  </si>
  <si>
    <t>Yannick Opheij</t>
  </si>
  <si>
    <t>Thomas Adam</t>
  </si>
  <si>
    <t>Philip Overeem</t>
  </si>
  <si>
    <t>Youp Poper</t>
  </si>
  <si>
    <t>Ber Dreesen</t>
  </si>
  <si>
    <t>Jaeden Idowu</t>
  </si>
  <si>
    <t>Testimony Odetola-Benjamin</t>
  </si>
  <si>
    <t>Saul Penders</t>
  </si>
  <si>
    <t>Dennis Boon</t>
  </si>
  <si>
    <t>Foppe Cruts</t>
  </si>
  <si>
    <t>Rick Gillissen</t>
  </si>
  <si>
    <t>Joep Dreessens</t>
  </si>
  <si>
    <t>Jens Lange</t>
  </si>
  <si>
    <t>Koen van Uenen</t>
  </si>
  <si>
    <t>Bram Szalata</t>
  </si>
  <si>
    <t>Mitchel Kleinhesselink</t>
  </si>
  <si>
    <t>Tijmen Snijders</t>
  </si>
  <si>
    <t>Jarno Quaedflieg</t>
  </si>
  <si>
    <t>Seven Huth</t>
  </si>
  <si>
    <t>Ties Nievelstein</t>
  </si>
  <si>
    <t>Justin Janssen</t>
  </si>
  <si>
    <t>Lars Hanssen</t>
  </si>
  <si>
    <t>Levi Theissen</t>
  </si>
  <si>
    <t>Dylan Theissen</t>
  </si>
  <si>
    <t>Daan Nillesen</t>
  </si>
  <si>
    <t>Jochen Smeets</t>
  </si>
  <si>
    <t>Jesse Jonkers</t>
  </si>
  <si>
    <t>Ian Essers</t>
  </si>
  <si>
    <t>Neal Essers</t>
  </si>
  <si>
    <t>Joris Coervers</t>
  </si>
  <si>
    <t>Jeremy Hilman</t>
  </si>
  <si>
    <t>Pavlo Hryhoriv</t>
  </si>
  <si>
    <t>Noah Claessen</t>
  </si>
  <si>
    <t>Sean Peters</t>
  </si>
  <si>
    <t>Luuk Douven</t>
  </si>
  <si>
    <t>Justin Habets</t>
  </si>
  <si>
    <t>Rik Joosten</t>
  </si>
  <si>
    <t>Dion Oudenhooven</t>
  </si>
  <si>
    <t>Kyan Theissen</t>
  </si>
  <si>
    <t>Sylvain Latour</t>
  </si>
  <si>
    <t>Zev Slangen</t>
  </si>
  <si>
    <t>Tim van de Berg</t>
  </si>
  <si>
    <t>Remi Hoeben</t>
  </si>
  <si>
    <t>Max Vanhautem</t>
  </si>
  <si>
    <t>Rowen Snackers</t>
  </si>
  <si>
    <t>Dean Beenkens</t>
  </si>
  <si>
    <t>Jeffrey Crutzen</t>
  </si>
  <si>
    <t>Nigel Dumoulin</t>
  </si>
  <si>
    <t>Youri Essers</t>
  </si>
  <si>
    <t>Danielo Lemmens</t>
  </si>
  <si>
    <t>Perre Loo</t>
  </si>
  <si>
    <t>Teun van Loo</t>
  </si>
  <si>
    <t>Jesse Maessen</t>
  </si>
  <si>
    <t>Devin Meentz</t>
  </si>
  <si>
    <t>Niels Kurstjens</t>
  </si>
  <si>
    <t>Coen Beijnsberger</t>
  </si>
  <si>
    <t>Damien Korsten</t>
  </si>
  <si>
    <t>Noud Corbey</t>
  </si>
  <si>
    <t>Idse Prumpeler</t>
  </si>
  <si>
    <t>Wouter Bergervoet</t>
  </si>
  <si>
    <t>Thijs van Montfort</t>
  </si>
  <si>
    <t>Philippe Wetzels</t>
  </si>
  <si>
    <t>Martijn Vrenken</t>
  </si>
  <si>
    <t>Lenn Frenken</t>
  </si>
  <si>
    <t>Daan Engelen</t>
  </si>
  <si>
    <t>Jan Daamen</t>
  </si>
  <si>
    <t>Lars van Hinsberg</t>
  </si>
  <si>
    <t>Jente Voermans</t>
  </si>
  <si>
    <t>Max Menting</t>
  </si>
  <si>
    <t>Fabian Colbers</t>
  </si>
  <si>
    <t>Kjelle Zegveld</t>
  </si>
  <si>
    <t>Lars Haemers</t>
  </si>
  <si>
    <t>Ties Hogervorst</t>
  </si>
  <si>
    <t>Chakir Louhoudi</t>
  </si>
  <si>
    <t>Rens Mulders</t>
  </si>
  <si>
    <t>Niek Reinders</t>
  </si>
  <si>
    <t>Lars Tjittes</t>
  </si>
  <si>
    <t>Luuk Herbers</t>
  </si>
  <si>
    <t>Niek van den Berg</t>
  </si>
  <si>
    <t>Delano Eussen</t>
  </si>
  <si>
    <t>Ziah Jongnain</t>
  </si>
  <si>
    <t>Levi ten Brink</t>
  </si>
  <si>
    <t>Jordy Janssen</t>
  </si>
  <si>
    <t>Glen Luijten</t>
  </si>
  <si>
    <t>Rik Pluis</t>
  </si>
  <si>
    <t>Leonardo de Medeiros</t>
  </si>
  <si>
    <t>Sander Wijnen</t>
  </si>
  <si>
    <t>Luuk Verfuhrt</t>
  </si>
  <si>
    <t>Dennis Vogels</t>
  </si>
  <si>
    <t>Max Vogels</t>
  </si>
  <si>
    <t>Guus Coonen</t>
  </si>
  <si>
    <t>Danny Willems</t>
  </si>
  <si>
    <t>Rutger Wever</t>
  </si>
  <si>
    <t>Cas van Haperen</t>
  </si>
  <si>
    <t>Vince Koenen</t>
  </si>
  <si>
    <t>Niek Verstraeten</t>
  </si>
  <si>
    <t>Luuk van Hooft</t>
  </si>
  <si>
    <t>Alex Wolters</t>
  </si>
  <si>
    <t>Rik Penners</t>
  </si>
  <si>
    <t>Loek Janssen</t>
  </si>
  <si>
    <t>Jur Wolfs</t>
  </si>
  <si>
    <t>Ties van de Ven</t>
  </si>
  <si>
    <t>Len Damen</t>
  </si>
  <si>
    <t>Rik van der Steen</t>
  </si>
  <si>
    <t>Goos Schoenmakers</t>
  </si>
  <si>
    <t>Bryan Reijners</t>
  </si>
  <si>
    <t>Koen Meerbeek</t>
  </si>
  <si>
    <t>Gijs Kessels</t>
  </si>
  <si>
    <t>Ties Geraedts</t>
  </si>
  <si>
    <t>Nick Hodzelmans</t>
  </si>
  <si>
    <t>Phill Verbeek</t>
  </si>
  <si>
    <t>Bart Kessels</t>
  </si>
  <si>
    <t>Bas Hoogenbosch</t>
  </si>
  <si>
    <t>Dani Hoogmans</t>
  </si>
  <si>
    <t>Dean Janssen</t>
  </si>
  <si>
    <t>Dennis Drissen</t>
  </si>
  <si>
    <t>Giel Kluitmans</t>
  </si>
  <si>
    <t>Jordan Geraedts</t>
  </si>
  <si>
    <t>Quinten Aksel</t>
  </si>
  <si>
    <t>Raf Rutten</t>
  </si>
  <si>
    <t>Robin Willemsen</t>
  </si>
  <si>
    <t>Sef Jansen</t>
  </si>
  <si>
    <t>Sem Vries</t>
  </si>
  <si>
    <t>Siem Konings</t>
  </si>
  <si>
    <t>Sonny Beckers</t>
  </si>
  <si>
    <t>Sten Geraedts</t>
  </si>
  <si>
    <t>Fabio Ciaramella</t>
  </si>
  <si>
    <t>Luca Ciaramella</t>
  </si>
  <si>
    <t>Timo Derikx</t>
  </si>
  <si>
    <t>Ilya Hartono</t>
  </si>
  <si>
    <t>Joost Heijkers</t>
  </si>
  <si>
    <t>Thomas Heldens</t>
  </si>
  <si>
    <t>Vince Janssen</t>
  </si>
  <si>
    <t>Luca Jeurninck</t>
  </si>
  <si>
    <t>Tim Lalieu</t>
  </si>
  <si>
    <t>Nick Linssen</t>
  </si>
  <si>
    <t>Timo Peeters</t>
  </si>
  <si>
    <t>Jelle Römkens</t>
  </si>
  <si>
    <t>Wesley Saelmans</t>
  </si>
  <si>
    <t>Jelle Teeuwen</t>
  </si>
  <si>
    <t>Jordi Vissers</t>
  </si>
  <si>
    <t>Rody Vissers</t>
  </si>
  <si>
    <t>Noud Vossen</t>
  </si>
  <si>
    <t>Noud Wullms</t>
  </si>
  <si>
    <t>Sidney Bartels</t>
  </si>
  <si>
    <t>Bradley Bodden</t>
  </si>
  <si>
    <t>Floris Cuijpers</t>
  </si>
  <si>
    <t>Jaap Emans</t>
  </si>
  <si>
    <t>Maarten Goes</t>
  </si>
  <si>
    <t>Rob Gorissen</t>
  </si>
  <si>
    <t>Juul Janssen</t>
  </si>
  <si>
    <t>Glenn Meinke</t>
  </si>
  <si>
    <t>Guy van de Rijdt</t>
  </si>
  <si>
    <t>Niels Wijenberg</t>
  </si>
  <si>
    <t>Rim Andriën</t>
  </si>
  <si>
    <t>Roy Andriën</t>
  </si>
  <si>
    <t>Roel Crijns</t>
  </si>
  <si>
    <t>Levy van Deurse</t>
  </si>
  <si>
    <t>Mik Dolmans</t>
  </si>
  <si>
    <t>Walter Goes</t>
  </si>
  <si>
    <t>Robbert Hos</t>
  </si>
  <si>
    <t>Maurice Ras</t>
  </si>
  <si>
    <t>Youri Ras</t>
  </si>
  <si>
    <t>Rick Severeijns</t>
  </si>
  <si>
    <t>Delano Theunissen</t>
  </si>
  <si>
    <t>Jim Kuijpers</t>
  </si>
  <si>
    <t>Fabian Partouns</t>
  </si>
  <si>
    <t>Gus Philippart</t>
  </si>
  <si>
    <t>Redouane Farssi</t>
  </si>
  <si>
    <t>Robin Adriaens</t>
  </si>
  <si>
    <t>Ahmad Alkhaled</t>
  </si>
  <si>
    <t>Omar Alkhaled</t>
  </si>
  <si>
    <t>Biko Beckers</t>
  </si>
  <si>
    <t>Noah Beckers</t>
  </si>
  <si>
    <t>Boris Bokmans</t>
  </si>
  <si>
    <t>Bart van den Boorn</t>
  </si>
  <si>
    <t>Mike Claessens</t>
  </si>
  <si>
    <t>Philippe Dassen</t>
  </si>
  <si>
    <t>Yoeri Deguelle</t>
  </si>
  <si>
    <t>Thimo Hollanders</t>
  </si>
  <si>
    <t>Burakhan Kir</t>
  </si>
  <si>
    <t>Nicolas Lekner</t>
  </si>
  <si>
    <t>Ricky Mares</t>
  </si>
  <si>
    <t>Martijn Odekerken</t>
  </si>
  <si>
    <t>Jesse Piatek</t>
  </si>
  <si>
    <t>Brent Pipeleers</t>
  </si>
  <si>
    <t>Hamdi Sadikovski</t>
  </si>
  <si>
    <t>Ian Schroen</t>
  </si>
  <si>
    <t>Thomas Schroyen</t>
  </si>
  <si>
    <t>Michel Thonnart</t>
  </si>
  <si>
    <t>Raf Voncken</t>
  </si>
  <si>
    <t>Finn Vranken</t>
  </si>
  <si>
    <t>Kai Vranken</t>
  </si>
  <si>
    <t>Tom Wouters</t>
  </si>
  <si>
    <t>Okan Karacalar</t>
  </si>
  <si>
    <t>Jaydon van Munster</t>
  </si>
  <si>
    <t>Noah Savelkouls</t>
  </si>
  <si>
    <t>Tim Justin Linden</t>
  </si>
  <si>
    <t>Jimmy Maatje</t>
  </si>
  <si>
    <t>Maikel Horsch</t>
  </si>
  <si>
    <t>Appie Abdulkader</t>
  </si>
  <si>
    <t>Vince di Giulio</t>
  </si>
  <si>
    <t>Gijs Boogaard</t>
  </si>
  <si>
    <t>Richarno Hamstra</t>
  </si>
  <si>
    <t>Dajo Hermans</t>
  </si>
  <si>
    <t>Mark Teunissen</t>
  </si>
  <si>
    <t>Daan Knapen</t>
  </si>
  <si>
    <t>Jordy Joosten</t>
  </si>
  <si>
    <t>Richard Mertens</t>
  </si>
  <si>
    <t>Merijn Beerens</t>
  </si>
  <si>
    <t>Lars Timmermans</t>
  </si>
  <si>
    <t>Thuur Korten</t>
  </si>
  <si>
    <t>Ravi Hermans</t>
  </si>
  <si>
    <t>Roel Giepmans</t>
  </si>
  <si>
    <t>Lucas Pepels</t>
  </si>
  <si>
    <t>Joey Verheijen</t>
  </si>
  <si>
    <t>Quin Steegh</t>
  </si>
  <si>
    <t>Raoul Bouten</t>
  </si>
  <si>
    <t>Reno Candido</t>
  </si>
  <si>
    <t>Adil Ahamad</t>
  </si>
  <si>
    <t>Yves Gubbels</t>
  </si>
  <si>
    <t>Mansors Khaleds</t>
  </si>
  <si>
    <t>Niels van den Hoogen</t>
  </si>
  <si>
    <t>Wessel Houben</t>
  </si>
  <si>
    <t>Jimmy Kessels</t>
  </si>
  <si>
    <t>Jur Verstegen</t>
  </si>
  <si>
    <t>Tom Moers</t>
  </si>
  <si>
    <t>Rik Gerrits</t>
  </si>
  <si>
    <t>Bo Gerats</t>
  </si>
  <si>
    <t>Wesley Heger</t>
  </si>
  <si>
    <t>Tim Rohwer</t>
  </si>
  <si>
    <t>Kevin Holla</t>
  </si>
  <si>
    <t>Max Janssen</t>
  </si>
  <si>
    <t>Quinn Heumassej</t>
  </si>
  <si>
    <t>Jimmy Teelen</t>
  </si>
  <si>
    <t>Luca Willems</t>
  </si>
  <si>
    <t>Dennis Meho</t>
  </si>
  <si>
    <t>Floris Oppers</t>
  </si>
  <si>
    <t>Jeffrey Bömers</t>
  </si>
  <si>
    <t>Jessie Steenhuis</t>
  </si>
  <si>
    <t>Sam Gerats</t>
  </si>
  <si>
    <t>Collin Theuws</t>
  </si>
  <si>
    <t>Basim Askar</t>
  </si>
  <si>
    <t>Funs Janssen</t>
  </si>
  <si>
    <t>Yassir Abbou</t>
  </si>
  <si>
    <t>Fouad Boulayounne</t>
  </si>
  <si>
    <t>Memet Can Dursun</t>
  </si>
  <si>
    <t>Stijn Houben</t>
  </si>
  <si>
    <t>Justin Lens</t>
  </si>
  <si>
    <t>Mas Doezen</t>
  </si>
  <si>
    <t>Sid Schroembges</t>
  </si>
  <si>
    <t>Clim Heijnen</t>
  </si>
  <si>
    <t>Milan Berkers</t>
  </si>
  <si>
    <t>Nowa Thijssen</t>
  </si>
  <si>
    <t>Etienne Ottenheim</t>
  </si>
  <si>
    <t>Bart van Buggenum</t>
  </si>
  <si>
    <t>Sam Bremmers</t>
  </si>
  <si>
    <t>Glen Cichon</t>
  </si>
  <si>
    <t>Tim Lenssen</t>
  </si>
  <si>
    <t>Len Nooyen</t>
  </si>
  <si>
    <t>Bodhi Reiter</t>
  </si>
  <si>
    <t>Sem Suntjens</t>
  </si>
  <si>
    <t>Sem Teunissen</t>
  </si>
  <si>
    <t>Bram Wilbers</t>
  </si>
  <si>
    <t>Julien Willems</t>
  </si>
  <si>
    <t>Sten Vandewal</t>
  </si>
  <si>
    <t>Maks Kirchner</t>
  </si>
  <si>
    <t>Gijs Linssen</t>
  </si>
  <si>
    <t>Damian Kudlek</t>
  </si>
  <si>
    <t>Dani Coenen</t>
  </si>
  <si>
    <t>Dani Swagten</t>
  </si>
  <si>
    <t>Sep Smeets</t>
  </si>
  <si>
    <t>Bob Uuldriks</t>
  </si>
  <si>
    <t>Sem de Graef</t>
  </si>
  <si>
    <t>Orry Snels</t>
  </si>
  <si>
    <t>Nick Koopmans</t>
  </si>
  <si>
    <t>Niels Jacobs</t>
  </si>
  <si>
    <t>Dani Brugman</t>
  </si>
  <si>
    <t>Daan van der Linden</t>
  </si>
  <si>
    <t>Jari Heijmans</t>
  </si>
  <si>
    <t>Daan de Bie</t>
  </si>
  <si>
    <t>Bryan Janga</t>
  </si>
  <si>
    <t>Roberto Leyba</t>
  </si>
  <si>
    <t>Teun Baljon</t>
  </si>
  <si>
    <t>Roan Oostendorp</t>
  </si>
  <si>
    <t>Julian Scholtes</t>
  </si>
  <si>
    <t>Teun van Geest</t>
  </si>
  <si>
    <t>Kris Nijs</t>
  </si>
  <si>
    <t>Tijmen van Dooren</t>
  </si>
  <si>
    <t>Juul Lenders</t>
  </si>
  <si>
    <t>Nathan van Elewout</t>
  </si>
  <si>
    <t>Sem van Lieshout</t>
  </si>
  <si>
    <t>Rik Engels</t>
  </si>
  <si>
    <t>Stijn van Horssen</t>
  </si>
  <si>
    <t>Arjan van Rooij</t>
  </si>
  <si>
    <t>Aron Snijders</t>
  </si>
  <si>
    <t>Bas Westerman</t>
  </si>
  <si>
    <t>Bram van Heugten</t>
  </si>
  <si>
    <t>Finn Joosten</t>
  </si>
  <si>
    <t>Giel van Goor</t>
  </si>
  <si>
    <t>Jesper Steeghs</t>
  </si>
  <si>
    <t>Jesse van Deursen</t>
  </si>
  <si>
    <t>Juul Pellemans</t>
  </si>
  <si>
    <t>Juul van Bree</t>
  </si>
  <si>
    <t>Lars Joosten</t>
  </si>
  <si>
    <t>Lyam Kuijten</t>
  </si>
  <si>
    <t>Mark Beerens</t>
  </si>
  <si>
    <t>Martijn Frerichs</t>
  </si>
  <si>
    <t>Mike van der Kuylen</t>
  </si>
  <si>
    <t>Naud Stappers</t>
  </si>
  <si>
    <t>Ries Gielen</t>
  </si>
  <si>
    <t>Roy Gielen</t>
  </si>
  <si>
    <t>Sam Hoeijmakers</t>
  </si>
  <si>
    <t>Sem van Goor</t>
  </si>
  <si>
    <t>Stan Frerichs</t>
  </si>
  <si>
    <t>Stef Lammers</t>
  </si>
  <si>
    <t>Sten van Oijen</t>
  </si>
  <si>
    <t>Tim van Kemenade</t>
  </si>
  <si>
    <t>Tom van Heugten</t>
  </si>
  <si>
    <t>Yoshi Creemers</t>
  </si>
  <si>
    <t>Djayo von Römer</t>
  </si>
  <si>
    <t>Wessel Moling</t>
  </si>
  <si>
    <t>Dylano Kempkens</t>
  </si>
  <si>
    <t>Keano Vaes</t>
  </si>
  <si>
    <t>Jari Liepertz</t>
  </si>
  <si>
    <t>Jens Brouwers</t>
  </si>
  <si>
    <t>Kai Boels</t>
  </si>
  <si>
    <t>Vic Bonné</t>
  </si>
  <si>
    <t>Brandon Crijns</t>
  </si>
  <si>
    <t>Nick Cremers</t>
  </si>
  <si>
    <t>Andy Cuijpers</t>
  </si>
  <si>
    <t>Colin Cuijpers</t>
  </si>
  <si>
    <t>Chris Hilgers</t>
  </si>
  <si>
    <t>Rens Koenen</t>
  </si>
  <si>
    <t>Yildert Kuijpers</t>
  </si>
  <si>
    <t>Don Metsemakers</t>
  </si>
  <si>
    <t>Luca Meuwissen</t>
  </si>
  <si>
    <t>Jorn Palmen</t>
  </si>
  <si>
    <t>Noud Pols</t>
  </si>
  <si>
    <t>Jim de Ronde</t>
  </si>
  <si>
    <t>Kevin Schoenmakers</t>
  </si>
  <si>
    <t>Jarno Smets</t>
  </si>
  <si>
    <t>Mike Trebels</t>
  </si>
  <si>
    <t>Jarno Valkenburg</t>
  </si>
  <si>
    <t>Bob Keijsers</t>
  </si>
  <si>
    <t>Kevin van Asten</t>
  </si>
  <si>
    <t>Koen Clephas</t>
  </si>
  <si>
    <t>Jim Craenen</t>
  </si>
  <si>
    <t>Mark Crommentuyn</t>
  </si>
  <si>
    <t>Stan Cuijpers</t>
  </si>
  <si>
    <t>Rob Draak</t>
  </si>
  <si>
    <t>Rik Engelen</t>
  </si>
  <si>
    <t>Joris Fransen</t>
  </si>
  <si>
    <t>Bas Gloudemans</t>
  </si>
  <si>
    <t>Luuk Gloudemans</t>
  </si>
  <si>
    <t>Coen Gommans</t>
  </si>
  <si>
    <t>Levy Gonzales</t>
  </si>
  <si>
    <t>Joeri Haastert</t>
  </si>
  <si>
    <t>Rens Hermans</t>
  </si>
  <si>
    <t>Rens van Heugten</t>
  </si>
  <si>
    <t>Job Janssen</t>
  </si>
  <si>
    <t>Teun Janssen</t>
  </si>
  <si>
    <t>Randy Jannssen</t>
  </si>
  <si>
    <t>Leon Martens</t>
  </si>
  <si>
    <t>Ivan Muchak</t>
  </si>
  <si>
    <t>Luc van Oijen</t>
  </si>
  <si>
    <t>Puk van Oijen</t>
  </si>
  <si>
    <t>Burak Oosterveen</t>
  </si>
  <si>
    <t>Rik Peeters</t>
  </si>
  <si>
    <t>Sjoerd Rijs</t>
  </si>
  <si>
    <t>Brandon Sijben</t>
  </si>
  <si>
    <t>Tjerk van Sleeuwen</t>
  </si>
  <si>
    <t>Neil Sprenkels</t>
  </si>
  <si>
    <t>Bjorn Theelen</t>
  </si>
  <si>
    <t>Kris Teeuwen</t>
  </si>
  <si>
    <t>Luuk Vanlier</t>
  </si>
  <si>
    <t>Sven Vergoossen</t>
  </si>
  <si>
    <t>Tom Weerts</t>
  </si>
  <si>
    <t>Ramon Kerstges</t>
  </si>
  <si>
    <t>Youri Kil</t>
  </si>
  <si>
    <t>Jeffrey Leeyen</t>
  </si>
  <si>
    <t>Marvin Peters</t>
  </si>
  <si>
    <t>Jelle Hendrix</t>
  </si>
  <si>
    <t>Jesse Burgers</t>
  </si>
  <si>
    <t>Lasse Martens</t>
  </si>
  <si>
    <t>Mauro Pinna</t>
  </si>
  <si>
    <t>Joep Schepers</t>
  </si>
  <si>
    <t>Jan Schornstein</t>
  </si>
  <si>
    <t>Rick L'Abee</t>
  </si>
  <si>
    <t>Youri Middelhoven</t>
  </si>
  <si>
    <t>Max Beumers</t>
  </si>
  <si>
    <t>Junayd Elkhadir</t>
  </si>
  <si>
    <t>Leroy Bemelen</t>
  </si>
  <si>
    <t>Jeffrey Sprenger</t>
  </si>
  <si>
    <t>Lars Leqlerc</t>
  </si>
  <si>
    <t>Sjors Thewissen</t>
  </si>
  <si>
    <t>Max Kaelen</t>
  </si>
  <si>
    <t>Dani Hameleers</t>
  </si>
  <si>
    <t>Lukas Frints</t>
  </si>
  <si>
    <t>Melvin Wesche</t>
  </si>
  <si>
    <t>Laurent Gerrickens</t>
  </si>
  <si>
    <t>Twan Andrien</t>
  </si>
  <si>
    <t>Kian Kleijnen</t>
  </si>
  <si>
    <t>Levi Frissen</t>
  </si>
  <si>
    <t>George Opreij</t>
  </si>
  <si>
    <t>Andy Conjarts</t>
  </si>
  <si>
    <t>Jari Luijten</t>
  </si>
  <si>
    <t>Kelly Webers</t>
  </si>
  <si>
    <t>Noud Frints</t>
  </si>
  <si>
    <t>Roy Radermacher</t>
  </si>
  <si>
    <t>Justin Cruts</t>
  </si>
  <si>
    <t>Willem-Job Gerrickens</t>
  </si>
  <si>
    <t>Sven Paffen</t>
  </si>
  <si>
    <t>Boy Radermacher</t>
  </si>
  <si>
    <t>Ivo Janssen</t>
  </si>
  <si>
    <t>Sjir Andrien</t>
  </si>
  <si>
    <t>Given Meessen</t>
  </si>
  <si>
    <t>Jort Drenth</t>
  </si>
  <si>
    <t>Vince Meessen</t>
  </si>
  <si>
    <t>Ties Rutten</t>
  </si>
  <si>
    <t>Xam Verheij</t>
  </si>
  <si>
    <t>Boy Peeters</t>
  </si>
  <si>
    <t>Steyn Visser</t>
  </si>
  <si>
    <t>Kay Linssen</t>
  </si>
  <si>
    <t>Thijmen Albers</t>
  </si>
  <si>
    <t>Rory Barendsen</t>
  </si>
  <si>
    <t>Rens Albers</t>
  </si>
  <si>
    <t>Lars Bartels</t>
  </si>
  <si>
    <t>Rodey Berben</t>
  </si>
  <si>
    <t>Ian Boots</t>
  </si>
  <si>
    <t>Nick Boots</t>
  </si>
  <si>
    <t>Renzo Delissen</t>
  </si>
  <si>
    <t>Raoul Engelen</t>
  </si>
  <si>
    <t>Finn Engels</t>
  </si>
  <si>
    <t>Bart Houben</t>
  </si>
  <si>
    <t>Lars Janssen</t>
  </si>
  <si>
    <t>Jort Nijssen</t>
  </si>
  <si>
    <t>Jordi Ogier</t>
  </si>
  <si>
    <t>Bram Peeters</t>
  </si>
  <si>
    <t>Luuk Peeters</t>
  </si>
  <si>
    <t>Luca Verheij</t>
  </si>
  <si>
    <t>Giep Verstappen</t>
  </si>
  <si>
    <t>Yannick Muijsenberg</t>
  </si>
  <si>
    <t>Nuno Zoontjes</t>
  </si>
  <si>
    <t>Mohammed Othman</t>
  </si>
  <si>
    <t>Max Perree</t>
  </si>
  <si>
    <t>Vincent Borger</t>
  </si>
  <si>
    <t>Ritchie de Bruyn</t>
  </si>
  <si>
    <t>Hans Vogten</t>
  </si>
  <si>
    <t>Martijn Custers</t>
  </si>
  <si>
    <t>Jules Leclerq</t>
  </si>
  <si>
    <t>Raf Houben</t>
  </si>
  <si>
    <t>Zigo Stam</t>
  </si>
  <si>
    <t>Jesse van de Beucken</t>
  </si>
  <si>
    <t>Ryan Cuijpers</t>
  </si>
  <si>
    <t>Rowan Jacobs</t>
  </si>
  <si>
    <t>Sem Jacobs</t>
  </si>
  <si>
    <t>Bo Jacobs</t>
  </si>
  <si>
    <t>Luuk Gorissen</t>
  </si>
  <si>
    <t>Jop Banens</t>
  </si>
  <si>
    <t>Dylan Horn</t>
  </si>
  <si>
    <t>Desley Janssen</t>
  </si>
  <si>
    <t>Mike Overmars</t>
  </si>
  <si>
    <t>Liam Noldus</t>
  </si>
  <si>
    <t>Gianni Giorgio</t>
  </si>
  <si>
    <t>Rick Hensgens</t>
  </si>
  <si>
    <t>Robin Starmans</t>
  </si>
  <si>
    <t>Milan Rikkert</t>
  </si>
  <si>
    <t>Siem Jansen</t>
  </si>
  <si>
    <t>Casper Tenneij</t>
  </si>
  <si>
    <t>Bauke Barrois</t>
  </si>
  <si>
    <t>Jari Benneker</t>
  </si>
  <si>
    <t>Edwin Urlings</t>
  </si>
  <si>
    <t>Wessel Zeelen</t>
  </si>
  <si>
    <t>Timo Lijssen</t>
  </si>
  <si>
    <t>Job Engels</t>
  </si>
  <si>
    <t>Ilias Dari</t>
  </si>
  <si>
    <t>Chadly Ouadi Oubella</t>
  </si>
  <si>
    <t>Job van Tongerlo</t>
  </si>
  <si>
    <t>Mert Balci</t>
  </si>
  <si>
    <t>Jeroen Beeks</t>
  </si>
  <si>
    <t>Tijs Beerkens</t>
  </si>
  <si>
    <t>Sjors Coumans</t>
  </si>
  <si>
    <t>Roy Cuppen</t>
  </si>
  <si>
    <t>Bart Doensen</t>
  </si>
  <si>
    <t>Koen Engels</t>
  </si>
  <si>
    <t>Thijs Geraedts</t>
  </si>
  <si>
    <t>Robin Heijnen</t>
  </si>
  <si>
    <t>Victor Hoeben</t>
  </si>
  <si>
    <t>Auke Houben</t>
  </si>
  <si>
    <t>Timon Janssen</t>
  </si>
  <si>
    <t>Tren Joosten</t>
  </si>
  <si>
    <t>Tom van Kempen</t>
  </si>
  <si>
    <t>Jordi Kirkels</t>
  </si>
  <si>
    <t>Max Lenders</t>
  </si>
  <si>
    <t>Miller Lenders</t>
  </si>
  <si>
    <t>Lars Nijssen</t>
  </si>
  <si>
    <t>Jesper van Ophoven</t>
  </si>
  <si>
    <t>Jeffrey Rijkers</t>
  </si>
  <si>
    <t>Sten van Schaijk</t>
  </si>
  <si>
    <t>Sam Schmidt</t>
  </si>
  <si>
    <t>Ramon Sijben</t>
  </si>
  <si>
    <t>Luuk Timmermans</t>
  </si>
  <si>
    <t>Tom Timmermans</t>
  </si>
  <si>
    <t>Tijn Verhaegh</t>
  </si>
  <si>
    <t>Jules Verkoelen</t>
  </si>
  <si>
    <t>Glenn Verschaeren</t>
  </si>
  <si>
    <t>Dion Vogelsangs</t>
  </si>
  <si>
    <t>Bas Wilmer</t>
  </si>
  <si>
    <t>Tom Wilmer</t>
  </si>
  <si>
    <t>Tom Wulms</t>
  </si>
  <si>
    <t>Gabriel Hammami</t>
  </si>
  <si>
    <t>Alexander Hammami</t>
  </si>
  <si>
    <t>Leonardo Montariello</t>
  </si>
  <si>
    <t>Lehandri Smith</t>
  </si>
  <si>
    <t>Sven Gerrits</t>
  </si>
  <si>
    <t>Dante Ensinck op Kemna</t>
  </si>
  <si>
    <t>Jailo Senen</t>
  </si>
  <si>
    <t>Gijs Duijnhouwer</t>
  </si>
  <si>
    <t>Edoardo Maria Rigamonti</t>
  </si>
  <si>
    <t>Jessy Winkens</t>
  </si>
  <si>
    <t>Mohammed Sadio Sall</t>
  </si>
  <si>
    <t>Faghr Eldin</t>
  </si>
  <si>
    <t>Junior Jobe</t>
  </si>
  <si>
    <t>Gyam Boileau</t>
  </si>
  <si>
    <t>Gilles Soudant</t>
  </si>
  <si>
    <t>Maikel Vervish</t>
  </si>
  <si>
    <t>Milan Bonfrere</t>
  </si>
  <si>
    <t>Yassine Boumediene</t>
  </si>
  <si>
    <t>Leco Cortjens</t>
  </si>
  <si>
    <t>Max Priem</t>
  </si>
  <si>
    <t>Jesse Breuers</t>
  </si>
  <si>
    <t>Lucas Cantavenera</t>
  </si>
  <si>
    <t>Floris de Zee</t>
  </si>
  <si>
    <t>Olivier Wijnhoven</t>
  </si>
  <si>
    <t>Tygo Reijnders</t>
  </si>
  <si>
    <t>Victor van Utteren</t>
  </si>
  <si>
    <t>Daan Franken</t>
  </si>
  <si>
    <t>Djordy Adriaansen</t>
  </si>
  <si>
    <t>Finn Hartendorp</t>
  </si>
  <si>
    <t>Jermo Schaeks</t>
  </si>
  <si>
    <t>Milan Rijvers</t>
  </si>
  <si>
    <t>Nik van der Ley</t>
  </si>
  <si>
    <t>Cas Willemsen</t>
  </si>
  <si>
    <t>Tim Bertrand</t>
  </si>
  <si>
    <t>Jeppe Coenen</t>
  </si>
  <si>
    <t>Jouri Goessens</t>
  </si>
  <si>
    <t>Tom Kock</t>
  </si>
  <si>
    <t>Thimo Leersen</t>
  </si>
  <si>
    <t>Juul Derikx</t>
  </si>
  <si>
    <t>Liv Noya</t>
  </si>
  <si>
    <t>Siem Hendrix</t>
  </si>
  <si>
    <t>Bas van Helden</t>
  </si>
  <si>
    <t>Job Thijssen</t>
  </si>
  <si>
    <t>Joep Beurskens</t>
  </si>
  <si>
    <t>Jur Janssen</t>
  </si>
  <si>
    <t>Dion Curvers</t>
  </si>
  <si>
    <t>Sven Beurskens</t>
  </si>
  <si>
    <t>Jimmie Janssen</t>
  </si>
  <si>
    <t>Miel Rütten</t>
  </si>
  <si>
    <t>Toon Gooren</t>
  </si>
  <si>
    <t>Tim van Meijel</t>
  </si>
  <si>
    <t>Jaey van Els</t>
  </si>
  <si>
    <t>Job Geven</t>
  </si>
  <si>
    <t>Gies Gooren</t>
  </si>
  <si>
    <t>Koen Loonen</t>
  </si>
  <si>
    <t>Bov Theuwse</t>
  </si>
  <si>
    <t>Tycho Thielen</t>
  </si>
  <si>
    <t>Rens Vergeldt</t>
  </si>
  <si>
    <t>Syb Volleberg</t>
  </si>
  <si>
    <t>Jens Beurskens</t>
  </si>
  <si>
    <t>Ticho Kusters</t>
  </si>
  <si>
    <t>Martijn Tabak</t>
  </si>
  <si>
    <t>Kjeld Geene</t>
  </si>
  <si>
    <t>Charafeddine Kaddouri</t>
  </si>
  <si>
    <t>Marchello Paterek</t>
  </si>
  <si>
    <t>Timo Breuer</t>
  </si>
  <si>
    <t>Zuedion Fonseca</t>
  </si>
  <si>
    <t>Donny Tielemans</t>
  </si>
  <si>
    <t>Berat Akdogan</t>
  </si>
  <si>
    <t>Gierro Akkrum</t>
  </si>
  <si>
    <t>Oussama Lazam</t>
  </si>
  <si>
    <t>Daan Zautsen</t>
  </si>
  <si>
    <t>Imad Tini</t>
  </si>
  <si>
    <t>Younes al Arbaoui</t>
  </si>
  <si>
    <t>Houssein al Dujelli</t>
  </si>
  <si>
    <t>Ryan Heeren</t>
  </si>
  <si>
    <t>Dylano Jansen</t>
  </si>
  <si>
    <t>Radwan Ayadi</t>
  </si>
  <si>
    <t>Fabian Cergnul</t>
  </si>
  <si>
    <t>Siem Cornelissen</t>
  </si>
  <si>
    <t>Tren Cornelissen</t>
  </si>
  <si>
    <t>Michael Gijsbers</t>
  </si>
  <si>
    <t>Timo van Gils</t>
  </si>
  <si>
    <t>Tom Hendrix</t>
  </si>
  <si>
    <t>Mats Houben</t>
  </si>
  <si>
    <t>Celestin Lux</t>
  </si>
  <si>
    <t>Aaron Mayunga</t>
  </si>
  <si>
    <t>Jork Mengelers</t>
  </si>
  <si>
    <t>Lars Rademakers</t>
  </si>
  <si>
    <t>Roel Wevers</t>
  </si>
  <si>
    <t>Dylano van Zundert</t>
  </si>
  <si>
    <t>Naylan van Zundert</t>
  </si>
  <si>
    <t>Bram Nijskens</t>
  </si>
  <si>
    <t>Daan Ewalts</t>
  </si>
  <si>
    <t>Daan Simons</t>
  </si>
  <si>
    <t>Matthijs Cuppen</t>
  </si>
  <si>
    <t>Finn Groetelaers</t>
  </si>
  <si>
    <t>Jelle Groetelaers</t>
  </si>
  <si>
    <t>Sjors van den Hombergh</t>
  </si>
  <si>
    <t>Jeroen van den Hombergh</t>
  </si>
  <si>
    <t>Lars Leenen</t>
  </si>
  <si>
    <t>Laurens Leenen</t>
  </si>
  <si>
    <t>Sven Maessen</t>
  </si>
  <si>
    <t>Jesper Simons</t>
  </si>
  <si>
    <t>Niels Theelen</t>
  </si>
  <si>
    <t>Tuur Omsels</t>
  </si>
  <si>
    <t>Freek Willemsen</t>
  </si>
  <si>
    <t>Mats van der Zwaan</t>
  </si>
  <si>
    <t>Axel Savelsbergh</t>
  </si>
  <si>
    <t>Ahmed Jimaale</t>
  </si>
  <si>
    <t>Kay Clignet</t>
  </si>
  <si>
    <t>Kevin Jansen</t>
  </si>
  <si>
    <t>Yassin Ben Saddik</t>
  </si>
  <si>
    <t>Mees Ruiters</t>
  </si>
  <si>
    <t>Joris Hoogma</t>
  </si>
  <si>
    <t>Daan Schlösser</t>
  </si>
  <si>
    <t>Rashid Dulovan</t>
  </si>
  <si>
    <t>Rens Erens</t>
  </si>
  <si>
    <t>Adrian Fischer</t>
  </si>
  <si>
    <t>Chris Frauenrath</t>
  </si>
  <si>
    <t>Jesse Hahnengress</t>
  </si>
  <si>
    <t>Mike Kerres</t>
  </si>
  <si>
    <t>Niels Lanckohr</t>
  </si>
  <si>
    <t>Sybe Nijdam</t>
  </si>
  <si>
    <t>Bjorn van der Weide</t>
  </si>
  <si>
    <t>Lars van der Weide</t>
  </si>
  <si>
    <t>Kevin Bogusch</t>
  </si>
  <si>
    <t>Pepijn Erve</t>
  </si>
  <si>
    <t>Lorenzo Gielis</t>
  </si>
  <si>
    <t>Lars Hollanders</t>
  </si>
  <si>
    <t>Lars Vanweersch</t>
  </si>
  <si>
    <t>Livai Elbers</t>
  </si>
  <si>
    <t>Michael Muys</t>
  </si>
  <si>
    <t>Dick van de Lisdonk</t>
  </si>
  <si>
    <t>Koen Driessen</t>
  </si>
  <si>
    <t>Doeke Spreeuwenberg</t>
  </si>
  <si>
    <t>Djen Verkoelen</t>
  </si>
  <si>
    <t>Sven Hesen</t>
  </si>
  <si>
    <t>Stijn Spreeuwenberg</t>
  </si>
  <si>
    <t>Jelle Seuren</t>
  </si>
  <si>
    <t>Stan van de Pas</t>
  </si>
  <si>
    <t>Jeffrey Jeuken</t>
  </si>
  <si>
    <t>Gijs Coenders</t>
  </si>
  <si>
    <t>Teun Peeters</t>
  </si>
  <si>
    <t>Anouar Nasla</t>
  </si>
  <si>
    <t>Stef Driessen</t>
  </si>
  <si>
    <t>Niels Cox</t>
  </si>
  <si>
    <t>Job Spreeuwenberg</t>
  </si>
  <si>
    <t>Roel Derikx</t>
  </si>
  <si>
    <t>Jacco van Duijnhoven</t>
  </si>
  <si>
    <t>Sam van Deur</t>
  </si>
  <si>
    <t>Sven van Lier</t>
  </si>
  <si>
    <t>Youri Rijlaarsdam</t>
  </si>
  <si>
    <t>Tycho Willems</t>
  </si>
  <si>
    <t>Jesper Janssen</t>
  </si>
  <si>
    <t>Juul Strous</t>
  </si>
  <si>
    <t>Mel Stevens</t>
  </si>
  <si>
    <t>Aimyn Benrida</t>
  </si>
  <si>
    <t>Yannick Menick</t>
  </si>
  <si>
    <t>Max Smeets</t>
  </si>
  <si>
    <t>Sander Claessen</t>
  </si>
  <si>
    <t>Jürgen Dirkx</t>
  </si>
  <si>
    <t>Pascal Claessen</t>
  </si>
  <si>
    <t>Renee Pex</t>
  </si>
  <si>
    <t>Remco Pustjens</t>
  </si>
  <si>
    <t>Jesse Mevissen</t>
  </si>
  <si>
    <t>Rodin Kuckelkorn</t>
  </si>
  <si>
    <t>Milan Kuckelkorn</t>
  </si>
  <si>
    <t>Jesse van Thoor</t>
  </si>
  <si>
    <t>Kyano Handels</t>
  </si>
  <si>
    <t>Ashwin Tuguani</t>
  </si>
  <si>
    <t>Rick Wensink</t>
  </si>
  <si>
    <t>Jip Berkers</t>
  </si>
  <si>
    <t>Mathijs Berns</t>
  </si>
  <si>
    <t>Bram Bronckers</t>
  </si>
  <si>
    <t>Tim Dekker</t>
  </si>
  <si>
    <t>Rick Feenstra</t>
  </si>
  <si>
    <t>Mareno Franssen</t>
  </si>
  <si>
    <t>Davey Goverde</t>
  </si>
  <si>
    <t>Keanu Hamers</t>
  </si>
  <si>
    <t>Stijn Heijster</t>
  </si>
  <si>
    <t>Ryan Heynen</t>
  </si>
  <si>
    <t>Merijn Meels</t>
  </si>
  <si>
    <t>Ruben Meels</t>
  </si>
  <si>
    <t>Daniël Nuis</t>
  </si>
  <si>
    <t>Enzo Otten</t>
  </si>
  <si>
    <t>Milan Schils</t>
  </si>
  <si>
    <t>Sid Smeets</t>
  </si>
  <si>
    <t>Jasper Sonneveld</t>
  </si>
  <si>
    <t>Zino Sormani</t>
  </si>
  <si>
    <t>Patrick Vervoort</t>
  </si>
  <si>
    <t>Sem de Vries</t>
  </si>
  <si>
    <t>Quin Crombags</t>
  </si>
  <si>
    <t>Mark Eberson</t>
  </si>
  <si>
    <t>Harm Linders</t>
  </si>
  <si>
    <t>Jason Valentijn</t>
  </si>
  <si>
    <t>Niek Laumen</t>
  </si>
  <si>
    <t>Twan Laumen</t>
  </si>
  <si>
    <t>Koen Beunen</t>
  </si>
  <si>
    <t>Mark Meuwissen</t>
  </si>
  <si>
    <t>Mark Vergoossen</t>
  </si>
  <si>
    <t>Mike Knieps</t>
  </si>
  <si>
    <t>Noud Hodzelmans</t>
  </si>
  <si>
    <t>Joël Cremers</t>
  </si>
  <si>
    <t>Jeroen van Buggenum</t>
  </si>
  <si>
    <t>Yannick Metsemakers</t>
  </si>
  <si>
    <t>Joes Cox</t>
  </si>
  <si>
    <t>Jordy Willemsen</t>
  </si>
  <si>
    <t>Stef Simons</t>
  </si>
  <si>
    <t>Luuk Reijnders</t>
  </si>
  <si>
    <t>Yorrick Aerts</t>
  </si>
  <si>
    <t>Sergio Demandt</t>
  </si>
  <si>
    <t>Jens Bottenberg</t>
  </si>
  <si>
    <t>Joaquim Batubara</t>
  </si>
  <si>
    <t>Mikay Cillissen</t>
  </si>
  <si>
    <t>Gijs Arnoldussen</t>
  </si>
  <si>
    <t>Raff Lemmens</t>
  </si>
  <si>
    <t>Jesper Bitter</t>
  </si>
  <si>
    <t>Luuk Bottenberg</t>
  </si>
  <si>
    <t>Quinn Martens</t>
  </si>
  <si>
    <t>Daniel Buijs</t>
  </si>
  <si>
    <t>Devin Lourensen</t>
  </si>
  <si>
    <t>Levi Kusters</t>
  </si>
  <si>
    <t>Joon Aarnoutse</t>
  </si>
  <si>
    <t>Daan Rutten</t>
  </si>
  <si>
    <t>Bjorn Hendriks</t>
  </si>
  <si>
    <t>Jelle van Bergen</t>
  </si>
  <si>
    <t>Las Hoeijmakers</t>
  </si>
  <si>
    <t>Sem Roersch</t>
  </si>
  <si>
    <t>Kai Roersch</t>
  </si>
  <si>
    <t>Joshua van As</t>
  </si>
  <si>
    <t>Marijn Bogels</t>
  </si>
  <si>
    <t>Jochem Reintjes</t>
  </si>
  <si>
    <t>Alae Eddine Bouchiba</t>
  </si>
  <si>
    <t>Owen van Gestel</t>
  </si>
  <si>
    <t>Jordy Vranken</t>
  </si>
  <si>
    <t>Mylan Schaekens</t>
  </si>
  <si>
    <t>Lorenzo Boer</t>
  </si>
  <si>
    <t>William Ca</t>
  </si>
  <si>
    <t>Arian Omid Meaph</t>
  </si>
  <si>
    <t>Yu-Jin Tjan</t>
  </si>
  <si>
    <t>Amel Zlibanovic</t>
  </si>
  <si>
    <t>Geleen Zuid</t>
  </si>
  <si>
    <t>Diaro Smith</t>
  </si>
  <si>
    <t>Jeroen Burg</t>
  </si>
  <si>
    <t>Mark van Hulst</t>
  </si>
  <si>
    <t>Collin Snijders</t>
  </si>
  <si>
    <t>Boaz Broekmans</t>
  </si>
  <si>
    <t>Melle Reinders</t>
  </si>
  <si>
    <t>Floris Geurten</t>
  </si>
  <si>
    <t>Silas Mols</t>
  </si>
  <si>
    <t>Niels Spijkman</t>
  </si>
  <si>
    <t>Thijs Vroomen</t>
  </si>
  <si>
    <t>Reda Doornenbal</t>
  </si>
  <si>
    <t>Ryvano Doornenbal</t>
  </si>
  <si>
    <t>Steven Marin</t>
  </si>
  <si>
    <t>Chris Alias</t>
  </si>
  <si>
    <t>Jasko Dzurlic</t>
  </si>
  <si>
    <t>Aristeidis Spyridis</t>
  </si>
  <si>
    <t>Aymane Derkaoui</t>
  </si>
  <si>
    <t>Jelle Warringa</t>
  </si>
  <si>
    <t>Mohamed Bangoura</t>
  </si>
  <si>
    <t>Zakaria Tamoukh</t>
  </si>
  <si>
    <t>Zee Zidane</t>
  </si>
  <si>
    <t>Tahoe Abdulle Hassan</t>
  </si>
  <si>
    <t>Stefan Breemen</t>
  </si>
  <si>
    <t>Guga Habat</t>
  </si>
  <si>
    <t>Juan David Hino Pineros</t>
  </si>
  <si>
    <t>Ahmed Ibrahim</t>
  </si>
  <si>
    <t>Vide Jaksimovic</t>
  </si>
  <si>
    <t>Carlo Lespeki</t>
  </si>
  <si>
    <t>Arijan Liharevic</t>
  </si>
  <si>
    <t>Haris Mahmutovic</t>
  </si>
  <si>
    <t>David Ramirez Siërra</t>
  </si>
  <si>
    <t>Maurice Reinartz</t>
  </si>
  <si>
    <t>Leandro Vieira da Silva</t>
  </si>
  <si>
    <t>Kawo Oloumbeu</t>
  </si>
  <si>
    <t>Mitchel Kuyer</t>
  </si>
  <si>
    <t>Nassim Riahi</t>
  </si>
  <si>
    <t>Hashim Isaag</t>
  </si>
  <si>
    <t>Said Rguibi</t>
  </si>
  <si>
    <t>Kaka Traore</t>
  </si>
  <si>
    <t>Ali Ibrahim</t>
  </si>
  <si>
    <t>Justik Umaru Kamoh</t>
  </si>
  <si>
    <t>Mounsif Jouaher</t>
  </si>
  <si>
    <t>Dajlan Banda</t>
  </si>
  <si>
    <t>Mateus Mendes Fernandes</t>
  </si>
  <si>
    <t>Yves Viehoff</t>
  </si>
  <si>
    <t>Anouar Aharrouy</t>
  </si>
  <si>
    <t>Danny Jeurissen</t>
  </si>
  <si>
    <t>Daniel Peters</t>
  </si>
  <si>
    <t>Gijs van Dijk</t>
  </si>
  <si>
    <t>Claudiu Carp</t>
  </si>
  <si>
    <t>Quinten Denis</t>
  </si>
  <si>
    <t>Sam Bergrath</t>
  </si>
  <si>
    <t>Dylano Bongers</t>
  </si>
  <si>
    <t>Milan Cox</t>
  </si>
  <si>
    <t>Twan Geraets</t>
  </si>
  <si>
    <t>Kevin Geurts</t>
  </si>
  <si>
    <t>Ruben Hendriks</t>
  </si>
  <si>
    <t>Dylan Jeurissen</t>
  </si>
  <si>
    <t>Collin Keijbeck</t>
  </si>
  <si>
    <t>Qing Leijser</t>
  </si>
  <si>
    <t>Dave Mooren</t>
  </si>
  <si>
    <t>Choukri Ouali Filali Alami</t>
  </si>
  <si>
    <t>Mike van der Sande</t>
  </si>
  <si>
    <t>Dani Viehoff</t>
  </si>
  <si>
    <t>Zbigniew Wojciech Sobolewski</t>
  </si>
  <si>
    <t>Dean van Well</t>
  </si>
  <si>
    <t>Ciro Snijders</t>
  </si>
  <si>
    <t>Dani Verstappen</t>
  </si>
  <si>
    <t>Lythiano Steevens</t>
  </si>
  <si>
    <t>Dani Hooft</t>
  </si>
  <si>
    <t>Niels Peeters</t>
  </si>
  <si>
    <t>Sam Broen</t>
  </si>
  <si>
    <t>Robert Hansen</t>
  </si>
  <si>
    <t>Alex van den Heuvel</t>
  </si>
  <si>
    <t>Rens van Gerwen</t>
  </si>
  <si>
    <t>Sjoerd Korsten</t>
  </si>
  <si>
    <t>Vince Pubben</t>
  </si>
  <si>
    <t>Max Aendekerk</t>
  </si>
  <si>
    <t>Jesse Tunissen</t>
  </si>
  <si>
    <t>Wes Gijsen</t>
  </si>
  <si>
    <t>Tim Beek</t>
  </si>
  <si>
    <t>Micky Beurskens</t>
  </si>
  <si>
    <t>Bowen Beurskens</t>
  </si>
  <si>
    <t>Scott Bours</t>
  </si>
  <si>
    <t>Niels Geeraths</t>
  </si>
  <si>
    <t>Dave Heijkers</t>
  </si>
  <si>
    <t>Kai van Herten</t>
  </si>
  <si>
    <t>Stijn Koninkx</t>
  </si>
  <si>
    <t>Noud Nijskens</t>
  </si>
  <si>
    <t>Valentine Obidigbo</t>
  </si>
  <si>
    <t>Rein Rietjens</t>
  </si>
  <si>
    <t>Tom van Rooij</t>
  </si>
  <si>
    <t>Nick van Roy</t>
  </si>
  <si>
    <t>Sjors van Roy</t>
  </si>
  <si>
    <t>Mike Strous</t>
  </si>
  <si>
    <t>Nard Rietjens</t>
  </si>
  <si>
    <t>Cas Gijsen</t>
  </si>
  <si>
    <t>Justin van Hugten</t>
  </si>
  <si>
    <t>Luuk Ogier</t>
  </si>
  <si>
    <t>Bjorn van Rooij</t>
  </si>
  <si>
    <t>Daan Vrancken</t>
  </si>
  <si>
    <t>Jarno Enckevort</t>
  </si>
  <si>
    <t>Daan Cauven</t>
  </si>
  <si>
    <t>Sam Schroen</t>
  </si>
  <si>
    <t>Gijs Beenders</t>
  </si>
  <si>
    <t>Stan Linders</t>
  </si>
  <si>
    <t>Koen Heijmans</t>
  </si>
  <si>
    <t>Sieb van Ratingen</t>
  </si>
  <si>
    <t>Lars Kierkels</t>
  </si>
  <si>
    <t>Stan van Lier</t>
  </si>
  <si>
    <t>Tuur van Melick</t>
  </si>
  <si>
    <t>Ivo van Lier</t>
  </si>
  <si>
    <t>Teun van Lier</t>
  </si>
  <si>
    <t>Tijn Greve</t>
  </si>
  <si>
    <t>Bryan Kooiman</t>
  </si>
  <si>
    <t>Joost van Beers</t>
  </si>
  <si>
    <t>Lars Hendrix</t>
  </si>
  <si>
    <t>Sjuul Verkoulen</t>
  </si>
  <si>
    <t>Willem Louwers</t>
  </si>
  <si>
    <t>Mike Simons</t>
  </si>
  <si>
    <t>Noud Backus</t>
  </si>
  <si>
    <t>Rob van den Boogaart</t>
  </si>
  <si>
    <t>Job Meuwissen</t>
  </si>
  <si>
    <t>Koen Pezij</t>
  </si>
  <si>
    <t>Jeroen Oosterloo</t>
  </si>
  <si>
    <t>Stijn Reinders</t>
  </si>
  <si>
    <t>Tim Sipers</t>
  </si>
  <si>
    <t>Vince van der Heijden</t>
  </si>
  <si>
    <t>Kay Hennekes</t>
  </si>
  <si>
    <t>Bryan Debie</t>
  </si>
  <si>
    <t>Rubiensly Henriquez</t>
  </si>
  <si>
    <t>Mohamed Rachid Aladji el Idrissi</t>
  </si>
  <si>
    <t>Bryan Valentijn</t>
  </si>
  <si>
    <t>Luc Wijnands</t>
  </si>
  <si>
    <t>Thomas Bisschops</t>
  </si>
  <si>
    <t>Timo Ploum</t>
  </si>
  <si>
    <t>Mick Mijnes</t>
  </si>
  <si>
    <t>Kyano Lux</t>
  </si>
  <si>
    <t>Tom Somers</t>
  </si>
  <si>
    <t>Ryan Bessems</t>
  </si>
  <si>
    <t>Brent Hazelhoff Heeres</t>
  </si>
  <si>
    <t>Luc Peeters</t>
  </si>
  <si>
    <t>Tuur Wolfhagen</t>
  </si>
  <si>
    <t>Loek Hamers</t>
  </si>
  <si>
    <t>Christoph van den Hombergh</t>
  </si>
  <si>
    <t>Thom Sips</t>
  </si>
  <si>
    <t>Colin van Riessen</t>
  </si>
  <si>
    <t>Raf Wolfhagen</t>
  </si>
  <si>
    <t>Jayson Claessen</t>
  </si>
  <si>
    <t>Bryan Keuren</t>
  </si>
  <si>
    <t>Mark Schmitz</t>
  </si>
  <si>
    <t>Rowan Hendriks</t>
  </si>
  <si>
    <t>Jeroen de Caluwé</t>
  </si>
  <si>
    <t>Kaj Bastiaens</t>
  </si>
  <si>
    <t>Mike van Gerwen</t>
  </si>
  <si>
    <t>Mark Willemssen</t>
  </si>
  <si>
    <t>Jens Bosma</t>
  </si>
  <si>
    <t>Jur Bonekamp</t>
  </si>
  <si>
    <t>Sid Peeters</t>
  </si>
  <si>
    <t>Danny Houwen</t>
  </si>
  <si>
    <t>Rob Houwen</t>
  </si>
  <si>
    <t>Jorn Nabben</t>
  </si>
  <si>
    <t>Daan Willemssen</t>
  </si>
  <si>
    <t>Jens Verbruggen</t>
  </si>
  <si>
    <t>Jesper Voermans</t>
  </si>
  <si>
    <t>Jarno Zanders</t>
  </si>
  <si>
    <t>Johan Gommans</t>
  </si>
  <si>
    <t>Joost Deenen</t>
  </si>
  <si>
    <t>Koen Classens</t>
  </si>
  <si>
    <t>Koen Flinsenberg</t>
  </si>
  <si>
    <t>Tijn Michels</t>
  </si>
  <si>
    <t>Merijn Buddiger</t>
  </si>
  <si>
    <t>Sjoerd Classens</t>
  </si>
  <si>
    <t>Tom Janssen</t>
  </si>
  <si>
    <t>Wes Arts</t>
  </si>
  <si>
    <t>Jorn Wennekers</t>
  </si>
  <si>
    <t>Fabian Hendriks</t>
  </si>
  <si>
    <t>Tijs Loonen</t>
  </si>
  <si>
    <t>Yanick van Gulick</t>
  </si>
  <si>
    <t>Naud Colen</t>
  </si>
  <si>
    <t>Rick Eijkenboom</t>
  </si>
  <si>
    <t>Kyen Gilissen</t>
  </si>
  <si>
    <t>Lars Gulpen</t>
  </si>
  <si>
    <t>Jean-Pierre Hendriks</t>
  </si>
  <si>
    <t>Niek Huynen</t>
  </si>
  <si>
    <t>Roel Huynen</t>
  </si>
  <si>
    <t>Rick Janssen</t>
  </si>
  <si>
    <t>Jilany Jongen</t>
  </si>
  <si>
    <t>Luc Kleijnen</t>
  </si>
  <si>
    <t>Niels van Loo</t>
  </si>
  <si>
    <t>Raf Loomans</t>
  </si>
  <si>
    <t>Koen Meertens</t>
  </si>
  <si>
    <t>Jan Willem Nass</t>
  </si>
  <si>
    <t>Sander Ramaekers</t>
  </si>
  <si>
    <t>Glenn Reinders</t>
  </si>
  <si>
    <t>Dean Schendelaar</t>
  </si>
  <si>
    <t>Bob Schoffelen</t>
  </si>
  <si>
    <t>Daniek Seroo</t>
  </si>
  <si>
    <t>Ivo Simon</t>
  </si>
  <si>
    <t>Ruben Smeets</t>
  </si>
  <si>
    <t>Mick Tychon</t>
  </si>
  <si>
    <t>Yannick Vanweersch</t>
  </si>
  <si>
    <t>Florian Janssen</t>
  </si>
  <si>
    <t>Barry Schroeder</t>
  </si>
  <si>
    <t>Roel Heinen</t>
  </si>
  <si>
    <t>Bradley Dellwing</t>
  </si>
  <si>
    <t>Zinho Kessel</t>
  </si>
  <si>
    <t>Darius Nitache</t>
  </si>
  <si>
    <t>Jimmy Bruckers</t>
  </si>
  <si>
    <t>Jens Kohlen</t>
  </si>
  <si>
    <t>Ludciano Schumans</t>
  </si>
  <si>
    <t>Noah Wackers</t>
  </si>
  <si>
    <t>Kyan Ophelders</t>
  </si>
  <si>
    <t>Senn Kuijpers</t>
  </si>
  <si>
    <t>Mike Heuts</t>
  </si>
  <si>
    <t>Dennis Kessels</t>
  </si>
  <si>
    <t>Max Hanssen</t>
  </si>
  <si>
    <t>Jop Houkes</t>
  </si>
  <si>
    <t>Kay Peusen</t>
  </si>
  <si>
    <t>Milan Laumen</t>
  </si>
  <si>
    <t>Niels Coumans</t>
  </si>
  <si>
    <t>Tim Laumen</t>
  </si>
  <si>
    <t>Yves Janse</t>
  </si>
  <si>
    <t>Mirco Laumen</t>
  </si>
  <si>
    <t>Sven Jansen</t>
  </si>
  <si>
    <t>Bram Dortu</t>
  </si>
  <si>
    <t>Arne Kranz</t>
  </si>
  <si>
    <t>Sainey Cham</t>
  </si>
  <si>
    <t>Kevin Bossle</t>
  </si>
  <si>
    <t>Glenn Bisschops</t>
  </si>
  <si>
    <t>Adam el Hasnaoui</t>
  </si>
  <si>
    <t>Michael Remmers</t>
  </si>
  <si>
    <t>Youssef Romdhani</t>
  </si>
  <si>
    <t>Wesley Vermeij</t>
  </si>
  <si>
    <t>Devanio van Oppen</t>
  </si>
  <si>
    <t>Shivan Kluijt</t>
  </si>
  <si>
    <t>Sten Jamar</t>
  </si>
  <si>
    <t>Hendrik Jan de Jonge</t>
  </si>
  <si>
    <t>Jason van Dijk</t>
  </si>
  <si>
    <t>Jerry Lee de Groot</t>
  </si>
  <si>
    <t>Roy Schoonens</t>
  </si>
  <si>
    <t>Dani van Belkom</t>
  </si>
  <si>
    <t>Melvin Eussen</t>
  </si>
  <si>
    <t>Issam el Fathi</t>
  </si>
  <si>
    <t>Zien Mohammed Ali</t>
  </si>
  <si>
    <t>Daan Sarfeld</t>
  </si>
  <si>
    <t>Don Peters</t>
  </si>
  <si>
    <t>Sjali Vondenhoff</t>
  </si>
  <si>
    <t>Quinsy Sanches</t>
  </si>
  <si>
    <t>Randy Leblanc</t>
  </si>
  <si>
    <t>Roni Joko</t>
  </si>
  <si>
    <t>Taysen Duijkers</t>
  </si>
  <si>
    <t>Ray Henriquez</t>
  </si>
  <si>
    <t>Justin Breemen</t>
  </si>
  <si>
    <t>Douwe van der Hoeven</t>
  </si>
  <si>
    <t>Marc Franssen</t>
  </si>
  <si>
    <t>Marco Paffen</t>
  </si>
  <si>
    <t>Joy Guney</t>
  </si>
  <si>
    <t>Djorno Visser</t>
  </si>
  <si>
    <t>Jop Uranka</t>
  </si>
  <si>
    <t>Noah Bollen</t>
  </si>
  <si>
    <t>Thomas Rousch</t>
  </si>
  <si>
    <t>Jordy Franssen</t>
  </si>
  <si>
    <t>Sanneh Salevo</t>
  </si>
  <si>
    <t>Michel Fornito</t>
  </si>
  <si>
    <t>Luc Bastings</t>
  </si>
  <si>
    <t>Dave Heuvels</t>
  </si>
  <si>
    <t>Raf Keerssemeeckers</t>
  </si>
  <si>
    <t>Quinn Kraft</t>
  </si>
  <si>
    <t>Samir Roebroeks</t>
  </si>
  <si>
    <t>Joyce Miesen</t>
  </si>
  <si>
    <t>Nadine Prickaerts</t>
  </si>
  <si>
    <t>Pleuni de Poel</t>
  </si>
  <si>
    <t>Fenna Voragen</t>
  </si>
  <si>
    <t>Fenne Stouthart</t>
  </si>
  <si>
    <t>Sterre Cuypers</t>
  </si>
  <si>
    <t>Pien Wassen</t>
  </si>
  <si>
    <t>Meggie Munster</t>
  </si>
  <si>
    <t>Lena Overdijk</t>
  </si>
  <si>
    <t>Seray Tubee</t>
  </si>
  <si>
    <t>Senna Vergoossen</t>
  </si>
  <si>
    <t>Daniesha Hengst</t>
  </si>
  <si>
    <t>Floor Temme</t>
  </si>
  <si>
    <t>Mandy Soomers</t>
  </si>
  <si>
    <t>Maud Cornips</t>
  </si>
  <si>
    <t>Lotte Kerkhoffs</t>
  </si>
  <si>
    <t>Els Neuteboom</t>
  </si>
  <si>
    <t>Lyenne Vaassen</t>
  </si>
  <si>
    <t>Sophie Hermans</t>
  </si>
  <si>
    <t>Lika Geenen</t>
  </si>
  <si>
    <t>Saar Korten</t>
  </si>
  <si>
    <t>Marlou van Diepen</t>
  </si>
  <si>
    <t>Indy Coolen</t>
  </si>
  <si>
    <t>Michelle Kurvers</t>
  </si>
  <si>
    <t>Isa Brangers</t>
  </si>
  <si>
    <t>Lieke van Gijssel</t>
  </si>
  <si>
    <t>Femke Brouns</t>
  </si>
  <si>
    <t>Jessie Stals</t>
  </si>
  <si>
    <t>Maartje Theeven-Geelisen</t>
  </si>
  <si>
    <t>Sildra Zwambag</t>
  </si>
  <si>
    <t>Lotte Wullems</t>
  </si>
  <si>
    <t>Simone Koolen</t>
  </si>
  <si>
    <t>Nele Greve</t>
  </si>
  <si>
    <t>Floor Derikx</t>
  </si>
  <si>
    <t>Finn Srech</t>
  </si>
  <si>
    <t>Quint van Leeuwen</t>
  </si>
  <si>
    <t>Thijs Pekel</t>
  </si>
  <si>
    <t>Javier Padilla</t>
  </si>
  <si>
    <t>Salaheddine el Hasnaoui</t>
  </si>
  <si>
    <t>Yoshi Daamen</t>
  </si>
  <si>
    <t>Tarik el Farougui</t>
  </si>
  <si>
    <t>Diego Jimenez Quiceno</t>
  </si>
  <si>
    <t>Bart Kerkhof</t>
  </si>
  <si>
    <t>Renzo Reynders</t>
  </si>
  <si>
    <t>Quinn Mookhram</t>
  </si>
  <si>
    <t>Brian Goossens</t>
  </si>
  <si>
    <t>Abdelhak Oubari</t>
  </si>
  <si>
    <t>Admil Murtic</t>
  </si>
  <si>
    <t>Amine Zenoud</t>
  </si>
  <si>
    <t>Hussein Abdalla</t>
  </si>
  <si>
    <t>Saleh Qasem</t>
  </si>
  <si>
    <t>Issam el Ghadouani</t>
  </si>
  <si>
    <t>Abdirahman Hussein</t>
  </si>
  <si>
    <t>Kevin Counceller</t>
  </si>
  <si>
    <t>Vedat Hoti</t>
  </si>
  <si>
    <t>Fayçal Idrissi</t>
  </si>
  <si>
    <t>Jenairo Paulina</t>
  </si>
  <si>
    <t>Seifedin Sadikki</t>
  </si>
  <si>
    <t>Abdelkader Oubari</t>
  </si>
  <si>
    <t>Zakaria Amzil</t>
  </si>
  <si>
    <t>Idriss Sabir</t>
  </si>
  <si>
    <t>Hicham Haddadi</t>
  </si>
  <si>
    <t>Mohamed Loukili</t>
  </si>
  <si>
    <t>Ibrahim Loukili</t>
  </si>
  <si>
    <t>Hamza Saddiki</t>
  </si>
  <si>
    <t>Anass Carroum</t>
  </si>
  <si>
    <t>Anass Chamlali</t>
  </si>
  <si>
    <t>Mohammed Dammag</t>
  </si>
  <si>
    <t>Naoufal Hamdaoui</t>
  </si>
  <si>
    <t>Mohamed Chamlali</t>
  </si>
  <si>
    <t>Faissal Saddiki</t>
  </si>
  <si>
    <t>Simo el Moumari</t>
  </si>
  <si>
    <t>Dirk Janssen</t>
  </si>
  <si>
    <t>Bastiaan Boessen</t>
  </si>
  <si>
    <t>Stef Klinkenberg</t>
  </si>
  <si>
    <t>Bjorn Kars</t>
  </si>
  <si>
    <t>Cyriel Verstappen</t>
  </si>
  <si>
    <t>Loe Cox</t>
  </si>
  <si>
    <t>Rein Peters</t>
  </si>
  <si>
    <t>Mitchell Hissink</t>
  </si>
  <si>
    <t>Youri Lebens</t>
  </si>
  <si>
    <t>Tom van Hees</t>
  </si>
  <si>
    <t>Yves Moonen</t>
  </si>
  <si>
    <t>Tim Salari</t>
  </si>
  <si>
    <t>Sven Hustin</t>
  </si>
  <si>
    <t>Flynn Verdonschot</t>
  </si>
  <si>
    <t>Sven van Nieuwenhoven</t>
  </si>
  <si>
    <t>Bram Coolen</t>
  </si>
  <si>
    <t>Dion Cremers</t>
  </si>
  <si>
    <t>Quin Didden</t>
  </si>
  <si>
    <t>Dirk Brunnenberg</t>
  </si>
  <si>
    <t>Mika Vervuurt</t>
  </si>
  <si>
    <t>Timo Stelten</t>
  </si>
  <si>
    <t>Stan Custers</t>
  </si>
  <si>
    <t>Shahid el Assaoui</t>
  </si>
  <si>
    <t>Lucas van der Linden</t>
  </si>
  <si>
    <t>Firmin Bijl</t>
  </si>
  <si>
    <t>Tim Bindels</t>
  </si>
  <si>
    <t>Bas Derksen</t>
  </si>
  <si>
    <t>Daan Derksen</t>
  </si>
  <si>
    <t>Glenn Dierx</t>
  </si>
  <si>
    <t>Sven Dierx</t>
  </si>
  <si>
    <t>Juliën Geene</t>
  </si>
  <si>
    <t>Lennart Geelen</t>
  </si>
  <si>
    <t>Hidde Hekers</t>
  </si>
  <si>
    <t>Dino Julicher</t>
  </si>
  <si>
    <t>Koen Kusters</t>
  </si>
  <si>
    <t>Dennis Kusters</t>
  </si>
  <si>
    <t>Milan Puts</t>
  </si>
  <si>
    <t>Cas Roelants</t>
  </si>
  <si>
    <t>Dylan van Pelt</t>
  </si>
  <si>
    <t>Jules van Deursen</t>
  </si>
  <si>
    <t>Stan van Goor</t>
  </si>
  <si>
    <t>Shedy Hendrix</t>
  </si>
  <si>
    <t>Semih Atalay</t>
  </si>
  <si>
    <t>Halil Harman</t>
  </si>
  <si>
    <t>Tijn Sneeuw</t>
  </si>
  <si>
    <t>Daan Voragen</t>
  </si>
  <si>
    <t>Bram Cox</t>
  </si>
  <si>
    <t>Daan Arts</t>
  </si>
  <si>
    <t>Guido Kauffeld</t>
  </si>
  <si>
    <t>Sem Derix</t>
  </si>
  <si>
    <t>Teun Vullings</t>
  </si>
  <si>
    <t>Gijs Tacken</t>
  </si>
  <si>
    <t>Bram Clabbers</t>
  </si>
  <si>
    <t>Wessel van Rengs</t>
  </si>
  <si>
    <t>Joep Rambags</t>
  </si>
  <si>
    <t>Niek van der Sterren</t>
  </si>
  <si>
    <t>Robbin Clabbers</t>
  </si>
  <si>
    <t>Jur Nijssen</t>
  </si>
  <si>
    <t>Tim Faber</t>
  </si>
  <si>
    <t>Gavin Savelkoul</t>
  </si>
  <si>
    <t>Wesley Denissen</t>
  </si>
  <si>
    <t>Sem Fijnauts</t>
  </si>
  <si>
    <t>Brahim Sliepen</t>
  </si>
  <si>
    <t>Kane Hamers</t>
  </si>
  <si>
    <t>Roy Demand</t>
  </si>
  <si>
    <t>Gyan Willems</t>
  </si>
  <si>
    <t>Dean Peters</t>
  </si>
  <si>
    <t>Cas Wijns</t>
  </si>
  <si>
    <t>Boyd Scheepens</t>
  </si>
  <si>
    <t>Thomas van Kilsdonk</t>
  </si>
  <si>
    <t>Dean Derhaag</t>
  </si>
  <si>
    <t>Luuk Beckers</t>
  </si>
  <si>
    <t>Björn Bours</t>
  </si>
  <si>
    <t>Dion Dewaide</t>
  </si>
  <si>
    <t>Kevin Dohmen</t>
  </si>
  <si>
    <t>Lars van den Elzen</t>
  </si>
  <si>
    <t>Mehdi Ben Fredj</t>
  </si>
  <si>
    <t>Ramzi Ben Fredj</t>
  </si>
  <si>
    <t>Sam Heffels</t>
  </si>
  <si>
    <t>Kay Hoving</t>
  </si>
  <si>
    <t>Bas Lahaye</t>
  </si>
  <si>
    <t>Rik Mullenders</t>
  </si>
  <si>
    <t>Jelle van Opbergen</t>
  </si>
  <si>
    <t>Donato Pibiri</t>
  </si>
  <si>
    <t>Rico Pörteners</t>
  </si>
  <si>
    <t>Milan Slangen</t>
  </si>
  <si>
    <t>Christiaan Simons</t>
  </si>
  <si>
    <t>Kris Zeelen</t>
  </si>
  <si>
    <t>Kyan Schmitz</t>
  </si>
  <si>
    <t>Lars Mastenbroek</t>
  </si>
  <si>
    <t>Morris Eggen</t>
  </si>
  <si>
    <t>Ravi van der Kort</t>
  </si>
  <si>
    <t>Guy Lebens</t>
  </si>
  <si>
    <t>Daan Janssen</t>
  </si>
  <si>
    <t>Thijmen Cramers</t>
  </si>
  <si>
    <t>Daan Ophelders</t>
  </si>
  <si>
    <t>Glenn Mulleners</t>
  </si>
  <si>
    <t>Pitt Smeets</t>
  </si>
  <si>
    <t>Owen Pettenkofer</t>
  </si>
  <si>
    <t>Daniel van de Schoor</t>
  </si>
  <si>
    <t>Martijn Heuts</t>
  </si>
  <si>
    <t>Chahid Mohamadi</t>
  </si>
  <si>
    <t>Tristan Geelen</t>
  </si>
  <si>
    <t>Achraf el Kabiri</t>
  </si>
  <si>
    <t>Elmahdi Haïba</t>
  </si>
  <si>
    <t>Wail Bouchiba</t>
  </si>
  <si>
    <t>Amine Bohoudi</t>
  </si>
  <si>
    <t>Mohammed Ahlili</t>
  </si>
  <si>
    <t>Ramzi Sahtout</t>
  </si>
  <si>
    <t>Mohammed Biskidane</t>
  </si>
  <si>
    <t>Abdelhafid Haddoud</t>
  </si>
  <si>
    <t>Jenno Houten</t>
  </si>
  <si>
    <t>Yassin Heynsdijk</t>
  </si>
  <si>
    <t>Benjamin Feenstra</t>
  </si>
  <si>
    <t>Bob Adriaens</t>
  </si>
  <si>
    <t>Joris Arts</t>
  </si>
  <si>
    <t>Brent Bemelen</t>
  </si>
  <si>
    <t>Nick Berendsen</t>
  </si>
  <si>
    <t>Stijn Bindels</t>
  </si>
  <si>
    <t>Jarysel Blyden</t>
  </si>
  <si>
    <t>Guido Bruls</t>
  </si>
  <si>
    <t>Stan Caumon</t>
  </si>
  <si>
    <t>Pelle Coenen</t>
  </si>
  <si>
    <t>Vincent Embregts</t>
  </si>
  <si>
    <t>Dani Florentinus</t>
  </si>
  <si>
    <t>Shawn Freeman</t>
  </si>
  <si>
    <t>Niels Geesink</t>
  </si>
  <si>
    <t>Mike Hanssen</t>
  </si>
  <si>
    <t>Jelle Hendriks</t>
  </si>
  <si>
    <t>Luc van den Hörk</t>
  </si>
  <si>
    <t>Timo Huirne</t>
  </si>
  <si>
    <t>Vince Ledoux</t>
  </si>
  <si>
    <t>Dylan Luit</t>
  </si>
  <si>
    <t>Rian Luthjens</t>
  </si>
  <si>
    <t>Mohamed Ouaissa</t>
  </si>
  <si>
    <t>Milan de Pree</t>
  </si>
  <si>
    <t>Quinn Prumpeler</t>
  </si>
  <si>
    <t>Wesley Puts</t>
  </si>
  <si>
    <t>Jari Reinders</t>
  </si>
  <si>
    <t>Levi Reinders</t>
  </si>
  <si>
    <t>Mitchel Reinders</t>
  </si>
  <si>
    <t>Keyanu Schiffelers</t>
  </si>
  <si>
    <t>Duca Schulteis</t>
  </si>
  <si>
    <t>Luc Smeijsters</t>
  </si>
  <si>
    <t>Mike Stam</t>
  </si>
  <si>
    <t>Dean Velraeds</t>
  </si>
  <si>
    <t>Bram Vervuurt</t>
  </si>
  <si>
    <t>Ruud Zenden</t>
  </si>
  <si>
    <t>Niek Hendriks</t>
  </si>
  <si>
    <t>Bas Boersen</t>
  </si>
  <si>
    <t>Bas Thijssen</t>
  </si>
  <si>
    <t>Binc van Goethem</t>
  </si>
  <si>
    <t>Bob Bindels</t>
  </si>
  <si>
    <t>Casper Geraerdts</t>
  </si>
  <si>
    <t>Damien Matulessy</t>
  </si>
  <si>
    <t>Daniël de Oude</t>
  </si>
  <si>
    <t>Deen van der Stap</t>
  </si>
  <si>
    <t>Dorus de Wagt</t>
  </si>
  <si>
    <t>Guus Vervoort</t>
  </si>
  <si>
    <t>Jerral Taihuttu</t>
  </si>
  <si>
    <t>Jesse Stevens</t>
  </si>
  <si>
    <t>Joep Lemmen</t>
  </si>
  <si>
    <t>Joep Stamer</t>
  </si>
  <si>
    <t>Joep Weijers</t>
  </si>
  <si>
    <t>Jop Haasen</t>
  </si>
  <si>
    <t>Kyan Schouten</t>
  </si>
  <si>
    <t>Lars Aangenent</t>
  </si>
  <si>
    <t>Lars van Riet</t>
  </si>
  <si>
    <t>Luc Grutters</t>
  </si>
  <si>
    <t>Luca Janssen</t>
  </si>
  <si>
    <t>Niek Schoofs</t>
  </si>
  <si>
    <t>Niels van Baal</t>
  </si>
  <si>
    <t>Pepijn Smits</t>
  </si>
  <si>
    <t>Pim Konings</t>
  </si>
  <si>
    <t>Rik van Loon</t>
  </si>
  <si>
    <t>Roan Toonen</t>
  </si>
  <si>
    <t>Siem Loeffen</t>
  </si>
  <si>
    <t>Sjoerd Bindels</t>
  </si>
  <si>
    <t>Sjuul ten Haaf</t>
  </si>
  <si>
    <t>Stijn Guelen</t>
  </si>
  <si>
    <t>Stijn Peeters</t>
  </si>
  <si>
    <t>Teun Lemmen</t>
  </si>
  <si>
    <t>Tim van Cromvoirt</t>
  </si>
  <si>
    <t>Tom Peters</t>
  </si>
  <si>
    <t>Wesley Voots</t>
  </si>
  <si>
    <t>Yannick Schouten</t>
  </si>
  <si>
    <t>Idris Jamdar</t>
  </si>
  <si>
    <t>Jeancy van Santen</t>
  </si>
  <si>
    <t>Abdelaziz Ahammar</t>
  </si>
  <si>
    <t>Marwan Ait Jdag</t>
  </si>
  <si>
    <t>Faissal Argoubi</t>
  </si>
  <si>
    <t>Soulaiman Houri</t>
  </si>
  <si>
    <t>Nicky Janssens</t>
  </si>
  <si>
    <t>Youssef Laarif</t>
  </si>
  <si>
    <t>Bilal Lakdimi</t>
  </si>
  <si>
    <t>Oussama Moufid</t>
  </si>
  <si>
    <t>Khalid Rakili</t>
  </si>
  <si>
    <t>Mohamed Zariouh</t>
  </si>
  <si>
    <t>Badr Majouti</t>
  </si>
  <si>
    <t>Houssein Aurag</t>
  </si>
  <si>
    <t>Dennis Pastoor</t>
  </si>
  <si>
    <t>Ritchie Everts</t>
  </si>
  <si>
    <t>Kenny Hendriks</t>
  </si>
  <si>
    <t>Youssef Lakdimi</t>
  </si>
  <si>
    <t>Justin Massy</t>
  </si>
  <si>
    <t>Yassir Derraz</t>
  </si>
  <si>
    <t>Emre Yalcinkaya</t>
  </si>
  <si>
    <t>Milo Drissen</t>
  </si>
  <si>
    <t>Bram Wennekers</t>
  </si>
  <si>
    <t>Youri Peeters</t>
  </si>
  <si>
    <t>Gianno van Well</t>
  </si>
  <si>
    <t>Joppe Cup</t>
  </si>
  <si>
    <t>Tim Verbeek</t>
  </si>
  <si>
    <t>Guus Lamers</t>
  </si>
  <si>
    <t>Luuk Steegh</t>
  </si>
  <si>
    <t>Wouter Ketels</t>
  </si>
  <si>
    <t>Kevin van Hees</t>
  </si>
  <si>
    <t>Lars Lagarde</t>
  </si>
  <si>
    <t>Mika Deenen</t>
  </si>
  <si>
    <t>Ricky Hermkes</t>
  </si>
  <si>
    <t>Faas Hermans</t>
  </si>
  <si>
    <t>Tygo Deenen</t>
  </si>
  <si>
    <t>Job van Helden</t>
  </si>
  <si>
    <t>Jordy Valckx</t>
  </si>
  <si>
    <t>Jordi Clabbers</t>
  </si>
  <si>
    <t>Mike Valckx</t>
  </si>
  <si>
    <t>Nordin Houben</t>
  </si>
  <si>
    <t>Randy Hovens</t>
  </si>
  <si>
    <t>Viggo van Bakel</t>
  </si>
  <si>
    <t>Bas Schreven</t>
  </si>
  <si>
    <t>Ramon Theeuwen</t>
  </si>
  <si>
    <t>Stijn Hoogveld</t>
  </si>
  <si>
    <t>Jop Kuijpers</t>
  </si>
  <si>
    <t>Roy Oomen</t>
  </si>
  <si>
    <t>Nick Philipsen</t>
  </si>
  <si>
    <t>Tom Jansen</t>
  </si>
  <si>
    <t>Pim Wijnhoven</t>
  </si>
  <si>
    <t>Bram Wijnhoven</t>
  </si>
  <si>
    <t>Mark Philipsen</t>
  </si>
  <si>
    <t>Arno Janssen</t>
  </si>
  <si>
    <t>Joep van de Riet</t>
  </si>
  <si>
    <t>Bas Jansen</t>
  </si>
  <si>
    <t>Thijs Janssen</t>
  </si>
  <si>
    <t>Quin Janssen</t>
  </si>
  <si>
    <t>Ward Janssen</t>
  </si>
  <si>
    <t>Giel Appeldoorn</t>
  </si>
  <si>
    <t>Miguel Theunissen</t>
  </si>
  <si>
    <t>Rein Janssen</t>
  </si>
  <si>
    <t>Melvin Janssen</t>
  </si>
  <si>
    <t>Rens Cleophas</t>
  </si>
  <si>
    <t>Tijs Otten</t>
  </si>
  <si>
    <t>Rick Schlangen</t>
  </si>
  <si>
    <t>Daan Smeets</t>
  </si>
  <si>
    <t>Koen Wolters</t>
  </si>
  <si>
    <t>Tim van Dijl</t>
  </si>
  <si>
    <t>Raoul Jacobs</t>
  </si>
  <si>
    <t>Dion Theelen</t>
  </si>
  <si>
    <t>Milas Jacobs</t>
  </si>
  <si>
    <t>Marvin Schreuder</t>
  </si>
  <si>
    <t>Ezra Sensen</t>
  </si>
  <si>
    <t>Jesse Kuijpers</t>
  </si>
  <si>
    <t>Len Stokbroeckx</t>
  </si>
  <si>
    <t>Jarno van Ginkel</t>
  </si>
  <si>
    <t>Matthew van der Wal</t>
  </si>
  <si>
    <t>Jonah Reijnen</t>
  </si>
  <si>
    <t>Jur Otten</t>
  </si>
  <si>
    <t>Bjorn Levels</t>
  </si>
  <si>
    <t>Alex Golsteijn</t>
  </si>
  <si>
    <t>Yurian Bruijenberg</t>
  </si>
  <si>
    <t>Luca Schoonbrood</t>
  </si>
  <si>
    <t>Thorsten Bruijenberg</t>
  </si>
  <si>
    <t>Tomas Habtu Haile</t>
  </si>
  <si>
    <t>Tijs Mevissen</t>
  </si>
  <si>
    <t>Tristan Quaden</t>
  </si>
  <si>
    <t>Daan van de Venn</t>
  </si>
  <si>
    <t>Channing Wiedemeijer</t>
  </si>
  <si>
    <t>Gaël Nicoleau</t>
  </si>
  <si>
    <t>Harm Stokman</t>
  </si>
  <si>
    <t>Ihab Alomki</t>
  </si>
  <si>
    <t>Jarno Buddiger</t>
  </si>
  <si>
    <t>Lars Heijnemans</t>
  </si>
  <si>
    <t>Liam Rutten</t>
  </si>
  <si>
    <t>Luuk Rodenburg</t>
  </si>
  <si>
    <t>Steff Swinkels</t>
  </si>
  <si>
    <t>Ties Putker</t>
  </si>
  <si>
    <t>Tijn Rijk</t>
  </si>
  <si>
    <t>Stan Maas</t>
  </si>
  <si>
    <t>Akin Khalfallah</t>
  </si>
  <si>
    <t>Cas Peters</t>
  </si>
  <si>
    <t>Giuseppe Miraglia</t>
  </si>
  <si>
    <t>Jasper Kroon</t>
  </si>
  <si>
    <t>Jesse Jaspers</t>
  </si>
  <si>
    <t>Jimmy Janssen</t>
  </si>
  <si>
    <t>Jorn Bartels</t>
  </si>
  <si>
    <t>Jurien Janssen</t>
  </si>
  <si>
    <t>Koen van de Ven</t>
  </si>
  <si>
    <t>Ricardo Sengers</t>
  </si>
  <si>
    <t>Tim Cuppen</t>
  </si>
  <si>
    <t>Wouter van de Ven</t>
  </si>
  <si>
    <t>Rick Keijsers</t>
  </si>
  <si>
    <t>Angel Snijders</t>
  </si>
  <si>
    <t>Brian Smits</t>
  </si>
  <si>
    <t>Brinn Moody</t>
  </si>
  <si>
    <t>Chiel Tijdink</t>
  </si>
  <si>
    <t>Dayan Arnold</t>
  </si>
  <si>
    <t>Luc Stevens</t>
  </si>
  <si>
    <t>Milan Straaten</t>
  </si>
  <si>
    <t>Rens Westheim</t>
  </si>
  <si>
    <t>Stef Koppes</t>
  </si>
  <si>
    <t>Simon Rijen</t>
  </si>
  <si>
    <t>May Jamal</t>
  </si>
  <si>
    <t>Suus Cortenbach</t>
  </si>
  <si>
    <t>Kyra van Leeuwen</t>
  </si>
  <si>
    <t>Eva Voogt</t>
  </si>
  <si>
    <t>Myrna van Aken</t>
  </si>
  <si>
    <t>Tess Brauer</t>
  </si>
  <si>
    <t>Lianne Damen</t>
  </si>
  <si>
    <t>Sofie Gielen</t>
  </si>
  <si>
    <t>Maud Gooren</t>
  </si>
  <si>
    <t>Anouk Hendrix</t>
  </si>
  <si>
    <t>Svea Hutjens</t>
  </si>
  <si>
    <t>Silke Kleeven</t>
  </si>
  <si>
    <t>Bo Kleuskens</t>
  </si>
  <si>
    <t>Sienna Mulders</t>
  </si>
  <si>
    <t>Kris Seuren</t>
  </si>
  <si>
    <t>Fleur van Veggel</t>
  </si>
  <si>
    <t>Ireen Wilders</t>
  </si>
  <si>
    <t>Michelle de Wit</t>
  </si>
  <si>
    <t>Jella Custers</t>
  </si>
  <si>
    <t>Lennon Meijers</t>
  </si>
  <si>
    <t>Chase Janssen</t>
  </si>
  <si>
    <t>Valentino Schmitz</t>
  </si>
  <si>
    <t>Mihret Ramakers</t>
  </si>
  <si>
    <t>Koen Steenman</t>
  </si>
  <si>
    <t>Mika Schouten</t>
  </si>
  <si>
    <t>Finn Dorenberg</t>
  </si>
  <si>
    <t>Kay Vonck</t>
  </si>
  <si>
    <t>Randy Roumen</t>
  </si>
  <si>
    <t>Roan Thoolen</t>
  </si>
  <si>
    <t>Melvin Huyskens</t>
  </si>
  <si>
    <t>Ivo Vrancken</t>
  </si>
  <si>
    <t>Dyllan Verbunt</t>
  </si>
  <si>
    <t>Brenn Beckers</t>
  </si>
  <si>
    <t>Stan Roijakkers</t>
  </si>
  <si>
    <t>Gachik Towmasjan</t>
  </si>
  <si>
    <t>Steff Brankaert</t>
  </si>
  <si>
    <t>Dustin Heer</t>
  </si>
  <si>
    <t>Christos Papachatzis</t>
  </si>
  <si>
    <t>Juan Pablo Rebeiro Garcia</t>
  </si>
  <si>
    <t>Nicola Rijnbout</t>
  </si>
  <si>
    <t>Ali Muridii Shariif</t>
  </si>
  <si>
    <t>Pharrell Swarts</t>
  </si>
  <si>
    <t>Sjimmie Bastiaans</t>
  </si>
  <si>
    <t>Daan Bastiaens</t>
  </si>
  <si>
    <t>Tom Duits</t>
  </si>
  <si>
    <t>David Goossens</t>
  </si>
  <si>
    <t>Sep Hameleers</t>
  </si>
  <si>
    <t>Samuel Emil Janssens-Frischknecht</t>
  </si>
  <si>
    <t>Jean-Louis Kurvers</t>
  </si>
  <si>
    <t>Peroen Last</t>
  </si>
  <si>
    <t>Floris Limborgh</t>
  </si>
  <si>
    <t>Milan Paulus</t>
  </si>
  <si>
    <t>Ivan Pechler</t>
  </si>
  <si>
    <t>Dimitrios Rijnbout</t>
  </si>
  <si>
    <t>Bob Roddeman</t>
  </si>
  <si>
    <t>Laurens de Ruijter</t>
  </si>
  <si>
    <t>Aaron Wolters</t>
  </si>
  <si>
    <t>Dylan Mullenders</t>
  </si>
  <si>
    <t>Dennis Geurts</t>
  </si>
  <si>
    <t>Dominic Gijzen</t>
  </si>
  <si>
    <t>Sonny Jessen</t>
  </si>
  <si>
    <t>Anuar Kholkhali</t>
  </si>
  <si>
    <t>Dyon Suijkerbuijk</t>
  </si>
  <si>
    <t>Samir Nellisen</t>
  </si>
  <si>
    <t>Jordy Cops</t>
  </si>
  <si>
    <t>Ramy Taher</t>
  </si>
  <si>
    <t>Joey Corvers</t>
  </si>
  <si>
    <t>Anis Bibouda</t>
  </si>
  <si>
    <t>Marciano Suijkerbuijk</t>
  </si>
  <si>
    <t>Mitchel Dols</t>
  </si>
  <si>
    <t>Joey Hoofs</t>
  </si>
  <si>
    <t>Joey Lutgens</t>
  </si>
  <si>
    <t>Ezra Lenaerts</t>
  </si>
  <si>
    <t>Stevie Zwakhalen</t>
  </si>
  <si>
    <t>Ruben Geurts</t>
  </si>
  <si>
    <t>Nick van Donschot</t>
  </si>
  <si>
    <t>Aron Kusters</t>
  </si>
  <si>
    <t>Diego de Wit</t>
  </si>
  <si>
    <t>Rens Derckx</t>
  </si>
  <si>
    <t>Don Gelissen</t>
  </si>
  <si>
    <t>Bjorn Hermans</t>
  </si>
  <si>
    <t>Justin van den Schoor</t>
  </si>
  <si>
    <t>Kion Kessels</t>
  </si>
  <si>
    <t>Luuk de Kramer</t>
  </si>
  <si>
    <t>Len Peeters</t>
  </si>
  <si>
    <t>Ken Nijskens</t>
  </si>
  <si>
    <t>Quinn Nijskens</t>
  </si>
  <si>
    <t>Fer Peeters</t>
  </si>
  <si>
    <t>Siem Peeters</t>
  </si>
  <si>
    <t>Ruben van den Heuvel</t>
  </si>
  <si>
    <t>Seppe Renzema</t>
  </si>
  <si>
    <t>Tom Reijnders</t>
  </si>
  <si>
    <t>Luuk Stals</t>
  </si>
  <si>
    <t>Tom Schreurs</t>
  </si>
  <si>
    <t>Dynand Vroomen</t>
  </si>
  <si>
    <t>Juul Heijman</t>
  </si>
  <si>
    <t>Ihab Ait Oumghar</t>
  </si>
  <si>
    <t>Abdoulaye Bah</t>
  </si>
  <si>
    <t>Daan Pinger</t>
  </si>
  <si>
    <t>Niels van de Boel</t>
  </si>
  <si>
    <t>Colin Vaas</t>
  </si>
  <si>
    <t>Max van Eijck</t>
  </si>
  <si>
    <t>Bas Heijkers</t>
  </si>
  <si>
    <t>Casper Toren</t>
  </si>
  <si>
    <t>Danny Salmans</t>
  </si>
  <si>
    <t>Eduard Schers</t>
  </si>
  <si>
    <t>Ian van den Heuvel</t>
  </si>
  <si>
    <t>Joey Vossen</t>
  </si>
  <si>
    <t>Lars van Hoef</t>
  </si>
  <si>
    <t>Levi Wagemans</t>
  </si>
  <si>
    <t>Sem van Veen</t>
  </si>
  <si>
    <t>Max Lenaers</t>
  </si>
  <si>
    <t>Nick Moonen</t>
  </si>
  <si>
    <t>Remco Smeets</t>
  </si>
  <si>
    <t>Stijn Hendriks</t>
  </si>
  <si>
    <t>Thomas Meulen</t>
  </si>
  <si>
    <t>Vincent Moonen</t>
  </si>
  <si>
    <t>Wessel Wulms</t>
  </si>
  <si>
    <t>Yassine Zaaboul</t>
  </si>
  <si>
    <t>Randy Salmans</t>
  </si>
  <si>
    <t>Mathijs Schers</t>
  </si>
  <si>
    <t>Divajo de Leeuw</t>
  </si>
  <si>
    <t>Fleur van Oudenhoven</t>
  </si>
  <si>
    <t>Iris Schellings</t>
  </si>
  <si>
    <t>Paige Beelen</t>
  </si>
  <si>
    <t>Lotte Schaekens</t>
  </si>
  <si>
    <t>Anne Jeurissen</t>
  </si>
  <si>
    <t>Desly Faessen</t>
  </si>
  <si>
    <t>Mirthe Pex</t>
  </si>
  <si>
    <t>Fleur van Ratingen</t>
  </si>
  <si>
    <t>Lotus Aalders</t>
  </si>
  <si>
    <t>Anne Heemskerk</t>
  </si>
  <si>
    <t>Puck Niessen</t>
  </si>
  <si>
    <t>Sterre Vogt</t>
  </si>
  <si>
    <t>Demi Haan</t>
  </si>
  <si>
    <t>Lotte Schmeits</t>
  </si>
  <si>
    <t>Jaya de Win</t>
  </si>
  <si>
    <t>Ruth Broekhoven</t>
  </si>
  <si>
    <t>Mackenzi Nien</t>
  </si>
  <si>
    <t>Robyn Ernes</t>
  </si>
  <si>
    <t>Senna Bremmers</t>
  </si>
  <si>
    <t>Sharon Bergrath</t>
  </si>
  <si>
    <t>Vera van de Klundert</t>
  </si>
  <si>
    <t>Carmen Sijbom</t>
  </si>
  <si>
    <t>Erik Beelen</t>
  </si>
  <si>
    <t>Jordie Hattu</t>
  </si>
  <si>
    <t>Rob Thissen</t>
  </si>
  <si>
    <t>Thom Claassen</t>
  </si>
  <si>
    <t>Tom Riensema</t>
  </si>
  <si>
    <t>Gijs Timmermans</t>
  </si>
  <si>
    <t>Nick Classens</t>
  </si>
  <si>
    <t>Niels Janssen</t>
  </si>
  <si>
    <t>Timo Scholten</t>
  </si>
  <si>
    <t>Sjoerd van de Winkel</t>
  </si>
  <si>
    <t>Willem Geurts</t>
  </si>
  <si>
    <t>Gijs Koonings</t>
  </si>
  <si>
    <t>Mees Scholten</t>
  </si>
  <si>
    <t>Dean Dolmans</t>
  </si>
  <si>
    <t>Mike Dolmans</t>
  </si>
  <si>
    <t>Tom Rikers</t>
  </si>
  <si>
    <t>Xenne Gerrits</t>
  </si>
  <si>
    <t>Tarek Itani</t>
  </si>
  <si>
    <t>Toby Thehu</t>
  </si>
  <si>
    <t>Swen Besems</t>
  </si>
  <si>
    <t>Nyasha Singoyi</t>
  </si>
  <si>
    <t>Jamie van der Velden</t>
  </si>
  <si>
    <t>Patrick Viera</t>
  </si>
  <si>
    <t>Robbie van Winssem</t>
  </si>
  <si>
    <t>Vladislav Zarharchenko</t>
  </si>
  <si>
    <t>Jamie Roeffen</t>
  </si>
  <si>
    <t>Rens Janssen</t>
  </si>
  <si>
    <t>Lucas Thissen</t>
  </si>
  <si>
    <t>Noud van den Hoogen</t>
  </si>
  <si>
    <t>See Hendriks</t>
  </si>
  <si>
    <t>Daan Klosters</t>
  </si>
  <si>
    <t>Pepijn Jansen</t>
  </si>
  <si>
    <t>Job van den Berg</t>
  </si>
  <si>
    <t>Teun Spikmans</t>
  </si>
  <si>
    <t>Isaiah Behet</t>
  </si>
  <si>
    <t>Tijn van den Berg</t>
  </si>
  <si>
    <t>Justin Sillessen</t>
  </si>
  <si>
    <t>Roy Neijenhuis</t>
  </si>
  <si>
    <t>Nick Derksen</t>
  </si>
  <si>
    <t>Wahid Rashidi</t>
  </si>
  <si>
    <t>Floris de Koning</t>
  </si>
  <si>
    <t>Thelco Koopman</t>
  </si>
  <si>
    <t>Raoul van der Valk</t>
  </si>
  <si>
    <t>Sem Volleberg</t>
  </si>
  <si>
    <t>Lars Gerrits</t>
  </si>
  <si>
    <t>Jurre Berns</t>
  </si>
  <si>
    <t>Jelle van Hensbergen</t>
  </si>
  <si>
    <t>Sam Wendt</t>
  </si>
  <si>
    <t>Rick Bennik</t>
  </si>
  <si>
    <t>Luca Sillessen</t>
  </si>
  <si>
    <t>Daan Houtermans</t>
  </si>
  <si>
    <t>Levi op den Kamp</t>
  </si>
  <si>
    <t>Tigo Willigenburg</t>
  </si>
  <si>
    <t>Jordy Satijn</t>
  </si>
  <si>
    <t>Raff Hakke</t>
  </si>
  <si>
    <t>Raúl Dupont</t>
  </si>
  <si>
    <t>Robinyo Gorissen</t>
  </si>
  <si>
    <t>Sander Wolfs</t>
  </si>
  <si>
    <t>Tom van Buuren</t>
  </si>
  <si>
    <t>Lex Custers</t>
  </si>
  <si>
    <t>Roy Custers</t>
  </si>
  <si>
    <t>Mick Daenen</t>
  </si>
  <si>
    <t>Vito Haenen</t>
  </si>
  <si>
    <t>Tristan Jaspars</t>
  </si>
  <si>
    <t>Yves Houben</t>
  </si>
  <si>
    <t>Jordy Mommers</t>
  </si>
  <si>
    <t>Iggy Pustjens</t>
  </si>
  <si>
    <t>Sebastien Seabra da Silva</t>
  </si>
  <si>
    <t>Dylan Soudant</t>
  </si>
  <si>
    <t>Henny Wolfs</t>
  </si>
  <si>
    <t>Niek Bastings</t>
  </si>
  <si>
    <t>Youri Florax</t>
  </si>
  <si>
    <t>Sjoerd van Breugel</t>
  </si>
  <si>
    <t>Levi van Noorbeek</t>
  </si>
  <si>
    <t>Lars van Buggenum</t>
  </si>
  <si>
    <t>Mik van Ophoven</t>
  </si>
  <si>
    <t>Ole van Ophoven</t>
  </si>
  <si>
    <t>Tijn van Hoof</t>
  </si>
  <si>
    <t>Pim Lenssen</t>
  </si>
  <si>
    <t>Wout Ewalts</t>
  </si>
  <si>
    <t>Lars Hermans</t>
  </si>
  <si>
    <t>Joris Peeters</t>
  </si>
  <si>
    <t>Kevin Poels</t>
  </si>
  <si>
    <t>Mike van Meijel</t>
  </si>
  <si>
    <t>Jelle Nijenhuis</t>
  </si>
  <si>
    <t>Ilko Janssen</t>
  </si>
  <si>
    <t>Marvin Arts</t>
  </si>
  <si>
    <t>Sem Arts</t>
  </si>
  <si>
    <t>Guus Achten</t>
  </si>
  <si>
    <t>Sil Phlipssen</t>
  </si>
  <si>
    <t>Rens Wismans</t>
  </si>
  <si>
    <t>Jorn Stoffels</t>
  </si>
  <si>
    <t>Mike Vermeulen</t>
  </si>
  <si>
    <t>Mark Phlipssen</t>
  </si>
  <si>
    <t>Damian Bruijsten</t>
  </si>
  <si>
    <t>Roel Beckers</t>
  </si>
  <si>
    <t>Vince van Duijnhoven</t>
  </si>
  <si>
    <t>Jort Rongen</t>
  </si>
  <si>
    <t>Robin van Dijck</t>
  </si>
  <si>
    <t>Glenn Gielens</t>
  </si>
  <si>
    <t>Niels Hermens</t>
  </si>
  <si>
    <t>Ilja Janssen</t>
  </si>
  <si>
    <t>Luc Oudenaarden</t>
  </si>
  <si>
    <t>Sten Nellen</t>
  </si>
  <si>
    <t>Dirk Ewals</t>
  </si>
  <si>
    <t>Stan van Hoof</t>
  </si>
  <si>
    <t>Tom Michels</t>
  </si>
  <si>
    <t>Kai Strijbosch</t>
  </si>
  <si>
    <t>Sieb van Dongen</t>
  </si>
  <si>
    <t>Ahmad Qurishi</t>
  </si>
  <si>
    <t>Kay Lubbers</t>
  </si>
  <si>
    <t>Trevor Ghijsen</t>
  </si>
  <si>
    <t>Alex Balabuc</t>
  </si>
  <si>
    <t>Max Beers</t>
  </si>
  <si>
    <t>Rik Sondeijker</t>
  </si>
  <si>
    <t>Bram Offerman</t>
  </si>
  <si>
    <t>Kuba Wezowski</t>
  </si>
  <si>
    <t>Stan Beurskens</t>
  </si>
  <si>
    <t>Noud Steenbekkers</t>
  </si>
  <si>
    <t>Bart Geelen</t>
  </si>
  <si>
    <t>Niek van Oeteren</t>
  </si>
  <si>
    <t>Sieb Brouns</t>
  </si>
  <si>
    <t>Tim Vrenken</t>
  </si>
  <si>
    <t>Damien Verhoeven</t>
  </si>
  <si>
    <t>Yoel Boyen</t>
  </si>
  <si>
    <t>Cillio Bemmelmans</t>
  </si>
  <si>
    <t>Jordy Pennings</t>
  </si>
  <si>
    <t>Bram Leenhouts</t>
  </si>
  <si>
    <t>Rens Puts</t>
  </si>
  <si>
    <t>Rick Kooiman</t>
  </si>
  <si>
    <t>Stan Achten</t>
  </si>
  <si>
    <t>Kenneth Hutting</t>
  </si>
  <si>
    <t>Ferd Pasaribu</t>
  </si>
  <si>
    <t>Kevin Gijsman</t>
  </si>
  <si>
    <t>Pelle Windhorst</t>
  </si>
  <si>
    <t>Reyno Nöllgen</t>
  </si>
  <si>
    <t>Dylan Zwartjes</t>
  </si>
  <si>
    <t>Isan Lagarde</t>
  </si>
  <si>
    <t>Dennis Petit</t>
  </si>
  <si>
    <t>Artan Redzepi</t>
  </si>
  <si>
    <t>Daan Delmée</t>
  </si>
  <si>
    <t>Jens Lommen</t>
  </si>
  <si>
    <t>Job Philipsen</t>
  </si>
  <si>
    <t>Sef Arts</t>
  </si>
  <si>
    <t>Stan van Berlo</t>
  </si>
  <si>
    <t>Bas van den Beuken</t>
  </si>
  <si>
    <t>Ruben Hermans</t>
  </si>
  <si>
    <t>Weslie Knapen</t>
  </si>
  <si>
    <t>Keano Phelan</t>
  </si>
  <si>
    <t>Mees Philipsen</t>
  </si>
  <si>
    <t>Rob van der Sterren</t>
  </si>
  <si>
    <t>Rick Vervoort</t>
  </si>
  <si>
    <t>Stan Vondenhoff</t>
  </si>
  <si>
    <t>Bas Wijnands</t>
  </si>
  <si>
    <t>Thijn Gijsberts</t>
  </si>
  <si>
    <t>Marijn Gijsberts</t>
  </si>
  <si>
    <t>Tijn Wabeke</t>
  </si>
  <si>
    <t>Jeen Schiks</t>
  </si>
  <si>
    <t>Bas Janssen</t>
  </si>
  <si>
    <t>Coen van de Venn</t>
  </si>
  <si>
    <t>Dirk Schonenberg</t>
  </si>
  <si>
    <t>Jarne Gijsberts</t>
  </si>
  <si>
    <t>Jeroen Melis</t>
  </si>
  <si>
    <t>Jesse Cornelissen</t>
  </si>
  <si>
    <t>Jip Trum</t>
  </si>
  <si>
    <t>Jop Boesveld</t>
  </si>
  <si>
    <t>Lasse Hermsen</t>
  </si>
  <si>
    <t>Luc Jans</t>
  </si>
  <si>
    <t>Ramon van de Ven</t>
  </si>
  <si>
    <t>Revi Geulen</t>
  </si>
  <si>
    <t>Rick Schoofs</t>
  </si>
  <si>
    <t>Robbin Hermsen</t>
  </si>
  <si>
    <t>Thymo Zeelen</t>
  </si>
  <si>
    <t>Tijn Trum</t>
  </si>
  <si>
    <t>Tim van Bree</t>
  </si>
  <si>
    <t>Nathan van Dijk</t>
  </si>
  <si>
    <t>Bas Kallen</t>
  </si>
  <si>
    <t>Philippe Romopelberg</t>
  </si>
  <si>
    <t>Sam Bendermacher</t>
  </si>
  <si>
    <t>Wies Huisman</t>
  </si>
  <si>
    <t>Rik Jacobs</t>
  </si>
  <si>
    <t>Khalid Ait Salah</t>
  </si>
  <si>
    <t>Burak Yildirim</t>
  </si>
  <si>
    <t>Chris de Groot</t>
  </si>
  <si>
    <t>Jeffrey Falize</t>
  </si>
  <si>
    <t>Mauro van der Linden</t>
  </si>
  <si>
    <t>Julian Stassen</t>
  </si>
  <si>
    <t>Collin Heijnens</t>
  </si>
  <si>
    <t>Abdulkadir Caymaz</t>
  </si>
  <si>
    <t>Sven Lensen</t>
  </si>
  <si>
    <t>Patrick Joosten</t>
  </si>
  <si>
    <t>Puk Brands</t>
  </si>
  <si>
    <t>Tiago Jennen</t>
  </si>
  <si>
    <t>Ralf Mullers</t>
  </si>
  <si>
    <t>Tom Smeets</t>
  </si>
  <si>
    <t>Xavier Hogeboom</t>
  </si>
  <si>
    <t>Nick Engels</t>
  </si>
  <si>
    <t>Bram Verstappen</t>
  </si>
  <si>
    <t>Max de Bie</t>
  </si>
  <si>
    <t>Gianluca Madeddu</t>
  </si>
  <si>
    <t>Dion Brzeznicki</t>
  </si>
  <si>
    <t>Joran Swinkels</t>
  </si>
  <si>
    <t>Kawus Arghandiwal</t>
  </si>
  <si>
    <t>Stijn van Rhenen</t>
  </si>
  <si>
    <t>Silviu Balan</t>
  </si>
  <si>
    <t>Gion de Bruijn</t>
  </si>
  <si>
    <t>Francis Ngoy</t>
  </si>
  <si>
    <t>Ties Odekerken</t>
  </si>
  <si>
    <t>Raudy Everhard</t>
  </si>
  <si>
    <t>Ruben Mols</t>
  </si>
  <si>
    <t>Quinn Admiraal</t>
  </si>
  <si>
    <t>Gaudeo Borwawubun</t>
  </si>
  <si>
    <t>Joeri Puts</t>
  </si>
  <si>
    <t>Cedric Barbier</t>
  </si>
  <si>
    <t>Youri Deguelle</t>
  </si>
  <si>
    <t>Kenzo Finken</t>
  </si>
  <si>
    <t>Maik Stakenborg</t>
  </si>
  <si>
    <t>Jitse Engelen</t>
  </si>
  <si>
    <t>Daan Schonkeren</t>
  </si>
  <si>
    <t>Iiias Marouane</t>
  </si>
  <si>
    <t>Juul Respen</t>
  </si>
  <si>
    <t>Sam Dukers</t>
  </si>
  <si>
    <t>Duc de Bruijn</t>
  </si>
  <si>
    <t>Bram van Dijk</t>
  </si>
  <si>
    <t>Mylo Dassen</t>
  </si>
  <si>
    <t>Lamin Conteh</t>
  </si>
  <si>
    <t>Yuri Bambolia</t>
  </si>
  <si>
    <t>Fabrice Cox</t>
  </si>
  <si>
    <t>Thijn Reijnen</t>
  </si>
  <si>
    <t>Collin Rekers</t>
  </si>
  <si>
    <t>Adam Benchallal</t>
  </si>
  <si>
    <t>Bigas Broekmans</t>
  </si>
  <si>
    <t>Pim Kleeven</t>
  </si>
  <si>
    <t>Jaqin Stanneveld</t>
  </si>
  <si>
    <t>Jem Inceman</t>
  </si>
  <si>
    <t>Bart Theeuwen</t>
  </si>
  <si>
    <t>Jarno Michorius</t>
  </si>
  <si>
    <t>Andy Bongers</t>
  </si>
  <si>
    <t>Joeri van de Warenburg</t>
  </si>
  <si>
    <t>Ralph Kikkert</t>
  </si>
  <si>
    <t>Jelle Quix</t>
  </si>
  <si>
    <t>Ertugrul Akkaya</t>
  </si>
  <si>
    <t>Shawn Meeuw</t>
  </si>
  <si>
    <t>Kevin Bartels</t>
  </si>
  <si>
    <t>Jorden Konings</t>
  </si>
  <si>
    <t>Rune Faessen</t>
  </si>
  <si>
    <t>Kurtley Norwega</t>
  </si>
  <si>
    <t>Maurice Goossens</t>
  </si>
  <si>
    <t>Yvo de Beer</t>
  </si>
  <si>
    <t>Julian Kuchen</t>
  </si>
  <si>
    <t>Lei Simons</t>
  </si>
  <si>
    <t>Mike van Kerkhoff</t>
  </si>
  <si>
    <t>Daan Meijer</t>
  </si>
  <si>
    <t>Audrey Tubee</t>
  </si>
  <si>
    <t>Neelke Muijsenberg</t>
  </si>
  <si>
    <t>Vince Nait Oumenssour</t>
  </si>
  <si>
    <t>Ilyasse Aaouad</t>
  </si>
  <si>
    <t>Ruben van Hoije</t>
  </si>
  <si>
    <t>Sjoerd Peeters</t>
  </si>
  <si>
    <t>Daan Rietveld</t>
  </si>
  <si>
    <t>Jip Derhaag</t>
  </si>
  <si>
    <t>Achraf el Haïba</t>
  </si>
  <si>
    <t>Brian Boekestein</t>
  </si>
  <si>
    <t>Gijs Giebels</t>
  </si>
  <si>
    <t>Amine Benjaddi</t>
  </si>
  <si>
    <t>Jesse Smits</t>
  </si>
  <si>
    <t>Sieb van Deijzen</t>
  </si>
  <si>
    <t>Vungy Antonio</t>
  </si>
  <si>
    <t>Daan Eijkelenbergh</t>
  </si>
  <si>
    <t>Dyentho Cals</t>
  </si>
  <si>
    <t>Bente Pernot</t>
  </si>
  <si>
    <t>Jiri Acampo</t>
  </si>
  <si>
    <t>Milad Intezar</t>
  </si>
  <si>
    <t>Job Moling</t>
  </si>
  <si>
    <t>Teun van Heugten</t>
  </si>
  <si>
    <t>Sam van der Meer</t>
  </si>
  <si>
    <t>Stan Derikx</t>
  </si>
  <si>
    <t>Felipe Giesen-Linssen</t>
  </si>
  <si>
    <t>Jeremy Fermont</t>
  </si>
  <si>
    <t>Marijn den Hartigh</t>
  </si>
  <si>
    <t>Flynn Hendriks</t>
  </si>
  <si>
    <t>Thijmen Hamers</t>
  </si>
  <si>
    <t>Bas Muijtjens</t>
  </si>
  <si>
    <t>Yannick Honhon</t>
  </si>
  <si>
    <t>Xavier Alias</t>
  </si>
  <si>
    <t>Pablo Espinosa Delmas</t>
  </si>
  <si>
    <t>Alp Özen</t>
  </si>
  <si>
    <t>Teodor Marian Buzica</t>
  </si>
  <si>
    <t>Mathijs Peeters</t>
  </si>
  <si>
    <t>Kevin Vossen</t>
  </si>
  <si>
    <t>Guus Dielissen</t>
  </si>
  <si>
    <t>Ken Heussen</t>
  </si>
  <si>
    <t>Lucas den Mulder</t>
  </si>
  <si>
    <t>Sjoerd Theelen</t>
  </si>
  <si>
    <t>Teun van der Elsen</t>
  </si>
  <si>
    <t>Menno Theunissen</t>
  </si>
  <si>
    <t>Mik van den Berg</t>
  </si>
  <si>
    <t>Roy Franssen</t>
  </si>
  <si>
    <t>Pim van den Beuken</t>
  </si>
  <si>
    <t>Roel Vossen</t>
  </si>
  <si>
    <t>Tijs Dericks</t>
  </si>
  <si>
    <t>Jeroen Franssen</t>
  </si>
  <si>
    <t>Damian Verweij</t>
  </si>
  <si>
    <t>Teun Dielissen</t>
  </si>
  <si>
    <t>Sten Janssen</t>
  </si>
  <si>
    <t>Fin Weerts</t>
  </si>
  <si>
    <t>Sybe Peeters</t>
  </si>
  <si>
    <t>Daniel Meijer</t>
  </si>
  <si>
    <t>Casper Robijns</t>
  </si>
  <si>
    <t>Bastin Spel</t>
  </si>
  <si>
    <t>Dimi Augustat</t>
  </si>
  <si>
    <t>Eloy Cox</t>
  </si>
  <si>
    <t>Duncan Didden</t>
  </si>
  <si>
    <t>Tripel Didden</t>
  </si>
  <si>
    <t>Mik Dohmen</t>
  </si>
  <si>
    <t>Tom Hanssen</t>
  </si>
  <si>
    <t>Thijmen van Iersel</t>
  </si>
  <si>
    <t>Brian Jacobs</t>
  </si>
  <si>
    <t>Boyd Joosten</t>
  </si>
  <si>
    <t>Ibrahim Kamara</t>
  </si>
  <si>
    <t>Aryan Krutzen</t>
  </si>
  <si>
    <t>Milan Remmers</t>
  </si>
  <si>
    <t>Dani Secchi</t>
  </si>
  <si>
    <t>Didier Shell</t>
  </si>
  <si>
    <t>Raphael Shell</t>
  </si>
  <si>
    <t>Scott Vienerius</t>
  </si>
  <si>
    <t>Sydney Weegels</t>
  </si>
  <si>
    <t>Sem Wientjes</t>
  </si>
  <si>
    <t>Ties Noldus</t>
  </si>
  <si>
    <t>Enzo Dirksen</t>
  </si>
  <si>
    <t>Redouan Bahloul</t>
  </si>
  <si>
    <t>Thijn Alberts</t>
  </si>
  <si>
    <t>Nick Ververs</t>
  </si>
  <si>
    <t>Jasper van Wijlick</t>
  </si>
  <si>
    <t>Sven Denessen</t>
  </si>
  <si>
    <t>Funs van Rensen</t>
  </si>
  <si>
    <t>Bram Gipmans</t>
  </si>
  <si>
    <t>Remi Peters</t>
  </si>
  <si>
    <t>Juul Boitelle</t>
  </si>
  <si>
    <t>Wiebe Veldpaus</t>
  </si>
  <si>
    <t>Yannick Hoffmann</t>
  </si>
  <si>
    <t>Max Steiner</t>
  </si>
  <si>
    <t>Sem Heus</t>
  </si>
  <si>
    <t>Julek van Bussel</t>
  </si>
  <si>
    <t>Luuk van den Hoef</t>
  </si>
  <si>
    <t>Ronald Lenders</t>
  </si>
  <si>
    <t>Jesse Probst</t>
  </si>
  <si>
    <t>Youri Vullings</t>
  </si>
  <si>
    <t>Robert Willemse</t>
  </si>
  <si>
    <t>Jesley Marijnen</t>
  </si>
  <si>
    <t>Chassy Lewerissa</t>
  </si>
  <si>
    <t>Timo Weck</t>
  </si>
  <si>
    <t>Ivan Seegers</t>
  </si>
  <si>
    <t>Ermal Gubetini</t>
  </si>
  <si>
    <t>Lucas Blaszkowski</t>
  </si>
  <si>
    <t>Jaouad Kanna</t>
  </si>
  <si>
    <t>Elohim Ibata</t>
  </si>
  <si>
    <t>Jason Ogun</t>
  </si>
  <si>
    <t>Lefika Dlamini</t>
  </si>
  <si>
    <t>Morad Lyazami</t>
  </si>
  <si>
    <t>Ralph Habets</t>
  </si>
  <si>
    <t>Nigel Waelaruwe</t>
  </si>
  <si>
    <t>Tom Wilhelmus</t>
  </si>
  <si>
    <t>Enock Ibata Bongelima</t>
  </si>
  <si>
    <t>Nazario Lewerissa</t>
  </si>
  <si>
    <t>Marko Antunic</t>
  </si>
  <si>
    <t>Raviv Nysten</t>
  </si>
  <si>
    <t>Rene Bronckers</t>
  </si>
  <si>
    <t>Leander Peeters</t>
  </si>
  <si>
    <t>Taylan Saker</t>
  </si>
  <si>
    <t>Janus Scheffer</t>
  </si>
  <si>
    <t>Nikita Tsylik</t>
  </si>
  <si>
    <t>Danila Tsylik</t>
  </si>
  <si>
    <t>Robin Deenen</t>
  </si>
  <si>
    <t>Marouane el Malki</t>
  </si>
  <si>
    <t>Tijn Klerken</t>
  </si>
  <si>
    <t>Tygo Pansier</t>
  </si>
  <si>
    <t>Tim Kappel</t>
  </si>
  <si>
    <t>Jules Peeters</t>
  </si>
  <si>
    <t>Jelle Lennaerts</t>
  </si>
  <si>
    <t>Siem Bessems</t>
  </si>
  <si>
    <t>Thom Nieuwpoort</t>
  </si>
  <si>
    <t>Luuk Neutelings</t>
  </si>
  <si>
    <t>Thom Orval</t>
  </si>
  <si>
    <t>Mees Nabben</t>
  </si>
  <si>
    <t>Juul Orval</t>
  </si>
  <si>
    <t>Michel Linssen</t>
  </si>
  <si>
    <t>Daan Vissers</t>
  </si>
  <si>
    <t>Sil Thiesen</t>
  </si>
  <si>
    <t>Stijn Cortjaens</t>
  </si>
  <si>
    <t>Lars Cortjaens</t>
  </si>
  <si>
    <t>Gyon Steegh</t>
  </si>
  <si>
    <t>Lars van Reuth</t>
  </si>
  <si>
    <t>Siem Dings</t>
  </si>
  <si>
    <t>Tom Peeters</t>
  </si>
  <si>
    <t>Timo Bol</t>
  </si>
  <si>
    <t>Lars Derks</t>
  </si>
  <si>
    <t>Wesley Dirkx</t>
  </si>
  <si>
    <t>Leike Evers</t>
  </si>
  <si>
    <t>Ruud Fitten</t>
  </si>
  <si>
    <t>Jordi Flinsenberg</t>
  </si>
  <si>
    <t>Jop Fransen</t>
  </si>
  <si>
    <t>Jesse Fransen</t>
  </si>
  <si>
    <t>Rens Linders</t>
  </si>
  <si>
    <t>Kims Priluckis</t>
  </si>
  <si>
    <t>Bram Tax</t>
  </si>
  <si>
    <t>Jaer van Vegchel</t>
  </si>
  <si>
    <t>Martijn van de Ven</t>
  </si>
  <si>
    <t>Sem Vercoulen</t>
  </si>
  <si>
    <t>Rens Willemsen</t>
  </si>
  <si>
    <t>Sven van Wylick</t>
  </si>
  <si>
    <t>Lars van Wylick</t>
  </si>
  <si>
    <t>Giovanni Wijns</t>
  </si>
  <si>
    <t>Mohammed Maho</t>
  </si>
  <si>
    <t>Jordy Huskens</t>
  </si>
  <si>
    <t>Tim Gaemers</t>
  </si>
  <si>
    <t>Kaj Simonis</t>
  </si>
  <si>
    <t>Jeroen Costongs</t>
  </si>
  <si>
    <t>Gilles Souren</t>
  </si>
  <si>
    <t>Stijn de Vreede</t>
  </si>
  <si>
    <t>Delano Penders</t>
  </si>
  <si>
    <t>Michael Baniak</t>
  </si>
  <si>
    <t>Sverre Croonen</t>
  </si>
  <si>
    <t>Luc Mourmans</t>
  </si>
  <si>
    <t>Quincy Huynen</t>
  </si>
  <si>
    <t>Remi van de Voorde</t>
  </si>
  <si>
    <t>Levy Habets</t>
  </si>
  <si>
    <t>Camille Hul</t>
  </si>
  <si>
    <t>Jason Gijsen</t>
  </si>
  <si>
    <t>Dani Jansen</t>
  </si>
  <si>
    <t>Sem Boumans</t>
  </si>
  <si>
    <t>Philip Schoenmakers</t>
  </si>
  <si>
    <t>Danny Schreurs</t>
  </si>
  <si>
    <t>Finn Luyten</t>
  </si>
  <si>
    <t>Koen Hermans</t>
  </si>
  <si>
    <t>Steven Brokamp</t>
  </si>
  <si>
    <t>Jim Benincasa</t>
  </si>
  <si>
    <t>Xavier Schoenmakers</t>
  </si>
  <si>
    <t>Guy Moers</t>
  </si>
  <si>
    <t>Verjenzo Bernaards</t>
  </si>
  <si>
    <t>Artin Bajrakteraj</t>
  </si>
  <si>
    <t>Lindon Bajrakteraj</t>
  </si>
  <si>
    <t>Hassan Benahmed</t>
  </si>
  <si>
    <t>Angelino Diaz</t>
  </si>
  <si>
    <t>Guliano Diaz</t>
  </si>
  <si>
    <t>Ricky Heath</t>
  </si>
  <si>
    <t>Sean Krings</t>
  </si>
  <si>
    <t>Jordy Kuijpers</t>
  </si>
  <si>
    <t>Yassin Larbi</t>
  </si>
  <si>
    <t>Fabio Merola</t>
  </si>
  <si>
    <t>Michael Rijna</t>
  </si>
  <si>
    <t>Wesley Schoenmaekers</t>
  </si>
  <si>
    <t>Semm Theunissen</t>
  </si>
  <si>
    <t>Kylian Yacoub</t>
  </si>
  <si>
    <t>Mustafa Ameziane</t>
  </si>
  <si>
    <t>Karim Ameziane</t>
  </si>
  <si>
    <t>Kyle van Dartel</t>
  </si>
  <si>
    <t>Kyle Wiersma</t>
  </si>
  <si>
    <t>Haino Ellermann</t>
  </si>
  <si>
    <t>Cain Habets</t>
  </si>
  <si>
    <t>Robin Feron</t>
  </si>
  <si>
    <t>Ritchy Philippen</t>
  </si>
  <si>
    <t>Jordi Crins</t>
  </si>
  <si>
    <t>Jeremy Schneiders</t>
  </si>
  <si>
    <t>Luciano Leijen Heeneman</t>
  </si>
  <si>
    <t>Milan Marcic</t>
  </si>
  <si>
    <t>Massimo Arrivabene</t>
  </si>
  <si>
    <t>Kamiel van der Beek</t>
  </si>
  <si>
    <t>Igor Boileau</t>
  </si>
  <si>
    <t>Paulo Arce Calderón</t>
  </si>
  <si>
    <t>Eren Demirci</t>
  </si>
  <si>
    <t>Elhaj Diallo</t>
  </si>
  <si>
    <t>Nino Nelissen</t>
  </si>
  <si>
    <t>Quinten Ridder</t>
  </si>
  <si>
    <t>Stan Bakels</t>
  </si>
  <si>
    <t>Martin Sijstermans</t>
  </si>
  <si>
    <t>Jorn Huizinga</t>
  </si>
  <si>
    <t>Kaj Konings</t>
  </si>
  <si>
    <t>Jules Stoffels</t>
  </si>
  <si>
    <t>Nino Wolfs</t>
  </si>
  <si>
    <t>Lars Crijns</t>
  </si>
  <si>
    <t>Joël Roberts</t>
  </si>
  <si>
    <t>Gianni Theunisz</t>
  </si>
  <si>
    <t>Ralph Deckers</t>
  </si>
  <si>
    <t>Raoul Verheijen</t>
  </si>
  <si>
    <t>Glenn van den Boorn</t>
  </si>
  <si>
    <t>Gijs Christiaens</t>
  </si>
  <si>
    <t>Giel Beurskens</t>
  </si>
  <si>
    <t>Jens Craenmehr</t>
  </si>
  <si>
    <t>Nick Driessen</t>
  </si>
  <si>
    <t>Luc van Kuijck</t>
  </si>
  <si>
    <t>Ruud Meijers</t>
  </si>
  <si>
    <t>Jelle Janssen</t>
  </si>
  <si>
    <t>Joost Hendriks</t>
  </si>
  <si>
    <t>Gido van Helden</t>
  </si>
  <si>
    <t>Jeroen Verkennis</t>
  </si>
  <si>
    <t>Dion van Horne</t>
  </si>
  <si>
    <t>Siemen Weijers</t>
  </si>
  <si>
    <t>Anthony van Tankeren</t>
  </si>
  <si>
    <t>Rick Leenhouts</t>
  </si>
  <si>
    <t>Will Thiesen</t>
  </si>
  <si>
    <t>Noud Heijnen</t>
  </si>
  <si>
    <t>Joost Gorissen</t>
  </si>
  <si>
    <t>Jordy Geenen</t>
  </si>
  <si>
    <t>Sem Nijssen</t>
  </si>
  <si>
    <t>Dani Geenen</t>
  </si>
  <si>
    <t>Jasper Blaauw</t>
  </si>
  <si>
    <t>Jort Sanders</t>
  </si>
  <si>
    <t>Rolf Geraets</t>
  </si>
  <si>
    <t>Remy Geraets</t>
  </si>
  <si>
    <t>Brian Peeters</t>
  </si>
  <si>
    <t>Patrick Houben</t>
  </si>
  <si>
    <t>Maan Mertens</t>
  </si>
  <si>
    <t>Joey de Bruin</t>
  </si>
  <si>
    <t>Bas van de Kruijs</t>
  </si>
  <si>
    <t>Colin Beenders</t>
  </si>
  <si>
    <t>Rob Vaes</t>
  </si>
  <si>
    <t>Stijn van Deursen</t>
  </si>
  <si>
    <t>Sid Huber</t>
  </si>
  <si>
    <t>Thom Janssen</t>
  </si>
  <si>
    <t>Tom Kessels</t>
  </si>
  <si>
    <t>Tarik Akechtabou</t>
  </si>
  <si>
    <t>Massimo Sarli</t>
  </si>
  <si>
    <t>Daan van Bussel</t>
  </si>
  <si>
    <t>Reggy Geuns</t>
  </si>
  <si>
    <t>Niels van de Kerkhof</t>
  </si>
  <si>
    <t>Rob van Lier</t>
  </si>
  <si>
    <t>Björn Reijnders</t>
  </si>
  <si>
    <t>Martijn Sijbers</t>
  </si>
  <si>
    <t>Stan de Wit</t>
  </si>
  <si>
    <t>Sven Swakhoven</t>
  </si>
  <si>
    <t>Siem Phijl</t>
  </si>
  <si>
    <t>Stijn Keulen</t>
  </si>
  <si>
    <t>Taoufik Chadli</t>
  </si>
  <si>
    <t>Sem Nicolaije</t>
  </si>
  <si>
    <t>Mohammed Elberkani</t>
  </si>
  <si>
    <t>Mads Geelen</t>
  </si>
  <si>
    <t>Tom Knarren</t>
  </si>
  <si>
    <t>Ward Görtzen</t>
  </si>
  <si>
    <t>Samuel Danihel</t>
  </si>
  <si>
    <t>Aimane M'Rabet Eloued</t>
  </si>
  <si>
    <t>Ricardo van den Hove</t>
  </si>
  <si>
    <t>Mathijs Kengen</t>
  </si>
  <si>
    <t>Ibrahim Arbag</t>
  </si>
  <si>
    <t>Luca van den Essen</t>
  </si>
  <si>
    <t>Taufiq Amadu</t>
  </si>
  <si>
    <t>Remco Raets</t>
  </si>
  <si>
    <t>Mirza Kulin</t>
  </si>
  <si>
    <t>Jaiden Voogd</t>
  </si>
  <si>
    <t>Ahmed Morsy</t>
  </si>
  <si>
    <t>Robert Pedroso</t>
  </si>
  <si>
    <t>Flavio Ricardo George Mandriz</t>
  </si>
  <si>
    <t>Mauro Costa</t>
  </si>
  <si>
    <t>Romano Raets</t>
  </si>
  <si>
    <t>Eugene Alberto</t>
  </si>
  <si>
    <t>Jermey Jetten</t>
  </si>
  <si>
    <t>Diego Hawinkels</t>
  </si>
  <si>
    <t>Dennis Ferreira Raposo</t>
  </si>
  <si>
    <t>Robin Trilsbeek</t>
  </si>
  <si>
    <t>David Kihampa</t>
  </si>
  <si>
    <t>Robin Fujan</t>
  </si>
  <si>
    <t>Jeremy Geelen</t>
  </si>
  <si>
    <t>Ryan Geelen</t>
  </si>
  <si>
    <t>Mike Geelen</t>
  </si>
  <si>
    <t>Hendrik-Jan Kauffmann</t>
  </si>
  <si>
    <t>Colin Rekers</t>
  </si>
  <si>
    <t>Jeffrey Adriaanssen</t>
  </si>
  <si>
    <t>Youness Aatimine</t>
  </si>
  <si>
    <t>Alec Moonen</t>
  </si>
  <si>
    <t>Siem Essers</t>
  </si>
  <si>
    <t>Pepijn Franck</t>
  </si>
  <si>
    <t>Sem Vaessen</t>
  </si>
  <si>
    <t>Jarno Franck</t>
  </si>
  <si>
    <t>Rim Crutzen</t>
  </si>
  <si>
    <t>Boy Leclaire</t>
  </si>
  <si>
    <t>Bas Engelen</t>
  </si>
  <si>
    <t>Arjen Smits</t>
  </si>
  <si>
    <t>Boy Raaijmakers</t>
  </si>
  <si>
    <t>Quint Vroomen</t>
  </si>
  <si>
    <t>Jesse Meuwissen</t>
  </si>
  <si>
    <t>Ruben Bisschoff</t>
  </si>
  <si>
    <t>Raf Leclaire</t>
  </si>
  <si>
    <t>Thomas Meijwaard</t>
  </si>
  <si>
    <t>Gio Habets</t>
  </si>
  <si>
    <t>Jan Wrtal</t>
  </si>
  <si>
    <t>Rim Schlupp</t>
  </si>
  <si>
    <t>Ties Essers</t>
  </si>
  <si>
    <t>Koen Joosten</t>
  </si>
  <si>
    <t>Kjell Krause</t>
  </si>
  <si>
    <t>Cas Vaessen</t>
  </si>
  <si>
    <t>Flip Willems</t>
  </si>
  <si>
    <t>Thur Paquaij</t>
  </si>
  <si>
    <t>Rik Wilms</t>
  </si>
  <si>
    <t>Luc Beurskens</t>
  </si>
  <si>
    <t>Daan van den Ham</t>
  </si>
  <si>
    <t>Bowy Hofmans</t>
  </si>
  <si>
    <t>Achraf Dakir</t>
  </si>
  <si>
    <t>Sentayehu Derks</t>
  </si>
  <si>
    <t>Finn van 't Hull</t>
  </si>
  <si>
    <t>Timo Geijbels</t>
  </si>
  <si>
    <t>Daniel Blazevic</t>
  </si>
  <si>
    <t>Finn van de Ven</t>
  </si>
  <si>
    <t>Idris Musa Bangura</t>
  </si>
  <si>
    <t>Max Probst</t>
  </si>
  <si>
    <t>Sem Keijsers</t>
  </si>
  <si>
    <t>Tom Oehlen</t>
  </si>
  <si>
    <t>Milan Voss</t>
  </si>
  <si>
    <t>Nuri Kojil</t>
  </si>
  <si>
    <t>Merijn de Wilde</t>
  </si>
  <si>
    <t>Daan Kuik</t>
  </si>
  <si>
    <t>Jesse Roemen</t>
  </si>
  <si>
    <t>Tony Geestman</t>
  </si>
  <si>
    <t>Roy Goossens</t>
  </si>
  <si>
    <t>Azmie Zammali</t>
  </si>
  <si>
    <t>Sydney Bartels</t>
  </si>
  <si>
    <t>Larry Huiveneers</t>
  </si>
  <si>
    <t>Marvin de Winter</t>
  </si>
  <si>
    <t>Ceylan Amory</t>
  </si>
  <si>
    <t>Cyliano Cicilia</t>
  </si>
  <si>
    <t>Jaimy Dreessen</t>
  </si>
  <si>
    <t>Pim de Groot</t>
  </si>
  <si>
    <t>Swen Cornelissen</t>
  </si>
  <si>
    <t>Sten Temmink</t>
  </si>
  <si>
    <t>Ian Vanderlinden</t>
  </si>
  <si>
    <t>Nick Peskens</t>
  </si>
  <si>
    <t>James Oglesby</t>
  </si>
  <si>
    <t>Sil Zeetsen</t>
  </si>
  <si>
    <t>Joost Roeven</t>
  </si>
  <si>
    <t>Cas Berden</t>
  </si>
  <si>
    <t>Siem Crienen</t>
  </si>
  <si>
    <t>Tijmen Donkers</t>
  </si>
  <si>
    <t>Wout van Enckevort</t>
  </si>
  <si>
    <t>Dries van Hees</t>
  </si>
  <si>
    <t>Stijn Joosten</t>
  </si>
  <si>
    <t>Timo Maas</t>
  </si>
  <si>
    <t>Gijs Smedts</t>
  </si>
  <si>
    <t>Teun Smolders</t>
  </si>
  <si>
    <t>Tieme van Soest</t>
  </si>
  <si>
    <t>Tim van Veggel</t>
  </si>
  <si>
    <t>Gijs van der Werf</t>
  </si>
  <si>
    <t>Freek Berghuis</t>
  </si>
  <si>
    <t>Tonny Boots</t>
  </si>
  <si>
    <t>Jemie van Dijk</t>
  </si>
  <si>
    <t>Jasper Donkers</t>
  </si>
  <si>
    <t>Maikel van Erp</t>
  </si>
  <si>
    <t>Bruno Geraedts</t>
  </si>
  <si>
    <t>Siem Gielen</t>
  </si>
  <si>
    <t>Sander Gulev</t>
  </si>
  <si>
    <t>Tren van Hees</t>
  </si>
  <si>
    <t>Tijn Heldens</t>
  </si>
  <si>
    <t>Juul van Lier</t>
  </si>
  <si>
    <t>Kay Nellen</t>
  </si>
  <si>
    <t>Stef Peeters</t>
  </si>
  <si>
    <t>Rik Schotman</t>
  </si>
  <si>
    <t>Noud Schotman</t>
  </si>
  <si>
    <t>Giel Smid</t>
  </si>
  <si>
    <t>Matthijs Timp</t>
  </si>
  <si>
    <t>Matthijs de Vogel</t>
  </si>
  <si>
    <t>Stan Wijhers</t>
  </si>
  <si>
    <t>Sven Wullms</t>
  </si>
  <si>
    <t>Jonas Schreurs</t>
  </si>
  <si>
    <t>Jort Dorssers</t>
  </si>
  <si>
    <t>Ivo Aretz</t>
  </si>
  <si>
    <t>Lars Pouls</t>
  </si>
  <si>
    <t>Stuy Delissen</t>
  </si>
  <si>
    <t>Crit Kessels</t>
  </si>
  <si>
    <t>Kyo Hendricx</t>
  </si>
  <si>
    <t>Mika Lemmens</t>
  </si>
  <si>
    <t>Ravi Krause</t>
  </si>
  <si>
    <t>Sjoerd Zuthof</t>
  </si>
  <si>
    <t>Tijn Leduc</t>
  </si>
  <si>
    <t>Niels Kokkeler</t>
  </si>
  <si>
    <t>Sam Lemmens</t>
  </si>
  <si>
    <t>Max Kersemakers</t>
  </si>
  <si>
    <t>Nick Gubbels</t>
  </si>
  <si>
    <t>Tim Oostveen</t>
  </si>
  <si>
    <t>Siem Scheeren</t>
  </si>
  <si>
    <t>Dennis Cnoops</t>
  </si>
  <si>
    <t>Puk Geelen</t>
  </si>
  <si>
    <t>Youp Snijkers</t>
  </si>
  <si>
    <t>Bram Frings</t>
  </si>
  <si>
    <t>Samir Ait Ali</t>
  </si>
  <si>
    <t>Kuba Jermakowicz</t>
  </si>
  <si>
    <t>Jake Collin</t>
  </si>
  <si>
    <t>Karim Dadda</t>
  </si>
  <si>
    <t>Achraf el Ouardani</t>
  </si>
  <si>
    <t>Timo Gielen</t>
  </si>
  <si>
    <t>Anouar Afazzaz</t>
  </si>
  <si>
    <t>Julian de Bitter</t>
  </si>
  <si>
    <t>Dennis Geraedts</t>
  </si>
  <si>
    <t>Robin Krawczyk</t>
  </si>
  <si>
    <t>Younes Raoui</t>
  </si>
  <si>
    <t>Brent Smits</t>
  </si>
  <si>
    <t>Osama Gamhiouen</t>
  </si>
  <si>
    <t>Gijs Haenen</t>
  </si>
  <si>
    <t>Dean van der Brink</t>
  </si>
  <si>
    <t>David Ermler</t>
  </si>
  <si>
    <t>Sandro Domingos</t>
  </si>
  <si>
    <t>Oskar Szalaty</t>
  </si>
  <si>
    <t>Ermin Cavcic</t>
  </si>
  <si>
    <t>Luuk Gerrits</t>
  </si>
  <si>
    <t>Lucas van Veenendaal Lima da Costa</t>
  </si>
  <si>
    <t>Maksym Kondakov</t>
  </si>
  <si>
    <t>Matthijs Peeters</t>
  </si>
  <si>
    <t>Sem Schrömbges</t>
  </si>
  <si>
    <t>Nourredine Mardi</t>
  </si>
  <si>
    <t>Angelo Rouwette</t>
  </si>
  <si>
    <t>Pim van 't Land</t>
  </si>
  <si>
    <t>Brian Goessens</t>
  </si>
  <si>
    <t>Arda Köksal</t>
  </si>
  <si>
    <t>Luuk van Herpen</t>
  </si>
  <si>
    <t>Stef Haegens</t>
  </si>
  <si>
    <t>Bram Curvers</t>
  </si>
  <si>
    <t>Teun Schurink</t>
  </si>
  <si>
    <t>Bjorn Cuppen</t>
  </si>
  <si>
    <t>Sil van den Homberg</t>
  </si>
  <si>
    <t>Chiem Jacobs</t>
  </si>
  <si>
    <t>Giel Hoeijmakers</t>
  </si>
  <si>
    <t>Wilbert Daniëls</t>
  </si>
  <si>
    <t>Koen Houben</t>
  </si>
  <si>
    <t>Niels van de Munckhof</t>
  </si>
  <si>
    <t>Teun Haegens</t>
  </si>
  <si>
    <t>Fin Kleijnen</t>
  </si>
  <si>
    <t>Kris Hermans</t>
  </si>
  <si>
    <t>Walid Hammadi</t>
  </si>
  <si>
    <t>Divano Stuiver</t>
  </si>
  <si>
    <t>Anwar Bara</t>
  </si>
  <si>
    <t>Martin Verheyen</t>
  </si>
  <si>
    <t>Sidney Maggen</t>
  </si>
  <si>
    <t>Marcelino de Wilde</t>
  </si>
  <si>
    <t>Joey Florack</t>
  </si>
  <si>
    <t>Alfred Recope de Tilly Blar</t>
  </si>
  <si>
    <t>Ben Moritz Wiedorn</t>
  </si>
  <si>
    <t>Nicolas Goorhuis Solsona</t>
  </si>
  <si>
    <t>Nicolás Molins Rosell</t>
  </si>
  <si>
    <t>Nicolas Rodriguez Salman</t>
  </si>
  <si>
    <t>Pietro Giro</t>
  </si>
  <si>
    <t>Amany Nsengiyumva</t>
  </si>
  <si>
    <t>Charles-Andre Kaunan</t>
  </si>
  <si>
    <t>Joaquin Chico Luque</t>
  </si>
  <si>
    <t>Jack Weyer</t>
  </si>
  <si>
    <t>Mohamed Bougrin</t>
  </si>
  <si>
    <t>Michiel Jansen</t>
  </si>
  <si>
    <t>Cezan Vh Hof</t>
  </si>
  <si>
    <t>Sem Schrombges</t>
  </si>
  <si>
    <t>Cézan van 't Hof</t>
  </si>
  <si>
    <t>Sebastiaan van Middegaal</t>
  </si>
  <si>
    <t>Vince Ekelhoff</t>
  </si>
  <si>
    <t>Marijn Frenken</t>
  </si>
  <si>
    <t>Paul Dirckx</t>
  </si>
  <si>
    <t>Morrisen van Mierlo</t>
  </si>
  <si>
    <t>Luc Peters</t>
  </si>
  <si>
    <t>Freek Wolters</t>
  </si>
  <si>
    <t>Jesper Gruner</t>
  </si>
  <si>
    <t>Noël Jamin</t>
  </si>
  <si>
    <t>Jip Cox</t>
  </si>
  <si>
    <t>Sv Heer</t>
  </si>
  <si>
    <t>Bas Timmermans</t>
  </si>
  <si>
    <t>Timo Reuterink</t>
  </si>
  <si>
    <t>Stan Bastiaens</t>
  </si>
  <si>
    <t>Giuliano van Binsbergen</t>
  </si>
  <si>
    <t>Keano van der Heijden</t>
  </si>
  <si>
    <t>Guus Willemssen</t>
  </si>
  <si>
    <t>Cem Ünal</t>
  </si>
  <si>
    <t>Adnan Murad</t>
  </si>
  <si>
    <t>Ayoub Amhaouch</t>
  </si>
  <si>
    <t>Kay van Spronsen</t>
  </si>
  <si>
    <t>Brian Savelberg</t>
  </si>
  <si>
    <t>Ibrahim Sarr</t>
  </si>
  <si>
    <t>Ayoub Tamoukh</t>
  </si>
  <si>
    <t>Pau Lluis Comas Hutten</t>
  </si>
  <si>
    <t>Sven Provaas</t>
  </si>
  <si>
    <t>Jihad Oulad Baktit</t>
  </si>
  <si>
    <t>Marvin V.d. Brink</t>
  </si>
  <si>
    <t>Youri Ernst</t>
  </si>
  <si>
    <t>Victor van den Bold</t>
  </si>
  <si>
    <t>Alhassan Koroma</t>
  </si>
  <si>
    <t>Cyliano Cicillia</t>
  </si>
  <si>
    <t>Tom Middelhoven</t>
  </si>
  <si>
    <t>Tybo Erens</t>
  </si>
  <si>
    <t>Dave Anumudu</t>
  </si>
  <si>
    <t>Abdessamad Aurag</t>
  </si>
  <si>
    <t xml:space="preserve">Christiaan Simons </t>
  </si>
  <si>
    <t>Tim Sengers</t>
  </si>
  <si>
    <t>Jesse Gerrits</t>
  </si>
  <si>
    <t>Rens Wienhofen</t>
  </si>
  <si>
    <t>Dennis Simons</t>
  </si>
  <si>
    <t>Tim Lasaroms</t>
  </si>
  <si>
    <t>Thijs Bus</t>
  </si>
  <si>
    <t>Thijn Fransman</t>
  </si>
  <si>
    <t>Bram Banken</t>
  </si>
  <si>
    <t>Sjuul Hermsen</t>
  </si>
  <si>
    <t>Sebastiaan de Schouwer</t>
  </si>
  <si>
    <t>Dennis Wennekers</t>
  </si>
  <si>
    <t>Willem Kroon</t>
  </si>
  <si>
    <t>Niels de Groot</t>
  </si>
  <si>
    <t>Daan de Groot</t>
  </si>
  <si>
    <t>Jord van Rossum</t>
  </si>
  <si>
    <t>Teun Luisman</t>
  </si>
  <si>
    <t>Mick Mattijssen</t>
  </si>
  <si>
    <t>Gert-Jan Sengers</t>
  </si>
  <si>
    <t>Siem Rouw</t>
  </si>
  <si>
    <t>Yannis Wilbrink</t>
  </si>
  <si>
    <t>Jeffrey Aben</t>
  </si>
  <si>
    <t>Noah Sideris</t>
  </si>
  <si>
    <t>Jelle Royen</t>
  </si>
  <si>
    <t>Stephan Schiffer</t>
  </si>
  <si>
    <t>Rick de Hoog</t>
  </si>
  <si>
    <t>Levi van Horssen</t>
  </si>
  <si>
    <t>Robbie van Dijk</t>
  </si>
  <si>
    <t xml:space="preserve">Zakaria el Abiad </t>
  </si>
  <si>
    <t>Gino Admiraal</t>
  </si>
  <si>
    <t>Gidion Douven</t>
  </si>
  <si>
    <t>Mex Janssens</t>
  </si>
  <si>
    <t>Rayan Saidi</t>
  </si>
  <si>
    <t>Mohamed Gharssalaoui</t>
  </si>
  <si>
    <t>Boy Heijsteeg</t>
  </si>
  <si>
    <t>Sebastian Boots</t>
  </si>
  <si>
    <t>Vince van der Cruijsen</t>
  </si>
  <si>
    <t>Tys Heijnen</t>
  </si>
  <si>
    <t>Sinjo Leninduan</t>
  </si>
  <si>
    <t>Jayden Montijn</t>
  </si>
  <si>
    <t>Tom van Otterdijk</t>
  </si>
  <si>
    <t>Tijmen Dassen</t>
  </si>
  <si>
    <t>Nathan Tukokana</t>
  </si>
  <si>
    <t>Hannes Gramke</t>
  </si>
  <si>
    <t>Bram van der Velden</t>
  </si>
  <si>
    <t>Rick Peeters</t>
  </si>
  <si>
    <t>Noë van de Rijdt</t>
  </si>
  <si>
    <t>Nelis Snijders</t>
  </si>
  <si>
    <t>Nelis Klee</t>
  </si>
  <si>
    <t>Chadi Nasri</t>
  </si>
  <si>
    <t>Mario Ionita</t>
  </si>
  <si>
    <t>Robel Kahsay</t>
  </si>
  <si>
    <t>Ilyas Ohoudi</t>
  </si>
  <si>
    <t>Swen Boelijn</t>
  </si>
  <si>
    <t>Mohamed Bika</t>
  </si>
  <si>
    <t>Volodymyr Hryhoriv</t>
  </si>
  <si>
    <t>Amine El Maimouni</t>
  </si>
  <si>
    <t>Nachité Parinussa</t>
  </si>
  <si>
    <t>Jesse Schüler</t>
  </si>
  <si>
    <t>Jonino Phillipen</t>
  </si>
  <si>
    <t>Rob Verkoelen</t>
  </si>
  <si>
    <t>Ruben Correia</t>
  </si>
  <si>
    <t>Daan Dinnissen</t>
  </si>
  <si>
    <t>Youri Pietersma</t>
  </si>
  <si>
    <t>Youri in de Braekt</t>
  </si>
  <si>
    <t xml:space="preserve">Jens Maas </t>
  </si>
  <si>
    <t>Jaap Ebbelink</t>
  </si>
  <si>
    <t>Jari Wilson</t>
  </si>
  <si>
    <t>Pie Pluijmaekers</t>
  </si>
  <si>
    <t>Ruud Conjaerts</t>
  </si>
  <si>
    <t>Jeffrey Arents</t>
  </si>
  <si>
    <t>Aaron Hesen</t>
  </si>
  <si>
    <t>Thiago Fontenia Barrios</t>
  </si>
  <si>
    <t>Robin Koning</t>
  </si>
  <si>
    <t>Mahdi Garbout</t>
  </si>
  <si>
    <t>Melle Wackers</t>
  </si>
  <si>
    <t>Carlos da Costa</t>
  </si>
  <si>
    <t>Kimio van der Meulen</t>
  </si>
  <si>
    <t>Salaheddine Aït Hakki</t>
  </si>
  <si>
    <t>Said Aït Hakki</t>
  </si>
  <si>
    <t>Salah-Eddine Amer</t>
  </si>
  <si>
    <t>Pieter-Raoul van Cruchten</t>
  </si>
  <si>
    <t>Luc Geurts</t>
  </si>
  <si>
    <t>Mitchell Stevens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</si>
</sst>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  <font>
      <sz val="8"/>
      <name val="Aptos Narrow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sz val="12"/>
      <color rgb="FF000000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theme="5" tint="0.79985961485641044"/>
        <bgColor indexed="65"/>
      </patternFill>
    </fill>
    <fill>
      <patternFill patternType="solid">
        <fgColor rgb="FFD9E1F2"/>
      </patternFill>
    </fill>
    <fill>
      <patternFill patternType="solid">
        <fgColor theme="3" tint="0.89996032593768116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ACD"/>
        <bgColor rgb="FFFFFACD"/>
      </patternFill>
    </fill>
    <fill>
      <patternFill patternType="solid">
        <fgColor theme="9" tint="0.79998168889431442"/>
        <bgColor rgb="FFFFFACD"/>
      </patternFill>
    </fill>
    <fill>
      <patternFill patternType="solid">
        <fgColor theme="8" tint="0.79998168889431442"/>
        <bgColor rgb="FFFFFACD"/>
      </patternFill>
    </fill>
    <fill>
      <patternFill patternType="solid">
        <fgColor rgb="FFFFFACD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34">
    <xf numFmtId="0" fontId="0" fillId="0" borderId="0" xfId="0"/>
    <xf numFmtId="0" fontId="0" fillId="2" borderId="0" xfId="1" applyFont="1" applyFill="1"/>
    <xf numFmtId="0" fontId="3" fillId="3" borderId="1" xfId="1" applyFont="1" applyFill="1" applyBorder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top"/>
    </xf>
    <xf numFmtId="0" fontId="5" fillId="4" borderId="0" xfId="0" applyFont="1" applyFill="1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0" fillId="4" borderId="0" xfId="0" applyFill="1"/>
    <xf numFmtId="0" fontId="5" fillId="4" borderId="0" xfId="0" applyFont="1" applyFill="1" applyAlignment="1">
      <alignment vertical="top"/>
    </xf>
    <xf numFmtId="0" fontId="3" fillId="3" borderId="1" xfId="1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5" borderId="0" xfId="0" applyFont="1" applyFill="1" applyAlignment="1">
      <alignment horizontal="center" vertical="top"/>
    </xf>
    <xf numFmtId="0" fontId="5" fillId="6" borderId="0" xfId="0" applyFont="1" applyFill="1" applyAlignment="1">
      <alignment horizontal="center"/>
    </xf>
    <xf numFmtId="0" fontId="0" fillId="5" borderId="0" xfId="0" applyFill="1"/>
    <xf numFmtId="0" fontId="0" fillId="9" borderId="0" xfId="0" applyFill="1"/>
    <xf numFmtId="0" fontId="0" fillId="10" borderId="0" xfId="0" applyFill="1" applyAlignment="1">
      <alignment horizontal="center" vertical="top"/>
    </xf>
    <xf numFmtId="1" fontId="0" fillId="11" borderId="0" xfId="0" applyNumberFormat="1" applyFill="1" applyAlignment="1">
      <alignment horizontal="center" vertical="top"/>
    </xf>
    <xf numFmtId="0" fontId="5" fillId="6" borderId="0" xfId="0" applyFont="1" applyFill="1" applyAlignment="1">
      <alignment horizontal="center" vertical="top"/>
    </xf>
    <xf numFmtId="0" fontId="0" fillId="5" borderId="0" xfId="0" applyFill="1" applyAlignment="1">
      <alignment vertical="top"/>
    </xf>
    <xf numFmtId="0" fontId="0" fillId="5" borderId="0" xfId="0" applyFill="1" applyAlignment="1">
      <alignment horizontal="center" vertical="top"/>
    </xf>
    <xf numFmtId="0" fontId="0" fillId="12" borderId="0" xfId="0" applyFill="1"/>
    <xf numFmtId="0" fontId="5" fillId="13" borderId="0" xfId="0" applyFont="1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7" borderId="0" xfId="0" applyFont="1" applyFill="1" applyAlignment="1">
      <alignment horizontal="center" vertical="top"/>
    </xf>
    <xf numFmtId="0" fontId="5" fillId="8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</cellXfs>
  <cellStyles count="3">
    <cellStyle name="Normal" xfId="0" builtinId="0"/>
    <cellStyle name="Normal 2" xfId="2" xr:uid="{7218C4D5-134F-4C01-B59C-35FC81BEC979}"/>
    <cellStyle name="Standaard" xfId="1" xr:uid="{00000000-0005-0000-0000-000001000000}"/>
  </cellStyles>
  <dxfs count="2">
    <dxf>
      <fill>
        <patternFill>
          <bgColor rgb="FFFFF2CC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BE3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ACD"/>
      <rgbColor rgb="FFDCEAF7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6C6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RDEDIV" displayName="DERDEDIV" ref="F1:F22">
  <autoFilter ref="F1:F22" xr:uid="{00000000-0009-0000-0100-000001000000}"/>
  <tableColumns count="1">
    <tableColumn id="1" xr3:uid="{00000000-0010-0000-0000-000001000000}" name="DERDE DIVISIE B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VKLAS" displayName="DIVKLAS" ref="D1:D30">
  <autoFilter ref="D1:D30" xr:uid="{00000000-0009-0000-0100-000002000000}"/>
  <tableColumns count="1">
    <tableColumn id="1" xr3:uid="{00000000-0010-0000-0100-000001000000}" name="KIES DIVISIE/KLASS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ERSTEKLE" displayName="EERSTEKLE" ref="J1:J22">
  <autoFilter ref="J1:J22" xr:uid="{00000000-0009-0000-0100-000003000000}"/>
  <tableColumns count="1">
    <tableColumn id="1" xr3:uid="{00000000-0010-0000-0200-000001000000}" name="EERSTE KLASSE 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BS1:BS29">
  <autoFilter ref="BS1:BS29" xr:uid="{00000000-0009-0000-0100-000004000000}"/>
  <tableColumns count="1">
    <tableColumn id="1" xr3:uid="{00000000-0010-0000-0300-000001000000}" name="Origineel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7" displayName="Table7" ref="BT1:BT22">
  <autoFilter ref="BT1:BT22" xr:uid="{00000000-0009-0000-0100-000005000000}"/>
  <tableColumns count="1">
    <tableColumn id="1" xr3:uid="{00000000-0010-0000-0400-000001000000}" name="Bereiknaam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WEEDEKLE" displayName="TWEEDEKLE" ref="L1:L21">
  <autoFilter ref="L1:L21" xr:uid="{00000000-0009-0000-0100-000006000000}"/>
  <tableColumns count="1">
    <tableColumn id="1" xr3:uid="{00000000-0010-0000-0500-000001000000}" name="TWEEDE KLASSE I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WEEDEKLE11" displayName="TWEEDEKLE11" ref="N1:N23">
  <autoFilter ref="N1:N23" xr:uid="{00000000-0009-0000-0100-000007000000}"/>
  <tableColumns count="1">
    <tableColumn id="1" xr3:uid="{00000000-0010-0000-0600-000001000000}" name="DERDE KLASSE B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WEEDEKLE1112" displayName="TWEEDEKLE1112" ref="P1:P24">
  <autoFilter ref="P1:P24" xr:uid="{00000000-0009-0000-0100-000008000000}"/>
  <tableColumns count="1">
    <tableColumn id="1" xr3:uid="{00000000-0010-0000-0700-000001000000}" name="DERDE KLASSE C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WEEDEKLE111213" displayName="TWEEDEKLE111213" ref="R1:R22">
  <autoFilter ref="R1:R22" xr:uid="{00000000-0009-0000-0100-000009000000}"/>
  <tableColumns count="1">
    <tableColumn id="1" xr3:uid="{00000000-0010-0000-0800-000001000000}" name="DERDE KLASSE D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WEEDEKLE11121314" displayName="TWEEDEKLE11121314" ref="T1:T22">
  <autoFilter ref="T1:T22" xr:uid="{00000000-0009-0000-0100-00000A000000}"/>
  <tableColumns count="1">
    <tableColumn id="1" xr3:uid="{00000000-0010-0000-0900-000001000000}" name="VIERDE KLASSE 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WEEDEKLE1112131415" displayName="TWEEDEKLE1112131415" ref="V1:V22">
  <autoFilter ref="V1:V22" xr:uid="{00000000-0009-0000-0100-00000B000000}"/>
  <tableColumns count="1">
    <tableColumn id="1" xr3:uid="{00000000-0010-0000-0A00-000001000000}" name="VIERDE KLASSE B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WEEDEKLE111213141516" displayName="TWEEDEKLE111213141516" ref="X1:X22">
  <autoFilter ref="X1:X22" xr:uid="{00000000-0009-0000-0100-00000C000000}"/>
  <sortState xmlns:xlrd2="http://schemas.microsoft.com/office/spreadsheetml/2017/richdata2" ref="X2:X22">
    <sortCondition ref="X4:X22"/>
  </sortState>
  <tableColumns count="1">
    <tableColumn id="1" xr3:uid="{00000000-0010-0000-0B00-000001000000}" name="VIERDE KLASSE C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WEEDEKLE111213141517" displayName="TWEEDEKLE111213141517" ref="Z1:Z22">
  <autoFilter ref="Z1:Z22" xr:uid="{00000000-0009-0000-0100-00000D000000}"/>
  <sortState xmlns:xlrd2="http://schemas.microsoft.com/office/spreadsheetml/2017/richdata2" ref="Z2:Z22">
    <sortCondition ref="Z4:Z22"/>
  </sortState>
  <tableColumns count="1">
    <tableColumn id="1" xr3:uid="{00000000-0010-0000-0C00-000001000000}" name="VIERDE KLASSE D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WEEDEKLE11121314151718" displayName="TWEEDEKLE11121314151718" ref="AB1:AB22">
  <autoFilter ref="AB1:AB22" xr:uid="{00000000-0009-0000-0100-00000E000000}"/>
  <tableColumns count="1">
    <tableColumn id="1" xr3:uid="{00000000-0010-0000-0D00-000001000000}" name="VIERDE KLASSE E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WEEDEKLE11121314151719" displayName="TWEEDEKLE11121314151719" ref="AD1:AD22">
  <autoFilter ref="AD1:AD22" xr:uid="{00000000-0009-0000-0100-00000F000000}"/>
  <tableColumns count="1">
    <tableColumn id="1" xr3:uid="{00000000-0010-0000-0E00-000001000000}" name="VIERDE KLASSE F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WEEDEKLE1112131415171920" displayName="TWEEDEKLE1112131415171920" ref="AH1:AH22">
  <autoFilter ref="AH1:AH22" xr:uid="{00000000-0009-0000-0100-000010000000}"/>
  <tableColumns count="1">
    <tableColumn id="1" xr3:uid="{00000000-0010-0000-0F00-000001000000}" name="VIJFDE KLASSE A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WEEDEKLE111213141517192021" displayName="TWEEDEKLE111213141517192021" ref="AJ1:AJ22">
  <autoFilter ref="AJ1:AJ22" xr:uid="{00000000-0009-0000-0100-000011000000}"/>
  <tableColumns count="1">
    <tableColumn id="1" xr3:uid="{00000000-0010-0000-1000-000001000000}" name="VIJFDE KLASSE B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WEEDEKLE111213141517192022" displayName="TWEEDEKLE111213141517192022" ref="AL1:AL22">
  <autoFilter ref="AL1:AL22" xr:uid="{00000000-0009-0000-0100-000012000000}"/>
  <tableColumns count="1">
    <tableColumn id="1" xr3:uid="{00000000-0010-0000-1100-000001000000}" name="VIJFDE KLASSE C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WEEDEKLE111213141517192023" displayName="TWEEDEKLE111213141517192023" ref="AN1:AN22">
  <autoFilter ref="AN1:AN22" xr:uid="{00000000-0009-0000-0100-000013000000}"/>
  <tableColumns count="1">
    <tableColumn id="1" xr3:uid="{00000000-0010-0000-1200-000001000000}" name="VIJFDE KLASSE D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WEEDEKLE11121314151719202324" displayName="TWEEDEKLE11121314151719202324" ref="AP1:AP22">
  <autoFilter ref="AP1:AP22" xr:uid="{00000000-0009-0000-0100-000014000000}"/>
  <tableColumns count="1">
    <tableColumn id="1" xr3:uid="{00000000-0010-0000-1300-000001000000}" name="VIJFDE KLASSE E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VIERDEDIV" displayName="VIERDEDIV" ref="H1:H22">
  <autoFilter ref="H1:H22" xr:uid="{00000000-0009-0000-0100-000015000000}"/>
  <tableColumns count="1">
    <tableColumn id="1" xr3:uid="{00000000-0010-0000-1400-000001000000}" name="VIERDE DIVISIE C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VIJFF" displayName="VIJFF" ref="AF1:AF22">
  <autoFilter ref="AF1:AF22" xr:uid="{00000000-0009-0000-0100-000016000000}"/>
  <tableColumns count="1">
    <tableColumn id="1" xr3:uid="{00000000-0010-0000-1500-000001000000}" name="VIERDE KLASSE G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VRHOOFDB" displayName="VRHOOFDB" ref="AR1:AR26">
  <autoFilter ref="AR1:AR26" xr:uid="{00000000-0009-0000-0100-000017000000}"/>
  <sortState xmlns:xlrd2="http://schemas.microsoft.com/office/spreadsheetml/2017/richdata2" ref="AR2:AR26">
    <sortCondition ref="AR4:AR26"/>
  </sortState>
  <tableColumns count="1">
    <tableColumn id="1" xr3:uid="{00000000-0010-0000-1600-000001000000}" name="VROUWEN HOOFDKLASSE B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VRHOOFDB25" displayName="VRHOOFDB25" ref="AT1:AT22">
  <autoFilter ref="AT1:AT22" xr:uid="{00000000-0009-0000-0100-000018000000}"/>
  <sortState xmlns:xlrd2="http://schemas.microsoft.com/office/spreadsheetml/2017/richdata2" ref="AT2:AT22">
    <sortCondition ref="AT4:AT22"/>
  </sortState>
  <tableColumns count="1">
    <tableColumn id="1" xr3:uid="{00000000-0010-0000-1700-000001000000}" name="VROUWEN EERSTE KLASSE D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D2CF425-93D0-4746-B639-2ABC24EFC52E}" name="BEKER" displayName="BEKER" ref="AV1:AV22">
  <autoFilter ref="AV1:AV22" xr:uid="{AD2CF425-93D0-4746-B639-2ABC24EFC52E}"/>
  <tableColumns count="1">
    <tableColumn id="47" xr3:uid="{76926FD0-E58A-4DE2-8477-E45E7EE189B2}" name="BEKER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A69F832-AED3-496C-B95B-DF0E562C5713}" name="BEKER27" displayName="BEKER27" ref="AX1:AX22">
  <autoFilter ref="AX1:AX22" xr:uid="{BA69F832-AED3-496C-B95B-DF0E562C5713}"/>
  <tableColumns count="1">
    <tableColumn id="47" xr3:uid="{EA273EB8-8082-40D7-8AF1-F901F7C7BDD2}" name="DERDE/VIERDE DIVISI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3C4DB22-80BD-43B2-B54B-6F275F897291}" name="BEKER2728" displayName="BEKER2728" ref="AZ1:AZ22">
  <autoFilter ref="AZ1:AZ22" xr:uid="{53C4DB22-80BD-43B2-B54B-6F275F897291}"/>
  <tableColumns count="1">
    <tableColumn id="47" xr3:uid="{90657143-F9AF-43BE-A7DE-DBB10E0C3AB2}" name="VIERDE DIVISIE/EERSTE KLASS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AFD7A6D-1665-4C71-BF28-D9004CF969A4}" name="BEKER272829" displayName="BEKER272829" ref="BB1:BB22">
  <autoFilter ref="BB1:BB22" xr:uid="{2AFD7A6D-1665-4C71-BF28-D9004CF969A4}"/>
  <tableColumns count="1">
    <tableColumn id="47" xr3:uid="{95EB0282-BFCD-4956-9E23-AE3DADD50C03}" name="EERSTE/TWEEDE KLASS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72472D6-5591-43DD-9B2A-728729483026}" name="BEKER27282930" displayName="BEKER27282930" ref="BD1:BD22">
  <autoFilter ref="BD1:BD22" xr:uid="{972472D6-5591-43DD-9B2A-728729483026}"/>
  <tableColumns count="1">
    <tableColumn id="47" xr3:uid="{47EDC1AC-22DA-4784-B0F0-2429946265C9}" name="TWEEDE/DERDE KLASS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76BE2EE-7B61-43F5-845A-B63B82C99044}" name="BEKER2728293031" displayName="BEKER2728293031" ref="BF1:BF22">
  <autoFilter ref="BF1:BF22" xr:uid="{A76BE2EE-7B61-43F5-845A-B63B82C99044}"/>
  <tableColumns count="1">
    <tableColumn id="47" xr3:uid="{FE76123F-6573-4C2A-8DAD-AC924A2C74D8}" name="DERDE/VIERDE KLASS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5722DB3-DA4D-4236-ADC5-F6075F42DCF2}" name="BEKER272829303132" displayName="BEKER272829303132" ref="BH1:BH22">
  <autoFilter ref="BH1:BH22" xr:uid="{B5722DB3-DA4D-4236-ADC5-F6075F42DCF2}"/>
  <tableColumns count="1">
    <tableColumn id="47" xr3:uid="{D44A1E26-E0C1-43EB-A6CC-E38B9713BF4D}" name="VIERDE/VIJFDE KLASS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E03F5BE4-4D81-4A62-9A24-EF3C69ADCF9B}" name="tblSpelers36" displayName="tblSpelers36" ref="A1:B1048575">
  <autoFilter ref="A1:B1048575" xr:uid="{E03F5BE4-4D81-4A62-9A24-EF3C69ADCF9B}"/>
  <sortState xmlns:xlrd2="http://schemas.microsoft.com/office/spreadsheetml/2017/richdata2" ref="A2:B4357">
    <sortCondition ref="A1:A1048575"/>
  </sortState>
  <tableColumns count="2">
    <tableColumn id="1" xr3:uid="{9A6744F6-D8F6-4D28-B150-EBAF29A3165A}" name="CLUB"/>
    <tableColumn id="2" xr3:uid="{4C24D89E-DE9F-4E9F-BFA8-611D2F68C586}" name="SPELER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689F46D-AC5B-4B16-B711-DFB9F1BD5C36}" name="tblExcluded37" displayName="tblExcluded37" ref="A1:A497">
  <autoFilter ref="A1:A497" xr:uid="{4689F46D-AC5B-4B16-B711-DFB9F1BD5C36}"/>
  <sortState xmlns:xlrd2="http://schemas.microsoft.com/office/spreadsheetml/2017/richdata2" ref="A2:A98">
    <sortCondition ref="A1:A497"/>
  </sortState>
  <tableColumns count="1">
    <tableColumn id="1" xr3:uid="{0B524874-9BC2-473B-BAC0-D7B8494955DB}" name="CLUB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4EE5216A-850E-4976-A53C-F8648997378A}" name="tblClubsControle38" displayName="tblClubsControle38" ref="A1:A192">
  <autoFilter ref="A1:A192" xr:uid="{4EE5216A-850E-4976-A53C-F8648997378A}"/>
  <sortState xmlns:xlrd2="http://schemas.microsoft.com/office/spreadsheetml/2017/richdata2" ref="A2:A180">
    <sortCondition ref="A1:A192"/>
  </sortState>
  <tableColumns count="1">
    <tableColumn id="1" xr3:uid="{D1965E9E-F5FA-44C1-AC4D-3253C258F5F3}" name="CLU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384"/>
  <sheetViews>
    <sheetView workbookViewId="0">
      <selection activeCell="B2" sqref="B2"/>
    </sheetView>
  </sheetViews>
  <sheetFormatPr defaultColWidth="8.85546875" defaultRowHeight="15" x14ac:dyDescent="0.25"/>
  <cols>
    <col min="1" max="1" width="3.7109375" style="5" customWidth="1"/>
    <col min="2" max="2" width="34.28515625" customWidth="1"/>
    <col min="3" max="3" width="3.7109375" customWidth="1"/>
    <col min="4" max="4" width="32.140625" customWidth="1"/>
    <col min="5" max="5" width="3.7109375" customWidth="1"/>
    <col min="6" max="11" width="4.7109375" style="5" customWidth="1"/>
    <col min="12" max="12" width="73.140625" customWidth="1"/>
    <col min="13" max="13" width="37.28515625" customWidth="1"/>
    <col min="14" max="85" width="13" hidden="1" customWidth="1"/>
    <col min="86" max="155" width="0" hidden="1" customWidth="1"/>
  </cols>
  <sheetData>
    <row r="1" spans="1:155" ht="13.9" customHeight="1" x14ac:dyDescent="0.25">
      <c r="A1" s="14"/>
      <c r="B1" s="15" t="s">
        <v>0</v>
      </c>
      <c r="C1" s="16"/>
      <c r="D1" s="16"/>
      <c r="E1" s="16"/>
      <c r="F1" s="31" t="s">
        <v>1</v>
      </c>
      <c r="G1" s="33"/>
      <c r="H1" s="33"/>
      <c r="I1" s="32" t="s">
        <v>2</v>
      </c>
      <c r="J1" s="33"/>
      <c r="K1" s="33"/>
      <c r="L1" s="6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27</v>
      </c>
      <c r="AK1" s="2" t="s">
        <v>28</v>
      </c>
      <c r="AL1" s="2" t="s">
        <v>29</v>
      </c>
      <c r="AM1" s="2" t="s">
        <v>30</v>
      </c>
      <c r="AN1" s="2" t="s">
        <v>31</v>
      </c>
      <c r="AO1" s="2" t="s">
        <v>32</v>
      </c>
      <c r="AP1" s="2" t="s">
        <v>33</v>
      </c>
      <c r="AQ1" s="2" t="s">
        <v>34</v>
      </c>
      <c r="AR1" s="2" t="s">
        <v>35</v>
      </c>
      <c r="AS1" s="2" t="s">
        <v>36</v>
      </c>
      <c r="AT1" s="2" t="s">
        <v>37</v>
      </c>
      <c r="AU1" s="2" t="s">
        <v>38</v>
      </c>
      <c r="AV1" s="2" t="s">
        <v>39</v>
      </c>
      <c r="AW1" s="2" t="s">
        <v>40</v>
      </c>
      <c r="AX1" s="2" t="s">
        <v>41</v>
      </c>
      <c r="AY1" s="2" t="s">
        <v>42</v>
      </c>
      <c r="AZ1" s="2" t="s">
        <v>43</v>
      </c>
      <c r="BA1" s="2" t="s">
        <v>44</v>
      </c>
      <c r="BB1" s="2" t="s">
        <v>45</v>
      </c>
      <c r="BC1" s="2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s="2" t="s">
        <v>77</v>
      </c>
      <c r="CI1" s="2" t="s">
        <v>78</v>
      </c>
      <c r="CJ1" s="2" t="s">
        <v>79</v>
      </c>
      <c r="CK1" s="2" t="s">
        <v>80</v>
      </c>
      <c r="CL1" s="2" t="s">
        <v>81</v>
      </c>
      <c r="CM1" s="2" t="s">
        <v>82</v>
      </c>
      <c r="CN1" s="2" t="s">
        <v>83</v>
      </c>
      <c r="CO1" s="2" t="s">
        <v>84</v>
      </c>
      <c r="CP1" s="2" t="s">
        <v>85</v>
      </c>
      <c r="CQ1" s="2" t="s">
        <v>86</v>
      </c>
      <c r="CR1" s="2" t="s">
        <v>87</v>
      </c>
      <c r="CS1" s="2" t="s">
        <v>88</v>
      </c>
      <c r="CT1" s="2" t="s">
        <v>89</v>
      </c>
      <c r="CU1" s="2" t="s">
        <v>90</v>
      </c>
      <c r="CV1" s="2" t="s">
        <v>91</v>
      </c>
      <c r="CW1" s="2" t="s">
        <v>92</v>
      </c>
      <c r="CX1" s="2" t="s">
        <v>93</v>
      </c>
      <c r="CY1" s="2" t="s">
        <v>94</v>
      </c>
      <c r="CZ1" s="2" t="s">
        <v>95</v>
      </c>
      <c r="DA1" s="2" t="s">
        <v>96</v>
      </c>
      <c r="DB1" s="2" t="s">
        <v>97</v>
      </c>
      <c r="DC1" s="2" t="s">
        <v>98</v>
      </c>
      <c r="DD1" s="2" t="s">
        <v>99</v>
      </c>
      <c r="DE1" s="2" t="s">
        <v>100</v>
      </c>
      <c r="DF1" s="2" t="s">
        <v>101</v>
      </c>
      <c r="DG1" s="2" t="s">
        <v>102</v>
      </c>
      <c r="DH1" s="2" t="s">
        <v>103</v>
      </c>
      <c r="DI1" s="2" t="s">
        <v>104</v>
      </c>
      <c r="DJ1" s="2" t="s">
        <v>105</v>
      </c>
      <c r="DK1" s="2" t="s">
        <v>106</v>
      </c>
      <c r="DL1" s="2" t="s">
        <v>107</v>
      </c>
      <c r="DM1" s="2" t="s">
        <v>108</v>
      </c>
      <c r="DN1" s="2" t="s">
        <v>109</v>
      </c>
      <c r="DO1" s="2" t="s">
        <v>110</v>
      </c>
      <c r="DP1" s="2" t="s">
        <v>111</v>
      </c>
      <c r="DQ1" s="2" t="s">
        <v>112</v>
      </c>
      <c r="DR1" s="2" t="s">
        <v>113</v>
      </c>
      <c r="DS1" s="2" t="s">
        <v>114</v>
      </c>
      <c r="DT1" s="2" t="s">
        <v>115</v>
      </c>
      <c r="DU1" s="2" t="s">
        <v>116</v>
      </c>
      <c r="DV1" s="2" t="s">
        <v>117</v>
      </c>
      <c r="DW1" s="2" t="s">
        <v>118</v>
      </c>
      <c r="DX1" s="2" t="s">
        <v>119</v>
      </c>
      <c r="DY1" s="2" t="s">
        <v>120</v>
      </c>
      <c r="DZ1" s="2" t="s">
        <v>121</v>
      </c>
      <c r="EA1" s="2" t="s">
        <v>122</v>
      </c>
      <c r="EB1" s="2" t="s">
        <v>123</v>
      </c>
      <c r="EC1" s="2" t="s">
        <v>124</v>
      </c>
      <c r="ED1" s="2" t="s">
        <v>125</v>
      </c>
      <c r="EE1" s="2" t="s">
        <v>126</v>
      </c>
      <c r="EF1" s="2" t="s">
        <v>127</v>
      </c>
      <c r="EG1" s="2" t="s">
        <v>128</v>
      </c>
      <c r="EH1" s="2" t="s">
        <v>129</v>
      </c>
      <c r="EI1" s="2" t="s">
        <v>130</v>
      </c>
      <c r="EJ1" s="2" t="s">
        <v>131</v>
      </c>
      <c r="EK1" s="2" t="s">
        <v>132</v>
      </c>
      <c r="EL1" s="2" t="s">
        <v>133</v>
      </c>
      <c r="EM1" s="2" t="s">
        <v>134</v>
      </c>
      <c r="EN1" s="2" t="s">
        <v>135</v>
      </c>
      <c r="EO1" s="2" t="s">
        <v>136</v>
      </c>
      <c r="EP1" s="2" t="s">
        <v>137</v>
      </c>
      <c r="EQ1" s="2" t="s">
        <v>138</v>
      </c>
      <c r="ER1" s="2" t="s">
        <v>139</v>
      </c>
      <c r="ES1" s="2" t="s">
        <v>140</v>
      </c>
      <c r="ET1" s="2" t="s">
        <v>141</v>
      </c>
      <c r="EU1" s="2" t="s">
        <v>142</v>
      </c>
      <c r="EV1" s="2" t="s">
        <v>143</v>
      </c>
      <c r="EW1" s="2" t="s">
        <v>144</v>
      </c>
      <c r="EX1" s="2" t="s">
        <v>145</v>
      </c>
      <c r="EY1" s="2" t="s">
        <v>146</v>
      </c>
    </row>
    <row r="2" spans="1:155" ht="13.9" customHeight="1" x14ac:dyDescent="0.25">
      <c r="A2" s="7"/>
      <c r="B2" s="17"/>
      <c r="C2" s="8"/>
      <c r="D2" s="17"/>
      <c r="E2" s="8"/>
      <c r="F2" s="18">
        <v>0</v>
      </c>
      <c r="G2" s="7" t="s">
        <v>147</v>
      </c>
      <c r="H2" s="18">
        <v>0</v>
      </c>
      <c r="I2" s="19">
        <v>0</v>
      </c>
      <c r="J2" s="7" t="s">
        <v>147</v>
      </c>
      <c r="K2" s="19">
        <v>0</v>
      </c>
      <c r="L2" s="9"/>
      <c r="M2" s="3" t="str">
        <f>IF($L2="","",IF($L2="DOELPUNTENMAKERS","",IF(AND(COUNTIF(#REF!,$B2)=0,COUNTIF(#REF!,$D2)=0),"OK",IF($O2&gt;20,"LET OP: meer dan 20 items (controle onvolledig)",IF((COUNTIF($R2:$AS2,"ONZEKER")+COUNTIF($CJ2:$DK2,"ONZEKER"))&gt;0,"LET OP: scoreverloop onduidelijk (controle beperkt)",IF((IF($AT2&lt;&gt;"",$AT2&amp;", ","")&amp;IF($AU2&lt;&gt;"",$AU2&amp;", ","")&amp;IF($AV2&lt;&gt;"",$AV2&amp;", ","")&amp;IF($AW2&lt;&gt;"",$AW2&amp;", ","")&amp;IF($AX2&lt;&gt;"",$AX2&amp;", ","")&amp;IF($AY2&lt;&gt;"",$AY2&amp;", ","")&amp;IF($AZ2&lt;&gt;"",$AZ2&amp;", ","")&amp;IF($BA2&lt;&gt;"",$BA2&amp;", ","")&amp;IF($BB2&lt;&gt;"",$BB2&amp;", ","")&amp;IF($BC2&lt;&gt;"",$BC2&amp;", ","")&amp;IF($DL2&lt;&gt;"",$DL2&amp;", ","")&amp;IF($DM2&lt;&gt;"",$DM2&amp;", ","")&amp;IF($DN2&lt;&gt;"",$DN2&amp;", ","")&amp;IF($DO2&lt;&gt;"",$DO2&amp;", ","")&amp;IF($DP2&lt;&gt;"",$DP2&amp;", ","")&amp;IF($DQ2&lt;&gt;"",$DQ2&amp;", ","")&amp;IF($DR2&lt;&gt;"",$DR2&amp;", ","")&amp;IF($DS2&lt;&gt;"",$DS2&amp;", ","")&amp;IF($DT2&lt;&gt;"",$DT2&amp;", ","")&amp;IF($DU2&lt;&gt;"",$DU2&amp;", ",""))="","OK","Onbekend: "&amp;LEFT((IF($AT2&lt;&gt;"",$AT2&amp;", ","")&amp;IF($AU2&lt;&gt;"",$AU2&amp;", ","")&amp;IF($AV2&lt;&gt;"",$AV2&amp;", ","")&amp;IF($AW2&lt;&gt;"",$AW2&amp;", ","")&amp;IF($AX2&lt;&gt;"",$AX2&amp;", ","")&amp;IF($AY2&lt;&gt;"",$AY2&amp;", ","")&amp;IF($AZ2&lt;&gt;"",$AZ2&amp;", ","")&amp;IF($BA2&lt;&gt;"",$BA2&amp;", ","")&amp;IF($BB2&lt;&gt;"",$BB2&amp;", ","")&amp;IF($BC2&lt;&gt;"",$BC2&amp;", ","")&amp;IF($DL2&lt;&gt;"",$DL2&amp;", ","")&amp;IF($DM2&lt;&gt;"",$DM2&amp;", ","")&amp;IF($DN2&lt;&gt;"",$DN2&amp;", ","")&amp;IF($DO2&lt;&gt;"",$DO2&amp;", ","")&amp;IF($DP2&lt;&gt;"",$DP2&amp;", ","")&amp;IF($DQ2&lt;&gt;"",$DQ2&amp;", ","")&amp;IF($DR2&lt;&gt;"",$DR2&amp;", ","")&amp;IF($DS2&lt;&gt;"",$DS2&amp;", ","")&amp;IF($DT2&lt;&gt;"",$DT2&amp;", ","")&amp;IF($DU2&lt;&gt;"",$DU2&amp;", ","")),LEN((IF($AT2&lt;&gt;"",$AT2&amp;", ","")&amp;IF($AU2&lt;&gt;"",$AU2&amp;", ","")&amp;IF($AV2&lt;&gt;"",$AV2&amp;", ","")&amp;IF($AW2&lt;&gt;"",$AW2&amp;", ","")&amp;IF($AX2&lt;&gt;"",$AX2&amp;", ","")&amp;IF($AY2&lt;&gt;"",$AY2&amp;", ","")&amp;IF($AZ2&lt;&gt;"",$AZ2&amp;", ","")&amp;IF($BA2&lt;&gt;"",$BA2&amp;", ","")&amp;IF($BB2&lt;&gt;"",$BB2&amp;", ","")&amp;IF($BC2&lt;&gt;"",$BC2&amp;", ","")&amp;IF($DL2&lt;&gt;"",$DL2&amp;", ","")&amp;IF($DM2&lt;&gt;"",$DM2&amp;", ","")&amp;IF($DN2&lt;&gt;"",$DN2&amp;", ","")&amp;IF($DO2&lt;&gt;"",$DO2&amp;", ","")&amp;IF($DP2&lt;&gt;"",$DP2&amp;", ","")&amp;IF($DQ2&lt;&gt;"",$DQ2&amp;", ","")&amp;IF($DR2&lt;&gt;"",$DR2&amp;", ","")&amp;IF($DS2&lt;&gt;"",$DS2&amp;", ","")&amp;IF($DT2&lt;&gt;"",$DT2&amp;", ","")&amp;IF($DU2&lt;&gt;"",$DU2&amp;", ","")))-2)))))))</f>
        <v/>
      </c>
      <c r="N2" t="str">
        <f t="shared" ref="N2:N13" si="0">IF($L2="","",TRIM(IF(RIGHT(SUBSTITUTE($L2,CHAR(160)," "),1)=".",LEFT(SUBSTITUTE($L2,CHAR(160)," "),LEN(SUBSTITUTE($L2,CHAR(160)," "))-1),SUBSTITUTE($L2,CHAR(160)," "))))</f>
        <v/>
      </c>
      <c r="O2" t="str">
        <f t="shared" ref="O2:O13" si="1">IF($N2="","",LEN($N2)-LEN(SUBSTITUTE($N2,",",""))+1)</f>
        <v/>
      </c>
      <c r="P2" t="str">
        <f t="shared" ref="P2:P13" si="2">IF($N2="","",TRIM(MID(SUBSTITUTE($N2,",",REPT(" ",200)),1,200)))</f>
        <v/>
      </c>
      <c r="Q2" t="str">
        <f t="shared" ref="Q2:Q13" si="3">IF(P2="","",TRIM(IFERROR(LEFT(P2,FIND("§",SUBSTITUTE(P2," ","§",LEN(P2)-LEN(SUBSTITUTE(P2," ",""))))-1),P2)))</f>
        <v/>
      </c>
      <c r="R2" t="str">
        <f>IF($Q2="","",IF(OR($BE2="",$BF2=""),"ONZEKER",IF(AND($BE2=0+1,$BF2=0),IF(OR(COUNTIF(#REF!,$B2)&gt;0,COUNTIF(#REF!,$B2)=0),"SKIP",IF(COUNTIFS(#REF!,$B2,#REF!,$Q2)&gt;0,"OK","ONBEKEND")),IF(AND($BE2=0,$BF2=0+1),IF(OR(COUNTIF(#REF!,$D2)&gt;0,COUNTIF(#REF!,$D2)=0),"SKIP",IF(COUNTIFS(#REF!,$D2,#REF!,$Q2)&gt;0,"OK","ONBEKEND")),"ONZEKER"))))</f>
        <v/>
      </c>
      <c r="S2" t="str">
        <f t="shared" ref="S2:S13" si="4">IF($N2="","",TRIM(MID(SUBSTITUTE($N2,",",REPT(" ",200)),201,200)))</f>
        <v/>
      </c>
      <c r="T2" t="str">
        <f t="shared" ref="T2:T13" si="5">IF(S2="","",TRIM(IFERROR(LEFT(S2,FIND("§",SUBSTITUTE(S2," ","§",LEN(S2)-LEN(SUBSTITUTE(S2," ",""))))-1),S2)))</f>
        <v/>
      </c>
      <c r="U2" t="str">
        <f>IF($T2="","",IF(OR($BH2="",$BI2=""),"ONZEKER",IF(OR($BE2="",$BF2=""),"ONZEKER",IF(AND($BH2=$BE2+1,$BI2=$BF2),IF(OR(COUNTIF(#REF!,$B2)&gt;0,COUNTIF(#REF!,$B2)=0),"SKIP",IF(COUNTIFS(#REF!,$B2,#REF!,$T2)&gt;0,"OK","ONBEKEND")),IF(AND($BH2=$BE2,$BI2=$BF2+1),IF(OR(COUNTIF(#REF!,$D2)&gt;0,COUNTIF(#REF!,$D2)=0),"SKIP",IF(COUNTIFS(#REF!,$D2,#REF!,$T2)&gt;0,"OK","ONBEKEND")),"ONZEKER")))))</f>
        <v/>
      </c>
      <c r="V2" t="str">
        <f t="shared" ref="V2:V13" si="6">IF($N2="","",TRIM(MID(SUBSTITUTE($N2,",",REPT(" ",200)),401,200)))</f>
        <v/>
      </c>
      <c r="W2" t="str">
        <f t="shared" ref="W2:W13" si="7">IF(V2="","",TRIM(IFERROR(LEFT(V2,FIND("§",SUBSTITUTE(V2," ","§",LEN(V2)-LEN(SUBSTITUTE(V2," ",""))))-1),V2)))</f>
        <v/>
      </c>
      <c r="X2" t="str">
        <f>IF($W2="","",IF(OR($BK2="",$BL2=""),"ONZEKER",IF(OR($BH2="",$BI2=""),"ONZEKER",IF(AND($BK2=$BH2+1,$BL2=$BI2),IF(OR(COUNTIF(#REF!,$B2)&gt;0,COUNTIF(#REF!,$B2)=0),"SKIP",IF(COUNTIFS(#REF!,$B2,#REF!,$W2)&gt;0,"OK","ONBEKEND")),IF(AND($BK2=$BH2,$BL2=$BI2+1),IF(OR(COUNTIF(#REF!,$D2)&gt;0,COUNTIF(#REF!,$D2)=0),"SKIP",IF(COUNTIFS(#REF!,$D2,#REF!,$W2)&gt;0,"OK","ONBEKEND")),"ONZEKER")))))</f>
        <v/>
      </c>
      <c r="Y2" t="str">
        <f t="shared" ref="Y2:Y13" si="8">IF($N2="","",TRIM(MID(SUBSTITUTE($N2,",",REPT(" ",200)),601,200)))</f>
        <v/>
      </c>
      <c r="Z2" t="str">
        <f t="shared" ref="Z2:Z13" si="9">IF(Y2="","",TRIM(IFERROR(LEFT(Y2,FIND("§",SUBSTITUTE(Y2," ","§",LEN(Y2)-LEN(SUBSTITUTE(Y2," ",""))))-1),Y2)))</f>
        <v/>
      </c>
      <c r="AA2" t="str">
        <f>IF($Z2="","",IF(OR($BN2="",$BO2=""),"ONZEKER",IF(OR($BK2="",$BL2=""),"ONZEKER",IF(AND($BN2=$BK2+1,$BO2=$BL2),IF(OR(COUNTIF(#REF!,$B2)&gt;0,COUNTIF(#REF!,$B2)=0),"SKIP",IF(COUNTIFS(#REF!,$B2,#REF!,$Z2)&gt;0,"OK","ONBEKEND")),IF(AND($BN2=$BK2,$BO2=$BL2+1),IF(OR(COUNTIF(#REF!,$D2)&gt;0,COUNTIF(#REF!,$D2)=0),"SKIP",IF(COUNTIFS(#REF!,$D2,#REF!,$Z2)&gt;0,"OK","ONBEKEND")),"ONZEKER")))))</f>
        <v/>
      </c>
      <c r="AB2" t="str">
        <f t="shared" ref="AB2:AB13" si="10">IF($N2="","",TRIM(MID(SUBSTITUTE($N2,",",REPT(" ",200)),801,200)))</f>
        <v/>
      </c>
      <c r="AC2" t="str">
        <f t="shared" ref="AC2:AC13" si="11">IF(AB2="","",TRIM(IFERROR(LEFT(AB2,FIND("§",SUBSTITUTE(AB2," ","§",LEN(AB2)-LEN(SUBSTITUTE(AB2," ",""))))-1),AB2)))</f>
        <v/>
      </c>
      <c r="AD2" t="str">
        <f>IF($AC2="","",IF(OR($BQ2="",$BR2=""),"ONZEKER",IF(OR($BN2="",$BO2=""),"ONZEKER",IF(AND($BQ2=$BN2+1,$BR2=$BO2),IF(OR(COUNTIF(#REF!,$B2)&gt;0,COUNTIF(#REF!,$B2)=0),"SKIP",IF(COUNTIFS(#REF!,$B2,#REF!,$AC2)&gt;0,"OK","ONBEKEND")),IF(AND($BQ2=$BN2,$BR2=$BO2+1),IF(OR(COUNTIF(#REF!,$D2)&gt;0,COUNTIF(#REF!,$D2)=0),"SKIP",IF(COUNTIFS(#REF!,$D2,#REF!,$AC2)&gt;0,"OK","ONBEKEND")),"ONZEKER")))))</f>
        <v/>
      </c>
      <c r="AE2" t="str">
        <f t="shared" ref="AE2:AE13" si="12">IF($N2="","",TRIM(MID(SUBSTITUTE($N2,",",REPT(" ",200)),1001,200)))</f>
        <v/>
      </c>
      <c r="AF2" t="str">
        <f t="shared" ref="AF2:AF13" si="13">IF(AE2="","",TRIM(IFERROR(LEFT(AE2,FIND("§",SUBSTITUTE(AE2," ","§",LEN(AE2)-LEN(SUBSTITUTE(AE2," ",""))))-1),AE2)))</f>
        <v/>
      </c>
      <c r="AG2" t="str">
        <f>IF($AF2="","",IF(OR($BT2="",$BU2=""),"ONZEKER",IF(OR($BQ2="",$BR2=""),"ONZEKER",IF(AND($BT2=$BQ2+1,$BU2=$BR2),IF(OR(COUNTIF(#REF!,$B2)&gt;0,COUNTIF(#REF!,$B2)=0),"SKIP",IF(COUNTIFS(#REF!,$B2,#REF!,$AF2)&gt;0,"OK","ONBEKEND")),IF(AND($BT2=$BQ2,$BU2=$BR2+1),IF(OR(COUNTIF(#REF!,$D2)&gt;0,COUNTIF(#REF!,$D2)=0),"SKIP",IF(COUNTIFS(#REF!,$D2,#REF!,$AF2)&gt;0,"OK","ONBEKEND")),"ONZEKER")))))</f>
        <v/>
      </c>
      <c r="AH2" t="str">
        <f t="shared" ref="AH2:AH13" si="14">IF($N2="","",TRIM(MID(SUBSTITUTE($N2,",",REPT(" ",200)),1201,200)))</f>
        <v/>
      </c>
      <c r="AI2" t="str">
        <f t="shared" ref="AI2:AI13" si="15">IF(AH2="","",TRIM(IFERROR(LEFT(AH2,FIND("§",SUBSTITUTE(AH2," ","§",LEN(AH2)-LEN(SUBSTITUTE(AH2," ",""))))-1),AH2)))</f>
        <v/>
      </c>
      <c r="AJ2" t="str">
        <f>IF($AI2="","",IF(OR($BW2="",$BX2=""),"ONZEKER",IF(OR($BT2="",$BU2=""),"ONZEKER",IF(AND($BW2=$BT2+1,$BX2=$BU2),IF(OR(COUNTIF(#REF!,$B2)&gt;0,COUNTIF(#REF!,$B2)=0),"SKIP",IF(COUNTIFS(#REF!,$B2,#REF!,$AI2)&gt;0,"OK","ONBEKEND")),IF(AND($BW2=$BT2,$BX2=$BU2+1),IF(OR(COUNTIF(#REF!,$D2)&gt;0,COUNTIF(#REF!,$D2)=0),"SKIP",IF(COUNTIFS(#REF!,$D2,#REF!,$AI2)&gt;0,"OK","ONBEKEND")),"ONZEKER")))))</f>
        <v/>
      </c>
      <c r="AK2" t="str">
        <f t="shared" ref="AK2:AK13" si="16">IF($N2="","",TRIM(MID(SUBSTITUTE($N2,",",REPT(" ",200)),1401,200)))</f>
        <v/>
      </c>
      <c r="AL2" t="str">
        <f t="shared" ref="AL2:AL13" si="17">IF(AK2="","",TRIM(IFERROR(LEFT(AK2,FIND("§",SUBSTITUTE(AK2," ","§",LEN(AK2)-LEN(SUBSTITUTE(AK2," ",""))))-1),AK2)))</f>
        <v/>
      </c>
      <c r="AM2" t="str">
        <f>IF($AL2="","",IF(OR($BZ2="",$CA2=""),"ONZEKER",IF(OR($BW2="",$BX2=""),"ONZEKER",IF(AND($BZ2=$BW2+1,$CA2=$BX2),IF(OR(COUNTIF(#REF!,$B2)&gt;0,COUNTIF(#REF!,$B2)=0),"SKIP",IF(COUNTIFS(#REF!,$B2,#REF!,$AL2)&gt;0,"OK","ONBEKEND")),IF(AND($BZ2=$BW2,$CA2=$BX2+1),IF(OR(COUNTIF(#REF!,$D2)&gt;0,COUNTIF(#REF!,$D2)=0),"SKIP",IF(COUNTIFS(#REF!,$D2,#REF!,$AL2)&gt;0,"OK","ONBEKEND")),"ONZEKER")))))</f>
        <v/>
      </c>
      <c r="AN2" t="str">
        <f t="shared" ref="AN2:AN13" si="18">IF($N2="","",TRIM(MID(SUBSTITUTE($N2,",",REPT(" ",200)),1601,200)))</f>
        <v/>
      </c>
      <c r="AO2" t="str">
        <f t="shared" ref="AO2:AO13" si="19">IF(AN2="","",TRIM(IFERROR(LEFT(AN2,FIND("§",SUBSTITUTE(AN2," ","§",LEN(AN2)-LEN(SUBSTITUTE(AN2," ",""))))-1),AN2)))</f>
        <v/>
      </c>
      <c r="AP2" t="str">
        <f>IF($AO2="","",IF(OR($CC2="",$CD2=""),"ONZEKER",IF(OR($BZ2="",$CA2=""),"ONZEKER",IF(AND($CC2=$BZ2+1,$CD2=$CA2),IF(OR(COUNTIF(#REF!,$B2)&gt;0,COUNTIF(#REF!,$B2)=0),"SKIP",IF(COUNTIFS(#REF!,$B2,#REF!,$AO2)&gt;0,"OK","ONBEKEND")),IF(AND($CC2=$BZ2,$CD2=$CA2+1),IF(OR(COUNTIF(#REF!,$D2)&gt;0,COUNTIF(#REF!,$D2)=0),"SKIP",IF(COUNTIFS(#REF!,$D2,#REF!,$AO2)&gt;0,"OK","ONBEKEND")),"ONZEKER")))))</f>
        <v/>
      </c>
      <c r="AQ2" t="str">
        <f t="shared" ref="AQ2:AQ13" si="20">IF($N2="","",TRIM(MID(SUBSTITUTE($N2,",",REPT(" ",200)),1801,200)))</f>
        <v/>
      </c>
      <c r="AR2" t="str">
        <f t="shared" ref="AR2:AR13" si="21">IF(AQ2="","",TRIM(IFERROR(LEFT(AQ2,FIND("§",SUBSTITUTE(AQ2," ","§",LEN(AQ2)-LEN(SUBSTITUTE(AQ2," ",""))))-1),AQ2)))</f>
        <v/>
      </c>
      <c r="AS2" t="str">
        <f>IF($AR2="","",IF(OR($CF2="",$CG2=""),"ONZEKER",IF(OR($CC2="",$CD2=""),"ONZEKER",IF(AND($CF2=$CC2+1,$CG2=$CD2),IF(OR(COUNTIF(#REF!,$B2)&gt;0,COUNTIF(#REF!,$B2)=0),"SKIP",IF(COUNTIFS(#REF!,$B2,#REF!,$AR2)&gt;0,"OK","ONBEKEND")),IF(AND($CF2=$CC2,$CG2=$CD2+1),IF(OR(COUNTIF(#REF!,$D2)&gt;0,COUNTIF(#REF!,$D2)=0),"SKIP",IF(COUNTIFS(#REF!,$D2,#REF!,$AR2)&gt;0,"OK","ONBEKEND")),"ONZEKER")))))</f>
        <v/>
      </c>
      <c r="AT2" t="str">
        <f t="shared" ref="AT2:AT13" si="22">IF(R2="ONBEKEND",Q2,"")</f>
        <v/>
      </c>
      <c r="AU2" t="str">
        <f t="shared" ref="AU2:AU13" si="23">IF(U2="ONBEKEND",T2,"")</f>
        <v/>
      </c>
      <c r="AV2" t="str">
        <f t="shared" ref="AV2:AV13" si="24">IF(X2="ONBEKEND",W2,"")</f>
        <v/>
      </c>
      <c r="AW2" t="str">
        <f t="shared" ref="AW2:AW13" si="25">IF(AA2="ONBEKEND",Z2,"")</f>
        <v/>
      </c>
      <c r="AX2" t="str">
        <f t="shared" ref="AX2:AX13" si="26">IF(AD2="ONBEKEND",AC2,"")</f>
        <v/>
      </c>
      <c r="AY2" t="str">
        <f t="shared" ref="AY2:AY13" si="27">IF(AG2="ONBEKEND",AF2,"")</f>
        <v/>
      </c>
      <c r="AZ2" t="str">
        <f t="shared" ref="AZ2:AZ13" si="28">IF(AJ2="ONBEKEND",AI2,"")</f>
        <v/>
      </c>
      <c r="BA2" t="str">
        <f t="shared" ref="BA2:BA13" si="29">IF(AM2="ONBEKEND",AL2,"")</f>
        <v/>
      </c>
      <c r="BB2" t="str">
        <f t="shared" ref="BB2:BB13" si="30">IF(AP2="ONBEKEND",AO2,"")</f>
        <v/>
      </c>
      <c r="BC2" t="str">
        <f t="shared" ref="BC2:BC13" si="31">IF(AS2="ONBEKEND",AR2,"")</f>
        <v/>
      </c>
      <c r="BD2" t="str">
        <f t="shared" ref="BD2:BD65" si="32">IF($P2="","",TRIM(IFERROR(RIGHT($P2,LEN($P2)-FIND("§",SUBSTITUTE($P2," ","§",LEN($P2)-LEN(SUBSTITUTE($P2," ",""))))),"")))</f>
        <v/>
      </c>
      <c r="BE2" t="str">
        <f t="shared" ref="BE2:BE65" si="33">IF($BD2="","",IFERROR(VALUE(LEFT($BD2,FIND("-",$BD2)-1)),""))</f>
        <v/>
      </c>
      <c r="BF2" t="str">
        <f t="shared" ref="BF2:BF65" si="34">IF($BD2="","",IFERROR(VALUE(MID($BD2,FIND("-",$BD2)+1,99)),""))</f>
        <v/>
      </c>
      <c r="BG2" t="str">
        <f t="shared" ref="BG2:BG65" si="35">IF($S2="","",TRIM(IFERROR(RIGHT($S2,LEN($S2)-FIND("§",SUBSTITUTE($S2," ","§",LEN($S2)-LEN(SUBSTITUTE($S2," ",""))))),"")))</f>
        <v/>
      </c>
      <c r="BH2" t="str">
        <f t="shared" ref="BH2:BH65" si="36">IF($BG2="","",IFERROR(VALUE(LEFT($BG2,FIND("-",$BG2)-1)),""))</f>
        <v/>
      </c>
      <c r="BI2" t="str">
        <f t="shared" ref="BI2:BI65" si="37">IF($BG2="","",IFERROR(VALUE(MID($BG2,FIND("-",$BG2)+1,99)),""))</f>
        <v/>
      </c>
      <c r="BJ2" t="str">
        <f t="shared" ref="BJ2:BJ65" si="38">IF($V2="","",TRIM(IFERROR(RIGHT($V2,LEN($V2)-FIND("§",SUBSTITUTE($V2," ","§",LEN($V2)-LEN(SUBSTITUTE($V2," ",""))))),"")))</f>
        <v/>
      </c>
      <c r="BK2" t="str">
        <f t="shared" ref="BK2:BK65" si="39">IF($BJ2="","",IFERROR(VALUE(LEFT($BJ2,FIND("-",$BJ2)-1)),""))</f>
        <v/>
      </c>
      <c r="BL2" t="str">
        <f t="shared" ref="BL2:BL65" si="40">IF($BJ2="","",IFERROR(VALUE(MID($BJ2,FIND("-",$BJ2)+1,99)),""))</f>
        <v/>
      </c>
      <c r="BM2" t="str">
        <f t="shared" ref="BM2:BM65" si="41">IF($Y2="","",TRIM(IFERROR(RIGHT($Y2,LEN($Y2)-FIND("§",SUBSTITUTE($Y2," ","§",LEN($Y2)-LEN(SUBSTITUTE($Y2," ",""))))),"")))</f>
        <v/>
      </c>
      <c r="BN2" t="str">
        <f t="shared" ref="BN2:BN65" si="42">IF($BM2="","",IFERROR(VALUE(LEFT($BM2,FIND("-",$BM2)-1)),""))</f>
        <v/>
      </c>
      <c r="BO2" t="str">
        <f t="shared" ref="BO2:BO65" si="43">IF($BM2="","",IFERROR(VALUE(MID($BM2,FIND("-",$BM2)+1,99)),""))</f>
        <v/>
      </c>
      <c r="BP2" t="str">
        <f t="shared" ref="BP2:BP65" si="44">IF($AB2="","",TRIM(IFERROR(RIGHT($AB2,LEN($AB2)-FIND("§",SUBSTITUTE($AB2," ","§",LEN($AB2)-LEN(SUBSTITUTE($AB2," ",""))))),"")))</f>
        <v/>
      </c>
      <c r="BQ2" t="str">
        <f t="shared" ref="BQ2:BQ65" si="45">IF($BP2="","",IFERROR(VALUE(LEFT($BP2,FIND("-",$BP2)-1)),""))</f>
        <v/>
      </c>
      <c r="BR2" t="str">
        <f t="shared" ref="BR2:BR65" si="46">IF($BP2="","",IFERROR(VALUE(MID($BP2,FIND("-",$BP2)+1,99)),""))</f>
        <v/>
      </c>
      <c r="BS2" t="str">
        <f t="shared" ref="BS2:BS65" si="47">IF($AE2="","",TRIM(IFERROR(RIGHT($AE2,LEN($AE2)-FIND("§",SUBSTITUTE($AE2," ","§",LEN($AE2)-LEN(SUBSTITUTE($AE2," ",""))))),"")))</f>
        <v/>
      </c>
      <c r="BT2" t="str">
        <f t="shared" ref="BT2:BT65" si="48">IF($BS2="","",IFERROR(VALUE(LEFT($BS2,FIND("-",$BS2)-1)),""))</f>
        <v/>
      </c>
      <c r="BU2" t="str">
        <f t="shared" ref="BU2:BU65" si="49">IF($BS2="","",IFERROR(VALUE(MID($BS2,FIND("-",$BS2)+1,99)),""))</f>
        <v/>
      </c>
      <c r="BV2" t="str">
        <f t="shared" ref="BV2:BV65" si="50">IF($AH2="","",TRIM(IFERROR(RIGHT($AH2,LEN($AH2)-FIND("§",SUBSTITUTE($AH2," ","§",LEN($AH2)-LEN(SUBSTITUTE($AH2," ",""))))),"")))</f>
        <v/>
      </c>
      <c r="BW2" t="str">
        <f t="shared" ref="BW2:BW65" si="51">IF($BV2="","",IFERROR(VALUE(LEFT($BV2,FIND("-",$BV2)-1)),""))</f>
        <v/>
      </c>
      <c r="BX2" t="str">
        <f t="shared" ref="BX2:BX65" si="52">IF($BV2="","",IFERROR(VALUE(MID($BV2,FIND("-",$BV2)+1,99)),""))</f>
        <v/>
      </c>
      <c r="BY2" t="str">
        <f t="shared" ref="BY2:BY65" si="53">IF($AK2="","",TRIM(IFERROR(RIGHT($AK2,LEN($AK2)-FIND("§",SUBSTITUTE($AK2," ","§",LEN($AK2)-LEN(SUBSTITUTE($AK2," ",""))))),"")))</f>
        <v/>
      </c>
      <c r="BZ2" t="str">
        <f t="shared" ref="BZ2:BZ65" si="54">IF($BY2="","",IFERROR(VALUE(LEFT($BY2,FIND("-",$BY2)-1)),""))</f>
        <v/>
      </c>
      <c r="CA2" t="str">
        <f t="shared" ref="CA2:CA65" si="55">IF($BY2="","",IFERROR(VALUE(MID($BY2,FIND("-",$BY2)+1,99)),""))</f>
        <v/>
      </c>
      <c r="CB2" t="str">
        <f t="shared" ref="CB2:CB65" si="56">IF($AN2="","",TRIM(IFERROR(RIGHT($AN2,LEN($AN2)-FIND("§",SUBSTITUTE($AN2," ","§",LEN($AN2)-LEN(SUBSTITUTE($AN2," ",""))))),"")))</f>
        <v/>
      </c>
      <c r="CC2" t="str">
        <f t="shared" ref="CC2:CC65" si="57">IF($CB2="","",IFERROR(VALUE(LEFT($CB2,FIND("-",$CB2)-1)),""))</f>
        <v/>
      </c>
      <c r="CD2" t="str">
        <f t="shared" ref="CD2:CD65" si="58">IF($CB2="","",IFERROR(VALUE(MID($CB2,FIND("-",$CB2)+1,99)),""))</f>
        <v/>
      </c>
      <c r="CE2" t="str">
        <f t="shared" ref="CE2:CE65" si="59">IF($AQ2="","",TRIM(IFERROR(RIGHT($AQ2,LEN($AQ2)-FIND("§",SUBSTITUTE($AQ2," ","§",LEN($AQ2)-LEN(SUBSTITUTE($AQ2," ",""))))),"")))</f>
        <v/>
      </c>
      <c r="CF2" t="str">
        <f t="shared" ref="CF2:CF65" si="60">IF($CE2="","",IFERROR(VALUE(LEFT($CE2,FIND("-",$CE2)-1)),""))</f>
        <v/>
      </c>
      <c r="CG2" t="str">
        <f t="shared" ref="CG2:CG65" si="61">IF($CE2="","",IFERROR(VALUE(MID($CE2,FIND("-",$CE2)+1,99)),""))</f>
        <v/>
      </c>
      <c r="CH2" t="str">
        <f t="shared" ref="CH2:CH13" si="62">IF($N2="","",TRIM(MID(SUBSTITUTE($N2,",",REPT(" ",200)),2001,200)))</f>
        <v/>
      </c>
      <c r="CI2" t="str">
        <f t="shared" ref="CI2:CI13" si="63">IF(CH2="","",TRIM(IFERROR(LEFT(CH2,FIND("§",SUBSTITUTE(CH2," ","§",LEN(CH2)-LEN(SUBSTITUTE(CH2," ",""))))-1),CH2)))</f>
        <v/>
      </c>
      <c r="CJ2" t="str">
        <f>IF($CI2="","",IF(OR($DW2="",$DX2=""),"ONZEKER",IF(OR($CF2="",$CG2=""),"ONZEKER",IF(AND($DW2=$CF2+1,$DX2=$CG2),IF(OR(COUNTIF(#REF!,$B2)&gt;0,COUNTIF(#REF!,$B2)=0),"SKIP",IF(COUNTIFS(#REF!,$B2,#REF!,$CI2)&gt;0,"OK","ONBEKEND")),IF(AND($DW2=$CF2,$DX2=$CG2+1),IF(OR(COUNTIF(#REF!,$D2)&gt;0,COUNTIF(#REF!,$D2)=0),"SKIP",IF(COUNTIFS(#REF!,$D2,#REF!,$CI2)&gt;0,"OK","ONBEKEND")),"ONZEKER")))))</f>
        <v/>
      </c>
      <c r="CK2" t="str">
        <f t="shared" ref="CK2:CK13" si="64">IF($N2="","",TRIM(MID(SUBSTITUTE($N2,",",REPT(" ",200)),2201,200)))</f>
        <v/>
      </c>
      <c r="CL2" t="str">
        <f t="shared" ref="CL2:CL13" si="65">IF(CK2="","",TRIM(IFERROR(LEFT(CK2,FIND("§",SUBSTITUTE(CK2," ","§",LEN(CK2)-LEN(SUBSTITUTE(CK2," ",""))))-1),CK2)))</f>
        <v/>
      </c>
      <c r="CM2" t="str">
        <f>IF($CL2="","",IF(OR($DZ2="",$EA2=""),"ONZEKER",IF(OR($DW2="",$DX2=""),"ONZEKER",IF(AND($DZ2=$DW2+1,$EA2=$DX2),IF(OR(COUNTIF(#REF!,$B2)&gt;0,COUNTIF(#REF!,$B2)=0),"SKIP",IF(COUNTIFS(#REF!,$B2,#REF!,$CL2)&gt;0,"OK","ONBEKEND")),IF(AND($DZ2=$DW2,$EA2=$DX2+1),IF(OR(COUNTIF(#REF!,$D2)&gt;0,COUNTIF(#REF!,$D2)=0),"SKIP",IF(COUNTIFS(#REF!,$D2,#REF!,$CL2)&gt;0,"OK","ONBEKEND")),"ONZEKER")))))</f>
        <v/>
      </c>
      <c r="CN2" t="str">
        <f t="shared" ref="CN2:CN13" si="66">IF($N2="","",TRIM(MID(SUBSTITUTE($N2,",",REPT(" ",200)),2401,200)))</f>
        <v/>
      </c>
      <c r="CO2" t="str">
        <f t="shared" ref="CO2:CO13" si="67">IF(CN2="","",TRIM(IFERROR(LEFT(CN2,FIND("§",SUBSTITUTE(CN2," ","§",LEN(CN2)-LEN(SUBSTITUTE(CN2," ",""))))-1),CN2)))</f>
        <v/>
      </c>
      <c r="CP2" t="str">
        <f>IF($CO2="","",IF(OR($EC2="",$ED2=""),"ONZEKER",IF(OR($DZ2="",$EA2=""),"ONZEKER",IF(AND($EC2=$DZ2+1,$ED2=$EA2),IF(OR(COUNTIF(#REF!,$B2)&gt;0,COUNTIF(#REF!,$B2)=0),"SKIP",IF(COUNTIFS(#REF!,$B2,#REF!,$CO2)&gt;0,"OK","ONBEKEND")),IF(AND($EC2=$DZ2,$ED2=$EA2+1),IF(OR(COUNTIF(#REF!,$D2)&gt;0,COUNTIF(#REF!,$D2)=0),"SKIP",IF(COUNTIFS(#REF!,$D2,#REF!,$CO2)&gt;0,"OK","ONBEKEND")),"ONZEKER")))))</f>
        <v/>
      </c>
      <c r="CQ2" t="str">
        <f t="shared" ref="CQ2:CQ13" si="68">IF($N2="","",TRIM(MID(SUBSTITUTE($N2,",",REPT(" ",200)),2601,200)))</f>
        <v/>
      </c>
      <c r="CR2" t="str">
        <f t="shared" ref="CR2:CR13" si="69">IF(CQ2="","",TRIM(IFERROR(LEFT(CQ2,FIND("§",SUBSTITUTE(CQ2," ","§",LEN(CQ2)-LEN(SUBSTITUTE(CQ2," ",""))))-1),CQ2)))</f>
        <v/>
      </c>
      <c r="CS2" t="str">
        <f>IF($CR2="","",IF(OR($EF2="",$EG2=""),"ONZEKER",IF(OR($EC2="",$ED2=""),"ONZEKER",IF(AND($EF2=$EC2+1,$EG2=$ED2),IF(OR(COUNTIF(#REF!,$B2)&gt;0,COUNTIF(#REF!,$B2)=0),"SKIP",IF(COUNTIFS(#REF!,$B2,#REF!,$CR2)&gt;0,"OK","ONBEKEND")),IF(AND($EF2=$EC2,$EG2=$ED2+1),IF(OR(COUNTIF(#REF!,$D2)&gt;0,COUNTIF(#REF!,$D2)=0),"SKIP",IF(COUNTIFS(#REF!,$D2,#REF!,$CR2)&gt;0,"OK","ONBEKEND")),"ONZEKER")))))</f>
        <v/>
      </c>
      <c r="CT2" t="str">
        <f t="shared" ref="CT2:CT13" si="70">IF($N2="","",TRIM(MID(SUBSTITUTE($N2,",",REPT(" ",200)),2801,200)))</f>
        <v/>
      </c>
      <c r="CU2" t="str">
        <f t="shared" ref="CU2:CU13" si="71">IF(CT2="","",TRIM(IFERROR(LEFT(CT2,FIND("§",SUBSTITUTE(CT2," ","§",LEN(CT2)-LEN(SUBSTITUTE(CT2," ",""))))-1),CT2)))</f>
        <v/>
      </c>
      <c r="CV2" t="str">
        <f>IF($CU2="","",IF(OR($EI2="",$EJ2=""),"ONZEKER",IF(OR($EF2="",$EG2=""),"ONZEKER",IF(AND($EI2=$EF2+1,$EJ2=$EG2),IF(OR(COUNTIF(#REF!,$B2)&gt;0,COUNTIF(#REF!,$B2)=0),"SKIP",IF(COUNTIFS(#REF!,$B2,#REF!,$CU2)&gt;0,"OK","ONBEKEND")),IF(AND($EI2=$EF2,$EJ2=$EG2+1),IF(OR(COUNTIF(#REF!,$D2)&gt;0,COUNTIF(#REF!,$D2)=0),"SKIP",IF(COUNTIFS(#REF!,$D2,#REF!,$CU2)&gt;0,"OK","ONBEKEND")),"ONZEKER")))))</f>
        <v/>
      </c>
      <c r="CW2" t="str">
        <f t="shared" ref="CW2:CW13" si="72">IF($N2="","",TRIM(MID(SUBSTITUTE($N2,",",REPT(" ",200)),3001,200)))</f>
        <v/>
      </c>
      <c r="CX2" t="str">
        <f t="shared" ref="CX2:CX13" si="73">IF(CW2="","",TRIM(IFERROR(LEFT(CW2,FIND("§",SUBSTITUTE(CW2," ","§",LEN(CW2)-LEN(SUBSTITUTE(CW2," ",""))))-1),CW2)))</f>
        <v/>
      </c>
      <c r="CY2" t="str">
        <f>IF($CX2="","",IF(OR($EL2="",$EM2=""),"ONZEKER",IF(OR($EI2="",$EJ2=""),"ONZEKER",IF(AND($EL2=$EI2+1,$EM2=$EJ2),IF(OR(COUNTIF(#REF!,$B2)&gt;0,COUNTIF(#REF!,$B2)=0),"SKIP",IF(COUNTIFS(#REF!,$B2,#REF!,$CX2)&gt;0,"OK","ONBEKEND")),IF(AND($EL2=$EI2,$EM2=$EJ2+1),IF(OR(COUNTIF(#REF!,$D2)&gt;0,COUNTIF(#REF!,$D2)=0),"SKIP",IF(COUNTIFS(#REF!,$D2,#REF!,$CX2)&gt;0,"OK","ONBEKEND")),"ONZEKER")))))</f>
        <v/>
      </c>
      <c r="CZ2" t="str">
        <f t="shared" ref="CZ2:CZ13" si="74">IF($N2="","",TRIM(MID(SUBSTITUTE($N2,",",REPT(" ",200)),3201,200)))</f>
        <v/>
      </c>
      <c r="DA2" t="str">
        <f t="shared" ref="DA2:DA13" si="75">IF(CZ2="","",TRIM(IFERROR(LEFT(CZ2,FIND("§",SUBSTITUTE(CZ2," ","§",LEN(CZ2)-LEN(SUBSTITUTE(CZ2," ",""))))-1),CZ2)))</f>
        <v/>
      </c>
      <c r="DB2" t="str">
        <f>IF($DA2="","",IF(OR($EO2="",$EP2=""),"ONZEKER",IF(OR($EL2="",$EM2=""),"ONZEKER",IF(AND($EO2=$EL2+1,$EP2=$EM2),IF(OR(COUNTIF(#REF!,$B2)&gt;0,COUNTIF(#REF!,$B2)=0),"SKIP",IF(COUNTIFS(#REF!,$B2,#REF!,$DA2)&gt;0,"OK","ONBEKEND")),IF(AND($EO2=$EL2,$EP2=$EM2+1),IF(OR(COUNTIF(#REF!,$D2)&gt;0,COUNTIF(#REF!,$D2)=0),"SKIP",IF(COUNTIFS(#REF!,$D2,#REF!,$DA2)&gt;0,"OK","ONBEKEND")),"ONZEKER")))))</f>
        <v/>
      </c>
      <c r="DC2" t="str">
        <f t="shared" ref="DC2:DC13" si="76">IF($N2="","",TRIM(MID(SUBSTITUTE($N2,",",REPT(" ",200)),3401,200)))</f>
        <v/>
      </c>
      <c r="DD2" t="str">
        <f t="shared" ref="DD2:DD13" si="77">IF(DC2="","",TRIM(IFERROR(LEFT(DC2,FIND("§",SUBSTITUTE(DC2," ","§",LEN(DC2)-LEN(SUBSTITUTE(DC2," ",""))))-1),DC2)))</f>
        <v/>
      </c>
      <c r="DE2" t="str">
        <f>IF($DD2="","",IF(OR($ER2="",$ES2=""),"ONZEKER",IF(OR($EO2="",$EP2=""),"ONZEKER",IF(AND($ER2=$EO2+1,$ES2=$EP2),IF(OR(COUNTIF(#REF!,$B2)&gt;0,COUNTIF(#REF!,$B2)=0),"SKIP",IF(COUNTIFS(#REF!,$B2,#REF!,$DD2)&gt;0,"OK","ONBEKEND")),IF(AND($ER2=$EO2,$ES2=$EP2+1),IF(OR(COUNTIF(#REF!,$D2)&gt;0,COUNTIF(#REF!,$D2)=0),"SKIP",IF(COUNTIFS(#REF!,$D2,#REF!,$DD2)&gt;0,"OK","ONBEKEND")),"ONZEKER")))))</f>
        <v/>
      </c>
      <c r="DF2" t="str">
        <f t="shared" ref="DF2:DF13" si="78">IF($N2="","",TRIM(MID(SUBSTITUTE($N2,",",REPT(" ",200)),3601,200)))</f>
        <v/>
      </c>
      <c r="DG2" t="str">
        <f t="shared" ref="DG2:DG13" si="79">IF(DF2="","",TRIM(IFERROR(LEFT(DF2,FIND("§",SUBSTITUTE(DF2," ","§",LEN(DF2)-LEN(SUBSTITUTE(DF2," ",""))))-1),DF2)))</f>
        <v/>
      </c>
      <c r="DH2" t="str">
        <f>IF($DG2="","",IF(OR($EU2="",$EV2=""),"ONZEKER",IF(OR($ER2="",$ES2=""),"ONZEKER",IF(AND($EU2=$ER2+1,$EV2=$ES2),IF(OR(COUNTIF(#REF!,$B2)&gt;0,COUNTIF(#REF!,$B2)=0),"SKIP",IF(COUNTIFS(#REF!,$B2,#REF!,$DG2)&gt;0,"OK","ONBEKEND")),IF(AND($EU2=$ER2,$EV2=$ES2+1),IF(OR(COUNTIF(#REF!,$D2)&gt;0,COUNTIF(#REF!,$D2)=0),"SKIP",IF(COUNTIFS(#REF!,$D2,#REF!,$DG2)&gt;0,"OK","ONBEKEND")),"ONZEKER")))))</f>
        <v/>
      </c>
      <c r="DI2" t="str">
        <f t="shared" ref="DI2:DI13" si="80">IF($N2="","",TRIM(MID(SUBSTITUTE($N2,",",REPT(" ",200)),3801,200)))</f>
        <v/>
      </c>
      <c r="DJ2" t="str">
        <f t="shared" ref="DJ2:DJ13" si="81">IF(DI2="","",TRIM(IFERROR(LEFT(DI2,FIND("§",SUBSTITUTE(DI2," ","§",LEN(DI2)-LEN(SUBSTITUTE(DI2," ",""))))-1),DI2)))</f>
        <v/>
      </c>
      <c r="DK2" t="str">
        <f>IF($DJ2="","",IF(OR($EX2="",$EY2=""),"ONZEKER",IF(OR($EU2="",$EV2=""),"ONZEKER",IF(AND($EX2=$EU2+1,$EY2=$EV2),IF(OR(COUNTIF(#REF!,$B2)&gt;0,COUNTIF(#REF!,$B2)=0),"SKIP",IF(COUNTIFS(#REF!,$B2,#REF!,$DJ2)&gt;0,"OK","ONBEKEND")),IF(AND($EX2=$EU2,$EY2=$EV2+1),IF(OR(COUNTIF(#REF!,$D2)&gt;0,COUNTIF(#REF!,$D2)=0),"SKIP",IF(COUNTIFS(#REF!,$D2,#REF!,$DJ2)&gt;0,"OK","ONBEKEND")),"ONZEKER")))))</f>
        <v/>
      </c>
      <c r="DL2" t="str">
        <f t="shared" ref="DL2:DL13" si="82">IF($CJ2="ONBEKEND",$CI2,"")</f>
        <v/>
      </c>
      <c r="DM2" t="str">
        <f t="shared" ref="DM2:DM13" si="83">IF($CM2="ONBEKEND",$CL2,"")</f>
        <v/>
      </c>
      <c r="DN2" t="str">
        <f t="shared" ref="DN2:DN13" si="84">IF($CP2="ONBEKEND",$CO2,"")</f>
        <v/>
      </c>
      <c r="DO2" t="str">
        <f t="shared" ref="DO2:DO13" si="85">IF($CS2="ONBEKEND",$CR2,"")</f>
        <v/>
      </c>
      <c r="DP2" t="str">
        <f t="shared" ref="DP2:DP13" si="86">IF($CV2="ONBEKEND",$CU2,"")</f>
        <v/>
      </c>
      <c r="DQ2" t="str">
        <f t="shared" ref="DQ2:DQ13" si="87">IF($CY2="ONBEKEND",$CX2,"")</f>
        <v/>
      </c>
      <c r="DR2" t="str">
        <f t="shared" ref="DR2:DR13" si="88">IF($DB2="ONBEKEND",$DA2,"")</f>
        <v/>
      </c>
      <c r="DS2" t="str">
        <f t="shared" ref="DS2:DS13" si="89">IF($DE2="ONBEKEND",$DD2,"")</f>
        <v/>
      </c>
      <c r="DT2" t="str">
        <f t="shared" ref="DT2:DT13" si="90">IF($DH2="ONBEKEND",$DG2,"")</f>
        <v/>
      </c>
      <c r="DU2" t="str">
        <f t="shared" ref="DU2:DU13" si="91">IF($DK2="ONBEKEND",$DJ2,"")</f>
        <v/>
      </c>
      <c r="DV2" t="str">
        <f t="shared" ref="DV2:DV13" si="92">IF($CH2="","",TRIM(IFERROR(RIGHT($CH2,LEN($CH2)-FIND("§",SUBSTITUTE($CH2," ","§",LEN($CH2)-LEN(SUBSTITUTE($CH2," ",""))))),"")))</f>
        <v/>
      </c>
      <c r="DW2" t="str">
        <f t="shared" ref="DW2:DW13" si="93">IF($DV2="","",IFERROR(VALUE(LEFT($DV2,FIND("-",$DV2)-1)),""))</f>
        <v/>
      </c>
      <c r="DX2" t="str">
        <f t="shared" ref="DX2:DX13" si="94">IF($DV2="","",IFERROR(VALUE(MID($DV2,FIND("-",$DV2)+1,99)),""))</f>
        <v/>
      </c>
      <c r="DY2" t="str">
        <f t="shared" ref="DY2:DY13" si="95">IF($CK2="","",TRIM(IFERROR(RIGHT($CK2,LEN($CK2)-FIND("§",SUBSTITUTE($CK2," ","§",LEN($CK2)-LEN(SUBSTITUTE($CK2," ",""))))),"")))</f>
        <v/>
      </c>
      <c r="DZ2" t="str">
        <f t="shared" ref="DZ2:DZ13" si="96">IF($DY2="","",IFERROR(VALUE(LEFT($DY2,FIND("-",$DY2)-1)),""))</f>
        <v/>
      </c>
      <c r="EA2" t="str">
        <f t="shared" ref="EA2:EA13" si="97">IF($DY2="","",IFERROR(VALUE(MID($DY2,FIND("-",$DY2)+1,99)),""))</f>
        <v/>
      </c>
      <c r="EB2" t="str">
        <f t="shared" ref="EB2:EB13" si="98">IF($CN2="","",TRIM(IFERROR(RIGHT($CN2,LEN($CN2)-FIND("§",SUBSTITUTE($CN2," ","§",LEN($CN2)-LEN(SUBSTITUTE($CN2," ",""))))),"")))</f>
        <v/>
      </c>
      <c r="EC2" t="str">
        <f t="shared" ref="EC2:EC13" si="99">IF($EB2="","",IFERROR(VALUE(LEFT($EB2,FIND("-",$EB2)-1)),""))</f>
        <v/>
      </c>
      <c r="ED2" t="str">
        <f t="shared" ref="ED2:ED13" si="100">IF($EB2="","",IFERROR(VALUE(MID($EB2,FIND("-",$EB2)+1,99)),""))</f>
        <v/>
      </c>
      <c r="EE2" t="str">
        <f t="shared" ref="EE2:EE13" si="101">IF($CQ2="","",TRIM(IFERROR(RIGHT($CQ2,LEN($CQ2)-FIND("§",SUBSTITUTE($CQ2," ","§",LEN($CQ2)-LEN(SUBSTITUTE($CQ2," ",""))))),"")))</f>
        <v/>
      </c>
      <c r="EF2" t="str">
        <f t="shared" ref="EF2:EF13" si="102">IF($EE2="","",IFERROR(VALUE(LEFT($EE2,FIND("-",$EE2)-1)),""))</f>
        <v/>
      </c>
      <c r="EG2" t="str">
        <f t="shared" ref="EG2:EG13" si="103">IF($EE2="","",IFERROR(VALUE(MID($EE2,FIND("-",$EE2)+1,99)),""))</f>
        <v/>
      </c>
      <c r="EH2" t="str">
        <f t="shared" ref="EH2:EH13" si="104">IF($CT2="","",TRIM(IFERROR(RIGHT($CT2,LEN($CT2)-FIND("§",SUBSTITUTE($CT2," ","§",LEN($CT2)-LEN(SUBSTITUTE($CT2," ",""))))),"")))</f>
        <v/>
      </c>
      <c r="EI2" t="str">
        <f t="shared" ref="EI2:EI13" si="105">IF($EH2="","",IFERROR(VALUE(LEFT($EH2,FIND("-",$EH2)-1)),""))</f>
        <v/>
      </c>
      <c r="EJ2" t="str">
        <f t="shared" ref="EJ2:EJ13" si="106">IF($EH2="","",IFERROR(VALUE(MID($EH2,FIND("-",$EH2)+1,99)),""))</f>
        <v/>
      </c>
      <c r="EK2" t="str">
        <f t="shared" ref="EK2:EK13" si="107">IF($CW2="","",TRIM(IFERROR(RIGHT($CW2,LEN($CW2)-FIND("§",SUBSTITUTE($CW2," ","§",LEN($CW2)-LEN(SUBSTITUTE($CW2," ",""))))),"")))</f>
        <v/>
      </c>
      <c r="EL2" t="str">
        <f t="shared" ref="EL2:EL13" si="108">IF($EK2="","",IFERROR(VALUE(LEFT($EK2,FIND("-",$EK2)-1)),""))</f>
        <v/>
      </c>
      <c r="EM2" t="str">
        <f t="shared" ref="EM2:EM13" si="109">IF($EK2="","",IFERROR(VALUE(MID($EK2,FIND("-",$EK2)+1,99)),""))</f>
        <v/>
      </c>
      <c r="EN2" t="str">
        <f t="shared" ref="EN2:EN13" si="110">IF($CZ2="","",TRIM(IFERROR(RIGHT($CZ2,LEN($CZ2)-FIND("§",SUBSTITUTE($CZ2," ","§",LEN($CZ2)-LEN(SUBSTITUTE($CZ2," ",""))))),"")))</f>
        <v/>
      </c>
      <c r="EO2" t="str">
        <f t="shared" ref="EO2:EO13" si="111">IF($EN2="","",IFERROR(VALUE(LEFT($EN2,FIND("-",$EN2)-1)),""))</f>
        <v/>
      </c>
      <c r="EP2" t="str">
        <f t="shared" ref="EP2:EP13" si="112">IF($EN2="","",IFERROR(VALUE(MID($EN2,FIND("-",$EN2)+1,99)),""))</f>
        <v/>
      </c>
      <c r="EQ2" t="str">
        <f t="shared" ref="EQ2:EQ13" si="113">IF($DC2="","",TRIM(IFERROR(RIGHT($DC2,LEN($DC2)-FIND("§",SUBSTITUTE($DC2," ","§",LEN($DC2)-LEN(SUBSTITUTE($DC2," ",""))))),"")))</f>
        <v/>
      </c>
      <c r="ER2" t="str">
        <f t="shared" ref="ER2:ER13" si="114">IF($EQ2="","",IFERROR(VALUE(LEFT($EQ2,FIND("-",$EQ2)-1)),""))</f>
        <v/>
      </c>
      <c r="ES2" t="str">
        <f t="shared" ref="ES2:ES13" si="115">IF($EQ2="","",IFERROR(VALUE(MID($EQ2,FIND("-",$EQ2)+1,99)),""))</f>
        <v/>
      </c>
      <c r="ET2" t="str">
        <f t="shared" ref="ET2:ET13" si="116">IF($DF2="","",TRIM(IFERROR(RIGHT($DF2,LEN($DF2)-FIND("§",SUBSTITUTE($DF2," ","§",LEN($DF2)-LEN(SUBSTITUTE($DF2," ",""))))),"")))</f>
        <v/>
      </c>
      <c r="EU2" t="str">
        <f t="shared" ref="EU2:EU13" si="117">IF($ET2="","",IFERROR(VALUE(LEFT($ET2,FIND("-",$ET2)-1)),""))</f>
        <v/>
      </c>
      <c r="EV2" t="str">
        <f t="shared" ref="EV2:EV13" si="118">IF($ET2="","",IFERROR(VALUE(MID($ET2,FIND("-",$ET2)+1,99)),""))</f>
        <v/>
      </c>
      <c r="EW2" t="str">
        <f t="shared" ref="EW2:EW13" si="119">IF($DI2="","",TRIM(IFERROR(RIGHT($DI2,LEN($DI2)-FIND("§",SUBSTITUTE($DI2," ","§",LEN($DI2)-LEN(SUBSTITUTE($DI2," ",""))))),"")))</f>
        <v/>
      </c>
      <c r="EX2" t="str">
        <f t="shared" ref="EX2:EX13" si="120">IF($EW2="","",IFERROR(VALUE(LEFT($EW2,FIND("-",$EW2)-1)),""))</f>
        <v/>
      </c>
      <c r="EY2" t="str">
        <f t="shared" ref="EY2:EY13" si="121">IF($EW2="","",IFERROR(VALUE(MID($EW2,FIND("-",$EW2)+1,99)),""))</f>
        <v/>
      </c>
    </row>
    <row r="3" spans="1:155" ht="13.9" customHeight="1" x14ac:dyDescent="0.25">
      <c r="A3" s="7"/>
      <c r="B3" s="17"/>
      <c r="C3" s="8"/>
      <c r="D3" s="17"/>
      <c r="E3" s="8"/>
      <c r="F3" s="18">
        <v>0</v>
      </c>
      <c r="G3" s="7" t="s">
        <v>147</v>
      </c>
      <c r="H3" s="18">
        <v>0</v>
      </c>
      <c r="I3" s="19">
        <v>0</v>
      </c>
      <c r="J3" s="7" t="s">
        <v>147</v>
      </c>
      <c r="K3" s="19">
        <v>0</v>
      </c>
      <c r="L3" s="9"/>
      <c r="M3" s="3" t="str">
        <f>IF($L3="","",IF($L3="DOELPUNTENMAKERS","",IF(AND(COUNTIF(#REF!,$B3)=0,COUNTIF(#REF!,$D3)=0),"OK",IF($O3&gt;20,"LET OP: meer dan 20 items (controle onvolledig)",IF((COUNTIF($R3:$AS3,"ONZEKER")+COUNTIF($CJ3:$DK3,"ONZEKER"))&gt;0,"LET OP: scoreverloop onduidelijk (controle beperkt)",IF((IF($AT3&lt;&gt;"",$AT3&amp;", ","")&amp;IF($AU3&lt;&gt;"",$AU3&amp;", ","")&amp;IF($AV3&lt;&gt;"",$AV3&amp;", ","")&amp;IF($AW3&lt;&gt;"",$AW3&amp;", ","")&amp;IF($AX3&lt;&gt;"",$AX3&amp;", ","")&amp;IF($AY3&lt;&gt;"",$AY3&amp;", ","")&amp;IF($AZ3&lt;&gt;"",$AZ3&amp;", ","")&amp;IF($BA3&lt;&gt;"",$BA3&amp;", ","")&amp;IF($BB3&lt;&gt;"",$BB3&amp;", ","")&amp;IF($BC3&lt;&gt;"",$BC3&amp;", ","")&amp;IF($DL3&lt;&gt;"",$DL3&amp;", ","")&amp;IF($DM3&lt;&gt;"",$DM3&amp;", ","")&amp;IF($DN3&lt;&gt;"",$DN3&amp;", ","")&amp;IF($DO3&lt;&gt;"",$DO3&amp;", ","")&amp;IF($DP3&lt;&gt;"",$DP3&amp;", ","")&amp;IF($DQ3&lt;&gt;"",$DQ3&amp;", ","")&amp;IF($DR3&lt;&gt;"",$DR3&amp;", ","")&amp;IF($DS3&lt;&gt;"",$DS3&amp;", ","")&amp;IF($DT3&lt;&gt;"",$DT3&amp;", ","")&amp;IF($DU3&lt;&gt;"",$DU3&amp;", ",""))="","OK","Onbekend: "&amp;LEFT((IF($AT3&lt;&gt;"",$AT3&amp;", ","")&amp;IF($AU3&lt;&gt;"",$AU3&amp;", ","")&amp;IF($AV3&lt;&gt;"",$AV3&amp;", ","")&amp;IF($AW3&lt;&gt;"",$AW3&amp;", ","")&amp;IF($AX3&lt;&gt;"",$AX3&amp;", ","")&amp;IF($AY3&lt;&gt;"",$AY3&amp;", ","")&amp;IF($AZ3&lt;&gt;"",$AZ3&amp;", ","")&amp;IF($BA3&lt;&gt;"",$BA3&amp;", ","")&amp;IF($BB3&lt;&gt;"",$BB3&amp;", ","")&amp;IF($BC3&lt;&gt;"",$BC3&amp;", ","")&amp;IF($DL3&lt;&gt;"",$DL3&amp;", ","")&amp;IF($DM3&lt;&gt;"",$DM3&amp;", ","")&amp;IF($DN3&lt;&gt;"",$DN3&amp;", ","")&amp;IF($DO3&lt;&gt;"",$DO3&amp;", ","")&amp;IF($DP3&lt;&gt;"",$DP3&amp;", ","")&amp;IF($DQ3&lt;&gt;"",$DQ3&amp;", ","")&amp;IF($DR3&lt;&gt;"",$DR3&amp;", ","")&amp;IF($DS3&lt;&gt;"",$DS3&amp;", ","")&amp;IF($DT3&lt;&gt;"",$DT3&amp;", ","")&amp;IF($DU3&lt;&gt;"",$DU3&amp;", ","")),LEN((IF($AT3&lt;&gt;"",$AT3&amp;", ","")&amp;IF($AU3&lt;&gt;"",$AU3&amp;", ","")&amp;IF($AV3&lt;&gt;"",$AV3&amp;", ","")&amp;IF($AW3&lt;&gt;"",$AW3&amp;", ","")&amp;IF($AX3&lt;&gt;"",$AX3&amp;", ","")&amp;IF($AY3&lt;&gt;"",$AY3&amp;", ","")&amp;IF($AZ3&lt;&gt;"",$AZ3&amp;", ","")&amp;IF($BA3&lt;&gt;"",$BA3&amp;", ","")&amp;IF($BB3&lt;&gt;"",$BB3&amp;", ","")&amp;IF($BC3&lt;&gt;"",$BC3&amp;", ","")&amp;IF($DL3&lt;&gt;"",$DL3&amp;", ","")&amp;IF($DM3&lt;&gt;"",$DM3&amp;", ","")&amp;IF($DN3&lt;&gt;"",$DN3&amp;", ","")&amp;IF($DO3&lt;&gt;"",$DO3&amp;", ","")&amp;IF($DP3&lt;&gt;"",$DP3&amp;", ","")&amp;IF($DQ3&lt;&gt;"",$DQ3&amp;", ","")&amp;IF($DR3&lt;&gt;"",$DR3&amp;", ","")&amp;IF($DS3&lt;&gt;"",$DS3&amp;", ","")&amp;IF($DT3&lt;&gt;"",$DT3&amp;", ","")&amp;IF($DU3&lt;&gt;"",$DU3&amp;", ","")))-2)))))))</f>
        <v/>
      </c>
      <c r="N3" t="str">
        <f t="shared" si="0"/>
        <v/>
      </c>
      <c r="O3" t="str">
        <f t="shared" si="1"/>
        <v/>
      </c>
      <c r="P3" t="str">
        <f t="shared" si="2"/>
        <v/>
      </c>
      <c r="Q3" t="str">
        <f t="shared" si="3"/>
        <v/>
      </c>
      <c r="R3" t="str">
        <f>IF($Q3="","",IF(OR($BE3="",$BF3=""),"ONZEKER",IF(AND($BE3=0+1,$BF3=0),IF(OR(COUNTIF(#REF!,$B3)&gt;0,COUNTIF(#REF!,$B3)=0),"SKIP",IF(COUNTIFS(#REF!,$B3,#REF!,$Q3)&gt;0,"OK","ONBEKEND")),IF(AND($BE3=0,$BF3=0+1),IF(OR(COUNTIF(#REF!,$D3)&gt;0,COUNTIF(#REF!,$D3)=0),"SKIP",IF(COUNTIFS(#REF!,$D3,#REF!,$Q3)&gt;0,"OK","ONBEKEND")),"ONZEKER"))))</f>
        <v/>
      </c>
      <c r="S3" t="str">
        <f t="shared" si="4"/>
        <v/>
      </c>
      <c r="T3" t="str">
        <f t="shared" si="5"/>
        <v/>
      </c>
      <c r="U3" t="str">
        <f>IF($T3="","",IF(OR($BH3="",$BI3=""),"ONZEKER",IF(OR($BE3="",$BF3=""),"ONZEKER",IF(AND($BH3=$BE3+1,$BI3=$BF3),IF(OR(COUNTIF(#REF!,$B3)&gt;0,COUNTIF(#REF!,$B3)=0),"SKIP",IF(COUNTIFS(#REF!,$B3,#REF!,$T3)&gt;0,"OK","ONBEKEND")),IF(AND($BH3=$BE3,$BI3=$BF3+1),IF(OR(COUNTIF(#REF!,$D3)&gt;0,COUNTIF(#REF!,$D3)=0),"SKIP",IF(COUNTIFS(#REF!,$D3,#REF!,$T3)&gt;0,"OK","ONBEKEND")),"ONZEKER")))))</f>
        <v/>
      </c>
      <c r="V3" t="str">
        <f t="shared" si="6"/>
        <v/>
      </c>
      <c r="W3" t="str">
        <f t="shared" si="7"/>
        <v/>
      </c>
      <c r="X3" t="str">
        <f>IF($W3="","",IF(OR($BK3="",$BL3=""),"ONZEKER",IF(OR($BH3="",$BI3=""),"ONZEKER",IF(AND($BK3=$BH3+1,$BL3=$BI3),IF(OR(COUNTIF(#REF!,$B3)&gt;0,COUNTIF(#REF!,$B3)=0),"SKIP",IF(COUNTIFS(#REF!,$B3,#REF!,$W3)&gt;0,"OK","ONBEKEND")),IF(AND($BK3=$BH3,$BL3=$BI3+1),IF(OR(COUNTIF(#REF!,$D3)&gt;0,COUNTIF(#REF!,$D3)=0),"SKIP",IF(COUNTIFS(#REF!,$D3,#REF!,$W3)&gt;0,"OK","ONBEKEND")),"ONZEKER")))))</f>
        <v/>
      </c>
      <c r="Y3" t="str">
        <f t="shared" si="8"/>
        <v/>
      </c>
      <c r="Z3" t="str">
        <f t="shared" si="9"/>
        <v/>
      </c>
      <c r="AA3" t="str">
        <f>IF($Z3="","",IF(OR($BN3="",$BO3=""),"ONZEKER",IF(OR($BK3="",$BL3=""),"ONZEKER",IF(AND($BN3=$BK3+1,$BO3=$BL3),IF(OR(COUNTIF(#REF!,$B3)&gt;0,COUNTIF(#REF!,$B3)=0),"SKIP",IF(COUNTIFS(#REF!,$B3,#REF!,$Z3)&gt;0,"OK","ONBEKEND")),IF(AND($BN3=$BK3,$BO3=$BL3+1),IF(OR(COUNTIF(#REF!,$D3)&gt;0,COUNTIF(#REF!,$D3)=0),"SKIP",IF(COUNTIFS(#REF!,$D3,#REF!,$Z3)&gt;0,"OK","ONBEKEND")),"ONZEKER")))))</f>
        <v/>
      </c>
      <c r="AB3" t="str">
        <f t="shared" si="10"/>
        <v/>
      </c>
      <c r="AC3" t="str">
        <f t="shared" si="11"/>
        <v/>
      </c>
      <c r="AD3" t="str">
        <f>IF($AC3="","",IF(OR($BQ3="",$BR3=""),"ONZEKER",IF(OR($BN3="",$BO3=""),"ONZEKER",IF(AND($BQ3=$BN3+1,$BR3=$BO3),IF(OR(COUNTIF(#REF!,$B3)&gt;0,COUNTIF(#REF!,$B3)=0),"SKIP",IF(COUNTIFS(#REF!,$B3,#REF!,$AC3)&gt;0,"OK","ONBEKEND")),IF(AND($BQ3=$BN3,$BR3=$BO3+1),IF(OR(COUNTIF(#REF!,$D3)&gt;0,COUNTIF(#REF!,$D3)=0),"SKIP",IF(COUNTIFS(#REF!,$D3,#REF!,$AC3)&gt;0,"OK","ONBEKEND")),"ONZEKER")))))</f>
        <v/>
      </c>
      <c r="AE3" t="str">
        <f t="shared" si="12"/>
        <v/>
      </c>
      <c r="AF3" t="str">
        <f t="shared" si="13"/>
        <v/>
      </c>
      <c r="AG3" t="str">
        <f>IF($AF3="","",IF(OR($BT3="",$BU3=""),"ONZEKER",IF(OR($BQ3="",$BR3=""),"ONZEKER",IF(AND($BT3=$BQ3+1,$BU3=$BR3),IF(OR(COUNTIF(#REF!,$B3)&gt;0,COUNTIF(#REF!,$B3)=0),"SKIP",IF(COUNTIFS(#REF!,$B3,#REF!,$AF3)&gt;0,"OK","ONBEKEND")),IF(AND($BT3=$BQ3,$BU3=$BR3+1),IF(OR(COUNTIF(#REF!,$D3)&gt;0,COUNTIF(#REF!,$D3)=0),"SKIP",IF(COUNTIFS(#REF!,$D3,#REF!,$AF3)&gt;0,"OK","ONBEKEND")),"ONZEKER")))))</f>
        <v/>
      </c>
      <c r="AH3" t="str">
        <f t="shared" si="14"/>
        <v/>
      </c>
      <c r="AI3" t="str">
        <f t="shared" si="15"/>
        <v/>
      </c>
      <c r="AJ3" t="str">
        <f>IF($AI3="","",IF(OR($BW3="",$BX3=""),"ONZEKER",IF(OR($BT3="",$BU3=""),"ONZEKER",IF(AND($BW3=$BT3+1,$BX3=$BU3),IF(OR(COUNTIF(#REF!,$B3)&gt;0,COUNTIF(#REF!,$B3)=0),"SKIP",IF(COUNTIFS(#REF!,$B3,#REF!,$AI3)&gt;0,"OK","ONBEKEND")),IF(AND($BW3=$BT3,$BX3=$BU3+1),IF(OR(COUNTIF(#REF!,$D3)&gt;0,COUNTIF(#REF!,$D3)=0),"SKIP",IF(COUNTIFS(#REF!,$D3,#REF!,$AI3)&gt;0,"OK","ONBEKEND")),"ONZEKER")))))</f>
        <v/>
      </c>
      <c r="AK3" t="str">
        <f t="shared" si="16"/>
        <v/>
      </c>
      <c r="AL3" t="str">
        <f t="shared" si="17"/>
        <v/>
      </c>
      <c r="AM3" t="str">
        <f>IF($AL3="","",IF(OR($BZ3="",$CA3=""),"ONZEKER",IF(OR($BW3="",$BX3=""),"ONZEKER",IF(AND($BZ3=$BW3+1,$CA3=$BX3),IF(OR(COUNTIF(#REF!,$B3)&gt;0,COUNTIF(#REF!,$B3)=0),"SKIP",IF(COUNTIFS(#REF!,$B3,#REF!,$AL3)&gt;0,"OK","ONBEKEND")),IF(AND($BZ3=$BW3,$CA3=$BX3+1),IF(OR(COUNTIF(#REF!,$D3)&gt;0,COUNTIF(#REF!,$D3)=0),"SKIP",IF(COUNTIFS(#REF!,$D3,#REF!,$AL3)&gt;0,"OK","ONBEKEND")),"ONZEKER")))))</f>
        <v/>
      </c>
      <c r="AN3" t="str">
        <f t="shared" si="18"/>
        <v/>
      </c>
      <c r="AO3" t="str">
        <f t="shared" si="19"/>
        <v/>
      </c>
      <c r="AP3" t="str">
        <f>IF($AO3="","",IF(OR($CC3="",$CD3=""),"ONZEKER",IF(OR($BZ3="",$CA3=""),"ONZEKER",IF(AND($CC3=$BZ3+1,$CD3=$CA3),IF(OR(COUNTIF(#REF!,$B3)&gt;0,COUNTIF(#REF!,$B3)=0),"SKIP",IF(COUNTIFS(#REF!,$B3,#REF!,$AO3)&gt;0,"OK","ONBEKEND")),IF(AND($CC3=$BZ3,$CD3=$CA3+1),IF(OR(COUNTIF(#REF!,$D3)&gt;0,COUNTIF(#REF!,$D3)=0),"SKIP",IF(COUNTIFS(#REF!,$D3,#REF!,$AO3)&gt;0,"OK","ONBEKEND")),"ONZEKER")))))</f>
        <v/>
      </c>
      <c r="AQ3" t="str">
        <f t="shared" si="20"/>
        <v/>
      </c>
      <c r="AR3" t="str">
        <f t="shared" si="21"/>
        <v/>
      </c>
      <c r="AS3" t="str">
        <f>IF($AR3="","",IF(OR($CF3="",$CG3=""),"ONZEKER",IF(OR($CC3="",$CD3=""),"ONZEKER",IF(AND($CF3=$CC3+1,$CG3=$CD3),IF(OR(COUNTIF(#REF!,$B3)&gt;0,COUNTIF(#REF!,$B3)=0),"SKIP",IF(COUNTIFS(#REF!,$B3,#REF!,$AR3)&gt;0,"OK","ONBEKEND")),IF(AND($CF3=$CC3,$CG3=$CD3+1),IF(OR(COUNTIF(#REF!,$D3)&gt;0,COUNTIF(#REF!,$D3)=0),"SKIP",IF(COUNTIFS(#REF!,$D3,#REF!,$AR3)&gt;0,"OK","ONBEKEND")),"ONZEKER")))))</f>
        <v/>
      </c>
      <c r="AT3" t="str">
        <f t="shared" si="22"/>
        <v/>
      </c>
      <c r="AU3" t="str">
        <f t="shared" si="23"/>
        <v/>
      </c>
      <c r="AV3" t="str">
        <f t="shared" si="24"/>
        <v/>
      </c>
      <c r="AW3" t="str">
        <f t="shared" si="25"/>
        <v/>
      </c>
      <c r="AX3" t="str">
        <f t="shared" si="26"/>
        <v/>
      </c>
      <c r="AY3" t="str">
        <f t="shared" si="27"/>
        <v/>
      </c>
      <c r="AZ3" t="str">
        <f t="shared" si="28"/>
        <v/>
      </c>
      <c r="BA3" t="str">
        <f t="shared" si="29"/>
        <v/>
      </c>
      <c r="BB3" t="str">
        <f t="shared" si="30"/>
        <v/>
      </c>
      <c r="BC3" t="str">
        <f t="shared" si="31"/>
        <v/>
      </c>
      <c r="BD3" t="str">
        <f t="shared" si="32"/>
        <v/>
      </c>
      <c r="BE3" t="str">
        <f t="shared" si="33"/>
        <v/>
      </c>
      <c r="BF3" t="str">
        <f t="shared" si="34"/>
        <v/>
      </c>
      <c r="BG3" t="str">
        <f t="shared" si="35"/>
        <v/>
      </c>
      <c r="BH3" t="str">
        <f t="shared" si="36"/>
        <v/>
      </c>
      <c r="BI3" t="str">
        <f t="shared" si="37"/>
        <v/>
      </c>
      <c r="BJ3" t="str">
        <f t="shared" si="38"/>
        <v/>
      </c>
      <c r="BK3" t="str">
        <f t="shared" si="39"/>
        <v/>
      </c>
      <c r="BL3" t="str">
        <f t="shared" si="40"/>
        <v/>
      </c>
      <c r="BM3" t="str">
        <f t="shared" si="41"/>
        <v/>
      </c>
      <c r="BN3" t="str">
        <f t="shared" si="42"/>
        <v/>
      </c>
      <c r="BO3" t="str">
        <f t="shared" si="43"/>
        <v/>
      </c>
      <c r="BP3" t="str">
        <f t="shared" si="44"/>
        <v/>
      </c>
      <c r="BQ3" t="str">
        <f t="shared" si="45"/>
        <v/>
      </c>
      <c r="BR3" t="str">
        <f t="shared" si="46"/>
        <v/>
      </c>
      <c r="BS3" t="str">
        <f t="shared" si="47"/>
        <v/>
      </c>
      <c r="BT3" t="str">
        <f t="shared" si="48"/>
        <v/>
      </c>
      <c r="BU3" t="str">
        <f t="shared" si="49"/>
        <v/>
      </c>
      <c r="BV3" t="str">
        <f t="shared" si="50"/>
        <v/>
      </c>
      <c r="BW3" t="str">
        <f t="shared" si="51"/>
        <v/>
      </c>
      <c r="BX3" t="str">
        <f t="shared" si="52"/>
        <v/>
      </c>
      <c r="BY3" t="str">
        <f t="shared" si="53"/>
        <v/>
      </c>
      <c r="BZ3" t="str">
        <f t="shared" si="54"/>
        <v/>
      </c>
      <c r="CA3" t="str">
        <f t="shared" si="55"/>
        <v/>
      </c>
      <c r="CB3" t="str">
        <f t="shared" si="56"/>
        <v/>
      </c>
      <c r="CC3" t="str">
        <f t="shared" si="57"/>
        <v/>
      </c>
      <c r="CD3" t="str">
        <f t="shared" si="58"/>
        <v/>
      </c>
      <c r="CE3" t="str">
        <f t="shared" si="59"/>
        <v/>
      </c>
      <c r="CF3" t="str">
        <f t="shared" si="60"/>
        <v/>
      </c>
      <c r="CG3" t="str">
        <f t="shared" si="61"/>
        <v/>
      </c>
      <c r="CH3" t="str">
        <f t="shared" si="62"/>
        <v/>
      </c>
      <c r="CI3" t="str">
        <f t="shared" si="63"/>
        <v/>
      </c>
      <c r="CJ3" t="str">
        <f>IF($CI3="","",IF(OR($DW3="",$DX3=""),"ONZEKER",IF(OR($CF3="",$CG3=""),"ONZEKER",IF(AND($DW3=$CF3+1,$DX3=$CG3),IF(OR(COUNTIF(#REF!,$B3)&gt;0,COUNTIF(#REF!,$B3)=0),"SKIP",IF(COUNTIFS(#REF!,$B3,#REF!,$CI3)&gt;0,"OK","ONBEKEND")),IF(AND($DW3=$CF3,$DX3=$CG3+1),IF(OR(COUNTIF(#REF!,$D3)&gt;0,COUNTIF(#REF!,$D3)=0),"SKIP",IF(COUNTIFS(#REF!,$D3,#REF!,$CI3)&gt;0,"OK","ONBEKEND")),"ONZEKER")))))</f>
        <v/>
      </c>
      <c r="CK3" t="str">
        <f t="shared" si="64"/>
        <v/>
      </c>
      <c r="CL3" t="str">
        <f t="shared" si="65"/>
        <v/>
      </c>
      <c r="CM3" t="str">
        <f>IF($CL3="","",IF(OR($DZ3="",$EA3=""),"ONZEKER",IF(OR($DW3="",$DX3=""),"ONZEKER",IF(AND($DZ3=$DW3+1,$EA3=$DX3),IF(OR(COUNTIF(#REF!,$B3)&gt;0,COUNTIF(#REF!,$B3)=0),"SKIP",IF(COUNTIFS(#REF!,$B3,#REF!,$CL3)&gt;0,"OK","ONBEKEND")),IF(AND($DZ3=$DW3,$EA3=$DX3+1),IF(OR(COUNTIF(#REF!,$D3)&gt;0,COUNTIF(#REF!,$D3)=0),"SKIP",IF(COUNTIFS(#REF!,$D3,#REF!,$CL3)&gt;0,"OK","ONBEKEND")),"ONZEKER")))))</f>
        <v/>
      </c>
      <c r="CN3" t="str">
        <f t="shared" si="66"/>
        <v/>
      </c>
      <c r="CO3" t="str">
        <f t="shared" si="67"/>
        <v/>
      </c>
      <c r="CP3" t="str">
        <f>IF($CO3="","",IF(OR($EC3="",$ED3=""),"ONZEKER",IF(OR($DZ3="",$EA3=""),"ONZEKER",IF(AND($EC3=$DZ3+1,$ED3=$EA3),IF(OR(COUNTIF(#REF!,$B3)&gt;0,COUNTIF(#REF!,$B3)=0),"SKIP",IF(COUNTIFS(#REF!,$B3,#REF!,$CO3)&gt;0,"OK","ONBEKEND")),IF(AND($EC3=$DZ3,$ED3=$EA3+1),IF(OR(COUNTIF(#REF!,$D3)&gt;0,COUNTIF(#REF!,$D3)=0),"SKIP",IF(COUNTIFS(#REF!,$D3,#REF!,$CO3)&gt;0,"OK","ONBEKEND")),"ONZEKER")))))</f>
        <v/>
      </c>
      <c r="CQ3" t="str">
        <f t="shared" si="68"/>
        <v/>
      </c>
      <c r="CR3" t="str">
        <f t="shared" si="69"/>
        <v/>
      </c>
      <c r="CS3" t="str">
        <f>IF($CR3="","",IF(OR($EF3="",$EG3=""),"ONZEKER",IF(OR($EC3="",$ED3=""),"ONZEKER",IF(AND($EF3=$EC3+1,$EG3=$ED3),IF(OR(COUNTIF(#REF!,$B3)&gt;0,COUNTIF(#REF!,$B3)=0),"SKIP",IF(COUNTIFS(#REF!,$B3,#REF!,$CR3)&gt;0,"OK","ONBEKEND")),IF(AND($EF3=$EC3,$EG3=$ED3+1),IF(OR(COUNTIF(#REF!,$D3)&gt;0,COUNTIF(#REF!,$D3)=0),"SKIP",IF(COUNTIFS(#REF!,$D3,#REF!,$CR3)&gt;0,"OK","ONBEKEND")),"ONZEKER")))))</f>
        <v/>
      </c>
      <c r="CT3" t="str">
        <f t="shared" si="70"/>
        <v/>
      </c>
      <c r="CU3" t="str">
        <f t="shared" si="71"/>
        <v/>
      </c>
      <c r="CV3" t="str">
        <f>IF($CU3="","",IF(OR($EI3="",$EJ3=""),"ONZEKER",IF(OR($EF3="",$EG3=""),"ONZEKER",IF(AND($EI3=$EF3+1,$EJ3=$EG3),IF(OR(COUNTIF(#REF!,$B3)&gt;0,COUNTIF(#REF!,$B3)=0),"SKIP",IF(COUNTIFS(#REF!,$B3,#REF!,$CU3)&gt;0,"OK","ONBEKEND")),IF(AND($EI3=$EF3,$EJ3=$EG3+1),IF(OR(COUNTIF(#REF!,$D3)&gt;0,COUNTIF(#REF!,$D3)=0),"SKIP",IF(COUNTIFS(#REF!,$D3,#REF!,$CU3)&gt;0,"OK","ONBEKEND")),"ONZEKER")))))</f>
        <v/>
      </c>
      <c r="CW3" t="str">
        <f t="shared" si="72"/>
        <v/>
      </c>
      <c r="CX3" t="str">
        <f t="shared" si="73"/>
        <v/>
      </c>
      <c r="CY3" t="str">
        <f>IF($CX3="","",IF(OR($EL3="",$EM3=""),"ONZEKER",IF(OR($EI3="",$EJ3=""),"ONZEKER",IF(AND($EL3=$EI3+1,$EM3=$EJ3),IF(OR(COUNTIF(#REF!,$B3)&gt;0,COUNTIF(#REF!,$B3)=0),"SKIP",IF(COUNTIFS(#REF!,$B3,#REF!,$CX3)&gt;0,"OK","ONBEKEND")),IF(AND($EL3=$EI3,$EM3=$EJ3+1),IF(OR(COUNTIF(#REF!,$D3)&gt;0,COUNTIF(#REF!,$D3)=0),"SKIP",IF(COUNTIFS(#REF!,$D3,#REF!,$CX3)&gt;0,"OK","ONBEKEND")),"ONZEKER")))))</f>
        <v/>
      </c>
      <c r="CZ3" t="str">
        <f t="shared" si="74"/>
        <v/>
      </c>
      <c r="DA3" t="str">
        <f t="shared" si="75"/>
        <v/>
      </c>
      <c r="DB3" t="str">
        <f>IF($DA3="","",IF(OR($EO3="",$EP3=""),"ONZEKER",IF(OR($EL3="",$EM3=""),"ONZEKER",IF(AND($EO3=$EL3+1,$EP3=$EM3),IF(OR(COUNTIF(#REF!,$B3)&gt;0,COUNTIF(#REF!,$B3)=0),"SKIP",IF(COUNTIFS(#REF!,$B3,#REF!,$DA3)&gt;0,"OK","ONBEKEND")),IF(AND($EO3=$EL3,$EP3=$EM3+1),IF(OR(COUNTIF(#REF!,$D3)&gt;0,COUNTIF(#REF!,$D3)=0),"SKIP",IF(COUNTIFS(#REF!,$D3,#REF!,$DA3)&gt;0,"OK","ONBEKEND")),"ONZEKER")))))</f>
        <v/>
      </c>
      <c r="DC3" t="str">
        <f t="shared" si="76"/>
        <v/>
      </c>
      <c r="DD3" t="str">
        <f t="shared" si="77"/>
        <v/>
      </c>
      <c r="DE3" t="str">
        <f>IF($DD3="","",IF(OR($ER3="",$ES3=""),"ONZEKER",IF(OR($EO3="",$EP3=""),"ONZEKER",IF(AND($ER3=$EO3+1,$ES3=$EP3),IF(OR(COUNTIF(#REF!,$B3)&gt;0,COUNTIF(#REF!,$B3)=0),"SKIP",IF(COUNTIFS(#REF!,$B3,#REF!,$DD3)&gt;0,"OK","ONBEKEND")),IF(AND($ER3=$EO3,$ES3=$EP3+1),IF(OR(COUNTIF(#REF!,$D3)&gt;0,COUNTIF(#REF!,$D3)=0),"SKIP",IF(COUNTIFS(#REF!,$D3,#REF!,$DD3)&gt;0,"OK","ONBEKEND")),"ONZEKER")))))</f>
        <v/>
      </c>
      <c r="DF3" t="str">
        <f t="shared" si="78"/>
        <v/>
      </c>
      <c r="DG3" t="str">
        <f t="shared" si="79"/>
        <v/>
      </c>
      <c r="DH3" t="str">
        <f>IF($DG3="","",IF(OR($EU3="",$EV3=""),"ONZEKER",IF(OR($ER3="",$ES3=""),"ONZEKER",IF(AND($EU3=$ER3+1,$EV3=$ES3),IF(OR(COUNTIF(#REF!,$B3)&gt;0,COUNTIF(#REF!,$B3)=0),"SKIP",IF(COUNTIFS(#REF!,$B3,#REF!,$DG3)&gt;0,"OK","ONBEKEND")),IF(AND($EU3=$ER3,$EV3=$ES3+1),IF(OR(COUNTIF(#REF!,$D3)&gt;0,COUNTIF(#REF!,$D3)=0),"SKIP",IF(COUNTIFS(#REF!,$D3,#REF!,$DG3)&gt;0,"OK","ONBEKEND")),"ONZEKER")))))</f>
        <v/>
      </c>
      <c r="DI3" t="str">
        <f t="shared" si="80"/>
        <v/>
      </c>
      <c r="DJ3" t="str">
        <f t="shared" si="81"/>
        <v/>
      </c>
      <c r="DK3" t="str">
        <f>IF($DJ3="","",IF(OR($EX3="",$EY3=""),"ONZEKER",IF(OR($EU3="",$EV3=""),"ONZEKER",IF(AND($EX3=$EU3+1,$EY3=$EV3),IF(OR(COUNTIF(#REF!,$B3)&gt;0,COUNTIF(#REF!,$B3)=0),"SKIP",IF(COUNTIFS(#REF!,$B3,#REF!,$DJ3)&gt;0,"OK","ONBEKEND")),IF(AND($EX3=$EU3,$EY3=$EV3+1),IF(OR(COUNTIF(#REF!,$D3)&gt;0,COUNTIF(#REF!,$D3)=0),"SKIP",IF(COUNTIFS(#REF!,$D3,#REF!,$DJ3)&gt;0,"OK","ONBEKEND")),"ONZEKER")))))</f>
        <v/>
      </c>
      <c r="DL3" t="str">
        <f t="shared" si="82"/>
        <v/>
      </c>
      <c r="DM3" t="str">
        <f t="shared" si="83"/>
        <v/>
      </c>
      <c r="DN3" t="str">
        <f t="shared" si="84"/>
        <v/>
      </c>
      <c r="DO3" t="str">
        <f t="shared" si="85"/>
        <v/>
      </c>
      <c r="DP3" t="str">
        <f t="shared" si="86"/>
        <v/>
      </c>
      <c r="DQ3" t="str">
        <f t="shared" si="87"/>
        <v/>
      </c>
      <c r="DR3" t="str">
        <f t="shared" si="88"/>
        <v/>
      </c>
      <c r="DS3" t="str">
        <f t="shared" si="89"/>
        <v/>
      </c>
      <c r="DT3" t="str">
        <f t="shared" si="90"/>
        <v/>
      </c>
      <c r="DU3" t="str">
        <f t="shared" si="91"/>
        <v/>
      </c>
      <c r="DV3" t="str">
        <f t="shared" si="92"/>
        <v/>
      </c>
      <c r="DW3" t="str">
        <f t="shared" si="93"/>
        <v/>
      </c>
      <c r="DX3" t="str">
        <f t="shared" si="94"/>
        <v/>
      </c>
      <c r="DY3" t="str">
        <f t="shared" si="95"/>
        <v/>
      </c>
      <c r="DZ3" t="str">
        <f t="shared" si="96"/>
        <v/>
      </c>
      <c r="EA3" t="str">
        <f t="shared" si="97"/>
        <v/>
      </c>
      <c r="EB3" t="str">
        <f t="shared" si="98"/>
        <v/>
      </c>
      <c r="EC3" t="str">
        <f t="shared" si="99"/>
        <v/>
      </c>
      <c r="ED3" t="str">
        <f t="shared" si="100"/>
        <v/>
      </c>
      <c r="EE3" t="str">
        <f t="shared" si="101"/>
        <v/>
      </c>
      <c r="EF3" t="str">
        <f t="shared" si="102"/>
        <v/>
      </c>
      <c r="EG3" t="str">
        <f t="shared" si="103"/>
        <v/>
      </c>
      <c r="EH3" t="str">
        <f t="shared" si="104"/>
        <v/>
      </c>
      <c r="EI3" t="str">
        <f t="shared" si="105"/>
        <v/>
      </c>
      <c r="EJ3" t="str">
        <f t="shared" si="106"/>
        <v/>
      </c>
      <c r="EK3" t="str">
        <f t="shared" si="107"/>
        <v/>
      </c>
      <c r="EL3" t="str">
        <f t="shared" si="108"/>
        <v/>
      </c>
      <c r="EM3" t="str">
        <f t="shared" si="109"/>
        <v/>
      </c>
      <c r="EN3" t="str">
        <f t="shared" si="110"/>
        <v/>
      </c>
      <c r="EO3" t="str">
        <f t="shared" si="111"/>
        <v/>
      </c>
      <c r="EP3" t="str">
        <f t="shared" si="112"/>
        <v/>
      </c>
      <c r="EQ3" t="str">
        <f t="shared" si="113"/>
        <v/>
      </c>
      <c r="ER3" t="str">
        <f t="shared" si="114"/>
        <v/>
      </c>
      <c r="ES3" t="str">
        <f t="shared" si="115"/>
        <v/>
      </c>
      <c r="ET3" t="str">
        <f t="shared" si="116"/>
        <v/>
      </c>
      <c r="EU3" t="str">
        <f t="shared" si="117"/>
        <v/>
      </c>
      <c r="EV3" t="str">
        <f t="shared" si="118"/>
        <v/>
      </c>
      <c r="EW3" t="str">
        <f t="shared" si="119"/>
        <v/>
      </c>
      <c r="EX3" t="str">
        <f t="shared" si="120"/>
        <v/>
      </c>
      <c r="EY3" t="str">
        <f t="shared" si="121"/>
        <v/>
      </c>
    </row>
    <row r="4" spans="1:155" ht="13.9" customHeight="1" x14ac:dyDescent="0.25">
      <c r="A4" s="7"/>
      <c r="B4" s="17"/>
      <c r="C4" s="8"/>
      <c r="D4" s="17"/>
      <c r="E4" s="8"/>
      <c r="F4" s="18">
        <v>0</v>
      </c>
      <c r="G4" s="7" t="s">
        <v>147</v>
      </c>
      <c r="H4" s="18">
        <v>0</v>
      </c>
      <c r="I4" s="19">
        <v>0</v>
      </c>
      <c r="J4" s="7" t="s">
        <v>147</v>
      </c>
      <c r="K4" s="19">
        <v>0</v>
      </c>
      <c r="L4" s="9"/>
      <c r="M4" s="3" t="str">
        <f>IF($L4="","",IF($L4="DOELPUNTENMAKERS","",IF(AND(COUNTIF(#REF!,$B4)=0,COUNTIF(#REF!,$D4)=0),"OK",IF($O4&gt;20,"LET OP: meer dan 20 items (controle onvolledig)",IF((COUNTIF($R4:$AS4,"ONZEKER")+COUNTIF($CJ4:$DK4,"ONZEKER"))&gt;0,"LET OP: scoreverloop onduidelijk (controle beperkt)",IF((IF($AT4&lt;&gt;"",$AT4&amp;", ","")&amp;IF($AU4&lt;&gt;"",$AU4&amp;", ","")&amp;IF($AV4&lt;&gt;"",$AV4&amp;", ","")&amp;IF($AW4&lt;&gt;"",$AW4&amp;", ","")&amp;IF($AX4&lt;&gt;"",$AX4&amp;", ","")&amp;IF($AY4&lt;&gt;"",$AY4&amp;", ","")&amp;IF($AZ4&lt;&gt;"",$AZ4&amp;", ","")&amp;IF($BA4&lt;&gt;"",$BA4&amp;", ","")&amp;IF($BB4&lt;&gt;"",$BB4&amp;", ","")&amp;IF($BC4&lt;&gt;"",$BC4&amp;", ","")&amp;IF($DL4&lt;&gt;"",$DL4&amp;", ","")&amp;IF($DM4&lt;&gt;"",$DM4&amp;", ","")&amp;IF($DN4&lt;&gt;"",$DN4&amp;", ","")&amp;IF($DO4&lt;&gt;"",$DO4&amp;", ","")&amp;IF($DP4&lt;&gt;"",$DP4&amp;", ","")&amp;IF($DQ4&lt;&gt;"",$DQ4&amp;", ","")&amp;IF($DR4&lt;&gt;"",$DR4&amp;", ","")&amp;IF($DS4&lt;&gt;"",$DS4&amp;", ","")&amp;IF($DT4&lt;&gt;"",$DT4&amp;", ","")&amp;IF($DU4&lt;&gt;"",$DU4&amp;", ",""))="","OK","Onbekend: "&amp;LEFT((IF($AT4&lt;&gt;"",$AT4&amp;", ","")&amp;IF($AU4&lt;&gt;"",$AU4&amp;", ","")&amp;IF($AV4&lt;&gt;"",$AV4&amp;", ","")&amp;IF($AW4&lt;&gt;"",$AW4&amp;", ","")&amp;IF($AX4&lt;&gt;"",$AX4&amp;", ","")&amp;IF($AY4&lt;&gt;"",$AY4&amp;", ","")&amp;IF($AZ4&lt;&gt;"",$AZ4&amp;", ","")&amp;IF($BA4&lt;&gt;"",$BA4&amp;", ","")&amp;IF($BB4&lt;&gt;"",$BB4&amp;", ","")&amp;IF($BC4&lt;&gt;"",$BC4&amp;", ","")&amp;IF($DL4&lt;&gt;"",$DL4&amp;", ","")&amp;IF($DM4&lt;&gt;"",$DM4&amp;", ","")&amp;IF($DN4&lt;&gt;"",$DN4&amp;", ","")&amp;IF($DO4&lt;&gt;"",$DO4&amp;", ","")&amp;IF($DP4&lt;&gt;"",$DP4&amp;", ","")&amp;IF($DQ4&lt;&gt;"",$DQ4&amp;", ","")&amp;IF($DR4&lt;&gt;"",$DR4&amp;", ","")&amp;IF($DS4&lt;&gt;"",$DS4&amp;", ","")&amp;IF($DT4&lt;&gt;"",$DT4&amp;", ","")&amp;IF($DU4&lt;&gt;"",$DU4&amp;", ","")),LEN((IF($AT4&lt;&gt;"",$AT4&amp;", ","")&amp;IF($AU4&lt;&gt;"",$AU4&amp;", ","")&amp;IF($AV4&lt;&gt;"",$AV4&amp;", ","")&amp;IF($AW4&lt;&gt;"",$AW4&amp;", ","")&amp;IF($AX4&lt;&gt;"",$AX4&amp;", ","")&amp;IF($AY4&lt;&gt;"",$AY4&amp;", ","")&amp;IF($AZ4&lt;&gt;"",$AZ4&amp;", ","")&amp;IF($BA4&lt;&gt;"",$BA4&amp;", ","")&amp;IF($BB4&lt;&gt;"",$BB4&amp;", ","")&amp;IF($BC4&lt;&gt;"",$BC4&amp;", ","")&amp;IF($DL4&lt;&gt;"",$DL4&amp;", ","")&amp;IF($DM4&lt;&gt;"",$DM4&amp;", ","")&amp;IF($DN4&lt;&gt;"",$DN4&amp;", ","")&amp;IF($DO4&lt;&gt;"",$DO4&amp;", ","")&amp;IF($DP4&lt;&gt;"",$DP4&amp;", ","")&amp;IF($DQ4&lt;&gt;"",$DQ4&amp;", ","")&amp;IF($DR4&lt;&gt;"",$DR4&amp;", ","")&amp;IF($DS4&lt;&gt;"",$DS4&amp;", ","")&amp;IF($DT4&lt;&gt;"",$DT4&amp;", ","")&amp;IF($DU4&lt;&gt;"",$DU4&amp;", ","")))-2)))))))</f>
        <v/>
      </c>
      <c r="N4" t="str">
        <f t="shared" si="0"/>
        <v/>
      </c>
      <c r="O4" t="str">
        <f t="shared" si="1"/>
        <v/>
      </c>
      <c r="P4" t="str">
        <f t="shared" si="2"/>
        <v/>
      </c>
      <c r="Q4" t="str">
        <f t="shared" si="3"/>
        <v/>
      </c>
      <c r="R4" t="str">
        <f>IF($Q4="","",IF(OR($BE4="",$BF4=""),"ONZEKER",IF(AND($BE4=0+1,$BF4=0),IF(OR(COUNTIF(#REF!,$B4)&gt;0,COUNTIF(#REF!,$B4)=0),"SKIP",IF(COUNTIFS(#REF!,$B4,#REF!,$Q4)&gt;0,"OK","ONBEKEND")),IF(AND($BE4=0,$BF4=0+1),IF(OR(COUNTIF(#REF!,$D4)&gt;0,COUNTIF(#REF!,$D4)=0),"SKIP",IF(COUNTIFS(#REF!,$D4,#REF!,$Q4)&gt;0,"OK","ONBEKEND")),"ONZEKER"))))</f>
        <v/>
      </c>
      <c r="S4" t="str">
        <f t="shared" si="4"/>
        <v/>
      </c>
      <c r="T4" t="str">
        <f t="shared" si="5"/>
        <v/>
      </c>
      <c r="U4" t="str">
        <f>IF($T4="","",IF(OR($BH4="",$BI4=""),"ONZEKER",IF(OR($BE4="",$BF4=""),"ONZEKER",IF(AND($BH4=$BE4+1,$BI4=$BF4),IF(OR(COUNTIF(#REF!,$B4)&gt;0,COUNTIF(#REF!,$B4)=0),"SKIP",IF(COUNTIFS(#REF!,$B4,#REF!,$T4)&gt;0,"OK","ONBEKEND")),IF(AND($BH4=$BE4,$BI4=$BF4+1),IF(OR(COUNTIF(#REF!,$D4)&gt;0,COUNTIF(#REF!,$D4)=0),"SKIP",IF(COUNTIFS(#REF!,$D4,#REF!,$T4)&gt;0,"OK","ONBEKEND")),"ONZEKER")))))</f>
        <v/>
      </c>
      <c r="V4" t="str">
        <f t="shared" si="6"/>
        <v/>
      </c>
      <c r="W4" t="str">
        <f t="shared" si="7"/>
        <v/>
      </c>
      <c r="X4" t="str">
        <f>IF($W4="","",IF(OR($BK4="",$BL4=""),"ONZEKER",IF(OR($BH4="",$BI4=""),"ONZEKER",IF(AND($BK4=$BH4+1,$BL4=$BI4),IF(OR(COUNTIF(#REF!,$B4)&gt;0,COUNTIF(#REF!,$B4)=0),"SKIP",IF(COUNTIFS(#REF!,$B4,#REF!,$W4)&gt;0,"OK","ONBEKEND")),IF(AND($BK4=$BH4,$BL4=$BI4+1),IF(OR(COUNTIF(#REF!,$D4)&gt;0,COUNTIF(#REF!,$D4)=0),"SKIP",IF(COUNTIFS(#REF!,$D4,#REF!,$W4)&gt;0,"OK","ONBEKEND")),"ONZEKER")))))</f>
        <v/>
      </c>
      <c r="Y4" t="str">
        <f t="shared" si="8"/>
        <v/>
      </c>
      <c r="Z4" t="str">
        <f t="shared" si="9"/>
        <v/>
      </c>
      <c r="AA4" t="str">
        <f>IF($Z4="","",IF(OR($BN4="",$BO4=""),"ONZEKER",IF(OR($BK4="",$BL4=""),"ONZEKER",IF(AND($BN4=$BK4+1,$BO4=$BL4),IF(OR(COUNTIF(#REF!,$B4)&gt;0,COUNTIF(#REF!,$B4)=0),"SKIP",IF(COUNTIFS(#REF!,$B4,#REF!,$Z4)&gt;0,"OK","ONBEKEND")),IF(AND($BN4=$BK4,$BO4=$BL4+1),IF(OR(COUNTIF(#REF!,$D4)&gt;0,COUNTIF(#REF!,$D4)=0),"SKIP",IF(COUNTIFS(#REF!,$D4,#REF!,$Z4)&gt;0,"OK","ONBEKEND")),"ONZEKER")))))</f>
        <v/>
      </c>
      <c r="AB4" t="str">
        <f t="shared" si="10"/>
        <v/>
      </c>
      <c r="AC4" t="str">
        <f t="shared" si="11"/>
        <v/>
      </c>
      <c r="AD4" t="str">
        <f>IF($AC4="","",IF(OR($BQ4="",$BR4=""),"ONZEKER",IF(OR($BN4="",$BO4=""),"ONZEKER",IF(AND($BQ4=$BN4+1,$BR4=$BO4),IF(OR(COUNTIF(#REF!,$B4)&gt;0,COUNTIF(#REF!,$B4)=0),"SKIP",IF(COUNTIFS(#REF!,$B4,#REF!,$AC4)&gt;0,"OK","ONBEKEND")),IF(AND($BQ4=$BN4,$BR4=$BO4+1),IF(OR(COUNTIF(#REF!,$D4)&gt;0,COUNTIF(#REF!,$D4)=0),"SKIP",IF(COUNTIFS(#REF!,$D4,#REF!,$AC4)&gt;0,"OK","ONBEKEND")),"ONZEKER")))))</f>
        <v/>
      </c>
      <c r="AE4" t="str">
        <f t="shared" si="12"/>
        <v/>
      </c>
      <c r="AF4" t="str">
        <f t="shared" si="13"/>
        <v/>
      </c>
      <c r="AG4" t="str">
        <f>IF($AF4="","",IF(OR($BT4="",$BU4=""),"ONZEKER",IF(OR($BQ4="",$BR4=""),"ONZEKER",IF(AND($BT4=$BQ4+1,$BU4=$BR4),IF(OR(COUNTIF(#REF!,$B4)&gt;0,COUNTIF(#REF!,$B4)=0),"SKIP",IF(COUNTIFS(#REF!,$B4,#REF!,$AF4)&gt;0,"OK","ONBEKEND")),IF(AND($BT4=$BQ4,$BU4=$BR4+1),IF(OR(COUNTIF(#REF!,$D4)&gt;0,COUNTIF(#REF!,$D4)=0),"SKIP",IF(COUNTIFS(#REF!,$D4,#REF!,$AF4)&gt;0,"OK","ONBEKEND")),"ONZEKER")))))</f>
        <v/>
      </c>
      <c r="AH4" t="str">
        <f t="shared" si="14"/>
        <v/>
      </c>
      <c r="AI4" t="str">
        <f t="shared" si="15"/>
        <v/>
      </c>
      <c r="AJ4" t="str">
        <f>IF($AI4="","",IF(OR($BW4="",$BX4=""),"ONZEKER",IF(OR($BT4="",$BU4=""),"ONZEKER",IF(AND($BW4=$BT4+1,$BX4=$BU4),IF(OR(COUNTIF(#REF!,$B4)&gt;0,COUNTIF(#REF!,$B4)=0),"SKIP",IF(COUNTIFS(#REF!,$B4,#REF!,$AI4)&gt;0,"OK","ONBEKEND")),IF(AND($BW4=$BT4,$BX4=$BU4+1),IF(OR(COUNTIF(#REF!,$D4)&gt;0,COUNTIF(#REF!,$D4)=0),"SKIP",IF(COUNTIFS(#REF!,$D4,#REF!,$AI4)&gt;0,"OK","ONBEKEND")),"ONZEKER")))))</f>
        <v/>
      </c>
      <c r="AK4" t="str">
        <f t="shared" si="16"/>
        <v/>
      </c>
      <c r="AL4" t="str">
        <f t="shared" si="17"/>
        <v/>
      </c>
      <c r="AM4" t="str">
        <f>IF($AL4="","",IF(OR($BZ4="",$CA4=""),"ONZEKER",IF(OR($BW4="",$BX4=""),"ONZEKER",IF(AND($BZ4=$BW4+1,$CA4=$BX4),IF(OR(COUNTIF(#REF!,$B4)&gt;0,COUNTIF(#REF!,$B4)=0),"SKIP",IF(COUNTIFS(#REF!,$B4,#REF!,$AL4)&gt;0,"OK","ONBEKEND")),IF(AND($BZ4=$BW4,$CA4=$BX4+1),IF(OR(COUNTIF(#REF!,$D4)&gt;0,COUNTIF(#REF!,$D4)=0),"SKIP",IF(COUNTIFS(#REF!,$D4,#REF!,$AL4)&gt;0,"OK","ONBEKEND")),"ONZEKER")))))</f>
        <v/>
      </c>
      <c r="AN4" t="str">
        <f t="shared" si="18"/>
        <v/>
      </c>
      <c r="AO4" t="str">
        <f t="shared" si="19"/>
        <v/>
      </c>
      <c r="AP4" t="str">
        <f>IF($AO4="","",IF(OR($CC4="",$CD4=""),"ONZEKER",IF(OR($BZ4="",$CA4=""),"ONZEKER",IF(AND($CC4=$BZ4+1,$CD4=$CA4),IF(OR(COUNTIF(#REF!,$B4)&gt;0,COUNTIF(#REF!,$B4)=0),"SKIP",IF(COUNTIFS(#REF!,$B4,#REF!,$AO4)&gt;0,"OK","ONBEKEND")),IF(AND($CC4=$BZ4,$CD4=$CA4+1),IF(OR(COUNTIF(#REF!,$D4)&gt;0,COUNTIF(#REF!,$D4)=0),"SKIP",IF(COUNTIFS(#REF!,$D4,#REF!,$AO4)&gt;0,"OK","ONBEKEND")),"ONZEKER")))))</f>
        <v/>
      </c>
      <c r="AQ4" t="str">
        <f t="shared" si="20"/>
        <v/>
      </c>
      <c r="AR4" t="str">
        <f t="shared" si="21"/>
        <v/>
      </c>
      <c r="AS4" t="str">
        <f>IF($AR4="","",IF(OR($CF4="",$CG4=""),"ONZEKER",IF(OR($CC4="",$CD4=""),"ONZEKER",IF(AND($CF4=$CC4+1,$CG4=$CD4),IF(OR(COUNTIF(#REF!,$B4)&gt;0,COUNTIF(#REF!,$B4)=0),"SKIP",IF(COUNTIFS(#REF!,$B4,#REF!,$AR4)&gt;0,"OK","ONBEKEND")),IF(AND($CF4=$CC4,$CG4=$CD4+1),IF(OR(COUNTIF(#REF!,$D4)&gt;0,COUNTIF(#REF!,$D4)=0),"SKIP",IF(COUNTIFS(#REF!,$D4,#REF!,$AR4)&gt;0,"OK","ONBEKEND")),"ONZEKER")))))</f>
        <v/>
      </c>
      <c r="AT4" t="str">
        <f t="shared" si="22"/>
        <v/>
      </c>
      <c r="AU4" t="str">
        <f t="shared" si="23"/>
        <v/>
      </c>
      <c r="AV4" t="str">
        <f t="shared" si="24"/>
        <v/>
      </c>
      <c r="AW4" t="str">
        <f t="shared" si="25"/>
        <v/>
      </c>
      <c r="AX4" t="str">
        <f t="shared" si="26"/>
        <v/>
      </c>
      <c r="AY4" t="str">
        <f t="shared" si="27"/>
        <v/>
      </c>
      <c r="AZ4" t="str">
        <f t="shared" si="28"/>
        <v/>
      </c>
      <c r="BA4" t="str">
        <f t="shared" si="29"/>
        <v/>
      </c>
      <c r="BB4" t="str">
        <f t="shared" si="30"/>
        <v/>
      </c>
      <c r="BC4" t="str">
        <f t="shared" si="31"/>
        <v/>
      </c>
      <c r="BD4" t="str">
        <f t="shared" si="32"/>
        <v/>
      </c>
      <c r="BE4" t="str">
        <f t="shared" si="33"/>
        <v/>
      </c>
      <c r="BF4" t="str">
        <f t="shared" si="34"/>
        <v/>
      </c>
      <c r="BG4" t="str">
        <f t="shared" si="35"/>
        <v/>
      </c>
      <c r="BH4" t="str">
        <f t="shared" si="36"/>
        <v/>
      </c>
      <c r="BI4" t="str">
        <f t="shared" si="37"/>
        <v/>
      </c>
      <c r="BJ4" t="str">
        <f t="shared" si="38"/>
        <v/>
      </c>
      <c r="BK4" t="str">
        <f t="shared" si="39"/>
        <v/>
      </c>
      <c r="BL4" t="str">
        <f t="shared" si="40"/>
        <v/>
      </c>
      <c r="BM4" t="str">
        <f t="shared" si="41"/>
        <v/>
      </c>
      <c r="BN4" t="str">
        <f t="shared" si="42"/>
        <v/>
      </c>
      <c r="BO4" t="str">
        <f t="shared" si="43"/>
        <v/>
      </c>
      <c r="BP4" t="str">
        <f t="shared" si="44"/>
        <v/>
      </c>
      <c r="BQ4" t="str">
        <f t="shared" si="45"/>
        <v/>
      </c>
      <c r="BR4" t="str">
        <f t="shared" si="46"/>
        <v/>
      </c>
      <c r="BS4" t="str">
        <f t="shared" si="47"/>
        <v/>
      </c>
      <c r="BT4" t="str">
        <f t="shared" si="48"/>
        <v/>
      </c>
      <c r="BU4" t="str">
        <f t="shared" si="49"/>
        <v/>
      </c>
      <c r="BV4" t="str">
        <f t="shared" si="50"/>
        <v/>
      </c>
      <c r="BW4" t="str">
        <f t="shared" si="51"/>
        <v/>
      </c>
      <c r="BX4" t="str">
        <f t="shared" si="52"/>
        <v/>
      </c>
      <c r="BY4" t="str">
        <f t="shared" si="53"/>
        <v/>
      </c>
      <c r="BZ4" t="str">
        <f t="shared" si="54"/>
        <v/>
      </c>
      <c r="CA4" t="str">
        <f t="shared" si="55"/>
        <v/>
      </c>
      <c r="CB4" t="str">
        <f t="shared" si="56"/>
        <v/>
      </c>
      <c r="CC4" t="str">
        <f t="shared" si="57"/>
        <v/>
      </c>
      <c r="CD4" t="str">
        <f t="shared" si="58"/>
        <v/>
      </c>
      <c r="CE4" t="str">
        <f t="shared" si="59"/>
        <v/>
      </c>
      <c r="CF4" t="str">
        <f t="shared" si="60"/>
        <v/>
      </c>
      <c r="CG4" t="str">
        <f t="shared" si="61"/>
        <v/>
      </c>
      <c r="CH4" t="str">
        <f t="shared" si="62"/>
        <v/>
      </c>
      <c r="CI4" t="str">
        <f t="shared" si="63"/>
        <v/>
      </c>
      <c r="CJ4" t="str">
        <f>IF($CI4="","",IF(OR($DW4="",$DX4=""),"ONZEKER",IF(OR($CF4="",$CG4=""),"ONZEKER",IF(AND($DW4=$CF4+1,$DX4=$CG4),IF(OR(COUNTIF(#REF!,$B4)&gt;0,COUNTIF(#REF!,$B4)=0),"SKIP",IF(COUNTIFS(#REF!,$B4,#REF!,$CI4)&gt;0,"OK","ONBEKEND")),IF(AND($DW4=$CF4,$DX4=$CG4+1),IF(OR(COUNTIF(#REF!,$D4)&gt;0,COUNTIF(#REF!,$D4)=0),"SKIP",IF(COUNTIFS(#REF!,$D4,#REF!,$CI4)&gt;0,"OK","ONBEKEND")),"ONZEKER")))))</f>
        <v/>
      </c>
      <c r="CK4" t="str">
        <f t="shared" si="64"/>
        <v/>
      </c>
      <c r="CL4" t="str">
        <f t="shared" si="65"/>
        <v/>
      </c>
      <c r="CM4" t="str">
        <f>IF($CL4="","",IF(OR($DZ4="",$EA4=""),"ONZEKER",IF(OR($DW4="",$DX4=""),"ONZEKER",IF(AND($DZ4=$DW4+1,$EA4=$DX4),IF(OR(COUNTIF(#REF!,$B4)&gt;0,COUNTIF(#REF!,$B4)=0),"SKIP",IF(COUNTIFS(#REF!,$B4,#REF!,$CL4)&gt;0,"OK","ONBEKEND")),IF(AND($DZ4=$DW4,$EA4=$DX4+1),IF(OR(COUNTIF(#REF!,$D4)&gt;0,COUNTIF(#REF!,$D4)=0),"SKIP",IF(COUNTIFS(#REF!,$D4,#REF!,$CL4)&gt;0,"OK","ONBEKEND")),"ONZEKER")))))</f>
        <v/>
      </c>
      <c r="CN4" t="str">
        <f t="shared" si="66"/>
        <v/>
      </c>
      <c r="CO4" t="str">
        <f t="shared" si="67"/>
        <v/>
      </c>
      <c r="CP4" t="str">
        <f>IF($CO4="","",IF(OR($EC4="",$ED4=""),"ONZEKER",IF(OR($DZ4="",$EA4=""),"ONZEKER",IF(AND($EC4=$DZ4+1,$ED4=$EA4),IF(OR(COUNTIF(#REF!,$B4)&gt;0,COUNTIF(#REF!,$B4)=0),"SKIP",IF(COUNTIFS(#REF!,$B4,#REF!,$CO4)&gt;0,"OK","ONBEKEND")),IF(AND($EC4=$DZ4,$ED4=$EA4+1),IF(OR(COUNTIF(#REF!,$D4)&gt;0,COUNTIF(#REF!,$D4)=0),"SKIP",IF(COUNTIFS(#REF!,$D4,#REF!,$CO4)&gt;0,"OK","ONBEKEND")),"ONZEKER")))))</f>
        <v/>
      </c>
      <c r="CQ4" t="str">
        <f t="shared" si="68"/>
        <v/>
      </c>
      <c r="CR4" t="str">
        <f t="shared" si="69"/>
        <v/>
      </c>
      <c r="CS4" t="str">
        <f>IF($CR4="","",IF(OR($EF4="",$EG4=""),"ONZEKER",IF(OR($EC4="",$ED4=""),"ONZEKER",IF(AND($EF4=$EC4+1,$EG4=$ED4),IF(OR(COUNTIF(#REF!,$B4)&gt;0,COUNTIF(#REF!,$B4)=0),"SKIP",IF(COUNTIFS(#REF!,$B4,#REF!,$CR4)&gt;0,"OK","ONBEKEND")),IF(AND($EF4=$EC4,$EG4=$ED4+1),IF(OR(COUNTIF(#REF!,$D4)&gt;0,COUNTIF(#REF!,$D4)=0),"SKIP",IF(COUNTIFS(#REF!,$D4,#REF!,$CR4)&gt;0,"OK","ONBEKEND")),"ONZEKER")))))</f>
        <v/>
      </c>
      <c r="CT4" t="str">
        <f t="shared" si="70"/>
        <v/>
      </c>
      <c r="CU4" t="str">
        <f t="shared" si="71"/>
        <v/>
      </c>
      <c r="CV4" t="str">
        <f>IF($CU4="","",IF(OR($EI4="",$EJ4=""),"ONZEKER",IF(OR($EF4="",$EG4=""),"ONZEKER",IF(AND($EI4=$EF4+1,$EJ4=$EG4),IF(OR(COUNTIF(#REF!,$B4)&gt;0,COUNTIF(#REF!,$B4)=0),"SKIP",IF(COUNTIFS(#REF!,$B4,#REF!,$CU4)&gt;0,"OK","ONBEKEND")),IF(AND($EI4=$EF4,$EJ4=$EG4+1),IF(OR(COUNTIF(#REF!,$D4)&gt;0,COUNTIF(#REF!,$D4)=0),"SKIP",IF(COUNTIFS(#REF!,$D4,#REF!,$CU4)&gt;0,"OK","ONBEKEND")),"ONZEKER")))))</f>
        <v/>
      </c>
      <c r="CW4" t="str">
        <f t="shared" si="72"/>
        <v/>
      </c>
      <c r="CX4" t="str">
        <f t="shared" si="73"/>
        <v/>
      </c>
      <c r="CY4" t="str">
        <f>IF($CX4="","",IF(OR($EL4="",$EM4=""),"ONZEKER",IF(OR($EI4="",$EJ4=""),"ONZEKER",IF(AND($EL4=$EI4+1,$EM4=$EJ4),IF(OR(COUNTIF(#REF!,$B4)&gt;0,COUNTIF(#REF!,$B4)=0),"SKIP",IF(COUNTIFS(#REF!,$B4,#REF!,$CX4)&gt;0,"OK","ONBEKEND")),IF(AND($EL4=$EI4,$EM4=$EJ4+1),IF(OR(COUNTIF(#REF!,$D4)&gt;0,COUNTIF(#REF!,$D4)=0),"SKIP",IF(COUNTIFS(#REF!,$D4,#REF!,$CX4)&gt;0,"OK","ONBEKEND")),"ONZEKER")))))</f>
        <v/>
      </c>
      <c r="CZ4" t="str">
        <f t="shared" si="74"/>
        <v/>
      </c>
      <c r="DA4" t="str">
        <f t="shared" si="75"/>
        <v/>
      </c>
      <c r="DB4" t="str">
        <f>IF($DA4="","",IF(OR($EO4="",$EP4=""),"ONZEKER",IF(OR($EL4="",$EM4=""),"ONZEKER",IF(AND($EO4=$EL4+1,$EP4=$EM4),IF(OR(COUNTIF(#REF!,$B4)&gt;0,COUNTIF(#REF!,$B4)=0),"SKIP",IF(COUNTIFS(#REF!,$B4,#REF!,$DA4)&gt;0,"OK","ONBEKEND")),IF(AND($EO4=$EL4,$EP4=$EM4+1),IF(OR(COUNTIF(#REF!,$D4)&gt;0,COUNTIF(#REF!,$D4)=0),"SKIP",IF(COUNTIFS(#REF!,$D4,#REF!,$DA4)&gt;0,"OK","ONBEKEND")),"ONZEKER")))))</f>
        <v/>
      </c>
      <c r="DC4" t="str">
        <f t="shared" si="76"/>
        <v/>
      </c>
      <c r="DD4" t="str">
        <f t="shared" si="77"/>
        <v/>
      </c>
      <c r="DE4" t="str">
        <f>IF($DD4="","",IF(OR($ER4="",$ES4=""),"ONZEKER",IF(OR($EO4="",$EP4=""),"ONZEKER",IF(AND($ER4=$EO4+1,$ES4=$EP4),IF(OR(COUNTIF(#REF!,$B4)&gt;0,COUNTIF(#REF!,$B4)=0),"SKIP",IF(COUNTIFS(#REF!,$B4,#REF!,$DD4)&gt;0,"OK","ONBEKEND")),IF(AND($ER4=$EO4,$ES4=$EP4+1),IF(OR(COUNTIF(#REF!,$D4)&gt;0,COUNTIF(#REF!,$D4)=0),"SKIP",IF(COUNTIFS(#REF!,$D4,#REF!,$DD4)&gt;0,"OK","ONBEKEND")),"ONZEKER")))))</f>
        <v/>
      </c>
      <c r="DF4" t="str">
        <f t="shared" si="78"/>
        <v/>
      </c>
      <c r="DG4" t="str">
        <f t="shared" si="79"/>
        <v/>
      </c>
      <c r="DH4" t="str">
        <f>IF($DG4="","",IF(OR($EU4="",$EV4=""),"ONZEKER",IF(OR($ER4="",$ES4=""),"ONZEKER",IF(AND($EU4=$ER4+1,$EV4=$ES4),IF(OR(COUNTIF(#REF!,$B4)&gt;0,COUNTIF(#REF!,$B4)=0),"SKIP",IF(COUNTIFS(#REF!,$B4,#REF!,$DG4)&gt;0,"OK","ONBEKEND")),IF(AND($EU4=$ER4,$EV4=$ES4+1),IF(OR(COUNTIF(#REF!,$D4)&gt;0,COUNTIF(#REF!,$D4)=0),"SKIP",IF(COUNTIFS(#REF!,$D4,#REF!,$DG4)&gt;0,"OK","ONBEKEND")),"ONZEKER")))))</f>
        <v/>
      </c>
      <c r="DI4" t="str">
        <f t="shared" si="80"/>
        <v/>
      </c>
      <c r="DJ4" t="str">
        <f t="shared" si="81"/>
        <v/>
      </c>
      <c r="DK4" t="str">
        <f>IF($DJ4="","",IF(OR($EX4="",$EY4=""),"ONZEKER",IF(OR($EU4="",$EV4=""),"ONZEKER",IF(AND($EX4=$EU4+1,$EY4=$EV4),IF(OR(COUNTIF(#REF!,$B4)&gt;0,COUNTIF(#REF!,$B4)=0),"SKIP",IF(COUNTIFS(#REF!,$B4,#REF!,$DJ4)&gt;0,"OK","ONBEKEND")),IF(AND($EX4=$EU4,$EY4=$EV4+1),IF(OR(COUNTIF(#REF!,$D4)&gt;0,COUNTIF(#REF!,$D4)=0),"SKIP",IF(COUNTIFS(#REF!,$D4,#REF!,$DJ4)&gt;0,"OK","ONBEKEND")),"ONZEKER")))))</f>
        <v/>
      </c>
      <c r="DL4" t="str">
        <f t="shared" si="82"/>
        <v/>
      </c>
      <c r="DM4" t="str">
        <f t="shared" si="83"/>
        <v/>
      </c>
      <c r="DN4" t="str">
        <f t="shared" si="84"/>
        <v/>
      </c>
      <c r="DO4" t="str">
        <f t="shared" si="85"/>
        <v/>
      </c>
      <c r="DP4" t="str">
        <f t="shared" si="86"/>
        <v/>
      </c>
      <c r="DQ4" t="str">
        <f t="shared" si="87"/>
        <v/>
      </c>
      <c r="DR4" t="str">
        <f t="shared" si="88"/>
        <v/>
      </c>
      <c r="DS4" t="str">
        <f t="shared" si="89"/>
        <v/>
      </c>
      <c r="DT4" t="str">
        <f t="shared" si="90"/>
        <v/>
      </c>
      <c r="DU4" t="str">
        <f t="shared" si="91"/>
        <v/>
      </c>
      <c r="DV4" t="str">
        <f t="shared" si="92"/>
        <v/>
      </c>
      <c r="DW4" t="str">
        <f t="shared" si="93"/>
        <v/>
      </c>
      <c r="DX4" t="str">
        <f t="shared" si="94"/>
        <v/>
      </c>
      <c r="DY4" t="str">
        <f t="shared" si="95"/>
        <v/>
      </c>
      <c r="DZ4" t="str">
        <f t="shared" si="96"/>
        <v/>
      </c>
      <c r="EA4" t="str">
        <f t="shared" si="97"/>
        <v/>
      </c>
      <c r="EB4" t="str">
        <f t="shared" si="98"/>
        <v/>
      </c>
      <c r="EC4" t="str">
        <f t="shared" si="99"/>
        <v/>
      </c>
      <c r="ED4" t="str">
        <f t="shared" si="100"/>
        <v/>
      </c>
      <c r="EE4" t="str">
        <f t="shared" si="101"/>
        <v/>
      </c>
      <c r="EF4" t="str">
        <f t="shared" si="102"/>
        <v/>
      </c>
      <c r="EG4" t="str">
        <f t="shared" si="103"/>
        <v/>
      </c>
      <c r="EH4" t="str">
        <f t="shared" si="104"/>
        <v/>
      </c>
      <c r="EI4" t="str">
        <f t="shared" si="105"/>
        <v/>
      </c>
      <c r="EJ4" t="str">
        <f t="shared" si="106"/>
        <v/>
      </c>
      <c r="EK4" t="str">
        <f t="shared" si="107"/>
        <v/>
      </c>
      <c r="EL4" t="str">
        <f t="shared" si="108"/>
        <v/>
      </c>
      <c r="EM4" t="str">
        <f t="shared" si="109"/>
        <v/>
      </c>
      <c r="EN4" t="str">
        <f t="shared" si="110"/>
        <v/>
      </c>
      <c r="EO4" t="str">
        <f t="shared" si="111"/>
        <v/>
      </c>
      <c r="EP4" t="str">
        <f t="shared" si="112"/>
        <v/>
      </c>
      <c r="EQ4" t="str">
        <f t="shared" si="113"/>
        <v/>
      </c>
      <c r="ER4" t="str">
        <f t="shared" si="114"/>
        <v/>
      </c>
      <c r="ES4" t="str">
        <f t="shared" si="115"/>
        <v/>
      </c>
      <c r="ET4" t="str">
        <f t="shared" si="116"/>
        <v/>
      </c>
      <c r="EU4" t="str">
        <f t="shared" si="117"/>
        <v/>
      </c>
      <c r="EV4" t="str">
        <f t="shared" si="118"/>
        <v/>
      </c>
      <c r="EW4" t="str">
        <f t="shared" si="119"/>
        <v/>
      </c>
      <c r="EX4" t="str">
        <f t="shared" si="120"/>
        <v/>
      </c>
      <c r="EY4" t="str">
        <f t="shared" si="121"/>
        <v/>
      </c>
    </row>
    <row r="5" spans="1:155" ht="13.9" customHeight="1" x14ac:dyDescent="0.25">
      <c r="A5" s="7"/>
      <c r="B5" s="17"/>
      <c r="C5" s="8"/>
      <c r="D5" s="17"/>
      <c r="E5" s="8"/>
      <c r="F5" s="18">
        <v>0</v>
      </c>
      <c r="G5" s="7" t="s">
        <v>147</v>
      </c>
      <c r="H5" s="18">
        <v>0</v>
      </c>
      <c r="I5" s="19">
        <v>0</v>
      </c>
      <c r="J5" s="7" t="s">
        <v>147</v>
      </c>
      <c r="K5" s="19">
        <v>0</v>
      </c>
      <c r="L5" s="9"/>
      <c r="M5" s="3" t="str">
        <f>IF($L5="","",IF($L5="DOELPUNTENMAKERS","",IF(AND(COUNTIF(#REF!,$B5)=0,COUNTIF(#REF!,$D5)=0),"OK",IF($O5&gt;20,"LET OP: meer dan 20 items (controle onvolledig)",IF((COUNTIF($R5:$AS5,"ONZEKER")+COUNTIF($CJ5:$DK5,"ONZEKER"))&gt;0,"LET OP: scoreverloop onduidelijk (controle beperkt)",IF((IF($AT5&lt;&gt;"",$AT5&amp;", ","")&amp;IF($AU5&lt;&gt;"",$AU5&amp;", ","")&amp;IF($AV5&lt;&gt;"",$AV5&amp;", ","")&amp;IF($AW5&lt;&gt;"",$AW5&amp;", ","")&amp;IF($AX5&lt;&gt;"",$AX5&amp;", ","")&amp;IF($AY5&lt;&gt;"",$AY5&amp;", ","")&amp;IF($AZ5&lt;&gt;"",$AZ5&amp;", ","")&amp;IF($BA5&lt;&gt;"",$BA5&amp;", ","")&amp;IF($BB5&lt;&gt;"",$BB5&amp;", ","")&amp;IF($BC5&lt;&gt;"",$BC5&amp;", ","")&amp;IF($DL5&lt;&gt;"",$DL5&amp;", ","")&amp;IF($DM5&lt;&gt;"",$DM5&amp;", ","")&amp;IF($DN5&lt;&gt;"",$DN5&amp;", ","")&amp;IF($DO5&lt;&gt;"",$DO5&amp;", ","")&amp;IF($DP5&lt;&gt;"",$DP5&amp;", ","")&amp;IF($DQ5&lt;&gt;"",$DQ5&amp;", ","")&amp;IF($DR5&lt;&gt;"",$DR5&amp;", ","")&amp;IF($DS5&lt;&gt;"",$DS5&amp;", ","")&amp;IF($DT5&lt;&gt;"",$DT5&amp;", ","")&amp;IF($DU5&lt;&gt;"",$DU5&amp;", ",""))="","OK","Onbekend: "&amp;LEFT((IF($AT5&lt;&gt;"",$AT5&amp;", ","")&amp;IF($AU5&lt;&gt;"",$AU5&amp;", ","")&amp;IF($AV5&lt;&gt;"",$AV5&amp;", ","")&amp;IF($AW5&lt;&gt;"",$AW5&amp;", ","")&amp;IF($AX5&lt;&gt;"",$AX5&amp;", ","")&amp;IF($AY5&lt;&gt;"",$AY5&amp;", ","")&amp;IF($AZ5&lt;&gt;"",$AZ5&amp;", ","")&amp;IF($BA5&lt;&gt;"",$BA5&amp;", ","")&amp;IF($BB5&lt;&gt;"",$BB5&amp;", ","")&amp;IF($BC5&lt;&gt;"",$BC5&amp;", ","")&amp;IF($DL5&lt;&gt;"",$DL5&amp;", ","")&amp;IF($DM5&lt;&gt;"",$DM5&amp;", ","")&amp;IF($DN5&lt;&gt;"",$DN5&amp;", ","")&amp;IF($DO5&lt;&gt;"",$DO5&amp;", ","")&amp;IF($DP5&lt;&gt;"",$DP5&amp;", ","")&amp;IF($DQ5&lt;&gt;"",$DQ5&amp;", ","")&amp;IF($DR5&lt;&gt;"",$DR5&amp;", ","")&amp;IF($DS5&lt;&gt;"",$DS5&amp;", ","")&amp;IF($DT5&lt;&gt;"",$DT5&amp;", ","")&amp;IF($DU5&lt;&gt;"",$DU5&amp;", ","")),LEN((IF($AT5&lt;&gt;"",$AT5&amp;", ","")&amp;IF($AU5&lt;&gt;"",$AU5&amp;", ","")&amp;IF($AV5&lt;&gt;"",$AV5&amp;", ","")&amp;IF($AW5&lt;&gt;"",$AW5&amp;", ","")&amp;IF($AX5&lt;&gt;"",$AX5&amp;", ","")&amp;IF($AY5&lt;&gt;"",$AY5&amp;", ","")&amp;IF($AZ5&lt;&gt;"",$AZ5&amp;", ","")&amp;IF($BA5&lt;&gt;"",$BA5&amp;", ","")&amp;IF($BB5&lt;&gt;"",$BB5&amp;", ","")&amp;IF($BC5&lt;&gt;"",$BC5&amp;", ","")&amp;IF($DL5&lt;&gt;"",$DL5&amp;", ","")&amp;IF($DM5&lt;&gt;"",$DM5&amp;", ","")&amp;IF($DN5&lt;&gt;"",$DN5&amp;", ","")&amp;IF($DO5&lt;&gt;"",$DO5&amp;", ","")&amp;IF($DP5&lt;&gt;"",$DP5&amp;", ","")&amp;IF($DQ5&lt;&gt;"",$DQ5&amp;", ","")&amp;IF($DR5&lt;&gt;"",$DR5&amp;", ","")&amp;IF($DS5&lt;&gt;"",$DS5&amp;", ","")&amp;IF($DT5&lt;&gt;"",$DT5&amp;", ","")&amp;IF($DU5&lt;&gt;"",$DU5&amp;", ","")))-2)))))))</f>
        <v/>
      </c>
      <c r="N5" t="str">
        <f t="shared" si="0"/>
        <v/>
      </c>
      <c r="O5" t="str">
        <f t="shared" si="1"/>
        <v/>
      </c>
      <c r="P5" t="str">
        <f t="shared" si="2"/>
        <v/>
      </c>
      <c r="Q5" t="str">
        <f t="shared" si="3"/>
        <v/>
      </c>
      <c r="R5" t="str">
        <f>IF($Q5="","",IF(OR($BE5="",$BF5=""),"ONZEKER",IF(AND($BE5=0+1,$BF5=0),IF(OR(COUNTIF(#REF!,$B5)&gt;0,COUNTIF(#REF!,$B5)=0),"SKIP",IF(COUNTIFS(#REF!,$B5,#REF!,$Q5)&gt;0,"OK","ONBEKEND")),IF(AND($BE5=0,$BF5=0+1),IF(OR(COUNTIF(#REF!,$D5)&gt;0,COUNTIF(#REF!,$D5)=0),"SKIP",IF(COUNTIFS(#REF!,$D5,#REF!,$Q5)&gt;0,"OK","ONBEKEND")),"ONZEKER"))))</f>
        <v/>
      </c>
      <c r="S5" t="str">
        <f t="shared" si="4"/>
        <v/>
      </c>
      <c r="T5" t="str">
        <f t="shared" si="5"/>
        <v/>
      </c>
      <c r="U5" t="str">
        <f>IF($T5="","",IF(OR($BH5="",$BI5=""),"ONZEKER",IF(OR($BE5="",$BF5=""),"ONZEKER",IF(AND($BH5=$BE5+1,$BI5=$BF5),IF(OR(COUNTIF(#REF!,$B5)&gt;0,COUNTIF(#REF!,$B5)=0),"SKIP",IF(COUNTIFS(#REF!,$B5,#REF!,$T5)&gt;0,"OK","ONBEKEND")),IF(AND($BH5=$BE5,$BI5=$BF5+1),IF(OR(COUNTIF(#REF!,$D5)&gt;0,COUNTIF(#REF!,$D5)=0),"SKIP",IF(COUNTIFS(#REF!,$D5,#REF!,$T5)&gt;0,"OK","ONBEKEND")),"ONZEKER")))))</f>
        <v/>
      </c>
      <c r="V5" t="str">
        <f t="shared" si="6"/>
        <v/>
      </c>
      <c r="W5" t="str">
        <f t="shared" si="7"/>
        <v/>
      </c>
      <c r="X5" t="str">
        <f>IF($W5="","",IF(OR($BK5="",$BL5=""),"ONZEKER",IF(OR($BH5="",$BI5=""),"ONZEKER",IF(AND($BK5=$BH5+1,$BL5=$BI5),IF(OR(COUNTIF(#REF!,$B5)&gt;0,COUNTIF(#REF!,$B5)=0),"SKIP",IF(COUNTIFS(#REF!,$B5,#REF!,$W5)&gt;0,"OK","ONBEKEND")),IF(AND($BK5=$BH5,$BL5=$BI5+1),IF(OR(COUNTIF(#REF!,$D5)&gt;0,COUNTIF(#REF!,$D5)=0),"SKIP",IF(COUNTIFS(#REF!,$D5,#REF!,$W5)&gt;0,"OK","ONBEKEND")),"ONZEKER")))))</f>
        <v/>
      </c>
      <c r="Y5" t="str">
        <f t="shared" si="8"/>
        <v/>
      </c>
      <c r="Z5" t="str">
        <f t="shared" si="9"/>
        <v/>
      </c>
      <c r="AA5" t="str">
        <f>IF($Z5="","",IF(OR($BN5="",$BO5=""),"ONZEKER",IF(OR($BK5="",$BL5=""),"ONZEKER",IF(AND($BN5=$BK5+1,$BO5=$BL5),IF(OR(COUNTIF(#REF!,$B5)&gt;0,COUNTIF(#REF!,$B5)=0),"SKIP",IF(COUNTIFS(#REF!,$B5,#REF!,$Z5)&gt;0,"OK","ONBEKEND")),IF(AND($BN5=$BK5,$BO5=$BL5+1),IF(OR(COUNTIF(#REF!,$D5)&gt;0,COUNTIF(#REF!,$D5)=0),"SKIP",IF(COUNTIFS(#REF!,$D5,#REF!,$Z5)&gt;0,"OK","ONBEKEND")),"ONZEKER")))))</f>
        <v/>
      </c>
      <c r="AB5" t="str">
        <f t="shared" si="10"/>
        <v/>
      </c>
      <c r="AC5" t="str">
        <f t="shared" si="11"/>
        <v/>
      </c>
      <c r="AD5" t="str">
        <f>IF($AC5="","",IF(OR($BQ5="",$BR5=""),"ONZEKER",IF(OR($BN5="",$BO5=""),"ONZEKER",IF(AND($BQ5=$BN5+1,$BR5=$BO5),IF(OR(COUNTIF(#REF!,$B5)&gt;0,COUNTIF(#REF!,$B5)=0),"SKIP",IF(COUNTIFS(#REF!,$B5,#REF!,$AC5)&gt;0,"OK","ONBEKEND")),IF(AND($BQ5=$BN5,$BR5=$BO5+1),IF(OR(COUNTIF(#REF!,$D5)&gt;0,COUNTIF(#REF!,$D5)=0),"SKIP",IF(COUNTIFS(#REF!,$D5,#REF!,$AC5)&gt;0,"OK","ONBEKEND")),"ONZEKER")))))</f>
        <v/>
      </c>
      <c r="AE5" t="str">
        <f t="shared" si="12"/>
        <v/>
      </c>
      <c r="AF5" t="str">
        <f t="shared" si="13"/>
        <v/>
      </c>
      <c r="AG5" t="str">
        <f>IF($AF5="","",IF(OR($BT5="",$BU5=""),"ONZEKER",IF(OR($BQ5="",$BR5=""),"ONZEKER",IF(AND($BT5=$BQ5+1,$BU5=$BR5),IF(OR(COUNTIF(#REF!,$B5)&gt;0,COUNTIF(#REF!,$B5)=0),"SKIP",IF(COUNTIFS(#REF!,$B5,#REF!,$AF5)&gt;0,"OK","ONBEKEND")),IF(AND($BT5=$BQ5,$BU5=$BR5+1),IF(OR(COUNTIF(#REF!,$D5)&gt;0,COUNTIF(#REF!,$D5)=0),"SKIP",IF(COUNTIFS(#REF!,$D5,#REF!,$AF5)&gt;0,"OK","ONBEKEND")),"ONZEKER")))))</f>
        <v/>
      </c>
      <c r="AH5" t="str">
        <f t="shared" si="14"/>
        <v/>
      </c>
      <c r="AI5" t="str">
        <f t="shared" si="15"/>
        <v/>
      </c>
      <c r="AJ5" t="str">
        <f>IF($AI5="","",IF(OR($BW5="",$BX5=""),"ONZEKER",IF(OR($BT5="",$BU5=""),"ONZEKER",IF(AND($BW5=$BT5+1,$BX5=$BU5),IF(OR(COUNTIF(#REF!,$B5)&gt;0,COUNTIF(#REF!,$B5)=0),"SKIP",IF(COUNTIFS(#REF!,$B5,#REF!,$AI5)&gt;0,"OK","ONBEKEND")),IF(AND($BW5=$BT5,$BX5=$BU5+1),IF(OR(COUNTIF(#REF!,$D5)&gt;0,COUNTIF(#REF!,$D5)=0),"SKIP",IF(COUNTIFS(#REF!,$D5,#REF!,$AI5)&gt;0,"OK","ONBEKEND")),"ONZEKER")))))</f>
        <v/>
      </c>
      <c r="AK5" t="str">
        <f t="shared" si="16"/>
        <v/>
      </c>
      <c r="AL5" t="str">
        <f t="shared" si="17"/>
        <v/>
      </c>
      <c r="AM5" t="str">
        <f>IF($AL5="","",IF(OR($BZ5="",$CA5=""),"ONZEKER",IF(OR($BW5="",$BX5=""),"ONZEKER",IF(AND($BZ5=$BW5+1,$CA5=$BX5),IF(OR(COUNTIF(#REF!,$B5)&gt;0,COUNTIF(#REF!,$B5)=0),"SKIP",IF(COUNTIFS(#REF!,$B5,#REF!,$AL5)&gt;0,"OK","ONBEKEND")),IF(AND($BZ5=$BW5,$CA5=$BX5+1),IF(OR(COUNTIF(#REF!,$D5)&gt;0,COUNTIF(#REF!,$D5)=0),"SKIP",IF(COUNTIFS(#REF!,$D5,#REF!,$AL5)&gt;0,"OK","ONBEKEND")),"ONZEKER")))))</f>
        <v/>
      </c>
      <c r="AN5" t="str">
        <f t="shared" si="18"/>
        <v/>
      </c>
      <c r="AO5" t="str">
        <f t="shared" si="19"/>
        <v/>
      </c>
      <c r="AP5" t="str">
        <f>IF($AO5="","",IF(OR($CC5="",$CD5=""),"ONZEKER",IF(OR($BZ5="",$CA5=""),"ONZEKER",IF(AND($CC5=$BZ5+1,$CD5=$CA5),IF(OR(COUNTIF(#REF!,$B5)&gt;0,COUNTIF(#REF!,$B5)=0),"SKIP",IF(COUNTIFS(#REF!,$B5,#REF!,$AO5)&gt;0,"OK","ONBEKEND")),IF(AND($CC5=$BZ5,$CD5=$CA5+1),IF(OR(COUNTIF(#REF!,$D5)&gt;0,COUNTIF(#REF!,$D5)=0),"SKIP",IF(COUNTIFS(#REF!,$D5,#REF!,$AO5)&gt;0,"OK","ONBEKEND")),"ONZEKER")))))</f>
        <v/>
      </c>
      <c r="AQ5" t="str">
        <f t="shared" si="20"/>
        <v/>
      </c>
      <c r="AR5" t="str">
        <f t="shared" si="21"/>
        <v/>
      </c>
      <c r="AS5" t="str">
        <f>IF($AR5="","",IF(OR($CF5="",$CG5=""),"ONZEKER",IF(OR($CC5="",$CD5=""),"ONZEKER",IF(AND($CF5=$CC5+1,$CG5=$CD5),IF(OR(COUNTIF(#REF!,$B5)&gt;0,COUNTIF(#REF!,$B5)=0),"SKIP",IF(COUNTIFS(#REF!,$B5,#REF!,$AR5)&gt;0,"OK","ONBEKEND")),IF(AND($CF5=$CC5,$CG5=$CD5+1),IF(OR(COUNTIF(#REF!,$D5)&gt;0,COUNTIF(#REF!,$D5)=0),"SKIP",IF(COUNTIFS(#REF!,$D5,#REF!,$AR5)&gt;0,"OK","ONBEKEND")),"ONZEKER")))))</f>
        <v/>
      </c>
      <c r="AT5" t="str">
        <f t="shared" si="22"/>
        <v/>
      </c>
      <c r="AU5" t="str">
        <f t="shared" si="23"/>
        <v/>
      </c>
      <c r="AV5" t="str">
        <f t="shared" si="24"/>
        <v/>
      </c>
      <c r="AW5" t="str">
        <f t="shared" si="25"/>
        <v/>
      </c>
      <c r="AX5" t="str">
        <f t="shared" si="26"/>
        <v/>
      </c>
      <c r="AY5" t="str">
        <f t="shared" si="27"/>
        <v/>
      </c>
      <c r="AZ5" t="str">
        <f t="shared" si="28"/>
        <v/>
      </c>
      <c r="BA5" t="str">
        <f t="shared" si="29"/>
        <v/>
      </c>
      <c r="BB5" t="str">
        <f t="shared" si="30"/>
        <v/>
      </c>
      <c r="BC5" t="str">
        <f t="shared" si="31"/>
        <v/>
      </c>
      <c r="BD5" t="str">
        <f t="shared" si="32"/>
        <v/>
      </c>
      <c r="BE5" t="str">
        <f t="shared" si="33"/>
        <v/>
      </c>
      <c r="BF5" t="str">
        <f t="shared" si="34"/>
        <v/>
      </c>
      <c r="BG5" t="str">
        <f t="shared" si="35"/>
        <v/>
      </c>
      <c r="BH5" t="str">
        <f t="shared" si="36"/>
        <v/>
      </c>
      <c r="BI5" t="str">
        <f t="shared" si="37"/>
        <v/>
      </c>
      <c r="BJ5" t="str">
        <f t="shared" si="38"/>
        <v/>
      </c>
      <c r="BK5" t="str">
        <f t="shared" si="39"/>
        <v/>
      </c>
      <c r="BL5" t="str">
        <f t="shared" si="40"/>
        <v/>
      </c>
      <c r="BM5" t="str">
        <f t="shared" si="41"/>
        <v/>
      </c>
      <c r="BN5" t="str">
        <f t="shared" si="42"/>
        <v/>
      </c>
      <c r="BO5" t="str">
        <f t="shared" si="43"/>
        <v/>
      </c>
      <c r="BP5" t="str">
        <f t="shared" si="44"/>
        <v/>
      </c>
      <c r="BQ5" t="str">
        <f t="shared" si="45"/>
        <v/>
      </c>
      <c r="BR5" t="str">
        <f t="shared" si="46"/>
        <v/>
      </c>
      <c r="BS5" t="str">
        <f t="shared" si="47"/>
        <v/>
      </c>
      <c r="BT5" t="str">
        <f t="shared" si="48"/>
        <v/>
      </c>
      <c r="BU5" t="str">
        <f t="shared" si="49"/>
        <v/>
      </c>
      <c r="BV5" t="str">
        <f t="shared" si="50"/>
        <v/>
      </c>
      <c r="BW5" t="str">
        <f t="shared" si="51"/>
        <v/>
      </c>
      <c r="BX5" t="str">
        <f t="shared" si="52"/>
        <v/>
      </c>
      <c r="BY5" t="str">
        <f t="shared" si="53"/>
        <v/>
      </c>
      <c r="BZ5" t="str">
        <f t="shared" si="54"/>
        <v/>
      </c>
      <c r="CA5" t="str">
        <f t="shared" si="55"/>
        <v/>
      </c>
      <c r="CB5" t="str">
        <f t="shared" si="56"/>
        <v/>
      </c>
      <c r="CC5" t="str">
        <f t="shared" si="57"/>
        <v/>
      </c>
      <c r="CD5" t="str">
        <f t="shared" si="58"/>
        <v/>
      </c>
      <c r="CE5" t="str">
        <f t="shared" si="59"/>
        <v/>
      </c>
      <c r="CF5" t="str">
        <f t="shared" si="60"/>
        <v/>
      </c>
      <c r="CG5" t="str">
        <f t="shared" si="61"/>
        <v/>
      </c>
      <c r="CH5" t="str">
        <f t="shared" si="62"/>
        <v/>
      </c>
      <c r="CI5" t="str">
        <f t="shared" si="63"/>
        <v/>
      </c>
      <c r="CJ5" t="str">
        <f>IF($CI5="","",IF(OR($DW5="",$DX5=""),"ONZEKER",IF(OR($CF5="",$CG5=""),"ONZEKER",IF(AND($DW5=$CF5+1,$DX5=$CG5),IF(OR(COUNTIF(#REF!,$B5)&gt;0,COUNTIF(#REF!,$B5)=0),"SKIP",IF(COUNTIFS(#REF!,$B5,#REF!,$CI5)&gt;0,"OK","ONBEKEND")),IF(AND($DW5=$CF5,$DX5=$CG5+1),IF(OR(COUNTIF(#REF!,$D5)&gt;0,COUNTIF(#REF!,$D5)=0),"SKIP",IF(COUNTIFS(#REF!,$D5,#REF!,$CI5)&gt;0,"OK","ONBEKEND")),"ONZEKER")))))</f>
        <v/>
      </c>
      <c r="CK5" t="str">
        <f t="shared" si="64"/>
        <v/>
      </c>
      <c r="CL5" t="str">
        <f t="shared" si="65"/>
        <v/>
      </c>
      <c r="CM5" t="str">
        <f>IF($CL5="","",IF(OR($DZ5="",$EA5=""),"ONZEKER",IF(OR($DW5="",$DX5=""),"ONZEKER",IF(AND($DZ5=$DW5+1,$EA5=$DX5),IF(OR(COUNTIF(#REF!,$B5)&gt;0,COUNTIF(#REF!,$B5)=0),"SKIP",IF(COUNTIFS(#REF!,$B5,#REF!,$CL5)&gt;0,"OK","ONBEKEND")),IF(AND($DZ5=$DW5,$EA5=$DX5+1),IF(OR(COUNTIF(#REF!,$D5)&gt;0,COUNTIF(#REF!,$D5)=0),"SKIP",IF(COUNTIFS(#REF!,$D5,#REF!,$CL5)&gt;0,"OK","ONBEKEND")),"ONZEKER")))))</f>
        <v/>
      </c>
      <c r="CN5" t="str">
        <f t="shared" si="66"/>
        <v/>
      </c>
      <c r="CO5" t="str">
        <f t="shared" si="67"/>
        <v/>
      </c>
      <c r="CP5" t="str">
        <f>IF($CO5="","",IF(OR($EC5="",$ED5=""),"ONZEKER",IF(OR($DZ5="",$EA5=""),"ONZEKER",IF(AND($EC5=$DZ5+1,$ED5=$EA5),IF(OR(COUNTIF(#REF!,$B5)&gt;0,COUNTIF(#REF!,$B5)=0),"SKIP",IF(COUNTIFS(#REF!,$B5,#REF!,$CO5)&gt;0,"OK","ONBEKEND")),IF(AND($EC5=$DZ5,$ED5=$EA5+1),IF(OR(COUNTIF(#REF!,$D5)&gt;0,COUNTIF(#REF!,$D5)=0),"SKIP",IF(COUNTIFS(#REF!,$D5,#REF!,$CO5)&gt;0,"OK","ONBEKEND")),"ONZEKER")))))</f>
        <v/>
      </c>
      <c r="CQ5" t="str">
        <f t="shared" si="68"/>
        <v/>
      </c>
      <c r="CR5" t="str">
        <f t="shared" si="69"/>
        <v/>
      </c>
      <c r="CS5" t="str">
        <f>IF($CR5="","",IF(OR($EF5="",$EG5=""),"ONZEKER",IF(OR($EC5="",$ED5=""),"ONZEKER",IF(AND($EF5=$EC5+1,$EG5=$ED5),IF(OR(COUNTIF(#REF!,$B5)&gt;0,COUNTIF(#REF!,$B5)=0),"SKIP",IF(COUNTIFS(#REF!,$B5,#REF!,$CR5)&gt;0,"OK","ONBEKEND")),IF(AND($EF5=$EC5,$EG5=$ED5+1),IF(OR(COUNTIF(#REF!,$D5)&gt;0,COUNTIF(#REF!,$D5)=0),"SKIP",IF(COUNTIFS(#REF!,$D5,#REF!,$CR5)&gt;0,"OK","ONBEKEND")),"ONZEKER")))))</f>
        <v/>
      </c>
      <c r="CT5" t="str">
        <f t="shared" si="70"/>
        <v/>
      </c>
      <c r="CU5" t="str">
        <f t="shared" si="71"/>
        <v/>
      </c>
      <c r="CV5" t="str">
        <f>IF($CU5="","",IF(OR($EI5="",$EJ5=""),"ONZEKER",IF(OR($EF5="",$EG5=""),"ONZEKER",IF(AND($EI5=$EF5+1,$EJ5=$EG5),IF(OR(COUNTIF(#REF!,$B5)&gt;0,COUNTIF(#REF!,$B5)=0),"SKIP",IF(COUNTIFS(#REF!,$B5,#REF!,$CU5)&gt;0,"OK","ONBEKEND")),IF(AND($EI5=$EF5,$EJ5=$EG5+1),IF(OR(COUNTIF(#REF!,$D5)&gt;0,COUNTIF(#REF!,$D5)=0),"SKIP",IF(COUNTIFS(#REF!,$D5,#REF!,$CU5)&gt;0,"OK","ONBEKEND")),"ONZEKER")))))</f>
        <v/>
      </c>
      <c r="CW5" t="str">
        <f t="shared" si="72"/>
        <v/>
      </c>
      <c r="CX5" t="str">
        <f t="shared" si="73"/>
        <v/>
      </c>
      <c r="CY5" t="str">
        <f>IF($CX5="","",IF(OR($EL5="",$EM5=""),"ONZEKER",IF(OR($EI5="",$EJ5=""),"ONZEKER",IF(AND($EL5=$EI5+1,$EM5=$EJ5),IF(OR(COUNTIF(#REF!,$B5)&gt;0,COUNTIF(#REF!,$B5)=0),"SKIP",IF(COUNTIFS(#REF!,$B5,#REF!,$CX5)&gt;0,"OK","ONBEKEND")),IF(AND($EL5=$EI5,$EM5=$EJ5+1),IF(OR(COUNTIF(#REF!,$D5)&gt;0,COUNTIF(#REF!,$D5)=0),"SKIP",IF(COUNTIFS(#REF!,$D5,#REF!,$CX5)&gt;0,"OK","ONBEKEND")),"ONZEKER")))))</f>
        <v/>
      </c>
      <c r="CZ5" t="str">
        <f t="shared" si="74"/>
        <v/>
      </c>
      <c r="DA5" t="str">
        <f t="shared" si="75"/>
        <v/>
      </c>
      <c r="DB5" t="str">
        <f>IF($DA5="","",IF(OR($EO5="",$EP5=""),"ONZEKER",IF(OR($EL5="",$EM5=""),"ONZEKER",IF(AND($EO5=$EL5+1,$EP5=$EM5),IF(OR(COUNTIF(#REF!,$B5)&gt;0,COUNTIF(#REF!,$B5)=0),"SKIP",IF(COUNTIFS(#REF!,$B5,#REF!,$DA5)&gt;0,"OK","ONBEKEND")),IF(AND($EO5=$EL5,$EP5=$EM5+1),IF(OR(COUNTIF(#REF!,$D5)&gt;0,COUNTIF(#REF!,$D5)=0),"SKIP",IF(COUNTIFS(#REF!,$D5,#REF!,$DA5)&gt;0,"OK","ONBEKEND")),"ONZEKER")))))</f>
        <v/>
      </c>
      <c r="DC5" t="str">
        <f t="shared" si="76"/>
        <v/>
      </c>
      <c r="DD5" t="str">
        <f t="shared" si="77"/>
        <v/>
      </c>
      <c r="DE5" t="str">
        <f>IF($DD5="","",IF(OR($ER5="",$ES5=""),"ONZEKER",IF(OR($EO5="",$EP5=""),"ONZEKER",IF(AND($ER5=$EO5+1,$ES5=$EP5),IF(OR(COUNTIF(#REF!,$B5)&gt;0,COUNTIF(#REF!,$B5)=0),"SKIP",IF(COUNTIFS(#REF!,$B5,#REF!,$DD5)&gt;0,"OK","ONBEKEND")),IF(AND($ER5=$EO5,$ES5=$EP5+1),IF(OR(COUNTIF(#REF!,$D5)&gt;0,COUNTIF(#REF!,$D5)=0),"SKIP",IF(COUNTIFS(#REF!,$D5,#REF!,$DD5)&gt;0,"OK","ONBEKEND")),"ONZEKER")))))</f>
        <v/>
      </c>
      <c r="DF5" t="str">
        <f t="shared" si="78"/>
        <v/>
      </c>
      <c r="DG5" t="str">
        <f t="shared" si="79"/>
        <v/>
      </c>
      <c r="DH5" t="str">
        <f>IF($DG5="","",IF(OR($EU5="",$EV5=""),"ONZEKER",IF(OR($ER5="",$ES5=""),"ONZEKER",IF(AND($EU5=$ER5+1,$EV5=$ES5),IF(OR(COUNTIF(#REF!,$B5)&gt;0,COUNTIF(#REF!,$B5)=0),"SKIP",IF(COUNTIFS(#REF!,$B5,#REF!,$DG5)&gt;0,"OK","ONBEKEND")),IF(AND($EU5=$ER5,$EV5=$ES5+1),IF(OR(COUNTIF(#REF!,$D5)&gt;0,COUNTIF(#REF!,$D5)=0),"SKIP",IF(COUNTIFS(#REF!,$D5,#REF!,$DG5)&gt;0,"OK","ONBEKEND")),"ONZEKER")))))</f>
        <v/>
      </c>
      <c r="DI5" t="str">
        <f t="shared" si="80"/>
        <v/>
      </c>
      <c r="DJ5" t="str">
        <f t="shared" si="81"/>
        <v/>
      </c>
      <c r="DK5" t="str">
        <f>IF($DJ5="","",IF(OR($EX5="",$EY5=""),"ONZEKER",IF(OR($EU5="",$EV5=""),"ONZEKER",IF(AND($EX5=$EU5+1,$EY5=$EV5),IF(OR(COUNTIF(#REF!,$B5)&gt;0,COUNTIF(#REF!,$B5)=0),"SKIP",IF(COUNTIFS(#REF!,$B5,#REF!,$DJ5)&gt;0,"OK","ONBEKEND")),IF(AND($EX5=$EU5,$EY5=$EV5+1),IF(OR(COUNTIF(#REF!,$D5)&gt;0,COUNTIF(#REF!,$D5)=0),"SKIP",IF(COUNTIFS(#REF!,$D5,#REF!,$DJ5)&gt;0,"OK","ONBEKEND")),"ONZEKER")))))</f>
        <v/>
      </c>
      <c r="DL5" t="str">
        <f t="shared" si="82"/>
        <v/>
      </c>
      <c r="DM5" t="str">
        <f t="shared" si="83"/>
        <v/>
      </c>
      <c r="DN5" t="str">
        <f t="shared" si="84"/>
        <v/>
      </c>
      <c r="DO5" t="str">
        <f t="shared" si="85"/>
        <v/>
      </c>
      <c r="DP5" t="str">
        <f t="shared" si="86"/>
        <v/>
      </c>
      <c r="DQ5" t="str">
        <f t="shared" si="87"/>
        <v/>
      </c>
      <c r="DR5" t="str">
        <f t="shared" si="88"/>
        <v/>
      </c>
      <c r="DS5" t="str">
        <f t="shared" si="89"/>
        <v/>
      </c>
      <c r="DT5" t="str">
        <f t="shared" si="90"/>
        <v/>
      </c>
      <c r="DU5" t="str">
        <f t="shared" si="91"/>
        <v/>
      </c>
      <c r="DV5" t="str">
        <f t="shared" si="92"/>
        <v/>
      </c>
      <c r="DW5" t="str">
        <f t="shared" si="93"/>
        <v/>
      </c>
      <c r="DX5" t="str">
        <f t="shared" si="94"/>
        <v/>
      </c>
      <c r="DY5" t="str">
        <f t="shared" si="95"/>
        <v/>
      </c>
      <c r="DZ5" t="str">
        <f t="shared" si="96"/>
        <v/>
      </c>
      <c r="EA5" t="str">
        <f t="shared" si="97"/>
        <v/>
      </c>
      <c r="EB5" t="str">
        <f t="shared" si="98"/>
        <v/>
      </c>
      <c r="EC5" t="str">
        <f t="shared" si="99"/>
        <v/>
      </c>
      <c r="ED5" t="str">
        <f t="shared" si="100"/>
        <v/>
      </c>
      <c r="EE5" t="str">
        <f t="shared" si="101"/>
        <v/>
      </c>
      <c r="EF5" t="str">
        <f t="shared" si="102"/>
        <v/>
      </c>
      <c r="EG5" t="str">
        <f t="shared" si="103"/>
        <v/>
      </c>
      <c r="EH5" t="str">
        <f t="shared" si="104"/>
        <v/>
      </c>
      <c r="EI5" t="str">
        <f t="shared" si="105"/>
        <v/>
      </c>
      <c r="EJ5" t="str">
        <f t="shared" si="106"/>
        <v/>
      </c>
      <c r="EK5" t="str">
        <f t="shared" si="107"/>
        <v/>
      </c>
      <c r="EL5" t="str">
        <f t="shared" si="108"/>
        <v/>
      </c>
      <c r="EM5" t="str">
        <f t="shared" si="109"/>
        <v/>
      </c>
      <c r="EN5" t="str">
        <f t="shared" si="110"/>
        <v/>
      </c>
      <c r="EO5" t="str">
        <f t="shared" si="111"/>
        <v/>
      </c>
      <c r="EP5" t="str">
        <f t="shared" si="112"/>
        <v/>
      </c>
      <c r="EQ5" t="str">
        <f t="shared" si="113"/>
        <v/>
      </c>
      <c r="ER5" t="str">
        <f t="shared" si="114"/>
        <v/>
      </c>
      <c r="ES5" t="str">
        <f t="shared" si="115"/>
        <v/>
      </c>
      <c r="ET5" t="str">
        <f t="shared" si="116"/>
        <v/>
      </c>
      <c r="EU5" t="str">
        <f t="shared" si="117"/>
        <v/>
      </c>
      <c r="EV5" t="str">
        <f t="shared" si="118"/>
        <v/>
      </c>
      <c r="EW5" t="str">
        <f t="shared" si="119"/>
        <v/>
      </c>
      <c r="EX5" t="str">
        <f t="shared" si="120"/>
        <v/>
      </c>
      <c r="EY5" t="str">
        <f t="shared" si="121"/>
        <v/>
      </c>
    </row>
    <row r="6" spans="1:155" ht="13.9" customHeight="1" x14ac:dyDescent="0.25">
      <c r="A6" s="7"/>
      <c r="B6" s="17"/>
      <c r="C6" s="8"/>
      <c r="D6" s="17"/>
      <c r="E6" s="8"/>
      <c r="F6" s="18">
        <v>0</v>
      </c>
      <c r="G6" s="7" t="s">
        <v>147</v>
      </c>
      <c r="H6" s="18">
        <v>0</v>
      </c>
      <c r="I6" s="19">
        <v>0</v>
      </c>
      <c r="J6" s="7" t="s">
        <v>147</v>
      </c>
      <c r="K6" s="19">
        <v>0</v>
      </c>
      <c r="L6" s="9"/>
      <c r="M6" s="3" t="str">
        <f>IF($L6="","",IF($L6="DOELPUNTENMAKERS","",IF(AND(COUNTIF(#REF!,$B6)=0,COUNTIF(#REF!,$D6)=0),"OK",IF($O6&gt;20,"LET OP: meer dan 20 items (controle onvolledig)",IF((COUNTIF($R6:$AS6,"ONZEKER")+COUNTIF($CJ6:$DK6,"ONZEKER"))&gt;0,"LET OP: scoreverloop onduidelijk (controle beperkt)",IF((IF($AT6&lt;&gt;"",$AT6&amp;", ","")&amp;IF($AU6&lt;&gt;"",$AU6&amp;", ","")&amp;IF($AV6&lt;&gt;"",$AV6&amp;", ","")&amp;IF($AW6&lt;&gt;"",$AW6&amp;", ","")&amp;IF($AX6&lt;&gt;"",$AX6&amp;", ","")&amp;IF($AY6&lt;&gt;"",$AY6&amp;", ","")&amp;IF($AZ6&lt;&gt;"",$AZ6&amp;", ","")&amp;IF($BA6&lt;&gt;"",$BA6&amp;", ","")&amp;IF($BB6&lt;&gt;"",$BB6&amp;", ","")&amp;IF($BC6&lt;&gt;"",$BC6&amp;", ","")&amp;IF($DL6&lt;&gt;"",$DL6&amp;", ","")&amp;IF($DM6&lt;&gt;"",$DM6&amp;", ","")&amp;IF($DN6&lt;&gt;"",$DN6&amp;", ","")&amp;IF($DO6&lt;&gt;"",$DO6&amp;", ","")&amp;IF($DP6&lt;&gt;"",$DP6&amp;", ","")&amp;IF($DQ6&lt;&gt;"",$DQ6&amp;", ","")&amp;IF($DR6&lt;&gt;"",$DR6&amp;", ","")&amp;IF($DS6&lt;&gt;"",$DS6&amp;", ","")&amp;IF($DT6&lt;&gt;"",$DT6&amp;", ","")&amp;IF($DU6&lt;&gt;"",$DU6&amp;", ",""))="","OK","Onbekend: "&amp;LEFT((IF($AT6&lt;&gt;"",$AT6&amp;", ","")&amp;IF($AU6&lt;&gt;"",$AU6&amp;", ","")&amp;IF($AV6&lt;&gt;"",$AV6&amp;", ","")&amp;IF($AW6&lt;&gt;"",$AW6&amp;", ","")&amp;IF($AX6&lt;&gt;"",$AX6&amp;", ","")&amp;IF($AY6&lt;&gt;"",$AY6&amp;", ","")&amp;IF($AZ6&lt;&gt;"",$AZ6&amp;", ","")&amp;IF($BA6&lt;&gt;"",$BA6&amp;", ","")&amp;IF($BB6&lt;&gt;"",$BB6&amp;", ","")&amp;IF($BC6&lt;&gt;"",$BC6&amp;", ","")&amp;IF($DL6&lt;&gt;"",$DL6&amp;", ","")&amp;IF($DM6&lt;&gt;"",$DM6&amp;", ","")&amp;IF($DN6&lt;&gt;"",$DN6&amp;", ","")&amp;IF($DO6&lt;&gt;"",$DO6&amp;", ","")&amp;IF($DP6&lt;&gt;"",$DP6&amp;", ","")&amp;IF($DQ6&lt;&gt;"",$DQ6&amp;", ","")&amp;IF($DR6&lt;&gt;"",$DR6&amp;", ","")&amp;IF($DS6&lt;&gt;"",$DS6&amp;", ","")&amp;IF($DT6&lt;&gt;"",$DT6&amp;", ","")&amp;IF($DU6&lt;&gt;"",$DU6&amp;", ","")),LEN((IF($AT6&lt;&gt;"",$AT6&amp;", ","")&amp;IF($AU6&lt;&gt;"",$AU6&amp;", ","")&amp;IF($AV6&lt;&gt;"",$AV6&amp;", ","")&amp;IF($AW6&lt;&gt;"",$AW6&amp;", ","")&amp;IF($AX6&lt;&gt;"",$AX6&amp;", ","")&amp;IF($AY6&lt;&gt;"",$AY6&amp;", ","")&amp;IF($AZ6&lt;&gt;"",$AZ6&amp;", ","")&amp;IF($BA6&lt;&gt;"",$BA6&amp;", ","")&amp;IF($BB6&lt;&gt;"",$BB6&amp;", ","")&amp;IF($BC6&lt;&gt;"",$BC6&amp;", ","")&amp;IF($DL6&lt;&gt;"",$DL6&amp;", ","")&amp;IF($DM6&lt;&gt;"",$DM6&amp;", ","")&amp;IF($DN6&lt;&gt;"",$DN6&amp;", ","")&amp;IF($DO6&lt;&gt;"",$DO6&amp;", ","")&amp;IF($DP6&lt;&gt;"",$DP6&amp;", ","")&amp;IF($DQ6&lt;&gt;"",$DQ6&amp;", ","")&amp;IF($DR6&lt;&gt;"",$DR6&amp;", ","")&amp;IF($DS6&lt;&gt;"",$DS6&amp;", ","")&amp;IF($DT6&lt;&gt;"",$DT6&amp;", ","")&amp;IF($DU6&lt;&gt;"",$DU6&amp;", ","")))-2)))))))</f>
        <v/>
      </c>
      <c r="N6" t="str">
        <f t="shared" si="0"/>
        <v/>
      </c>
      <c r="O6" t="str">
        <f t="shared" si="1"/>
        <v/>
      </c>
      <c r="P6" t="str">
        <f t="shared" si="2"/>
        <v/>
      </c>
      <c r="Q6" t="str">
        <f t="shared" si="3"/>
        <v/>
      </c>
      <c r="R6" t="str">
        <f>IF($Q6="","",IF(OR($BE6="",$BF6=""),"ONZEKER",IF(AND($BE6=0+1,$BF6=0),IF(OR(COUNTIF(#REF!,$B6)&gt;0,COUNTIF(#REF!,$B6)=0),"SKIP",IF(COUNTIFS(#REF!,$B6,#REF!,$Q6)&gt;0,"OK","ONBEKEND")),IF(AND($BE6=0,$BF6=0+1),IF(OR(COUNTIF(#REF!,$D6)&gt;0,COUNTIF(#REF!,$D6)=0),"SKIP",IF(COUNTIFS(#REF!,$D6,#REF!,$Q6)&gt;0,"OK","ONBEKEND")),"ONZEKER"))))</f>
        <v/>
      </c>
      <c r="S6" t="str">
        <f t="shared" si="4"/>
        <v/>
      </c>
      <c r="T6" t="str">
        <f t="shared" si="5"/>
        <v/>
      </c>
      <c r="U6" t="str">
        <f>IF($T6="","",IF(OR($BH6="",$BI6=""),"ONZEKER",IF(OR($BE6="",$BF6=""),"ONZEKER",IF(AND($BH6=$BE6+1,$BI6=$BF6),IF(OR(COUNTIF(#REF!,$B6)&gt;0,COUNTIF(#REF!,$B6)=0),"SKIP",IF(COUNTIFS(#REF!,$B6,#REF!,$T6)&gt;0,"OK","ONBEKEND")),IF(AND($BH6=$BE6,$BI6=$BF6+1),IF(OR(COUNTIF(#REF!,$D6)&gt;0,COUNTIF(#REF!,$D6)=0),"SKIP",IF(COUNTIFS(#REF!,$D6,#REF!,$T6)&gt;0,"OK","ONBEKEND")),"ONZEKER")))))</f>
        <v/>
      </c>
      <c r="V6" t="str">
        <f t="shared" si="6"/>
        <v/>
      </c>
      <c r="W6" t="str">
        <f t="shared" si="7"/>
        <v/>
      </c>
      <c r="X6" t="str">
        <f>IF($W6="","",IF(OR($BK6="",$BL6=""),"ONZEKER",IF(OR($BH6="",$BI6=""),"ONZEKER",IF(AND($BK6=$BH6+1,$BL6=$BI6),IF(OR(COUNTIF(#REF!,$B6)&gt;0,COUNTIF(#REF!,$B6)=0),"SKIP",IF(COUNTIFS(#REF!,$B6,#REF!,$W6)&gt;0,"OK","ONBEKEND")),IF(AND($BK6=$BH6,$BL6=$BI6+1),IF(OR(COUNTIF(#REF!,$D6)&gt;0,COUNTIF(#REF!,$D6)=0),"SKIP",IF(COUNTIFS(#REF!,$D6,#REF!,$W6)&gt;0,"OK","ONBEKEND")),"ONZEKER")))))</f>
        <v/>
      </c>
      <c r="Y6" t="str">
        <f t="shared" si="8"/>
        <v/>
      </c>
      <c r="Z6" t="str">
        <f t="shared" si="9"/>
        <v/>
      </c>
      <c r="AA6" t="str">
        <f>IF($Z6="","",IF(OR($BN6="",$BO6=""),"ONZEKER",IF(OR($BK6="",$BL6=""),"ONZEKER",IF(AND($BN6=$BK6+1,$BO6=$BL6),IF(OR(COUNTIF(#REF!,$B6)&gt;0,COUNTIF(#REF!,$B6)=0),"SKIP",IF(COUNTIFS(#REF!,$B6,#REF!,$Z6)&gt;0,"OK","ONBEKEND")),IF(AND($BN6=$BK6,$BO6=$BL6+1),IF(OR(COUNTIF(#REF!,$D6)&gt;0,COUNTIF(#REF!,$D6)=0),"SKIP",IF(COUNTIFS(#REF!,$D6,#REF!,$Z6)&gt;0,"OK","ONBEKEND")),"ONZEKER")))))</f>
        <v/>
      </c>
      <c r="AB6" t="str">
        <f t="shared" si="10"/>
        <v/>
      </c>
      <c r="AC6" t="str">
        <f t="shared" si="11"/>
        <v/>
      </c>
      <c r="AD6" t="str">
        <f>IF($AC6="","",IF(OR($BQ6="",$BR6=""),"ONZEKER",IF(OR($BN6="",$BO6=""),"ONZEKER",IF(AND($BQ6=$BN6+1,$BR6=$BO6),IF(OR(COUNTIF(#REF!,$B6)&gt;0,COUNTIF(#REF!,$B6)=0),"SKIP",IF(COUNTIFS(#REF!,$B6,#REF!,$AC6)&gt;0,"OK","ONBEKEND")),IF(AND($BQ6=$BN6,$BR6=$BO6+1),IF(OR(COUNTIF(#REF!,$D6)&gt;0,COUNTIF(#REF!,$D6)=0),"SKIP",IF(COUNTIFS(#REF!,$D6,#REF!,$AC6)&gt;0,"OK","ONBEKEND")),"ONZEKER")))))</f>
        <v/>
      </c>
      <c r="AE6" t="str">
        <f t="shared" si="12"/>
        <v/>
      </c>
      <c r="AF6" t="str">
        <f t="shared" si="13"/>
        <v/>
      </c>
      <c r="AG6" t="str">
        <f>IF($AF6="","",IF(OR($BT6="",$BU6=""),"ONZEKER",IF(OR($BQ6="",$BR6=""),"ONZEKER",IF(AND($BT6=$BQ6+1,$BU6=$BR6),IF(OR(COUNTIF(#REF!,$B6)&gt;0,COUNTIF(#REF!,$B6)=0),"SKIP",IF(COUNTIFS(#REF!,$B6,#REF!,$AF6)&gt;0,"OK","ONBEKEND")),IF(AND($BT6=$BQ6,$BU6=$BR6+1),IF(OR(COUNTIF(#REF!,$D6)&gt;0,COUNTIF(#REF!,$D6)=0),"SKIP",IF(COUNTIFS(#REF!,$D6,#REF!,$AF6)&gt;0,"OK","ONBEKEND")),"ONZEKER")))))</f>
        <v/>
      </c>
      <c r="AH6" t="str">
        <f t="shared" si="14"/>
        <v/>
      </c>
      <c r="AI6" t="str">
        <f t="shared" si="15"/>
        <v/>
      </c>
      <c r="AJ6" t="str">
        <f>IF($AI6="","",IF(OR($BW6="",$BX6=""),"ONZEKER",IF(OR($BT6="",$BU6=""),"ONZEKER",IF(AND($BW6=$BT6+1,$BX6=$BU6),IF(OR(COUNTIF(#REF!,$B6)&gt;0,COUNTIF(#REF!,$B6)=0),"SKIP",IF(COUNTIFS(#REF!,$B6,#REF!,$AI6)&gt;0,"OK","ONBEKEND")),IF(AND($BW6=$BT6,$BX6=$BU6+1),IF(OR(COUNTIF(#REF!,$D6)&gt;0,COUNTIF(#REF!,$D6)=0),"SKIP",IF(COUNTIFS(#REF!,$D6,#REF!,$AI6)&gt;0,"OK","ONBEKEND")),"ONZEKER")))))</f>
        <v/>
      </c>
      <c r="AK6" t="str">
        <f t="shared" si="16"/>
        <v/>
      </c>
      <c r="AL6" t="str">
        <f t="shared" si="17"/>
        <v/>
      </c>
      <c r="AM6" t="str">
        <f>IF($AL6="","",IF(OR($BZ6="",$CA6=""),"ONZEKER",IF(OR($BW6="",$BX6=""),"ONZEKER",IF(AND($BZ6=$BW6+1,$CA6=$BX6),IF(OR(COUNTIF(#REF!,$B6)&gt;0,COUNTIF(#REF!,$B6)=0),"SKIP",IF(COUNTIFS(#REF!,$B6,#REF!,$AL6)&gt;0,"OK","ONBEKEND")),IF(AND($BZ6=$BW6,$CA6=$BX6+1),IF(OR(COUNTIF(#REF!,$D6)&gt;0,COUNTIF(#REF!,$D6)=0),"SKIP",IF(COUNTIFS(#REF!,$D6,#REF!,$AL6)&gt;0,"OK","ONBEKEND")),"ONZEKER")))))</f>
        <v/>
      </c>
      <c r="AN6" t="str">
        <f t="shared" si="18"/>
        <v/>
      </c>
      <c r="AO6" t="str">
        <f t="shared" si="19"/>
        <v/>
      </c>
      <c r="AP6" t="str">
        <f>IF($AO6="","",IF(OR($CC6="",$CD6=""),"ONZEKER",IF(OR($BZ6="",$CA6=""),"ONZEKER",IF(AND($CC6=$BZ6+1,$CD6=$CA6),IF(OR(COUNTIF(#REF!,$B6)&gt;0,COUNTIF(#REF!,$B6)=0),"SKIP",IF(COUNTIFS(#REF!,$B6,#REF!,$AO6)&gt;0,"OK","ONBEKEND")),IF(AND($CC6=$BZ6,$CD6=$CA6+1),IF(OR(COUNTIF(#REF!,$D6)&gt;0,COUNTIF(#REF!,$D6)=0),"SKIP",IF(COUNTIFS(#REF!,$D6,#REF!,$AO6)&gt;0,"OK","ONBEKEND")),"ONZEKER")))))</f>
        <v/>
      </c>
      <c r="AQ6" t="str">
        <f t="shared" si="20"/>
        <v/>
      </c>
      <c r="AR6" t="str">
        <f t="shared" si="21"/>
        <v/>
      </c>
      <c r="AS6" t="str">
        <f>IF($AR6="","",IF(OR($CF6="",$CG6=""),"ONZEKER",IF(OR($CC6="",$CD6=""),"ONZEKER",IF(AND($CF6=$CC6+1,$CG6=$CD6),IF(OR(COUNTIF(#REF!,$B6)&gt;0,COUNTIF(#REF!,$B6)=0),"SKIP",IF(COUNTIFS(#REF!,$B6,#REF!,$AR6)&gt;0,"OK","ONBEKEND")),IF(AND($CF6=$CC6,$CG6=$CD6+1),IF(OR(COUNTIF(#REF!,$D6)&gt;0,COUNTIF(#REF!,$D6)=0),"SKIP",IF(COUNTIFS(#REF!,$D6,#REF!,$AR6)&gt;0,"OK","ONBEKEND")),"ONZEKER")))))</f>
        <v/>
      </c>
      <c r="AT6" t="str">
        <f t="shared" si="22"/>
        <v/>
      </c>
      <c r="AU6" t="str">
        <f t="shared" si="23"/>
        <v/>
      </c>
      <c r="AV6" t="str">
        <f t="shared" si="24"/>
        <v/>
      </c>
      <c r="AW6" t="str">
        <f t="shared" si="25"/>
        <v/>
      </c>
      <c r="AX6" t="str">
        <f t="shared" si="26"/>
        <v/>
      </c>
      <c r="AY6" t="str">
        <f t="shared" si="27"/>
        <v/>
      </c>
      <c r="AZ6" t="str">
        <f t="shared" si="28"/>
        <v/>
      </c>
      <c r="BA6" t="str">
        <f t="shared" si="29"/>
        <v/>
      </c>
      <c r="BB6" t="str">
        <f t="shared" si="30"/>
        <v/>
      </c>
      <c r="BC6" t="str">
        <f t="shared" si="31"/>
        <v/>
      </c>
      <c r="BD6" t="str">
        <f t="shared" si="32"/>
        <v/>
      </c>
      <c r="BE6" t="str">
        <f t="shared" si="33"/>
        <v/>
      </c>
      <c r="BF6" t="str">
        <f t="shared" si="34"/>
        <v/>
      </c>
      <c r="BG6" t="str">
        <f t="shared" si="35"/>
        <v/>
      </c>
      <c r="BH6" t="str">
        <f t="shared" si="36"/>
        <v/>
      </c>
      <c r="BI6" t="str">
        <f t="shared" si="37"/>
        <v/>
      </c>
      <c r="BJ6" t="str">
        <f t="shared" si="38"/>
        <v/>
      </c>
      <c r="BK6" t="str">
        <f t="shared" si="39"/>
        <v/>
      </c>
      <c r="BL6" t="str">
        <f t="shared" si="40"/>
        <v/>
      </c>
      <c r="BM6" t="str">
        <f t="shared" si="41"/>
        <v/>
      </c>
      <c r="BN6" t="str">
        <f t="shared" si="42"/>
        <v/>
      </c>
      <c r="BO6" t="str">
        <f t="shared" si="43"/>
        <v/>
      </c>
      <c r="BP6" t="str">
        <f t="shared" si="44"/>
        <v/>
      </c>
      <c r="BQ6" t="str">
        <f t="shared" si="45"/>
        <v/>
      </c>
      <c r="BR6" t="str">
        <f t="shared" si="46"/>
        <v/>
      </c>
      <c r="BS6" t="str">
        <f t="shared" si="47"/>
        <v/>
      </c>
      <c r="BT6" t="str">
        <f t="shared" si="48"/>
        <v/>
      </c>
      <c r="BU6" t="str">
        <f t="shared" si="49"/>
        <v/>
      </c>
      <c r="BV6" t="str">
        <f t="shared" si="50"/>
        <v/>
      </c>
      <c r="BW6" t="str">
        <f t="shared" si="51"/>
        <v/>
      </c>
      <c r="BX6" t="str">
        <f t="shared" si="52"/>
        <v/>
      </c>
      <c r="BY6" t="str">
        <f t="shared" si="53"/>
        <v/>
      </c>
      <c r="BZ6" t="str">
        <f t="shared" si="54"/>
        <v/>
      </c>
      <c r="CA6" t="str">
        <f t="shared" si="55"/>
        <v/>
      </c>
      <c r="CB6" t="str">
        <f t="shared" si="56"/>
        <v/>
      </c>
      <c r="CC6" t="str">
        <f t="shared" si="57"/>
        <v/>
      </c>
      <c r="CD6" t="str">
        <f t="shared" si="58"/>
        <v/>
      </c>
      <c r="CE6" t="str">
        <f t="shared" si="59"/>
        <v/>
      </c>
      <c r="CF6" t="str">
        <f t="shared" si="60"/>
        <v/>
      </c>
      <c r="CG6" t="str">
        <f t="shared" si="61"/>
        <v/>
      </c>
      <c r="CH6" t="str">
        <f t="shared" si="62"/>
        <v/>
      </c>
      <c r="CI6" t="str">
        <f t="shared" si="63"/>
        <v/>
      </c>
      <c r="CJ6" t="str">
        <f>IF($CI6="","",IF(OR($DW6="",$DX6=""),"ONZEKER",IF(OR($CF6="",$CG6=""),"ONZEKER",IF(AND($DW6=$CF6+1,$DX6=$CG6),IF(OR(COUNTIF(#REF!,$B6)&gt;0,COUNTIF(#REF!,$B6)=0),"SKIP",IF(COUNTIFS(#REF!,$B6,#REF!,$CI6)&gt;0,"OK","ONBEKEND")),IF(AND($DW6=$CF6,$DX6=$CG6+1),IF(OR(COUNTIF(#REF!,$D6)&gt;0,COUNTIF(#REF!,$D6)=0),"SKIP",IF(COUNTIFS(#REF!,$D6,#REF!,$CI6)&gt;0,"OK","ONBEKEND")),"ONZEKER")))))</f>
        <v/>
      </c>
      <c r="CK6" t="str">
        <f t="shared" si="64"/>
        <v/>
      </c>
      <c r="CL6" t="str">
        <f t="shared" si="65"/>
        <v/>
      </c>
      <c r="CM6" t="str">
        <f>IF($CL6="","",IF(OR($DZ6="",$EA6=""),"ONZEKER",IF(OR($DW6="",$DX6=""),"ONZEKER",IF(AND($DZ6=$DW6+1,$EA6=$DX6),IF(OR(COUNTIF(#REF!,$B6)&gt;0,COUNTIF(#REF!,$B6)=0),"SKIP",IF(COUNTIFS(#REF!,$B6,#REF!,$CL6)&gt;0,"OK","ONBEKEND")),IF(AND($DZ6=$DW6,$EA6=$DX6+1),IF(OR(COUNTIF(#REF!,$D6)&gt;0,COUNTIF(#REF!,$D6)=0),"SKIP",IF(COUNTIFS(#REF!,$D6,#REF!,$CL6)&gt;0,"OK","ONBEKEND")),"ONZEKER")))))</f>
        <v/>
      </c>
      <c r="CN6" t="str">
        <f t="shared" si="66"/>
        <v/>
      </c>
      <c r="CO6" t="str">
        <f t="shared" si="67"/>
        <v/>
      </c>
      <c r="CP6" t="str">
        <f>IF($CO6="","",IF(OR($EC6="",$ED6=""),"ONZEKER",IF(OR($DZ6="",$EA6=""),"ONZEKER",IF(AND($EC6=$DZ6+1,$ED6=$EA6),IF(OR(COUNTIF(#REF!,$B6)&gt;0,COUNTIF(#REF!,$B6)=0),"SKIP",IF(COUNTIFS(#REF!,$B6,#REF!,$CO6)&gt;0,"OK","ONBEKEND")),IF(AND($EC6=$DZ6,$ED6=$EA6+1),IF(OR(COUNTIF(#REF!,$D6)&gt;0,COUNTIF(#REF!,$D6)=0),"SKIP",IF(COUNTIFS(#REF!,$D6,#REF!,$CO6)&gt;0,"OK","ONBEKEND")),"ONZEKER")))))</f>
        <v/>
      </c>
      <c r="CQ6" t="str">
        <f t="shared" si="68"/>
        <v/>
      </c>
      <c r="CR6" t="str">
        <f t="shared" si="69"/>
        <v/>
      </c>
      <c r="CS6" t="str">
        <f>IF($CR6="","",IF(OR($EF6="",$EG6=""),"ONZEKER",IF(OR($EC6="",$ED6=""),"ONZEKER",IF(AND($EF6=$EC6+1,$EG6=$ED6),IF(OR(COUNTIF(#REF!,$B6)&gt;0,COUNTIF(#REF!,$B6)=0),"SKIP",IF(COUNTIFS(#REF!,$B6,#REF!,$CR6)&gt;0,"OK","ONBEKEND")),IF(AND($EF6=$EC6,$EG6=$ED6+1),IF(OR(COUNTIF(#REF!,$D6)&gt;0,COUNTIF(#REF!,$D6)=0),"SKIP",IF(COUNTIFS(#REF!,$D6,#REF!,$CR6)&gt;0,"OK","ONBEKEND")),"ONZEKER")))))</f>
        <v/>
      </c>
      <c r="CT6" t="str">
        <f t="shared" si="70"/>
        <v/>
      </c>
      <c r="CU6" t="str">
        <f t="shared" si="71"/>
        <v/>
      </c>
      <c r="CV6" t="str">
        <f>IF($CU6="","",IF(OR($EI6="",$EJ6=""),"ONZEKER",IF(OR($EF6="",$EG6=""),"ONZEKER",IF(AND($EI6=$EF6+1,$EJ6=$EG6),IF(OR(COUNTIF(#REF!,$B6)&gt;0,COUNTIF(#REF!,$B6)=0),"SKIP",IF(COUNTIFS(#REF!,$B6,#REF!,$CU6)&gt;0,"OK","ONBEKEND")),IF(AND($EI6=$EF6,$EJ6=$EG6+1),IF(OR(COUNTIF(#REF!,$D6)&gt;0,COUNTIF(#REF!,$D6)=0),"SKIP",IF(COUNTIFS(#REF!,$D6,#REF!,$CU6)&gt;0,"OK","ONBEKEND")),"ONZEKER")))))</f>
        <v/>
      </c>
      <c r="CW6" t="str">
        <f t="shared" si="72"/>
        <v/>
      </c>
      <c r="CX6" t="str">
        <f t="shared" si="73"/>
        <v/>
      </c>
      <c r="CY6" t="str">
        <f>IF($CX6="","",IF(OR($EL6="",$EM6=""),"ONZEKER",IF(OR($EI6="",$EJ6=""),"ONZEKER",IF(AND($EL6=$EI6+1,$EM6=$EJ6),IF(OR(COUNTIF(#REF!,$B6)&gt;0,COUNTIF(#REF!,$B6)=0),"SKIP",IF(COUNTIFS(#REF!,$B6,#REF!,$CX6)&gt;0,"OK","ONBEKEND")),IF(AND($EL6=$EI6,$EM6=$EJ6+1),IF(OR(COUNTIF(#REF!,$D6)&gt;0,COUNTIF(#REF!,$D6)=0),"SKIP",IF(COUNTIFS(#REF!,$D6,#REF!,$CX6)&gt;0,"OK","ONBEKEND")),"ONZEKER")))))</f>
        <v/>
      </c>
      <c r="CZ6" t="str">
        <f t="shared" si="74"/>
        <v/>
      </c>
      <c r="DA6" t="str">
        <f t="shared" si="75"/>
        <v/>
      </c>
      <c r="DB6" t="str">
        <f>IF($DA6="","",IF(OR($EO6="",$EP6=""),"ONZEKER",IF(OR($EL6="",$EM6=""),"ONZEKER",IF(AND($EO6=$EL6+1,$EP6=$EM6),IF(OR(COUNTIF(#REF!,$B6)&gt;0,COUNTIF(#REF!,$B6)=0),"SKIP",IF(COUNTIFS(#REF!,$B6,#REF!,$DA6)&gt;0,"OK","ONBEKEND")),IF(AND($EO6=$EL6,$EP6=$EM6+1),IF(OR(COUNTIF(#REF!,$D6)&gt;0,COUNTIF(#REF!,$D6)=0),"SKIP",IF(COUNTIFS(#REF!,$D6,#REF!,$DA6)&gt;0,"OK","ONBEKEND")),"ONZEKER")))))</f>
        <v/>
      </c>
      <c r="DC6" t="str">
        <f t="shared" si="76"/>
        <v/>
      </c>
      <c r="DD6" t="str">
        <f t="shared" si="77"/>
        <v/>
      </c>
      <c r="DE6" t="str">
        <f>IF($DD6="","",IF(OR($ER6="",$ES6=""),"ONZEKER",IF(OR($EO6="",$EP6=""),"ONZEKER",IF(AND($ER6=$EO6+1,$ES6=$EP6),IF(OR(COUNTIF(#REF!,$B6)&gt;0,COUNTIF(#REF!,$B6)=0),"SKIP",IF(COUNTIFS(#REF!,$B6,#REF!,$DD6)&gt;0,"OK","ONBEKEND")),IF(AND($ER6=$EO6,$ES6=$EP6+1),IF(OR(COUNTIF(#REF!,$D6)&gt;0,COUNTIF(#REF!,$D6)=0),"SKIP",IF(COUNTIFS(#REF!,$D6,#REF!,$DD6)&gt;0,"OK","ONBEKEND")),"ONZEKER")))))</f>
        <v/>
      </c>
      <c r="DF6" t="str">
        <f t="shared" si="78"/>
        <v/>
      </c>
      <c r="DG6" t="str">
        <f t="shared" si="79"/>
        <v/>
      </c>
      <c r="DH6" t="str">
        <f>IF($DG6="","",IF(OR($EU6="",$EV6=""),"ONZEKER",IF(OR($ER6="",$ES6=""),"ONZEKER",IF(AND($EU6=$ER6+1,$EV6=$ES6),IF(OR(COUNTIF(#REF!,$B6)&gt;0,COUNTIF(#REF!,$B6)=0),"SKIP",IF(COUNTIFS(#REF!,$B6,#REF!,$DG6)&gt;0,"OK","ONBEKEND")),IF(AND($EU6=$ER6,$EV6=$ES6+1),IF(OR(COUNTIF(#REF!,$D6)&gt;0,COUNTIF(#REF!,$D6)=0),"SKIP",IF(COUNTIFS(#REF!,$D6,#REF!,$DG6)&gt;0,"OK","ONBEKEND")),"ONZEKER")))))</f>
        <v/>
      </c>
      <c r="DI6" t="str">
        <f t="shared" si="80"/>
        <v/>
      </c>
      <c r="DJ6" t="str">
        <f t="shared" si="81"/>
        <v/>
      </c>
      <c r="DK6" t="str">
        <f>IF($DJ6="","",IF(OR($EX6="",$EY6=""),"ONZEKER",IF(OR($EU6="",$EV6=""),"ONZEKER",IF(AND($EX6=$EU6+1,$EY6=$EV6),IF(OR(COUNTIF(#REF!,$B6)&gt;0,COUNTIF(#REF!,$B6)=0),"SKIP",IF(COUNTIFS(#REF!,$B6,#REF!,$DJ6)&gt;0,"OK","ONBEKEND")),IF(AND($EX6=$EU6,$EY6=$EV6+1),IF(OR(COUNTIF(#REF!,$D6)&gt;0,COUNTIF(#REF!,$D6)=0),"SKIP",IF(COUNTIFS(#REF!,$D6,#REF!,$DJ6)&gt;0,"OK","ONBEKEND")),"ONZEKER")))))</f>
        <v/>
      </c>
      <c r="DL6" t="str">
        <f t="shared" si="82"/>
        <v/>
      </c>
      <c r="DM6" t="str">
        <f t="shared" si="83"/>
        <v/>
      </c>
      <c r="DN6" t="str">
        <f t="shared" si="84"/>
        <v/>
      </c>
      <c r="DO6" t="str">
        <f t="shared" si="85"/>
        <v/>
      </c>
      <c r="DP6" t="str">
        <f t="shared" si="86"/>
        <v/>
      </c>
      <c r="DQ6" t="str">
        <f t="shared" si="87"/>
        <v/>
      </c>
      <c r="DR6" t="str">
        <f t="shared" si="88"/>
        <v/>
      </c>
      <c r="DS6" t="str">
        <f t="shared" si="89"/>
        <v/>
      </c>
      <c r="DT6" t="str">
        <f t="shared" si="90"/>
        <v/>
      </c>
      <c r="DU6" t="str">
        <f t="shared" si="91"/>
        <v/>
      </c>
      <c r="DV6" t="str">
        <f t="shared" si="92"/>
        <v/>
      </c>
      <c r="DW6" t="str">
        <f t="shared" si="93"/>
        <v/>
      </c>
      <c r="DX6" t="str">
        <f t="shared" si="94"/>
        <v/>
      </c>
      <c r="DY6" t="str">
        <f t="shared" si="95"/>
        <v/>
      </c>
      <c r="DZ6" t="str">
        <f t="shared" si="96"/>
        <v/>
      </c>
      <c r="EA6" t="str">
        <f t="shared" si="97"/>
        <v/>
      </c>
      <c r="EB6" t="str">
        <f t="shared" si="98"/>
        <v/>
      </c>
      <c r="EC6" t="str">
        <f t="shared" si="99"/>
        <v/>
      </c>
      <c r="ED6" t="str">
        <f t="shared" si="100"/>
        <v/>
      </c>
      <c r="EE6" t="str">
        <f t="shared" si="101"/>
        <v/>
      </c>
      <c r="EF6" t="str">
        <f t="shared" si="102"/>
        <v/>
      </c>
      <c r="EG6" t="str">
        <f t="shared" si="103"/>
        <v/>
      </c>
      <c r="EH6" t="str">
        <f t="shared" si="104"/>
        <v/>
      </c>
      <c r="EI6" t="str">
        <f t="shared" si="105"/>
        <v/>
      </c>
      <c r="EJ6" t="str">
        <f t="shared" si="106"/>
        <v/>
      </c>
      <c r="EK6" t="str">
        <f t="shared" si="107"/>
        <v/>
      </c>
      <c r="EL6" t="str">
        <f t="shared" si="108"/>
        <v/>
      </c>
      <c r="EM6" t="str">
        <f t="shared" si="109"/>
        <v/>
      </c>
      <c r="EN6" t="str">
        <f t="shared" si="110"/>
        <v/>
      </c>
      <c r="EO6" t="str">
        <f t="shared" si="111"/>
        <v/>
      </c>
      <c r="EP6" t="str">
        <f t="shared" si="112"/>
        <v/>
      </c>
      <c r="EQ6" t="str">
        <f t="shared" si="113"/>
        <v/>
      </c>
      <c r="ER6" t="str">
        <f t="shared" si="114"/>
        <v/>
      </c>
      <c r="ES6" t="str">
        <f t="shared" si="115"/>
        <v/>
      </c>
      <c r="ET6" t="str">
        <f t="shared" si="116"/>
        <v/>
      </c>
      <c r="EU6" t="str">
        <f t="shared" si="117"/>
        <v/>
      </c>
      <c r="EV6" t="str">
        <f t="shared" si="118"/>
        <v/>
      </c>
      <c r="EW6" t="str">
        <f t="shared" si="119"/>
        <v/>
      </c>
      <c r="EX6" t="str">
        <f t="shared" si="120"/>
        <v/>
      </c>
      <c r="EY6" t="str">
        <f t="shared" si="121"/>
        <v/>
      </c>
    </row>
    <row r="7" spans="1:155" ht="13.9" customHeight="1" x14ac:dyDescent="0.25">
      <c r="A7" s="7"/>
      <c r="B7" s="17"/>
      <c r="C7" s="8"/>
      <c r="D7" s="17"/>
      <c r="E7" s="8"/>
      <c r="F7" s="18">
        <v>0</v>
      </c>
      <c r="G7" s="7" t="s">
        <v>147</v>
      </c>
      <c r="H7" s="18">
        <v>0</v>
      </c>
      <c r="I7" s="19">
        <v>0</v>
      </c>
      <c r="J7" s="7" t="s">
        <v>147</v>
      </c>
      <c r="K7" s="19">
        <v>0</v>
      </c>
      <c r="L7" s="9"/>
      <c r="M7" s="3" t="str">
        <f>IF($L7="","",IF($L7="DOELPUNTENMAKERS","",IF(AND(COUNTIF(#REF!,$B7)=0,COUNTIF(#REF!,$D7)=0),"OK",IF($O7&gt;20,"LET OP: meer dan 20 items (controle onvolledig)",IF((COUNTIF($R7:$AS7,"ONZEKER")+COUNTIF($CJ7:$DK7,"ONZEKER"))&gt;0,"LET OP: scoreverloop onduidelijk (controle beperkt)",IF((IF($AT7&lt;&gt;"",$AT7&amp;", ","")&amp;IF($AU7&lt;&gt;"",$AU7&amp;", ","")&amp;IF($AV7&lt;&gt;"",$AV7&amp;", ","")&amp;IF($AW7&lt;&gt;"",$AW7&amp;", ","")&amp;IF($AX7&lt;&gt;"",$AX7&amp;", ","")&amp;IF($AY7&lt;&gt;"",$AY7&amp;", ","")&amp;IF($AZ7&lt;&gt;"",$AZ7&amp;", ","")&amp;IF($BA7&lt;&gt;"",$BA7&amp;", ","")&amp;IF($BB7&lt;&gt;"",$BB7&amp;", ","")&amp;IF($BC7&lt;&gt;"",$BC7&amp;", ","")&amp;IF($DL7&lt;&gt;"",$DL7&amp;", ","")&amp;IF($DM7&lt;&gt;"",$DM7&amp;", ","")&amp;IF($DN7&lt;&gt;"",$DN7&amp;", ","")&amp;IF($DO7&lt;&gt;"",$DO7&amp;", ","")&amp;IF($DP7&lt;&gt;"",$DP7&amp;", ","")&amp;IF($DQ7&lt;&gt;"",$DQ7&amp;", ","")&amp;IF($DR7&lt;&gt;"",$DR7&amp;", ","")&amp;IF($DS7&lt;&gt;"",$DS7&amp;", ","")&amp;IF($DT7&lt;&gt;"",$DT7&amp;", ","")&amp;IF($DU7&lt;&gt;"",$DU7&amp;", ",""))="","OK","Onbekend: "&amp;LEFT((IF($AT7&lt;&gt;"",$AT7&amp;", ","")&amp;IF($AU7&lt;&gt;"",$AU7&amp;", ","")&amp;IF($AV7&lt;&gt;"",$AV7&amp;", ","")&amp;IF($AW7&lt;&gt;"",$AW7&amp;", ","")&amp;IF($AX7&lt;&gt;"",$AX7&amp;", ","")&amp;IF($AY7&lt;&gt;"",$AY7&amp;", ","")&amp;IF($AZ7&lt;&gt;"",$AZ7&amp;", ","")&amp;IF($BA7&lt;&gt;"",$BA7&amp;", ","")&amp;IF($BB7&lt;&gt;"",$BB7&amp;", ","")&amp;IF($BC7&lt;&gt;"",$BC7&amp;", ","")&amp;IF($DL7&lt;&gt;"",$DL7&amp;", ","")&amp;IF($DM7&lt;&gt;"",$DM7&amp;", ","")&amp;IF($DN7&lt;&gt;"",$DN7&amp;", ","")&amp;IF($DO7&lt;&gt;"",$DO7&amp;", ","")&amp;IF($DP7&lt;&gt;"",$DP7&amp;", ","")&amp;IF($DQ7&lt;&gt;"",$DQ7&amp;", ","")&amp;IF($DR7&lt;&gt;"",$DR7&amp;", ","")&amp;IF($DS7&lt;&gt;"",$DS7&amp;", ","")&amp;IF($DT7&lt;&gt;"",$DT7&amp;", ","")&amp;IF($DU7&lt;&gt;"",$DU7&amp;", ","")),LEN((IF($AT7&lt;&gt;"",$AT7&amp;", ","")&amp;IF($AU7&lt;&gt;"",$AU7&amp;", ","")&amp;IF($AV7&lt;&gt;"",$AV7&amp;", ","")&amp;IF($AW7&lt;&gt;"",$AW7&amp;", ","")&amp;IF($AX7&lt;&gt;"",$AX7&amp;", ","")&amp;IF($AY7&lt;&gt;"",$AY7&amp;", ","")&amp;IF($AZ7&lt;&gt;"",$AZ7&amp;", ","")&amp;IF($BA7&lt;&gt;"",$BA7&amp;", ","")&amp;IF($BB7&lt;&gt;"",$BB7&amp;", ","")&amp;IF($BC7&lt;&gt;"",$BC7&amp;", ","")&amp;IF($DL7&lt;&gt;"",$DL7&amp;", ","")&amp;IF($DM7&lt;&gt;"",$DM7&amp;", ","")&amp;IF($DN7&lt;&gt;"",$DN7&amp;", ","")&amp;IF($DO7&lt;&gt;"",$DO7&amp;", ","")&amp;IF($DP7&lt;&gt;"",$DP7&amp;", ","")&amp;IF($DQ7&lt;&gt;"",$DQ7&amp;", ","")&amp;IF($DR7&lt;&gt;"",$DR7&amp;", ","")&amp;IF($DS7&lt;&gt;"",$DS7&amp;", ","")&amp;IF($DT7&lt;&gt;"",$DT7&amp;", ","")&amp;IF($DU7&lt;&gt;"",$DU7&amp;", ","")))-2)))))))</f>
        <v/>
      </c>
      <c r="N7" t="str">
        <f t="shared" si="0"/>
        <v/>
      </c>
      <c r="O7" t="str">
        <f t="shared" si="1"/>
        <v/>
      </c>
      <c r="P7" t="str">
        <f t="shared" si="2"/>
        <v/>
      </c>
      <c r="Q7" t="str">
        <f t="shared" si="3"/>
        <v/>
      </c>
      <c r="R7" t="str">
        <f>IF($Q7="","",IF(OR($BE7="",$BF7=""),"ONZEKER",IF(AND($BE7=0+1,$BF7=0),IF(OR(COUNTIF(#REF!,$B7)&gt;0,COUNTIF(#REF!,$B7)=0),"SKIP",IF(COUNTIFS(#REF!,$B7,#REF!,$Q7)&gt;0,"OK","ONBEKEND")),IF(AND($BE7=0,$BF7=0+1),IF(OR(COUNTIF(#REF!,$D7)&gt;0,COUNTIF(#REF!,$D7)=0),"SKIP",IF(COUNTIFS(#REF!,$D7,#REF!,$Q7)&gt;0,"OK","ONBEKEND")),"ONZEKER"))))</f>
        <v/>
      </c>
      <c r="S7" t="str">
        <f t="shared" si="4"/>
        <v/>
      </c>
      <c r="T7" t="str">
        <f t="shared" si="5"/>
        <v/>
      </c>
      <c r="U7" t="str">
        <f>IF($T7="","",IF(OR($BH7="",$BI7=""),"ONZEKER",IF(OR($BE7="",$BF7=""),"ONZEKER",IF(AND($BH7=$BE7+1,$BI7=$BF7),IF(OR(COUNTIF(#REF!,$B7)&gt;0,COUNTIF(#REF!,$B7)=0),"SKIP",IF(COUNTIFS(#REF!,$B7,#REF!,$T7)&gt;0,"OK","ONBEKEND")),IF(AND($BH7=$BE7,$BI7=$BF7+1),IF(OR(COUNTIF(#REF!,$D7)&gt;0,COUNTIF(#REF!,$D7)=0),"SKIP",IF(COUNTIFS(#REF!,$D7,#REF!,$T7)&gt;0,"OK","ONBEKEND")),"ONZEKER")))))</f>
        <v/>
      </c>
      <c r="V7" t="str">
        <f t="shared" si="6"/>
        <v/>
      </c>
      <c r="W7" t="str">
        <f t="shared" si="7"/>
        <v/>
      </c>
      <c r="X7" t="str">
        <f>IF($W7="","",IF(OR($BK7="",$BL7=""),"ONZEKER",IF(OR($BH7="",$BI7=""),"ONZEKER",IF(AND($BK7=$BH7+1,$BL7=$BI7),IF(OR(COUNTIF(#REF!,$B7)&gt;0,COUNTIF(#REF!,$B7)=0),"SKIP",IF(COUNTIFS(#REF!,$B7,#REF!,$W7)&gt;0,"OK","ONBEKEND")),IF(AND($BK7=$BH7,$BL7=$BI7+1),IF(OR(COUNTIF(#REF!,$D7)&gt;0,COUNTIF(#REF!,$D7)=0),"SKIP",IF(COUNTIFS(#REF!,$D7,#REF!,$W7)&gt;0,"OK","ONBEKEND")),"ONZEKER")))))</f>
        <v/>
      </c>
      <c r="Y7" t="str">
        <f t="shared" si="8"/>
        <v/>
      </c>
      <c r="Z7" t="str">
        <f t="shared" si="9"/>
        <v/>
      </c>
      <c r="AA7" t="str">
        <f>IF($Z7="","",IF(OR($BN7="",$BO7=""),"ONZEKER",IF(OR($BK7="",$BL7=""),"ONZEKER",IF(AND($BN7=$BK7+1,$BO7=$BL7),IF(OR(COUNTIF(#REF!,$B7)&gt;0,COUNTIF(#REF!,$B7)=0),"SKIP",IF(COUNTIFS(#REF!,$B7,#REF!,$Z7)&gt;0,"OK","ONBEKEND")),IF(AND($BN7=$BK7,$BO7=$BL7+1),IF(OR(COUNTIF(#REF!,$D7)&gt;0,COUNTIF(#REF!,$D7)=0),"SKIP",IF(COUNTIFS(#REF!,$D7,#REF!,$Z7)&gt;0,"OK","ONBEKEND")),"ONZEKER")))))</f>
        <v/>
      </c>
      <c r="AB7" t="str">
        <f t="shared" si="10"/>
        <v/>
      </c>
      <c r="AC7" t="str">
        <f t="shared" si="11"/>
        <v/>
      </c>
      <c r="AD7" t="str">
        <f>IF($AC7="","",IF(OR($BQ7="",$BR7=""),"ONZEKER",IF(OR($BN7="",$BO7=""),"ONZEKER",IF(AND($BQ7=$BN7+1,$BR7=$BO7),IF(OR(COUNTIF(#REF!,$B7)&gt;0,COUNTIF(#REF!,$B7)=0),"SKIP",IF(COUNTIFS(#REF!,$B7,#REF!,$AC7)&gt;0,"OK","ONBEKEND")),IF(AND($BQ7=$BN7,$BR7=$BO7+1),IF(OR(COUNTIF(#REF!,$D7)&gt;0,COUNTIF(#REF!,$D7)=0),"SKIP",IF(COUNTIFS(#REF!,$D7,#REF!,$AC7)&gt;0,"OK","ONBEKEND")),"ONZEKER")))))</f>
        <v/>
      </c>
      <c r="AE7" t="str">
        <f t="shared" si="12"/>
        <v/>
      </c>
      <c r="AF7" t="str">
        <f t="shared" si="13"/>
        <v/>
      </c>
      <c r="AG7" t="str">
        <f>IF($AF7="","",IF(OR($BT7="",$BU7=""),"ONZEKER",IF(OR($BQ7="",$BR7=""),"ONZEKER",IF(AND($BT7=$BQ7+1,$BU7=$BR7),IF(OR(COUNTIF(#REF!,$B7)&gt;0,COUNTIF(#REF!,$B7)=0),"SKIP",IF(COUNTIFS(#REF!,$B7,#REF!,$AF7)&gt;0,"OK","ONBEKEND")),IF(AND($BT7=$BQ7,$BU7=$BR7+1),IF(OR(COUNTIF(#REF!,$D7)&gt;0,COUNTIF(#REF!,$D7)=0),"SKIP",IF(COUNTIFS(#REF!,$D7,#REF!,$AF7)&gt;0,"OK","ONBEKEND")),"ONZEKER")))))</f>
        <v/>
      </c>
      <c r="AH7" t="str">
        <f t="shared" si="14"/>
        <v/>
      </c>
      <c r="AI7" t="str">
        <f t="shared" si="15"/>
        <v/>
      </c>
      <c r="AJ7" t="str">
        <f>IF($AI7="","",IF(OR($BW7="",$BX7=""),"ONZEKER",IF(OR($BT7="",$BU7=""),"ONZEKER",IF(AND($BW7=$BT7+1,$BX7=$BU7),IF(OR(COUNTIF(#REF!,$B7)&gt;0,COUNTIF(#REF!,$B7)=0),"SKIP",IF(COUNTIFS(#REF!,$B7,#REF!,$AI7)&gt;0,"OK","ONBEKEND")),IF(AND($BW7=$BT7,$BX7=$BU7+1),IF(OR(COUNTIF(#REF!,$D7)&gt;0,COUNTIF(#REF!,$D7)=0),"SKIP",IF(COUNTIFS(#REF!,$D7,#REF!,$AI7)&gt;0,"OK","ONBEKEND")),"ONZEKER")))))</f>
        <v/>
      </c>
      <c r="AK7" t="str">
        <f t="shared" si="16"/>
        <v/>
      </c>
      <c r="AL7" t="str">
        <f t="shared" si="17"/>
        <v/>
      </c>
      <c r="AM7" t="str">
        <f>IF($AL7="","",IF(OR($BZ7="",$CA7=""),"ONZEKER",IF(OR($BW7="",$BX7=""),"ONZEKER",IF(AND($BZ7=$BW7+1,$CA7=$BX7),IF(OR(COUNTIF(#REF!,$B7)&gt;0,COUNTIF(#REF!,$B7)=0),"SKIP",IF(COUNTIFS(#REF!,$B7,#REF!,$AL7)&gt;0,"OK","ONBEKEND")),IF(AND($BZ7=$BW7,$CA7=$BX7+1),IF(OR(COUNTIF(#REF!,$D7)&gt;0,COUNTIF(#REF!,$D7)=0),"SKIP",IF(COUNTIFS(#REF!,$D7,#REF!,$AL7)&gt;0,"OK","ONBEKEND")),"ONZEKER")))))</f>
        <v/>
      </c>
      <c r="AN7" t="str">
        <f t="shared" si="18"/>
        <v/>
      </c>
      <c r="AO7" t="str">
        <f t="shared" si="19"/>
        <v/>
      </c>
      <c r="AP7" t="str">
        <f>IF($AO7="","",IF(OR($CC7="",$CD7=""),"ONZEKER",IF(OR($BZ7="",$CA7=""),"ONZEKER",IF(AND($CC7=$BZ7+1,$CD7=$CA7),IF(OR(COUNTIF(#REF!,$B7)&gt;0,COUNTIF(#REF!,$B7)=0),"SKIP",IF(COUNTIFS(#REF!,$B7,#REF!,$AO7)&gt;0,"OK","ONBEKEND")),IF(AND($CC7=$BZ7,$CD7=$CA7+1),IF(OR(COUNTIF(#REF!,$D7)&gt;0,COUNTIF(#REF!,$D7)=0),"SKIP",IF(COUNTIFS(#REF!,$D7,#REF!,$AO7)&gt;0,"OK","ONBEKEND")),"ONZEKER")))))</f>
        <v/>
      </c>
      <c r="AQ7" t="str">
        <f t="shared" si="20"/>
        <v/>
      </c>
      <c r="AR7" t="str">
        <f t="shared" si="21"/>
        <v/>
      </c>
      <c r="AS7" t="str">
        <f>IF($AR7="","",IF(OR($CF7="",$CG7=""),"ONZEKER",IF(OR($CC7="",$CD7=""),"ONZEKER",IF(AND($CF7=$CC7+1,$CG7=$CD7),IF(OR(COUNTIF(#REF!,$B7)&gt;0,COUNTIF(#REF!,$B7)=0),"SKIP",IF(COUNTIFS(#REF!,$B7,#REF!,$AR7)&gt;0,"OK","ONBEKEND")),IF(AND($CF7=$CC7,$CG7=$CD7+1),IF(OR(COUNTIF(#REF!,$D7)&gt;0,COUNTIF(#REF!,$D7)=0),"SKIP",IF(COUNTIFS(#REF!,$D7,#REF!,$AR7)&gt;0,"OK","ONBEKEND")),"ONZEKER")))))</f>
        <v/>
      </c>
      <c r="AT7" t="str">
        <f t="shared" si="22"/>
        <v/>
      </c>
      <c r="AU7" t="str">
        <f t="shared" si="23"/>
        <v/>
      </c>
      <c r="AV7" t="str">
        <f t="shared" si="24"/>
        <v/>
      </c>
      <c r="AW7" t="str">
        <f t="shared" si="25"/>
        <v/>
      </c>
      <c r="AX7" t="str">
        <f t="shared" si="26"/>
        <v/>
      </c>
      <c r="AY7" t="str">
        <f t="shared" si="27"/>
        <v/>
      </c>
      <c r="AZ7" t="str">
        <f t="shared" si="28"/>
        <v/>
      </c>
      <c r="BA7" t="str">
        <f t="shared" si="29"/>
        <v/>
      </c>
      <c r="BB7" t="str">
        <f t="shared" si="30"/>
        <v/>
      </c>
      <c r="BC7" t="str">
        <f t="shared" si="31"/>
        <v/>
      </c>
      <c r="BD7" t="str">
        <f t="shared" si="32"/>
        <v/>
      </c>
      <c r="BE7" t="str">
        <f t="shared" si="33"/>
        <v/>
      </c>
      <c r="BF7" t="str">
        <f t="shared" si="34"/>
        <v/>
      </c>
      <c r="BG7" t="str">
        <f t="shared" si="35"/>
        <v/>
      </c>
      <c r="BH7" t="str">
        <f t="shared" si="36"/>
        <v/>
      </c>
      <c r="BI7" t="str">
        <f t="shared" si="37"/>
        <v/>
      </c>
      <c r="BJ7" t="str">
        <f t="shared" si="38"/>
        <v/>
      </c>
      <c r="BK7" t="str">
        <f t="shared" si="39"/>
        <v/>
      </c>
      <c r="BL7" t="str">
        <f t="shared" si="40"/>
        <v/>
      </c>
      <c r="BM7" t="str">
        <f t="shared" si="41"/>
        <v/>
      </c>
      <c r="BN7" t="str">
        <f t="shared" si="42"/>
        <v/>
      </c>
      <c r="BO7" t="str">
        <f t="shared" si="43"/>
        <v/>
      </c>
      <c r="BP7" t="str">
        <f t="shared" si="44"/>
        <v/>
      </c>
      <c r="BQ7" t="str">
        <f t="shared" si="45"/>
        <v/>
      </c>
      <c r="BR7" t="str">
        <f t="shared" si="46"/>
        <v/>
      </c>
      <c r="BS7" t="str">
        <f t="shared" si="47"/>
        <v/>
      </c>
      <c r="BT7" t="str">
        <f t="shared" si="48"/>
        <v/>
      </c>
      <c r="BU7" t="str">
        <f t="shared" si="49"/>
        <v/>
      </c>
      <c r="BV7" t="str">
        <f t="shared" si="50"/>
        <v/>
      </c>
      <c r="BW7" t="str">
        <f t="shared" si="51"/>
        <v/>
      </c>
      <c r="BX7" t="str">
        <f t="shared" si="52"/>
        <v/>
      </c>
      <c r="BY7" t="str">
        <f t="shared" si="53"/>
        <v/>
      </c>
      <c r="BZ7" t="str">
        <f t="shared" si="54"/>
        <v/>
      </c>
      <c r="CA7" t="str">
        <f t="shared" si="55"/>
        <v/>
      </c>
      <c r="CB7" t="str">
        <f t="shared" si="56"/>
        <v/>
      </c>
      <c r="CC7" t="str">
        <f t="shared" si="57"/>
        <v/>
      </c>
      <c r="CD7" t="str">
        <f t="shared" si="58"/>
        <v/>
      </c>
      <c r="CE7" t="str">
        <f t="shared" si="59"/>
        <v/>
      </c>
      <c r="CF7" t="str">
        <f t="shared" si="60"/>
        <v/>
      </c>
      <c r="CG7" t="str">
        <f t="shared" si="61"/>
        <v/>
      </c>
      <c r="CH7" t="str">
        <f t="shared" si="62"/>
        <v/>
      </c>
      <c r="CI7" t="str">
        <f t="shared" si="63"/>
        <v/>
      </c>
      <c r="CJ7" t="str">
        <f>IF($CI7="","",IF(OR($DW7="",$DX7=""),"ONZEKER",IF(OR($CF7="",$CG7=""),"ONZEKER",IF(AND($DW7=$CF7+1,$DX7=$CG7),IF(OR(COUNTIF(#REF!,$B7)&gt;0,COUNTIF(#REF!,$B7)=0),"SKIP",IF(COUNTIFS(#REF!,$B7,#REF!,$CI7)&gt;0,"OK","ONBEKEND")),IF(AND($DW7=$CF7,$DX7=$CG7+1),IF(OR(COUNTIF(#REF!,$D7)&gt;0,COUNTIF(#REF!,$D7)=0),"SKIP",IF(COUNTIFS(#REF!,$D7,#REF!,$CI7)&gt;0,"OK","ONBEKEND")),"ONZEKER")))))</f>
        <v/>
      </c>
      <c r="CK7" t="str">
        <f t="shared" si="64"/>
        <v/>
      </c>
      <c r="CL7" t="str">
        <f t="shared" si="65"/>
        <v/>
      </c>
      <c r="CM7" t="str">
        <f>IF($CL7="","",IF(OR($DZ7="",$EA7=""),"ONZEKER",IF(OR($DW7="",$DX7=""),"ONZEKER",IF(AND($DZ7=$DW7+1,$EA7=$DX7),IF(OR(COUNTIF(#REF!,$B7)&gt;0,COUNTIF(#REF!,$B7)=0),"SKIP",IF(COUNTIFS(#REF!,$B7,#REF!,$CL7)&gt;0,"OK","ONBEKEND")),IF(AND($DZ7=$DW7,$EA7=$DX7+1),IF(OR(COUNTIF(#REF!,$D7)&gt;0,COUNTIF(#REF!,$D7)=0),"SKIP",IF(COUNTIFS(#REF!,$D7,#REF!,$CL7)&gt;0,"OK","ONBEKEND")),"ONZEKER")))))</f>
        <v/>
      </c>
      <c r="CN7" t="str">
        <f t="shared" si="66"/>
        <v/>
      </c>
      <c r="CO7" t="str">
        <f t="shared" si="67"/>
        <v/>
      </c>
      <c r="CP7" t="str">
        <f>IF($CO7="","",IF(OR($EC7="",$ED7=""),"ONZEKER",IF(OR($DZ7="",$EA7=""),"ONZEKER",IF(AND($EC7=$DZ7+1,$ED7=$EA7),IF(OR(COUNTIF(#REF!,$B7)&gt;0,COUNTIF(#REF!,$B7)=0),"SKIP",IF(COUNTIFS(#REF!,$B7,#REF!,$CO7)&gt;0,"OK","ONBEKEND")),IF(AND($EC7=$DZ7,$ED7=$EA7+1),IF(OR(COUNTIF(#REF!,$D7)&gt;0,COUNTIF(#REF!,$D7)=0),"SKIP",IF(COUNTIFS(#REF!,$D7,#REF!,$CO7)&gt;0,"OK","ONBEKEND")),"ONZEKER")))))</f>
        <v/>
      </c>
      <c r="CQ7" t="str">
        <f t="shared" si="68"/>
        <v/>
      </c>
      <c r="CR7" t="str">
        <f t="shared" si="69"/>
        <v/>
      </c>
      <c r="CS7" t="str">
        <f>IF($CR7="","",IF(OR($EF7="",$EG7=""),"ONZEKER",IF(OR($EC7="",$ED7=""),"ONZEKER",IF(AND($EF7=$EC7+1,$EG7=$ED7),IF(OR(COUNTIF(#REF!,$B7)&gt;0,COUNTIF(#REF!,$B7)=0),"SKIP",IF(COUNTIFS(#REF!,$B7,#REF!,$CR7)&gt;0,"OK","ONBEKEND")),IF(AND($EF7=$EC7,$EG7=$ED7+1),IF(OR(COUNTIF(#REF!,$D7)&gt;0,COUNTIF(#REF!,$D7)=0),"SKIP",IF(COUNTIFS(#REF!,$D7,#REF!,$CR7)&gt;0,"OK","ONBEKEND")),"ONZEKER")))))</f>
        <v/>
      </c>
      <c r="CT7" t="str">
        <f t="shared" si="70"/>
        <v/>
      </c>
      <c r="CU7" t="str">
        <f t="shared" si="71"/>
        <v/>
      </c>
      <c r="CV7" t="str">
        <f>IF($CU7="","",IF(OR($EI7="",$EJ7=""),"ONZEKER",IF(OR($EF7="",$EG7=""),"ONZEKER",IF(AND($EI7=$EF7+1,$EJ7=$EG7),IF(OR(COUNTIF(#REF!,$B7)&gt;0,COUNTIF(#REF!,$B7)=0),"SKIP",IF(COUNTIFS(#REF!,$B7,#REF!,$CU7)&gt;0,"OK","ONBEKEND")),IF(AND($EI7=$EF7,$EJ7=$EG7+1),IF(OR(COUNTIF(#REF!,$D7)&gt;0,COUNTIF(#REF!,$D7)=0),"SKIP",IF(COUNTIFS(#REF!,$D7,#REF!,$CU7)&gt;0,"OK","ONBEKEND")),"ONZEKER")))))</f>
        <v/>
      </c>
      <c r="CW7" t="str">
        <f t="shared" si="72"/>
        <v/>
      </c>
      <c r="CX7" t="str">
        <f t="shared" si="73"/>
        <v/>
      </c>
      <c r="CY7" t="str">
        <f>IF($CX7="","",IF(OR($EL7="",$EM7=""),"ONZEKER",IF(OR($EI7="",$EJ7=""),"ONZEKER",IF(AND($EL7=$EI7+1,$EM7=$EJ7),IF(OR(COUNTIF(#REF!,$B7)&gt;0,COUNTIF(#REF!,$B7)=0),"SKIP",IF(COUNTIFS(#REF!,$B7,#REF!,$CX7)&gt;0,"OK","ONBEKEND")),IF(AND($EL7=$EI7,$EM7=$EJ7+1),IF(OR(COUNTIF(#REF!,$D7)&gt;0,COUNTIF(#REF!,$D7)=0),"SKIP",IF(COUNTIFS(#REF!,$D7,#REF!,$CX7)&gt;0,"OK","ONBEKEND")),"ONZEKER")))))</f>
        <v/>
      </c>
      <c r="CZ7" t="str">
        <f t="shared" si="74"/>
        <v/>
      </c>
      <c r="DA7" t="str">
        <f t="shared" si="75"/>
        <v/>
      </c>
      <c r="DB7" t="str">
        <f>IF($DA7="","",IF(OR($EO7="",$EP7=""),"ONZEKER",IF(OR($EL7="",$EM7=""),"ONZEKER",IF(AND($EO7=$EL7+1,$EP7=$EM7),IF(OR(COUNTIF(#REF!,$B7)&gt;0,COUNTIF(#REF!,$B7)=0),"SKIP",IF(COUNTIFS(#REF!,$B7,#REF!,$DA7)&gt;0,"OK","ONBEKEND")),IF(AND($EO7=$EL7,$EP7=$EM7+1),IF(OR(COUNTIF(#REF!,$D7)&gt;0,COUNTIF(#REF!,$D7)=0),"SKIP",IF(COUNTIFS(#REF!,$D7,#REF!,$DA7)&gt;0,"OK","ONBEKEND")),"ONZEKER")))))</f>
        <v/>
      </c>
      <c r="DC7" t="str">
        <f t="shared" si="76"/>
        <v/>
      </c>
      <c r="DD7" t="str">
        <f t="shared" si="77"/>
        <v/>
      </c>
      <c r="DE7" t="str">
        <f>IF($DD7="","",IF(OR($ER7="",$ES7=""),"ONZEKER",IF(OR($EO7="",$EP7=""),"ONZEKER",IF(AND($ER7=$EO7+1,$ES7=$EP7),IF(OR(COUNTIF(#REF!,$B7)&gt;0,COUNTIF(#REF!,$B7)=0),"SKIP",IF(COUNTIFS(#REF!,$B7,#REF!,$DD7)&gt;0,"OK","ONBEKEND")),IF(AND($ER7=$EO7,$ES7=$EP7+1),IF(OR(COUNTIF(#REF!,$D7)&gt;0,COUNTIF(#REF!,$D7)=0),"SKIP",IF(COUNTIFS(#REF!,$D7,#REF!,$DD7)&gt;0,"OK","ONBEKEND")),"ONZEKER")))))</f>
        <v/>
      </c>
      <c r="DF7" t="str">
        <f t="shared" si="78"/>
        <v/>
      </c>
      <c r="DG7" t="str">
        <f t="shared" si="79"/>
        <v/>
      </c>
      <c r="DH7" t="str">
        <f>IF($DG7="","",IF(OR($EU7="",$EV7=""),"ONZEKER",IF(OR($ER7="",$ES7=""),"ONZEKER",IF(AND($EU7=$ER7+1,$EV7=$ES7),IF(OR(COUNTIF(#REF!,$B7)&gt;0,COUNTIF(#REF!,$B7)=0),"SKIP",IF(COUNTIFS(#REF!,$B7,#REF!,$DG7)&gt;0,"OK","ONBEKEND")),IF(AND($EU7=$ER7,$EV7=$ES7+1),IF(OR(COUNTIF(#REF!,$D7)&gt;0,COUNTIF(#REF!,$D7)=0),"SKIP",IF(COUNTIFS(#REF!,$D7,#REF!,$DG7)&gt;0,"OK","ONBEKEND")),"ONZEKER")))))</f>
        <v/>
      </c>
      <c r="DI7" t="str">
        <f t="shared" si="80"/>
        <v/>
      </c>
      <c r="DJ7" t="str">
        <f t="shared" si="81"/>
        <v/>
      </c>
      <c r="DK7" t="str">
        <f>IF($DJ7="","",IF(OR($EX7="",$EY7=""),"ONZEKER",IF(OR($EU7="",$EV7=""),"ONZEKER",IF(AND($EX7=$EU7+1,$EY7=$EV7),IF(OR(COUNTIF(#REF!,$B7)&gt;0,COUNTIF(#REF!,$B7)=0),"SKIP",IF(COUNTIFS(#REF!,$B7,#REF!,$DJ7)&gt;0,"OK","ONBEKEND")),IF(AND($EX7=$EU7,$EY7=$EV7+1),IF(OR(COUNTIF(#REF!,$D7)&gt;0,COUNTIF(#REF!,$D7)=0),"SKIP",IF(COUNTIFS(#REF!,$D7,#REF!,$DJ7)&gt;0,"OK","ONBEKEND")),"ONZEKER")))))</f>
        <v/>
      </c>
      <c r="DL7" t="str">
        <f t="shared" si="82"/>
        <v/>
      </c>
      <c r="DM7" t="str">
        <f t="shared" si="83"/>
        <v/>
      </c>
      <c r="DN7" t="str">
        <f t="shared" si="84"/>
        <v/>
      </c>
      <c r="DO7" t="str">
        <f t="shared" si="85"/>
        <v/>
      </c>
      <c r="DP7" t="str">
        <f t="shared" si="86"/>
        <v/>
      </c>
      <c r="DQ7" t="str">
        <f t="shared" si="87"/>
        <v/>
      </c>
      <c r="DR7" t="str">
        <f t="shared" si="88"/>
        <v/>
      </c>
      <c r="DS7" t="str">
        <f t="shared" si="89"/>
        <v/>
      </c>
      <c r="DT7" t="str">
        <f t="shared" si="90"/>
        <v/>
      </c>
      <c r="DU7" t="str">
        <f t="shared" si="91"/>
        <v/>
      </c>
      <c r="DV7" t="str">
        <f t="shared" si="92"/>
        <v/>
      </c>
      <c r="DW7" t="str">
        <f t="shared" si="93"/>
        <v/>
      </c>
      <c r="DX7" t="str">
        <f t="shared" si="94"/>
        <v/>
      </c>
      <c r="DY7" t="str">
        <f t="shared" si="95"/>
        <v/>
      </c>
      <c r="DZ7" t="str">
        <f t="shared" si="96"/>
        <v/>
      </c>
      <c r="EA7" t="str">
        <f t="shared" si="97"/>
        <v/>
      </c>
      <c r="EB7" t="str">
        <f t="shared" si="98"/>
        <v/>
      </c>
      <c r="EC7" t="str">
        <f t="shared" si="99"/>
        <v/>
      </c>
      <c r="ED7" t="str">
        <f t="shared" si="100"/>
        <v/>
      </c>
      <c r="EE7" t="str">
        <f t="shared" si="101"/>
        <v/>
      </c>
      <c r="EF7" t="str">
        <f t="shared" si="102"/>
        <v/>
      </c>
      <c r="EG7" t="str">
        <f t="shared" si="103"/>
        <v/>
      </c>
      <c r="EH7" t="str">
        <f t="shared" si="104"/>
        <v/>
      </c>
      <c r="EI7" t="str">
        <f t="shared" si="105"/>
        <v/>
      </c>
      <c r="EJ7" t="str">
        <f t="shared" si="106"/>
        <v/>
      </c>
      <c r="EK7" t="str">
        <f t="shared" si="107"/>
        <v/>
      </c>
      <c r="EL7" t="str">
        <f t="shared" si="108"/>
        <v/>
      </c>
      <c r="EM7" t="str">
        <f t="shared" si="109"/>
        <v/>
      </c>
      <c r="EN7" t="str">
        <f t="shared" si="110"/>
        <v/>
      </c>
      <c r="EO7" t="str">
        <f t="shared" si="111"/>
        <v/>
      </c>
      <c r="EP7" t="str">
        <f t="shared" si="112"/>
        <v/>
      </c>
      <c r="EQ7" t="str">
        <f t="shared" si="113"/>
        <v/>
      </c>
      <c r="ER7" t="str">
        <f t="shared" si="114"/>
        <v/>
      </c>
      <c r="ES7" t="str">
        <f t="shared" si="115"/>
        <v/>
      </c>
      <c r="ET7" t="str">
        <f t="shared" si="116"/>
        <v/>
      </c>
      <c r="EU7" t="str">
        <f t="shared" si="117"/>
        <v/>
      </c>
      <c r="EV7" t="str">
        <f t="shared" si="118"/>
        <v/>
      </c>
      <c r="EW7" t="str">
        <f t="shared" si="119"/>
        <v/>
      </c>
      <c r="EX7" t="str">
        <f t="shared" si="120"/>
        <v/>
      </c>
      <c r="EY7" t="str">
        <f t="shared" si="121"/>
        <v/>
      </c>
    </row>
    <row r="8" spans="1:155" ht="13.9" customHeight="1" x14ac:dyDescent="0.25">
      <c r="A8" s="7"/>
      <c r="B8" s="17"/>
      <c r="C8" s="8"/>
      <c r="D8" s="17"/>
      <c r="E8" s="8"/>
      <c r="F8" s="18">
        <v>0</v>
      </c>
      <c r="G8" s="7" t="s">
        <v>147</v>
      </c>
      <c r="H8" s="18">
        <v>0</v>
      </c>
      <c r="I8" s="19">
        <v>0</v>
      </c>
      <c r="J8" s="7" t="s">
        <v>147</v>
      </c>
      <c r="K8" s="19">
        <v>0</v>
      </c>
      <c r="L8" s="9"/>
      <c r="M8" s="3" t="str">
        <f>IF($L8="","",IF($L8="DOELPUNTENMAKERS","",IF(AND(COUNTIF(#REF!,$B8)=0,COUNTIF(#REF!,$D8)=0),"OK",IF($O8&gt;20,"LET OP: meer dan 20 items (controle onvolledig)",IF((COUNTIF($R8:$AS8,"ONZEKER")+COUNTIF($CJ8:$DK8,"ONZEKER"))&gt;0,"LET OP: scoreverloop onduidelijk (controle beperkt)",IF((IF($AT8&lt;&gt;"",$AT8&amp;", ","")&amp;IF($AU8&lt;&gt;"",$AU8&amp;", ","")&amp;IF($AV8&lt;&gt;"",$AV8&amp;", ","")&amp;IF($AW8&lt;&gt;"",$AW8&amp;", ","")&amp;IF($AX8&lt;&gt;"",$AX8&amp;", ","")&amp;IF($AY8&lt;&gt;"",$AY8&amp;", ","")&amp;IF($AZ8&lt;&gt;"",$AZ8&amp;", ","")&amp;IF($BA8&lt;&gt;"",$BA8&amp;", ","")&amp;IF($BB8&lt;&gt;"",$BB8&amp;", ","")&amp;IF($BC8&lt;&gt;"",$BC8&amp;", ","")&amp;IF($DL8&lt;&gt;"",$DL8&amp;", ","")&amp;IF($DM8&lt;&gt;"",$DM8&amp;", ","")&amp;IF($DN8&lt;&gt;"",$DN8&amp;", ","")&amp;IF($DO8&lt;&gt;"",$DO8&amp;", ","")&amp;IF($DP8&lt;&gt;"",$DP8&amp;", ","")&amp;IF($DQ8&lt;&gt;"",$DQ8&amp;", ","")&amp;IF($DR8&lt;&gt;"",$DR8&amp;", ","")&amp;IF($DS8&lt;&gt;"",$DS8&amp;", ","")&amp;IF($DT8&lt;&gt;"",$DT8&amp;", ","")&amp;IF($DU8&lt;&gt;"",$DU8&amp;", ",""))="","OK","Onbekend: "&amp;LEFT((IF($AT8&lt;&gt;"",$AT8&amp;", ","")&amp;IF($AU8&lt;&gt;"",$AU8&amp;", ","")&amp;IF($AV8&lt;&gt;"",$AV8&amp;", ","")&amp;IF($AW8&lt;&gt;"",$AW8&amp;", ","")&amp;IF($AX8&lt;&gt;"",$AX8&amp;", ","")&amp;IF($AY8&lt;&gt;"",$AY8&amp;", ","")&amp;IF($AZ8&lt;&gt;"",$AZ8&amp;", ","")&amp;IF($BA8&lt;&gt;"",$BA8&amp;", ","")&amp;IF($BB8&lt;&gt;"",$BB8&amp;", ","")&amp;IF($BC8&lt;&gt;"",$BC8&amp;", ","")&amp;IF($DL8&lt;&gt;"",$DL8&amp;", ","")&amp;IF($DM8&lt;&gt;"",$DM8&amp;", ","")&amp;IF($DN8&lt;&gt;"",$DN8&amp;", ","")&amp;IF($DO8&lt;&gt;"",$DO8&amp;", ","")&amp;IF($DP8&lt;&gt;"",$DP8&amp;", ","")&amp;IF($DQ8&lt;&gt;"",$DQ8&amp;", ","")&amp;IF($DR8&lt;&gt;"",$DR8&amp;", ","")&amp;IF($DS8&lt;&gt;"",$DS8&amp;", ","")&amp;IF($DT8&lt;&gt;"",$DT8&amp;", ","")&amp;IF($DU8&lt;&gt;"",$DU8&amp;", ","")),LEN((IF($AT8&lt;&gt;"",$AT8&amp;", ","")&amp;IF($AU8&lt;&gt;"",$AU8&amp;", ","")&amp;IF($AV8&lt;&gt;"",$AV8&amp;", ","")&amp;IF($AW8&lt;&gt;"",$AW8&amp;", ","")&amp;IF($AX8&lt;&gt;"",$AX8&amp;", ","")&amp;IF($AY8&lt;&gt;"",$AY8&amp;", ","")&amp;IF($AZ8&lt;&gt;"",$AZ8&amp;", ","")&amp;IF($BA8&lt;&gt;"",$BA8&amp;", ","")&amp;IF($BB8&lt;&gt;"",$BB8&amp;", ","")&amp;IF($BC8&lt;&gt;"",$BC8&amp;", ","")&amp;IF($DL8&lt;&gt;"",$DL8&amp;", ","")&amp;IF($DM8&lt;&gt;"",$DM8&amp;", ","")&amp;IF($DN8&lt;&gt;"",$DN8&amp;", ","")&amp;IF($DO8&lt;&gt;"",$DO8&amp;", ","")&amp;IF($DP8&lt;&gt;"",$DP8&amp;", ","")&amp;IF($DQ8&lt;&gt;"",$DQ8&amp;", ","")&amp;IF($DR8&lt;&gt;"",$DR8&amp;", ","")&amp;IF($DS8&lt;&gt;"",$DS8&amp;", ","")&amp;IF($DT8&lt;&gt;"",$DT8&amp;", ","")&amp;IF($DU8&lt;&gt;"",$DU8&amp;", ","")))-2)))))))</f>
        <v/>
      </c>
      <c r="N8" t="str">
        <f t="shared" si="0"/>
        <v/>
      </c>
      <c r="O8" t="str">
        <f t="shared" si="1"/>
        <v/>
      </c>
      <c r="P8" t="str">
        <f t="shared" si="2"/>
        <v/>
      </c>
      <c r="Q8" t="str">
        <f t="shared" si="3"/>
        <v/>
      </c>
      <c r="R8" t="str">
        <f>IF($Q8="","",IF(OR($BE8="",$BF8=""),"ONZEKER",IF(AND($BE8=0+1,$BF8=0),IF(OR(COUNTIF(#REF!,$B8)&gt;0,COUNTIF(#REF!,$B8)=0),"SKIP",IF(COUNTIFS(#REF!,$B8,#REF!,$Q8)&gt;0,"OK","ONBEKEND")),IF(AND($BE8=0,$BF8=0+1),IF(OR(COUNTIF(#REF!,$D8)&gt;0,COUNTIF(#REF!,$D8)=0),"SKIP",IF(COUNTIFS(#REF!,$D8,#REF!,$Q8)&gt;0,"OK","ONBEKEND")),"ONZEKER"))))</f>
        <v/>
      </c>
      <c r="S8" t="str">
        <f t="shared" si="4"/>
        <v/>
      </c>
      <c r="T8" t="str">
        <f t="shared" si="5"/>
        <v/>
      </c>
      <c r="U8" t="str">
        <f>IF($T8="","",IF(OR($BH8="",$BI8=""),"ONZEKER",IF(OR($BE8="",$BF8=""),"ONZEKER",IF(AND($BH8=$BE8+1,$BI8=$BF8),IF(OR(COUNTIF(#REF!,$B8)&gt;0,COUNTIF(#REF!,$B8)=0),"SKIP",IF(COUNTIFS(#REF!,$B8,#REF!,$T8)&gt;0,"OK","ONBEKEND")),IF(AND($BH8=$BE8,$BI8=$BF8+1),IF(OR(COUNTIF(#REF!,$D8)&gt;0,COUNTIF(#REF!,$D8)=0),"SKIP",IF(COUNTIFS(#REF!,$D8,#REF!,$T8)&gt;0,"OK","ONBEKEND")),"ONZEKER")))))</f>
        <v/>
      </c>
      <c r="V8" t="str">
        <f t="shared" si="6"/>
        <v/>
      </c>
      <c r="W8" t="str">
        <f t="shared" si="7"/>
        <v/>
      </c>
      <c r="X8" t="str">
        <f>IF($W8="","",IF(OR($BK8="",$BL8=""),"ONZEKER",IF(OR($BH8="",$BI8=""),"ONZEKER",IF(AND($BK8=$BH8+1,$BL8=$BI8),IF(OR(COUNTIF(#REF!,$B8)&gt;0,COUNTIF(#REF!,$B8)=0),"SKIP",IF(COUNTIFS(#REF!,$B8,#REF!,$W8)&gt;0,"OK","ONBEKEND")),IF(AND($BK8=$BH8,$BL8=$BI8+1),IF(OR(COUNTIF(#REF!,$D8)&gt;0,COUNTIF(#REF!,$D8)=0),"SKIP",IF(COUNTIFS(#REF!,$D8,#REF!,$W8)&gt;0,"OK","ONBEKEND")),"ONZEKER")))))</f>
        <v/>
      </c>
      <c r="Y8" t="str">
        <f t="shared" si="8"/>
        <v/>
      </c>
      <c r="Z8" t="str">
        <f t="shared" si="9"/>
        <v/>
      </c>
      <c r="AA8" t="str">
        <f>IF($Z8="","",IF(OR($BN8="",$BO8=""),"ONZEKER",IF(OR($BK8="",$BL8=""),"ONZEKER",IF(AND($BN8=$BK8+1,$BO8=$BL8),IF(OR(COUNTIF(#REF!,$B8)&gt;0,COUNTIF(#REF!,$B8)=0),"SKIP",IF(COUNTIFS(#REF!,$B8,#REF!,$Z8)&gt;0,"OK","ONBEKEND")),IF(AND($BN8=$BK8,$BO8=$BL8+1),IF(OR(COUNTIF(#REF!,$D8)&gt;0,COUNTIF(#REF!,$D8)=0),"SKIP",IF(COUNTIFS(#REF!,$D8,#REF!,$Z8)&gt;0,"OK","ONBEKEND")),"ONZEKER")))))</f>
        <v/>
      </c>
      <c r="AB8" t="str">
        <f t="shared" si="10"/>
        <v/>
      </c>
      <c r="AC8" t="str">
        <f t="shared" si="11"/>
        <v/>
      </c>
      <c r="AD8" t="str">
        <f>IF($AC8="","",IF(OR($BQ8="",$BR8=""),"ONZEKER",IF(OR($BN8="",$BO8=""),"ONZEKER",IF(AND($BQ8=$BN8+1,$BR8=$BO8),IF(OR(COUNTIF(#REF!,$B8)&gt;0,COUNTIF(#REF!,$B8)=0),"SKIP",IF(COUNTIFS(#REF!,$B8,#REF!,$AC8)&gt;0,"OK","ONBEKEND")),IF(AND($BQ8=$BN8,$BR8=$BO8+1),IF(OR(COUNTIF(#REF!,$D8)&gt;0,COUNTIF(#REF!,$D8)=0),"SKIP",IF(COUNTIFS(#REF!,$D8,#REF!,$AC8)&gt;0,"OK","ONBEKEND")),"ONZEKER")))))</f>
        <v/>
      </c>
      <c r="AE8" t="str">
        <f t="shared" si="12"/>
        <v/>
      </c>
      <c r="AF8" t="str">
        <f t="shared" si="13"/>
        <v/>
      </c>
      <c r="AG8" t="str">
        <f>IF($AF8="","",IF(OR($BT8="",$BU8=""),"ONZEKER",IF(OR($BQ8="",$BR8=""),"ONZEKER",IF(AND($BT8=$BQ8+1,$BU8=$BR8),IF(OR(COUNTIF(#REF!,$B8)&gt;0,COUNTIF(#REF!,$B8)=0),"SKIP",IF(COUNTIFS(#REF!,$B8,#REF!,$AF8)&gt;0,"OK","ONBEKEND")),IF(AND($BT8=$BQ8,$BU8=$BR8+1),IF(OR(COUNTIF(#REF!,$D8)&gt;0,COUNTIF(#REF!,$D8)=0),"SKIP",IF(COUNTIFS(#REF!,$D8,#REF!,$AF8)&gt;0,"OK","ONBEKEND")),"ONZEKER")))))</f>
        <v/>
      </c>
      <c r="AH8" t="str">
        <f t="shared" si="14"/>
        <v/>
      </c>
      <c r="AI8" t="str">
        <f t="shared" si="15"/>
        <v/>
      </c>
      <c r="AJ8" t="str">
        <f>IF($AI8="","",IF(OR($BW8="",$BX8=""),"ONZEKER",IF(OR($BT8="",$BU8=""),"ONZEKER",IF(AND($BW8=$BT8+1,$BX8=$BU8),IF(OR(COUNTIF(#REF!,$B8)&gt;0,COUNTIF(#REF!,$B8)=0),"SKIP",IF(COUNTIFS(#REF!,$B8,#REF!,$AI8)&gt;0,"OK","ONBEKEND")),IF(AND($BW8=$BT8,$BX8=$BU8+1),IF(OR(COUNTIF(#REF!,$D8)&gt;0,COUNTIF(#REF!,$D8)=0),"SKIP",IF(COUNTIFS(#REF!,$D8,#REF!,$AI8)&gt;0,"OK","ONBEKEND")),"ONZEKER")))))</f>
        <v/>
      </c>
      <c r="AK8" t="str">
        <f t="shared" si="16"/>
        <v/>
      </c>
      <c r="AL8" t="str">
        <f t="shared" si="17"/>
        <v/>
      </c>
      <c r="AM8" t="str">
        <f>IF($AL8="","",IF(OR($BZ8="",$CA8=""),"ONZEKER",IF(OR($BW8="",$BX8=""),"ONZEKER",IF(AND($BZ8=$BW8+1,$CA8=$BX8),IF(OR(COUNTIF(#REF!,$B8)&gt;0,COUNTIF(#REF!,$B8)=0),"SKIP",IF(COUNTIFS(#REF!,$B8,#REF!,$AL8)&gt;0,"OK","ONBEKEND")),IF(AND($BZ8=$BW8,$CA8=$BX8+1),IF(OR(COUNTIF(#REF!,$D8)&gt;0,COUNTIF(#REF!,$D8)=0),"SKIP",IF(COUNTIFS(#REF!,$D8,#REF!,$AL8)&gt;0,"OK","ONBEKEND")),"ONZEKER")))))</f>
        <v/>
      </c>
      <c r="AN8" t="str">
        <f t="shared" si="18"/>
        <v/>
      </c>
      <c r="AO8" t="str">
        <f t="shared" si="19"/>
        <v/>
      </c>
      <c r="AP8" t="str">
        <f>IF($AO8="","",IF(OR($CC8="",$CD8=""),"ONZEKER",IF(OR($BZ8="",$CA8=""),"ONZEKER",IF(AND($CC8=$BZ8+1,$CD8=$CA8),IF(OR(COUNTIF(#REF!,$B8)&gt;0,COUNTIF(#REF!,$B8)=0),"SKIP",IF(COUNTIFS(#REF!,$B8,#REF!,$AO8)&gt;0,"OK","ONBEKEND")),IF(AND($CC8=$BZ8,$CD8=$CA8+1),IF(OR(COUNTIF(#REF!,$D8)&gt;0,COUNTIF(#REF!,$D8)=0),"SKIP",IF(COUNTIFS(#REF!,$D8,#REF!,$AO8)&gt;0,"OK","ONBEKEND")),"ONZEKER")))))</f>
        <v/>
      </c>
      <c r="AQ8" t="str">
        <f t="shared" si="20"/>
        <v/>
      </c>
      <c r="AR8" t="str">
        <f t="shared" si="21"/>
        <v/>
      </c>
      <c r="AS8" t="str">
        <f>IF($AR8="","",IF(OR($CF8="",$CG8=""),"ONZEKER",IF(OR($CC8="",$CD8=""),"ONZEKER",IF(AND($CF8=$CC8+1,$CG8=$CD8),IF(OR(COUNTIF(#REF!,$B8)&gt;0,COUNTIF(#REF!,$B8)=0),"SKIP",IF(COUNTIFS(#REF!,$B8,#REF!,$AR8)&gt;0,"OK","ONBEKEND")),IF(AND($CF8=$CC8,$CG8=$CD8+1),IF(OR(COUNTIF(#REF!,$D8)&gt;0,COUNTIF(#REF!,$D8)=0),"SKIP",IF(COUNTIFS(#REF!,$D8,#REF!,$AR8)&gt;0,"OK","ONBEKEND")),"ONZEKER")))))</f>
        <v/>
      </c>
      <c r="AT8" t="str">
        <f t="shared" si="22"/>
        <v/>
      </c>
      <c r="AU8" t="str">
        <f t="shared" si="23"/>
        <v/>
      </c>
      <c r="AV8" t="str">
        <f t="shared" si="24"/>
        <v/>
      </c>
      <c r="AW8" t="str">
        <f t="shared" si="25"/>
        <v/>
      </c>
      <c r="AX8" t="str">
        <f t="shared" si="26"/>
        <v/>
      </c>
      <c r="AY8" t="str">
        <f t="shared" si="27"/>
        <v/>
      </c>
      <c r="AZ8" t="str">
        <f t="shared" si="28"/>
        <v/>
      </c>
      <c r="BA8" t="str">
        <f t="shared" si="29"/>
        <v/>
      </c>
      <c r="BB8" t="str">
        <f t="shared" si="30"/>
        <v/>
      </c>
      <c r="BC8" t="str">
        <f t="shared" si="31"/>
        <v/>
      </c>
      <c r="BD8" t="str">
        <f t="shared" si="32"/>
        <v/>
      </c>
      <c r="BE8" t="str">
        <f t="shared" si="33"/>
        <v/>
      </c>
      <c r="BF8" t="str">
        <f t="shared" si="34"/>
        <v/>
      </c>
      <c r="BG8" t="str">
        <f t="shared" si="35"/>
        <v/>
      </c>
      <c r="BH8" t="str">
        <f t="shared" si="36"/>
        <v/>
      </c>
      <c r="BI8" t="str">
        <f t="shared" si="37"/>
        <v/>
      </c>
      <c r="BJ8" t="str">
        <f t="shared" si="38"/>
        <v/>
      </c>
      <c r="BK8" t="str">
        <f t="shared" si="39"/>
        <v/>
      </c>
      <c r="BL8" t="str">
        <f t="shared" si="40"/>
        <v/>
      </c>
      <c r="BM8" t="str">
        <f t="shared" si="41"/>
        <v/>
      </c>
      <c r="BN8" t="str">
        <f t="shared" si="42"/>
        <v/>
      </c>
      <c r="BO8" t="str">
        <f t="shared" si="43"/>
        <v/>
      </c>
      <c r="BP8" t="str">
        <f t="shared" si="44"/>
        <v/>
      </c>
      <c r="BQ8" t="str">
        <f t="shared" si="45"/>
        <v/>
      </c>
      <c r="BR8" t="str">
        <f t="shared" si="46"/>
        <v/>
      </c>
      <c r="BS8" t="str">
        <f t="shared" si="47"/>
        <v/>
      </c>
      <c r="BT8" t="str">
        <f t="shared" si="48"/>
        <v/>
      </c>
      <c r="BU8" t="str">
        <f t="shared" si="49"/>
        <v/>
      </c>
      <c r="BV8" t="str">
        <f t="shared" si="50"/>
        <v/>
      </c>
      <c r="BW8" t="str">
        <f t="shared" si="51"/>
        <v/>
      </c>
      <c r="BX8" t="str">
        <f t="shared" si="52"/>
        <v/>
      </c>
      <c r="BY8" t="str">
        <f t="shared" si="53"/>
        <v/>
      </c>
      <c r="BZ8" t="str">
        <f t="shared" si="54"/>
        <v/>
      </c>
      <c r="CA8" t="str">
        <f t="shared" si="55"/>
        <v/>
      </c>
      <c r="CB8" t="str">
        <f t="shared" si="56"/>
        <v/>
      </c>
      <c r="CC8" t="str">
        <f t="shared" si="57"/>
        <v/>
      </c>
      <c r="CD8" t="str">
        <f t="shared" si="58"/>
        <v/>
      </c>
      <c r="CE8" t="str">
        <f t="shared" si="59"/>
        <v/>
      </c>
      <c r="CF8" t="str">
        <f t="shared" si="60"/>
        <v/>
      </c>
      <c r="CG8" t="str">
        <f t="shared" si="61"/>
        <v/>
      </c>
      <c r="CH8" t="str">
        <f t="shared" si="62"/>
        <v/>
      </c>
      <c r="CI8" t="str">
        <f t="shared" si="63"/>
        <v/>
      </c>
      <c r="CJ8" t="str">
        <f>IF($CI8="","",IF(OR($DW8="",$DX8=""),"ONZEKER",IF(OR($CF8="",$CG8=""),"ONZEKER",IF(AND($DW8=$CF8+1,$DX8=$CG8),IF(OR(COUNTIF(#REF!,$B8)&gt;0,COUNTIF(#REF!,$B8)=0),"SKIP",IF(COUNTIFS(#REF!,$B8,#REF!,$CI8)&gt;0,"OK","ONBEKEND")),IF(AND($DW8=$CF8,$DX8=$CG8+1),IF(OR(COUNTIF(#REF!,$D8)&gt;0,COUNTIF(#REF!,$D8)=0),"SKIP",IF(COUNTIFS(#REF!,$D8,#REF!,$CI8)&gt;0,"OK","ONBEKEND")),"ONZEKER")))))</f>
        <v/>
      </c>
      <c r="CK8" t="str">
        <f t="shared" si="64"/>
        <v/>
      </c>
      <c r="CL8" t="str">
        <f t="shared" si="65"/>
        <v/>
      </c>
      <c r="CM8" t="str">
        <f>IF($CL8="","",IF(OR($DZ8="",$EA8=""),"ONZEKER",IF(OR($DW8="",$DX8=""),"ONZEKER",IF(AND($DZ8=$DW8+1,$EA8=$DX8),IF(OR(COUNTIF(#REF!,$B8)&gt;0,COUNTIF(#REF!,$B8)=0),"SKIP",IF(COUNTIFS(#REF!,$B8,#REF!,$CL8)&gt;0,"OK","ONBEKEND")),IF(AND($DZ8=$DW8,$EA8=$DX8+1),IF(OR(COUNTIF(#REF!,$D8)&gt;0,COUNTIF(#REF!,$D8)=0),"SKIP",IF(COUNTIFS(#REF!,$D8,#REF!,$CL8)&gt;0,"OK","ONBEKEND")),"ONZEKER")))))</f>
        <v/>
      </c>
      <c r="CN8" t="str">
        <f t="shared" si="66"/>
        <v/>
      </c>
      <c r="CO8" t="str">
        <f t="shared" si="67"/>
        <v/>
      </c>
      <c r="CP8" t="str">
        <f>IF($CO8="","",IF(OR($EC8="",$ED8=""),"ONZEKER",IF(OR($DZ8="",$EA8=""),"ONZEKER",IF(AND($EC8=$DZ8+1,$ED8=$EA8),IF(OR(COUNTIF(#REF!,$B8)&gt;0,COUNTIF(#REF!,$B8)=0),"SKIP",IF(COUNTIFS(#REF!,$B8,#REF!,$CO8)&gt;0,"OK","ONBEKEND")),IF(AND($EC8=$DZ8,$ED8=$EA8+1),IF(OR(COUNTIF(#REF!,$D8)&gt;0,COUNTIF(#REF!,$D8)=0),"SKIP",IF(COUNTIFS(#REF!,$D8,#REF!,$CO8)&gt;0,"OK","ONBEKEND")),"ONZEKER")))))</f>
        <v/>
      </c>
      <c r="CQ8" t="str">
        <f t="shared" si="68"/>
        <v/>
      </c>
      <c r="CR8" t="str">
        <f t="shared" si="69"/>
        <v/>
      </c>
      <c r="CS8" t="str">
        <f>IF($CR8="","",IF(OR($EF8="",$EG8=""),"ONZEKER",IF(OR($EC8="",$ED8=""),"ONZEKER",IF(AND($EF8=$EC8+1,$EG8=$ED8),IF(OR(COUNTIF(#REF!,$B8)&gt;0,COUNTIF(#REF!,$B8)=0),"SKIP",IF(COUNTIFS(#REF!,$B8,#REF!,$CR8)&gt;0,"OK","ONBEKEND")),IF(AND($EF8=$EC8,$EG8=$ED8+1),IF(OR(COUNTIF(#REF!,$D8)&gt;0,COUNTIF(#REF!,$D8)=0),"SKIP",IF(COUNTIFS(#REF!,$D8,#REF!,$CR8)&gt;0,"OK","ONBEKEND")),"ONZEKER")))))</f>
        <v/>
      </c>
      <c r="CT8" t="str">
        <f t="shared" si="70"/>
        <v/>
      </c>
      <c r="CU8" t="str">
        <f t="shared" si="71"/>
        <v/>
      </c>
      <c r="CV8" t="str">
        <f>IF($CU8="","",IF(OR($EI8="",$EJ8=""),"ONZEKER",IF(OR($EF8="",$EG8=""),"ONZEKER",IF(AND($EI8=$EF8+1,$EJ8=$EG8),IF(OR(COUNTIF(#REF!,$B8)&gt;0,COUNTIF(#REF!,$B8)=0),"SKIP",IF(COUNTIFS(#REF!,$B8,#REF!,$CU8)&gt;0,"OK","ONBEKEND")),IF(AND($EI8=$EF8,$EJ8=$EG8+1),IF(OR(COUNTIF(#REF!,$D8)&gt;0,COUNTIF(#REF!,$D8)=0),"SKIP",IF(COUNTIFS(#REF!,$D8,#REF!,$CU8)&gt;0,"OK","ONBEKEND")),"ONZEKER")))))</f>
        <v/>
      </c>
      <c r="CW8" t="str">
        <f t="shared" si="72"/>
        <v/>
      </c>
      <c r="CX8" t="str">
        <f t="shared" si="73"/>
        <v/>
      </c>
      <c r="CY8" t="str">
        <f>IF($CX8="","",IF(OR($EL8="",$EM8=""),"ONZEKER",IF(OR($EI8="",$EJ8=""),"ONZEKER",IF(AND($EL8=$EI8+1,$EM8=$EJ8),IF(OR(COUNTIF(#REF!,$B8)&gt;0,COUNTIF(#REF!,$B8)=0),"SKIP",IF(COUNTIFS(#REF!,$B8,#REF!,$CX8)&gt;0,"OK","ONBEKEND")),IF(AND($EL8=$EI8,$EM8=$EJ8+1),IF(OR(COUNTIF(#REF!,$D8)&gt;0,COUNTIF(#REF!,$D8)=0),"SKIP",IF(COUNTIFS(#REF!,$D8,#REF!,$CX8)&gt;0,"OK","ONBEKEND")),"ONZEKER")))))</f>
        <v/>
      </c>
      <c r="CZ8" t="str">
        <f t="shared" si="74"/>
        <v/>
      </c>
      <c r="DA8" t="str">
        <f t="shared" si="75"/>
        <v/>
      </c>
      <c r="DB8" t="str">
        <f>IF($DA8="","",IF(OR($EO8="",$EP8=""),"ONZEKER",IF(OR($EL8="",$EM8=""),"ONZEKER",IF(AND($EO8=$EL8+1,$EP8=$EM8),IF(OR(COUNTIF(#REF!,$B8)&gt;0,COUNTIF(#REF!,$B8)=0),"SKIP",IF(COUNTIFS(#REF!,$B8,#REF!,$DA8)&gt;0,"OK","ONBEKEND")),IF(AND($EO8=$EL8,$EP8=$EM8+1),IF(OR(COUNTIF(#REF!,$D8)&gt;0,COUNTIF(#REF!,$D8)=0),"SKIP",IF(COUNTIFS(#REF!,$D8,#REF!,$DA8)&gt;0,"OK","ONBEKEND")),"ONZEKER")))))</f>
        <v/>
      </c>
      <c r="DC8" t="str">
        <f t="shared" si="76"/>
        <v/>
      </c>
      <c r="DD8" t="str">
        <f t="shared" si="77"/>
        <v/>
      </c>
      <c r="DE8" t="str">
        <f>IF($DD8="","",IF(OR($ER8="",$ES8=""),"ONZEKER",IF(OR($EO8="",$EP8=""),"ONZEKER",IF(AND($ER8=$EO8+1,$ES8=$EP8),IF(OR(COUNTIF(#REF!,$B8)&gt;0,COUNTIF(#REF!,$B8)=0),"SKIP",IF(COUNTIFS(#REF!,$B8,#REF!,$DD8)&gt;0,"OK","ONBEKEND")),IF(AND($ER8=$EO8,$ES8=$EP8+1),IF(OR(COUNTIF(#REF!,$D8)&gt;0,COUNTIF(#REF!,$D8)=0),"SKIP",IF(COUNTIFS(#REF!,$D8,#REF!,$DD8)&gt;0,"OK","ONBEKEND")),"ONZEKER")))))</f>
        <v/>
      </c>
      <c r="DF8" t="str">
        <f t="shared" si="78"/>
        <v/>
      </c>
      <c r="DG8" t="str">
        <f t="shared" si="79"/>
        <v/>
      </c>
      <c r="DH8" t="str">
        <f>IF($DG8="","",IF(OR($EU8="",$EV8=""),"ONZEKER",IF(OR($ER8="",$ES8=""),"ONZEKER",IF(AND($EU8=$ER8+1,$EV8=$ES8),IF(OR(COUNTIF(#REF!,$B8)&gt;0,COUNTIF(#REF!,$B8)=0),"SKIP",IF(COUNTIFS(#REF!,$B8,#REF!,$DG8)&gt;0,"OK","ONBEKEND")),IF(AND($EU8=$ER8,$EV8=$ES8+1),IF(OR(COUNTIF(#REF!,$D8)&gt;0,COUNTIF(#REF!,$D8)=0),"SKIP",IF(COUNTIFS(#REF!,$D8,#REF!,$DG8)&gt;0,"OK","ONBEKEND")),"ONZEKER")))))</f>
        <v/>
      </c>
      <c r="DI8" t="str">
        <f t="shared" si="80"/>
        <v/>
      </c>
      <c r="DJ8" t="str">
        <f t="shared" si="81"/>
        <v/>
      </c>
      <c r="DK8" t="str">
        <f>IF($DJ8="","",IF(OR($EX8="",$EY8=""),"ONZEKER",IF(OR($EU8="",$EV8=""),"ONZEKER",IF(AND($EX8=$EU8+1,$EY8=$EV8),IF(OR(COUNTIF(#REF!,$B8)&gt;0,COUNTIF(#REF!,$B8)=0),"SKIP",IF(COUNTIFS(#REF!,$B8,#REF!,$DJ8)&gt;0,"OK","ONBEKEND")),IF(AND($EX8=$EU8,$EY8=$EV8+1),IF(OR(COUNTIF(#REF!,$D8)&gt;0,COUNTIF(#REF!,$D8)=0),"SKIP",IF(COUNTIFS(#REF!,$D8,#REF!,$DJ8)&gt;0,"OK","ONBEKEND")),"ONZEKER")))))</f>
        <v/>
      </c>
      <c r="DL8" t="str">
        <f t="shared" si="82"/>
        <v/>
      </c>
      <c r="DM8" t="str">
        <f t="shared" si="83"/>
        <v/>
      </c>
      <c r="DN8" t="str">
        <f t="shared" si="84"/>
        <v/>
      </c>
      <c r="DO8" t="str">
        <f t="shared" si="85"/>
        <v/>
      </c>
      <c r="DP8" t="str">
        <f t="shared" si="86"/>
        <v/>
      </c>
      <c r="DQ8" t="str">
        <f t="shared" si="87"/>
        <v/>
      </c>
      <c r="DR8" t="str">
        <f t="shared" si="88"/>
        <v/>
      </c>
      <c r="DS8" t="str">
        <f t="shared" si="89"/>
        <v/>
      </c>
      <c r="DT8" t="str">
        <f t="shared" si="90"/>
        <v/>
      </c>
      <c r="DU8" t="str">
        <f t="shared" si="91"/>
        <v/>
      </c>
      <c r="DV8" t="str">
        <f t="shared" si="92"/>
        <v/>
      </c>
      <c r="DW8" t="str">
        <f t="shared" si="93"/>
        <v/>
      </c>
      <c r="DX8" t="str">
        <f t="shared" si="94"/>
        <v/>
      </c>
      <c r="DY8" t="str">
        <f t="shared" si="95"/>
        <v/>
      </c>
      <c r="DZ8" t="str">
        <f t="shared" si="96"/>
        <v/>
      </c>
      <c r="EA8" t="str">
        <f t="shared" si="97"/>
        <v/>
      </c>
      <c r="EB8" t="str">
        <f t="shared" si="98"/>
        <v/>
      </c>
      <c r="EC8" t="str">
        <f t="shared" si="99"/>
        <v/>
      </c>
      <c r="ED8" t="str">
        <f t="shared" si="100"/>
        <v/>
      </c>
      <c r="EE8" t="str">
        <f t="shared" si="101"/>
        <v/>
      </c>
      <c r="EF8" t="str">
        <f t="shared" si="102"/>
        <v/>
      </c>
      <c r="EG8" t="str">
        <f t="shared" si="103"/>
        <v/>
      </c>
      <c r="EH8" t="str">
        <f t="shared" si="104"/>
        <v/>
      </c>
      <c r="EI8" t="str">
        <f t="shared" si="105"/>
        <v/>
      </c>
      <c r="EJ8" t="str">
        <f t="shared" si="106"/>
        <v/>
      </c>
      <c r="EK8" t="str">
        <f t="shared" si="107"/>
        <v/>
      </c>
      <c r="EL8" t="str">
        <f t="shared" si="108"/>
        <v/>
      </c>
      <c r="EM8" t="str">
        <f t="shared" si="109"/>
        <v/>
      </c>
      <c r="EN8" t="str">
        <f t="shared" si="110"/>
        <v/>
      </c>
      <c r="EO8" t="str">
        <f t="shared" si="111"/>
        <v/>
      </c>
      <c r="EP8" t="str">
        <f t="shared" si="112"/>
        <v/>
      </c>
      <c r="EQ8" t="str">
        <f t="shared" si="113"/>
        <v/>
      </c>
      <c r="ER8" t="str">
        <f t="shared" si="114"/>
        <v/>
      </c>
      <c r="ES8" t="str">
        <f t="shared" si="115"/>
        <v/>
      </c>
      <c r="ET8" t="str">
        <f t="shared" si="116"/>
        <v/>
      </c>
      <c r="EU8" t="str">
        <f t="shared" si="117"/>
        <v/>
      </c>
      <c r="EV8" t="str">
        <f t="shared" si="118"/>
        <v/>
      </c>
      <c r="EW8" t="str">
        <f t="shared" si="119"/>
        <v/>
      </c>
      <c r="EX8" t="str">
        <f t="shared" si="120"/>
        <v/>
      </c>
      <c r="EY8" t="str">
        <f t="shared" si="121"/>
        <v/>
      </c>
    </row>
    <row r="9" spans="1:155" ht="13.9" customHeight="1" x14ac:dyDescent="0.25">
      <c r="A9" s="7"/>
      <c r="B9" s="17"/>
      <c r="C9" s="8"/>
      <c r="D9" s="17"/>
      <c r="E9" s="8"/>
      <c r="F9" s="18">
        <v>0</v>
      </c>
      <c r="G9" s="7" t="s">
        <v>147</v>
      </c>
      <c r="H9" s="18">
        <v>0</v>
      </c>
      <c r="I9" s="19">
        <v>0</v>
      </c>
      <c r="J9" s="7" t="s">
        <v>147</v>
      </c>
      <c r="K9" s="19">
        <v>0</v>
      </c>
      <c r="L9" s="9"/>
      <c r="M9" s="3" t="str">
        <f>IF($L9="","",IF($L9="DOELPUNTENMAKERS","",IF(AND(COUNTIF(#REF!,$B9)=0,COUNTIF(#REF!,$D9)=0),"OK",IF($O9&gt;20,"LET OP: meer dan 20 items (controle onvolledig)",IF((COUNTIF($R9:$AS9,"ONZEKER")+COUNTIF($CJ9:$DK9,"ONZEKER"))&gt;0,"LET OP: scoreverloop onduidelijk (controle beperkt)",IF((IF($AT9&lt;&gt;"",$AT9&amp;", ","")&amp;IF($AU9&lt;&gt;"",$AU9&amp;", ","")&amp;IF($AV9&lt;&gt;"",$AV9&amp;", ","")&amp;IF($AW9&lt;&gt;"",$AW9&amp;", ","")&amp;IF($AX9&lt;&gt;"",$AX9&amp;", ","")&amp;IF($AY9&lt;&gt;"",$AY9&amp;", ","")&amp;IF($AZ9&lt;&gt;"",$AZ9&amp;", ","")&amp;IF($BA9&lt;&gt;"",$BA9&amp;", ","")&amp;IF($BB9&lt;&gt;"",$BB9&amp;", ","")&amp;IF($BC9&lt;&gt;"",$BC9&amp;", ","")&amp;IF($DL9&lt;&gt;"",$DL9&amp;", ","")&amp;IF($DM9&lt;&gt;"",$DM9&amp;", ","")&amp;IF($DN9&lt;&gt;"",$DN9&amp;", ","")&amp;IF($DO9&lt;&gt;"",$DO9&amp;", ","")&amp;IF($DP9&lt;&gt;"",$DP9&amp;", ","")&amp;IF($DQ9&lt;&gt;"",$DQ9&amp;", ","")&amp;IF($DR9&lt;&gt;"",$DR9&amp;", ","")&amp;IF($DS9&lt;&gt;"",$DS9&amp;", ","")&amp;IF($DT9&lt;&gt;"",$DT9&amp;", ","")&amp;IF($DU9&lt;&gt;"",$DU9&amp;", ",""))="","OK","Onbekend: "&amp;LEFT((IF($AT9&lt;&gt;"",$AT9&amp;", ","")&amp;IF($AU9&lt;&gt;"",$AU9&amp;", ","")&amp;IF($AV9&lt;&gt;"",$AV9&amp;", ","")&amp;IF($AW9&lt;&gt;"",$AW9&amp;", ","")&amp;IF($AX9&lt;&gt;"",$AX9&amp;", ","")&amp;IF($AY9&lt;&gt;"",$AY9&amp;", ","")&amp;IF($AZ9&lt;&gt;"",$AZ9&amp;", ","")&amp;IF($BA9&lt;&gt;"",$BA9&amp;", ","")&amp;IF($BB9&lt;&gt;"",$BB9&amp;", ","")&amp;IF($BC9&lt;&gt;"",$BC9&amp;", ","")&amp;IF($DL9&lt;&gt;"",$DL9&amp;", ","")&amp;IF($DM9&lt;&gt;"",$DM9&amp;", ","")&amp;IF($DN9&lt;&gt;"",$DN9&amp;", ","")&amp;IF($DO9&lt;&gt;"",$DO9&amp;", ","")&amp;IF($DP9&lt;&gt;"",$DP9&amp;", ","")&amp;IF($DQ9&lt;&gt;"",$DQ9&amp;", ","")&amp;IF($DR9&lt;&gt;"",$DR9&amp;", ","")&amp;IF($DS9&lt;&gt;"",$DS9&amp;", ","")&amp;IF($DT9&lt;&gt;"",$DT9&amp;", ","")&amp;IF($DU9&lt;&gt;"",$DU9&amp;", ","")),LEN((IF($AT9&lt;&gt;"",$AT9&amp;", ","")&amp;IF($AU9&lt;&gt;"",$AU9&amp;", ","")&amp;IF($AV9&lt;&gt;"",$AV9&amp;", ","")&amp;IF($AW9&lt;&gt;"",$AW9&amp;", ","")&amp;IF($AX9&lt;&gt;"",$AX9&amp;", ","")&amp;IF($AY9&lt;&gt;"",$AY9&amp;", ","")&amp;IF($AZ9&lt;&gt;"",$AZ9&amp;", ","")&amp;IF($BA9&lt;&gt;"",$BA9&amp;", ","")&amp;IF($BB9&lt;&gt;"",$BB9&amp;", ","")&amp;IF($BC9&lt;&gt;"",$BC9&amp;", ","")&amp;IF($DL9&lt;&gt;"",$DL9&amp;", ","")&amp;IF($DM9&lt;&gt;"",$DM9&amp;", ","")&amp;IF($DN9&lt;&gt;"",$DN9&amp;", ","")&amp;IF($DO9&lt;&gt;"",$DO9&amp;", ","")&amp;IF($DP9&lt;&gt;"",$DP9&amp;", ","")&amp;IF($DQ9&lt;&gt;"",$DQ9&amp;", ","")&amp;IF($DR9&lt;&gt;"",$DR9&amp;", ","")&amp;IF($DS9&lt;&gt;"",$DS9&amp;", ","")&amp;IF($DT9&lt;&gt;"",$DT9&amp;", ","")&amp;IF($DU9&lt;&gt;"",$DU9&amp;", ","")))-2)))))))</f>
        <v/>
      </c>
      <c r="N9" t="str">
        <f t="shared" si="0"/>
        <v/>
      </c>
      <c r="O9" t="str">
        <f t="shared" si="1"/>
        <v/>
      </c>
      <c r="P9" t="str">
        <f t="shared" si="2"/>
        <v/>
      </c>
      <c r="Q9" t="str">
        <f t="shared" si="3"/>
        <v/>
      </c>
      <c r="R9" t="str">
        <f>IF($Q9="","",IF(OR($BE9="",$BF9=""),"ONZEKER",IF(AND($BE9=0+1,$BF9=0),IF(OR(COUNTIF(#REF!,$B9)&gt;0,COUNTIF(#REF!,$B9)=0),"SKIP",IF(COUNTIFS(#REF!,$B9,#REF!,$Q9)&gt;0,"OK","ONBEKEND")),IF(AND($BE9=0,$BF9=0+1),IF(OR(COUNTIF(#REF!,$D9)&gt;0,COUNTIF(#REF!,$D9)=0),"SKIP",IF(COUNTIFS(#REF!,$D9,#REF!,$Q9)&gt;0,"OK","ONBEKEND")),"ONZEKER"))))</f>
        <v/>
      </c>
      <c r="S9" t="str">
        <f t="shared" si="4"/>
        <v/>
      </c>
      <c r="T9" t="str">
        <f t="shared" si="5"/>
        <v/>
      </c>
      <c r="U9" t="str">
        <f>IF($T9="","",IF(OR($BH9="",$BI9=""),"ONZEKER",IF(OR($BE9="",$BF9=""),"ONZEKER",IF(AND($BH9=$BE9+1,$BI9=$BF9),IF(OR(COUNTIF(#REF!,$B9)&gt;0,COUNTIF(#REF!,$B9)=0),"SKIP",IF(COUNTIFS(#REF!,$B9,#REF!,$T9)&gt;0,"OK","ONBEKEND")),IF(AND($BH9=$BE9,$BI9=$BF9+1),IF(OR(COUNTIF(#REF!,$D9)&gt;0,COUNTIF(#REF!,$D9)=0),"SKIP",IF(COUNTIFS(#REF!,$D9,#REF!,$T9)&gt;0,"OK","ONBEKEND")),"ONZEKER")))))</f>
        <v/>
      </c>
      <c r="V9" t="str">
        <f t="shared" si="6"/>
        <v/>
      </c>
      <c r="W9" t="str">
        <f t="shared" si="7"/>
        <v/>
      </c>
      <c r="X9" t="str">
        <f>IF($W9="","",IF(OR($BK9="",$BL9=""),"ONZEKER",IF(OR($BH9="",$BI9=""),"ONZEKER",IF(AND($BK9=$BH9+1,$BL9=$BI9),IF(OR(COUNTIF(#REF!,$B9)&gt;0,COUNTIF(#REF!,$B9)=0),"SKIP",IF(COUNTIFS(#REF!,$B9,#REF!,$W9)&gt;0,"OK","ONBEKEND")),IF(AND($BK9=$BH9,$BL9=$BI9+1),IF(OR(COUNTIF(#REF!,$D9)&gt;0,COUNTIF(#REF!,$D9)=0),"SKIP",IF(COUNTIFS(#REF!,$D9,#REF!,$W9)&gt;0,"OK","ONBEKEND")),"ONZEKER")))))</f>
        <v/>
      </c>
      <c r="Y9" t="str">
        <f t="shared" si="8"/>
        <v/>
      </c>
      <c r="Z9" t="str">
        <f t="shared" si="9"/>
        <v/>
      </c>
      <c r="AA9" t="str">
        <f>IF($Z9="","",IF(OR($BN9="",$BO9=""),"ONZEKER",IF(OR($BK9="",$BL9=""),"ONZEKER",IF(AND($BN9=$BK9+1,$BO9=$BL9),IF(OR(COUNTIF(#REF!,$B9)&gt;0,COUNTIF(#REF!,$B9)=0),"SKIP",IF(COUNTIFS(#REF!,$B9,#REF!,$Z9)&gt;0,"OK","ONBEKEND")),IF(AND($BN9=$BK9,$BO9=$BL9+1),IF(OR(COUNTIF(#REF!,$D9)&gt;0,COUNTIF(#REF!,$D9)=0),"SKIP",IF(COUNTIFS(#REF!,$D9,#REF!,$Z9)&gt;0,"OK","ONBEKEND")),"ONZEKER")))))</f>
        <v/>
      </c>
      <c r="AB9" t="str">
        <f t="shared" si="10"/>
        <v/>
      </c>
      <c r="AC9" t="str">
        <f t="shared" si="11"/>
        <v/>
      </c>
      <c r="AD9" t="str">
        <f>IF($AC9="","",IF(OR($BQ9="",$BR9=""),"ONZEKER",IF(OR($BN9="",$BO9=""),"ONZEKER",IF(AND($BQ9=$BN9+1,$BR9=$BO9),IF(OR(COUNTIF(#REF!,$B9)&gt;0,COUNTIF(#REF!,$B9)=0),"SKIP",IF(COUNTIFS(#REF!,$B9,#REF!,$AC9)&gt;0,"OK","ONBEKEND")),IF(AND($BQ9=$BN9,$BR9=$BO9+1),IF(OR(COUNTIF(#REF!,$D9)&gt;0,COUNTIF(#REF!,$D9)=0),"SKIP",IF(COUNTIFS(#REF!,$D9,#REF!,$AC9)&gt;0,"OK","ONBEKEND")),"ONZEKER")))))</f>
        <v/>
      </c>
      <c r="AE9" t="str">
        <f t="shared" si="12"/>
        <v/>
      </c>
      <c r="AF9" t="str">
        <f t="shared" si="13"/>
        <v/>
      </c>
      <c r="AG9" t="str">
        <f>IF($AF9="","",IF(OR($BT9="",$BU9=""),"ONZEKER",IF(OR($BQ9="",$BR9=""),"ONZEKER",IF(AND($BT9=$BQ9+1,$BU9=$BR9),IF(OR(COUNTIF(#REF!,$B9)&gt;0,COUNTIF(#REF!,$B9)=0),"SKIP",IF(COUNTIFS(#REF!,$B9,#REF!,$AF9)&gt;0,"OK","ONBEKEND")),IF(AND($BT9=$BQ9,$BU9=$BR9+1),IF(OR(COUNTIF(#REF!,$D9)&gt;0,COUNTIF(#REF!,$D9)=0),"SKIP",IF(COUNTIFS(#REF!,$D9,#REF!,$AF9)&gt;0,"OK","ONBEKEND")),"ONZEKER")))))</f>
        <v/>
      </c>
      <c r="AH9" t="str">
        <f t="shared" si="14"/>
        <v/>
      </c>
      <c r="AI9" t="str">
        <f t="shared" si="15"/>
        <v/>
      </c>
      <c r="AJ9" t="str">
        <f>IF($AI9="","",IF(OR($BW9="",$BX9=""),"ONZEKER",IF(OR($BT9="",$BU9=""),"ONZEKER",IF(AND($BW9=$BT9+1,$BX9=$BU9),IF(OR(COUNTIF(#REF!,$B9)&gt;0,COUNTIF(#REF!,$B9)=0),"SKIP",IF(COUNTIFS(#REF!,$B9,#REF!,$AI9)&gt;0,"OK","ONBEKEND")),IF(AND($BW9=$BT9,$BX9=$BU9+1),IF(OR(COUNTIF(#REF!,$D9)&gt;0,COUNTIF(#REF!,$D9)=0),"SKIP",IF(COUNTIFS(#REF!,$D9,#REF!,$AI9)&gt;0,"OK","ONBEKEND")),"ONZEKER")))))</f>
        <v/>
      </c>
      <c r="AK9" t="str">
        <f t="shared" si="16"/>
        <v/>
      </c>
      <c r="AL9" t="str">
        <f t="shared" si="17"/>
        <v/>
      </c>
      <c r="AM9" t="str">
        <f>IF($AL9="","",IF(OR($BZ9="",$CA9=""),"ONZEKER",IF(OR($BW9="",$BX9=""),"ONZEKER",IF(AND($BZ9=$BW9+1,$CA9=$BX9),IF(OR(COUNTIF(#REF!,$B9)&gt;0,COUNTIF(#REF!,$B9)=0),"SKIP",IF(COUNTIFS(#REF!,$B9,#REF!,$AL9)&gt;0,"OK","ONBEKEND")),IF(AND($BZ9=$BW9,$CA9=$BX9+1),IF(OR(COUNTIF(#REF!,$D9)&gt;0,COUNTIF(#REF!,$D9)=0),"SKIP",IF(COUNTIFS(#REF!,$D9,#REF!,$AL9)&gt;0,"OK","ONBEKEND")),"ONZEKER")))))</f>
        <v/>
      </c>
      <c r="AN9" t="str">
        <f t="shared" si="18"/>
        <v/>
      </c>
      <c r="AO9" t="str">
        <f t="shared" si="19"/>
        <v/>
      </c>
      <c r="AP9" t="str">
        <f>IF($AO9="","",IF(OR($CC9="",$CD9=""),"ONZEKER",IF(OR($BZ9="",$CA9=""),"ONZEKER",IF(AND($CC9=$BZ9+1,$CD9=$CA9),IF(OR(COUNTIF(#REF!,$B9)&gt;0,COUNTIF(#REF!,$B9)=0),"SKIP",IF(COUNTIFS(#REF!,$B9,#REF!,$AO9)&gt;0,"OK","ONBEKEND")),IF(AND($CC9=$BZ9,$CD9=$CA9+1),IF(OR(COUNTIF(#REF!,$D9)&gt;0,COUNTIF(#REF!,$D9)=0),"SKIP",IF(COUNTIFS(#REF!,$D9,#REF!,$AO9)&gt;0,"OK","ONBEKEND")),"ONZEKER")))))</f>
        <v/>
      </c>
      <c r="AQ9" t="str">
        <f t="shared" si="20"/>
        <v/>
      </c>
      <c r="AR9" t="str">
        <f t="shared" si="21"/>
        <v/>
      </c>
      <c r="AS9" t="str">
        <f>IF($AR9="","",IF(OR($CF9="",$CG9=""),"ONZEKER",IF(OR($CC9="",$CD9=""),"ONZEKER",IF(AND($CF9=$CC9+1,$CG9=$CD9),IF(OR(COUNTIF(#REF!,$B9)&gt;0,COUNTIF(#REF!,$B9)=0),"SKIP",IF(COUNTIFS(#REF!,$B9,#REF!,$AR9)&gt;0,"OK","ONBEKEND")),IF(AND($CF9=$CC9,$CG9=$CD9+1),IF(OR(COUNTIF(#REF!,$D9)&gt;0,COUNTIF(#REF!,$D9)=0),"SKIP",IF(COUNTIFS(#REF!,$D9,#REF!,$AR9)&gt;0,"OK","ONBEKEND")),"ONZEKER")))))</f>
        <v/>
      </c>
      <c r="AT9" t="str">
        <f t="shared" si="22"/>
        <v/>
      </c>
      <c r="AU9" t="str">
        <f t="shared" si="23"/>
        <v/>
      </c>
      <c r="AV9" t="str">
        <f t="shared" si="24"/>
        <v/>
      </c>
      <c r="AW9" t="str">
        <f t="shared" si="25"/>
        <v/>
      </c>
      <c r="AX9" t="str">
        <f t="shared" si="26"/>
        <v/>
      </c>
      <c r="AY9" t="str">
        <f t="shared" si="27"/>
        <v/>
      </c>
      <c r="AZ9" t="str">
        <f t="shared" si="28"/>
        <v/>
      </c>
      <c r="BA9" t="str">
        <f t="shared" si="29"/>
        <v/>
      </c>
      <c r="BB9" t="str">
        <f t="shared" si="30"/>
        <v/>
      </c>
      <c r="BC9" t="str">
        <f t="shared" si="31"/>
        <v/>
      </c>
      <c r="BD9" t="str">
        <f t="shared" si="32"/>
        <v/>
      </c>
      <c r="BE9" t="str">
        <f t="shared" si="33"/>
        <v/>
      </c>
      <c r="BF9" t="str">
        <f t="shared" si="34"/>
        <v/>
      </c>
      <c r="BG9" t="str">
        <f t="shared" si="35"/>
        <v/>
      </c>
      <c r="BH9" t="str">
        <f t="shared" si="36"/>
        <v/>
      </c>
      <c r="BI9" t="str">
        <f t="shared" si="37"/>
        <v/>
      </c>
      <c r="BJ9" t="str">
        <f t="shared" si="38"/>
        <v/>
      </c>
      <c r="BK9" t="str">
        <f t="shared" si="39"/>
        <v/>
      </c>
      <c r="BL9" t="str">
        <f t="shared" si="40"/>
        <v/>
      </c>
      <c r="BM9" t="str">
        <f t="shared" si="41"/>
        <v/>
      </c>
      <c r="BN9" t="str">
        <f t="shared" si="42"/>
        <v/>
      </c>
      <c r="BO9" t="str">
        <f t="shared" si="43"/>
        <v/>
      </c>
      <c r="BP9" t="str">
        <f t="shared" si="44"/>
        <v/>
      </c>
      <c r="BQ9" t="str">
        <f t="shared" si="45"/>
        <v/>
      </c>
      <c r="BR9" t="str">
        <f t="shared" si="46"/>
        <v/>
      </c>
      <c r="BS9" t="str">
        <f t="shared" si="47"/>
        <v/>
      </c>
      <c r="BT9" t="str">
        <f t="shared" si="48"/>
        <v/>
      </c>
      <c r="BU9" t="str">
        <f t="shared" si="49"/>
        <v/>
      </c>
      <c r="BV9" t="str">
        <f t="shared" si="50"/>
        <v/>
      </c>
      <c r="BW9" t="str">
        <f t="shared" si="51"/>
        <v/>
      </c>
      <c r="BX9" t="str">
        <f t="shared" si="52"/>
        <v/>
      </c>
      <c r="BY9" t="str">
        <f t="shared" si="53"/>
        <v/>
      </c>
      <c r="BZ9" t="str">
        <f t="shared" si="54"/>
        <v/>
      </c>
      <c r="CA9" t="str">
        <f t="shared" si="55"/>
        <v/>
      </c>
      <c r="CB9" t="str">
        <f t="shared" si="56"/>
        <v/>
      </c>
      <c r="CC9" t="str">
        <f t="shared" si="57"/>
        <v/>
      </c>
      <c r="CD9" t="str">
        <f t="shared" si="58"/>
        <v/>
      </c>
      <c r="CE9" t="str">
        <f t="shared" si="59"/>
        <v/>
      </c>
      <c r="CF9" t="str">
        <f t="shared" si="60"/>
        <v/>
      </c>
      <c r="CG9" t="str">
        <f t="shared" si="61"/>
        <v/>
      </c>
      <c r="CH9" t="str">
        <f t="shared" si="62"/>
        <v/>
      </c>
      <c r="CI9" t="str">
        <f t="shared" si="63"/>
        <v/>
      </c>
      <c r="CJ9" t="str">
        <f>IF($CI9="","",IF(OR($DW9="",$DX9=""),"ONZEKER",IF(OR($CF9="",$CG9=""),"ONZEKER",IF(AND($DW9=$CF9+1,$DX9=$CG9),IF(OR(COUNTIF(#REF!,$B9)&gt;0,COUNTIF(#REF!,$B9)=0),"SKIP",IF(COUNTIFS(#REF!,$B9,#REF!,$CI9)&gt;0,"OK","ONBEKEND")),IF(AND($DW9=$CF9,$DX9=$CG9+1),IF(OR(COUNTIF(#REF!,$D9)&gt;0,COUNTIF(#REF!,$D9)=0),"SKIP",IF(COUNTIFS(#REF!,$D9,#REF!,$CI9)&gt;0,"OK","ONBEKEND")),"ONZEKER")))))</f>
        <v/>
      </c>
      <c r="CK9" t="str">
        <f t="shared" si="64"/>
        <v/>
      </c>
      <c r="CL9" t="str">
        <f t="shared" si="65"/>
        <v/>
      </c>
      <c r="CM9" t="str">
        <f>IF($CL9="","",IF(OR($DZ9="",$EA9=""),"ONZEKER",IF(OR($DW9="",$DX9=""),"ONZEKER",IF(AND($DZ9=$DW9+1,$EA9=$DX9),IF(OR(COUNTIF(#REF!,$B9)&gt;0,COUNTIF(#REF!,$B9)=0),"SKIP",IF(COUNTIFS(#REF!,$B9,#REF!,$CL9)&gt;0,"OK","ONBEKEND")),IF(AND($DZ9=$DW9,$EA9=$DX9+1),IF(OR(COUNTIF(#REF!,$D9)&gt;0,COUNTIF(#REF!,$D9)=0),"SKIP",IF(COUNTIFS(#REF!,$D9,#REF!,$CL9)&gt;0,"OK","ONBEKEND")),"ONZEKER")))))</f>
        <v/>
      </c>
      <c r="CN9" t="str">
        <f t="shared" si="66"/>
        <v/>
      </c>
      <c r="CO9" t="str">
        <f t="shared" si="67"/>
        <v/>
      </c>
      <c r="CP9" t="str">
        <f>IF($CO9="","",IF(OR($EC9="",$ED9=""),"ONZEKER",IF(OR($DZ9="",$EA9=""),"ONZEKER",IF(AND($EC9=$DZ9+1,$ED9=$EA9),IF(OR(COUNTIF(#REF!,$B9)&gt;0,COUNTIF(#REF!,$B9)=0),"SKIP",IF(COUNTIFS(#REF!,$B9,#REF!,$CO9)&gt;0,"OK","ONBEKEND")),IF(AND($EC9=$DZ9,$ED9=$EA9+1),IF(OR(COUNTIF(#REF!,$D9)&gt;0,COUNTIF(#REF!,$D9)=0),"SKIP",IF(COUNTIFS(#REF!,$D9,#REF!,$CO9)&gt;0,"OK","ONBEKEND")),"ONZEKER")))))</f>
        <v/>
      </c>
      <c r="CQ9" t="str">
        <f t="shared" si="68"/>
        <v/>
      </c>
      <c r="CR9" t="str">
        <f t="shared" si="69"/>
        <v/>
      </c>
      <c r="CS9" t="str">
        <f>IF($CR9="","",IF(OR($EF9="",$EG9=""),"ONZEKER",IF(OR($EC9="",$ED9=""),"ONZEKER",IF(AND($EF9=$EC9+1,$EG9=$ED9),IF(OR(COUNTIF(#REF!,$B9)&gt;0,COUNTIF(#REF!,$B9)=0),"SKIP",IF(COUNTIFS(#REF!,$B9,#REF!,$CR9)&gt;0,"OK","ONBEKEND")),IF(AND($EF9=$EC9,$EG9=$ED9+1),IF(OR(COUNTIF(#REF!,$D9)&gt;0,COUNTIF(#REF!,$D9)=0),"SKIP",IF(COUNTIFS(#REF!,$D9,#REF!,$CR9)&gt;0,"OK","ONBEKEND")),"ONZEKER")))))</f>
        <v/>
      </c>
      <c r="CT9" t="str">
        <f t="shared" si="70"/>
        <v/>
      </c>
      <c r="CU9" t="str">
        <f t="shared" si="71"/>
        <v/>
      </c>
      <c r="CV9" t="str">
        <f>IF($CU9="","",IF(OR($EI9="",$EJ9=""),"ONZEKER",IF(OR($EF9="",$EG9=""),"ONZEKER",IF(AND($EI9=$EF9+1,$EJ9=$EG9),IF(OR(COUNTIF(#REF!,$B9)&gt;0,COUNTIF(#REF!,$B9)=0),"SKIP",IF(COUNTIFS(#REF!,$B9,#REF!,$CU9)&gt;0,"OK","ONBEKEND")),IF(AND($EI9=$EF9,$EJ9=$EG9+1),IF(OR(COUNTIF(#REF!,$D9)&gt;0,COUNTIF(#REF!,$D9)=0),"SKIP",IF(COUNTIFS(#REF!,$D9,#REF!,$CU9)&gt;0,"OK","ONBEKEND")),"ONZEKER")))))</f>
        <v/>
      </c>
      <c r="CW9" t="str">
        <f t="shared" si="72"/>
        <v/>
      </c>
      <c r="CX9" t="str">
        <f t="shared" si="73"/>
        <v/>
      </c>
      <c r="CY9" t="str">
        <f>IF($CX9="","",IF(OR($EL9="",$EM9=""),"ONZEKER",IF(OR($EI9="",$EJ9=""),"ONZEKER",IF(AND($EL9=$EI9+1,$EM9=$EJ9),IF(OR(COUNTIF(#REF!,$B9)&gt;0,COUNTIF(#REF!,$B9)=0),"SKIP",IF(COUNTIFS(#REF!,$B9,#REF!,$CX9)&gt;0,"OK","ONBEKEND")),IF(AND($EL9=$EI9,$EM9=$EJ9+1),IF(OR(COUNTIF(#REF!,$D9)&gt;0,COUNTIF(#REF!,$D9)=0),"SKIP",IF(COUNTIFS(#REF!,$D9,#REF!,$CX9)&gt;0,"OK","ONBEKEND")),"ONZEKER")))))</f>
        <v/>
      </c>
      <c r="CZ9" t="str">
        <f t="shared" si="74"/>
        <v/>
      </c>
      <c r="DA9" t="str">
        <f t="shared" si="75"/>
        <v/>
      </c>
      <c r="DB9" t="str">
        <f>IF($DA9="","",IF(OR($EO9="",$EP9=""),"ONZEKER",IF(OR($EL9="",$EM9=""),"ONZEKER",IF(AND($EO9=$EL9+1,$EP9=$EM9),IF(OR(COUNTIF(#REF!,$B9)&gt;0,COUNTIF(#REF!,$B9)=0),"SKIP",IF(COUNTIFS(#REF!,$B9,#REF!,$DA9)&gt;0,"OK","ONBEKEND")),IF(AND($EO9=$EL9,$EP9=$EM9+1),IF(OR(COUNTIF(#REF!,$D9)&gt;0,COUNTIF(#REF!,$D9)=0),"SKIP",IF(COUNTIFS(#REF!,$D9,#REF!,$DA9)&gt;0,"OK","ONBEKEND")),"ONZEKER")))))</f>
        <v/>
      </c>
      <c r="DC9" t="str">
        <f t="shared" si="76"/>
        <v/>
      </c>
      <c r="DD9" t="str">
        <f t="shared" si="77"/>
        <v/>
      </c>
      <c r="DE9" t="str">
        <f>IF($DD9="","",IF(OR($ER9="",$ES9=""),"ONZEKER",IF(OR($EO9="",$EP9=""),"ONZEKER",IF(AND($ER9=$EO9+1,$ES9=$EP9),IF(OR(COUNTIF(#REF!,$B9)&gt;0,COUNTIF(#REF!,$B9)=0),"SKIP",IF(COUNTIFS(#REF!,$B9,#REF!,$DD9)&gt;0,"OK","ONBEKEND")),IF(AND($ER9=$EO9,$ES9=$EP9+1),IF(OR(COUNTIF(#REF!,$D9)&gt;0,COUNTIF(#REF!,$D9)=0),"SKIP",IF(COUNTIFS(#REF!,$D9,#REF!,$DD9)&gt;0,"OK","ONBEKEND")),"ONZEKER")))))</f>
        <v/>
      </c>
      <c r="DF9" t="str">
        <f t="shared" si="78"/>
        <v/>
      </c>
      <c r="DG9" t="str">
        <f t="shared" si="79"/>
        <v/>
      </c>
      <c r="DH9" t="str">
        <f>IF($DG9="","",IF(OR($EU9="",$EV9=""),"ONZEKER",IF(OR($ER9="",$ES9=""),"ONZEKER",IF(AND($EU9=$ER9+1,$EV9=$ES9),IF(OR(COUNTIF(#REF!,$B9)&gt;0,COUNTIF(#REF!,$B9)=0),"SKIP",IF(COUNTIFS(#REF!,$B9,#REF!,$DG9)&gt;0,"OK","ONBEKEND")),IF(AND($EU9=$ER9,$EV9=$ES9+1),IF(OR(COUNTIF(#REF!,$D9)&gt;0,COUNTIF(#REF!,$D9)=0),"SKIP",IF(COUNTIFS(#REF!,$D9,#REF!,$DG9)&gt;0,"OK","ONBEKEND")),"ONZEKER")))))</f>
        <v/>
      </c>
      <c r="DI9" t="str">
        <f t="shared" si="80"/>
        <v/>
      </c>
      <c r="DJ9" t="str">
        <f t="shared" si="81"/>
        <v/>
      </c>
      <c r="DK9" t="str">
        <f>IF($DJ9="","",IF(OR($EX9="",$EY9=""),"ONZEKER",IF(OR($EU9="",$EV9=""),"ONZEKER",IF(AND($EX9=$EU9+1,$EY9=$EV9),IF(OR(COUNTIF(#REF!,$B9)&gt;0,COUNTIF(#REF!,$B9)=0),"SKIP",IF(COUNTIFS(#REF!,$B9,#REF!,$DJ9)&gt;0,"OK","ONBEKEND")),IF(AND($EX9=$EU9,$EY9=$EV9+1),IF(OR(COUNTIF(#REF!,$D9)&gt;0,COUNTIF(#REF!,$D9)=0),"SKIP",IF(COUNTIFS(#REF!,$D9,#REF!,$DJ9)&gt;0,"OK","ONBEKEND")),"ONZEKER")))))</f>
        <v/>
      </c>
      <c r="DL9" t="str">
        <f t="shared" si="82"/>
        <v/>
      </c>
      <c r="DM9" t="str">
        <f t="shared" si="83"/>
        <v/>
      </c>
      <c r="DN9" t="str">
        <f t="shared" si="84"/>
        <v/>
      </c>
      <c r="DO9" t="str">
        <f t="shared" si="85"/>
        <v/>
      </c>
      <c r="DP9" t="str">
        <f t="shared" si="86"/>
        <v/>
      </c>
      <c r="DQ9" t="str">
        <f t="shared" si="87"/>
        <v/>
      </c>
      <c r="DR9" t="str">
        <f t="shared" si="88"/>
        <v/>
      </c>
      <c r="DS9" t="str">
        <f t="shared" si="89"/>
        <v/>
      </c>
      <c r="DT9" t="str">
        <f t="shared" si="90"/>
        <v/>
      </c>
      <c r="DU9" t="str">
        <f t="shared" si="91"/>
        <v/>
      </c>
      <c r="DV9" t="str">
        <f t="shared" si="92"/>
        <v/>
      </c>
      <c r="DW9" t="str">
        <f t="shared" si="93"/>
        <v/>
      </c>
      <c r="DX9" t="str">
        <f t="shared" si="94"/>
        <v/>
      </c>
      <c r="DY9" t="str">
        <f t="shared" si="95"/>
        <v/>
      </c>
      <c r="DZ9" t="str">
        <f t="shared" si="96"/>
        <v/>
      </c>
      <c r="EA9" t="str">
        <f t="shared" si="97"/>
        <v/>
      </c>
      <c r="EB9" t="str">
        <f t="shared" si="98"/>
        <v/>
      </c>
      <c r="EC9" t="str">
        <f t="shared" si="99"/>
        <v/>
      </c>
      <c r="ED9" t="str">
        <f t="shared" si="100"/>
        <v/>
      </c>
      <c r="EE9" t="str">
        <f t="shared" si="101"/>
        <v/>
      </c>
      <c r="EF9" t="str">
        <f t="shared" si="102"/>
        <v/>
      </c>
      <c r="EG9" t="str">
        <f t="shared" si="103"/>
        <v/>
      </c>
      <c r="EH9" t="str">
        <f t="shared" si="104"/>
        <v/>
      </c>
      <c r="EI9" t="str">
        <f t="shared" si="105"/>
        <v/>
      </c>
      <c r="EJ9" t="str">
        <f t="shared" si="106"/>
        <v/>
      </c>
      <c r="EK9" t="str">
        <f t="shared" si="107"/>
        <v/>
      </c>
      <c r="EL9" t="str">
        <f t="shared" si="108"/>
        <v/>
      </c>
      <c r="EM9" t="str">
        <f t="shared" si="109"/>
        <v/>
      </c>
      <c r="EN9" t="str">
        <f t="shared" si="110"/>
        <v/>
      </c>
      <c r="EO9" t="str">
        <f t="shared" si="111"/>
        <v/>
      </c>
      <c r="EP9" t="str">
        <f t="shared" si="112"/>
        <v/>
      </c>
      <c r="EQ9" t="str">
        <f t="shared" si="113"/>
        <v/>
      </c>
      <c r="ER9" t="str">
        <f t="shared" si="114"/>
        <v/>
      </c>
      <c r="ES9" t="str">
        <f t="shared" si="115"/>
        <v/>
      </c>
      <c r="ET9" t="str">
        <f t="shared" si="116"/>
        <v/>
      </c>
      <c r="EU9" t="str">
        <f t="shared" si="117"/>
        <v/>
      </c>
      <c r="EV9" t="str">
        <f t="shared" si="118"/>
        <v/>
      </c>
      <c r="EW9" t="str">
        <f t="shared" si="119"/>
        <v/>
      </c>
      <c r="EX9" t="str">
        <f t="shared" si="120"/>
        <v/>
      </c>
      <c r="EY9" t="str">
        <f t="shared" si="121"/>
        <v/>
      </c>
    </row>
    <row r="10" spans="1:155" ht="13.9" customHeight="1" x14ac:dyDescent="0.25">
      <c r="A10" s="7"/>
      <c r="B10" s="17"/>
      <c r="C10" s="8"/>
      <c r="D10" s="17"/>
      <c r="E10" s="8"/>
      <c r="F10" s="18">
        <v>0</v>
      </c>
      <c r="G10" s="7" t="s">
        <v>147</v>
      </c>
      <c r="H10" s="18">
        <v>0</v>
      </c>
      <c r="I10" s="19">
        <v>0</v>
      </c>
      <c r="J10" s="7" t="s">
        <v>147</v>
      </c>
      <c r="K10" s="19">
        <v>0</v>
      </c>
      <c r="L10" s="9"/>
      <c r="M10" s="3" t="str">
        <f>IF($L10="","",IF($L10="DOELPUNTENMAKERS","",IF(AND(COUNTIF(#REF!,$B10)=0,COUNTIF(#REF!,$D10)=0),"OK",IF($O10&gt;20,"LET OP: meer dan 20 items (controle onvolledig)",IF((COUNTIF($R10:$AS10,"ONZEKER")+COUNTIF($CJ10:$DK10,"ONZEKER"))&gt;0,"LET OP: scoreverloop onduidelijk (controle beperkt)",IF((IF($AT10&lt;&gt;"",$AT10&amp;", ","")&amp;IF($AU10&lt;&gt;"",$AU10&amp;", ","")&amp;IF($AV10&lt;&gt;"",$AV10&amp;", ","")&amp;IF($AW10&lt;&gt;"",$AW10&amp;", ","")&amp;IF($AX10&lt;&gt;"",$AX10&amp;", ","")&amp;IF($AY10&lt;&gt;"",$AY10&amp;", ","")&amp;IF($AZ10&lt;&gt;"",$AZ10&amp;", ","")&amp;IF($BA10&lt;&gt;"",$BA10&amp;", ","")&amp;IF($BB10&lt;&gt;"",$BB10&amp;", ","")&amp;IF($BC10&lt;&gt;"",$BC10&amp;", ","")&amp;IF($DL10&lt;&gt;"",$DL10&amp;", ","")&amp;IF($DM10&lt;&gt;"",$DM10&amp;", ","")&amp;IF($DN10&lt;&gt;"",$DN10&amp;", ","")&amp;IF($DO10&lt;&gt;"",$DO10&amp;", ","")&amp;IF($DP10&lt;&gt;"",$DP10&amp;", ","")&amp;IF($DQ10&lt;&gt;"",$DQ10&amp;", ","")&amp;IF($DR10&lt;&gt;"",$DR10&amp;", ","")&amp;IF($DS10&lt;&gt;"",$DS10&amp;", ","")&amp;IF($DT10&lt;&gt;"",$DT10&amp;", ","")&amp;IF($DU10&lt;&gt;"",$DU10&amp;", ",""))="","OK","Onbekend: "&amp;LEFT((IF($AT10&lt;&gt;"",$AT10&amp;", ","")&amp;IF($AU10&lt;&gt;"",$AU10&amp;", ","")&amp;IF($AV10&lt;&gt;"",$AV10&amp;", ","")&amp;IF($AW10&lt;&gt;"",$AW10&amp;", ","")&amp;IF($AX10&lt;&gt;"",$AX10&amp;", ","")&amp;IF($AY10&lt;&gt;"",$AY10&amp;", ","")&amp;IF($AZ10&lt;&gt;"",$AZ10&amp;", ","")&amp;IF($BA10&lt;&gt;"",$BA10&amp;", ","")&amp;IF($BB10&lt;&gt;"",$BB10&amp;", ","")&amp;IF($BC10&lt;&gt;"",$BC10&amp;", ","")&amp;IF($DL10&lt;&gt;"",$DL10&amp;", ","")&amp;IF($DM10&lt;&gt;"",$DM10&amp;", ","")&amp;IF($DN10&lt;&gt;"",$DN10&amp;", ","")&amp;IF($DO10&lt;&gt;"",$DO10&amp;", ","")&amp;IF($DP10&lt;&gt;"",$DP10&amp;", ","")&amp;IF($DQ10&lt;&gt;"",$DQ10&amp;", ","")&amp;IF($DR10&lt;&gt;"",$DR10&amp;", ","")&amp;IF($DS10&lt;&gt;"",$DS10&amp;", ","")&amp;IF($DT10&lt;&gt;"",$DT10&amp;", ","")&amp;IF($DU10&lt;&gt;"",$DU10&amp;", ","")),LEN((IF($AT10&lt;&gt;"",$AT10&amp;", ","")&amp;IF($AU10&lt;&gt;"",$AU10&amp;", ","")&amp;IF($AV10&lt;&gt;"",$AV10&amp;", ","")&amp;IF($AW10&lt;&gt;"",$AW10&amp;", ","")&amp;IF($AX10&lt;&gt;"",$AX10&amp;", ","")&amp;IF($AY10&lt;&gt;"",$AY10&amp;", ","")&amp;IF($AZ10&lt;&gt;"",$AZ10&amp;", ","")&amp;IF($BA10&lt;&gt;"",$BA10&amp;", ","")&amp;IF($BB10&lt;&gt;"",$BB10&amp;", ","")&amp;IF($BC10&lt;&gt;"",$BC10&amp;", ","")&amp;IF($DL10&lt;&gt;"",$DL10&amp;", ","")&amp;IF($DM10&lt;&gt;"",$DM10&amp;", ","")&amp;IF($DN10&lt;&gt;"",$DN10&amp;", ","")&amp;IF($DO10&lt;&gt;"",$DO10&amp;", ","")&amp;IF($DP10&lt;&gt;"",$DP10&amp;", ","")&amp;IF($DQ10&lt;&gt;"",$DQ10&amp;", ","")&amp;IF($DR10&lt;&gt;"",$DR10&amp;", ","")&amp;IF($DS10&lt;&gt;"",$DS10&amp;", ","")&amp;IF($DT10&lt;&gt;"",$DT10&amp;", ","")&amp;IF($DU10&lt;&gt;"",$DU10&amp;", ","")))-2)))))))</f>
        <v/>
      </c>
      <c r="N10" t="str">
        <f t="shared" si="0"/>
        <v/>
      </c>
      <c r="O10" t="str">
        <f t="shared" si="1"/>
        <v/>
      </c>
      <c r="P10" t="str">
        <f t="shared" si="2"/>
        <v/>
      </c>
      <c r="Q10" t="str">
        <f t="shared" si="3"/>
        <v/>
      </c>
      <c r="R10" t="str">
        <f>IF($Q10="","",IF(OR($BE10="",$BF10=""),"ONZEKER",IF(AND($BE10=0+1,$BF10=0),IF(OR(COUNTIF(#REF!,$B10)&gt;0,COUNTIF(#REF!,$B10)=0),"SKIP",IF(COUNTIFS(#REF!,$B10,#REF!,$Q10)&gt;0,"OK","ONBEKEND")),IF(AND($BE10=0,$BF10=0+1),IF(OR(COUNTIF(#REF!,$D10)&gt;0,COUNTIF(#REF!,$D10)=0),"SKIP",IF(COUNTIFS(#REF!,$D10,#REF!,$Q10)&gt;0,"OK","ONBEKEND")),"ONZEKER"))))</f>
        <v/>
      </c>
      <c r="S10" t="str">
        <f t="shared" si="4"/>
        <v/>
      </c>
      <c r="T10" t="str">
        <f t="shared" si="5"/>
        <v/>
      </c>
      <c r="U10" t="str">
        <f>IF($T10="","",IF(OR($BH10="",$BI10=""),"ONZEKER",IF(OR($BE10="",$BF10=""),"ONZEKER",IF(AND($BH10=$BE10+1,$BI10=$BF10),IF(OR(COUNTIF(#REF!,$B10)&gt;0,COUNTIF(#REF!,$B10)=0),"SKIP",IF(COUNTIFS(#REF!,$B10,#REF!,$T10)&gt;0,"OK","ONBEKEND")),IF(AND($BH10=$BE10,$BI10=$BF10+1),IF(OR(COUNTIF(#REF!,$D10)&gt;0,COUNTIF(#REF!,$D10)=0),"SKIP",IF(COUNTIFS(#REF!,$D10,#REF!,$T10)&gt;0,"OK","ONBEKEND")),"ONZEKER")))))</f>
        <v/>
      </c>
      <c r="V10" t="str">
        <f t="shared" si="6"/>
        <v/>
      </c>
      <c r="W10" t="str">
        <f t="shared" si="7"/>
        <v/>
      </c>
      <c r="X10" t="str">
        <f>IF($W10="","",IF(OR($BK10="",$BL10=""),"ONZEKER",IF(OR($BH10="",$BI10=""),"ONZEKER",IF(AND($BK10=$BH10+1,$BL10=$BI10),IF(OR(COUNTIF(#REF!,$B10)&gt;0,COUNTIF(#REF!,$B10)=0),"SKIP",IF(COUNTIFS(#REF!,$B10,#REF!,$W10)&gt;0,"OK","ONBEKEND")),IF(AND($BK10=$BH10,$BL10=$BI10+1),IF(OR(COUNTIF(#REF!,$D10)&gt;0,COUNTIF(#REF!,$D10)=0),"SKIP",IF(COUNTIFS(#REF!,$D10,#REF!,$W10)&gt;0,"OK","ONBEKEND")),"ONZEKER")))))</f>
        <v/>
      </c>
      <c r="Y10" t="str">
        <f t="shared" si="8"/>
        <v/>
      </c>
      <c r="Z10" t="str">
        <f t="shared" si="9"/>
        <v/>
      </c>
      <c r="AA10" t="str">
        <f>IF($Z10="","",IF(OR($BN10="",$BO10=""),"ONZEKER",IF(OR($BK10="",$BL10=""),"ONZEKER",IF(AND($BN10=$BK10+1,$BO10=$BL10),IF(OR(COUNTIF(#REF!,$B10)&gt;0,COUNTIF(#REF!,$B10)=0),"SKIP",IF(COUNTIFS(#REF!,$B10,#REF!,$Z10)&gt;0,"OK","ONBEKEND")),IF(AND($BN10=$BK10,$BO10=$BL10+1),IF(OR(COUNTIF(#REF!,$D10)&gt;0,COUNTIF(#REF!,$D10)=0),"SKIP",IF(COUNTIFS(#REF!,$D10,#REF!,$Z10)&gt;0,"OK","ONBEKEND")),"ONZEKER")))))</f>
        <v/>
      </c>
      <c r="AB10" t="str">
        <f t="shared" si="10"/>
        <v/>
      </c>
      <c r="AC10" t="str">
        <f t="shared" si="11"/>
        <v/>
      </c>
      <c r="AD10" t="str">
        <f>IF($AC10="","",IF(OR($BQ10="",$BR10=""),"ONZEKER",IF(OR($BN10="",$BO10=""),"ONZEKER",IF(AND($BQ10=$BN10+1,$BR10=$BO10),IF(OR(COUNTIF(#REF!,$B10)&gt;0,COUNTIF(#REF!,$B10)=0),"SKIP",IF(COUNTIFS(#REF!,$B10,#REF!,$AC10)&gt;0,"OK","ONBEKEND")),IF(AND($BQ10=$BN10,$BR10=$BO10+1),IF(OR(COUNTIF(#REF!,$D10)&gt;0,COUNTIF(#REF!,$D10)=0),"SKIP",IF(COUNTIFS(#REF!,$D10,#REF!,$AC10)&gt;0,"OK","ONBEKEND")),"ONZEKER")))))</f>
        <v/>
      </c>
      <c r="AE10" t="str">
        <f t="shared" si="12"/>
        <v/>
      </c>
      <c r="AF10" t="str">
        <f t="shared" si="13"/>
        <v/>
      </c>
      <c r="AG10" t="str">
        <f>IF($AF10="","",IF(OR($BT10="",$BU10=""),"ONZEKER",IF(OR($BQ10="",$BR10=""),"ONZEKER",IF(AND($BT10=$BQ10+1,$BU10=$BR10),IF(OR(COUNTIF(#REF!,$B10)&gt;0,COUNTIF(#REF!,$B10)=0),"SKIP",IF(COUNTIFS(#REF!,$B10,#REF!,$AF10)&gt;0,"OK","ONBEKEND")),IF(AND($BT10=$BQ10,$BU10=$BR10+1),IF(OR(COUNTIF(#REF!,$D10)&gt;0,COUNTIF(#REF!,$D10)=0),"SKIP",IF(COUNTIFS(#REF!,$D10,#REF!,$AF10)&gt;0,"OK","ONBEKEND")),"ONZEKER")))))</f>
        <v/>
      </c>
      <c r="AH10" t="str">
        <f t="shared" si="14"/>
        <v/>
      </c>
      <c r="AI10" t="str">
        <f t="shared" si="15"/>
        <v/>
      </c>
      <c r="AJ10" t="str">
        <f>IF($AI10="","",IF(OR($BW10="",$BX10=""),"ONZEKER",IF(OR($BT10="",$BU10=""),"ONZEKER",IF(AND($BW10=$BT10+1,$BX10=$BU10),IF(OR(COUNTIF(#REF!,$B10)&gt;0,COUNTIF(#REF!,$B10)=0),"SKIP",IF(COUNTIFS(#REF!,$B10,#REF!,$AI10)&gt;0,"OK","ONBEKEND")),IF(AND($BW10=$BT10,$BX10=$BU10+1),IF(OR(COUNTIF(#REF!,$D10)&gt;0,COUNTIF(#REF!,$D10)=0),"SKIP",IF(COUNTIFS(#REF!,$D10,#REF!,$AI10)&gt;0,"OK","ONBEKEND")),"ONZEKER")))))</f>
        <v/>
      </c>
      <c r="AK10" t="str">
        <f t="shared" si="16"/>
        <v/>
      </c>
      <c r="AL10" t="str">
        <f t="shared" si="17"/>
        <v/>
      </c>
      <c r="AM10" t="str">
        <f>IF($AL10="","",IF(OR($BZ10="",$CA10=""),"ONZEKER",IF(OR($BW10="",$BX10=""),"ONZEKER",IF(AND($BZ10=$BW10+1,$CA10=$BX10),IF(OR(COUNTIF(#REF!,$B10)&gt;0,COUNTIF(#REF!,$B10)=0),"SKIP",IF(COUNTIFS(#REF!,$B10,#REF!,$AL10)&gt;0,"OK","ONBEKEND")),IF(AND($BZ10=$BW10,$CA10=$BX10+1),IF(OR(COUNTIF(#REF!,$D10)&gt;0,COUNTIF(#REF!,$D10)=0),"SKIP",IF(COUNTIFS(#REF!,$D10,#REF!,$AL10)&gt;0,"OK","ONBEKEND")),"ONZEKER")))))</f>
        <v/>
      </c>
      <c r="AN10" t="str">
        <f t="shared" si="18"/>
        <v/>
      </c>
      <c r="AO10" t="str">
        <f t="shared" si="19"/>
        <v/>
      </c>
      <c r="AP10" t="str">
        <f>IF($AO10="","",IF(OR($CC10="",$CD10=""),"ONZEKER",IF(OR($BZ10="",$CA10=""),"ONZEKER",IF(AND($CC10=$BZ10+1,$CD10=$CA10),IF(OR(COUNTIF(#REF!,$B10)&gt;0,COUNTIF(#REF!,$B10)=0),"SKIP",IF(COUNTIFS(#REF!,$B10,#REF!,$AO10)&gt;0,"OK","ONBEKEND")),IF(AND($CC10=$BZ10,$CD10=$CA10+1),IF(OR(COUNTIF(#REF!,$D10)&gt;0,COUNTIF(#REF!,$D10)=0),"SKIP",IF(COUNTIFS(#REF!,$D10,#REF!,$AO10)&gt;0,"OK","ONBEKEND")),"ONZEKER")))))</f>
        <v/>
      </c>
      <c r="AQ10" t="str">
        <f t="shared" si="20"/>
        <v/>
      </c>
      <c r="AR10" t="str">
        <f t="shared" si="21"/>
        <v/>
      </c>
      <c r="AS10" t="str">
        <f>IF($AR10="","",IF(OR($CF10="",$CG10=""),"ONZEKER",IF(OR($CC10="",$CD10=""),"ONZEKER",IF(AND($CF10=$CC10+1,$CG10=$CD10),IF(OR(COUNTIF(#REF!,$B10)&gt;0,COUNTIF(#REF!,$B10)=0),"SKIP",IF(COUNTIFS(#REF!,$B10,#REF!,$AR10)&gt;0,"OK","ONBEKEND")),IF(AND($CF10=$CC10,$CG10=$CD10+1),IF(OR(COUNTIF(#REF!,$D10)&gt;0,COUNTIF(#REF!,$D10)=0),"SKIP",IF(COUNTIFS(#REF!,$D10,#REF!,$AR10)&gt;0,"OK","ONBEKEND")),"ONZEKER")))))</f>
        <v/>
      </c>
      <c r="AT10" t="str">
        <f t="shared" si="22"/>
        <v/>
      </c>
      <c r="AU10" t="str">
        <f t="shared" si="23"/>
        <v/>
      </c>
      <c r="AV10" t="str">
        <f t="shared" si="24"/>
        <v/>
      </c>
      <c r="AW10" t="str">
        <f t="shared" si="25"/>
        <v/>
      </c>
      <c r="AX10" t="str">
        <f t="shared" si="26"/>
        <v/>
      </c>
      <c r="AY10" t="str">
        <f t="shared" si="27"/>
        <v/>
      </c>
      <c r="AZ10" t="str">
        <f t="shared" si="28"/>
        <v/>
      </c>
      <c r="BA10" t="str">
        <f t="shared" si="29"/>
        <v/>
      </c>
      <c r="BB10" t="str">
        <f t="shared" si="30"/>
        <v/>
      </c>
      <c r="BC10" t="str">
        <f t="shared" si="31"/>
        <v/>
      </c>
      <c r="BD10" t="str">
        <f t="shared" si="32"/>
        <v/>
      </c>
      <c r="BE10" t="str">
        <f t="shared" si="33"/>
        <v/>
      </c>
      <c r="BF10" t="str">
        <f t="shared" si="34"/>
        <v/>
      </c>
      <c r="BG10" t="str">
        <f t="shared" si="35"/>
        <v/>
      </c>
      <c r="BH10" t="str">
        <f t="shared" si="36"/>
        <v/>
      </c>
      <c r="BI10" t="str">
        <f t="shared" si="37"/>
        <v/>
      </c>
      <c r="BJ10" t="str">
        <f t="shared" si="38"/>
        <v/>
      </c>
      <c r="BK10" t="str">
        <f t="shared" si="39"/>
        <v/>
      </c>
      <c r="BL10" t="str">
        <f t="shared" si="40"/>
        <v/>
      </c>
      <c r="BM10" t="str">
        <f t="shared" si="41"/>
        <v/>
      </c>
      <c r="BN10" t="str">
        <f t="shared" si="42"/>
        <v/>
      </c>
      <c r="BO10" t="str">
        <f t="shared" si="43"/>
        <v/>
      </c>
      <c r="BP10" t="str">
        <f t="shared" si="44"/>
        <v/>
      </c>
      <c r="BQ10" t="str">
        <f t="shared" si="45"/>
        <v/>
      </c>
      <c r="BR10" t="str">
        <f t="shared" si="46"/>
        <v/>
      </c>
      <c r="BS10" t="str">
        <f t="shared" si="47"/>
        <v/>
      </c>
      <c r="BT10" t="str">
        <f t="shared" si="48"/>
        <v/>
      </c>
      <c r="BU10" t="str">
        <f t="shared" si="49"/>
        <v/>
      </c>
      <c r="BV10" t="str">
        <f t="shared" si="50"/>
        <v/>
      </c>
      <c r="BW10" t="str">
        <f t="shared" si="51"/>
        <v/>
      </c>
      <c r="BX10" t="str">
        <f t="shared" si="52"/>
        <v/>
      </c>
      <c r="BY10" t="str">
        <f t="shared" si="53"/>
        <v/>
      </c>
      <c r="BZ10" t="str">
        <f t="shared" si="54"/>
        <v/>
      </c>
      <c r="CA10" t="str">
        <f t="shared" si="55"/>
        <v/>
      </c>
      <c r="CB10" t="str">
        <f t="shared" si="56"/>
        <v/>
      </c>
      <c r="CC10" t="str">
        <f t="shared" si="57"/>
        <v/>
      </c>
      <c r="CD10" t="str">
        <f t="shared" si="58"/>
        <v/>
      </c>
      <c r="CE10" t="str">
        <f t="shared" si="59"/>
        <v/>
      </c>
      <c r="CF10" t="str">
        <f t="shared" si="60"/>
        <v/>
      </c>
      <c r="CG10" t="str">
        <f t="shared" si="61"/>
        <v/>
      </c>
      <c r="CH10" t="str">
        <f t="shared" si="62"/>
        <v/>
      </c>
      <c r="CI10" t="str">
        <f t="shared" si="63"/>
        <v/>
      </c>
      <c r="CJ10" t="str">
        <f>IF($CI10="","",IF(OR($DW10="",$DX10=""),"ONZEKER",IF(OR($CF10="",$CG10=""),"ONZEKER",IF(AND($DW10=$CF10+1,$DX10=$CG10),IF(OR(COUNTIF(#REF!,$B10)&gt;0,COUNTIF(#REF!,$B10)=0),"SKIP",IF(COUNTIFS(#REF!,$B10,#REF!,$CI10)&gt;0,"OK","ONBEKEND")),IF(AND($DW10=$CF10,$DX10=$CG10+1),IF(OR(COUNTIF(#REF!,$D10)&gt;0,COUNTIF(#REF!,$D10)=0),"SKIP",IF(COUNTIFS(#REF!,$D10,#REF!,$CI10)&gt;0,"OK","ONBEKEND")),"ONZEKER")))))</f>
        <v/>
      </c>
      <c r="CK10" t="str">
        <f t="shared" si="64"/>
        <v/>
      </c>
      <c r="CL10" t="str">
        <f t="shared" si="65"/>
        <v/>
      </c>
      <c r="CM10" t="str">
        <f>IF($CL10="","",IF(OR($DZ10="",$EA10=""),"ONZEKER",IF(OR($DW10="",$DX10=""),"ONZEKER",IF(AND($DZ10=$DW10+1,$EA10=$DX10),IF(OR(COUNTIF(#REF!,$B10)&gt;0,COUNTIF(#REF!,$B10)=0),"SKIP",IF(COUNTIFS(#REF!,$B10,#REF!,$CL10)&gt;0,"OK","ONBEKEND")),IF(AND($DZ10=$DW10,$EA10=$DX10+1),IF(OR(COUNTIF(#REF!,$D10)&gt;0,COUNTIF(#REF!,$D10)=0),"SKIP",IF(COUNTIFS(#REF!,$D10,#REF!,$CL10)&gt;0,"OK","ONBEKEND")),"ONZEKER")))))</f>
        <v/>
      </c>
      <c r="CN10" t="str">
        <f t="shared" si="66"/>
        <v/>
      </c>
      <c r="CO10" t="str">
        <f t="shared" si="67"/>
        <v/>
      </c>
      <c r="CP10" t="str">
        <f>IF($CO10="","",IF(OR($EC10="",$ED10=""),"ONZEKER",IF(OR($DZ10="",$EA10=""),"ONZEKER",IF(AND($EC10=$DZ10+1,$ED10=$EA10),IF(OR(COUNTIF(#REF!,$B10)&gt;0,COUNTIF(#REF!,$B10)=0),"SKIP",IF(COUNTIFS(#REF!,$B10,#REF!,$CO10)&gt;0,"OK","ONBEKEND")),IF(AND($EC10=$DZ10,$ED10=$EA10+1),IF(OR(COUNTIF(#REF!,$D10)&gt;0,COUNTIF(#REF!,$D10)=0),"SKIP",IF(COUNTIFS(#REF!,$D10,#REF!,$CO10)&gt;0,"OK","ONBEKEND")),"ONZEKER")))))</f>
        <v/>
      </c>
      <c r="CQ10" t="str">
        <f t="shared" si="68"/>
        <v/>
      </c>
      <c r="CR10" t="str">
        <f t="shared" si="69"/>
        <v/>
      </c>
      <c r="CS10" t="str">
        <f>IF($CR10="","",IF(OR($EF10="",$EG10=""),"ONZEKER",IF(OR($EC10="",$ED10=""),"ONZEKER",IF(AND($EF10=$EC10+1,$EG10=$ED10),IF(OR(COUNTIF(#REF!,$B10)&gt;0,COUNTIF(#REF!,$B10)=0),"SKIP",IF(COUNTIFS(#REF!,$B10,#REF!,$CR10)&gt;0,"OK","ONBEKEND")),IF(AND($EF10=$EC10,$EG10=$ED10+1),IF(OR(COUNTIF(#REF!,$D10)&gt;0,COUNTIF(#REF!,$D10)=0),"SKIP",IF(COUNTIFS(#REF!,$D10,#REF!,$CR10)&gt;0,"OK","ONBEKEND")),"ONZEKER")))))</f>
        <v/>
      </c>
      <c r="CT10" t="str">
        <f t="shared" si="70"/>
        <v/>
      </c>
      <c r="CU10" t="str">
        <f t="shared" si="71"/>
        <v/>
      </c>
      <c r="CV10" t="str">
        <f>IF($CU10="","",IF(OR($EI10="",$EJ10=""),"ONZEKER",IF(OR($EF10="",$EG10=""),"ONZEKER",IF(AND($EI10=$EF10+1,$EJ10=$EG10),IF(OR(COUNTIF(#REF!,$B10)&gt;0,COUNTIF(#REF!,$B10)=0),"SKIP",IF(COUNTIFS(#REF!,$B10,#REF!,$CU10)&gt;0,"OK","ONBEKEND")),IF(AND($EI10=$EF10,$EJ10=$EG10+1),IF(OR(COUNTIF(#REF!,$D10)&gt;0,COUNTIF(#REF!,$D10)=0),"SKIP",IF(COUNTIFS(#REF!,$D10,#REF!,$CU10)&gt;0,"OK","ONBEKEND")),"ONZEKER")))))</f>
        <v/>
      </c>
      <c r="CW10" t="str">
        <f t="shared" si="72"/>
        <v/>
      </c>
      <c r="CX10" t="str">
        <f t="shared" si="73"/>
        <v/>
      </c>
      <c r="CY10" t="str">
        <f>IF($CX10="","",IF(OR($EL10="",$EM10=""),"ONZEKER",IF(OR($EI10="",$EJ10=""),"ONZEKER",IF(AND($EL10=$EI10+1,$EM10=$EJ10),IF(OR(COUNTIF(#REF!,$B10)&gt;0,COUNTIF(#REF!,$B10)=0),"SKIP",IF(COUNTIFS(#REF!,$B10,#REF!,$CX10)&gt;0,"OK","ONBEKEND")),IF(AND($EL10=$EI10,$EM10=$EJ10+1),IF(OR(COUNTIF(#REF!,$D10)&gt;0,COUNTIF(#REF!,$D10)=0),"SKIP",IF(COUNTIFS(#REF!,$D10,#REF!,$CX10)&gt;0,"OK","ONBEKEND")),"ONZEKER")))))</f>
        <v/>
      </c>
      <c r="CZ10" t="str">
        <f t="shared" si="74"/>
        <v/>
      </c>
      <c r="DA10" t="str">
        <f t="shared" si="75"/>
        <v/>
      </c>
      <c r="DB10" t="str">
        <f>IF($DA10="","",IF(OR($EO10="",$EP10=""),"ONZEKER",IF(OR($EL10="",$EM10=""),"ONZEKER",IF(AND($EO10=$EL10+1,$EP10=$EM10),IF(OR(COUNTIF(#REF!,$B10)&gt;0,COUNTIF(#REF!,$B10)=0),"SKIP",IF(COUNTIFS(#REF!,$B10,#REF!,$DA10)&gt;0,"OK","ONBEKEND")),IF(AND($EO10=$EL10,$EP10=$EM10+1),IF(OR(COUNTIF(#REF!,$D10)&gt;0,COUNTIF(#REF!,$D10)=0),"SKIP",IF(COUNTIFS(#REF!,$D10,#REF!,$DA10)&gt;0,"OK","ONBEKEND")),"ONZEKER")))))</f>
        <v/>
      </c>
      <c r="DC10" t="str">
        <f t="shared" si="76"/>
        <v/>
      </c>
      <c r="DD10" t="str">
        <f t="shared" si="77"/>
        <v/>
      </c>
      <c r="DE10" t="str">
        <f>IF($DD10="","",IF(OR($ER10="",$ES10=""),"ONZEKER",IF(OR($EO10="",$EP10=""),"ONZEKER",IF(AND($ER10=$EO10+1,$ES10=$EP10),IF(OR(COUNTIF(#REF!,$B10)&gt;0,COUNTIF(#REF!,$B10)=0),"SKIP",IF(COUNTIFS(#REF!,$B10,#REF!,$DD10)&gt;0,"OK","ONBEKEND")),IF(AND($ER10=$EO10,$ES10=$EP10+1),IF(OR(COUNTIF(#REF!,$D10)&gt;0,COUNTIF(#REF!,$D10)=0),"SKIP",IF(COUNTIFS(#REF!,$D10,#REF!,$DD10)&gt;0,"OK","ONBEKEND")),"ONZEKER")))))</f>
        <v/>
      </c>
      <c r="DF10" t="str">
        <f t="shared" si="78"/>
        <v/>
      </c>
      <c r="DG10" t="str">
        <f t="shared" si="79"/>
        <v/>
      </c>
      <c r="DH10" t="str">
        <f>IF($DG10="","",IF(OR($EU10="",$EV10=""),"ONZEKER",IF(OR($ER10="",$ES10=""),"ONZEKER",IF(AND($EU10=$ER10+1,$EV10=$ES10),IF(OR(COUNTIF(#REF!,$B10)&gt;0,COUNTIF(#REF!,$B10)=0),"SKIP",IF(COUNTIFS(#REF!,$B10,#REF!,$DG10)&gt;0,"OK","ONBEKEND")),IF(AND($EU10=$ER10,$EV10=$ES10+1),IF(OR(COUNTIF(#REF!,$D10)&gt;0,COUNTIF(#REF!,$D10)=0),"SKIP",IF(COUNTIFS(#REF!,$D10,#REF!,$DG10)&gt;0,"OK","ONBEKEND")),"ONZEKER")))))</f>
        <v/>
      </c>
      <c r="DI10" t="str">
        <f t="shared" si="80"/>
        <v/>
      </c>
      <c r="DJ10" t="str">
        <f t="shared" si="81"/>
        <v/>
      </c>
      <c r="DK10" t="str">
        <f>IF($DJ10="","",IF(OR($EX10="",$EY10=""),"ONZEKER",IF(OR($EU10="",$EV10=""),"ONZEKER",IF(AND($EX10=$EU10+1,$EY10=$EV10),IF(OR(COUNTIF(#REF!,$B10)&gt;0,COUNTIF(#REF!,$B10)=0),"SKIP",IF(COUNTIFS(#REF!,$B10,#REF!,$DJ10)&gt;0,"OK","ONBEKEND")),IF(AND($EX10=$EU10,$EY10=$EV10+1),IF(OR(COUNTIF(#REF!,$D10)&gt;0,COUNTIF(#REF!,$D10)=0),"SKIP",IF(COUNTIFS(#REF!,$D10,#REF!,$DJ10)&gt;0,"OK","ONBEKEND")),"ONZEKER")))))</f>
        <v/>
      </c>
      <c r="DL10" t="str">
        <f t="shared" si="82"/>
        <v/>
      </c>
      <c r="DM10" t="str">
        <f t="shared" si="83"/>
        <v/>
      </c>
      <c r="DN10" t="str">
        <f t="shared" si="84"/>
        <v/>
      </c>
      <c r="DO10" t="str">
        <f t="shared" si="85"/>
        <v/>
      </c>
      <c r="DP10" t="str">
        <f t="shared" si="86"/>
        <v/>
      </c>
      <c r="DQ10" t="str">
        <f t="shared" si="87"/>
        <v/>
      </c>
      <c r="DR10" t="str">
        <f t="shared" si="88"/>
        <v/>
      </c>
      <c r="DS10" t="str">
        <f t="shared" si="89"/>
        <v/>
      </c>
      <c r="DT10" t="str">
        <f t="shared" si="90"/>
        <v/>
      </c>
      <c r="DU10" t="str">
        <f t="shared" si="91"/>
        <v/>
      </c>
      <c r="DV10" t="str">
        <f t="shared" si="92"/>
        <v/>
      </c>
      <c r="DW10" t="str">
        <f t="shared" si="93"/>
        <v/>
      </c>
      <c r="DX10" t="str">
        <f t="shared" si="94"/>
        <v/>
      </c>
      <c r="DY10" t="str">
        <f t="shared" si="95"/>
        <v/>
      </c>
      <c r="DZ10" t="str">
        <f t="shared" si="96"/>
        <v/>
      </c>
      <c r="EA10" t="str">
        <f t="shared" si="97"/>
        <v/>
      </c>
      <c r="EB10" t="str">
        <f t="shared" si="98"/>
        <v/>
      </c>
      <c r="EC10" t="str">
        <f t="shared" si="99"/>
        <v/>
      </c>
      <c r="ED10" t="str">
        <f t="shared" si="100"/>
        <v/>
      </c>
      <c r="EE10" t="str">
        <f t="shared" si="101"/>
        <v/>
      </c>
      <c r="EF10" t="str">
        <f t="shared" si="102"/>
        <v/>
      </c>
      <c r="EG10" t="str">
        <f t="shared" si="103"/>
        <v/>
      </c>
      <c r="EH10" t="str">
        <f t="shared" si="104"/>
        <v/>
      </c>
      <c r="EI10" t="str">
        <f t="shared" si="105"/>
        <v/>
      </c>
      <c r="EJ10" t="str">
        <f t="shared" si="106"/>
        <v/>
      </c>
      <c r="EK10" t="str">
        <f t="shared" si="107"/>
        <v/>
      </c>
      <c r="EL10" t="str">
        <f t="shared" si="108"/>
        <v/>
      </c>
      <c r="EM10" t="str">
        <f t="shared" si="109"/>
        <v/>
      </c>
      <c r="EN10" t="str">
        <f t="shared" si="110"/>
        <v/>
      </c>
      <c r="EO10" t="str">
        <f t="shared" si="111"/>
        <v/>
      </c>
      <c r="EP10" t="str">
        <f t="shared" si="112"/>
        <v/>
      </c>
      <c r="EQ10" t="str">
        <f t="shared" si="113"/>
        <v/>
      </c>
      <c r="ER10" t="str">
        <f t="shared" si="114"/>
        <v/>
      </c>
      <c r="ES10" t="str">
        <f t="shared" si="115"/>
        <v/>
      </c>
      <c r="ET10" t="str">
        <f t="shared" si="116"/>
        <v/>
      </c>
      <c r="EU10" t="str">
        <f t="shared" si="117"/>
        <v/>
      </c>
      <c r="EV10" t="str">
        <f t="shared" si="118"/>
        <v/>
      </c>
      <c r="EW10" t="str">
        <f t="shared" si="119"/>
        <v/>
      </c>
      <c r="EX10" t="str">
        <f t="shared" si="120"/>
        <v/>
      </c>
      <c r="EY10" t="str">
        <f t="shared" si="121"/>
        <v/>
      </c>
    </row>
    <row r="11" spans="1:155" ht="13.9" customHeight="1" x14ac:dyDescent="0.25">
      <c r="A11" s="7"/>
      <c r="B11" s="17"/>
      <c r="C11" s="8"/>
      <c r="D11" s="17"/>
      <c r="E11" s="8"/>
      <c r="F11" s="18">
        <v>0</v>
      </c>
      <c r="G11" s="7" t="s">
        <v>147</v>
      </c>
      <c r="H11" s="18">
        <v>0</v>
      </c>
      <c r="I11" s="19">
        <v>0</v>
      </c>
      <c r="J11" s="7" t="s">
        <v>147</v>
      </c>
      <c r="K11" s="19">
        <v>0</v>
      </c>
      <c r="L11" s="9"/>
      <c r="M11" s="3" t="str">
        <f>IF($L11="","",IF($L11="DOELPUNTENMAKERS","",IF(AND(COUNTIF(#REF!,$B11)=0,COUNTIF(#REF!,$D11)=0),"OK",IF($O11&gt;20,"LET OP: meer dan 20 items (controle onvolledig)",IF((COUNTIF($R11:$AS11,"ONZEKER")+COUNTIF($CJ11:$DK11,"ONZEKER"))&gt;0,"LET OP: scoreverloop onduidelijk (controle beperkt)",IF((IF($AT11&lt;&gt;"",$AT11&amp;", ","")&amp;IF($AU11&lt;&gt;"",$AU11&amp;", ","")&amp;IF($AV11&lt;&gt;"",$AV11&amp;", ","")&amp;IF($AW11&lt;&gt;"",$AW11&amp;", ","")&amp;IF($AX11&lt;&gt;"",$AX11&amp;", ","")&amp;IF($AY11&lt;&gt;"",$AY11&amp;", ","")&amp;IF($AZ11&lt;&gt;"",$AZ11&amp;", ","")&amp;IF($BA11&lt;&gt;"",$BA11&amp;", ","")&amp;IF($BB11&lt;&gt;"",$BB11&amp;", ","")&amp;IF($BC11&lt;&gt;"",$BC11&amp;", ","")&amp;IF($DL11&lt;&gt;"",$DL11&amp;", ","")&amp;IF($DM11&lt;&gt;"",$DM11&amp;", ","")&amp;IF($DN11&lt;&gt;"",$DN11&amp;", ","")&amp;IF($DO11&lt;&gt;"",$DO11&amp;", ","")&amp;IF($DP11&lt;&gt;"",$DP11&amp;", ","")&amp;IF($DQ11&lt;&gt;"",$DQ11&amp;", ","")&amp;IF($DR11&lt;&gt;"",$DR11&amp;", ","")&amp;IF($DS11&lt;&gt;"",$DS11&amp;", ","")&amp;IF($DT11&lt;&gt;"",$DT11&amp;", ","")&amp;IF($DU11&lt;&gt;"",$DU11&amp;", ",""))="","OK","Onbekend: "&amp;LEFT((IF($AT11&lt;&gt;"",$AT11&amp;", ","")&amp;IF($AU11&lt;&gt;"",$AU11&amp;", ","")&amp;IF($AV11&lt;&gt;"",$AV11&amp;", ","")&amp;IF($AW11&lt;&gt;"",$AW11&amp;", ","")&amp;IF($AX11&lt;&gt;"",$AX11&amp;", ","")&amp;IF($AY11&lt;&gt;"",$AY11&amp;", ","")&amp;IF($AZ11&lt;&gt;"",$AZ11&amp;", ","")&amp;IF($BA11&lt;&gt;"",$BA11&amp;", ","")&amp;IF($BB11&lt;&gt;"",$BB11&amp;", ","")&amp;IF($BC11&lt;&gt;"",$BC11&amp;", ","")&amp;IF($DL11&lt;&gt;"",$DL11&amp;", ","")&amp;IF($DM11&lt;&gt;"",$DM11&amp;", ","")&amp;IF($DN11&lt;&gt;"",$DN11&amp;", ","")&amp;IF($DO11&lt;&gt;"",$DO11&amp;", ","")&amp;IF($DP11&lt;&gt;"",$DP11&amp;", ","")&amp;IF($DQ11&lt;&gt;"",$DQ11&amp;", ","")&amp;IF($DR11&lt;&gt;"",$DR11&amp;", ","")&amp;IF($DS11&lt;&gt;"",$DS11&amp;", ","")&amp;IF($DT11&lt;&gt;"",$DT11&amp;", ","")&amp;IF($DU11&lt;&gt;"",$DU11&amp;", ","")),LEN((IF($AT11&lt;&gt;"",$AT11&amp;", ","")&amp;IF($AU11&lt;&gt;"",$AU11&amp;", ","")&amp;IF($AV11&lt;&gt;"",$AV11&amp;", ","")&amp;IF($AW11&lt;&gt;"",$AW11&amp;", ","")&amp;IF($AX11&lt;&gt;"",$AX11&amp;", ","")&amp;IF($AY11&lt;&gt;"",$AY11&amp;", ","")&amp;IF($AZ11&lt;&gt;"",$AZ11&amp;", ","")&amp;IF($BA11&lt;&gt;"",$BA11&amp;", ","")&amp;IF($BB11&lt;&gt;"",$BB11&amp;", ","")&amp;IF($BC11&lt;&gt;"",$BC11&amp;", ","")&amp;IF($DL11&lt;&gt;"",$DL11&amp;", ","")&amp;IF($DM11&lt;&gt;"",$DM11&amp;", ","")&amp;IF($DN11&lt;&gt;"",$DN11&amp;", ","")&amp;IF($DO11&lt;&gt;"",$DO11&amp;", ","")&amp;IF($DP11&lt;&gt;"",$DP11&amp;", ","")&amp;IF($DQ11&lt;&gt;"",$DQ11&amp;", ","")&amp;IF($DR11&lt;&gt;"",$DR11&amp;", ","")&amp;IF($DS11&lt;&gt;"",$DS11&amp;", ","")&amp;IF($DT11&lt;&gt;"",$DT11&amp;", ","")&amp;IF($DU11&lt;&gt;"",$DU11&amp;", ","")))-2)))))))</f>
        <v/>
      </c>
      <c r="N11" t="str">
        <f t="shared" si="0"/>
        <v/>
      </c>
      <c r="O11" t="str">
        <f t="shared" si="1"/>
        <v/>
      </c>
      <c r="P11" t="str">
        <f t="shared" si="2"/>
        <v/>
      </c>
      <c r="Q11" t="str">
        <f t="shared" si="3"/>
        <v/>
      </c>
      <c r="R11" t="str">
        <f>IF($Q11="","",IF(OR($BE11="",$BF11=""),"ONZEKER",IF(AND($BE11=0+1,$BF11=0),IF(OR(COUNTIF(#REF!,$B11)&gt;0,COUNTIF(#REF!,$B11)=0),"SKIP",IF(COUNTIFS(#REF!,$B11,#REF!,$Q11)&gt;0,"OK","ONBEKEND")),IF(AND($BE11=0,$BF11=0+1),IF(OR(COUNTIF(#REF!,$D11)&gt;0,COUNTIF(#REF!,$D11)=0),"SKIP",IF(COUNTIFS(#REF!,$D11,#REF!,$Q11)&gt;0,"OK","ONBEKEND")),"ONZEKER"))))</f>
        <v/>
      </c>
      <c r="S11" t="str">
        <f t="shared" si="4"/>
        <v/>
      </c>
      <c r="T11" t="str">
        <f t="shared" si="5"/>
        <v/>
      </c>
      <c r="U11" t="str">
        <f>IF($T11="","",IF(OR($BH11="",$BI11=""),"ONZEKER",IF(OR($BE11="",$BF11=""),"ONZEKER",IF(AND($BH11=$BE11+1,$BI11=$BF11),IF(OR(COUNTIF(#REF!,$B11)&gt;0,COUNTIF(#REF!,$B11)=0),"SKIP",IF(COUNTIFS(#REF!,$B11,#REF!,$T11)&gt;0,"OK","ONBEKEND")),IF(AND($BH11=$BE11,$BI11=$BF11+1),IF(OR(COUNTIF(#REF!,$D11)&gt;0,COUNTIF(#REF!,$D11)=0),"SKIP",IF(COUNTIFS(#REF!,$D11,#REF!,$T11)&gt;0,"OK","ONBEKEND")),"ONZEKER")))))</f>
        <v/>
      </c>
      <c r="V11" t="str">
        <f t="shared" si="6"/>
        <v/>
      </c>
      <c r="W11" t="str">
        <f t="shared" si="7"/>
        <v/>
      </c>
      <c r="X11" t="str">
        <f>IF($W11="","",IF(OR($BK11="",$BL11=""),"ONZEKER",IF(OR($BH11="",$BI11=""),"ONZEKER",IF(AND($BK11=$BH11+1,$BL11=$BI11),IF(OR(COUNTIF(#REF!,$B11)&gt;0,COUNTIF(#REF!,$B11)=0),"SKIP",IF(COUNTIFS(#REF!,$B11,#REF!,$W11)&gt;0,"OK","ONBEKEND")),IF(AND($BK11=$BH11,$BL11=$BI11+1),IF(OR(COUNTIF(#REF!,$D11)&gt;0,COUNTIF(#REF!,$D11)=0),"SKIP",IF(COUNTIFS(#REF!,$D11,#REF!,$W11)&gt;0,"OK","ONBEKEND")),"ONZEKER")))))</f>
        <v/>
      </c>
      <c r="Y11" t="str">
        <f t="shared" si="8"/>
        <v/>
      </c>
      <c r="Z11" t="str">
        <f t="shared" si="9"/>
        <v/>
      </c>
      <c r="AA11" t="str">
        <f>IF($Z11="","",IF(OR($BN11="",$BO11=""),"ONZEKER",IF(OR($BK11="",$BL11=""),"ONZEKER",IF(AND($BN11=$BK11+1,$BO11=$BL11),IF(OR(COUNTIF(#REF!,$B11)&gt;0,COUNTIF(#REF!,$B11)=0),"SKIP",IF(COUNTIFS(#REF!,$B11,#REF!,$Z11)&gt;0,"OK","ONBEKEND")),IF(AND($BN11=$BK11,$BO11=$BL11+1),IF(OR(COUNTIF(#REF!,$D11)&gt;0,COUNTIF(#REF!,$D11)=0),"SKIP",IF(COUNTIFS(#REF!,$D11,#REF!,$Z11)&gt;0,"OK","ONBEKEND")),"ONZEKER")))))</f>
        <v/>
      </c>
      <c r="AB11" t="str">
        <f t="shared" si="10"/>
        <v/>
      </c>
      <c r="AC11" t="str">
        <f t="shared" si="11"/>
        <v/>
      </c>
      <c r="AD11" t="str">
        <f>IF($AC11="","",IF(OR($BQ11="",$BR11=""),"ONZEKER",IF(OR($BN11="",$BO11=""),"ONZEKER",IF(AND($BQ11=$BN11+1,$BR11=$BO11),IF(OR(COUNTIF(#REF!,$B11)&gt;0,COUNTIF(#REF!,$B11)=0),"SKIP",IF(COUNTIFS(#REF!,$B11,#REF!,$AC11)&gt;0,"OK","ONBEKEND")),IF(AND($BQ11=$BN11,$BR11=$BO11+1),IF(OR(COUNTIF(#REF!,$D11)&gt;0,COUNTIF(#REF!,$D11)=0),"SKIP",IF(COUNTIFS(#REF!,$D11,#REF!,$AC11)&gt;0,"OK","ONBEKEND")),"ONZEKER")))))</f>
        <v/>
      </c>
      <c r="AE11" t="str">
        <f t="shared" si="12"/>
        <v/>
      </c>
      <c r="AF11" t="str">
        <f t="shared" si="13"/>
        <v/>
      </c>
      <c r="AG11" t="str">
        <f>IF($AF11="","",IF(OR($BT11="",$BU11=""),"ONZEKER",IF(OR($BQ11="",$BR11=""),"ONZEKER",IF(AND($BT11=$BQ11+1,$BU11=$BR11),IF(OR(COUNTIF(#REF!,$B11)&gt;0,COUNTIF(#REF!,$B11)=0),"SKIP",IF(COUNTIFS(#REF!,$B11,#REF!,$AF11)&gt;0,"OK","ONBEKEND")),IF(AND($BT11=$BQ11,$BU11=$BR11+1),IF(OR(COUNTIF(#REF!,$D11)&gt;0,COUNTIF(#REF!,$D11)=0),"SKIP",IF(COUNTIFS(#REF!,$D11,#REF!,$AF11)&gt;0,"OK","ONBEKEND")),"ONZEKER")))))</f>
        <v/>
      </c>
      <c r="AH11" t="str">
        <f t="shared" si="14"/>
        <v/>
      </c>
      <c r="AI11" t="str">
        <f t="shared" si="15"/>
        <v/>
      </c>
      <c r="AJ11" t="str">
        <f>IF($AI11="","",IF(OR($BW11="",$BX11=""),"ONZEKER",IF(OR($BT11="",$BU11=""),"ONZEKER",IF(AND($BW11=$BT11+1,$BX11=$BU11),IF(OR(COUNTIF(#REF!,$B11)&gt;0,COUNTIF(#REF!,$B11)=0),"SKIP",IF(COUNTIFS(#REF!,$B11,#REF!,$AI11)&gt;0,"OK","ONBEKEND")),IF(AND($BW11=$BT11,$BX11=$BU11+1),IF(OR(COUNTIF(#REF!,$D11)&gt;0,COUNTIF(#REF!,$D11)=0),"SKIP",IF(COUNTIFS(#REF!,$D11,#REF!,$AI11)&gt;0,"OK","ONBEKEND")),"ONZEKER")))))</f>
        <v/>
      </c>
      <c r="AK11" t="str">
        <f t="shared" si="16"/>
        <v/>
      </c>
      <c r="AL11" t="str">
        <f t="shared" si="17"/>
        <v/>
      </c>
      <c r="AM11" t="str">
        <f>IF($AL11="","",IF(OR($BZ11="",$CA11=""),"ONZEKER",IF(OR($BW11="",$BX11=""),"ONZEKER",IF(AND($BZ11=$BW11+1,$CA11=$BX11),IF(OR(COUNTIF(#REF!,$B11)&gt;0,COUNTIF(#REF!,$B11)=0),"SKIP",IF(COUNTIFS(#REF!,$B11,#REF!,$AL11)&gt;0,"OK","ONBEKEND")),IF(AND($BZ11=$BW11,$CA11=$BX11+1),IF(OR(COUNTIF(#REF!,$D11)&gt;0,COUNTIF(#REF!,$D11)=0),"SKIP",IF(COUNTIFS(#REF!,$D11,#REF!,$AL11)&gt;0,"OK","ONBEKEND")),"ONZEKER")))))</f>
        <v/>
      </c>
      <c r="AN11" t="str">
        <f t="shared" si="18"/>
        <v/>
      </c>
      <c r="AO11" t="str">
        <f t="shared" si="19"/>
        <v/>
      </c>
      <c r="AP11" t="str">
        <f>IF($AO11="","",IF(OR($CC11="",$CD11=""),"ONZEKER",IF(OR($BZ11="",$CA11=""),"ONZEKER",IF(AND($CC11=$BZ11+1,$CD11=$CA11),IF(OR(COUNTIF(#REF!,$B11)&gt;0,COUNTIF(#REF!,$B11)=0),"SKIP",IF(COUNTIFS(#REF!,$B11,#REF!,$AO11)&gt;0,"OK","ONBEKEND")),IF(AND($CC11=$BZ11,$CD11=$CA11+1),IF(OR(COUNTIF(#REF!,$D11)&gt;0,COUNTIF(#REF!,$D11)=0),"SKIP",IF(COUNTIFS(#REF!,$D11,#REF!,$AO11)&gt;0,"OK","ONBEKEND")),"ONZEKER")))))</f>
        <v/>
      </c>
      <c r="AQ11" t="str">
        <f t="shared" si="20"/>
        <v/>
      </c>
      <c r="AR11" t="str">
        <f t="shared" si="21"/>
        <v/>
      </c>
      <c r="AS11" t="str">
        <f>IF($AR11="","",IF(OR($CF11="",$CG11=""),"ONZEKER",IF(OR($CC11="",$CD11=""),"ONZEKER",IF(AND($CF11=$CC11+1,$CG11=$CD11),IF(OR(COUNTIF(#REF!,$B11)&gt;0,COUNTIF(#REF!,$B11)=0),"SKIP",IF(COUNTIFS(#REF!,$B11,#REF!,$AR11)&gt;0,"OK","ONBEKEND")),IF(AND($CF11=$CC11,$CG11=$CD11+1),IF(OR(COUNTIF(#REF!,$D11)&gt;0,COUNTIF(#REF!,$D11)=0),"SKIP",IF(COUNTIFS(#REF!,$D11,#REF!,$AR11)&gt;0,"OK","ONBEKEND")),"ONZEKER")))))</f>
        <v/>
      </c>
      <c r="AT11" t="str">
        <f t="shared" si="22"/>
        <v/>
      </c>
      <c r="AU11" t="str">
        <f t="shared" si="23"/>
        <v/>
      </c>
      <c r="AV11" t="str">
        <f t="shared" si="24"/>
        <v/>
      </c>
      <c r="AW11" t="str">
        <f t="shared" si="25"/>
        <v/>
      </c>
      <c r="AX11" t="str">
        <f t="shared" si="26"/>
        <v/>
      </c>
      <c r="AY11" t="str">
        <f t="shared" si="27"/>
        <v/>
      </c>
      <c r="AZ11" t="str">
        <f t="shared" si="28"/>
        <v/>
      </c>
      <c r="BA11" t="str">
        <f t="shared" si="29"/>
        <v/>
      </c>
      <c r="BB11" t="str">
        <f t="shared" si="30"/>
        <v/>
      </c>
      <c r="BC11" t="str">
        <f t="shared" si="31"/>
        <v/>
      </c>
      <c r="BD11" t="str">
        <f t="shared" si="32"/>
        <v/>
      </c>
      <c r="BE11" t="str">
        <f t="shared" si="33"/>
        <v/>
      </c>
      <c r="BF11" t="str">
        <f t="shared" si="34"/>
        <v/>
      </c>
      <c r="BG11" t="str">
        <f t="shared" si="35"/>
        <v/>
      </c>
      <c r="BH11" t="str">
        <f t="shared" si="36"/>
        <v/>
      </c>
      <c r="BI11" t="str">
        <f t="shared" si="37"/>
        <v/>
      </c>
      <c r="BJ11" t="str">
        <f t="shared" si="38"/>
        <v/>
      </c>
      <c r="BK11" t="str">
        <f t="shared" si="39"/>
        <v/>
      </c>
      <c r="BL11" t="str">
        <f t="shared" si="40"/>
        <v/>
      </c>
      <c r="BM11" t="str">
        <f t="shared" si="41"/>
        <v/>
      </c>
      <c r="BN11" t="str">
        <f t="shared" si="42"/>
        <v/>
      </c>
      <c r="BO11" t="str">
        <f t="shared" si="43"/>
        <v/>
      </c>
      <c r="BP11" t="str">
        <f t="shared" si="44"/>
        <v/>
      </c>
      <c r="BQ11" t="str">
        <f t="shared" si="45"/>
        <v/>
      </c>
      <c r="BR11" t="str">
        <f t="shared" si="46"/>
        <v/>
      </c>
      <c r="BS11" t="str">
        <f t="shared" si="47"/>
        <v/>
      </c>
      <c r="BT11" t="str">
        <f t="shared" si="48"/>
        <v/>
      </c>
      <c r="BU11" t="str">
        <f t="shared" si="49"/>
        <v/>
      </c>
      <c r="BV11" t="str">
        <f t="shared" si="50"/>
        <v/>
      </c>
      <c r="BW11" t="str">
        <f t="shared" si="51"/>
        <v/>
      </c>
      <c r="BX11" t="str">
        <f t="shared" si="52"/>
        <v/>
      </c>
      <c r="BY11" t="str">
        <f t="shared" si="53"/>
        <v/>
      </c>
      <c r="BZ11" t="str">
        <f t="shared" si="54"/>
        <v/>
      </c>
      <c r="CA11" t="str">
        <f t="shared" si="55"/>
        <v/>
      </c>
      <c r="CB11" t="str">
        <f t="shared" si="56"/>
        <v/>
      </c>
      <c r="CC11" t="str">
        <f t="shared" si="57"/>
        <v/>
      </c>
      <c r="CD11" t="str">
        <f t="shared" si="58"/>
        <v/>
      </c>
      <c r="CE11" t="str">
        <f t="shared" si="59"/>
        <v/>
      </c>
      <c r="CF11" t="str">
        <f t="shared" si="60"/>
        <v/>
      </c>
      <c r="CG11" t="str">
        <f t="shared" si="61"/>
        <v/>
      </c>
      <c r="CH11" t="str">
        <f t="shared" si="62"/>
        <v/>
      </c>
      <c r="CI11" t="str">
        <f t="shared" si="63"/>
        <v/>
      </c>
      <c r="CJ11" t="str">
        <f>IF($CI11="","",IF(OR($DW11="",$DX11=""),"ONZEKER",IF(OR($CF11="",$CG11=""),"ONZEKER",IF(AND($DW11=$CF11+1,$DX11=$CG11),IF(OR(COUNTIF(#REF!,$B11)&gt;0,COUNTIF(#REF!,$B11)=0),"SKIP",IF(COUNTIFS(#REF!,$B11,#REF!,$CI11)&gt;0,"OK","ONBEKEND")),IF(AND($DW11=$CF11,$DX11=$CG11+1),IF(OR(COUNTIF(#REF!,$D11)&gt;0,COUNTIF(#REF!,$D11)=0),"SKIP",IF(COUNTIFS(#REF!,$D11,#REF!,$CI11)&gt;0,"OK","ONBEKEND")),"ONZEKER")))))</f>
        <v/>
      </c>
      <c r="CK11" t="str">
        <f t="shared" si="64"/>
        <v/>
      </c>
      <c r="CL11" t="str">
        <f t="shared" si="65"/>
        <v/>
      </c>
      <c r="CM11" t="str">
        <f>IF($CL11="","",IF(OR($DZ11="",$EA11=""),"ONZEKER",IF(OR($DW11="",$DX11=""),"ONZEKER",IF(AND($DZ11=$DW11+1,$EA11=$DX11),IF(OR(COUNTIF(#REF!,$B11)&gt;0,COUNTIF(#REF!,$B11)=0),"SKIP",IF(COUNTIFS(#REF!,$B11,#REF!,$CL11)&gt;0,"OK","ONBEKEND")),IF(AND($DZ11=$DW11,$EA11=$DX11+1),IF(OR(COUNTIF(#REF!,$D11)&gt;0,COUNTIF(#REF!,$D11)=0),"SKIP",IF(COUNTIFS(#REF!,$D11,#REF!,$CL11)&gt;0,"OK","ONBEKEND")),"ONZEKER")))))</f>
        <v/>
      </c>
      <c r="CN11" t="str">
        <f t="shared" si="66"/>
        <v/>
      </c>
      <c r="CO11" t="str">
        <f t="shared" si="67"/>
        <v/>
      </c>
      <c r="CP11" t="str">
        <f>IF($CO11="","",IF(OR($EC11="",$ED11=""),"ONZEKER",IF(OR($DZ11="",$EA11=""),"ONZEKER",IF(AND($EC11=$DZ11+1,$ED11=$EA11),IF(OR(COUNTIF(#REF!,$B11)&gt;0,COUNTIF(#REF!,$B11)=0),"SKIP",IF(COUNTIFS(#REF!,$B11,#REF!,$CO11)&gt;0,"OK","ONBEKEND")),IF(AND($EC11=$DZ11,$ED11=$EA11+1),IF(OR(COUNTIF(#REF!,$D11)&gt;0,COUNTIF(#REF!,$D11)=0),"SKIP",IF(COUNTIFS(#REF!,$D11,#REF!,$CO11)&gt;0,"OK","ONBEKEND")),"ONZEKER")))))</f>
        <v/>
      </c>
      <c r="CQ11" t="str">
        <f t="shared" si="68"/>
        <v/>
      </c>
      <c r="CR11" t="str">
        <f t="shared" si="69"/>
        <v/>
      </c>
      <c r="CS11" t="str">
        <f>IF($CR11="","",IF(OR($EF11="",$EG11=""),"ONZEKER",IF(OR($EC11="",$ED11=""),"ONZEKER",IF(AND($EF11=$EC11+1,$EG11=$ED11),IF(OR(COUNTIF(#REF!,$B11)&gt;0,COUNTIF(#REF!,$B11)=0),"SKIP",IF(COUNTIFS(#REF!,$B11,#REF!,$CR11)&gt;0,"OK","ONBEKEND")),IF(AND($EF11=$EC11,$EG11=$ED11+1),IF(OR(COUNTIF(#REF!,$D11)&gt;0,COUNTIF(#REF!,$D11)=0),"SKIP",IF(COUNTIFS(#REF!,$D11,#REF!,$CR11)&gt;0,"OK","ONBEKEND")),"ONZEKER")))))</f>
        <v/>
      </c>
      <c r="CT11" t="str">
        <f t="shared" si="70"/>
        <v/>
      </c>
      <c r="CU11" t="str">
        <f t="shared" si="71"/>
        <v/>
      </c>
      <c r="CV11" t="str">
        <f>IF($CU11="","",IF(OR($EI11="",$EJ11=""),"ONZEKER",IF(OR($EF11="",$EG11=""),"ONZEKER",IF(AND($EI11=$EF11+1,$EJ11=$EG11),IF(OR(COUNTIF(#REF!,$B11)&gt;0,COUNTIF(#REF!,$B11)=0),"SKIP",IF(COUNTIFS(#REF!,$B11,#REF!,$CU11)&gt;0,"OK","ONBEKEND")),IF(AND($EI11=$EF11,$EJ11=$EG11+1),IF(OR(COUNTIF(#REF!,$D11)&gt;0,COUNTIF(#REF!,$D11)=0),"SKIP",IF(COUNTIFS(#REF!,$D11,#REF!,$CU11)&gt;0,"OK","ONBEKEND")),"ONZEKER")))))</f>
        <v/>
      </c>
      <c r="CW11" t="str">
        <f t="shared" si="72"/>
        <v/>
      </c>
      <c r="CX11" t="str">
        <f t="shared" si="73"/>
        <v/>
      </c>
      <c r="CY11" t="str">
        <f>IF($CX11="","",IF(OR($EL11="",$EM11=""),"ONZEKER",IF(OR($EI11="",$EJ11=""),"ONZEKER",IF(AND($EL11=$EI11+1,$EM11=$EJ11),IF(OR(COUNTIF(#REF!,$B11)&gt;0,COUNTIF(#REF!,$B11)=0),"SKIP",IF(COUNTIFS(#REF!,$B11,#REF!,$CX11)&gt;0,"OK","ONBEKEND")),IF(AND($EL11=$EI11,$EM11=$EJ11+1),IF(OR(COUNTIF(#REF!,$D11)&gt;0,COUNTIF(#REF!,$D11)=0),"SKIP",IF(COUNTIFS(#REF!,$D11,#REF!,$CX11)&gt;0,"OK","ONBEKEND")),"ONZEKER")))))</f>
        <v/>
      </c>
      <c r="CZ11" t="str">
        <f t="shared" si="74"/>
        <v/>
      </c>
      <c r="DA11" t="str">
        <f t="shared" si="75"/>
        <v/>
      </c>
      <c r="DB11" t="str">
        <f>IF($DA11="","",IF(OR($EO11="",$EP11=""),"ONZEKER",IF(OR($EL11="",$EM11=""),"ONZEKER",IF(AND($EO11=$EL11+1,$EP11=$EM11),IF(OR(COUNTIF(#REF!,$B11)&gt;0,COUNTIF(#REF!,$B11)=0),"SKIP",IF(COUNTIFS(#REF!,$B11,#REF!,$DA11)&gt;0,"OK","ONBEKEND")),IF(AND($EO11=$EL11,$EP11=$EM11+1),IF(OR(COUNTIF(#REF!,$D11)&gt;0,COUNTIF(#REF!,$D11)=0),"SKIP",IF(COUNTIFS(#REF!,$D11,#REF!,$DA11)&gt;0,"OK","ONBEKEND")),"ONZEKER")))))</f>
        <v/>
      </c>
      <c r="DC11" t="str">
        <f t="shared" si="76"/>
        <v/>
      </c>
      <c r="DD11" t="str">
        <f t="shared" si="77"/>
        <v/>
      </c>
      <c r="DE11" t="str">
        <f>IF($DD11="","",IF(OR($ER11="",$ES11=""),"ONZEKER",IF(OR($EO11="",$EP11=""),"ONZEKER",IF(AND($ER11=$EO11+1,$ES11=$EP11),IF(OR(COUNTIF(#REF!,$B11)&gt;0,COUNTIF(#REF!,$B11)=0),"SKIP",IF(COUNTIFS(#REF!,$B11,#REF!,$DD11)&gt;0,"OK","ONBEKEND")),IF(AND($ER11=$EO11,$ES11=$EP11+1),IF(OR(COUNTIF(#REF!,$D11)&gt;0,COUNTIF(#REF!,$D11)=0),"SKIP",IF(COUNTIFS(#REF!,$D11,#REF!,$DD11)&gt;0,"OK","ONBEKEND")),"ONZEKER")))))</f>
        <v/>
      </c>
      <c r="DF11" t="str">
        <f t="shared" si="78"/>
        <v/>
      </c>
      <c r="DG11" t="str">
        <f t="shared" si="79"/>
        <v/>
      </c>
      <c r="DH11" t="str">
        <f>IF($DG11="","",IF(OR($EU11="",$EV11=""),"ONZEKER",IF(OR($ER11="",$ES11=""),"ONZEKER",IF(AND($EU11=$ER11+1,$EV11=$ES11),IF(OR(COUNTIF(#REF!,$B11)&gt;0,COUNTIF(#REF!,$B11)=0),"SKIP",IF(COUNTIFS(#REF!,$B11,#REF!,$DG11)&gt;0,"OK","ONBEKEND")),IF(AND($EU11=$ER11,$EV11=$ES11+1),IF(OR(COUNTIF(#REF!,$D11)&gt;0,COUNTIF(#REF!,$D11)=0),"SKIP",IF(COUNTIFS(#REF!,$D11,#REF!,$DG11)&gt;0,"OK","ONBEKEND")),"ONZEKER")))))</f>
        <v/>
      </c>
      <c r="DI11" t="str">
        <f t="shared" si="80"/>
        <v/>
      </c>
      <c r="DJ11" t="str">
        <f t="shared" si="81"/>
        <v/>
      </c>
      <c r="DK11" t="str">
        <f>IF($DJ11="","",IF(OR($EX11="",$EY11=""),"ONZEKER",IF(OR($EU11="",$EV11=""),"ONZEKER",IF(AND($EX11=$EU11+1,$EY11=$EV11),IF(OR(COUNTIF(#REF!,$B11)&gt;0,COUNTIF(#REF!,$B11)=0),"SKIP",IF(COUNTIFS(#REF!,$B11,#REF!,$DJ11)&gt;0,"OK","ONBEKEND")),IF(AND($EX11=$EU11,$EY11=$EV11+1),IF(OR(COUNTIF(#REF!,$D11)&gt;0,COUNTIF(#REF!,$D11)=0),"SKIP",IF(COUNTIFS(#REF!,$D11,#REF!,$DJ11)&gt;0,"OK","ONBEKEND")),"ONZEKER")))))</f>
        <v/>
      </c>
      <c r="DL11" t="str">
        <f t="shared" si="82"/>
        <v/>
      </c>
      <c r="DM11" t="str">
        <f t="shared" si="83"/>
        <v/>
      </c>
      <c r="DN11" t="str">
        <f t="shared" si="84"/>
        <v/>
      </c>
      <c r="DO11" t="str">
        <f t="shared" si="85"/>
        <v/>
      </c>
      <c r="DP11" t="str">
        <f t="shared" si="86"/>
        <v/>
      </c>
      <c r="DQ11" t="str">
        <f t="shared" si="87"/>
        <v/>
      </c>
      <c r="DR11" t="str">
        <f t="shared" si="88"/>
        <v/>
      </c>
      <c r="DS11" t="str">
        <f t="shared" si="89"/>
        <v/>
      </c>
      <c r="DT11" t="str">
        <f t="shared" si="90"/>
        <v/>
      </c>
      <c r="DU11" t="str">
        <f t="shared" si="91"/>
        <v/>
      </c>
      <c r="DV11" t="str">
        <f t="shared" si="92"/>
        <v/>
      </c>
      <c r="DW11" t="str">
        <f t="shared" si="93"/>
        <v/>
      </c>
      <c r="DX11" t="str">
        <f t="shared" si="94"/>
        <v/>
      </c>
      <c r="DY11" t="str">
        <f t="shared" si="95"/>
        <v/>
      </c>
      <c r="DZ11" t="str">
        <f t="shared" si="96"/>
        <v/>
      </c>
      <c r="EA11" t="str">
        <f t="shared" si="97"/>
        <v/>
      </c>
      <c r="EB11" t="str">
        <f t="shared" si="98"/>
        <v/>
      </c>
      <c r="EC11" t="str">
        <f t="shared" si="99"/>
        <v/>
      </c>
      <c r="ED11" t="str">
        <f t="shared" si="100"/>
        <v/>
      </c>
      <c r="EE11" t="str">
        <f t="shared" si="101"/>
        <v/>
      </c>
      <c r="EF11" t="str">
        <f t="shared" si="102"/>
        <v/>
      </c>
      <c r="EG11" t="str">
        <f t="shared" si="103"/>
        <v/>
      </c>
      <c r="EH11" t="str">
        <f t="shared" si="104"/>
        <v/>
      </c>
      <c r="EI11" t="str">
        <f t="shared" si="105"/>
        <v/>
      </c>
      <c r="EJ11" t="str">
        <f t="shared" si="106"/>
        <v/>
      </c>
      <c r="EK11" t="str">
        <f t="shared" si="107"/>
        <v/>
      </c>
      <c r="EL11" t="str">
        <f t="shared" si="108"/>
        <v/>
      </c>
      <c r="EM11" t="str">
        <f t="shared" si="109"/>
        <v/>
      </c>
      <c r="EN11" t="str">
        <f t="shared" si="110"/>
        <v/>
      </c>
      <c r="EO11" t="str">
        <f t="shared" si="111"/>
        <v/>
      </c>
      <c r="EP11" t="str">
        <f t="shared" si="112"/>
        <v/>
      </c>
      <c r="EQ11" t="str">
        <f t="shared" si="113"/>
        <v/>
      </c>
      <c r="ER11" t="str">
        <f t="shared" si="114"/>
        <v/>
      </c>
      <c r="ES11" t="str">
        <f t="shared" si="115"/>
        <v/>
      </c>
      <c r="ET11" t="str">
        <f t="shared" si="116"/>
        <v/>
      </c>
      <c r="EU11" t="str">
        <f t="shared" si="117"/>
        <v/>
      </c>
      <c r="EV11" t="str">
        <f t="shared" si="118"/>
        <v/>
      </c>
      <c r="EW11" t="str">
        <f t="shared" si="119"/>
        <v/>
      </c>
      <c r="EX11" t="str">
        <f t="shared" si="120"/>
        <v/>
      </c>
      <c r="EY11" t="str">
        <f t="shared" si="121"/>
        <v/>
      </c>
    </row>
    <row r="12" spans="1:155" ht="13.9" customHeight="1" x14ac:dyDescent="0.25">
      <c r="A12" s="7"/>
      <c r="B12" s="8"/>
      <c r="C12" s="8"/>
      <c r="D12" s="8"/>
      <c r="E12" s="8"/>
      <c r="F12" s="7"/>
      <c r="G12" s="7"/>
      <c r="H12" s="7"/>
      <c r="I12" s="7"/>
      <c r="J12" s="7"/>
      <c r="K12" s="7"/>
      <c r="L12" s="8"/>
      <c r="M12" s="3" t="str">
        <f>IF($L12="","",IF($L12="DOELPUNTENMAKERS","",IF(AND(COUNTIF(#REF!,$B12)=0,COUNTIF(#REF!,$D12)=0),"OK",IF($O12&gt;20,"LET OP: meer dan 20 items (controle onvolledig)",IF((COUNTIF($R12:$AS12,"ONZEKER")+COUNTIF($CJ12:$DK12,"ONZEKER"))&gt;0,"LET OP: scoreverloop onduidelijk (controle beperkt)",IF((IF($AT12&lt;&gt;"",$AT12&amp;", ","")&amp;IF($AU12&lt;&gt;"",$AU12&amp;", ","")&amp;IF($AV12&lt;&gt;"",$AV12&amp;", ","")&amp;IF($AW12&lt;&gt;"",$AW12&amp;", ","")&amp;IF($AX12&lt;&gt;"",$AX12&amp;", ","")&amp;IF($AY12&lt;&gt;"",$AY12&amp;", ","")&amp;IF($AZ12&lt;&gt;"",$AZ12&amp;", ","")&amp;IF($BA12&lt;&gt;"",$BA12&amp;", ","")&amp;IF($BB12&lt;&gt;"",$BB12&amp;", ","")&amp;IF($BC12&lt;&gt;"",$BC12&amp;", ","")&amp;IF($DL12&lt;&gt;"",$DL12&amp;", ","")&amp;IF($DM12&lt;&gt;"",$DM12&amp;", ","")&amp;IF($DN12&lt;&gt;"",$DN12&amp;", ","")&amp;IF($DO12&lt;&gt;"",$DO12&amp;", ","")&amp;IF($DP12&lt;&gt;"",$DP12&amp;", ","")&amp;IF($DQ12&lt;&gt;"",$DQ12&amp;", ","")&amp;IF($DR12&lt;&gt;"",$DR12&amp;", ","")&amp;IF($DS12&lt;&gt;"",$DS12&amp;", ","")&amp;IF($DT12&lt;&gt;"",$DT12&amp;", ","")&amp;IF($DU12&lt;&gt;"",$DU12&amp;", ",""))="","OK","Onbekend: "&amp;LEFT((IF($AT12&lt;&gt;"",$AT12&amp;", ","")&amp;IF($AU12&lt;&gt;"",$AU12&amp;", ","")&amp;IF($AV12&lt;&gt;"",$AV12&amp;", ","")&amp;IF($AW12&lt;&gt;"",$AW12&amp;", ","")&amp;IF($AX12&lt;&gt;"",$AX12&amp;", ","")&amp;IF($AY12&lt;&gt;"",$AY12&amp;", ","")&amp;IF($AZ12&lt;&gt;"",$AZ12&amp;", ","")&amp;IF($BA12&lt;&gt;"",$BA12&amp;", ","")&amp;IF($BB12&lt;&gt;"",$BB12&amp;", ","")&amp;IF($BC12&lt;&gt;"",$BC12&amp;", ","")&amp;IF($DL12&lt;&gt;"",$DL12&amp;", ","")&amp;IF($DM12&lt;&gt;"",$DM12&amp;", ","")&amp;IF($DN12&lt;&gt;"",$DN12&amp;", ","")&amp;IF($DO12&lt;&gt;"",$DO12&amp;", ","")&amp;IF($DP12&lt;&gt;"",$DP12&amp;", ","")&amp;IF($DQ12&lt;&gt;"",$DQ12&amp;", ","")&amp;IF($DR12&lt;&gt;"",$DR12&amp;", ","")&amp;IF($DS12&lt;&gt;"",$DS12&amp;", ","")&amp;IF($DT12&lt;&gt;"",$DT12&amp;", ","")&amp;IF($DU12&lt;&gt;"",$DU12&amp;", ","")),LEN((IF($AT12&lt;&gt;"",$AT12&amp;", ","")&amp;IF($AU12&lt;&gt;"",$AU12&amp;", ","")&amp;IF($AV12&lt;&gt;"",$AV12&amp;", ","")&amp;IF($AW12&lt;&gt;"",$AW12&amp;", ","")&amp;IF($AX12&lt;&gt;"",$AX12&amp;", ","")&amp;IF($AY12&lt;&gt;"",$AY12&amp;", ","")&amp;IF($AZ12&lt;&gt;"",$AZ12&amp;", ","")&amp;IF($BA12&lt;&gt;"",$BA12&amp;", ","")&amp;IF($BB12&lt;&gt;"",$BB12&amp;", ","")&amp;IF($BC12&lt;&gt;"",$BC12&amp;", ","")&amp;IF($DL12&lt;&gt;"",$DL12&amp;", ","")&amp;IF($DM12&lt;&gt;"",$DM12&amp;", ","")&amp;IF($DN12&lt;&gt;"",$DN12&amp;", ","")&amp;IF($DO12&lt;&gt;"",$DO12&amp;", ","")&amp;IF($DP12&lt;&gt;"",$DP12&amp;", ","")&amp;IF($DQ12&lt;&gt;"",$DQ12&amp;", ","")&amp;IF($DR12&lt;&gt;"",$DR12&amp;", ","")&amp;IF($DS12&lt;&gt;"",$DS12&amp;", ","")&amp;IF($DT12&lt;&gt;"",$DT12&amp;", ","")&amp;IF($DU12&lt;&gt;"",$DU12&amp;", ","")))-2)))))))</f>
        <v/>
      </c>
      <c r="N12" t="str">
        <f t="shared" si="0"/>
        <v/>
      </c>
      <c r="O12" t="str">
        <f t="shared" si="1"/>
        <v/>
      </c>
      <c r="P12" t="str">
        <f t="shared" si="2"/>
        <v/>
      </c>
      <c r="Q12" t="str">
        <f t="shared" si="3"/>
        <v/>
      </c>
      <c r="R12" t="str">
        <f>IF($Q12="","",IF(OR($BE12="",$BF12=""),"ONZEKER",IF(AND($BE12=0+1,$BF12=0),IF(OR(COUNTIF(#REF!,$B12)&gt;0,COUNTIF(#REF!,$B12)=0),"SKIP",IF(COUNTIFS(#REF!,$B12,#REF!,$Q12)&gt;0,"OK","ONBEKEND")),IF(AND($BE12=0,$BF12=0+1),IF(OR(COUNTIF(#REF!,$D12)&gt;0,COUNTIF(#REF!,$D12)=0),"SKIP",IF(COUNTIFS(#REF!,$D12,#REF!,$Q12)&gt;0,"OK","ONBEKEND")),"ONZEKER"))))</f>
        <v/>
      </c>
      <c r="S12" t="str">
        <f t="shared" si="4"/>
        <v/>
      </c>
      <c r="T12" t="str">
        <f t="shared" si="5"/>
        <v/>
      </c>
      <c r="U12" t="str">
        <f>IF($T12="","",IF(OR($BH12="",$BI12=""),"ONZEKER",IF(OR($BE12="",$BF12=""),"ONZEKER",IF(AND($BH12=$BE12+1,$BI12=$BF12),IF(OR(COUNTIF(#REF!,$B12)&gt;0,COUNTIF(#REF!,$B12)=0),"SKIP",IF(COUNTIFS(#REF!,$B12,#REF!,$T12)&gt;0,"OK","ONBEKEND")),IF(AND($BH12=$BE12,$BI12=$BF12+1),IF(OR(COUNTIF(#REF!,$D12)&gt;0,COUNTIF(#REF!,$D12)=0),"SKIP",IF(COUNTIFS(#REF!,$D12,#REF!,$T12)&gt;0,"OK","ONBEKEND")),"ONZEKER")))))</f>
        <v/>
      </c>
      <c r="V12" t="str">
        <f t="shared" si="6"/>
        <v/>
      </c>
      <c r="W12" t="str">
        <f t="shared" si="7"/>
        <v/>
      </c>
      <c r="X12" t="str">
        <f>IF($W12="","",IF(OR($BK12="",$BL12=""),"ONZEKER",IF(OR($BH12="",$BI12=""),"ONZEKER",IF(AND($BK12=$BH12+1,$BL12=$BI12),IF(OR(COUNTIF(#REF!,$B12)&gt;0,COUNTIF(#REF!,$B12)=0),"SKIP",IF(COUNTIFS(#REF!,$B12,#REF!,$W12)&gt;0,"OK","ONBEKEND")),IF(AND($BK12=$BH12,$BL12=$BI12+1),IF(OR(COUNTIF(#REF!,$D12)&gt;0,COUNTIF(#REF!,$D12)=0),"SKIP",IF(COUNTIFS(#REF!,$D12,#REF!,$W12)&gt;0,"OK","ONBEKEND")),"ONZEKER")))))</f>
        <v/>
      </c>
      <c r="Y12" t="str">
        <f t="shared" si="8"/>
        <v/>
      </c>
      <c r="Z12" t="str">
        <f t="shared" si="9"/>
        <v/>
      </c>
      <c r="AA12" t="str">
        <f>IF($Z12="","",IF(OR($BN12="",$BO12=""),"ONZEKER",IF(OR($BK12="",$BL12=""),"ONZEKER",IF(AND($BN12=$BK12+1,$BO12=$BL12),IF(OR(COUNTIF(#REF!,$B12)&gt;0,COUNTIF(#REF!,$B12)=0),"SKIP",IF(COUNTIFS(#REF!,$B12,#REF!,$Z12)&gt;0,"OK","ONBEKEND")),IF(AND($BN12=$BK12,$BO12=$BL12+1),IF(OR(COUNTIF(#REF!,$D12)&gt;0,COUNTIF(#REF!,$D12)=0),"SKIP",IF(COUNTIFS(#REF!,$D12,#REF!,$Z12)&gt;0,"OK","ONBEKEND")),"ONZEKER")))))</f>
        <v/>
      </c>
      <c r="AB12" t="str">
        <f t="shared" si="10"/>
        <v/>
      </c>
      <c r="AC12" t="str">
        <f t="shared" si="11"/>
        <v/>
      </c>
      <c r="AD12" t="str">
        <f>IF($AC12="","",IF(OR($BQ12="",$BR12=""),"ONZEKER",IF(OR($BN12="",$BO12=""),"ONZEKER",IF(AND($BQ12=$BN12+1,$BR12=$BO12),IF(OR(COUNTIF(#REF!,$B12)&gt;0,COUNTIF(#REF!,$B12)=0),"SKIP",IF(COUNTIFS(#REF!,$B12,#REF!,$AC12)&gt;0,"OK","ONBEKEND")),IF(AND($BQ12=$BN12,$BR12=$BO12+1),IF(OR(COUNTIF(#REF!,$D12)&gt;0,COUNTIF(#REF!,$D12)=0),"SKIP",IF(COUNTIFS(#REF!,$D12,#REF!,$AC12)&gt;0,"OK","ONBEKEND")),"ONZEKER")))))</f>
        <v/>
      </c>
      <c r="AE12" t="str">
        <f t="shared" si="12"/>
        <v/>
      </c>
      <c r="AF12" t="str">
        <f t="shared" si="13"/>
        <v/>
      </c>
      <c r="AG12" t="str">
        <f>IF($AF12="","",IF(OR($BT12="",$BU12=""),"ONZEKER",IF(OR($BQ12="",$BR12=""),"ONZEKER",IF(AND($BT12=$BQ12+1,$BU12=$BR12),IF(OR(COUNTIF(#REF!,$B12)&gt;0,COUNTIF(#REF!,$B12)=0),"SKIP",IF(COUNTIFS(#REF!,$B12,#REF!,$AF12)&gt;0,"OK","ONBEKEND")),IF(AND($BT12=$BQ12,$BU12=$BR12+1),IF(OR(COUNTIF(#REF!,$D12)&gt;0,COUNTIF(#REF!,$D12)=0),"SKIP",IF(COUNTIFS(#REF!,$D12,#REF!,$AF12)&gt;0,"OK","ONBEKEND")),"ONZEKER")))))</f>
        <v/>
      </c>
      <c r="AH12" t="str">
        <f t="shared" si="14"/>
        <v/>
      </c>
      <c r="AI12" t="str">
        <f t="shared" si="15"/>
        <v/>
      </c>
      <c r="AJ12" t="str">
        <f>IF($AI12="","",IF(OR($BW12="",$BX12=""),"ONZEKER",IF(OR($BT12="",$BU12=""),"ONZEKER",IF(AND($BW12=$BT12+1,$BX12=$BU12),IF(OR(COUNTIF(#REF!,$B12)&gt;0,COUNTIF(#REF!,$B12)=0),"SKIP",IF(COUNTIFS(#REF!,$B12,#REF!,$AI12)&gt;0,"OK","ONBEKEND")),IF(AND($BW12=$BT12,$BX12=$BU12+1),IF(OR(COUNTIF(#REF!,$D12)&gt;0,COUNTIF(#REF!,$D12)=0),"SKIP",IF(COUNTIFS(#REF!,$D12,#REF!,$AI12)&gt;0,"OK","ONBEKEND")),"ONZEKER")))))</f>
        <v/>
      </c>
      <c r="AK12" t="str">
        <f t="shared" si="16"/>
        <v/>
      </c>
      <c r="AL12" t="str">
        <f t="shared" si="17"/>
        <v/>
      </c>
      <c r="AM12" t="str">
        <f>IF($AL12="","",IF(OR($BZ12="",$CA12=""),"ONZEKER",IF(OR($BW12="",$BX12=""),"ONZEKER",IF(AND($BZ12=$BW12+1,$CA12=$BX12),IF(OR(COUNTIF(#REF!,$B12)&gt;0,COUNTIF(#REF!,$B12)=0),"SKIP",IF(COUNTIFS(#REF!,$B12,#REF!,$AL12)&gt;0,"OK","ONBEKEND")),IF(AND($BZ12=$BW12,$CA12=$BX12+1),IF(OR(COUNTIF(#REF!,$D12)&gt;0,COUNTIF(#REF!,$D12)=0),"SKIP",IF(COUNTIFS(#REF!,$D12,#REF!,$AL12)&gt;0,"OK","ONBEKEND")),"ONZEKER")))))</f>
        <v/>
      </c>
      <c r="AN12" t="str">
        <f t="shared" si="18"/>
        <v/>
      </c>
      <c r="AO12" t="str">
        <f t="shared" si="19"/>
        <v/>
      </c>
      <c r="AP12" t="str">
        <f>IF($AO12="","",IF(OR($CC12="",$CD12=""),"ONZEKER",IF(OR($BZ12="",$CA12=""),"ONZEKER",IF(AND($CC12=$BZ12+1,$CD12=$CA12),IF(OR(COUNTIF(#REF!,$B12)&gt;0,COUNTIF(#REF!,$B12)=0),"SKIP",IF(COUNTIFS(#REF!,$B12,#REF!,$AO12)&gt;0,"OK","ONBEKEND")),IF(AND($CC12=$BZ12,$CD12=$CA12+1),IF(OR(COUNTIF(#REF!,$D12)&gt;0,COUNTIF(#REF!,$D12)=0),"SKIP",IF(COUNTIFS(#REF!,$D12,#REF!,$AO12)&gt;0,"OK","ONBEKEND")),"ONZEKER")))))</f>
        <v/>
      </c>
      <c r="AQ12" t="str">
        <f t="shared" si="20"/>
        <v/>
      </c>
      <c r="AR12" t="str">
        <f t="shared" si="21"/>
        <v/>
      </c>
      <c r="AS12" t="str">
        <f>IF($AR12="","",IF(OR($CF12="",$CG12=""),"ONZEKER",IF(OR($CC12="",$CD12=""),"ONZEKER",IF(AND($CF12=$CC12+1,$CG12=$CD12),IF(OR(COUNTIF(#REF!,$B12)&gt;0,COUNTIF(#REF!,$B12)=0),"SKIP",IF(COUNTIFS(#REF!,$B12,#REF!,$AR12)&gt;0,"OK","ONBEKEND")),IF(AND($CF12=$CC12,$CG12=$CD12+1),IF(OR(COUNTIF(#REF!,$D12)&gt;0,COUNTIF(#REF!,$D12)=0),"SKIP",IF(COUNTIFS(#REF!,$D12,#REF!,$AR12)&gt;0,"OK","ONBEKEND")),"ONZEKER")))))</f>
        <v/>
      </c>
      <c r="AT12" t="str">
        <f t="shared" si="22"/>
        <v/>
      </c>
      <c r="AU12" t="str">
        <f t="shared" si="23"/>
        <v/>
      </c>
      <c r="AV12" t="str">
        <f t="shared" si="24"/>
        <v/>
      </c>
      <c r="AW12" t="str">
        <f t="shared" si="25"/>
        <v/>
      </c>
      <c r="AX12" t="str">
        <f t="shared" si="26"/>
        <v/>
      </c>
      <c r="AY12" t="str">
        <f t="shared" si="27"/>
        <v/>
      </c>
      <c r="AZ12" t="str">
        <f t="shared" si="28"/>
        <v/>
      </c>
      <c r="BA12" t="str">
        <f t="shared" si="29"/>
        <v/>
      </c>
      <c r="BB12" t="str">
        <f t="shared" si="30"/>
        <v/>
      </c>
      <c r="BC12" t="str">
        <f t="shared" si="31"/>
        <v/>
      </c>
      <c r="BD12" t="str">
        <f t="shared" si="32"/>
        <v/>
      </c>
      <c r="BE12" t="str">
        <f t="shared" si="33"/>
        <v/>
      </c>
      <c r="BF12" t="str">
        <f t="shared" si="34"/>
        <v/>
      </c>
      <c r="BG12" t="str">
        <f t="shared" si="35"/>
        <v/>
      </c>
      <c r="BH12" t="str">
        <f t="shared" si="36"/>
        <v/>
      </c>
      <c r="BI12" t="str">
        <f t="shared" si="37"/>
        <v/>
      </c>
      <c r="BJ12" t="str">
        <f t="shared" si="38"/>
        <v/>
      </c>
      <c r="BK12" t="str">
        <f t="shared" si="39"/>
        <v/>
      </c>
      <c r="BL12" t="str">
        <f t="shared" si="40"/>
        <v/>
      </c>
      <c r="BM12" t="str">
        <f t="shared" si="41"/>
        <v/>
      </c>
      <c r="BN12" t="str">
        <f t="shared" si="42"/>
        <v/>
      </c>
      <c r="BO12" t="str">
        <f t="shared" si="43"/>
        <v/>
      </c>
      <c r="BP12" t="str">
        <f t="shared" si="44"/>
        <v/>
      </c>
      <c r="BQ12" t="str">
        <f t="shared" si="45"/>
        <v/>
      </c>
      <c r="BR12" t="str">
        <f t="shared" si="46"/>
        <v/>
      </c>
      <c r="BS12" t="str">
        <f t="shared" si="47"/>
        <v/>
      </c>
      <c r="BT12" t="str">
        <f t="shared" si="48"/>
        <v/>
      </c>
      <c r="BU12" t="str">
        <f t="shared" si="49"/>
        <v/>
      </c>
      <c r="BV12" t="str">
        <f t="shared" si="50"/>
        <v/>
      </c>
      <c r="BW12" t="str">
        <f t="shared" si="51"/>
        <v/>
      </c>
      <c r="BX12" t="str">
        <f t="shared" si="52"/>
        <v/>
      </c>
      <c r="BY12" t="str">
        <f t="shared" si="53"/>
        <v/>
      </c>
      <c r="BZ12" t="str">
        <f t="shared" si="54"/>
        <v/>
      </c>
      <c r="CA12" t="str">
        <f t="shared" si="55"/>
        <v/>
      </c>
      <c r="CB12" t="str">
        <f t="shared" si="56"/>
        <v/>
      </c>
      <c r="CC12" t="str">
        <f t="shared" si="57"/>
        <v/>
      </c>
      <c r="CD12" t="str">
        <f t="shared" si="58"/>
        <v/>
      </c>
      <c r="CE12" t="str">
        <f t="shared" si="59"/>
        <v/>
      </c>
      <c r="CF12" t="str">
        <f t="shared" si="60"/>
        <v/>
      </c>
      <c r="CG12" t="str">
        <f t="shared" si="61"/>
        <v/>
      </c>
      <c r="CH12" t="str">
        <f t="shared" si="62"/>
        <v/>
      </c>
      <c r="CI12" t="str">
        <f t="shared" si="63"/>
        <v/>
      </c>
      <c r="CJ12" t="str">
        <f>IF($CI12="","",IF(OR($DW12="",$DX12=""),"ONZEKER",IF(OR($CF12="",$CG12=""),"ONZEKER",IF(AND($DW12=$CF12+1,$DX12=$CG12),IF(OR(COUNTIF(#REF!,$B12)&gt;0,COUNTIF(#REF!,$B12)=0),"SKIP",IF(COUNTIFS(#REF!,$B12,#REF!,$CI12)&gt;0,"OK","ONBEKEND")),IF(AND($DW12=$CF12,$DX12=$CG12+1),IF(OR(COUNTIF(#REF!,$D12)&gt;0,COUNTIF(#REF!,$D12)=0),"SKIP",IF(COUNTIFS(#REF!,$D12,#REF!,$CI12)&gt;0,"OK","ONBEKEND")),"ONZEKER")))))</f>
        <v/>
      </c>
      <c r="CK12" t="str">
        <f t="shared" si="64"/>
        <v/>
      </c>
      <c r="CL12" t="str">
        <f t="shared" si="65"/>
        <v/>
      </c>
      <c r="CM12" t="str">
        <f>IF($CL12="","",IF(OR($DZ12="",$EA12=""),"ONZEKER",IF(OR($DW12="",$DX12=""),"ONZEKER",IF(AND($DZ12=$DW12+1,$EA12=$DX12),IF(OR(COUNTIF(#REF!,$B12)&gt;0,COUNTIF(#REF!,$B12)=0),"SKIP",IF(COUNTIFS(#REF!,$B12,#REF!,$CL12)&gt;0,"OK","ONBEKEND")),IF(AND($DZ12=$DW12,$EA12=$DX12+1),IF(OR(COUNTIF(#REF!,$D12)&gt;0,COUNTIF(#REF!,$D12)=0),"SKIP",IF(COUNTIFS(#REF!,$D12,#REF!,$CL12)&gt;0,"OK","ONBEKEND")),"ONZEKER")))))</f>
        <v/>
      </c>
      <c r="CN12" t="str">
        <f t="shared" si="66"/>
        <v/>
      </c>
      <c r="CO12" t="str">
        <f t="shared" si="67"/>
        <v/>
      </c>
      <c r="CP12" t="str">
        <f>IF($CO12="","",IF(OR($EC12="",$ED12=""),"ONZEKER",IF(OR($DZ12="",$EA12=""),"ONZEKER",IF(AND($EC12=$DZ12+1,$ED12=$EA12),IF(OR(COUNTIF(#REF!,$B12)&gt;0,COUNTIF(#REF!,$B12)=0),"SKIP",IF(COUNTIFS(#REF!,$B12,#REF!,$CO12)&gt;0,"OK","ONBEKEND")),IF(AND($EC12=$DZ12,$ED12=$EA12+1),IF(OR(COUNTIF(#REF!,$D12)&gt;0,COUNTIF(#REF!,$D12)=0),"SKIP",IF(COUNTIFS(#REF!,$D12,#REF!,$CO12)&gt;0,"OK","ONBEKEND")),"ONZEKER")))))</f>
        <v/>
      </c>
      <c r="CQ12" t="str">
        <f t="shared" si="68"/>
        <v/>
      </c>
      <c r="CR12" t="str">
        <f t="shared" si="69"/>
        <v/>
      </c>
      <c r="CS12" t="str">
        <f>IF($CR12="","",IF(OR($EF12="",$EG12=""),"ONZEKER",IF(OR($EC12="",$ED12=""),"ONZEKER",IF(AND($EF12=$EC12+1,$EG12=$ED12),IF(OR(COUNTIF(#REF!,$B12)&gt;0,COUNTIF(#REF!,$B12)=0),"SKIP",IF(COUNTIFS(#REF!,$B12,#REF!,$CR12)&gt;0,"OK","ONBEKEND")),IF(AND($EF12=$EC12,$EG12=$ED12+1),IF(OR(COUNTIF(#REF!,$D12)&gt;0,COUNTIF(#REF!,$D12)=0),"SKIP",IF(COUNTIFS(#REF!,$D12,#REF!,$CR12)&gt;0,"OK","ONBEKEND")),"ONZEKER")))))</f>
        <v/>
      </c>
      <c r="CT12" t="str">
        <f t="shared" si="70"/>
        <v/>
      </c>
      <c r="CU12" t="str">
        <f t="shared" si="71"/>
        <v/>
      </c>
      <c r="CV12" t="str">
        <f>IF($CU12="","",IF(OR($EI12="",$EJ12=""),"ONZEKER",IF(OR($EF12="",$EG12=""),"ONZEKER",IF(AND($EI12=$EF12+1,$EJ12=$EG12),IF(OR(COUNTIF(#REF!,$B12)&gt;0,COUNTIF(#REF!,$B12)=0),"SKIP",IF(COUNTIFS(#REF!,$B12,#REF!,$CU12)&gt;0,"OK","ONBEKEND")),IF(AND($EI12=$EF12,$EJ12=$EG12+1),IF(OR(COUNTIF(#REF!,$D12)&gt;0,COUNTIF(#REF!,$D12)=0),"SKIP",IF(COUNTIFS(#REF!,$D12,#REF!,$CU12)&gt;0,"OK","ONBEKEND")),"ONZEKER")))))</f>
        <v/>
      </c>
      <c r="CW12" t="str">
        <f t="shared" si="72"/>
        <v/>
      </c>
      <c r="CX12" t="str">
        <f t="shared" si="73"/>
        <v/>
      </c>
      <c r="CY12" t="str">
        <f>IF($CX12="","",IF(OR($EL12="",$EM12=""),"ONZEKER",IF(OR($EI12="",$EJ12=""),"ONZEKER",IF(AND($EL12=$EI12+1,$EM12=$EJ12),IF(OR(COUNTIF(#REF!,$B12)&gt;0,COUNTIF(#REF!,$B12)=0),"SKIP",IF(COUNTIFS(#REF!,$B12,#REF!,$CX12)&gt;0,"OK","ONBEKEND")),IF(AND($EL12=$EI12,$EM12=$EJ12+1),IF(OR(COUNTIF(#REF!,$D12)&gt;0,COUNTIF(#REF!,$D12)=0),"SKIP",IF(COUNTIFS(#REF!,$D12,#REF!,$CX12)&gt;0,"OK","ONBEKEND")),"ONZEKER")))))</f>
        <v/>
      </c>
      <c r="CZ12" t="str">
        <f t="shared" si="74"/>
        <v/>
      </c>
      <c r="DA12" t="str">
        <f t="shared" si="75"/>
        <v/>
      </c>
      <c r="DB12" t="str">
        <f>IF($DA12="","",IF(OR($EO12="",$EP12=""),"ONZEKER",IF(OR($EL12="",$EM12=""),"ONZEKER",IF(AND($EO12=$EL12+1,$EP12=$EM12),IF(OR(COUNTIF(#REF!,$B12)&gt;0,COUNTIF(#REF!,$B12)=0),"SKIP",IF(COUNTIFS(#REF!,$B12,#REF!,$DA12)&gt;0,"OK","ONBEKEND")),IF(AND($EO12=$EL12,$EP12=$EM12+1),IF(OR(COUNTIF(#REF!,$D12)&gt;0,COUNTIF(#REF!,$D12)=0),"SKIP",IF(COUNTIFS(#REF!,$D12,#REF!,$DA12)&gt;0,"OK","ONBEKEND")),"ONZEKER")))))</f>
        <v/>
      </c>
      <c r="DC12" t="str">
        <f t="shared" si="76"/>
        <v/>
      </c>
      <c r="DD12" t="str">
        <f t="shared" si="77"/>
        <v/>
      </c>
      <c r="DE12" t="str">
        <f>IF($DD12="","",IF(OR($ER12="",$ES12=""),"ONZEKER",IF(OR($EO12="",$EP12=""),"ONZEKER",IF(AND($ER12=$EO12+1,$ES12=$EP12),IF(OR(COUNTIF(#REF!,$B12)&gt;0,COUNTIF(#REF!,$B12)=0),"SKIP",IF(COUNTIFS(#REF!,$B12,#REF!,$DD12)&gt;0,"OK","ONBEKEND")),IF(AND($ER12=$EO12,$ES12=$EP12+1),IF(OR(COUNTIF(#REF!,$D12)&gt;0,COUNTIF(#REF!,$D12)=0),"SKIP",IF(COUNTIFS(#REF!,$D12,#REF!,$DD12)&gt;0,"OK","ONBEKEND")),"ONZEKER")))))</f>
        <v/>
      </c>
      <c r="DF12" t="str">
        <f t="shared" si="78"/>
        <v/>
      </c>
      <c r="DG12" t="str">
        <f t="shared" si="79"/>
        <v/>
      </c>
      <c r="DH12" t="str">
        <f>IF($DG12="","",IF(OR($EU12="",$EV12=""),"ONZEKER",IF(OR($ER12="",$ES12=""),"ONZEKER",IF(AND($EU12=$ER12+1,$EV12=$ES12),IF(OR(COUNTIF(#REF!,$B12)&gt;0,COUNTIF(#REF!,$B12)=0),"SKIP",IF(COUNTIFS(#REF!,$B12,#REF!,$DG12)&gt;0,"OK","ONBEKEND")),IF(AND($EU12=$ER12,$EV12=$ES12+1),IF(OR(COUNTIF(#REF!,$D12)&gt;0,COUNTIF(#REF!,$D12)=0),"SKIP",IF(COUNTIFS(#REF!,$D12,#REF!,$DG12)&gt;0,"OK","ONBEKEND")),"ONZEKER")))))</f>
        <v/>
      </c>
      <c r="DI12" t="str">
        <f t="shared" si="80"/>
        <v/>
      </c>
      <c r="DJ12" t="str">
        <f t="shared" si="81"/>
        <v/>
      </c>
      <c r="DK12" t="str">
        <f>IF($DJ12="","",IF(OR($EX12="",$EY12=""),"ONZEKER",IF(OR($EU12="",$EV12=""),"ONZEKER",IF(AND($EX12=$EU12+1,$EY12=$EV12),IF(OR(COUNTIF(#REF!,$B12)&gt;0,COUNTIF(#REF!,$B12)=0),"SKIP",IF(COUNTIFS(#REF!,$B12,#REF!,$DJ12)&gt;0,"OK","ONBEKEND")),IF(AND($EX12=$EU12,$EY12=$EV12+1),IF(OR(COUNTIF(#REF!,$D12)&gt;0,COUNTIF(#REF!,$D12)=0),"SKIP",IF(COUNTIFS(#REF!,$D12,#REF!,$DJ12)&gt;0,"OK","ONBEKEND")),"ONZEKER")))))</f>
        <v/>
      </c>
      <c r="DL12" t="str">
        <f t="shared" si="82"/>
        <v/>
      </c>
      <c r="DM12" t="str">
        <f t="shared" si="83"/>
        <v/>
      </c>
      <c r="DN12" t="str">
        <f t="shared" si="84"/>
        <v/>
      </c>
      <c r="DO12" t="str">
        <f t="shared" si="85"/>
        <v/>
      </c>
      <c r="DP12" t="str">
        <f t="shared" si="86"/>
        <v/>
      </c>
      <c r="DQ12" t="str">
        <f t="shared" si="87"/>
        <v/>
      </c>
      <c r="DR12" t="str">
        <f t="shared" si="88"/>
        <v/>
      </c>
      <c r="DS12" t="str">
        <f t="shared" si="89"/>
        <v/>
      </c>
      <c r="DT12" t="str">
        <f t="shared" si="90"/>
        <v/>
      </c>
      <c r="DU12" t="str">
        <f t="shared" si="91"/>
        <v/>
      </c>
      <c r="DV12" t="str">
        <f t="shared" si="92"/>
        <v/>
      </c>
      <c r="DW12" t="str">
        <f t="shared" si="93"/>
        <v/>
      </c>
      <c r="DX12" t="str">
        <f t="shared" si="94"/>
        <v/>
      </c>
      <c r="DY12" t="str">
        <f t="shared" si="95"/>
        <v/>
      </c>
      <c r="DZ12" t="str">
        <f t="shared" si="96"/>
        <v/>
      </c>
      <c r="EA12" t="str">
        <f t="shared" si="97"/>
        <v/>
      </c>
      <c r="EB12" t="str">
        <f t="shared" si="98"/>
        <v/>
      </c>
      <c r="EC12" t="str">
        <f t="shared" si="99"/>
        <v/>
      </c>
      <c r="ED12" t="str">
        <f t="shared" si="100"/>
        <v/>
      </c>
      <c r="EE12" t="str">
        <f t="shared" si="101"/>
        <v/>
      </c>
      <c r="EF12" t="str">
        <f t="shared" si="102"/>
        <v/>
      </c>
      <c r="EG12" t="str">
        <f t="shared" si="103"/>
        <v/>
      </c>
      <c r="EH12" t="str">
        <f t="shared" si="104"/>
        <v/>
      </c>
      <c r="EI12" t="str">
        <f t="shared" si="105"/>
        <v/>
      </c>
      <c r="EJ12" t="str">
        <f t="shared" si="106"/>
        <v/>
      </c>
      <c r="EK12" t="str">
        <f t="shared" si="107"/>
        <v/>
      </c>
      <c r="EL12" t="str">
        <f t="shared" si="108"/>
        <v/>
      </c>
      <c r="EM12" t="str">
        <f t="shared" si="109"/>
        <v/>
      </c>
      <c r="EN12" t="str">
        <f t="shared" si="110"/>
        <v/>
      </c>
      <c r="EO12" t="str">
        <f t="shared" si="111"/>
        <v/>
      </c>
      <c r="EP12" t="str">
        <f t="shared" si="112"/>
        <v/>
      </c>
      <c r="EQ12" t="str">
        <f t="shared" si="113"/>
        <v/>
      </c>
      <c r="ER12" t="str">
        <f t="shared" si="114"/>
        <v/>
      </c>
      <c r="ES12" t="str">
        <f t="shared" si="115"/>
        <v/>
      </c>
      <c r="ET12" t="str">
        <f t="shared" si="116"/>
        <v/>
      </c>
      <c r="EU12" t="str">
        <f t="shared" si="117"/>
        <v/>
      </c>
      <c r="EV12" t="str">
        <f t="shared" si="118"/>
        <v/>
      </c>
      <c r="EW12" t="str">
        <f t="shared" si="119"/>
        <v/>
      </c>
      <c r="EX12" t="str">
        <f t="shared" si="120"/>
        <v/>
      </c>
      <c r="EY12" t="str">
        <f t="shared" si="121"/>
        <v/>
      </c>
    </row>
    <row r="13" spans="1:155" ht="13.9" customHeight="1" x14ac:dyDescent="0.25">
      <c r="A13" s="7"/>
      <c r="B13" s="8"/>
      <c r="C13" s="8"/>
      <c r="D13" s="8"/>
      <c r="E13" s="8"/>
      <c r="F13" s="7"/>
      <c r="G13" s="7"/>
      <c r="H13" s="7"/>
      <c r="I13" s="7"/>
      <c r="J13" s="7"/>
      <c r="K13" s="7"/>
      <c r="L13" s="8"/>
      <c r="M13" s="3" t="str">
        <f>IF($L13="","",IF($L13="DOELPUNTENMAKERS","",IF(AND(COUNTIF(#REF!,$B13)=0,COUNTIF(#REF!,$D13)=0),"OK",IF($O13&gt;20,"LET OP: meer dan 20 items (controle onvolledig)",IF((COUNTIF($R13:$AS13,"ONZEKER")+COUNTIF($CJ13:$DK13,"ONZEKER"))&gt;0,"LET OP: scoreverloop onduidelijk (controle beperkt)",IF((IF($AT13&lt;&gt;"",$AT13&amp;", ","")&amp;IF($AU13&lt;&gt;"",$AU13&amp;", ","")&amp;IF($AV13&lt;&gt;"",$AV13&amp;", ","")&amp;IF($AW13&lt;&gt;"",$AW13&amp;", ","")&amp;IF($AX13&lt;&gt;"",$AX13&amp;", ","")&amp;IF($AY13&lt;&gt;"",$AY13&amp;", ","")&amp;IF($AZ13&lt;&gt;"",$AZ13&amp;", ","")&amp;IF($BA13&lt;&gt;"",$BA13&amp;", ","")&amp;IF($BB13&lt;&gt;"",$BB13&amp;", ","")&amp;IF($BC13&lt;&gt;"",$BC13&amp;", ","")&amp;IF($DL13&lt;&gt;"",$DL13&amp;", ","")&amp;IF($DM13&lt;&gt;"",$DM13&amp;", ","")&amp;IF($DN13&lt;&gt;"",$DN13&amp;", ","")&amp;IF($DO13&lt;&gt;"",$DO13&amp;", ","")&amp;IF($DP13&lt;&gt;"",$DP13&amp;", ","")&amp;IF($DQ13&lt;&gt;"",$DQ13&amp;", ","")&amp;IF($DR13&lt;&gt;"",$DR13&amp;", ","")&amp;IF($DS13&lt;&gt;"",$DS13&amp;", ","")&amp;IF($DT13&lt;&gt;"",$DT13&amp;", ","")&amp;IF($DU13&lt;&gt;"",$DU13&amp;", ",""))="","OK","Onbekend: "&amp;LEFT((IF($AT13&lt;&gt;"",$AT13&amp;", ","")&amp;IF($AU13&lt;&gt;"",$AU13&amp;", ","")&amp;IF($AV13&lt;&gt;"",$AV13&amp;", ","")&amp;IF($AW13&lt;&gt;"",$AW13&amp;", ","")&amp;IF($AX13&lt;&gt;"",$AX13&amp;", ","")&amp;IF($AY13&lt;&gt;"",$AY13&amp;", ","")&amp;IF($AZ13&lt;&gt;"",$AZ13&amp;", ","")&amp;IF($BA13&lt;&gt;"",$BA13&amp;", ","")&amp;IF($BB13&lt;&gt;"",$BB13&amp;", ","")&amp;IF($BC13&lt;&gt;"",$BC13&amp;", ","")&amp;IF($DL13&lt;&gt;"",$DL13&amp;", ","")&amp;IF($DM13&lt;&gt;"",$DM13&amp;", ","")&amp;IF($DN13&lt;&gt;"",$DN13&amp;", ","")&amp;IF($DO13&lt;&gt;"",$DO13&amp;", ","")&amp;IF($DP13&lt;&gt;"",$DP13&amp;", ","")&amp;IF($DQ13&lt;&gt;"",$DQ13&amp;", ","")&amp;IF($DR13&lt;&gt;"",$DR13&amp;", ","")&amp;IF($DS13&lt;&gt;"",$DS13&amp;", ","")&amp;IF($DT13&lt;&gt;"",$DT13&amp;", ","")&amp;IF($DU13&lt;&gt;"",$DU13&amp;", ","")),LEN((IF($AT13&lt;&gt;"",$AT13&amp;", ","")&amp;IF($AU13&lt;&gt;"",$AU13&amp;", ","")&amp;IF($AV13&lt;&gt;"",$AV13&amp;", ","")&amp;IF($AW13&lt;&gt;"",$AW13&amp;", ","")&amp;IF($AX13&lt;&gt;"",$AX13&amp;", ","")&amp;IF($AY13&lt;&gt;"",$AY13&amp;", ","")&amp;IF($AZ13&lt;&gt;"",$AZ13&amp;", ","")&amp;IF($BA13&lt;&gt;"",$BA13&amp;", ","")&amp;IF($BB13&lt;&gt;"",$BB13&amp;", ","")&amp;IF($BC13&lt;&gt;"",$BC13&amp;", ","")&amp;IF($DL13&lt;&gt;"",$DL13&amp;", ","")&amp;IF($DM13&lt;&gt;"",$DM13&amp;", ","")&amp;IF($DN13&lt;&gt;"",$DN13&amp;", ","")&amp;IF($DO13&lt;&gt;"",$DO13&amp;", ","")&amp;IF($DP13&lt;&gt;"",$DP13&amp;", ","")&amp;IF($DQ13&lt;&gt;"",$DQ13&amp;", ","")&amp;IF($DR13&lt;&gt;"",$DR13&amp;", ","")&amp;IF($DS13&lt;&gt;"",$DS13&amp;", ","")&amp;IF($DT13&lt;&gt;"",$DT13&amp;", ","")&amp;IF($DU13&lt;&gt;"",$DU13&amp;", ","")))-2)))))))</f>
        <v/>
      </c>
      <c r="N13" t="str">
        <f t="shared" si="0"/>
        <v/>
      </c>
      <c r="O13" t="str">
        <f t="shared" si="1"/>
        <v/>
      </c>
      <c r="P13" t="str">
        <f t="shared" si="2"/>
        <v/>
      </c>
      <c r="Q13" t="str">
        <f t="shared" si="3"/>
        <v/>
      </c>
      <c r="R13" t="str">
        <f>IF($Q13="","",IF(OR($BE13="",$BF13=""),"ONZEKER",IF(AND($BE13=0+1,$BF13=0),IF(OR(COUNTIF(#REF!,$B13)&gt;0,COUNTIF(#REF!,$B13)=0),"SKIP",IF(COUNTIFS(#REF!,$B13,#REF!,$Q13)&gt;0,"OK","ONBEKEND")),IF(AND($BE13=0,$BF13=0+1),IF(OR(COUNTIF(#REF!,$D13)&gt;0,COUNTIF(#REF!,$D13)=0),"SKIP",IF(COUNTIFS(#REF!,$D13,#REF!,$Q13)&gt;0,"OK","ONBEKEND")),"ONZEKER"))))</f>
        <v/>
      </c>
      <c r="S13" t="str">
        <f t="shared" si="4"/>
        <v/>
      </c>
      <c r="T13" t="str">
        <f t="shared" si="5"/>
        <v/>
      </c>
      <c r="U13" t="str">
        <f>IF($T13="","",IF(OR($BH13="",$BI13=""),"ONZEKER",IF(OR($BE13="",$BF13=""),"ONZEKER",IF(AND($BH13=$BE13+1,$BI13=$BF13),IF(OR(COUNTIF(#REF!,$B13)&gt;0,COUNTIF(#REF!,$B13)=0),"SKIP",IF(COUNTIFS(#REF!,$B13,#REF!,$T13)&gt;0,"OK","ONBEKEND")),IF(AND($BH13=$BE13,$BI13=$BF13+1),IF(OR(COUNTIF(#REF!,$D13)&gt;0,COUNTIF(#REF!,$D13)=0),"SKIP",IF(COUNTIFS(#REF!,$D13,#REF!,$T13)&gt;0,"OK","ONBEKEND")),"ONZEKER")))))</f>
        <v/>
      </c>
      <c r="V13" t="str">
        <f t="shared" si="6"/>
        <v/>
      </c>
      <c r="W13" t="str">
        <f t="shared" si="7"/>
        <v/>
      </c>
      <c r="X13" t="str">
        <f>IF($W13="","",IF(OR($BK13="",$BL13=""),"ONZEKER",IF(OR($BH13="",$BI13=""),"ONZEKER",IF(AND($BK13=$BH13+1,$BL13=$BI13),IF(OR(COUNTIF(#REF!,$B13)&gt;0,COUNTIF(#REF!,$B13)=0),"SKIP",IF(COUNTIFS(#REF!,$B13,#REF!,$W13)&gt;0,"OK","ONBEKEND")),IF(AND($BK13=$BH13,$BL13=$BI13+1),IF(OR(COUNTIF(#REF!,$D13)&gt;0,COUNTIF(#REF!,$D13)=0),"SKIP",IF(COUNTIFS(#REF!,$D13,#REF!,$W13)&gt;0,"OK","ONBEKEND")),"ONZEKER")))))</f>
        <v/>
      </c>
      <c r="Y13" t="str">
        <f t="shared" si="8"/>
        <v/>
      </c>
      <c r="Z13" t="str">
        <f t="shared" si="9"/>
        <v/>
      </c>
      <c r="AA13" t="str">
        <f>IF($Z13="","",IF(OR($BN13="",$BO13=""),"ONZEKER",IF(OR($BK13="",$BL13=""),"ONZEKER",IF(AND($BN13=$BK13+1,$BO13=$BL13),IF(OR(COUNTIF(#REF!,$B13)&gt;0,COUNTIF(#REF!,$B13)=0),"SKIP",IF(COUNTIFS(#REF!,$B13,#REF!,$Z13)&gt;0,"OK","ONBEKEND")),IF(AND($BN13=$BK13,$BO13=$BL13+1),IF(OR(COUNTIF(#REF!,$D13)&gt;0,COUNTIF(#REF!,$D13)=0),"SKIP",IF(COUNTIFS(#REF!,$D13,#REF!,$Z13)&gt;0,"OK","ONBEKEND")),"ONZEKER")))))</f>
        <v/>
      </c>
      <c r="AB13" t="str">
        <f t="shared" si="10"/>
        <v/>
      </c>
      <c r="AC13" t="str">
        <f t="shared" si="11"/>
        <v/>
      </c>
      <c r="AD13" t="str">
        <f>IF($AC13="","",IF(OR($BQ13="",$BR13=""),"ONZEKER",IF(OR($BN13="",$BO13=""),"ONZEKER",IF(AND($BQ13=$BN13+1,$BR13=$BO13),IF(OR(COUNTIF(#REF!,$B13)&gt;0,COUNTIF(#REF!,$B13)=0),"SKIP",IF(COUNTIFS(#REF!,$B13,#REF!,$AC13)&gt;0,"OK","ONBEKEND")),IF(AND($BQ13=$BN13,$BR13=$BO13+1),IF(OR(COUNTIF(#REF!,$D13)&gt;0,COUNTIF(#REF!,$D13)=0),"SKIP",IF(COUNTIFS(#REF!,$D13,#REF!,$AC13)&gt;0,"OK","ONBEKEND")),"ONZEKER")))))</f>
        <v/>
      </c>
      <c r="AE13" t="str">
        <f t="shared" si="12"/>
        <v/>
      </c>
      <c r="AF13" t="str">
        <f t="shared" si="13"/>
        <v/>
      </c>
      <c r="AG13" t="str">
        <f>IF($AF13="","",IF(OR($BT13="",$BU13=""),"ONZEKER",IF(OR($BQ13="",$BR13=""),"ONZEKER",IF(AND($BT13=$BQ13+1,$BU13=$BR13),IF(OR(COUNTIF(#REF!,$B13)&gt;0,COUNTIF(#REF!,$B13)=0),"SKIP",IF(COUNTIFS(#REF!,$B13,#REF!,$AF13)&gt;0,"OK","ONBEKEND")),IF(AND($BT13=$BQ13,$BU13=$BR13+1),IF(OR(COUNTIF(#REF!,$D13)&gt;0,COUNTIF(#REF!,$D13)=0),"SKIP",IF(COUNTIFS(#REF!,$D13,#REF!,$AF13)&gt;0,"OK","ONBEKEND")),"ONZEKER")))))</f>
        <v/>
      </c>
      <c r="AH13" t="str">
        <f t="shared" si="14"/>
        <v/>
      </c>
      <c r="AI13" t="str">
        <f t="shared" si="15"/>
        <v/>
      </c>
      <c r="AJ13" t="str">
        <f>IF($AI13="","",IF(OR($BW13="",$BX13=""),"ONZEKER",IF(OR($BT13="",$BU13=""),"ONZEKER",IF(AND($BW13=$BT13+1,$BX13=$BU13),IF(OR(COUNTIF(#REF!,$B13)&gt;0,COUNTIF(#REF!,$B13)=0),"SKIP",IF(COUNTIFS(#REF!,$B13,#REF!,$AI13)&gt;0,"OK","ONBEKEND")),IF(AND($BW13=$BT13,$BX13=$BU13+1),IF(OR(COUNTIF(#REF!,$D13)&gt;0,COUNTIF(#REF!,$D13)=0),"SKIP",IF(COUNTIFS(#REF!,$D13,#REF!,$AI13)&gt;0,"OK","ONBEKEND")),"ONZEKER")))))</f>
        <v/>
      </c>
      <c r="AK13" t="str">
        <f t="shared" si="16"/>
        <v/>
      </c>
      <c r="AL13" t="str">
        <f t="shared" si="17"/>
        <v/>
      </c>
      <c r="AM13" t="str">
        <f>IF($AL13="","",IF(OR($BZ13="",$CA13=""),"ONZEKER",IF(OR($BW13="",$BX13=""),"ONZEKER",IF(AND($BZ13=$BW13+1,$CA13=$BX13),IF(OR(COUNTIF(#REF!,$B13)&gt;0,COUNTIF(#REF!,$B13)=0),"SKIP",IF(COUNTIFS(#REF!,$B13,#REF!,$AL13)&gt;0,"OK","ONBEKEND")),IF(AND($BZ13=$BW13,$CA13=$BX13+1),IF(OR(COUNTIF(#REF!,$D13)&gt;0,COUNTIF(#REF!,$D13)=0),"SKIP",IF(COUNTIFS(#REF!,$D13,#REF!,$AL13)&gt;0,"OK","ONBEKEND")),"ONZEKER")))))</f>
        <v/>
      </c>
      <c r="AN13" t="str">
        <f t="shared" si="18"/>
        <v/>
      </c>
      <c r="AO13" t="str">
        <f t="shared" si="19"/>
        <v/>
      </c>
      <c r="AP13" t="str">
        <f>IF($AO13="","",IF(OR($CC13="",$CD13=""),"ONZEKER",IF(OR($BZ13="",$CA13=""),"ONZEKER",IF(AND($CC13=$BZ13+1,$CD13=$CA13),IF(OR(COUNTIF(#REF!,$B13)&gt;0,COUNTIF(#REF!,$B13)=0),"SKIP",IF(COUNTIFS(#REF!,$B13,#REF!,$AO13)&gt;0,"OK","ONBEKEND")),IF(AND($CC13=$BZ13,$CD13=$CA13+1),IF(OR(COUNTIF(#REF!,$D13)&gt;0,COUNTIF(#REF!,$D13)=0),"SKIP",IF(COUNTIFS(#REF!,$D13,#REF!,$AO13)&gt;0,"OK","ONBEKEND")),"ONZEKER")))))</f>
        <v/>
      </c>
      <c r="AQ13" t="str">
        <f t="shared" si="20"/>
        <v/>
      </c>
      <c r="AR13" t="str">
        <f t="shared" si="21"/>
        <v/>
      </c>
      <c r="AS13" t="str">
        <f>IF($AR13="","",IF(OR($CF13="",$CG13=""),"ONZEKER",IF(OR($CC13="",$CD13=""),"ONZEKER",IF(AND($CF13=$CC13+1,$CG13=$CD13),IF(OR(COUNTIF(#REF!,$B13)&gt;0,COUNTIF(#REF!,$B13)=0),"SKIP",IF(COUNTIFS(#REF!,$B13,#REF!,$AR13)&gt;0,"OK","ONBEKEND")),IF(AND($CF13=$CC13,$CG13=$CD13+1),IF(OR(COUNTIF(#REF!,$D13)&gt;0,COUNTIF(#REF!,$D13)=0),"SKIP",IF(COUNTIFS(#REF!,$D13,#REF!,$AR13)&gt;0,"OK","ONBEKEND")),"ONZEKER")))))</f>
        <v/>
      </c>
      <c r="AT13" t="str">
        <f t="shared" si="22"/>
        <v/>
      </c>
      <c r="AU13" t="str">
        <f t="shared" si="23"/>
        <v/>
      </c>
      <c r="AV13" t="str">
        <f t="shared" si="24"/>
        <v/>
      </c>
      <c r="AW13" t="str">
        <f t="shared" si="25"/>
        <v/>
      </c>
      <c r="AX13" t="str">
        <f t="shared" si="26"/>
        <v/>
      </c>
      <c r="AY13" t="str">
        <f t="shared" si="27"/>
        <v/>
      </c>
      <c r="AZ13" t="str">
        <f t="shared" si="28"/>
        <v/>
      </c>
      <c r="BA13" t="str">
        <f t="shared" si="29"/>
        <v/>
      </c>
      <c r="BB13" t="str">
        <f t="shared" si="30"/>
        <v/>
      </c>
      <c r="BC13" t="str">
        <f t="shared" si="31"/>
        <v/>
      </c>
      <c r="BD13" t="str">
        <f t="shared" si="32"/>
        <v/>
      </c>
      <c r="BE13" t="str">
        <f t="shared" si="33"/>
        <v/>
      </c>
      <c r="BF13" t="str">
        <f t="shared" si="34"/>
        <v/>
      </c>
      <c r="BG13" t="str">
        <f t="shared" si="35"/>
        <v/>
      </c>
      <c r="BH13" t="str">
        <f t="shared" si="36"/>
        <v/>
      </c>
      <c r="BI13" t="str">
        <f t="shared" si="37"/>
        <v/>
      </c>
      <c r="BJ13" t="str">
        <f t="shared" si="38"/>
        <v/>
      </c>
      <c r="BK13" t="str">
        <f t="shared" si="39"/>
        <v/>
      </c>
      <c r="BL13" t="str">
        <f t="shared" si="40"/>
        <v/>
      </c>
      <c r="BM13" t="str">
        <f t="shared" si="41"/>
        <v/>
      </c>
      <c r="BN13" t="str">
        <f t="shared" si="42"/>
        <v/>
      </c>
      <c r="BO13" t="str">
        <f t="shared" si="43"/>
        <v/>
      </c>
      <c r="BP13" t="str">
        <f t="shared" si="44"/>
        <v/>
      </c>
      <c r="BQ13" t="str">
        <f t="shared" si="45"/>
        <v/>
      </c>
      <c r="BR13" t="str">
        <f t="shared" si="46"/>
        <v/>
      </c>
      <c r="BS13" t="str">
        <f t="shared" si="47"/>
        <v/>
      </c>
      <c r="BT13" t="str">
        <f t="shared" si="48"/>
        <v/>
      </c>
      <c r="BU13" t="str">
        <f t="shared" si="49"/>
        <v/>
      </c>
      <c r="BV13" t="str">
        <f t="shared" si="50"/>
        <v/>
      </c>
      <c r="BW13" t="str">
        <f t="shared" si="51"/>
        <v/>
      </c>
      <c r="BX13" t="str">
        <f t="shared" si="52"/>
        <v/>
      </c>
      <c r="BY13" t="str">
        <f t="shared" si="53"/>
        <v/>
      </c>
      <c r="BZ13" t="str">
        <f t="shared" si="54"/>
        <v/>
      </c>
      <c r="CA13" t="str">
        <f t="shared" si="55"/>
        <v/>
      </c>
      <c r="CB13" t="str">
        <f t="shared" si="56"/>
        <v/>
      </c>
      <c r="CC13" t="str">
        <f t="shared" si="57"/>
        <v/>
      </c>
      <c r="CD13" t="str">
        <f t="shared" si="58"/>
        <v/>
      </c>
      <c r="CE13" t="str">
        <f t="shared" si="59"/>
        <v/>
      </c>
      <c r="CF13" t="str">
        <f t="shared" si="60"/>
        <v/>
      </c>
      <c r="CG13" t="str">
        <f t="shared" si="61"/>
        <v/>
      </c>
      <c r="CH13" t="str">
        <f t="shared" si="62"/>
        <v/>
      </c>
      <c r="CI13" t="str">
        <f t="shared" si="63"/>
        <v/>
      </c>
      <c r="CJ13" t="str">
        <f>IF($CI13="","",IF(OR($DW13="",$DX13=""),"ONZEKER",IF(OR($CF13="",$CG13=""),"ONZEKER",IF(AND($DW13=$CF13+1,$DX13=$CG13),IF(OR(COUNTIF(#REF!,$B13)&gt;0,COUNTIF(#REF!,$B13)=0),"SKIP",IF(COUNTIFS(#REF!,$B13,#REF!,$CI13)&gt;0,"OK","ONBEKEND")),IF(AND($DW13=$CF13,$DX13=$CG13+1),IF(OR(COUNTIF(#REF!,$D13)&gt;0,COUNTIF(#REF!,$D13)=0),"SKIP",IF(COUNTIFS(#REF!,$D13,#REF!,$CI13)&gt;0,"OK","ONBEKEND")),"ONZEKER")))))</f>
        <v/>
      </c>
      <c r="CK13" t="str">
        <f t="shared" si="64"/>
        <v/>
      </c>
      <c r="CL13" t="str">
        <f t="shared" si="65"/>
        <v/>
      </c>
      <c r="CM13" t="str">
        <f>IF($CL13="","",IF(OR($DZ13="",$EA13=""),"ONZEKER",IF(OR($DW13="",$DX13=""),"ONZEKER",IF(AND($DZ13=$DW13+1,$EA13=$DX13),IF(OR(COUNTIF(#REF!,$B13)&gt;0,COUNTIF(#REF!,$B13)=0),"SKIP",IF(COUNTIFS(#REF!,$B13,#REF!,$CL13)&gt;0,"OK","ONBEKEND")),IF(AND($DZ13=$DW13,$EA13=$DX13+1),IF(OR(COUNTIF(#REF!,$D13)&gt;0,COUNTIF(#REF!,$D13)=0),"SKIP",IF(COUNTIFS(#REF!,$D13,#REF!,$CL13)&gt;0,"OK","ONBEKEND")),"ONZEKER")))))</f>
        <v/>
      </c>
      <c r="CN13" t="str">
        <f t="shared" si="66"/>
        <v/>
      </c>
      <c r="CO13" t="str">
        <f t="shared" si="67"/>
        <v/>
      </c>
      <c r="CP13" t="str">
        <f>IF($CO13="","",IF(OR($EC13="",$ED13=""),"ONZEKER",IF(OR($DZ13="",$EA13=""),"ONZEKER",IF(AND($EC13=$DZ13+1,$ED13=$EA13),IF(OR(COUNTIF(#REF!,$B13)&gt;0,COUNTIF(#REF!,$B13)=0),"SKIP",IF(COUNTIFS(#REF!,$B13,#REF!,$CO13)&gt;0,"OK","ONBEKEND")),IF(AND($EC13=$DZ13,$ED13=$EA13+1),IF(OR(COUNTIF(#REF!,$D13)&gt;0,COUNTIF(#REF!,$D13)=0),"SKIP",IF(COUNTIFS(#REF!,$D13,#REF!,$CO13)&gt;0,"OK","ONBEKEND")),"ONZEKER")))))</f>
        <v/>
      </c>
      <c r="CQ13" t="str">
        <f t="shared" si="68"/>
        <v/>
      </c>
      <c r="CR13" t="str">
        <f t="shared" si="69"/>
        <v/>
      </c>
      <c r="CS13" t="str">
        <f>IF($CR13="","",IF(OR($EF13="",$EG13=""),"ONZEKER",IF(OR($EC13="",$ED13=""),"ONZEKER",IF(AND($EF13=$EC13+1,$EG13=$ED13),IF(OR(COUNTIF(#REF!,$B13)&gt;0,COUNTIF(#REF!,$B13)=0),"SKIP",IF(COUNTIFS(#REF!,$B13,#REF!,$CR13)&gt;0,"OK","ONBEKEND")),IF(AND($EF13=$EC13,$EG13=$ED13+1),IF(OR(COUNTIF(#REF!,$D13)&gt;0,COUNTIF(#REF!,$D13)=0),"SKIP",IF(COUNTIFS(#REF!,$D13,#REF!,$CR13)&gt;0,"OK","ONBEKEND")),"ONZEKER")))))</f>
        <v/>
      </c>
      <c r="CT13" t="str">
        <f t="shared" si="70"/>
        <v/>
      </c>
      <c r="CU13" t="str">
        <f t="shared" si="71"/>
        <v/>
      </c>
      <c r="CV13" t="str">
        <f>IF($CU13="","",IF(OR($EI13="",$EJ13=""),"ONZEKER",IF(OR($EF13="",$EG13=""),"ONZEKER",IF(AND($EI13=$EF13+1,$EJ13=$EG13),IF(OR(COUNTIF(#REF!,$B13)&gt;0,COUNTIF(#REF!,$B13)=0),"SKIP",IF(COUNTIFS(#REF!,$B13,#REF!,$CU13)&gt;0,"OK","ONBEKEND")),IF(AND($EI13=$EF13,$EJ13=$EG13+1),IF(OR(COUNTIF(#REF!,$D13)&gt;0,COUNTIF(#REF!,$D13)=0),"SKIP",IF(COUNTIFS(#REF!,$D13,#REF!,$CU13)&gt;0,"OK","ONBEKEND")),"ONZEKER")))))</f>
        <v/>
      </c>
      <c r="CW13" t="str">
        <f t="shared" si="72"/>
        <v/>
      </c>
      <c r="CX13" t="str">
        <f t="shared" si="73"/>
        <v/>
      </c>
      <c r="CY13" t="str">
        <f>IF($CX13="","",IF(OR($EL13="",$EM13=""),"ONZEKER",IF(OR($EI13="",$EJ13=""),"ONZEKER",IF(AND($EL13=$EI13+1,$EM13=$EJ13),IF(OR(COUNTIF(#REF!,$B13)&gt;0,COUNTIF(#REF!,$B13)=0),"SKIP",IF(COUNTIFS(#REF!,$B13,#REF!,$CX13)&gt;0,"OK","ONBEKEND")),IF(AND($EL13=$EI13,$EM13=$EJ13+1),IF(OR(COUNTIF(#REF!,$D13)&gt;0,COUNTIF(#REF!,$D13)=0),"SKIP",IF(COUNTIFS(#REF!,$D13,#REF!,$CX13)&gt;0,"OK","ONBEKEND")),"ONZEKER")))))</f>
        <v/>
      </c>
      <c r="CZ13" t="str">
        <f t="shared" si="74"/>
        <v/>
      </c>
      <c r="DA13" t="str">
        <f t="shared" si="75"/>
        <v/>
      </c>
      <c r="DB13" t="str">
        <f>IF($DA13="","",IF(OR($EO13="",$EP13=""),"ONZEKER",IF(OR($EL13="",$EM13=""),"ONZEKER",IF(AND($EO13=$EL13+1,$EP13=$EM13),IF(OR(COUNTIF(#REF!,$B13)&gt;0,COUNTIF(#REF!,$B13)=0),"SKIP",IF(COUNTIFS(#REF!,$B13,#REF!,$DA13)&gt;0,"OK","ONBEKEND")),IF(AND($EO13=$EL13,$EP13=$EM13+1),IF(OR(COUNTIF(#REF!,$D13)&gt;0,COUNTIF(#REF!,$D13)=0),"SKIP",IF(COUNTIFS(#REF!,$D13,#REF!,$DA13)&gt;0,"OK","ONBEKEND")),"ONZEKER")))))</f>
        <v/>
      </c>
      <c r="DC13" t="str">
        <f t="shared" si="76"/>
        <v/>
      </c>
      <c r="DD13" t="str">
        <f t="shared" si="77"/>
        <v/>
      </c>
      <c r="DE13" t="str">
        <f>IF($DD13="","",IF(OR($ER13="",$ES13=""),"ONZEKER",IF(OR($EO13="",$EP13=""),"ONZEKER",IF(AND($ER13=$EO13+1,$ES13=$EP13),IF(OR(COUNTIF(#REF!,$B13)&gt;0,COUNTIF(#REF!,$B13)=0),"SKIP",IF(COUNTIFS(#REF!,$B13,#REF!,$DD13)&gt;0,"OK","ONBEKEND")),IF(AND($ER13=$EO13,$ES13=$EP13+1),IF(OR(COUNTIF(#REF!,$D13)&gt;0,COUNTIF(#REF!,$D13)=0),"SKIP",IF(COUNTIFS(#REF!,$D13,#REF!,$DD13)&gt;0,"OK","ONBEKEND")),"ONZEKER")))))</f>
        <v/>
      </c>
      <c r="DF13" t="str">
        <f t="shared" si="78"/>
        <v/>
      </c>
      <c r="DG13" t="str">
        <f t="shared" si="79"/>
        <v/>
      </c>
      <c r="DH13" t="str">
        <f>IF($DG13="","",IF(OR($EU13="",$EV13=""),"ONZEKER",IF(OR($ER13="",$ES13=""),"ONZEKER",IF(AND($EU13=$ER13+1,$EV13=$ES13),IF(OR(COUNTIF(#REF!,$B13)&gt;0,COUNTIF(#REF!,$B13)=0),"SKIP",IF(COUNTIFS(#REF!,$B13,#REF!,$DG13)&gt;0,"OK","ONBEKEND")),IF(AND($EU13=$ER13,$EV13=$ES13+1),IF(OR(COUNTIF(#REF!,$D13)&gt;0,COUNTIF(#REF!,$D13)=0),"SKIP",IF(COUNTIFS(#REF!,$D13,#REF!,$DG13)&gt;0,"OK","ONBEKEND")),"ONZEKER")))))</f>
        <v/>
      </c>
      <c r="DI13" t="str">
        <f t="shared" si="80"/>
        <v/>
      </c>
      <c r="DJ13" t="str">
        <f t="shared" si="81"/>
        <v/>
      </c>
      <c r="DK13" t="str">
        <f>IF($DJ13="","",IF(OR($EX13="",$EY13=""),"ONZEKER",IF(OR($EU13="",$EV13=""),"ONZEKER",IF(AND($EX13=$EU13+1,$EY13=$EV13),IF(OR(COUNTIF(#REF!,$B13)&gt;0,COUNTIF(#REF!,$B13)=0),"SKIP",IF(COUNTIFS(#REF!,$B13,#REF!,$DJ13)&gt;0,"OK","ONBEKEND")),IF(AND($EX13=$EU13,$EY13=$EV13+1),IF(OR(COUNTIF(#REF!,$D13)&gt;0,COUNTIF(#REF!,$D13)=0),"SKIP",IF(COUNTIFS(#REF!,$D13,#REF!,$DJ13)&gt;0,"OK","ONBEKEND")),"ONZEKER")))))</f>
        <v/>
      </c>
      <c r="DL13" t="str">
        <f t="shared" si="82"/>
        <v/>
      </c>
      <c r="DM13" t="str">
        <f t="shared" si="83"/>
        <v/>
      </c>
      <c r="DN13" t="str">
        <f t="shared" si="84"/>
        <v/>
      </c>
      <c r="DO13" t="str">
        <f t="shared" si="85"/>
        <v/>
      </c>
      <c r="DP13" t="str">
        <f t="shared" si="86"/>
        <v/>
      </c>
      <c r="DQ13" t="str">
        <f t="shared" si="87"/>
        <v/>
      </c>
      <c r="DR13" t="str">
        <f t="shared" si="88"/>
        <v/>
      </c>
      <c r="DS13" t="str">
        <f t="shared" si="89"/>
        <v/>
      </c>
      <c r="DT13" t="str">
        <f t="shared" si="90"/>
        <v/>
      </c>
      <c r="DU13" t="str">
        <f t="shared" si="91"/>
        <v/>
      </c>
      <c r="DV13" t="str">
        <f t="shared" si="92"/>
        <v/>
      </c>
      <c r="DW13" t="str">
        <f t="shared" si="93"/>
        <v/>
      </c>
      <c r="DX13" t="str">
        <f t="shared" si="94"/>
        <v/>
      </c>
      <c r="DY13" t="str">
        <f t="shared" si="95"/>
        <v/>
      </c>
      <c r="DZ13" t="str">
        <f t="shared" si="96"/>
        <v/>
      </c>
      <c r="EA13" t="str">
        <f t="shared" si="97"/>
        <v/>
      </c>
      <c r="EB13" t="str">
        <f t="shared" si="98"/>
        <v/>
      </c>
      <c r="EC13" t="str">
        <f t="shared" si="99"/>
        <v/>
      </c>
      <c r="ED13" t="str">
        <f t="shared" si="100"/>
        <v/>
      </c>
      <c r="EE13" t="str">
        <f t="shared" si="101"/>
        <v/>
      </c>
      <c r="EF13" t="str">
        <f t="shared" si="102"/>
        <v/>
      </c>
      <c r="EG13" t="str">
        <f t="shared" si="103"/>
        <v/>
      </c>
      <c r="EH13" t="str">
        <f t="shared" si="104"/>
        <v/>
      </c>
      <c r="EI13" t="str">
        <f t="shared" si="105"/>
        <v/>
      </c>
      <c r="EJ13" t="str">
        <f t="shared" si="106"/>
        <v/>
      </c>
      <c r="EK13" t="str">
        <f t="shared" si="107"/>
        <v/>
      </c>
      <c r="EL13" t="str">
        <f t="shared" si="108"/>
        <v/>
      </c>
      <c r="EM13" t="str">
        <f t="shared" si="109"/>
        <v/>
      </c>
      <c r="EN13" t="str">
        <f t="shared" si="110"/>
        <v/>
      </c>
      <c r="EO13" t="str">
        <f t="shared" si="111"/>
        <v/>
      </c>
      <c r="EP13" t="str">
        <f t="shared" si="112"/>
        <v/>
      </c>
      <c r="EQ13" t="str">
        <f t="shared" si="113"/>
        <v/>
      </c>
      <c r="ER13" t="str">
        <f t="shared" si="114"/>
        <v/>
      </c>
      <c r="ES13" t="str">
        <f t="shared" si="115"/>
        <v/>
      </c>
      <c r="ET13" t="str">
        <f t="shared" si="116"/>
        <v/>
      </c>
      <c r="EU13" t="str">
        <f t="shared" si="117"/>
        <v/>
      </c>
      <c r="EV13" t="str">
        <f t="shared" si="118"/>
        <v/>
      </c>
      <c r="EW13" t="str">
        <f t="shared" si="119"/>
        <v/>
      </c>
      <c r="EX13" t="str">
        <f t="shared" si="120"/>
        <v/>
      </c>
      <c r="EY13" t="str">
        <f t="shared" si="121"/>
        <v/>
      </c>
    </row>
    <row r="14" spans="1:155" s="12" customFormat="1" ht="13.9" customHeight="1" x14ac:dyDescent="0.25">
      <c r="A14" s="14"/>
      <c r="B14" s="20" t="s">
        <v>148</v>
      </c>
      <c r="C14" s="21"/>
      <c r="D14" s="21"/>
      <c r="E14" s="21"/>
      <c r="F14" s="31" t="s">
        <v>1</v>
      </c>
      <c r="G14" s="33"/>
      <c r="H14" s="33"/>
      <c r="I14" s="32" t="s">
        <v>2</v>
      </c>
      <c r="J14" s="33"/>
      <c r="K14" s="33"/>
      <c r="L14" s="10" t="s">
        <v>3</v>
      </c>
      <c r="M14" s="11" t="s">
        <v>4</v>
      </c>
      <c r="N14" s="11" t="s">
        <v>5</v>
      </c>
      <c r="O14" s="11" t="s">
        <v>6</v>
      </c>
      <c r="P14" s="11" t="s">
        <v>7</v>
      </c>
      <c r="Q14" s="11" t="s">
        <v>8</v>
      </c>
      <c r="R14" s="11" t="str">
        <f>IF($Q14="","",IF(OR($BE14="",$BF14=""),"ONZEKER",IF(AND($BE14=0+1,$BF14=0),IF(OR(COUNTIF(#REF!,$B14)&gt;0,COUNTIF(#REF!,$B14)=0),"SKIP",IF(COUNTIFS(#REF!,$B14,#REF!,$Q14)&gt;0,"OK","ONBEKEND")),IF(AND($BE14=0,$BF14=0+1),IF(OR(COUNTIF(#REF!,$D14)&gt;0,COUNTIF(#REF!,$D14)=0),"SKIP",IF(COUNTIFS(#REF!,$D14,#REF!,$Q14)&gt;0,"OK","ONBEKEND")),"ONZEKER"))))</f>
        <v>ONZEKER</v>
      </c>
      <c r="S14" s="11" t="s">
        <v>10</v>
      </c>
      <c r="T14" s="11" t="s">
        <v>11</v>
      </c>
      <c r="U14" s="11" t="str">
        <f>IF($T14="","",IF(OR($BH14="",$BI14=""),"ONZEKER",IF(OR($BE14="",$BF14=""),"ONZEKER",IF(AND($BH14=$BE14+1,$BI14=$BF14),IF(OR(COUNTIF(#REF!,$B14)&gt;0,COUNTIF(#REF!,$B14)=0),"SKIP",IF(COUNTIFS(#REF!,$B14,#REF!,$T14)&gt;0,"OK","ONBEKEND")),IF(AND($BH14=$BE14,$BI14=$BF14+1),IF(OR(COUNTIF(#REF!,$D14)&gt;0,COUNTIF(#REF!,$D14)=0),"SKIP",IF(COUNTIFS(#REF!,$D14,#REF!,$T14)&gt;0,"OK","ONBEKEND")),"ONZEKER")))))</f>
        <v>ONZEKER</v>
      </c>
      <c r="V14" s="11" t="s">
        <v>13</v>
      </c>
      <c r="W14" s="11" t="s">
        <v>14</v>
      </c>
      <c r="X14" s="11" t="str">
        <f>IF($W14="","",IF(OR($BK14="",$BL14=""),"ONZEKER",IF(OR($BH14="",$BI14=""),"ONZEKER",IF(AND($BK14=$BH14+1,$BL14=$BI14),IF(OR(COUNTIF(#REF!,$B14)&gt;0,COUNTIF(#REF!,$B14)=0),"SKIP",IF(COUNTIFS(#REF!,$B14,#REF!,$W14)&gt;0,"OK","ONBEKEND")),IF(AND($BK14=$BH14,$BL14=$BI14+1),IF(OR(COUNTIF(#REF!,$D14)&gt;0,COUNTIF(#REF!,$D14)=0),"SKIP",IF(COUNTIFS(#REF!,$D14,#REF!,$W14)&gt;0,"OK","ONBEKEND")),"ONZEKER")))))</f>
        <v>ONZEKER</v>
      </c>
      <c r="Y14" s="11" t="s">
        <v>16</v>
      </c>
      <c r="Z14" s="11" t="s">
        <v>17</v>
      </c>
      <c r="AA14" s="11" t="str">
        <f>IF($Z14="","",IF(OR($BN14="",$BO14=""),"ONZEKER",IF(OR($BK14="",$BL14=""),"ONZEKER",IF(AND($BN14=$BK14+1,$BO14=$BL14),IF(OR(COUNTIF(#REF!,$B14)&gt;0,COUNTIF(#REF!,$B14)=0),"SKIP",IF(COUNTIFS(#REF!,$B14,#REF!,$Z14)&gt;0,"OK","ONBEKEND")),IF(AND($BN14=$BK14,$BO14=$BL14+1),IF(OR(COUNTIF(#REF!,$D14)&gt;0,COUNTIF(#REF!,$D14)=0),"SKIP",IF(COUNTIFS(#REF!,$D14,#REF!,$Z14)&gt;0,"OK","ONBEKEND")),"ONZEKER")))))</f>
        <v>ONZEKER</v>
      </c>
      <c r="AB14" s="11" t="s">
        <v>19</v>
      </c>
      <c r="AC14" s="11" t="s">
        <v>20</v>
      </c>
      <c r="AD14" s="11" t="str">
        <f>IF($AC14="","",IF(OR($BQ14="",$BR14=""),"ONZEKER",IF(OR($BN14="",$BO14=""),"ONZEKER",IF(AND($BQ14=$BN14+1,$BR14=$BO14),IF(OR(COUNTIF(#REF!,$B14)&gt;0,COUNTIF(#REF!,$B14)=0),"SKIP",IF(COUNTIFS(#REF!,$B14,#REF!,$AC14)&gt;0,"OK","ONBEKEND")),IF(AND($BQ14=$BN14,$BR14=$BO14+1),IF(OR(COUNTIF(#REF!,$D14)&gt;0,COUNTIF(#REF!,$D14)=0),"SKIP",IF(COUNTIFS(#REF!,$D14,#REF!,$AC14)&gt;0,"OK","ONBEKEND")),"ONZEKER")))))</f>
        <v>ONZEKER</v>
      </c>
      <c r="AE14" s="11" t="s">
        <v>22</v>
      </c>
      <c r="AF14" s="11" t="s">
        <v>23</v>
      </c>
      <c r="AG14" s="11" t="str">
        <f>IF($AF14="","",IF(OR($BT14="",$BU14=""),"ONZEKER",IF(OR($BQ14="",$BR14=""),"ONZEKER",IF(AND($BT14=$BQ14+1,$BU14=$BR14),IF(OR(COUNTIF(#REF!,$B14)&gt;0,COUNTIF(#REF!,$B14)=0),"SKIP",IF(COUNTIFS(#REF!,$B14,#REF!,$AF14)&gt;0,"OK","ONBEKEND")),IF(AND($BT14=$BQ14,$BU14=$BR14+1),IF(OR(COUNTIF(#REF!,$D14)&gt;0,COUNTIF(#REF!,$D14)=0),"SKIP",IF(COUNTIFS(#REF!,$D14,#REF!,$AF14)&gt;0,"OK","ONBEKEND")),"ONZEKER")))))</f>
        <v>ONZEKER</v>
      </c>
      <c r="AH14" s="11" t="s">
        <v>25</v>
      </c>
      <c r="AI14" s="11" t="s">
        <v>26</v>
      </c>
      <c r="AJ14" s="11" t="str">
        <f>IF($AI14="","",IF(OR($BW14="",$BX14=""),"ONZEKER",IF(OR($BT14="",$BU14=""),"ONZEKER",IF(AND($BW14=$BT14+1,$BX14=$BU14),IF(OR(COUNTIF(#REF!,$B14)&gt;0,COUNTIF(#REF!,$B14)=0),"SKIP",IF(COUNTIFS(#REF!,$B14,#REF!,$AI14)&gt;0,"OK","ONBEKEND")),IF(AND($BW14=$BT14,$BX14=$BU14+1),IF(OR(COUNTIF(#REF!,$D14)&gt;0,COUNTIF(#REF!,$D14)=0),"SKIP",IF(COUNTIFS(#REF!,$D14,#REF!,$AI14)&gt;0,"OK","ONBEKEND")),"ONZEKER")))))</f>
        <v>ONZEKER</v>
      </c>
      <c r="AK14" s="11" t="s">
        <v>28</v>
      </c>
      <c r="AL14" s="11" t="s">
        <v>29</v>
      </c>
      <c r="AM14" s="11" t="str">
        <f>IF($AL14="","",IF(OR($BZ14="",$CA14=""),"ONZEKER",IF(OR($BW14="",$BX14=""),"ONZEKER",IF(AND($BZ14=$BW14+1,$CA14=$BX14),IF(OR(COUNTIF(#REF!,$B14)&gt;0,COUNTIF(#REF!,$B14)=0),"SKIP",IF(COUNTIFS(#REF!,$B14,#REF!,$AL14)&gt;0,"OK","ONBEKEND")),IF(AND($BZ14=$BW14,$CA14=$BX14+1),IF(OR(COUNTIF(#REF!,$D14)&gt;0,COUNTIF(#REF!,$D14)=0),"SKIP",IF(COUNTIFS(#REF!,$D14,#REF!,$AL14)&gt;0,"OK","ONBEKEND")),"ONZEKER")))))</f>
        <v>ONZEKER</v>
      </c>
      <c r="AN14" s="11" t="s">
        <v>31</v>
      </c>
      <c r="AO14" s="11" t="s">
        <v>32</v>
      </c>
      <c r="AP14" s="11" t="str">
        <f>IF($AO14="","",IF(OR($CC14="",$CD14=""),"ONZEKER",IF(OR($BZ14="",$CA14=""),"ONZEKER",IF(AND($CC14=$BZ14+1,$CD14=$CA14),IF(OR(COUNTIF(#REF!,$B14)&gt;0,COUNTIF(#REF!,$B14)=0),"SKIP",IF(COUNTIFS(#REF!,$B14,#REF!,$AO14)&gt;0,"OK","ONBEKEND")),IF(AND($CC14=$BZ14,$CD14=$CA14+1),IF(OR(COUNTIF(#REF!,$D14)&gt;0,COUNTIF(#REF!,$D14)=0),"SKIP",IF(COUNTIFS(#REF!,$D14,#REF!,$AO14)&gt;0,"OK","ONBEKEND")),"ONZEKER")))))</f>
        <v>ONZEKER</v>
      </c>
      <c r="AQ14" s="11" t="s">
        <v>34</v>
      </c>
      <c r="AR14" s="11" t="s">
        <v>35</v>
      </c>
      <c r="AS14" s="11" t="str">
        <f>IF($AR14="","",IF(OR($CF14="",$CG14=""),"ONZEKER",IF(OR($CC14="",$CD14=""),"ONZEKER",IF(AND($CF14=$CC14+1,$CG14=$CD14),IF(OR(COUNTIF(#REF!,$B14)&gt;0,COUNTIF(#REF!,$B14)=0),"SKIP",IF(COUNTIFS(#REF!,$B14,#REF!,$AR14)&gt;0,"OK","ONBEKEND")),IF(AND($CF14=$CC14,$CG14=$CD14+1),IF(OR(COUNTIF(#REF!,$D14)&gt;0,COUNTIF(#REF!,$D14)=0),"SKIP",IF(COUNTIFS(#REF!,$D14,#REF!,$AR14)&gt;0,"OK","ONBEKEND")),"ONZEKER")))))</f>
        <v>ONZEKER</v>
      </c>
      <c r="AT14" s="11" t="s">
        <v>37</v>
      </c>
      <c r="AU14" s="11" t="s">
        <v>38</v>
      </c>
      <c r="AV14" s="11" t="s">
        <v>39</v>
      </c>
      <c r="AW14" s="11" t="s">
        <v>40</v>
      </c>
      <c r="AX14" s="11" t="s">
        <v>41</v>
      </c>
      <c r="AY14" s="11" t="s">
        <v>42</v>
      </c>
      <c r="AZ14" s="11" t="s">
        <v>43</v>
      </c>
      <c r="BA14" s="11" t="s">
        <v>44</v>
      </c>
      <c r="BB14" s="11" t="s">
        <v>45</v>
      </c>
      <c r="BC14" s="11" t="s">
        <v>46</v>
      </c>
      <c r="BD14" s="12" t="str">
        <f t="shared" si="32"/>
        <v/>
      </c>
      <c r="BE14" s="12" t="str">
        <f t="shared" si="33"/>
        <v/>
      </c>
      <c r="BF14" s="12" t="str">
        <f t="shared" si="34"/>
        <v/>
      </c>
      <c r="BG14" s="12" t="str">
        <f t="shared" si="35"/>
        <v/>
      </c>
      <c r="BH14" s="12" t="str">
        <f t="shared" si="36"/>
        <v/>
      </c>
      <c r="BI14" s="12" t="str">
        <f t="shared" si="37"/>
        <v/>
      </c>
      <c r="BJ14" s="12" t="str">
        <f t="shared" si="38"/>
        <v/>
      </c>
      <c r="BK14" s="12" t="str">
        <f t="shared" si="39"/>
        <v/>
      </c>
      <c r="BL14" s="12" t="str">
        <f t="shared" si="40"/>
        <v/>
      </c>
      <c r="BM14" s="12" t="str">
        <f t="shared" si="41"/>
        <v/>
      </c>
      <c r="BN14" s="12" t="str">
        <f t="shared" si="42"/>
        <v/>
      </c>
      <c r="BO14" s="12" t="str">
        <f t="shared" si="43"/>
        <v/>
      </c>
      <c r="BP14" s="12" t="str">
        <f t="shared" si="44"/>
        <v/>
      </c>
      <c r="BQ14" s="12" t="str">
        <f t="shared" si="45"/>
        <v/>
      </c>
      <c r="BR14" s="12" t="str">
        <f t="shared" si="46"/>
        <v/>
      </c>
      <c r="BS14" s="12" t="str">
        <f t="shared" si="47"/>
        <v/>
      </c>
      <c r="BT14" s="12" t="str">
        <f t="shared" si="48"/>
        <v/>
      </c>
      <c r="BU14" s="12" t="str">
        <f t="shared" si="49"/>
        <v/>
      </c>
      <c r="BV14" s="12" t="str">
        <f t="shared" si="50"/>
        <v/>
      </c>
      <c r="BW14" s="12" t="str">
        <f t="shared" si="51"/>
        <v/>
      </c>
      <c r="BX14" s="12" t="str">
        <f t="shared" si="52"/>
        <v/>
      </c>
      <c r="BY14" s="12" t="str">
        <f t="shared" si="53"/>
        <v/>
      </c>
      <c r="BZ14" s="12" t="str">
        <f t="shared" si="54"/>
        <v/>
      </c>
      <c r="CA14" s="12" t="str">
        <f t="shared" si="55"/>
        <v/>
      </c>
      <c r="CB14" s="12" t="str">
        <f t="shared" si="56"/>
        <v/>
      </c>
      <c r="CC14" s="12" t="str">
        <f t="shared" si="57"/>
        <v/>
      </c>
      <c r="CD14" s="12" t="str">
        <f t="shared" si="58"/>
        <v/>
      </c>
      <c r="CE14" s="12" t="str">
        <f t="shared" si="59"/>
        <v/>
      </c>
      <c r="CF14" s="12" t="str">
        <f t="shared" si="60"/>
        <v/>
      </c>
      <c r="CG14" s="12" t="str">
        <f t="shared" si="61"/>
        <v/>
      </c>
      <c r="CH14" s="2" t="s">
        <v>77</v>
      </c>
      <c r="CI14" s="2" t="s">
        <v>78</v>
      </c>
      <c r="CJ14" s="2" t="s">
        <v>79</v>
      </c>
      <c r="CK14" s="2" t="s">
        <v>80</v>
      </c>
      <c r="CL14" s="2" t="s">
        <v>81</v>
      </c>
      <c r="CM14" s="2" t="s">
        <v>82</v>
      </c>
      <c r="CN14" s="2" t="s">
        <v>83</v>
      </c>
      <c r="CO14" s="2" t="s">
        <v>84</v>
      </c>
      <c r="CP14" s="2" t="s">
        <v>85</v>
      </c>
      <c r="CQ14" s="2" t="s">
        <v>86</v>
      </c>
      <c r="CR14" s="2" t="s">
        <v>87</v>
      </c>
      <c r="CS14" s="2" t="s">
        <v>88</v>
      </c>
      <c r="CT14" s="2" t="s">
        <v>89</v>
      </c>
      <c r="CU14" s="2" t="s">
        <v>90</v>
      </c>
      <c r="CV14" s="2" t="s">
        <v>91</v>
      </c>
      <c r="CW14" s="2" t="s">
        <v>92</v>
      </c>
      <c r="CX14" s="2" t="s">
        <v>93</v>
      </c>
      <c r="CY14" s="2" t="s">
        <v>94</v>
      </c>
      <c r="CZ14" s="2" t="s">
        <v>95</v>
      </c>
      <c r="DA14" s="2" t="s">
        <v>96</v>
      </c>
      <c r="DB14" s="2" t="s">
        <v>97</v>
      </c>
      <c r="DC14" s="2" t="s">
        <v>98</v>
      </c>
      <c r="DD14" s="2" t="s">
        <v>99</v>
      </c>
      <c r="DE14" s="2" t="s">
        <v>100</v>
      </c>
      <c r="DF14" s="2" t="s">
        <v>101</v>
      </c>
      <c r="DG14" s="2" t="s">
        <v>102</v>
      </c>
      <c r="DH14" s="2" t="s">
        <v>103</v>
      </c>
      <c r="DI14" s="2" t="s">
        <v>104</v>
      </c>
      <c r="DJ14" s="2" t="s">
        <v>105</v>
      </c>
      <c r="DK14" s="2" t="s">
        <v>106</v>
      </c>
      <c r="DL14" s="2" t="s">
        <v>107</v>
      </c>
      <c r="DM14" s="2" t="s">
        <v>108</v>
      </c>
      <c r="DN14" s="2" t="s">
        <v>109</v>
      </c>
      <c r="DO14" s="2" t="s">
        <v>110</v>
      </c>
      <c r="DP14" s="2" t="s">
        <v>111</v>
      </c>
      <c r="DQ14" s="2" t="s">
        <v>112</v>
      </c>
      <c r="DR14" s="2" t="s">
        <v>113</v>
      </c>
      <c r="DS14" s="2" t="s">
        <v>114</v>
      </c>
      <c r="DT14" s="2" t="s">
        <v>115</v>
      </c>
      <c r="DU14" s="2" t="s">
        <v>116</v>
      </c>
      <c r="DV14" s="2" t="s">
        <v>117</v>
      </c>
      <c r="DW14" s="2" t="s">
        <v>118</v>
      </c>
      <c r="DX14" s="2" t="s">
        <v>119</v>
      </c>
      <c r="DY14" s="2" t="s">
        <v>120</v>
      </c>
      <c r="DZ14" s="2" t="s">
        <v>121</v>
      </c>
      <c r="EA14" s="2" t="s">
        <v>122</v>
      </c>
      <c r="EB14" s="2" t="s">
        <v>123</v>
      </c>
      <c r="EC14" s="2" t="s">
        <v>124</v>
      </c>
      <c r="ED14" s="2" t="s">
        <v>125</v>
      </c>
      <c r="EE14" s="2" t="s">
        <v>126</v>
      </c>
      <c r="EF14" s="2" t="s">
        <v>127</v>
      </c>
      <c r="EG14" s="2" t="s">
        <v>128</v>
      </c>
      <c r="EH14" s="2" t="s">
        <v>129</v>
      </c>
      <c r="EI14" s="2" t="s">
        <v>130</v>
      </c>
      <c r="EJ14" s="2" t="s">
        <v>131</v>
      </c>
      <c r="EK14" s="2" t="s">
        <v>132</v>
      </c>
      <c r="EL14" s="2" t="s">
        <v>133</v>
      </c>
      <c r="EM14" s="2" t="s">
        <v>134</v>
      </c>
      <c r="EN14" s="2" t="s">
        <v>135</v>
      </c>
      <c r="EO14" s="2" t="s">
        <v>136</v>
      </c>
      <c r="EP14" s="2" t="s">
        <v>137</v>
      </c>
      <c r="EQ14" s="2" t="s">
        <v>138</v>
      </c>
      <c r="ER14" s="2" t="s">
        <v>139</v>
      </c>
      <c r="ES14" s="2" t="s">
        <v>140</v>
      </c>
      <c r="ET14" s="2" t="s">
        <v>141</v>
      </c>
      <c r="EU14" s="2" t="s">
        <v>142</v>
      </c>
      <c r="EV14" s="2" t="s">
        <v>143</v>
      </c>
      <c r="EW14" s="2" t="s">
        <v>144</v>
      </c>
      <c r="EX14" s="2" t="s">
        <v>145</v>
      </c>
      <c r="EY14" s="2" t="s">
        <v>146</v>
      </c>
    </row>
    <row r="15" spans="1:155" ht="13.9" customHeight="1" x14ac:dyDescent="0.25">
      <c r="A15" s="7"/>
      <c r="B15" s="17"/>
      <c r="C15" s="8"/>
      <c r="D15" s="17"/>
      <c r="E15" s="8"/>
      <c r="F15" s="18">
        <v>0</v>
      </c>
      <c r="G15" s="7" t="s">
        <v>147</v>
      </c>
      <c r="H15" s="18">
        <v>0</v>
      </c>
      <c r="I15" s="19">
        <v>0</v>
      </c>
      <c r="J15" s="7" t="s">
        <v>147</v>
      </c>
      <c r="K15" s="19">
        <v>0</v>
      </c>
      <c r="L15" s="9"/>
      <c r="M15" s="3" t="str">
        <f>IF($L15="","",IF($L15="DOELPUNTENMAKERS","",IF(AND(COUNTIF(#REF!,$B15)=0,COUNTIF(#REF!,$D15)=0),"OK",IF($O15&gt;20,"LET OP: meer dan 20 items (controle onvolledig)",IF((COUNTIF($R15:$AS15,"ONZEKER")+COUNTIF($CJ15:$DK15,"ONZEKER"))&gt;0,"LET OP: scoreverloop onduidelijk (controle beperkt)",IF((IF($AT15&lt;&gt;"",$AT15&amp;", ","")&amp;IF($AU15&lt;&gt;"",$AU15&amp;", ","")&amp;IF($AV15&lt;&gt;"",$AV15&amp;", ","")&amp;IF($AW15&lt;&gt;"",$AW15&amp;", ","")&amp;IF($AX15&lt;&gt;"",$AX15&amp;", ","")&amp;IF($AY15&lt;&gt;"",$AY15&amp;", ","")&amp;IF($AZ15&lt;&gt;"",$AZ15&amp;", ","")&amp;IF($BA15&lt;&gt;"",$BA15&amp;", ","")&amp;IF($BB15&lt;&gt;"",$BB15&amp;", ","")&amp;IF($BC15&lt;&gt;"",$BC15&amp;", ","")&amp;IF($DL15&lt;&gt;"",$DL15&amp;", ","")&amp;IF($DM15&lt;&gt;"",$DM15&amp;", ","")&amp;IF($DN15&lt;&gt;"",$DN15&amp;", ","")&amp;IF($DO15&lt;&gt;"",$DO15&amp;", ","")&amp;IF($DP15&lt;&gt;"",$DP15&amp;", ","")&amp;IF($DQ15&lt;&gt;"",$DQ15&amp;", ","")&amp;IF($DR15&lt;&gt;"",$DR15&amp;", ","")&amp;IF($DS15&lt;&gt;"",$DS15&amp;", ","")&amp;IF($DT15&lt;&gt;"",$DT15&amp;", ","")&amp;IF($DU15&lt;&gt;"",$DU15&amp;", ",""))="","OK","Onbekend: "&amp;LEFT((IF($AT15&lt;&gt;"",$AT15&amp;", ","")&amp;IF($AU15&lt;&gt;"",$AU15&amp;", ","")&amp;IF($AV15&lt;&gt;"",$AV15&amp;", ","")&amp;IF($AW15&lt;&gt;"",$AW15&amp;", ","")&amp;IF($AX15&lt;&gt;"",$AX15&amp;", ","")&amp;IF($AY15&lt;&gt;"",$AY15&amp;", ","")&amp;IF($AZ15&lt;&gt;"",$AZ15&amp;", ","")&amp;IF($BA15&lt;&gt;"",$BA15&amp;", ","")&amp;IF($BB15&lt;&gt;"",$BB15&amp;", ","")&amp;IF($BC15&lt;&gt;"",$BC15&amp;", ","")&amp;IF($DL15&lt;&gt;"",$DL15&amp;", ","")&amp;IF($DM15&lt;&gt;"",$DM15&amp;", ","")&amp;IF($DN15&lt;&gt;"",$DN15&amp;", ","")&amp;IF($DO15&lt;&gt;"",$DO15&amp;", ","")&amp;IF($DP15&lt;&gt;"",$DP15&amp;", ","")&amp;IF($DQ15&lt;&gt;"",$DQ15&amp;", ","")&amp;IF($DR15&lt;&gt;"",$DR15&amp;", ","")&amp;IF($DS15&lt;&gt;"",$DS15&amp;", ","")&amp;IF($DT15&lt;&gt;"",$DT15&amp;", ","")&amp;IF($DU15&lt;&gt;"",$DU15&amp;", ","")),LEN((IF($AT15&lt;&gt;"",$AT15&amp;", ","")&amp;IF($AU15&lt;&gt;"",$AU15&amp;", ","")&amp;IF($AV15&lt;&gt;"",$AV15&amp;", ","")&amp;IF($AW15&lt;&gt;"",$AW15&amp;", ","")&amp;IF($AX15&lt;&gt;"",$AX15&amp;", ","")&amp;IF($AY15&lt;&gt;"",$AY15&amp;", ","")&amp;IF($AZ15&lt;&gt;"",$AZ15&amp;", ","")&amp;IF($BA15&lt;&gt;"",$BA15&amp;", ","")&amp;IF($BB15&lt;&gt;"",$BB15&amp;", ","")&amp;IF($BC15&lt;&gt;"",$BC15&amp;", ","")&amp;IF($DL15&lt;&gt;"",$DL15&amp;", ","")&amp;IF($DM15&lt;&gt;"",$DM15&amp;", ","")&amp;IF($DN15&lt;&gt;"",$DN15&amp;", ","")&amp;IF($DO15&lt;&gt;"",$DO15&amp;", ","")&amp;IF($DP15&lt;&gt;"",$DP15&amp;", ","")&amp;IF($DQ15&lt;&gt;"",$DQ15&amp;", ","")&amp;IF($DR15&lt;&gt;"",$DR15&amp;", ","")&amp;IF($DS15&lt;&gt;"",$DS15&amp;", ","")&amp;IF($DT15&lt;&gt;"",$DT15&amp;", ","")&amp;IF($DU15&lt;&gt;"",$DU15&amp;", ","")))-2)))))))</f>
        <v/>
      </c>
      <c r="N15" t="str">
        <f t="shared" ref="N15:N26" si="122">IF($L15="","",TRIM(IF(RIGHT(SUBSTITUTE($L15,CHAR(160)," "),1)=".",LEFT(SUBSTITUTE($L15,CHAR(160)," "),LEN(SUBSTITUTE($L15,CHAR(160)," "))-1),SUBSTITUTE($L15,CHAR(160)," "))))</f>
        <v/>
      </c>
      <c r="O15" t="str">
        <f t="shared" ref="O15:O26" si="123">IF($N15="","",LEN($N15)-LEN(SUBSTITUTE($N15,",",""))+1)</f>
        <v/>
      </c>
      <c r="P15" t="str">
        <f t="shared" ref="P15:P26" si="124">IF($N15="","",TRIM(MID(SUBSTITUTE($N15,",",REPT(" ",200)),1,200)))</f>
        <v/>
      </c>
      <c r="Q15" t="str">
        <f t="shared" ref="Q15:Q26" si="125">IF(P15="","",TRIM(IFERROR(LEFT(P15,FIND("§",SUBSTITUTE(P15," ","§",LEN(P15)-LEN(SUBSTITUTE(P15," ",""))))-1),P15)))</f>
        <v/>
      </c>
      <c r="R15" t="str">
        <f>IF($Q15="","",IF(OR($BE15="",$BF15=""),"ONZEKER",IF(AND($BE15=0+1,$BF15=0),IF(OR(COUNTIF(#REF!,$B15)&gt;0,COUNTIF(#REF!,$B15)=0),"SKIP",IF(COUNTIFS(#REF!,$B15,#REF!,$Q15)&gt;0,"OK","ONBEKEND")),IF(AND($BE15=0,$BF15=0+1),IF(OR(COUNTIF(#REF!,$D15)&gt;0,COUNTIF(#REF!,$D15)=0),"SKIP",IF(COUNTIFS(#REF!,$D15,#REF!,$Q15)&gt;0,"OK","ONBEKEND")),"ONZEKER"))))</f>
        <v/>
      </c>
      <c r="S15" t="str">
        <f t="shared" ref="S15:S26" si="126">IF($N15="","",TRIM(MID(SUBSTITUTE($N15,",",REPT(" ",200)),201,200)))</f>
        <v/>
      </c>
      <c r="T15" t="str">
        <f t="shared" ref="T15:T26" si="127">IF(S15="","",TRIM(IFERROR(LEFT(S15,FIND("§",SUBSTITUTE(S15," ","§",LEN(S15)-LEN(SUBSTITUTE(S15," ",""))))-1),S15)))</f>
        <v/>
      </c>
      <c r="U15" t="str">
        <f>IF($T15="","",IF(OR($BH15="",$BI15=""),"ONZEKER",IF(OR($BE15="",$BF15=""),"ONZEKER",IF(AND($BH15=$BE15+1,$BI15=$BF15),IF(OR(COUNTIF(#REF!,$B15)&gt;0,COUNTIF(#REF!,$B15)=0),"SKIP",IF(COUNTIFS(#REF!,$B15,#REF!,$T15)&gt;0,"OK","ONBEKEND")),IF(AND($BH15=$BE15,$BI15=$BF15+1),IF(OR(COUNTIF(#REF!,$D15)&gt;0,COUNTIF(#REF!,$D15)=0),"SKIP",IF(COUNTIFS(#REF!,$D15,#REF!,$T15)&gt;0,"OK","ONBEKEND")),"ONZEKER")))))</f>
        <v/>
      </c>
      <c r="V15" t="str">
        <f t="shared" ref="V15:V26" si="128">IF($N15="","",TRIM(MID(SUBSTITUTE($N15,",",REPT(" ",200)),401,200)))</f>
        <v/>
      </c>
      <c r="W15" t="str">
        <f t="shared" ref="W15:W26" si="129">IF(V15="","",TRIM(IFERROR(LEFT(V15,FIND("§",SUBSTITUTE(V15," ","§",LEN(V15)-LEN(SUBSTITUTE(V15," ",""))))-1),V15)))</f>
        <v/>
      </c>
      <c r="X15" t="str">
        <f>IF($W15="","",IF(OR($BK15="",$BL15=""),"ONZEKER",IF(OR($BH15="",$BI15=""),"ONZEKER",IF(AND($BK15=$BH15+1,$BL15=$BI15),IF(OR(COUNTIF(#REF!,$B15)&gt;0,COUNTIF(#REF!,$B15)=0),"SKIP",IF(COUNTIFS(#REF!,$B15,#REF!,$W15)&gt;0,"OK","ONBEKEND")),IF(AND($BK15=$BH15,$BL15=$BI15+1),IF(OR(COUNTIF(#REF!,$D15)&gt;0,COUNTIF(#REF!,$D15)=0),"SKIP",IF(COUNTIFS(#REF!,$D15,#REF!,$W15)&gt;0,"OK","ONBEKEND")),"ONZEKER")))))</f>
        <v/>
      </c>
      <c r="Y15" t="str">
        <f t="shared" ref="Y15:Y26" si="130">IF($N15="","",TRIM(MID(SUBSTITUTE($N15,",",REPT(" ",200)),601,200)))</f>
        <v/>
      </c>
      <c r="Z15" t="str">
        <f t="shared" ref="Z15:Z26" si="131">IF(Y15="","",TRIM(IFERROR(LEFT(Y15,FIND("§",SUBSTITUTE(Y15," ","§",LEN(Y15)-LEN(SUBSTITUTE(Y15," ",""))))-1),Y15)))</f>
        <v/>
      </c>
      <c r="AA15" t="str">
        <f>IF($Z15="","",IF(OR($BN15="",$BO15=""),"ONZEKER",IF(OR($BK15="",$BL15=""),"ONZEKER",IF(AND($BN15=$BK15+1,$BO15=$BL15),IF(OR(COUNTIF(#REF!,$B15)&gt;0,COUNTIF(#REF!,$B15)=0),"SKIP",IF(COUNTIFS(#REF!,$B15,#REF!,$Z15)&gt;0,"OK","ONBEKEND")),IF(AND($BN15=$BK15,$BO15=$BL15+1),IF(OR(COUNTIF(#REF!,$D15)&gt;0,COUNTIF(#REF!,$D15)=0),"SKIP",IF(COUNTIFS(#REF!,$D15,#REF!,$Z15)&gt;0,"OK","ONBEKEND")),"ONZEKER")))))</f>
        <v/>
      </c>
      <c r="AB15" t="str">
        <f t="shared" ref="AB15:AB26" si="132">IF($N15="","",TRIM(MID(SUBSTITUTE($N15,",",REPT(" ",200)),801,200)))</f>
        <v/>
      </c>
      <c r="AC15" t="str">
        <f t="shared" ref="AC15:AC26" si="133">IF(AB15="","",TRIM(IFERROR(LEFT(AB15,FIND("§",SUBSTITUTE(AB15," ","§",LEN(AB15)-LEN(SUBSTITUTE(AB15," ",""))))-1),AB15)))</f>
        <v/>
      </c>
      <c r="AD15" t="str">
        <f>IF($AC15="","",IF(OR($BQ15="",$BR15=""),"ONZEKER",IF(OR($BN15="",$BO15=""),"ONZEKER",IF(AND($BQ15=$BN15+1,$BR15=$BO15),IF(OR(COUNTIF(#REF!,$B15)&gt;0,COUNTIF(#REF!,$B15)=0),"SKIP",IF(COUNTIFS(#REF!,$B15,#REF!,$AC15)&gt;0,"OK","ONBEKEND")),IF(AND($BQ15=$BN15,$BR15=$BO15+1),IF(OR(COUNTIF(#REF!,$D15)&gt;0,COUNTIF(#REF!,$D15)=0),"SKIP",IF(COUNTIFS(#REF!,$D15,#REF!,$AC15)&gt;0,"OK","ONBEKEND")),"ONZEKER")))))</f>
        <v/>
      </c>
      <c r="AE15" t="str">
        <f t="shared" ref="AE15:AE26" si="134">IF($N15="","",TRIM(MID(SUBSTITUTE($N15,",",REPT(" ",200)),1001,200)))</f>
        <v/>
      </c>
      <c r="AF15" t="str">
        <f t="shared" ref="AF15:AF26" si="135">IF(AE15="","",TRIM(IFERROR(LEFT(AE15,FIND("§",SUBSTITUTE(AE15," ","§",LEN(AE15)-LEN(SUBSTITUTE(AE15," ",""))))-1),AE15)))</f>
        <v/>
      </c>
      <c r="AG15" t="str">
        <f>IF($AF15="","",IF(OR($BT15="",$BU15=""),"ONZEKER",IF(OR($BQ15="",$BR15=""),"ONZEKER",IF(AND($BT15=$BQ15+1,$BU15=$BR15),IF(OR(COUNTIF(#REF!,$B15)&gt;0,COUNTIF(#REF!,$B15)=0),"SKIP",IF(COUNTIFS(#REF!,$B15,#REF!,$AF15)&gt;0,"OK","ONBEKEND")),IF(AND($BT15=$BQ15,$BU15=$BR15+1),IF(OR(COUNTIF(#REF!,$D15)&gt;0,COUNTIF(#REF!,$D15)=0),"SKIP",IF(COUNTIFS(#REF!,$D15,#REF!,$AF15)&gt;0,"OK","ONBEKEND")),"ONZEKER")))))</f>
        <v/>
      </c>
      <c r="AH15" t="str">
        <f t="shared" ref="AH15:AH26" si="136">IF($N15="","",TRIM(MID(SUBSTITUTE($N15,",",REPT(" ",200)),1201,200)))</f>
        <v/>
      </c>
      <c r="AI15" t="str">
        <f t="shared" ref="AI15:AI26" si="137">IF(AH15="","",TRIM(IFERROR(LEFT(AH15,FIND("§",SUBSTITUTE(AH15," ","§",LEN(AH15)-LEN(SUBSTITUTE(AH15," ",""))))-1),AH15)))</f>
        <v/>
      </c>
      <c r="AJ15" t="str">
        <f>IF($AI15="","",IF(OR($BW15="",$BX15=""),"ONZEKER",IF(OR($BT15="",$BU15=""),"ONZEKER",IF(AND($BW15=$BT15+1,$BX15=$BU15),IF(OR(COUNTIF(#REF!,$B15)&gt;0,COUNTIF(#REF!,$B15)=0),"SKIP",IF(COUNTIFS(#REF!,$B15,#REF!,$AI15)&gt;0,"OK","ONBEKEND")),IF(AND($BW15=$BT15,$BX15=$BU15+1),IF(OR(COUNTIF(#REF!,$D15)&gt;0,COUNTIF(#REF!,$D15)=0),"SKIP",IF(COUNTIFS(#REF!,$D15,#REF!,$AI15)&gt;0,"OK","ONBEKEND")),"ONZEKER")))))</f>
        <v/>
      </c>
      <c r="AK15" t="str">
        <f t="shared" ref="AK15:AK26" si="138">IF($N15="","",TRIM(MID(SUBSTITUTE($N15,",",REPT(" ",200)),1401,200)))</f>
        <v/>
      </c>
      <c r="AL15" t="str">
        <f t="shared" ref="AL15:AL26" si="139">IF(AK15="","",TRIM(IFERROR(LEFT(AK15,FIND("§",SUBSTITUTE(AK15," ","§",LEN(AK15)-LEN(SUBSTITUTE(AK15," ",""))))-1),AK15)))</f>
        <v/>
      </c>
      <c r="AM15" t="str">
        <f>IF($AL15="","",IF(OR($BZ15="",$CA15=""),"ONZEKER",IF(OR($BW15="",$BX15=""),"ONZEKER",IF(AND($BZ15=$BW15+1,$CA15=$BX15),IF(OR(COUNTIF(#REF!,$B15)&gt;0,COUNTIF(#REF!,$B15)=0),"SKIP",IF(COUNTIFS(#REF!,$B15,#REF!,$AL15)&gt;0,"OK","ONBEKEND")),IF(AND($BZ15=$BW15,$CA15=$BX15+1),IF(OR(COUNTIF(#REF!,$D15)&gt;0,COUNTIF(#REF!,$D15)=0),"SKIP",IF(COUNTIFS(#REF!,$D15,#REF!,$AL15)&gt;0,"OK","ONBEKEND")),"ONZEKER")))))</f>
        <v/>
      </c>
      <c r="AN15" t="str">
        <f t="shared" ref="AN15:AN26" si="140">IF($N15="","",TRIM(MID(SUBSTITUTE($N15,",",REPT(" ",200)),1601,200)))</f>
        <v/>
      </c>
      <c r="AO15" t="str">
        <f t="shared" ref="AO15:AO26" si="141">IF(AN15="","",TRIM(IFERROR(LEFT(AN15,FIND("§",SUBSTITUTE(AN15," ","§",LEN(AN15)-LEN(SUBSTITUTE(AN15," ",""))))-1),AN15)))</f>
        <v/>
      </c>
      <c r="AP15" t="str">
        <f>IF($AO15="","",IF(OR($CC15="",$CD15=""),"ONZEKER",IF(OR($BZ15="",$CA15=""),"ONZEKER",IF(AND($CC15=$BZ15+1,$CD15=$CA15),IF(OR(COUNTIF(#REF!,$B15)&gt;0,COUNTIF(#REF!,$B15)=0),"SKIP",IF(COUNTIFS(#REF!,$B15,#REF!,$AO15)&gt;0,"OK","ONBEKEND")),IF(AND($CC15=$BZ15,$CD15=$CA15+1),IF(OR(COUNTIF(#REF!,$D15)&gt;0,COUNTIF(#REF!,$D15)=0),"SKIP",IF(COUNTIFS(#REF!,$D15,#REF!,$AO15)&gt;0,"OK","ONBEKEND")),"ONZEKER")))))</f>
        <v/>
      </c>
      <c r="AQ15" t="str">
        <f t="shared" ref="AQ15:AQ26" si="142">IF($N15="","",TRIM(MID(SUBSTITUTE($N15,",",REPT(" ",200)),1801,200)))</f>
        <v/>
      </c>
      <c r="AR15" t="str">
        <f t="shared" ref="AR15:AR26" si="143">IF(AQ15="","",TRIM(IFERROR(LEFT(AQ15,FIND("§",SUBSTITUTE(AQ15," ","§",LEN(AQ15)-LEN(SUBSTITUTE(AQ15," ",""))))-1),AQ15)))</f>
        <v/>
      </c>
      <c r="AS15" t="str">
        <f>IF($AR15="","",IF(OR($CF15="",$CG15=""),"ONZEKER",IF(OR($CC15="",$CD15=""),"ONZEKER",IF(AND($CF15=$CC15+1,$CG15=$CD15),IF(OR(COUNTIF(#REF!,$B15)&gt;0,COUNTIF(#REF!,$B15)=0),"SKIP",IF(COUNTIFS(#REF!,$B15,#REF!,$AR15)&gt;0,"OK","ONBEKEND")),IF(AND($CF15=$CC15,$CG15=$CD15+1),IF(OR(COUNTIF(#REF!,$D15)&gt;0,COUNTIF(#REF!,$D15)=0),"SKIP",IF(COUNTIFS(#REF!,$D15,#REF!,$AR15)&gt;0,"OK","ONBEKEND")),"ONZEKER")))))</f>
        <v/>
      </c>
      <c r="AT15" t="str">
        <f t="shared" ref="AT15:AT26" si="144">IF(R15="ONBEKEND",Q15,"")</f>
        <v/>
      </c>
      <c r="AU15" t="str">
        <f t="shared" ref="AU15:AU26" si="145">IF(U15="ONBEKEND",T15,"")</f>
        <v/>
      </c>
      <c r="AV15" t="str">
        <f t="shared" ref="AV15:AV26" si="146">IF(X15="ONBEKEND",W15,"")</f>
        <v/>
      </c>
      <c r="AW15" t="str">
        <f t="shared" ref="AW15:AW26" si="147">IF(AA15="ONBEKEND",Z15,"")</f>
        <v/>
      </c>
      <c r="AX15" t="str">
        <f t="shared" ref="AX15:AX26" si="148">IF(AD15="ONBEKEND",AC15,"")</f>
        <v/>
      </c>
      <c r="AY15" t="str">
        <f t="shared" ref="AY15:AY26" si="149">IF(AG15="ONBEKEND",AF15,"")</f>
        <v/>
      </c>
      <c r="AZ15" t="str">
        <f t="shared" ref="AZ15:AZ26" si="150">IF(AJ15="ONBEKEND",AI15,"")</f>
        <v/>
      </c>
      <c r="BA15" t="str">
        <f t="shared" ref="BA15:BA26" si="151">IF(AM15="ONBEKEND",AL15,"")</f>
        <v/>
      </c>
      <c r="BB15" t="str">
        <f t="shared" ref="BB15:BB26" si="152">IF(AP15="ONBEKEND",AO15,"")</f>
        <v/>
      </c>
      <c r="BC15" t="str">
        <f t="shared" ref="BC15:BC26" si="153">IF(AS15="ONBEKEND",AR15,"")</f>
        <v/>
      </c>
      <c r="BD15" t="str">
        <f t="shared" si="32"/>
        <v/>
      </c>
      <c r="BE15" t="str">
        <f t="shared" si="33"/>
        <v/>
      </c>
      <c r="BF15" t="str">
        <f t="shared" si="34"/>
        <v/>
      </c>
      <c r="BG15" t="str">
        <f t="shared" si="35"/>
        <v/>
      </c>
      <c r="BH15" t="str">
        <f t="shared" si="36"/>
        <v/>
      </c>
      <c r="BI15" t="str">
        <f t="shared" si="37"/>
        <v/>
      </c>
      <c r="BJ15" t="str">
        <f t="shared" si="38"/>
        <v/>
      </c>
      <c r="BK15" t="str">
        <f t="shared" si="39"/>
        <v/>
      </c>
      <c r="BL15" t="str">
        <f t="shared" si="40"/>
        <v/>
      </c>
      <c r="BM15" t="str">
        <f t="shared" si="41"/>
        <v/>
      </c>
      <c r="BN15" t="str">
        <f t="shared" si="42"/>
        <v/>
      </c>
      <c r="BO15" t="str">
        <f t="shared" si="43"/>
        <v/>
      </c>
      <c r="BP15" t="str">
        <f t="shared" si="44"/>
        <v/>
      </c>
      <c r="BQ15" t="str">
        <f t="shared" si="45"/>
        <v/>
      </c>
      <c r="BR15" t="str">
        <f t="shared" si="46"/>
        <v/>
      </c>
      <c r="BS15" t="str">
        <f t="shared" si="47"/>
        <v/>
      </c>
      <c r="BT15" t="str">
        <f t="shared" si="48"/>
        <v/>
      </c>
      <c r="BU15" t="str">
        <f t="shared" si="49"/>
        <v/>
      </c>
      <c r="BV15" t="str">
        <f t="shared" si="50"/>
        <v/>
      </c>
      <c r="BW15" t="str">
        <f t="shared" si="51"/>
        <v/>
      </c>
      <c r="BX15" t="str">
        <f t="shared" si="52"/>
        <v/>
      </c>
      <c r="BY15" t="str">
        <f t="shared" si="53"/>
        <v/>
      </c>
      <c r="BZ15" t="str">
        <f t="shared" si="54"/>
        <v/>
      </c>
      <c r="CA15" t="str">
        <f t="shared" si="55"/>
        <v/>
      </c>
      <c r="CB15" t="str">
        <f t="shared" si="56"/>
        <v/>
      </c>
      <c r="CC15" t="str">
        <f t="shared" si="57"/>
        <v/>
      </c>
      <c r="CD15" t="str">
        <f t="shared" si="58"/>
        <v/>
      </c>
      <c r="CE15" t="str">
        <f t="shared" si="59"/>
        <v/>
      </c>
      <c r="CF15" t="str">
        <f t="shared" si="60"/>
        <v/>
      </c>
      <c r="CG15" t="str">
        <f t="shared" si="61"/>
        <v/>
      </c>
      <c r="CH15" t="str">
        <f t="shared" ref="CH15:CH26" si="154">IF($N15="","",TRIM(MID(SUBSTITUTE($N15,",",REPT(" ",200)),2001,200)))</f>
        <v/>
      </c>
      <c r="CI15" t="str">
        <f t="shared" ref="CI15:CI26" si="155">IF(CH15="","",TRIM(IFERROR(LEFT(CH15,FIND("§",SUBSTITUTE(CH15," ","§",LEN(CH15)-LEN(SUBSTITUTE(CH15," ",""))))-1),CH15)))</f>
        <v/>
      </c>
      <c r="CJ15" t="str">
        <f>IF($CI15="","",IF(OR($DW15="",$DX15=""),"ONZEKER",IF(OR($CF15="",$CG15=""),"ONZEKER",IF(AND($DW15=$CF15+1,$DX15=$CG15),IF(OR(COUNTIF(#REF!,$B15)&gt;0,COUNTIF(#REF!,$B15)=0),"SKIP",IF(COUNTIFS(#REF!,$B15,#REF!,$CI15)&gt;0,"OK","ONBEKEND")),IF(AND($DW15=$CF15,$DX15=$CG15+1),IF(OR(COUNTIF(#REF!,$D15)&gt;0,COUNTIF(#REF!,$D15)=0),"SKIP",IF(COUNTIFS(#REF!,$D15,#REF!,$CI15)&gt;0,"OK","ONBEKEND")),"ONZEKER")))))</f>
        <v/>
      </c>
      <c r="CK15" t="str">
        <f t="shared" ref="CK15:CK26" si="156">IF($N15="","",TRIM(MID(SUBSTITUTE($N15,",",REPT(" ",200)),2201,200)))</f>
        <v/>
      </c>
      <c r="CL15" t="str">
        <f t="shared" ref="CL15:CL26" si="157">IF(CK15="","",TRIM(IFERROR(LEFT(CK15,FIND("§",SUBSTITUTE(CK15," ","§",LEN(CK15)-LEN(SUBSTITUTE(CK15," ",""))))-1),CK15)))</f>
        <v/>
      </c>
      <c r="CM15" t="str">
        <f>IF($CL15="","",IF(OR($DZ15="",$EA15=""),"ONZEKER",IF(OR($DW15="",$DX15=""),"ONZEKER",IF(AND($DZ15=$DW15+1,$EA15=$DX15),IF(OR(COUNTIF(#REF!,$B15)&gt;0,COUNTIF(#REF!,$B15)=0),"SKIP",IF(COUNTIFS(#REF!,$B15,#REF!,$CL15)&gt;0,"OK","ONBEKEND")),IF(AND($DZ15=$DW15,$EA15=$DX15+1),IF(OR(COUNTIF(#REF!,$D15)&gt;0,COUNTIF(#REF!,$D15)=0),"SKIP",IF(COUNTIFS(#REF!,$D15,#REF!,$CL15)&gt;0,"OK","ONBEKEND")),"ONZEKER")))))</f>
        <v/>
      </c>
      <c r="CN15" t="str">
        <f t="shared" ref="CN15:CN26" si="158">IF($N15="","",TRIM(MID(SUBSTITUTE($N15,",",REPT(" ",200)),2401,200)))</f>
        <v/>
      </c>
      <c r="CO15" t="str">
        <f t="shared" ref="CO15:CO26" si="159">IF(CN15="","",TRIM(IFERROR(LEFT(CN15,FIND("§",SUBSTITUTE(CN15," ","§",LEN(CN15)-LEN(SUBSTITUTE(CN15," ",""))))-1),CN15)))</f>
        <v/>
      </c>
      <c r="CP15" t="str">
        <f>IF($CO15="","",IF(OR($EC15="",$ED15=""),"ONZEKER",IF(OR($DZ15="",$EA15=""),"ONZEKER",IF(AND($EC15=$DZ15+1,$ED15=$EA15),IF(OR(COUNTIF(#REF!,$B15)&gt;0,COUNTIF(#REF!,$B15)=0),"SKIP",IF(COUNTIFS(#REF!,$B15,#REF!,$CO15)&gt;0,"OK","ONBEKEND")),IF(AND($EC15=$DZ15,$ED15=$EA15+1),IF(OR(COUNTIF(#REF!,$D15)&gt;0,COUNTIF(#REF!,$D15)=0),"SKIP",IF(COUNTIFS(#REF!,$D15,#REF!,$CO15)&gt;0,"OK","ONBEKEND")),"ONZEKER")))))</f>
        <v/>
      </c>
      <c r="CQ15" t="str">
        <f t="shared" ref="CQ15:CQ26" si="160">IF($N15="","",TRIM(MID(SUBSTITUTE($N15,",",REPT(" ",200)),2601,200)))</f>
        <v/>
      </c>
      <c r="CR15" t="str">
        <f t="shared" ref="CR15:CR26" si="161">IF(CQ15="","",TRIM(IFERROR(LEFT(CQ15,FIND("§",SUBSTITUTE(CQ15," ","§",LEN(CQ15)-LEN(SUBSTITUTE(CQ15," ",""))))-1),CQ15)))</f>
        <v/>
      </c>
      <c r="CS15" t="str">
        <f>IF($CR15="","",IF(OR($EF15="",$EG15=""),"ONZEKER",IF(OR($EC15="",$ED15=""),"ONZEKER",IF(AND($EF15=$EC15+1,$EG15=$ED15),IF(OR(COUNTIF(#REF!,$B15)&gt;0,COUNTIF(#REF!,$B15)=0),"SKIP",IF(COUNTIFS(#REF!,$B15,#REF!,$CR15)&gt;0,"OK","ONBEKEND")),IF(AND($EF15=$EC15,$EG15=$ED15+1),IF(OR(COUNTIF(#REF!,$D15)&gt;0,COUNTIF(#REF!,$D15)=0),"SKIP",IF(COUNTIFS(#REF!,$D15,#REF!,$CR15)&gt;0,"OK","ONBEKEND")),"ONZEKER")))))</f>
        <v/>
      </c>
      <c r="CT15" t="str">
        <f t="shared" ref="CT15:CT26" si="162">IF($N15="","",TRIM(MID(SUBSTITUTE($N15,",",REPT(" ",200)),2801,200)))</f>
        <v/>
      </c>
      <c r="CU15" t="str">
        <f t="shared" ref="CU15:CU26" si="163">IF(CT15="","",TRIM(IFERROR(LEFT(CT15,FIND("§",SUBSTITUTE(CT15," ","§",LEN(CT15)-LEN(SUBSTITUTE(CT15," ",""))))-1),CT15)))</f>
        <v/>
      </c>
      <c r="CV15" t="str">
        <f>IF($CU15="","",IF(OR($EI15="",$EJ15=""),"ONZEKER",IF(OR($EF15="",$EG15=""),"ONZEKER",IF(AND($EI15=$EF15+1,$EJ15=$EG15),IF(OR(COUNTIF(#REF!,$B15)&gt;0,COUNTIF(#REF!,$B15)=0),"SKIP",IF(COUNTIFS(#REF!,$B15,#REF!,$CU15)&gt;0,"OK","ONBEKEND")),IF(AND($EI15=$EF15,$EJ15=$EG15+1),IF(OR(COUNTIF(#REF!,$D15)&gt;0,COUNTIF(#REF!,$D15)=0),"SKIP",IF(COUNTIFS(#REF!,$D15,#REF!,$CU15)&gt;0,"OK","ONBEKEND")),"ONZEKER")))))</f>
        <v/>
      </c>
      <c r="CW15" t="str">
        <f t="shared" ref="CW15:CW26" si="164">IF($N15="","",TRIM(MID(SUBSTITUTE($N15,",",REPT(" ",200)),3001,200)))</f>
        <v/>
      </c>
      <c r="CX15" t="str">
        <f t="shared" ref="CX15:CX26" si="165">IF(CW15="","",TRIM(IFERROR(LEFT(CW15,FIND("§",SUBSTITUTE(CW15," ","§",LEN(CW15)-LEN(SUBSTITUTE(CW15," ",""))))-1),CW15)))</f>
        <v/>
      </c>
      <c r="CY15" t="str">
        <f>IF($CX15="","",IF(OR($EL15="",$EM15=""),"ONZEKER",IF(OR($EI15="",$EJ15=""),"ONZEKER",IF(AND($EL15=$EI15+1,$EM15=$EJ15),IF(OR(COUNTIF(#REF!,$B15)&gt;0,COUNTIF(#REF!,$B15)=0),"SKIP",IF(COUNTIFS(#REF!,$B15,#REF!,$CX15)&gt;0,"OK","ONBEKEND")),IF(AND($EL15=$EI15,$EM15=$EJ15+1),IF(OR(COUNTIF(#REF!,$D15)&gt;0,COUNTIF(#REF!,$D15)=0),"SKIP",IF(COUNTIFS(#REF!,$D15,#REF!,$CX15)&gt;0,"OK","ONBEKEND")),"ONZEKER")))))</f>
        <v/>
      </c>
      <c r="CZ15" t="str">
        <f t="shared" ref="CZ15:CZ26" si="166">IF($N15="","",TRIM(MID(SUBSTITUTE($N15,",",REPT(" ",200)),3201,200)))</f>
        <v/>
      </c>
      <c r="DA15" t="str">
        <f t="shared" ref="DA15:DA26" si="167">IF(CZ15="","",TRIM(IFERROR(LEFT(CZ15,FIND("§",SUBSTITUTE(CZ15," ","§",LEN(CZ15)-LEN(SUBSTITUTE(CZ15," ",""))))-1),CZ15)))</f>
        <v/>
      </c>
      <c r="DB15" t="str">
        <f>IF($DA15="","",IF(OR($EO15="",$EP15=""),"ONZEKER",IF(OR($EL15="",$EM15=""),"ONZEKER",IF(AND($EO15=$EL15+1,$EP15=$EM15),IF(OR(COUNTIF(#REF!,$B15)&gt;0,COUNTIF(#REF!,$B15)=0),"SKIP",IF(COUNTIFS(#REF!,$B15,#REF!,$DA15)&gt;0,"OK","ONBEKEND")),IF(AND($EO15=$EL15,$EP15=$EM15+1),IF(OR(COUNTIF(#REF!,$D15)&gt;0,COUNTIF(#REF!,$D15)=0),"SKIP",IF(COUNTIFS(#REF!,$D15,#REF!,$DA15)&gt;0,"OK","ONBEKEND")),"ONZEKER")))))</f>
        <v/>
      </c>
      <c r="DC15" t="str">
        <f t="shared" ref="DC15:DC26" si="168">IF($N15="","",TRIM(MID(SUBSTITUTE($N15,",",REPT(" ",200)),3401,200)))</f>
        <v/>
      </c>
      <c r="DD15" t="str">
        <f t="shared" ref="DD15:DD26" si="169">IF(DC15="","",TRIM(IFERROR(LEFT(DC15,FIND("§",SUBSTITUTE(DC15," ","§",LEN(DC15)-LEN(SUBSTITUTE(DC15," ",""))))-1),DC15)))</f>
        <v/>
      </c>
      <c r="DE15" t="str">
        <f>IF($DD15="","",IF(OR($ER15="",$ES15=""),"ONZEKER",IF(OR($EO15="",$EP15=""),"ONZEKER",IF(AND($ER15=$EO15+1,$ES15=$EP15),IF(OR(COUNTIF(#REF!,$B15)&gt;0,COUNTIF(#REF!,$B15)=0),"SKIP",IF(COUNTIFS(#REF!,$B15,#REF!,$DD15)&gt;0,"OK","ONBEKEND")),IF(AND($ER15=$EO15,$ES15=$EP15+1),IF(OR(COUNTIF(#REF!,$D15)&gt;0,COUNTIF(#REF!,$D15)=0),"SKIP",IF(COUNTIFS(#REF!,$D15,#REF!,$DD15)&gt;0,"OK","ONBEKEND")),"ONZEKER")))))</f>
        <v/>
      </c>
      <c r="DF15" t="str">
        <f t="shared" ref="DF15:DF26" si="170">IF($N15="","",TRIM(MID(SUBSTITUTE($N15,",",REPT(" ",200)),3601,200)))</f>
        <v/>
      </c>
      <c r="DG15" t="str">
        <f t="shared" ref="DG15:DG26" si="171">IF(DF15="","",TRIM(IFERROR(LEFT(DF15,FIND("§",SUBSTITUTE(DF15," ","§",LEN(DF15)-LEN(SUBSTITUTE(DF15," ",""))))-1),DF15)))</f>
        <v/>
      </c>
      <c r="DH15" t="str">
        <f>IF($DG15="","",IF(OR($EU15="",$EV15=""),"ONZEKER",IF(OR($ER15="",$ES15=""),"ONZEKER",IF(AND($EU15=$ER15+1,$EV15=$ES15),IF(OR(COUNTIF(#REF!,$B15)&gt;0,COUNTIF(#REF!,$B15)=0),"SKIP",IF(COUNTIFS(#REF!,$B15,#REF!,$DG15)&gt;0,"OK","ONBEKEND")),IF(AND($EU15=$ER15,$EV15=$ES15+1),IF(OR(COUNTIF(#REF!,$D15)&gt;0,COUNTIF(#REF!,$D15)=0),"SKIP",IF(COUNTIFS(#REF!,$D15,#REF!,$DG15)&gt;0,"OK","ONBEKEND")),"ONZEKER")))))</f>
        <v/>
      </c>
      <c r="DI15" t="str">
        <f t="shared" ref="DI15:DI26" si="172">IF($N15="","",TRIM(MID(SUBSTITUTE($N15,",",REPT(" ",200)),3801,200)))</f>
        <v/>
      </c>
      <c r="DJ15" t="str">
        <f t="shared" ref="DJ15:DJ26" si="173">IF(DI15="","",TRIM(IFERROR(LEFT(DI15,FIND("§",SUBSTITUTE(DI15," ","§",LEN(DI15)-LEN(SUBSTITUTE(DI15," ",""))))-1),DI15)))</f>
        <v/>
      </c>
      <c r="DK15" t="str">
        <f>IF($DJ15="","",IF(OR($EX15="",$EY15=""),"ONZEKER",IF(OR($EU15="",$EV15=""),"ONZEKER",IF(AND($EX15=$EU15+1,$EY15=$EV15),IF(OR(COUNTIF(#REF!,$B15)&gt;0,COUNTIF(#REF!,$B15)=0),"SKIP",IF(COUNTIFS(#REF!,$B15,#REF!,$DJ15)&gt;0,"OK","ONBEKEND")),IF(AND($EX15=$EU15,$EY15=$EV15+1),IF(OR(COUNTIF(#REF!,$D15)&gt;0,COUNTIF(#REF!,$D15)=0),"SKIP",IF(COUNTIFS(#REF!,$D15,#REF!,$DJ15)&gt;0,"OK","ONBEKEND")),"ONZEKER")))))</f>
        <v/>
      </c>
      <c r="DL15" t="str">
        <f t="shared" ref="DL15:DL26" si="174">IF($CJ15="ONBEKEND",$CI15,"")</f>
        <v/>
      </c>
      <c r="DM15" t="str">
        <f t="shared" ref="DM15:DM26" si="175">IF($CM15="ONBEKEND",$CL15,"")</f>
        <v/>
      </c>
      <c r="DN15" t="str">
        <f t="shared" ref="DN15:DN26" si="176">IF($CP15="ONBEKEND",$CO15,"")</f>
        <v/>
      </c>
      <c r="DO15" t="str">
        <f t="shared" ref="DO15:DO26" si="177">IF($CS15="ONBEKEND",$CR15,"")</f>
        <v/>
      </c>
      <c r="DP15" t="str">
        <f t="shared" ref="DP15:DP26" si="178">IF($CV15="ONBEKEND",$CU15,"")</f>
        <v/>
      </c>
      <c r="DQ15" t="str">
        <f t="shared" ref="DQ15:DQ26" si="179">IF($CY15="ONBEKEND",$CX15,"")</f>
        <v/>
      </c>
      <c r="DR15" t="str">
        <f t="shared" ref="DR15:DR26" si="180">IF($DB15="ONBEKEND",$DA15,"")</f>
        <v/>
      </c>
      <c r="DS15" t="str">
        <f t="shared" ref="DS15:DS26" si="181">IF($DE15="ONBEKEND",$DD15,"")</f>
        <v/>
      </c>
      <c r="DT15" t="str">
        <f t="shared" ref="DT15:DT26" si="182">IF($DH15="ONBEKEND",$DG15,"")</f>
        <v/>
      </c>
      <c r="DU15" t="str">
        <f t="shared" ref="DU15:DU26" si="183">IF($DK15="ONBEKEND",$DJ15,"")</f>
        <v/>
      </c>
      <c r="DV15" t="str">
        <f t="shared" ref="DV15:DV26" si="184">IF($CH15="","",TRIM(IFERROR(RIGHT($CH15,LEN($CH15)-FIND("§",SUBSTITUTE($CH15," ","§",LEN($CH15)-LEN(SUBSTITUTE($CH15," ",""))))),"")))</f>
        <v/>
      </c>
      <c r="DW15" t="str">
        <f t="shared" ref="DW15:DW26" si="185">IF($DV15="","",IFERROR(VALUE(LEFT($DV15,FIND("-",$DV15)-1)),""))</f>
        <v/>
      </c>
      <c r="DX15" t="str">
        <f t="shared" ref="DX15:DX26" si="186">IF($DV15="","",IFERROR(VALUE(MID($DV15,FIND("-",$DV15)+1,99)),""))</f>
        <v/>
      </c>
      <c r="DY15" t="str">
        <f t="shared" ref="DY15:DY26" si="187">IF($CK15="","",TRIM(IFERROR(RIGHT($CK15,LEN($CK15)-FIND("§",SUBSTITUTE($CK15," ","§",LEN($CK15)-LEN(SUBSTITUTE($CK15," ",""))))),"")))</f>
        <v/>
      </c>
      <c r="DZ15" t="str">
        <f t="shared" ref="DZ15:DZ26" si="188">IF($DY15="","",IFERROR(VALUE(LEFT($DY15,FIND("-",$DY15)-1)),""))</f>
        <v/>
      </c>
      <c r="EA15" t="str">
        <f t="shared" ref="EA15:EA26" si="189">IF($DY15="","",IFERROR(VALUE(MID($DY15,FIND("-",$DY15)+1,99)),""))</f>
        <v/>
      </c>
      <c r="EB15" t="str">
        <f t="shared" ref="EB15:EB26" si="190">IF($CN15="","",TRIM(IFERROR(RIGHT($CN15,LEN($CN15)-FIND("§",SUBSTITUTE($CN15," ","§",LEN($CN15)-LEN(SUBSTITUTE($CN15," ",""))))),"")))</f>
        <v/>
      </c>
      <c r="EC15" t="str">
        <f t="shared" ref="EC15:EC26" si="191">IF($EB15="","",IFERROR(VALUE(LEFT($EB15,FIND("-",$EB15)-1)),""))</f>
        <v/>
      </c>
      <c r="ED15" t="str">
        <f t="shared" ref="ED15:ED26" si="192">IF($EB15="","",IFERROR(VALUE(MID($EB15,FIND("-",$EB15)+1,99)),""))</f>
        <v/>
      </c>
      <c r="EE15" t="str">
        <f t="shared" ref="EE15:EE26" si="193">IF($CQ15="","",TRIM(IFERROR(RIGHT($CQ15,LEN($CQ15)-FIND("§",SUBSTITUTE($CQ15," ","§",LEN($CQ15)-LEN(SUBSTITUTE($CQ15," ",""))))),"")))</f>
        <v/>
      </c>
      <c r="EF15" t="str">
        <f t="shared" ref="EF15:EF26" si="194">IF($EE15="","",IFERROR(VALUE(LEFT($EE15,FIND("-",$EE15)-1)),""))</f>
        <v/>
      </c>
      <c r="EG15" t="str">
        <f t="shared" ref="EG15:EG26" si="195">IF($EE15="","",IFERROR(VALUE(MID($EE15,FIND("-",$EE15)+1,99)),""))</f>
        <v/>
      </c>
      <c r="EH15" t="str">
        <f t="shared" ref="EH15:EH26" si="196">IF($CT15="","",TRIM(IFERROR(RIGHT($CT15,LEN($CT15)-FIND("§",SUBSTITUTE($CT15," ","§",LEN($CT15)-LEN(SUBSTITUTE($CT15," ",""))))),"")))</f>
        <v/>
      </c>
      <c r="EI15" t="str">
        <f t="shared" ref="EI15:EI26" si="197">IF($EH15="","",IFERROR(VALUE(LEFT($EH15,FIND("-",$EH15)-1)),""))</f>
        <v/>
      </c>
      <c r="EJ15" t="str">
        <f t="shared" ref="EJ15:EJ26" si="198">IF($EH15="","",IFERROR(VALUE(MID($EH15,FIND("-",$EH15)+1,99)),""))</f>
        <v/>
      </c>
      <c r="EK15" t="str">
        <f t="shared" ref="EK15:EK26" si="199">IF($CW15="","",TRIM(IFERROR(RIGHT($CW15,LEN($CW15)-FIND("§",SUBSTITUTE($CW15," ","§",LEN($CW15)-LEN(SUBSTITUTE($CW15," ",""))))),"")))</f>
        <v/>
      </c>
      <c r="EL15" t="str">
        <f t="shared" ref="EL15:EL26" si="200">IF($EK15="","",IFERROR(VALUE(LEFT($EK15,FIND("-",$EK15)-1)),""))</f>
        <v/>
      </c>
      <c r="EM15" t="str">
        <f t="shared" ref="EM15:EM26" si="201">IF($EK15="","",IFERROR(VALUE(MID($EK15,FIND("-",$EK15)+1,99)),""))</f>
        <v/>
      </c>
      <c r="EN15" t="str">
        <f t="shared" ref="EN15:EN26" si="202">IF($CZ15="","",TRIM(IFERROR(RIGHT($CZ15,LEN($CZ15)-FIND("§",SUBSTITUTE($CZ15," ","§",LEN($CZ15)-LEN(SUBSTITUTE($CZ15," ",""))))),"")))</f>
        <v/>
      </c>
      <c r="EO15" t="str">
        <f t="shared" ref="EO15:EO26" si="203">IF($EN15="","",IFERROR(VALUE(LEFT($EN15,FIND("-",$EN15)-1)),""))</f>
        <v/>
      </c>
      <c r="EP15" t="str">
        <f t="shared" ref="EP15:EP26" si="204">IF($EN15="","",IFERROR(VALUE(MID($EN15,FIND("-",$EN15)+1,99)),""))</f>
        <v/>
      </c>
      <c r="EQ15" t="str">
        <f t="shared" ref="EQ15:EQ26" si="205">IF($DC15="","",TRIM(IFERROR(RIGHT($DC15,LEN($DC15)-FIND("§",SUBSTITUTE($DC15," ","§",LEN($DC15)-LEN(SUBSTITUTE($DC15," ",""))))),"")))</f>
        <v/>
      </c>
      <c r="ER15" t="str">
        <f t="shared" ref="ER15:ER26" si="206">IF($EQ15="","",IFERROR(VALUE(LEFT($EQ15,FIND("-",$EQ15)-1)),""))</f>
        <v/>
      </c>
      <c r="ES15" t="str">
        <f t="shared" ref="ES15:ES26" si="207">IF($EQ15="","",IFERROR(VALUE(MID($EQ15,FIND("-",$EQ15)+1,99)),""))</f>
        <v/>
      </c>
      <c r="ET15" t="str">
        <f t="shared" ref="ET15:ET26" si="208">IF($DF15="","",TRIM(IFERROR(RIGHT($DF15,LEN($DF15)-FIND("§",SUBSTITUTE($DF15," ","§",LEN($DF15)-LEN(SUBSTITUTE($DF15," ",""))))),"")))</f>
        <v/>
      </c>
      <c r="EU15" t="str">
        <f t="shared" ref="EU15:EU26" si="209">IF($ET15="","",IFERROR(VALUE(LEFT($ET15,FIND("-",$ET15)-1)),""))</f>
        <v/>
      </c>
      <c r="EV15" t="str">
        <f t="shared" ref="EV15:EV26" si="210">IF($ET15="","",IFERROR(VALUE(MID($ET15,FIND("-",$ET15)+1,99)),""))</f>
        <v/>
      </c>
      <c r="EW15" t="str">
        <f t="shared" ref="EW15:EW26" si="211">IF($DI15="","",TRIM(IFERROR(RIGHT($DI15,LEN($DI15)-FIND("§",SUBSTITUTE($DI15," ","§",LEN($DI15)-LEN(SUBSTITUTE($DI15," ",""))))),"")))</f>
        <v/>
      </c>
      <c r="EX15" t="str">
        <f t="shared" ref="EX15:EX26" si="212">IF($EW15="","",IFERROR(VALUE(LEFT($EW15,FIND("-",$EW15)-1)),""))</f>
        <v/>
      </c>
      <c r="EY15" t="str">
        <f t="shared" ref="EY15:EY26" si="213">IF($EW15="","",IFERROR(VALUE(MID($EW15,FIND("-",$EW15)+1,99)),""))</f>
        <v/>
      </c>
    </row>
    <row r="16" spans="1:155" ht="13.9" customHeight="1" x14ac:dyDescent="0.25">
      <c r="A16" s="7"/>
      <c r="B16" s="17"/>
      <c r="C16" s="8"/>
      <c r="D16" s="17"/>
      <c r="E16" s="8"/>
      <c r="F16" s="18">
        <v>0</v>
      </c>
      <c r="G16" s="7" t="s">
        <v>147</v>
      </c>
      <c r="H16" s="18">
        <v>0</v>
      </c>
      <c r="I16" s="19">
        <v>0</v>
      </c>
      <c r="J16" s="7" t="s">
        <v>147</v>
      </c>
      <c r="K16" s="19">
        <v>0</v>
      </c>
      <c r="L16" s="9"/>
      <c r="M16" s="3" t="str">
        <f>IF($L16="","",IF($L16="DOELPUNTENMAKERS","",IF(AND(COUNTIF(#REF!,$B16)=0,COUNTIF(#REF!,$D16)=0),"OK",IF($O16&gt;20,"LET OP: meer dan 20 items (controle onvolledig)",IF((COUNTIF($R16:$AS16,"ONZEKER")+COUNTIF($CJ16:$DK16,"ONZEKER"))&gt;0,"LET OP: scoreverloop onduidelijk (controle beperkt)",IF((IF($AT16&lt;&gt;"",$AT16&amp;", ","")&amp;IF($AU16&lt;&gt;"",$AU16&amp;", ","")&amp;IF($AV16&lt;&gt;"",$AV16&amp;", ","")&amp;IF($AW16&lt;&gt;"",$AW16&amp;", ","")&amp;IF($AX16&lt;&gt;"",$AX16&amp;", ","")&amp;IF($AY16&lt;&gt;"",$AY16&amp;", ","")&amp;IF($AZ16&lt;&gt;"",$AZ16&amp;", ","")&amp;IF($BA16&lt;&gt;"",$BA16&amp;", ","")&amp;IF($BB16&lt;&gt;"",$BB16&amp;", ","")&amp;IF($BC16&lt;&gt;"",$BC16&amp;", ","")&amp;IF($DL16&lt;&gt;"",$DL16&amp;", ","")&amp;IF($DM16&lt;&gt;"",$DM16&amp;", ","")&amp;IF($DN16&lt;&gt;"",$DN16&amp;", ","")&amp;IF($DO16&lt;&gt;"",$DO16&amp;", ","")&amp;IF($DP16&lt;&gt;"",$DP16&amp;", ","")&amp;IF($DQ16&lt;&gt;"",$DQ16&amp;", ","")&amp;IF($DR16&lt;&gt;"",$DR16&amp;", ","")&amp;IF($DS16&lt;&gt;"",$DS16&amp;", ","")&amp;IF($DT16&lt;&gt;"",$DT16&amp;", ","")&amp;IF($DU16&lt;&gt;"",$DU16&amp;", ",""))="","OK","Onbekend: "&amp;LEFT((IF($AT16&lt;&gt;"",$AT16&amp;", ","")&amp;IF($AU16&lt;&gt;"",$AU16&amp;", ","")&amp;IF($AV16&lt;&gt;"",$AV16&amp;", ","")&amp;IF($AW16&lt;&gt;"",$AW16&amp;", ","")&amp;IF($AX16&lt;&gt;"",$AX16&amp;", ","")&amp;IF($AY16&lt;&gt;"",$AY16&amp;", ","")&amp;IF($AZ16&lt;&gt;"",$AZ16&amp;", ","")&amp;IF($BA16&lt;&gt;"",$BA16&amp;", ","")&amp;IF($BB16&lt;&gt;"",$BB16&amp;", ","")&amp;IF($BC16&lt;&gt;"",$BC16&amp;", ","")&amp;IF($DL16&lt;&gt;"",$DL16&amp;", ","")&amp;IF($DM16&lt;&gt;"",$DM16&amp;", ","")&amp;IF($DN16&lt;&gt;"",$DN16&amp;", ","")&amp;IF($DO16&lt;&gt;"",$DO16&amp;", ","")&amp;IF($DP16&lt;&gt;"",$DP16&amp;", ","")&amp;IF($DQ16&lt;&gt;"",$DQ16&amp;", ","")&amp;IF($DR16&lt;&gt;"",$DR16&amp;", ","")&amp;IF($DS16&lt;&gt;"",$DS16&amp;", ","")&amp;IF($DT16&lt;&gt;"",$DT16&amp;", ","")&amp;IF($DU16&lt;&gt;"",$DU16&amp;", ","")),LEN((IF($AT16&lt;&gt;"",$AT16&amp;", ","")&amp;IF($AU16&lt;&gt;"",$AU16&amp;", ","")&amp;IF($AV16&lt;&gt;"",$AV16&amp;", ","")&amp;IF($AW16&lt;&gt;"",$AW16&amp;", ","")&amp;IF($AX16&lt;&gt;"",$AX16&amp;", ","")&amp;IF($AY16&lt;&gt;"",$AY16&amp;", ","")&amp;IF($AZ16&lt;&gt;"",$AZ16&amp;", ","")&amp;IF($BA16&lt;&gt;"",$BA16&amp;", ","")&amp;IF($BB16&lt;&gt;"",$BB16&amp;", ","")&amp;IF($BC16&lt;&gt;"",$BC16&amp;", ","")&amp;IF($DL16&lt;&gt;"",$DL16&amp;", ","")&amp;IF($DM16&lt;&gt;"",$DM16&amp;", ","")&amp;IF($DN16&lt;&gt;"",$DN16&amp;", ","")&amp;IF($DO16&lt;&gt;"",$DO16&amp;", ","")&amp;IF($DP16&lt;&gt;"",$DP16&amp;", ","")&amp;IF($DQ16&lt;&gt;"",$DQ16&amp;", ","")&amp;IF($DR16&lt;&gt;"",$DR16&amp;", ","")&amp;IF($DS16&lt;&gt;"",$DS16&amp;", ","")&amp;IF($DT16&lt;&gt;"",$DT16&amp;", ","")&amp;IF($DU16&lt;&gt;"",$DU16&amp;", ","")))-2)))))))</f>
        <v/>
      </c>
      <c r="N16" t="str">
        <f t="shared" si="122"/>
        <v/>
      </c>
      <c r="O16" t="str">
        <f t="shared" si="123"/>
        <v/>
      </c>
      <c r="P16" t="str">
        <f t="shared" si="124"/>
        <v/>
      </c>
      <c r="Q16" t="str">
        <f t="shared" si="125"/>
        <v/>
      </c>
      <c r="R16" t="str">
        <f>IF($Q16="","",IF(OR($BE16="",$BF16=""),"ONZEKER",IF(AND($BE16=0+1,$BF16=0),IF(OR(COUNTIF(#REF!,$B16)&gt;0,COUNTIF(#REF!,$B16)=0),"SKIP",IF(COUNTIFS(#REF!,$B16,#REF!,$Q16)&gt;0,"OK","ONBEKEND")),IF(AND($BE16=0,$BF16=0+1),IF(OR(COUNTIF(#REF!,$D16)&gt;0,COUNTIF(#REF!,$D16)=0),"SKIP",IF(COUNTIFS(#REF!,$D16,#REF!,$Q16)&gt;0,"OK","ONBEKEND")),"ONZEKER"))))</f>
        <v/>
      </c>
      <c r="S16" t="str">
        <f t="shared" si="126"/>
        <v/>
      </c>
      <c r="T16" t="str">
        <f t="shared" si="127"/>
        <v/>
      </c>
      <c r="U16" t="str">
        <f>IF($T16="","",IF(OR($BH16="",$BI16=""),"ONZEKER",IF(OR($BE16="",$BF16=""),"ONZEKER",IF(AND($BH16=$BE16+1,$BI16=$BF16),IF(OR(COUNTIF(#REF!,$B16)&gt;0,COUNTIF(#REF!,$B16)=0),"SKIP",IF(COUNTIFS(#REF!,$B16,#REF!,$T16)&gt;0,"OK","ONBEKEND")),IF(AND($BH16=$BE16,$BI16=$BF16+1),IF(OR(COUNTIF(#REF!,$D16)&gt;0,COUNTIF(#REF!,$D16)=0),"SKIP",IF(COUNTIFS(#REF!,$D16,#REF!,$T16)&gt;0,"OK","ONBEKEND")),"ONZEKER")))))</f>
        <v/>
      </c>
      <c r="V16" t="str">
        <f t="shared" si="128"/>
        <v/>
      </c>
      <c r="W16" t="str">
        <f t="shared" si="129"/>
        <v/>
      </c>
      <c r="X16" t="str">
        <f>IF($W16="","",IF(OR($BK16="",$BL16=""),"ONZEKER",IF(OR($BH16="",$BI16=""),"ONZEKER",IF(AND($BK16=$BH16+1,$BL16=$BI16),IF(OR(COUNTIF(#REF!,$B16)&gt;0,COUNTIF(#REF!,$B16)=0),"SKIP",IF(COUNTIFS(#REF!,$B16,#REF!,$W16)&gt;0,"OK","ONBEKEND")),IF(AND($BK16=$BH16,$BL16=$BI16+1),IF(OR(COUNTIF(#REF!,$D16)&gt;0,COUNTIF(#REF!,$D16)=0),"SKIP",IF(COUNTIFS(#REF!,$D16,#REF!,$W16)&gt;0,"OK","ONBEKEND")),"ONZEKER")))))</f>
        <v/>
      </c>
      <c r="Y16" t="str">
        <f t="shared" si="130"/>
        <v/>
      </c>
      <c r="Z16" t="str">
        <f t="shared" si="131"/>
        <v/>
      </c>
      <c r="AA16" t="str">
        <f>IF($Z16="","",IF(OR($BN16="",$BO16=""),"ONZEKER",IF(OR($BK16="",$BL16=""),"ONZEKER",IF(AND($BN16=$BK16+1,$BO16=$BL16),IF(OR(COUNTIF(#REF!,$B16)&gt;0,COUNTIF(#REF!,$B16)=0),"SKIP",IF(COUNTIFS(#REF!,$B16,#REF!,$Z16)&gt;0,"OK","ONBEKEND")),IF(AND($BN16=$BK16,$BO16=$BL16+1),IF(OR(COUNTIF(#REF!,$D16)&gt;0,COUNTIF(#REF!,$D16)=0),"SKIP",IF(COUNTIFS(#REF!,$D16,#REF!,$Z16)&gt;0,"OK","ONBEKEND")),"ONZEKER")))))</f>
        <v/>
      </c>
      <c r="AB16" t="str">
        <f t="shared" si="132"/>
        <v/>
      </c>
      <c r="AC16" t="str">
        <f t="shared" si="133"/>
        <v/>
      </c>
      <c r="AD16" t="str">
        <f>IF($AC16="","",IF(OR($BQ16="",$BR16=""),"ONZEKER",IF(OR($BN16="",$BO16=""),"ONZEKER",IF(AND($BQ16=$BN16+1,$BR16=$BO16),IF(OR(COUNTIF(#REF!,$B16)&gt;0,COUNTIF(#REF!,$B16)=0),"SKIP",IF(COUNTIFS(#REF!,$B16,#REF!,$AC16)&gt;0,"OK","ONBEKEND")),IF(AND($BQ16=$BN16,$BR16=$BO16+1),IF(OR(COUNTIF(#REF!,$D16)&gt;0,COUNTIF(#REF!,$D16)=0),"SKIP",IF(COUNTIFS(#REF!,$D16,#REF!,$AC16)&gt;0,"OK","ONBEKEND")),"ONZEKER")))))</f>
        <v/>
      </c>
      <c r="AE16" t="str">
        <f t="shared" si="134"/>
        <v/>
      </c>
      <c r="AF16" t="str">
        <f t="shared" si="135"/>
        <v/>
      </c>
      <c r="AG16" t="str">
        <f>IF($AF16="","",IF(OR($BT16="",$BU16=""),"ONZEKER",IF(OR($BQ16="",$BR16=""),"ONZEKER",IF(AND($BT16=$BQ16+1,$BU16=$BR16),IF(OR(COUNTIF(#REF!,$B16)&gt;0,COUNTIF(#REF!,$B16)=0),"SKIP",IF(COUNTIFS(#REF!,$B16,#REF!,$AF16)&gt;0,"OK","ONBEKEND")),IF(AND($BT16=$BQ16,$BU16=$BR16+1),IF(OR(COUNTIF(#REF!,$D16)&gt;0,COUNTIF(#REF!,$D16)=0),"SKIP",IF(COUNTIFS(#REF!,$D16,#REF!,$AF16)&gt;0,"OK","ONBEKEND")),"ONZEKER")))))</f>
        <v/>
      </c>
      <c r="AH16" t="str">
        <f t="shared" si="136"/>
        <v/>
      </c>
      <c r="AI16" t="str">
        <f t="shared" si="137"/>
        <v/>
      </c>
      <c r="AJ16" t="str">
        <f>IF($AI16="","",IF(OR($BW16="",$BX16=""),"ONZEKER",IF(OR($BT16="",$BU16=""),"ONZEKER",IF(AND($BW16=$BT16+1,$BX16=$BU16),IF(OR(COUNTIF(#REF!,$B16)&gt;0,COUNTIF(#REF!,$B16)=0),"SKIP",IF(COUNTIFS(#REF!,$B16,#REF!,$AI16)&gt;0,"OK","ONBEKEND")),IF(AND($BW16=$BT16,$BX16=$BU16+1),IF(OR(COUNTIF(#REF!,$D16)&gt;0,COUNTIF(#REF!,$D16)=0),"SKIP",IF(COUNTIFS(#REF!,$D16,#REF!,$AI16)&gt;0,"OK","ONBEKEND")),"ONZEKER")))))</f>
        <v/>
      </c>
      <c r="AK16" t="str">
        <f t="shared" si="138"/>
        <v/>
      </c>
      <c r="AL16" t="str">
        <f t="shared" si="139"/>
        <v/>
      </c>
      <c r="AM16" t="str">
        <f>IF($AL16="","",IF(OR($BZ16="",$CA16=""),"ONZEKER",IF(OR($BW16="",$BX16=""),"ONZEKER",IF(AND($BZ16=$BW16+1,$CA16=$BX16),IF(OR(COUNTIF(#REF!,$B16)&gt;0,COUNTIF(#REF!,$B16)=0),"SKIP",IF(COUNTIFS(#REF!,$B16,#REF!,$AL16)&gt;0,"OK","ONBEKEND")),IF(AND($BZ16=$BW16,$CA16=$BX16+1),IF(OR(COUNTIF(#REF!,$D16)&gt;0,COUNTIF(#REF!,$D16)=0),"SKIP",IF(COUNTIFS(#REF!,$D16,#REF!,$AL16)&gt;0,"OK","ONBEKEND")),"ONZEKER")))))</f>
        <v/>
      </c>
      <c r="AN16" t="str">
        <f t="shared" si="140"/>
        <v/>
      </c>
      <c r="AO16" t="str">
        <f t="shared" si="141"/>
        <v/>
      </c>
      <c r="AP16" t="str">
        <f>IF($AO16="","",IF(OR($CC16="",$CD16=""),"ONZEKER",IF(OR($BZ16="",$CA16=""),"ONZEKER",IF(AND($CC16=$BZ16+1,$CD16=$CA16),IF(OR(COUNTIF(#REF!,$B16)&gt;0,COUNTIF(#REF!,$B16)=0),"SKIP",IF(COUNTIFS(#REF!,$B16,#REF!,$AO16)&gt;0,"OK","ONBEKEND")),IF(AND($CC16=$BZ16,$CD16=$CA16+1),IF(OR(COUNTIF(#REF!,$D16)&gt;0,COUNTIF(#REF!,$D16)=0),"SKIP",IF(COUNTIFS(#REF!,$D16,#REF!,$AO16)&gt;0,"OK","ONBEKEND")),"ONZEKER")))))</f>
        <v/>
      </c>
      <c r="AQ16" t="str">
        <f t="shared" si="142"/>
        <v/>
      </c>
      <c r="AR16" t="str">
        <f t="shared" si="143"/>
        <v/>
      </c>
      <c r="AS16" t="str">
        <f>IF($AR16="","",IF(OR($CF16="",$CG16=""),"ONZEKER",IF(OR($CC16="",$CD16=""),"ONZEKER",IF(AND($CF16=$CC16+1,$CG16=$CD16),IF(OR(COUNTIF(#REF!,$B16)&gt;0,COUNTIF(#REF!,$B16)=0),"SKIP",IF(COUNTIFS(#REF!,$B16,#REF!,$AR16)&gt;0,"OK","ONBEKEND")),IF(AND($CF16=$CC16,$CG16=$CD16+1),IF(OR(COUNTIF(#REF!,$D16)&gt;0,COUNTIF(#REF!,$D16)=0),"SKIP",IF(COUNTIFS(#REF!,$D16,#REF!,$AR16)&gt;0,"OK","ONBEKEND")),"ONZEKER")))))</f>
        <v/>
      </c>
      <c r="AT16" t="str">
        <f t="shared" si="144"/>
        <v/>
      </c>
      <c r="AU16" t="str">
        <f t="shared" si="145"/>
        <v/>
      </c>
      <c r="AV16" t="str">
        <f t="shared" si="146"/>
        <v/>
      </c>
      <c r="AW16" t="str">
        <f t="shared" si="147"/>
        <v/>
      </c>
      <c r="AX16" t="str">
        <f t="shared" si="148"/>
        <v/>
      </c>
      <c r="AY16" t="str">
        <f t="shared" si="149"/>
        <v/>
      </c>
      <c r="AZ16" t="str">
        <f t="shared" si="150"/>
        <v/>
      </c>
      <c r="BA16" t="str">
        <f t="shared" si="151"/>
        <v/>
      </c>
      <c r="BB16" t="str">
        <f t="shared" si="152"/>
        <v/>
      </c>
      <c r="BC16" t="str">
        <f t="shared" si="153"/>
        <v/>
      </c>
      <c r="BD16" t="str">
        <f t="shared" si="32"/>
        <v/>
      </c>
      <c r="BE16" t="str">
        <f t="shared" si="33"/>
        <v/>
      </c>
      <c r="BF16" t="str">
        <f t="shared" si="34"/>
        <v/>
      </c>
      <c r="BG16" t="str">
        <f t="shared" si="35"/>
        <v/>
      </c>
      <c r="BH16" t="str">
        <f t="shared" si="36"/>
        <v/>
      </c>
      <c r="BI16" t="str">
        <f t="shared" si="37"/>
        <v/>
      </c>
      <c r="BJ16" t="str">
        <f t="shared" si="38"/>
        <v/>
      </c>
      <c r="BK16" t="str">
        <f t="shared" si="39"/>
        <v/>
      </c>
      <c r="BL16" t="str">
        <f t="shared" si="40"/>
        <v/>
      </c>
      <c r="BM16" t="str">
        <f t="shared" si="41"/>
        <v/>
      </c>
      <c r="BN16" t="str">
        <f t="shared" si="42"/>
        <v/>
      </c>
      <c r="BO16" t="str">
        <f t="shared" si="43"/>
        <v/>
      </c>
      <c r="BP16" t="str">
        <f t="shared" si="44"/>
        <v/>
      </c>
      <c r="BQ16" t="str">
        <f t="shared" si="45"/>
        <v/>
      </c>
      <c r="BR16" t="str">
        <f t="shared" si="46"/>
        <v/>
      </c>
      <c r="BS16" t="str">
        <f t="shared" si="47"/>
        <v/>
      </c>
      <c r="BT16" t="str">
        <f t="shared" si="48"/>
        <v/>
      </c>
      <c r="BU16" t="str">
        <f t="shared" si="49"/>
        <v/>
      </c>
      <c r="BV16" t="str">
        <f t="shared" si="50"/>
        <v/>
      </c>
      <c r="BW16" t="str">
        <f t="shared" si="51"/>
        <v/>
      </c>
      <c r="BX16" t="str">
        <f t="shared" si="52"/>
        <v/>
      </c>
      <c r="BY16" t="str">
        <f t="shared" si="53"/>
        <v/>
      </c>
      <c r="BZ16" t="str">
        <f t="shared" si="54"/>
        <v/>
      </c>
      <c r="CA16" t="str">
        <f t="shared" si="55"/>
        <v/>
      </c>
      <c r="CB16" t="str">
        <f t="shared" si="56"/>
        <v/>
      </c>
      <c r="CC16" t="str">
        <f t="shared" si="57"/>
        <v/>
      </c>
      <c r="CD16" t="str">
        <f t="shared" si="58"/>
        <v/>
      </c>
      <c r="CE16" t="str">
        <f t="shared" si="59"/>
        <v/>
      </c>
      <c r="CF16" t="str">
        <f t="shared" si="60"/>
        <v/>
      </c>
      <c r="CG16" t="str">
        <f t="shared" si="61"/>
        <v/>
      </c>
      <c r="CH16" t="str">
        <f t="shared" si="154"/>
        <v/>
      </c>
      <c r="CI16" t="str">
        <f t="shared" si="155"/>
        <v/>
      </c>
      <c r="CJ16" t="str">
        <f>IF($CI16="","",IF(OR($DW16="",$DX16=""),"ONZEKER",IF(OR($CF16="",$CG16=""),"ONZEKER",IF(AND($DW16=$CF16+1,$DX16=$CG16),IF(OR(COUNTIF(#REF!,$B16)&gt;0,COUNTIF(#REF!,$B16)=0),"SKIP",IF(COUNTIFS(#REF!,$B16,#REF!,$CI16)&gt;0,"OK","ONBEKEND")),IF(AND($DW16=$CF16,$DX16=$CG16+1),IF(OR(COUNTIF(#REF!,$D16)&gt;0,COUNTIF(#REF!,$D16)=0),"SKIP",IF(COUNTIFS(#REF!,$D16,#REF!,$CI16)&gt;0,"OK","ONBEKEND")),"ONZEKER")))))</f>
        <v/>
      </c>
      <c r="CK16" t="str">
        <f t="shared" si="156"/>
        <v/>
      </c>
      <c r="CL16" t="str">
        <f t="shared" si="157"/>
        <v/>
      </c>
      <c r="CM16" t="str">
        <f>IF($CL16="","",IF(OR($DZ16="",$EA16=""),"ONZEKER",IF(OR($DW16="",$DX16=""),"ONZEKER",IF(AND($DZ16=$DW16+1,$EA16=$DX16),IF(OR(COUNTIF(#REF!,$B16)&gt;0,COUNTIF(#REF!,$B16)=0),"SKIP",IF(COUNTIFS(#REF!,$B16,#REF!,$CL16)&gt;0,"OK","ONBEKEND")),IF(AND($DZ16=$DW16,$EA16=$DX16+1),IF(OR(COUNTIF(#REF!,$D16)&gt;0,COUNTIF(#REF!,$D16)=0),"SKIP",IF(COUNTIFS(#REF!,$D16,#REF!,$CL16)&gt;0,"OK","ONBEKEND")),"ONZEKER")))))</f>
        <v/>
      </c>
      <c r="CN16" t="str">
        <f t="shared" si="158"/>
        <v/>
      </c>
      <c r="CO16" t="str">
        <f t="shared" si="159"/>
        <v/>
      </c>
      <c r="CP16" t="str">
        <f>IF($CO16="","",IF(OR($EC16="",$ED16=""),"ONZEKER",IF(OR($DZ16="",$EA16=""),"ONZEKER",IF(AND($EC16=$DZ16+1,$ED16=$EA16),IF(OR(COUNTIF(#REF!,$B16)&gt;0,COUNTIF(#REF!,$B16)=0),"SKIP",IF(COUNTIFS(#REF!,$B16,#REF!,$CO16)&gt;0,"OK","ONBEKEND")),IF(AND($EC16=$DZ16,$ED16=$EA16+1),IF(OR(COUNTIF(#REF!,$D16)&gt;0,COUNTIF(#REF!,$D16)=0),"SKIP",IF(COUNTIFS(#REF!,$D16,#REF!,$CO16)&gt;0,"OK","ONBEKEND")),"ONZEKER")))))</f>
        <v/>
      </c>
      <c r="CQ16" t="str">
        <f t="shared" si="160"/>
        <v/>
      </c>
      <c r="CR16" t="str">
        <f t="shared" si="161"/>
        <v/>
      </c>
      <c r="CS16" t="str">
        <f>IF($CR16="","",IF(OR($EF16="",$EG16=""),"ONZEKER",IF(OR($EC16="",$ED16=""),"ONZEKER",IF(AND($EF16=$EC16+1,$EG16=$ED16),IF(OR(COUNTIF(#REF!,$B16)&gt;0,COUNTIF(#REF!,$B16)=0),"SKIP",IF(COUNTIFS(#REF!,$B16,#REF!,$CR16)&gt;0,"OK","ONBEKEND")),IF(AND($EF16=$EC16,$EG16=$ED16+1),IF(OR(COUNTIF(#REF!,$D16)&gt;0,COUNTIF(#REF!,$D16)=0),"SKIP",IF(COUNTIFS(#REF!,$D16,#REF!,$CR16)&gt;0,"OK","ONBEKEND")),"ONZEKER")))))</f>
        <v/>
      </c>
      <c r="CT16" t="str">
        <f t="shared" si="162"/>
        <v/>
      </c>
      <c r="CU16" t="str">
        <f t="shared" si="163"/>
        <v/>
      </c>
      <c r="CV16" t="str">
        <f>IF($CU16="","",IF(OR($EI16="",$EJ16=""),"ONZEKER",IF(OR($EF16="",$EG16=""),"ONZEKER",IF(AND($EI16=$EF16+1,$EJ16=$EG16),IF(OR(COUNTIF(#REF!,$B16)&gt;0,COUNTIF(#REF!,$B16)=0),"SKIP",IF(COUNTIFS(#REF!,$B16,#REF!,$CU16)&gt;0,"OK","ONBEKEND")),IF(AND($EI16=$EF16,$EJ16=$EG16+1),IF(OR(COUNTIF(#REF!,$D16)&gt;0,COUNTIF(#REF!,$D16)=0),"SKIP",IF(COUNTIFS(#REF!,$D16,#REF!,$CU16)&gt;0,"OK","ONBEKEND")),"ONZEKER")))))</f>
        <v/>
      </c>
      <c r="CW16" t="str">
        <f t="shared" si="164"/>
        <v/>
      </c>
      <c r="CX16" t="str">
        <f t="shared" si="165"/>
        <v/>
      </c>
      <c r="CY16" t="str">
        <f>IF($CX16="","",IF(OR($EL16="",$EM16=""),"ONZEKER",IF(OR($EI16="",$EJ16=""),"ONZEKER",IF(AND($EL16=$EI16+1,$EM16=$EJ16),IF(OR(COUNTIF(#REF!,$B16)&gt;0,COUNTIF(#REF!,$B16)=0),"SKIP",IF(COUNTIFS(#REF!,$B16,#REF!,$CX16)&gt;0,"OK","ONBEKEND")),IF(AND($EL16=$EI16,$EM16=$EJ16+1),IF(OR(COUNTIF(#REF!,$D16)&gt;0,COUNTIF(#REF!,$D16)=0),"SKIP",IF(COUNTIFS(#REF!,$D16,#REF!,$CX16)&gt;0,"OK","ONBEKEND")),"ONZEKER")))))</f>
        <v/>
      </c>
      <c r="CZ16" t="str">
        <f t="shared" si="166"/>
        <v/>
      </c>
      <c r="DA16" t="str">
        <f t="shared" si="167"/>
        <v/>
      </c>
      <c r="DB16" t="str">
        <f>IF($DA16="","",IF(OR($EO16="",$EP16=""),"ONZEKER",IF(OR($EL16="",$EM16=""),"ONZEKER",IF(AND($EO16=$EL16+1,$EP16=$EM16),IF(OR(COUNTIF(#REF!,$B16)&gt;0,COUNTIF(#REF!,$B16)=0),"SKIP",IF(COUNTIFS(#REF!,$B16,#REF!,$DA16)&gt;0,"OK","ONBEKEND")),IF(AND($EO16=$EL16,$EP16=$EM16+1),IF(OR(COUNTIF(#REF!,$D16)&gt;0,COUNTIF(#REF!,$D16)=0),"SKIP",IF(COUNTIFS(#REF!,$D16,#REF!,$DA16)&gt;0,"OK","ONBEKEND")),"ONZEKER")))))</f>
        <v/>
      </c>
      <c r="DC16" t="str">
        <f t="shared" si="168"/>
        <v/>
      </c>
      <c r="DD16" t="str">
        <f t="shared" si="169"/>
        <v/>
      </c>
      <c r="DE16" t="str">
        <f>IF($DD16="","",IF(OR($ER16="",$ES16=""),"ONZEKER",IF(OR($EO16="",$EP16=""),"ONZEKER",IF(AND($ER16=$EO16+1,$ES16=$EP16),IF(OR(COUNTIF(#REF!,$B16)&gt;0,COUNTIF(#REF!,$B16)=0),"SKIP",IF(COUNTIFS(#REF!,$B16,#REF!,$DD16)&gt;0,"OK","ONBEKEND")),IF(AND($ER16=$EO16,$ES16=$EP16+1),IF(OR(COUNTIF(#REF!,$D16)&gt;0,COUNTIF(#REF!,$D16)=0),"SKIP",IF(COUNTIFS(#REF!,$D16,#REF!,$DD16)&gt;0,"OK","ONBEKEND")),"ONZEKER")))))</f>
        <v/>
      </c>
      <c r="DF16" t="str">
        <f t="shared" si="170"/>
        <v/>
      </c>
      <c r="DG16" t="str">
        <f t="shared" si="171"/>
        <v/>
      </c>
      <c r="DH16" t="str">
        <f>IF($DG16="","",IF(OR($EU16="",$EV16=""),"ONZEKER",IF(OR($ER16="",$ES16=""),"ONZEKER",IF(AND($EU16=$ER16+1,$EV16=$ES16),IF(OR(COUNTIF(#REF!,$B16)&gt;0,COUNTIF(#REF!,$B16)=0),"SKIP",IF(COUNTIFS(#REF!,$B16,#REF!,$DG16)&gt;0,"OK","ONBEKEND")),IF(AND($EU16=$ER16,$EV16=$ES16+1),IF(OR(COUNTIF(#REF!,$D16)&gt;0,COUNTIF(#REF!,$D16)=0),"SKIP",IF(COUNTIFS(#REF!,$D16,#REF!,$DG16)&gt;0,"OK","ONBEKEND")),"ONZEKER")))))</f>
        <v/>
      </c>
      <c r="DI16" t="str">
        <f t="shared" si="172"/>
        <v/>
      </c>
      <c r="DJ16" t="str">
        <f t="shared" si="173"/>
        <v/>
      </c>
      <c r="DK16" t="str">
        <f>IF($DJ16="","",IF(OR($EX16="",$EY16=""),"ONZEKER",IF(OR($EU16="",$EV16=""),"ONZEKER",IF(AND($EX16=$EU16+1,$EY16=$EV16),IF(OR(COUNTIF(#REF!,$B16)&gt;0,COUNTIF(#REF!,$B16)=0),"SKIP",IF(COUNTIFS(#REF!,$B16,#REF!,$DJ16)&gt;0,"OK","ONBEKEND")),IF(AND($EX16=$EU16,$EY16=$EV16+1),IF(OR(COUNTIF(#REF!,$D16)&gt;0,COUNTIF(#REF!,$D16)=0),"SKIP",IF(COUNTIFS(#REF!,$D16,#REF!,$DJ16)&gt;0,"OK","ONBEKEND")),"ONZEKER")))))</f>
        <v/>
      </c>
      <c r="DL16" t="str">
        <f t="shared" si="174"/>
        <v/>
      </c>
      <c r="DM16" t="str">
        <f t="shared" si="175"/>
        <v/>
      </c>
      <c r="DN16" t="str">
        <f t="shared" si="176"/>
        <v/>
      </c>
      <c r="DO16" t="str">
        <f t="shared" si="177"/>
        <v/>
      </c>
      <c r="DP16" t="str">
        <f t="shared" si="178"/>
        <v/>
      </c>
      <c r="DQ16" t="str">
        <f t="shared" si="179"/>
        <v/>
      </c>
      <c r="DR16" t="str">
        <f t="shared" si="180"/>
        <v/>
      </c>
      <c r="DS16" t="str">
        <f t="shared" si="181"/>
        <v/>
      </c>
      <c r="DT16" t="str">
        <f t="shared" si="182"/>
        <v/>
      </c>
      <c r="DU16" t="str">
        <f t="shared" si="183"/>
        <v/>
      </c>
      <c r="DV16" t="str">
        <f t="shared" si="184"/>
        <v/>
      </c>
      <c r="DW16" t="str">
        <f t="shared" si="185"/>
        <v/>
      </c>
      <c r="DX16" t="str">
        <f t="shared" si="186"/>
        <v/>
      </c>
      <c r="DY16" t="str">
        <f t="shared" si="187"/>
        <v/>
      </c>
      <c r="DZ16" t="str">
        <f t="shared" si="188"/>
        <v/>
      </c>
      <c r="EA16" t="str">
        <f t="shared" si="189"/>
        <v/>
      </c>
      <c r="EB16" t="str">
        <f t="shared" si="190"/>
        <v/>
      </c>
      <c r="EC16" t="str">
        <f t="shared" si="191"/>
        <v/>
      </c>
      <c r="ED16" t="str">
        <f t="shared" si="192"/>
        <v/>
      </c>
      <c r="EE16" t="str">
        <f t="shared" si="193"/>
        <v/>
      </c>
      <c r="EF16" t="str">
        <f t="shared" si="194"/>
        <v/>
      </c>
      <c r="EG16" t="str">
        <f t="shared" si="195"/>
        <v/>
      </c>
      <c r="EH16" t="str">
        <f t="shared" si="196"/>
        <v/>
      </c>
      <c r="EI16" t="str">
        <f t="shared" si="197"/>
        <v/>
      </c>
      <c r="EJ16" t="str">
        <f t="shared" si="198"/>
        <v/>
      </c>
      <c r="EK16" t="str">
        <f t="shared" si="199"/>
        <v/>
      </c>
      <c r="EL16" t="str">
        <f t="shared" si="200"/>
        <v/>
      </c>
      <c r="EM16" t="str">
        <f t="shared" si="201"/>
        <v/>
      </c>
      <c r="EN16" t="str">
        <f t="shared" si="202"/>
        <v/>
      </c>
      <c r="EO16" t="str">
        <f t="shared" si="203"/>
        <v/>
      </c>
      <c r="EP16" t="str">
        <f t="shared" si="204"/>
        <v/>
      </c>
      <c r="EQ16" t="str">
        <f t="shared" si="205"/>
        <v/>
      </c>
      <c r="ER16" t="str">
        <f t="shared" si="206"/>
        <v/>
      </c>
      <c r="ES16" t="str">
        <f t="shared" si="207"/>
        <v/>
      </c>
      <c r="ET16" t="str">
        <f t="shared" si="208"/>
        <v/>
      </c>
      <c r="EU16" t="str">
        <f t="shared" si="209"/>
        <v/>
      </c>
      <c r="EV16" t="str">
        <f t="shared" si="210"/>
        <v/>
      </c>
      <c r="EW16" t="str">
        <f t="shared" si="211"/>
        <v/>
      </c>
      <c r="EX16" t="str">
        <f t="shared" si="212"/>
        <v/>
      </c>
      <c r="EY16" t="str">
        <f t="shared" si="213"/>
        <v/>
      </c>
    </row>
    <row r="17" spans="1:155" ht="13.9" customHeight="1" x14ac:dyDescent="0.25">
      <c r="A17" s="7"/>
      <c r="B17" s="17"/>
      <c r="C17" s="8"/>
      <c r="D17" s="17"/>
      <c r="E17" s="8"/>
      <c r="F17" s="18">
        <v>0</v>
      </c>
      <c r="G17" s="7" t="s">
        <v>147</v>
      </c>
      <c r="H17" s="18">
        <v>0</v>
      </c>
      <c r="I17" s="19">
        <v>0</v>
      </c>
      <c r="J17" s="7" t="s">
        <v>147</v>
      </c>
      <c r="K17" s="19">
        <v>0</v>
      </c>
      <c r="L17" s="9"/>
      <c r="M17" s="3" t="str">
        <f>IF($L17="","",IF($L17="DOELPUNTENMAKERS","",IF(AND(COUNTIF(#REF!,$B17)=0,COUNTIF(#REF!,$D17)=0),"OK",IF($O17&gt;20,"LET OP: meer dan 20 items (controle onvolledig)",IF((COUNTIF($R17:$AS17,"ONZEKER")+COUNTIF($CJ17:$DK17,"ONZEKER"))&gt;0,"LET OP: scoreverloop onduidelijk (controle beperkt)",IF((IF($AT17&lt;&gt;"",$AT17&amp;", ","")&amp;IF($AU17&lt;&gt;"",$AU17&amp;", ","")&amp;IF($AV17&lt;&gt;"",$AV17&amp;", ","")&amp;IF($AW17&lt;&gt;"",$AW17&amp;", ","")&amp;IF($AX17&lt;&gt;"",$AX17&amp;", ","")&amp;IF($AY17&lt;&gt;"",$AY17&amp;", ","")&amp;IF($AZ17&lt;&gt;"",$AZ17&amp;", ","")&amp;IF($BA17&lt;&gt;"",$BA17&amp;", ","")&amp;IF($BB17&lt;&gt;"",$BB17&amp;", ","")&amp;IF($BC17&lt;&gt;"",$BC17&amp;", ","")&amp;IF($DL17&lt;&gt;"",$DL17&amp;", ","")&amp;IF($DM17&lt;&gt;"",$DM17&amp;", ","")&amp;IF($DN17&lt;&gt;"",$DN17&amp;", ","")&amp;IF($DO17&lt;&gt;"",$DO17&amp;", ","")&amp;IF($DP17&lt;&gt;"",$DP17&amp;", ","")&amp;IF($DQ17&lt;&gt;"",$DQ17&amp;", ","")&amp;IF($DR17&lt;&gt;"",$DR17&amp;", ","")&amp;IF($DS17&lt;&gt;"",$DS17&amp;", ","")&amp;IF($DT17&lt;&gt;"",$DT17&amp;", ","")&amp;IF($DU17&lt;&gt;"",$DU17&amp;", ",""))="","OK","Onbekend: "&amp;LEFT((IF($AT17&lt;&gt;"",$AT17&amp;", ","")&amp;IF($AU17&lt;&gt;"",$AU17&amp;", ","")&amp;IF($AV17&lt;&gt;"",$AV17&amp;", ","")&amp;IF($AW17&lt;&gt;"",$AW17&amp;", ","")&amp;IF($AX17&lt;&gt;"",$AX17&amp;", ","")&amp;IF($AY17&lt;&gt;"",$AY17&amp;", ","")&amp;IF($AZ17&lt;&gt;"",$AZ17&amp;", ","")&amp;IF($BA17&lt;&gt;"",$BA17&amp;", ","")&amp;IF($BB17&lt;&gt;"",$BB17&amp;", ","")&amp;IF($BC17&lt;&gt;"",$BC17&amp;", ","")&amp;IF($DL17&lt;&gt;"",$DL17&amp;", ","")&amp;IF($DM17&lt;&gt;"",$DM17&amp;", ","")&amp;IF($DN17&lt;&gt;"",$DN17&amp;", ","")&amp;IF($DO17&lt;&gt;"",$DO17&amp;", ","")&amp;IF($DP17&lt;&gt;"",$DP17&amp;", ","")&amp;IF($DQ17&lt;&gt;"",$DQ17&amp;", ","")&amp;IF($DR17&lt;&gt;"",$DR17&amp;", ","")&amp;IF($DS17&lt;&gt;"",$DS17&amp;", ","")&amp;IF($DT17&lt;&gt;"",$DT17&amp;", ","")&amp;IF($DU17&lt;&gt;"",$DU17&amp;", ","")),LEN((IF($AT17&lt;&gt;"",$AT17&amp;", ","")&amp;IF($AU17&lt;&gt;"",$AU17&amp;", ","")&amp;IF($AV17&lt;&gt;"",$AV17&amp;", ","")&amp;IF($AW17&lt;&gt;"",$AW17&amp;", ","")&amp;IF($AX17&lt;&gt;"",$AX17&amp;", ","")&amp;IF($AY17&lt;&gt;"",$AY17&amp;", ","")&amp;IF($AZ17&lt;&gt;"",$AZ17&amp;", ","")&amp;IF($BA17&lt;&gt;"",$BA17&amp;", ","")&amp;IF($BB17&lt;&gt;"",$BB17&amp;", ","")&amp;IF($BC17&lt;&gt;"",$BC17&amp;", ","")&amp;IF($DL17&lt;&gt;"",$DL17&amp;", ","")&amp;IF($DM17&lt;&gt;"",$DM17&amp;", ","")&amp;IF($DN17&lt;&gt;"",$DN17&amp;", ","")&amp;IF($DO17&lt;&gt;"",$DO17&amp;", ","")&amp;IF($DP17&lt;&gt;"",$DP17&amp;", ","")&amp;IF($DQ17&lt;&gt;"",$DQ17&amp;", ","")&amp;IF($DR17&lt;&gt;"",$DR17&amp;", ","")&amp;IF($DS17&lt;&gt;"",$DS17&amp;", ","")&amp;IF($DT17&lt;&gt;"",$DT17&amp;", ","")&amp;IF($DU17&lt;&gt;"",$DU17&amp;", ","")))-2)))))))</f>
        <v/>
      </c>
      <c r="N17" t="str">
        <f t="shared" si="122"/>
        <v/>
      </c>
      <c r="O17" t="str">
        <f t="shared" si="123"/>
        <v/>
      </c>
      <c r="P17" t="str">
        <f t="shared" si="124"/>
        <v/>
      </c>
      <c r="Q17" t="str">
        <f t="shared" si="125"/>
        <v/>
      </c>
      <c r="R17" t="str">
        <f>IF($Q17="","",IF(OR($BE17="",$BF17=""),"ONZEKER",IF(AND($BE17=0+1,$BF17=0),IF(OR(COUNTIF(#REF!,$B17)&gt;0,COUNTIF(#REF!,$B17)=0),"SKIP",IF(COUNTIFS(#REF!,$B17,#REF!,$Q17)&gt;0,"OK","ONBEKEND")),IF(AND($BE17=0,$BF17=0+1),IF(OR(COUNTIF(#REF!,$D17)&gt;0,COUNTIF(#REF!,$D17)=0),"SKIP",IF(COUNTIFS(#REF!,$D17,#REF!,$Q17)&gt;0,"OK","ONBEKEND")),"ONZEKER"))))</f>
        <v/>
      </c>
      <c r="S17" t="str">
        <f t="shared" si="126"/>
        <v/>
      </c>
      <c r="T17" t="str">
        <f t="shared" si="127"/>
        <v/>
      </c>
      <c r="U17" t="str">
        <f>IF($T17="","",IF(OR($BH17="",$BI17=""),"ONZEKER",IF(OR($BE17="",$BF17=""),"ONZEKER",IF(AND($BH17=$BE17+1,$BI17=$BF17),IF(OR(COUNTIF(#REF!,$B17)&gt;0,COUNTIF(#REF!,$B17)=0),"SKIP",IF(COUNTIFS(#REF!,$B17,#REF!,$T17)&gt;0,"OK","ONBEKEND")),IF(AND($BH17=$BE17,$BI17=$BF17+1),IF(OR(COUNTIF(#REF!,$D17)&gt;0,COUNTIF(#REF!,$D17)=0),"SKIP",IF(COUNTIFS(#REF!,$D17,#REF!,$T17)&gt;0,"OK","ONBEKEND")),"ONZEKER")))))</f>
        <v/>
      </c>
      <c r="V17" t="str">
        <f t="shared" si="128"/>
        <v/>
      </c>
      <c r="W17" t="str">
        <f t="shared" si="129"/>
        <v/>
      </c>
      <c r="X17" t="str">
        <f>IF($W17="","",IF(OR($BK17="",$BL17=""),"ONZEKER",IF(OR($BH17="",$BI17=""),"ONZEKER",IF(AND($BK17=$BH17+1,$BL17=$BI17),IF(OR(COUNTIF(#REF!,$B17)&gt;0,COUNTIF(#REF!,$B17)=0),"SKIP",IF(COUNTIFS(#REF!,$B17,#REF!,$W17)&gt;0,"OK","ONBEKEND")),IF(AND($BK17=$BH17,$BL17=$BI17+1),IF(OR(COUNTIF(#REF!,$D17)&gt;0,COUNTIF(#REF!,$D17)=0),"SKIP",IF(COUNTIFS(#REF!,$D17,#REF!,$W17)&gt;0,"OK","ONBEKEND")),"ONZEKER")))))</f>
        <v/>
      </c>
      <c r="Y17" t="str">
        <f t="shared" si="130"/>
        <v/>
      </c>
      <c r="Z17" t="str">
        <f t="shared" si="131"/>
        <v/>
      </c>
      <c r="AA17" t="str">
        <f>IF($Z17="","",IF(OR($BN17="",$BO17=""),"ONZEKER",IF(OR($BK17="",$BL17=""),"ONZEKER",IF(AND($BN17=$BK17+1,$BO17=$BL17),IF(OR(COUNTIF(#REF!,$B17)&gt;0,COUNTIF(#REF!,$B17)=0),"SKIP",IF(COUNTIFS(#REF!,$B17,#REF!,$Z17)&gt;0,"OK","ONBEKEND")),IF(AND($BN17=$BK17,$BO17=$BL17+1),IF(OR(COUNTIF(#REF!,$D17)&gt;0,COUNTIF(#REF!,$D17)=0),"SKIP",IF(COUNTIFS(#REF!,$D17,#REF!,$Z17)&gt;0,"OK","ONBEKEND")),"ONZEKER")))))</f>
        <v/>
      </c>
      <c r="AB17" t="str">
        <f t="shared" si="132"/>
        <v/>
      </c>
      <c r="AC17" t="str">
        <f t="shared" si="133"/>
        <v/>
      </c>
      <c r="AD17" t="str">
        <f>IF($AC17="","",IF(OR($BQ17="",$BR17=""),"ONZEKER",IF(OR($BN17="",$BO17=""),"ONZEKER",IF(AND($BQ17=$BN17+1,$BR17=$BO17),IF(OR(COUNTIF(#REF!,$B17)&gt;0,COUNTIF(#REF!,$B17)=0),"SKIP",IF(COUNTIFS(#REF!,$B17,#REF!,$AC17)&gt;0,"OK","ONBEKEND")),IF(AND($BQ17=$BN17,$BR17=$BO17+1),IF(OR(COUNTIF(#REF!,$D17)&gt;0,COUNTIF(#REF!,$D17)=0),"SKIP",IF(COUNTIFS(#REF!,$D17,#REF!,$AC17)&gt;0,"OK","ONBEKEND")),"ONZEKER")))))</f>
        <v/>
      </c>
      <c r="AE17" t="str">
        <f t="shared" si="134"/>
        <v/>
      </c>
      <c r="AF17" t="str">
        <f t="shared" si="135"/>
        <v/>
      </c>
      <c r="AG17" t="str">
        <f>IF($AF17="","",IF(OR($BT17="",$BU17=""),"ONZEKER",IF(OR($BQ17="",$BR17=""),"ONZEKER",IF(AND($BT17=$BQ17+1,$BU17=$BR17),IF(OR(COUNTIF(#REF!,$B17)&gt;0,COUNTIF(#REF!,$B17)=0),"SKIP",IF(COUNTIFS(#REF!,$B17,#REF!,$AF17)&gt;0,"OK","ONBEKEND")),IF(AND($BT17=$BQ17,$BU17=$BR17+1),IF(OR(COUNTIF(#REF!,$D17)&gt;0,COUNTIF(#REF!,$D17)=0),"SKIP",IF(COUNTIFS(#REF!,$D17,#REF!,$AF17)&gt;0,"OK","ONBEKEND")),"ONZEKER")))))</f>
        <v/>
      </c>
      <c r="AH17" t="str">
        <f t="shared" si="136"/>
        <v/>
      </c>
      <c r="AI17" t="str">
        <f t="shared" si="137"/>
        <v/>
      </c>
      <c r="AJ17" t="str">
        <f>IF($AI17="","",IF(OR($BW17="",$BX17=""),"ONZEKER",IF(OR($BT17="",$BU17=""),"ONZEKER",IF(AND($BW17=$BT17+1,$BX17=$BU17),IF(OR(COUNTIF(#REF!,$B17)&gt;0,COUNTIF(#REF!,$B17)=0),"SKIP",IF(COUNTIFS(#REF!,$B17,#REF!,$AI17)&gt;0,"OK","ONBEKEND")),IF(AND($BW17=$BT17,$BX17=$BU17+1),IF(OR(COUNTIF(#REF!,$D17)&gt;0,COUNTIF(#REF!,$D17)=0),"SKIP",IF(COUNTIFS(#REF!,$D17,#REF!,$AI17)&gt;0,"OK","ONBEKEND")),"ONZEKER")))))</f>
        <v/>
      </c>
      <c r="AK17" t="str">
        <f t="shared" si="138"/>
        <v/>
      </c>
      <c r="AL17" t="str">
        <f t="shared" si="139"/>
        <v/>
      </c>
      <c r="AM17" t="str">
        <f>IF($AL17="","",IF(OR($BZ17="",$CA17=""),"ONZEKER",IF(OR($BW17="",$BX17=""),"ONZEKER",IF(AND($BZ17=$BW17+1,$CA17=$BX17),IF(OR(COUNTIF(#REF!,$B17)&gt;0,COUNTIF(#REF!,$B17)=0),"SKIP",IF(COUNTIFS(#REF!,$B17,#REF!,$AL17)&gt;0,"OK","ONBEKEND")),IF(AND($BZ17=$BW17,$CA17=$BX17+1),IF(OR(COUNTIF(#REF!,$D17)&gt;0,COUNTIF(#REF!,$D17)=0),"SKIP",IF(COUNTIFS(#REF!,$D17,#REF!,$AL17)&gt;0,"OK","ONBEKEND")),"ONZEKER")))))</f>
        <v/>
      </c>
      <c r="AN17" t="str">
        <f t="shared" si="140"/>
        <v/>
      </c>
      <c r="AO17" t="str">
        <f t="shared" si="141"/>
        <v/>
      </c>
      <c r="AP17" t="str">
        <f>IF($AO17="","",IF(OR($CC17="",$CD17=""),"ONZEKER",IF(OR($BZ17="",$CA17=""),"ONZEKER",IF(AND($CC17=$BZ17+1,$CD17=$CA17),IF(OR(COUNTIF(#REF!,$B17)&gt;0,COUNTIF(#REF!,$B17)=0),"SKIP",IF(COUNTIFS(#REF!,$B17,#REF!,$AO17)&gt;0,"OK","ONBEKEND")),IF(AND($CC17=$BZ17,$CD17=$CA17+1),IF(OR(COUNTIF(#REF!,$D17)&gt;0,COUNTIF(#REF!,$D17)=0),"SKIP",IF(COUNTIFS(#REF!,$D17,#REF!,$AO17)&gt;0,"OK","ONBEKEND")),"ONZEKER")))))</f>
        <v/>
      </c>
      <c r="AQ17" t="str">
        <f t="shared" si="142"/>
        <v/>
      </c>
      <c r="AR17" t="str">
        <f t="shared" si="143"/>
        <v/>
      </c>
      <c r="AS17" t="str">
        <f>IF($AR17="","",IF(OR($CF17="",$CG17=""),"ONZEKER",IF(OR($CC17="",$CD17=""),"ONZEKER",IF(AND($CF17=$CC17+1,$CG17=$CD17),IF(OR(COUNTIF(#REF!,$B17)&gt;0,COUNTIF(#REF!,$B17)=0),"SKIP",IF(COUNTIFS(#REF!,$B17,#REF!,$AR17)&gt;0,"OK","ONBEKEND")),IF(AND($CF17=$CC17,$CG17=$CD17+1),IF(OR(COUNTIF(#REF!,$D17)&gt;0,COUNTIF(#REF!,$D17)=0),"SKIP",IF(COUNTIFS(#REF!,$D17,#REF!,$AR17)&gt;0,"OK","ONBEKEND")),"ONZEKER")))))</f>
        <v/>
      </c>
      <c r="AT17" t="str">
        <f t="shared" si="144"/>
        <v/>
      </c>
      <c r="AU17" t="str">
        <f t="shared" si="145"/>
        <v/>
      </c>
      <c r="AV17" t="str">
        <f t="shared" si="146"/>
        <v/>
      </c>
      <c r="AW17" t="str">
        <f t="shared" si="147"/>
        <v/>
      </c>
      <c r="AX17" t="str">
        <f t="shared" si="148"/>
        <v/>
      </c>
      <c r="AY17" t="str">
        <f t="shared" si="149"/>
        <v/>
      </c>
      <c r="AZ17" t="str">
        <f t="shared" si="150"/>
        <v/>
      </c>
      <c r="BA17" t="str">
        <f t="shared" si="151"/>
        <v/>
      </c>
      <c r="BB17" t="str">
        <f t="shared" si="152"/>
        <v/>
      </c>
      <c r="BC17" t="str">
        <f t="shared" si="153"/>
        <v/>
      </c>
      <c r="BD17" t="str">
        <f t="shared" si="32"/>
        <v/>
      </c>
      <c r="BE17" t="str">
        <f t="shared" si="33"/>
        <v/>
      </c>
      <c r="BF17" t="str">
        <f t="shared" si="34"/>
        <v/>
      </c>
      <c r="BG17" t="str">
        <f t="shared" si="35"/>
        <v/>
      </c>
      <c r="BH17" t="str">
        <f t="shared" si="36"/>
        <v/>
      </c>
      <c r="BI17" t="str">
        <f t="shared" si="37"/>
        <v/>
      </c>
      <c r="BJ17" t="str">
        <f t="shared" si="38"/>
        <v/>
      </c>
      <c r="BK17" t="str">
        <f t="shared" si="39"/>
        <v/>
      </c>
      <c r="BL17" t="str">
        <f t="shared" si="40"/>
        <v/>
      </c>
      <c r="BM17" t="str">
        <f t="shared" si="41"/>
        <v/>
      </c>
      <c r="BN17" t="str">
        <f t="shared" si="42"/>
        <v/>
      </c>
      <c r="BO17" t="str">
        <f t="shared" si="43"/>
        <v/>
      </c>
      <c r="BP17" t="str">
        <f t="shared" si="44"/>
        <v/>
      </c>
      <c r="BQ17" t="str">
        <f t="shared" si="45"/>
        <v/>
      </c>
      <c r="BR17" t="str">
        <f t="shared" si="46"/>
        <v/>
      </c>
      <c r="BS17" t="str">
        <f t="shared" si="47"/>
        <v/>
      </c>
      <c r="BT17" t="str">
        <f t="shared" si="48"/>
        <v/>
      </c>
      <c r="BU17" t="str">
        <f t="shared" si="49"/>
        <v/>
      </c>
      <c r="BV17" t="str">
        <f t="shared" si="50"/>
        <v/>
      </c>
      <c r="BW17" t="str">
        <f t="shared" si="51"/>
        <v/>
      </c>
      <c r="BX17" t="str">
        <f t="shared" si="52"/>
        <v/>
      </c>
      <c r="BY17" t="str">
        <f t="shared" si="53"/>
        <v/>
      </c>
      <c r="BZ17" t="str">
        <f t="shared" si="54"/>
        <v/>
      </c>
      <c r="CA17" t="str">
        <f t="shared" si="55"/>
        <v/>
      </c>
      <c r="CB17" t="str">
        <f t="shared" si="56"/>
        <v/>
      </c>
      <c r="CC17" t="str">
        <f t="shared" si="57"/>
        <v/>
      </c>
      <c r="CD17" t="str">
        <f t="shared" si="58"/>
        <v/>
      </c>
      <c r="CE17" t="str">
        <f t="shared" si="59"/>
        <v/>
      </c>
      <c r="CF17" t="str">
        <f t="shared" si="60"/>
        <v/>
      </c>
      <c r="CG17" t="str">
        <f t="shared" si="61"/>
        <v/>
      </c>
      <c r="CH17" t="str">
        <f t="shared" si="154"/>
        <v/>
      </c>
      <c r="CI17" t="str">
        <f t="shared" si="155"/>
        <v/>
      </c>
      <c r="CJ17" t="str">
        <f>IF($CI17="","",IF(OR($DW17="",$DX17=""),"ONZEKER",IF(OR($CF17="",$CG17=""),"ONZEKER",IF(AND($DW17=$CF17+1,$DX17=$CG17),IF(OR(COUNTIF(#REF!,$B17)&gt;0,COUNTIF(#REF!,$B17)=0),"SKIP",IF(COUNTIFS(#REF!,$B17,#REF!,$CI17)&gt;0,"OK","ONBEKEND")),IF(AND($DW17=$CF17,$DX17=$CG17+1),IF(OR(COUNTIF(#REF!,$D17)&gt;0,COUNTIF(#REF!,$D17)=0),"SKIP",IF(COUNTIFS(#REF!,$D17,#REF!,$CI17)&gt;0,"OK","ONBEKEND")),"ONZEKER")))))</f>
        <v/>
      </c>
      <c r="CK17" t="str">
        <f t="shared" si="156"/>
        <v/>
      </c>
      <c r="CL17" t="str">
        <f t="shared" si="157"/>
        <v/>
      </c>
      <c r="CM17" t="str">
        <f>IF($CL17="","",IF(OR($DZ17="",$EA17=""),"ONZEKER",IF(OR($DW17="",$DX17=""),"ONZEKER",IF(AND($DZ17=$DW17+1,$EA17=$DX17),IF(OR(COUNTIF(#REF!,$B17)&gt;0,COUNTIF(#REF!,$B17)=0),"SKIP",IF(COUNTIFS(#REF!,$B17,#REF!,$CL17)&gt;0,"OK","ONBEKEND")),IF(AND($DZ17=$DW17,$EA17=$DX17+1),IF(OR(COUNTIF(#REF!,$D17)&gt;0,COUNTIF(#REF!,$D17)=0),"SKIP",IF(COUNTIFS(#REF!,$D17,#REF!,$CL17)&gt;0,"OK","ONBEKEND")),"ONZEKER")))))</f>
        <v/>
      </c>
      <c r="CN17" t="str">
        <f t="shared" si="158"/>
        <v/>
      </c>
      <c r="CO17" t="str">
        <f t="shared" si="159"/>
        <v/>
      </c>
      <c r="CP17" t="str">
        <f>IF($CO17="","",IF(OR($EC17="",$ED17=""),"ONZEKER",IF(OR($DZ17="",$EA17=""),"ONZEKER",IF(AND($EC17=$DZ17+1,$ED17=$EA17),IF(OR(COUNTIF(#REF!,$B17)&gt;0,COUNTIF(#REF!,$B17)=0),"SKIP",IF(COUNTIFS(#REF!,$B17,#REF!,$CO17)&gt;0,"OK","ONBEKEND")),IF(AND($EC17=$DZ17,$ED17=$EA17+1),IF(OR(COUNTIF(#REF!,$D17)&gt;0,COUNTIF(#REF!,$D17)=0),"SKIP",IF(COUNTIFS(#REF!,$D17,#REF!,$CO17)&gt;0,"OK","ONBEKEND")),"ONZEKER")))))</f>
        <v/>
      </c>
      <c r="CQ17" t="str">
        <f t="shared" si="160"/>
        <v/>
      </c>
      <c r="CR17" t="str">
        <f t="shared" si="161"/>
        <v/>
      </c>
      <c r="CS17" t="str">
        <f>IF($CR17="","",IF(OR($EF17="",$EG17=""),"ONZEKER",IF(OR($EC17="",$ED17=""),"ONZEKER",IF(AND($EF17=$EC17+1,$EG17=$ED17),IF(OR(COUNTIF(#REF!,$B17)&gt;0,COUNTIF(#REF!,$B17)=0),"SKIP",IF(COUNTIFS(#REF!,$B17,#REF!,$CR17)&gt;0,"OK","ONBEKEND")),IF(AND($EF17=$EC17,$EG17=$ED17+1),IF(OR(COUNTIF(#REF!,$D17)&gt;0,COUNTIF(#REF!,$D17)=0),"SKIP",IF(COUNTIFS(#REF!,$D17,#REF!,$CR17)&gt;0,"OK","ONBEKEND")),"ONZEKER")))))</f>
        <v/>
      </c>
      <c r="CT17" t="str">
        <f t="shared" si="162"/>
        <v/>
      </c>
      <c r="CU17" t="str">
        <f t="shared" si="163"/>
        <v/>
      </c>
      <c r="CV17" t="str">
        <f>IF($CU17="","",IF(OR($EI17="",$EJ17=""),"ONZEKER",IF(OR($EF17="",$EG17=""),"ONZEKER",IF(AND($EI17=$EF17+1,$EJ17=$EG17),IF(OR(COUNTIF(#REF!,$B17)&gt;0,COUNTIF(#REF!,$B17)=0),"SKIP",IF(COUNTIFS(#REF!,$B17,#REF!,$CU17)&gt;0,"OK","ONBEKEND")),IF(AND($EI17=$EF17,$EJ17=$EG17+1),IF(OR(COUNTIF(#REF!,$D17)&gt;0,COUNTIF(#REF!,$D17)=0),"SKIP",IF(COUNTIFS(#REF!,$D17,#REF!,$CU17)&gt;0,"OK","ONBEKEND")),"ONZEKER")))))</f>
        <v/>
      </c>
      <c r="CW17" t="str">
        <f t="shared" si="164"/>
        <v/>
      </c>
      <c r="CX17" t="str">
        <f t="shared" si="165"/>
        <v/>
      </c>
      <c r="CY17" t="str">
        <f>IF($CX17="","",IF(OR($EL17="",$EM17=""),"ONZEKER",IF(OR($EI17="",$EJ17=""),"ONZEKER",IF(AND($EL17=$EI17+1,$EM17=$EJ17),IF(OR(COUNTIF(#REF!,$B17)&gt;0,COUNTIF(#REF!,$B17)=0),"SKIP",IF(COUNTIFS(#REF!,$B17,#REF!,$CX17)&gt;0,"OK","ONBEKEND")),IF(AND($EL17=$EI17,$EM17=$EJ17+1),IF(OR(COUNTIF(#REF!,$D17)&gt;0,COUNTIF(#REF!,$D17)=0),"SKIP",IF(COUNTIFS(#REF!,$D17,#REF!,$CX17)&gt;0,"OK","ONBEKEND")),"ONZEKER")))))</f>
        <v/>
      </c>
      <c r="CZ17" t="str">
        <f t="shared" si="166"/>
        <v/>
      </c>
      <c r="DA17" t="str">
        <f t="shared" si="167"/>
        <v/>
      </c>
      <c r="DB17" t="str">
        <f>IF($DA17="","",IF(OR($EO17="",$EP17=""),"ONZEKER",IF(OR($EL17="",$EM17=""),"ONZEKER",IF(AND($EO17=$EL17+1,$EP17=$EM17),IF(OR(COUNTIF(#REF!,$B17)&gt;0,COUNTIF(#REF!,$B17)=0),"SKIP",IF(COUNTIFS(#REF!,$B17,#REF!,$DA17)&gt;0,"OK","ONBEKEND")),IF(AND($EO17=$EL17,$EP17=$EM17+1),IF(OR(COUNTIF(#REF!,$D17)&gt;0,COUNTIF(#REF!,$D17)=0),"SKIP",IF(COUNTIFS(#REF!,$D17,#REF!,$DA17)&gt;0,"OK","ONBEKEND")),"ONZEKER")))))</f>
        <v/>
      </c>
      <c r="DC17" t="str">
        <f t="shared" si="168"/>
        <v/>
      </c>
      <c r="DD17" t="str">
        <f t="shared" si="169"/>
        <v/>
      </c>
      <c r="DE17" t="str">
        <f>IF($DD17="","",IF(OR($ER17="",$ES17=""),"ONZEKER",IF(OR($EO17="",$EP17=""),"ONZEKER",IF(AND($ER17=$EO17+1,$ES17=$EP17),IF(OR(COUNTIF(#REF!,$B17)&gt;0,COUNTIF(#REF!,$B17)=0),"SKIP",IF(COUNTIFS(#REF!,$B17,#REF!,$DD17)&gt;0,"OK","ONBEKEND")),IF(AND($ER17=$EO17,$ES17=$EP17+1),IF(OR(COUNTIF(#REF!,$D17)&gt;0,COUNTIF(#REF!,$D17)=0),"SKIP",IF(COUNTIFS(#REF!,$D17,#REF!,$DD17)&gt;0,"OK","ONBEKEND")),"ONZEKER")))))</f>
        <v/>
      </c>
      <c r="DF17" t="str">
        <f t="shared" si="170"/>
        <v/>
      </c>
      <c r="DG17" t="str">
        <f t="shared" si="171"/>
        <v/>
      </c>
      <c r="DH17" t="str">
        <f>IF($DG17="","",IF(OR($EU17="",$EV17=""),"ONZEKER",IF(OR($ER17="",$ES17=""),"ONZEKER",IF(AND($EU17=$ER17+1,$EV17=$ES17),IF(OR(COUNTIF(#REF!,$B17)&gt;0,COUNTIF(#REF!,$B17)=0),"SKIP",IF(COUNTIFS(#REF!,$B17,#REF!,$DG17)&gt;0,"OK","ONBEKEND")),IF(AND($EU17=$ER17,$EV17=$ES17+1),IF(OR(COUNTIF(#REF!,$D17)&gt;0,COUNTIF(#REF!,$D17)=0),"SKIP",IF(COUNTIFS(#REF!,$D17,#REF!,$DG17)&gt;0,"OK","ONBEKEND")),"ONZEKER")))))</f>
        <v/>
      </c>
      <c r="DI17" t="str">
        <f t="shared" si="172"/>
        <v/>
      </c>
      <c r="DJ17" t="str">
        <f t="shared" si="173"/>
        <v/>
      </c>
      <c r="DK17" t="str">
        <f>IF($DJ17="","",IF(OR($EX17="",$EY17=""),"ONZEKER",IF(OR($EU17="",$EV17=""),"ONZEKER",IF(AND($EX17=$EU17+1,$EY17=$EV17),IF(OR(COUNTIF(#REF!,$B17)&gt;0,COUNTIF(#REF!,$B17)=0),"SKIP",IF(COUNTIFS(#REF!,$B17,#REF!,$DJ17)&gt;0,"OK","ONBEKEND")),IF(AND($EX17=$EU17,$EY17=$EV17+1),IF(OR(COUNTIF(#REF!,$D17)&gt;0,COUNTIF(#REF!,$D17)=0),"SKIP",IF(COUNTIFS(#REF!,$D17,#REF!,$DJ17)&gt;0,"OK","ONBEKEND")),"ONZEKER")))))</f>
        <v/>
      </c>
      <c r="DL17" t="str">
        <f t="shared" si="174"/>
        <v/>
      </c>
      <c r="DM17" t="str">
        <f t="shared" si="175"/>
        <v/>
      </c>
      <c r="DN17" t="str">
        <f t="shared" si="176"/>
        <v/>
      </c>
      <c r="DO17" t="str">
        <f t="shared" si="177"/>
        <v/>
      </c>
      <c r="DP17" t="str">
        <f t="shared" si="178"/>
        <v/>
      </c>
      <c r="DQ17" t="str">
        <f t="shared" si="179"/>
        <v/>
      </c>
      <c r="DR17" t="str">
        <f t="shared" si="180"/>
        <v/>
      </c>
      <c r="DS17" t="str">
        <f t="shared" si="181"/>
        <v/>
      </c>
      <c r="DT17" t="str">
        <f t="shared" si="182"/>
        <v/>
      </c>
      <c r="DU17" t="str">
        <f t="shared" si="183"/>
        <v/>
      </c>
      <c r="DV17" t="str">
        <f t="shared" si="184"/>
        <v/>
      </c>
      <c r="DW17" t="str">
        <f t="shared" si="185"/>
        <v/>
      </c>
      <c r="DX17" t="str">
        <f t="shared" si="186"/>
        <v/>
      </c>
      <c r="DY17" t="str">
        <f t="shared" si="187"/>
        <v/>
      </c>
      <c r="DZ17" t="str">
        <f t="shared" si="188"/>
        <v/>
      </c>
      <c r="EA17" t="str">
        <f t="shared" si="189"/>
        <v/>
      </c>
      <c r="EB17" t="str">
        <f t="shared" si="190"/>
        <v/>
      </c>
      <c r="EC17" t="str">
        <f t="shared" si="191"/>
        <v/>
      </c>
      <c r="ED17" t="str">
        <f t="shared" si="192"/>
        <v/>
      </c>
      <c r="EE17" t="str">
        <f t="shared" si="193"/>
        <v/>
      </c>
      <c r="EF17" t="str">
        <f t="shared" si="194"/>
        <v/>
      </c>
      <c r="EG17" t="str">
        <f t="shared" si="195"/>
        <v/>
      </c>
      <c r="EH17" t="str">
        <f t="shared" si="196"/>
        <v/>
      </c>
      <c r="EI17" t="str">
        <f t="shared" si="197"/>
        <v/>
      </c>
      <c r="EJ17" t="str">
        <f t="shared" si="198"/>
        <v/>
      </c>
      <c r="EK17" t="str">
        <f t="shared" si="199"/>
        <v/>
      </c>
      <c r="EL17" t="str">
        <f t="shared" si="200"/>
        <v/>
      </c>
      <c r="EM17" t="str">
        <f t="shared" si="201"/>
        <v/>
      </c>
      <c r="EN17" t="str">
        <f t="shared" si="202"/>
        <v/>
      </c>
      <c r="EO17" t="str">
        <f t="shared" si="203"/>
        <v/>
      </c>
      <c r="EP17" t="str">
        <f t="shared" si="204"/>
        <v/>
      </c>
      <c r="EQ17" t="str">
        <f t="shared" si="205"/>
        <v/>
      </c>
      <c r="ER17" t="str">
        <f t="shared" si="206"/>
        <v/>
      </c>
      <c r="ES17" t="str">
        <f t="shared" si="207"/>
        <v/>
      </c>
      <c r="ET17" t="str">
        <f t="shared" si="208"/>
        <v/>
      </c>
      <c r="EU17" t="str">
        <f t="shared" si="209"/>
        <v/>
      </c>
      <c r="EV17" t="str">
        <f t="shared" si="210"/>
        <v/>
      </c>
      <c r="EW17" t="str">
        <f t="shared" si="211"/>
        <v/>
      </c>
      <c r="EX17" t="str">
        <f t="shared" si="212"/>
        <v/>
      </c>
      <c r="EY17" t="str">
        <f t="shared" si="213"/>
        <v/>
      </c>
    </row>
    <row r="18" spans="1:155" ht="13.9" customHeight="1" x14ac:dyDescent="0.25">
      <c r="A18" s="7"/>
      <c r="B18" s="17"/>
      <c r="C18" s="8"/>
      <c r="D18" s="17"/>
      <c r="E18" s="8"/>
      <c r="F18" s="18">
        <v>0</v>
      </c>
      <c r="G18" s="7" t="s">
        <v>147</v>
      </c>
      <c r="H18" s="18">
        <v>0</v>
      </c>
      <c r="I18" s="19">
        <v>0</v>
      </c>
      <c r="J18" s="7" t="s">
        <v>147</v>
      </c>
      <c r="K18" s="19">
        <v>0</v>
      </c>
      <c r="L18" s="9"/>
      <c r="M18" s="3" t="str">
        <f>IF($L18="","",IF($L18="DOELPUNTENMAKERS","",IF(AND(COUNTIF(#REF!,$B18)=0,COUNTIF(#REF!,$D18)=0),"OK",IF($O18&gt;20,"LET OP: meer dan 20 items (controle onvolledig)",IF((COUNTIF($R18:$AS18,"ONZEKER")+COUNTIF($CJ18:$DK18,"ONZEKER"))&gt;0,"LET OP: scoreverloop onduidelijk (controle beperkt)",IF((IF($AT18&lt;&gt;"",$AT18&amp;", ","")&amp;IF($AU18&lt;&gt;"",$AU18&amp;", ","")&amp;IF($AV18&lt;&gt;"",$AV18&amp;", ","")&amp;IF($AW18&lt;&gt;"",$AW18&amp;", ","")&amp;IF($AX18&lt;&gt;"",$AX18&amp;", ","")&amp;IF($AY18&lt;&gt;"",$AY18&amp;", ","")&amp;IF($AZ18&lt;&gt;"",$AZ18&amp;", ","")&amp;IF($BA18&lt;&gt;"",$BA18&amp;", ","")&amp;IF($BB18&lt;&gt;"",$BB18&amp;", ","")&amp;IF($BC18&lt;&gt;"",$BC18&amp;", ","")&amp;IF($DL18&lt;&gt;"",$DL18&amp;", ","")&amp;IF($DM18&lt;&gt;"",$DM18&amp;", ","")&amp;IF($DN18&lt;&gt;"",$DN18&amp;", ","")&amp;IF($DO18&lt;&gt;"",$DO18&amp;", ","")&amp;IF($DP18&lt;&gt;"",$DP18&amp;", ","")&amp;IF($DQ18&lt;&gt;"",$DQ18&amp;", ","")&amp;IF($DR18&lt;&gt;"",$DR18&amp;", ","")&amp;IF($DS18&lt;&gt;"",$DS18&amp;", ","")&amp;IF($DT18&lt;&gt;"",$DT18&amp;", ","")&amp;IF($DU18&lt;&gt;"",$DU18&amp;", ",""))="","OK","Onbekend: "&amp;LEFT((IF($AT18&lt;&gt;"",$AT18&amp;", ","")&amp;IF($AU18&lt;&gt;"",$AU18&amp;", ","")&amp;IF($AV18&lt;&gt;"",$AV18&amp;", ","")&amp;IF($AW18&lt;&gt;"",$AW18&amp;", ","")&amp;IF($AX18&lt;&gt;"",$AX18&amp;", ","")&amp;IF($AY18&lt;&gt;"",$AY18&amp;", ","")&amp;IF($AZ18&lt;&gt;"",$AZ18&amp;", ","")&amp;IF($BA18&lt;&gt;"",$BA18&amp;", ","")&amp;IF($BB18&lt;&gt;"",$BB18&amp;", ","")&amp;IF($BC18&lt;&gt;"",$BC18&amp;", ","")&amp;IF($DL18&lt;&gt;"",$DL18&amp;", ","")&amp;IF($DM18&lt;&gt;"",$DM18&amp;", ","")&amp;IF($DN18&lt;&gt;"",$DN18&amp;", ","")&amp;IF($DO18&lt;&gt;"",$DO18&amp;", ","")&amp;IF($DP18&lt;&gt;"",$DP18&amp;", ","")&amp;IF($DQ18&lt;&gt;"",$DQ18&amp;", ","")&amp;IF($DR18&lt;&gt;"",$DR18&amp;", ","")&amp;IF($DS18&lt;&gt;"",$DS18&amp;", ","")&amp;IF($DT18&lt;&gt;"",$DT18&amp;", ","")&amp;IF($DU18&lt;&gt;"",$DU18&amp;", ","")),LEN((IF($AT18&lt;&gt;"",$AT18&amp;", ","")&amp;IF($AU18&lt;&gt;"",$AU18&amp;", ","")&amp;IF($AV18&lt;&gt;"",$AV18&amp;", ","")&amp;IF($AW18&lt;&gt;"",$AW18&amp;", ","")&amp;IF($AX18&lt;&gt;"",$AX18&amp;", ","")&amp;IF($AY18&lt;&gt;"",$AY18&amp;", ","")&amp;IF($AZ18&lt;&gt;"",$AZ18&amp;", ","")&amp;IF($BA18&lt;&gt;"",$BA18&amp;", ","")&amp;IF($BB18&lt;&gt;"",$BB18&amp;", ","")&amp;IF($BC18&lt;&gt;"",$BC18&amp;", ","")&amp;IF($DL18&lt;&gt;"",$DL18&amp;", ","")&amp;IF($DM18&lt;&gt;"",$DM18&amp;", ","")&amp;IF($DN18&lt;&gt;"",$DN18&amp;", ","")&amp;IF($DO18&lt;&gt;"",$DO18&amp;", ","")&amp;IF($DP18&lt;&gt;"",$DP18&amp;", ","")&amp;IF($DQ18&lt;&gt;"",$DQ18&amp;", ","")&amp;IF($DR18&lt;&gt;"",$DR18&amp;", ","")&amp;IF($DS18&lt;&gt;"",$DS18&amp;", ","")&amp;IF($DT18&lt;&gt;"",$DT18&amp;", ","")&amp;IF($DU18&lt;&gt;"",$DU18&amp;", ","")))-2)))))))</f>
        <v/>
      </c>
      <c r="N18" t="str">
        <f t="shared" si="122"/>
        <v/>
      </c>
      <c r="O18" t="str">
        <f t="shared" si="123"/>
        <v/>
      </c>
      <c r="P18" t="str">
        <f t="shared" si="124"/>
        <v/>
      </c>
      <c r="Q18" t="str">
        <f t="shared" si="125"/>
        <v/>
      </c>
      <c r="R18" t="str">
        <f>IF($Q18="","",IF(OR($BE18="",$BF18=""),"ONZEKER",IF(AND($BE18=0+1,$BF18=0),IF(OR(COUNTIF(#REF!,$B18)&gt;0,COUNTIF(#REF!,$B18)=0),"SKIP",IF(COUNTIFS(#REF!,$B18,#REF!,$Q18)&gt;0,"OK","ONBEKEND")),IF(AND($BE18=0,$BF18=0+1),IF(OR(COUNTIF(#REF!,$D18)&gt;0,COUNTIF(#REF!,$D18)=0),"SKIP",IF(COUNTIFS(#REF!,$D18,#REF!,$Q18)&gt;0,"OK","ONBEKEND")),"ONZEKER"))))</f>
        <v/>
      </c>
      <c r="S18" t="str">
        <f t="shared" si="126"/>
        <v/>
      </c>
      <c r="T18" t="str">
        <f t="shared" si="127"/>
        <v/>
      </c>
      <c r="U18" t="str">
        <f>IF($T18="","",IF(OR($BH18="",$BI18=""),"ONZEKER",IF(OR($BE18="",$BF18=""),"ONZEKER",IF(AND($BH18=$BE18+1,$BI18=$BF18),IF(OR(COUNTIF(#REF!,$B18)&gt;0,COUNTIF(#REF!,$B18)=0),"SKIP",IF(COUNTIFS(#REF!,$B18,#REF!,$T18)&gt;0,"OK","ONBEKEND")),IF(AND($BH18=$BE18,$BI18=$BF18+1),IF(OR(COUNTIF(#REF!,$D18)&gt;0,COUNTIF(#REF!,$D18)=0),"SKIP",IF(COUNTIFS(#REF!,$D18,#REF!,$T18)&gt;0,"OK","ONBEKEND")),"ONZEKER")))))</f>
        <v/>
      </c>
      <c r="V18" t="str">
        <f t="shared" si="128"/>
        <v/>
      </c>
      <c r="W18" t="str">
        <f t="shared" si="129"/>
        <v/>
      </c>
      <c r="X18" t="str">
        <f>IF($W18="","",IF(OR($BK18="",$BL18=""),"ONZEKER",IF(OR($BH18="",$BI18=""),"ONZEKER",IF(AND($BK18=$BH18+1,$BL18=$BI18),IF(OR(COUNTIF(#REF!,$B18)&gt;0,COUNTIF(#REF!,$B18)=0),"SKIP",IF(COUNTIFS(#REF!,$B18,#REF!,$W18)&gt;0,"OK","ONBEKEND")),IF(AND($BK18=$BH18,$BL18=$BI18+1),IF(OR(COUNTIF(#REF!,$D18)&gt;0,COUNTIF(#REF!,$D18)=0),"SKIP",IF(COUNTIFS(#REF!,$D18,#REF!,$W18)&gt;0,"OK","ONBEKEND")),"ONZEKER")))))</f>
        <v/>
      </c>
      <c r="Y18" t="str">
        <f t="shared" si="130"/>
        <v/>
      </c>
      <c r="Z18" t="str">
        <f t="shared" si="131"/>
        <v/>
      </c>
      <c r="AA18" t="str">
        <f>IF($Z18="","",IF(OR($BN18="",$BO18=""),"ONZEKER",IF(OR($BK18="",$BL18=""),"ONZEKER",IF(AND($BN18=$BK18+1,$BO18=$BL18),IF(OR(COUNTIF(#REF!,$B18)&gt;0,COUNTIF(#REF!,$B18)=0),"SKIP",IF(COUNTIFS(#REF!,$B18,#REF!,$Z18)&gt;0,"OK","ONBEKEND")),IF(AND($BN18=$BK18,$BO18=$BL18+1),IF(OR(COUNTIF(#REF!,$D18)&gt;0,COUNTIF(#REF!,$D18)=0),"SKIP",IF(COUNTIFS(#REF!,$D18,#REF!,$Z18)&gt;0,"OK","ONBEKEND")),"ONZEKER")))))</f>
        <v/>
      </c>
      <c r="AB18" t="str">
        <f t="shared" si="132"/>
        <v/>
      </c>
      <c r="AC18" t="str">
        <f t="shared" si="133"/>
        <v/>
      </c>
      <c r="AD18" t="str">
        <f>IF($AC18="","",IF(OR($BQ18="",$BR18=""),"ONZEKER",IF(OR($BN18="",$BO18=""),"ONZEKER",IF(AND($BQ18=$BN18+1,$BR18=$BO18),IF(OR(COUNTIF(#REF!,$B18)&gt;0,COUNTIF(#REF!,$B18)=0),"SKIP",IF(COUNTIFS(#REF!,$B18,#REF!,$AC18)&gt;0,"OK","ONBEKEND")),IF(AND($BQ18=$BN18,$BR18=$BO18+1),IF(OR(COUNTIF(#REF!,$D18)&gt;0,COUNTIF(#REF!,$D18)=0),"SKIP",IF(COUNTIFS(#REF!,$D18,#REF!,$AC18)&gt;0,"OK","ONBEKEND")),"ONZEKER")))))</f>
        <v/>
      </c>
      <c r="AE18" t="str">
        <f t="shared" si="134"/>
        <v/>
      </c>
      <c r="AF18" t="str">
        <f t="shared" si="135"/>
        <v/>
      </c>
      <c r="AG18" t="str">
        <f>IF($AF18="","",IF(OR($BT18="",$BU18=""),"ONZEKER",IF(OR($BQ18="",$BR18=""),"ONZEKER",IF(AND($BT18=$BQ18+1,$BU18=$BR18),IF(OR(COUNTIF(#REF!,$B18)&gt;0,COUNTIF(#REF!,$B18)=0),"SKIP",IF(COUNTIFS(#REF!,$B18,#REF!,$AF18)&gt;0,"OK","ONBEKEND")),IF(AND($BT18=$BQ18,$BU18=$BR18+1),IF(OR(COUNTIF(#REF!,$D18)&gt;0,COUNTIF(#REF!,$D18)=0),"SKIP",IF(COUNTIFS(#REF!,$D18,#REF!,$AF18)&gt;0,"OK","ONBEKEND")),"ONZEKER")))))</f>
        <v/>
      </c>
      <c r="AH18" t="str">
        <f t="shared" si="136"/>
        <v/>
      </c>
      <c r="AI18" t="str">
        <f t="shared" si="137"/>
        <v/>
      </c>
      <c r="AJ18" t="str">
        <f>IF($AI18="","",IF(OR($BW18="",$BX18=""),"ONZEKER",IF(OR($BT18="",$BU18=""),"ONZEKER",IF(AND($BW18=$BT18+1,$BX18=$BU18),IF(OR(COUNTIF(#REF!,$B18)&gt;0,COUNTIF(#REF!,$B18)=0),"SKIP",IF(COUNTIFS(#REF!,$B18,#REF!,$AI18)&gt;0,"OK","ONBEKEND")),IF(AND($BW18=$BT18,$BX18=$BU18+1),IF(OR(COUNTIF(#REF!,$D18)&gt;0,COUNTIF(#REF!,$D18)=0),"SKIP",IF(COUNTIFS(#REF!,$D18,#REF!,$AI18)&gt;0,"OK","ONBEKEND")),"ONZEKER")))))</f>
        <v/>
      </c>
      <c r="AK18" t="str">
        <f t="shared" si="138"/>
        <v/>
      </c>
      <c r="AL18" t="str">
        <f t="shared" si="139"/>
        <v/>
      </c>
      <c r="AM18" t="str">
        <f>IF($AL18="","",IF(OR($BZ18="",$CA18=""),"ONZEKER",IF(OR($BW18="",$BX18=""),"ONZEKER",IF(AND($BZ18=$BW18+1,$CA18=$BX18),IF(OR(COUNTIF(#REF!,$B18)&gt;0,COUNTIF(#REF!,$B18)=0),"SKIP",IF(COUNTIFS(#REF!,$B18,#REF!,$AL18)&gt;0,"OK","ONBEKEND")),IF(AND($BZ18=$BW18,$CA18=$BX18+1),IF(OR(COUNTIF(#REF!,$D18)&gt;0,COUNTIF(#REF!,$D18)=0),"SKIP",IF(COUNTIFS(#REF!,$D18,#REF!,$AL18)&gt;0,"OK","ONBEKEND")),"ONZEKER")))))</f>
        <v/>
      </c>
      <c r="AN18" t="str">
        <f t="shared" si="140"/>
        <v/>
      </c>
      <c r="AO18" t="str">
        <f t="shared" si="141"/>
        <v/>
      </c>
      <c r="AP18" t="str">
        <f>IF($AO18="","",IF(OR($CC18="",$CD18=""),"ONZEKER",IF(OR($BZ18="",$CA18=""),"ONZEKER",IF(AND($CC18=$BZ18+1,$CD18=$CA18),IF(OR(COUNTIF(#REF!,$B18)&gt;0,COUNTIF(#REF!,$B18)=0),"SKIP",IF(COUNTIFS(#REF!,$B18,#REF!,$AO18)&gt;0,"OK","ONBEKEND")),IF(AND($CC18=$BZ18,$CD18=$CA18+1),IF(OR(COUNTIF(#REF!,$D18)&gt;0,COUNTIF(#REF!,$D18)=0),"SKIP",IF(COUNTIFS(#REF!,$D18,#REF!,$AO18)&gt;0,"OK","ONBEKEND")),"ONZEKER")))))</f>
        <v/>
      </c>
      <c r="AQ18" t="str">
        <f t="shared" si="142"/>
        <v/>
      </c>
      <c r="AR18" t="str">
        <f t="shared" si="143"/>
        <v/>
      </c>
      <c r="AS18" t="str">
        <f>IF($AR18="","",IF(OR($CF18="",$CG18=""),"ONZEKER",IF(OR($CC18="",$CD18=""),"ONZEKER",IF(AND($CF18=$CC18+1,$CG18=$CD18),IF(OR(COUNTIF(#REF!,$B18)&gt;0,COUNTIF(#REF!,$B18)=0),"SKIP",IF(COUNTIFS(#REF!,$B18,#REF!,$AR18)&gt;0,"OK","ONBEKEND")),IF(AND($CF18=$CC18,$CG18=$CD18+1),IF(OR(COUNTIF(#REF!,$D18)&gt;0,COUNTIF(#REF!,$D18)=0),"SKIP",IF(COUNTIFS(#REF!,$D18,#REF!,$AR18)&gt;0,"OK","ONBEKEND")),"ONZEKER")))))</f>
        <v/>
      </c>
      <c r="AT18" t="str">
        <f t="shared" si="144"/>
        <v/>
      </c>
      <c r="AU18" t="str">
        <f t="shared" si="145"/>
        <v/>
      </c>
      <c r="AV18" t="str">
        <f t="shared" si="146"/>
        <v/>
      </c>
      <c r="AW18" t="str">
        <f t="shared" si="147"/>
        <v/>
      </c>
      <c r="AX18" t="str">
        <f t="shared" si="148"/>
        <v/>
      </c>
      <c r="AY18" t="str">
        <f t="shared" si="149"/>
        <v/>
      </c>
      <c r="AZ18" t="str">
        <f t="shared" si="150"/>
        <v/>
      </c>
      <c r="BA18" t="str">
        <f t="shared" si="151"/>
        <v/>
      </c>
      <c r="BB18" t="str">
        <f t="shared" si="152"/>
        <v/>
      </c>
      <c r="BC18" t="str">
        <f t="shared" si="153"/>
        <v/>
      </c>
      <c r="BD18" t="str">
        <f t="shared" si="32"/>
        <v/>
      </c>
      <c r="BE18" t="str">
        <f t="shared" si="33"/>
        <v/>
      </c>
      <c r="BF18" t="str">
        <f t="shared" si="34"/>
        <v/>
      </c>
      <c r="BG18" t="str">
        <f t="shared" si="35"/>
        <v/>
      </c>
      <c r="BH18" t="str">
        <f t="shared" si="36"/>
        <v/>
      </c>
      <c r="BI18" t="str">
        <f t="shared" si="37"/>
        <v/>
      </c>
      <c r="BJ18" t="str">
        <f t="shared" si="38"/>
        <v/>
      </c>
      <c r="BK18" t="str">
        <f t="shared" si="39"/>
        <v/>
      </c>
      <c r="BL18" t="str">
        <f t="shared" si="40"/>
        <v/>
      </c>
      <c r="BM18" t="str">
        <f t="shared" si="41"/>
        <v/>
      </c>
      <c r="BN18" t="str">
        <f t="shared" si="42"/>
        <v/>
      </c>
      <c r="BO18" t="str">
        <f t="shared" si="43"/>
        <v/>
      </c>
      <c r="BP18" t="str">
        <f t="shared" si="44"/>
        <v/>
      </c>
      <c r="BQ18" t="str">
        <f t="shared" si="45"/>
        <v/>
      </c>
      <c r="BR18" t="str">
        <f t="shared" si="46"/>
        <v/>
      </c>
      <c r="BS18" t="str">
        <f t="shared" si="47"/>
        <v/>
      </c>
      <c r="BT18" t="str">
        <f t="shared" si="48"/>
        <v/>
      </c>
      <c r="BU18" t="str">
        <f t="shared" si="49"/>
        <v/>
      </c>
      <c r="BV18" t="str">
        <f t="shared" si="50"/>
        <v/>
      </c>
      <c r="BW18" t="str">
        <f t="shared" si="51"/>
        <v/>
      </c>
      <c r="BX18" t="str">
        <f t="shared" si="52"/>
        <v/>
      </c>
      <c r="BY18" t="str">
        <f t="shared" si="53"/>
        <v/>
      </c>
      <c r="BZ18" t="str">
        <f t="shared" si="54"/>
        <v/>
      </c>
      <c r="CA18" t="str">
        <f t="shared" si="55"/>
        <v/>
      </c>
      <c r="CB18" t="str">
        <f t="shared" si="56"/>
        <v/>
      </c>
      <c r="CC18" t="str">
        <f t="shared" si="57"/>
        <v/>
      </c>
      <c r="CD18" t="str">
        <f t="shared" si="58"/>
        <v/>
      </c>
      <c r="CE18" t="str">
        <f t="shared" si="59"/>
        <v/>
      </c>
      <c r="CF18" t="str">
        <f t="shared" si="60"/>
        <v/>
      </c>
      <c r="CG18" t="str">
        <f t="shared" si="61"/>
        <v/>
      </c>
      <c r="CH18" t="str">
        <f t="shared" si="154"/>
        <v/>
      </c>
      <c r="CI18" t="str">
        <f t="shared" si="155"/>
        <v/>
      </c>
      <c r="CJ18" t="str">
        <f>IF($CI18="","",IF(OR($DW18="",$DX18=""),"ONZEKER",IF(OR($CF18="",$CG18=""),"ONZEKER",IF(AND($DW18=$CF18+1,$DX18=$CG18),IF(OR(COUNTIF(#REF!,$B18)&gt;0,COUNTIF(#REF!,$B18)=0),"SKIP",IF(COUNTIFS(#REF!,$B18,#REF!,$CI18)&gt;0,"OK","ONBEKEND")),IF(AND($DW18=$CF18,$DX18=$CG18+1),IF(OR(COUNTIF(#REF!,$D18)&gt;0,COUNTIF(#REF!,$D18)=0),"SKIP",IF(COUNTIFS(#REF!,$D18,#REF!,$CI18)&gt;0,"OK","ONBEKEND")),"ONZEKER")))))</f>
        <v/>
      </c>
      <c r="CK18" t="str">
        <f t="shared" si="156"/>
        <v/>
      </c>
      <c r="CL18" t="str">
        <f t="shared" si="157"/>
        <v/>
      </c>
      <c r="CM18" t="str">
        <f>IF($CL18="","",IF(OR($DZ18="",$EA18=""),"ONZEKER",IF(OR($DW18="",$DX18=""),"ONZEKER",IF(AND($DZ18=$DW18+1,$EA18=$DX18),IF(OR(COUNTIF(#REF!,$B18)&gt;0,COUNTIF(#REF!,$B18)=0),"SKIP",IF(COUNTIFS(#REF!,$B18,#REF!,$CL18)&gt;0,"OK","ONBEKEND")),IF(AND($DZ18=$DW18,$EA18=$DX18+1),IF(OR(COUNTIF(#REF!,$D18)&gt;0,COUNTIF(#REF!,$D18)=0),"SKIP",IF(COUNTIFS(#REF!,$D18,#REF!,$CL18)&gt;0,"OK","ONBEKEND")),"ONZEKER")))))</f>
        <v/>
      </c>
      <c r="CN18" t="str">
        <f t="shared" si="158"/>
        <v/>
      </c>
      <c r="CO18" t="str">
        <f t="shared" si="159"/>
        <v/>
      </c>
      <c r="CP18" t="str">
        <f>IF($CO18="","",IF(OR($EC18="",$ED18=""),"ONZEKER",IF(OR($DZ18="",$EA18=""),"ONZEKER",IF(AND($EC18=$DZ18+1,$ED18=$EA18),IF(OR(COUNTIF(#REF!,$B18)&gt;0,COUNTIF(#REF!,$B18)=0),"SKIP",IF(COUNTIFS(#REF!,$B18,#REF!,$CO18)&gt;0,"OK","ONBEKEND")),IF(AND($EC18=$DZ18,$ED18=$EA18+1),IF(OR(COUNTIF(#REF!,$D18)&gt;0,COUNTIF(#REF!,$D18)=0),"SKIP",IF(COUNTIFS(#REF!,$D18,#REF!,$CO18)&gt;0,"OK","ONBEKEND")),"ONZEKER")))))</f>
        <v/>
      </c>
      <c r="CQ18" t="str">
        <f t="shared" si="160"/>
        <v/>
      </c>
      <c r="CR18" t="str">
        <f t="shared" si="161"/>
        <v/>
      </c>
      <c r="CS18" t="str">
        <f>IF($CR18="","",IF(OR($EF18="",$EG18=""),"ONZEKER",IF(OR($EC18="",$ED18=""),"ONZEKER",IF(AND($EF18=$EC18+1,$EG18=$ED18),IF(OR(COUNTIF(#REF!,$B18)&gt;0,COUNTIF(#REF!,$B18)=0),"SKIP",IF(COUNTIFS(#REF!,$B18,#REF!,$CR18)&gt;0,"OK","ONBEKEND")),IF(AND($EF18=$EC18,$EG18=$ED18+1),IF(OR(COUNTIF(#REF!,$D18)&gt;0,COUNTIF(#REF!,$D18)=0),"SKIP",IF(COUNTIFS(#REF!,$D18,#REF!,$CR18)&gt;0,"OK","ONBEKEND")),"ONZEKER")))))</f>
        <v/>
      </c>
      <c r="CT18" t="str">
        <f t="shared" si="162"/>
        <v/>
      </c>
      <c r="CU18" t="str">
        <f t="shared" si="163"/>
        <v/>
      </c>
      <c r="CV18" t="str">
        <f>IF($CU18="","",IF(OR($EI18="",$EJ18=""),"ONZEKER",IF(OR($EF18="",$EG18=""),"ONZEKER",IF(AND($EI18=$EF18+1,$EJ18=$EG18),IF(OR(COUNTIF(#REF!,$B18)&gt;0,COUNTIF(#REF!,$B18)=0),"SKIP",IF(COUNTIFS(#REF!,$B18,#REF!,$CU18)&gt;0,"OK","ONBEKEND")),IF(AND($EI18=$EF18,$EJ18=$EG18+1),IF(OR(COUNTIF(#REF!,$D18)&gt;0,COUNTIF(#REF!,$D18)=0),"SKIP",IF(COUNTIFS(#REF!,$D18,#REF!,$CU18)&gt;0,"OK","ONBEKEND")),"ONZEKER")))))</f>
        <v/>
      </c>
      <c r="CW18" t="str">
        <f t="shared" si="164"/>
        <v/>
      </c>
      <c r="CX18" t="str">
        <f t="shared" si="165"/>
        <v/>
      </c>
      <c r="CY18" t="str">
        <f>IF($CX18="","",IF(OR($EL18="",$EM18=""),"ONZEKER",IF(OR($EI18="",$EJ18=""),"ONZEKER",IF(AND($EL18=$EI18+1,$EM18=$EJ18),IF(OR(COUNTIF(#REF!,$B18)&gt;0,COUNTIF(#REF!,$B18)=0),"SKIP",IF(COUNTIFS(#REF!,$B18,#REF!,$CX18)&gt;0,"OK","ONBEKEND")),IF(AND($EL18=$EI18,$EM18=$EJ18+1),IF(OR(COUNTIF(#REF!,$D18)&gt;0,COUNTIF(#REF!,$D18)=0),"SKIP",IF(COUNTIFS(#REF!,$D18,#REF!,$CX18)&gt;0,"OK","ONBEKEND")),"ONZEKER")))))</f>
        <v/>
      </c>
      <c r="CZ18" t="str">
        <f t="shared" si="166"/>
        <v/>
      </c>
      <c r="DA18" t="str">
        <f t="shared" si="167"/>
        <v/>
      </c>
      <c r="DB18" t="str">
        <f>IF($DA18="","",IF(OR($EO18="",$EP18=""),"ONZEKER",IF(OR($EL18="",$EM18=""),"ONZEKER",IF(AND($EO18=$EL18+1,$EP18=$EM18),IF(OR(COUNTIF(#REF!,$B18)&gt;0,COUNTIF(#REF!,$B18)=0),"SKIP",IF(COUNTIFS(#REF!,$B18,#REF!,$DA18)&gt;0,"OK","ONBEKEND")),IF(AND($EO18=$EL18,$EP18=$EM18+1),IF(OR(COUNTIF(#REF!,$D18)&gt;0,COUNTIF(#REF!,$D18)=0),"SKIP",IF(COUNTIFS(#REF!,$D18,#REF!,$DA18)&gt;0,"OK","ONBEKEND")),"ONZEKER")))))</f>
        <v/>
      </c>
      <c r="DC18" t="str">
        <f t="shared" si="168"/>
        <v/>
      </c>
      <c r="DD18" t="str">
        <f t="shared" si="169"/>
        <v/>
      </c>
      <c r="DE18" t="str">
        <f>IF($DD18="","",IF(OR($ER18="",$ES18=""),"ONZEKER",IF(OR($EO18="",$EP18=""),"ONZEKER",IF(AND($ER18=$EO18+1,$ES18=$EP18),IF(OR(COUNTIF(#REF!,$B18)&gt;0,COUNTIF(#REF!,$B18)=0),"SKIP",IF(COUNTIFS(#REF!,$B18,#REF!,$DD18)&gt;0,"OK","ONBEKEND")),IF(AND($ER18=$EO18,$ES18=$EP18+1),IF(OR(COUNTIF(#REF!,$D18)&gt;0,COUNTIF(#REF!,$D18)=0),"SKIP",IF(COUNTIFS(#REF!,$D18,#REF!,$DD18)&gt;0,"OK","ONBEKEND")),"ONZEKER")))))</f>
        <v/>
      </c>
      <c r="DF18" t="str">
        <f t="shared" si="170"/>
        <v/>
      </c>
      <c r="DG18" t="str">
        <f t="shared" si="171"/>
        <v/>
      </c>
      <c r="DH18" t="str">
        <f>IF($DG18="","",IF(OR($EU18="",$EV18=""),"ONZEKER",IF(OR($ER18="",$ES18=""),"ONZEKER",IF(AND($EU18=$ER18+1,$EV18=$ES18),IF(OR(COUNTIF(#REF!,$B18)&gt;0,COUNTIF(#REF!,$B18)=0),"SKIP",IF(COUNTIFS(#REF!,$B18,#REF!,$DG18)&gt;0,"OK","ONBEKEND")),IF(AND($EU18=$ER18,$EV18=$ES18+1),IF(OR(COUNTIF(#REF!,$D18)&gt;0,COUNTIF(#REF!,$D18)=0),"SKIP",IF(COUNTIFS(#REF!,$D18,#REF!,$DG18)&gt;0,"OK","ONBEKEND")),"ONZEKER")))))</f>
        <v/>
      </c>
      <c r="DI18" t="str">
        <f t="shared" si="172"/>
        <v/>
      </c>
      <c r="DJ18" t="str">
        <f t="shared" si="173"/>
        <v/>
      </c>
      <c r="DK18" t="str">
        <f>IF($DJ18="","",IF(OR($EX18="",$EY18=""),"ONZEKER",IF(OR($EU18="",$EV18=""),"ONZEKER",IF(AND($EX18=$EU18+1,$EY18=$EV18),IF(OR(COUNTIF(#REF!,$B18)&gt;0,COUNTIF(#REF!,$B18)=0),"SKIP",IF(COUNTIFS(#REF!,$B18,#REF!,$DJ18)&gt;0,"OK","ONBEKEND")),IF(AND($EX18=$EU18,$EY18=$EV18+1),IF(OR(COUNTIF(#REF!,$D18)&gt;0,COUNTIF(#REF!,$D18)=0),"SKIP",IF(COUNTIFS(#REF!,$D18,#REF!,$DJ18)&gt;0,"OK","ONBEKEND")),"ONZEKER")))))</f>
        <v/>
      </c>
      <c r="DL18" t="str">
        <f t="shared" si="174"/>
        <v/>
      </c>
      <c r="DM18" t="str">
        <f t="shared" si="175"/>
        <v/>
      </c>
      <c r="DN18" t="str">
        <f t="shared" si="176"/>
        <v/>
      </c>
      <c r="DO18" t="str">
        <f t="shared" si="177"/>
        <v/>
      </c>
      <c r="DP18" t="str">
        <f t="shared" si="178"/>
        <v/>
      </c>
      <c r="DQ18" t="str">
        <f t="shared" si="179"/>
        <v/>
      </c>
      <c r="DR18" t="str">
        <f t="shared" si="180"/>
        <v/>
      </c>
      <c r="DS18" t="str">
        <f t="shared" si="181"/>
        <v/>
      </c>
      <c r="DT18" t="str">
        <f t="shared" si="182"/>
        <v/>
      </c>
      <c r="DU18" t="str">
        <f t="shared" si="183"/>
        <v/>
      </c>
      <c r="DV18" t="str">
        <f t="shared" si="184"/>
        <v/>
      </c>
      <c r="DW18" t="str">
        <f t="shared" si="185"/>
        <v/>
      </c>
      <c r="DX18" t="str">
        <f t="shared" si="186"/>
        <v/>
      </c>
      <c r="DY18" t="str">
        <f t="shared" si="187"/>
        <v/>
      </c>
      <c r="DZ18" t="str">
        <f t="shared" si="188"/>
        <v/>
      </c>
      <c r="EA18" t="str">
        <f t="shared" si="189"/>
        <v/>
      </c>
      <c r="EB18" t="str">
        <f t="shared" si="190"/>
        <v/>
      </c>
      <c r="EC18" t="str">
        <f t="shared" si="191"/>
        <v/>
      </c>
      <c r="ED18" t="str">
        <f t="shared" si="192"/>
        <v/>
      </c>
      <c r="EE18" t="str">
        <f t="shared" si="193"/>
        <v/>
      </c>
      <c r="EF18" t="str">
        <f t="shared" si="194"/>
        <v/>
      </c>
      <c r="EG18" t="str">
        <f t="shared" si="195"/>
        <v/>
      </c>
      <c r="EH18" t="str">
        <f t="shared" si="196"/>
        <v/>
      </c>
      <c r="EI18" t="str">
        <f t="shared" si="197"/>
        <v/>
      </c>
      <c r="EJ18" t="str">
        <f t="shared" si="198"/>
        <v/>
      </c>
      <c r="EK18" t="str">
        <f t="shared" si="199"/>
        <v/>
      </c>
      <c r="EL18" t="str">
        <f t="shared" si="200"/>
        <v/>
      </c>
      <c r="EM18" t="str">
        <f t="shared" si="201"/>
        <v/>
      </c>
      <c r="EN18" t="str">
        <f t="shared" si="202"/>
        <v/>
      </c>
      <c r="EO18" t="str">
        <f t="shared" si="203"/>
        <v/>
      </c>
      <c r="EP18" t="str">
        <f t="shared" si="204"/>
        <v/>
      </c>
      <c r="EQ18" t="str">
        <f t="shared" si="205"/>
        <v/>
      </c>
      <c r="ER18" t="str">
        <f t="shared" si="206"/>
        <v/>
      </c>
      <c r="ES18" t="str">
        <f t="shared" si="207"/>
        <v/>
      </c>
      <c r="ET18" t="str">
        <f t="shared" si="208"/>
        <v/>
      </c>
      <c r="EU18" t="str">
        <f t="shared" si="209"/>
        <v/>
      </c>
      <c r="EV18" t="str">
        <f t="shared" si="210"/>
        <v/>
      </c>
      <c r="EW18" t="str">
        <f t="shared" si="211"/>
        <v/>
      </c>
      <c r="EX18" t="str">
        <f t="shared" si="212"/>
        <v/>
      </c>
      <c r="EY18" t="str">
        <f t="shared" si="213"/>
        <v/>
      </c>
    </row>
    <row r="19" spans="1:155" ht="13.9" customHeight="1" x14ac:dyDescent="0.25">
      <c r="A19" s="7"/>
      <c r="B19" s="17"/>
      <c r="C19" s="8"/>
      <c r="D19" s="17"/>
      <c r="E19" s="8"/>
      <c r="F19" s="18">
        <v>0</v>
      </c>
      <c r="G19" s="7" t="s">
        <v>147</v>
      </c>
      <c r="H19" s="18">
        <v>0</v>
      </c>
      <c r="I19" s="19">
        <v>0</v>
      </c>
      <c r="J19" s="7" t="s">
        <v>147</v>
      </c>
      <c r="K19" s="19">
        <v>0</v>
      </c>
      <c r="L19" s="9"/>
      <c r="M19" s="3" t="str">
        <f>IF($L19="","",IF($L19="DOELPUNTENMAKERS","",IF(AND(COUNTIF(#REF!,$B19)=0,COUNTIF(#REF!,$D19)=0),"OK",IF($O19&gt;20,"LET OP: meer dan 20 items (controle onvolledig)",IF((COUNTIF($R19:$AS19,"ONZEKER")+COUNTIF($CJ19:$DK19,"ONZEKER"))&gt;0,"LET OP: scoreverloop onduidelijk (controle beperkt)",IF((IF($AT19&lt;&gt;"",$AT19&amp;", ","")&amp;IF($AU19&lt;&gt;"",$AU19&amp;", ","")&amp;IF($AV19&lt;&gt;"",$AV19&amp;", ","")&amp;IF($AW19&lt;&gt;"",$AW19&amp;", ","")&amp;IF($AX19&lt;&gt;"",$AX19&amp;", ","")&amp;IF($AY19&lt;&gt;"",$AY19&amp;", ","")&amp;IF($AZ19&lt;&gt;"",$AZ19&amp;", ","")&amp;IF($BA19&lt;&gt;"",$BA19&amp;", ","")&amp;IF($BB19&lt;&gt;"",$BB19&amp;", ","")&amp;IF($BC19&lt;&gt;"",$BC19&amp;", ","")&amp;IF($DL19&lt;&gt;"",$DL19&amp;", ","")&amp;IF($DM19&lt;&gt;"",$DM19&amp;", ","")&amp;IF($DN19&lt;&gt;"",$DN19&amp;", ","")&amp;IF($DO19&lt;&gt;"",$DO19&amp;", ","")&amp;IF($DP19&lt;&gt;"",$DP19&amp;", ","")&amp;IF($DQ19&lt;&gt;"",$DQ19&amp;", ","")&amp;IF($DR19&lt;&gt;"",$DR19&amp;", ","")&amp;IF($DS19&lt;&gt;"",$DS19&amp;", ","")&amp;IF($DT19&lt;&gt;"",$DT19&amp;", ","")&amp;IF($DU19&lt;&gt;"",$DU19&amp;", ",""))="","OK","Onbekend: "&amp;LEFT((IF($AT19&lt;&gt;"",$AT19&amp;", ","")&amp;IF($AU19&lt;&gt;"",$AU19&amp;", ","")&amp;IF($AV19&lt;&gt;"",$AV19&amp;", ","")&amp;IF($AW19&lt;&gt;"",$AW19&amp;", ","")&amp;IF($AX19&lt;&gt;"",$AX19&amp;", ","")&amp;IF($AY19&lt;&gt;"",$AY19&amp;", ","")&amp;IF($AZ19&lt;&gt;"",$AZ19&amp;", ","")&amp;IF($BA19&lt;&gt;"",$BA19&amp;", ","")&amp;IF($BB19&lt;&gt;"",$BB19&amp;", ","")&amp;IF($BC19&lt;&gt;"",$BC19&amp;", ","")&amp;IF($DL19&lt;&gt;"",$DL19&amp;", ","")&amp;IF($DM19&lt;&gt;"",$DM19&amp;", ","")&amp;IF($DN19&lt;&gt;"",$DN19&amp;", ","")&amp;IF($DO19&lt;&gt;"",$DO19&amp;", ","")&amp;IF($DP19&lt;&gt;"",$DP19&amp;", ","")&amp;IF($DQ19&lt;&gt;"",$DQ19&amp;", ","")&amp;IF($DR19&lt;&gt;"",$DR19&amp;", ","")&amp;IF($DS19&lt;&gt;"",$DS19&amp;", ","")&amp;IF($DT19&lt;&gt;"",$DT19&amp;", ","")&amp;IF($DU19&lt;&gt;"",$DU19&amp;", ","")),LEN((IF($AT19&lt;&gt;"",$AT19&amp;", ","")&amp;IF($AU19&lt;&gt;"",$AU19&amp;", ","")&amp;IF($AV19&lt;&gt;"",$AV19&amp;", ","")&amp;IF($AW19&lt;&gt;"",$AW19&amp;", ","")&amp;IF($AX19&lt;&gt;"",$AX19&amp;", ","")&amp;IF($AY19&lt;&gt;"",$AY19&amp;", ","")&amp;IF($AZ19&lt;&gt;"",$AZ19&amp;", ","")&amp;IF($BA19&lt;&gt;"",$BA19&amp;", ","")&amp;IF($BB19&lt;&gt;"",$BB19&amp;", ","")&amp;IF($BC19&lt;&gt;"",$BC19&amp;", ","")&amp;IF($DL19&lt;&gt;"",$DL19&amp;", ","")&amp;IF($DM19&lt;&gt;"",$DM19&amp;", ","")&amp;IF($DN19&lt;&gt;"",$DN19&amp;", ","")&amp;IF($DO19&lt;&gt;"",$DO19&amp;", ","")&amp;IF($DP19&lt;&gt;"",$DP19&amp;", ","")&amp;IF($DQ19&lt;&gt;"",$DQ19&amp;", ","")&amp;IF($DR19&lt;&gt;"",$DR19&amp;", ","")&amp;IF($DS19&lt;&gt;"",$DS19&amp;", ","")&amp;IF($DT19&lt;&gt;"",$DT19&amp;", ","")&amp;IF($DU19&lt;&gt;"",$DU19&amp;", ","")))-2)))))))</f>
        <v/>
      </c>
      <c r="N19" t="str">
        <f t="shared" si="122"/>
        <v/>
      </c>
      <c r="O19" t="str">
        <f t="shared" si="123"/>
        <v/>
      </c>
      <c r="P19" t="str">
        <f t="shared" si="124"/>
        <v/>
      </c>
      <c r="Q19" t="str">
        <f t="shared" si="125"/>
        <v/>
      </c>
      <c r="R19" t="str">
        <f>IF($Q19="","",IF(OR($BE19="",$BF19=""),"ONZEKER",IF(AND($BE19=0+1,$BF19=0),IF(OR(COUNTIF(#REF!,$B19)&gt;0,COUNTIF(#REF!,$B19)=0),"SKIP",IF(COUNTIFS(#REF!,$B19,#REF!,$Q19)&gt;0,"OK","ONBEKEND")),IF(AND($BE19=0,$BF19=0+1),IF(OR(COUNTIF(#REF!,$D19)&gt;0,COUNTIF(#REF!,$D19)=0),"SKIP",IF(COUNTIFS(#REF!,$D19,#REF!,$Q19)&gt;0,"OK","ONBEKEND")),"ONZEKER"))))</f>
        <v/>
      </c>
      <c r="S19" t="str">
        <f t="shared" si="126"/>
        <v/>
      </c>
      <c r="T19" t="str">
        <f t="shared" si="127"/>
        <v/>
      </c>
      <c r="U19" t="str">
        <f>IF($T19="","",IF(OR($BH19="",$BI19=""),"ONZEKER",IF(OR($BE19="",$BF19=""),"ONZEKER",IF(AND($BH19=$BE19+1,$BI19=$BF19),IF(OR(COUNTIF(#REF!,$B19)&gt;0,COUNTIF(#REF!,$B19)=0),"SKIP",IF(COUNTIFS(#REF!,$B19,#REF!,$T19)&gt;0,"OK","ONBEKEND")),IF(AND($BH19=$BE19,$BI19=$BF19+1),IF(OR(COUNTIF(#REF!,$D19)&gt;0,COUNTIF(#REF!,$D19)=0),"SKIP",IF(COUNTIFS(#REF!,$D19,#REF!,$T19)&gt;0,"OK","ONBEKEND")),"ONZEKER")))))</f>
        <v/>
      </c>
      <c r="V19" t="str">
        <f t="shared" si="128"/>
        <v/>
      </c>
      <c r="W19" t="str">
        <f t="shared" si="129"/>
        <v/>
      </c>
      <c r="X19" t="str">
        <f>IF($W19="","",IF(OR($BK19="",$BL19=""),"ONZEKER",IF(OR($BH19="",$BI19=""),"ONZEKER",IF(AND($BK19=$BH19+1,$BL19=$BI19),IF(OR(COUNTIF(#REF!,$B19)&gt;0,COUNTIF(#REF!,$B19)=0),"SKIP",IF(COUNTIFS(#REF!,$B19,#REF!,$W19)&gt;0,"OK","ONBEKEND")),IF(AND($BK19=$BH19,$BL19=$BI19+1),IF(OR(COUNTIF(#REF!,$D19)&gt;0,COUNTIF(#REF!,$D19)=0),"SKIP",IF(COUNTIFS(#REF!,$D19,#REF!,$W19)&gt;0,"OK","ONBEKEND")),"ONZEKER")))))</f>
        <v/>
      </c>
      <c r="Y19" t="str">
        <f t="shared" si="130"/>
        <v/>
      </c>
      <c r="Z19" t="str">
        <f t="shared" si="131"/>
        <v/>
      </c>
      <c r="AA19" t="str">
        <f>IF($Z19="","",IF(OR($BN19="",$BO19=""),"ONZEKER",IF(OR($BK19="",$BL19=""),"ONZEKER",IF(AND($BN19=$BK19+1,$BO19=$BL19),IF(OR(COUNTIF(#REF!,$B19)&gt;0,COUNTIF(#REF!,$B19)=0),"SKIP",IF(COUNTIFS(#REF!,$B19,#REF!,$Z19)&gt;0,"OK","ONBEKEND")),IF(AND($BN19=$BK19,$BO19=$BL19+1),IF(OR(COUNTIF(#REF!,$D19)&gt;0,COUNTIF(#REF!,$D19)=0),"SKIP",IF(COUNTIFS(#REF!,$D19,#REF!,$Z19)&gt;0,"OK","ONBEKEND")),"ONZEKER")))))</f>
        <v/>
      </c>
      <c r="AB19" t="str">
        <f t="shared" si="132"/>
        <v/>
      </c>
      <c r="AC19" t="str">
        <f t="shared" si="133"/>
        <v/>
      </c>
      <c r="AD19" t="str">
        <f>IF($AC19="","",IF(OR($BQ19="",$BR19=""),"ONZEKER",IF(OR($BN19="",$BO19=""),"ONZEKER",IF(AND($BQ19=$BN19+1,$BR19=$BO19),IF(OR(COUNTIF(#REF!,$B19)&gt;0,COUNTIF(#REF!,$B19)=0),"SKIP",IF(COUNTIFS(#REF!,$B19,#REF!,$AC19)&gt;0,"OK","ONBEKEND")),IF(AND($BQ19=$BN19,$BR19=$BO19+1),IF(OR(COUNTIF(#REF!,$D19)&gt;0,COUNTIF(#REF!,$D19)=0),"SKIP",IF(COUNTIFS(#REF!,$D19,#REF!,$AC19)&gt;0,"OK","ONBEKEND")),"ONZEKER")))))</f>
        <v/>
      </c>
      <c r="AE19" t="str">
        <f t="shared" si="134"/>
        <v/>
      </c>
      <c r="AF19" t="str">
        <f t="shared" si="135"/>
        <v/>
      </c>
      <c r="AG19" t="str">
        <f>IF($AF19="","",IF(OR($BT19="",$BU19=""),"ONZEKER",IF(OR($BQ19="",$BR19=""),"ONZEKER",IF(AND($BT19=$BQ19+1,$BU19=$BR19),IF(OR(COUNTIF(#REF!,$B19)&gt;0,COUNTIF(#REF!,$B19)=0),"SKIP",IF(COUNTIFS(#REF!,$B19,#REF!,$AF19)&gt;0,"OK","ONBEKEND")),IF(AND($BT19=$BQ19,$BU19=$BR19+1),IF(OR(COUNTIF(#REF!,$D19)&gt;0,COUNTIF(#REF!,$D19)=0),"SKIP",IF(COUNTIFS(#REF!,$D19,#REF!,$AF19)&gt;0,"OK","ONBEKEND")),"ONZEKER")))))</f>
        <v/>
      </c>
      <c r="AH19" t="str">
        <f t="shared" si="136"/>
        <v/>
      </c>
      <c r="AI19" t="str">
        <f t="shared" si="137"/>
        <v/>
      </c>
      <c r="AJ19" t="str">
        <f>IF($AI19="","",IF(OR($BW19="",$BX19=""),"ONZEKER",IF(OR($BT19="",$BU19=""),"ONZEKER",IF(AND($BW19=$BT19+1,$BX19=$BU19),IF(OR(COUNTIF(#REF!,$B19)&gt;0,COUNTIF(#REF!,$B19)=0),"SKIP",IF(COUNTIFS(#REF!,$B19,#REF!,$AI19)&gt;0,"OK","ONBEKEND")),IF(AND($BW19=$BT19,$BX19=$BU19+1),IF(OR(COUNTIF(#REF!,$D19)&gt;0,COUNTIF(#REF!,$D19)=0),"SKIP",IF(COUNTIFS(#REF!,$D19,#REF!,$AI19)&gt;0,"OK","ONBEKEND")),"ONZEKER")))))</f>
        <v/>
      </c>
      <c r="AK19" t="str">
        <f t="shared" si="138"/>
        <v/>
      </c>
      <c r="AL19" t="str">
        <f t="shared" si="139"/>
        <v/>
      </c>
      <c r="AM19" t="str">
        <f>IF($AL19="","",IF(OR($BZ19="",$CA19=""),"ONZEKER",IF(OR($BW19="",$BX19=""),"ONZEKER",IF(AND($BZ19=$BW19+1,$CA19=$BX19),IF(OR(COUNTIF(#REF!,$B19)&gt;0,COUNTIF(#REF!,$B19)=0),"SKIP",IF(COUNTIFS(#REF!,$B19,#REF!,$AL19)&gt;0,"OK","ONBEKEND")),IF(AND($BZ19=$BW19,$CA19=$BX19+1),IF(OR(COUNTIF(#REF!,$D19)&gt;0,COUNTIF(#REF!,$D19)=0),"SKIP",IF(COUNTIFS(#REF!,$D19,#REF!,$AL19)&gt;0,"OK","ONBEKEND")),"ONZEKER")))))</f>
        <v/>
      </c>
      <c r="AN19" t="str">
        <f t="shared" si="140"/>
        <v/>
      </c>
      <c r="AO19" t="str">
        <f t="shared" si="141"/>
        <v/>
      </c>
      <c r="AP19" t="str">
        <f>IF($AO19="","",IF(OR($CC19="",$CD19=""),"ONZEKER",IF(OR($BZ19="",$CA19=""),"ONZEKER",IF(AND($CC19=$BZ19+1,$CD19=$CA19),IF(OR(COUNTIF(#REF!,$B19)&gt;0,COUNTIF(#REF!,$B19)=0),"SKIP",IF(COUNTIFS(#REF!,$B19,#REF!,$AO19)&gt;0,"OK","ONBEKEND")),IF(AND($CC19=$BZ19,$CD19=$CA19+1),IF(OR(COUNTIF(#REF!,$D19)&gt;0,COUNTIF(#REF!,$D19)=0),"SKIP",IF(COUNTIFS(#REF!,$D19,#REF!,$AO19)&gt;0,"OK","ONBEKEND")),"ONZEKER")))))</f>
        <v/>
      </c>
      <c r="AQ19" t="str">
        <f t="shared" si="142"/>
        <v/>
      </c>
      <c r="AR19" t="str">
        <f t="shared" si="143"/>
        <v/>
      </c>
      <c r="AS19" t="str">
        <f>IF($AR19="","",IF(OR($CF19="",$CG19=""),"ONZEKER",IF(OR($CC19="",$CD19=""),"ONZEKER",IF(AND($CF19=$CC19+1,$CG19=$CD19),IF(OR(COUNTIF(#REF!,$B19)&gt;0,COUNTIF(#REF!,$B19)=0),"SKIP",IF(COUNTIFS(#REF!,$B19,#REF!,$AR19)&gt;0,"OK","ONBEKEND")),IF(AND($CF19=$CC19,$CG19=$CD19+1),IF(OR(COUNTIF(#REF!,$D19)&gt;0,COUNTIF(#REF!,$D19)=0),"SKIP",IF(COUNTIFS(#REF!,$D19,#REF!,$AR19)&gt;0,"OK","ONBEKEND")),"ONZEKER")))))</f>
        <v/>
      </c>
      <c r="AT19" t="str">
        <f t="shared" si="144"/>
        <v/>
      </c>
      <c r="AU19" t="str">
        <f t="shared" si="145"/>
        <v/>
      </c>
      <c r="AV19" t="str">
        <f t="shared" si="146"/>
        <v/>
      </c>
      <c r="AW19" t="str">
        <f t="shared" si="147"/>
        <v/>
      </c>
      <c r="AX19" t="str">
        <f t="shared" si="148"/>
        <v/>
      </c>
      <c r="AY19" t="str">
        <f t="shared" si="149"/>
        <v/>
      </c>
      <c r="AZ19" t="str">
        <f t="shared" si="150"/>
        <v/>
      </c>
      <c r="BA19" t="str">
        <f t="shared" si="151"/>
        <v/>
      </c>
      <c r="BB19" t="str">
        <f t="shared" si="152"/>
        <v/>
      </c>
      <c r="BC19" t="str">
        <f t="shared" si="153"/>
        <v/>
      </c>
      <c r="BD19" t="str">
        <f t="shared" si="32"/>
        <v/>
      </c>
      <c r="BE19" t="str">
        <f t="shared" si="33"/>
        <v/>
      </c>
      <c r="BF19" t="str">
        <f t="shared" si="34"/>
        <v/>
      </c>
      <c r="BG19" t="str">
        <f t="shared" si="35"/>
        <v/>
      </c>
      <c r="BH19" t="str">
        <f t="shared" si="36"/>
        <v/>
      </c>
      <c r="BI19" t="str">
        <f t="shared" si="37"/>
        <v/>
      </c>
      <c r="BJ19" t="str">
        <f t="shared" si="38"/>
        <v/>
      </c>
      <c r="BK19" t="str">
        <f t="shared" si="39"/>
        <v/>
      </c>
      <c r="BL19" t="str">
        <f t="shared" si="40"/>
        <v/>
      </c>
      <c r="BM19" t="str">
        <f t="shared" si="41"/>
        <v/>
      </c>
      <c r="BN19" t="str">
        <f t="shared" si="42"/>
        <v/>
      </c>
      <c r="BO19" t="str">
        <f t="shared" si="43"/>
        <v/>
      </c>
      <c r="BP19" t="str">
        <f t="shared" si="44"/>
        <v/>
      </c>
      <c r="BQ19" t="str">
        <f t="shared" si="45"/>
        <v/>
      </c>
      <c r="BR19" t="str">
        <f t="shared" si="46"/>
        <v/>
      </c>
      <c r="BS19" t="str">
        <f t="shared" si="47"/>
        <v/>
      </c>
      <c r="BT19" t="str">
        <f t="shared" si="48"/>
        <v/>
      </c>
      <c r="BU19" t="str">
        <f t="shared" si="49"/>
        <v/>
      </c>
      <c r="BV19" t="str">
        <f t="shared" si="50"/>
        <v/>
      </c>
      <c r="BW19" t="str">
        <f t="shared" si="51"/>
        <v/>
      </c>
      <c r="BX19" t="str">
        <f t="shared" si="52"/>
        <v/>
      </c>
      <c r="BY19" t="str">
        <f t="shared" si="53"/>
        <v/>
      </c>
      <c r="BZ19" t="str">
        <f t="shared" si="54"/>
        <v/>
      </c>
      <c r="CA19" t="str">
        <f t="shared" si="55"/>
        <v/>
      </c>
      <c r="CB19" t="str">
        <f t="shared" si="56"/>
        <v/>
      </c>
      <c r="CC19" t="str">
        <f t="shared" si="57"/>
        <v/>
      </c>
      <c r="CD19" t="str">
        <f t="shared" si="58"/>
        <v/>
      </c>
      <c r="CE19" t="str">
        <f t="shared" si="59"/>
        <v/>
      </c>
      <c r="CF19" t="str">
        <f t="shared" si="60"/>
        <v/>
      </c>
      <c r="CG19" t="str">
        <f t="shared" si="61"/>
        <v/>
      </c>
      <c r="CH19" t="str">
        <f t="shared" si="154"/>
        <v/>
      </c>
      <c r="CI19" t="str">
        <f t="shared" si="155"/>
        <v/>
      </c>
      <c r="CJ19" t="str">
        <f>IF($CI19="","",IF(OR($DW19="",$DX19=""),"ONZEKER",IF(OR($CF19="",$CG19=""),"ONZEKER",IF(AND($DW19=$CF19+1,$DX19=$CG19),IF(OR(COUNTIF(#REF!,$B19)&gt;0,COUNTIF(#REF!,$B19)=0),"SKIP",IF(COUNTIFS(#REF!,$B19,#REF!,$CI19)&gt;0,"OK","ONBEKEND")),IF(AND($DW19=$CF19,$DX19=$CG19+1),IF(OR(COUNTIF(#REF!,$D19)&gt;0,COUNTIF(#REF!,$D19)=0),"SKIP",IF(COUNTIFS(#REF!,$D19,#REF!,$CI19)&gt;0,"OK","ONBEKEND")),"ONZEKER")))))</f>
        <v/>
      </c>
      <c r="CK19" t="str">
        <f t="shared" si="156"/>
        <v/>
      </c>
      <c r="CL19" t="str">
        <f t="shared" si="157"/>
        <v/>
      </c>
      <c r="CM19" t="str">
        <f>IF($CL19="","",IF(OR($DZ19="",$EA19=""),"ONZEKER",IF(OR($DW19="",$DX19=""),"ONZEKER",IF(AND($DZ19=$DW19+1,$EA19=$DX19),IF(OR(COUNTIF(#REF!,$B19)&gt;0,COUNTIF(#REF!,$B19)=0),"SKIP",IF(COUNTIFS(#REF!,$B19,#REF!,$CL19)&gt;0,"OK","ONBEKEND")),IF(AND($DZ19=$DW19,$EA19=$DX19+1),IF(OR(COUNTIF(#REF!,$D19)&gt;0,COUNTIF(#REF!,$D19)=0),"SKIP",IF(COUNTIFS(#REF!,$D19,#REF!,$CL19)&gt;0,"OK","ONBEKEND")),"ONZEKER")))))</f>
        <v/>
      </c>
      <c r="CN19" t="str">
        <f t="shared" si="158"/>
        <v/>
      </c>
      <c r="CO19" t="str">
        <f t="shared" si="159"/>
        <v/>
      </c>
      <c r="CP19" t="str">
        <f>IF($CO19="","",IF(OR($EC19="",$ED19=""),"ONZEKER",IF(OR($DZ19="",$EA19=""),"ONZEKER",IF(AND($EC19=$DZ19+1,$ED19=$EA19),IF(OR(COUNTIF(#REF!,$B19)&gt;0,COUNTIF(#REF!,$B19)=0),"SKIP",IF(COUNTIFS(#REF!,$B19,#REF!,$CO19)&gt;0,"OK","ONBEKEND")),IF(AND($EC19=$DZ19,$ED19=$EA19+1),IF(OR(COUNTIF(#REF!,$D19)&gt;0,COUNTIF(#REF!,$D19)=0),"SKIP",IF(COUNTIFS(#REF!,$D19,#REF!,$CO19)&gt;0,"OK","ONBEKEND")),"ONZEKER")))))</f>
        <v/>
      </c>
      <c r="CQ19" t="str">
        <f t="shared" si="160"/>
        <v/>
      </c>
      <c r="CR19" t="str">
        <f t="shared" si="161"/>
        <v/>
      </c>
      <c r="CS19" t="str">
        <f>IF($CR19="","",IF(OR($EF19="",$EG19=""),"ONZEKER",IF(OR($EC19="",$ED19=""),"ONZEKER",IF(AND($EF19=$EC19+1,$EG19=$ED19),IF(OR(COUNTIF(#REF!,$B19)&gt;0,COUNTIF(#REF!,$B19)=0),"SKIP",IF(COUNTIFS(#REF!,$B19,#REF!,$CR19)&gt;0,"OK","ONBEKEND")),IF(AND($EF19=$EC19,$EG19=$ED19+1),IF(OR(COUNTIF(#REF!,$D19)&gt;0,COUNTIF(#REF!,$D19)=0),"SKIP",IF(COUNTIFS(#REF!,$D19,#REF!,$CR19)&gt;0,"OK","ONBEKEND")),"ONZEKER")))))</f>
        <v/>
      </c>
      <c r="CT19" t="str">
        <f t="shared" si="162"/>
        <v/>
      </c>
      <c r="CU19" t="str">
        <f t="shared" si="163"/>
        <v/>
      </c>
      <c r="CV19" t="str">
        <f>IF($CU19="","",IF(OR($EI19="",$EJ19=""),"ONZEKER",IF(OR($EF19="",$EG19=""),"ONZEKER",IF(AND($EI19=$EF19+1,$EJ19=$EG19),IF(OR(COUNTIF(#REF!,$B19)&gt;0,COUNTIF(#REF!,$B19)=0),"SKIP",IF(COUNTIFS(#REF!,$B19,#REF!,$CU19)&gt;0,"OK","ONBEKEND")),IF(AND($EI19=$EF19,$EJ19=$EG19+1),IF(OR(COUNTIF(#REF!,$D19)&gt;0,COUNTIF(#REF!,$D19)=0),"SKIP",IF(COUNTIFS(#REF!,$D19,#REF!,$CU19)&gt;0,"OK","ONBEKEND")),"ONZEKER")))))</f>
        <v/>
      </c>
      <c r="CW19" t="str">
        <f t="shared" si="164"/>
        <v/>
      </c>
      <c r="CX19" t="str">
        <f t="shared" si="165"/>
        <v/>
      </c>
      <c r="CY19" t="str">
        <f>IF($CX19="","",IF(OR($EL19="",$EM19=""),"ONZEKER",IF(OR($EI19="",$EJ19=""),"ONZEKER",IF(AND($EL19=$EI19+1,$EM19=$EJ19),IF(OR(COUNTIF(#REF!,$B19)&gt;0,COUNTIF(#REF!,$B19)=0),"SKIP",IF(COUNTIFS(#REF!,$B19,#REF!,$CX19)&gt;0,"OK","ONBEKEND")),IF(AND($EL19=$EI19,$EM19=$EJ19+1),IF(OR(COUNTIF(#REF!,$D19)&gt;0,COUNTIF(#REF!,$D19)=0),"SKIP",IF(COUNTIFS(#REF!,$D19,#REF!,$CX19)&gt;0,"OK","ONBEKEND")),"ONZEKER")))))</f>
        <v/>
      </c>
      <c r="CZ19" t="str">
        <f t="shared" si="166"/>
        <v/>
      </c>
      <c r="DA19" t="str">
        <f t="shared" si="167"/>
        <v/>
      </c>
      <c r="DB19" t="str">
        <f>IF($DA19="","",IF(OR($EO19="",$EP19=""),"ONZEKER",IF(OR($EL19="",$EM19=""),"ONZEKER",IF(AND($EO19=$EL19+1,$EP19=$EM19),IF(OR(COUNTIF(#REF!,$B19)&gt;0,COUNTIF(#REF!,$B19)=0),"SKIP",IF(COUNTIFS(#REF!,$B19,#REF!,$DA19)&gt;0,"OK","ONBEKEND")),IF(AND($EO19=$EL19,$EP19=$EM19+1),IF(OR(COUNTIF(#REF!,$D19)&gt;0,COUNTIF(#REF!,$D19)=0),"SKIP",IF(COUNTIFS(#REF!,$D19,#REF!,$DA19)&gt;0,"OK","ONBEKEND")),"ONZEKER")))))</f>
        <v/>
      </c>
      <c r="DC19" t="str">
        <f t="shared" si="168"/>
        <v/>
      </c>
      <c r="DD19" t="str">
        <f t="shared" si="169"/>
        <v/>
      </c>
      <c r="DE19" t="str">
        <f>IF($DD19="","",IF(OR($ER19="",$ES19=""),"ONZEKER",IF(OR($EO19="",$EP19=""),"ONZEKER",IF(AND($ER19=$EO19+1,$ES19=$EP19),IF(OR(COUNTIF(#REF!,$B19)&gt;0,COUNTIF(#REF!,$B19)=0),"SKIP",IF(COUNTIFS(#REF!,$B19,#REF!,$DD19)&gt;0,"OK","ONBEKEND")),IF(AND($ER19=$EO19,$ES19=$EP19+1),IF(OR(COUNTIF(#REF!,$D19)&gt;0,COUNTIF(#REF!,$D19)=0),"SKIP",IF(COUNTIFS(#REF!,$D19,#REF!,$DD19)&gt;0,"OK","ONBEKEND")),"ONZEKER")))))</f>
        <v/>
      </c>
      <c r="DF19" t="str">
        <f t="shared" si="170"/>
        <v/>
      </c>
      <c r="DG19" t="str">
        <f t="shared" si="171"/>
        <v/>
      </c>
      <c r="DH19" t="str">
        <f>IF($DG19="","",IF(OR($EU19="",$EV19=""),"ONZEKER",IF(OR($ER19="",$ES19=""),"ONZEKER",IF(AND($EU19=$ER19+1,$EV19=$ES19),IF(OR(COUNTIF(#REF!,$B19)&gt;0,COUNTIF(#REF!,$B19)=0),"SKIP",IF(COUNTIFS(#REF!,$B19,#REF!,$DG19)&gt;0,"OK","ONBEKEND")),IF(AND($EU19=$ER19,$EV19=$ES19+1),IF(OR(COUNTIF(#REF!,$D19)&gt;0,COUNTIF(#REF!,$D19)=0),"SKIP",IF(COUNTIFS(#REF!,$D19,#REF!,$DG19)&gt;0,"OK","ONBEKEND")),"ONZEKER")))))</f>
        <v/>
      </c>
      <c r="DI19" t="str">
        <f t="shared" si="172"/>
        <v/>
      </c>
      <c r="DJ19" t="str">
        <f t="shared" si="173"/>
        <v/>
      </c>
      <c r="DK19" t="str">
        <f>IF($DJ19="","",IF(OR($EX19="",$EY19=""),"ONZEKER",IF(OR($EU19="",$EV19=""),"ONZEKER",IF(AND($EX19=$EU19+1,$EY19=$EV19),IF(OR(COUNTIF(#REF!,$B19)&gt;0,COUNTIF(#REF!,$B19)=0),"SKIP",IF(COUNTIFS(#REF!,$B19,#REF!,$DJ19)&gt;0,"OK","ONBEKEND")),IF(AND($EX19=$EU19,$EY19=$EV19+1),IF(OR(COUNTIF(#REF!,$D19)&gt;0,COUNTIF(#REF!,$D19)=0),"SKIP",IF(COUNTIFS(#REF!,$D19,#REF!,$DJ19)&gt;0,"OK","ONBEKEND")),"ONZEKER")))))</f>
        <v/>
      </c>
      <c r="DL19" t="str">
        <f t="shared" si="174"/>
        <v/>
      </c>
      <c r="DM19" t="str">
        <f t="shared" si="175"/>
        <v/>
      </c>
      <c r="DN19" t="str">
        <f t="shared" si="176"/>
        <v/>
      </c>
      <c r="DO19" t="str">
        <f t="shared" si="177"/>
        <v/>
      </c>
      <c r="DP19" t="str">
        <f t="shared" si="178"/>
        <v/>
      </c>
      <c r="DQ19" t="str">
        <f t="shared" si="179"/>
        <v/>
      </c>
      <c r="DR19" t="str">
        <f t="shared" si="180"/>
        <v/>
      </c>
      <c r="DS19" t="str">
        <f t="shared" si="181"/>
        <v/>
      </c>
      <c r="DT19" t="str">
        <f t="shared" si="182"/>
        <v/>
      </c>
      <c r="DU19" t="str">
        <f t="shared" si="183"/>
        <v/>
      </c>
      <c r="DV19" t="str">
        <f t="shared" si="184"/>
        <v/>
      </c>
      <c r="DW19" t="str">
        <f t="shared" si="185"/>
        <v/>
      </c>
      <c r="DX19" t="str">
        <f t="shared" si="186"/>
        <v/>
      </c>
      <c r="DY19" t="str">
        <f t="shared" si="187"/>
        <v/>
      </c>
      <c r="DZ19" t="str">
        <f t="shared" si="188"/>
        <v/>
      </c>
      <c r="EA19" t="str">
        <f t="shared" si="189"/>
        <v/>
      </c>
      <c r="EB19" t="str">
        <f t="shared" si="190"/>
        <v/>
      </c>
      <c r="EC19" t="str">
        <f t="shared" si="191"/>
        <v/>
      </c>
      <c r="ED19" t="str">
        <f t="shared" si="192"/>
        <v/>
      </c>
      <c r="EE19" t="str">
        <f t="shared" si="193"/>
        <v/>
      </c>
      <c r="EF19" t="str">
        <f t="shared" si="194"/>
        <v/>
      </c>
      <c r="EG19" t="str">
        <f t="shared" si="195"/>
        <v/>
      </c>
      <c r="EH19" t="str">
        <f t="shared" si="196"/>
        <v/>
      </c>
      <c r="EI19" t="str">
        <f t="shared" si="197"/>
        <v/>
      </c>
      <c r="EJ19" t="str">
        <f t="shared" si="198"/>
        <v/>
      </c>
      <c r="EK19" t="str">
        <f t="shared" si="199"/>
        <v/>
      </c>
      <c r="EL19" t="str">
        <f t="shared" si="200"/>
        <v/>
      </c>
      <c r="EM19" t="str">
        <f t="shared" si="201"/>
        <v/>
      </c>
      <c r="EN19" t="str">
        <f t="shared" si="202"/>
        <v/>
      </c>
      <c r="EO19" t="str">
        <f t="shared" si="203"/>
        <v/>
      </c>
      <c r="EP19" t="str">
        <f t="shared" si="204"/>
        <v/>
      </c>
      <c r="EQ19" t="str">
        <f t="shared" si="205"/>
        <v/>
      </c>
      <c r="ER19" t="str">
        <f t="shared" si="206"/>
        <v/>
      </c>
      <c r="ES19" t="str">
        <f t="shared" si="207"/>
        <v/>
      </c>
      <c r="ET19" t="str">
        <f t="shared" si="208"/>
        <v/>
      </c>
      <c r="EU19" t="str">
        <f t="shared" si="209"/>
        <v/>
      </c>
      <c r="EV19" t="str">
        <f t="shared" si="210"/>
        <v/>
      </c>
      <c r="EW19" t="str">
        <f t="shared" si="211"/>
        <v/>
      </c>
      <c r="EX19" t="str">
        <f t="shared" si="212"/>
        <v/>
      </c>
      <c r="EY19" t="str">
        <f t="shared" si="213"/>
        <v/>
      </c>
    </row>
    <row r="20" spans="1:155" ht="13.9" customHeight="1" x14ac:dyDescent="0.25">
      <c r="A20" s="7"/>
      <c r="B20" s="17"/>
      <c r="C20" s="8"/>
      <c r="D20" s="17"/>
      <c r="E20" s="8"/>
      <c r="F20" s="18">
        <v>0</v>
      </c>
      <c r="G20" s="7" t="s">
        <v>147</v>
      </c>
      <c r="H20" s="18">
        <v>0</v>
      </c>
      <c r="I20" s="19">
        <v>0</v>
      </c>
      <c r="J20" s="7" t="s">
        <v>147</v>
      </c>
      <c r="K20" s="19">
        <v>0</v>
      </c>
      <c r="L20" s="9"/>
      <c r="M20" s="3" t="str">
        <f>IF($L20="","",IF($L20="DOELPUNTENMAKERS","",IF(AND(COUNTIF(#REF!,$B20)=0,COUNTIF(#REF!,$D20)=0),"OK",IF($O20&gt;20,"LET OP: meer dan 20 items (controle onvolledig)",IF((COUNTIF($R20:$AS20,"ONZEKER")+COUNTIF($CJ20:$DK20,"ONZEKER"))&gt;0,"LET OP: scoreverloop onduidelijk (controle beperkt)",IF((IF($AT20&lt;&gt;"",$AT20&amp;", ","")&amp;IF($AU20&lt;&gt;"",$AU20&amp;", ","")&amp;IF($AV20&lt;&gt;"",$AV20&amp;", ","")&amp;IF($AW20&lt;&gt;"",$AW20&amp;", ","")&amp;IF($AX20&lt;&gt;"",$AX20&amp;", ","")&amp;IF($AY20&lt;&gt;"",$AY20&amp;", ","")&amp;IF($AZ20&lt;&gt;"",$AZ20&amp;", ","")&amp;IF($BA20&lt;&gt;"",$BA20&amp;", ","")&amp;IF($BB20&lt;&gt;"",$BB20&amp;", ","")&amp;IF($BC20&lt;&gt;"",$BC20&amp;", ","")&amp;IF($DL20&lt;&gt;"",$DL20&amp;", ","")&amp;IF($DM20&lt;&gt;"",$DM20&amp;", ","")&amp;IF($DN20&lt;&gt;"",$DN20&amp;", ","")&amp;IF($DO20&lt;&gt;"",$DO20&amp;", ","")&amp;IF($DP20&lt;&gt;"",$DP20&amp;", ","")&amp;IF($DQ20&lt;&gt;"",$DQ20&amp;", ","")&amp;IF($DR20&lt;&gt;"",$DR20&amp;", ","")&amp;IF($DS20&lt;&gt;"",$DS20&amp;", ","")&amp;IF($DT20&lt;&gt;"",$DT20&amp;", ","")&amp;IF($DU20&lt;&gt;"",$DU20&amp;", ",""))="","OK","Onbekend: "&amp;LEFT((IF($AT20&lt;&gt;"",$AT20&amp;", ","")&amp;IF($AU20&lt;&gt;"",$AU20&amp;", ","")&amp;IF($AV20&lt;&gt;"",$AV20&amp;", ","")&amp;IF($AW20&lt;&gt;"",$AW20&amp;", ","")&amp;IF($AX20&lt;&gt;"",$AX20&amp;", ","")&amp;IF($AY20&lt;&gt;"",$AY20&amp;", ","")&amp;IF($AZ20&lt;&gt;"",$AZ20&amp;", ","")&amp;IF($BA20&lt;&gt;"",$BA20&amp;", ","")&amp;IF($BB20&lt;&gt;"",$BB20&amp;", ","")&amp;IF($BC20&lt;&gt;"",$BC20&amp;", ","")&amp;IF($DL20&lt;&gt;"",$DL20&amp;", ","")&amp;IF($DM20&lt;&gt;"",$DM20&amp;", ","")&amp;IF($DN20&lt;&gt;"",$DN20&amp;", ","")&amp;IF($DO20&lt;&gt;"",$DO20&amp;", ","")&amp;IF($DP20&lt;&gt;"",$DP20&amp;", ","")&amp;IF($DQ20&lt;&gt;"",$DQ20&amp;", ","")&amp;IF($DR20&lt;&gt;"",$DR20&amp;", ","")&amp;IF($DS20&lt;&gt;"",$DS20&amp;", ","")&amp;IF($DT20&lt;&gt;"",$DT20&amp;", ","")&amp;IF($DU20&lt;&gt;"",$DU20&amp;", ","")),LEN((IF($AT20&lt;&gt;"",$AT20&amp;", ","")&amp;IF($AU20&lt;&gt;"",$AU20&amp;", ","")&amp;IF($AV20&lt;&gt;"",$AV20&amp;", ","")&amp;IF($AW20&lt;&gt;"",$AW20&amp;", ","")&amp;IF($AX20&lt;&gt;"",$AX20&amp;", ","")&amp;IF($AY20&lt;&gt;"",$AY20&amp;", ","")&amp;IF($AZ20&lt;&gt;"",$AZ20&amp;", ","")&amp;IF($BA20&lt;&gt;"",$BA20&amp;", ","")&amp;IF($BB20&lt;&gt;"",$BB20&amp;", ","")&amp;IF($BC20&lt;&gt;"",$BC20&amp;", ","")&amp;IF($DL20&lt;&gt;"",$DL20&amp;", ","")&amp;IF($DM20&lt;&gt;"",$DM20&amp;", ","")&amp;IF($DN20&lt;&gt;"",$DN20&amp;", ","")&amp;IF($DO20&lt;&gt;"",$DO20&amp;", ","")&amp;IF($DP20&lt;&gt;"",$DP20&amp;", ","")&amp;IF($DQ20&lt;&gt;"",$DQ20&amp;", ","")&amp;IF($DR20&lt;&gt;"",$DR20&amp;", ","")&amp;IF($DS20&lt;&gt;"",$DS20&amp;", ","")&amp;IF($DT20&lt;&gt;"",$DT20&amp;", ","")&amp;IF($DU20&lt;&gt;"",$DU20&amp;", ","")))-2)))))))</f>
        <v/>
      </c>
      <c r="N20" t="str">
        <f t="shared" si="122"/>
        <v/>
      </c>
      <c r="O20" t="str">
        <f t="shared" si="123"/>
        <v/>
      </c>
      <c r="P20" t="str">
        <f t="shared" si="124"/>
        <v/>
      </c>
      <c r="Q20" t="str">
        <f t="shared" si="125"/>
        <v/>
      </c>
      <c r="R20" t="str">
        <f>IF($Q20="","",IF(OR($BE20="",$BF20=""),"ONZEKER",IF(AND($BE20=0+1,$BF20=0),IF(OR(COUNTIF(#REF!,$B20)&gt;0,COUNTIF(#REF!,$B20)=0),"SKIP",IF(COUNTIFS(#REF!,$B20,#REF!,$Q20)&gt;0,"OK","ONBEKEND")),IF(AND($BE20=0,$BF20=0+1),IF(OR(COUNTIF(#REF!,$D20)&gt;0,COUNTIF(#REF!,$D20)=0),"SKIP",IF(COUNTIFS(#REF!,$D20,#REF!,$Q20)&gt;0,"OK","ONBEKEND")),"ONZEKER"))))</f>
        <v/>
      </c>
      <c r="S20" t="str">
        <f t="shared" si="126"/>
        <v/>
      </c>
      <c r="T20" t="str">
        <f t="shared" si="127"/>
        <v/>
      </c>
      <c r="U20" t="str">
        <f>IF($T20="","",IF(OR($BH20="",$BI20=""),"ONZEKER",IF(OR($BE20="",$BF20=""),"ONZEKER",IF(AND($BH20=$BE20+1,$BI20=$BF20),IF(OR(COUNTIF(#REF!,$B20)&gt;0,COUNTIF(#REF!,$B20)=0),"SKIP",IF(COUNTIFS(#REF!,$B20,#REF!,$T20)&gt;0,"OK","ONBEKEND")),IF(AND($BH20=$BE20,$BI20=$BF20+1),IF(OR(COUNTIF(#REF!,$D20)&gt;0,COUNTIF(#REF!,$D20)=0),"SKIP",IF(COUNTIFS(#REF!,$D20,#REF!,$T20)&gt;0,"OK","ONBEKEND")),"ONZEKER")))))</f>
        <v/>
      </c>
      <c r="V20" t="str">
        <f t="shared" si="128"/>
        <v/>
      </c>
      <c r="W20" t="str">
        <f t="shared" si="129"/>
        <v/>
      </c>
      <c r="X20" t="str">
        <f>IF($W20="","",IF(OR($BK20="",$BL20=""),"ONZEKER",IF(OR($BH20="",$BI20=""),"ONZEKER",IF(AND($BK20=$BH20+1,$BL20=$BI20),IF(OR(COUNTIF(#REF!,$B20)&gt;0,COUNTIF(#REF!,$B20)=0),"SKIP",IF(COUNTIFS(#REF!,$B20,#REF!,$W20)&gt;0,"OK","ONBEKEND")),IF(AND($BK20=$BH20,$BL20=$BI20+1),IF(OR(COUNTIF(#REF!,$D20)&gt;0,COUNTIF(#REF!,$D20)=0),"SKIP",IF(COUNTIFS(#REF!,$D20,#REF!,$W20)&gt;0,"OK","ONBEKEND")),"ONZEKER")))))</f>
        <v/>
      </c>
      <c r="Y20" t="str">
        <f t="shared" si="130"/>
        <v/>
      </c>
      <c r="Z20" t="str">
        <f t="shared" si="131"/>
        <v/>
      </c>
      <c r="AA20" t="str">
        <f>IF($Z20="","",IF(OR($BN20="",$BO20=""),"ONZEKER",IF(OR($BK20="",$BL20=""),"ONZEKER",IF(AND($BN20=$BK20+1,$BO20=$BL20),IF(OR(COUNTIF(#REF!,$B20)&gt;0,COUNTIF(#REF!,$B20)=0),"SKIP",IF(COUNTIFS(#REF!,$B20,#REF!,$Z20)&gt;0,"OK","ONBEKEND")),IF(AND($BN20=$BK20,$BO20=$BL20+1),IF(OR(COUNTIF(#REF!,$D20)&gt;0,COUNTIF(#REF!,$D20)=0),"SKIP",IF(COUNTIFS(#REF!,$D20,#REF!,$Z20)&gt;0,"OK","ONBEKEND")),"ONZEKER")))))</f>
        <v/>
      </c>
      <c r="AB20" t="str">
        <f t="shared" si="132"/>
        <v/>
      </c>
      <c r="AC20" t="str">
        <f t="shared" si="133"/>
        <v/>
      </c>
      <c r="AD20" t="str">
        <f>IF($AC20="","",IF(OR($BQ20="",$BR20=""),"ONZEKER",IF(OR($BN20="",$BO20=""),"ONZEKER",IF(AND($BQ20=$BN20+1,$BR20=$BO20),IF(OR(COUNTIF(#REF!,$B20)&gt;0,COUNTIF(#REF!,$B20)=0),"SKIP",IF(COUNTIFS(#REF!,$B20,#REF!,$AC20)&gt;0,"OK","ONBEKEND")),IF(AND($BQ20=$BN20,$BR20=$BO20+1),IF(OR(COUNTIF(#REF!,$D20)&gt;0,COUNTIF(#REF!,$D20)=0),"SKIP",IF(COUNTIFS(#REF!,$D20,#REF!,$AC20)&gt;0,"OK","ONBEKEND")),"ONZEKER")))))</f>
        <v/>
      </c>
      <c r="AE20" t="str">
        <f t="shared" si="134"/>
        <v/>
      </c>
      <c r="AF20" t="str">
        <f t="shared" si="135"/>
        <v/>
      </c>
      <c r="AG20" t="str">
        <f>IF($AF20="","",IF(OR($BT20="",$BU20=""),"ONZEKER",IF(OR($BQ20="",$BR20=""),"ONZEKER",IF(AND($BT20=$BQ20+1,$BU20=$BR20),IF(OR(COUNTIF(#REF!,$B20)&gt;0,COUNTIF(#REF!,$B20)=0),"SKIP",IF(COUNTIFS(#REF!,$B20,#REF!,$AF20)&gt;0,"OK","ONBEKEND")),IF(AND($BT20=$BQ20,$BU20=$BR20+1),IF(OR(COUNTIF(#REF!,$D20)&gt;0,COUNTIF(#REF!,$D20)=0),"SKIP",IF(COUNTIFS(#REF!,$D20,#REF!,$AF20)&gt;0,"OK","ONBEKEND")),"ONZEKER")))))</f>
        <v/>
      </c>
      <c r="AH20" t="str">
        <f t="shared" si="136"/>
        <v/>
      </c>
      <c r="AI20" t="str">
        <f t="shared" si="137"/>
        <v/>
      </c>
      <c r="AJ20" t="str">
        <f>IF($AI20="","",IF(OR($BW20="",$BX20=""),"ONZEKER",IF(OR($BT20="",$BU20=""),"ONZEKER",IF(AND($BW20=$BT20+1,$BX20=$BU20),IF(OR(COUNTIF(#REF!,$B20)&gt;0,COUNTIF(#REF!,$B20)=0),"SKIP",IF(COUNTIFS(#REF!,$B20,#REF!,$AI20)&gt;0,"OK","ONBEKEND")),IF(AND($BW20=$BT20,$BX20=$BU20+1),IF(OR(COUNTIF(#REF!,$D20)&gt;0,COUNTIF(#REF!,$D20)=0),"SKIP",IF(COUNTIFS(#REF!,$D20,#REF!,$AI20)&gt;0,"OK","ONBEKEND")),"ONZEKER")))))</f>
        <v/>
      </c>
      <c r="AK20" t="str">
        <f t="shared" si="138"/>
        <v/>
      </c>
      <c r="AL20" t="str">
        <f t="shared" si="139"/>
        <v/>
      </c>
      <c r="AM20" t="str">
        <f>IF($AL20="","",IF(OR($BZ20="",$CA20=""),"ONZEKER",IF(OR($BW20="",$BX20=""),"ONZEKER",IF(AND($BZ20=$BW20+1,$CA20=$BX20),IF(OR(COUNTIF(#REF!,$B20)&gt;0,COUNTIF(#REF!,$B20)=0),"SKIP",IF(COUNTIFS(#REF!,$B20,#REF!,$AL20)&gt;0,"OK","ONBEKEND")),IF(AND($BZ20=$BW20,$CA20=$BX20+1),IF(OR(COUNTIF(#REF!,$D20)&gt;0,COUNTIF(#REF!,$D20)=0),"SKIP",IF(COUNTIFS(#REF!,$D20,#REF!,$AL20)&gt;0,"OK","ONBEKEND")),"ONZEKER")))))</f>
        <v/>
      </c>
      <c r="AN20" t="str">
        <f t="shared" si="140"/>
        <v/>
      </c>
      <c r="AO20" t="str">
        <f t="shared" si="141"/>
        <v/>
      </c>
      <c r="AP20" t="str">
        <f>IF($AO20="","",IF(OR($CC20="",$CD20=""),"ONZEKER",IF(OR($BZ20="",$CA20=""),"ONZEKER",IF(AND($CC20=$BZ20+1,$CD20=$CA20),IF(OR(COUNTIF(#REF!,$B20)&gt;0,COUNTIF(#REF!,$B20)=0),"SKIP",IF(COUNTIFS(#REF!,$B20,#REF!,$AO20)&gt;0,"OK","ONBEKEND")),IF(AND($CC20=$BZ20,$CD20=$CA20+1),IF(OR(COUNTIF(#REF!,$D20)&gt;0,COUNTIF(#REF!,$D20)=0),"SKIP",IF(COUNTIFS(#REF!,$D20,#REF!,$AO20)&gt;0,"OK","ONBEKEND")),"ONZEKER")))))</f>
        <v/>
      </c>
      <c r="AQ20" t="str">
        <f t="shared" si="142"/>
        <v/>
      </c>
      <c r="AR20" t="str">
        <f t="shared" si="143"/>
        <v/>
      </c>
      <c r="AS20" t="str">
        <f>IF($AR20="","",IF(OR($CF20="",$CG20=""),"ONZEKER",IF(OR($CC20="",$CD20=""),"ONZEKER",IF(AND($CF20=$CC20+1,$CG20=$CD20),IF(OR(COUNTIF(#REF!,$B20)&gt;0,COUNTIF(#REF!,$B20)=0),"SKIP",IF(COUNTIFS(#REF!,$B20,#REF!,$AR20)&gt;0,"OK","ONBEKEND")),IF(AND($CF20=$CC20,$CG20=$CD20+1),IF(OR(COUNTIF(#REF!,$D20)&gt;0,COUNTIF(#REF!,$D20)=0),"SKIP",IF(COUNTIFS(#REF!,$D20,#REF!,$AR20)&gt;0,"OK","ONBEKEND")),"ONZEKER")))))</f>
        <v/>
      </c>
      <c r="AT20" t="str">
        <f t="shared" si="144"/>
        <v/>
      </c>
      <c r="AU20" t="str">
        <f t="shared" si="145"/>
        <v/>
      </c>
      <c r="AV20" t="str">
        <f t="shared" si="146"/>
        <v/>
      </c>
      <c r="AW20" t="str">
        <f t="shared" si="147"/>
        <v/>
      </c>
      <c r="AX20" t="str">
        <f t="shared" si="148"/>
        <v/>
      </c>
      <c r="AY20" t="str">
        <f t="shared" si="149"/>
        <v/>
      </c>
      <c r="AZ20" t="str">
        <f t="shared" si="150"/>
        <v/>
      </c>
      <c r="BA20" t="str">
        <f t="shared" si="151"/>
        <v/>
      </c>
      <c r="BB20" t="str">
        <f t="shared" si="152"/>
        <v/>
      </c>
      <c r="BC20" t="str">
        <f t="shared" si="153"/>
        <v/>
      </c>
      <c r="BD20" t="str">
        <f t="shared" si="32"/>
        <v/>
      </c>
      <c r="BE20" t="str">
        <f t="shared" si="33"/>
        <v/>
      </c>
      <c r="BF20" t="str">
        <f t="shared" si="34"/>
        <v/>
      </c>
      <c r="BG20" t="str">
        <f t="shared" si="35"/>
        <v/>
      </c>
      <c r="BH20" t="str">
        <f t="shared" si="36"/>
        <v/>
      </c>
      <c r="BI20" t="str">
        <f t="shared" si="37"/>
        <v/>
      </c>
      <c r="BJ20" t="str">
        <f t="shared" si="38"/>
        <v/>
      </c>
      <c r="BK20" t="str">
        <f t="shared" si="39"/>
        <v/>
      </c>
      <c r="BL20" t="str">
        <f t="shared" si="40"/>
        <v/>
      </c>
      <c r="BM20" t="str">
        <f t="shared" si="41"/>
        <v/>
      </c>
      <c r="BN20" t="str">
        <f t="shared" si="42"/>
        <v/>
      </c>
      <c r="BO20" t="str">
        <f t="shared" si="43"/>
        <v/>
      </c>
      <c r="BP20" t="str">
        <f t="shared" si="44"/>
        <v/>
      </c>
      <c r="BQ20" t="str">
        <f t="shared" si="45"/>
        <v/>
      </c>
      <c r="BR20" t="str">
        <f t="shared" si="46"/>
        <v/>
      </c>
      <c r="BS20" t="str">
        <f t="shared" si="47"/>
        <v/>
      </c>
      <c r="BT20" t="str">
        <f t="shared" si="48"/>
        <v/>
      </c>
      <c r="BU20" t="str">
        <f t="shared" si="49"/>
        <v/>
      </c>
      <c r="BV20" t="str">
        <f t="shared" si="50"/>
        <v/>
      </c>
      <c r="BW20" t="str">
        <f t="shared" si="51"/>
        <v/>
      </c>
      <c r="BX20" t="str">
        <f t="shared" si="52"/>
        <v/>
      </c>
      <c r="BY20" t="str">
        <f t="shared" si="53"/>
        <v/>
      </c>
      <c r="BZ20" t="str">
        <f t="shared" si="54"/>
        <v/>
      </c>
      <c r="CA20" t="str">
        <f t="shared" si="55"/>
        <v/>
      </c>
      <c r="CB20" t="str">
        <f t="shared" si="56"/>
        <v/>
      </c>
      <c r="CC20" t="str">
        <f t="shared" si="57"/>
        <v/>
      </c>
      <c r="CD20" t="str">
        <f t="shared" si="58"/>
        <v/>
      </c>
      <c r="CE20" t="str">
        <f t="shared" si="59"/>
        <v/>
      </c>
      <c r="CF20" t="str">
        <f t="shared" si="60"/>
        <v/>
      </c>
      <c r="CG20" t="str">
        <f t="shared" si="61"/>
        <v/>
      </c>
      <c r="CH20" t="str">
        <f t="shared" si="154"/>
        <v/>
      </c>
      <c r="CI20" t="str">
        <f t="shared" si="155"/>
        <v/>
      </c>
      <c r="CJ20" t="str">
        <f>IF($CI20="","",IF(OR($DW20="",$DX20=""),"ONZEKER",IF(OR($CF20="",$CG20=""),"ONZEKER",IF(AND($DW20=$CF20+1,$DX20=$CG20),IF(OR(COUNTIF(#REF!,$B20)&gt;0,COUNTIF(#REF!,$B20)=0),"SKIP",IF(COUNTIFS(#REF!,$B20,#REF!,$CI20)&gt;0,"OK","ONBEKEND")),IF(AND($DW20=$CF20,$DX20=$CG20+1),IF(OR(COUNTIF(#REF!,$D20)&gt;0,COUNTIF(#REF!,$D20)=0),"SKIP",IF(COUNTIFS(#REF!,$D20,#REF!,$CI20)&gt;0,"OK","ONBEKEND")),"ONZEKER")))))</f>
        <v/>
      </c>
      <c r="CK20" t="str">
        <f t="shared" si="156"/>
        <v/>
      </c>
      <c r="CL20" t="str">
        <f t="shared" si="157"/>
        <v/>
      </c>
      <c r="CM20" t="str">
        <f>IF($CL20="","",IF(OR($DZ20="",$EA20=""),"ONZEKER",IF(OR($DW20="",$DX20=""),"ONZEKER",IF(AND($DZ20=$DW20+1,$EA20=$DX20),IF(OR(COUNTIF(#REF!,$B20)&gt;0,COUNTIF(#REF!,$B20)=0),"SKIP",IF(COUNTIFS(#REF!,$B20,#REF!,$CL20)&gt;0,"OK","ONBEKEND")),IF(AND($DZ20=$DW20,$EA20=$DX20+1),IF(OR(COUNTIF(#REF!,$D20)&gt;0,COUNTIF(#REF!,$D20)=0),"SKIP",IF(COUNTIFS(#REF!,$D20,#REF!,$CL20)&gt;0,"OK","ONBEKEND")),"ONZEKER")))))</f>
        <v/>
      </c>
      <c r="CN20" t="str">
        <f t="shared" si="158"/>
        <v/>
      </c>
      <c r="CO20" t="str">
        <f t="shared" si="159"/>
        <v/>
      </c>
      <c r="CP20" t="str">
        <f>IF($CO20="","",IF(OR($EC20="",$ED20=""),"ONZEKER",IF(OR($DZ20="",$EA20=""),"ONZEKER",IF(AND($EC20=$DZ20+1,$ED20=$EA20),IF(OR(COUNTIF(#REF!,$B20)&gt;0,COUNTIF(#REF!,$B20)=0),"SKIP",IF(COUNTIFS(#REF!,$B20,#REF!,$CO20)&gt;0,"OK","ONBEKEND")),IF(AND($EC20=$DZ20,$ED20=$EA20+1),IF(OR(COUNTIF(#REF!,$D20)&gt;0,COUNTIF(#REF!,$D20)=0),"SKIP",IF(COUNTIFS(#REF!,$D20,#REF!,$CO20)&gt;0,"OK","ONBEKEND")),"ONZEKER")))))</f>
        <v/>
      </c>
      <c r="CQ20" t="str">
        <f t="shared" si="160"/>
        <v/>
      </c>
      <c r="CR20" t="str">
        <f t="shared" si="161"/>
        <v/>
      </c>
      <c r="CS20" t="str">
        <f>IF($CR20="","",IF(OR($EF20="",$EG20=""),"ONZEKER",IF(OR($EC20="",$ED20=""),"ONZEKER",IF(AND($EF20=$EC20+1,$EG20=$ED20),IF(OR(COUNTIF(#REF!,$B20)&gt;0,COUNTIF(#REF!,$B20)=0),"SKIP",IF(COUNTIFS(#REF!,$B20,#REF!,$CR20)&gt;0,"OK","ONBEKEND")),IF(AND($EF20=$EC20,$EG20=$ED20+1),IF(OR(COUNTIF(#REF!,$D20)&gt;0,COUNTIF(#REF!,$D20)=0),"SKIP",IF(COUNTIFS(#REF!,$D20,#REF!,$CR20)&gt;0,"OK","ONBEKEND")),"ONZEKER")))))</f>
        <v/>
      </c>
      <c r="CT20" t="str">
        <f t="shared" si="162"/>
        <v/>
      </c>
      <c r="CU20" t="str">
        <f t="shared" si="163"/>
        <v/>
      </c>
      <c r="CV20" t="str">
        <f>IF($CU20="","",IF(OR($EI20="",$EJ20=""),"ONZEKER",IF(OR($EF20="",$EG20=""),"ONZEKER",IF(AND($EI20=$EF20+1,$EJ20=$EG20),IF(OR(COUNTIF(#REF!,$B20)&gt;0,COUNTIF(#REF!,$B20)=0),"SKIP",IF(COUNTIFS(#REF!,$B20,#REF!,$CU20)&gt;0,"OK","ONBEKEND")),IF(AND($EI20=$EF20,$EJ20=$EG20+1),IF(OR(COUNTIF(#REF!,$D20)&gt;0,COUNTIF(#REF!,$D20)=0),"SKIP",IF(COUNTIFS(#REF!,$D20,#REF!,$CU20)&gt;0,"OK","ONBEKEND")),"ONZEKER")))))</f>
        <v/>
      </c>
      <c r="CW20" t="str">
        <f t="shared" si="164"/>
        <v/>
      </c>
      <c r="CX20" t="str">
        <f t="shared" si="165"/>
        <v/>
      </c>
      <c r="CY20" t="str">
        <f>IF($CX20="","",IF(OR($EL20="",$EM20=""),"ONZEKER",IF(OR($EI20="",$EJ20=""),"ONZEKER",IF(AND($EL20=$EI20+1,$EM20=$EJ20),IF(OR(COUNTIF(#REF!,$B20)&gt;0,COUNTIF(#REF!,$B20)=0),"SKIP",IF(COUNTIFS(#REF!,$B20,#REF!,$CX20)&gt;0,"OK","ONBEKEND")),IF(AND($EL20=$EI20,$EM20=$EJ20+1),IF(OR(COUNTIF(#REF!,$D20)&gt;0,COUNTIF(#REF!,$D20)=0),"SKIP",IF(COUNTIFS(#REF!,$D20,#REF!,$CX20)&gt;0,"OK","ONBEKEND")),"ONZEKER")))))</f>
        <v/>
      </c>
      <c r="CZ20" t="str">
        <f t="shared" si="166"/>
        <v/>
      </c>
      <c r="DA20" t="str">
        <f t="shared" si="167"/>
        <v/>
      </c>
      <c r="DB20" t="str">
        <f>IF($DA20="","",IF(OR($EO20="",$EP20=""),"ONZEKER",IF(OR($EL20="",$EM20=""),"ONZEKER",IF(AND($EO20=$EL20+1,$EP20=$EM20),IF(OR(COUNTIF(#REF!,$B20)&gt;0,COUNTIF(#REF!,$B20)=0),"SKIP",IF(COUNTIFS(#REF!,$B20,#REF!,$DA20)&gt;0,"OK","ONBEKEND")),IF(AND($EO20=$EL20,$EP20=$EM20+1),IF(OR(COUNTIF(#REF!,$D20)&gt;0,COUNTIF(#REF!,$D20)=0),"SKIP",IF(COUNTIFS(#REF!,$D20,#REF!,$DA20)&gt;0,"OK","ONBEKEND")),"ONZEKER")))))</f>
        <v/>
      </c>
      <c r="DC20" t="str">
        <f t="shared" si="168"/>
        <v/>
      </c>
      <c r="DD20" t="str">
        <f t="shared" si="169"/>
        <v/>
      </c>
      <c r="DE20" t="str">
        <f>IF($DD20="","",IF(OR($ER20="",$ES20=""),"ONZEKER",IF(OR($EO20="",$EP20=""),"ONZEKER",IF(AND($ER20=$EO20+1,$ES20=$EP20),IF(OR(COUNTIF(#REF!,$B20)&gt;0,COUNTIF(#REF!,$B20)=0),"SKIP",IF(COUNTIFS(#REF!,$B20,#REF!,$DD20)&gt;0,"OK","ONBEKEND")),IF(AND($ER20=$EO20,$ES20=$EP20+1),IF(OR(COUNTIF(#REF!,$D20)&gt;0,COUNTIF(#REF!,$D20)=0),"SKIP",IF(COUNTIFS(#REF!,$D20,#REF!,$DD20)&gt;0,"OK","ONBEKEND")),"ONZEKER")))))</f>
        <v/>
      </c>
      <c r="DF20" t="str">
        <f t="shared" si="170"/>
        <v/>
      </c>
      <c r="DG20" t="str">
        <f t="shared" si="171"/>
        <v/>
      </c>
      <c r="DH20" t="str">
        <f>IF($DG20="","",IF(OR($EU20="",$EV20=""),"ONZEKER",IF(OR($ER20="",$ES20=""),"ONZEKER",IF(AND($EU20=$ER20+1,$EV20=$ES20),IF(OR(COUNTIF(#REF!,$B20)&gt;0,COUNTIF(#REF!,$B20)=0),"SKIP",IF(COUNTIFS(#REF!,$B20,#REF!,$DG20)&gt;0,"OK","ONBEKEND")),IF(AND($EU20=$ER20,$EV20=$ES20+1),IF(OR(COUNTIF(#REF!,$D20)&gt;0,COUNTIF(#REF!,$D20)=0),"SKIP",IF(COUNTIFS(#REF!,$D20,#REF!,$DG20)&gt;0,"OK","ONBEKEND")),"ONZEKER")))))</f>
        <v/>
      </c>
      <c r="DI20" t="str">
        <f t="shared" si="172"/>
        <v/>
      </c>
      <c r="DJ20" t="str">
        <f t="shared" si="173"/>
        <v/>
      </c>
      <c r="DK20" t="str">
        <f>IF($DJ20="","",IF(OR($EX20="",$EY20=""),"ONZEKER",IF(OR($EU20="",$EV20=""),"ONZEKER",IF(AND($EX20=$EU20+1,$EY20=$EV20),IF(OR(COUNTIF(#REF!,$B20)&gt;0,COUNTIF(#REF!,$B20)=0),"SKIP",IF(COUNTIFS(#REF!,$B20,#REF!,$DJ20)&gt;0,"OK","ONBEKEND")),IF(AND($EX20=$EU20,$EY20=$EV20+1),IF(OR(COUNTIF(#REF!,$D20)&gt;0,COUNTIF(#REF!,$D20)=0),"SKIP",IF(COUNTIFS(#REF!,$D20,#REF!,$DJ20)&gt;0,"OK","ONBEKEND")),"ONZEKER")))))</f>
        <v/>
      </c>
      <c r="DL20" t="str">
        <f t="shared" si="174"/>
        <v/>
      </c>
      <c r="DM20" t="str">
        <f t="shared" si="175"/>
        <v/>
      </c>
      <c r="DN20" t="str">
        <f t="shared" si="176"/>
        <v/>
      </c>
      <c r="DO20" t="str">
        <f t="shared" si="177"/>
        <v/>
      </c>
      <c r="DP20" t="str">
        <f t="shared" si="178"/>
        <v/>
      </c>
      <c r="DQ20" t="str">
        <f t="shared" si="179"/>
        <v/>
      </c>
      <c r="DR20" t="str">
        <f t="shared" si="180"/>
        <v/>
      </c>
      <c r="DS20" t="str">
        <f t="shared" si="181"/>
        <v/>
      </c>
      <c r="DT20" t="str">
        <f t="shared" si="182"/>
        <v/>
      </c>
      <c r="DU20" t="str">
        <f t="shared" si="183"/>
        <v/>
      </c>
      <c r="DV20" t="str">
        <f t="shared" si="184"/>
        <v/>
      </c>
      <c r="DW20" t="str">
        <f t="shared" si="185"/>
        <v/>
      </c>
      <c r="DX20" t="str">
        <f t="shared" si="186"/>
        <v/>
      </c>
      <c r="DY20" t="str">
        <f t="shared" si="187"/>
        <v/>
      </c>
      <c r="DZ20" t="str">
        <f t="shared" si="188"/>
        <v/>
      </c>
      <c r="EA20" t="str">
        <f t="shared" si="189"/>
        <v/>
      </c>
      <c r="EB20" t="str">
        <f t="shared" si="190"/>
        <v/>
      </c>
      <c r="EC20" t="str">
        <f t="shared" si="191"/>
        <v/>
      </c>
      <c r="ED20" t="str">
        <f t="shared" si="192"/>
        <v/>
      </c>
      <c r="EE20" t="str">
        <f t="shared" si="193"/>
        <v/>
      </c>
      <c r="EF20" t="str">
        <f t="shared" si="194"/>
        <v/>
      </c>
      <c r="EG20" t="str">
        <f t="shared" si="195"/>
        <v/>
      </c>
      <c r="EH20" t="str">
        <f t="shared" si="196"/>
        <v/>
      </c>
      <c r="EI20" t="str">
        <f t="shared" si="197"/>
        <v/>
      </c>
      <c r="EJ20" t="str">
        <f t="shared" si="198"/>
        <v/>
      </c>
      <c r="EK20" t="str">
        <f t="shared" si="199"/>
        <v/>
      </c>
      <c r="EL20" t="str">
        <f t="shared" si="200"/>
        <v/>
      </c>
      <c r="EM20" t="str">
        <f t="shared" si="201"/>
        <v/>
      </c>
      <c r="EN20" t="str">
        <f t="shared" si="202"/>
        <v/>
      </c>
      <c r="EO20" t="str">
        <f t="shared" si="203"/>
        <v/>
      </c>
      <c r="EP20" t="str">
        <f t="shared" si="204"/>
        <v/>
      </c>
      <c r="EQ20" t="str">
        <f t="shared" si="205"/>
        <v/>
      </c>
      <c r="ER20" t="str">
        <f t="shared" si="206"/>
        <v/>
      </c>
      <c r="ES20" t="str">
        <f t="shared" si="207"/>
        <v/>
      </c>
      <c r="ET20" t="str">
        <f t="shared" si="208"/>
        <v/>
      </c>
      <c r="EU20" t="str">
        <f t="shared" si="209"/>
        <v/>
      </c>
      <c r="EV20" t="str">
        <f t="shared" si="210"/>
        <v/>
      </c>
      <c r="EW20" t="str">
        <f t="shared" si="211"/>
        <v/>
      </c>
      <c r="EX20" t="str">
        <f t="shared" si="212"/>
        <v/>
      </c>
      <c r="EY20" t="str">
        <f t="shared" si="213"/>
        <v/>
      </c>
    </row>
    <row r="21" spans="1:155" ht="13.9" customHeight="1" x14ac:dyDescent="0.25">
      <c r="A21" s="7"/>
      <c r="B21" s="17"/>
      <c r="C21" s="8"/>
      <c r="D21" s="17"/>
      <c r="E21" s="8"/>
      <c r="F21" s="18">
        <v>0</v>
      </c>
      <c r="G21" s="7" t="s">
        <v>147</v>
      </c>
      <c r="H21" s="18">
        <v>0</v>
      </c>
      <c r="I21" s="19">
        <v>0</v>
      </c>
      <c r="J21" s="7" t="s">
        <v>147</v>
      </c>
      <c r="K21" s="19">
        <v>0</v>
      </c>
      <c r="L21" s="9"/>
      <c r="M21" s="3" t="str">
        <f>IF($L21="","",IF($L21="DOELPUNTENMAKERS","",IF(AND(COUNTIF(#REF!,$B21)=0,COUNTIF(#REF!,$D21)=0),"OK",IF($O21&gt;20,"LET OP: meer dan 20 items (controle onvolledig)",IF((COUNTIF($R21:$AS21,"ONZEKER")+COUNTIF($CJ21:$DK21,"ONZEKER"))&gt;0,"LET OP: scoreverloop onduidelijk (controle beperkt)",IF((IF($AT21&lt;&gt;"",$AT21&amp;", ","")&amp;IF($AU21&lt;&gt;"",$AU21&amp;", ","")&amp;IF($AV21&lt;&gt;"",$AV21&amp;", ","")&amp;IF($AW21&lt;&gt;"",$AW21&amp;", ","")&amp;IF($AX21&lt;&gt;"",$AX21&amp;", ","")&amp;IF($AY21&lt;&gt;"",$AY21&amp;", ","")&amp;IF($AZ21&lt;&gt;"",$AZ21&amp;", ","")&amp;IF($BA21&lt;&gt;"",$BA21&amp;", ","")&amp;IF($BB21&lt;&gt;"",$BB21&amp;", ","")&amp;IF($BC21&lt;&gt;"",$BC21&amp;", ","")&amp;IF($DL21&lt;&gt;"",$DL21&amp;", ","")&amp;IF($DM21&lt;&gt;"",$DM21&amp;", ","")&amp;IF($DN21&lt;&gt;"",$DN21&amp;", ","")&amp;IF($DO21&lt;&gt;"",$DO21&amp;", ","")&amp;IF($DP21&lt;&gt;"",$DP21&amp;", ","")&amp;IF($DQ21&lt;&gt;"",$DQ21&amp;", ","")&amp;IF($DR21&lt;&gt;"",$DR21&amp;", ","")&amp;IF($DS21&lt;&gt;"",$DS21&amp;", ","")&amp;IF($DT21&lt;&gt;"",$DT21&amp;", ","")&amp;IF($DU21&lt;&gt;"",$DU21&amp;", ",""))="","OK","Onbekend: "&amp;LEFT((IF($AT21&lt;&gt;"",$AT21&amp;", ","")&amp;IF($AU21&lt;&gt;"",$AU21&amp;", ","")&amp;IF($AV21&lt;&gt;"",$AV21&amp;", ","")&amp;IF($AW21&lt;&gt;"",$AW21&amp;", ","")&amp;IF($AX21&lt;&gt;"",$AX21&amp;", ","")&amp;IF($AY21&lt;&gt;"",$AY21&amp;", ","")&amp;IF($AZ21&lt;&gt;"",$AZ21&amp;", ","")&amp;IF($BA21&lt;&gt;"",$BA21&amp;", ","")&amp;IF($BB21&lt;&gt;"",$BB21&amp;", ","")&amp;IF($BC21&lt;&gt;"",$BC21&amp;", ","")&amp;IF($DL21&lt;&gt;"",$DL21&amp;", ","")&amp;IF($DM21&lt;&gt;"",$DM21&amp;", ","")&amp;IF($DN21&lt;&gt;"",$DN21&amp;", ","")&amp;IF($DO21&lt;&gt;"",$DO21&amp;", ","")&amp;IF($DP21&lt;&gt;"",$DP21&amp;", ","")&amp;IF($DQ21&lt;&gt;"",$DQ21&amp;", ","")&amp;IF($DR21&lt;&gt;"",$DR21&amp;", ","")&amp;IF($DS21&lt;&gt;"",$DS21&amp;", ","")&amp;IF($DT21&lt;&gt;"",$DT21&amp;", ","")&amp;IF($DU21&lt;&gt;"",$DU21&amp;", ","")),LEN((IF($AT21&lt;&gt;"",$AT21&amp;", ","")&amp;IF($AU21&lt;&gt;"",$AU21&amp;", ","")&amp;IF($AV21&lt;&gt;"",$AV21&amp;", ","")&amp;IF($AW21&lt;&gt;"",$AW21&amp;", ","")&amp;IF($AX21&lt;&gt;"",$AX21&amp;", ","")&amp;IF($AY21&lt;&gt;"",$AY21&amp;", ","")&amp;IF($AZ21&lt;&gt;"",$AZ21&amp;", ","")&amp;IF($BA21&lt;&gt;"",$BA21&amp;", ","")&amp;IF($BB21&lt;&gt;"",$BB21&amp;", ","")&amp;IF($BC21&lt;&gt;"",$BC21&amp;", ","")&amp;IF($DL21&lt;&gt;"",$DL21&amp;", ","")&amp;IF($DM21&lt;&gt;"",$DM21&amp;", ","")&amp;IF($DN21&lt;&gt;"",$DN21&amp;", ","")&amp;IF($DO21&lt;&gt;"",$DO21&amp;", ","")&amp;IF($DP21&lt;&gt;"",$DP21&amp;", ","")&amp;IF($DQ21&lt;&gt;"",$DQ21&amp;", ","")&amp;IF($DR21&lt;&gt;"",$DR21&amp;", ","")&amp;IF($DS21&lt;&gt;"",$DS21&amp;", ","")&amp;IF($DT21&lt;&gt;"",$DT21&amp;", ","")&amp;IF($DU21&lt;&gt;"",$DU21&amp;", ","")))-2)))))))</f>
        <v/>
      </c>
      <c r="N21" t="str">
        <f t="shared" si="122"/>
        <v/>
      </c>
      <c r="O21" t="str">
        <f t="shared" si="123"/>
        <v/>
      </c>
      <c r="P21" t="str">
        <f t="shared" si="124"/>
        <v/>
      </c>
      <c r="Q21" t="str">
        <f t="shared" si="125"/>
        <v/>
      </c>
      <c r="R21" t="str">
        <f>IF($Q21="","",IF(OR($BE21="",$BF21=""),"ONZEKER",IF(AND($BE21=0+1,$BF21=0),IF(OR(COUNTIF(#REF!,$B21)&gt;0,COUNTIF(#REF!,$B21)=0),"SKIP",IF(COUNTIFS(#REF!,$B21,#REF!,$Q21)&gt;0,"OK","ONBEKEND")),IF(AND($BE21=0,$BF21=0+1),IF(OR(COUNTIF(#REF!,$D21)&gt;0,COUNTIF(#REF!,$D21)=0),"SKIP",IF(COUNTIFS(#REF!,$D21,#REF!,$Q21)&gt;0,"OK","ONBEKEND")),"ONZEKER"))))</f>
        <v/>
      </c>
      <c r="S21" t="str">
        <f t="shared" si="126"/>
        <v/>
      </c>
      <c r="T21" t="str">
        <f t="shared" si="127"/>
        <v/>
      </c>
      <c r="U21" t="str">
        <f>IF($T21="","",IF(OR($BH21="",$BI21=""),"ONZEKER",IF(OR($BE21="",$BF21=""),"ONZEKER",IF(AND($BH21=$BE21+1,$BI21=$BF21),IF(OR(COUNTIF(#REF!,$B21)&gt;0,COUNTIF(#REF!,$B21)=0),"SKIP",IF(COUNTIFS(#REF!,$B21,#REF!,$T21)&gt;0,"OK","ONBEKEND")),IF(AND($BH21=$BE21,$BI21=$BF21+1),IF(OR(COUNTIF(#REF!,$D21)&gt;0,COUNTIF(#REF!,$D21)=0),"SKIP",IF(COUNTIFS(#REF!,$D21,#REF!,$T21)&gt;0,"OK","ONBEKEND")),"ONZEKER")))))</f>
        <v/>
      </c>
      <c r="V21" t="str">
        <f t="shared" si="128"/>
        <v/>
      </c>
      <c r="W21" t="str">
        <f t="shared" si="129"/>
        <v/>
      </c>
      <c r="X21" t="str">
        <f>IF($W21="","",IF(OR($BK21="",$BL21=""),"ONZEKER",IF(OR($BH21="",$BI21=""),"ONZEKER",IF(AND($BK21=$BH21+1,$BL21=$BI21),IF(OR(COUNTIF(#REF!,$B21)&gt;0,COUNTIF(#REF!,$B21)=0),"SKIP",IF(COUNTIFS(#REF!,$B21,#REF!,$W21)&gt;0,"OK","ONBEKEND")),IF(AND($BK21=$BH21,$BL21=$BI21+1),IF(OR(COUNTIF(#REF!,$D21)&gt;0,COUNTIF(#REF!,$D21)=0),"SKIP",IF(COUNTIFS(#REF!,$D21,#REF!,$W21)&gt;0,"OK","ONBEKEND")),"ONZEKER")))))</f>
        <v/>
      </c>
      <c r="Y21" t="str">
        <f t="shared" si="130"/>
        <v/>
      </c>
      <c r="Z21" t="str">
        <f t="shared" si="131"/>
        <v/>
      </c>
      <c r="AA21" t="str">
        <f>IF($Z21="","",IF(OR($BN21="",$BO21=""),"ONZEKER",IF(OR($BK21="",$BL21=""),"ONZEKER",IF(AND($BN21=$BK21+1,$BO21=$BL21),IF(OR(COUNTIF(#REF!,$B21)&gt;0,COUNTIF(#REF!,$B21)=0),"SKIP",IF(COUNTIFS(#REF!,$B21,#REF!,$Z21)&gt;0,"OK","ONBEKEND")),IF(AND($BN21=$BK21,$BO21=$BL21+1),IF(OR(COUNTIF(#REF!,$D21)&gt;0,COUNTIF(#REF!,$D21)=0),"SKIP",IF(COUNTIFS(#REF!,$D21,#REF!,$Z21)&gt;0,"OK","ONBEKEND")),"ONZEKER")))))</f>
        <v/>
      </c>
      <c r="AB21" t="str">
        <f t="shared" si="132"/>
        <v/>
      </c>
      <c r="AC21" t="str">
        <f t="shared" si="133"/>
        <v/>
      </c>
      <c r="AD21" t="str">
        <f>IF($AC21="","",IF(OR($BQ21="",$BR21=""),"ONZEKER",IF(OR($BN21="",$BO21=""),"ONZEKER",IF(AND($BQ21=$BN21+1,$BR21=$BO21),IF(OR(COUNTIF(#REF!,$B21)&gt;0,COUNTIF(#REF!,$B21)=0),"SKIP",IF(COUNTIFS(#REF!,$B21,#REF!,$AC21)&gt;0,"OK","ONBEKEND")),IF(AND($BQ21=$BN21,$BR21=$BO21+1),IF(OR(COUNTIF(#REF!,$D21)&gt;0,COUNTIF(#REF!,$D21)=0),"SKIP",IF(COUNTIFS(#REF!,$D21,#REF!,$AC21)&gt;0,"OK","ONBEKEND")),"ONZEKER")))))</f>
        <v/>
      </c>
      <c r="AE21" t="str">
        <f t="shared" si="134"/>
        <v/>
      </c>
      <c r="AF21" t="str">
        <f t="shared" si="135"/>
        <v/>
      </c>
      <c r="AG21" t="str">
        <f>IF($AF21="","",IF(OR($BT21="",$BU21=""),"ONZEKER",IF(OR($BQ21="",$BR21=""),"ONZEKER",IF(AND($BT21=$BQ21+1,$BU21=$BR21),IF(OR(COUNTIF(#REF!,$B21)&gt;0,COUNTIF(#REF!,$B21)=0),"SKIP",IF(COUNTIFS(#REF!,$B21,#REF!,$AF21)&gt;0,"OK","ONBEKEND")),IF(AND($BT21=$BQ21,$BU21=$BR21+1),IF(OR(COUNTIF(#REF!,$D21)&gt;0,COUNTIF(#REF!,$D21)=0),"SKIP",IF(COUNTIFS(#REF!,$D21,#REF!,$AF21)&gt;0,"OK","ONBEKEND")),"ONZEKER")))))</f>
        <v/>
      </c>
      <c r="AH21" t="str">
        <f t="shared" si="136"/>
        <v/>
      </c>
      <c r="AI21" t="str">
        <f t="shared" si="137"/>
        <v/>
      </c>
      <c r="AJ21" t="str">
        <f>IF($AI21="","",IF(OR($BW21="",$BX21=""),"ONZEKER",IF(OR($BT21="",$BU21=""),"ONZEKER",IF(AND($BW21=$BT21+1,$BX21=$BU21),IF(OR(COUNTIF(#REF!,$B21)&gt;0,COUNTIF(#REF!,$B21)=0),"SKIP",IF(COUNTIFS(#REF!,$B21,#REF!,$AI21)&gt;0,"OK","ONBEKEND")),IF(AND($BW21=$BT21,$BX21=$BU21+1),IF(OR(COUNTIF(#REF!,$D21)&gt;0,COUNTIF(#REF!,$D21)=0),"SKIP",IF(COUNTIFS(#REF!,$D21,#REF!,$AI21)&gt;0,"OK","ONBEKEND")),"ONZEKER")))))</f>
        <v/>
      </c>
      <c r="AK21" t="str">
        <f t="shared" si="138"/>
        <v/>
      </c>
      <c r="AL21" t="str">
        <f t="shared" si="139"/>
        <v/>
      </c>
      <c r="AM21" t="str">
        <f>IF($AL21="","",IF(OR($BZ21="",$CA21=""),"ONZEKER",IF(OR($BW21="",$BX21=""),"ONZEKER",IF(AND($BZ21=$BW21+1,$CA21=$BX21),IF(OR(COUNTIF(#REF!,$B21)&gt;0,COUNTIF(#REF!,$B21)=0),"SKIP",IF(COUNTIFS(#REF!,$B21,#REF!,$AL21)&gt;0,"OK","ONBEKEND")),IF(AND($BZ21=$BW21,$CA21=$BX21+1),IF(OR(COUNTIF(#REF!,$D21)&gt;0,COUNTIF(#REF!,$D21)=0),"SKIP",IF(COUNTIFS(#REF!,$D21,#REF!,$AL21)&gt;0,"OK","ONBEKEND")),"ONZEKER")))))</f>
        <v/>
      </c>
      <c r="AN21" t="str">
        <f t="shared" si="140"/>
        <v/>
      </c>
      <c r="AO21" t="str">
        <f t="shared" si="141"/>
        <v/>
      </c>
      <c r="AP21" t="str">
        <f>IF($AO21="","",IF(OR($CC21="",$CD21=""),"ONZEKER",IF(OR($BZ21="",$CA21=""),"ONZEKER",IF(AND($CC21=$BZ21+1,$CD21=$CA21),IF(OR(COUNTIF(#REF!,$B21)&gt;0,COUNTIF(#REF!,$B21)=0),"SKIP",IF(COUNTIFS(#REF!,$B21,#REF!,$AO21)&gt;0,"OK","ONBEKEND")),IF(AND($CC21=$BZ21,$CD21=$CA21+1),IF(OR(COUNTIF(#REF!,$D21)&gt;0,COUNTIF(#REF!,$D21)=0),"SKIP",IF(COUNTIFS(#REF!,$D21,#REF!,$AO21)&gt;0,"OK","ONBEKEND")),"ONZEKER")))))</f>
        <v/>
      </c>
      <c r="AQ21" t="str">
        <f t="shared" si="142"/>
        <v/>
      </c>
      <c r="AR21" t="str">
        <f t="shared" si="143"/>
        <v/>
      </c>
      <c r="AS21" t="str">
        <f>IF($AR21="","",IF(OR($CF21="",$CG21=""),"ONZEKER",IF(OR($CC21="",$CD21=""),"ONZEKER",IF(AND($CF21=$CC21+1,$CG21=$CD21),IF(OR(COUNTIF(#REF!,$B21)&gt;0,COUNTIF(#REF!,$B21)=0),"SKIP",IF(COUNTIFS(#REF!,$B21,#REF!,$AR21)&gt;0,"OK","ONBEKEND")),IF(AND($CF21=$CC21,$CG21=$CD21+1),IF(OR(COUNTIF(#REF!,$D21)&gt;0,COUNTIF(#REF!,$D21)=0),"SKIP",IF(COUNTIFS(#REF!,$D21,#REF!,$AR21)&gt;0,"OK","ONBEKEND")),"ONZEKER")))))</f>
        <v/>
      </c>
      <c r="AT21" t="str">
        <f t="shared" si="144"/>
        <v/>
      </c>
      <c r="AU21" t="str">
        <f t="shared" si="145"/>
        <v/>
      </c>
      <c r="AV21" t="str">
        <f t="shared" si="146"/>
        <v/>
      </c>
      <c r="AW21" t="str">
        <f t="shared" si="147"/>
        <v/>
      </c>
      <c r="AX21" t="str">
        <f t="shared" si="148"/>
        <v/>
      </c>
      <c r="AY21" t="str">
        <f t="shared" si="149"/>
        <v/>
      </c>
      <c r="AZ21" t="str">
        <f t="shared" si="150"/>
        <v/>
      </c>
      <c r="BA21" t="str">
        <f t="shared" si="151"/>
        <v/>
      </c>
      <c r="BB21" t="str">
        <f t="shared" si="152"/>
        <v/>
      </c>
      <c r="BC21" t="str">
        <f t="shared" si="153"/>
        <v/>
      </c>
      <c r="BD21" t="str">
        <f t="shared" si="32"/>
        <v/>
      </c>
      <c r="BE21" t="str">
        <f t="shared" si="33"/>
        <v/>
      </c>
      <c r="BF21" t="str">
        <f t="shared" si="34"/>
        <v/>
      </c>
      <c r="BG21" t="str">
        <f t="shared" si="35"/>
        <v/>
      </c>
      <c r="BH21" t="str">
        <f t="shared" si="36"/>
        <v/>
      </c>
      <c r="BI21" t="str">
        <f t="shared" si="37"/>
        <v/>
      </c>
      <c r="BJ21" t="str">
        <f t="shared" si="38"/>
        <v/>
      </c>
      <c r="BK21" t="str">
        <f t="shared" si="39"/>
        <v/>
      </c>
      <c r="BL21" t="str">
        <f t="shared" si="40"/>
        <v/>
      </c>
      <c r="BM21" t="str">
        <f t="shared" si="41"/>
        <v/>
      </c>
      <c r="BN21" t="str">
        <f t="shared" si="42"/>
        <v/>
      </c>
      <c r="BO21" t="str">
        <f t="shared" si="43"/>
        <v/>
      </c>
      <c r="BP21" t="str">
        <f t="shared" si="44"/>
        <v/>
      </c>
      <c r="BQ21" t="str">
        <f t="shared" si="45"/>
        <v/>
      </c>
      <c r="BR21" t="str">
        <f t="shared" si="46"/>
        <v/>
      </c>
      <c r="BS21" t="str">
        <f t="shared" si="47"/>
        <v/>
      </c>
      <c r="BT21" t="str">
        <f t="shared" si="48"/>
        <v/>
      </c>
      <c r="BU21" t="str">
        <f t="shared" si="49"/>
        <v/>
      </c>
      <c r="BV21" t="str">
        <f t="shared" si="50"/>
        <v/>
      </c>
      <c r="BW21" t="str">
        <f t="shared" si="51"/>
        <v/>
      </c>
      <c r="BX21" t="str">
        <f t="shared" si="52"/>
        <v/>
      </c>
      <c r="BY21" t="str">
        <f t="shared" si="53"/>
        <v/>
      </c>
      <c r="BZ21" t="str">
        <f t="shared" si="54"/>
        <v/>
      </c>
      <c r="CA21" t="str">
        <f t="shared" si="55"/>
        <v/>
      </c>
      <c r="CB21" t="str">
        <f t="shared" si="56"/>
        <v/>
      </c>
      <c r="CC21" t="str">
        <f t="shared" si="57"/>
        <v/>
      </c>
      <c r="CD21" t="str">
        <f t="shared" si="58"/>
        <v/>
      </c>
      <c r="CE21" t="str">
        <f t="shared" si="59"/>
        <v/>
      </c>
      <c r="CF21" t="str">
        <f t="shared" si="60"/>
        <v/>
      </c>
      <c r="CG21" t="str">
        <f t="shared" si="61"/>
        <v/>
      </c>
      <c r="CH21" t="str">
        <f t="shared" si="154"/>
        <v/>
      </c>
      <c r="CI21" t="str">
        <f t="shared" si="155"/>
        <v/>
      </c>
      <c r="CJ21" t="str">
        <f>IF($CI21="","",IF(OR($DW21="",$DX21=""),"ONZEKER",IF(OR($CF21="",$CG21=""),"ONZEKER",IF(AND($DW21=$CF21+1,$DX21=$CG21),IF(OR(COUNTIF(#REF!,$B21)&gt;0,COUNTIF(#REF!,$B21)=0),"SKIP",IF(COUNTIFS(#REF!,$B21,#REF!,$CI21)&gt;0,"OK","ONBEKEND")),IF(AND($DW21=$CF21,$DX21=$CG21+1),IF(OR(COUNTIF(#REF!,$D21)&gt;0,COUNTIF(#REF!,$D21)=0),"SKIP",IF(COUNTIFS(#REF!,$D21,#REF!,$CI21)&gt;0,"OK","ONBEKEND")),"ONZEKER")))))</f>
        <v/>
      </c>
      <c r="CK21" t="str">
        <f t="shared" si="156"/>
        <v/>
      </c>
      <c r="CL21" t="str">
        <f t="shared" si="157"/>
        <v/>
      </c>
      <c r="CM21" t="str">
        <f>IF($CL21="","",IF(OR($DZ21="",$EA21=""),"ONZEKER",IF(OR($DW21="",$DX21=""),"ONZEKER",IF(AND($DZ21=$DW21+1,$EA21=$DX21),IF(OR(COUNTIF(#REF!,$B21)&gt;0,COUNTIF(#REF!,$B21)=0),"SKIP",IF(COUNTIFS(#REF!,$B21,#REF!,$CL21)&gt;0,"OK","ONBEKEND")),IF(AND($DZ21=$DW21,$EA21=$DX21+1),IF(OR(COUNTIF(#REF!,$D21)&gt;0,COUNTIF(#REF!,$D21)=0),"SKIP",IF(COUNTIFS(#REF!,$D21,#REF!,$CL21)&gt;0,"OK","ONBEKEND")),"ONZEKER")))))</f>
        <v/>
      </c>
      <c r="CN21" t="str">
        <f t="shared" si="158"/>
        <v/>
      </c>
      <c r="CO21" t="str">
        <f t="shared" si="159"/>
        <v/>
      </c>
      <c r="CP21" t="str">
        <f>IF($CO21="","",IF(OR($EC21="",$ED21=""),"ONZEKER",IF(OR($DZ21="",$EA21=""),"ONZEKER",IF(AND($EC21=$DZ21+1,$ED21=$EA21),IF(OR(COUNTIF(#REF!,$B21)&gt;0,COUNTIF(#REF!,$B21)=0),"SKIP",IF(COUNTIFS(#REF!,$B21,#REF!,$CO21)&gt;0,"OK","ONBEKEND")),IF(AND($EC21=$DZ21,$ED21=$EA21+1),IF(OR(COUNTIF(#REF!,$D21)&gt;0,COUNTIF(#REF!,$D21)=0),"SKIP",IF(COUNTIFS(#REF!,$D21,#REF!,$CO21)&gt;0,"OK","ONBEKEND")),"ONZEKER")))))</f>
        <v/>
      </c>
      <c r="CQ21" t="str">
        <f t="shared" si="160"/>
        <v/>
      </c>
      <c r="CR21" t="str">
        <f t="shared" si="161"/>
        <v/>
      </c>
      <c r="CS21" t="str">
        <f>IF($CR21="","",IF(OR($EF21="",$EG21=""),"ONZEKER",IF(OR($EC21="",$ED21=""),"ONZEKER",IF(AND($EF21=$EC21+1,$EG21=$ED21),IF(OR(COUNTIF(#REF!,$B21)&gt;0,COUNTIF(#REF!,$B21)=0),"SKIP",IF(COUNTIFS(#REF!,$B21,#REF!,$CR21)&gt;0,"OK","ONBEKEND")),IF(AND($EF21=$EC21,$EG21=$ED21+1),IF(OR(COUNTIF(#REF!,$D21)&gt;0,COUNTIF(#REF!,$D21)=0),"SKIP",IF(COUNTIFS(#REF!,$D21,#REF!,$CR21)&gt;0,"OK","ONBEKEND")),"ONZEKER")))))</f>
        <v/>
      </c>
      <c r="CT21" t="str">
        <f t="shared" si="162"/>
        <v/>
      </c>
      <c r="CU21" t="str">
        <f t="shared" si="163"/>
        <v/>
      </c>
      <c r="CV21" t="str">
        <f>IF($CU21="","",IF(OR($EI21="",$EJ21=""),"ONZEKER",IF(OR($EF21="",$EG21=""),"ONZEKER",IF(AND($EI21=$EF21+1,$EJ21=$EG21),IF(OR(COUNTIF(#REF!,$B21)&gt;0,COUNTIF(#REF!,$B21)=0),"SKIP",IF(COUNTIFS(#REF!,$B21,#REF!,$CU21)&gt;0,"OK","ONBEKEND")),IF(AND($EI21=$EF21,$EJ21=$EG21+1),IF(OR(COUNTIF(#REF!,$D21)&gt;0,COUNTIF(#REF!,$D21)=0),"SKIP",IF(COUNTIFS(#REF!,$D21,#REF!,$CU21)&gt;0,"OK","ONBEKEND")),"ONZEKER")))))</f>
        <v/>
      </c>
      <c r="CW21" t="str">
        <f t="shared" si="164"/>
        <v/>
      </c>
      <c r="CX21" t="str">
        <f t="shared" si="165"/>
        <v/>
      </c>
      <c r="CY21" t="str">
        <f>IF($CX21="","",IF(OR($EL21="",$EM21=""),"ONZEKER",IF(OR($EI21="",$EJ21=""),"ONZEKER",IF(AND($EL21=$EI21+1,$EM21=$EJ21),IF(OR(COUNTIF(#REF!,$B21)&gt;0,COUNTIF(#REF!,$B21)=0),"SKIP",IF(COUNTIFS(#REF!,$B21,#REF!,$CX21)&gt;0,"OK","ONBEKEND")),IF(AND($EL21=$EI21,$EM21=$EJ21+1),IF(OR(COUNTIF(#REF!,$D21)&gt;0,COUNTIF(#REF!,$D21)=0),"SKIP",IF(COUNTIFS(#REF!,$D21,#REF!,$CX21)&gt;0,"OK","ONBEKEND")),"ONZEKER")))))</f>
        <v/>
      </c>
      <c r="CZ21" t="str">
        <f t="shared" si="166"/>
        <v/>
      </c>
      <c r="DA21" t="str">
        <f t="shared" si="167"/>
        <v/>
      </c>
      <c r="DB21" t="str">
        <f>IF($DA21="","",IF(OR($EO21="",$EP21=""),"ONZEKER",IF(OR($EL21="",$EM21=""),"ONZEKER",IF(AND($EO21=$EL21+1,$EP21=$EM21),IF(OR(COUNTIF(#REF!,$B21)&gt;0,COUNTIF(#REF!,$B21)=0),"SKIP",IF(COUNTIFS(#REF!,$B21,#REF!,$DA21)&gt;0,"OK","ONBEKEND")),IF(AND($EO21=$EL21,$EP21=$EM21+1),IF(OR(COUNTIF(#REF!,$D21)&gt;0,COUNTIF(#REF!,$D21)=0),"SKIP",IF(COUNTIFS(#REF!,$D21,#REF!,$DA21)&gt;0,"OK","ONBEKEND")),"ONZEKER")))))</f>
        <v/>
      </c>
      <c r="DC21" t="str">
        <f t="shared" si="168"/>
        <v/>
      </c>
      <c r="DD21" t="str">
        <f t="shared" si="169"/>
        <v/>
      </c>
      <c r="DE21" t="str">
        <f>IF($DD21="","",IF(OR($ER21="",$ES21=""),"ONZEKER",IF(OR($EO21="",$EP21=""),"ONZEKER",IF(AND($ER21=$EO21+1,$ES21=$EP21),IF(OR(COUNTIF(#REF!,$B21)&gt;0,COUNTIF(#REF!,$B21)=0),"SKIP",IF(COUNTIFS(#REF!,$B21,#REF!,$DD21)&gt;0,"OK","ONBEKEND")),IF(AND($ER21=$EO21,$ES21=$EP21+1),IF(OR(COUNTIF(#REF!,$D21)&gt;0,COUNTIF(#REF!,$D21)=0),"SKIP",IF(COUNTIFS(#REF!,$D21,#REF!,$DD21)&gt;0,"OK","ONBEKEND")),"ONZEKER")))))</f>
        <v/>
      </c>
      <c r="DF21" t="str">
        <f t="shared" si="170"/>
        <v/>
      </c>
      <c r="DG21" t="str">
        <f t="shared" si="171"/>
        <v/>
      </c>
      <c r="DH21" t="str">
        <f>IF($DG21="","",IF(OR($EU21="",$EV21=""),"ONZEKER",IF(OR($ER21="",$ES21=""),"ONZEKER",IF(AND($EU21=$ER21+1,$EV21=$ES21),IF(OR(COUNTIF(#REF!,$B21)&gt;0,COUNTIF(#REF!,$B21)=0),"SKIP",IF(COUNTIFS(#REF!,$B21,#REF!,$DG21)&gt;0,"OK","ONBEKEND")),IF(AND($EU21=$ER21,$EV21=$ES21+1),IF(OR(COUNTIF(#REF!,$D21)&gt;0,COUNTIF(#REF!,$D21)=0),"SKIP",IF(COUNTIFS(#REF!,$D21,#REF!,$DG21)&gt;0,"OK","ONBEKEND")),"ONZEKER")))))</f>
        <v/>
      </c>
      <c r="DI21" t="str">
        <f t="shared" si="172"/>
        <v/>
      </c>
      <c r="DJ21" t="str">
        <f t="shared" si="173"/>
        <v/>
      </c>
      <c r="DK21" t="str">
        <f>IF($DJ21="","",IF(OR($EX21="",$EY21=""),"ONZEKER",IF(OR($EU21="",$EV21=""),"ONZEKER",IF(AND($EX21=$EU21+1,$EY21=$EV21),IF(OR(COUNTIF(#REF!,$B21)&gt;0,COUNTIF(#REF!,$B21)=0),"SKIP",IF(COUNTIFS(#REF!,$B21,#REF!,$DJ21)&gt;0,"OK","ONBEKEND")),IF(AND($EX21=$EU21,$EY21=$EV21+1),IF(OR(COUNTIF(#REF!,$D21)&gt;0,COUNTIF(#REF!,$D21)=0),"SKIP",IF(COUNTIFS(#REF!,$D21,#REF!,$DJ21)&gt;0,"OK","ONBEKEND")),"ONZEKER")))))</f>
        <v/>
      </c>
      <c r="DL21" t="str">
        <f t="shared" si="174"/>
        <v/>
      </c>
      <c r="DM21" t="str">
        <f t="shared" si="175"/>
        <v/>
      </c>
      <c r="DN21" t="str">
        <f t="shared" si="176"/>
        <v/>
      </c>
      <c r="DO21" t="str">
        <f t="shared" si="177"/>
        <v/>
      </c>
      <c r="DP21" t="str">
        <f t="shared" si="178"/>
        <v/>
      </c>
      <c r="DQ21" t="str">
        <f t="shared" si="179"/>
        <v/>
      </c>
      <c r="DR21" t="str">
        <f t="shared" si="180"/>
        <v/>
      </c>
      <c r="DS21" t="str">
        <f t="shared" si="181"/>
        <v/>
      </c>
      <c r="DT21" t="str">
        <f t="shared" si="182"/>
        <v/>
      </c>
      <c r="DU21" t="str">
        <f t="shared" si="183"/>
        <v/>
      </c>
      <c r="DV21" t="str">
        <f t="shared" si="184"/>
        <v/>
      </c>
      <c r="DW21" t="str">
        <f t="shared" si="185"/>
        <v/>
      </c>
      <c r="DX21" t="str">
        <f t="shared" si="186"/>
        <v/>
      </c>
      <c r="DY21" t="str">
        <f t="shared" si="187"/>
        <v/>
      </c>
      <c r="DZ21" t="str">
        <f t="shared" si="188"/>
        <v/>
      </c>
      <c r="EA21" t="str">
        <f t="shared" si="189"/>
        <v/>
      </c>
      <c r="EB21" t="str">
        <f t="shared" si="190"/>
        <v/>
      </c>
      <c r="EC21" t="str">
        <f t="shared" si="191"/>
        <v/>
      </c>
      <c r="ED21" t="str">
        <f t="shared" si="192"/>
        <v/>
      </c>
      <c r="EE21" t="str">
        <f t="shared" si="193"/>
        <v/>
      </c>
      <c r="EF21" t="str">
        <f t="shared" si="194"/>
        <v/>
      </c>
      <c r="EG21" t="str">
        <f t="shared" si="195"/>
        <v/>
      </c>
      <c r="EH21" t="str">
        <f t="shared" si="196"/>
        <v/>
      </c>
      <c r="EI21" t="str">
        <f t="shared" si="197"/>
        <v/>
      </c>
      <c r="EJ21" t="str">
        <f t="shared" si="198"/>
        <v/>
      </c>
      <c r="EK21" t="str">
        <f t="shared" si="199"/>
        <v/>
      </c>
      <c r="EL21" t="str">
        <f t="shared" si="200"/>
        <v/>
      </c>
      <c r="EM21" t="str">
        <f t="shared" si="201"/>
        <v/>
      </c>
      <c r="EN21" t="str">
        <f t="shared" si="202"/>
        <v/>
      </c>
      <c r="EO21" t="str">
        <f t="shared" si="203"/>
        <v/>
      </c>
      <c r="EP21" t="str">
        <f t="shared" si="204"/>
        <v/>
      </c>
      <c r="EQ21" t="str">
        <f t="shared" si="205"/>
        <v/>
      </c>
      <c r="ER21" t="str">
        <f t="shared" si="206"/>
        <v/>
      </c>
      <c r="ES21" t="str">
        <f t="shared" si="207"/>
        <v/>
      </c>
      <c r="ET21" t="str">
        <f t="shared" si="208"/>
        <v/>
      </c>
      <c r="EU21" t="str">
        <f t="shared" si="209"/>
        <v/>
      </c>
      <c r="EV21" t="str">
        <f t="shared" si="210"/>
        <v/>
      </c>
      <c r="EW21" t="str">
        <f t="shared" si="211"/>
        <v/>
      </c>
      <c r="EX21" t="str">
        <f t="shared" si="212"/>
        <v/>
      </c>
      <c r="EY21" t="str">
        <f t="shared" si="213"/>
        <v/>
      </c>
    </row>
    <row r="22" spans="1:155" ht="13.9" customHeight="1" x14ac:dyDescent="0.25">
      <c r="A22" s="7"/>
      <c r="B22" s="17"/>
      <c r="C22" s="8"/>
      <c r="D22" s="17"/>
      <c r="E22" s="8"/>
      <c r="F22" s="18">
        <v>0</v>
      </c>
      <c r="G22" s="7" t="s">
        <v>147</v>
      </c>
      <c r="H22" s="18">
        <v>0</v>
      </c>
      <c r="I22" s="19">
        <v>0</v>
      </c>
      <c r="J22" s="7" t="s">
        <v>147</v>
      </c>
      <c r="K22" s="19">
        <v>0</v>
      </c>
      <c r="L22" s="9"/>
      <c r="M22" s="3" t="str">
        <f>IF($L22="","",IF($L22="DOELPUNTENMAKERS","",IF(AND(COUNTIF(#REF!,$B22)=0,COUNTIF(#REF!,$D22)=0),"OK",IF($O22&gt;20,"LET OP: meer dan 20 items (controle onvolledig)",IF((COUNTIF($R22:$AS22,"ONZEKER")+COUNTIF($CJ22:$DK22,"ONZEKER"))&gt;0,"LET OP: scoreverloop onduidelijk (controle beperkt)",IF((IF($AT22&lt;&gt;"",$AT22&amp;", ","")&amp;IF($AU22&lt;&gt;"",$AU22&amp;", ","")&amp;IF($AV22&lt;&gt;"",$AV22&amp;", ","")&amp;IF($AW22&lt;&gt;"",$AW22&amp;", ","")&amp;IF($AX22&lt;&gt;"",$AX22&amp;", ","")&amp;IF($AY22&lt;&gt;"",$AY22&amp;", ","")&amp;IF($AZ22&lt;&gt;"",$AZ22&amp;", ","")&amp;IF($BA22&lt;&gt;"",$BA22&amp;", ","")&amp;IF($BB22&lt;&gt;"",$BB22&amp;", ","")&amp;IF($BC22&lt;&gt;"",$BC22&amp;", ","")&amp;IF($DL22&lt;&gt;"",$DL22&amp;", ","")&amp;IF($DM22&lt;&gt;"",$DM22&amp;", ","")&amp;IF($DN22&lt;&gt;"",$DN22&amp;", ","")&amp;IF($DO22&lt;&gt;"",$DO22&amp;", ","")&amp;IF($DP22&lt;&gt;"",$DP22&amp;", ","")&amp;IF($DQ22&lt;&gt;"",$DQ22&amp;", ","")&amp;IF($DR22&lt;&gt;"",$DR22&amp;", ","")&amp;IF($DS22&lt;&gt;"",$DS22&amp;", ","")&amp;IF($DT22&lt;&gt;"",$DT22&amp;", ","")&amp;IF($DU22&lt;&gt;"",$DU22&amp;", ",""))="","OK","Onbekend: "&amp;LEFT((IF($AT22&lt;&gt;"",$AT22&amp;", ","")&amp;IF($AU22&lt;&gt;"",$AU22&amp;", ","")&amp;IF($AV22&lt;&gt;"",$AV22&amp;", ","")&amp;IF($AW22&lt;&gt;"",$AW22&amp;", ","")&amp;IF($AX22&lt;&gt;"",$AX22&amp;", ","")&amp;IF($AY22&lt;&gt;"",$AY22&amp;", ","")&amp;IF($AZ22&lt;&gt;"",$AZ22&amp;", ","")&amp;IF($BA22&lt;&gt;"",$BA22&amp;", ","")&amp;IF($BB22&lt;&gt;"",$BB22&amp;", ","")&amp;IF($BC22&lt;&gt;"",$BC22&amp;", ","")&amp;IF($DL22&lt;&gt;"",$DL22&amp;", ","")&amp;IF($DM22&lt;&gt;"",$DM22&amp;", ","")&amp;IF($DN22&lt;&gt;"",$DN22&amp;", ","")&amp;IF($DO22&lt;&gt;"",$DO22&amp;", ","")&amp;IF($DP22&lt;&gt;"",$DP22&amp;", ","")&amp;IF($DQ22&lt;&gt;"",$DQ22&amp;", ","")&amp;IF($DR22&lt;&gt;"",$DR22&amp;", ","")&amp;IF($DS22&lt;&gt;"",$DS22&amp;", ","")&amp;IF($DT22&lt;&gt;"",$DT22&amp;", ","")&amp;IF($DU22&lt;&gt;"",$DU22&amp;", ","")),LEN((IF($AT22&lt;&gt;"",$AT22&amp;", ","")&amp;IF($AU22&lt;&gt;"",$AU22&amp;", ","")&amp;IF($AV22&lt;&gt;"",$AV22&amp;", ","")&amp;IF($AW22&lt;&gt;"",$AW22&amp;", ","")&amp;IF($AX22&lt;&gt;"",$AX22&amp;", ","")&amp;IF($AY22&lt;&gt;"",$AY22&amp;", ","")&amp;IF($AZ22&lt;&gt;"",$AZ22&amp;", ","")&amp;IF($BA22&lt;&gt;"",$BA22&amp;", ","")&amp;IF($BB22&lt;&gt;"",$BB22&amp;", ","")&amp;IF($BC22&lt;&gt;"",$BC22&amp;", ","")&amp;IF($DL22&lt;&gt;"",$DL22&amp;", ","")&amp;IF($DM22&lt;&gt;"",$DM22&amp;", ","")&amp;IF($DN22&lt;&gt;"",$DN22&amp;", ","")&amp;IF($DO22&lt;&gt;"",$DO22&amp;", ","")&amp;IF($DP22&lt;&gt;"",$DP22&amp;", ","")&amp;IF($DQ22&lt;&gt;"",$DQ22&amp;", ","")&amp;IF($DR22&lt;&gt;"",$DR22&amp;", ","")&amp;IF($DS22&lt;&gt;"",$DS22&amp;", ","")&amp;IF($DT22&lt;&gt;"",$DT22&amp;", ","")&amp;IF($DU22&lt;&gt;"",$DU22&amp;", ","")))-2)))))))</f>
        <v/>
      </c>
      <c r="N22" t="str">
        <f t="shared" si="122"/>
        <v/>
      </c>
      <c r="O22" t="str">
        <f t="shared" si="123"/>
        <v/>
      </c>
      <c r="P22" t="str">
        <f t="shared" si="124"/>
        <v/>
      </c>
      <c r="Q22" t="str">
        <f t="shared" si="125"/>
        <v/>
      </c>
      <c r="R22" t="str">
        <f>IF($Q22="","",IF(OR($BE22="",$BF22=""),"ONZEKER",IF(AND($BE22=0+1,$BF22=0),IF(OR(COUNTIF(#REF!,$B22)&gt;0,COUNTIF(#REF!,$B22)=0),"SKIP",IF(COUNTIFS(#REF!,$B22,#REF!,$Q22)&gt;0,"OK","ONBEKEND")),IF(AND($BE22=0,$BF22=0+1),IF(OR(COUNTIF(#REF!,$D22)&gt;0,COUNTIF(#REF!,$D22)=0),"SKIP",IF(COUNTIFS(#REF!,$D22,#REF!,$Q22)&gt;0,"OK","ONBEKEND")),"ONZEKER"))))</f>
        <v/>
      </c>
      <c r="S22" t="str">
        <f t="shared" si="126"/>
        <v/>
      </c>
      <c r="T22" t="str">
        <f t="shared" si="127"/>
        <v/>
      </c>
      <c r="U22" t="str">
        <f>IF($T22="","",IF(OR($BH22="",$BI22=""),"ONZEKER",IF(OR($BE22="",$BF22=""),"ONZEKER",IF(AND($BH22=$BE22+1,$BI22=$BF22),IF(OR(COUNTIF(#REF!,$B22)&gt;0,COUNTIF(#REF!,$B22)=0),"SKIP",IF(COUNTIFS(#REF!,$B22,#REF!,$T22)&gt;0,"OK","ONBEKEND")),IF(AND($BH22=$BE22,$BI22=$BF22+1),IF(OR(COUNTIF(#REF!,$D22)&gt;0,COUNTIF(#REF!,$D22)=0),"SKIP",IF(COUNTIFS(#REF!,$D22,#REF!,$T22)&gt;0,"OK","ONBEKEND")),"ONZEKER")))))</f>
        <v/>
      </c>
      <c r="V22" t="str">
        <f t="shared" si="128"/>
        <v/>
      </c>
      <c r="W22" t="str">
        <f t="shared" si="129"/>
        <v/>
      </c>
      <c r="X22" t="str">
        <f>IF($W22="","",IF(OR($BK22="",$BL22=""),"ONZEKER",IF(OR($BH22="",$BI22=""),"ONZEKER",IF(AND($BK22=$BH22+1,$BL22=$BI22),IF(OR(COUNTIF(#REF!,$B22)&gt;0,COUNTIF(#REF!,$B22)=0),"SKIP",IF(COUNTIFS(#REF!,$B22,#REF!,$W22)&gt;0,"OK","ONBEKEND")),IF(AND($BK22=$BH22,$BL22=$BI22+1),IF(OR(COUNTIF(#REF!,$D22)&gt;0,COUNTIF(#REF!,$D22)=0),"SKIP",IF(COUNTIFS(#REF!,$D22,#REF!,$W22)&gt;0,"OK","ONBEKEND")),"ONZEKER")))))</f>
        <v/>
      </c>
      <c r="Y22" t="str">
        <f t="shared" si="130"/>
        <v/>
      </c>
      <c r="Z22" t="str">
        <f t="shared" si="131"/>
        <v/>
      </c>
      <c r="AA22" t="str">
        <f>IF($Z22="","",IF(OR($BN22="",$BO22=""),"ONZEKER",IF(OR($BK22="",$BL22=""),"ONZEKER",IF(AND($BN22=$BK22+1,$BO22=$BL22),IF(OR(COUNTIF(#REF!,$B22)&gt;0,COUNTIF(#REF!,$B22)=0),"SKIP",IF(COUNTIFS(#REF!,$B22,#REF!,$Z22)&gt;0,"OK","ONBEKEND")),IF(AND($BN22=$BK22,$BO22=$BL22+1),IF(OR(COUNTIF(#REF!,$D22)&gt;0,COUNTIF(#REF!,$D22)=0),"SKIP",IF(COUNTIFS(#REF!,$D22,#REF!,$Z22)&gt;0,"OK","ONBEKEND")),"ONZEKER")))))</f>
        <v/>
      </c>
      <c r="AB22" t="str">
        <f t="shared" si="132"/>
        <v/>
      </c>
      <c r="AC22" t="str">
        <f t="shared" si="133"/>
        <v/>
      </c>
      <c r="AD22" t="str">
        <f>IF($AC22="","",IF(OR($BQ22="",$BR22=""),"ONZEKER",IF(OR($BN22="",$BO22=""),"ONZEKER",IF(AND($BQ22=$BN22+1,$BR22=$BO22),IF(OR(COUNTIF(#REF!,$B22)&gt;0,COUNTIF(#REF!,$B22)=0),"SKIP",IF(COUNTIFS(#REF!,$B22,#REF!,$AC22)&gt;0,"OK","ONBEKEND")),IF(AND($BQ22=$BN22,$BR22=$BO22+1),IF(OR(COUNTIF(#REF!,$D22)&gt;0,COUNTIF(#REF!,$D22)=0),"SKIP",IF(COUNTIFS(#REF!,$D22,#REF!,$AC22)&gt;0,"OK","ONBEKEND")),"ONZEKER")))))</f>
        <v/>
      </c>
      <c r="AE22" t="str">
        <f t="shared" si="134"/>
        <v/>
      </c>
      <c r="AF22" t="str">
        <f t="shared" si="135"/>
        <v/>
      </c>
      <c r="AG22" t="str">
        <f>IF($AF22="","",IF(OR($BT22="",$BU22=""),"ONZEKER",IF(OR($BQ22="",$BR22=""),"ONZEKER",IF(AND($BT22=$BQ22+1,$BU22=$BR22),IF(OR(COUNTIF(#REF!,$B22)&gt;0,COUNTIF(#REF!,$B22)=0),"SKIP",IF(COUNTIFS(#REF!,$B22,#REF!,$AF22)&gt;0,"OK","ONBEKEND")),IF(AND($BT22=$BQ22,$BU22=$BR22+1),IF(OR(COUNTIF(#REF!,$D22)&gt;0,COUNTIF(#REF!,$D22)=0),"SKIP",IF(COUNTIFS(#REF!,$D22,#REF!,$AF22)&gt;0,"OK","ONBEKEND")),"ONZEKER")))))</f>
        <v/>
      </c>
      <c r="AH22" t="str">
        <f t="shared" si="136"/>
        <v/>
      </c>
      <c r="AI22" t="str">
        <f t="shared" si="137"/>
        <v/>
      </c>
      <c r="AJ22" t="str">
        <f>IF($AI22="","",IF(OR($BW22="",$BX22=""),"ONZEKER",IF(OR($BT22="",$BU22=""),"ONZEKER",IF(AND($BW22=$BT22+1,$BX22=$BU22),IF(OR(COUNTIF(#REF!,$B22)&gt;0,COUNTIF(#REF!,$B22)=0),"SKIP",IF(COUNTIFS(#REF!,$B22,#REF!,$AI22)&gt;0,"OK","ONBEKEND")),IF(AND($BW22=$BT22,$BX22=$BU22+1),IF(OR(COUNTIF(#REF!,$D22)&gt;0,COUNTIF(#REF!,$D22)=0),"SKIP",IF(COUNTIFS(#REF!,$D22,#REF!,$AI22)&gt;0,"OK","ONBEKEND")),"ONZEKER")))))</f>
        <v/>
      </c>
      <c r="AK22" t="str">
        <f t="shared" si="138"/>
        <v/>
      </c>
      <c r="AL22" t="str">
        <f t="shared" si="139"/>
        <v/>
      </c>
      <c r="AM22" t="str">
        <f>IF($AL22="","",IF(OR($BZ22="",$CA22=""),"ONZEKER",IF(OR($BW22="",$BX22=""),"ONZEKER",IF(AND($BZ22=$BW22+1,$CA22=$BX22),IF(OR(COUNTIF(#REF!,$B22)&gt;0,COUNTIF(#REF!,$B22)=0),"SKIP",IF(COUNTIFS(#REF!,$B22,#REF!,$AL22)&gt;0,"OK","ONBEKEND")),IF(AND($BZ22=$BW22,$CA22=$BX22+1),IF(OR(COUNTIF(#REF!,$D22)&gt;0,COUNTIF(#REF!,$D22)=0),"SKIP",IF(COUNTIFS(#REF!,$D22,#REF!,$AL22)&gt;0,"OK","ONBEKEND")),"ONZEKER")))))</f>
        <v/>
      </c>
      <c r="AN22" t="str">
        <f t="shared" si="140"/>
        <v/>
      </c>
      <c r="AO22" t="str">
        <f t="shared" si="141"/>
        <v/>
      </c>
      <c r="AP22" t="str">
        <f>IF($AO22="","",IF(OR($CC22="",$CD22=""),"ONZEKER",IF(OR($BZ22="",$CA22=""),"ONZEKER",IF(AND($CC22=$BZ22+1,$CD22=$CA22),IF(OR(COUNTIF(#REF!,$B22)&gt;0,COUNTIF(#REF!,$B22)=0),"SKIP",IF(COUNTIFS(#REF!,$B22,#REF!,$AO22)&gt;0,"OK","ONBEKEND")),IF(AND($CC22=$BZ22,$CD22=$CA22+1),IF(OR(COUNTIF(#REF!,$D22)&gt;0,COUNTIF(#REF!,$D22)=0),"SKIP",IF(COUNTIFS(#REF!,$D22,#REF!,$AO22)&gt;0,"OK","ONBEKEND")),"ONZEKER")))))</f>
        <v/>
      </c>
      <c r="AQ22" t="str">
        <f t="shared" si="142"/>
        <v/>
      </c>
      <c r="AR22" t="str">
        <f t="shared" si="143"/>
        <v/>
      </c>
      <c r="AS22" t="str">
        <f>IF($AR22="","",IF(OR($CF22="",$CG22=""),"ONZEKER",IF(OR($CC22="",$CD22=""),"ONZEKER",IF(AND($CF22=$CC22+1,$CG22=$CD22),IF(OR(COUNTIF(#REF!,$B22)&gt;0,COUNTIF(#REF!,$B22)=0),"SKIP",IF(COUNTIFS(#REF!,$B22,#REF!,$AR22)&gt;0,"OK","ONBEKEND")),IF(AND($CF22=$CC22,$CG22=$CD22+1),IF(OR(COUNTIF(#REF!,$D22)&gt;0,COUNTIF(#REF!,$D22)=0),"SKIP",IF(COUNTIFS(#REF!,$D22,#REF!,$AR22)&gt;0,"OK","ONBEKEND")),"ONZEKER")))))</f>
        <v/>
      </c>
      <c r="AT22" t="str">
        <f t="shared" si="144"/>
        <v/>
      </c>
      <c r="AU22" t="str">
        <f t="shared" si="145"/>
        <v/>
      </c>
      <c r="AV22" t="str">
        <f t="shared" si="146"/>
        <v/>
      </c>
      <c r="AW22" t="str">
        <f t="shared" si="147"/>
        <v/>
      </c>
      <c r="AX22" t="str">
        <f t="shared" si="148"/>
        <v/>
      </c>
      <c r="AY22" t="str">
        <f t="shared" si="149"/>
        <v/>
      </c>
      <c r="AZ22" t="str">
        <f t="shared" si="150"/>
        <v/>
      </c>
      <c r="BA22" t="str">
        <f t="shared" si="151"/>
        <v/>
      </c>
      <c r="BB22" t="str">
        <f t="shared" si="152"/>
        <v/>
      </c>
      <c r="BC22" t="str">
        <f t="shared" si="153"/>
        <v/>
      </c>
      <c r="BD22" t="str">
        <f t="shared" si="32"/>
        <v/>
      </c>
      <c r="BE22" t="str">
        <f t="shared" si="33"/>
        <v/>
      </c>
      <c r="BF22" t="str">
        <f t="shared" si="34"/>
        <v/>
      </c>
      <c r="BG22" t="str">
        <f t="shared" si="35"/>
        <v/>
      </c>
      <c r="BH22" t="str">
        <f t="shared" si="36"/>
        <v/>
      </c>
      <c r="BI22" t="str">
        <f t="shared" si="37"/>
        <v/>
      </c>
      <c r="BJ22" t="str">
        <f t="shared" si="38"/>
        <v/>
      </c>
      <c r="BK22" t="str">
        <f t="shared" si="39"/>
        <v/>
      </c>
      <c r="BL22" t="str">
        <f t="shared" si="40"/>
        <v/>
      </c>
      <c r="BM22" t="str">
        <f t="shared" si="41"/>
        <v/>
      </c>
      <c r="BN22" t="str">
        <f t="shared" si="42"/>
        <v/>
      </c>
      <c r="BO22" t="str">
        <f t="shared" si="43"/>
        <v/>
      </c>
      <c r="BP22" t="str">
        <f t="shared" si="44"/>
        <v/>
      </c>
      <c r="BQ22" t="str">
        <f t="shared" si="45"/>
        <v/>
      </c>
      <c r="BR22" t="str">
        <f t="shared" si="46"/>
        <v/>
      </c>
      <c r="BS22" t="str">
        <f t="shared" si="47"/>
        <v/>
      </c>
      <c r="BT22" t="str">
        <f t="shared" si="48"/>
        <v/>
      </c>
      <c r="BU22" t="str">
        <f t="shared" si="49"/>
        <v/>
      </c>
      <c r="BV22" t="str">
        <f t="shared" si="50"/>
        <v/>
      </c>
      <c r="BW22" t="str">
        <f t="shared" si="51"/>
        <v/>
      </c>
      <c r="BX22" t="str">
        <f t="shared" si="52"/>
        <v/>
      </c>
      <c r="BY22" t="str">
        <f t="shared" si="53"/>
        <v/>
      </c>
      <c r="BZ22" t="str">
        <f t="shared" si="54"/>
        <v/>
      </c>
      <c r="CA22" t="str">
        <f t="shared" si="55"/>
        <v/>
      </c>
      <c r="CB22" t="str">
        <f t="shared" si="56"/>
        <v/>
      </c>
      <c r="CC22" t="str">
        <f t="shared" si="57"/>
        <v/>
      </c>
      <c r="CD22" t="str">
        <f t="shared" si="58"/>
        <v/>
      </c>
      <c r="CE22" t="str">
        <f t="shared" si="59"/>
        <v/>
      </c>
      <c r="CF22" t="str">
        <f t="shared" si="60"/>
        <v/>
      </c>
      <c r="CG22" t="str">
        <f t="shared" si="61"/>
        <v/>
      </c>
      <c r="CH22" t="str">
        <f t="shared" si="154"/>
        <v/>
      </c>
      <c r="CI22" t="str">
        <f t="shared" si="155"/>
        <v/>
      </c>
      <c r="CJ22" t="str">
        <f>IF($CI22="","",IF(OR($DW22="",$DX22=""),"ONZEKER",IF(OR($CF22="",$CG22=""),"ONZEKER",IF(AND($DW22=$CF22+1,$DX22=$CG22),IF(OR(COUNTIF(#REF!,$B22)&gt;0,COUNTIF(#REF!,$B22)=0),"SKIP",IF(COUNTIFS(#REF!,$B22,#REF!,$CI22)&gt;0,"OK","ONBEKEND")),IF(AND($DW22=$CF22,$DX22=$CG22+1),IF(OR(COUNTIF(#REF!,$D22)&gt;0,COUNTIF(#REF!,$D22)=0),"SKIP",IF(COUNTIFS(#REF!,$D22,#REF!,$CI22)&gt;0,"OK","ONBEKEND")),"ONZEKER")))))</f>
        <v/>
      </c>
      <c r="CK22" t="str">
        <f t="shared" si="156"/>
        <v/>
      </c>
      <c r="CL22" t="str">
        <f t="shared" si="157"/>
        <v/>
      </c>
      <c r="CM22" t="str">
        <f>IF($CL22="","",IF(OR($DZ22="",$EA22=""),"ONZEKER",IF(OR($DW22="",$DX22=""),"ONZEKER",IF(AND($DZ22=$DW22+1,$EA22=$DX22),IF(OR(COUNTIF(#REF!,$B22)&gt;0,COUNTIF(#REF!,$B22)=0),"SKIP",IF(COUNTIFS(#REF!,$B22,#REF!,$CL22)&gt;0,"OK","ONBEKEND")),IF(AND($DZ22=$DW22,$EA22=$DX22+1),IF(OR(COUNTIF(#REF!,$D22)&gt;0,COUNTIF(#REF!,$D22)=0),"SKIP",IF(COUNTIFS(#REF!,$D22,#REF!,$CL22)&gt;0,"OK","ONBEKEND")),"ONZEKER")))))</f>
        <v/>
      </c>
      <c r="CN22" t="str">
        <f t="shared" si="158"/>
        <v/>
      </c>
      <c r="CO22" t="str">
        <f t="shared" si="159"/>
        <v/>
      </c>
      <c r="CP22" t="str">
        <f>IF($CO22="","",IF(OR($EC22="",$ED22=""),"ONZEKER",IF(OR($DZ22="",$EA22=""),"ONZEKER",IF(AND($EC22=$DZ22+1,$ED22=$EA22),IF(OR(COUNTIF(#REF!,$B22)&gt;0,COUNTIF(#REF!,$B22)=0),"SKIP",IF(COUNTIFS(#REF!,$B22,#REF!,$CO22)&gt;0,"OK","ONBEKEND")),IF(AND($EC22=$DZ22,$ED22=$EA22+1),IF(OR(COUNTIF(#REF!,$D22)&gt;0,COUNTIF(#REF!,$D22)=0),"SKIP",IF(COUNTIFS(#REF!,$D22,#REF!,$CO22)&gt;0,"OK","ONBEKEND")),"ONZEKER")))))</f>
        <v/>
      </c>
      <c r="CQ22" t="str">
        <f t="shared" si="160"/>
        <v/>
      </c>
      <c r="CR22" t="str">
        <f t="shared" si="161"/>
        <v/>
      </c>
      <c r="CS22" t="str">
        <f>IF($CR22="","",IF(OR($EF22="",$EG22=""),"ONZEKER",IF(OR($EC22="",$ED22=""),"ONZEKER",IF(AND($EF22=$EC22+1,$EG22=$ED22),IF(OR(COUNTIF(#REF!,$B22)&gt;0,COUNTIF(#REF!,$B22)=0),"SKIP",IF(COUNTIFS(#REF!,$B22,#REF!,$CR22)&gt;0,"OK","ONBEKEND")),IF(AND($EF22=$EC22,$EG22=$ED22+1),IF(OR(COUNTIF(#REF!,$D22)&gt;0,COUNTIF(#REF!,$D22)=0),"SKIP",IF(COUNTIFS(#REF!,$D22,#REF!,$CR22)&gt;0,"OK","ONBEKEND")),"ONZEKER")))))</f>
        <v/>
      </c>
      <c r="CT22" t="str">
        <f t="shared" si="162"/>
        <v/>
      </c>
      <c r="CU22" t="str">
        <f t="shared" si="163"/>
        <v/>
      </c>
      <c r="CV22" t="str">
        <f>IF($CU22="","",IF(OR($EI22="",$EJ22=""),"ONZEKER",IF(OR($EF22="",$EG22=""),"ONZEKER",IF(AND($EI22=$EF22+1,$EJ22=$EG22),IF(OR(COUNTIF(#REF!,$B22)&gt;0,COUNTIF(#REF!,$B22)=0),"SKIP",IF(COUNTIFS(#REF!,$B22,#REF!,$CU22)&gt;0,"OK","ONBEKEND")),IF(AND($EI22=$EF22,$EJ22=$EG22+1),IF(OR(COUNTIF(#REF!,$D22)&gt;0,COUNTIF(#REF!,$D22)=0),"SKIP",IF(COUNTIFS(#REF!,$D22,#REF!,$CU22)&gt;0,"OK","ONBEKEND")),"ONZEKER")))))</f>
        <v/>
      </c>
      <c r="CW22" t="str">
        <f t="shared" si="164"/>
        <v/>
      </c>
      <c r="CX22" t="str">
        <f t="shared" si="165"/>
        <v/>
      </c>
      <c r="CY22" t="str">
        <f>IF($CX22="","",IF(OR($EL22="",$EM22=""),"ONZEKER",IF(OR($EI22="",$EJ22=""),"ONZEKER",IF(AND($EL22=$EI22+1,$EM22=$EJ22),IF(OR(COUNTIF(#REF!,$B22)&gt;0,COUNTIF(#REF!,$B22)=0),"SKIP",IF(COUNTIFS(#REF!,$B22,#REF!,$CX22)&gt;0,"OK","ONBEKEND")),IF(AND($EL22=$EI22,$EM22=$EJ22+1),IF(OR(COUNTIF(#REF!,$D22)&gt;0,COUNTIF(#REF!,$D22)=0),"SKIP",IF(COUNTIFS(#REF!,$D22,#REF!,$CX22)&gt;0,"OK","ONBEKEND")),"ONZEKER")))))</f>
        <v/>
      </c>
      <c r="CZ22" t="str">
        <f t="shared" si="166"/>
        <v/>
      </c>
      <c r="DA22" t="str">
        <f t="shared" si="167"/>
        <v/>
      </c>
      <c r="DB22" t="str">
        <f>IF($DA22="","",IF(OR($EO22="",$EP22=""),"ONZEKER",IF(OR($EL22="",$EM22=""),"ONZEKER",IF(AND($EO22=$EL22+1,$EP22=$EM22),IF(OR(COUNTIF(#REF!,$B22)&gt;0,COUNTIF(#REF!,$B22)=0),"SKIP",IF(COUNTIFS(#REF!,$B22,#REF!,$DA22)&gt;0,"OK","ONBEKEND")),IF(AND($EO22=$EL22,$EP22=$EM22+1),IF(OR(COUNTIF(#REF!,$D22)&gt;0,COUNTIF(#REF!,$D22)=0),"SKIP",IF(COUNTIFS(#REF!,$D22,#REF!,$DA22)&gt;0,"OK","ONBEKEND")),"ONZEKER")))))</f>
        <v/>
      </c>
      <c r="DC22" t="str">
        <f t="shared" si="168"/>
        <v/>
      </c>
      <c r="DD22" t="str">
        <f t="shared" si="169"/>
        <v/>
      </c>
      <c r="DE22" t="str">
        <f>IF($DD22="","",IF(OR($ER22="",$ES22=""),"ONZEKER",IF(OR($EO22="",$EP22=""),"ONZEKER",IF(AND($ER22=$EO22+1,$ES22=$EP22),IF(OR(COUNTIF(#REF!,$B22)&gt;0,COUNTIF(#REF!,$B22)=0),"SKIP",IF(COUNTIFS(#REF!,$B22,#REF!,$DD22)&gt;0,"OK","ONBEKEND")),IF(AND($ER22=$EO22,$ES22=$EP22+1),IF(OR(COUNTIF(#REF!,$D22)&gt;0,COUNTIF(#REF!,$D22)=0),"SKIP",IF(COUNTIFS(#REF!,$D22,#REF!,$DD22)&gt;0,"OK","ONBEKEND")),"ONZEKER")))))</f>
        <v/>
      </c>
      <c r="DF22" t="str">
        <f t="shared" si="170"/>
        <v/>
      </c>
      <c r="DG22" t="str">
        <f t="shared" si="171"/>
        <v/>
      </c>
      <c r="DH22" t="str">
        <f>IF($DG22="","",IF(OR($EU22="",$EV22=""),"ONZEKER",IF(OR($ER22="",$ES22=""),"ONZEKER",IF(AND($EU22=$ER22+1,$EV22=$ES22),IF(OR(COUNTIF(#REF!,$B22)&gt;0,COUNTIF(#REF!,$B22)=0),"SKIP",IF(COUNTIFS(#REF!,$B22,#REF!,$DG22)&gt;0,"OK","ONBEKEND")),IF(AND($EU22=$ER22,$EV22=$ES22+1),IF(OR(COUNTIF(#REF!,$D22)&gt;0,COUNTIF(#REF!,$D22)=0),"SKIP",IF(COUNTIFS(#REF!,$D22,#REF!,$DG22)&gt;0,"OK","ONBEKEND")),"ONZEKER")))))</f>
        <v/>
      </c>
      <c r="DI22" t="str">
        <f t="shared" si="172"/>
        <v/>
      </c>
      <c r="DJ22" t="str">
        <f t="shared" si="173"/>
        <v/>
      </c>
      <c r="DK22" t="str">
        <f>IF($DJ22="","",IF(OR($EX22="",$EY22=""),"ONZEKER",IF(OR($EU22="",$EV22=""),"ONZEKER",IF(AND($EX22=$EU22+1,$EY22=$EV22),IF(OR(COUNTIF(#REF!,$B22)&gt;0,COUNTIF(#REF!,$B22)=0),"SKIP",IF(COUNTIFS(#REF!,$B22,#REF!,$DJ22)&gt;0,"OK","ONBEKEND")),IF(AND($EX22=$EU22,$EY22=$EV22+1),IF(OR(COUNTIF(#REF!,$D22)&gt;0,COUNTIF(#REF!,$D22)=0),"SKIP",IF(COUNTIFS(#REF!,$D22,#REF!,$DJ22)&gt;0,"OK","ONBEKEND")),"ONZEKER")))))</f>
        <v/>
      </c>
      <c r="DL22" t="str">
        <f t="shared" si="174"/>
        <v/>
      </c>
      <c r="DM22" t="str">
        <f t="shared" si="175"/>
        <v/>
      </c>
      <c r="DN22" t="str">
        <f t="shared" si="176"/>
        <v/>
      </c>
      <c r="DO22" t="str">
        <f t="shared" si="177"/>
        <v/>
      </c>
      <c r="DP22" t="str">
        <f t="shared" si="178"/>
        <v/>
      </c>
      <c r="DQ22" t="str">
        <f t="shared" si="179"/>
        <v/>
      </c>
      <c r="DR22" t="str">
        <f t="shared" si="180"/>
        <v/>
      </c>
      <c r="DS22" t="str">
        <f t="shared" si="181"/>
        <v/>
      </c>
      <c r="DT22" t="str">
        <f t="shared" si="182"/>
        <v/>
      </c>
      <c r="DU22" t="str">
        <f t="shared" si="183"/>
        <v/>
      </c>
      <c r="DV22" t="str">
        <f t="shared" si="184"/>
        <v/>
      </c>
      <c r="DW22" t="str">
        <f t="shared" si="185"/>
        <v/>
      </c>
      <c r="DX22" t="str">
        <f t="shared" si="186"/>
        <v/>
      </c>
      <c r="DY22" t="str">
        <f t="shared" si="187"/>
        <v/>
      </c>
      <c r="DZ22" t="str">
        <f t="shared" si="188"/>
        <v/>
      </c>
      <c r="EA22" t="str">
        <f t="shared" si="189"/>
        <v/>
      </c>
      <c r="EB22" t="str">
        <f t="shared" si="190"/>
        <v/>
      </c>
      <c r="EC22" t="str">
        <f t="shared" si="191"/>
        <v/>
      </c>
      <c r="ED22" t="str">
        <f t="shared" si="192"/>
        <v/>
      </c>
      <c r="EE22" t="str">
        <f t="shared" si="193"/>
        <v/>
      </c>
      <c r="EF22" t="str">
        <f t="shared" si="194"/>
        <v/>
      </c>
      <c r="EG22" t="str">
        <f t="shared" si="195"/>
        <v/>
      </c>
      <c r="EH22" t="str">
        <f t="shared" si="196"/>
        <v/>
      </c>
      <c r="EI22" t="str">
        <f t="shared" si="197"/>
        <v/>
      </c>
      <c r="EJ22" t="str">
        <f t="shared" si="198"/>
        <v/>
      </c>
      <c r="EK22" t="str">
        <f t="shared" si="199"/>
        <v/>
      </c>
      <c r="EL22" t="str">
        <f t="shared" si="200"/>
        <v/>
      </c>
      <c r="EM22" t="str">
        <f t="shared" si="201"/>
        <v/>
      </c>
      <c r="EN22" t="str">
        <f t="shared" si="202"/>
        <v/>
      </c>
      <c r="EO22" t="str">
        <f t="shared" si="203"/>
        <v/>
      </c>
      <c r="EP22" t="str">
        <f t="shared" si="204"/>
        <v/>
      </c>
      <c r="EQ22" t="str">
        <f t="shared" si="205"/>
        <v/>
      </c>
      <c r="ER22" t="str">
        <f t="shared" si="206"/>
        <v/>
      </c>
      <c r="ES22" t="str">
        <f t="shared" si="207"/>
        <v/>
      </c>
      <c r="ET22" t="str">
        <f t="shared" si="208"/>
        <v/>
      </c>
      <c r="EU22" t="str">
        <f t="shared" si="209"/>
        <v/>
      </c>
      <c r="EV22" t="str">
        <f t="shared" si="210"/>
        <v/>
      </c>
      <c r="EW22" t="str">
        <f t="shared" si="211"/>
        <v/>
      </c>
      <c r="EX22" t="str">
        <f t="shared" si="212"/>
        <v/>
      </c>
      <c r="EY22" t="str">
        <f t="shared" si="213"/>
        <v/>
      </c>
    </row>
    <row r="23" spans="1:155" ht="13.9" customHeight="1" x14ac:dyDescent="0.25">
      <c r="A23" s="7"/>
      <c r="B23" s="17"/>
      <c r="C23" s="8"/>
      <c r="D23" s="17"/>
      <c r="E23" s="8"/>
      <c r="F23" s="18">
        <v>0</v>
      </c>
      <c r="G23" s="7" t="s">
        <v>147</v>
      </c>
      <c r="H23" s="18">
        <v>0</v>
      </c>
      <c r="I23" s="19">
        <v>0</v>
      </c>
      <c r="J23" s="7" t="s">
        <v>147</v>
      </c>
      <c r="K23" s="19">
        <v>0</v>
      </c>
      <c r="L23" s="9"/>
      <c r="M23" s="3" t="str">
        <f>IF($L23="","",IF($L23="DOELPUNTENMAKERS","",IF(AND(COUNTIF(#REF!,$B23)=0,COUNTIF(#REF!,$D23)=0),"OK",IF($O23&gt;20,"LET OP: meer dan 20 items (controle onvolledig)",IF((COUNTIF($R23:$AS23,"ONZEKER")+COUNTIF($CJ23:$DK23,"ONZEKER"))&gt;0,"LET OP: scoreverloop onduidelijk (controle beperkt)",IF((IF($AT23&lt;&gt;"",$AT23&amp;", ","")&amp;IF($AU23&lt;&gt;"",$AU23&amp;", ","")&amp;IF($AV23&lt;&gt;"",$AV23&amp;", ","")&amp;IF($AW23&lt;&gt;"",$AW23&amp;", ","")&amp;IF($AX23&lt;&gt;"",$AX23&amp;", ","")&amp;IF($AY23&lt;&gt;"",$AY23&amp;", ","")&amp;IF($AZ23&lt;&gt;"",$AZ23&amp;", ","")&amp;IF($BA23&lt;&gt;"",$BA23&amp;", ","")&amp;IF($BB23&lt;&gt;"",$BB23&amp;", ","")&amp;IF($BC23&lt;&gt;"",$BC23&amp;", ","")&amp;IF($DL23&lt;&gt;"",$DL23&amp;", ","")&amp;IF($DM23&lt;&gt;"",$DM23&amp;", ","")&amp;IF($DN23&lt;&gt;"",$DN23&amp;", ","")&amp;IF($DO23&lt;&gt;"",$DO23&amp;", ","")&amp;IF($DP23&lt;&gt;"",$DP23&amp;", ","")&amp;IF($DQ23&lt;&gt;"",$DQ23&amp;", ","")&amp;IF($DR23&lt;&gt;"",$DR23&amp;", ","")&amp;IF($DS23&lt;&gt;"",$DS23&amp;", ","")&amp;IF($DT23&lt;&gt;"",$DT23&amp;", ","")&amp;IF($DU23&lt;&gt;"",$DU23&amp;", ",""))="","OK","Onbekend: "&amp;LEFT((IF($AT23&lt;&gt;"",$AT23&amp;", ","")&amp;IF($AU23&lt;&gt;"",$AU23&amp;", ","")&amp;IF($AV23&lt;&gt;"",$AV23&amp;", ","")&amp;IF($AW23&lt;&gt;"",$AW23&amp;", ","")&amp;IF($AX23&lt;&gt;"",$AX23&amp;", ","")&amp;IF($AY23&lt;&gt;"",$AY23&amp;", ","")&amp;IF($AZ23&lt;&gt;"",$AZ23&amp;", ","")&amp;IF($BA23&lt;&gt;"",$BA23&amp;", ","")&amp;IF($BB23&lt;&gt;"",$BB23&amp;", ","")&amp;IF($BC23&lt;&gt;"",$BC23&amp;", ","")&amp;IF($DL23&lt;&gt;"",$DL23&amp;", ","")&amp;IF($DM23&lt;&gt;"",$DM23&amp;", ","")&amp;IF($DN23&lt;&gt;"",$DN23&amp;", ","")&amp;IF($DO23&lt;&gt;"",$DO23&amp;", ","")&amp;IF($DP23&lt;&gt;"",$DP23&amp;", ","")&amp;IF($DQ23&lt;&gt;"",$DQ23&amp;", ","")&amp;IF($DR23&lt;&gt;"",$DR23&amp;", ","")&amp;IF($DS23&lt;&gt;"",$DS23&amp;", ","")&amp;IF($DT23&lt;&gt;"",$DT23&amp;", ","")&amp;IF($DU23&lt;&gt;"",$DU23&amp;", ","")),LEN((IF($AT23&lt;&gt;"",$AT23&amp;", ","")&amp;IF($AU23&lt;&gt;"",$AU23&amp;", ","")&amp;IF($AV23&lt;&gt;"",$AV23&amp;", ","")&amp;IF($AW23&lt;&gt;"",$AW23&amp;", ","")&amp;IF($AX23&lt;&gt;"",$AX23&amp;", ","")&amp;IF($AY23&lt;&gt;"",$AY23&amp;", ","")&amp;IF($AZ23&lt;&gt;"",$AZ23&amp;", ","")&amp;IF($BA23&lt;&gt;"",$BA23&amp;", ","")&amp;IF($BB23&lt;&gt;"",$BB23&amp;", ","")&amp;IF($BC23&lt;&gt;"",$BC23&amp;", ","")&amp;IF($DL23&lt;&gt;"",$DL23&amp;", ","")&amp;IF($DM23&lt;&gt;"",$DM23&amp;", ","")&amp;IF($DN23&lt;&gt;"",$DN23&amp;", ","")&amp;IF($DO23&lt;&gt;"",$DO23&amp;", ","")&amp;IF($DP23&lt;&gt;"",$DP23&amp;", ","")&amp;IF($DQ23&lt;&gt;"",$DQ23&amp;", ","")&amp;IF($DR23&lt;&gt;"",$DR23&amp;", ","")&amp;IF($DS23&lt;&gt;"",$DS23&amp;", ","")&amp;IF($DT23&lt;&gt;"",$DT23&amp;", ","")&amp;IF($DU23&lt;&gt;"",$DU23&amp;", ","")))-2)))))))</f>
        <v/>
      </c>
      <c r="N23" t="str">
        <f t="shared" si="122"/>
        <v/>
      </c>
      <c r="O23" t="str">
        <f t="shared" si="123"/>
        <v/>
      </c>
      <c r="P23" t="str">
        <f t="shared" si="124"/>
        <v/>
      </c>
      <c r="Q23" t="str">
        <f t="shared" si="125"/>
        <v/>
      </c>
      <c r="R23" t="str">
        <f>IF($Q23="","",IF(OR($BE23="",$BF23=""),"ONZEKER",IF(AND($BE23=0+1,$BF23=0),IF(OR(COUNTIF(#REF!,$B23)&gt;0,COUNTIF(#REF!,$B23)=0),"SKIP",IF(COUNTIFS(#REF!,$B23,#REF!,$Q23)&gt;0,"OK","ONBEKEND")),IF(AND($BE23=0,$BF23=0+1),IF(OR(COUNTIF(#REF!,$D23)&gt;0,COUNTIF(#REF!,$D23)=0),"SKIP",IF(COUNTIFS(#REF!,$D23,#REF!,$Q23)&gt;0,"OK","ONBEKEND")),"ONZEKER"))))</f>
        <v/>
      </c>
      <c r="S23" t="str">
        <f t="shared" si="126"/>
        <v/>
      </c>
      <c r="T23" t="str">
        <f t="shared" si="127"/>
        <v/>
      </c>
      <c r="U23" t="str">
        <f>IF($T23="","",IF(OR($BH23="",$BI23=""),"ONZEKER",IF(OR($BE23="",$BF23=""),"ONZEKER",IF(AND($BH23=$BE23+1,$BI23=$BF23),IF(OR(COUNTIF(#REF!,$B23)&gt;0,COUNTIF(#REF!,$B23)=0),"SKIP",IF(COUNTIFS(#REF!,$B23,#REF!,$T23)&gt;0,"OK","ONBEKEND")),IF(AND($BH23=$BE23,$BI23=$BF23+1),IF(OR(COUNTIF(#REF!,$D23)&gt;0,COUNTIF(#REF!,$D23)=0),"SKIP",IF(COUNTIFS(#REF!,$D23,#REF!,$T23)&gt;0,"OK","ONBEKEND")),"ONZEKER")))))</f>
        <v/>
      </c>
      <c r="V23" t="str">
        <f t="shared" si="128"/>
        <v/>
      </c>
      <c r="W23" t="str">
        <f t="shared" si="129"/>
        <v/>
      </c>
      <c r="X23" t="str">
        <f>IF($W23="","",IF(OR($BK23="",$BL23=""),"ONZEKER",IF(OR($BH23="",$BI23=""),"ONZEKER",IF(AND($BK23=$BH23+1,$BL23=$BI23),IF(OR(COUNTIF(#REF!,$B23)&gt;0,COUNTIF(#REF!,$B23)=0),"SKIP",IF(COUNTIFS(#REF!,$B23,#REF!,$W23)&gt;0,"OK","ONBEKEND")),IF(AND($BK23=$BH23,$BL23=$BI23+1),IF(OR(COUNTIF(#REF!,$D23)&gt;0,COUNTIF(#REF!,$D23)=0),"SKIP",IF(COUNTIFS(#REF!,$D23,#REF!,$W23)&gt;0,"OK","ONBEKEND")),"ONZEKER")))))</f>
        <v/>
      </c>
      <c r="Y23" t="str">
        <f t="shared" si="130"/>
        <v/>
      </c>
      <c r="Z23" t="str">
        <f t="shared" si="131"/>
        <v/>
      </c>
      <c r="AA23" t="str">
        <f>IF($Z23="","",IF(OR($BN23="",$BO23=""),"ONZEKER",IF(OR($BK23="",$BL23=""),"ONZEKER",IF(AND($BN23=$BK23+1,$BO23=$BL23),IF(OR(COUNTIF(#REF!,$B23)&gt;0,COUNTIF(#REF!,$B23)=0),"SKIP",IF(COUNTIFS(#REF!,$B23,#REF!,$Z23)&gt;0,"OK","ONBEKEND")),IF(AND($BN23=$BK23,$BO23=$BL23+1),IF(OR(COUNTIF(#REF!,$D23)&gt;0,COUNTIF(#REF!,$D23)=0),"SKIP",IF(COUNTIFS(#REF!,$D23,#REF!,$Z23)&gt;0,"OK","ONBEKEND")),"ONZEKER")))))</f>
        <v/>
      </c>
      <c r="AB23" t="str">
        <f t="shared" si="132"/>
        <v/>
      </c>
      <c r="AC23" t="str">
        <f t="shared" si="133"/>
        <v/>
      </c>
      <c r="AD23" t="str">
        <f>IF($AC23="","",IF(OR($BQ23="",$BR23=""),"ONZEKER",IF(OR($BN23="",$BO23=""),"ONZEKER",IF(AND($BQ23=$BN23+1,$BR23=$BO23),IF(OR(COUNTIF(#REF!,$B23)&gt;0,COUNTIF(#REF!,$B23)=0),"SKIP",IF(COUNTIFS(#REF!,$B23,#REF!,$AC23)&gt;0,"OK","ONBEKEND")),IF(AND($BQ23=$BN23,$BR23=$BO23+1),IF(OR(COUNTIF(#REF!,$D23)&gt;0,COUNTIF(#REF!,$D23)=0),"SKIP",IF(COUNTIFS(#REF!,$D23,#REF!,$AC23)&gt;0,"OK","ONBEKEND")),"ONZEKER")))))</f>
        <v/>
      </c>
      <c r="AE23" t="str">
        <f t="shared" si="134"/>
        <v/>
      </c>
      <c r="AF23" t="str">
        <f t="shared" si="135"/>
        <v/>
      </c>
      <c r="AG23" t="str">
        <f>IF($AF23="","",IF(OR($BT23="",$BU23=""),"ONZEKER",IF(OR($BQ23="",$BR23=""),"ONZEKER",IF(AND($BT23=$BQ23+1,$BU23=$BR23),IF(OR(COUNTIF(#REF!,$B23)&gt;0,COUNTIF(#REF!,$B23)=0),"SKIP",IF(COUNTIFS(#REF!,$B23,#REF!,$AF23)&gt;0,"OK","ONBEKEND")),IF(AND($BT23=$BQ23,$BU23=$BR23+1),IF(OR(COUNTIF(#REF!,$D23)&gt;0,COUNTIF(#REF!,$D23)=0),"SKIP",IF(COUNTIFS(#REF!,$D23,#REF!,$AF23)&gt;0,"OK","ONBEKEND")),"ONZEKER")))))</f>
        <v/>
      </c>
      <c r="AH23" t="str">
        <f t="shared" si="136"/>
        <v/>
      </c>
      <c r="AI23" t="str">
        <f t="shared" si="137"/>
        <v/>
      </c>
      <c r="AJ23" t="str">
        <f>IF($AI23="","",IF(OR($BW23="",$BX23=""),"ONZEKER",IF(OR($BT23="",$BU23=""),"ONZEKER",IF(AND($BW23=$BT23+1,$BX23=$BU23),IF(OR(COUNTIF(#REF!,$B23)&gt;0,COUNTIF(#REF!,$B23)=0),"SKIP",IF(COUNTIFS(#REF!,$B23,#REF!,$AI23)&gt;0,"OK","ONBEKEND")),IF(AND($BW23=$BT23,$BX23=$BU23+1),IF(OR(COUNTIF(#REF!,$D23)&gt;0,COUNTIF(#REF!,$D23)=0),"SKIP",IF(COUNTIFS(#REF!,$D23,#REF!,$AI23)&gt;0,"OK","ONBEKEND")),"ONZEKER")))))</f>
        <v/>
      </c>
      <c r="AK23" t="str">
        <f t="shared" si="138"/>
        <v/>
      </c>
      <c r="AL23" t="str">
        <f t="shared" si="139"/>
        <v/>
      </c>
      <c r="AM23" t="str">
        <f>IF($AL23="","",IF(OR($BZ23="",$CA23=""),"ONZEKER",IF(OR($BW23="",$BX23=""),"ONZEKER",IF(AND($BZ23=$BW23+1,$CA23=$BX23),IF(OR(COUNTIF(#REF!,$B23)&gt;0,COUNTIF(#REF!,$B23)=0),"SKIP",IF(COUNTIFS(#REF!,$B23,#REF!,$AL23)&gt;0,"OK","ONBEKEND")),IF(AND($BZ23=$BW23,$CA23=$BX23+1),IF(OR(COUNTIF(#REF!,$D23)&gt;0,COUNTIF(#REF!,$D23)=0),"SKIP",IF(COUNTIFS(#REF!,$D23,#REF!,$AL23)&gt;0,"OK","ONBEKEND")),"ONZEKER")))))</f>
        <v/>
      </c>
      <c r="AN23" t="str">
        <f t="shared" si="140"/>
        <v/>
      </c>
      <c r="AO23" t="str">
        <f t="shared" si="141"/>
        <v/>
      </c>
      <c r="AP23" t="str">
        <f>IF($AO23="","",IF(OR($CC23="",$CD23=""),"ONZEKER",IF(OR($BZ23="",$CA23=""),"ONZEKER",IF(AND($CC23=$BZ23+1,$CD23=$CA23),IF(OR(COUNTIF(#REF!,$B23)&gt;0,COUNTIF(#REF!,$B23)=0),"SKIP",IF(COUNTIFS(#REF!,$B23,#REF!,$AO23)&gt;0,"OK","ONBEKEND")),IF(AND($CC23=$BZ23,$CD23=$CA23+1),IF(OR(COUNTIF(#REF!,$D23)&gt;0,COUNTIF(#REF!,$D23)=0),"SKIP",IF(COUNTIFS(#REF!,$D23,#REF!,$AO23)&gt;0,"OK","ONBEKEND")),"ONZEKER")))))</f>
        <v/>
      </c>
      <c r="AQ23" t="str">
        <f t="shared" si="142"/>
        <v/>
      </c>
      <c r="AR23" t="str">
        <f t="shared" si="143"/>
        <v/>
      </c>
      <c r="AS23" t="str">
        <f>IF($AR23="","",IF(OR($CF23="",$CG23=""),"ONZEKER",IF(OR($CC23="",$CD23=""),"ONZEKER",IF(AND($CF23=$CC23+1,$CG23=$CD23),IF(OR(COUNTIF(#REF!,$B23)&gt;0,COUNTIF(#REF!,$B23)=0),"SKIP",IF(COUNTIFS(#REF!,$B23,#REF!,$AR23)&gt;0,"OK","ONBEKEND")),IF(AND($CF23=$CC23,$CG23=$CD23+1),IF(OR(COUNTIF(#REF!,$D23)&gt;0,COUNTIF(#REF!,$D23)=0),"SKIP",IF(COUNTIFS(#REF!,$D23,#REF!,$AR23)&gt;0,"OK","ONBEKEND")),"ONZEKER")))))</f>
        <v/>
      </c>
      <c r="AT23" t="str">
        <f t="shared" si="144"/>
        <v/>
      </c>
      <c r="AU23" t="str">
        <f t="shared" si="145"/>
        <v/>
      </c>
      <c r="AV23" t="str">
        <f t="shared" si="146"/>
        <v/>
      </c>
      <c r="AW23" t="str">
        <f t="shared" si="147"/>
        <v/>
      </c>
      <c r="AX23" t="str">
        <f t="shared" si="148"/>
        <v/>
      </c>
      <c r="AY23" t="str">
        <f t="shared" si="149"/>
        <v/>
      </c>
      <c r="AZ23" t="str">
        <f t="shared" si="150"/>
        <v/>
      </c>
      <c r="BA23" t="str">
        <f t="shared" si="151"/>
        <v/>
      </c>
      <c r="BB23" t="str">
        <f t="shared" si="152"/>
        <v/>
      </c>
      <c r="BC23" t="str">
        <f t="shared" si="153"/>
        <v/>
      </c>
      <c r="BD23" t="str">
        <f t="shared" si="32"/>
        <v/>
      </c>
      <c r="BE23" t="str">
        <f t="shared" si="33"/>
        <v/>
      </c>
      <c r="BF23" t="str">
        <f t="shared" si="34"/>
        <v/>
      </c>
      <c r="BG23" t="str">
        <f t="shared" si="35"/>
        <v/>
      </c>
      <c r="BH23" t="str">
        <f t="shared" si="36"/>
        <v/>
      </c>
      <c r="BI23" t="str">
        <f t="shared" si="37"/>
        <v/>
      </c>
      <c r="BJ23" t="str">
        <f t="shared" si="38"/>
        <v/>
      </c>
      <c r="BK23" t="str">
        <f t="shared" si="39"/>
        <v/>
      </c>
      <c r="BL23" t="str">
        <f t="shared" si="40"/>
        <v/>
      </c>
      <c r="BM23" t="str">
        <f t="shared" si="41"/>
        <v/>
      </c>
      <c r="BN23" t="str">
        <f t="shared" si="42"/>
        <v/>
      </c>
      <c r="BO23" t="str">
        <f t="shared" si="43"/>
        <v/>
      </c>
      <c r="BP23" t="str">
        <f t="shared" si="44"/>
        <v/>
      </c>
      <c r="BQ23" t="str">
        <f t="shared" si="45"/>
        <v/>
      </c>
      <c r="BR23" t="str">
        <f t="shared" si="46"/>
        <v/>
      </c>
      <c r="BS23" t="str">
        <f t="shared" si="47"/>
        <v/>
      </c>
      <c r="BT23" t="str">
        <f t="shared" si="48"/>
        <v/>
      </c>
      <c r="BU23" t="str">
        <f t="shared" si="49"/>
        <v/>
      </c>
      <c r="BV23" t="str">
        <f t="shared" si="50"/>
        <v/>
      </c>
      <c r="BW23" t="str">
        <f t="shared" si="51"/>
        <v/>
      </c>
      <c r="BX23" t="str">
        <f t="shared" si="52"/>
        <v/>
      </c>
      <c r="BY23" t="str">
        <f t="shared" si="53"/>
        <v/>
      </c>
      <c r="BZ23" t="str">
        <f t="shared" si="54"/>
        <v/>
      </c>
      <c r="CA23" t="str">
        <f t="shared" si="55"/>
        <v/>
      </c>
      <c r="CB23" t="str">
        <f t="shared" si="56"/>
        <v/>
      </c>
      <c r="CC23" t="str">
        <f t="shared" si="57"/>
        <v/>
      </c>
      <c r="CD23" t="str">
        <f t="shared" si="58"/>
        <v/>
      </c>
      <c r="CE23" t="str">
        <f t="shared" si="59"/>
        <v/>
      </c>
      <c r="CF23" t="str">
        <f t="shared" si="60"/>
        <v/>
      </c>
      <c r="CG23" t="str">
        <f t="shared" si="61"/>
        <v/>
      </c>
      <c r="CH23" t="str">
        <f t="shared" si="154"/>
        <v/>
      </c>
      <c r="CI23" t="str">
        <f t="shared" si="155"/>
        <v/>
      </c>
      <c r="CJ23" t="str">
        <f>IF($CI23="","",IF(OR($DW23="",$DX23=""),"ONZEKER",IF(OR($CF23="",$CG23=""),"ONZEKER",IF(AND($DW23=$CF23+1,$DX23=$CG23),IF(OR(COUNTIF(#REF!,$B23)&gt;0,COUNTIF(#REF!,$B23)=0),"SKIP",IF(COUNTIFS(#REF!,$B23,#REF!,$CI23)&gt;0,"OK","ONBEKEND")),IF(AND($DW23=$CF23,$DX23=$CG23+1),IF(OR(COUNTIF(#REF!,$D23)&gt;0,COUNTIF(#REF!,$D23)=0),"SKIP",IF(COUNTIFS(#REF!,$D23,#REF!,$CI23)&gt;0,"OK","ONBEKEND")),"ONZEKER")))))</f>
        <v/>
      </c>
      <c r="CK23" t="str">
        <f t="shared" si="156"/>
        <v/>
      </c>
      <c r="CL23" t="str">
        <f t="shared" si="157"/>
        <v/>
      </c>
      <c r="CM23" t="str">
        <f>IF($CL23="","",IF(OR($DZ23="",$EA23=""),"ONZEKER",IF(OR($DW23="",$DX23=""),"ONZEKER",IF(AND($DZ23=$DW23+1,$EA23=$DX23),IF(OR(COUNTIF(#REF!,$B23)&gt;0,COUNTIF(#REF!,$B23)=0),"SKIP",IF(COUNTIFS(#REF!,$B23,#REF!,$CL23)&gt;0,"OK","ONBEKEND")),IF(AND($DZ23=$DW23,$EA23=$DX23+1),IF(OR(COUNTIF(#REF!,$D23)&gt;0,COUNTIF(#REF!,$D23)=0),"SKIP",IF(COUNTIFS(#REF!,$D23,#REF!,$CL23)&gt;0,"OK","ONBEKEND")),"ONZEKER")))))</f>
        <v/>
      </c>
      <c r="CN23" t="str">
        <f t="shared" si="158"/>
        <v/>
      </c>
      <c r="CO23" t="str">
        <f t="shared" si="159"/>
        <v/>
      </c>
      <c r="CP23" t="str">
        <f>IF($CO23="","",IF(OR($EC23="",$ED23=""),"ONZEKER",IF(OR($DZ23="",$EA23=""),"ONZEKER",IF(AND($EC23=$DZ23+1,$ED23=$EA23),IF(OR(COUNTIF(#REF!,$B23)&gt;0,COUNTIF(#REF!,$B23)=0),"SKIP",IF(COUNTIFS(#REF!,$B23,#REF!,$CO23)&gt;0,"OK","ONBEKEND")),IF(AND($EC23=$DZ23,$ED23=$EA23+1),IF(OR(COUNTIF(#REF!,$D23)&gt;0,COUNTIF(#REF!,$D23)=0),"SKIP",IF(COUNTIFS(#REF!,$D23,#REF!,$CO23)&gt;0,"OK","ONBEKEND")),"ONZEKER")))))</f>
        <v/>
      </c>
      <c r="CQ23" t="str">
        <f t="shared" si="160"/>
        <v/>
      </c>
      <c r="CR23" t="str">
        <f t="shared" si="161"/>
        <v/>
      </c>
      <c r="CS23" t="str">
        <f>IF($CR23="","",IF(OR($EF23="",$EG23=""),"ONZEKER",IF(OR($EC23="",$ED23=""),"ONZEKER",IF(AND($EF23=$EC23+1,$EG23=$ED23),IF(OR(COUNTIF(#REF!,$B23)&gt;0,COUNTIF(#REF!,$B23)=0),"SKIP",IF(COUNTIFS(#REF!,$B23,#REF!,$CR23)&gt;0,"OK","ONBEKEND")),IF(AND($EF23=$EC23,$EG23=$ED23+1),IF(OR(COUNTIF(#REF!,$D23)&gt;0,COUNTIF(#REF!,$D23)=0),"SKIP",IF(COUNTIFS(#REF!,$D23,#REF!,$CR23)&gt;0,"OK","ONBEKEND")),"ONZEKER")))))</f>
        <v/>
      </c>
      <c r="CT23" t="str">
        <f t="shared" si="162"/>
        <v/>
      </c>
      <c r="CU23" t="str">
        <f t="shared" si="163"/>
        <v/>
      </c>
      <c r="CV23" t="str">
        <f>IF($CU23="","",IF(OR($EI23="",$EJ23=""),"ONZEKER",IF(OR($EF23="",$EG23=""),"ONZEKER",IF(AND($EI23=$EF23+1,$EJ23=$EG23),IF(OR(COUNTIF(#REF!,$B23)&gt;0,COUNTIF(#REF!,$B23)=0),"SKIP",IF(COUNTIFS(#REF!,$B23,#REF!,$CU23)&gt;0,"OK","ONBEKEND")),IF(AND($EI23=$EF23,$EJ23=$EG23+1),IF(OR(COUNTIF(#REF!,$D23)&gt;0,COUNTIF(#REF!,$D23)=0),"SKIP",IF(COUNTIFS(#REF!,$D23,#REF!,$CU23)&gt;0,"OK","ONBEKEND")),"ONZEKER")))))</f>
        <v/>
      </c>
      <c r="CW23" t="str">
        <f t="shared" si="164"/>
        <v/>
      </c>
      <c r="CX23" t="str">
        <f t="shared" si="165"/>
        <v/>
      </c>
      <c r="CY23" t="str">
        <f>IF($CX23="","",IF(OR($EL23="",$EM23=""),"ONZEKER",IF(OR($EI23="",$EJ23=""),"ONZEKER",IF(AND($EL23=$EI23+1,$EM23=$EJ23),IF(OR(COUNTIF(#REF!,$B23)&gt;0,COUNTIF(#REF!,$B23)=0),"SKIP",IF(COUNTIFS(#REF!,$B23,#REF!,$CX23)&gt;0,"OK","ONBEKEND")),IF(AND($EL23=$EI23,$EM23=$EJ23+1),IF(OR(COUNTIF(#REF!,$D23)&gt;0,COUNTIF(#REF!,$D23)=0),"SKIP",IF(COUNTIFS(#REF!,$D23,#REF!,$CX23)&gt;0,"OK","ONBEKEND")),"ONZEKER")))))</f>
        <v/>
      </c>
      <c r="CZ23" t="str">
        <f t="shared" si="166"/>
        <v/>
      </c>
      <c r="DA23" t="str">
        <f t="shared" si="167"/>
        <v/>
      </c>
      <c r="DB23" t="str">
        <f>IF($DA23="","",IF(OR($EO23="",$EP23=""),"ONZEKER",IF(OR($EL23="",$EM23=""),"ONZEKER",IF(AND($EO23=$EL23+1,$EP23=$EM23),IF(OR(COUNTIF(#REF!,$B23)&gt;0,COUNTIF(#REF!,$B23)=0),"SKIP",IF(COUNTIFS(#REF!,$B23,#REF!,$DA23)&gt;0,"OK","ONBEKEND")),IF(AND($EO23=$EL23,$EP23=$EM23+1),IF(OR(COUNTIF(#REF!,$D23)&gt;0,COUNTIF(#REF!,$D23)=0),"SKIP",IF(COUNTIFS(#REF!,$D23,#REF!,$DA23)&gt;0,"OK","ONBEKEND")),"ONZEKER")))))</f>
        <v/>
      </c>
      <c r="DC23" t="str">
        <f t="shared" si="168"/>
        <v/>
      </c>
      <c r="DD23" t="str">
        <f t="shared" si="169"/>
        <v/>
      </c>
      <c r="DE23" t="str">
        <f>IF($DD23="","",IF(OR($ER23="",$ES23=""),"ONZEKER",IF(OR($EO23="",$EP23=""),"ONZEKER",IF(AND($ER23=$EO23+1,$ES23=$EP23),IF(OR(COUNTIF(#REF!,$B23)&gt;0,COUNTIF(#REF!,$B23)=0),"SKIP",IF(COUNTIFS(#REF!,$B23,#REF!,$DD23)&gt;0,"OK","ONBEKEND")),IF(AND($ER23=$EO23,$ES23=$EP23+1),IF(OR(COUNTIF(#REF!,$D23)&gt;0,COUNTIF(#REF!,$D23)=0),"SKIP",IF(COUNTIFS(#REF!,$D23,#REF!,$DD23)&gt;0,"OK","ONBEKEND")),"ONZEKER")))))</f>
        <v/>
      </c>
      <c r="DF23" t="str">
        <f t="shared" si="170"/>
        <v/>
      </c>
      <c r="DG23" t="str">
        <f t="shared" si="171"/>
        <v/>
      </c>
      <c r="DH23" t="str">
        <f>IF($DG23="","",IF(OR($EU23="",$EV23=""),"ONZEKER",IF(OR($ER23="",$ES23=""),"ONZEKER",IF(AND($EU23=$ER23+1,$EV23=$ES23),IF(OR(COUNTIF(#REF!,$B23)&gt;0,COUNTIF(#REF!,$B23)=0),"SKIP",IF(COUNTIFS(#REF!,$B23,#REF!,$DG23)&gt;0,"OK","ONBEKEND")),IF(AND($EU23=$ER23,$EV23=$ES23+1),IF(OR(COUNTIF(#REF!,$D23)&gt;0,COUNTIF(#REF!,$D23)=0),"SKIP",IF(COUNTIFS(#REF!,$D23,#REF!,$DG23)&gt;0,"OK","ONBEKEND")),"ONZEKER")))))</f>
        <v/>
      </c>
      <c r="DI23" t="str">
        <f t="shared" si="172"/>
        <v/>
      </c>
      <c r="DJ23" t="str">
        <f t="shared" si="173"/>
        <v/>
      </c>
      <c r="DK23" t="str">
        <f>IF($DJ23="","",IF(OR($EX23="",$EY23=""),"ONZEKER",IF(OR($EU23="",$EV23=""),"ONZEKER",IF(AND($EX23=$EU23+1,$EY23=$EV23),IF(OR(COUNTIF(#REF!,$B23)&gt;0,COUNTIF(#REF!,$B23)=0),"SKIP",IF(COUNTIFS(#REF!,$B23,#REF!,$DJ23)&gt;0,"OK","ONBEKEND")),IF(AND($EX23=$EU23,$EY23=$EV23+1),IF(OR(COUNTIF(#REF!,$D23)&gt;0,COUNTIF(#REF!,$D23)=0),"SKIP",IF(COUNTIFS(#REF!,$D23,#REF!,$DJ23)&gt;0,"OK","ONBEKEND")),"ONZEKER")))))</f>
        <v/>
      </c>
      <c r="DL23" t="str">
        <f t="shared" si="174"/>
        <v/>
      </c>
      <c r="DM23" t="str">
        <f t="shared" si="175"/>
        <v/>
      </c>
      <c r="DN23" t="str">
        <f t="shared" si="176"/>
        <v/>
      </c>
      <c r="DO23" t="str">
        <f t="shared" si="177"/>
        <v/>
      </c>
      <c r="DP23" t="str">
        <f t="shared" si="178"/>
        <v/>
      </c>
      <c r="DQ23" t="str">
        <f t="shared" si="179"/>
        <v/>
      </c>
      <c r="DR23" t="str">
        <f t="shared" si="180"/>
        <v/>
      </c>
      <c r="DS23" t="str">
        <f t="shared" si="181"/>
        <v/>
      </c>
      <c r="DT23" t="str">
        <f t="shared" si="182"/>
        <v/>
      </c>
      <c r="DU23" t="str">
        <f t="shared" si="183"/>
        <v/>
      </c>
      <c r="DV23" t="str">
        <f t="shared" si="184"/>
        <v/>
      </c>
      <c r="DW23" t="str">
        <f t="shared" si="185"/>
        <v/>
      </c>
      <c r="DX23" t="str">
        <f t="shared" si="186"/>
        <v/>
      </c>
      <c r="DY23" t="str">
        <f t="shared" si="187"/>
        <v/>
      </c>
      <c r="DZ23" t="str">
        <f t="shared" si="188"/>
        <v/>
      </c>
      <c r="EA23" t="str">
        <f t="shared" si="189"/>
        <v/>
      </c>
      <c r="EB23" t="str">
        <f t="shared" si="190"/>
        <v/>
      </c>
      <c r="EC23" t="str">
        <f t="shared" si="191"/>
        <v/>
      </c>
      <c r="ED23" t="str">
        <f t="shared" si="192"/>
        <v/>
      </c>
      <c r="EE23" t="str">
        <f t="shared" si="193"/>
        <v/>
      </c>
      <c r="EF23" t="str">
        <f t="shared" si="194"/>
        <v/>
      </c>
      <c r="EG23" t="str">
        <f t="shared" si="195"/>
        <v/>
      </c>
      <c r="EH23" t="str">
        <f t="shared" si="196"/>
        <v/>
      </c>
      <c r="EI23" t="str">
        <f t="shared" si="197"/>
        <v/>
      </c>
      <c r="EJ23" t="str">
        <f t="shared" si="198"/>
        <v/>
      </c>
      <c r="EK23" t="str">
        <f t="shared" si="199"/>
        <v/>
      </c>
      <c r="EL23" t="str">
        <f t="shared" si="200"/>
        <v/>
      </c>
      <c r="EM23" t="str">
        <f t="shared" si="201"/>
        <v/>
      </c>
      <c r="EN23" t="str">
        <f t="shared" si="202"/>
        <v/>
      </c>
      <c r="EO23" t="str">
        <f t="shared" si="203"/>
        <v/>
      </c>
      <c r="EP23" t="str">
        <f t="shared" si="204"/>
        <v/>
      </c>
      <c r="EQ23" t="str">
        <f t="shared" si="205"/>
        <v/>
      </c>
      <c r="ER23" t="str">
        <f t="shared" si="206"/>
        <v/>
      </c>
      <c r="ES23" t="str">
        <f t="shared" si="207"/>
        <v/>
      </c>
      <c r="ET23" t="str">
        <f t="shared" si="208"/>
        <v/>
      </c>
      <c r="EU23" t="str">
        <f t="shared" si="209"/>
        <v/>
      </c>
      <c r="EV23" t="str">
        <f t="shared" si="210"/>
        <v/>
      </c>
      <c r="EW23" t="str">
        <f t="shared" si="211"/>
        <v/>
      </c>
      <c r="EX23" t="str">
        <f t="shared" si="212"/>
        <v/>
      </c>
      <c r="EY23" t="str">
        <f t="shared" si="213"/>
        <v/>
      </c>
    </row>
    <row r="24" spans="1:155" ht="13.9" customHeight="1" x14ac:dyDescent="0.25">
      <c r="A24" s="7"/>
      <c r="B24" s="17"/>
      <c r="C24" s="8"/>
      <c r="D24" s="17"/>
      <c r="E24" s="8"/>
      <c r="F24" s="18">
        <v>0</v>
      </c>
      <c r="G24" s="7" t="s">
        <v>147</v>
      </c>
      <c r="H24" s="18">
        <v>0</v>
      </c>
      <c r="I24" s="19">
        <v>0</v>
      </c>
      <c r="J24" s="7" t="s">
        <v>147</v>
      </c>
      <c r="K24" s="19">
        <v>0</v>
      </c>
      <c r="L24" s="9"/>
      <c r="M24" s="3" t="str">
        <f>IF($L24="","",IF($L24="DOELPUNTENMAKERS","",IF(AND(COUNTIF(#REF!,$B24)=0,COUNTIF(#REF!,$D24)=0),"OK",IF($O24&gt;20,"LET OP: meer dan 20 items (controle onvolledig)",IF((COUNTIF($R24:$AS24,"ONZEKER")+COUNTIF($CJ24:$DK24,"ONZEKER"))&gt;0,"LET OP: scoreverloop onduidelijk (controle beperkt)",IF((IF($AT24&lt;&gt;"",$AT24&amp;", ","")&amp;IF($AU24&lt;&gt;"",$AU24&amp;", ","")&amp;IF($AV24&lt;&gt;"",$AV24&amp;", ","")&amp;IF($AW24&lt;&gt;"",$AW24&amp;", ","")&amp;IF($AX24&lt;&gt;"",$AX24&amp;", ","")&amp;IF($AY24&lt;&gt;"",$AY24&amp;", ","")&amp;IF($AZ24&lt;&gt;"",$AZ24&amp;", ","")&amp;IF($BA24&lt;&gt;"",$BA24&amp;", ","")&amp;IF($BB24&lt;&gt;"",$BB24&amp;", ","")&amp;IF($BC24&lt;&gt;"",$BC24&amp;", ","")&amp;IF($DL24&lt;&gt;"",$DL24&amp;", ","")&amp;IF($DM24&lt;&gt;"",$DM24&amp;", ","")&amp;IF($DN24&lt;&gt;"",$DN24&amp;", ","")&amp;IF($DO24&lt;&gt;"",$DO24&amp;", ","")&amp;IF($DP24&lt;&gt;"",$DP24&amp;", ","")&amp;IF($DQ24&lt;&gt;"",$DQ24&amp;", ","")&amp;IF($DR24&lt;&gt;"",$DR24&amp;", ","")&amp;IF($DS24&lt;&gt;"",$DS24&amp;", ","")&amp;IF($DT24&lt;&gt;"",$DT24&amp;", ","")&amp;IF($DU24&lt;&gt;"",$DU24&amp;", ",""))="","OK","Onbekend: "&amp;LEFT((IF($AT24&lt;&gt;"",$AT24&amp;", ","")&amp;IF($AU24&lt;&gt;"",$AU24&amp;", ","")&amp;IF($AV24&lt;&gt;"",$AV24&amp;", ","")&amp;IF($AW24&lt;&gt;"",$AW24&amp;", ","")&amp;IF($AX24&lt;&gt;"",$AX24&amp;", ","")&amp;IF($AY24&lt;&gt;"",$AY24&amp;", ","")&amp;IF($AZ24&lt;&gt;"",$AZ24&amp;", ","")&amp;IF($BA24&lt;&gt;"",$BA24&amp;", ","")&amp;IF($BB24&lt;&gt;"",$BB24&amp;", ","")&amp;IF($BC24&lt;&gt;"",$BC24&amp;", ","")&amp;IF($DL24&lt;&gt;"",$DL24&amp;", ","")&amp;IF($DM24&lt;&gt;"",$DM24&amp;", ","")&amp;IF($DN24&lt;&gt;"",$DN24&amp;", ","")&amp;IF($DO24&lt;&gt;"",$DO24&amp;", ","")&amp;IF($DP24&lt;&gt;"",$DP24&amp;", ","")&amp;IF($DQ24&lt;&gt;"",$DQ24&amp;", ","")&amp;IF($DR24&lt;&gt;"",$DR24&amp;", ","")&amp;IF($DS24&lt;&gt;"",$DS24&amp;", ","")&amp;IF($DT24&lt;&gt;"",$DT24&amp;", ","")&amp;IF($DU24&lt;&gt;"",$DU24&amp;", ","")),LEN((IF($AT24&lt;&gt;"",$AT24&amp;", ","")&amp;IF($AU24&lt;&gt;"",$AU24&amp;", ","")&amp;IF($AV24&lt;&gt;"",$AV24&amp;", ","")&amp;IF($AW24&lt;&gt;"",$AW24&amp;", ","")&amp;IF($AX24&lt;&gt;"",$AX24&amp;", ","")&amp;IF($AY24&lt;&gt;"",$AY24&amp;", ","")&amp;IF($AZ24&lt;&gt;"",$AZ24&amp;", ","")&amp;IF($BA24&lt;&gt;"",$BA24&amp;", ","")&amp;IF($BB24&lt;&gt;"",$BB24&amp;", ","")&amp;IF($BC24&lt;&gt;"",$BC24&amp;", ","")&amp;IF($DL24&lt;&gt;"",$DL24&amp;", ","")&amp;IF($DM24&lt;&gt;"",$DM24&amp;", ","")&amp;IF($DN24&lt;&gt;"",$DN24&amp;", ","")&amp;IF($DO24&lt;&gt;"",$DO24&amp;", ","")&amp;IF($DP24&lt;&gt;"",$DP24&amp;", ","")&amp;IF($DQ24&lt;&gt;"",$DQ24&amp;", ","")&amp;IF($DR24&lt;&gt;"",$DR24&amp;", ","")&amp;IF($DS24&lt;&gt;"",$DS24&amp;", ","")&amp;IF($DT24&lt;&gt;"",$DT24&amp;", ","")&amp;IF($DU24&lt;&gt;"",$DU24&amp;", ","")))-2)))))))</f>
        <v/>
      </c>
      <c r="N24" t="str">
        <f t="shared" si="122"/>
        <v/>
      </c>
      <c r="O24" t="str">
        <f t="shared" si="123"/>
        <v/>
      </c>
      <c r="P24" t="str">
        <f t="shared" si="124"/>
        <v/>
      </c>
      <c r="Q24" t="str">
        <f t="shared" si="125"/>
        <v/>
      </c>
      <c r="R24" t="str">
        <f>IF($Q24="","",IF(OR($BE24="",$BF24=""),"ONZEKER",IF(AND($BE24=0+1,$BF24=0),IF(OR(COUNTIF(#REF!,$B24)&gt;0,COUNTIF(#REF!,$B24)=0),"SKIP",IF(COUNTIFS(#REF!,$B24,#REF!,$Q24)&gt;0,"OK","ONBEKEND")),IF(AND($BE24=0,$BF24=0+1),IF(OR(COUNTIF(#REF!,$D24)&gt;0,COUNTIF(#REF!,$D24)=0),"SKIP",IF(COUNTIFS(#REF!,$D24,#REF!,$Q24)&gt;0,"OK","ONBEKEND")),"ONZEKER"))))</f>
        <v/>
      </c>
      <c r="S24" t="str">
        <f t="shared" si="126"/>
        <v/>
      </c>
      <c r="T24" t="str">
        <f t="shared" si="127"/>
        <v/>
      </c>
      <c r="U24" t="str">
        <f>IF($T24="","",IF(OR($BH24="",$BI24=""),"ONZEKER",IF(OR($BE24="",$BF24=""),"ONZEKER",IF(AND($BH24=$BE24+1,$BI24=$BF24),IF(OR(COUNTIF(#REF!,$B24)&gt;0,COUNTIF(#REF!,$B24)=0),"SKIP",IF(COUNTIFS(#REF!,$B24,#REF!,$T24)&gt;0,"OK","ONBEKEND")),IF(AND($BH24=$BE24,$BI24=$BF24+1),IF(OR(COUNTIF(#REF!,$D24)&gt;0,COUNTIF(#REF!,$D24)=0),"SKIP",IF(COUNTIFS(#REF!,$D24,#REF!,$T24)&gt;0,"OK","ONBEKEND")),"ONZEKER")))))</f>
        <v/>
      </c>
      <c r="V24" t="str">
        <f t="shared" si="128"/>
        <v/>
      </c>
      <c r="W24" t="str">
        <f t="shared" si="129"/>
        <v/>
      </c>
      <c r="X24" t="str">
        <f>IF($W24="","",IF(OR($BK24="",$BL24=""),"ONZEKER",IF(OR($BH24="",$BI24=""),"ONZEKER",IF(AND($BK24=$BH24+1,$BL24=$BI24),IF(OR(COUNTIF(#REF!,$B24)&gt;0,COUNTIF(#REF!,$B24)=0),"SKIP",IF(COUNTIFS(#REF!,$B24,#REF!,$W24)&gt;0,"OK","ONBEKEND")),IF(AND($BK24=$BH24,$BL24=$BI24+1),IF(OR(COUNTIF(#REF!,$D24)&gt;0,COUNTIF(#REF!,$D24)=0),"SKIP",IF(COUNTIFS(#REF!,$D24,#REF!,$W24)&gt;0,"OK","ONBEKEND")),"ONZEKER")))))</f>
        <v/>
      </c>
      <c r="Y24" t="str">
        <f t="shared" si="130"/>
        <v/>
      </c>
      <c r="Z24" t="str">
        <f t="shared" si="131"/>
        <v/>
      </c>
      <c r="AA24" t="str">
        <f>IF($Z24="","",IF(OR($BN24="",$BO24=""),"ONZEKER",IF(OR($BK24="",$BL24=""),"ONZEKER",IF(AND($BN24=$BK24+1,$BO24=$BL24),IF(OR(COUNTIF(#REF!,$B24)&gt;0,COUNTIF(#REF!,$B24)=0),"SKIP",IF(COUNTIFS(#REF!,$B24,#REF!,$Z24)&gt;0,"OK","ONBEKEND")),IF(AND($BN24=$BK24,$BO24=$BL24+1),IF(OR(COUNTIF(#REF!,$D24)&gt;0,COUNTIF(#REF!,$D24)=0),"SKIP",IF(COUNTIFS(#REF!,$D24,#REF!,$Z24)&gt;0,"OK","ONBEKEND")),"ONZEKER")))))</f>
        <v/>
      </c>
      <c r="AB24" t="str">
        <f t="shared" si="132"/>
        <v/>
      </c>
      <c r="AC24" t="str">
        <f t="shared" si="133"/>
        <v/>
      </c>
      <c r="AD24" t="str">
        <f>IF($AC24="","",IF(OR($BQ24="",$BR24=""),"ONZEKER",IF(OR($BN24="",$BO24=""),"ONZEKER",IF(AND($BQ24=$BN24+1,$BR24=$BO24),IF(OR(COUNTIF(#REF!,$B24)&gt;0,COUNTIF(#REF!,$B24)=0),"SKIP",IF(COUNTIFS(#REF!,$B24,#REF!,$AC24)&gt;0,"OK","ONBEKEND")),IF(AND($BQ24=$BN24,$BR24=$BO24+1),IF(OR(COUNTIF(#REF!,$D24)&gt;0,COUNTIF(#REF!,$D24)=0),"SKIP",IF(COUNTIFS(#REF!,$D24,#REF!,$AC24)&gt;0,"OK","ONBEKEND")),"ONZEKER")))))</f>
        <v/>
      </c>
      <c r="AE24" t="str">
        <f t="shared" si="134"/>
        <v/>
      </c>
      <c r="AF24" t="str">
        <f t="shared" si="135"/>
        <v/>
      </c>
      <c r="AG24" t="str">
        <f>IF($AF24="","",IF(OR($BT24="",$BU24=""),"ONZEKER",IF(OR($BQ24="",$BR24=""),"ONZEKER",IF(AND($BT24=$BQ24+1,$BU24=$BR24),IF(OR(COUNTIF(#REF!,$B24)&gt;0,COUNTIF(#REF!,$B24)=0),"SKIP",IF(COUNTIFS(#REF!,$B24,#REF!,$AF24)&gt;0,"OK","ONBEKEND")),IF(AND($BT24=$BQ24,$BU24=$BR24+1),IF(OR(COUNTIF(#REF!,$D24)&gt;0,COUNTIF(#REF!,$D24)=0),"SKIP",IF(COUNTIFS(#REF!,$D24,#REF!,$AF24)&gt;0,"OK","ONBEKEND")),"ONZEKER")))))</f>
        <v/>
      </c>
      <c r="AH24" t="str">
        <f t="shared" si="136"/>
        <v/>
      </c>
      <c r="AI24" t="str">
        <f t="shared" si="137"/>
        <v/>
      </c>
      <c r="AJ24" t="str">
        <f>IF($AI24="","",IF(OR($BW24="",$BX24=""),"ONZEKER",IF(OR($BT24="",$BU24=""),"ONZEKER",IF(AND($BW24=$BT24+1,$BX24=$BU24),IF(OR(COUNTIF(#REF!,$B24)&gt;0,COUNTIF(#REF!,$B24)=0),"SKIP",IF(COUNTIFS(#REF!,$B24,#REF!,$AI24)&gt;0,"OK","ONBEKEND")),IF(AND($BW24=$BT24,$BX24=$BU24+1),IF(OR(COUNTIF(#REF!,$D24)&gt;0,COUNTIF(#REF!,$D24)=0),"SKIP",IF(COUNTIFS(#REF!,$D24,#REF!,$AI24)&gt;0,"OK","ONBEKEND")),"ONZEKER")))))</f>
        <v/>
      </c>
      <c r="AK24" t="str">
        <f t="shared" si="138"/>
        <v/>
      </c>
      <c r="AL24" t="str">
        <f t="shared" si="139"/>
        <v/>
      </c>
      <c r="AM24" t="str">
        <f>IF($AL24="","",IF(OR($BZ24="",$CA24=""),"ONZEKER",IF(OR($BW24="",$BX24=""),"ONZEKER",IF(AND($BZ24=$BW24+1,$CA24=$BX24),IF(OR(COUNTIF(#REF!,$B24)&gt;0,COUNTIF(#REF!,$B24)=0),"SKIP",IF(COUNTIFS(#REF!,$B24,#REF!,$AL24)&gt;0,"OK","ONBEKEND")),IF(AND($BZ24=$BW24,$CA24=$BX24+1),IF(OR(COUNTIF(#REF!,$D24)&gt;0,COUNTIF(#REF!,$D24)=0),"SKIP",IF(COUNTIFS(#REF!,$D24,#REF!,$AL24)&gt;0,"OK","ONBEKEND")),"ONZEKER")))))</f>
        <v/>
      </c>
      <c r="AN24" t="str">
        <f t="shared" si="140"/>
        <v/>
      </c>
      <c r="AO24" t="str">
        <f t="shared" si="141"/>
        <v/>
      </c>
      <c r="AP24" t="str">
        <f>IF($AO24="","",IF(OR($CC24="",$CD24=""),"ONZEKER",IF(OR($BZ24="",$CA24=""),"ONZEKER",IF(AND($CC24=$BZ24+1,$CD24=$CA24),IF(OR(COUNTIF(#REF!,$B24)&gt;0,COUNTIF(#REF!,$B24)=0),"SKIP",IF(COUNTIFS(#REF!,$B24,#REF!,$AO24)&gt;0,"OK","ONBEKEND")),IF(AND($CC24=$BZ24,$CD24=$CA24+1),IF(OR(COUNTIF(#REF!,$D24)&gt;0,COUNTIF(#REF!,$D24)=0),"SKIP",IF(COUNTIFS(#REF!,$D24,#REF!,$AO24)&gt;0,"OK","ONBEKEND")),"ONZEKER")))))</f>
        <v/>
      </c>
      <c r="AQ24" t="str">
        <f t="shared" si="142"/>
        <v/>
      </c>
      <c r="AR24" t="str">
        <f t="shared" si="143"/>
        <v/>
      </c>
      <c r="AS24" t="str">
        <f>IF($AR24="","",IF(OR($CF24="",$CG24=""),"ONZEKER",IF(OR($CC24="",$CD24=""),"ONZEKER",IF(AND($CF24=$CC24+1,$CG24=$CD24),IF(OR(COUNTIF(#REF!,$B24)&gt;0,COUNTIF(#REF!,$B24)=0),"SKIP",IF(COUNTIFS(#REF!,$B24,#REF!,$AR24)&gt;0,"OK","ONBEKEND")),IF(AND($CF24=$CC24,$CG24=$CD24+1),IF(OR(COUNTIF(#REF!,$D24)&gt;0,COUNTIF(#REF!,$D24)=0),"SKIP",IF(COUNTIFS(#REF!,$D24,#REF!,$AR24)&gt;0,"OK","ONBEKEND")),"ONZEKER")))))</f>
        <v/>
      </c>
      <c r="AT24" t="str">
        <f t="shared" si="144"/>
        <v/>
      </c>
      <c r="AU24" t="str">
        <f t="shared" si="145"/>
        <v/>
      </c>
      <c r="AV24" t="str">
        <f t="shared" si="146"/>
        <v/>
      </c>
      <c r="AW24" t="str">
        <f t="shared" si="147"/>
        <v/>
      </c>
      <c r="AX24" t="str">
        <f t="shared" si="148"/>
        <v/>
      </c>
      <c r="AY24" t="str">
        <f t="shared" si="149"/>
        <v/>
      </c>
      <c r="AZ24" t="str">
        <f t="shared" si="150"/>
        <v/>
      </c>
      <c r="BA24" t="str">
        <f t="shared" si="151"/>
        <v/>
      </c>
      <c r="BB24" t="str">
        <f t="shared" si="152"/>
        <v/>
      </c>
      <c r="BC24" t="str">
        <f t="shared" si="153"/>
        <v/>
      </c>
      <c r="BD24" t="str">
        <f t="shared" si="32"/>
        <v/>
      </c>
      <c r="BE24" t="str">
        <f t="shared" si="33"/>
        <v/>
      </c>
      <c r="BF24" t="str">
        <f t="shared" si="34"/>
        <v/>
      </c>
      <c r="BG24" t="str">
        <f t="shared" si="35"/>
        <v/>
      </c>
      <c r="BH24" t="str">
        <f t="shared" si="36"/>
        <v/>
      </c>
      <c r="BI24" t="str">
        <f t="shared" si="37"/>
        <v/>
      </c>
      <c r="BJ24" t="str">
        <f t="shared" si="38"/>
        <v/>
      </c>
      <c r="BK24" t="str">
        <f t="shared" si="39"/>
        <v/>
      </c>
      <c r="BL24" t="str">
        <f t="shared" si="40"/>
        <v/>
      </c>
      <c r="BM24" t="str">
        <f t="shared" si="41"/>
        <v/>
      </c>
      <c r="BN24" t="str">
        <f t="shared" si="42"/>
        <v/>
      </c>
      <c r="BO24" t="str">
        <f t="shared" si="43"/>
        <v/>
      </c>
      <c r="BP24" t="str">
        <f t="shared" si="44"/>
        <v/>
      </c>
      <c r="BQ24" t="str">
        <f t="shared" si="45"/>
        <v/>
      </c>
      <c r="BR24" t="str">
        <f t="shared" si="46"/>
        <v/>
      </c>
      <c r="BS24" t="str">
        <f t="shared" si="47"/>
        <v/>
      </c>
      <c r="BT24" t="str">
        <f t="shared" si="48"/>
        <v/>
      </c>
      <c r="BU24" t="str">
        <f t="shared" si="49"/>
        <v/>
      </c>
      <c r="BV24" t="str">
        <f t="shared" si="50"/>
        <v/>
      </c>
      <c r="BW24" t="str">
        <f t="shared" si="51"/>
        <v/>
      </c>
      <c r="BX24" t="str">
        <f t="shared" si="52"/>
        <v/>
      </c>
      <c r="BY24" t="str">
        <f t="shared" si="53"/>
        <v/>
      </c>
      <c r="BZ24" t="str">
        <f t="shared" si="54"/>
        <v/>
      </c>
      <c r="CA24" t="str">
        <f t="shared" si="55"/>
        <v/>
      </c>
      <c r="CB24" t="str">
        <f t="shared" si="56"/>
        <v/>
      </c>
      <c r="CC24" t="str">
        <f t="shared" si="57"/>
        <v/>
      </c>
      <c r="CD24" t="str">
        <f t="shared" si="58"/>
        <v/>
      </c>
      <c r="CE24" t="str">
        <f t="shared" si="59"/>
        <v/>
      </c>
      <c r="CF24" t="str">
        <f t="shared" si="60"/>
        <v/>
      </c>
      <c r="CG24" t="str">
        <f t="shared" si="61"/>
        <v/>
      </c>
      <c r="CH24" t="str">
        <f t="shared" si="154"/>
        <v/>
      </c>
      <c r="CI24" t="str">
        <f t="shared" si="155"/>
        <v/>
      </c>
      <c r="CJ24" t="str">
        <f>IF($CI24="","",IF(OR($DW24="",$DX24=""),"ONZEKER",IF(OR($CF24="",$CG24=""),"ONZEKER",IF(AND($DW24=$CF24+1,$DX24=$CG24),IF(OR(COUNTIF(#REF!,$B24)&gt;0,COUNTIF(#REF!,$B24)=0),"SKIP",IF(COUNTIFS(#REF!,$B24,#REF!,$CI24)&gt;0,"OK","ONBEKEND")),IF(AND($DW24=$CF24,$DX24=$CG24+1),IF(OR(COUNTIF(#REF!,$D24)&gt;0,COUNTIF(#REF!,$D24)=0),"SKIP",IF(COUNTIFS(#REF!,$D24,#REF!,$CI24)&gt;0,"OK","ONBEKEND")),"ONZEKER")))))</f>
        <v/>
      </c>
      <c r="CK24" t="str">
        <f t="shared" si="156"/>
        <v/>
      </c>
      <c r="CL24" t="str">
        <f t="shared" si="157"/>
        <v/>
      </c>
      <c r="CM24" t="str">
        <f>IF($CL24="","",IF(OR($DZ24="",$EA24=""),"ONZEKER",IF(OR($DW24="",$DX24=""),"ONZEKER",IF(AND($DZ24=$DW24+1,$EA24=$DX24),IF(OR(COUNTIF(#REF!,$B24)&gt;0,COUNTIF(#REF!,$B24)=0),"SKIP",IF(COUNTIFS(#REF!,$B24,#REF!,$CL24)&gt;0,"OK","ONBEKEND")),IF(AND($DZ24=$DW24,$EA24=$DX24+1),IF(OR(COUNTIF(#REF!,$D24)&gt;0,COUNTIF(#REF!,$D24)=0),"SKIP",IF(COUNTIFS(#REF!,$D24,#REF!,$CL24)&gt;0,"OK","ONBEKEND")),"ONZEKER")))))</f>
        <v/>
      </c>
      <c r="CN24" t="str">
        <f t="shared" si="158"/>
        <v/>
      </c>
      <c r="CO24" t="str">
        <f t="shared" si="159"/>
        <v/>
      </c>
      <c r="CP24" t="str">
        <f>IF($CO24="","",IF(OR($EC24="",$ED24=""),"ONZEKER",IF(OR($DZ24="",$EA24=""),"ONZEKER",IF(AND($EC24=$DZ24+1,$ED24=$EA24),IF(OR(COUNTIF(#REF!,$B24)&gt;0,COUNTIF(#REF!,$B24)=0),"SKIP",IF(COUNTIFS(#REF!,$B24,#REF!,$CO24)&gt;0,"OK","ONBEKEND")),IF(AND($EC24=$DZ24,$ED24=$EA24+1),IF(OR(COUNTIF(#REF!,$D24)&gt;0,COUNTIF(#REF!,$D24)=0),"SKIP",IF(COUNTIFS(#REF!,$D24,#REF!,$CO24)&gt;0,"OK","ONBEKEND")),"ONZEKER")))))</f>
        <v/>
      </c>
      <c r="CQ24" t="str">
        <f t="shared" si="160"/>
        <v/>
      </c>
      <c r="CR24" t="str">
        <f t="shared" si="161"/>
        <v/>
      </c>
      <c r="CS24" t="str">
        <f>IF($CR24="","",IF(OR($EF24="",$EG24=""),"ONZEKER",IF(OR($EC24="",$ED24=""),"ONZEKER",IF(AND($EF24=$EC24+1,$EG24=$ED24),IF(OR(COUNTIF(#REF!,$B24)&gt;0,COUNTIF(#REF!,$B24)=0),"SKIP",IF(COUNTIFS(#REF!,$B24,#REF!,$CR24)&gt;0,"OK","ONBEKEND")),IF(AND($EF24=$EC24,$EG24=$ED24+1),IF(OR(COUNTIF(#REF!,$D24)&gt;0,COUNTIF(#REF!,$D24)=0),"SKIP",IF(COUNTIFS(#REF!,$D24,#REF!,$CR24)&gt;0,"OK","ONBEKEND")),"ONZEKER")))))</f>
        <v/>
      </c>
      <c r="CT24" t="str">
        <f t="shared" si="162"/>
        <v/>
      </c>
      <c r="CU24" t="str">
        <f t="shared" si="163"/>
        <v/>
      </c>
      <c r="CV24" t="str">
        <f>IF($CU24="","",IF(OR($EI24="",$EJ24=""),"ONZEKER",IF(OR($EF24="",$EG24=""),"ONZEKER",IF(AND($EI24=$EF24+1,$EJ24=$EG24),IF(OR(COUNTIF(#REF!,$B24)&gt;0,COUNTIF(#REF!,$B24)=0),"SKIP",IF(COUNTIFS(#REF!,$B24,#REF!,$CU24)&gt;0,"OK","ONBEKEND")),IF(AND($EI24=$EF24,$EJ24=$EG24+1),IF(OR(COUNTIF(#REF!,$D24)&gt;0,COUNTIF(#REF!,$D24)=0),"SKIP",IF(COUNTIFS(#REF!,$D24,#REF!,$CU24)&gt;0,"OK","ONBEKEND")),"ONZEKER")))))</f>
        <v/>
      </c>
      <c r="CW24" t="str">
        <f t="shared" si="164"/>
        <v/>
      </c>
      <c r="CX24" t="str">
        <f t="shared" si="165"/>
        <v/>
      </c>
      <c r="CY24" t="str">
        <f>IF($CX24="","",IF(OR($EL24="",$EM24=""),"ONZEKER",IF(OR($EI24="",$EJ24=""),"ONZEKER",IF(AND($EL24=$EI24+1,$EM24=$EJ24),IF(OR(COUNTIF(#REF!,$B24)&gt;0,COUNTIF(#REF!,$B24)=0),"SKIP",IF(COUNTIFS(#REF!,$B24,#REF!,$CX24)&gt;0,"OK","ONBEKEND")),IF(AND($EL24=$EI24,$EM24=$EJ24+1),IF(OR(COUNTIF(#REF!,$D24)&gt;0,COUNTIF(#REF!,$D24)=0),"SKIP",IF(COUNTIFS(#REF!,$D24,#REF!,$CX24)&gt;0,"OK","ONBEKEND")),"ONZEKER")))))</f>
        <v/>
      </c>
      <c r="CZ24" t="str">
        <f t="shared" si="166"/>
        <v/>
      </c>
      <c r="DA24" t="str">
        <f t="shared" si="167"/>
        <v/>
      </c>
      <c r="DB24" t="str">
        <f>IF($DA24="","",IF(OR($EO24="",$EP24=""),"ONZEKER",IF(OR($EL24="",$EM24=""),"ONZEKER",IF(AND($EO24=$EL24+1,$EP24=$EM24),IF(OR(COUNTIF(#REF!,$B24)&gt;0,COUNTIF(#REF!,$B24)=0),"SKIP",IF(COUNTIFS(#REF!,$B24,#REF!,$DA24)&gt;0,"OK","ONBEKEND")),IF(AND($EO24=$EL24,$EP24=$EM24+1),IF(OR(COUNTIF(#REF!,$D24)&gt;0,COUNTIF(#REF!,$D24)=0),"SKIP",IF(COUNTIFS(#REF!,$D24,#REF!,$DA24)&gt;0,"OK","ONBEKEND")),"ONZEKER")))))</f>
        <v/>
      </c>
      <c r="DC24" t="str">
        <f t="shared" si="168"/>
        <v/>
      </c>
      <c r="DD24" t="str">
        <f t="shared" si="169"/>
        <v/>
      </c>
      <c r="DE24" t="str">
        <f>IF($DD24="","",IF(OR($ER24="",$ES24=""),"ONZEKER",IF(OR($EO24="",$EP24=""),"ONZEKER",IF(AND($ER24=$EO24+1,$ES24=$EP24),IF(OR(COUNTIF(#REF!,$B24)&gt;0,COUNTIF(#REF!,$B24)=0),"SKIP",IF(COUNTIFS(#REF!,$B24,#REF!,$DD24)&gt;0,"OK","ONBEKEND")),IF(AND($ER24=$EO24,$ES24=$EP24+1),IF(OR(COUNTIF(#REF!,$D24)&gt;0,COUNTIF(#REF!,$D24)=0),"SKIP",IF(COUNTIFS(#REF!,$D24,#REF!,$DD24)&gt;0,"OK","ONBEKEND")),"ONZEKER")))))</f>
        <v/>
      </c>
      <c r="DF24" t="str">
        <f t="shared" si="170"/>
        <v/>
      </c>
      <c r="DG24" t="str">
        <f t="shared" si="171"/>
        <v/>
      </c>
      <c r="DH24" t="str">
        <f>IF($DG24="","",IF(OR($EU24="",$EV24=""),"ONZEKER",IF(OR($ER24="",$ES24=""),"ONZEKER",IF(AND($EU24=$ER24+1,$EV24=$ES24),IF(OR(COUNTIF(#REF!,$B24)&gt;0,COUNTIF(#REF!,$B24)=0),"SKIP",IF(COUNTIFS(#REF!,$B24,#REF!,$DG24)&gt;0,"OK","ONBEKEND")),IF(AND($EU24=$ER24,$EV24=$ES24+1),IF(OR(COUNTIF(#REF!,$D24)&gt;0,COUNTIF(#REF!,$D24)=0),"SKIP",IF(COUNTIFS(#REF!,$D24,#REF!,$DG24)&gt;0,"OK","ONBEKEND")),"ONZEKER")))))</f>
        <v/>
      </c>
      <c r="DI24" t="str">
        <f t="shared" si="172"/>
        <v/>
      </c>
      <c r="DJ24" t="str">
        <f t="shared" si="173"/>
        <v/>
      </c>
      <c r="DK24" t="str">
        <f>IF($DJ24="","",IF(OR($EX24="",$EY24=""),"ONZEKER",IF(OR($EU24="",$EV24=""),"ONZEKER",IF(AND($EX24=$EU24+1,$EY24=$EV24),IF(OR(COUNTIF(#REF!,$B24)&gt;0,COUNTIF(#REF!,$B24)=0),"SKIP",IF(COUNTIFS(#REF!,$B24,#REF!,$DJ24)&gt;0,"OK","ONBEKEND")),IF(AND($EX24=$EU24,$EY24=$EV24+1),IF(OR(COUNTIF(#REF!,$D24)&gt;0,COUNTIF(#REF!,$D24)=0),"SKIP",IF(COUNTIFS(#REF!,$D24,#REF!,$DJ24)&gt;0,"OK","ONBEKEND")),"ONZEKER")))))</f>
        <v/>
      </c>
      <c r="DL24" t="str">
        <f t="shared" si="174"/>
        <v/>
      </c>
      <c r="DM24" t="str">
        <f t="shared" si="175"/>
        <v/>
      </c>
      <c r="DN24" t="str">
        <f t="shared" si="176"/>
        <v/>
      </c>
      <c r="DO24" t="str">
        <f t="shared" si="177"/>
        <v/>
      </c>
      <c r="DP24" t="str">
        <f t="shared" si="178"/>
        <v/>
      </c>
      <c r="DQ24" t="str">
        <f t="shared" si="179"/>
        <v/>
      </c>
      <c r="DR24" t="str">
        <f t="shared" si="180"/>
        <v/>
      </c>
      <c r="DS24" t="str">
        <f t="shared" si="181"/>
        <v/>
      </c>
      <c r="DT24" t="str">
        <f t="shared" si="182"/>
        <v/>
      </c>
      <c r="DU24" t="str">
        <f t="shared" si="183"/>
        <v/>
      </c>
      <c r="DV24" t="str">
        <f t="shared" si="184"/>
        <v/>
      </c>
      <c r="DW24" t="str">
        <f t="shared" si="185"/>
        <v/>
      </c>
      <c r="DX24" t="str">
        <f t="shared" si="186"/>
        <v/>
      </c>
      <c r="DY24" t="str">
        <f t="shared" si="187"/>
        <v/>
      </c>
      <c r="DZ24" t="str">
        <f t="shared" si="188"/>
        <v/>
      </c>
      <c r="EA24" t="str">
        <f t="shared" si="189"/>
        <v/>
      </c>
      <c r="EB24" t="str">
        <f t="shared" si="190"/>
        <v/>
      </c>
      <c r="EC24" t="str">
        <f t="shared" si="191"/>
        <v/>
      </c>
      <c r="ED24" t="str">
        <f t="shared" si="192"/>
        <v/>
      </c>
      <c r="EE24" t="str">
        <f t="shared" si="193"/>
        <v/>
      </c>
      <c r="EF24" t="str">
        <f t="shared" si="194"/>
        <v/>
      </c>
      <c r="EG24" t="str">
        <f t="shared" si="195"/>
        <v/>
      </c>
      <c r="EH24" t="str">
        <f t="shared" si="196"/>
        <v/>
      </c>
      <c r="EI24" t="str">
        <f t="shared" si="197"/>
        <v/>
      </c>
      <c r="EJ24" t="str">
        <f t="shared" si="198"/>
        <v/>
      </c>
      <c r="EK24" t="str">
        <f t="shared" si="199"/>
        <v/>
      </c>
      <c r="EL24" t="str">
        <f t="shared" si="200"/>
        <v/>
      </c>
      <c r="EM24" t="str">
        <f t="shared" si="201"/>
        <v/>
      </c>
      <c r="EN24" t="str">
        <f t="shared" si="202"/>
        <v/>
      </c>
      <c r="EO24" t="str">
        <f t="shared" si="203"/>
        <v/>
      </c>
      <c r="EP24" t="str">
        <f t="shared" si="204"/>
        <v/>
      </c>
      <c r="EQ24" t="str">
        <f t="shared" si="205"/>
        <v/>
      </c>
      <c r="ER24" t="str">
        <f t="shared" si="206"/>
        <v/>
      </c>
      <c r="ES24" t="str">
        <f t="shared" si="207"/>
        <v/>
      </c>
      <c r="ET24" t="str">
        <f t="shared" si="208"/>
        <v/>
      </c>
      <c r="EU24" t="str">
        <f t="shared" si="209"/>
        <v/>
      </c>
      <c r="EV24" t="str">
        <f t="shared" si="210"/>
        <v/>
      </c>
      <c r="EW24" t="str">
        <f t="shared" si="211"/>
        <v/>
      </c>
      <c r="EX24" t="str">
        <f t="shared" si="212"/>
        <v/>
      </c>
      <c r="EY24" t="str">
        <f t="shared" si="213"/>
        <v/>
      </c>
    </row>
    <row r="25" spans="1:155" ht="13.9" customHeight="1" x14ac:dyDescent="0.25">
      <c r="M25" s="3" t="str">
        <f>IF($L25="","",IF($L25="DOELPUNTENMAKERS","",IF(AND(COUNTIF(#REF!,$B25)=0,COUNTIF(#REF!,$D25)=0),"OK",IF($O25&gt;20,"LET OP: meer dan 20 items (controle onvolledig)",IF((COUNTIF($R25:$AS25,"ONZEKER")+COUNTIF($CJ25:$DK25,"ONZEKER"))&gt;0,"LET OP: scoreverloop onduidelijk (controle beperkt)",IF((IF($AT25&lt;&gt;"",$AT25&amp;", ","")&amp;IF($AU25&lt;&gt;"",$AU25&amp;", ","")&amp;IF($AV25&lt;&gt;"",$AV25&amp;", ","")&amp;IF($AW25&lt;&gt;"",$AW25&amp;", ","")&amp;IF($AX25&lt;&gt;"",$AX25&amp;", ","")&amp;IF($AY25&lt;&gt;"",$AY25&amp;", ","")&amp;IF($AZ25&lt;&gt;"",$AZ25&amp;", ","")&amp;IF($BA25&lt;&gt;"",$BA25&amp;", ","")&amp;IF($BB25&lt;&gt;"",$BB25&amp;", ","")&amp;IF($BC25&lt;&gt;"",$BC25&amp;", ","")&amp;IF($DL25&lt;&gt;"",$DL25&amp;", ","")&amp;IF($DM25&lt;&gt;"",$DM25&amp;", ","")&amp;IF($DN25&lt;&gt;"",$DN25&amp;", ","")&amp;IF($DO25&lt;&gt;"",$DO25&amp;", ","")&amp;IF($DP25&lt;&gt;"",$DP25&amp;", ","")&amp;IF($DQ25&lt;&gt;"",$DQ25&amp;", ","")&amp;IF($DR25&lt;&gt;"",$DR25&amp;", ","")&amp;IF($DS25&lt;&gt;"",$DS25&amp;", ","")&amp;IF($DT25&lt;&gt;"",$DT25&amp;", ","")&amp;IF($DU25&lt;&gt;"",$DU25&amp;", ",""))="","OK","Onbekend: "&amp;LEFT((IF($AT25&lt;&gt;"",$AT25&amp;", ","")&amp;IF($AU25&lt;&gt;"",$AU25&amp;", ","")&amp;IF($AV25&lt;&gt;"",$AV25&amp;", ","")&amp;IF($AW25&lt;&gt;"",$AW25&amp;", ","")&amp;IF($AX25&lt;&gt;"",$AX25&amp;", ","")&amp;IF($AY25&lt;&gt;"",$AY25&amp;", ","")&amp;IF($AZ25&lt;&gt;"",$AZ25&amp;", ","")&amp;IF($BA25&lt;&gt;"",$BA25&amp;", ","")&amp;IF($BB25&lt;&gt;"",$BB25&amp;", ","")&amp;IF($BC25&lt;&gt;"",$BC25&amp;", ","")&amp;IF($DL25&lt;&gt;"",$DL25&amp;", ","")&amp;IF($DM25&lt;&gt;"",$DM25&amp;", ","")&amp;IF($DN25&lt;&gt;"",$DN25&amp;", ","")&amp;IF($DO25&lt;&gt;"",$DO25&amp;", ","")&amp;IF($DP25&lt;&gt;"",$DP25&amp;", ","")&amp;IF($DQ25&lt;&gt;"",$DQ25&amp;", ","")&amp;IF($DR25&lt;&gt;"",$DR25&amp;", ","")&amp;IF($DS25&lt;&gt;"",$DS25&amp;", ","")&amp;IF($DT25&lt;&gt;"",$DT25&amp;", ","")&amp;IF($DU25&lt;&gt;"",$DU25&amp;", ","")),LEN((IF($AT25&lt;&gt;"",$AT25&amp;", ","")&amp;IF($AU25&lt;&gt;"",$AU25&amp;", ","")&amp;IF($AV25&lt;&gt;"",$AV25&amp;", ","")&amp;IF($AW25&lt;&gt;"",$AW25&amp;", ","")&amp;IF($AX25&lt;&gt;"",$AX25&amp;", ","")&amp;IF($AY25&lt;&gt;"",$AY25&amp;", ","")&amp;IF($AZ25&lt;&gt;"",$AZ25&amp;", ","")&amp;IF($BA25&lt;&gt;"",$BA25&amp;", ","")&amp;IF($BB25&lt;&gt;"",$BB25&amp;", ","")&amp;IF($BC25&lt;&gt;"",$BC25&amp;", ","")&amp;IF($DL25&lt;&gt;"",$DL25&amp;", ","")&amp;IF($DM25&lt;&gt;"",$DM25&amp;", ","")&amp;IF($DN25&lt;&gt;"",$DN25&amp;", ","")&amp;IF($DO25&lt;&gt;"",$DO25&amp;", ","")&amp;IF($DP25&lt;&gt;"",$DP25&amp;", ","")&amp;IF($DQ25&lt;&gt;"",$DQ25&amp;", ","")&amp;IF($DR25&lt;&gt;"",$DR25&amp;", ","")&amp;IF($DS25&lt;&gt;"",$DS25&amp;", ","")&amp;IF($DT25&lt;&gt;"",$DT25&amp;", ","")&amp;IF($DU25&lt;&gt;"",$DU25&amp;", ","")))-2)))))))</f>
        <v/>
      </c>
      <c r="N25" t="str">
        <f t="shared" si="122"/>
        <v/>
      </c>
      <c r="O25" t="str">
        <f t="shared" si="123"/>
        <v/>
      </c>
      <c r="P25" t="str">
        <f t="shared" si="124"/>
        <v/>
      </c>
      <c r="Q25" t="str">
        <f t="shared" si="125"/>
        <v/>
      </c>
      <c r="R25" t="str">
        <f>IF($Q25="","",IF(OR($BE25="",$BF25=""),"ONZEKER",IF(AND($BE25=0+1,$BF25=0),IF(OR(COUNTIF(#REF!,$B25)&gt;0,COUNTIF(#REF!,$B25)=0),"SKIP",IF(COUNTIFS(#REF!,$B25,#REF!,$Q25)&gt;0,"OK","ONBEKEND")),IF(AND($BE25=0,$BF25=0+1),IF(OR(COUNTIF(#REF!,$D25)&gt;0,COUNTIF(#REF!,$D25)=0),"SKIP",IF(COUNTIFS(#REF!,$D25,#REF!,$Q25)&gt;0,"OK","ONBEKEND")),"ONZEKER"))))</f>
        <v/>
      </c>
      <c r="S25" t="str">
        <f t="shared" si="126"/>
        <v/>
      </c>
      <c r="T25" t="str">
        <f t="shared" si="127"/>
        <v/>
      </c>
      <c r="U25" t="str">
        <f>IF($T25="","",IF(OR($BH25="",$BI25=""),"ONZEKER",IF(OR($BE25="",$BF25=""),"ONZEKER",IF(AND($BH25=$BE25+1,$BI25=$BF25),IF(OR(COUNTIF(#REF!,$B25)&gt;0,COUNTIF(#REF!,$B25)=0),"SKIP",IF(COUNTIFS(#REF!,$B25,#REF!,$T25)&gt;0,"OK","ONBEKEND")),IF(AND($BH25=$BE25,$BI25=$BF25+1),IF(OR(COUNTIF(#REF!,$D25)&gt;0,COUNTIF(#REF!,$D25)=0),"SKIP",IF(COUNTIFS(#REF!,$D25,#REF!,$T25)&gt;0,"OK","ONBEKEND")),"ONZEKER")))))</f>
        <v/>
      </c>
      <c r="V25" t="str">
        <f t="shared" si="128"/>
        <v/>
      </c>
      <c r="W25" t="str">
        <f t="shared" si="129"/>
        <v/>
      </c>
      <c r="X25" t="str">
        <f>IF($W25="","",IF(OR($BK25="",$BL25=""),"ONZEKER",IF(OR($BH25="",$BI25=""),"ONZEKER",IF(AND($BK25=$BH25+1,$BL25=$BI25),IF(OR(COUNTIF(#REF!,$B25)&gt;0,COUNTIF(#REF!,$B25)=0),"SKIP",IF(COUNTIFS(#REF!,$B25,#REF!,$W25)&gt;0,"OK","ONBEKEND")),IF(AND($BK25=$BH25,$BL25=$BI25+1),IF(OR(COUNTIF(#REF!,$D25)&gt;0,COUNTIF(#REF!,$D25)=0),"SKIP",IF(COUNTIFS(#REF!,$D25,#REF!,$W25)&gt;0,"OK","ONBEKEND")),"ONZEKER")))))</f>
        <v/>
      </c>
      <c r="Y25" t="str">
        <f t="shared" si="130"/>
        <v/>
      </c>
      <c r="Z25" t="str">
        <f t="shared" si="131"/>
        <v/>
      </c>
      <c r="AA25" t="str">
        <f>IF($Z25="","",IF(OR($BN25="",$BO25=""),"ONZEKER",IF(OR($BK25="",$BL25=""),"ONZEKER",IF(AND($BN25=$BK25+1,$BO25=$BL25),IF(OR(COUNTIF(#REF!,$B25)&gt;0,COUNTIF(#REF!,$B25)=0),"SKIP",IF(COUNTIFS(#REF!,$B25,#REF!,$Z25)&gt;0,"OK","ONBEKEND")),IF(AND($BN25=$BK25,$BO25=$BL25+1),IF(OR(COUNTIF(#REF!,$D25)&gt;0,COUNTIF(#REF!,$D25)=0),"SKIP",IF(COUNTIFS(#REF!,$D25,#REF!,$Z25)&gt;0,"OK","ONBEKEND")),"ONZEKER")))))</f>
        <v/>
      </c>
      <c r="AB25" t="str">
        <f t="shared" si="132"/>
        <v/>
      </c>
      <c r="AC25" t="str">
        <f t="shared" si="133"/>
        <v/>
      </c>
      <c r="AD25" t="str">
        <f>IF($AC25="","",IF(OR($BQ25="",$BR25=""),"ONZEKER",IF(OR($BN25="",$BO25=""),"ONZEKER",IF(AND($BQ25=$BN25+1,$BR25=$BO25),IF(OR(COUNTIF(#REF!,$B25)&gt;0,COUNTIF(#REF!,$B25)=0),"SKIP",IF(COUNTIFS(#REF!,$B25,#REF!,$AC25)&gt;0,"OK","ONBEKEND")),IF(AND($BQ25=$BN25,$BR25=$BO25+1),IF(OR(COUNTIF(#REF!,$D25)&gt;0,COUNTIF(#REF!,$D25)=0),"SKIP",IF(COUNTIFS(#REF!,$D25,#REF!,$AC25)&gt;0,"OK","ONBEKEND")),"ONZEKER")))))</f>
        <v/>
      </c>
      <c r="AE25" t="str">
        <f t="shared" si="134"/>
        <v/>
      </c>
      <c r="AF25" t="str">
        <f t="shared" si="135"/>
        <v/>
      </c>
      <c r="AG25" t="str">
        <f>IF($AF25="","",IF(OR($BT25="",$BU25=""),"ONZEKER",IF(OR($BQ25="",$BR25=""),"ONZEKER",IF(AND($BT25=$BQ25+1,$BU25=$BR25),IF(OR(COUNTIF(#REF!,$B25)&gt;0,COUNTIF(#REF!,$B25)=0),"SKIP",IF(COUNTIFS(#REF!,$B25,#REF!,$AF25)&gt;0,"OK","ONBEKEND")),IF(AND($BT25=$BQ25,$BU25=$BR25+1),IF(OR(COUNTIF(#REF!,$D25)&gt;0,COUNTIF(#REF!,$D25)=0),"SKIP",IF(COUNTIFS(#REF!,$D25,#REF!,$AF25)&gt;0,"OK","ONBEKEND")),"ONZEKER")))))</f>
        <v/>
      </c>
      <c r="AH25" t="str">
        <f t="shared" si="136"/>
        <v/>
      </c>
      <c r="AI25" t="str">
        <f t="shared" si="137"/>
        <v/>
      </c>
      <c r="AJ25" t="str">
        <f>IF($AI25="","",IF(OR($BW25="",$BX25=""),"ONZEKER",IF(OR($BT25="",$BU25=""),"ONZEKER",IF(AND($BW25=$BT25+1,$BX25=$BU25),IF(OR(COUNTIF(#REF!,$B25)&gt;0,COUNTIF(#REF!,$B25)=0),"SKIP",IF(COUNTIFS(#REF!,$B25,#REF!,$AI25)&gt;0,"OK","ONBEKEND")),IF(AND($BW25=$BT25,$BX25=$BU25+1),IF(OR(COUNTIF(#REF!,$D25)&gt;0,COUNTIF(#REF!,$D25)=0),"SKIP",IF(COUNTIFS(#REF!,$D25,#REF!,$AI25)&gt;0,"OK","ONBEKEND")),"ONZEKER")))))</f>
        <v/>
      </c>
      <c r="AK25" t="str">
        <f t="shared" si="138"/>
        <v/>
      </c>
      <c r="AL25" t="str">
        <f t="shared" si="139"/>
        <v/>
      </c>
      <c r="AM25" t="str">
        <f>IF($AL25="","",IF(OR($BZ25="",$CA25=""),"ONZEKER",IF(OR($BW25="",$BX25=""),"ONZEKER",IF(AND($BZ25=$BW25+1,$CA25=$BX25),IF(OR(COUNTIF(#REF!,$B25)&gt;0,COUNTIF(#REF!,$B25)=0),"SKIP",IF(COUNTIFS(#REF!,$B25,#REF!,$AL25)&gt;0,"OK","ONBEKEND")),IF(AND($BZ25=$BW25,$CA25=$BX25+1),IF(OR(COUNTIF(#REF!,$D25)&gt;0,COUNTIF(#REF!,$D25)=0),"SKIP",IF(COUNTIFS(#REF!,$D25,#REF!,$AL25)&gt;0,"OK","ONBEKEND")),"ONZEKER")))))</f>
        <v/>
      </c>
      <c r="AN25" t="str">
        <f t="shared" si="140"/>
        <v/>
      </c>
      <c r="AO25" t="str">
        <f t="shared" si="141"/>
        <v/>
      </c>
      <c r="AP25" t="str">
        <f>IF($AO25="","",IF(OR($CC25="",$CD25=""),"ONZEKER",IF(OR($BZ25="",$CA25=""),"ONZEKER",IF(AND($CC25=$BZ25+1,$CD25=$CA25),IF(OR(COUNTIF(#REF!,$B25)&gt;0,COUNTIF(#REF!,$B25)=0),"SKIP",IF(COUNTIFS(#REF!,$B25,#REF!,$AO25)&gt;0,"OK","ONBEKEND")),IF(AND($CC25=$BZ25,$CD25=$CA25+1),IF(OR(COUNTIF(#REF!,$D25)&gt;0,COUNTIF(#REF!,$D25)=0),"SKIP",IF(COUNTIFS(#REF!,$D25,#REF!,$AO25)&gt;0,"OK","ONBEKEND")),"ONZEKER")))))</f>
        <v/>
      </c>
      <c r="AQ25" t="str">
        <f t="shared" si="142"/>
        <v/>
      </c>
      <c r="AR25" t="str">
        <f t="shared" si="143"/>
        <v/>
      </c>
      <c r="AS25" t="str">
        <f>IF($AR25="","",IF(OR($CF25="",$CG25=""),"ONZEKER",IF(OR($CC25="",$CD25=""),"ONZEKER",IF(AND($CF25=$CC25+1,$CG25=$CD25),IF(OR(COUNTIF(#REF!,$B25)&gt;0,COUNTIF(#REF!,$B25)=0),"SKIP",IF(COUNTIFS(#REF!,$B25,#REF!,$AR25)&gt;0,"OK","ONBEKEND")),IF(AND($CF25=$CC25,$CG25=$CD25+1),IF(OR(COUNTIF(#REF!,$D25)&gt;0,COUNTIF(#REF!,$D25)=0),"SKIP",IF(COUNTIFS(#REF!,$D25,#REF!,$AR25)&gt;0,"OK","ONBEKEND")),"ONZEKER")))))</f>
        <v/>
      </c>
      <c r="AT25" t="str">
        <f t="shared" si="144"/>
        <v/>
      </c>
      <c r="AU25" t="str">
        <f t="shared" si="145"/>
        <v/>
      </c>
      <c r="AV25" t="str">
        <f t="shared" si="146"/>
        <v/>
      </c>
      <c r="AW25" t="str">
        <f t="shared" si="147"/>
        <v/>
      </c>
      <c r="AX25" t="str">
        <f t="shared" si="148"/>
        <v/>
      </c>
      <c r="AY25" t="str">
        <f t="shared" si="149"/>
        <v/>
      </c>
      <c r="AZ25" t="str">
        <f t="shared" si="150"/>
        <v/>
      </c>
      <c r="BA25" t="str">
        <f t="shared" si="151"/>
        <v/>
      </c>
      <c r="BB25" t="str">
        <f t="shared" si="152"/>
        <v/>
      </c>
      <c r="BC25" t="str">
        <f t="shared" si="153"/>
        <v/>
      </c>
      <c r="BD25" t="str">
        <f t="shared" si="32"/>
        <v/>
      </c>
      <c r="BE25" t="str">
        <f t="shared" si="33"/>
        <v/>
      </c>
      <c r="BF25" t="str">
        <f t="shared" si="34"/>
        <v/>
      </c>
      <c r="BG25" t="str">
        <f t="shared" si="35"/>
        <v/>
      </c>
      <c r="BH25" t="str">
        <f t="shared" si="36"/>
        <v/>
      </c>
      <c r="BI25" t="str">
        <f t="shared" si="37"/>
        <v/>
      </c>
      <c r="BJ25" t="str">
        <f t="shared" si="38"/>
        <v/>
      </c>
      <c r="BK25" t="str">
        <f t="shared" si="39"/>
        <v/>
      </c>
      <c r="BL25" t="str">
        <f t="shared" si="40"/>
        <v/>
      </c>
      <c r="BM25" t="str">
        <f t="shared" si="41"/>
        <v/>
      </c>
      <c r="BN25" t="str">
        <f t="shared" si="42"/>
        <v/>
      </c>
      <c r="BO25" t="str">
        <f t="shared" si="43"/>
        <v/>
      </c>
      <c r="BP25" t="str">
        <f t="shared" si="44"/>
        <v/>
      </c>
      <c r="BQ25" t="str">
        <f t="shared" si="45"/>
        <v/>
      </c>
      <c r="BR25" t="str">
        <f t="shared" si="46"/>
        <v/>
      </c>
      <c r="BS25" t="str">
        <f t="shared" si="47"/>
        <v/>
      </c>
      <c r="BT25" t="str">
        <f t="shared" si="48"/>
        <v/>
      </c>
      <c r="BU25" t="str">
        <f t="shared" si="49"/>
        <v/>
      </c>
      <c r="BV25" t="str">
        <f t="shared" si="50"/>
        <v/>
      </c>
      <c r="BW25" t="str">
        <f t="shared" si="51"/>
        <v/>
      </c>
      <c r="BX25" t="str">
        <f t="shared" si="52"/>
        <v/>
      </c>
      <c r="BY25" t="str">
        <f t="shared" si="53"/>
        <v/>
      </c>
      <c r="BZ25" t="str">
        <f t="shared" si="54"/>
        <v/>
      </c>
      <c r="CA25" t="str">
        <f t="shared" si="55"/>
        <v/>
      </c>
      <c r="CB25" t="str">
        <f t="shared" si="56"/>
        <v/>
      </c>
      <c r="CC25" t="str">
        <f t="shared" si="57"/>
        <v/>
      </c>
      <c r="CD25" t="str">
        <f t="shared" si="58"/>
        <v/>
      </c>
      <c r="CE25" t="str">
        <f t="shared" si="59"/>
        <v/>
      </c>
      <c r="CF25" t="str">
        <f t="shared" si="60"/>
        <v/>
      </c>
      <c r="CG25" t="str">
        <f t="shared" si="61"/>
        <v/>
      </c>
      <c r="CH25" t="str">
        <f t="shared" si="154"/>
        <v/>
      </c>
      <c r="CI25" t="str">
        <f t="shared" si="155"/>
        <v/>
      </c>
      <c r="CJ25" t="str">
        <f>IF($CI25="","",IF(OR($DW25="",$DX25=""),"ONZEKER",IF(OR($CF25="",$CG25=""),"ONZEKER",IF(AND($DW25=$CF25+1,$DX25=$CG25),IF(OR(COUNTIF(#REF!,$B25)&gt;0,COUNTIF(#REF!,$B25)=0),"SKIP",IF(COUNTIFS(#REF!,$B25,#REF!,$CI25)&gt;0,"OK","ONBEKEND")),IF(AND($DW25=$CF25,$DX25=$CG25+1),IF(OR(COUNTIF(#REF!,$D25)&gt;0,COUNTIF(#REF!,$D25)=0),"SKIP",IF(COUNTIFS(#REF!,$D25,#REF!,$CI25)&gt;0,"OK","ONBEKEND")),"ONZEKER")))))</f>
        <v/>
      </c>
      <c r="CK25" t="str">
        <f t="shared" si="156"/>
        <v/>
      </c>
      <c r="CL25" t="str">
        <f t="shared" si="157"/>
        <v/>
      </c>
      <c r="CM25" t="str">
        <f>IF($CL25="","",IF(OR($DZ25="",$EA25=""),"ONZEKER",IF(OR($DW25="",$DX25=""),"ONZEKER",IF(AND($DZ25=$DW25+1,$EA25=$DX25),IF(OR(COUNTIF(#REF!,$B25)&gt;0,COUNTIF(#REF!,$B25)=0),"SKIP",IF(COUNTIFS(#REF!,$B25,#REF!,$CL25)&gt;0,"OK","ONBEKEND")),IF(AND($DZ25=$DW25,$EA25=$DX25+1),IF(OR(COUNTIF(#REF!,$D25)&gt;0,COUNTIF(#REF!,$D25)=0),"SKIP",IF(COUNTIFS(#REF!,$D25,#REF!,$CL25)&gt;0,"OK","ONBEKEND")),"ONZEKER")))))</f>
        <v/>
      </c>
      <c r="CN25" t="str">
        <f t="shared" si="158"/>
        <v/>
      </c>
      <c r="CO25" t="str">
        <f t="shared" si="159"/>
        <v/>
      </c>
      <c r="CP25" t="str">
        <f>IF($CO25="","",IF(OR($EC25="",$ED25=""),"ONZEKER",IF(OR($DZ25="",$EA25=""),"ONZEKER",IF(AND($EC25=$DZ25+1,$ED25=$EA25),IF(OR(COUNTIF(#REF!,$B25)&gt;0,COUNTIF(#REF!,$B25)=0),"SKIP",IF(COUNTIFS(#REF!,$B25,#REF!,$CO25)&gt;0,"OK","ONBEKEND")),IF(AND($EC25=$DZ25,$ED25=$EA25+1),IF(OR(COUNTIF(#REF!,$D25)&gt;0,COUNTIF(#REF!,$D25)=0),"SKIP",IF(COUNTIFS(#REF!,$D25,#REF!,$CO25)&gt;0,"OK","ONBEKEND")),"ONZEKER")))))</f>
        <v/>
      </c>
      <c r="CQ25" t="str">
        <f t="shared" si="160"/>
        <v/>
      </c>
      <c r="CR25" t="str">
        <f t="shared" si="161"/>
        <v/>
      </c>
      <c r="CS25" t="str">
        <f>IF($CR25="","",IF(OR($EF25="",$EG25=""),"ONZEKER",IF(OR($EC25="",$ED25=""),"ONZEKER",IF(AND($EF25=$EC25+1,$EG25=$ED25),IF(OR(COUNTIF(#REF!,$B25)&gt;0,COUNTIF(#REF!,$B25)=0),"SKIP",IF(COUNTIFS(#REF!,$B25,#REF!,$CR25)&gt;0,"OK","ONBEKEND")),IF(AND($EF25=$EC25,$EG25=$ED25+1),IF(OR(COUNTIF(#REF!,$D25)&gt;0,COUNTIF(#REF!,$D25)=0),"SKIP",IF(COUNTIFS(#REF!,$D25,#REF!,$CR25)&gt;0,"OK","ONBEKEND")),"ONZEKER")))))</f>
        <v/>
      </c>
      <c r="CT25" t="str">
        <f t="shared" si="162"/>
        <v/>
      </c>
      <c r="CU25" t="str">
        <f t="shared" si="163"/>
        <v/>
      </c>
      <c r="CV25" t="str">
        <f>IF($CU25="","",IF(OR($EI25="",$EJ25=""),"ONZEKER",IF(OR($EF25="",$EG25=""),"ONZEKER",IF(AND($EI25=$EF25+1,$EJ25=$EG25),IF(OR(COUNTIF(#REF!,$B25)&gt;0,COUNTIF(#REF!,$B25)=0),"SKIP",IF(COUNTIFS(#REF!,$B25,#REF!,$CU25)&gt;0,"OK","ONBEKEND")),IF(AND($EI25=$EF25,$EJ25=$EG25+1),IF(OR(COUNTIF(#REF!,$D25)&gt;0,COUNTIF(#REF!,$D25)=0),"SKIP",IF(COUNTIFS(#REF!,$D25,#REF!,$CU25)&gt;0,"OK","ONBEKEND")),"ONZEKER")))))</f>
        <v/>
      </c>
      <c r="CW25" t="str">
        <f t="shared" si="164"/>
        <v/>
      </c>
      <c r="CX25" t="str">
        <f t="shared" si="165"/>
        <v/>
      </c>
      <c r="CY25" t="str">
        <f>IF($CX25="","",IF(OR($EL25="",$EM25=""),"ONZEKER",IF(OR($EI25="",$EJ25=""),"ONZEKER",IF(AND($EL25=$EI25+1,$EM25=$EJ25),IF(OR(COUNTIF(#REF!,$B25)&gt;0,COUNTIF(#REF!,$B25)=0),"SKIP",IF(COUNTIFS(#REF!,$B25,#REF!,$CX25)&gt;0,"OK","ONBEKEND")),IF(AND($EL25=$EI25,$EM25=$EJ25+1),IF(OR(COUNTIF(#REF!,$D25)&gt;0,COUNTIF(#REF!,$D25)=0),"SKIP",IF(COUNTIFS(#REF!,$D25,#REF!,$CX25)&gt;0,"OK","ONBEKEND")),"ONZEKER")))))</f>
        <v/>
      </c>
      <c r="CZ25" t="str">
        <f t="shared" si="166"/>
        <v/>
      </c>
      <c r="DA25" t="str">
        <f t="shared" si="167"/>
        <v/>
      </c>
      <c r="DB25" t="str">
        <f>IF($DA25="","",IF(OR($EO25="",$EP25=""),"ONZEKER",IF(OR($EL25="",$EM25=""),"ONZEKER",IF(AND($EO25=$EL25+1,$EP25=$EM25),IF(OR(COUNTIF(#REF!,$B25)&gt;0,COUNTIF(#REF!,$B25)=0),"SKIP",IF(COUNTIFS(#REF!,$B25,#REF!,$DA25)&gt;0,"OK","ONBEKEND")),IF(AND($EO25=$EL25,$EP25=$EM25+1),IF(OR(COUNTIF(#REF!,$D25)&gt;0,COUNTIF(#REF!,$D25)=0),"SKIP",IF(COUNTIFS(#REF!,$D25,#REF!,$DA25)&gt;0,"OK","ONBEKEND")),"ONZEKER")))))</f>
        <v/>
      </c>
      <c r="DC25" t="str">
        <f t="shared" si="168"/>
        <v/>
      </c>
      <c r="DD25" t="str">
        <f t="shared" si="169"/>
        <v/>
      </c>
      <c r="DE25" t="str">
        <f>IF($DD25="","",IF(OR($ER25="",$ES25=""),"ONZEKER",IF(OR($EO25="",$EP25=""),"ONZEKER",IF(AND($ER25=$EO25+1,$ES25=$EP25),IF(OR(COUNTIF(#REF!,$B25)&gt;0,COUNTIF(#REF!,$B25)=0),"SKIP",IF(COUNTIFS(#REF!,$B25,#REF!,$DD25)&gt;0,"OK","ONBEKEND")),IF(AND($ER25=$EO25,$ES25=$EP25+1),IF(OR(COUNTIF(#REF!,$D25)&gt;0,COUNTIF(#REF!,$D25)=0),"SKIP",IF(COUNTIFS(#REF!,$D25,#REF!,$DD25)&gt;0,"OK","ONBEKEND")),"ONZEKER")))))</f>
        <v/>
      </c>
      <c r="DF25" t="str">
        <f t="shared" si="170"/>
        <v/>
      </c>
      <c r="DG25" t="str">
        <f t="shared" si="171"/>
        <v/>
      </c>
      <c r="DH25" t="str">
        <f>IF($DG25="","",IF(OR($EU25="",$EV25=""),"ONZEKER",IF(OR($ER25="",$ES25=""),"ONZEKER",IF(AND($EU25=$ER25+1,$EV25=$ES25),IF(OR(COUNTIF(#REF!,$B25)&gt;0,COUNTIF(#REF!,$B25)=0),"SKIP",IF(COUNTIFS(#REF!,$B25,#REF!,$DG25)&gt;0,"OK","ONBEKEND")),IF(AND($EU25=$ER25,$EV25=$ES25+1),IF(OR(COUNTIF(#REF!,$D25)&gt;0,COUNTIF(#REF!,$D25)=0),"SKIP",IF(COUNTIFS(#REF!,$D25,#REF!,$DG25)&gt;0,"OK","ONBEKEND")),"ONZEKER")))))</f>
        <v/>
      </c>
      <c r="DI25" t="str">
        <f t="shared" si="172"/>
        <v/>
      </c>
      <c r="DJ25" t="str">
        <f t="shared" si="173"/>
        <v/>
      </c>
      <c r="DK25" t="str">
        <f>IF($DJ25="","",IF(OR($EX25="",$EY25=""),"ONZEKER",IF(OR($EU25="",$EV25=""),"ONZEKER",IF(AND($EX25=$EU25+1,$EY25=$EV25),IF(OR(COUNTIF(#REF!,$B25)&gt;0,COUNTIF(#REF!,$B25)=0),"SKIP",IF(COUNTIFS(#REF!,$B25,#REF!,$DJ25)&gt;0,"OK","ONBEKEND")),IF(AND($EX25=$EU25,$EY25=$EV25+1),IF(OR(COUNTIF(#REF!,$D25)&gt;0,COUNTIF(#REF!,$D25)=0),"SKIP",IF(COUNTIFS(#REF!,$D25,#REF!,$DJ25)&gt;0,"OK","ONBEKEND")),"ONZEKER")))))</f>
        <v/>
      </c>
      <c r="DL25" t="str">
        <f t="shared" si="174"/>
        <v/>
      </c>
      <c r="DM25" t="str">
        <f t="shared" si="175"/>
        <v/>
      </c>
      <c r="DN25" t="str">
        <f t="shared" si="176"/>
        <v/>
      </c>
      <c r="DO25" t="str">
        <f t="shared" si="177"/>
        <v/>
      </c>
      <c r="DP25" t="str">
        <f t="shared" si="178"/>
        <v/>
      </c>
      <c r="DQ25" t="str">
        <f t="shared" si="179"/>
        <v/>
      </c>
      <c r="DR25" t="str">
        <f t="shared" si="180"/>
        <v/>
      </c>
      <c r="DS25" t="str">
        <f t="shared" si="181"/>
        <v/>
      </c>
      <c r="DT25" t="str">
        <f t="shared" si="182"/>
        <v/>
      </c>
      <c r="DU25" t="str">
        <f t="shared" si="183"/>
        <v/>
      </c>
      <c r="DV25" t="str">
        <f t="shared" si="184"/>
        <v/>
      </c>
      <c r="DW25" t="str">
        <f t="shared" si="185"/>
        <v/>
      </c>
      <c r="DX25" t="str">
        <f t="shared" si="186"/>
        <v/>
      </c>
      <c r="DY25" t="str">
        <f t="shared" si="187"/>
        <v/>
      </c>
      <c r="DZ25" t="str">
        <f t="shared" si="188"/>
        <v/>
      </c>
      <c r="EA25" t="str">
        <f t="shared" si="189"/>
        <v/>
      </c>
      <c r="EB25" t="str">
        <f t="shared" si="190"/>
        <v/>
      </c>
      <c r="EC25" t="str">
        <f t="shared" si="191"/>
        <v/>
      </c>
      <c r="ED25" t="str">
        <f t="shared" si="192"/>
        <v/>
      </c>
      <c r="EE25" t="str">
        <f t="shared" si="193"/>
        <v/>
      </c>
      <c r="EF25" t="str">
        <f t="shared" si="194"/>
        <v/>
      </c>
      <c r="EG25" t="str">
        <f t="shared" si="195"/>
        <v/>
      </c>
      <c r="EH25" t="str">
        <f t="shared" si="196"/>
        <v/>
      </c>
      <c r="EI25" t="str">
        <f t="shared" si="197"/>
        <v/>
      </c>
      <c r="EJ25" t="str">
        <f t="shared" si="198"/>
        <v/>
      </c>
      <c r="EK25" t="str">
        <f t="shared" si="199"/>
        <v/>
      </c>
      <c r="EL25" t="str">
        <f t="shared" si="200"/>
        <v/>
      </c>
      <c r="EM25" t="str">
        <f t="shared" si="201"/>
        <v/>
      </c>
      <c r="EN25" t="str">
        <f t="shared" si="202"/>
        <v/>
      </c>
      <c r="EO25" t="str">
        <f t="shared" si="203"/>
        <v/>
      </c>
      <c r="EP25" t="str">
        <f t="shared" si="204"/>
        <v/>
      </c>
      <c r="EQ25" t="str">
        <f t="shared" si="205"/>
        <v/>
      </c>
      <c r="ER25" t="str">
        <f t="shared" si="206"/>
        <v/>
      </c>
      <c r="ES25" t="str">
        <f t="shared" si="207"/>
        <v/>
      </c>
      <c r="ET25" t="str">
        <f t="shared" si="208"/>
        <v/>
      </c>
      <c r="EU25" t="str">
        <f t="shared" si="209"/>
        <v/>
      </c>
      <c r="EV25" t="str">
        <f t="shared" si="210"/>
        <v/>
      </c>
      <c r="EW25" t="str">
        <f t="shared" si="211"/>
        <v/>
      </c>
      <c r="EX25" t="str">
        <f t="shared" si="212"/>
        <v/>
      </c>
      <c r="EY25" t="str">
        <f t="shared" si="213"/>
        <v/>
      </c>
    </row>
    <row r="26" spans="1:155" ht="13.9" customHeight="1" x14ac:dyDescent="0.25">
      <c r="M26" s="3" t="str">
        <f>IF($L26="","",IF($L26="DOELPUNTENMAKERS","",IF(AND(COUNTIF(#REF!,$B26)=0,COUNTIF(#REF!,$D26)=0),"OK",IF($O26&gt;20,"LET OP: meer dan 20 items (controle onvolledig)",IF((COUNTIF($R26:$AS26,"ONZEKER")+COUNTIF($CJ26:$DK26,"ONZEKER"))&gt;0,"LET OP: scoreverloop onduidelijk (controle beperkt)",IF((IF($AT26&lt;&gt;"",$AT26&amp;", ","")&amp;IF($AU26&lt;&gt;"",$AU26&amp;", ","")&amp;IF($AV26&lt;&gt;"",$AV26&amp;", ","")&amp;IF($AW26&lt;&gt;"",$AW26&amp;", ","")&amp;IF($AX26&lt;&gt;"",$AX26&amp;", ","")&amp;IF($AY26&lt;&gt;"",$AY26&amp;", ","")&amp;IF($AZ26&lt;&gt;"",$AZ26&amp;", ","")&amp;IF($BA26&lt;&gt;"",$BA26&amp;", ","")&amp;IF($BB26&lt;&gt;"",$BB26&amp;", ","")&amp;IF($BC26&lt;&gt;"",$BC26&amp;", ","")&amp;IF($DL26&lt;&gt;"",$DL26&amp;", ","")&amp;IF($DM26&lt;&gt;"",$DM26&amp;", ","")&amp;IF($DN26&lt;&gt;"",$DN26&amp;", ","")&amp;IF($DO26&lt;&gt;"",$DO26&amp;", ","")&amp;IF($DP26&lt;&gt;"",$DP26&amp;", ","")&amp;IF($DQ26&lt;&gt;"",$DQ26&amp;", ","")&amp;IF($DR26&lt;&gt;"",$DR26&amp;", ","")&amp;IF($DS26&lt;&gt;"",$DS26&amp;", ","")&amp;IF($DT26&lt;&gt;"",$DT26&amp;", ","")&amp;IF($DU26&lt;&gt;"",$DU26&amp;", ",""))="","OK","Onbekend: "&amp;LEFT((IF($AT26&lt;&gt;"",$AT26&amp;", ","")&amp;IF($AU26&lt;&gt;"",$AU26&amp;", ","")&amp;IF($AV26&lt;&gt;"",$AV26&amp;", ","")&amp;IF($AW26&lt;&gt;"",$AW26&amp;", ","")&amp;IF($AX26&lt;&gt;"",$AX26&amp;", ","")&amp;IF($AY26&lt;&gt;"",$AY26&amp;", ","")&amp;IF($AZ26&lt;&gt;"",$AZ26&amp;", ","")&amp;IF($BA26&lt;&gt;"",$BA26&amp;", ","")&amp;IF($BB26&lt;&gt;"",$BB26&amp;", ","")&amp;IF($BC26&lt;&gt;"",$BC26&amp;", ","")&amp;IF($DL26&lt;&gt;"",$DL26&amp;", ","")&amp;IF($DM26&lt;&gt;"",$DM26&amp;", ","")&amp;IF($DN26&lt;&gt;"",$DN26&amp;", ","")&amp;IF($DO26&lt;&gt;"",$DO26&amp;", ","")&amp;IF($DP26&lt;&gt;"",$DP26&amp;", ","")&amp;IF($DQ26&lt;&gt;"",$DQ26&amp;", ","")&amp;IF($DR26&lt;&gt;"",$DR26&amp;", ","")&amp;IF($DS26&lt;&gt;"",$DS26&amp;", ","")&amp;IF($DT26&lt;&gt;"",$DT26&amp;", ","")&amp;IF($DU26&lt;&gt;"",$DU26&amp;", ","")),LEN((IF($AT26&lt;&gt;"",$AT26&amp;", ","")&amp;IF($AU26&lt;&gt;"",$AU26&amp;", ","")&amp;IF($AV26&lt;&gt;"",$AV26&amp;", ","")&amp;IF($AW26&lt;&gt;"",$AW26&amp;", ","")&amp;IF($AX26&lt;&gt;"",$AX26&amp;", ","")&amp;IF($AY26&lt;&gt;"",$AY26&amp;", ","")&amp;IF($AZ26&lt;&gt;"",$AZ26&amp;", ","")&amp;IF($BA26&lt;&gt;"",$BA26&amp;", ","")&amp;IF($BB26&lt;&gt;"",$BB26&amp;", ","")&amp;IF($BC26&lt;&gt;"",$BC26&amp;", ","")&amp;IF($DL26&lt;&gt;"",$DL26&amp;", ","")&amp;IF($DM26&lt;&gt;"",$DM26&amp;", ","")&amp;IF($DN26&lt;&gt;"",$DN26&amp;", ","")&amp;IF($DO26&lt;&gt;"",$DO26&amp;", ","")&amp;IF($DP26&lt;&gt;"",$DP26&amp;", ","")&amp;IF($DQ26&lt;&gt;"",$DQ26&amp;", ","")&amp;IF($DR26&lt;&gt;"",$DR26&amp;", ","")&amp;IF($DS26&lt;&gt;"",$DS26&amp;", ","")&amp;IF($DT26&lt;&gt;"",$DT26&amp;", ","")&amp;IF($DU26&lt;&gt;"",$DU26&amp;", ","")))-2)))))))</f>
        <v/>
      </c>
      <c r="N26" t="str">
        <f t="shared" si="122"/>
        <v/>
      </c>
      <c r="O26" t="str">
        <f t="shared" si="123"/>
        <v/>
      </c>
      <c r="P26" t="str">
        <f t="shared" si="124"/>
        <v/>
      </c>
      <c r="Q26" t="str">
        <f t="shared" si="125"/>
        <v/>
      </c>
      <c r="R26" t="str">
        <f>IF($Q26="","",IF(OR($BE26="",$BF26=""),"ONZEKER",IF(AND($BE26=0+1,$BF26=0),IF(OR(COUNTIF(#REF!,$B26)&gt;0,COUNTIF(#REF!,$B26)=0),"SKIP",IF(COUNTIFS(#REF!,$B26,#REF!,$Q26)&gt;0,"OK","ONBEKEND")),IF(AND($BE26=0,$BF26=0+1),IF(OR(COUNTIF(#REF!,$D26)&gt;0,COUNTIF(#REF!,$D26)=0),"SKIP",IF(COUNTIFS(#REF!,$D26,#REF!,$Q26)&gt;0,"OK","ONBEKEND")),"ONZEKER"))))</f>
        <v/>
      </c>
      <c r="S26" t="str">
        <f t="shared" si="126"/>
        <v/>
      </c>
      <c r="T26" t="str">
        <f t="shared" si="127"/>
        <v/>
      </c>
      <c r="U26" t="str">
        <f>IF($T26="","",IF(OR($BH26="",$BI26=""),"ONZEKER",IF(OR($BE26="",$BF26=""),"ONZEKER",IF(AND($BH26=$BE26+1,$BI26=$BF26),IF(OR(COUNTIF(#REF!,$B26)&gt;0,COUNTIF(#REF!,$B26)=0),"SKIP",IF(COUNTIFS(#REF!,$B26,#REF!,$T26)&gt;0,"OK","ONBEKEND")),IF(AND($BH26=$BE26,$BI26=$BF26+1),IF(OR(COUNTIF(#REF!,$D26)&gt;0,COUNTIF(#REF!,$D26)=0),"SKIP",IF(COUNTIFS(#REF!,$D26,#REF!,$T26)&gt;0,"OK","ONBEKEND")),"ONZEKER")))))</f>
        <v/>
      </c>
      <c r="V26" t="str">
        <f t="shared" si="128"/>
        <v/>
      </c>
      <c r="W26" t="str">
        <f t="shared" si="129"/>
        <v/>
      </c>
      <c r="X26" t="str">
        <f>IF($W26="","",IF(OR($BK26="",$BL26=""),"ONZEKER",IF(OR($BH26="",$BI26=""),"ONZEKER",IF(AND($BK26=$BH26+1,$BL26=$BI26),IF(OR(COUNTIF(#REF!,$B26)&gt;0,COUNTIF(#REF!,$B26)=0),"SKIP",IF(COUNTIFS(#REF!,$B26,#REF!,$W26)&gt;0,"OK","ONBEKEND")),IF(AND($BK26=$BH26,$BL26=$BI26+1),IF(OR(COUNTIF(#REF!,$D26)&gt;0,COUNTIF(#REF!,$D26)=0),"SKIP",IF(COUNTIFS(#REF!,$D26,#REF!,$W26)&gt;0,"OK","ONBEKEND")),"ONZEKER")))))</f>
        <v/>
      </c>
      <c r="Y26" t="str">
        <f t="shared" si="130"/>
        <v/>
      </c>
      <c r="Z26" t="str">
        <f t="shared" si="131"/>
        <v/>
      </c>
      <c r="AA26" t="str">
        <f>IF($Z26="","",IF(OR($BN26="",$BO26=""),"ONZEKER",IF(OR($BK26="",$BL26=""),"ONZEKER",IF(AND($BN26=$BK26+1,$BO26=$BL26),IF(OR(COUNTIF(#REF!,$B26)&gt;0,COUNTIF(#REF!,$B26)=0),"SKIP",IF(COUNTIFS(#REF!,$B26,#REF!,$Z26)&gt;0,"OK","ONBEKEND")),IF(AND($BN26=$BK26,$BO26=$BL26+1),IF(OR(COUNTIF(#REF!,$D26)&gt;0,COUNTIF(#REF!,$D26)=0),"SKIP",IF(COUNTIFS(#REF!,$D26,#REF!,$Z26)&gt;0,"OK","ONBEKEND")),"ONZEKER")))))</f>
        <v/>
      </c>
      <c r="AB26" t="str">
        <f t="shared" si="132"/>
        <v/>
      </c>
      <c r="AC26" t="str">
        <f t="shared" si="133"/>
        <v/>
      </c>
      <c r="AD26" t="str">
        <f>IF($AC26="","",IF(OR($BQ26="",$BR26=""),"ONZEKER",IF(OR($BN26="",$BO26=""),"ONZEKER",IF(AND($BQ26=$BN26+1,$BR26=$BO26),IF(OR(COUNTIF(#REF!,$B26)&gt;0,COUNTIF(#REF!,$B26)=0),"SKIP",IF(COUNTIFS(#REF!,$B26,#REF!,$AC26)&gt;0,"OK","ONBEKEND")),IF(AND($BQ26=$BN26,$BR26=$BO26+1),IF(OR(COUNTIF(#REF!,$D26)&gt;0,COUNTIF(#REF!,$D26)=0),"SKIP",IF(COUNTIFS(#REF!,$D26,#REF!,$AC26)&gt;0,"OK","ONBEKEND")),"ONZEKER")))))</f>
        <v/>
      </c>
      <c r="AE26" t="str">
        <f t="shared" si="134"/>
        <v/>
      </c>
      <c r="AF26" t="str">
        <f t="shared" si="135"/>
        <v/>
      </c>
      <c r="AG26" t="str">
        <f>IF($AF26="","",IF(OR($BT26="",$BU26=""),"ONZEKER",IF(OR($BQ26="",$BR26=""),"ONZEKER",IF(AND($BT26=$BQ26+1,$BU26=$BR26),IF(OR(COUNTIF(#REF!,$B26)&gt;0,COUNTIF(#REF!,$B26)=0),"SKIP",IF(COUNTIFS(#REF!,$B26,#REF!,$AF26)&gt;0,"OK","ONBEKEND")),IF(AND($BT26=$BQ26,$BU26=$BR26+1),IF(OR(COUNTIF(#REF!,$D26)&gt;0,COUNTIF(#REF!,$D26)=0),"SKIP",IF(COUNTIFS(#REF!,$D26,#REF!,$AF26)&gt;0,"OK","ONBEKEND")),"ONZEKER")))))</f>
        <v/>
      </c>
      <c r="AH26" t="str">
        <f t="shared" si="136"/>
        <v/>
      </c>
      <c r="AI26" t="str">
        <f t="shared" si="137"/>
        <v/>
      </c>
      <c r="AJ26" t="str">
        <f>IF($AI26="","",IF(OR($BW26="",$BX26=""),"ONZEKER",IF(OR($BT26="",$BU26=""),"ONZEKER",IF(AND($BW26=$BT26+1,$BX26=$BU26),IF(OR(COUNTIF(#REF!,$B26)&gt;0,COUNTIF(#REF!,$B26)=0),"SKIP",IF(COUNTIFS(#REF!,$B26,#REF!,$AI26)&gt;0,"OK","ONBEKEND")),IF(AND($BW26=$BT26,$BX26=$BU26+1),IF(OR(COUNTIF(#REF!,$D26)&gt;0,COUNTIF(#REF!,$D26)=0),"SKIP",IF(COUNTIFS(#REF!,$D26,#REF!,$AI26)&gt;0,"OK","ONBEKEND")),"ONZEKER")))))</f>
        <v/>
      </c>
      <c r="AK26" t="str">
        <f t="shared" si="138"/>
        <v/>
      </c>
      <c r="AL26" t="str">
        <f t="shared" si="139"/>
        <v/>
      </c>
      <c r="AM26" t="str">
        <f>IF($AL26="","",IF(OR($BZ26="",$CA26=""),"ONZEKER",IF(OR($BW26="",$BX26=""),"ONZEKER",IF(AND($BZ26=$BW26+1,$CA26=$BX26),IF(OR(COUNTIF(#REF!,$B26)&gt;0,COUNTIF(#REF!,$B26)=0),"SKIP",IF(COUNTIFS(#REF!,$B26,#REF!,$AL26)&gt;0,"OK","ONBEKEND")),IF(AND($BZ26=$BW26,$CA26=$BX26+1),IF(OR(COUNTIF(#REF!,$D26)&gt;0,COUNTIF(#REF!,$D26)=0),"SKIP",IF(COUNTIFS(#REF!,$D26,#REF!,$AL26)&gt;0,"OK","ONBEKEND")),"ONZEKER")))))</f>
        <v/>
      </c>
      <c r="AN26" t="str">
        <f t="shared" si="140"/>
        <v/>
      </c>
      <c r="AO26" t="str">
        <f t="shared" si="141"/>
        <v/>
      </c>
      <c r="AP26" t="str">
        <f>IF($AO26="","",IF(OR($CC26="",$CD26=""),"ONZEKER",IF(OR($BZ26="",$CA26=""),"ONZEKER",IF(AND($CC26=$BZ26+1,$CD26=$CA26),IF(OR(COUNTIF(#REF!,$B26)&gt;0,COUNTIF(#REF!,$B26)=0),"SKIP",IF(COUNTIFS(#REF!,$B26,#REF!,$AO26)&gt;0,"OK","ONBEKEND")),IF(AND($CC26=$BZ26,$CD26=$CA26+1),IF(OR(COUNTIF(#REF!,$D26)&gt;0,COUNTIF(#REF!,$D26)=0),"SKIP",IF(COUNTIFS(#REF!,$D26,#REF!,$AO26)&gt;0,"OK","ONBEKEND")),"ONZEKER")))))</f>
        <v/>
      </c>
      <c r="AQ26" t="str">
        <f t="shared" si="142"/>
        <v/>
      </c>
      <c r="AR26" t="str">
        <f t="shared" si="143"/>
        <v/>
      </c>
      <c r="AS26" t="str">
        <f>IF($AR26="","",IF(OR($CF26="",$CG26=""),"ONZEKER",IF(OR($CC26="",$CD26=""),"ONZEKER",IF(AND($CF26=$CC26+1,$CG26=$CD26),IF(OR(COUNTIF(#REF!,$B26)&gt;0,COUNTIF(#REF!,$B26)=0),"SKIP",IF(COUNTIFS(#REF!,$B26,#REF!,$AR26)&gt;0,"OK","ONBEKEND")),IF(AND($CF26=$CC26,$CG26=$CD26+1),IF(OR(COUNTIF(#REF!,$D26)&gt;0,COUNTIF(#REF!,$D26)=0),"SKIP",IF(COUNTIFS(#REF!,$D26,#REF!,$AR26)&gt;0,"OK","ONBEKEND")),"ONZEKER")))))</f>
        <v/>
      </c>
      <c r="AT26" t="str">
        <f t="shared" si="144"/>
        <v/>
      </c>
      <c r="AU26" t="str">
        <f t="shared" si="145"/>
        <v/>
      </c>
      <c r="AV26" t="str">
        <f t="shared" si="146"/>
        <v/>
      </c>
      <c r="AW26" t="str">
        <f t="shared" si="147"/>
        <v/>
      </c>
      <c r="AX26" t="str">
        <f t="shared" si="148"/>
        <v/>
      </c>
      <c r="AY26" t="str">
        <f t="shared" si="149"/>
        <v/>
      </c>
      <c r="AZ26" t="str">
        <f t="shared" si="150"/>
        <v/>
      </c>
      <c r="BA26" t="str">
        <f t="shared" si="151"/>
        <v/>
      </c>
      <c r="BB26" t="str">
        <f t="shared" si="152"/>
        <v/>
      </c>
      <c r="BC26" t="str">
        <f t="shared" si="153"/>
        <v/>
      </c>
      <c r="BD26" t="str">
        <f t="shared" si="32"/>
        <v/>
      </c>
      <c r="BE26" t="str">
        <f t="shared" si="33"/>
        <v/>
      </c>
      <c r="BF26" t="str">
        <f t="shared" si="34"/>
        <v/>
      </c>
      <c r="BG26" t="str">
        <f t="shared" si="35"/>
        <v/>
      </c>
      <c r="BH26" t="str">
        <f t="shared" si="36"/>
        <v/>
      </c>
      <c r="BI26" t="str">
        <f t="shared" si="37"/>
        <v/>
      </c>
      <c r="BJ26" t="str">
        <f t="shared" si="38"/>
        <v/>
      </c>
      <c r="BK26" t="str">
        <f t="shared" si="39"/>
        <v/>
      </c>
      <c r="BL26" t="str">
        <f t="shared" si="40"/>
        <v/>
      </c>
      <c r="BM26" t="str">
        <f t="shared" si="41"/>
        <v/>
      </c>
      <c r="BN26" t="str">
        <f t="shared" si="42"/>
        <v/>
      </c>
      <c r="BO26" t="str">
        <f t="shared" si="43"/>
        <v/>
      </c>
      <c r="BP26" t="str">
        <f t="shared" si="44"/>
        <v/>
      </c>
      <c r="BQ26" t="str">
        <f t="shared" si="45"/>
        <v/>
      </c>
      <c r="BR26" t="str">
        <f t="shared" si="46"/>
        <v/>
      </c>
      <c r="BS26" t="str">
        <f t="shared" si="47"/>
        <v/>
      </c>
      <c r="BT26" t="str">
        <f t="shared" si="48"/>
        <v/>
      </c>
      <c r="BU26" t="str">
        <f t="shared" si="49"/>
        <v/>
      </c>
      <c r="BV26" t="str">
        <f t="shared" si="50"/>
        <v/>
      </c>
      <c r="BW26" t="str">
        <f t="shared" si="51"/>
        <v/>
      </c>
      <c r="BX26" t="str">
        <f t="shared" si="52"/>
        <v/>
      </c>
      <c r="BY26" t="str">
        <f t="shared" si="53"/>
        <v/>
      </c>
      <c r="BZ26" t="str">
        <f t="shared" si="54"/>
        <v/>
      </c>
      <c r="CA26" t="str">
        <f t="shared" si="55"/>
        <v/>
      </c>
      <c r="CB26" t="str">
        <f t="shared" si="56"/>
        <v/>
      </c>
      <c r="CC26" t="str">
        <f t="shared" si="57"/>
        <v/>
      </c>
      <c r="CD26" t="str">
        <f t="shared" si="58"/>
        <v/>
      </c>
      <c r="CE26" t="str">
        <f t="shared" si="59"/>
        <v/>
      </c>
      <c r="CF26" t="str">
        <f t="shared" si="60"/>
        <v/>
      </c>
      <c r="CG26" t="str">
        <f t="shared" si="61"/>
        <v/>
      </c>
      <c r="CH26" t="str">
        <f t="shared" si="154"/>
        <v/>
      </c>
      <c r="CI26" t="str">
        <f t="shared" si="155"/>
        <v/>
      </c>
      <c r="CJ26" t="str">
        <f>IF($CI26="","",IF(OR($DW26="",$DX26=""),"ONZEKER",IF(OR($CF26="",$CG26=""),"ONZEKER",IF(AND($DW26=$CF26+1,$DX26=$CG26),IF(OR(COUNTIF(#REF!,$B26)&gt;0,COUNTIF(#REF!,$B26)=0),"SKIP",IF(COUNTIFS(#REF!,$B26,#REF!,$CI26)&gt;0,"OK","ONBEKEND")),IF(AND($DW26=$CF26,$DX26=$CG26+1),IF(OR(COUNTIF(#REF!,$D26)&gt;0,COUNTIF(#REF!,$D26)=0),"SKIP",IF(COUNTIFS(#REF!,$D26,#REF!,$CI26)&gt;0,"OK","ONBEKEND")),"ONZEKER")))))</f>
        <v/>
      </c>
      <c r="CK26" t="str">
        <f t="shared" si="156"/>
        <v/>
      </c>
      <c r="CL26" t="str">
        <f t="shared" si="157"/>
        <v/>
      </c>
      <c r="CM26" t="str">
        <f>IF($CL26="","",IF(OR($DZ26="",$EA26=""),"ONZEKER",IF(OR($DW26="",$DX26=""),"ONZEKER",IF(AND($DZ26=$DW26+1,$EA26=$DX26),IF(OR(COUNTIF(#REF!,$B26)&gt;0,COUNTIF(#REF!,$B26)=0),"SKIP",IF(COUNTIFS(#REF!,$B26,#REF!,$CL26)&gt;0,"OK","ONBEKEND")),IF(AND($DZ26=$DW26,$EA26=$DX26+1),IF(OR(COUNTIF(#REF!,$D26)&gt;0,COUNTIF(#REF!,$D26)=0),"SKIP",IF(COUNTIFS(#REF!,$D26,#REF!,$CL26)&gt;0,"OK","ONBEKEND")),"ONZEKER")))))</f>
        <v/>
      </c>
      <c r="CN26" t="str">
        <f t="shared" si="158"/>
        <v/>
      </c>
      <c r="CO26" t="str">
        <f t="shared" si="159"/>
        <v/>
      </c>
      <c r="CP26" t="str">
        <f>IF($CO26="","",IF(OR($EC26="",$ED26=""),"ONZEKER",IF(OR($DZ26="",$EA26=""),"ONZEKER",IF(AND($EC26=$DZ26+1,$ED26=$EA26),IF(OR(COUNTIF(#REF!,$B26)&gt;0,COUNTIF(#REF!,$B26)=0),"SKIP",IF(COUNTIFS(#REF!,$B26,#REF!,$CO26)&gt;0,"OK","ONBEKEND")),IF(AND($EC26=$DZ26,$ED26=$EA26+1),IF(OR(COUNTIF(#REF!,$D26)&gt;0,COUNTIF(#REF!,$D26)=0),"SKIP",IF(COUNTIFS(#REF!,$D26,#REF!,$CO26)&gt;0,"OK","ONBEKEND")),"ONZEKER")))))</f>
        <v/>
      </c>
      <c r="CQ26" t="str">
        <f t="shared" si="160"/>
        <v/>
      </c>
      <c r="CR26" t="str">
        <f t="shared" si="161"/>
        <v/>
      </c>
      <c r="CS26" t="str">
        <f>IF($CR26="","",IF(OR($EF26="",$EG26=""),"ONZEKER",IF(OR($EC26="",$ED26=""),"ONZEKER",IF(AND($EF26=$EC26+1,$EG26=$ED26),IF(OR(COUNTIF(#REF!,$B26)&gt;0,COUNTIF(#REF!,$B26)=0),"SKIP",IF(COUNTIFS(#REF!,$B26,#REF!,$CR26)&gt;0,"OK","ONBEKEND")),IF(AND($EF26=$EC26,$EG26=$ED26+1),IF(OR(COUNTIF(#REF!,$D26)&gt;0,COUNTIF(#REF!,$D26)=0),"SKIP",IF(COUNTIFS(#REF!,$D26,#REF!,$CR26)&gt;0,"OK","ONBEKEND")),"ONZEKER")))))</f>
        <v/>
      </c>
      <c r="CT26" t="str">
        <f t="shared" si="162"/>
        <v/>
      </c>
      <c r="CU26" t="str">
        <f t="shared" si="163"/>
        <v/>
      </c>
      <c r="CV26" t="str">
        <f>IF($CU26="","",IF(OR($EI26="",$EJ26=""),"ONZEKER",IF(OR($EF26="",$EG26=""),"ONZEKER",IF(AND($EI26=$EF26+1,$EJ26=$EG26),IF(OR(COUNTIF(#REF!,$B26)&gt;0,COUNTIF(#REF!,$B26)=0),"SKIP",IF(COUNTIFS(#REF!,$B26,#REF!,$CU26)&gt;0,"OK","ONBEKEND")),IF(AND($EI26=$EF26,$EJ26=$EG26+1),IF(OR(COUNTIF(#REF!,$D26)&gt;0,COUNTIF(#REF!,$D26)=0),"SKIP",IF(COUNTIFS(#REF!,$D26,#REF!,$CU26)&gt;0,"OK","ONBEKEND")),"ONZEKER")))))</f>
        <v/>
      </c>
      <c r="CW26" t="str">
        <f t="shared" si="164"/>
        <v/>
      </c>
      <c r="CX26" t="str">
        <f t="shared" si="165"/>
        <v/>
      </c>
      <c r="CY26" t="str">
        <f>IF($CX26="","",IF(OR($EL26="",$EM26=""),"ONZEKER",IF(OR($EI26="",$EJ26=""),"ONZEKER",IF(AND($EL26=$EI26+1,$EM26=$EJ26),IF(OR(COUNTIF(#REF!,$B26)&gt;0,COUNTIF(#REF!,$B26)=0),"SKIP",IF(COUNTIFS(#REF!,$B26,#REF!,$CX26)&gt;0,"OK","ONBEKEND")),IF(AND($EL26=$EI26,$EM26=$EJ26+1),IF(OR(COUNTIF(#REF!,$D26)&gt;0,COUNTIF(#REF!,$D26)=0),"SKIP",IF(COUNTIFS(#REF!,$D26,#REF!,$CX26)&gt;0,"OK","ONBEKEND")),"ONZEKER")))))</f>
        <v/>
      </c>
      <c r="CZ26" t="str">
        <f t="shared" si="166"/>
        <v/>
      </c>
      <c r="DA26" t="str">
        <f t="shared" si="167"/>
        <v/>
      </c>
      <c r="DB26" t="str">
        <f>IF($DA26="","",IF(OR($EO26="",$EP26=""),"ONZEKER",IF(OR($EL26="",$EM26=""),"ONZEKER",IF(AND($EO26=$EL26+1,$EP26=$EM26),IF(OR(COUNTIF(#REF!,$B26)&gt;0,COUNTIF(#REF!,$B26)=0),"SKIP",IF(COUNTIFS(#REF!,$B26,#REF!,$DA26)&gt;0,"OK","ONBEKEND")),IF(AND($EO26=$EL26,$EP26=$EM26+1),IF(OR(COUNTIF(#REF!,$D26)&gt;0,COUNTIF(#REF!,$D26)=0),"SKIP",IF(COUNTIFS(#REF!,$D26,#REF!,$DA26)&gt;0,"OK","ONBEKEND")),"ONZEKER")))))</f>
        <v/>
      </c>
      <c r="DC26" t="str">
        <f t="shared" si="168"/>
        <v/>
      </c>
      <c r="DD26" t="str">
        <f t="shared" si="169"/>
        <v/>
      </c>
      <c r="DE26" t="str">
        <f>IF($DD26="","",IF(OR($ER26="",$ES26=""),"ONZEKER",IF(OR($EO26="",$EP26=""),"ONZEKER",IF(AND($ER26=$EO26+1,$ES26=$EP26),IF(OR(COUNTIF(#REF!,$B26)&gt;0,COUNTIF(#REF!,$B26)=0),"SKIP",IF(COUNTIFS(#REF!,$B26,#REF!,$DD26)&gt;0,"OK","ONBEKEND")),IF(AND($ER26=$EO26,$ES26=$EP26+1),IF(OR(COUNTIF(#REF!,$D26)&gt;0,COUNTIF(#REF!,$D26)=0),"SKIP",IF(COUNTIFS(#REF!,$D26,#REF!,$DD26)&gt;0,"OK","ONBEKEND")),"ONZEKER")))))</f>
        <v/>
      </c>
      <c r="DF26" t="str">
        <f t="shared" si="170"/>
        <v/>
      </c>
      <c r="DG26" t="str">
        <f t="shared" si="171"/>
        <v/>
      </c>
      <c r="DH26" t="str">
        <f>IF($DG26="","",IF(OR($EU26="",$EV26=""),"ONZEKER",IF(OR($ER26="",$ES26=""),"ONZEKER",IF(AND($EU26=$ER26+1,$EV26=$ES26),IF(OR(COUNTIF(#REF!,$B26)&gt;0,COUNTIF(#REF!,$B26)=0),"SKIP",IF(COUNTIFS(#REF!,$B26,#REF!,$DG26)&gt;0,"OK","ONBEKEND")),IF(AND($EU26=$ER26,$EV26=$ES26+1),IF(OR(COUNTIF(#REF!,$D26)&gt;0,COUNTIF(#REF!,$D26)=0),"SKIP",IF(COUNTIFS(#REF!,$D26,#REF!,$DG26)&gt;0,"OK","ONBEKEND")),"ONZEKER")))))</f>
        <v/>
      </c>
      <c r="DI26" t="str">
        <f t="shared" si="172"/>
        <v/>
      </c>
      <c r="DJ26" t="str">
        <f t="shared" si="173"/>
        <v/>
      </c>
      <c r="DK26" t="str">
        <f>IF($DJ26="","",IF(OR($EX26="",$EY26=""),"ONZEKER",IF(OR($EU26="",$EV26=""),"ONZEKER",IF(AND($EX26=$EU26+1,$EY26=$EV26),IF(OR(COUNTIF(#REF!,$B26)&gt;0,COUNTIF(#REF!,$B26)=0),"SKIP",IF(COUNTIFS(#REF!,$B26,#REF!,$DJ26)&gt;0,"OK","ONBEKEND")),IF(AND($EX26=$EU26,$EY26=$EV26+1),IF(OR(COUNTIF(#REF!,$D26)&gt;0,COUNTIF(#REF!,$D26)=0),"SKIP",IF(COUNTIFS(#REF!,$D26,#REF!,$DJ26)&gt;0,"OK","ONBEKEND")),"ONZEKER")))))</f>
        <v/>
      </c>
      <c r="DL26" t="str">
        <f t="shared" si="174"/>
        <v/>
      </c>
      <c r="DM26" t="str">
        <f t="shared" si="175"/>
        <v/>
      </c>
      <c r="DN26" t="str">
        <f t="shared" si="176"/>
        <v/>
      </c>
      <c r="DO26" t="str">
        <f t="shared" si="177"/>
        <v/>
      </c>
      <c r="DP26" t="str">
        <f t="shared" si="178"/>
        <v/>
      </c>
      <c r="DQ26" t="str">
        <f t="shared" si="179"/>
        <v/>
      </c>
      <c r="DR26" t="str">
        <f t="shared" si="180"/>
        <v/>
      </c>
      <c r="DS26" t="str">
        <f t="shared" si="181"/>
        <v/>
      </c>
      <c r="DT26" t="str">
        <f t="shared" si="182"/>
        <v/>
      </c>
      <c r="DU26" t="str">
        <f t="shared" si="183"/>
        <v/>
      </c>
      <c r="DV26" t="str">
        <f t="shared" si="184"/>
        <v/>
      </c>
      <c r="DW26" t="str">
        <f t="shared" si="185"/>
        <v/>
      </c>
      <c r="DX26" t="str">
        <f t="shared" si="186"/>
        <v/>
      </c>
      <c r="DY26" t="str">
        <f t="shared" si="187"/>
        <v/>
      </c>
      <c r="DZ26" t="str">
        <f t="shared" si="188"/>
        <v/>
      </c>
      <c r="EA26" t="str">
        <f t="shared" si="189"/>
        <v/>
      </c>
      <c r="EB26" t="str">
        <f t="shared" si="190"/>
        <v/>
      </c>
      <c r="EC26" t="str">
        <f t="shared" si="191"/>
        <v/>
      </c>
      <c r="ED26" t="str">
        <f t="shared" si="192"/>
        <v/>
      </c>
      <c r="EE26" t="str">
        <f t="shared" si="193"/>
        <v/>
      </c>
      <c r="EF26" t="str">
        <f t="shared" si="194"/>
        <v/>
      </c>
      <c r="EG26" t="str">
        <f t="shared" si="195"/>
        <v/>
      </c>
      <c r="EH26" t="str">
        <f t="shared" si="196"/>
        <v/>
      </c>
      <c r="EI26" t="str">
        <f t="shared" si="197"/>
        <v/>
      </c>
      <c r="EJ26" t="str">
        <f t="shared" si="198"/>
        <v/>
      </c>
      <c r="EK26" t="str">
        <f t="shared" si="199"/>
        <v/>
      </c>
      <c r="EL26" t="str">
        <f t="shared" si="200"/>
        <v/>
      </c>
      <c r="EM26" t="str">
        <f t="shared" si="201"/>
        <v/>
      </c>
      <c r="EN26" t="str">
        <f t="shared" si="202"/>
        <v/>
      </c>
      <c r="EO26" t="str">
        <f t="shared" si="203"/>
        <v/>
      </c>
      <c r="EP26" t="str">
        <f t="shared" si="204"/>
        <v/>
      </c>
      <c r="EQ26" t="str">
        <f t="shared" si="205"/>
        <v/>
      </c>
      <c r="ER26" t="str">
        <f t="shared" si="206"/>
        <v/>
      </c>
      <c r="ES26" t="str">
        <f t="shared" si="207"/>
        <v/>
      </c>
      <c r="ET26" t="str">
        <f t="shared" si="208"/>
        <v/>
      </c>
      <c r="EU26" t="str">
        <f t="shared" si="209"/>
        <v/>
      </c>
      <c r="EV26" t="str">
        <f t="shared" si="210"/>
        <v/>
      </c>
      <c r="EW26" t="str">
        <f t="shared" si="211"/>
        <v/>
      </c>
      <c r="EX26" t="str">
        <f t="shared" si="212"/>
        <v/>
      </c>
      <c r="EY26" t="str">
        <f t="shared" si="213"/>
        <v/>
      </c>
    </row>
    <row r="27" spans="1:155" s="12" customFormat="1" ht="13.9" customHeight="1" x14ac:dyDescent="0.25">
      <c r="A27" s="14"/>
      <c r="B27" s="20" t="s">
        <v>149</v>
      </c>
      <c r="C27" s="21"/>
      <c r="D27" s="21"/>
      <c r="E27" s="21"/>
      <c r="F27" s="31" t="s">
        <v>1</v>
      </c>
      <c r="G27" s="33"/>
      <c r="H27" s="33"/>
      <c r="I27" s="32" t="s">
        <v>2</v>
      </c>
      <c r="J27" s="33"/>
      <c r="K27" s="33"/>
      <c r="L27" s="10" t="s">
        <v>3</v>
      </c>
      <c r="M27" s="11" t="s">
        <v>4</v>
      </c>
      <c r="N27" s="11" t="s">
        <v>5</v>
      </c>
      <c r="O27" s="11" t="s">
        <v>6</v>
      </c>
      <c r="P27" s="11" t="s">
        <v>7</v>
      </c>
      <c r="Q27" s="11" t="s">
        <v>8</v>
      </c>
      <c r="R27" s="11" t="str">
        <f>IF($Q27="","",IF(OR($BE27="",$BF27=""),"ONZEKER",IF(AND($BE27=0+1,$BF27=0),IF(OR(COUNTIF(#REF!,$B27)&gt;0,COUNTIF(#REF!,$B27)=0),"SKIP",IF(COUNTIFS(#REF!,$B27,#REF!,$Q27)&gt;0,"OK","ONBEKEND")),IF(AND($BE27=0,$BF27=0+1),IF(OR(COUNTIF(#REF!,$D27)&gt;0,COUNTIF(#REF!,$D27)=0),"SKIP",IF(COUNTIFS(#REF!,$D27,#REF!,$Q27)&gt;0,"OK","ONBEKEND")),"ONZEKER"))))</f>
        <v>ONZEKER</v>
      </c>
      <c r="S27" s="11" t="s">
        <v>10</v>
      </c>
      <c r="T27" s="11" t="s">
        <v>11</v>
      </c>
      <c r="U27" s="11" t="str">
        <f>IF($T27="","",IF(OR($BH27="",$BI27=""),"ONZEKER",IF(OR($BE27="",$BF27=""),"ONZEKER",IF(AND($BH27=$BE27+1,$BI27=$BF27),IF(OR(COUNTIF(#REF!,$B27)&gt;0,COUNTIF(#REF!,$B27)=0),"SKIP",IF(COUNTIFS(#REF!,$B27,#REF!,$T27)&gt;0,"OK","ONBEKEND")),IF(AND($BH27=$BE27,$BI27=$BF27+1),IF(OR(COUNTIF(#REF!,$D27)&gt;0,COUNTIF(#REF!,$D27)=0),"SKIP",IF(COUNTIFS(#REF!,$D27,#REF!,$T27)&gt;0,"OK","ONBEKEND")),"ONZEKER")))))</f>
        <v>ONZEKER</v>
      </c>
      <c r="V27" s="11" t="s">
        <v>13</v>
      </c>
      <c r="W27" s="11" t="s">
        <v>14</v>
      </c>
      <c r="X27" s="11" t="str">
        <f>IF($W27="","",IF(OR($BK27="",$BL27=""),"ONZEKER",IF(OR($BH27="",$BI27=""),"ONZEKER",IF(AND($BK27=$BH27+1,$BL27=$BI27),IF(OR(COUNTIF(#REF!,$B27)&gt;0,COUNTIF(#REF!,$B27)=0),"SKIP",IF(COUNTIFS(#REF!,$B27,#REF!,$W27)&gt;0,"OK","ONBEKEND")),IF(AND($BK27=$BH27,$BL27=$BI27+1),IF(OR(COUNTIF(#REF!,$D27)&gt;0,COUNTIF(#REF!,$D27)=0),"SKIP",IF(COUNTIFS(#REF!,$D27,#REF!,$W27)&gt;0,"OK","ONBEKEND")),"ONZEKER")))))</f>
        <v>ONZEKER</v>
      </c>
      <c r="Y27" s="11" t="s">
        <v>16</v>
      </c>
      <c r="Z27" s="11" t="s">
        <v>17</v>
      </c>
      <c r="AA27" s="11" t="str">
        <f>IF($Z27="","",IF(OR($BN27="",$BO27=""),"ONZEKER",IF(OR($BK27="",$BL27=""),"ONZEKER",IF(AND($BN27=$BK27+1,$BO27=$BL27),IF(OR(COUNTIF(#REF!,$B27)&gt;0,COUNTIF(#REF!,$B27)=0),"SKIP",IF(COUNTIFS(#REF!,$B27,#REF!,$Z27)&gt;0,"OK","ONBEKEND")),IF(AND($BN27=$BK27,$BO27=$BL27+1),IF(OR(COUNTIF(#REF!,$D27)&gt;0,COUNTIF(#REF!,$D27)=0),"SKIP",IF(COUNTIFS(#REF!,$D27,#REF!,$Z27)&gt;0,"OK","ONBEKEND")),"ONZEKER")))))</f>
        <v>ONZEKER</v>
      </c>
      <c r="AB27" s="11" t="s">
        <v>19</v>
      </c>
      <c r="AC27" s="11" t="s">
        <v>20</v>
      </c>
      <c r="AD27" s="11" t="str">
        <f>IF($AC27="","",IF(OR($BQ27="",$BR27=""),"ONZEKER",IF(OR($BN27="",$BO27=""),"ONZEKER",IF(AND($BQ27=$BN27+1,$BR27=$BO27),IF(OR(COUNTIF(#REF!,$B27)&gt;0,COUNTIF(#REF!,$B27)=0),"SKIP",IF(COUNTIFS(#REF!,$B27,#REF!,$AC27)&gt;0,"OK","ONBEKEND")),IF(AND($BQ27=$BN27,$BR27=$BO27+1),IF(OR(COUNTIF(#REF!,$D27)&gt;0,COUNTIF(#REF!,$D27)=0),"SKIP",IF(COUNTIFS(#REF!,$D27,#REF!,$AC27)&gt;0,"OK","ONBEKEND")),"ONZEKER")))))</f>
        <v>ONZEKER</v>
      </c>
      <c r="AE27" s="11" t="s">
        <v>22</v>
      </c>
      <c r="AF27" s="11" t="s">
        <v>23</v>
      </c>
      <c r="AG27" s="11" t="str">
        <f>IF($AF27="","",IF(OR($BT27="",$BU27=""),"ONZEKER",IF(OR($BQ27="",$BR27=""),"ONZEKER",IF(AND($BT27=$BQ27+1,$BU27=$BR27),IF(OR(COUNTIF(#REF!,$B27)&gt;0,COUNTIF(#REF!,$B27)=0),"SKIP",IF(COUNTIFS(#REF!,$B27,#REF!,$AF27)&gt;0,"OK","ONBEKEND")),IF(AND($BT27=$BQ27,$BU27=$BR27+1),IF(OR(COUNTIF(#REF!,$D27)&gt;0,COUNTIF(#REF!,$D27)=0),"SKIP",IF(COUNTIFS(#REF!,$D27,#REF!,$AF27)&gt;0,"OK","ONBEKEND")),"ONZEKER")))))</f>
        <v>ONZEKER</v>
      </c>
      <c r="AH27" s="11" t="s">
        <v>25</v>
      </c>
      <c r="AI27" s="11" t="s">
        <v>26</v>
      </c>
      <c r="AJ27" s="11" t="str">
        <f>IF($AI27="","",IF(OR($BW27="",$BX27=""),"ONZEKER",IF(OR($BT27="",$BU27=""),"ONZEKER",IF(AND($BW27=$BT27+1,$BX27=$BU27),IF(OR(COUNTIF(#REF!,$B27)&gt;0,COUNTIF(#REF!,$B27)=0),"SKIP",IF(COUNTIFS(#REF!,$B27,#REF!,$AI27)&gt;0,"OK","ONBEKEND")),IF(AND($BW27=$BT27,$BX27=$BU27+1),IF(OR(COUNTIF(#REF!,$D27)&gt;0,COUNTIF(#REF!,$D27)=0),"SKIP",IF(COUNTIFS(#REF!,$D27,#REF!,$AI27)&gt;0,"OK","ONBEKEND")),"ONZEKER")))))</f>
        <v>ONZEKER</v>
      </c>
      <c r="AK27" s="11" t="s">
        <v>28</v>
      </c>
      <c r="AL27" s="11" t="s">
        <v>29</v>
      </c>
      <c r="AM27" s="11" t="str">
        <f>IF($AL27="","",IF(OR($BZ27="",$CA27=""),"ONZEKER",IF(OR($BW27="",$BX27=""),"ONZEKER",IF(AND($BZ27=$BW27+1,$CA27=$BX27),IF(OR(COUNTIF(#REF!,$B27)&gt;0,COUNTIF(#REF!,$B27)=0),"SKIP",IF(COUNTIFS(#REF!,$B27,#REF!,$AL27)&gt;0,"OK","ONBEKEND")),IF(AND($BZ27=$BW27,$CA27=$BX27+1),IF(OR(COUNTIF(#REF!,$D27)&gt;0,COUNTIF(#REF!,$D27)=0),"SKIP",IF(COUNTIFS(#REF!,$D27,#REF!,$AL27)&gt;0,"OK","ONBEKEND")),"ONZEKER")))))</f>
        <v>ONZEKER</v>
      </c>
      <c r="AN27" s="11" t="s">
        <v>31</v>
      </c>
      <c r="AO27" s="11" t="s">
        <v>32</v>
      </c>
      <c r="AP27" s="11" t="str">
        <f>IF($AO27="","",IF(OR($CC27="",$CD27=""),"ONZEKER",IF(OR($BZ27="",$CA27=""),"ONZEKER",IF(AND($CC27=$BZ27+1,$CD27=$CA27),IF(OR(COUNTIF(#REF!,$B27)&gt;0,COUNTIF(#REF!,$B27)=0),"SKIP",IF(COUNTIFS(#REF!,$B27,#REF!,$AO27)&gt;0,"OK","ONBEKEND")),IF(AND($CC27=$BZ27,$CD27=$CA27+1),IF(OR(COUNTIF(#REF!,$D27)&gt;0,COUNTIF(#REF!,$D27)=0),"SKIP",IF(COUNTIFS(#REF!,$D27,#REF!,$AO27)&gt;0,"OK","ONBEKEND")),"ONZEKER")))))</f>
        <v>ONZEKER</v>
      </c>
      <c r="AQ27" s="11" t="s">
        <v>34</v>
      </c>
      <c r="AR27" s="11" t="s">
        <v>35</v>
      </c>
      <c r="AS27" s="11" t="str">
        <f>IF($AR27="","",IF(OR($CF27="",$CG27=""),"ONZEKER",IF(OR($CC27="",$CD27=""),"ONZEKER",IF(AND($CF27=$CC27+1,$CG27=$CD27),IF(OR(COUNTIF(#REF!,$B27)&gt;0,COUNTIF(#REF!,$B27)=0),"SKIP",IF(COUNTIFS(#REF!,$B27,#REF!,$AR27)&gt;0,"OK","ONBEKEND")),IF(AND($CF27=$CC27,$CG27=$CD27+1),IF(OR(COUNTIF(#REF!,$D27)&gt;0,COUNTIF(#REF!,$D27)=0),"SKIP",IF(COUNTIFS(#REF!,$D27,#REF!,$AR27)&gt;0,"OK","ONBEKEND")),"ONZEKER")))))</f>
        <v>ONZEKER</v>
      </c>
      <c r="AT27" s="11" t="s">
        <v>37</v>
      </c>
      <c r="AU27" s="11" t="s">
        <v>38</v>
      </c>
      <c r="AV27" s="11" t="s">
        <v>39</v>
      </c>
      <c r="AW27" s="11" t="s">
        <v>40</v>
      </c>
      <c r="AX27" s="11" t="s">
        <v>41</v>
      </c>
      <c r="AY27" s="11" t="s">
        <v>42</v>
      </c>
      <c r="AZ27" s="11" t="s">
        <v>43</v>
      </c>
      <c r="BA27" s="11" t="s">
        <v>44</v>
      </c>
      <c r="BB27" s="11" t="s">
        <v>45</v>
      </c>
      <c r="BC27" s="11" t="s">
        <v>46</v>
      </c>
      <c r="BD27" s="12" t="str">
        <f t="shared" si="32"/>
        <v/>
      </c>
      <c r="BE27" s="12" t="str">
        <f t="shared" si="33"/>
        <v/>
      </c>
      <c r="BF27" s="12" t="str">
        <f t="shared" si="34"/>
        <v/>
      </c>
      <c r="BG27" s="12" t="str">
        <f t="shared" si="35"/>
        <v/>
      </c>
      <c r="BH27" s="12" t="str">
        <f t="shared" si="36"/>
        <v/>
      </c>
      <c r="BI27" s="12" t="str">
        <f t="shared" si="37"/>
        <v/>
      </c>
      <c r="BJ27" s="12" t="str">
        <f t="shared" si="38"/>
        <v/>
      </c>
      <c r="BK27" s="12" t="str">
        <f t="shared" si="39"/>
        <v/>
      </c>
      <c r="BL27" s="12" t="str">
        <f t="shared" si="40"/>
        <v/>
      </c>
      <c r="BM27" s="12" t="str">
        <f t="shared" si="41"/>
        <v/>
      </c>
      <c r="BN27" s="12" t="str">
        <f t="shared" si="42"/>
        <v/>
      </c>
      <c r="BO27" s="12" t="str">
        <f t="shared" si="43"/>
        <v/>
      </c>
      <c r="BP27" s="12" t="str">
        <f t="shared" si="44"/>
        <v/>
      </c>
      <c r="BQ27" s="12" t="str">
        <f t="shared" si="45"/>
        <v/>
      </c>
      <c r="BR27" s="12" t="str">
        <f t="shared" si="46"/>
        <v/>
      </c>
      <c r="BS27" s="12" t="str">
        <f t="shared" si="47"/>
        <v/>
      </c>
      <c r="BT27" s="12" t="str">
        <f t="shared" si="48"/>
        <v/>
      </c>
      <c r="BU27" s="12" t="str">
        <f t="shared" si="49"/>
        <v/>
      </c>
      <c r="BV27" s="12" t="str">
        <f t="shared" si="50"/>
        <v/>
      </c>
      <c r="BW27" s="12" t="str">
        <f t="shared" si="51"/>
        <v/>
      </c>
      <c r="BX27" s="12" t="str">
        <f t="shared" si="52"/>
        <v/>
      </c>
      <c r="BY27" s="12" t="str">
        <f t="shared" si="53"/>
        <v/>
      </c>
      <c r="BZ27" s="12" t="str">
        <f t="shared" si="54"/>
        <v/>
      </c>
      <c r="CA27" s="12" t="str">
        <f t="shared" si="55"/>
        <v/>
      </c>
      <c r="CB27" s="12" t="str">
        <f t="shared" si="56"/>
        <v/>
      </c>
      <c r="CC27" s="12" t="str">
        <f t="shared" si="57"/>
        <v/>
      </c>
      <c r="CD27" s="12" t="str">
        <f t="shared" si="58"/>
        <v/>
      </c>
      <c r="CE27" s="12" t="str">
        <f t="shared" si="59"/>
        <v/>
      </c>
      <c r="CF27" s="12" t="str">
        <f t="shared" si="60"/>
        <v/>
      </c>
      <c r="CG27" s="12" t="str">
        <f t="shared" si="61"/>
        <v/>
      </c>
      <c r="CH27" s="2" t="s">
        <v>77</v>
      </c>
      <c r="CI27" s="2" t="s">
        <v>78</v>
      </c>
      <c r="CJ27" s="2" t="s">
        <v>79</v>
      </c>
      <c r="CK27" s="2" t="s">
        <v>80</v>
      </c>
      <c r="CL27" s="2" t="s">
        <v>81</v>
      </c>
      <c r="CM27" s="2" t="s">
        <v>82</v>
      </c>
      <c r="CN27" s="2" t="s">
        <v>83</v>
      </c>
      <c r="CO27" s="2" t="s">
        <v>84</v>
      </c>
      <c r="CP27" s="2" t="s">
        <v>85</v>
      </c>
      <c r="CQ27" s="2" t="s">
        <v>86</v>
      </c>
      <c r="CR27" s="2" t="s">
        <v>87</v>
      </c>
      <c r="CS27" s="2" t="s">
        <v>88</v>
      </c>
      <c r="CT27" s="2" t="s">
        <v>89</v>
      </c>
      <c r="CU27" s="2" t="s">
        <v>90</v>
      </c>
      <c r="CV27" s="2" t="s">
        <v>91</v>
      </c>
      <c r="CW27" s="2" t="s">
        <v>92</v>
      </c>
      <c r="CX27" s="2" t="s">
        <v>93</v>
      </c>
      <c r="CY27" s="2" t="s">
        <v>94</v>
      </c>
      <c r="CZ27" s="2" t="s">
        <v>95</v>
      </c>
      <c r="DA27" s="2" t="s">
        <v>96</v>
      </c>
      <c r="DB27" s="2" t="s">
        <v>97</v>
      </c>
      <c r="DC27" s="2" t="s">
        <v>98</v>
      </c>
      <c r="DD27" s="2" t="s">
        <v>99</v>
      </c>
      <c r="DE27" s="2" t="s">
        <v>100</v>
      </c>
      <c r="DF27" s="2" t="s">
        <v>101</v>
      </c>
      <c r="DG27" s="2" t="s">
        <v>102</v>
      </c>
      <c r="DH27" s="2" t="s">
        <v>103</v>
      </c>
      <c r="DI27" s="2" t="s">
        <v>104</v>
      </c>
      <c r="DJ27" s="2" t="s">
        <v>105</v>
      </c>
      <c r="DK27" s="2" t="s">
        <v>106</v>
      </c>
      <c r="DL27" s="2" t="s">
        <v>107</v>
      </c>
      <c r="DM27" s="2" t="s">
        <v>108</v>
      </c>
      <c r="DN27" s="2" t="s">
        <v>109</v>
      </c>
      <c r="DO27" s="2" t="s">
        <v>110</v>
      </c>
      <c r="DP27" s="2" t="s">
        <v>111</v>
      </c>
      <c r="DQ27" s="2" t="s">
        <v>112</v>
      </c>
      <c r="DR27" s="2" t="s">
        <v>113</v>
      </c>
      <c r="DS27" s="2" t="s">
        <v>114</v>
      </c>
      <c r="DT27" s="2" t="s">
        <v>115</v>
      </c>
      <c r="DU27" s="2" t="s">
        <v>116</v>
      </c>
      <c r="DV27" s="2" t="s">
        <v>117</v>
      </c>
      <c r="DW27" s="2" t="s">
        <v>118</v>
      </c>
      <c r="DX27" s="2" t="s">
        <v>119</v>
      </c>
      <c r="DY27" s="2" t="s">
        <v>120</v>
      </c>
      <c r="DZ27" s="2" t="s">
        <v>121</v>
      </c>
      <c r="EA27" s="2" t="s">
        <v>122</v>
      </c>
      <c r="EB27" s="2" t="s">
        <v>123</v>
      </c>
      <c r="EC27" s="2" t="s">
        <v>124</v>
      </c>
      <c r="ED27" s="2" t="s">
        <v>125</v>
      </c>
      <c r="EE27" s="2" t="s">
        <v>126</v>
      </c>
      <c r="EF27" s="2" t="s">
        <v>127</v>
      </c>
      <c r="EG27" s="2" t="s">
        <v>128</v>
      </c>
      <c r="EH27" s="2" t="s">
        <v>129</v>
      </c>
      <c r="EI27" s="2" t="s">
        <v>130</v>
      </c>
      <c r="EJ27" s="2" t="s">
        <v>131</v>
      </c>
      <c r="EK27" s="2" t="s">
        <v>132</v>
      </c>
      <c r="EL27" s="2" t="s">
        <v>133</v>
      </c>
      <c r="EM27" s="2" t="s">
        <v>134</v>
      </c>
      <c r="EN27" s="2" t="s">
        <v>135</v>
      </c>
      <c r="EO27" s="2" t="s">
        <v>136</v>
      </c>
      <c r="EP27" s="2" t="s">
        <v>137</v>
      </c>
      <c r="EQ27" s="2" t="s">
        <v>138</v>
      </c>
      <c r="ER27" s="2" t="s">
        <v>139</v>
      </c>
      <c r="ES27" s="2" t="s">
        <v>140</v>
      </c>
      <c r="ET27" s="2" t="s">
        <v>141</v>
      </c>
      <c r="EU27" s="2" t="s">
        <v>142</v>
      </c>
      <c r="EV27" s="2" t="s">
        <v>143</v>
      </c>
      <c r="EW27" s="2" t="s">
        <v>144</v>
      </c>
      <c r="EX27" s="2" t="s">
        <v>145</v>
      </c>
      <c r="EY27" s="2" t="s">
        <v>146</v>
      </c>
    </row>
    <row r="28" spans="1:155" ht="13.9" customHeight="1" x14ac:dyDescent="0.25">
      <c r="A28" s="7"/>
      <c r="B28" s="17"/>
      <c r="C28" s="8"/>
      <c r="D28" s="17"/>
      <c r="E28" s="8"/>
      <c r="F28" s="18">
        <v>0</v>
      </c>
      <c r="G28" s="7" t="s">
        <v>147</v>
      </c>
      <c r="H28" s="18">
        <v>0</v>
      </c>
      <c r="I28" s="19">
        <v>0</v>
      </c>
      <c r="J28" s="7" t="s">
        <v>147</v>
      </c>
      <c r="K28" s="19">
        <v>0</v>
      </c>
      <c r="L28" s="9"/>
      <c r="M28" s="3" t="str">
        <f>IF($L28="","",IF($L28="DOELPUNTENMAKERS","",IF(AND(COUNTIF(#REF!,$B28)=0,COUNTIF(#REF!,$D28)=0),"OK",IF($O28&gt;20,"LET OP: meer dan 20 items (controle onvolledig)",IF((COUNTIF($R28:$AS28,"ONZEKER")+COUNTIF($CJ28:$DK28,"ONZEKER"))&gt;0,"LET OP: scoreverloop onduidelijk (controle beperkt)",IF((IF($AT28&lt;&gt;"",$AT28&amp;", ","")&amp;IF($AU28&lt;&gt;"",$AU28&amp;", ","")&amp;IF($AV28&lt;&gt;"",$AV28&amp;", ","")&amp;IF($AW28&lt;&gt;"",$AW28&amp;", ","")&amp;IF($AX28&lt;&gt;"",$AX28&amp;", ","")&amp;IF($AY28&lt;&gt;"",$AY28&amp;", ","")&amp;IF($AZ28&lt;&gt;"",$AZ28&amp;", ","")&amp;IF($BA28&lt;&gt;"",$BA28&amp;", ","")&amp;IF($BB28&lt;&gt;"",$BB28&amp;", ","")&amp;IF($BC28&lt;&gt;"",$BC28&amp;", ","")&amp;IF($DL28&lt;&gt;"",$DL28&amp;", ","")&amp;IF($DM28&lt;&gt;"",$DM28&amp;", ","")&amp;IF($DN28&lt;&gt;"",$DN28&amp;", ","")&amp;IF($DO28&lt;&gt;"",$DO28&amp;", ","")&amp;IF($DP28&lt;&gt;"",$DP28&amp;", ","")&amp;IF($DQ28&lt;&gt;"",$DQ28&amp;", ","")&amp;IF($DR28&lt;&gt;"",$DR28&amp;", ","")&amp;IF($DS28&lt;&gt;"",$DS28&amp;", ","")&amp;IF($DT28&lt;&gt;"",$DT28&amp;", ","")&amp;IF($DU28&lt;&gt;"",$DU28&amp;", ",""))="","OK","Onbekend: "&amp;LEFT((IF($AT28&lt;&gt;"",$AT28&amp;", ","")&amp;IF($AU28&lt;&gt;"",$AU28&amp;", ","")&amp;IF($AV28&lt;&gt;"",$AV28&amp;", ","")&amp;IF($AW28&lt;&gt;"",$AW28&amp;", ","")&amp;IF($AX28&lt;&gt;"",$AX28&amp;", ","")&amp;IF($AY28&lt;&gt;"",$AY28&amp;", ","")&amp;IF($AZ28&lt;&gt;"",$AZ28&amp;", ","")&amp;IF($BA28&lt;&gt;"",$BA28&amp;", ","")&amp;IF($BB28&lt;&gt;"",$BB28&amp;", ","")&amp;IF($BC28&lt;&gt;"",$BC28&amp;", ","")&amp;IF($DL28&lt;&gt;"",$DL28&amp;", ","")&amp;IF($DM28&lt;&gt;"",$DM28&amp;", ","")&amp;IF($DN28&lt;&gt;"",$DN28&amp;", ","")&amp;IF($DO28&lt;&gt;"",$DO28&amp;", ","")&amp;IF($DP28&lt;&gt;"",$DP28&amp;", ","")&amp;IF($DQ28&lt;&gt;"",$DQ28&amp;", ","")&amp;IF($DR28&lt;&gt;"",$DR28&amp;", ","")&amp;IF($DS28&lt;&gt;"",$DS28&amp;", ","")&amp;IF($DT28&lt;&gt;"",$DT28&amp;", ","")&amp;IF($DU28&lt;&gt;"",$DU28&amp;", ","")),LEN((IF($AT28&lt;&gt;"",$AT28&amp;", ","")&amp;IF($AU28&lt;&gt;"",$AU28&amp;", ","")&amp;IF($AV28&lt;&gt;"",$AV28&amp;", ","")&amp;IF($AW28&lt;&gt;"",$AW28&amp;", ","")&amp;IF($AX28&lt;&gt;"",$AX28&amp;", ","")&amp;IF($AY28&lt;&gt;"",$AY28&amp;", ","")&amp;IF($AZ28&lt;&gt;"",$AZ28&amp;", ","")&amp;IF($BA28&lt;&gt;"",$BA28&amp;", ","")&amp;IF($BB28&lt;&gt;"",$BB28&amp;", ","")&amp;IF($BC28&lt;&gt;"",$BC28&amp;", ","")&amp;IF($DL28&lt;&gt;"",$DL28&amp;", ","")&amp;IF($DM28&lt;&gt;"",$DM28&amp;", ","")&amp;IF($DN28&lt;&gt;"",$DN28&amp;", ","")&amp;IF($DO28&lt;&gt;"",$DO28&amp;", ","")&amp;IF($DP28&lt;&gt;"",$DP28&amp;", ","")&amp;IF($DQ28&lt;&gt;"",$DQ28&amp;", ","")&amp;IF($DR28&lt;&gt;"",$DR28&amp;", ","")&amp;IF($DS28&lt;&gt;"",$DS28&amp;", ","")&amp;IF($DT28&lt;&gt;"",$DT28&amp;", ","")&amp;IF($DU28&lt;&gt;"",$DU28&amp;", ","")))-2)))))))</f>
        <v/>
      </c>
      <c r="N28" t="str">
        <f t="shared" ref="N28:N39" si="214">IF($L28="","",TRIM(IF(RIGHT(SUBSTITUTE($L28,CHAR(160)," "),1)=".",LEFT(SUBSTITUTE($L28,CHAR(160)," "),LEN(SUBSTITUTE($L28,CHAR(160)," "))-1),SUBSTITUTE($L28,CHAR(160)," "))))</f>
        <v/>
      </c>
      <c r="O28" t="str">
        <f t="shared" ref="O28:O39" si="215">IF($N28="","",LEN($N28)-LEN(SUBSTITUTE($N28,",",""))+1)</f>
        <v/>
      </c>
      <c r="P28" t="str">
        <f t="shared" ref="P28:P39" si="216">IF($N28="","",TRIM(MID(SUBSTITUTE($N28,",",REPT(" ",200)),1,200)))</f>
        <v/>
      </c>
      <c r="Q28" t="str">
        <f t="shared" ref="Q28:Q39" si="217">IF(P28="","",TRIM(IFERROR(LEFT(P28,FIND("§",SUBSTITUTE(P28," ","§",LEN(P28)-LEN(SUBSTITUTE(P28," ",""))))-1),P28)))</f>
        <v/>
      </c>
      <c r="R28" t="str">
        <f>IF($Q28="","",IF(OR($BE28="",$BF28=""),"ONZEKER",IF(AND($BE28=0+1,$BF28=0),IF(OR(COUNTIF(#REF!,$B28)&gt;0,COUNTIF(#REF!,$B28)=0),"SKIP",IF(COUNTIFS(#REF!,$B28,#REF!,$Q28)&gt;0,"OK","ONBEKEND")),IF(AND($BE28=0,$BF28=0+1),IF(OR(COUNTIF(#REF!,$D28)&gt;0,COUNTIF(#REF!,$D28)=0),"SKIP",IF(COUNTIFS(#REF!,$D28,#REF!,$Q28)&gt;0,"OK","ONBEKEND")),"ONZEKER"))))</f>
        <v/>
      </c>
      <c r="S28" t="str">
        <f t="shared" ref="S28:S39" si="218">IF($N28="","",TRIM(MID(SUBSTITUTE($N28,",",REPT(" ",200)),201,200)))</f>
        <v/>
      </c>
      <c r="T28" t="str">
        <f t="shared" ref="T28:T39" si="219">IF(S28="","",TRIM(IFERROR(LEFT(S28,FIND("§",SUBSTITUTE(S28," ","§",LEN(S28)-LEN(SUBSTITUTE(S28," ",""))))-1),S28)))</f>
        <v/>
      </c>
      <c r="U28" t="str">
        <f>IF($T28="","",IF(OR($BH28="",$BI28=""),"ONZEKER",IF(OR($BE28="",$BF28=""),"ONZEKER",IF(AND($BH28=$BE28+1,$BI28=$BF28),IF(OR(COUNTIF(#REF!,$B28)&gt;0,COUNTIF(#REF!,$B28)=0),"SKIP",IF(COUNTIFS(#REF!,$B28,#REF!,$T28)&gt;0,"OK","ONBEKEND")),IF(AND($BH28=$BE28,$BI28=$BF28+1),IF(OR(COUNTIF(#REF!,$D28)&gt;0,COUNTIF(#REF!,$D28)=0),"SKIP",IF(COUNTIFS(#REF!,$D28,#REF!,$T28)&gt;0,"OK","ONBEKEND")),"ONZEKER")))))</f>
        <v/>
      </c>
      <c r="V28" t="str">
        <f t="shared" ref="V28:V39" si="220">IF($N28="","",TRIM(MID(SUBSTITUTE($N28,",",REPT(" ",200)),401,200)))</f>
        <v/>
      </c>
      <c r="W28" t="str">
        <f t="shared" ref="W28:W39" si="221">IF(V28="","",TRIM(IFERROR(LEFT(V28,FIND("§",SUBSTITUTE(V28," ","§",LEN(V28)-LEN(SUBSTITUTE(V28," ",""))))-1),V28)))</f>
        <v/>
      </c>
      <c r="X28" t="str">
        <f>IF($W28="","",IF(OR($BK28="",$BL28=""),"ONZEKER",IF(OR($BH28="",$BI28=""),"ONZEKER",IF(AND($BK28=$BH28+1,$BL28=$BI28),IF(OR(COUNTIF(#REF!,$B28)&gt;0,COUNTIF(#REF!,$B28)=0),"SKIP",IF(COUNTIFS(#REF!,$B28,#REF!,$W28)&gt;0,"OK","ONBEKEND")),IF(AND($BK28=$BH28,$BL28=$BI28+1),IF(OR(COUNTIF(#REF!,$D28)&gt;0,COUNTIF(#REF!,$D28)=0),"SKIP",IF(COUNTIFS(#REF!,$D28,#REF!,$W28)&gt;0,"OK","ONBEKEND")),"ONZEKER")))))</f>
        <v/>
      </c>
      <c r="Y28" t="str">
        <f t="shared" ref="Y28:Y39" si="222">IF($N28="","",TRIM(MID(SUBSTITUTE($N28,",",REPT(" ",200)),601,200)))</f>
        <v/>
      </c>
      <c r="Z28" t="str">
        <f t="shared" ref="Z28:Z39" si="223">IF(Y28="","",TRIM(IFERROR(LEFT(Y28,FIND("§",SUBSTITUTE(Y28," ","§",LEN(Y28)-LEN(SUBSTITUTE(Y28," ",""))))-1),Y28)))</f>
        <v/>
      </c>
      <c r="AA28" t="str">
        <f>IF($Z28="","",IF(OR($BN28="",$BO28=""),"ONZEKER",IF(OR($BK28="",$BL28=""),"ONZEKER",IF(AND($BN28=$BK28+1,$BO28=$BL28),IF(OR(COUNTIF(#REF!,$B28)&gt;0,COUNTIF(#REF!,$B28)=0),"SKIP",IF(COUNTIFS(#REF!,$B28,#REF!,$Z28)&gt;0,"OK","ONBEKEND")),IF(AND($BN28=$BK28,$BO28=$BL28+1),IF(OR(COUNTIF(#REF!,$D28)&gt;0,COUNTIF(#REF!,$D28)=0),"SKIP",IF(COUNTIFS(#REF!,$D28,#REF!,$Z28)&gt;0,"OK","ONBEKEND")),"ONZEKER")))))</f>
        <v/>
      </c>
      <c r="AB28" t="str">
        <f t="shared" ref="AB28:AB39" si="224">IF($N28="","",TRIM(MID(SUBSTITUTE($N28,",",REPT(" ",200)),801,200)))</f>
        <v/>
      </c>
      <c r="AC28" t="str">
        <f t="shared" ref="AC28:AC39" si="225">IF(AB28="","",TRIM(IFERROR(LEFT(AB28,FIND("§",SUBSTITUTE(AB28," ","§",LEN(AB28)-LEN(SUBSTITUTE(AB28," ",""))))-1),AB28)))</f>
        <v/>
      </c>
      <c r="AD28" t="str">
        <f>IF($AC28="","",IF(OR($BQ28="",$BR28=""),"ONZEKER",IF(OR($BN28="",$BO28=""),"ONZEKER",IF(AND($BQ28=$BN28+1,$BR28=$BO28),IF(OR(COUNTIF(#REF!,$B28)&gt;0,COUNTIF(#REF!,$B28)=0),"SKIP",IF(COUNTIFS(#REF!,$B28,#REF!,$AC28)&gt;0,"OK","ONBEKEND")),IF(AND($BQ28=$BN28,$BR28=$BO28+1),IF(OR(COUNTIF(#REF!,$D28)&gt;0,COUNTIF(#REF!,$D28)=0),"SKIP",IF(COUNTIFS(#REF!,$D28,#REF!,$AC28)&gt;0,"OK","ONBEKEND")),"ONZEKER")))))</f>
        <v/>
      </c>
      <c r="AE28" t="str">
        <f t="shared" ref="AE28:AE39" si="226">IF($N28="","",TRIM(MID(SUBSTITUTE($N28,",",REPT(" ",200)),1001,200)))</f>
        <v/>
      </c>
      <c r="AF28" t="str">
        <f t="shared" ref="AF28:AF39" si="227">IF(AE28="","",TRIM(IFERROR(LEFT(AE28,FIND("§",SUBSTITUTE(AE28," ","§",LEN(AE28)-LEN(SUBSTITUTE(AE28," ",""))))-1),AE28)))</f>
        <v/>
      </c>
      <c r="AG28" t="str">
        <f>IF($AF28="","",IF(OR($BT28="",$BU28=""),"ONZEKER",IF(OR($BQ28="",$BR28=""),"ONZEKER",IF(AND($BT28=$BQ28+1,$BU28=$BR28),IF(OR(COUNTIF(#REF!,$B28)&gt;0,COUNTIF(#REF!,$B28)=0),"SKIP",IF(COUNTIFS(#REF!,$B28,#REF!,$AF28)&gt;0,"OK","ONBEKEND")),IF(AND($BT28=$BQ28,$BU28=$BR28+1),IF(OR(COUNTIF(#REF!,$D28)&gt;0,COUNTIF(#REF!,$D28)=0),"SKIP",IF(COUNTIFS(#REF!,$D28,#REF!,$AF28)&gt;0,"OK","ONBEKEND")),"ONZEKER")))))</f>
        <v/>
      </c>
      <c r="AH28" t="str">
        <f t="shared" ref="AH28:AH39" si="228">IF($N28="","",TRIM(MID(SUBSTITUTE($N28,",",REPT(" ",200)),1201,200)))</f>
        <v/>
      </c>
      <c r="AI28" t="str">
        <f t="shared" ref="AI28:AI39" si="229">IF(AH28="","",TRIM(IFERROR(LEFT(AH28,FIND("§",SUBSTITUTE(AH28," ","§",LEN(AH28)-LEN(SUBSTITUTE(AH28," ",""))))-1),AH28)))</f>
        <v/>
      </c>
      <c r="AJ28" t="str">
        <f>IF($AI28="","",IF(OR($BW28="",$BX28=""),"ONZEKER",IF(OR($BT28="",$BU28=""),"ONZEKER",IF(AND($BW28=$BT28+1,$BX28=$BU28),IF(OR(COUNTIF(#REF!,$B28)&gt;0,COUNTIF(#REF!,$B28)=0),"SKIP",IF(COUNTIFS(#REF!,$B28,#REF!,$AI28)&gt;0,"OK","ONBEKEND")),IF(AND($BW28=$BT28,$BX28=$BU28+1),IF(OR(COUNTIF(#REF!,$D28)&gt;0,COUNTIF(#REF!,$D28)=0),"SKIP",IF(COUNTIFS(#REF!,$D28,#REF!,$AI28)&gt;0,"OK","ONBEKEND")),"ONZEKER")))))</f>
        <v/>
      </c>
      <c r="AK28" t="str">
        <f t="shared" ref="AK28:AK39" si="230">IF($N28="","",TRIM(MID(SUBSTITUTE($N28,",",REPT(" ",200)),1401,200)))</f>
        <v/>
      </c>
      <c r="AL28" t="str">
        <f t="shared" ref="AL28:AL39" si="231">IF(AK28="","",TRIM(IFERROR(LEFT(AK28,FIND("§",SUBSTITUTE(AK28," ","§",LEN(AK28)-LEN(SUBSTITUTE(AK28," ",""))))-1),AK28)))</f>
        <v/>
      </c>
      <c r="AM28" t="str">
        <f>IF($AL28="","",IF(OR($BZ28="",$CA28=""),"ONZEKER",IF(OR($BW28="",$BX28=""),"ONZEKER",IF(AND($BZ28=$BW28+1,$CA28=$BX28),IF(OR(COUNTIF(#REF!,$B28)&gt;0,COUNTIF(#REF!,$B28)=0),"SKIP",IF(COUNTIFS(#REF!,$B28,#REF!,$AL28)&gt;0,"OK","ONBEKEND")),IF(AND($BZ28=$BW28,$CA28=$BX28+1),IF(OR(COUNTIF(#REF!,$D28)&gt;0,COUNTIF(#REF!,$D28)=0),"SKIP",IF(COUNTIFS(#REF!,$D28,#REF!,$AL28)&gt;0,"OK","ONBEKEND")),"ONZEKER")))))</f>
        <v/>
      </c>
      <c r="AN28" t="str">
        <f t="shared" ref="AN28:AN39" si="232">IF($N28="","",TRIM(MID(SUBSTITUTE($N28,",",REPT(" ",200)),1601,200)))</f>
        <v/>
      </c>
      <c r="AO28" t="str">
        <f t="shared" ref="AO28:AO39" si="233">IF(AN28="","",TRIM(IFERROR(LEFT(AN28,FIND("§",SUBSTITUTE(AN28," ","§",LEN(AN28)-LEN(SUBSTITUTE(AN28," ",""))))-1),AN28)))</f>
        <v/>
      </c>
      <c r="AP28" t="str">
        <f>IF($AO28="","",IF(OR($CC28="",$CD28=""),"ONZEKER",IF(OR($BZ28="",$CA28=""),"ONZEKER",IF(AND($CC28=$BZ28+1,$CD28=$CA28),IF(OR(COUNTIF(#REF!,$B28)&gt;0,COUNTIF(#REF!,$B28)=0),"SKIP",IF(COUNTIFS(#REF!,$B28,#REF!,$AO28)&gt;0,"OK","ONBEKEND")),IF(AND($CC28=$BZ28,$CD28=$CA28+1),IF(OR(COUNTIF(#REF!,$D28)&gt;0,COUNTIF(#REF!,$D28)=0),"SKIP",IF(COUNTIFS(#REF!,$D28,#REF!,$AO28)&gt;0,"OK","ONBEKEND")),"ONZEKER")))))</f>
        <v/>
      </c>
      <c r="AQ28" t="str">
        <f t="shared" ref="AQ28:AQ39" si="234">IF($N28="","",TRIM(MID(SUBSTITUTE($N28,",",REPT(" ",200)),1801,200)))</f>
        <v/>
      </c>
      <c r="AR28" t="str">
        <f t="shared" ref="AR28:AR39" si="235">IF(AQ28="","",TRIM(IFERROR(LEFT(AQ28,FIND("§",SUBSTITUTE(AQ28," ","§",LEN(AQ28)-LEN(SUBSTITUTE(AQ28," ",""))))-1),AQ28)))</f>
        <v/>
      </c>
      <c r="AS28" t="str">
        <f>IF($AR28="","",IF(OR($CF28="",$CG28=""),"ONZEKER",IF(OR($CC28="",$CD28=""),"ONZEKER",IF(AND($CF28=$CC28+1,$CG28=$CD28),IF(OR(COUNTIF(#REF!,$B28)&gt;0,COUNTIF(#REF!,$B28)=0),"SKIP",IF(COUNTIFS(#REF!,$B28,#REF!,$AR28)&gt;0,"OK","ONBEKEND")),IF(AND($CF28=$CC28,$CG28=$CD28+1),IF(OR(COUNTIF(#REF!,$D28)&gt;0,COUNTIF(#REF!,$D28)=0),"SKIP",IF(COUNTIFS(#REF!,$D28,#REF!,$AR28)&gt;0,"OK","ONBEKEND")),"ONZEKER")))))</f>
        <v/>
      </c>
      <c r="AT28" t="str">
        <f t="shared" ref="AT28:AT39" si="236">IF(R28="ONBEKEND",Q28,"")</f>
        <v/>
      </c>
      <c r="AU28" t="str">
        <f t="shared" ref="AU28:AU39" si="237">IF(U28="ONBEKEND",T28,"")</f>
        <v/>
      </c>
      <c r="AV28" t="str">
        <f t="shared" ref="AV28:AV39" si="238">IF(X28="ONBEKEND",W28,"")</f>
        <v/>
      </c>
      <c r="AW28" t="str">
        <f t="shared" ref="AW28:AW39" si="239">IF(AA28="ONBEKEND",Z28,"")</f>
        <v/>
      </c>
      <c r="AX28" t="str">
        <f t="shared" ref="AX28:AX39" si="240">IF(AD28="ONBEKEND",AC28,"")</f>
        <v/>
      </c>
      <c r="AY28" t="str">
        <f t="shared" ref="AY28:AY39" si="241">IF(AG28="ONBEKEND",AF28,"")</f>
        <v/>
      </c>
      <c r="AZ28" t="str">
        <f t="shared" ref="AZ28:AZ39" si="242">IF(AJ28="ONBEKEND",AI28,"")</f>
        <v/>
      </c>
      <c r="BA28" t="str">
        <f t="shared" ref="BA28:BA39" si="243">IF(AM28="ONBEKEND",AL28,"")</f>
        <v/>
      </c>
      <c r="BB28" t="str">
        <f t="shared" ref="BB28:BB39" si="244">IF(AP28="ONBEKEND",AO28,"")</f>
        <v/>
      </c>
      <c r="BC28" t="str">
        <f t="shared" ref="BC28:BC39" si="245">IF(AS28="ONBEKEND",AR28,"")</f>
        <v/>
      </c>
      <c r="BD28" t="str">
        <f t="shared" si="32"/>
        <v/>
      </c>
      <c r="BE28" t="str">
        <f t="shared" si="33"/>
        <v/>
      </c>
      <c r="BF28" t="str">
        <f t="shared" si="34"/>
        <v/>
      </c>
      <c r="BG28" t="str">
        <f t="shared" si="35"/>
        <v/>
      </c>
      <c r="BH28" t="str">
        <f t="shared" si="36"/>
        <v/>
      </c>
      <c r="BI28" t="str">
        <f t="shared" si="37"/>
        <v/>
      </c>
      <c r="BJ28" t="str">
        <f t="shared" si="38"/>
        <v/>
      </c>
      <c r="BK28" t="str">
        <f t="shared" si="39"/>
        <v/>
      </c>
      <c r="BL28" t="str">
        <f t="shared" si="40"/>
        <v/>
      </c>
      <c r="BM28" t="str">
        <f t="shared" si="41"/>
        <v/>
      </c>
      <c r="BN28" t="str">
        <f t="shared" si="42"/>
        <v/>
      </c>
      <c r="BO28" t="str">
        <f t="shared" si="43"/>
        <v/>
      </c>
      <c r="BP28" t="str">
        <f t="shared" si="44"/>
        <v/>
      </c>
      <c r="BQ28" t="str">
        <f t="shared" si="45"/>
        <v/>
      </c>
      <c r="BR28" t="str">
        <f t="shared" si="46"/>
        <v/>
      </c>
      <c r="BS28" t="str">
        <f t="shared" si="47"/>
        <v/>
      </c>
      <c r="BT28" t="str">
        <f t="shared" si="48"/>
        <v/>
      </c>
      <c r="BU28" t="str">
        <f t="shared" si="49"/>
        <v/>
      </c>
      <c r="BV28" t="str">
        <f t="shared" si="50"/>
        <v/>
      </c>
      <c r="BW28" t="str">
        <f t="shared" si="51"/>
        <v/>
      </c>
      <c r="BX28" t="str">
        <f t="shared" si="52"/>
        <v/>
      </c>
      <c r="BY28" t="str">
        <f t="shared" si="53"/>
        <v/>
      </c>
      <c r="BZ28" t="str">
        <f t="shared" si="54"/>
        <v/>
      </c>
      <c r="CA28" t="str">
        <f t="shared" si="55"/>
        <v/>
      </c>
      <c r="CB28" t="str">
        <f t="shared" si="56"/>
        <v/>
      </c>
      <c r="CC28" t="str">
        <f t="shared" si="57"/>
        <v/>
      </c>
      <c r="CD28" t="str">
        <f t="shared" si="58"/>
        <v/>
      </c>
      <c r="CE28" t="str">
        <f t="shared" si="59"/>
        <v/>
      </c>
      <c r="CF28" t="str">
        <f t="shared" si="60"/>
        <v/>
      </c>
      <c r="CG28" t="str">
        <f t="shared" si="61"/>
        <v/>
      </c>
      <c r="CH28" t="str">
        <f t="shared" ref="CH28:CH39" si="246">IF($N28="","",TRIM(MID(SUBSTITUTE($N28,",",REPT(" ",200)),2001,200)))</f>
        <v/>
      </c>
      <c r="CI28" t="str">
        <f t="shared" ref="CI28:CI39" si="247">IF(CH28="","",TRIM(IFERROR(LEFT(CH28,FIND("§",SUBSTITUTE(CH28," ","§",LEN(CH28)-LEN(SUBSTITUTE(CH28," ",""))))-1),CH28)))</f>
        <v/>
      </c>
      <c r="CJ28" t="str">
        <f>IF($CI28="","",IF(OR($DW28="",$DX28=""),"ONZEKER",IF(OR($CF28="",$CG28=""),"ONZEKER",IF(AND($DW28=$CF28+1,$DX28=$CG28),IF(OR(COUNTIF(#REF!,$B28)&gt;0,COUNTIF(#REF!,$B28)=0),"SKIP",IF(COUNTIFS(#REF!,$B28,#REF!,$CI28)&gt;0,"OK","ONBEKEND")),IF(AND($DW28=$CF28,$DX28=$CG28+1),IF(OR(COUNTIF(#REF!,$D28)&gt;0,COUNTIF(#REF!,$D28)=0),"SKIP",IF(COUNTIFS(#REF!,$D28,#REF!,$CI28)&gt;0,"OK","ONBEKEND")),"ONZEKER")))))</f>
        <v/>
      </c>
      <c r="CK28" t="str">
        <f t="shared" ref="CK28:CK39" si="248">IF($N28="","",TRIM(MID(SUBSTITUTE($N28,",",REPT(" ",200)),2201,200)))</f>
        <v/>
      </c>
      <c r="CL28" t="str">
        <f t="shared" ref="CL28:CL39" si="249">IF(CK28="","",TRIM(IFERROR(LEFT(CK28,FIND("§",SUBSTITUTE(CK28," ","§",LEN(CK28)-LEN(SUBSTITUTE(CK28," ",""))))-1),CK28)))</f>
        <v/>
      </c>
      <c r="CM28" t="str">
        <f>IF($CL28="","",IF(OR($DZ28="",$EA28=""),"ONZEKER",IF(OR($DW28="",$DX28=""),"ONZEKER",IF(AND($DZ28=$DW28+1,$EA28=$DX28),IF(OR(COUNTIF(#REF!,$B28)&gt;0,COUNTIF(#REF!,$B28)=0),"SKIP",IF(COUNTIFS(#REF!,$B28,#REF!,$CL28)&gt;0,"OK","ONBEKEND")),IF(AND($DZ28=$DW28,$EA28=$DX28+1),IF(OR(COUNTIF(#REF!,$D28)&gt;0,COUNTIF(#REF!,$D28)=0),"SKIP",IF(COUNTIFS(#REF!,$D28,#REF!,$CL28)&gt;0,"OK","ONBEKEND")),"ONZEKER")))))</f>
        <v/>
      </c>
      <c r="CN28" t="str">
        <f t="shared" ref="CN28:CN39" si="250">IF($N28="","",TRIM(MID(SUBSTITUTE($N28,",",REPT(" ",200)),2401,200)))</f>
        <v/>
      </c>
      <c r="CO28" t="str">
        <f t="shared" ref="CO28:CO39" si="251">IF(CN28="","",TRIM(IFERROR(LEFT(CN28,FIND("§",SUBSTITUTE(CN28," ","§",LEN(CN28)-LEN(SUBSTITUTE(CN28," ",""))))-1),CN28)))</f>
        <v/>
      </c>
      <c r="CP28" t="str">
        <f>IF($CO28="","",IF(OR($EC28="",$ED28=""),"ONZEKER",IF(OR($DZ28="",$EA28=""),"ONZEKER",IF(AND($EC28=$DZ28+1,$ED28=$EA28),IF(OR(COUNTIF(#REF!,$B28)&gt;0,COUNTIF(#REF!,$B28)=0),"SKIP",IF(COUNTIFS(#REF!,$B28,#REF!,$CO28)&gt;0,"OK","ONBEKEND")),IF(AND($EC28=$DZ28,$ED28=$EA28+1),IF(OR(COUNTIF(#REF!,$D28)&gt;0,COUNTIF(#REF!,$D28)=0),"SKIP",IF(COUNTIFS(#REF!,$D28,#REF!,$CO28)&gt;0,"OK","ONBEKEND")),"ONZEKER")))))</f>
        <v/>
      </c>
      <c r="CQ28" t="str">
        <f t="shared" ref="CQ28:CQ39" si="252">IF($N28="","",TRIM(MID(SUBSTITUTE($N28,",",REPT(" ",200)),2601,200)))</f>
        <v/>
      </c>
      <c r="CR28" t="str">
        <f t="shared" ref="CR28:CR39" si="253">IF(CQ28="","",TRIM(IFERROR(LEFT(CQ28,FIND("§",SUBSTITUTE(CQ28," ","§",LEN(CQ28)-LEN(SUBSTITUTE(CQ28," ",""))))-1),CQ28)))</f>
        <v/>
      </c>
      <c r="CS28" t="str">
        <f>IF($CR28="","",IF(OR($EF28="",$EG28=""),"ONZEKER",IF(OR($EC28="",$ED28=""),"ONZEKER",IF(AND($EF28=$EC28+1,$EG28=$ED28),IF(OR(COUNTIF(#REF!,$B28)&gt;0,COUNTIF(#REF!,$B28)=0),"SKIP",IF(COUNTIFS(#REF!,$B28,#REF!,$CR28)&gt;0,"OK","ONBEKEND")),IF(AND($EF28=$EC28,$EG28=$ED28+1),IF(OR(COUNTIF(#REF!,$D28)&gt;0,COUNTIF(#REF!,$D28)=0),"SKIP",IF(COUNTIFS(#REF!,$D28,#REF!,$CR28)&gt;0,"OK","ONBEKEND")),"ONZEKER")))))</f>
        <v/>
      </c>
      <c r="CT28" t="str">
        <f t="shared" ref="CT28:CT39" si="254">IF($N28="","",TRIM(MID(SUBSTITUTE($N28,",",REPT(" ",200)),2801,200)))</f>
        <v/>
      </c>
      <c r="CU28" t="str">
        <f t="shared" ref="CU28:CU39" si="255">IF(CT28="","",TRIM(IFERROR(LEFT(CT28,FIND("§",SUBSTITUTE(CT28," ","§",LEN(CT28)-LEN(SUBSTITUTE(CT28," ",""))))-1),CT28)))</f>
        <v/>
      </c>
      <c r="CV28" t="str">
        <f>IF($CU28="","",IF(OR($EI28="",$EJ28=""),"ONZEKER",IF(OR($EF28="",$EG28=""),"ONZEKER",IF(AND($EI28=$EF28+1,$EJ28=$EG28),IF(OR(COUNTIF(#REF!,$B28)&gt;0,COUNTIF(#REF!,$B28)=0),"SKIP",IF(COUNTIFS(#REF!,$B28,#REF!,$CU28)&gt;0,"OK","ONBEKEND")),IF(AND($EI28=$EF28,$EJ28=$EG28+1),IF(OR(COUNTIF(#REF!,$D28)&gt;0,COUNTIF(#REF!,$D28)=0),"SKIP",IF(COUNTIFS(#REF!,$D28,#REF!,$CU28)&gt;0,"OK","ONBEKEND")),"ONZEKER")))))</f>
        <v/>
      </c>
      <c r="CW28" t="str">
        <f t="shared" ref="CW28:CW39" si="256">IF($N28="","",TRIM(MID(SUBSTITUTE($N28,",",REPT(" ",200)),3001,200)))</f>
        <v/>
      </c>
      <c r="CX28" t="str">
        <f t="shared" ref="CX28:CX39" si="257">IF(CW28="","",TRIM(IFERROR(LEFT(CW28,FIND("§",SUBSTITUTE(CW28," ","§",LEN(CW28)-LEN(SUBSTITUTE(CW28," ",""))))-1),CW28)))</f>
        <v/>
      </c>
      <c r="CY28" t="str">
        <f>IF($CX28="","",IF(OR($EL28="",$EM28=""),"ONZEKER",IF(OR($EI28="",$EJ28=""),"ONZEKER",IF(AND($EL28=$EI28+1,$EM28=$EJ28),IF(OR(COUNTIF(#REF!,$B28)&gt;0,COUNTIF(#REF!,$B28)=0),"SKIP",IF(COUNTIFS(#REF!,$B28,#REF!,$CX28)&gt;0,"OK","ONBEKEND")),IF(AND($EL28=$EI28,$EM28=$EJ28+1),IF(OR(COUNTIF(#REF!,$D28)&gt;0,COUNTIF(#REF!,$D28)=0),"SKIP",IF(COUNTIFS(#REF!,$D28,#REF!,$CX28)&gt;0,"OK","ONBEKEND")),"ONZEKER")))))</f>
        <v/>
      </c>
      <c r="CZ28" t="str">
        <f t="shared" ref="CZ28:CZ39" si="258">IF($N28="","",TRIM(MID(SUBSTITUTE($N28,",",REPT(" ",200)),3201,200)))</f>
        <v/>
      </c>
      <c r="DA28" t="str">
        <f t="shared" ref="DA28:DA39" si="259">IF(CZ28="","",TRIM(IFERROR(LEFT(CZ28,FIND("§",SUBSTITUTE(CZ28," ","§",LEN(CZ28)-LEN(SUBSTITUTE(CZ28," ",""))))-1),CZ28)))</f>
        <v/>
      </c>
      <c r="DB28" t="str">
        <f>IF($DA28="","",IF(OR($EO28="",$EP28=""),"ONZEKER",IF(OR($EL28="",$EM28=""),"ONZEKER",IF(AND($EO28=$EL28+1,$EP28=$EM28),IF(OR(COUNTIF(#REF!,$B28)&gt;0,COUNTIF(#REF!,$B28)=0),"SKIP",IF(COUNTIFS(#REF!,$B28,#REF!,$DA28)&gt;0,"OK","ONBEKEND")),IF(AND($EO28=$EL28,$EP28=$EM28+1),IF(OR(COUNTIF(#REF!,$D28)&gt;0,COUNTIF(#REF!,$D28)=0),"SKIP",IF(COUNTIFS(#REF!,$D28,#REF!,$DA28)&gt;0,"OK","ONBEKEND")),"ONZEKER")))))</f>
        <v/>
      </c>
      <c r="DC28" t="str">
        <f t="shared" ref="DC28:DC39" si="260">IF($N28="","",TRIM(MID(SUBSTITUTE($N28,",",REPT(" ",200)),3401,200)))</f>
        <v/>
      </c>
      <c r="DD28" t="str">
        <f t="shared" ref="DD28:DD39" si="261">IF(DC28="","",TRIM(IFERROR(LEFT(DC28,FIND("§",SUBSTITUTE(DC28," ","§",LEN(DC28)-LEN(SUBSTITUTE(DC28," ",""))))-1),DC28)))</f>
        <v/>
      </c>
      <c r="DE28" t="str">
        <f>IF($DD28="","",IF(OR($ER28="",$ES28=""),"ONZEKER",IF(OR($EO28="",$EP28=""),"ONZEKER",IF(AND($ER28=$EO28+1,$ES28=$EP28),IF(OR(COUNTIF(#REF!,$B28)&gt;0,COUNTIF(#REF!,$B28)=0),"SKIP",IF(COUNTIFS(#REF!,$B28,#REF!,$DD28)&gt;0,"OK","ONBEKEND")),IF(AND($ER28=$EO28,$ES28=$EP28+1),IF(OR(COUNTIF(#REF!,$D28)&gt;0,COUNTIF(#REF!,$D28)=0),"SKIP",IF(COUNTIFS(#REF!,$D28,#REF!,$DD28)&gt;0,"OK","ONBEKEND")),"ONZEKER")))))</f>
        <v/>
      </c>
      <c r="DF28" t="str">
        <f t="shared" ref="DF28:DF39" si="262">IF($N28="","",TRIM(MID(SUBSTITUTE($N28,",",REPT(" ",200)),3601,200)))</f>
        <v/>
      </c>
      <c r="DG28" t="str">
        <f t="shared" ref="DG28:DG39" si="263">IF(DF28="","",TRIM(IFERROR(LEFT(DF28,FIND("§",SUBSTITUTE(DF28," ","§",LEN(DF28)-LEN(SUBSTITUTE(DF28," ",""))))-1),DF28)))</f>
        <v/>
      </c>
      <c r="DH28" t="str">
        <f>IF($DG28="","",IF(OR($EU28="",$EV28=""),"ONZEKER",IF(OR($ER28="",$ES28=""),"ONZEKER",IF(AND($EU28=$ER28+1,$EV28=$ES28),IF(OR(COUNTIF(#REF!,$B28)&gt;0,COUNTIF(#REF!,$B28)=0),"SKIP",IF(COUNTIFS(#REF!,$B28,#REF!,$DG28)&gt;0,"OK","ONBEKEND")),IF(AND($EU28=$ER28,$EV28=$ES28+1),IF(OR(COUNTIF(#REF!,$D28)&gt;0,COUNTIF(#REF!,$D28)=0),"SKIP",IF(COUNTIFS(#REF!,$D28,#REF!,$DG28)&gt;0,"OK","ONBEKEND")),"ONZEKER")))))</f>
        <v/>
      </c>
      <c r="DI28" t="str">
        <f t="shared" ref="DI28:DI39" si="264">IF($N28="","",TRIM(MID(SUBSTITUTE($N28,",",REPT(" ",200)),3801,200)))</f>
        <v/>
      </c>
      <c r="DJ28" t="str">
        <f t="shared" ref="DJ28:DJ39" si="265">IF(DI28="","",TRIM(IFERROR(LEFT(DI28,FIND("§",SUBSTITUTE(DI28," ","§",LEN(DI28)-LEN(SUBSTITUTE(DI28," ",""))))-1),DI28)))</f>
        <v/>
      </c>
      <c r="DK28" t="str">
        <f>IF($DJ28="","",IF(OR($EX28="",$EY28=""),"ONZEKER",IF(OR($EU28="",$EV28=""),"ONZEKER",IF(AND($EX28=$EU28+1,$EY28=$EV28),IF(OR(COUNTIF(#REF!,$B28)&gt;0,COUNTIF(#REF!,$B28)=0),"SKIP",IF(COUNTIFS(#REF!,$B28,#REF!,$DJ28)&gt;0,"OK","ONBEKEND")),IF(AND($EX28=$EU28,$EY28=$EV28+1),IF(OR(COUNTIF(#REF!,$D28)&gt;0,COUNTIF(#REF!,$D28)=0),"SKIP",IF(COUNTIFS(#REF!,$D28,#REF!,$DJ28)&gt;0,"OK","ONBEKEND")),"ONZEKER")))))</f>
        <v/>
      </c>
      <c r="DL28" t="str">
        <f t="shared" ref="DL28:DL39" si="266">IF($CJ28="ONBEKEND",$CI28,"")</f>
        <v/>
      </c>
      <c r="DM28" t="str">
        <f t="shared" ref="DM28:DM39" si="267">IF($CM28="ONBEKEND",$CL28,"")</f>
        <v/>
      </c>
      <c r="DN28" t="str">
        <f t="shared" ref="DN28:DN39" si="268">IF($CP28="ONBEKEND",$CO28,"")</f>
        <v/>
      </c>
      <c r="DO28" t="str">
        <f t="shared" ref="DO28:DO39" si="269">IF($CS28="ONBEKEND",$CR28,"")</f>
        <v/>
      </c>
      <c r="DP28" t="str">
        <f t="shared" ref="DP28:DP39" si="270">IF($CV28="ONBEKEND",$CU28,"")</f>
        <v/>
      </c>
      <c r="DQ28" t="str">
        <f t="shared" ref="DQ28:DQ39" si="271">IF($CY28="ONBEKEND",$CX28,"")</f>
        <v/>
      </c>
      <c r="DR28" t="str">
        <f t="shared" ref="DR28:DR39" si="272">IF($DB28="ONBEKEND",$DA28,"")</f>
        <v/>
      </c>
      <c r="DS28" t="str">
        <f t="shared" ref="DS28:DS39" si="273">IF($DE28="ONBEKEND",$DD28,"")</f>
        <v/>
      </c>
      <c r="DT28" t="str">
        <f t="shared" ref="DT28:DT39" si="274">IF($DH28="ONBEKEND",$DG28,"")</f>
        <v/>
      </c>
      <c r="DU28" t="str">
        <f t="shared" ref="DU28:DU39" si="275">IF($DK28="ONBEKEND",$DJ28,"")</f>
        <v/>
      </c>
      <c r="DV28" t="str">
        <f t="shared" ref="DV28:DV39" si="276">IF($CH28="","",TRIM(IFERROR(RIGHT($CH28,LEN($CH28)-FIND("§",SUBSTITUTE($CH28," ","§",LEN($CH28)-LEN(SUBSTITUTE($CH28," ",""))))),"")))</f>
        <v/>
      </c>
      <c r="DW28" t="str">
        <f t="shared" ref="DW28:DW39" si="277">IF($DV28="","",IFERROR(VALUE(LEFT($DV28,FIND("-",$DV28)-1)),""))</f>
        <v/>
      </c>
      <c r="DX28" t="str">
        <f t="shared" ref="DX28:DX39" si="278">IF($DV28="","",IFERROR(VALUE(MID($DV28,FIND("-",$DV28)+1,99)),""))</f>
        <v/>
      </c>
      <c r="DY28" t="str">
        <f t="shared" ref="DY28:DY39" si="279">IF($CK28="","",TRIM(IFERROR(RIGHT($CK28,LEN($CK28)-FIND("§",SUBSTITUTE($CK28," ","§",LEN($CK28)-LEN(SUBSTITUTE($CK28," ",""))))),"")))</f>
        <v/>
      </c>
      <c r="DZ28" t="str">
        <f t="shared" ref="DZ28:DZ39" si="280">IF($DY28="","",IFERROR(VALUE(LEFT($DY28,FIND("-",$DY28)-1)),""))</f>
        <v/>
      </c>
      <c r="EA28" t="str">
        <f t="shared" ref="EA28:EA39" si="281">IF($DY28="","",IFERROR(VALUE(MID($DY28,FIND("-",$DY28)+1,99)),""))</f>
        <v/>
      </c>
      <c r="EB28" t="str">
        <f t="shared" ref="EB28:EB39" si="282">IF($CN28="","",TRIM(IFERROR(RIGHT($CN28,LEN($CN28)-FIND("§",SUBSTITUTE($CN28," ","§",LEN($CN28)-LEN(SUBSTITUTE($CN28," ",""))))),"")))</f>
        <v/>
      </c>
      <c r="EC28" t="str">
        <f t="shared" ref="EC28:EC39" si="283">IF($EB28="","",IFERROR(VALUE(LEFT($EB28,FIND("-",$EB28)-1)),""))</f>
        <v/>
      </c>
      <c r="ED28" t="str">
        <f t="shared" ref="ED28:ED39" si="284">IF($EB28="","",IFERROR(VALUE(MID($EB28,FIND("-",$EB28)+1,99)),""))</f>
        <v/>
      </c>
      <c r="EE28" t="str">
        <f t="shared" ref="EE28:EE39" si="285">IF($CQ28="","",TRIM(IFERROR(RIGHT($CQ28,LEN($CQ28)-FIND("§",SUBSTITUTE($CQ28," ","§",LEN($CQ28)-LEN(SUBSTITUTE($CQ28," ",""))))),"")))</f>
        <v/>
      </c>
      <c r="EF28" t="str">
        <f t="shared" ref="EF28:EF39" si="286">IF($EE28="","",IFERROR(VALUE(LEFT($EE28,FIND("-",$EE28)-1)),""))</f>
        <v/>
      </c>
      <c r="EG28" t="str">
        <f t="shared" ref="EG28:EG39" si="287">IF($EE28="","",IFERROR(VALUE(MID($EE28,FIND("-",$EE28)+1,99)),""))</f>
        <v/>
      </c>
      <c r="EH28" t="str">
        <f t="shared" ref="EH28:EH39" si="288">IF($CT28="","",TRIM(IFERROR(RIGHT($CT28,LEN($CT28)-FIND("§",SUBSTITUTE($CT28," ","§",LEN($CT28)-LEN(SUBSTITUTE($CT28," ",""))))),"")))</f>
        <v/>
      </c>
      <c r="EI28" t="str">
        <f t="shared" ref="EI28:EI39" si="289">IF($EH28="","",IFERROR(VALUE(LEFT($EH28,FIND("-",$EH28)-1)),""))</f>
        <v/>
      </c>
      <c r="EJ28" t="str">
        <f t="shared" ref="EJ28:EJ39" si="290">IF($EH28="","",IFERROR(VALUE(MID($EH28,FIND("-",$EH28)+1,99)),""))</f>
        <v/>
      </c>
      <c r="EK28" t="str">
        <f t="shared" ref="EK28:EK39" si="291">IF($CW28="","",TRIM(IFERROR(RIGHT($CW28,LEN($CW28)-FIND("§",SUBSTITUTE($CW28," ","§",LEN($CW28)-LEN(SUBSTITUTE($CW28," ",""))))),"")))</f>
        <v/>
      </c>
      <c r="EL28" t="str">
        <f t="shared" ref="EL28:EL39" si="292">IF($EK28="","",IFERROR(VALUE(LEFT($EK28,FIND("-",$EK28)-1)),""))</f>
        <v/>
      </c>
      <c r="EM28" t="str">
        <f t="shared" ref="EM28:EM39" si="293">IF($EK28="","",IFERROR(VALUE(MID($EK28,FIND("-",$EK28)+1,99)),""))</f>
        <v/>
      </c>
      <c r="EN28" t="str">
        <f t="shared" ref="EN28:EN39" si="294">IF($CZ28="","",TRIM(IFERROR(RIGHT($CZ28,LEN($CZ28)-FIND("§",SUBSTITUTE($CZ28," ","§",LEN($CZ28)-LEN(SUBSTITUTE($CZ28," ",""))))),"")))</f>
        <v/>
      </c>
      <c r="EO28" t="str">
        <f t="shared" ref="EO28:EO39" si="295">IF($EN28="","",IFERROR(VALUE(LEFT($EN28,FIND("-",$EN28)-1)),""))</f>
        <v/>
      </c>
      <c r="EP28" t="str">
        <f t="shared" ref="EP28:EP39" si="296">IF($EN28="","",IFERROR(VALUE(MID($EN28,FIND("-",$EN28)+1,99)),""))</f>
        <v/>
      </c>
      <c r="EQ28" t="str">
        <f t="shared" ref="EQ28:EQ39" si="297">IF($DC28="","",TRIM(IFERROR(RIGHT($DC28,LEN($DC28)-FIND("§",SUBSTITUTE($DC28," ","§",LEN($DC28)-LEN(SUBSTITUTE($DC28," ",""))))),"")))</f>
        <v/>
      </c>
      <c r="ER28" t="str">
        <f t="shared" ref="ER28:ER39" si="298">IF($EQ28="","",IFERROR(VALUE(LEFT($EQ28,FIND("-",$EQ28)-1)),""))</f>
        <v/>
      </c>
      <c r="ES28" t="str">
        <f t="shared" ref="ES28:ES39" si="299">IF($EQ28="","",IFERROR(VALUE(MID($EQ28,FIND("-",$EQ28)+1,99)),""))</f>
        <v/>
      </c>
      <c r="ET28" t="str">
        <f t="shared" ref="ET28:ET39" si="300">IF($DF28="","",TRIM(IFERROR(RIGHT($DF28,LEN($DF28)-FIND("§",SUBSTITUTE($DF28," ","§",LEN($DF28)-LEN(SUBSTITUTE($DF28," ",""))))),"")))</f>
        <v/>
      </c>
      <c r="EU28" t="str">
        <f t="shared" ref="EU28:EU39" si="301">IF($ET28="","",IFERROR(VALUE(LEFT($ET28,FIND("-",$ET28)-1)),""))</f>
        <v/>
      </c>
      <c r="EV28" t="str">
        <f t="shared" ref="EV28:EV39" si="302">IF($ET28="","",IFERROR(VALUE(MID($ET28,FIND("-",$ET28)+1,99)),""))</f>
        <v/>
      </c>
      <c r="EW28" t="str">
        <f t="shared" ref="EW28:EW39" si="303">IF($DI28="","",TRIM(IFERROR(RIGHT($DI28,LEN($DI28)-FIND("§",SUBSTITUTE($DI28," ","§",LEN($DI28)-LEN(SUBSTITUTE($DI28," ",""))))),"")))</f>
        <v/>
      </c>
      <c r="EX28" t="str">
        <f t="shared" ref="EX28:EX39" si="304">IF($EW28="","",IFERROR(VALUE(LEFT($EW28,FIND("-",$EW28)-1)),""))</f>
        <v/>
      </c>
      <c r="EY28" t="str">
        <f t="shared" ref="EY28:EY39" si="305">IF($EW28="","",IFERROR(VALUE(MID($EW28,FIND("-",$EW28)+1,99)),""))</f>
        <v/>
      </c>
    </row>
    <row r="29" spans="1:155" ht="13.9" customHeight="1" x14ac:dyDescent="0.25">
      <c r="A29" s="7"/>
      <c r="B29" s="17"/>
      <c r="C29" s="8"/>
      <c r="D29" s="17"/>
      <c r="E29" s="8"/>
      <c r="F29" s="18">
        <v>0</v>
      </c>
      <c r="G29" s="7" t="s">
        <v>147</v>
      </c>
      <c r="H29" s="18">
        <v>0</v>
      </c>
      <c r="I29" s="19">
        <v>0</v>
      </c>
      <c r="J29" s="7" t="s">
        <v>147</v>
      </c>
      <c r="K29" s="19">
        <v>0</v>
      </c>
      <c r="L29" s="9"/>
      <c r="M29" s="3" t="str">
        <f>IF($L29="","",IF($L29="DOELPUNTENMAKERS","",IF(AND(COUNTIF(#REF!,$B29)=0,COUNTIF(#REF!,$D29)=0),"OK",IF($O29&gt;20,"LET OP: meer dan 20 items (controle onvolledig)",IF((COUNTIF($R29:$AS29,"ONZEKER")+COUNTIF($CJ29:$DK29,"ONZEKER"))&gt;0,"LET OP: scoreverloop onduidelijk (controle beperkt)",IF((IF($AT29&lt;&gt;"",$AT29&amp;", ","")&amp;IF($AU29&lt;&gt;"",$AU29&amp;", ","")&amp;IF($AV29&lt;&gt;"",$AV29&amp;", ","")&amp;IF($AW29&lt;&gt;"",$AW29&amp;", ","")&amp;IF($AX29&lt;&gt;"",$AX29&amp;", ","")&amp;IF($AY29&lt;&gt;"",$AY29&amp;", ","")&amp;IF($AZ29&lt;&gt;"",$AZ29&amp;", ","")&amp;IF($BA29&lt;&gt;"",$BA29&amp;", ","")&amp;IF($BB29&lt;&gt;"",$BB29&amp;", ","")&amp;IF($BC29&lt;&gt;"",$BC29&amp;", ","")&amp;IF($DL29&lt;&gt;"",$DL29&amp;", ","")&amp;IF($DM29&lt;&gt;"",$DM29&amp;", ","")&amp;IF($DN29&lt;&gt;"",$DN29&amp;", ","")&amp;IF($DO29&lt;&gt;"",$DO29&amp;", ","")&amp;IF($DP29&lt;&gt;"",$DP29&amp;", ","")&amp;IF($DQ29&lt;&gt;"",$DQ29&amp;", ","")&amp;IF($DR29&lt;&gt;"",$DR29&amp;", ","")&amp;IF($DS29&lt;&gt;"",$DS29&amp;", ","")&amp;IF($DT29&lt;&gt;"",$DT29&amp;", ","")&amp;IF($DU29&lt;&gt;"",$DU29&amp;", ",""))="","OK","Onbekend: "&amp;LEFT((IF($AT29&lt;&gt;"",$AT29&amp;", ","")&amp;IF($AU29&lt;&gt;"",$AU29&amp;", ","")&amp;IF($AV29&lt;&gt;"",$AV29&amp;", ","")&amp;IF($AW29&lt;&gt;"",$AW29&amp;", ","")&amp;IF($AX29&lt;&gt;"",$AX29&amp;", ","")&amp;IF($AY29&lt;&gt;"",$AY29&amp;", ","")&amp;IF($AZ29&lt;&gt;"",$AZ29&amp;", ","")&amp;IF($BA29&lt;&gt;"",$BA29&amp;", ","")&amp;IF($BB29&lt;&gt;"",$BB29&amp;", ","")&amp;IF($BC29&lt;&gt;"",$BC29&amp;", ","")&amp;IF($DL29&lt;&gt;"",$DL29&amp;", ","")&amp;IF($DM29&lt;&gt;"",$DM29&amp;", ","")&amp;IF($DN29&lt;&gt;"",$DN29&amp;", ","")&amp;IF($DO29&lt;&gt;"",$DO29&amp;", ","")&amp;IF($DP29&lt;&gt;"",$DP29&amp;", ","")&amp;IF($DQ29&lt;&gt;"",$DQ29&amp;", ","")&amp;IF($DR29&lt;&gt;"",$DR29&amp;", ","")&amp;IF($DS29&lt;&gt;"",$DS29&amp;", ","")&amp;IF($DT29&lt;&gt;"",$DT29&amp;", ","")&amp;IF($DU29&lt;&gt;"",$DU29&amp;", ","")),LEN((IF($AT29&lt;&gt;"",$AT29&amp;", ","")&amp;IF($AU29&lt;&gt;"",$AU29&amp;", ","")&amp;IF($AV29&lt;&gt;"",$AV29&amp;", ","")&amp;IF($AW29&lt;&gt;"",$AW29&amp;", ","")&amp;IF($AX29&lt;&gt;"",$AX29&amp;", ","")&amp;IF($AY29&lt;&gt;"",$AY29&amp;", ","")&amp;IF($AZ29&lt;&gt;"",$AZ29&amp;", ","")&amp;IF($BA29&lt;&gt;"",$BA29&amp;", ","")&amp;IF($BB29&lt;&gt;"",$BB29&amp;", ","")&amp;IF($BC29&lt;&gt;"",$BC29&amp;", ","")&amp;IF($DL29&lt;&gt;"",$DL29&amp;", ","")&amp;IF($DM29&lt;&gt;"",$DM29&amp;", ","")&amp;IF($DN29&lt;&gt;"",$DN29&amp;", ","")&amp;IF($DO29&lt;&gt;"",$DO29&amp;", ","")&amp;IF($DP29&lt;&gt;"",$DP29&amp;", ","")&amp;IF($DQ29&lt;&gt;"",$DQ29&amp;", ","")&amp;IF($DR29&lt;&gt;"",$DR29&amp;", ","")&amp;IF($DS29&lt;&gt;"",$DS29&amp;", ","")&amp;IF($DT29&lt;&gt;"",$DT29&amp;", ","")&amp;IF($DU29&lt;&gt;"",$DU29&amp;", ","")))-2)))))))</f>
        <v/>
      </c>
      <c r="N29" t="str">
        <f t="shared" si="214"/>
        <v/>
      </c>
      <c r="O29" t="str">
        <f t="shared" si="215"/>
        <v/>
      </c>
      <c r="P29" t="str">
        <f t="shared" si="216"/>
        <v/>
      </c>
      <c r="Q29" t="str">
        <f t="shared" si="217"/>
        <v/>
      </c>
      <c r="R29" t="str">
        <f>IF($Q29="","",IF(OR($BE29="",$BF29=""),"ONZEKER",IF(AND($BE29=0+1,$BF29=0),IF(OR(COUNTIF(#REF!,$B29)&gt;0,COUNTIF(#REF!,$B29)=0),"SKIP",IF(COUNTIFS(#REF!,$B29,#REF!,$Q29)&gt;0,"OK","ONBEKEND")),IF(AND($BE29=0,$BF29=0+1),IF(OR(COUNTIF(#REF!,$D29)&gt;0,COUNTIF(#REF!,$D29)=0),"SKIP",IF(COUNTIFS(#REF!,$D29,#REF!,$Q29)&gt;0,"OK","ONBEKEND")),"ONZEKER"))))</f>
        <v/>
      </c>
      <c r="S29" t="str">
        <f t="shared" si="218"/>
        <v/>
      </c>
      <c r="T29" t="str">
        <f t="shared" si="219"/>
        <v/>
      </c>
      <c r="U29" t="str">
        <f>IF($T29="","",IF(OR($BH29="",$BI29=""),"ONZEKER",IF(OR($BE29="",$BF29=""),"ONZEKER",IF(AND($BH29=$BE29+1,$BI29=$BF29),IF(OR(COUNTIF(#REF!,$B29)&gt;0,COUNTIF(#REF!,$B29)=0),"SKIP",IF(COUNTIFS(#REF!,$B29,#REF!,$T29)&gt;0,"OK","ONBEKEND")),IF(AND($BH29=$BE29,$BI29=$BF29+1),IF(OR(COUNTIF(#REF!,$D29)&gt;0,COUNTIF(#REF!,$D29)=0),"SKIP",IF(COUNTIFS(#REF!,$D29,#REF!,$T29)&gt;0,"OK","ONBEKEND")),"ONZEKER")))))</f>
        <v/>
      </c>
      <c r="V29" t="str">
        <f t="shared" si="220"/>
        <v/>
      </c>
      <c r="W29" t="str">
        <f t="shared" si="221"/>
        <v/>
      </c>
      <c r="X29" t="str">
        <f>IF($W29="","",IF(OR($BK29="",$BL29=""),"ONZEKER",IF(OR($BH29="",$BI29=""),"ONZEKER",IF(AND($BK29=$BH29+1,$BL29=$BI29),IF(OR(COUNTIF(#REF!,$B29)&gt;0,COUNTIF(#REF!,$B29)=0),"SKIP",IF(COUNTIFS(#REF!,$B29,#REF!,$W29)&gt;0,"OK","ONBEKEND")),IF(AND($BK29=$BH29,$BL29=$BI29+1),IF(OR(COUNTIF(#REF!,$D29)&gt;0,COUNTIF(#REF!,$D29)=0),"SKIP",IF(COUNTIFS(#REF!,$D29,#REF!,$W29)&gt;0,"OK","ONBEKEND")),"ONZEKER")))))</f>
        <v/>
      </c>
      <c r="Y29" t="str">
        <f t="shared" si="222"/>
        <v/>
      </c>
      <c r="Z29" t="str">
        <f t="shared" si="223"/>
        <v/>
      </c>
      <c r="AA29" t="str">
        <f>IF($Z29="","",IF(OR($BN29="",$BO29=""),"ONZEKER",IF(OR($BK29="",$BL29=""),"ONZEKER",IF(AND($BN29=$BK29+1,$BO29=$BL29),IF(OR(COUNTIF(#REF!,$B29)&gt;0,COUNTIF(#REF!,$B29)=0),"SKIP",IF(COUNTIFS(#REF!,$B29,#REF!,$Z29)&gt;0,"OK","ONBEKEND")),IF(AND($BN29=$BK29,$BO29=$BL29+1),IF(OR(COUNTIF(#REF!,$D29)&gt;0,COUNTIF(#REF!,$D29)=0),"SKIP",IF(COUNTIFS(#REF!,$D29,#REF!,$Z29)&gt;0,"OK","ONBEKEND")),"ONZEKER")))))</f>
        <v/>
      </c>
      <c r="AB29" t="str">
        <f t="shared" si="224"/>
        <v/>
      </c>
      <c r="AC29" t="str">
        <f t="shared" si="225"/>
        <v/>
      </c>
      <c r="AD29" t="str">
        <f>IF($AC29="","",IF(OR($BQ29="",$BR29=""),"ONZEKER",IF(OR($BN29="",$BO29=""),"ONZEKER",IF(AND($BQ29=$BN29+1,$BR29=$BO29),IF(OR(COUNTIF(#REF!,$B29)&gt;0,COUNTIF(#REF!,$B29)=0),"SKIP",IF(COUNTIFS(#REF!,$B29,#REF!,$AC29)&gt;0,"OK","ONBEKEND")),IF(AND($BQ29=$BN29,$BR29=$BO29+1),IF(OR(COUNTIF(#REF!,$D29)&gt;0,COUNTIF(#REF!,$D29)=0),"SKIP",IF(COUNTIFS(#REF!,$D29,#REF!,$AC29)&gt;0,"OK","ONBEKEND")),"ONZEKER")))))</f>
        <v/>
      </c>
      <c r="AE29" t="str">
        <f t="shared" si="226"/>
        <v/>
      </c>
      <c r="AF29" t="str">
        <f t="shared" si="227"/>
        <v/>
      </c>
      <c r="AG29" t="str">
        <f>IF($AF29="","",IF(OR($BT29="",$BU29=""),"ONZEKER",IF(OR($BQ29="",$BR29=""),"ONZEKER",IF(AND($BT29=$BQ29+1,$BU29=$BR29),IF(OR(COUNTIF(#REF!,$B29)&gt;0,COUNTIF(#REF!,$B29)=0),"SKIP",IF(COUNTIFS(#REF!,$B29,#REF!,$AF29)&gt;0,"OK","ONBEKEND")),IF(AND($BT29=$BQ29,$BU29=$BR29+1),IF(OR(COUNTIF(#REF!,$D29)&gt;0,COUNTIF(#REF!,$D29)=0),"SKIP",IF(COUNTIFS(#REF!,$D29,#REF!,$AF29)&gt;0,"OK","ONBEKEND")),"ONZEKER")))))</f>
        <v/>
      </c>
      <c r="AH29" t="str">
        <f t="shared" si="228"/>
        <v/>
      </c>
      <c r="AI29" t="str">
        <f t="shared" si="229"/>
        <v/>
      </c>
      <c r="AJ29" t="str">
        <f>IF($AI29="","",IF(OR($BW29="",$BX29=""),"ONZEKER",IF(OR($BT29="",$BU29=""),"ONZEKER",IF(AND($BW29=$BT29+1,$BX29=$BU29),IF(OR(COUNTIF(#REF!,$B29)&gt;0,COUNTIF(#REF!,$B29)=0),"SKIP",IF(COUNTIFS(#REF!,$B29,#REF!,$AI29)&gt;0,"OK","ONBEKEND")),IF(AND($BW29=$BT29,$BX29=$BU29+1),IF(OR(COUNTIF(#REF!,$D29)&gt;0,COUNTIF(#REF!,$D29)=0),"SKIP",IF(COUNTIFS(#REF!,$D29,#REF!,$AI29)&gt;0,"OK","ONBEKEND")),"ONZEKER")))))</f>
        <v/>
      </c>
      <c r="AK29" t="str">
        <f t="shared" si="230"/>
        <v/>
      </c>
      <c r="AL29" t="str">
        <f t="shared" si="231"/>
        <v/>
      </c>
      <c r="AM29" t="str">
        <f>IF($AL29="","",IF(OR($BZ29="",$CA29=""),"ONZEKER",IF(OR($BW29="",$BX29=""),"ONZEKER",IF(AND($BZ29=$BW29+1,$CA29=$BX29),IF(OR(COUNTIF(#REF!,$B29)&gt;0,COUNTIF(#REF!,$B29)=0),"SKIP",IF(COUNTIFS(#REF!,$B29,#REF!,$AL29)&gt;0,"OK","ONBEKEND")),IF(AND($BZ29=$BW29,$CA29=$BX29+1),IF(OR(COUNTIF(#REF!,$D29)&gt;0,COUNTIF(#REF!,$D29)=0),"SKIP",IF(COUNTIFS(#REF!,$D29,#REF!,$AL29)&gt;0,"OK","ONBEKEND")),"ONZEKER")))))</f>
        <v/>
      </c>
      <c r="AN29" t="str">
        <f t="shared" si="232"/>
        <v/>
      </c>
      <c r="AO29" t="str">
        <f t="shared" si="233"/>
        <v/>
      </c>
      <c r="AP29" t="str">
        <f>IF($AO29="","",IF(OR($CC29="",$CD29=""),"ONZEKER",IF(OR($BZ29="",$CA29=""),"ONZEKER",IF(AND($CC29=$BZ29+1,$CD29=$CA29),IF(OR(COUNTIF(#REF!,$B29)&gt;0,COUNTIF(#REF!,$B29)=0),"SKIP",IF(COUNTIFS(#REF!,$B29,#REF!,$AO29)&gt;0,"OK","ONBEKEND")),IF(AND($CC29=$BZ29,$CD29=$CA29+1),IF(OR(COUNTIF(#REF!,$D29)&gt;0,COUNTIF(#REF!,$D29)=0),"SKIP",IF(COUNTIFS(#REF!,$D29,#REF!,$AO29)&gt;0,"OK","ONBEKEND")),"ONZEKER")))))</f>
        <v/>
      </c>
      <c r="AQ29" t="str">
        <f t="shared" si="234"/>
        <v/>
      </c>
      <c r="AR29" t="str">
        <f t="shared" si="235"/>
        <v/>
      </c>
      <c r="AS29" t="str">
        <f>IF($AR29="","",IF(OR($CF29="",$CG29=""),"ONZEKER",IF(OR($CC29="",$CD29=""),"ONZEKER",IF(AND($CF29=$CC29+1,$CG29=$CD29),IF(OR(COUNTIF(#REF!,$B29)&gt;0,COUNTIF(#REF!,$B29)=0),"SKIP",IF(COUNTIFS(#REF!,$B29,#REF!,$AR29)&gt;0,"OK","ONBEKEND")),IF(AND($CF29=$CC29,$CG29=$CD29+1),IF(OR(COUNTIF(#REF!,$D29)&gt;0,COUNTIF(#REF!,$D29)=0),"SKIP",IF(COUNTIFS(#REF!,$D29,#REF!,$AR29)&gt;0,"OK","ONBEKEND")),"ONZEKER")))))</f>
        <v/>
      </c>
      <c r="AT29" t="str">
        <f t="shared" si="236"/>
        <v/>
      </c>
      <c r="AU29" t="str">
        <f t="shared" si="237"/>
        <v/>
      </c>
      <c r="AV29" t="str">
        <f t="shared" si="238"/>
        <v/>
      </c>
      <c r="AW29" t="str">
        <f t="shared" si="239"/>
        <v/>
      </c>
      <c r="AX29" t="str">
        <f t="shared" si="240"/>
        <v/>
      </c>
      <c r="AY29" t="str">
        <f t="shared" si="241"/>
        <v/>
      </c>
      <c r="AZ29" t="str">
        <f t="shared" si="242"/>
        <v/>
      </c>
      <c r="BA29" t="str">
        <f t="shared" si="243"/>
        <v/>
      </c>
      <c r="BB29" t="str">
        <f t="shared" si="244"/>
        <v/>
      </c>
      <c r="BC29" t="str">
        <f t="shared" si="245"/>
        <v/>
      </c>
      <c r="BD29" t="str">
        <f t="shared" si="32"/>
        <v/>
      </c>
      <c r="BE29" t="str">
        <f t="shared" si="33"/>
        <v/>
      </c>
      <c r="BF29" t="str">
        <f t="shared" si="34"/>
        <v/>
      </c>
      <c r="BG29" t="str">
        <f t="shared" si="35"/>
        <v/>
      </c>
      <c r="BH29" t="str">
        <f t="shared" si="36"/>
        <v/>
      </c>
      <c r="BI29" t="str">
        <f t="shared" si="37"/>
        <v/>
      </c>
      <c r="BJ29" t="str">
        <f t="shared" si="38"/>
        <v/>
      </c>
      <c r="BK29" t="str">
        <f t="shared" si="39"/>
        <v/>
      </c>
      <c r="BL29" t="str">
        <f t="shared" si="40"/>
        <v/>
      </c>
      <c r="BM29" t="str">
        <f t="shared" si="41"/>
        <v/>
      </c>
      <c r="BN29" t="str">
        <f t="shared" si="42"/>
        <v/>
      </c>
      <c r="BO29" t="str">
        <f t="shared" si="43"/>
        <v/>
      </c>
      <c r="BP29" t="str">
        <f t="shared" si="44"/>
        <v/>
      </c>
      <c r="BQ29" t="str">
        <f t="shared" si="45"/>
        <v/>
      </c>
      <c r="BR29" t="str">
        <f t="shared" si="46"/>
        <v/>
      </c>
      <c r="BS29" t="str">
        <f t="shared" si="47"/>
        <v/>
      </c>
      <c r="BT29" t="str">
        <f t="shared" si="48"/>
        <v/>
      </c>
      <c r="BU29" t="str">
        <f t="shared" si="49"/>
        <v/>
      </c>
      <c r="BV29" t="str">
        <f t="shared" si="50"/>
        <v/>
      </c>
      <c r="BW29" t="str">
        <f t="shared" si="51"/>
        <v/>
      </c>
      <c r="BX29" t="str">
        <f t="shared" si="52"/>
        <v/>
      </c>
      <c r="BY29" t="str">
        <f t="shared" si="53"/>
        <v/>
      </c>
      <c r="BZ29" t="str">
        <f t="shared" si="54"/>
        <v/>
      </c>
      <c r="CA29" t="str">
        <f t="shared" si="55"/>
        <v/>
      </c>
      <c r="CB29" t="str">
        <f t="shared" si="56"/>
        <v/>
      </c>
      <c r="CC29" t="str">
        <f t="shared" si="57"/>
        <v/>
      </c>
      <c r="CD29" t="str">
        <f t="shared" si="58"/>
        <v/>
      </c>
      <c r="CE29" t="str">
        <f t="shared" si="59"/>
        <v/>
      </c>
      <c r="CF29" t="str">
        <f t="shared" si="60"/>
        <v/>
      </c>
      <c r="CG29" t="str">
        <f t="shared" si="61"/>
        <v/>
      </c>
      <c r="CH29" t="str">
        <f t="shared" si="246"/>
        <v/>
      </c>
      <c r="CI29" t="str">
        <f t="shared" si="247"/>
        <v/>
      </c>
      <c r="CJ29" t="str">
        <f>IF($CI29="","",IF(OR($DW29="",$DX29=""),"ONZEKER",IF(OR($CF29="",$CG29=""),"ONZEKER",IF(AND($DW29=$CF29+1,$DX29=$CG29),IF(OR(COUNTIF(#REF!,$B29)&gt;0,COUNTIF(#REF!,$B29)=0),"SKIP",IF(COUNTIFS(#REF!,$B29,#REF!,$CI29)&gt;0,"OK","ONBEKEND")),IF(AND($DW29=$CF29,$DX29=$CG29+1),IF(OR(COUNTIF(#REF!,$D29)&gt;0,COUNTIF(#REF!,$D29)=0),"SKIP",IF(COUNTIFS(#REF!,$D29,#REF!,$CI29)&gt;0,"OK","ONBEKEND")),"ONZEKER")))))</f>
        <v/>
      </c>
      <c r="CK29" t="str">
        <f t="shared" si="248"/>
        <v/>
      </c>
      <c r="CL29" t="str">
        <f t="shared" si="249"/>
        <v/>
      </c>
      <c r="CM29" t="str">
        <f>IF($CL29="","",IF(OR($DZ29="",$EA29=""),"ONZEKER",IF(OR($DW29="",$DX29=""),"ONZEKER",IF(AND($DZ29=$DW29+1,$EA29=$DX29),IF(OR(COUNTIF(#REF!,$B29)&gt;0,COUNTIF(#REF!,$B29)=0),"SKIP",IF(COUNTIFS(#REF!,$B29,#REF!,$CL29)&gt;0,"OK","ONBEKEND")),IF(AND($DZ29=$DW29,$EA29=$DX29+1),IF(OR(COUNTIF(#REF!,$D29)&gt;0,COUNTIF(#REF!,$D29)=0),"SKIP",IF(COUNTIFS(#REF!,$D29,#REF!,$CL29)&gt;0,"OK","ONBEKEND")),"ONZEKER")))))</f>
        <v/>
      </c>
      <c r="CN29" t="str">
        <f t="shared" si="250"/>
        <v/>
      </c>
      <c r="CO29" t="str">
        <f t="shared" si="251"/>
        <v/>
      </c>
      <c r="CP29" t="str">
        <f>IF($CO29="","",IF(OR($EC29="",$ED29=""),"ONZEKER",IF(OR($DZ29="",$EA29=""),"ONZEKER",IF(AND($EC29=$DZ29+1,$ED29=$EA29),IF(OR(COUNTIF(#REF!,$B29)&gt;0,COUNTIF(#REF!,$B29)=0),"SKIP",IF(COUNTIFS(#REF!,$B29,#REF!,$CO29)&gt;0,"OK","ONBEKEND")),IF(AND($EC29=$DZ29,$ED29=$EA29+1),IF(OR(COUNTIF(#REF!,$D29)&gt;0,COUNTIF(#REF!,$D29)=0),"SKIP",IF(COUNTIFS(#REF!,$D29,#REF!,$CO29)&gt;0,"OK","ONBEKEND")),"ONZEKER")))))</f>
        <v/>
      </c>
      <c r="CQ29" t="str">
        <f t="shared" si="252"/>
        <v/>
      </c>
      <c r="CR29" t="str">
        <f t="shared" si="253"/>
        <v/>
      </c>
      <c r="CS29" t="str">
        <f>IF($CR29="","",IF(OR($EF29="",$EG29=""),"ONZEKER",IF(OR($EC29="",$ED29=""),"ONZEKER",IF(AND($EF29=$EC29+1,$EG29=$ED29),IF(OR(COUNTIF(#REF!,$B29)&gt;0,COUNTIF(#REF!,$B29)=0),"SKIP",IF(COUNTIFS(#REF!,$B29,#REF!,$CR29)&gt;0,"OK","ONBEKEND")),IF(AND($EF29=$EC29,$EG29=$ED29+1),IF(OR(COUNTIF(#REF!,$D29)&gt;0,COUNTIF(#REF!,$D29)=0),"SKIP",IF(COUNTIFS(#REF!,$D29,#REF!,$CR29)&gt;0,"OK","ONBEKEND")),"ONZEKER")))))</f>
        <v/>
      </c>
      <c r="CT29" t="str">
        <f t="shared" si="254"/>
        <v/>
      </c>
      <c r="CU29" t="str">
        <f t="shared" si="255"/>
        <v/>
      </c>
      <c r="CV29" t="str">
        <f>IF($CU29="","",IF(OR($EI29="",$EJ29=""),"ONZEKER",IF(OR($EF29="",$EG29=""),"ONZEKER",IF(AND($EI29=$EF29+1,$EJ29=$EG29),IF(OR(COUNTIF(#REF!,$B29)&gt;0,COUNTIF(#REF!,$B29)=0),"SKIP",IF(COUNTIFS(#REF!,$B29,#REF!,$CU29)&gt;0,"OK","ONBEKEND")),IF(AND($EI29=$EF29,$EJ29=$EG29+1),IF(OR(COUNTIF(#REF!,$D29)&gt;0,COUNTIF(#REF!,$D29)=0),"SKIP",IF(COUNTIFS(#REF!,$D29,#REF!,$CU29)&gt;0,"OK","ONBEKEND")),"ONZEKER")))))</f>
        <v/>
      </c>
      <c r="CW29" t="str">
        <f t="shared" si="256"/>
        <v/>
      </c>
      <c r="CX29" t="str">
        <f t="shared" si="257"/>
        <v/>
      </c>
      <c r="CY29" t="str">
        <f>IF($CX29="","",IF(OR($EL29="",$EM29=""),"ONZEKER",IF(OR($EI29="",$EJ29=""),"ONZEKER",IF(AND($EL29=$EI29+1,$EM29=$EJ29),IF(OR(COUNTIF(#REF!,$B29)&gt;0,COUNTIF(#REF!,$B29)=0),"SKIP",IF(COUNTIFS(#REF!,$B29,#REF!,$CX29)&gt;0,"OK","ONBEKEND")),IF(AND($EL29=$EI29,$EM29=$EJ29+1),IF(OR(COUNTIF(#REF!,$D29)&gt;0,COUNTIF(#REF!,$D29)=0),"SKIP",IF(COUNTIFS(#REF!,$D29,#REF!,$CX29)&gt;0,"OK","ONBEKEND")),"ONZEKER")))))</f>
        <v/>
      </c>
      <c r="CZ29" t="str">
        <f t="shared" si="258"/>
        <v/>
      </c>
      <c r="DA29" t="str">
        <f t="shared" si="259"/>
        <v/>
      </c>
      <c r="DB29" t="str">
        <f>IF($DA29="","",IF(OR($EO29="",$EP29=""),"ONZEKER",IF(OR($EL29="",$EM29=""),"ONZEKER",IF(AND($EO29=$EL29+1,$EP29=$EM29),IF(OR(COUNTIF(#REF!,$B29)&gt;0,COUNTIF(#REF!,$B29)=0),"SKIP",IF(COUNTIFS(#REF!,$B29,#REF!,$DA29)&gt;0,"OK","ONBEKEND")),IF(AND($EO29=$EL29,$EP29=$EM29+1),IF(OR(COUNTIF(#REF!,$D29)&gt;0,COUNTIF(#REF!,$D29)=0),"SKIP",IF(COUNTIFS(#REF!,$D29,#REF!,$DA29)&gt;0,"OK","ONBEKEND")),"ONZEKER")))))</f>
        <v/>
      </c>
      <c r="DC29" t="str">
        <f t="shared" si="260"/>
        <v/>
      </c>
      <c r="DD29" t="str">
        <f t="shared" si="261"/>
        <v/>
      </c>
      <c r="DE29" t="str">
        <f>IF($DD29="","",IF(OR($ER29="",$ES29=""),"ONZEKER",IF(OR($EO29="",$EP29=""),"ONZEKER",IF(AND($ER29=$EO29+1,$ES29=$EP29),IF(OR(COUNTIF(#REF!,$B29)&gt;0,COUNTIF(#REF!,$B29)=0),"SKIP",IF(COUNTIFS(#REF!,$B29,#REF!,$DD29)&gt;0,"OK","ONBEKEND")),IF(AND($ER29=$EO29,$ES29=$EP29+1),IF(OR(COUNTIF(#REF!,$D29)&gt;0,COUNTIF(#REF!,$D29)=0),"SKIP",IF(COUNTIFS(#REF!,$D29,#REF!,$DD29)&gt;0,"OK","ONBEKEND")),"ONZEKER")))))</f>
        <v/>
      </c>
      <c r="DF29" t="str">
        <f t="shared" si="262"/>
        <v/>
      </c>
      <c r="DG29" t="str">
        <f t="shared" si="263"/>
        <v/>
      </c>
      <c r="DH29" t="str">
        <f>IF($DG29="","",IF(OR($EU29="",$EV29=""),"ONZEKER",IF(OR($ER29="",$ES29=""),"ONZEKER",IF(AND($EU29=$ER29+1,$EV29=$ES29),IF(OR(COUNTIF(#REF!,$B29)&gt;0,COUNTIF(#REF!,$B29)=0),"SKIP",IF(COUNTIFS(#REF!,$B29,#REF!,$DG29)&gt;0,"OK","ONBEKEND")),IF(AND($EU29=$ER29,$EV29=$ES29+1),IF(OR(COUNTIF(#REF!,$D29)&gt;0,COUNTIF(#REF!,$D29)=0),"SKIP",IF(COUNTIFS(#REF!,$D29,#REF!,$DG29)&gt;0,"OK","ONBEKEND")),"ONZEKER")))))</f>
        <v/>
      </c>
      <c r="DI29" t="str">
        <f t="shared" si="264"/>
        <v/>
      </c>
      <c r="DJ29" t="str">
        <f t="shared" si="265"/>
        <v/>
      </c>
      <c r="DK29" t="str">
        <f>IF($DJ29="","",IF(OR($EX29="",$EY29=""),"ONZEKER",IF(OR($EU29="",$EV29=""),"ONZEKER",IF(AND($EX29=$EU29+1,$EY29=$EV29),IF(OR(COUNTIF(#REF!,$B29)&gt;0,COUNTIF(#REF!,$B29)=0),"SKIP",IF(COUNTIFS(#REF!,$B29,#REF!,$DJ29)&gt;0,"OK","ONBEKEND")),IF(AND($EX29=$EU29,$EY29=$EV29+1),IF(OR(COUNTIF(#REF!,$D29)&gt;0,COUNTIF(#REF!,$D29)=0),"SKIP",IF(COUNTIFS(#REF!,$D29,#REF!,$DJ29)&gt;0,"OK","ONBEKEND")),"ONZEKER")))))</f>
        <v/>
      </c>
      <c r="DL29" t="str">
        <f t="shared" si="266"/>
        <v/>
      </c>
      <c r="DM29" t="str">
        <f t="shared" si="267"/>
        <v/>
      </c>
      <c r="DN29" t="str">
        <f t="shared" si="268"/>
        <v/>
      </c>
      <c r="DO29" t="str">
        <f t="shared" si="269"/>
        <v/>
      </c>
      <c r="DP29" t="str">
        <f t="shared" si="270"/>
        <v/>
      </c>
      <c r="DQ29" t="str">
        <f t="shared" si="271"/>
        <v/>
      </c>
      <c r="DR29" t="str">
        <f t="shared" si="272"/>
        <v/>
      </c>
      <c r="DS29" t="str">
        <f t="shared" si="273"/>
        <v/>
      </c>
      <c r="DT29" t="str">
        <f t="shared" si="274"/>
        <v/>
      </c>
      <c r="DU29" t="str">
        <f t="shared" si="275"/>
        <v/>
      </c>
      <c r="DV29" t="str">
        <f t="shared" si="276"/>
        <v/>
      </c>
      <c r="DW29" t="str">
        <f t="shared" si="277"/>
        <v/>
      </c>
      <c r="DX29" t="str">
        <f t="shared" si="278"/>
        <v/>
      </c>
      <c r="DY29" t="str">
        <f t="shared" si="279"/>
        <v/>
      </c>
      <c r="DZ29" t="str">
        <f t="shared" si="280"/>
        <v/>
      </c>
      <c r="EA29" t="str">
        <f t="shared" si="281"/>
        <v/>
      </c>
      <c r="EB29" t="str">
        <f t="shared" si="282"/>
        <v/>
      </c>
      <c r="EC29" t="str">
        <f t="shared" si="283"/>
        <v/>
      </c>
      <c r="ED29" t="str">
        <f t="shared" si="284"/>
        <v/>
      </c>
      <c r="EE29" t="str">
        <f t="shared" si="285"/>
        <v/>
      </c>
      <c r="EF29" t="str">
        <f t="shared" si="286"/>
        <v/>
      </c>
      <c r="EG29" t="str">
        <f t="shared" si="287"/>
        <v/>
      </c>
      <c r="EH29" t="str">
        <f t="shared" si="288"/>
        <v/>
      </c>
      <c r="EI29" t="str">
        <f t="shared" si="289"/>
        <v/>
      </c>
      <c r="EJ29" t="str">
        <f t="shared" si="290"/>
        <v/>
      </c>
      <c r="EK29" t="str">
        <f t="shared" si="291"/>
        <v/>
      </c>
      <c r="EL29" t="str">
        <f t="shared" si="292"/>
        <v/>
      </c>
      <c r="EM29" t="str">
        <f t="shared" si="293"/>
        <v/>
      </c>
      <c r="EN29" t="str">
        <f t="shared" si="294"/>
        <v/>
      </c>
      <c r="EO29" t="str">
        <f t="shared" si="295"/>
        <v/>
      </c>
      <c r="EP29" t="str">
        <f t="shared" si="296"/>
        <v/>
      </c>
      <c r="EQ29" t="str">
        <f t="shared" si="297"/>
        <v/>
      </c>
      <c r="ER29" t="str">
        <f t="shared" si="298"/>
        <v/>
      </c>
      <c r="ES29" t="str">
        <f t="shared" si="299"/>
        <v/>
      </c>
      <c r="ET29" t="str">
        <f t="shared" si="300"/>
        <v/>
      </c>
      <c r="EU29" t="str">
        <f t="shared" si="301"/>
        <v/>
      </c>
      <c r="EV29" t="str">
        <f t="shared" si="302"/>
        <v/>
      </c>
      <c r="EW29" t="str">
        <f t="shared" si="303"/>
        <v/>
      </c>
      <c r="EX29" t="str">
        <f t="shared" si="304"/>
        <v/>
      </c>
      <c r="EY29" t="str">
        <f t="shared" si="305"/>
        <v/>
      </c>
    </row>
    <row r="30" spans="1:155" ht="13.9" customHeight="1" x14ac:dyDescent="0.25">
      <c r="A30" s="7"/>
      <c r="B30" s="17"/>
      <c r="C30" s="8"/>
      <c r="D30" s="17"/>
      <c r="E30" s="8"/>
      <c r="F30" s="18">
        <v>0</v>
      </c>
      <c r="G30" s="7" t="s">
        <v>147</v>
      </c>
      <c r="H30" s="18">
        <v>0</v>
      </c>
      <c r="I30" s="19">
        <v>0</v>
      </c>
      <c r="J30" s="7" t="s">
        <v>147</v>
      </c>
      <c r="K30" s="19">
        <v>0</v>
      </c>
      <c r="L30" s="9"/>
      <c r="M30" s="3" t="str">
        <f>IF($L30="","",IF($L30="DOELPUNTENMAKERS","",IF(AND(COUNTIF(#REF!,$B30)=0,COUNTIF(#REF!,$D30)=0),"OK",IF($O30&gt;20,"LET OP: meer dan 20 items (controle onvolledig)",IF((COUNTIF($R30:$AS30,"ONZEKER")+COUNTIF($CJ30:$DK30,"ONZEKER"))&gt;0,"LET OP: scoreverloop onduidelijk (controle beperkt)",IF((IF($AT30&lt;&gt;"",$AT30&amp;", ","")&amp;IF($AU30&lt;&gt;"",$AU30&amp;", ","")&amp;IF($AV30&lt;&gt;"",$AV30&amp;", ","")&amp;IF($AW30&lt;&gt;"",$AW30&amp;", ","")&amp;IF($AX30&lt;&gt;"",$AX30&amp;", ","")&amp;IF($AY30&lt;&gt;"",$AY30&amp;", ","")&amp;IF($AZ30&lt;&gt;"",$AZ30&amp;", ","")&amp;IF($BA30&lt;&gt;"",$BA30&amp;", ","")&amp;IF($BB30&lt;&gt;"",$BB30&amp;", ","")&amp;IF($BC30&lt;&gt;"",$BC30&amp;", ","")&amp;IF($DL30&lt;&gt;"",$DL30&amp;", ","")&amp;IF($DM30&lt;&gt;"",$DM30&amp;", ","")&amp;IF($DN30&lt;&gt;"",$DN30&amp;", ","")&amp;IF($DO30&lt;&gt;"",$DO30&amp;", ","")&amp;IF($DP30&lt;&gt;"",$DP30&amp;", ","")&amp;IF($DQ30&lt;&gt;"",$DQ30&amp;", ","")&amp;IF($DR30&lt;&gt;"",$DR30&amp;", ","")&amp;IF($DS30&lt;&gt;"",$DS30&amp;", ","")&amp;IF($DT30&lt;&gt;"",$DT30&amp;", ","")&amp;IF($DU30&lt;&gt;"",$DU30&amp;", ",""))="","OK","Onbekend: "&amp;LEFT((IF($AT30&lt;&gt;"",$AT30&amp;", ","")&amp;IF($AU30&lt;&gt;"",$AU30&amp;", ","")&amp;IF($AV30&lt;&gt;"",$AV30&amp;", ","")&amp;IF($AW30&lt;&gt;"",$AW30&amp;", ","")&amp;IF($AX30&lt;&gt;"",$AX30&amp;", ","")&amp;IF($AY30&lt;&gt;"",$AY30&amp;", ","")&amp;IF($AZ30&lt;&gt;"",$AZ30&amp;", ","")&amp;IF($BA30&lt;&gt;"",$BA30&amp;", ","")&amp;IF($BB30&lt;&gt;"",$BB30&amp;", ","")&amp;IF($BC30&lt;&gt;"",$BC30&amp;", ","")&amp;IF($DL30&lt;&gt;"",$DL30&amp;", ","")&amp;IF($DM30&lt;&gt;"",$DM30&amp;", ","")&amp;IF($DN30&lt;&gt;"",$DN30&amp;", ","")&amp;IF($DO30&lt;&gt;"",$DO30&amp;", ","")&amp;IF($DP30&lt;&gt;"",$DP30&amp;", ","")&amp;IF($DQ30&lt;&gt;"",$DQ30&amp;", ","")&amp;IF($DR30&lt;&gt;"",$DR30&amp;", ","")&amp;IF($DS30&lt;&gt;"",$DS30&amp;", ","")&amp;IF($DT30&lt;&gt;"",$DT30&amp;", ","")&amp;IF($DU30&lt;&gt;"",$DU30&amp;", ","")),LEN((IF($AT30&lt;&gt;"",$AT30&amp;", ","")&amp;IF($AU30&lt;&gt;"",$AU30&amp;", ","")&amp;IF($AV30&lt;&gt;"",$AV30&amp;", ","")&amp;IF($AW30&lt;&gt;"",$AW30&amp;", ","")&amp;IF($AX30&lt;&gt;"",$AX30&amp;", ","")&amp;IF($AY30&lt;&gt;"",$AY30&amp;", ","")&amp;IF($AZ30&lt;&gt;"",$AZ30&amp;", ","")&amp;IF($BA30&lt;&gt;"",$BA30&amp;", ","")&amp;IF($BB30&lt;&gt;"",$BB30&amp;", ","")&amp;IF($BC30&lt;&gt;"",$BC30&amp;", ","")&amp;IF($DL30&lt;&gt;"",$DL30&amp;", ","")&amp;IF($DM30&lt;&gt;"",$DM30&amp;", ","")&amp;IF($DN30&lt;&gt;"",$DN30&amp;", ","")&amp;IF($DO30&lt;&gt;"",$DO30&amp;", ","")&amp;IF($DP30&lt;&gt;"",$DP30&amp;", ","")&amp;IF($DQ30&lt;&gt;"",$DQ30&amp;", ","")&amp;IF($DR30&lt;&gt;"",$DR30&amp;", ","")&amp;IF($DS30&lt;&gt;"",$DS30&amp;", ","")&amp;IF($DT30&lt;&gt;"",$DT30&amp;", ","")&amp;IF($DU30&lt;&gt;"",$DU30&amp;", ","")))-2)))))))</f>
        <v/>
      </c>
      <c r="N30" t="str">
        <f t="shared" si="214"/>
        <v/>
      </c>
      <c r="O30" t="str">
        <f t="shared" si="215"/>
        <v/>
      </c>
      <c r="P30" t="str">
        <f t="shared" si="216"/>
        <v/>
      </c>
      <c r="Q30" t="str">
        <f t="shared" si="217"/>
        <v/>
      </c>
      <c r="R30" t="str">
        <f>IF($Q30="","",IF(OR($BE30="",$BF30=""),"ONZEKER",IF(AND($BE30=0+1,$BF30=0),IF(OR(COUNTIF(#REF!,$B30)&gt;0,COUNTIF(#REF!,$B30)=0),"SKIP",IF(COUNTIFS(#REF!,$B30,#REF!,$Q30)&gt;0,"OK","ONBEKEND")),IF(AND($BE30=0,$BF30=0+1),IF(OR(COUNTIF(#REF!,$D30)&gt;0,COUNTIF(#REF!,$D30)=0),"SKIP",IF(COUNTIFS(#REF!,$D30,#REF!,$Q30)&gt;0,"OK","ONBEKEND")),"ONZEKER"))))</f>
        <v/>
      </c>
      <c r="S30" t="str">
        <f t="shared" si="218"/>
        <v/>
      </c>
      <c r="T30" t="str">
        <f t="shared" si="219"/>
        <v/>
      </c>
      <c r="U30" t="str">
        <f>IF($T30="","",IF(OR($BH30="",$BI30=""),"ONZEKER",IF(OR($BE30="",$BF30=""),"ONZEKER",IF(AND($BH30=$BE30+1,$BI30=$BF30),IF(OR(COUNTIF(#REF!,$B30)&gt;0,COUNTIF(#REF!,$B30)=0),"SKIP",IF(COUNTIFS(#REF!,$B30,#REF!,$T30)&gt;0,"OK","ONBEKEND")),IF(AND($BH30=$BE30,$BI30=$BF30+1),IF(OR(COUNTIF(#REF!,$D30)&gt;0,COUNTIF(#REF!,$D30)=0),"SKIP",IF(COUNTIFS(#REF!,$D30,#REF!,$T30)&gt;0,"OK","ONBEKEND")),"ONZEKER")))))</f>
        <v/>
      </c>
      <c r="V30" t="str">
        <f t="shared" si="220"/>
        <v/>
      </c>
      <c r="W30" t="str">
        <f t="shared" si="221"/>
        <v/>
      </c>
      <c r="X30" t="str">
        <f>IF($W30="","",IF(OR($BK30="",$BL30=""),"ONZEKER",IF(OR($BH30="",$BI30=""),"ONZEKER",IF(AND($BK30=$BH30+1,$BL30=$BI30),IF(OR(COUNTIF(#REF!,$B30)&gt;0,COUNTIF(#REF!,$B30)=0),"SKIP",IF(COUNTIFS(#REF!,$B30,#REF!,$W30)&gt;0,"OK","ONBEKEND")),IF(AND($BK30=$BH30,$BL30=$BI30+1),IF(OR(COUNTIF(#REF!,$D30)&gt;0,COUNTIF(#REF!,$D30)=0),"SKIP",IF(COUNTIFS(#REF!,$D30,#REF!,$W30)&gt;0,"OK","ONBEKEND")),"ONZEKER")))))</f>
        <v/>
      </c>
      <c r="Y30" t="str">
        <f t="shared" si="222"/>
        <v/>
      </c>
      <c r="Z30" t="str">
        <f t="shared" si="223"/>
        <v/>
      </c>
      <c r="AA30" t="str">
        <f>IF($Z30="","",IF(OR($BN30="",$BO30=""),"ONZEKER",IF(OR($BK30="",$BL30=""),"ONZEKER",IF(AND($BN30=$BK30+1,$BO30=$BL30),IF(OR(COUNTIF(#REF!,$B30)&gt;0,COUNTIF(#REF!,$B30)=0),"SKIP",IF(COUNTIFS(#REF!,$B30,#REF!,$Z30)&gt;0,"OK","ONBEKEND")),IF(AND($BN30=$BK30,$BO30=$BL30+1),IF(OR(COUNTIF(#REF!,$D30)&gt;0,COUNTIF(#REF!,$D30)=0),"SKIP",IF(COUNTIFS(#REF!,$D30,#REF!,$Z30)&gt;0,"OK","ONBEKEND")),"ONZEKER")))))</f>
        <v/>
      </c>
      <c r="AB30" t="str">
        <f t="shared" si="224"/>
        <v/>
      </c>
      <c r="AC30" t="str">
        <f t="shared" si="225"/>
        <v/>
      </c>
      <c r="AD30" t="str">
        <f>IF($AC30="","",IF(OR($BQ30="",$BR30=""),"ONZEKER",IF(OR($BN30="",$BO30=""),"ONZEKER",IF(AND($BQ30=$BN30+1,$BR30=$BO30),IF(OR(COUNTIF(#REF!,$B30)&gt;0,COUNTIF(#REF!,$B30)=0),"SKIP",IF(COUNTIFS(#REF!,$B30,#REF!,$AC30)&gt;0,"OK","ONBEKEND")),IF(AND($BQ30=$BN30,$BR30=$BO30+1),IF(OR(COUNTIF(#REF!,$D30)&gt;0,COUNTIF(#REF!,$D30)=0),"SKIP",IF(COUNTIFS(#REF!,$D30,#REF!,$AC30)&gt;0,"OK","ONBEKEND")),"ONZEKER")))))</f>
        <v/>
      </c>
      <c r="AE30" t="str">
        <f t="shared" si="226"/>
        <v/>
      </c>
      <c r="AF30" t="str">
        <f t="shared" si="227"/>
        <v/>
      </c>
      <c r="AG30" t="str">
        <f>IF($AF30="","",IF(OR($BT30="",$BU30=""),"ONZEKER",IF(OR($BQ30="",$BR30=""),"ONZEKER",IF(AND($BT30=$BQ30+1,$BU30=$BR30),IF(OR(COUNTIF(#REF!,$B30)&gt;0,COUNTIF(#REF!,$B30)=0),"SKIP",IF(COUNTIFS(#REF!,$B30,#REF!,$AF30)&gt;0,"OK","ONBEKEND")),IF(AND($BT30=$BQ30,$BU30=$BR30+1),IF(OR(COUNTIF(#REF!,$D30)&gt;0,COUNTIF(#REF!,$D30)=0),"SKIP",IF(COUNTIFS(#REF!,$D30,#REF!,$AF30)&gt;0,"OK","ONBEKEND")),"ONZEKER")))))</f>
        <v/>
      </c>
      <c r="AH30" t="str">
        <f t="shared" si="228"/>
        <v/>
      </c>
      <c r="AI30" t="str">
        <f t="shared" si="229"/>
        <v/>
      </c>
      <c r="AJ30" t="str">
        <f>IF($AI30="","",IF(OR($BW30="",$BX30=""),"ONZEKER",IF(OR($BT30="",$BU30=""),"ONZEKER",IF(AND($BW30=$BT30+1,$BX30=$BU30),IF(OR(COUNTIF(#REF!,$B30)&gt;0,COUNTIF(#REF!,$B30)=0),"SKIP",IF(COUNTIFS(#REF!,$B30,#REF!,$AI30)&gt;0,"OK","ONBEKEND")),IF(AND($BW30=$BT30,$BX30=$BU30+1),IF(OR(COUNTIF(#REF!,$D30)&gt;0,COUNTIF(#REF!,$D30)=0),"SKIP",IF(COUNTIFS(#REF!,$D30,#REF!,$AI30)&gt;0,"OK","ONBEKEND")),"ONZEKER")))))</f>
        <v/>
      </c>
      <c r="AK30" t="str">
        <f t="shared" si="230"/>
        <v/>
      </c>
      <c r="AL30" t="str">
        <f t="shared" si="231"/>
        <v/>
      </c>
      <c r="AM30" t="str">
        <f>IF($AL30="","",IF(OR($BZ30="",$CA30=""),"ONZEKER",IF(OR($BW30="",$BX30=""),"ONZEKER",IF(AND($BZ30=$BW30+1,$CA30=$BX30),IF(OR(COUNTIF(#REF!,$B30)&gt;0,COUNTIF(#REF!,$B30)=0),"SKIP",IF(COUNTIFS(#REF!,$B30,#REF!,$AL30)&gt;0,"OK","ONBEKEND")),IF(AND($BZ30=$BW30,$CA30=$BX30+1),IF(OR(COUNTIF(#REF!,$D30)&gt;0,COUNTIF(#REF!,$D30)=0),"SKIP",IF(COUNTIFS(#REF!,$D30,#REF!,$AL30)&gt;0,"OK","ONBEKEND")),"ONZEKER")))))</f>
        <v/>
      </c>
      <c r="AN30" t="str">
        <f t="shared" si="232"/>
        <v/>
      </c>
      <c r="AO30" t="str">
        <f t="shared" si="233"/>
        <v/>
      </c>
      <c r="AP30" t="str">
        <f>IF($AO30="","",IF(OR($CC30="",$CD30=""),"ONZEKER",IF(OR($BZ30="",$CA30=""),"ONZEKER",IF(AND($CC30=$BZ30+1,$CD30=$CA30),IF(OR(COUNTIF(#REF!,$B30)&gt;0,COUNTIF(#REF!,$B30)=0),"SKIP",IF(COUNTIFS(#REF!,$B30,#REF!,$AO30)&gt;0,"OK","ONBEKEND")),IF(AND($CC30=$BZ30,$CD30=$CA30+1),IF(OR(COUNTIF(#REF!,$D30)&gt;0,COUNTIF(#REF!,$D30)=0),"SKIP",IF(COUNTIFS(#REF!,$D30,#REF!,$AO30)&gt;0,"OK","ONBEKEND")),"ONZEKER")))))</f>
        <v/>
      </c>
      <c r="AQ30" t="str">
        <f t="shared" si="234"/>
        <v/>
      </c>
      <c r="AR30" t="str">
        <f t="shared" si="235"/>
        <v/>
      </c>
      <c r="AS30" t="str">
        <f>IF($AR30="","",IF(OR($CF30="",$CG30=""),"ONZEKER",IF(OR($CC30="",$CD30=""),"ONZEKER",IF(AND($CF30=$CC30+1,$CG30=$CD30),IF(OR(COUNTIF(#REF!,$B30)&gt;0,COUNTIF(#REF!,$B30)=0),"SKIP",IF(COUNTIFS(#REF!,$B30,#REF!,$AR30)&gt;0,"OK","ONBEKEND")),IF(AND($CF30=$CC30,$CG30=$CD30+1),IF(OR(COUNTIF(#REF!,$D30)&gt;0,COUNTIF(#REF!,$D30)=0),"SKIP",IF(COUNTIFS(#REF!,$D30,#REF!,$AR30)&gt;0,"OK","ONBEKEND")),"ONZEKER")))))</f>
        <v/>
      </c>
      <c r="AT30" t="str">
        <f t="shared" si="236"/>
        <v/>
      </c>
      <c r="AU30" t="str">
        <f t="shared" si="237"/>
        <v/>
      </c>
      <c r="AV30" t="str">
        <f t="shared" si="238"/>
        <v/>
      </c>
      <c r="AW30" t="str">
        <f t="shared" si="239"/>
        <v/>
      </c>
      <c r="AX30" t="str">
        <f t="shared" si="240"/>
        <v/>
      </c>
      <c r="AY30" t="str">
        <f t="shared" si="241"/>
        <v/>
      </c>
      <c r="AZ30" t="str">
        <f t="shared" si="242"/>
        <v/>
      </c>
      <c r="BA30" t="str">
        <f t="shared" si="243"/>
        <v/>
      </c>
      <c r="BB30" t="str">
        <f t="shared" si="244"/>
        <v/>
      </c>
      <c r="BC30" t="str">
        <f t="shared" si="245"/>
        <v/>
      </c>
      <c r="BD30" t="str">
        <f t="shared" si="32"/>
        <v/>
      </c>
      <c r="BE30" t="str">
        <f t="shared" si="33"/>
        <v/>
      </c>
      <c r="BF30" t="str">
        <f t="shared" si="34"/>
        <v/>
      </c>
      <c r="BG30" t="str">
        <f t="shared" si="35"/>
        <v/>
      </c>
      <c r="BH30" t="str">
        <f t="shared" si="36"/>
        <v/>
      </c>
      <c r="BI30" t="str">
        <f t="shared" si="37"/>
        <v/>
      </c>
      <c r="BJ30" t="str">
        <f t="shared" si="38"/>
        <v/>
      </c>
      <c r="BK30" t="str">
        <f t="shared" si="39"/>
        <v/>
      </c>
      <c r="BL30" t="str">
        <f t="shared" si="40"/>
        <v/>
      </c>
      <c r="BM30" t="str">
        <f t="shared" si="41"/>
        <v/>
      </c>
      <c r="BN30" t="str">
        <f t="shared" si="42"/>
        <v/>
      </c>
      <c r="BO30" t="str">
        <f t="shared" si="43"/>
        <v/>
      </c>
      <c r="BP30" t="str">
        <f t="shared" si="44"/>
        <v/>
      </c>
      <c r="BQ30" t="str">
        <f t="shared" si="45"/>
        <v/>
      </c>
      <c r="BR30" t="str">
        <f t="shared" si="46"/>
        <v/>
      </c>
      <c r="BS30" t="str">
        <f t="shared" si="47"/>
        <v/>
      </c>
      <c r="BT30" t="str">
        <f t="shared" si="48"/>
        <v/>
      </c>
      <c r="BU30" t="str">
        <f t="shared" si="49"/>
        <v/>
      </c>
      <c r="BV30" t="str">
        <f t="shared" si="50"/>
        <v/>
      </c>
      <c r="BW30" t="str">
        <f t="shared" si="51"/>
        <v/>
      </c>
      <c r="BX30" t="str">
        <f t="shared" si="52"/>
        <v/>
      </c>
      <c r="BY30" t="str">
        <f t="shared" si="53"/>
        <v/>
      </c>
      <c r="BZ30" t="str">
        <f t="shared" si="54"/>
        <v/>
      </c>
      <c r="CA30" t="str">
        <f t="shared" si="55"/>
        <v/>
      </c>
      <c r="CB30" t="str">
        <f t="shared" si="56"/>
        <v/>
      </c>
      <c r="CC30" t="str">
        <f t="shared" si="57"/>
        <v/>
      </c>
      <c r="CD30" t="str">
        <f t="shared" si="58"/>
        <v/>
      </c>
      <c r="CE30" t="str">
        <f t="shared" si="59"/>
        <v/>
      </c>
      <c r="CF30" t="str">
        <f t="shared" si="60"/>
        <v/>
      </c>
      <c r="CG30" t="str">
        <f t="shared" si="61"/>
        <v/>
      </c>
      <c r="CH30" t="str">
        <f t="shared" si="246"/>
        <v/>
      </c>
      <c r="CI30" t="str">
        <f t="shared" si="247"/>
        <v/>
      </c>
      <c r="CJ30" t="str">
        <f>IF($CI30="","",IF(OR($DW30="",$DX30=""),"ONZEKER",IF(OR($CF30="",$CG30=""),"ONZEKER",IF(AND($DW30=$CF30+1,$DX30=$CG30),IF(OR(COUNTIF(#REF!,$B30)&gt;0,COUNTIF(#REF!,$B30)=0),"SKIP",IF(COUNTIFS(#REF!,$B30,#REF!,$CI30)&gt;0,"OK","ONBEKEND")),IF(AND($DW30=$CF30,$DX30=$CG30+1),IF(OR(COUNTIF(#REF!,$D30)&gt;0,COUNTIF(#REF!,$D30)=0),"SKIP",IF(COUNTIFS(#REF!,$D30,#REF!,$CI30)&gt;0,"OK","ONBEKEND")),"ONZEKER")))))</f>
        <v/>
      </c>
      <c r="CK30" t="str">
        <f t="shared" si="248"/>
        <v/>
      </c>
      <c r="CL30" t="str">
        <f t="shared" si="249"/>
        <v/>
      </c>
      <c r="CM30" t="str">
        <f>IF($CL30="","",IF(OR($DZ30="",$EA30=""),"ONZEKER",IF(OR($DW30="",$DX30=""),"ONZEKER",IF(AND($DZ30=$DW30+1,$EA30=$DX30),IF(OR(COUNTIF(#REF!,$B30)&gt;0,COUNTIF(#REF!,$B30)=0),"SKIP",IF(COUNTIFS(#REF!,$B30,#REF!,$CL30)&gt;0,"OK","ONBEKEND")),IF(AND($DZ30=$DW30,$EA30=$DX30+1),IF(OR(COUNTIF(#REF!,$D30)&gt;0,COUNTIF(#REF!,$D30)=0),"SKIP",IF(COUNTIFS(#REF!,$D30,#REF!,$CL30)&gt;0,"OK","ONBEKEND")),"ONZEKER")))))</f>
        <v/>
      </c>
      <c r="CN30" t="str">
        <f t="shared" si="250"/>
        <v/>
      </c>
      <c r="CO30" t="str">
        <f t="shared" si="251"/>
        <v/>
      </c>
      <c r="CP30" t="str">
        <f>IF($CO30="","",IF(OR($EC30="",$ED30=""),"ONZEKER",IF(OR($DZ30="",$EA30=""),"ONZEKER",IF(AND($EC30=$DZ30+1,$ED30=$EA30),IF(OR(COUNTIF(#REF!,$B30)&gt;0,COUNTIF(#REF!,$B30)=0),"SKIP",IF(COUNTIFS(#REF!,$B30,#REF!,$CO30)&gt;0,"OK","ONBEKEND")),IF(AND($EC30=$DZ30,$ED30=$EA30+1),IF(OR(COUNTIF(#REF!,$D30)&gt;0,COUNTIF(#REF!,$D30)=0),"SKIP",IF(COUNTIFS(#REF!,$D30,#REF!,$CO30)&gt;0,"OK","ONBEKEND")),"ONZEKER")))))</f>
        <v/>
      </c>
      <c r="CQ30" t="str">
        <f t="shared" si="252"/>
        <v/>
      </c>
      <c r="CR30" t="str">
        <f t="shared" si="253"/>
        <v/>
      </c>
      <c r="CS30" t="str">
        <f>IF($CR30="","",IF(OR($EF30="",$EG30=""),"ONZEKER",IF(OR($EC30="",$ED30=""),"ONZEKER",IF(AND($EF30=$EC30+1,$EG30=$ED30),IF(OR(COUNTIF(#REF!,$B30)&gt;0,COUNTIF(#REF!,$B30)=0),"SKIP",IF(COUNTIFS(#REF!,$B30,#REF!,$CR30)&gt;0,"OK","ONBEKEND")),IF(AND($EF30=$EC30,$EG30=$ED30+1),IF(OR(COUNTIF(#REF!,$D30)&gt;0,COUNTIF(#REF!,$D30)=0),"SKIP",IF(COUNTIFS(#REF!,$D30,#REF!,$CR30)&gt;0,"OK","ONBEKEND")),"ONZEKER")))))</f>
        <v/>
      </c>
      <c r="CT30" t="str">
        <f t="shared" si="254"/>
        <v/>
      </c>
      <c r="CU30" t="str">
        <f t="shared" si="255"/>
        <v/>
      </c>
      <c r="CV30" t="str">
        <f>IF($CU30="","",IF(OR($EI30="",$EJ30=""),"ONZEKER",IF(OR($EF30="",$EG30=""),"ONZEKER",IF(AND($EI30=$EF30+1,$EJ30=$EG30),IF(OR(COUNTIF(#REF!,$B30)&gt;0,COUNTIF(#REF!,$B30)=0),"SKIP",IF(COUNTIFS(#REF!,$B30,#REF!,$CU30)&gt;0,"OK","ONBEKEND")),IF(AND($EI30=$EF30,$EJ30=$EG30+1),IF(OR(COUNTIF(#REF!,$D30)&gt;0,COUNTIF(#REF!,$D30)=0),"SKIP",IF(COUNTIFS(#REF!,$D30,#REF!,$CU30)&gt;0,"OK","ONBEKEND")),"ONZEKER")))))</f>
        <v/>
      </c>
      <c r="CW30" t="str">
        <f t="shared" si="256"/>
        <v/>
      </c>
      <c r="CX30" t="str">
        <f t="shared" si="257"/>
        <v/>
      </c>
      <c r="CY30" t="str">
        <f>IF($CX30="","",IF(OR($EL30="",$EM30=""),"ONZEKER",IF(OR($EI30="",$EJ30=""),"ONZEKER",IF(AND($EL30=$EI30+1,$EM30=$EJ30),IF(OR(COUNTIF(#REF!,$B30)&gt;0,COUNTIF(#REF!,$B30)=0),"SKIP",IF(COUNTIFS(#REF!,$B30,#REF!,$CX30)&gt;0,"OK","ONBEKEND")),IF(AND($EL30=$EI30,$EM30=$EJ30+1),IF(OR(COUNTIF(#REF!,$D30)&gt;0,COUNTIF(#REF!,$D30)=0),"SKIP",IF(COUNTIFS(#REF!,$D30,#REF!,$CX30)&gt;0,"OK","ONBEKEND")),"ONZEKER")))))</f>
        <v/>
      </c>
      <c r="CZ30" t="str">
        <f t="shared" si="258"/>
        <v/>
      </c>
      <c r="DA30" t="str">
        <f t="shared" si="259"/>
        <v/>
      </c>
      <c r="DB30" t="str">
        <f>IF($DA30="","",IF(OR($EO30="",$EP30=""),"ONZEKER",IF(OR($EL30="",$EM30=""),"ONZEKER",IF(AND($EO30=$EL30+1,$EP30=$EM30),IF(OR(COUNTIF(#REF!,$B30)&gt;0,COUNTIF(#REF!,$B30)=0),"SKIP",IF(COUNTIFS(#REF!,$B30,#REF!,$DA30)&gt;0,"OK","ONBEKEND")),IF(AND($EO30=$EL30,$EP30=$EM30+1),IF(OR(COUNTIF(#REF!,$D30)&gt;0,COUNTIF(#REF!,$D30)=0),"SKIP",IF(COUNTIFS(#REF!,$D30,#REF!,$DA30)&gt;0,"OK","ONBEKEND")),"ONZEKER")))))</f>
        <v/>
      </c>
      <c r="DC30" t="str">
        <f t="shared" si="260"/>
        <v/>
      </c>
      <c r="DD30" t="str">
        <f t="shared" si="261"/>
        <v/>
      </c>
      <c r="DE30" t="str">
        <f>IF($DD30="","",IF(OR($ER30="",$ES30=""),"ONZEKER",IF(OR($EO30="",$EP30=""),"ONZEKER",IF(AND($ER30=$EO30+1,$ES30=$EP30),IF(OR(COUNTIF(#REF!,$B30)&gt;0,COUNTIF(#REF!,$B30)=0),"SKIP",IF(COUNTIFS(#REF!,$B30,#REF!,$DD30)&gt;0,"OK","ONBEKEND")),IF(AND($ER30=$EO30,$ES30=$EP30+1),IF(OR(COUNTIF(#REF!,$D30)&gt;0,COUNTIF(#REF!,$D30)=0),"SKIP",IF(COUNTIFS(#REF!,$D30,#REF!,$DD30)&gt;0,"OK","ONBEKEND")),"ONZEKER")))))</f>
        <v/>
      </c>
      <c r="DF30" t="str">
        <f t="shared" si="262"/>
        <v/>
      </c>
      <c r="DG30" t="str">
        <f t="shared" si="263"/>
        <v/>
      </c>
      <c r="DH30" t="str">
        <f>IF($DG30="","",IF(OR($EU30="",$EV30=""),"ONZEKER",IF(OR($ER30="",$ES30=""),"ONZEKER",IF(AND($EU30=$ER30+1,$EV30=$ES30),IF(OR(COUNTIF(#REF!,$B30)&gt;0,COUNTIF(#REF!,$B30)=0),"SKIP",IF(COUNTIFS(#REF!,$B30,#REF!,$DG30)&gt;0,"OK","ONBEKEND")),IF(AND($EU30=$ER30,$EV30=$ES30+1),IF(OR(COUNTIF(#REF!,$D30)&gt;0,COUNTIF(#REF!,$D30)=0),"SKIP",IF(COUNTIFS(#REF!,$D30,#REF!,$DG30)&gt;0,"OK","ONBEKEND")),"ONZEKER")))))</f>
        <v/>
      </c>
      <c r="DI30" t="str">
        <f t="shared" si="264"/>
        <v/>
      </c>
      <c r="DJ30" t="str">
        <f t="shared" si="265"/>
        <v/>
      </c>
      <c r="DK30" t="str">
        <f>IF($DJ30="","",IF(OR($EX30="",$EY30=""),"ONZEKER",IF(OR($EU30="",$EV30=""),"ONZEKER",IF(AND($EX30=$EU30+1,$EY30=$EV30),IF(OR(COUNTIF(#REF!,$B30)&gt;0,COUNTIF(#REF!,$B30)=0),"SKIP",IF(COUNTIFS(#REF!,$B30,#REF!,$DJ30)&gt;0,"OK","ONBEKEND")),IF(AND($EX30=$EU30,$EY30=$EV30+1),IF(OR(COUNTIF(#REF!,$D30)&gt;0,COUNTIF(#REF!,$D30)=0),"SKIP",IF(COUNTIFS(#REF!,$D30,#REF!,$DJ30)&gt;0,"OK","ONBEKEND")),"ONZEKER")))))</f>
        <v/>
      </c>
      <c r="DL30" t="str">
        <f t="shared" si="266"/>
        <v/>
      </c>
      <c r="DM30" t="str">
        <f t="shared" si="267"/>
        <v/>
      </c>
      <c r="DN30" t="str">
        <f t="shared" si="268"/>
        <v/>
      </c>
      <c r="DO30" t="str">
        <f t="shared" si="269"/>
        <v/>
      </c>
      <c r="DP30" t="str">
        <f t="shared" si="270"/>
        <v/>
      </c>
      <c r="DQ30" t="str">
        <f t="shared" si="271"/>
        <v/>
      </c>
      <c r="DR30" t="str">
        <f t="shared" si="272"/>
        <v/>
      </c>
      <c r="DS30" t="str">
        <f t="shared" si="273"/>
        <v/>
      </c>
      <c r="DT30" t="str">
        <f t="shared" si="274"/>
        <v/>
      </c>
      <c r="DU30" t="str">
        <f t="shared" si="275"/>
        <v/>
      </c>
      <c r="DV30" t="str">
        <f t="shared" si="276"/>
        <v/>
      </c>
      <c r="DW30" t="str">
        <f t="shared" si="277"/>
        <v/>
      </c>
      <c r="DX30" t="str">
        <f t="shared" si="278"/>
        <v/>
      </c>
      <c r="DY30" t="str">
        <f t="shared" si="279"/>
        <v/>
      </c>
      <c r="DZ30" t="str">
        <f t="shared" si="280"/>
        <v/>
      </c>
      <c r="EA30" t="str">
        <f t="shared" si="281"/>
        <v/>
      </c>
      <c r="EB30" t="str">
        <f t="shared" si="282"/>
        <v/>
      </c>
      <c r="EC30" t="str">
        <f t="shared" si="283"/>
        <v/>
      </c>
      <c r="ED30" t="str">
        <f t="shared" si="284"/>
        <v/>
      </c>
      <c r="EE30" t="str">
        <f t="shared" si="285"/>
        <v/>
      </c>
      <c r="EF30" t="str">
        <f t="shared" si="286"/>
        <v/>
      </c>
      <c r="EG30" t="str">
        <f t="shared" si="287"/>
        <v/>
      </c>
      <c r="EH30" t="str">
        <f t="shared" si="288"/>
        <v/>
      </c>
      <c r="EI30" t="str">
        <f t="shared" si="289"/>
        <v/>
      </c>
      <c r="EJ30" t="str">
        <f t="shared" si="290"/>
        <v/>
      </c>
      <c r="EK30" t="str">
        <f t="shared" si="291"/>
        <v/>
      </c>
      <c r="EL30" t="str">
        <f t="shared" si="292"/>
        <v/>
      </c>
      <c r="EM30" t="str">
        <f t="shared" si="293"/>
        <v/>
      </c>
      <c r="EN30" t="str">
        <f t="shared" si="294"/>
        <v/>
      </c>
      <c r="EO30" t="str">
        <f t="shared" si="295"/>
        <v/>
      </c>
      <c r="EP30" t="str">
        <f t="shared" si="296"/>
        <v/>
      </c>
      <c r="EQ30" t="str">
        <f t="shared" si="297"/>
        <v/>
      </c>
      <c r="ER30" t="str">
        <f t="shared" si="298"/>
        <v/>
      </c>
      <c r="ES30" t="str">
        <f t="shared" si="299"/>
        <v/>
      </c>
      <c r="ET30" t="str">
        <f t="shared" si="300"/>
        <v/>
      </c>
      <c r="EU30" t="str">
        <f t="shared" si="301"/>
        <v/>
      </c>
      <c r="EV30" t="str">
        <f t="shared" si="302"/>
        <v/>
      </c>
      <c r="EW30" t="str">
        <f t="shared" si="303"/>
        <v/>
      </c>
      <c r="EX30" t="str">
        <f t="shared" si="304"/>
        <v/>
      </c>
      <c r="EY30" t="str">
        <f t="shared" si="305"/>
        <v/>
      </c>
    </row>
    <row r="31" spans="1:155" ht="13.9" customHeight="1" x14ac:dyDescent="0.25">
      <c r="A31" s="7"/>
      <c r="B31" s="17"/>
      <c r="C31" s="8"/>
      <c r="D31" s="17"/>
      <c r="E31" s="8"/>
      <c r="F31" s="18">
        <v>0</v>
      </c>
      <c r="G31" s="7" t="s">
        <v>147</v>
      </c>
      <c r="H31" s="18">
        <v>0</v>
      </c>
      <c r="I31" s="19">
        <v>0</v>
      </c>
      <c r="J31" s="7" t="s">
        <v>147</v>
      </c>
      <c r="K31" s="19">
        <v>0</v>
      </c>
      <c r="L31" s="9"/>
      <c r="M31" s="3" t="str">
        <f>IF($L31="","",IF($L31="DOELPUNTENMAKERS","",IF(AND(COUNTIF(#REF!,$B31)=0,COUNTIF(#REF!,$D31)=0),"OK",IF($O31&gt;20,"LET OP: meer dan 20 items (controle onvolledig)",IF((COUNTIF($R31:$AS31,"ONZEKER")+COUNTIF($CJ31:$DK31,"ONZEKER"))&gt;0,"LET OP: scoreverloop onduidelijk (controle beperkt)",IF((IF($AT31&lt;&gt;"",$AT31&amp;", ","")&amp;IF($AU31&lt;&gt;"",$AU31&amp;", ","")&amp;IF($AV31&lt;&gt;"",$AV31&amp;", ","")&amp;IF($AW31&lt;&gt;"",$AW31&amp;", ","")&amp;IF($AX31&lt;&gt;"",$AX31&amp;", ","")&amp;IF($AY31&lt;&gt;"",$AY31&amp;", ","")&amp;IF($AZ31&lt;&gt;"",$AZ31&amp;", ","")&amp;IF($BA31&lt;&gt;"",$BA31&amp;", ","")&amp;IF($BB31&lt;&gt;"",$BB31&amp;", ","")&amp;IF($BC31&lt;&gt;"",$BC31&amp;", ","")&amp;IF($DL31&lt;&gt;"",$DL31&amp;", ","")&amp;IF($DM31&lt;&gt;"",$DM31&amp;", ","")&amp;IF($DN31&lt;&gt;"",$DN31&amp;", ","")&amp;IF($DO31&lt;&gt;"",$DO31&amp;", ","")&amp;IF($DP31&lt;&gt;"",$DP31&amp;", ","")&amp;IF($DQ31&lt;&gt;"",$DQ31&amp;", ","")&amp;IF($DR31&lt;&gt;"",$DR31&amp;", ","")&amp;IF($DS31&lt;&gt;"",$DS31&amp;", ","")&amp;IF($DT31&lt;&gt;"",$DT31&amp;", ","")&amp;IF($DU31&lt;&gt;"",$DU31&amp;", ",""))="","OK","Onbekend: "&amp;LEFT((IF($AT31&lt;&gt;"",$AT31&amp;", ","")&amp;IF($AU31&lt;&gt;"",$AU31&amp;", ","")&amp;IF($AV31&lt;&gt;"",$AV31&amp;", ","")&amp;IF($AW31&lt;&gt;"",$AW31&amp;", ","")&amp;IF($AX31&lt;&gt;"",$AX31&amp;", ","")&amp;IF($AY31&lt;&gt;"",$AY31&amp;", ","")&amp;IF($AZ31&lt;&gt;"",$AZ31&amp;", ","")&amp;IF($BA31&lt;&gt;"",$BA31&amp;", ","")&amp;IF($BB31&lt;&gt;"",$BB31&amp;", ","")&amp;IF($BC31&lt;&gt;"",$BC31&amp;", ","")&amp;IF($DL31&lt;&gt;"",$DL31&amp;", ","")&amp;IF($DM31&lt;&gt;"",$DM31&amp;", ","")&amp;IF($DN31&lt;&gt;"",$DN31&amp;", ","")&amp;IF($DO31&lt;&gt;"",$DO31&amp;", ","")&amp;IF($DP31&lt;&gt;"",$DP31&amp;", ","")&amp;IF($DQ31&lt;&gt;"",$DQ31&amp;", ","")&amp;IF($DR31&lt;&gt;"",$DR31&amp;", ","")&amp;IF($DS31&lt;&gt;"",$DS31&amp;", ","")&amp;IF($DT31&lt;&gt;"",$DT31&amp;", ","")&amp;IF($DU31&lt;&gt;"",$DU31&amp;", ","")),LEN((IF($AT31&lt;&gt;"",$AT31&amp;", ","")&amp;IF($AU31&lt;&gt;"",$AU31&amp;", ","")&amp;IF($AV31&lt;&gt;"",$AV31&amp;", ","")&amp;IF($AW31&lt;&gt;"",$AW31&amp;", ","")&amp;IF($AX31&lt;&gt;"",$AX31&amp;", ","")&amp;IF($AY31&lt;&gt;"",$AY31&amp;", ","")&amp;IF($AZ31&lt;&gt;"",$AZ31&amp;", ","")&amp;IF($BA31&lt;&gt;"",$BA31&amp;", ","")&amp;IF($BB31&lt;&gt;"",$BB31&amp;", ","")&amp;IF($BC31&lt;&gt;"",$BC31&amp;", ","")&amp;IF($DL31&lt;&gt;"",$DL31&amp;", ","")&amp;IF($DM31&lt;&gt;"",$DM31&amp;", ","")&amp;IF($DN31&lt;&gt;"",$DN31&amp;", ","")&amp;IF($DO31&lt;&gt;"",$DO31&amp;", ","")&amp;IF($DP31&lt;&gt;"",$DP31&amp;", ","")&amp;IF($DQ31&lt;&gt;"",$DQ31&amp;", ","")&amp;IF($DR31&lt;&gt;"",$DR31&amp;", ","")&amp;IF($DS31&lt;&gt;"",$DS31&amp;", ","")&amp;IF($DT31&lt;&gt;"",$DT31&amp;", ","")&amp;IF($DU31&lt;&gt;"",$DU31&amp;", ","")))-2)))))))</f>
        <v/>
      </c>
      <c r="N31" t="str">
        <f t="shared" si="214"/>
        <v/>
      </c>
      <c r="O31" t="str">
        <f t="shared" si="215"/>
        <v/>
      </c>
      <c r="P31" t="str">
        <f t="shared" si="216"/>
        <v/>
      </c>
      <c r="Q31" t="str">
        <f t="shared" si="217"/>
        <v/>
      </c>
      <c r="R31" t="str">
        <f>IF($Q31="","",IF(OR($BE31="",$BF31=""),"ONZEKER",IF(AND($BE31=0+1,$BF31=0),IF(OR(COUNTIF(#REF!,$B31)&gt;0,COUNTIF(#REF!,$B31)=0),"SKIP",IF(COUNTIFS(#REF!,$B31,#REF!,$Q31)&gt;0,"OK","ONBEKEND")),IF(AND($BE31=0,$BF31=0+1),IF(OR(COUNTIF(#REF!,$D31)&gt;0,COUNTIF(#REF!,$D31)=0),"SKIP",IF(COUNTIFS(#REF!,$D31,#REF!,$Q31)&gt;0,"OK","ONBEKEND")),"ONZEKER"))))</f>
        <v/>
      </c>
      <c r="S31" t="str">
        <f t="shared" si="218"/>
        <v/>
      </c>
      <c r="T31" t="str">
        <f t="shared" si="219"/>
        <v/>
      </c>
      <c r="U31" t="str">
        <f>IF($T31="","",IF(OR($BH31="",$BI31=""),"ONZEKER",IF(OR($BE31="",$BF31=""),"ONZEKER",IF(AND($BH31=$BE31+1,$BI31=$BF31),IF(OR(COUNTIF(#REF!,$B31)&gt;0,COUNTIF(#REF!,$B31)=0),"SKIP",IF(COUNTIFS(#REF!,$B31,#REF!,$T31)&gt;0,"OK","ONBEKEND")),IF(AND($BH31=$BE31,$BI31=$BF31+1),IF(OR(COUNTIF(#REF!,$D31)&gt;0,COUNTIF(#REF!,$D31)=0),"SKIP",IF(COUNTIFS(#REF!,$D31,#REF!,$T31)&gt;0,"OK","ONBEKEND")),"ONZEKER")))))</f>
        <v/>
      </c>
      <c r="V31" t="str">
        <f t="shared" si="220"/>
        <v/>
      </c>
      <c r="W31" t="str">
        <f t="shared" si="221"/>
        <v/>
      </c>
      <c r="X31" t="str">
        <f>IF($W31="","",IF(OR($BK31="",$BL31=""),"ONZEKER",IF(OR($BH31="",$BI31=""),"ONZEKER",IF(AND($BK31=$BH31+1,$BL31=$BI31),IF(OR(COUNTIF(#REF!,$B31)&gt;0,COUNTIF(#REF!,$B31)=0),"SKIP",IF(COUNTIFS(#REF!,$B31,#REF!,$W31)&gt;0,"OK","ONBEKEND")),IF(AND($BK31=$BH31,$BL31=$BI31+1),IF(OR(COUNTIF(#REF!,$D31)&gt;0,COUNTIF(#REF!,$D31)=0),"SKIP",IF(COUNTIFS(#REF!,$D31,#REF!,$W31)&gt;0,"OK","ONBEKEND")),"ONZEKER")))))</f>
        <v/>
      </c>
      <c r="Y31" t="str">
        <f t="shared" si="222"/>
        <v/>
      </c>
      <c r="Z31" t="str">
        <f t="shared" si="223"/>
        <v/>
      </c>
      <c r="AA31" t="str">
        <f>IF($Z31="","",IF(OR($BN31="",$BO31=""),"ONZEKER",IF(OR($BK31="",$BL31=""),"ONZEKER",IF(AND($BN31=$BK31+1,$BO31=$BL31),IF(OR(COUNTIF(#REF!,$B31)&gt;0,COUNTIF(#REF!,$B31)=0),"SKIP",IF(COUNTIFS(#REF!,$B31,#REF!,$Z31)&gt;0,"OK","ONBEKEND")),IF(AND($BN31=$BK31,$BO31=$BL31+1),IF(OR(COUNTIF(#REF!,$D31)&gt;0,COUNTIF(#REF!,$D31)=0),"SKIP",IF(COUNTIFS(#REF!,$D31,#REF!,$Z31)&gt;0,"OK","ONBEKEND")),"ONZEKER")))))</f>
        <v/>
      </c>
      <c r="AB31" t="str">
        <f t="shared" si="224"/>
        <v/>
      </c>
      <c r="AC31" t="str">
        <f t="shared" si="225"/>
        <v/>
      </c>
      <c r="AD31" t="str">
        <f>IF($AC31="","",IF(OR($BQ31="",$BR31=""),"ONZEKER",IF(OR($BN31="",$BO31=""),"ONZEKER",IF(AND($BQ31=$BN31+1,$BR31=$BO31),IF(OR(COUNTIF(#REF!,$B31)&gt;0,COUNTIF(#REF!,$B31)=0),"SKIP",IF(COUNTIFS(#REF!,$B31,#REF!,$AC31)&gt;0,"OK","ONBEKEND")),IF(AND($BQ31=$BN31,$BR31=$BO31+1),IF(OR(COUNTIF(#REF!,$D31)&gt;0,COUNTIF(#REF!,$D31)=0),"SKIP",IF(COUNTIFS(#REF!,$D31,#REF!,$AC31)&gt;0,"OK","ONBEKEND")),"ONZEKER")))))</f>
        <v/>
      </c>
      <c r="AE31" t="str">
        <f t="shared" si="226"/>
        <v/>
      </c>
      <c r="AF31" t="str">
        <f t="shared" si="227"/>
        <v/>
      </c>
      <c r="AG31" t="str">
        <f>IF($AF31="","",IF(OR($BT31="",$BU31=""),"ONZEKER",IF(OR($BQ31="",$BR31=""),"ONZEKER",IF(AND($BT31=$BQ31+1,$BU31=$BR31),IF(OR(COUNTIF(#REF!,$B31)&gt;0,COUNTIF(#REF!,$B31)=0),"SKIP",IF(COUNTIFS(#REF!,$B31,#REF!,$AF31)&gt;0,"OK","ONBEKEND")),IF(AND($BT31=$BQ31,$BU31=$BR31+1),IF(OR(COUNTIF(#REF!,$D31)&gt;0,COUNTIF(#REF!,$D31)=0),"SKIP",IF(COUNTIFS(#REF!,$D31,#REF!,$AF31)&gt;0,"OK","ONBEKEND")),"ONZEKER")))))</f>
        <v/>
      </c>
      <c r="AH31" t="str">
        <f t="shared" si="228"/>
        <v/>
      </c>
      <c r="AI31" t="str">
        <f t="shared" si="229"/>
        <v/>
      </c>
      <c r="AJ31" t="str">
        <f>IF($AI31="","",IF(OR($BW31="",$BX31=""),"ONZEKER",IF(OR($BT31="",$BU31=""),"ONZEKER",IF(AND($BW31=$BT31+1,$BX31=$BU31),IF(OR(COUNTIF(#REF!,$B31)&gt;0,COUNTIF(#REF!,$B31)=0),"SKIP",IF(COUNTIFS(#REF!,$B31,#REF!,$AI31)&gt;0,"OK","ONBEKEND")),IF(AND($BW31=$BT31,$BX31=$BU31+1),IF(OR(COUNTIF(#REF!,$D31)&gt;0,COUNTIF(#REF!,$D31)=0),"SKIP",IF(COUNTIFS(#REF!,$D31,#REF!,$AI31)&gt;0,"OK","ONBEKEND")),"ONZEKER")))))</f>
        <v/>
      </c>
      <c r="AK31" t="str">
        <f t="shared" si="230"/>
        <v/>
      </c>
      <c r="AL31" t="str">
        <f t="shared" si="231"/>
        <v/>
      </c>
      <c r="AM31" t="str">
        <f>IF($AL31="","",IF(OR($BZ31="",$CA31=""),"ONZEKER",IF(OR($BW31="",$BX31=""),"ONZEKER",IF(AND($BZ31=$BW31+1,$CA31=$BX31),IF(OR(COUNTIF(#REF!,$B31)&gt;0,COUNTIF(#REF!,$B31)=0),"SKIP",IF(COUNTIFS(#REF!,$B31,#REF!,$AL31)&gt;0,"OK","ONBEKEND")),IF(AND($BZ31=$BW31,$CA31=$BX31+1),IF(OR(COUNTIF(#REF!,$D31)&gt;0,COUNTIF(#REF!,$D31)=0),"SKIP",IF(COUNTIFS(#REF!,$D31,#REF!,$AL31)&gt;0,"OK","ONBEKEND")),"ONZEKER")))))</f>
        <v/>
      </c>
      <c r="AN31" t="str">
        <f t="shared" si="232"/>
        <v/>
      </c>
      <c r="AO31" t="str">
        <f t="shared" si="233"/>
        <v/>
      </c>
      <c r="AP31" t="str">
        <f>IF($AO31="","",IF(OR($CC31="",$CD31=""),"ONZEKER",IF(OR($BZ31="",$CA31=""),"ONZEKER",IF(AND($CC31=$BZ31+1,$CD31=$CA31),IF(OR(COUNTIF(#REF!,$B31)&gt;0,COUNTIF(#REF!,$B31)=0),"SKIP",IF(COUNTIFS(#REF!,$B31,#REF!,$AO31)&gt;0,"OK","ONBEKEND")),IF(AND($CC31=$BZ31,$CD31=$CA31+1),IF(OR(COUNTIF(#REF!,$D31)&gt;0,COUNTIF(#REF!,$D31)=0),"SKIP",IF(COUNTIFS(#REF!,$D31,#REF!,$AO31)&gt;0,"OK","ONBEKEND")),"ONZEKER")))))</f>
        <v/>
      </c>
      <c r="AQ31" t="str">
        <f t="shared" si="234"/>
        <v/>
      </c>
      <c r="AR31" t="str">
        <f t="shared" si="235"/>
        <v/>
      </c>
      <c r="AS31" t="str">
        <f>IF($AR31="","",IF(OR($CF31="",$CG31=""),"ONZEKER",IF(OR($CC31="",$CD31=""),"ONZEKER",IF(AND($CF31=$CC31+1,$CG31=$CD31),IF(OR(COUNTIF(#REF!,$B31)&gt;0,COUNTIF(#REF!,$B31)=0),"SKIP",IF(COUNTIFS(#REF!,$B31,#REF!,$AR31)&gt;0,"OK","ONBEKEND")),IF(AND($CF31=$CC31,$CG31=$CD31+1),IF(OR(COUNTIF(#REF!,$D31)&gt;0,COUNTIF(#REF!,$D31)=0),"SKIP",IF(COUNTIFS(#REF!,$D31,#REF!,$AR31)&gt;0,"OK","ONBEKEND")),"ONZEKER")))))</f>
        <v/>
      </c>
      <c r="AT31" t="str">
        <f t="shared" si="236"/>
        <v/>
      </c>
      <c r="AU31" t="str">
        <f t="shared" si="237"/>
        <v/>
      </c>
      <c r="AV31" t="str">
        <f t="shared" si="238"/>
        <v/>
      </c>
      <c r="AW31" t="str">
        <f t="shared" si="239"/>
        <v/>
      </c>
      <c r="AX31" t="str">
        <f t="shared" si="240"/>
        <v/>
      </c>
      <c r="AY31" t="str">
        <f t="shared" si="241"/>
        <v/>
      </c>
      <c r="AZ31" t="str">
        <f t="shared" si="242"/>
        <v/>
      </c>
      <c r="BA31" t="str">
        <f t="shared" si="243"/>
        <v/>
      </c>
      <c r="BB31" t="str">
        <f t="shared" si="244"/>
        <v/>
      </c>
      <c r="BC31" t="str">
        <f t="shared" si="245"/>
        <v/>
      </c>
      <c r="BD31" t="str">
        <f t="shared" si="32"/>
        <v/>
      </c>
      <c r="BE31" t="str">
        <f t="shared" si="33"/>
        <v/>
      </c>
      <c r="BF31" t="str">
        <f t="shared" si="34"/>
        <v/>
      </c>
      <c r="BG31" t="str">
        <f t="shared" si="35"/>
        <v/>
      </c>
      <c r="BH31" t="str">
        <f t="shared" si="36"/>
        <v/>
      </c>
      <c r="BI31" t="str">
        <f t="shared" si="37"/>
        <v/>
      </c>
      <c r="BJ31" t="str">
        <f t="shared" si="38"/>
        <v/>
      </c>
      <c r="BK31" t="str">
        <f t="shared" si="39"/>
        <v/>
      </c>
      <c r="BL31" t="str">
        <f t="shared" si="40"/>
        <v/>
      </c>
      <c r="BM31" t="str">
        <f t="shared" si="41"/>
        <v/>
      </c>
      <c r="BN31" t="str">
        <f t="shared" si="42"/>
        <v/>
      </c>
      <c r="BO31" t="str">
        <f t="shared" si="43"/>
        <v/>
      </c>
      <c r="BP31" t="str">
        <f t="shared" si="44"/>
        <v/>
      </c>
      <c r="BQ31" t="str">
        <f t="shared" si="45"/>
        <v/>
      </c>
      <c r="BR31" t="str">
        <f t="shared" si="46"/>
        <v/>
      </c>
      <c r="BS31" t="str">
        <f t="shared" si="47"/>
        <v/>
      </c>
      <c r="BT31" t="str">
        <f t="shared" si="48"/>
        <v/>
      </c>
      <c r="BU31" t="str">
        <f t="shared" si="49"/>
        <v/>
      </c>
      <c r="BV31" t="str">
        <f t="shared" si="50"/>
        <v/>
      </c>
      <c r="BW31" t="str">
        <f t="shared" si="51"/>
        <v/>
      </c>
      <c r="BX31" t="str">
        <f t="shared" si="52"/>
        <v/>
      </c>
      <c r="BY31" t="str">
        <f t="shared" si="53"/>
        <v/>
      </c>
      <c r="BZ31" t="str">
        <f t="shared" si="54"/>
        <v/>
      </c>
      <c r="CA31" t="str">
        <f t="shared" si="55"/>
        <v/>
      </c>
      <c r="CB31" t="str">
        <f t="shared" si="56"/>
        <v/>
      </c>
      <c r="CC31" t="str">
        <f t="shared" si="57"/>
        <v/>
      </c>
      <c r="CD31" t="str">
        <f t="shared" si="58"/>
        <v/>
      </c>
      <c r="CE31" t="str">
        <f t="shared" si="59"/>
        <v/>
      </c>
      <c r="CF31" t="str">
        <f t="shared" si="60"/>
        <v/>
      </c>
      <c r="CG31" t="str">
        <f t="shared" si="61"/>
        <v/>
      </c>
      <c r="CH31" t="str">
        <f t="shared" si="246"/>
        <v/>
      </c>
      <c r="CI31" t="str">
        <f t="shared" si="247"/>
        <v/>
      </c>
      <c r="CJ31" t="str">
        <f>IF($CI31="","",IF(OR($DW31="",$DX31=""),"ONZEKER",IF(OR($CF31="",$CG31=""),"ONZEKER",IF(AND($DW31=$CF31+1,$DX31=$CG31),IF(OR(COUNTIF(#REF!,$B31)&gt;0,COUNTIF(#REF!,$B31)=0),"SKIP",IF(COUNTIFS(#REF!,$B31,#REF!,$CI31)&gt;0,"OK","ONBEKEND")),IF(AND($DW31=$CF31,$DX31=$CG31+1),IF(OR(COUNTIF(#REF!,$D31)&gt;0,COUNTIF(#REF!,$D31)=0),"SKIP",IF(COUNTIFS(#REF!,$D31,#REF!,$CI31)&gt;0,"OK","ONBEKEND")),"ONZEKER")))))</f>
        <v/>
      </c>
      <c r="CK31" t="str">
        <f t="shared" si="248"/>
        <v/>
      </c>
      <c r="CL31" t="str">
        <f t="shared" si="249"/>
        <v/>
      </c>
      <c r="CM31" t="str">
        <f>IF($CL31="","",IF(OR($DZ31="",$EA31=""),"ONZEKER",IF(OR($DW31="",$DX31=""),"ONZEKER",IF(AND($DZ31=$DW31+1,$EA31=$DX31),IF(OR(COUNTIF(#REF!,$B31)&gt;0,COUNTIF(#REF!,$B31)=0),"SKIP",IF(COUNTIFS(#REF!,$B31,#REF!,$CL31)&gt;0,"OK","ONBEKEND")),IF(AND($DZ31=$DW31,$EA31=$DX31+1),IF(OR(COUNTIF(#REF!,$D31)&gt;0,COUNTIF(#REF!,$D31)=0),"SKIP",IF(COUNTIFS(#REF!,$D31,#REF!,$CL31)&gt;0,"OK","ONBEKEND")),"ONZEKER")))))</f>
        <v/>
      </c>
      <c r="CN31" t="str">
        <f t="shared" si="250"/>
        <v/>
      </c>
      <c r="CO31" t="str">
        <f t="shared" si="251"/>
        <v/>
      </c>
      <c r="CP31" t="str">
        <f>IF($CO31="","",IF(OR($EC31="",$ED31=""),"ONZEKER",IF(OR($DZ31="",$EA31=""),"ONZEKER",IF(AND($EC31=$DZ31+1,$ED31=$EA31),IF(OR(COUNTIF(#REF!,$B31)&gt;0,COUNTIF(#REF!,$B31)=0),"SKIP",IF(COUNTIFS(#REF!,$B31,#REF!,$CO31)&gt;0,"OK","ONBEKEND")),IF(AND($EC31=$DZ31,$ED31=$EA31+1),IF(OR(COUNTIF(#REF!,$D31)&gt;0,COUNTIF(#REF!,$D31)=0),"SKIP",IF(COUNTIFS(#REF!,$D31,#REF!,$CO31)&gt;0,"OK","ONBEKEND")),"ONZEKER")))))</f>
        <v/>
      </c>
      <c r="CQ31" t="str">
        <f t="shared" si="252"/>
        <v/>
      </c>
      <c r="CR31" t="str">
        <f t="shared" si="253"/>
        <v/>
      </c>
      <c r="CS31" t="str">
        <f>IF($CR31="","",IF(OR($EF31="",$EG31=""),"ONZEKER",IF(OR($EC31="",$ED31=""),"ONZEKER",IF(AND($EF31=$EC31+1,$EG31=$ED31),IF(OR(COUNTIF(#REF!,$B31)&gt;0,COUNTIF(#REF!,$B31)=0),"SKIP",IF(COUNTIFS(#REF!,$B31,#REF!,$CR31)&gt;0,"OK","ONBEKEND")),IF(AND($EF31=$EC31,$EG31=$ED31+1),IF(OR(COUNTIF(#REF!,$D31)&gt;0,COUNTIF(#REF!,$D31)=0),"SKIP",IF(COUNTIFS(#REF!,$D31,#REF!,$CR31)&gt;0,"OK","ONBEKEND")),"ONZEKER")))))</f>
        <v/>
      </c>
      <c r="CT31" t="str">
        <f t="shared" si="254"/>
        <v/>
      </c>
      <c r="CU31" t="str">
        <f t="shared" si="255"/>
        <v/>
      </c>
      <c r="CV31" t="str">
        <f>IF($CU31="","",IF(OR($EI31="",$EJ31=""),"ONZEKER",IF(OR($EF31="",$EG31=""),"ONZEKER",IF(AND($EI31=$EF31+1,$EJ31=$EG31),IF(OR(COUNTIF(#REF!,$B31)&gt;0,COUNTIF(#REF!,$B31)=0),"SKIP",IF(COUNTIFS(#REF!,$B31,#REF!,$CU31)&gt;0,"OK","ONBEKEND")),IF(AND($EI31=$EF31,$EJ31=$EG31+1),IF(OR(COUNTIF(#REF!,$D31)&gt;0,COUNTIF(#REF!,$D31)=0),"SKIP",IF(COUNTIFS(#REF!,$D31,#REF!,$CU31)&gt;0,"OK","ONBEKEND")),"ONZEKER")))))</f>
        <v/>
      </c>
      <c r="CW31" t="str">
        <f t="shared" si="256"/>
        <v/>
      </c>
      <c r="CX31" t="str">
        <f t="shared" si="257"/>
        <v/>
      </c>
      <c r="CY31" t="str">
        <f>IF($CX31="","",IF(OR($EL31="",$EM31=""),"ONZEKER",IF(OR($EI31="",$EJ31=""),"ONZEKER",IF(AND($EL31=$EI31+1,$EM31=$EJ31),IF(OR(COUNTIF(#REF!,$B31)&gt;0,COUNTIF(#REF!,$B31)=0),"SKIP",IF(COUNTIFS(#REF!,$B31,#REF!,$CX31)&gt;0,"OK","ONBEKEND")),IF(AND($EL31=$EI31,$EM31=$EJ31+1),IF(OR(COUNTIF(#REF!,$D31)&gt;0,COUNTIF(#REF!,$D31)=0),"SKIP",IF(COUNTIFS(#REF!,$D31,#REF!,$CX31)&gt;0,"OK","ONBEKEND")),"ONZEKER")))))</f>
        <v/>
      </c>
      <c r="CZ31" t="str">
        <f t="shared" si="258"/>
        <v/>
      </c>
      <c r="DA31" t="str">
        <f t="shared" si="259"/>
        <v/>
      </c>
      <c r="DB31" t="str">
        <f>IF($DA31="","",IF(OR($EO31="",$EP31=""),"ONZEKER",IF(OR($EL31="",$EM31=""),"ONZEKER",IF(AND($EO31=$EL31+1,$EP31=$EM31),IF(OR(COUNTIF(#REF!,$B31)&gt;0,COUNTIF(#REF!,$B31)=0),"SKIP",IF(COUNTIFS(#REF!,$B31,#REF!,$DA31)&gt;0,"OK","ONBEKEND")),IF(AND($EO31=$EL31,$EP31=$EM31+1),IF(OR(COUNTIF(#REF!,$D31)&gt;0,COUNTIF(#REF!,$D31)=0),"SKIP",IF(COUNTIFS(#REF!,$D31,#REF!,$DA31)&gt;0,"OK","ONBEKEND")),"ONZEKER")))))</f>
        <v/>
      </c>
      <c r="DC31" t="str">
        <f t="shared" si="260"/>
        <v/>
      </c>
      <c r="DD31" t="str">
        <f t="shared" si="261"/>
        <v/>
      </c>
      <c r="DE31" t="str">
        <f>IF($DD31="","",IF(OR($ER31="",$ES31=""),"ONZEKER",IF(OR($EO31="",$EP31=""),"ONZEKER",IF(AND($ER31=$EO31+1,$ES31=$EP31),IF(OR(COUNTIF(#REF!,$B31)&gt;0,COUNTIF(#REF!,$B31)=0),"SKIP",IF(COUNTIFS(#REF!,$B31,#REF!,$DD31)&gt;0,"OK","ONBEKEND")),IF(AND($ER31=$EO31,$ES31=$EP31+1),IF(OR(COUNTIF(#REF!,$D31)&gt;0,COUNTIF(#REF!,$D31)=0),"SKIP",IF(COUNTIFS(#REF!,$D31,#REF!,$DD31)&gt;0,"OK","ONBEKEND")),"ONZEKER")))))</f>
        <v/>
      </c>
      <c r="DF31" t="str">
        <f t="shared" si="262"/>
        <v/>
      </c>
      <c r="DG31" t="str">
        <f t="shared" si="263"/>
        <v/>
      </c>
      <c r="DH31" t="str">
        <f>IF($DG31="","",IF(OR($EU31="",$EV31=""),"ONZEKER",IF(OR($ER31="",$ES31=""),"ONZEKER",IF(AND($EU31=$ER31+1,$EV31=$ES31),IF(OR(COUNTIF(#REF!,$B31)&gt;0,COUNTIF(#REF!,$B31)=0),"SKIP",IF(COUNTIFS(#REF!,$B31,#REF!,$DG31)&gt;0,"OK","ONBEKEND")),IF(AND($EU31=$ER31,$EV31=$ES31+1),IF(OR(COUNTIF(#REF!,$D31)&gt;0,COUNTIF(#REF!,$D31)=0),"SKIP",IF(COUNTIFS(#REF!,$D31,#REF!,$DG31)&gt;0,"OK","ONBEKEND")),"ONZEKER")))))</f>
        <v/>
      </c>
      <c r="DI31" t="str">
        <f t="shared" si="264"/>
        <v/>
      </c>
      <c r="DJ31" t="str">
        <f t="shared" si="265"/>
        <v/>
      </c>
      <c r="DK31" t="str">
        <f>IF($DJ31="","",IF(OR($EX31="",$EY31=""),"ONZEKER",IF(OR($EU31="",$EV31=""),"ONZEKER",IF(AND($EX31=$EU31+1,$EY31=$EV31),IF(OR(COUNTIF(#REF!,$B31)&gt;0,COUNTIF(#REF!,$B31)=0),"SKIP",IF(COUNTIFS(#REF!,$B31,#REF!,$DJ31)&gt;0,"OK","ONBEKEND")),IF(AND($EX31=$EU31,$EY31=$EV31+1),IF(OR(COUNTIF(#REF!,$D31)&gt;0,COUNTIF(#REF!,$D31)=0),"SKIP",IF(COUNTIFS(#REF!,$D31,#REF!,$DJ31)&gt;0,"OK","ONBEKEND")),"ONZEKER")))))</f>
        <v/>
      </c>
      <c r="DL31" t="str">
        <f t="shared" si="266"/>
        <v/>
      </c>
      <c r="DM31" t="str">
        <f t="shared" si="267"/>
        <v/>
      </c>
      <c r="DN31" t="str">
        <f t="shared" si="268"/>
        <v/>
      </c>
      <c r="DO31" t="str">
        <f t="shared" si="269"/>
        <v/>
      </c>
      <c r="DP31" t="str">
        <f t="shared" si="270"/>
        <v/>
      </c>
      <c r="DQ31" t="str">
        <f t="shared" si="271"/>
        <v/>
      </c>
      <c r="DR31" t="str">
        <f t="shared" si="272"/>
        <v/>
      </c>
      <c r="DS31" t="str">
        <f t="shared" si="273"/>
        <v/>
      </c>
      <c r="DT31" t="str">
        <f t="shared" si="274"/>
        <v/>
      </c>
      <c r="DU31" t="str">
        <f t="shared" si="275"/>
        <v/>
      </c>
      <c r="DV31" t="str">
        <f t="shared" si="276"/>
        <v/>
      </c>
      <c r="DW31" t="str">
        <f t="shared" si="277"/>
        <v/>
      </c>
      <c r="DX31" t="str">
        <f t="shared" si="278"/>
        <v/>
      </c>
      <c r="DY31" t="str">
        <f t="shared" si="279"/>
        <v/>
      </c>
      <c r="DZ31" t="str">
        <f t="shared" si="280"/>
        <v/>
      </c>
      <c r="EA31" t="str">
        <f t="shared" si="281"/>
        <v/>
      </c>
      <c r="EB31" t="str">
        <f t="shared" si="282"/>
        <v/>
      </c>
      <c r="EC31" t="str">
        <f t="shared" si="283"/>
        <v/>
      </c>
      <c r="ED31" t="str">
        <f t="shared" si="284"/>
        <v/>
      </c>
      <c r="EE31" t="str">
        <f t="shared" si="285"/>
        <v/>
      </c>
      <c r="EF31" t="str">
        <f t="shared" si="286"/>
        <v/>
      </c>
      <c r="EG31" t="str">
        <f t="shared" si="287"/>
        <v/>
      </c>
      <c r="EH31" t="str">
        <f t="shared" si="288"/>
        <v/>
      </c>
      <c r="EI31" t="str">
        <f t="shared" si="289"/>
        <v/>
      </c>
      <c r="EJ31" t="str">
        <f t="shared" si="290"/>
        <v/>
      </c>
      <c r="EK31" t="str">
        <f t="shared" si="291"/>
        <v/>
      </c>
      <c r="EL31" t="str">
        <f t="shared" si="292"/>
        <v/>
      </c>
      <c r="EM31" t="str">
        <f t="shared" si="293"/>
        <v/>
      </c>
      <c r="EN31" t="str">
        <f t="shared" si="294"/>
        <v/>
      </c>
      <c r="EO31" t="str">
        <f t="shared" si="295"/>
        <v/>
      </c>
      <c r="EP31" t="str">
        <f t="shared" si="296"/>
        <v/>
      </c>
      <c r="EQ31" t="str">
        <f t="shared" si="297"/>
        <v/>
      </c>
      <c r="ER31" t="str">
        <f t="shared" si="298"/>
        <v/>
      </c>
      <c r="ES31" t="str">
        <f t="shared" si="299"/>
        <v/>
      </c>
      <c r="ET31" t="str">
        <f t="shared" si="300"/>
        <v/>
      </c>
      <c r="EU31" t="str">
        <f t="shared" si="301"/>
        <v/>
      </c>
      <c r="EV31" t="str">
        <f t="shared" si="302"/>
        <v/>
      </c>
      <c r="EW31" t="str">
        <f t="shared" si="303"/>
        <v/>
      </c>
      <c r="EX31" t="str">
        <f t="shared" si="304"/>
        <v/>
      </c>
      <c r="EY31" t="str">
        <f t="shared" si="305"/>
        <v/>
      </c>
    </row>
    <row r="32" spans="1:155" ht="13.9" customHeight="1" x14ac:dyDescent="0.25">
      <c r="A32" s="7"/>
      <c r="B32" s="17"/>
      <c r="C32" s="8"/>
      <c r="D32" s="17"/>
      <c r="E32" s="8"/>
      <c r="F32" s="18">
        <v>0</v>
      </c>
      <c r="G32" s="7" t="s">
        <v>147</v>
      </c>
      <c r="H32" s="18">
        <v>0</v>
      </c>
      <c r="I32" s="19">
        <v>0</v>
      </c>
      <c r="J32" s="7" t="s">
        <v>147</v>
      </c>
      <c r="K32" s="19">
        <v>0</v>
      </c>
      <c r="L32" s="9"/>
      <c r="M32" s="3" t="str">
        <f>IF($L32="","",IF($L32="DOELPUNTENMAKERS","",IF(AND(COUNTIF(#REF!,$B32)=0,COUNTIF(#REF!,$D32)=0),"OK",IF($O32&gt;20,"LET OP: meer dan 20 items (controle onvolledig)",IF((COUNTIF($R32:$AS32,"ONZEKER")+COUNTIF($CJ32:$DK32,"ONZEKER"))&gt;0,"LET OP: scoreverloop onduidelijk (controle beperkt)",IF((IF($AT32&lt;&gt;"",$AT32&amp;", ","")&amp;IF($AU32&lt;&gt;"",$AU32&amp;", ","")&amp;IF($AV32&lt;&gt;"",$AV32&amp;", ","")&amp;IF($AW32&lt;&gt;"",$AW32&amp;", ","")&amp;IF($AX32&lt;&gt;"",$AX32&amp;", ","")&amp;IF($AY32&lt;&gt;"",$AY32&amp;", ","")&amp;IF($AZ32&lt;&gt;"",$AZ32&amp;", ","")&amp;IF($BA32&lt;&gt;"",$BA32&amp;", ","")&amp;IF($BB32&lt;&gt;"",$BB32&amp;", ","")&amp;IF($BC32&lt;&gt;"",$BC32&amp;", ","")&amp;IF($DL32&lt;&gt;"",$DL32&amp;", ","")&amp;IF($DM32&lt;&gt;"",$DM32&amp;", ","")&amp;IF($DN32&lt;&gt;"",$DN32&amp;", ","")&amp;IF($DO32&lt;&gt;"",$DO32&amp;", ","")&amp;IF($DP32&lt;&gt;"",$DP32&amp;", ","")&amp;IF($DQ32&lt;&gt;"",$DQ32&amp;", ","")&amp;IF($DR32&lt;&gt;"",$DR32&amp;", ","")&amp;IF($DS32&lt;&gt;"",$DS32&amp;", ","")&amp;IF($DT32&lt;&gt;"",$DT32&amp;", ","")&amp;IF($DU32&lt;&gt;"",$DU32&amp;", ",""))="","OK","Onbekend: "&amp;LEFT((IF($AT32&lt;&gt;"",$AT32&amp;", ","")&amp;IF($AU32&lt;&gt;"",$AU32&amp;", ","")&amp;IF($AV32&lt;&gt;"",$AV32&amp;", ","")&amp;IF($AW32&lt;&gt;"",$AW32&amp;", ","")&amp;IF($AX32&lt;&gt;"",$AX32&amp;", ","")&amp;IF($AY32&lt;&gt;"",$AY32&amp;", ","")&amp;IF($AZ32&lt;&gt;"",$AZ32&amp;", ","")&amp;IF($BA32&lt;&gt;"",$BA32&amp;", ","")&amp;IF($BB32&lt;&gt;"",$BB32&amp;", ","")&amp;IF($BC32&lt;&gt;"",$BC32&amp;", ","")&amp;IF($DL32&lt;&gt;"",$DL32&amp;", ","")&amp;IF($DM32&lt;&gt;"",$DM32&amp;", ","")&amp;IF($DN32&lt;&gt;"",$DN32&amp;", ","")&amp;IF($DO32&lt;&gt;"",$DO32&amp;", ","")&amp;IF($DP32&lt;&gt;"",$DP32&amp;", ","")&amp;IF($DQ32&lt;&gt;"",$DQ32&amp;", ","")&amp;IF($DR32&lt;&gt;"",$DR32&amp;", ","")&amp;IF($DS32&lt;&gt;"",$DS32&amp;", ","")&amp;IF($DT32&lt;&gt;"",$DT32&amp;", ","")&amp;IF($DU32&lt;&gt;"",$DU32&amp;", ","")),LEN((IF($AT32&lt;&gt;"",$AT32&amp;", ","")&amp;IF($AU32&lt;&gt;"",$AU32&amp;", ","")&amp;IF($AV32&lt;&gt;"",$AV32&amp;", ","")&amp;IF($AW32&lt;&gt;"",$AW32&amp;", ","")&amp;IF($AX32&lt;&gt;"",$AX32&amp;", ","")&amp;IF($AY32&lt;&gt;"",$AY32&amp;", ","")&amp;IF($AZ32&lt;&gt;"",$AZ32&amp;", ","")&amp;IF($BA32&lt;&gt;"",$BA32&amp;", ","")&amp;IF($BB32&lt;&gt;"",$BB32&amp;", ","")&amp;IF($BC32&lt;&gt;"",$BC32&amp;", ","")&amp;IF($DL32&lt;&gt;"",$DL32&amp;", ","")&amp;IF($DM32&lt;&gt;"",$DM32&amp;", ","")&amp;IF($DN32&lt;&gt;"",$DN32&amp;", ","")&amp;IF($DO32&lt;&gt;"",$DO32&amp;", ","")&amp;IF($DP32&lt;&gt;"",$DP32&amp;", ","")&amp;IF($DQ32&lt;&gt;"",$DQ32&amp;", ","")&amp;IF($DR32&lt;&gt;"",$DR32&amp;", ","")&amp;IF($DS32&lt;&gt;"",$DS32&amp;", ","")&amp;IF($DT32&lt;&gt;"",$DT32&amp;", ","")&amp;IF($DU32&lt;&gt;"",$DU32&amp;", ","")))-2)))))))</f>
        <v/>
      </c>
      <c r="N32" t="str">
        <f t="shared" si="214"/>
        <v/>
      </c>
      <c r="O32" t="str">
        <f t="shared" si="215"/>
        <v/>
      </c>
      <c r="P32" t="str">
        <f t="shared" si="216"/>
        <v/>
      </c>
      <c r="Q32" t="str">
        <f t="shared" si="217"/>
        <v/>
      </c>
      <c r="R32" t="str">
        <f>IF($Q32="","",IF(OR($BE32="",$BF32=""),"ONZEKER",IF(AND($BE32=0+1,$BF32=0),IF(OR(COUNTIF(#REF!,$B32)&gt;0,COUNTIF(#REF!,$B32)=0),"SKIP",IF(COUNTIFS(#REF!,$B32,#REF!,$Q32)&gt;0,"OK","ONBEKEND")),IF(AND($BE32=0,$BF32=0+1),IF(OR(COUNTIF(#REF!,$D32)&gt;0,COUNTIF(#REF!,$D32)=0),"SKIP",IF(COUNTIFS(#REF!,$D32,#REF!,$Q32)&gt;0,"OK","ONBEKEND")),"ONZEKER"))))</f>
        <v/>
      </c>
      <c r="S32" t="str">
        <f t="shared" si="218"/>
        <v/>
      </c>
      <c r="T32" t="str">
        <f t="shared" si="219"/>
        <v/>
      </c>
      <c r="U32" t="str">
        <f>IF($T32="","",IF(OR($BH32="",$BI32=""),"ONZEKER",IF(OR($BE32="",$BF32=""),"ONZEKER",IF(AND($BH32=$BE32+1,$BI32=$BF32),IF(OR(COUNTIF(#REF!,$B32)&gt;0,COUNTIF(#REF!,$B32)=0),"SKIP",IF(COUNTIFS(#REF!,$B32,#REF!,$T32)&gt;0,"OK","ONBEKEND")),IF(AND($BH32=$BE32,$BI32=$BF32+1),IF(OR(COUNTIF(#REF!,$D32)&gt;0,COUNTIF(#REF!,$D32)=0),"SKIP",IF(COUNTIFS(#REF!,$D32,#REF!,$T32)&gt;0,"OK","ONBEKEND")),"ONZEKER")))))</f>
        <v/>
      </c>
      <c r="V32" t="str">
        <f t="shared" si="220"/>
        <v/>
      </c>
      <c r="W32" t="str">
        <f t="shared" si="221"/>
        <v/>
      </c>
      <c r="X32" t="str">
        <f>IF($W32="","",IF(OR($BK32="",$BL32=""),"ONZEKER",IF(OR($BH32="",$BI32=""),"ONZEKER",IF(AND($BK32=$BH32+1,$BL32=$BI32),IF(OR(COUNTIF(#REF!,$B32)&gt;0,COUNTIF(#REF!,$B32)=0),"SKIP",IF(COUNTIFS(#REF!,$B32,#REF!,$W32)&gt;0,"OK","ONBEKEND")),IF(AND($BK32=$BH32,$BL32=$BI32+1),IF(OR(COUNTIF(#REF!,$D32)&gt;0,COUNTIF(#REF!,$D32)=0),"SKIP",IF(COUNTIFS(#REF!,$D32,#REF!,$W32)&gt;0,"OK","ONBEKEND")),"ONZEKER")))))</f>
        <v/>
      </c>
      <c r="Y32" t="str">
        <f t="shared" si="222"/>
        <v/>
      </c>
      <c r="Z32" t="str">
        <f t="shared" si="223"/>
        <v/>
      </c>
      <c r="AA32" t="str">
        <f>IF($Z32="","",IF(OR($BN32="",$BO32=""),"ONZEKER",IF(OR($BK32="",$BL32=""),"ONZEKER",IF(AND($BN32=$BK32+1,$BO32=$BL32),IF(OR(COUNTIF(#REF!,$B32)&gt;0,COUNTIF(#REF!,$B32)=0),"SKIP",IF(COUNTIFS(#REF!,$B32,#REF!,$Z32)&gt;0,"OK","ONBEKEND")),IF(AND($BN32=$BK32,$BO32=$BL32+1),IF(OR(COUNTIF(#REF!,$D32)&gt;0,COUNTIF(#REF!,$D32)=0),"SKIP",IF(COUNTIFS(#REF!,$D32,#REF!,$Z32)&gt;0,"OK","ONBEKEND")),"ONZEKER")))))</f>
        <v/>
      </c>
      <c r="AB32" t="str">
        <f t="shared" si="224"/>
        <v/>
      </c>
      <c r="AC32" t="str">
        <f t="shared" si="225"/>
        <v/>
      </c>
      <c r="AD32" t="str">
        <f>IF($AC32="","",IF(OR($BQ32="",$BR32=""),"ONZEKER",IF(OR($BN32="",$BO32=""),"ONZEKER",IF(AND($BQ32=$BN32+1,$BR32=$BO32),IF(OR(COUNTIF(#REF!,$B32)&gt;0,COUNTIF(#REF!,$B32)=0),"SKIP",IF(COUNTIFS(#REF!,$B32,#REF!,$AC32)&gt;0,"OK","ONBEKEND")),IF(AND($BQ32=$BN32,$BR32=$BO32+1),IF(OR(COUNTIF(#REF!,$D32)&gt;0,COUNTIF(#REF!,$D32)=0),"SKIP",IF(COUNTIFS(#REF!,$D32,#REF!,$AC32)&gt;0,"OK","ONBEKEND")),"ONZEKER")))))</f>
        <v/>
      </c>
      <c r="AE32" t="str">
        <f t="shared" si="226"/>
        <v/>
      </c>
      <c r="AF32" t="str">
        <f t="shared" si="227"/>
        <v/>
      </c>
      <c r="AG32" t="str">
        <f>IF($AF32="","",IF(OR($BT32="",$BU32=""),"ONZEKER",IF(OR($BQ32="",$BR32=""),"ONZEKER",IF(AND($BT32=$BQ32+1,$BU32=$BR32),IF(OR(COUNTIF(#REF!,$B32)&gt;0,COUNTIF(#REF!,$B32)=0),"SKIP",IF(COUNTIFS(#REF!,$B32,#REF!,$AF32)&gt;0,"OK","ONBEKEND")),IF(AND($BT32=$BQ32,$BU32=$BR32+1),IF(OR(COUNTIF(#REF!,$D32)&gt;0,COUNTIF(#REF!,$D32)=0),"SKIP",IF(COUNTIFS(#REF!,$D32,#REF!,$AF32)&gt;0,"OK","ONBEKEND")),"ONZEKER")))))</f>
        <v/>
      </c>
      <c r="AH32" t="str">
        <f t="shared" si="228"/>
        <v/>
      </c>
      <c r="AI32" t="str">
        <f t="shared" si="229"/>
        <v/>
      </c>
      <c r="AJ32" t="str">
        <f>IF($AI32="","",IF(OR($BW32="",$BX32=""),"ONZEKER",IF(OR($BT32="",$BU32=""),"ONZEKER",IF(AND($BW32=$BT32+1,$BX32=$BU32),IF(OR(COUNTIF(#REF!,$B32)&gt;0,COUNTIF(#REF!,$B32)=0),"SKIP",IF(COUNTIFS(#REF!,$B32,#REF!,$AI32)&gt;0,"OK","ONBEKEND")),IF(AND($BW32=$BT32,$BX32=$BU32+1),IF(OR(COUNTIF(#REF!,$D32)&gt;0,COUNTIF(#REF!,$D32)=0),"SKIP",IF(COUNTIFS(#REF!,$D32,#REF!,$AI32)&gt;0,"OK","ONBEKEND")),"ONZEKER")))))</f>
        <v/>
      </c>
      <c r="AK32" t="str">
        <f t="shared" si="230"/>
        <v/>
      </c>
      <c r="AL32" t="str">
        <f t="shared" si="231"/>
        <v/>
      </c>
      <c r="AM32" t="str">
        <f>IF($AL32="","",IF(OR($BZ32="",$CA32=""),"ONZEKER",IF(OR($BW32="",$BX32=""),"ONZEKER",IF(AND($BZ32=$BW32+1,$CA32=$BX32),IF(OR(COUNTIF(#REF!,$B32)&gt;0,COUNTIF(#REF!,$B32)=0),"SKIP",IF(COUNTIFS(#REF!,$B32,#REF!,$AL32)&gt;0,"OK","ONBEKEND")),IF(AND($BZ32=$BW32,$CA32=$BX32+1),IF(OR(COUNTIF(#REF!,$D32)&gt;0,COUNTIF(#REF!,$D32)=0),"SKIP",IF(COUNTIFS(#REF!,$D32,#REF!,$AL32)&gt;0,"OK","ONBEKEND")),"ONZEKER")))))</f>
        <v/>
      </c>
      <c r="AN32" t="str">
        <f t="shared" si="232"/>
        <v/>
      </c>
      <c r="AO32" t="str">
        <f t="shared" si="233"/>
        <v/>
      </c>
      <c r="AP32" t="str">
        <f>IF($AO32="","",IF(OR($CC32="",$CD32=""),"ONZEKER",IF(OR($BZ32="",$CA32=""),"ONZEKER",IF(AND($CC32=$BZ32+1,$CD32=$CA32),IF(OR(COUNTIF(#REF!,$B32)&gt;0,COUNTIF(#REF!,$B32)=0),"SKIP",IF(COUNTIFS(#REF!,$B32,#REF!,$AO32)&gt;0,"OK","ONBEKEND")),IF(AND($CC32=$BZ32,$CD32=$CA32+1),IF(OR(COUNTIF(#REF!,$D32)&gt;0,COUNTIF(#REF!,$D32)=0),"SKIP",IF(COUNTIFS(#REF!,$D32,#REF!,$AO32)&gt;0,"OK","ONBEKEND")),"ONZEKER")))))</f>
        <v/>
      </c>
      <c r="AQ32" t="str">
        <f t="shared" si="234"/>
        <v/>
      </c>
      <c r="AR32" t="str">
        <f t="shared" si="235"/>
        <v/>
      </c>
      <c r="AS32" t="str">
        <f>IF($AR32="","",IF(OR($CF32="",$CG32=""),"ONZEKER",IF(OR($CC32="",$CD32=""),"ONZEKER",IF(AND($CF32=$CC32+1,$CG32=$CD32),IF(OR(COUNTIF(#REF!,$B32)&gt;0,COUNTIF(#REF!,$B32)=0),"SKIP",IF(COUNTIFS(#REF!,$B32,#REF!,$AR32)&gt;0,"OK","ONBEKEND")),IF(AND($CF32=$CC32,$CG32=$CD32+1),IF(OR(COUNTIF(#REF!,$D32)&gt;0,COUNTIF(#REF!,$D32)=0),"SKIP",IF(COUNTIFS(#REF!,$D32,#REF!,$AR32)&gt;0,"OK","ONBEKEND")),"ONZEKER")))))</f>
        <v/>
      </c>
      <c r="AT32" t="str">
        <f t="shared" si="236"/>
        <v/>
      </c>
      <c r="AU32" t="str">
        <f t="shared" si="237"/>
        <v/>
      </c>
      <c r="AV32" t="str">
        <f t="shared" si="238"/>
        <v/>
      </c>
      <c r="AW32" t="str">
        <f t="shared" si="239"/>
        <v/>
      </c>
      <c r="AX32" t="str">
        <f t="shared" si="240"/>
        <v/>
      </c>
      <c r="AY32" t="str">
        <f t="shared" si="241"/>
        <v/>
      </c>
      <c r="AZ32" t="str">
        <f t="shared" si="242"/>
        <v/>
      </c>
      <c r="BA32" t="str">
        <f t="shared" si="243"/>
        <v/>
      </c>
      <c r="BB32" t="str">
        <f t="shared" si="244"/>
        <v/>
      </c>
      <c r="BC32" t="str">
        <f t="shared" si="245"/>
        <v/>
      </c>
      <c r="BD32" t="str">
        <f t="shared" si="32"/>
        <v/>
      </c>
      <c r="BE32" t="str">
        <f t="shared" si="33"/>
        <v/>
      </c>
      <c r="BF32" t="str">
        <f t="shared" si="34"/>
        <v/>
      </c>
      <c r="BG32" t="str">
        <f t="shared" si="35"/>
        <v/>
      </c>
      <c r="BH32" t="str">
        <f t="shared" si="36"/>
        <v/>
      </c>
      <c r="BI32" t="str">
        <f t="shared" si="37"/>
        <v/>
      </c>
      <c r="BJ32" t="str">
        <f t="shared" si="38"/>
        <v/>
      </c>
      <c r="BK32" t="str">
        <f t="shared" si="39"/>
        <v/>
      </c>
      <c r="BL32" t="str">
        <f t="shared" si="40"/>
        <v/>
      </c>
      <c r="BM32" t="str">
        <f t="shared" si="41"/>
        <v/>
      </c>
      <c r="BN32" t="str">
        <f t="shared" si="42"/>
        <v/>
      </c>
      <c r="BO32" t="str">
        <f t="shared" si="43"/>
        <v/>
      </c>
      <c r="BP32" t="str">
        <f t="shared" si="44"/>
        <v/>
      </c>
      <c r="BQ32" t="str">
        <f t="shared" si="45"/>
        <v/>
      </c>
      <c r="BR32" t="str">
        <f t="shared" si="46"/>
        <v/>
      </c>
      <c r="BS32" t="str">
        <f t="shared" si="47"/>
        <v/>
      </c>
      <c r="BT32" t="str">
        <f t="shared" si="48"/>
        <v/>
      </c>
      <c r="BU32" t="str">
        <f t="shared" si="49"/>
        <v/>
      </c>
      <c r="BV32" t="str">
        <f t="shared" si="50"/>
        <v/>
      </c>
      <c r="BW32" t="str">
        <f t="shared" si="51"/>
        <v/>
      </c>
      <c r="BX32" t="str">
        <f t="shared" si="52"/>
        <v/>
      </c>
      <c r="BY32" t="str">
        <f t="shared" si="53"/>
        <v/>
      </c>
      <c r="BZ32" t="str">
        <f t="shared" si="54"/>
        <v/>
      </c>
      <c r="CA32" t="str">
        <f t="shared" si="55"/>
        <v/>
      </c>
      <c r="CB32" t="str">
        <f t="shared" si="56"/>
        <v/>
      </c>
      <c r="CC32" t="str">
        <f t="shared" si="57"/>
        <v/>
      </c>
      <c r="CD32" t="str">
        <f t="shared" si="58"/>
        <v/>
      </c>
      <c r="CE32" t="str">
        <f t="shared" si="59"/>
        <v/>
      </c>
      <c r="CF32" t="str">
        <f t="shared" si="60"/>
        <v/>
      </c>
      <c r="CG32" t="str">
        <f t="shared" si="61"/>
        <v/>
      </c>
      <c r="CH32" t="str">
        <f t="shared" si="246"/>
        <v/>
      </c>
      <c r="CI32" t="str">
        <f t="shared" si="247"/>
        <v/>
      </c>
      <c r="CJ32" t="str">
        <f>IF($CI32="","",IF(OR($DW32="",$DX32=""),"ONZEKER",IF(OR($CF32="",$CG32=""),"ONZEKER",IF(AND($DW32=$CF32+1,$DX32=$CG32),IF(OR(COUNTIF(#REF!,$B32)&gt;0,COUNTIF(#REF!,$B32)=0),"SKIP",IF(COUNTIFS(#REF!,$B32,#REF!,$CI32)&gt;0,"OK","ONBEKEND")),IF(AND($DW32=$CF32,$DX32=$CG32+1),IF(OR(COUNTIF(#REF!,$D32)&gt;0,COUNTIF(#REF!,$D32)=0),"SKIP",IF(COUNTIFS(#REF!,$D32,#REF!,$CI32)&gt;0,"OK","ONBEKEND")),"ONZEKER")))))</f>
        <v/>
      </c>
      <c r="CK32" t="str">
        <f t="shared" si="248"/>
        <v/>
      </c>
      <c r="CL32" t="str">
        <f t="shared" si="249"/>
        <v/>
      </c>
      <c r="CM32" t="str">
        <f>IF($CL32="","",IF(OR($DZ32="",$EA32=""),"ONZEKER",IF(OR($DW32="",$DX32=""),"ONZEKER",IF(AND($DZ32=$DW32+1,$EA32=$DX32),IF(OR(COUNTIF(#REF!,$B32)&gt;0,COUNTIF(#REF!,$B32)=0),"SKIP",IF(COUNTIFS(#REF!,$B32,#REF!,$CL32)&gt;0,"OK","ONBEKEND")),IF(AND($DZ32=$DW32,$EA32=$DX32+1),IF(OR(COUNTIF(#REF!,$D32)&gt;0,COUNTIF(#REF!,$D32)=0),"SKIP",IF(COUNTIFS(#REF!,$D32,#REF!,$CL32)&gt;0,"OK","ONBEKEND")),"ONZEKER")))))</f>
        <v/>
      </c>
      <c r="CN32" t="str">
        <f t="shared" si="250"/>
        <v/>
      </c>
      <c r="CO32" t="str">
        <f t="shared" si="251"/>
        <v/>
      </c>
      <c r="CP32" t="str">
        <f>IF($CO32="","",IF(OR($EC32="",$ED32=""),"ONZEKER",IF(OR($DZ32="",$EA32=""),"ONZEKER",IF(AND($EC32=$DZ32+1,$ED32=$EA32),IF(OR(COUNTIF(#REF!,$B32)&gt;0,COUNTIF(#REF!,$B32)=0),"SKIP",IF(COUNTIFS(#REF!,$B32,#REF!,$CO32)&gt;0,"OK","ONBEKEND")),IF(AND($EC32=$DZ32,$ED32=$EA32+1),IF(OR(COUNTIF(#REF!,$D32)&gt;0,COUNTIF(#REF!,$D32)=0),"SKIP",IF(COUNTIFS(#REF!,$D32,#REF!,$CO32)&gt;0,"OK","ONBEKEND")),"ONZEKER")))))</f>
        <v/>
      </c>
      <c r="CQ32" t="str">
        <f t="shared" si="252"/>
        <v/>
      </c>
      <c r="CR32" t="str">
        <f t="shared" si="253"/>
        <v/>
      </c>
      <c r="CS32" t="str">
        <f>IF($CR32="","",IF(OR($EF32="",$EG32=""),"ONZEKER",IF(OR($EC32="",$ED32=""),"ONZEKER",IF(AND($EF32=$EC32+1,$EG32=$ED32),IF(OR(COUNTIF(#REF!,$B32)&gt;0,COUNTIF(#REF!,$B32)=0),"SKIP",IF(COUNTIFS(#REF!,$B32,#REF!,$CR32)&gt;0,"OK","ONBEKEND")),IF(AND($EF32=$EC32,$EG32=$ED32+1),IF(OR(COUNTIF(#REF!,$D32)&gt;0,COUNTIF(#REF!,$D32)=0),"SKIP",IF(COUNTIFS(#REF!,$D32,#REF!,$CR32)&gt;0,"OK","ONBEKEND")),"ONZEKER")))))</f>
        <v/>
      </c>
      <c r="CT32" t="str">
        <f t="shared" si="254"/>
        <v/>
      </c>
      <c r="CU32" t="str">
        <f t="shared" si="255"/>
        <v/>
      </c>
      <c r="CV32" t="str">
        <f>IF($CU32="","",IF(OR($EI32="",$EJ32=""),"ONZEKER",IF(OR($EF32="",$EG32=""),"ONZEKER",IF(AND($EI32=$EF32+1,$EJ32=$EG32),IF(OR(COUNTIF(#REF!,$B32)&gt;0,COUNTIF(#REF!,$B32)=0),"SKIP",IF(COUNTIFS(#REF!,$B32,#REF!,$CU32)&gt;0,"OK","ONBEKEND")),IF(AND($EI32=$EF32,$EJ32=$EG32+1),IF(OR(COUNTIF(#REF!,$D32)&gt;0,COUNTIF(#REF!,$D32)=0),"SKIP",IF(COUNTIFS(#REF!,$D32,#REF!,$CU32)&gt;0,"OK","ONBEKEND")),"ONZEKER")))))</f>
        <v/>
      </c>
      <c r="CW32" t="str">
        <f t="shared" si="256"/>
        <v/>
      </c>
      <c r="CX32" t="str">
        <f t="shared" si="257"/>
        <v/>
      </c>
      <c r="CY32" t="str">
        <f>IF($CX32="","",IF(OR($EL32="",$EM32=""),"ONZEKER",IF(OR($EI32="",$EJ32=""),"ONZEKER",IF(AND($EL32=$EI32+1,$EM32=$EJ32),IF(OR(COUNTIF(#REF!,$B32)&gt;0,COUNTIF(#REF!,$B32)=0),"SKIP",IF(COUNTIFS(#REF!,$B32,#REF!,$CX32)&gt;0,"OK","ONBEKEND")),IF(AND($EL32=$EI32,$EM32=$EJ32+1),IF(OR(COUNTIF(#REF!,$D32)&gt;0,COUNTIF(#REF!,$D32)=0),"SKIP",IF(COUNTIFS(#REF!,$D32,#REF!,$CX32)&gt;0,"OK","ONBEKEND")),"ONZEKER")))))</f>
        <v/>
      </c>
      <c r="CZ32" t="str">
        <f t="shared" si="258"/>
        <v/>
      </c>
      <c r="DA32" t="str">
        <f t="shared" si="259"/>
        <v/>
      </c>
      <c r="DB32" t="str">
        <f>IF($DA32="","",IF(OR($EO32="",$EP32=""),"ONZEKER",IF(OR($EL32="",$EM32=""),"ONZEKER",IF(AND($EO32=$EL32+1,$EP32=$EM32),IF(OR(COUNTIF(#REF!,$B32)&gt;0,COUNTIF(#REF!,$B32)=0),"SKIP",IF(COUNTIFS(#REF!,$B32,#REF!,$DA32)&gt;0,"OK","ONBEKEND")),IF(AND($EO32=$EL32,$EP32=$EM32+1),IF(OR(COUNTIF(#REF!,$D32)&gt;0,COUNTIF(#REF!,$D32)=0),"SKIP",IF(COUNTIFS(#REF!,$D32,#REF!,$DA32)&gt;0,"OK","ONBEKEND")),"ONZEKER")))))</f>
        <v/>
      </c>
      <c r="DC32" t="str">
        <f t="shared" si="260"/>
        <v/>
      </c>
      <c r="DD32" t="str">
        <f t="shared" si="261"/>
        <v/>
      </c>
      <c r="DE32" t="str">
        <f>IF($DD32="","",IF(OR($ER32="",$ES32=""),"ONZEKER",IF(OR($EO32="",$EP32=""),"ONZEKER",IF(AND($ER32=$EO32+1,$ES32=$EP32),IF(OR(COUNTIF(#REF!,$B32)&gt;0,COUNTIF(#REF!,$B32)=0),"SKIP",IF(COUNTIFS(#REF!,$B32,#REF!,$DD32)&gt;0,"OK","ONBEKEND")),IF(AND($ER32=$EO32,$ES32=$EP32+1),IF(OR(COUNTIF(#REF!,$D32)&gt;0,COUNTIF(#REF!,$D32)=0),"SKIP",IF(COUNTIFS(#REF!,$D32,#REF!,$DD32)&gt;0,"OK","ONBEKEND")),"ONZEKER")))))</f>
        <v/>
      </c>
      <c r="DF32" t="str">
        <f t="shared" si="262"/>
        <v/>
      </c>
      <c r="DG32" t="str">
        <f t="shared" si="263"/>
        <v/>
      </c>
      <c r="DH32" t="str">
        <f>IF($DG32="","",IF(OR($EU32="",$EV32=""),"ONZEKER",IF(OR($ER32="",$ES32=""),"ONZEKER",IF(AND($EU32=$ER32+1,$EV32=$ES32),IF(OR(COUNTIF(#REF!,$B32)&gt;0,COUNTIF(#REF!,$B32)=0),"SKIP",IF(COUNTIFS(#REF!,$B32,#REF!,$DG32)&gt;0,"OK","ONBEKEND")),IF(AND($EU32=$ER32,$EV32=$ES32+1),IF(OR(COUNTIF(#REF!,$D32)&gt;0,COUNTIF(#REF!,$D32)=0),"SKIP",IF(COUNTIFS(#REF!,$D32,#REF!,$DG32)&gt;0,"OK","ONBEKEND")),"ONZEKER")))))</f>
        <v/>
      </c>
      <c r="DI32" t="str">
        <f t="shared" si="264"/>
        <v/>
      </c>
      <c r="DJ32" t="str">
        <f t="shared" si="265"/>
        <v/>
      </c>
      <c r="DK32" t="str">
        <f>IF($DJ32="","",IF(OR($EX32="",$EY32=""),"ONZEKER",IF(OR($EU32="",$EV32=""),"ONZEKER",IF(AND($EX32=$EU32+1,$EY32=$EV32),IF(OR(COUNTIF(#REF!,$B32)&gt;0,COUNTIF(#REF!,$B32)=0),"SKIP",IF(COUNTIFS(#REF!,$B32,#REF!,$DJ32)&gt;0,"OK","ONBEKEND")),IF(AND($EX32=$EU32,$EY32=$EV32+1),IF(OR(COUNTIF(#REF!,$D32)&gt;0,COUNTIF(#REF!,$D32)=0),"SKIP",IF(COUNTIFS(#REF!,$D32,#REF!,$DJ32)&gt;0,"OK","ONBEKEND")),"ONZEKER")))))</f>
        <v/>
      </c>
      <c r="DL32" t="str">
        <f t="shared" si="266"/>
        <v/>
      </c>
      <c r="DM32" t="str">
        <f t="shared" si="267"/>
        <v/>
      </c>
      <c r="DN32" t="str">
        <f t="shared" si="268"/>
        <v/>
      </c>
      <c r="DO32" t="str">
        <f t="shared" si="269"/>
        <v/>
      </c>
      <c r="DP32" t="str">
        <f t="shared" si="270"/>
        <v/>
      </c>
      <c r="DQ32" t="str">
        <f t="shared" si="271"/>
        <v/>
      </c>
      <c r="DR32" t="str">
        <f t="shared" si="272"/>
        <v/>
      </c>
      <c r="DS32" t="str">
        <f t="shared" si="273"/>
        <v/>
      </c>
      <c r="DT32" t="str">
        <f t="shared" si="274"/>
        <v/>
      </c>
      <c r="DU32" t="str">
        <f t="shared" si="275"/>
        <v/>
      </c>
      <c r="DV32" t="str">
        <f t="shared" si="276"/>
        <v/>
      </c>
      <c r="DW32" t="str">
        <f t="shared" si="277"/>
        <v/>
      </c>
      <c r="DX32" t="str">
        <f t="shared" si="278"/>
        <v/>
      </c>
      <c r="DY32" t="str">
        <f t="shared" si="279"/>
        <v/>
      </c>
      <c r="DZ32" t="str">
        <f t="shared" si="280"/>
        <v/>
      </c>
      <c r="EA32" t="str">
        <f t="shared" si="281"/>
        <v/>
      </c>
      <c r="EB32" t="str">
        <f t="shared" si="282"/>
        <v/>
      </c>
      <c r="EC32" t="str">
        <f t="shared" si="283"/>
        <v/>
      </c>
      <c r="ED32" t="str">
        <f t="shared" si="284"/>
        <v/>
      </c>
      <c r="EE32" t="str">
        <f t="shared" si="285"/>
        <v/>
      </c>
      <c r="EF32" t="str">
        <f t="shared" si="286"/>
        <v/>
      </c>
      <c r="EG32" t="str">
        <f t="shared" si="287"/>
        <v/>
      </c>
      <c r="EH32" t="str">
        <f t="shared" si="288"/>
        <v/>
      </c>
      <c r="EI32" t="str">
        <f t="shared" si="289"/>
        <v/>
      </c>
      <c r="EJ32" t="str">
        <f t="shared" si="290"/>
        <v/>
      </c>
      <c r="EK32" t="str">
        <f t="shared" si="291"/>
        <v/>
      </c>
      <c r="EL32" t="str">
        <f t="shared" si="292"/>
        <v/>
      </c>
      <c r="EM32" t="str">
        <f t="shared" si="293"/>
        <v/>
      </c>
      <c r="EN32" t="str">
        <f t="shared" si="294"/>
        <v/>
      </c>
      <c r="EO32" t="str">
        <f t="shared" si="295"/>
        <v/>
      </c>
      <c r="EP32" t="str">
        <f t="shared" si="296"/>
        <v/>
      </c>
      <c r="EQ32" t="str">
        <f t="shared" si="297"/>
        <v/>
      </c>
      <c r="ER32" t="str">
        <f t="shared" si="298"/>
        <v/>
      </c>
      <c r="ES32" t="str">
        <f t="shared" si="299"/>
        <v/>
      </c>
      <c r="ET32" t="str">
        <f t="shared" si="300"/>
        <v/>
      </c>
      <c r="EU32" t="str">
        <f t="shared" si="301"/>
        <v/>
      </c>
      <c r="EV32" t="str">
        <f t="shared" si="302"/>
        <v/>
      </c>
      <c r="EW32" t="str">
        <f t="shared" si="303"/>
        <v/>
      </c>
      <c r="EX32" t="str">
        <f t="shared" si="304"/>
        <v/>
      </c>
      <c r="EY32" t="str">
        <f t="shared" si="305"/>
        <v/>
      </c>
    </row>
    <row r="33" spans="1:155" ht="13.9" customHeight="1" x14ac:dyDescent="0.25">
      <c r="A33" s="7"/>
      <c r="B33" s="17"/>
      <c r="C33" s="8"/>
      <c r="D33" s="17"/>
      <c r="E33" s="8"/>
      <c r="F33" s="18">
        <v>0</v>
      </c>
      <c r="G33" s="7" t="s">
        <v>147</v>
      </c>
      <c r="H33" s="18">
        <v>0</v>
      </c>
      <c r="I33" s="19">
        <v>0</v>
      </c>
      <c r="J33" s="7" t="s">
        <v>147</v>
      </c>
      <c r="K33" s="19">
        <v>0</v>
      </c>
      <c r="L33" s="9"/>
      <c r="M33" s="3" t="str">
        <f>IF($L33="","",IF($L33="DOELPUNTENMAKERS","",IF(AND(COUNTIF(#REF!,$B33)=0,COUNTIF(#REF!,$D33)=0),"OK",IF($O33&gt;20,"LET OP: meer dan 20 items (controle onvolledig)",IF((COUNTIF($R33:$AS33,"ONZEKER")+COUNTIF($CJ33:$DK33,"ONZEKER"))&gt;0,"LET OP: scoreverloop onduidelijk (controle beperkt)",IF((IF($AT33&lt;&gt;"",$AT33&amp;", ","")&amp;IF($AU33&lt;&gt;"",$AU33&amp;", ","")&amp;IF($AV33&lt;&gt;"",$AV33&amp;", ","")&amp;IF($AW33&lt;&gt;"",$AW33&amp;", ","")&amp;IF($AX33&lt;&gt;"",$AX33&amp;", ","")&amp;IF($AY33&lt;&gt;"",$AY33&amp;", ","")&amp;IF($AZ33&lt;&gt;"",$AZ33&amp;", ","")&amp;IF($BA33&lt;&gt;"",$BA33&amp;", ","")&amp;IF($BB33&lt;&gt;"",$BB33&amp;", ","")&amp;IF($BC33&lt;&gt;"",$BC33&amp;", ","")&amp;IF($DL33&lt;&gt;"",$DL33&amp;", ","")&amp;IF($DM33&lt;&gt;"",$DM33&amp;", ","")&amp;IF($DN33&lt;&gt;"",$DN33&amp;", ","")&amp;IF($DO33&lt;&gt;"",$DO33&amp;", ","")&amp;IF($DP33&lt;&gt;"",$DP33&amp;", ","")&amp;IF($DQ33&lt;&gt;"",$DQ33&amp;", ","")&amp;IF($DR33&lt;&gt;"",$DR33&amp;", ","")&amp;IF($DS33&lt;&gt;"",$DS33&amp;", ","")&amp;IF($DT33&lt;&gt;"",$DT33&amp;", ","")&amp;IF($DU33&lt;&gt;"",$DU33&amp;", ",""))="","OK","Onbekend: "&amp;LEFT((IF($AT33&lt;&gt;"",$AT33&amp;", ","")&amp;IF($AU33&lt;&gt;"",$AU33&amp;", ","")&amp;IF($AV33&lt;&gt;"",$AV33&amp;", ","")&amp;IF($AW33&lt;&gt;"",$AW33&amp;", ","")&amp;IF($AX33&lt;&gt;"",$AX33&amp;", ","")&amp;IF($AY33&lt;&gt;"",$AY33&amp;", ","")&amp;IF($AZ33&lt;&gt;"",$AZ33&amp;", ","")&amp;IF($BA33&lt;&gt;"",$BA33&amp;", ","")&amp;IF($BB33&lt;&gt;"",$BB33&amp;", ","")&amp;IF($BC33&lt;&gt;"",$BC33&amp;", ","")&amp;IF($DL33&lt;&gt;"",$DL33&amp;", ","")&amp;IF($DM33&lt;&gt;"",$DM33&amp;", ","")&amp;IF($DN33&lt;&gt;"",$DN33&amp;", ","")&amp;IF($DO33&lt;&gt;"",$DO33&amp;", ","")&amp;IF($DP33&lt;&gt;"",$DP33&amp;", ","")&amp;IF($DQ33&lt;&gt;"",$DQ33&amp;", ","")&amp;IF($DR33&lt;&gt;"",$DR33&amp;", ","")&amp;IF($DS33&lt;&gt;"",$DS33&amp;", ","")&amp;IF($DT33&lt;&gt;"",$DT33&amp;", ","")&amp;IF($DU33&lt;&gt;"",$DU33&amp;", ","")),LEN((IF($AT33&lt;&gt;"",$AT33&amp;", ","")&amp;IF($AU33&lt;&gt;"",$AU33&amp;", ","")&amp;IF($AV33&lt;&gt;"",$AV33&amp;", ","")&amp;IF($AW33&lt;&gt;"",$AW33&amp;", ","")&amp;IF($AX33&lt;&gt;"",$AX33&amp;", ","")&amp;IF($AY33&lt;&gt;"",$AY33&amp;", ","")&amp;IF($AZ33&lt;&gt;"",$AZ33&amp;", ","")&amp;IF($BA33&lt;&gt;"",$BA33&amp;", ","")&amp;IF($BB33&lt;&gt;"",$BB33&amp;", ","")&amp;IF($BC33&lt;&gt;"",$BC33&amp;", ","")&amp;IF($DL33&lt;&gt;"",$DL33&amp;", ","")&amp;IF($DM33&lt;&gt;"",$DM33&amp;", ","")&amp;IF($DN33&lt;&gt;"",$DN33&amp;", ","")&amp;IF($DO33&lt;&gt;"",$DO33&amp;", ","")&amp;IF($DP33&lt;&gt;"",$DP33&amp;", ","")&amp;IF($DQ33&lt;&gt;"",$DQ33&amp;", ","")&amp;IF($DR33&lt;&gt;"",$DR33&amp;", ","")&amp;IF($DS33&lt;&gt;"",$DS33&amp;", ","")&amp;IF($DT33&lt;&gt;"",$DT33&amp;", ","")&amp;IF($DU33&lt;&gt;"",$DU33&amp;", ","")))-2)))))))</f>
        <v/>
      </c>
      <c r="N33" t="str">
        <f t="shared" si="214"/>
        <v/>
      </c>
      <c r="O33" t="str">
        <f t="shared" si="215"/>
        <v/>
      </c>
      <c r="P33" t="str">
        <f t="shared" si="216"/>
        <v/>
      </c>
      <c r="Q33" t="str">
        <f t="shared" si="217"/>
        <v/>
      </c>
      <c r="R33" t="str">
        <f>IF($Q33="","",IF(OR($BE33="",$BF33=""),"ONZEKER",IF(AND($BE33=0+1,$BF33=0),IF(OR(COUNTIF(#REF!,$B33)&gt;0,COUNTIF(#REF!,$B33)=0),"SKIP",IF(COUNTIFS(#REF!,$B33,#REF!,$Q33)&gt;0,"OK","ONBEKEND")),IF(AND($BE33=0,$BF33=0+1),IF(OR(COUNTIF(#REF!,$D33)&gt;0,COUNTIF(#REF!,$D33)=0),"SKIP",IF(COUNTIFS(#REF!,$D33,#REF!,$Q33)&gt;0,"OK","ONBEKEND")),"ONZEKER"))))</f>
        <v/>
      </c>
      <c r="S33" t="str">
        <f t="shared" si="218"/>
        <v/>
      </c>
      <c r="T33" t="str">
        <f t="shared" si="219"/>
        <v/>
      </c>
      <c r="U33" t="str">
        <f>IF($T33="","",IF(OR($BH33="",$BI33=""),"ONZEKER",IF(OR($BE33="",$BF33=""),"ONZEKER",IF(AND($BH33=$BE33+1,$BI33=$BF33),IF(OR(COUNTIF(#REF!,$B33)&gt;0,COUNTIF(#REF!,$B33)=0),"SKIP",IF(COUNTIFS(#REF!,$B33,#REF!,$T33)&gt;0,"OK","ONBEKEND")),IF(AND($BH33=$BE33,$BI33=$BF33+1),IF(OR(COUNTIF(#REF!,$D33)&gt;0,COUNTIF(#REF!,$D33)=0),"SKIP",IF(COUNTIFS(#REF!,$D33,#REF!,$T33)&gt;0,"OK","ONBEKEND")),"ONZEKER")))))</f>
        <v/>
      </c>
      <c r="V33" t="str">
        <f t="shared" si="220"/>
        <v/>
      </c>
      <c r="W33" t="str">
        <f t="shared" si="221"/>
        <v/>
      </c>
      <c r="X33" t="str">
        <f>IF($W33="","",IF(OR($BK33="",$BL33=""),"ONZEKER",IF(OR($BH33="",$BI33=""),"ONZEKER",IF(AND($BK33=$BH33+1,$BL33=$BI33),IF(OR(COUNTIF(#REF!,$B33)&gt;0,COUNTIF(#REF!,$B33)=0),"SKIP",IF(COUNTIFS(#REF!,$B33,#REF!,$W33)&gt;0,"OK","ONBEKEND")),IF(AND($BK33=$BH33,$BL33=$BI33+1),IF(OR(COUNTIF(#REF!,$D33)&gt;0,COUNTIF(#REF!,$D33)=0),"SKIP",IF(COUNTIFS(#REF!,$D33,#REF!,$W33)&gt;0,"OK","ONBEKEND")),"ONZEKER")))))</f>
        <v/>
      </c>
      <c r="Y33" t="str">
        <f t="shared" si="222"/>
        <v/>
      </c>
      <c r="Z33" t="str">
        <f t="shared" si="223"/>
        <v/>
      </c>
      <c r="AA33" t="str">
        <f>IF($Z33="","",IF(OR($BN33="",$BO33=""),"ONZEKER",IF(OR($BK33="",$BL33=""),"ONZEKER",IF(AND($BN33=$BK33+1,$BO33=$BL33),IF(OR(COUNTIF(#REF!,$B33)&gt;0,COUNTIF(#REF!,$B33)=0),"SKIP",IF(COUNTIFS(#REF!,$B33,#REF!,$Z33)&gt;0,"OK","ONBEKEND")),IF(AND($BN33=$BK33,$BO33=$BL33+1),IF(OR(COUNTIF(#REF!,$D33)&gt;0,COUNTIF(#REF!,$D33)=0),"SKIP",IF(COUNTIFS(#REF!,$D33,#REF!,$Z33)&gt;0,"OK","ONBEKEND")),"ONZEKER")))))</f>
        <v/>
      </c>
      <c r="AB33" t="str">
        <f t="shared" si="224"/>
        <v/>
      </c>
      <c r="AC33" t="str">
        <f t="shared" si="225"/>
        <v/>
      </c>
      <c r="AD33" t="str">
        <f>IF($AC33="","",IF(OR($BQ33="",$BR33=""),"ONZEKER",IF(OR($BN33="",$BO33=""),"ONZEKER",IF(AND($BQ33=$BN33+1,$BR33=$BO33),IF(OR(COUNTIF(#REF!,$B33)&gt;0,COUNTIF(#REF!,$B33)=0),"SKIP",IF(COUNTIFS(#REF!,$B33,#REF!,$AC33)&gt;0,"OK","ONBEKEND")),IF(AND($BQ33=$BN33,$BR33=$BO33+1),IF(OR(COUNTIF(#REF!,$D33)&gt;0,COUNTIF(#REF!,$D33)=0),"SKIP",IF(COUNTIFS(#REF!,$D33,#REF!,$AC33)&gt;0,"OK","ONBEKEND")),"ONZEKER")))))</f>
        <v/>
      </c>
      <c r="AE33" t="str">
        <f t="shared" si="226"/>
        <v/>
      </c>
      <c r="AF33" t="str">
        <f t="shared" si="227"/>
        <v/>
      </c>
      <c r="AG33" t="str">
        <f>IF($AF33="","",IF(OR($BT33="",$BU33=""),"ONZEKER",IF(OR($BQ33="",$BR33=""),"ONZEKER",IF(AND($BT33=$BQ33+1,$BU33=$BR33),IF(OR(COUNTIF(#REF!,$B33)&gt;0,COUNTIF(#REF!,$B33)=0),"SKIP",IF(COUNTIFS(#REF!,$B33,#REF!,$AF33)&gt;0,"OK","ONBEKEND")),IF(AND($BT33=$BQ33,$BU33=$BR33+1),IF(OR(COUNTIF(#REF!,$D33)&gt;0,COUNTIF(#REF!,$D33)=0),"SKIP",IF(COUNTIFS(#REF!,$D33,#REF!,$AF33)&gt;0,"OK","ONBEKEND")),"ONZEKER")))))</f>
        <v/>
      </c>
      <c r="AH33" t="str">
        <f t="shared" si="228"/>
        <v/>
      </c>
      <c r="AI33" t="str">
        <f t="shared" si="229"/>
        <v/>
      </c>
      <c r="AJ33" t="str">
        <f>IF($AI33="","",IF(OR($BW33="",$BX33=""),"ONZEKER",IF(OR($BT33="",$BU33=""),"ONZEKER",IF(AND($BW33=$BT33+1,$BX33=$BU33),IF(OR(COUNTIF(#REF!,$B33)&gt;0,COUNTIF(#REF!,$B33)=0),"SKIP",IF(COUNTIFS(#REF!,$B33,#REF!,$AI33)&gt;0,"OK","ONBEKEND")),IF(AND($BW33=$BT33,$BX33=$BU33+1),IF(OR(COUNTIF(#REF!,$D33)&gt;0,COUNTIF(#REF!,$D33)=0),"SKIP",IF(COUNTIFS(#REF!,$D33,#REF!,$AI33)&gt;0,"OK","ONBEKEND")),"ONZEKER")))))</f>
        <v/>
      </c>
      <c r="AK33" t="str">
        <f t="shared" si="230"/>
        <v/>
      </c>
      <c r="AL33" t="str">
        <f t="shared" si="231"/>
        <v/>
      </c>
      <c r="AM33" t="str">
        <f>IF($AL33="","",IF(OR($BZ33="",$CA33=""),"ONZEKER",IF(OR($BW33="",$BX33=""),"ONZEKER",IF(AND($BZ33=$BW33+1,$CA33=$BX33),IF(OR(COUNTIF(#REF!,$B33)&gt;0,COUNTIF(#REF!,$B33)=0),"SKIP",IF(COUNTIFS(#REF!,$B33,#REF!,$AL33)&gt;0,"OK","ONBEKEND")),IF(AND($BZ33=$BW33,$CA33=$BX33+1),IF(OR(COUNTIF(#REF!,$D33)&gt;0,COUNTIF(#REF!,$D33)=0),"SKIP",IF(COUNTIFS(#REF!,$D33,#REF!,$AL33)&gt;0,"OK","ONBEKEND")),"ONZEKER")))))</f>
        <v/>
      </c>
      <c r="AN33" t="str">
        <f t="shared" si="232"/>
        <v/>
      </c>
      <c r="AO33" t="str">
        <f t="shared" si="233"/>
        <v/>
      </c>
      <c r="AP33" t="str">
        <f>IF($AO33="","",IF(OR($CC33="",$CD33=""),"ONZEKER",IF(OR($BZ33="",$CA33=""),"ONZEKER",IF(AND($CC33=$BZ33+1,$CD33=$CA33),IF(OR(COUNTIF(#REF!,$B33)&gt;0,COUNTIF(#REF!,$B33)=0),"SKIP",IF(COUNTIFS(#REF!,$B33,#REF!,$AO33)&gt;0,"OK","ONBEKEND")),IF(AND($CC33=$BZ33,$CD33=$CA33+1),IF(OR(COUNTIF(#REF!,$D33)&gt;0,COUNTIF(#REF!,$D33)=0),"SKIP",IF(COUNTIFS(#REF!,$D33,#REF!,$AO33)&gt;0,"OK","ONBEKEND")),"ONZEKER")))))</f>
        <v/>
      </c>
      <c r="AQ33" t="str">
        <f t="shared" si="234"/>
        <v/>
      </c>
      <c r="AR33" t="str">
        <f t="shared" si="235"/>
        <v/>
      </c>
      <c r="AS33" t="str">
        <f>IF($AR33="","",IF(OR($CF33="",$CG33=""),"ONZEKER",IF(OR($CC33="",$CD33=""),"ONZEKER",IF(AND($CF33=$CC33+1,$CG33=$CD33),IF(OR(COUNTIF(#REF!,$B33)&gt;0,COUNTIF(#REF!,$B33)=0),"SKIP",IF(COUNTIFS(#REF!,$B33,#REF!,$AR33)&gt;0,"OK","ONBEKEND")),IF(AND($CF33=$CC33,$CG33=$CD33+1),IF(OR(COUNTIF(#REF!,$D33)&gt;0,COUNTIF(#REF!,$D33)=0),"SKIP",IF(COUNTIFS(#REF!,$D33,#REF!,$AR33)&gt;0,"OK","ONBEKEND")),"ONZEKER")))))</f>
        <v/>
      </c>
      <c r="AT33" t="str">
        <f t="shared" si="236"/>
        <v/>
      </c>
      <c r="AU33" t="str">
        <f t="shared" si="237"/>
        <v/>
      </c>
      <c r="AV33" t="str">
        <f t="shared" si="238"/>
        <v/>
      </c>
      <c r="AW33" t="str">
        <f t="shared" si="239"/>
        <v/>
      </c>
      <c r="AX33" t="str">
        <f t="shared" si="240"/>
        <v/>
      </c>
      <c r="AY33" t="str">
        <f t="shared" si="241"/>
        <v/>
      </c>
      <c r="AZ33" t="str">
        <f t="shared" si="242"/>
        <v/>
      </c>
      <c r="BA33" t="str">
        <f t="shared" si="243"/>
        <v/>
      </c>
      <c r="BB33" t="str">
        <f t="shared" si="244"/>
        <v/>
      </c>
      <c r="BC33" t="str">
        <f t="shared" si="245"/>
        <v/>
      </c>
      <c r="BD33" t="str">
        <f t="shared" si="32"/>
        <v/>
      </c>
      <c r="BE33" t="str">
        <f t="shared" si="33"/>
        <v/>
      </c>
      <c r="BF33" t="str">
        <f t="shared" si="34"/>
        <v/>
      </c>
      <c r="BG33" t="str">
        <f t="shared" si="35"/>
        <v/>
      </c>
      <c r="BH33" t="str">
        <f t="shared" si="36"/>
        <v/>
      </c>
      <c r="BI33" t="str">
        <f t="shared" si="37"/>
        <v/>
      </c>
      <c r="BJ33" t="str">
        <f t="shared" si="38"/>
        <v/>
      </c>
      <c r="BK33" t="str">
        <f t="shared" si="39"/>
        <v/>
      </c>
      <c r="BL33" t="str">
        <f t="shared" si="40"/>
        <v/>
      </c>
      <c r="BM33" t="str">
        <f t="shared" si="41"/>
        <v/>
      </c>
      <c r="BN33" t="str">
        <f t="shared" si="42"/>
        <v/>
      </c>
      <c r="BO33" t="str">
        <f t="shared" si="43"/>
        <v/>
      </c>
      <c r="BP33" t="str">
        <f t="shared" si="44"/>
        <v/>
      </c>
      <c r="BQ33" t="str">
        <f t="shared" si="45"/>
        <v/>
      </c>
      <c r="BR33" t="str">
        <f t="shared" si="46"/>
        <v/>
      </c>
      <c r="BS33" t="str">
        <f t="shared" si="47"/>
        <v/>
      </c>
      <c r="BT33" t="str">
        <f t="shared" si="48"/>
        <v/>
      </c>
      <c r="BU33" t="str">
        <f t="shared" si="49"/>
        <v/>
      </c>
      <c r="BV33" t="str">
        <f t="shared" si="50"/>
        <v/>
      </c>
      <c r="BW33" t="str">
        <f t="shared" si="51"/>
        <v/>
      </c>
      <c r="BX33" t="str">
        <f t="shared" si="52"/>
        <v/>
      </c>
      <c r="BY33" t="str">
        <f t="shared" si="53"/>
        <v/>
      </c>
      <c r="BZ33" t="str">
        <f t="shared" si="54"/>
        <v/>
      </c>
      <c r="CA33" t="str">
        <f t="shared" si="55"/>
        <v/>
      </c>
      <c r="CB33" t="str">
        <f t="shared" si="56"/>
        <v/>
      </c>
      <c r="CC33" t="str">
        <f t="shared" si="57"/>
        <v/>
      </c>
      <c r="CD33" t="str">
        <f t="shared" si="58"/>
        <v/>
      </c>
      <c r="CE33" t="str">
        <f t="shared" si="59"/>
        <v/>
      </c>
      <c r="CF33" t="str">
        <f t="shared" si="60"/>
        <v/>
      </c>
      <c r="CG33" t="str">
        <f t="shared" si="61"/>
        <v/>
      </c>
      <c r="CH33" t="str">
        <f t="shared" si="246"/>
        <v/>
      </c>
      <c r="CI33" t="str">
        <f t="shared" si="247"/>
        <v/>
      </c>
      <c r="CJ33" t="str">
        <f>IF($CI33="","",IF(OR($DW33="",$DX33=""),"ONZEKER",IF(OR($CF33="",$CG33=""),"ONZEKER",IF(AND($DW33=$CF33+1,$DX33=$CG33),IF(OR(COUNTIF(#REF!,$B33)&gt;0,COUNTIF(#REF!,$B33)=0),"SKIP",IF(COUNTIFS(#REF!,$B33,#REF!,$CI33)&gt;0,"OK","ONBEKEND")),IF(AND($DW33=$CF33,$DX33=$CG33+1),IF(OR(COUNTIF(#REF!,$D33)&gt;0,COUNTIF(#REF!,$D33)=0),"SKIP",IF(COUNTIFS(#REF!,$D33,#REF!,$CI33)&gt;0,"OK","ONBEKEND")),"ONZEKER")))))</f>
        <v/>
      </c>
      <c r="CK33" t="str">
        <f t="shared" si="248"/>
        <v/>
      </c>
      <c r="CL33" t="str">
        <f t="shared" si="249"/>
        <v/>
      </c>
      <c r="CM33" t="str">
        <f>IF($CL33="","",IF(OR($DZ33="",$EA33=""),"ONZEKER",IF(OR($DW33="",$DX33=""),"ONZEKER",IF(AND($DZ33=$DW33+1,$EA33=$DX33),IF(OR(COUNTIF(#REF!,$B33)&gt;0,COUNTIF(#REF!,$B33)=0),"SKIP",IF(COUNTIFS(#REF!,$B33,#REF!,$CL33)&gt;0,"OK","ONBEKEND")),IF(AND($DZ33=$DW33,$EA33=$DX33+1),IF(OR(COUNTIF(#REF!,$D33)&gt;0,COUNTIF(#REF!,$D33)=0),"SKIP",IF(COUNTIFS(#REF!,$D33,#REF!,$CL33)&gt;0,"OK","ONBEKEND")),"ONZEKER")))))</f>
        <v/>
      </c>
      <c r="CN33" t="str">
        <f t="shared" si="250"/>
        <v/>
      </c>
      <c r="CO33" t="str">
        <f t="shared" si="251"/>
        <v/>
      </c>
      <c r="CP33" t="str">
        <f>IF($CO33="","",IF(OR($EC33="",$ED33=""),"ONZEKER",IF(OR($DZ33="",$EA33=""),"ONZEKER",IF(AND($EC33=$DZ33+1,$ED33=$EA33),IF(OR(COUNTIF(#REF!,$B33)&gt;0,COUNTIF(#REF!,$B33)=0),"SKIP",IF(COUNTIFS(#REF!,$B33,#REF!,$CO33)&gt;0,"OK","ONBEKEND")),IF(AND($EC33=$DZ33,$ED33=$EA33+1),IF(OR(COUNTIF(#REF!,$D33)&gt;0,COUNTIF(#REF!,$D33)=0),"SKIP",IF(COUNTIFS(#REF!,$D33,#REF!,$CO33)&gt;0,"OK","ONBEKEND")),"ONZEKER")))))</f>
        <v/>
      </c>
      <c r="CQ33" t="str">
        <f t="shared" si="252"/>
        <v/>
      </c>
      <c r="CR33" t="str">
        <f t="shared" si="253"/>
        <v/>
      </c>
      <c r="CS33" t="str">
        <f>IF($CR33="","",IF(OR($EF33="",$EG33=""),"ONZEKER",IF(OR($EC33="",$ED33=""),"ONZEKER",IF(AND($EF33=$EC33+1,$EG33=$ED33),IF(OR(COUNTIF(#REF!,$B33)&gt;0,COUNTIF(#REF!,$B33)=0),"SKIP",IF(COUNTIFS(#REF!,$B33,#REF!,$CR33)&gt;0,"OK","ONBEKEND")),IF(AND($EF33=$EC33,$EG33=$ED33+1),IF(OR(COUNTIF(#REF!,$D33)&gt;0,COUNTIF(#REF!,$D33)=0),"SKIP",IF(COUNTIFS(#REF!,$D33,#REF!,$CR33)&gt;0,"OK","ONBEKEND")),"ONZEKER")))))</f>
        <v/>
      </c>
      <c r="CT33" t="str">
        <f t="shared" si="254"/>
        <v/>
      </c>
      <c r="CU33" t="str">
        <f t="shared" si="255"/>
        <v/>
      </c>
      <c r="CV33" t="str">
        <f>IF($CU33="","",IF(OR($EI33="",$EJ33=""),"ONZEKER",IF(OR($EF33="",$EG33=""),"ONZEKER",IF(AND($EI33=$EF33+1,$EJ33=$EG33),IF(OR(COUNTIF(#REF!,$B33)&gt;0,COUNTIF(#REF!,$B33)=0),"SKIP",IF(COUNTIFS(#REF!,$B33,#REF!,$CU33)&gt;0,"OK","ONBEKEND")),IF(AND($EI33=$EF33,$EJ33=$EG33+1),IF(OR(COUNTIF(#REF!,$D33)&gt;0,COUNTIF(#REF!,$D33)=0),"SKIP",IF(COUNTIFS(#REF!,$D33,#REF!,$CU33)&gt;0,"OK","ONBEKEND")),"ONZEKER")))))</f>
        <v/>
      </c>
      <c r="CW33" t="str">
        <f t="shared" si="256"/>
        <v/>
      </c>
      <c r="CX33" t="str">
        <f t="shared" si="257"/>
        <v/>
      </c>
      <c r="CY33" t="str">
        <f>IF($CX33="","",IF(OR($EL33="",$EM33=""),"ONZEKER",IF(OR($EI33="",$EJ33=""),"ONZEKER",IF(AND($EL33=$EI33+1,$EM33=$EJ33),IF(OR(COUNTIF(#REF!,$B33)&gt;0,COUNTIF(#REF!,$B33)=0),"SKIP",IF(COUNTIFS(#REF!,$B33,#REF!,$CX33)&gt;0,"OK","ONBEKEND")),IF(AND($EL33=$EI33,$EM33=$EJ33+1),IF(OR(COUNTIF(#REF!,$D33)&gt;0,COUNTIF(#REF!,$D33)=0),"SKIP",IF(COUNTIFS(#REF!,$D33,#REF!,$CX33)&gt;0,"OK","ONBEKEND")),"ONZEKER")))))</f>
        <v/>
      </c>
      <c r="CZ33" t="str">
        <f t="shared" si="258"/>
        <v/>
      </c>
      <c r="DA33" t="str">
        <f t="shared" si="259"/>
        <v/>
      </c>
      <c r="DB33" t="str">
        <f>IF($DA33="","",IF(OR($EO33="",$EP33=""),"ONZEKER",IF(OR($EL33="",$EM33=""),"ONZEKER",IF(AND($EO33=$EL33+1,$EP33=$EM33),IF(OR(COUNTIF(#REF!,$B33)&gt;0,COUNTIF(#REF!,$B33)=0),"SKIP",IF(COUNTIFS(#REF!,$B33,#REF!,$DA33)&gt;0,"OK","ONBEKEND")),IF(AND($EO33=$EL33,$EP33=$EM33+1),IF(OR(COUNTIF(#REF!,$D33)&gt;0,COUNTIF(#REF!,$D33)=0),"SKIP",IF(COUNTIFS(#REF!,$D33,#REF!,$DA33)&gt;0,"OK","ONBEKEND")),"ONZEKER")))))</f>
        <v/>
      </c>
      <c r="DC33" t="str">
        <f t="shared" si="260"/>
        <v/>
      </c>
      <c r="DD33" t="str">
        <f t="shared" si="261"/>
        <v/>
      </c>
      <c r="DE33" t="str">
        <f>IF($DD33="","",IF(OR($ER33="",$ES33=""),"ONZEKER",IF(OR($EO33="",$EP33=""),"ONZEKER",IF(AND($ER33=$EO33+1,$ES33=$EP33),IF(OR(COUNTIF(#REF!,$B33)&gt;0,COUNTIF(#REF!,$B33)=0),"SKIP",IF(COUNTIFS(#REF!,$B33,#REF!,$DD33)&gt;0,"OK","ONBEKEND")),IF(AND($ER33=$EO33,$ES33=$EP33+1),IF(OR(COUNTIF(#REF!,$D33)&gt;0,COUNTIF(#REF!,$D33)=0),"SKIP",IF(COUNTIFS(#REF!,$D33,#REF!,$DD33)&gt;0,"OK","ONBEKEND")),"ONZEKER")))))</f>
        <v/>
      </c>
      <c r="DF33" t="str">
        <f t="shared" si="262"/>
        <v/>
      </c>
      <c r="DG33" t="str">
        <f t="shared" si="263"/>
        <v/>
      </c>
      <c r="DH33" t="str">
        <f>IF($DG33="","",IF(OR($EU33="",$EV33=""),"ONZEKER",IF(OR($ER33="",$ES33=""),"ONZEKER",IF(AND($EU33=$ER33+1,$EV33=$ES33),IF(OR(COUNTIF(#REF!,$B33)&gt;0,COUNTIF(#REF!,$B33)=0),"SKIP",IF(COUNTIFS(#REF!,$B33,#REF!,$DG33)&gt;0,"OK","ONBEKEND")),IF(AND($EU33=$ER33,$EV33=$ES33+1),IF(OR(COUNTIF(#REF!,$D33)&gt;0,COUNTIF(#REF!,$D33)=0),"SKIP",IF(COUNTIFS(#REF!,$D33,#REF!,$DG33)&gt;0,"OK","ONBEKEND")),"ONZEKER")))))</f>
        <v/>
      </c>
      <c r="DI33" t="str">
        <f t="shared" si="264"/>
        <v/>
      </c>
      <c r="DJ33" t="str">
        <f t="shared" si="265"/>
        <v/>
      </c>
      <c r="DK33" t="str">
        <f>IF($DJ33="","",IF(OR($EX33="",$EY33=""),"ONZEKER",IF(OR($EU33="",$EV33=""),"ONZEKER",IF(AND($EX33=$EU33+1,$EY33=$EV33),IF(OR(COUNTIF(#REF!,$B33)&gt;0,COUNTIF(#REF!,$B33)=0),"SKIP",IF(COUNTIFS(#REF!,$B33,#REF!,$DJ33)&gt;0,"OK","ONBEKEND")),IF(AND($EX33=$EU33,$EY33=$EV33+1),IF(OR(COUNTIF(#REF!,$D33)&gt;0,COUNTIF(#REF!,$D33)=0),"SKIP",IF(COUNTIFS(#REF!,$D33,#REF!,$DJ33)&gt;0,"OK","ONBEKEND")),"ONZEKER")))))</f>
        <v/>
      </c>
      <c r="DL33" t="str">
        <f t="shared" si="266"/>
        <v/>
      </c>
      <c r="DM33" t="str">
        <f t="shared" si="267"/>
        <v/>
      </c>
      <c r="DN33" t="str">
        <f t="shared" si="268"/>
        <v/>
      </c>
      <c r="DO33" t="str">
        <f t="shared" si="269"/>
        <v/>
      </c>
      <c r="DP33" t="str">
        <f t="shared" si="270"/>
        <v/>
      </c>
      <c r="DQ33" t="str">
        <f t="shared" si="271"/>
        <v/>
      </c>
      <c r="DR33" t="str">
        <f t="shared" si="272"/>
        <v/>
      </c>
      <c r="DS33" t="str">
        <f t="shared" si="273"/>
        <v/>
      </c>
      <c r="DT33" t="str">
        <f t="shared" si="274"/>
        <v/>
      </c>
      <c r="DU33" t="str">
        <f t="shared" si="275"/>
        <v/>
      </c>
      <c r="DV33" t="str">
        <f t="shared" si="276"/>
        <v/>
      </c>
      <c r="DW33" t="str">
        <f t="shared" si="277"/>
        <v/>
      </c>
      <c r="DX33" t="str">
        <f t="shared" si="278"/>
        <v/>
      </c>
      <c r="DY33" t="str">
        <f t="shared" si="279"/>
        <v/>
      </c>
      <c r="DZ33" t="str">
        <f t="shared" si="280"/>
        <v/>
      </c>
      <c r="EA33" t="str">
        <f t="shared" si="281"/>
        <v/>
      </c>
      <c r="EB33" t="str">
        <f t="shared" si="282"/>
        <v/>
      </c>
      <c r="EC33" t="str">
        <f t="shared" si="283"/>
        <v/>
      </c>
      <c r="ED33" t="str">
        <f t="shared" si="284"/>
        <v/>
      </c>
      <c r="EE33" t="str">
        <f t="shared" si="285"/>
        <v/>
      </c>
      <c r="EF33" t="str">
        <f t="shared" si="286"/>
        <v/>
      </c>
      <c r="EG33" t="str">
        <f t="shared" si="287"/>
        <v/>
      </c>
      <c r="EH33" t="str">
        <f t="shared" si="288"/>
        <v/>
      </c>
      <c r="EI33" t="str">
        <f t="shared" si="289"/>
        <v/>
      </c>
      <c r="EJ33" t="str">
        <f t="shared" si="290"/>
        <v/>
      </c>
      <c r="EK33" t="str">
        <f t="shared" si="291"/>
        <v/>
      </c>
      <c r="EL33" t="str">
        <f t="shared" si="292"/>
        <v/>
      </c>
      <c r="EM33" t="str">
        <f t="shared" si="293"/>
        <v/>
      </c>
      <c r="EN33" t="str">
        <f t="shared" si="294"/>
        <v/>
      </c>
      <c r="EO33" t="str">
        <f t="shared" si="295"/>
        <v/>
      </c>
      <c r="EP33" t="str">
        <f t="shared" si="296"/>
        <v/>
      </c>
      <c r="EQ33" t="str">
        <f t="shared" si="297"/>
        <v/>
      </c>
      <c r="ER33" t="str">
        <f t="shared" si="298"/>
        <v/>
      </c>
      <c r="ES33" t="str">
        <f t="shared" si="299"/>
        <v/>
      </c>
      <c r="ET33" t="str">
        <f t="shared" si="300"/>
        <v/>
      </c>
      <c r="EU33" t="str">
        <f t="shared" si="301"/>
        <v/>
      </c>
      <c r="EV33" t="str">
        <f t="shared" si="302"/>
        <v/>
      </c>
      <c r="EW33" t="str">
        <f t="shared" si="303"/>
        <v/>
      </c>
      <c r="EX33" t="str">
        <f t="shared" si="304"/>
        <v/>
      </c>
      <c r="EY33" t="str">
        <f t="shared" si="305"/>
        <v/>
      </c>
    </row>
    <row r="34" spans="1:155" ht="13.9" customHeight="1" x14ac:dyDescent="0.25">
      <c r="A34" s="7"/>
      <c r="B34" s="17"/>
      <c r="C34" s="8"/>
      <c r="D34" s="17"/>
      <c r="E34" s="8"/>
      <c r="F34" s="18">
        <v>0</v>
      </c>
      <c r="G34" s="7" t="s">
        <v>147</v>
      </c>
      <c r="H34" s="18">
        <v>0</v>
      </c>
      <c r="I34" s="19">
        <v>0</v>
      </c>
      <c r="J34" s="7" t="s">
        <v>147</v>
      </c>
      <c r="K34" s="19">
        <v>0</v>
      </c>
      <c r="L34" s="9"/>
      <c r="M34" s="3" t="str">
        <f>IF($L34="","",IF($L34="DOELPUNTENMAKERS","",IF(AND(COUNTIF(#REF!,$B34)=0,COUNTIF(#REF!,$D34)=0),"OK",IF($O34&gt;20,"LET OP: meer dan 20 items (controle onvolledig)",IF((COUNTIF($R34:$AS34,"ONZEKER")+COUNTIF($CJ34:$DK34,"ONZEKER"))&gt;0,"LET OP: scoreverloop onduidelijk (controle beperkt)",IF((IF($AT34&lt;&gt;"",$AT34&amp;", ","")&amp;IF($AU34&lt;&gt;"",$AU34&amp;", ","")&amp;IF($AV34&lt;&gt;"",$AV34&amp;", ","")&amp;IF($AW34&lt;&gt;"",$AW34&amp;", ","")&amp;IF($AX34&lt;&gt;"",$AX34&amp;", ","")&amp;IF($AY34&lt;&gt;"",$AY34&amp;", ","")&amp;IF($AZ34&lt;&gt;"",$AZ34&amp;", ","")&amp;IF($BA34&lt;&gt;"",$BA34&amp;", ","")&amp;IF($BB34&lt;&gt;"",$BB34&amp;", ","")&amp;IF($BC34&lt;&gt;"",$BC34&amp;", ","")&amp;IF($DL34&lt;&gt;"",$DL34&amp;", ","")&amp;IF($DM34&lt;&gt;"",$DM34&amp;", ","")&amp;IF($DN34&lt;&gt;"",$DN34&amp;", ","")&amp;IF($DO34&lt;&gt;"",$DO34&amp;", ","")&amp;IF($DP34&lt;&gt;"",$DP34&amp;", ","")&amp;IF($DQ34&lt;&gt;"",$DQ34&amp;", ","")&amp;IF($DR34&lt;&gt;"",$DR34&amp;", ","")&amp;IF($DS34&lt;&gt;"",$DS34&amp;", ","")&amp;IF($DT34&lt;&gt;"",$DT34&amp;", ","")&amp;IF($DU34&lt;&gt;"",$DU34&amp;", ",""))="","OK","Onbekend: "&amp;LEFT((IF($AT34&lt;&gt;"",$AT34&amp;", ","")&amp;IF($AU34&lt;&gt;"",$AU34&amp;", ","")&amp;IF($AV34&lt;&gt;"",$AV34&amp;", ","")&amp;IF($AW34&lt;&gt;"",$AW34&amp;", ","")&amp;IF($AX34&lt;&gt;"",$AX34&amp;", ","")&amp;IF($AY34&lt;&gt;"",$AY34&amp;", ","")&amp;IF($AZ34&lt;&gt;"",$AZ34&amp;", ","")&amp;IF($BA34&lt;&gt;"",$BA34&amp;", ","")&amp;IF($BB34&lt;&gt;"",$BB34&amp;", ","")&amp;IF($BC34&lt;&gt;"",$BC34&amp;", ","")&amp;IF($DL34&lt;&gt;"",$DL34&amp;", ","")&amp;IF($DM34&lt;&gt;"",$DM34&amp;", ","")&amp;IF($DN34&lt;&gt;"",$DN34&amp;", ","")&amp;IF($DO34&lt;&gt;"",$DO34&amp;", ","")&amp;IF($DP34&lt;&gt;"",$DP34&amp;", ","")&amp;IF($DQ34&lt;&gt;"",$DQ34&amp;", ","")&amp;IF($DR34&lt;&gt;"",$DR34&amp;", ","")&amp;IF($DS34&lt;&gt;"",$DS34&amp;", ","")&amp;IF($DT34&lt;&gt;"",$DT34&amp;", ","")&amp;IF($DU34&lt;&gt;"",$DU34&amp;", ","")),LEN((IF($AT34&lt;&gt;"",$AT34&amp;", ","")&amp;IF($AU34&lt;&gt;"",$AU34&amp;", ","")&amp;IF($AV34&lt;&gt;"",$AV34&amp;", ","")&amp;IF($AW34&lt;&gt;"",$AW34&amp;", ","")&amp;IF($AX34&lt;&gt;"",$AX34&amp;", ","")&amp;IF($AY34&lt;&gt;"",$AY34&amp;", ","")&amp;IF($AZ34&lt;&gt;"",$AZ34&amp;", ","")&amp;IF($BA34&lt;&gt;"",$BA34&amp;", ","")&amp;IF($BB34&lt;&gt;"",$BB34&amp;", ","")&amp;IF($BC34&lt;&gt;"",$BC34&amp;", ","")&amp;IF($DL34&lt;&gt;"",$DL34&amp;", ","")&amp;IF($DM34&lt;&gt;"",$DM34&amp;", ","")&amp;IF($DN34&lt;&gt;"",$DN34&amp;", ","")&amp;IF($DO34&lt;&gt;"",$DO34&amp;", ","")&amp;IF($DP34&lt;&gt;"",$DP34&amp;", ","")&amp;IF($DQ34&lt;&gt;"",$DQ34&amp;", ","")&amp;IF($DR34&lt;&gt;"",$DR34&amp;", ","")&amp;IF($DS34&lt;&gt;"",$DS34&amp;", ","")&amp;IF($DT34&lt;&gt;"",$DT34&amp;", ","")&amp;IF($DU34&lt;&gt;"",$DU34&amp;", ","")))-2)))))))</f>
        <v/>
      </c>
      <c r="N34" t="str">
        <f t="shared" si="214"/>
        <v/>
      </c>
      <c r="O34" t="str">
        <f t="shared" si="215"/>
        <v/>
      </c>
      <c r="P34" t="str">
        <f t="shared" si="216"/>
        <v/>
      </c>
      <c r="Q34" t="str">
        <f t="shared" si="217"/>
        <v/>
      </c>
      <c r="R34" t="str">
        <f>IF($Q34="","",IF(OR($BE34="",$BF34=""),"ONZEKER",IF(AND($BE34=0+1,$BF34=0),IF(OR(COUNTIF(#REF!,$B34)&gt;0,COUNTIF(#REF!,$B34)=0),"SKIP",IF(COUNTIFS(#REF!,$B34,#REF!,$Q34)&gt;0,"OK","ONBEKEND")),IF(AND($BE34=0,$BF34=0+1),IF(OR(COUNTIF(#REF!,$D34)&gt;0,COUNTIF(#REF!,$D34)=0),"SKIP",IF(COUNTIFS(#REF!,$D34,#REF!,$Q34)&gt;0,"OK","ONBEKEND")),"ONZEKER"))))</f>
        <v/>
      </c>
      <c r="S34" t="str">
        <f t="shared" si="218"/>
        <v/>
      </c>
      <c r="T34" t="str">
        <f t="shared" si="219"/>
        <v/>
      </c>
      <c r="U34" t="str">
        <f>IF($T34="","",IF(OR($BH34="",$BI34=""),"ONZEKER",IF(OR($BE34="",$BF34=""),"ONZEKER",IF(AND($BH34=$BE34+1,$BI34=$BF34),IF(OR(COUNTIF(#REF!,$B34)&gt;0,COUNTIF(#REF!,$B34)=0),"SKIP",IF(COUNTIFS(#REF!,$B34,#REF!,$T34)&gt;0,"OK","ONBEKEND")),IF(AND($BH34=$BE34,$BI34=$BF34+1),IF(OR(COUNTIF(#REF!,$D34)&gt;0,COUNTIF(#REF!,$D34)=0),"SKIP",IF(COUNTIFS(#REF!,$D34,#REF!,$T34)&gt;0,"OK","ONBEKEND")),"ONZEKER")))))</f>
        <v/>
      </c>
      <c r="V34" t="str">
        <f t="shared" si="220"/>
        <v/>
      </c>
      <c r="W34" t="str">
        <f t="shared" si="221"/>
        <v/>
      </c>
      <c r="X34" t="str">
        <f>IF($W34="","",IF(OR($BK34="",$BL34=""),"ONZEKER",IF(OR($BH34="",$BI34=""),"ONZEKER",IF(AND($BK34=$BH34+1,$BL34=$BI34),IF(OR(COUNTIF(#REF!,$B34)&gt;0,COUNTIF(#REF!,$B34)=0),"SKIP",IF(COUNTIFS(#REF!,$B34,#REF!,$W34)&gt;0,"OK","ONBEKEND")),IF(AND($BK34=$BH34,$BL34=$BI34+1),IF(OR(COUNTIF(#REF!,$D34)&gt;0,COUNTIF(#REF!,$D34)=0),"SKIP",IF(COUNTIFS(#REF!,$D34,#REF!,$W34)&gt;0,"OK","ONBEKEND")),"ONZEKER")))))</f>
        <v/>
      </c>
      <c r="Y34" t="str">
        <f t="shared" si="222"/>
        <v/>
      </c>
      <c r="Z34" t="str">
        <f t="shared" si="223"/>
        <v/>
      </c>
      <c r="AA34" t="str">
        <f>IF($Z34="","",IF(OR($BN34="",$BO34=""),"ONZEKER",IF(OR($BK34="",$BL34=""),"ONZEKER",IF(AND($BN34=$BK34+1,$BO34=$BL34),IF(OR(COUNTIF(#REF!,$B34)&gt;0,COUNTIF(#REF!,$B34)=0),"SKIP",IF(COUNTIFS(#REF!,$B34,#REF!,$Z34)&gt;0,"OK","ONBEKEND")),IF(AND($BN34=$BK34,$BO34=$BL34+1),IF(OR(COUNTIF(#REF!,$D34)&gt;0,COUNTIF(#REF!,$D34)=0),"SKIP",IF(COUNTIFS(#REF!,$D34,#REF!,$Z34)&gt;0,"OK","ONBEKEND")),"ONZEKER")))))</f>
        <v/>
      </c>
      <c r="AB34" t="str">
        <f t="shared" si="224"/>
        <v/>
      </c>
      <c r="AC34" t="str">
        <f t="shared" si="225"/>
        <v/>
      </c>
      <c r="AD34" t="str">
        <f>IF($AC34="","",IF(OR($BQ34="",$BR34=""),"ONZEKER",IF(OR($BN34="",$BO34=""),"ONZEKER",IF(AND($BQ34=$BN34+1,$BR34=$BO34),IF(OR(COUNTIF(#REF!,$B34)&gt;0,COUNTIF(#REF!,$B34)=0),"SKIP",IF(COUNTIFS(#REF!,$B34,#REF!,$AC34)&gt;0,"OK","ONBEKEND")),IF(AND($BQ34=$BN34,$BR34=$BO34+1),IF(OR(COUNTIF(#REF!,$D34)&gt;0,COUNTIF(#REF!,$D34)=0),"SKIP",IF(COUNTIFS(#REF!,$D34,#REF!,$AC34)&gt;0,"OK","ONBEKEND")),"ONZEKER")))))</f>
        <v/>
      </c>
      <c r="AE34" t="str">
        <f t="shared" si="226"/>
        <v/>
      </c>
      <c r="AF34" t="str">
        <f t="shared" si="227"/>
        <v/>
      </c>
      <c r="AG34" t="str">
        <f>IF($AF34="","",IF(OR($BT34="",$BU34=""),"ONZEKER",IF(OR($BQ34="",$BR34=""),"ONZEKER",IF(AND($BT34=$BQ34+1,$BU34=$BR34),IF(OR(COUNTIF(#REF!,$B34)&gt;0,COUNTIF(#REF!,$B34)=0),"SKIP",IF(COUNTIFS(#REF!,$B34,#REF!,$AF34)&gt;0,"OK","ONBEKEND")),IF(AND($BT34=$BQ34,$BU34=$BR34+1),IF(OR(COUNTIF(#REF!,$D34)&gt;0,COUNTIF(#REF!,$D34)=0),"SKIP",IF(COUNTIFS(#REF!,$D34,#REF!,$AF34)&gt;0,"OK","ONBEKEND")),"ONZEKER")))))</f>
        <v/>
      </c>
      <c r="AH34" t="str">
        <f t="shared" si="228"/>
        <v/>
      </c>
      <c r="AI34" t="str">
        <f t="shared" si="229"/>
        <v/>
      </c>
      <c r="AJ34" t="str">
        <f>IF($AI34="","",IF(OR($BW34="",$BX34=""),"ONZEKER",IF(OR($BT34="",$BU34=""),"ONZEKER",IF(AND($BW34=$BT34+1,$BX34=$BU34),IF(OR(COUNTIF(#REF!,$B34)&gt;0,COUNTIF(#REF!,$B34)=0),"SKIP",IF(COUNTIFS(#REF!,$B34,#REF!,$AI34)&gt;0,"OK","ONBEKEND")),IF(AND($BW34=$BT34,$BX34=$BU34+1),IF(OR(COUNTIF(#REF!,$D34)&gt;0,COUNTIF(#REF!,$D34)=0),"SKIP",IF(COUNTIFS(#REF!,$D34,#REF!,$AI34)&gt;0,"OK","ONBEKEND")),"ONZEKER")))))</f>
        <v/>
      </c>
      <c r="AK34" t="str">
        <f t="shared" si="230"/>
        <v/>
      </c>
      <c r="AL34" t="str">
        <f t="shared" si="231"/>
        <v/>
      </c>
      <c r="AM34" t="str">
        <f>IF($AL34="","",IF(OR($BZ34="",$CA34=""),"ONZEKER",IF(OR($BW34="",$BX34=""),"ONZEKER",IF(AND($BZ34=$BW34+1,$CA34=$BX34),IF(OR(COUNTIF(#REF!,$B34)&gt;0,COUNTIF(#REF!,$B34)=0),"SKIP",IF(COUNTIFS(#REF!,$B34,#REF!,$AL34)&gt;0,"OK","ONBEKEND")),IF(AND($BZ34=$BW34,$CA34=$BX34+1),IF(OR(COUNTIF(#REF!,$D34)&gt;0,COUNTIF(#REF!,$D34)=0),"SKIP",IF(COUNTIFS(#REF!,$D34,#REF!,$AL34)&gt;0,"OK","ONBEKEND")),"ONZEKER")))))</f>
        <v/>
      </c>
      <c r="AN34" t="str">
        <f t="shared" si="232"/>
        <v/>
      </c>
      <c r="AO34" t="str">
        <f t="shared" si="233"/>
        <v/>
      </c>
      <c r="AP34" t="str">
        <f>IF($AO34="","",IF(OR($CC34="",$CD34=""),"ONZEKER",IF(OR($BZ34="",$CA34=""),"ONZEKER",IF(AND($CC34=$BZ34+1,$CD34=$CA34),IF(OR(COUNTIF(#REF!,$B34)&gt;0,COUNTIF(#REF!,$B34)=0),"SKIP",IF(COUNTIFS(#REF!,$B34,#REF!,$AO34)&gt;0,"OK","ONBEKEND")),IF(AND($CC34=$BZ34,$CD34=$CA34+1),IF(OR(COUNTIF(#REF!,$D34)&gt;0,COUNTIF(#REF!,$D34)=0),"SKIP",IF(COUNTIFS(#REF!,$D34,#REF!,$AO34)&gt;0,"OK","ONBEKEND")),"ONZEKER")))))</f>
        <v/>
      </c>
      <c r="AQ34" t="str">
        <f t="shared" si="234"/>
        <v/>
      </c>
      <c r="AR34" t="str">
        <f t="shared" si="235"/>
        <v/>
      </c>
      <c r="AS34" t="str">
        <f>IF($AR34="","",IF(OR($CF34="",$CG34=""),"ONZEKER",IF(OR($CC34="",$CD34=""),"ONZEKER",IF(AND($CF34=$CC34+1,$CG34=$CD34),IF(OR(COUNTIF(#REF!,$B34)&gt;0,COUNTIF(#REF!,$B34)=0),"SKIP",IF(COUNTIFS(#REF!,$B34,#REF!,$AR34)&gt;0,"OK","ONBEKEND")),IF(AND($CF34=$CC34,$CG34=$CD34+1),IF(OR(COUNTIF(#REF!,$D34)&gt;0,COUNTIF(#REF!,$D34)=0),"SKIP",IF(COUNTIFS(#REF!,$D34,#REF!,$AR34)&gt;0,"OK","ONBEKEND")),"ONZEKER")))))</f>
        <v/>
      </c>
      <c r="AT34" t="str">
        <f t="shared" si="236"/>
        <v/>
      </c>
      <c r="AU34" t="str">
        <f t="shared" si="237"/>
        <v/>
      </c>
      <c r="AV34" t="str">
        <f t="shared" si="238"/>
        <v/>
      </c>
      <c r="AW34" t="str">
        <f t="shared" si="239"/>
        <v/>
      </c>
      <c r="AX34" t="str">
        <f t="shared" si="240"/>
        <v/>
      </c>
      <c r="AY34" t="str">
        <f t="shared" si="241"/>
        <v/>
      </c>
      <c r="AZ34" t="str">
        <f t="shared" si="242"/>
        <v/>
      </c>
      <c r="BA34" t="str">
        <f t="shared" si="243"/>
        <v/>
      </c>
      <c r="BB34" t="str">
        <f t="shared" si="244"/>
        <v/>
      </c>
      <c r="BC34" t="str">
        <f t="shared" si="245"/>
        <v/>
      </c>
      <c r="BD34" t="str">
        <f t="shared" si="32"/>
        <v/>
      </c>
      <c r="BE34" t="str">
        <f t="shared" si="33"/>
        <v/>
      </c>
      <c r="BF34" t="str">
        <f t="shared" si="34"/>
        <v/>
      </c>
      <c r="BG34" t="str">
        <f t="shared" si="35"/>
        <v/>
      </c>
      <c r="BH34" t="str">
        <f t="shared" si="36"/>
        <v/>
      </c>
      <c r="BI34" t="str">
        <f t="shared" si="37"/>
        <v/>
      </c>
      <c r="BJ34" t="str">
        <f t="shared" si="38"/>
        <v/>
      </c>
      <c r="BK34" t="str">
        <f t="shared" si="39"/>
        <v/>
      </c>
      <c r="BL34" t="str">
        <f t="shared" si="40"/>
        <v/>
      </c>
      <c r="BM34" t="str">
        <f t="shared" si="41"/>
        <v/>
      </c>
      <c r="BN34" t="str">
        <f t="shared" si="42"/>
        <v/>
      </c>
      <c r="BO34" t="str">
        <f t="shared" si="43"/>
        <v/>
      </c>
      <c r="BP34" t="str">
        <f t="shared" si="44"/>
        <v/>
      </c>
      <c r="BQ34" t="str">
        <f t="shared" si="45"/>
        <v/>
      </c>
      <c r="BR34" t="str">
        <f t="shared" si="46"/>
        <v/>
      </c>
      <c r="BS34" t="str">
        <f t="shared" si="47"/>
        <v/>
      </c>
      <c r="BT34" t="str">
        <f t="shared" si="48"/>
        <v/>
      </c>
      <c r="BU34" t="str">
        <f t="shared" si="49"/>
        <v/>
      </c>
      <c r="BV34" t="str">
        <f t="shared" si="50"/>
        <v/>
      </c>
      <c r="BW34" t="str">
        <f t="shared" si="51"/>
        <v/>
      </c>
      <c r="BX34" t="str">
        <f t="shared" si="52"/>
        <v/>
      </c>
      <c r="BY34" t="str">
        <f t="shared" si="53"/>
        <v/>
      </c>
      <c r="BZ34" t="str">
        <f t="shared" si="54"/>
        <v/>
      </c>
      <c r="CA34" t="str">
        <f t="shared" si="55"/>
        <v/>
      </c>
      <c r="CB34" t="str">
        <f t="shared" si="56"/>
        <v/>
      </c>
      <c r="CC34" t="str">
        <f t="shared" si="57"/>
        <v/>
      </c>
      <c r="CD34" t="str">
        <f t="shared" si="58"/>
        <v/>
      </c>
      <c r="CE34" t="str">
        <f t="shared" si="59"/>
        <v/>
      </c>
      <c r="CF34" t="str">
        <f t="shared" si="60"/>
        <v/>
      </c>
      <c r="CG34" t="str">
        <f t="shared" si="61"/>
        <v/>
      </c>
      <c r="CH34" t="str">
        <f t="shared" si="246"/>
        <v/>
      </c>
      <c r="CI34" t="str">
        <f t="shared" si="247"/>
        <v/>
      </c>
      <c r="CJ34" t="str">
        <f>IF($CI34="","",IF(OR($DW34="",$DX34=""),"ONZEKER",IF(OR($CF34="",$CG34=""),"ONZEKER",IF(AND($DW34=$CF34+1,$DX34=$CG34),IF(OR(COUNTIF(#REF!,$B34)&gt;0,COUNTIF(#REF!,$B34)=0),"SKIP",IF(COUNTIFS(#REF!,$B34,#REF!,$CI34)&gt;0,"OK","ONBEKEND")),IF(AND($DW34=$CF34,$DX34=$CG34+1),IF(OR(COUNTIF(#REF!,$D34)&gt;0,COUNTIF(#REF!,$D34)=0),"SKIP",IF(COUNTIFS(#REF!,$D34,#REF!,$CI34)&gt;0,"OK","ONBEKEND")),"ONZEKER")))))</f>
        <v/>
      </c>
      <c r="CK34" t="str">
        <f t="shared" si="248"/>
        <v/>
      </c>
      <c r="CL34" t="str">
        <f t="shared" si="249"/>
        <v/>
      </c>
      <c r="CM34" t="str">
        <f>IF($CL34="","",IF(OR($DZ34="",$EA34=""),"ONZEKER",IF(OR($DW34="",$DX34=""),"ONZEKER",IF(AND($DZ34=$DW34+1,$EA34=$DX34),IF(OR(COUNTIF(#REF!,$B34)&gt;0,COUNTIF(#REF!,$B34)=0),"SKIP",IF(COUNTIFS(#REF!,$B34,#REF!,$CL34)&gt;0,"OK","ONBEKEND")),IF(AND($DZ34=$DW34,$EA34=$DX34+1),IF(OR(COUNTIF(#REF!,$D34)&gt;0,COUNTIF(#REF!,$D34)=0),"SKIP",IF(COUNTIFS(#REF!,$D34,#REF!,$CL34)&gt;0,"OK","ONBEKEND")),"ONZEKER")))))</f>
        <v/>
      </c>
      <c r="CN34" t="str">
        <f t="shared" si="250"/>
        <v/>
      </c>
      <c r="CO34" t="str">
        <f t="shared" si="251"/>
        <v/>
      </c>
      <c r="CP34" t="str">
        <f>IF($CO34="","",IF(OR($EC34="",$ED34=""),"ONZEKER",IF(OR($DZ34="",$EA34=""),"ONZEKER",IF(AND($EC34=$DZ34+1,$ED34=$EA34),IF(OR(COUNTIF(#REF!,$B34)&gt;0,COUNTIF(#REF!,$B34)=0),"SKIP",IF(COUNTIFS(#REF!,$B34,#REF!,$CO34)&gt;0,"OK","ONBEKEND")),IF(AND($EC34=$DZ34,$ED34=$EA34+1),IF(OR(COUNTIF(#REF!,$D34)&gt;0,COUNTIF(#REF!,$D34)=0),"SKIP",IF(COUNTIFS(#REF!,$D34,#REF!,$CO34)&gt;0,"OK","ONBEKEND")),"ONZEKER")))))</f>
        <v/>
      </c>
      <c r="CQ34" t="str">
        <f t="shared" si="252"/>
        <v/>
      </c>
      <c r="CR34" t="str">
        <f t="shared" si="253"/>
        <v/>
      </c>
      <c r="CS34" t="str">
        <f>IF($CR34="","",IF(OR($EF34="",$EG34=""),"ONZEKER",IF(OR($EC34="",$ED34=""),"ONZEKER",IF(AND($EF34=$EC34+1,$EG34=$ED34),IF(OR(COUNTIF(#REF!,$B34)&gt;0,COUNTIF(#REF!,$B34)=0),"SKIP",IF(COUNTIFS(#REF!,$B34,#REF!,$CR34)&gt;0,"OK","ONBEKEND")),IF(AND($EF34=$EC34,$EG34=$ED34+1),IF(OR(COUNTIF(#REF!,$D34)&gt;0,COUNTIF(#REF!,$D34)=0),"SKIP",IF(COUNTIFS(#REF!,$D34,#REF!,$CR34)&gt;0,"OK","ONBEKEND")),"ONZEKER")))))</f>
        <v/>
      </c>
      <c r="CT34" t="str">
        <f t="shared" si="254"/>
        <v/>
      </c>
      <c r="CU34" t="str">
        <f t="shared" si="255"/>
        <v/>
      </c>
      <c r="CV34" t="str">
        <f>IF($CU34="","",IF(OR($EI34="",$EJ34=""),"ONZEKER",IF(OR($EF34="",$EG34=""),"ONZEKER",IF(AND($EI34=$EF34+1,$EJ34=$EG34),IF(OR(COUNTIF(#REF!,$B34)&gt;0,COUNTIF(#REF!,$B34)=0),"SKIP",IF(COUNTIFS(#REF!,$B34,#REF!,$CU34)&gt;0,"OK","ONBEKEND")),IF(AND($EI34=$EF34,$EJ34=$EG34+1),IF(OR(COUNTIF(#REF!,$D34)&gt;0,COUNTIF(#REF!,$D34)=0),"SKIP",IF(COUNTIFS(#REF!,$D34,#REF!,$CU34)&gt;0,"OK","ONBEKEND")),"ONZEKER")))))</f>
        <v/>
      </c>
      <c r="CW34" t="str">
        <f t="shared" si="256"/>
        <v/>
      </c>
      <c r="CX34" t="str">
        <f t="shared" si="257"/>
        <v/>
      </c>
      <c r="CY34" t="str">
        <f>IF($CX34="","",IF(OR($EL34="",$EM34=""),"ONZEKER",IF(OR($EI34="",$EJ34=""),"ONZEKER",IF(AND($EL34=$EI34+1,$EM34=$EJ34),IF(OR(COUNTIF(#REF!,$B34)&gt;0,COUNTIF(#REF!,$B34)=0),"SKIP",IF(COUNTIFS(#REF!,$B34,#REF!,$CX34)&gt;0,"OK","ONBEKEND")),IF(AND($EL34=$EI34,$EM34=$EJ34+1),IF(OR(COUNTIF(#REF!,$D34)&gt;0,COUNTIF(#REF!,$D34)=0),"SKIP",IF(COUNTIFS(#REF!,$D34,#REF!,$CX34)&gt;0,"OK","ONBEKEND")),"ONZEKER")))))</f>
        <v/>
      </c>
      <c r="CZ34" t="str">
        <f t="shared" si="258"/>
        <v/>
      </c>
      <c r="DA34" t="str">
        <f t="shared" si="259"/>
        <v/>
      </c>
      <c r="DB34" t="str">
        <f>IF($DA34="","",IF(OR($EO34="",$EP34=""),"ONZEKER",IF(OR($EL34="",$EM34=""),"ONZEKER",IF(AND($EO34=$EL34+1,$EP34=$EM34),IF(OR(COUNTIF(#REF!,$B34)&gt;0,COUNTIF(#REF!,$B34)=0),"SKIP",IF(COUNTIFS(#REF!,$B34,#REF!,$DA34)&gt;0,"OK","ONBEKEND")),IF(AND($EO34=$EL34,$EP34=$EM34+1),IF(OR(COUNTIF(#REF!,$D34)&gt;0,COUNTIF(#REF!,$D34)=0),"SKIP",IF(COUNTIFS(#REF!,$D34,#REF!,$DA34)&gt;0,"OK","ONBEKEND")),"ONZEKER")))))</f>
        <v/>
      </c>
      <c r="DC34" t="str">
        <f t="shared" si="260"/>
        <v/>
      </c>
      <c r="DD34" t="str">
        <f t="shared" si="261"/>
        <v/>
      </c>
      <c r="DE34" t="str">
        <f>IF($DD34="","",IF(OR($ER34="",$ES34=""),"ONZEKER",IF(OR($EO34="",$EP34=""),"ONZEKER",IF(AND($ER34=$EO34+1,$ES34=$EP34),IF(OR(COUNTIF(#REF!,$B34)&gt;0,COUNTIF(#REF!,$B34)=0),"SKIP",IF(COUNTIFS(#REF!,$B34,#REF!,$DD34)&gt;0,"OK","ONBEKEND")),IF(AND($ER34=$EO34,$ES34=$EP34+1),IF(OR(COUNTIF(#REF!,$D34)&gt;0,COUNTIF(#REF!,$D34)=0),"SKIP",IF(COUNTIFS(#REF!,$D34,#REF!,$DD34)&gt;0,"OK","ONBEKEND")),"ONZEKER")))))</f>
        <v/>
      </c>
      <c r="DF34" t="str">
        <f t="shared" si="262"/>
        <v/>
      </c>
      <c r="DG34" t="str">
        <f t="shared" si="263"/>
        <v/>
      </c>
      <c r="DH34" t="str">
        <f>IF($DG34="","",IF(OR($EU34="",$EV34=""),"ONZEKER",IF(OR($ER34="",$ES34=""),"ONZEKER",IF(AND($EU34=$ER34+1,$EV34=$ES34),IF(OR(COUNTIF(#REF!,$B34)&gt;0,COUNTIF(#REF!,$B34)=0),"SKIP",IF(COUNTIFS(#REF!,$B34,#REF!,$DG34)&gt;0,"OK","ONBEKEND")),IF(AND($EU34=$ER34,$EV34=$ES34+1),IF(OR(COUNTIF(#REF!,$D34)&gt;0,COUNTIF(#REF!,$D34)=0),"SKIP",IF(COUNTIFS(#REF!,$D34,#REF!,$DG34)&gt;0,"OK","ONBEKEND")),"ONZEKER")))))</f>
        <v/>
      </c>
      <c r="DI34" t="str">
        <f t="shared" si="264"/>
        <v/>
      </c>
      <c r="DJ34" t="str">
        <f t="shared" si="265"/>
        <v/>
      </c>
      <c r="DK34" t="str">
        <f>IF($DJ34="","",IF(OR($EX34="",$EY34=""),"ONZEKER",IF(OR($EU34="",$EV34=""),"ONZEKER",IF(AND($EX34=$EU34+1,$EY34=$EV34),IF(OR(COUNTIF(#REF!,$B34)&gt;0,COUNTIF(#REF!,$B34)=0),"SKIP",IF(COUNTIFS(#REF!,$B34,#REF!,$DJ34)&gt;0,"OK","ONBEKEND")),IF(AND($EX34=$EU34,$EY34=$EV34+1),IF(OR(COUNTIF(#REF!,$D34)&gt;0,COUNTIF(#REF!,$D34)=0),"SKIP",IF(COUNTIFS(#REF!,$D34,#REF!,$DJ34)&gt;0,"OK","ONBEKEND")),"ONZEKER")))))</f>
        <v/>
      </c>
      <c r="DL34" t="str">
        <f t="shared" si="266"/>
        <v/>
      </c>
      <c r="DM34" t="str">
        <f t="shared" si="267"/>
        <v/>
      </c>
      <c r="DN34" t="str">
        <f t="shared" si="268"/>
        <v/>
      </c>
      <c r="DO34" t="str">
        <f t="shared" si="269"/>
        <v/>
      </c>
      <c r="DP34" t="str">
        <f t="shared" si="270"/>
        <v/>
      </c>
      <c r="DQ34" t="str">
        <f t="shared" si="271"/>
        <v/>
      </c>
      <c r="DR34" t="str">
        <f t="shared" si="272"/>
        <v/>
      </c>
      <c r="DS34" t="str">
        <f t="shared" si="273"/>
        <v/>
      </c>
      <c r="DT34" t="str">
        <f t="shared" si="274"/>
        <v/>
      </c>
      <c r="DU34" t="str">
        <f t="shared" si="275"/>
        <v/>
      </c>
      <c r="DV34" t="str">
        <f t="shared" si="276"/>
        <v/>
      </c>
      <c r="DW34" t="str">
        <f t="shared" si="277"/>
        <v/>
      </c>
      <c r="DX34" t="str">
        <f t="shared" si="278"/>
        <v/>
      </c>
      <c r="DY34" t="str">
        <f t="shared" si="279"/>
        <v/>
      </c>
      <c r="DZ34" t="str">
        <f t="shared" si="280"/>
        <v/>
      </c>
      <c r="EA34" t="str">
        <f t="shared" si="281"/>
        <v/>
      </c>
      <c r="EB34" t="str">
        <f t="shared" si="282"/>
        <v/>
      </c>
      <c r="EC34" t="str">
        <f t="shared" si="283"/>
        <v/>
      </c>
      <c r="ED34" t="str">
        <f t="shared" si="284"/>
        <v/>
      </c>
      <c r="EE34" t="str">
        <f t="shared" si="285"/>
        <v/>
      </c>
      <c r="EF34" t="str">
        <f t="shared" si="286"/>
        <v/>
      </c>
      <c r="EG34" t="str">
        <f t="shared" si="287"/>
        <v/>
      </c>
      <c r="EH34" t="str">
        <f t="shared" si="288"/>
        <v/>
      </c>
      <c r="EI34" t="str">
        <f t="shared" si="289"/>
        <v/>
      </c>
      <c r="EJ34" t="str">
        <f t="shared" si="290"/>
        <v/>
      </c>
      <c r="EK34" t="str">
        <f t="shared" si="291"/>
        <v/>
      </c>
      <c r="EL34" t="str">
        <f t="shared" si="292"/>
        <v/>
      </c>
      <c r="EM34" t="str">
        <f t="shared" si="293"/>
        <v/>
      </c>
      <c r="EN34" t="str">
        <f t="shared" si="294"/>
        <v/>
      </c>
      <c r="EO34" t="str">
        <f t="shared" si="295"/>
        <v/>
      </c>
      <c r="EP34" t="str">
        <f t="shared" si="296"/>
        <v/>
      </c>
      <c r="EQ34" t="str">
        <f t="shared" si="297"/>
        <v/>
      </c>
      <c r="ER34" t="str">
        <f t="shared" si="298"/>
        <v/>
      </c>
      <c r="ES34" t="str">
        <f t="shared" si="299"/>
        <v/>
      </c>
      <c r="ET34" t="str">
        <f t="shared" si="300"/>
        <v/>
      </c>
      <c r="EU34" t="str">
        <f t="shared" si="301"/>
        <v/>
      </c>
      <c r="EV34" t="str">
        <f t="shared" si="302"/>
        <v/>
      </c>
      <c r="EW34" t="str">
        <f t="shared" si="303"/>
        <v/>
      </c>
      <c r="EX34" t="str">
        <f t="shared" si="304"/>
        <v/>
      </c>
      <c r="EY34" t="str">
        <f t="shared" si="305"/>
        <v/>
      </c>
    </row>
    <row r="35" spans="1:155" ht="13.9" customHeight="1" x14ac:dyDescent="0.25">
      <c r="A35" s="7"/>
      <c r="B35" s="17"/>
      <c r="C35" s="8"/>
      <c r="D35" s="17"/>
      <c r="E35" s="8"/>
      <c r="F35" s="18">
        <v>0</v>
      </c>
      <c r="G35" s="7" t="s">
        <v>147</v>
      </c>
      <c r="H35" s="18">
        <v>0</v>
      </c>
      <c r="I35" s="19">
        <v>0</v>
      </c>
      <c r="J35" s="7" t="s">
        <v>147</v>
      </c>
      <c r="K35" s="19">
        <v>0</v>
      </c>
      <c r="L35" s="9"/>
      <c r="M35" s="3" t="str">
        <f>IF($L35="","",IF($L35="DOELPUNTENMAKERS","",IF(AND(COUNTIF(#REF!,$B35)=0,COUNTIF(#REF!,$D35)=0),"OK",IF($O35&gt;20,"LET OP: meer dan 20 items (controle onvolledig)",IF((COUNTIF($R35:$AS35,"ONZEKER")+COUNTIF($CJ35:$DK35,"ONZEKER"))&gt;0,"LET OP: scoreverloop onduidelijk (controle beperkt)",IF((IF($AT35&lt;&gt;"",$AT35&amp;", ","")&amp;IF($AU35&lt;&gt;"",$AU35&amp;", ","")&amp;IF($AV35&lt;&gt;"",$AV35&amp;", ","")&amp;IF($AW35&lt;&gt;"",$AW35&amp;", ","")&amp;IF($AX35&lt;&gt;"",$AX35&amp;", ","")&amp;IF($AY35&lt;&gt;"",$AY35&amp;", ","")&amp;IF($AZ35&lt;&gt;"",$AZ35&amp;", ","")&amp;IF($BA35&lt;&gt;"",$BA35&amp;", ","")&amp;IF($BB35&lt;&gt;"",$BB35&amp;", ","")&amp;IF($BC35&lt;&gt;"",$BC35&amp;", ","")&amp;IF($DL35&lt;&gt;"",$DL35&amp;", ","")&amp;IF($DM35&lt;&gt;"",$DM35&amp;", ","")&amp;IF($DN35&lt;&gt;"",$DN35&amp;", ","")&amp;IF($DO35&lt;&gt;"",$DO35&amp;", ","")&amp;IF($DP35&lt;&gt;"",$DP35&amp;", ","")&amp;IF($DQ35&lt;&gt;"",$DQ35&amp;", ","")&amp;IF($DR35&lt;&gt;"",$DR35&amp;", ","")&amp;IF($DS35&lt;&gt;"",$DS35&amp;", ","")&amp;IF($DT35&lt;&gt;"",$DT35&amp;", ","")&amp;IF($DU35&lt;&gt;"",$DU35&amp;", ",""))="","OK","Onbekend: "&amp;LEFT((IF($AT35&lt;&gt;"",$AT35&amp;", ","")&amp;IF($AU35&lt;&gt;"",$AU35&amp;", ","")&amp;IF($AV35&lt;&gt;"",$AV35&amp;", ","")&amp;IF($AW35&lt;&gt;"",$AW35&amp;", ","")&amp;IF($AX35&lt;&gt;"",$AX35&amp;", ","")&amp;IF($AY35&lt;&gt;"",$AY35&amp;", ","")&amp;IF($AZ35&lt;&gt;"",$AZ35&amp;", ","")&amp;IF($BA35&lt;&gt;"",$BA35&amp;", ","")&amp;IF($BB35&lt;&gt;"",$BB35&amp;", ","")&amp;IF($BC35&lt;&gt;"",$BC35&amp;", ","")&amp;IF($DL35&lt;&gt;"",$DL35&amp;", ","")&amp;IF($DM35&lt;&gt;"",$DM35&amp;", ","")&amp;IF($DN35&lt;&gt;"",$DN35&amp;", ","")&amp;IF($DO35&lt;&gt;"",$DO35&amp;", ","")&amp;IF($DP35&lt;&gt;"",$DP35&amp;", ","")&amp;IF($DQ35&lt;&gt;"",$DQ35&amp;", ","")&amp;IF($DR35&lt;&gt;"",$DR35&amp;", ","")&amp;IF($DS35&lt;&gt;"",$DS35&amp;", ","")&amp;IF($DT35&lt;&gt;"",$DT35&amp;", ","")&amp;IF($DU35&lt;&gt;"",$DU35&amp;", ","")),LEN((IF($AT35&lt;&gt;"",$AT35&amp;", ","")&amp;IF($AU35&lt;&gt;"",$AU35&amp;", ","")&amp;IF($AV35&lt;&gt;"",$AV35&amp;", ","")&amp;IF($AW35&lt;&gt;"",$AW35&amp;", ","")&amp;IF($AX35&lt;&gt;"",$AX35&amp;", ","")&amp;IF($AY35&lt;&gt;"",$AY35&amp;", ","")&amp;IF($AZ35&lt;&gt;"",$AZ35&amp;", ","")&amp;IF($BA35&lt;&gt;"",$BA35&amp;", ","")&amp;IF($BB35&lt;&gt;"",$BB35&amp;", ","")&amp;IF($BC35&lt;&gt;"",$BC35&amp;", ","")&amp;IF($DL35&lt;&gt;"",$DL35&amp;", ","")&amp;IF($DM35&lt;&gt;"",$DM35&amp;", ","")&amp;IF($DN35&lt;&gt;"",$DN35&amp;", ","")&amp;IF($DO35&lt;&gt;"",$DO35&amp;", ","")&amp;IF($DP35&lt;&gt;"",$DP35&amp;", ","")&amp;IF($DQ35&lt;&gt;"",$DQ35&amp;", ","")&amp;IF($DR35&lt;&gt;"",$DR35&amp;", ","")&amp;IF($DS35&lt;&gt;"",$DS35&amp;", ","")&amp;IF($DT35&lt;&gt;"",$DT35&amp;", ","")&amp;IF($DU35&lt;&gt;"",$DU35&amp;", ","")))-2)))))))</f>
        <v/>
      </c>
      <c r="N35" t="str">
        <f t="shared" si="214"/>
        <v/>
      </c>
      <c r="O35" t="str">
        <f t="shared" si="215"/>
        <v/>
      </c>
      <c r="P35" t="str">
        <f t="shared" si="216"/>
        <v/>
      </c>
      <c r="Q35" t="str">
        <f t="shared" si="217"/>
        <v/>
      </c>
      <c r="R35" t="str">
        <f>IF($Q35="","",IF(OR($BE35="",$BF35=""),"ONZEKER",IF(AND($BE35=0+1,$BF35=0),IF(OR(COUNTIF(#REF!,$B35)&gt;0,COUNTIF(#REF!,$B35)=0),"SKIP",IF(COUNTIFS(#REF!,$B35,#REF!,$Q35)&gt;0,"OK","ONBEKEND")),IF(AND($BE35=0,$BF35=0+1),IF(OR(COUNTIF(#REF!,$D35)&gt;0,COUNTIF(#REF!,$D35)=0),"SKIP",IF(COUNTIFS(#REF!,$D35,#REF!,$Q35)&gt;0,"OK","ONBEKEND")),"ONZEKER"))))</f>
        <v/>
      </c>
      <c r="S35" t="str">
        <f t="shared" si="218"/>
        <v/>
      </c>
      <c r="T35" t="str">
        <f t="shared" si="219"/>
        <v/>
      </c>
      <c r="U35" t="str">
        <f>IF($T35="","",IF(OR($BH35="",$BI35=""),"ONZEKER",IF(OR($BE35="",$BF35=""),"ONZEKER",IF(AND($BH35=$BE35+1,$BI35=$BF35),IF(OR(COUNTIF(#REF!,$B35)&gt;0,COUNTIF(#REF!,$B35)=0),"SKIP",IF(COUNTIFS(#REF!,$B35,#REF!,$T35)&gt;0,"OK","ONBEKEND")),IF(AND($BH35=$BE35,$BI35=$BF35+1),IF(OR(COUNTIF(#REF!,$D35)&gt;0,COUNTIF(#REF!,$D35)=0),"SKIP",IF(COUNTIFS(#REF!,$D35,#REF!,$T35)&gt;0,"OK","ONBEKEND")),"ONZEKER")))))</f>
        <v/>
      </c>
      <c r="V35" t="str">
        <f t="shared" si="220"/>
        <v/>
      </c>
      <c r="W35" t="str">
        <f t="shared" si="221"/>
        <v/>
      </c>
      <c r="X35" t="str">
        <f>IF($W35="","",IF(OR($BK35="",$BL35=""),"ONZEKER",IF(OR($BH35="",$BI35=""),"ONZEKER",IF(AND($BK35=$BH35+1,$BL35=$BI35),IF(OR(COUNTIF(#REF!,$B35)&gt;0,COUNTIF(#REF!,$B35)=0),"SKIP",IF(COUNTIFS(#REF!,$B35,#REF!,$W35)&gt;0,"OK","ONBEKEND")),IF(AND($BK35=$BH35,$BL35=$BI35+1),IF(OR(COUNTIF(#REF!,$D35)&gt;0,COUNTIF(#REF!,$D35)=0),"SKIP",IF(COUNTIFS(#REF!,$D35,#REF!,$W35)&gt;0,"OK","ONBEKEND")),"ONZEKER")))))</f>
        <v/>
      </c>
      <c r="Y35" t="str">
        <f t="shared" si="222"/>
        <v/>
      </c>
      <c r="Z35" t="str">
        <f t="shared" si="223"/>
        <v/>
      </c>
      <c r="AA35" t="str">
        <f>IF($Z35="","",IF(OR($BN35="",$BO35=""),"ONZEKER",IF(OR($BK35="",$BL35=""),"ONZEKER",IF(AND($BN35=$BK35+1,$BO35=$BL35),IF(OR(COUNTIF(#REF!,$B35)&gt;0,COUNTIF(#REF!,$B35)=0),"SKIP",IF(COUNTIFS(#REF!,$B35,#REF!,$Z35)&gt;0,"OK","ONBEKEND")),IF(AND($BN35=$BK35,$BO35=$BL35+1),IF(OR(COUNTIF(#REF!,$D35)&gt;0,COUNTIF(#REF!,$D35)=0),"SKIP",IF(COUNTIFS(#REF!,$D35,#REF!,$Z35)&gt;0,"OK","ONBEKEND")),"ONZEKER")))))</f>
        <v/>
      </c>
      <c r="AB35" t="str">
        <f t="shared" si="224"/>
        <v/>
      </c>
      <c r="AC35" t="str">
        <f t="shared" si="225"/>
        <v/>
      </c>
      <c r="AD35" t="str">
        <f>IF($AC35="","",IF(OR($BQ35="",$BR35=""),"ONZEKER",IF(OR($BN35="",$BO35=""),"ONZEKER",IF(AND($BQ35=$BN35+1,$BR35=$BO35),IF(OR(COUNTIF(#REF!,$B35)&gt;0,COUNTIF(#REF!,$B35)=0),"SKIP",IF(COUNTIFS(#REF!,$B35,#REF!,$AC35)&gt;0,"OK","ONBEKEND")),IF(AND($BQ35=$BN35,$BR35=$BO35+1),IF(OR(COUNTIF(#REF!,$D35)&gt;0,COUNTIF(#REF!,$D35)=0),"SKIP",IF(COUNTIFS(#REF!,$D35,#REF!,$AC35)&gt;0,"OK","ONBEKEND")),"ONZEKER")))))</f>
        <v/>
      </c>
      <c r="AE35" t="str">
        <f t="shared" si="226"/>
        <v/>
      </c>
      <c r="AF35" t="str">
        <f t="shared" si="227"/>
        <v/>
      </c>
      <c r="AG35" t="str">
        <f>IF($AF35="","",IF(OR($BT35="",$BU35=""),"ONZEKER",IF(OR($BQ35="",$BR35=""),"ONZEKER",IF(AND($BT35=$BQ35+1,$BU35=$BR35),IF(OR(COUNTIF(#REF!,$B35)&gt;0,COUNTIF(#REF!,$B35)=0),"SKIP",IF(COUNTIFS(#REF!,$B35,#REF!,$AF35)&gt;0,"OK","ONBEKEND")),IF(AND($BT35=$BQ35,$BU35=$BR35+1),IF(OR(COUNTIF(#REF!,$D35)&gt;0,COUNTIF(#REF!,$D35)=0),"SKIP",IF(COUNTIFS(#REF!,$D35,#REF!,$AF35)&gt;0,"OK","ONBEKEND")),"ONZEKER")))))</f>
        <v/>
      </c>
      <c r="AH35" t="str">
        <f t="shared" si="228"/>
        <v/>
      </c>
      <c r="AI35" t="str">
        <f t="shared" si="229"/>
        <v/>
      </c>
      <c r="AJ35" t="str">
        <f>IF($AI35="","",IF(OR($BW35="",$BX35=""),"ONZEKER",IF(OR($BT35="",$BU35=""),"ONZEKER",IF(AND($BW35=$BT35+1,$BX35=$BU35),IF(OR(COUNTIF(#REF!,$B35)&gt;0,COUNTIF(#REF!,$B35)=0),"SKIP",IF(COUNTIFS(#REF!,$B35,#REF!,$AI35)&gt;0,"OK","ONBEKEND")),IF(AND($BW35=$BT35,$BX35=$BU35+1),IF(OR(COUNTIF(#REF!,$D35)&gt;0,COUNTIF(#REF!,$D35)=0),"SKIP",IF(COUNTIFS(#REF!,$D35,#REF!,$AI35)&gt;0,"OK","ONBEKEND")),"ONZEKER")))))</f>
        <v/>
      </c>
      <c r="AK35" t="str">
        <f t="shared" si="230"/>
        <v/>
      </c>
      <c r="AL35" t="str">
        <f t="shared" si="231"/>
        <v/>
      </c>
      <c r="AM35" t="str">
        <f>IF($AL35="","",IF(OR($BZ35="",$CA35=""),"ONZEKER",IF(OR($BW35="",$BX35=""),"ONZEKER",IF(AND($BZ35=$BW35+1,$CA35=$BX35),IF(OR(COUNTIF(#REF!,$B35)&gt;0,COUNTIF(#REF!,$B35)=0),"SKIP",IF(COUNTIFS(#REF!,$B35,#REF!,$AL35)&gt;0,"OK","ONBEKEND")),IF(AND($BZ35=$BW35,$CA35=$BX35+1),IF(OR(COUNTIF(#REF!,$D35)&gt;0,COUNTIF(#REF!,$D35)=0),"SKIP",IF(COUNTIFS(#REF!,$D35,#REF!,$AL35)&gt;0,"OK","ONBEKEND")),"ONZEKER")))))</f>
        <v/>
      </c>
      <c r="AN35" t="str">
        <f t="shared" si="232"/>
        <v/>
      </c>
      <c r="AO35" t="str">
        <f t="shared" si="233"/>
        <v/>
      </c>
      <c r="AP35" t="str">
        <f>IF($AO35="","",IF(OR($CC35="",$CD35=""),"ONZEKER",IF(OR($BZ35="",$CA35=""),"ONZEKER",IF(AND($CC35=$BZ35+1,$CD35=$CA35),IF(OR(COUNTIF(#REF!,$B35)&gt;0,COUNTIF(#REF!,$B35)=0),"SKIP",IF(COUNTIFS(#REF!,$B35,#REF!,$AO35)&gt;0,"OK","ONBEKEND")),IF(AND($CC35=$BZ35,$CD35=$CA35+1),IF(OR(COUNTIF(#REF!,$D35)&gt;0,COUNTIF(#REF!,$D35)=0),"SKIP",IF(COUNTIFS(#REF!,$D35,#REF!,$AO35)&gt;0,"OK","ONBEKEND")),"ONZEKER")))))</f>
        <v/>
      </c>
      <c r="AQ35" t="str">
        <f t="shared" si="234"/>
        <v/>
      </c>
      <c r="AR35" t="str">
        <f t="shared" si="235"/>
        <v/>
      </c>
      <c r="AS35" t="str">
        <f>IF($AR35="","",IF(OR($CF35="",$CG35=""),"ONZEKER",IF(OR($CC35="",$CD35=""),"ONZEKER",IF(AND($CF35=$CC35+1,$CG35=$CD35),IF(OR(COUNTIF(#REF!,$B35)&gt;0,COUNTIF(#REF!,$B35)=0),"SKIP",IF(COUNTIFS(#REF!,$B35,#REF!,$AR35)&gt;0,"OK","ONBEKEND")),IF(AND($CF35=$CC35,$CG35=$CD35+1),IF(OR(COUNTIF(#REF!,$D35)&gt;0,COUNTIF(#REF!,$D35)=0),"SKIP",IF(COUNTIFS(#REF!,$D35,#REF!,$AR35)&gt;0,"OK","ONBEKEND")),"ONZEKER")))))</f>
        <v/>
      </c>
      <c r="AT35" t="str">
        <f t="shared" si="236"/>
        <v/>
      </c>
      <c r="AU35" t="str">
        <f t="shared" si="237"/>
        <v/>
      </c>
      <c r="AV35" t="str">
        <f t="shared" si="238"/>
        <v/>
      </c>
      <c r="AW35" t="str">
        <f t="shared" si="239"/>
        <v/>
      </c>
      <c r="AX35" t="str">
        <f t="shared" si="240"/>
        <v/>
      </c>
      <c r="AY35" t="str">
        <f t="shared" si="241"/>
        <v/>
      </c>
      <c r="AZ35" t="str">
        <f t="shared" si="242"/>
        <v/>
      </c>
      <c r="BA35" t="str">
        <f t="shared" si="243"/>
        <v/>
      </c>
      <c r="BB35" t="str">
        <f t="shared" si="244"/>
        <v/>
      </c>
      <c r="BC35" t="str">
        <f t="shared" si="245"/>
        <v/>
      </c>
      <c r="BD35" t="str">
        <f t="shared" si="32"/>
        <v/>
      </c>
      <c r="BE35" t="str">
        <f t="shared" si="33"/>
        <v/>
      </c>
      <c r="BF35" t="str">
        <f t="shared" si="34"/>
        <v/>
      </c>
      <c r="BG35" t="str">
        <f t="shared" si="35"/>
        <v/>
      </c>
      <c r="BH35" t="str">
        <f t="shared" si="36"/>
        <v/>
      </c>
      <c r="BI35" t="str">
        <f t="shared" si="37"/>
        <v/>
      </c>
      <c r="BJ35" t="str">
        <f t="shared" si="38"/>
        <v/>
      </c>
      <c r="BK35" t="str">
        <f t="shared" si="39"/>
        <v/>
      </c>
      <c r="BL35" t="str">
        <f t="shared" si="40"/>
        <v/>
      </c>
      <c r="BM35" t="str">
        <f t="shared" si="41"/>
        <v/>
      </c>
      <c r="BN35" t="str">
        <f t="shared" si="42"/>
        <v/>
      </c>
      <c r="BO35" t="str">
        <f t="shared" si="43"/>
        <v/>
      </c>
      <c r="BP35" t="str">
        <f t="shared" si="44"/>
        <v/>
      </c>
      <c r="BQ35" t="str">
        <f t="shared" si="45"/>
        <v/>
      </c>
      <c r="BR35" t="str">
        <f t="shared" si="46"/>
        <v/>
      </c>
      <c r="BS35" t="str">
        <f t="shared" si="47"/>
        <v/>
      </c>
      <c r="BT35" t="str">
        <f t="shared" si="48"/>
        <v/>
      </c>
      <c r="BU35" t="str">
        <f t="shared" si="49"/>
        <v/>
      </c>
      <c r="BV35" t="str">
        <f t="shared" si="50"/>
        <v/>
      </c>
      <c r="BW35" t="str">
        <f t="shared" si="51"/>
        <v/>
      </c>
      <c r="BX35" t="str">
        <f t="shared" si="52"/>
        <v/>
      </c>
      <c r="BY35" t="str">
        <f t="shared" si="53"/>
        <v/>
      </c>
      <c r="BZ35" t="str">
        <f t="shared" si="54"/>
        <v/>
      </c>
      <c r="CA35" t="str">
        <f t="shared" si="55"/>
        <v/>
      </c>
      <c r="CB35" t="str">
        <f t="shared" si="56"/>
        <v/>
      </c>
      <c r="CC35" t="str">
        <f t="shared" si="57"/>
        <v/>
      </c>
      <c r="CD35" t="str">
        <f t="shared" si="58"/>
        <v/>
      </c>
      <c r="CE35" t="str">
        <f t="shared" si="59"/>
        <v/>
      </c>
      <c r="CF35" t="str">
        <f t="shared" si="60"/>
        <v/>
      </c>
      <c r="CG35" t="str">
        <f t="shared" si="61"/>
        <v/>
      </c>
      <c r="CH35" t="str">
        <f t="shared" si="246"/>
        <v/>
      </c>
      <c r="CI35" t="str">
        <f t="shared" si="247"/>
        <v/>
      </c>
      <c r="CJ35" t="str">
        <f>IF($CI35="","",IF(OR($DW35="",$DX35=""),"ONZEKER",IF(OR($CF35="",$CG35=""),"ONZEKER",IF(AND($DW35=$CF35+1,$DX35=$CG35),IF(OR(COUNTIF(#REF!,$B35)&gt;0,COUNTIF(#REF!,$B35)=0),"SKIP",IF(COUNTIFS(#REF!,$B35,#REF!,$CI35)&gt;0,"OK","ONBEKEND")),IF(AND($DW35=$CF35,$DX35=$CG35+1),IF(OR(COUNTIF(#REF!,$D35)&gt;0,COUNTIF(#REF!,$D35)=0),"SKIP",IF(COUNTIFS(#REF!,$D35,#REF!,$CI35)&gt;0,"OK","ONBEKEND")),"ONZEKER")))))</f>
        <v/>
      </c>
      <c r="CK35" t="str">
        <f t="shared" si="248"/>
        <v/>
      </c>
      <c r="CL35" t="str">
        <f t="shared" si="249"/>
        <v/>
      </c>
      <c r="CM35" t="str">
        <f>IF($CL35="","",IF(OR($DZ35="",$EA35=""),"ONZEKER",IF(OR($DW35="",$DX35=""),"ONZEKER",IF(AND($DZ35=$DW35+1,$EA35=$DX35),IF(OR(COUNTIF(#REF!,$B35)&gt;0,COUNTIF(#REF!,$B35)=0),"SKIP",IF(COUNTIFS(#REF!,$B35,#REF!,$CL35)&gt;0,"OK","ONBEKEND")),IF(AND($DZ35=$DW35,$EA35=$DX35+1),IF(OR(COUNTIF(#REF!,$D35)&gt;0,COUNTIF(#REF!,$D35)=0),"SKIP",IF(COUNTIFS(#REF!,$D35,#REF!,$CL35)&gt;0,"OK","ONBEKEND")),"ONZEKER")))))</f>
        <v/>
      </c>
      <c r="CN35" t="str">
        <f t="shared" si="250"/>
        <v/>
      </c>
      <c r="CO35" t="str">
        <f t="shared" si="251"/>
        <v/>
      </c>
      <c r="CP35" t="str">
        <f>IF($CO35="","",IF(OR($EC35="",$ED35=""),"ONZEKER",IF(OR($DZ35="",$EA35=""),"ONZEKER",IF(AND($EC35=$DZ35+1,$ED35=$EA35),IF(OR(COUNTIF(#REF!,$B35)&gt;0,COUNTIF(#REF!,$B35)=0),"SKIP",IF(COUNTIFS(#REF!,$B35,#REF!,$CO35)&gt;0,"OK","ONBEKEND")),IF(AND($EC35=$DZ35,$ED35=$EA35+1),IF(OR(COUNTIF(#REF!,$D35)&gt;0,COUNTIF(#REF!,$D35)=0),"SKIP",IF(COUNTIFS(#REF!,$D35,#REF!,$CO35)&gt;0,"OK","ONBEKEND")),"ONZEKER")))))</f>
        <v/>
      </c>
      <c r="CQ35" t="str">
        <f t="shared" si="252"/>
        <v/>
      </c>
      <c r="CR35" t="str">
        <f t="shared" si="253"/>
        <v/>
      </c>
      <c r="CS35" t="str">
        <f>IF($CR35="","",IF(OR($EF35="",$EG35=""),"ONZEKER",IF(OR($EC35="",$ED35=""),"ONZEKER",IF(AND($EF35=$EC35+1,$EG35=$ED35),IF(OR(COUNTIF(#REF!,$B35)&gt;0,COUNTIF(#REF!,$B35)=0),"SKIP",IF(COUNTIFS(#REF!,$B35,#REF!,$CR35)&gt;0,"OK","ONBEKEND")),IF(AND($EF35=$EC35,$EG35=$ED35+1),IF(OR(COUNTIF(#REF!,$D35)&gt;0,COUNTIF(#REF!,$D35)=0),"SKIP",IF(COUNTIFS(#REF!,$D35,#REF!,$CR35)&gt;0,"OK","ONBEKEND")),"ONZEKER")))))</f>
        <v/>
      </c>
      <c r="CT35" t="str">
        <f t="shared" si="254"/>
        <v/>
      </c>
      <c r="CU35" t="str">
        <f t="shared" si="255"/>
        <v/>
      </c>
      <c r="CV35" t="str">
        <f>IF($CU35="","",IF(OR($EI35="",$EJ35=""),"ONZEKER",IF(OR($EF35="",$EG35=""),"ONZEKER",IF(AND($EI35=$EF35+1,$EJ35=$EG35),IF(OR(COUNTIF(#REF!,$B35)&gt;0,COUNTIF(#REF!,$B35)=0),"SKIP",IF(COUNTIFS(#REF!,$B35,#REF!,$CU35)&gt;0,"OK","ONBEKEND")),IF(AND($EI35=$EF35,$EJ35=$EG35+1),IF(OR(COUNTIF(#REF!,$D35)&gt;0,COUNTIF(#REF!,$D35)=0),"SKIP",IF(COUNTIFS(#REF!,$D35,#REF!,$CU35)&gt;0,"OK","ONBEKEND")),"ONZEKER")))))</f>
        <v/>
      </c>
      <c r="CW35" t="str">
        <f t="shared" si="256"/>
        <v/>
      </c>
      <c r="CX35" t="str">
        <f t="shared" si="257"/>
        <v/>
      </c>
      <c r="CY35" t="str">
        <f>IF($CX35="","",IF(OR($EL35="",$EM35=""),"ONZEKER",IF(OR($EI35="",$EJ35=""),"ONZEKER",IF(AND($EL35=$EI35+1,$EM35=$EJ35),IF(OR(COUNTIF(#REF!,$B35)&gt;0,COUNTIF(#REF!,$B35)=0),"SKIP",IF(COUNTIFS(#REF!,$B35,#REF!,$CX35)&gt;0,"OK","ONBEKEND")),IF(AND($EL35=$EI35,$EM35=$EJ35+1),IF(OR(COUNTIF(#REF!,$D35)&gt;0,COUNTIF(#REF!,$D35)=0),"SKIP",IF(COUNTIFS(#REF!,$D35,#REF!,$CX35)&gt;0,"OK","ONBEKEND")),"ONZEKER")))))</f>
        <v/>
      </c>
      <c r="CZ35" t="str">
        <f t="shared" si="258"/>
        <v/>
      </c>
      <c r="DA35" t="str">
        <f t="shared" si="259"/>
        <v/>
      </c>
      <c r="DB35" t="str">
        <f>IF($DA35="","",IF(OR($EO35="",$EP35=""),"ONZEKER",IF(OR($EL35="",$EM35=""),"ONZEKER",IF(AND($EO35=$EL35+1,$EP35=$EM35),IF(OR(COUNTIF(#REF!,$B35)&gt;0,COUNTIF(#REF!,$B35)=0),"SKIP",IF(COUNTIFS(#REF!,$B35,#REF!,$DA35)&gt;0,"OK","ONBEKEND")),IF(AND($EO35=$EL35,$EP35=$EM35+1),IF(OR(COUNTIF(#REF!,$D35)&gt;0,COUNTIF(#REF!,$D35)=0),"SKIP",IF(COUNTIFS(#REF!,$D35,#REF!,$DA35)&gt;0,"OK","ONBEKEND")),"ONZEKER")))))</f>
        <v/>
      </c>
      <c r="DC35" t="str">
        <f t="shared" si="260"/>
        <v/>
      </c>
      <c r="DD35" t="str">
        <f t="shared" si="261"/>
        <v/>
      </c>
      <c r="DE35" t="str">
        <f>IF($DD35="","",IF(OR($ER35="",$ES35=""),"ONZEKER",IF(OR($EO35="",$EP35=""),"ONZEKER",IF(AND($ER35=$EO35+1,$ES35=$EP35),IF(OR(COUNTIF(#REF!,$B35)&gt;0,COUNTIF(#REF!,$B35)=0),"SKIP",IF(COUNTIFS(#REF!,$B35,#REF!,$DD35)&gt;0,"OK","ONBEKEND")),IF(AND($ER35=$EO35,$ES35=$EP35+1),IF(OR(COUNTIF(#REF!,$D35)&gt;0,COUNTIF(#REF!,$D35)=0),"SKIP",IF(COUNTIFS(#REF!,$D35,#REF!,$DD35)&gt;0,"OK","ONBEKEND")),"ONZEKER")))))</f>
        <v/>
      </c>
      <c r="DF35" t="str">
        <f t="shared" si="262"/>
        <v/>
      </c>
      <c r="DG35" t="str">
        <f t="shared" si="263"/>
        <v/>
      </c>
      <c r="DH35" t="str">
        <f>IF($DG35="","",IF(OR($EU35="",$EV35=""),"ONZEKER",IF(OR($ER35="",$ES35=""),"ONZEKER",IF(AND($EU35=$ER35+1,$EV35=$ES35),IF(OR(COUNTIF(#REF!,$B35)&gt;0,COUNTIF(#REF!,$B35)=0),"SKIP",IF(COUNTIFS(#REF!,$B35,#REF!,$DG35)&gt;0,"OK","ONBEKEND")),IF(AND($EU35=$ER35,$EV35=$ES35+1),IF(OR(COUNTIF(#REF!,$D35)&gt;0,COUNTIF(#REF!,$D35)=0),"SKIP",IF(COUNTIFS(#REF!,$D35,#REF!,$DG35)&gt;0,"OK","ONBEKEND")),"ONZEKER")))))</f>
        <v/>
      </c>
      <c r="DI35" t="str">
        <f t="shared" si="264"/>
        <v/>
      </c>
      <c r="DJ35" t="str">
        <f t="shared" si="265"/>
        <v/>
      </c>
      <c r="DK35" t="str">
        <f>IF($DJ35="","",IF(OR($EX35="",$EY35=""),"ONZEKER",IF(OR($EU35="",$EV35=""),"ONZEKER",IF(AND($EX35=$EU35+1,$EY35=$EV35),IF(OR(COUNTIF(#REF!,$B35)&gt;0,COUNTIF(#REF!,$B35)=0),"SKIP",IF(COUNTIFS(#REF!,$B35,#REF!,$DJ35)&gt;0,"OK","ONBEKEND")),IF(AND($EX35=$EU35,$EY35=$EV35+1),IF(OR(COUNTIF(#REF!,$D35)&gt;0,COUNTIF(#REF!,$D35)=0),"SKIP",IF(COUNTIFS(#REF!,$D35,#REF!,$DJ35)&gt;0,"OK","ONBEKEND")),"ONZEKER")))))</f>
        <v/>
      </c>
      <c r="DL35" t="str">
        <f t="shared" si="266"/>
        <v/>
      </c>
      <c r="DM35" t="str">
        <f t="shared" si="267"/>
        <v/>
      </c>
      <c r="DN35" t="str">
        <f t="shared" si="268"/>
        <v/>
      </c>
      <c r="DO35" t="str">
        <f t="shared" si="269"/>
        <v/>
      </c>
      <c r="DP35" t="str">
        <f t="shared" si="270"/>
        <v/>
      </c>
      <c r="DQ35" t="str">
        <f t="shared" si="271"/>
        <v/>
      </c>
      <c r="DR35" t="str">
        <f t="shared" si="272"/>
        <v/>
      </c>
      <c r="DS35" t="str">
        <f t="shared" si="273"/>
        <v/>
      </c>
      <c r="DT35" t="str">
        <f t="shared" si="274"/>
        <v/>
      </c>
      <c r="DU35" t="str">
        <f t="shared" si="275"/>
        <v/>
      </c>
      <c r="DV35" t="str">
        <f t="shared" si="276"/>
        <v/>
      </c>
      <c r="DW35" t="str">
        <f t="shared" si="277"/>
        <v/>
      </c>
      <c r="DX35" t="str">
        <f t="shared" si="278"/>
        <v/>
      </c>
      <c r="DY35" t="str">
        <f t="shared" si="279"/>
        <v/>
      </c>
      <c r="DZ35" t="str">
        <f t="shared" si="280"/>
        <v/>
      </c>
      <c r="EA35" t="str">
        <f t="shared" si="281"/>
        <v/>
      </c>
      <c r="EB35" t="str">
        <f t="shared" si="282"/>
        <v/>
      </c>
      <c r="EC35" t="str">
        <f t="shared" si="283"/>
        <v/>
      </c>
      <c r="ED35" t="str">
        <f t="shared" si="284"/>
        <v/>
      </c>
      <c r="EE35" t="str">
        <f t="shared" si="285"/>
        <v/>
      </c>
      <c r="EF35" t="str">
        <f t="shared" si="286"/>
        <v/>
      </c>
      <c r="EG35" t="str">
        <f t="shared" si="287"/>
        <v/>
      </c>
      <c r="EH35" t="str">
        <f t="shared" si="288"/>
        <v/>
      </c>
      <c r="EI35" t="str">
        <f t="shared" si="289"/>
        <v/>
      </c>
      <c r="EJ35" t="str">
        <f t="shared" si="290"/>
        <v/>
      </c>
      <c r="EK35" t="str">
        <f t="shared" si="291"/>
        <v/>
      </c>
      <c r="EL35" t="str">
        <f t="shared" si="292"/>
        <v/>
      </c>
      <c r="EM35" t="str">
        <f t="shared" si="293"/>
        <v/>
      </c>
      <c r="EN35" t="str">
        <f t="shared" si="294"/>
        <v/>
      </c>
      <c r="EO35" t="str">
        <f t="shared" si="295"/>
        <v/>
      </c>
      <c r="EP35" t="str">
        <f t="shared" si="296"/>
        <v/>
      </c>
      <c r="EQ35" t="str">
        <f t="shared" si="297"/>
        <v/>
      </c>
      <c r="ER35" t="str">
        <f t="shared" si="298"/>
        <v/>
      </c>
      <c r="ES35" t="str">
        <f t="shared" si="299"/>
        <v/>
      </c>
      <c r="ET35" t="str">
        <f t="shared" si="300"/>
        <v/>
      </c>
      <c r="EU35" t="str">
        <f t="shared" si="301"/>
        <v/>
      </c>
      <c r="EV35" t="str">
        <f t="shared" si="302"/>
        <v/>
      </c>
      <c r="EW35" t="str">
        <f t="shared" si="303"/>
        <v/>
      </c>
      <c r="EX35" t="str">
        <f t="shared" si="304"/>
        <v/>
      </c>
      <c r="EY35" t="str">
        <f t="shared" si="305"/>
        <v/>
      </c>
    </row>
    <row r="36" spans="1:155" ht="13.9" customHeight="1" x14ac:dyDescent="0.25">
      <c r="A36" s="7"/>
      <c r="B36" s="17"/>
      <c r="C36" s="8"/>
      <c r="D36" s="17"/>
      <c r="E36" s="8"/>
      <c r="F36" s="18">
        <v>0</v>
      </c>
      <c r="G36" s="7" t="s">
        <v>147</v>
      </c>
      <c r="H36" s="18">
        <v>0</v>
      </c>
      <c r="I36" s="19">
        <v>0</v>
      </c>
      <c r="J36" s="7" t="s">
        <v>147</v>
      </c>
      <c r="K36" s="19">
        <v>0</v>
      </c>
      <c r="L36" s="9"/>
      <c r="M36" s="3" t="str">
        <f>IF($L36="","",IF($L36="DOELPUNTENMAKERS","",IF(AND(COUNTIF(#REF!,$B36)=0,COUNTIF(#REF!,$D36)=0),"OK",IF($O36&gt;20,"LET OP: meer dan 20 items (controle onvolledig)",IF((COUNTIF($R36:$AS36,"ONZEKER")+COUNTIF($CJ36:$DK36,"ONZEKER"))&gt;0,"LET OP: scoreverloop onduidelijk (controle beperkt)",IF((IF($AT36&lt;&gt;"",$AT36&amp;", ","")&amp;IF($AU36&lt;&gt;"",$AU36&amp;", ","")&amp;IF($AV36&lt;&gt;"",$AV36&amp;", ","")&amp;IF($AW36&lt;&gt;"",$AW36&amp;", ","")&amp;IF($AX36&lt;&gt;"",$AX36&amp;", ","")&amp;IF($AY36&lt;&gt;"",$AY36&amp;", ","")&amp;IF($AZ36&lt;&gt;"",$AZ36&amp;", ","")&amp;IF($BA36&lt;&gt;"",$BA36&amp;", ","")&amp;IF($BB36&lt;&gt;"",$BB36&amp;", ","")&amp;IF($BC36&lt;&gt;"",$BC36&amp;", ","")&amp;IF($DL36&lt;&gt;"",$DL36&amp;", ","")&amp;IF($DM36&lt;&gt;"",$DM36&amp;", ","")&amp;IF($DN36&lt;&gt;"",$DN36&amp;", ","")&amp;IF($DO36&lt;&gt;"",$DO36&amp;", ","")&amp;IF($DP36&lt;&gt;"",$DP36&amp;", ","")&amp;IF($DQ36&lt;&gt;"",$DQ36&amp;", ","")&amp;IF($DR36&lt;&gt;"",$DR36&amp;", ","")&amp;IF($DS36&lt;&gt;"",$DS36&amp;", ","")&amp;IF($DT36&lt;&gt;"",$DT36&amp;", ","")&amp;IF($DU36&lt;&gt;"",$DU36&amp;", ",""))="","OK","Onbekend: "&amp;LEFT((IF($AT36&lt;&gt;"",$AT36&amp;", ","")&amp;IF($AU36&lt;&gt;"",$AU36&amp;", ","")&amp;IF($AV36&lt;&gt;"",$AV36&amp;", ","")&amp;IF($AW36&lt;&gt;"",$AW36&amp;", ","")&amp;IF($AX36&lt;&gt;"",$AX36&amp;", ","")&amp;IF($AY36&lt;&gt;"",$AY36&amp;", ","")&amp;IF($AZ36&lt;&gt;"",$AZ36&amp;", ","")&amp;IF($BA36&lt;&gt;"",$BA36&amp;", ","")&amp;IF($BB36&lt;&gt;"",$BB36&amp;", ","")&amp;IF($BC36&lt;&gt;"",$BC36&amp;", ","")&amp;IF($DL36&lt;&gt;"",$DL36&amp;", ","")&amp;IF($DM36&lt;&gt;"",$DM36&amp;", ","")&amp;IF($DN36&lt;&gt;"",$DN36&amp;", ","")&amp;IF($DO36&lt;&gt;"",$DO36&amp;", ","")&amp;IF($DP36&lt;&gt;"",$DP36&amp;", ","")&amp;IF($DQ36&lt;&gt;"",$DQ36&amp;", ","")&amp;IF($DR36&lt;&gt;"",$DR36&amp;", ","")&amp;IF($DS36&lt;&gt;"",$DS36&amp;", ","")&amp;IF($DT36&lt;&gt;"",$DT36&amp;", ","")&amp;IF($DU36&lt;&gt;"",$DU36&amp;", ","")),LEN((IF($AT36&lt;&gt;"",$AT36&amp;", ","")&amp;IF($AU36&lt;&gt;"",$AU36&amp;", ","")&amp;IF($AV36&lt;&gt;"",$AV36&amp;", ","")&amp;IF($AW36&lt;&gt;"",$AW36&amp;", ","")&amp;IF($AX36&lt;&gt;"",$AX36&amp;", ","")&amp;IF($AY36&lt;&gt;"",$AY36&amp;", ","")&amp;IF($AZ36&lt;&gt;"",$AZ36&amp;", ","")&amp;IF($BA36&lt;&gt;"",$BA36&amp;", ","")&amp;IF($BB36&lt;&gt;"",$BB36&amp;", ","")&amp;IF($BC36&lt;&gt;"",$BC36&amp;", ","")&amp;IF($DL36&lt;&gt;"",$DL36&amp;", ","")&amp;IF($DM36&lt;&gt;"",$DM36&amp;", ","")&amp;IF($DN36&lt;&gt;"",$DN36&amp;", ","")&amp;IF($DO36&lt;&gt;"",$DO36&amp;", ","")&amp;IF($DP36&lt;&gt;"",$DP36&amp;", ","")&amp;IF($DQ36&lt;&gt;"",$DQ36&amp;", ","")&amp;IF($DR36&lt;&gt;"",$DR36&amp;", ","")&amp;IF($DS36&lt;&gt;"",$DS36&amp;", ","")&amp;IF($DT36&lt;&gt;"",$DT36&amp;", ","")&amp;IF($DU36&lt;&gt;"",$DU36&amp;", ","")))-2)))))))</f>
        <v/>
      </c>
      <c r="N36" t="str">
        <f t="shared" si="214"/>
        <v/>
      </c>
      <c r="O36" t="str">
        <f t="shared" si="215"/>
        <v/>
      </c>
      <c r="P36" t="str">
        <f t="shared" si="216"/>
        <v/>
      </c>
      <c r="Q36" t="str">
        <f t="shared" si="217"/>
        <v/>
      </c>
      <c r="R36" t="str">
        <f>IF($Q36="","",IF(OR($BE36="",$BF36=""),"ONZEKER",IF(AND($BE36=0+1,$BF36=0),IF(OR(COUNTIF(#REF!,$B36)&gt;0,COUNTIF(#REF!,$B36)=0),"SKIP",IF(COUNTIFS(#REF!,$B36,#REF!,$Q36)&gt;0,"OK","ONBEKEND")),IF(AND($BE36=0,$BF36=0+1),IF(OR(COUNTIF(#REF!,$D36)&gt;0,COUNTIF(#REF!,$D36)=0),"SKIP",IF(COUNTIFS(#REF!,$D36,#REF!,$Q36)&gt;0,"OK","ONBEKEND")),"ONZEKER"))))</f>
        <v/>
      </c>
      <c r="S36" t="str">
        <f t="shared" si="218"/>
        <v/>
      </c>
      <c r="T36" t="str">
        <f t="shared" si="219"/>
        <v/>
      </c>
      <c r="U36" t="str">
        <f>IF($T36="","",IF(OR($BH36="",$BI36=""),"ONZEKER",IF(OR($BE36="",$BF36=""),"ONZEKER",IF(AND($BH36=$BE36+1,$BI36=$BF36),IF(OR(COUNTIF(#REF!,$B36)&gt;0,COUNTIF(#REF!,$B36)=0),"SKIP",IF(COUNTIFS(#REF!,$B36,#REF!,$T36)&gt;0,"OK","ONBEKEND")),IF(AND($BH36=$BE36,$BI36=$BF36+1),IF(OR(COUNTIF(#REF!,$D36)&gt;0,COUNTIF(#REF!,$D36)=0),"SKIP",IF(COUNTIFS(#REF!,$D36,#REF!,$T36)&gt;0,"OK","ONBEKEND")),"ONZEKER")))))</f>
        <v/>
      </c>
      <c r="V36" t="str">
        <f t="shared" si="220"/>
        <v/>
      </c>
      <c r="W36" t="str">
        <f t="shared" si="221"/>
        <v/>
      </c>
      <c r="X36" t="str">
        <f>IF($W36="","",IF(OR($BK36="",$BL36=""),"ONZEKER",IF(OR($BH36="",$BI36=""),"ONZEKER",IF(AND($BK36=$BH36+1,$BL36=$BI36),IF(OR(COUNTIF(#REF!,$B36)&gt;0,COUNTIF(#REF!,$B36)=0),"SKIP",IF(COUNTIFS(#REF!,$B36,#REF!,$W36)&gt;0,"OK","ONBEKEND")),IF(AND($BK36=$BH36,$BL36=$BI36+1),IF(OR(COUNTIF(#REF!,$D36)&gt;0,COUNTIF(#REF!,$D36)=0),"SKIP",IF(COUNTIFS(#REF!,$D36,#REF!,$W36)&gt;0,"OK","ONBEKEND")),"ONZEKER")))))</f>
        <v/>
      </c>
      <c r="Y36" t="str">
        <f t="shared" si="222"/>
        <v/>
      </c>
      <c r="Z36" t="str">
        <f t="shared" si="223"/>
        <v/>
      </c>
      <c r="AA36" t="str">
        <f>IF($Z36="","",IF(OR($BN36="",$BO36=""),"ONZEKER",IF(OR($BK36="",$BL36=""),"ONZEKER",IF(AND($BN36=$BK36+1,$BO36=$BL36),IF(OR(COUNTIF(#REF!,$B36)&gt;0,COUNTIF(#REF!,$B36)=0),"SKIP",IF(COUNTIFS(#REF!,$B36,#REF!,$Z36)&gt;0,"OK","ONBEKEND")),IF(AND($BN36=$BK36,$BO36=$BL36+1),IF(OR(COUNTIF(#REF!,$D36)&gt;0,COUNTIF(#REF!,$D36)=0),"SKIP",IF(COUNTIFS(#REF!,$D36,#REF!,$Z36)&gt;0,"OK","ONBEKEND")),"ONZEKER")))))</f>
        <v/>
      </c>
      <c r="AB36" t="str">
        <f t="shared" si="224"/>
        <v/>
      </c>
      <c r="AC36" t="str">
        <f t="shared" si="225"/>
        <v/>
      </c>
      <c r="AD36" t="str">
        <f>IF($AC36="","",IF(OR($BQ36="",$BR36=""),"ONZEKER",IF(OR($BN36="",$BO36=""),"ONZEKER",IF(AND($BQ36=$BN36+1,$BR36=$BO36),IF(OR(COUNTIF(#REF!,$B36)&gt;0,COUNTIF(#REF!,$B36)=0),"SKIP",IF(COUNTIFS(#REF!,$B36,#REF!,$AC36)&gt;0,"OK","ONBEKEND")),IF(AND($BQ36=$BN36,$BR36=$BO36+1),IF(OR(COUNTIF(#REF!,$D36)&gt;0,COUNTIF(#REF!,$D36)=0),"SKIP",IF(COUNTIFS(#REF!,$D36,#REF!,$AC36)&gt;0,"OK","ONBEKEND")),"ONZEKER")))))</f>
        <v/>
      </c>
      <c r="AE36" t="str">
        <f t="shared" si="226"/>
        <v/>
      </c>
      <c r="AF36" t="str">
        <f t="shared" si="227"/>
        <v/>
      </c>
      <c r="AG36" t="str">
        <f>IF($AF36="","",IF(OR($BT36="",$BU36=""),"ONZEKER",IF(OR($BQ36="",$BR36=""),"ONZEKER",IF(AND($BT36=$BQ36+1,$BU36=$BR36),IF(OR(COUNTIF(#REF!,$B36)&gt;0,COUNTIF(#REF!,$B36)=0),"SKIP",IF(COUNTIFS(#REF!,$B36,#REF!,$AF36)&gt;0,"OK","ONBEKEND")),IF(AND($BT36=$BQ36,$BU36=$BR36+1),IF(OR(COUNTIF(#REF!,$D36)&gt;0,COUNTIF(#REF!,$D36)=0),"SKIP",IF(COUNTIFS(#REF!,$D36,#REF!,$AF36)&gt;0,"OK","ONBEKEND")),"ONZEKER")))))</f>
        <v/>
      </c>
      <c r="AH36" t="str">
        <f t="shared" si="228"/>
        <v/>
      </c>
      <c r="AI36" t="str">
        <f t="shared" si="229"/>
        <v/>
      </c>
      <c r="AJ36" t="str">
        <f>IF($AI36="","",IF(OR($BW36="",$BX36=""),"ONZEKER",IF(OR($BT36="",$BU36=""),"ONZEKER",IF(AND($BW36=$BT36+1,$BX36=$BU36),IF(OR(COUNTIF(#REF!,$B36)&gt;0,COUNTIF(#REF!,$B36)=0),"SKIP",IF(COUNTIFS(#REF!,$B36,#REF!,$AI36)&gt;0,"OK","ONBEKEND")),IF(AND($BW36=$BT36,$BX36=$BU36+1),IF(OR(COUNTIF(#REF!,$D36)&gt;0,COUNTIF(#REF!,$D36)=0),"SKIP",IF(COUNTIFS(#REF!,$D36,#REF!,$AI36)&gt;0,"OK","ONBEKEND")),"ONZEKER")))))</f>
        <v/>
      </c>
      <c r="AK36" t="str">
        <f t="shared" si="230"/>
        <v/>
      </c>
      <c r="AL36" t="str">
        <f t="shared" si="231"/>
        <v/>
      </c>
      <c r="AM36" t="str">
        <f>IF($AL36="","",IF(OR($BZ36="",$CA36=""),"ONZEKER",IF(OR($BW36="",$BX36=""),"ONZEKER",IF(AND($BZ36=$BW36+1,$CA36=$BX36),IF(OR(COUNTIF(#REF!,$B36)&gt;0,COUNTIF(#REF!,$B36)=0),"SKIP",IF(COUNTIFS(#REF!,$B36,#REF!,$AL36)&gt;0,"OK","ONBEKEND")),IF(AND($BZ36=$BW36,$CA36=$BX36+1),IF(OR(COUNTIF(#REF!,$D36)&gt;0,COUNTIF(#REF!,$D36)=0),"SKIP",IF(COUNTIFS(#REF!,$D36,#REF!,$AL36)&gt;0,"OK","ONBEKEND")),"ONZEKER")))))</f>
        <v/>
      </c>
      <c r="AN36" t="str">
        <f t="shared" si="232"/>
        <v/>
      </c>
      <c r="AO36" t="str">
        <f t="shared" si="233"/>
        <v/>
      </c>
      <c r="AP36" t="str">
        <f>IF($AO36="","",IF(OR($CC36="",$CD36=""),"ONZEKER",IF(OR($BZ36="",$CA36=""),"ONZEKER",IF(AND($CC36=$BZ36+1,$CD36=$CA36),IF(OR(COUNTIF(#REF!,$B36)&gt;0,COUNTIF(#REF!,$B36)=0),"SKIP",IF(COUNTIFS(#REF!,$B36,#REF!,$AO36)&gt;0,"OK","ONBEKEND")),IF(AND($CC36=$BZ36,$CD36=$CA36+1),IF(OR(COUNTIF(#REF!,$D36)&gt;0,COUNTIF(#REF!,$D36)=0),"SKIP",IF(COUNTIFS(#REF!,$D36,#REF!,$AO36)&gt;0,"OK","ONBEKEND")),"ONZEKER")))))</f>
        <v/>
      </c>
      <c r="AQ36" t="str">
        <f t="shared" si="234"/>
        <v/>
      </c>
      <c r="AR36" t="str">
        <f t="shared" si="235"/>
        <v/>
      </c>
      <c r="AS36" t="str">
        <f>IF($AR36="","",IF(OR($CF36="",$CG36=""),"ONZEKER",IF(OR($CC36="",$CD36=""),"ONZEKER",IF(AND($CF36=$CC36+1,$CG36=$CD36),IF(OR(COUNTIF(#REF!,$B36)&gt;0,COUNTIF(#REF!,$B36)=0),"SKIP",IF(COUNTIFS(#REF!,$B36,#REF!,$AR36)&gt;0,"OK","ONBEKEND")),IF(AND($CF36=$CC36,$CG36=$CD36+1),IF(OR(COUNTIF(#REF!,$D36)&gt;0,COUNTIF(#REF!,$D36)=0),"SKIP",IF(COUNTIFS(#REF!,$D36,#REF!,$AR36)&gt;0,"OK","ONBEKEND")),"ONZEKER")))))</f>
        <v/>
      </c>
      <c r="AT36" t="str">
        <f t="shared" si="236"/>
        <v/>
      </c>
      <c r="AU36" t="str">
        <f t="shared" si="237"/>
        <v/>
      </c>
      <c r="AV36" t="str">
        <f t="shared" si="238"/>
        <v/>
      </c>
      <c r="AW36" t="str">
        <f t="shared" si="239"/>
        <v/>
      </c>
      <c r="AX36" t="str">
        <f t="shared" si="240"/>
        <v/>
      </c>
      <c r="AY36" t="str">
        <f t="shared" si="241"/>
        <v/>
      </c>
      <c r="AZ36" t="str">
        <f t="shared" si="242"/>
        <v/>
      </c>
      <c r="BA36" t="str">
        <f t="shared" si="243"/>
        <v/>
      </c>
      <c r="BB36" t="str">
        <f t="shared" si="244"/>
        <v/>
      </c>
      <c r="BC36" t="str">
        <f t="shared" si="245"/>
        <v/>
      </c>
      <c r="BD36" t="str">
        <f t="shared" si="32"/>
        <v/>
      </c>
      <c r="BE36" t="str">
        <f t="shared" si="33"/>
        <v/>
      </c>
      <c r="BF36" t="str">
        <f t="shared" si="34"/>
        <v/>
      </c>
      <c r="BG36" t="str">
        <f t="shared" si="35"/>
        <v/>
      </c>
      <c r="BH36" t="str">
        <f t="shared" si="36"/>
        <v/>
      </c>
      <c r="BI36" t="str">
        <f t="shared" si="37"/>
        <v/>
      </c>
      <c r="BJ36" t="str">
        <f t="shared" si="38"/>
        <v/>
      </c>
      <c r="BK36" t="str">
        <f t="shared" si="39"/>
        <v/>
      </c>
      <c r="BL36" t="str">
        <f t="shared" si="40"/>
        <v/>
      </c>
      <c r="BM36" t="str">
        <f t="shared" si="41"/>
        <v/>
      </c>
      <c r="BN36" t="str">
        <f t="shared" si="42"/>
        <v/>
      </c>
      <c r="BO36" t="str">
        <f t="shared" si="43"/>
        <v/>
      </c>
      <c r="BP36" t="str">
        <f t="shared" si="44"/>
        <v/>
      </c>
      <c r="BQ36" t="str">
        <f t="shared" si="45"/>
        <v/>
      </c>
      <c r="BR36" t="str">
        <f t="shared" si="46"/>
        <v/>
      </c>
      <c r="BS36" t="str">
        <f t="shared" si="47"/>
        <v/>
      </c>
      <c r="BT36" t="str">
        <f t="shared" si="48"/>
        <v/>
      </c>
      <c r="BU36" t="str">
        <f t="shared" si="49"/>
        <v/>
      </c>
      <c r="BV36" t="str">
        <f t="shared" si="50"/>
        <v/>
      </c>
      <c r="BW36" t="str">
        <f t="shared" si="51"/>
        <v/>
      </c>
      <c r="BX36" t="str">
        <f t="shared" si="52"/>
        <v/>
      </c>
      <c r="BY36" t="str">
        <f t="shared" si="53"/>
        <v/>
      </c>
      <c r="BZ36" t="str">
        <f t="shared" si="54"/>
        <v/>
      </c>
      <c r="CA36" t="str">
        <f t="shared" si="55"/>
        <v/>
      </c>
      <c r="CB36" t="str">
        <f t="shared" si="56"/>
        <v/>
      </c>
      <c r="CC36" t="str">
        <f t="shared" si="57"/>
        <v/>
      </c>
      <c r="CD36" t="str">
        <f t="shared" si="58"/>
        <v/>
      </c>
      <c r="CE36" t="str">
        <f t="shared" si="59"/>
        <v/>
      </c>
      <c r="CF36" t="str">
        <f t="shared" si="60"/>
        <v/>
      </c>
      <c r="CG36" t="str">
        <f t="shared" si="61"/>
        <v/>
      </c>
      <c r="CH36" t="str">
        <f t="shared" si="246"/>
        <v/>
      </c>
      <c r="CI36" t="str">
        <f t="shared" si="247"/>
        <v/>
      </c>
      <c r="CJ36" t="str">
        <f>IF($CI36="","",IF(OR($DW36="",$DX36=""),"ONZEKER",IF(OR($CF36="",$CG36=""),"ONZEKER",IF(AND($DW36=$CF36+1,$DX36=$CG36),IF(OR(COUNTIF(#REF!,$B36)&gt;0,COUNTIF(#REF!,$B36)=0),"SKIP",IF(COUNTIFS(#REF!,$B36,#REF!,$CI36)&gt;0,"OK","ONBEKEND")),IF(AND($DW36=$CF36,$DX36=$CG36+1),IF(OR(COUNTIF(#REF!,$D36)&gt;0,COUNTIF(#REF!,$D36)=0),"SKIP",IF(COUNTIFS(#REF!,$D36,#REF!,$CI36)&gt;0,"OK","ONBEKEND")),"ONZEKER")))))</f>
        <v/>
      </c>
      <c r="CK36" t="str">
        <f t="shared" si="248"/>
        <v/>
      </c>
      <c r="CL36" t="str">
        <f t="shared" si="249"/>
        <v/>
      </c>
      <c r="CM36" t="str">
        <f>IF($CL36="","",IF(OR($DZ36="",$EA36=""),"ONZEKER",IF(OR($DW36="",$DX36=""),"ONZEKER",IF(AND($DZ36=$DW36+1,$EA36=$DX36),IF(OR(COUNTIF(#REF!,$B36)&gt;0,COUNTIF(#REF!,$B36)=0),"SKIP",IF(COUNTIFS(#REF!,$B36,#REF!,$CL36)&gt;0,"OK","ONBEKEND")),IF(AND($DZ36=$DW36,$EA36=$DX36+1),IF(OR(COUNTIF(#REF!,$D36)&gt;0,COUNTIF(#REF!,$D36)=0),"SKIP",IF(COUNTIFS(#REF!,$D36,#REF!,$CL36)&gt;0,"OK","ONBEKEND")),"ONZEKER")))))</f>
        <v/>
      </c>
      <c r="CN36" t="str">
        <f t="shared" si="250"/>
        <v/>
      </c>
      <c r="CO36" t="str">
        <f t="shared" si="251"/>
        <v/>
      </c>
      <c r="CP36" t="str">
        <f>IF($CO36="","",IF(OR($EC36="",$ED36=""),"ONZEKER",IF(OR($DZ36="",$EA36=""),"ONZEKER",IF(AND($EC36=$DZ36+1,$ED36=$EA36),IF(OR(COUNTIF(#REF!,$B36)&gt;0,COUNTIF(#REF!,$B36)=0),"SKIP",IF(COUNTIFS(#REF!,$B36,#REF!,$CO36)&gt;0,"OK","ONBEKEND")),IF(AND($EC36=$DZ36,$ED36=$EA36+1),IF(OR(COUNTIF(#REF!,$D36)&gt;0,COUNTIF(#REF!,$D36)=0),"SKIP",IF(COUNTIFS(#REF!,$D36,#REF!,$CO36)&gt;0,"OK","ONBEKEND")),"ONZEKER")))))</f>
        <v/>
      </c>
      <c r="CQ36" t="str">
        <f t="shared" si="252"/>
        <v/>
      </c>
      <c r="CR36" t="str">
        <f t="shared" si="253"/>
        <v/>
      </c>
      <c r="CS36" t="str">
        <f>IF($CR36="","",IF(OR($EF36="",$EG36=""),"ONZEKER",IF(OR($EC36="",$ED36=""),"ONZEKER",IF(AND($EF36=$EC36+1,$EG36=$ED36),IF(OR(COUNTIF(#REF!,$B36)&gt;0,COUNTIF(#REF!,$B36)=0),"SKIP",IF(COUNTIFS(#REF!,$B36,#REF!,$CR36)&gt;0,"OK","ONBEKEND")),IF(AND($EF36=$EC36,$EG36=$ED36+1),IF(OR(COUNTIF(#REF!,$D36)&gt;0,COUNTIF(#REF!,$D36)=0),"SKIP",IF(COUNTIFS(#REF!,$D36,#REF!,$CR36)&gt;0,"OK","ONBEKEND")),"ONZEKER")))))</f>
        <v/>
      </c>
      <c r="CT36" t="str">
        <f t="shared" si="254"/>
        <v/>
      </c>
      <c r="CU36" t="str">
        <f t="shared" si="255"/>
        <v/>
      </c>
      <c r="CV36" t="str">
        <f>IF($CU36="","",IF(OR($EI36="",$EJ36=""),"ONZEKER",IF(OR($EF36="",$EG36=""),"ONZEKER",IF(AND($EI36=$EF36+1,$EJ36=$EG36),IF(OR(COUNTIF(#REF!,$B36)&gt;0,COUNTIF(#REF!,$B36)=0),"SKIP",IF(COUNTIFS(#REF!,$B36,#REF!,$CU36)&gt;0,"OK","ONBEKEND")),IF(AND($EI36=$EF36,$EJ36=$EG36+1),IF(OR(COUNTIF(#REF!,$D36)&gt;0,COUNTIF(#REF!,$D36)=0),"SKIP",IF(COUNTIFS(#REF!,$D36,#REF!,$CU36)&gt;0,"OK","ONBEKEND")),"ONZEKER")))))</f>
        <v/>
      </c>
      <c r="CW36" t="str">
        <f t="shared" si="256"/>
        <v/>
      </c>
      <c r="CX36" t="str">
        <f t="shared" si="257"/>
        <v/>
      </c>
      <c r="CY36" t="str">
        <f>IF($CX36="","",IF(OR($EL36="",$EM36=""),"ONZEKER",IF(OR($EI36="",$EJ36=""),"ONZEKER",IF(AND($EL36=$EI36+1,$EM36=$EJ36),IF(OR(COUNTIF(#REF!,$B36)&gt;0,COUNTIF(#REF!,$B36)=0),"SKIP",IF(COUNTIFS(#REF!,$B36,#REF!,$CX36)&gt;0,"OK","ONBEKEND")),IF(AND($EL36=$EI36,$EM36=$EJ36+1),IF(OR(COUNTIF(#REF!,$D36)&gt;0,COUNTIF(#REF!,$D36)=0),"SKIP",IF(COUNTIFS(#REF!,$D36,#REF!,$CX36)&gt;0,"OK","ONBEKEND")),"ONZEKER")))))</f>
        <v/>
      </c>
      <c r="CZ36" t="str">
        <f t="shared" si="258"/>
        <v/>
      </c>
      <c r="DA36" t="str">
        <f t="shared" si="259"/>
        <v/>
      </c>
      <c r="DB36" t="str">
        <f>IF($DA36="","",IF(OR($EO36="",$EP36=""),"ONZEKER",IF(OR($EL36="",$EM36=""),"ONZEKER",IF(AND($EO36=$EL36+1,$EP36=$EM36),IF(OR(COUNTIF(#REF!,$B36)&gt;0,COUNTIF(#REF!,$B36)=0),"SKIP",IF(COUNTIFS(#REF!,$B36,#REF!,$DA36)&gt;0,"OK","ONBEKEND")),IF(AND($EO36=$EL36,$EP36=$EM36+1),IF(OR(COUNTIF(#REF!,$D36)&gt;0,COUNTIF(#REF!,$D36)=0),"SKIP",IF(COUNTIFS(#REF!,$D36,#REF!,$DA36)&gt;0,"OK","ONBEKEND")),"ONZEKER")))))</f>
        <v/>
      </c>
      <c r="DC36" t="str">
        <f t="shared" si="260"/>
        <v/>
      </c>
      <c r="DD36" t="str">
        <f t="shared" si="261"/>
        <v/>
      </c>
      <c r="DE36" t="str">
        <f>IF($DD36="","",IF(OR($ER36="",$ES36=""),"ONZEKER",IF(OR($EO36="",$EP36=""),"ONZEKER",IF(AND($ER36=$EO36+1,$ES36=$EP36),IF(OR(COUNTIF(#REF!,$B36)&gt;0,COUNTIF(#REF!,$B36)=0),"SKIP",IF(COUNTIFS(#REF!,$B36,#REF!,$DD36)&gt;0,"OK","ONBEKEND")),IF(AND($ER36=$EO36,$ES36=$EP36+1),IF(OR(COUNTIF(#REF!,$D36)&gt;0,COUNTIF(#REF!,$D36)=0),"SKIP",IF(COUNTIFS(#REF!,$D36,#REF!,$DD36)&gt;0,"OK","ONBEKEND")),"ONZEKER")))))</f>
        <v/>
      </c>
      <c r="DF36" t="str">
        <f t="shared" si="262"/>
        <v/>
      </c>
      <c r="DG36" t="str">
        <f t="shared" si="263"/>
        <v/>
      </c>
      <c r="DH36" t="str">
        <f>IF($DG36="","",IF(OR($EU36="",$EV36=""),"ONZEKER",IF(OR($ER36="",$ES36=""),"ONZEKER",IF(AND($EU36=$ER36+1,$EV36=$ES36),IF(OR(COUNTIF(#REF!,$B36)&gt;0,COUNTIF(#REF!,$B36)=0),"SKIP",IF(COUNTIFS(#REF!,$B36,#REF!,$DG36)&gt;0,"OK","ONBEKEND")),IF(AND($EU36=$ER36,$EV36=$ES36+1),IF(OR(COUNTIF(#REF!,$D36)&gt;0,COUNTIF(#REF!,$D36)=0),"SKIP",IF(COUNTIFS(#REF!,$D36,#REF!,$DG36)&gt;0,"OK","ONBEKEND")),"ONZEKER")))))</f>
        <v/>
      </c>
      <c r="DI36" t="str">
        <f t="shared" si="264"/>
        <v/>
      </c>
      <c r="DJ36" t="str">
        <f t="shared" si="265"/>
        <v/>
      </c>
      <c r="DK36" t="str">
        <f>IF($DJ36="","",IF(OR($EX36="",$EY36=""),"ONZEKER",IF(OR($EU36="",$EV36=""),"ONZEKER",IF(AND($EX36=$EU36+1,$EY36=$EV36),IF(OR(COUNTIF(#REF!,$B36)&gt;0,COUNTIF(#REF!,$B36)=0),"SKIP",IF(COUNTIFS(#REF!,$B36,#REF!,$DJ36)&gt;0,"OK","ONBEKEND")),IF(AND($EX36=$EU36,$EY36=$EV36+1),IF(OR(COUNTIF(#REF!,$D36)&gt;0,COUNTIF(#REF!,$D36)=0),"SKIP",IF(COUNTIFS(#REF!,$D36,#REF!,$DJ36)&gt;0,"OK","ONBEKEND")),"ONZEKER")))))</f>
        <v/>
      </c>
      <c r="DL36" t="str">
        <f t="shared" si="266"/>
        <v/>
      </c>
      <c r="DM36" t="str">
        <f t="shared" si="267"/>
        <v/>
      </c>
      <c r="DN36" t="str">
        <f t="shared" si="268"/>
        <v/>
      </c>
      <c r="DO36" t="str">
        <f t="shared" si="269"/>
        <v/>
      </c>
      <c r="DP36" t="str">
        <f t="shared" si="270"/>
        <v/>
      </c>
      <c r="DQ36" t="str">
        <f t="shared" si="271"/>
        <v/>
      </c>
      <c r="DR36" t="str">
        <f t="shared" si="272"/>
        <v/>
      </c>
      <c r="DS36" t="str">
        <f t="shared" si="273"/>
        <v/>
      </c>
      <c r="DT36" t="str">
        <f t="shared" si="274"/>
        <v/>
      </c>
      <c r="DU36" t="str">
        <f t="shared" si="275"/>
        <v/>
      </c>
      <c r="DV36" t="str">
        <f t="shared" si="276"/>
        <v/>
      </c>
      <c r="DW36" t="str">
        <f t="shared" si="277"/>
        <v/>
      </c>
      <c r="DX36" t="str">
        <f t="shared" si="278"/>
        <v/>
      </c>
      <c r="DY36" t="str">
        <f t="shared" si="279"/>
        <v/>
      </c>
      <c r="DZ36" t="str">
        <f t="shared" si="280"/>
        <v/>
      </c>
      <c r="EA36" t="str">
        <f t="shared" si="281"/>
        <v/>
      </c>
      <c r="EB36" t="str">
        <f t="shared" si="282"/>
        <v/>
      </c>
      <c r="EC36" t="str">
        <f t="shared" si="283"/>
        <v/>
      </c>
      <c r="ED36" t="str">
        <f t="shared" si="284"/>
        <v/>
      </c>
      <c r="EE36" t="str">
        <f t="shared" si="285"/>
        <v/>
      </c>
      <c r="EF36" t="str">
        <f t="shared" si="286"/>
        <v/>
      </c>
      <c r="EG36" t="str">
        <f t="shared" si="287"/>
        <v/>
      </c>
      <c r="EH36" t="str">
        <f t="shared" si="288"/>
        <v/>
      </c>
      <c r="EI36" t="str">
        <f t="shared" si="289"/>
        <v/>
      </c>
      <c r="EJ36" t="str">
        <f t="shared" si="290"/>
        <v/>
      </c>
      <c r="EK36" t="str">
        <f t="shared" si="291"/>
        <v/>
      </c>
      <c r="EL36" t="str">
        <f t="shared" si="292"/>
        <v/>
      </c>
      <c r="EM36" t="str">
        <f t="shared" si="293"/>
        <v/>
      </c>
      <c r="EN36" t="str">
        <f t="shared" si="294"/>
        <v/>
      </c>
      <c r="EO36" t="str">
        <f t="shared" si="295"/>
        <v/>
      </c>
      <c r="EP36" t="str">
        <f t="shared" si="296"/>
        <v/>
      </c>
      <c r="EQ36" t="str">
        <f t="shared" si="297"/>
        <v/>
      </c>
      <c r="ER36" t="str">
        <f t="shared" si="298"/>
        <v/>
      </c>
      <c r="ES36" t="str">
        <f t="shared" si="299"/>
        <v/>
      </c>
      <c r="ET36" t="str">
        <f t="shared" si="300"/>
        <v/>
      </c>
      <c r="EU36" t="str">
        <f t="shared" si="301"/>
        <v/>
      </c>
      <c r="EV36" t="str">
        <f t="shared" si="302"/>
        <v/>
      </c>
      <c r="EW36" t="str">
        <f t="shared" si="303"/>
        <v/>
      </c>
      <c r="EX36" t="str">
        <f t="shared" si="304"/>
        <v/>
      </c>
      <c r="EY36" t="str">
        <f t="shared" si="305"/>
        <v/>
      </c>
    </row>
    <row r="37" spans="1:155" ht="13.9" customHeight="1" x14ac:dyDescent="0.25">
      <c r="A37" s="7"/>
      <c r="B37" s="17"/>
      <c r="C37" s="8"/>
      <c r="D37" s="17"/>
      <c r="E37" s="8"/>
      <c r="F37" s="18">
        <v>0</v>
      </c>
      <c r="G37" s="7" t="s">
        <v>147</v>
      </c>
      <c r="H37" s="18">
        <v>0</v>
      </c>
      <c r="I37" s="19">
        <v>0</v>
      </c>
      <c r="J37" s="7" t="s">
        <v>147</v>
      </c>
      <c r="K37" s="19">
        <v>0</v>
      </c>
      <c r="L37" s="9"/>
      <c r="M37" s="3" t="str">
        <f>IF($L37="","",IF($L37="DOELPUNTENMAKERS","",IF(AND(COUNTIF(#REF!,$B37)=0,COUNTIF(#REF!,$D37)=0),"OK",IF($O37&gt;20,"LET OP: meer dan 20 items (controle onvolledig)",IF((COUNTIF($R37:$AS37,"ONZEKER")+COUNTIF($CJ37:$DK37,"ONZEKER"))&gt;0,"LET OP: scoreverloop onduidelijk (controle beperkt)",IF((IF($AT37&lt;&gt;"",$AT37&amp;", ","")&amp;IF($AU37&lt;&gt;"",$AU37&amp;", ","")&amp;IF($AV37&lt;&gt;"",$AV37&amp;", ","")&amp;IF($AW37&lt;&gt;"",$AW37&amp;", ","")&amp;IF($AX37&lt;&gt;"",$AX37&amp;", ","")&amp;IF($AY37&lt;&gt;"",$AY37&amp;", ","")&amp;IF($AZ37&lt;&gt;"",$AZ37&amp;", ","")&amp;IF($BA37&lt;&gt;"",$BA37&amp;", ","")&amp;IF($BB37&lt;&gt;"",$BB37&amp;", ","")&amp;IF($BC37&lt;&gt;"",$BC37&amp;", ","")&amp;IF($DL37&lt;&gt;"",$DL37&amp;", ","")&amp;IF($DM37&lt;&gt;"",$DM37&amp;", ","")&amp;IF($DN37&lt;&gt;"",$DN37&amp;", ","")&amp;IF($DO37&lt;&gt;"",$DO37&amp;", ","")&amp;IF($DP37&lt;&gt;"",$DP37&amp;", ","")&amp;IF($DQ37&lt;&gt;"",$DQ37&amp;", ","")&amp;IF($DR37&lt;&gt;"",$DR37&amp;", ","")&amp;IF($DS37&lt;&gt;"",$DS37&amp;", ","")&amp;IF($DT37&lt;&gt;"",$DT37&amp;", ","")&amp;IF($DU37&lt;&gt;"",$DU37&amp;", ",""))="","OK","Onbekend: "&amp;LEFT((IF($AT37&lt;&gt;"",$AT37&amp;", ","")&amp;IF($AU37&lt;&gt;"",$AU37&amp;", ","")&amp;IF($AV37&lt;&gt;"",$AV37&amp;", ","")&amp;IF($AW37&lt;&gt;"",$AW37&amp;", ","")&amp;IF($AX37&lt;&gt;"",$AX37&amp;", ","")&amp;IF($AY37&lt;&gt;"",$AY37&amp;", ","")&amp;IF($AZ37&lt;&gt;"",$AZ37&amp;", ","")&amp;IF($BA37&lt;&gt;"",$BA37&amp;", ","")&amp;IF($BB37&lt;&gt;"",$BB37&amp;", ","")&amp;IF($BC37&lt;&gt;"",$BC37&amp;", ","")&amp;IF($DL37&lt;&gt;"",$DL37&amp;", ","")&amp;IF($DM37&lt;&gt;"",$DM37&amp;", ","")&amp;IF($DN37&lt;&gt;"",$DN37&amp;", ","")&amp;IF($DO37&lt;&gt;"",$DO37&amp;", ","")&amp;IF($DP37&lt;&gt;"",$DP37&amp;", ","")&amp;IF($DQ37&lt;&gt;"",$DQ37&amp;", ","")&amp;IF($DR37&lt;&gt;"",$DR37&amp;", ","")&amp;IF($DS37&lt;&gt;"",$DS37&amp;", ","")&amp;IF($DT37&lt;&gt;"",$DT37&amp;", ","")&amp;IF($DU37&lt;&gt;"",$DU37&amp;", ","")),LEN((IF($AT37&lt;&gt;"",$AT37&amp;", ","")&amp;IF($AU37&lt;&gt;"",$AU37&amp;", ","")&amp;IF($AV37&lt;&gt;"",$AV37&amp;", ","")&amp;IF($AW37&lt;&gt;"",$AW37&amp;", ","")&amp;IF($AX37&lt;&gt;"",$AX37&amp;", ","")&amp;IF($AY37&lt;&gt;"",$AY37&amp;", ","")&amp;IF($AZ37&lt;&gt;"",$AZ37&amp;", ","")&amp;IF($BA37&lt;&gt;"",$BA37&amp;", ","")&amp;IF($BB37&lt;&gt;"",$BB37&amp;", ","")&amp;IF($BC37&lt;&gt;"",$BC37&amp;", ","")&amp;IF($DL37&lt;&gt;"",$DL37&amp;", ","")&amp;IF($DM37&lt;&gt;"",$DM37&amp;", ","")&amp;IF($DN37&lt;&gt;"",$DN37&amp;", ","")&amp;IF($DO37&lt;&gt;"",$DO37&amp;", ","")&amp;IF($DP37&lt;&gt;"",$DP37&amp;", ","")&amp;IF($DQ37&lt;&gt;"",$DQ37&amp;", ","")&amp;IF($DR37&lt;&gt;"",$DR37&amp;", ","")&amp;IF($DS37&lt;&gt;"",$DS37&amp;", ","")&amp;IF($DT37&lt;&gt;"",$DT37&amp;", ","")&amp;IF($DU37&lt;&gt;"",$DU37&amp;", ","")))-2)))))))</f>
        <v/>
      </c>
      <c r="N37" t="str">
        <f t="shared" si="214"/>
        <v/>
      </c>
      <c r="O37" t="str">
        <f t="shared" si="215"/>
        <v/>
      </c>
      <c r="P37" t="str">
        <f t="shared" si="216"/>
        <v/>
      </c>
      <c r="Q37" t="str">
        <f t="shared" si="217"/>
        <v/>
      </c>
      <c r="R37" t="str">
        <f>IF($Q37="","",IF(OR($BE37="",$BF37=""),"ONZEKER",IF(AND($BE37=0+1,$BF37=0),IF(OR(COUNTIF(#REF!,$B37)&gt;0,COUNTIF(#REF!,$B37)=0),"SKIP",IF(COUNTIFS(#REF!,$B37,#REF!,$Q37)&gt;0,"OK","ONBEKEND")),IF(AND($BE37=0,$BF37=0+1),IF(OR(COUNTIF(#REF!,$D37)&gt;0,COUNTIF(#REF!,$D37)=0),"SKIP",IF(COUNTIFS(#REF!,$D37,#REF!,$Q37)&gt;0,"OK","ONBEKEND")),"ONZEKER"))))</f>
        <v/>
      </c>
      <c r="S37" t="str">
        <f t="shared" si="218"/>
        <v/>
      </c>
      <c r="T37" t="str">
        <f t="shared" si="219"/>
        <v/>
      </c>
      <c r="U37" t="str">
        <f>IF($T37="","",IF(OR($BH37="",$BI37=""),"ONZEKER",IF(OR($BE37="",$BF37=""),"ONZEKER",IF(AND($BH37=$BE37+1,$BI37=$BF37),IF(OR(COUNTIF(#REF!,$B37)&gt;0,COUNTIF(#REF!,$B37)=0),"SKIP",IF(COUNTIFS(#REF!,$B37,#REF!,$T37)&gt;0,"OK","ONBEKEND")),IF(AND($BH37=$BE37,$BI37=$BF37+1),IF(OR(COUNTIF(#REF!,$D37)&gt;0,COUNTIF(#REF!,$D37)=0),"SKIP",IF(COUNTIFS(#REF!,$D37,#REF!,$T37)&gt;0,"OK","ONBEKEND")),"ONZEKER")))))</f>
        <v/>
      </c>
      <c r="V37" t="str">
        <f t="shared" si="220"/>
        <v/>
      </c>
      <c r="W37" t="str">
        <f t="shared" si="221"/>
        <v/>
      </c>
      <c r="X37" t="str">
        <f>IF($W37="","",IF(OR($BK37="",$BL37=""),"ONZEKER",IF(OR($BH37="",$BI37=""),"ONZEKER",IF(AND($BK37=$BH37+1,$BL37=$BI37),IF(OR(COUNTIF(#REF!,$B37)&gt;0,COUNTIF(#REF!,$B37)=0),"SKIP",IF(COUNTIFS(#REF!,$B37,#REF!,$W37)&gt;0,"OK","ONBEKEND")),IF(AND($BK37=$BH37,$BL37=$BI37+1),IF(OR(COUNTIF(#REF!,$D37)&gt;0,COUNTIF(#REF!,$D37)=0),"SKIP",IF(COUNTIFS(#REF!,$D37,#REF!,$W37)&gt;0,"OK","ONBEKEND")),"ONZEKER")))))</f>
        <v/>
      </c>
      <c r="Y37" t="str">
        <f t="shared" si="222"/>
        <v/>
      </c>
      <c r="Z37" t="str">
        <f t="shared" si="223"/>
        <v/>
      </c>
      <c r="AA37" t="str">
        <f>IF($Z37="","",IF(OR($BN37="",$BO37=""),"ONZEKER",IF(OR($BK37="",$BL37=""),"ONZEKER",IF(AND($BN37=$BK37+1,$BO37=$BL37),IF(OR(COUNTIF(#REF!,$B37)&gt;0,COUNTIF(#REF!,$B37)=0),"SKIP",IF(COUNTIFS(#REF!,$B37,#REF!,$Z37)&gt;0,"OK","ONBEKEND")),IF(AND($BN37=$BK37,$BO37=$BL37+1),IF(OR(COUNTIF(#REF!,$D37)&gt;0,COUNTIF(#REF!,$D37)=0),"SKIP",IF(COUNTIFS(#REF!,$D37,#REF!,$Z37)&gt;0,"OK","ONBEKEND")),"ONZEKER")))))</f>
        <v/>
      </c>
      <c r="AB37" t="str">
        <f t="shared" si="224"/>
        <v/>
      </c>
      <c r="AC37" t="str">
        <f t="shared" si="225"/>
        <v/>
      </c>
      <c r="AD37" t="str">
        <f>IF($AC37="","",IF(OR($BQ37="",$BR37=""),"ONZEKER",IF(OR($BN37="",$BO37=""),"ONZEKER",IF(AND($BQ37=$BN37+1,$BR37=$BO37),IF(OR(COUNTIF(#REF!,$B37)&gt;0,COUNTIF(#REF!,$B37)=0),"SKIP",IF(COUNTIFS(#REF!,$B37,#REF!,$AC37)&gt;0,"OK","ONBEKEND")),IF(AND($BQ37=$BN37,$BR37=$BO37+1),IF(OR(COUNTIF(#REF!,$D37)&gt;0,COUNTIF(#REF!,$D37)=0),"SKIP",IF(COUNTIFS(#REF!,$D37,#REF!,$AC37)&gt;0,"OK","ONBEKEND")),"ONZEKER")))))</f>
        <v/>
      </c>
      <c r="AE37" t="str">
        <f t="shared" si="226"/>
        <v/>
      </c>
      <c r="AF37" t="str">
        <f t="shared" si="227"/>
        <v/>
      </c>
      <c r="AG37" t="str">
        <f>IF($AF37="","",IF(OR($BT37="",$BU37=""),"ONZEKER",IF(OR($BQ37="",$BR37=""),"ONZEKER",IF(AND($BT37=$BQ37+1,$BU37=$BR37),IF(OR(COUNTIF(#REF!,$B37)&gt;0,COUNTIF(#REF!,$B37)=0),"SKIP",IF(COUNTIFS(#REF!,$B37,#REF!,$AF37)&gt;0,"OK","ONBEKEND")),IF(AND($BT37=$BQ37,$BU37=$BR37+1),IF(OR(COUNTIF(#REF!,$D37)&gt;0,COUNTIF(#REF!,$D37)=0),"SKIP",IF(COUNTIFS(#REF!,$D37,#REF!,$AF37)&gt;0,"OK","ONBEKEND")),"ONZEKER")))))</f>
        <v/>
      </c>
      <c r="AH37" t="str">
        <f t="shared" si="228"/>
        <v/>
      </c>
      <c r="AI37" t="str">
        <f t="shared" si="229"/>
        <v/>
      </c>
      <c r="AJ37" t="str">
        <f>IF($AI37="","",IF(OR($BW37="",$BX37=""),"ONZEKER",IF(OR($BT37="",$BU37=""),"ONZEKER",IF(AND($BW37=$BT37+1,$BX37=$BU37),IF(OR(COUNTIF(#REF!,$B37)&gt;0,COUNTIF(#REF!,$B37)=0),"SKIP",IF(COUNTIFS(#REF!,$B37,#REF!,$AI37)&gt;0,"OK","ONBEKEND")),IF(AND($BW37=$BT37,$BX37=$BU37+1),IF(OR(COUNTIF(#REF!,$D37)&gt;0,COUNTIF(#REF!,$D37)=0),"SKIP",IF(COUNTIFS(#REF!,$D37,#REF!,$AI37)&gt;0,"OK","ONBEKEND")),"ONZEKER")))))</f>
        <v/>
      </c>
      <c r="AK37" t="str">
        <f t="shared" si="230"/>
        <v/>
      </c>
      <c r="AL37" t="str">
        <f t="shared" si="231"/>
        <v/>
      </c>
      <c r="AM37" t="str">
        <f>IF($AL37="","",IF(OR($BZ37="",$CA37=""),"ONZEKER",IF(OR($BW37="",$BX37=""),"ONZEKER",IF(AND($BZ37=$BW37+1,$CA37=$BX37),IF(OR(COUNTIF(#REF!,$B37)&gt;0,COUNTIF(#REF!,$B37)=0),"SKIP",IF(COUNTIFS(#REF!,$B37,#REF!,$AL37)&gt;0,"OK","ONBEKEND")),IF(AND($BZ37=$BW37,$CA37=$BX37+1),IF(OR(COUNTIF(#REF!,$D37)&gt;0,COUNTIF(#REF!,$D37)=0),"SKIP",IF(COUNTIFS(#REF!,$D37,#REF!,$AL37)&gt;0,"OK","ONBEKEND")),"ONZEKER")))))</f>
        <v/>
      </c>
      <c r="AN37" t="str">
        <f t="shared" si="232"/>
        <v/>
      </c>
      <c r="AO37" t="str">
        <f t="shared" si="233"/>
        <v/>
      </c>
      <c r="AP37" t="str">
        <f>IF($AO37="","",IF(OR($CC37="",$CD37=""),"ONZEKER",IF(OR($BZ37="",$CA37=""),"ONZEKER",IF(AND($CC37=$BZ37+1,$CD37=$CA37),IF(OR(COUNTIF(#REF!,$B37)&gt;0,COUNTIF(#REF!,$B37)=0),"SKIP",IF(COUNTIFS(#REF!,$B37,#REF!,$AO37)&gt;0,"OK","ONBEKEND")),IF(AND($CC37=$BZ37,$CD37=$CA37+1),IF(OR(COUNTIF(#REF!,$D37)&gt;0,COUNTIF(#REF!,$D37)=0),"SKIP",IF(COUNTIFS(#REF!,$D37,#REF!,$AO37)&gt;0,"OK","ONBEKEND")),"ONZEKER")))))</f>
        <v/>
      </c>
      <c r="AQ37" t="str">
        <f t="shared" si="234"/>
        <v/>
      </c>
      <c r="AR37" t="str">
        <f t="shared" si="235"/>
        <v/>
      </c>
      <c r="AS37" t="str">
        <f>IF($AR37="","",IF(OR($CF37="",$CG37=""),"ONZEKER",IF(OR($CC37="",$CD37=""),"ONZEKER",IF(AND($CF37=$CC37+1,$CG37=$CD37),IF(OR(COUNTIF(#REF!,$B37)&gt;0,COUNTIF(#REF!,$B37)=0),"SKIP",IF(COUNTIFS(#REF!,$B37,#REF!,$AR37)&gt;0,"OK","ONBEKEND")),IF(AND($CF37=$CC37,$CG37=$CD37+1),IF(OR(COUNTIF(#REF!,$D37)&gt;0,COUNTIF(#REF!,$D37)=0),"SKIP",IF(COUNTIFS(#REF!,$D37,#REF!,$AR37)&gt;0,"OK","ONBEKEND")),"ONZEKER")))))</f>
        <v/>
      </c>
      <c r="AT37" t="str">
        <f t="shared" si="236"/>
        <v/>
      </c>
      <c r="AU37" t="str">
        <f t="shared" si="237"/>
        <v/>
      </c>
      <c r="AV37" t="str">
        <f t="shared" si="238"/>
        <v/>
      </c>
      <c r="AW37" t="str">
        <f t="shared" si="239"/>
        <v/>
      </c>
      <c r="AX37" t="str">
        <f t="shared" si="240"/>
        <v/>
      </c>
      <c r="AY37" t="str">
        <f t="shared" si="241"/>
        <v/>
      </c>
      <c r="AZ37" t="str">
        <f t="shared" si="242"/>
        <v/>
      </c>
      <c r="BA37" t="str">
        <f t="shared" si="243"/>
        <v/>
      </c>
      <c r="BB37" t="str">
        <f t="shared" si="244"/>
        <v/>
      </c>
      <c r="BC37" t="str">
        <f t="shared" si="245"/>
        <v/>
      </c>
      <c r="BD37" t="str">
        <f t="shared" si="32"/>
        <v/>
      </c>
      <c r="BE37" t="str">
        <f t="shared" si="33"/>
        <v/>
      </c>
      <c r="BF37" t="str">
        <f t="shared" si="34"/>
        <v/>
      </c>
      <c r="BG37" t="str">
        <f t="shared" si="35"/>
        <v/>
      </c>
      <c r="BH37" t="str">
        <f t="shared" si="36"/>
        <v/>
      </c>
      <c r="BI37" t="str">
        <f t="shared" si="37"/>
        <v/>
      </c>
      <c r="BJ37" t="str">
        <f t="shared" si="38"/>
        <v/>
      </c>
      <c r="BK37" t="str">
        <f t="shared" si="39"/>
        <v/>
      </c>
      <c r="BL37" t="str">
        <f t="shared" si="40"/>
        <v/>
      </c>
      <c r="BM37" t="str">
        <f t="shared" si="41"/>
        <v/>
      </c>
      <c r="BN37" t="str">
        <f t="shared" si="42"/>
        <v/>
      </c>
      <c r="BO37" t="str">
        <f t="shared" si="43"/>
        <v/>
      </c>
      <c r="BP37" t="str">
        <f t="shared" si="44"/>
        <v/>
      </c>
      <c r="BQ37" t="str">
        <f t="shared" si="45"/>
        <v/>
      </c>
      <c r="BR37" t="str">
        <f t="shared" si="46"/>
        <v/>
      </c>
      <c r="BS37" t="str">
        <f t="shared" si="47"/>
        <v/>
      </c>
      <c r="BT37" t="str">
        <f t="shared" si="48"/>
        <v/>
      </c>
      <c r="BU37" t="str">
        <f t="shared" si="49"/>
        <v/>
      </c>
      <c r="BV37" t="str">
        <f t="shared" si="50"/>
        <v/>
      </c>
      <c r="BW37" t="str">
        <f t="shared" si="51"/>
        <v/>
      </c>
      <c r="BX37" t="str">
        <f t="shared" si="52"/>
        <v/>
      </c>
      <c r="BY37" t="str">
        <f t="shared" si="53"/>
        <v/>
      </c>
      <c r="BZ37" t="str">
        <f t="shared" si="54"/>
        <v/>
      </c>
      <c r="CA37" t="str">
        <f t="shared" si="55"/>
        <v/>
      </c>
      <c r="CB37" t="str">
        <f t="shared" si="56"/>
        <v/>
      </c>
      <c r="CC37" t="str">
        <f t="shared" si="57"/>
        <v/>
      </c>
      <c r="CD37" t="str">
        <f t="shared" si="58"/>
        <v/>
      </c>
      <c r="CE37" t="str">
        <f t="shared" si="59"/>
        <v/>
      </c>
      <c r="CF37" t="str">
        <f t="shared" si="60"/>
        <v/>
      </c>
      <c r="CG37" t="str">
        <f t="shared" si="61"/>
        <v/>
      </c>
      <c r="CH37" t="str">
        <f t="shared" si="246"/>
        <v/>
      </c>
      <c r="CI37" t="str">
        <f t="shared" si="247"/>
        <v/>
      </c>
      <c r="CJ37" t="str">
        <f>IF($CI37="","",IF(OR($DW37="",$DX37=""),"ONZEKER",IF(OR($CF37="",$CG37=""),"ONZEKER",IF(AND($DW37=$CF37+1,$DX37=$CG37),IF(OR(COUNTIF(#REF!,$B37)&gt;0,COUNTIF(#REF!,$B37)=0),"SKIP",IF(COUNTIFS(#REF!,$B37,#REF!,$CI37)&gt;0,"OK","ONBEKEND")),IF(AND($DW37=$CF37,$DX37=$CG37+1),IF(OR(COUNTIF(#REF!,$D37)&gt;0,COUNTIF(#REF!,$D37)=0),"SKIP",IF(COUNTIFS(#REF!,$D37,#REF!,$CI37)&gt;0,"OK","ONBEKEND")),"ONZEKER")))))</f>
        <v/>
      </c>
      <c r="CK37" t="str">
        <f t="shared" si="248"/>
        <v/>
      </c>
      <c r="CL37" t="str">
        <f t="shared" si="249"/>
        <v/>
      </c>
      <c r="CM37" t="str">
        <f>IF($CL37="","",IF(OR($DZ37="",$EA37=""),"ONZEKER",IF(OR($DW37="",$DX37=""),"ONZEKER",IF(AND($DZ37=$DW37+1,$EA37=$DX37),IF(OR(COUNTIF(#REF!,$B37)&gt;0,COUNTIF(#REF!,$B37)=0),"SKIP",IF(COUNTIFS(#REF!,$B37,#REF!,$CL37)&gt;0,"OK","ONBEKEND")),IF(AND($DZ37=$DW37,$EA37=$DX37+1),IF(OR(COUNTIF(#REF!,$D37)&gt;0,COUNTIF(#REF!,$D37)=0),"SKIP",IF(COUNTIFS(#REF!,$D37,#REF!,$CL37)&gt;0,"OK","ONBEKEND")),"ONZEKER")))))</f>
        <v/>
      </c>
      <c r="CN37" t="str">
        <f t="shared" si="250"/>
        <v/>
      </c>
      <c r="CO37" t="str">
        <f t="shared" si="251"/>
        <v/>
      </c>
      <c r="CP37" t="str">
        <f>IF($CO37="","",IF(OR($EC37="",$ED37=""),"ONZEKER",IF(OR($DZ37="",$EA37=""),"ONZEKER",IF(AND($EC37=$DZ37+1,$ED37=$EA37),IF(OR(COUNTIF(#REF!,$B37)&gt;0,COUNTIF(#REF!,$B37)=0),"SKIP",IF(COUNTIFS(#REF!,$B37,#REF!,$CO37)&gt;0,"OK","ONBEKEND")),IF(AND($EC37=$DZ37,$ED37=$EA37+1),IF(OR(COUNTIF(#REF!,$D37)&gt;0,COUNTIF(#REF!,$D37)=0),"SKIP",IF(COUNTIFS(#REF!,$D37,#REF!,$CO37)&gt;0,"OK","ONBEKEND")),"ONZEKER")))))</f>
        <v/>
      </c>
      <c r="CQ37" t="str">
        <f t="shared" si="252"/>
        <v/>
      </c>
      <c r="CR37" t="str">
        <f t="shared" si="253"/>
        <v/>
      </c>
      <c r="CS37" t="str">
        <f>IF($CR37="","",IF(OR($EF37="",$EG37=""),"ONZEKER",IF(OR($EC37="",$ED37=""),"ONZEKER",IF(AND($EF37=$EC37+1,$EG37=$ED37),IF(OR(COUNTIF(#REF!,$B37)&gt;0,COUNTIF(#REF!,$B37)=0),"SKIP",IF(COUNTIFS(#REF!,$B37,#REF!,$CR37)&gt;0,"OK","ONBEKEND")),IF(AND($EF37=$EC37,$EG37=$ED37+1),IF(OR(COUNTIF(#REF!,$D37)&gt;0,COUNTIF(#REF!,$D37)=0),"SKIP",IF(COUNTIFS(#REF!,$D37,#REF!,$CR37)&gt;0,"OK","ONBEKEND")),"ONZEKER")))))</f>
        <v/>
      </c>
      <c r="CT37" t="str">
        <f t="shared" si="254"/>
        <v/>
      </c>
      <c r="CU37" t="str">
        <f t="shared" si="255"/>
        <v/>
      </c>
      <c r="CV37" t="str">
        <f>IF($CU37="","",IF(OR($EI37="",$EJ37=""),"ONZEKER",IF(OR($EF37="",$EG37=""),"ONZEKER",IF(AND($EI37=$EF37+1,$EJ37=$EG37),IF(OR(COUNTIF(#REF!,$B37)&gt;0,COUNTIF(#REF!,$B37)=0),"SKIP",IF(COUNTIFS(#REF!,$B37,#REF!,$CU37)&gt;0,"OK","ONBEKEND")),IF(AND($EI37=$EF37,$EJ37=$EG37+1),IF(OR(COUNTIF(#REF!,$D37)&gt;0,COUNTIF(#REF!,$D37)=0),"SKIP",IF(COUNTIFS(#REF!,$D37,#REF!,$CU37)&gt;0,"OK","ONBEKEND")),"ONZEKER")))))</f>
        <v/>
      </c>
      <c r="CW37" t="str">
        <f t="shared" si="256"/>
        <v/>
      </c>
      <c r="CX37" t="str">
        <f t="shared" si="257"/>
        <v/>
      </c>
      <c r="CY37" t="str">
        <f>IF($CX37="","",IF(OR($EL37="",$EM37=""),"ONZEKER",IF(OR($EI37="",$EJ37=""),"ONZEKER",IF(AND($EL37=$EI37+1,$EM37=$EJ37),IF(OR(COUNTIF(#REF!,$B37)&gt;0,COUNTIF(#REF!,$B37)=0),"SKIP",IF(COUNTIFS(#REF!,$B37,#REF!,$CX37)&gt;0,"OK","ONBEKEND")),IF(AND($EL37=$EI37,$EM37=$EJ37+1),IF(OR(COUNTIF(#REF!,$D37)&gt;0,COUNTIF(#REF!,$D37)=0),"SKIP",IF(COUNTIFS(#REF!,$D37,#REF!,$CX37)&gt;0,"OK","ONBEKEND")),"ONZEKER")))))</f>
        <v/>
      </c>
      <c r="CZ37" t="str">
        <f t="shared" si="258"/>
        <v/>
      </c>
      <c r="DA37" t="str">
        <f t="shared" si="259"/>
        <v/>
      </c>
      <c r="DB37" t="str">
        <f>IF($DA37="","",IF(OR($EO37="",$EP37=""),"ONZEKER",IF(OR($EL37="",$EM37=""),"ONZEKER",IF(AND($EO37=$EL37+1,$EP37=$EM37),IF(OR(COUNTIF(#REF!,$B37)&gt;0,COUNTIF(#REF!,$B37)=0),"SKIP",IF(COUNTIFS(#REF!,$B37,#REF!,$DA37)&gt;0,"OK","ONBEKEND")),IF(AND($EO37=$EL37,$EP37=$EM37+1),IF(OR(COUNTIF(#REF!,$D37)&gt;0,COUNTIF(#REF!,$D37)=0),"SKIP",IF(COUNTIFS(#REF!,$D37,#REF!,$DA37)&gt;0,"OK","ONBEKEND")),"ONZEKER")))))</f>
        <v/>
      </c>
      <c r="DC37" t="str">
        <f t="shared" si="260"/>
        <v/>
      </c>
      <c r="DD37" t="str">
        <f t="shared" si="261"/>
        <v/>
      </c>
      <c r="DE37" t="str">
        <f>IF($DD37="","",IF(OR($ER37="",$ES37=""),"ONZEKER",IF(OR($EO37="",$EP37=""),"ONZEKER",IF(AND($ER37=$EO37+1,$ES37=$EP37),IF(OR(COUNTIF(#REF!,$B37)&gt;0,COUNTIF(#REF!,$B37)=0),"SKIP",IF(COUNTIFS(#REF!,$B37,#REF!,$DD37)&gt;0,"OK","ONBEKEND")),IF(AND($ER37=$EO37,$ES37=$EP37+1),IF(OR(COUNTIF(#REF!,$D37)&gt;0,COUNTIF(#REF!,$D37)=0),"SKIP",IF(COUNTIFS(#REF!,$D37,#REF!,$DD37)&gt;0,"OK","ONBEKEND")),"ONZEKER")))))</f>
        <v/>
      </c>
      <c r="DF37" t="str">
        <f t="shared" si="262"/>
        <v/>
      </c>
      <c r="DG37" t="str">
        <f t="shared" si="263"/>
        <v/>
      </c>
      <c r="DH37" t="str">
        <f>IF($DG37="","",IF(OR($EU37="",$EV37=""),"ONZEKER",IF(OR($ER37="",$ES37=""),"ONZEKER",IF(AND($EU37=$ER37+1,$EV37=$ES37),IF(OR(COUNTIF(#REF!,$B37)&gt;0,COUNTIF(#REF!,$B37)=0),"SKIP",IF(COUNTIFS(#REF!,$B37,#REF!,$DG37)&gt;0,"OK","ONBEKEND")),IF(AND($EU37=$ER37,$EV37=$ES37+1),IF(OR(COUNTIF(#REF!,$D37)&gt;0,COUNTIF(#REF!,$D37)=0),"SKIP",IF(COUNTIFS(#REF!,$D37,#REF!,$DG37)&gt;0,"OK","ONBEKEND")),"ONZEKER")))))</f>
        <v/>
      </c>
      <c r="DI37" t="str">
        <f t="shared" si="264"/>
        <v/>
      </c>
      <c r="DJ37" t="str">
        <f t="shared" si="265"/>
        <v/>
      </c>
      <c r="DK37" t="str">
        <f>IF($DJ37="","",IF(OR($EX37="",$EY37=""),"ONZEKER",IF(OR($EU37="",$EV37=""),"ONZEKER",IF(AND($EX37=$EU37+1,$EY37=$EV37),IF(OR(COUNTIF(#REF!,$B37)&gt;0,COUNTIF(#REF!,$B37)=0),"SKIP",IF(COUNTIFS(#REF!,$B37,#REF!,$DJ37)&gt;0,"OK","ONBEKEND")),IF(AND($EX37=$EU37,$EY37=$EV37+1),IF(OR(COUNTIF(#REF!,$D37)&gt;0,COUNTIF(#REF!,$D37)=0),"SKIP",IF(COUNTIFS(#REF!,$D37,#REF!,$DJ37)&gt;0,"OK","ONBEKEND")),"ONZEKER")))))</f>
        <v/>
      </c>
      <c r="DL37" t="str">
        <f t="shared" si="266"/>
        <v/>
      </c>
      <c r="DM37" t="str">
        <f t="shared" si="267"/>
        <v/>
      </c>
      <c r="DN37" t="str">
        <f t="shared" si="268"/>
        <v/>
      </c>
      <c r="DO37" t="str">
        <f t="shared" si="269"/>
        <v/>
      </c>
      <c r="DP37" t="str">
        <f t="shared" si="270"/>
        <v/>
      </c>
      <c r="DQ37" t="str">
        <f t="shared" si="271"/>
        <v/>
      </c>
      <c r="DR37" t="str">
        <f t="shared" si="272"/>
        <v/>
      </c>
      <c r="DS37" t="str">
        <f t="shared" si="273"/>
        <v/>
      </c>
      <c r="DT37" t="str">
        <f t="shared" si="274"/>
        <v/>
      </c>
      <c r="DU37" t="str">
        <f t="shared" si="275"/>
        <v/>
      </c>
      <c r="DV37" t="str">
        <f t="shared" si="276"/>
        <v/>
      </c>
      <c r="DW37" t="str">
        <f t="shared" si="277"/>
        <v/>
      </c>
      <c r="DX37" t="str">
        <f t="shared" si="278"/>
        <v/>
      </c>
      <c r="DY37" t="str">
        <f t="shared" si="279"/>
        <v/>
      </c>
      <c r="DZ37" t="str">
        <f t="shared" si="280"/>
        <v/>
      </c>
      <c r="EA37" t="str">
        <f t="shared" si="281"/>
        <v/>
      </c>
      <c r="EB37" t="str">
        <f t="shared" si="282"/>
        <v/>
      </c>
      <c r="EC37" t="str">
        <f t="shared" si="283"/>
        <v/>
      </c>
      <c r="ED37" t="str">
        <f t="shared" si="284"/>
        <v/>
      </c>
      <c r="EE37" t="str">
        <f t="shared" si="285"/>
        <v/>
      </c>
      <c r="EF37" t="str">
        <f t="shared" si="286"/>
        <v/>
      </c>
      <c r="EG37" t="str">
        <f t="shared" si="287"/>
        <v/>
      </c>
      <c r="EH37" t="str">
        <f t="shared" si="288"/>
        <v/>
      </c>
      <c r="EI37" t="str">
        <f t="shared" si="289"/>
        <v/>
      </c>
      <c r="EJ37" t="str">
        <f t="shared" si="290"/>
        <v/>
      </c>
      <c r="EK37" t="str">
        <f t="shared" si="291"/>
        <v/>
      </c>
      <c r="EL37" t="str">
        <f t="shared" si="292"/>
        <v/>
      </c>
      <c r="EM37" t="str">
        <f t="shared" si="293"/>
        <v/>
      </c>
      <c r="EN37" t="str">
        <f t="shared" si="294"/>
        <v/>
      </c>
      <c r="EO37" t="str">
        <f t="shared" si="295"/>
        <v/>
      </c>
      <c r="EP37" t="str">
        <f t="shared" si="296"/>
        <v/>
      </c>
      <c r="EQ37" t="str">
        <f t="shared" si="297"/>
        <v/>
      </c>
      <c r="ER37" t="str">
        <f t="shared" si="298"/>
        <v/>
      </c>
      <c r="ES37" t="str">
        <f t="shared" si="299"/>
        <v/>
      </c>
      <c r="ET37" t="str">
        <f t="shared" si="300"/>
        <v/>
      </c>
      <c r="EU37" t="str">
        <f t="shared" si="301"/>
        <v/>
      </c>
      <c r="EV37" t="str">
        <f t="shared" si="302"/>
        <v/>
      </c>
      <c r="EW37" t="str">
        <f t="shared" si="303"/>
        <v/>
      </c>
      <c r="EX37" t="str">
        <f t="shared" si="304"/>
        <v/>
      </c>
      <c r="EY37" t="str">
        <f t="shared" si="305"/>
        <v/>
      </c>
    </row>
    <row r="38" spans="1:155" ht="13.9" customHeight="1" x14ac:dyDescent="0.25">
      <c r="M38" s="3" t="str">
        <f>IF($L38="","",IF($L38="DOELPUNTENMAKERS","",IF(AND(COUNTIF(#REF!,$B38)=0,COUNTIF(#REF!,$D38)=0),"OK",IF($O38&gt;20,"LET OP: meer dan 20 items (controle onvolledig)",IF((COUNTIF($R38:$AS38,"ONZEKER")+COUNTIF($CJ38:$DK38,"ONZEKER"))&gt;0,"LET OP: scoreverloop onduidelijk (controle beperkt)",IF((IF($AT38&lt;&gt;"",$AT38&amp;", ","")&amp;IF($AU38&lt;&gt;"",$AU38&amp;", ","")&amp;IF($AV38&lt;&gt;"",$AV38&amp;", ","")&amp;IF($AW38&lt;&gt;"",$AW38&amp;", ","")&amp;IF($AX38&lt;&gt;"",$AX38&amp;", ","")&amp;IF($AY38&lt;&gt;"",$AY38&amp;", ","")&amp;IF($AZ38&lt;&gt;"",$AZ38&amp;", ","")&amp;IF($BA38&lt;&gt;"",$BA38&amp;", ","")&amp;IF($BB38&lt;&gt;"",$BB38&amp;", ","")&amp;IF($BC38&lt;&gt;"",$BC38&amp;", ","")&amp;IF($DL38&lt;&gt;"",$DL38&amp;", ","")&amp;IF($DM38&lt;&gt;"",$DM38&amp;", ","")&amp;IF($DN38&lt;&gt;"",$DN38&amp;", ","")&amp;IF($DO38&lt;&gt;"",$DO38&amp;", ","")&amp;IF($DP38&lt;&gt;"",$DP38&amp;", ","")&amp;IF($DQ38&lt;&gt;"",$DQ38&amp;", ","")&amp;IF($DR38&lt;&gt;"",$DR38&amp;", ","")&amp;IF($DS38&lt;&gt;"",$DS38&amp;", ","")&amp;IF($DT38&lt;&gt;"",$DT38&amp;", ","")&amp;IF($DU38&lt;&gt;"",$DU38&amp;", ",""))="","OK","Onbekend: "&amp;LEFT((IF($AT38&lt;&gt;"",$AT38&amp;", ","")&amp;IF($AU38&lt;&gt;"",$AU38&amp;", ","")&amp;IF($AV38&lt;&gt;"",$AV38&amp;", ","")&amp;IF($AW38&lt;&gt;"",$AW38&amp;", ","")&amp;IF($AX38&lt;&gt;"",$AX38&amp;", ","")&amp;IF($AY38&lt;&gt;"",$AY38&amp;", ","")&amp;IF($AZ38&lt;&gt;"",$AZ38&amp;", ","")&amp;IF($BA38&lt;&gt;"",$BA38&amp;", ","")&amp;IF($BB38&lt;&gt;"",$BB38&amp;", ","")&amp;IF($BC38&lt;&gt;"",$BC38&amp;", ","")&amp;IF($DL38&lt;&gt;"",$DL38&amp;", ","")&amp;IF($DM38&lt;&gt;"",$DM38&amp;", ","")&amp;IF($DN38&lt;&gt;"",$DN38&amp;", ","")&amp;IF($DO38&lt;&gt;"",$DO38&amp;", ","")&amp;IF($DP38&lt;&gt;"",$DP38&amp;", ","")&amp;IF($DQ38&lt;&gt;"",$DQ38&amp;", ","")&amp;IF($DR38&lt;&gt;"",$DR38&amp;", ","")&amp;IF($DS38&lt;&gt;"",$DS38&amp;", ","")&amp;IF($DT38&lt;&gt;"",$DT38&amp;", ","")&amp;IF($DU38&lt;&gt;"",$DU38&amp;", ","")),LEN((IF($AT38&lt;&gt;"",$AT38&amp;", ","")&amp;IF($AU38&lt;&gt;"",$AU38&amp;", ","")&amp;IF($AV38&lt;&gt;"",$AV38&amp;", ","")&amp;IF($AW38&lt;&gt;"",$AW38&amp;", ","")&amp;IF($AX38&lt;&gt;"",$AX38&amp;", ","")&amp;IF($AY38&lt;&gt;"",$AY38&amp;", ","")&amp;IF($AZ38&lt;&gt;"",$AZ38&amp;", ","")&amp;IF($BA38&lt;&gt;"",$BA38&amp;", ","")&amp;IF($BB38&lt;&gt;"",$BB38&amp;", ","")&amp;IF($BC38&lt;&gt;"",$BC38&amp;", ","")&amp;IF($DL38&lt;&gt;"",$DL38&amp;", ","")&amp;IF($DM38&lt;&gt;"",$DM38&amp;", ","")&amp;IF($DN38&lt;&gt;"",$DN38&amp;", ","")&amp;IF($DO38&lt;&gt;"",$DO38&amp;", ","")&amp;IF($DP38&lt;&gt;"",$DP38&amp;", ","")&amp;IF($DQ38&lt;&gt;"",$DQ38&amp;", ","")&amp;IF($DR38&lt;&gt;"",$DR38&amp;", ","")&amp;IF($DS38&lt;&gt;"",$DS38&amp;", ","")&amp;IF($DT38&lt;&gt;"",$DT38&amp;", ","")&amp;IF($DU38&lt;&gt;"",$DU38&amp;", ","")))-2)))))))</f>
        <v/>
      </c>
      <c r="N38" t="str">
        <f t="shared" si="214"/>
        <v/>
      </c>
      <c r="O38" t="str">
        <f t="shared" si="215"/>
        <v/>
      </c>
      <c r="P38" t="str">
        <f t="shared" si="216"/>
        <v/>
      </c>
      <c r="Q38" t="str">
        <f t="shared" si="217"/>
        <v/>
      </c>
      <c r="R38" t="str">
        <f>IF($Q38="","",IF(OR($BE38="",$BF38=""),"ONZEKER",IF(AND($BE38=0+1,$BF38=0),IF(OR(COUNTIF(#REF!,$B38)&gt;0,COUNTIF(#REF!,$B38)=0),"SKIP",IF(COUNTIFS(#REF!,$B38,#REF!,$Q38)&gt;0,"OK","ONBEKEND")),IF(AND($BE38=0,$BF38=0+1),IF(OR(COUNTIF(#REF!,$D38)&gt;0,COUNTIF(#REF!,$D38)=0),"SKIP",IF(COUNTIFS(#REF!,$D38,#REF!,$Q38)&gt;0,"OK","ONBEKEND")),"ONZEKER"))))</f>
        <v/>
      </c>
      <c r="S38" t="str">
        <f t="shared" si="218"/>
        <v/>
      </c>
      <c r="T38" t="str">
        <f t="shared" si="219"/>
        <v/>
      </c>
      <c r="U38" t="str">
        <f>IF($T38="","",IF(OR($BH38="",$BI38=""),"ONZEKER",IF(OR($BE38="",$BF38=""),"ONZEKER",IF(AND($BH38=$BE38+1,$BI38=$BF38),IF(OR(COUNTIF(#REF!,$B38)&gt;0,COUNTIF(#REF!,$B38)=0),"SKIP",IF(COUNTIFS(#REF!,$B38,#REF!,$T38)&gt;0,"OK","ONBEKEND")),IF(AND($BH38=$BE38,$BI38=$BF38+1),IF(OR(COUNTIF(#REF!,$D38)&gt;0,COUNTIF(#REF!,$D38)=0),"SKIP",IF(COUNTIFS(#REF!,$D38,#REF!,$T38)&gt;0,"OK","ONBEKEND")),"ONZEKER")))))</f>
        <v/>
      </c>
      <c r="V38" t="str">
        <f t="shared" si="220"/>
        <v/>
      </c>
      <c r="W38" t="str">
        <f t="shared" si="221"/>
        <v/>
      </c>
      <c r="X38" t="str">
        <f>IF($W38="","",IF(OR($BK38="",$BL38=""),"ONZEKER",IF(OR($BH38="",$BI38=""),"ONZEKER",IF(AND($BK38=$BH38+1,$BL38=$BI38),IF(OR(COUNTIF(#REF!,$B38)&gt;0,COUNTIF(#REF!,$B38)=0),"SKIP",IF(COUNTIFS(#REF!,$B38,#REF!,$W38)&gt;0,"OK","ONBEKEND")),IF(AND($BK38=$BH38,$BL38=$BI38+1),IF(OR(COUNTIF(#REF!,$D38)&gt;0,COUNTIF(#REF!,$D38)=0),"SKIP",IF(COUNTIFS(#REF!,$D38,#REF!,$W38)&gt;0,"OK","ONBEKEND")),"ONZEKER")))))</f>
        <v/>
      </c>
      <c r="Y38" t="str">
        <f t="shared" si="222"/>
        <v/>
      </c>
      <c r="Z38" t="str">
        <f t="shared" si="223"/>
        <v/>
      </c>
      <c r="AA38" t="str">
        <f>IF($Z38="","",IF(OR($BN38="",$BO38=""),"ONZEKER",IF(OR($BK38="",$BL38=""),"ONZEKER",IF(AND($BN38=$BK38+1,$BO38=$BL38),IF(OR(COUNTIF(#REF!,$B38)&gt;0,COUNTIF(#REF!,$B38)=0),"SKIP",IF(COUNTIFS(#REF!,$B38,#REF!,$Z38)&gt;0,"OK","ONBEKEND")),IF(AND($BN38=$BK38,$BO38=$BL38+1),IF(OR(COUNTIF(#REF!,$D38)&gt;0,COUNTIF(#REF!,$D38)=0),"SKIP",IF(COUNTIFS(#REF!,$D38,#REF!,$Z38)&gt;0,"OK","ONBEKEND")),"ONZEKER")))))</f>
        <v/>
      </c>
      <c r="AB38" t="str">
        <f t="shared" si="224"/>
        <v/>
      </c>
      <c r="AC38" t="str">
        <f t="shared" si="225"/>
        <v/>
      </c>
      <c r="AD38" t="str">
        <f>IF($AC38="","",IF(OR($BQ38="",$BR38=""),"ONZEKER",IF(OR($BN38="",$BO38=""),"ONZEKER",IF(AND($BQ38=$BN38+1,$BR38=$BO38),IF(OR(COUNTIF(#REF!,$B38)&gt;0,COUNTIF(#REF!,$B38)=0),"SKIP",IF(COUNTIFS(#REF!,$B38,#REF!,$AC38)&gt;0,"OK","ONBEKEND")),IF(AND($BQ38=$BN38,$BR38=$BO38+1),IF(OR(COUNTIF(#REF!,$D38)&gt;0,COUNTIF(#REF!,$D38)=0),"SKIP",IF(COUNTIFS(#REF!,$D38,#REF!,$AC38)&gt;0,"OK","ONBEKEND")),"ONZEKER")))))</f>
        <v/>
      </c>
      <c r="AE38" t="str">
        <f t="shared" si="226"/>
        <v/>
      </c>
      <c r="AF38" t="str">
        <f t="shared" si="227"/>
        <v/>
      </c>
      <c r="AG38" t="str">
        <f>IF($AF38="","",IF(OR($BT38="",$BU38=""),"ONZEKER",IF(OR($BQ38="",$BR38=""),"ONZEKER",IF(AND($BT38=$BQ38+1,$BU38=$BR38),IF(OR(COUNTIF(#REF!,$B38)&gt;0,COUNTIF(#REF!,$B38)=0),"SKIP",IF(COUNTIFS(#REF!,$B38,#REF!,$AF38)&gt;0,"OK","ONBEKEND")),IF(AND($BT38=$BQ38,$BU38=$BR38+1),IF(OR(COUNTIF(#REF!,$D38)&gt;0,COUNTIF(#REF!,$D38)=0),"SKIP",IF(COUNTIFS(#REF!,$D38,#REF!,$AF38)&gt;0,"OK","ONBEKEND")),"ONZEKER")))))</f>
        <v/>
      </c>
      <c r="AH38" t="str">
        <f t="shared" si="228"/>
        <v/>
      </c>
      <c r="AI38" t="str">
        <f t="shared" si="229"/>
        <v/>
      </c>
      <c r="AJ38" t="str">
        <f>IF($AI38="","",IF(OR($BW38="",$BX38=""),"ONZEKER",IF(OR($BT38="",$BU38=""),"ONZEKER",IF(AND($BW38=$BT38+1,$BX38=$BU38),IF(OR(COUNTIF(#REF!,$B38)&gt;0,COUNTIF(#REF!,$B38)=0),"SKIP",IF(COUNTIFS(#REF!,$B38,#REF!,$AI38)&gt;0,"OK","ONBEKEND")),IF(AND($BW38=$BT38,$BX38=$BU38+1),IF(OR(COUNTIF(#REF!,$D38)&gt;0,COUNTIF(#REF!,$D38)=0),"SKIP",IF(COUNTIFS(#REF!,$D38,#REF!,$AI38)&gt;0,"OK","ONBEKEND")),"ONZEKER")))))</f>
        <v/>
      </c>
      <c r="AK38" t="str">
        <f t="shared" si="230"/>
        <v/>
      </c>
      <c r="AL38" t="str">
        <f t="shared" si="231"/>
        <v/>
      </c>
      <c r="AM38" t="str">
        <f>IF($AL38="","",IF(OR($BZ38="",$CA38=""),"ONZEKER",IF(OR($BW38="",$BX38=""),"ONZEKER",IF(AND($BZ38=$BW38+1,$CA38=$BX38),IF(OR(COUNTIF(#REF!,$B38)&gt;0,COUNTIF(#REF!,$B38)=0),"SKIP",IF(COUNTIFS(#REF!,$B38,#REF!,$AL38)&gt;0,"OK","ONBEKEND")),IF(AND($BZ38=$BW38,$CA38=$BX38+1),IF(OR(COUNTIF(#REF!,$D38)&gt;0,COUNTIF(#REF!,$D38)=0),"SKIP",IF(COUNTIFS(#REF!,$D38,#REF!,$AL38)&gt;0,"OK","ONBEKEND")),"ONZEKER")))))</f>
        <v/>
      </c>
      <c r="AN38" t="str">
        <f t="shared" si="232"/>
        <v/>
      </c>
      <c r="AO38" t="str">
        <f t="shared" si="233"/>
        <v/>
      </c>
      <c r="AP38" t="str">
        <f>IF($AO38="","",IF(OR($CC38="",$CD38=""),"ONZEKER",IF(OR($BZ38="",$CA38=""),"ONZEKER",IF(AND($CC38=$BZ38+1,$CD38=$CA38),IF(OR(COUNTIF(#REF!,$B38)&gt;0,COUNTIF(#REF!,$B38)=0),"SKIP",IF(COUNTIFS(#REF!,$B38,#REF!,$AO38)&gt;0,"OK","ONBEKEND")),IF(AND($CC38=$BZ38,$CD38=$CA38+1),IF(OR(COUNTIF(#REF!,$D38)&gt;0,COUNTIF(#REF!,$D38)=0),"SKIP",IF(COUNTIFS(#REF!,$D38,#REF!,$AO38)&gt;0,"OK","ONBEKEND")),"ONZEKER")))))</f>
        <v/>
      </c>
      <c r="AQ38" t="str">
        <f t="shared" si="234"/>
        <v/>
      </c>
      <c r="AR38" t="str">
        <f t="shared" si="235"/>
        <v/>
      </c>
      <c r="AS38" t="str">
        <f>IF($AR38="","",IF(OR($CF38="",$CG38=""),"ONZEKER",IF(OR($CC38="",$CD38=""),"ONZEKER",IF(AND($CF38=$CC38+1,$CG38=$CD38),IF(OR(COUNTIF(#REF!,$B38)&gt;0,COUNTIF(#REF!,$B38)=0),"SKIP",IF(COUNTIFS(#REF!,$B38,#REF!,$AR38)&gt;0,"OK","ONBEKEND")),IF(AND($CF38=$CC38,$CG38=$CD38+1),IF(OR(COUNTIF(#REF!,$D38)&gt;0,COUNTIF(#REF!,$D38)=0),"SKIP",IF(COUNTIFS(#REF!,$D38,#REF!,$AR38)&gt;0,"OK","ONBEKEND")),"ONZEKER")))))</f>
        <v/>
      </c>
      <c r="AT38" t="str">
        <f t="shared" si="236"/>
        <v/>
      </c>
      <c r="AU38" t="str">
        <f t="shared" si="237"/>
        <v/>
      </c>
      <c r="AV38" t="str">
        <f t="shared" si="238"/>
        <v/>
      </c>
      <c r="AW38" t="str">
        <f t="shared" si="239"/>
        <v/>
      </c>
      <c r="AX38" t="str">
        <f t="shared" si="240"/>
        <v/>
      </c>
      <c r="AY38" t="str">
        <f t="shared" si="241"/>
        <v/>
      </c>
      <c r="AZ38" t="str">
        <f t="shared" si="242"/>
        <v/>
      </c>
      <c r="BA38" t="str">
        <f t="shared" si="243"/>
        <v/>
      </c>
      <c r="BB38" t="str">
        <f t="shared" si="244"/>
        <v/>
      </c>
      <c r="BC38" t="str">
        <f t="shared" si="245"/>
        <v/>
      </c>
      <c r="BD38" t="str">
        <f t="shared" si="32"/>
        <v/>
      </c>
      <c r="BE38" t="str">
        <f t="shared" si="33"/>
        <v/>
      </c>
      <c r="BF38" t="str">
        <f t="shared" si="34"/>
        <v/>
      </c>
      <c r="BG38" t="str">
        <f t="shared" si="35"/>
        <v/>
      </c>
      <c r="BH38" t="str">
        <f t="shared" si="36"/>
        <v/>
      </c>
      <c r="BI38" t="str">
        <f t="shared" si="37"/>
        <v/>
      </c>
      <c r="BJ38" t="str">
        <f t="shared" si="38"/>
        <v/>
      </c>
      <c r="BK38" t="str">
        <f t="shared" si="39"/>
        <v/>
      </c>
      <c r="BL38" t="str">
        <f t="shared" si="40"/>
        <v/>
      </c>
      <c r="BM38" t="str">
        <f t="shared" si="41"/>
        <v/>
      </c>
      <c r="BN38" t="str">
        <f t="shared" si="42"/>
        <v/>
      </c>
      <c r="BO38" t="str">
        <f t="shared" si="43"/>
        <v/>
      </c>
      <c r="BP38" t="str">
        <f t="shared" si="44"/>
        <v/>
      </c>
      <c r="BQ38" t="str">
        <f t="shared" si="45"/>
        <v/>
      </c>
      <c r="BR38" t="str">
        <f t="shared" si="46"/>
        <v/>
      </c>
      <c r="BS38" t="str">
        <f t="shared" si="47"/>
        <v/>
      </c>
      <c r="BT38" t="str">
        <f t="shared" si="48"/>
        <v/>
      </c>
      <c r="BU38" t="str">
        <f t="shared" si="49"/>
        <v/>
      </c>
      <c r="BV38" t="str">
        <f t="shared" si="50"/>
        <v/>
      </c>
      <c r="BW38" t="str">
        <f t="shared" si="51"/>
        <v/>
      </c>
      <c r="BX38" t="str">
        <f t="shared" si="52"/>
        <v/>
      </c>
      <c r="BY38" t="str">
        <f t="shared" si="53"/>
        <v/>
      </c>
      <c r="BZ38" t="str">
        <f t="shared" si="54"/>
        <v/>
      </c>
      <c r="CA38" t="str">
        <f t="shared" si="55"/>
        <v/>
      </c>
      <c r="CB38" t="str">
        <f t="shared" si="56"/>
        <v/>
      </c>
      <c r="CC38" t="str">
        <f t="shared" si="57"/>
        <v/>
      </c>
      <c r="CD38" t="str">
        <f t="shared" si="58"/>
        <v/>
      </c>
      <c r="CE38" t="str">
        <f t="shared" si="59"/>
        <v/>
      </c>
      <c r="CF38" t="str">
        <f t="shared" si="60"/>
        <v/>
      </c>
      <c r="CG38" t="str">
        <f t="shared" si="61"/>
        <v/>
      </c>
      <c r="CH38" t="str">
        <f t="shared" si="246"/>
        <v/>
      </c>
      <c r="CI38" t="str">
        <f t="shared" si="247"/>
        <v/>
      </c>
      <c r="CJ38" t="str">
        <f>IF($CI38="","",IF(OR($DW38="",$DX38=""),"ONZEKER",IF(OR($CF38="",$CG38=""),"ONZEKER",IF(AND($DW38=$CF38+1,$DX38=$CG38),IF(OR(COUNTIF(#REF!,$B38)&gt;0,COUNTIF(#REF!,$B38)=0),"SKIP",IF(COUNTIFS(#REF!,$B38,#REF!,$CI38)&gt;0,"OK","ONBEKEND")),IF(AND($DW38=$CF38,$DX38=$CG38+1),IF(OR(COUNTIF(#REF!,$D38)&gt;0,COUNTIF(#REF!,$D38)=0),"SKIP",IF(COUNTIFS(#REF!,$D38,#REF!,$CI38)&gt;0,"OK","ONBEKEND")),"ONZEKER")))))</f>
        <v/>
      </c>
      <c r="CK38" t="str">
        <f t="shared" si="248"/>
        <v/>
      </c>
      <c r="CL38" t="str">
        <f t="shared" si="249"/>
        <v/>
      </c>
      <c r="CM38" t="str">
        <f>IF($CL38="","",IF(OR($DZ38="",$EA38=""),"ONZEKER",IF(OR($DW38="",$DX38=""),"ONZEKER",IF(AND($DZ38=$DW38+1,$EA38=$DX38),IF(OR(COUNTIF(#REF!,$B38)&gt;0,COUNTIF(#REF!,$B38)=0),"SKIP",IF(COUNTIFS(#REF!,$B38,#REF!,$CL38)&gt;0,"OK","ONBEKEND")),IF(AND($DZ38=$DW38,$EA38=$DX38+1),IF(OR(COUNTIF(#REF!,$D38)&gt;0,COUNTIF(#REF!,$D38)=0),"SKIP",IF(COUNTIFS(#REF!,$D38,#REF!,$CL38)&gt;0,"OK","ONBEKEND")),"ONZEKER")))))</f>
        <v/>
      </c>
      <c r="CN38" t="str">
        <f t="shared" si="250"/>
        <v/>
      </c>
      <c r="CO38" t="str">
        <f t="shared" si="251"/>
        <v/>
      </c>
      <c r="CP38" t="str">
        <f>IF($CO38="","",IF(OR($EC38="",$ED38=""),"ONZEKER",IF(OR($DZ38="",$EA38=""),"ONZEKER",IF(AND($EC38=$DZ38+1,$ED38=$EA38),IF(OR(COUNTIF(#REF!,$B38)&gt;0,COUNTIF(#REF!,$B38)=0),"SKIP",IF(COUNTIFS(#REF!,$B38,#REF!,$CO38)&gt;0,"OK","ONBEKEND")),IF(AND($EC38=$DZ38,$ED38=$EA38+1),IF(OR(COUNTIF(#REF!,$D38)&gt;0,COUNTIF(#REF!,$D38)=0),"SKIP",IF(COUNTIFS(#REF!,$D38,#REF!,$CO38)&gt;0,"OK","ONBEKEND")),"ONZEKER")))))</f>
        <v/>
      </c>
      <c r="CQ38" t="str">
        <f t="shared" si="252"/>
        <v/>
      </c>
      <c r="CR38" t="str">
        <f t="shared" si="253"/>
        <v/>
      </c>
      <c r="CS38" t="str">
        <f>IF($CR38="","",IF(OR($EF38="",$EG38=""),"ONZEKER",IF(OR($EC38="",$ED38=""),"ONZEKER",IF(AND($EF38=$EC38+1,$EG38=$ED38),IF(OR(COUNTIF(#REF!,$B38)&gt;0,COUNTIF(#REF!,$B38)=0),"SKIP",IF(COUNTIFS(#REF!,$B38,#REF!,$CR38)&gt;0,"OK","ONBEKEND")),IF(AND($EF38=$EC38,$EG38=$ED38+1),IF(OR(COUNTIF(#REF!,$D38)&gt;0,COUNTIF(#REF!,$D38)=0),"SKIP",IF(COUNTIFS(#REF!,$D38,#REF!,$CR38)&gt;0,"OK","ONBEKEND")),"ONZEKER")))))</f>
        <v/>
      </c>
      <c r="CT38" t="str">
        <f t="shared" si="254"/>
        <v/>
      </c>
      <c r="CU38" t="str">
        <f t="shared" si="255"/>
        <v/>
      </c>
      <c r="CV38" t="str">
        <f>IF($CU38="","",IF(OR($EI38="",$EJ38=""),"ONZEKER",IF(OR($EF38="",$EG38=""),"ONZEKER",IF(AND($EI38=$EF38+1,$EJ38=$EG38),IF(OR(COUNTIF(#REF!,$B38)&gt;0,COUNTIF(#REF!,$B38)=0),"SKIP",IF(COUNTIFS(#REF!,$B38,#REF!,$CU38)&gt;0,"OK","ONBEKEND")),IF(AND($EI38=$EF38,$EJ38=$EG38+1),IF(OR(COUNTIF(#REF!,$D38)&gt;0,COUNTIF(#REF!,$D38)=0),"SKIP",IF(COUNTIFS(#REF!,$D38,#REF!,$CU38)&gt;0,"OK","ONBEKEND")),"ONZEKER")))))</f>
        <v/>
      </c>
      <c r="CW38" t="str">
        <f t="shared" si="256"/>
        <v/>
      </c>
      <c r="CX38" t="str">
        <f t="shared" si="257"/>
        <v/>
      </c>
      <c r="CY38" t="str">
        <f>IF($CX38="","",IF(OR($EL38="",$EM38=""),"ONZEKER",IF(OR($EI38="",$EJ38=""),"ONZEKER",IF(AND($EL38=$EI38+1,$EM38=$EJ38),IF(OR(COUNTIF(#REF!,$B38)&gt;0,COUNTIF(#REF!,$B38)=0),"SKIP",IF(COUNTIFS(#REF!,$B38,#REF!,$CX38)&gt;0,"OK","ONBEKEND")),IF(AND($EL38=$EI38,$EM38=$EJ38+1),IF(OR(COUNTIF(#REF!,$D38)&gt;0,COUNTIF(#REF!,$D38)=0),"SKIP",IF(COUNTIFS(#REF!,$D38,#REF!,$CX38)&gt;0,"OK","ONBEKEND")),"ONZEKER")))))</f>
        <v/>
      </c>
      <c r="CZ38" t="str">
        <f t="shared" si="258"/>
        <v/>
      </c>
      <c r="DA38" t="str">
        <f t="shared" si="259"/>
        <v/>
      </c>
      <c r="DB38" t="str">
        <f>IF($DA38="","",IF(OR($EO38="",$EP38=""),"ONZEKER",IF(OR($EL38="",$EM38=""),"ONZEKER",IF(AND($EO38=$EL38+1,$EP38=$EM38),IF(OR(COUNTIF(#REF!,$B38)&gt;0,COUNTIF(#REF!,$B38)=0),"SKIP",IF(COUNTIFS(#REF!,$B38,#REF!,$DA38)&gt;0,"OK","ONBEKEND")),IF(AND($EO38=$EL38,$EP38=$EM38+1),IF(OR(COUNTIF(#REF!,$D38)&gt;0,COUNTIF(#REF!,$D38)=0),"SKIP",IF(COUNTIFS(#REF!,$D38,#REF!,$DA38)&gt;0,"OK","ONBEKEND")),"ONZEKER")))))</f>
        <v/>
      </c>
      <c r="DC38" t="str">
        <f t="shared" si="260"/>
        <v/>
      </c>
      <c r="DD38" t="str">
        <f t="shared" si="261"/>
        <v/>
      </c>
      <c r="DE38" t="str">
        <f>IF($DD38="","",IF(OR($ER38="",$ES38=""),"ONZEKER",IF(OR($EO38="",$EP38=""),"ONZEKER",IF(AND($ER38=$EO38+1,$ES38=$EP38),IF(OR(COUNTIF(#REF!,$B38)&gt;0,COUNTIF(#REF!,$B38)=0),"SKIP",IF(COUNTIFS(#REF!,$B38,#REF!,$DD38)&gt;0,"OK","ONBEKEND")),IF(AND($ER38=$EO38,$ES38=$EP38+1),IF(OR(COUNTIF(#REF!,$D38)&gt;0,COUNTIF(#REF!,$D38)=0),"SKIP",IF(COUNTIFS(#REF!,$D38,#REF!,$DD38)&gt;0,"OK","ONBEKEND")),"ONZEKER")))))</f>
        <v/>
      </c>
      <c r="DF38" t="str">
        <f t="shared" si="262"/>
        <v/>
      </c>
      <c r="DG38" t="str">
        <f t="shared" si="263"/>
        <v/>
      </c>
      <c r="DH38" t="str">
        <f>IF($DG38="","",IF(OR($EU38="",$EV38=""),"ONZEKER",IF(OR($ER38="",$ES38=""),"ONZEKER",IF(AND($EU38=$ER38+1,$EV38=$ES38),IF(OR(COUNTIF(#REF!,$B38)&gt;0,COUNTIF(#REF!,$B38)=0),"SKIP",IF(COUNTIFS(#REF!,$B38,#REF!,$DG38)&gt;0,"OK","ONBEKEND")),IF(AND($EU38=$ER38,$EV38=$ES38+1),IF(OR(COUNTIF(#REF!,$D38)&gt;0,COUNTIF(#REF!,$D38)=0),"SKIP",IF(COUNTIFS(#REF!,$D38,#REF!,$DG38)&gt;0,"OK","ONBEKEND")),"ONZEKER")))))</f>
        <v/>
      </c>
      <c r="DI38" t="str">
        <f t="shared" si="264"/>
        <v/>
      </c>
      <c r="DJ38" t="str">
        <f t="shared" si="265"/>
        <v/>
      </c>
      <c r="DK38" t="str">
        <f>IF($DJ38="","",IF(OR($EX38="",$EY38=""),"ONZEKER",IF(OR($EU38="",$EV38=""),"ONZEKER",IF(AND($EX38=$EU38+1,$EY38=$EV38),IF(OR(COUNTIF(#REF!,$B38)&gt;0,COUNTIF(#REF!,$B38)=0),"SKIP",IF(COUNTIFS(#REF!,$B38,#REF!,$DJ38)&gt;0,"OK","ONBEKEND")),IF(AND($EX38=$EU38,$EY38=$EV38+1),IF(OR(COUNTIF(#REF!,$D38)&gt;0,COUNTIF(#REF!,$D38)=0),"SKIP",IF(COUNTIFS(#REF!,$D38,#REF!,$DJ38)&gt;0,"OK","ONBEKEND")),"ONZEKER")))))</f>
        <v/>
      </c>
      <c r="DL38" t="str">
        <f t="shared" si="266"/>
        <v/>
      </c>
      <c r="DM38" t="str">
        <f t="shared" si="267"/>
        <v/>
      </c>
      <c r="DN38" t="str">
        <f t="shared" si="268"/>
        <v/>
      </c>
      <c r="DO38" t="str">
        <f t="shared" si="269"/>
        <v/>
      </c>
      <c r="DP38" t="str">
        <f t="shared" si="270"/>
        <v/>
      </c>
      <c r="DQ38" t="str">
        <f t="shared" si="271"/>
        <v/>
      </c>
      <c r="DR38" t="str">
        <f t="shared" si="272"/>
        <v/>
      </c>
      <c r="DS38" t="str">
        <f t="shared" si="273"/>
        <v/>
      </c>
      <c r="DT38" t="str">
        <f t="shared" si="274"/>
        <v/>
      </c>
      <c r="DU38" t="str">
        <f t="shared" si="275"/>
        <v/>
      </c>
      <c r="DV38" t="str">
        <f t="shared" si="276"/>
        <v/>
      </c>
      <c r="DW38" t="str">
        <f t="shared" si="277"/>
        <v/>
      </c>
      <c r="DX38" t="str">
        <f t="shared" si="278"/>
        <v/>
      </c>
      <c r="DY38" t="str">
        <f t="shared" si="279"/>
        <v/>
      </c>
      <c r="DZ38" t="str">
        <f t="shared" si="280"/>
        <v/>
      </c>
      <c r="EA38" t="str">
        <f t="shared" si="281"/>
        <v/>
      </c>
      <c r="EB38" t="str">
        <f t="shared" si="282"/>
        <v/>
      </c>
      <c r="EC38" t="str">
        <f t="shared" si="283"/>
        <v/>
      </c>
      <c r="ED38" t="str">
        <f t="shared" si="284"/>
        <v/>
      </c>
      <c r="EE38" t="str">
        <f t="shared" si="285"/>
        <v/>
      </c>
      <c r="EF38" t="str">
        <f t="shared" si="286"/>
        <v/>
      </c>
      <c r="EG38" t="str">
        <f t="shared" si="287"/>
        <v/>
      </c>
      <c r="EH38" t="str">
        <f t="shared" si="288"/>
        <v/>
      </c>
      <c r="EI38" t="str">
        <f t="shared" si="289"/>
        <v/>
      </c>
      <c r="EJ38" t="str">
        <f t="shared" si="290"/>
        <v/>
      </c>
      <c r="EK38" t="str">
        <f t="shared" si="291"/>
        <v/>
      </c>
      <c r="EL38" t="str">
        <f t="shared" si="292"/>
        <v/>
      </c>
      <c r="EM38" t="str">
        <f t="shared" si="293"/>
        <v/>
      </c>
      <c r="EN38" t="str">
        <f t="shared" si="294"/>
        <v/>
      </c>
      <c r="EO38" t="str">
        <f t="shared" si="295"/>
        <v/>
      </c>
      <c r="EP38" t="str">
        <f t="shared" si="296"/>
        <v/>
      </c>
      <c r="EQ38" t="str">
        <f t="shared" si="297"/>
        <v/>
      </c>
      <c r="ER38" t="str">
        <f t="shared" si="298"/>
        <v/>
      </c>
      <c r="ES38" t="str">
        <f t="shared" si="299"/>
        <v/>
      </c>
      <c r="ET38" t="str">
        <f t="shared" si="300"/>
        <v/>
      </c>
      <c r="EU38" t="str">
        <f t="shared" si="301"/>
        <v/>
      </c>
      <c r="EV38" t="str">
        <f t="shared" si="302"/>
        <v/>
      </c>
      <c r="EW38" t="str">
        <f t="shared" si="303"/>
        <v/>
      </c>
      <c r="EX38" t="str">
        <f t="shared" si="304"/>
        <v/>
      </c>
      <c r="EY38" t="str">
        <f t="shared" si="305"/>
        <v/>
      </c>
    </row>
    <row r="39" spans="1:155" ht="13.9" customHeight="1" x14ac:dyDescent="0.25">
      <c r="M39" s="3" t="str">
        <f>IF($L39="","",IF($L39="DOELPUNTENMAKERS","",IF(AND(COUNTIF(#REF!,$B39)=0,COUNTIF(#REF!,$D39)=0),"OK",IF($O39&gt;20,"LET OP: meer dan 20 items (controle onvolledig)",IF((COUNTIF($R39:$AS39,"ONZEKER")+COUNTIF($CJ39:$DK39,"ONZEKER"))&gt;0,"LET OP: scoreverloop onduidelijk (controle beperkt)",IF((IF($AT39&lt;&gt;"",$AT39&amp;", ","")&amp;IF($AU39&lt;&gt;"",$AU39&amp;", ","")&amp;IF($AV39&lt;&gt;"",$AV39&amp;", ","")&amp;IF($AW39&lt;&gt;"",$AW39&amp;", ","")&amp;IF($AX39&lt;&gt;"",$AX39&amp;", ","")&amp;IF($AY39&lt;&gt;"",$AY39&amp;", ","")&amp;IF($AZ39&lt;&gt;"",$AZ39&amp;", ","")&amp;IF($BA39&lt;&gt;"",$BA39&amp;", ","")&amp;IF($BB39&lt;&gt;"",$BB39&amp;", ","")&amp;IF($BC39&lt;&gt;"",$BC39&amp;", ","")&amp;IF($DL39&lt;&gt;"",$DL39&amp;", ","")&amp;IF($DM39&lt;&gt;"",$DM39&amp;", ","")&amp;IF($DN39&lt;&gt;"",$DN39&amp;", ","")&amp;IF($DO39&lt;&gt;"",$DO39&amp;", ","")&amp;IF($DP39&lt;&gt;"",$DP39&amp;", ","")&amp;IF($DQ39&lt;&gt;"",$DQ39&amp;", ","")&amp;IF($DR39&lt;&gt;"",$DR39&amp;", ","")&amp;IF($DS39&lt;&gt;"",$DS39&amp;", ","")&amp;IF($DT39&lt;&gt;"",$DT39&amp;", ","")&amp;IF($DU39&lt;&gt;"",$DU39&amp;", ",""))="","OK","Onbekend: "&amp;LEFT((IF($AT39&lt;&gt;"",$AT39&amp;", ","")&amp;IF($AU39&lt;&gt;"",$AU39&amp;", ","")&amp;IF($AV39&lt;&gt;"",$AV39&amp;", ","")&amp;IF($AW39&lt;&gt;"",$AW39&amp;", ","")&amp;IF($AX39&lt;&gt;"",$AX39&amp;", ","")&amp;IF($AY39&lt;&gt;"",$AY39&amp;", ","")&amp;IF($AZ39&lt;&gt;"",$AZ39&amp;", ","")&amp;IF($BA39&lt;&gt;"",$BA39&amp;", ","")&amp;IF($BB39&lt;&gt;"",$BB39&amp;", ","")&amp;IF($BC39&lt;&gt;"",$BC39&amp;", ","")&amp;IF($DL39&lt;&gt;"",$DL39&amp;", ","")&amp;IF($DM39&lt;&gt;"",$DM39&amp;", ","")&amp;IF($DN39&lt;&gt;"",$DN39&amp;", ","")&amp;IF($DO39&lt;&gt;"",$DO39&amp;", ","")&amp;IF($DP39&lt;&gt;"",$DP39&amp;", ","")&amp;IF($DQ39&lt;&gt;"",$DQ39&amp;", ","")&amp;IF($DR39&lt;&gt;"",$DR39&amp;", ","")&amp;IF($DS39&lt;&gt;"",$DS39&amp;", ","")&amp;IF($DT39&lt;&gt;"",$DT39&amp;", ","")&amp;IF($DU39&lt;&gt;"",$DU39&amp;", ","")),LEN((IF($AT39&lt;&gt;"",$AT39&amp;", ","")&amp;IF($AU39&lt;&gt;"",$AU39&amp;", ","")&amp;IF($AV39&lt;&gt;"",$AV39&amp;", ","")&amp;IF($AW39&lt;&gt;"",$AW39&amp;", ","")&amp;IF($AX39&lt;&gt;"",$AX39&amp;", ","")&amp;IF($AY39&lt;&gt;"",$AY39&amp;", ","")&amp;IF($AZ39&lt;&gt;"",$AZ39&amp;", ","")&amp;IF($BA39&lt;&gt;"",$BA39&amp;", ","")&amp;IF($BB39&lt;&gt;"",$BB39&amp;", ","")&amp;IF($BC39&lt;&gt;"",$BC39&amp;", ","")&amp;IF($DL39&lt;&gt;"",$DL39&amp;", ","")&amp;IF($DM39&lt;&gt;"",$DM39&amp;", ","")&amp;IF($DN39&lt;&gt;"",$DN39&amp;", ","")&amp;IF($DO39&lt;&gt;"",$DO39&amp;", ","")&amp;IF($DP39&lt;&gt;"",$DP39&amp;", ","")&amp;IF($DQ39&lt;&gt;"",$DQ39&amp;", ","")&amp;IF($DR39&lt;&gt;"",$DR39&amp;", ","")&amp;IF($DS39&lt;&gt;"",$DS39&amp;", ","")&amp;IF($DT39&lt;&gt;"",$DT39&amp;", ","")&amp;IF($DU39&lt;&gt;"",$DU39&amp;", ","")))-2)))))))</f>
        <v/>
      </c>
      <c r="N39" t="str">
        <f t="shared" si="214"/>
        <v/>
      </c>
      <c r="O39" t="str">
        <f t="shared" si="215"/>
        <v/>
      </c>
      <c r="P39" t="str">
        <f t="shared" si="216"/>
        <v/>
      </c>
      <c r="Q39" t="str">
        <f t="shared" si="217"/>
        <v/>
      </c>
      <c r="R39" t="str">
        <f>IF($Q39="","",IF(OR($BE39="",$BF39=""),"ONZEKER",IF(AND($BE39=0+1,$BF39=0),IF(OR(COUNTIF(#REF!,$B39)&gt;0,COUNTIF(#REF!,$B39)=0),"SKIP",IF(COUNTIFS(#REF!,$B39,#REF!,$Q39)&gt;0,"OK","ONBEKEND")),IF(AND($BE39=0,$BF39=0+1),IF(OR(COUNTIF(#REF!,$D39)&gt;0,COUNTIF(#REF!,$D39)=0),"SKIP",IF(COUNTIFS(#REF!,$D39,#REF!,$Q39)&gt;0,"OK","ONBEKEND")),"ONZEKER"))))</f>
        <v/>
      </c>
      <c r="S39" t="str">
        <f t="shared" si="218"/>
        <v/>
      </c>
      <c r="T39" t="str">
        <f t="shared" si="219"/>
        <v/>
      </c>
      <c r="U39" t="str">
        <f>IF($T39="","",IF(OR($BH39="",$BI39=""),"ONZEKER",IF(OR($BE39="",$BF39=""),"ONZEKER",IF(AND($BH39=$BE39+1,$BI39=$BF39),IF(OR(COUNTIF(#REF!,$B39)&gt;0,COUNTIF(#REF!,$B39)=0),"SKIP",IF(COUNTIFS(#REF!,$B39,#REF!,$T39)&gt;0,"OK","ONBEKEND")),IF(AND($BH39=$BE39,$BI39=$BF39+1),IF(OR(COUNTIF(#REF!,$D39)&gt;0,COUNTIF(#REF!,$D39)=0),"SKIP",IF(COUNTIFS(#REF!,$D39,#REF!,$T39)&gt;0,"OK","ONBEKEND")),"ONZEKER")))))</f>
        <v/>
      </c>
      <c r="V39" t="str">
        <f t="shared" si="220"/>
        <v/>
      </c>
      <c r="W39" t="str">
        <f t="shared" si="221"/>
        <v/>
      </c>
      <c r="X39" t="str">
        <f>IF($W39="","",IF(OR($BK39="",$BL39=""),"ONZEKER",IF(OR($BH39="",$BI39=""),"ONZEKER",IF(AND($BK39=$BH39+1,$BL39=$BI39),IF(OR(COUNTIF(#REF!,$B39)&gt;0,COUNTIF(#REF!,$B39)=0),"SKIP",IF(COUNTIFS(#REF!,$B39,#REF!,$W39)&gt;0,"OK","ONBEKEND")),IF(AND($BK39=$BH39,$BL39=$BI39+1),IF(OR(COUNTIF(#REF!,$D39)&gt;0,COUNTIF(#REF!,$D39)=0),"SKIP",IF(COUNTIFS(#REF!,$D39,#REF!,$W39)&gt;0,"OK","ONBEKEND")),"ONZEKER")))))</f>
        <v/>
      </c>
      <c r="Y39" t="str">
        <f t="shared" si="222"/>
        <v/>
      </c>
      <c r="Z39" t="str">
        <f t="shared" si="223"/>
        <v/>
      </c>
      <c r="AA39" t="str">
        <f>IF($Z39="","",IF(OR($BN39="",$BO39=""),"ONZEKER",IF(OR($BK39="",$BL39=""),"ONZEKER",IF(AND($BN39=$BK39+1,$BO39=$BL39),IF(OR(COUNTIF(#REF!,$B39)&gt;0,COUNTIF(#REF!,$B39)=0),"SKIP",IF(COUNTIFS(#REF!,$B39,#REF!,$Z39)&gt;0,"OK","ONBEKEND")),IF(AND($BN39=$BK39,$BO39=$BL39+1),IF(OR(COUNTIF(#REF!,$D39)&gt;0,COUNTIF(#REF!,$D39)=0),"SKIP",IF(COUNTIFS(#REF!,$D39,#REF!,$Z39)&gt;0,"OK","ONBEKEND")),"ONZEKER")))))</f>
        <v/>
      </c>
      <c r="AB39" t="str">
        <f t="shared" si="224"/>
        <v/>
      </c>
      <c r="AC39" t="str">
        <f t="shared" si="225"/>
        <v/>
      </c>
      <c r="AD39" t="str">
        <f>IF($AC39="","",IF(OR($BQ39="",$BR39=""),"ONZEKER",IF(OR($BN39="",$BO39=""),"ONZEKER",IF(AND($BQ39=$BN39+1,$BR39=$BO39),IF(OR(COUNTIF(#REF!,$B39)&gt;0,COUNTIF(#REF!,$B39)=0),"SKIP",IF(COUNTIFS(#REF!,$B39,#REF!,$AC39)&gt;0,"OK","ONBEKEND")),IF(AND($BQ39=$BN39,$BR39=$BO39+1),IF(OR(COUNTIF(#REF!,$D39)&gt;0,COUNTIF(#REF!,$D39)=0),"SKIP",IF(COUNTIFS(#REF!,$D39,#REF!,$AC39)&gt;0,"OK","ONBEKEND")),"ONZEKER")))))</f>
        <v/>
      </c>
      <c r="AE39" t="str">
        <f t="shared" si="226"/>
        <v/>
      </c>
      <c r="AF39" t="str">
        <f t="shared" si="227"/>
        <v/>
      </c>
      <c r="AG39" t="str">
        <f>IF($AF39="","",IF(OR($BT39="",$BU39=""),"ONZEKER",IF(OR($BQ39="",$BR39=""),"ONZEKER",IF(AND($BT39=$BQ39+1,$BU39=$BR39),IF(OR(COUNTIF(#REF!,$B39)&gt;0,COUNTIF(#REF!,$B39)=0),"SKIP",IF(COUNTIFS(#REF!,$B39,#REF!,$AF39)&gt;0,"OK","ONBEKEND")),IF(AND($BT39=$BQ39,$BU39=$BR39+1),IF(OR(COUNTIF(#REF!,$D39)&gt;0,COUNTIF(#REF!,$D39)=0),"SKIP",IF(COUNTIFS(#REF!,$D39,#REF!,$AF39)&gt;0,"OK","ONBEKEND")),"ONZEKER")))))</f>
        <v/>
      </c>
      <c r="AH39" t="str">
        <f t="shared" si="228"/>
        <v/>
      </c>
      <c r="AI39" t="str">
        <f t="shared" si="229"/>
        <v/>
      </c>
      <c r="AJ39" t="str">
        <f>IF($AI39="","",IF(OR($BW39="",$BX39=""),"ONZEKER",IF(OR($BT39="",$BU39=""),"ONZEKER",IF(AND($BW39=$BT39+1,$BX39=$BU39),IF(OR(COUNTIF(#REF!,$B39)&gt;0,COUNTIF(#REF!,$B39)=0),"SKIP",IF(COUNTIFS(#REF!,$B39,#REF!,$AI39)&gt;0,"OK","ONBEKEND")),IF(AND($BW39=$BT39,$BX39=$BU39+1),IF(OR(COUNTIF(#REF!,$D39)&gt;0,COUNTIF(#REF!,$D39)=0),"SKIP",IF(COUNTIFS(#REF!,$D39,#REF!,$AI39)&gt;0,"OK","ONBEKEND")),"ONZEKER")))))</f>
        <v/>
      </c>
      <c r="AK39" t="str">
        <f t="shared" si="230"/>
        <v/>
      </c>
      <c r="AL39" t="str">
        <f t="shared" si="231"/>
        <v/>
      </c>
      <c r="AM39" t="str">
        <f>IF($AL39="","",IF(OR($BZ39="",$CA39=""),"ONZEKER",IF(OR($BW39="",$BX39=""),"ONZEKER",IF(AND($BZ39=$BW39+1,$CA39=$BX39),IF(OR(COUNTIF(#REF!,$B39)&gt;0,COUNTIF(#REF!,$B39)=0),"SKIP",IF(COUNTIFS(#REF!,$B39,#REF!,$AL39)&gt;0,"OK","ONBEKEND")),IF(AND($BZ39=$BW39,$CA39=$BX39+1),IF(OR(COUNTIF(#REF!,$D39)&gt;0,COUNTIF(#REF!,$D39)=0),"SKIP",IF(COUNTIFS(#REF!,$D39,#REF!,$AL39)&gt;0,"OK","ONBEKEND")),"ONZEKER")))))</f>
        <v/>
      </c>
      <c r="AN39" t="str">
        <f t="shared" si="232"/>
        <v/>
      </c>
      <c r="AO39" t="str">
        <f t="shared" si="233"/>
        <v/>
      </c>
      <c r="AP39" t="str">
        <f>IF($AO39="","",IF(OR($CC39="",$CD39=""),"ONZEKER",IF(OR($BZ39="",$CA39=""),"ONZEKER",IF(AND($CC39=$BZ39+1,$CD39=$CA39),IF(OR(COUNTIF(#REF!,$B39)&gt;0,COUNTIF(#REF!,$B39)=0),"SKIP",IF(COUNTIFS(#REF!,$B39,#REF!,$AO39)&gt;0,"OK","ONBEKEND")),IF(AND($CC39=$BZ39,$CD39=$CA39+1),IF(OR(COUNTIF(#REF!,$D39)&gt;0,COUNTIF(#REF!,$D39)=0),"SKIP",IF(COUNTIFS(#REF!,$D39,#REF!,$AO39)&gt;0,"OK","ONBEKEND")),"ONZEKER")))))</f>
        <v/>
      </c>
      <c r="AQ39" t="str">
        <f t="shared" si="234"/>
        <v/>
      </c>
      <c r="AR39" t="str">
        <f t="shared" si="235"/>
        <v/>
      </c>
      <c r="AS39" t="str">
        <f>IF($AR39="","",IF(OR($CF39="",$CG39=""),"ONZEKER",IF(OR($CC39="",$CD39=""),"ONZEKER",IF(AND($CF39=$CC39+1,$CG39=$CD39),IF(OR(COUNTIF(#REF!,$B39)&gt;0,COUNTIF(#REF!,$B39)=0),"SKIP",IF(COUNTIFS(#REF!,$B39,#REF!,$AR39)&gt;0,"OK","ONBEKEND")),IF(AND($CF39=$CC39,$CG39=$CD39+1),IF(OR(COUNTIF(#REF!,$D39)&gt;0,COUNTIF(#REF!,$D39)=0),"SKIP",IF(COUNTIFS(#REF!,$D39,#REF!,$AR39)&gt;0,"OK","ONBEKEND")),"ONZEKER")))))</f>
        <v/>
      </c>
      <c r="AT39" t="str">
        <f t="shared" si="236"/>
        <v/>
      </c>
      <c r="AU39" t="str">
        <f t="shared" si="237"/>
        <v/>
      </c>
      <c r="AV39" t="str">
        <f t="shared" si="238"/>
        <v/>
      </c>
      <c r="AW39" t="str">
        <f t="shared" si="239"/>
        <v/>
      </c>
      <c r="AX39" t="str">
        <f t="shared" si="240"/>
        <v/>
      </c>
      <c r="AY39" t="str">
        <f t="shared" si="241"/>
        <v/>
      </c>
      <c r="AZ39" t="str">
        <f t="shared" si="242"/>
        <v/>
      </c>
      <c r="BA39" t="str">
        <f t="shared" si="243"/>
        <v/>
      </c>
      <c r="BB39" t="str">
        <f t="shared" si="244"/>
        <v/>
      </c>
      <c r="BC39" t="str">
        <f t="shared" si="245"/>
        <v/>
      </c>
      <c r="BD39" t="str">
        <f t="shared" si="32"/>
        <v/>
      </c>
      <c r="BE39" t="str">
        <f t="shared" si="33"/>
        <v/>
      </c>
      <c r="BF39" t="str">
        <f t="shared" si="34"/>
        <v/>
      </c>
      <c r="BG39" t="str">
        <f t="shared" si="35"/>
        <v/>
      </c>
      <c r="BH39" t="str">
        <f t="shared" si="36"/>
        <v/>
      </c>
      <c r="BI39" t="str">
        <f t="shared" si="37"/>
        <v/>
      </c>
      <c r="BJ39" t="str">
        <f t="shared" si="38"/>
        <v/>
      </c>
      <c r="BK39" t="str">
        <f t="shared" si="39"/>
        <v/>
      </c>
      <c r="BL39" t="str">
        <f t="shared" si="40"/>
        <v/>
      </c>
      <c r="BM39" t="str">
        <f t="shared" si="41"/>
        <v/>
      </c>
      <c r="BN39" t="str">
        <f t="shared" si="42"/>
        <v/>
      </c>
      <c r="BO39" t="str">
        <f t="shared" si="43"/>
        <v/>
      </c>
      <c r="BP39" t="str">
        <f t="shared" si="44"/>
        <v/>
      </c>
      <c r="BQ39" t="str">
        <f t="shared" si="45"/>
        <v/>
      </c>
      <c r="BR39" t="str">
        <f t="shared" si="46"/>
        <v/>
      </c>
      <c r="BS39" t="str">
        <f t="shared" si="47"/>
        <v/>
      </c>
      <c r="BT39" t="str">
        <f t="shared" si="48"/>
        <v/>
      </c>
      <c r="BU39" t="str">
        <f t="shared" si="49"/>
        <v/>
      </c>
      <c r="BV39" t="str">
        <f t="shared" si="50"/>
        <v/>
      </c>
      <c r="BW39" t="str">
        <f t="shared" si="51"/>
        <v/>
      </c>
      <c r="BX39" t="str">
        <f t="shared" si="52"/>
        <v/>
      </c>
      <c r="BY39" t="str">
        <f t="shared" si="53"/>
        <v/>
      </c>
      <c r="BZ39" t="str">
        <f t="shared" si="54"/>
        <v/>
      </c>
      <c r="CA39" t="str">
        <f t="shared" si="55"/>
        <v/>
      </c>
      <c r="CB39" t="str">
        <f t="shared" si="56"/>
        <v/>
      </c>
      <c r="CC39" t="str">
        <f t="shared" si="57"/>
        <v/>
      </c>
      <c r="CD39" t="str">
        <f t="shared" si="58"/>
        <v/>
      </c>
      <c r="CE39" t="str">
        <f t="shared" si="59"/>
        <v/>
      </c>
      <c r="CF39" t="str">
        <f t="shared" si="60"/>
        <v/>
      </c>
      <c r="CG39" t="str">
        <f t="shared" si="61"/>
        <v/>
      </c>
      <c r="CH39" t="str">
        <f t="shared" si="246"/>
        <v/>
      </c>
      <c r="CI39" t="str">
        <f t="shared" si="247"/>
        <v/>
      </c>
      <c r="CJ39" t="str">
        <f>IF($CI39="","",IF(OR($DW39="",$DX39=""),"ONZEKER",IF(OR($CF39="",$CG39=""),"ONZEKER",IF(AND($DW39=$CF39+1,$DX39=$CG39),IF(OR(COUNTIF(#REF!,$B39)&gt;0,COUNTIF(#REF!,$B39)=0),"SKIP",IF(COUNTIFS(#REF!,$B39,#REF!,$CI39)&gt;0,"OK","ONBEKEND")),IF(AND($DW39=$CF39,$DX39=$CG39+1),IF(OR(COUNTIF(#REF!,$D39)&gt;0,COUNTIF(#REF!,$D39)=0),"SKIP",IF(COUNTIFS(#REF!,$D39,#REF!,$CI39)&gt;0,"OK","ONBEKEND")),"ONZEKER")))))</f>
        <v/>
      </c>
      <c r="CK39" t="str">
        <f t="shared" si="248"/>
        <v/>
      </c>
      <c r="CL39" t="str">
        <f t="shared" si="249"/>
        <v/>
      </c>
      <c r="CM39" t="str">
        <f>IF($CL39="","",IF(OR($DZ39="",$EA39=""),"ONZEKER",IF(OR($DW39="",$DX39=""),"ONZEKER",IF(AND($DZ39=$DW39+1,$EA39=$DX39),IF(OR(COUNTIF(#REF!,$B39)&gt;0,COUNTIF(#REF!,$B39)=0),"SKIP",IF(COUNTIFS(#REF!,$B39,#REF!,$CL39)&gt;0,"OK","ONBEKEND")),IF(AND($DZ39=$DW39,$EA39=$DX39+1),IF(OR(COUNTIF(#REF!,$D39)&gt;0,COUNTIF(#REF!,$D39)=0),"SKIP",IF(COUNTIFS(#REF!,$D39,#REF!,$CL39)&gt;0,"OK","ONBEKEND")),"ONZEKER")))))</f>
        <v/>
      </c>
      <c r="CN39" t="str">
        <f t="shared" si="250"/>
        <v/>
      </c>
      <c r="CO39" t="str">
        <f t="shared" si="251"/>
        <v/>
      </c>
      <c r="CP39" t="str">
        <f>IF($CO39="","",IF(OR($EC39="",$ED39=""),"ONZEKER",IF(OR($DZ39="",$EA39=""),"ONZEKER",IF(AND($EC39=$DZ39+1,$ED39=$EA39),IF(OR(COUNTIF(#REF!,$B39)&gt;0,COUNTIF(#REF!,$B39)=0),"SKIP",IF(COUNTIFS(#REF!,$B39,#REF!,$CO39)&gt;0,"OK","ONBEKEND")),IF(AND($EC39=$DZ39,$ED39=$EA39+1),IF(OR(COUNTIF(#REF!,$D39)&gt;0,COUNTIF(#REF!,$D39)=0),"SKIP",IF(COUNTIFS(#REF!,$D39,#REF!,$CO39)&gt;0,"OK","ONBEKEND")),"ONZEKER")))))</f>
        <v/>
      </c>
      <c r="CQ39" t="str">
        <f t="shared" si="252"/>
        <v/>
      </c>
      <c r="CR39" t="str">
        <f t="shared" si="253"/>
        <v/>
      </c>
      <c r="CS39" t="str">
        <f>IF($CR39="","",IF(OR($EF39="",$EG39=""),"ONZEKER",IF(OR($EC39="",$ED39=""),"ONZEKER",IF(AND($EF39=$EC39+1,$EG39=$ED39),IF(OR(COUNTIF(#REF!,$B39)&gt;0,COUNTIF(#REF!,$B39)=0),"SKIP",IF(COUNTIFS(#REF!,$B39,#REF!,$CR39)&gt;0,"OK","ONBEKEND")),IF(AND($EF39=$EC39,$EG39=$ED39+1),IF(OR(COUNTIF(#REF!,$D39)&gt;0,COUNTIF(#REF!,$D39)=0),"SKIP",IF(COUNTIFS(#REF!,$D39,#REF!,$CR39)&gt;0,"OK","ONBEKEND")),"ONZEKER")))))</f>
        <v/>
      </c>
      <c r="CT39" t="str">
        <f t="shared" si="254"/>
        <v/>
      </c>
      <c r="CU39" t="str">
        <f t="shared" si="255"/>
        <v/>
      </c>
      <c r="CV39" t="str">
        <f>IF($CU39="","",IF(OR($EI39="",$EJ39=""),"ONZEKER",IF(OR($EF39="",$EG39=""),"ONZEKER",IF(AND($EI39=$EF39+1,$EJ39=$EG39),IF(OR(COUNTIF(#REF!,$B39)&gt;0,COUNTIF(#REF!,$B39)=0),"SKIP",IF(COUNTIFS(#REF!,$B39,#REF!,$CU39)&gt;0,"OK","ONBEKEND")),IF(AND($EI39=$EF39,$EJ39=$EG39+1),IF(OR(COUNTIF(#REF!,$D39)&gt;0,COUNTIF(#REF!,$D39)=0),"SKIP",IF(COUNTIFS(#REF!,$D39,#REF!,$CU39)&gt;0,"OK","ONBEKEND")),"ONZEKER")))))</f>
        <v/>
      </c>
      <c r="CW39" t="str">
        <f t="shared" si="256"/>
        <v/>
      </c>
      <c r="CX39" t="str">
        <f t="shared" si="257"/>
        <v/>
      </c>
      <c r="CY39" t="str">
        <f>IF($CX39="","",IF(OR($EL39="",$EM39=""),"ONZEKER",IF(OR($EI39="",$EJ39=""),"ONZEKER",IF(AND($EL39=$EI39+1,$EM39=$EJ39),IF(OR(COUNTIF(#REF!,$B39)&gt;0,COUNTIF(#REF!,$B39)=0),"SKIP",IF(COUNTIFS(#REF!,$B39,#REF!,$CX39)&gt;0,"OK","ONBEKEND")),IF(AND($EL39=$EI39,$EM39=$EJ39+1),IF(OR(COUNTIF(#REF!,$D39)&gt;0,COUNTIF(#REF!,$D39)=0),"SKIP",IF(COUNTIFS(#REF!,$D39,#REF!,$CX39)&gt;0,"OK","ONBEKEND")),"ONZEKER")))))</f>
        <v/>
      </c>
      <c r="CZ39" t="str">
        <f t="shared" si="258"/>
        <v/>
      </c>
      <c r="DA39" t="str">
        <f t="shared" si="259"/>
        <v/>
      </c>
      <c r="DB39" t="str">
        <f>IF($DA39="","",IF(OR($EO39="",$EP39=""),"ONZEKER",IF(OR($EL39="",$EM39=""),"ONZEKER",IF(AND($EO39=$EL39+1,$EP39=$EM39),IF(OR(COUNTIF(#REF!,$B39)&gt;0,COUNTIF(#REF!,$B39)=0),"SKIP",IF(COUNTIFS(#REF!,$B39,#REF!,$DA39)&gt;0,"OK","ONBEKEND")),IF(AND($EO39=$EL39,$EP39=$EM39+1),IF(OR(COUNTIF(#REF!,$D39)&gt;0,COUNTIF(#REF!,$D39)=0),"SKIP",IF(COUNTIFS(#REF!,$D39,#REF!,$DA39)&gt;0,"OK","ONBEKEND")),"ONZEKER")))))</f>
        <v/>
      </c>
      <c r="DC39" t="str">
        <f t="shared" si="260"/>
        <v/>
      </c>
      <c r="DD39" t="str">
        <f t="shared" si="261"/>
        <v/>
      </c>
      <c r="DE39" t="str">
        <f>IF($DD39="","",IF(OR($ER39="",$ES39=""),"ONZEKER",IF(OR($EO39="",$EP39=""),"ONZEKER",IF(AND($ER39=$EO39+1,$ES39=$EP39),IF(OR(COUNTIF(#REF!,$B39)&gt;0,COUNTIF(#REF!,$B39)=0),"SKIP",IF(COUNTIFS(#REF!,$B39,#REF!,$DD39)&gt;0,"OK","ONBEKEND")),IF(AND($ER39=$EO39,$ES39=$EP39+1),IF(OR(COUNTIF(#REF!,$D39)&gt;0,COUNTIF(#REF!,$D39)=0),"SKIP",IF(COUNTIFS(#REF!,$D39,#REF!,$DD39)&gt;0,"OK","ONBEKEND")),"ONZEKER")))))</f>
        <v/>
      </c>
      <c r="DF39" t="str">
        <f t="shared" si="262"/>
        <v/>
      </c>
      <c r="DG39" t="str">
        <f t="shared" si="263"/>
        <v/>
      </c>
      <c r="DH39" t="str">
        <f>IF($DG39="","",IF(OR($EU39="",$EV39=""),"ONZEKER",IF(OR($ER39="",$ES39=""),"ONZEKER",IF(AND($EU39=$ER39+1,$EV39=$ES39),IF(OR(COUNTIF(#REF!,$B39)&gt;0,COUNTIF(#REF!,$B39)=0),"SKIP",IF(COUNTIFS(#REF!,$B39,#REF!,$DG39)&gt;0,"OK","ONBEKEND")),IF(AND($EU39=$ER39,$EV39=$ES39+1),IF(OR(COUNTIF(#REF!,$D39)&gt;0,COUNTIF(#REF!,$D39)=0),"SKIP",IF(COUNTIFS(#REF!,$D39,#REF!,$DG39)&gt;0,"OK","ONBEKEND")),"ONZEKER")))))</f>
        <v/>
      </c>
      <c r="DI39" t="str">
        <f t="shared" si="264"/>
        <v/>
      </c>
      <c r="DJ39" t="str">
        <f t="shared" si="265"/>
        <v/>
      </c>
      <c r="DK39" t="str">
        <f>IF($DJ39="","",IF(OR($EX39="",$EY39=""),"ONZEKER",IF(OR($EU39="",$EV39=""),"ONZEKER",IF(AND($EX39=$EU39+1,$EY39=$EV39),IF(OR(COUNTIF(#REF!,$B39)&gt;0,COUNTIF(#REF!,$B39)=0),"SKIP",IF(COUNTIFS(#REF!,$B39,#REF!,$DJ39)&gt;0,"OK","ONBEKEND")),IF(AND($EX39=$EU39,$EY39=$EV39+1),IF(OR(COUNTIF(#REF!,$D39)&gt;0,COUNTIF(#REF!,$D39)=0),"SKIP",IF(COUNTIFS(#REF!,$D39,#REF!,$DJ39)&gt;0,"OK","ONBEKEND")),"ONZEKER")))))</f>
        <v/>
      </c>
      <c r="DL39" t="str">
        <f t="shared" si="266"/>
        <v/>
      </c>
      <c r="DM39" t="str">
        <f t="shared" si="267"/>
        <v/>
      </c>
      <c r="DN39" t="str">
        <f t="shared" si="268"/>
        <v/>
      </c>
      <c r="DO39" t="str">
        <f t="shared" si="269"/>
        <v/>
      </c>
      <c r="DP39" t="str">
        <f t="shared" si="270"/>
        <v/>
      </c>
      <c r="DQ39" t="str">
        <f t="shared" si="271"/>
        <v/>
      </c>
      <c r="DR39" t="str">
        <f t="shared" si="272"/>
        <v/>
      </c>
      <c r="DS39" t="str">
        <f t="shared" si="273"/>
        <v/>
      </c>
      <c r="DT39" t="str">
        <f t="shared" si="274"/>
        <v/>
      </c>
      <c r="DU39" t="str">
        <f t="shared" si="275"/>
        <v/>
      </c>
      <c r="DV39" t="str">
        <f t="shared" si="276"/>
        <v/>
      </c>
      <c r="DW39" t="str">
        <f t="shared" si="277"/>
        <v/>
      </c>
      <c r="DX39" t="str">
        <f t="shared" si="278"/>
        <v/>
      </c>
      <c r="DY39" t="str">
        <f t="shared" si="279"/>
        <v/>
      </c>
      <c r="DZ39" t="str">
        <f t="shared" si="280"/>
        <v/>
      </c>
      <c r="EA39" t="str">
        <f t="shared" si="281"/>
        <v/>
      </c>
      <c r="EB39" t="str">
        <f t="shared" si="282"/>
        <v/>
      </c>
      <c r="EC39" t="str">
        <f t="shared" si="283"/>
        <v/>
      </c>
      <c r="ED39" t="str">
        <f t="shared" si="284"/>
        <v/>
      </c>
      <c r="EE39" t="str">
        <f t="shared" si="285"/>
        <v/>
      </c>
      <c r="EF39" t="str">
        <f t="shared" si="286"/>
        <v/>
      </c>
      <c r="EG39" t="str">
        <f t="shared" si="287"/>
        <v/>
      </c>
      <c r="EH39" t="str">
        <f t="shared" si="288"/>
        <v/>
      </c>
      <c r="EI39" t="str">
        <f t="shared" si="289"/>
        <v/>
      </c>
      <c r="EJ39" t="str">
        <f t="shared" si="290"/>
        <v/>
      </c>
      <c r="EK39" t="str">
        <f t="shared" si="291"/>
        <v/>
      </c>
      <c r="EL39" t="str">
        <f t="shared" si="292"/>
        <v/>
      </c>
      <c r="EM39" t="str">
        <f t="shared" si="293"/>
        <v/>
      </c>
      <c r="EN39" t="str">
        <f t="shared" si="294"/>
        <v/>
      </c>
      <c r="EO39" t="str">
        <f t="shared" si="295"/>
        <v/>
      </c>
      <c r="EP39" t="str">
        <f t="shared" si="296"/>
        <v/>
      </c>
      <c r="EQ39" t="str">
        <f t="shared" si="297"/>
        <v/>
      </c>
      <c r="ER39" t="str">
        <f t="shared" si="298"/>
        <v/>
      </c>
      <c r="ES39" t="str">
        <f t="shared" si="299"/>
        <v/>
      </c>
      <c r="ET39" t="str">
        <f t="shared" si="300"/>
        <v/>
      </c>
      <c r="EU39" t="str">
        <f t="shared" si="301"/>
        <v/>
      </c>
      <c r="EV39" t="str">
        <f t="shared" si="302"/>
        <v/>
      </c>
      <c r="EW39" t="str">
        <f t="shared" si="303"/>
        <v/>
      </c>
      <c r="EX39" t="str">
        <f t="shared" si="304"/>
        <v/>
      </c>
      <c r="EY39" t="str">
        <f t="shared" si="305"/>
        <v/>
      </c>
    </row>
    <row r="40" spans="1:155" ht="13.9" customHeight="1" x14ac:dyDescent="0.25">
      <c r="A40" s="14"/>
      <c r="B40" s="15" t="s">
        <v>1525</v>
      </c>
      <c r="C40" s="16"/>
      <c r="D40" s="16"/>
      <c r="E40" s="16"/>
      <c r="F40" s="31" t="s">
        <v>1</v>
      </c>
      <c r="G40" s="33"/>
      <c r="H40" s="33"/>
      <c r="I40" s="32" t="s">
        <v>2</v>
      </c>
      <c r="J40" s="33"/>
      <c r="K40" s="33"/>
      <c r="L40" s="6" t="s">
        <v>3</v>
      </c>
      <c r="M40" s="2" t="s">
        <v>4</v>
      </c>
      <c r="N40" s="2" t="s">
        <v>5</v>
      </c>
      <c r="O40" s="2" t="s">
        <v>6</v>
      </c>
      <c r="P40" s="2" t="s">
        <v>7</v>
      </c>
      <c r="Q40" s="2" t="s">
        <v>8</v>
      </c>
      <c r="R40" s="2" t="str">
        <f>IF($Q40="","",IF(OR($BE40="",$BF40=""),"ONZEKER",IF(AND($BE40=0+1,$BF40=0),IF(OR(COUNTIF(#REF!,$B40)&gt;0,COUNTIF(#REF!,$B40)=0),"SKIP",IF(COUNTIFS(#REF!,$B40,#REF!,$Q40)&gt;0,"OK","ONBEKEND")),IF(AND($BE40=0,$BF40=0+1),IF(OR(COUNTIF(#REF!,$D40)&gt;0,COUNTIF(#REF!,$D40)=0),"SKIP",IF(COUNTIFS(#REF!,$D40,#REF!,$Q40)&gt;0,"OK","ONBEKEND")),"ONZEKER"))))</f>
        <v>ONZEKER</v>
      </c>
      <c r="S40" s="2" t="s">
        <v>10</v>
      </c>
      <c r="T40" s="2" t="s">
        <v>11</v>
      </c>
      <c r="U40" s="2" t="str">
        <f>IF($T40="","",IF(OR($BH40="",$BI40=""),"ONZEKER",IF(OR($BE40="",$BF40=""),"ONZEKER",IF(AND($BH40=$BE40+1,$BI40=$BF40),IF(OR(COUNTIF(#REF!,$B40)&gt;0,COUNTIF(#REF!,$B40)=0),"SKIP",IF(COUNTIFS(#REF!,$B40,#REF!,$T40)&gt;0,"OK","ONBEKEND")),IF(AND($BH40=$BE40,$BI40=$BF40+1),IF(OR(COUNTIF(#REF!,$D40)&gt;0,COUNTIF(#REF!,$D40)=0),"SKIP",IF(COUNTIFS(#REF!,$D40,#REF!,$T40)&gt;0,"OK","ONBEKEND")),"ONZEKER")))))</f>
        <v>ONZEKER</v>
      </c>
      <c r="V40" s="2" t="s">
        <v>13</v>
      </c>
      <c r="W40" s="2" t="s">
        <v>14</v>
      </c>
      <c r="X40" s="2" t="str">
        <f>IF($W40="","",IF(OR($BK40="",$BL40=""),"ONZEKER",IF(OR($BH40="",$BI40=""),"ONZEKER",IF(AND($BK40=$BH40+1,$BL40=$BI40),IF(OR(COUNTIF(#REF!,$B40)&gt;0,COUNTIF(#REF!,$B40)=0),"SKIP",IF(COUNTIFS(#REF!,$B40,#REF!,$W40)&gt;0,"OK","ONBEKEND")),IF(AND($BK40=$BH40,$BL40=$BI40+1),IF(OR(COUNTIF(#REF!,$D40)&gt;0,COUNTIF(#REF!,$D40)=0),"SKIP",IF(COUNTIFS(#REF!,$D40,#REF!,$W40)&gt;0,"OK","ONBEKEND")),"ONZEKER")))))</f>
        <v>ONZEKER</v>
      </c>
      <c r="Y40" s="2" t="s">
        <v>16</v>
      </c>
      <c r="Z40" s="2" t="s">
        <v>17</v>
      </c>
      <c r="AA40" s="2" t="str">
        <f>IF($Z40="","",IF(OR($BN40="",$BO40=""),"ONZEKER",IF(OR($BK40="",$BL40=""),"ONZEKER",IF(AND($BN40=$BK40+1,$BO40=$BL40),IF(OR(COUNTIF(#REF!,$B40)&gt;0,COUNTIF(#REF!,$B40)=0),"SKIP",IF(COUNTIFS(#REF!,$B40,#REF!,$Z40)&gt;0,"OK","ONBEKEND")),IF(AND($BN40=$BK40,$BO40=$BL40+1),IF(OR(COUNTIF(#REF!,$D40)&gt;0,COUNTIF(#REF!,$D40)=0),"SKIP",IF(COUNTIFS(#REF!,$D40,#REF!,$Z40)&gt;0,"OK","ONBEKEND")),"ONZEKER")))))</f>
        <v>ONZEKER</v>
      </c>
      <c r="AB40" s="2" t="s">
        <v>19</v>
      </c>
      <c r="AC40" s="2" t="s">
        <v>20</v>
      </c>
      <c r="AD40" s="2" t="str">
        <f>IF($AC40="","",IF(OR($BQ40="",$BR40=""),"ONZEKER",IF(OR($BN40="",$BO40=""),"ONZEKER",IF(AND($BQ40=$BN40+1,$BR40=$BO40),IF(OR(COUNTIF(#REF!,$B40)&gt;0,COUNTIF(#REF!,$B40)=0),"SKIP",IF(COUNTIFS(#REF!,$B40,#REF!,$AC40)&gt;0,"OK","ONBEKEND")),IF(AND($BQ40=$BN40,$BR40=$BO40+1),IF(OR(COUNTIF(#REF!,$D40)&gt;0,COUNTIF(#REF!,$D40)=0),"SKIP",IF(COUNTIFS(#REF!,$D40,#REF!,$AC40)&gt;0,"OK","ONBEKEND")),"ONZEKER")))))</f>
        <v>ONZEKER</v>
      </c>
      <c r="AE40" s="2" t="s">
        <v>22</v>
      </c>
      <c r="AF40" s="2" t="s">
        <v>23</v>
      </c>
      <c r="AG40" s="2" t="str">
        <f>IF($AF40="","",IF(OR($BT40="",$BU40=""),"ONZEKER",IF(OR($BQ40="",$BR40=""),"ONZEKER",IF(AND($BT40=$BQ40+1,$BU40=$BR40),IF(OR(COUNTIF(#REF!,$B40)&gt;0,COUNTIF(#REF!,$B40)=0),"SKIP",IF(COUNTIFS(#REF!,$B40,#REF!,$AF40)&gt;0,"OK","ONBEKEND")),IF(AND($BT40=$BQ40,$BU40=$BR40+1),IF(OR(COUNTIF(#REF!,$D40)&gt;0,COUNTIF(#REF!,$D40)=0),"SKIP",IF(COUNTIFS(#REF!,$D40,#REF!,$AF40)&gt;0,"OK","ONBEKEND")),"ONZEKER")))))</f>
        <v>ONZEKER</v>
      </c>
      <c r="AH40" s="2" t="s">
        <v>25</v>
      </c>
      <c r="AI40" s="2" t="s">
        <v>26</v>
      </c>
      <c r="AJ40" s="2" t="str">
        <f>IF($AI40="","",IF(OR($BW40="",$BX40=""),"ONZEKER",IF(OR($BT40="",$BU40=""),"ONZEKER",IF(AND($BW40=$BT40+1,$BX40=$BU40),IF(OR(COUNTIF(#REF!,$B40)&gt;0,COUNTIF(#REF!,$B40)=0),"SKIP",IF(COUNTIFS(#REF!,$B40,#REF!,$AI40)&gt;0,"OK","ONBEKEND")),IF(AND($BW40=$BT40,$BX40=$BU40+1),IF(OR(COUNTIF(#REF!,$D40)&gt;0,COUNTIF(#REF!,$D40)=0),"SKIP",IF(COUNTIFS(#REF!,$D40,#REF!,$AI40)&gt;0,"OK","ONBEKEND")),"ONZEKER")))))</f>
        <v>ONZEKER</v>
      </c>
      <c r="AK40" s="2" t="s">
        <v>28</v>
      </c>
      <c r="AL40" s="2" t="s">
        <v>29</v>
      </c>
      <c r="AM40" s="2" t="str">
        <f>IF($AL40="","",IF(OR($BZ40="",$CA40=""),"ONZEKER",IF(OR($BW40="",$BX40=""),"ONZEKER",IF(AND($BZ40=$BW40+1,$CA40=$BX40),IF(OR(COUNTIF(#REF!,$B40)&gt;0,COUNTIF(#REF!,$B40)=0),"SKIP",IF(COUNTIFS(#REF!,$B40,#REF!,$AL40)&gt;0,"OK","ONBEKEND")),IF(AND($BZ40=$BW40,$CA40=$BX40+1),IF(OR(COUNTIF(#REF!,$D40)&gt;0,COUNTIF(#REF!,$D40)=0),"SKIP",IF(COUNTIFS(#REF!,$D40,#REF!,$AL40)&gt;0,"OK","ONBEKEND")),"ONZEKER")))))</f>
        <v>ONZEKER</v>
      </c>
      <c r="AN40" s="2" t="s">
        <v>31</v>
      </c>
      <c r="AO40" s="2" t="s">
        <v>32</v>
      </c>
      <c r="AP40" s="2" t="str">
        <f>IF($AO40="","",IF(OR($CC40="",$CD40=""),"ONZEKER",IF(OR($BZ40="",$CA40=""),"ONZEKER",IF(AND($CC40=$BZ40+1,$CD40=$CA40),IF(OR(COUNTIF(#REF!,$B40)&gt;0,COUNTIF(#REF!,$B40)=0),"SKIP",IF(COUNTIFS(#REF!,$B40,#REF!,$AO40)&gt;0,"OK","ONBEKEND")),IF(AND($CC40=$BZ40,$CD40=$CA40+1),IF(OR(COUNTIF(#REF!,$D40)&gt;0,COUNTIF(#REF!,$D40)=0),"SKIP",IF(COUNTIFS(#REF!,$D40,#REF!,$AO40)&gt;0,"OK","ONBEKEND")),"ONZEKER")))))</f>
        <v>ONZEKER</v>
      </c>
      <c r="AQ40" s="2" t="s">
        <v>34</v>
      </c>
      <c r="AR40" s="2" t="s">
        <v>35</v>
      </c>
      <c r="AS40" s="2" t="str">
        <f>IF($AR40="","",IF(OR($CF40="",$CG40=""),"ONZEKER",IF(OR($CC40="",$CD40=""),"ONZEKER",IF(AND($CF40=$CC40+1,$CG40=$CD40),IF(OR(COUNTIF(#REF!,$B40)&gt;0,COUNTIF(#REF!,$B40)=0),"SKIP",IF(COUNTIFS(#REF!,$B40,#REF!,$AR40)&gt;0,"OK","ONBEKEND")),IF(AND($CF40=$CC40,$CG40=$CD40+1),IF(OR(COUNTIF(#REF!,$D40)&gt;0,COUNTIF(#REF!,$D40)=0),"SKIP",IF(COUNTIFS(#REF!,$D40,#REF!,$AR40)&gt;0,"OK","ONBEKEND")),"ONZEKER")))))</f>
        <v>ONZEKER</v>
      </c>
      <c r="AT40" s="2" t="s">
        <v>37</v>
      </c>
      <c r="AU40" s="2" t="s">
        <v>38</v>
      </c>
      <c r="AV40" s="2" t="s">
        <v>39</v>
      </c>
      <c r="AW40" s="2" t="s">
        <v>40</v>
      </c>
      <c r="AX40" s="2" t="s">
        <v>41</v>
      </c>
      <c r="AY40" s="2" t="s">
        <v>42</v>
      </c>
      <c r="AZ40" s="2" t="s">
        <v>43</v>
      </c>
      <c r="BA40" s="2" t="s">
        <v>44</v>
      </c>
      <c r="BB40" s="2" t="s">
        <v>45</v>
      </c>
      <c r="BC40" s="2" t="s">
        <v>46</v>
      </c>
      <c r="BD40" t="str">
        <f t="shared" si="32"/>
        <v/>
      </c>
      <c r="BE40" t="str">
        <f t="shared" si="33"/>
        <v/>
      </c>
      <c r="BF40" t="str">
        <f t="shared" si="34"/>
        <v/>
      </c>
      <c r="BG40" t="str">
        <f t="shared" si="35"/>
        <v/>
      </c>
      <c r="BH40" t="str">
        <f t="shared" si="36"/>
        <v/>
      </c>
      <c r="BI40" t="str">
        <f t="shared" si="37"/>
        <v/>
      </c>
      <c r="BJ40" t="str">
        <f t="shared" si="38"/>
        <v/>
      </c>
      <c r="BK40" t="str">
        <f t="shared" si="39"/>
        <v/>
      </c>
      <c r="BL40" t="str">
        <f t="shared" si="40"/>
        <v/>
      </c>
      <c r="BM40" t="str">
        <f t="shared" si="41"/>
        <v/>
      </c>
      <c r="BN40" t="str">
        <f t="shared" si="42"/>
        <v/>
      </c>
      <c r="BO40" t="str">
        <f t="shared" si="43"/>
        <v/>
      </c>
      <c r="BP40" t="str">
        <f t="shared" si="44"/>
        <v/>
      </c>
      <c r="BQ40" t="str">
        <f t="shared" si="45"/>
        <v/>
      </c>
      <c r="BR40" t="str">
        <f t="shared" si="46"/>
        <v/>
      </c>
      <c r="BS40" t="str">
        <f t="shared" si="47"/>
        <v/>
      </c>
      <c r="BT40" t="str">
        <f t="shared" si="48"/>
        <v/>
      </c>
      <c r="BU40" t="str">
        <f t="shared" si="49"/>
        <v/>
      </c>
      <c r="BV40" t="str">
        <f t="shared" si="50"/>
        <v/>
      </c>
      <c r="BW40" t="str">
        <f t="shared" si="51"/>
        <v/>
      </c>
      <c r="BX40" t="str">
        <f t="shared" si="52"/>
        <v/>
      </c>
      <c r="BY40" t="str">
        <f t="shared" si="53"/>
        <v/>
      </c>
      <c r="BZ40" t="str">
        <f t="shared" si="54"/>
        <v/>
      </c>
      <c r="CA40" t="str">
        <f t="shared" si="55"/>
        <v/>
      </c>
      <c r="CB40" t="str">
        <f t="shared" si="56"/>
        <v/>
      </c>
      <c r="CC40" t="str">
        <f t="shared" si="57"/>
        <v/>
      </c>
      <c r="CD40" t="str">
        <f t="shared" si="58"/>
        <v/>
      </c>
      <c r="CE40" t="str">
        <f t="shared" si="59"/>
        <v/>
      </c>
      <c r="CF40" t="str">
        <f t="shared" si="60"/>
        <v/>
      </c>
      <c r="CG40" t="str">
        <f t="shared" si="61"/>
        <v/>
      </c>
      <c r="CH40" s="2" t="s">
        <v>77</v>
      </c>
      <c r="CI40" s="2" t="s">
        <v>78</v>
      </c>
      <c r="CJ40" s="2" t="s">
        <v>79</v>
      </c>
      <c r="CK40" s="2" t="s">
        <v>80</v>
      </c>
      <c r="CL40" s="2" t="s">
        <v>81</v>
      </c>
      <c r="CM40" s="2" t="s">
        <v>82</v>
      </c>
      <c r="CN40" s="2" t="s">
        <v>83</v>
      </c>
      <c r="CO40" s="2" t="s">
        <v>84</v>
      </c>
      <c r="CP40" s="2" t="s">
        <v>85</v>
      </c>
      <c r="CQ40" s="2" t="s">
        <v>86</v>
      </c>
      <c r="CR40" s="2" t="s">
        <v>87</v>
      </c>
      <c r="CS40" s="2" t="s">
        <v>88</v>
      </c>
      <c r="CT40" s="2" t="s">
        <v>89</v>
      </c>
      <c r="CU40" s="2" t="s">
        <v>90</v>
      </c>
      <c r="CV40" s="2" t="s">
        <v>91</v>
      </c>
      <c r="CW40" s="2" t="s">
        <v>92</v>
      </c>
      <c r="CX40" s="2" t="s">
        <v>93</v>
      </c>
      <c r="CY40" s="2" t="s">
        <v>94</v>
      </c>
      <c r="CZ40" s="2" t="s">
        <v>95</v>
      </c>
      <c r="DA40" s="2" t="s">
        <v>96</v>
      </c>
      <c r="DB40" s="2" t="s">
        <v>97</v>
      </c>
      <c r="DC40" s="2" t="s">
        <v>98</v>
      </c>
      <c r="DD40" s="2" t="s">
        <v>99</v>
      </c>
      <c r="DE40" s="2" t="s">
        <v>100</v>
      </c>
      <c r="DF40" s="2" t="s">
        <v>101</v>
      </c>
      <c r="DG40" s="2" t="s">
        <v>102</v>
      </c>
      <c r="DH40" s="2" t="s">
        <v>103</v>
      </c>
      <c r="DI40" s="2" t="s">
        <v>104</v>
      </c>
      <c r="DJ40" s="2" t="s">
        <v>105</v>
      </c>
      <c r="DK40" s="2" t="s">
        <v>106</v>
      </c>
      <c r="DL40" s="2" t="s">
        <v>107</v>
      </c>
      <c r="DM40" s="2" t="s">
        <v>108</v>
      </c>
      <c r="DN40" s="2" t="s">
        <v>109</v>
      </c>
      <c r="DO40" s="2" t="s">
        <v>110</v>
      </c>
      <c r="DP40" s="2" t="s">
        <v>111</v>
      </c>
      <c r="DQ40" s="2" t="s">
        <v>112</v>
      </c>
      <c r="DR40" s="2" t="s">
        <v>113</v>
      </c>
      <c r="DS40" s="2" t="s">
        <v>114</v>
      </c>
      <c r="DT40" s="2" t="s">
        <v>115</v>
      </c>
      <c r="DU40" s="2" t="s">
        <v>116</v>
      </c>
      <c r="DV40" s="2" t="s">
        <v>117</v>
      </c>
      <c r="DW40" s="2" t="s">
        <v>118</v>
      </c>
      <c r="DX40" s="2" t="s">
        <v>119</v>
      </c>
      <c r="DY40" s="2" t="s">
        <v>120</v>
      </c>
      <c r="DZ40" s="2" t="s">
        <v>121</v>
      </c>
      <c r="EA40" s="2" t="s">
        <v>122</v>
      </c>
      <c r="EB40" s="2" t="s">
        <v>123</v>
      </c>
      <c r="EC40" s="2" t="s">
        <v>124</v>
      </c>
      <c r="ED40" s="2" t="s">
        <v>125</v>
      </c>
      <c r="EE40" s="2" t="s">
        <v>126</v>
      </c>
      <c r="EF40" s="2" t="s">
        <v>127</v>
      </c>
      <c r="EG40" s="2" t="s">
        <v>128</v>
      </c>
      <c r="EH40" s="2" t="s">
        <v>129</v>
      </c>
      <c r="EI40" s="2" t="s">
        <v>130</v>
      </c>
      <c r="EJ40" s="2" t="s">
        <v>131</v>
      </c>
      <c r="EK40" s="2" t="s">
        <v>132</v>
      </c>
      <c r="EL40" s="2" t="s">
        <v>133</v>
      </c>
      <c r="EM40" s="2" t="s">
        <v>134</v>
      </c>
      <c r="EN40" s="2" t="s">
        <v>135</v>
      </c>
      <c r="EO40" s="2" t="s">
        <v>136</v>
      </c>
      <c r="EP40" s="2" t="s">
        <v>137</v>
      </c>
      <c r="EQ40" s="2" t="s">
        <v>138</v>
      </c>
      <c r="ER40" s="2" t="s">
        <v>139</v>
      </c>
      <c r="ES40" s="2" t="s">
        <v>140</v>
      </c>
      <c r="ET40" s="2" t="s">
        <v>141</v>
      </c>
      <c r="EU40" s="2" t="s">
        <v>142</v>
      </c>
      <c r="EV40" s="2" t="s">
        <v>143</v>
      </c>
      <c r="EW40" s="2" t="s">
        <v>144</v>
      </c>
      <c r="EX40" s="2" t="s">
        <v>145</v>
      </c>
      <c r="EY40" s="2" t="s">
        <v>146</v>
      </c>
    </row>
    <row r="41" spans="1:155" ht="13.9" customHeight="1" x14ac:dyDescent="0.25">
      <c r="A41" s="7"/>
      <c r="B41" s="17"/>
      <c r="C41" s="8"/>
      <c r="D41" s="17"/>
      <c r="E41" s="8"/>
      <c r="F41" s="18">
        <v>0</v>
      </c>
      <c r="G41" s="7" t="s">
        <v>147</v>
      </c>
      <c r="H41" s="18">
        <v>0</v>
      </c>
      <c r="I41" s="19">
        <v>0</v>
      </c>
      <c r="J41" s="7" t="s">
        <v>147</v>
      </c>
      <c r="K41" s="19">
        <v>0</v>
      </c>
      <c r="L41" s="9"/>
      <c r="M41" s="3" t="str">
        <f>IF($L41="","",IF($L41="DOELPUNTENMAKERS","",IF(AND(COUNTIF(#REF!,$B41)=0,COUNTIF(#REF!,$D41)=0),"OK",IF($O41&gt;20,"LET OP: meer dan 20 items (controle onvolledig)",IF((COUNTIF($R41:$AS41,"ONZEKER")+COUNTIF($CJ41:$DK41,"ONZEKER"))&gt;0,"LET OP: scoreverloop onduidelijk (controle beperkt)",IF((IF($AT41&lt;&gt;"",$AT41&amp;", ","")&amp;IF($AU41&lt;&gt;"",$AU41&amp;", ","")&amp;IF($AV41&lt;&gt;"",$AV41&amp;", ","")&amp;IF($AW41&lt;&gt;"",$AW41&amp;", ","")&amp;IF($AX41&lt;&gt;"",$AX41&amp;", ","")&amp;IF($AY41&lt;&gt;"",$AY41&amp;", ","")&amp;IF($AZ41&lt;&gt;"",$AZ41&amp;", ","")&amp;IF($BA41&lt;&gt;"",$BA41&amp;", ","")&amp;IF($BB41&lt;&gt;"",$BB41&amp;", ","")&amp;IF($BC41&lt;&gt;"",$BC41&amp;", ","")&amp;IF($DL41&lt;&gt;"",$DL41&amp;", ","")&amp;IF($DM41&lt;&gt;"",$DM41&amp;", ","")&amp;IF($DN41&lt;&gt;"",$DN41&amp;", ","")&amp;IF($DO41&lt;&gt;"",$DO41&amp;", ","")&amp;IF($DP41&lt;&gt;"",$DP41&amp;", ","")&amp;IF($DQ41&lt;&gt;"",$DQ41&amp;", ","")&amp;IF($DR41&lt;&gt;"",$DR41&amp;", ","")&amp;IF($DS41&lt;&gt;"",$DS41&amp;", ","")&amp;IF($DT41&lt;&gt;"",$DT41&amp;", ","")&amp;IF($DU41&lt;&gt;"",$DU41&amp;", ",""))="","OK","Onbekend: "&amp;LEFT((IF($AT41&lt;&gt;"",$AT41&amp;", ","")&amp;IF($AU41&lt;&gt;"",$AU41&amp;", ","")&amp;IF($AV41&lt;&gt;"",$AV41&amp;", ","")&amp;IF($AW41&lt;&gt;"",$AW41&amp;", ","")&amp;IF($AX41&lt;&gt;"",$AX41&amp;", ","")&amp;IF($AY41&lt;&gt;"",$AY41&amp;", ","")&amp;IF($AZ41&lt;&gt;"",$AZ41&amp;", ","")&amp;IF($BA41&lt;&gt;"",$BA41&amp;", ","")&amp;IF($BB41&lt;&gt;"",$BB41&amp;", ","")&amp;IF($BC41&lt;&gt;"",$BC41&amp;", ","")&amp;IF($DL41&lt;&gt;"",$DL41&amp;", ","")&amp;IF($DM41&lt;&gt;"",$DM41&amp;", ","")&amp;IF($DN41&lt;&gt;"",$DN41&amp;", ","")&amp;IF($DO41&lt;&gt;"",$DO41&amp;", ","")&amp;IF($DP41&lt;&gt;"",$DP41&amp;", ","")&amp;IF($DQ41&lt;&gt;"",$DQ41&amp;", ","")&amp;IF($DR41&lt;&gt;"",$DR41&amp;", ","")&amp;IF($DS41&lt;&gt;"",$DS41&amp;", ","")&amp;IF($DT41&lt;&gt;"",$DT41&amp;", ","")&amp;IF($DU41&lt;&gt;"",$DU41&amp;", ","")),LEN((IF($AT41&lt;&gt;"",$AT41&amp;", ","")&amp;IF($AU41&lt;&gt;"",$AU41&amp;", ","")&amp;IF($AV41&lt;&gt;"",$AV41&amp;", ","")&amp;IF($AW41&lt;&gt;"",$AW41&amp;", ","")&amp;IF($AX41&lt;&gt;"",$AX41&amp;", ","")&amp;IF($AY41&lt;&gt;"",$AY41&amp;", ","")&amp;IF($AZ41&lt;&gt;"",$AZ41&amp;", ","")&amp;IF($BA41&lt;&gt;"",$BA41&amp;", ","")&amp;IF($BB41&lt;&gt;"",$BB41&amp;", ","")&amp;IF($BC41&lt;&gt;"",$BC41&amp;", ","")&amp;IF($DL41&lt;&gt;"",$DL41&amp;", ","")&amp;IF($DM41&lt;&gt;"",$DM41&amp;", ","")&amp;IF($DN41&lt;&gt;"",$DN41&amp;", ","")&amp;IF($DO41&lt;&gt;"",$DO41&amp;", ","")&amp;IF($DP41&lt;&gt;"",$DP41&amp;", ","")&amp;IF($DQ41&lt;&gt;"",$DQ41&amp;", ","")&amp;IF($DR41&lt;&gt;"",$DR41&amp;", ","")&amp;IF($DS41&lt;&gt;"",$DS41&amp;", ","")&amp;IF($DT41&lt;&gt;"",$DT41&amp;", ","")&amp;IF($DU41&lt;&gt;"",$DU41&amp;", ","")))-2)))))))</f>
        <v/>
      </c>
      <c r="N41" t="str">
        <f t="shared" ref="N41:N52" si="306">IF($L41="","",TRIM(IF(RIGHT(SUBSTITUTE($L41,CHAR(160)," "),1)=".",LEFT(SUBSTITUTE($L41,CHAR(160)," "),LEN(SUBSTITUTE($L41,CHAR(160)," "))-1),SUBSTITUTE($L41,CHAR(160)," "))))</f>
        <v/>
      </c>
      <c r="O41" t="str">
        <f t="shared" ref="O41:O52" si="307">IF($N41="","",LEN($N41)-LEN(SUBSTITUTE($N41,",",""))+1)</f>
        <v/>
      </c>
      <c r="P41" t="str">
        <f t="shared" ref="P41:P52" si="308">IF($N41="","",TRIM(MID(SUBSTITUTE($N41,",",REPT(" ",200)),1,200)))</f>
        <v/>
      </c>
      <c r="Q41" t="str">
        <f t="shared" ref="Q41:Q52" si="309">IF(P41="","",TRIM(IFERROR(LEFT(P41,FIND("§",SUBSTITUTE(P41," ","§",LEN(P41)-LEN(SUBSTITUTE(P41," ",""))))-1),P41)))</f>
        <v/>
      </c>
      <c r="R41" t="str">
        <f>IF($Q41="","",IF(OR($BE41="",$BF41=""),"ONZEKER",IF(AND($BE41=0+1,$BF41=0),IF(OR(COUNTIF(#REF!,$B41)&gt;0,COUNTIF(#REF!,$B41)=0),"SKIP",IF(COUNTIFS(#REF!,$B41,#REF!,$Q41)&gt;0,"OK","ONBEKEND")),IF(AND($BE41=0,$BF41=0+1),IF(OR(COUNTIF(#REF!,$D41)&gt;0,COUNTIF(#REF!,$D41)=0),"SKIP",IF(COUNTIFS(#REF!,$D41,#REF!,$Q41)&gt;0,"OK","ONBEKEND")),"ONZEKER"))))</f>
        <v/>
      </c>
      <c r="S41" t="str">
        <f t="shared" ref="S41:S52" si="310">IF($N41="","",TRIM(MID(SUBSTITUTE($N41,",",REPT(" ",200)),201,200)))</f>
        <v/>
      </c>
      <c r="T41" t="str">
        <f t="shared" ref="T41:T52" si="311">IF(S41="","",TRIM(IFERROR(LEFT(S41,FIND("§",SUBSTITUTE(S41," ","§",LEN(S41)-LEN(SUBSTITUTE(S41," ",""))))-1),S41)))</f>
        <v/>
      </c>
      <c r="U41" t="str">
        <f>IF($T41="","",IF(OR($BH41="",$BI41=""),"ONZEKER",IF(OR($BE41="",$BF41=""),"ONZEKER",IF(AND($BH41=$BE41+1,$BI41=$BF41),IF(OR(COUNTIF(#REF!,$B41)&gt;0,COUNTIF(#REF!,$B41)=0),"SKIP",IF(COUNTIFS(#REF!,$B41,#REF!,$T41)&gt;0,"OK","ONBEKEND")),IF(AND($BH41=$BE41,$BI41=$BF41+1),IF(OR(COUNTIF(#REF!,$D41)&gt;0,COUNTIF(#REF!,$D41)=0),"SKIP",IF(COUNTIFS(#REF!,$D41,#REF!,$T41)&gt;0,"OK","ONBEKEND")),"ONZEKER")))))</f>
        <v/>
      </c>
      <c r="V41" t="str">
        <f t="shared" ref="V41:V52" si="312">IF($N41="","",TRIM(MID(SUBSTITUTE($N41,",",REPT(" ",200)),401,200)))</f>
        <v/>
      </c>
      <c r="W41" t="str">
        <f t="shared" ref="W41:W52" si="313">IF(V41="","",TRIM(IFERROR(LEFT(V41,FIND("§",SUBSTITUTE(V41," ","§",LEN(V41)-LEN(SUBSTITUTE(V41," ",""))))-1),V41)))</f>
        <v/>
      </c>
      <c r="X41" t="str">
        <f>IF($W41="","",IF(OR($BK41="",$BL41=""),"ONZEKER",IF(OR($BH41="",$BI41=""),"ONZEKER",IF(AND($BK41=$BH41+1,$BL41=$BI41),IF(OR(COUNTIF(#REF!,$B41)&gt;0,COUNTIF(#REF!,$B41)=0),"SKIP",IF(COUNTIFS(#REF!,$B41,#REF!,$W41)&gt;0,"OK","ONBEKEND")),IF(AND($BK41=$BH41,$BL41=$BI41+1),IF(OR(COUNTIF(#REF!,$D41)&gt;0,COUNTIF(#REF!,$D41)=0),"SKIP",IF(COUNTIFS(#REF!,$D41,#REF!,$W41)&gt;0,"OK","ONBEKEND")),"ONZEKER")))))</f>
        <v/>
      </c>
      <c r="Y41" t="str">
        <f t="shared" ref="Y41:Y52" si="314">IF($N41="","",TRIM(MID(SUBSTITUTE($N41,",",REPT(" ",200)),601,200)))</f>
        <v/>
      </c>
      <c r="Z41" t="str">
        <f t="shared" ref="Z41:Z52" si="315">IF(Y41="","",TRIM(IFERROR(LEFT(Y41,FIND("§",SUBSTITUTE(Y41," ","§",LEN(Y41)-LEN(SUBSTITUTE(Y41," ",""))))-1),Y41)))</f>
        <v/>
      </c>
      <c r="AA41" t="str">
        <f>IF($Z41="","",IF(OR($BN41="",$BO41=""),"ONZEKER",IF(OR($BK41="",$BL41=""),"ONZEKER",IF(AND($BN41=$BK41+1,$BO41=$BL41),IF(OR(COUNTIF(#REF!,$B41)&gt;0,COUNTIF(#REF!,$B41)=0),"SKIP",IF(COUNTIFS(#REF!,$B41,#REF!,$Z41)&gt;0,"OK","ONBEKEND")),IF(AND($BN41=$BK41,$BO41=$BL41+1),IF(OR(COUNTIF(#REF!,$D41)&gt;0,COUNTIF(#REF!,$D41)=0),"SKIP",IF(COUNTIFS(#REF!,$D41,#REF!,$Z41)&gt;0,"OK","ONBEKEND")),"ONZEKER")))))</f>
        <v/>
      </c>
      <c r="AB41" t="str">
        <f t="shared" ref="AB41:AB52" si="316">IF($N41="","",TRIM(MID(SUBSTITUTE($N41,",",REPT(" ",200)),801,200)))</f>
        <v/>
      </c>
      <c r="AC41" t="str">
        <f t="shared" ref="AC41:AC52" si="317">IF(AB41="","",TRIM(IFERROR(LEFT(AB41,FIND("§",SUBSTITUTE(AB41," ","§",LEN(AB41)-LEN(SUBSTITUTE(AB41," ",""))))-1),AB41)))</f>
        <v/>
      </c>
      <c r="AD41" t="str">
        <f>IF($AC41="","",IF(OR($BQ41="",$BR41=""),"ONZEKER",IF(OR($BN41="",$BO41=""),"ONZEKER",IF(AND($BQ41=$BN41+1,$BR41=$BO41),IF(OR(COUNTIF(#REF!,$B41)&gt;0,COUNTIF(#REF!,$B41)=0),"SKIP",IF(COUNTIFS(#REF!,$B41,#REF!,$AC41)&gt;0,"OK","ONBEKEND")),IF(AND($BQ41=$BN41,$BR41=$BO41+1),IF(OR(COUNTIF(#REF!,$D41)&gt;0,COUNTIF(#REF!,$D41)=0),"SKIP",IF(COUNTIFS(#REF!,$D41,#REF!,$AC41)&gt;0,"OK","ONBEKEND")),"ONZEKER")))))</f>
        <v/>
      </c>
      <c r="AE41" t="str">
        <f t="shared" ref="AE41:AE52" si="318">IF($N41="","",TRIM(MID(SUBSTITUTE($N41,",",REPT(" ",200)),1001,200)))</f>
        <v/>
      </c>
      <c r="AF41" t="str">
        <f t="shared" ref="AF41:AF52" si="319">IF(AE41="","",TRIM(IFERROR(LEFT(AE41,FIND("§",SUBSTITUTE(AE41," ","§",LEN(AE41)-LEN(SUBSTITUTE(AE41," ",""))))-1),AE41)))</f>
        <v/>
      </c>
      <c r="AG41" t="str">
        <f>IF($AF41="","",IF(OR($BT41="",$BU41=""),"ONZEKER",IF(OR($BQ41="",$BR41=""),"ONZEKER",IF(AND($BT41=$BQ41+1,$BU41=$BR41),IF(OR(COUNTIF(#REF!,$B41)&gt;0,COUNTIF(#REF!,$B41)=0),"SKIP",IF(COUNTIFS(#REF!,$B41,#REF!,$AF41)&gt;0,"OK","ONBEKEND")),IF(AND($BT41=$BQ41,$BU41=$BR41+1),IF(OR(COUNTIF(#REF!,$D41)&gt;0,COUNTIF(#REF!,$D41)=0),"SKIP",IF(COUNTIFS(#REF!,$D41,#REF!,$AF41)&gt;0,"OK","ONBEKEND")),"ONZEKER")))))</f>
        <v/>
      </c>
      <c r="AH41" t="str">
        <f t="shared" ref="AH41:AH52" si="320">IF($N41="","",TRIM(MID(SUBSTITUTE($N41,",",REPT(" ",200)),1201,200)))</f>
        <v/>
      </c>
      <c r="AI41" t="str">
        <f t="shared" ref="AI41:AI52" si="321">IF(AH41="","",TRIM(IFERROR(LEFT(AH41,FIND("§",SUBSTITUTE(AH41," ","§",LEN(AH41)-LEN(SUBSTITUTE(AH41," ",""))))-1),AH41)))</f>
        <v/>
      </c>
      <c r="AJ41" t="str">
        <f>IF($AI41="","",IF(OR($BW41="",$BX41=""),"ONZEKER",IF(OR($BT41="",$BU41=""),"ONZEKER",IF(AND($BW41=$BT41+1,$BX41=$BU41),IF(OR(COUNTIF(#REF!,$B41)&gt;0,COUNTIF(#REF!,$B41)=0),"SKIP",IF(COUNTIFS(#REF!,$B41,#REF!,$AI41)&gt;0,"OK","ONBEKEND")),IF(AND($BW41=$BT41,$BX41=$BU41+1),IF(OR(COUNTIF(#REF!,$D41)&gt;0,COUNTIF(#REF!,$D41)=0),"SKIP",IF(COUNTIFS(#REF!,$D41,#REF!,$AI41)&gt;0,"OK","ONBEKEND")),"ONZEKER")))))</f>
        <v/>
      </c>
      <c r="AK41" t="str">
        <f t="shared" ref="AK41:AK52" si="322">IF($N41="","",TRIM(MID(SUBSTITUTE($N41,",",REPT(" ",200)),1401,200)))</f>
        <v/>
      </c>
      <c r="AL41" t="str">
        <f t="shared" ref="AL41:AL52" si="323">IF(AK41="","",TRIM(IFERROR(LEFT(AK41,FIND("§",SUBSTITUTE(AK41," ","§",LEN(AK41)-LEN(SUBSTITUTE(AK41," ",""))))-1),AK41)))</f>
        <v/>
      </c>
      <c r="AM41" t="str">
        <f>IF($AL41="","",IF(OR($BZ41="",$CA41=""),"ONZEKER",IF(OR($BW41="",$BX41=""),"ONZEKER",IF(AND($BZ41=$BW41+1,$CA41=$BX41),IF(OR(COUNTIF(#REF!,$B41)&gt;0,COUNTIF(#REF!,$B41)=0),"SKIP",IF(COUNTIFS(#REF!,$B41,#REF!,$AL41)&gt;0,"OK","ONBEKEND")),IF(AND($BZ41=$BW41,$CA41=$BX41+1),IF(OR(COUNTIF(#REF!,$D41)&gt;0,COUNTIF(#REF!,$D41)=0),"SKIP",IF(COUNTIFS(#REF!,$D41,#REF!,$AL41)&gt;0,"OK","ONBEKEND")),"ONZEKER")))))</f>
        <v/>
      </c>
      <c r="AN41" t="str">
        <f t="shared" ref="AN41:AN52" si="324">IF($N41="","",TRIM(MID(SUBSTITUTE($N41,",",REPT(" ",200)),1601,200)))</f>
        <v/>
      </c>
      <c r="AO41" t="str">
        <f t="shared" ref="AO41:AO52" si="325">IF(AN41="","",TRIM(IFERROR(LEFT(AN41,FIND("§",SUBSTITUTE(AN41," ","§",LEN(AN41)-LEN(SUBSTITUTE(AN41," ",""))))-1),AN41)))</f>
        <v/>
      </c>
      <c r="AP41" t="str">
        <f>IF($AO41="","",IF(OR($CC41="",$CD41=""),"ONZEKER",IF(OR($BZ41="",$CA41=""),"ONZEKER",IF(AND($CC41=$BZ41+1,$CD41=$CA41),IF(OR(COUNTIF(#REF!,$B41)&gt;0,COUNTIF(#REF!,$B41)=0),"SKIP",IF(COUNTIFS(#REF!,$B41,#REF!,$AO41)&gt;0,"OK","ONBEKEND")),IF(AND($CC41=$BZ41,$CD41=$CA41+1),IF(OR(COUNTIF(#REF!,$D41)&gt;0,COUNTIF(#REF!,$D41)=0),"SKIP",IF(COUNTIFS(#REF!,$D41,#REF!,$AO41)&gt;0,"OK","ONBEKEND")),"ONZEKER")))))</f>
        <v/>
      </c>
      <c r="AQ41" t="str">
        <f t="shared" ref="AQ41:AQ52" si="326">IF($N41="","",TRIM(MID(SUBSTITUTE($N41,",",REPT(" ",200)),1801,200)))</f>
        <v/>
      </c>
      <c r="AR41" t="str">
        <f t="shared" ref="AR41:AR52" si="327">IF(AQ41="","",TRIM(IFERROR(LEFT(AQ41,FIND("§",SUBSTITUTE(AQ41," ","§",LEN(AQ41)-LEN(SUBSTITUTE(AQ41," ",""))))-1),AQ41)))</f>
        <v/>
      </c>
      <c r="AS41" t="str">
        <f>IF($AR41="","",IF(OR($CF41="",$CG41=""),"ONZEKER",IF(OR($CC41="",$CD41=""),"ONZEKER",IF(AND($CF41=$CC41+1,$CG41=$CD41),IF(OR(COUNTIF(#REF!,$B41)&gt;0,COUNTIF(#REF!,$B41)=0),"SKIP",IF(COUNTIFS(#REF!,$B41,#REF!,$AR41)&gt;0,"OK","ONBEKEND")),IF(AND($CF41=$CC41,$CG41=$CD41+1),IF(OR(COUNTIF(#REF!,$D41)&gt;0,COUNTIF(#REF!,$D41)=0),"SKIP",IF(COUNTIFS(#REF!,$D41,#REF!,$AR41)&gt;0,"OK","ONBEKEND")),"ONZEKER")))))</f>
        <v/>
      </c>
      <c r="AT41" t="str">
        <f t="shared" ref="AT41:AT52" si="328">IF(R41="ONBEKEND",Q41,"")</f>
        <v/>
      </c>
      <c r="AU41" t="str">
        <f t="shared" ref="AU41:AU52" si="329">IF(U41="ONBEKEND",T41,"")</f>
        <v/>
      </c>
      <c r="AV41" t="str">
        <f t="shared" ref="AV41:AV52" si="330">IF(X41="ONBEKEND",W41,"")</f>
        <v/>
      </c>
      <c r="AW41" t="str">
        <f t="shared" ref="AW41:AW52" si="331">IF(AA41="ONBEKEND",Z41,"")</f>
        <v/>
      </c>
      <c r="AX41" t="str">
        <f t="shared" ref="AX41:AX52" si="332">IF(AD41="ONBEKEND",AC41,"")</f>
        <v/>
      </c>
      <c r="AY41" t="str">
        <f t="shared" ref="AY41:AY52" si="333">IF(AG41="ONBEKEND",AF41,"")</f>
        <v/>
      </c>
      <c r="AZ41" t="str">
        <f t="shared" ref="AZ41:AZ52" si="334">IF(AJ41="ONBEKEND",AI41,"")</f>
        <v/>
      </c>
      <c r="BA41" t="str">
        <f t="shared" ref="BA41:BA52" si="335">IF(AM41="ONBEKEND",AL41,"")</f>
        <v/>
      </c>
      <c r="BB41" t="str">
        <f t="shared" ref="BB41:BB52" si="336">IF(AP41="ONBEKEND",AO41,"")</f>
        <v/>
      </c>
      <c r="BC41" t="str">
        <f t="shared" ref="BC41:BC52" si="337">IF(AS41="ONBEKEND",AR41,"")</f>
        <v/>
      </c>
      <c r="BD41" t="str">
        <f t="shared" si="32"/>
        <v/>
      </c>
      <c r="BE41" t="str">
        <f t="shared" si="33"/>
        <v/>
      </c>
      <c r="BF41" t="str">
        <f t="shared" si="34"/>
        <v/>
      </c>
      <c r="BG41" t="str">
        <f t="shared" si="35"/>
        <v/>
      </c>
      <c r="BH41" t="str">
        <f t="shared" si="36"/>
        <v/>
      </c>
      <c r="BI41" t="str">
        <f t="shared" si="37"/>
        <v/>
      </c>
      <c r="BJ41" t="str">
        <f t="shared" si="38"/>
        <v/>
      </c>
      <c r="BK41" t="str">
        <f t="shared" si="39"/>
        <v/>
      </c>
      <c r="BL41" t="str">
        <f t="shared" si="40"/>
        <v/>
      </c>
      <c r="BM41" t="str">
        <f t="shared" si="41"/>
        <v/>
      </c>
      <c r="BN41" t="str">
        <f t="shared" si="42"/>
        <v/>
      </c>
      <c r="BO41" t="str">
        <f t="shared" si="43"/>
        <v/>
      </c>
      <c r="BP41" t="str">
        <f t="shared" si="44"/>
        <v/>
      </c>
      <c r="BQ41" t="str">
        <f t="shared" si="45"/>
        <v/>
      </c>
      <c r="BR41" t="str">
        <f t="shared" si="46"/>
        <v/>
      </c>
      <c r="BS41" t="str">
        <f t="shared" si="47"/>
        <v/>
      </c>
      <c r="BT41" t="str">
        <f t="shared" si="48"/>
        <v/>
      </c>
      <c r="BU41" t="str">
        <f t="shared" si="49"/>
        <v/>
      </c>
      <c r="BV41" t="str">
        <f t="shared" si="50"/>
        <v/>
      </c>
      <c r="BW41" t="str">
        <f t="shared" si="51"/>
        <v/>
      </c>
      <c r="BX41" t="str">
        <f t="shared" si="52"/>
        <v/>
      </c>
      <c r="BY41" t="str">
        <f t="shared" si="53"/>
        <v/>
      </c>
      <c r="BZ41" t="str">
        <f t="shared" si="54"/>
        <v/>
      </c>
      <c r="CA41" t="str">
        <f t="shared" si="55"/>
        <v/>
      </c>
      <c r="CB41" t="str">
        <f t="shared" si="56"/>
        <v/>
      </c>
      <c r="CC41" t="str">
        <f t="shared" si="57"/>
        <v/>
      </c>
      <c r="CD41" t="str">
        <f t="shared" si="58"/>
        <v/>
      </c>
      <c r="CE41" t="str">
        <f t="shared" si="59"/>
        <v/>
      </c>
      <c r="CF41" t="str">
        <f t="shared" si="60"/>
        <v/>
      </c>
      <c r="CG41" t="str">
        <f t="shared" si="61"/>
        <v/>
      </c>
      <c r="CH41" t="str">
        <f t="shared" ref="CH41:CH52" si="338">IF($N41="","",TRIM(MID(SUBSTITUTE($N41,",",REPT(" ",200)),2001,200)))</f>
        <v/>
      </c>
      <c r="CI41" t="str">
        <f t="shared" ref="CI41:CI52" si="339">IF(CH41="","",TRIM(IFERROR(LEFT(CH41,FIND("§",SUBSTITUTE(CH41," ","§",LEN(CH41)-LEN(SUBSTITUTE(CH41," ",""))))-1),CH41)))</f>
        <v/>
      </c>
      <c r="CJ41" t="str">
        <f>IF($CI41="","",IF(OR($DW41="",$DX41=""),"ONZEKER",IF(OR($CF41="",$CG41=""),"ONZEKER",IF(AND($DW41=$CF41+1,$DX41=$CG41),IF(OR(COUNTIF(#REF!,$B41)&gt;0,COUNTIF(#REF!,$B41)=0),"SKIP",IF(COUNTIFS(#REF!,$B41,#REF!,$CI41)&gt;0,"OK","ONBEKEND")),IF(AND($DW41=$CF41,$DX41=$CG41+1),IF(OR(COUNTIF(#REF!,$D41)&gt;0,COUNTIF(#REF!,$D41)=0),"SKIP",IF(COUNTIFS(#REF!,$D41,#REF!,$CI41)&gt;0,"OK","ONBEKEND")),"ONZEKER")))))</f>
        <v/>
      </c>
      <c r="CK41" t="str">
        <f t="shared" ref="CK41:CK52" si="340">IF($N41="","",TRIM(MID(SUBSTITUTE($N41,",",REPT(" ",200)),2201,200)))</f>
        <v/>
      </c>
      <c r="CL41" t="str">
        <f t="shared" ref="CL41:CL52" si="341">IF(CK41="","",TRIM(IFERROR(LEFT(CK41,FIND("§",SUBSTITUTE(CK41," ","§",LEN(CK41)-LEN(SUBSTITUTE(CK41," ",""))))-1),CK41)))</f>
        <v/>
      </c>
      <c r="CM41" t="str">
        <f>IF($CL41="","",IF(OR($DZ41="",$EA41=""),"ONZEKER",IF(OR($DW41="",$DX41=""),"ONZEKER",IF(AND($DZ41=$DW41+1,$EA41=$DX41),IF(OR(COUNTIF(#REF!,$B41)&gt;0,COUNTIF(#REF!,$B41)=0),"SKIP",IF(COUNTIFS(#REF!,$B41,#REF!,$CL41)&gt;0,"OK","ONBEKEND")),IF(AND($DZ41=$DW41,$EA41=$DX41+1),IF(OR(COUNTIF(#REF!,$D41)&gt;0,COUNTIF(#REF!,$D41)=0),"SKIP",IF(COUNTIFS(#REF!,$D41,#REF!,$CL41)&gt;0,"OK","ONBEKEND")),"ONZEKER")))))</f>
        <v/>
      </c>
      <c r="CN41" t="str">
        <f t="shared" ref="CN41:CN52" si="342">IF($N41="","",TRIM(MID(SUBSTITUTE($N41,",",REPT(" ",200)),2401,200)))</f>
        <v/>
      </c>
      <c r="CO41" t="str">
        <f t="shared" ref="CO41:CO52" si="343">IF(CN41="","",TRIM(IFERROR(LEFT(CN41,FIND("§",SUBSTITUTE(CN41," ","§",LEN(CN41)-LEN(SUBSTITUTE(CN41," ",""))))-1),CN41)))</f>
        <v/>
      </c>
      <c r="CP41" t="str">
        <f>IF($CO41="","",IF(OR($EC41="",$ED41=""),"ONZEKER",IF(OR($DZ41="",$EA41=""),"ONZEKER",IF(AND($EC41=$DZ41+1,$ED41=$EA41),IF(OR(COUNTIF(#REF!,$B41)&gt;0,COUNTIF(#REF!,$B41)=0),"SKIP",IF(COUNTIFS(#REF!,$B41,#REF!,$CO41)&gt;0,"OK","ONBEKEND")),IF(AND($EC41=$DZ41,$ED41=$EA41+1),IF(OR(COUNTIF(#REF!,$D41)&gt;0,COUNTIF(#REF!,$D41)=0),"SKIP",IF(COUNTIFS(#REF!,$D41,#REF!,$CO41)&gt;0,"OK","ONBEKEND")),"ONZEKER")))))</f>
        <v/>
      </c>
      <c r="CQ41" t="str">
        <f t="shared" ref="CQ41:CQ52" si="344">IF($N41="","",TRIM(MID(SUBSTITUTE($N41,",",REPT(" ",200)),2601,200)))</f>
        <v/>
      </c>
      <c r="CR41" t="str">
        <f t="shared" ref="CR41:CR52" si="345">IF(CQ41="","",TRIM(IFERROR(LEFT(CQ41,FIND("§",SUBSTITUTE(CQ41," ","§",LEN(CQ41)-LEN(SUBSTITUTE(CQ41," ",""))))-1),CQ41)))</f>
        <v/>
      </c>
      <c r="CS41" t="str">
        <f>IF($CR41="","",IF(OR($EF41="",$EG41=""),"ONZEKER",IF(OR($EC41="",$ED41=""),"ONZEKER",IF(AND($EF41=$EC41+1,$EG41=$ED41),IF(OR(COUNTIF(#REF!,$B41)&gt;0,COUNTIF(#REF!,$B41)=0),"SKIP",IF(COUNTIFS(#REF!,$B41,#REF!,$CR41)&gt;0,"OK","ONBEKEND")),IF(AND($EF41=$EC41,$EG41=$ED41+1),IF(OR(COUNTIF(#REF!,$D41)&gt;0,COUNTIF(#REF!,$D41)=0),"SKIP",IF(COUNTIFS(#REF!,$D41,#REF!,$CR41)&gt;0,"OK","ONBEKEND")),"ONZEKER")))))</f>
        <v/>
      </c>
      <c r="CT41" t="str">
        <f t="shared" ref="CT41:CT52" si="346">IF($N41="","",TRIM(MID(SUBSTITUTE($N41,",",REPT(" ",200)),2801,200)))</f>
        <v/>
      </c>
      <c r="CU41" t="str">
        <f t="shared" ref="CU41:CU52" si="347">IF(CT41="","",TRIM(IFERROR(LEFT(CT41,FIND("§",SUBSTITUTE(CT41," ","§",LEN(CT41)-LEN(SUBSTITUTE(CT41," ",""))))-1),CT41)))</f>
        <v/>
      </c>
      <c r="CV41" t="str">
        <f>IF($CU41="","",IF(OR($EI41="",$EJ41=""),"ONZEKER",IF(OR($EF41="",$EG41=""),"ONZEKER",IF(AND($EI41=$EF41+1,$EJ41=$EG41),IF(OR(COUNTIF(#REF!,$B41)&gt;0,COUNTIF(#REF!,$B41)=0),"SKIP",IF(COUNTIFS(#REF!,$B41,#REF!,$CU41)&gt;0,"OK","ONBEKEND")),IF(AND($EI41=$EF41,$EJ41=$EG41+1),IF(OR(COUNTIF(#REF!,$D41)&gt;0,COUNTIF(#REF!,$D41)=0),"SKIP",IF(COUNTIFS(#REF!,$D41,#REF!,$CU41)&gt;0,"OK","ONBEKEND")),"ONZEKER")))))</f>
        <v/>
      </c>
      <c r="CW41" t="str">
        <f t="shared" ref="CW41:CW52" si="348">IF($N41="","",TRIM(MID(SUBSTITUTE($N41,",",REPT(" ",200)),3001,200)))</f>
        <v/>
      </c>
      <c r="CX41" t="str">
        <f t="shared" ref="CX41:CX52" si="349">IF(CW41="","",TRIM(IFERROR(LEFT(CW41,FIND("§",SUBSTITUTE(CW41," ","§",LEN(CW41)-LEN(SUBSTITUTE(CW41," ",""))))-1),CW41)))</f>
        <v/>
      </c>
      <c r="CY41" t="str">
        <f>IF($CX41="","",IF(OR($EL41="",$EM41=""),"ONZEKER",IF(OR($EI41="",$EJ41=""),"ONZEKER",IF(AND($EL41=$EI41+1,$EM41=$EJ41),IF(OR(COUNTIF(#REF!,$B41)&gt;0,COUNTIF(#REF!,$B41)=0),"SKIP",IF(COUNTIFS(#REF!,$B41,#REF!,$CX41)&gt;0,"OK","ONBEKEND")),IF(AND($EL41=$EI41,$EM41=$EJ41+1),IF(OR(COUNTIF(#REF!,$D41)&gt;0,COUNTIF(#REF!,$D41)=0),"SKIP",IF(COUNTIFS(#REF!,$D41,#REF!,$CX41)&gt;0,"OK","ONBEKEND")),"ONZEKER")))))</f>
        <v/>
      </c>
      <c r="CZ41" t="str">
        <f t="shared" ref="CZ41:CZ52" si="350">IF($N41="","",TRIM(MID(SUBSTITUTE($N41,",",REPT(" ",200)),3201,200)))</f>
        <v/>
      </c>
      <c r="DA41" t="str">
        <f t="shared" ref="DA41:DA52" si="351">IF(CZ41="","",TRIM(IFERROR(LEFT(CZ41,FIND("§",SUBSTITUTE(CZ41," ","§",LEN(CZ41)-LEN(SUBSTITUTE(CZ41," ",""))))-1),CZ41)))</f>
        <v/>
      </c>
      <c r="DB41" t="str">
        <f>IF($DA41="","",IF(OR($EO41="",$EP41=""),"ONZEKER",IF(OR($EL41="",$EM41=""),"ONZEKER",IF(AND($EO41=$EL41+1,$EP41=$EM41),IF(OR(COUNTIF(#REF!,$B41)&gt;0,COUNTIF(#REF!,$B41)=0),"SKIP",IF(COUNTIFS(#REF!,$B41,#REF!,$DA41)&gt;0,"OK","ONBEKEND")),IF(AND($EO41=$EL41,$EP41=$EM41+1),IF(OR(COUNTIF(#REF!,$D41)&gt;0,COUNTIF(#REF!,$D41)=0),"SKIP",IF(COUNTIFS(#REF!,$D41,#REF!,$DA41)&gt;0,"OK","ONBEKEND")),"ONZEKER")))))</f>
        <v/>
      </c>
      <c r="DC41" t="str">
        <f t="shared" ref="DC41:DC52" si="352">IF($N41="","",TRIM(MID(SUBSTITUTE($N41,",",REPT(" ",200)),3401,200)))</f>
        <v/>
      </c>
      <c r="DD41" t="str">
        <f t="shared" ref="DD41:DD52" si="353">IF(DC41="","",TRIM(IFERROR(LEFT(DC41,FIND("§",SUBSTITUTE(DC41," ","§",LEN(DC41)-LEN(SUBSTITUTE(DC41," ",""))))-1),DC41)))</f>
        <v/>
      </c>
      <c r="DE41" t="str">
        <f>IF($DD41="","",IF(OR($ER41="",$ES41=""),"ONZEKER",IF(OR($EO41="",$EP41=""),"ONZEKER",IF(AND($ER41=$EO41+1,$ES41=$EP41),IF(OR(COUNTIF(#REF!,$B41)&gt;0,COUNTIF(#REF!,$B41)=0),"SKIP",IF(COUNTIFS(#REF!,$B41,#REF!,$DD41)&gt;0,"OK","ONBEKEND")),IF(AND($ER41=$EO41,$ES41=$EP41+1),IF(OR(COUNTIF(#REF!,$D41)&gt;0,COUNTIF(#REF!,$D41)=0),"SKIP",IF(COUNTIFS(#REF!,$D41,#REF!,$DD41)&gt;0,"OK","ONBEKEND")),"ONZEKER")))))</f>
        <v/>
      </c>
      <c r="DF41" t="str">
        <f t="shared" ref="DF41:DF52" si="354">IF($N41="","",TRIM(MID(SUBSTITUTE($N41,",",REPT(" ",200)),3601,200)))</f>
        <v/>
      </c>
      <c r="DG41" t="str">
        <f t="shared" ref="DG41:DG52" si="355">IF(DF41="","",TRIM(IFERROR(LEFT(DF41,FIND("§",SUBSTITUTE(DF41," ","§",LEN(DF41)-LEN(SUBSTITUTE(DF41," ",""))))-1),DF41)))</f>
        <v/>
      </c>
      <c r="DH41" t="str">
        <f>IF($DG41="","",IF(OR($EU41="",$EV41=""),"ONZEKER",IF(OR($ER41="",$ES41=""),"ONZEKER",IF(AND($EU41=$ER41+1,$EV41=$ES41),IF(OR(COUNTIF(#REF!,$B41)&gt;0,COUNTIF(#REF!,$B41)=0),"SKIP",IF(COUNTIFS(#REF!,$B41,#REF!,$DG41)&gt;0,"OK","ONBEKEND")),IF(AND($EU41=$ER41,$EV41=$ES41+1),IF(OR(COUNTIF(#REF!,$D41)&gt;0,COUNTIF(#REF!,$D41)=0),"SKIP",IF(COUNTIFS(#REF!,$D41,#REF!,$DG41)&gt;0,"OK","ONBEKEND")),"ONZEKER")))))</f>
        <v/>
      </c>
      <c r="DI41" t="str">
        <f t="shared" ref="DI41:DI52" si="356">IF($N41="","",TRIM(MID(SUBSTITUTE($N41,",",REPT(" ",200)),3801,200)))</f>
        <v/>
      </c>
      <c r="DJ41" t="str">
        <f t="shared" ref="DJ41:DJ52" si="357">IF(DI41="","",TRIM(IFERROR(LEFT(DI41,FIND("§",SUBSTITUTE(DI41," ","§",LEN(DI41)-LEN(SUBSTITUTE(DI41," ",""))))-1),DI41)))</f>
        <v/>
      </c>
      <c r="DK41" t="str">
        <f>IF($DJ41="","",IF(OR($EX41="",$EY41=""),"ONZEKER",IF(OR($EU41="",$EV41=""),"ONZEKER",IF(AND($EX41=$EU41+1,$EY41=$EV41),IF(OR(COUNTIF(#REF!,$B41)&gt;0,COUNTIF(#REF!,$B41)=0),"SKIP",IF(COUNTIFS(#REF!,$B41,#REF!,$DJ41)&gt;0,"OK","ONBEKEND")),IF(AND($EX41=$EU41,$EY41=$EV41+1),IF(OR(COUNTIF(#REF!,$D41)&gt;0,COUNTIF(#REF!,$D41)=0),"SKIP",IF(COUNTIFS(#REF!,$D41,#REF!,$DJ41)&gt;0,"OK","ONBEKEND")),"ONZEKER")))))</f>
        <v/>
      </c>
      <c r="DL41" t="str">
        <f t="shared" ref="DL41:DL52" si="358">IF($CJ41="ONBEKEND",$CI41,"")</f>
        <v/>
      </c>
      <c r="DM41" t="str">
        <f t="shared" ref="DM41:DM52" si="359">IF($CM41="ONBEKEND",$CL41,"")</f>
        <v/>
      </c>
      <c r="DN41" t="str">
        <f t="shared" ref="DN41:DN52" si="360">IF($CP41="ONBEKEND",$CO41,"")</f>
        <v/>
      </c>
      <c r="DO41" t="str">
        <f t="shared" ref="DO41:DO52" si="361">IF($CS41="ONBEKEND",$CR41,"")</f>
        <v/>
      </c>
      <c r="DP41" t="str">
        <f t="shared" ref="DP41:DP52" si="362">IF($CV41="ONBEKEND",$CU41,"")</f>
        <v/>
      </c>
      <c r="DQ41" t="str">
        <f t="shared" ref="DQ41:DQ52" si="363">IF($CY41="ONBEKEND",$CX41,"")</f>
        <v/>
      </c>
      <c r="DR41" t="str">
        <f t="shared" ref="DR41:DR52" si="364">IF($DB41="ONBEKEND",$DA41,"")</f>
        <v/>
      </c>
      <c r="DS41" t="str">
        <f t="shared" ref="DS41:DS52" si="365">IF($DE41="ONBEKEND",$DD41,"")</f>
        <v/>
      </c>
      <c r="DT41" t="str">
        <f t="shared" ref="DT41:DT52" si="366">IF($DH41="ONBEKEND",$DG41,"")</f>
        <v/>
      </c>
      <c r="DU41" t="str">
        <f t="shared" ref="DU41:DU52" si="367">IF($DK41="ONBEKEND",$DJ41,"")</f>
        <v/>
      </c>
      <c r="DV41" t="str">
        <f t="shared" ref="DV41:DV52" si="368">IF($CH41="","",TRIM(IFERROR(RIGHT($CH41,LEN($CH41)-FIND("§",SUBSTITUTE($CH41," ","§",LEN($CH41)-LEN(SUBSTITUTE($CH41," ",""))))),"")))</f>
        <v/>
      </c>
      <c r="DW41" t="str">
        <f t="shared" ref="DW41:DW52" si="369">IF($DV41="","",IFERROR(VALUE(LEFT($DV41,FIND("-",$DV41)-1)),""))</f>
        <v/>
      </c>
      <c r="DX41" t="str">
        <f t="shared" ref="DX41:DX52" si="370">IF($DV41="","",IFERROR(VALUE(MID($DV41,FIND("-",$DV41)+1,99)),""))</f>
        <v/>
      </c>
      <c r="DY41" t="str">
        <f t="shared" ref="DY41:DY52" si="371">IF($CK41="","",TRIM(IFERROR(RIGHT($CK41,LEN($CK41)-FIND("§",SUBSTITUTE($CK41," ","§",LEN($CK41)-LEN(SUBSTITUTE($CK41," ",""))))),"")))</f>
        <v/>
      </c>
      <c r="DZ41" t="str">
        <f t="shared" ref="DZ41:DZ52" si="372">IF($DY41="","",IFERROR(VALUE(LEFT($DY41,FIND("-",$DY41)-1)),""))</f>
        <v/>
      </c>
      <c r="EA41" t="str">
        <f t="shared" ref="EA41:EA52" si="373">IF($DY41="","",IFERROR(VALUE(MID($DY41,FIND("-",$DY41)+1,99)),""))</f>
        <v/>
      </c>
      <c r="EB41" t="str">
        <f t="shared" ref="EB41:EB52" si="374">IF($CN41="","",TRIM(IFERROR(RIGHT($CN41,LEN($CN41)-FIND("§",SUBSTITUTE($CN41," ","§",LEN($CN41)-LEN(SUBSTITUTE($CN41," ",""))))),"")))</f>
        <v/>
      </c>
      <c r="EC41" t="str">
        <f t="shared" ref="EC41:EC52" si="375">IF($EB41="","",IFERROR(VALUE(LEFT($EB41,FIND("-",$EB41)-1)),""))</f>
        <v/>
      </c>
      <c r="ED41" t="str">
        <f t="shared" ref="ED41:ED52" si="376">IF($EB41="","",IFERROR(VALUE(MID($EB41,FIND("-",$EB41)+1,99)),""))</f>
        <v/>
      </c>
      <c r="EE41" t="str">
        <f t="shared" ref="EE41:EE52" si="377">IF($CQ41="","",TRIM(IFERROR(RIGHT($CQ41,LEN($CQ41)-FIND("§",SUBSTITUTE($CQ41," ","§",LEN($CQ41)-LEN(SUBSTITUTE($CQ41," ",""))))),"")))</f>
        <v/>
      </c>
      <c r="EF41" t="str">
        <f t="shared" ref="EF41:EF52" si="378">IF($EE41="","",IFERROR(VALUE(LEFT($EE41,FIND("-",$EE41)-1)),""))</f>
        <v/>
      </c>
      <c r="EG41" t="str">
        <f t="shared" ref="EG41:EG52" si="379">IF($EE41="","",IFERROR(VALUE(MID($EE41,FIND("-",$EE41)+1,99)),""))</f>
        <v/>
      </c>
      <c r="EH41" t="str">
        <f t="shared" ref="EH41:EH52" si="380">IF($CT41="","",TRIM(IFERROR(RIGHT($CT41,LEN($CT41)-FIND("§",SUBSTITUTE($CT41," ","§",LEN($CT41)-LEN(SUBSTITUTE($CT41," ",""))))),"")))</f>
        <v/>
      </c>
      <c r="EI41" t="str">
        <f t="shared" ref="EI41:EI52" si="381">IF($EH41="","",IFERROR(VALUE(LEFT($EH41,FIND("-",$EH41)-1)),""))</f>
        <v/>
      </c>
      <c r="EJ41" t="str">
        <f t="shared" ref="EJ41:EJ52" si="382">IF($EH41="","",IFERROR(VALUE(MID($EH41,FIND("-",$EH41)+1,99)),""))</f>
        <v/>
      </c>
      <c r="EK41" t="str">
        <f t="shared" ref="EK41:EK52" si="383">IF($CW41="","",TRIM(IFERROR(RIGHT($CW41,LEN($CW41)-FIND("§",SUBSTITUTE($CW41," ","§",LEN($CW41)-LEN(SUBSTITUTE($CW41," ",""))))),"")))</f>
        <v/>
      </c>
      <c r="EL41" t="str">
        <f t="shared" ref="EL41:EL52" si="384">IF($EK41="","",IFERROR(VALUE(LEFT($EK41,FIND("-",$EK41)-1)),""))</f>
        <v/>
      </c>
      <c r="EM41" t="str">
        <f t="shared" ref="EM41:EM52" si="385">IF($EK41="","",IFERROR(VALUE(MID($EK41,FIND("-",$EK41)+1,99)),""))</f>
        <v/>
      </c>
      <c r="EN41" t="str">
        <f t="shared" ref="EN41:EN52" si="386">IF($CZ41="","",TRIM(IFERROR(RIGHT($CZ41,LEN($CZ41)-FIND("§",SUBSTITUTE($CZ41," ","§",LEN($CZ41)-LEN(SUBSTITUTE($CZ41," ",""))))),"")))</f>
        <v/>
      </c>
      <c r="EO41" t="str">
        <f t="shared" ref="EO41:EO52" si="387">IF($EN41="","",IFERROR(VALUE(LEFT($EN41,FIND("-",$EN41)-1)),""))</f>
        <v/>
      </c>
      <c r="EP41" t="str">
        <f t="shared" ref="EP41:EP52" si="388">IF($EN41="","",IFERROR(VALUE(MID($EN41,FIND("-",$EN41)+1,99)),""))</f>
        <v/>
      </c>
      <c r="EQ41" t="str">
        <f t="shared" ref="EQ41:EQ52" si="389">IF($DC41="","",TRIM(IFERROR(RIGHT($DC41,LEN($DC41)-FIND("§",SUBSTITUTE($DC41," ","§",LEN($DC41)-LEN(SUBSTITUTE($DC41," ",""))))),"")))</f>
        <v/>
      </c>
      <c r="ER41" t="str">
        <f t="shared" ref="ER41:ER52" si="390">IF($EQ41="","",IFERROR(VALUE(LEFT($EQ41,FIND("-",$EQ41)-1)),""))</f>
        <v/>
      </c>
      <c r="ES41" t="str">
        <f t="shared" ref="ES41:ES52" si="391">IF($EQ41="","",IFERROR(VALUE(MID($EQ41,FIND("-",$EQ41)+1,99)),""))</f>
        <v/>
      </c>
      <c r="ET41" t="str">
        <f t="shared" ref="ET41:ET52" si="392">IF($DF41="","",TRIM(IFERROR(RIGHT($DF41,LEN($DF41)-FIND("§",SUBSTITUTE($DF41," ","§",LEN($DF41)-LEN(SUBSTITUTE($DF41," ",""))))),"")))</f>
        <v/>
      </c>
      <c r="EU41" t="str">
        <f t="shared" ref="EU41:EU52" si="393">IF($ET41="","",IFERROR(VALUE(LEFT($ET41,FIND("-",$ET41)-1)),""))</f>
        <v/>
      </c>
      <c r="EV41" t="str">
        <f t="shared" ref="EV41:EV52" si="394">IF($ET41="","",IFERROR(VALUE(MID($ET41,FIND("-",$ET41)+1,99)),""))</f>
        <v/>
      </c>
      <c r="EW41" t="str">
        <f t="shared" ref="EW41:EW52" si="395">IF($DI41="","",TRIM(IFERROR(RIGHT($DI41,LEN($DI41)-FIND("§",SUBSTITUTE($DI41," ","§",LEN($DI41)-LEN(SUBSTITUTE($DI41," ",""))))),"")))</f>
        <v/>
      </c>
      <c r="EX41" t="str">
        <f t="shared" ref="EX41:EX52" si="396">IF($EW41="","",IFERROR(VALUE(LEFT($EW41,FIND("-",$EW41)-1)),""))</f>
        <v/>
      </c>
      <c r="EY41" t="str">
        <f t="shared" ref="EY41:EY52" si="397">IF($EW41="","",IFERROR(VALUE(MID($EW41,FIND("-",$EW41)+1,99)),""))</f>
        <v/>
      </c>
    </row>
    <row r="42" spans="1:155" ht="13.9" customHeight="1" x14ac:dyDescent="0.25">
      <c r="A42" s="7"/>
      <c r="B42" s="17"/>
      <c r="C42" s="8"/>
      <c r="D42" s="17"/>
      <c r="E42" s="8"/>
      <c r="F42" s="18">
        <v>0</v>
      </c>
      <c r="G42" s="7" t="s">
        <v>147</v>
      </c>
      <c r="H42" s="18">
        <v>0</v>
      </c>
      <c r="I42" s="19">
        <v>0</v>
      </c>
      <c r="J42" s="7" t="s">
        <v>147</v>
      </c>
      <c r="K42" s="19">
        <v>0</v>
      </c>
      <c r="L42" s="9"/>
      <c r="M42" s="3" t="str">
        <f>IF($L42="","",IF($L42="DOELPUNTENMAKERS","",IF(AND(COUNTIF(#REF!,$B42)=0,COUNTIF(#REF!,$D42)=0),"OK",IF($O42&gt;20,"LET OP: meer dan 20 items (controle onvolledig)",IF((COUNTIF($R42:$AS42,"ONZEKER")+COUNTIF($CJ42:$DK42,"ONZEKER"))&gt;0,"LET OP: scoreverloop onduidelijk (controle beperkt)",IF((IF($AT42&lt;&gt;"",$AT42&amp;", ","")&amp;IF($AU42&lt;&gt;"",$AU42&amp;", ","")&amp;IF($AV42&lt;&gt;"",$AV42&amp;", ","")&amp;IF($AW42&lt;&gt;"",$AW42&amp;", ","")&amp;IF($AX42&lt;&gt;"",$AX42&amp;", ","")&amp;IF($AY42&lt;&gt;"",$AY42&amp;", ","")&amp;IF($AZ42&lt;&gt;"",$AZ42&amp;", ","")&amp;IF($BA42&lt;&gt;"",$BA42&amp;", ","")&amp;IF($BB42&lt;&gt;"",$BB42&amp;", ","")&amp;IF($BC42&lt;&gt;"",$BC42&amp;", ","")&amp;IF($DL42&lt;&gt;"",$DL42&amp;", ","")&amp;IF($DM42&lt;&gt;"",$DM42&amp;", ","")&amp;IF($DN42&lt;&gt;"",$DN42&amp;", ","")&amp;IF($DO42&lt;&gt;"",$DO42&amp;", ","")&amp;IF($DP42&lt;&gt;"",$DP42&amp;", ","")&amp;IF($DQ42&lt;&gt;"",$DQ42&amp;", ","")&amp;IF($DR42&lt;&gt;"",$DR42&amp;", ","")&amp;IF($DS42&lt;&gt;"",$DS42&amp;", ","")&amp;IF($DT42&lt;&gt;"",$DT42&amp;", ","")&amp;IF($DU42&lt;&gt;"",$DU42&amp;", ",""))="","OK","Onbekend: "&amp;LEFT((IF($AT42&lt;&gt;"",$AT42&amp;", ","")&amp;IF($AU42&lt;&gt;"",$AU42&amp;", ","")&amp;IF($AV42&lt;&gt;"",$AV42&amp;", ","")&amp;IF($AW42&lt;&gt;"",$AW42&amp;", ","")&amp;IF($AX42&lt;&gt;"",$AX42&amp;", ","")&amp;IF($AY42&lt;&gt;"",$AY42&amp;", ","")&amp;IF($AZ42&lt;&gt;"",$AZ42&amp;", ","")&amp;IF($BA42&lt;&gt;"",$BA42&amp;", ","")&amp;IF($BB42&lt;&gt;"",$BB42&amp;", ","")&amp;IF($BC42&lt;&gt;"",$BC42&amp;", ","")&amp;IF($DL42&lt;&gt;"",$DL42&amp;", ","")&amp;IF($DM42&lt;&gt;"",$DM42&amp;", ","")&amp;IF($DN42&lt;&gt;"",$DN42&amp;", ","")&amp;IF($DO42&lt;&gt;"",$DO42&amp;", ","")&amp;IF($DP42&lt;&gt;"",$DP42&amp;", ","")&amp;IF($DQ42&lt;&gt;"",$DQ42&amp;", ","")&amp;IF($DR42&lt;&gt;"",$DR42&amp;", ","")&amp;IF($DS42&lt;&gt;"",$DS42&amp;", ","")&amp;IF($DT42&lt;&gt;"",$DT42&amp;", ","")&amp;IF($DU42&lt;&gt;"",$DU42&amp;", ","")),LEN((IF($AT42&lt;&gt;"",$AT42&amp;", ","")&amp;IF($AU42&lt;&gt;"",$AU42&amp;", ","")&amp;IF($AV42&lt;&gt;"",$AV42&amp;", ","")&amp;IF($AW42&lt;&gt;"",$AW42&amp;", ","")&amp;IF($AX42&lt;&gt;"",$AX42&amp;", ","")&amp;IF($AY42&lt;&gt;"",$AY42&amp;", ","")&amp;IF($AZ42&lt;&gt;"",$AZ42&amp;", ","")&amp;IF($BA42&lt;&gt;"",$BA42&amp;", ","")&amp;IF($BB42&lt;&gt;"",$BB42&amp;", ","")&amp;IF($BC42&lt;&gt;"",$BC42&amp;", ","")&amp;IF($DL42&lt;&gt;"",$DL42&amp;", ","")&amp;IF($DM42&lt;&gt;"",$DM42&amp;", ","")&amp;IF($DN42&lt;&gt;"",$DN42&amp;", ","")&amp;IF($DO42&lt;&gt;"",$DO42&amp;", ","")&amp;IF($DP42&lt;&gt;"",$DP42&amp;", ","")&amp;IF($DQ42&lt;&gt;"",$DQ42&amp;", ","")&amp;IF($DR42&lt;&gt;"",$DR42&amp;", ","")&amp;IF($DS42&lt;&gt;"",$DS42&amp;", ","")&amp;IF($DT42&lt;&gt;"",$DT42&amp;", ","")&amp;IF($DU42&lt;&gt;"",$DU42&amp;", ","")))-2)))))))</f>
        <v/>
      </c>
      <c r="N42" t="str">
        <f t="shared" si="306"/>
        <v/>
      </c>
      <c r="O42" t="str">
        <f t="shared" si="307"/>
        <v/>
      </c>
      <c r="P42" t="str">
        <f t="shared" si="308"/>
        <v/>
      </c>
      <c r="Q42" t="str">
        <f t="shared" si="309"/>
        <v/>
      </c>
      <c r="R42" t="str">
        <f>IF($Q42="","",IF(OR($BE42="",$BF42=""),"ONZEKER",IF(AND($BE42=0+1,$BF42=0),IF(OR(COUNTIF(#REF!,$B42)&gt;0,COUNTIF(#REF!,$B42)=0),"SKIP",IF(COUNTIFS(#REF!,$B42,#REF!,$Q42)&gt;0,"OK","ONBEKEND")),IF(AND($BE42=0,$BF42=0+1),IF(OR(COUNTIF(#REF!,$D42)&gt;0,COUNTIF(#REF!,$D42)=0),"SKIP",IF(COUNTIFS(#REF!,$D42,#REF!,$Q42)&gt;0,"OK","ONBEKEND")),"ONZEKER"))))</f>
        <v/>
      </c>
      <c r="S42" t="str">
        <f t="shared" si="310"/>
        <v/>
      </c>
      <c r="T42" t="str">
        <f t="shared" si="311"/>
        <v/>
      </c>
      <c r="U42" t="str">
        <f>IF($T42="","",IF(OR($BH42="",$BI42=""),"ONZEKER",IF(OR($BE42="",$BF42=""),"ONZEKER",IF(AND($BH42=$BE42+1,$BI42=$BF42),IF(OR(COUNTIF(#REF!,$B42)&gt;0,COUNTIF(#REF!,$B42)=0),"SKIP",IF(COUNTIFS(#REF!,$B42,#REF!,$T42)&gt;0,"OK","ONBEKEND")),IF(AND($BH42=$BE42,$BI42=$BF42+1),IF(OR(COUNTIF(#REF!,$D42)&gt;0,COUNTIF(#REF!,$D42)=0),"SKIP",IF(COUNTIFS(#REF!,$D42,#REF!,$T42)&gt;0,"OK","ONBEKEND")),"ONZEKER")))))</f>
        <v/>
      </c>
      <c r="V42" t="str">
        <f t="shared" si="312"/>
        <v/>
      </c>
      <c r="W42" t="str">
        <f t="shared" si="313"/>
        <v/>
      </c>
      <c r="X42" t="str">
        <f>IF($W42="","",IF(OR($BK42="",$BL42=""),"ONZEKER",IF(OR($BH42="",$BI42=""),"ONZEKER",IF(AND($BK42=$BH42+1,$BL42=$BI42),IF(OR(COUNTIF(#REF!,$B42)&gt;0,COUNTIF(#REF!,$B42)=0),"SKIP",IF(COUNTIFS(#REF!,$B42,#REF!,$W42)&gt;0,"OK","ONBEKEND")),IF(AND($BK42=$BH42,$BL42=$BI42+1),IF(OR(COUNTIF(#REF!,$D42)&gt;0,COUNTIF(#REF!,$D42)=0),"SKIP",IF(COUNTIFS(#REF!,$D42,#REF!,$W42)&gt;0,"OK","ONBEKEND")),"ONZEKER")))))</f>
        <v/>
      </c>
      <c r="Y42" t="str">
        <f t="shared" si="314"/>
        <v/>
      </c>
      <c r="Z42" t="str">
        <f t="shared" si="315"/>
        <v/>
      </c>
      <c r="AA42" t="str">
        <f>IF($Z42="","",IF(OR($BN42="",$BO42=""),"ONZEKER",IF(OR($BK42="",$BL42=""),"ONZEKER",IF(AND($BN42=$BK42+1,$BO42=$BL42),IF(OR(COUNTIF(#REF!,$B42)&gt;0,COUNTIF(#REF!,$B42)=0),"SKIP",IF(COUNTIFS(#REF!,$B42,#REF!,$Z42)&gt;0,"OK","ONBEKEND")),IF(AND($BN42=$BK42,$BO42=$BL42+1),IF(OR(COUNTIF(#REF!,$D42)&gt;0,COUNTIF(#REF!,$D42)=0),"SKIP",IF(COUNTIFS(#REF!,$D42,#REF!,$Z42)&gt;0,"OK","ONBEKEND")),"ONZEKER")))))</f>
        <v/>
      </c>
      <c r="AB42" t="str">
        <f t="shared" si="316"/>
        <v/>
      </c>
      <c r="AC42" t="str">
        <f t="shared" si="317"/>
        <v/>
      </c>
      <c r="AD42" t="str">
        <f>IF($AC42="","",IF(OR($BQ42="",$BR42=""),"ONZEKER",IF(OR($BN42="",$BO42=""),"ONZEKER",IF(AND($BQ42=$BN42+1,$BR42=$BO42),IF(OR(COUNTIF(#REF!,$B42)&gt;0,COUNTIF(#REF!,$B42)=0),"SKIP",IF(COUNTIFS(#REF!,$B42,#REF!,$AC42)&gt;0,"OK","ONBEKEND")),IF(AND($BQ42=$BN42,$BR42=$BO42+1),IF(OR(COUNTIF(#REF!,$D42)&gt;0,COUNTIF(#REF!,$D42)=0),"SKIP",IF(COUNTIFS(#REF!,$D42,#REF!,$AC42)&gt;0,"OK","ONBEKEND")),"ONZEKER")))))</f>
        <v/>
      </c>
      <c r="AE42" t="str">
        <f t="shared" si="318"/>
        <v/>
      </c>
      <c r="AF42" t="str">
        <f t="shared" si="319"/>
        <v/>
      </c>
      <c r="AG42" t="str">
        <f>IF($AF42="","",IF(OR($BT42="",$BU42=""),"ONZEKER",IF(OR($BQ42="",$BR42=""),"ONZEKER",IF(AND($BT42=$BQ42+1,$BU42=$BR42),IF(OR(COUNTIF(#REF!,$B42)&gt;0,COUNTIF(#REF!,$B42)=0),"SKIP",IF(COUNTIFS(#REF!,$B42,#REF!,$AF42)&gt;0,"OK","ONBEKEND")),IF(AND($BT42=$BQ42,$BU42=$BR42+1),IF(OR(COUNTIF(#REF!,$D42)&gt;0,COUNTIF(#REF!,$D42)=0),"SKIP",IF(COUNTIFS(#REF!,$D42,#REF!,$AF42)&gt;0,"OK","ONBEKEND")),"ONZEKER")))))</f>
        <v/>
      </c>
      <c r="AH42" t="str">
        <f t="shared" si="320"/>
        <v/>
      </c>
      <c r="AI42" t="str">
        <f t="shared" si="321"/>
        <v/>
      </c>
      <c r="AJ42" t="str">
        <f>IF($AI42="","",IF(OR($BW42="",$BX42=""),"ONZEKER",IF(OR($BT42="",$BU42=""),"ONZEKER",IF(AND($BW42=$BT42+1,$BX42=$BU42),IF(OR(COUNTIF(#REF!,$B42)&gt;0,COUNTIF(#REF!,$B42)=0),"SKIP",IF(COUNTIFS(#REF!,$B42,#REF!,$AI42)&gt;0,"OK","ONBEKEND")),IF(AND($BW42=$BT42,$BX42=$BU42+1),IF(OR(COUNTIF(#REF!,$D42)&gt;0,COUNTIF(#REF!,$D42)=0),"SKIP",IF(COUNTIFS(#REF!,$D42,#REF!,$AI42)&gt;0,"OK","ONBEKEND")),"ONZEKER")))))</f>
        <v/>
      </c>
      <c r="AK42" t="str">
        <f t="shared" si="322"/>
        <v/>
      </c>
      <c r="AL42" t="str">
        <f t="shared" si="323"/>
        <v/>
      </c>
      <c r="AM42" t="str">
        <f>IF($AL42="","",IF(OR($BZ42="",$CA42=""),"ONZEKER",IF(OR($BW42="",$BX42=""),"ONZEKER",IF(AND($BZ42=$BW42+1,$CA42=$BX42),IF(OR(COUNTIF(#REF!,$B42)&gt;0,COUNTIF(#REF!,$B42)=0),"SKIP",IF(COUNTIFS(#REF!,$B42,#REF!,$AL42)&gt;0,"OK","ONBEKEND")),IF(AND($BZ42=$BW42,$CA42=$BX42+1),IF(OR(COUNTIF(#REF!,$D42)&gt;0,COUNTIF(#REF!,$D42)=0),"SKIP",IF(COUNTIFS(#REF!,$D42,#REF!,$AL42)&gt;0,"OK","ONBEKEND")),"ONZEKER")))))</f>
        <v/>
      </c>
      <c r="AN42" t="str">
        <f t="shared" si="324"/>
        <v/>
      </c>
      <c r="AO42" t="str">
        <f t="shared" si="325"/>
        <v/>
      </c>
      <c r="AP42" t="str">
        <f>IF($AO42="","",IF(OR($CC42="",$CD42=""),"ONZEKER",IF(OR($BZ42="",$CA42=""),"ONZEKER",IF(AND($CC42=$BZ42+1,$CD42=$CA42),IF(OR(COUNTIF(#REF!,$B42)&gt;0,COUNTIF(#REF!,$B42)=0),"SKIP",IF(COUNTIFS(#REF!,$B42,#REF!,$AO42)&gt;0,"OK","ONBEKEND")),IF(AND($CC42=$BZ42,$CD42=$CA42+1),IF(OR(COUNTIF(#REF!,$D42)&gt;0,COUNTIF(#REF!,$D42)=0),"SKIP",IF(COUNTIFS(#REF!,$D42,#REF!,$AO42)&gt;0,"OK","ONBEKEND")),"ONZEKER")))))</f>
        <v/>
      </c>
      <c r="AQ42" t="str">
        <f t="shared" si="326"/>
        <v/>
      </c>
      <c r="AR42" t="str">
        <f t="shared" si="327"/>
        <v/>
      </c>
      <c r="AS42" t="str">
        <f>IF($AR42="","",IF(OR($CF42="",$CG42=""),"ONZEKER",IF(OR($CC42="",$CD42=""),"ONZEKER",IF(AND($CF42=$CC42+1,$CG42=$CD42),IF(OR(COUNTIF(#REF!,$B42)&gt;0,COUNTIF(#REF!,$B42)=0),"SKIP",IF(COUNTIFS(#REF!,$B42,#REF!,$AR42)&gt;0,"OK","ONBEKEND")),IF(AND($CF42=$CC42,$CG42=$CD42+1),IF(OR(COUNTIF(#REF!,$D42)&gt;0,COUNTIF(#REF!,$D42)=0),"SKIP",IF(COUNTIFS(#REF!,$D42,#REF!,$AR42)&gt;0,"OK","ONBEKEND")),"ONZEKER")))))</f>
        <v/>
      </c>
      <c r="AT42" t="str">
        <f t="shared" si="328"/>
        <v/>
      </c>
      <c r="AU42" t="str">
        <f t="shared" si="329"/>
        <v/>
      </c>
      <c r="AV42" t="str">
        <f t="shared" si="330"/>
        <v/>
      </c>
      <c r="AW42" t="str">
        <f t="shared" si="331"/>
        <v/>
      </c>
      <c r="AX42" t="str">
        <f t="shared" si="332"/>
        <v/>
      </c>
      <c r="AY42" t="str">
        <f t="shared" si="333"/>
        <v/>
      </c>
      <c r="AZ42" t="str">
        <f t="shared" si="334"/>
        <v/>
      </c>
      <c r="BA42" t="str">
        <f t="shared" si="335"/>
        <v/>
      </c>
      <c r="BB42" t="str">
        <f t="shared" si="336"/>
        <v/>
      </c>
      <c r="BC42" t="str">
        <f t="shared" si="337"/>
        <v/>
      </c>
      <c r="BD42" t="str">
        <f t="shared" si="32"/>
        <v/>
      </c>
      <c r="BE42" t="str">
        <f t="shared" si="33"/>
        <v/>
      </c>
      <c r="BF42" t="str">
        <f t="shared" si="34"/>
        <v/>
      </c>
      <c r="BG42" t="str">
        <f t="shared" si="35"/>
        <v/>
      </c>
      <c r="BH42" t="str">
        <f t="shared" si="36"/>
        <v/>
      </c>
      <c r="BI42" t="str">
        <f t="shared" si="37"/>
        <v/>
      </c>
      <c r="BJ42" t="str">
        <f t="shared" si="38"/>
        <v/>
      </c>
      <c r="BK42" t="str">
        <f t="shared" si="39"/>
        <v/>
      </c>
      <c r="BL42" t="str">
        <f t="shared" si="40"/>
        <v/>
      </c>
      <c r="BM42" t="str">
        <f t="shared" si="41"/>
        <v/>
      </c>
      <c r="BN42" t="str">
        <f t="shared" si="42"/>
        <v/>
      </c>
      <c r="BO42" t="str">
        <f t="shared" si="43"/>
        <v/>
      </c>
      <c r="BP42" t="str">
        <f t="shared" si="44"/>
        <v/>
      </c>
      <c r="BQ42" t="str">
        <f t="shared" si="45"/>
        <v/>
      </c>
      <c r="BR42" t="str">
        <f t="shared" si="46"/>
        <v/>
      </c>
      <c r="BS42" t="str">
        <f t="shared" si="47"/>
        <v/>
      </c>
      <c r="BT42" t="str">
        <f t="shared" si="48"/>
        <v/>
      </c>
      <c r="BU42" t="str">
        <f t="shared" si="49"/>
        <v/>
      </c>
      <c r="BV42" t="str">
        <f t="shared" si="50"/>
        <v/>
      </c>
      <c r="BW42" t="str">
        <f t="shared" si="51"/>
        <v/>
      </c>
      <c r="BX42" t="str">
        <f t="shared" si="52"/>
        <v/>
      </c>
      <c r="BY42" t="str">
        <f t="shared" si="53"/>
        <v/>
      </c>
      <c r="BZ42" t="str">
        <f t="shared" si="54"/>
        <v/>
      </c>
      <c r="CA42" t="str">
        <f t="shared" si="55"/>
        <v/>
      </c>
      <c r="CB42" t="str">
        <f t="shared" si="56"/>
        <v/>
      </c>
      <c r="CC42" t="str">
        <f t="shared" si="57"/>
        <v/>
      </c>
      <c r="CD42" t="str">
        <f t="shared" si="58"/>
        <v/>
      </c>
      <c r="CE42" t="str">
        <f t="shared" si="59"/>
        <v/>
      </c>
      <c r="CF42" t="str">
        <f t="shared" si="60"/>
        <v/>
      </c>
      <c r="CG42" t="str">
        <f t="shared" si="61"/>
        <v/>
      </c>
      <c r="CH42" t="str">
        <f t="shared" si="338"/>
        <v/>
      </c>
      <c r="CI42" t="str">
        <f t="shared" si="339"/>
        <v/>
      </c>
      <c r="CJ42" t="str">
        <f>IF($CI42="","",IF(OR($DW42="",$DX42=""),"ONZEKER",IF(OR($CF42="",$CG42=""),"ONZEKER",IF(AND($DW42=$CF42+1,$DX42=$CG42),IF(OR(COUNTIF(#REF!,$B42)&gt;0,COUNTIF(#REF!,$B42)=0),"SKIP",IF(COUNTIFS(#REF!,$B42,#REF!,$CI42)&gt;0,"OK","ONBEKEND")),IF(AND($DW42=$CF42,$DX42=$CG42+1),IF(OR(COUNTIF(#REF!,$D42)&gt;0,COUNTIF(#REF!,$D42)=0),"SKIP",IF(COUNTIFS(#REF!,$D42,#REF!,$CI42)&gt;0,"OK","ONBEKEND")),"ONZEKER")))))</f>
        <v/>
      </c>
      <c r="CK42" t="str">
        <f t="shared" si="340"/>
        <v/>
      </c>
      <c r="CL42" t="str">
        <f t="shared" si="341"/>
        <v/>
      </c>
      <c r="CM42" t="str">
        <f>IF($CL42="","",IF(OR($DZ42="",$EA42=""),"ONZEKER",IF(OR($DW42="",$DX42=""),"ONZEKER",IF(AND($DZ42=$DW42+1,$EA42=$DX42),IF(OR(COUNTIF(#REF!,$B42)&gt;0,COUNTIF(#REF!,$B42)=0),"SKIP",IF(COUNTIFS(#REF!,$B42,#REF!,$CL42)&gt;0,"OK","ONBEKEND")),IF(AND($DZ42=$DW42,$EA42=$DX42+1),IF(OR(COUNTIF(#REF!,$D42)&gt;0,COUNTIF(#REF!,$D42)=0),"SKIP",IF(COUNTIFS(#REF!,$D42,#REF!,$CL42)&gt;0,"OK","ONBEKEND")),"ONZEKER")))))</f>
        <v/>
      </c>
      <c r="CN42" t="str">
        <f t="shared" si="342"/>
        <v/>
      </c>
      <c r="CO42" t="str">
        <f t="shared" si="343"/>
        <v/>
      </c>
      <c r="CP42" t="str">
        <f>IF($CO42="","",IF(OR($EC42="",$ED42=""),"ONZEKER",IF(OR($DZ42="",$EA42=""),"ONZEKER",IF(AND($EC42=$DZ42+1,$ED42=$EA42),IF(OR(COUNTIF(#REF!,$B42)&gt;0,COUNTIF(#REF!,$B42)=0),"SKIP",IF(COUNTIFS(#REF!,$B42,#REF!,$CO42)&gt;0,"OK","ONBEKEND")),IF(AND($EC42=$DZ42,$ED42=$EA42+1),IF(OR(COUNTIF(#REF!,$D42)&gt;0,COUNTIF(#REF!,$D42)=0),"SKIP",IF(COUNTIFS(#REF!,$D42,#REF!,$CO42)&gt;0,"OK","ONBEKEND")),"ONZEKER")))))</f>
        <v/>
      </c>
      <c r="CQ42" t="str">
        <f t="shared" si="344"/>
        <v/>
      </c>
      <c r="CR42" t="str">
        <f t="shared" si="345"/>
        <v/>
      </c>
      <c r="CS42" t="str">
        <f>IF($CR42="","",IF(OR($EF42="",$EG42=""),"ONZEKER",IF(OR($EC42="",$ED42=""),"ONZEKER",IF(AND($EF42=$EC42+1,$EG42=$ED42),IF(OR(COUNTIF(#REF!,$B42)&gt;0,COUNTIF(#REF!,$B42)=0),"SKIP",IF(COUNTIFS(#REF!,$B42,#REF!,$CR42)&gt;0,"OK","ONBEKEND")),IF(AND($EF42=$EC42,$EG42=$ED42+1),IF(OR(COUNTIF(#REF!,$D42)&gt;0,COUNTIF(#REF!,$D42)=0),"SKIP",IF(COUNTIFS(#REF!,$D42,#REF!,$CR42)&gt;0,"OK","ONBEKEND")),"ONZEKER")))))</f>
        <v/>
      </c>
      <c r="CT42" t="str">
        <f t="shared" si="346"/>
        <v/>
      </c>
      <c r="CU42" t="str">
        <f t="shared" si="347"/>
        <v/>
      </c>
      <c r="CV42" t="str">
        <f>IF($CU42="","",IF(OR($EI42="",$EJ42=""),"ONZEKER",IF(OR($EF42="",$EG42=""),"ONZEKER",IF(AND($EI42=$EF42+1,$EJ42=$EG42),IF(OR(COUNTIF(#REF!,$B42)&gt;0,COUNTIF(#REF!,$B42)=0),"SKIP",IF(COUNTIFS(#REF!,$B42,#REF!,$CU42)&gt;0,"OK","ONBEKEND")),IF(AND($EI42=$EF42,$EJ42=$EG42+1),IF(OR(COUNTIF(#REF!,$D42)&gt;0,COUNTIF(#REF!,$D42)=0),"SKIP",IF(COUNTIFS(#REF!,$D42,#REF!,$CU42)&gt;0,"OK","ONBEKEND")),"ONZEKER")))))</f>
        <v/>
      </c>
      <c r="CW42" t="str">
        <f t="shared" si="348"/>
        <v/>
      </c>
      <c r="CX42" t="str">
        <f t="shared" si="349"/>
        <v/>
      </c>
      <c r="CY42" t="str">
        <f>IF($CX42="","",IF(OR($EL42="",$EM42=""),"ONZEKER",IF(OR($EI42="",$EJ42=""),"ONZEKER",IF(AND($EL42=$EI42+1,$EM42=$EJ42),IF(OR(COUNTIF(#REF!,$B42)&gt;0,COUNTIF(#REF!,$B42)=0),"SKIP",IF(COUNTIFS(#REF!,$B42,#REF!,$CX42)&gt;0,"OK","ONBEKEND")),IF(AND($EL42=$EI42,$EM42=$EJ42+1),IF(OR(COUNTIF(#REF!,$D42)&gt;0,COUNTIF(#REF!,$D42)=0),"SKIP",IF(COUNTIFS(#REF!,$D42,#REF!,$CX42)&gt;0,"OK","ONBEKEND")),"ONZEKER")))))</f>
        <v/>
      </c>
      <c r="CZ42" t="str">
        <f t="shared" si="350"/>
        <v/>
      </c>
      <c r="DA42" t="str">
        <f t="shared" si="351"/>
        <v/>
      </c>
      <c r="DB42" t="str">
        <f>IF($DA42="","",IF(OR($EO42="",$EP42=""),"ONZEKER",IF(OR($EL42="",$EM42=""),"ONZEKER",IF(AND($EO42=$EL42+1,$EP42=$EM42),IF(OR(COUNTIF(#REF!,$B42)&gt;0,COUNTIF(#REF!,$B42)=0),"SKIP",IF(COUNTIFS(#REF!,$B42,#REF!,$DA42)&gt;0,"OK","ONBEKEND")),IF(AND($EO42=$EL42,$EP42=$EM42+1),IF(OR(COUNTIF(#REF!,$D42)&gt;0,COUNTIF(#REF!,$D42)=0),"SKIP",IF(COUNTIFS(#REF!,$D42,#REF!,$DA42)&gt;0,"OK","ONBEKEND")),"ONZEKER")))))</f>
        <v/>
      </c>
      <c r="DC42" t="str">
        <f t="shared" si="352"/>
        <v/>
      </c>
      <c r="DD42" t="str">
        <f t="shared" si="353"/>
        <v/>
      </c>
      <c r="DE42" t="str">
        <f>IF($DD42="","",IF(OR($ER42="",$ES42=""),"ONZEKER",IF(OR($EO42="",$EP42=""),"ONZEKER",IF(AND($ER42=$EO42+1,$ES42=$EP42),IF(OR(COUNTIF(#REF!,$B42)&gt;0,COUNTIF(#REF!,$B42)=0),"SKIP",IF(COUNTIFS(#REF!,$B42,#REF!,$DD42)&gt;0,"OK","ONBEKEND")),IF(AND($ER42=$EO42,$ES42=$EP42+1),IF(OR(COUNTIF(#REF!,$D42)&gt;0,COUNTIF(#REF!,$D42)=0),"SKIP",IF(COUNTIFS(#REF!,$D42,#REF!,$DD42)&gt;0,"OK","ONBEKEND")),"ONZEKER")))))</f>
        <v/>
      </c>
      <c r="DF42" t="str">
        <f t="shared" si="354"/>
        <v/>
      </c>
      <c r="DG42" t="str">
        <f t="shared" si="355"/>
        <v/>
      </c>
      <c r="DH42" t="str">
        <f>IF($DG42="","",IF(OR($EU42="",$EV42=""),"ONZEKER",IF(OR($ER42="",$ES42=""),"ONZEKER",IF(AND($EU42=$ER42+1,$EV42=$ES42),IF(OR(COUNTIF(#REF!,$B42)&gt;0,COUNTIF(#REF!,$B42)=0),"SKIP",IF(COUNTIFS(#REF!,$B42,#REF!,$DG42)&gt;0,"OK","ONBEKEND")),IF(AND($EU42=$ER42,$EV42=$ES42+1),IF(OR(COUNTIF(#REF!,$D42)&gt;0,COUNTIF(#REF!,$D42)=0),"SKIP",IF(COUNTIFS(#REF!,$D42,#REF!,$DG42)&gt;0,"OK","ONBEKEND")),"ONZEKER")))))</f>
        <v/>
      </c>
      <c r="DI42" t="str">
        <f t="shared" si="356"/>
        <v/>
      </c>
      <c r="DJ42" t="str">
        <f t="shared" si="357"/>
        <v/>
      </c>
      <c r="DK42" t="str">
        <f>IF($DJ42="","",IF(OR($EX42="",$EY42=""),"ONZEKER",IF(OR($EU42="",$EV42=""),"ONZEKER",IF(AND($EX42=$EU42+1,$EY42=$EV42),IF(OR(COUNTIF(#REF!,$B42)&gt;0,COUNTIF(#REF!,$B42)=0),"SKIP",IF(COUNTIFS(#REF!,$B42,#REF!,$DJ42)&gt;0,"OK","ONBEKEND")),IF(AND($EX42=$EU42,$EY42=$EV42+1),IF(OR(COUNTIF(#REF!,$D42)&gt;0,COUNTIF(#REF!,$D42)=0),"SKIP",IF(COUNTIFS(#REF!,$D42,#REF!,$DJ42)&gt;0,"OK","ONBEKEND")),"ONZEKER")))))</f>
        <v/>
      </c>
      <c r="DL42" t="str">
        <f t="shared" si="358"/>
        <v/>
      </c>
      <c r="DM42" t="str">
        <f t="shared" si="359"/>
        <v/>
      </c>
      <c r="DN42" t="str">
        <f t="shared" si="360"/>
        <v/>
      </c>
      <c r="DO42" t="str">
        <f t="shared" si="361"/>
        <v/>
      </c>
      <c r="DP42" t="str">
        <f t="shared" si="362"/>
        <v/>
      </c>
      <c r="DQ42" t="str">
        <f t="shared" si="363"/>
        <v/>
      </c>
      <c r="DR42" t="str">
        <f t="shared" si="364"/>
        <v/>
      </c>
      <c r="DS42" t="str">
        <f t="shared" si="365"/>
        <v/>
      </c>
      <c r="DT42" t="str">
        <f t="shared" si="366"/>
        <v/>
      </c>
      <c r="DU42" t="str">
        <f t="shared" si="367"/>
        <v/>
      </c>
      <c r="DV42" t="str">
        <f t="shared" si="368"/>
        <v/>
      </c>
      <c r="DW42" t="str">
        <f t="shared" si="369"/>
        <v/>
      </c>
      <c r="DX42" t="str">
        <f t="shared" si="370"/>
        <v/>
      </c>
      <c r="DY42" t="str">
        <f t="shared" si="371"/>
        <v/>
      </c>
      <c r="DZ42" t="str">
        <f t="shared" si="372"/>
        <v/>
      </c>
      <c r="EA42" t="str">
        <f t="shared" si="373"/>
        <v/>
      </c>
      <c r="EB42" t="str">
        <f t="shared" si="374"/>
        <v/>
      </c>
      <c r="EC42" t="str">
        <f t="shared" si="375"/>
        <v/>
      </c>
      <c r="ED42" t="str">
        <f t="shared" si="376"/>
        <v/>
      </c>
      <c r="EE42" t="str">
        <f t="shared" si="377"/>
        <v/>
      </c>
      <c r="EF42" t="str">
        <f t="shared" si="378"/>
        <v/>
      </c>
      <c r="EG42" t="str">
        <f t="shared" si="379"/>
        <v/>
      </c>
      <c r="EH42" t="str">
        <f t="shared" si="380"/>
        <v/>
      </c>
      <c r="EI42" t="str">
        <f t="shared" si="381"/>
        <v/>
      </c>
      <c r="EJ42" t="str">
        <f t="shared" si="382"/>
        <v/>
      </c>
      <c r="EK42" t="str">
        <f t="shared" si="383"/>
        <v/>
      </c>
      <c r="EL42" t="str">
        <f t="shared" si="384"/>
        <v/>
      </c>
      <c r="EM42" t="str">
        <f t="shared" si="385"/>
        <v/>
      </c>
      <c r="EN42" t="str">
        <f t="shared" si="386"/>
        <v/>
      </c>
      <c r="EO42" t="str">
        <f t="shared" si="387"/>
        <v/>
      </c>
      <c r="EP42" t="str">
        <f t="shared" si="388"/>
        <v/>
      </c>
      <c r="EQ42" t="str">
        <f t="shared" si="389"/>
        <v/>
      </c>
      <c r="ER42" t="str">
        <f t="shared" si="390"/>
        <v/>
      </c>
      <c r="ES42" t="str">
        <f t="shared" si="391"/>
        <v/>
      </c>
      <c r="ET42" t="str">
        <f t="shared" si="392"/>
        <v/>
      </c>
      <c r="EU42" t="str">
        <f t="shared" si="393"/>
        <v/>
      </c>
      <c r="EV42" t="str">
        <f t="shared" si="394"/>
        <v/>
      </c>
      <c r="EW42" t="str">
        <f t="shared" si="395"/>
        <v/>
      </c>
      <c r="EX42" t="str">
        <f t="shared" si="396"/>
        <v/>
      </c>
      <c r="EY42" t="str">
        <f t="shared" si="397"/>
        <v/>
      </c>
    </row>
    <row r="43" spans="1:155" ht="13.9" customHeight="1" x14ac:dyDescent="0.25">
      <c r="A43" s="7"/>
      <c r="B43" s="17"/>
      <c r="C43" s="8"/>
      <c r="D43" s="17"/>
      <c r="E43" s="8"/>
      <c r="F43" s="18">
        <v>0</v>
      </c>
      <c r="G43" s="7" t="s">
        <v>147</v>
      </c>
      <c r="H43" s="18">
        <v>0</v>
      </c>
      <c r="I43" s="19">
        <v>0</v>
      </c>
      <c r="J43" s="7" t="s">
        <v>147</v>
      </c>
      <c r="K43" s="19">
        <v>0</v>
      </c>
      <c r="L43" s="9"/>
      <c r="M43" s="3" t="str">
        <f>IF($L43="","",IF($L43="DOELPUNTENMAKERS","",IF(AND(COUNTIF(#REF!,$B43)=0,COUNTIF(#REF!,$D43)=0),"OK",IF($O43&gt;20,"LET OP: meer dan 20 items (controle onvolledig)",IF((COUNTIF($R43:$AS43,"ONZEKER")+COUNTIF($CJ43:$DK43,"ONZEKER"))&gt;0,"LET OP: scoreverloop onduidelijk (controle beperkt)",IF((IF($AT43&lt;&gt;"",$AT43&amp;", ","")&amp;IF($AU43&lt;&gt;"",$AU43&amp;", ","")&amp;IF($AV43&lt;&gt;"",$AV43&amp;", ","")&amp;IF($AW43&lt;&gt;"",$AW43&amp;", ","")&amp;IF($AX43&lt;&gt;"",$AX43&amp;", ","")&amp;IF($AY43&lt;&gt;"",$AY43&amp;", ","")&amp;IF($AZ43&lt;&gt;"",$AZ43&amp;", ","")&amp;IF($BA43&lt;&gt;"",$BA43&amp;", ","")&amp;IF($BB43&lt;&gt;"",$BB43&amp;", ","")&amp;IF($BC43&lt;&gt;"",$BC43&amp;", ","")&amp;IF($DL43&lt;&gt;"",$DL43&amp;", ","")&amp;IF($DM43&lt;&gt;"",$DM43&amp;", ","")&amp;IF($DN43&lt;&gt;"",$DN43&amp;", ","")&amp;IF($DO43&lt;&gt;"",$DO43&amp;", ","")&amp;IF($DP43&lt;&gt;"",$DP43&amp;", ","")&amp;IF($DQ43&lt;&gt;"",$DQ43&amp;", ","")&amp;IF($DR43&lt;&gt;"",$DR43&amp;", ","")&amp;IF($DS43&lt;&gt;"",$DS43&amp;", ","")&amp;IF($DT43&lt;&gt;"",$DT43&amp;", ","")&amp;IF($DU43&lt;&gt;"",$DU43&amp;", ",""))="","OK","Onbekend: "&amp;LEFT((IF($AT43&lt;&gt;"",$AT43&amp;", ","")&amp;IF($AU43&lt;&gt;"",$AU43&amp;", ","")&amp;IF($AV43&lt;&gt;"",$AV43&amp;", ","")&amp;IF($AW43&lt;&gt;"",$AW43&amp;", ","")&amp;IF($AX43&lt;&gt;"",$AX43&amp;", ","")&amp;IF($AY43&lt;&gt;"",$AY43&amp;", ","")&amp;IF($AZ43&lt;&gt;"",$AZ43&amp;", ","")&amp;IF($BA43&lt;&gt;"",$BA43&amp;", ","")&amp;IF($BB43&lt;&gt;"",$BB43&amp;", ","")&amp;IF($BC43&lt;&gt;"",$BC43&amp;", ","")&amp;IF($DL43&lt;&gt;"",$DL43&amp;", ","")&amp;IF($DM43&lt;&gt;"",$DM43&amp;", ","")&amp;IF($DN43&lt;&gt;"",$DN43&amp;", ","")&amp;IF($DO43&lt;&gt;"",$DO43&amp;", ","")&amp;IF($DP43&lt;&gt;"",$DP43&amp;", ","")&amp;IF($DQ43&lt;&gt;"",$DQ43&amp;", ","")&amp;IF($DR43&lt;&gt;"",$DR43&amp;", ","")&amp;IF($DS43&lt;&gt;"",$DS43&amp;", ","")&amp;IF($DT43&lt;&gt;"",$DT43&amp;", ","")&amp;IF($DU43&lt;&gt;"",$DU43&amp;", ","")),LEN((IF($AT43&lt;&gt;"",$AT43&amp;", ","")&amp;IF($AU43&lt;&gt;"",$AU43&amp;", ","")&amp;IF($AV43&lt;&gt;"",$AV43&amp;", ","")&amp;IF($AW43&lt;&gt;"",$AW43&amp;", ","")&amp;IF($AX43&lt;&gt;"",$AX43&amp;", ","")&amp;IF($AY43&lt;&gt;"",$AY43&amp;", ","")&amp;IF($AZ43&lt;&gt;"",$AZ43&amp;", ","")&amp;IF($BA43&lt;&gt;"",$BA43&amp;", ","")&amp;IF($BB43&lt;&gt;"",$BB43&amp;", ","")&amp;IF($BC43&lt;&gt;"",$BC43&amp;", ","")&amp;IF($DL43&lt;&gt;"",$DL43&amp;", ","")&amp;IF($DM43&lt;&gt;"",$DM43&amp;", ","")&amp;IF($DN43&lt;&gt;"",$DN43&amp;", ","")&amp;IF($DO43&lt;&gt;"",$DO43&amp;", ","")&amp;IF($DP43&lt;&gt;"",$DP43&amp;", ","")&amp;IF($DQ43&lt;&gt;"",$DQ43&amp;", ","")&amp;IF($DR43&lt;&gt;"",$DR43&amp;", ","")&amp;IF($DS43&lt;&gt;"",$DS43&amp;", ","")&amp;IF($DT43&lt;&gt;"",$DT43&amp;", ","")&amp;IF($DU43&lt;&gt;"",$DU43&amp;", ","")))-2)))))))</f>
        <v/>
      </c>
      <c r="N43" t="str">
        <f t="shared" si="306"/>
        <v/>
      </c>
      <c r="O43" t="str">
        <f t="shared" si="307"/>
        <v/>
      </c>
      <c r="P43" t="str">
        <f t="shared" si="308"/>
        <v/>
      </c>
      <c r="Q43" t="str">
        <f t="shared" si="309"/>
        <v/>
      </c>
      <c r="R43" t="str">
        <f>IF($Q43="","",IF(OR($BE43="",$BF43=""),"ONZEKER",IF(AND($BE43=0+1,$BF43=0),IF(OR(COUNTIF(#REF!,$B43)&gt;0,COUNTIF(#REF!,$B43)=0),"SKIP",IF(COUNTIFS(#REF!,$B43,#REF!,$Q43)&gt;0,"OK","ONBEKEND")),IF(AND($BE43=0,$BF43=0+1),IF(OR(COUNTIF(#REF!,$D43)&gt;0,COUNTIF(#REF!,$D43)=0),"SKIP",IF(COUNTIFS(#REF!,$D43,#REF!,$Q43)&gt;0,"OK","ONBEKEND")),"ONZEKER"))))</f>
        <v/>
      </c>
      <c r="S43" t="str">
        <f t="shared" si="310"/>
        <v/>
      </c>
      <c r="T43" t="str">
        <f t="shared" si="311"/>
        <v/>
      </c>
      <c r="U43" t="str">
        <f>IF($T43="","",IF(OR($BH43="",$BI43=""),"ONZEKER",IF(OR($BE43="",$BF43=""),"ONZEKER",IF(AND($BH43=$BE43+1,$BI43=$BF43),IF(OR(COUNTIF(#REF!,$B43)&gt;0,COUNTIF(#REF!,$B43)=0),"SKIP",IF(COUNTIFS(#REF!,$B43,#REF!,$T43)&gt;0,"OK","ONBEKEND")),IF(AND($BH43=$BE43,$BI43=$BF43+1),IF(OR(COUNTIF(#REF!,$D43)&gt;0,COUNTIF(#REF!,$D43)=0),"SKIP",IF(COUNTIFS(#REF!,$D43,#REF!,$T43)&gt;0,"OK","ONBEKEND")),"ONZEKER")))))</f>
        <v/>
      </c>
      <c r="V43" t="str">
        <f t="shared" si="312"/>
        <v/>
      </c>
      <c r="W43" t="str">
        <f t="shared" si="313"/>
        <v/>
      </c>
      <c r="X43" t="str">
        <f>IF($W43="","",IF(OR($BK43="",$BL43=""),"ONZEKER",IF(OR($BH43="",$BI43=""),"ONZEKER",IF(AND($BK43=$BH43+1,$BL43=$BI43),IF(OR(COUNTIF(#REF!,$B43)&gt;0,COUNTIF(#REF!,$B43)=0),"SKIP",IF(COUNTIFS(#REF!,$B43,#REF!,$W43)&gt;0,"OK","ONBEKEND")),IF(AND($BK43=$BH43,$BL43=$BI43+1),IF(OR(COUNTIF(#REF!,$D43)&gt;0,COUNTIF(#REF!,$D43)=0),"SKIP",IF(COUNTIFS(#REF!,$D43,#REF!,$W43)&gt;0,"OK","ONBEKEND")),"ONZEKER")))))</f>
        <v/>
      </c>
      <c r="Y43" t="str">
        <f t="shared" si="314"/>
        <v/>
      </c>
      <c r="Z43" t="str">
        <f t="shared" si="315"/>
        <v/>
      </c>
      <c r="AA43" t="str">
        <f>IF($Z43="","",IF(OR($BN43="",$BO43=""),"ONZEKER",IF(OR($BK43="",$BL43=""),"ONZEKER",IF(AND($BN43=$BK43+1,$BO43=$BL43),IF(OR(COUNTIF(#REF!,$B43)&gt;0,COUNTIF(#REF!,$B43)=0),"SKIP",IF(COUNTIFS(#REF!,$B43,#REF!,$Z43)&gt;0,"OK","ONBEKEND")),IF(AND($BN43=$BK43,$BO43=$BL43+1),IF(OR(COUNTIF(#REF!,$D43)&gt;0,COUNTIF(#REF!,$D43)=0),"SKIP",IF(COUNTIFS(#REF!,$D43,#REF!,$Z43)&gt;0,"OK","ONBEKEND")),"ONZEKER")))))</f>
        <v/>
      </c>
      <c r="AB43" t="str">
        <f t="shared" si="316"/>
        <v/>
      </c>
      <c r="AC43" t="str">
        <f t="shared" si="317"/>
        <v/>
      </c>
      <c r="AD43" t="str">
        <f>IF($AC43="","",IF(OR($BQ43="",$BR43=""),"ONZEKER",IF(OR($BN43="",$BO43=""),"ONZEKER",IF(AND($BQ43=$BN43+1,$BR43=$BO43),IF(OR(COUNTIF(#REF!,$B43)&gt;0,COUNTIF(#REF!,$B43)=0),"SKIP",IF(COUNTIFS(#REF!,$B43,#REF!,$AC43)&gt;0,"OK","ONBEKEND")),IF(AND($BQ43=$BN43,$BR43=$BO43+1),IF(OR(COUNTIF(#REF!,$D43)&gt;0,COUNTIF(#REF!,$D43)=0),"SKIP",IF(COUNTIFS(#REF!,$D43,#REF!,$AC43)&gt;0,"OK","ONBEKEND")),"ONZEKER")))))</f>
        <v/>
      </c>
      <c r="AE43" t="str">
        <f t="shared" si="318"/>
        <v/>
      </c>
      <c r="AF43" t="str">
        <f t="shared" si="319"/>
        <v/>
      </c>
      <c r="AG43" t="str">
        <f>IF($AF43="","",IF(OR($BT43="",$BU43=""),"ONZEKER",IF(OR($BQ43="",$BR43=""),"ONZEKER",IF(AND($BT43=$BQ43+1,$BU43=$BR43),IF(OR(COUNTIF(#REF!,$B43)&gt;0,COUNTIF(#REF!,$B43)=0),"SKIP",IF(COUNTIFS(#REF!,$B43,#REF!,$AF43)&gt;0,"OK","ONBEKEND")),IF(AND($BT43=$BQ43,$BU43=$BR43+1),IF(OR(COUNTIF(#REF!,$D43)&gt;0,COUNTIF(#REF!,$D43)=0),"SKIP",IF(COUNTIFS(#REF!,$D43,#REF!,$AF43)&gt;0,"OK","ONBEKEND")),"ONZEKER")))))</f>
        <v/>
      </c>
      <c r="AH43" t="str">
        <f t="shared" si="320"/>
        <v/>
      </c>
      <c r="AI43" t="str">
        <f t="shared" si="321"/>
        <v/>
      </c>
      <c r="AJ43" t="str">
        <f>IF($AI43="","",IF(OR($BW43="",$BX43=""),"ONZEKER",IF(OR($BT43="",$BU43=""),"ONZEKER",IF(AND($BW43=$BT43+1,$BX43=$BU43),IF(OR(COUNTIF(#REF!,$B43)&gt;0,COUNTIF(#REF!,$B43)=0),"SKIP",IF(COUNTIFS(#REF!,$B43,#REF!,$AI43)&gt;0,"OK","ONBEKEND")),IF(AND($BW43=$BT43,$BX43=$BU43+1),IF(OR(COUNTIF(#REF!,$D43)&gt;0,COUNTIF(#REF!,$D43)=0),"SKIP",IF(COUNTIFS(#REF!,$D43,#REF!,$AI43)&gt;0,"OK","ONBEKEND")),"ONZEKER")))))</f>
        <v/>
      </c>
      <c r="AK43" t="str">
        <f t="shared" si="322"/>
        <v/>
      </c>
      <c r="AL43" t="str">
        <f t="shared" si="323"/>
        <v/>
      </c>
      <c r="AM43" t="str">
        <f>IF($AL43="","",IF(OR($BZ43="",$CA43=""),"ONZEKER",IF(OR($BW43="",$BX43=""),"ONZEKER",IF(AND($BZ43=$BW43+1,$CA43=$BX43),IF(OR(COUNTIF(#REF!,$B43)&gt;0,COUNTIF(#REF!,$B43)=0),"SKIP",IF(COUNTIFS(#REF!,$B43,#REF!,$AL43)&gt;0,"OK","ONBEKEND")),IF(AND($BZ43=$BW43,$CA43=$BX43+1),IF(OR(COUNTIF(#REF!,$D43)&gt;0,COUNTIF(#REF!,$D43)=0),"SKIP",IF(COUNTIFS(#REF!,$D43,#REF!,$AL43)&gt;0,"OK","ONBEKEND")),"ONZEKER")))))</f>
        <v/>
      </c>
      <c r="AN43" t="str">
        <f t="shared" si="324"/>
        <v/>
      </c>
      <c r="AO43" t="str">
        <f t="shared" si="325"/>
        <v/>
      </c>
      <c r="AP43" t="str">
        <f>IF($AO43="","",IF(OR($CC43="",$CD43=""),"ONZEKER",IF(OR($BZ43="",$CA43=""),"ONZEKER",IF(AND($CC43=$BZ43+1,$CD43=$CA43),IF(OR(COUNTIF(#REF!,$B43)&gt;0,COUNTIF(#REF!,$B43)=0),"SKIP",IF(COUNTIFS(#REF!,$B43,#REF!,$AO43)&gt;0,"OK","ONBEKEND")),IF(AND($CC43=$BZ43,$CD43=$CA43+1),IF(OR(COUNTIF(#REF!,$D43)&gt;0,COUNTIF(#REF!,$D43)=0),"SKIP",IF(COUNTIFS(#REF!,$D43,#REF!,$AO43)&gt;0,"OK","ONBEKEND")),"ONZEKER")))))</f>
        <v/>
      </c>
      <c r="AQ43" t="str">
        <f t="shared" si="326"/>
        <v/>
      </c>
      <c r="AR43" t="str">
        <f t="shared" si="327"/>
        <v/>
      </c>
      <c r="AS43" t="str">
        <f>IF($AR43="","",IF(OR($CF43="",$CG43=""),"ONZEKER",IF(OR($CC43="",$CD43=""),"ONZEKER",IF(AND($CF43=$CC43+1,$CG43=$CD43),IF(OR(COUNTIF(#REF!,$B43)&gt;0,COUNTIF(#REF!,$B43)=0),"SKIP",IF(COUNTIFS(#REF!,$B43,#REF!,$AR43)&gt;0,"OK","ONBEKEND")),IF(AND($CF43=$CC43,$CG43=$CD43+1),IF(OR(COUNTIF(#REF!,$D43)&gt;0,COUNTIF(#REF!,$D43)=0),"SKIP",IF(COUNTIFS(#REF!,$D43,#REF!,$AR43)&gt;0,"OK","ONBEKEND")),"ONZEKER")))))</f>
        <v/>
      </c>
      <c r="AT43" t="str">
        <f t="shared" si="328"/>
        <v/>
      </c>
      <c r="AU43" t="str">
        <f t="shared" si="329"/>
        <v/>
      </c>
      <c r="AV43" t="str">
        <f t="shared" si="330"/>
        <v/>
      </c>
      <c r="AW43" t="str">
        <f t="shared" si="331"/>
        <v/>
      </c>
      <c r="AX43" t="str">
        <f t="shared" si="332"/>
        <v/>
      </c>
      <c r="AY43" t="str">
        <f t="shared" si="333"/>
        <v/>
      </c>
      <c r="AZ43" t="str">
        <f t="shared" si="334"/>
        <v/>
      </c>
      <c r="BA43" t="str">
        <f t="shared" si="335"/>
        <v/>
      </c>
      <c r="BB43" t="str">
        <f t="shared" si="336"/>
        <v/>
      </c>
      <c r="BC43" t="str">
        <f t="shared" si="337"/>
        <v/>
      </c>
      <c r="BD43" t="str">
        <f t="shared" si="32"/>
        <v/>
      </c>
      <c r="BE43" t="str">
        <f t="shared" si="33"/>
        <v/>
      </c>
      <c r="BF43" t="str">
        <f t="shared" si="34"/>
        <v/>
      </c>
      <c r="BG43" t="str">
        <f t="shared" si="35"/>
        <v/>
      </c>
      <c r="BH43" t="str">
        <f t="shared" si="36"/>
        <v/>
      </c>
      <c r="BI43" t="str">
        <f t="shared" si="37"/>
        <v/>
      </c>
      <c r="BJ43" t="str">
        <f t="shared" si="38"/>
        <v/>
      </c>
      <c r="BK43" t="str">
        <f t="shared" si="39"/>
        <v/>
      </c>
      <c r="BL43" t="str">
        <f t="shared" si="40"/>
        <v/>
      </c>
      <c r="BM43" t="str">
        <f t="shared" si="41"/>
        <v/>
      </c>
      <c r="BN43" t="str">
        <f t="shared" si="42"/>
        <v/>
      </c>
      <c r="BO43" t="str">
        <f t="shared" si="43"/>
        <v/>
      </c>
      <c r="BP43" t="str">
        <f t="shared" si="44"/>
        <v/>
      </c>
      <c r="BQ43" t="str">
        <f t="shared" si="45"/>
        <v/>
      </c>
      <c r="BR43" t="str">
        <f t="shared" si="46"/>
        <v/>
      </c>
      <c r="BS43" t="str">
        <f t="shared" si="47"/>
        <v/>
      </c>
      <c r="BT43" t="str">
        <f t="shared" si="48"/>
        <v/>
      </c>
      <c r="BU43" t="str">
        <f t="shared" si="49"/>
        <v/>
      </c>
      <c r="BV43" t="str">
        <f t="shared" si="50"/>
        <v/>
      </c>
      <c r="BW43" t="str">
        <f t="shared" si="51"/>
        <v/>
      </c>
      <c r="BX43" t="str">
        <f t="shared" si="52"/>
        <v/>
      </c>
      <c r="BY43" t="str">
        <f t="shared" si="53"/>
        <v/>
      </c>
      <c r="BZ43" t="str">
        <f t="shared" si="54"/>
        <v/>
      </c>
      <c r="CA43" t="str">
        <f t="shared" si="55"/>
        <v/>
      </c>
      <c r="CB43" t="str">
        <f t="shared" si="56"/>
        <v/>
      </c>
      <c r="CC43" t="str">
        <f t="shared" si="57"/>
        <v/>
      </c>
      <c r="CD43" t="str">
        <f t="shared" si="58"/>
        <v/>
      </c>
      <c r="CE43" t="str">
        <f t="shared" si="59"/>
        <v/>
      </c>
      <c r="CF43" t="str">
        <f t="shared" si="60"/>
        <v/>
      </c>
      <c r="CG43" t="str">
        <f t="shared" si="61"/>
        <v/>
      </c>
      <c r="CH43" t="str">
        <f t="shared" si="338"/>
        <v/>
      </c>
      <c r="CI43" t="str">
        <f t="shared" si="339"/>
        <v/>
      </c>
      <c r="CJ43" t="str">
        <f>IF($CI43="","",IF(OR($DW43="",$DX43=""),"ONZEKER",IF(OR($CF43="",$CG43=""),"ONZEKER",IF(AND($DW43=$CF43+1,$DX43=$CG43),IF(OR(COUNTIF(#REF!,$B43)&gt;0,COUNTIF(#REF!,$B43)=0),"SKIP",IF(COUNTIFS(#REF!,$B43,#REF!,$CI43)&gt;0,"OK","ONBEKEND")),IF(AND($DW43=$CF43,$DX43=$CG43+1),IF(OR(COUNTIF(#REF!,$D43)&gt;0,COUNTIF(#REF!,$D43)=0),"SKIP",IF(COUNTIFS(#REF!,$D43,#REF!,$CI43)&gt;0,"OK","ONBEKEND")),"ONZEKER")))))</f>
        <v/>
      </c>
      <c r="CK43" t="str">
        <f t="shared" si="340"/>
        <v/>
      </c>
      <c r="CL43" t="str">
        <f t="shared" si="341"/>
        <v/>
      </c>
      <c r="CM43" t="str">
        <f>IF($CL43="","",IF(OR($DZ43="",$EA43=""),"ONZEKER",IF(OR($DW43="",$DX43=""),"ONZEKER",IF(AND($DZ43=$DW43+1,$EA43=$DX43),IF(OR(COUNTIF(#REF!,$B43)&gt;0,COUNTIF(#REF!,$B43)=0),"SKIP",IF(COUNTIFS(#REF!,$B43,#REF!,$CL43)&gt;0,"OK","ONBEKEND")),IF(AND($DZ43=$DW43,$EA43=$DX43+1),IF(OR(COUNTIF(#REF!,$D43)&gt;0,COUNTIF(#REF!,$D43)=0),"SKIP",IF(COUNTIFS(#REF!,$D43,#REF!,$CL43)&gt;0,"OK","ONBEKEND")),"ONZEKER")))))</f>
        <v/>
      </c>
      <c r="CN43" t="str">
        <f t="shared" si="342"/>
        <v/>
      </c>
      <c r="CO43" t="str">
        <f t="shared" si="343"/>
        <v/>
      </c>
      <c r="CP43" t="str">
        <f>IF($CO43="","",IF(OR($EC43="",$ED43=""),"ONZEKER",IF(OR($DZ43="",$EA43=""),"ONZEKER",IF(AND($EC43=$DZ43+1,$ED43=$EA43),IF(OR(COUNTIF(#REF!,$B43)&gt;0,COUNTIF(#REF!,$B43)=0),"SKIP",IF(COUNTIFS(#REF!,$B43,#REF!,$CO43)&gt;0,"OK","ONBEKEND")),IF(AND($EC43=$DZ43,$ED43=$EA43+1),IF(OR(COUNTIF(#REF!,$D43)&gt;0,COUNTIF(#REF!,$D43)=0),"SKIP",IF(COUNTIFS(#REF!,$D43,#REF!,$CO43)&gt;0,"OK","ONBEKEND")),"ONZEKER")))))</f>
        <v/>
      </c>
      <c r="CQ43" t="str">
        <f t="shared" si="344"/>
        <v/>
      </c>
      <c r="CR43" t="str">
        <f t="shared" si="345"/>
        <v/>
      </c>
      <c r="CS43" t="str">
        <f>IF($CR43="","",IF(OR($EF43="",$EG43=""),"ONZEKER",IF(OR($EC43="",$ED43=""),"ONZEKER",IF(AND($EF43=$EC43+1,$EG43=$ED43),IF(OR(COUNTIF(#REF!,$B43)&gt;0,COUNTIF(#REF!,$B43)=0),"SKIP",IF(COUNTIFS(#REF!,$B43,#REF!,$CR43)&gt;0,"OK","ONBEKEND")),IF(AND($EF43=$EC43,$EG43=$ED43+1),IF(OR(COUNTIF(#REF!,$D43)&gt;0,COUNTIF(#REF!,$D43)=0),"SKIP",IF(COUNTIFS(#REF!,$D43,#REF!,$CR43)&gt;0,"OK","ONBEKEND")),"ONZEKER")))))</f>
        <v/>
      </c>
      <c r="CT43" t="str">
        <f t="shared" si="346"/>
        <v/>
      </c>
      <c r="CU43" t="str">
        <f t="shared" si="347"/>
        <v/>
      </c>
      <c r="CV43" t="str">
        <f>IF($CU43="","",IF(OR($EI43="",$EJ43=""),"ONZEKER",IF(OR($EF43="",$EG43=""),"ONZEKER",IF(AND($EI43=$EF43+1,$EJ43=$EG43),IF(OR(COUNTIF(#REF!,$B43)&gt;0,COUNTIF(#REF!,$B43)=0),"SKIP",IF(COUNTIFS(#REF!,$B43,#REF!,$CU43)&gt;0,"OK","ONBEKEND")),IF(AND($EI43=$EF43,$EJ43=$EG43+1),IF(OR(COUNTIF(#REF!,$D43)&gt;0,COUNTIF(#REF!,$D43)=0),"SKIP",IF(COUNTIFS(#REF!,$D43,#REF!,$CU43)&gt;0,"OK","ONBEKEND")),"ONZEKER")))))</f>
        <v/>
      </c>
      <c r="CW43" t="str">
        <f t="shared" si="348"/>
        <v/>
      </c>
      <c r="CX43" t="str">
        <f t="shared" si="349"/>
        <v/>
      </c>
      <c r="CY43" t="str">
        <f>IF($CX43="","",IF(OR($EL43="",$EM43=""),"ONZEKER",IF(OR($EI43="",$EJ43=""),"ONZEKER",IF(AND($EL43=$EI43+1,$EM43=$EJ43),IF(OR(COUNTIF(#REF!,$B43)&gt;0,COUNTIF(#REF!,$B43)=0),"SKIP",IF(COUNTIFS(#REF!,$B43,#REF!,$CX43)&gt;0,"OK","ONBEKEND")),IF(AND($EL43=$EI43,$EM43=$EJ43+1),IF(OR(COUNTIF(#REF!,$D43)&gt;0,COUNTIF(#REF!,$D43)=0),"SKIP",IF(COUNTIFS(#REF!,$D43,#REF!,$CX43)&gt;0,"OK","ONBEKEND")),"ONZEKER")))))</f>
        <v/>
      </c>
      <c r="CZ43" t="str">
        <f t="shared" si="350"/>
        <v/>
      </c>
      <c r="DA43" t="str">
        <f t="shared" si="351"/>
        <v/>
      </c>
      <c r="DB43" t="str">
        <f>IF($DA43="","",IF(OR($EO43="",$EP43=""),"ONZEKER",IF(OR($EL43="",$EM43=""),"ONZEKER",IF(AND($EO43=$EL43+1,$EP43=$EM43),IF(OR(COUNTIF(#REF!,$B43)&gt;0,COUNTIF(#REF!,$B43)=0),"SKIP",IF(COUNTIFS(#REF!,$B43,#REF!,$DA43)&gt;0,"OK","ONBEKEND")),IF(AND($EO43=$EL43,$EP43=$EM43+1),IF(OR(COUNTIF(#REF!,$D43)&gt;0,COUNTIF(#REF!,$D43)=0),"SKIP",IF(COUNTIFS(#REF!,$D43,#REF!,$DA43)&gt;0,"OK","ONBEKEND")),"ONZEKER")))))</f>
        <v/>
      </c>
      <c r="DC43" t="str">
        <f t="shared" si="352"/>
        <v/>
      </c>
      <c r="DD43" t="str">
        <f t="shared" si="353"/>
        <v/>
      </c>
      <c r="DE43" t="str">
        <f>IF($DD43="","",IF(OR($ER43="",$ES43=""),"ONZEKER",IF(OR($EO43="",$EP43=""),"ONZEKER",IF(AND($ER43=$EO43+1,$ES43=$EP43),IF(OR(COUNTIF(#REF!,$B43)&gt;0,COUNTIF(#REF!,$B43)=0),"SKIP",IF(COUNTIFS(#REF!,$B43,#REF!,$DD43)&gt;0,"OK","ONBEKEND")),IF(AND($ER43=$EO43,$ES43=$EP43+1),IF(OR(COUNTIF(#REF!,$D43)&gt;0,COUNTIF(#REF!,$D43)=0),"SKIP",IF(COUNTIFS(#REF!,$D43,#REF!,$DD43)&gt;0,"OK","ONBEKEND")),"ONZEKER")))))</f>
        <v/>
      </c>
      <c r="DF43" t="str">
        <f t="shared" si="354"/>
        <v/>
      </c>
      <c r="DG43" t="str">
        <f t="shared" si="355"/>
        <v/>
      </c>
      <c r="DH43" t="str">
        <f>IF($DG43="","",IF(OR($EU43="",$EV43=""),"ONZEKER",IF(OR($ER43="",$ES43=""),"ONZEKER",IF(AND($EU43=$ER43+1,$EV43=$ES43),IF(OR(COUNTIF(#REF!,$B43)&gt;0,COUNTIF(#REF!,$B43)=0),"SKIP",IF(COUNTIFS(#REF!,$B43,#REF!,$DG43)&gt;0,"OK","ONBEKEND")),IF(AND($EU43=$ER43,$EV43=$ES43+1),IF(OR(COUNTIF(#REF!,$D43)&gt;0,COUNTIF(#REF!,$D43)=0),"SKIP",IF(COUNTIFS(#REF!,$D43,#REF!,$DG43)&gt;0,"OK","ONBEKEND")),"ONZEKER")))))</f>
        <v/>
      </c>
      <c r="DI43" t="str">
        <f t="shared" si="356"/>
        <v/>
      </c>
      <c r="DJ43" t="str">
        <f t="shared" si="357"/>
        <v/>
      </c>
      <c r="DK43" t="str">
        <f>IF($DJ43="","",IF(OR($EX43="",$EY43=""),"ONZEKER",IF(OR($EU43="",$EV43=""),"ONZEKER",IF(AND($EX43=$EU43+1,$EY43=$EV43),IF(OR(COUNTIF(#REF!,$B43)&gt;0,COUNTIF(#REF!,$B43)=0),"SKIP",IF(COUNTIFS(#REF!,$B43,#REF!,$DJ43)&gt;0,"OK","ONBEKEND")),IF(AND($EX43=$EU43,$EY43=$EV43+1),IF(OR(COUNTIF(#REF!,$D43)&gt;0,COUNTIF(#REF!,$D43)=0),"SKIP",IF(COUNTIFS(#REF!,$D43,#REF!,$DJ43)&gt;0,"OK","ONBEKEND")),"ONZEKER")))))</f>
        <v/>
      </c>
      <c r="DL43" t="str">
        <f t="shared" si="358"/>
        <v/>
      </c>
      <c r="DM43" t="str">
        <f t="shared" si="359"/>
        <v/>
      </c>
      <c r="DN43" t="str">
        <f t="shared" si="360"/>
        <v/>
      </c>
      <c r="DO43" t="str">
        <f t="shared" si="361"/>
        <v/>
      </c>
      <c r="DP43" t="str">
        <f t="shared" si="362"/>
        <v/>
      </c>
      <c r="DQ43" t="str">
        <f t="shared" si="363"/>
        <v/>
      </c>
      <c r="DR43" t="str">
        <f t="shared" si="364"/>
        <v/>
      </c>
      <c r="DS43" t="str">
        <f t="shared" si="365"/>
        <v/>
      </c>
      <c r="DT43" t="str">
        <f t="shared" si="366"/>
        <v/>
      </c>
      <c r="DU43" t="str">
        <f t="shared" si="367"/>
        <v/>
      </c>
      <c r="DV43" t="str">
        <f t="shared" si="368"/>
        <v/>
      </c>
      <c r="DW43" t="str">
        <f t="shared" si="369"/>
        <v/>
      </c>
      <c r="DX43" t="str">
        <f t="shared" si="370"/>
        <v/>
      </c>
      <c r="DY43" t="str">
        <f t="shared" si="371"/>
        <v/>
      </c>
      <c r="DZ43" t="str">
        <f t="shared" si="372"/>
        <v/>
      </c>
      <c r="EA43" t="str">
        <f t="shared" si="373"/>
        <v/>
      </c>
      <c r="EB43" t="str">
        <f t="shared" si="374"/>
        <v/>
      </c>
      <c r="EC43" t="str">
        <f t="shared" si="375"/>
        <v/>
      </c>
      <c r="ED43" t="str">
        <f t="shared" si="376"/>
        <v/>
      </c>
      <c r="EE43" t="str">
        <f t="shared" si="377"/>
        <v/>
      </c>
      <c r="EF43" t="str">
        <f t="shared" si="378"/>
        <v/>
      </c>
      <c r="EG43" t="str">
        <f t="shared" si="379"/>
        <v/>
      </c>
      <c r="EH43" t="str">
        <f t="shared" si="380"/>
        <v/>
      </c>
      <c r="EI43" t="str">
        <f t="shared" si="381"/>
        <v/>
      </c>
      <c r="EJ43" t="str">
        <f t="shared" si="382"/>
        <v/>
      </c>
      <c r="EK43" t="str">
        <f t="shared" si="383"/>
        <v/>
      </c>
      <c r="EL43" t="str">
        <f t="shared" si="384"/>
        <v/>
      </c>
      <c r="EM43" t="str">
        <f t="shared" si="385"/>
        <v/>
      </c>
      <c r="EN43" t="str">
        <f t="shared" si="386"/>
        <v/>
      </c>
      <c r="EO43" t="str">
        <f t="shared" si="387"/>
        <v/>
      </c>
      <c r="EP43" t="str">
        <f t="shared" si="388"/>
        <v/>
      </c>
      <c r="EQ43" t="str">
        <f t="shared" si="389"/>
        <v/>
      </c>
      <c r="ER43" t="str">
        <f t="shared" si="390"/>
        <v/>
      </c>
      <c r="ES43" t="str">
        <f t="shared" si="391"/>
        <v/>
      </c>
      <c r="ET43" t="str">
        <f t="shared" si="392"/>
        <v/>
      </c>
      <c r="EU43" t="str">
        <f t="shared" si="393"/>
        <v/>
      </c>
      <c r="EV43" t="str">
        <f t="shared" si="394"/>
        <v/>
      </c>
      <c r="EW43" t="str">
        <f t="shared" si="395"/>
        <v/>
      </c>
      <c r="EX43" t="str">
        <f t="shared" si="396"/>
        <v/>
      </c>
      <c r="EY43" t="str">
        <f t="shared" si="397"/>
        <v/>
      </c>
    </row>
    <row r="44" spans="1:155" ht="13.9" customHeight="1" x14ac:dyDescent="0.25">
      <c r="A44" s="7"/>
      <c r="B44" s="17"/>
      <c r="C44" s="8"/>
      <c r="D44" s="17"/>
      <c r="E44" s="8"/>
      <c r="F44" s="18">
        <v>0</v>
      </c>
      <c r="G44" s="7" t="s">
        <v>147</v>
      </c>
      <c r="H44" s="18">
        <v>0</v>
      </c>
      <c r="I44" s="19">
        <v>0</v>
      </c>
      <c r="J44" s="7" t="s">
        <v>147</v>
      </c>
      <c r="K44" s="19">
        <v>0</v>
      </c>
      <c r="L44" s="9"/>
      <c r="M44" s="3" t="str">
        <f>IF($L44="","",IF($L44="DOELPUNTENMAKERS","",IF(AND(COUNTIF(#REF!,$B44)=0,COUNTIF(#REF!,$D44)=0),"OK",IF($O44&gt;20,"LET OP: meer dan 20 items (controle onvolledig)",IF((COUNTIF($R44:$AS44,"ONZEKER")+COUNTIF($CJ44:$DK44,"ONZEKER"))&gt;0,"LET OP: scoreverloop onduidelijk (controle beperkt)",IF((IF($AT44&lt;&gt;"",$AT44&amp;", ","")&amp;IF($AU44&lt;&gt;"",$AU44&amp;", ","")&amp;IF($AV44&lt;&gt;"",$AV44&amp;", ","")&amp;IF($AW44&lt;&gt;"",$AW44&amp;", ","")&amp;IF($AX44&lt;&gt;"",$AX44&amp;", ","")&amp;IF($AY44&lt;&gt;"",$AY44&amp;", ","")&amp;IF($AZ44&lt;&gt;"",$AZ44&amp;", ","")&amp;IF($BA44&lt;&gt;"",$BA44&amp;", ","")&amp;IF($BB44&lt;&gt;"",$BB44&amp;", ","")&amp;IF($BC44&lt;&gt;"",$BC44&amp;", ","")&amp;IF($DL44&lt;&gt;"",$DL44&amp;", ","")&amp;IF($DM44&lt;&gt;"",$DM44&amp;", ","")&amp;IF($DN44&lt;&gt;"",$DN44&amp;", ","")&amp;IF($DO44&lt;&gt;"",$DO44&amp;", ","")&amp;IF($DP44&lt;&gt;"",$DP44&amp;", ","")&amp;IF($DQ44&lt;&gt;"",$DQ44&amp;", ","")&amp;IF($DR44&lt;&gt;"",$DR44&amp;", ","")&amp;IF($DS44&lt;&gt;"",$DS44&amp;", ","")&amp;IF($DT44&lt;&gt;"",$DT44&amp;", ","")&amp;IF($DU44&lt;&gt;"",$DU44&amp;", ",""))="","OK","Onbekend: "&amp;LEFT((IF($AT44&lt;&gt;"",$AT44&amp;", ","")&amp;IF($AU44&lt;&gt;"",$AU44&amp;", ","")&amp;IF($AV44&lt;&gt;"",$AV44&amp;", ","")&amp;IF($AW44&lt;&gt;"",$AW44&amp;", ","")&amp;IF($AX44&lt;&gt;"",$AX44&amp;", ","")&amp;IF($AY44&lt;&gt;"",$AY44&amp;", ","")&amp;IF($AZ44&lt;&gt;"",$AZ44&amp;", ","")&amp;IF($BA44&lt;&gt;"",$BA44&amp;", ","")&amp;IF($BB44&lt;&gt;"",$BB44&amp;", ","")&amp;IF($BC44&lt;&gt;"",$BC44&amp;", ","")&amp;IF($DL44&lt;&gt;"",$DL44&amp;", ","")&amp;IF($DM44&lt;&gt;"",$DM44&amp;", ","")&amp;IF($DN44&lt;&gt;"",$DN44&amp;", ","")&amp;IF($DO44&lt;&gt;"",$DO44&amp;", ","")&amp;IF($DP44&lt;&gt;"",$DP44&amp;", ","")&amp;IF($DQ44&lt;&gt;"",$DQ44&amp;", ","")&amp;IF($DR44&lt;&gt;"",$DR44&amp;", ","")&amp;IF($DS44&lt;&gt;"",$DS44&amp;", ","")&amp;IF($DT44&lt;&gt;"",$DT44&amp;", ","")&amp;IF($DU44&lt;&gt;"",$DU44&amp;", ","")),LEN((IF($AT44&lt;&gt;"",$AT44&amp;", ","")&amp;IF($AU44&lt;&gt;"",$AU44&amp;", ","")&amp;IF($AV44&lt;&gt;"",$AV44&amp;", ","")&amp;IF($AW44&lt;&gt;"",$AW44&amp;", ","")&amp;IF($AX44&lt;&gt;"",$AX44&amp;", ","")&amp;IF($AY44&lt;&gt;"",$AY44&amp;", ","")&amp;IF($AZ44&lt;&gt;"",$AZ44&amp;", ","")&amp;IF($BA44&lt;&gt;"",$BA44&amp;", ","")&amp;IF($BB44&lt;&gt;"",$BB44&amp;", ","")&amp;IF($BC44&lt;&gt;"",$BC44&amp;", ","")&amp;IF($DL44&lt;&gt;"",$DL44&amp;", ","")&amp;IF($DM44&lt;&gt;"",$DM44&amp;", ","")&amp;IF($DN44&lt;&gt;"",$DN44&amp;", ","")&amp;IF($DO44&lt;&gt;"",$DO44&amp;", ","")&amp;IF($DP44&lt;&gt;"",$DP44&amp;", ","")&amp;IF($DQ44&lt;&gt;"",$DQ44&amp;", ","")&amp;IF($DR44&lt;&gt;"",$DR44&amp;", ","")&amp;IF($DS44&lt;&gt;"",$DS44&amp;", ","")&amp;IF($DT44&lt;&gt;"",$DT44&amp;", ","")&amp;IF($DU44&lt;&gt;"",$DU44&amp;", ","")))-2)))))))</f>
        <v/>
      </c>
      <c r="N44" t="str">
        <f t="shared" si="306"/>
        <v/>
      </c>
      <c r="O44" t="str">
        <f t="shared" si="307"/>
        <v/>
      </c>
      <c r="P44" t="str">
        <f t="shared" si="308"/>
        <v/>
      </c>
      <c r="Q44" t="str">
        <f t="shared" si="309"/>
        <v/>
      </c>
      <c r="R44" t="str">
        <f>IF($Q44="","",IF(OR($BE44="",$BF44=""),"ONZEKER",IF(AND($BE44=0+1,$BF44=0),IF(OR(COUNTIF(#REF!,$B44)&gt;0,COUNTIF(#REF!,$B44)=0),"SKIP",IF(COUNTIFS(#REF!,$B44,#REF!,$Q44)&gt;0,"OK","ONBEKEND")),IF(AND($BE44=0,$BF44=0+1),IF(OR(COUNTIF(#REF!,$D44)&gt;0,COUNTIF(#REF!,$D44)=0),"SKIP",IF(COUNTIFS(#REF!,$D44,#REF!,$Q44)&gt;0,"OK","ONBEKEND")),"ONZEKER"))))</f>
        <v/>
      </c>
      <c r="S44" t="str">
        <f t="shared" si="310"/>
        <v/>
      </c>
      <c r="T44" t="str">
        <f t="shared" si="311"/>
        <v/>
      </c>
      <c r="U44" t="str">
        <f>IF($T44="","",IF(OR($BH44="",$BI44=""),"ONZEKER",IF(OR($BE44="",$BF44=""),"ONZEKER",IF(AND($BH44=$BE44+1,$BI44=$BF44),IF(OR(COUNTIF(#REF!,$B44)&gt;0,COUNTIF(#REF!,$B44)=0),"SKIP",IF(COUNTIFS(#REF!,$B44,#REF!,$T44)&gt;0,"OK","ONBEKEND")),IF(AND($BH44=$BE44,$BI44=$BF44+1),IF(OR(COUNTIF(#REF!,$D44)&gt;0,COUNTIF(#REF!,$D44)=0),"SKIP",IF(COUNTIFS(#REF!,$D44,#REF!,$T44)&gt;0,"OK","ONBEKEND")),"ONZEKER")))))</f>
        <v/>
      </c>
      <c r="V44" t="str">
        <f t="shared" si="312"/>
        <v/>
      </c>
      <c r="W44" t="str">
        <f t="shared" si="313"/>
        <v/>
      </c>
      <c r="X44" t="str">
        <f>IF($W44="","",IF(OR($BK44="",$BL44=""),"ONZEKER",IF(OR($BH44="",$BI44=""),"ONZEKER",IF(AND($BK44=$BH44+1,$BL44=$BI44),IF(OR(COUNTIF(#REF!,$B44)&gt;0,COUNTIF(#REF!,$B44)=0),"SKIP",IF(COUNTIFS(#REF!,$B44,#REF!,$W44)&gt;0,"OK","ONBEKEND")),IF(AND($BK44=$BH44,$BL44=$BI44+1),IF(OR(COUNTIF(#REF!,$D44)&gt;0,COUNTIF(#REF!,$D44)=0),"SKIP",IF(COUNTIFS(#REF!,$D44,#REF!,$W44)&gt;0,"OK","ONBEKEND")),"ONZEKER")))))</f>
        <v/>
      </c>
      <c r="Y44" t="str">
        <f t="shared" si="314"/>
        <v/>
      </c>
      <c r="Z44" t="str">
        <f t="shared" si="315"/>
        <v/>
      </c>
      <c r="AA44" t="str">
        <f>IF($Z44="","",IF(OR($BN44="",$BO44=""),"ONZEKER",IF(OR($BK44="",$BL44=""),"ONZEKER",IF(AND($BN44=$BK44+1,$BO44=$BL44),IF(OR(COUNTIF(#REF!,$B44)&gt;0,COUNTIF(#REF!,$B44)=0),"SKIP",IF(COUNTIFS(#REF!,$B44,#REF!,$Z44)&gt;0,"OK","ONBEKEND")),IF(AND($BN44=$BK44,$BO44=$BL44+1),IF(OR(COUNTIF(#REF!,$D44)&gt;0,COUNTIF(#REF!,$D44)=0),"SKIP",IF(COUNTIFS(#REF!,$D44,#REF!,$Z44)&gt;0,"OK","ONBEKEND")),"ONZEKER")))))</f>
        <v/>
      </c>
      <c r="AB44" t="str">
        <f t="shared" si="316"/>
        <v/>
      </c>
      <c r="AC44" t="str">
        <f t="shared" si="317"/>
        <v/>
      </c>
      <c r="AD44" t="str">
        <f>IF($AC44="","",IF(OR($BQ44="",$BR44=""),"ONZEKER",IF(OR($BN44="",$BO44=""),"ONZEKER",IF(AND($BQ44=$BN44+1,$BR44=$BO44),IF(OR(COUNTIF(#REF!,$B44)&gt;0,COUNTIF(#REF!,$B44)=0),"SKIP",IF(COUNTIFS(#REF!,$B44,#REF!,$AC44)&gt;0,"OK","ONBEKEND")),IF(AND($BQ44=$BN44,$BR44=$BO44+1),IF(OR(COUNTIF(#REF!,$D44)&gt;0,COUNTIF(#REF!,$D44)=0),"SKIP",IF(COUNTIFS(#REF!,$D44,#REF!,$AC44)&gt;0,"OK","ONBEKEND")),"ONZEKER")))))</f>
        <v/>
      </c>
      <c r="AE44" t="str">
        <f t="shared" si="318"/>
        <v/>
      </c>
      <c r="AF44" t="str">
        <f t="shared" si="319"/>
        <v/>
      </c>
      <c r="AG44" t="str">
        <f>IF($AF44="","",IF(OR($BT44="",$BU44=""),"ONZEKER",IF(OR($BQ44="",$BR44=""),"ONZEKER",IF(AND($BT44=$BQ44+1,$BU44=$BR44),IF(OR(COUNTIF(#REF!,$B44)&gt;0,COUNTIF(#REF!,$B44)=0),"SKIP",IF(COUNTIFS(#REF!,$B44,#REF!,$AF44)&gt;0,"OK","ONBEKEND")),IF(AND($BT44=$BQ44,$BU44=$BR44+1),IF(OR(COUNTIF(#REF!,$D44)&gt;0,COUNTIF(#REF!,$D44)=0),"SKIP",IF(COUNTIFS(#REF!,$D44,#REF!,$AF44)&gt;0,"OK","ONBEKEND")),"ONZEKER")))))</f>
        <v/>
      </c>
      <c r="AH44" t="str">
        <f t="shared" si="320"/>
        <v/>
      </c>
      <c r="AI44" t="str">
        <f t="shared" si="321"/>
        <v/>
      </c>
      <c r="AJ44" t="str">
        <f>IF($AI44="","",IF(OR($BW44="",$BX44=""),"ONZEKER",IF(OR($BT44="",$BU44=""),"ONZEKER",IF(AND($BW44=$BT44+1,$BX44=$BU44),IF(OR(COUNTIF(#REF!,$B44)&gt;0,COUNTIF(#REF!,$B44)=0),"SKIP",IF(COUNTIFS(#REF!,$B44,#REF!,$AI44)&gt;0,"OK","ONBEKEND")),IF(AND($BW44=$BT44,$BX44=$BU44+1),IF(OR(COUNTIF(#REF!,$D44)&gt;0,COUNTIF(#REF!,$D44)=0),"SKIP",IF(COUNTIFS(#REF!,$D44,#REF!,$AI44)&gt;0,"OK","ONBEKEND")),"ONZEKER")))))</f>
        <v/>
      </c>
      <c r="AK44" t="str">
        <f t="shared" si="322"/>
        <v/>
      </c>
      <c r="AL44" t="str">
        <f t="shared" si="323"/>
        <v/>
      </c>
      <c r="AM44" t="str">
        <f>IF($AL44="","",IF(OR($BZ44="",$CA44=""),"ONZEKER",IF(OR($BW44="",$BX44=""),"ONZEKER",IF(AND($BZ44=$BW44+1,$CA44=$BX44),IF(OR(COUNTIF(#REF!,$B44)&gt;0,COUNTIF(#REF!,$B44)=0),"SKIP",IF(COUNTIFS(#REF!,$B44,#REF!,$AL44)&gt;0,"OK","ONBEKEND")),IF(AND($BZ44=$BW44,$CA44=$BX44+1),IF(OR(COUNTIF(#REF!,$D44)&gt;0,COUNTIF(#REF!,$D44)=0),"SKIP",IF(COUNTIFS(#REF!,$D44,#REF!,$AL44)&gt;0,"OK","ONBEKEND")),"ONZEKER")))))</f>
        <v/>
      </c>
      <c r="AN44" t="str">
        <f t="shared" si="324"/>
        <v/>
      </c>
      <c r="AO44" t="str">
        <f t="shared" si="325"/>
        <v/>
      </c>
      <c r="AP44" t="str">
        <f>IF($AO44="","",IF(OR($CC44="",$CD44=""),"ONZEKER",IF(OR($BZ44="",$CA44=""),"ONZEKER",IF(AND($CC44=$BZ44+1,$CD44=$CA44),IF(OR(COUNTIF(#REF!,$B44)&gt;0,COUNTIF(#REF!,$B44)=0),"SKIP",IF(COUNTIFS(#REF!,$B44,#REF!,$AO44)&gt;0,"OK","ONBEKEND")),IF(AND($CC44=$BZ44,$CD44=$CA44+1),IF(OR(COUNTIF(#REF!,$D44)&gt;0,COUNTIF(#REF!,$D44)=0),"SKIP",IF(COUNTIFS(#REF!,$D44,#REF!,$AO44)&gt;0,"OK","ONBEKEND")),"ONZEKER")))))</f>
        <v/>
      </c>
      <c r="AQ44" t="str">
        <f t="shared" si="326"/>
        <v/>
      </c>
      <c r="AR44" t="str">
        <f t="shared" si="327"/>
        <v/>
      </c>
      <c r="AS44" t="str">
        <f>IF($AR44="","",IF(OR($CF44="",$CG44=""),"ONZEKER",IF(OR($CC44="",$CD44=""),"ONZEKER",IF(AND($CF44=$CC44+1,$CG44=$CD44),IF(OR(COUNTIF(#REF!,$B44)&gt;0,COUNTIF(#REF!,$B44)=0),"SKIP",IF(COUNTIFS(#REF!,$B44,#REF!,$AR44)&gt;0,"OK","ONBEKEND")),IF(AND($CF44=$CC44,$CG44=$CD44+1),IF(OR(COUNTIF(#REF!,$D44)&gt;0,COUNTIF(#REF!,$D44)=0),"SKIP",IF(COUNTIFS(#REF!,$D44,#REF!,$AR44)&gt;0,"OK","ONBEKEND")),"ONZEKER")))))</f>
        <v/>
      </c>
      <c r="AT44" t="str">
        <f t="shared" si="328"/>
        <v/>
      </c>
      <c r="AU44" t="str">
        <f t="shared" si="329"/>
        <v/>
      </c>
      <c r="AV44" t="str">
        <f t="shared" si="330"/>
        <v/>
      </c>
      <c r="AW44" t="str">
        <f t="shared" si="331"/>
        <v/>
      </c>
      <c r="AX44" t="str">
        <f t="shared" si="332"/>
        <v/>
      </c>
      <c r="AY44" t="str">
        <f t="shared" si="333"/>
        <v/>
      </c>
      <c r="AZ44" t="str">
        <f t="shared" si="334"/>
        <v/>
      </c>
      <c r="BA44" t="str">
        <f t="shared" si="335"/>
        <v/>
      </c>
      <c r="BB44" t="str">
        <f t="shared" si="336"/>
        <v/>
      </c>
      <c r="BC44" t="str">
        <f t="shared" si="337"/>
        <v/>
      </c>
      <c r="BD44" t="str">
        <f t="shared" si="32"/>
        <v/>
      </c>
      <c r="BE44" t="str">
        <f t="shared" si="33"/>
        <v/>
      </c>
      <c r="BF44" t="str">
        <f t="shared" si="34"/>
        <v/>
      </c>
      <c r="BG44" t="str">
        <f t="shared" si="35"/>
        <v/>
      </c>
      <c r="BH44" t="str">
        <f t="shared" si="36"/>
        <v/>
      </c>
      <c r="BI44" t="str">
        <f t="shared" si="37"/>
        <v/>
      </c>
      <c r="BJ44" t="str">
        <f t="shared" si="38"/>
        <v/>
      </c>
      <c r="BK44" t="str">
        <f t="shared" si="39"/>
        <v/>
      </c>
      <c r="BL44" t="str">
        <f t="shared" si="40"/>
        <v/>
      </c>
      <c r="BM44" t="str">
        <f t="shared" si="41"/>
        <v/>
      </c>
      <c r="BN44" t="str">
        <f t="shared" si="42"/>
        <v/>
      </c>
      <c r="BO44" t="str">
        <f t="shared" si="43"/>
        <v/>
      </c>
      <c r="BP44" t="str">
        <f t="shared" si="44"/>
        <v/>
      </c>
      <c r="BQ44" t="str">
        <f t="shared" si="45"/>
        <v/>
      </c>
      <c r="BR44" t="str">
        <f t="shared" si="46"/>
        <v/>
      </c>
      <c r="BS44" t="str">
        <f t="shared" si="47"/>
        <v/>
      </c>
      <c r="BT44" t="str">
        <f t="shared" si="48"/>
        <v/>
      </c>
      <c r="BU44" t="str">
        <f t="shared" si="49"/>
        <v/>
      </c>
      <c r="BV44" t="str">
        <f t="shared" si="50"/>
        <v/>
      </c>
      <c r="BW44" t="str">
        <f t="shared" si="51"/>
        <v/>
      </c>
      <c r="BX44" t="str">
        <f t="shared" si="52"/>
        <v/>
      </c>
      <c r="BY44" t="str">
        <f t="shared" si="53"/>
        <v/>
      </c>
      <c r="BZ44" t="str">
        <f t="shared" si="54"/>
        <v/>
      </c>
      <c r="CA44" t="str">
        <f t="shared" si="55"/>
        <v/>
      </c>
      <c r="CB44" t="str">
        <f t="shared" si="56"/>
        <v/>
      </c>
      <c r="CC44" t="str">
        <f t="shared" si="57"/>
        <v/>
      </c>
      <c r="CD44" t="str">
        <f t="shared" si="58"/>
        <v/>
      </c>
      <c r="CE44" t="str">
        <f t="shared" si="59"/>
        <v/>
      </c>
      <c r="CF44" t="str">
        <f t="shared" si="60"/>
        <v/>
      </c>
      <c r="CG44" t="str">
        <f t="shared" si="61"/>
        <v/>
      </c>
      <c r="CH44" t="str">
        <f t="shared" si="338"/>
        <v/>
      </c>
      <c r="CI44" t="str">
        <f t="shared" si="339"/>
        <v/>
      </c>
      <c r="CJ44" t="str">
        <f>IF($CI44="","",IF(OR($DW44="",$DX44=""),"ONZEKER",IF(OR($CF44="",$CG44=""),"ONZEKER",IF(AND($DW44=$CF44+1,$DX44=$CG44),IF(OR(COUNTIF(#REF!,$B44)&gt;0,COUNTIF(#REF!,$B44)=0),"SKIP",IF(COUNTIFS(#REF!,$B44,#REF!,$CI44)&gt;0,"OK","ONBEKEND")),IF(AND($DW44=$CF44,$DX44=$CG44+1),IF(OR(COUNTIF(#REF!,$D44)&gt;0,COUNTIF(#REF!,$D44)=0),"SKIP",IF(COUNTIFS(#REF!,$D44,#REF!,$CI44)&gt;0,"OK","ONBEKEND")),"ONZEKER")))))</f>
        <v/>
      </c>
      <c r="CK44" t="str">
        <f t="shared" si="340"/>
        <v/>
      </c>
      <c r="CL44" t="str">
        <f t="shared" si="341"/>
        <v/>
      </c>
      <c r="CM44" t="str">
        <f>IF($CL44="","",IF(OR($DZ44="",$EA44=""),"ONZEKER",IF(OR($DW44="",$DX44=""),"ONZEKER",IF(AND($DZ44=$DW44+1,$EA44=$DX44),IF(OR(COUNTIF(#REF!,$B44)&gt;0,COUNTIF(#REF!,$B44)=0),"SKIP",IF(COUNTIFS(#REF!,$B44,#REF!,$CL44)&gt;0,"OK","ONBEKEND")),IF(AND($DZ44=$DW44,$EA44=$DX44+1),IF(OR(COUNTIF(#REF!,$D44)&gt;0,COUNTIF(#REF!,$D44)=0),"SKIP",IF(COUNTIFS(#REF!,$D44,#REF!,$CL44)&gt;0,"OK","ONBEKEND")),"ONZEKER")))))</f>
        <v/>
      </c>
      <c r="CN44" t="str">
        <f t="shared" si="342"/>
        <v/>
      </c>
      <c r="CO44" t="str">
        <f t="shared" si="343"/>
        <v/>
      </c>
      <c r="CP44" t="str">
        <f>IF($CO44="","",IF(OR($EC44="",$ED44=""),"ONZEKER",IF(OR($DZ44="",$EA44=""),"ONZEKER",IF(AND($EC44=$DZ44+1,$ED44=$EA44),IF(OR(COUNTIF(#REF!,$B44)&gt;0,COUNTIF(#REF!,$B44)=0),"SKIP",IF(COUNTIFS(#REF!,$B44,#REF!,$CO44)&gt;0,"OK","ONBEKEND")),IF(AND($EC44=$DZ44,$ED44=$EA44+1),IF(OR(COUNTIF(#REF!,$D44)&gt;0,COUNTIF(#REF!,$D44)=0),"SKIP",IF(COUNTIFS(#REF!,$D44,#REF!,$CO44)&gt;0,"OK","ONBEKEND")),"ONZEKER")))))</f>
        <v/>
      </c>
      <c r="CQ44" t="str">
        <f t="shared" si="344"/>
        <v/>
      </c>
      <c r="CR44" t="str">
        <f t="shared" si="345"/>
        <v/>
      </c>
      <c r="CS44" t="str">
        <f>IF($CR44="","",IF(OR($EF44="",$EG44=""),"ONZEKER",IF(OR($EC44="",$ED44=""),"ONZEKER",IF(AND($EF44=$EC44+1,$EG44=$ED44),IF(OR(COUNTIF(#REF!,$B44)&gt;0,COUNTIF(#REF!,$B44)=0),"SKIP",IF(COUNTIFS(#REF!,$B44,#REF!,$CR44)&gt;0,"OK","ONBEKEND")),IF(AND($EF44=$EC44,$EG44=$ED44+1),IF(OR(COUNTIF(#REF!,$D44)&gt;0,COUNTIF(#REF!,$D44)=0),"SKIP",IF(COUNTIFS(#REF!,$D44,#REF!,$CR44)&gt;0,"OK","ONBEKEND")),"ONZEKER")))))</f>
        <v/>
      </c>
      <c r="CT44" t="str">
        <f t="shared" si="346"/>
        <v/>
      </c>
      <c r="CU44" t="str">
        <f t="shared" si="347"/>
        <v/>
      </c>
      <c r="CV44" t="str">
        <f>IF($CU44="","",IF(OR($EI44="",$EJ44=""),"ONZEKER",IF(OR($EF44="",$EG44=""),"ONZEKER",IF(AND($EI44=$EF44+1,$EJ44=$EG44),IF(OR(COUNTIF(#REF!,$B44)&gt;0,COUNTIF(#REF!,$B44)=0),"SKIP",IF(COUNTIFS(#REF!,$B44,#REF!,$CU44)&gt;0,"OK","ONBEKEND")),IF(AND($EI44=$EF44,$EJ44=$EG44+1),IF(OR(COUNTIF(#REF!,$D44)&gt;0,COUNTIF(#REF!,$D44)=0),"SKIP",IF(COUNTIFS(#REF!,$D44,#REF!,$CU44)&gt;0,"OK","ONBEKEND")),"ONZEKER")))))</f>
        <v/>
      </c>
      <c r="CW44" t="str">
        <f t="shared" si="348"/>
        <v/>
      </c>
      <c r="CX44" t="str">
        <f t="shared" si="349"/>
        <v/>
      </c>
      <c r="CY44" t="str">
        <f>IF($CX44="","",IF(OR($EL44="",$EM44=""),"ONZEKER",IF(OR($EI44="",$EJ44=""),"ONZEKER",IF(AND($EL44=$EI44+1,$EM44=$EJ44),IF(OR(COUNTIF(#REF!,$B44)&gt;0,COUNTIF(#REF!,$B44)=0),"SKIP",IF(COUNTIFS(#REF!,$B44,#REF!,$CX44)&gt;0,"OK","ONBEKEND")),IF(AND($EL44=$EI44,$EM44=$EJ44+1),IF(OR(COUNTIF(#REF!,$D44)&gt;0,COUNTIF(#REF!,$D44)=0),"SKIP",IF(COUNTIFS(#REF!,$D44,#REF!,$CX44)&gt;0,"OK","ONBEKEND")),"ONZEKER")))))</f>
        <v/>
      </c>
      <c r="CZ44" t="str">
        <f t="shared" si="350"/>
        <v/>
      </c>
      <c r="DA44" t="str">
        <f t="shared" si="351"/>
        <v/>
      </c>
      <c r="DB44" t="str">
        <f>IF($DA44="","",IF(OR($EO44="",$EP44=""),"ONZEKER",IF(OR($EL44="",$EM44=""),"ONZEKER",IF(AND($EO44=$EL44+1,$EP44=$EM44),IF(OR(COUNTIF(#REF!,$B44)&gt;0,COUNTIF(#REF!,$B44)=0),"SKIP",IF(COUNTIFS(#REF!,$B44,#REF!,$DA44)&gt;0,"OK","ONBEKEND")),IF(AND($EO44=$EL44,$EP44=$EM44+1),IF(OR(COUNTIF(#REF!,$D44)&gt;0,COUNTIF(#REF!,$D44)=0),"SKIP",IF(COUNTIFS(#REF!,$D44,#REF!,$DA44)&gt;0,"OK","ONBEKEND")),"ONZEKER")))))</f>
        <v/>
      </c>
      <c r="DC44" t="str">
        <f t="shared" si="352"/>
        <v/>
      </c>
      <c r="DD44" t="str">
        <f t="shared" si="353"/>
        <v/>
      </c>
      <c r="DE44" t="str">
        <f>IF($DD44="","",IF(OR($ER44="",$ES44=""),"ONZEKER",IF(OR($EO44="",$EP44=""),"ONZEKER",IF(AND($ER44=$EO44+1,$ES44=$EP44),IF(OR(COUNTIF(#REF!,$B44)&gt;0,COUNTIF(#REF!,$B44)=0),"SKIP",IF(COUNTIFS(#REF!,$B44,#REF!,$DD44)&gt;0,"OK","ONBEKEND")),IF(AND($ER44=$EO44,$ES44=$EP44+1),IF(OR(COUNTIF(#REF!,$D44)&gt;0,COUNTIF(#REF!,$D44)=0),"SKIP",IF(COUNTIFS(#REF!,$D44,#REF!,$DD44)&gt;0,"OK","ONBEKEND")),"ONZEKER")))))</f>
        <v/>
      </c>
      <c r="DF44" t="str">
        <f t="shared" si="354"/>
        <v/>
      </c>
      <c r="DG44" t="str">
        <f t="shared" si="355"/>
        <v/>
      </c>
      <c r="DH44" t="str">
        <f>IF($DG44="","",IF(OR($EU44="",$EV44=""),"ONZEKER",IF(OR($ER44="",$ES44=""),"ONZEKER",IF(AND($EU44=$ER44+1,$EV44=$ES44),IF(OR(COUNTIF(#REF!,$B44)&gt;0,COUNTIF(#REF!,$B44)=0),"SKIP",IF(COUNTIFS(#REF!,$B44,#REF!,$DG44)&gt;0,"OK","ONBEKEND")),IF(AND($EU44=$ER44,$EV44=$ES44+1),IF(OR(COUNTIF(#REF!,$D44)&gt;0,COUNTIF(#REF!,$D44)=0),"SKIP",IF(COUNTIFS(#REF!,$D44,#REF!,$DG44)&gt;0,"OK","ONBEKEND")),"ONZEKER")))))</f>
        <v/>
      </c>
      <c r="DI44" t="str">
        <f t="shared" si="356"/>
        <v/>
      </c>
      <c r="DJ44" t="str">
        <f t="shared" si="357"/>
        <v/>
      </c>
      <c r="DK44" t="str">
        <f>IF($DJ44="","",IF(OR($EX44="",$EY44=""),"ONZEKER",IF(OR($EU44="",$EV44=""),"ONZEKER",IF(AND($EX44=$EU44+1,$EY44=$EV44),IF(OR(COUNTIF(#REF!,$B44)&gt;0,COUNTIF(#REF!,$B44)=0),"SKIP",IF(COUNTIFS(#REF!,$B44,#REF!,$DJ44)&gt;0,"OK","ONBEKEND")),IF(AND($EX44=$EU44,$EY44=$EV44+1),IF(OR(COUNTIF(#REF!,$D44)&gt;0,COUNTIF(#REF!,$D44)=0),"SKIP",IF(COUNTIFS(#REF!,$D44,#REF!,$DJ44)&gt;0,"OK","ONBEKEND")),"ONZEKER")))))</f>
        <v/>
      </c>
      <c r="DL44" t="str">
        <f t="shared" si="358"/>
        <v/>
      </c>
      <c r="DM44" t="str">
        <f t="shared" si="359"/>
        <v/>
      </c>
      <c r="DN44" t="str">
        <f t="shared" si="360"/>
        <v/>
      </c>
      <c r="DO44" t="str">
        <f t="shared" si="361"/>
        <v/>
      </c>
      <c r="DP44" t="str">
        <f t="shared" si="362"/>
        <v/>
      </c>
      <c r="DQ44" t="str">
        <f t="shared" si="363"/>
        <v/>
      </c>
      <c r="DR44" t="str">
        <f t="shared" si="364"/>
        <v/>
      </c>
      <c r="DS44" t="str">
        <f t="shared" si="365"/>
        <v/>
      </c>
      <c r="DT44" t="str">
        <f t="shared" si="366"/>
        <v/>
      </c>
      <c r="DU44" t="str">
        <f t="shared" si="367"/>
        <v/>
      </c>
      <c r="DV44" t="str">
        <f t="shared" si="368"/>
        <v/>
      </c>
      <c r="DW44" t="str">
        <f t="shared" si="369"/>
        <v/>
      </c>
      <c r="DX44" t="str">
        <f t="shared" si="370"/>
        <v/>
      </c>
      <c r="DY44" t="str">
        <f t="shared" si="371"/>
        <v/>
      </c>
      <c r="DZ44" t="str">
        <f t="shared" si="372"/>
        <v/>
      </c>
      <c r="EA44" t="str">
        <f t="shared" si="373"/>
        <v/>
      </c>
      <c r="EB44" t="str">
        <f t="shared" si="374"/>
        <v/>
      </c>
      <c r="EC44" t="str">
        <f t="shared" si="375"/>
        <v/>
      </c>
      <c r="ED44" t="str">
        <f t="shared" si="376"/>
        <v/>
      </c>
      <c r="EE44" t="str">
        <f t="shared" si="377"/>
        <v/>
      </c>
      <c r="EF44" t="str">
        <f t="shared" si="378"/>
        <v/>
      </c>
      <c r="EG44" t="str">
        <f t="shared" si="379"/>
        <v/>
      </c>
      <c r="EH44" t="str">
        <f t="shared" si="380"/>
        <v/>
      </c>
      <c r="EI44" t="str">
        <f t="shared" si="381"/>
        <v/>
      </c>
      <c r="EJ44" t="str">
        <f t="shared" si="382"/>
        <v/>
      </c>
      <c r="EK44" t="str">
        <f t="shared" si="383"/>
        <v/>
      </c>
      <c r="EL44" t="str">
        <f t="shared" si="384"/>
        <v/>
      </c>
      <c r="EM44" t="str">
        <f t="shared" si="385"/>
        <v/>
      </c>
      <c r="EN44" t="str">
        <f t="shared" si="386"/>
        <v/>
      </c>
      <c r="EO44" t="str">
        <f t="shared" si="387"/>
        <v/>
      </c>
      <c r="EP44" t="str">
        <f t="shared" si="388"/>
        <v/>
      </c>
      <c r="EQ44" t="str">
        <f t="shared" si="389"/>
        <v/>
      </c>
      <c r="ER44" t="str">
        <f t="shared" si="390"/>
        <v/>
      </c>
      <c r="ES44" t="str">
        <f t="shared" si="391"/>
        <v/>
      </c>
      <c r="ET44" t="str">
        <f t="shared" si="392"/>
        <v/>
      </c>
      <c r="EU44" t="str">
        <f t="shared" si="393"/>
        <v/>
      </c>
      <c r="EV44" t="str">
        <f t="shared" si="394"/>
        <v/>
      </c>
      <c r="EW44" t="str">
        <f t="shared" si="395"/>
        <v/>
      </c>
      <c r="EX44" t="str">
        <f t="shared" si="396"/>
        <v/>
      </c>
      <c r="EY44" t="str">
        <f t="shared" si="397"/>
        <v/>
      </c>
    </row>
    <row r="45" spans="1:155" ht="13.9" customHeight="1" x14ac:dyDescent="0.25">
      <c r="A45" s="7"/>
      <c r="B45" s="17"/>
      <c r="C45" s="8"/>
      <c r="D45" s="17"/>
      <c r="E45" s="8"/>
      <c r="F45" s="18">
        <v>0</v>
      </c>
      <c r="G45" s="7" t="s">
        <v>147</v>
      </c>
      <c r="H45" s="18">
        <v>0</v>
      </c>
      <c r="I45" s="19">
        <v>0</v>
      </c>
      <c r="J45" s="7" t="s">
        <v>147</v>
      </c>
      <c r="K45" s="19">
        <v>0</v>
      </c>
      <c r="L45" s="9"/>
      <c r="M45" s="3" t="str">
        <f>IF($L45="","",IF($L45="DOELPUNTENMAKERS","",IF(AND(COUNTIF(#REF!,$B45)=0,COUNTIF(#REF!,$D45)=0),"OK",IF($O45&gt;20,"LET OP: meer dan 20 items (controle onvolledig)",IF((COUNTIF($R45:$AS45,"ONZEKER")+COUNTIF($CJ45:$DK45,"ONZEKER"))&gt;0,"LET OP: scoreverloop onduidelijk (controle beperkt)",IF((IF($AT45&lt;&gt;"",$AT45&amp;", ","")&amp;IF($AU45&lt;&gt;"",$AU45&amp;", ","")&amp;IF($AV45&lt;&gt;"",$AV45&amp;", ","")&amp;IF($AW45&lt;&gt;"",$AW45&amp;", ","")&amp;IF($AX45&lt;&gt;"",$AX45&amp;", ","")&amp;IF($AY45&lt;&gt;"",$AY45&amp;", ","")&amp;IF($AZ45&lt;&gt;"",$AZ45&amp;", ","")&amp;IF($BA45&lt;&gt;"",$BA45&amp;", ","")&amp;IF($BB45&lt;&gt;"",$BB45&amp;", ","")&amp;IF($BC45&lt;&gt;"",$BC45&amp;", ","")&amp;IF($DL45&lt;&gt;"",$DL45&amp;", ","")&amp;IF($DM45&lt;&gt;"",$DM45&amp;", ","")&amp;IF($DN45&lt;&gt;"",$DN45&amp;", ","")&amp;IF($DO45&lt;&gt;"",$DO45&amp;", ","")&amp;IF($DP45&lt;&gt;"",$DP45&amp;", ","")&amp;IF($DQ45&lt;&gt;"",$DQ45&amp;", ","")&amp;IF($DR45&lt;&gt;"",$DR45&amp;", ","")&amp;IF($DS45&lt;&gt;"",$DS45&amp;", ","")&amp;IF($DT45&lt;&gt;"",$DT45&amp;", ","")&amp;IF($DU45&lt;&gt;"",$DU45&amp;", ",""))="","OK","Onbekend: "&amp;LEFT((IF($AT45&lt;&gt;"",$AT45&amp;", ","")&amp;IF($AU45&lt;&gt;"",$AU45&amp;", ","")&amp;IF($AV45&lt;&gt;"",$AV45&amp;", ","")&amp;IF($AW45&lt;&gt;"",$AW45&amp;", ","")&amp;IF($AX45&lt;&gt;"",$AX45&amp;", ","")&amp;IF($AY45&lt;&gt;"",$AY45&amp;", ","")&amp;IF($AZ45&lt;&gt;"",$AZ45&amp;", ","")&amp;IF($BA45&lt;&gt;"",$BA45&amp;", ","")&amp;IF($BB45&lt;&gt;"",$BB45&amp;", ","")&amp;IF($BC45&lt;&gt;"",$BC45&amp;", ","")&amp;IF($DL45&lt;&gt;"",$DL45&amp;", ","")&amp;IF($DM45&lt;&gt;"",$DM45&amp;", ","")&amp;IF($DN45&lt;&gt;"",$DN45&amp;", ","")&amp;IF($DO45&lt;&gt;"",$DO45&amp;", ","")&amp;IF($DP45&lt;&gt;"",$DP45&amp;", ","")&amp;IF($DQ45&lt;&gt;"",$DQ45&amp;", ","")&amp;IF($DR45&lt;&gt;"",$DR45&amp;", ","")&amp;IF($DS45&lt;&gt;"",$DS45&amp;", ","")&amp;IF($DT45&lt;&gt;"",$DT45&amp;", ","")&amp;IF($DU45&lt;&gt;"",$DU45&amp;", ","")),LEN((IF($AT45&lt;&gt;"",$AT45&amp;", ","")&amp;IF($AU45&lt;&gt;"",$AU45&amp;", ","")&amp;IF($AV45&lt;&gt;"",$AV45&amp;", ","")&amp;IF($AW45&lt;&gt;"",$AW45&amp;", ","")&amp;IF($AX45&lt;&gt;"",$AX45&amp;", ","")&amp;IF($AY45&lt;&gt;"",$AY45&amp;", ","")&amp;IF($AZ45&lt;&gt;"",$AZ45&amp;", ","")&amp;IF($BA45&lt;&gt;"",$BA45&amp;", ","")&amp;IF($BB45&lt;&gt;"",$BB45&amp;", ","")&amp;IF($BC45&lt;&gt;"",$BC45&amp;", ","")&amp;IF($DL45&lt;&gt;"",$DL45&amp;", ","")&amp;IF($DM45&lt;&gt;"",$DM45&amp;", ","")&amp;IF($DN45&lt;&gt;"",$DN45&amp;", ","")&amp;IF($DO45&lt;&gt;"",$DO45&amp;", ","")&amp;IF($DP45&lt;&gt;"",$DP45&amp;", ","")&amp;IF($DQ45&lt;&gt;"",$DQ45&amp;", ","")&amp;IF($DR45&lt;&gt;"",$DR45&amp;", ","")&amp;IF($DS45&lt;&gt;"",$DS45&amp;", ","")&amp;IF($DT45&lt;&gt;"",$DT45&amp;", ","")&amp;IF($DU45&lt;&gt;"",$DU45&amp;", ","")))-2)))))))</f>
        <v/>
      </c>
      <c r="N45" t="str">
        <f t="shared" si="306"/>
        <v/>
      </c>
      <c r="O45" t="str">
        <f t="shared" si="307"/>
        <v/>
      </c>
      <c r="P45" t="str">
        <f t="shared" si="308"/>
        <v/>
      </c>
      <c r="Q45" t="str">
        <f t="shared" si="309"/>
        <v/>
      </c>
      <c r="R45" t="str">
        <f>IF($Q45="","",IF(OR($BE45="",$BF45=""),"ONZEKER",IF(AND($BE45=0+1,$BF45=0),IF(OR(COUNTIF(#REF!,$B45)&gt;0,COUNTIF(#REF!,$B45)=0),"SKIP",IF(COUNTIFS(#REF!,$B45,#REF!,$Q45)&gt;0,"OK","ONBEKEND")),IF(AND($BE45=0,$BF45=0+1),IF(OR(COUNTIF(#REF!,$D45)&gt;0,COUNTIF(#REF!,$D45)=0),"SKIP",IF(COUNTIFS(#REF!,$D45,#REF!,$Q45)&gt;0,"OK","ONBEKEND")),"ONZEKER"))))</f>
        <v/>
      </c>
      <c r="S45" t="str">
        <f t="shared" si="310"/>
        <v/>
      </c>
      <c r="T45" t="str">
        <f t="shared" si="311"/>
        <v/>
      </c>
      <c r="U45" t="str">
        <f>IF($T45="","",IF(OR($BH45="",$BI45=""),"ONZEKER",IF(OR($BE45="",$BF45=""),"ONZEKER",IF(AND($BH45=$BE45+1,$BI45=$BF45),IF(OR(COUNTIF(#REF!,$B45)&gt;0,COUNTIF(#REF!,$B45)=0),"SKIP",IF(COUNTIFS(#REF!,$B45,#REF!,$T45)&gt;0,"OK","ONBEKEND")),IF(AND($BH45=$BE45,$BI45=$BF45+1),IF(OR(COUNTIF(#REF!,$D45)&gt;0,COUNTIF(#REF!,$D45)=0),"SKIP",IF(COUNTIFS(#REF!,$D45,#REF!,$T45)&gt;0,"OK","ONBEKEND")),"ONZEKER")))))</f>
        <v/>
      </c>
      <c r="V45" t="str">
        <f t="shared" si="312"/>
        <v/>
      </c>
      <c r="W45" t="str">
        <f t="shared" si="313"/>
        <v/>
      </c>
      <c r="X45" t="str">
        <f>IF($W45="","",IF(OR($BK45="",$BL45=""),"ONZEKER",IF(OR($BH45="",$BI45=""),"ONZEKER",IF(AND($BK45=$BH45+1,$BL45=$BI45),IF(OR(COUNTIF(#REF!,$B45)&gt;0,COUNTIF(#REF!,$B45)=0),"SKIP",IF(COUNTIFS(#REF!,$B45,#REF!,$W45)&gt;0,"OK","ONBEKEND")),IF(AND($BK45=$BH45,$BL45=$BI45+1),IF(OR(COUNTIF(#REF!,$D45)&gt;0,COUNTIF(#REF!,$D45)=0),"SKIP",IF(COUNTIFS(#REF!,$D45,#REF!,$W45)&gt;0,"OK","ONBEKEND")),"ONZEKER")))))</f>
        <v/>
      </c>
      <c r="Y45" t="str">
        <f t="shared" si="314"/>
        <v/>
      </c>
      <c r="Z45" t="str">
        <f t="shared" si="315"/>
        <v/>
      </c>
      <c r="AA45" t="str">
        <f>IF($Z45="","",IF(OR($BN45="",$BO45=""),"ONZEKER",IF(OR($BK45="",$BL45=""),"ONZEKER",IF(AND($BN45=$BK45+1,$BO45=$BL45),IF(OR(COUNTIF(#REF!,$B45)&gt;0,COUNTIF(#REF!,$B45)=0),"SKIP",IF(COUNTIFS(#REF!,$B45,#REF!,$Z45)&gt;0,"OK","ONBEKEND")),IF(AND($BN45=$BK45,$BO45=$BL45+1),IF(OR(COUNTIF(#REF!,$D45)&gt;0,COUNTIF(#REF!,$D45)=0),"SKIP",IF(COUNTIFS(#REF!,$D45,#REF!,$Z45)&gt;0,"OK","ONBEKEND")),"ONZEKER")))))</f>
        <v/>
      </c>
      <c r="AB45" t="str">
        <f t="shared" si="316"/>
        <v/>
      </c>
      <c r="AC45" t="str">
        <f t="shared" si="317"/>
        <v/>
      </c>
      <c r="AD45" t="str">
        <f>IF($AC45="","",IF(OR($BQ45="",$BR45=""),"ONZEKER",IF(OR($BN45="",$BO45=""),"ONZEKER",IF(AND($BQ45=$BN45+1,$BR45=$BO45),IF(OR(COUNTIF(#REF!,$B45)&gt;0,COUNTIF(#REF!,$B45)=0),"SKIP",IF(COUNTIFS(#REF!,$B45,#REF!,$AC45)&gt;0,"OK","ONBEKEND")),IF(AND($BQ45=$BN45,$BR45=$BO45+1),IF(OR(COUNTIF(#REF!,$D45)&gt;0,COUNTIF(#REF!,$D45)=0),"SKIP",IF(COUNTIFS(#REF!,$D45,#REF!,$AC45)&gt;0,"OK","ONBEKEND")),"ONZEKER")))))</f>
        <v/>
      </c>
      <c r="AE45" t="str">
        <f t="shared" si="318"/>
        <v/>
      </c>
      <c r="AF45" t="str">
        <f t="shared" si="319"/>
        <v/>
      </c>
      <c r="AG45" t="str">
        <f>IF($AF45="","",IF(OR($BT45="",$BU45=""),"ONZEKER",IF(OR($BQ45="",$BR45=""),"ONZEKER",IF(AND($BT45=$BQ45+1,$BU45=$BR45),IF(OR(COUNTIF(#REF!,$B45)&gt;0,COUNTIF(#REF!,$B45)=0),"SKIP",IF(COUNTIFS(#REF!,$B45,#REF!,$AF45)&gt;0,"OK","ONBEKEND")),IF(AND($BT45=$BQ45,$BU45=$BR45+1),IF(OR(COUNTIF(#REF!,$D45)&gt;0,COUNTIF(#REF!,$D45)=0),"SKIP",IF(COUNTIFS(#REF!,$D45,#REF!,$AF45)&gt;0,"OK","ONBEKEND")),"ONZEKER")))))</f>
        <v/>
      </c>
      <c r="AH45" t="str">
        <f t="shared" si="320"/>
        <v/>
      </c>
      <c r="AI45" t="str">
        <f t="shared" si="321"/>
        <v/>
      </c>
      <c r="AJ45" t="str">
        <f>IF($AI45="","",IF(OR($BW45="",$BX45=""),"ONZEKER",IF(OR($BT45="",$BU45=""),"ONZEKER",IF(AND($BW45=$BT45+1,$BX45=$BU45),IF(OR(COUNTIF(#REF!,$B45)&gt;0,COUNTIF(#REF!,$B45)=0),"SKIP",IF(COUNTIFS(#REF!,$B45,#REF!,$AI45)&gt;0,"OK","ONBEKEND")),IF(AND($BW45=$BT45,$BX45=$BU45+1),IF(OR(COUNTIF(#REF!,$D45)&gt;0,COUNTIF(#REF!,$D45)=0),"SKIP",IF(COUNTIFS(#REF!,$D45,#REF!,$AI45)&gt;0,"OK","ONBEKEND")),"ONZEKER")))))</f>
        <v/>
      </c>
      <c r="AK45" t="str">
        <f t="shared" si="322"/>
        <v/>
      </c>
      <c r="AL45" t="str">
        <f t="shared" si="323"/>
        <v/>
      </c>
      <c r="AM45" t="str">
        <f>IF($AL45="","",IF(OR($BZ45="",$CA45=""),"ONZEKER",IF(OR($BW45="",$BX45=""),"ONZEKER",IF(AND($BZ45=$BW45+1,$CA45=$BX45),IF(OR(COUNTIF(#REF!,$B45)&gt;0,COUNTIF(#REF!,$B45)=0),"SKIP",IF(COUNTIFS(#REF!,$B45,#REF!,$AL45)&gt;0,"OK","ONBEKEND")),IF(AND($BZ45=$BW45,$CA45=$BX45+1),IF(OR(COUNTIF(#REF!,$D45)&gt;0,COUNTIF(#REF!,$D45)=0),"SKIP",IF(COUNTIFS(#REF!,$D45,#REF!,$AL45)&gt;0,"OK","ONBEKEND")),"ONZEKER")))))</f>
        <v/>
      </c>
      <c r="AN45" t="str">
        <f t="shared" si="324"/>
        <v/>
      </c>
      <c r="AO45" t="str">
        <f t="shared" si="325"/>
        <v/>
      </c>
      <c r="AP45" t="str">
        <f>IF($AO45="","",IF(OR($CC45="",$CD45=""),"ONZEKER",IF(OR($BZ45="",$CA45=""),"ONZEKER",IF(AND($CC45=$BZ45+1,$CD45=$CA45),IF(OR(COUNTIF(#REF!,$B45)&gt;0,COUNTIF(#REF!,$B45)=0),"SKIP",IF(COUNTIFS(#REF!,$B45,#REF!,$AO45)&gt;0,"OK","ONBEKEND")),IF(AND($CC45=$BZ45,$CD45=$CA45+1),IF(OR(COUNTIF(#REF!,$D45)&gt;0,COUNTIF(#REF!,$D45)=0),"SKIP",IF(COUNTIFS(#REF!,$D45,#REF!,$AO45)&gt;0,"OK","ONBEKEND")),"ONZEKER")))))</f>
        <v/>
      </c>
      <c r="AQ45" t="str">
        <f t="shared" si="326"/>
        <v/>
      </c>
      <c r="AR45" t="str">
        <f t="shared" si="327"/>
        <v/>
      </c>
      <c r="AS45" t="str">
        <f>IF($AR45="","",IF(OR($CF45="",$CG45=""),"ONZEKER",IF(OR($CC45="",$CD45=""),"ONZEKER",IF(AND($CF45=$CC45+1,$CG45=$CD45),IF(OR(COUNTIF(#REF!,$B45)&gt;0,COUNTIF(#REF!,$B45)=0),"SKIP",IF(COUNTIFS(#REF!,$B45,#REF!,$AR45)&gt;0,"OK","ONBEKEND")),IF(AND($CF45=$CC45,$CG45=$CD45+1),IF(OR(COUNTIF(#REF!,$D45)&gt;0,COUNTIF(#REF!,$D45)=0),"SKIP",IF(COUNTIFS(#REF!,$D45,#REF!,$AR45)&gt;0,"OK","ONBEKEND")),"ONZEKER")))))</f>
        <v/>
      </c>
      <c r="AT45" t="str">
        <f t="shared" si="328"/>
        <v/>
      </c>
      <c r="AU45" t="str">
        <f t="shared" si="329"/>
        <v/>
      </c>
      <c r="AV45" t="str">
        <f t="shared" si="330"/>
        <v/>
      </c>
      <c r="AW45" t="str">
        <f t="shared" si="331"/>
        <v/>
      </c>
      <c r="AX45" t="str">
        <f t="shared" si="332"/>
        <v/>
      </c>
      <c r="AY45" t="str">
        <f t="shared" si="333"/>
        <v/>
      </c>
      <c r="AZ45" t="str">
        <f t="shared" si="334"/>
        <v/>
      </c>
      <c r="BA45" t="str">
        <f t="shared" si="335"/>
        <v/>
      </c>
      <c r="BB45" t="str">
        <f t="shared" si="336"/>
        <v/>
      </c>
      <c r="BC45" t="str">
        <f t="shared" si="337"/>
        <v/>
      </c>
      <c r="BD45" t="str">
        <f t="shared" si="32"/>
        <v/>
      </c>
      <c r="BE45" t="str">
        <f t="shared" si="33"/>
        <v/>
      </c>
      <c r="BF45" t="str">
        <f t="shared" si="34"/>
        <v/>
      </c>
      <c r="BG45" t="str">
        <f t="shared" si="35"/>
        <v/>
      </c>
      <c r="BH45" t="str">
        <f t="shared" si="36"/>
        <v/>
      </c>
      <c r="BI45" t="str">
        <f t="shared" si="37"/>
        <v/>
      </c>
      <c r="BJ45" t="str">
        <f t="shared" si="38"/>
        <v/>
      </c>
      <c r="BK45" t="str">
        <f t="shared" si="39"/>
        <v/>
      </c>
      <c r="BL45" t="str">
        <f t="shared" si="40"/>
        <v/>
      </c>
      <c r="BM45" t="str">
        <f t="shared" si="41"/>
        <v/>
      </c>
      <c r="BN45" t="str">
        <f t="shared" si="42"/>
        <v/>
      </c>
      <c r="BO45" t="str">
        <f t="shared" si="43"/>
        <v/>
      </c>
      <c r="BP45" t="str">
        <f t="shared" si="44"/>
        <v/>
      </c>
      <c r="BQ45" t="str">
        <f t="shared" si="45"/>
        <v/>
      </c>
      <c r="BR45" t="str">
        <f t="shared" si="46"/>
        <v/>
      </c>
      <c r="BS45" t="str">
        <f t="shared" si="47"/>
        <v/>
      </c>
      <c r="BT45" t="str">
        <f t="shared" si="48"/>
        <v/>
      </c>
      <c r="BU45" t="str">
        <f t="shared" si="49"/>
        <v/>
      </c>
      <c r="BV45" t="str">
        <f t="shared" si="50"/>
        <v/>
      </c>
      <c r="BW45" t="str">
        <f t="shared" si="51"/>
        <v/>
      </c>
      <c r="BX45" t="str">
        <f t="shared" si="52"/>
        <v/>
      </c>
      <c r="BY45" t="str">
        <f t="shared" si="53"/>
        <v/>
      </c>
      <c r="BZ45" t="str">
        <f t="shared" si="54"/>
        <v/>
      </c>
      <c r="CA45" t="str">
        <f t="shared" si="55"/>
        <v/>
      </c>
      <c r="CB45" t="str">
        <f t="shared" si="56"/>
        <v/>
      </c>
      <c r="CC45" t="str">
        <f t="shared" si="57"/>
        <v/>
      </c>
      <c r="CD45" t="str">
        <f t="shared" si="58"/>
        <v/>
      </c>
      <c r="CE45" t="str">
        <f t="shared" si="59"/>
        <v/>
      </c>
      <c r="CF45" t="str">
        <f t="shared" si="60"/>
        <v/>
      </c>
      <c r="CG45" t="str">
        <f t="shared" si="61"/>
        <v/>
      </c>
      <c r="CH45" t="str">
        <f t="shared" si="338"/>
        <v/>
      </c>
      <c r="CI45" t="str">
        <f t="shared" si="339"/>
        <v/>
      </c>
      <c r="CJ45" t="str">
        <f>IF($CI45="","",IF(OR($DW45="",$DX45=""),"ONZEKER",IF(OR($CF45="",$CG45=""),"ONZEKER",IF(AND($DW45=$CF45+1,$DX45=$CG45),IF(OR(COUNTIF(#REF!,$B45)&gt;0,COUNTIF(#REF!,$B45)=0),"SKIP",IF(COUNTIFS(#REF!,$B45,#REF!,$CI45)&gt;0,"OK","ONBEKEND")),IF(AND($DW45=$CF45,$DX45=$CG45+1),IF(OR(COUNTIF(#REF!,$D45)&gt;0,COUNTIF(#REF!,$D45)=0),"SKIP",IF(COUNTIFS(#REF!,$D45,#REF!,$CI45)&gt;0,"OK","ONBEKEND")),"ONZEKER")))))</f>
        <v/>
      </c>
      <c r="CK45" t="str">
        <f t="shared" si="340"/>
        <v/>
      </c>
      <c r="CL45" t="str">
        <f t="shared" si="341"/>
        <v/>
      </c>
      <c r="CM45" t="str">
        <f>IF($CL45="","",IF(OR($DZ45="",$EA45=""),"ONZEKER",IF(OR($DW45="",$DX45=""),"ONZEKER",IF(AND($DZ45=$DW45+1,$EA45=$DX45),IF(OR(COUNTIF(#REF!,$B45)&gt;0,COUNTIF(#REF!,$B45)=0),"SKIP",IF(COUNTIFS(#REF!,$B45,#REF!,$CL45)&gt;0,"OK","ONBEKEND")),IF(AND($DZ45=$DW45,$EA45=$DX45+1),IF(OR(COUNTIF(#REF!,$D45)&gt;0,COUNTIF(#REF!,$D45)=0),"SKIP",IF(COUNTIFS(#REF!,$D45,#REF!,$CL45)&gt;0,"OK","ONBEKEND")),"ONZEKER")))))</f>
        <v/>
      </c>
      <c r="CN45" t="str">
        <f t="shared" si="342"/>
        <v/>
      </c>
      <c r="CO45" t="str">
        <f t="shared" si="343"/>
        <v/>
      </c>
      <c r="CP45" t="str">
        <f>IF($CO45="","",IF(OR($EC45="",$ED45=""),"ONZEKER",IF(OR($DZ45="",$EA45=""),"ONZEKER",IF(AND($EC45=$DZ45+1,$ED45=$EA45),IF(OR(COUNTIF(#REF!,$B45)&gt;0,COUNTIF(#REF!,$B45)=0),"SKIP",IF(COUNTIFS(#REF!,$B45,#REF!,$CO45)&gt;0,"OK","ONBEKEND")),IF(AND($EC45=$DZ45,$ED45=$EA45+1),IF(OR(COUNTIF(#REF!,$D45)&gt;0,COUNTIF(#REF!,$D45)=0),"SKIP",IF(COUNTIFS(#REF!,$D45,#REF!,$CO45)&gt;0,"OK","ONBEKEND")),"ONZEKER")))))</f>
        <v/>
      </c>
      <c r="CQ45" t="str">
        <f t="shared" si="344"/>
        <v/>
      </c>
      <c r="CR45" t="str">
        <f t="shared" si="345"/>
        <v/>
      </c>
      <c r="CS45" t="str">
        <f>IF($CR45="","",IF(OR($EF45="",$EG45=""),"ONZEKER",IF(OR($EC45="",$ED45=""),"ONZEKER",IF(AND($EF45=$EC45+1,$EG45=$ED45),IF(OR(COUNTIF(#REF!,$B45)&gt;0,COUNTIF(#REF!,$B45)=0),"SKIP",IF(COUNTIFS(#REF!,$B45,#REF!,$CR45)&gt;0,"OK","ONBEKEND")),IF(AND($EF45=$EC45,$EG45=$ED45+1),IF(OR(COUNTIF(#REF!,$D45)&gt;0,COUNTIF(#REF!,$D45)=0),"SKIP",IF(COUNTIFS(#REF!,$D45,#REF!,$CR45)&gt;0,"OK","ONBEKEND")),"ONZEKER")))))</f>
        <v/>
      </c>
      <c r="CT45" t="str">
        <f t="shared" si="346"/>
        <v/>
      </c>
      <c r="CU45" t="str">
        <f t="shared" si="347"/>
        <v/>
      </c>
      <c r="CV45" t="str">
        <f>IF($CU45="","",IF(OR($EI45="",$EJ45=""),"ONZEKER",IF(OR($EF45="",$EG45=""),"ONZEKER",IF(AND($EI45=$EF45+1,$EJ45=$EG45),IF(OR(COUNTIF(#REF!,$B45)&gt;0,COUNTIF(#REF!,$B45)=0),"SKIP",IF(COUNTIFS(#REF!,$B45,#REF!,$CU45)&gt;0,"OK","ONBEKEND")),IF(AND($EI45=$EF45,$EJ45=$EG45+1),IF(OR(COUNTIF(#REF!,$D45)&gt;0,COUNTIF(#REF!,$D45)=0),"SKIP",IF(COUNTIFS(#REF!,$D45,#REF!,$CU45)&gt;0,"OK","ONBEKEND")),"ONZEKER")))))</f>
        <v/>
      </c>
      <c r="CW45" t="str">
        <f t="shared" si="348"/>
        <v/>
      </c>
      <c r="CX45" t="str">
        <f t="shared" si="349"/>
        <v/>
      </c>
      <c r="CY45" t="str">
        <f>IF($CX45="","",IF(OR($EL45="",$EM45=""),"ONZEKER",IF(OR($EI45="",$EJ45=""),"ONZEKER",IF(AND($EL45=$EI45+1,$EM45=$EJ45),IF(OR(COUNTIF(#REF!,$B45)&gt;0,COUNTIF(#REF!,$B45)=0),"SKIP",IF(COUNTIFS(#REF!,$B45,#REF!,$CX45)&gt;0,"OK","ONBEKEND")),IF(AND($EL45=$EI45,$EM45=$EJ45+1),IF(OR(COUNTIF(#REF!,$D45)&gt;0,COUNTIF(#REF!,$D45)=0),"SKIP",IF(COUNTIFS(#REF!,$D45,#REF!,$CX45)&gt;0,"OK","ONBEKEND")),"ONZEKER")))))</f>
        <v/>
      </c>
      <c r="CZ45" t="str">
        <f t="shared" si="350"/>
        <v/>
      </c>
      <c r="DA45" t="str">
        <f t="shared" si="351"/>
        <v/>
      </c>
      <c r="DB45" t="str">
        <f>IF($DA45="","",IF(OR($EO45="",$EP45=""),"ONZEKER",IF(OR($EL45="",$EM45=""),"ONZEKER",IF(AND($EO45=$EL45+1,$EP45=$EM45),IF(OR(COUNTIF(#REF!,$B45)&gt;0,COUNTIF(#REF!,$B45)=0),"SKIP",IF(COUNTIFS(#REF!,$B45,#REF!,$DA45)&gt;0,"OK","ONBEKEND")),IF(AND($EO45=$EL45,$EP45=$EM45+1),IF(OR(COUNTIF(#REF!,$D45)&gt;0,COUNTIF(#REF!,$D45)=0),"SKIP",IF(COUNTIFS(#REF!,$D45,#REF!,$DA45)&gt;0,"OK","ONBEKEND")),"ONZEKER")))))</f>
        <v/>
      </c>
      <c r="DC45" t="str">
        <f t="shared" si="352"/>
        <v/>
      </c>
      <c r="DD45" t="str">
        <f t="shared" si="353"/>
        <v/>
      </c>
      <c r="DE45" t="str">
        <f>IF($DD45="","",IF(OR($ER45="",$ES45=""),"ONZEKER",IF(OR($EO45="",$EP45=""),"ONZEKER",IF(AND($ER45=$EO45+1,$ES45=$EP45),IF(OR(COUNTIF(#REF!,$B45)&gt;0,COUNTIF(#REF!,$B45)=0),"SKIP",IF(COUNTIFS(#REF!,$B45,#REF!,$DD45)&gt;0,"OK","ONBEKEND")),IF(AND($ER45=$EO45,$ES45=$EP45+1),IF(OR(COUNTIF(#REF!,$D45)&gt;0,COUNTIF(#REF!,$D45)=0),"SKIP",IF(COUNTIFS(#REF!,$D45,#REF!,$DD45)&gt;0,"OK","ONBEKEND")),"ONZEKER")))))</f>
        <v/>
      </c>
      <c r="DF45" t="str">
        <f t="shared" si="354"/>
        <v/>
      </c>
      <c r="DG45" t="str">
        <f t="shared" si="355"/>
        <v/>
      </c>
      <c r="DH45" t="str">
        <f>IF($DG45="","",IF(OR($EU45="",$EV45=""),"ONZEKER",IF(OR($ER45="",$ES45=""),"ONZEKER",IF(AND($EU45=$ER45+1,$EV45=$ES45),IF(OR(COUNTIF(#REF!,$B45)&gt;0,COUNTIF(#REF!,$B45)=0),"SKIP",IF(COUNTIFS(#REF!,$B45,#REF!,$DG45)&gt;0,"OK","ONBEKEND")),IF(AND($EU45=$ER45,$EV45=$ES45+1),IF(OR(COUNTIF(#REF!,$D45)&gt;0,COUNTIF(#REF!,$D45)=0),"SKIP",IF(COUNTIFS(#REF!,$D45,#REF!,$DG45)&gt;0,"OK","ONBEKEND")),"ONZEKER")))))</f>
        <v/>
      </c>
      <c r="DI45" t="str">
        <f t="shared" si="356"/>
        <v/>
      </c>
      <c r="DJ45" t="str">
        <f t="shared" si="357"/>
        <v/>
      </c>
      <c r="DK45" t="str">
        <f>IF($DJ45="","",IF(OR($EX45="",$EY45=""),"ONZEKER",IF(OR($EU45="",$EV45=""),"ONZEKER",IF(AND($EX45=$EU45+1,$EY45=$EV45),IF(OR(COUNTIF(#REF!,$B45)&gt;0,COUNTIF(#REF!,$B45)=0),"SKIP",IF(COUNTIFS(#REF!,$B45,#REF!,$DJ45)&gt;0,"OK","ONBEKEND")),IF(AND($EX45=$EU45,$EY45=$EV45+1),IF(OR(COUNTIF(#REF!,$D45)&gt;0,COUNTIF(#REF!,$D45)=0),"SKIP",IF(COUNTIFS(#REF!,$D45,#REF!,$DJ45)&gt;0,"OK","ONBEKEND")),"ONZEKER")))))</f>
        <v/>
      </c>
      <c r="DL45" t="str">
        <f t="shared" si="358"/>
        <v/>
      </c>
      <c r="DM45" t="str">
        <f t="shared" si="359"/>
        <v/>
      </c>
      <c r="DN45" t="str">
        <f t="shared" si="360"/>
        <v/>
      </c>
      <c r="DO45" t="str">
        <f t="shared" si="361"/>
        <v/>
      </c>
      <c r="DP45" t="str">
        <f t="shared" si="362"/>
        <v/>
      </c>
      <c r="DQ45" t="str">
        <f t="shared" si="363"/>
        <v/>
      </c>
      <c r="DR45" t="str">
        <f t="shared" si="364"/>
        <v/>
      </c>
      <c r="DS45" t="str">
        <f t="shared" si="365"/>
        <v/>
      </c>
      <c r="DT45" t="str">
        <f t="shared" si="366"/>
        <v/>
      </c>
      <c r="DU45" t="str">
        <f t="shared" si="367"/>
        <v/>
      </c>
      <c r="DV45" t="str">
        <f t="shared" si="368"/>
        <v/>
      </c>
      <c r="DW45" t="str">
        <f t="shared" si="369"/>
        <v/>
      </c>
      <c r="DX45" t="str">
        <f t="shared" si="370"/>
        <v/>
      </c>
      <c r="DY45" t="str">
        <f t="shared" si="371"/>
        <v/>
      </c>
      <c r="DZ45" t="str">
        <f t="shared" si="372"/>
        <v/>
      </c>
      <c r="EA45" t="str">
        <f t="shared" si="373"/>
        <v/>
      </c>
      <c r="EB45" t="str">
        <f t="shared" si="374"/>
        <v/>
      </c>
      <c r="EC45" t="str">
        <f t="shared" si="375"/>
        <v/>
      </c>
      <c r="ED45" t="str">
        <f t="shared" si="376"/>
        <v/>
      </c>
      <c r="EE45" t="str">
        <f t="shared" si="377"/>
        <v/>
      </c>
      <c r="EF45" t="str">
        <f t="shared" si="378"/>
        <v/>
      </c>
      <c r="EG45" t="str">
        <f t="shared" si="379"/>
        <v/>
      </c>
      <c r="EH45" t="str">
        <f t="shared" si="380"/>
        <v/>
      </c>
      <c r="EI45" t="str">
        <f t="shared" si="381"/>
        <v/>
      </c>
      <c r="EJ45" t="str">
        <f t="shared" si="382"/>
        <v/>
      </c>
      <c r="EK45" t="str">
        <f t="shared" si="383"/>
        <v/>
      </c>
      <c r="EL45" t="str">
        <f t="shared" si="384"/>
        <v/>
      </c>
      <c r="EM45" t="str">
        <f t="shared" si="385"/>
        <v/>
      </c>
      <c r="EN45" t="str">
        <f t="shared" si="386"/>
        <v/>
      </c>
      <c r="EO45" t="str">
        <f t="shared" si="387"/>
        <v/>
      </c>
      <c r="EP45" t="str">
        <f t="shared" si="388"/>
        <v/>
      </c>
      <c r="EQ45" t="str">
        <f t="shared" si="389"/>
        <v/>
      </c>
      <c r="ER45" t="str">
        <f t="shared" si="390"/>
        <v/>
      </c>
      <c r="ES45" t="str">
        <f t="shared" si="391"/>
        <v/>
      </c>
      <c r="ET45" t="str">
        <f t="shared" si="392"/>
        <v/>
      </c>
      <c r="EU45" t="str">
        <f t="shared" si="393"/>
        <v/>
      </c>
      <c r="EV45" t="str">
        <f t="shared" si="394"/>
        <v/>
      </c>
      <c r="EW45" t="str">
        <f t="shared" si="395"/>
        <v/>
      </c>
      <c r="EX45" t="str">
        <f t="shared" si="396"/>
        <v/>
      </c>
      <c r="EY45" t="str">
        <f t="shared" si="397"/>
        <v/>
      </c>
    </row>
    <row r="46" spans="1:155" ht="13.9" customHeight="1" x14ac:dyDescent="0.25">
      <c r="A46" s="7"/>
      <c r="B46" s="17"/>
      <c r="C46" s="8"/>
      <c r="D46" s="17"/>
      <c r="E46" s="8"/>
      <c r="F46" s="18">
        <v>0</v>
      </c>
      <c r="G46" s="7" t="s">
        <v>147</v>
      </c>
      <c r="H46" s="18">
        <v>0</v>
      </c>
      <c r="I46" s="19">
        <v>0</v>
      </c>
      <c r="J46" s="7" t="s">
        <v>147</v>
      </c>
      <c r="K46" s="19">
        <v>0</v>
      </c>
      <c r="L46" s="9"/>
      <c r="M46" s="3" t="str">
        <f>IF($L46="","",IF($L46="DOELPUNTENMAKERS","",IF(AND(COUNTIF(#REF!,$B46)=0,COUNTIF(#REF!,$D46)=0),"OK",IF($O46&gt;20,"LET OP: meer dan 20 items (controle onvolledig)",IF((COUNTIF($R46:$AS46,"ONZEKER")+COUNTIF($CJ46:$DK46,"ONZEKER"))&gt;0,"LET OP: scoreverloop onduidelijk (controle beperkt)",IF((IF($AT46&lt;&gt;"",$AT46&amp;", ","")&amp;IF($AU46&lt;&gt;"",$AU46&amp;", ","")&amp;IF($AV46&lt;&gt;"",$AV46&amp;", ","")&amp;IF($AW46&lt;&gt;"",$AW46&amp;", ","")&amp;IF($AX46&lt;&gt;"",$AX46&amp;", ","")&amp;IF($AY46&lt;&gt;"",$AY46&amp;", ","")&amp;IF($AZ46&lt;&gt;"",$AZ46&amp;", ","")&amp;IF($BA46&lt;&gt;"",$BA46&amp;", ","")&amp;IF($BB46&lt;&gt;"",$BB46&amp;", ","")&amp;IF($BC46&lt;&gt;"",$BC46&amp;", ","")&amp;IF($DL46&lt;&gt;"",$DL46&amp;", ","")&amp;IF($DM46&lt;&gt;"",$DM46&amp;", ","")&amp;IF($DN46&lt;&gt;"",$DN46&amp;", ","")&amp;IF($DO46&lt;&gt;"",$DO46&amp;", ","")&amp;IF($DP46&lt;&gt;"",$DP46&amp;", ","")&amp;IF($DQ46&lt;&gt;"",$DQ46&amp;", ","")&amp;IF($DR46&lt;&gt;"",$DR46&amp;", ","")&amp;IF($DS46&lt;&gt;"",$DS46&amp;", ","")&amp;IF($DT46&lt;&gt;"",$DT46&amp;", ","")&amp;IF($DU46&lt;&gt;"",$DU46&amp;", ",""))="","OK","Onbekend: "&amp;LEFT((IF($AT46&lt;&gt;"",$AT46&amp;", ","")&amp;IF($AU46&lt;&gt;"",$AU46&amp;", ","")&amp;IF($AV46&lt;&gt;"",$AV46&amp;", ","")&amp;IF($AW46&lt;&gt;"",$AW46&amp;", ","")&amp;IF($AX46&lt;&gt;"",$AX46&amp;", ","")&amp;IF($AY46&lt;&gt;"",$AY46&amp;", ","")&amp;IF($AZ46&lt;&gt;"",$AZ46&amp;", ","")&amp;IF($BA46&lt;&gt;"",$BA46&amp;", ","")&amp;IF($BB46&lt;&gt;"",$BB46&amp;", ","")&amp;IF($BC46&lt;&gt;"",$BC46&amp;", ","")&amp;IF($DL46&lt;&gt;"",$DL46&amp;", ","")&amp;IF($DM46&lt;&gt;"",$DM46&amp;", ","")&amp;IF($DN46&lt;&gt;"",$DN46&amp;", ","")&amp;IF($DO46&lt;&gt;"",$DO46&amp;", ","")&amp;IF($DP46&lt;&gt;"",$DP46&amp;", ","")&amp;IF($DQ46&lt;&gt;"",$DQ46&amp;", ","")&amp;IF($DR46&lt;&gt;"",$DR46&amp;", ","")&amp;IF($DS46&lt;&gt;"",$DS46&amp;", ","")&amp;IF($DT46&lt;&gt;"",$DT46&amp;", ","")&amp;IF($DU46&lt;&gt;"",$DU46&amp;", ","")),LEN((IF($AT46&lt;&gt;"",$AT46&amp;", ","")&amp;IF($AU46&lt;&gt;"",$AU46&amp;", ","")&amp;IF($AV46&lt;&gt;"",$AV46&amp;", ","")&amp;IF($AW46&lt;&gt;"",$AW46&amp;", ","")&amp;IF($AX46&lt;&gt;"",$AX46&amp;", ","")&amp;IF($AY46&lt;&gt;"",$AY46&amp;", ","")&amp;IF($AZ46&lt;&gt;"",$AZ46&amp;", ","")&amp;IF($BA46&lt;&gt;"",$BA46&amp;", ","")&amp;IF($BB46&lt;&gt;"",$BB46&amp;", ","")&amp;IF($BC46&lt;&gt;"",$BC46&amp;", ","")&amp;IF($DL46&lt;&gt;"",$DL46&amp;", ","")&amp;IF($DM46&lt;&gt;"",$DM46&amp;", ","")&amp;IF($DN46&lt;&gt;"",$DN46&amp;", ","")&amp;IF($DO46&lt;&gt;"",$DO46&amp;", ","")&amp;IF($DP46&lt;&gt;"",$DP46&amp;", ","")&amp;IF($DQ46&lt;&gt;"",$DQ46&amp;", ","")&amp;IF($DR46&lt;&gt;"",$DR46&amp;", ","")&amp;IF($DS46&lt;&gt;"",$DS46&amp;", ","")&amp;IF($DT46&lt;&gt;"",$DT46&amp;", ","")&amp;IF($DU46&lt;&gt;"",$DU46&amp;", ","")))-2)))))))</f>
        <v/>
      </c>
      <c r="N46" t="str">
        <f t="shared" si="306"/>
        <v/>
      </c>
      <c r="O46" t="str">
        <f t="shared" si="307"/>
        <v/>
      </c>
      <c r="P46" t="str">
        <f t="shared" si="308"/>
        <v/>
      </c>
      <c r="Q46" t="str">
        <f t="shared" si="309"/>
        <v/>
      </c>
      <c r="R46" t="str">
        <f>IF($Q46="","",IF(OR($BE46="",$BF46=""),"ONZEKER",IF(AND($BE46=0+1,$BF46=0),IF(OR(COUNTIF(#REF!,$B46)&gt;0,COUNTIF(#REF!,$B46)=0),"SKIP",IF(COUNTIFS(#REF!,$B46,#REF!,$Q46)&gt;0,"OK","ONBEKEND")),IF(AND($BE46=0,$BF46=0+1),IF(OR(COUNTIF(#REF!,$D46)&gt;0,COUNTIF(#REF!,$D46)=0),"SKIP",IF(COUNTIFS(#REF!,$D46,#REF!,$Q46)&gt;0,"OK","ONBEKEND")),"ONZEKER"))))</f>
        <v/>
      </c>
      <c r="S46" t="str">
        <f t="shared" si="310"/>
        <v/>
      </c>
      <c r="T46" t="str">
        <f t="shared" si="311"/>
        <v/>
      </c>
      <c r="U46" t="str">
        <f>IF($T46="","",IF(OR($BH46="",$BI46=""),"ONZEKER",IF(OR($BE46="",$BF46=""),"ONZEKER",IF(AND($BH46=$BE46+1,$BI46=$BF46),IF(OR(COUNTIF(#REF!,$B46)&gt;0,COUNTIF(#REF!,$B46)=0),"SKIP",IF(COUNTIFS(#REF!,$B46,#REF!,$T46)&gt;0,"OK","ONBEKEND")),IF(AND($BH46=$BE46,$BI46=$BF46+1),IF(OR(COUNTIF(#REF!,$D46)&gt;0,COUNTIF(#REF!,$D46)=0),"SKIP",IF(COUNTIFS(#REF!,$D46,#REF!,$T46)&gt;0,"OK","ONBEKEND")),"ONZEKER")))))</f>
        <v/>
      </c>
      <c r="V46" t="str">
        <f t="shared" si="312"/>
        <v/>
      </c>
      <c r="W46" t="str">
        <f t="shared" si="313"/>
        <v/>
      </c>
      <c r="X46" t="str">
        <f>IF($W46="","",IF(OR($BK46="",$BL46=""),"ONZEKER",IF(OR($BH46="",$BI46=""),"ONZEKER",IF(AND($BK46=$BH46+1,$BL46=$BI46),IF(OR(COUNTIF(#REF!,$B46)&gt;0,COUNTIF(#REF!,$B46)=0),"SKIP",IF(COUNTIFS(#REF!,$B46,#REF!,$W46)&gt;0,"OK","ONBEKEND")),IF(AND($BK46=$BH46,$BL46=$BI46+1),IF(OR(COUNTIF(#REF!,$D46)&gt;0,COUNTIF(#REF!,$D46)=0),"SKIP",IF(COUNTIFS(#REF!,$D46,#REF!,$W46)&gt;0,"OK","ONBEKEND")),"ONZEKER")))))</f>
        <v/>
      </c>
      <c r="Y46" t="str">
        <f t="shared" si="314"/>
        <v/>
      </c>
      <c r="Z46" t="str">
        <f t="shared" si="315"/>
        <v/>
      </c>
      <c r="AA46" t="str">
        <f>IF($Z46="","",IF(OR($BN46="",$BO46=""),"ONZEKER",IF(OR($BK46="",$BL46=""),"ONZEKER",IF(AND($BN46=$BK46+1,$BO46=$BL46),IF(OR(COUNTIF(#REF!,$B46)&gt;0,COUNTIF(#REF!,$B46)=0),"SKIP",IF(COUNTIFS(#REF!,$B46,#REF!,$Z46)&gt;0,"OK","ONBEKEND")),IF(AND($BN46=$BK46,$BO46=$BL46+1),IF(OR(COUNTIF(#REF!,$D46)&gt;0,COUNTIF(#REF!,$D46)=0),"SKIP",IF(COUNTIFS(#REF!,$D46,#REF!,$Z46)&gt;0,"OK","ONBEKEND")),"ONZEKER")))))</f>
        <v/>
      </c>
      <c r="AB46" t="str">
        <f t="shared" si="316"/>
        <v/>
      </c>
      <c r="AC46" t="str">
        <f t="shared" si="317"/>
        <v/>
      </c>
      <c r="AD46" t="str">
        <f>IF($AC46="","",IF(OR($BQ46="",$BR46=""),"ONZEKER",IF(OR($BN46="",$BO46=""),"ONZEKER",IF(AND($BQ46=$BN46+1,$BR46=$BO46),IF(OR(COUNTIF(#REF!,$B46)&gt;0,COUNTIF(#REF!,$B46)=0),"SKIP",IF(COUNTIFS(#REF!,$B46,#REF!,$AC46)&gt;0,"OK","ONBEKEND")),IF(AND($BQ46=$BN46,$BR46=$BO46+1),IF(OR(COUNTIF(#REF!,$D46)&gt;0,COUNTIF(#REF!,$D46)=0),"SKIP",IF(COUNTIFS(#REF!,$D46,#REF!,$AC46)&gt;0,"OK","ONBEKEND")),"ONZEKER")))))</f>
        <v/>
      </c>
      <c r="AE46" t="str">
        <f t="shared" si="318"/>
        <v/>
      </c>
      <c r="AF46" t="str">
        <f t="shared" si="319"/>
        <v/>
      </c>
      <c r="AG46" t="str">
        <f>IF($AF46="","",IF(OR($BT46="",$BU46=""),"ONZEKER",IF(OR($BQ46="",$BR46=""),"ONZEKER",IF(AND($BT46=$BQ46+1,$BU46=$BR46),IF(OR(COUNTIF(#REF!,$B46)&gt;0,COUNTIF(#REF!,$B46)=0),"SKIP",IF(COUNTIFS(#REF!,$B46,#REF!,$AF46)&gt;0,"OK","ONBEKEND")),IF(AND($BT46=$BQ46,$BU46=$BR46+1),IF(OR(COUNTIF(#REF!,$D46)&gt;0,COUNTIF(#REF!,$D46)=0),"SKIP",IF(COUNTIFS(#REF!,$D46,#REF!,$AF46)&gt;0,"OK","ONBEKEND")),"ONZEKER")))))</f>
        <v/>
      </c>
      <c r="AH46" t="str">
        <f t="shared" si="320"/>
        <v/>
      </c>
      <c r="AI46" t="str">
        <f t="shared" si="321"/>
        <v/>
      </c>
      <c r="AJ46" t="str">
        <f>IF($AI46="","",IF(OR($BW46="",$BX46=""),"ONZEKER",IF(OR($BT46="",$BU46=""),"ONZEKER",IF(AND($BW46=$BT46+1,$BX46=$BU46),IF(OR(COUNTIF(#REF!,$B46)&gt;0,COUNTIF(#REF!,$B46)=0),"SKIP",IF(COUNTIFS(#REF!,$B46,#REF!,$AI46)&gt;0,"OK","ONBEKEND")),IF(AND($BW46=$BT46,$BX46=$BU46+1),IF(OR(COUNTIF(#REF!,$D46)&gt;0,COUNTIF(#REF!,$D46)=0),"SKIP",IF(COUNTIFS(#REF!,$D46,#REF!,$AI46)&gt;0,"OK","ONBEKEND")),"ONZEKER")))))</f>
        <v/>
      </c>
      <c r="AK46" t="str">
        <f t="shared" si="322"/>
        <v/>
      </c>
      <c r="AL46" t="str">
        <f t="shared" si="323"/>
        <v/>
      </c>
      <c r="AM46" t="str">
        <f>IF($AL46="","",IF(OR($BZ46="",$CA46=""),"ONZEKER",IF(OR($BW46="",$BX46=""),"ONZEKER",IF(AND($BZ46=$BW46+1,$CA46=$BX46),IF(OR(COUNTIF(#REF!,$B46)&gt;0,COUNTIF(#REF!,$B46)=0),"SKIP",IF(COUNTIFS(#REF!,$B46,#REF!,$AL46)&gt;0,"OK","ONBEKEND")),IF(AND($BZ46=$BW46,$CA46=$BX46+1),IF(OR(COUNTIF(#REF!,$D46)&gt;0,COUNTIF(#REF!,$D46)=0),"SKIP",IF(COUNTIFS(#REF!,$D46,#REF!,$AL46)&gt;0,"OK","ONBEKEND")),"ONZEKER")))))</f>
        <v/>
      </c>
      <c r="AN46" t="str">
        <f t="shared" si="324"/>
        <v/>
      </c>
      <c r="AO46" t="str">
        <f t="shared" si="325"/>
        <v/>
      </c>
      <c r="AP46" t="str">
        <f>IF($AO46="","",IF(OR($CC46="",$CD46=""),"ONZEKER",IF(OR($BZ46="",$CA46=""),"ONZEKER",IF(AND($CC46=$BZ46+1,$CD46=$CA46),IF(OR(COUNTIF(#REF!,$B46)&gt;0,COUNTIF(#REF!,$B46)=0),"SKIP",IF(COUNTIFS(#REF!,$B46,#REF!,$AO46)&gt;0,"OK","ONBEKEND")),IF(AND($CC46=$BZ46,$CD46=$CA46+1),IF(OR(COUNTIF(#REF!,$D46)&gt;0,COUNTIF(#REF!,$D46)=0),"SKIP",IF(COUNTIFS(#REF!,$D46,#REF!,$AO46)&gt;0,"OK","ONBEKEND")),"ONZEKER")))))</f>
        <v/>
      </c>
      <c r="AQ46" t="str">
        <f t="shared" si="326"/>
        <v/>
      </c>
      <c r="AR46" t="str">
        <f t="shared" si="327"/>
        <v/>
      </c>
      <c r="AS46" t="str">
        <f>IF($AR46="","",IF(OR($CF46="",$CG46=""),"ONZEKER",IF(OR($CC46="",$CD46=""),"ONZEKER",IF(AND($CF46=$CC46+1,$CG46=$CD46),IF(OR(COUNTIF(#REF!,$B46)&gt;0,COUNTIF(#REF!,$B46)=0),"SKIP",IF(COUNTIFS(#REF!,$B46,#REF!,$AR46)&gt;0,"OK","ONBEKEND")),IF(AND($CF46=$CC46,$CG46=$CD46+1),IF(OR(COUNTIF(#REF!,$D46)&gt;0,COUNTIF(#REF!,$D46)=0),"SKIP",IF(COUNTIFS(#REF!,$D46,#REF!,$AR46)&gt;0,"OK","ONBEKEND")),"ONZEKER")))))</f>
        <v/>
      </c>
      <c r="AT46" t="str">
        <f t="shared" si="328"/>
        <v/>
      </c>
      <c r="AU46" t="str">
        <f t="shared" si="329"/>
        <v/>
      </c>
      <c r="AV46" t="str">
        <f t="shared" si="330"/>
        <v/>
      </c>
      <c r="AW46" t="str">
        <f t="shared" si="331"/>
        <v/>
      </c>
      <c r="AX46" t="str">
        <f t="shared" si="332"/>
        <v/>
      </c>
      <c r="AY46" t="str">
        <f t="shared" si="333"/>
        <v/>
      </c>
      <c r="AZ46" t="str">
        <f t="shared" si="334"/>
        <v/>
      </c>
      <c r="BA46" t="str">
        <f t="shared" si="335"/>
        <v/>
      </c>
      <c r="BB46" t="str">
        <f t="shared" si="336"/>
        <v/>
      </c>
      <c r="BC46" t="str">
        <f t="shared" si="337"/>
        <v/>
      </c>
      <c r="BD46" t="str">
        <f t="shared" si="32"/>
        <v/>
      </c>
      <c r="BE46" t="str">
        <f t="shared" si="33"/>
        <v/>
      </c>
      <c r="BF46" t="str">
        <f t="shared" si="34"/>
        <v/>
      </c>
      <c r="BG46" t="str">
        <f t="shared" si="35"/>
        <v/>
      </c>
      <c r="BH46" t="str">
        <f t="shared" si="36"/>
        <v/>
      </c>
      <c r="BI46" t="str">
        <f t="shared" si="37"/>
        <v/>
      </c>
      <c r="BJ46" t="str">
        <f t="shared" si="38"/>
        <v/>
      </c>
      <c r="BK46" t="str">
        <f t="shared" si="39"/>
        <v/>
      </c>
      <c r="BL46" t="str">
        <f t="shared" si="40"/>
        <v/>
      </c>
      <c r="BM46" t="str">
        <f t="shared" si="41"/>
        <v/>
      </c>
      <c r="BN46" t="str">
        <f t="shared" si="42"/>
        <v/>
      </c>
      <c r="BO46" t="str">
        <f t="shared" si="43"/>
        <v/>
      </c>
      <c r="BP46" t="str">
        <f t="shared" si="44"/>
        <v/>
      </c>
      <c r="BQ46" t="str">
        <f t="shared" si="45"/>
        <v/>
      </c>
      <c r="BR46" t="str">
        <f t="shared" si="46"/>
        <v/>
      </c>
      <c r="BS46" t="str">
        <f t="shared" si="47"/>
        <v/>
      </c>
      <c r="BT46" t="str">
        <f t="shared" si="48"/>
        <v/>
      </c>
      <c r="BU46" t="str">
        <f t="shared" si="49"/>
        <v/>
      </c>
      <c r="BV46" t="str">
        <f t="shared" si="50"/>
        <v/>
      </c>
      <c r="BW46" t="str">
        <f t="shared" si="51"/>
        <v/>
      </c>
      <c r="BX46" t="str">
        <f t="shared" si="52"/>
        <v/>
      </c>
      <c r="BY46" t="str">
        <f t="shared" si="53"/>
        <v/>
      </c>
      <c r="BZ46" t="str">
        <f t="shared" si="54"/>
        <v/>
      </c>
      <c r="CA46" t="str">
        <f t="shared" si="55"/>
        <v/>
      </c>
      <c r="CB46" t="str">
        <f t="shared" si="56"/>
        <v/>
      </c>
      <c r="CC46" t="str">
        <f t="shared" si="57"/>
        <v/>
      </c>
      <c r="CD46" t="str">
        <f t="shared" si="58"/>
        <v/>
      </c>
      <c r="CE46" t="str">
        <f t="shared" si="59"/>
        <v/>
      </c>
      <c r="CF46" t="str">
        <f t="shared" si="60"/>
        <v/>
      </c>
      <c r="CG46" t="str">
        <f t="shared" si="61"/>
        <v/>
      </c>
      <c r="CH46" t="str">
        <f t="shared" si="338"/>
        <v/>
      </c>
      <c r="CI46" t="str">
        <f t="shared" si="339"/>
        <v/>
      </c>
      <c r="CJ46" t="str">
        <f>IF($CI46="","",IF(OR($DW46="",$DX46=""),"ONZEKER",IF(OR($CF46="",$CG46=""),"ONZEKER",IF(AND($DW46=$CF46+1,$DX46=$CG46),IF(OR(COUNTIF(#REF!,$B46)&gt;0,COUNTIF(#REF!,$B46)=0),"SKIP",IF(COUNTIFS(#REF!,$B46,#REF!,$CI46)&gt;0,"OK","ONBEKEND")),IF(AND($DW46=$CF46,$DX46=$CG46+1),IF(OR(COUNTIF(#REF!,$D46)&gt;0,COUNTIF(#REF!,$D46)=0),"SKIP",IF(COUNTIFS(#REF!,$D46,#REF!,$CI46)&gt;0,"OK","ONBEKEND")),"ONZEKER")))))</f>
        <v/>
      </c>
      <c r="CK46" t="str">
        <f t="shared" si="340"/>
        <v/>
      </c>
      <c r="CL46" t="str">
        <f t="shared" si="341"/>
        <v/>
      </c>
      <c r="CM46" t="str">
        <f>IF($CL46="","",IF(OR($DZ46="",$EA46=""),"ONZEKER",IF(OR($DW46="",$DX46=""),"ONZEKER",IF(AND($DZ46=$DW46+1,$EA46=$DX46),IF(OR(COUNTIF(#REF!,$B46)&gt;0,COUNTIF(#REF!,$B46)=0),"SKIP",IF(COUNTIFS(#REF!,$B46,#REF!,$CL46)&gt;0,"OK","ONBEKEND")),IF(AND($DZ46=$DW46,$EA46=$DX46+1),IF(OR(COUNTIF(#REF!,$D46)&gt;0,COUNTIF(#REF!,$D46)=0),"SKIP",IF(COUNTIFS(#REF!,$D46,#REF!,$CL46)&gt;0,"OK","ONBEKEND")),"ONZEKER")))))</f>
        <v/>
      </c>
      <c r="CN46" t="str">
        <f t="shared" si="342"/>
        <v/>
      </c>
      <c r="CO46" t="str">
        <f t="shared" si="343"/>
        <v/>
      </c>
      <c r="CP46" t="str">
        <f>IF($CO46="","",IF(OR($EC46="",$ED46=""),"ONZEKER",IF(OR($DZ46="",$EA46=""),"ONZEKER",IF(AND($EC46=$DZ46+1,$ED46=$EA46),IF(OR(COUNTIF(#REF!,$B46)&gt;0,COUNTIF(#REF!,$B46)=0),"SKIP",IF(COUNTIFS(#REF!,$B46,#REF!,$CO46)&gt;0,"OK","ONBEKEND")),IF(AND($EC46=$DZ46,$ED46=$EA46+1),IF(OR(COUNTIF(#REF!,$D46)&gt;0,COUNTIF(#REF!,$D46)=0),"SKIP",IF(COUNTIFS(#REF!,$D46,#REF!,$CO46)&gt;0,"OK","ONBEKEND")),"ONZEKER")))))</f>
        <v/>
      </c>
      <c r="CQ46" t="str">
        <f t="shared" si="344"/>
        <v/>
      </c>
      <c r="CR46" t="str">
        <f t="shared" si="345"/>
        <v/>
      </c>
      <c r="CS46" t="str">
        <f>IF($CR46="","",IF(OR($EF46="",$EG46=""),"ONZEKER",IF(OR($EC46="",$ED46=""),"ONZEKER",IF(AND($EF46=$EC46+1,$EG46=$ED46),IF(OR(COUNTIF(#REF!,$B46)&gt;0,COUNTIF(#REF!,$B46)=0),"SKIP",IF(COUNTIFS(#REF!,$B46,#REF!,$CR46)&gt;0,"OK","ONBEKEND")),IF(AND($EF46=$EC46,$EG46=$ED46+1),IF(OR(COUNTIF(#REF!,$D46)&gt;0,COUNTIF(#REF!,$D46)=0),"SKIP",IF(COUNTIFS(#REF!,$D46,#REF!,$CR46)&gt;0,"OK","ONBEKEND")),"ONZEKER")))))</f>
        <v/>
      </c>
      <c r="CT46" t="str">
        <f t="shared" si="346"/>
        <v/>
      </c>
      <c r="CU46" t="str">
        <f t="shared" si="347"/>
        <v/>
      </c>
      <c r="CV46" t="str">
        <f>IF($CU46="","",IF(OR($EI46="",$EJ46=""),"ONZEKER",IF(OR($EF46="",$EG46=""),"ONZEKER",IF(AND($EI46=$EF46+1,$EJ46=$EG46),IF(OR(COUNTIF(#REF!,$B46)&gt;0,COUNTIF(#REF!,$B46)=0),"SKIP",IF(COUNTIFS(#REF!,$B46,#REF!,$CU46)&gt;0,"OK","ONBEKEND")),IF(AND($EI46=$EF46,$EJ46=$EG46+1),IF(OR(COUNTIF(#REF!,$D46)&gt;0,COUNTIF(#REF!,$D46)=0),"SKIP",IF(COUNTIFS(#REF!,$D46,#REF!,$CU46)&gt;0,"OK","ONBEKEND")),"ONZEKER")))))</f>
        <v/>
      </c>
      <c r="CW46" t="str">
        <f t="shared" si="348"/>
        <v/>
      </c>
      <c r="CX46" t="str">
        <f t="shared" si="349"/>
        <v/>
      </c>
      <c r="CY46" t="str">
        <f>IF($CX46="","",IF(OR($EL46="",$EM46=""),"ONZEKER",IF(OR($EI46="",$EJ46=""),"ONZEKER",IF(AND($EL46=$EI46+1,$EM46=$EJ46),IF(OR(COUNTIF(#REF!,$B46)&gt;0,COUNTIF(#REF!,$B46)=0),"SKIP",IF(COUNTIFS(#REF!,$B46,#REF!,$CX46)&gt;0,"OK","ONBEKEND")),IF(AND($EL46=$EI46,$EM46=$EJ46+1),IF(OR(COUNTIF(#REF!,$D46)&gt;0,COUNTIF(#REF!,$D46)=0),"SKIP",IF(COUNTIFS(#REF!,$D46,#REF!,$CX46)&gt;0,"OK","ONBEKEND")),"ONZEKER")))))</f>
        <v/>
      </c>
      <c r="CZ46" t="str">
        <f t="shared" si="350"/>
        <v/>
      </c>
      <c r="DA46" t="str">
        <f t="shared" si="351"/>
        <v/>
      </c>
      <c r="DB46" t="str">
        <f>IF($DA46="","",IF(OR($EO46="",$EP46=""),"ONZEKER",IF(OR($EL46="",$EM46=""),"ONZEKER",IF(AND($EO46=$EL46+1,$EP46=$EM46),IF(OR(COUNTIF(#REF!,$B46)&gt;0,COUNTIF(#REF!,$B46)=0),"SKIP",IF(COUNTIFS(#REF!,$B46,#REF!,$DA46)&gt;0,"OK","ONBEKEND")),IF(AND($EO46=$EL46,$EP46=$EM46+1),IF(OR(COUNTIF(#REF!,$D46)&gt;0,COUNTIF(#REF!,$D46)=0),"SKIP",IF(COUNTIFS(#REF!,$D46,#REF!,$DA46)&gt;0,"OK","ONBEKEND")),"ONZEKER")))))</f>
        <v/>
      </c>
      <c r="DC46" t="str">
        <f t="shared" si="352"/>
        <v/>
      </c>
      <c r="DD46" t="str">
        <f t="shared" si="353"/>
        <v/>
      </c>
      <c r="DE46" t="str">
        <f>IF($DD46="","",IF(OR($ER46="",$ES46=""),"ONZEKER",IF(OR($EO46="",$EP46=""),"ONZEKER",IF(AND($ER46=$EO46+1,$ES46=$EP46),IF(OR(COUNTIF(#REF!,$B46)&gt;0,COUNTIF(#REF!,$B46)=0),"SKIP",IF(COUNTIFS(#REF!,$B46,#REF!,$DD46)&gt;0,"OK","ONBEKEND")),IF(AND($ER46=$EO46,$ES46=$EP46+1),IF(OR(COUNTIF(#REF!,$D46)&gt;0,COUNTIF(#REF!,$D46)=0),"SKIP",IF(COUNTIFS(#REF!,$D46,#REF!,$DD46)&gt;0,"OK","ONBEKEND")),"ONZEKER")))))</f>
        <v/>
      </c>
      <c r="DF46" t="str">
        <f t="shared" si="354"/>
        <v/>
      </c>
      <c r="DG46" t="str">
        <f t="shared" si="355"/>
        <v/>
      </c>
      <c r="DH46" t="str">
        <f>IF($DG46="","",IF(OR($EU46="",$EV46=""),"ONZEKER",IF(OR($ER46="",$ES46=""),"ONZEKER",IF(AND($EU46=$ER46+1,$EV46=$ES46),IF(OR(COUNTIF(#REF!,$B46)&gt;0,COUNTIF(#REF!,$B46)=0),"SKIP",IF(COUNTIFS(#REF!,$B46,#REF!,$DG46)&gt;0,"OK","ONBEKEND")),IF(AND($EU46=$ER46,$EV46=$ES46+1),IF(OR(COUNTIF(#REF!,$D46)&gt;0,COUNTIF(#REF!,$D46)=0),"SKIP",IF(COUNTIFS(#REF!,$D46,#REF!,$DG46)&gt;0,"OK","ONBEKEND")),"ONZEKER")))))</f>
        <v/>
      </c>
      <c r="DI46" t="str">
        <f t="shared" si="356"/>
        <v/>
      </c>
      <c r="DJ46" t="str">
        <f t="shared" si="357"/>
        <v/>
      </c>
      <c r="DK46" t="str">
        <f>IF($DJ46="","",IF(OR($EX46="",$EY46=""),"ONZEKER",IF(OR($EU46="",$EV46=""),"ONZEKER",IF(AND($EX46=$EU46+1,$EY46=$EV46),IF(OR(COUNTIF(#REF!,$B46)&gt;0,COUNTIF(#REF!,$B46)=0),"SKIP",IF(COUNTIFS(#REF!,$B46,#REF!,$DJ46)&gt;0,"OK","ONBEKEND")),IF(AND($EX46=$EU46,$EY46=$EV46+1),IF(OR(COUNTIF(#REF!,$D46)&gt;0,COUNTIF(#REF!,$D46)=0),"SKIP",IF(COUNTIFS(#REF!,$D46,#REF!,$DJ46)&gt;0,"OK","ONBEKEND")),"ONZEKER")))))</f>
        <v/>
      </c>
      <c r="DL46" t="str">
        <f t="shared" si="358"/>
        <v/>
      </c>
      <c r="DM46" t="str">
        <f t="shared" si="359"/>
        <v/>
      </c>
      <c r="DN46" t="str">
        <f t="shared" si="360"/>
        <v/>
      </c>
      <c r="DO46" t="str">
        <f t="shared" si="361"/>
        <v/>
      </c>
      <c r="DP46" t="str">
        <f t="shared" si="362"/>
        <v/>
      </c>
      <c r="DQ46" t="str">
        <f t="shared" si="363"/>
        <v/>
      </c>
      <c r="DR46" t="str">
        <f t="shared" si="364"/>
        <v/>
      </c>
      <c r="DS46" t="str">
        <f t="shared" si="365"/>
        <v/>
      </c>
      <c r="DT46" t="str">
        <f t="shared" si="366"/>
        <v/>
      </c>
      <c r="DU46" t="str">
        <f t="shared" si="367"/>
        <v/>
      </c>
      <c r="DV46" t="str">
        <f t="shared" si="368"/>
        <v/>
      </c>
      <c r="DW46" t="str">
        <f t="shared" si="369"/>
        <v/>
      </c>
      <c r="DX46" t="str">
        <f t="shared" si="370"/>
        <v/>
      </c>
      <c r="DY46" t="str">
        <f t="shared" si="371"/>
        <v/>
      </c>
      <c r="DZ46" t="str">
        <f t="shared" si="372"/>
        <v/>
      </c>
      <c r="EA46" t="str">
        <f t="shared" si="373"/>
        <v/>
      </c>
      <c r="EB46" t="str">
        <f t="shared" si="374"/>
        <v/>
      </c>
      <c r="EC46" t="str">
        <f t="shared" si="375"/>
        <v/>
      </c>
      <c r="ED46" t="str">
        <f t="shared" si="376"/>
        <v/>
      </c>
      <c r="EE46" t="str">
        <f t="shared" si="377"/>
        <v/>
      </c>
      <c r="EF46" t="str">
        <f t="shared" si="378"/>
        <v/>
      </c>
      <c r="EG46" t="str">
        <f t="shared" si="379"/>
        <v/>
      </c>
      <c r="EH46" t="str">
        <f t="shared" si="380"/>
        <v/>
      </c>
      <c r="EI46" t="str">
        <f t="shared" si="381"/>
        <v/>
      </c>
      <c r="EJ46" t="str">
        <f t="shared" si="382"/>
        <v/>
      </c>
      <c r="EK46" t="str">
        <f t="shared" si="383"/>
        <v/>
      </c>
      <c r="EL46" t="str">
        <f t="shared" si="384"/>
        <v/>
      </c>
      <c r="EM46" t="str">
        <f t="shared" si="385"/>
        <v/>
      </c>
      <c r="EN46" t="str">
        <f t="shared" si="386"/>
        <v/>
      </c>
      <c r="EO46" t="str">
        <f t="shared" si="387"/>
        <v/>
      </c>
      <c r="EP46" t="str">
        <f t="shared" si="388"/>
        <v/>
      </c>
      <c r="EQ46" t="str">
        <f t="shared" si="389"/>
        <v/>
      </c>
      <c r="ER46" t="str">
        <f t="shared" si="390"/>
        <v/>
      </c>
      <c r="ES46" t="str">
        <f t="shared" si="391"/>
        <v/>
      </c>
      <c r="ET46" t="str">
        <f t="shared" si="392"/>
        <v/>
      </c>
      <c r="EU46" t="str">
        <f t="shared" si="393"/>
        <v/>
      </c>
      <c r="EV46" t="str">
        <f t="shared" si="394"/>
        <v/>
      </c>
      <c r="EW46" t="str">
        <f t="shared" si="395"/>
        <v/>
      </c>
      <c r="EX46" t="str">
        <f t="shared" si="396"/>
        <v/>
      </c>
      <c r="EY46" t="str">
        <f t="shared" si="397"/>
        <v/>
      </c>
    </row>
    <row r="47" spans="1:155" ht="13.9" customHeight="1" x14ac:dyDescent="0.25">
      <c r="A47" s="7"/>
      <c r="B47" s="17"/>
      <c r="C47" s="8"/>
      <c r="D47" s="17"/>
      <c r="E47" s="8"/>
      <c r="F47" s="18">
        <v>0</v>
      </c>
      <c r="G47" s="7" t="s">
        <v>147</v>
      </c>
      <c r="H47" s="18">
        <v>0</v>
      </c>
      <c r="I47" s="19">
        <v>0</v>
      </c>
      <c r="J47" s="7" t="s">
        <v>147</v>
      </c>
      <c r="K47" s="19">
        <v>0</v>
      </c>
      <c r="L47" s="9"/>
      <c r="M47" s="3" t="str">
        <f>IF($L47="","",IF($L47="DOELPUNTENMAKERS","",IF(AND(COUNTIF(#REF!,$B47)=0,COUNTIF(#REF!,$D47)=0),"OK",IF($O47&gt;20,"LET OP: meer dan 20 items (controle onvolledig)",IF((COUNTIF($R47:$AS47,"ONZEKER")+COUNTIF($CJ47:$DK47,"ONZEKER"))&gt;0,"LET OP: scoreverloop onduidelijk (controle beperkt)",IF((IF($AT47&lt;&gt;"",$AT47&amp;", ","")&amp;IF($AU47&lt;&gt;"",$AU47&amp;", ","")&amp;IF($AV47&lt;&gt;"",$AV47&amp;", ","")&amp;IF($AW47&lt;&gt;"",$AW47&amp;", ","")&amp;IF($AX47&lt;&gt;"",$AX47&amp;", ","")&amp;IF($AY47&lt;&gt;"",$AY47&amp;", ","")&amp;IF($AZ47&lt;&gt;"",$AZ47&amp;", ","")&amp;IF($BA47&lt;&gt;"",$BA47&amp;", ","")&amp;IF($BB47&lt;&gt;"",$BB47&amp;", ","")&amp;IF($BC47&lt;&gt;"",$BC47&amp;", ","")&amp;IF($DL47&lt;&gt;"",$DL47&amp;", ","")&amp;IF($DM47&lt;&gt;"",$DM47&amp;", ","")&amp;IF($DN47&lt;&gt;"",$DN47&amp;", ","")&amp;IF($DO47&lt;&gt;"",$DO47&amp;", ","")&amp;IF($DP47&lt;&gt;"",$DP47&amp;", ","")&amp;IF($DQ47&lt;&gt;"",$DQ47&amp;", ","")&amp;IF($DR47&lt;&gt;"",$DR47&amp;", ","")&amp;IF($DS47&lt;&gt;"",$DS47&amp;", ","")&amp;IF($DT47&lt;&gt;"",$DT47&amp;", ","")&amp;IF($DU47&lt;&gt;"",$DU47&amp;", ",""))="","OK","Onbekend: "&amp;LEFT((IF($AT47&lt;&gt;"",$AT47&amp;", ","")&amp;IF($AU47&lt;&gt;"",$AU47&amp;", ","")&amp;IF($AV47&lt;&gt;"",$AV47&amp;", ","")&amp;IF($AW47&lt;&gt;"",$AW47&amp;", ","")&amp;IF($AX47&lt;&gt;"",$AX47&amp;", ","")&amp;IF($AY47&lt;&gt;"",$AY47&amp;", ","")&amp;IF($AZ47&lt;&gt;"",$AZ47&amp;", ","")&amp;IF($BA47&lt;&gt;"",$BA47&amp;", ","")&amp;IF($BB47&lt;&gt;"",$BB47&amp;", ","")&amp;IF($BC47&lt;&gt;"",$BC47&amp;", ","")&amp;IF($DL47&lt;&gt;"",$DL47&amp;", ","")&amp;IF($DM47&lt;&gt;"",$DM47&amp;", ","")&amp;IF($DN47&lt;&gt;"",$DN47&amp;", ","")&amp;IF($DO47&lt;&gt;"",$DO47&amp;", ","")&amp;IF($DP47&lt;&gt;"",$DP47&amp;", ","")&amp;IF($DQ47&lt;&gt;"",$DQ47&amp;", ","")&amp;IF($DR47&lt;&gt;"",$DR47&amp;", ","")&amp;IF($DS47&lt;&gt;"",$DS47&amp;", ","")&amp;IF($DT47&lt;&gt;"",$DT47&amp;", ","")&amp;IF($DU47&lt;&gt;"",$DU47&amp;", ","")),LEN((IF($AT47&lt;&gt;"",$AT47&amp;", ","")&amp;IF($AU47&lt;&gt;"",$AU47&amp;", ","")&amp;IF($AV47&lt;&gt;"",$AV47&amp;", ","")&amp;IF($AW47&lt;&gt;"",$AW47&amp;", ","")&amp;IF($AX47&lt;&gt;"",$AX47&amp;", ","")&amp;IF($AY47&lt;&gt;"",$AY47&amp;", ","")&amp;IF($AZ47&lt;&gt;"",$AZ47&amp;", ","")&amp;IF($BA47&lt;&gt;"",$BA47&amp;", ","")&amp;IF($BB47&lt;&gt;"",$BB47&amp;", ","")&amp;IF($BC47&lt;&gt;"",$BC47&amp;", ","")&amp;IF($DL47&lt;&gt;"",$DL47&amp;", ","")&amp;IF($DM47&lt;&gt;"",$DM47&amp;", ","")&amp;IF($DN47&lt;&gt;"",$DN47&amp;", ","")&amp;IF($DO47&lt;&gt;"",$DO47&amp;", ","")&amp;IF($DP47&lt;&gt;"",$DP47&amp;", ","")&amp;IF($DQ47&lt;&gt;"",$DQ47&amp;", ","")&amp;IF($DR47&lt;&gt;"",$DR47&amp;", ","")&amp;IF($DS47&lt;&gt;"",$DS47&amp;", ","")&amp;IF($DT47&lt;&gt;"",$DT47&amp;", ","")&amp;IF($DU47&lt;&gt;"",$DU47&amp;", ","")))-2)))))))</f>
        <v/>
      </c>
      <c r="N47" t="str">
        <f t="shared" si="306"/>
        <v/>
      </c>
      <c r="O47" t="str">
        <f t="shared" si="307"/>
        <v/>
      </c>
      <c r="P47" t="str">
        <f t="shared" si="308"/>
        <v/>
      </c>
      <c r="Q47" t="str">
        <f t="shared" si="309"/>
        <v/>
      </c>
      <c r="R47" t="str">
        <f>IF($Q47="","",IF(OR($BE47="",$BF47=""),"ONZEKER",IF(AND($BE47=0+1,$BF47=0),IF(OR(COUNTIF(#REF!,$B47)&gt;0,COUNTIF(#REF!,$B47)=0),"SKIP",IF(COUNTIFS(#REF!,$B47,#REF!,$Q47)&gt;0,"OK","ONBEKEND")),IF(AND($BE47=0,$BF47=0+1),IF(OR(COUNTIF(#REF!,$D47)&gt;0,COUNTIF(#REF!,$D47)=0),"SKIP",IF(COUNTIFS(#REF!,$D47,#REF!,$Q47)&gt;0,"OK","ONBEKEND")),"ONZEKER"))))</f>
        <v/>
      </c>
      <c r="S47" t="str">
        <f t="shared" si="310"/>
        <v/>
      </c>
      <c r="T47" t="str">
        <f t="shared" si="311"/>
        <v/>
      </c>
      <c r="U47" t="str">
        <f>IF($T47="","",IF(OR($BH47="",$BI47=""),"ONZEKER",IF(OR($BE47="",$BF47=""),"ONZEKER",IF(AND($BH47=$BE47+1,$BI47=$BF47),IF(OR(COUNTIF(#REF!,$B47)&gt;0,COUNTIF(#REF!,$B47)=0),"SKIP",IF(COUNTIFS(#REF!,$B47,#REF!,$T47)&gt;0,"OK","ONBEKEND")),IF(AND($BH47=$BE47,$BI47=$BF47+1),IF(OR(COUNTIF(#REF!,$D47)&gt;0,COUNTIF(#REF!,$D47)=0),"SKIP",IF(COUNTIFS(#REF!,$D47,#REF!,$T47)&gt;0,"OK","ONBEKEND")),"ONZEKER")))))</f>
        <v/>
      </c>
      <c r="V47" t="str">
        <f t="shared" si="312"/>
        <v/>
      </c>
      <c r="W47" t="str">
        <f t="shared" si="313"/>
        <v/>
      </c>
      <c r="X47" t="str">
        <f>IF($W47="","",IF(OR($BK47="",$BL47=""),"ONZEKER",IF(OR($BH47="",$BI47=""),"ONZEKER",IF(AND($BK47=$BH47+1,$BL47=$BI47),IF(OR(COUNTIF(#REF!,$B47)&gt;0,COUNTIF(#REF!,$B47)=0),"SKIP",IF(COUNTIFS(#REF!,$B47,#REF!,$W47)&gt;0,"OK","ONBEKEND")),IF(AND($BK47=$BH47,$BL47=$BI47+1),IF(OR(COUNTIF(#REF!,$D47)&gt;0,COUNTIF(#REF!,$D47)=0),"SKIP",IF(COUNTIFS(#REF!,$D47,#REF!,$W47)&gt;0,"OK","ONBEKEND")),"ONZEKER")))))</f>
        <v/>
      </c>
      <c r="Y47" t="str">
        <f t="shared" si="314"/>
        <v/>
      </c>
      <c r="Z47" t="str">
        <f t="shared" si="315"/>
        <v/>
      </c>
      <c r="AA47" t="str">
        <f>IF($Z47="","",IF(OR($BN47="",$BO47=""),"ONZEKER",IF(OR($BK47="",$BL47=""),"ONZEKER",IF(AND($BN47=$BK47+1,$BO47=$BL47),IF(OR(COUNTIF(#REF!,$B47)&gt;0,COUNTIF(#REF!,$B47)=0),"SKIP",IF(COUNTIFS(#REF!,$B47,#REF!,$Z47)&gt;0,"OK","ONBEKEND")),IF(AND($BN47=$BK47,$BO47=$BL47+1),IF(OR(COUNTIF(#REF!,$D47)&gt;0,COUNTIF(#REF!,$D47)=0),"SKIP",IF(COUNTIFS(#REF!,$D47,#REF!,$Z47)&gt;0,"OK","ONBEKEND")),"ONZEKER")))))</f>
        <v/>
      </c>
      <c r="AB47" t="str">
        <f t="shared" si="316"/>
        <v/>
      </c>
      <c r="AC47" t="str">
        <f t="shared" si="317"/>
        <v/>
      </c>
      <c r="AD47" t="str">
        <f>IF($AC47="","",IF(OR($BQ47="",$BR47=""),"ONZEKER",IF(OR($BN47="",$BO47=""),"ONZEKER",IF(AND($BQ47=$BN47+1,$BR47=$BO47),IF(OR(COUNTIF(#REF!,$B47)&gt;0,COUNTIF(#REF!,$B47)=0),"SKIP",IF(COUNTIFS(#REF!,$B47,#REF!,$AC47)&gt;0,"OK","ONBEKEND")),IF(AND($BQ47=$BN47,$BR47=$BO47+1),IF(OR(COUNTIF(#REF!,$D47)&gt;0,COUNTIF(#REF!,$D47)=0),"SKIP",IF(COUNTIFS(#REF!,$D47,#REF!,$AC47)&gt;0,"OK","ONBEKEND")),"ONZEKER")))))</f>
        <v/>
      </c>
      <c r="AE47" t="str">
        <f t="shared" si="318"/>
        <v/>
      </c>
      <c r="AF47" t="str">
        <f t="shared" si="319"/>
        <v/>
      </c>
      <c r="AG47" t="str">
        <f>IF($AF47="","",IF(OR($BT47="",$BU47=""),"ONZEKER",IF(OR($BQ47="",$BR47=""),"ONZEKER",IF(AND($BT47=$BQ47+1,$BU47=$BR47),IF(OR(COUNTIF(#REF!,$B47)&gt;0,COUNTIF(#REF!,$B47)=0),"SKIP",IF(COUNTIFS(#REF!,$B47,#REF!,$AF47)&gt;0,"OK","ONBEKEND")),IF(AND($BT47=$BQ47,$BU47=$BR47+1),IF(OR(COUNTIF(#REF!,$D47)&gt;0,COUNTIF(#REF!,$D47)=0),"SKIP",IF(COUNTIFS(#REF!,$D47,#REF!,$AF47)&gt;0,"OK","ONBEKEND")),"ONZEKER")))))</f>
        <v/>
      </c>
      <c r="AH47" t="str">
        <f t="shared" si="320"/>
        <v/>
      </c>
      <c r="AI47" t="str">
        <f t="shared" si="321"/>
        <v/>
      </c>
      <c r="AJ47" t="str">
        <f>IF($AI47="","",IF(OR($BW47="",$BX47=""),"ONZEKER",IF(OR($BT47="",$BU47=""),"ONZEKER",IF(AND($BW47=$BT47+1,$BX47=$BU47),IF(OR(COUNTIF(#REF!,$B47)&gt;0,COUNTIF(#REF!,$B47)=0),"SKIP",IF(COUNTIFS(#REF!,$B47,#REF!,$AI47)&gt;0,"OK","ONBEKEND")),IF(AND($BW47=$BT47,$BX47=$BU47+1),IF(OR(COUNTIF(#REF!,$D47)&gt;0,COUNTIF(#REF!,$D47)=0),"SKIP",IF(COUNTIFS(#REF!,$D47,#REF!,$AI47)&gt;0,"OK","ONBEKEND")),"ONZEKER")))))</f>
        <v/>
      </c>
      <c r="AK47" t="str">
        <f t="shared" si="322"/>
        <v/>
      </c>
      <c r="AL47" t="str">
        <f t="shared" si="323"/>
        <v/>
      </c>
      <c r="AM47" t="str">
        <f>IF($AL47="","",IF(OR($BZ47="",$CA47=""),"ONZEKER",IF(OR($BW47="",$BX47=""),"ONZEKER",IF(AND($BZ47=$BW47+1,$CA47=$BX47),IF(OR(COUNTIF(#REF!,$B47)&gt;0,COUNTIF(#REF!,$B47)=0),"SKIP",IF(COUNTIFS(#REF!,$B47,#REF!,$AL47)&gt;0,"OK","ONBEKEND")),IF(AND($BZ47=$BW47,$CA47=$BX47+1),IF(OR(COUNTIF(#REF!,$D47)&gt;0,COUNTIF(#REF!,$D47)=0),"SKIP",IF(COUNTIFS(#REF!,$D47,#REF!,$AL47)&gt;0,"OK","ONBEKEND")),"ONZEKER")))))</f>
        <v/>
      </c>
      <c r="AN47" t="str">
        <f t="shared" si="324"/>
        <v/>
      </c>
      <c r="AO47" t="str">
        <f t="shared" si="325"/>
        <v/>
      </c>
      <c r="AP47" t="str">
        <f>IF($AO47="","",IF(OR($CC47="",$CD47=""),"ONZEKER",IF(OR($BZ47="",$CA47=""),"ONZEKER",IF(AND($CC47=$BZ47+1,$CD47=$CA47),IF(OR(COUNTIF(#REF!,$B47)&gt;0,COUNTIF(#REF!,$B47)=0),"SKIP",IF(COUNTIFS(#REF!,$B47,#REF!,$AO47)&gt;0,"OK","ONBEKEND")),IF(AND($CC47=$BZ47,$CD47=$CA47+1),IF(OR(COUNTIF(#REF!,$D47)&gt;0,COUNTIF(#REF!,$D47)=0),"SKIP",IF(COUNTIFS(#REF!,$D47,#REF!,$AO47)&gt;0,"OK","ONBEKEND")),"ONZEKER")))))</f>
        <v/>
      </c>
      <c r="AQ47" t="str">
        <f t="shared" si="326"/>
        <v/>
      </c>
      <c r="AR47" t="str">
        <f t="shared" si="327"/>
        <v/>
      </c>
      <c r="AS47" t="str">
        <f>IF($AR47="","",IF(OR($CF47="",$CG47=""),"ONZEKER",IF(OR($CC47="",$CD47=""),"ONZEKER",IF(AND($CF47=$CC47+1,$CG47=$CD47),IF(OR(COUNTIF(#REF!,$B47)&gt;0,COUNTIF(#REF!,$B47)=0),"SKIP",IF(COUNTIFS(#REF!,$B47,#REF!,$AR47)&gt;0,"OK","ONBEKEND")),IF(AND($CF47=$CC47,$CG47=$CD47+1),IF(OR(COUNTIF(#REF!,$D47)&gt;0,COUNTIF(#REF!,$D47)=0),"SKIP",IF(COUNTIFS(#REF!,$D47,#REF!,$AR47)&gt;0,"OK","ONBEKEND")),"ONZEKER")))))</f>
        <v/>
      </c>
      <c r="AT47" t="str">
        <f t="shared" si="328"/>
        <v/>
      </c>
      <c r="AU47" t="str">
        <f t="shared" si="329"/>
        <v/>
      </c>
      <c r="AV47" t="str">
        <f t="shared" si="330"/>
        <v/>
      </c>
      <c r="AW47" t="str">
        <f t="shared" si="331"/>
        <v/>
      </c>
      <c r="AX47" t="str">
        <f t="shared" si="332"/>
        <v/>
      </c>
      <c r="AY47" t="str">
        <f t="shared" si="333"/>
        <v/>
      </c>
      <c r="AZ47" t="str">
        <f t="shared" si="334"/>
        <v/>
      </c>
      <c r="BA47" t="str">
        <f t="shared" si="335"/>
        <v/>
      </c>
      <c r="BB47" t="str">
        <f t="shared" si="336"/>
        <v/>
      </c>
      <c r="BC47" t="str">
        <f t="shared" si="337"/>
        <v/>
      </c>
      <c r="BD47" t="str">
        <f t="shared" si="32"/>
        <v/>
      </c>
      <c r="BE47" t="str">
        <f t="shared" si="33"/>
        <v/>
      </c>
      <c r="BF47" t="str">
        <f t="shared" si="34"/>
        <v/>
      </c>
      <c r="BG47" t="str">
        <f t="shared" si="35"/>
        <v/>
      </c>
      <c r="BH47" t="str">
        <f t="shared" si="36"/>
        <v/>
      </c>
      <c r="BI47" t="str">
        <f t="shared" si="37"/>
        <v/>
      </c>
      <c r="BJ47" t="str">
        <f t="shared" si="38"/>
        <v/>
      </c>
      <c r="BK47" t="str">
        <f t="shared" si="39"/>
        <v/>
      </c>
      <c r="BL47" t="str">
        <f t="shared" si="40"/>
        <v/>
      </c>
      <c r="BM47" t="str">
        <f t="shared" si="41"/>
        <v/>
      </c>
      <c r="BN47" t="str">
        <f t="shared" si="42"/>
        <v/>
      </c>
      <c r="BO47" t="str">
        <f t="shared" si="43"/>
        <v/>
      </c>
      <c r="BP47" t="str">
        <f t="shared" si="44"/>
        <v/>
      </c>
      <c r="BQ47" t="str">
        <f t="shared" si="45"/>
        <v/>
      </c>
      <c r="BR47" t="str">
        <f t="shared" si="46"/>
        <v/>
      </c>
      <c r="BS47" t="str">
        <f t="shared" si="47"/>
        <v/>
      </c>
      <c r="BT47" t="str">
        <f t="shared" si="48"/>
        <v/>
      </c>
      <c r="BU47" t="str">
        <f t="shared" si="49"/>
        <v/>
      </c>
      <c r="BV47" t="str">
        <f t="shared" si="50"/>
        <v/>
      </c>
      <c r="BW47" t="str">
        <f t="shared" si="51"/>
        <v/>
      </c>
      <c r="BX47" t="str">
        <f t="shared" si="52"/>
        <v/>
      </c>
      <c r="BY47" t="str">
        <f t="shared" si="53"/>
        <v/>
      </c>
      <c r="BZ47" t="str">
        <f t="shared" si="54"/>
        <v/>
      </c>
      <c r="CA47" t="str">
        <f t="shared" si="55"/>
        <v/>
      </c>
      <c r="CB47" t="str">
        <f t="shared" si="56"/>
        <v/>
      </c>
      <c r="CC47" t="str">
        <f t="shared" si="57"/>
        <v/>
      </c>
      <c r="CD47" t="str">
        <f t="shared" si="58"/>
        <v/>
      </c>
      <c r="CE47" t="str">
        <f t="shared" si="59"/>
        <v/>
      </c>
      <c r="CF47" t="str">
        <f t="shared" si="60"/>
        <v/>
      </c>
      <c r="CG47" t="str">
        <f t="shared" si="61"/>
        <v/>
      </c>
      <c r="CH47" t="str">
        <f t="shared" si="338"/>
        <v/>
      </c>
      <c r="CI47" t="str">
        <f t="shared" si="339"/>
        <v/>
      </c>
      <c r="CJ47" t="str">
        <f>IF($CI47="","",IF(OR($DW47="",$DX47=""),"ONZEKER",IF(OR($CF47="",$CG47=""),"ONZEKER",IF(AND($DW47=$CF47+1,$DX47=$CG47),IF(OR(COUNTIF(#REF!,$B47)&gt;0,COUNTIF(#REF!,$B47)=0),"SKIP",IF(COUNTIFS(#REF!,$B47,#REF!,$CI47)&gt;0,"OK","ONBEKEND")),IF(AND($DW47=$CF47,$DX47=$CG47+1),IF(OR(COUNTIF(#REF!,$D47)&gt;0,COUNTIF(#REF!,$D47)=0),"SKIP",IF(COUNTIFS(#REF!,$D47,#REF!,$CI47)&gt;0,"OK","ONBEKEND")),"ONZEKER")))))</f>
        <v/>
      </c>
      <c r="CK47" t="str">
        <f t="shared" si="340"/>
        <v/>
      </c>
      <c r="CL47" t="str">
        <f t="shared" si="341"/>
        <v/>
      </c>
      <c r="CM47" t="str">
        <f>IF($CL47="","",IF(OR($DZ47="",$EA47=""),"ONZEKER",IF(OR($DW47="",$DX47=""),"ONZEKER",IF(AND($DZ47=$DW47+1,$EA47=$DX47),IF(OR(COUNTIF(#REF!,$B47)&gt;0,COUNTIF(#REF!,$B47)=0),"SKIP",IF(COUNTIFS(#REF!,$B47,#REF!,$CL47)&gt;0,"OK","ONBEKEND")),IF(AND($DZ47=$DW47,$EA47=$DX47+1),IF(OR(COUNTIF(#REF!,$D47)&gt;0,COUNTIF(#REF!,$D47)=0),"SKIP",IF(COUNTIFS(#REF!,$D47,#REF!,$CL47)&gt;0,"OK","ONBEKEND")),"ONZEKER")))))</f>
        <v/>
      </c>
      <c r="CN47" t="str">
        <f t="shared" si="342"/>
        <v/>
      </c>
      <c r="CO47" t="str">
        <f t="shared" si="343"/>
        <v/>
      </c>
      <c r="CP47" t="str">
        <f>IF($CO47="","",IF(OR($EC47="",$ED47=""),"ONZEKER",IF(OR($DZ47="",$EA47=""),"ONZEKER",IF(AND($EC47=$DZ47+1,$ED47=$EA47),IF(OR(COUNTIF(#REF!,$B47)&gt;0,COUNTIF(#REF!,$B47)=0),"SKIP",IF(COUNTIFS(#REF!,$B47,#REF!,$CO47)&gt;0,"OK","ONBEKEND")),IF(AND($EC47=$DZ47,$ED47=$EA47+1),IF(OR(COUNTIF(#REF!,$D47)&gt;0,COUNTIF(#REF!,$D47)=0),"SKIP",IF(COUNTIFS(#REF!,$D47,#REF!,$CO47)&gt;0,"OK","ONBEKEND")),"ONZEKER")))))</f>
        <v/>
      </c>
      <c r="CQ47" t="str">
        <f t="shared" si="344"/>
        <v/>
      </c>
      <c r="CR47" t="str">
        <f t="shared" si="345"/>
        <v/>
      </c>
      <c r="CS47" t="str">
        <f>IF($CR47="","",IF(OR($EF47="",$EG47=""),"ONZEKER",IF(OR($EC47="",$ED47=""),"ONZEKER",IF(AND($EF47=$EC47+1,$EG47=$ED47),IF(OR(COUNTIF(#REF!,$B47)&gt;0,COUNTIF(#REF!,$B47)=0),"SKIP",IF(COUNTIFS(#REF!,$B47,#REF!,$CR47)&gt;0,"OK","ONBEKEND")),IF(AND($EF47=$EC47,$EG47=$ED47+1),IF(OR(COUNTIF(#REF!,$D47)&gt;0,COUNTIF(#REF!,$D47)=0),"SKIP",IF(COUNTIFS(#REF!,$D47,#REF!,$CR47)&gt;0,"OK","ONBEKEND")),"ONZEKER")))))</f>
        <v/>
      </c>
      <c r="CT47" t="str">
        <f t="shared" si="346"/>
        <v/>
      </c>
      <c r="CU47" t="str">
        <f t="shared" si="347"/>
        <v/>
      </c>
      <c r="CV47" t="str">
        <f>IF($CU47="","",IF(OR($EI47="",$EJ47=""),"ONZEKER",IF(OR($EF47="",$EG47=""),"ONZEKER",IF(AND($EI47=$EF47+1,$EJ47=$EG47),IF(OR(COUNTIF(#REF!,$B47)&gt;0,COUNTIF(#REF!,$B47)=0),"SKIP",IF(COUNTIFS(#REF!,$B47,#REF!,$CU47)&gt;0,"OK","ONBEKEND")),IF(AND($EI47=$EF47,$EJ47=$EG47+1),IF(OR(COUNTIF(#REF!,$D47)&gt;0,COUNTIF(#REF!,$D47)=0),"SKIP",IF(COUNTIFS(#REF!,$D47,#REF!,$CU47)&gt;0,"OK","ONBEKEND")),"ONZEKER")))))</f>
        <v/>
      </c>
      <c r="CW47" t="str">
        <f t="shared" si="348"/>
        <v/>
      </c>
      <c r="CX47" t="str">
        <f t="shared" si="349"/>
        <v/>
      </c>
      <c r="CY47" t="str">
        <f>IF($CX47="","",IF(OR($EL47="",$EM47=""),"ONZEKER",IF(OR($EI47="",$EJ47=""),"ONZEKER",IF(AND($EL47=$EI47+1,$EM47=$EJ47),IF(OR(COUNTIF(#REF!,$B47)&gt;0,COUNTIF(#REF!,$B47)=0),"SKIP",IF(COUNTIFS(#REF!,$B47,#REF!,$CX47)&gt;0,"OK","ONBEKEND")),IF(AND($EL47=$EI47,$EM47=$EJ47+1),IF(OR(COUNTIF(#REF!,$D47)&gt;0,COUNTIF(#REF!,$D47)=0),"SKIP",IF(COUNTIFS(#REF!,$D47,#REF!,$CX47)&gt;0,"OK","ONBEKEND")),"ONZEKER")))))</f>
        <v/>
      </c>
      <c r="CZ47" t="str">
        <f t="shared" si="350"/>
        <v/>
      </c>
      <c r="DA47" t="str">
        <f t="shared" si="351"/>
        <v/>
      </c>
      <c r="DB47" t="str">
        <f>IF($DA47="","",IF(OR($EO47="",$EP47=""),"ONZEKER",IF(OR($EL47="",$EM47=""),"ONZEKER",IF(AND($EO47=$EL47+1,$EP47=$EM47),IF(OR(COUNTIF(#REF!,$B47)&gt;0,COUNTIF(#REF!,$B47)=0),"SKIP",IF(COUNTIFS(#REF!,$B47,#REF!,$DA47)&gt;0,"OK","ONBEKEND")),IF(AND($EO47=$EL47,$EP47=$EM47+1),IF(OR(COUNTIF(#REF!,$D47)&gt;0,COUNTIF(#REF!,$D47)=0),"SKIP",IF(COUNTIFS(#REF!,$D47,#REF!,$DA47)&gt;0,"OK","ONBEKEND")),"ONZEKER")))))</f>
        <v/>
      </c>
      <c r="DC47" t="str">
        <f t="shared" si="352"/>
        <v/>
      </c>
      <c r="DD47" t="str">
        <f t="shared" si="353"/>
        <v/>
      </c>
      <c r="DE47" t="str">
        <f>IF($DD47="","",IF(OR($ER47="",$ES47=""),"ONZEKER",IF(OR($EO47="",$EP47=""),"ONZEKER",IF(AND($ER47=$EO47+1,$ES47=$EP47),IF(OR(COUNTIF(#REF!,$B47)&gt;0,COUNTIF(#REF!,$B47)=0),"SKIP",IF(COUNTIFS(#REF!,$B47,#REF!,$DD47)&gt;0,"OK","ONBEKEND")),IF(AND($ER47=$EO47,$ES47=$EP47+1),IF(OR(COUNTIF(#REF!,$D47)&gt;0,COUNTIF(#REF!,$D47)=0),"SKIP",IF(COUNTIFS(#REF!,$D47,#REF!,$DD47)&gt;0,"OK","ONBEKEND")),"ONZEKER")))))</f>
        <v/>
      </c>
      <c r="DF47" t="str">
        <f t="shared" si="354"/>
        <v/>
      </c>
      <c r="DG47" t="str">
        <f t="shared" si="355"/>
        <v/>
      </c>
      <c r="DH47" t="str">
        <f>IF($DG47="","",IF(OR($EU47="",$EV47=""),"ONZEKER",IF(OR($ER47="",$ES47=""),"ONZEKER",IF(AND($EU47=$ER47+1,$EV47=$ES47),IF(OR(COUNTIF(#REF!,$B47)&gt;0,COUNTIF(#REF!,$B47)=0),"SKIP",IF(COUNTIFS(#REF!,$B47,#REF!,$DG47)&gt;0,"OK","ONBEKEND")),IF(AND($EU47=$ER47,$EV47=$ES47+1),IF(OR(COUNTIF(#REF!,$D47)&gt;0,COUNTIF(#REF!,$D47)=0),"SKIP",IF(COUNTIFS(#REF!,$D47,#REF!,$DG47)&gt;0,"OK","ONBEKEND")),"ONZEKER")))))</f>
        <v/>
      </c>
      <c r="DI47" t="str">
        <f t="shared" si="356"/>
        <v/>
      </c>
      <c r="DJ47" t="str">
        <f t="shared" si="357"/>
        <v/>
      </c>
      <c r="DK47" t="str">
        <f>IF($DJ47="","",IF(OR($EX47="",$EY47=""),"ONZEKER",IF(OR($EU47="",$EV47=""),"ONZEKER",IF(AND($EX47=$EU47+1,$EY47=$EV47),IF(OR(COUNTIF(#REF!,$B47)&gt;0,COUNTIF(#REF!,$B47)=0),"SKIP",IF(COUNTIFS(#REF!,$B47,#REF!,$DJ47)&gt;0,"OK","ONBEKEND")),IF(AND($EX47=$EU47,$EY47=$EV47+1),IF(OR(COUNTIF(#REF!,$D47)&gt;0,COUNTIF(#REF!,$D47)=0),"SKIP",IF(COUNTIFS(#REF!,$D47,#REF!,$DJ47)&gt;0,"OK","ONBEKEND")),"ONZEKER")))))</f>
        <v/>
      </c>
      <c r="DL47" t="str">
        <f t="shared" si="358"/>
        <v/>
      </c>
      <c r="DM47" t="str">
        <f t="shared" si="359"/>
        <v/>
      </c>
      <c r="DN47" t="str">
        <f t="shared" si="360"/>
        <v/>
      </c>
      <c r="DO47" t="str">
        <f t="shared" si="361"/>
        <v/>
      </c>
      <c r="DP47" t="str">
        <f t="shared" si="362"/>
        <v/>
      </c>
      <c r="DQ47" t="str">
        <f t="shared" si="363"/>
        <v/>
      </c>
      <c r="DR47" t="str">
        <f t="shared" si="364"/>
        <v/>
      </c>
      <c r="DS47" t="str">
        <f t="shared" si="365"/>
        <v/>
      </c>
      <c r="DT47" t="str">
        <f t="shared" si="366"/>
        <v/>
      </c>
      <c r="DU47" t="str">
        <f t="shared" si="367"/>
        <v/>
      </c>
      <c r="DV47" t="str">
        <f t="shared" si="368"/>
        <v/>
      </c>
      <c r="DW47" t="str">
        <f t="shared" si="369"/>
        <v/>
      </c>
      <c r="DX47" t="str">
        <f t="shared" si="370"/>
        <v/>
      </c>
      <c r="DY47" t="str">
        <f t="shared" si="371"/>
        <v/>
      </c>
      <c r="DZ47" t="str">
        <f t="shared" si="372"/>
        <v/>
      </c>
      <c r="EA47" t="str">
        <f t="shared" si="373"/>
        <v/>
      </c>
      <c r="EB47" t="str">
        <f t="shared" si="374"/>
        <v/>
      </c>
      <c r="EC47" t="str">
        <f t="shared" si="375"/>
        <v/>
      </c>
      <c r="ED47" t="str">
        <f t="shared" si="376"/>
        <v/>
      </c>
      <c r="EE47" t="str">
        <f t="shared" si="377"/>
        <v/>
      </c>
      <c r="EF47" t="str">
        <f t="shared" si="378"/>
        <v/>
      </c>
      <c r="EG47" t="str">
        <f t="shared" si="379"/>
        <v/>
      </c>
      <c r="EH47" t="str">
        <f t="shared" si="380"/>
        <v/>
      </c>
      <c r="EI47" t="str">
        <f t="shared" si="381"/>
        <v/>
      </c>
      <c r="EJ47" t="str">
        <f t="shared" si="382"/>
        <v/>
      </c>
      <c r="EK47" t="str">
        <f t="shared" si="383"/>
        <v/>
      </c>
      <c r="EL47" t="str">
        <f t="shared" si="384"/>
        <v/>
      </c>
      <c r="EM47" t="str">
        <f t="shared" si="385"/>
        <v/>
      </c>
      <c r="EN47" t="str">
        <f t="shared" si="386"/>
        <v/>
      </c>
      <c r="EO47" t="str">
        <f t="shared" si="387"/>
        <v/>
      </c>
      <c r="EP47" t="str">
        <f t="shared" si="388"/>
        <v/>
      </c>
      <c r="EQ47" t="str">
        <f t="shared" si="389"/>
        <v/>
      </c>
      <c r="ER47" t="str">
        <f t="shared" si="390"/>
        <v/>
      </c>
      <c r="ES47" t="str">
        <f t="shared" si="391"/>
        <v/>
      </c>
      <c r="ET47" t="str">
        <f t="shared" si="392"/>
        <v/>
      </c>
      <c r="EU47" t="str">
        <f t="shared" si="393"/>
        <v/>
      </c>
      <c r="EV47" t="str">
        <f t="shared" si="394"/>
        <v/>
      </c>
      <c r="EW47" t="str">
        <f t="shared" si="395"/>
        <v/>
      </c>
      <c r="EX47" t="str">
        <f t="shared" si="396"/>
        <v/>
      </c>
      <c r="EY47" t="str">
        <f t="shared" si="397"/>
        <v/>
      </c>
    </row>
    <row r="48" spans="1:155" ht="13.9" customHeight="1" x14ac:dyDescent="0.25">
      <c r="A48" s="7"/>
      <c r="B48" s="17"/>
      <c r="C48" s="8"/>
      <c r="D48" s="17"/>
      <c r="E48" s="8"/>
      <c r="F48" s="18">
        <v>0</v>
      </c>
      <c r="G48" s="7" t="s">
        <v>147</v>
      </c>
      <c r="H48" s="18">
        <v>0</v>
      </c>
      <c r="I48" s="19">
        <v>0</v>
      </c>
      <c r="J48" s="7" t="s">
        <v>147</v>
      </c>
      <c r="K48" s="19">
        <v>0</v>
      </c>
      <c r="L48" s="9"/>
      <c r="M48" s="3" t="str">
        <f>IF($L48="","",IF($L48="DOELPUNTENMAKERS","",IF(AND(COUNTIF(#REF!,$B48)=0,COUNTIF(#REF!,$D48)=0),"OK",IF($O48&gt;20,"LET OP: meer dan 20 items (controle onvolledig)",IF((COUNTIF($R48:$AS48,"ONZEKER")+COUNTIF($CJ48:$DK48,"ONZEKER"))&gt;0,"LET OP: scoreverloop onduidelijk (controle beperkt)",IF((IF($AT48&lt;&gt;"",$AT48&amp;", ","")&amp;IF($AU48&lt;&gt;"",$AU48&amp;", ","")&amp;IF($AV48&lt;&gt;"",$AV48&amp;", ","")&amp;IF($AW48&lt;&gt;"",$AW48&amp;", ","")&amp;IF($AX48&lt;&gt;"",$AX48&amp;", ","")&amp;IF($AY48&lt;&gt;"",$AY48&amp;", ","")&amp;IF($AZ48&lt;&gt;"",$AZ48&amp;", ","")&amp;IF($BA48&lt;&gt;"",$BA48&amp;", ","")&amp;IF($BB48&lt;&gt;"",$BB48&amp;", ","")&amp;IF($BC48&lt;&gt;"",$BC48&amp;", ","")&amp;IF($DL48&lt;&gt;"",$DL48&amp;", ","")&amp;IF($DM48&lt;&gt;"",$DM48&amp;", ","")&amp;IF($DN48&lt;&gt;"",$DN48&amp;", ","")&amp;IF($DO48&lt;&gt;"",$DO48&amp;", ","")&amp;IF($DP48&lt;&gt;"",$DP48&amp;", ","")&amp;IF($DQ48&lt;&gt;"",$DQ48&amp;", ","")&amp;IF($DR48&lt;&gt;"",$DR48&amp;", ","")&amp;IF($DS48&lt;&gt;"",$DS48&amp;", ","")&amp;IF($DT48&lt;&gt;"",$DT48&amp;", ","")&amp;IF($DU48&lt;&gt;"",$DU48&amp;", ",""))="","OK","Onbekend: "&amp;LEFT((IF($AT48&lt;&gt;"",$AT48&amp;", ","")&amp;IF($AU48&lt;&gt;"",$AU48&amp;", ","")&amp;IF($AV48&lt;&gt;"",$AV48&amp;", ","")&amp;IF($AW48&lt;&gt;"",$AW48&amp;", ","")&amp;IF($AX48&lt;&gt;"",$AX48&amp;", ","")&amp;IF($AY48&lt;&gt;"",$AY48&amp;", ","")&amp;IF($AZ48&lt;&gt;"",$AZ48&amp;", ","")&amp;IF($BA48&lt;&gt;"",$BA48&amp;", ","")&amp;IF($BB48&lt;&gt;"",$BB48&amp;", ","")&amp;IF($BC48&lt;&gt;"",$BC48&amp;", ","")&amp;IF($DL48&lt;&gt;"",$DL48&amp;", ","")&amp;IF($DM48&lt;&gt;"",$DM48&amp;", ","")&amp;IF($DN48&lt;&gt;"",$DN48&amp;", ","")&amp;IF($DO48&lt;&gt;"",$DO48&amp;", ","")&amp;IF($DP48&lt;&gt;"",$DP48&amp;", ","")&amp;IF($DQ48&lt;&gt;"",$DQ48&amp;", ","")&amp;IF($DR48&lt;&gt;"",$DR48&amp;", ","")&amp;IF($DS48&lt;&gt;"",$DS48&amp;", ","")&amp;IF($DT48&lt;&gt;"",$DT48&amp;", ","")&amp;IF($DU48&lt;&gt;"",$DU48&amp;", ","")),LEN((IF($AT48&lt;&gt;"",$AT48&amp;", ","")&amp;IF($AU48&lt;&gt;"",$AU48&amp;", ","")&amp;IF($AV48&lt;&gt;"",$AV48&amp;", ","")&amp;IF($AW48&lt;&gt;"",$AW48&amp;", ","")&amp;IF($AX48&lt;&gt;"",$AX48&amp;", ","")&amp;IF($AY48&lt;&gt;"",$AY48&amp;", ","")&amp;IF($AZ48&lt;&gt;"",$AZ48&amp;", ","")&amp;IF($BA48&lt;&gt;"",$BA48&amp;", ","")&amp;IF($BB48&lt;&gt;"",$BB48&amp;", ","")&amp;IF($BC48&lt;&gt;"",$BC48&amp;", ","")&amp;IF($DL48&lt;&gt;"",$DL48&amp;", ","")&amp;IF($DM48&lt;&gt;"",$DM48&amp;", ","")&amp;IF($DN48&lt;&gt;"",$DN48&amp;", ","")&amp;IF($DO48&lt;&gt;"",$DO48&amp;", ","")&amp;IF($DP48&lt;&gt;"",$DP48&amp;", ","")&amp;IF($DQ48&lt;&gt;"",$DQ48&amp;", ","")&amp;IF($DR48&lt;&gt;"",$DR48&amp;", ","")&amp;IF($DS48&lt;&gt;"",$DS48&amp;", ","")&amp;IF($DT48&lt;&gt;"",$DT48&amp;", ","")&amp;IF($DU48&lt;&gt;"",$DU48&amp;", ","")))-2)))))))</f>
        <v/>
      </c>
      <c r="N48" t="str">
        <f t="shared" si="306"/>
        <v/>
      </c>
      <c r="O48" t="str">
        <f t="shared" si="307"/>
        <v/>
      </c>
      <c r="P48" t="str">
        <f t="shared" si="308"/>
        <v/>
      </c>
      <c r="Q48" t="str">
        <f t="shared" si="309"/>
        <v/>
      </c>
      <c r="R48" t="str">
        <f>IF($Q48="","",IF(OR($BE48="",$BF48=""),"ONZEKER",IF(AND($BE48=0+1,$BF48=0),IF(OR(COUNTIF(#REF!,$B48)&gt;0,COUNTIF(#REF!,$B48)=0),"SKIP",IF(COUNTIFS(#REF!,$B48,#REF!,$Q48)&gt;0,"OK","ONBEKEND")),IF(AND($BE48=0,$BF48=0+1),IF(OR(COUNTIF(#REF!,$D48)&gt;0,COUNTIF(#REF!,$D48)=0),"SKIP",IF(COUNTIFS(#REF!,$D48,#REF!,$Q48)&gt;0,"OK","ONBEKEND")),"ONZEKER"))))</f>
        <v/>
      </c>
      <c r="S48" t="str">
        <f t="shared" si="310"/>
        <v/>
      </c>
      <c r="T48" t="str">
        <f t="shared" si="311"/>
        <v/>
      </c>
      <c r="U48" t="str">
        <f>IF($T48="","",IF(OR($BH48="",$BI48=""),"ONZEKER",IF(OR($BE48="",$BF48=""),"ONZEKER",IF(AND($BH48=$BE48+1,$BI48=$BF48),IF(OR(COUNTIF(#REF!,$B48)&gt;0,COUNTIF(#REF!,$B48)=0),"SKIP",IF(COUNTIFS(#REF!,$B48,#REF!,$T48)&gt;0,"OK","ONBEKEND")),IF(AND($BH48=$BE48,$BI48=$BF48+1),IF(OR(COUNTIF(#REF!,$D48)&gt;0,COUNTIF(#REF!,$D48)=0),"SKIP",IF(COUNTIFS(#REF!,$D48,#REF!,$T48)&gt;0,"OK","ONBEKEND")),"ONZEKER")))))</f>
        <v/>
      </c>
      <c r="V48" t="str">
        <f t="shared" si="312"/>
        <v/>
      </c>
      <c r="W48" t="str">
        <f t="shared" si="313"/>
        <v/>
      </c>
      <c r="X48" t="str">
        <f>IF($W48="","",IF(OR($BK48="",$BL48=""),"ONZEKER",IF(OR($BH48="",$BI48=""),"ONZEKER",IF(AND($BK48=$BH48+1,$BL48=$BI48),IF(OR(COUNTIF(#REF!,$B48)&gt;0,COUNTIF(#REF!,$B48)=0),"SKIP",IF(COUNTIFS(#REF!,$B48,#REF!,$W48)&gt;0,"OK","ONBEKEND")),IF(AND($BK48=$BH48,$BL48=$BI48+1),IF(OR(COUNTIF(#REF!,$D48)&gt;0,COUNTIF(#REF!,$D48)=0),"SKIP",IF(COUNTIFS(#REF!,$D48,#REF!,$W48)&gt;0,"OK","ONBEKEND")),"ONZEKER")))))</f>
        <v/>
      </c>
      <c r="Y48" t="str">
        <f t="shared" si="314"/>
        <v/>
      </c>
      <c r="Z48" t="str">
        <f t="shared" si="315"/>
        <v/>
      </c>
      <c r="AA48" t="str">
        <f>IF($Z48="","",IF(OR($BN48="",$BO48=""),"ONZEKER",IF(OR($BK48="",$BL48=""),"ONZEKER",IF(AND($BN48=$BK48+1,$BO48=$BL48),IF(OR(COUNTIF(#REF!,$B48)&gt;0,COUNTIF(#REF!,$B48)=0),"SKIP",IF(COUNTIFS(#REF!,$B48,#REF!,$Z48)&gt;0,"OK","ONBEKEND")),IF(AND($BN48=$BK48,$BO48=$BL48+1),IF(OR(COUNTIF(#REF!,$D48)&gt;0,COUNTIF(#REF!,$D48)=0),"SKIP",IF(COUNTIFS(#REF!,$D48,#REF!,$Z48)&gt;0,"OK","ONBEKEND")),"ONZEKER")))))</f>
        <v/>
      </c>
      <c r="AB48" t="str">
        <f t="shared" si="316"/>
        <v/>
      </c>
      <c r="AC48" t="str">
        <f t="shared" si="317"/>
        <v/>
      </c>
      <c r="AD48" t="str">
        <f>IF($AC48="","",IF(OR($BQ48="",$BR48=""),"ONZEKER",IF(OR($BN48="",$BO48=""),"ONZEKER",IF(AND($BQ48=$BN48+1,$BR48=$BO48),IF(OR(COUNTIF(#REF!,$B48)&gt;0,COUNTIF(#REF!,$B48)=0),"SKIP",IF(COUNTIFS(#REF!,$B48,#REF!,$AC48)&gt;0,"OK","ONBEKEND")),IF(AND($BQ48=$BN48,$BR48=$BO48+1),IF(OR(COUNTIF(#REF!,$D48)&gt;0,COUNTIF(#REF!,$D48)=0),"SKIP",IF(COUNTIFS(#REF!,$D48,#REF!,$AC48)&gt;0,"OK","ONBEKEND")),"ONZEKER")))))</f>
        <v/>
      </c>
      <c r="AE48" t="str">
        <f t="shared" si="318"/>
        <v/>
      </c>
      <c r="AF48" t="str">
        <f t="shared" si="319"/>
        <v/>
      </c>
      <c r="AG48" t="str">
        <f>IF($AF48="","",IF(OR($BT48="",$BU48=""),"ONZEKER",IF(OR($BQ48="",$BR48=""),"ONZEKER",IF(AND($BT48=$BQ48+1,$BU48=$BR48),IF(OR(COUNTIF(#REF!,$B48)&gt;0,COUNTIF(#REF!,$B48)=0),"SKIP",IF(COUNTIFS(#REF!,$B48,#REF!,$AF48)&gt;0,"OK","ONBEKEND")),IF(AND($BT48=$BQ48,$BU48=$BR48+1),IF(OR(COUNTIF(#REF!,$D48)&gt;0,COUNTIF(#REF!,$D48)=0),"SKIP",IF(COUNTIFS(#REF!,$D48,#REF!,$AF48)&gt;0,"OK","ONBEKEND")),"ONZEKER")))))</f>
        <v/>
      </c>
      <c r="AH48" t="str">
        <f t="shared" si="320"/>
        <v/>
      </c>
      <c r="AI48" t="str">
        <f t="shared" si="321"/>
        <v/>
      </c>
      <c r="AJ48" t="str">
        <f>IF($AI48="","",IF(OR($BW48="",$BX48=""),"ONZEKER",IF(OR($BT48="",$BU48=""),"ONZEKER",IF(AND($BW48=$BT48+1,$BX48=$BU48),IF(OR(COUNTIF(#REF!,$B48)&gt;0,COUNTIF(#REF!,$B48)=0),"SKIP",IF(COUNTIFS(#REF!,$B48,#REF!,$AI48)&gt;0,"OK","ONBEKEND")),IF(AND($BW48=$BT48,$BX48=$BU48+1),IF(OR(COUNTIF(#REF!,$D48)&gt;0,COUNTIF(#REF!,$D48)=0),"SKIP",IF(COUNTIFS(#REF!,$D48,#REF!,$AI48)&gt;0,"OK","ONBEKEND")),"ONZEKER")))))</f>
        <v/>
      </c>
      <c r="AK48" t="str">
        <f t="shared" si="322"/>
        <v/>
      </c>
      <c r="AL48" t="str">
        <f t="shared" si="323"/>
        <v/>
      </c>
      <c r="AM48" t="str">
        <f>IF($AL48="","",IF(OR($BZ48="",$CA48=""),"ONZEKER",IF(OR($BW48="",$BX48=""),"ONZEKER",IF(AND($BZ48=$BW48+1,$CA48=$BX48),IF(OR(COUNTIF(#REF!,$B48)&gt;0,COUNTIF(#REF!,$B48)=0),"SKIP",IF(COUNTIFS(#REF!,$B48,#REF!,$AL48)&gt;0,"OK","ONBEKEND")),IF(AND($BZ48=$BW48,$CA48=$BX48+1),IF(OR(COUNTIF(#REF!,$D48)&gt;0,COUNTIF(#REF!,$D48)=0),"SKIP",IF(COUNTIFS(#REF!,$D48,#REF!,$AL48)&gt;0,"OK","ONBEKEND")),"ONZEKER")))))</f>
        <v/>
      </c>
      <c r="AN48" t="str">
        <f t="shared" si="324"/>
        <v/>
      </c>
      <c r="AO48" t="str">
        <f t="shared" si="325"/>
        <v/>
      </c>
      <c r="AP48" t="str">
        <f>IF($AO48="","",IF(OR($CC48="",$CD48=""),"ONZEKER",IF(OR($BZ48="",$CA48=""),"ONZEKER",IF(AND($CC48=$BZ48+1,$CD48=$CA48),IF(OR(COUNTIF(#REF!,$B48)&gt;0,COUNTIF(#REF!,$B48)=0),"SKIP",IF(COUNTIFS(#REF!,$B48,#REF!,$AO48)&gt;0,"OK","ONBEKEND")),IF(AND($CC48=$BZ48,$CD48=$CA48+1),IF(OR(COUNTIF(#REF!,$D48)&gt;0,COUNTIF(#REF!,$D48)=0),"SKIP",IF(COUNTIFS(#REF!,$D48,#REF!,$AO48)&gt;0,"OK","ONBEKEND")),"ONZEKER")))))</f>
        <v/>
      </c>
      <c r="AQ48" t="str">
        <f t="shared" si="326"/>
        <v/>
      </c>
      <c r="AR48" t="str">
        <f t="shared" si="327"/>
        <v/>
      </c>
      <c r="AS48" t="str">
        <f>IF($AR48="","",IF(OR($CF48="",$CG48=""),"ONZEKER",IF(OR($CC48="",$CD48=""),"ONZEKER",IF(AND($CF48=$CC48+1,$CG48=$CD48),IF(OR(COUNTIF(#REF!,$B48)&gt;0,COUNTIF(#REF!,$B48)=0),"SKIP",IF(COUNTIFS(#REF!,$B48,#REF!,$AR48)&gt;0,"OK","ONBEKEND")),IF(AND($CF48=$CC48,$CG48=$CD48+1),IF(OR(COUNTIF(#REF!,$D48)&gt;0,COUNTIF(#REF!,$D48)=0),"SKIP",IF(COUNTIFS(#REF!,$D48,#REF!,$AR48)&gt;0,"OK","ONBEKEND")),"ONZEKER")))))</f>
        <v/>
      </c>
      <c r="AT48" t="str">
        <f t="shared" si="328"/>
        <v/>
      </c>
      <c r="AU48" t="str">
        <f t="shared" si="329"/>
        <v/>
      </c>
      <c r="AV48" t="str">
        <f t="shared" si="330"/>
        <v/>
      </c>
      <c r="AW48" t="str">
        <f t="shared" si="331"/>
        <v/>
      </c>
      <c r="AX48" t="str">
        <f t="shared" si="332"/>
        <v/>
      </c>
      <c r="AY48" t="str">
        <f t="shared" si="333"/>
        <v/>
      </c>
      <c r="AZ48" t="str">
        <f t="shared" si="334"/>
        <v/>
      </c>
      <c r="BA48" t="str">
        <f t="shared" si="335"/>
        <v/>
      </c>
      <c r="BB48" t="str">
        <f t="shared" si="336"/>
        <v/>
      </c>
      <c r="BC48" t="str">
        <f t="shared" si="337"/>
        <v/>
      </c>
      <c r="BD48" t="str">
        <f t="shared" si="32"/>
        <v/>
      </c>
      <c r="BE48" t="str">
        <f t="shared" si="33"/>
        <v/>
      </c>
      <c r="BF48" t="str">
        <f t="shared" si="34"/>
        <v/>
      </c>
      <c r="BG48" t="str">
        <f t="shared" si="35"/>
        <v/>
      </c>
      <c r="BH48" t="str">
        <f t="shared" si="36"/>
        <v/>
      </c>
      <c r="BI48" t="str">
        <f t="shared" si="37"/>
        <v/>
      </c>
      <c r="BJ48" t="str">
        <f t="shared" si="38"/>
        <v/>
      </c>
      <c r="BK48" t="str">
        <f t="shared" si="39"/>
        <v/>
      </c>
      <c r="BL48" t="str">
        <f t="shared" si="40"/>
        <v/>
      </c>
      <c r="BM48" t="str">
        <f t="shared" si="41"/>
        <v/>
      </c>
      <c r="BN48" t="str">
        <f t="shared" si="42"/>
        <v/>
      </c>
      <c r="BO48" t="str">
        <f t="shared" si="43"/>
        <v/>
      </c>
      <c r="BP48" t="str">
        <f t="shared" si="44"/>
        <v/>
      </c>
      <c r="BQ48" t="str">
        <f t="shared" si="45"/>
        <v/>
      </c>
      <c r="BR48" t="str">
        <f t="shared" si="46"/>
        <v/>
      </c>
      <c r="BS48" t="str">
        <f t="shared" si="47"/>
        <v/>
      </c>
      <c r="BT48" t="str">
        <f t="shared" si="48"/>
        <v/>
      </c>
      <c r="BU48" t="str">
        <f t="shared" si="49"/>
        <v/>
      </c>
      <c r="BV48" t="str">
        <f t="shared" si="50"/>
        <v/>
      </c>
      <c r="BW48" t="str">
        <f t="shared" si="51"/>
        <v/>
      </c>
      <c r="BX48" t="str">
        <f t="shared" si="52"/>
        <v/>
      </c>
      <c r="BY48" t="str">
        <f t="shared" si="53"/>
        <v/>
      </c>
      <c r="BZ48" t="str">
        <f t="shared" si="54"/>
        <v/>
      </c>
      <c r="CA48" t="str">
        <f t="shared" si="55"/>
        <v/>
      </c>
      <c r="CB48" t="str">
        <f t="shared" si="56"/>
        <v/>
      </c>
      <c r="CC48" t="str">
        <f t="shared" si="57"/>
        <v/>
      </c>
      <c r="CD48" t="str">
        <f t="shared" si="58"/>
        <v/>
      </c>
      <c r="CE48" t="str">
        <f t="shared" si="59"/>
        <v/>
      </c>
      <c r="CF48" t="str">
        <f t="shared" si="60"/>
        <v/>
      </c>
      <c r="CG48" t="str">
        <f t="shared" si="61"/>
        <v/>
      </c>
      <c r="CH48" t="str">
        <f t="shared" si="338"/>
        <v/>
      </c>
      <c r="CI48" t="str">
        <f t="shared" si="339"/>
        <v/>
      </c>
      <c r="CJ48" t="str">
        <f>IF($CI48="","",IF(OR($DW48="",$DX48=""),"ONZEKER",IF(OR($CF48="",$CG48=""),"ONZEKER",IF(AND($DW48=$CF48+1,$DX48=$CG48),IF(OR(COUNTIF(#REF!,$B48)&gt;0,COUNTIF(#REF!,$B48)=0),"SKIP",IF(COUNTIFS(#REF!,$B48,#REF!,$CI48)&gt;0,"OK","ONBEKEND")),IF(AND($DW48=$CF48,$DX48=$CG48+1),IF(OR(COUNTIF(#REF!,$D48)&gt;0,COUNTIF(#REF!,$D48)=0),"SKIP",IF(COUNTIFS(#REF!,$D48,#REF!,$CI48)&gt;0,"OK","ONBEKEND")),"ONZEKER")))))</f>
        <v/>
      </c>
      <c r="CK48" t="str">
        <f t="shared" si="340"/>
        <v/>
      </c>
      <c r="CL48" t="str">
        <f t="shared" si="341"/>
        <v/>
      </c>
      <c r="CM48" t="str">
        <f>IF($CL48="","",IF(OR($DZ48="",$EA48=""),"ONZEKER",IF(OR($DW48="",$DX48=""),"ONZEKER",IF(AND($DZ48=$DW48+1,$EA48=$DX48),IF(OR(COUNTIF(#REF!,$B48)&gt;0,COUNTIF(#REF!,$B48)=0),"SKIP",IF(COUNTIFS(#REF!,$B48,#REF!,$CL48)&gt;0,"OK","ONBEKEND")),IF(AND($DZ48=$DW48,$EA48=$DX48+1),IF(OR(COUNTIF(#REF!,$D48)&gt;0,COUNTIF(#REF!,$D48)=0),"SKIP",IF(COUNTIFS(#REF!,$D48,#REF!,$CL48)&gt;0,"OK","ONBEKEND")),"ONZEKER")))))</f>
        <v/>
      </c>
      <c r="CN48" t="str">
        <f t="shared" si="342"/>
        <v/>
      </c>
      <c r="CO48" t="str">
        <f t="shared" si="343"/>
        <v/>
      </c>
      <c r="CP48" t="str">
        <f>IF($CO48="","",IF(OR($EC48="",$ED48=""),"ONZEKER",IF(OR($DZ48="",$EA48=""),"ONZEKER",IF(AND($EC48=$DZ48+1,$ED48=$EA48),IF(OR(COUNTIF(#REF!,$B48)&gt;0,COUNTIF(#REF!,$B48)=0),"SKIP",IF(COUNTIFS(#REF!,$B48,#REF!,$CO48)&gt;0,"OK","ONBEKEND")),IF(AND($EC48=$DZ48,$ED48=$EA48+1),IF(OR(COUNTIF(#REF!,$D48)&gt;0,COUNTIF(#REF!,$D48)=0),"SKIP",IF(COUNTIFS(#REF!,$D48,#REF!,$CO48)&gt;0,"OK","ONBEKEND")),"ONZEKER")))))</f>
        <v/>
      </c>
      <c r="CQ48" t="str">
        <f t="shared" si="344"/>
        <v/>
      </c>
      <c r="CR48" t="str">
        <f t="shared" si="345"/>
        <v/>
      </c>
      <c r="CS48" t="str">
        <f>IF($CR48="","",IF(OR($EF48="",$EG48=""),"ONZEKER",IF(OR($EC48="",$ED48=""),"ONZEKER",IF(AND($EF48=$EC48+1,$EG48=$ED48),IF(OR(COUNTIF(#REF!,$B48)&gt;0,COUNTIF(#REF!,$B48)=0),"SKIP",IF(COUNTIFS(#REF!,$B48,#REF!,$CR48)&gt;0,"OK","ONBEKEND")),IF(AND($EF48=$EC48,$EG48=$ED48+1),IF(OR(COUNTIF(#REF!,$D48)&gt;0,COUNTIF(#REF!,$D48)=0),"SKIP",IF(COUNTIFS(#REF!,$D48,#REF!,$CR48)&gt;0,"OK","ONBEKEND")),"ONZEKER")))))</f>
        <v/>
      </c>
      <c r="CT48" t="str">
        <f t="shared" si="346"/>
        <v/>
      </c>
      <c r="CU48" t="str">
        <f t="shared" si="347"/>
        <v/>
      </c>
      <c r="CV48" t="str">
        <f>IF($CU48="","",IF(OR($EI48="",$EJ48=""),"ONZEKER",IF(OR($EF48="",$EG48=""),"ONZEKER",IF(AND($EI48=$EF48+1,$EJ48=$EG48),IF(OR(COUNTIF(#REF!,$B48)&gt;0,COUNTIF(#REF!,$B48)=0),"SKIP",IF(COUNTIFS(#REF!,$B48,#REF!,$CU48)&gt;0,"OK","ONBEKEND")),IF(AND($EI48=$EF48,$EJ48=$EG48+1),IF(OR(COUNTIF(#REF!,$D48)&gt;0,COUNTIF(#REF!,$D48)=0),"SKIP",IF(COUNTIFS(#REF!,$D48,#REF!,$CU48)&gt;0,"OK","ONBEKEND")),"ONZEKER")))))</f>
        <v/>
      </c>
      <c r="CW48" t="str">
        <f t="shared" si="348"/>
        <v/>
      </c>
      <c r="CX48" t="str">
        <f t="shared" si="349"/>
        <v/>
      </c>
      <c r="CY48" t="str">
        <f>IF($CX48="","",IF(OR($EL48="",$EM48=""),"ONZEKER",IF(OR($EI48="",$EJ48=""),"ONZEKER",IF(AND($EL48=$EI48+1,$EM48=$EJ48),IF(OR(COUNTIF(#REF!,$B48)&gt;0,COUNTIF(#REF!,$B48)=0),"SKIP",IF(COUNTIFS(#REF!,$B48,#REF!,$CX48)&gt;0,"OK","ONBEKEND")),IF(AND($EL48=$EI48,$EM48=$EJ48+1),IF(OR(COUNTIF(#REF!,$D48)&gt;0,COUNTIF(#REF!,$D48)=0),"SKIP",IF(COUNTIFS(#REF!,$D48,#REF!,$CX48)&gt;0,"OK","ONBEKEND")),"ONZEKER")))))</f>
        <v/>
      </c>
      <c r="CZ48" t="str">
        <f t="shared" si="350"/>
        <v/>
      </c>
      <c r="DA48" t="str">
        <f t="shared" si="351"/>
        <v/>
      </c>
      <c r="DB48" t="str">
        <f>IF($DA48="","",IF(OR($EO48="",$EP48=""),"ONZEKER",IF(OR($EL48="",$EM48=""),"ONZEKER",IF(AND($EO48=$EL48+1,$EP48=$EM48),IF(OR(COUNTIF(#REF!,$B48)&gt;0,COUNTIF(#REF!,$B48)=0),"SKIP",IF(COUNTIFS(#REF!,$B48,#REF!,$DA48)&gt;0,"OK","ONBEKEND")),IF(AND($EO48=$EL48,$EP48=$EM48+1),IF(OR(COUNTIF(#REF!,$D48)&gt;0,COUNTIF(#REF!,$D48)=0),"SKIP",IF(COUNTIFS(#REF!,$D48,#REF!,$DA48)&gt;0,"OK","ONBEKEND")),"ONZEKER")))))</f>
        <v/>
      </c>
      <c r="DC48" t="str">
        <f t="shared" si="352"/>
        <v/>
      </c>
      <c r="DD48" t="str">
        <f t="shared" si="353"/>
        <v/>
      </c>
      <c r="DE48" t="str">
        <f>IF($DD48="","",IF(OR($ER48="",$ES48=""),"ONZEKER",IF(OR($EO48="",$EP48=""),"ONZEKER",IF(AND($ER48=$EO48+1,$ES48=$EP48),IF(OR(COUNTIF(#REF!,$B48)&gt;0,COUNTIF(#REF!,$B48)=0),"SKIP",IF(COUNTIFS(#REF!,$B48,#REF!,$DD48)&gt;0,"OK","ONBEKEND")),IF(AND($ER48=$EO48,$ES48=$EP48+1),IF(OR(COUNTIF(#REF!,$D48)&gt;0,COUNTIF(#REF!,$D48)=0),"SKIP",IF(COUNTIFS(#REF!,$D48,#REF!,$DD48)&gt;0,"OK","ONBEKEND")),"ONZEKER")))))</f>
        <v/>
      </c>
      <c r="DF48" t="str">
        <f t="shared" si="354"/>
        <v/>
      </c>
      <c r="DG48" t="str">
        <f t="shared" si="355"/>
        <v/>
      </c>
      <c r="DH48" t="str">
        <f>IF($DG48="","",IF(OR($EU48="",$EV48=""),"ONZEKER",IF(OR($ER48="",$ES48=""),"ONZEKER",IF(AND($EU48=$ER48+1,$EV48=$ES48),IF(OR(COUNTIF(#REF!,$B48)&gt;0,COUNTIF(#REF!,$B48)=0),"SKIP",IF(COUNTIFS(#REF!,$B48,#REF!,$DG48)&gt;0,"OK","ONBEKEND")),IF(AND($EU48=$ER48,$EV48=$ES48+1),IF(OR(COUNTIF(#REF!,$D48)&gt;0,COUNTIF(#REF!,$D48)=0),"SKIP",IF(COUNTIFS(#REF!,$D48,#REF!,$DG48)&gt;0,"OK","ONBEKEND")),"ONZEKER")))))</f>
        <v/>
      </c>
      <c r="DI48" t="str">
        <f t="shared" si="356"/>
        <v/>
      </c>
      <c r="DJ48" t="str">
        <f t="shared" si="357"/>
        <v/>
      </c>
      <c r="DK48" t="str">
        <f>IF($DJ48="","",IF(OR($EX48="",$EY48=""),"ONZEKER",IF(OR($EU48="",$EV48=""),"ONZEKER",IF(AND($EX48=$EU48+1,$EY48=$EV48),IF(OR(COUNTIF(#REF!,$B48)&gt;0,COUNTIF(#REF!,$B48)=0),"SKIP",IF(COUNTIFS(#REF!,$B48,#REF!,$DJ48)&gt;0,"OK","ONBEKEND")),IF(AND($EX48=$EU48,$EY48=$EV48+1),IF(OR(COUNTIF(#REF!,$D48)&gt;0,COUNTIF(#REF!,$D48)=0),"SKIP",IF(COUNTIFS(#REF!,$D48,#REF!,$DJ48)&gt;0,"OK","ONBEKEND")),"ONZEKER")))))</f>
        <v/>
      </c>
      <c r="DL48" t="str">
        <f t="shared" si="358"/>
        <v/>
      </c>
      <c r="DM48" t="str">
        <f t="shared" si="359"/>
        <v/>
      </c>
      <c r="DN48" t="str">
        <f t="shared" si="360"/>
        <v/>
      </c>
      <c r="DO48" t="str">
        <f t="shared" si="361"/>
        <v/>
      </c>
      <c r="DP48" t="str">
        <f t="shared" si="362"/>
        <v/>
      </c>
      <c r="DQ48" t="str">
        <f t="shared" si="363"/>
        <v/>
      </c>
      <c r="DR48" t="str">
        <f t="shared" si="364"/>
        <v/>
      </c>
      <c r="DS48" t="str">
        <f t="shared" si="365"/>
        <v/>
      </c>
      <c r="DT48" t="str">
        <f t="shared" si="366"/>
        <v/>
      </c>
      <c r="DU48" t="str">
        <f t="shared" si="367"/>
        <v/>
      </c>
      <c r="DV48" t="str">
        <f t="shared" si="368"/>
        <v/>
      </c>
      <c r="DW48" t="str">
        <f t="shared" si="369"/>
        <v/>
      </c>
      <c r="DX48" t="str">
        <f t="shared" si="370"/>
        <v/>
      </c>
      <c r="DY48" t="str">
        <f t="shared" si="371"/>
        <v/>
      </c>
      <c r="DZ48" t="str">
        <f t="shared" si="372"/>
        <v/>
      </c>
      <c r="EA48" t="str">
        <f t="shared" si="373"/>
        <v/>
      </c>
      <c r="EB48" t="str">
        <f t="shared" si="374"/>
        <v/>
      </c>
      <c r="EC48" t="str">
        <f t="shared" si="375"/>
        <v/>
      </c>
      <c r="ED48" t="str">
        <f t="shared" si="376"/>
        <v/>
      </c>
      <c r="EE48" t="str">
        <f t="shared" si="377"/>
        <v/>
      </c>
      <c r="EF48" t="str">
        <f t="shared" si="378"/>
        <v/>
      </c>
      <c r="EG48" t="str">
        <f t="shared" si="379"/>
        <v/>
      </c>
      <c r="EH48" t="str">
        <f t="shared" si="380"/>
        <v/>
      </c>
      <c r="EI48" t="str">
        <f t="shared" si="381"/>
        <v/>
      </c>
      <c r="EJ48" t="str">
        <f t="shared" si="382"/>
        <v/>
      </c>
      <c r="EK48" t="str">
        <f t="shared" si="383"/>
        <v/>
      </c>
      <c r="EL48" t="str">
        <f t="shared" si="384"/>
        <v/>
      </c>
      <c r="EM48" t="str">
        <f t="shared" si="385"/>
        <v/>
      </c>
      <c r="EN48" t="str">
        <f t="shared" si="386"/>
        <v/>
      </c>
      <c r="EO48" t="str">
        <f t="shared" si="387"/>
        <v/>
      </c>
      <c r="EP48" t="str">
        <f t="shared" si="388"/>
        <v/>
      </c>
      <c r="EQ48" t="str">
        <f t="shared" si="389"/>
        <v/>
      </c>
      <c r="ER48" t="str">
        <f t="shared" si="390"/>
        <v/>
      </c>
      <c r="ES48" t="str">
        <f t="shared" si="391"/>
        <v/>
      </c>
      <c r="ET48" t="str">
        <f t="shared" si="392"/>
        <v/>
      </c>
      <c r="EU48" t="str">
        <f t="shared" si="393"/>
        <v/>
      </c>
      <c r="EV48" t="str">
        <f t="shared" si="394"/>
        <v/>
      </c>
      <c r="EW48" t="str">
        <f t="shared" si="395"/>
        <v/>
      </c>
      <c r="EX48" t="str">
        <f t="shared" si="396"/>
        <v/>
      </c>
      <c r="EY48" t="str">
        <f t="shared" si="397"/>
        <v/>
      </c>
    </row>
    <row r="49" spans="1:155" ht="13.9" customHeight="1" x14ac:dyDescent="0.25">
      <c r="A49" s="7"/>
      <c r="B49" s="17"/>
      <c r="C49" s="8"/>
      <c r="D49" s="17"/>
      <c r="E49" s="8"/>
      <c r="F49" s="18">
        <v>0</v>
      </c>
      <c r="G49" s="7" t="s">
        <v>147</v>
      </c>
      <c r="H49" s="18">
        <v>0</v>
      </c>
      <c r="I49" s="19">
        <v>0</v>
      </c>
      <c r="J49" s="7" t="s">
        <v>147</v>
      </c>
      <c r="K49" s="19">
        <v>0</v>
      </c>
      <c r="L49" s="9"/>
      <c r="M49" s="3" t="str">
        <f>IF($L49="","",IF($L49="DOELPUNTENMAKERS","",IF(AND(COUNTIF(#REF!,$B49)=0,COUNTIF(#REF!,$D49)=0),"OK",IF($O49&gt;20,"LET OP: meer dan 20 items (controle onvolledig)",IF((COUNTIF($R49:$AS49,"ONZEKER")+COUNTIF($CJ49:$DK49,"ONZEKER"))&gt;0,"LET OP: scoreverloop onduidelijk (controle beperkt)",IF((IF($AT49&lt;&gt;"",$AT49&amp;", ","")&amp;IF($AU49&lt;&gt;"",$AU49&amp;", ","")&amp;IF($AV49&lt;&gt;"",$AV49&amp;", ","")&amp;IF($AW49&lt;&gt;"",$AW49&amp;", ","")&amp;IF($AX49&lt;&gt;"",$AX49&amp;", ","")&amp;IF($AY49&lt;&gt;"",$AY49&amp;", ","")&amp;IF($AZ49&lt;&gt;"",$AZ49&amp;", ","")&amp;IF($BA49&lt;&gt;"",$BA49&amp;", ","")&amp;IF($BB49&lt;&gt;"",$BB49&amp;", ","")&amp;IF($BC49&lt;&gt;"",$BC49&amp;", ","")&amp;IF($DL49&lt;&gt;"",$DL49&amp;", ","")&amp;IF($DM49&lt;&gt;"",$DM49&amp;", ","")&amp;IF($DN49&lt;&gt;"",$DN49&amp;", ","")&amp;IF($DO49&lt;&gt;"",$DO49&amp;", ","")&amp;IF($DP49&lt;&gt;"",$DP49&amp;", ","")&amp;IF($DQ49&lt;&gt;"",$DQ49&amp;", ","")&amp;IF($DR49&lt;&gt;"",$DR49&amp;", ","")&amp;IF($DS49&lt;&gt;"",$DS49&amp;", ","")&amp;IF($DT49&lt;&gt;"",$DT49&amp;", ","")&amp;IF($DU49&lt;&gt;"",$DU49&amp;", ",""))="","OK","Onbekend: "&amp;LEFT((IF($AT49&lt;&gt;"",$AT49&amp;", ","")&amp;IF($AU49&lt;&gt;"",$AU49&amp;", ","")&amp;IF($AV49&lt;&gt;"",$AV49&amp;", ","")&amp;IF($AW49&lt;&gt;"",$AW49&amp;", ","")&amp;IF($AX49&lt;&gt;"",$AX49&amp;", ","")&amp;IF($AY49&lt;&gt;"",$AY49&amp;", ","")&amp;IF($AZ49&lt;&gt;"",$AZ49&amp;", ","")&amp;IF($BA49&lt;&gt;"",$BA49&amp;", ","")&amp;IF($BB49&lt;&gt;"",$BB49&amp;", ","")&amp;IF($BC49&lt;&gt;"",$BC49&amp;", ","")&amp;IF($DL49&lt;&gt;"",$DL49&amp;", ","")&amp;IF($DM49&lt;&gt;"",$DM49&amp;", ","")&amp;IF($DN49&lt;&gt;"",$DN49&amp;", ","")&amp;IF($DO49&lt;&gt;"",$DO49&amp;", ","")&amp;IF($DP49&lt;&gt;"",$DP49&amp;", ","")&amp;IF($DQ49&lt;&gt;"",$DQ49&amp;", ","")&amp;IF($DR49&lt;&gt;"",$DR49&amp;", ","")&amp;IF($DS49&lt;&gt;"",$DS49&amp;", ","")&amp;IF($DT49&lt;&gt;"",$DT49&amp;", ","")&amp;IF($DU49&lt;&gt;"",$DU49&amp;", ","")),LEN((IF($AT49&lt;&gt;"",$AT49&amp;", ","")&amp;IF($AU49&lt;&gt;"",$AU49&amp;", ","")&amp;IF($AV49&lt;&gt;"",$AV49&amp;", ","")&amp;IF($AW49&lt;&gt;"",$AW49&amp;", ","")&amp;IF($AX49&lt;&gt;"",$AX49&amp;", ","")&amp;IF($AY49&lt;&gt;"",$AY49&amp;", ","")&amp;IF($AZ49&lt;&gt;"",$AZ49&amp;", ","")&amp;IF($BA49&lt;&gt;"",$BA49&amp;", ","")&amp;IF($BB49&lt;&gt;"",$BB49&amp;", ","")&amp;IF($BC49&lt;&gt;"",$BC49&amp;", ","")&amp;IF($DL49&lt;&gt;"",$DL49&amp;", ","")&amp;IF($DM49&lt;&gt;"",$DM49&amp;", ","")&amp;IF($DN49&lt;&gt;"",$DN49&amp;", ","")&amp;IF($DO49&lt;&gt;"",$DO49&amp;", ","")&amp;IF($DP49&lt;&gt;"",$DP49&amp;", ","")&amp;IF($DQ49&lt;&gt;"",$DQ49&amp;", ","")&amp;IF($DR49&lt;&gt;"",$DR49&amp;", ","")&amp;IF($DS49&lt;&gt;"",$DS49&amp;", ","")&amp;IF($DT49&lt;&gt;"",$DT49&amp;", ","")&amp;IF($DU49&lt;&gt;"",$DU49&amp;", ","")))-2)))))))</f>
        <v/>
      </c>
      <c r="N49" t="str">
        <f t="shared" si="306"/>
        <v/>
      </c>
      <c r="O49" t="str">
        <f t="shared" si="307"/>
        <v/>
      </c>
      <c r="P49" t="str">
        <f t="shared" si="308"/>
        <v/>
      </c>
      <c r="Q49" t="str">
        <f t="shared" si="309"/>
        <v/>
      </c>
      <c r="R49" t="str">
        <f>IF($Q49="","",IF(OR($BE49="",$BF49=""),"ONZEKER",IF(AND($BE49=0+1,$BF49=0),IF(OR(COUNTIF(#REF!,$B49)&gt;0,COUNTIF(#REF!,$B49)=0),"SKIP",IF(COUNTIFS(#REF!,$B49,#REF!,$Q49)&gt;0,"OK","ONBEKEND")),IF(AND($BE49=0,$BF49=0+1),IF(OR(COUNTIF(#REF!,$D49)&gt;0,COUNTIF(#REF!,$D49)=0),"SKIP",IF(COUNTIFS(#REF!,$D49,#REF!,$Q49)&gt;0,"OK","ONBEKEND")),"ONZEKER"))))</f>
        <v/>
      </c>
      <c r="S49" t="str">
        <f t="shared" si="310"/>
        <v/>
      </c>
      <c r="T49" t="str">
        <f t="shared" si="311"/>
        <v/>
      </c>
      <c r="U49" t="str">
        <f>IF($T49="","",IF(OR($BH49="",$BI49=""),"ONZEKER",IF(OR($BE49="",$BF49=""),"ONZEKER",IF(AND($BH49=$BE49+1,$BI49=$BF49),IF(OR(COUNTIF(#REF!,$B49)&gt;0,COUNTIF(#REF!,$B49)=0),"SKIP",IF(COUNTIFS(#REF!,$B49,#REF!,$T49)&gt;0,"OK","ONBEKEND")),IF(AND($BH49=$BE49,$BI49=$BF49+1),IF(OR(COUNTIF(#REF!,$D49)&gt;0,COUNTIF(#REF!,$D49)=0),"SKIP",IF(COUNTIFS(#REF!,$D49,#REF!,$T49)&gt;0,"OK","ONBEKEND")),"ONZEKER")))))</f>
        <v/>
      </c>
      <c r="V49" t="str">
        <f t="shared" si="312"/>
        <v/>
      </c>
      <c r="W49" t="str">
        <f t="shared" si="313"/>
        <v/>
      </c>
      <c r="X49" t="str">
        <f>IF($W49="","",IF(OR($BK49="",$BL49=""),"ONZEKER",IF(OR($BH49="",$BI49=""),"ONZEKER",IF(AND($BK49=$BH49+1,$BL49=$BI49),IF(OR(COUNTIF(#REF!,$B49)&gt;0,COUNTIF(#REF!,$B49)=0),"SKIP",IF(COUNTIFS(#REF!,$B49,#REF!,$W49)&gt;0,"OK","ONBEKEND")),IF(AND($BK49=$BH49,$BL49=$BI49+1),IF(OR(COUNTIF(#REF!,$D49)&gt;0,COUNTIF(#REF!,$D49)=0),"SKIP",IF(COUNTIFS(#REF!,$D49,#REF!,$W49)&gt;0,"OK","ONBEKEND")),"ONZEKER")))))</f>
        <v/>
      </c>
      <c r="Y49" t="str">
        <f t="shared" si="314"/>
        <v/>
      </c>
      <c r="Z49" t="str">
        <f t="shared" si="315"/>
        <v/>
      </c>
      <c r="AA49" t="str">
        <f>IF($Z49="","",IF(OR($BN49="",$BO49=""),"ONZEKER",IF(OR($BK49="",$BL49=""),"ONZEKER",IF(AND($BN49=$BK49+1,$BO49=$BL49),IF(OR(COUNTIF(#REF!,$B49)&gt;0,COUNTIF(#REF!,$B49)=0),"SKIP",IF(COUNTIFS(#REF!,$B49,#REF!,$Z49)&gt;0,"OK","ONBEKEND")),IF(AND($BN49=$BK49,$BO49=$BL49+1),IF(OR(COUNTIF(#REF!,$D49)&gt;0,COUNTIF(#REF!,$D49)=0),"SKIP",IF(COUNTIFS(#REF!,$D49,#REF!,$Z49)&gt;0,"OK","ONBEKEND")),"ONZEKER")))))</f>
        <v/>
      </c>
      <c r="AB49" t="str">
        <f t="shared" si="316"/>
        <v/>
      </c>
      <c r="AC49" t="str">
        <f t="shared" si="317"/>
        <v/>
      </c>
      <c r="AD49" t="str">
        <f>IF($AC49="","",IF(OR($BQ49="",$BR49=""),"ONZEKER",IF(OR($BN49="",$BO49=""),"ONZEKER",IF(AND($BQ49=$BN49+1,$BR49=$BO49),IF(OR(COUNTIF(#REF!,$B49)&gt;0,COUNTIF(#REF!,$B49)=0),"SKIP",IF(COUNTIFS(#REF!,$B49,#REF!,$AC49)&gt;0,"OK","ONBEKEND")),IF(AND($BQ49=$BN49,$BR49=$BO49+1),IF(OR(COUNTIF(#REF!,$D49)&gt;0,COUNTIF(#REF!,$D49)=0),"SKIP",IF(COUNTIFS(#REF!,$D49,#REF!,$AC49)&gt;0,"OK","ONBEKEND")),"ONZEKER")))))</f>
        <v/>
      </c>
      <c r="AE49" t="str">
        <f t="shared" si="318"/>
        <v/>
      </c>
      <c r="AF49" t="str">
        <f t="shared" si="319"/>
        <v/>
      </c>
      <c r="AG49" t="str">
        <f>IF($AF49="","",IF(OR($BT49="",$BU49=""),"ONZEKER",IF(OR($BQ49="",$BR49=""),"ONZEKER",IF(AND($BT49=$BQ49+1,$BU49=$BR49),IF(OR(COUNTIF(#REF!,$B49)&gt;0,COUNTIF(#REF!,$B49)=0),"SKIP",IF(COUNTIFS(#REF!,$B49,#REF!,$AF49)&gt;0,"OK","ONBEKEND")),IF(AND($BT49=$BQ49,$BU49=$BR49+1),IF(OR(COUNTIF(#REF!,$D49)&gt;0,COUNTIF(#REF!,$D49)=0),"SKIP",IF(COUNTIFS(#REF!,$D49,#REF!,$AF49)&gt;0,"OK","ONBEKEND")),"ONZEKER")))))</f>
        <v/>
      </c>
      <c r="AH49" t="str">
        <f t="shared" si="320"/>
        <v/>
      </c>
      <c r="AI49" t="str">
        <f t="shared" si="321"/>
        <v/>
      </c>
      <c r="AJ49" t="str">
        <f>IF($AI49="","",IF(OR($BW49="",$BX49=""),"ONZEKER",IF(OR($BT49="",$BU49=""),"ONZEKER",IF(AND($BW49=$BT49+1,$BX49=$BU49),IF(OR(COUNTIF(#REF!,$B49)&gt;0,COUNTIF(#REF!,$B49)=0),"SKIP",IF(COUNTIFS(#REF!,$B49,#REF!,$AI49)&gt;0,"OK","ONBEKEND")),IF(AND($BW49=$BT49,$BX49=$BU49+1),IF(OR(COUNTIF(#REF!,$D49)&gt;0,COUNTIF(#REF!,$D49)=0),"SKIP",IF(COUNTIFS(#REF!,$D49,#REF!,$AI49)&gt;0,"OK","ONBEKEND")),"ONZEKER")))))</f>
        <v/>
      </c>
      <c r="AK49" t="str">
        <f t="shared" si="322"/>
        <v/>
      </c>
      <c r="AL49" t="str">
        <f t="shared" si="323"/>
        <v/>
      </c>
      <c r="AM49" t="str">
        <f>IF($AL49="","",IF(OR($BZ49="",$CA49=""),"ONZEKER",IF(OR($BW49="",$BX49=""),"ONZEKER",IF(AND($BZ49=$BW49+1,$CA49=$BX49),IF(OR(COUNTIF(#REF!,$B49)&gt;0,COUNTIF(#REF!,$B49)=0),"SKIP",IF(COUNTIFS(#REF!,$B49,#REF!,$AL49)&gt;0,"OK","ONBEKEND")),IF(AND($BZ49=$BW49,$CA49=$BX49+1),IF(OR(COUNTIF(#REF!,$D49)&gt;0,COUNTIF(#REF!,$D49)=0),"SKIP",IF(COUNTIFS(#REF!,$D49,#REF!,$AL49)&gt;0,"OK","ONBEKEND")),"ONZEKER")))))</f>
        <v/>
      </c>
      <c r="AN49" t="str">
        <f t="shared" si="324"/>
        <v/>
      </c>
      <c r="AO49" t="str">
        <f t="shared" si="325"/>
        <v/>
      </c>
      <c r="AP49" t="str">
        <f>IF($AO49="","",IF(OR($CC49="",$CD49=""),"ONZEKER",IF(OR($BZ49="",$CA49=""),"ONZEKER",IF(AND($CC49=$BZ49+1,$CD49=$CA49),IF(OR(COUNTIF(#REF!,$B49)&gt;0,COUNTIF(#REF!,$B49)=0),"SKIP",IF(COUNTIFS(#REF!,$B49,#REF!,$AO49)&gt;0,"OK","ONBEKEND")),IF(AND($CC49=$BZ49,$CD49=$CA49+1),IF(OR(COUNTIF(#REF!,$D49)&gt;0,COUNTIF(#REF!,$D49)=0),"SKIP",IF(COUNTIFS(#REF!,$D49,#REF!,$AO49)&gt;0,"OK","ONBEKEND")),"ONZEKER")))))</f>
        <v/>
      </c>
      <c r="AQ49" t="str">
        <f t="shared" si="326"/>
        <v/>
      </c>
      <c r="AR49" t="str">
        <f t="shared" si="327"/>
        <v/>
      </c>
      <c r="AS49" t="str">
        <f>IF($AR49="","",IF(OR($CF49="",$CG49=""),"ONZEKER",IF(OR($CC49="",$CD49=""),"ONZEKER",IF(AND($CF49=$CC49+1,$CG49=$CD49),IF(OR(COUNTIF(#REF!,$B49)&gt;0,COUNTIF(#REF!,$B49)=0),"SKIP",IF(COUNTIFS(#REF!,$B49,#REF!,$AR49)&gt;0,"OK","ONBEKEND")),IF(AND($CF49=$CC49,$CG49=$CD49+1),IF(OR(COUNTIF(#REF!,$D49)&gt;0,COUNTIF(#REF!,$D49)=0),"SKIP",IF(COUNTIFS(#REF!,$D49,#REF!,$AR49)&gt;0,"OK","ONBEKEND")),"ONZEKER")))))</f>
        <v/>
      </c>
      <c r="AT49" t="str">
        <f t="shared" si="328"/>
        <v/>
      </c>
      <c r="AU49" t="str">
        <f t="shared" si="329"/>
        <v/>
      </c>
      <c r="AV49" t="str">
        <f t="shared" si="330"/>
        <v/>
      </c>
      <c r="AW49" t="str">
        <f t="shared" si="331"/>
        <v/>
      </c>
      <c r="AX49" t="str">
        <f t="shared" si="332"/>
        <v/>
      </c>
      <c r="AY49" t="str">
        <f t="shared" si="333"/>
        <v/>
      </c>
      <c r="AZ49" t="str">
        <f t="shared" si="334"/>
        <v/>
      </c>
      <c r="BA49" t="str">
        <f t="shared" si="335"/>
        <v/>
      </c>
      <c r="BB49" t="str">
        <f t="shared" si="336"/>
        <v/>
      </c>
      <c r="BC49" t="str">
        <f t="shared" si="337"/>
        <v/>
      </c>
      <c r="BD49" t="str">
        <f t="shared" si="32"/>
        <v/>
      </c>
      <c r="BE49" t="str">
        <f t="shared" si="33"/>
        <v/>
      </c>
      <c r="BF49" t="str">
        <f t="shared" si="34"/>
        <v/>
      </c>
      <c r="BG49" t="str">
        <f t="shared" si="35"/>
        <v/>
      </c>
      <c r="BH49" t="str">
        <f t="shared" si="36"/>
        <v/>
      </c>
      <c r="BI49" t="str">
        <f t="shared" si="37"/>
        <v/>
      </c>
      <c r="BJ49" t="str">
        <f t="shared" si="38"/>
        <v/>
      </c>
      <c r="BK49" t="str">
        <f t="shared" si="39"/>
        <v/>
      </c>
      <c r="BL49" t="str">
        <f t="shared" si="40"/>
        <v/>
      </c>
      <c r="BM49" t="str">
        <f t="shared" si="41"/>
        <v/>
      </c>
      <c r="BN49" t="str">
        <f t="shared" si="42"/>
        <v/>
      </c>
      <c r="BO49" t="str">
        <f t="shared" si="43"/>
        <v/>
      </c>
      <c r="BP49" t="str">
        <f t="shared" si="44"/>
        <v/>
      </c>
      <c r="BQ49" t="str">
        <f t="shared" si="45"/>
        <v/>
      </c>
      <c r="BR49" t="str">
        <f t="shared" si="46"/>
        <v/>
      </c>
      <c r="BS49" t="str">
        <f t="shared" si="47"/>
        <v/>
      </c>
      <c r="BT49" t="str">
        <f t="shared" si="48"/>
        <v/>
      </c>
      <c r="BU49" t="str">
        <f t="shared" si="49"/>
        <v/>
      </c>
      <c r="BV49" t="str">
        <f t="shared" si="50"/>
        <v/>
      </c>
      <c r="BW49" t="str">
        <f t="shared" si="51"/>
        <v/>
      </c>
      <c r="BX49" t="str">
        <f t="shared" si="52"/>
        <v/>
      </c>
      <c r="BY49" t="str">
        <f t="shared" si="53"/>
        <v/>
      </c>
      <c r="BZ49" t="str">
        <f t="shared" si="54"/>
        <v/>
      </c>
      <c r="CA49" t="str">
        <f t="shared" si="55"/>
        <v/>
      </c>
      <c r="CB49" t="str">
        <f t="shared" si="56"/>
        <v/>
      </c>
      <c r="CC49" t="str">
        <f t="shared" si="57"/>
        <v/>
      </c>
      <c r="CD49" t="str">
        <f t="shared" si="58"/>
        <v/>
      </c>
      <c r="CE49" t="str">
        <f t="shared" si="59"/>
        <v/>
      </c>
      <c r="CF49" t="str">
        <f t="shared" si="60"/>
        <v/>
      </c>
      <c r="CG49" t="str">
        <f t="shared" si="61"/>
        <v/>
      </c>
      <c r="CH49" t="str">
        <f t="shared" si="338"/>
        <v/>
      </c>
      <c r="CI49" t="str">
        <f t="shared" si="339"/>
        <v/>
      </c>
      <c r="CJ49" t="str">
        <f>IF($CI49="","",IF(OR($DW49="",$DX49=""),"ONZEKER",IF(OR($CF49="",$CG49=""),"ONZEKER",IF(AND($DW49=$CF49+1,$DX49=$CG49),IF(OR(COUNTIF(#REF!,$B49)&gt;0,COUNTIF(#REF!,$B49)=0),"SKIP",IF(COUNTIFS(#REF!,$B49,#REF!,$CI49)&gt;0,"OK","ONBEKEND")),IF(AND($DW49=$CF49,$DX49=$CG49+1),IF(OR(COUNTIF(#REF!,$D49)&gt;0,COUNTIF(#REF!,$D49)=0),"SKIP",IF(COUNTIFS(#REF!,$D49,#REF!,$CI49)&gt;0,"OK","ONBEKEND")),"ONZEKER")))))</f>
        <v/>
      </c>
      <c r="CK49" t="str">
        <f t="shared" si="340"/>
        <v/>
      </c>
      <c r="CL49" t="str">
        <f t="shared" si="341"/>
        <v/>
      </c>
      <c r="CM49" t="str">
        <f>IF($CL49="","",IF(OR($DZ49="",$EA49=""),"ONZEKER",IF(OR($DW49="",$DX49=""),"ONZEKER",IF(AND($DZ49=$DW49+1,$EA49=$DX49),IF(OR(COUNTIF(#REF!,$B49)&gt;0,COUNTIF(#REF!,$B49)=0),"SKIP",IF(COUNTIFS(#REF!,$B49,#REF!,$CL49)&gt;0,"OK","ONBEKEND")),IF(AND($DZ49=$DW49,$EA49=$DX49+1),IF(OR(COUNTIF(#REF!,$D49)&gt;0,COUNTIF(#REF!,$D49)=0),"SKIP",IF(COUNTIFS(#REF!,$D49,#REF!,$CL49)&gt;0,"OK","ONBEKEND")),"ONZEKER")))))</f>
        <v/>
      </c>
      <c r="CN49" t="str">
        <f t="shared" si="342"/>
        <v/>
      </c>
      <c r="CO49" t="str">
        <f t="shared" si="343"/>
        <v/>
      </c>
      <c r="CP49" t="str">
        <f>IF($CO49="","",IF(OR($EC49="",$ED49=""),"ONZEKER",IF(OR($DZ49="",$EA49=""),"ONZEKER",IF(AND($EC49=$DZ49+1,$ED49=$EA49),IF(OR(COUNTIF(#REF!,$B49)&gt;0,COUNTIF(#REF!,$B49)=0),"SKIP",IF(COUNTIFS(#REF!,$B49,#REF!,$CO49)&gt;0,"OK","ONBEKEND")),IF(AND($EC49=$DZ49,$ED49=$EA49+1),IF(OR(COUNTIF(#REF!,$D49)&gt;0,COUNTIF(#REF!,$D49)=0),"SKIP",IF(COUNTIFS(#REF!,$D49,#REF!,$CO49)&gt;0,"OK","ONBEKEND")),"ONZEKER")))))</f>
        <v/>
      </c>
      <c r="CQ49" t="str">
        <f t="shared" si="344"/>
        <v/>
      </c>
      <c r="CR49" t="str">
        <f t="shared" si="345"/>
        <v/>
      </c>
      <c r="CS49" t="str">
        <f>IF($CR49="","",IF(OR($EF49="",$EG49=""),"ONZEKER",IF(OR($EC49="",$ED49=""),"ONZEKER",IF(AND($EF49=$EC49+1,$EG49=$ED49),IF(OR(COUNTIF(#REF!,$B49)&gt;0,COUNTIF(#REF!,$B49)=0),"SKIP",IF(COUNTIFS(#REF!,$B49,#REF!,$CR49)&gt;0,"OK","ONBEKEND")),IF(AND($EF49=$EC49,$EG49=$ED49+1),IF(OR(COUNTIF(#REF!,$D49)&gt;0,COUNTIF(#REF!,$D49)=0),"SKIP",IF(COUNTIFS(#REF!,$D49,#REF!,$CR49)&gt;0,"OK","ONBEKEND")),"ONZEKER")))))</f>
        <v/>
      </c>
      <c r="CT49" t="str">
        <f t="shared" si="346"/>
        <v/>
      </c>
      <c r="CU49" t="str">
        <f t="shared" si="347"/>
        <v/>
      </c>
      <c r="CV49" t="str">
        <f>IF($CU49="","",IF(OR($EI49="",$EJ49=""),"ONZEKER",IF(OR($EF49="",$EG49=""),"ONZEKER",IF(AND($EI49=$EF49+1,$EJ49=$EG49),IF(OR(COUNTIF(#REF!,$B49)&gt;0,COUNTIF(#REF!,$B49)=0),"SKIP",IF(COUNTIFS(#REF!,$B49,#REF!,$CU49)&gt;0,"OK","ONBEKEND")),IF(AND($EI49=$EF49,$EJ49=$EG49+1),IF(OR(COUNTIF(#REF!,$D49)&gt;0,COUNTIF(#REF!,$D49)=0),"SKIP",IF(COUNTIFS(#REF!,$D49,#REF!,$CU49)&gt;0,"OK","ONBEKEND")),"ONZEKER")))))</f>
        <v/>
      </c>
      <c r="CW49" t="str">
        <f t="shared" si="348"/>
        <v/>
      </c>
      <c r="CX49" t="str">
        <f t="shared" si="349"/>
        <v/>
      </c>
      <c r="CY49" t="str">
        <f>IF($CX49="","",IF(OR($EL49="",$EM49=""),"ONZEKER",IF(OR($EI49="",$EJ49=""),"ONZEKER",IF(AND($EL49=$EI49+1,$EM49=$EJ49),IF(OR(COUNTIF(#REF!,$B49)&gt;0,COUNTIF(#REF!,$B49)=0),"SKIP",IF(COUNTIFS(#REF!,$B49,#REF!,$CX49)&gt;0,"OK","ONBEKEND")),IF(AND($EL49=$EI49,$EM49=$EJ49+1),IF(OR(COUNTIF(#REF!,$D49)&gt;0,COUNTIF(#REF!,$D49)=0),"SKIP",IF(COUNTIFS(#REF!,$D49,#REF!,$CX49)&gt;0,"OK","ONBEKEND")),"ONZEKER")))))</f>
        <v/>
      </c>
      <c r="CZ49" t="str">
        <f t="shared" si="350"/>
        <v/>
      </c>
      <c r="DA49" t="str">
        <f t="shared" si="351"/>
        <v/>
      </c>
      <c r="DB49" t="str">
        <f>IF($DA49="","",IF(OR($EO49="",$EP49=""),"ONZEKER",IF(OR($EL49="",$EM49=""),"ONZEKER",IF(AND($EO49=$EL49+1,$EP49=$EM49),IF(OR(COUNTIF(#REF!,$B49)&gt;0,COUNTIF(#REF!,$B49)=0),"SKIP",IF(COUNTIFS(#REF!,$B49,#REF!,$DA49)&gt;0,"OK","ONBEKEND")),IF(AND($EO49=$EL49,$EP49=$EM49+1),IF(OR(COUNTIF(#REF!,$D49)&gt;0,COUNTIF(#REF!,$D49)=0),"SKIP",IF(COUNTIFS(#REF!,$D49,#REF!,$DA49)&gt;0,"OK","ONBEKEND")),"ONZEKER")))))</f>
        <v/>
      </c>
      <c r="DC49" t="str">
        <f t="shared" si="352"/>
        <v/>
      </c>
      <c r="DD49" t="str">
        <f t="shared" si="353"/>
        <v/>
      </c>
      <c r="DE49" t="str">
        <f>IF($DD49="","",IF(OR($ER49="",$ES49=""),"ONZEKER",IF(OR($EO49="",$EP49=""),"ONZEKER",IF(AND($ER49=$EO49+1,$ES49=$EP49),IF(OR(COUNTIF(#REF!,$B49)&gt;0,COUNTIF(#REF!,$B49)=0),"SKIP",IF(COUNTIFS(#REF!,$B49,#REF!,$DD49)&gt;0,"OK","ONBEKEND")),IF(AND($ER49=$EO49,$ES49=$EP49+1),IF(OR(COUNTIF(#REF!,$D49)&gt;0,COUNTIF(#REF!,$D49)=0),"SKIP",IF(COUNTIFS(#REF!,$D49,#REF!,$DD49)&gt;0,"OK","ONBEKEND")),"ONZEKER")))))</f>
        <v/>
      </c>
      <c r="DF49" t="str">
        <f t="shared" si="354"/>
        <v/>
      </c>
      <c r="DG49" t="str">
        <f t="shared" si="355"/>
        <v/>
      </c>
      <c r="DH49" t="str">
        <f>IF($DG49="","",IF(OR($EU49="",$EV49=""),"ONZEKER",IF(OR($ER49="",$ES49=""),"ONZEKER",IF(AND($EU49=$ER49+1,$EV49=$ES49),IF(OR(COUNTIF(#REF!,$B49)&gt;0,COUNTIF(#REF!,$B49)=0),"SKIP",IF(COUNTIFS(#REF!,$B49,#REF!,$DG49)&gt;0,"OK","ONBEKEND")),IF(AND($EU49=$ER49,$EV49=$ES49+1),IF(OR(COUNTIF(#REF!,$D49)&gt;0,COUNTIF(#REF!,$D49)=0),"SKIP",IF(COUNTIFS(#REF!,$D49,#REF!,$DG49)&gt;0,"OK","ONBEKEND")),"ONZEKER")))))</f>
        <v/>
      </c>
      <c r="DI49" t="str">
        <f t="shared" si="356"/>
        <v/>
      </c>
      <c r="DJ49" t="str">
        <f t="shared" si="357"/>
        <v/>
      </c>
      <c r="DK49" t="str">
        <f>IF($DJ49="","",IF(OR($EX49="",$EY49=""),"ONZEKER",IF(OR($EU49="",$EV49=""),"ONZEKER",IF(AND($EX49=$EU49+1,$EY49=$EV49),IF(OR(COUNTIF(#REF!,$B49)&gt;0,COUNTIF(#REF!,$B49)=0),"SKIP",IF(COUNTIFS(#REF!,$B49,#REF!,$DJ49)&gt;0,"OK","ONBEKEND")),IF(AND($EX49=$EU49,$EY49=$EV49+1),IF(OR(COUNTIF(#REF!,$D49)&gt;0,COUNTIF(#REF!,$D49)=0),"SKIP",IF(COUNTIFS(#REF!,$D49,#REF!,$DJ49)&gt;0,"OK","ONBEKEND")),"ONZEKER")))))</f>
        <v/>
      </c>
      <c r="DL49" t="str">
        <f t="shared" si="358"/>
        <v/>
      </c>
      <c r="DM49" t="str">
        <f t="shared" si="359"/>
        <v/>
      </c>
      <c r="DN49" t="str">
        <f t="shared" si="360"/>
        <v/>
      </c>
      <c r="DO49" t="str">
        <f t="shared" si="361"/>
        <v/>
      </c>
      <c r="DP49" t="str">
        <f t="shared" si="362"/>
        <v/>
      </c>
      <c r="DQ49" t="str">
        <f t="shared" si="363"/>
        <v/>
      </c>
      <c r="DR49" t="str">
        <f t="shared" si="364"/>
        <v/>
      </c>
      <c r="DS49" t="str">
        <f t="shared" si="365"/>
        <v/>
      </c>
      <c r="DT49" t="str">
        <f t="shared" si="366"/>
        <v/>
      </c>
      <c r="DU49" t="str">
        <f t="shared" si="367"/>
        <v/>
      </c>
      <c r="DV49" t="str">
        <f t="shared" si="368"/>
        <v/>
      </c>
      <c r="DW49" t="str">
        <f t="shared" si="369"/>
        <v/>
      </c>
      <c r="DX49" t="str">
        <f t="shared" si="370"/>
        <v/>
      </c>
      <c r="DY49" t="str">
        <f t="shared" si="371"/>
        <v/>
      </c>
      <c r="DZ49" t="str">
        <f t="shared" si="372"/>
        <v/>
      </c>
      <c r="EA49" t="str">
        <f t="shared" si="373"/>
        <v/>
      </c>
      <c r="EB49" t="str">
        <f t="shared" si="374"/>
        <v/>
      </c>
      <c r="EC49" t="str">
        <f t="shared" si="375"/>
        <v/>
      </c>
      <c r="ED49" t="str">
        <f t="shared" si="376"/>
        <v/>
      </c>
      <c r="EE49" t="str">
        <f t="shared" si="377"/>
        <v/>
      </c>
      <c r="EF49" t="str">
        <f t="shared" si="378"/>
        <v/>
      </c>
      <c r="EG49" t="str">
        <f t="shared" si="379"/>
        <v/>
      </c>
      <c r="EH49" t="str">
        <f t="shared" si="380"/>
        <v/>
      </c>
      <c r="EI49" t="str">
        <f t="shared" si="381"/>
        <v/>
      </c>
      <c r="EJ49" t="str">
        <f t="shared" si="382"/>
        <v/>
      </c>
      <c r="EK49" t="str">
        <f t="shared" si="383"/>
        <v/>
      </c>
      <c r="EL49" t="str">
        <f t="shared" si="384"/>
        <v/>
      </c>
      <c r="EM49" t="str">
        <f t="shared" si="385"/>
        <v/>
      </c>
      <c r="EN49" t="str">
        <f t="shared" si="386"/>
        <v/>
      </c>
      <c r="EO49" t="str">
        <f t="shared" si="387"/>
        <v/>
      </c>
      <c r="EP49" t="str">
        <f t="shared" si="388"/>
        <v/>
      </c>
      <c r="EQ49" t="str">
        <f t="shared" si="389"/>
        <v/>
      </c>
      <c r="ER49" t="str">
        <f t="shared" si="390"/>
        <v/>
      </c>
      <c r="ES49" t="str">
        <f t="shared" si="391"/>
        <v/>
      </c>
      <c r="ET49" t="str">
        <f t="shared" si="392"/>
        <v/>
      </c>
      <c r="EU49" t="str">
        <f t="shared" si="393"/>
        <v/>
      </c>
      <c r="EV49" t="str">
        <f t="shared" si="394"/>
        <v/>
      </c>
      <c r="EW49" t="str">
        <f t="shared" si="395"/>
        <v/>
      </c>
      <c r="EX49" t="str">
        <f t="shared" si="396"/>
        <v/>
      </c>
      <c r="EY49" t="str">
        <f t="shared" si="397"/>
        <v/>
      </c>
    </row>
    <row r="50" spans="1:155" ht="13.9" customHeight="1" x14ac:dyDescent="0.25">
      <c r="A50" s="7"/>
      <c r="B50" s="17"/>
      <c r="C50" s="8"/>
      <c r="D50" s="17"/>
      <c r="E50" s="8"/>
      <c r="F50" s="18">
        <v>0</v>
      </c>
      <c r="G50" s="7" t="s">
        <v>147</v>
      </c>
      <c r="H50" s="18">
        <v>0</v>
      </c>
      <c r="I50" s="19">
        <v>0</v>
      </c>
      <c r="J50" s="7" t="s">
        <v>147</v>
      </c>
      <c r="K50" s="19">
        <v>0</v>
      </c>
      <c r="L50" s="9"/>
      <c r="M50" s="3" t="str">
        <f>IF($L50="","",IF($L50="DOELPUNTENMAKERS","",IF(AND(COUNTIF(#REF!,$B50)=0,COUNTIF(#REF!,$D50)=0),"OK",IF($O50&gt;20,"LET OP: meer dan 20 items (controle onvolledig)",IF((COUNTIF($R50:$AS50,"ONZEKER")+COUNTIF($CJ50:$DK50,"ONZEKER"))&gt;0,"LET OP: scoreverloop onduidelijk (controle beperkt)",IF((IF($AT50&lt;&gt;"",$AT50&amp;", ","")&amp;IF($AU50&lt;&gt;"",$AU50&amp;", ","")&amp;IF($AV50&lt;&gt;"",$AV50&amp;", ","")&amp;IF($AW50&lt;&gt;"",$AW50&amp;", ","")&amp;IF($AX50&lt;&gt;"",$AX50&amp;", ","")&amp;IF($AY50&lt;&gt;"",$AY50&amp;", ","")&amp;IF($AZ50&lt;&gt;"",$AZ50&amp;", ","")&amp;IF($BA50&lt;&gt;"",$BA50&amp;", ","")&amp;IF($BB50&lt;&gt;"",$BB50&amp;", ","")&amp;IF($BC50&lt;&gt;"",$BC50&amp;", ","")&amp;IF($DL50&lt;&gt;"",$DL50&amp;", ","")&amp;IF($DM50&lt;&gt;"",$DM50&amp;", ","")&amp;IF($DN50&lt;&gt;"",$DN50&amp;", ","")&amp;IF($DO50&lt;&gt;"",$DO50&amp;", ","")&amp;IF($DP50&lt;&gt;"",$DP50&amp;", ","")&amp;IF($DQ50&lt;&gt;"",$DQ50&amp;", ","")&amp;IF($DR50&lt;&gt;"",$DR50&amp;", ","")&amp;IF($DS50&lt;&gt;"",$DS50&amp;", ","")&amp;IF($DT50&lt;&gt;"",$DT50&amp;", ","")&amp;IF($DU50&lt;&gt;"",$DU50&amp;", ",""))="","OK","Onbekend: "&amp;LEFT((IF($AT50&lt;&gt;"",$AT50&amp;", ","")&amp;IF($AU50&lt;&gt;"",$AU50&amp;", ","")&amp;IF($AV50&lt;&gt;"",$AV50&amp;", ","")&amp;IF($AW50&lt;&gt;"",$AW50&amp;", ","")&amp;IF($AX50&lt;&gt;"",$AX50&amp;", ","")&amp;IF($AY50&lt;&gt;"",$AY50&amp;", ","")&amp;IF($AZ50&lt;&gt;"",$AZ50&amp;", ","")&amp;IF($BA50&lt;&gt;"",$BA50&amp;", ","")&amp;IF($BB50&lt;&gt;"",$BB50&amp;", ","")&amp;IF($BC50&lt;&gt;"",$BC50&amp;", ","")&amp;IF($DL50&lt;&gt;"",$DL50&amp;", ","")&amp;IF($DM50&lt;&gt;"",$DM50&amp;", ","")&amp;IF($DN50&lt;&gt;"",$DN50&amp;", ","")&amp;IF($DO50&lt;&gt;"",$DO50&amp;", ","")&amp;IF($DP50&lt;&gt;"",$DP50&amp;", ","")&amp;IF($DQ50&lt;&gt;"",$DQ50&amp;", ","")&amp;IF($DR50&lt;&gt;"",$DR50&amp;", ","")&amp;IF($DS50&lt;&gt;"",$DS50&amp;", ","")&amp;IF($DT50&lt;&gt;"",$DT50&amp;", ","")&amp;IF($DU50&lt;&gt;"",$DU50&amp;", ","")),LEN((IF($AT50&lt;&gt;"",$AT50&amp;", ","")&amp;IF($AU50&lt;&gt;"",$AU50&amp;", ","")&amp;IF($AV50&lt;&gt;"",$AV50&amp;", ","")&amp;IF($AW50&lt;&gt;"",$AW50&amp;", ","")&amp;IF($AX50&lt;&gt;"",$AX50&amp;", ","")&amp;IF($AY50&lt;&gt;"",$AY50&amp;", ","")&amp;IF($AZ50&lt;&gt;"",$AZ50&amp;", ","")&amp;IF($BA50&lt;&gt;"",$BA50&amp;", ","")&amp;IF($BB50&lt;&gt;"",$BB50&amp;", ","")&amp;IF($BC50&lt;&gt;"",$BC50&amp;", ","")&amp;IF($DL50&lt;&gt;"",$DL50&amp;", ","")&amp;IF($DM50&lt;&gt;"",$DM50&amp;", ","")&amp;IF($DN50&lt;&gt;"",$DN50&amp;", ","")&amp;IF($DO50&lt;&gt;"",$DO50&amp;", ","")&amp;IF($DP50&lt;&gt;"",$DP50&amp;", ","")&amp;IF($DQ50&lt;&gt;"",$DQ50&amp;", ","")&amp;IF($DR50&lt;&gt;"",$DR50&amp;", ","")&amp;IF($DS50&lt;&gt;"",$DS50&amp;", ","")&amp;IF($DT50&lt;&gt;"",$DT50&amp;", ","")&amp;IF($DU50&lt;&gt;"",$DU50&amp;", ","")))-2)))))))</f>
        <v/>
      </c>
      <c r="N50" t="str">
        <f t="shared" si="306"/>
        <v/>
      </c>
      <c r="O50" t="str">
        <f t="shared" si="307"/>
        <v/>
      </c>
      <c r="P50" t="str">
        <f t="shared" si="308"/>
        <v/>
      </c>
      <c r="Q50" t="str">
        <f t="shared" si="309"/>
        <v/>
      </c>
      <c r="R50" t="str">
        <f>IF($Q50="","",IF(OR($BE50="",$BF50=""),"ONZEKER",IF(AND($BE50=0+1,$BF50=0),IF(OR(COUNTIF(#REF!,$B50)&gt;0,COUNTIF(#REF!,$B50)=0),"SKIP",IF(COUNTIFS(#REF!,$B50,#REF!,$Q50)&gt;0,"OK","ONBEKEND")),IF(AND($BE50=0,$BF50=0+1),IF(OR(COUNTIF(#REF!,$D50)&gt;0,COUNTIF(#REF!,$D50)=0),"SKIP",IF(COUNTIFS(#REF!,$D50,#REF!,$Q50)&gt;0,"OK","ONBEKEND")),"ONZEKER"))))</f>
        <v/>
      </c>
      <c r="S50" t="str">
        <f t="shared" si="310"/>
        <v/>
      </c>
      <c r="T50" t="str">
        <f t="shared" si="311"/>
        <v/>
      </c>
      <c r="U50" t="str">
        <f>IF($T50="","",IF(OR($BH50="",$BI50=""),"ONZEKER",IF(OR($BE50="",$BF50=""),"ONZEKER",IF(AND($BH50=$BE50+1,$BI50=$BF50),IF(OR(COUNTIF(#REF!,$B50)&gt;0,COUNTIF(#REF!,$B50)=0),"SKIP",IF(COUNTIFS(#REF!,$B50,#REF!,$T50)&gt;0,"OK","ONBEKEND")),IF(AND($BH50=$BE50,$BI50=$BF50+1),IF(OR(COUNTIF(#REF!,$D50)&gt;0,COUNTIF(#REF!,$D50)=0),"SKIP",IF(COUNTIFS(#REF!,$D50,#REF!,$T50)&gt;0,"OK","ONBEKEND")),"ONZEKER")))))</f>
        <v/>
      </c>
      <c r="V50" t="str">
        <f t="shared" si="312"/>
        <v/>
      </c>
      <c r="W50" t="str">
        <f t="shared" si="313"/>
        <v/>
      </c>
      <c r="X50" t="str">
        <f>IF($W50="","",IF(OR($BK50="",$BL50=""),"ONZEKER",IF(OR($BH50="",$BI50=""),"ONZEKER",IF(AND($BK50=$BH50+1,$BL50=$BI50),IF(OR(COUNTIF(#REF!,$B50)&gt;0,COUNTIF(#REF!,$B50)=0),"SKIP",IF(COUNTIFS(#REF!,$B50,#REF!,$W50)&gt;0,"OK","ONBEKEND")),IF(AND($BK50=$BH50,$BL50=$BI50+1),IF(OR(COUNTIF(#REF!,$D50)&gt;0,COUNTIF(#REF!,$D50)=0),"SKIP",IF(COUNTIFS(#REF!,$D50,#REF!,$W50)&gt;0,"OK","ONBEKEND")),"ONZEKER")))))</f>
        <v/>
      </c>
      <c r="Y50" t="str">
        <f t="shared" si="314"/>
        <v/>
      </c>
      <c r="Z50" t="str">
        <f t="shared" si="315"/>
        <v/>
      </c>
      <c r="AA50" t="str">
        <f>IF($Z50="","",IF(OR($BN50="",$BO50=""),"ONZEKER",IF(OR($BK50="",$BL50=""),"ONZEKER",IF(AND($BN50=$BK50+1,$BO50=$BL50),IF(OR(COUNTIF(#REF!,$B50)&gt;0,COUNTIF(#REF!,$B50)=0),"SKIP",IF(COUNTIFS(#REF!,$B50,#REF!,$Z50)&gt;0,"OK","ONBEKEND")),IF(AND($BN50=$BK50,$BO50=$BL50+1),IF(OR(COUNTIF(#REF!,$D50)&gt;0,COUNTIF(#REF!,$D50)=0),"SKIP",IF(COUNTIFS(#REF!,$D50,#REF!,$Z50)&gt;0,"OK","ONBEKEND")),"ONZEKER")))))</f>
        <v/>
      </c>
      <c r="AB50" t="str">
        <f t="shared" si="316"/>
        <v/>
      </c>
      <c r="AC50" t="str">
        <f t="shared" si="317"/>
        <v/>
      </c>
      <c r="AD50" t="str">
        <f>IF($AC50="","",IF(OR($BQ50="",$BR50=""),"ONZEKER",IF(OR($BN50="",$BO50=""),"ONZEKER",IF(AND($BQ50=$BN50+1,$BR50=$BO50),IF(OR(COUNTIF(#REF!,$B50)&gt;0,COUNTIF(#REF!,$B50)=0),"SKIP",IF(COUNTIFS(#REF!,$B50,#REF!,$AC50)&gt;0,"OK","ONBEKEND")),IF(AND($BQ50=$BN50,$BR50=$BO50+1),IF(OR(COUNTIF(#REF!,$D50)&gt;0,COUNTIF(#REF!,$D50)=0),"SKIP",IF(COUNTIFS(#REF!,$D50,#REF!,$AC50)&gt;0,"OK","ONBEKEND")),"ONZEKER")))))</f>
        <v/>
      </c>
      <c r="AE50" t="str">
        <f t="shared" si="318"/>
        <v/>
      </c>
      <c r="AF50" t="str">
        <f t="shared" si="319"/>
        <v/>
      </c>
      <c r="AG50" t="str">
        <f>IF($AF50="","",IF(OR($BT50="",$BU50=""),"ONZEKER",IF(OR($BQ50="",$BR50=""),"ONZEKER",IF(AND($BT50=$BQ50+1,$BU50=$BR50),IF(OR(COUNTIF(#REF!,$B50)&gt;0,COUNTIF(#REF!,$B50)=0),"SKIP",IF(COUNTIFS(#REF!,$B50,#REF!,$AF50)&gt;0,"OK","ONBEKEND")),IF(AND($BT50=$BQ50,$BU50=$BR50+1),IF(OR(COUNTIF(#REF!,$D50)&gt;0,COUNTIF(#REF!,$D50)=0),"SKIP",IF(COUNTIFS(#REF!,$D50,#REF!,$AF50)&gt;0,"OK","ONBEKEND")),"ONZEKER")))))</f>
        <v/>
      </c>
      <c r="AH50" t="str">
        <f t="shared" si="320"/>
        <v/>
      </c>
      <c r="AI50" t="str">
        <f t="shared" si="321"/>
        <v/>
      </c>
      <c r="AJ50" t="str">
        <f>IF($AI50="","",IF(OR($BW50="",$BX50=""),"ONZEKER",IF(OR($BT50="",$BU50=""),"ONZEKER",IF(AND($BW50=$BT50+1,$BX50=$BU50),IF(OR(COUNTIF(#REF!,$B50)&gt;0,COUNTIF(#REF!,$B50)=0),"SKIP",IF(COUNTIFS(#REF!,$B50,#REF!,$AI50)&gt;0,"OK","ONBEKEND")),IF(AND($BW50=$BT50,$BX50=$BU50+1),IF(OR(COUNTIF(#REF!,$D50)&gt;0,COUNTIF(#REF!,$D50)=0),"SKIP",IF(COUNTIFS(#REF!,$D50,#REF!,$AI50)&gt;0,"OK","ONBEKEND")),"ONZEKER")))))</f>
        <v/>
      </c>
      <c r="AK50" t="str">
        <f t="shared" si="322"/>
        <v/>
      </c>
      <c r="AL50" t="str">
        <f t="shared" si="323"/>
        <v/>
      </c>
      <c r="AM50" t="str">
        <f>IF($AL50="","",IF(OR($BZ50="",$CA50=""),"ONZEKER",IF(OR($BW50="",$BX50=""),"ONZEKER",IF(AND($BZ50=$BW50+1,$CA50=$BX50),IF(OR(COUNTIF(#REF!,$B50)&gt;0,COUNTIF(#REF!,$B50)=0),"SKIP",IF(COUNTIFS(#REF!,$B50,#REF!,$AL50)&gt;0,"OK","ONBEKEND")),IF(AND($BZ50=$BW50,$CA50=$BX50+1),IF(OR(COUNTIF(#REF!,$D50)&gt;0,COUNTIF(#REF!,$D50)=0),"SKIP",IF(COUNTIFS(#REF!,$D50,#REF!,$AL50)&gt;0,"OK","ONBEKEND")),"ONZEKER")))))</f>
        <v/>
      </c>
      <c r="AN50" t="str">
        <f t="shared" si="324"/>
        <v/>
      </c>
      <c r="AO50" t="str">
        <f t="shared" si="325"/>
        <v/>
      </c>
      <c r="AP50" t="str">
        <f>IF($AO50="","",IF(OR($CC50="",$CD50=""),"ONZEKER",IF(OR($BZ50="",$CA50=""),"ONZEKER",IF(AND($CC50=$BZ50+1,$CD50=$CA50),IF(OR(COUNTIF(#REF!,$B50)&gt;0,COUNTIF(#REF!,$B50)=0),"SKIP",IF(COUNTIFS(#REF!,$B50,#REF!,$AO50)&gt;0,"OK","ONBEKEND")),IF(AND($CC50=$BZ50,$CD50=$CA50+1),IF(OR(COUNTIF(#REF!,$D50)&gt;0,COUNTIF(#REF!,$D50)=0),"SKIP",IF(COUNTIFS(#REF!,$D50,#REF!,$AO50)&gt;0,"OK","ONBEKEND")),"ONZEKER")))))</f>
        <v/>
      </c>
      <c r="AQ50" t="str">
        <f t="shared" si="326"/>
        <v/>
      </c>
      <c r="AR50" t="str">
        <f t="shared" si="327"/>
        <v/>
      </c>
      <c r="AS50" t="str">
        <f>IF($AR50="","",IF(OR($CF50="",$CG50=""),"ONZEKER",IF(OR($CC50="",$CD50=""),"ONZEKER",IF(AND($CF50=$CC50+1,$CG50=$CD50),IF(OR(COUNTIF(#REF!,$B50)&gt;0,COUNTIF(#REF!,$B50)=0),"SKIP",IF(COUNTIFS(#REF!,$B50,#REF!,$AR50)&gt;0,"OK","ONBEKEND")),IF(AND($CF50=$CC50,$CG50=$CD50+1),IF(OR(COUNTIF(#REF!,$D50)&gt;0,COUNTIF(#REF!,$D50)=0),"SKIP",IF(COUNTIFS(#REF!,$D50,#REF!,$AR50)&gt;0,"OK","ONBEKEND")),"ONZEKER")))))</f>
        <v/>
      </c>
      <c r="AT50" t="str">
        <f t="shared" si="328"/>
        <v/>
      </c>
      <c r="AU50" t="str">
        <f t="shared" si="329"/>
        <v/>
      </c>
      <c r="AV50" t="str">
        <f t="shared" si="330"/>
        <v/>
      </c>
      <c r="AW50" t="str">
        <f t="shared" si="331"/>
        <v/>
      </c>
      <c r="AX50" t="str">
        <f t="shared" si="332"/>
        <v/>
      </c>
      <c r="AY50" t="str">
        <f t="shared" si="333"/>
        <v/>
      </c>
      <c r="AZ50" t="str">
        <f t="shared" si="334"/>
        <v/>
      </c>
      <c r="BA50" t="str">
        <f t="shared" si="335"/>
        <v/>
      </c>
      <c r="BB50" t="str">
        <f t="shared" si="336"/>
        <v/>
      </c>
      <c r="BC50" t="str">
        <f t="shared" si="337"/>
        <v/>
      </c>
      <c r="BD50" t="str">
        <f t="shared" si="32"/>
        <v/>
      </c>
      <c r="BE50" t="str">
        <f t="shared" si="33"/>
        <v/>
      </c>
      <c r="BF50" t="str">
        <f t="shared" si="34"/>
        <v/>
      </c>
      <c r="BG50" t="str">
        <f t="shared" si="35"/>
        <v/>
      </c>
      <c r="BH50" t="str">
        <f t="shared" si="36"/>
        <v/>
      </c>
      <c r="BI50" t="str">
        <f t="shared" si="37"/>
        <v/>
      </c>
      <c r="BJ50" t="str">
        <f t="shared" si="38"/>
        <v/>
      </c>
      <c r="BK50" t="str">
        <f t="shared" si="39"/>
        <v/>
      </c>
      <c r="BL50" t="str">
        <f t="shared" si="40"/>
        <v/>
      </c>
      <c r="BM50" t="str">
        <f t="shared" si="41"/>
        <v/>
      </c>
      <c r="BN50" t="str">
        <f t="shared" si="42"/>
        <v/>
      </c>
      <c r="BO50" t="str">
        <f t="shared" si="43"/>
        <v/>
      </c>
      <c r="BP50" t="str">
        <f t="shared" si="44"/>
        <v/>
      </c>
      <c r="BQ50" t="str">
        <f t="shared" si="45"/>
        <v/>
      </c>
      <c r="BR50" t="str">
        <f t="shared" si="46"/>
        <v/>
      </c>
      <c r="BS50" t="str">
        <f t="shared" si="47"/>
        <v/>
      </c>
      <c r="BT50" t="str">
        <f t="shared" si="48"/>
        <v/>
      </c>
      <c r="BU50" t="str">
        <f t="shared" si="49"/>
        <v/>
      </c>
      <c r="BV50" t="str">
        <f t="shared" si="50"/>
        <v/>
      </c>
      <c r="BW50" t="str">
        <f t="shared" si="51"/>
        <v/>
      </c>
      <c r="BX50" t="str">
        <f t="shared" si="52"/>
        <v/>
      </c>
      <c r="BY50" t="str">
        <f t="shared" si="53"/>
        <v/>
      </c>
      <c r="BZ50" t="str">
        <f t="shared" si="54"/>
        <v/>
      </c>
      <c r="CA50" t="str">
        <f t="shared" si="55"/>
        <v/>
      </c>
      <c r="CB50" t="str">
        <f t="shared" si="56"/>
        <v/>
      </c>
      <c r="CC50" t="str">
        <f t="shared" si="57"/>
        <v/>
      </c>
      <c r="CD50" t="str">
        <f t="shared" si="58"/>
        <v/>
      </c>
      <c r="CE50" t="str">
        <f t="shared" si="59"/>
        <v/>
      </c>
      <c r="CF50" t="str">
        <f t="shared" si="60"/>
        <v/>
      </c>
      <c r="CG50" t="str">
        <f t="shared" si="61"/>
        <v/>
      </c>
      <c r="CH50" t="str">
        <f t="shared" si="338"/>
        <v/>
      </c>
      <c r="CI50" t="str">
        <f t="shared" si="339"/>
        <v/>
      </c>
      <c r="CJ50" t="str">
        <f>IF($CI50="","",IF(OR($DW50="",$DX50=""),"ONZEKER",IF(OR($CF50="",$CG50=""),"ONZEKER",IF(AND($DW50=$CF50+1,$DX50=$CG50),IF(OR(COUNTIF(#REF!,$B50)&gt;0,COUNTIF(#REF!,$B50)=0),"SKIP",IF(COUNTIFS(#REF!,$B50,#REF!,$CI50)&gt;0,"OK","ONBEKEND")),IF(AND($DW50=$CF50,$DX50=$CG50+1),IF(OR(COUNTIF(#REF!,$D50)&gt;0,COUNTIF(#REF!,$D50)=0),"SKIP",IF(COUNTIFS(#REF!,$D50,#REF!,$CI50)&gt;0,"OK","ONBEKEND")),"ONZEKER")))))</f>
        <v/>
      </c>
      <c r="CK50" t="str">
        <f t="shared" si="340"/>
        <v/>
      </c>
      <c r="CL50" t="str">
        <f t="shared" si="341"/>
        <v/>
      </c>
      <c r="CM50" t="str">
        <f>IF($CL50="","",IF(OR($DZ50="",$EA50=""),"ONZEKER",IF(OR($DW50="",$DX50=""),"ONZEKER",IF(AND($DZ50=$DW50+1,$EA50=$DX50),IF(OR(COUNTIF(#REF!,$B50)&gt;0,COUNTIF(#REF!,$B50)=0),"SKIP",IF(COUNTIFS(#REF!,$B50,#REF!,$CL50)&gt;0,"OK","ONBEKEND")),IF(AND($DZ50=$DW50,$EA50=$DX50+1),IF(OR(COUNTIF(#REF!,$D50)&gt;0,COUNTIF(#REF!,$D50)=0),"SKIP",IF(COUNTIFS(#REF!,$D50,#REF!,$CL50)&gt;0,"OK","ONBEKEND")),"ONZEKER")))))</f>
        <v/>
      </c>
      <c r="CN50" t="str">
        <f t="shared" si="342"/>
        <v/>
      </c>
      <c r="CO50" t="str">
        <f t="shared" si="343"/>
        <v/>
      </c>
      <c r="CP50" t="str">
        <f>IF($CO50="","",IF(OR($EC50="",$ED50=""),"ONZEKER",IF(OR($DZ50="",$EA50=""),"ONZEKER",IF(AND($EC50=$DZ50+1,$ED50=$EA50),IF(OR(COUNTIF(#REF!,$B50)&gt;0,COUNTIF(#REF!,$B50)=0),"SKIP",IF(COUNTIFS(#REF!,$B50,#REF!,$CO50)&gt;0,"OK","ONBEKEND")),IF(AND($EC50=$DZ50,$ED50=$EA50+1),IF(OR(COUNTIF(#REF!,$D50)&gt;0,COUNTIF(#REF!,$D50)=0),"SKIP",IF(COUNTIFS(#REF!,$D50,#REF!,$CO50)&gt;0,"OK","ONBEKEND")),"ONZEKER")))))</f>
        <v/>
      </c>
      <c r="CQ50" t="str">
        <f t="shared" si="344"/>
        <v/>
      </c>
      <c r="CR50" t="str">
        <f t="shared" si="345"/>
        <v/>
      </c>
      <c r="CS50" t="str">
        <f>IF($CR50="","",IF(OR($EF50="",$EG50=""),"ONZEKER",IF(OR($EC50="",$ED50=""),"ONZEKER",IF(AND($EF50=$EC50+1,$EG50=$ED50),IF(OR(COUNTIF(#REF!,$B50)&gt;0,COUNTIF(#REF!,$B50)=0),"SKIP",IF(COUNTIFS(#REF!,$B50,#REF!,$CR50)&gt;0,"OK","ONBEKEND")),IF(AND($EF50=$EC50,$EG50=$ED50+1),IF(OR(COUNTIF(#REF!,$D50)&gt;0,COUNTIF(#REF!,$D50)=0),"SKIP",IF(COUNTIFS(#REF!,$D50,#REF!,$CR50)&gt;0,"OK","ONBEKEND")),"ONZEKER")))))</f>
        <v/>
      </c>
      <c r="CT50" t="str">
        <f t="shared" si="346"/>
        <v/>
      </c>
      <c r="CU50" t="str">
        <f t="shared" si="347"/>
        <v/>
      </c>
      <c r="CV50" t="str">
        <f>IF($CU50="","",IF(OR($EI50="",$EJ50=""),"ONZEKER",IF(OR($EF50="",$EG50=""),"ONZEKER",IF(AND($EI50=$EF50+1,$EJ50=$EG50),IF(OR(COUNTIF(#REF!,$B50)&gt;0,COUNTIF(#REF!,$B50)=0),"SKIP",IF(COUNTIFS(#REF!,$B50,#REF!,$CU50)&gt;0,"OK","ONBEKEND")),IF(AND($EI50=$EF50,$EJ50=$EG50+1),IF(OR(COUNTIF(#REF!,$D50)&gt;0,COUNTIF(#REF!,$D50)=0),"SKIP",IF(COUNTIFS(#REF!,$D50,#REF!,$CU50)&gt;0,"OK","ONBEKEND")),"ONZEKER")))))</f>
        <v/>
      </c>
      <c r="CW50" t="str">
        <f t="shared" si="348"/>
        <v/>
      </c>
      <c r="CX50" t="str">
        <f t="shared" si="349"/>
        <v/>
      </c>
      <c r="CY50" t="str">
        <f>IF($CX50="","",IF(OR($EL50="",$EM50=""),"ONZEKER",IF(OR($EI50="",$EJ50=""),"ONZEKER",IF(AND($EL50=$EI50+1,$EM50=$EJ50),IF(OR(COUNTIF(#REF!,$B50)&gt;0,COUNTIF(#REF!,$B50)=0),"SKIP",IF(COUNTIFS(#REF!,$B50,#REF!,$CX50)&gt;0,"OK","ONBEKEND")),IF(AND($EL50=$EI50,$EM50=$EJ50+1),IF(OR(COUNTIF(#REF!,$D50)&gt;0,COUNTIF(#REF!,$D50)=0),"SKIP",IF(COUNTIFS(#REF!,$D50,#REF!,$CX50)&gt;0,"OK","ONBEKEND")),"ONZEKER")))))</f>
        <v/>
      </c>
      <c r="CZ50" t="str">
        <f t="shared" si="350"/>
        <v/>
      </c>
      <c r="DA50" t="str">
        <f t="shared" si="351"/>
        <v/>
      </c>
      <c r="DB50" t="str">
        <f>IF($DA50="","",IF(OR($EO50="",$EP50=""),"ONZEKER",IF(OR($EL50="",$EM50=""),"ONZEKER",IF(AND($EO50=$EL50+1,$EP50=$EM50),IF(OR(COUNTIF(#REF!,$B50)&gt;0,COUNTIF(#REF!,$B50)=0),"SKIP",IF(COUNTIFS(#REF!,$B50,#REF!,$DA50)&gt;0,"OK","ONBEKEND")),IF(AND($EO50=$EL50,$EP50=$EM50+1),IF(OR(COUNTIF(#REF!,$D50)&gt;0,COUNTIF(#REF!,$D50)=0),"SKIP",IF(COUNTIFS(#REF!,$D50,#REF!,$DA50)&gt;0,"OK","ONBEKEND")),"ONZEKER")))))</f>
        <v/>
      </c>
      <c r="DC50" t="str">
        <f t="shared" si="352"/>
        <v/>
      </c>
      <c r="DD50" t="str">
        <f t="shared" si="353"/>
        <v/>
      </c>
      <c r="DE50" t="str">
        <f>IF($DD50="","",IF(OR($ER50="",$ES50=""),"ONZEKER",IF(OR($EO50="",$EP50=""),"ONZEKER",IF(AND($ER50=$EO50+1,$ES50=$EP50),IF(OR(COUNTIF(#REF!,$B50)&gt;0,COUNTIF(#REF!,$B50)=0),"SKIP",IF(COUNTIFS(#REF!,$B50,#REF!,$DD50)&gt;0,"OK","ONBEKEND")),IF(AND($ER50=$EO50,$ES50=$EP50+1),IF(OR(COUNTIF(#REF!,$D50)&gt;0,COUNTIF(#REF!,$D50)=0),"SKIP",IF(COUNTIFS(#REF!,$D50,#REF!,$DD50)&gt;0,"OK","ONBEKEND")),"ONZEKER")))))</f>
        <v/>
      </c>
      <c r="DF50" t="str">
        <f t="shared" si="354"/>
        <v/>
      </c>
      <c r="DG50" t="str">
        <f t="shared" si="355"/>
        <v/>
      </c>
      <c r="DH50" t="str">
        <f>IF($DG50="","",IF(OR($EU50="",$EV50=""),"ONZEKER",IF(OR($ER50="",$ES50=""),"ONZEKER",IF(AND($EU50=$ER50+1,$EV50=$ES50),IF(OR(COUNTIF(#REF!,$B50)&gt;0,COUNTIF(#REF!,$B50)=0),"SKIP",IF(COUNTIFS(#REF!,$B50,#REF!,$DG50)&gt;0,"OK","ONBEKEND")),IF(AND($EU50=$ER50,$EV50=$ES50+1),IF(OR(COUNTIF(#REF!,$D50)&gt;0,COUNTIF(#REF!,$D50)=0),"SKIP",IF(COUNTIFS(#REF!,$D50,#REF!,$DG50)&gt;0,"OK","ONBEKEND")),"ONZEKER")))))</f>
        <v/>
      </c>
      <c r="DI50" t="str">
        <f t="shared" si="356"/>
        <v/>
      </c>
      <c r="DJ50" t="str">
        <f t="shared" si="357"/>
        <v/>
      </c>
      <c r="DK50" t="str">
        <f>IF($DJ50="","",IF(OR($EX50="",$EY50=""),"ONZEKER",IF(OR($EU50="",$EV50=""),"ONZEKER",IF(AND($EX50=$EU50+1,$EY50=$EV50),IF(OR(COUNTIF(#REF!,$B50)&gt;0,COUNTIF(#REF!,$B50)=0),"SKIP",IF(COUNTIFS(#REF!,$B50,#REF!,$DJ50)&gt;0,"OK","ONBEKEND")),IF(AND($EX50=$EU50,$EY50=$EV50+1),IF(OR(COUNTIF(#REF!,$D50)&gt;0,COUNTIF(#REF!,$D50)=0),"SKIP",IF(COUNTIFS(#REF!,$D50,#REF!,$DJ50)&gt;0,"OK","ONBEKEND")),"ONZEKER")))))</f>
        <v/>
      </c>
      <c r="DL50" t="str">
        <f t="shared" si="358"/>
        <v/>
      </c>
      <c r="DM50" t="str">
        <f t="shared" si="359"/>
        <v/>
      </c>
      <c r="DN50" t="str">
        <f t="shared" si="360"/>
        <v/>
      </c>
      <c r="DO50" t="str">
        <f t="shared" si="361"/>
        <v/>
      </c>
      <c r="DP50" t="str">
        <f t="shared" si="362"/>
        <v/>
      </c>
      <c r="DQ50" t="str">
        <f t="shared" si="363"/>
        <v/>
      </c>
      <c r="DR50" t="str">
        <f t="shared" si="364"/>
        <v/>
      </c>
      <c r="DS50" t="str">
        <f t="shared" si="365"/>
        <v/>
      </c>
      <c r="DT50" t="str">
        <f t="shared" si="366"/>
        <v/>
      </c>
      <c r="DU50" t="str">
        <f t="shared" si="367"/>
        <v/>
      </c>
      <c r="DV50" t="str">
        <f t="shared" si="368"/>
        <v/>
      </c>
      <c r="DW50" t="str">
        <f t="shared" si="369"/>
        <v/>
      </c>
      <c r="DX50" t="str">
        <f t="shared" si="370"/>
        <v/>
      </c>
      <c r="DY50" t="str">
        <f t="shared" si="371"/>
        <v/>
      </c>
      <c r="DZ50" t="str">
        <f t="shared" si="372"/>
        <v/>
      </c>
      <c r="EA50" t="str">
        <f t="shared" si="373"/>
        <v/>
      </c>
      <c r="EB50" t="str">
        <f t="shared" si="374"/>
        <v/>
      </c>
      <c r="EC50" t="str">
        <f t="shared" si="375"/>
        <v/>
      </c>
      <c r="ED50" t="str">
        <f t="shared" si="376"/>
        <v/>
      </c>
      <c r="EE50" t="str">
        <f t="shared" si="377"/>
        <v/>
      </c>
      <c r="EF50" t="str">
        <f t="shared" si="378"/>
        <v/>
      </c>
      <c r="EG50" t="str">
        <f t="shared" si="379"/>
        <v/>
      </c>
      <c r="EH50" t="str">
        <f t="shared" si="380"/>
        <v/>
      </c>
      <c r="EI50" t="str">
        <f t="shared" si="381"/>
        <v/>
      </c>
      <c r="EJ50" t="str">
        <f t="shared" si="382"/>
        <v/>
      </c>
      <c r="EK50" t="str">
        <f t="shared" si="383"/>
        <v/>
      </c>
      <c r="EL50" t="str">
        <f t="shared" si="384"/>
        <v/>
      </c>
      <c r="EM50" t="str">
        <f t="shared" si="385"/>
        <v/>
      </c>
      <c r="EN50" t="str">
        <f t="shared" si="386"/>
        <v/>
      </c>
      <c r="EO50" t="str">
        <f t="shared" si="387"/>
        <v/>
      </c>
      <c r="EP50" t="str">
        <f t="shared" si="388"/>
        <v/>
      </c>
      <c r="EQ50" t="str">
        <f t="shared" si="389"/>
        <v/>
      </c>
      <c r="ER50" t="str">
        <f t="shared" si="390"/>
        <v/>
      </c>
      <c r="ES50" t="str">
        <f t="shared" si="391"/>
        <v/>
      </c>
      <c r="ET50" t="str">
        <f t="shared" si="392"/>
        <v/>
      </c>
      <c r="EU50" t="str">
        <f t="shared" si="393"/>
        <v/>
      </c>
      <c r="EV50" t="str">
        <f t="shared" si="394"/>
        <v/>
      </c>
      <c r="EW50" t="str">
        <f t="shared" si="395"/>
        <v/>
      </c>
      <c r="EX50" t="str">
        <f t="shared" si="396"/>
        <v/>
      </c>
      <c r="EY50" t="str">
        <f t="shared" si="397"/>
        <v/>
      </c>
    </row>
    <row r="51" spans="1:155" ht="13.9" customHeight="1" x14ac:dyDescent="0.25">
      <c r="M51" s="3" t="str">
        <f>IF($L51="","",IF($L51="DOELPUNTENMAKERS","",IF(AND(COUNTIF(#REF!,$B51)=0,COUNTIF(#REF!,$D51)=0),"OK",IF($O51&gt;20,"LET OP: meer dan 20 items (controle onvolledig)",IF((COUNTIF($R51:$AS51,"ONZEKER")+COUNTIF($CJ51:$DK51,"ONZEKER"))&gt;0,"LET OP: scoreverloop onduidelijk (controle beperkt)",IF((IF($AT51&lt;&gt;"",$AT51&amp;", ","")&amp;IF($AU51&lt;&gt;"",$AU51&amp;", ","")&amp;IF($AV51&lt;&gt;"",$AV51&amp;", ","")&amp;IF($AW51&lt;&gt;"",$AW51&amp;", ","")&amp;IF($AX51&lt;&gt;"",$AX51&amp;", ","")&amp;IF($AY51&lt;&gt;"",$AY51&amp;", ","")&amp;IF($AZ51&lt;&gt;"",$AZ51&amp;", ","")&amp;IF($BA51&lt;&gt;"",$BA51&amp;", ","")&amp;IF($BB51&lt;&gt;"",$BB51&amp;", ","")&amp;IF($BC51&lt;&gt;"",$BC51&amp;", ","")&amp;IF($DL51&lt;&gt;"",$DL51&amp;", ","")&amp;IF($DM51&lt;&gt;"",$DM51&amp;", ","")&amp;IF($DN51&lt;&gt;"",$DN51&amp;", ","")&amp;IF($DO51&lt;&gt;"",$DO51&amp;", ","")&amp;IF($DP51&lt;&gt;"",$DP51&amp;", ","")&amp;IF($DQ51&lt;&gt;"",$DQ51&amp;", ","")&amp;IF($DR51&lt;&gt;"",$DR51&amp;", ","")&amp;IF($DS51&lt;&gt;"",$DS51&amp;", ","")&amp;IF($DT51&lt;&gt;"",$DT51&amp;", ","")&amp;IF($DU51&lt;&gt;"",$DU51&amp;", ",""))="","OK","Onbekend: "&amp;LEFT((IF($AT51&lt;&gt;"",$AT51&amp;", ","")&amp;IF($AU51&lt;&gt;"",$AU51&amp;", ","")&amp;IF($AV51&lt;&gt;"",$AV51&amp;", ","")&amp;IF($AW51&lt;&gt;"",$AW51&amp;", ","")&amp;IF($AX51&lt;&gt;"",$AX51&amp;", ","")&amp;IF($AY51&lt;&gt;"",$AY51&amp;", ","")&amp;IF($AZ51&lt;&gt;"",$AZ51&amp;", ","")&amp;IF($BA51&lt;&gt;"",$BA51&amp;", ","")&amp;IF($BB51&lt;&gt;"",$BB51&amp;", ","")&amp;IF($BC51&lt;&gt;"",$BC51&amp;", ","")&amp;IF($DL51&lt;&gt;"",$DL51&amp;", ","")&amp;IF($DM51&lt;&gt;"",$DM51&amp;", ","")&amp;IF($DN51&lt;&gt;"",$DN51&amp;", ","")&amp;IF($DO51&lt;&gt;"",$DO51&amp;", ","")&amp;IF($DP51&lt;&gt;"",$DP51&amp;", ","")&amp;IF($DQ51&lt;&gt;"",$DQ51&amp;", ","")&amp;IF($DR51&lt;&gt;"",$DR51&amp;", ","")&amp;IF($DS51&lt;&gt;"",$DS51&amp;", ","")&amp;IF($DT51&lt;&gt;"",$DT51&amp;", ","")&amp;IF($DU51&lt;&gt;"",$DU51&amp;", ","")),LEN((IF($AT51&lt;&gt;"",$AT51&amp;", ","")&amp;IF($AU51&lt;&gt;"",$AU51&amp;", ","")&amp;IF($AV51&lt;&gt;"",$AV51&amp;", ","")&amp;IF($AW51&lt;&gt;"",$AW51&amp;", ","")&amp;IF($AX51&lt;&gt;"",$AX51&amp;", ","")&amp;IF($AY51&lt;&gt;"",$AY51&amp;", ","")&amp;IF($AZ51&lt;&gt;"",$AZ51&amp;", ","")&amp;IF($BA51&lt;&gt;"",$BA51&amp;", ","")&amp;IF($BB51&lt;&gt;"",$BB51&amp;", ","")&amp;IF($BC51&lt;&gt;"",$BC51&amp;", ","")&amp;IF($DL51&lt;&gt;"",$DL51&amp;", ","")&amp;IF($DM51&lt;&gt;"",$DM51&amp;", ","")&amp;IF($DN51&lt;&gt;"",$DN51&amp;", ","")&amp;IF($DO51&lt;&gt;"",$DO51&amp;", ","")&amp;IF($DP51&lt;&gt;"",$DP51&amp;", ","")&amp;IF($DQ51&lt;&gt;"",$DQ51&amp;", ","")&amp;IF($DR51&lt;&gt;"",$DR51&amp;", ","")&amp;IF($DS51&lt;&gt;"",$DS51&amp;", ","")&amp;IF($DT51&lt;&gt;"",$DT51&amp;", ","")&amp;IF($DU51&lt;&gt;"",$DU51&amp;", ","")))-2)))))))</f>
        <v/>
      </c>
      <c r="N51" t="str">
        <f t="shared" si="306"/>
        <v/>
      </c>
      <c r="O51" t="str">
        <f t="shared" si="307"/>
        <v/>
      </c>
      <c r="P51" t="str">
        <f t="shared" si="308"/>
        <v/>
      </c>
      <c r="Q51" t="str">
        <f t="shared" si="309"/>
        <v/>
      </c>
      <c r="R51" t="str">
        <f>IF($Q51="","",IF(OR($BE51="",$BF51=""),"ONZEKER",IF(AND($BE51=0+1,$BF51=0),IF(OR(COUNTIF(#REF!,$B51)&gt;0,COUNTIF(#REF!,$B51)=0),"SKIP",IF(COUNTIFS(#REF!,$B51,#REF!,$Q51)&gt;0,"OK","ONBEKEND")),IF(AND($BE51=0,$BF51=0+1),IF(OR(COUNTIF(#REF!,$D51)&gt;0,COUNTIF(#REF!,$D51)=0),"SKIP",IF(COUNTIFS(#REF!,$D51,#REF!,$Q51)&gt;0,"OK","ONBEKEND")),"ONZEKER"))))</f>
        <v/>
      </c>
      <c r="S51" t="str">
        <f t="shared" si="310"/>
        <v/>
      </c>
      <c r="T51" t="str">
        <f t="shared" si="311"/>
        <v/>
      </c>
      <c r="U51" t="str">
        <f>IF($T51="","",IF(OR($BH51="",$BI51=""),"ONZEKER",IF(OR($BE51="",$BF51=""),"ONZEKER",IF(AND($BH51=$BE51+1,$BI51=$BF51),IF(OR(COUNTIF(#REF!,$B51)&gt;0,COUNTIF(#REF!,$B51)=0),"SKIP",IF(COUNTIFS(#REF!,$B51,#REF!,$T51)&gt;0,"OK","ONBEKEND")),IF(AND($BH51=$BE51,$BI51=$BF51+1),IF(OR(COUNTIF(#REF!,$D51)&gt;0,COUNTIF(#REF!,$D51)=0),"SKIP",IF(COUNTIFS(#REF!,$D51,#REF!,$T51)&gt;0,"OK","ONBEKEND")),"ONZEKER")))))</f>
        <v/>
      </c>
      <c r="V51" t="str">
        <f t="shared" si="312"/>
        <v/>
      </c>
      <c r="W51" t="str">
        <f t="shared" si="313"/>
        <v/>
      </c>
      <c r="X51" t="str">
        <f>IF($W51="","",IF(OR($BK51="",$BL51=""),"ONZEKER",IF(OR($BH51="",$BI51=""),"ONZEKER",IF(AND($BK51=$BH51+1,$BL51=$BI51),IF(OR(COUNTIF(#REF!,$B51)&gt;0,COUNTIF(#REF!,$B51)=0),"SKIP",IF(COUNTIFS(#REF!,$B51,#REF!,$W51)&gt;0,"OK","ONBEKEND")),IF(AND($BK51=$BH51,$BL51=$BI51+1),IF(OR(COUNTIF(#REF!,$D51)&gt;0,COUNTIF(#REF!,$D51)=0),"SKIP",IF(COUNTIFS(#REF!,$D51,#REF!,$W51)&gt;0,"OK","ONBEKEND")),"ONZEKER")))))</f>
        <v/>
      </c>
      <c r="Y51" t="str">
        <f t="shared" si="314"/>
        <v/>
      </c>
      <c r="Z51" t="str">
        <f t="shared" si="315"/>
        <v/>
      </c>
      <c r="AA51" t="str">
        <f>IF($Z51="","",IF(OR($BN51="",$BO51=""),"ONZEKER",IF(OR($BK51="",$BL51=""),"ONZEKER",IF(AND($BN51=$BK51+1,$BO51=$BL51),IF(OR(COUNTIF(#REF!,$B51)&gt;0,COUNTIF(#REF!,$B51)=0),"SKIP",IF(COUNTIFS(#REF!,$B51,#REF!,$Z51)&gt;0,"OK","ONBEKEND")),IF(AND($BN51=$BK51,$BO51=$BL51+1),IF(OR(COUNTIF(#REF!,$D51)&gt;0,COUNTIF(#REF!,$D51)=0),"SKIP",IF(COUNTIFS(#REF!,$D51,#REF!,$Z51)&gt;0,"OK","ONBEKEND")),"ONZEKER")))))</f>
        <v/>
      </c>
      <c r="AB51" t="str">
        <f t="shared" si="316"/>
        <v/>
      </c>
      <c r="AC51" t="str">
        <f t="shared" si="317"/>
        <v/>
      </c>
      <c r="AD51" t="str">
        <f>IF($AC51="","",IF(OR($BQ51="",$BR51=""),"ONZEKER",IF(OR($BN51="",$BO51=""),"ONZEKER",IF(AND($BQ51=$BN51+1,$BR51=$BO51),IF(OR(COUNTIF(#REF!,$B51)&gt;0,COUNTIF(#REF!,$B51)=0),"SKIP",IF(COUNTIFS(#REF!,$B51,#REF!,$AC51)&gt;0,"OK","ONBEKEND")),IF(AND($BQ51=$BN51,$BR51=$BO51+1),IF(OR(COUNTIF(#REF!,$D51)&gt;0,COUNTIF(#REF!,$D51)=0),"SKIP",IF(COUNTIFS(#REF!,$D51,#REF!,$AC51)&gt;0,"OK","ONBEKEND")),"ONZEKER")))))</f>
        <v/>
      </c>
      <c r="AE51" t="str">
        <f t="shared" si="318"/>
        <v/>
      </c>
      <c r="AF51" t="str">
        <f t="shared" si="319"/>
        <v/>
      </c>
      <c r="AG51" t="str">
        <f>IF($AF51="","",IF(OR($BT51="",$BU51=""),"ONZEKER",IF(OR($BQ51="",$BR51=""),"ONZEKER",IF(AND($BT51=$BQ51+1,$BU51=$BR51),IF(OR(COUNTIF(#REF!,$B51)&gt;0,COUNTIF(#REF!,$B51)=0),"SKIP",IF(COUNTIFS(#REF!,$B51,#REF!,$AF51)&gt;0,"OK","ONBEKEND")),IF(AND($BT51=$BQ51,$BU51=$BR51+1),IF(OR(COUNTIF(#REF!,$D51)&gt;0,COUNTIF(#REF!,$D51)=0),"SKIP",IF(COUNTIFS(#REF!,$D51,#REF!,$AF51)&gt;0,"OK","ONBEKEND")),"ONZEKER")))))</f>
        <v/>
      </c>
      <c r="AH51" t="str">
        <f t="shared" si="320"/>
        <v/>
      </c>
      <c r="AI51" t="str">
        <f t="shared" si="321"/>
        <v/>
      </c>
      <c r="AJ51" t="str">
        <f>IF($AI51="","",IF(OR($BW51="",$BX51=""),"ONZEKER",IF(OR($BT51="",$BU51=""),"ONZEKER",IF(AND($BW51=$BT51+1,$BX51=$BU51),IF(OR(COUNTIF(#REF!,$B51)&gt;0,COUNTIF(#REF!,$B51)=0),"SKIP",IF(COUNTIFS(#REF!,$B51,#REF!,$AI51)&gt;0,"OK","ONBEKEND")),IF(AND($BW51=$BT51,$BX51=$BU51+1),IF(OR(COUNTIF(#REF!,$D51)&gt;0,COUNTIF(#REF!,$D51)=0),"SKIP",IF(COUNTIFS(#REF!,$D51,#REF!,$AI51)&gt;0,"OK","ONBEKEND")),"ONZEKER")))))</f>
        <v/>
      </c>
      <c r="AK51" t="str">
        <f t="shared" si="322"/>
        <v/>
      </c>
      <c r="AL51" t="str">
        <f t="shared" si="323"/>
        <v/>
      </c>
      <c r="AM51" t="str">
        <f>IF($AL51="","",IF(OR($BZ51="",$CA51=""),"ONZEKER",IF(OR($BW51="",$BX51=""),"ONZEKER",IF(AND($BZ51=$BW51+1,$CA51=$BX51),IF(OR(COUNTIF(#REF!,$B51)&gt;0,COUNTIF(#REF!,$B51)=0),"SKIP",IF(COUNTIFS(#REF!,$B51,#REF!,$AL51)&gt;0,"OK","ONBEKEND")),IF(AND($BZ51=$BW51,$CA51=$BX51+1),IF(OR(COUNTIF(#REF!,$D51)&gt;0,COUNTIF(#REF!,$D51)=0),"SKIP",IF(COUNTIFS(#REF!,$D51,#REF!,$AL51)&gt;0,"OK","ONBEKEND")),"ONZEKER")))))</f>
        <v/>
      </c>
      <c r="AN51" t="str">
        <f t="shared" si="324"/>
        <v/>
      </c>
      <c r="AO51" t="str">
        <f t="shared" si="325"/>
        <v/>
      </c>
      <c r="AP51" t="str">
        <f>IF($AO51="","",IF(OR($CC51="",$CD51=""),"ONZEKER",IF(OR($BZ51="",$CA51=""),"ONZEKER",IF(AND($CC51=$BZ51+1,$CD51=$CA51),IF(OR(COUNTIF(#REF!,$B51)&gt;0,COUNTIF(#REF!,$B51)=0),"SKIP",IF(COUNTIFS(#REF!,$B51,#REF!,$AO51)&gt;0,"OK","ONBEKEND")),IF(AND($CC51=$BZ51,$CD51=$CA51+1),IF(OR(COUNTIF(#REF!,$D51)&gt;0,COUNTIF(#REF!,$D51)=0),"SKIP",IF(COUNTIFS(#REF!,$D51,#REF!,$AO51)&gt;0,"OK","ONBEKEND")),"ONZEKER")))))</f>
        <v/>
      </c>
      <c r="AQ51" t="str">
        <f t="shared" si="326"/>
        <v/>
      </c>
      <c r="AR51" t="str">
        <f t="shared" si="327"/>
        <v/>
      </c>
      <c r="AS51" t="str">
        <f>IF($AR51="","",IF(OR($CF51="",$CG51=""),"ONZEKER",IF(OR($CC51="",$CD51=""),"ONZEKER",IF(AND($CF51=$CC51+1,$CG51=$CD51),IF(OR(COUNTIF(#REF!,$B51)&gt;0,COUNTIF(#REF!,$B51)=0),"SKIP",IF(COUNTIFS(#REF!,$B51,#REF!,$AR51)&gt;0,"OK","ONBEKEND")),IF(AND($CF51=$CC51,$CG51=$CD51+1),IF(OR(COUNTIF(#REF!,$D51)&gt;0,COUNTIF(#REF!,$D51)=0),"SKIP",IF(COUNTIFS(#REF!,$D51,#REF!,$AR51)&gt;0,"OK","ONBEKEND")),"ONZEKER")))))</f>
        <v/>
      </c>
      <c r="AT51" t="str">
        <f t="shared" si="328"/>
        <v/>
      </c>
      <c r="AU51" t="str">
        <f t="shared" si="329"/>
        <v/>
      </c>
      <c r="AV51" t="str">
        <f t="shared" si="330"/>
        <v/>
      </c>
      <c r="AW51" t="str">
        <f t="shared" si="331"/>
        <v/>
      </c>
      <c r="AX51" t="str">
        <f t="shared" si="332"/>
        <v/>
      </c>
      <c r="AY51" t="str">
        <f t="shared" si="333"/>
        <v/>
      </c>
      <c r="AZ51" t="str">
        <f t="shared" si="334"/>
        <v/>
      </c>
      <c r="BA51" t="str">
        <f t="shared" si="335"/>
        <v/>
      </c>
      <c r="BB51" t="str">
        <f t="shared" si="336"/>
        <v/>
      </c>
      <c r="BC51" t="str">
        <f t="shared" si="337"/>
        <v/>
      </c>
      <c r="BD51" t="str">
        <f t="shared" si="32"/>
        <v/>
      </c>
      <c r="BE51" t="str">
        <f t="shared" si="33"/>
        <v/>
      </c>
      <c r="BF51" t="str">
        <f t="shared" si="34"/>
        <v/>
      </c>
      <c r="BG51" t="str">
        <f t="shared" si="35"/>
        <v/>
      </c>
      <c r="BH51" t="str">
        <f t="shared" si="36"/>
        <v/>
      </c>
      <c r="BI51" t="str">
        <f t="shared" si="37"/>
        <v/>
      </c>
      <c r="BJ51" t="str">
        <f t="shared" si="38"/>
        <v/>
      </c>
      <c r="BK51" t="str">
        <f t="shared" si="39"/>
        <v/>
      </c>
      <c r="BL51" t="str">
        <f t="shared" si="40"/>
        <v/>
      </c>
      <c r="BM51" t="str">
        <f t="shared" si="41"/>
        <v/>
      </c>
      <c r="BN51" t="str">
        <f t="shared" si="42"/>
        <v/>
      </c>
      <c r="BO51" t="str">
        <f t="shared" si="43"/>
        <v/>
      </c>
      <c r="BP51" t="str">
        <f t="shared" si="44"/>
        <v/>
      </c>
      <c r="BQ51" t="str">
        <f t="shared" si="45"/>
        <v/>
      </c>
      <c r="BR51" t="str">
        <f t="shared" si="46"/>
        <v/>
      </c>
      <c r="BS51" t="str">
        <f t="shared" si="47"/>
        <v/>
      </c>
      <c r="BT51" t="str">
        <f t="shared" si="48"/>
        <v/>
      </c>
      <c r="BU51" t="str">
        <f t="shared" si="49"/>
        <v/>
      </c>
      <c r="BV51" t="str">
        <f t="shared" si="50"/>
        <v/>
      </c>
      <c r="BW51" t="str">
        <f t="shared" si="51"/>
        <v/>
      </c>
      <c r="BX51" t="str">
        <f t="shared" si="52"/>
        <v/>
      </c>
      <c r="BY51" t="str">
        <f t="shared" si="53"/>
        <v/>
      </c>
      <c r="BZ51" t="str">
        <f t="shared" si="54"/>
        <v/>
      </c>
      <c r="CA51" t="str">
        <f t="shared" si="55"/>
        <v/>
      </c>
      <c r="CB51" t="str">
        <f t="shared" si="56"/>
        <v/>
      </c>
      <c r="CC51" t="str">
        <f t="shared" si="57"/>
        <v/>
      </c>
      <c r="CD51" t="str">
        <f t="shared" si="58"/>
        <v/>
      </c>
      <c r="CE51" t="str">
        <f t="shared" si="59"/>
        <v/>
      </c>
      <c r="CF51" t="str">
        <f t="shared" si="60"/>
        <v/>
      </c>
      <c r="CG51" t="str">
        <f t="shared" si="61"/>
        <v/>
      </c>
      <c r="CH51" t="str">
        <f t="shared" si="338"/>
        <v/>
      </c>
      <c r="CI51" t="str">
        <f t="shared" si="339"/>
        <v/>
      </c>
      <c r="CJ51" t="str">
        <f>IF($CI51="","",IF(OR($DW51="",$DX51=""),"ONZEKER",IF(OR($CF51="",$CG51=""),"ONZEKER",IF(AND($DW51=$CF51+1,$DX51=$CG51),IF(OR(COUNTIF(#REF!,$B51)&gt;0,COUNTIF(#REF!,$B51)=0),"SKIP",IF(COUNTIFS(#REF!,$B51,#REF!,$CI51)&gt;0,"OK","ONBEKEND")),IF(AND($DW51=$CF51,$DX51=$CG51+1),IF(OR(COUNTIF(#REF!,$D51)&gt;0,COUNTIF(#REF!,$D51)=0),"SKIP",IF(COUNTIFS(#REF!,$D51,#REF!,$CI51)&gt;0,"OK","ONBEKEND")),"ONZEKER")))))</f>
        <v/>
      </c>
      <c r="CK51" t="str">
        <f t="shared" si="340"/>
        <v/>
      </c>
      <c r="CL51" t="str">
        <f t="shared" si="341"/>
        <v/>
      </c>
      <c r="CM51" t="str">
        <f>IF($CL51="","",IF(OR($DZ51="",$EA51=""),"ONZEKER",IF(OR($DW51="",$DX51=""),"ONZEKER",IF(AND($DZ51=$DW51+1,$EA51=$DX51),IF(OR(COUNTIF(#REF!,$B51)&gt;0,COUNTIF(#REF!,$B51)=0),"SKIP",IF(COUNTIFS(#REF!,$B51,#REF!,$CL51)&gt;0,"OK","ONBEKEND")),IF(AND($DZ51=$DW51,$EA51=$DX51+1),IF(OR(COUNTIF(#REF!,$D51)&gt;0,COUNTIF(#REF!,$D51)=0),"SKIP",IF(COUNTIFS(#REF!,$D51,#REF!,$CL51)&gt;0,"OK","ONBEKEND")),"ONZEKER")))))</f>
        <v/>
      </c>
      <c r="CN51" t="str">
        <f t="shared" si="342"/>
        <v/>
      </c>
      <c r="CO51" t="str">
        <f t="shared" si="343"/>
        <v/>
      </c>
      <c r="CP51" t="str">
        <f>IF($CO51="","",IF(OR($EC51="",$ED51=""),"ONZEKER",IF(OR($DZ51="",$EA51=""),"ONZEKER",IF(AND($EC51=$DZ51+1,$ED51=$EA51),IF(OR(COUNTIF(#REF!,$B51)&gt;0,COUNTIF(#REF!,$B51)=0),"SKIP",IF(COUNTIFS(#REF!,$B51,#REF!,$CO51)&gt;0,"OK","ONBEKEND")),IF(AND($EC51=$DZ51,$ED51=$EA51+1),IF(OR(COUNTIF(#REF!,$D51)&gt;0,COUNTIF(#REF!,$D51)=0),"SKIP",IF(COUNTIFS(#REF!,$D51,#REF!,$CO51)&gt;0,"OK","ONBEKEND")),"ONZEKER")))))</f>
        <v/>
      </c>
      <c r="CQ51" t="str">
        <f t="shared" si="344"/>
        <v/>
      </c>
      <c r="CR51" t="str">
        <f t="shared" si="345"/>
        <v/>
      </c>
      <c r="CS51" t="str">
        <f>IF($CR51="","",IF(OR($EF51="",$EG51=""),"ONZEKER",IF(OR($EC51="",$ED51=""),"ONZEKER",IF(AND($EF51=$EC51+1,$EG51=$ED51),IF(OR(COUNTIF(#REF!,$B51)&gt;0,COUNTIF(#REF!,$B51)=0),"SKIP",IF(COUNTIFS(#REF!,$B51,#REF!,$CR51)&gt;0,"OK","ONBEKEND")),IF(AND($EF51=$EC51,$EG51=$ED51+1),IF(OR(COUNTIF(#REF!,$D51)&gt;0,COUNTIF(#REF!,$D51)=0),"SKIP",IF(COUNTIFS(#REF!,$D51,#REF!,$CR51)&gt;0,"OK","ONBEKEND")),"ONZEKER")))))</f>
        <v/>
      </c>
      <c r="CT51" t="str">
        <f t="shared" si="346"/>
        <v/>
      </c>
      <c r="CU51" t="str">
        <f t="shared" si="347"/>
        <v/>
      </c>
      <c r="CV51" t="str">
        <f>IF($CU51="","",IF(OR($EI51="",$EJ51=""),"ONZEKER",IF(OR($EF51="",$EG51=""),"ONZEKER",IF(AND($EI51=$EF51+1,$EJ51=$EG51),IF(OR(COUNTIF(#REF!,$B51)&gt;0,COUNTIF(#REF!,$B51)=0),"SKIP",IF(COUNTIFS(#REF!,$B51,#REF!,$CU51)&gt;0,"OK","ONBEKEND")),IF(AND($EI51=$EF51,$EJ51=$EG51+1),IF(OR(COUNTIF(#REF!,$D51)&gt;0,COUNTIF(#REF!,$D51)=0),"SKIP",IF(COUNTIFS(#REF!,$D51,#REF!,$CU51)&gt;0,"OK","ONBEKEND")),"ONZEKER")))))</f>
        <v/>
      </c>
      <c r="CW51" t="str">
        <f t="shared" si="348"/>
        <v/>
      </c>
      <c r="CX51" t="str">
        <f t="shared" si="349"/>
        <v/>
      </c>
      <c r="CY51" t="str">
        <f>IF($CX51="","",IF(OR($EL51="",$EM51=""),"ONZEKER",IF(OR($EI51="",$EJ51=""),"ONZEKER",IF(AND($EL51=$EI51+1,$EM51=$EJ51),IF(OR(COUNTIF(#REF!,$B51)&gt;0,COUNTIF(#REF!,$B51)=0),"SKIP",IF(COUNTIFS(#REF!,$B51,#REF!,$CX51)&gt;0,"OK","ONBEKEND")),IF(AND($EL51=$EI51,$EM51=$EJ51+1),IF(OR(COUNTIF(#REF!,$D51)&gt;0,COUNTIF(#REF!,$D51)=0),"SKIP",IF(COUNTIFS(#REF!,$D51,#REF!,$CX51)&gt;0,"OK","ONBEKEND")),"ONZEKER")))))</f>
        <v/>
      </c>
      <c r="CZ51" t="str">
        <f t="shared" si="350"/>
        <v/>
      </c>
      <c r="DA51" t="str">
        <f t="shared" si="351"/>
        <v/>
      </c>
      <c r="DB51" t="str">
        <f>IF($DA51="","",IF(OR($EO51="",$EP51=""),"ONZEKER",IF(OR($EL51="",$EM51=""),"ONZEKER",IF(AND($EO51=$EL51+1,$EP51=$EM51),IF(OR(COUNTIF(#REF!,$B51)&gt;0,COUNTIF(#REF!,$B51)=0),"SKIP",IF(COUNTIFS(#REF!,$B51,#REF!,$DA51)&gt;0,"OK","ONBEKEND")),IF(AND($EO51=$EL51,$EP51=$EM51+1),IF(OR(COUNTIF(#REF!,$D51)&gt;0,COUNTIF(#REF!,$D51)=0),"SKIP",IF(COUNTIFS(#REF!,$D51,#REF!,$DA51)&gt;0,"OK","ONBEKEND")),"ONZEKER")))))</f>
        <v/>
      </c>
      <c r="DC51" t="str">
        <f t="shared" si="352"/>
        <v/>
      </c>
      <c r="DD51" t="str">
        <f t="shared" si="353"/>
        <v/>
      </c>
      <c r="DE51" t="str">
        <f>IF($DD51="","",IF(OR($ER51="",$ES51=""),"ONZEKER",IF(OR($EO51="",$EP51=""),"ONZEKER",IF(AND($ER51=$EO51+1,$ES51=$EP51),IF(OR(COUNTIF(#REF!,$B51)&gt;0,COUNTIF(#REF!,$B51)=0),"SKIP",IF(COUNTIFS(#REF!,$B51,#REF!,$DD51)&gt;0,"OK","ONBEKEND")),IF(AND($ER51=$EO51,$ES51=$EP51+1),IF(OR(COUNTIF(#REF!,$D51)&gt;0,COUNTIF(#REF!,$D51)=0),"SKIP",IF(COUNTIFS(#REF!,$D51,#REF!,$DD51)&gt;0,"OK","ONBEKEND")),"ONZEKER")))))</f>
        <v/>
      </c>
      <c r="DF51" t="str">
        <f t="shared" si="354"/>
        <v/>
      </c>
      <c r="DG51" t="str">
        <f t="shared" si="355"/>
        <v/>
      </c>
      <c r="DH51" t="str">
        <f>IF($DG51="","",IF(OR($EU51="",$EV51=""),"ONZEKER",IF(OR($ER51="",$ES51=""),"ONZEKER",IF(AND($EU51=$ER51+1,$EV51=$ES51),IF(OR(COUNTIF(#REF!,$B51)&gt;0,COUNTIF(#REF!,$B51)=0),"SKIP",IF(COUNTIFS(#REF!,$B51,#REF!,$DG51)&gt;0,"OK","ONBEKEND")),IF(AND($EU51=$ER51,$EV51=$ES51+1),IF(OR(COUNTIF(#REF!,$D51)&gt;0,COUNTIF(#REF!,$D51)=0),"SKIP",IF(COUNTIFS(#REF!,$D51,#REF!,$DG51)&gt;0,"OK","ONBEKEND")),"ONZEKER")))))</f>
        <v/>
      </c>
      <c r="DI51" t="str">
        <f t="shared" si="356"/>
        <v/>
      </c>
      <c r="DJ51" t="str">
        <f t="shared" si="357"/>
        <v/>
      </c>
      <c r="DK51" t="str">
        <f>IF($DJ51="","",IF(OR($EX51="",$EY51=""),"ONZEKER",IF(OR($EU51="",$EV51=""),"ONZEKER",IF(AND($EX51=$EU51+1,$EY51=$EV51),IF(OR(COUNTIF(#REF!,$B51)&gt;0,COUNTIF(#REF!,$B51)=0),"SKIP",IF(COUNTIFS(#REF!,$B51,#REF!,$DJ51)&gt;0,"OK","ONBEKEND")),IF(AND($EX51=$EU51,$EY51=$EV51+1),IF(OR(COUNTIF(#REF!,$D51)&gt;0,COUNTIF(#REF!,$D51)=0),"SKIP",IF(COUNTIFS(#REF!,$D51,#REF!,$DJ51)&gt;0,"OK","ONBEKEND")),"ONZEKER")))))</f>
        <v/>
      </c>
      <c r="DL51" t="str">
        <f t="shared" si="358"/>
        <v/>
      </c>
      <c r="DM51" t="str">
        <f t="shared" si="359"/>
        <v/>
      </c>
      <c r="DN51" t="str">
        <f t="shared" si="360"/>
        <v/>
      </c>
      <c r="DO51" t="str">
        <f t="shared" si="361"/>
        <v/>
      </c>
      <c r="DP51" t="str">
        <f t="shared" si="362"/>
        <v/>
      </c>
      <c r="DQ51" t="str">
        <f t="shared" si="363"/>
        <v/>
      </c>
      <c r="DR51" t="str">
        <f t="shared" si="364"/>
        <v/>
      </c>
      <c r="DS51" t="str">
        <f t="shared" si="365"/>
        <v/>
      </c>
      <c r="DT51" t="str">
        <f t="shared" si="366"/>
        <v/>
      </c>
      <c r="DU51" t="str">
        <f t="shared" si="367"/>
        <v/>
      </c>
      <c r="DV51" t="str">
        <f t="shared" si="368"/>
        <v/>
      </c>
      <c r="DW51" t="str">
        <f t="shared" si="369"/>
        <v/>
      </c>
      <c r="DX51" t="str">
        <f t="shared" si="370"/>
        <v/>
      </c>
      <c r="DY51" t="str">
        <f t="shared" si="371"/>
        <v/>
      </c>
      <c r="DZ51" t="str">
        <f t="shared" si="372"/>
        <v/>
      </c>
      <c r="EA51" t="str">
        <f t="shared" si="373"/>
        <v/>
      </c>
      <c r="EB51" t="str">
        <f t="shared" si="374"/>
        <v/>
      </c>
      <c r="EC51" t="str">
        <f t="shared" si="375"/>
        <v/>
      </c>
      <c r="ED51" t="str">
        <f t="shared" si="376"/>
        <v/>
      </c>
      <c r="EE51" t="str">
        <f t="shared" si="377"/>
        <v/>
      </c>
      <c r="EF51" t="str">
        <f t="shared" si="378"/>
        <v/>
      </c>
      <c r="EG51" t="str">
        <f t="shared" si="379"/>
        <v/>
      </c>
      <c r="EH51" t="str">
        <f t="shared" si="380"/>
        <v/>
      </c>
      <c r="EI51" t="str">
        <f t="shared" si="381"/>
        <v/>
      </c>
      <c r="EJ51" t="str">
        <f t="shared" si="382"/>
        <v/>
      </c>
      <c r="EK51" t="str">
        <f t="shared" si="383"/>
        <v/>
      </c>
      <c r="EL51" t="str">
        <f t="shared" si="384"/>
        <v/>
      </c>
      <c r="EM51" t="str">
        <f t="shared" si="385"/>
        <v/>
      </c>
      <c r="EN51" t="str">
        <f t="shared" si="386"/>
        <v/>
      </c>
      <c r="EO51" t="str">
        <f t="shared" si="387"/>
        <v/>
      </c>
      <c r="EP51" t="str">
        <f t="shared" si="388"/>
        <v/>
      </c>
      <c r="EQ51" t="str">
        <f t="shared" si="389"/>
        <v/>
      </c>
      <c r="ER51" t="str">
        <f t="shared" si="390"/>
        <v/>
      </c>
      <c r="ES51" t="str">
        <f t="shared" si="391"/>
        <v/>
      </c>
      <c r="ET51" t="str">
        <f t="shared" si="392"/>
        <v/>
      </c>
      <c r="EU51" t="str">
        <f t="shared" si="393"/>
        <v/>
      </c>
      <c r="EV51" t="str">
        <f t="shared" si="394"/>
        <v/>
      </c>
      <c r="EW51" t="str">
        <f t="shared" si="395"/>
        <v/>
      </c>
      <c r="EX51" t="str">
        <f t="shared" si="396"/>
        <v/>
      </c>
      <c r="EY51" t="str">
        <f t="shared" si="397"/>
        <v/>
      </c>
    </row>
    <row r="52" spans="1:155" ht="13.9" customHeight="1" x14ac:dyDescent="0.25">
      <c r="M52" s="3" t="str">
        <f>IF($L52="","",IF($L52="DOELPUNTENMAKERS","",IF(AND(COUNTIF(#REF!,$B52)=0,COUNTIF(#REF!,$D52)=0),"OK",IF($O52&gt;20,"LET OP: meer dan 20 items (controle onvolledig)",IF((COUNTIF($R52:$AS52,"ONZEKER")+COUNTIF($CJ52:$DK52,"ONZEKER"))&gt;0,"LET OP: scoreverloop onduidelijk (controle beperkt)",IF((IF($AT52&lt;&gt;"",$AT52&amp;", ","")&amp;IF($AU52&lt;&gt;"",$AU52&amp;", ","")&amp;IF($AV52&lt;&gt;"",$AV52&amp;", ","")&amp;IF($AW52&lt;&gt;"",$AW52&amp;", ","")&amp;IF($AX52&lt;&gt;"",$AX52&amp;", ","")&amp;IF($AY52&lt;&gt;"",$AY52&amp;", ","")&amp;IF($AZ52&lt;&gt;"",$AZ52&amp;", ","")&amp;IF($BA52&lt;&gt;"",$BA52&amp;", ","")&amp;IF($BB52&lt;&gt;"",$BB52&amp;", ","")&amp;IF($BC52&lt;&gt;"",$BC52&amp;", ","")&amp;IF($DL52&lt;&gt;"",$DL52&amp;", ","")&amp;IF($DM52&lt;&gt;"",$DM52&amp;", ","")&amp;IF($DN52&lt;&gt;"",$DN52&amp;", ","")&amp;IF($DO52&lt;&gt;"",$DO52&amp;", ","")&amp;IF($DP52&lt;&gt;"",$DP52&amp;", ","")&amp;IF($DQ52&lt;&gt;"",$DQ52&amp;", ","")&amp;IF($DR52&lt;&gt;"",$DR52&amp;", ","")&amp;IF($DS52&lt;&gt;"",$DS52&amp;", ","")&amp;IF($DT52&lt;&gt;"",$DT52&amp;", ","")&amp;IF($DU52&lt;&gt;"",$DU52&amp;", ",""))="","OK","Onbekend: "&amp;LEFT((IF($AT52&lt;&gt;"",$AT52&amp;", ","")&amp;IF($AU52&lt;&gt;"",$AU52&amp;", ","")&amp;IF($AV52&lt;&gt;"",$AV52&amp;", ","")&amp;IF($AW52&lt;&gt;"",$AW52&amp;", ","")&amp;IF($AX52&lt;&gt;"",$AX52&amp;", ","")&amp;IF($AY52&lt;&gt;"",$AY52&amp;", ","")&amp;IF($AZ52&lt;&gt;"",$AZ52&amp;", ","")&amp;IF($BA52&lt;&gt;"",$BA52&amp;", ","")&amp;IF($BB52&lt;&gt;"",$BB52&amp;", ","")&amp;IF($BC52&lt;&gt;"",$BC52&amp;", ","")&amp;IF($DL52&lt;&gt;"",$DL52&amp;", ","")&amp;IF($DM52&lt;&gt;"",$DM52&amp;", ","")&amp;IF($DN52&lt;&gt;"",$DN52&amp;", ","")&amp;IF($DO52&lt;&gt;"",$DO52&amp;", ","")&amp;IF($DP52&lt;&gt;"",$DP52&amp;", ","")&amp;IF($DQ52&lt;&gt;"",$DQ52&amp;", ","")&amp;IF($DR52&lt;&gt;"",$DR52&amp;", ","")&amp;IF($DS52&lt;&gt;"",$DS52&amp;", ","")&amp;IF($DT52&lt;&gt;"",$DT52&amp;", ","")&amp;IF($DU52&lt;&gt;"",$DU52&amp;", ","")),LEN((IF($AT52&lt;&gt;"",$AT52&amp;", ","")&amp;IF($AU52&lt;&gt;"",$AU52&amp;", ","")&amp;IF($AV52&lt;&gt;"",$AV52&amp;", ","")&amp;IF($AW52&lt;&gt;"",$AW52&amp;", ","")&amp;IF($AX52&lt;&gt;"",$AX52&amp;", ","")&amp;IF($AY52&lt;&gt;"",$AY52&amp;", ","")&amp;IF($AZ52&lt;&gt;"",$AZ52&amp;", ","")&amp;IF($BA52&lt;&gt;"",$BA52&amp;", ","")&amp;IF($BB52&lt;&gt;"",$BB52&amp;", ","")&amp;IF($BC52&lt;&gt;"",$BC52&amp;", ","")&amp;IF($DL52&lt;&gt;"",$DL52&amp;", ","")&amp;IF($DM52&lt;&gt;"",$DM52&amp;", ","")&amp;IF($DN52&lt;&gt;"",$DN52&amp;", ","")&amp;IF($DO52&lt;&gt;"",$DO52&amp;", ","")&amp;IF($DP52&lt;&gt;"",$DP52&amp;", ","")&amp;IF($DQ52&lt;&gt;"",$DQ52&amp;", ","")&amp;IF($DR52&lt;&gt;"",$DR52&amp;", ","")&amp;IF($DS52&lt;&gt;"",$DS52&amp;", ","")&amp;IF($DT52&lt;&gt;"",$DT52&amp;", ","")&amp;IF($DU52&lt;&gt;"",$DU52&amp;", ","")))-2)))))))</f>
        <v/>
      </c>
      <c r="N52" t="str">
        <f t="shared" si="306"/>
        <v/>
      </c>
      <c r="O52" t="str">
        <f t="shared" si="307"/>
        <v/>
      </c>
      <c r="P52" t="str">
        <f t="shared" si="308"/>
        <v/>
      </c>
      <c r="Q52" t="str">
        <f t="shared" si="309"/>
        <v/>
      </c>
      <c r="R52" t="str">
        <f>IF($Q52="","",IF(OR($BE52="",$BF52=""),"ONZEKER",IF(AND($BE52=0+1,$BF52=0),IF(OR(COUNTIF(#REF!,$B52)&gt;0,COUNTIF(#REF!,$B52)=0),"SKIP",IF(COUNTIFS(#REF!,$B52,#REF!,$Q52)&gt;0,"OK","ONBEKEND")),IF(AND($BE52=0,$BF52=0+1),IF(OR(COUNTIF(#REF!,$D52)&gt;0,COUNTIF(#REF!,$D52)=0),"SKIP",IF(COUNTIFS(#REF!,$D52,#REF!,$Q52)&gt;0,"OK","ONBEKEND")),"ONZEKER"))))</f>
        <v/>
      </c>
      <c r="S52" t="str">
        <f t="shared" si="310"/>
        <v/>
      </c>
      <c r="T52" t="str">
        <f t="shared" si="311"/>
        <v/>
      </c>
      <c r="U52" t="str">
        <f>IF($T52="","",IF(OR($BH52="",$BI52=""),"ONZEKER",IF(OR($BE52="",$BF52=""),"ONZEKER",IF(AND($BH52=$BE52+1,$BI52=$BF52),IF(OR(COUNTIF(#REF!,$B52)&gt;0,COUNTIF(#REF!,$B52)=0),"SKIP",IF(COUNTIFS(#REF!,$B52,#REF!,$T52)&gt;0,"OK","ONBEKEND")),IF(AND($BH52=$BE52,$BI52=$BF52+1),IF(OR(COUNTIF(#REF!,$D52)&gt;0,COUNTIF(#REF!,$D52)=0),"SKIP",IF(COUNTIFS(#REF!,$D52,#REF!,$T52)&gt;0,"OK","ONBEKEND")),"ONZEKER")))))</f>
        <v/>
      </c>
      <c r="V52" t="str">
        <f t="shared" si="312"/>
        <v/>
      </c>
      <c r="W52" t="str">
        <f t="shared" si="313"/>
        <v/>
      </c>
      <c r="X52" t="str">
        <f>IF($W52="","",IF(OR($BK52="",$BL52=""),"ONZEKER",IF(OR($BH52="",$BI52=""),"ONZEKER",IF(AND($BK52=$BH52+1,$BL52=$BI52),IF(OR(COUNTIF(#REF!,$B52)&gt;0,COUNTIF(#REF!,$B52)=0),"SKIP",IF(COUNTIFS(#REF!,$B52,#REF!,$W52)&gt;0,"OK","ONBEKEND")),IF(AND($BK52=$BH52,$BL52=$BI52+1),IF(OR(COUNTIF(#REF!,$D52)&gt;0,COUNTIF(#REF!,$D52)=0),"SKIP",IF(COUNTIFS(#REF!,$D52,#REF!,$W52)&gt;0,"OK","ONBEKEND")),"ONZEKER")))))</f>
        <v/>
      </c>
      <c r="Y52" t="str">
        <f t="shared" si="314"/>
        <v/>
      </c>
      <c r="Z52" t="str">
        <f t="shared" si="315"/>
        <v/>
      </c>
      <c r="AA52" t="str">
        <f>IF($Z52="","",IF(OR($BN52="",$BO52=""),"ONZEKER",IF(OR($BK52="",$BL52=""),"ONZEKER",IF(AND($BN52=$BK52+1,$BO52=$BL52),IF(OR(COUNTIF(#REF!,$B52)&gt;0,COUNTIF(#REF!,$B52)=0),"SKIP",IF(COUNTIFS(#REF!,$B52,#REF!,$Z52)&gt;0,"OK","ONBEKEND")),IF(AND($BN52=$BK52,$BO52=$BL52+1),IF(OR(COUNTIF(#REF!,$D52)&gt;0,COUNTIF(#REF!,$D52)=0),"SKIP",IF(COUNTIFS(#REF!,$D52,#REF!,$Z52)&gt;0,"OK","ONBEKEND")),"ONZEKER")))))</f>
        <v/>
      </c>
      <c r="AB52" t="str">
        <f t="shared" si="316"/>
        <v/>
      </c>
      <c r="AC52" t="str">
        <f t="shared" si="317"/>
        <v/>
      </c>
      <c r="AD52" t="str">
        <f>IF($AC52="","",IF(OR($BQ52="",$BR52=""),"ONZEKER",IF(OR($BN52="",$BO52=""),"ONZEKER",IF(AND($BQ52=$BN52+1,$BR52=$BO52),IF(OR(COUNTIF(#REF!,$B52)&gt;0,COUNTIF(#REF!,$B52)=0),"SKIP",IF(COUNTIFS(#REF!,$B52,#REF!,$AC52)&gt;0,"OK","ONBEKEND")),IF(AND($BQ52=$BN52,$BR52=$BO52+1),IF(OR(COUNTIF(#REF!,$D52)&gt;0,COUNTIF(#REF!,$D52)=0),"SKIP",IF(COUNTIFS(#REF!,$D52,#REF!,$AC52)&gt;0,"OK","ONBEKEND")),"ONZEKER")))))</f>
        <v/>
      </c>
      <c r="AE52" t="str">
        <f t="shared" si="318"/>
        <v/>
      </c>
      <c r="AF52" t="str">
        <f t="shared" si="319"/>
        <v/>
      </c>
      <c r="AG52" t="str">
        <f>IF($AF52="","",IF(OR($BT52="",$BU52=""),"ONZEKER",IF(OR($BQ52="",$BR52=""),"ONZEKER",IF(AND($BT52=$BQ52+1,$BU52=$BR52),IF(OR(COUNTIF(#REF!,$B52)&gt;0,COUNTIF(#REF!,$B52)=0),"SKIP",IF(COUNTIFS(#REF!,$B52,#REF!,$AF52)&gt;0,"OK","ONBEKEND")),IF(AND($BT52=$BQ52,$BU52=$BR52+1),IF(OR(COUNTIF(#REF!,$D52)&gt;0,COUNTIF(#REF!,$D52)=0),"SKIP",IF(COUNTIFS(#REF!,$D52,#REF!,$AF52)&gt;0,"OK","ONBEKEND")),"ONZEKER")))))</f>
        <v/>
      </c>
      <c r="AH52" t="str">
        <f t="shared" si="320"/>
        <v/>
      </c>
      <c r="AI52" t="str">
        <f t="shared" si="321"/>
        <v/>
      </c>
      <c r="AJ52" t="str">
        <f>IF($AI52="","",IF(OR($BW52="",$BX52=""),"ONZEKER",IF(OR($BT52="",$BU52=""),"ONZEKER",IF(AND($BW52=$BT52+1,$BX52=$BU52),IF(OR(COUNTIF(#REF!,$B52)&gt;0,COUNTIF(#REF!,$B52)=0),"SKIP",IF(COUNTIFS(#REF!,$B52,#REF!,$AI52)&gt;0,"OK","ONBEKEND")),IF(AND($BW52=$BT52,$BX52=$BU52+1),IF(OR(COUNTIF(#REF!,$D52)&gt;0,COUNTIF(#REF!,$D52)=0),"SKIP",IF(COUNTIFS(#REF!,$D52,#REF!,$AI52)&gt;0,"OK","ONBEKEND")),"ONZEKER")))))</f>
        <v/>
      </c>
      <c r="AK52" t="str">
        <f t="shared" si="322"/>
        <v/>
      </c>
      <c r="AL52" t="str">
        <f t="shared" si="323"/>
        <v/>
      </c>
      <c r="AM52" t="str">
        <f>IF($AL52="","",IF(OR($BZ52="",$CA52=""),"ONZEKER",IF(OR($BW52="",$BX52=""),"ONZEKER",IF(AND($BZ52=$BW52+1,$CA52=$BX52),IF(OR(COUNTIF(#REF!,$B52)&gt;0,COUNTIF(#REF!,$B52)=0),"SKIP",IF(COUNTIFS(#REF!,$B52,#REF!,$AL52)&gt;0,"OK","ONBEKEND")),IF(AND($BZ52=$BW52,$CA52=$BX52+1),IF(OR(COUNTIF(#REF!,$D52)&gt;0,COUNTIF(#REF!,$D52)=0),"SKIP",IF(COUNTIFS(#REF!,$D52,#REF!,$AL52)&gt;0,"OK","ONBEKEND")),"ONZEKER")))))</f>
        <v/>
      </c>
      <c r="AN52" t="str">
        <f t="shared" si="324"/>
        <v/>
      </c>
      <c r="AO52" t="str">
        <f t="shared" si="325"/>
        <v/>
      </c>
      <c r="AP52" t="str">
        <f>IF($AO52="","",IF(OR($CC52="",$CD52=""),"ONZEKER",IF(OR($BZ52="",$CA52=""),"ONZEKER",IF(AND($CC52=$BZ52+1,$CD52=$CA52),IF(OR(COUNTIF(#REF!,$B52)&gt;0,COUNTIF(#REF!,$B52)=0),"SKIP",IF(COUNTIFS(#REF!,$B52,#REF!,$AO52)&gt;0,"OK","ONBEKEND")),IF(AND($CC52=$BZ52,$CD52=$CA52+1),IF(OR(COUNTIF(#REF!,$D52)&gt;0,COUNTIF(#REF!,$D52)=0),"SKIP",IF(COUNTIFS(#REF!,$D52,#REF!,$AO52)&gt;0,"OK","ONBEKEND")),"ONZEKER")))))</f>
        <v/>
      </c>
      <c r="AQ52" t="str">
        <f t="shared" si="326"/>
        <v/>
      </c>
      <c r="AR52" t="str">
        <f t="shared" si="327"/>
        <v/>
      </c>
      <c r="AS52" t="str">
        <f>IF($AR52="","",IF(OR($CF52="",$CG52=""),"ONZEKER",IF(OR($CC52="",$CD52=""),"ONZEKER",IF(AND($CF52=$CC52+1,$CG52=$CD52),IF(OR(COUNTIF(#REF!,$B52)&gt;0,COUNTIF(#REF!,$B52)=0),"SKIP",IF(COUNTIFS(#REF!,$B52,#REF!,$AR52)&gt;0,"OK","ONBEKEND")),IF(AND($CF52=$CC52,$CG52=$CD52+1),IF(OR(COUNTIF(#REF!,$D52)&gt;0,COUNTIF(#REF!,$D52)=0),"SKIP",IF(COUNTIFS(#REF!,$D52,#REF!,$AR52)&gt;0,"OK","ONBEKEND")),"ONZEKER")))))</f>
        <v/>
      </c>
      <c r="AT52" t="str">
        <f t="shared" si="328"/>
        <v/>
      </c>
      <c r="AU52" t="str">
        <f t="shared" si="329"/>
        <v/>
      </c>
      <c r="AV52" t="str">
        <f t="shared" si="330"/>
        <v/>
      </c>
      <c r="AW52" t="str">
        <f t="shared" si="331"/>
        <v/>
      </c>
      <c r="AX52" t="str">
        <f t="shared" si="332"/>
        <v/>
      </c>
      <c r="AY52" t="str">
        <f t="shared" si="333"/>
        <v/>
      </c>
      <c r="AZ52" t="str">
        <f t="shared" si="334"/>
        <v/>
      </c>
      <c r="BA52" t="str">
        <f t="shared" si="335"/>
        <v/>
      </c>
      <c r="BB52" t="str">
        <f t="shared" si="336"/>
        <v/>
      </c>
      <c r="BC52" t="str">
        <f t="shared" si="337"/>
        <v/>
      </c>
      <c r="BD52" t="str">
        <f t="shared" si="32"/>
        <v/>
      </c>
      <c r="BE52" t="str">
        <f t="shared" si="33"/>
        <v/>
      </c>
      <c r="BF52" t="str">
        <f t="shared" si="34"/>
        <v/>
      </c>
      <c r="BG52" t="str">
        <f t="shared" si="35"/>
        <v/>
      </c>
      <c r="BH52" t="str">
        <f t="shared" si="36"/>
        <v/>
      </c>
      <c r="BI52" t="str">
        <f t="shared" si="37"/>
        <v/>
      </c>
      <c r="BJ52" t="str">
        <f t="shared" si="38"/>
        <v/>
      </c>
      <c r="BK52" t="str">
        <f t="shared" si="39"/>
        <v/>
      </c>
      <c r="BL52" t="str">
        <f t="shared" si="40"/>
        <v/>
      </c>
      <c r="BM52" t="str">
        <f t="shared" si="41"/>
        <v/>
      </c>
      <c r="BN52" t="str">
        <f t="shared" si="42"/>
        <v/>
      </c>
      <c r="BO52" t="str">
        <f t="shared" si="43"/>
        <v/>
      </c>
      <c r="BP52" t="str">
        <f t="shared" si="44"/>
        <v/>
      </c>
      <c r="BQ52" t="str">
        <f t="shared" si="45"/>
        <v/>
      </c>
      <c r="BR52" t="str">
        <f t="shared" si="46"/>
        <v/>
      </c>
      <c r="BS52" t="str">
        <f t="shared" si="47"/>
        <v/>
      </c>
      <c r="BT52" t="str">
        <f t="shared" si="48"/>
        <v/>
      </c>
      <c r="BU52" t="str">
        <f t="shared" si="49"/>
        <v/>
      </c>
      <c r="BV52" t="str">
        <f t="shared" si="50"/>
        <v/>
      </c>
      <c r="BW52" t="str">
        <f t="shared" si="51"/>
        <v/>
      </c>
      <c r="BX52" t="str">
        <f t="shared" si="52"/>
        <v/>
      </c>
      <c r="BY52" t="str">
        <f t="shared" si="53"/>
        <v/>
      </c>
      <c r="BZ52" t="str">
        <f t="shared" si="54"/>
        <v/>
      </c>
      <c r="CA52" t="str">
        <f t="shared" si="55"/>
        <v/>
      </c>
      <c r="CB52" t="str">
        <f t="shared" si="56"/>
        <v/>
      </c>
      <c r="CC52" t="str">
        <f t="shared" si="57"/>
        <v/>
      </c>
      <c r="CD52" t="str">
        <f t="shared" si="58"/>
        <v/>
      </c>
      <c r="CE52" t="str">
        <f t="shared" si="59"/>
        <v/>
      </c>
      <c r="CF52" t="str">
        <f t="shared" si="60"/>
        <v/>
      </c>
      <c r="CG52" t="str">
        <f t="shared" si="61"/>
        <v/>
      </c>
      <c r="CH52" t="str">
        <f t="shared" si="338"/>
        <v/>
      </c>
      <c r="CI52" t="str">
        <f t="shared" si="339"/>
        <v/>
      </c>
      <c r="CJ52" t="str">
        <f>IF($CI52="","",IF(OR($DW52="",$DX52=""),"ONZEKER",IF(OR($CF52="",$CG52=""),"ONZEKER",IF(AND($DW52=$CF52+1,$DX52=$CG52),IF(OR(COUNTIF(#REF!,$B52)&gt;0,COUNTIF(#REF!,$B52)=0),"SKIP",IF(COUNTIFS(#REF!,$B52,#REF!,$CI52)&gt;0,"OK","ONBEKEND")),IF(AND($DW52=$CF52,$DX52=$CG52+1),IF(OR(COUNTIF(#REF!,$D52)&gt;0,COUNTIF(#REF!,$D52)=0),"SKIP",IF(COUNTIFS(#REF!,$D52,#REF!,$CI52)&gt;0,"OK","ONBEKEND")),"ONZEKER")))))</f>
        <v/>
      </c>
      <c r="CK52" t="str">
        <f t="shared" si="340"/>
        <v/>
      </c>
      <c r="CL52" t="str">
        <f t="shared" si="341"/>
        <v/>
      </c>
      <c r="CM52" t="str">
        <f>IF($CL52="","",IF(OR($DZ52="",$EA52=""),"ONZEKER",IF(OR($DW52="",$DX52=""),"ONZEKER",IF(AND($DZ52=$DW52+1,$EA52=$DX52),IF(OR(COUNTIF(#REF!,$B52)&gt;0,COUNTIF(#REF!,$B52)=0),"SKIP",IF(COUNTIFS(#REF!,$B52,#REF!,$CL52)&gt;0,"OK","ONBEKEND")),IF(AND($DZ52=$DW52,$EA52=$DX52+1),IF(OR(COUNTIF(#REF!,$D52)&gt;0,COUNTIF(#REF!,$D52)=0),"SKIP",IF(COUNTIFS(#REF!,$D52,#REF!,$CL52)&gt;0,"OK","ONBEKEND")),"ONZEKER")))))</f>
        <v/>
      </c>
      <c r="CN52" t="str">
        <f t="shared" si="342"/>
        <v/>
      </c>
      <c r="CO52" t="str">
        <f t="shared" si="343"/>
        <v/>
      </c>
      <c r="CP52" t="str">
        <f>IF($CO52="","",IF(OR($EC52="",$ED52=""),"ONZEKER",IF(OR($DZ52="",$EA52=""),"ONZEKER",IF(AND($EC52=$DZ52+1,$ED52=$EA52),IF(OR(COUNTIF(#REF!,$B52)&gt;0,COUNTIF(#REF!,$B52)=0),"SKIP",IF(COUNTIFS(#REF!,$B52,#REF!,$CO52)&gt;0,"OK","ONBEKEND")),IF(AND($EC52=$DZ52,$ED52=$EA52+1),IF(OR(COUNTIF(#REF!,$D52)&gt;0,COUNTIF(#REF!,$D52)=0),"SKIP",IF(COUNTIFS(#REF!,$D52,#REF!,$CO52)&gt;0,"OK","ONBEKEND")),"ONZEKER")))))</f>
        <v/>
      </c>
      <c r="CQ52" t="str">
        <f t="shared" si="344"/>
        <v/>
      </c>
      <c r="CR52" t="str">
        <f t="shared" si="345"/>
        <v/>
      </c>
      <c r="CS52" t="str">
        <f>IF($CR52="","",IF(OR($EF52="",$EG52=""),"ONZEKER",IF(OR($EC52="",$ED52=""),"ONZEKER",IF(AND($EF52=$EC52+1,$EG52=$ED52),IF(OR(COUNTIF(#REF!,$B52)&gt;0,COUNTIF(#REF!,$B52)=0),"SKIP",IF(COUNTIFS(#REF!,$B52,#REF!,$CR52)&gt;0,"OK","ONBEKEND")),IF(AND($EF52=$EC52,$EG52=$ED52+1),IF(OR(COUNTIF(#REF!,$D52)&gt;0,COUNTIF(#REF!,$D52)=0),"SKIP",IF(COUNTIFS(#REF!,$D52,#REF!,$CR52)&gt;0,"OK","ONBEKEND")),"ONZEKER")))))</f>
        <v/>
      </c>
      <c r="CT52" t="str">
        <f t="shared" si="346"/>
        <v/>
      </c>
      <c r="CU52" t="str">
        <f t="shared" si="347"/>
        <v/>
      </c>
      <c r="CV52" t="str">
        <f>IF($CU52="","",IF(OR($EI52="",$EJ52=""),"ONZEKER",IF(OR($EF52="",$EG52=""),"ONZEKER",IF(AND($EI52=$EF52+1,$EJ52=$EG52),IF(OR(COUNTIF(#REF!,$B52)&gt;0,COUNTIF(#REF!,$B52)=0),"SKIP",IF(COUNTIFS(#REF!,$B52,#REF!,$CU52)&gt;0,"OK","ONBEKEND")),IF(AND($EI52=$EF52,$EJ52=$EG52+1),IF(OR(COUNTIF(#REF!,$D52)&gt;0,COUNTIF(#REF!,$D52)=0),"SKIP",IF(COUNTIFS(#REF!,$D52,#REF!,$CU52)&gt;0,"OK","ONBEKEND")),"ONZEKER")))))</f>
        <v/>
      </c>
      <c r="CW52" t="str">
        <f t="shared" si="348"/>
        <v/>
      </c>
      <c r="CX52" t="str">
        <f t="shared" si="349"/>
        <v/>
      </c>
      <c r="CY52" t="str">
        <f>IF($CX52="","",IF(OR($EL52="",$EM52=""),"ONZEKER",IF(OR($EI52="",$EJ52=""),"ONZEKER",IF(AND($EL52=$EI52+1,$EM52=$EJ52),IF(OR(COUNTIF(#REF!,$B52)&gt;0,COUNTIF(#REF!,$B52)=0),"SKIP",IF(COUNTIFS(#REF!,$B52,#REF!,$CX52)&gt;0,"OK","ONBEKEND")),IF(AND($EL52=$EI52,$EM52=$EJ52+1),IF(OR(COUNTIF(#REF!,$D52)&gt;0,COUNTIF(#REF!,$D52)=0),"SKIP",IF(COUNTIFS(#REF!,$D52,#REF!,$CX52)&gt;0,"OK","ONBEKEND")),"ONZEKER")))))</f>
        <v/>
      </c>
      <c r="CZ52" t="str">
        <f t="shared" si="350"/>
        <v/>
      </c>
      <c r="DA52" t="str">
        <f t="shared" si="351"/>
        <v/>
      </c>
      <c r="DB52" t="str">
        <f>IF($DA52="","",IF(OR($EO52="",$EP52=""),"ONZEKER",IF(OR($EL52="",$EM52=""),"ONZEKER",IF(AND($EO52=$EL52+1,$EP52=$EM52),IF(OR(COUNTIF(#REF!,$B52)&gt;0,COUNTIF(#REF!,$B52)=0),"SKIP",IF(COUNTIFS(#REF!,$B52,#REF!,$DA52)&gt;0,"OK","ONBEKEND")),IF(AND($EO52=$EL52,$EP52=$EM52+1),IF(OR(COUNTIF(#REF!,$D52)&gt;0,COUNTIF(#REF!,$D52)=0),"SKIP",IF(COUNTIFS(#REF!,$D52,#REF!,$DA52)&gt;0,"OK","ONBEKEND")),"ONZEKER")))))</f>
        <v/>
      </c>
      <c r="DC52" t="str">
        <f t="shared" si="352"/>
        <v/>
      </c>
      <c r="DD52" t="str">
        <f t="shared" si="353"/>
        <v/>
      </c>
      <c r="DE52" t="str">
        <f>IF($DD52="","",IF(OR($ER52="",$ES52=""),"ONZEKER",IF(OR($EO52="",$EP52=""),"ONZEKER",IF(AND($ER52=$EO52+1,$ES52=$EP52),IF(OR(COUNTIF(#REF!,$B52)&gt;0,COUNTIF(#REF!,$B52)=0),"SKIP",IF(COUNTIFS(#REF!,$B52,#REF!,$DD52)&gt;0,"OK","ONBEKEND")),IF(AND($ER52=$EO52,$ES52=$EP52+1),IF(OR(COUNTIF(#REF!,$D52)&gt;0,COUNTIF(#REF!,$D52)=0),"SKIP",IF(COUNTIFS(#REF!,$D52,#REF!,$DD52)&gt;0,"OK","ONBEKEND")),"ONZEKER")))))</f>
        <v/>
      </c>
      <c r="DF52" t="str">
        <f t="shared" si="354"/>
        <v/>
      </c>
      <c r="DG52" t="str">
        <f t="shared" si="355"/>
        <v/>
      </c>
      <c r="DH52" t="str">
        <f>IF($DG52="","",IF(OR($EU52="",$EV52=""),"ONZEKER",IF(OR($ER52="",$ES52=""),"ONZEKER",IF(AND($EU52=$ER52+1,$EV52=$ES52),IF(OR(COUNTIF(#REF!,$B52)&gt;0,COUNTIF(#REF!,$B52)=0),"SKIP",IF(COUNTIFS(#REF!,$B52,#REF!,$DG52)&gt;0,"OK","ONBEKEND")),IF(AND($EU52=$ER52,$EV52=$ES52+1),IF(OR(COUNTIF(#REF!,$D52)&gt;0,COUNTIF(#REF!,$D52)=0),"SKIP",IF(COUNTIFS(#REF!,$D52,#REF!,$DG52)&gt;0,"OK","ONBEKEND")),"ONZEKER")))))</f>
        <v/>
      </c>
      <c r="DI52" t="str">
        <f t="shared" si="356"/>
        <v/>
      </c>
      <c r="DJ52" t="str">
        <f t="shared" si="357"/>
        <v/>
      </c>
      <c r="DK52" t="str">
        <f>IF($DJ52="","",IF(OR($EX52="",$EY52=""),"ONZEKER",IF(OR($EU52="",$EV52=""),"ONZEKER",IF(AND($EX52=$EU52+1,$EY52=$EV52),IF(OR(COUNTIF(#REF!,$B52)&gt;0,COUNTIF(#REF!,$B52)=0),"SKIP",IF(COUNTIFS(#REF!,$B52,#REF!,$DJ52)&gt;0,"OK","ONBEKEND")),IF(AND($EX52=$EU52,$EY52=$EV52+1),IF(OR(COUNTIF(#REF!,$D52)&gt;0,COUNTIF(#REF!,$D52)=0),"SKIP",IF(COUNTIFS(#REF!,$D52,#REF!,$DJ52)&gt;0,"OK","ONBEKEND")),"ONZEKER")))))</f>
        <v/>
      </c>
      <c r="DL52" t="str">
        <f t="shared" si="358"/>
        <v/>
      </c>
      <c r="DM52" t="str">
        <f t="shared" si="359"/>
        <v/>
      </c>
      <c r="DN52" t="str">
        <f t="shared" si="360"/>
        <v/>
      </c>
      <c r="DO52" t="str">
        <f t="shared" si="361"/>
        <v/>
      </c>
      <c r="DP52" t="str">
        <f t="shared" si="362"/>
        <v/>
      </c>
      <c r="DQ52" t="str">
        <f t="shared" si="363"/>
        <v/>
      </c>
      <c r="DR52" t="str">
        <f t="shared" si="364"/>
        <v/>
      </c>
      <c r="DS52" t="str">
        <f t="shared" si="365"/>
        <v/>
      </c>
      <c r="DT52" t="str">
        <f t="shared" si="366"/>
        <v/>
      </c>
      <c r="DU52" t="str">
        <f t="shared" si="367"/>
        <v/>
      </c>
      <c r="DV52" t="str">
        <f t="shared" si="368"/>
        <v/>
      </c>
      <c r="DW52" t="str">
        <f t="shared" si="369"/>
        <v/>
      </c>
      <c r="DX52" t="str">
        <f t="shared" si="370"/>
        <v/>
      </c>
      <c r="DY52" t="str">
        <f t="shared" si="371"/>
        <v/>
      </c>
      <c r="DZ52" t="str">
        <f t="shared" si="372"/>
        <v/>
      </c>
      <c r="EA52" t="str">
        <f t="shared" si="373"/>
        <v/>
      </c>
      <c r="EB52" t="str">
        <f t="shared" si="374"/>
        <v/>
      </c>
      <c r="EC52" t="str">
        <f t="shared" si="375"/>
        <v/>
      </c>
      <c r="ED52" t="str">
        <f t="shared" si="376"/>
        <v/>
      </c>
      <c r="EE52" t="str">
        <f t="shared" si="377"/>
        <v/>
      </c>
      <c r="EF52" t="str">
        <f t="shared" si="378"/>
        <v/>
      </c>
      <c r="EG52" t="str">
        <f t="shared" si="379"/>
        <v/>
      </c>
      <c r="EH52" t="str">
        <f t="shared" si="380"/>
        <v/>
      </c>
      <c r="EI52" t="str">
        <f t="shared" si="381"/>
        <v/>
      </c>
      <c r="EJ52" t="str">
        <f t="shared" si="382"/>
        <v/>
      </c>
      <c r="EK52" t="str">
        <f t="shared" si="383"/>
        <v/>
      </c>
      <c r="EL52" t="str">
        <f t="shared" si="384"/>
        <v/>
      </c>
      <c r="EM52" t="str">
        <f t="shared" si="385"/>
        <v/>
      </c>
      <c r="EN52" t="str">
        <f t="shared" si="386"/>
        <v/>
      </c>
      <c r="EO52" t="str">
        <f t="shared" si="387"/>
        <v/>
      </c>
      <c r="EP52" t="str">
        <f t="shared" si="388"/>
        <v/>
      </c>
      <c r="EQ52" t="str">
        <f t="shared" si="389"/>
        <v/>
      </c>
      <c r="ER52" t="str">
        <f t="shared" si="390"/>
        <v/>
      </c>
      <c r="ES52" t="str">
        <f t="shared" si="391"/>
        <v/>
      </c>
      <c r="ET52" t="str">
        <f t="shared" si="392"/>
        <v/>
      </c>
      <c r="EU52" t="str">
        <f t="shared" si="393"/>
        <v/>
      </c>
      <c r="EV52" t="str">
        <f t="shared" si="394"/>
        <v/>
      </c>
      <c r="EW52" t="str">
        <f t="shared" si="395"/>
        <v/>
      </c>
      <c r="EX52" t="str">
        <f t="shared" si="396"/>
        <v/>
      </c>
      <c r="EY52" t="str">
        <f t="shared" si="397"/>
        <v/>
      </c>
    </row>
    <row r="53" spans="1:155" ht="13.9" customHeight="1" x14ac:dyDescent="0.25">
      <c r="A53" s="14"/>
      <c r="B53" s="15" t="s">
        <v>1526</v>
      </c>
      <c r="C53" s="16"/>
      <c r="D53" s="16"/>
      <c r="E53" s="16"/>
      <c r="F53" s="31" t="s">
        <v>1</v>
      </c>
      <c r="G53" s="33"/>
      <c r="H53" s="33"/>
      <c r="I53" s="32" t="s">
        <v>2</v>
      </c>
      <c r="J53" s="33"/>
      <c r="K53" s="33"/>
      <c r="L53" s="6" t="s">
        <v>3</v>
      </c>
      <c r="M53" s="2" t="s">
        <v>4</v>
      </c>
      <c r="N53" s="2" t="s">
        <v>5</v>
      </c>
      <c r="O53" s="2" t="s">
        <v>6</v>
      </c>
      <c r="P53" s="2" t="s">
        <v>7</v>
      </c>
      <c r="Q53" s="2" t="s">
        <v>8</v>
      </c>
      <c r="R53" s="2" t="str">
        <f>IF($Q53="","",IF(OR($BE53="",$BF53=""),"ONZEKER",IF(AND($BE53=0+1,$BF53=0),IF(OR(COUNTIF(#REF!,$B53)&gt;0,COUNTIF(#REF!,$B53)=0),"SKIP",IF(COUNTIFS(#REF!,$B53,#REF!,$Q53)&gt;0,"OK","ONBEKEND")),IF(AND($BE53=0,$BF53=0+1),IF(OR(COUNTIF(#REF!,$D53)&gt;0,COUNTIF(#REF!,$D53)=0),"SKIP",IF(COUNTIFS(#REF!,$D53,#REF!,$Q53)&gt;0,"OK","ONBEKEND")),"ONZEKER"))))</f>
        <v>ONZEKER</v>
      </c>
      <c r="S53" s="2" t="s">
        <v>10</v>
      </c>
      <c r="T53" s="2" t="s">
        <v>11</v>
      </c>
      <c r="U53" s="2" t="str">
        <f>IF($T53="","",IF(OR($BH53="",$BI53=""),"ONZEKER",IF(OR($BE53="",$BF53=""),"ONZEKER",IF(AND($BH53=$BE53+1,$BI53=$BF53),IF(OR(COUNTIF(#REF!,$B53)&gt;0,COUNTIF(#REF!,$B53)=0),"SKIP",IF(COUNTIFS(#REF!,$B53,#REF!,$T53)&gt;0,"OK","ONBEKEND")),IF(AND($BH53=$BE53,$BI53=$BF53+1),IF(OR(COUNTIF(#REF!,$D53)&gt;0,COUNTIF(#REF!,$D53)=0),"SKIP",IF(COUNTIFS(#REF!,$D53,#REF!,$T53)&gt;0,"OK","ONBEKEND")),"ONZEKER")))))</f>
        <v>ONZEKER</v>
      </c>
      <c r="V53" s="2" t="s">
        <v>13</v>
      </c>
      <c r="W53" s="2" t="s">
        <v>14</v>
      </c>
      <c r="X53" s="2" t="str">
        <f>IF($W53="","",IF(OR($BK53="",$BL53=""),"ONZEKER",IF(OR($BH53="",$BI53=""),"ONZEKER",IF(AND($BK53=$BH53+1,$BL53=$BI53),IF(OR(COUNTIF(#REF!,$B53)&gt;0,COUNTIF(#REF!,$B53)=0),"SKIP",IF(COUNTIFS(#REF!,$B53,#REF!,$W53)&gt;0,"OK","ONBEKEND")),IF(AND($BK53=$BH53,$BL53=$BI53+1),IF(OR(COUNTIF(#REF!,$D53)&gt;0,COUNTIF(#REF!,$D53)=0),"SKIP",IF(COUNTIFS(#REF!,$D53,#REF!,$W53)&gt;0,"OK","ONBEKEND")),"ONZEKER")))))</f>
        <v>ONZEKER</v>
      </c>
      <c r="Y53" s="2" t="s">
        <v>16</v>
      </c>
      <c r="Z53" s="2" t="s">
        <v>17</v>
      </c>
      <c r="AA53" s="2" t="str">
        <f>IF($Z53="","",IF(OR($BN53="",$BO53=""),"ONZEKER",IF(OR($BK53="",$BL53=""),"ONZEKER",IF(AND($BN53=$BK53+1,$BO53=$BL53),IF(OR(COUNTIF(#REF!,$B53)&gt;0,COUNTIF(#REF!,$B53)=0),"SKIP",IF(COUNTIFS(#REF!,$B53,#REF!,$Z53)&gt;0,"OK","ONBEKEND")),IF(AND($BN53=$BK53,$BO53=$BL53+1),IF(OR(COUNTIF(#REF!,$D53)&gt;0,COUNTIF(#REF!,$D53)=0),"SKIP",IF(COUNTIFS(#REF!,$D53,#REF!,$Z53)&gt;0,"OK","ONBEKEND")),"ONZEKER")))))</f>
        <v>ONZEKER</v>
      </c>
      <c r="AB53" s="2" t="s">
        <v>19</v>
      </c>
      <c r="AC53" s="2" t="s">
        <v>20</v>
      </c>
      <c r="AD53" s="2" t="str">
        <f>IF($AC53="","",IF(OR($BQ53="",$BR53=""),"ONZEKER",IF(OR($BN53="",$BO53=""),"ONZEKER",IF(AND($BQ53=$BN53+1,$BR53=$BO53),IF(OR(COUNTIF(#REF!,$B53)&gt;0,COUNTIF(#REF!,$B53)=0),"SKIP",IF(COUNTIFS(#REF!,$B53,#REF!,$AC53)&gt;0,"OK","ONBEKEND")),IF(AND($BQ53=$BN53,$BR53=$BO53+1),IF(OR(COUNTIF(#REF!,$D53)&gt;0,COUNTIF(#REF!,$D53)=0),"SKIP",IF(COUNTIFS(#REF!,$D53,#REF!,$AC53)&gt;0,"OK","ONBEKEND")),"ONZEKER")))))</f>
        <v>ONZEKER</v>
      </c>
      <c r="AE53" s="2" t="s">
        <v>22</v>
      </c>
      <c r="AF53" s="2" t="s">
        <v>23</v>
      </c>
      <c r="AG53" s="2" t="str">
        <f>IF($AF53="","",IF(OR($BT53="",$BU53=""),"ONZEKER",IF(OR($BQ53="",$BR53=""),"ONZEKER",IF(AND($BT53=$BQ53+1,$BU53=$BR53),IF(OR(COUNTIF(#REF!,$B53)&gt;0,COUNTIF(#REF!,$B53)=0),"SKIP",IF(COUNTIFS(#REF!,$B53,#REF!,$AF53)&gt;0,"OK","ONBEKEND")),IF(AND($BT53=$BQ53,$BU53=$BR53+1),IF(OR(COUNTIF(#REF!,$D53)&gt;0,COUNTIF(#REF!,$D53)=0),"SKIP",IF(COUNTIFS(#REF!,$D53,#REF!,$AF53)&gt;0,"OK","ONBEKEND")),"ONZEKER")))))</f>
        <v>ONZEKER</v>
      </c>
      <c r="AH53" s="2" t="s">
        <v>25</v>
      </c>
      <c r="AI53" s="2" t="s">
        <v>26</v>
      </c>
      <c r="AJ53" s="2" t="str">
        <f>IF($AI53="","",IF(OR($BW53="",$BX53=""),"ONZEKER",IF(OR($BT53="",$BU53=""),"ONZEKER",IF(AND($BW53=$BT53+1,$BX53=$BU53),IF(OR(COUNTIF(#REF!,$B53)&gt;0,COUNTIF(#REF!,$B53)=0),"SKIP",IF(COUNTIFS(#REF!,$B53,#REF!,$AI53)&gt;0,"OK","ONBEKEND")),IF(AND($BW53=$BT53,$BX53=$BU53+1),IF(OR(COUNTIF(#REF!,$D53)&gt;0,COUNTIF(#REF!,$D53)=0),"SKIP",IF(COUNTIFS(#REF!,$D53,#REF!,$AI53)&gt;0,"OK","ONBEKEND")),"ONZEKER")))))</f>
        <v>ONZEKER</v>
      </c>
      <c r="AK53" s="2" t="s">
        <v>28</v>
      </c>
      <c r="AL53" s="2" t="s">
        <v>29</v>
      </c>
      <c r="AM53" s="2" t="str">
        <f>IF($AL53="","",IF(OR($BZ53="",$CA53=""),"ONZEKER",IF(OR($BW53="",$BX53=""),"ONZEKER",IF(AND($BZ53=$BW53+1,$CA53=$BX53),IF(OR(COUNTIF(#REF!,$B53)&gt;0,COUNTIF(#REF!,$B53)=0),"SKIP",IF(COUNTIFS(#REF!,$B53,#REF!,$AL53)&gt;0,"OK","ONBEKEND")),IF(AND($BZ53=$BW53,$CA53=$BX53+1),IF(OR(COUNTIF(#REF!,$D53)&gt;0,COUNTIF(#REF!,$D53)=0),"SKIP",IF(COUNTIFS(#REF!,$D53,#REF!,$AL53)&gt;0,"OK","ONBEKEND")),"ONZEKER")))))</f>
        <v>ONZEKER</v>
      </c>
      <c r="AN53" s="2" t="s">
        <v>31</v>
      </c>
      <c r="AO53" s="2" t="s">
        <v>32</v>
      </c>
      <c r="AP53" s="2" t="str">
        <f>IF($AO53="","",IF(OR($CC53="",$CD53=""),"ONZEKER",IF(OR($BZ53="",$CA53=""),"ONZEKER",IF(AND($CC53=$BZ53+1,$CD53=$CA53),IF(OR(COUNTIF(#REF!,$B53)&gt;0,COUNTIF(#REF!,$B53)=0),"SKIP",IF(COUNTIFS(#REF!,$B53,#REF!,$AO53)&gt;0,"OK","ONBEKEND")),IF(AND($CC53=$BZ53,$CD53=$CA53+1),IF(OR(COUNTIF(#REF!,$D53)&gt;0,COUNTIF(#REF!,$D53)=0),"SKIP",IF(COUNTIFS(#REF!,$D53,#REF!,$AO53)&gt;0,"OK","ONBEKEND")),"ONZEKER")))))</f>
        <v>ONZEKER</v>
      </c>
      <c r="AQ53" s="2" t="s">
        <v>34</v>
      </c>
      <c r="AR53" s="2" t="s">
        <v>35</v>
      </c>
      <c r="AS53" s="2" t="str">
        <f>IF($AR53="","",IF(OR($CF53="",$CG53=""),"ONZEKER",IF(OR($CC53="",$CD53=""),"ONZEKER",IF(AND($CF53=$CC53+1,$CG53=$CD53),IF(OR(COUNTIF(#REF!,$B53)&gt;0,COUNTIF(#REF!,$B53)=0),"SKIP",IF(COUNTIFS(#REF!,$B53,#REF!,$AR53)&gt;0,"OK","ONBEKEND")),IF(AND($CF53=$CC53,$CG53=$CD53+1),IF(OR(COUNTIF(#REF!,$D53)&gt;0,COUNTIF(#REF!,$D53)=0),"SKIP",IF(COUNTIFS(#REF!,$D53,#REF!,$AR53)&gt;0,"OK","ONBEKEND")),"ONZEKER")))))</f>
        <v>ONZEKER</v>
      </c>
      <c r="AT53" s="2" t="s">
        <v>37</v>
      </c>
      <c r="AU53" s="2" t="s">
        <v>38</v>
      </c>
      <c r="AV53" s="2" t="s">
        <v>39</v>
      </c>
      <c r="AW53" s="2" t="s">
        <v>40</v>
      </c>
      <c r="AX53" s="2" t="s">
        <v>41</v>
      </c>
      <c r="AY53" s="2" t="s">
        <v>42</v>
      </c>
      <c r="AZ53" s="2" t="s">
        <v>43</v>
      </c>
      <c r="BA53" s="2" t="s">
        <v>44</v>
      </c>
      <c r="BB53" s="2" t="s">
        <v>45</v>
      </c>
      <c r="BC53" s="2" t="s">
        <v>46</v>
      </c>
      <c r="BD53" t="str">
        <f t="shared" si="32"/>
        <v/>
      </c>
      <c r="BE53" t="str">
        <f t="shared" si="33"/>
        <v/>
      </c>
      <c r="BF53" t="str">
        <f t="shared" si="34"/>
        <v/>
      </c>
      <c r="BG53" t="str">
        <f t="shared" si="35"/>
        <v/>
      </c>
      <c r="BH53" t="str">
        <f t="shared" si="36"/>
        <v/>
      </c>
      <c r="BI53" t="str">
        <f t="shared" si="37"/>
        <v/>
      </c>
      <c r="BJ53" t="str">
        <f t="shared" si="38"/>
        <v/>
      </c>
      <c r="BK53" t="str">
        <f t="shared" si="39"/>
        <v/>
      </c>
      <c r="BL53" t="str">
        <f t="shared" si="40"/>
        <v/>
      </c>
      <c r="BM53" t="str">
        <f t="shared" si="41"/>
        <v/>
      </c>
      <c r="BN53" t="str">
        <f t="shared" si="42"/>
        <v/>
      </c>
      <c r="BO53" t="str">
        <f t="shared" si="43"/>
        <v/>
      </c>
      <c r="BP53" t="str">
        <f t="shared" si="44"/>
        <v/>
      </c>
      <c r="BQ53" t="str">
        <f t="shared" si="45"/>
        <v/>
      </c>
      <c r="BR53" t="str">
        <f t="shared" si="46"/>
        <v/>
      </c>
      <c r="BS53" t="str">
        <f t="shared" si="47"/>
        <v/>
      </c>
      <c r="BT53" t="str">
        <f t="shared" si="48"/>
        <v/>
      </c>
      <c r="BU53" t="str">
        <f t="shared" si="49"/>
        <v/>
      </c>
      <c r="BV53" t="str">
        <f t="shared" si="50"/>
        <v/>
      </c>
      <c r="BW53" t="str">
        <f t="shared" si="51"/>
        <v/>
      </c>
      <c r="BX53" t="str">
        <f t="shared" si="52"/>
        <v/>
      </c>
      <c r="BY53" t="str">
        <f t="shared" si="53"/>
        <v/>
      </c>
      <c r="BZ53" t="str">
        <f t="shared" si="54"/>
        <v/>
      </c>
      <c r="CA53" t="str">
        <f t="shared" si="55"/>
        <v/>
      </c>
      <c r="CB53" t="str">
        <f t="shared" si="56"/>
        <v/>
      </c>
      <c r="CC53" t="str">
        <f t="shared" si="57"/>
        <v/>
      </c>
      <c r="CD53" t="str">
        <f t="shared" si="58"/>
        <v/>
      </c>
      <c r="CE53" t="str">
        <f t="shared" si="59"/>
        <v/>
      </c>
      <c r="CF53" t="str">
        <f t="shared" si="60"/>
        <v/>
      </c>
      <c r="CG53" t="str">
        <f t="shared" si="61"/>
        <v/>
      </c>
      <c r="CH53" s="2" t="s">
        <v>77</v>
      </c>
      <c r="CI53" s="2" t="s">
        <v>78</v>
      </c>
      <c r="CJ53" s="2" t="s">
        <v>79</v>
      </c>
      <c r="CK53" s="2" t="s">
        <v>80</v>
      </c>
      <c r="CL53" s="2" t="s">
        <v>81</v>
      </c>
      <c r="CM53" s="2" t="s">
        <v>82</v>
      </c>
      <c r="CN53" s="2" t="s">
        <v>83</v>
      </c>
      <c r="CO53" s="2" t="s">
        <v>84</v>
      </c>
      <c r="CP53" s="2" t="s">
        <v>85</v>
      </c>
      <c r="CQ53" s="2" t="s">
        <v>86</v>
      </c>
      <c r="CR53" s="2" t="s">
        <v>87</v>
      </c>
      <c r="CS53" s="2" t="s">
        <v>88</v>
      </c>
      <c r="CT53" s="2" t="s">
        <v>89</v>
      </c>
      <c r="CU53" s="2" t="s">
        <v>90</v>
      </c>
      <c r="CV53" s="2" t="s">
        <v>91</v>
      </c>
      <c r="CW53" s="2" t="s">
        <v>92</v>
      </c>
      <c r="CX53" s="2" t="s">
        <v>93</v>
      </c>
      <c r="CY53" s="2" t="s">
        <v>94</v>
      </c>
      <c r="CZ53" s="2" t="s">
        <v>95</v>
      </c>
      <c r="DA53" s="2" t="s">
        <v>96</v>
      </c>
      <c r="DB53" s="2" t="s">
        <v>97</v>
      </c>
      <c r="DC53" s="2" t="s">
        <v>98</v>
      </c>
      <c r="DD53" s="2" t="s">
        <v>99</v>
      </c>
      <c r="DE53" s="2" t="s">
        <v>100</v>
      </c>
      <c r="DF53" s="2" t="s">
        <v>101</v>
      </c>
      <c r="DG53" s="2" t="s">
        <v>102</v>
      </c>
      <c r="DH53" s="2" t="s">
        <v>103</v>
      </c>
      <c r="DI53" s="2" t="s">
        <v>104</v>
      </c>
      <c r="DJ53" s="2" t="s">
        <v>105</v>
      </c>
      <c r="DK53" s="2" t="s">
        <v>106</v>
      </c>
      <c r="DL53" s="2" t="s">
        <v>107</v>
      </c>
      <c r="DM53" s="2" t="s">
        <v>108</v>
      </c>
      <c r="DN53" s="2" t="s">
        <v>109</v>
      </c>
      <c r="DO53" s="2" t="s">
        <v>110</v>
      </c>
      <c r="DP53" s="2" t="s">
        <v>111</v>
      </c>
      <c r="DQ53" s="2" t="s">
        <v>112</v>
      </c>
      <c r="DR53" s="2" t="s">
        <v>113</v>
      </c>
      <c r="DS53" s="2" t="s">
        <v>114</v>
      </c>
      <c r="DT53" s="2" t="s">
        <v>115</v>
      </c>
      <c r="DU53" s="2" t="s">
        <v>116</v>
      </c>
      <c r="DV53" s="2" t="s">
        <v>117</v>
      </c>
      <c r="DW53" s="2" t="s">
        <v>118</v>
      </c>
      <c r="DX53" s="2" t="s">
        <v>119</v>
      </c>
      <c r="DY53" s="2" t="s">
        <v>120</v>
      </c>
      <c r="DZ53" s="2" t="s">
        <v>121</v>
      </c>
      <c r="EA53" s="2" t="s">
        <v>122</v>
      </c>
      <c r="EB53" s="2" t="s">
        <v>123</v>
      </c>
      <c r="EC53" s="2" t="s">
        <v>124</v>
      </c>
      <c r="ED53" s="2" t="s">
        <v>125</v>
      </c>
      <c r="EE53" s="2" t="s">
        <v>126</v>
      </c>
      <c r="EF53" s="2" t="s">
        <v>127</v>
      </c>
      <c r="EG53" s="2" t="s">
        <v>128</v>
      </c>
      <c r="EH53" s="2" t="s">
        <v>129</v>
      </c>
      <c r="EI53" s="2" t="s">
        <v>130</v>
      </c>
      <c r="EJ53" s="2" t="s">
        <v>131</v>
      </c>
      <c r="EK53" s="2" t="s">
        <v>132</v>
      </c>
      <c r="EL53" s="2" t="s">
        <v>133</v>
      </c>
      <c r="EM53" s="2" t="s">
        <v>134</v>
      </c>
      <c r="EN53" s="2" t="s">
        <v>135</v>
      </c>
      <c r="EO53" s="2" t="s">
        <v>136</v>
      </c>
      <c r="EP53" s="2" t="s">
        <v>137</v>
      </c>
      <c r="EQ53" s="2" t="s">
        <v>138</v>
      </c>
      <c r="ER53" s="2" t="s">
        <v>139</v>
      </c>
      <c r="ES53" s="2" t="s">
        <v>140</v>
      </c>
      <c r="ET53" s="2" t="s">
        <v>141</v>
      </c>
      <c r="EU53" s="2" t="s">
        <v>142</v>
      </c>
      <c r="EV53" s="2" t="s">
        <v>143</v>
      </c>
      <c r="EW53" s="2" t="s">
        <v>144</v>
      </c>
      <c r="EX53" s="2" t="s">
        <v>145</v>
      </c>
      <c r="EY53" s="2" t="s">
        <v>146</v>
      </c>
    </row>
    <row r="54" spans="1:155" ht="13.9" customHeight="1" x14ac:dyDescent="0.25">
      <c r="A54" s="7"/>
      <c r="B54" s="17"/>
      <c r="C54" s="8"/>
      <c r="D54" s="17"/>
      <c r="E54" s="8"/>
      <c r="F54" s="18">
        <v>0</v>
      </c>
      <c r="G54" s="7" t="s">
        <v>147</v>
      </c>
      <c r="H54" s="18">
        <v>0</v>
      </c>
      <c r="I54" s="19">
        <v>0</v>
      </c>
      <c r="J54" s="7" t="s">
        <v>147</v>
      </c>
      <c r="K54" s="19">
        <v>0</v>
      </c>
      <c r="L54" s="9"/>
      <c r="M54" s="3" t="str">
        <f>IF($L54="","",IF($L54="DOELPUNTENMAKERS","",IF(AND(COUNTIF(#REF!,$B54)=0,COUNTIF(#REF!,$D54)=0),"OK",IF($O54&gt;20,"LET OP: meer dan 20 items (controle onvolledig)",IF((COUNTIF($R54:$AS54,"ONZEKER")+COUNTIF($CJ54:$DK54,"ONZEKER"))&gt;0,"LET OP: scoreverloop onduidelijk (controle beperkt)",IF((IF($AT54&lt;&gt;"",$AT54&amp;", ","")&amp;IF($AU54&lt;&gt;"",$AU54&amp;", ","")&amp;IF($AV54&lt;&gt;"",$AV54&amp;", ","")&amp;IF($AW54&lt;&gt;"",$AW54&amp;", ","")&amp;IF($AX54&lt;&gt;"",$AX54&amp;", ","")&amp;IF($AY54&lt;&gt;"",$AY54&amp;", ","")&amp;IF($AZ54&lt;&gt;"",$AZ54&amp;", ","")&amp;IF($BA54&lt;&gt;"",$BA54&amp;", ","")&amp;IF($BB54&lt;&gt;"",$BB54&amp;", ","")&amp;IF($BC54&lt;&gt;"",$BC54&amp;", ","")&amp;IF($DL54&lt;&gt;"",$DL54&amp;", ","")&amp;IF($DM54&lt;&gt;"",$DM54&amp;", ","")&amp;IF($DN54&lt;&gt;"",$DN54&amp;", ","")&amp;IF($DO54&lt;&gt;"",$DO54&amp;", ","")&amp;IF($DP54&lt;&gt;"",$DP54&amp;", ","")&amp;IF($DQ54&lt;&gt;"",$DQ54&amp;", ","")&amp;IF($DR54&lt;&gt;"",$DR54&amp;", ","")&amp;IF($DS54&lt;&gt;"",$DS54&amp;", ","")&amp;IF($DT54&lt;&gt;"",$DT54&amp;", ","")&amp;IF($DU54&lt;&gt;"",$DU54&amp;", ",""))="","OK","Onbekend: "&amp;LEFT((IF($AT54&lt;&gt;"",$AT54&amp;", ","")&amp;IF($AU54&lt;&gt;"",$AU54&amp;", ","")&amp;IF($AV54&lt;&gt;"",$AV54&amp;", ","")&amp;IF($AW54&lt;&gt;"",$AW54&amp;", ","")&amp;IF($AX54&lt;&gt;"",$AX54&amp;", ","")&amp;IF($AY54&lt;&gt;"",$AY54&amp;", ","")&amp;IF($AZ54&lt;&gt;"",$AZ54&amp;", ","")&amp;IF($BA54&lt;&gt;"",$BA54&amp;", ","")&amp;IF($BB54&lt;&gt;"",$BB54&amp;", ","")&amp;IF($BC54&lt;&gt;"",$BC54&amp;", ","")&amp;IF($DL54&lt;&gt;"",$DL54&amp;", ","")&amp;IF($DM54&lt;&gt;"",$DM54&amp;", ","")&amp;IF($DN54&lt;&gt;"",$DN54&amp;", ","")&amp;IF($DO54&lt;&gt;"",$DO54&amp;", ","")&amp;IF($DP54&lt;&gt;"",$DP54&amp;", ","")&amp;IF($DQ54&lt;&gt;"",$DQ54&amp;", ","")&amp;IF($DR54&lt;&gt;"",$DR54&amp;", ","")&amp;IF($DS54&lt;&gt;"",$DS54&amp;", ","")&amp;IF($DT54&lt;&gt;"",$DT54&amp;", ","")&amp;IF($DU54&lt;&gt;"",$DU54&amp;", ","")),LEN((IF($AT54&lt;&gt;"",$AT54&amp;", ","")&amp;IF($AU54&lt;&gt;"",$AU54&amp;", ","")&amp;IF($AV54&lt;&gt;"",$AV54&amp;", ","")&amp;IF($AW54&lt;&gt;"",$AW54&amp;", ","")&amp;IF($AX54&lt;&gt;"",$AX54&amp;", ","")&amp;IF($AY54&lt;&gt;"",$AY54&amp;", ","")&amp;IF($AZ54&lt;&gt;"",$AZ54&amp;", ","")&amp;IF($BA54&lt;&gt;"",$BA54&amp;", ","")&amp;IF($BB54&lt;&gt;"",$BB54&amp;", ","")&amp;IF($BC54&lt;&gt;"",$BC54&amp;", ","")&amp;IF($DL54&lt;&gt;"",$DL54&amp;", ","")&amp;IF($DM54&lt;&gt;"",$DM54&amp;", ","")&amp;IF($DN54&lt;&gt;"",$DN54&amp;", ","")&amp;IF($DO54&lt;&gt;"",$DO54&amp;", ","")&amp;IF($DP54&lt;&gt;"",$DP54&amp;", ","")&amp;IF($DQ54&lt;&gt;"",$DQ54&amp;", ","")&amp;IF($DR54&lt;&gt;"",$DR54&amp;", ","")&amp;IF($DS54&lt;&gt;"",$DS54&amp;", ","")&amp;IF($DT54&lt;&gt;"",$DT54&amp;", ","")&amp;IF($DU54&lt;&gt;"",$DU54&amp;", ","")))-2)))))))</f>
        <v/>
      </c>
      <c r="N54" t="str">
        <f t="shared" ref="N54:N65" si="398">IF($L54="","",TRIM(IF(RIGHT(SUBSTITUTE($L54,CHAR(160)," "),1)=".",LEFT(SUBSTITUTE($L54,CHAR(160)," "),LEN(SUBSTITUTE($L54,CHAR(160)," "))-1),SUBSTITUTE($L54,CHAR(160)," "))))</f>
        <v/>
      </c>
      <c r="O54" t="str">
        <f t="shared" ref="O54:O65" si="399">IF($N54="","",LEN($N54)-LEN(SUBSTITUTE($N54,",",""))+1)</f>
        <v/>
      </c>
      <c r="P54" t="str">
        <f t="shared" ref="P54:P65" si="400">IF($N54="","",TRIM(MID(SUBSTITUTE($N54,",",REPT(" ",200)),1,200)))</f>
        <v/>
      </c>
      <c r="Q54" t="str">
        <f t="shared" ref="Q54:Q65" si="401">IF(P54="","",TRIM(IFERROR(LEFT(P54,FIND("§",SUBSTITUTE(P54," ","§",LEN(P54)-LEN(SUBSTITUTE(P54," ",""))))-1),P54)))</f>
        <v/>
      </c>
      <c r="R54" t="str">
        <f>IF($Q54="","",IF(OR($BE54="",$BF54=""),"ONZEKER",IF(AND($BE54=0+1,$BF54=0),IF(OR(COUNTIF(#REF!,$B54)&gt;0,COUNTIF(#REF!,$B54)=0),"SKIP",IF(COUNTIFS(#REF!,$B54,#REF!,$Q54)&gt;0,"OK","ONBEKEND")),IF(AND($BE54=0,$BF54=0+1),IF(OR(COUNTIF(#REF!,$D54)&gt;0,COUNTIF(#REF!,$D54)=0),"SKIP",IF(COUNTIFS(#REF!,$D54,#REF!,$Q54)&gt;0,"OK","ONBEKEND")),"ONZEKER"))))</f>
        <v/>
      </c>
      <c r="S54" t="str">
        <f t="shared" ref="S54:S65" si="402">IF($N54="","",TRIM(MID(SUBSTITUTE($N54,",",REPT(" ",200)),201,200)))</f>
        <v/>
      </c>
      <c r="T54" t="str">
        <f t="shared" ref="T54:T65" si="403">IF(S54="","",TRIM(IFERROR(LEFT(S54,FIND("§",SUBSTITUTE(S54," ","§",LEN(S54)-LEN(SUBSTITUTE(S54," ",""))))-1),S54)))</f>
        <v/>
      </c>
      <c r="U54" t="str">
        <f>IF($T54="","",IF(OR($BH54="",$BI54=""),"ONZEKER",IF(OR($BE54="",$BF54=""),"ONZEKER",IF(AND($BH54=$BE54+1,$BI54=$BF54),IF(OR(COUNTIF(#REF!,$B54)&gt;0,COUNTIF(#REF!,$B54)=0),"SKIP",IF(COUNTIFS(#REF!,$B54,#REF!,$T54)&gt;0,"OK","ONBEKEND")),IF(AND($BH54=$BE54,$BI54=$BF54+1),IF(OR(COUNTIF(#REF!,$D54)&gt;0,COUNTIF(#REF!,$D54)=0),"SKIP",IF(COUNTIFS(#REF!,$D54,#REF!,$T54)&gt;0,"OK","ONBEKEND")),"ONZEKER")))))</f>
        <v/>
      </c>
      <c r="V54" t="str">
        <f t="shared" ref="V54:V65" si="404">IF($N54="","",TRIM(MID(SUBSTITUTE($N54,",",REPT(" ",200)),401,200)))</f>
        <v/>
      </c>
      <c r="W54" t="str">
        <f t="shared" ref="W54:W65" si="405">IF(V54="","",TRIM(IFERROR(LEFT(V54,FIND("§",SUBSTITUTE(V54," ","§",LEN(V54)-LEN(SUBSTITUTE(V54," ",""))))-1),V54)))</f>
        <v/>
      </c>
      <c r="X54" t="str">
        <f>IF($W54="","",IF(OR($BK54="",$BL54=""),"ONZEKER",IF(OR($BH54="",$BI54=""),"ONZEKER",IF(AND($BK54=$BH54+1,$BL54=$BI54),IF(OR(COUNTIF(#REF!,$B54)&gt;0,COUNTIF(#REF!,$B54)=0),"SKIP",IF(COUNTIFS(#REF!,$B54,#REF!,$W54)&gt;0,"OK","ONBEKEND")),IF(AND($BK54=$BH54,$BL54=$BI54+1),IF(OR(COUNTIF(#REF!,$D54)&gt;0,COUNTIF(#REF!,$D54)=0),"SKIP",IF(COUNTIFS(#REF!,$D54,#REF!,$W54)&gt;0,"OK","ONBEKEND")),"ONZEKER")))))</f>
        <v/>
      </c>
      <c r="Y54" t="str">
        <f t="shared" ref="Y54:Y65" si="406">IF($N54="","",TRIM(MID(SUBSTITUTE($N54,",",REPT(" ",200)),601,200)))</f>
        <v/>
      </c>
      <c r="Z54" t="str">
        <f t="shared" ref="Z54:Z65" si="407">IF(Y54="","",TRIM(IFERROR(LEFT(Y54,FIND("§",SUBSTITUTE(Y54," ","§",LEN(Y54)-LEN(SUBSTITUTE(Y54," ",""))))-1),Y54)))</f>
        <v/>
      </c>
      <c r="AA54" t="str">
        <f>IF($Z54="","",IF(OR($BN54="",$BO54=""),"ONZEKER",IF(OR($BK54="",$BL54=""),"ONZEKER",IF(AND($BN54=$BK54+1,$BO54=$BL54),IF(OR(COUNTIF(#REF!,$B54)&gt;0,COUNTIF(#REF!,$B54)=0),"SKIP",IF(COUNTIFS(#REF!,$B54,#REF!,$Z54)&gt;0,"OK","ONBEKEND")),IF(AND($BN54=$BK54,$BO54=$BL54+1),IF(OR(COUNTIF(#REF!,$D54)&gt;0,COUNTIF(#REF!,$D54)=0),"SKIP",IF(COUNTIFS(#REF!,$D54,#REF!,$Z54)&gt;0,"OK","ONBEKEND")),"ONZEKER")))))</f>
        <v/>
      </c>
      <c r="AB54" t="str">
        <f t="shared" ref="AB54:AB65" si="408">IF($N54="","",TRIM(MID(SUBSTITUTE($N54,",",REPT(" ",200)),801,200)))</f>
        <v/>
      </c>
      <c r="AC54" t="str">
        <f t="shared" ref="AC54:AC65" si="409">IF(AB54="","",TRIM(IFERROR(LEFT(AB54,FIND("§",SUBSTITUTE(AB54," ","§",LEN(AB54)-LEN(SUBSTITUTE(AB54," ",""))))-1),AB54)))</f>
        <v/>
      </c>
      <c r="AD54" t="str">
        <f>IF($AC54="","",IF(OR($BQ54="",$BR54=""),"ONZEKER",IF(OR($BN54="",$BO54=""),"ONZEKER",IF(AND($BQ54=$BN54+1,$BR54=$BO54),IF(OR(COUNTIF(#REF!,$B54)&gt;0,COUNTIF(#REF!,$B54)=0),"SKIP",IF(COUNTIFS(#REF!,$B54,#REF!,$AC54)&gt;0,"OK","ONBEKEND")),IF(AND($BQ54=$BN54,$BR54=$BO54+1),IF(OR(COUNTIF(#REF!,$D54)&gt;0,COUNTIF(#REF!,$D54)=0),"SKIP",IF(COUNTIFS(#REF!,$D54,#REF!,$AC54)&gt;0,"OK","ONBEKEND")),"ONZEKER")))))</f>
        <v/>
      </c>
      <c r="AE54" t="str">
        <f t="shared" ref="AE54:AE65" si="410">IF($N54="","",TRIM(MID(SUBSTITUTE($N54,",",REPT(" ",200)),1001,200)))</f>
        <v/>
      </c>
      <c r="AF54" t="str">
        <f t="shared" ref="AF54:AF65" si="411">IF(AE54="","",TRIM(IFERROR(LEFT(AE54,FIND("§",SUBSTITUTE(AE54," ","§",LEN(AE54)-LEN(SUBSTITUTE(AE54," ",""))))-1),AE54)))</f>
        <v/>
      </c>
      <c r="AG54" t="str">
        <f>IF($AF54="","",IF(OR($BT54="",$BU54=""),"ONZEKER",IF(OR($BQ54="",$BR54=""),"ONZEKER",IF(AND($BT54=$BQ54+1,$BU54=$BR54),IF(OR(COUNTIF(#REF!,$B54)&gt;0,COUNTIF(#REF!,$B54)=0),"SKIP",IF(COUNTIFS(#REF!,$B54,#REF!,$AF54)&gt;0,"OK","ONBEKEND")),IF(AND($BT54=$BQ54,$BU54=$BR54+1),IF(OR(COUNTIF(#REF!,$D54)&gt;0,COUNTIF(#REF!,$D54)=0),"SKIP",IF(COUNTIFS(#REF!,$D54,#REF!,$AF54)&gt;0,"OK","ONBEKEND")),"ONZEKER")))))</f>
        <v/>
      </c>
      <c r="AH54" t="str">
        <f t="shared" ref="AH54:AH65" si="412">IF($N54="","",TRIM(MID(SUBSTITUTE($N54,",",REPT(" ",200)),1201,200)))</f>
        <v/>
      </c>
      <c r="AI54" t="str">
        <f t="shared" ref="AI54:AI65" si="413">IF(AH54="","",TRIM(IFERROR(LEFT(AH54,FIND("§",SUBSTITUTE(AH54," ","§",LEN(AH54)-LEN(SUBSTITUTE(AH54," ",""))))-1),AH54)))</f>
        <v/>
      </c>
      <c r="AJ54" t="str">
        <f>IF($AI54="","",IF(OR($BW54="",$BX54=""),"ONZEKER",IF(OR($BT54="",$BU54=""),"ONZEKER",IF(AND($BW54=$BT54+1,$BX54=$BU54),IF(OR(COUNTIF(#REF!,$B54)&gt;0,COUNTIF(#REF!,$B54)=0),"SKIP",IF(COUNTIFS(#REF!,$B54,#REF!,$AI54)&gt;0,"OK","ONBEKEND")),IF(AND($BW54=$BT54,$BX54=$BU54+1),IF(OR(COUNTIF(#REF!,$D54)&gt;0,COUNTIF(#REF!,$D54)=0),"SKIP",IF(COUNTIFS(#REF!,$D54,#REF!,$AI54)&gt;0,"OK","ONBEKEND")),"ONZEKER")))))</f>
        <v/>
      </c>
      <c r="AK54" t="str">
        <f t="shared" ref="AK54:AK65" si="414">IF($N54="","",TRIM(MID(SUBSTITUTE($N54,",",REPT(" ",200)),1401,200)))</f>
        <v/>
      </c>
      <c r="AL54" t="str">
        <f t="shared" ref="AL54:AL65" si="415">IF(AK54="","",TRIM(IFERROR(LEFT(AK54,FIND("§",SUBSTITUTE(AK54," ","§",LEN(AK54)-LEN(SUBSTITUTE(AK54," ",""))))-1),AK54)))</f>
        <v/>
      </c>
      <c r="AM54" t="str">
        <f>IF($AL54="","",IF(OR($BZ54="",$CA54=""),"ONZEKER",IF(OR($BW54="",$BX54=""),"ONZEKER",IF(AND($BZ54=$BW54+1,$CA54=$BX54),IF(OR(COUNTIF(#REF!,$B54)&gt;0,COUNTIF(#REF!,$B54)=0),"SKIP",IF(COUNTIFS(#REF!,$B54,#REF!,$AL54)&gt;0,"OK","ONBEKEND")),IF(AND($BZ54=$BW54,$CA54=$BX54+1),IF(OR(COUNTIF(#REF!,$D54)&gt;0,COUNTIF(#REF!,$D54)=0),"SKIP",IF(COUNTIFS(#REF!,$D54,#REF!,$AL54)&gt;0,"OK","ONBEKEND")),"ONZEKER")))))</f>
        <v/>
      </c>
      <c r="AN54" t="str">
        <f t="shared" ref="AN54:AN65" si="416">IF($N54="","",TRIM(MID(SUBSTITUTE($N54,",",REPT(" ",200)),1601,200)))</f>
        <v/>
      </c>
      <c r="AO54" t="str">
        <f t="shared" ref="AO54:AO65" si="417">IF(AN54="","",TRIM(IFERROR(LEFT(AN54,FIND("§",SUBSTITUTE(AN54," ","§",LEN(AN54)-LEN(SUBSTITUTE(AN54," ",""))))-1),AN54)))</f>
        <v/>
      </c>
      <c r="AP54" t="str">
        <f>IF($AO54="","",IF(OR($CC54="",$CD54=""),"ONZEKER",IF(OR($BZ54="",$CA54=""),"ONZEKER",IF(AND($CC54=$BZ54+1,$CD54=$CA54),IF(OR(COUNTIF(#REF!,$B54)&gt;0,COUNTIF(#REF!,$B54)=0),"SKIP",IF(COUNTIFS(#REF!,$B54,#REF!,$AO54)&gt;0,"OK","ONBEKEND")),IF(AND($CC54=$BZ54,$CD54=$CA54+1),IF(OR(COUNTIF(#REF!,$D54)&gt;0,COUNTIF(#REF!,$D54)=0),"SKIP",IF(COUNTIFS(#REF!,$D54,#REF!,$AO54)&gt;0,"OK","ONBEKEND")),"ONZEKER")))))</f>
        <v/>
      </c>
      <c r="AQ54" t="str">
        <f t="shared" ref="AQ54:AQ65" si="418">IF($N54="","",TRIM(MID(SUBSTITUTE($N54,",",REPT(" ",200)),1801,200)))</f>
        <v/>
      </c>
      <c r="AR54" t="str">
        <f t="shared" ref="AR54:AR65" si="419">IF(AQ54="","",TRIM(IFERROR(LEFT(AQ54,FIND("§",SUBSTITUTE(AQ54," ","§",LEN(AQ54)-LEN(SUBSTITUTE(AQ54," ",""))))-1),AQ54)))</f>
        <v/>
      </c>
      <c r="AS54" t="str">
        <f>IF($AR54="","",IF(OR($CF54="",$CG54=""),"ONZEKER",IF(OR($CC54="",$CD54=""),"ONZEKER",IF(AND($CF54=$CC54+1,$CG54=$CD54),IF(OR(COUNTIF(#REF!,$B54)&gt;0,COUNTIF(#REF!,$B54)=0),"SKIP",IF(COUNTIFS(#REF!,$B54,#REF!,$AR54)&gt;0,"OK","ONBEKEND")),IF(AND($CF54=$CC54,$CG54=$CD54+1),IF(OR(COUNTIF(#REF!,$D54)&gt;0,COUNTIF(#REF!,$D54)=0),"SKIP",IF(COUNTIFS(#REF!,$D54,#REF!,$AR54)&gt;0,"OK","ONBEKEND")),"ONZEKER")))))</f>
        <v/>
      </c>
      <c r="AT54" t="str">
        <f t="shared" ref="AT54:AT65" si="420">IF(R54="ONBEKEND",Q54,"")</f>
        <v/>
      </c>
      <c r="AU54" t="str">
        <f t="shared" ref="AU54:AU65" si="421">IF(U54="ONBEKEND",T54,"")</f>
        <v/>
      </c>
      <c r="AV54" t="str">
        <f t="shared" ref="AV54:AV65" si="422">IF(X54="ONBEKEND",W54,"")</f>
        <v/>
      </c>
      <c r="AW54" t="str">
        <f t="shared" ref="AW54:AW65" si="423">IF(AA54="ONBEKEND",Z54,"")</f>
        <v/>
      </c>
      <c r="AX54" t="str">
        <f t="shared" ref="AX54:AX65" si="424">IF(AD54="ONBEKEND",AC54,"")</f>
        <v/>
      </c>
      <c r="AY54" t="str">
        <f t="shared" ref="AY54:AY65" si="425">IF(AG54="ONBEKEND",AF54,"")</f>
        <v/>
      </c>
      <c r="AZ54" t="str">
        <f t="shared" ref="AZ54:AZ65" si="426">IF(AJ54="ONBEKEND",AI54,"")</f>
        <v/>
      </c>
      <c r="BA54" t="str">
        <f t="shared" ref="BA54:BA65" si="427">IF(AM54="ONBEKEND",AL54,"")</f>
        <v/>
      </c>
      <c r="BB54" t="str">
        <f t="shared" ref="BB54:BB65" si="428">IF(AP54="ONBEKEND",AO54,"")</f>
        <v/>
      </c>
      <c r="BC54" t="str">
        <f t="shared" ref="BC54:BC65" si="429">IF(AS54="ONBEKEND",AR54,"")</f>
        <v/>
      </c>
      <c r="BD54" t="str">
        <f t="shared" si="32"/>
        <v/>
      </c>
      <c r="BE54" t="str">
        <f t="shared" si="33"/>
        <v/>
      </c>
      <c r="BF54" t="str">
        <f t="shared" si="34"/>
        <v/>
      </c>
      <c r="BG54" t="str">
        <f t="shared" si="35"/>
        <v/>
      </c>
      <c r="BH54" t="str">
        <f t="shared" si="36"/>
        <v/>
      </c>
      <c r="BI54" t="str">
        <f t="shared" si="37"/>
        <v/>
      </c>
      <c r="BJ54" t="str">
        <f t="shared" si="38"/>
        <v/>
      </c>
      <c r="BK54" t="str">
        <f t="shared" si="39"/>
        <v/>
      </c>
      <c r="BL54" t="str">
        <f t="shared" si="40"/>
        <v/>
      </c>
      <c r="BM54" t="str">
        <f t="shared" si="41"/>
        <v/>
      </c>
      <c r="BN54" t="str">
        <f t="shared" si="42"/>
        <v/>
      </c>
      <c r="BO54" t="str">
        <f t="shared" si="43"/>
        <v/>
      </c>
      <c r="BP54" t="str">
        <f t="shared" si="44"/>
        <v/>
      </c>
      <c r="BQ54" t="str">
        <f t="shared" si="45"/>
        <v/>
      </c>
      <c r="BR54" t="str">
        <f t="shared" si="46"/>
        <v/>
      </c>
      <c r="BS54" t="str">
        <f t="shared" si="47"/>
        <v/>
      </c>
      <c r="BT54" t="str">
        <f t="shared" si="48"/>
        <v/>
      </c>
      <c r="BU54" t="str">
        <f t="shared" si="49"/>
        <v/>
      </c>
      <c r="BV54" t="str">
        <f t="shared" si="50"/>
        <v/>
      </c>
      <c r="BW54" t="str">
        <f t="shared" si="51"/>
        <v/>
      </c>
      <c r="BX54" t="str">
        <f t="shared" si="52"/>
        <v/>
      </c>
      <c r="BY54" t="str">
        <f t="shared" si="53"/>
        <v/>
      </c>
      <c r="BZ54" t="str">
        <f t="shared" si="54"/>
        <v/>
      </c>
      <c r="CA54" t="str">
        <f t="shared" si="55"/>
        <v/>
      </c>
      <c r="CB54" t="str">
        <f t="shared" si="56"/>
        <v/>
      </c>
      <c r="CC54" t="str">
        <f t="shared" si="57"/>
        <v/>
      </c>
      <c r="CD54" t="str">
        <f t="shared" si="58"/>
        <v/>
      </c>
      <c r="CE54" t="str">
        <f t="shared" si="59"/>
        <v/>
      </c>
      <c r="CF54" t="str">
        <f t="shared" si="60"/>
        <v/>
      </c>
      <c r="CG54" t="str">
        <f t="shared" si="61"/>
        <v/>
      </c>
      <c r="CH54" t="str">
        <f t="shared" ref="CH54:CH65" si="430">IF($N54="","",TRIM(MID(SUBSTITUTE($N54,",",REPT(" ",200)),2001,200)))</f>
        <v/>
      </c>
      <c r="CI54" t="str">
        <f t="shared" ref="CI54:CI65" si="431">IF(CH54="","",TRIM(IFERROR(LEFT(CH54,FIND("§",SUBSTITUTE(CH54," ","§",LEN(CH54)-LEN(SUBSTITUTE(CH54," ",""))))-1),CH54)))</f>
        <v/>
      </c>
      <c r="CJ54" t="str">
        <f>IF($CI54="","",IF(OR($DW54="",$DX54=""),"ONZEKER",IF(OR($CF54="",$CG54=""),"ONZEKER",IF(AND($DW54=$CF54+1,$DX54=$CG54),IF(OR(COUNTIF(#REF!,$B54)&gt;0,COUNTIF(#REF!,$B54)=0),"SKIP",IF(COUNTIFS(#REF!,$B54,#REF!,$CI54)&gt;0,"OK","ONBEKEND")),IF(AND($DW54=$CF54,$DX54=$CG54+1),IF(OR(COUNTIF(#REF!,$D54)&gt;0,COUNTIF(#REF!,$D54)=0),"SKIP",IF(COUNTIFS(#REF!,$D54,#REF!,$CI54)&gt;0,"OK","ONBEKEND")),"ONZEKER")))))</f>
        <v/>
      </c>
      <c r="CK54" t="str">
        <f t="shared" ref="CK54:CK65" si="432">IF($N54="","",TRIM(MID(SUBSTITUTE($N54,",",REPT(" ",200)),2201,200)))</f>
        <v/>
      </c>
      <c r="CL54" t="str">
        <f t="shared" ref="CL54:CL65" si="433">IF(CK54="","",TRIM(IFERROR(LEFT(CK54,FIND("§",SUBSTITUTE(CK54," ","§",LEN(CK54)-LEN(SUBSTITUTE(CK54," ",""))))-1),CK54)))</f>
        <v/>
      </c>
      <c r="CM54" t="str">
        <f>IF($CL54="","",IF(OR($DZ54="",$EA54=""),"ONZEKER",IF(OR($DW54="",$DX54=""),"ONZEKER",IF(AND($DZ54=$DW54+1,$EA54=$DX54),IF(OR(COUNTIF(#REF!,$B54)&gt;0,COUNTIF(#REF!,$B54)=0),"SKIP",IF(COUNTIFS(#REF!,$B54,#REF!,$CL54)&gt;0,"OK","ONBEKEND")),IF(AND($DZ54=$DW54,$EA54=$DX54+1),IF(OR(COUNTIF(#REF!,$D54)&gt;0,COUNTIF(#REF!,$D54)=0),"SKIP",IF(COUNTIFS(#REF!,$D54,#REF!,$CL54)&gt;0,"OK","ONBEKEND")),"ONZEKER")))))</f>
        <v/>
      </c>
      <c r="CN54" t="str">
        <f t="shared" ref="CN54:CN65" si="434">IF($N54="","",TRIM(MID(SUBSTITUTE($N54,",",REPT(" ",200)),2401,200)))</f>
        <v/>
      </c>
      <c r="CO54" t="str">
        <f t="shared" ref="CO54:CO65" si="435">IF(CN54="","",TRIM(IFERROR(LEFT(CN54,FIND("§",SUBSTITUTE(CN54," ","§",LEN(CN54)-LEN(SUBSTITUTE(CN54," ",""))))-1),CN54)))</f>
        <v/>
      </c>
      <c r="CP54" t="str">
        <f>IF($CO54="","",IF(OR($EC54="",$ED54=""),"ONZEKER",IF(OR($DZ54="",$EA54=""),"ONZEKER",IF(AND($EC54=$DZ54+1,$ED54=$EA54),IF(OR(COUNTIF(#REF!,$B54)&gt;0,COUNTIF(#REF!,$B54)=0),"SKIP",IF(COUNTIFS(#REF!,$B54,#REF!,$CO54)&gt;0,"OK","ONBEKEND")),IF(AND($EC54=$DZ54,$ED54=$EA54+1),IF(OR(COUNTIF(#REF!,$D54)&gt;0,COUNTIF(#REF!,$D54)=0),"SKIP",IF(COUNTIFS(#REF!,$D54,#REF!,$CO54)&gt;0,"OK","ONBEKEND")),"ONZEKER")))))</f>
        <v/>
      </c>
      <c r="CQ54" t="str">
        <f t="shared" ref="CQ54:CQ65" si="436">IF($N54="","",TRIM(MID(SUBSTITUTE($N54,",",REPT(" ",200)),2601,200)))</f>
        <v/>
      </c>
      <c r="CR54" t="str">
        <f t="shared" ref="CR54:CR65" si="437">IF(CQ54="","",TRIM(IFERROR(LEFT(CQ54,FIND("§",SUBSTITUTE(CQ54," ","§",LEN(CQ54)-LEN(SUBSTITUTE(CQ54," ",""))))-1),CQ54)))</f>
        <v/>
      </c>
      <c r="CS54" t="str">
        <f>IF($CR54="","",IF(OR($EF54="",$EG54=""),"ONZEKER",IF(OR($EC54="",$ED54=""),"ONZEKER",IF(AND($EF54=$EC54+1,$EG54=$ED54),IF(OR(COUNTIF(#REF!,$B54)&gt;0,COUNTIF(#REF!,$B54)=0),"SKIP",IF(COUNTIFS(#REF!,$B54,#REF!,$CR54)&gt;0,"OK","ONBEKEND")),IF(AND($EF54=$EC54,$EG54=$ED54+1),IF(OR(COUNTIF(#REF!,$D54)&gt;0,COUNTIF(#REF!,$D54)=0),"SKIP",IF(COUNTIFS(#REF!,$D54,#REF!,$CR54)&gt;0,"OK","ONBEKEND")),"ONZEKER")))))</f>
        <v/>
      </c>
      <c r="CT54" t="str">
        <f t="shared" ref="CT54:CT65" si="438">IF($N54="","",TRIM(MID(SUBSTITUTE($N54,",",REPT(" ",200)),2801,200)))</f>
        <v/>
      </c>
      <c r="CU54" t="str">
        <f t="shared" ref="CU54:CU65" si="439">IF(CT54="","",TRIM(IFERROR(LEFT(CT54,FIND("§",SUBSTITUTE(CT54," ","§",LEN(CT54)-LEN(SUBSTITUTE(CT54," ",""))))-1),CT54)))</f>
        <v/>
      </c>
      <c r="CV54" t="str">
        <f>IF($CU54="","",IF(OR($EI54="",$EJ54=""),"ONZEKER",IF(OR($EF54="",$EG54=""),"ONZEKER",IF(AND($EI54=$EF54+1,$EJ54=$EG54),IF(OR(COUNTIF(#REF!,$B54)&gt;0,COUNTIF(#REF!,$B54)=0),"SKIP",IF(COUNTIFS(#REF!,$B54,#REF!,$CU54)&gt;0,"OK","ONBEKEND")),IF(AND($EI54=$EF54,$EJ54=$EG54+1),IF(OR(COUNTIF(#REF!,$D54)&gt;0,COUNTIF(#REF!,$D54)=0),"SKIP",IF(COUNTIFS(#REF!,$D54,#REF!,$CU54)&gt;0,"OK","ONBEKEND")),"ONZEKER")))))</f>
        <v/>
      </c>
      <c r="CW54" t="str">
        <f t="shared" ref="CW54:CW65" si="440">IF($N54="","",TRIM(MID(SUBSTITUTE($N54,",",REPT(" ",200)),3001,200)))</f>
        <v/>
      </c>
      <c r="CX54" t="str">
        <f t="shared" ref="CX54:CX65" si="441">IF(CW54="","",TRIM(IFERROR(LEFT(CW54,FIND("§",SUBSTITUTE(CW54," ","§",LEN(CW54)-LEN(SUBSTITUTE(CW54," ",""))))-1),CW54)))</f>
        <v/>
      </c>
      <c r="CY54" t="str">
        <f>IF($CX54="","",IF(OR($EL54="",$EM54=""),"ONZEKER",IF(OR($EI54="",$EJ54=""),"ONZEKER",IF(AND($EL54=$EI54+1,$EM54=$EJ54),IF(OR(COUNTIF(#REF!,$B54)&gt;0,COUNTIF(#REF!,$B54)=0),"SKIP",IF(COUNTIFS(#REF!,$B54,#REF!,$CX54)&gt;0,"OK","ONBEKEND")),IF(AND($EL54=$EI54,$EM54=$EJ54+1),IF(OR(COUNTIF(#REF!,$D54)&gt;0,COUNTIF(#REF!,$D54)=0),"SKIP",IF(COUNTIFS(#REF!,$D54,#REF!,$CX54)&gt;0,"OK","ONBEKEND")),"ONZEKER")))))</f>
        <v/>
      </c>
      <c r="CZ54" t="str">
        <f t="shared" ref="CZ54:CZ65" si="442">IF($N54="","",TRIM(MID(SUBSTITUTE($N54,",",REPT(" ",200)),3201,200)))</f>
        <v/>
      </c>
      <c r="DA54" t="str">
        <f t="shared" ref="DA54:DA65" si="443">IF(CZ54="","",TRIM(IFERROR(LEFT(CZ54,FIND("§",SUBSTITUTE(CZ54," ","§",LEN(CZ54)-LEN(SUBSTITUTE(CZ54," ",""))))-1),CZ54)))</f>
        <v/>
      </c>
      <c r="DB54" t="str">
        <f>IF($DA54="","",IF(OR($EO54="",$EP54=""),"ONZEKER",IF(OR($EL54="",$EM54=""),"ONZEKER",IF(AND($EO54=$EL54+1,$EP54=$EM54),IF(OR(COUNTIF(#REF!,$B54)&gt;0,COUNTIF(#REF!,$B54)=0),"SKIP",IF(COUNTIFS(#REF!,$B54,#REF!,$DA54)&gt;0,"OK","ONBEKEND")),IF(AND($EO54=$EL54,$EP54=$EM54+1),IF(OR(COUNTIF(#REF!,$D54)&gt;0,COUNTIF(#REF!,$D54)=0),"SKIP",IF(COUNTIFS(#REF!,$D54,#REF!,$DA54)&gt;0,"OK","ONBEKEND")),"ONZEKER")))))</f>
        <v/>
      </c>
      <c r="DC54" t="str">
        <f t="shared" ref="DC54:DC65" si="444">IF($N54="","",TRIM(MID(SUBSTITUTE($N54,",",REPT(" ",200)),3401,200)))</f>
        <v/>
      </c>
      <c r="DD54" t="str">
        <f t="shared" ref="DD54:DD65" si="445">IF(DC54="","",TRIM(IFERROR(LEFT(DC54,FIND("§",SUBSTITUTE(DC54," ","§",LEN(DC54)-LEN(SUBSTITUTE(DC54," ",""))))-1),DC54)))</f>
        <v/>
      </c>
      <c r="DE54" t="str">
        <f>IF($DD54="","",IF(OR($ER54="",$ES54=""),"ONZEKER",IF(OR($EO54="",$EP54=""),"ONZEKER",IF(AND($ER54=$EO54+1,$ES54=$EP54),IF(OR(COUNTIF(#REF!,$B54)&gt;0,COUNTIF(#REF!,$B54)=0),"SKIP",IF(COUNTIFS(#REF!,$B54,#REF!,$DD54)&gt;0,"OK","ONBEKEND")),IF(AND($ER54=$EO54,$ES54=$EP54+1),IF(OR(COUNTIF(#REF!,$D54)&gt;0,COUNTIF(#REF!,$D54)=0),"SKIP",IF(COUNTIFS(#REF!,$D54,#REF!,$DD54)&gt;0,"OK","ONBEKEND")),"ONZEKER")))))</f>
        <v/>
      </c>
      <c r="DF54" t="str">
        <f t="shared" ref="DF54:DF65" si="446">IF($N54="","",TRIM(MID(SUBSTITUTE($N54,",",REPT(" ",200)),3601,200)))</f>
        <v/>
      </c>
      <c r="DG54" t="str">
        <f t="shared" ref="DG54:DG65" si="447">IF(DF54="","",TRIM(IFERROR(LEFT(DF54,FIND("§",SUBSTITUTE(DF54," ","§",LEN(DF54)-LEN(SUBSTITUTE(DF54," ",""))))-1),DF54)))</f>
        <v/>
      </c>
      <c r="DH54" t="str">
        <f>IF($DG54="","",IF(OR($EU54="",$EV54=""),"ONZEKER",IF(OR($ER54="",$ES54=""),"ONZEKER",IF(AND($EU54=$ER54+1,$EV54=$ES54),IF(OR(COUNTIF(#REF!,$B54)&gt;0,COUNTIF(#REF!,$B54)=0),"SKIP",IF(COUNTIFS(#REF!,$B54,#REF!,$DG54)&gt;0,"OK","ONBEKEND")),IF(AND($EU54=$ER54,$EV54=$ES54+1),IF(OR(COUNTIF(#REF!,$D54)&gt;0,COUNTIF(#REF!,$D54)=0),"SKIP",IF(COUNTIFS(#REF!,$D54,#REF!,$DG54)&gt;0,"OK","ONBEKEND")),"ONZEKER")))))</f>
        <v/>
      </c>
      <c r="DI54" t="str">
        <f t="shared" ref="DI54:DI65" si="448">IF($N54="","",TRIM(MID(SUBSTITUTE($N54,",",REPT(" ",200)),3801,200)))</f>
        <v/>
      </c>
      <c r="DJ54" t="str">
        <f t="shared" ref="DJ54:DJ65" si="449">IF(DI54="","",TRIM(IFERROR(LEFT(DI54,FIND("§",SUBSTITUTE(DI54," ","§",LEN(DI54)-LEN(SUBSTITUTE(DI54," ",""))))-1),DI54)))</f>
        <v/>
      </c>
      <c r="DK54" t="str">
        <f>IF($DJ54="","",IF(OR($EX54="",$EY54=""),"ONZEKER",IF(OR($EU54="",$EV54=""),"ONZEKER",IF(AND($EX54=$EU54+1,$EY54=$EV54),IF(OR(COUNTIF(#REF!,$B54)&gt;0,COUNTIF(#REF!,$B54)=0),"SKIP",IF(COUNTIFS(#REF!,$B54,#REF!,$DJ54)&gt;0,"OK","ONBEKEND")),IF(AND($EX54=$EU54,$EY54=$EV54+1),IF(OR(COUNTIF(#REF!,$D54)&gt;0,COUNTIF(#REF!,$D54)=0),"SKIP",IF(COUNTIFS(#REF!,$D54,#REF!,$DJ54)&gt;0,"OK","ONBEKEND")),"ONZEKER")))))</f>
        <v/>
      </c>
      <c r="DL54" t="str">
        <f t="shared" ref="DL54:DL65" si="450">IF($CJ54="ONBEKEND",$CI54,"")</f>
        <v/>
      </c>
      <c r="DM54" t="str">
        <f t="shared" ref="DM54:DM65" si="451">IF($CM54="ONBEKEND",$CL54,"")</f>
        <v/>
      </c>
      <c r="DN54" t="str">
        <f t="shared" ref="DN54:DN65" si="452">IF($CP54="ONBEKEND",$CO54,"")</f>
        <v/>
      </c>
      <c r="DO54" t="str">
        <f t="shared" ref="DO54:DO65" si="453">IF($CS54="ONBEKEND",$CR54,"")</f>
        <v/>
      </c>
      <c r="DP54" t="str">
        <f t="shared" ref="DP54:DP65" si="454">IF($CV54="ONBEKEND",$CU54,"")</f>
        <v/>
      </c>
      <c r="DQ54" t="str">
        <f t="shared" ref="DQ54:DQ65" si="455">IF($CY54="ONBEKEND",$CX54,"")</f>
        <v/>
      </c>
      <c r="DR54" t="str">
        <f t="shared" ref="DR54:DR65" si="456">IF($DB54="ONBEKEND",$DA54,"")</f>
        <v/>
      </c>
      <c r="DS54" t="str">
        <f t="shared" ref="DS54:DS65" si="457">IF($DE54="ONBEKEND",$DD54,"")</f>
        <v/>
      </c>
      <c r="DT54" t="str">
        <f t="shared" ref="DT54:DT65" si="458">IF($DH54="ONBEKEND",$DG54,"")</f>
        <v/>
      </c>
      <c r="DU54" t="str">
        <f t="shared" ref="DU54:DU65" si="459">IF($DK54="ONBEKEND",$DJ54,"")</f>
        <v/>
      </c>
      <c r="DV54" t="str">
        <f t="shared" ref="DV54:DV65" si="460">IF($CH54="","",TRIM(IFERROR(RIGHT($CH54,LEN($CH54)-FIND("§",SUBSTITUTE($CH54," ","§",LEN($CH54)-LEN(SUBSTITUTE($CH54," ",""))))),"")))</f>
        <v/>
      </c>
      <c r="DW54" t="str">
        <f t="shared" ref="DW54:DW65" si="461">IF($DV54="","",IFERROR(VALUE(LEFT($DV54,FIND("-",$DV54)-1)),""))</f>
        <v/>
      </c>
      <c r="DX54" t="str">
        <f t="shared" ref="DX54:DX65" si="462">IF($DV54="","",IFERROR(VALUE(MID($DV54,FIND("-",$DV54)+1,99)),""))</f>
        <v/>
      </c>
      <c r="DY54" t="str">
        <f t="shared" ref="DY54:DY65" si="463">IF($CK54="","",TRIM(IFERROR(RIGHT($CK54,LEN($CK54)-FIND("§",SUBSTITUTE($CK54," ","§",LEN($CK54)-LEN(SUBSTITUTE($CK54," ",""))))),"")))</f>
        <v/>
      </c>
      <c r="DZ54" t="str">
        <f t="shared" ref="DZ54:DZ65" si="464">IF($DY54="","",IFERROR(VALUE(LEFT($DY54,FIND("-",$DY54)-1)),""))</f>
        <v/>
      </c>
      <c r="EA54" t="str">
        <f t="shared" ref="EA54:EA65" si="465">IF($DY54="","",IFERROR(VALUE(MID($DY54,FIND("-",$DY54)+1,99)),""))</f>
        <v/>
      </c>
      <c r="EB54" t="str">
        <f t="shared" ref="EB54:EB65" si="466">IF($CN54="","",TRIM(IFERROR(RIGHT($CN54,LEN($CN54)-FIND("§",SUBSTITUTE($CN54," ","§",LEN($CN54)-LEN(SUBSTITUTE($CN54," ",""))))),"")))</f>
        <v/>
      </c>
      <c r="EC54" t="str">
        <f t="shared" ref="EC54:EC65" si="467">IF($EB54="","",IFERROR(VALUE(LEFT($EB54,FIND("-",$EB54)-1)),""))</f>
        <v/>
      </c>
      <c r="ED54" t="str">
        <f t="shared" ref="ED54:ED65" si="468">IF($EB54="","",IFERROR(VALUE(MID($EB54,FIND("-",$EB54)+1,99)),""))</f>
        <v/>
      </c>
      <c r="EE54" t="str">
        <f t="shared" ref="EE54:EE65" si="469">IF($CQ54="","",TRIM(IFERROR(RIGHT($CQ54,LEN($CQ54)-FIND("§",SUBSTITUTE($CQ54," ","§",LEN($CQ54)-LEN(SUBSTITUTE($CQ54," ",""))))),"")))</f>
        <v/>
      </c>
      <c r="EF54" t="str">
        <f t="shared" ref="EF54:EF65" si="470">IF($EE54="","",IFERROR(VALUE(LEFT($EE54,FIND("-",$EE54)-1)),""))</f>
        <v/>
      </c>
      <c r="EG54" t="str">
        <f t="shared" ref="EG54:EG65" si="471">IF($EE54="","",IFERROR(VALUE(MID($EE54,FIND("-",$EE54)+1,99)),""))</f>
        <v/>
      </c>
      <c r="EH54" t="str">
        <f t="shared" ref="EH54:EH65" si="472">IF($CT54="","",TRIM(IFERROR(RIGHT($CT54,LEN($CT54)-FIND("§",SUBSTITUTE($CT54," ","§",LEN($CT54)-LEN(SUBSTITUTE($CT54," ",""))))),"")))</f>
        <v/>
      </c>
      <c r="EI54" t="str">
        <f t="shared" ref="EI54:EI65" si="473">IF($EH54="","",IFERROR(VALUE(LEFT($EH54,FIND("-",$EH54)-1)),""))</f>
        <v/>
      </c>
      <c r="EJ54" t="str">
        <f t="shared" ref="EJ54:EJ65" si="474">IF($EH54="","",IFERROR(VALUE(MID($EH54,FIND("-",$EH54)+1,99)),""))</f>
        <v/>
      </c>
      <c r="EK54" t="str">
        <f t="shared" ref="EK54:EK65" si="475">IF($CW54="","",TRIM(IFERROR(RIGHT($CW54,LEN($CW54)-FIND("§",SUBSTITUTE($CW54," ","§",LEN($CW54)-LEN(SUBSTITUTE($CW54," ",""))))),"")))</f>
        <v/>
      </c>
      <c r="EL54" t="str">
        <f t="shared" ref="EL54:EL65" si="476">IF($EK54="","",IFERROR(VALUE(LEFT($EK54,FIND("-",$EK54)-1)),""))</f>
        <v/>
      </c>
      <c r="EM54" t="str">
        <f t="shared" ref="EM54:EM65" si="477">IF($EK54="","",IFERROR(VALUE(MID($EK54,FIND("-",$EK54)+1,99)),""))</f>
        <v/>
      </c>
      <c r="EN54" t="str">
        <f t="shared" ref="EN54:EN65" si="478">IF($CZ54="","",TRIM(IFERROR(RIGHT($CZ54,LEN($CZ54)-FIND("§",SUBSTITUTE($CZ54," ","§",LEN($CZ54)-LEN(SUBSTITUTE($CZ54," ",""))))),"")))</f>
        <v/>
      </c>
      <c r="EO54" t="str">
        <f t="shared" ref="EO54:EO65" si="479">IF($EN54="","",IFERROR(VALUE(LEFT($EN54,FIND("-",$EN54)-1)),""))</f>
        <v/>
      </c>
      <c r="EP54" t="str">
        <f t="shared" ref="EP54:EP65" si="480">IF($EN54="","",IFERROR(VALUE(MID($EN54,FIND("-",$EN54)+1,99)),""))</f>
        <v/>
      </c>
      <c r="EQ54" t="str">
        <f t="shared" ref="EQ54:EQ65" si="481">IF($DC54="","",TRIM(IFERROR(RIGHT($DC54,LEN($DC54)-FIND("§",SUBSTITUTE($DC54," ","§",LEN($DC54)-LEN(SUBSTITUTE($DC54," ",""))))),"")))</f>
        <v/>
      </c>
      <c r="ER54" t="str">
        <f t="shared" ref="ER54:ER65" si="482">IF($EQ54="","",IFERROR(VALUE(LEFT($EQ54,FIND("-",$EQ54)-1)),""))</f>
        <v/>
      </c>
      <c r="ES54" t="str">
        <f t="shared" ref="ES54:ES65" si="483">IF($EQ54="","",IFERROR(VALUE(MID($EQ54,FIND("-",$EQ54)+1,99)),""))</f>
        <v/>
      </c>
      <c r="ET54" t="str">
        <f t="shared" ref="ET54:ET65" si="484">IF($DF54="","",TRIM(IFERROR(RIGHT($DF54,LEN($DF54)-FIND("§",SUBSTITUTE($DF54," ","§",LEN($DF54)-LEN(SUBSTITUTE($DF54," ",""))))),"")))</f>
        <v/>
      </c>
      <c r="EU54" t="str">
        <f t="shared" ref="EU54:EU65" si="485">IF($ET54="","",IFERROR(VALUE(LEFT($ET54,FIND("-",$ET54)-1)),""))</f>
        <v/>
      </c>
      <c r="EV54" t="str">
        <f t="shared" ref="EV54:EV65" si="486">IF($ET54="","",IFERROR(VALUE(MID($ET54,FIND("-",$ET54)+1,99)),""))</f>
        <v/>
      </c>
      <c r="EW54" t="str">
        <f t="shared" ref="EW54:EW65" si="487">IF($DI54="","",TRIM(IFERROR(RIGHT($DI54,LEN($DI54)-FIND("§",SUBSTITUTE($DI54," ","§",LEN($DI54)-LEN(SUBSTITUTE($DI54," ",""))))),"")))</f>
        <v/>
      </c>
      <c r="EX54" t="str">
        <f t="shared" ref="EX54:EX65" si="488">IF($EW54="","",IFERROR(VALUE(LEFT($EW54,FIND("-",$EW54)-1)),""))</f>
        <v/>
      </c>
      <c r="EY54" t="str">
        <f t="shared" ref="EY54:EY65" si="489">IF($EW54="","",IFERROR(VALUE(MID($EW54,FIND("-",$EW54)+1,99)),""))</f>
        <v/>
      </c>
    </row>
    <row r="55" spans="1:155" ht="13.9" customHeight="1" x14ac:dyDescent="0.25">
      <c r="A55" s="7"/>
      <c r="B55" s="17"/>
      <c r="C55" s="8"/>
      <c r="D55" s="17"/>
      <c r="E55" s="8"/>
      <c r="F55" s="18">
        <v>0</v>
      </c>
      <c r="G55" s="7" t="s">
        <v>147</v>
      </c>
      <c r="H55" s="18">
        <v>0</v>
      </c>
      <c r="I55" s="19">
        <v>0</v>
      </c>
      <c r="J55" s="7" t="s">
        <v>147</v>
      </c>
      <c r="K55" s="19">
        <v>0</v>
      </c>
      <c r="L55" s="9"/>
      <c r="M55" s="3" t="str">
        <f>IF($L55="","",IF($L55="DOELPUNTENMAKERS","",IF(AND(COUNTIF(#REF!,$B55)=0,COUNTIF(#REF!,$D55)=0),"OK",IF($O55&gt;20,"LET OP: meer dan 20 items (controle onvolledig)",IF((COUNTIF($R55:$AS55,"ONZEKER")+COUNTIF($CJ55:$DK55,"ONZEKER"))&gt;0,"LET OP: scoreverloop onduidelijk (controle beperkt)",IF((IF($AT55&lt;&gt;"",$AT55&amp;", ","")&amp;IF($AU55&lt;&gt;"",$AU55&amp;", ","")&amp;IF($AV55&lt;&gt;"",$AV55&amp;", ","")&amp;IF($AW55&lt;&gt;"",$AW55&amp;", ","")&amp;IF($AX55&lt;&gt;"",$AX55&amp;", ","")&amp;IF($AY55&lt;&gt;"",$AY55&amp;", ","")&amp;IF($AZ55&lt;&gt;"",$AZ55&amp;", ","")&amp;IF($BA55&lt;&gt;"",$BA55&amp;", ","")&amp;IF($BB55&lt;&gt;"",$BB55&amp;", ","")&amp;IF($BC55&lt;&gt;"",$BC55&amp;", ","")&amp;IF($DL55&lt;&gt;"",$DL55&amp;", ","")&amp;IF($DM55&lt;&gt;"",$DM55&amp;", ","")&amp;IF($DN55&lt;&gt;"",$DN55&amp;", ","")&amp;IF($DO55&lt;&gt;"",$DO55&amp;", ","")&amp;IF($DP55&lt;&gt;"",$DP55&amp;", ","")&amp;IF($DQ55&lt;&gt;"",$DQ55&amp;", ","")&amp;IF($DR55&lt;&gt;"",$DR55&amp;", ","")&amp;IF($DS55&lt;&gt;"",$DS55&amp;", ","")&amp;IF($DT55&lt;&gt;"",$DT55&amp;", ","")&amp;IF($DU55&lt;&gt;"",$DU55&amp;", ",""))="","OK","Onbekend: "&amp;LEFT((IF($AT55&lt;&gt;"",$AT55&amp;", ","")&amp;IF($AU55&lt;&gt;"",$AU55&amp;", ","")&amp;IF($AV55&lt;&gt;"",$AV55&amp;", ","")&amp;IF($AW55&lt;&gt;"",$AW55&amp;", ","")&amp;IF($AX55&lt;&gt;"",$AX55&amp;", ","")&amp;IF($AY55&lt;&gt;"",$AY55&amp;", ","")&amp;IF($AZ55&lt;&gt;"",$AZ55&amp;", ","")&amp;IF($BA55&lt;&gt;"",$BA55&amp;", ","")&amp;IF($BB55&lt;&gt;"",$BB55&amp;", ","")&amp;IF($BC55&lt;&gt;"",$BC55&amp;", ","")&amp;IF($DL55&lt;&gt;"",$DL55&amp;", ","")&amp;IF($DM55&lt;&gt;"",$DM55&amp;", ","")&amp;IF($DN55&lt;&gt;"",$DN55&amp;", ","")&amp;IF($DO55&lt;&gt;"",$DO55&amp;", ","")&amp;IF($DP55&lt;&gt;"",$DP55&amp;", ","")&amp;IF($DQ55&lt;&gt;"",$DQ55&amp;", ","")&amp;IF($DR55&lt;&gt;"",$DR55&amp;", ","")&amp;IF($DS55&lt;&gt;"",$DS55&amp;", ","")&amp;IF($DT55&lt;&gt;"",$DT55&amp;", ","")&amp;IF($DU55&lt;&gt;"",$DU55&amp;", ","")),LEN((IF($AT55&lt;&gt;"",$AT55&amp;", ","")&amp;IF($AU55&lt;&gt;"",$AU55&amp;", ","")&amp;IF($AV55&lt;&gt;"",$AV55&amp;", ","")&amp;IF($AW55&lt;&gt;"",$AW55&amp;", ","")&amp;IF($AX55&lt;&gt;"",$AX55&amp;", ","")&amp;IF($AY55&lt;&gt;"",$AY55&amp;", ","")&amp;IF($AZ55&lt;&gt;"",$AZ55&amp;", ","")&amp;IF($BA55&lt;&gt;"",$BA55&amp;", ","")&amp;IF($BB55&lt;&gt;"",$BB55&amp;", ","")&amp;IF($BC55&lt;&gt;"",$BC55&amp;", ","")&amp;IF($DL55&lt;&gt;"",$DL55&amp;", ","")&amp;IF($DM55&lt;&gt;"",$DM55&amp;", ","")&amp;IF($DN55&lt;&gt;"",$DN55&amp;", ","")&amp;IF($DO55&lt;&gt;"",$DO55&amp;", ","")&amp;IF($DP55&lt;&gt;"",$DP55&amp;", ","")&amp;IF($DQ55&lt;&gt;"",$DQ55&amp;", ","")&amp;IF($DR55&lt;&gt;"",$DR55&amp;", ","")&amp;IF($DS55&lt;&gt;"",$DS55&amp;", ","")&amp;IF($DT55&lt;&gt;"",$DT55&amp;", ","")&amp;IF($DU55&lt;&gt;"",$DU55&amp;", ","")))-2)))))))</f>
        <v/>
      </c>
      <c r="N55" t="str">
        <f t="shared" si="398"/>
        <v/>
      </c>
      <c r="O55" t="str">
        <f t="shared" si="399"/>
        <v/>
      </c>
      <c r="P55" t="str">
        <f t="shared" si="400"/>
        <v/>
      </c>
      <c r="Q55" t="str">
        <f t="shared" si="401"/>
        <v/>
      </c>
      <c r="R55" t="str">
        <f>IF($Q55="","",IF(OR($BE55="",$BF55=""),"ONZEKER",IF(AND($BE55=0+1,$BF55=0),IF(OR(COUNTIF(#REF!,$B55)&gt;0,COUNTIF(#REF!,$B55)=0),"SKIP",IF(COUNTIFS(#REF!,$B55,#REF!,$Q55)&gt;0,"OK","ONBEKEND")),IF(AND($BE55=0,$BF55=0+1),IF(OR(COUNTIF(#REF!,$D55)&gt;0,COUNTIF(#REF!,$D55)=0),"SKIP",IF(COUNTIFS(#REF!,$D55,#REF!,$Q55)&gt;0,"OK","ONBEKEND")),"ONZEKER"))))</f>
        <v/>
      </c>
      <c r="S55" t="str">
        <f t="shared" si="402"/>
        <v/>
      </c>
      <c r="T55" t="str">
        <f t="shared" si="403"/>
        <v/>
      </c>
      <c r="U55" t="str">
        <f>IF($T55="","",IF(OR($BH55="",$BI55=""),"ONZEKER",IF(OR($BE55="",$BF55=""),"ONZEKER",IF(AND($BH55=$BE55+1,$BI55=$BF55),IF(OR(COUNTIF(#REF!,$B55)&gt;0,COUNTIF(#REF!,$B55)=0),"SKIP",IF(COUNTIFS(#REF!,$B55,#REF!,$T55)&gt;0,"OK","ONBEKEND")),IF(AND($BH55=$BE55,$BI55=$BF55+1),IF(OR(COUNTIF(#REF!,$D55)&gt;0,COUNTIF(#REF!,$D55)=0),"SKIP",IF(COUNTIFS(#REF!,$D55,#REF!,$T55)&gt;0,"OK","ONBEKEND")),"ONZEKER")))))</f>
        <v/>
      </c>
      <c r="V55" t="str">
        <f t="shared" si="404"/>
        <v/>
      </c>
      <c r="W55" t="str">
        <f t="shared" si="405"/>
        <v/>
      </c>
      <c r="X55" t="str">
        <f>IF($W55="","",IF(OR($BK55="",$BL55=""),"ONZEKER",IF(OR($BH55="",$BI55=""),"ONZEKER",IF(AND($BK55=$BH55+1,$BL55=$BI55),IF(OR(COUNTIF(#REF!,$B55)&gt;0,COUNTIF(#REF!,$B55)=0),"SKIP",IF(COUNTIFS(#REF!,$B55,#REF!,$W55)&gt;0,"OK","ONBEKEND")),IF(AND($BK55=$BH55,$BL55=$BI55+1),IF(OR(COUNTIF(#REF!,$D55)&gt;0,COUNTIF(#REF!,$D55)=0),"SKIP",IF(COUNTIFS(#REF!,$D55,#REF!,$W55)&gt;0,"OK","ONBEKEND")),"ONZEKER")))))</f>
        <v/>
      </c>
      <c r="Y55" t="str">
        <f t="shared" si="406"/>
        <v/>
      </c>
      <c r="Z55" t="str">
        <f t="shared" si="407"/>
        <v/>
      </c>
      <c r="AA55" t="str">
        <f>IF($Z55="","",IF(OR($BN55="",$BO55=""),"ONZEKER",IF(OR($BK55="",$BL55=""),"ONZEKER",IF(AND($BN55=$BK55+1,$BO55=$BL55),IF(OR(COUNTIF(#REF!,$B55)&gt;0,COUNTIF(#REF!,$B55)=0),"SKIP",IF(COUNTIFS(#REF!,$B55,#REF!,$Z55)&gt;0,"OK","ONBEKEND")),IF(AND($BN55=$BK55,$BO55=$BL55+1),IF(OR(COUNTIF(#REF!,$D55)&gt;0,COUNTIF(#REF!,$D55)=0),"SKIP",IF(COUNTIFS(#REF!,$D55,#REF!,$Z55)&gt;0,"OK","ONBEKEND")),"ONZEKER")))))</f>
        <v/>
      </c>
      <c r="AB55" t="str">
        <f t="shared" si="408"/>
        <v/>
      </c>
      <c r="AC55" t="str">
        <f t="shared" si="409"/>
        <v/>
      </c>
      <c r="AD55" t="str">
        <f>IF($AC55="","",IF(OR($BQ55="",$BR55=""),"ONZEKER",IF(OR($BN55="",$BO55=""),"ONZEKER",IF(AND($BQ55=$BN55+1,$BR55=$BO55),IF(OR(COUNTIF(#REF!,$B55)&gt;0,COUNTIF(#REF!,$B55)=0),"SKIP",IF(COUNTIFS(#REF!,$B55,#REF!,$AC55)&gt;0,"OK","ONBEKEND")),IF(AND($BQ55=$BN55,$BR55=$BO55+1),IF(OR(COUNTIF(#REF!,$D55)&gt;0,COUNTIF(#REF!,$D55)=0),"SKIP",IF(COUNTIFS(#REF!,$D55,#REF!,$AC55)&gt;0,"OK","ONBEKEND")),"ONZEKER")))))</f>
        <v/>
      </c>
      <c r="AE55" t="str">
        <f t="shared" si="410"/>
        <v/>
      </c>
      <c r="AF55" t="str">
        <f t="shared" si="411"/>
        <v/>
      </c>
      <c r="AG55" t="str">
        <f>IF($AF55="","",IF(OR($BT55="",$BU55=""),"ONZEKER",IF(OR($BQ55="",$BR55=""),"ONZEKER",IF(AND($BT55=$BQ55+1,$BU55=$BR55),IF(OR(COUNTIF(#REF!,$B55)&gt;0,COUNTIF(#REF!,$B55)=0),"SKIP",IF(COUNTIFS(#REF!,$B55,#REF!,$AF55)&gt;0,"OK","ONBEKEND")),IF(AND($BT55=$BQ55,$BU55=$BR55+1),IF(OR(COUNTIF(#REF!,$D55)&gt;0,COUNTIF(#REF!,$D55)=0),"SKIP",IF(COUNTIFS(#REF!,$D55,#REF!,$AF55)&gt;0,"OK","ONBEKEND")),"ONZEKER")))))</f>
        <v/>
      </c>
      <c r="AH55" t="str">
        <f t="shared" si="412"/>
        <v/>
      </c>
      <c r="AI55" t="str">
        <f t="shared" si="413"/>
        <v/>
      </c>
      <c r="AJ55" t="str">
        <f>IF($AI55="","",IF(OR($BW55="",$BX55=""),"ONZEKER",IF(OR($BT55="",$BU55=""),"ONZEKER",IF(AND($BW55=$BT55+1,$BX55=$BU55),IF(OR(COUNTIF(#REF!,$B55)&gt;0,COUNTIF(#REF!,$B55)=0),"SKIP",IF(COUNTIFS(#REF!,$B55,#REF!,$AI55)&gt;0,"OK","ONBEKEND")),IF(AND($BW55=$BT55,$BX55=$BU55+1),IF(OR(COUNTIF(#REF!,$D55)&gt;0,COUNTIF(#REF!,$D55)=0),"SKIP",IF(COUNTIFS(#REF!,$D55,#REF!,$AI55)&gt;0,"OK","ONBEKEND")),"ONZEKER")))))</f>
        <v/>
      </c>
      <c r="AK55" t="str">
        <f t="shared" si="414"/>
        <v/>
      </c>
      <c r="AL55" t="str">
        <f t="shared" si="415"/>
        <v/>
      </c>
      <c r="AM55" t="str">
        <f>IF($AL55="","",IF(OR($BZ55="",$CA55=""),"ONZEKER",IF(OR($BW55="",$BX55=""),"ONZEKER",IF(AND($BZ55=$BW55+1,$CA55=$BX55),IF(OR(COUNTIF(#REF!,$B55)&gt;0,COUNTIF(#REF!,$B55)=0),"SKIP",IF(COUNTIFS(#REF!,$B55,#REF!,$AL55)&gt;0,"OK","ONBEKEND")),IF(AND($BZ55=$BW55,$CA55=$BX55+1),IF(OR(COUNTIF(#REF!,$D55)&gt;0,COUNTIF(#REF!,$D55)=0),"SKIP",IF(COUNTIFS(#REF!,$D55,#REF!,$AL55)&gt;0,"OK","ONBEKEND")),"ONZEKER")))))</f>
        <v/>
      </c>
      <c r="AN55" t="str">
        <f t="shared" si="416"/>
        <v/>
      </c>
      <c r="AO55" t="str">
        <f t="shared" si="417"/>
        <v/>
      </c>
      <c r="AP55" t="str">
        <f>IF($AO55="","",IF(OR($CC55="",$CD55=""),"ONZEKER",IF(OR($BZ55="",$CA55=""),"ONZEKER",IF(AND($CC55=$BZ55+1,$CD55=$CA55),IF(OR(COUNTIF(#REF!,$B55)&gt;0,COUNTIF(#REF!,$B55)=0),"SKIP",IF(COUNTIFS(#REF!,$B55,#REF!,$AO55)&gt;0,"OK","ONBEKEND")),IF(AND($CC55=$BZ55,$CD55=$CA55+1),IF(OR(COUNTIF(#REF!,$D55)&gt;0,COUNTIF(#REF!,$D55)=0),"SKIP",IF(COUNTIFS(#REF!,$D55,#REF!,$AO55)&gt;0,"OK","ONBEKEND")),"ONZEKER")))))</f>
        <v/>
      </c>
      <c r="AQ55" t="str">
        <f t="shared" si="418"/>
        <v/>
      </c>
      <c r="AR55" t="str">
        <f t="shared" si="419"/>
        <v/>
      </c>
      <c r="AS55" t="str">
        <f>IF($AR55="","",IF(OR($CF55="",$CG55=""),"ONZEKER",IF(OR($CC55="",$CD55=""),"ONZEKER",IF(AND($CF55=$CC55+1,$CG55=$CD55),IF(OR(COUNTIF(#REF!,$B55)&gt;0,COUNTIF(#REF!,$B55)=0),"SKIP",IF(COUNTIFS(#REF!,$B55,#REF!,$AR55)&gt;0,"OK","ONBEKEND")),IF(AND($CF55=$CC55,$CG55=$CD55+1),IF(OR(COUNTIF(#REF!,$D55)&gt;0,COUNTIF(#REF!,$D55)=0),"SKIP",IF(COUNTIFS(#REF!,$D55,#REF!,$AR55)&gt;0,"OK","ONBEKEND")),"ONZEKER")))))</f>
        <v/>
      </c>
      <c r="AT55" t="str">
        <f t="shared" si="420"/>
        <v/>
      </c>
      <c r="AU55" t="str">
        <f t="shared" si="421"/>
        <v/>
      </c>
      <c r="AV55" t="str">
        <f t="shared" si="422"/>
        <v/>
      </c>
      <c r="AW55" t="str">
        <f t="shared" si="423"/>
        <v/>
      </c>
      <c r="AX55" t="str">
        <f t="shared" si="424"/>
        <v/>
      </c>
      <c r="AY55" t="str">
        <f t="shared" si="425"/>
        <v/>
      </c>
      <c r="AZ55" t="str">
        <f t="shared" si="426"/>
        <v/>
      </c>
      <c r="BA55" t="str">
        <f t="shared" si="427"/>
        <v/>
      </c>
      <c r="BB55" t="str">
        <f t="shared" si="428"/>
        <v/>
      </c>
      <c r="BC55" t="str">
        <f t="shared" si="429"/>
        <v/>
      </c>
      <c r="BD55" t="str">
        <f t="shared" si="32"/>
        <v/>
      </c>
      <c r="BE55" t="str">
        <f t="shared" si="33"/>
        <v/>
      </c>
      <c r="BF55" t="str">
        <f t="shared" si="34"/>
        <v/>
      </c>
      <c r="BG55" t="str">
        <f t="shared" si="35"/>
        <v/>
      </c>
      <c r="BH55" t="str">
        <f t="shared" si="36"/>
        <v/>
      </c>
      <c r="BI55" t="str">
        <f t="shared" si="37"/>
        <v/>
      </c>
      <c r="BJ55" t="str">
        <f t="shared" si="38"/>
        <v/>
      </c>
      <c r="BK55" t="str">
        <f t="shared" si="39"/>
        <v/>
      </c>
      <c r="BL55" t="str">
        <f t="shared" si="40"/>
        <v/>
      </c>
      <c r="BM55" t="str">
        <f t="shared" si="41"/>
        <v/>
      </c>
      <c r="BN55" t="str">
        <f t="shared" si="42"/>
        <v/>
      </c>
      <c r="BO55" t="str">
        <f t="shared" si="43"/>
        <v/>
      </c>
      <c r="BP55" t="str">
        <f t="shared" si="44"/>
        <v/>
      </c>
      <c r="BQ55" t="str">
        <f t="shared" si="45"/>
        <v/>
      </c>
      <c r="BR55" t="str">
        <f t="shared" si="46"/>
        <v/>
      </c>
      <c r="BS55" t="str">
        <f t="shared" si="47"/>
        <v/>
      </c>
      <c r="BT55" t="str">
        <f t="shared" si="48"/>
        <v/>
      </c>
      <c r="BU55" t="str">
        <f t="shared" si="49"/>
        <v/>
      </c>
      <c r="BV55" t="str">
        <f t="shared" si="50"/>
        <v/>
      </c>
      <c r="BW55" t="str">
        <f t="shared" si="51"/>
        <v/>
      </c>
      <c r="BX55" t="str">
        <f t="shared" si="52"/>
        <v/>
      </c>
      <c r="BY55" t="str">
        <f t="shared" si="53"/>
        <v/>
      </c>
      <c r="BZ55" t="str">
        <f t="shared" si="54"/>
        <v/>
      </c>
      <c r="CA55" t="str">
        <f t="shared" si="55"/>
        <v/>
      </c>
      <c r="CB55" t="str">
        <f t="shared" si="56"/>
        <v/>
      </c>
      <c r="CC55" t="str">
        <f t="shared" si="57"/>
        <v/>
      </c>
      <c r="CD55" t="str">
        <f t="shared" si="58"/>
        <v/>
      </c>
      <c r="CE55" t="str">
        <f t="shared" si="59"/>
        <v/>
      </c>
      <c r="CF55" t="str">
        <f t="shared" si="60"/>
        <v/>
      </c>
      <c r="CG55" t="str">
        <f t="shared" si="61"/>
        <v/>
      </c>
      <c r="CH55" t="str">
        <f t="shared" si="430"/>
        <v/>
      </c>
      <c r="CI55" t="str">
        <f t="shared" si="431"/>
        <v/>
      </c>
      <c r="CJ55" t="str">
        <f>IF($CI55="","",IF(OR($DW55="",$DX55=""),"ONZEKER",IF(OR($CF55="",$CG55=""),"ONZEKER",IF(AND($DW55=$CF55+1,$DX55=$CG55),IF(OR(COUNTIF(#REF!,$B55)&gt;0,COUNTIF(#REF!,$B55)=0),"SKIP",IF(COUNTIFS(#REF!,$B55,#REF!,$CI55)&gt;0,"OK","ONBEKEND")),IF(AND($DW55=$CF55,$DX55=$CG55+1),IF(OR(COUNTIF(#REF!,$D55)&gt;0,COUNTIF(#REF!,$D55)=0),"SKIP",IF(COUNTIFS(#REF!,$D55,#REF!,$CI55)&gt;0,"OK","ONBEKEND")),"ONZEKER")))))</f>
        <v/>
      </c>
      <c r="CK55" t="str">
        <f t="shared" si="432"/>
        <v/>
      </c>
      <c r="CL55" t="str">
        <f t="shared" si="433"/>
        <v/>
      </c>
      <c r="CM55" t="str">
        <f>IF($CL55="","",IF(OR($DZ55="",$EA55=""),"ONZEKER",IF(OR($DW55="",$DX55=""),"ONZEKER",IF(AND($DZ55=$DW55+1,$EA55=$DX55),IF(OR(COUNTIF(#REF!,$B55)&gt;0,COUNTIF(#REF!,$B55)=0),"SKIP",IF(COUNTIFS(#REF!,$B55,#REF!,$CL55)&gt;0,"OK","ONBEKEND")),IF(AND($DZ55=$DW55,$EA55=$DX55+1),IF(OR(COUNTIF(#REF!,$D55)&gt;0,COUNTIF(#REF!,$D55)=0),"SKIP",IF(COUNTIFS(#REF!,$D55,#REF!,$CL55)&gt;0,"OK","ONBEKEND")),"ONZEKER")))))</f>
        <v/>
      </c>
      <c r="CN55" t="str">
        <f t="shared" si="434"/>
        <v/>
      </c>
      <c r="CO55" t="str">
        <f t="shared" si="435"/>
        <v/>
      </c>
      <c r="CP55" t="str">
        <f>IF($CO55="","",IF(OR($EC55="",$ED55=""),"ONZEKER",IF(OR($DZ55="",$EA55=""),"ONZEKER",IF(AND($EC55=$DZ55+1,$ED55=$EA55),IF(OR(COUNTIF(#REF!,$B55)&gt;0,COUNTIF(#REF!,$B55)=0),"SKIP",IF(COUNTIFS(#REF!,$B55,#REF!,$CO55)&gt;0,"OK","ONBEKEND")),IF(AND($EC55=$DZ55,$ED55=$EA55+1),IF(OR(COUNTIF(#REF!,$D55)&gt;0,COUNTIF(#REF!,$D55)=0),"SKIP",IF(COUNTIFS(#REF!,$D55,#REF!,$CO55)&gt;0,"OK","ONBEKEND")),"ONZEKER")))))</f>
        <v/>
      </c>
      <c r="CQ55" t="str">
        <f t="shared" si="436"/>
        <v/>
      </c>
      <c r="CR55" t="str">
        <f t="shared" si="437"/>
        <v/>
      </c>
      <c r="CS55" t="str">
        <f>IF($CR55="","",IF(OR($EF55="",$EG55=""),"ONZEKER",IF(OR($EC55="",$ED55=""),"ONZEKER",IF(AND($EF55=$EC55+1,$EG55=$ED55),IF(OR(COUNTIF(#REF!,$B55)&gt;0,COUNTIF(#REF!,$B55)=0),"SKIP",IF(COUNTIFS(#REF!,$B55,#REF!,$CR55)&gt;0,"OK","ONBEKEND")),IF(AND($EF55=$EC55,$EG55=$ED55+1),IF(OR(COUNTIF(#REF!,$D55)&gt;0,COUNTIF(#REF!,$D55)=0),"SKIP",IF(COUNTIFS(#REF!,$D55,#REF!,$CR55)&gt;0,"OK","ONBEKEND")),"ONZEKER")))))</f>
        <v/>
      </c>
      <c r="CT55" t="str">
        <f t="shared" si="438"/>
        <v/>
      </c>
      <c r="CU55" t="str">
        <f t="shared" si="439"/>
        <v/>
      </c>
      <c r="CV55" t="str">
        <f>IF($CU55="","",IF(OR($EI55="",$EJ55=""),"ONZEKER",IF(OR($EF55="",$EG55=""),"ONZEKER",IF(AND($EI55=$EF55+1,$EJ55=$EG55),IF(OR(COUNTIF(#REF!,$B55)&gt;0,COUNTIF(#REF!,$B55)=0),"SKIP",IF(COUNTIFS(#REF!,$B55,#REF!,$CU55)&gt;0,"OK","ONBEKEND")),IF(AND($EI55=$EF55,$EJ55=$EG55+1),IF(OR(COUNTIF(#REF!,$D55)&gt;0,COUNTIF(#REF!,$D55)=0),"SKIP",IF(COUNTIFS(#REF!,$D55,#REF!,$CU55)&gt;0,"OK","ONBEKEND")),"ONZEKER")))))</f>
        <v/>
      </c>
      <c r="CW55" t="str">
        <f t="shared" si="440"/>
        <v/>
      </c>
      <c r="CX55" t="str">
        <f t="shared" si="441"/>
        <v/>
      </c>
      <c r="CY55" t="str">
        <f>IF($CX55="","",IF(OR($EL55="",$EM55=""),"ONZEKER",IF(OR($EI55="",$EJ55=""),"ONZEKER",IF(AND($EL55=$EI55+1,$EM55=$EJ55),IF(OR(COUNTIF(#REF!,$B55)&gt;0,COUNTIF(#REF!,$B55)=0),"SKIP",IF(COUNTIFS(#REF!,$B55,#REF!,$CX55)&gt;0,"OK","ONBEKEND")),IF(AND($EL55=$EI55,$EM55=$EJ55+1),IF(OR(COUNTIF(#REF!,$D55)&gt;0,COUNTIF(#REF!,$D55)=0),"SKIP",IF(COUNTIFS(#REF!,$D55,#REF!,$CX55)&gt;0,"OK","ONBEKEND")),"ONZEKER")))))</f>
        <v/>
      </c>
      <c r="CZ55" t="str">
        <f t="shared" si="442"/>
        <v/>
      </c>
      <c r="DA55" t="str">
        <f t="shared" si="443"/>
        <v/>
      </c>
      <c r="DB55" t="str">
        <f>IF($DA55="","",IF(OR($EO55="",$EP55=""),"ONZEKER",IF(OR($EL55="",$EM55=""),"ONZEKER",IF(AND($EO55=$EL55+1,$EP55=$EM55),IF(OR(COUNTIF(#REF!,$B55)&gt;0,COUNTIF(#REF!,$B55)=0),"SKIP",IF(COUNTIFS(#REF!,$B55,#REF!,$DA55)&gt;0,"OK","ONBEKEND")),IF(AND($EO55=$EL55,$EP55=$EM55+1),IF(OR(COUNTIF(#REF!,$D55)&gt;0,COUNTIF(#REF!,$D55)=0),"SKIP",IF(COUNTIFS(#REF!,$D55,#REF!,$DA55)&gt;0,"OK","ONBEKEND")),"ONZEKER")))))</f>
        <v/>
      </c>
      <c r="DC55" t="str">
        <f t="shared" si="444"/>
        <v/>
      </c>
      <c r="DD55" t="str">
        <f t="shared" si="445"/>
        <v/>
      </c>
      <c r="DE55" t="str">
        <f>IF($DD55="","",IF(OR($ER55="",$ES55=""),"ONZEKER",IF(OR($EO55="",$EP55=""),"ONZEKER",IF(AND($ER55=$EO55+1,$ES55=$EP55),IF(OR(COUNTIF(#REF!,$B55)&gt;0,COUNTIF(#REF!,$B55)=0),"SKIP",IF(COUNTIFS(#REF!,$B55,#REF!,$DD55)&gt;0,"OK","ONBEKEND")),IF(AND($ER55=$EO55,$ES55=$EP55+1),IF(OR(COUNTIF(#REF!,$D55)&gt;0,COUNTIF(#REF!,$D55)=0),"SKIP",IF(COUNTIFS(#REF!,$D55,#REF!,$DD55)&gt;0,"OK","ONBEKEND")),"ONZEKER")))))</f>
        <v/>
      </c>
      <c r="DF55" t="str">
        <f t="shared" si="446"/>
        <v/>
      </c>
      <c r="DG55" t="str">
        <f t="shared" si="447"/>
        <v/>
      </c>
      <c r="DH55" t="str">
        <f>IF($DG55="","",IF(OR($EU55="",$EV55=""),"ONZEKER",IF(OR($ER55="",$ES55=""),"ONZEKER",IF(AND($EU55=$ER55+1,$EV55=$ES55),IF(OR(COUNTIF(#REF!,$B55)&gt;0,COUNTIF(#REF!,$B55)=0),"SKIP",IF(COUNTIFS(#REF!,$B55,#REF!,$DG55)&gt;0,"OK","ONBEKEND")),IF(AND($EU55=$ER55,$EV55=$ES55+1),IF(OR(COUNTIF(#REF!,$D55)&gt;0,COUNTIF(#REF!,$D55)=0),"SKIP",IF(COUNTIFS(#REF!,$D55,#REF!,$DG55)&gt;0,"OK","ONBEKEND")),"ONZEKER")))))</f>
        <v/>
      </c>
      <c r="DI55" t="str">
        <f t="shared" si="448"/>
        <v/>
      </c>
      <c r="DJ55" t="str">
        <f t="shared" si="449"/>
        <v/>
      </c>
      <c r="DK55" t="str">
        <f>IF($DJ55="","",IF(OR($EX55="",$EY55=""),"ONZEKER",IF(OR($EU55="",$EV55=""),"ONZEKER",IF(AND($EX55=$EU55+1,$EY55=$EV55),IF(OR(COUNTIF(#REF!,$B55)&gt;0,COUNTIF(#REF!,$B55)=0),"SKIP",IF(COUNTIFS(#REF!,$B55,#REF!,$DJ55)&gt;0,"OK","ONBEKEND")),IF(AND($EX55=$EU55,$EY55=$EV55+1),IF(OR(COUNTIF(#REF!,$D55)&gt;0,COUNTIF(#REF!,$D55)=0),"SKIP",IF(COUNTIFS(#REF!,$D55,#REF!,$DJ55)&gt;0,"OK","ONBEKEND")),"ONZEKER")))))</f>
        <v/>
      </c>
      <c r="DL55" t="str">
        <f t="shared" si="450"/>
        <v/>
      </c>
      <c r="DM55" t="str">
        <f t="shared" si="451"/>
        <v/>
      </c>
      <c r="DN55" t="str">
        <f t="shared" si="452"/>
        <v/>
      </c>
      <c r="DO55" t="str">
        <f t="shared" si="453"/>
        <v/>
      </c>
      <c r="DP55" t="str">
        <f t="shared" si="454"/>
        <v/>
      </c>
      <c r="DQ55" t="str">
        <f t="shared" si="455"/>
        <v/>
      </c>
      <c r="DR55" t="str">
        <f t="shared" si="456"/>
        <v/>
      </c>
      <c r="DS55" t="str">
        <f t="shared" si="457"/>
        <v/>
      </c>
      <c r="DT55" t="str">
        <f t="shared" si="458"/>
        <v/>
      </c>
      <c r="DU55" t="str">
        <f t="shared" si="459"/>
        <v/>
      </c>
      <c r="DV55" t="str">
        <f t="shared" si="460"/>
        <v/>
      </c>
      <c r="DW55" t="str">
        <f t="shared" si="461"/>
        <v/>
      </c>
      <c r="DX55" t="str">
        <f t="shared" si="462"/>
        <v/>
      </c>
      <c r="DY55" t="str">
        <f t="shared" si="463"/>
        <v/>
      </c>
      <c r="DZ55" t="str">
        <f t="shared" si="464"/>
        <v/>
      </c>
      <c r="EA55" t="str">
        <f t="shared" si="465"/>
        <v/>
      </c>
      <c r="EB55" t="str">
        <f t="shared" si="466"/>
        <v/>
      </c>
      <c r="EC55" t="str">
        <f t="shared" si="467"/>
        <v/>
      </c>
      <c r="ED55" t="str">
        <f t="shared" si="468"/>
        <v/>
      </c>
      <c r="EE55" t="str">
        <f t="shared" si="469"/>
        <v/>
      </c>
      <c r="EF55" t="str">
        <f t="shared" si="470"/>
        <v/>
      </c>
      <c r="EG55" t="str">
        <f t="shared" si="471"/>
        <v/>
      </c>
      <c r="EH55" t="str">
        <f t="shared" si="472"/>
        <v/>
      </c>
      <c r="EI55" t="str">
        <f t="shared" si="473"/>
        <v/>
      </c>
      <c r="EJ55" t="str">
        <f t="shared" si="474"/>
        <v/>
      </c>
      <c r="EK55" t="str">
        <f t="shared" si="475"/>
        <v/>
      </c>
      <c r="EL55" t="str">
        <f t="shared" si="476"/>
        <v/>
      </c>
      <c r="EM55" t="str">
        <f t="shared" si="477"/>
        <v/>
      </c>
      <c r="EN55" t="str">
        <f t="shared" si="478"/>
        <v/>
      </c>
      <c r="EO55" t="str">
        <f t="shared" si="479"/>
        <v/>
      </c>
      <c r="EP55" t="str">
        <f t="shared" si="480"/>
        <v/>
      </c>
      <c r="EQ55" t="str">
        <f t="shared" si="481"/>
        <v/>
      </c>
      <c r="ER55" t="str">
        <f t="shared" si="482"/>
        <v/>
      </c>
      <c r="ES55" t="str">
        <f t="shared" si="483"/>
        <v/>
      </c>
      <c r="ET55" t="str">
        <f t="shared" si="484"/>
        <v/>
      </c>
      <c r="EU55" t="str">
        <f t="shared" si="485"/>
        <v/>
      </c>
      <c r="EV55" t="str">
        <f t="shared" si="486"/>
        <v/>
      </c>
      <c r="EW55" t="str">
        <f t="shared" si="487"/>
        <v/>
      </c>
      <c r="EX55" t="str">
        <f t="shared" si="488"/>
        <v/>
      </c>
      <c r="EY55" t="str">
        <f t="shared" si="489"/>
        <v/>
      </c>
    </row>
    <row r="56" spans="1:155" ht="13.9" customHeight="1" x14ac:dyDescent="0.25">
      <c r="A56" s="7"/>
      <c r="B56" s="17"/>
      <c r="C56" s="8"/>
      <c r="D56" s="17"/>
      <c r="E56" s="8"/>
      <c r="F56" s="18">
        <v>0</v>
      </c>
      <c r="G56" s="7" t="s">
        <v>147</v>
      </c>
      <c r="H56" s="18">
        <v>0</v>
      </c>
      <c r="I56" s="19">
        <v>0</v>
      </c>
      <c r="J56" s="7" t="s">
        <v>147</v>
      </c>
      <c r="K56" s="19">
        <v>0</v>
      </c>
      <c r="L56" s="9"/>
      <c r="M56" s="3" t="str">
        <f>IF($L56="","",IF($L56="DOELPUNTENMAKERS","",IF(AND(COUNTIF(#REF!,$B56)=0,COUNTIF(#REF!,$D56)=0),"OK",IF($O56&gt;20,"LET OP: meer dan 20 items (controle onvolledig)",IF((COUNTIF($R56:$AS56,"ONZEKER")+COUNTIF($CJ56:$DK56,"ONZEKER"))&gt;0,"LET OP: scoreverloop onduidelijk (controle beperkt)",IF((IF($AT56&lt;&gt;"",$AT56&amp;", ","")&amp;IF($AU56&lt;&gt;"",$AU56&amp;", ","")&amp;IF($AV56&lt;&gt;"",$AV56&amp;", ","")&amp;IF($AW56&lt;&gt;"",$AW56&amp;", ","")&amp;IF($AX56&lt;&gt;"",$AX56&amp;", ","")&amp;IF($AY56&lt;&gt;"",$AY56&amp;", ","")&amp;IF($AZ56&lt;&gt;"",$AZ56&amp;", ","")&amp;IF($BA56&lt;&gt;"",$BA56&amp;", ","")&amp;IF($BB56&lt;&gt;"",$BB56&amp;", ","")&amp;IF($BC56&lt;&gt;"",$BC56&amp;", ","")&amp;IF($DL56&lt;&gt;"",$DL56&amp;", ","")&amp;IF($DM56&lt;&gt;"",$DM56&amp;", ","")&amp;IF($DN56&lt;&gt;"",$DN56&amp;", ","")&amp;IF($DO56&lt;&gt;"",$DO56&amp;", ","")&amp;IF($DP56&lt;&gt;"",$DP56&amp;", ","")&amp;IF($DQ56&lt;&gt;"",$DQ56&amp;", ","")&amp;IF($DR56&lt;&gt;"",$DR56&amp;", ","")&amp;IF($DS56&lt;&gt;"",$DS56&amp;", ","")&amp;IF($DT56&lt;&gt;"",$DT56&amp;", ","")&amp;IF($DU56&lt;&gt;"",$DU56&amp;", ",""))="","OK","Onbekend: "&amp;LEFT((IF($AT56&lt;&gt;"",$AT56&amp;", ","")&amp;IF($AU56&lt;&gt;"",$AU56&amp;", ","")&amp;IF($AV56&lt;&gt;"",$AV56&amp;", ","")&amp;IF($AW56&lt;&gt;"",$AW56&amp;", ","")&amp;IF($AX56&lt;&gt;"",$AX56&amp;", ","")&amp;IF($AY56&lt;&gt;"",$AY56&amp;", ","")&amp;IF($AZ56&lt;&gt;"",$AZ56&amp;", ","")&amp;IF($BA56&lt;&gt;"",$BA56&amp;", ","")&amp;IF($BB56&lt;&gt;"",$BB56&amp;", ","")&amp;IF($BC56&lt;&gt;"",$BC56&amp;", ","")&amp;IF($DL56&lt;&gt;"",$DL56&amp;", ","")&amp;IF($DM56&lt;&gt;"",$DM56&amp;", ","")&amp;IF($DN56&lt;&gt;"",$DN56&amp;", ","")&amp;IF($DO56&lt;&gt;"",$DO56&amp;", ","")&amp;IF($DP56&lt;&gt;"",$DP56&amp;", ","")&amp;IF($DQ56&lt;&gt;"",$DQ56&amp;", ","")&amp;IF($DR56&lt;&gt;"",$DR56&amp;", ","")&amp;IF($DS56&lt;&gt;"",$DS56&amp;", ","")&amp;IF($DT56&lt;&gt;"",$DT56&amp;", ","")&amp;IF($DU56&lt;&gt;"",$DU56&amp;", ","")),LEN((IF($AT56&lt;&gt;"",$AT56&amp;", ","")&amp;IF($AU56&lt;&gt;"",$AU56&amp;", ","")&amp;IF($AV56&lt;&gt;"",$AV56&amp;", ","")&amp;IF($AW56&lt;&gt;"",$AW56&amp;", ","")&amp;IF($AX56&lt;&gt;"",$AX56&amp;", ","")&amp;IF($AY56&lt;&gt;"",$AY56&amp;", ","")&amp;IF($AZ56&lt;&gt;"",$AZ56&amp;", ","")&amp;IF($BA56&lt;&gt;"",$BA56&amp;", ","")&amp;IF($BB56&lt;&gt;"",$BB56&amp;", ","")&amp;IF($BC56&lt;&gt;"",$BC56&amp;", ","")&amp;IF($DL56&lt;&gt;"",$DL56&amp;", ","")&amp;IF($DM56&lt;&gt;"",$DM56&amp;", ","")&amp;IF($DN56&lt;&gt;"",$DN56&amp;", ","")&amp;IF($DO56&lt;&gt;"",$DO56&amp;", ","")&amp;IF($DP56&lt;&gt;"",$DP56&amp;", ","")&amp;IF($DQ56&lt;&gt;"",$DQ56&amp;", ","")&amp;IF($DR56&lt;&gt;"",$DR56&amp;", ","")&amp;IF($DS56&lt;&gt;"",$DS56&amp;", ","")&amp;IF($DT56&lt;&gt;"",$DT56&amp;", ","")&amp;IF($DU56&lt;&gt;"",$DU56&amp;", ","")))-2)))))))</f>
        <v/>
      </c>
      <c r="N56" t="str">
        <f t="shared" si="398"/>
        <v/>
      </c>
      <c r="O56" t="str">
        <f t="shared" si="399"/>
        <v/>
      </c>
      <c r="P56" t="str">
        <f t="shared" si="400"/>
        <v/>
      </c>
      <c r="Q56" t="str">
        <f t="shared" si="401"/>
        <v/>
      </c>
      <c r="R56" t="str">
        <f>IF($Q56="","",IF(OR($BE56="",$BF56=""),"ONZEKER",IF(AND($BE56=0+1,$BF56=0),IF(OR(COUNTIF(#REF!,$B56)&gt;0,COUNTIF(#REF!,$B56)=0),"SKIP",IF(COUNTIFS(#REF!,$B56,#REF!,$Q56)&gt;0,"OK","ONBEKEND")),IF(AND($BE56=0,$BF56=0+1),IF(OR(COUNTIF(#REF!,$D56)&gt;0,COUNTIF(#REF!,$D56)=0),"SKIP",IF(COUNTIFS(#REF!,$D56,#REF!,$Q56)&gt;0,"OK","ONBEKEND")),"ONZEKER"))))</f>
        <v/>
      </c>
      <c r="S56" t="str">
        <f t="shared" si="402"/>
        <v/>
      </c>
      <c r="T56" t="str">
        <f t="shared" si="403"/>
        <v/>
      </c>
      <c r="U56" t="str">
        <f>IF($T56="","",IF(OR($BH56="",$BI56=""),"ONZEKER",IF(OR($BE56="",$BF56=""),"ONZEKER",IF(AND($BH56=$BE56+1,$BI56=$BF56),IF(OR(COUNTIF(#REF!,$B56)&gt;0,COUNTIF(#REF!,$B56)=0),"SKIP",IF(COUNTIFS(#REF!,$B56,#REF!,$T56)&gt;0,"OK","ONBEKEND")),IF(AND($BH56=$BE56,$BI56=$BF56+1),IF(OR(COUNTIF(#REF!,$D56)&gt;0,COUNTIF(#REF!,$D56)=0),"SKIP",IF(COUNTIFS(#REF!,$D56,#REF!,$T56)&gt;0,"OK","ONBEKEND")),"ONZEKER")))))</f>
        <v/>
      </c>
      <c r="V56" t="str">
        <f t="shared" si="404"/>
        <v/>
      </c>
      <c r="W56" t="str">
        <f t="shared" si="405"/>
        <v/>
      </c>
      <c r="X56" t="str">
        <f>IF($W56="","",IF(OR($BK56="",$BL56=""),"ONZEKER",IF(OR($BH56="",$BI56=""),"ONZEKER",IF(AND($BK56=$BH56+1,$BL56=$BI56),IF(OR(COUNTIF(#REF!,$B56)&gt;0,COUNTIF(#REF!,$B56)=0),"SKIP",IF(COUNTIFS(#REF!,$B56,#REF!,$W56)&gt;0,"OK","ONBEKEND")),IF(AND($BK56=$BH56,$BL56=$BI56+1),IF(OR(COUNTIF(#REF!,$D56)&gt;0,COUNTIF(#REF!,$D56)=0),"SKIP",IF(COUNTIFS(#REF!,$D56,#REF!,$W56)&gt;0,"OK","ONBEKEND")),"ONZEKER")))))</f>
        <v/>
      </c>
      <c r="Y56" t="str">
        <f t="shared" si="406"/>
        <v/>
      </c>
      <c r="Z56" t="str">
        <f t="shared" si="407"/>
        <v/>
      </c>
      <c r="AA56" t="str">
        <f>IF($Z56="","",IF(OR($BN56="",$BO56=""),"ONZEKER",IF(OR($BK56="",$BL56=""),"ONZEKER",IF(AND($BN56=$BK56+1,$BO56=$BL56),IF(OR(COUNTIF(#REF!,$B56)&gt;0,COUNTIF(#REF!,$B56)=0),"SKIP",IF(COUNTIFS(#REF!,$B56,#REF!,$Z56)&gt;0,"OK","ONBEKEND")),IF(AND($BN56=$BK56,$BO56=$BL56+1),IF(OR(COUNTIF(#REF!,$D56)&gt;0,COUNTIF(#REF!,$D56)=0),"SKIP",IF(COUNTIFS(#REF!,$D56,#REF!,$Z56)&gt;0,"OK","ONBEKEND")),"ONZEKER")))))</f>
        <v/>
      </c>
      <c r="AB56" t="str">
        <f t="shared" si="408"/>
        <v/>
      </c>
      <c r="AC56" t="str">
        <f t="shared" si="409"/>
        <v/>
      </c>
      <c r="AD56" t="str">
        <f>IF($AC56="","",IF(OR($BQ56="",$BR56=""),"ONZEKER",IF(OR($BN56="",$BO56=""),"ONZEKER",IF(AND($BQ56=$BN56+1,$BR56=$BO56),IF(OR(COUNTIF(#REF!,$B56)&gt;0,COUNTIF(#REF!,$B56)=0),"SKIP",IF(COUNTIFS(#REF!,$B56,#REF!,$AC56)&gt;0,"OK","ONBEKEND")),IF(AND($BQ56=$BN56,$BR56=$BO56+1),IF(OR(COUNTIF(#REF!,$D56)&gt;0,COUNTIF(#REF!,$D56)=0),"SKIP",IF(COUNTIFS(#REF!,$D56,#REF!,$AC56)&gt;0,"OK","ONBEKEND")),"ONZEKER")))))</f>
        <v/>
      </c>
      <c r="AE56" t="str">
        <f t="shared" si="410"/>
        <v/>
      </c>
      <c r="AF56" t="str">
        <f t="shared" si="411"/>
        <v/>
      </c>
      <c r="AG56" t="str">
        <f>IF($AF56="","",IF(OR($BT56="",$BU56=""),"ONZEKER",IF(OR($BQ56="",$BR56=""),"ONZEKER",IF(AND($BT56=$BQ56+1,$BU56=$BR56),IF(OR(COUNTIF(#REF!,$B56)&gt;0,COUNTIF(#REF!,$B56)=0),"SKIP",IF(COUNTIFS(#REF!,$B56,#REF!,$AF56)&gt;0,"OK","ONBEKEND")),IF(AND($BT56=$BQ56,$BU56=$BR56+1),IF(OR(COUNTIF(#REF!,$D56)&gt;0,COUNTIF(#REF!,$D56)=0),"SKIP",IF(COUNTIFS(#REF!,$D56,#REF!,$AF56)&gt;0,"OK","ONBEKEND")),"ONZEKER")))))</f>
        <v/>
      </c>
      <c r="AH56" t="str">
        <f t="shared" si="412"/>
        <v/>
      </c>
      <c r="AI56" t="str">
        <f t="shared" si="413"/>
        <v/>
      </c>
      <c r="AJ56" t="str">
        <f>IF($AI56="","",IF(OR($BW56="",$BX56=""),"ONZEKER",IF(OR($BT56="",$BU56=""),"ONZEKER",IF(AND($BW56=$BT56+1,$BX56=$BU56),IF(OR(COUNTIF(#REF!,$B56)&gt;0,COUNTIF(#REF!,$B56)=0),"SKIP",IF(COUNTIFS(#REF!,$B56,#REF!,$AI56)&gt;0,"OK","ONBEKEND")),IF(AND($BW56=$BT56,$BX56=$BU56+1),IF(OR(COUNTIF(#REF!,$D56)&gt;0,COUNTIF(#REF!,$D56)=0),"SKIP",IF(COUNTIFS(#REF!,$D56,#REF!,$AI56)&gt;0,"OK","ONBEKEND")),"ONZEKER")))))</f>
        <v/>
      </c>
      <c r="AK56" t="str">
        <f t="shared" si="414"/>
        <v/>
      </c>
      <c r="AL56" t="str">
        <f t="shared" si="415"/>
        <v/>
      </c>
      <c r="AM56" t="str">
        <f>IF($AL56="","",IF(OR($BZ56="",$CA56=""),"ONZEKER",IF(OR($BW56="",$BX56=""),"ONZEKER",IF(AND($BZ56=$BW56+1,$CA56=$BX56),IF(OR(COUNTIF(#REF!,$B56)&gt;0,COUNTIF(#REF!,$B56)=0),"SKIP",IF(COUNTIFS(#REF!,$B56,#REF!,$AL56)&gt;0,"OK","ONBEKEND")),IF(AND($BZ56=$BW56,$CA56=$BX56+1),IF(OR(COUNTIF(#REF!,$D56)&gt;0,COUNTIF(#REF!,$D56)=0),"SKIP",IF(COUNTIFS(#REF!,$D56,#REF!,$AL56)&gt;0,"OK","ONBEKEND")),"ONZEKER")))))</f>
        <v/>
      </c>
      <c r="AN56" t="str">
        <f t="shared" si="416"/>
        <v/>
      </c>
      <c r="AO56" t="str">
        <f t="shared" si="417"/>
        <v/>
      </c>
      <c r="AP56" t="str">
        <f>IF($AO56="","",IF(OR($CC56="",$CD56=""),"ONZEKER",IF(OR($BZ56="",$CA56=""),"ONZEKER",IF(AND($CC56=$BZ56+1,$CD56=$CA56),IF(OR(COUNTIF(#REF!,$B56)&gt;0,COUNTIF(#REF!,$B56)=0),"SKIP",IF(COUNTIFS(#REF!,$B56,#REF!,$AO56)&gt;0,"OK","ONBEKEND")),IF(AND($CC56=$BZ56,$CD56=$CA56+1),IF(OR(COUNTIF(#REF!,$D56)&gt;0,COUNTIF(#REF!,$D56)=0),"SKIP",IF(COUNTIFS(#REF!,$D56,#REF!,$AO56)&gt;0,"OK","ONBEKEND")),"ONZEKER")))))</f>
        <v/>
      </c>
      <c r="AQ56" t="str">
        <f t="shared" si="418"/>
        <v/>
      </c>
      <c r="AR56" t="str">
        <f t="shared" si="419"/>
        <v/>
      </c>
      <c r="AS56" t="str">
        <f>IF($AR56="","",IF(OR($CF56="",$CG56=""),"ONZEKER",IF(OR($CC56="",$CD56=""),"ONZEKER",IF(AND($CF56=$CC56+1,$CG56=$CD56),IF(OR(COUNTIF(#REF!,$B56)&gt;0,COUNTIF(#REF!,$B56)=0),"SKIP",IF(COUNTIFS(#REF!,$B56,#REF!,$AR56)&gt;0,"OK","ONBEKEND")),IF(AND($CF56=$CC56,$CG56=$CD56+1),IF(OR(COUNTIF(#REF!,$D56)&gt;0,COUNTIF(#REF!,$D56)=0),"SKIP",IF(COUNTIFS(#REF!,$D56,#REF!,$AR56)&gt;0,"OK","ONBEKEND")),"ONZEKER")))))</f>
        <v/>
      </c>
      <c r="AT56" t="str">
        <f t="shared" si="420"/>
        <v/>
      </c>
      <c r="AU56" t="str">
        <f t="shared" si="421"/>
        <v/>
      </c>
      <c r="AV56" t="str">
        <f t="shared" si="422"/>
        <v/>
      </c>
      <c r="AW56" t="str">
        <f t="shared" si="423"/>
        <v/>
      </c>
      <c r="AX56" t="str">
        <f t="shared" si="424"/>
        <v/>
      </c>
      <c r="AY56" t="str">
        <f t="shared" si="425"/>
        <v/>
      </c>
      <c r="AZ56" t="str">
        <f t="shared" si="426"/>
        <v/>
      </c>
      <c r="BA56" t="str">
        <f t="shared" si="427"/>
        <v/>
      </c>
      <c r="BB56" t="str">
        <f t="shared" si="428"/>
        <v/>
      </c>
      <c r="BC56" t="str">
        <f t="shared" si="429"/>
        <v/>
      </c>
      <c r="BD56" t="str">
        <f t="shared" si="32"/>
        <v/>
      </c>
      <c r="BE56" t="str">
        <f t="shared" si="33"/>
        <v/>
      </c>
      <c r="BF56" t="str">
        <f t="shared" si="34"/>
        <v/>
      </c>
      <c r="BG56" t="str">
        <f t="shared" si="35"/>
        <v/>
      </c>
      <c r="BH56" t="str">
        <f t="shared" si="36"/>
        <v/>
      </c>
      <c r="BI56" t="str">
        <f t="shared" si="37"/>
        <v/>
      </c>
      <c r="BJ56" t="str">
        <f t="shared" si="38"/>
        <v/>
      </c>
      <c r="BK56" t="str">
        <f t="shared" si="39"/>
        <v/>
      </c>
      <c r="BL56" t="str">
        <f t="shared" si="40"/>
        <v/>
      </c>
      <c r="BM56" t="str">
        <f t="shared" si="41"/>
        <v/>
      </c>
      <c r="BN56" t="str">
        <f t="shared" si="42"/>
        <v/>
      </c>
      <c r="BO56" t="str">
        <f t="shared" si="43"/>
        <v/>
      </c>
      <c r="BP56" t="str">
        <f t="shared" si="44"/>
        <v/>
      </c>
      <c r="BQ56" t="str">
        <f t="shared" si="45"/>
        <v/>
      </c>
      <c r="BR56" t="str">
        <f t="shared" si="46"/>
        <v/>
      </c>
      <c r="BS56" t="str">
        <f t="shared" si="47"/>
        <v/>
      </c>
      <c r="BT56" t="str">
        <f t="shared" si="48"/>
        <v/>
      </c>
      <c r="BU56" t="str">
        <f t="shared" si="49"/>
        <v/>
      </c>
      <c r="BV56" t="str">
        <f t="shared" si="50"/>
        <v/>
      </c>
      <c r="BW56" t="str">
        <f t="shared" si="51"/>
        <v/>
      </c>
      <c r="BX56" t="str">
        <f t="shared" si="52"/>
        <v/>
      </c>
      <c r="BY56" t="str">
        <f t="shared" si="53"/>
        <v/>
      </c>
      <c r="BZ56" t="str">
        <f t="shared" si="54"/>
        <v/>
      </c>
      <c r="CA56" t="str">
        <f t="shared" si="55"/>
        <v/>
      </c>
      <c r="CB56" t="str">
        <f t="shared" si="56"/>
        <v/>
      </c>
      <c r="CC56" t="str">
        <f t="shared" si="57"/>
        <v/>
      </c>
      <c r="CD56" t="str">
        <f t="shared" si="58"/>
        <v/>
      </c>
      <c r="CE56" t="str">
        <f t="shared" si="59"/>
        <v/>
      </c>
      <c r="CF56" t="str">
        <f t="shared" si="60"/>
        <v/>
      </c>
      <c r="CG56" t="str">
        <f t="shared" si="61"/>
        <v/>
      </c>
      <c r="CH56" t="str">
        <f t="shared" si="430"/>
        <v/>
      </c>
      <c r="CI56" t="str">
        <f t="shared" si="431"/>
        <v/>
      </c>
      <c r="CJ56" t="str">
        <f>IF($CI56="","",IF(OR($DW56="",$DX56=""),"ONZEKER",IF(OR($CF56="",$CG56=""),"ONZEKER",IF(AND($DW56=$CF56+1,$DX56=$CG56),IF(OR(COUNTIF(#REF!,$B56)&gt;0,COUNTIF(#REF!,$B56)=0),"SKIP",IF(COUNTIFS(#REF!,$B56,#REF!,$CI56)&gt;0,"OK","ONBEKEND")),IF(AND($DW56=$CF56,$DX56=$CG56+1),IF(OR(COUNTIF(#REF!,$D56)&gt;0,COUNTIF(#REF!,$D56)=0),"SKIP",IF(COUNTIFS(#REF!,$D56,#REF!,$CI56)&gt;0,"OK","ONBEKEND")),"ONZEKER")))))</f>
        <v/>
      </c>
      <c r="CK56" t="str">
        <f t="shared" si="432"/>
        <v/>
      </c>
      <c r="CL56" t="str">
        <f t="shared" si="433"/>
        <v/>
      </c>
      <c r="CM56" t="str">
        <f>IF($CL56="","",IF(OR($DZ56="",$EA56=""),"ONZEKER",IF(OR($DW56="",$DX56=""),"ONZEKER",IF(AND($DZ56=$DW56+1,$EA56=$DX56),IF(OR(COUNTIF(#REF!,$B56)&gt;0,COUNTIF(#REF!,$B56)=0),"SKIP",IF(COUNTIFS(#REF!,$B56,#REF!,$CL56)&gt;0,"OK","ONBEKEND")),IF(AND($DZ56=$DW56,$EA56=$DX56+1),IF(OR(COUNTIF(#REF!,$D56)&gt;0,COUNTIF(#REF!,$D56)=0),"SKIP",IF(COUNTIFS(#REF!,$D56,#REF!,$CL56)&gt;0,"OK","ONBEKEND")),"ONZEKER")))))</f>
        <v/>
      </c>
      <c r="CN56" t="str">
        <f t="shared" si="434"/>
        <v/>
      </c>
      <c r="CO56" t="str">
        <f t="shared" si="435"/>
        <v/>
      </c>
      <c r="CP56" t="str">
        <f>IF($CO56="","",IF(OR($EC56="",$ED56=""),"ONZEKER",IF(OR($DZ56="",$EA56=""),"ONZEKER",IF(AND($EC56=$DZ56+1,$ED56=$EA56),IF(OR(COUNTIF(#REF!,$B56)&gt;0,COUNTIF(#REF!,$B56)=0),"SKIP",IF(COUNTIFS(#REF!,$B56,#REF!,$CO56)&gt;0,"OK","ONBEKEND")),IF(AND($EC56=$DZ56,$ED56=$EA56+1),IF(OR(COUNTIF(#REF!,$D56)&gt;0,COUNTIF(#REF!,$D56)=0),"SKIP",IF(COUNTIFS(#REF!,$D56,#REF!,$CO56)&gt;0,"OK","ONBEKEND")),"ONZEKER")))))</f>
        <v/>
      </c>
      <c r="CQ56" t="str">
        <f t="shared" si="436"/>
        <v/>
      </c>
      <c r="CR56" t="str">
        <f t="shared" si="437"/>
        <v/>
      </c>
      <c r="CS56" t="str">
        <f>IF($CR56="","",IF(OR($EF56="",$EG56=""),"ONZEKER",IF(OR($EC56="",$ED56=""),"ONZEKER",IF(AND($EF56=$EC56+1,$EG56=$ED56),IF(OR(COUNTIF(#REF!,$B56)&gt;0,COUNTIF(#REF!,$B56)=0),"SKIP",IF(COUNTIFS(#REF!,$B56,#REF!,$CR56)&gt;0,"OK","ONBEKEND")),IF(AND($EF56=$EC56,$EG56=$ED56+1),IF(OR(COUNTIF(#REF!,$D56)&gt;0,COUNTIF(#REF!,$D56)=0),"SKIP",IF(COUNTIFS(#REF!,$D56,#REF!,$CR56)&gt;0,"OK","ONBEKEND")),"ONZEKER")))))</f>
        <v/>
      </c>
      <c r="CT56" t="str">
        <f t="shared" si="438"/>
        <v/>
      </c>
      <c r="CU56" t="str">
        <f t="shared" si="439"/>
        <v/>
      </c>
      <c r="CV56" t="str">
        <f>IF($CU56="","",IF(OR($EI56="",$EJ56=""),"ONZEKER",IF(OR($EF56="",$EG56=""),"ONZEKER",IF(AND($EI56=$EF56+1,$EJ56=$EG56),IF(OR(COUNTIF(#REF!,$B56)&gt;0,COUNTIF(#REF!,$B56)=0),"SKIP",IF(COUNTIFS(#REF!,$B56,#REF!,$CU56)&gt;0,"OK","ONBEKEND")),IF(AND($EI56=$EF56,$EJ56=$EG56+1),IF(OR(COUNTIF(#REF!,$D56)&gt;0,COUNTIF(#REF!,$D56)=0),"SKIP",IF(COUNTIFS(#REF!,$D56,#REF!,$CU56)&gt;0,"OK","ONBEKEND")),"ONZEKER")))))</f>
        <v/>
      </c>
      <c r="CW56" t="str">
        <f t="shared" si="440"/>
        <v/>
      </c>
      <c r="CX56" t="str">
        <f t="shared" si="441"/>
        <v/>
      </c>
      <c r="CY56" t="str">
        <f>IF($CX56="","",IF(OR($EL56="",$EM56=""),"ONZEKER",IF(OR($EI56="",$EJ56=""),"ONZEKER",IF(AND($EL56=$EI56+1,$EM56=$EJ56),IF(OR(COUNTIF(#REF!,$B56)&gt;0,COUNTIF(#REF!,$B56)=0),"SKIP",IF(COUNTIFS(#REF!,$B56,#REF!,$CX56)&gt;0,"OK","ONBEKEND")),IF(AND($EL56=$EI56,$EM56=$EJ56+1),IF(OR(COUNTIF(#REF!,$D56)&gt;0,COUNTIF(#REF!,$D56)=0),"SKIP",IF(COUNTIFS(#REF!,$D56,#REF!,$CX56)&gt;0,"OK","ONBEKEND")),"ONZEKER")))))</f>
        <v/>
      </c>
      <c r="CZ56" t="str">
        <f t="shared" si="442"/>
        <v/>
      </c>
      <c r="DA56" t="str">
        <f t="shared" si="443"/>
        <v/>
      </c>
      <c r="DB56" t="str">
        <f>IF($DA56="","",IF(OR($EO56="",$EP56=""),"ONZEKER",IF(OR($EL56="",$EM56=""),"ONZEKER",IF(AND($EO56=$EL56+1,$EP56=$EM56),IF(OR(COUNTIF(#REF!,$B56)&gt;0,COUNTIF(#REF!,$B56)=0),"SKIP",IF(COUNTIFS(#REF!,$B56,#REF!,$DA56)&gt;0,"OK","ONBEKEND")),IF(AND($EO56=$EL56,$EP56=$EM56+1),IF(OR(COUNTIF(#REF!,$D56)&gt;0,COUNTIF(#REF!,$D56)=0),"SKIP",IF(COUNTIFS(#REF!,$D56,#REF!,$DA56)&gt;0,"OK","ONBEKEND")),"ONZEKER")))))</f>
        <v/>
      </c>
      <c r="DC56" t="str">
        <f t="shared" si="444"/>
        <v/>
      </c>
      <c r="DD56" t="str">
        <f t="shared" si="445"/>
        <v/>
      </c>
      <c r="DE56" t="str">
        <f>IF($DD56="","",IF(OR($ER56="",$ES56=""),"ONZEKER",IF(OR($EO56="",$EP56=""),"ONZEKER",IF(AND($ER56=$EO56+1,$ES56=$EP56),IF(OR(COUNTIF(#REF!,$B56)&gt;0,COUNTIF(#REF!,$B56)=0),"SKIP",IF(COUNTIFS(#REF!,$B56,#REF!,$DD56)&gt;0,"OK","ONBEKEND")),IF(AND($ER56=$EO56,$ES56=$EP56+1),IF(OR(COUNTIF(#REF!,$D56)&gt;0,COUNTIF(#REF!,$D56)=0),"SKIP",IF(COUNTIFS(#REF!,$D56,#REF!,$DD56)&gt;0,"OK","ONBEKEND")),"ONZEKER")))))</f>
        <v/>
      </c>
      <c r="DF56" t="str">
        <f t="shared" si="446"/>
        <v/>
      </c>
      <c r="DG56" t="str">
        <f t="shared" si="447"/>
        <v/>
      </c>
      <c r="DH56" t="str">
        <f>IF($DG56="","",IF(OR($EU56="",$EV56=""),"ONZEKER",IF(OR($ER56="",$ES56=""),"ONZEKER",IF(AND($EU56=$ER56+1,$EV56=$ES56),IF(OR(COUNTIF(#REF!,$B56)&gt;0,COUNTIF(#REF!,$B56)=0),"SKIP",IF(COUNTIFS(#REF!,$B56,#REF!,$DG56)&gt;0,"OK","ONBEKEND")),IF(AND($EU56=$ER56,$EV56=$ES56+1),IF(OR(COUNTIF(#REF!,$D56)&gt;0,COUNTIF(#REF!,$D56)=0),"SKIP",IF(COUNTIFS(#REF!,$D56,#REF!,$DG56)&gt;0,"OK","ONBEKEND")),"ONZEKER")))))</f>
        <v/>
      </c>
      <c r="DI56" t="str">
        <f t="shared" si="448"/>
        <v/>
      </c>
      <c r="DJ56" t="str">
        <f t="shared" si="449"/>
        <v/>
      </c>
      <c r="DK56" t="str">
        <f>IF($DJ56="","",IF(OR($EX56="",$EY56=""),"ONZEKER",IF(OR($EU56="",$EV56=""),"ONZEKER",IF(AND($EX56=$EU56+1,$EY56=$EV56),IF(OR(COUNTIF(#REF!,$B56)&gt;0,COUNTIF(#REF!,$B56)=0),"SKIP",IF(COUNTIFS(#REF!,$B56,#REF!,$DJ56)&gt;0,"OK","ONBEKEND")),IF(AND($EX56=$EU56,$EY56=$EV56+1),IF(OR(COUNTIF(#REF!,$D56)&gt;0,COUNTIF(#REF!,$D56)=0),"SKIP",IF(COUNTIFS(#REF!,$D56,#REF!,$DJ56)&gt;0,"OK","ONBEKEND")),"ONZEKER")))))</f>
        <v/>
      </c>
      <c r="DL56" t="str">
        <f t="shared" si="450"/>
        <v/>
      </c>
      <c r="DM56" t="str">
        <f t="shared" si="451"/>
        <v/>
      </c>
      <c r="DN56" t="str">
        <f t="shared" si="452"/>
        <v/>
      </c>
      <c r="DO56" t="str">
        <f t="shared" si="453"/>
        <v/>
      </c>
      <c r="DP56" t="str">
        <f t="shared" si="454"/>
        <v/>
      </c>
      <c r="DQ56" t="str">
        <f t="shared" si="455"/>
        <v/>
      </c>
      <c r="DR56" t="str">
        <f t="shared" si="456"/>
        <v/>
      </c>
      <c r="DS56" t="str">
        <f t="shared" si="457"/>
        <v/>
      </c>
      <c r="DT56" t="str">
        <f t="shared" si="458"/>
        <v/>
      </c>
      <c r="DU56" t="str">
        <f t="shared" si="459"/>
        <v/>
      </c>
      <c r="DV56" t="str">
        <f t="shared" si="460"/>
        <v/>
      </c>
      <c r="DW56" t="str">
        <f t="shared" si="461"/>
        <v/>
      </c>
      <c r="DX56" t="str">
        <f t="shared" si="462"/>
        <v/>
      </c>
      <c r="DY56" t="str">
        <f t="shared" si="463"/>
        <v/>
      </c>
      <c r="DZ56" t="str">
        <f t="shared" si="464"/>
        <v/>
      </c>
      <c r="EA56" t="str">
        <f t="shared" si="465"/>
        <v/>
      </c>
      <c r="EB56" t="str">
        <f t="shared" si="466"/>
        <v/>
      </c>
      <c r="EC56" t="str">
        <f t="shared" si="467"/>
        <v/>
      </c>
      <c r="ED56" t="str">
        <f t="shared" si="468"/>
        <v/>
      </c>
      <c r="EE56" t="str">
        <f t="shared" si="469"/>
        <v/>
      </c>
      <c r="EF56" t="str">
        <f t="shared" si="470"/>
        <v/>
      </c>
      <c r="EG56" t="str">
        <f t="shared" si="471"/>
        <v/>
      </c>
      <c r="EH56" t="str">
        <f t="shared" si="472"/>
        <v/>
      </c>
      <c r="EI56" t="str">
        <f t="shared" si="473"/>
        <v/>
      </c>
      <c r="EJ56" t="str">
        <f t="shared" si="474"/>
        <v/>
      </c>
      <c r="EK56" t="str">
        <f t="shared" si="475"/>
        <v/>
      </c>
      <c r="EL56" t="str">
        <f t="shared" si="476"/>
        <v/>
      </c>
      <c r="EM56" t="str">
        <f t="shared" si="477"/>
        <v/>
      </c>
      <c r="EN56" t="str">
        <f t="shared" si="478"/>
        <v/>
      </c>
      <c r="EO56" t="str">
        <f t="shared" si="479"/>
        <v/>
      </c>
      <c r="EP56" t="str">
        <f t="shared" si="480"/>
        <v/>
      </c>
      <c r="EQ56" t="str">
        <f t="shared" si="481"/>
        <v/>
      </c>
      <c r="ER56" t="str">
        <f t="shared" si="482"/>
        <v/>
      </c>
      <c r="ES56" t="str">
        <f t="shared" si="483"/>
        <v/>
      </c>
      <c r="ET56" t="str">
        <f t="shared" si="484"/>
        <v/>
      </c>
      <c r="EU56" t="str">
        <f t="shared" si="485"/>
        <v/>
      </c>
      <c r="EV56" t="str">
        <f t="shared" si="486"/>
        <v/>
      </c>
      <c r="EW56" t="str">
        <f t="shared" si="487"/>
        <v/>
      </c>
      <c r="EX56" t="str">
        <f t="shared" si="488"/>
        <v/>
      </c>
      <c r="EY56" t="str">
        <f t="shared" si="489"/>
        <v/>
      </c>
    </row>
    <row r="57" spans="1:155" ht="13.9" customHeight="1" x14ac:dyDescent="0.25">
      <c r="A57" s="7"/>
      <c r="B57" s="17"/>
      <c r="C57" s="8"/>
      <c r="D57" s="17"/>
      <c r="E57" s="8"/>
      <c r="F57" s="18">
        <v>0</v>
      </c>
      <c r="G57" s="7" t="s">
        <v>147</v>
      </c>
      <c r="H57" s="18">
        <v>0</v>
      </c>
      <c r="I57" s="19">
        <v>0</v>
      </c>
      <c r="J57" s="7" t="s">
        <v>147</v>
      </c>
      <c r="K57" s="19">
        <v>0</v>
      </c>
      <c r="L57" s="9"/>
      <c r="M57" s="3" t="str">
        <f>IF($L57="","",IF($L57="DOELPUNTENMAKERS","",IF(AND(COUNTIF(#REF!,$B57)=0,COUNTIF(#REF!,$D57)=0),"OK",IF($O57&gt;20,"LET OP: meer dan 20 items (controle onvolledig)",IF((COUNTIF($R57:$AS57,"ONZEKER")+COUNTIF($CJ57:$DK57,"ONZEKER"))&gt;0,"LET OP: scoreverloop onduidelijk (controle beperkt)",IF((IF($AT57&lt;&gt;"",$AT57&amp;", ","")&amp;IF($AU57&lt;&gt;"",$AU57&amp;", ","")&amp;IF($AV57&lt;&gt;"",$AV57&amp;", ","")&amp;IF($AW57&lt;&gt;"",$AW57&amp;", ","")&amp;IF($AX57&lt;&gt;"",$AX57&amp;", ","")&amp;IF($AY57&lt;&gt;"",$AY57&amp;", ","")&amp;IF($AZ57&lt;&gt;"",$AZ57&amp;", ","")&amp;IF($BA57&lt;&gt;"",$BA57&amp;", ","")&amp;IF($BB57&lt;&gt;"",$BB57&amp;", ","")&amp;IF($BC57&lt;&gt;"",$BC57&amp;", ","")&amp;IF($DL57&lt;&gt;"",$DL57&amp;", ","")&amp;IF($DM57&lt;&gt;"",$DM57&amp;", ","")&amp;IF($DN57&lt;&gt;"",$DN57&amp;", ","")&amp;IF($DO57&lt;&gt;"",$DO57&amp;", ","")&amp;IF($DP57&lt;&gt;"",$DP57&amp;", ","")&amp;IF($DQ57&lt;&gt;"",$DQ57&amp;", ","")&amp;IF($DR57&lt;&gt;"",$DR57&amp;", ","")&amp;IF($DS57&lt;&gt;"",$DS57&amp;", ","")&amp;IF($DT57&lt;&gt;"",$DT57&amp;", ","")&amp;IF($DU57&lt;&gt;"",$DU57&amp;", ",""))="","OK","Onbekend: "&amp;LEFT((IF($AT57&lt;&gt;"",$AT57&amp;", ","")&amp;IF($AU57&lt;&gt;"",$AU57&amp;", ","")&amp;IF($AV57&lt;&gt;"",$AV57&amp;", ","")&amp;IF($AW57&lt;&gt;"",$AW57&amp;", ","")&amp;IF($AX57&lt;&gt;"",$AX57&amp;", ","")&amp;IF($AY57&lt;&gt;"",$AY57&amp;", ","")&amp;IF($AZ57&lt;&gt;"",$AZ57&amp;", ","")&amp;IF($BA57&lt;&gt;"",$BA57&amp;", ","")&amp;IF($BB57&lt;&gt;"",$BB57&amp;", ","")&amp;IF($BC57&lt;&gt;"",$BC57&amp;", ","")&amp;IF($DL57&lt;&gt;"",$DL57&amp;", ","")&amp;IF($DM57&lt;&gt;"",$DM57&amp;", ","")&amp;IF($DN57&lt;&gt;"",$DN57&amp;", ","")&amp;IF($DO57&lt;&gt;"",$DO57&amp;", ","")&amp;IF($DP57&lt;&gt;"",$DP57&amp;", ","")&amp;IF($DQ57&lt;&gt;"",$DQ57&amp;", ","")&amp;IF($DR57&lt;&gt;"",$DR57&amp;", ","")&amp;IF($DS57&lt;&gt;"",$DS57&amp;", ","")&amp;IF($DT57&lt;&gt;"",$DT57&amp;", ","")&amp;IF($DU57&lt;&gt;"",$DU57&amp;", ","")),LEN((IF($AT57&lt;&gt;"",$AT57&amp;", ","")&amp;IF($AU57&lt;&gt;"",$AU57&amp;", ","")&amp;IF($AV57&lt;&gt;"",$AV57&amp;", ","")&amp;IF($AW57&lt;&gt;"",$AW57&amp;", ","")&amp;IF($AX57&lt;&gt;"",$AX57&amp;", ","")&amp;IF($AY57&lt;&gt;"",$AY57&amp;", ","")&amp;IF($AZ57&lt;&gt;"",$AZ57&amp;", ","")&amp;IF($BA57&lt;&gt;"",$BA57&amp;", ","")&amp;IF($BB57&lt;&gt;"",$BB57&amp;", ","")&amp;IF($BC57&lt;&gt;"",$BC57&amp;", ","")&amp;IF($DL57&lt;&gt;"",$DL57&amp;", ","")&amp;IF($DM57&lt;&gt;"",$DM57&amp;", ","")&amp;IF($DN57&lt;&gt;"",$DN57&amp;", ","")&amp;IF($DO57&lt;&gt;"",$DO57&amp;", ","")&amp;IF($DP57&lt;&gt;"",$DP57&amp;", ","")&amp;IF($DQ57&lt;&gt;"",$DQ57&amp;", ","")&amp;IF($DR57&lt;&gt;"",$DR57&amp;", ","")&amp;IF($DS57&lt;&gt;"",$DS57&amp;", ","")&amp;IF($DT57&lt;&gt;"",$DT57&amp;", ","")&amp;IF($DU57&lt;&gt;"",$DU57&amp;", ","")))-2)))))))</f>
        <v/>
      </c>
      <c r="N57" t="str">
        <f t="shared" si="398"/>
        <v/>
      </c>
      <c r="O57" t="str">
        <f t="shared" si="399"/>
        <v/>
      </c>
      <c r="P57" t="str">
        <f t="shared" si="400"/>
        <v/>
      </c>
      <c r="Q57" t="str">
        <f t="shared" si="401"/>
        <v/>
      </c>
      <c r="R57" t="str">
        <f>IF($Q57="","",IF(OR($BE57="",$BF57=""),"ONZEKER",IF(AND($BE57=0+1,$BF57=0),IF(OR(COUNTIF(#REF!,$B57)&gt;0,COUNTIF(#REF!,$B57)=0),"SKIP",IF(COUNTIFS(#REF!,$B57,#REF!,$Q57)&gt;0,"OK","ONBEKEND")),IF(AND($BE57=0,$BF57=0+1),IF(OR(COUNTIF(#REF!,$D57)&gt;0,COUNTIF(#REF!,$D57)=0),"SKIP",IF(COUNTIFS(#REF!,$D57,#REF!,$Q57)&gt;0,"OK","ONBEKEND")),"ONZEKER"))))</f>
        <v/>
      </c>
      <c r="S57" t="str">
        <f t="shared" si="402"/>
        <v/>
      </c>
      <c r="T57" t="str">
        <f t="shared" si="403"/>
        <v/>
      </c>
      <c r="U57" t="str">
        <f>IF($T57="","",IF(OR($BH57="",$BI57=""),"ONZEKER",IF(OR($BE57="",$BF57=""),"ONZEKER",IF(AND($BH57=$BE57+1,$BI57=$BF57),IF(OR(COUNTIF(#REF!,$B57)&gt;0,COUNTIF(#REF!,$B57)=0),"SKIP",IF(COUNTIFS(#REF!,$B57,#REF!,$T57)&gt;0,"OK","ONBEKEND")),IF(AND($BH57=$BE57,$BI57=$BF57+1),IF(OR(COUNTIF(#REF!,$D57)&gt;0,COUNTIF(#REF!,$D57)=0),"SKIP",IF(COUNTIFS(#REF!,$D57,#REF!,$T57)&gt;0,"OK","ONBEKEND")),"ONZEKER")))))</f>
        <v/>
      </c>
      <c r="V57" t="str">
        <f t="shared" si="404"/>
        <v/>
      </c>
      <c r="W57" t="str">
        <f t="shared" si="405"/>
        <v/>
      </c>
      <c r="X57" t="str">
        <f>IF($W57="","",IF(OR($BK57="",$BL57=""),"ONZEKER",IF(OR($BH57="",$BI57=""),"ONZEKER",IF(AND($BK57=$BH57+1,$BL57=$BI57),IF(OR(COUNTIF(#REF!,$B57)&gt;0,COUNTIF(#REF!,$B57)=0),"SKIP",IF(COUNTIFS(#REF!,$B57,#REF!,$W57)&gt;0,"OK","ONBEKEND")),IF(AND($BK57=$BH57,$BL57=$BI57+1),IF(OR(COUNTIF(#REF!,$D57)&gt;0,COUNTIF(#REF!,$D57)=0),"SKIP",IF(COUNTIFS(#REF!,$D57,#REF!,$W57)&gt;0,"OK","ONBEKEND")),"ONZEKER")))))</f>
        <v/>
      </c>
      <c r="Y57" t="str">
        <f t="shared" si="406"/>
        <v/>
      </c>
      <c r="Z57" t="str">
        <f t="shared" si="407"/>
        <v/>
      </c>
      <c r="AA57" t="str">
        <f>IF($Z57="","",IF(OR($BN57="",$BO57=""),"ONZEKER",IF(OR($BK57="",$BL57=""),"ONZEKER",IF(AND($BN57=$BK57+1,$BO57=$BL57),IF(OR(COUNTIF(#REF!,$B57)&gt;0,COUNTIF(#REF!,$B57)=0),"SKIP",IF(COUNTIFS(#REF!,$B57,#REF!,$Z57)&gt;0,"OK","ONBEKEND")),IF(AND($BN57=$BK57,$BO57=$BL57+1),IF(OR(COUNTIF(#REF!,$D57)&gt;0,COUNTIF(#REF!,$D57)=0),"SKIP",IF(COUNTIFS(#REF!,$D57,#REF!,$Z57)&gt;0,"OK","ONBEKEND")),"ONZEKER")))))</f>
        <v/>
      </c>
      <c r="AB57" t="str">
        <f t="shared" si="408"/>
        <v/>
      </c>
      <c r="AC57" t="str">
        <f t="shared" si="409"/>
        <v/>
      </c>
      <c r="AD57" t="str">
        <f>IF($AC57="","",IF(OR($BQ57="",$BR57=""),"ONZEKER",IF(OR($BN57="",$BO57=""),"ONZEKER",IF(AND($BQ57=$BN57+1,$BR57=$BO57),IF(OR(COUNTIF(#REF!,$B57)&gt;0,COUNTIF(#REF!,$B57)=0),"SKIP",IF(COUNTIFS(#REF!,$B57,#REF!,$AC57)&gt;0,"OK","ONBEKEND")),IF(AND($BQ57=$BN57,$BR57=$BO57+1),IF(OR(COUNTIF(#REF!,$D57)&gt;0,COUNTIF(#REF!,$D57)=0),"SKIP",IF(COUNTIFS(#REF!,$D57,#REF!,$AC57)&gt;0,"OK","ONBEKEND")),"ONZEKER")))))</f>
        <v/>
      </c>
      <c r="AE57" t="str">
        <f t="shared" si="410"/>
        <v/>
      </c>
      <c r="AF57" t="str">
        <f t="shared" si="411"/>
        <v/>
      </c>
      <c r="AG57" t="str">
        <f>IF($AF57="","",IF(OR($BT57="",$BU57=""),"ONZEKER",IF(OR($BQ57="",$BR57=""),"ONZEKER",IF(AND($BT57=$BQ57+1,$BU57=$BR57),IF(OR(COUNTIF(#REF!,$B57)&gt;0,COUNTIF(#REF!,$B57)=0),"SKIP",IF(COUNTIFS(#REF!,$B57,#REF!,$AF57)&gt;0,"OK","ONBEKEND")),IF(AND($BT57=$BQ57,$BU57=$BR57+1),IF(OR(COUNTIF(#REF!,$D57)&gt;0,COUNTIF(#REF!,$D57)=0),"SKIP",IF(COUNTIFS(#REF!,$D57,#REF!,$AF57)&gt;0,"OK","ONBEKEND")),"ONZEKER")))))</f>
        <v/>
      </c>
      <c r="AH57" t="str">
        <f t="shared" si="412"/>
        <v/>
      </c>
      <c r="AI57" t="str">
        <f t="shared" si="413"/>
        <v/>
      </c>
      <c r="AJ57" t="str">
        <f>IF($AI57="","",IF(OR($BW57="",$BX57=""),"ONZEKER",IF(OR($BT57="",$BU57=""),"ONZEKER",IF(AND($BW57=$BT57+1,$BX57=$BU57),IF(OR(COUNTIF(#REF!,$B57)&gt;0,COUNTIF(#REF!,$B57)=0),"SKIP",IF(COUNTIFS(#REF!,$B57,#REF!,$AI57)&gt;0,"OK","ONBEKEND")),IF(AND($BW57=$BT57,$BX57=$BU57+1),IF(OR(COUNTIF(#REF!,$D57)&gt;0,COUNTIF(#REF!,$D57)=0),"SKIP",IF(COUNTIFS(#REF!,$D57,#REF!,$AI57)&gt;0,"OK","ONBEKEND")),"ONZEKER")))))</f>
        <v/>
      </c>
      <c r="AK57" t="str">
        <f t="shared" si="414"/>
        <v/>
      </c>
      <c r="AL57" t="str">
        <f t="shared" si="415"/>
        <v/>
      </c>
      <c r="AM57" t="str">
        <f>IF($AL57="","",IF(OR($BZ57="",$CA57=""),"ONZEKER",IF(OR($BW57="",$BX57=""),"ONZEKER",IF(AND($BZ57=$BW57+1,$CA57=$BX57),IF(OR(COUNTIF(#REF!,$B57)&gt;0,COUNTIF(#REF!,$B57)=0),"SKIP",IF(COUNTIFS(#REF!,$B57,#REF!,$AL57)&gt;0,"OK","ONBEKEND")),IF(AND($BZ57=$BW57,$CA57=$BX57+1),IF(OR(COUNTIF(#REF!,$D57)&gt;0,COUNTIF(#REF!,$D57)=0),"SKIP",IF(COUNTIFS(#REF!,$D57,#REF!,$AL57)&gt;0,"OK","ONBEKEND")),"ONZEKER")))))</f>
        <v/>
      </c>
      <c r="AN57" t="str">
        <f t="shared" si="416"/>
        <v/>
      </c>
      <c r="AO57" t="str">
        <f t="shared" si="417"/>
        <v/>
      </c>
      <c r="AP57" t="str">
        <f>IF($AO57="","",IF(OR($CC57="",$CD57=""),"ONZEKER",IF(OR($BZ57="",$CA57=""),"ONZEKER",IF(AND($CC57=$BZ57+1,$CD57=$CA57),IF(OR(COUNTIF(#REF!,$B57)&gt;0,COUNTIF(#REF!,$B57)=0),"SKIP",IF(COUNTIFS(#REF!,$B57,#REF!,$AO57)&gt;0,"OK","ONBEKEND")),IF(AND($CC57=$BZ57,$CD57=$CA57+1),IF(OR(COUNTIF(#REF!,$D57)&gt;0,COUNTIF(#REF!,$D57)=0),"SKIP",IF(COUNTIFS(#REF!,$D57,#REF!,$AO57)&gt;0,"OK","ONBEKEND")),"ONZEKER")))))</f>
        <v/>
      </c>
      <c r="AQ57" t="str">
        <f t="shared" si="418"/>
        <v/>
      </c>
      <c r="AR57" t="str">
        <f t="shared" si="419"/>
        <v/>
      </c>
      <c r="AS57" t="str">
        <f>IF($AR57="","",IF(OR($CF57="",$CG57=""),"ONZEKER",IF(OR($CC57="",$CD57=""),"ONZEKER",IF(AND($CF57=$CC57+1,$CG57=$CD57),IF(OR(COUNTIF(#REF!,$B57)&gt;0,COUNTIF(#REF!,$B57)=0),"SKIP",IF(COUNTIFS(#REF!,$B57,#REF!,$AR57)&gt;0,"OK","ONBEKEND")),IF(AND($CF57=$CC57,$CG57=$CD57+1),IF(OR(COUNTIF(#REF!,$D57)&gt;0,COUNTIF(#REF!,$D57)=0),"SKIP",IF(COUNTIFS(#REF!,$D57,#REF!,$AR57)&gt;0,"OK","ONBEKEND")),"ONZEKER")))))</f>
        <v/>
      </c>
      <c r="AT57" t="str">
        <f t="shared" si="420"/>
        <v/>
      </c>
      <c r="AU57" t="str">
        <f t="shared" si="421"/>
        <v/>
      </c>
      <c r="AV57" t="str">
        <f t="shared" si="422"/>
        <v/>
      </c>
      <c r="AW57" t="str">
        <f t="shared" si="423"/>
        <v/>
      </c>
      <c r="AX57" t="str">
        <f t="shared" si="424"/>
        <v/>
      </c>
      <c r="AY57" t="str">
        <f t="shared" si="425"/>
        <v/>
      </c>
      <c r="AZ57" t="str">
        <f t="shared" si="426"/>
        <v/>
      </c>
      <c r="BA57" t="str">
        <f t="shared" si="427"/>
        <v/>
      </c>
      <c r="BB57" t="str">
        <f t="shared" si="428"/>
        <v/>
      </c>
      <c r="BC57" t="str">
        <f t="shared" si="429"/>
        <v/>
      </c>
      <c r="BD57" t="str">
        <f t="shared" si="32"/>
        <v/>
      </c>
      <c r="BE57" t="str">
        <f t="shared" si="33"/>
        <v/>
      </c>
      <c r="BF57" t="str">
        <f t="shared" si="34"/>
        <v/>
      </c>
      <c r="BG57" t="str">
        <f t="shared" si="35"/>
        <v/>
      </c>
      <c r="BH57" t="str">
        <f t="shared" si="36"/>
        <v/>
      </c>
      <c r="BI57" t="str">
        <f t="shared" si="37"/>
        <v/>
      </c>
      <c r="BJ57" t="str">
        <f t="shared" si="38"/>
        <v/>
      </c>
      <c r="BK57" t="str">
        <f t="shared" si="39"/>
        <v/>
      </c>
      <c r="BL57" t="str">
        <f t="shared" si="40"/>
        <v/>
      </c>
      <c r="BM57" t="str">
        <f t="shared" si="41"/>
        <v/>
      </c>
      <c r="BN57" t="str">
        <f t="shared" si="42"/>
        <v/>
      </c>
      <c r="BO57" t="str">
        <f t="shared" si="43"/>
        <v/>
      </c>
      <c r="BP57" t="str">
        <f t="shared" si="44"/>
        <v/>
      </c>
      <c r="BQ57" t="str">
        <f t="shared" si="45"/>
        <v/>
      </c>
      <c r="BR57" t="str">
        <f t="shared" si="46"/>
        <v/>
      </c>
      <c r="BS57" t="str">
        <f t="shared" si="47"/>
        <v/>
      </c>
      <c r="BT57" t="str">
        <f t="shared" si="48"/>
        <v/>
      </c>
      <c r="BU57" t="str">
        <f t="shared" si="49"/>
        <v/>
      </c>
      <c r="BV57" t="str">
        <f t="shared" si="50"/>
        <v/>
      </c>
      <c r="BW57" t="str">
        <f t="shared" si="51"/>
        <v/>
      </c>
      <c r="BX57" t="str">
        <f t="shared" si="52"/>
        <v/>
      </c>
      <c r="BY57" t="str">
        <f t="shared" si="53"/>
        <v/>
      </c>
      <c r="BZ57" t="str">
        <f t="shared" si="54"/>
        <v/>
      </c>
      <c r="CA57" t="str">
        <f t="shared" si="55"/>
        <v/>
      </c>
      <c r="CB57" t="str">
        <f t="shared" si="56"/>
        <v/>
      </c>
      <c r="CC57" t="str">
        <f t="shared" si="57"/>
        <v/>
      </c>
      <c r="CD57" t="str">
        <f t="shared" si="58"/>
        <v/>
      </c>
      <c r="CE57" t="str">
        <f t="shared" si="59"/>
        <v/>
      </c>
      <c r="CF57" t="str">
        <f t="shared" si="60"/>
        <v/>
      </c>
      <c r="CG57" t="str">
        <f t="shared" si="61"/>
        <v/>
      </c>
      <c r="CH57" t="str">
        <f t="shared" si="430"/>
        <v/>
      </c>
      <c r="CI57" t="str">
        <f t="shared" si="431"/>
        <v/>
      </c>
      <c r="CJ57" t="str">
        <f>IF($CI57="","",IF(OR($DW57="",$DX57=""),"ONZEKER",IF(OR($CF57="",$CG57=""),"ONZEKER",IF(AND($DW57=$CF57+1,$DX57=$CG57),IF(OR(COUNTIF(#REF!,$B57)&gt;0,COUNTIF(#REF!,$B57)=0),"SKIP",IF(COUNTIFS(#REF!,$B57,#REF!,$CI57)&gt;0,"OK","ONBEKEND")),IF(AND($DW57=$CF57,$DX57=$CG57+1),IF(OR(COUNTIF(#REF!,$D57)&gt;0,COUNTIF(#REF!,$D57)=0),"SKIP",IF(COUNTIFS(#REF!,$D57,#REF!,$CI57)&gt;0,"OK","ONBEKEND")),"ONZEKER")))))</f>
        <v/>
      </c>
      <c r="CK57" t="str">
        <f t="shared" si="432"/>
        <v/>
      </c>
      <c r="CL57" t="str">
        <f t="shared" si="433"/>
        <v/>
      </c>
      <c r="CM57" t="str">
        <f>IF($CL57="","",IF(OR($DZ57="",$EA57=""),"ONZEKER",IF(OR($DW57="",$DX57=""),"ONZEKER",IF(AND($DZ57=$DW57+1,$EA57=$DX57),IF(OR(COUNTIF(#REF!,$B57)&gt;0,COUNTIF(#REF!,$B57)=0),"SKIP",IF(COUNTIFS(#REF!,$B57,#REF!,$CL57)&gt;0,"OK","ONBEKEND")),IF(AND($DZ57=$DW57,$EA57=$DX57+1),IF(OR(COUNTIF(#REF!,$D57)&gt;0,COUNTIF(#REF!,$D57)=0),"SKIP",IF(COUNTIFS(#REF!,$D57,#REF!,$CL57)&gt;0,"OK","ONBEKEND")),"ONZEKER")))))</f>
        <v/>
      </c>
      <c r="CN57" t="str">
        <f t="shared" si="434"/>
        <v/>
      </c>
      <c r="CO57" t="str">
        <f t="shared" si="435"/>
        <v/>
      </c>
      <c r="CP57" t="str">
        <f>IF($CO57="","",IF(OR($EC57="",$ED57=""),"ONZEKER",IF(OR($DZ57="",$EA57=""),"ONZEKER",IF(AND($EC57=$DZ57+1,$ED57=$EA57),IF(OR(COUNTIF(#REF!,$B57)&gt;0,COUNTIF(#REF!,$B57)=0),"SKIP",IF(COUNTIFS(#REF!,$B57,#REF!,$CO57)&gt;0,"OK","ONBEKEND")),IF(AND($EC57=$DZ57,$ED57=$EA57+1),IF(OR(COUNTIF(#REF!,$D57)&gt;0,COUNTIF(#REF!,$D57)=0),"SKIP",IF(COUNTIFS(#REF!,$D57,#REF!,$CO57)&gt;0,"OK","ONBEKEND")),"ONZEKER")))))</f>
        <v/>
      </c>
      <c r="CQ57" t="str">
        <f t="shared" si="436"/>
        <v/>
      </c>
      <c r="CR57" t="str">
        <f t="shared" si="437"/>
        <v/>
      </c>
      <c r="CS57" t="str">
        <f>IF($CR57="","",IF(OR($EF57="",$EG57=""),"ONZEKER",IF(OR($EC57="",$ED57=""),"ONZEKER",IF(AND($EF57=$EC57+1,$EG57=$ED57),IF(OR(COUNTIF(#REF!,$B57)&gt;0,COUNTIF(#REF!,$B57)=0),"SKIP",IF(COUNTIFS(#REF!,$B57,#REF!,$CR57)&gt;0,"OK","ONBEKEND")),IF(AND($EF57=$EC57,$EG57=$ED57+1),IF(OR(COUNTIF(#REF!,$D57)&gt;0,COUNTIF(#REF!,$D57)=0),"SKIP",IF(COUNTIFS(#REF!,$D57,#REF!,$CR57)&gt;0,"OK","ONBEKEND")),"ONZEKER")))))</f>
        <v/>
      </c>
      <c r="CT57" t="str">
        <f t="shared" si="438"/>
        <v/>
      </c>
      <c r="CU57" t="str">
        <f t="shared" si="439"/>
        <v/>
      </c>
      <c r="CV57" t="str">
        <f>IF($CU57="","",IF(OR($EI57="",$EJ57=""),"ONZEKER",IF(OR($EF57="",$EG57=""),"ONZEKER",IF(AND($EI57=$EF57+1,$EJ57=$EG57),IF(OR(COUNTIF(#REF!,$B57)&gt;0,COUNTIF(#REF!,$B57)=0),"SKIP",IF(COUNTIFS(#REF!,$B57,#REF!,$CU57)&gt;0,"OK","ONBEKEND")),IF(AND($EI57=$EF57,$EJ57=$EG57+1),IF(OR(COUNTIF(#REF!,$D57)&gt;0,COUNTIF(#REF!,$D57)=0),"SKIP",IF(COUNTIFS(#REF!,$D57,#REF!,$CU57)&gt;0,"OK","ONBEKEND")),"ONZEKER")))))</f>
        <v/>
      </c>
      <c r="CW57" t="str">
        <f t="shared" si="440"/>
        <v/>
      </c>
      <c r="CX57" t="str">
        <f t="shared" si="441"/>
        <v/>
      </c>
      <c r="CY57" t="str">
        <f>IF($CX57="","",IF(OR($EL57="",$EM57=""),"ONZEKER",IF(OR($EI57="",$EJ57=""),"ONZEKER",IF(AND($EL57=$EI57+1,$EM57=$EJ57),IF(OR(COUNTIF(#REF!,$B57)&gt;0,COUNTIF(#REF!,$B57)=0),"SKIP",IF(COUNTIFS(#REF!,$B57,#REF!,$CX57)&gt;0,"OK","ONBEKEND")),IF(AND($EL57=$EI57,$EM57=$EJ57+1),IF(OR(COUNTIF(#REF!,$D57)&gt;0,COUNTIF(#REF!,$D57)=0),"SKIP",IF(COUNTIFS(#REF!,$D57,#REF!,$CX57)&gt;0,"OK","ONBEKEND")),"ONZEKER")))))</f>
        <v/>
      </c>
      <c r="CZ57" t="str">
        <f t="shared" si="442"/>
        <v/>
      </c>
      <c r="DA57" t="str">
        <f t="shared" si="443"/>
        <v/>
      </c>
      <c r="DB57" t="str">
        <f>IF($DA57="","",IF(OR($EO57="",$EP57=""),"ONZEKER",IF(OR($EL57="",$EM57=""),"ONZEKER",IF(AND($EO57=$EL57+1,$EP57=$EM57),IF(OR(COUNTIF(#REF!,$B57)&gt;0,COUNTIF(#REF!,$B57)=0),"SKIP",IF(COUNTIFS(#REF!,$B57,#REF!,$DA57)&gt;0,"OK","ONBEKEND")),IF(AND($EO57=$EL57,$EP57=$EM57+1),IF(OR(COUNTIF(#REF!,$D57)&gt;0,COUNTIF(#REF!,$D57)=0),"SKIP",IF(COUNTIFS(#REF!,$D57,#REF!,$DA57)&gt;0,"OK","ONBEKEND")),"ONZEKER")))))</f>
        <v/>
      </c>
      <c r="DC57" t="str">
        <f t="shared" si="444"/>
        <v/>
      </c>
      <c r="DD57" t="str">
        <f t="shared" si="445"/>
        <v/>
      </c>
      <c r="DE57" t="str">
        <f>IF($DD57="","",IF(OR($ER57="",$ES57=""),"ONZEKER",IF(OR($EO57="",$EP57=""),"ONZEKER",IF(AND($ER57=$EO57+1,$ES57=$EP57),IF(OR(COUNTIF(#REF!,$B57)&gt;0,COUNTIF(#REF!,$B57)=0),"SKIP",IF(COUNTIFS(#REF!,$B57,#REF!,$DD57)&gt;0,"OK","ONBEKEND")),IF(AND($ER57=$EO57,$ES57=$EP57+1),IF(OR(COUNTIF(#REF!,$D57)&gt;0,COUNTIF(#REF!,$D57)=0),"SKIP",IF(COUNTIFS(#REF!,$D57,#REF!,$DD57)&gt;0,"OK","ONBEKEND")),"ONZEKER")))))</f>
        <v/>
      </c>
      <c r="DF57" t="str">
        <f t="shared" si="446"/>
        <v/>
      </c>
      <c r="DG57" t="str">
        <f t="shared" si="447"/>
        <v/>
      </c>
      <c r="DH57" t="str">
        <f>IF($DG57="","",IF(OR($EU57="",$EV57=""),"ONZEKER",IF(OR($ER57="",$ES57=""),"ONZEKER",IF(AND($EU57=$ER57+1,$EV57=$ES57),IF(OR(COUNTIF(#REF!,$B57)&gt;0,COUNTIF(#REF!,$B57)=0),"SKIP",IF(COUNTIFS(#REF!,$B57,#REF!,$DG57)&gt;0,"OK","ONBEKEND")),IF(AND($EU57=$ER57,$EV57=$ES57+1),IF(OR(COUNTIF(#REF!,$D57)&gt;0,COUNTIF(#REF!,$D57)=0),"SKIP",IF(COUNTIFS(#REF!,$D57,#REF!,$DG57)&gt;0,"OK","ONBEKEND")),"ONZEKER")))))</f>
        <v/>
      </c>
      <c r="DI57" t="str">
        <f t="shared" si="448"/>
        <v/>
      </c>
      <c r="DJ57" t="str">
        <f t="shared" si="449"/>
        <v/>
      </c>
      <c r="DK57" t="str">
        <f>IF($DJ57="","",IF(OR($EX57="",$EY57=""),"ONZEKER",IF(OR($EU57="",$EV57=""),"ONZEKER",IF(AND($EX57=$EU57+1,$EY57=$EV57),IF(OR(COUNTIF(#REF!,$B57)&gt;0,COUNTIF(#REF!,$B57)=0),"SKIP",IF(COUNTIFS(#REF!,$B57,#REF!,$DJ57)&gt;0,"OK","ONBEKEND")),IF(AND($EX57=$EU57,$EY57=$EV57+1),IF(OR(COUNTIF(#REF!,$D57)&gt;0,COUNTIF(#REF!,$D57)=0),"SKIP",IF(COUNTIFS(#REF!,$D57,#REF!,$DJ57)&gt;0,"OK","ONBEKEND")),"ONZEKER")))))</f>
        <v/>
      </c>
      <c r="DL57" t="str">
        <f t="shared" si="450"/>
        <v/>
      </c>
      <c r="DM57" t="str">
        <f t="shared" si="451"/>
        <v/>
      </c>
      <c r="DN57" t="str">
        <f t="shared" si="452"/>
        <v/>
      </c>
      <c r="DO57" t="str">
        <f t="shared" si="453"/>
        <v/>
      </c>
      <c r="DP57" t="str">
        <f t="shared" si="454"/>
        <v/>
      </c>
      <c r="DQ57" t="str">
        <f t="shared" si="455"/>
        <v/>
      </c>
      <c r="DR57" t="str">
        <f t="shared" si="456"/>
        <v/>
      </c>
      <c r="DS57" t="str">
        <f t="shared" si="457"/>
        <v/>
      </c>
      <c r="DT57" t="str">
        <f t="shared" si="458"/>
        <v/>
      </c>
      <c r="DU57" t="str">
        <f t="shared" si="459"/>
        <v/>
      </c>
      <c r="DV57" t="str">
        <f t="shared" si="460"/>
        <v/>
      </c>
      <c r="DW57" t="str">
        <f t="shared" si="461"/>
        <v/>
      </c>
      <c r="DX57" t="str">
        <f t="shared" si="462"/>
        <v/>
      </c>
      <c r="DY57" t="str">
        <f t="shared" si="463"/>
        <v/>
      </c>
      <c r="DZ57" t="str">
        <f t="shared" si="464"/>
        <v/>
      </c>
      <c r="EA57" t="str">
        <f t="shared" si="465"/>
        <v/>
      </c>
      <c r="EB57" t="str">
        <f t="shared" si="466"/>
        <v/>
      </c>
      <c r="EC57" t="str">
        <f t="shared" si="467"/>
        <v/>
      </c>
      <c r="ED57" t="str">
        <f t="shared" si="468"/>
        <v/>
      </c>
      <c r="EE57" t="str">
        <f t="shared" si="469"/>
        <v/>
      </c>
      <c r="EF57" t="str">
        <f t="shared" si="470"/>
        <v/>
      </c>
      <c r="EG57" t="str">
        <f t="shared" si="471"/>
        <v/>
      </c>
      <c r="EH57" t="str">
        <f t="shared" si="472"/>
        <v/>
      </c>
      <c r="EI57" t="str">
        <f t="shared" si="473"/>
        <v/>
      </c>
      <c r="EJ57" t="str">
        <f t="shared" si="474"/>
        <v/>
      </c>
      <c r="EK57" t="str">
        <f t="shared" si="475"/>
        <v/>
      </c>
      <c r="EL57" t="str">
        <f t="shared" si="476"/>
        <v/>
      </c>
      <c r="EM57" t="str">
        <f t="shared" si="477"/>
        <v/>
      </c>
      <c r="EN57" t="str">
        <f t="shared" si="478"/>
        <v/>
      </c>
      <c r="EO57" t="str">
        <f t="shared" si="479"/>
        <v/>
      </c>
      <c r="EP57" t="str">
        <f t="shared" si="480"/>
        <v/>
      </c>
      <c r="EQ57" t="str">
        <f t="shared" si="481"/>
        <v/>
      </c>
      <c r="ER57" t="str">
        <f t="shared" si="482"/>
        <v/>
      </c>
      <c r="ES57" t="str">
        <f t="shared" si="483"/>
        <v/>
      </c>
      <c r="ET57" t="str">
        <f t="shared" si="484"/>
        <v/>
      </c>
      <c r="EU57" t="str">
        <f t="shared" si="485"/>
        <v/>
      </c>
      <c r="EV57" t="str">
        <f t="shared" si="486"/>
        <v/>
      </c>
      <c r="EW57" t="str">
        <f t="shared" si="487"/>
        <v/>
      </c>
      <c r="EX57" t="str">
        <f t="shared" si="488"/>
        <v/>
      </c>
      <c r="EY57" t="str">
        <f t="shared" si="489"/>
        <v/>
      </c>
    </row>
    <row r="58" spans="1:155" ht="13.9" customHeight="1" x14ac:dyDescent="0.25">
      <c r="A58" s="7"/>
      <c r="B58" s="17"/>
      <c r="C58" s="8"/>
      <c r="D58" s="17"/>
      <c r="E58" s="8"/>
      <c r="F58" s="18">
        <v>0</v>
      </c>
      <c r="G58" s="7" t="s">
        <v>147</v>
      </c>
      <c r="H58" s="18">
        <v>0</v>
      </c>
      <c r="I58" s="19">
        <v>0</v>
      </c>
      <c r="J58" s="7" t="s">
        <v>147</v>
      </c>
      <c r="K58" s="19">
        <v>0</v>
      </c>
      <c r="L58" s="9"/>
      <c r="M58" s="3" t="str">
        <f>IF($L58="","",IF($L58="DOELPUNTENMAKERS","",IF(AND(COUNTIF(#REF!,$B58)=0,COUNTIF(#REF!,$D58)=0),"OK",IF($O58&gt;20,"LET OP: meer dan 20 items (controle onvolledig)",IF((COUNTIF($R58:$AS58,"ONZEKER")+COUNTIF($CJ58:$DK58,"ONZEKER"))&gt;0,"LET OP: scoreverloop onduidelijk (controle beperkt)",IF((IF($AT58&lt;&gt;"",$AT58&amp;", ","")&amp;IF($AU58&lt;&gt;"",$AU58&amp;", ","")&amp;IF($AV58&lt;&gt;"",$AV58&amp;", ","")&amp;IF($AW58&lt;&gt;"",$AW58&amp;", ","")&amp;IF($AX58&lt;&gt;"",$AX58&amp;", ","")&amp;IF($AY58&lt;&gt;"",$AY58&amp;", ","")&amp;IF($AZ58&lt;&gt;"",$AZ58&amp;", ","")&amp;IF($BA58&lt;&gt;"",$BA58&amp;", ","")&amp;IF($BB58&lt;&gt;"",$BB58&amp;", ","")&amp;IF($BC58&lt;&gt;"",$BC58&amp;", ","")&amp;IF($DL58&lt;&gt;"",$DL58&amp;", ","")&amp;IF($DM58&lt;&gt;"",$DM58&amp;", ","")&amp;IF($DN58&lt;&gt;"",$DN58&amp;", ","")&amp;IF($DO58&lt;&gt;"",$DO58&amp;", ","")&amp;IF($DP58&lt;&gt;"",$DP58&amp;", ","")&amp;IF($DQ58&lt;&gt;"",$DQ58&amp;", ","")&amp;IF($DR58&lt;&gt;"",$DR58&amp;", ","")&amp;IF($DS58&lt;&gt;"",$DS58&amp;", ","")&amp;IF($DT58&lt;&gt;"",$DT58&amp;", ","")&amp;IF($DU58&lt;&gt;"",$DU58&amp;", ",""))="","OK","Onbekend: "&amp;LEFT((IF($AT58&lt;&gt;"",$AT58&amp;", ","")&amp;IF($AU58&lt;&gt;"",$AU58&amp;", ","")&amp;IF($AV58&lt;&gt;"",$AV58&amp;", ","")&amp;IF($AW58&lt;&gt;"",$AW58&amp;", ","")&amp;IF($AX58&lt;&gt;"",$AX58&amp;", ","")&amp;IF($AY58&lt;&gt;"",$AY58&amp;", ","")&amp;IF($AZ58&lt;&gt;"",$AZ58&amp;", ","")&amp;IF($BA58&lt;&gt;"",$BA58&amp;", ","")&amp;IF($BB58&lt;&gt;"",$BB58&amp;", ","")&amp;IF($BC58&lt;&gt;"",$BC58&amp;", ","")&amp;IF($DL58&lt;&gt;"",$DL58&amp;", ","")&amp;IF($DM58&lt;&gt;"",$DM58&amp;", ","")&amp;IF($DN58&lt;&gt;"",$DN58&amp;", ","")&amp;IF($DO58&lt;&gt;"",$DO58&amp;", ","")&amp;IF($DP58&lt;&gt;"",$DP58&amp;", ","")&amp;IF($DQ58&lt;&gt;"",$DQ58&amp;", ","")&amp;IF($DR58&lt;&gt;"",$DR58&amp;", ","")&amp;IF($DS58&lt;&gt;"",$DS58&amp;", ","")&amp;IF($DT58&lt;&gt;"",$DT58&amp;", ","")&amp;IF($DU58&lt;&gt;"",$DU58&amp;", ","")),LEN((IF($AT58&lt;&gt;"",$AT58&amp;", ","")&amp;IF($AU58&lt;&gt;"",$AU58&amp;", ","")&amp;IF($AV58&lt;&gt;"",$AV58&amp;", ","")&amp;IF($AW58&lt;&gt;"",$AW58&amp;", ","")&amp;IF($AX58&lt;&gt;"",$AX58&amp;", ","")&amp;IF($AY58&lt;&gt;"",$AY58&amp;", ","")&amp;IF($AZ58&lt;&gt;"",$AZ58&amp;", ","")&amp;IF($BA58&lt;&gt;"",$BA58&amp;", ","")&amp;IF($BB58&lt;&gt;"",$BB58&amp;", ","")&amp;IF($BC58&lt;&gt;"",$BC58&amp;", ","")&amp;IF($DL58&lt;&gt;"",$DL58&amp;", ","")&amp;IF($DM58&lt;&gt;"",$DM58&amp;", ","")&amp;IF($DN58&lt;&gt;"",$DN58&amp;", ","")&amp;IF($DO58&lt;&gt;"",$DO58&amp;", ","")&amp;IF($DP58&lt;&gt;"",$DP58&amp;", ","")&amp;IF($DQ58&lt;&gt;"",$DQ58&amp;", ","")&amp;IF($DR58&lt;&gt;"",$DR58&amp;", ","")&amp;IF($DS58&lt;&gt;"",$DS58&amp;", ","")&amp;IF($DT58&lt;&gt;"",$DT58&amp;", ","")&amp;IF($DU58&lt;&gt;"",$DU58&amp;", ","")))-2)))))))</f>
        <v/>
      </c>
      <c r="N58" t="str">
        <f t="shared" si="398"/>
        <v/>
      </c>
      <c r="O58" t="str">
        <f t="shared" si="399"/>
        <v/>
      </c>
      <c r="P58" t="str">
        <f t="shared" si="400"/>
        <v/>
      </c>
      <c r="Q58" t="str">
        <f t="shared" si="401"/>
        <v/>
      </c>
      <c r="R58" t="str">
        <f>IF($Q58="","",IF(OR($BE58="",$BF58=""),"ONZEKER",IF(AND($BE58=0+1,$BF58=0),IF(OR(COUNTIF(#REF!,$B58)&gt;0,COUNTIF(#REF!,$B58)=0),"SKIP",IF(COUNTIFS(#REF!,$B58,#REF!,$Q58)&gt;0,"OK","ONBEKEND")),IF(AND($BE58=0,$BF58=0+1),IF(OR(COUNTIF(#REF!,$D58)&gt;0,COUNTIF(#REF!,$D58)=0),"SKIP",IF(COUNTIFS(#REF!,$D58,#REF!,$Q58)&gt;0,"OK","ONBEKEND")),"ONZEKER"))))</f>
        <v/>
      </c>
      <c r="S58" t="str">
        <f t="shared" si="402"/>
        <v/>
      </c>
      <c r="T58" t="str">
        <f t="shared" si="403"/>
        <v/>
      </c>
      <c r="U58" t="str">
        <f>IF($T58="","",IF(OR($BH58="",$BI58=""),"ONZEKER",IF(OR($BE58="",$BF58=""),"ONZEKER",IF(AND($BH58=$BE58+1,$BI58=$BF58),IF(OR(COUNTIF(#REF!,$B58)&gt;0,COUNTIF(#REF!,$B58)=0),"SKIP",IF(COUNTIFS(#REF!,$B58,#REF!,$T58)&gt;0,"OK","ONBEKEND")),IF(AND($BH58=$BE58,$BI58=$BF58+1),IF(OR(COUNTIF(#REF!,$D58)&gt;0,COUNTIF(#REF!,$D58)=0),"SKIP",IF(COUNTIFS(#REF!,$D58,#REF!,$T58)&gt;0,"OK","ONBEKEND")),"ONZEKER")))))</f>
        <v/>
      </c>
      <c r="V58" t="str">
        <f t="shared" si="404"/>
        <v/>
      </c>
      <c r="W58" t="str">
        <f t="shared" si="405"/>
        <v/>
      </c>
      <c r="X58" t="str">
        <f>IF($W58="","",IF(OR($BK58="",$BL58=""),"ONZEKER",IF(OR($BH58="",$BI58=""),"ONZEKER",IF(AND($BK58=$BH58+1,$BL58=$BI58),IF(OR(COUNTIF(#REF!,$B58)&gt;0,COUNTIF(#REF!,$B58)=0),"SKIP",IF(COUNTIFS(#REF!,$B58,#REF!,$W58)&gt;0,"OK","ONBEKEND")),IF(AND($BK58=$BH58,$BL58=$BI58+1),IF(OR(COUNTIF(#REF!,$D58)&gt;0,COUNTIF(#REF!,$D58)=0),"SKIP",IF(COUNTIFS(#REF!,$D58,#REF!,$W58)&gt;0,"OK","ONBEKEND")),"ONZEKER")))))</f>
        <v/>
      </c>
      <c r="Y58" t="str">
        <f t="shared" si="406"/>
        <v/>
      </c>
      <c r="Z58" t="str">
        <f t="shared" si="407"/>
        <v/>
      </c>
      <c r="AA58" t="str">
        <f>IF($Z58="","",IF(OR($BN58="",$BO58=""),"ONZEKER",IF(OR($BK58="",$BL58=""),"ONZEKER",IF(AND($BN58=$BK58+1,$BO58=$BL58),IF(OR(COUNTIF(#REF!,$B58)&gt;0,COUNTIF(#REF!,$B58)=0),"SKIP",IF(COUNTIFS(#REF!,$B58,#REF!,$Z58)&gt;0,"OK","ONBEKEND")),IF(AND($BN58=$BK58,$BO58=$BL58+1),IF(OR(COUNTIF(#REF!,$D58)&gt;0,COUNTIF(#REF!,$D58)=0),"SKIP",IF(COUNTIFS(#REF!,$D58,#REF!,$Z58)&gt;0,"OK","ONBEKEND")),"ONZEKER")))))</f>
        <v/>
      </c>
      <c r="AB58" t="str">
        <f t="shared" si="408"/>
        <v/>
      </c>
      <c r="AC58" t="str">
        <f t="shared" si="409"/>
        <v/>
      </c>
      <c r="AD58" t="str">
        <f>IF($AC58="","",IF(OR($BQ58="",$BR58=""),"ONZEKER",IF(OR($BN58="",$BO58=""),"ONZEKER",IF(AND($BQ58=$BN58+1,$BR58=$BO58),IF(OR(COUNTIF(#REF!,$B58)&gt;0,COUNTIF(#REF!,$B58)=0),"SKIP",IF(COUNTIFS(#REF!,$B58,#REF!,$AC58)&gt;0,"OK","ONBEKEND")),IF(AND($BQ58=$BN58,$BR58=$BO58+1),IF(OR(COUNTIF(#REF!,$D58)&gt;0,COUNTIF(#REF!,$D58)=0),"SKIP",IF(COUNTIFS(#REF!,$D58,#REF!,$AC58)&gt;0,"OK","ONBEKEND")),"ONZEKER")))))</f>
        <v/>
      </c>
      <c r="AE58" t="str">
        <f t="shared" si="410"/>
        <v/>
      </c>
      <c r="AF58" t="str">
        <f t="shared" si="411"/>
        <v/>
      </c>
      <c r="AG58" t="str">
        <f>IF($AF58="","",IF(OR($BT58="",$BU58=""),"ONZEKER",IF(OR($BQ58="",$BR58=""),"ONZEKER",IF(AND($BT58=$BQ58+1,$BU58=$BR58),IF(OR(COUNTIF(#REF!,$B58)&gt;0,COUNTIF(#REF!,$B58)=0),"SKIP",IF(COUNTIFS(#REF!,$B58,#REF!,$AF58)&gt;0,"OK","ONBEKEND")),IF(AND($BT58=$BQ58,$BU58=$BR58+1),IF(OR(COUNTIF(#REF!,$D58)&gt;0,COUNTIF(#REF!,$D58)=0),"SKIP",IF(COUNTIFS(#REF!,$D58,#REF!,$AF58)&gt;0,"OK","ONBEKEND")),"ONZEKER")))))</f>
        <v/>
      </c>
      <c r="AH58" t="str">
        <f t="shared" si="412"/>
        <v/>
      </c>
      <c r="AI58" t="str">
        <f t="shared" si="413"/>
        <v/>
      </c>
      <c r="AJ58" t="str">
        <f>IF($AI58="","",IF(OR($BW58="",$BX58=""),"ONZEKER",IF(OR($BT58="",$BU58=""),"ONZEKER",IF(AND($BW58=$BT58+1,$BX58=$BU58),IF(OR(COUNTIF(#REF!,$B58)&gt;0,COUNTIF(#REF!,$B58)=0),"SKIP",IF(COUNTIFS(#REF!,$B58,#REF!,$AI58)&gt;0,"OK","ONBEKEND")),IF(AND($BW58=$BT58,$BX58=$BU58+1),IF(OR(COUNTIF(#REF!,$D58)&gt;0,COUNTIF(#REF!,$D58)=0),"SKIP",IF(COUNTIFS(#REF!,$D58,#REF!,$AI58)&gt;0,"OK","ONBEKEND")),"ONZEKER")))))</f>
        <v/>
      </c>
      <c r="AK58" t="str">
        <f t="shared" si="414"/>
        <v/>
      </c>
      <c r="AL58" t="str">
        <f t="shared" si="415"/>
        <v/>
      </c>
      <c r="AM58" t="str">
        <f>IF($AL58="","",IF(OR($BZ58="",$CA58=""),"ONZEKER",IF(OR($BW58="",$BX58=""),"ONZEKER",IF(AND($BZ58=$BW58+1,$CA58=$BX58),IF(OR(COUNTIF(#REF!,$B58)&gt;0,COUNTIF(#REF!,$B58)=0),"SKIP",IF(COUNTIFS(#REF!,$B58,#REF!,$AL58)&gt;0,"OK","ONBEKEND")),IF(AND($BZ58=$BW58,$CA58=$BX58+1),IF(OR(COUNTIF(#REF!,$D58)&gt;0,COUNTIF(#REF!,$D58)=0),"SKIP",IF(COUNTIFS(#REF!,$D58,#REF!,$AL58)&gt;0,"OK","ONBEKEND")),"ONZEKER")))))</f>
        <v/>
      </c>
      <c r="AN58" t="str">
        <f t="shared" si="416"/>
        <v/>
      </c>
      <c r="AO58" t="str">
        <f t="shared" si="417"/>
        <v/>
      </c>
      <c r="AP58" t="str">
        <f>IF($AO58="","",IF(OR($CC58="",$CD58=""),"ONZEKER",IF(OR($BZ58="",$CA58=""),"ONZEKER",IF(AND($CC58=$BZ58+1,$CD58=$CA58),IF(OR(COUNTIF(#REF!,$B58)&gt;0,COUNTIF(#REF!,$B58)=0),"SKIP",IF(COUNTIFS(#REF!,$B58,#REF!,$AO58)&gt;0,"OK","ONBEKEND")),IF(AND($CC58=$BZ58,$CD58=$CA58+1),IF(OR(COUNTIF(#REF!,$D58)&gt;0,COUNTIF(#REF!,$D58)=0),"SKIP",IF(COUNTIFS(#REF!,$D58,#REF!,$AO58)&gt;0,"OK","ONBEKEND")),"ONZEKER")))))</f>
        <v/>
      </c>
      <c r="AQ58" t="str">
        <f t="shared" si="418"/>
        <v/>
      </c>
      <c r="AR58" t="str">
        <f t="shared" si="419"/>
        <v/>
      </c>
      <c r="AS58" t="str">
        <f>IF($AR58="","",IF(OR($CF58="",$CG58=""),"ONZEKER",IF(OR($CC58="",$CD58=""),"ONZEKER",IF(AND($CF58=$CC58+1,$CG58=$CD58),IF(OR(COUNTIF(#REF!,$B58)&gt;0,COUNTIF(#REF!,$B58)=0),"SKIP",IF(COUNTIFS(#REF!,$B58,#REF!,$AR58)&gt;0,"OK","ONBEKEND")),IF(AND($CF58=$CC58,$CG58=$CD58+1),IF(OR(COUNTIF(#REF!,$D58)&gt;0,COUNTIF(#REF!,$D58)=0),"SKIP",IF(COUNTIFS(#REF!,$D58,#REF!,$AR58)&gt;0,"OK","ONBEKEND")),"ONZEKER")))))</f>
        <v/>
      </c>
      <c r="AT58" t="str">
        <f t="shared" si="420"/>
        <v/>
      </c>
      <c r="AU58" t="str">
        <f t="shared" si="421"/>
        <v/>
      </c>
      <c r="AV58" t="str">
        <f t="shared" si="422"/>
        <v/>
      </c>
      <c r="AW58" t="str">
        <f t="shared" si="423"/>
        <v/>
      </c>
      <c r="AX58" t="str">
        <f t="shared" si="424"/>
        <v/>
      </c>
      <c r="AY58" t="str">
        <f t="shared" si="425"/>
        <v/>
      </c>
      <c r="AZ58" t="str">
        <f t="shared" si="426"/>
        <v/>
      </c>
      <c r="BA58" t="str">
        <f t="shared" si="427"/>
        <v/>
      </c>
      <c r="BB58" t="str">
        <f t="shared" si="428"/>
        <v/>
      </c>
      <c r="BC58" t="str">
        <f t="shared" si="429"/>
        <v/>
      </c>
      <c r="BD58" t="str">
        <f t="shared" si="32"/>
        <v/>
      </c>
      <c r="BE58" t="str">
        <f t="shared" si="33"/>
        <v/>
      </c>
      <c r="BF58" t="str">
        <f t="shared" si="34"/>
        <v/>
      </c>
      <c r="BG58" t="str">
        <f t="shared" si="35"/>
        <v/>
      </c>
      <c r="BH58" t="str">
        <f t="shared" si="36"/>
        <v/>
      </c>
      <c r="BI58" t="str">
        <f t="shared" si="37"/>
        <v/>
      </c>
      <c r="BJ58" t="str">
        <f t="shared" si="38"/>
        <v/>
      </c>
      <c r="BK58" t="str">
        <f t="shared" si="39"/>
        <v/>
      </c>
      <c r="BL58" t="str">
        <f t="shared" si="40"/>
        <v/>
      </c>
      <c r="BM58" t="str">
        <f t="shared" si="41"/>
        <v/>
      </c>
      <c r="BN58" t="str">
        <f t="shared" si="42"/>
        <v/>
      </c>
      <c r="BO58" t="str">
        <f t="shared" si="43"/>
        <v/>
      </c>
      <c r="BP58" t="str">
        <f t="shared" si="44"/>
        <v/>
      </c>
      <c r="BQ58" t="str">
        <f t="shared" si="45"/>
        <v/>
      </c>
      <c r="BR58" t="str">
        <f t="shared" si="46"/>
        <v/>
      </c>
      <c r="BS58" t="str">
        <f t="shared" si="47"/>
        <v/>
      </c>
      <c r="BT58" t="str">
        <f t="shared" si="48"/>
        <v/>
      </c>
      <c r="BU58" t="str">
        <f t="shared" si="49"/>
        <v/>
      </c>
      <c r="BV58" t="str">
        <f t="shared" si="50"/>
        <v/>
      </c>
      <c r="BW58" t="str">
        <f t="shared" si="51"/>
        <v/>
      </c>
      <c r="BX58" t="str">
        <f t="shared" si="52"/>
        <v/>
      </c>
      <c r="BY58" t="str">
        <f t="shared" si="53"/>
        <v/>
      </c>
      <c r="BZ58" t="str">
        <f t="shared" si="54"/>
        <v/>
      </c>
      <c r="CA58" t="str">
        <f t="shared" si="55"/>
        <v/>
      </c>
      <c r="CB58" t="str">
        <f t="shared" si="56"/>
        <v/>
      </c>
      <c r="CC58" t="str">
        <f t="shared" si="57"/>
        <v/>
      </c>
      <c r="CD58" t="str">
        <f t="shared" si="58"/>
        <v/>
      </c>
      <c r="CE58" t="str">
        <f t="shared" si="59"/>
        <v/>
      </c>
      <c r="CF58" t="str">
        <f t="shared" si="60"/>
        <v/>
      </c>
      <c r="CG58" t="str">
        <f t="shared" si="61"/>
        <v/>
      </c>
      <c r="CH58" t="str">
        <f t="shared" si="430"/>
        <v/>
      </c>
      <c r="CI58" t="str">
        <f t="shared" si="431"/>
        <v/>
      </c>
      <c r="CJ58" t="str">
        <f>IF($CI58="","",IF(OR($DW58="",$DX58=""),"ONZEKER",IF(OR($CF58="",$CG58=""),"ONZEKER",IF(AND($DW58=$CF58+1,$DX58=$CG58),IF(OR(COUNTIF(#REF!,$B58)&gt;0,COUNTIF(#REF!,$B58)=0),"SKIP",IF(COUNTIFS(#REF!,$B58,#REF!,$CI58)&gt;0,"OK","ONBEKEND")),IF(AND($DW58=$CF58,$DX58=$CG58+1),IF(OR(COUNTIF(#REF!,$D58)&gt;0,COUNTIF(#REF!,$D58)=0),"SKIP",IF(COUNTIFS(#REF!,$D58,#REF!,$CI58)&gt;0,"OK","ONBEKEND")),"ONZEKER")))))</f>
        <v/>
      </c>
      <c r="CK58" t="str">
        <f t="shared" si="432"/>
        <v/>
      </c>
      <c r="CL58" t="str">
        <f t="shared" si="433"/>
        <v/>
      </c>
      <c r="CM58" t="str">
        <f>IF($CL58="","",IF(OR($DZ58="",$EA58=""),"ONZEKER",IF(OR($DW58="",$DX58=""),"ONZEKER",IF(AND($DZ58=$DW58+1,$EA58=$DX58),IF(OR(COUNTIF(#REF!,$B58)&gt;0,COUNTIF(#REF!,$B58)=0),"SKIP",IF(COUNTIFS(#REF!,$B58,#REF!,$CL58)&gt;0,"OK","ONBEKEND")),IF(AND($DZ58=$DW58,$EA58=$DX58+1),IF(OR(COUNTIF(#REF!,$D58)&gt;0,COUNTIF(#REF!,$D58)=0),"SKIP",IF(COUNTIFS(#REF!,$D58,#REF!,$CL58)&gt;0,"OK","ONBEKEND")),"ONZEKER")))))</f>
        <v/>
      </c>
      <c r="CN58" t="str">
        <f t="shared" si="434"/>
        <v/>
      </c>
      <c r="CO58" t="str">
        <f t="shared" si="435"/>
        <v/>
      </c>
      <c r="CP58" t="str">
        <f>IF($CO58="","",IF(OR($EC58="",$ED58=""),"ONZEKER",IF(OR($DZ58="",$EA58=""),"ONZEKER",IF(AND($EC58=$DZ58+1,$ED58=$EA58),IF(OR(COUNTIF(#REF!,$B58)&gt;0,COUNTIF(#REF!,$B58)=0),"SKIP",IF(COUNTIFS(#REF!,$B58,#REF!,$CO58)&gt;0,"OK","ONBEKEND")),IF(AND($EC58=$DZ58,$ED58=$EA58+1),IF(OR(COUNTIF(#REF!,$D58)&gt;0,COUNTIF(#REF!,$D58)=0),"SKIP",IF(COUNTIFS(#REF!,$D58,#REF!,$CO58)&gt;0,"OK","ONBEKEND")),"ONZEKER")))))</f>
        <v/>
      </c>
      <c r="CQ58" t="str">
        <f t="shared" si="436"/>
        <v/>
      </c>
      <c r="CR58" t="str">
        <f t="shared" si="437"/>
        <v/>
      </c>
      <c r="CS58" t="str">
        <f>IF($CR58="","",IF(OR($EF58="",$EG58=""),"ONZEKER",IF(OR($EC58="",$ED58=""),"ONZEKER",IF(AND($EF58=$EC58+1,$EG58=$ED58),IF(OR(COUNTIF(#REF!,$B58)&gt;0,COUNTIF(#REF!,$B58)=0),"SKIP",IF(COUNTIFS(#REF!,$B58,#REF!,$CR58)&gt;0,"OK","ONBEKEND")),IF(AND($EF58=$EC58,$EG58=$ED58+1),IF(OR(COUNTIF(#REF!,$D58)&gt;0,COUNTIF(#REF!,$D58)=0),"SKIP",IF(COUNTIFS(#REF!,$D58,#REF!,$CR58)&gt;0,"OK","ONBEKEND")),"ONZEKER")))))</f>
        <v/>
      </c>
      <c r="CT58" t="str">
        <f t="shared" si="438"/>
        <v/>
      </c>
      <c r="CU58" t="str">
        <f t="shared" si="439"/>
        <v/>
      </c>
      <c r="CV58" t="str">
        <f>IF($CU58="","",IF(OR($EI58="",$EJ58=""),"ONZEKER",IF(OR($EF58="",$EG58=""),"ONZEKER",IF(AND($EI58=$EF58+1,$EJ58=$EG58),IF(OR(COUNTIF(#REF!,$B58)&gt;0,COUNTIF(#REF!,$B58)=0),"SKIP",IF(COUNTIFS(#REF!,$B58,#REF!,$CU58)&gt;0,"OK","ONBEKEND")),IF(AND($EI58=$EF58,$EJ58=$EG58+1),IF(OR(COUNTIF(#REF!,$D58)&gt;0,COUNTIF(#REF!,$D58)=0),"SKIP",IF(COUNTIFS(#REF!,$D58,#REF!,$CU58)&gt;0,"OK","ONBEKEND")),"ONZEKER")))))</f>
        <v/>
      </c>
      <c r="CW58" t="str">
        <f t="shared" si="440"/>
        <v/>
      </c>
      <c r="CX58" t="str">
        <f t="shared" si="441"/>
        <v/>
      </c>
      <c r="CY58" t="str">
        <f>IF($CX58="","",IF(OR($EL58="",$EM58=""),"ONZEKER",IF(OR($EI58="",$EJ58=""),"ONZEKER",IF(AND($EL58=$EI58+1,$EM58=$EJ58),IF(OR(COUNTIF(#REF!,$B58)&gt;0,COUNTIF(#REF!,$B58)=0),"SKIP",IF(COUNTIFS(#REF!,$B58,#REF!,$CX58)&gt;0,"OK","ONBEKEND")),IF(AND($EL58=$EI58,$EM58=$EJ58+1),IF(OR(COUNTIF(#REF!,$D58)&gt;0,COUNTIF(#REF!,$D58)=0),"SKIP",IF(COUNTIFS(#REF!,$D58,#REF!,$CX58)&gt;0,"OK","ONBEKEND")),"ONZEKER")))))</f>
        <v/>
      </c>
      <c r="CZ58" t="str">
        <f t="shared" si="442"/>
        <v/>
      </c>
      <c r="DA58" t="str">
        <f t="shared" si="443"/>
        <v/>
      </c>
      <c r="DB58" t="str">
        <f>IF($DA58="","",IF(OR($EO58="",$EP58=""),"ONZEKER",IF(OR($EL58="",$EM58=""),"ONZEKER",IF(AND($EO58=$EL58+1,$EP58=$EM58),IF(OR(COUNTIF(#REF!,$B58)&gt;0,COUNTIF(#REF!,$B58)=0),"SKIP",IF(COUNTIFS(#REF!,$B58,#REF!,$DA58)&gt;0,"OK","ONBEKEND")),IF(AND($EO58=$EL58,$EP58=$EM58+1),IF(OR(COUNTIF(#REF!,$D58)&gt;0,COUNTIF(#REF!,$D58)=0),"SKIP",IF(COUNTIFS(#REF!,$D58,#REF!,$DA58)&gt;0,"OK","ONBEKEND")),"ONZEKER")))))</f>
        <v/>
      </c>
      <c r="DC58" t="str">
        <f t="shared" si="444"/>
        <v/>
      </c>
      <c r="DD58" t="str">
        <f t="shared" si="445"/>
        <v/>
      </c>
      <c r="DE58" t="str">
        <f>IF($DD58="","",IF(OR($ER58="",$ES58=""),"ONZEKER",IF(OR($EO58="",$EP58=""),"ONZEKER",IF(AND($ER58=$EO58+1,$ES58=$EP58),IF(OR(COUNTIF(#REF!,$B58)&gt;0,COUNTIF(#REF!,$B58)=0),"SKIP",IF(COUNTIFS(#REF!,$B58,#REF!,$DD58)&gt;0,"OK","ONBEKEND")),IF(AND($ER58=$EO58,$ES58=$EP58+1),IF(OR(COUNTIF(#REF!,$D58)&gt;0,COUNTIF(#REF!,$D58)=0),"SKIP",IF(COUNTIFS(#REF!,$D58,#REF!,$DD58)&gt;0,"OK","ONBEKEND")),"ONZEKER")))))</f>
        <v/>
      </c>
      <c r="DF58" t="str">
        <f t="shared" si="446"/>
        <v/>
      </c>
      <c r="DG58" t="str">
        <f t="shared" si="447"/>
        <v/>
      </c>
      <c r="DH58" t="str">
        <f>IF($DG58="","",IF(OR($EU58="",$EV58=""),"ONZEKER",IF(OR($ER58="",$ES58=""),"ONZEKER",IF(AND($EU58=$ER58+1,$EV58=$ES58),IF(OR(COUNTIF(#REF!,$B58)&gt;0,COUNTIF(#REF!,$B58)=0),"SKIP",IF(COUNTIFS(#REF!,$B58,#REF!,$DG58)&gt;0,"OK","ONBEKEND")),IF(AND($EU58=$ER58,$EV58=$ES58+1),IF(OR(COUNTIF(#REF!,$D58)&gt;0,COUNTIF(#REF!,$D58)=0),"SKIP",IF(COUNTIFS(#REF!,$D58,#REF!,$DG58)&gt;0,"OK","ONBEKEND")),"ONZEKER")))))</f>
        <v/>
      </c>
      <c r="DI58" t="str">
        <f t="shared" si="448"/>
        <v/>
      </c>
      <c r="DJ58" t="str">
        <f t="shared" si="449"/>
        <v/>
      </c>
      <c r="DK58" t="str">
        <f>IF($DJ58="","",IF(OR($EX58="",$EY58=""),"ONZEKER",IF(OR($EU58="",$EV58=""),"ONZEKER",IF(AND($EX58=$EU58+1,$EY58=$EV58),IF(OR(COUNTIF(#REF!,$B58)&gt;0,COUNTIF(#REF!,$B58)=0),"SKIP",IF(COUNTIFS(#REF!,$B58,#REF!,$DJ58)&gt;0,"OK","ONBEKEND")),IF(AND($EX58=$EU58,$EY58=$EV58+1),IF(OR(COUNTIF(#REF!,$D58)&gt;0,COUNTIF(#REF!,$D58)=0),"SKIP",IF(COUNTIFS(#REF!,$D58,#REF!,$DJ58)&gt;0,"OK","ONBEKEND")),"ONZEKER")))))</f>
        <v/>
      </c>
      <c r="DL58" t="str">
        <f t="shared" si="450"/>
        <v/>
      </c>
      <c r="DM58" t="str">
        <f t="shared" si="451"/>
        <v/>
      </c>
      <c r="DN58" t="str">
        <f t="shared" si="452"/>
        <v/>
      </c>
      <c r="DO58" t="str">
        <f t="shared" si="453"/>
        <v/>
      </c>
      <c r="DP58" t="str">
        <f t="shared" si="454"/>
        <v/>
      </c>
      <c r="DQ58" t="str">
        <f t="shared" si="455"/>
        <v/>
      </c>
      <c r="DR58" t="str">
        <f t="shared" si="456"/>
        <v/>
      </c>
      <c r="DS58" t="str">
        <f t="shared" si="457"/>
        <v/>
      </c>
      <c r="DT58" t="str">
        <f t="shared" si="458"/>
        <v/>
      </c>
      <c r="DU58" t="str">
        <f t="shared" si="459"/>
        <v/>
      </c>
      <c r="DV58" t="str">
        <f t="shared" si="460"/>
        <v/>
      </c>
      <c r="DW58" t="str">
        <f t="shared" si="461"/>
        <v/>
      </c>
      <c r="DX58" t="str">
        <f t="shared" si="462"/>
        <v/>
      </c>
      <c r="DY58" t="str">
        <f t="shared" si="463"/>
        <v/>
      </c>
      <c r="DZ58" t="str">
        <f t="shared" si="464"/>
        <v/>
      </c>
      <c r="EA58" t="str">
        <f t="shared" si="465"/>
        <v/>
      </c>
      <c r="EB58" t="str">
        <f t="shared" si="466"/>
        <v/>
      </c>
      <c r="EC58" t="str">
        <f t="shared" si="467"/>
        <v/>
      </c>
      <c r="ED58" t="str">
        <f t="shared" si="468"/>
        <v/>
      </c>
      <c r="EE58" t="str">
        <f t="shared" si="469"/>
        <v/>
      </c>
      <c r="EF58" t="str">
        <f t="shared" si="470"/>
        <v/>
      </c>
      <c r="EG58" t="str">
        <f t="shared" si="471"/>
        <v/>
      </c>
      <c r="EH58" t="str">
        <f t="shared" si="472"/>
        <v/>
      </c>
      <c r="EI58" t="str">
        <f t="shared" si="473"/>
        <v/>
      </c>
      <c r="EJ58" t="str">
        <f t="shared" si="474"/>
        <v/>
      </c>
      <c r="EK58" t="str">
        <f t="shared" si="475"/>
        <v/>
      </c>
      <c r="EL58" t="str">
        <f t="shared" si="476"/>
        <v/>
      </c>
      <c r="EM58" t="str">
        <f t="shared" si="477"/>
        <v/>
      </c>
      <c r="EN58" t="str">
        <f t="shared" si="478"/>
        <v/>
      </c>
      <c r="EO58" t="str">
        <f t="shared" si="479"/>
        <v/>
      </c>
      <c r="EP58" t="str">
        <f t="shared" si="480"/>
        <v/>
      </c>
      <c r="EQ58" t="str">
        <f t="shared" si="481"/>
        <v/>
      </c>
      <c r="ER58" t="str">
        <f t="shared" si="482"/>
        <v/>
      </c>
      <c r="ES58" t="str">
        <f t="shared" si="483"/>
        <v/>
      </c>
      <c r="ET58" t="str">
        <f t="shared" si="484"/>
        <v/>
      </c>
      <c r="EU58" t="str">
        <f t="shared" si="485"/>
        <v/>
      </c>
      <c r="EV58" t="str">
        <f t="shared" si="486"/>
        <v/>
      </c>
      <c r="EW58" t="str">
        <f t="shared" si="487"/>
        <v/>
      </c>
      <c r="EX58" t="str">
        <f t="shared" si="488"/>
        <v/>
      </c>
      <c r="EY58" t="str">
        <f t="shared" si="489"/>
        <v/>
      </c>
    </row>
    <row r="59" spans="1:155" ht="13.9" customHeight="1" x14ac:dyDescent="0.25">
      <c r="A59" s="7"/>
      <c r="B59" s="17"/>
      <c r="C59" s="8"/>
      <c r="D59" s="17"/>
      <c r="E59" s="8"/>
      <c r="F59" s="18">
        <v>0</v>
      </c>
      <c r="G59" s="7" t="s">
        <v>147</v>
      </c>
      <c r="H59" s="18">
        <v>0</v>
      </c>
      <c r="I59" s="19">
        <v>0</v>
      </c>
      <c r="J59" s="7" t="s">
        <v>147</v>
      </c>
      <c r="K59" s="19">
        <v>0</v>
      </c>
      <c r="L59" s="9"/>
      <c r="M59" s="3" t="str">
        <f>IF($L59="","",IF($L59="DOELPUNTENMAKERS","",IF(AND(COUNTIF(#REF!,$B59)=0,COUNTIF(#REF!,$D59)=0),"OK",IF($O59&gt;20,"LET OP: meer dan 20 items (controle onvolledig)",IF((COUNTIF($R59:$AS59,"ONZEKER")+COUNTIF($CJ59:$DK59,"ONZEKER"))&gt;0,"LET OP: scoreverloop onduidelijk (controle beperkt)",IF((IF($AT59&lt;&gt;"",$AT59&amp;", ","")&amp;IF($AU59&lt;&gt;"",$AU59&amp;", ","")&amp;IF($AV59&lt;&gt;"",$AV59&amp;", ","")&amp;IF($AW59&lt;&gt;"",$AW59&amp;", ","")&amp;IF($AX59&lt;&gt;"",$AX59&amp;", ","")&amp;IF($AY59&lt;&gt;"",$AY59&amp;", ","")&amp;IF($AZ59&lt;&gt;"",$AZ59&amp;", ","")&amp;IF($BA59&lt;&gt;"",$BA59&amp;", ","")&amp;IF($BB59&lt;&gt;"",$BB59&amp;", ","")&amp;IF($BC59&lt;&gt;"",$BC59&amp;", ","")&amp;IF($DL59&lt;&gt;"",$DL59&amp;", ","")&amp;IF($DM59&lt;&gt;"",$DM59&amp;", ","")&amp;IF($DN59&lt;&gt;"",$DN59&amp;", ","")&amp;IF($DO59&lt;&gt;"",$DO59&amp;", ","")&amp;IF($DP59&lt;&gt;"",$DP59&amp;", ","")&amp;IF($DQ59&lt;&gt;"",$DQ59&amp;", ","")&amp;IF($DR59&lt;&gt;"",$DR59&amp;", ","")&amp;IF($DS59&lt;&gt;"",$DS59&amp;", ","")&amp;IF($DT59&lt;&gt;"",$DT59&amp;", ","")&amp;IF($DU59&lt;&gt;"",$DU59&amp;", ",""))="","OK","Onbekend: "&amp;LEFT((IF($AT59&lt;&gt;"",$AT59&amp;", ","")&amp;IF($AU59&lt;&gt;"",$AU59&amp;", ","")&amp;IF($AV59&lt;&gt;"",$AV59&amp;", ","")&amp;IF($AW59&lt;&gt;"",$AW59&amp;", ","")&amp;IF($AX59&lt;&gt;"",$AX59&amp;", ","")&amp;IF($AY59&lt;&gt;"",$AY59&amp;", ","")&amp;IF($AZ59&lt;&gt;"",$AZ59&amp;", ","")&amp;IF($BA59&lt;&gt;"",$BA59&amp;", ","")&amp;IF($BB59&lt;&gt;"",$BB59&amp;", ","")&amp;IF($BC59&lt;&gt;"",$BC59&amp;", ","")&amp;IF($DL59&lt;&gt;"",$DL59&amp;", ","")&amp;IF($DM59&lt;&gt;"",$DM59&amp;", ","")&amp;IF($DN59&lt;&gt;"",$DN59&amp;", ","")&amp;IF($DO59&lt;&gt;"",$DO59&amp;", ","")&amp;IF($DP59&lt;&gt;"",$DP59&amp;", ","")&amp;IF($DQ59&lt;&gt;"",$DQ59&amp;", ","")&amp;IF($DR59&lt;&gt;"",$DR59&amp;", ","")&amp;IF($DS59&lt;&gt;"",$DS59&amp;", ","")&amp;IF($DT59&lt;&gt;"",$DT59&amp;", ","")&amp;IF($DU59&lt;&gt;"",$DU59&amp;", ","")),LEN((IF($AT59&lt;&gt;"",$AT59&amp;", ","")&amp;IF($AU59&lt;&gt;"",$AU59&amp;", ","")&amp;IF($AV59&lt;&gt;"",$AV59&amp;", ","")&amp;IF($AW59&lt;&gt;"",$AW59&amp;", ","")&amp;IF($AX59&lt;&gt;"",$AX59&amp;", ","")&amp;IF($AY59&lt;&gt;"",$AY59&amp;", ","")&amp;IF($AZ59&lt;&gt;"",$AZ59&amp;", ","")&amp;IF($BA59&lt;&gt;"",$BA59&amp;", ","")&amp;IF($BB59&lt;&gt;"",$BB59&amp;", ","")&amp;IF($BC59&lt;&gt;"",$BC59&amp;", ","")&amp;IF($DL59&lt;&gt;"",$DL59&amp;", ","")&amp;IF($DM59&lt;&gt;"",$DM59&amp;", ","")&amp;IF($DN59&lt;&gt;"",$DN59&amp;", ","")&amp;IF($DO59&lt;&gt;"",$DO59&amp;", ","")&amp;IF($DP59&lt;&gt;"",$DP59&amp;", ","")&amp;IF($DQ59&lt;&gt;"",$DQ59&amp;", ","")&amp;IF($DR59&lt;&gt;"",$DR59&amp;", ","")&amp;IF($DS59&lt;&gt;"",$DS59&amp;", ","")&amp;IF($DT59&lt;&gt;"",$DT59&amp;", ","")&amp;IF($DU59&lt;&gt;"",$DU59&amp;", ","")))-2)))))))</f>
        <v/>
      </c>
      <c r="N59" t="str">
        <f t="shared" si="398"/>
        <v/>
      </c>
      <c r="O59" t="str">
        <f t="shared" si="399"/>
        <v/>
      </c>
      <c r="P59" t="str">
        <f t="shared" si="400"/>
        <v/>
      </c>
      <c r="Q59" t="str">
        <f t="shared" si="401"/>
        <v/>
      </c>
      <c r="R59" t="str">
        <f>IF($Q59="","",IF(OR($BE59="",$BF59=""),"ONZEKER",IF(AND($BE59=0+1,$BF59=0),IF(OR(COUNTIF(#REF!,$B59)&gt;0,COUNTIF(#REF!,$B59)=0),"SKIP",IF(COUNTIFS(#REF!,$B59,#REF!,$Q59)&gt;0,"OK","ONBEKEND")),IF(AND($BE59=0,$BF59=0+1),IF(OR(COUNTIF(#REF!,$D59)&gt;0,COUNTIF(#REF!,$D59)=0),"SKIP",IF(COUNTIFS(#REF!,$D59,#REF!,$Q59)&gt;0,"OK","ONBEKEND")),"ONZEKER"))))</f>
        <v/>
      </c>
      <c r="S59" t="str">
        <f t="shared" si="402"/>
        <v/>
      </c>
      <c r="T59" t="str">
        <f t="shared" si="403"/>
        <v/>
      </c>
      <c r="U59" t="str">
        <f>IF($T59="","",IF(OR($BH59="",$BI59=""),"ONZEKER",IF(OR($BE59="",$BF59=""),"ONZEKER",IF(AND($BH59=$BE59+1,$BI59=$BF59),IF(OR(COUNTIF(#REF!,$B59)&gt;0,COUNTIF(#REF!,$B59)=0),"SKIP",IF(COUNTIFS(#REF!,$B59,#REF!,$T59)&gt;0,"OK","ONBEKEND")),IF(AND($BH59=$BE59,$BI59=$BF59+1),IF(OR(COUNTIF(#REF!,$D59)&gt;0,COUNTIF(#REF!,$D59)=0),"SKIP",IF(COUNTIFS(#REF!,$D59,#REF!,$T59)&gt;0,"OK","ONBEKEND")),"ONZEKER")))))</f>
        <v/>
      </c>
      <c r="V59" t="str">
        <f t="shared" si="404"/>
        <v/>
      </c>
      <c r="W59" t="str">
        <f t="shared" si="405"/>
        <v/>
      </c>
      <c r="X59" t="str">
        <f>IF($W59="","",IF(OR($BK59="",$BL59=""),"ONZEKER",IF(OR($BH59="",$BI59=""),"ONZEKER",IF(AND($BK59=$BH59+1,$BL59=$BI59),IF(OR(COUNTIF(#REF!,$B59)&gt;0,COUNTIF(#REF!,$B59)=0),"SKIP",IF(COUNTIFS(#REF!,$B59,#REF!,$W59)&gt;0,"OK","ONBEKEND")),IF(AND($BK59=$BH59,$BL59=$BI59+1),IF(OR(COUNTIF(#REF!,$D59)&gt;0,COUNTIF(#REF!,$D59)=0),"SKIP",IF(COUNTIFS(#REF!,$D59,#REF!,$W59)&gt;0,"OK","ONBEKEND")),"ONZEKER")))))</f>
        <v/>
      </c>
      <c r="Y59" t="str">
        <f t="shared" si="406"/>
        <v/>
      </c>
      <c r="Z59" t="str">
        <f t="shared" si="407"/>
        <v/>
      </c>
      <c r="AA59" t="str">
        <f>IF($Z59="","",IF(OR($BN59="",$BO59=""),"ONZEKER",IF(OR($BK59="",$BL59=""),"ONZEKER",IF(AND($BN59=$BK59+1,$BO59=$BL59),IF(OR(COUNTIF(#REF!,$B59)&gt;0,COUNTIF(#REF!,$B59)=0),"SKIP",IF(COUNTIFS(#REF!,$B59,#REF!,$Z59)&gt;0,"OK","ONBEKEND")),IF(AND($BN59=$BK59,$BO59=$BL59+1),IF(OR(COUNTIF(#REF!,$D59)&gt;0,COUNTIF(#REF!,$D59)=0),"SKIP",IF(COUNTIFS(#REF!,$D59,#REF!,$Z59)&gt;0,"OK","ONBEKEND")),"ONZEKER")))))</f>
        <v/>
      </c>
      <c r="AB59" t="str">
        <f t="shared" si="408"/>
        <v/>
      </c>
      <c r="AC59" t="str">
        <f t="shared" si="409"/>
        <v/>
      </c>
      <c r="AD59" t="str">
        <f>IF($AC59="","",IF(OR($BQ59="",$BR59=""),"ONZEKER",IF(OR($BN59="",$BO59=""),"ONZEKER",IF(AND($BQ59=$BN59+1,$BR59=$BO59),IF(OR(COUNTIF(#REF!,$B59)&gt;0,COUNTIF(#REF!,$B59)=0),"SKIP",IF(COUNTIFS(#REF!,$B59,#REF!,$AC59)&gt;0,"OK","ONBEKEND")),IF(AND($BQ59=$BN59,$BR59=$BO59+1),IF(OR(COUNTIF(#REF!,$D59)&gt;0,COUNTIF(#REF!,$D59)=0),"SKIP",IF(COUNTIFS(#REF!,$D59,#REF!,$AC59)&gt;0,"OK","ONBEKEND")),"ONZEKER")))))</f>
        <v/>
      </c>
      <c r="AE59" t="str">
        <f t="shared" si="410"/>
        <v/>
      </c>
      <c r="AF59" t="str">
        <f t="shared" si="411"/>
        <v/>
      </c>
      <c r="AG59" t="str">
        <f>IF($AF59="","",IF(OR($BT59="",$BU59=""),"ONZEKER",IF(OR($BQ59="",$BR59=""),"ONZEKER",IF(AND($BT59=$BQ59+1,$BU59=$BR59),IF(OR(COUNTIF(#REF!,$B59)&gt;0,COUNTIF(#REF!,$B59)=0),"SKIP",IF(COUNTIFS(#REF!,$B59,#REF!,$AF59)&gt;0,"OK","ONBEKEND")),IF(AND($BT59=$BQ59,$BU59=$BR59+1),IF(OR(COUNTIF(#REF!,$D59)&gt;0,COUNTIF(#REF!,$D59)=0),"SKIP",IF(COUNTIFS(#REF!,$D59,#REF!,$AF59)&gt;0,"OK","ONBEKEND")),"ONZEKER")))))</f>
        <v/>
      </c>
      <c r="AH59" t="str">
        <f t="shared" si="412"/>
        <v/>
      </c>
      <c r="AI59" t="str">
        <f t="shared" si="413"/>
        <v/>
      </c>
      <c r="AJ59" t="str">
        <f>IF($AI59="","",IF(OR($BW59="",$BX59=""),"ONZEKER",IF(OR($BT59="",$BU59=""),"ONZEKER",IF(AND($BW59=$BT59+1,$BX59=$BU59),IF(OR(COUNTIF(#REF!,$B59)&gt;0,COUNTIF(#REF!,$B59)=0),"SKIP",IF(COUNTIFS(#REF!,$B59,#REF!,$AI59)&gt;0,"OK","ONBEKEND")),IF(AND($BW59=$BT59,$BX59=$BU59+1),IF(OR(COUNTIF(#REF!,$D59)&gt;0,COUNTIF(#REF!,$D59)=0),"SKIP",IF(COUNTIFS(#REF!,$D59,#REF!,$AI59)&gt;0,"OK","ONBEKEND")),"ONZEKER")))))</f>
        <v/>
      </c>
      <c r="AK59" t="str">
        <f t="shared" si="414"/>
        <v/>
      </c>
      <c r="AL59" t="str">
        <f t="shared" si="415"/>
        <v/>
      </c>
      <c r="AM59" t="str">
        <f>IF($AL59="","",IF(OR($BZ59="",$CA59=""),"ONZEKER",IF(OR($BW59="",$BX59=""),"ONZEKER",IF(AND($BZ59=$BW59+1,$CA59=$BX59),IF(OR(COUNTIF(#REF!,$B59)&gt;0,COUNTIF(#REF!,$B59)=0),"SKIP",IF(COUNTIFS(#REF!,$B59,#REF!,$AL59)&gt;0,"OK","ONBEKEND")),IF(AND($BZ59=$BW59,$CA59=$BX59+1),IF(OR(COUNTIF(#REF!,$D59)&gt;0,COUNTIF(#REF!,$D59)=0),"SKIP",IF(COUNTIFS(#REF!,$D59,#REF!,$AL59)&gt;0,"OK","ONBEKEND")),"ONZEKER")))))</f>
        <v/>
      </c>
      <c r="AN59" t="str">
        <f t="shared" si="416"/>
        <v/>
      </c>
      <c r="AO59" t="str">
        <f t="shared" si="417"/>
        <v/>
      </c>
      <c r="AP59" t="str">
        <f>IF($AO59="","",IF(OR($CC59="",$CD59=""),"ONZEKER",IF(OR($BZ59="",$CA59=""),"ONZEKER",IF(AND($CC59=$BZ59+1,$CD59=$CA59),IF(OR(COUNTIF(#REF!,$B59)&gt;0,COUNTIF(#REF!,$B59)=0),"SKIP",IF(COUNTIFS(#REF!,$B59,#REF!,$AO59)&gt;0,"OK","ONBEKEND")),IF(AND($CC59=$BZ59,$CD59=$CA59+1),IF(OR(COUNTIF(#REF!,$D59)&gt;0,COUNTIF(#REF!,$D59)=0),"SKIP",IF(COUNTIFS(#REF!,$D59,#REF!,$AO59)&gt;0,"OK","ONBEKEND")),"ONZEKER")))))</f>
        <v/>
      </c>
      <c r="AQ59" t="str">
        <f t="shared" si="418"/>
        <v/>
      </c>
      <c r="AR59" t="str">
        <f t="shared" si="419"/>
        <v/>
      </c>
      <c r="AS59" t="str">
        <f>IF($AR59="","",IF(OR($CF59="",$CG59=""),"ONZEKER",IF(OR($CC59="",$CD59=""),"ONZEKER",IF(AND($CF59=$CC59+1,$CG59=$CD59),IF(OR(COUNTIF(#REF!,$B59)&gt;0,COUNTIF(#REF!,$B59)=0),"SKIP",IF(COUNTIFS(#REF!,$B59,#REF!,$AR59)&gt;0,"OK","ONBEKEND")),IF(AND($CF59=$CC59,$CG59=$CD59+1),IF(OR(COUNTIF(#REF!,$D59)&gt;0,COUNTIF(#REF!,$D59)=0),"SKIP",IF(COUNTIFS(#REF!,$D59,#REF!,$AR59)&gt;0,"OK","ONBEKEND")),"ONZEKER")))))</f>
        <v/>
      </c>
      <c r="AT59" t="str">
        <f t="shared" si="420"/>
        <v/>
      </c>
      <c r="AU59" t="str">
        <f t="shared" si="421"/>
        <v/>
      </c>
      <c r="AV59" t="str">
        <f t="shared" si="422"/>
        <v/>
      </c>
      <c r="AW59" t="str">
        <f t="shared" si="423"/>
        <v/>
      </c>
      <c r="AX59" t="str">
        <f t="shared" si="424"/>
        <v/>
      </c>
      <c r="AY59" t="str">
        <f t="shared" si="425"/>
        <v/>
      </c>
      <c r="AZ59" t="str">
        <f t="shared" si="426"/>
        <v/>
      </c>
      <c r="BA59" t="str">
        <f t="shared" si="427"/>
        <v/>
      </c>
      <c r="BB59" t="str">
        <f t="shared" si="428"/>
        <v/>
      </c>
      <c r="BC59" t="str">
        <f t="shared" si="429"/>
        <v/>
      </c>
      <c r="BD59" t="str">
        <f t="shared" si="32"/>
        <v/>
      </c>
      <c r="BE59" t="str">
        <f t="shared" si="33"/>
        <v/>
      </c>
      <c r="BF59" t="str">
        <f t="shared" si="34"/>
        <v/>
      </c>
      <c r="BG59" t="str">
        <f t="shared" si="35"/>
        <v/>
      </c>
      <c r="BH59" t="str">
        <f t="shared" si="36"/>
        <v/>
      </c>
      <c r="BI59" t="str">
        <f t="shared" si="37"/>
        <v/>
      </c>
      <c r="BJ59" t="str">
        <f t="shared" si="38"/>
        <v/>
      </c>
      <c r="BK59" t="str">
        <f t="shared" si="39"/>
        <v/>
      </c>
      <c r="BL59" t="str">
        <f t="shared" si="40"/>
        <v/>
      </c>
      <c r="BM59" t="str">
        <f t="shared" si="41"/>
        <v/>
      </c>
      <c r="BN59" t="str">
        <f t="shared" si="42"/>
        <v/>
      </c>
      <c r="BO59" t="str">
        <f t="shared" si="43"/>
        <v/>
      </c>
      <c r="BP59" t="str">
        <f t="shared" si="44"/>
        <v/>
      </c>
      <c r="BQ59" t="str">
        <f t="shared" si="45"/>
        <v/>
      </c>
      <c r="BR59" t="str">
        <f t="shared" si="46"/>
        <v/>
      </c>
      <c r="BS59" t="str">
        <f t="shared" si="47"/>
        <v/>
      </c>
      <c r="BT59" t="str">
        <f t="shared" si="48"/>
        <v/>
      </c>
      <c r="BU59" t="str">
        <f t="shared" si="49"/>
        <v/>
      </c>
      <c r="BV59" t="str">
        <f t="shared" si="50"/>
        <v/>
      </c>
      <c r="BW59" t="str">
        <f t="shared" si="51"/>
        <v/>
      </c>
      <c r="BX59" t="str">
        <f t="shared" si="52"/>
        <v/>
      </c>
      <c r="BY59" t="str">
        <f t="shared" si="53"/>
        <v/>
      </c>
      <c r="BZ59" t="str">
        <f t="shared" si="54"/>
        <v/>
      </c>
      <c r="CA59" t="str">
        <f t="shared" si="55"/>
        <v/>
      </c>
      <c r="CB59" t="str">
        <f t="shared" si="56"/>
        <v/>
      </c>
      <c r="CC59" t="str">
        <f t="shared" si="57"/>
        <v/>
      </c>
      <c r="CD59" t="str">
        <f t="shared" si="58"/>
        <v/>
      </c>
      <c r="CE59" t="str">
        <f t="shared" si="59"/>
        <v/>
      </c>
      <c r="CF59" t="str">
        <f t="shared" si="60"/>
        <v/>
      </c>
      <c r="CG59" t="str">
        <f t="shared" si="61"/>
        <v/>
      </c>
      <c r="CH59" t="str">
        <f t="shared" si="430"/>
        <v/>
      </c>
      <c r="CI59" t="str">
        <f t="shared" si="431"/>
        <v/>
      </c>
      <c r="CJ59" t="str">
        <f>IF($CI59="","",IF(OR($DW59="",$DX59=""),"ONZEKER",IF(OR($CF59="",$CG59=""),"ONZEKER",IF(AND($DW59=$CF59+1,$DX59=$CG59),IF(OR(COUNTIF(#REF!,$B59)&gt;0,COUNTIF(#REF!,$B59)=0),"SKIP",IF(COUNTIFS(#REF!,$B59,#REF!,$CI59)&gt;0,"OK","ONBEKEND")),IF(AND($DW59=$CF59,$DX59=$CG59+1),IF(OR(COUNTIF(#REF!,$D59)&gt;0,COUNTIF(#REF!,$D59)=0),"SKIP",IF(COUNTIFS(#REF!,$D59,#REF!,$CI59)&gt;0,"OK","ONBEKEND")),"ONZEKER")))))</f>
        <v/>
      </c>
      <c r="CK59" t="str">
        <f t="shared" si="432"/>
        <v/>
      </c>
      <c r="CL59" t="str">
        <f t="shared" si="433"/>
        <v/>
      </c>
      <c r="CM59" t="str">
        <f>IF($CL59="","",IF(OR($DZ59="",$EA59=""),"ONZEKER",IF(OR($DW59="",$DX59=""),"ONZEKER",IF(AND($DZ59=$DW59+1,$EA59=$DX59),IF(OR(COUNTIF(#REF!,$B59)&gt;0,COUNTIF(#REF!,$B59)=0),"SKIP",IF(COUNTIFS(#REF!,$B59,#REF!,$CL59)&gt;0,"OK","ONBEKEND")),IF(AND($DZ59=$DW59,$EA59=$DX59+1),IF(OR(COUNTIF(#REF!,$D59)&gt;0,COUNTIF(#REF!,$D59)=0),"SKIP",IF(COUNTIFS(#REF!,$D59,#REF!,$CL59)&gt;0,"OK","ONBEKEND")),"ONZEKER")))))</f>
        <v/>
      </c>
      <c r="CN59" t="str">
        <f t="shared" si="434"/>
        <v/>
      </c>
      <c r="CO59" t="str">
        <f t="shared" si="435"/>
        <v/>
      </c>
      <c r="CP59" t="str">
        <f>IF($CO59="","",IF(OR($EC59="",$ED59=""),"ONZEKER",IF(OR($DZ59="",$EA59=""),"ONZEKER",IF(AND($EC59=$DZ59+1,$ED59=$EA59),IF(OR(COUNTIF(#REF!,$B59)&gt;0,COUNTIF(#REF!,$B59)=0),"SKIP",IF(COUNTIFS(#REF!,$B59,#REF!,$CO59)&gt;0,"OK","ONBEKEND")),IF(AND($EC59=$DZ59,$ED59=$EA59+1),IF(OR(COUNTIF(#REF!,$D59)&gt;0,COUNTIF(#REF!,$D59)=0),"SKIP",IF(COUNTIFS(#REF!,$D59,#REF!,$CO59)&gt;0,"OK","ONBEKEND")),"ONZEKER")))))</f>
        <v/>
      </c>
      <c r="CQ59" t="str">
        <f t="shared" si="436"/>
        <v/>
      </c>
      <c r="CR59" t="str">
        <f t="shared" si="437"/>
        <v/>
      </c>
      <c r="CS59" t="str">
        <f>IF($CR59="","",IF(OR($EF59="",$EG59=""),"ONZEKER",IF(OR($EC59="",$ED59=""),"ONZEKER",IF(AND($EF59=$EC59+1,$EG59=$ED59),IF(OR(COUNTIF(#REF!,$B59)&gt;0,COUNTIF(#REF!,$B59)=0),"SKIP",IF(COUNTIFS(#REF!,$B59,#REF!,$CR59)&gt;0,"OK","ONBEKEND")),IF(AND($EF59=$EC59,$EG59=$ED59+1),IF(OR(COUNTIF(#REF!,$D59)&gt;0,COUNTIF(#REF!,$D59)=0),"SKIP",IF(COUNTIFS(#REF!,$D59,#REF!,$CR59)&gt;0,"OK","ONBEKEND")),"ONZEKER")))))</f>
        <v/>
      </c>
      <c r="CT59" t="str">
        <f t="shared" si="438"/>
        <v/>
      </c>
      <c r="CU59" t="str">
        <f t="shared" si="439"/>
        <v/>
      </c>
      <c r="CV59" t="str">
        <f>IF($CU59="","",IF(OR($EI59="",$EJ59=""),"ONZEKER",IF(OR($EF59="",$EG59=""),"ONZEKER",IF(AND($EI59=$EF59+1,$EJ59=$EG59),IF(OR(COUNTIF(#REF!,$B59)&gt;0,COUNTIF(#REF!,$B59)=0),"SKIP",IF(COUNTIFS(#REF!,$B59,#REF!,$CU59)&gt;0,"OK","ONBEKEND")),IF(AND($EI59=$EF59,$EJ59=$EG59+1),IF(OR(COUNTIF(#REF!,$D59)&gt;0,COUNTIF(#REF!,$D59)=0),"SKIP",IF(COUNTIFS(#REF!,$D59,#REF!,$CU59)&gt;0,"OK","ONBEKEND")),"ONZEKER")))))</f>
        <v/>
      </c>
      <c r="CW59" t="str">
        <f t="shared" si="440"/>
        <v/>
      </c>
      <c r="CX59" t="str">
        <f t="shared" si="441"/>
        <v/>
      </c>
      <c r="CY59" t="str">
        <f>IF($CX59="","",IF(OR($EL59="",$EM59=""),"ONZEKER",IF(OR($EI59="",$EJ59=""),"ONZEKER",IF(AND($EL59=$EI59+1,$EM59=$EJ59),IF(OR(COUNTIF(#REF!,$B59)&gt;0,COUNTIF(#REF!,$B59)=0),"SKIP",IF(COUNTIFS(#REF!,$B59,#REF!,$CX59)&gt;0,"OK","ONBEKEND")),IF(AND($EL59=$EI59,$EM59=$EJ59+1),IF(OR(COUNTIF(#REF!,$D59)&gt;0,COUNTIF(#REF!,$D59)=0),"SKIP",IF(COUNTIFS(#REF!,$D59,#REF!,$CX59)&gt;0,"OK","ONBEKEND")),"ONZEKER")))))</f>
        <v/>
      </c>
      <c r="CZ59" t="str">
        <f t="shared" si="442"/>
        <v/>
      </c>
      <c r="DA59" t="str">
        <f t="shared" si="443"/>
        <v/>
      </c>
      <c r="DB59" t="str">
        <f>IF($DA59="","",IF(OR($EO59="",$EP59=""),"ONZEKER",IF(OR($EL59="",$EM59=""),"ONZEKER",IF(AND($EO59=$EL59+1,$EP59=$EM59),IF(OR(COUNTIF(#REF!,$B59)&gt;0,COUNTIF(#REF!,$B59)=0),"SKIP",IF(COUNTIFS(#REF!,$B59,#REF!,$DA59)&gt;0,"OK","ONBEKEND")),IF(AND($EO59=$EL59,$EP59=$EM59+1),IF(OR(COUNTIF(#REF!,$D59)&gt;0,COUNTIF(#REF!,$D59)=0),"SKIP",IF(COUNTIFS(#REF!,$D59,#REF!,$DA59)&gt;0,"OK","ONBEKEND")),"ONZEKER")))))</f>
        <v/>
      </c>
      <c r="DC59" t="str">
        <f t="shared" si="444"/>
        <v/>
      </c>
      <c r="DD59" t="str">
        <f t="shared" si="445"/>
        <v/>
      </c>
      <c r="DE59" t="str">
        <f>IF($DD59="","",IF(OR($ER59="",$ES59=""),"ONZEKER",IF(OR($EO59="",$EP59=""),"ONZEKER",IF(AND($ER59=$EO59+1,$ES59=$EP59),IF(OR(COUNTIF(#REF!,$B59)&gt;0,COUNTIF(#REF!,$B59)=0),"SKIP",IF(COUNTIFS(#REF!,$B59,#REF!,$DD59)&gt;0,"OK","ONBEKEND")),IF(AND($ER59=$EO59,$ES59=$EP59+1),IF(OR(COUNTIF(#REF!,$D59)&gt;0,COUNTIF(#REF!,$D59)=0),"SKIP",IF(COUNTIFS(#REF!,$D59,#REF!,$DD59)&gt;0,"OK","ONBEKEND")),"ONZEKER")))))</f>
        <v/>
      </c>
      <c r="DF59" t="str">
        <f t="shared" si="446"/>
        <v/>
      </c>
      <c r="DG59" t="str">
        <f t="shared" si="447"/>
        <v/>
      </c>
      <c r="DH59" t="str">
        <f>IF($DG59="","",IF(OR($EU59="",$EV59=""),"ONZEKER",IF(OR($ER59="",$ES59=""),"ONZEKER",IF(AND($EU59=$ER59+1,$EV59=$ES59),IF(OR(COUNTIF(#REF!,$B59)&gt;0,COUNTIF(#REF!,$B59)=0),"SKIP",IF(COUNTIFS(#REF!,$B59,#REF!,$DG59)&gt;0,"OK","ONBEKEND")),IF(AND($EU59=$ER59,$EV59=$ES59+1),IF(OR(COUNTIF(#REF!,$D59)&gt;0,COUNTIF(#REF!,$D59)=0),"SKIP",IF(COUNTIFS(#REF!,$D59,#REF!,$DG59)&gt;0,"OK","ONBEKEND")),"ONZEKER")))))</f>
        <v/>
      </c>
      <c r="DI59" t="str">
        <f t="shared" si="448"/>
        <v/>
      </c>
      <c r="DJ59" t="str">
        <f t="shared" si="449"/>
        <v/>
      </c>
      <c r="DK59" t="str">
        <f>IF($DJ59="","",IF(OR($EX59="",$EY59=""),"ONZEKER",IF(OR($EU59="",$EV59=""),"ONZEKER",IF(AND($EX59=$EU59+1,$EY59=$EV59),IF(OR(COUNTIF(#REF!,$B59)&gt;0,COUNTIF(#REF!,$B59)=0),"SKIP",IF(COUNTIFS(#REF!,$B59,#REF!,$DJ59)&gt;0,"OK","ONBEKEND")),IF(AND($EX59=$EU59,$EY59=$EV59+1),IF(OR(COUNTIF(#REF!,$D59)&gt;0,COUNTIF(#REF!,$D59)=0),"SKIP",IF(COUNTIFS(#REF!,$D59,#REF!,$DJ59)&gt;0,"OK","ONBEKEND")),"ONZEKER")))))</f>
        <v/>
      </c>
      <c r="DL59" t="str">
        <f t="shared" si="450"/>
        <v/>
      </c>
      <c r="DM59" t="str">
        <f t="shared" si="451"/>
        <v/>
      </c>
      <c r="DN59" t="str">
        <f t="shared" si="452"/>
        <v/>
      </c>
      <c r="DO59" t="str">
        <f t="shared" si="453"/>
        <v/>
      </c>
      <c r="DP59" t="str">
        <f t="shared" si="454"/>
        <v/>
      </c>
      <c r="DQ59" t="str">
        <f t="shared" si="455"/>
        <v/>
      </c>
      <c r="DR59" t="str">
        <f t="shared" si="456"/>
        <v/>
      </c>
      <c r="DS59" t="str">
        <f t="shared" si="457"/>
        <v/>
      </c>
      <c r="DT59" t="str">
        <f t="shared" si="458"/>
        <v/>
      </c>
      <c r="DU59" t="str">
        <f t="shared" si="459"/>
        <v/>
      </c>
      <c r="DV59" t="str">
        <f t="shared" si="460"/>
        <v/>
      </c>
      <c r="DW59" t="str">
        <f t="shared" si="461"/>
        <v/>
      </c>
      <c r="DX59" t="str">
        <f t="shared" si="462"/>
        <v/>
      </c>
      <c r="DY59" t="str">
        <f t="shared" si="463"/>
        <v/>
      </c>
      <c r="DZ59" t="str">
        <f t="shared" si="464"/>
        <v/>
      </c>
      <c r="EA59" t="str">
        <f t="shared" si="465"/>
        <v/>
      </c>
      <c r="EB59" t="str">
        <f t="shared" si="466"/>
        <v/>
      </c>
      <c r="EC59" t="str">
        <f t="shared" si="467"/>
        <v/>
      </c>
      <c r="ED59" t="str">
        <f t="shared" si="468"/>
        <v/>
      </c>
      <c r="EE59" t="str">
        <f t="shared" si="469"/>
        <v/>
      </c>
      <c r="EF59" t="str">
        <f t="shared" si="470"/>
        <v/>
      </c>
      <c r="EG59" t="str">
        <f t="shared" si="471"/>
        <v/>
      </c>
      <c r="EH59" t="str">
        <f t="shared" si="472"/>
        <v/>
      </c>
      <c r="EI59" t="str">
        <f t="shared" si="473"/>
        <v/>
      </c>
      <c r="EJ59" t="str">
        <f t="shared" si="474"/>
        <v/>
      </c>
      <c r="EK59" t="str">
        <f t="shared" si="475"/>
        <v/>
      </c>
      <c r="EL59" t="str">
        <f t="shared" si="476"/>
        <v/>
      </c>
      <c r="EM59" t="str">
        <f t="shared" si="477"/>
        <v/>
      </c>
      <c r="EN59" t="str">
        <f t="shared" si="478"/>
        <v/>
      </c>
      <c r="EO59" t="str">
        <f t="shared" si="479"/>
        <v/>
      </c>
      <c r="EP59" t="str">
        <f t="shared" si="480"/>
        <v/>
      </c>
      <c r="EQ59" t="str">
        <f t="shared" si="481"/>
        <v/>
      </c>
      <c r="ER59" t="str">
        <f t="shared" si="482"/>
        <v/>
      </c>
      <c r="ES59" t="str">
        <f t="shared" si="483"/>
        <v/>
      </c>
      <c r="ET59" t="str">
        <f t="shared" si="484"/>
        <v/>
      </c>
      <c r="EU59" t="str">
        <f t="shared" si="485"/>
        <v/>
      </c>
      <c r="EV59" t="str">
        <f t="shared" si="486"/>
        <v/>
      </c>
      <c r="EW59" t="str">
        <f t="shared" si="487"/>
        <v/>
      </c>
      <c r="EX59" t="str">
        <f t="shared" si="488"/>
        <v/>
      </c>
      <c r="EY59" t="str">
        <f t="shared" si="489"/>
        <v/>
      </c>
    </row>
    <row r="60" spans="1:155" ht="13.9" customHeight="1" x14ac:dyDescent="0.25">
      <c r="A60" s="7"/>
      <c r="B60" s="17"/>
      <c r="C60" s="8"/>
      <c r="D60" s="17"/>
      <c r="E60" s="8"/>
      <c r="F60" s="18">
        <v>0</v>
      </c>
      <c r="G60" s="7" t="s">
        <v>147</v>
      </c>
      <c r="H60" s="18">
        <v>0</v>
      </c>
      <c r="I60" s="19">
        <v>0</v>
      </c>
      <c r="J60" s="7" t="s">
        <v>147</v>
      </c>
      <c r="K60" s="19">
        <v>0</v>
      </c>
      <c r="L60" s="9"/>
      <c r="M60" s="3" t="str">
        <f>IF($L60="","",IF($L60="DOELPUNTENMAKERS","",IF(AND(COUNTIF(#REF!,$B60)=0,COUNTIF(#REF!,$D60)=0),"OK",IF($O60&gt;20,"LET OP: meer dan 20 items (controle onvolledig)",IF((COUNTIF($R60:$AS60,"ONZEKER")+COUNTIF($CJ60:$DK60,"ONZEKER"))&gt;0,"LET OP: scoreverloop onduidelijk (controle beperkt)",IF((IF($AT60&lt;&gt;"",$AT60&amp;", ","")&amp;IF($AU60&lt;&gt;"",$AU60&amp;", ","")&amp;IF($AV60&lt;&gt;"",$AV60&amp;", ","")&amp;IF($AW60&lt;&gt;"",$AW60&amp;", ","")&amp;IF($AX60&lt;&gt;"",$AX60&amp;", ","")&amp;IF($AY60&lt;&gt;"",$AY60&amp;", ","")&amp;IF($AZ60&lt;&gt;"",$AZ60&amp;", ","")&amp;IF($BA60&lt;&gt;"",$BA60&amp;", ","")&amp;IF($BB60&lt;&gt;"",$BB60&amp;", ","")&amp;IF($BC60&lt;&gt;"",$BC60&amp;", ","")&amp;IF($DL60&lt;&gt;"",$DL60&amp;", ","")&amp;IF($DM60&lt;&gt;"",$DM60&amp;", ","")&amp;IF($DN60&lt;&gt;"",$DN60&amp;", ","")&amp;IF($DO60&lt;&gt;"",$DO60&amp;", ","")&amp;IF($DP60&lt;&gt;"",$DP60&amp;", ","")&amp;IF($DQ60&lt;&gt;"",$DQ60&amp;", ","")&amp;IF($DR60&lt;&gt;"",$DR60&amp;", ","")&amp;IF($DS60&lt;&gt;"",$DS60&amp;", ","")&amp;IF($DT60&lt;&gt;"",$DT60&amp;", ","")&amp;IF($DU60&lt;&gt;"",$DU60&amp;", ",""))="","OK","Onbekend: "&amp;LEFT((IF($AT60&lt;&gt;"",$AT60&amp;", ","")&amp;IF($AU60&lt;&gt;"",$AU60&amp;", ","")&amp;IF($AV60&lt;&gt;"",$AV60&amp;", ","")&amp;IF($AW60&lt;&gt;"",$AW60&amp;", ","")&amp;IF($AX60&lt;&gt;"",$AX60&amp;", ","")&amp;IF($AY60&lt;&gt;"",$AY60&amp;", ","")&amp;IF($AZ60&lt;&gt;"",$AZ60&amp;", ","")&amp;IF($BA60&lt;&gt;"",$BA60&amp;", ","")&amp;IF($BB60&lt;&gt;"",$BB60&amp;", ","")&amp;IF($BC60&lt;&gt;"",$BC60&amp;", ","")&amp;IF($DL60&lt;&gt;"",$DL60&amp;", ","")&amp;IF($DM60&lt;&gt;"",$DM60&amp;", ","")&amp;IF($DN60&lt;&gt;"",$DN60&amp;", ","")&amp;IF($DO60&lt;&gt;"",$DO60&amp;", ","")&amp;IF($DP60&lt;&gt;"",$DP60&amp;", ","")&amp;IF($DQ60&lt;&gt;"",$DQ60&amp;", ","")&amp;IF($DR60&lt;&gt;"",$DR60&amp;", ","")&amp;IF($DS60&lt;&gt;"",$DS60&amp;", ","")&amp;IF($DT60&lt;&gt;"",$DT60&amp;", ","")&amp;IF($DU60&lt;&gt;"",$DU60&amp;", ","")),LEN((IF($AT60&lt;&gt;"",$AT60&amp;", ","")&amp;IF($AU60&lt;&gt;"",$AU60&amp;", ","")&amp;IF($AV60&lt;&gt;"",$AV60&amp;", ","")&amp;IF($AW60&lt;&gt;"",$AW60&amp;", ","")&amp;IF($AX60&lt;&gt;"",$AX60&amp;", ","")&amp;IF($AY60&lt;&gt;"",$AY60&amp;", ","")&amp;IF($AZ60&lt;&gt;"",$AZ60&amp;", ","")&amp;IF($BA60&lt;&gt;"",$BA60&amp;", ","")&amp;IF($BB60&lt;&gt;"",$BB60&amp;", ","")&amp;IF($BC60&lt;&gt;"",$BC60&amp;", ","")&amp;IF($DL60&lt;&gt;"",$DL60&amp;", ","")&amp;IF($DM60&lt;&gt;"",$DM60&amp;", ","")&amp;IF($DN60&lt;&gt;"",$DN60&amp;", ","")&amp;IF($DO60&lt;&gt;"",$DO60&amp;", ","")&amp;IF($DP60&lt;&gt;"",$DP60&amp;", ","")&amp;IF($DQ60&lt;&gt;"",$DQ60&amp;", ","")&amp;IF($DR60&lt;&gt;"",$DR60&amp;", ","")&amp;IF($DS60&lt;&gt;"",$DS60&amp;", ","")&amp;IF($DT60&lt;&gt;"",$DT60&amp;", ","")&amp;IF($DU60&lt;&gt;"",$DU60&amp;", ","")))-2)))))))</f>
        <v/>
      </c>
      <c r="N60" t="str">
        <f t="shared" si="398"/>
        <v/>
      </c>
      <c r="O60" t="str">
        <f t="shared" si="399"/>
        <v/>
      </c>
      <c r="P60" t="str">
        <f t="shared" si="400"/>
        <v/>
      </c>
      <c r="Q60" t="str">
        <f t="shared" si="401"/>
        <v/>
      </c>
      <c r="R60" t="str">
        <f>IF($Q60="","",IF(OR($BE60="",$BF60=""),"ONZEKER",IF(AND($BE60=0+1,$BF60=0),IF(OR(COUNTIF(#REF!,$B60)&gt;0,COUNTIF(#REF!,$B60)=0),"SKIP",IF(COUNTIFS(#REF!,$B60,#REF!,$Q60)&gt;0,"OK","ONBEKEND")),IF(AND($BE60=0,$BF60=0+1),IF(OR(COUNTIF(#REF!,$D60)&gt;0,COUNTIF(#REF!,$D60)=0),"SKIP",IF(COUNTIFS(#REF!,$D60,#REF!,$Q60)&gt;0,"OK","ONBEKEND")),"ONZEKER"))))</f>
        <v/>
      </c>
      <c r="S60" t="str">
        <f t="shared" si="402"/>
        <v/>
      </c>
      <c r="T60" t="str">
        <f t="shared" si="403"/>
        <v/>
      </c>
      <c r="U60" t="str">
        <f>IF($T60="","",IF(OR($BH60="",$BI60=""),"ONZEKER",IF(OR($BE60="",$BF60=""),"ONZEKER",IF(AND($BH60=$BE60+1,$BI60=$BF60),IF(OR(COUNTIF(#REF!,$B60)&gt;0,COUNTIF(#REF!,$B60)=0),"SKIP",IF(COUNTIFS(#REF!,$B60,#REF!,$T60)&gt;0,"OK","ONBEKEND")),IF(AND($BH60=$BE60,$BI60=$BF60+1),IF(OR(COUNTIF(#REF!,$D60)&gt;0,COUNTIF(#REF!,$D60)=0),"SKIP",IF(COUNTIFS(#REF!,$D60,#REF!,$T60)&gt;0,"OK","ONBEKEND")),"ONZEKER")))))</f>
        <v/>
      </c>
      <c r="V60" t="str">
        <f t="shared" si="404"/>
        <v/>
      </c>
      <c r="W60" t="str">
        <f t="shared" si="405"/>
        <v/>
      </c>
      <c r="X60" t="str">
        <f>IF($W60="","",IF(OR($BK60="",$BL60=""),"ONZEKER",IF(OR($BH60="",$BI60=""),"ONZEKER",IF(AND($BK60=$BH60+1,$BL60=$BI60),IF(OR(COUNTIF(#REF!,$B60)&gt;0,COUNTIF(#REF!,$B60)=0),"SKIP",IF(COUNTIFS(#REF!,$B60,#REF!,$W60)&gt;0,"OK","ONBEKEND")),IF(AND($BK60=$BH60,$BL60=$BI60+1),IF(OR(COUNTIF(#REF!,$D60)&gt;0,COUNTIF(#REF!,$D60)=0),"SKIP",IF(COUNTIFS(#REF!,$D60,#REF!,$W60)&gt;0,"OK","ONBEKEND")),"ONZEKER")))))</f>
        <v/>
      </c>
      <c r="Y60" t="str">
        <f t="shared" si="406"/>
        <v/>
      </c>
      <c r="Z60" t="str">
        <f t="shared" si="407"/>
        <v/>
      </c>
      <c r="AA60" t="str">
        <f>IF($Z60="","",IF(OR($BN60="",$BO60=""),"ONZEKER",IF(OR($BK60="",$BL60=""),"ONZEKER",IF(AND($BN60=$BK60+1,$BO60=$BL60),IF(OR(COUNTIF(#REF!,$B60)&gt;0,COUNTIF(#REF!,$B60)=0),"SKIP",IF(COUNTIFS(#REF!,$B60,#REF!,$Z60)&gt;0,"OK","ONBEKEND")),IF(AND($BN60=$BK60,$BO60=$BL60+1),IF(OR(COUNTIF(#REF!,$D60)&gt;0,COUNTIF(#REF!,$D60)=0),"SKIP",IF(COUNTIFS(#REF!,$D60,#REF!,$Z60)&gt;0,"OK","ONBEKEND")),"ONZEKER")))))</f>
        <v/>
      </c>
      <c r="AB60" t="str">
        <f t="shared" si="408"/>
        <v/>
      </c>
      <c r="AC60" t="str">
        <f t="shared" si="409"/>
        <v/>
      </c>
      <c r="AD60" t="str">
        <f>IF($AC60="","",IF(OR($BQ60="",$BR60=""),"ONZEKER",IF(OR($BN60="",$BO60=""),"ONZEKER",IF(AND($BQ60=$BN60+1,$BR60=$BO60),IF(OR(COUNTIF(#REF!,$B60)&gt;0,COUNTIF(#REF!,$B60)=0),"SKIP",IF(COUNTIFS(#REF!,$B60,#REF!,$AC60)&gt;0,"OK","ONBEKEND")),IF(AND($BQ60=$BN60,$BR60=$BO60+1),IF(OR(COUNTIF(#REF!,$D60)&gt;0,COUNTIF(#REF!,$D60)=0),"SKIP",IF(COUNTIFS(#REF!,$D60,#REF!,$AC60)&gt;0,"OK","ONBEKEND")),"ONZEKER")))))</f>
        <v/>
      </c>
      <c r="AE60" t="str">
        <f t="shared" si="410"/>
        <v/>
      </c>
      <c r="AF60" t="str">
        <f t="shared" si="411"/>
        <v/>
      </c>
      <c r="AG60" t="str">
        <f>IF($AF60="","",IF(OR($BT60="",$BU60=""),"ONZEKER",IF(OR($BQ60="",$BR60=""),"ONZEKER",IF(AND($BT60=$BQ60+1,$BU60=$BR60),IF(OR(COUNTIF(#REF!,$B60)&gt;0,COUNTIF(#REF!,$B60)=0),"SKIP",IF(COUNTIFS(#REF!,$B60,#REF!,$AF60)&gt;0,"OK","ONBEKEND")),IF(AND($BT60=$BQ60,$BU60=$BR60+1),IF(OR(COUNTIF(#REF!,$D60)&gt;0,COUNTIF(#REF!,$D60)=0),"SKIP",IF(COUNTIFS(#REF!,$D60,#REF!,$AF60)&gt;0,"OK","ONBEKEND")),"ONZEKER")))))</f>
        <v/>
      </c>
      <c r="AH60" t="str">
        <f t="shared" si="412"/>
        <v/>
      </c>
      <c r="AI60" t="str">
        <f t="shared" si="413"/>
        <v/>
      </c>
      <c r="AJ60" t="str">
        <f>IF($AI60="","",IF(OR($BW60="",$BX60=""),"ONZEKER",IF(OR($BT60="",$BU60=""),"ONZEKER",IF(AND($BW60=$BT60+1,$BX60=$BU60),IF(OR(COUNTIF(#REF!,$B60)&gt;0,COUNTIF(#REF!,$B60)=0),"SKIP",IF(COUNTIFS(#REF!,$B60,#REF!,$AI60)&gt;0,"OK","ONBEKEND")),IF(AND($BW60=$BT60,$BX60=$BU60+1),IF(OR(COUNTIF(#REF!,$D60)&gt;0,COUNTIF(#REF!,$D60)=0),"SKIP",IF(COUNTIFS(#REF!,$D60,#REF!,$AI60)&gt;0,"OK","ONBEKEND")),"ONZEKER")))))</f>
        <v/>
      </c>
      <c r="AK60" t="str">
        <f t="shared" si="414"/>
        <v/>
      </c>
      <c r="AL60" t="str">
        <f t="shared" si="415"/>
        <v/>
      </c>
      <c r="AM60" t="str">
        <f>IF($AL60="","",IF(OR($BZ60="",$CA60=""),"ONZEKER",IF(OR($BW60="",$BX60=""),"ONZEKER",IF(AND($BZ60=$BW60+1,$CA60=$BX60),IF(OR(COUNTIF(#REF!,$B60)&gt;0,COUNTIF(#REF!,$B60)=0),"SKIP",IF(COUNTIFS(#REF!,$B60,#REF!,$AL60)&gt;0,"OK","ONBEKEND")),IF(AND($BZ60=$BW60,$CA60=$BX60+1),IF(OR(COUNTIF(#REF!,$D60)&gt;0,COUNTIF(#REF!,$D60)=0),"SKIP",IF(COUNTIFS(#REF!,$D60,#REF!,$AL60)&gt;0,"OK","ONBEKEND")),"ONZEKER")))))</f>
        <v/>
      </c>
      <c r="AN60" t="str">
        <f t="shared" si="416"/>
        <v/>
      </c>
      <c r="AO60" t="str">
        <f t="shared" si="417"/>
        <v/>
      </c>
      <c r="AP60" t="str">
        <f>IF($AO60="","",IF(OR($CC60="",$CD60=""),"ONZEKER",IF(OR($BZ60="",$CA60=""),"ONZEKER",IF(AND($CC60=$BZ60+1,$CD60=$CA60),IF(OR(COUNTIF(#REF!,$B60)&gt;0,COUNTIF(#REF!,$B60)=0),"SKIP",IF(COUNTIFS(#REF!,$B60,#REF!,$AO60)&gt;0,"OK","ONBEKEND")),IF(AND($CC60=$BZ60,$CD60=$CA60+1),IF(OR(COUNTIF(#REF!,$D60)&gt;0,COUNTIF(#REF!,$D60)=0),"SKIP",IF(COUNTIFS(#REF!,$D60,#REF!,$AO60)&gt;0,"OK","ONBEKEND")),"ONZEKER")))))</f>
        <v/>
      </c>
      <c r="AQ60" t="str">
        <f t="shared" si="418"/>
        <v/>
      </c>
      <c r="AR60" t="str">
        <f t="shared" si="419"/>
        <v/>
      </c>
      <c r="AS60" t="str">
        <f>IF($AR60="","",IF(OR($CF60="",$CG60=""),"ONZEKER",IF(OR($CC60="",$CD60=""),"ONZEKER",IF(AND($CF60=$CC60+1,$CG60=$CD60),IF(OR(COUNTIF(#REF!,$B60)&gt;0,COUNTIF(#REF!,$B60)=0),"SKIP",IF(COUNTIFS(#REF!,$B60,#REF!,$AR60)&gt;0,"OK","ONBEKEND")),IF(AND($CF60=$CC60,$CG60=$CD60+1),IF(OR(COUNTIF(#REF!,$D60)&gt;0,COUNTIF(#REF!,$D60)=0),"SKIP",IF(COUNTIFS(#REF!,$D60,#REF!,$AR60)&gt;0,"OK","ONBEKEND")),"ONZEKER")))))</f>
        <v/>
      </c>
      <c r="AT60" t="str">
        <f t="shared" si="420"/>
        <v/>
      </c>
      <c r="AU60" t="str">
        <f t="shared" si="421"/>
        <v/>
      </c>
      <c r="AV60" t="str">
        <f t="shared" si="422"/>
        <v/>
      </c>
      <c r="AW60" t="str">
        <f t="shared" si="423"/>
        <v/>
      </c>
      <c r="AX60" t="str">
        <f t="shared" si="424"/>
        <v/>
      </c>
      <c r="AY60" t="str">
        <f t="shared" si="425"/>
        <v/>
      </c>
      <c r="AZ60" t="str">
        <f t="shared" si="426"/>
        <v/>
      </c>
      <c r="BA60" t="str">
        <f t="shared" si="427"/>
        <v/>
      </c>
      <c r="BB60" t="str">
        <f t="shared" si="428"/>
        <v/>
      </c>
      <c r="BC60" t="str">
        <f t="shared" si="429"/>
        <v/>
      </c>
      <c r="BD60" t="str">
        <f t="shared" si="32"/>
        <v/>
      </c>
      <c r="BE60" t="str">
        <f t="shared" si="33"/>
        <v/>
      </c>
      <c r="BF60" t="str">
        <f t="shared" si="34"/>
        <v/>
      </c>
      <c r="BG60" t="str">
        <f t="shared" si="35"/>
        <v/>
      </c>
      <c r="BH60" t="str">
        <f t="shared" si="36"/>
        <v/>
      </c>
      <c r="BI60" t="str">
        <f t="shared" si="37"/>
        <v/>
      </c>
      <c r="BJ60" t="str">
        <f t="shared" si="38"/>
        <v/>
      </c>
      <c r="BK60" t="str">
        <f t="shared" si="39"/>
        <v/>
      </c>
      <c r="BL60" t="str">
        <f t="shared" si="40"/>
        <v/>
      </c>
      <c r="BM60" t="str">
        <f t="shared" si="41"/>
        <v/>
      </c>
      <c r="BN60" t="str">
        <f t="shared" si="42"/>
        <v/>
      </c>
      <c r="BO60" t="str">
        <f t="shared" si="43"/>
        <v/>
      </c>
      <c r="BP60" t="str">
        <f t="shared" si="44"/>
        <v/>
      </c>
      <c r="BQ60" t="str">
        <f t="shared" si="45"/>
        <v/>
      </c>
      <c r="BR60" t="str">
        <f t="shared" si="46"/>
        <v/>
      </c>
      <c r="BS60" t="str">
        <f t="shared" si="47"/>
        <v/>
      </c>
      <c r="BT60" t="str">
        <f t="shared" si="48"/>
        <v/>
      </c>
      <c r="BU60" t="str">
        <f t="shared" si="49"/>
        <v/>
      </c>
      <c r="BV60" t="str">
        <f t="shared" si="50"/>
        <v/>
      </c>
      <c r="BW60" t="str">
        <f t="shared" si="51"/>
        <v/>
      </c>
      <c r="BX60" t="str">
        <f t="shared" si="52"/>
        <v/>
      </c>
      <c r="BY60" t="str">
        <f t="shared" si="53"/>
        <v/>
      </c>
      <c r="BZ60" t="str">
        <f t="shared" si="54"/>
        <v/>
      </c>
      <c r="CA60" t="str">
        <f t="shared" si="55"/>
        <v/>
      </c>
      <c r="CB60" t="str">
        <f t="shared" si="56"/>
        <v/>
      </c>
      <c r="CC60" t="str">
        <f t="shared" si="57"/>
        <v/>
      </c>
      <c r="CD60" t="str">
        <f t="shared" si="58"/>
        <v/>
      </c>
      <c r="CE60" t="str">
        <f t="shared" si="59"/>
        <v/>
      </c>
      <c r="CF60" t="str">
        <f t="shared" si="60"/>
        <v/>
      </c>
      <c r="CG60" t="str">
        <f t="shared" si="61"/>
        <v/>
      </c>
      <c r="CH60" t="str">
        <f t="shared" si="430"/>
        <v/>
      </c>
      <c r="CI60" t="str">
        <f t="shared" si="431"/>
        <v/>
      </c>
      <c r="CJ60" t="str">
        <f>IF($CI60="","",IF(OR($DW60="",$DX60=""),"ONZEKER",IF(OR($CF60="",$CG60=""),"ONZEKER",IF(AND($DW60=$CF60+1,$DX60=$CG60),IF(OR(COUNTIF(#REF!,$B60)&gt;0,COUNTIF(#REF!,$B60)=0),"SKIP",IF(COUNTIFS(#REF!,$B60,#REF!,$CI60)&gt;0,"OK","ONBEKEND")),IF(AND($DW60=$CF60,$DX60=$CG60+1),IF(OR(COUNTIF(#REF!,$D60)&gt;0,COUNTIF(#REF!,$D60)=0),"SKIP",IF(COUNTIFS(#REF!,$D60,#REF!,$CI60)&gt;0,"OK","ONBEKEND")),"ONZEKER")))))</f>
        <v/>
      </c>
      <c r="CK60" t="str">
        <f t="shared" si="432"/>
        <v/>
      </c>
      <c r="CL60" t="str">
        <f t="shared" si="433"/>
        <v/>
      </c>
      <c r="CM60" t="str">
        <f>IF($CL60="","",IF(OR($DZ60="",$EA60=""),"ONZEKER",IF(OR($DW60="",$DX60=""),"ONZEKER",IF(AND($DZ60=$DW60+1,$EA60=$DX60),IF(OR(COUNTIF(#REF!,$B60)&gt;0,COUNTIF(#REF!,$B60)=0),"SKIP",IF(COUNTIFS(#REF!,$B60,#REF!,$CL60)&gt;0,"OK","ONBEKEND")),IF(AND($DZ60=$DW60,$EA60=$DX60+1),IF(OR(COUNTIF(#REF!,$D60)&gt;0,COUNTIF(#REF!,$D60)=0),"SKIP",IF(COUNTIFS(#REF!,$D60,#REF!,$CL60)&gt;0,"OK","ONBEKEND")),"ONZEKER")))))</f>
        <v/>
      </c>
      <c r="CN60" t="str">
        <f t="shared" si="434"/>
        <v/>
      </c>
      <c r="CO60" t="str">
        <f t="shared" si="435"/>
        <v/>
      </c>
      <c r="CP60" t="str">
        <f>IF($CO60="","",IF(OR($EC60="",$ED60=""),"ONZEKER",IF(OR($DZ60="",$EA60=""),"ONZEKER",IF(AND($EC60=$DZ60+1,$ED60=$EA60),IF(OR(COUNTIF(#REF!,$B60)&gt;0,COUNTIF(#REF!,$B60)=0),"SKIP",IF(COUNTIFS(#REF!,$B60,#REF!,$CO60)&gt;0,"OK","ONBEKEND")),IF(AND($EC60=$DZ60,$ED60=$EA60+1),IF(OR(COUNTIF(#REF!,$D60)&gt;0,COUNTIF(#REF!,$D60)=0),"SKIP",IF(COUNTIFS(#REF!,$D60,#REF!,$CO60)&gt;0,"OK","ONBEKEND")),"ONZEKER")))))</f>
        <v/>
      </c>
      <c r="CQ60" t="str">
        <f t="shared" si="436"/>
        <v/>
      </c>
      <c r="CR60" t="str">
        <f t="shared" si="437"/>
        <v/>
      </c>
      <c r="CS60" t="str">
        <f>IF($CR60="","",IF(OR($EF60="",$EG60=""),"ONZEKER",IF(OR($EC60="",$ED60=""),"ONZEKER",IF(AND($EF60=$EC60+1,$EG60=$ED60),IF(OR(COUNTIF(#REF!,$B60)&gt;0,COUNTIF(#REF!,$B60)=0),"SKIP",IF(COUNTIFS(#REF!,$B60,#REF!,$CR60)&gt;0,"OK","ONBEKEND")),IF(AND($EF60=$EC60,$EG60=$ED60+1),IF(OR(COUNTIF(#REF!,$D60)&gt;0,COUNTIF(#REF!,$D60)=0),"SKIP",IF(COUNTIFS(#REF!,$D60,#REF!,$CR60)&gt;0,"OK","ONBEKEND")),"ONZEKER")))))</f>
        <v/>
      </c>
      <c r="CT60" t="str">
        <f t="shared" si="438"/>
        <v/>
      </c>
      <c r="CU60" t="str">
        <f t="shared" si="439"/>
        <v/>
      </c>
      <c r="CV60" t="str">
        <f>IF($CU60="","",IF(OR($EI60="",$EJ60=""),"ONZEKER",IF(OR($EF60="",$EG60=""),"ONZEKER",IF(AND($EI60=$EF60+1,$EJ60=$EG60),IF(OR(COUNTIF(#REF!,$B60)&gt;0,COUNTIF(#REF!,$B60)=0),"SKIP",IF(COUNTIFS(#REF!,$B60,#REF!,$CU60)&gt;0,"OK","ONBEKEND")),IF(AND($EI60=$EF60,$EJ60=$EG60+1),IF(OR(COUNTIF(#REF!,$D60)&gt;0,COUNTIF(#REF!,$D60)=0),"SKIP",IF(COUNTIFS(#REF!,$D60,#REF!,$CU60)&gt;0,"OK","ONBEKEND")),"ONZEKER")))))</f>
        <v/>
      </c>
      <c r="CW60" t="str">
        <f t="shared" si="440"/>
        <v/>
      </c>
      <c r="CX60" t="str">
        <f t="shared" si="441"/>
        <v/>
      </c>
      <c r="CY60" t="str">
        <f>IF($CX60="","",IF(OR($EL60="",$EM60=""),"ONZEKER",IF(OR($EI60="",$EJ60=""),"ONZEKER",IF(AND($EL60=$EI60+1,$EM60=$EJ60),IF(OR(COUNTIF(#REF!,$B60)&gt;0,COUNTIF(#REF!,$B60)=0),"SKIP",IF(COUNTIFS(#REF!,$B60,#REF!,$CX60)&gt;0,"OK","ONBEKEND")),IF(AND($EL60=$EI60,$EM60=$EJ60+1),IF(OR(COUNTIF(#REF!,$D60)&gt;0,COUNTIF(#REF!,$D60)=0),"SKIP",IF(COUNTIFS(#REF!,$D60,#REF!,$CX60)&gt;0,"OK","ONBEKEND")),"ONZEKER")))))</f>
        <v/>
      </c>
      <c r="CZ60" t="str">
        <f t="shared" si="442"/>
        <v/>
      </c>
      <c r="DA60" t="str">
        <f t="shared" si="443"/>
        <v/>
      </c>
      <c r="DB60" t="str">
        <f>IF($DA60="","",IF(OR($EO60="",$EP60=""),"ONZEKER",IF(OR($EL60="",$EM60=""),"ONZEKER",IF(AND($EO60=$EL60+1,$EP60=$EM60),IF(OR(COUNTIF(#REF!,$B60)&gt;0,COUNTIF(#REF!,$B60)=0),"SKIP",IF(COUNTIFS(#REF!,$B60,#REF!,$DA60)&gt;0,"OK","ONBEKEND")),IF(AND($EO60=$EL60,$EP60=$EM60+1),IF(OR(COUNTIF(#REF!,$D60)&gt;0,COUNTIF(#REF!,$D60)=0),"SKIP",IF(COUNTIFS(#REF!,$D60,#REF!,$DA60)&gt;0,"OK","ONBEKEND")),"ONZEKER")))))</f>
        <v/>
      </c>
      <c r="DC60" t="str">
        <f t="shared" si="444"/>
        <v/>
      </c>
      <c r="DD60" t="str">
        <f t="shared" si="445"/>
        <v/>
      </c>
      <c r="DE60" t="str">
        <f>IF($DD60="","",IF(OR($ER60="",$ES60=""),"ONZEKER",IF(OR($EO60="",$EP60=""),"ONZEKER",IF(AND($ER60=$EO60+1,$ES60=$EP60),IF(OR(COUNTIF(#REF!,$B60)&gt;0,COUNTIF(#REF!,$B60)=0),"SKIP",IF(COUNTIFS(#REF!,$B60,#REF!,$DD60)&gt;0,"OK","ONBEKEND")),IF(AND($ER60=$EO60,$ES60=$EP60+1),IF(OR(COUNTIF(#REF!,$D60)&gt;0,COUNTIF(#REF!,$D60)=0),"SKIP",IF(COUNTIFS(#REF!,$D60,#REF!,$DD60)&gt;0,"OK","ONBEKEND")),"ONZEKER")))))</f>
        <v/>
      </c>
      <c r="DF60" t="str">
        <f t="shared" si="446"/>
        <v/>
      </c>
      <c r="DG60" t="str">
        <f t="shared" si="447"/>
        <v/>
      </c>
      <c r="DH60" t="str">
        <f>IF($DG60="","",IF(OR($EU60="",$EV60=""),"ONZEKER",IF(OR($ER60="",$ES60=""),"ONZEKER",IF(AND($EU60=$ER60+1,$EV60=$ES60),IF(OR(COUNTIF(#REF!,$B60)&gt;0,COUNTIF(#REF!,$B60)=0),"SKIP",IF(COUNTIFS(#REF!,$B60,#REF!,$DG60)&gt;0,"OK","ONBEKEND")),IF(AND($EU60=$ER60,$EV60=$ES60+1),IF(OR(COUNTIF(#REF!,$D60)&gt;0,COUNTIF(#REF!,$D60)=0),"SKIP",IF(COUNTIFS(#REF!,$D60,#REF!,$DG60)&gt;0,"OK","ONBEKEND")),"ONZEKER")))))</f>
        <v/>
      </c>
      <c r="DI60" t="str">
        <f t="shared" si="448"/>
        <v/>
      </c>
      <c r="DJ60" t="str">
        <f t="shared" si="449"/>
        <v/>
      </c>
      <c r="DK60" t="str">
        <f>IF($DJ60="","",IF(OR($EX60="",$EY60=""),"ONZEKER",IF(OR($EU60="",$EV60=""),"ONZEKER",IF(AND($EX60=$EU60+1,$EY60=$EV60),IF(OR(COUNTIF(#REF!,$B60)&gt;0,COUNTIF(#REF!,$B60)=0),"SKIP",IF(COUNTIFS(#REF!,$B60,#REF!,$DJ60)&gt;0,"OK","ONBEKEND")),IF(AND($EX60=$EU60,$EY60=$EV60+1),IF(OR(COUNTIF(#REF!,$D60)&gt;0,COUNTIF(#REF!,$D60)=0),"SKIP",IF(COUNTIFS(#REF!,$D60,#REF!,$DJ60)&gt;0,"OK","ONBEKEND")),"ONZEKER")))))</f>
        <v/>
      </c>
      <c r="DL60" t="str">
        <f t="shared" si="450"/>
        <v/>
      </c>
      <c r="DM60" t="str">
        <f t="shared" si="451"/>
        <v/>
      </c>
      <c r="DN60" t="str">
        <f t="shared" si="452"/>
        <v/>
      </c>
      <c r="DO60" t="str">
        <f t="shared" si="453"/>
        <v/>
      </c>
      <c r="DP60" t="str">
        <f t="shared" si="454"/>
        <v/>
      </c>
      <c r="DQ60" t="str">
        <f t="shared" si="455"/>
        <v/>
      </c>
      <c r="DR60" t="str">
        <f t="shared" si="456"/>
        <v/>
      </c>
      <c r="DS60" t="str">
        <f t="shared" si="457"/>
        <v/>
      </c>
      <c r="DT60" t="str">
        <f t="shared" si="458"/>
        <v/>
      </c>
      <c r="DU60" t="str">
        <f t="shared" si="459"/>
        <v/>
      </c>
      <c r="DV60" t="str">
        <f t="shared" si="460"/>
        <v/>
      </c>
      <c r="DW60" t="str">
        <f t="shared" si="461"/>
        <v/>
      </c>
      <c r="DX60" t="str">
        <f t="shared" si="462"/>
        <v/>
      </c>
      <c r="DY60" t="str">
        <f t="shared" si="463"/>
        <v/>
      </c>
      <c r="DZ60" t="str">
        <f t="shared" si="464"/>
        <v/>
      </c>
      <c r="EA60" t="str">
        <f t="shared" si="465"/>
        <v/>
      </c>
      <c r="EB60" t="str">
        <f t="shared" si="466"/>
        <v/>
      </c>
      <c r="EC60" t="str">
        <f t="shared" si="467"/>
        <v/>
      </c>
      <c r="ED60" t="str">
        <f t="shared" si="468"/>
        <v/>
      </c>
      <c r="EE60" t="str">
        <f t="shared" si="469"/>
        <v/>
      </c>
      <c r="EF60" t="str">
        <f t="shared" si="470"/>
        <v/>
      </c>
      <c r="EG60" t="str">
        <f t="shared" si="471"/>
        <v/>
      </c>
      <c r="EH60" t="str">
        <f t="shared" si="472"/>
        <v/>
      </c>
      <c r="EI60" t="str">
        <f t="shared" si="473"/>
        <v/>
      </c>
      <c r="EJ60" t="str">
        <f t="shared" si="474"/>
        <v/>
      </c>
      <c r="EK60" t="str">
        <f t="shared" si="475"/>
        <v/>
      </c>
      <c r="EL60" t="str">
        <f t="shared" si="476"/>
        <v/>
      </c>
      <c r="EM60" t="str">
        <f t="shared" si="477"/>
        <v/>
      </c>
      <c r="EN60" t="str">
        <f t="shared" si="478"/>
        <v/>
      </c>
      <c r="EO60" t="str">
        <f t="shared" si="479"/>
        <v/>
      </c>
      <c r="EP60" t="str">
        <f t="shared" si="480"/>
        <v/>
      </c>
      <c r="EQ60" t="str">
        <f t="shared" si="481"/>
        <v/>
      </c>
      <c r="ER60" t="str">
        <f t="shared" si="482"/>
        <v/>
      </c>
      <c r="ES60" t="str">
        <f t="shared" si="483"/>
        <v/>
      </c>
      <c r="ET60" t="str">
        <f t="shared" si="484"/>
        <v/>
      </c>
      <c r="EU60" t="str">
        <f t="shared" si="485"/>
        <v/>
      </c>
      <c r="EV60" t="str">
        <f t="shared" si="486"/>
        <v/>
      </c>
      <c r="EW60" t="str">
        <f t="shared" si="487"/>
        <v/>
      </c>
      <c r="EX60" t="str">
        <f t="shared" si="488"/>
        <v/>
      </c>
      <c r="EY60" t="str">
        <f t="shared" si="489"/>
        <v/>
      </c>
    </row>
    <row r="61" spans="1:155" ht="13.9" customHeight="1" x14ac:dyDescent="0.25">
      <c r="A61" s="7"/>
      <c r="B61" s="17"/>
      <c r="C61" s="8"/>
      <c r="D61" s="17"/>
      <c r="E61" s="8"/>
      <c r="F61" s="18">
        <v>0</v>
      </c>
      <c r="G61" s="7" t="s">
        <v>147</v>
      </c>
      <c r="H61" s="18">
        <v>0</v>
      </c>
      <c r="I61" s="19">
        <v>0</v>
      </c>
      <c r="J61" s="7" t="s">
        <v>147</v>
      </c>
      <c r="K61" s="19">
        <v>0</v>
      </c>
      <c r="L61" s="9"/>
      <c r="M61" s="3" t="str">
        <f>IF($L61="","",IF($L61="DOELPUNTENMAKERS","",IF(AND(COUNTIF(#REF!,$B61)=0,COUNTIF(#REF!,$D61)=0),"OK",IF($O61&gt;20,"LET OP: meer dan 20 items (controle onvolledig)",IF((COUNTIF($R61:$AS61,"ONZEKER")+COUNTIF($CJ61:$DK61,"ONZEKER"))&gt;0,"LET OP: scoreverloop onduidelijk (controle beperkt)",IF((IF($AT61&lt;&gt;"",$AT61&amp;", ","")&amp;IF($AU61&lt;&gt;"",$AU61&amp;", ","")&amp;IF($AV61&lt;&gt;"",$AV61&amp;", ","")&amp;IF($AW61&lt;&gt;"",$AW61&amp;", ","")&amp;IF($AX61&lt;&gt;"",$AX61&amp;", ","")&amp;IF($AY61&lt;&gt;"",$AY61&amp;", ","")&amp;IF($AZ61&lt;&gt;"",$AZ61&amp;", ","")&amp;IF($BA61&lt;&gt;"",$BA61&amp;", ","")&amp;IF($BB61&lt;&gt;"",$BB61&amp;", ","")&amp;IF($BC61&lt;&gt;"",$BC61&amp;", ","")&amp;IF($DL61&lt;&gt;"",$DL61&amp;", ","")&amp;IF($DM61&lt;&gt;"",$DM61&amp;", ","")&amp;IF($DN61&lt;&gt;"",$DN61&amp;", ","")&amp;IF($DO61&lt;&gt;"",$DO61&amp;", ","")&amp;IF($DP61&lt;&gt;"",$DP61&amp;", ","")&amp;IF($DQ61&lt;&gt;"",$DQ61&amp;", ","")&amp;IF($DR61&lt;&gt;"",$DR61&amp;", ","")&amp;IF($DS61&lt;&gt;"",$DS61&amp;", ","")&amp;IF($DT61&lt;&gt;"",$DT61&amp;", ","")&amp;IF($DU61&lt;&gt;"",$DU61&amp;", ",""))="","OK","Onbekend: "&amp;LEFT((IF($AT61&lt;&gt;"",$AT61&amp;", ","")&amp;IF($AU61&lt;&gt;"",$AU61&amp;", ","")&amp;IF($AV61&lt;&gt;"",$AV61&amp;", ","")&amp;IF($AW61&lt;&gt;"",$AW61&amp;", ","")&amp;IF($AX61&lt;&gt;"",$AX61&amp;", ","")&amp;IF($AY61&lt;&gt;"",$AY61&amp;", ","")&amp;IF($AZ61&lt;&gt;"",$AZ61&amp;", ","")&amp;IF($BA61&lt;&gt;"",$BA61&amp;", ","")&amp;IF($BB61&lt;&gt;"",$BB61&amp;", ","")&amp;IF($BC61&lt;&gt;"",$BC61&amp;", ","")&amp;IF($DL61&lt;&gt;"",$DL61&amp;", ","")&amp;IF($DM61&lt;&gt;"",$DM61&amp;", ","")&amp;IF($DN61&lt;&gt;"",$DN61&amp;", ","")&amp;IF($DO61&lt;&gt;"",$DO61&amp;", ","")&amp;IF($DP61&lt;&gt;"",$DP61&amp;", ","")&amp;IF($DQ61&lt;&gt;"",$DQ61&amp;", ","")&amp;IF($DR61&lt;&gt;"",$DR61&amp;", ","")&amp;IF($DS61&lt;&gt;"",$DS61&amp;", ","")&amp;IF($DT61&lt;&gt;"",$DT61&amp;", ","")&amp;IF($DU61&lt;&gt;"",$DU61&amp;", ","")),LEN((IF($AT61&lt;&gt;"",$AT61&amp;", ","")&amp;IF($AU61&lt;&gt;"",$AU61&amp;", ","")&amp;IF($AV61&lt;&gt;"",$AV61&amp;", ","")&amp;IF($AW61&lt;&gt;"",$AW61&amp;", ","")&amp;IF($AX61&lt;&gt;"",$AX61&amp;", ","")&amp;IF($AY61&lt;&gt;"",$AY61&amp;", ","")&amp;IF($AZ61&lt;&gt;"",$AZ61&amp;", ","")&amp;IF($BA61&lt;&gt;"",$BA61&amp;", ","")&amp;IF($BB61&lt;&gt;"",$BB61&amp;", ","")&amp;IF($BC61&lt;&gt;"",$BC61&amp;", ","")&amp;IF($DL61&lt;&gt;"",$DL61&amp;", ","")&amp;IF($DM61&lt;&gt;"",$DM61&amp;", ","")&amp;IF($DN61&lt;&gt;"",$DN61&amp;", ","")&amp;IF($DO61&lt;&gt;"",$DO61&amp;", ","")&amp;IF($DP61&lt;&gt;"",$DP61&amp;", ","")&amp;IF($DQ61&lt;&gt;"",$DQ61&amp;", ","")&amp;IF($DR61&lt;&gt;"",$DR61&amp;", ","")&amp;IF($DS61&lt;&gt;"",$DS61&amp;", ","")&amp;IF($DT61&lt;&gt;"",$DT61&amp;", ","")&amp;IF($DU61&lt;&gt;"",$DU61&amp;", ","")))-2)))))))</f>
        <v/>
      </c>
      <c r="N61" t="str">
        <f t="shared" si="398"/>
        <v/>
      </c>
      <c r="O61" t="str">
        <f t="shared" si="399"/>
        <v/>
      </c>
      <c r="P61" t="str">
        <f t="shared" si="400"/>
        <v/>
      </c>
      <c r="Q61" t="str">
        <f t="shared" si="401"/>
        <v/>
      </c>
      <c r="R61" t="str">
        <f>IF($Q61="","",IF(OR($BE61="",$BF61=""),"ONZEKER",IF(AND($BE61=0+1,$BF61=0),IF(OR(COUNTIF(#REF!,$B61)&gt;0,COUNTIF(#REF!,$B61)=0),"SKIP",IF(COUNTIFS(#REF!,$B61,#REF!,$Q61)&gt;0,"OK","ONBEKEND")),IF(AND($BE61=0,$BF61=0+1),IF(OR(COUNTIF(#REF!,$D61)&gt;0,COUNTIF(#REF!,$D61)=0),"SKIP",IF(COUNTIFS(#REF!,$D61,#REF!,$Q61)&gt;0,"OK","ONBEKEND")),"ONZEKER"))))</f>
        <v/>
      </c>
      <c r="S61" t="str">
        <f t="shared" si="402"/>
        <v/>
      </c>
      <c r="T61" t="str">
        <f t="shared" si="403"/>
        <v/>
      </c>
      <c r="U61" t="str">
        <f>IF($T61="","",IF(OR($BH61="",$BI61=""),"ONZEKER",IF(OR($BE61="",$BF61=""),"ONZEKER",IF(AND($BH61=$BE61+1,$BI61=$BF61),IF(OR(COUNTIF(#REF!,$B61)&gt;0,COUNTIF(#REF!,$B61)=0),"SKIP",IF(COUNTIFS(#REF!,$B61,#REF!,$T61)&gt;0,"OK","ONBEKEND")),IF(AND($BH61=$BE61,$BI61=$BF61+1),IF(OR(COUNTIF(#REF!,$D61)&gt;0,COUNTIF(#REF!,$D61)=0),"SKIP",IF(COUNTIFS(#REF!,$D61,#REF!,$T61)&gt;0,"OK","ONBEKEND")),"ONZEKER")))))</f>
        <v/>
      </c>
      <c r="V61" t="str">
        <f t="shared" si="404"/>
        <v/>
      </c>
      <c r="W61" t="str">
        <f t="shared" si="405"/>
        <v/>
      </c>
      <c r="X61" t="str">
        <f>IF($W61="","",IF(OR($BK61="",$BL61=""),"ONZEKER",IF(OR($BH61="",$BI61=""),"ONZEKER",IF(AND($BK61=$BH61+1,$BL61=$BI61),IF(OR(COUNTIF(#REF!,$B61)&gt;0,COUNTIF(#REF!,$B61)=0),"SKIP",IF(COUNTIFS(#REF!,$B61,#REF!,$W61)&gt;0,"OK","ONBEKEND")),IF(AND($BK61=$BH61,$BL61=$BI61+1),IF(OR(COUNTIF(#REF!,$D61)&gt;0,COUNTIF(#REF!,$D61)=0),"SKIP",IF(COUNTIFS(#REF!,$D61,#REF!,$W61)&gt;0,"OK","ONBEKEND")),"ONZEKER")))))</f>
        <v/>
      </c>
      <c r="Y61" t="str">
        <f t="shared" si="406"/>
        <v/>
      </c>
      <c r="Z61" t="str">
        <f t="shared" si="407"/>
        <v/>
      </c>
      <c r="AA61" t="str">
        <f>IF($Z61="","",IF(OR($BN61="",$BO61=""),"ONZEKER",IF(OR($BK61="",$BL61=""),"ONZEKER",IF(AND($BN61=$BK61+1,$BO61=$BL61),IF(OR(COUNTIF(#REF!,$B61)&gt;0,COUNTIF(#REF!,$B61)=0),"SKIP",IF(COUNTIFS(#REF!,$B61,#REF!,$Z61)&gt;0,"OK","ONBEKEND")),IF(AND($BN61=$BK61,$BO61=$BL61+1),IF(OR(COUNTIF(#REF!,$D61)&gt;0,COUNTIF(#REF!,$D61)=0),"SKIP",IF(COUNTIFS(#REF!,$D61,#REF!,$Z61)&gt;0,"OK","ONBEKEND")),"ONZEKER")))))</f>
        <v/>
      </c>
      <c r="AB61" t="str">
        <f t="shared" si="408"/>
        <v/>
      </c>
      <c r="AC61" t="str">
        <f t="shared" si="409"/>
        <v/>
      </c>
      <c r="AD61" t="str">
        <f>IF($AC61="","",IF(OR($BQ61="",$BR61=""),"ONZEKER",IF(OR($BN61="",$BO61=""),"ONZEKER",IF(AND($BQ61=$BN61+1,$BR61=$BO61),IF(OR(COUNTIF(#REF!,$B61)&gt;0,COUNTIF(#REF!,$B61)=0),"SKIP",IF(COUNTIFS(#REF!,$B61,#REF!,$AC61)&gt;0,"OK","ONBEKEND")),IF(AND($BQ61=$BN61,$BR61=$BO61+1),IF(OR(COUNTIF(#REF!,$D61)&gt;0,COUNTIF(#REF!,$D61)=0),"SKIP",IF(COUNTIFS(#REF!,$D61,#REF!,$AC61)&gt;0,"OK","ONBEKEND")),"ONZEKER")))))</f>
        <v/>
      </c>
      <c r="AE61" t="str">
        <f t="shared" si="410"/>
        <v/>
      </c>
      <c r="AF61" t="str">
        <f t="shared" si="411"/>
        <v/>
      </c>
      <c r="AG61" t="str">
        <f>IF($AF61="","",IF(OR($BT61="",$BU61=""),"ONZEKER",IF(OR($BQ61="",$BR61=""),"ONZEKER",IF(AND($BT61=$BQ61+1,$BU61=$BR61),IF(OR(COUNTIF(#REF!,$B61)&gt;0,COUNTIF(#REF!,$B61)=0),"SKIP",IF(COUNTIFS(#REF!,$B61,#REF!,$AF61)&gt;0,"OK","ONBEKEND")),IF(AND($BT61=$BQ61,$BU61=$BR61+1),IF(OR(COUNTIF(#REF!,$D61)&gt;0,COUNTIF(#REF!,$D61)=0),"SKIP",IF(COUNTIFS(#REF!,$D61,#REF!,$AF61)&gt;0,"OK","ONBEKEND")),"ONZEKER")))))</f>
        <v/>
      </c>
      <c r="AH61" t="str">
        <f t="shared" si="412"/>
        <v/>
      </c>
      <c r="AI61" t="str">
        <f t="shared" si="413"/>
        <v/>
      </c>
      <c r="AJ61" t="str">
        <f>IF($AI61="","",IF(OR($BW61="",$BX61=""),"ONZEKER",IF(OR($BT61="",$BU61=""),"ONZEKER",IF(AND($BW61=$BT61+1,$BX61=$BU61),IF(OR(COUNTIF(#REF!,$B61)&gt;0,COUNTIF(#REF!,$B61)=0),"SKIP",IF(COUNTIFS(#REF!,$B61,#REF!,$AI61)&gt;0,"OK","ONBEKEND")),IF(AND($BW61=$BT61,$BX61=$BU61+1),IF(OR(COUNTIF(#REF!,$D61)&gt;0,COUNTIF(#REF!,$D61)=0),"SKIP",IF(COUNTIFS(#REF!,$D61,#REF!,$AI61)&gt;0,"OK","ONBEKEND")),"ONZEKER")))))</f>
        <v/>
      </c>
      <c r="AK61" t="str">
        <f t="shared" si="414"/>
        <v/>
      </c>
      <c r="AL61" t="str">
        <f t="shared" si="415"/>
        <v/>
      </c>
      <c r="AM61" t="str">
        <f>IF($AL61="","",IF(OR($BZ61="",$CA61=""),"ONZEKER",IF(OR($BW61="",$BX61=""),"ONZEKER",IF(AND($BZ61=$BW61+1,$CA61=$BX61),IF(OR(COUNTIF(#REF!,$B61)&gt;0,COUNTIF(#REF!,$B61)=0),"SKIP",IF(COUNTIFS(#REF!,$B61,#REF!,$AL61)&gt;0,"OK","ONBEKEND")),IF(AND($BZ61=$BW61,$CA61=$BX61+1),IF(OR(COUNTIF(#REF!,$D61)&gt;0,COUNTIF(#REF!,$D61)=0),"SKIP",IF(COUNTIFS(#REF!,$D61,#REF!,$AL61)&gt;0,"OK","ONBEKEND")),"ONZEKER")))))</f>
        <v/>
      </c>
      <c r="AN61" t="str">
        <f t="shared" si="416"/>
        <v/>
      </c>
      <c r="AO61" t="str">
        <f t="shared" si="417"/>
        <v/>
      </c>
      <c r="AP61" t="str">
        <f>IF($AO61="","",IF(OR($CC61="",$CD61=""),"ONZEKER",IF(OR($BZ61="",$CA61=""),"ONZEKER",IF(AND($CC61=$BZ61+1,$CD61=$CA61),IF(OR(COUNTIF(#REF!,$B61)&gt;0,COUNTIF(#REF!,$B61)=0),"SKIP",IF(COUNTIFS(#REF!,$B61,#REF!,$AO61)&gt;0,"OK","ONBEKEND")),IF(AND($CC61=$BZ61,$CD61=$CA61+1),IF(OR(COUNTIF(#REF!,$D61)&gt;0,COUNTIF(#REF!,$D61)=0),"SKIP",IF(COUNTIFS(#REF!,$D61,#REF!,$AO61)&gt;0,"OK","ONBEKEND")),"ONZEKER")))))</f>
        <v/>
      </c>
      <c r="AQ61" t="str">
        <f t="shared" si="418"/>
        <v/>
      </c>
      <c r="AR61" t="str">
        <f t="shared" si="419"/>
        <v/>
      </c>
      <c r="AS61" t="str">
        <f>IF($AR61="","",IF(OR($CF61="",$CG61=""),"ONZEKER",IF(OR($CC61="",$CD61=""),"ONZEKER",IF(AND($CF61=$CC61+1,$CG61=$CD61),IF(OR(COUNTIF(#REF!,$B61)&gt;0,COUNTIF(#REF!,$B61)=0),"SKIP",IF(COUNTIFS(#REF!,$B61,#REF!,$AR61)&gt;0,"OK","ONBEKEND")),IF(AND($CF61=$CC61,$CG61=$CD61+1),IF(OR(COUNTIF(#REF!,$D61)&gt;0,COUNTIF(#REF!,$D61)=0),"SKIP",IF(COUNTIFS(#REF!,$D61,#REF!,$AR61)&gt;0,"OK","ONBEKEND")),"ONZEKER")))))</f>
        <v/>
      </c>
      <c r="AT61" t="str">
        <f t="shared" si="420"/>
        <v/>
      </c>
      <c r="AU61" t="str">
        <f t="shared" si="421"/>
        <v/>
      </c>
      <c r="AV61" t="str">
        <f t="shared" si="422"/>
        <v/>
      </c>
      <c r="AW61" t="str">
        <f t="shared" si="423"/>
        <v/>
      </c>
      <c r="AX61" t="str">
        <f t="shared" si="424"/>
        <v/>
      </c>
      <c r="AY61" t="str">
        <f t="shared" si="425"/>
        <v/>
      </c>
      <c r="AZ61" t="str">
        <f t="shared" si="426"/>
        <v/>
      </c>
      <c r="BA61" t="str">
        <f t="shared" si="427"/>
        <v/>
      </c>
      <c r="BB61" t="str">
        <f t="shared" si="428"/>
        <v/>
      </c>
      <c r="BC61" t="str">
        <f t="shared" si="429"/>
        <v/>
      </c>
      <c r="BD61" t="str">
        <f t="shared" si="32"/>
        <v/>
      </c>
      <c r="BE61" t="str">
        <f t="shared" si="33"/>
        <v/>
      </c>
      <c r="BF61" t="str">
        <f t="shared" si="34"/>
        <v/>
      </c>
      <c r="BG61" t="str">
        <f t="shared" si="35"/>
        <v/>
      </c>
      <c r="BH61" t="str">
        <f t="shared" si="36"/>
        <v/>
      </c>
      <c r="BI61" t="str">
        <f t="shared" si="37"/>
        <v/>
      </c>
      <c r="BJ61" t="str">
        <f t="shared" si="38"/>
        <v/>
      </c>
      <c r="BK61" t="str">
        <f t="shared" si="39"/>
        <v/>
      </c>
      <c r="BL61" t="str">
        <f t="shared" si="40"/>
        <v/>
      </c>
      <c r="BM61" t="str">
        <f t="shared" si="41"/>
        <v/>
      </c>
      <c r="BN61" t="str">
        <f t="shared" si="42"/>
        <v/>
      </c>
      <c r="BO61" t="str">
        <f t="shared" si="43"/>
        <v/>
      </c>
      <c r="BP61" t="str">
        <f t="shared" si="44"/>
        <v/>
      </c>
      <c r="BQ61" t="str">
        <f t="shared" si="45"/>
        <v/>
      </c>
      <c r="BR61" t="str">
        <f t="shared" si="46"/>
        <v/>
      </c>
      <c r="BS61" t="str">
        <f t="shared" si="47"/>
        <v/>
      </c>
      <c r="BT61" t="str">
        <f t="shared" si="48"/>
        <v/>
      </c>
      <c r="BU61" t="str">
        <f t="shared" si="49"/>
        <v/>
      </c>
      <c r="BV61" t="str">
        <f t="shared" si="50"/>
        <v/>
      </c>
      <c r="BW61" t="str">
        <f t="shared" si="51"/>
        <v/>
      </c>
      <c r="BX61" t="str">
        <f t="shared" si="52"/>
        <v/>
      </c>
      <c r="BY61" t="str">
        <f t="shared" si="53"/>
        <v/>
      </c>
      <c r="BZ61" t="str">
        <f t="shared" si="54"/>
        <v/>
      </c>
      <c r="CA61" t="str">
        <f t="shared" si="55"/>
        <v/>
      </c>
      <c r="CB61" t="str">
        <f t="shared" si="56"/>
        <v/>
      </c>
      <c r="CC61" t="str">
        <f t="shared" si="57"/>
        <v/>
      </c>
      <c r="CD61" t="str">
        <f t="shared" si="58"/>
        <v/>
      </c>
      <c r="CE61" t="str">
        <f t="shared" si="59"/>
        <v/>
      </c>
      <c r="CF61" t="str">
        <f t="shared" si="60"/>
        <v/>
      </c>
      <c r="CG61" t="str">
        <f t="shared" si="61"/>
        <v/>
      </c>
      <c r="CH61" t="str">
        <f t="shared" si="430"/>
        <v/>
      </c>
      <c r="CI61" t="str">
        <f t="shared" si="431"/>
        <v/>
      </c>
      <c r="CJ61" t="str">
        <f>IF($CI61="","",IF(OR($DW61="",$DX61=""),"ONZEKER",IF(OR($CF61="",$CG61=""),"ONZEKER",IF(AND($DW61=$CF61+1,$DX61=$CG61),IF(OR(COUNTIF(#REF!,$B61)&gt;0,COUNTIF(#REF!,$B61)=0),"SKIP",IF(COUNTIFS(#REF!,$B61,#REF!,$CI61)&gt;0,"OK","ONBEKEND")),IF(AND($DW61=$CF61,$DX61=$CG61+1),IF(OR(COUNTIF(#REF!,$D61)&gt;0,COUNTIF(#REF!,$D61)=0),"SKIP",IF(COUNTIFS(#REF!,$D61,#REF!,$CI61)&gt;0,"OK","ONBEKEND")),"ONZEKER")))))</f>
        <v/>
      </c>
      <c r="CK61" t="str">
        <f t="shared" si="432"/>
        <v/>
      </c>
      <c r="CL61" t="str">
        <f t="shared" si="433"/>
        <v/>
      </c>
      <c r="CM61" t="str">
        <f>IF($CL61="","",IF(OR($DZ61="",$EA61=""),"ONZEKER",IF(OR($DW61="",$DX61=""),"ONZEKER",IF(AND($DZ61=$DW61+1,$EA61=$DX61),IF(OR(COUNTIF(#REF!,$B61)&gt;0,COUNTIF(#REF!,$B61)=0),"SKIP",IF(COUNTIFS(#REF!,$B61,#REF!,$CL61)&gt;0,"OK","ONBEKEND")),IF(AND($DZ61=$DW61,$EA61=$DX61+1),IF(OR(COUNTIF(#REF!,$D61)&gt;0,COUNTIF(#REF!,$D61)=0),"SKIP",IF(COUNTIFS(#REF!,$D61,#REF!,$CL61)&gt;0,"OK","ONBEKEND")),"ONZEKER")))))</f>
        <v/>
      </c>
      <c r="CN61" t="str">
        <f t="shared" si="434"/>
        <v/>
      </c>
      <c r="CO61" t="str">
        <f t="shared" si="435"/>
        <v/>
      </c>
      <c r="CP61" t="str">
        <f>IF($CO61="","",IF(OR($EC61="",$ED61=""),"ONZEKER",IF(OR($DZ61="",$EA61=""),"ONZEKER",IF(AND($EC61=$DZ61+1,$ED61=$EA61),IF(OR(COUNTIF(#REF!,$B61)&gt;0,COUNTIF(#REF!,$B61)=0),"SKIP",IF(COUNTIFS(#REF!,$B61,#REF!,$CO61)&gt;0,"OK","ONBEKEND")),IF(AND($EC61=$DZ61,$ED61=$EA61+1),IF(OR(COUNTIF(#REF!,$D61)&gt;0,COUNTIF(#REF!,$D61)=0),"SKIP",IF(COUNTIFS(#REF!,$D61,#REF!,$CO61)&gt;0,"OK","ONBEKEND")),"ONZEKER")))))</f>
        <v/>
      </c>
      <c r="CQ61" t="str">
        <f t="shared" si="436"/>
        <v/>
      </c>
      <c r="CR61" t="str">
        <f t="shared" si="437"/>
        <v/>
      </c>
      <c r="CS61" t="str">
        <f>IF($CR61="","",IF(OR($EF61="",$EG61=""),"ONZEKER",IF(OR($EC61="",$ED61=""),"ONZEKER",IF(AND($EF61=$EC61+1,$EG61=$ED61),IF(OR(COUNTIF(#REF!,$B61)&gt;0,COUNTIF(#REF!,$B61)=0),"SKIP",IF(COUNTIFS(#REF!,$B61,#REF!,$CR61)&gt;0,"OK","ONBEKEND")),IF(AND($EF61=$EC61,$EG61=$ED61+1),IF(OR(COUNTIF(#REF!,$D61)&gt;0,COUNTIF(#REF!,$D61)=0),"SKIP",IF(COUNTIFS(#REF!,$D61,#REF!,$CR61)&gt;0,"OK","ONBEKEND")),"ONZEKER")))))</f>
        <v/>
      </c>
      <c r="CT61" t="str">
        <f t="shared" si="438"/>
        <v/>
      </c>
      <c r="CU61" t="str">
        <f t="shared" si="439"/>
        <v/>
      </c>
      <c r="CV61" t="str">
        <f>IF($CU61="","",IF(OR($EI61="",$EJ61=""),"ONZEKER",IF(OR($EF61="",$EG61=""),"ONZEKER",IF(AND($EI61=$EF61+1,$EJ61=$EG61),IF(OR(COUNTIF(#REF!,$B61)&gt;0,COUNTIF(#REF!,$B61)=0),"SKIP",IF(COUNTIFS(#REF!,$B61,#REF!,$CU61)&gt;0,"OK","ONBEKEND")),IF(AND($EI61=$EF61,$EJ61=$EG61+1),IF(OR(COUNTIF(#REF!,$D61)&gt;0,COUNTIF(#REF!,$D61)=0),"SKIP",IF(COUNTIFS(#REF!,$D61,#REF!,$CU61)&gt;0,"OK","ONBEKEND")),"ONZEKER")))))</f>
        <v/>
      </c>
      <c r="CW61" t="str">
        <f t="shared" si="440"/>
        <v/>
      </c>
      <c r="CX61" t="str">
        <f t="shared" si="441"/>
        <v/>
      </c>
      <c r="CY61" t="str">
        <f>IF($CX61="","",IF(OR($EL61="",$EM61=""),"ONZEKER",IF(OR($EI61="",$EJ61=""),"ONZEKER",IF(AND($EL61=$EI61+1,$EM61=$EJ61),IF(OR(COUNTIF(#REF!,$B61)&gt;0,COUNTIF(#REF!,$B61)=0),"SKIP",IF(COUNTIFS(#REF!,$B61,#REF!,$CX61)&gt;0,"OK","ONBEKEND")),IF(AND($EL61=$EI61,$EM61=$EJ61+1),IF(OR(COUNTIF(#REF!,$D61)&gt;0,COUNTIF(#REF!,$D61)=0),"SKIP",IF(COUNTIFS(#REF!,$D61,#REF!,$CX61)&gt;0,"OK","ONBEKEND")),"ONZEKER")))))</f>
        <v/>
      </c>
      <c r="CZ61" t="str">
        <f t="shared" si="442"/>
        <v/>
      </c>
      <c r="DA61" t="str">
        <f t="shared" si="443"/>
        <v/>
      </c>
      <c r="DB61" t="str">
        <f>IF($DA61="","",IF(OR($EO61="",$EP61=""),"ONZEKER",IF(OR($EL61="",$EM61=""),"ONZEKER",IF(AND($EO61=$EL61+1,$EP61=$EM61),IF(OR(COUNTIF(#REF!,$B61)&gt;0,COUNTIF(#REF!,$B61)=0),"SKIP",IF(COUNTIFS(#REF!,$B61,#REF!,$DA61)&gt;0,"OK","ONBEKEND")),IF(AND($EO61=$EL61,$EP61=$EM61+1),IF(OR(COUNTIF(#REF!,$D61)&gt;0,COUNTIF(#REF!,$D61)=0),"SKIP",IF(COUNTIFS(#REF!,$D61,#REF!,$DA61)&gt;0,"OK","ONBEKEND")),"ONZEKER")))))</f>
        <v/>
      </c>
      <c r="DC61" t="str">
        <f t="shared" si="444"/>
        <v/>
      </c>
      <c r="DD61" t="str">
        <f t="shared" si="445"/>
        <v/>
      </c>
      <c r="DE61" t="str">
        <f>IF($DD61="","",IF(OR($ER61="",$ES61=""),"ONZEKER",IF(OR($EO61="",$EP61=""),"ONZEKER",IF(AND($ER61=$EO61+1,$ES61=$EP61),IF(OR(COUNTIF(#REF!,$B61)&gt;0,COUNTIF(#REF!,$B61)=0),"SKIP",IF(COUNTIFS(#REF!,$B61,#REF!,$DD61)&gt;0,"OK","ONBEKEND")),IF(AND($ER61=$EO61,$ES61=$EP61+1),IF(OR(COUNTIF(#REF!,$D61)&gt;0,COUNTIF(#REF!,$D61)=0),"SKIP",IF(COUNTIFS(#REF!,$D61,#REF!,$DD61)&gt;0,"OK","ONBEKEND")),"ONZEKER")))))</f>
        <v/>
      </c>
      <c r="DF61" t="str">
        <f t="shared" si="446"/>
        <v/>
      </c>
      <c r="DG61" t="str">
        <f t="shared" si="447"/>
        <v/>
      </c>
      <c r="DH61" t="str">
        <f>IF($DG61="","",IF(OR($EU61="",$EV61=""),"ONZEKER",IF(OR($ER61="",$ES61=""),"ONZEKER",IF(AND($EU61=$ER61+1,$EV61=$ES61),IF(OR(COUNTIF(#REF!,$B61)&gt;0,COUNTIF(#REF!,$B61)=0),"SKIP",IF(COUNTIFS(#REF!,$B61,#REF!,$DG61)&gt;0,"OK","ONBEKEND")),IF(AND($EU61=$ER61,$EV61=$ES61+1),IF(OR(COUNTIF(#REF!,$D61)&gt;0,COUNTIF(#REF!,$D61)=0),"SKIP",IF(COUNTIFS(#REF!,$D61,#REF!,$DG61)&gt;0,"OK","ONBEKEND")),"ONZEKER")))))</f>
        <v/>
      </c>
      <c r="DI61" t="str">
        <f t="shared" si="448"/>
        <v/>
      </c>
      <c r="DJ61" t="str">
        <f t="shared" si="449"/>
        <v/>
      </c>
      <c r="DK61" t="str">
        <f>IF($DJ61="","",IF(OR($EX61="",$EY61=""),"ONZEKER",IF(OR($EU61="",$EV61=""),"ONZEKER",IF(AND($EX61=$EU61+1,$EY61=$EV61),IF(OR(COUNTIF(#REF!,$B61)&gt;0,COUNTIF(#REF!,$B61)=0),"SKIP",IF(COUNTIFS(#REF!,$B61,#REF!,$DJ61)&gt;0,"OK","ONBEKEND")),IF(AND($EX61=$EU61,$EY61=$EV61+1),IF(OR(COUNTIF(#REF!,$D61)&gt;0,COUNTIF(#REF!,$D61)=0),"SKIP",IF(COUNTIFS(#REF!,$D61,#REF!,$DJ61)&gt;0,"OK","ONBEKEND")),"ONZEKER")))))</f>
        <v/>
      </c>
      <c r="DL61" t="str">
        <f t="shared" si="450"/>
        <v/>
      </c>
      <c r="DM61" t="str">
        <f t="shared" si="451"/>
        <v/>
      </c>
      <c r="DN61" t="str">
        <f t="shared" si="452"/>
        <v/>
      </c>
      <c r="DO61" t="str">
        <f t="shared" si="453"/>
        <v/>
      </c>
      <c r="DP61" t="str">
        <f t="shared" si="454"/>
        <v/>
      </c>
      <c r="DQ61" t="str">
        <f t="shared" si="455"/>
        <v/>
      </c>
      <c r="DR61" t="str">
        <f t="shared" si="456"/>
        <v/>
      </c>
      <c r="DS61" t="str">
        <f t="shared" si="457"/>
        <v/>
      </c>
      <c r="DT61" t="str">
        <f t="shared" si="458"/>
        <v/>
      </c>
      <c r="DU61" t="str">
        <f t="shared" si="459"/>
        <v/>
      </c>
      <c r="DV61" t="str">
        <f t="shared" si="460"/>
        <v/>
      </c>
      <c r="DW61" t="str">
        <f t="shared" si="461"/>
        <v/>
      </c>
      <c r="DX61" t="str">
        <f t="shared" si="462"/>
        <v/>
      </c>
      <c r="DY61" t="str">
        <f t="shared" si="463"/>
        <v/>
      </c>
      <c r="DZ61" t="str">
        <f t="shared" si="464"/>
        <v/>
      </c>
      <c r="EA61" t="str">
        <f t="shared" si="465"/>
        <v/>
      </c>
      <c r="EB61" t="str">
        <f t="shared" si="466"/>
        <v/>
      </c>
      <c r="EC61" t="str">
        <f t="shared" si="467"/>
        <v/>
      </c>
      <c r="ED61" t="str">
        <f t="shared" si="468"/>
        <v/>
      </c>
      <c r="EE61" t="str">
        <f t="shared" si="469"/>
        <v/>
      </c>
      <c r="EF61" t="str">
        <f t="shared" si="470"/>
        <v/>
      </c>
      <c r="EG61" t="str">
        <f t="shared" si="471"/>
        <v/>
      </c>
      <c r="EH61" t="str">
        <f t="shared" si="472"/>
        <v/>
      </c>
      <c r="EI61" t="str">
        <f t="shared" si="473"/>
        <v/>
      </c>
      <c r="EJ61" t="str">
        <f t="shared" si="474"/>
        <v/>
      </c>
      <c r="EK61" t="str">
        <f t="shared" si="475"/>
        <v/>
      </c>
      <c r="EL61" t="str">
        <f t="shared" si="476"/>
        <v/>
      </c>
      <c r="EM61" t="str">
        <f t="shared" si="477"/>
        <v/>
      </c>
      <c r="EN61" t="str">
        <f t="shared" si="478"/>
        <v/>
      </c>
      <c r="EO61" t="str">
        <f t="shared" si="479"/>
        <v/>
      </c>
      <c r="EP61" t="str">
        <f t="shared" si="480"/>
        <v/>
      </c>
      <c r="EQ61" t="str">
        <f t="shared" si="481"/>
        <v/>
      </c>
      <c r="ER61" t="str">
        <f t="shared" si="482"/>
        <v/>
      </c>
      <c r="ES61" t="str">
        <f t="shared" si="483"/>
        <v/>
      </c>
      <c r="ET61" t="str">
        <f t="shared" si="484"/>
        <v/>
      </c>
      <c r="EU61" t="str">
        <f t="shared" si="485"/>
        <v/>
      </c>
      <c r="EV61" t="str">
        <f t="shared" si="486"/>
        <v/>
      </c>
      <c r="EW61" t="str">
        <f t="shared" si="487"/>
        <v/>
      </c>
      <c r="EX61" t="str">
        <f t="shared" si="488"/>
        <v/>
      </c>
      <c r="EY61" t="str">
        <f t="shared" si="489"/>
        <v/>
      </c>
    </row>
    <row r="62" spans="1:155" ht="13.9" customHeight="1" x14ac:dyDescent="0.25">
      <c r="A62" s="7"/>
      <c r="B62" s="17"/>
      <c r="C62" s="8"/>
      <c r="D62" s="17"/>
      <c r="E62" s="8"/>
      <c r="F62" s="18">
        <v>0</v>
      </c>
      <c r="G62" s="7" t="s">
        <v>147</v>
      </c>
      <c r="H62" s="18">
        <v>0</v>
      </c>
      <c r="I62" s="19">
        <v>0</v>
      </c>
      <c r="J62" s="7" t="s">
        <v>147</v>
      </c>
      <c r="K62" s="19">
        <v>0</v>
      </c>
      <c r="L62" s="9"/>
      <c r="M62" s="3" t="str">
        <f>IF($L62="","",IF($L62="DOELPUNTENMAKERS","",IF(AND(COUNTIF(#REF!,$B62)=0,COUNTIF(#REF!,$D62)=0),"OK",IF($O62&gt;20,"LET OP: meer dan 20 items (controle onvolledig)",IF((COUNTIF($R62:$AS62,"ONZEKER")+COUNTIF($CJ62:$DK62,"ONZEKER"))&gt;0,"LET OP: scoreverloop onduidelijk (controle beperkt)",IF((IF($AT62&lt;&gt;"",$AT62&amp;", ","")&amp;IF($AU62&lt;&gt;"",$AU62&amp;", ","")&amp;IF($AV62&lt;&gt;"",$AV62&amp;", ","")&amp;IF($AW62&lt;&gt;"",$AW62&amp;", ","")&amp;IF($AX62&lt;&gt;"",$AX62&amp;", ","")&amp;IF($AY62&lt;&gt;"",$AY62&amp;", ","")&amp;IF($AZ62&lt;&gt;"",$AZ62&amp;", ","")&amp;IF($BA62&lt;&gt;"",$BA62&amp;", ","")&amp;IF($BB62&lt;&gt;"",$BB62&amp;", ","")&amp;IF($BC62&lt;&gt;"",$BC62&amp;", ","")&amp;IF($DL62&lt;&gt;"",$DL62&amp;", ","")&amp;IF($DM62&lt;&gt;"",$DM62&amp;", ","")&amp;IF($DN62&lt;&gt;"",$DN62&amp;", ","")&amp;IF($DO62&lt;&gt;"",$DO62&amp;", ","")&amp;IF($DP62&lt;&gt;"",$DP62&amp;", ","")&amp;IF($DQ62&lt;&gt;"",$DQ62&amp;", ","")&amp;IF($DR62&lt;&gt;"",$DR62&amp;", ","")&amp;IF($DS62&lt;&gt;"",$DS62&amp;", ","")&amp;IF($DT62&lt;&gt;"",$DT62&amp;", ","")&amp;IF($DU62&lt;&gt;"",$DU62&amp;", ",""))="","OK","Onbekend: "&amp;LEFT((IF($AT62&lt;&gt;"",$AT62&amp;", ","")&amp;IF($AU62&lt;&gt;"",$AU62&amp;", ","")&amp;IF($AV62&lt;&gt;"",$AV62&amp;", ","")&amp;IF($AW62&lt;&gt;"",$AW62&amp;", ","")&amp;IF($AX62&lt;&gt;"",$AX62&amp;", ","")&amp;IF($AY62&lt;&gt;"",$AY62&amp;", ","")&amp;IF($AZ62&lt;&gt;"",$AZ62&amp;", ","")&amp;IF($BA62&lt;&gt;"",$BA62&amp;", ","")&amp;IF($BB62&lt;&gt;"",$BB62&amp;", ","")&amp;IF($BC62&lt;&gt;"",$BC62&amp;", ","")&amp;IF($DL62&lt;&gt;"",$DL62&amp;", ","")&amp;IF($DM62&lt;&gt;"",$DM62&amp;", ","")&amp;IF($DN62&lt;&gt;"",$DN62&amp;", ","")&amp;IF($DO62&lt;&gt;"",$DO62&amp;", ","")&amp;IF($DP62&lt;&gt;"",$DP62&amp;", ","")&amp;IF($DQ62&lt;&gt;"",$DQ62&amp;", ","")&amp;IF($DR62&lt;&gt;"",$DR62&amp;", ","")&amp;IF($DS62&lt;&gt;"",$DS62&amp;", ","")&amp;IF($DT62&lt;&gt;"",$DT62&amp;", ","")&amp;IF($DU62&lt;&gt;"",$DU62&amp;", ","")),LEN((IF($AT62&lt;&gt;"",$AT62&amp;", ","")&amp;IF($AU62&lt;&gt;"",$AU62&amp;", ","")&amp;IF($AV62&lt;&gt;"",$AV62&amp;", ","")&amp;IF($AW62&lt;&gt;"",$AW62&amp;", ","")&amp;IF($AX62&lt;&gt;"",$AX62&amp;", ","")&amp;IF($AY62&lt;&gt;"",$AY62&amp;", ","")&amp;IF($AZ62&lt;&gt;"",$AZ62&amp;", ","")&amp;IF($BA62&lt;&gt;"",$BA62&amp;", ","")&amp;IF($BB62&lt;&gt;"",$BB62&amp;", ","")&amp;IF($BC62&lt;&gt;"",$BC62&amp;", ","")&amp;IF($DL62&lt;&gt;"",$DL62&amp;", ","")&amp;IF($DM62&lt;&gt;"",$DM62&amp;", ","")&amp;IF($DN62&lt;&gt;"",$DN62&amp;", ","")&amp;IF($DO62&lt;&gt;"",$DO62&amp;", ","")&amp;IF($DP62&lt;&gt;"",$DP62&amp;", ","")&amp;IF($DQ62&lt;&gt;"",$DQ62&amp;", ","")&amp;IF($DR62&lt;&gt;"",$DR62&amp;", ","")&amp;IF($DS62&lt;&gt;"",$DS62&amp;", ","")&amp;IF($DT62&lt;&gt;"",$DT62&amp;", ","")&amp;IF($DU62&lt;&gt;"",$DU62&amp;", ","")))-2)))))))</f>
        <v/>
      </c>
      <c r="N62" t="str">
        <f t="shared" si="398"/>
        <v/>
      </c>
      <c r="O62" t="str">
        <f t="shared" si="399"/>
        <v/>
      </c>
      <c r="P62" t="str">
        <f t="shared" si="400"/>
        <v/>
      </c>
      <c r="Q62" t="str">
        <f t="shared" si="401"/>
        <v/>
      </c>
      <c r="R62" t="str">
        <f>IF($Q62="","",IF(OR($BE62="",$BF62=""),"ONZEKER",IF(AND($BE62=0+1,$BF62=0),IF(OR(COUNTIF(#REF!,$B62)&gt;0,COUNTIF(#REF!,$B62)=0),"SKIP",IF(COUNTIFS(#REF!,$B62,#REF!,$Q62)&gt;0,"OK","ONBEKEND")),IF(AND($BE62=0,$BF62=0+1),IF(OR(COUNTIF(#REF!,$D62)&gt;0,COUNTIF(#REF!,$D62)=0),"SKIP",IF(COUNTIFS(#REF!,$D62,#REF!,$Q62)&gt;0,"OK","ONBEKEND")),"ONZEKER"))))</f>
        <v/>
      </c>
      <c r="S62" t="str">
        <f t="shared" si="402"/>
        <v/>
      </c>
      <c r="T62" t="str">
        <f t="shared" si="403"/>
        <v/>
      </c>
      <c r="U62" t="str">
        <f>IF($T62="","",IF(OR($BH62="",$BI62=""),"ONZEKER",IF(OR($BE62="",$BF62=""),"ONZEKER",IF(AND($BH62=$BE62+1,$BI62=$BF62),IF(OR(COUNTIF(#REF!,$B62)&gt;0,COUNTIF(#REF!,$B62)=0),"SKIP",IF(COUNTIFS(#REF!,$B62,#REF!,$T62)&gt;0,"OK","ONBEKEND")),IF(AND($BH62=$BE62,$BI62=$BF62+1),IF(OR(COUNTIF(#REF!,$D62)&gt;0,COUNTIF(#REF!,$D62)=0),"SKIP",IF(COUNTIFS(#REF!,$D62,#REF!,$T62)&gt;0,"OK","ONBEKEND")),"ONZEKER")))))</f>
        <v/>
      </c>
      <c r="V62" t="str">
        <f t="shared" si="404"/>
        <v/>
      </c>
      <c r="W62" t="str">
        <f t="shared" si="405"/>
        <v/>
      </c>
      <c r="X62" t="str">
        <f>IF($W62="","",IF(OR($BK62="",$BL62=""),"ONZEKER",IF(OR($BH62="",$BI62=""),"ONZEKER",IF(AND($BK62=$BH62+1,$BL62=$BI62),IF(OR(COUNTIF(#REF!,$B62)&gt;0,COUNTIF(#REF!,$B62)=0),"SKIP",IF(COUNTIFS(#REF!,$B62,#REF!,$W62)&gt;0,"OK","ONBEKEND")),IF(AND($BK62=$BH62,$BL62=$BI62+1),IF(OR(COUNTIF(#REF!,$D62)&gt;0,COUNTIF(#REF!,$D62)=0),"SKIP",IF(COUNTIFS(#REF!,$D62,#REF!,$W62)&gt;0,"OK","ONBEKEND")),"ONZEKER")))))</f>
        <v/>
      </c>
      <c r="Y62" t="str">
        <f t="shared" si="406"/>
        <v/>
      </c>
      <c r="Z62" t="str">
        <f t="shared" si="407"/>
        <v/>
      </c>
      <c r="AA62" t="str">
        <f>IF($Z62="","",IF(OR($BN62="",$BO62=""),"ONZEKER",IF(OR($BK62="",$BL62=""),"ONZEKER",IF(AND($BN62=$BK62+1,$BO62=$BL62),IF(OR(COUNTIF(#REF!,$B62)&gt;0,COUNTIF(#REF!,$B62)=0),"SKIP",IF(COUNTIFS(#REF!,$B62,#REF!,$Z62)&gt;0,"OK","ONBEKEND")),IF(AND($BN62=$BK62,$BO62=$BL62+1),IF(OR(COUNTIF(#REF!,$D62)&gt;0,COUNTIF(#REF!,$D62)=0),"SKIP",IF(COUNTIFS(#REF!,$D62,#REF!,$Z62)&gt;0,"OK","ONBEKEND")),"ONZEKER")))))</f>
        <v/>
      </c>
      <c r="AB62" t="str">
        <f t="shared" si="408"/>
        <v/>
      </c>
      <c r="AC62" t="str">
        <f t="shared" si="409"/>
        <v/>
      </c>
      <c r="AD62" t="str">
        <f>IF($AC62="","",IF(OR($BQ62="",$BR62=""),"ONZEKER",IF(OR($BN62="",$BO62=""),"ONZEKER",IF(AND($BQ62=$BN62+1,$BR62=$BO62),IF(OR(COUNTIF(#REF!,$B62)&gt;0,COUNTIF(#REF!,$B62)=0),"SKIP",IF(COUNTIFS(#REF!,$B62,#REF!,$AC62)&gt;0,"OK","ONBEKEND")),IF(AND($BQ62=$BN62,$BR62=$BO62+1),IF(OR(COUNTIF(#REF!,$D62)&gt;0,COUNTIF(#REF!,$D62)=0),"SKIP",IF(COUNTIFS(#REF!,$D62,#REF!,$AC62)&gt;0,"OK","ONBEKEND")),"ONZEKER")))))</f>
        <v/>
      </c>
      <c r="AE62" t="str">
        <f t="shared" si="410"/>
        <v/>
      </c>
      <c r="AF62" t="str">
        <f t="shared" si="411"/>
        <v/>
      </c>
      <c r="AG62" t="str">
        <f>IF($AF62="","",IF(OR($BT62="",$BU62=""),"ONZEKER",IF(OR($BQ62="",$BR62=""),"ONZEKER",IF(AND($BT62=$BQ62+1,$BU62=$BR62),IF(OR(COUNTIF(#REF!,$B62)&gt;0,COUNTIF(#REF!,$B62)=0),"SKIP",IF(COUNTIFS(#REF!,$B62,#REF!,$AF62)&gt;0,"OK","ONBEKEND")),IF(AND($BT62=$BQ62,$BU62=$BR62+1),IF(OR(COUNTIF(#REF!,$D62)&gt;0,COUNTIF(#REF!,$D62)=0),"SKIP",IF(COUNTIFS(#REF!,$D62,#REF!,$AF62)&gt;0,"OK","ONBEKEND")),"ONZEKER")))))</f>
        <v/>
      </c>
      <c r="AH62" t="str">
        <f t="shared" si="412"/>
        <v/>
      </c>
      <c r="AI62" t="str">
        <f t="shared" si="413"/>
        <v/>
      </c>
      <c r="AJ62" t="str">
        <f>IF($AI62="","",IF(OR($BW62="",$BX62=""),"ONZEKER",IF(OR($BT62="",$BU62=""),"ONZEKER",IF(AND($BW62=$BT62+1,$BX62=$BU62),IF(OR(COUNTIF(#REF!,$B62)&gt;0,COUNTIF(#REF!,$B62)=0),"SKIP",IF(COUNTIFS(#REF!,$B62,#REF!,$AI62)&gt;0,"OK","ONBEKEND")),IF(AND($BW62=$BT62,$BX62=$BU62+1),IF(OR(COUNTIF(#REF!,$D62)&gt;0,COUNTIF(#REF!,$D62)=0),"SKIP",IF(COUNTIFS(#REF!,$D62,#REF!,$AI62)&gt;0,"OK","ONBEKEND")),"ONZEKER")))))</f>
        <v/>
      </c>
      <c r="AK62" t="str">
        <f t="shared" si="414"/>
        <v/>
      </c>
      <c r="AL62" t="str">
        <f t="shared" si="415"/>
        <v/>
      </c>
      <c r="AM62" t="str">
        <f>IF($AL62="","",IF(OR($BZ62="",$CA62=""),"ONZEKER",IF(OR($BW62="",$BX62=""),"ONZEKER",IF(AND($BZ62=$BW62+1,$CA62=$BX62),IF(OR(COUNTIF(#REF!,$B62)&gt;0,COUNTIF(#REF!,$B62)=0),"SKIP",IF(COUNTIFS(#REF!,$B62,#REF!,$AL62)&gt;0,"OK","ONBEKEND")),IF(AND($BZ62=$BW62,$CA62=$BX62+1),IF(OR(COUNTIF(#REF!,$D62)&gt;0,COUNTIF(#REF!,$D62)=0),"SKIP",IF(COUNTIFS(#REF!,$D62,#REF!,$AL62)&gt;0,"OK","ONBEKEND")),"ONZEKER")))))</f>
        <v/>
      </c>
      <c r="AN62" t="str">
        <f t="shared" si="416"/>
        <v/>
      </c>
      <c r="AO62" t="str">
        <f t="shared" si="417"/>
        <v/>
      </c>
      <c r="AP62" t="str">
        <f>IF($AO62="","",IF(OR($CC62="",$CD62=""),"ONZEKER",IF(OR($BZ62="",$CA62=""),"ONZEKER",IF(AND($CC62=$BZ62+1,$CD62=$CA62),IF(OR(COUNTIF(#REF!,$B62)&gt;0,COUNTIF(#REF!,$B62)=0),"SKIP",IF(COUNTIFS(#REF!,$B62,#REF!,$AO62)&gt;0,"OK","ONBEKEND")),IF(AND($CC62=$BZ62,$CD62=$CA62+1),IF(OR(COUNTIF(#REF!,$D62)&gt;0,COUNTIF(#REF!,$D62)=0),"SKIP",IF(COUNTIFS(#REF!,$D62,#REF!,$AO62)&gt;0,"OK","ONBEKEND")),"ONZEKER")))))</f>
        <v/>
      </c>
      <c r="AQ62" t="str">
        <f t="shared" si="418"/>
        <v/>
      </c>
      <c r="AR62" t="str">
        <f t="shared" si="419"/>
        <v/>
      </c>
      <c r="AS62" t="str">
        <f>IF($AR62="","",IF(OR($CF62="",$CG62=""),"ONZEKER",IF(OR($CC62="",$CD62=""),"ONZEKER",IF(AND($CF62=$CC62+1,$CG62=$CD62),IF(OR(COUNTIF(#REF!,$B62)&gt;0,COUNTIF(#REF!,$B62)=0),"SKIP",IF(COUNTIFS(#REF!,$B62,#REF!,$AR62)&gt;0,"OK","ONBEKEND")),IF(AND($CF62=$CC62,$CG62=$CD62+1),IF(OR(COUNTIF(#REF!,$D62)&gt;0,COUNTIF(#REF!,$D62)=0),"SKIP",IF(COUNTIFS(#REF!,$D62,#REF!,$AR62)&gt;0,"OK","ONBEKEND")),"ONZEKER")))))</f>
        <v/>
      </c>
      <c r="AT62" t="str">
        <f t="shared" si="420"/>
        <v/>
      </c>
      <c r="AU62" t="str">
        <f t="shared" si="421"/>
        <v/>
      </c>
      <c r="AV62" t="str">
        <f t="shared" si="422"/>
        <v/>
      </c>
      <c r="AW62" t="str">
        <f t="shared" si="423"/>
        <v/>
      </c>
      <c r="AX62" t="str">
        <f t="shared" si="424"/>
        <v/>
      </c>
      <c r="AY62" t="str">
        <f t="shared" si="425"/>
        <v/>
      </c>
      <c r="AZ62" t="str">
        <f t="shared" si="426"/>
        <v/>
      </c>
      <c r="BA62" t="str">
        <f t="shared" si="427"/>
        <v/>
      </c>
      <c r="BB62" t="str">
        <f t="shared" si="428"/>
        <v/>
      </c>
      <c r="BC62" t="str">
        <f t="shared" si="429"/>
        <v/>
      </c>
      <c r="BD62" t="str">
        <f t="shared" si="32"/>
        <v/>
      </c>
      <c r="BE62" t="str">
        <f t="shared" si="33"/>
        <v/>
      </c>
      <c r="BF62" t="str">
        <f t="shared" si="34"/>
        <v/>
      </c>
      <c r="BG62" t="str">
        <f t="shared" si="35"/>
        <v/>
      </c>
      <c r="BH62" t="str">
        <f t="shared" si="36"/>
        <v/>
      </c>
      <c r="BI62" t="str">
        <f t="shared" si="37"/>
        <v/>
      </c>
      <c r="BJ62" t="str">
        <f t="shared" si="38"/>
        <v/>
      </c>
      <c r="BK62" t="str">
        <f t="shared" si="39"/>
        <v/>
      </c>
      <c r="BL62" t="str">
        <f t="shared" si="40"/>
        <v/>
      </c>
      <c r="BM62" t="str">
        <f t="shared" si="41"/>
        <v/>
      </c>
      <c r="BN62" t="str">
        <f t="shared" si="42"/>
        <v/>
      </c>
      <c r="BO62" t="str">
        <f t="shared" si="43"/>
        <v/>
      </c>
      <c r="BP62" t="str">
        <f t="shared" si="44"/>
        <v/>
      </c>
      <c r="BQ62" t="str">
        <f t="shared" si="45"/>
        <v/>
      </c>
      <c r="BR62" t="str">
        <f t="shared" si="46"/>
        <v/>
      </c>
      <c r="BS62" t="str">
        <f t="shared" si="47"/>
        <v/>
      </c>
      <c r="BT62" t="str">
        <f t="shared" si="48"/>
        <v/>
      </c>
      <c r="BU62" t="str">
        <f t="shared" si="49"/>
        <v/>
      </c>
      <c r="BV62" t="str">
        <f t="shared" si="50"/>
        <v/>
      </c>
      <c r="BW62" t="str">
        <f t="shared" si="51"/>
        <v/>
      </c>
      <c r="BX62" t="str">
        <f t="shared" si="52"/>
        <v/>
      </c>
      <c r="BY62" t="str">
        <f t="shared" si="53"/>
        <v/>
      </c>
      <c r="BZ62" t="str">
        <f t="shared" si="54"/>
        <v/>
      </c>
      <c r="CA62" t="str">
        <f t="shared" si="55"/>
        <v/>
      </c>
      <c r="CB62" t="str">
        <f t="shared" si="56"/>
        <v/>
      </c>
      <c r="CC62" t="str">
        <f t="shared" si="57"/>
        <v/>
      </c>
      <c r="CD62" t="str">
        <f t="shared" si="58"/>
        <v/>
      </c>
      <c r="CE62" t="str">
        <f t="shared" si="59"/>
        <v/>
      </c>
      <c r="CF62" t="str">
        <f t="shared" si="60"/>
        <v/>
      </c>
      <c r="CG62" t="str">
        <f t="shared" si="61"/>
        <v/>
      </c>
      <c r="CH62" t="str">
        <f t="shared" si="430"/>
        <v/>
      </c>
      <c r="CI62" t="str">
        <f t="shared" si="431"/>
        <v/>
      </c>
      <c r="CJ62" t="str">
        <f>IF($CI62="","",IF(OR($DW62="",$DX62=""),"ONZEKER",IF(OR($CF62="",$CG62=""),"ONZEKER",IF(AND($DW62=$CF62+1,$DX62=$CG62),IF(OR(COUNTIF(#REF!,$B62)&gt;0,COUNTIF(#REF!,$B62)=0),"SKIP",IF(COUNTIFS(#REF!,$B62,#REF!,$CI62)&gt;0,"OK","ONBEKEND")),IF(AND($DW62=$CF62,$DX62=$CG62+1),IF(OR(COUNTIF(#REF!,$D62)&gt;0,COUNTIF(#REF!,$D62)=0),"SKIP",IF(COUNTIFS(#REF!,$D62,#REF!,$CI62)&gt;0,"OK","ONBEKEND")),"ONZEKER")))))</f>
        <v/>
      </c>
      <c r="CK62" t="str">
        <f t="shared" si="432"/>
        <v/>
      </c>
      <c r="CL62" t="str">
        <f t="shared" si="433"/>
        <v/>
      </c>
      <c r="CM62" t="str">
        <f>IF($CL62="","",IF(OR($DZ62="",$EA62=""),"ONZEKER",IF(OR($DW62="",$DX62=""),"ONZEKER",IF(AND($DZ62=$DW62+1,$EA62=$DX62),IF(OR(COUNTIF(#REF!,$B62)&gt;0,COUNTIF(#REF!,$B62)=0),"SKIP",IF(COUNTIFS(#REF!,$B62,#REF!,$CL62)&gt;0,"OK","ONBEKEND")),IF(AND($DZ62=$DW62,$EA62=$DX62+1),IF(OR(COUNTIF(#REF!,$D62)&gt;0,COUNTIF(#REF!,$D62)=0),"SKIP",IF(COUNTIFS(#REF!,$D62,#REF!,$CL62)&gt;0,"OK","ONBEKEND")),"ONZEKER")))))</f>
        <v/>
      </c>
      <c r="CN62" t="str">
        <f t="shared" si="434"/>
        <v/>
      </c>
      <c r="CO62" t="str">
        <f t="shared" si="435"/>
        <v/>
      </c>
      <c r="CP62" t="str">
        <f>IF($CO62="","",IF(OR($EC62="",$ED62=""),"ONZEKER",IF(OR($DZ62="",$EA62=""),"ONZEKER",IF(AND($EC62=$DZ62+1,$ED62=$EA62),IF(OR(COUNTIF(#REF!,$B62)&gt;0,COUNTIF(#REF!,$B62)=0),"SKIP",IF(COUNTIFS(#REF!,$B62,#REF!,$CO62)&gt;0,"OK","ONBEKEND")),IF(AND($EC62=$DZ62,$ED62=$EA62+1),IF(OR(COUNTIF(#REF!,$D62)&gt;0,COUNTIF(#REF!,$D62)=0),"SKIP",IF(COUNTIFS(#REF!,$D62,#REF!,$CO62)&gt;0,"OK","ONBEKEND")),"ONZEKER")))))</f>
        <v/>
      </c>
      <c r="CQ62" t="str">
        <f t="shared" si="436"/>
        <v/>
      </c>
      <c r="CR62" t="str">
        <f t="shared" si="437"/>
        <v/>
      </c>
      <c r="CS62" t="str">
        <f>IF($CR62="","",IF(OR($EF62="",$EG62=""),"ONZEKER",IF(OR($EC62="",$ED62=""),"ONZEKER",IF(AND($EF62=$EC62+1,$EG62=$ED62),IF(OR(COUNTIF(#REF!,$B62)&gt;0,COUNTIF(#REF!,$B62)=0),"SKIP",IF(COUNTIFS(#REF!,$B62,#REF!,$CR62)&gt;0,"OK","ONBEKEND")),IF(AND($EF62=$EC62,$EG62=$ED62+1),IF(OR(COUNTIF(#REF!,$D62)&gt;0,COUNTIF(#REF!,$D62)=0),"SKIP",IF(COUNTIFS(#REF!,$D62,#REF!,$CR62)&gt;0,"OK","ONBEKEND")),"ONZEKER")))))</f>
        <v/>
      </c>
      <c r="CT62" t="str">
        <f t="shared" si="438"/>
        <v/>
      </c>
      <c r="CU62" t="str">
        <f t="shared" si="439"/>
        <v/>
      </c>
      <c r="CV62" t="str">
        <f>IF($CU62="","",IF(OR($EI62="",$EJ62=""),"ONZEKER",IF(OR($EF62="",$EG62=""),"ONZEKER",IF(AND($EI62=$EF62+1,$EJ62=$EG62),IF(OR(COUNTIF(#REF!,$B62)&gt;0,COUNTIF(#REF!,$B62)=0),"SKIP",IF(COUNTIFS(#REF!,$B62,#REF!,$CU62)&gt;0,"OK","ONBEKEND")),IF(AND($EI62=$EF62,$EJ62=$EG62+1),IF(OR(COUNTIF(#REF!,$D62)&gt;0,COUNTIF(#REF!,$D62)=0),"SKIP",IF(COUNTIFS(#REF!,$D62,#REF!,$CU62)&gt;0,"OK","ONBEKEND")),"ONZEKER")))))</f>
        <v/>
      </c>
      <c r="CW62" t="str">
        <f t="shared" si="440"/>
        <v/>
      </c>
      <c r="CX62" t="str">
        <f t="shared" si="441"/>
        <v/>
      </c>
      <c r="CY62" t="str">
        <f>IF($CX62="","",IF(OR($EL62="",$EM62=""),"ONZEKER",IF(OR($EI62="",$EJ62=""),"ONZEKER",IF(AND($EL62=$EI62+1,$EM62=$EJ62),IF(OR(COUNTIF(#REF!,$B62)&gt;0,COUNTIF(#REF!,$B62)=0),"SKIP",IF(COUNTIFS(#REF!,$B62,#REF!,$CX62)&gt;0,"OK","ONBEKEND")),IF(AND($EL62=$EI62,$EM62=$EJ62+1),IF(OR(COUNTIF(#REF!,$D62)&gt;0,COUNTIF(#REF!,$D62)=0),"SKIP",IF(COUNTIFS(#REF!,$D62,#REF!,$CX62)&gt;0,"OK","ONBEKEND")),"ONZEKER")))))</f>
        <v/>
      </c>
      <c r="CZ62" t="str">
        <f t="shared" si="442"/>
        <v/>
      </c>
      <c r="DA62" t="str">
        <f t="shared" si="443"/>
        <v/>
      </c>
      <c r="DB62" t="str">
        <f>IF($DA62="","",IF(OR($EO62="",$EP62=""),"ONZEKER",IF(OR($EL62="",$EM62=""),"ONZEKER",IF(AND($EO62=$EL62+1,$EP62=$EM62),IF(OR(COUNTIF(#REF!,$B62)&gt;0,COUNTIF(#REF!,$B62)=0),"SKIP",IF(COUNTIFS(#REF!,$B62,#REF!,$DA62)&gt;0,"OK","ONBEKEND")),IF(AND($EO62=$EL62,$EP62=$EM62+1),IF(OR(COUNTIF(#REF!,$D62)&gt;0,COUNTIF(#REF!,$D62)=0),"SKIP",IF(COUNTIFS(#REF!,$D62,#REF!,$DA62)&gt;0,"OK","ONBEKEND")),"ONZEKER")))))</f>
        <v/>
      </c>
      <c r="DC62" t="str">
        <f t="shared" si="444"/>
        <v/>
      </c>
      <c r="DD62" t="str">
        <f t="shared" si="445"/>
        <v/>
      </c>
      <c r="DE62" t="str">
        <f>IF($DD62="","",IF(OR($ER62="",$ES62=""),"ONZEKER",IF(OR($EO62="",$EP62=""),"ONZEKER",IF(AND($ER62=$EO62+1,$ES62=$EP62),IF(OR(COUNTIF(#REF!,$B62)&gt;0,COUNTIF(#REF!,$B62)=0),"SKIP",IF(COUNTIFS(#REF!,$B62,#REF!,$DD62)&gt;0,"OK","ONBEKEND")),IF(AND($ER62=$EO62,$ES62=$EP62+1),IF(OR(COUNTIF(#REF!,$D62)&gt;0,COUNTIF(#REF!,$D62)=0),"SKIP",IF(COUNTIFS(#REF!,$D62,#REF!,$DD62)&gt;0,"OK","ONBEKEND")),"ONZEKER")))))</f>
        <v/>
      </c>
      <c r="DF62" t="str">
        <f t="shared" si="446"/>
        <v/>
      </c>
      <c r="DG62" t="str">
        <f t="shared" si="447"/>
        <v/>
      </c>
      <c r="DH62" t="str">
        <f>IF($DG62="","",IF(OR($EU62="",$EV62=""),"ONZEKER",IF(OR($ER62="",$ES62=""),"ONZEKER",IF(AND($EU62=$ER62+1,$EV62=$ES62),IF(OR(COUNTIF(#REF!,$B62)&gt;0,COUNTIF(#REF!,$B62)=0),"SKIP",IF(COUNTIFS(#REF!,$B62,#REF!,$DG62)&gt;0,"OK","ONBEKEND")),IF(AND($EU62=$ER62,$EV62=$ES62+1),IF(OR(COUNTIF(#REF!,$D62)&gt;0,COUNTIF(#REF!,$D62)=0),"SKIP",IF(COUNTIFS(#REF!,$D62,#REF!,$DG62)&gt;0,"OK","ONBEKEND")),"ONZEKER")))))</f>
        <v/>
      </c>
      <c r="DI62" t="str">
        <f t="shared" si="448"/>
        <v/>
      </c>
      <c r="DJ62" t="str">
        <f t="shared" si="449"/>
        <v/>
      </c>
      <c r="DK62" t="str">
        <f>IF($DJ62="","",IF(OR($EX62="",$EY62=""),"ONZEKER",IF(OR($EU62="",$EV62=""),"ONZEKER",IF(AND($EX62=$EU62+1,$EY62=$EV62),IF(OR(COUNTIF(#REF!,$B62)&gt;0,COUNTIF(#REF!,$B62)=0),"SKIP",IF(COUNTIFS(#REF!,$B62,#REF!,$DJ62)&gt;0,"OK","ONBEKEND")),IF(AND($EX62=$EU62,$EY62=$EV62+1),IF(OR(COUNTIF(#REF!,$D62)&gt;0,COUNTIF(#REF!,$D62)=0),"SKIP",IF(COUNTIFS(#REF!,$D62,#REF!,$DJ62)&gt;0,"OK","ONBEKEND")),"ONZEKER")))))</f>
        <v/>
      </c>
      <c r="DL62" t="str">
        <f t="shared" si="450"/>
        <v/>
      </c>
      <c r="DM62" t="str">
        <f t="shared" si="451"/>
        <v/>
      </c>
      <c r="DN62" t="str">
        <f t="shared" si="452"/>
        <v/>
      </c>
      <c r="DO62" t="str">
        <f t="shared" si="453"/>
        <v/>
      </c>
      <c r="DP62" t="str">
        <f t="shared" si="454"/>
        <v/>
      </c>
      <c r="DQ62" t="str">
        <f t="shared" si="455"/>
        <v/>
      </c>
      <c r="DR62" t="str">
        <f t="shared" si="456"/>
        <v/>
      </c>
      <c r="DS62" t="str">
        <f t="shared" si="457"/>
        <v/>
      </c>
      <c r="DT62" t="str">
        <f t="shared" si="458"/>
        <v/>
      </c>
      <c r="DU62" t="str">
        <f t="shared" si="459"/>
        <v/>
      </c>
      <c r="DV62" t="str">
        <f t="shared" si="460"/>
        <v/>
      </c>
      <c r="DW62" t="str">
        <f t="shared" si="461"/>
        <v/>
      </c>
      <c r="DX62" t="str">
        <f t="shared" si="462"/>
        <v/>
      </c>
      <c r="DY62" t="str">
        <f t="shared" si="463"/>
        <v/>
      </c>
      <c r="DZ62" t="str">
        <f t="shared" si="464"/>
        <v/>
      </c>
      <c r="EA62" t="str">
        <f t="shared" si="465"/>
        <v/>
      </c>
      <c r="EB62" t="str">
        <f t="shared" si="466"/>
        <v/>
      </c>
      <c r="EC62" t="str">
        <f t="shared" si="467"/>
        <v/>
      </c>
      <c r="ED62" t="str">
        <f t="shared" si="468"/>
        <v/>
      </c>
      <c r="EE62" t="str">
        <f t="shared" si="469"/>
        <v/>
      </c>
      <c r="EF62" t="str">
        <f t="shared" si="470"/>
        <v/>
      </c>
      <c r="EG62" t="str">
        <f t="shared" si="471"/>
        <v/>
      </c>
      <c r="EH62" t="str">
        <f t="shared" si="472"/>
        <v/>
      </c>
      <c r="EI62" t="str">
        <f t="shared" si="473"/>
        <v/>
      </c>
      <c r="EJ62" t="str">
        <f t="shared" si="474"/>
        <v/>
      </c>
      <c r="EK62" t="str">
        <f t="shared" si="475"/>
        <v/>
      </c>
      <c r="EL62" t="str">
        <f t="shared" si="476"/>
        <v/>
      </c>
      <c r="EM62" t="str">
        <f t="shared" si="477"/>
        <v/>
      </c>
      <c r="EN62" t="str">
        <f t="shared" si="478"/>
        <v/>
      </c>
      <c r="EO62" t="str">
        <f t="shared" si="479"/>
        <v/>
      </c>
      <c r="EP62" t="str">
        <f t="shared" si="480"/>
        <v/>
      </c>
      <c r="EQ62" t="str">
        <f t="shared" si="481"/>
        <v/>
      </c>
      <c r="ER62" t="str">
        <f t="shared" si="482"/>
        <v/>
      </c>
      <c r="ES62" t="str">
        <f t="shared" si="483"/>
        <v/>
      </c>
      <c r="ET62" t="str">
        <f t="shared" si="484"/>
        <v/>
      </c>
      <c r="EU62" t="str">
        <f t="shared" si="485"/>
        <v/>
      </c>
      <c r="EV62" t="str">
        <f t="shared" si="486"/>
        <v/>
      </c>
      <c r="EW62" t="str">
        <f t="shared" si="487"/>
        <v/>
      </c>
      <c r="EX62" t="str">
        <f t="shared" si="488"/>
        <v/>
      </c>
      <c r="EY62" t="str">
        <f t="shared" si="489"/>
        <v/>
      </c>
    </row>
    <row r="63" spans="1:155" ht="13.9" customHeight="1" x14ac:dyDescent="0.25">
      <c r="A63" s="7"/>
      <c r="B63" s="17"/>
      <c r="C63" s="8"/>
      <c r="D63" s="17"/>
      <c r="E63" s="8"/>
      <c r="F63" s="18">
        <v>0</v>
      </c>
      <c r="G63" s="7" t="s">
        <v>147</v>
      </c>
      <c r="H63" s="18">
        <v>0</v>
      </c>
      <c r="I63" s="19">
        <v>0</v>
      </c>
      <c r="J63" s="7" t="s">
        <v>147</v>
      </c>
      <c r="K63" s="19">
        <v>0</v>
      </c>
      <c r="L63" s="9"/>
      <c r="M63" s="3" t="str">
        <f>IF($L63="","",IF($L63="DOELPUNTENMAKERS","",IF(AND(COUNTIF(#REF!,$B63)=0,COUNTIF(#REF!,$D63)=0),"OK",IF($O63&gt;20,"LET OP: meer dan 20 items (controle onvolledig)",IF((COUNTIF($R63:$AS63,"ONZEKER")+COUNTIF($CJ63:$DK63,"ONZEKER"))&gt;0,"LET OP: scoreverloop onduidelijk (controle beperkt)",IF((IF($AT63&lt;&gt;"",$AT63&amp;", ","")&amp;IF($AU63&lt;&gt;"",$AU63&amp;", ","")&amp;IF($AV63&lt;&gt;"",$AV63&amp;", ","")&amp;IF($AW63&lt;&gt;"",$AW63&amp;", ","")&amp;IF($AX63&lt;&gt;"",$AX63&amp;", ","")&amp;IF($AY63&lt;&gt;"",$AY63&amp;", ","")&amp;IF($AZ63&lt;&gt;"",$AZ63&amp;", ","")&amp;IF($BA63&lt;&gt;"",$BA63&amp;", ","")&amp;IF($BB63&lt;&gt;"",$BB63&amp;", ","")&amp;IF($BC63&lt;&gt;"",$BC63&amp;", ","")&amp;IF($DL63&lt;&gt;"",$DL63&amp;", ","")&amp;IF($DM63&lt;&gt;"",$DM63&amp;", ","")&amp;IF($DN63&lt;&gt;"",$DN63&amp;", ","")&amp;IF($DO63&lt;&gt;"",$DO63&amp;", ","")&amp;IF($DP63&lt;&gt;"",$DP63&amp;", ","")&amp;IF($DQ63&lt;&gt;"",$DQ63&amp;", ","")&amp;IF($DR63&lt;&gt;"",$DR63&amp;", ","")&amp;IF($DS63&lt;&gt;"",$DS63&amp;", ","")&amp;IF($DT63&lt;&gt;"",$DT63&amp;", ","")&amp;IF($DU63&lt;&gt;"",$DU63&amp;", ",""))="","OK","Onbekend: "&amp;LEFT((IF($AT63&lt;&gt;"",$AT63&amp;", ","")&amp;IF($AU63&lt;&gt;"",$AU63&amp;", ","")&amp;IF($AV63&lt;&gt;"",$AV63&amp;", ","")&amp;IF($AW63&lt;&gt;"",$AW63&amp;", ","")&amp;IF($AX63&lt;&gt;"",$AX63&amp;", ","")&amp;IF($AY63&lt;&gt;"",$AY63&amp;", ","")&amp;IF($AZ63&lt;&gt;"",$AZ63&amp;", ","")&amp;IF($BA63&lt;&gt;"",$BA63&amp;", ","")&amp;IF($BB63&lt;&gt;"",$BB63&amp;", ","")&amp;IF($BC63&lt;&gt;"",$BC63&amp;", ","")&amp;IF($DL63&lt;&gt;"",$DL63&amp;", ","")&amp;IF($DM63&lt;&gt;"",$DM63&amp;", ","")&amp;IF($DN63&lt;&gt;"",$DN63&amp;", ","")&amp;IF($DO63&lt;&gt;"",$DO63&amp;", ","")&amp;IF($DP63&lt;&gt;"",$DP63&amp;", ","")&amp;IF($DQ63&lt;&gt;"",$DQ63&amp;", ","")&amp;IF($DR63&lt;&gt;"",$DR63&amp;", ","")&amp;IF($DS63&lt;&gt;"",$DS63&amp;", ","")&amp;IF($DT63&lt;&gt;"",$DT63&amp;", ","")&amp;IF($DU63&lt;&gt;"",$DU63&amp;", ","")),LEN((IF($AT63&lt;&gt;"",$AT63&amp;", ","")&amp;IF($AU63&lt;&gt;"",$AU63&amp;", ","")&amp;IF($AV63&lt;&gt;"",$AV63&amp;", ","")&amp;IF($AW63&lt;&gt;"",$AW63&amp;", ","")&amp;IF($AX63&lt;&gt;"",$AX63&amp;", ","")&amp;IF($AY63&lt;&gt;"",$AY63&amp;", ","")&amp;IF($AZ63&lt;&gt;"",$AZ63&amp;", ","")&amp;IF($BA63&lt;&gt;"",$BA63&amp;", ","")&amp;IF($BB63&lt;&gt;"",$BB63&amp;", ","")&amp;IF($BC63&lt;&gt;"",$BC63&amp;", ","")&amp;IF($DL63&lt;&gt;"",$DL63&amp;", ","")&amp;IF($DM63&lt;&gt;"",$DM63&amp;", ","")&amp;IF($DN63&lt;&gt;"",$DN63&amp;", ","")&amp;IF($DO63&lt;&gt;"",$DO63&amp;", ","")&amp;IF($DP63&lt;&gt;"",$DP63&amp;", ","")&amp;IF($DQ63&lt;&gt;"",$DQ63&amp;", ","")&amp;IF($DR63&lt;&gt;"",$DR63&amp;", ","")&amp;IF($DS63&lt;&gt;"",$DS63&amp;", ","")&amp;IF($DT63&lt;&gt;"",$DT63&amp;", ","")&amp;IF($DU63&lt;&gt;"",$DU63&amp;", ","")))-2)))))))</f>
        <v/>
      </c>
      <c r="N63" t="str">
        <f t="shared" si="398"/>
        <v/>
      </c>
      <c r="O63" t="str">
        <f t="shared" si="399"/>
        <v/>
      </c>
      <c r="P63" t="str">
        <f t="shared" si="400"/>
        <v/>
      </c>
      <c r="Q63" t="str">
        <f t="shared" si="401"/>
        <v/>
      </c>
      <c r="R63" t="str">
        <f>IF($Q63="","",IF(OR($BE63="",$BF63=""),"ONZEKER",IF(AND($BE63=0+1,$BF63=0),IF(OR(COUNTIF(#REF!,$B63)&gt;0,COUNTIF(#REF!,$B63)=0),"SKIP",IF(COUNTIFS(#REF!,$B63,#REF!,$Q63)&gt;0,"OK","ONBEKEND")),IF(AND($BE63=0,$BF63=0+1),IF(OR(COUNTIF(#REF!,$D63)&gt;0,COUNTIF(#REF!,$D63)=0),"SKIP",IF(COUNTIFS(#REF!,$D63,#REF!,$Q63)&gt;0,"OK","ONBEKEND")),"ONZEKER"))))</f>
        <v/>
      </c>
      <c r="S63" t="str">
        <f t="shared" si="402"/>
        <v/>
      </c>
      <c r="T63" t="str">
        <f t="shared" si="403"/>
        <v/>
      </c>
      <c r="U63" t="str">
        <f>IF($T63="","",IF(OR($BH63="",$BI63=""),"ONZEKER",IF(OR($BE63="",$BF63=""),"ONZEKER",IF(AND($BH63=$BE63+1,$BI63=$BF63),IF(OR(COUNTIF(#REF!,$B63)&gt;0,COUNTIF(#REF!,$B63)=0),"SKIP",IF(COUNTIFS(#REF!,$B63,#REF!,$T63)&gt;0,"OK","ONBEKEND")),IF(AND($BH63=$BE63,$BI63=$BF63+1),IF(OR(COUNTIF(#REF!,$D63)&gt;0,COUNTIF(#REF!,$D63)=0),"SKIP",IF(COUNTIFS(#REF!,$D63,#REF!,$T63)&gt;0,"OK","ONBEKEND")),"ONZEKER")))))</f>
        <v/>
      </c>
      <c r="V63" t="str">
        <f t="shared" si="404"/>
        <v/>
      </c>
      <c r="W63" t="str">
        <f t="shared" si="405"/>
        <v/>
      </c>
      <c r="X63" t="str">
        <f>IF($W63="","",IF(OR($BK63="",$BL63=""),"ONZEKER",IF(OR($BH63="",$BI63=""),"ONZEKER",IF(AND($BK63=$BH63+1,$BL63=$BI63),IF(OR(COUNTIF(#REF!,$B63)&gt;0,COUNTIF(#REF!,$B63)=0),"SKIP",IF(COUNTIFS(#REF!,$B63,#REF!,$W63)&gt;0,"OK","ONBEKEND")),IF(AND($BK63=$BH63,$BL63=$BI63+1),IF(OR(COUNTIF(#REF!,$D63)&gt;0,COUNTIF(#REF!,$D63)=0),"SKIP",IF(COUNTIFS(#REF!,$D63,#REF!,$W63)&gt;0,"OK","ONBEKEND")),"ONZEKER")))))</f>
        <v/>
      </c>
      <c r="Y63" t="str">
        <f t="shared" si="406"/>
        <v/>
      </c>
      <c r="Z63" t="str">
        <f t="shared" si="407"/>
        <v/>
      </c>
      <c r="AA63" t="str">
        <f>IF($Z63="","",IF(OR($BN63="",$BO63=""),"ONZEKER",IF(OR($BK63="",$BL63=""),"ONZEKER",IF(AND($BN63=$BK63+1,$BO63=$BL63),IF(OR(COUNTIF(#REF!,$B63)&gt;0,COUNTIF(#REF!,$B63)=0),"SKIP",IF(COUNTIFS(#REF!,$B63,#REF!,$Z63)&gt;0,"OK","ONBEKEND")),IF(AND($BN63=$BK63,$BO63=$BL63+1),IF(OR(COUNTIF(#REF!,$D63)&gt;0,COUNTIF(#REF!,$D63)=0),"SKIP",IF(COUNTIFS(#REF!,$D63,#REF!,$Z63)&gt;0,"OK","ONBEKEND")),"ONZEKER")))))</f>
        <v/>
      </c>
      <c r="AB63" t="str">
        <f t="shared" si="408"/>
        <v/>
      </c>
      <c r="AC63" t="str">
        <f t="shared" si="409"/>
        <v/>
      </c>
      <c r="AD63" t="str">
        <f>IF($AC63="","",IF(OR($BQ63="",$BR63=""),"ONZEKER",IF(OR($BN63="",$BO63=""),"ONZEKER",IF(AND($BQ63=$BN63+1,$BR63=$BO63),IF(OR(COUNTIF(#REF!,$B63)&gt;0,COUNTIF(#REF!,$B63)=0),"SKIP",IF(COUNTIFS(#REF!,$B63,#REF!,$AC63)&gt;0,"OK","ONBEKEND")),IF(AND($BQ63=$BN63,$BR63=$BO63+1),IF(OR(COUNTIF(#REF!,$D63)&gt;0,COUNTIF(#REF!,$D63)=0),"SKIP",IF(COUNTIFS(#REF!,$D63,#REF!,$AC63)&gt;0,"OK","ONBEKEND")),"ONZEKER")))))</f>
        <v/>
      </c>
      <c r="AE63" t="str">
        <f t="shared" si="410"/>
        <v/>
      </c>
      <c r="AF63" t="str">
        <f t="shared" si="411"/>
        <v/>
      </c>
      <c r="AG63" t="str">
        <f>IF($AF63="","",IF(OR($BT63="",$BU63=""),"ONZEKER",IF(OR($BQ63="",$BR63=""),"ONZEKER",IF(AND($BT63=$BQ63+1,$BU63=$BR63),IF(OR(COUNTIF(#REF!,$B63)&gt;0,COUNTIF(#REF!,$B63)=0),"SKIP",IF(COUNTIFS(#REF!,$B63,#REF!,$AF63)&gt;0,"OK","ONBEKEND")),IF(AND($BT63=$BQ63,$BU63=$BR63+1),IF(OR(COUNTIF(#REF!,$D63)&gt;0,COUNTIF(#REF!,$D63)=0),"SKIP",IF(COUNTIFS(#REF!,$D63,#REF!,$AF63)&gt;0,"OK","ONBEKEND")),"ONZEKER")))))</f>
        <v/>
      </c>
      <c r="AH63" t="str">
        <f t="shared" si="412"/>
        <v/>
      </c>
      <c r="AI63" t="str">
        <f t="shared" si="413"/>
        <v/>
      </c>
      <c r="AJ63" t="str">
        <f>IF($AI63="","",IF(OR($BW63="",$BX63=""),"ONZEKER",IF(OR($BT63="",$BU63=""),"ONZEKER",IF(AND($BW63=$BT63+1,$BX63=$BU63),IF(OR(COUNTIF(#REF!,$B63)&gt;0,COUNTIF(#REF!,$B63)=0),"SKIP",IF(COUNTIFS(#REF!,$B63,#REF!,$AI63)&gt;0,"OK","ONBEKEND")),IF(AND($BW63=$BT63,$BX63=$BU63+1),IF(OR(COUNTIF(#REF!,$D63)&gt;0,COUNTIF(#REF!,$D63)=0),"SKIP",IF(COUNTIFS(#REF!,$D63,#REF!,$AI63)&gt;0,"OK","ONBEKEND")),"ONZEKER")))))</f>
        <v/>
      </c>
      <c r="AK63" t="str">
        <f t="shared" si="414"/>
        <v/>
      </c>
      <c r="AL63" t="str">
        <f t="shared" si="415"/>
        <v/>
      </c>
      <c r="AM63" t="str">
        <f>IF($AL63="","",IF(OR($BZ63="",$CA63=""),"ONZEKER",IF(OR($BW63="",$BX63=""),"ONZEKER",IF(AND($BZ63=$BW63+1,$CA63=$BX63),IF(OR(COUNTIF(#REF!,$B63)&gt;0,COUNTIF(#REF!,$B63)=0),"SKIP",IF(COUNTIFS(#REF!,$B63,#REF!,$AL63)&gt;0,"OK","ONBEKEND")),IF(AND($BZ63=$BW63,$CA63=$BX63+1),IF(OR(COUNTIF(#REF!,$D63)&gt;0,COUNTIF(#REF!,$D63)=0),"SKIP",IF(COUNTIFS(#REF!,$D63,#REF!,$AL63)&gt;0,"OK","ONBEKEND")),"ONZEKER")))))</f>
        <v/>
      </c>
      <c r="AN63" t="str">
        <f t="shared" si="416"/>
        <v/>
      </c>
      <c r="AO63" t="str">
        <f t="shared" si="417"/>
        <v/>
      </c>
      <c r="AP63" t="str">
        <f>IF($AO63="","",IF(OR($CC63="",$CD63=""),"ONZEKER",IF(OR($BZ63="",$CA63=""),"ONZEKER",IF(AND($CC63=$BZ63+1,$CD63=$CA63),IF(OR(COUNTIF(#REF!,$B63)&gt;0,COUNTIF(#REF!,$B63)=0),"SKIP",IF(COUNTIFS(#REF!,$B63,#REF!,$AO63)&gt;0,"OK","ONBEKEND")),IF(AND($CC63=$BZ63,$CD63=$CA63+1),IF(OR(COUNTIF(#REF!,$D63)&gt;0,COUNTIF(#REF!,$D63)=0),"SKIP",IF(COUNTIFS(#REF!,$D63,#REF!,$AO63)&gt;0,"OK","ONBEKEND")),"ONZEKER")))))</f>
        <v/>
      </c>
      <c r="AQ63" t="str">
        <f t="shared" si="418"/>
        <v/>
      </c>
      <c r="AR63" t="str">
        <f t="shared" si="419"/>
        <v/>
      </c>
      <c r="AS63" t="str">
        <f>IF($AR63="","",IF(OR($CF63="",$CG63=""),"ONZEKER",IF(OR($CC63="",$CD63=""),"ONZEKER",IF(AND($CF63=$CC63+1,$CG63=$CD63),IF(OR(COUNTIF(#REF!,$B63)&gt;0,COUNTIF(#REF!,$B63)=0),"SKIP",IF(COUNTIFS(#REF!,$B63,#REF!,$AR63)&gt;0,"OK","ONBEKEND")),IF(AND($CF63=$CC63,$CG63=$CD63+1),IF(OR(COUNTIF(#REF!,$D63)&gt;0,COUNTIF(#REF!,$D63)=0),"SKIP",IF(COUNTIFS(#REF!,$D63,#REF!,$AR63)&gt;0,"OK","ONBEKEND")),"ONZEKER")))))</f>
        <v/>
      </c>
      <c r="AT63" t="str">
        <f t="shared" si="420"/>
        <v/>
      </c>
      <c r="AU63" t="str">
        <f t="shared" si="421"/>
        <v/>
      </c>
      <c r="AV63" t="str">
        <f t="shared" si="422"/>
        <v/>
      </c>
      <c r="AW63" t="str">
        <f t="shared" si="423"/>
        <v/>
      </c>
      <c r="AX63" t="str">
        <f t="shared" si="424"/>
        <v/>
      </c>
      <c r="AY63" t="str">
        <f t="shared" si="425"/>
        <v/>
      </c>
      <c r="AZ63" t="str">
        <f t="shared" si="426"/>
        <v/>
      </c>
      <c r="BA63" t="str">
        <f t="shared" si="427"/>
        <v/>
      </c>
      <c r="BB63" t="str">
        <f t="shared" si="428"/>
        <v/>
      </c>
      <c r="BC63" t="str">
        <f t="shared" si="429"/>
        <v/>
      </c>
      <c r="BD63" t="str">
        <f t="shared" si="32"/>
        <v/>
      </c>
      <c r="BE63" t="str">
        <f t="shared" si="33"/>
        <v/>
      </c>
      <c r="BF63" t="str">
        <f t="shared" si="34"/>
        <v/>
      </c>
      <c r="BG63" t="str">
        <f t="shared" si="35"/>
        <v/>
      </c>
      <c r="BH63" t="str">
        <f t="shared" si="36"/>
        <v/>
      </c>
      <c r="BI63" t="str">
        <f t="shared" si="37"/>
        <v/>
      </c>
      <c r="BJ63" t="str">
        <f t="shared" si="38"/>
        <v/>
      </c>
      <c r="BK63" t="str">
        <f t="shared" si="39"/>
        <v/>
      </c>
      <c r="BL63" t="str">
        <f t="shared" si="40"/>
        <v/>
      </c>
      <c r="BM63" t="str">
        <f t="shared" si="41"/>
        <v/>
      </c>
      <c r="BN63" t="str">
        <f t="shared" si="42"/>
        <v/>
      </c>
      <c r="BO63" t="str">
        <f t="shared" si="43"/>
        <v/>
      </c>
      <c r="BP63" t="str">
        <f t="shared" si="44"/>
        <v/>
      </c>
      <c r="BQ63" t="str">
        <f t="shared" si="45"/>
        <v/>
      </c>
      <c r="BR63" t="str">
        <f t="shared" si="46"/>
        <v/>
      </c>
      <c r="BS63" t="str">
        <f t="shared" si="47"/>
        <v/>
      </c>
      <c r="BT63" t="str">
        <f t="shared" si="48"/>
        <v/>
      </c>
      <c r="BU63" t="str">
        <f t="shared" si="49"/>
        <v/>
      </c>
      <c r="BV63" t="str">
        <f t="shared" si="50"/>
        <v/>
      </c>
      <c r="BW63" t="str">
        <f t="shared" si="51"/>
        <v/>
      </c>
      <c r="BX63" t="str">
        <f t="shared" si="52"/>
        <v/>
      </c>
      <c r="BY63" t="str">
        <f t="shared" si="53"/>
        <v/>
      </c>
      <c r="BZ63" t="str">
        <f t="shared" si="54"/>
        <v/>
      </c>
      <c r="CA63" t="str">
        <f t="shared" si="55"/>
        <v/>
      </c>
      <c r="CB63" t="str">
        <f t="shared" si="56"/>
        <v/>
      </c>
      <c r="CC63" t="str">
        <f t="shared" si="57"/>
        <v/>
      </c>
      <c r="CD63" t="str">
        <f t="shared" si="58"/>
        <v/>
      </c>
      <c r="CE63" t="str">
        <f t="shared" si="59"/>
        <v/>
      </c>
      <c r="CF63" t="str">
        <f t="shared" si="60"/>
        <v/>
      </c>
      <c r="CG63" t="str">
        <f t="shared" si="61"/>
        <v/>
      </c>
      <c r="CH63" t="str">
        <f t="shared" si="430"/>
        <v/>
      </c>
      <c r="CI63" t="str">
        <f t="shared" si="431"/>
        <v/>
      </c>
      <c r="CJ63" t="str">
        <f>IF($CI63="","",IF(OR($DW63="",$DX63=""),"ONZEKER",IF(OR($CF63="",$CG63=""),"ONZEKER",IF(AND($DW63=$CF63+1,$DX63=$CG63),IF(OR(COUNTIF(#REF!,$B63)&gt;0,COUNTIF(#REF!,$B63)=0),"SKIP",IF(COUNTIFS(#REF!,$B63,#REF!,$CI63)&gt;0,"OK","ONBEKEND")),IF(AND($DW63=$CF63,$DX63=$CG63+1),IF(OR(COUNTIF(#REF!,$D63)&gt;0,COUNTIF(#REF!,$D63)=0),"SKIP",IF(COUNTIFS(#REF!,$D63,#REF!,$CI63)&gt;0,"OK","ONBEKEND")),"ONZEKER")))))</f>
        <v/>
      </c>
      <c r="CK63" t="str">
        <f t="shared" si="432"/>
        <v/>
      </c>
      <c r="CL63" t="str">
        <f t="shared" si="433"/>
        <v/>
      </c>
      <c r="CM63" t="str">
        <f>IF($CL63="","",IF(OR($DZ63="",$EA63=""),"ONZEKER",IF(OR($DW63="",$DX63=""),"ONZEKER",IF(AND($DZ63=$DW63+1,$EA63=$DX63),IF(OR(COUNTIF(#REF!,$B63)&gt;0,COUNTIF(#REF!,$B63)=0),"SKIP",IF(COUNTIFS(#REF!,$B63,#REF!,$CL63)&gt;0,"OK","ONBEKEND")),IF(AND($DZ63=$DW63,$EA63=$DX63+1),IF(OR(COUNTIF(#REF!,$D63)&gt;0,COUNTIF(#REF!,$D63)=0),"SKIP",IF(COUNTIFS(#REF!,$D63,#REF!,$CL63)&gt;0,"OK","ONBEKEND")),"ONZEKER")))))</f>
        <v/>
      </c>
      <c r="CN63" t="str">
        <f t="shared" si="434"/>
        <v/>
      </c>
      <c r="CO63" t="str">
        <f t="shared" si="435"/>
        <v/>
      </c>
      <c r="CP63" t="str">
        <f>IF($CO63="","",IF(OR($EC63="",$ED63=""),"ONZEKER",IF(OR($DZ63="",$EA63=""),"ONZEKER",IF(AND($EC63=$DZ63+1,$ED63=$EA63),IF(OR(COUNTIF(#REF!,$B63)&gt;0,COUNTIF(#REF!,$B63)=0),"SKIP",IF(COUNTIFS(#REF!,$B63,#REF!,$CO63)&gt;0,"OK","ONBEKEND")),IF(AND($EC63=$DZ63,$ED63=$EA63+1),IF(OR(COUNTIF(#REF!,$D63)&gt;0,COUNTIF(#REF!,$D63)=0),"SKIP",IF(COUNTIFS(#REF!,$D63,#REF!,$CO63)&gt;0,"OK","ONBEKEND")),"ONZEKER")))))</f>
        <v/>
      </c>
      <c r="CQ63" t="str">
        <f t="shared" si="436"/>
        <v/>
      </c>
      <c r="CR63" t="str">
        <f t="shared" si="437"/>
        <v/>
      </c>
      <c r="CS63" t="str">
        <f>IF($CR63="","",IF(OR($EF63="",$EG63=""),"ONZEKER",IF(OR($EC63="",$ED63=""),"ONZEKER",IF(AND($EF63=$EC63+1,$EG63=$ED63),IF(OR(COUNTIF(#REF!,$B63)&gt;0,COUNTIF(#REF!,$B63)=0),"SKIP",IF(COUNTIFS(#REF!,$B63,#REF!,$CR63)&gt;0,"OK","ONBEKEND")),IF(AND($EF63=$EC63,$EG63=$ED63+1),IF(OR(COUNTIF(#REF!,$D63)&gt;0,COUNTIF(#REF!,$D63)=0),"SKIP",IF(COUNTIFS(#REF!,$D63,#REF!,$CR63)&gt;0,"OK","ONBEKEND")),"ONZEKER")))))</f>
        <v/>
      </c>
      <c r="CT63" t="str">
        <f t="shared" si="438"/>
        <v/>
      </c>
      <c r="CU63" t="str">
        <f t="shared" si="439"/>
        <v/>
      </c>
      <c r="CV63" t="str">
        <f>IF($CU63="","",IF(OR($EI63="",$EJ63=""),"ONZEKER",IF(OR($EF63="",$EG63=""),"ONZEKER",IF(AND($EI63=$EF63+1,$EJ63=$EG63),IF(OR(COUNTIF(#REF!,$B63)&gt;0,COUNTIF(#REF!,$B63)=0),"SKIP",IF(COUNTIFS(#REF!,$B63,#REF!,$CU63)&gt;0,"OK","ONBEKEND")),IF(AND($EI63=$EF63,$EJ63=$EG63+1),IF(OR(COUNTIF(#REF!,$D63)&gt;0,COUNTIF(#REF!,$D63)=0),"SKIP",IF(COUNTIFS(#REF!,$D63,#REF!,$CU63)&gt;0,"OK","ONBEKEND")),"ONZEKER")))))</f>
        <v/>
      </c>
      <c r="CW63" t="str">
        <f t="shared" si="440"/>
        <v/>
      </c>
      <c r="CX63" t="str">
        <f t="shared" si="441"/>
        <v/>
      </c>
      <c r="CY63" t="str">
        <f>IF($CX63="","",IF(OR($EL63="",$EM63=""),"ONZEKER",IF(OR($EI63="",$EJ63=""),"ONZEKER",IF(AND($EL63=$EI63+1,$EM63=$EJ63),IF(OR(COUNTIF(#REF!,$B63)&gt;0,COUNTIF(#REF!,$B63)=0),"SKIP",IF(COUNTIFS(#REF!,$B63,#REF!,$CX63)&gt;0,"OK","ONBEKEND")),IF(AND($EL63=$EI63,$EM63=$EJ63+1),IF(OR(COUNTIF(#REF!,$D63)&gt;0,COUNTIF(#REF!,$D63)=0),"SKIP",IF(COUNTIFS(#REF!,$D63,#REF!,$CX63)&gt;0,"OK","ONBEKEND")),"ONZEKER")))))</f>
        <v/>
      </c>
      <c r="CZ63" t="str">
        <f t="shared" si="442"/>
        <v/>
      </c>
      <c r="DA63" t="str">
        <f t="shared" si="443"/>
        <v/>
      </c>
      <c r="DB63" t="str">
        <f>IF($DA63="","",IF(OR($EO63="",$EP63=""),"ONZEKER",IF(OR($EL63="",$EM63=""),"ONZEKER",IF(AND($EO63=$EL63+1,$EP63=$EM63),IF(OR(COUNTIF(#REF!,$B63)&gt;0,COUNTIF(#REF!,$B63)=0),"SKIP",IF(COUNTIFS(#REF!,$B63,#REF!,$DA63)&gt;0,"OK","ONBEKEND")),IF(AND($EO63=$EL63,$EP63=$EM63+1),IF(OR(COUNTIF(#REF!,$D63)&gt;0,COUNTIF(#REF!,$D63)=0),"SKIP",IF(COUNTIFS(#REF!,$D63,#REF!,$DA63)&gt;0,"OK","ONBEKEND")),"ONZEKER")))))</f>
        <v/>
      </c>
      <c r="DC63" t="str">
        <f t="shared" si="444"/>
        <v/>
      </c>
      <c r="DD63" t="str">
        <f t="shared" si="445"/>
        <v/>
      </c>
      <c r="DE63" t="str">
        <f>IF($DD63="","",IF(OR($ER63="",$ES63=""),"ONZEKER",IF(OR($EO63="",$EP63=""),"ONZEKER",IF(AND($ER63=$EO63+1,$ES63=$EP63),IF(OR(COUNTIF(#REF!,$B63)&gt;0,COUNTIF(#REF!,$B63)=0),"SKIP",IF(COUNTIFS(#REF!,$B63,#REF!,$DD63)&gt;0,"OK","ONBEKEND")),IF(AND($ER63=$EO63,$ES63=$EP63+1),IF(OR(COUNTIF(#REF!,$D63)&gt;0,COUNTIF(#REF!,$D63)=0),"SKIP",IF(COUNTIFS(#REF!,$D63,#REF!,$DD63)&gt;0,"OK","ONBEKEND")),"ONZEKER")))))</f>
        <v/>
      </c>
      <c r="DF63" t="str">
        <f t="shared" si="446"/>
        <v/>
      </c>
      <c r="DG63" t="str">
        <f t="shared" si="447"/>
        <v/>
      </c>
      <c r="DH63" t="str">
        <f>IF($DG63="","",IF(OR($EU63="",$EV63=""),"ONZEKER",IF(OR($ER63="",$ES63=""),"ONZEKER",IF(AND($EU63=$ER63+1,$EV63=$ES63),IF(OR(COUNTIF(#REF!,$B63)&gt;0,COUNTIF(#REF!,$B63)=0),"SKIP",IF(COUNTIFS(#REF!,$B63,#REF!,$DG63)&gt;0,"OK","ONBEKEND")),IF(AND($EU63=$ER63,$EV63=$ES63+1),IF(OR(COUNTIF(#REF!,$D63)&gt;0,COUNTIF(#REF!,$D63)=0),"SKIP",IF(COUNTIFS(#REF!,$D63,#REF!,$DG63)&gt;0,"OK","ONBEKEND")),"ONZEKER")))))</f>
        <v/>
      </c>
      <c r="DI63" t="str">
        <f t="shared" si="448"/>
        <v/>
      </c>
      <c r="DJ63" t="str">
        <f t="shared" si="449"/>
        <v/>
      </c>
      <c r="DK63" t="str">
        <f>IF($DJ63="","",IF(OR($EX63="",$EY63=""),"ONZEKER",IF(OR($EU63="",$EV63=""),"ONZEKER",IF(AND($EX63=$EU63+1,$EY63=$EV63),IF(OR(COUNTIF(#REF!,$B63)&gt;0,COUNTIF(#REF!,$B63)=0),"SKIP",IF(COUNTIFS(#REF!,$B63,#REF!,$DJ63)&gt;0,"OK","ONBEKEND")),IF(AND($EX63=$EU63,$EY63=$EV63+1),IF(OR(COUNTIF(#REF!,$D63)&gt;0,COUNTIF(#REF!,$D63)=0),"SKIP",IF(COUNTIFS(#REF!,$D63,#REF!,$DJ63)&gt;0,"OK","ONBEKEND")),"ONZEKER")))))</f>
        <v/>
      </c>
      <c r="DL63" t="str">
        <f t="shared" si="450"/>
        <v/>
      </c>
      <c r="DM63" t="str">
        <f t="shared" si="451"/>
        <v/>
      </c>
      <c r="DN63" t="str">
        <f t="shared" si="452"/>
        <v/>
      </c>
      <c r="DO63" t="str">
        <f t="shared" si="453"/>
        <v/>
      </c>
      <c r="DP63" t="str">
        <f t="shared" si="454"/>
        <v/>
      </c>
      <c r="DQ63" t="str">
        <f t="shared" si="455"/>
        <v/>
      </c>
      <c r="DR63" t="str">
        <f t="shared" si="456"/>
        <v/>
      </c>
      <c r="DS63" t="str">
        <f t="shared" si="457"/>
        <v/>
      </c>
      <c r="DT63" t="str">
        <f t="shared" si="458"/>
        <v/>
      </c>
      <c r="DU63" t="str">
        <f t="shared" si="459"/>
        <v/>
      </c>
      <c r="DV63" t="str">
        <f t="shared" si="460"/>
        <v/>
      </c>
      <c r="DW63" t="str">
        <f t="shared" si="461"/>
        <v/>
      </c>
      <c r="DX63" t="str">
        <f t="shared" si="462"/>
        <v/>
      </c>
      <c r="DY63" t="str">
        <f t="shared" si="463"/>
        <v/>
      </c>
      <c r="DZ63" t="str">
        <f t="shared" si="464"/>
        <v/>
      </c>
      <c r="EA63" t="str">
        <f t="shared" si="465"/>
        <v/>
      </c>
      <c r="EB63" t="str">
        <f t="shared" si="466"/>
        <v/>
      </c>
      <c r="EC63" t="str">
        <f t="shared" si="467"/>
        <v/>
      </c>
      <c r="ED63" t="str">
        <f t="shared" si="468"/>
        <v/>
      </c>
      <c r="EE63" t="str">
        <f t="shared" si="469"/>
        <v/>
      </c>
      <c r="EF63" t="str">
        <f t="shared" si="470"/>
        <v/>
      </c>
      <c r="EG63" t="str">
        <f t="shared" si="471"/>
        <v/>
      </c>
      <c r="EH63" t="str">
        <f t="shared" si="472"/>
        <v/>
      </c>
      <c r="EI63" t="str">
        <f t="shared" si="473"/>
        <v/>
      </c>
      <c r="EJ63" t="str">
        <f t="shared" si="474"/>
        <v/>
      </c>
      <c r="EK63" t="str">
        <f t="shared" si="475"/>
        <v/>
      </c>
      <c r="EL63" t="str">
        <f t="shared" si="476"/>
        <v/>
      </c>
      <c r="EM63" t="str">
        <f t="shared" si="477"/>
        <v/>
      </c>
      <c r="EN63" t="str">
        <f t="shared" si="478"/>
        <v/>
      </c>
      <c r="EO63" t="str">
        <f t="shared" si="479"/>
        <v/>
      </c>
      <c r="EP63" t="str">
        <f t="shared" si="480"/>
        <v/>
      </c>
      <c r="EQ63" t="str">
        <f t="shared" si="481"/>
        <v/>
      </c>
      <c r="ER63" t="str">
        <f t="shared" si="482"/>
        <v/>
      </c>
      <c r="ES63" t="str">
        <f t="shared" si="483"/>
        <v/>
      </c>
      <c r="ET63" t="str">
        <f t="shared" si="484"/>
        <v/>
      </c>
      <c r="EU63" t="str">
        <f t="shared" si="485"/>
        <v/>
      </c>
      <c r="EV63" t="str">
        <f t="shared" si="486"/>
        <v/>
      </c>
      <c r="EW63" t="str">
        <f t="shared" si="487"/>
        <v/>
      </c>
      <c r="EX63" t="str">
        <f t="shared" si="488"/>
        <v/>
      </c>
      <c r="EY63" t="str">
        <f t="shared" si="489"/>
        <v/>
      </c>
    </row>
    <row r="64" spans="1:155" ht="13.9" customHeight="1" x14ac:dyDescent="0.25">
      <c r="M64" s="3" t="str">
        <f>IF($L64="","",IF($L64="DOELPUNTENMAKERS","",IF(AND(COUNTIF(#REF!,$B64)=0,COUNTIF(#REF!,$D64)=0),"OK",IF($O64&gt;20,"LET OP: meer dan 20 items (controle onvolledig)",IF((COUNTIF($R64:$AS64,"ONZEKER")+COUNTIF($CJ64:$DK64,"ONZEKER"))&gt;0,"LET OP: scoreverloop onduidelijk (controle beperkt)",IF((IF($AT64&lt;&gt;"",$AT64&amp;", ","")&amp;IF($AU64&lt;&gt;"",$AU64&amp;", ","")&amp;IF($AV64&lt;&gt;"",$AV64&amp;", ","")&amp;IF($AW64&lt;&gt;"",$AW64&amp;", ","")&amp;IF($AX64&lt;&gt;"",$AX64&amp;", ","")&amp;IF($AY64&lt;&gt;"",$AY64&amp;", ","")&amp;IF($AZ64&lt;&gt;"",$AZ64&amp;", ","")&amp;IF($BA64&lt;&gt;"",$BA64&amp;", ","")&amp;IF($BB64&lt;&gt;"",$BB64&amp;", ","")&amp;IF($BC64&lt;&gt;"",$BC64&amp;", ","")&amp;IF($DL64&lt;&gt;"",$DL64&amp;", ","")&amp;IF($DM64&lt;&gt;"",$DM64&amp;", ","")&amp;IF($DN64&lt;&gt;"",$DN64&amp;", ","")&amp;IF($DO64&lt;&gt;"",$DO64&amp;", ","")&amp;IF($DP64&lt;&gt;"",$DP64&amp;", ","")&amp;IF($DQ64&lt;&gt;"",$DQ64&amp;", ","")&amp;IF($DR64&lt;&gt;"",$DR64&amp;", ","")&amp;IF($DS64&lt;&gt;"",$DS64&amp;", ","")&amp;IF($DT64&lt;&gt;"",$DT64&amp;", ","")&amp;IF($DU64&lt;&gt;"",$DU64&amp;", ",""))="","OK","Onbekend: "&amp;LEFT((IF($AT64&lt;&gt;"",$AT64&amp;", ","")&amp;IF($AU64&lt;&gt;"",$AU64&amp;", ","")&amp;IF($AV64&lt;&gt;"",$AV64&amp;", ","")&amp;IF($AW64&lt;&gt;"",$AW64&amp;", ","")&amp;IF($AX64&lt;&gt;"",$AX64&amp;", ","")&amp;IF($AY64&lt;&gt;"",$AY64&amp;", ","")&amp;IF($AZ64&lt;&gt;"",$AZ64&amp;", ","")&amp;IF($BA64&lt;&gt;"",$BA64&amp;", ","")&amp;IF($BB64&lt;&gt;"",$BB64&amp;", ","")&amp;IF($BC64&lt;&gt;"",$BC64&amp;", ","")&amp;IF($DL64&lt;&gt;"",$DL64&amp;", ","")&amp;IF($DM64&lt;&gt;"",$DM64&amp;", ","")&amp;IF($DN64&lt;&gt;"",$DN64&amp;", ","")&amp;IF($DO64&lt;&gt;"",$DO64&amp;", ","")&amp;IF($DP64&lt;&gt;"",$DP64&amp;", ","")&amp;IF($DQ64&lt;&gt;"",$DQ64&amp;", ","")&amp;IF($DR64&lt;&gt;"",$DR64&amp;", ","")&amp;IF($DS64&lt;&gt;"",$DS64&amp;", ","")&amp;IF($DT64&lt;&gt;"",$DT64&amp;", ","")&amp;IF($DU64&lt;&gt;"",$DU64&amp;", ","")),LEN((IF($AT64&lt;&gt;"",$AT64&amp;", ","")&amp;IF($AU64&lt;&gt;"",$AU64&amp;", ","")&amp;IF($AV64&lt;&gt;"",$AV64&amp;", ","")&amp;IF($AW64&lt;&gt;"",$AW64&amp;", ","")&amp;IF($AX64&lt;&gt;"",$AX64&amp;", ","")&amp;IF($AY64&lt;&gt;"",$AY64&amp;", ","")&amp;IF($AZ64&lt;&gt;"",$AZ64&amp;", ","")&amp;IF($BA64&lt;&gt;"",$BA64&amp;", ","")&amp;IF($BB64&lt;&gt;"",$BB64&amp;", ","")&amp;IF($BC64&lt;&gt;"",$BC64&amp;", ","")&amp;IF($DL64&lt;&gt;"",$DL64&amp;", ","")&amp;IF($DM64&lt;&gt;"",$DM64&amp;", ","")&amp;IF($DN64&lt;&gt;"",$DN64&amp;", ","")&amp;IF($DO64&lt;&gt;"",$DO64&amp;", ","")&amp;IF($DP64&lt;&gt;"",$DP64&amp;", ","")&amp;IF($DQ64&lt;&gt;"",$DQ64&amp;", ","")&amp;IF($DR64&lt;&gt;"",$DR64&amp;", ","")&amp;IF($DS64&lt;&gt;"",$DS64&amp;", ","")&amp;IF($DT64&lt;&gt;"",$DT64&amp;", ","")&amp;IF($DU64&lt;&gt;"",$DU64&amp;", ","")))-2)))))))</f>
        <v/>
      </c>
      <c r="N64" t="str">
        <f t="shared" si="398"/>
        <v/>
      </c>
      <c r="O64" t="str">
        <f t="shared" si="399"/>
        <v/>
      </c>
      <c r="P64" t="str">
        <f t="shared" si="400"/>
        <v/>
      </c>
      <c r="Q64" t="str">
        <f t="shared" si="401"/>
        <v/>
      </c>
      <c r="R64" t="str">
        <f>IF($Q64="","",IF(OR($BE64="",$BF64=""),"ONZEKER",IF(AND($BE64=0+1,$BF64=0),IF(OR(COUNTIF(#REF!,$B64)&gt;0,COUNTIF(#REF!,$B64)=0),"SKIP",IF(COUNTIFS(#REF!,$B64,#REF!,$Q64)&gt;0,"OK","ONBEKEND")),IF(AND($BE64=0,$BF64=0+1),IF(OR(COUNTIF(#REF!,$D64)&gt;0,COUNTIF(#REF!,$D64)=0),"SKIP",IF(COUNTIFS(#REF!,$D64,#REF!,$Q64)&gt;0,"OK","ONBEKEND")),"ONZEKER"))))</f>
        <v/>
      </c>
      <c r="S64" t="str">
        <f t="shared" si="402"/>
        <v/>
      </c>
      <c r="T64" t="str">
        <f t="shared" si="403"/>
        <v/>
      </c>
      <c r="U64" t="str">
        <f>IF($T64="","",IF(OR($BH64="",$BI64=""),"ONZEKER",IF(OR($BE64="",$BF64=""),"ONZEKER",IF(AND($BH64=$BE64+1,$BI64=$BF64),IF(OR(COUNTIF(#REF!,$B64)&gt;0,COUNTIF(#REF!,$B64)=0),"SKIP",IF(COUNTIFS(#REF!,$B64,#REF!,$T64)&gt;0,"OK","ONBEKEND")),IF(AND($BH64=$BE64,$BI64=$BF64+1),IF(OR(COUNTIF(#REF!,$D64)&gt;0,COUNTIF(#REF!,$D64)=0),"SKIP",IF(COUNTIFS(#REF!,$D64,#REF!,$T64)&gt;0,"OK","ONBEKEND")),"ONZEKER")))))</f>
        <v/>
      </c>
      <c r="V64" t="str">
        <f t="shared" si="404"/>
        <v/>
      </c>
      <c r="W64" t="str">
        <f t="shared" si="405"/>
        <v/>
      </c>
      <c r="X64" t="str">
        <f>IF($W64="","",IF(OR($BK64="",$BL64=""),"ONZEKER",IF(OR($BH64="",$BI64=""),"ONZEKER",IF(AND($BK64=$BH64+1,$BL64=$BI64),IF(OR(COUNTIF(#REF!,$B64)&gt;0,COUNTIF(#REF!,$B64)=0),"SKIP",IF(COUNTIFS(#REF!,$B64,#REF!,$W64)&gt;0,"OK","ONBEKEND")),IF(AND($BK64=$BH64,$BL64=$BI64+1),IF(OR(COUNTIF(#REF!,$D64)&gt;0,COUNTIF(#REF!,$D64)=0),"SKIP",IF(COUNTIFS(#REF!,$D64,#REF!,$W64)&gt;0,"OK","ONBEKEND")),"ONZEKER")))))</f>
        <v/>
      </c>
      <c r="Y64" t="str">
        <f t="shared" si="406"/>
        <v/>
      </c>
      <c r="Z64" t="str">
        <f t="shared" si="407"/>
        <v/>
      </c>
      <c r="AA64" t="str">
        <f>IF($Z64="","",IF(OR($BN64="",$BO64=""),"ONZEKER",IF(OR($BK64="",$BL64=""),"ONZEKER",IF(AND($BN64=$BK64+1,$BO64=$BL64),IF(OR(COUNTIF(#REF!,$B64)&gt;0,COUNTIF(#REF!,$B64)=0),"SKIP",IF(COUNTIFS(#REF!,$B64,#REF!,$Z64)&gt;0,"OK","ONBEKEND")),IF(AND($BN64=$BK64,$BO64=$BL64+1),IF(OR(COUNTIF(#REF!,$D64)&gt;0,COUNTIF(#REF!,$D64)=0),"SKIP",IF(COUNTIFS(#REF!,$D64,#REF!,$Z64)&gt;0,"OK","ONBEKEND")),"ONZEKER")))))</f>
        <v/>
      </c>
      <c r="AB64" t="str">
        <f t="shared" si="408"/>
        <v/>
      </c>
      <c r="AC64" t="str">
        <f t="shared" si="409"/>
        <v/>
      </c>
      <c r="AD64" t="str">
        <f>IF($AC64="","",IF(OR($BQ64="",$BR64=""),"ONZEKER",IF(OR($BN64="",$BO64=""),"ONZEKER",IF(AND($BQ64=$BN64+1,$BR64=$BO64),IF(OR(COUNTIF(#REF!,$B64)&gt;0,COUNTIF(#REF!,$B64)=0),"SKIP",IF(COUNTIFS(#REF!,$B64,#REF!,$AC64)&gt;0,"OK","ONBEKEND")),IF(AND($BQ64=$BN64,$BR64=$BO64+1),IF(OR(COUNTIF(#REF!,$D64)&gt;0,COUNTIF(#REF!,$D64)=0),"SKIP",IF(COUNTIFS(#REF!,$D64,#REF!,$AC64)&gt;0,"OK","ONBEKEND")),"ONZEKER")))))</f>
        <v/>
      </c>
      <c r="AE64" t="str">
        <f t="shared" si="410"/>
        <v/>
      </c>
      <c r="AF64" t="str">
        <f t="shared" si="411"/>
        <v/>
      </c>
      <c r="AG64" t="str">
        <f>IF($AF64="","",IF(OR($BT64="",$BU64=""),"ONZEKER",IF(OR($BQ64="",$BR64=""),"ONZEKER",IF(AND($BT64=$BQ64+1,$BU64=$BR64),IF(OR(COUNTIF(#REF!,$B64)&gt;0,COUNTIF(#REF!,$B64)=0),"SKIP",IF(COUNTIFS(#REF!,$B64,#REF!,$AF64)&gt;0,"OK","ONBEKEND")),IF(AND($BT64=$BQ64,$BU64=$BR64+1),IF(OR(COUNTIF(#REF!,$D64)&gt;0,COUNTIF(#REF!,$D64)=0),"SKIP",IF(COUNTIFS(#REF!,$D64,#REF!,$AF64)&gt;0,"OK","ONBEKEND")),"ONZEKER")))))</f>
        <v/>
      </c>
      <c r="AH64" t="str">
        <f t="shared" si="412"/>
        <v/>
      </c>
      <c r="AI64" t="str">
        <f t="shared" si="413"/>
        <v/>
      </c>
      <c r="AJ64" t="str">
        <f>IF($AI64="","",IF(OR($BW64="",$BX64=""),"ONZEKER",IF(OR($BT64="",$BU64=""),"ONZEKER",IF(AND($BW64=$BT64+1,$BX64=$BU64),IF(OR(COUNTIF(#REF!,$B64)&gt;0,COUNTIF(#REF!,$B64)=0),"SKIP",IF(COUNTIFS(#REF!,$B64,#REF!,$AI64)&gt;0,"OK","ONBEKEND")),IF(AND($BW64=$BT64,$BX64=$BU64+1),IF(OR(COUNTIF(#REF!,$D64)&gt;0,COUNTIF(#REF!,$D64)=0),"SKIP",IF(COUNTIFS(#REF!,$D64,#REF!,$AI64)&gt;0,"OK","ONBEKEND")),"ONZEKER")))))</f>
        <v/>
      </c>
      <c r="AK64" t="str">
        <f t="shared" si="414"/>
        <v/>
      </c>
      <c r="AL64" t="str">
        <f t="shared" si="415"/>
        <v/>
      </c>
      <c r="AM64" t="str">
        <f>IF($AL64="","",IF(OR($BZ64="",$CA64=""),"ONZEKER",IF(OR($BW64="",$BX64=""),"ONZEKER",IF(AND($BZ64=$BW64+1,$CA64=$BX64),IF(OR(COUNTIF(#REF!,$B64)&gt;0,COUNTIF(#REF!,$B64)=0),"SKIP",IF(COUNTIFS(#REF!,$B64,#REF!,$AL64)&gt;0,"OK","ONBEKEND")),IF(AND($BZ64=$BW64,$CA64=$BX64+1),IF(OR(COUNTIF(#REF!,$D64)&gt;0,COUNTIF(#REF!,$D64)=0),"SKIP",IF(COUNTIFS(#REF!,$D64,#REF!,$AL64)&gt;0,"OK","ONBEKEND")),"ONZEKER")))))</f>
        <v/>
      </c>
      <c r="AN64" t="str">
        <f t="shared" si="416"/>
        <v/>
      </c>
      <c r="AO64" t="str">
        <f t="shared" si="417"/>
        <v/>
      </c>
      <c r="AP64" t="str">
        <f>IF($AO64="","",IF(OR($CC64="",$CD64=""),"ONZEKER",IF(OR($BZ64="",$CA64=""),"ONZEKER",IF(AND($CC64=$BZ64+1,$CD64=$CA64),IF(OR(COUNTIF(#REF!,$B64)&gt;0,COUNTIF(#REF!,$B64)=0),"SKIP",IF(COUNTIFS(#REF!,$B64,#REF!,$AO64)&gt;0,"OK","ONBEKEND")),IF(AND($CC64=$BZ64,$CD64=$CA64+1),IF(OR(COUNTIF(#REF!,$D64)&gt;0,COUNTIF(#REF!,$D64)=0),"SKIP",IF(COUNTIFS(#REF!,$D64,#REF!,$AO64)&gt;0,"OK","ONBEKEND")),"ONZEKER")))))</f>
        <v/>
      </c>
      <c r="AQ64" t="str">
        <f t="shared" si="418"/>
        <v/>
      </c>
      <c r="AR64" t="str">
        <f t="shared" si="419"/>
        <v/>
      </c>
      <c r="AS64" t="str">
        <f>IF($AR64="","",IF(OR($CF64="",$CG64=""),"ONZEKER",IF(OR($CC64="",$CD64=""),"ONZEKER",IF(AND($CF64=$CC64+1,$CG64=$CD64),IF(OR(COUNTIF(#REF!,$B64)&gt;0,COUNTIF(#REF!,$B64)=0),"SKIP",IF(COUNTIFS(#REF!,$B64,#REF!,$AR64)&gt;0,"OK","ONBEKEND")),IF(AND($CF64=$CC64,$CG64=$CD64+1),IF(OR(COUNTIF(#REF!,$D64)&gt;0,COUNTIF(#REF!,$D64)=0),"SKIP",IF(COUNTIFS(#REF!,$D64,#REF!,$AR64)&gt;0,"OK","ONBEKEND")),"ONZEKER")))))</f>
        <v/>
      </c>
      <c r="AT64" t="str">
        <f t="shared" si="420"/>
        <v/>
      </c>
      <c r="AU64" t="str">
        <f t="shared" si="421"/>
        <v/>
      </c>
      <c r="AV64" t="str">
        <f t="shared" si="422"/>
        <v/>
      </c>
      <c r="AW64" t="str">
        <f t="shared" si="423"/>
        <v/>
      </c>
      <c r="AX64" t="str">
        <f t="shared" si="424"/>
        <v/>
      </c>
      <c r="AY64" t="str">
        <f t="shared" si="425"/>
        <v/>
      </c>
      <c r="AZ64" t="str">
        <f t="shared" si="426"/>
        <v/>
      </c>
      <c r="BA64" t="str">
        <f t="shared" si="427"/>
        <v/>
      </c>
      <c r="BB64" t="str">
        <f t="shared" si="428"/>
        <v/>
      </c>
      <c r="BC64" t="str">
        <f t="shared" si="429"/>
        <v/>
      </c>
      <c r="BD64" t="str">
        <f t="shared" si="32"/>
        <v/>
      </c>
      <c r="BE64" t="str">
        <f t="shared" si="33"/>
        <v/>
      </c>
      <c r="BF64" t="str">
        <f t="shared" si="34"/>
        <v/>
      </c>
      <c r="BG64" t="str">
        <f t="shared" si="35"/>
        <v/>
      </c>
      <c r="BH64" t="str">
        <f t="shared" si="36"/>
        <v/>
      </c>
      <c r="BI64" t="str">
        <f t="shared" si="37"/>
        <v/>
      </c>
      <c r="BJ64" t="str">
        <f t="shared" si="38"/>
        <v/>
      </c>
      <c r="BK64" t="str">
        <f t="shared" si="39"/>
        <v/>
      </c>
      <c r="BL64" t="str">
        <f t="shared" si="40"/>
        <v/>
      </c>
      <c r="BM64" t="str">
        <f t="shared" si="41"/>
        <v/>
      </c>
      <c r="BN64" t="str">
        <f t="shared" si="42"/>
        <v/>
      </c>
      <c r="BO64" t="str">
        <f t="shared" si="43"/>
        <v/>
      </c>
      <c r="BP64" t="str">
        <f t="shared" si="44"/>
        <v/>
      </c>
      <c r="BQ64" t="str">
        <f t="shared" si="45"/>
        <v/>
      </c>
      <c r="BR64" t="str">
        <f t="shared" si="46"/>
        <v/>
      </c>
      <c r="BS64" t="str">
        <f t="shared" si="47"/>
        <v/>
      </c>
      <c r="BT64" t="str">
        <f t="shared" si="48"/>
        <v/>
      </c>
      <c r="BU64" t="str">
        <f t="shared" si="49"/>
        <v/>
      </c>
      <c r="BV64" t="str">
        <f t="shared" si="50"/>
        <v/>
      </c>
      <c r="BW64" t="str">
        <f t="shared" si="51"/>
        <v/>
      </c>
      <c r="BX64" t="str">
        <f t="shared" si="52"/>
        <v/>
      </c>
      <c r="BY64" t="str">
        <f t="shared" si="53"/>
        <v/>
      </c>
      <c r="BZ64" t="str">
        <f t="shared" si="54"/>
        <v/>
      </c>
      <c r="CA64" t="str">
        <f t="shared" si="55"/>
        <v/>
      </c>
      <c r="CB64" t="str">
        <f t="shared" si="56"/>
        <v/>
      </c>
      <c r="CC64" t="str">
        <f t="shared" si="57"/>
        <v/>
      </c>
      <c r="CD64" t="str">
        <f t="shared" si="58"/>
        <v/>
      </c>
      <c r="CE64" t="str">
        <f t="shared" si="59"/>
        <v/>
      </c>
      <c r="CF64" t="str">
        <f t="shared" si="60"/>
        <v/>
      </c>
      <c r="CG64" t="str">
        <f t="shared" si="61"/>
        <v/>
      </c>
      <c r="CH64" t="str">
        <f t="shared" si="430"/>
        <v/>
      </c>
      <c r="CI64" t="str">
        <f t="shared" si="431"/>
        <v/>
      </c>
      <c r="CJ64" t="str">
        <f>IF($CI64="","",IF(OR($DW64="",$DX64=""),"ONZEKER",IF(OR($CF64="",$CG64=""),"ONZEKER",IF(AND($DW64=$CF64+1,$DX64=$CG64),IF(OR(COUNTIF(#REF!,$B64)&gt;0,COUNTIF(#REF!,$B64)=0),"SKIP",IF(COUNTIFS(#REF!,$B64,#REF!,$CI64)&gt;0,"OK","ONBEKEND")),IF(AND($DW64=$CF64,$DX64=$CG64+1),IF(OR(COUNTIF(#REF!,$D64)&gt;0,COUNTIF(#REF!,$D64)=0),"SKIP",IF(COUNTIFS(#REF!,$D64,#REF!,$CI64)&gt;0,"OK","ONBEKEND")),"ONZEKER")))))</f>
        <v/>
      </c>
      <c r="CK64" t="str">
        <f t="shared" si="432"/>
        <v/>
      </c>
      <c r="CL64" t="str">
        <f t="shared" si="433"/>
        <v/>
      </c>
      <c r="CM64" t="str">
        <f>IF($CL64="","",IF(OR($DZ64="",$EA64=""),"ONZEKER",IF(OR($DW64="",$DX64=""),"ONZEKER",IF(AND($DZ64=$DW64+1,$EA64=$DX64),IF(OR(COUNTIF(#REF!,$B64)&gt;0,COUNTIF(#REF!,$B64)=0),"SKIP",IF(COUNTIFS(#REF!,$B64,#REF!,$CL64)&gt;0,"OK","ONBEKEND")),IF(AND($DZ64=$DW64,$EA64=$DX64+1),IF(OR(COUNTIF(#REF!,$D64)&gt;0,COUNTIF(#REF!,$D64)=0),"SKIP",IF(COUNTIFS(#REF!,$D64,#REF!,$CL64)&gt;0,"OK","ONBEKEND")),"ONZEKER")))))</f>
        <v/>
      </c>
      <c r="CN64" t="str">
        <f t="shared" si="434"/>
        <v/>
      </c>
      <c r="CO64" t="str">
        <f t="shared" si="435"/>
        <v/>
      </c>
      <c r="CP64" t="str">
        <f>IF($CO64="","",IF(OR($EC64="",$ED64=""),"ONZEKER",IF(OR($DZ64="",$EA64=""),"ONZEKER",IF(AND($EC64=$DZ64+1,$ED64=$EA64),IF(OR(COUNTIF(#REF!,$B64)&gt;0,COUNTIF(#REF!,$B64)=0),"SKIP",IF(COUNTIFS(#REF!,$B64,#REF!,$CO64)&gt;0,"OK","ONBEKEND")),IF(AND($EC64=$DZ64,$ED64=$EA64+1),IF(OR(COUNTIF(#REF!,$D64)&gt;0,COUNTIF(#REF!,$D64)=0),"SKIP",IF(COUNTIFS(#REF!,$D64,#REF!,$CO64)&gt;0,"OK","ONBEKEND")),"ONZEKER")))))</f>
        <v/>
      </c>
      <c r="CQ64" t="str">
        <f t="shared" si="436"/>
        <v/>
      </c>
      <c r="CR64" t="str">
        <f t="shared" si="437"/>
        <v/>
      </c>
      <c r="CS64" t="str">
        <f>IF($CR64="","",IF(OR($EF64="",$EG64=""),"ONZEKER",IF(OR($EC64="",$ED64=""),"ONZEKER",IF(AND($EF64=$EC64+1,$EG64=$ED64),IF(OR(COUNTIF(#REF!,$B64)&gt;0,COUNTIF(#REF!,$B64)=0),"SKIP",IF(COUNTIFS(#REF!,$B64,#REF!,$CR64)&gt;0,"OK","ONBEKEND")),IF(AND($EF64=$EC64,$EG64=$ED64+1),IF(OR(COUNTIF(#REF!,$D64)&gt;0,COUNTIF(#REF!,$D64)=0),"SKIP",IF(COUNTIFS(#REF!,$D64,#REF!,$CR64)&gt;0,"OK","ONBEKEND")),"ONZEKER")))))</f>
        <v/>
      </c>
      <c r="CT64" t="str">
        <f t="shared" si="438"/>
        <v/>
      </c>
      <c r="CU64" t="str">
        <f t="shared" si="439"/>
        <v/>
      </c>
      <c r="CV64" t="str">
        <f>IF($CU64="","",IF(OR($EI64="",$EJ64=""),"ONZEKER",IF(OR($EF64="",$EG64=""),"ONZEKER",IF(AND($EI64=$EF64+1,$EJ64=$EG64),IF(OR(COUNTIF(#REF!,$B64)&gt;0,COUNTIF(#REF!,$B64)=0),"SKIP",IF(COUNTIFS(#REF!,$B64,#REF!,$CU64)&gt;0,"OK","ONBEKEND")),IF(AND($EI64=$EF64,$EJ64=$EG64+1),IF(OR(COUNTIF(#REF!,$D64)&gt;0,COUNTIF(#REF!,$D64)=0),"SKIP",IF(COUNTIFS(#REF!,$D64,#REF!,$CU64)&gt;0,"OK","ONBEKEND")),"ONZEKER")))))</f>
        <v/>
      </c>
      <c r="CW64" t="str">
        <f t="shared" si="440"/>
        <v/>
      </c>
      <c r="CX64" t="str">
        <f t="shared" si="441"/>
        <v/>
      </c>
      <c r="CY64" t="str">
        <f>IF($CX64="","",IF(OR($EL64="",$EM64=""),"ONZEKER",IF(OR($EI64="",$EJ64=""),"ONZEKER",IF(AND($EL64=$EI64+1,$EM64=$EJ64),IF(OR(COUNTIF(#REF!,$B64)&gt;0,COUNTIF(#REF!,$B64)=0),"SKIP",IF(COUNTIFS(#REF!,$B64,#REF!,$CX64)&gt;0,"OK","ONBEKEND")),IF(AND($EL64=$EI64,$EM64=$EJ64+1),IF(OR(COUNTIF(#REF!,$D64)&gt;0,COUNTIF(#REF!,$D64)=0),"SKIP",IF(COUNTIFS(#REF!,$D64,#REF!,$CX64)&gt;0,"OK","ONBEKEND")),"ONZEKER")))))</f>
        <v/>
      </c>
      <c r="CZ64" t="str">
        <f t="shared" si="442"/>
        <v/>
      </c>
      <c r="DA64" t="str">
        <f t="shared" si="443"/>
        <v/>
      </c>
      <c r="DB64" t="str">
        <f>IF($DA64="","",IF(OR($EO64="",$EP64=""),"ONZEKER",IF(OR($EL64="",$EM64=""),"ONZEKER",IF(AND($EO64=$EL64+1,$EP64=$EM64),IF(OR(COUNTIF(#REF!,$B64)&gt;0,COUNTIF(#REF!,$B64)=0),"SKIP",IF(COUNTIFS(#REF!,$B64,#REF!,$DA64)&gt;0,"OK","ONBEKEND")),IF(AND($EO64=$EL64,$EP64=$EM64+1),IF(OR(COUNTIF(#REF!,$D64)&gt;0,COUNTIF(#REF!,$D64)=0),"SKIP",IF(COUNTIFS(#REF!,$D64,#REF!,$DA64)&gt;0,"OK","ONBEKEND")),"ONZEKER")))))</f>
        <v/>
      </c>
      <c r="DC64" t="str">
        <f t="shared" si="444"/>
        <v/>
      </c>
      <c r="DD64" t="str">
        <f t="shared" si="445"/>
        <v/>
      </c>
      <c r="DE64" t="str">
        <f>IF($DD64="","",IF(OR($ER64="",$ES64=""),"ONZEKER",IF(OR($EO64="",$EP64=""),"ONZEKER",IF(AND($ER64=$EO64+1,$ES64=$EP64),IF(OR(COUNTIF(#REF!,$B64)&gt;0,COUNTIF(#REF!,$B64)=0),"SKIP",IF(COUNTIFS(#REF!,$B64,#REF!,$DD64)&gt;0,"OK","ONBEKEND")),IF(AND($ER64=$EO64,$ES64=$EP64+1),IF(OR(COUNTIF(#REF!,$D64)&gt;0,COUNTIF(#REF!,$D64)=0),"SKIP",IF(COUNTIFS(#REF!,$D64,#REF!,$DD64)&gt;0,"OK","ONBEKEND")),"ONZEKER")))))</f>
        <v/>
      </c>
      <c r="DF64" t="str">
        <f t="shared" si="446"/>
        <v/>
      </c>
      <c r="DG64" t="str">
        <f t="shared" si="447"/>
        <v/>
      </c>
      <c r="DH64" t="str">
        <f>IF($DG64="","",IF(OR($EU64="",$EV64=""),"ONZEKER",IF(OR($ER64="",$ES64=""),"ONZEKER",IF(AND($EU64=$ER64+1,$EV64=$ES64),IF(OR(COUNTIF(#REF!,$B64)&gt;0,COUNTIF(#REF!,$B64)=0),"SKIP",IF(COUNTIFS(#REF!,$B64,#REF!,$DG64)&gt;0,"OK","ONBEKEND")),IF(AND($EU64=$ER64,$EV64=$ES64+1),IF(OR(COUNTIF(#REF!,$D64)&gt;0,COUNTIF(#REF!,$D64)=0),"SKIP",IF(COUNTIFS(#REF!,$D64,#REF!,$DG64)&gt;0,"OK","ONBEKEND")),"ONZEKER")))))</f>
        <v/>
      </c>
      <c r="DI64" t="str">
        <f t="shared" si="448"/>
        <v/>
      </c>
      <c r="DJ64" t="str">
        <f t="shared" si="449"/>
        <v/>
      </c>
      <c r="DK64" t="str">
        <f>IF($DJ64="","",IF(OR($EX64="",$EY64=""),"ONZEKER",IF(OR($EU64="",$EV64=""),"ONZEKER",IF(AND($EX64=$EU64+1,$EY64=$EV64),IF(OR(COUNTIF(#REF!,$B64)&gt;0,COUNTIF(#REF!,$B64)=0),"SKIP",IF(COUNTIFS(#REF!,$B64,#REF!,$DJ64)&gt;0,"OK","ONBEKEND")),IF(AND($EX64=$EU64,$EY64=$EV64+1),IF(OR(COUNTIF(#REF!,$D64)&gt;0,COUNTIF(#REF!,$D64)=0),"SKIP",IF(COUNTIFS(#REF!,$D64,#REF!,$DJ64)&gt;0,"OK","ONBEKEND")),"ONZEKER")))))</f>
        <v/>
      </c>
      <c r="DL64" t="str">
        <f t="shared" si="450"/>
        <v/>
      </c>
      <c r="DM64" t="str">
        <f t="shared" si="451"/>
        <v/>
      </c>
      <c r="DN64" t="str">
        <f t="shared" si="452"/>
        <v/>
      </c>
      <c r="DO64" t="str">
        <f t="shared" si="453"/>
        <v/>
      </c>
      <c r="DP64" t="str">
        <f t="shared" si="454"/>
        <v/>
      </c>
      <c r="DQ64" t="str">
        <f t="shared" si="455"/>
        <v/>
      </c>
      <c r="DR64" t="str">
        <f t="shared" si="456"/>
        <v/>
      </c>
      <c r="DS64" t="str">
        <f t="shared" si="457"/>
        <v/>
      </c>
      <c r="DT64" t="str">
        <f t="shared" si="458"/>
        <v/>
      </c>
      <c r="DU64" t="str">
        <f t="shared" si="459"/>
        <v/>
      </c>
      <c r="DV64" t="str">
        <f t="shared" si="460"/>
        <v/>
      </c>
      <c r="DW64" t="str">
        <f t="shared" si="461"/>
        <v/>
      </c>
      <c r="DX64" t="str">
        <f t="shared" si="462"/>
        <v/>
      </c>
      <c r="DY64" t="str">
        <f t="shared" si="463"/>
        <v/>
      </c>
      <c r="DZ64" t="str">
        <f t="shared" si="464"/>
        <v/>
      </c>
      <c r="EA64" t="str">
        <f t="shared" si="465"/>
        <v/>
      </c>
      <c r="EB64" t="str">
        <f t="shared" si="466"/>
        <v/>
      </c>
      <c r="EC64" t="str">
        <f t="shared" si="467"/>
        <v/>
      </c>
      <c r="ED64" t="str">
        <f t="shared" si="468"/>
        <v/>
      </c>
      <c r="EE64" t="str">
        <f t="shared" si="469"/>
        <v/>
      </c>
      <c r="EF64" t="str">
        <f t="shared" si="470"/>
        <v/>
      </c>
      <c r="EG64" t="str">
        <f t="shared" si="471"/>
        <v/>
      </c>
      <c r="EH64" t="str">
        <f t="shared" si="472"/>
        <v/>
      </c>
      <c r="EI64" t="str">
        <f t="shared" si="473"/>
        <v/>
      </c>
      <c r="EJ64" t="str">
        <f t="shared" si="474"/>
        <v/>
      </c>
      <c r="EK64" t="str">
        <f t="shared" si="475"/>
        <v/>
      </c>
      <c r="EL64" t="str">
        <f t="shared" si="476"/>
        <v/>
      </c>
      <c r="EM64" t="str">
        <f t="shared" si="477"/>
        <v/>
      </c>
      <c r="EN64" t="str">
        <f t="shared" si="478"/>
        <v/>
      </c>
      <c r="EO64" t="str">
        <f t="shared" si="479"/>
        <v/>
      </c>
      <c r="EP64" t="str">
        <f t="shared" si="480"/>
        <v/>
      </c>
      <c r="EQ64" t="str">
        <f t="shared" si="481"/>
        <v/>
      </c>
      <c r="ER64" t="str">
        <f t="shared" si="482"/>
        <v/>
      </c>
      <c r="ES64" t="str">
        <f t="shared" si="483"/>
        <v/>
      </c>
      <c r="ET64" t="str">
        <f t="shared" si="484"/>
        <v/>
      </c>
      <c r="EU64" t="str">
        <f t="shared" si="485"/>
        <v/>
      </c>
      <c r="EV64" t="str">
        <f t="shared" si="486"/>
        <v/>
      </c>
      <c r="EW64" t="str">
        <f t="shared" si="487"/>
        <v/>
      </c>
      <c r="EX64" t="str">
        <f t="shared" si="488"/>
        <v/>
      </c>
      <c r="EY64" t="str">
        <f t="shared" si="489"/>
        <v/>
      </c>
    </row>
    <row r="65" spans="1:155" ht="13.9" customHeight="1" x14ac:dyDescent="0.25">
      <c r="M65" s="3" t="str">
        <f>IF($L65="","",IF($L65="DOELPUNTENMAKERS","",IF(AND(COUNTIF(#REF!,$B65)=0,COUNTIF(#REF!,$D65)=0),"OK",IF($O65&gt;20,"LET OP: meer dan 20 items (controle onvolledig)",IF((COUNTIF($R65:$AS65,"ONZEKER")+COUNTIF($CJ65:$DK65,"ONZEKER"))&gt;0,"LET OP: scoreverloop onduidelijk (controle beperkt)",IF((IF($AT65&lt;&gt;"",$AT65&amp;", ","")&amp;IF($AU65&lt;&gt;"",$AU65&amp;", ","")&amp;IF($AV65&lt;&gt;"",$AV65&amp;", ","")&amp;IF($AW65&lt;&gt;"",$AW65&amp;", ","")&amp;IF($AX65&lt;&gt;"",$AX65&amp;", ","")&amp;IF($AY65&lt;&gt;"",$AY65&amp;", ","")&amp;IF($AZ65&lt;&gt;"",$AZ65&amp;", ","")&amp;IF($BA65&lt;&gt;"",$BA65&amp;", ","")&amp;IF($BB65&lt;&gt;"",$BB65&amp;", ","")&amp;IF($BC65&lt;&gt;"",$BC65&amp;", ","")&amp;IF($DL65&lt;&gt;"",$DL65&amp;", ","")&amp;IF($DM65&lt;&gt;"",$DM65&amp;", ","")&amp;IF($DN65&lt;&gt;"",$DN65&amp;", ","")&amp;IF($DO65&lt;&gt;"",$DO65&amp;", ","")&amp;IF($DP65&lt;&gt;"",$DP65&amp;", ","")&amp;IF($DQ65&lt;&gt;"",$DQ65&amp;", ","")&amp;IF($DR65&lt;&gt;"",$DR65&amp;", ","")&amp;IF($DS65&lt;&gt;"",$DS65&amp;", ","")&amp;IF($DT65&lt;&gt;"",$DT65&amp;", ","")&amp;IF($DU65&lt;&gt;"",$DU65&amp;", ",""))="","OK","Onbekend: "&amp;LEFT((IF($AT65&lt;&gt;"",$AT65&amp;", ","")&amp;IF($AU65&lt;&gt;"",$AU65&amp;", ","")&amp;IF($AV65&lt;&gt;"",$AV65&amp;", ","")&amp;IF($AW65&lt;&gt;"",$AW65&amp;", ","")&amp;IF($AX65&lt;&gt;"",$AX65&amp;", ","")&amp;IF($AY65&lt;&gt;"",$AY65&amp;", ","")&amp;IF($AZ65&lt;&gt;"",$AZ65&amp;", ","")&amp;IF($BA65&lt;&gt;"",$BA65&amp;", ","")&amp;IF($BB65&lt;&gt;"",$BB65&amp;", ","")&amp;IF($BC65&lt;&gt;"",$BC65&amp;", ","")&amp;IF($DL65&lt;&gt;"",$DL65&amp;", ","")&amp;IF($DM65&lt;&gt;"",$DM65&amp;", ","")&amp;IF($DN65&lt;&gt;"",$DN65&amp;", ","")&amp;IF($DO65&lt;&gt;"",$DO65&amp;", ","")&amp;IF($DP65&lt;&gt;"",$DP65&amp;", ","")&amp;IF($DQ65&lt;&gt;"",$DQ65&amp;", ","")&amp;IF($DR65&lt;&gt;"",$DR65&amp;", ","")&amp;IF($DS65&lt;&gt;"",$DS65&amp;", ","")&amp;IF($DT65&lt;&gt;"",$DT65&amp;", ","")&amp;IF($DU65&lt;&gt;"",$DU65&amp;", ","")),LEN((IF($AT65&lt;&gt;"",$AT65&amp;", ","")&amp;IF($AU65&lt;&gt;"",$AU65&amp;", ","")&amp;IF($AV65&lt;&gt;"",$AV65&amp;", ","")&amp;IF($AW65&lt;&gt;"",$AW65&amp;", ","")&amp;IF($AX65&lt;&gt;"",$AX65&amp;", ","")&amp;IF($AY65&lt;&gt;"",$AY65&amp;", ","")&amp;IF($AZ65&lt;&gt;"",$AZ65&amp;", ","")&amp;IF($BA65&lt;&gt;"",$BA65&amp;", ","")&amp;IF($BB65&lt;&gt;"",$BB65&amp;", ","")&amp;IF($BC65&lt;&gt;"",$BC65&amp;", ","")&amp;IF($DL65&lt;&gt;"",$DL65&amp;", ","")&amp;IF($DM65&lt;&gt;"",$DM65&amp;", ","")&amp;IF($DN65&lt;&gt;"",$DN65&amp;", ","")&amp;IF($DO65&lt;&gt;"",$DO65&amp;", ","")&amp;IF($DP65&lt;&gt;"",$DP65&amp;", ","")&amp;IF($DQ65&lt;&gt;"",$DQ65&amp;", ","")&amp;IF($DR65&lt;&gt;"",$DR65&amp;", ","")&amp;IF($DS65&lt;&gt;"",$DS65&amp;", ","")&amp;IF($DT65&lt;&gt;"",$DT65&amp;", ","")&amp;IF($DU65&lt;&gt;"",$DU65&amp;", ","")))-2)))))))</f>
        <v/>
      </c>
      <c r="N65" t="str">
        <f t="shared" si="398"/>
        <v/>
      </c>
      <c r="O65" t="str">
        <f t="shared" si="399"/>
        <v/>
      </c>
      <c r="P65" t="str">
        <f t="shared" si="400"/>
        <v/>
      </c>
      <c r="Q65" t="str">
        <f t="shared" si="401"/>
        <v/>
      </c>
      <c r="R65" t="str">
        <f>IF($Q65="","",IF(OR($BE65="",$BF65=""),"ONZEKER",IF(AND($BE65=0+1,$BF65=0),IF(OR(COUNTIF(#REF!,$B65)&gt;0,COUNTIF(#REF!,$B65)=0),"SKIP",IF(COUNTIFS(#REF!,$B65,#REF!,$Q65)&gt;0,"OK","ONBEKEND")),IF(AND($BE65=0,$BF65=0+1),IF(OR(COUNTIF(#REF!,$D65)&gt;0,COUNTIF(#REF!,$D65)=0),"SKIP",IF(COUNTIFS(#REF!,$D65,#REF!,$Q65)&gt;0,"OK","ONBEKEND")),"ONZEKER"))))</f>
        <v/>
      </c>
      <c r="S65" t="str">
        <f t="shared" si="402"/>
        <v/>
      </c>
      <c r="T65" t="str">
        <f t="shared" si="403"/>
        <v/>
      </c>
      <c r="U65" t="str">
        <f>IF($T65="","",IF(OR($BH65="",$BI65=""),"ONZEKER",IF(OR($BE65="",$BF65=""),"ONZEKER",IF(AND($BH65=$BE65+1,$BI65=$BF65),IF(OR(COUNTIF(#REF!,$B65)&gt;0,COUNTIF(#REF!,$B65)=0),"SKIP",IF(COUNTIFS(#REF!,$B65,#REF!,$T65)&gt;0,"OK","ONBEKEND")),IF(AND($BH65=$BE65,$BI65=$BF65+1),IF(OR(COUNTIF(#REF!,$D65)&gt;0,COUNTIF(#REF!,$D65)=0),"SKIP",IF(COUNTIFS(#REF!,$D65,#REF!,$T65)&gt;0,"OK","ONBEKEND")),"ONZEKER")))))</f>
        <v/>
      </c>
      <c r="V65" t="str">
        <f t="shared" si="404"/>
        <v/>
      </c>
      <c r="W65" t="str">
        <f t="shared" si="405"/>
        <v/>
      </c>
      <c r="X65" t="str">
        <f>IF($W65="","",IF(OR($BK65="",$BL65=""),"ONZEKER",IF(OR($BH65="",$BI65=""),"ONZEKER",IF(AND($BK65=$BH65+1,$BL65=$BI65),IF(OR(COUNTIF(#REF!,$B65)&gt;0,COUNTIF(#REF!,$B65)=0),"SKIP",IF(COUNTIFS(#REF!,$B65,#REF!,$W65)&gt;0,"OK","ONBEKEND")),IF(AND($BK65=$BH65,$BL65=$BI65+1),IF(OR(COUNTIF(#REF!,$D65)&gt;0,COUNTIF(#REF!,$D65)=0),"SKIP",IF(COUNTIFS(#REF!,$D65,#REF!,$W65)&gt;0,"OK","ONBEKEND")),"ONZEKER")))))</f>
        <v/>
      </c>
      <c r="Y65" t="str">
        <f t="shared" si="406"/>
        <v/>
      </c>
      <c r="Z65" t="str">
        <f t="shared" si="407"/>
        <v/>
      </c>
      <c r="AA65" t="str">
        <f>IF($Z65="","",IF(OR($BN65="",$BO65=""),"ONZEKER",IF(OR($BK65="",$BL65=""),"ONZEKER",IF(AND($BN65=$BK65+1,$BO65=$BL65),IF(OR(COUNTIF(#REF!,$B65)&gt;0,COUNTIF(#REF!,$B65)=0),"SKIP",IF(COUNTIFS(#REF!,$B65,#REF!,$Z65)&gt;0,"OK","ONBEKEND")),IF(AND($BN65=$BK65,$BO65=$BL65+1),IF(OR(COUNTIF(#REF!,$D65)&gt;0,COUNTIF(#REF!,$D65)=0),"SKIP",IF(COUNTIFS(#REF!,$D65,#REF!,$Z65)&gt;0,"OK","ONBEKEND")),"ONZEKER")))))</f>
        <v/>
      </c>
      <c r="AB65" t="str">
        <f t="shared" si="408"/>
        <v/>
      </c>
      <c r="AC65" t="str">
        <f t="shared" si="409"/>
        <v/>
      </c>
      <c r="AD65" t="str">
        <f>IF($AC65="","",IF(OR($BQ65="",$BR65=""),"ONZEKER",IF(OR($BN65="",$BO65=""),"ONZEKER",IF(AND($BQ65=$BN65+1,$BR65=$BO65),IF(OR(COUNTIF(#REF!,$B65)&gt;0,COUNTIF(#REF!,$B65)=0),"SKIP",IF(COUNTIFS(#REF!,$B65,#REF!,$AC65)&gt;0,"OK","ONBEKEND")),IF(AND($BQ65=$BN65,$BR65=$BO65+1),IF(OR(COUNTIF(#REF!,$D65)&gt;0,COUNTIF(#REF!,$D65)=0),"SKIP",IF(COUNTIFS(#REF!,$D65,#REF!,$AC65)&gt;0,"OK","ONBEKEND")),"ONZEKER")))))</f>
        <v/>
      </c>
      <c r="AE65" t="str">
        <f t="shared" si="410"/>
        <v/>
      </c>
      <c r="AF65" t="str">
        <f t="shared" si="411"/>
        <v/>
      </c>
      <c r="AG65" t="str">
        <f>IF($AF65="","",IF(OR($BT65="",$BU65=""),"ONZEKER",IF(OR($BQ65="",$BR65=""),"ONZEKER",IF(AND($BT65=$BQ65+1,$BU65=$BR65),IF(OR(COUNTIF(#REF!,$B65)&gt;0,COUNTIF(#REF!,$B65)=0),"SKIP",IF(COUNTIFS(#REF!,$B65,#REF!,$AF65)&gt;0,"OK","ONBEKEND")),IF(AND($BT65=$BQ65,$BU65=$BR65+1),IF(OR(COUNTIF(#REF!,$D65)&gt;0,COUNTIF(#REF!,$D65)=0),"SKIP",IF(COUNTIFS(#REF!,$D65,#REF!,$AF65)&gt;0,"OK","ONBEKEND")),"ONZEKER")))))</f>
        <v/>
      </c>
      <c r="AH65" t="str">
        <f t="shared" si="412"/>
        <v/>
      </c>
      <c r="AI65" t="str">
        <f t="shared" si="413"/>
        <v/>
      </c>
      <c r="AJ65" t="str">
        <f>IF($AI65="","",IF(OR($BW65="",$BX65=""),"ONZEKER",IF(OR($BT65="",$BU65=""),"ONZEKER",IF(AND($BW65=$BT65+1,$BX65=$BU65),IF(OR(COUNTIF(#REF!,$B65)&gt;0,COUNTIF(#REF!,$B65)=0),"SKIP",IF(COUNTIFS(#REF!,$B65,#REF!,$AI65)&gt;0,"OK","ONBEKEND")),IF(AND($BW65=$BT65,$BX65=$BU65+1),IF(OR(COUNTIF(#REF!,$D65)&gt;0,COUNTIF(#REF!,$D65)=0),"SKIP",IF(COUNTIFS(#REF!,$D65,#REF!,$AI65)&gt;0,"OK","ONBEKEND")),"ONZEKER")))))</f>
        <v/>
      </c>
      <c r="AK65" t="str">
        <f t="shared" si="414"/>
        <v/>
      </c>
      <c r="AL65" t="str">
        <f t="shared" si="415"/>
        <v/>
      </c>
      <c r="AM65" t="str">
        <f>IF($AL65="","",IF(OR($BZ65="",$CA65=""),"ONZEKER",IF(OR($BW65="",$BX65=""),"ONZEKER",IF(AND($BZ65=$BW65+1,$CA65=$BX65),IF(OR(COUNTIF(#REF!,$B65)&gt;0,COUNTIF(#REF!,$B65)=0),"SKIP",IF(COUNTIFS(#REF!,$B65,#REF!,$AL65)&gt;0,"OK","ONBEKEND")),IF(AND($BZ65=$BW65,$CA65=$BX65+1),IF(OR(COUNTIF(#REF!,$D65)&gt;0,COUNTIF(#REF!,$D65)=0),"SKIP",IF(COUNTIFS(#REF!,$D65,#REF!,$AL65)&gt;0,"OK","ONBEKEND")),"ONZEKER")))))</f>
        <v/>
      </c>
      <c r="AN65" t="str">
        <f t="shared" si="416"/>
        <v/>
      </c>
      <c r="AO65" t="str">
        <f t="shared" si="417"/>
        <v/>
      </c>
      <c r="AP65" t="str">
        <f>IF($AO65="","",IF(OR($CC65="",$CD65=""),"ONZEKER",IF(OR($BZ65="",$CA65=""),"ONZEKER",IF(AND($CC65=$BZ65+1,$CD65=$CA65),IF(OR(COUNTIF(#REF!,$B65)&gt;0,COUNTIF(#REF!,$B65)=0),"SKIP",IF(COUNTIFS(#REF!,$B65,#REF!,$AO65)&gt;0,"OK","ONBEKEND")),IF(AND($CC65=$BZ65,$CD65=$CA65+1),IF(OR(COUNTIF(#REF!,$D65)&gt;0,COUNTIF(#REF!,$D65)=0),"SKIP",IF(COUNTIFS(#REF!,$D65,#REF!,$AO65)&gt;0,"OK","ONBEKEND")),"ONZEKER")))))</f>
        <v/>
      </c>
      <c r="AQ65" t="str">
        <f t="shared" si="418"/>
        <v/>
      </c>
      <c r="AR65" t="str">
        <f t="shared" si="419"/>
        <v/>
      </c>
      <c r="AS65" t="str">
        <f>IF($AR65="","",IF(OR($CF65="",$CG65=""),"ONZEKER",IF(OR($CC65="",$CD65=""),"ONZEKER",IF(AND($CF65=$CC65+1,$CG65=$CD65),IF(OR(COUNTIF(#REF!,$B65)&gt;0,COUNTIF(#REF!,$B65)=0),"SKIP",IF(COUNTIFS(#REF!,$B65,#REF!,$AR65)&gt;0,"OK","ONBEKEND")),IF(AND($CF65=$CC65,$CG65=$CD65+1),IF(OR(COUNTIF(#REF!,$D65)&gt;0,COUNTIF(#REF!,$D65)=0),"SKIP",IF(COUNTIFS(#REF!,$D65,#REF!,$AR65)&gt;0,"OK","ONBEKEND")),"ONZEKER")))))</f>
        <v/>
      </c>
      <c r="AT65" t="str">
        <f t="shared" si="420"/>
        <v/>
      </c>
      <c r="AU65" t="str">
        <f t="shared" si="421"/>
        <v/>
      </c>
      <c r="AV65" t="str">
        <f t="shared" si="422"/>
        <v/>
      </c>
      <c r="AW65" t="str">
        <f t="shared" si="423"/>
        <v/>
      </c>
      <c r="AX65" t="str">
        <f t="shared" si="424"/>
        <v/>
      </c>
      <c r="AY65" t="str">
        <f t="shared" si="425"/>
        <v/>
      </c>
      <c r="AZ65" t="str">
        <f t="shared" si="426"/>
        <v/>
      </c>
      <c r="BA65" t="str">
        <f t="shared" si="427"/>
        <v/>
      </c>
      <c r="BB65" t="str">
        <f t="shared" si="428"/>
        <v/>
      </c>
      <c r="BC65" t="str">
        <f t="shared" si="429"/>
        <v/>
      </c>
      <c r="BD65" t="str">
        <f t="shared" si="32"/>
        <v/>
      </c>
      <c r="BE65" t="str">
        <f t="shared" si="33"/>
        <v/>
      </c>
      <c r="BF65" t="str">
        <f t="shared" si="34"/>
        <v/>
      </c>
      <c r="BG65" t="str">
        <f t="shared" si="35"/>
        <v/>
      </c>
      <c r="BH65" t="str">
        <f t="shared" si="36"/>
        <v/>
      </c>
      <c r="BI65" t="str">
        <f t="shared" si="37"/>
        <v/>
      </c>
      <c r="BJ65" t="str">
        <f t="shared" si="38"/>
        <v/>
      </c>
      <c r="BK65" t="str">
        <f t="shared" si="39"/>
        <v/>
      </c>
      <c r="BL65" t="str">
        <f t="shared" si="40"/>
        <v/>
      </c>
      <c r="BM65" t="str">
        <f t="shared" si="41"/>
        <v/>
      </c>
      <c r="BN65" t="str">
        <f t="shared" si="42"/>
        <v/>
      </c>
      <c r="BO65" t="str">
        <f t="shared" si="43"/>
        <v/>
      </c>
      <c r="BP65" t="str">
        <f t="shared" si="44"/>
        <v/>
      </c>
      <c r="BQ65" t="str">
        <f t="shared" si="45"/>
        <v/>
      </c>
      <c r="BR65" t="str">
        <f t="shared" si="46"/>
        <v/>
      </c>
      <c r="BS65" t="str">
        <f t="shared" si="47"/>
        <v/>
      </c>
      <c r="BT65" t="str">
        <f t="shared" si="48"/>
        <v/>
      </c>
      <c r="BU65" t="str">
        <f t="shared" si="49"/>
        <v/>
      </c>
      <c r="BV65" t="str">
        <f t="shared" si="50"/>
        <v/>
      </c>
      <c r="BW65" t="str">
        <f t="shared" si="51"/>
        <v/>
      </c>
      <c r="BX65" t="str">
        <f t="shared" si="52"/>
        <v/>
      </c>
      <c r="BY65" t="str">
        <f t="shared" si="53"/>
        <v/>
      </c>
      <c r="BZ65" t="str">
        <f t="shared" si="54"/>
        <v/>
      </c>
      <c r="CA65" t="str">
        <f t="shared" si="55"/>
        <v/>
      </c>
      <c r="CB65" t="str">
        <f t="shared" si="56"/>
        <v/>
      </c>
      <c r="CC65" t="str">
        <f t="shared" si="57"/>
        <v/>
      </c>
      <c r="CD65" t="str">
        <f t="shared" si="58"/>
        <v/>
      </c>
      <c r="CE65" t="str">
        <f t="shared" si="59"/>
        <v/>
      </c>
      <c r="CF65" t="str">
        <f t="shared" si="60"/>
        <v/>
      </c>
      <c r="CG65" t="str">
        <f t="shared" si="61"/>
        <v/>
      </c>
      <c r="CH65" t="str">
        <f t="shared" si="430"/>
        <v/>
      </c>
      <c r="CI65" t="str">
        <f t="shared" si="431"/>
        <v/>
      </c>
      <c r="CJ65" t="str">
        <f>IF($CI65="","",IF(OR($DW65="",$DX65=""),"ONZEKER",IF(OR($CF65="",$CG65=""),"ONZEKER",IF(AND($DW65=$CF65+1,$DX65=$CG65),IF(OR(COUNTIF(#REF!,$B65)&gt;0,COUNTIF(#REF!,$B65)=0),"SKIP",IF(COUNTIFS(#REF!,$B65,#REF!,$CI65)&gt;0,"OK","ONBEKEND")),IF(AND($DW65=$CF65,$DX65=$CG65+1),IF(OR(COUNTIF(#REF!,$D65)&gt;0,COUNTIF(#REF!,$D65)=0),"SKIP",IF(COUNTIFS(#REF!,$D65,#REF!,$CI65)&gt;0,"OK","ONBEKEND")),"ONZEKER")))))</f>
        <v/>
      </c>
      <c r="CK65" t="str">
        <f t="shared" si="432"/>
        <v/>
      </c>
      <c r="CL65" t="str">
        <f t="shared" si="433"/>
        <v/>
      </c>
      <c r="CM65" t="str">
        <f>IF($CL65="","",IF(OR($DZ65="",$EA65=""),"ONZEKER",IF(OR($DW65="",$DX65=""),"ONZEKER",IF(AND($DZ65=$DW65+1,$EA65=$DX65),IF(OR(COUNTIF(#REF!,$B65)&gt;0,COUNTIF(#REF!,$B65)=0),"SKIP",IF(COUNTIFS(#REF!,$B65,#REF!,$CL65)&gt;0,"OK","ONBEKEND")),IF(AND($DZ65=$DW65,$EA65=$DX65+1),IF(OR(COUNTIF(#REF!,$D65)&gt;0,COUNTIF(#REF!,$D65)=0),"SKIP",IF(COUNTIFS(#REF!,$D65,#REF!,$CL65)&gt;0,"OK","ONBEKEND")),"ONZEKER")))))</f>
        <v/>
      </c>
      <c r="CN65" t="str">
        <f t="shared" si="434"/>
        <v/>
      </c>
      <c r="CO65" t="str">
        <f t="shared" si="435"/>
        <v/>
      </c>
      <c r="CP65" t="str">
        <f>IF($CO65="","",IF(OR($EC65="",$ED65=""),"ONZEKER",IF(OR($DZ65="",$EA65=""),"ONZEKER",IF(AND($EC65=$DZ65+1,$ED65=$EA65),IF(OR(COUNTIF(#REF!,$B65)&gt;0,COUNTIF(#REF!,$B65)=0),"SKIP",IF(COUNTIFS(#REF!,$B65,#REF!,$CO65)&gt;0,"OK","ONBEKEND")),IF(AND($EC65=$DZ65,$ED65=$EA65+1),IF(OR(COUNTIF(#REF!,$D65)&gt;0,COUNTIF(#REF!,$D65)=0),"SKIP",IF(COUNTIFS(#REF!,$D65,#REF!,$CO65)&gt;0,"OK","ONBEKEND")),"ONZEKER")))))</f>
        <v/>
      </c>
      <c r="CQ65" t="str">
        <f t="shared" si="436"/>
        <v/>
      </c>
      <c r="CR65" t="str">
        <f t="shared" si="437"/>
        <v/>
      </c>
      <c r="CS65" t="str">
        <f>IF($CR65="","",IF(OR($EF65="",$EG65=""),"ONZEKER",IF(OR($EC65="",$ED65=""),"ONZEKER",IF(AND($EF65=$EC65+1,$EG65=$ED65),IF(OR(COUNTIF(#REF!,$B65)&gt;0,COUNTIF(#REF!,$B65)=0),"SKIP",IF(COUNTIFS(#REF!,$B65,#REF!,$CR65)&gt;0,"OK","ONBEKEND")),IF(AND($EF65=$EC65,$EG65=$ED65+1),IF(OR(COUNTIF(#REF!,$D65)&gt;0,COUNTIF(#REF!,$D65)=0),"SKIP",IF(COUNTIFS(#REF!,$D65,#REF!,$CR65)&gt;0,"OK","ONBEKEND")),"ONZEKER")))))</f>
        <v/>
      </c>
      <c r="CT65" t="str">
        <f t="shared" si="438"/>
        <v/>
      </c>
      <c r="CU65" t="str">
        <f t="shared" si="439"/>
        <v/>
      </c>
      <c r="CV65" t="str">
        <f>IF($CU65="","",IF(OR($EI65="",$EJ65=""),"ONZEKER",IF(OR($EF65="",$EG65=""),"ONZEKER",IF(AND($EI65=$EF65+1,$EJ65=$EG65),IF(OR(COUNTIF(#REF!,$B65)&gt;0,COUNTIF(#REF!,$B65)=0),"SKIP",IF(COUNTIFS(#REF!,$B65,#REF!,$CU65)&gt;0,"OK","ONBEKEND")),IF(AND($EI65=$EF65,$EJ65=$EG65+1),IF(OR(COUNTIF(#REF!,$D65)&gt;0,COUNTIF(#REF!,$D65)=0),"SKIP",IF(COUNTIFS(#REF!,$D65,#REF!,$CU65)&gt;0,"OK","ONBEKEND")),"ONZEKER")))))</f>
        <v/>
      </c>
      <c r="CW65" t="str">
        <f t="shared" si="440"/>
        <v/>
      </c>
      <c r="CX65" t="str">
        <f t="shared" si="441"/>
        <v/>
      </c>
      <c r="CY65" t="str">
        <f>IF($CX65="","",IF(OR($EL65="",$EM65=""),"ONZEKER",IF(OR($EI65="",$EJ65=""),"ONZEKER",IF(AND($EL65=$EI65+1,$EM65=$EJ65),IF(OR(COUNTIF(#REF!,$B65)&gt;0,COUNTIF(#REF!,$B65)=0),"SKIP",IF(COUNTIFS(#REF!,$B65,#REF!,$CX65)&gt;0,"OK","ONBEKEND")),IF(AND($EL65=$EI65,$EM65=$EJ65+1),IF(OR(COUNTIF(#REF!,$D65)&gt;0,COUNTIF(#REF!,$D65)=0),"SKIP",IF(COUNTIFS(#REF!,$D65,#REF!,$CX65)&gt;0,"OK","ONBEKEND")),"ONZEKER")))))</f>
        <v/>
      </c>
      <c r="CZ65" t="str">
        <f t="shared" si="442"/>
        <v/>
      </c>
      <c r="DA65" t="str">
        <f t="shared" si="443"/>
        <v/>
      </c>
      <c r="DB65" t="str">
        <f>IF($DA65="","",IF(OR($EO65="",$EP65=""),"ONZEKER",IF(OR($EL65="",$EM65=""),"ONZEKER",IF(AND($EO65=$EL65+1,$EP65=$EM65),IF(OR(COUNTIF(#REF!,$B65)&gt;0,COUNTIF(#REF!,$B65)=0),"SKIP",IF(COUNTIFS(#REF!,$B65,#REF!,$DA65)&gt;0,"OK","ONBEKEND")),IF(AND($EO65=$EL65,$EP65=$EM65+1),IF(OR(COUNTIF(#REF!,$D65)&gt;0,COUNTIF(#REF!,$D65)=0),"SKIP",IF(COUNTIFS(#REF!,$D65,#REF!,$DA65)&gt;0,"OK","ONBEKEND")),"ONZEKER")))))</f>
        <v/>
      </c>
      <c r="DC65" t="str">
        <f t="shared" si="444"/>
        <v/>
      </c>
      <c r="DD65" t="str">
        <f t="shared" si="445"/>
        <v/>
      </c>
      <c r="DE65" t="str">
        <f>IF($DD65="","",IF(OR($ER65="",$ES65=""),"ONZEKER",IF(OR($EO65="",$EP65=""),"ONZEKER",IF(AND($ER65=$EO65+1,$ES65=$EP65),IF(OR(COUNTIF(#REF!,$B65)&gt;0,COUNTIF(#REF!,$B65)=0),"SKIP",IF(COUNTIFS(#REF!,$B65,#REF!,$DD65)&gt;0,"OK","ONBEKEND")),IF(AND($ER65=$EO65,$ES65=$EP65+1),IF(OR(COUNTIF(#REF!,$D65)&gt;0,COUNTIF(#REF!,$D65)=0),"SKIP",IF(COUNTIFS(#REF!,$D65,#REF!,$DD65)&gt;0,"OK","ONBEKEND")),"ONZEKER")))))</f>
        <v/>
      </c>
      <c r="DF65" t="str">
        <f t="shared" si="446"/>
        <v/>
      </c>
      <c r="DG65" t="str">
        <f t="shared" si="447"/>
        <v/>
      </c>
      <c r="DH65" t="str">
        <f>IF($DG65="","",IF(OR($EU65="",$EV65=""),"ONZEKER",IF(OR($ER65="",$ES65=""),"ONZEKER",IF(AND($EU65=$ER65+1,$EV65=$ES65),IF(OR(COUNTIF(#REF!,$B65)&gt;0,COUNTIF(#REF!,$B65)=0),"SKIP",IF(COUNTIFS(#REF!,$B65,#REF!,$DG65)&gt;0,"OK","ONBEKEND")),IF(AND($EU65=$ER65,$EV65=$ES65+1),IF(OR(COUNTIF(#REF!,$D65)&gt;0,COUNTIF(#REF!,$D65)=0),"SKIP",IF(COUNTIFS(#REF!,$D65,#REF!,$DG65)&gt;0,"OK","ONBEKEND")),"ONZEKER")))))</f>
        <v/>
      </c>
      <c r="DI65" t="str">
        <f t="shared" si="448"/>
        <v/>
      </c>
      <c r="DJ65" t="str">
        <f t="shared" si="449"/>
        <v/>
      </c>
      <c r="DK65" t="str">
        <f>IF($DJ65="","",IF(OR($EX65="",$EY65=""),"ONZEKER",IF(OR($EU65="",$EV65=""),"ONZEKER",IF(AND($EX65=$EU65+1,$EY65=$EV65),IF(OR(COUNTIF(#REF!,$B65)&gt;0,COUNTIF(#REF!,$B65)=0),"SKIP",IF(COUNTIFS(#REF!,$B65,#REF!,$DJ65)&gt;0,"OK","ONBEKEND")),IF(AND($EX65=$EU65,$EY65=$EV65+1),IF(OR(COUNTIF(#REF!,$D65)&gt;0,COUNTIF(#REF!,$D65)=0),"SKIP",IF(COUNTIFS(#REF!,$D65,#REF!,$DJ65)&gt;0,"OK","ONBEKEND")),"ONZEKER")))))</f>
        <v/>
      </c>
      <c r="DL65" t="str">
        <f t="shared" si="450"/>
        <v/>
      </c>
      <c r="DM65" t="str">
        <f t="shared" si="451"/>
        <v/>
      </c>
      <c r="DN65" t="str">
        <f t="shared" si="452"/>
        <v/>
      </c>
      <c r="DO65" t="str">
        <f t="shared" si="453"/>
        <v/>
      </c>
      <c r="DP65" t="str">
        <f t="shared" si="454"/>
        <v/>
      </c>
      <c r="DQ65" t="str">
        <f t="shared" si="455"/>
        <v/>
      </c>
      <c r="DR65" t="str">
        <f t="shared" si="456"/>
        <v/>
      </c>
      <c r="DS65" t="str">
        <f t="shared" si="457"/>
        <v/>
      </c>
      <c r="DT65" t="str">
        <f t="shared" si="458"/>
        <v/>
      </c>
      <c r="DU65" t="str">
        <f t="shared" si="459"/>
        <v/>
      </c>
      <c r="DV65" t="str">
        <f t="shared" si="460"/>
        <v/>
      </c>
      <c r="DW65" t="str">
        <f t="shared" si="461"/>
        <v/>
      </c>
      <c r="DX65" t="str">
        <f t="shared" si="462"/>
        <v/>
      </c>
      <c r="DY65" t="str">
        <f t="shared" si="463"/>
        <v/>
      </c>
      <c r="DZ65" t="str">
        <f t="shared" si="464"/>
        <v/>
      </c>
      <c r="EA65" t="str">
        <f t="shared" si="465"/>
        <v/>
      </c>
      <c r="EB65" t="str">
        <f t="shared" si="466"/>
        <v/>
      </c>
      <c r="EC65" t="str">
        <f t="shared" si="467"/>
        <v/>
      </c>
      <c r="ED65" t="str">
        <f t="shared" si="468"/>
        <v/>
      </c>
      <c r="EE65" t="str">
        <f t="shared" si="469"/>
        <v/>
      </c>
      <c r="EF65" t="str">
        <f t="shared" si="470"/>
        <v/>
      </c>
      <c r="EG65" t="str">
        <f t="shared" si="471"/>
        <v/>
      </c>
      <c r="EH65" t="str">
        <f t="shared" si="472"/>
        <v/>
      </c>
      <c r="EI65" t="str">
        <f t="shared" si="473"/>
        <v/>
      </c>
      <c r="EJ65" t="str">
        <f t="shared" si="474"/>
        <v/>
      </c>
      <c r="EK65" t="str">
        <f t="shared" si="475"/>
        <v/>
      </c>
      <c r="EL65" t="str">
        <f t="shared" si="476"/>
        <v/>
      </c>
      <c r="EM65" t="str">
        <f t="shared" si="477"/>
        <v/>
      </c>
      <c r="EN65" t="str">
        <f t="shared" si="478"/>
        <v/>
      </c>
      <c r="EO65" t="str">
        <f t="shared" si="479"/>
        <v/>
      </c>
      <c r="EP65" t="str">
        <f t="shared" si="480"/>
        <v/>
      </c>
      <c r="EQ65" t="str">
        <f t="shared" si="481"/>
        <v/>
      </c>
      <c r="ER65" t="str">
        <f t="shared" si="482"/>
        <v/>
      </c>
      <c r="ES65" t="str">
        <f t="shared" si="483"/>
        <v/>
      </c>
      <c r="ET65" t="str">
        <f t="shared" si="484"/>
        <v/>
      </c>
      <c r="EU65" t="str">
        <f t="shared" si="485"/>
        <v/>
      </c>
      <c r="EV65" t="str">
        <f t="shared" si="486"/>
        <v/>
      </c>
      <c r="EW65" t="str">
        <f t="shared" si="487"/>
        <v/>
      </c>
      <c r="EX65" t="str">
        <f t="shared" si="488"/>
        <v/>
      </c>
      <c r="EY65" t="str">
        <f t="shared" si="489"/>
        <v/>
      </c>
    </row>
    <row r="66" spans="1:155" ht="13.9" customHeight="1" x14ac:dyDescent="0.25">
      <c r="A66" s="14"/>
      <c r="B66" s="15" t="s">
        <v>1531</v>
      </c>
      <c r="C66" s="16"/>
      <c r="D66" s="16"/>
      <c r="E66" s="16"/>
      <c r="F66" s="31" t="s">
        <v>1</v>
      </c>
      <c r="G66" s="33"/>
      <c r="H66" s="33"/>
      <c r="I66" s="32" t="s">
        <v>2</v>
      </c>
      <c r="J66" s="33"/>
      <c r="K66" s="33"/>
      <c r="L66" s="6" t="s">
        <v>3</v>
      </c>
      <c r="M66" s="2" t="s">
        <v>4</v>
      </c>
      <c r="N66" s="2" t="s">
        <v>5</v>
      </c>
      <c r="O66" s="2" t="s">
        <v>6</v>
      </c>
      <c r="P66" s="2" t="s">
        <v>7</v>
      </c>
      <c r="Q66" s="2" t="s">
        <v>8</v>
      </c>
      <c r="R66" s="2" t="str">
        <f>IF($Q66="","",IF(OR($BE66="",$BF66=""),"ONZEKER",IF(AND($BE66=0+1,$BF66=0),IF(OR(COUNTIF(#REF!,$B66)&gt;0,COUNTIF(#REF!,$B66)=0),"SKIP",IF(COUNTIFS(#REF!,$B66,#REF!,$Q66)&gt;0,"OK","ONBEKEND")),IF(AND($BE66=0,$BF66=0+1),IF(OR(COUNTIF(#REF!,$D66)&gt;0,COUNTIF(#REF!,$D66)=0),"SKIP",IF(COUNTIFS(#REF!,$D66,#REF!,$Q66)&gt;0,"OK","ONBEKEND")),"ONZEKER"))))</f>
        <v>ONZEKER</v>
      </c>
      <c r="S66" s="2" t="s">
        <v>10</v>
      </c>
      <c r="T66" s="2" t="s">
        <v>11</v>
      </c>
      <c r="U66" s="2" t="str">
        <f>IF($T66="","",IF(OR($BH66="",$BI66=""),"ONZEKER",IF(OR($BE66="",$BF66=""),"ONZEKER",IF(AND($BH66=$BE66+1,$BI66=$BF66),IF(OR(COUNTIF(#REF!,$B66)&gt;0,COUNTIF(#REF!,$B66)=0),"SKIP",IF(COUNTIFS(#REF!,$B66,#REF!,$T66)&gt;0,"OK","ONBEKEND")),IF(AND($BH66=$BE66,$BI66=$BF66+1),IF(OR(COUNTIF(#REF!,$D66)&gt;0,COUNTIF(#REF!,$D66)=0),"SKIP",IF(COUNTIFS(#REF!,$D66,#REF!,$T66)&gt;0,"OK","ONBEKEND")),"ONZEKER")))))</f>
        <v>ONZEKER</v>
      </c>
      <c r="V66" s="2" t="s">
        <v>13</v>
      </c>
      <c r="W66" s="2" t="s">
        <v>14</v>
      </c>
      <c r="X66" s="2" t="str">
        <f>IF($W66="","",IF(OR($BK66="",$BL66=""),"ONZEKER",IF(OR($BH66="",$BI66=""),"ONZEKER",IF(AND($BK66=$BH66+1,$BL66=$BI66),IF(OR(COUNTIF(#REF!,$B66)&gt;0,COUNTIF(#REF!,$B66)=0),"SKIP",IF(COUNTIFS(#REF!,$B66,#REF!,$W66)&gt;0,"OK","ONBEKEND")),IF(AND($BK66=$BH66,$BL66=$BI66+1),IF(OR(COUNTIF(#REF!,$D66)&gt;0,COUNTIF(#REF!,$D66)=0),"SKIP",IF(COUNTIFS(#REF!,$D66,#REF!,$W66)&gt;0,"OK","ONBEKEND")),"ONZEKER")))))</f>
        <v>ONZEKER</v>
      </c>
      <c r="Y66" s="2" t="s">
        <v>16</v>
      </c>
      <c r="Z66" s="2" t="s">
        <v>17</v>
      </c>
      <c r="AA66" s="2" t="str">
        <f>IF($Z66="","",IF(OR($BN66="",$BO66=""),"ONZEKER",IF(OR($BK66="",$BL66=""),"ONZEKER",IF(AND($BN66=$BK66+1,$BO66=$BL66),IF(OR(COUNTIF(#REF!,$B66)&gt;0,COUNTIF(#REF!,$B66)=0),"SKIP",IF(COUNTIFS(#REF!,$B66,#REF!,$Z66)&gt;0,"OK","ONBEKEND")),IF(AND($BN66=$BK66,$BO66=$BL66+1),IF(OR(COUNTIF(#REF!,$D66)&gt;0,COUNTIF(#REF!,$D66)=0),"SKIP",IF(COUNTIFS(#REF!,$D66,#REF!,$Z66)&gt;0,"OK","ONBEKEND")),"ONZEKER")))))</f>
        <v>ONZEKER</v>
      </c>
      <c r="AB66" s="2" t="s">
        <v>19</v>
      </c>
      <c r="AC66" s="2" t="s">
        <v>20</v>
      </c>
      <c r="AD66" s="2" t="str">
        <f>IF($AC66="","",IF(OR($BQ66="",$BR66=""),"ONZEKER",IF(OR($BN66="",$BO66=""),"ONZEKER",IF(AND($BQ66=$BN66+1,$BR66=$BO66),IF(OR(COUNTIF(#REF!,$B66)&gt;0,COUNTIF(#REF!,$B66)=0),"SKIP",IF(COUNTIFS(#REF!,$B66,#REF!,$AC66)&gt;0,"OK","ONBEKEND")),IF(AND($BQ66=$BN66,$BR66=$BO66+1),IF(OR(COUNTIF(#REF!,$D66)&gt;0,COUNTIF(#REF!,$D66)=0),"SKIP",IF(COUNTIFS(#REF!,$D66,#REF!,$AC66)&gt;0,"OK","ONBEKEND")),"ONZEKER")))))</f>
        <v>ONZEKER</v>
      </c>
      <c r="AE66" s="2" t="s">
        <v>22</v>
      </c>
      <c r="AF66" s="2" t="s">
        <v>23</v>
      </c>
      <c r="AG66" s="2" t="str">
        <f>IF($AF66="","",IF(OR($BT66="",$BU66=""),"ONZEKER",IF(OR($BQ66="",$BR66=""),"ONZEKER",IF(AND($BT66=$BQ66+1,$BU66=$BR66),IF(OR(COUNTIF(#REF!,$B66)&gt;0,COUNTIF(#REF!,$B66)=0),"SKIP",IF(COUNTIFS(#REF!,$B66,#REF!,$AF66)&gt;0,"OK","ONBEKEND")),IF(AND($BT66=$BQ66,$BU66=$BR66+1),IF(OR(COUNTIF(#REF!,$D66)&gt;0,COUNTIF(#REF!,$D66)=0),"SKIP",IF(COUNTIFS(#REF!,$D66,#REF!,$AF66)&gt;0,"OK","ONBEKEND")),"ONZEKER")))))</f>
        <v>ONZEKER</v>
      </c>
      <c r="AH66" s="2" t="s">
        <v>25</v>
      </c>
      <c r="AI66" s="2" t="s">
        <v>26</v>
      </c>
      <c r="AJ66" s="2" t="str">
        <f>IF($AI66="","",IF(OR($BW66="",$BX66=""),"ONZEKER",IF(OR($BT66="",$BU66=""),"ONZEKER",IF(AND($BW66=$BT66+1,$BX66=$BU66),IF(OR(COUNTIF(#REF!,$B66)&gt;0,COUNTIF(#REF!,$B66)=0),"SKIP",IF(COUNTIFS(#REF!,$B66,#REF!,$AI66)&gt;0,"OK","ONBEKEND")),IF(AND($BW66=$BT66,$BX66=$BU66+1),IF(OR(COUNTIF(#REF!,$D66)&gt;0,COUNTIF(#REF!,$D66)=0),"SKIP",IF(COUNTIFS(#REF!,$D66,#REF!,$AI66)&gt;0,"OK","ONBEKEND")),"ONZEKER")))))</f>
        <v>ONZEKER</v>
      </c>
      <c r="AK66" s="2" t="s">
        <v>28</v>
      </c>
      <c r="AL66" s="2" t="s">
        <v>29</v>
      </c>
      <c r="AM66" s="2" t="str">
        <f>IF($AL66="","",IF(OR($BZ66="",$CA66=""),"ONZEKER",IF(OR($BW66="",$BX66=""),"ONZEKER",IF(AND($BZ66=$BW66+1,$CA66=$BX66),IF(OR(COUNTIF(#REF!,$B66)&gt;0,COUNTIF(#REF!,$B66)=0),"SKIP",IF(COUNTIFS(#REF!,$B66,#REF!,$AL66)&gt;0,"OK","ONBEKEND")),IF(AND($BZ66=$BW66,$CA66=$BX66+1),IF(OR(COUNTIF(#REF!,$D66)&gt;0,COUNTIF(#REF!,$D66)=0),"SKIP",IF(COUNTIFS(#REF!,$D66,#REF!,$AL66)&gt;0,"OK","ONBEKEND")),"ONZEKER")))))</f>
        <v>ONZEKER</v>
      </c>
      <c r="AN66" s="2" t="s">
        <v>31</v>
      </c>
      <c r="AO66" s="2" t="s">
        <v>32</v>
      </c>
      <c r="AP66" s="2" t="str">
        <f>IF($AO66="","",IF(OR($CC66="",$CD66=""),"ONZEKER",IF(OR($BZ66="",$CA66=""),"ONZEKER",IF(AND($CC66=$BZ66+1,$CD66=$CA66),IF(OR(COUNTIF(#REF!,$B66)&gt;0,COUNTIF(#REF!,$B66)=0),"SKIP",IF(COUNTIFS(#REF!,$B66,#REF!,$AO66)&gt;0,"OK","ONBEKEND")),IF(AND($CC66=$BZ66,$CD66=$CA66+1),IF(OR(COUNTIF(#REF!,$D66)&gt;0,COUNTIF(#REF!,$D66)=0),"SKIP",IF(COUNTIFS(#REF!,$D66,#REF!,$AO66)&gt;0,"OK","ONBEKEND")),"ONZEKER")))))</f>
        <v>ONZEKER</v>
      </c>
      <c r="AQ66" s="2" t="s">
        <v>34</v>
      </c>
      <c r="AR66" s="2" t="s">
        <v>35</v>
      </c>
      <c r="AS66" s="2" t="str">
        <f>IF($AR66="","",IF(OR($CF66="",$CG66=""),"ONZEKER",IF(OR($CC66="",$CD66=""),"ONZEKER",IF(AND($CF66=$CC66+1,$CG66=$CD66),IF(OR(COUNTIF(#REF!,$B66)&gt;0,COUNTIF(#REF!,$B66)=0),"SKIP",IF(COUNTIFS(#REF!,$B66,#REF!,$AR66)&gt;0,"OK","ONBEKEND")),IF(AND($CF66=$CC66,$CG66=$CD66+1),IF(OR(COUNTIF(#REF!,$D66)&gt;0,COUNTIF(#REF!,$D66)=0),"SKIP",IF(COUNTIFS(#REF!,$D66,#REF!,$AR66)&gt;0,"OK","ONBEKEND")),"ONZEKER")))))</f>
        <v>ONZEKER</v>
      </c>
      <c r="AT66" s="2" t="s">
        <v>37</v>
      </c>
      <c r="AU66" s="2" t="s">
        <v>38</v>
      </c>
      <c r="AV66" s="2" t="s">
        <v>39</v>
      </c>
      <c r="AW66" s="2" t="s">
        <v>40</v>
      </c>
      <c r="AX66" s="2" t="s">
        <v>41</v>
      </c>
      <c r="AY66" s="2" t="s">
        <v>42</v>
      </c>
      <c r="AZ66" s="2" t="s">
        <v>43</v>
      </c>
      <c r="BA66" s="2" t="s">
        <v>44</v>
      </c>
      <c r="BB66" s="2" t="s">
        <v>45</v>
      </c>
      <c r="BC66" s="2" t="s">
        <v>46</v>
      </c>
      <c r="BD66" t="str">
        <f t="shared" ref="BD66:BD129" si="490">IF($P66="","",TRIM(IFERROR(RIGHT($P66,LEN($P66)-FIND("§",SUBSTITUTE($P66," ","§",LEN($P66)-LEN(SUBSTITUTE($P66," ",""))))),"")))</f>
        <v/>
      </c>
      <c r="BE66" t="str">
        <f t="shared" ref="BE66:BE129" si="491">IF($BD66="","",IFERROR(VALUE(LEFT($BD66,FIND("-",$BD66)-1)),""))</f>
        <v/>
      </c>
      <c r="BF66" t="str">
        <f t="shared" ref="BF66:BF129" si="492">IF($BD66="","",IFERROR(VALUE(MID($BD66,FIND("-",$BD66)+1,99)),""))</f>
        <v/>
      </c>
      <c r="BG66" t="str">
        <f t="shared" ref="BG66:BG129" si="493">IF($S66="","",TRIM(IFERROR(RIGHT($S66,LEN($S66)-FIND("§",SUBSTITUTE($S66," ","§",LEN($S66)-LEN(SUBSTITUTE($S66," ",""))))),"")))</f>
        <v/>
      </c>
      <c r="BH66" t="str">
        <f t="shared" ref="BH66:BH129" si="494">IF($BG66="","",IFERROR(VALUE(LEFT($BG66,FIND("-",$BG66)-1)),""))</f>
        <v/>
      </c>
      <c r="BI66" t="str">
        <f t="shared" ref="BI66:BI129" si="495">IF($BG66="","",IFERROR(VALUE(MID($BG66,FIND("-",$BG66)+1,99)),""))</f>
        <v/>
      </c>
      <c r="BJ66" t="str">
        <f t="shared" ref="BJ66:BJ129" si="496">IF($V66="","",TRIM(IFERROR(RIGHT($V66,LEN($V66)-FIND("§",SUBSTITUTE($V66," ","§",LEN($V66)-LEN(SUBSTITUTE($V66," ",""))))),"")))</f>
        <v/>
      </c>
      <c r="BK66" t="str">
        <f t="shared" ref="BK66:BK129" si="497">IF($BJ66="","",IFERROR(VALUE(LEFT($BJ66,FIND("-",$BJ66)-1)),""))</f>
        <v/>
      </c>
      <c r="BL66" t="str">
        <f t="shared" ref="BL66:BL129" si="498">IF($BJ66="","",IFERROR(VALUE(MID($BJ66,FIND("-",$BJ66)+1,99)),""))</f>
        <v/>
      </c>
      <c r="BM66" t="str">
        <f t="shared" ref="BM66:BM129" si="499">IF($Y66="","",TRIM(IFERROR(RIGHT($Y66,LEN($Y66)-FIND("§",SUBSTITUTE($Y66," ","§",LEN($Y66)-LEN(SUBSTITUTE($Y66," ",""))))),"")))</f>
        <v/>
      </c>
      <c r="BN66" t="str">
        <f t="shared" ref="BN66:BN129" si="500">IF($BM66="","",IFERROR(VALUE(LEFT($BM66,FIND("-",$BM66)-1)),""))</f>
        <v/>
      </c>
      <c r="BO66" t="str">
        <f t="shared" ref="BO66:BO129" si="501">IF($BM66="","",IFERROR(VALUE(MID($BM66,FIND("-",$BM66)+1,99)),""))</f>
        <v/>
      </c>
      <c r="BP66" t="str">
        <f t="shared" ref="BP66:BP129" si="502">IF($AB66="","",TRIM(IFERROR(RIGHT($AB66,LEN($AB66)-FIND("§",SUBSTITUTE($AB66," ","§",LEN($AB66)-LEN(SUBSTITUTE($AB66," ",""))))),"")))</f>
        <v/>
      </c>
      <c r="BQ66" t="str">
        <f t="shared" ref="BQ66:BQ129" si="503">IF($BP66="","",IFERROR(VALUE(LEFT($BP66,FIND("-",$BP66)-1)),""))</f>
        <v/>
      </c>
      <c r="BR66" t="str">
        <f t="shared" ref="BR66:BR129" si="504">IF($BP66="","",IFERROR(VALUE(MID($BP66,FIND("-",$BP66)+1,99)),""))</f>
        <v/>
      </c>
      <c r="BS66" t="str">
        <f t="shared" ref="BS66:BS129" si="505">IF($AE66="","",TRIM(IFERROR(RIGHT($AE66,LEN($AE66)-FIND("§",SUBSTITUTE($AE66," ","§",LEN($AE66)-LEN(SUBSTITUTE($AE66," ",""))))),"")))</f>
        <v/>
      </c>
      <c r="BT66" t="str">
        <f t="shared" ref="BT66:BT129" si="506">IF($BS66="","",IFERROR(VALUE(LEFT($BS66,FIND("-",$BS66)-1)),""))</f>
        <v/>
      </c>
      <c r="BU66" t="str">
        <f t="shared" ref="BU66:BU129" si="507">IF($BS66="","",IFERROR(VALUE(MID($BS66,FIND("-",$BS66)+1,99)),""))</f>
        <v/>
      </c>
      <c r="BV66" t="str">
        <f t="shared" ref="BV66:BV129" si="508">IF($AH66="","",TRIM(IFERROR(RIGHT($AH66,LEN($AH66)-FIND("§",SUBSTITUTE($AH66," ","§",LEN($AH66)-LEN(SUBSTITUTE($AH66," ",""))))),"")))</f>
        <v/>
      </c>
      <c r="BW66" t="str">
        <f t="shared" ref="BW66:BW129" si="509">IF($BV66="","",IFERROR(VALUE(LEFT($BV66,FIND("-",$BV66)-1)),""))</f>
        <v/>
      </c>
      <c r="BX66" t="str">
        <f t="shared" ref="BX66:BX129" si="510">IF($BV66="","",IFERROR(VALUE(MID($BV66,FIND("-",$BV66)+1,99)),""))</f>
        <v/>
      </c>
      <c r="BY66" t="str">
        <f t="shared" ref="BY66:BY129" si="511">IF($AK66="","",TRIM(IFERROR(RIGHT($AK66,LEN($AK66)-FIND("§",SUBSTITUTE($AK66," ","§",LEN($AK66)-LEN(SUBSTITUTE($AK66," ",""))))),"")))</f>
        <v/>
      </c>
      <c r="BZ66" t="str">
        <f t="shared" ref="BZ66:BZ129" si="512">IF($BY66="","",IFERROR(VALUE(LEFT($BY66,FIND("-",$BY66)-1)),""))</f>
        <v/>
      </c>
      <c r="CA66" t="str">
        <f t="shared" ref="CA66:CA129" si="513">IF($BY66="","",IFERROR(VALUE(MID($BY66,FIND("-",$BY66)+1,99)),""))</f>
        <v/>
      </c>
      <c r="CB66" t="str">
        <f t="shared" ref="CB66:CB129" si="514">IF($AN66="","",TRIM(IFERROR(RIGHT($AN66,LEN($AN66)-FIND("§",SUBSTITUTE($AN66," ","§",LEN($AN66)-LEN(SUBSTITUTE($AN66," ",""))))),"")))</f>
        <v/>
      </c>
      <c r="CC66" t="str">
        <f t="shared" ref="CC66:CC129" si="515">IF($CB66="","",IFERROR(VALUE(LEFT($CB66,FIND("-",$CB66)-1)),""))</f>
        <v/>
      </c>
      <c r="CD66" t="str">
        <f t="shared" ref="CD66:CD129" si="516">IF($CB66="","",IFERROR(VALUE(MID($CB66,FIND("-",$CB66)+1,99)),""))</f>
        <v/>
      </c>
      <c r="CE66" t="str">
        <f t="shared" ref="CE66:CE129" si="517">IF($AQ66="","",TRIM(IFERROR(RIGHT($AQ66,LEN($AQ66)-FIND("§",SUBSTITUTE($AQ66," ","§",LEN($AQ66)-LEN(SUBSTITUTE($AQ66," ",""))))),"")))</f>
        <v/>
      </c>
      <c r="CF66" t="str">
        <f t="shared" ref="CF66:CF129" si="518">IF($CE66="","",IFERROR(VALUE(LEFT($CE66,FIND("-",$CE66)-1)),""))</f>
        <v/>
      </c>
      <c r="CG66" t="str">
        <f t="shared" ref="CG66:CG129" si="519">IF($CE66="","",IFERROR(VALUE(MID($CE66,FIND("-",$CE66)+1,99)),""))</f>
        <v/>
      </c>
      <c r="CH66" s="2" t="s">
        <v>77</v>
      </c>
      <c r="CI66" s="2" t="s">
        <v>78</v>
      </c>
      <c r="CJ66" s="2" t="s">
        <v>79</v>
      </c>
      <c r="CK66" s="2" t="s">
        <v>80</v>
      </c>
      <c r="CL66" s="2" t="s">
        <v>81</v>
      </c>
      <c r="CM66" s="2" t="s">
        <v>82</v>
      </c>
      <c r="CN66" s="2" t="s">
        <v>83</v>
      </c>
      <c r="CO66" s="2" t="s">
        <v>84</v>
      </c>
      <c r="CP66" s="2" t="s">
        <v>85</v>
      </c>
      <c r="CQ66" s="2" t="s">
        <v>86</v>
      </c>
      <c r="CR66" s="2" t="s">
        <v>87</v>
      </c>
      <c r="CS66" s="2" t="s">
        <v>88</v>
      </c>
      <c r="CT66" s="2" t="s">
        <v>89</v>
      </c>
      <c r="CU66" s="2" t="s">
        <v>90</v>
      </c>
      <c r="CV66" s="2" t="s">
        <v>91</v>
      </c>
      <c r="CW66" s="2" t="s">
        <v>92</v>
      </c>
      <c r="CX66" s="2" t="s">
        <v>93</v>
      </c>
      <c r="CY66" s="2" t="s">
        <v>94</v>
      </c>
      <c r="CZ66" s="2" t="s">
        <v>95</v>
      </c>
      <c r="DA66" s="2" t="s">
        <v>96</v>
      </c>
      <c r="DB66" s="2" t="s">
        <v>97</v>
      </c>
      <c r="DC66" s="2" t="s">
        <v>98</v>
      </c>
      <c r="DD66" s="2" t="s">
        <v>99</v>
      </c>
      <c r="DE66" s="2" t="s">
        <v>100</v>
      </c>
      <c r="DF66" s="2" t="s">
        <v>101</v>
      </c>
      <c r="DG66" s="2" t="s">
        <v>102</v>
      </c>
      <c r="DH66" s="2" t="s">
        <v>103</v>
      </c>
      <c r="DI66" s="2" t="s">
        <v>104</v>
      </c>
      <c r="DJ66" s="2" t="s">
        <v>105</v>
      </c>
      <c r="DK66" s="2" t="s">
        <v>106</v>
      </c>
      <c r="DL66" s="2" t="s">
        <v>107</v>
      </c>
      <c r="DM66" s="2" t="s">
        <v>108</v>
      </c>
      <c r="DN66" s="2" t="s">
        <v>109</v>
      </c>
      <c r="DO66" s="2" t="s">
        <v>110</v>
      </c>
      <c r="DP66" s="2" t="s">
        <v>111</v>
      </c>
      <c r="DQ66" s="2" t="s">
        <v>112</v>
      </c>
      <c r="DR66" s="2" t="s">
        <v>113</v>
      </c>
      <c r="DS66" s="2" t="s">
        <v>114</v>
      </c>
      <c r="DT66" s="2" t="s">
        <v>115</v>
      </c>
      <c r="DU66" s="2" t="s">
        <v>116</v>
      </c>
      <c r="DV66" s="2" t="s">
        <v>117</v>
      </c>
      <c r="DW66" s="2" t="s">
        <v>118</v>
      </c>
      <c r="DX66" s="2" t="s">
        <v>119</v>
      </c>
      <c r="DY66" s="2" t="s">
        <v>120</v>
      </c>
      <c r="DZ66" s="2" t="s">
        <v>121</v>
      </c>
      <c r="EA66" s="2" t="s">
        <v>122</v>
      </c>
      <c r="EB66" s="2" t="s">
        <v>123</v>
      </c>
      <c r="EC66" s="2" t="s">
        <v>124</v>
      </c>
      <c r="ED66" s="2" t="s">
        <v>125</v>
      </c>
      <c r="EE66" s="2" t="s">
        <v>126</v>
      </c>
      <c r="EF66" s="2" t="s">
        <v>127</v>
      </c>
      <c r="EG66" s="2" t="s">
        <v>128</v>
      </c>
      <c r="EH66" s="2" t="s">
        <v>129</v>
      </c>
      <c r="EI66" s="2" t="s">
        <v>130</v>
      </c>
      <c r="EJ66" s="2" t="s">
        <v>131</v>
      </c>
      <c r="EK66" s="2" t="s">
        <v>132</v>
      </c>
      <c r="EL66" s="2" t="s">
        <v>133</v>
      </c>
      <c r="EM66" s="2" t="s">
        <v>134</v>
      </c>
      <c r="EN66" s="2" t="s">
        <v>135</v>
      </c>
      <c r="EO66" s="2" t="s">
        <v>136</v>
      </c>
      <c r="EP66" s="2" t="s">
        <v>137</v>
      </c>
      <c r="EQ66" s="2" t="s">
        <v>138</v>
      </c>
      <c r="ER66" s="2" t="s">
        <v>139</v>
      </c>
      <c r="ES66" s="2" t="s">
        <v>140</v>
      </c>
      <c r="ET66" s="2" t="s">
        <v>141</v>
      </c>
      <c r="EU66" s="2" t="s">
        <v>142</v>
      </c>
      <c r="EV66" s="2" t="s">
        <v>143</v>
      </c>
      <c r="EW66" s="2" t="s">
        <v>144</v>
      </c>
      <c r="EX66" s="2" t="s">
        <v>145</v>
      </c>
      <c r="EY66" s="2" t="s">
        <v>146</v>
      </c>
    </row>
    <row r="67" spans="1:155" ht="13.9" customHeight="1" x14ac:dyDescent="0.25">
      <c r="A67" s="7"/>
      <c r="B67" s="17"/>
      <c r="C67" s="8"/>
      <c r="D67" s="17"/>
      <c r="E67" s="8"/>
      <c r="F67" s="18">
        <v>0</v>
      </c>
      <c r="G67" s="7" t="s">
        <v>147</v>
      </c>
      <c r="H67" s="18">
        <v>0</v>
      </c>
      <c r="I67" s="19">
        <v>0</v>
      </c>
      <c r="J67" s="7" t="s">
        <v>147</v>
      </c>
      <c r="K67" s="19">
        <v>0</v>
      </c>
      <c r="L67" s="9"/>
      <c r="M67" s="3" t="str">
        <f>IF($L67="","",IF($L67="DOELPUNTENMAKERS","",IF(AND(COUNTIF(#REF!,$B67)=0,COUNTIF(#REF!,$D67)=0),"OK",IF($O67&gt;20,"LET OP: meer dan 20 items (controle onvolledig)",IF((COUNTIF($R67:$AS67,"ONZEKER")+COUNTIF($CJ67:$DK67,"ONZEKER"))&gt;0,"LET OP: scoreverloop onduidelijk (controle beperkt)",IF((IF($AT67&lt;&gt;"",$AT67&amp;", ","")&amp;IF($AU67&lt;&gt;"",$AU67&amp;", ","")&amp;IF($AV67&lt;&gt;"",$AV67&amp;", ","")&amp;IF($AW67&lt;&gt;"",$AW67&amp;", ","")&amp;IF($AX67&lt;&gt;"",$AX67&amp;", ","")&amp;IF($AY67&lt;&gt;"",$AY67&amp;", ","")&amp;IF($AZ67&lt;&gt;"",$AZ67&amp;", ","")&amp;IF($BA67&lt;&gt;"",$BA67&amp;", ","")&amp;IF($BB67&lt;&gt;"",$BB67&amp;", ","")&amp;IF($BC67&lt;&gt;"",$BC67&amp;", ","")&amp;IF($DL67&lt;&gt;"",$DL67&amp;", ","")&amp;IF($DM67&lt;&gt;"",$DM67&amp;", ","")&amp;IF($DN67&lt;&gt;"",$DN67&amp;", ","")&amp;IF($DO67&lt;&gt;"",$DO67&amp;", ","")&amp;IF($DP67&lt;&gt;"",$DP67&amp;", ","")&amp;IF($DQ67&lt;&gt;"",$DQ67&amp;", ","")&amp;IF($DR67&lt;&gt;"",$DR67&amp;", ","")&amp;IF($DS67&lt;&gt;"",$DS67&amp;", ","")&amp;IF($DT67&lt;&gt;"",$DT67&amp;", ","")&amp;IF($DU67&lt;&gt;"",$DU67&amp;", ",""))="","OK","Onbekend: "&amp;LEFT((IF($AT67&lt;&gt;"",$AT67&amp;", ","")&amp;IF($AU67&lt;&gt;"",$AU67&amp;", ","")&amp;IF($AV67&lt;&gt;"",$AV67&amp;", ","")&amp;IF($AW67&lt;&gt;"",$AW67&amp;", ","")&amp;IF($AX67&lt;&gt;"",$AX67&amp;", ","")&amp;IF($AY67&lt;&gt;"",$AY67&amp;", ","")&amp;IF($AZ67&lt;&gt;"",$AZ67&amp;", ","")&amp;IF($BA67&lt;&gt;"",$BA67&amp;", ","")&amp;IF($BB67&lt;&gt;"",$BB67&amp;", ","")&amp;IF($BC67&lt;&gt;"",$BC67&amp;", ","")&amp;IF($DL67&lt;&gt;"",$DL67&amp;", ","")&amp;IF($DM67&lt;&gt;"",$DM67&amp;", ","")&amp;IF($DN67&lt;&gt;"",$DN67&amp;", ","")&amp;IF($DO67&lt;&gt;"",$DO67&amp;", ","")&amp;IF($DP67&lt;&gt;"",$DP67&amp;", ","")&amp;IF($DQ67&lt;&gt;"",$DQ67&amp;", ","")&amp;IF($DR67&lt;&gt;"",$DR67&amp;", ","")&amp;IF($DS67&lt;&gt;"",$DS67&amp;", ","")&amp;IF($DT67&lt;&gt;"",$DT67&amp;", ","")&amp;IF($DU67&lt;&gt;"",$DU67&amp;", ","")),LEN((IF($AT67&lt;&gt;"",$AT67&amp;", ","")&amp;IF($AU67&lt;&gt;"",$AU67&amp;", ","")&amp;IF($AV67&lt;&gt;"",$AV67&amp;", ","")&amp;IF($AW67&lt;&gt;"",$AW67&amp;", ","")&amp;IF($AX67&lt;&gt;"",$AX67&amp;", ","")&amp;IF($AY67&lt;&gt;"",$AY67&amp;", ","")&amp;IF($AZ67&lt;&gt;"",$AZ67&amp;", ","")&amp;IF($BA67&lt;&gt;"",$BA67&amp;", ","")&amp;IF($BB67&lt;&gt;"",$BB67&amp;", ","")&amp;IF($BC67&lt;&gt;"",$BC67&amp;", ","")&amp;IF($DL67&lt;&gt;"",$DL67&amp;", ","")&amp;IF($DM67&lt;&gt;"",$DM67&amp;", ","")&amp;IF($DN67&lt;&gt;"",$DN67&amp;", ","")&amp;IF($DO67&lt;&gt;"",$DO67&amp;", ","")&amp;IF($DP67&lt;&gt;"",$DP67&amp;", ","")&amp;IF($DQ67&lt;&gt;"",$DQ67&amp;", ","")&amp;IF($DR67&lt;&gt;"",$DR67&amp;", ","")&amp;IF($DS67&lt;&gt;"",$DS67&amp;", ","")&amp;IF($DT67&lt;&gt;"",$DT67&amp;", ","")&amp;IF($DU67&lt;&gt;"",$DU67&amp;", ","")))-2)))))))</f>
        <v/>
      </c>
      <c r="N67" t="str">
        <f t="shared" ref="N67:N78" si="520">IF($L67="","",TRIM(IF(RIGHT(SUBSTITUTE($L67,CHAR(160)," "),1)=".",LEFT(SUBSTITUTE($L67,CHAR(160)," "),LEN(SUBSTITUTE($L67,CHAR(160)," "))-1),SUBSTITUTE($L67,CHAR(160)," "))))</f>
        <v/>
      </c>
      <c r="O67" t="str">
        <f t="shared" ref="O67:O78" si="521">IF($N67="","",LEN($N67)-LEN(SUBSTITUTE($N67,",",""))+1)</f>
        <v/>
      </c>
      <c r="P67" t="str">
        <f t="shared" ref="P67:P78" si="522">IF($N67="","",TRIM(MID(SUBSTITUTE($N67,",",REPT(" ",200)),1,200)))</f>
        <v/>
      </c>
      <c r="Q67" t="str">
        <f t="shared" ref="Q67:Q78" si="523">IF(P67="","",TRIM(IFERROR(LEFT(P67,FIND("§",SUBSTITUTE(P67," ","§",LEN(P67)-LEN(SUBSTITUTE(P67," ",""))))-1),P67)))</f>
        <v/>
      </c>
      <c r="R67" t="str">
        <f>IF($Q67="","",IF(OR($BE67="",$BF67=""),"ONZEKER",IF(AND($BE67=0+1,$BF67=0),IF(OR(COUNTIF(#REF!,$B67)&gt;0,COUNTIF(#REF!,$B67)=0),"SKIP",IF(COUNTIFS(#REF!,$B67,#REF!,$Q67)&gt;0,"OK","ONBEKEND")),IF(AND($BE67=0,$BF67=0+1),IF(OR(COUNTIF(#REF!,$D67)&gt;0,COUNTIF(#REF!,$D67)=0),"SKIP",IF(COUNTIFS(#REF!,$D67,#REF!,$Q67)&gt;0,"OK","ONBEKEND")),"ONZEKER"))))</f>
        <v/>
      </c>
      <c r="S67" t="str">
        <f t="shared" ref="S67:S78" si="524">IF($N67="","",TRIM(MID(SUBSTITUTE($N67,",",REPT(" ",200)),201,200)))</f>
        <v/>
      </c>
      <c r="T67" t="str">
        <f t="shared" ref="T67:T78" si="525">IF(S67="","",TRIM(IFERROR(LEFT(S67,FIND("§",SUBSTITUTE(S67," ","§",LEN(S67)-LEN(SUBSTITUTE(S67," ",""))))-1),S67)))</f>
        <v/>
      </c>
      <c r="U67" t="str">
        <f>IF($T67="","",IF(OR($BH67="",$BI67=""),"ONZEKER",IF(OR($BE67="",$BF67=""),"ONZEKER",IF(AND($BH67=$BE67+1,$BI67=$BF67),IF(OR(COUNTIF(#REF!,$B67)&gt;0,COUNTIF(#REF!,$B67)=0),"SKIP",IF(COUNTIFS(#REF!,$B67,#REF!,$T67)&gt;0,"OK","ONBEKEND")),IF(AND($BH67=$BE67,$BI67=$BF67+1),IF(OR(COUNTIF(#REF!,$D67)&gt;0,COUNTIF(#REF!,$D67)=0),"SKIP",IF(COUNTIFS(#REF!,$D67,#REF!,$T67)&gt;0,"OK","ONBEKEND")),"ONZEKER")))))</f>
        <v/>
      </c>
      <c r="V67" t="str">
        <f t="shared" ref="V67:V78" si="526">IF($N67="","",TRIM(MID(SUBSTITUTE($N67,",",REPT(" ",200)),401,200)))</f>
        <v/>
      </c>
      <c r="W67" t="str">
        <f t="shared" ref="W67:W78" si="527">IF(V67="","",TRIM(IFERROR(LEFT(V67,FIND("§",SUBSTITUTE(V67," ","§",LEN(V67)-LEN(SUBSTITUTE(V67," ",""))))-1),V67)))</f>
        <v/>
      </c>
      <c r="X67" t="str">
        <f>IF($W67="","",IF(OR($BK67="",$BL67=""),"ONZEKER",IF(OR($BH67="",$BI67=""),"ONZEKER",IF(AND($BK67=$BH67+1,$BL67=$BI67),IF(OR(COUNTIF(#REF!,$B67)&gt;0,COUNTIF(#REF!,$B67)=0),"SKIP",IF(COUNTIFS(#REF!,$B67,#REF!,$W67)&gt;0,"OK","ONBEKEND")),IF(AND($BK67=$BH67,$BL67=$BI67+1),IF(OR(COUNTIF(#REF!,$D67)&gt;0,COUNTIF(#REF!,$D67)=0),"SKIP",IF(COUNTIFS(#REF!,$D67,#REF!,$W67)&gt;0,"OK","ONBEKEND")),"ONZEKER")))))</f>
        <v/>
      </c>
      <c r="Y67" t="str">
        <f t="shared" ref="Y67:Y78" si="528">IF($N67="","",TRIM(MID(SUBSTITUTE($N67,",",REPT(" ",200)),601,200)))</f>
        <v/>
      </c>
      <c r="Z67" t="str">
        <f t="shared" ref="Z67:Z78" si="529">IF(Y67="","",TRIM(IFERROR(LEFT(Y67,FIND("§",SUBSTITUTE(Y67," ","§",LEN(Y67)-LEN(SUBSTITUTE(Y67," ",""))))-1),Y67)))</f>
        <v/>
      </c>
      <c r="AA67" t="str">
        <f>IF($Z67="","",IF(OR($BN67="",$BO67=""),"ONZEKER",IF(OR($BK67="",$BL67=""),"ONZEKER",IF(AND($BN67=$BK67+1,$BO67=$BL67),IF(OR(COUNTIF(#REF!,$B67)&gt;0,COUNTIF(#REF!,$B67)=0),"SKIP",IF(COUNTIFS(#REF!,$B67,#REF!,$Z67)&gt;0,"OK","ONBEKEND")),IF(AND($BN67=$BK67,$BO67=$BL67+1),IF(OR(COUNTIF(#REF!,$D67)&gt;0,COUNTIF(#REF!,$D67)=0),"SKIP",IF(COUNTIFS(#REF!,$D67,#REF!,$Z67)&gt;0,"OK","ONBEKEND")),"ONZEKER")))))</f>
        <v/>
      </c>
      <c r="AB67" t="str">
        <f t="shared" ref="AB67:AB78" si="530">IF($N67="","",TRIM(MID(SUBSTITUTE($N67,",",REPT(" ",200)),801,200)))</f>
        <v/>
      </c>
      <c r="AC67" t="str">
        <f t="shared" ref="AC67:AC78" si="531">IF(AB67="","",TRIM(IFERROR(LEFT(AB67,FIND("§",SUBSTITUTE(AB67," ","§",LEN(AB67)-LEN(SUBSTITUTE(AB67," ",""))))-1),AB67)))</f>
        <v/>
      </c>
      <c r="AD67" t="str">
        <f>IF($AC67="","",IF(OR($BQ67="",$BR67=""),"ONZEKER",IF(OR($BN67="",$BO67=""),"ONZEKER",IF(AND($BQ67=$BN67+1,$BR67=$BO67),IF(OR(COUNTIF(#REF!,$B67)&gt;0,COUNTIF(#REF!,$B67)=0),"SKIP",IF(COUNTIFS(#REF!,$B67,#REF!,$AC67)&gt;0,"OK","ONBEKEND")),IF(AND($BQ67=$BN67,$BR67=$BO67+1),IF(OR(COUNTIF(#REF!,$D67)&gt;0,COUNTIF(#REF!,$D67)=0),"SKIP",IF(COUNTIFS(#REF!,$D67,#REF!,$AC67)&gt;0,"OK","ONBEKEND")),"ONZEKER")))))</f>
        <v/>
      </c>
      <c r="AE67" t="str">
        <f t="shared" ref="AE67:AE78" si="532">IF($N67="","",TRIM(MID(SUBSTITUTE($N67,",",REPT(" ",200)),1001,200)))</f>
        <v/>
      </c>
      <c r="AF67" t="str">
        <f t="shared" ref="AF67:AF78" si="533">IF(AE67="","",TRIM(IFERROR(LEFT(AE67,FIND("§",SUBSTITUTE(AE67," ","§",LEN(AE67)-LEN(SUBSTITUTE(AE67," ",""))))-1),AE67)))</f>
        <v/>
      </c>
      <c r="AG67" t="str">
        <f>IF($AF67="","",IF(OR($BT67="",$BU67=""),"ONZEKER",IF(OR($BQ67="",$BR67=""),"ONZEKER",IF(AND($BT67=$BQ67+1,$BU67=$BR67),IF(OR(COUNTIF(#REF!,$B67)&gt;0,COUNTIF(#REF!,$B67)=0),"SKIP",IF(COUNTIFS(#REF!,$B67,#REF!,$AF67)&gt;0,"OK","ONBEKEND")),IF(AND($BT67=$BQ67,$BU67=$BR67+1),IF(OR(COUNTIF(#REF!,$D67)&gt;0,COUNTIF(#REF!,$D67)=0),"SKIP",IF(COUNTIFS(#REF!,$D67,#REF!,$AF67)&gt;0,"OK","ONBEKEND")),"ONZEKER")))))</f>
        <v/>
      </c>
      <c r="AH67" t="str">
        <f t="shared" ref="AH67:AH78" si="534">IF($N67="","",TRIM(MID(SUBSTITUTE($N67,",",REPT(" ",200)),1201,200)))</f>
        <v/>
      </c>
      <c r="AI67" t="str">
        <f t="shared" ref="AI67:AI78" si="535">IF(AH67="","",TRIM(IFERROR(LEFT(AH67,FIND("§",SUBSTITUTE(AH67," ","§",LEN(AH67)-LEN(SUBSTITUTE(AH67," ",""))))-1),AH67)))</f>
        <v/>
      </c>
      <c r="AJ67" t="str">
        <f>IF($AI67="","",IF(OR($BW67="",$BX67=""),"ONZEKER",IF(OR($BT67="",$BU67=""),"ONZEKER",IF(AND($BW67=$BT67+1,$BX67=$BU67),IF(OR(COUNTIF(#REF!,$B67)&gt;0,COUNTIF(#REF!,$B67)=0),"SKIP",IF(COUNTIFS(#REF!,$B67,#REF!,$AI67)&gt;0,"OK","ONBEKEND")),IF(AND($BW67=$BT67,$BX67=$BU67+1),IF(OR(COUNTIF(#REF!,$D67)&gt;0,COUNTIF(#REF!,$D67)=0),"SKIP",IF(COUNTIFS(#REF!,$D67,#REF!,$AI67)&gt;0,"OK","ONBEKEND")),"ONZEKER")))))</f>
        <v/>
      </c>
      <c r="AK67" t="str">
        <f t="shared" ref="AK67:AK78" si="536">IF($N67="","",TRIM(MID(SUBSTITUTE($N67,",",REPT(" ",200)),1401,200)))</f>
        <v/>
      </c>
      <c r="AL67" t="str">
        <f t="shared" ref="AL67:AL78" si="537">IF(AK67="","",TRIM(IFERROR(LEFT(AK67,FIND("§",SUBSTITUTE(AK67," ","§",LEN(AK67)-LEN(SUBSTITUTE(AK67," ",""))))-1),AK67)))</f>
        <v/>
      </c>
      <c r="AM67" t="str">
        <f>IF($AL67="","",IF(OR($BZ67="",$CA67=""),"ONZEKER",IF(OR($BW67="",$BX67=""),"ONZEKER",IF(AND($BZ67=$BW67+1,$CA67=$BX67),IF(OR(COUNTIF(#REF!,$B67)&gt;0,COUNTIF(#REF!,$B67)=0),"SKIP",IF(COUNTIFS(#REF!,$B67,#REF!,$AL67)&gt;0,"OK","ONBEKEND")),IF(AND($BZ67=$BW67,$CA67=$BX67+1),IF(OR(COUNTIF(#REF!,$D67)&gt;0,COUNTIF(#REF!,$D67)=0),"SKIP",IF(COUNTIFS(#REF!,$D67,#REF!,$AL67)&gt;0,"OK","ONBEKEND")),"ONZEKER")))))</f>
        <v/>
      </c>
      <c r="AN67" t="str">
        <f t="shared" ref="AN67:AN78" si="538">IF($N67="","",TRIM(MID(SUBSTITUTE($N67,",",REPT(" ",200)),1601,200)))</f>
        <v/>
      </c>
      <c r="AO67" t="str">
        <f t="shared" ref="AO67:AO78" si="539">IF(AN67="","",TRIM(IFERROR(LEFT(AN67,FIND("§",SUBSTITUTE(AN67," ","§",LEN(AN67)-LEN(SUBSTITUTE(AN67," ",""))))-1),AN67)))</f>
        <v/>
      </c>
      <c r="AP67" t="str">
        <f>IF($AO67="","",IF(OR($CC67="",$CD67=""),"ONZEKER",IF(OR($BZ67="",$CA67=""),"ONZEKER",IF(AND($CC67=$BZ67+1,$CD67=$CA67),IF(OR(COUNTIF(#REF!,$B67)&gt;0,COUNTIF(#REF!,$B67)=0),"SKIP",IF(COUNTIFS(#REF!,$B67,#REF!,$AO67)&gt;0,"OK","ONBEKEND")),IF(AND($CC67=$BZ67,$CD67=$CA67+1),IF(OR(COUNTIF(#REF!,$D67)&gt;0,COUNTIF(#REF!,$D67)=0),"SKIP",IF(COUNTIFS(#REF!,$D67,#REF!,$AO67)&gt;0,"OK","ONBEKEND")),"ONZEKER")))))</f>
        <v/>
      </c>
      <c r="AQ67" t="str">
        <f t="shared" ref="AQ67:AQ78" si="540">IF($N67="","",TRIM(MID(SUBSTITUTE($N67,",",REPT(" ",200)),1801,200)))</f>
        <v/>
      </c>
      <c r="AR67" t="str">
        <f t="shared" ref="AR67:AR78" si="541">IF(AQ67="","",TRIM(IFERROR(LEFT(AQ67,FIND("§",SUBSTITUTE(AQ67," ","§",LEN(AQ67)-LEN(SUBSTITUTE(AQ67," ",""))))-1),AQ67)))</f>
        <v/>
      </c>
      <c r="AS67" t="str">
        <f>IF($AR67="","",IF(OR($CF67="",$CG67=""),"ONZEKER",IF(OR($CC67="",$CD67=""),"ONZEKER",IF(AND($CF67=$CC67+1,$CG67=$CD67),IF(OR(COUNTIF(#REF!,$B67)&gt;0,COUNTIF(#REF!,$B67)=0),"SKIP",IF(COUNTIFS(#REF!,$B67,#REF!,$AR67)&gt;0,"OK","ONBEKEND")),IF(AND($CF67=$CC67,$CG67=$CD67+1),IF(OR(COUNTIF(#REF!,$D67)&gt;0,COUNTIF(#REF!,$D67)=0),"SKIP",IF(COUNTIFS(#REF!,$D67,#REF!,$AR67)&gt;0,"OK","ONBEKEND")),"ONZEKER")))))</f>
        <v/>
      </c>
      <c r="AT67" t="str">
        <f t="shared" ref="AT67:AT78" si="542">IF(R67="ONBEKEND",Q67,"")</f>
        <v/>
      </c>
      <c r="AU67" t="str">
        <f t="shared" ref="AU67:AU78" si="543">IF(U67="ONBEKEND",T67,"")</f>
        <v/>
      </c>
      <c r="AV67" t="str">
        <f t="shared" ref="AV67:AV78" si="544">IF(X67="ONBEKEND",W67,"")</f>
        <v/>
      </c>
      <c r="AW67" t="str">
        <f t="shared" ref="AW67:AW78" si="545">IF(AA67="ONBEKEND",Z67,"")</f>
        <v/>
      </c>
      <c r="AX67" t="str">
        <f t="shared" ref="AX67:AX78" si="546">IF(AD67="ONBEKEND",AC67,"")</f>
        <v/>
      </c>
      <c r="AY67" t="str">
        <f t="shared" ref="AY67:AY78" si="547">IF(AG67="ONBEKEND",AF67,"")</f>
        <v/>
      </c>
      <c r="AZ67" t="str">
        <f t="shared" ref="AZ67:AZ78" si="548">IF(AJ67="ONBEKEND",AI67,"")</f>
        <v/>
      </c>
      <c r="BA67" t="str">
        <f t="shared" ref="BA67:BA78" si="549">IF(AM67="ONBEKEND",AL67,"")</f>
        <v/>
      </c>
      <c r="BB67" t="str">
        <f t="shared" ref="BB67:BB78" si="550">IF(AP67="ONBEKEND",AO67,"")</f>
        <v/>
      </c>
      <c r="BC67" t="str">
        <f t="shared" ref="BC67:BC78" si="551">IF(AS67="ONBEKEND",AR67,"")</f>
        <v/>
      </c>
      <c r="BD67" t="str">
        <f t="shared" si="490"/>
        <v/>
      </c>
      <c r="BE67" t="str">
        <f t="shared" si="491"/>
        <v/>
      </c>
      <c r="BF67" t="str">
        <f t="shared" si="492"/>
        <v/>
      </c>
      <c r="BG67" t="str">
        <f t="shared" si="493"/>
        <v/>
      </c>
      <c r="BH67" t="str">
        <f t="shared" si="494"/>
        <v/>
      </c>
      <c r="BI67" t="str">
        <f t="shared" si="495"/>
        <v/>
      </c>
      <c r="BJ67" t="str">
        <f t="shared" si="496"/>
        <v/>
      </c>
      <c r="BK67" t="str">
        <f t="shared" si="497"/>
        <v/>
      </c>
      <c r="BL67" t="str">
        <f t="shared" si="498"/>
        <v/>
      </c>
      <c r="BM67" t="str">
        <f t="shared" si="499"/>
        <v/>
      </c>
      <c r="BN67" t="str">
        <f t="shared" si="500"/>
        <v/>
      </c>
      <c r="BO67" t="str">
        <f t="shared" si="501"/>
        <v/>
      </c>
      <c r="BP67" t="str">
        <f t="shared" si="502"/>
        <v/>
      </c>
      <c r="BQ67" t="str">
        <f t="shared" si="503"/>
        <v/>
      </c>
      <c r="BR67" t="str">
        <f t="shared" si="504"/>
        <v/>
      </c>
      <c r="BS67" t="str">
        <f t="shared" si="505"/>
        <v/>
      </c>
      <c r="BT67" t="str">
        <f t="shared" si="506"/>
        <v/>
      </c>
      <c r="BU67" t="str">
        <f t="shared" si="507"/>
        <v/>
      </c>
      <c r="BV67" t="str">
        <f t="shared" si="508"/>
        <v/>
      </c>
      <c r="BW67" t="str">
        <f t="shared" si="509"/>
        <v/>
      </c>
      <c r="BX67" t="str">
        <f t="shared" si="510"/>
        <v/>
      </c>
      <c r="BY67" t="str">
        <f t="shared" si="511"/>
        <v/>
      </c>
      <c r="BZ67" t="str">
        <f t="shared" si="512"/>
        <v/>
      </c>
      <c r="CA67" t="str">
        <f t="shared" si="513"/>
        <v/>
      </c>
      <c r="CB67" t="str">
        <f t="shared" si="514"/>
        <v/>
      </c>
      <c r="CC67" t="str">
        <f t="shared" si="515"/>
        <v/>
      </c>
      <c r="CD67" t="str">
        <f t="shared" si="516"/>
        <v/>
      </c>
      <c r="CE67" t="str">
        <f t="shared" si="517"/>
        <v/>
      </c>
      <c r="CF67" t="str">
        <f t="shared" si="518"/>
        <v/>
      </c>
      <c r="CG67" t="str">
        <f t="shared" si="519"/>
        <v/>
      </c>
      <c r="CH67" t="str">
        <f t="shared" ref="CH67:CH78" si="552">IF($N67="","",TRIM(MID(SUBSTITUTE($N67,",",REPT(" ",200)),2001,200)))</f>
        <v/>
      </c>
      <c r="CI67" t="str">
        <f t="shared" ref="CI67:CI78" si="553">IF(CH67="","",TRIM(IFERROR(LEFT(CH67,FIND("§",SUBSTITUTE(CH67," ","§",LEN(CH67)-LEN(SUBSTITUTE(CH67," ",""))))-1),CH67)))</f>
        <v/>
      </c>
      <c r="CJ67" t="str">
        <f>IF($CI67="","",IF(OR($DW67="",$DX67=""),"ONZEKER",IF(OR($CF67="",$CG67=""),"ONZEKER",IF(AND($DW67=$CF67+1,$DX67=$CG67),IF(OR(COUNTIF(#REF!,$B67)&gt;0,COUNTIF(#REF!,$B67)=0),"SKIP",IF(COUNTIFS(#REF!,$B67,#REF!,$CI67)&gt;0,"OK","ONBEKEND")),IF(AND($DW67=$CF67,$DX67=$CG67+1),IF(OR(COUNTIF(#REF!,$D67)&gt;0,COUNTIF(#REF!,$D67)=0),"SKIP",IF(COUNTIFS(#REF!,$D67,#REF!,$CI67)&gt;0,"OK","ONBEKEND")),"ONZEKER")))))</f>
        <v/>
      </c>
      <c r="CK67" t="str">
        <f t="shared" ref="CK67:CK78" si="554">IF($N67="","",TRIM(MID(SUBSTITUTE($N67,",",REPT(" ",200)),2201,200)))</f>
        <v/>
      </c>
      <c r="CL67" t="str">
        <f t="shared" ref="CL67:CL78" si="555">IF(CK67="","",TRIM(IFERROR(LEFT(CK67,FIND("§",SUBSTITUTE(CK67," ","§",LEN(CK67)-LEN(SUBSTITUTE(CK67," ",""))))-1),CK67)))</f>
        <v/>
      </c>
      <c r="CM67" t="str">
        <f>IF($CL67="","",IF(OR($DZ67="",$EA67=""),"ONZEKER",IF(OR($DW67="",$DX67=""),"ONZEKER",IF(AND($DZ67=$DW67+1,$EA67=$DX67),IF(OR(COUNTIF(#REF!,$B67)&gt;0,COUNTIF(#REF!,$B67)=0),"SKIP",IF(COUNTIFS(#REF!,$B67,#REF!,$CL67)&gt;0,"OK","ONBEKEND")),IF(AND($DZ67=$DW67,$EA67=$DX67+1),IF(OR(COUNTIF(#REF!,$D67)&gt;0,COUNTIF(#REF!,$D67)=0),"SKIP",IF(COUNTIFS(#REF!,$D67,#REF!,$CL67)&gt;0,"OK","ONBEKEND")),"ONZEKER")))))</f>
        <v/>
      </c>
      <c r="CN67" t="str">
        <f t="shared" ref="CN67:CN78" si="556">IF($N67="","",TRIM(MID(SUBSTITUTE($N67,",",REPT(" ",200)),2401,200)))</f>
        <v/>
      </c>
      <c r="CO67" t="str">
        <f t="shared" ref="CO67:CO78" si="557">IF(CN67="","",TRIM(IFERROR(LEFT(CN67,FIND("§",SUBSTITUTE(CN67," ","§",LEN(CN67)-LEN(SUBSTITUTE(CN67," ",""))))-1),CN67)))</f>
        <v/>
      </c>
      <c r="CP67" t="str">
        <f>IF($CO67="","",IF(OR($EC67="",$ED67=""),"ONZEKER",IF(OR($DZ67="",$EA67=""),"ONZEKER",IF(AND($EC67=$DZ67+1,$ED67=$EA67),IF(OR(COUNTIF(#REF!,$B67)&gt;0,COUNTIF(#REF!,$B67)=0),"SKIP",IF(COUNTIFS(#REF!,$B67,#REF!,$CO67)&gt;0,"OK","ONBEKEND")),IF(AND($EC67=$DZ67,$ED67=$EA67+1),IF(OR(COUNTIF(#REF!,$D67)&gt;0,COUNTIF(#REF!,$D67)=0),"SKIP",IF(COUNTIFS(#REF!,$D67,#REF!,$CO67)&gt;0,"OK","ONBEKEND")),"ONZEKER")))))</f>
        <v/>
      </c>
      <c r="CQ67" t="str">
        <f t="shared" ref="CQ67:CQ78" si="558">IF($N67="","",TRIM(MID(SUBSTITUTE($N67,",",REPT(" ",200)),2601,200)))</f>
        <v/>
      </c>
      <c r="CR67" t="str">
        <f t="shared" ref="CR67:CR78" si="559">IF(CQ67="","",TRIM(IFERROR(LEFT(CQ67,FIND("§",SUBSTITUTE(CQ67," ","§",LEN(CQ67)-LEN(SUBSTITUTE(CQ67," ",""))))-1),CQ67)))</f>
        <v/>
      </c>
      <c r="CS67" t="str">
        <f>IF($CR67="","",IF(OR($EF67="",$EG67=""),"ONZEKER",IF(OR($EC67="",$ED67=""),"ONZEKER",IF(AND($EF67=$EC67+1,$EG67=$ED67),IF(OR(COUNTIF(#REF!,$B67)&gt;0,COUNTIF(#REF!,$B67)=0),"SKIP",IF(COUNTIFS(#REF!,$B67,#REF!,$CR67)&gt;0,"OK","ONBEKEND")),IF(AND($EF67=$EC67,$EG67=$ED67+1),IF(OR(COUNTIF(#REF!,$D67)&gt;0,COUNTIF(#REF!,$D67)=0),"SKIP",IF(COUNTIFS(#REF!,$D67,#REF!,$CR67)&gt;0,"OK","ONBEKEND")),"ONZEKER")))))</f>
        <v/>
      </c>
      <c r="CT67" t="str">
        <f t="shared" ref="CT67:CT78" si="560">IF($N67="","",TRIM(MID(SUBSTITUTE($N67,",",REPT(" ",200)),2801,200)))</f>
        <v/>
      </c>
      <c r="CU67" t="str">
        <f t="shared" ref="CU67:CU78" si="561">IF(CT67="","",TRIM(IFERROR(LEFT(CT67,FIND("§",SUBSTITUTE(CT67," ","§",LEN(CT67)-LEN(SUBSTITUTE(CT67," ",""))))-1),CT67)))</f>
        <v/>
      </c>
      <c r="CV67" t="str">
        <f>IF($CU67="","",IF(OR($EI67="",$EJ67=""),"ONZEKER",IF(OR($EF67="",$EG67=""),"ONZEKER",IF(AND($EI67=$EF67+1,$EJ67=$EG67),IF(OR(COUNTIF(#REF!,$B67)&gt;0,COUNTIF(#REF!,$B67)=0),"SKIP",IF(COUNTIFS(#REF!,$B67,#REF!,$CU67)&gt;0,"OK","ONBEKEND")),IF(AND($EI67=$EF67,$EJ67=$EG67+1),IF(OR(COUNTIF(#REF!,$D67)&gt;0,COUNTIF(#REF!,$D67)=0),"SKIP",IF(COUNTIFS(#REF!,$D67,#REF!,$CU67)&gt;0,"OK","ONBEKEND")),"ONZEKER")))))</f>
        <v/>
      </c>
      <c r="CW67" t="str">
        <f t="shared" ref="CW67:CW78" si="562">IF($N67="","",TRIM(MID(SUBSTITUTE($N67,",",REPT(" ",200)),3001,200)))</f>
        <v/>
      </c>
      <c r="CX67" t="str">
        <f t="shared" ref="CX67:CX78" si="563">IF(CW67="","",TRIM(IFERROR(LEFT(CW67,FIND("§",SUBSTITUTE(CW67," ","§",LEN(CW67)-LEN(SUBSTITUTE(CW67," ",""))))-1),CW67)))</f>
        <v/>
      </c>
      <c r="CY67" t="str">
        <f>IF($CX67="","",IF(OR($EL67="",$EM67=""),"ONZEKER",IF(OR($EI67="",$EJ67=""),"ONZEKER",IF(AND($EL67=$EI67+1,$EM67=$EJ67),IF(OR(COUNTIF(#REF!,$B67)&gt;0,COUNTIF(#REF!,$B67)=0),"SKIP",IF(COUNTIFS(#REF!,$B67,#REF!,$CX67)&gt;0,"OK","ONBEKEND")),IF(AND($EL67=$EI67,$EM67=$EJ67+1),IF(OR(COUNTIF(#REF!,$D67)&gt;0,COUNTIF(#REF!,$D67)=0),"SKIP",IF(COUNTIFS(#REF!,$D67,#REF!,$CX67)&gt;0,"OK","ONBEKEND")),"ONZEKER")))))</f>
        <v/>
      </c>
      <c r="CZ67" t="str">
        <f t="shared" ref="CZ67:CZ78" si="564">IF($N67="","",TRIM(MID(SUBSTITUTE($N67,",",REPT(" ",200)),3201,200)))</f>
        <v/>
      </c>
      <c r="DA67" t="str">
        <f t="shared" ref="DA67:DA78" si="565">IF(CZ67="","",TRIM(IFERROR(LEFT(CZ67,FIND("§",SUBSTITUTE(CZ67," ","§",LEN(CZ67)-LEN(SUBSTITUTE(CZ67," ",""))))-1),CZ67)))</f>
        <v/>
      </c>
      <c r="DB67" t="str">
        <f>IF($DA67="","",IF(OR($EO67="",$EP67=""),"ONZEKER",IF(OR($EL67="",$EM67=""),"ONZEKER",IF(AND($EO67=$EL67+1,$EP67=$EM67),IF(OR(COUNTIF(#REF!,$B67)&gt;0,COUNTIF(#REF!,$B67)=0),"SKIP",IF(COUNTIFS(#REF!,$B67,#REF!,$DA67)&gt;0,"OK","ONBEKEND")),IF(AND($EO67=$EL67,$EP67=$EM67+1),IF(OR(COUNTIF(#REF!,$D67)&gt;0,COUNTIF(#REF!,$D67)=0),"SKIP",IF(COUNTIFS(#REF!,$D67,#REF!,$DA67)&gt;0,"OK","ONBEKEND")),"ONZEKER")))))</f>
        <v/>
      </c>
      <c r="DC67" t="str">
        <f t="shared" ref="DC67:DC78" si="566">IF($N67="","",TRIM(MID(SUBSTITUTE($N67,",",REPT(" ",200)),3401,200)))</f>
        <v/>
      </c>
      <c r="DD67" t="str">
        <f t="shared" ref="DD67:DD78" si="567">IF(DC67="","",TRIM(IFERROR(LEFT(DC67,FIND("§",SUBSTITUTE(DC67," ","§",LEN(DC67)-LEN(SUBSTITUTE(DC67," ",""))))-1),DC67)))</f>
        <v/>
      </c>
      <c r="DE67" t="str">
        <f>IF($DD67="","",IF(OR($ER67="",$ES67=""),"ONZEKER",IF(OR($EO67="",$EP67=""),"ONZEKER",IF(AND($ER67=$EO67+1,$ES67=$EP67),IF(OR(COUNTIF(#REF!,$B67)&gt;0,COUNTIF(#REF!,$B67)=0),"SKIP",IF(COUNTIFS(#REF!,$B67,#REF!,$DD67)&gt;0,"OK","ONBEKEND")),IF(AND($ER67=$EO67,$ES67=$EP67+1),IF(OR(COUNTIF(#REF!,$D67)&gt;0,COUNTIF(#REF!,$D67)=0),"SKIP",IF(COUNTIFS(#REF!,$D67,#REF!,$DD67)&gt;0,"OK","ONBEKEND")),"ONZEKER")))))</f>
        <v/>
      </c>
      <c r="DF67" t="str">
        <f t="shared" ref="DF67:DF78" si="568">IF($N67="","",TRIM(MID(SUBSTITUTE($N67,",",REPT(" ",200)),3601,200)))</f>
        <v/>
      </c>
      <c r="DG67" t="str">
        <f t="shared" ref="DG67:DG78" si="569">IF(DF67="","",TRIM(IFERROR(LEFT(DF67,FIND("§",SUBSTITUTE(DF67," ","§",LEN(DF67)-LEN(SUBSTITUTE(DF67," ",""))))-1),DF67)))</f>
        <v/>
      </c>
      <c r="DH67" t="str">
        <f>IF($DG67="","",IF(OR($EU67="",$EV67=""),"ONZEKER",IF(OR($ER67="",$ES67=""),"ONZEKER",IF(AND($EU67=$ER67+1,$EV67=$ES67),IF(OR(COUNTIF(#REF!,$B67)&gt;0,COUNTIF(#REF!,$B67)=0),"SKIP",IF(COUNTIFS(#REF!,$B67,#REF!,$DG67)&gt;0,"OK","ONBEKEND")),IF(AND($EU67=$ER67,$EV67=$ES67+1),IF(OR(COUNTIF(#REF!,$D67)&gt;0,COUNTIF(#REF!,$D67)=0),"SKIP",IF(COUNTIFS(#REF!,$D67,#REF!,$DG67)&gt;0,"OK","ONBEKEND")),"ONZEKER")))))</f>
        <v/>
      </c>
      <c r="DI67" t="str">
        <f t="shared" ref="DI67:DI78" si="570">IF($N67="","",TRIM(MID(SUBSTITUTE($N67,",",REPT(" ",200)),3801,200)))</f>
        <v/>
      </c>
      <c r="DJ67" t="str">
        <f t="shared" ref="DJ67:DJ78" si="571">IF(DI67="","",TRIM(IFERROR(LEFT(DI67,FIND("§",SUBSTITUTE(DI67," ","§",LEN(DI67)-LEN(SUBSTITUTE(DI67," ",""))))-1),DI67)))</f>
        <v/>
      </c>
      <c r="DK67" t="str">
        <f>IF($DJ67="","",IF(OR($EX67="",$EY67=""),"ONZEKER",IF(OR($EU67="",$EV67=""),"ONZEKER",IF(AND($EX67=$EU67+1,$EY67=$EV67),IF(OR(COUNTIF(#REF!,$B67)&gt;0,COUNTIF(#REF!,$B67)=0),"SKIP",IF(COUNTIFS(#REF!,$B67,#REF!,$DJ67)&gt;0,"OK","ONBEKEND")),IF(AND($EX67=$EU67,$EY67=$EV67+1),IF(OR(COUNTIF(#REF!,$D67)&gt;0,COUNTIF(#REF!,$D67)=0),"SKIP",IF(COUNTIFS(#REF!,$D67,#REF!,$DJ67)&gt;0,"OK","ONBEKEND")),"ONZEKER")))))</f>
        <v/>
      </c>
      <c r="DL67" t="str">
        <f t="shared" ref="DL67:DL78" si="572">IF($CJ67="ONBEKEND",$CI67,"")</f>
        <v/>
      </c>
      <c r="DM67" t="str">
        <f t="shared" ref="DM67:DM78" si="573">IF($CM67="ONBEKEND",$CL67,"")</f>
        <v/>
      </c>
      <c r="DN67" t="str">
        <f t="shared" ref="DN67:DN78" si="574">IF($CP67="ONBEKEND",$CO67,"")</f>
        <v/>
      </c>
      <c r="DO67" t="str">
        <f t="shared" ref="DO67:DO78" si="575">IF($CS67="ONBEKEND",$CR67,"")</f>
        <v/>
      </c>
      <c r="DP67" t="str">
        <f t="shared" ref="DP67:DP78" si="576">IF($CV67="ONBEKEND",$CU67,"")</f>
        <v/>
      </c>
      <c r="DQ67" t="str">
        <f t="shared" ref="DQ67:DQ78" si="577">IF($CY67="ONBEKEND",$CX67,"")</f>
        <v/>
      </c>
      <c r="DR67" t="str">
        <f t="shared" ref="DR67:DR78" si="578">IF($DB67="ONBEKEND",$DA67,"")</f>
        <v/>
      </c>
      <c r="DS67" t="str">
        <f t="shared" ref="DS67:DS78" si="579">IF($DE67="ONBEKEND",$DD67,"")</f>
        <v/>
      </c>
      <c r="DT67" t="str">
        <f t="shared" ref="DT67:DT78" si="580">IF($DH67="ONBEKEND",$DG67,"")</f>
        <v/>
      </c>
      <c r="DU67" t="str">
        <f t="shared" ref="DU67:DU78" si="581">IF($DK67="ONBEKEND",$DJ67,"")</f>
        <v/>
      </c>
      <c r="DV67" t="str">
        <f t="shared" ref="DV67:DV78" si="582">IF($CH67="","",TRIM(IFERROR(RIGHT($CH67,LEN($CH67)-FIND("§",SUBSTITUTE($CH67," ","§",LEN($CH67)-LEN(SUBSTITUTE($CH67," ",""))))),"")))</f>
        <v/>
      </c>
      <c r="DW67" t="str">
        <f t="shared" ref="DW67:DW78" si="583">IF($DV67="","",IFERROR(VALUE(LEFT($DV67,FIND("-",$DV67)-1)),""))</f>
        <v/>
      </c>
      <c r="DX67" t="str">
        <f t="shared" ref="DX67:DX78" si="584">IF($DV67="","",IFERROR(VALUE(MID($DV67,FIND("-",$DV67)+1,99)),""))</f>
        <v/>
      </c>
      <c r="DY67" t="str">
        <f t="shared" ref="DY67:DY78" si="585">IF($CK67="","",TRIM(IFERROR(RIGHT($CK67,LEN($CK67)-FIND("§",SUBSTITUTE($CK67," ","§",LEN($CK67)-LEN(SUBSTITUTE($CK67," ",""))))),"")))</f>
        <v/>
      </c>
      <c r="DZ67" t="str">
        <f t="shared" ref="DZ67:DZ78" si="586">IF($DY67="","",IFERROR(VALUE(LEFT($DY67,FIND("-",$DY67)-1)),""))</f>
        <v/>
      </c>
      <c r="EA67" t="str">
        <f t="shared" ref="EA67:EA78" si="587">IF($DY67="","",IFERROR(VALUE(MID($DY67,FIND("-",$DY67)+1,99)),""))</f>
        <v/>
      </c>
      <c r="EB67" t="str">
        <f t="shared" ref="EB67:EB78" si="588">IF($CN67="","",TRIM(IFERROR(RIGHT($CN67,LEN($CN67)-FIND("§",SUBSTITUTE($CN67," ","§",LEN($CN67)-LEN(SUBSTITUTE($CN67," ",""))))),"")))</f>
        <v/>
      </c>
      <c r="EC67" t="str">
        <f t="shared" ref="EC67:EC78" si="589">IF($EB67="","",IFERROR(VALUE(LEFT($EB67,FIND("-",$EB67)-1)),""))</f>
        <v/>
      </c>
      <c r="ED67" t="str">
        <f t="shared" ref="ED67:ED78" si="590">IF($EB67="","",IFERROR(VALUE(MID($EB67,FIND("-",$EB67)+1,99)),""))</f>
        <v/>
      </c>
      <c r="EE67" t="str">
        <f t="shared" ref="EE67:EE78" si="591">IF($CQ67="","",TRIM(IFERROR(RIGHT($CQ67,LEN($CQ67)-FIND("§",SUBSTITUTE($CQ67," ","§",LEN($CQ67)-LEN(SUBSTITUTE($CQ67," ",""))))),"")))</f>
        <v/>
      </c>
      <c r="EF67" t="str">
        <f t="shared" ref="EF67:EF78" si="592">IF($EE67="","",IFERROR(VALUE(LEFT($EE67,FIND("-",$EE67)-1)),""))</f>
        <v/>
      </c>
      <c r="EG67" t="str">
        <f t="shared" ref="EG67:EG78" si="593">IF($EE67="","",IFERROR(VALUE(MID($EE67,FIND("-",$EE67)+1,99)),""))</f>
        <v/>
      </c>
      <c r="EH67" t="str">
        <f t="shared" ref="EH67:EH78" si="594">IF($CT67="","",TRIM(IFERROR(RIGHT($CT67,LEN($CT67)-FIND("§",SUBSTITUTE($CT67," ","§",LEN($CT67)-LEN(SUBSTITUTE($CT67," ",""))))),"")))</f>
        <v/>
      </c>
      <c r="EI67" t="str">
        <f t="shared" ref="EI67:EI78" si="595">IF($EH67="","",IFERROR(VALUE(LEFT($EH67,FIND("-",$EH67)-1)),""))</f>
        <v/>
      </c>
      <c r="EJ67" t="str">
        <f t="shared" ref="EJ67:EJ78" si="596">IF($EH67="","",IFERROR(VALUE(MID($EH67,FIND("-",$EH67)+1,99)),""))</f>
        <v/>
      </c>
      <c r="EK67" t="str">
        <f t="shared" ref="EK67:EK78" si="597">IF($CW67="","",TRIM(IFERROR(RIGHT($CW67,LEN($CW67)-FIND("§",SUBSTITUTE($CW67," ","§",LEN($CW67)-LEN(SUBSTITUTE($CW67," ",""))))),"")))</f>
        <v/>
      </c>
      <c r="EL67" t="str">
        <f t="shared" ref="EL67:EL78" si="598">IF($EK67="","",IFERROR(VALUE(LEFT($EK67,FIND("-",$EK67)-1)),""))</f>
        <v/>
      </c>
      <c r="EM67" t="str">
        <f t="shared" ref="EM67:EM78" si="599">IF($EK67="","",IFERROR(VALUE(MID($EK67,FIND("-",$EK67)+1,99)),""))</f>
        <v/>
      </c>
      <c r="EN67" t="str">
        <f t="shared" ref="EN67:EN78" si="600">IF($CZ67="","",TRIM(IFERROR(RIGHT($CZ67,LEN($CZ67)-FIND("§",SUBSTITUTE($CZ67," ","§",LEN($CZ67)-LEN(SUBSTITUTE($CZ67," ",""))))),"")))</f>
        <v/>
      </c>
      <c r="EO67" t="str">
        <f t="shared" ref="EO67:EO78" si="601">IF($EN67="","",IFERROR(VALUE(LEFT($EN67,FIND("-",$EN67)-1)),""))</f>
        <v/>
      </c>
      <c r="EP67" t="str">
        <f t="shared" ref="EP67:EP78" si="602">IF($EN67="","",IFERROR(VALUE(MID($EN67,FIND("-",$EN67)+1,99)),""))</f>
        <v/>
      </c>
      <c r="EQ67" t="str">
        <f t="shared" ref="EQ67:EQ78" si="603">IF($DC67="","",TRIM(IFERROR(RIGHT($DC67,LEN($DC67)-FIND("§",SUBSTITUTE($DC67," ","§",LEN($DC67)-LEN(SUBSTITUTE($DC67," ",""))))),"")))</f>
        <v/>
      </c>
      <c r="ER67" t="str">
        <f t="shared" ref="ER67:ER78" si="604">IF($EQ67="","",IFERROR(VALUE(LEFT($EQ67,FIND("-",$EQ67)-1)),""))</f>
        <v/>
      </c>
      <c r="ES67" t="str">
        <f t="shared" ref="ES67:ES78" si="605">IF($EQ67="","",IFERROR(VALUE(MID($EQ67,FIND("-",$EQ67)+1,99)),""))</f>
        <v/>
      </c>
      <c r="ET67" t="str">
        <f t="shared" ref="ET67:ET78" si="606">IF($DF67="","",TRIM(IFERROR(RIGHT($DF67,LEN($DF67)-FIND("§",SUBSTITUTE($DF67," ","§",LEN($DF67)-LEN(SUBSTITUTE($DF67," ",""))))),"")))</f>
        <v/>
      </c>
      <c r="EU67" t="str">
        <f t="shared" ref="EU67:EU78" si="607">IF($ET67="","",IFERROR(VALUE(LEFT($ET67,FIND("-",$ET67)-1)),""))</f>
        <v/>
      </c>
      <c r="EV67" t="str">
        <f t="shared" ref="EV67:EV78" si="608">IF($ET67="","",IFERROR(VALUE(MID($ET67,FIND("-",$ET67)+1,99)),""))</f>
        <v/>
      </c>
      <c r="EW67" t="str">
        <f t="shared" ref="EW67:EW78" si="609">IF($DI67="","",TRIM(IFERROR(RIGHT($DI67,LEN($DI67)-FIND("§",SUBSTITUTE($DI67," ","§",LEN($DI67)-LEN(SUBSTITUTE($DI67," ",""))))),"")))</f>
        <v/>
      </c>
      <c r="EX67" t="str">
        <f t="shared" ref="EX67:EX78" si="610">IF($EW67="","",IFERROR(VALUE(LEFT($EW67,FIND("-",$EW67)-1)),""))</f>
        <v/>
      </c>
      <c r="EY67" t="str">
        <f t="shared" ref="EY67:EY78" si="611">IF($EW67="","",IFERROR(VALUE(MID($EW67,FIND("-",$EW67)+1,99)),""))</f>
        <v/>
      </c>
    </row>
    <row r="68" spans="1:155" ht="13.9" customHeight="1" x14ac:dyDescent="0.25">
      <c r="A68" s="7"/>
      <c r="B68" s="17"/>
      <c r="C68" s="8"/>
      <c r="D68" s="17"/>
      <c r="E68" s="8"/>
      <c r="F68" s="18">
        <v>0</v>
      </c>
      <c r="G68" s="7" t="s">
        <v>147</v>
      </c>
      <c r="H68" s="18">
        <v>0</v>
      </c>
      <c r="I68" s="19">
        <v>0</v>
      </c>
      <c r="J68" s="7" t="s">
        <v>147</v>
      </c>
      <c r="K68" s="19">
        <v>0</v>
      </c>
      <c r="L68" s="9"/>
      <c r="M68" s="3" t="str">
        <f>IF($L68="","",IF($L68="DOELPUNTENMAKERS","",IF(AND(COUNTIF(#REF!,$B68)=0,COUNTIF(#REF!,$D68)=0),"OK",IF($O68&gt;20,"LET OP: meer dan 20 items (controle onvolledig)",IF((COUNTIF($R68:$AS68,"ONZEKER")+COUNTIF($CJ68:$DK68,"ONZEKER"))&gt;0,"LET OP: scoreverloop onduidelijk (controle beperkt)",IF((IF($AT68&lt;&gt;"",$AT68&amp;", ","")&amp;IF($AU68&lt;&gt;"",$AU68&amp;", ","")&amp;IF($AV68&lt;&gt;"",$AV68&amp;", ","")&amp;IF($AW68&lt;&gt;"",$AW68&amp;", ","")&amp;IF($AX68&lt;&gt;"",$AX68&amp;", ","")&amp;IF($AY68&lt;&gt;"",$AY68&amp;", ","")&amp;IF($AZ68&lt;&gt;"",$AZ68&amp;", ","")&amp;IF($BA68&lt;&gt;"",$BA68&amp;", ","")&amp;IF($BB68&lt;&gt;"",$BB68&amp;", ","")&amp;IF($BC68&lt;&gt;"",$BC68&amp;", ","")&amp;IF($DL68&lt;&gt;"",$DL68&amp;", ","")&amp;IF($DM68&lt;&gt;"",$DM68&amp;", ","")&amp;IF($DN68&lt;&gt;"",$DN68&amp;", ","")&amp;IF($DO68&lt;&gt;"",$DO68&amp;", ","")&amp;IF($DP68&lt;&gt;"",$DP68&amp;", ","")&amp;IF($DQ68&lt;&gt;"",$DQ68&amp;", ","")&amp;IF($DR68&lt;&gt;"",$DR68&amp;", ","")&amp;IF($DS68&lt;&gt;"",$DS68&amp;", ","")&amp;IF($DT68&lt;&gt;"",$DT68&amp;", ","")&amp;IF($DU68&lt;&gt;"",$DU68&amp;", ",""))="","OK","Onbekend: "&amp;LEFT((IF($AT68&lt;&gt;"",$AT68&amp;", ","")&amp;IF($AU68&lt;&gt;"",$AU68&amp;", ","")&amp;IF($AV68&lt;&gt;"",$AV68&amp;", ","")&amp;IF($AW68&lt;&gt;"",$AW68&amp;", ","")&amp;IF($AX68&lt;&gt;"",$AX68&amp;", ","")&amp;IF($AY68&lt;&gt;"",$AY68&amp;", ","")&amp;IF($AZ68&lt;&gt;"",$AZ68&amp;", ","")&amp;IF($BA68&lt;&gt;"",$BA68&amp;", ","")&amp;IF($BB68&lt;&gt;"",$BB68&amp;", ","")&amp;IF($BC68&lt;&gt;"",$BC68&amp;", ","")&amp;IF($DL68&lt;&gt;"",$DL68&amp;", ","")&amp;IF($DM68&lt;&gt;"",$DM68&amp;", ","")&amp;IF($DN68&lt;&gt;"",$DN68&amp;", ","")&amp;IF($DO68&lt;&gt;"",$DO68&amp;", ","")&amp;IF($DP68&lt;&gt;"",$DP68&amp;", ","")&amp;IF($DQ68&lt;&gt;"",$DQ68&amp;", ","")&amp;IF($DR68&lt;&gt;"",$DR68&amp;", ","")&amp;IF($DS68&lt;&gt;"",$DS68&amp;", ","")&amp;IF($DT68&lt;&gt;"",$DT68&amp;", ","")&amp;IF($DU68&lt;&gt;"",$DU68&amp;", ","")),LEN((IF($AT68&lt;&gt;"",$AT68&amp;", ","")&amp;IF($AU68&lt;&gt;"",$AU68&amp;", ","")&amp;IF($AV68&lt;&gt;"",$AV68&amp;", ","")&amp;IF($AW68&lt;&gt;"",$AW68&amp;", ","")&amp;IF($AX68&lt;&gt;"",$AX68&amp;", ","")&amp;IF($AY68&lt;&gt;"",$AY68&amp;", ","")&amp;IF($AZ68&lt;&gt;"",$AZ68&amp;", ","")&amp;IF($BA68&lt;&gt;"",$BA68&amp;", ","")&amp;IF($BB68&lt;&gt;"",$BB68&amp;", ","")&amp;IF($BC68&lt;&gt;"",$BC68&amp;", ","")&amp;IF($DL68&lt;&gt;"",$DL68&amp;", ","")&amp;IF($DM68&lt;&gt;"",$DM68&amp;", ","")&amp;IF($DN68&lt;&gt;"",$DN68&amp;", ","")&amp;IF($DO68&lt;&gt;"",$DO68&amp;", ","")&amp;IF($DP68&lt;&gt;"",$DP68&amp;", ","")&amp;IF($DQ68&lt;&gt;"",$DQ68&amp;", ","")&amp;IF($DR68&lt;&gt;"",$DR68&amp;", ","")&amp;IF($DS68&lt;&gt;"",$DS68&amp;", ","")&amp;IF($DT68&lt;&gt;"",$DT68&amp;", ","")&amp;IF($DU68&lt;&gt;"",$DU68&amp;", ","")))-2)))))))</f>
        <v/>
      </c>
      <c r="N68" t="str">
        <f t="shared" si="520"/>
        <v/>
      </c>
      <c r="O68" t="str">
        <f t="shared" si="521"/>
        <v/>
      </c>
      <c r="P68" t="str">
        <f t="shared" si="522"/>
        <v/>
      </c>
      <c r="Q68" t="str">
        <f t="shared" si="523"/>
        <v/>
      </c>
      <c r="R68" t="str">
        <f>IF($Q68="","",IF(OR($BE68="",$BF68=""),"ONZEKER",IF(AND($BE68=0+1,$BF68=0),IF(OR(COUNTIF(#REF!,$B68)&gt;0,COUNTIF(#REF!,$B68)=0),"SKIP",IF(COUNTIFS(#REF!,$B68,#REF!,$Q68)&gt;0,"OK","ONBEKEND")),IF(AND($BE68=0,$BF68=0+1),IF(OR(COUNTIF(#REF!,$D68)&gt;0,COUNTIF(#REF!,$D68)=0),"SKIP",IF(COUNTIFS(#REF!,$D68,#REF!,$Q68)&gt;0,"OK","ONBEKEND")),"ONZEKER"))))</f>
        <v/>
      </c>
      <c r="S68" t="str">
        <f t="shared" si="524"/>
        <v/>
      </c>
      <c r="T68" t="str">
        <f t="shared" si="525"/>
        <v/>
      </c>
      <c r="U68" t="str">
        <f>IF($T68="","",IF(OR($BH68="",$BI68=""),"ONZEKER",IF(OR($BE68="",$BF68=""),"ONZEKER",IF(AND($BH68=$BE68+1,$BI68=$BF68),IF(OR(COUNTIF(#REF!,$B68)&gt;0,COUNTIF(#REF!,$B68)=0),"SKIP",IF(COUNTIFS(#REF!,$B68,#REF!,$T68)&gt;0,"OK","ONBEKEND")),IF(AND($BH68=$BE68,$BI68=$BF68+1),IF(OR(COUNTIF(#REF!,$D68)&gt;0,COUNTIF(#REF!,$D68)=0),"SKIP",IF(COUNTIFS(#REF!,$D68,#REF!,$T68)&gt;0,"OK","ONBEKEND")),"ONZEKER")))))</f>
        <v/>
      </c>
      <c r="V68" t="str">
        <f t="shared" si="526"/>
        <v/>
      </c>
      <c r="W68" t="str">
        <f t="shared" si="527"/>
        <v/>
      </c>
      <c r="X68" t="str">
        <f>IF($W68="","",IF(OR($BK68="",$BL68=""),"ONZEKER",IF(OR($BH68="",$BI68=""),"ONZEKER",IF(AND($BK68=$BH68+1,$BL68=$BI68),IF(OR(COUNTIF(#REF!,$B68)&gt;0,COUNTIF(#REF!,$B68)=0),"SKIP",IF(COUNTIFS(#REF!,$B68,#REF!,$W68)&gt;0,"OK","ONBEKEND")),IF(AND($BK68=$BH68,$BL68=$BI68+1),IF(OR(COUNTIF(#REF!,$D68)&gt;0,COUNTIF(#REF!,$D68)=0),"SKIP",IF(COUNTIFS(#REF!,$D68,#REF!,$W68)&gt;0,"OK","ONBEKEND")),"ONZEKER")))))</f>
        <v/>
      </c>
      <c r="Y68" t="str">
        <f t="shared" si="528"/>
        <v/>
      </c>
      <c r="Z68" t="str">
        <f t="shared" si="529"/>
        <v/>
      </c>
      <c r="AA68" t="str">
        <f>IF($Z68="","",IF(OR($BN68="",$BO68=""),"ONZEKER",IF(OR($BK68="",$BL68=""),"ONZEKER",IF(AND($BN68=$BK68+1,$BO68=$BL68),IF(OR(COUNTIF(#REF!,$B68)&gt;0,COUNTIF(#REF!,$B68)=0),"SKIP",IF(COUNTIFS(#REF!,$B68,#REF!,$Z68)&gt;0,"OK","ONBEKEND")),IF(AND($BN68=$BK68,$BO68=$BL68+1),IF(OR(COUNTIF(#REF!,$D68)&gt;0,COUNTIF(#REF!,$D68)=0),"SKIP",IF(COUNTIFS(#REF!,$D68,#REF!,$Z68)&gt;0,"OK","ONBEKEND")),"ONZEKER")))))</f>
        <v/>
      </c>
      <c r="AB68" t="str">
        <f t="shared" si="530"/>
        <v/>
      </c>
      <c r="AC68" t="str">
        <f t="shared" si="531"/>
        <v/>
      </c>
      <c r="AD68" t="str">
        <f>IF($AC68="","",IF(OR($BQ68="",$BR68=""),"ONZEKER",IF(OR($BN68="",$BO68=""),"ONZEKER",IF(AND($BQ68=$BN68+1,$BR68=$BO68),IF(OR(COUNTIF(#REF!,$B68)&gt;0,COUNTIF(#REF!,$B68)=0),"SKIP",IF(COUNTIFS(#REF!,$B68,#REF!,$AC68)&gt;0,"OK","ONBEKEND")),IF(AND($BQ68=$BN68,$BR68=$BO68+1),IF(OR(COUNTIF(#REF!,$D68)&gt;0,COUNTIF(#REF!,$D68)=0),"SKIP",IF(COUNTIFS(#REF!,$D68,#REF!,$AC68)&gt;0,"OK","ONBEKEND")),"ONZEKER")))))</f>
        <v/>
      </c>
      <c r="AE68" t="str">
        <f t="shared" si="532"/>
        <v/>
      </c>
      <c r="AF68" t="str">
        <f t="shared" si="533"/>
        <v/>
      </c>
      <c r="AG68" t="str">
        <f>IF($AF68="","",IF(OR($BT68="",$BU68=""),"ONZEKER",IF(OR($BQ68="",$BR68=""),"ONZEKER",IF(AND($BT68=$BQ68+1,$BU68=$BR68),IF(OR(COUNTIF(#REF!,$B68)&gt;0,COUNTIF(#REF!,$B68)=0),"SKIP",IF(COUNTIFS(#REF!,$B68,#REF!,$AF68)&gt;0,"OK","ONBEKEND")),IF(AND($BT68=$BQ68,$BU68=$BR68+1),IF(OR(COUNTIF(#REF!,$D68)&gt;0,COUNTIF(#REF!,$D68)=0),"SKIP",IF(COUNTIFS(#REF!,$D68,#REF!,$AF68)&gt;0,"OK","ONBEKEND")),"ONZEKER")))))</f>
        <v/>
      </c>
      <c r="AH68" t="str">
        <f t="shared" si="534"/>
        <v/>
      </c>
      <c r="AI68" t="str">
        <f t="shared" si="535"/>
        <v/>
      </c>
      <c r="AJ68" t="str">
        <f>IF($AI68="","",IF(OR($BW68="",$BX68=""),"ONZEKER",IF(OR($BT68="",$BU68=""),"ONZEKER",IF(AND($BW68=$BT68+1,$BX68=$BU68),IF(OR(COUNTIF(#REF!,$B68)&gt;0,COUNTIF(#REF!,$B68)=0),"SKIP",IF(COUNTIFS(#REF!,$B68,#REF!,$AI68)&gt;0,"OK","ONBEKEND")),IF(AND($BW68=$BT68,$BX68=$BU68+1),IF(OR(COUNTIF(#REF!,$D68)&gt;0,COUNTIF(#REF!,$D68)=0),"SKIP",IF(COUNTIFS(#REF!,$D68,#REF!,$AI68)&gt;0,"OK","ONBEKEND")),"ONZEKER")))))</f>
        <v/>
      </c>
      <c r="AK68" t="str">
        <f t="shared" si="536"/>
        <v/>
      </c>
      <c r="AL68" t="str">
        <f t="shared" si="537"/>
        <v/>
      </c>
      <c r="AM68" t="str">
        <f>IF($AL68="","",IF(OR($BZ68="",$CA68=""),"ONZEKER",IF(OR($BW68="",$BX68=""),"ONZEKER",IF(AND($BZ68=$BW68+1,$CA68=$BX68),IF(OR(COUNTIF(#REF!,$B68)&gt;0,COUNTIF(#REF!,$B68)=0),"SKIP",IF(COUNTIFS(#REF!,$B68,#REF!,$AL68)&gt;0,"OK","ONBEKEND")),IF(AND($BZ68=$BW68,$CA68=$BX68+1),IF(OR(COUNTIF(#REF!,$D68)&gt;0,COUNTIF(#REF!,$D68)=0),"SKIP",IF(COUNTIFS(#REF!,$D68,#REF!,$AL68)&gt;0,"OK","ONBEKEND")),"ONZEKER")))))</f>
        <v/>
      </c>
      <c r="AN68" t="str">
        <f t="shared" si="538"/>
        <v/>
      </c>
      <c r="AO68" t="str">
        <f t="shared" si="539"/>
        <v/>
      </c>
      <c r="AP68" t="str">
        <f>IF($AO68="","",IF(OR($CC68="",$CD68=""),"ONZEKER",IF(OR($BZ68="",$CA68=""),"ONZEKER",IF(AND($CC68=$BZ68+1,$CD68=$CA68),IF(OR(COUNTIF(#REF!,$B68)&gt;0,COUNTIF(#REF!,$B68)=0),"SKIP",IF(COUNTIFS(#REF!,$B68,#REF!,$AO68)&gt;0,"OK","ONBEKEND")),IF(AND($CC68=$BZ68,$CD68=$CA68+1),IF(OR(COUNTIF(#REF!,$D68)&gt;0,COUNTIF(#REF!,$D68)=0),"SKIP",IF(COUNTIFS(#REF!,$D68,#REF!,$AO68)&gt;0,"OK","ONBEKEND")),"ONZEKER")))))</f>
        <v/>
      </c>
      <c r="AQ68" t="str">
        <f t="shared" si="540"/>
        <v/>
      </c>
      <c r="AR68" t="str">
        <f t="shared" si="541"/>
        <v/>
      </c>
      <c r="AS68" t="str">
        <f>IF($AR68="","",IF(OR($CF68="",$CG68=""),"ONZEKER",IF(OR($CC68="",$CD68=""),"ONZEKER",IF(AND($CF68=$CC68+1,$CG68=$CD68),IF(OR(COUNTIF(#REF!,$B68)&gt;0,COUNTIF(#REF!,$B68)=0),"SKIP",IF(COUNTIFS(#REF!,$B68,#REF!,$AR68)&gt;0,"OK","ONBEKEND")),IF(AND($CF68=$CC68,$CG68=$CD68+1),IF(OR(COUNTIF(#REF!,$D68)&gt;0,COUNTIF(#REF!,$D68)=0),"SKIP",IF(COUNTIFS(#REF!,$D68,#REF!,$AR68)&gt;0,"OK","ONBEKEND")),"ONZEKER")))))</f>
        <v/>
      </c>
      <c r="AT68" t="str">
        <f t="shared" si="542"/>
        <v/>
      </c>
      <c r="AU68" t="str">
        <f t="shared" si="543"/>
        <v/>
      </c>
      <c r="AV68" t="str">
        <f t="shared" si="544"/>
        <v/>
      </c>
      <c r="AW68" t="str">
        <f t="shared" si="545"/>
        <v/>
      </c>
      <c r="AX68" t="str">
        <f t="shared" si="546"/>
        <v/>
      </c>
      <c r="AY68" t="str">
        <f t="shared" si="547"/>
        <v/>
      </c>
      <c r="AZ68" t="str">
        <f t="shared" si="548"/>
        <v/>
      </c>
      <c r="BA68" t="str">
        <f t="shared" si="549"/>
        <v/>
      </c>
      <c r="BB68" t="str">
        <f t="shared" si="550"/>
        <v/>
      </c>
      <c r="BC68" t="str">
        <f t="shared" si="551"/>
        <v/>
      </c>
      <c r="BD68" t="str">
        <f t="shared" si="490"/>
        <v/>
      </c>
      <c r="BE68" t="str">
        <f t="shared" si="491"/>
        <v/>
      </c>
      <c r="BF68" t="str">
        <f t="shared" si="492"/>
        <v/>
      </c>
      <c r="BG68" t="str">
        <f t="shared" si="493"/>
        <v/>
      </c>
      <c r="BH68" t="str">
        <f t="shared" si="494"/>
        <v/>
      </c>
      <c r="BI68" t="str">
        <f t="shared" si="495"/>
        <v/>
      </c>
      <c r="BJ68" t="str">
        <f t="shared" si="496"/>
        <v/>
      </c>
      <c r="BK68" t="str">
        <f t="shared" si="497"/>
        <v/>
      </c>
      <c r="BL68" t="str">
        <f t="shared" si="498"/>
        <v/>
      </c>
      <c r="BM68" t="str">
        <f t="shared" si="499"/>
        <v/>
      </c>
      <c r="BN68" t="str">
        <f t="shared" si="500"/>
        <v/>
      </c>
      <c r="BO68" t="str">
        <f t="shared" si="501"/>
        <v/>
      </c>
      <c r="BP68" t="str">
        <f t="shared" si="502"/>
        <v/>
      </c>
      <c r="BQ68" t="str">
        <f t="shared" si="503"/>
        <v/>
      </c>
      <c r="BR68" t="str">
        <f t="shared" si="504"/>
        <v/>
      </c>
      <c r="BS68" t="str">
        <f t="shared" si="505"/>
        <v/>
      </c>
      <c r="BT68" t="str">
        <f t="shared" si="506"/>
        <v/>
      </c>
      <c r="BU68" t="str">
        <f t="shared" si="507"/>
        <v/>
      </c>
      <c r="BV68" t="str">
        <f t="shared" si="508"/>
        <v/>
      </c>
      <c r="BW68" t="str">
        <f t="shared" si="509"/>
        <v/>
      </c>
      <c r="BX68" t="str">
        <f t="shared" si="510"/>
        <v/>
      </c>
      <c r="BY68" t="str">
        <f t="shared" si="511"/>
        <v/>
      </c>
      <c r="BZ68" t="str">
        <f t="shared" si="512"/>
        <v/>
      </c>
      <c r="CA68" t="str">
        <f t="shared" si="513"/>
        <v/>
      </c>
      <c r="CB68" t="str">
        <f t="shared" si="514"/>
        <v/>
      </c>
      <c r="CC68" t="str">
        <f t="shared" si="515"/>
        <v/>
      </c>
      <c r="CD68" t="str">
        <f t="shared" si="516"/>
        <v/>
      </c>
      <c r="CE68" t="str">
        <f t="shared" si="517"/>
        <v/>
      </c>
      <c r="CF68" t="str">
        <f t="shared" si="518"/>
        <v/>
      </c>
      <c r="CG68" t="str">
        <f t="shared" si="519"/>
        <v/>
      </c>
      <c r="CH68" t="str">
        <f t="shared" si="552"/>
        <v/>
      </c>
      <c r="CI68" t="str">
        <f t="shared" si="553"/>
        <v/>
      </c>
      <c r="CJ68" t="str">
        <f>IF($CI68="","",IF(OR($DW68="",$DX68=""),"ONZEKER",IF(OR($CF68="",$CG68=""),"ONZEKER",IF(AND($DW68=$CF68+1,$DX68=$CG68),IF(OR(COUNTIF(#REF!,$B68)&gt;0,COUNTIF(#REF!,$B68)=0),"SKIP",IF(COUNTIFS(#REF!,$B68,#REF!,$CI68)&gt;0,"OK","ONBEKEND")),IF(AND($DW68=$CF68,$DX68=$CG68+1),IF(OR(COUNTIF(#REF!,$D68)&gt;0,COUNTIF(#REF!,$D68)=0),"SKIP",IF(COUNTIFS(#REF!,$D68,#REF!,$CI68)&gt;0,"OK","ONBEKEND")),"ONZEKER")))))</f>
        <v/>
      </c>
      <c r="CK68" t="str">
        <f t="shared" si="554"/>
        <v/>
      </c>
      <c r="CL68" t="str">
        <f t="shared" si="555"/>
        <v/>
      </c>
      <c r="CM68" t="str">
        <f>IF($CL68="","",IF(OR($DZ68="",$EA68=""),"ONZEKER",IF(OR($DW68="",$DX68=""),"ONZEKER",IF(AND($DZ68=$DW68+1,$EA68=$DX68),IF(OR(COUNTIF(#REF!,$B68)&gt;0,COUNTIF(#REF!,$B68)=0),"SKIP",IF(COUNTIFS(#REF!,$B68,#REF!,$CL68)&gt;0,"OK","ONBEKEND")),IF(AND($DZ68=$DW68,$EA68=$DX68+1),IF(OR(COUNTIF(#REF!,$D68)&gt;0,COUNTIF(#REF!,$D68)=0),"SKIP",IF(COUNTIFS(#REF!,$D68,#REF!,$CL68)&gt;0,"OK","ONBEKEND")),"ONZEKER")))))</f>
        <v/>
      </c>
      <c r="CN68" t="str">
        <f t="shared" si="556"/>
        <v/>
      </c>
      <c r="CO68" t="str">
        <f t="shared" si="557"/>
        <v/>
      </c>
      <c r="CP68" t="str">
        <f>IF($CO68="","",IF(OR($EC68="",$ED68=""),"ONZEKER",IF(OR($DZ68="",$EA68=""),"ONZEKER",IF(AND($EC68=$DZ68+1,$ED68=$EA68),IF(OR(COUNTIF(#REF!,$B68)&gt;0,COUNTIF(#REF!,$B68)=0),"SKIP",IF(COUNTIFS(#REF!,$B68,#REF!,$CO68)&gt;0,"OK","ONBEKEND")),IF(AND($EC68=$DZ68,$ED68=$EA68+1),IF(OR(COUNTIF(#REF!,$D68)&gt;0,COUNTIF(#REF!,$D68)=0),"SKIP",IF(COUNTIFS(#REF!,$D68,#REF!,$CO68)&gt;0,"OK","ONBEKEND")),"ONZEKER")))))</f>
        <v/>
      </c>
      <c r="CQ68" t="str">
        <f t="shared" si="558"/>
        <v/>
      </c>
      <c r="CR68" t="str">
        <f t="shared" si="559"/>
        <v/>
      </c>
      <c r="CS68" t="str">
        <f>IF($CR68="","",IF(OR($EF68="",$EG68=""),"ONZEKER",IF(OR($EC68="",$ED68=""),"ONZEKER",IF(AND($EF68=$EC68+1,$EG68=$ED68),IF(OR(COUNTIF(#REF!,$B68)&gt;0,COUNTIF(#REF!,$B68)=0),"SKIP",IF(COUNTIFS(#REF!,$B68,#REF!,$CR68)&gt;0,"OK","ONBEKEND")),IF(AND($EF68=$EC68,$EG68=$ED68+1),IF(OR(COUNTIF(#REF!,$D68)&gt;0,COUNTIF(#REF!,$D68)=0),"SKIP",IF(COUNTIFS(#REF!,$D68,#REF!,$CR68)&gt;0,"OK","ONBEKEND")),"ONZEKER")))))</f>
        <v/>
      </c>
      <c r="CT68" t="str">
        <f t="shared" si="560"/>
        <v/>
      </c>
      <c r="CU68" t="str">
        <f t="shared" si="561"/>
        <v/>
      </c>
      <c r="CV68" t="str">
        <f>IF($CU68="","",IF(OR($EI68="",$EJ68=""),"ONZEKER",IF(OR($EF68="",$EG68=""),"ONZEKER",IF(AND($EI68=$EF68+1,$EJ68=$EG68),IF(OR(COUNTIF(#REF!,$B68)&gt;0,COUNTIF(#REF!,$B68)=0),"SKIP",IF(COUNTIFS(#REF!,$B68,#REF!,$CU68)&gt;0,"OK","ONBEKEND")),IF(AND($EI68=$EF68,$EJ68=$EG68+1),IF(OR(COUNTIF(#REF!,$D68)&gt;0,COUNTIF(#REF!,$D68)=0),"SKIP",IF(COUNTIFS(#REF!,$D68,#REF!,$CU68)&gt;0,"OK","ONBEKEND")),"ONZEKER")))))</f>
        <v/>
      </c>
      <c r="CW68" t="str">
        <f t="shared" si="562"/>
        <v/>
      </c>
      <c r="CX68" t="str">
        <f t="shared" si="563"/>
        <v/>
      </c>
      <c r="CY68" t="str">
        <f>IF($CX68="","",IF(OR($EL68="",$EM68=""),"ONZEKER",IF(OR($EI68="",$EJ68=""),"ONZEKER",IF(AND($EL68=$EI68+1,$EM68=$EJ68),IF(OR(COUNTIF(#REF!,$B68)&gt;0,COUNTIF(#REF!,$B68)=0),"SKIP",IF(COUNTIFS(#REF!,$B68,#REF!,$CX68)&gt;0,"OK","ONBEKEND")),IF(AND($EL68=$EI68,$EM68=$EJ68+1),IF(OR(COUNTIF(#REF!,$D68)&gt;0,COUNTIF(#REF!,$D68)=0),"SKIP",IF(COUNTIFS(#REF!,$D68,#REF!,$CX68)&gt;0,"OK","ONBEKEND")),"ONZEKER")))))</f>
        <v/>
      </c>
      <c r="CZ68" t="str">
        <f t="shared" si="564"/>
        <v/>
      </c>
      <c r="DA68" t="str">
        <f t="shared" si="565"/>
        <v/>
      </c>
      <c r="DB68" t="str">
        <f>IF($DA68="","",IF(OR($EO68="",$EP68=""),"ONZEKER",IF(OR($EL68="",$EM68=""),"ONZEKER",IF(AND($EO68=$EL68+1,$EP68=$EM68),IF(OR(COUNTIF(#REF!,$B68)&gt;0,COUNTIF(#REF!,$B68)=0),"SKIP",IF(COUNTIFS(#REF!,$B68,#REF!,$DA68)&gt;0,"OK","ONBEKEND")),IF(AND($EO68=$EL68,$EP68=$EM68+1),IF(OR(COUNTIF(#REF!,$D68)&gt;0,COUNTIF(#REF!,$D68)=0),"SKIP",IF(COUNTIFS(#REF!,$D68,#REF!,$DA68)&gt;0,"OK","ONBEKEND")),"ONZEKER")))))</f>
        <v/>
      </c>
      <c r="DC68" t="str">
        <f t="shared" si="566"/>
        <v/>
      </c>
      <c r="DD68" t="str">
        <f t="shared" si="567"/>
        <v/>
      </c>
      <c r="DE68" t="str">
        <f>IF($DD68="","",IF(OR($ER68="",$ES68=""),"ONZEKER",IF(OR($EO68="",$EP68=""),"ONZEKER",IF(AND($ER68=$EO68+1,$ES68=$EP68),IF(OR(COUNTIF(#REF!,$B68)&gt;0,COUNTIF(#REF!,$B68)=0),"SKIP",IF(COUNTIFS(#REF!,$B68,#REF!,$DD68)&gt;0,"OK","ONBEKEND")),IF(AND($ER68=$EO68,$ES68=$EP68+1),IF(OR(COUNTIF(#REF!,$D68)&gt;0,COUNTIF(#REF!,$D68)=0),"SKIP",IF(COUNTIFS(#REF!,$D68,#REF!,$DD68)&gt;0,"OK","ONBEKEND")),"ONZEKER")))))</f>
        <v/>
      </c>
      <c r="DF68" t="str">
        <f t="shared" si="568"/>
        <v/>
      </c>
      <c r="DG68" t="str">
        <f t="shared" si="569"/>
        <v/>
      </c>
      <c r="DH68" t="str">
        <f>IF($DG68="","",IF(OR($EU68="",$EV68=""),"ONZEKER",IF(OR($ER68="",$ES68=""),"ONZEKER",IF(AND($EU68=$ER68+1,$EV68=$ES68),IF(OR(COUNTIF(#REF!,$B68)&gt;0,COUNTIF(#REF!,$B68)=0),"SKIP",IF(COUNTIFS(#REF!,$B68,#REF!,$DG68)&gt;0,"OK","ONBEKEND")),IF(AND($EU68=$ER68,$EV68=$ES68+1),IF(OR(COUNTIF(#REF!,$D68)&gt;0,COUNTIF(#REF!,$D68)=0),"SKIP",IF(COUNTIFS(#REF!,$D68,#REF!,$DG68)&gt;0,"OK","ONBEKEND")),"ONZEKER")))))</f>
        <v/>
      </c>
      <c r="DI68" t="str">
        <f t="shared" si="570"/>
        <v/>
      </c>
      <c r="DJ68" t="str">
        <f t="shared" si="571"/>
        <v/>
      </c>
      <c r="DK68" t="str">
        <f>IF($DJ68="","",IF(OR($EX68="",$EY68=""),"ONZEKER",IF(OR($EU68="",$EV68=""),"ONZEKER",IF(AND($EX68=$EU68+1,$EY68=$EV68),IF(OR(COUNTIF(#REF!,$B68)&gt;0,COUNTIF(#REF!,$B68)=0),"SKIP",IF(COUNTIFS(#REF!,$B68,#REF!,$DJ68)&gt;0,"OK","ONBEKEND")),IF(AND($EX68=$EU68,$EY68=$EV68+1),IF(OR(COUNTIF(#REF!,$D68)&gt;0,COUNTIF(#REF!,$D68)=0),"SKIP",IF(COUNTIFS(#REF!,$D68,#REF!,$DJ68)&gt;0,"OK","ONBEKEND")),"ONZEKER")))))</f>
        <v/>
      </c>
      <c r="DL68" t="str">
        <f t="shared" si="572"/>
        <v/>
      </c>
      <c r="DM68" t="str">
        <f t="shared" si="573"/>
        <v/>
      </c>
      <c r="DN68" t="str">
        <f t="shared" si="574"/>
        <v/>
      </c>
      <c r="DO68" t="str">
        <f t="shared" si="575"/>
        <v/>
      </c>
      <c r="DP68" t="str">
        <f t="shared" si="576"/>
        <v/>
      </c>
      <c r="DQ68" t="str">
        <f t="shared" si="577"/>
        <v/>
      </c>
      <c r="DR68" t="str">
        <f t="shared" si="578"/>
        <v/>
      </c>
      <c r="DS68" t="str">
        <f t="shared" si="579"/>
        <v/>
      </c>
      <c r="DT68" t="str">
        <f t="shared" si="580"/>
        <v/>
      </c>
      <c r="DU68" t="str">
        <f t="shared" si="581"/>
        <v/>
      </c>
      <c r="DV68" t="str">
        <f t="shared" si="582"/>
        <v/>
      </c>
      <c r="DW68" t="str">
        <f t="shared" si="583"/>
        <v/>
      </c>
      <c r="DX68" t="str">
        <f t="shared" si="584"/>
        <v/>
      </c>
      <c r="DY68" t="str">
        <f t="shared" si="585"/>
        <v/>
      </c>
      <c r="DZ68" t="str">
        <f t="shared" si="586"/>
        <v/>
      </c>
      <c r="EA68" t="str">
        <f t="shared" si="587"/>
        <v/>
      </c>
      <c r="EB68" t="str">
        <f t="shared" si="588"/>
        <v/>
      </c>
      <c r="EC68" t="str">
        <f t="shared" si="589"/>
        <v/>
      </c>
      <c r="ED68" t="str">
        <f t="shared" si="590"/>
        <v/>
      </c>
      <c r="EE68" t="str">
        <f t="shared" si="591"/>
        <v/>
      </c>
      <c r="EF68" t="str">
        <f t="shared" si="592"/>
        <v/>
      </c>
      <c r="EG68" t="str">
        <f t="shared" si="593"/>
        <v/>
      </c>
      <c r="EH68" t="str">
        <f t="shared" si="594"/>
        <v/>
      </c>
      <c r="EI68" t="str">
        <f t="shared" si="595"/>
        <v/>
      </c>
      <c r="EJ68" t="str">
        <f t="shared" si="596"/>
        <v/>
      </c>
      <c r="EK68" t="str">
        <f t="shared" si="597"/>
        <v/>
      </c>
      <c r="EL68" t="str">
        <f t="shared" si="598"/>
        <v/>
      </c>
      <c r="EM68" t="str">
        <f t="shared" si="599"/>
        <v/>
      </c>
      <c r="EN68" t="str">
        <f t="shared" si="600"/>
        <v/>
      </c>
      <c r="EO68" t="str">
        <f t="shared" si="601"/>
        <v/>
      </c>
      <c r="EP68" t="str">
        <f t="shared" si="602"/>
        <v/>
      </c>
      <c r="EQ68" t="str">
        <f t="shared" si="603"/>
        <v/>
      </c>
      <c r="ER68" t="str">
        <f t="shared" si="604"/>
        <v/>
      </c>
      <c r="ES68" t="str">
        <f t="shared" si="605"/>
        <v/>
      </c>
      <c r="ET68" t="str">
        <f t="shared" si="606"/>
        <v/>
      </c>
      <c r="EU68" t="str">
        <f t="shared" si="607"/>
        <v/>
      </c>
      <c r="EV68" t="str">
        <f t="shared" si="608"/>
        <v/>
      </c>
      <c r="EW68" t="str">
        <f t="shared" si="609"/>
        <v/>
      </c>
      <c r="EX68" t="str">
        <f t="shared" si="610"/>
        <v/>
      </c>
      <c r="EY68" t="str">
        <f t="shared" si="611"/>
        <v/>
      </c>
    </row>
    <row r="69" spans="1:155" ht="13.9" customHeight="1" x14ac:dyDescent="0.25">
      <c r="A69" s="7"/>
      <c r="B69" s="17"/>
      <c r="C69" s="8"/>
      <c r="D69" s="17"/>
      <c r="E69" s="8"/>
      <c r="F69" s="18">
        <v>0</v>
      </c>
      <c r="G69" s="7" t="s">
        <v>147</v>
      </c>
      <c r="H69" s="18">
        <v>0</v>
      </c>
      <c r="I69" s="19">
        <v>0</v>
      </c>
      <c r="J69" s="7" t="s">
        <v>147</v>
      </c>
      <c r="K69" s="19">
        <v>0</v>
      </c>
      <c r="L69" s="9"/>
      <c r="M69" s="3" t="str">
        <f>IF($L69="","",IF($L69="DOELPUNTENMAKERS","",IF(AND(COUNTIF(#REF!,$B69)=0,COUNTIF(#REF!,$D69)=0),"OK",IF($O69&gt;20,"LET OP: meer dan 20 items (controle onvolledig)",IF((COUNTIF($R69:$AS69,"ONZEKER")+COUNTIF($CJ69:$DK69,"ONZEKER"))&gt;0,"LET OP: scoreverloop onduidelijk (controle beperkt)",IF((IF($AT69&lt;&gt;"",$AT69&amp;", ","")&amp;IF($AU69&lt;&gt;"",$AU69&amp;", ","")&amp;IF($AV69&lt;&gt;"",$AV69&amp;", ","")&amp;IF($AW69&lt;&gt;"",$AW69&amp;", ","")&amp;IF($AX69&lt;&gt;"",$AX69&amp;", ","")&amp;IF($AY69&lt;&gt;"",$AY69&amp;", ","")&amp;IF($AZ69&lt;&gt;"",$AZ69&amp;", ","")&amp;IF($BA69&lt;&gt;"",$BA69&amp;", ","")&amp;IF($BB69&lt;&gt;"",$BB69&amp;", ","")&amp;IF($BC69&lt;&gt;"",$BC69&amp;", ","")&amp;IF($DL69&lt;&gt;"",$DL69&amp;", ","")&amp;IF($DM69&lt;&gt;"",$DM69&amp;", ","")&amp;IF($DN69&lt;&gt;"",$DN69&amp;", ","")&amp;IF($DO69&lt;&gt;"",$DO69&amp;", ","")&amp;IF($DP69&lt;&gt;"",$DP69&amp;", ","")&amp;IF($DQ69&lt;&gt;"",$DQ69&amp;", ","")&amp;IF($DR69&lt;&gt;"",$DR69&amp;", ","")&amp;IF($DS69&lt;&gt;"",$DS69&amp;", ","")&amp;IF($DT69&lt;&gt;"",$DT69&amp;", ","")&amp;IF($DU69&lt;&gt;"",$DU69&amp;", ",""))="","OK","Onbekend: "&amp;LEFT((IF($AT69&lt;&gt;"",$AT69&amp;", ","")&amp;IF($AU69&lt;&gt;"",$AU69&amp;", ","")&amp;IF($AV69&lt;&gt;"",$AV69&amp;", ","")&amp;IF($AW69&lt;&gt;"",$AW69&amp;", ","")&amp;IF($AX69&lt;&gt;"",$AX69&amp;", ","")&amp;IF($AY69&lt;&gt;"",$AY69&amp;", ","")&amp;IF($AZ69&lt;&gt;"",$AZ69&amp;", ","")&amp;IF($BA69&lt;&gt;"",$BA69&amp;", ","")&amp;IF($BB69&lt;&gt;"",$BB69&amp;", ","")&amp;IF($BC69&lt;&gt;"",$BC69&amp;", ","")&amp;IF($DL69&lt;&gt;"",$DL69&amp;", ","")&amp;IF($DM69&lt;&gt;"",$DM69&amp;", ","")&amp;IF($DN69&lt;&gt;"",$DN69&amp;", ","")&amp;IF($DO69&lt;&gt;"",$DO69&amp;", ","")&amp;IF($DP69&lt;&gt;"",$DP69&amp;", ","")&amp;IF($DQ69&lt;&gt;"",$DQ69&amp;", ","")&amp;IF($DR69&lt;&gt;"",$DR69&amp;", ","")&amp;IF($DS69&lt;&gt;"",$DS69&amp;", ","")&amp;IF($DT69&lt;&gt;"",$DT69&amp;", ","")&amp;IF($DU69&lt;&gt;"",$DU69&amp;", ","")),LEN((IF($AT69&lt;&gt;"",$AT69&amp;", ","")&amp;IF($AU69&lt;&gt;"",$AU69&amp;", ","")&amp;IF($AV69&lt;&gt;"",$AV69&amp;", ","")&amp;IF($AW69&lt;&gt;"",$AW69&amp;", ","")&amp;IF($AX69&lt;&gt;"",$AX69&amp;", ","")&amp;IF($AY69&lt;&gt;"",$AY69&amp;", ","")&amp;IF($AZ69&lt;&gt;"",$AZ69&amp;", ","")&amp;IF($BA69&lt;&gt;"",$BA69&amp;", ","")&amp;IF($BB69&lt;&gt;"",$BB69&amp;", ","")&amp;IF($BC69&lt;&gt;"",$BC69&amp;", ","")&amp;IF($DL69&lt;&gt;"",$DL69&amp;", ","")&amp;IF($DM69&lt;&gt;"",$DM69&amp;", ","")&amp;IF($DN69&lt;&gt;"",$DN69&amp;", ","")&amp;IF($DO69&lt;&gt;"",$DO69&amp;", ","")&amp;IF($DP69&lt;&gt;"",$DP69&amp;", ","")&amp;IF($DQ69&lt;&gt;"",$DQ69&amp;", ","")&amp;IF($DR69&lt;&gt;"",$DR69&amp;", ","")&amp;IF($DS69&lt;&gt;"",$DS69&amp;", ","")&amp;IF($DT69&lt;&gt;"",$DT69&amp;", ","")&amp;IF($DU69&lt;&gt;"",$DU69&amp;", ","")))-2)))))))</f>
        <v/>
      </c>
      <c r="N69" t="str">
        <f t="shared" si="520"/>
        <v/>
      </c>
      <c r="O69" t="str">
        <f t="shared" si="521"/>
        <v/>
      </c>
      <c r="P69" t="str">
        <f t="shared" si="522"/>
        <v/>
      </c>
      <c r="Q69" t="str">
        <f t="shared" si="523"/>
        <v/>
      </c>
      <c r="R69" t="str">
        <f>IF($Q69="","",IF(OR($BE69="",$BF69=""),"ONZEKER",IF(AND($BE69=0+1,$BF69=0),IF(OR(COUNTIF(#REF!,$B69)&gt;0,COUNTIF(#REF!,$B69)=0),"SKIP",IF(COUNTIFS(#REF!,$B69,#REF!,$Q69)&gt;0,"OK","ONBEKEND")),IF(AND($BE69=0,$BF69=0+1),IF(OR(COUNTIF(#REF!,$D69)&gt;0,COUNTIF(#REF!,$D69)=0),"SKIP",IF(COUNTIFS(#REF!,$D69,#REF!,$Q69)&gt;0,"OK","ONBEKEND")),"ONZEKER"))))</f>
        <v/>
      </c>
      <c r="S69" t="str">
        <f t="shared" si="524"/>
        <v/>
      </c>
      <c r="T69" t="str">
        <f t="shared" si="525"/>
        <v/>
      </c>
      <c r="U69" t="str">
        <f>IF($T69="","",IF(OR($BH69="",$BI69=""),"ONZEKER",IF(OR($BE69="",$BF69=""),"ONZEKER",IF(AND($BH69=$BE69+1,$BI69=$BF69),IF(OR(COUNTIF(#REF!,$B69)&gt;0,COUNTIF(#REF!,$B69)=0),"SKIP",IF(COUNTIFS(#REF!,$B69,#REF!,$T69)&gt;0,"OK","ONBEKEND")),IF(AND($BH69=$BE69,$BI69=$BF69+1),IF(OR(COUNTIF(#REF!,$D69)&gt;0,COUNTIF(#REF!,$D69)=0),"SKIP",IF(COUNTIFS(#REF!,$D69,#REF!,$T69)&gt;0,"OK","ONBEKEND")),"ONZEKER")))))</f>
        <v/>
      </c>
      <c r="V69" t="str">
        <f t="shared" si="526"/>
        <v/>
      </c>
      <c r="W69" t="str">
        <f t="shared" si="527"/>
        <v/>
      </c>
      <c r="X69" t="str">
        <f>IF($W69="","",IF(OR($BK69="",$BL69=""),"ONZEKER",IF(OR($BH69="",$BI69=""),"ONZEKER",IF(AND($BK69=$BH69+1,$BL69=$BI69),IF(OR(COUNTIF(#REF!,$B69)&gt;0,COUNTIF(#REF!,$B69)=0),"SKIP",IF(COUNTIFS(#REF!,$B69,#REF!,$W69)&gt;0,"OK","ONBEKEND")),IF(AND($BK69=$BH69,$BL69=$BI69+1),IF(OR(COUNTIF(#REF!,$D69)&gt;0,COUNTIF(#REF!,$D69)=0),"SKIP",IF(COUNTIFS(#REF!,$D69,#REF!,$W69)&gt;0,"OK","ONBEKEND")),"ONZEKER")))))</f>
        <v/>
      </c>
      <c r="Y69" t="str">
        <f t="shared" si="528"/>
        <v/>
      </c>
      <c r="Z69" t="str">
        <f t="shared" si="529"/>
        <v/>
      </c>
      <c r="AA69" t="str">
        <f>IF($Z69="","",IF(OR($BN69="",$BO69=""),"ONZEKER",IF(OR($BK69="",$BL69=""),"ONZEKER",IF(AND($BN69=$BK69+1,$BO69=$BL69),IF(OR(COUNTIF(#REF!,$B69)&gt;0,COUNTIF(#REF!,$B69)=0),"SKIP",IF(COUNTIFS(#REF!,$B69,#REF!,$Z69)&gt;0,"OK","ONBEKEND")),IF(AND($BN69=$BK69,$BO69=$BL69+1),IF(OR(COUNTIF(#REF!,$D69)&gt;0,COUNTIF(#REF!,$D69)=0),"SKIP",IF(COUNTIFS(#REF!,$D69,#REF!,$Z69)&gt;0,"OK","ONBEKEND")),"ONZEKER")))))</f>
        <v/>
      </c>
      <c r="AB69" t="str">
        <f t="shared" si="530"/>
        <v/>
      </c>
      <c r="AC69" t="str">
        <f t="shared" si="531"/>
        <v/>
      </c>
      <c r="AD69" t="str">
        <f>IF($AC69="","",IF(OR($BQ69="",$BR69=""),"ONZEKER",IF(OR($BN69="",$BO69=""),"ONZEKER",IF(AND($BQ69=$BN69+1,$BR69=$BO69),IF(OR(COUNTIF(#REF!,$B69)&gt;0,COUNTIF(#REF!,$B69)=0),"SKIP",IF(COUNTIFS(#REF!,$B69,#REF!,$AC69)&gt;0,"OK","ONBEKEND")),IF(AND($BQ69=$BN69,$BR69=$BO69+1),IF(OR(COUNTIF(#REF!,$D69)&gt;0,COUNTIF(#REF!,$D69)=0),"SKIP",IF(COUNTIFS(#REF!,$D69,#REF!,$AC69)&gt;0,"OK","ONBEKEND")),"ONZEKER")))))</f>
        <v/>
      </c>
      <c r="AE69" t="str">
        <f t="shared" si="532"/>
        <v/>
      </c>
      <c r="AF69" t="str">
        <f t="shared" si="533"/>
        <v/>
      </c>
      <c r="AG69" t="str">
        <f>IF($AF69="","",IF(OR($BT69="",$BU69=""),"ONZEKER",IF(OR($BQ69="",$BR69=""),"ONZEKER",IF(AND($BT69=$BQ69+1,$BU69=$BR69),IF(OR(COUNTIF(#REF!,$B69)&gt;0,COUNTIF(#REF!,$B69)=0),"SKIP",IF(COUNTIFS(#REF!,$B69,#REF!,$AF69)&gt;0,"OK","ONBEKEND")),IF(AND($BT69=$BQ69,$BU69=$BR69+1),IF(OR(COUNTIF(#REF!,$D69)&gt;0,COUNTIF(#REF!,$D69)=0),"SKIP",IF(COUNTIFS(#REF!,$D69,#REF!,$AF69)&gt;0,"OK","ONBEKEND")),"ONZEKER")))))</f>
        <v/>
      </c>
      <c r="AH69" t="str">
        <f t="shared" si="534"/>
        <v/>
      </c>
      <c r="AI69" t="str">
        <f t="shared" si="535"/>
        <v/>
      </c>
      <c r="AJ69" t="str">
        <f>IF($AI69="","",IF(OR($BW69="",$BX69=""),"ONZEKER",IF(OR($BT69="",$BU69=""),"ONZEKER",IF(AND($BW69=$BT69+1,$BX69=$BU69),IF(OR(COUNTIF(#REF!,$B69)&gt;0,COUNTIF(#REF!,$B69)=0),"SKIP",IF(COUNTIFS(#REF!,$B69,#REF!,$AI69)&gt;0,"OK","ONBEKEND")),IF(AND($BW69=$BT69,$BX69=$BU69+1),IF(OR(COUNTIF(#REF!,$D69)&gt;0,COUNTIF(#REF!,$D69)=0),"SKIP",IF(COUNTIFS(#REF!,$D69,#REF!,$AI69)&gt;0,"OK","ONBEKEND")),"ONZEKER")))))</f>
        <v/>
      </c>
      <c r="AK69" t="str">
        <f t="shared" si="536"/>
        <v/>
      </c>
      <c r="AL69" t="str">
        <f t="shared" si="537"/>
        <v/>
      </c>
      <c r="AM69" t="str">
        <f>IF($AL69="","",IF(OR($BZ69="",$CA69=""),"ONZEKER",IF(OR($BW69="",$BX69=""),"ONZEKER",IF(AND($BZ69=$BW69+1,$CA69=$BX69),IF(OR(COUNTIF(#REF!,$B69)&gt;0,COUNTIF(#REF!,$B69)=0),"SKIP",IF(COUNTIFS(#REF!,$B69,#REF!,$AL69)&gt;0,"OK","ONBEKEND")),IF(AND($BZ69=$BW69,$CA69=$BX69+1),IF(OR(COUNTIF(#REF!,$D69)&gt;0,COUNTIF(#REF!,$D69)=0),"SKIP",IF(COUNTIFS(#REF!,$D69,#REF!,$AL69)&gt;0,"OK","ONBEKEND")),"ONZEKER")))))</f>
        <v/>
      </c>
      <c r="AN69" t="str">
        <f t="shared" si="538"/>
        <v/>
      </c>
      <c r="AO69" t="str">
        <f t="shared" si="539"/>
        <v/>
      </c>
      <c r="AP69" t="str">
        <f>IF($AO69="","",IF(OR($CC69="",$CD69=""),"ONZEKER",IF(OR($BZ69="",$CA69=""),"ONZEKER",IF(AND($CC69=$BZ69+1,$CD69=$CA69),IF(OR(COUNTIF(#REF!,$B69)&gt;0,COUNTIF(#REF!,$B69)=0),"SKIP",IF(COUNTIFS(#REF!,$B69,#REF!,$AO69)&gt;0,"OK","ONBEKEND")),IF(AND($CC69=$BZ69,$CD69=$CA69+1),IF(OR(COUNTIF(#REF!,$D69)&gt;0,COUNTIF(#REF!,$D69)=0),"SKIP",IF(COUNTIFS(#REF!,$D69,#REF!,$AO69)&gt;0,"OK","ONBEKEND")),"ONZEKER")))))</f>
        <v/>
      </c>
      <c r="AQ69" t="str">
        <f t="shared" si="540"/>
        <v/>
      </c>
      <c r="AR69" t="str">
        <f t="shared" si="541"/>
        <v/>
      </c>
      <c r="AS69" t="str">
        <f>IF($AR69="","",IF(OR($CF69="",$CG69=""),"ONZEKER",IF(OR($CC69="",$CD69=""),"ONZEKER",IF(AND($CF69=$CC69+1,$CG69=$CD69),IF(OR(COUNTIF(#REF!,$B69)&gt;0,COUNTIF(#REF!,$B69)=0),"SKIP",IF(COUNTIFS(#REF!,$B69,#REF!,$AR69)&gt;0,"OK","ONBEKEND")),IF(AND($CF69=$CC69,$CG69=$CD69+1),IF(OR(COUNTIF(#REF!,$D69)&gt;0,COUNTIF(#REF!,$D69)=0),"SKIP",IF(COUNTIFS(#REF!,$D69,#REF!,$AR69)&gt;0,"OK","ONBEKEND")),"ONZEKER")))))</f>
        <v/>
      </c>
      <c r="AT69" t="str">
        <f t="shared" si="542"/>
        <v/>
      </c>
      <c r="AU69" t="str">
        <f t="shared" si="543"/>
        <v/>
      </c>
      <c r="AV69" t="str">
        <f t="shared" si="544"/>
        <v/>
      </c>
      <c r="AW69" t="str">
        <f t="shared" si="545"/>
        <v/>
      </c>
      <c r="AX69" t="str">
        <f t="shared" si="546"/>
        <v/>
      </c>
      <c r="AY69" t="str">
        <f t="shared" si="547"/>
        <v/>
      </c>
      <c r="AZ69" t="str">
        <f t="shared" si="548"/>
        <v/>
      </c>
      <c r="BA69" t="str">
        <f t="shared" si="549"/>
        <v/>
      </c>
      <c r="BB69" t="str">
        <f t="shared" si="550"/>
        <v/>
      </c>
      <c r="BC69" t="str">
        <f t="shared" si="551"/>
        <v/>
      </c>
      <c r="BD69" t="str">
        <f t="shared" si="490"/>
        <v/>
      </c>
      <c r="BE69" t="str">
        <f t="shared" si="491"/>
        <v/>
      </c>
      <c r="BF69" t="str">
        <f t="shared" si="492"/>
        <v/>
      </c>
      <c r="BG69" t="str">
        <f t="shared" si="493"/>
        <v/>
      </c>
      <c r="BH69" t="str">
        <f t="shared" si="494"/>
        <v/>
      </c>
      <c r="BI69" t="str">
        <f t="shared" si="495"/>
        <v/>
      </c>
      <c r="BJ69" t="str">
        <f t="shared" si="496"/>
        <v/>
      </c>
      <c r="BK69" t="str">
        <f t="shared" si="497"/>
        <v/>
      </c>
      <c r="BL69" t="str">
        <f t="shared" si="498"/>
        <v/>
      </c>
      <c r="BM69" t="str">
        <f t="shared" si="499"/>
        <v/>
      </c>
      <c r="BN69" t="str">
        <f t="shared" si="500"/>
        <v/>
      </c>
      <c r="BO69" t="str">
        <f t="shared" si="501"/>
        <v/>
      </c>
      <c r="BP69" t="str">
        <f t="shared" si="502"/>
        <v/>
      </c>
      <c r="BQ69" t="str">
        <f t="shared" si="503"/>
        <v/>
      </c>
      <c r="BR69" t="str">
        <f t="shared" si="504"/>
        <v/>
      </c>
      <c r="BS69" t="str">
        <f t="shared" si="505"/>
        <v/>
      </c>
      <c r="BT69" t="str">
        <f t="shared" si="506"/>
        <v/>
      </c>
      <c r="BU69" t="str">
        <f t="shared" si="507"/>
        <v/>
      </c>
      <c r="BV69" t="str">
        <f t="shared" si="508"/>
        <v/>
      </c>
      <c r="BW69" t="str">
        <f t="shared" si="509"/>
        <v/>
      </c>
      <c r="BX69" t="str">
        <f t="shared" si="510"/>
        <v/>
      </c>
      <c r="BY69" t="str">
        <f t="shared" si="511"/>
        <v/>
      </c>
      <c r="BZ69" t="str">
        <f t="shared" si="512"/>
        <v/>
      </c>
      <c r="CA69" t="str">
        <f t="shared" si="513"/>
        <v/>
      </c>
      <c r="CB69" t="str">
        <f t="shared" si="514"/>
        <v/>
      </c>
      <c r="CC69" t="str">
        <f t="shared" si="515"/>
        <v/>
      </c>
      <c r="CD69" t="str">
        <f t="shared" si="516"/>
        <v/>
      </c>
      <c r="CE69" t="str">
        <f t="shared" si="517"/>
        <v/>
      </c>
      <c r="CF69" t="str">
        <f t="shared" si="518"/>
        <v/>
      </c>
      <c r="CG69" t="str">
        <f t="shared" si="519"/>
        <v/>
      </c>
      <c r="CH69" t="str">
        <f t="shared" si="552"/>
        <v/>
      </c>
      <c r="CI69" t="str">
        <f t="shared" si="553"/>
        <v/>
      </c>
      <c r="CJ69" t="str">
        <f>IF($CI69="","",IF(OR($DW69="",$DX69=""),"ONZEKER",IF(OR($CF69="",$CG69=""),"ONZEKER",IF(AND($DW69=$CF69+1,$DX69=$CG69),IF(OR(COUNTIF(#REF!,$B69)&gt;0,COUNTIF(#REF!,$B69)=0),"SKIP",IF(COUNTIFS(#REF!,$B69,#REF!,$CI69)&gt;0,"OK","ONBEKEND")),IF(AND($DW69=$CF69,$DX69=$CG69+1),IF(OR(COUNTIF(#REF!,$D69)&gt;0,COUNTIF(#REF!,$D69)=0),"SKIP",IF(COUNTIFS(#REF!,$D69,#REF!,$CI69)&gt;0,"OK","ONBEKEND")),"ONZEKER")))))</f>
        <v/>
      </c>
      <c r="CK69" t="str">
        <f t="shared" si="554"/>
        <v/>
      </c>
      <c r="CL69" t="str">
        <f t="shared" si="555"/>
        <v/>
      </c>
      <c r="CM69" t="str">
        <f>IF($CL69="","",IF(OR($DZ69="",$EA69=""),"ONZEKER",IF(OR($DW69="",$DX69=""),"ONZEKER",IF(AND($DZ69=$DW69+1,$EA69=$DX69),IF(OR(COUNTIF(#REF!,$B69)&gt;0,COUNTIF(#REF!,$B69)=0),"SKIP",IF(COUNTIFS(#REF!,$B69,#REF!,$CL69)&gt;0,"OK","ONBEKEND")),IF(AND($DZ69=$DW69,$EA69=$DX69+1),IF(OR(COUNTIF(#REF!,$D69)&gt;0,COUNTIF(#REF!,$D69)=0),"SKIP",IF(COUNTIFS(#REF!,$D69,#REF!,$CL69)&gt;0,"OK","ONBEKEND")),"ONZEKER")))))</f>
        <v/>
      </c>
      <c r="CN69" t="str">
        <f t="shared" si="556"/>
        <v/>
      </c>
      <c r="CO69" t="str">
        <f t="shared" si="557"/>
        <v/>
      </c>
      <c r="CP69" t="str">
        <f>IF($CO69="","",IF(OR($EC69="",$ED69=""),"ONZEKER",IF(OR($DZ69="",$EA69=""),"ONZEKER",IF(AND($EC69=$DZ69+1,$ED69=$EA69),IF(OR(COUNTIF(#REF!,$B69)&gt;0,COUNTIF(#REF!,$B69)=0),"SKIP",IF(COUNTIFS(#REF!,$B69,#REF!,$CO69)&gt;0,"OK","ONBEKEND")),IF(AND($EC69=$DZ69,$ED69=$EA69+1),IF(OR(COUNTIF(#REF!,$D69)&gt;0,COUNTIF(#REF!,$D69)=0),"SKIP",IF(COUNTIFS(#REF!,$D69,#REF!,$CO69)&gt;0,"OK","ONBEKEND")),"ONZEKER")))))</f>
        <v/>
      </c>
      <c r="CQ69" t="str">
        <f t="shared" si="558"/>
        <v/>
      </c>
      <c r="CR69" t="str">
        <f t="shared" si="559"/>
        <v/>
      </c>
      <c r="CS69" t="str">
        <f>IF($CR69="","",IF(OR($EF69="",$EG69=""),"ONZEKER",IF(OR($EC69="",$ED69=""),"ONZEKER",IF(AND($EF69=$EC69+1,$EG69=$ED69),IF(OR(COUNTIF(#REF!,$B69)&gt;0,COUNTIF(#REF!,$B69)=0),"SKIP",IF(COUNTIFS(#REF!,$B69,#REF!,$CR69)&gt;0,"OK","ONBEKEND")),IF(AND($EF69=$EC69,$EG69=$ED69+1),IF(OR(COUNTIF(#REF!,$D69)&gt;0,COUNTIF(#REF!,$D69)=0),"SKIP",IF(COUNTIFS(#REF!,$D69,#REF!,$CR69)&gt;0,"OK","ONBEKEND")),"ONZEKER")))))</f>
        <v/>
      </c>
      <c r="CT69" t="str">
        <f t="shared" si="560"/>
        <v/>
      </c>
      <c r="CU69" t="str">
        <f t="shared" si="561"/>
        <v/>
      </c>
      <c r="CV69" t="str">
        <f>IF($CU69="","",IF(OR($EI69="",$EJ69=""),"ONZEKER",IF(OR($EF69="",$EG69=""),"ONZEKER",IF(AND($EI69=$EF69+1,$EJ69=$EG69),IF(OR(COUNTIF(#REF!,$B69)&gt;0,COUNTIF(#REF!,$B69)=0),"SKIP",IF(COUNTIFS(#REF!,$B69,#REF!,$CU69)&gt;0,"OK","ONBEKEND")),IF(AND($EI69=$EF69,$EJ69=$EG69+1),IF(OR(COUNTIF(#REF!,$D69)&gt;0,COUNTIF(#REF!,$D69)=0),"SKIP",IF(COUNTIFS(#REF!,$D69,#REF!,$CU69)&gt;0,"OK","ONBEKEND")),"ONZEKER")))))</f>
        <v/>
      </c>
      <c r="CW69" t="str">
        <f t="shared" si="562"/>
        <v/>
      </c>
      <c r="CX69" t="str">
        <f t="shared" si="563"/>
        <v/>
      </c>
      <c r="CY69" t="str">
        <f>IF($CX69="","",IF(OR($EL69="",$EM69=""),"ONZEKER",IF(OR($EI69="",$EJ69=""),"ONZEKER",IF(AND($EL69=$EI69+1,$EM69=$EJ69),IF(OR(COUNTIF(#REF!,$B69)&gt;0,COUNTIF(#REF!,$B69)=0),"SKIP",IF(COUNTIFS(#REF!,$B69,#REF!,$CX69)&gt;0,"OK","ONBEKEND")),IF(AND($EL69=$EI69,$EM69=$EJ69+1),IF(OR(COUNTIF(#REF!,$D69)&gt;0,COUNTIF(#REF!,$D69)=0),"SKIP",IF(COUNTIFS(#REF!,$D69,#REF!,$CX69)&gt;0,"OK","ONBEKEND")),"ONZEKER")))))</f>
        <v/>
      </c>
      <c r="CZ69" t="str">
        <f t="shared" si="564"/>
        <v/>
      </c>
      <c r="DA69" t="str">
        <f t="shared" si="565"/>
        <v/>
      </c>
      <c r="DB69" t="str">
        <f>IF($DA69="","",IF(OR($EO69="",$EP69=""),"ONZEKER",IF(OR($EL69="",$EM69=""),"ONZEKER",IF(AND($EO69=$EL69+1,$EP69=$EM69),IF(OR(COUNTIF(#REF!,$B69)&gt;0,COUNTIF(#REF!,$B69)=0),"SKIP",IF(COUNTIFS(#REF!,$B69,#REF!,$DA69)&gt;0,"OK","ONBEKEND")),IF(AND($EO69=$EL69,$EP69=$EM69+1),IF(OR(COUNTIF(#REF!,$D69)&gt;0,COUNTIF(#REF!,$D69)=0),"SKIP",IF(COUNTIFS(#REF!,$D69,#REF!,$DA69)&gt;0,"OK","ONBEKEND")),"ONZEKER")))))</f>
        <v/>
      </c>
      <c r="DC69" t="str">
        <f t="shared" si="566"/>
        <v/>
      </c>
      <c r="DD69" t="str">
        <f t="shared" si="567"/>
        <v/>
      </c>
      <c r="DE69" t="str">
        <f>IF($DD69="","",IF(OR($ER69="",$ES69=""),"ONZEKER",IF(OR($EO69="",$EP69=""),"ONZEKER",IF(AND($ER69=$EO69+1,$ES69=$EP69),IF(OR(COUNTIF(#REF!,$B69)&gt;0,COUNTIF(#REF!,$B69)=0),"SKIP",IF(COUNTIFS(#REF!,$B69,#REF!,$DD69)&gt;0,"OK","ONBEKEND")),IF(AND($ER69=$EO69,$ES69=$EP69+1),IF(OR(COUNTIF(#REF!,$D69)&gt;0,COUNTIF(#REF!,$D69)=0),"SKIP",IF(COUNTIFS(#REF!,$D69,#REF!,$DD69)&gt;0,"OK","ONBEKEND")),"ONZEKER")))))</f>
        <v/>
      </c>
      <c r="DF69" t="str">
        <f t="shared" si="568"/>
        <v/>
      </c>
      <c r="DG69" t="str">
        <f t="shared" si="569"/>
        <v/>
      </c>
      <c r="DH69" t="str">
        <f>IF($DG69="","",IF(OR($EU69="",$EV69=""),"ONZEKER",IF(OR($ER69="",$ES69=""),"ONZEKER",IF(AND($EU69=$ER69+1,$EV69=$ES69),IF(OR(COUNTIF(#REF!,$B69)&gt;0,COUNTIF(#REF!,$B69)=0),"SKIP",IF(COUNTIFS(#REF!,$B69,#REF!,$DG69)&gt;0,"OK","ONBEKEND")),IF(AND($EU69=$ER69,$EV69=$ES69+1),IF(OR(COUNTIF(#REF!,$D69)&gt;0,COUNTIF(#REF!,$D69)=0),"SKIP",IF(COUNTIFS(#REF!,$D69,#REF!,$DG69)&gt;0,"OK","ONBEKEND")),"ONZEKER")))))</f>
        <v/>
      </c>
      <c r="DI69" t="str">
        <f t="shared" si="570"/>
        <v/>
      </c>
      <c r="DJ69" t="str">
        <f t="shared" si="571"/>
        <v/>
      </c>
      <c r="DK69" t="str">
        <f>IF($DJ69="","",IF(OR($EX69="",$EY69=""),"ONZEKER",IF(OR($EU69="",$EV69=""),"ONZEKER",IF(AND($EX69=$EU69+1,$EY69=$EV69),IF(OR(COUNTIF(#REF!,$B69)&gt;0,COUNTIF(#REF!,$B69)=0),"SKIP",IF(COUNTIFS(#REF!,$B69,#REF!,$DJ69)&gt;0,"OK","ONBEKEND")),IF(AND($EX69=$EU69,$EY69=$EV69+1),IF(OR(COUNTIF(#REF!,$D69)&gt;0,COUNTIF(#REF!,$D69)=0),"SKIP",IF(COUNTIFS(#REF!,$D69,#REF!,$DJ69)&gt;0,"OK","ONBEKEND")),"ONZEKER")))))</f>
        <v/>
      </c>
      <c r="DL69" t="str">
        <f t="shared" si="572"/>
        <v/>
      </c>
      <c r="DM69" t="str">
        <f t="shared" si="573"/>
        <v/>
      </c>
      <c r="DN69" t="str">
        <f t="shared" si="574"/>
        <v/>
      </c>
      <c r="DO69" t="str">
        <f t="shared" si="575"/>
        <v/>
      </c>
      <c r="DP69" t="str">
        <f t="shared" si="576"/>
        <v/>
      </c>
      <c r="DQ69" t="str">
        <f t="shared" si="577"/>
        <v/>
      </c>
      <c r="DR69" t="str">
        <f t="shared" si="578"/>
        <v/>
      </c>
      <c r="DS69" t="str">
        <f t="shared" si="579"/>
        <v/>
      </c>
      <c r="DT69" t="str">
        <f t="shared" si="580"/>
        <v/>
      </c>
      <c r="DU69" t="str">
        <f t="shared" si="581"/>
        <v/>
      </c>
      <c r="DV69" t="str">
        <f t="shared" si="582"/>
        <v/>
      </c>
      <c r="DW69" t="str">
        <f t="shared" si="583"/>
        <v/>
      </c>
      <c r="DX69" t="str">
        <f t="shared" si="584"/>
        <v/>
      </c>
      <c r="DY69" t="str">
        <f t="shared" si="585"/>
        <v/>
      </c>
      <c r="DZ69" t="str">
        <f t="shared" si="586"/>
        <v/>
      </c>
      <c r="EA69" t="str">
        <f t="shared" si="587"/>
        <v/>
      </c>
      <c r="EB69" t="str">
        <f t="shared" si="588"/>
        <v/>
      </c>
      <c r="EC69" t="str">
        <f t="shared" si="589"/>
        <v/>
      </c>
      <c r="ED69" t="str">
        <f t="shared" si="590"/>
        <v/>
      </c>
      <c r="EE69" t="str">
        <f t="shared" si="591"/>
        <v/>
      </c>
      <c r="EF69" t="str">
        <f t="shared" si="592"/>
        <v/>
      </c>
      <c r="EG69" t="str">
        <f t="shared" si="593"/>
        <v/>
      </c>
      <c r="EH69" t="str">
        <f t="shared" si="594"/>
        <v/>
      </c>
      <c r="EI69" t="str">
        <f t="shared" si="595"/>
        <v/>
      </c>
      <c r="EJ69" t="str">
        <f t="shared" si="596"/>
        <v/>
      </c>
      <c r="EK69" t="str">
        <f t="shared" si="597"/>
        <v/>
      </c>
      <c r="EL69" t="str">
        <f t="shared" si="598"/>
        <v/>
      </c>
      <c r="EM69" t="str">
        <f t="shared" si="599"/>
        <v/>
      </c>
      <c r="EN69" t="str">
        <f t="shared" si="600"/>
        <v/>
      </c>
      <c r="EO69" t="str">
        <f t="shared" si="601"/>
        <v/>
      </c>
      <c r="EP69" t="str">
        <f t="shared" si="602"/>
        <v/>
      </c>
      <c r="EQ69" t="str">
        <f t="shared" si="603"/>
        <v/>
      </c>
      <c r="ER69" t="str">
        <f t="shared" si="604"/>
        <v/>
      </c>
      <c r="ES69" t="str">
        <f t="shared" si="605"/>
        <v/>
      </c>
      <c r="ET69" t="str">
        <f t="shared" si="606"/>
        <v/>
      </c>
      <c r="EU69" t="str">
        <f t="shared" si="607"/>
        <v/>
      </c>
      <c r="EV69" t="str">
        <f t="shared" si="608"/>
        <v/>
      </c>
      <c r="EW69" t="str">
        <f t="shared" si="609"/>
        <v/>
      </c>
      <c r="EX69" t="str">
        <f t="shared" si="610"/>
        <v/>
      </c>
      <c r="EY69" t="str">
        <f t="shared" si="611"/>
        <v/>
      </c>
    </row>
    <row r="70" spans="1:155" ht="13.9" customHeight="1" x14ac:dyDescent="0.25">
      <c r="A70" s="7"/>
      <c r="B70" s="17"/>
      <c r="C70" s="8"/>
      <c r="D70" s="17"/>
      <c r="E70" s="8"/>
      <c r="F70" s="18">
        <v>0</v>
      </c>
      <c r="G70" s="7" t="s">
        <v>147</v>
      </c>
      <c r="H70" s="18">
        <v>0</v>
      </c>
      <c r="I70" s="19">
        <v>0</v>
      </c>
      <c r="J70" s="7" t="s">
        <v>147</v>
      </c>
      <c r="K70" s="19">
        <v>0</v>
      </c>
      <c r="L70" s="9"/>
      <c r="M70" s="3" t="str">
        <f>IF($L70="","",IF($L70="DOELPUNTENMAKERS","",IF(AND(COUNTIF(#REF!,$B70)=0,COUNTIF(#REF!,$D70)=0),"OK",IF($O70&gt;20,"LET OP: meer dan 20 items (controle onvolledig)",IF((COUNTIF($R70:$AS70,"ONZEKER")+COUNTIF($CJ70:$DK70,"ONZEKER"))&gt;0,"LET OP: scoreverloop onduidelijk (controle beperkt)",IF((IF($AT70&lt;&gt;"",$AT70&amp;", ","")&amp;IF($AU70&lt;&gt;"",$AU70&amp;", ","")&amp;IF($AV70&lt;&gt;"",$AV70&amp;", ","")&amp;IF($AW70&lt;&gt;"",$AW70&amp;", ","")&amp;IF($AX70&lt;&gt;"",$AX70&amp;", ","")&amp;IF($AY70&lt;&gt;"",$AY70&amp;", ","")&amp;IF($AZ70&lt;&gt;"",$AZ70&amp;", ","")&amp;IF($BA70&lt;&gt;"",$BA70&amp;", ","")&amp;IF($BB70&lt;&gt;"",$BB70&amp;", ","")&amp;IF($BC70&lt;&gt;"",$BC70&amp;", ","")&amp;IF($DL70&lt;&gt;"",$DL70&amp;", ","")&amp;IF($DM70&lt;&gt;"",$DM70&amp;", ","")&amp;IF($DN70&lt;&gt;"",$DN70&amp;", ","")&amp;IF($DO70&lt;&gt;"",$DO70&amp;", ","")&amp;IF($DP70&lt;&gt;"",$DP70&amp;", ","")&amp;IF($DQ70&lt;&gt;"",$DQ70&amp;", ","")&amp;IF($DR70&lt;&gt;"",$DR70&amp;", ","")&amp;IF($DS70&lt;&gt;"",$DS70&amp;", ","")&amp;IF($DT70&lt;&gt;"",$DT70&amp;", ","")&amp;IF($DU70&lt;&gt;"",$DU70&amp;", ",""))="","OK","Onbekend: "&amp;LEFT((IF($AT70&lt;&gt;"",$AT70&amp;", ","")&amp;IF($AU70&lt;&gt;"",$AU70&amp;", ","")&amp;IF($AV70&lt;&gt;"",$AV70&amp;", ","")&amp;IF($AW70&lt;&gt;"",$AW70&amp;", ","")&amp;IF($AX70&lt;&gt;"",$AX70&amp;", ","")&amp;IF($AY70&lt;&gt;"",$AY70&amp;", ","")&amp;IF($AZ70&lt;&gt;"",$AZ70&amp;", ","")&amp;IF($BA70&lt;&gt;"",$BA70&amp;", ","")&amp;IF($BB70&lt;&gt;"",$BB70&amp;", ","")&amp;IF($BC70&lt;&gt;"",$BC70&amp;", ","")&amp;IF($DL70&lt;&gt;"",$DL70&amp;", ","")&amp;IF($DM70&lt;&gt;"",$DM70&amp;", ","")&amp;IF($DN70&lt;&gt;"",$DN70&amp;", ","")&amp;IF($DO70&lt;&gt;"",$DO70&amp;", ","")&amp;IF($DP70&lt;&gt;"",$DP70&amp;", ","")&amp;IF($DQ70&lt;&gt;"",$DQ70&amp;", ","")&amp;IF($DR70&lt;&gt;"",$DR70&amp;", ","")&amp;IF($DS70&lt;&gt;"",$DS70&amp;", ","")&amp;IF($DT70&lt;&gt;"",$DT70&amp;", ","")&amp;IF($DU70&lt;&gt;"",$DU70&amp;", ","")),LEN((IF($AT70&lt;&gt;"",$AT70&amp;", ","")&amp;IF($AU70&lt;&gt;"",$AU70&amp;", ","")&amp;IF($AV70&lt;&gt;"",$AV70&amp;", ","")&amp;IF($AW70&lt;&gt;"",$AW70&amp;", ","")&amp;IF($AX70&lt;&gt;"",$AX70&amp;", ","")&amp;IF($AY70&lt;&gt;"",$AY70&amp;", ","")&amp;IF($AZ70&lt;&gt;"",$AZ70&amp;", ","")&amp;IF($BA70&lt;&gt;"",$BA70&amp;", ","")&amp;IF($BB70&lt;&gt;"",$BB70&amp;", ","")&amp;IF($BC70&lt;&gt;"",$BC70&amp;", ","")&amp;IF($DL70&lt;&gt;"",$DL70&amp;", ","")&amp;IF($DM70&lt;&gt;"",$DM70&amp;", ","")&amp;IF($DN70&lt;&gt;"",$DN70&amp;", ","")&amp;IF($DO70&lt;&gt;"",$DO70&amp;", ","")&amp;IF($DP70&lt;&gt;"",$DP70&amp;", ","")&amp;IF($DQ70&lt;&gt;"",$DQ70&amp;", ","")&amp;IF($DR70&lt;&gt;"",$DR70&amp;", ","")&amp;IF($DS70&lt;&gt;"",$DS70&amp;", ","")&amp;IF($DT70&lt;&gt;"",$DT70&amp;", ","")&amp;IF($DU70&lt;&gt;"",$DU70&amp;", ","")))-2)))))))</f>
        <v/>
      </c>
      <c r="N70" t="str">
        <f t="shared" si="520"/>
        <v/>
      </c>
      <c r="O70" t="str">
        <f t="shared" si="521"/>
        <v/>
      </c>
      <c r="P70" t="str">
        <f t="shared" si="522"/>
        <v/>
      </c>
      <c r="Q70" t="str">
        <f t="shared" si="523"/>
        <v/>
      </c>
      <c r="R70" t="str">
        <f>IF($Q70="","",IF(OR($BE70="",$BF70=""),"ONZEKER",IF(AND($BE70=0+1,$BF70=0),IF(OR(COUNTIF(#REF!,$B70)&gt;0,COUNTIF(#REF!,$B70)=0),"SKIP",IF(COUNTIFS(#REF!,$B70,#REF!,$Q70)&gt;0,"OK","ONBEKEND")),IF(AND($BE70=0,$BF70=0+1),IF(OR(COUNTIF(#REF!,$D70)&gt;0,COUNTIF(#REF!,$D70)=0),"SKIP",IF(COUNTIFS(#REF!,$D70,#REF!,$Q70)&gt;0,"OK","ONBEKEND")),"ONZEKER"))))</f>
        <v/>
      </c>
      <c r="S70" t="str">
        <f t="shared" si="524"/>
        <v/>
      </c>
      <c r="T70" t="str">
        <f t="shared" si="525"/>
        <v/>
      </c>
      <c r="U70" t="str">
        <f>IF($T70="","",IF(OR($BH70="",$BI70=""),"ONZEKER",IF(OR($BE70="",$BF70=""),"ONZEKER",IF(AND($BH70=$BE70+1,$BI70=$BF70),IF(OR(COUNTIF(#REF!,$B70)&gt;0,COUNTIF(#REF!,$B70)=0),"SKIP",IF(COUNTIFS(#REF!,$B70,#REF!,$T70)&gt;0,"OK","ONBEKEND")),IF(AND($BH70=$BE70,$BI70=$BF70+1),IF(OR(COUNTIF(#REF!,$D70)&gt;0,COUNTIF(#REF!,$D70)=0),"SKIP",IF(COUNTIFS(#REF!,$D70,#REF!,$T70)&gt;0,"OK","ONBEKEND")),"ONZEKER")))))</f>
        <v/>
      </c>
      <c r="V70" t="str">
        <f t="shared" si="526"/>
        <v/>
      </c>
      <c r="W70" t="str">
        <f t="shared" si="527"/>
        <v/>
      </c>
      <c r="X70" t="str">
        <f>IF($W70="","",IF(OR($BK70="",$BL70=""),"ONZEKER",IF(OR($BH70="",$BI70=""),"ONZEKER",IF(AND($BK70=$BH70+1,$BL70=$BI70),IF(OR(COUNTIF(#REF!,$B70)&gt;0,COUNTIF(#REF!,$B70)=0),"SKIP",IF(COUNTIFS(#REF!,$B70,#REF!,$W70)&gt;0,"OK","ONBEKEND")),IF(AND($BK70=$BH70,$BL70=$BI70+1),IF(OR(COUNTIF(#REF!,$D70)&gt;0,COUNTIF(#REF!,$D70)=0),"SKIP",IF(COUNTIFS(#REF!,$D70,#REF!,$W70)&gt;0,"OK","ONBEKEND")),"ONZEKER")))))</f>
        <v/>
      </c>
      <c r="Y70" t="str">
        <f t="shared" si="528"/>
        <v/>
      </c>
      <c r="Z70" t="str">
        <f t="shared" si="529"/>
        <v/>
      </c>
      <c r="AA70" t="str">
        <f>IF($Z70="","",IF(OR($BN70="",$BO70=""),"ONZEKER",IF(OR($BK70="",$BL70=""),"ONZEKER",IF(AND($BN70=$BK70+1,$BO70=$BL70),IF(OR(COUNTIF(#REF!,$B70)&gt;0,COUNTIF(#REF!,$B70)=0),"SKIP",IF(COUNTIFS(#REF!,$B70,#REF!,$Z70)&gt;0,"OK","ONBEKEND")),IF(AND($BN70=$BK70,$BO70=$BL70+1),IF(OR(COUNTIF(#REF!,$D70)&gt;0,COUNTIF(#REF!,$D70)=0),"SKIP",IF(COUNTIFS(#REF!,$D70,#REF!,$Z70)&gt;0,"OK","ONBEKEND")),"ONZEKER")))))</f>
        <v/>
      </c>
      <c r="AB70" t="str">
        <f t="shared" si="530"/>
        <v/>
      </c>
      <c r="AC70" t="str">
        <f t="shared" si="531"/>
        <v/>
      </c>
      <c r="AD70" t="str">
        <f>IF($AC70="","",IF(OR($BQ70="",$BR70=""),"ONZEKER",IF(OR($BN70="",$BO70=""),"ONZEKER",IF(AND($BQ70=$BN70+1,$BR70=$BO70),IF(OR(COUNTIF(#REF!,$B70)&gt;0,COUNTIF(#REF!,$B70)=0),"SKIP",IF(COUNTIFS(#REF!,$B70,#REF!,$AC70)&gt;0,"OK","ONBEKEND")),IF(AND($BQ70=$BN70,$BR70=$BO70+1),IF(OR(COUNTIF(#REF!,$D70)&gt;0,COUNTIF(#REF!,$D70)=0),"SKIP",IF(COUNTIFS(#REF!,$D70,#REF!,$AC70)&gt;0,"OK","ONBEKEND")),"ONZEKER")))))</f>
        <v/>
      </c>
      <c r="AE70" t="str">
        <f t="shared" si="532"/>
        <v/>
      </c>
      <c r="AF70" t="str">
        <f t="shared" si="533"/>
        <v/>
      </c>
      <c r="AG70" t="str">
        <f>IF($AF70="","",IF(OR($BT70="",$BU70=""),"ONZEKER",IF(OR($BQ70="",$BR70=""),"ONZEKER",IF(AND($BT70=$BQ70+1,$BU70=$BR70),IF(OR(COUNTIF(#REF!,$B70)&gt;0,COUNTIF(#REF!,$B70)=0),"SKIP",IF(COUNTIFS(#REF!,$B70,#REF!,$AF70)&gt;0,"OK","ONBEKEND")),IF(AND($BT70=$BQ70,$BU70=$BR70+1),IF(OR(COUNTIF(#REF!,$D70)&gt;0,COUNTIF(#REF!,$D70)=0),"SKIP",IF(COUNTIFS(#REF!,$D70,#REF!,$AF70)&gt;0,"OK","ONBEKEND")),"ONZEKER")))))</f>
        <v/>
      </c>
      <c r="AH70" t="str">
        <f t="shared" si="534"/>
        <v/>
      </c>
      <c r="AI70" t="str">
        <f t="shared" si="535"/>
        <v/>
      </c>
      <c r="AJ70" t="str">
        <f>IF($AI70="","",IF(OR($BW70="",$BX70=""),"ONZEKER",IF(OR($BT70="",$BU70=""),"ONZEKER",IF(AND($BW70=$BT70+1,$BX70=$BU70),IF(OR(COUNTIF(#REF!,$B70)&gt;0,COUNTIF(#REF!,$B70)=0),"SKIP",IF(COUNTIFS(#REF!,$B70,#REF!,$AI70)&gt;0,"OK","ONBEKEND")),IF(AND($BW70=$BT70,$BX70=$BU70+1),IF(OR(COUNTIF(#REF!,$D70)&gt;0,COUNTIF(#REF!,$D70)=0),"SKIP",IF(COUNTIFS(#REF!,$D70,#REF!,$AI70)&gt;0,"OK","ONBEKEND")),"ONZEKER")))))</f>
        <v/>
      </c>
      <c r="AK70" t="str">
        <f t="shared" si="536"/>
        <v/>
      </c>
      <c r="AL70" t="str">
        <f t="shared" si="537"/>
        <v/>
      </c>
      <c r="AM70" t="str">
        <f>IF($AL70="","",IF(OR($BZ70="",$CA70=""),"ONZEKER",IF(OR($BW70="",$BX70=""),"ONZEKER",IF(AND($BZ70=$BW70+1,$CA70=$BX70),IF(OR(COUNTIF(#REF!,$B70)&gt;0,COUNTIF(#REF!,$B70)=0),"SKIP",IF(COUNTIFS(#REF!,$B70,#REF!,$AL70)&gt;0,"OK","ONBEKEND")),IF(AND($BZ70=$BW70,$CA70=$BX70+1),IF(OR(COUNTIF(#REF!,$D70)&gt;0,COUNTIF(#REF!,$D70)=0),"SKIP",IF(COUNTIFS(#REF!,$D70,#REF!,$AL70)&gt;0,"OK","ONBEKEND")),"ONZEKER")))))</f>
        <v/>
      </c>
      <c r="AN70" t="str">
        <f t="shared" si="538"/>
        <v/>
      </c>
      <c r="AO70" t="str">
        <f t="shared" si="539"/>
        <v/>
      </c>
      <c r="AP70" t="str">
        <f>IF($AO70="","",IF(OR($CC70="",$CD70=""),"ONZEKER",IF(OR($BZ70="",$CA70=""),"ONZEKER",IF(AND($CC70=$BZ70+1,$CD70=$CA70),IF(OR(COUNTIF(#REF!,$B70)&gt;0,COUNTIF(#REF!,$B70)=0),"SKIP",IF(COUNTIFS(#REF!,$B70,#REF!,$AO70)&gt;0,"OK","ONBEKEND")),IF(AND($CC70=$BZ70,$CD70=$CA70+1),IF(OR(COUNTIF(#REF!,$D70)&gt;0,COUNTIF(#REF!,$D70)=0),"SKIP",IF(COUNTIFS(#REF!,$D70,#REF!,$AO70)&gt;0,"OK","ONBEKEND")),"ONZEKER")))))</f>
        <v/>
      </c>
      <c r="AQ70" t="str">
        <f t="shared" si="540"/>
        <v/>
      </c>
      <c r="AR70" t="str">
        <f t="shared" si="541"/>
        <v/>
      </c>
      <c r="AS70" t="str">
        <f>IF($AR70="","",IF(OR($CF70="",$CG70=""),"ONZEKER",IF(OR($CC70="",$CD70=""),"ONZEKER",IF(AND($CF70=$CC70+1,$CG70=$CD70),IF(OR(COUNTIF(#REF!,$B70)&gt;0,COUNTIF(#REF!,$B70)=0),"SKIP",IF(COUNTIFS(#REF!,$B70,#REF!,$AR70)&gt;0,"OK","ONBEKEND")),IF(AND($CF70=$CC70,$CG70=$CD70+1),IF(OR(COUNTIF(#REF!,$D70)&gt;0,COUNTIF(#REF!,$D70)=0),"SKIP",IF(COUNTIFS(#REF!,$D70,#REF!,$AR70)&gt;0,"OK","ONBEKEND")),"ONZEKER")))))</f>
        <v/>
      </c>
      <c r="AT70" t="str">
        <f t="shared" si="542"/>
        <v/>
      </c>
      <c r="AU70" t="str">
        <f t="shared" si="543"/>
        <v/>
      </c>
      <c r="AV70" t="str">
        <f t="shared" si="544"/>
        <v/>
      </c>
      <c r="AW70" t="str">
        <f t="shared" si="545"/>
        <v/>
      </c>
      <c r="AX70" t="str">
        <f t="shared" si="546"/>
        <v/>
      </c>
      <c r="AY70" t="str">
        <f t="shared" si="547"/>
        <v/>
      </c>
      <c r="AZ70" t="str">
        <f t="shared" si="548"/>
        <v/>
      </c>
      <c r="BA70" t="str">
        <f t="shared" si="549"/>
        <v/>
      </c>
      <c r="BB70" t="str">
        <f t="shared" si="550"/>
        <v/>
      </c>
      <c r="BC70" t="str">
        <f t="shared" si="551"/>
        <v/>
      </c>
      <c r="BD70" t="str">
        <f t="shared" si="490"/>
        <v/>
      </c>
      <c r="BE70" t="str">
        <f t="shared" si="491"/>
        <v/>
      </c>
      <c r="BF70" t="str">
        <f t="shared" si="492"/>
        <v/>
      </c>
      <c r="BG70" t="str">
        <f t="shared" si="493"/>
        <v/>
      </c>
      <c r="BH70" t="str">
        <f t="shared" si="494"/>
        <v/>
      </c>
      <c r="BI70" t="str">
        <f t="shared" si="495"/>
        <v/>
      </c>
      <c r="BJ70" t="str">
        <f t="shared" si="496"/>
        <v/>
      </c>
      <c r="BK70" t="str">
        <f t="shared" si="497"/>
        <v/>
      </c>
      <c r="BL70" t="str">
        <f t="shared" si="498"/>
        <v/>
      </c>
      <c r="BM70" t="str">
        <f t="shared" si="499"/>
        <v/>
      </c>
      <c r="BN70" t="str">
        <f t="shared" si="500"/>
        <v/>
      </c>
      <c r="BO70" t="str">
        <f t="shared" si="501"/>
        <v/>
      </c>
      <c r="BP70" t="str">
        <f t="shared" si="502"/>
        <v/>
      </c>
      <c r="BQ70" t="str">
        <f t="shared" si="503"/>
        <v/>
      </c>
      <c r="BR70" t="str">
        <f t="shared" si="504"/>
        <v/>
      </c>
      <c r="BS70" t="str">
        <f t="shared" si="505"/>
        <v/>
      </c>
      <c r="BT70" t="str">
        <f t="shared" si="506"/>
        <v/>
      </c>
      <c r="BU70" t="str">
        <f t="shared" si="507"/>
        <v/>
      </c>
      <c r="BV70" t="str">
        <f t="shared" si="508"/>
        <v/>
      </c>
      <c r="BW70" t="str">
        <f t="shared" si="509"/>
        <v/>
      </c>
      <c r="BX70" t="str">
        <f t="shared" si="510"/>
        <v/>
      </c>
      <c r="BY70" t="str">
        <f t="shared" si="511"/>
        <v/>
      </c>
      <c r="BZ70" t="str">
        <f t="shared" si="512"/>
        <v/>
      </c>
      <c r="CA70" t="str">
        <f t="shared" si="513"/>
        <v/>
      </c>
      <c r="CB70" t="str">
        <f t="shared" si="514"/>
        <v/>
      </c>
      <c r="CC70" t="str">
        <f t="shared" si="515"/>
        <v/>
      </c>
      <c r="CD70" t="str">
        <f t="shared" si="516"/>
        <v/>
      </c>
      <c r="CE70" t="str">
        <f t="shared" si="517"/>
        <v/>
      </c>
      <c r="CF70" t="str">
        <f t="shared" si="518"/>
        <v/>
      </c>
      <c r="CG70" t="str">
        <f t="shared" si="519"/>
        <v/>
      </c>
      <c r="CH70" t="str">
        <f t="shared" si="552"/>
        <v/>
      </c>
      <c r="CI70" t="str">
        <f t="shared" si="553"/>
        <v/>
      </c>
      <c r="CJ70" t="str">
        <f>IF($CI70="","",IF(OR($DW70="",$DX70=""),"ONZEKER",IF(OR($CF70="",$CG70=""),"ONZEKER",IF(AND($DW70=$CF70+1,$DX70=$CG70),IF(OR(COUNTIF(#REF!,$B70)&gt;0,COUNTIF(#REF!,$B70)=0),"SKIP",IF(COUNTIFS(#REF!,$B70,#REF!,$CI70)&gt;0,"OK","ONBEKEND")),IF(AND($DW70=$CF70,$DX70=$CG70+1),IF(OR(COUNTIF(#REF!,$D70)&gt;0,COUNTIF(#REF!,$D70)=0),"SKIP",IF(COUNTIFS(#REF!,$D70,#REF!,$CI70)&gt;0,"OK","ONBEKEND")),"ONZEKER")))))</f>
        <v/>
      </c>
      <c r="CK70" t="str">
        <f t="shared" si="554"/>
        <v/>
      </c>
      <c r="CL70" t="str">
        <f t="shared" si="555"/>
        <v/>
      </c>
      <c r="CM70" t="str">
        <f>IF($CL70="","",IF(OR($DZ70="",$EA70=""),"ONZEKER",IF(OR($DW70="",$DX70=""),"ONZEKER",IF(AND($DZ70=$DW70+1,$EA70=$DX70),IF(OR(COUNTIF(#REF!,$B70)&gt;0,COUNTIF(#REF!,$B70)=0),"SKIP",IF(COUNTIFS(#REF!,$B70,#REF!,$CL70)&gt;0,"OK","ONBEKEND")),IF(AND($DZ70=$DW70,$EA70=$DX70+1),IF(OR(COUNTIF(#REF!,$D70)&gt;0,COUNTIF(#REF!,$D70)=0),"SKIP",IF(COUNTIFS(#REF!,$D70,#REF!,$CL70)&gt;0,"OK","ONBEKEND")),"ONZEKER")))))</f>
        <v/>
      </c>
      <c r="CN70" t="str">
        <f t="shared" si="556"/>
        <v/>
      </c>
      <c r="CO70" t="str">
        <f t="shared" si="557"/>
        <v/>
      </c>
      <c r="CP70" t="str">
        <f>IF($CO70="","",IF(OR($EC70="",$ED70=""),"ONZEKER",IF(OR($DZ70="",$EA70=""),"ONZEKER",IF(AND($EC70=$DZ70+1,$ED70=$EA70),IF(OR(COUNTIF(#REF!,$B70)&gt;0,COUNTIF(#REF!,$B70)=0),"SKIP",IF(COUNTIFS(#REF!,$B70,#REF!,$CO70)&gt;0,"OK","ONBEKEND")),IF(AND($EC70=$DZ70,$ED70=$EA70+1),IF(OR(COUNTIF(#REF!,$D70)&gt;0,COUNTIF(#REF!,$D70)=0),"SKIP",IF(COUNTIFS(#REF!,$D70,#REF!,$CO70)&gt;0,"OK","ONBEKEND")),"ONZEKER")))))</f>
        <v/>
      </c>
      <c r="CQ70" t="str">
        <f t="shared" si="558"/>
        <v/>
      </c>
      <c r="CR70" t="str">
        <f t="shared" si="559"/>
        <v/>
      </c>
      <c r="CS70" t="str">
        <f>IF($CR70="","",IF(OR($EF70="",$EG70=""),"ONZEKER",IF(OR($EC70="",$ED70=""),"ONZEKER",IF(AND($EF70=$EC70+1,$EG70=$ED70),IF(OR(COUNTIF(#REF!,$B70)&gt;0,COUNTIF(#REF!,$B70)=0),"SKIP",IF(COUNTIFS(#REF!,$B70,#REF!,$CR70)&gt;0,"OK","ONBEKEND")),IF(AND($EF70=$EC70,$EG70=$ED70+1),IF(OR(COUNTIF(#REF!,$D70)&gt;0,COUNTIF(#REF!,$D70)=0),"SKIP",IF(COUNTIFS(#REF!,$D70,#REF!,$CR70)&gt;0,"OK","ONBEKEND")),"ONZEKER")))))</f>
        <v/>
      </c>
      <c r="CT70" t="str">
        <f t="shared" si="560"/>
        <v/>
      </c>
      <c r="CU70" t="str">
        <f t="shared" si="561"/>
        <v/>
      </c>
      <c r="CV70" t="str">
        <f>IF($CU70="","",IF(OR($EI70="",$EJ70=""),"ONZEKER",IF(OR($EF70="",$EG70=""),"ONZEKER",IF(AND($EI70=$EF70+1,$EJ70=$EG70),IF(OR(COUNTIF(#REF!,$B70)&gt;0,COUNTIF(#REF!,$B70)=0),"SKIP",IF(COUNTIFS(#REF!,$B70,#REF!,$CU70)&gt;0,"OK","ONBEKEND")),IF(AND($EI70=$EF70,$EJ70=$EG70+1),IF(OR(COUNTIF(#REF!,$D70)&gt;0,COUNTIF(#REF!,$D70)=0),"SKIP",IF(COUNTIFS(#REF!,$D70,#REF!,$CU70)&gt;0,"OK","ONBEKEND")),"ONZEKER")))))</f>
        <v/>
      </c>
      <c r="CW70" t="str">
        <f t="shared" si="562"/>
        <v/>
      </c>
      <c r="CX70" t="str">
        <f t="shared" si="563"/>
        <v/>
      </c>
      <c r="CY70" t="str">
        <f>IF($CX70="","",IF(OR($EL70="",$EM70=""),"ONZEKER",IF(OR($EI70="",$EJ70=""),"ONZEKER",IF(AND($EL70=$EI70+1,$EM70=$EJ70),IF(OR(COUNTIF(#REF!,$B70)&gt;0,COUNTIF(#REF!,$B70)=0),"SKIP",IF(COUNTIFS(#REF!,$B70,#REF!,$CX70)&gt;0,"OK","ONBEKEND")),IF(AND($EL70=$EI70,$EM70=$EJ70+1),IF(OR(COUNTIF(#REF!,$D70)&gt;0,COUNTIF(#REF!,$D70)=0),"SKIP",IF(COUNTIFS(#REF!,$D70,#REF!,$CX70)&gt;0,"OK","ONBEKEND")),"ONZEKER")))))</f>
        <v/>
      </c>
      <c r="CZ70" t="str">
        <f t="shared" si="564"/>
        <v/>
      </c>
      <c r="DA70" t="str">
        <f t="shared" si="565"/>
        <v/>
      </c>
      <c r="DB70" t="str">
        <f>IF($DA70="","",IF(OR($EO70="",$EP70=""),"ONZEKER",IF(OR($EL70="",$EM70=""),"ONZEKER",IF(AND($EO70=$EL70+1,$EP70=$EM70),IF(OR(COUNTIF(#REF!,$B70)&gt;0,COUNTIF(#REF!,$B70)=0),"SKIP",IF(COUNTIFS(#REF!,$B70,#REF!,$DA70)&gt;0,"OK","ONBEKEND")),IF(AND($EO70=$EL70,$EP70=$EM70+1),IF(OR(COUNTIF(#REF!,$D70)&gt;0,COUNTIF(#REF!,$D70)=0),"SKIP",IF(COUNTIFS(#REF!,$D70,#REF!,$DA70)&gt;0,"OK","ONBEKEND")),"ONZEKER")))))</f>
        <v/>
      </c>
      <c r="DC70" t="str">
        <f t="shared" si="566"/>
        <v/>
      </c>
      <c r="DD70" t="str">
        <f t="shared" si="567"/>
        <v/>
      </c>
      <c r="DE70" t="str">
        <f>IF($DD70="","",IF(OR($ER70="",$ES70=""),"ONZEKER",IF(OR($EO70="",$EP70=""),"ONZEKER",IF(AND($ER70=$EO70+1,$ES70=$EP70),IF(OR(COUNTIF(#REF!,$B70)&gt;0,COUNTIF(#REF!,$B70)=0),"SKIP",IF(COUNTIFS(#REF!,$B70,#REF!,$DD70)&gt;0,"OK","ONBEKEND")),IF(AND($ER70=$EO70,$ES70=$EP70+1),IF(OR(COUNTIF(#REF!,$D70)&gt;0,COUNTIF(#REF!,$D70)=0),"SKIP",IF(COUNTIFS(#REF!,$D70,#REF!,$DD70)&gt;0,"OK","ONBEKEND")),"ONZEKER")))))</f>
        <v/>
      </c>
      <c r="DF70" t="str">
        <f t="shared" si="568"/>
        <v/>
      </c>
      <c r="DG70" t="str">
        <f t="shared" si="569"/>
        <v/>
      </c>
      <c r="DH70" t="str">
        <f>IF($DG70="","",IF(OR($EU70="",$EV70=""),"ONZEKER",IF(OR($ER70="",$ES70=""),"ONZEKER",IF(AND($EU70=$ER70+1,$EV70=$ES70),IF(OR(COUNTIF(#REF!,$B70)&gt;0,COUNTIF(#REF!,$B70)=0),"SKIP",IF(COUNTIFS(#REF!,$B70,#REF!,$DG70)&gt;0,"OK","ONBEKEND")),IF(AND($EU70=$ER70,$EV70=$ES70+1),IF(OR(COUNTIF(#REF!,$D70)&gt;0,COUNTIF(#REF!,$D70)=0),"SKIP",IF(COUNTIFS(#REF!,$D70,#REF!,$DG70)&gt;0,"OK","ONBEKEND")),"ONZEKER")))))</f>
        <v/>
      </c>
      <c r="DI70" t="str">
        <f t="shared" si="570"/>
        <v/>
      </c>
      <c r="DJ70" t="str">
        <f t="shared" si="571"/>
        <v/>
      </c>
      <c r="DK70" t="str">
        <f>IF($DJ70="","",IF(OR($EX70="",$EY70=""),"ONZEKER",IF(OR($EU70="",$EV70=""),"ONZEKER",IF(AND($EX70=$EU70+1,$EY70=$EV70),IF(OR(COUNTIF(#REF!,$B70)&gt;0,COUNTIF(#REF!,$B70)=0),"SKIP",IF(COUNTIFS(#REF!,$B70,#REF!,$DJ70)&gt;0,"OK","ONBEKEND")),IF(AND($EX70=$EU70,$EY70=$EV70+1),IF(OR(COUNTIF(#REF!,$D70)&gt;0,COUNTIF(#REF!,$D70)=0),"SKIP",IF(COUNTIFS(#REF!,$D70,#REF!,$DJ70)&gt;0,"OK","ONBEKEND")),"ONZEKER")))))</f>
        <v/>
      </c>
      <c r="DL70" t="str">
        <f t="shared" si="572"/>
        <v/>
      </c>
      <c r="DM70" t="str">
        <f t="shared" si="573"/>
        <v/>
      </c>
      <c r="DN70" t="str">
        <f t="shared" si="574"/>
        <v/>
      </c>
      <c r="DO70" t="str">
        <f t="shared" si="575"/>
        <v/>
      </c>
      <c r="DP70" t="str">
        <f t="shared" si="576"/>
        <v/>
      </c>
      <c r="DQ70" t="str">
        <f t="shared" si="577"/>
        <v/>
      </c>
      <c r="DR70" t="str">
        <f t="shared" si="578"/>
        <v/>
      </c>
      <c r="DS70" t="str">
        <f t="shared" si="579"/>
        <v/>
      </c>
      <c r="DT70" t="str">
        <f t="shared" si="580"/>
        <v/>
      </c>
      <c r="DU70" t="str">
        <f t="shared" si="581"/>
        <v/>
      </c>
      <c r="DV70" t="str">
        <f t="shared" si="582"/>
        <v/>
      </c>
      <c r="DW70" t="str">
        <f t="shared" si="583"/>
        <v/>
      </c>
      <c r="DX70" t="str">
        <f t="shared" si="584"/>
        <v/>
      </c>
      <c r="DY70" t="str">
        <f t="shared" si="585"/>
        <v/>
      </c>
      <c r="DZ70" t="str">
        <f t="shared" si="586"/>
        <v/>
      </c>
      <c r="EA70" t="str">
        <f t="shared" si="587"/>
        <v/>
      </c>
      <c r="EB70" t="str">
        <f t="shared" si="588"/>
        <v/>
      </c>
      <c r="EC70" t="str">
        <f t="shared" si="589"/>
        <v/>
      </c>
      <c r="ED70" t="str">
        <f t="shared" si="590"/>
        <v/>
      </c>
      <c r="EE70" t="str">
        <f t="shared" si="591"/>
        <v/>
      </c>
      <c r="EF70" t="str">
        <f t="shared" si="592"/>
        <v/>
      </c>
      <c r="EG70" t="str">
        <f t="shared" si="593"/>
        <v/>
      </c>
      <c r="EH70" t="str">
        <f t="shared" si="594"/>
        <v/>
      </c>
      <c r="EI70" t="str">
        <f t="shared" si="595"/>
        <v/>
      </c>
      <c r="EJ70" t="str">
        <f t="shared" si="596"/>
        <v/>
      </c>
      <c r="EK70" t="str">
        <f t="shared" si="597"/>
        <v/>
      </c>
      <c r="EL70" t="str">
        <f t="shared" si="598"/>
        <v/>
      </c>
      <c r="EM70" t="str">
        <f t="shared" si="599"/>
        <v/>
      </c>
      <c r="EN70" t="str">
        <f t="shared" si="600"/>
        <v/>
      </c>
      <c r="EO70" t="str">
        <f t="shared" si="601"/>
        <v/>
      </c>
      <c r="EP70" t="str">
        <f t="shared" si="602"/>
        <v/>
      </c>
      <c r="EQ70" t="str">
        <f t="shared" si="603"/>
        <v/>
      </c>
      <c r="ER70" t="str">
        <f t="shared" si="604"/>
        <v/>
      </c>
      <c r="ES70" t="str">
        <f t="shared" si="605"/>
        <v/>
      </c>
      <c r="ET70" t="str">
        <f t="shared" si="606"/>
        <v/>
      </c>
      <c r="EU70" t="str">
        <f t="shared" si="607"/>
        <v/>
      </c>
      <c r="EV70" t="str">
        <f t="shared" si="608"/>
        <v/>
      </c>
      <c r="EW70" t="str">
        <f t="shared" si="609"/>
        <v/>
      </c>
      <c r="EX70" t="str">
        <f t="shared" si="610"/>
        <v/>
      </c>
      <c r="EY70" t="str">
        <f t="shared" si="611"/>
        <v/>
      </c>
    </row>
    <row r="71" spans="1:155" ht="13.9" customHeight="1" x14ac:dyDescent="0.25">
      <c r="A71" s="7"/>
      <c r="B71" s="17"/>
      <c r="C71" s="8"/>
      <c r="D71" s="17"/>
      <c r="E71" s="8"/>
      <c r="F71" s="18">
        <v>0</v>
      </c>
      <c r="G71" s="7" t="s">
        <v>147</v>
      </c>
      <c r="H71" s="18">
        <v>0</v>
      </c>
      <c r="I71" s="19">
        <v>0</v>
      </c>
      <c r="J71" s="7" t="s">
        <v>147</v>
      </c>
      <c r="K71" s="19">
        <v>0</v>
      </c>
      <c r="L71" s="9"/>
      <c r="M71" s="3" t="str">
        <f>IF($L71="","",IF($L71="DOELPUNTENMAKERS","",IF(AND(COUNTIF(#REF!,$B71)=0,COUNTIF(#REF!,$D71)=0),"OK",IF($O71&gt;20,"LET OP: meer dan 20 items (controle onvolledig)",IF((COUNTIF($R71:$AS71,"ONZEKER")+COUNTIF($CJ71:$DK71,"ONZEKER"))&gt;0,"LET OP: scoreverloop onduidelijk (controle beperkt)",IF((IF($AT71&lt;&gt;"",$AT71&amp;", ","")&amp;IF($AU71&lt;&gt;"",$AU71&amp;", ","")&amp;IF($AV71&lt;&gt;"",$AV71&amp;", ","")&amp;IF($AW71&lt;&gt;"",$AW71&amp;", ","")&amp;IF($AX71&lt;&gt;"",$AX71&amp;", ","")&amp;IF($AY71&lt;&gt;"",$AY71&amp;", ","")&amp;IF($AZ71&lt;&gt;"",$AZ71&amp;", ","")&amp;IF($BA71&lt;&gt;"",$BA71&amp;", ","")&amp;IF($BB71&lt;&gt;"",$BB71&amp;", ","")&amp;IF($BC71&lt;&gt;"",$BC71&amp;", ","")&amp;IF($DL71&lt;&gt;"",$DL71&amp;", ","")&amp;IF($DM71&lt;&gt;"",$DM71&amp;", ","")&amp;IF($DN71&lt;&gt;"",$DN71&amp;", ","")&amp;IF($DO71&lt;&gt;"",$DO71&amp;", ","")&amp;IF($DP71&lt;&gt;"",$DP71&amp;", ","")&amp;IF($DQ71&lt;&gt;"",$DQ71&amp;", ","")&amp;IF($DR71&lt;&gt;"",$DR71&amp;", ","")&amp;IF($DS71&lt;&gt;"",$DS71&amp;", ","")&amp;IF($DT71&lt;&gt;"",$DT71&amp;", ","")&amp;IF($DU71&lt;&gt;"",$DU71&amp;", ",""))="","OK","Onbekend: "&amp;LEFT((IF($AT71&lt;&gt;"",$AT71&amp;", ","")&amp;IF($AU71&lt;&gt;"",$AU71&amp;", ","")&amp;IF($AV71&lt;&gt;"",$AV71&amp;", ","")&amp;IF($AW71&lt;&gt;"",$AW71&amp;", ","")&amp;IF($AX71&lt;&gt;"",$AX71&amp;", ","")&amp;IF($AY71&lt;&gt;"",$AY71&amp;", ","")&amp;IF($AZ71&lt;&gt;"",$AZ71&amp;", ","")&amp;IF($BA71&lt;&gt;"",$BA71&amp;", ","")&amp;IF($BB71&lt;&gt;"",$BB71&amp;", ","")&amp;IF($BC71&lt;&gt;"",$BC71&amp;", ","")&amp;IF($DL71&lt;&gt;"",$DL71&amp;", ","")&amp;IF($DM71&lt;&gt;"",$DM71&amp;", ","")&amp;IF($DN71&lt;&gt;"",$DN71&amp;", ","")&amp;IF($DO71&lt;&gt;"",$DO71&amp;", ","")&amp;IF($DP71&lt;&gt;"",$DP71&amp;", ","")&amp;IF($DQ71&lt;&gt;"",$DQ71&amp;", ","")&amp;IF($DR71&lt;&gt;"",$DR71&amp;", ","")&amp;IF($DS71&lt;&gt;"",$DS71&amp;", ","")&amp;IF($DT71&lt;&gt;"",$DT71&amp;", ","")&amp;IF($DU71&lt;&gt;"",$DU71&amp;", ","")),LEN((IF($AT71&lt;&gt;"",$AT71&amp;", ","")&amp;IF($AU71&lt;&gt;"",$AU71&amp;", ","")&amp;IF($AV71&lt;&gt;"",$AV71&amp;", ","")&amp;IF($AW71&lt;&gt;"",$AW71&amp;", ","")&amp;IF($AX71&lt;&gt;"",$AX71&amp;", ","")&amp;IF($AY71&lt;&gt;"",$AY71&amp;", ","")&amp;IF($AZ71&lt;&gt;"",$AZ71&amp;", ","")&amp;IF($BA71&lt;&gt;"",$BA71&amp;", ","")&amp;IF($BB71&lt;&gt;"",$BB71&amp;", ","")&amp;IF($BC71&lt;&gt;"",$BC71&amp;", ","")&amp;IF($DL71&lt;&gt;"",$DL71&amp;", ","")&amp;IF($DM71&lt;&gt;"",$DM71&amp;", ","")&amp;IF($DN71&lt;&gt;"",$DN71&amp;", ","")&amp;IF($DO71&lt;&gt;"",$DO71&amp;", ","")&amp;IF($DP71&lt;&gt;"",$DP71&amp;", ","")&amp;IF($DQ71&lt;&gt;"",$DQ71&amp;", ","")&amp;IF($DR71&lt;&gt;"",$DR71&amp;", ","")&amp;IF($DS71&lt;&gt;"",$DS71&amp;", ","")&amp;IF($DT71&lt;&gt;"",$DT71&amp;", ","")&amp;IF($DU71&lt;&gt;"",$DU71&amp;", ","")))-2)))))))</f>
        <v/>
      </c>
      <c r="N71" t="str">
        <f t="shared" si="520"/>
        <v/>
      </c>
      <c r="O71" t="str">
        <f t="shared" si="521"/>
        <v/>
      </c>
      <c r="P71" t="str">
        <f t="shared" si="522"/>
        <v/>
      </c>
      <c r="Q71" t="str">
        <f t="shared" si="523"/>
        <v/>
      </c>
      <c r="R71" t="str">
        <f>IF($Q71="","",IF(OR($BE71="",$BF71=""),"ONZEKER",IF(AND($BE71=0+1,$BF71=0),IF(OR(COUNTIF(#REF!,$B71)&gt;0,COUNTIF(#REF!,$B71)=0),"SKIP",IF(COUNTIFS(#REF!,$B71,#REF!,$Q71)&gt;0,"OK","ONBEKEND")),IF(AND($BE71=0,$BF71=0+1),IF(OR(COUNTIF(#REF!,$D71)&gt;0,COUNTIF(#REF!,$D71)=0),"SKIP",IF(COUNTIFS(#REF!,$D71,#REF!,$Q71)&gt;0,"OK","ONBEKEND")),"ONZEKER"))))</f>
        <v/>
      </c>
      <c r="S71" t="str">
        <f t="shared" si="524"/>
        <v/>
      </c>
      <c r="T71" t="str">
        <f t="shared" si="525"/>
        <v/>
      </c>
      <c r="U71" t="str">
        <f>IF($T71="","",IF(OR($BH71="",$BI71=""),"ONZEKER",IF(OR($BE71="",$BF71=""),"ONZEKER",IF(AND($BH71=$BE71+1,$BI71=$BF71),IF(OR(COUNTIF(#REF!,$B71)&gt;0,COUNTIF(#REF!,$B71)=0),"SKIP",IF(COUNTIFS(#REF!,$B71,#REF!,$T71)&gt;0,"OK","ONBEKEND")),IF(AND($BH71=$BE71,$BI71=$BF71+1),IF(OR(COUNTIF(#REF!,$D71)&gt;0,COUNTIF(#REF!,$D71)=0),"SKIP",IF(COUNTIFS(#REF!,$D71,#REF!,$T71)&gt;0,"OK","ONBEKEND")),"ONZEKER")))))</f>
        <v/>
      </c>
      <c r="V71" t="str">
        <f t="shared" si="526"/>
        <v/>
      </c>
      <c r="W71" t="str">
        <f t="shared" si="527"/>
        <v/>
      </c>
      <c r="X71" t="str">
        <f>IF($W71="","",IF(OR($BK71="",$BL71=""),"ONZEKER",IF(OR($BH71="",$BI71=""),"ONZEKER",IF(AND($BK71=$BH71+1,$BL71=$BI71),IF(OR(COUNTIF(#REF!,$B71)&gt;0,COUNTIF(#REF!,$B71)=0),"SKIP",IF(COUNTIFS(#REF!,$B71,#REF!,$W71)&gt;0,"OK","ONBEKEND")),IF(AND($BK71=$BH71,$BL71=$BI71+1),IF(OR(COUNTIF(#REF!,$D71)&gt;0,COUNTIF(#REF!,$D71)=0),"SKIP",IF(COUNTIFS(#REF!,$D71,#REF!,$W71)&gt;0,"OK","ONBEKEND")),"ONZEKER")))))</f>
        <v/>
      </c>
      <c r="Y71" t="str">
        <f t="shared" si="528"/>
        <v/>
      </c>
      <c r="Z71" t="str">
        <f t="shared" si="529"/>
        <v/>
      </c>
      <c r="AA71" t="str">
        <f>IF($Z71="","",IF(OR($BN71="",$BO71=""),"ONZEKER",IF(OR($BK71="",$BL71=""),"ONZEKER",IF(AND($BN71=$BK71+1,$BO71=$BL71),IF(OR(COUNTIF(#REF!,$B71)&gt;0,COUNTIF(#REF!,$B71)=0),"SKIP",IF(COUNTIFS(#REF!,$B71,#REF!,$Z71)&gt;0,"OK","ONBEKEND")),IF(AND($BN71=$BK71,$BO71=$BL71+1),IF(OR(COUNTIF(#REF!,$D71)&gt;0,COUNTIF(#REF!,$D71)=0),"SKIP",IF(COUNTIFS(#REF!,$D71,#REF!,$Z71)&gt;0,"OK","ONBEKEND")),"ONZEKER")))))</f>
        <v/>
      </c>
      <c r="AB71" t="str">
        <f t="shared" si="530"/>
        <v/>
      </c>
      <c r="AC71" t="str">
        <f t="shared" si="531"/>
        <v/>
      </c>
      <c r="AD71" t="str">
        <f>IF($AC71="","",IF(OR($BQ71="",$BR71=""),"ONZEKER",IF(OR($BN71="",$BO71=""),"ONZEKER",IF(AND($BQ71=$BN71+1,$BR71=$BO71),IF(OR(COUNTIF(#REF!,$B71)&gt;0,COUNTIF(#REF!,$B71)=0),"SKIP",IF(COUNTIFS(#REF!,$B71,#REF!,$AC71)&gt;0,"OK","ONBEKEND")),IF(AND($BQ71=$BN71,$BR71=$BO71+1),IF(OR(COUNTIF(#REF!,$D71)&gt;0,COUNTIF(#REF!,$D71)=0),"SKIP",IF(COUNTIFS(#REF!,$D71,#REF!,$AC71)&gt;0,"OK","ONBEKEND")),"ONZEKER")))))</f>
        <v/>
      </c>
      <c r="AE71" t="str">
        <f t="shared" si="532"/>
        <v/>
      </c>
      <c r="AF71" t="str">
        <f t="shared" si="533"/>
        <v/>
      </c>
      <c r="AG71" t="str">
        <f>IF($AF71="","",IF(OR($BT71="",$BU71=""),"ONZEKER",IF(OR($BQ71="",$BR71=""),"ONZEKER",IF(AND($BT71=$BQ71+1,$BU71=$BR71),IF(OR(COUNTIF(#REF!,$B71)&gt;0,COUNTIF(#REF!,$B71)=0),"SKIP",IF(COUNTIFS(#REF!,$B71,#REF!,$AF71)&gt;0,"OK","ONBEKEND")),IF(AND($BT71=$BQ71,$BU71=$BR71+1),IF(OR(COUNTIF(#REF!,$D71)&gt;0,COUNTIF(#REF!,$D71)=0),"SKIP",IF(COUNTIFS(#REF!,$D71,#REF!,$AF71)&gt;0,"OK","ONBEKEND")),"ONZEKER")))))</f>
        <v/>
      </c>
      <c r="AH71" t="str">
        <f t="shared" si="534"/>
        <v/>
      </c>
      <c r="AI71" t="str">
        <f t="shared" si="535"/>
        <v/>
      </c>
      <c r="AJ71" t="str">
        <f>IF($AI71="","",IF(OR($BW71="",$BX71=""),"ONZEKER",IF(OR($BT71="",$BU71=""),"ONZEKER",IF(AND($BW71=$BT71+1,$BX71=$BU71),IF(OR(COUNTIF(#REF!,$B71)&gt;0,COUNTIF(#REF!,$B71)=0),"SKIP",IF(COUNTIFS(#REF!,$B71,#REF!,$AI71)&gt;0,"OK","ONBEKEND")),IF(AND($BW71=$BT71,$BX71=$BU71+1),IF(OR(COUNTIF(#REF!,$D71)&gt;0,COUNTIF(#REF!,$D71)=0),"SKIP",IF(COUNTIFS(#REF!,$D71,#REF!,$AI71)&gt;0,"OK","ONBEKEND")),"ONZEKER")))))</f>
        <v/>
      </c>
      <c r="AK71" t="str">
        <f t="shared" si="536"/>
        <v/>
      </c>
      <c r="AL71" t="str">
        <f t="shared" si="537"/>
        <v/>
      </c>
      <c r="AM71" t="str">
        <f>IF($AL71="","",IF(OR($BZ71="",$CA71=""),"ONZEKER",IF(OR($BW71="",$BX71=""),"ONZEKER",IF(AND($BZ71=$BW71+1,$CA71=$BX71),IF(OR(COUNTIF(#REF!,$B71)&gt;0,COUNTIF(#REF!,$B71)=0),"SKIP",IF(COUNTIFS(#REF!,$B71,#REF!,$AL71)&gt;0,"OK","ONBEKEND")),IF(AND($BZ71=$BW71,$CA71=$BX71+1),IF(OR(COUNTIF(#REF!,$D71)&gt;0,COUNTIF(#REF!,$D71)=0),"SKIP",IF(COUNTIFS(#REF!,$D71,#REF!,$AL71)&gt;0,"OK","ONBEKEND")),"ONZEKER")))))</f>
        <v/>
      </c>
      <c r="AN71" t="str">
        <f t="shared" si="538"/>
        <v/>
      </c>
      <c r="AO71" t="str">
        <f t="shared" si="539"/>
        <v/>
      </c>
      <c r="AP71" t="str">
        <f>IF($AO71="","",IF(OR($CC71="",$CD71=""),"ONZEKER",IF(OR($BZ71="",$CA71=""),"ONZEKER",IF(AND($CC71=$BZ71+1,$CD71=$CA71),IF(OR(COUNTIF(#REF!,$B71)&gt;0,COUNTIF(#REF!,$B71)=0),"SKIP",IF(COUNTIFS(#REF!,$B71,#REF!,$AO71)&gt;0,"OK","ONBEKEND")),IF(AND($CC71=$BZ71,$CD71=$CA71+1),IF(OR(COUNTIF(#REF!,$D71)&gt;0,COUNTIF(#REF!,$D71)=0),"SKIP",IF(COUNTIFS(#REF!,$D71,#REF!,$AO71)&gt;0,"OK","ONBEKEND")),"ONZEKER")))))</f>
        <v/>
      </c>
      <c r="AQ71" t="str">
        <f t="shared" si="540"/>
        <v/>
      </c>
      <c r="AR71" t="str">
        <f t="shared" si="541"/>
        <v/>
      </c>
      <c r="AS71" t="str">
        <f>IF($AR71="","",IF(OR($CF71="",$CG71=""),"ONZEKER",IF(OR($CC71="",$CD71=""),"ONZEKER",IF(AND($CF71=$CC71+1,$CG71=$CD71),IF(OR(COUNTIF(#REF!,$B71)&gt;0,COUNTIF(#REF!,$B71)=0),"SKIP",IF(COUNTIFS(#REF!,$B71,#REF!,$AR71)&gt;0,"OK","ONBEKEND")),IF(AND($CF71=$CC71,$CG71=$CD71+1),IF(OR(COUNTIF(#REF!,$D71)&gt;0,COUNTIF(#REF!,$D71)=0),"SKIP",IF(COUNTIFS(#REF!,$D71,#REF!,$AR71)&gt;0,"OK","ONBEKEND")),"ONZEKER")))))</f>
        <v/>
      </c>
      <c r="AT71" t="str">
        <f t="shared" si="542"/>
        <v/>
      </c>
      <c r="AU71" t="str">
        <f t="shared" si="543"/>
        <v/>
      </c>
      <c r="AV71" t="str">
        <f t="shared" si="544"/>
        <v/>
      </c>
      <c r="AW71" t="str">
        <f t="shared" si="545"/>
        <v/>
      </c>
      <c r="AX71" t="str">
        <f t="shared" si="546"/>
        <v/>
      </c>
      <c r="AY71" t="str">
        <f t="shared" si="547"/>
        <v/>
      </c>
      <c r="AZ71" t="str">
        <f t="shared" si="548"/>
        <v/>
      </c>
      <c r="BA71" t="str">
        <f t="shared" si="549"/>
        <v/>
      </c>
      <c r="BB71" t="str">
        <f t="shared" si="550"/>
        <v/>
      </c>
      <c r="BC71" t="str">
        <f t="shared" si="551"/>
        <v/>
      </c>
      <c r="BD71" t="str">
        <f t="shared" si="490"/>
        <v/>
      </c>
      <c r="BE71" t="str">
        <f t="shared" si="491"/>
        <v/>
      </c>
      <c r="BF71" t="str">
        <f t="shared" si="492"/>
        <v/>
      </c>
      <c r="BG71" t="str">
        <f t="shared" si="493"/>
        <v/>
      </c>
      <c r="BH71" t="str">
        <f t="shared" si="494"/>
        <v/>
      </c>
      <c r="BI71" t="str">
        <f t="shared" si="495"/>
        <v/>
      </c>
      <c r="BJ71" t="str">
        <f t="shared" si="496"/>
        <v/>
      </c>
      <c r="BK71" t="str">
        <f t="shared" si="497"/>
        <v/>
      </c>
      <c r="BL71" t="str">
        <f t="shared" si="498"/>
        <v/>
      </c>
      <c r="BM71" t="str">
        <f t="shared" si="499"/>
        <v/>
      </c>
      <c r="BN71" t="str">
        <f t="shared" si="500"/>
        <v/>
      </c>
      <c r="BO71" t="str">
        <f t="shared" si="501"/>
        <v/>
      </c>
      <c r="BP71" t="str">
        <f t="shared" si="502"/>
        <v/>
      </c>
      <c r="BQ71" t="str">
        <f t="shared" si="503"/>
        <v/>
      </c>
      <c r="BR71" t="str">
        <f t="shared" si="504"/>
        <v/>
      </c>
      <c r="BS71" t="str">
        <f t="shared" si="505"/>
        <v/>
      </c>
      <c r="BT71" t="str">
        <f t="shared" si="506"/>
        <v/>
      </c>
      <c r="BU71" t="str">
        <f t="shared" si="507"/>
        <v/>
      </c>
      <c r="BV71" t="str">
        <f t="shared" si="508"/>
        <v/>
      </c>
      <c r="BW71" t="str">
        <f t="shared" si="509"/>
        <v/>
      </c>
      <c r="BX71" t="str">
        <f t="shared" si="510"/>
        <v/>
      </c>
      <c r="BY71" t="str">
        <f t="shared" si="511"/>
        <v/>
      </c>
      <c r="BZ71" t="str">
        <f t="shared" si="512"/>
        <v/>
      </c>
      <c r="CA71" t="str">
        <f t="shared" si="513"/>
        <v/>
      </c>
      <c r="CB71" t="str">
        <f t="shared" si="514"/>
        <v/>
      </c>
      <c r="CC71" t="str">
        <f t="shared" si="515"/>
        <v/>
      </c>
      <c r="CD71" t="str">
        <f t="shared" si="516"/>
        <v/>
      </c>
      <c r="CE71" t="str">
        <f t="shared" si="517"/>
        <v/>
      </c>
      <c r="CF71" t="str">
        <f t="shared" si="518"/>
        <v/>
      </c>
      <c r="CG71" t="str">
        <f t="shared" si="519"/>
        <v/>
      </c>
      <c r="CH71" t="str">
        <f t="shared" si="552"/>
        <v/>
      </c>
      <c r="CI71" t="str">
        <f t="shared" si="553"/>
        <v/>
      </c>
      <c r="CJ71" t="str">
        <f>IF($CI71="","",IF(OR($DW71="",$DX71=""),"ONZEKER",IF(OR($CF71="",$CG71=""),"ONZEKER",IF(AND($DW71=$CF71+1,$DX71=$CG71),IF(OR(COUNTIF(#REF!,$B71)&gt;0,COUNTIF(#REF!,$B71)=0),"SKIP",IF(COUNTIFS(#REF!,$B71,#REF!,$CI71)&gt;0,"OK","ONBEKEND")),IF(AND($DW71=$CF71,$DX71=$CG71+1),IF(OR(COUNTIF(#REF!,$D71)&gt;0,COUNTIF(#REF!,$D71)=0),"SKIP",IF(COUNTIFS(#REF!,$D71,#REF!,$CI71)&gt;0,"OK","ONBEKEND")),"ONZEKER")))))</f>
        <v/>
      </c>
      <c r="CK71" t="str">
        <f t="shared" si="554"/>
        <v/>
      </c>
      <c r="CL71" t="str">
        <f t="shared" si="555"/>
        <v/>
      </c>
      <c r="CM71" t="str">
        <f>IF($CL71="","",IF(OR($DZ71="",$EA71=""),"ONZEKER",IF(OR($DW71="",$DX71=""),"ONZEKER",IF(AND($DZ71=$DW71+1,$EA71=$DX71),IF(OR(COUNTIF(#REF!,$B71)&gt;0,COUNTIF(#REF!,$B71)=0),"SKIP",IF(COUNTIFS(#REF!,$B71,#REF!,$CL71)&gt;0,"OK","ONBEKEND")),IF(AND($DZ71=$DW71,$EA71=$DX71+1),IF(OR(COUNTIF(#REF!,$D71)&gt;0,COUNTIF(#REF!,$D71)=0),"SKIP",IF(COUNTIFS(#REF!,$D71,#REF!,$CL71)&gt;0,"OK","ONBEKEND")),"ONZEKER")))))</f>
        <v/>
      </c>
      <c r="CN71" t="str">
        <f t="shared" si="556"/>
        <v/>
      </c>
      <c r="CO71" t="str">
        <f t="shared" si="557"/>
        <v/>
      </c>
      <c r="CP71" t="str">
        <f>IF($CO71="","",IF(OR($EC71="",$ED71=""),"ONZEKER",IF(OR($DZ71="",$EA71=""),"ONZEKER",IF(AND($EC71=$DZ71+1,$ED71=$EA71),IF(OR(COUNTIF(#REF!,$B71)&gt;0,COUNTIF(#REF!,$B71)=0),"SKIP",IF(COUNTIFS(#REF!,$B71,#REF!,$CO71)&gt;0,"OK","ONBEKEND")),IF(AND($EC71=$DZ71,$ED71=$EA71+1),IF(OR(COUNTIF(#REF!,$D71)&gt;0,COUNTIF(#REF!,$D71)=0),"SKIP",IF(COUNTIFS(#REF!,$D71,#REF!,$CO71)&gt;0,"OK","ONBEKEND")),"ONZEKER")))))</f>
        <v/>
      </c>
      <c r="CQ71" t="str">
        <f t="shared" si="558"/>
        <v/>
      </c>
      <c r="CR71" t="str">
        <f t="shared" si="559"/>
        <v/>
      </c>
      <c r="CS71" t="str">
        <f>IF($CR71="","",IF(OR($EF71="",$EG71=""),"ONZEKER",IF(OR($EC71="",$ED71=""),"ONZEKER",IF(AND($EF71=$EC71+1,$EG71=$ED71),IF(OR(COUNTIF(#REF!,$B71)&gt;0,COUNTIF(#REF!,$B71)=0),"SKIP",IF(COUNTIFS(#REF!,$B71,#REF!,$CR71)&gt;0,"OK","ONBEKEND")),IF(AND($EF71=$EC71,$EG71=$ED71+1),IF(OR(COUNTIF(#REF!,$D71)&gt;0,COUNTIF(#REF!,$D71)=0),"SKIP",IF(COUNTIFS(#REF!,$D71,#REF!,$CR71)&gt;0,"OK","ONBEKEND")),"ONZEKER")))))</f>
        <v/>
      </c>
      <c r="CT71" t="str">
        <f t="shared" si="560"/>
        <v/>
      </c>
      <c r="CU71" t="str">
        <f t="shared" si="561"/>
        <v/>
      </c>
      <c r="CV71" t="str">
        <f>IF($CU71="","",IF(OR($EI71="",$EJ71=""),"ONZEKER",IF(OR($EF71="",$EG71=""),"ONZEKER",IF(AND($EI71=$EF71+1,$EJ71=$EG71),IF(OR(COUNTIF(#REF!,$B71)&gt;0,COUNTIF(#REF!,$B71)=0),"SKIP",IF(COUNTIFS(#REF!,$B71,#REF!,$CU71)&gt;0,"OK","ONBEKEND")),IF(AND($EI71=$EF71,$EJ71=$EG71+1),IF(OR(COUNTIF(#REF!,$D71)&gt;0,COUNTIF(#REF!,$D71)=0),"SKIP",IF(COUNTIFS(#REF!,$D71,#REF!,$CU71)&gt;0,"OK","ONBEKEND")),"ONZEKER")))))</f>
        <v/>
      </c>
      <c r="CW71" t="str">
        <f t="shared" si="562"/>
        <v/>
      </c>
      <c r="CX71" t="str">
        <f t="shared" si="563"/>
        <v/>
      </c>
      <c r="CY71" t="str">
        <f>IF($CX71="","",IF(OR($EL71="",$EM71=""),"ONZEKER",IF(OR($EI71="",$EJ71=""),"ONZEKER",IF(AND($EL71=$EI71+1,$EM71=$EJ71),IF(OR(COUNTIF(#REF!,$B71)&gt;0,COUNTIF(#REF!,$B71)=0),"SKIP",IF(COUNTIFS(#REF!,$B71,#REF!,$CX71)&gt;0,"OK","ONBEKEND")),IF(AND($EL71=$EI71,$EM71=$EJ71+1),IF(OR(COUNTIF(#REF!,$D71)&gt;0,COUNTIF(#REF!,$D71)=0),"SKIP",IF(COUNTIFS(#REF!,$D71,#REF!,$CX71)&gt;0,"OK","ONBEKEND")),"ONZEKER")))))</f>
        <v/>
      </c>
      <c r="CZ71" t="str">
        <f t="shared" si="564"/>
        <v/>
      </c>
      <c r="DA71" t="str">
        <f t="shared" si="565"/>
        <v/>
      </c>
      <c r="DB71" t="str">
        <f>IF($DA71="","",IF(OR($EO71="",$EP71=""),"ONZEKER",IF(OR($EL71="",$EM71=""),"ONZEKER",IF(AND($EO71=$EL71+1,$EP71=$EM71),IF(OR(COUNTIF(#REF!,$B71)&gt;0,COUNTIF(#REF!,$B71)=0),"SKIP",IF(COUNTIFS(#REF!,$B71,#REF!,$DA71)&gt;0,"OK","ONBEKEND")),IF(AND($EO71=$EL71,$EP71=$EM71+1),IF(OR(COUNTIF(#REF!,$D71)&gt;0,COUNTIF(#REF!,$D71)=0),"SKIP",IF(COUNTIFS(#REF!,$D71,#REF!,$DA71)&gt;0,"OK","ONBEKEND")),"ONZEKER")))))</f>
        <v/>
      </c>
      <c r="DC71" t="str">
        <f t="shared" si="566"/>
        <v/>
      </c>
      <c r="DD71" t="str">
        <f t="shared" si="567"/>
        <v/>
      </c>
      <c r="DE71" t="str">
        <f>IF($DD71="","",IF(OR($ER71="",$ES71=""),"ONZEKER",IF(OR($EO71="",$EP71=""),"ONZEKER",IF(AND($ER71=$EO71+1,$ES71=$EP71),IF(OR(COUNTIF(#REF!,$B71)&gt;0,COUNTIF(#REF!,$B71)=0),"SKIP",IF(COUNTIFS(#REF!,$B71,#REF!,$DD71)&gt;0,"OK","ONBEKEND")),IF(AND($ER71=$EO71,$ES71=$EP71+1),IF(OR(COUNTIF(#REF!,$D71)&gt;0,COUNTIF(#REF!,$D71)=0),"SKIP",IF(COUNTIFS(#REF!,$D71,#REF!,$DD71)&gt;0,"OK","ONBEKEND")),"ONZEKER")))))</f>
        <v/>
      </c>
      <c r="DF71" t="str">
        <f t="shared" si="568"/>
        <v/>
      </c>
      <c r="DG71" t="str">
        <f t="shared" si="569"/>
        <v/>
      </c>
      <c r="DH71" t="str">
        <f>IF($DG71="","",IF(OR($EU71="",$EV71=""),"ONZEKER",IF(OR($ER71="",$ES71=""),"ONZEKER",IF(AND($EU71=$ER71+1,$EV71=$ES71),IF(OR(COUNTIF(#REF!,$B71)&gt;0,COUNTIF(#REF!,$B71)=0),"SKIP",IF(COUNTIFS(#REF!,$B71,#REF!,$DG71)&gt;0,"OK","ONBEKEND")),IF(AND($EU71=$ER71,$EV71=$ES71+1),IF(OR(COUNTIF(#REF!,$D71)&gt;0,COUNTIF(#REF!,$D71)=0),"SKIP",IF(COUNTIFS(#REF!,$D71,#REF!,$DG71)&gt;0,"OK","ONBEKEND")),"ONZEKER")))))</f>
        <v/>
      </c>
      <c r="DI71" t="str">
        <f t="shared" si="570"/>
        <v/>
      </c>
      <c r="DJ71" t="str">
        <f t="shared" si="571"/>
        <v/>
      </c>
      <c r="DK71" t="str">
        <f>IF($DJ71="","",IF(OR($EX71="",$EY71=""),"ONZEKER",IF(OR($EU71="",$EV71=""),"ONZEKER",IF(AND($EX71=$EU71+1,$EY71=$EV71),IF(OR(COUNTIF(#REF!,$B71)&gt;0,COUNTIF(#REF!,$B71)=0),"SKIP",IF(COUNTIFS(#REF!,$B71,#REF!,$DJ71)&gt;0,"OK","ONBEKEND")),IF(AND($EX71=$EU71,$EY71=$EV71+1),IF(OR(COUNTIF(#REF!,$D71)&gt;0,COUNTIF(#REF!,$D71)=0),"SKIP",IF(COUNTIFS(#REF!,$D71,#REF!,$DJ71)&gt;0,"OK","ONBEKEND")),"ONZEKER")))))</f>
        <v/>
      </c>
      <c r="DL71" t="str">
        <f t="shared" si="572"/>
        <v/>
      </c>
      <c r="DM71" t="str">
        <f t="shared" si="573"/>
        <v/>
      </c>
      <c r="DN71" t="str">
        <f t="shared" si="574"/>
        <v/>
      </c>
      <c r="DO71" t="str">
        <f t="shared" si="575"/>
        <v/>
      </c>
      <c r="DP71" t="str">
        <f t="shared" si="576"/>
        <v/>
      </c>
      <c r="DQ71" t="str">
        <f t="shared" si="577"/>
        <v/>
      </c>
      <c r="DR71" t="str">
        <f t="shared" si="578"/>
        <v/>
      </c>
      <c r="DS71" t="str">
        <f t="shared" si="579"/>
        <v/>
      </c>
      <c r="DT71" t="str">
        <f t="shared" si="580"/>
        <v/>
      </c>
      <c r="DU71" t="str">
        <f t="shared" si="581"/>
        <v/>
      </c>
      <c r="DV71" t="str">
        <f t="shared" si="582"/>
        <v/>
      </c>
      <c r="DW71" t="str">
        <f t="shared" si="583"/>
        <v/>
      </c>
      <c r="DX71" t="str">
        <f t="shared" si="584"/>
        <v/>
      </c>
      <c r="DY71" t="str">
        <f t="shared" si="585"/>
        <v/>
      </c>
      <c r="DZ71" t="str">
        <f t="shared" si="586"/>
        <v/>
      </c>
      <c r="EA71" t="str">
        <f t="shared" si="587"/>
        <v/>
      </c>
      <c r="EB71" t="str">
        <f t="shared" si="588"/>
        <v/>
      </c>
      <c r="EC71" t="str">
        <f t="shared" si="589"/>
        <v/>
      </c>
      <c r="ED71" t="str">
        <f t="shared" si="590"/>
        <v/>
      </c>
      <c r="EE71" t="str">
        <f t="shared" si="591"/>
        <v/>
      </c>
      <c r="EF71" t="str">
        <f t="shared" si="592"/>
        <v/>
      </c>
      <c r="EG71" t="str">
        <f t="shared" si="593"/>
        <v/>
      </c>
      <c r="EH71" t="str">
        <f t="shared" si="594"/>
        <v/>
      </c>
      <c r="EI71" t="str">
        <f t="shared" si="595"/>
        <v/>
      </c>
      <c r="EJ71" t="str">
        <f t="shared" si="596"/>
        <v/>
      </c>
      <c r="EK71" t="str">
        <f t="shared" si="597"/>
        <v/>
      </c>
      <c r="EL71" t="str">
        <f t="shared" si="598"/>
        <v/>
      </c>
      <c r="EM71" t="str">
        <f t="shared" si="599"/>
        <v/>
      </c>
      <c r="EN71" t="str">
        <f t="shared" si="600"/>
        <v/>
      </c>
      <c r="EO71" t="str">
        <f t="shared" si="601"/>
        <v/>
      </c>
      <c r="EP71" t="str">
        <f t="shared" si="602"/>
        <v/>
      </c>
      <c r="EQ71" t="str">
        <f t="shared" si="603"/>
        <v/>
      </c>
      <c r="ER71" t="str">
        <f t="shared" si="604"/>
        <v/>
      </c>
      <c r="ES71" t="str">
        <f t="shared" si="605"/>
        <v/>
      </c>
      <c r="ET71" t="str">
        <f t="shared" si="606"/>
        <v/>
      </c>
      <c r="EU71" t="str">
        <f t="shared" si="607"/>
        <v/>
      </c>
      <c r="EV71" t="str">
        <f t="shared" si="608"/>
        <v/>
      </c>
      <c r="EW71" t="str">
        <f t="shared" si="609"/>
        <v/>
      </c>
      <c r="EX71" t="str">
        <f t="shared" si="610"/>
        <v/>
      </c>
      <c r="EY71" t="str">
        <f t="shared" si="611"/>
        <v/>
      </c>
    </row>
    <row r="72" spans="1:155" ht="13.9" customHeight="1" x14ac:dyDescent="0.25">
      <c r="A72" s="7"/>
      <c r="B72" s="17"/>
      <c r="C72" s="8"/>
      <c r="D72" s="17"/>
      <c r="E72" s="8"/>
      <c r="F72" s="18">
        <v>0</v>
      </c>
      <c r="G72" s="7" t="s">
        <v>147</v>
      </c>
      <c r="H72" s="18">
        <v>0</v>
      </c>
      <c r="I72" s="19">
        <v>0</v>
      </c>
      <c r="J72" s="7" t="s">
        <v>147</v>
      </c>
      <c r="K72" s="19">
        <v>0</v>
      </c>
      <c r="L72" s="9"/>
      <c r="M72" s="3" t="str">
        <f>IF($L72="","",IF($L72="DOELPUNTENMAKERS","",IF(AND(COUNTIF(#REF!,$B72)=0,COUNTIF(#REF!,$D72)=0),"OK",IF($O72&gt;20,"LET OP: meer dan 20 items (controle onvolledig)",IF((COUNTIF($R72:$AS72,"ONZEKER")+COUNTIF($CJ72:$DK72,"ONZEKER"))&gt;0,"LET OP: scoreverloop onduidelijk (controle beperkt)",IF((IF($AT72&lt;&gt;"",$AT72&amp;", ","")&amp;IF($AU72&lt;&gt;"",$AU72&amp;", ","")&amp;IF($AV72&lt;&gt;"",$AV72&amp;", ","")&amp;IF($AW72&lt;&gt;"",$AW72&amp;", ","")&amp;IF($AX72&lt;&gt;"",$AX72&amp;", ","")&amp;IF($AY72&lt;&gt;"",$AY72&amp;", ","")&amp;IF($AZ72&lt;&gt;"",$AZ72&amp;", ","")&amp;IF($BA72&lt;&gt;"",$BA72&amp;", ","")&amp;IF($BB72&lt;&gt;"",$BB72&amp;", ","")&amp;IF($BC72&lt;&gt;"",$BC72&amp;", ","")&amp;IF($DL72&lt;&gt;"",$DL72&amp;", ","")&amp;IF($DM72&lt;&gt;"",$DM72&amp;", ","")&amp;IF($DN72&lt;&gt;"",$DN72&amp;", ","")&amp;IF($DO72&lt;&gt;"",$DO72&amp;", ","")&amp;IF($DP72&lt;&gt;"",$DP72&amp;", ","")&amp;IF($DQ72&lt;&gt;"",$DQ72&amp;", ","")&amp;IF($DR72&lt;&gt;"",$DR72&amp;", ","")&amp;IF($DS72&lt;&gt;"",$DS72&amp;", ","")&amp;IF($DT72&lt;&gt;"",$DT72&amp;", ","")&amp;IF($DU72&lt;&gt;"",$DU72&amp;", ",""))="","OK","Onbekend: "&amp;LEFT((IF($AT72&lt;&gt;"",$AT72&amp;", ","")&amp;IF($AU72&lt;&gt;"",$AU72&amp;", ","")&amp;IF($AV72&lt;&gt;"",$AV72&amp;", ","")&amp;IF($AW72&lt;&gt;"",$AW72&amp;", ","")&amp;IF($AX72&lt;&gt;"",$AX72&amp;", ","")&amp;IF($AY72&lt;&gt;"",$AY72&amp;", ","")&amp;IF($AZ72&lt;&gt;"",$AZ72&amp;", ","")&amp;IF($BA72&lt;&gt;"",$BA72&amp;", ","")&amp;IF($BB72&lt;&gt;"",$BB72&amp;", ","")&amp;IF($BC72&lt;&gt;"",$BC72&amp;", ","")&amp;IF($DL72&lt;&gt;"",$DL72&amp;", ","")&amp;IF($DM72&lt;&gt;"",$DM72&amp;", ","")&amp;IF($DN72&lt;&gt;"",$DN72&amp;", ","")&amp;IF($DO72&lt;&gt;"",$DO72&amp;", ","")&amp;IF($DP72&lt;&gt;"",$DP72&amp;", ","")&amp;IF($DQ72&lt;&gt;"",$DQ72&amp;", ","")&amp;IF($DR72&lt;&gt;"",$DR72&amp;", ","")&amp;IF($DS72&lt;&gt;"",$DS72&amp;", ","")&amp;IF($DT72&lt;&gt;"",$DT72&amp;", ","")&amp;IF($DU72&lt;&gt;"",$DU72&amp;", ","")),LEN((IF($AT72&lt;&gt;"",$AT72&amp;", ","")&amp;IF($AU72&lt;&gt;"",$AU72&amp;", ","")&amp;IF($AV72&lt;&gt;"",$AV72&amp;", ","")&amp;IF($AW72&lt;&gt;"",$AW72&amp;", ","")&amp;IF($AX72&lt;&gt;"",$AX72&amp;", ","")&amp;IF($AY72&lt;&gt;"",$AY72&amp;", ","")&amp;IF($AZ72&lt;&gt;"",$AZ72&amp;", ","")&amp;IF($BA72&lt;&gt;"",$BA72&amp;", ","")&amp;IF($BB72&lt;&gt;"",$BB72&amp;", ","")&amp;IF($BC72&lt;&gt;"",$BC72&amp;", ","")&amp;IF($DL72&lt;&gt;"",$DL72&amp;", ","")&amp;IF($DM72&lt;&gt;"",$DM72&amp;", ","")&amp;IF($DN72&lt;&gt;"",$DN72&amp;", ","")&amp;IF($DO72&lt;&gt;"",$DO72&amp;", ","")&amp;IF($DP72&lt;&gt;"",$DP72&amp;", ","")&amp;IF($DQ72&lt;&gt;"",$DQ72&amp;", ","")&amp;IF($DR72&lt;&gt;"",$DR72&amp;", ","")&amp;IF($DS72&lt;&gt;"",$DS72&amp;", ","")&amp;IF($DT72&lt;&gt;"",$DT72&amp;", ","")&amp;IF($DU72&lt;&gt;"",$DU72&amp;", ","")))-2)))))))</f>
        <v/>
      </c>
      <c r="N72" t="str">
        <f t="shared" si="520"/>
        <v/>
      </c>
      <c r="O72" t="str">
        <f t="shared" si="521"/>
        <v/>
      </c>
      <c r="P72" t="str">
        <f t="shared" si="522"/>
        <v/>
      </c>
      <c r="Q72" t="str">
        <f t="shared" si="523"/>
        <v/>
      </c>
      <c r="R72" t="str">
        <f>IF($Q72="","",IF(OR($BE72="",$BF72=""),"ONZEKER",IF(AND($BE72=0+1,$BF72=0),IF(OR(COUNTIF(#REF!,$B72)&gt;0,COUNTIF(#REF!,$B72)=0),"SKIP",IF(COUNTIFS(#REF!,$B72,#REF!,$Q72)&gt;0,"OK","ONBEKEND")),IF(AND($BE72=0,$BF72=0+1),IF(OR(COUNTIF(#REF!,$D72)&gt;0,COUNTIF(#REF!,$D72)=0),"SKIP",IF(COUNTIFS(#REF!,$D72,#REF!,$Q72)&gt;0,"OK","ONBEKEND")),"ONZEKER"))))</f>
        <v/>
      </c>
      <c r="S72" t="str">
        <f t="shared" si="524"/>
        <v/>
      </c>
      <c r="T72" t="str">
        <f t="shared" si="525"/>
        <v/>
      </c>
      <c r="U72" t="str">
        <f>IF($T72="","",IF(OR($BH72="",$BI72=""),"ONZEKER",IF(OR($BE72="",$BF72=""),"ONZEKER",IF(AND($BH72=$BE72+1,$BI72=$BF72),IF(OR(COUNTIF(#REF!,$B72)&gt;0,COUNTIF(#REF!,$B72)=0),"SKIP",IF(COUNTIFS(#REF!,$B72,#REF!,$T72)&gt;0,"OK","ONBEKEND")),IF(AND($BH72=$BE72,$BI72=$BF72+1),IF(OR(COUNTIF(#REF!,$D72)&gt;0,COUNTIF(#REF!,$D72)=0),"SKIP",IF(COUNTIFS(#REF!,$D72,#REF!,$T72)&gt;0,"OK","ONBEKEND")),"ONZEKER")))))</f>
        <v/>
      </c>
      <c r="V72" t="str">
        <f t="shared" si="526"/>
        <v/>
      </c>
      <c r="W72" t="str">
        <f t="shared" si="527"/>
        <v/>
      </c>
      <c r="X72" t="str">
        <f>IF($W72="","",IF(OR($BK72="",$BL72=""),"ONZEKER",IF(OR($BH72="",$BI72=""),"ONZEKER",IF(AND($BK72=$BH72+1,$BL72=$BI72),IF(OR(COUNTIF(#REF!,$B72)&gt;0,COUNTIF(#REF!,$B72)=0),"SKIP",IF(COUNTIFS(#REF!,$B72,#REF!,$W72)&gt;0,"OK","ONBEKEND")),IF(AND($BK72=$BH72,$BL72=$BI72+1),IF(OR(COUNTIF(#REF!,$D72)&gt;0,COUNTIF(#REF!,$D72)=0),"SKIP",IF(COUNTIFS(#REF!,$D72,#REF!,$W72)&gt;0,"OK","ONBEKEND")),"ONZEKER")))))</f>
        <v/>
      </c>
      <c r="Y72" t="str">
        <f t="shared" si="528"/>
        <v/>
      </c>
      <c r="Z72" t="str">
        <f t="shared" si="529"/>
        <v/>
      </c>
      <c r="AA72" t="str">
        <f>IF($Z72="","",IF(OR($BN72="",$BO72=""),"ONZEKER",IF(OR($BK72="",$BL72=""),"ONZEKER",IF(AND($BN72=$BK72+1,$BO72=$BL72),IF(OR(COUNTIF(#REF!,$B72)&gt;0,COUNTIF(#REF!,$B72)=0),"SKIP",IF(COUNTIFS(#REF!,$B72,#REF!,$Z72)&gt;0,"OK","ONBEKEND")),IF(AND($BN72=$BK72,$BO72=$BL72+1),IF(OR(COUNTIF(#REF!,$D72)&gt;0,COUNTIF(#REF!,$D72)=0),"SKIP",IF(COUNTIFS(#REF!,$D72,#REF!,$Z72)&gt;0,"OK","ONBEKEND")),"ONZEKER")))))</f>
        <v/>
      </c>
      <c r="AB72" t="str">
        <f t="shared" si="530"/>
        <v/>
      </c>
      <c r="AC72" t="str">
        <f t="shared" si="531"/>
        <v/>
      </c>
      <c r="AD72" t="str">
        <f>IF($AC72="","",IF(OR($BQ72="",$BR72=""),"ONZEKER",IF(OR($BN72="",$BO72=""),"ONZEKER",IF(AND($BQ72=$BN72+1,$BR72=$BO72),IF(OR(COUNTIF(#REF!,$B72)&gt;0,COUNTIF(#REF!,$B72)=0),"SKIP",IF(COUNTIFS(#REF!,$B72,#REF!,$AC72)&gt;0,"OK","ONBEKEND")),IF(AND($BQ72=$BN72,$BR72=$BO72+1),IF(OR(COUNTIF(#REF!,$D72)&gt;0,COUNTIF(#REF!,$D72)=0),"SKIP",IF(COUNTIFS(#REF!,$D72,#REF!,$AC72)&gt;0,"OK","ONBEKEND")),"ONZEKER")))))</f>
        <v/>
      </c>
      <c r="AE72" t="str">
        <f t="shared" si="532"/>
        <v/>
      </c>
      <c r="AF72" t="str">
        <f t="shared" si="533"/>
        <v/>
      </c>
      <c r="AG72" t="str">
        <f>IF($AF72="","",IF(OR($BT72="",$BU72=""),"ONZEKER",IF(OR($BQ72="",$BR72=""),"ONZEKER",IF(AND($BT72=$BQ72+1,$BU72=$BR72),IF(OR(COUNTIF(#REF!,$B72)&gt;0,COUNTIF(#REF!,$B72)=0),"SKIP",IF(COUNTIFS(#REF!,$B72,#REF!,$AF72)&gt;0,"OK","ONBEKEND")),IF(AND($BT72=$BQ72,$BU72=$BR72+1),IF(OR(COUNTIF(#REF!,$D72)&gt;0,COUNTIF(#REF!,$D72)=0),"SKIP",IF(COUNTIFS(#REF!,$D72,#REF!,$AF72)&gt;0,"OK","ONBEKEND")),"ONZEKER")))))</f>
        <v/>
      </c>
      <c r="AH72" t="str">
        <f t="shared" si="534"/>
        <v/>
      </c>
      <c r="AI72" t="str">
        <f t="shared" si="535"/>
        <v/>
      </c>
      <c r="AJ72" t="str">
        <f>IF($AI72="","",IF(OR($BW72="",$BX72=""),"ONZEKER",IF(OR($BT72="",$BU72=""),"ONZEKER",IF(AND($BW72=$BT72+1,$BX72=$BU72),IF(OR(COUNTIF(#REF!,$B72)&gt;0,COUNTIF(#REF!,$B72)=0),"SKIP",IF(COUNTIFS(#REF!,$B72,#REF!,$AI72)&gt;0,"OK","ONBEKEND")),IF(AND($BW72=$BT72,$BX72=$BU72+1),IF(OR(COUNTIF(#REF!,$D72)&gt;0,COUNTIF(#REF!,$D72)=0),"SKIP",IF(COUNTIFS(#REF!,$D72,#REF!,$AI72)&gt;0,"OK","ONBEKEND")),"ONZEKER")))))</f>
        <v/>
      </c>
      <c r="AK72" t="str">
        <f t="shared" si="536"/>
        <v/>
      </c>
      <c r="AL72" t="str">
        <f t="shared" si="537"/>
        <v/>
      </c>
      <c r="AM72" t="str">
        <f>IF($AL72="","",IF(OR($BZ72="",$CA72=""),"ONZEKER",IF(OR($BW72="",$BX72=""),"ONZEKER",IF(AND($BZ72=$BW72+1,$CA72=$BX72),IF(OR(COUNTIF(#REF!,$B72)&gt;0,COUNTIF(#REF!,$B72)=0),"SKIP",IF(COUNTIFS(#REF!,$B72,#REF!,$AL72)&gt;0,"OK","ONBEKEND")),IF(AND($BZ72=$BW72,$CA72=$BX72+1),IF(OR(COUNTIF(#REF!,$D72)&gt;0,COUNTIF(#REF!,$D72)=0),"SKIP",IF(COUNTIFS(#REF!,$D72,#REF!,$AL72)&gt;0,"OK","ONBEKEND")),"ONZEKER")))))</f>
        <v/>
      </c>
      <c r="AN72" t="str">
        <f t="shared" si="538"/>
        <v/>
      </c>
      <c r="AO72" t="str">
        <f t="shared" si="539"/>
        <v/>
      </c>
      <c r="AP72" t="str">
        <f>IF($AO72="","",IF(OR($CC72="",$CD72=""),"ONZEKER",IF(OR($BZ72="",$CA72=""),"ONZEKER",IF(AND($CC72=$BZ72+1,$CD72=$CA72),IF(OR(COUNTIF(#REF!,$B72)&gt;0,COUNTIF(#REF!,$B72)=0),"SKIP",IF(COUNTIFS(#REF!,$B72,#REF!,$AO72)&gt;0,"OK","ONBEKEND")),IF(AND($CC72=$BZ72,$CD72=$CA72+1),IF(OR(COUNTIF(#REF!,$D72)&gt;0,COUNTIF(#REF!,$D72)=0),"SKIP",IF(COUNTIFS(#REF!,$D72,#REF!,$AO72)&gt;0,"OK","ONBEKEND")),"ONZEKER")))))</f>
        <v/>
      </c>
      <c r="AQ72" t="str">
        <f t="shared" si="540"/>
        <v/>
      </c>
      <c r="AR72" t="str">
        <f t="shared" si="541"/>
        <v/>
      </c>
      <c r="AS72" t="str">
        <f>IF($AR72="","",IF(OR($CF72="",$CG72=""),"ONZEKER",IF(OR($CC72="",$CD72=""),"ONZEKER",IF(AND($CF72=$CC72+1,$CG72=$CD72),IF(OR(COUNTIF(#REF!,$B72)&gt;0,COUNTIF(#REF!,$B72)=0),"SKIP",IF(COUNTIFS(#REF!,$B72,#REF!,$AR72)&gt;0,"OK","ONBEKEND")),IF(AND($CF72=$CC72,$CG72=$CD72+1),IF(OR(COUNTIF(#REF!,$D72)&gt;0,COUNTIF(#REF!,$D72)=0),"SKIP",IF(COUNTIFS(#REF!,$D72,#REF!,$AR72)&gt;0,"OK","ONBEKEND")),"ONZEKER")))))</f>
        <v/>
      </c>
      <c r="AT72" t="str">
        <f t="shared" si="542"/>
        <v/>
      </c>
      <c r="AU72" t="str">
        <f t="shared" si="543"/>
        <v/>
      </c>
      <c r="AV72" t="str">
        <f t="shared" si="544"/>
        <v/>
      </c>
      <c r="AW72" t="str">
        <f t="shared" si="545"/>
        <v/>
      </c>
      <c r="AX72" t="str">
        <f t="shared" si="546"/>
        <v/>
      </c>
      <c r="AY72" t="str">
        <f t="shared" si="547"/>
        <v/>
      </c>
      <c r="AZ72" t="str">
        <f t="shared" si="548"/>
        <v/>
      </c>
      <c r="BA72" t="str">
        <f t="shared" si="549"/>
        <v/>
      </c>
      <c r="BB72" t="str">
        <f t="shared" si="550"/>
        <v/>
      </c>
      <c r="BC72" t="str">
        <f t="shared" si="551"/>
        <v/>
      </c>
      <c r="BD72" t="str">
        <f t="shared" si="490"/>
        <v/>
      </c>
      <c r="BE72" t="str">
        <f t="shared" si="491"/>
        <v/>
      </c>
      <c r="BF72" t="str">
        <f t="shared" si="492"/>
        <v/>
      </c>
      <c r="BG72" t="str">
        <f t="shared" si="493"/>
        <v/>
      </c>
      <c r="BH72" t="str">
        <f t="shared" si="494"/>
        <v/>
      </c>
      <c r="BI72" t="str">
        <f t="shared" si="495"/>
        <v/>
      </c>
      <c r="BJ72" t="str">
        <f t="shared" si="496"/>
        <v/>
      </c>
      <c r="BK72" t="str">
        <f t="shared" si="497"/>
        <v/>
      </c>
      <c r="BL72" t="str">
        <f t="shared" si="498"/>
        <v/>
      </c>
      <c r="BM72" t="str">
        <f t="shared" si="499"/>
        <v/>
      </c>
      <c r="BN72" t="str">
        <f t="shared" si="500"/>
        <v/>
      </c>
      <c r="BO72" t="str">
        <f t="shared" si="501"/>
        <v/>
      </c>
      <c r="BP72" t="str">
        <f t="shared" si="502"/>
        <v/>
      </c>
      <c r="BQ72" t="str">
        <f t="shared" si="503"/>
        <v/>
      </c>
      <c r="BR72" t="str">
        <f t="shared" si="504"/>
        <v/>
      </c>
      <c r="BS72" t="str">
        <f t="shared" si="505"/>
        <v/>
      </c>
      <c r="BT72" t="str">
        <f t="shared" si="506"/>
        <v/>
      </c>
      <c r="BU72" t="str">
        <f t="shared" si="507"/>
        <v/>
      </c>
      <c r="BV72" t="str">
        <f t="shared" si="508"/>
        <v/>
      </c>
      <c r="BW72" t="str">
        <f t="shared" si="509"/>
        <v/>
      </c>
      <c r="BX72" t="str">
        <f t="shared" si="510"/>
        <v/>
      </c>
      <c r="BY72" t="str">
        <f t="shared" si="511"/>
        <v/>
      </c>
      <c r="BZ72" t="str">
        <f t="shared" si="512"/>
        <v/>
      </c>
      <c r="CA72" t="str">
        <f t="shared" si="513"/>
        <v/>
      </c>
      <c r="CB72" t="str">
        <f t="shared" si="514"/>
        <v/>
      </c>
      <c r="CC72" t="str">
        <f t="shared" si="515"/>
        <v/>
      </c>
      <c r="CD72" t="str">
        <f t="shared" si="516"/>
        <v/>
      </c>
      <c r="CE72" t="str">
        <f t="shared" si="517"/>
        <v/>
      </c>
      <c r="CF72" t="str">
        <f t="shared" si="518"/>
        <v/>
      </c>
      <c r="CG72" t="str">
        <f t="shared" si="519"/>
        <v/>
      </c>
      <c r="CH72" t="str">
        <f t="shared" si="552"/>
        <v/>
      </c>
      <c r="CI72" t="str">
        <f t="shared" si="553"/>
        <v/>
      </c>
      <c r="CJ72" t="str">
        <f>IF($CI72="","",IF(OR($DW72="",$DX72=""),"ONZEKER",IF(OR($CF72="",$CG72=""),"ONZEKER",IF(AND($DW72=$CF72+1,$DX72=$CG72),IF(OR(COUNTIF(#REF!,$B72)&gt;0,COUNTIF(#REF!,$B72)=0),"SKIP",IF(COUNTIFS(#REF!,$B72,#REF!,$CI72)&gt;0,"OK","ONBEKEND")),IF(AND($DW72=$CF72,$DX72=$CG72+1),IF(OR(COUNTIF(#REF!,$D72)&gt;0,COUNTIF(#REF!,$D72)=0),"SKIP",IF(COUNTIFS(#REF!,$D72,#REF!,$CI72)&gt;0,"OK","ONBEKEND")),"ONZEKER")))))</f>
        <v/>
      </c>
      <c r="CK72" t="str">
        <f t="shared" si="554"/>
        <v/>
      </c>
      <c r="CL72" t="str">
        <f t="shared" si="555"/>
        <v/>
      </c>
      <c r="CM72" t="str">
        <f>IF($CL72="","",IF(OR($DZ72="",$EA72=""),"ONZEKER",IF(OR($DW72="",$DX72=""),"ONZEKER",IF(AND($DZ72=$DW72+1,$EA72=$DX72),IF(OR(COUNTIF(#REF!,$B72)&gt;0,COUNTIF(#REF!,$B72)=0),"SKIP",IF(COUNTIFS(#REF!,$B72,#REF!,$CL72)&gt;0,"OK","ONBEKEND")),IF(AND($DZ72=$DW72,$EA72=$DX72+1),IF(OR(COUNTIF(#REF!,$D72)&gt;0,COUNTIF(#REF!,$D72)=0),"SKIP",IF(COUNTIFS(#REF!,$D72,#REF!,$CL72)&gt;0,"OK","ONBEKEND")),"ONZEKER")))))</f>
        <v/>
      </c>
      <c r="CN72" t="str">
        <f t="shared" si="556"/>
        <v/>
      </c>
      <c r="CO72" t="str">
        <f t="shared" si="557"/>
        <v/>
      </c>
      <c r="CP72" t="str">
        <f>IF($CO72="","",IF(OR($EC72="",$ED72=""),"ONZEKER",IF(OR($DZ72="",$EA72=""),"ONZEKER",IF(AND($EC72=$DZ72+1,$ED72=$EA72),IF(OR(COUNTIF(#REF!,$B72)&gt;0,COUNTIF(#REF!,$B72)=0),"SKIP",IF(COUNTIFS(#REF!,$B72,#REF!,$CO72)&gt;0,"OK","ONBEKEND")),IF(AND($EC72=$DZ72,$ED72=$EA72+1),IF(OR(COUNTIF(#REF!,$D72)&gt;0,COUNTIF(#REF!,$D72)=0),"SKIP",IF(COUNTIFS(#REF!,$D72,#REF!,$CO72)&gt;0,"OK","ONBEKEND")),"ONZEKER")))))</f>
        <v/>
      </c>
      <c r="CQ72" t="str">
        <f t="shared" si="558"/>
        <v/>
      </c>
      <c r="CR72" t="str">
        <f t="shared" si="559"/>
        <v/>
      </c>
      <c r="CS72" t="str">
        <f>IF($CR72="","",IF(OR($EF72="",$EG72=""),"ONZEKER",IF(OR($EC72="",$ED72=""),"ONZEKER",IF(AND($EF72=$EC72+1,$EG72=$ED72),IF(OR(COUNTIF(#REF!,$B72)&gt;0,COUNTIF(#REF!,$B72)=0),"SKIP",IF(COUNTIFS(#REF!,$B72,#REF!,$CR72)&gt;0,"OK","ONBEKEND")),IF(AND($EF72=$EC72,$EG72=$ED72+1),IF(OR(COUNTIF(#REF!,$D72)&gt;0,COUNTIF(#REF!,$D72)=0),"SKIP",IF(COUNTIFS(#REF!,$D72,#REF!,$CR72)&gt;0,"OK","ONBEKEND")),"ONZEKER")))))</f>
        <v/>
      </c>
      <c r="CT72" t="str">
        <f t="shared" si="560"/>
        <v/>
      </c>
      <c r="CU72" t="str">
        <f t="shared" si="561"/>
        <v/>
      </c>
      <c r="CV72" t="str">
        <f>IF($CU72="","",IF(OR($EI72="",$EJ72=""),"ONZEKER",IF(OR($EF72="",$EG72=""),"ONZEKER",IF(AND($EI72=$EF72+1,$EJ72=$EG72),IF(OR(COUNTIF(#REF!,$B72)&gt;0,COUNTIF(#REF!,$B72)=0),"SKIP",IF(COUNTIFS(#REF!,$B72,#REF!,$CU72)&gt;0,"OK","ONBEKEND")),IF(AND($EI72=$EF72,$EJ72=$EG72+1),IF(OR(COUNTIF(#REF!,$D72)&gt;0,COUNTIF(#REF!,$D72)=0),"SKIP",IF(COUNTIFS(#REF!,$D72,#REF!,$CU72)&gt;0,"OK","ONBEKEND")),"ONZEKER")))))</f>
        <v/>
      </c>
      <c r="CW72" t="str">
        <f t="shared" si="562"/>
        <v/>
      </c>
      <c r="CX72" t="str">
        <f t="shared" si="563"/>
        <v/>
      </c>
      <c r="CY72" t="str">
        <f>IF($CX72="","",IF(OR($EL72="",$EM72=""),"ONZEKER",IF(OR($EI72="",$EJ72=""),"ONZEKER",IF(AND($EL72=$EI72+1,$EM72=$EJ72),IF(OR(COUNTIF(#REF!,$B72)&gt;0,COUNTIF(#REF!,$B72)=0),"SKIP",IF(COUNTIFS(#REF!,$B72,#REF!,$CX72)&gt;0,"OK","ONBEKEND")),IF(AND($EL72=$EI72,$EM72=$EJ72+1),IF(OR(COUNTIF(#REF!,$D72)&gt;0,COUNTIF(#REF!,$D72)=0),"SKIP",IF(COUNTIFS(#REF!,$D72,#REF!,$CX72)&gt;0,"OK","ONBEKEND")),"ONZEKER")))))</f>
        <v/>
      </c>
      <c r="CZ72" t="str">
        <f t="shared" si="564"/>
        <v/>
      </c>
      <c r="DA72" t="str">
        <f t="shared" si="565"/>
        <v/>
      </c>
      <c r="DB72" t="str">
        <f>IF($DA72="","",IF(OR($EO72="",$EP72=""),"ONZEKER",IF(OR($EL72="",$EM72=""),"ONZEKER",IF(AND($EO72=$EL72+1,$EP72=$EM72),IF(OR(COUNTIF(#REF!,$B72)&gt;0,COUNTIF(#REF!,$B72)=0),"SKIP",IF(COUNTIFS(#REF!,$B72,#REF!,$DA72)&gt;0,"OK","ONBEKEND")),IF(AND($EO72=$EL72,$EP72=$EM72+1),IF(OR(COUNTIF(#REF!,$D72)&gt;0,COUNTIF(#REF!,$D72)=0),"SKIP",IF(COUNTIFS(#REF!,$D72,#REF!,$DA72)&gt;0,"OK","ONBEKEND")),"ONZEKER")))))</f>
        <v/>
      </c>
      <c r="DC72" t="str">
        <f t="shared" si="566"/>
        <v/>
      </c>
      <c r="DD72" t="str">
        <f t="shared" si="567"/>
        <v/>
      </c>
      <c r="DE72" t="str">
        <f>IF($DD72="","",IF(OR($ER72="",$ES72=""),"ONZEKER",IF(OR($EO72="",$EP72=""),"ONZEKER",IF(AND($ER72=$EO72+1,$ES72=$EP72),IF(OR(COUNTIF(#REF!,$B72)&gt;0,COUNTIF(#REF!,$B72)=0),"SKIP",IF(COUNTIFS(#REF!,$B72,#REF!,$DD72)&gt;0,"OK","ONBEKEND")),IF(AND($ER72=$EO72,$ES72=$EP72+1),IF(OR(COUNTIF(#REF!,$D72)&gt;0,COUNTIF(#REF!,$D72)=0),"SKIP",IF(COUNTIFS(#REF!,$D72,#REF!,$DD72)&gt;0,"OK","ONBEKEND")),"ONZEKER")))))</f>
        <v/>
      </c>
      <c r="DF72" t="str">
        <f t="shared" si="568"/>
        <v/>
      </c>
      <c r="DG72" t="str">
        <f t="shared" si="569"/>
        <v/>
      </c>
      <c r="DH72" t="str">
        <f>IF($DG72="","",IF(OR($EU72="",$EV72=""),"ONZEKER",IF(OR($ER72="",$ES72=""),"ONZEKER",IF(AND($EU72=$ER72+1,$EV72=$ES72),IF(OR(COUNTIF(#REF!,$B72)&gt;0,COUNTIF(#REF!,$B72)=0),"SKIP",IF(COUNTIFS(#REF!,$B72,#REF!,$DG72)&gt;0,"OK","ONBEKEND")),IF(AND($EU72=$ER72,$EV72=$ES72+1),IF(OR(COUNTIF(#REF!,$D72)&gt;0,COUNTIF(#REF!,$D72)=0),"SKIP",IF(COUNTIFS(#REF!,$D72,#REF!,$DG72)&gt;0,"OK","ONBEKEND")),"ONZEKER")))))</f>
        <v/>
      </c>
      <c r="DI72" t="str">
        <f t="shared" si="570"/>
        <v/>
      </c>
      <c r="DJ72" t="str">
        <f t="shared" si="571"/>
        <v/>
      </c>
      <c r="DK72" t="str">
        <f>IF($DJ72="","",IF(OR($EX72="",$EY72=""),"ONZEKER",IF(OR($EU72="",$EV72=""),"ONZEKER",IF(AND($EX72=$EU72+1,$EY72=$EV72),IF(OR(COUNTIF(#REF!,$B72)&gt;0,COUNTIF(#REF!,$B72)=0),"SKIP",IF(COUNTIFS(#REF!,$B72,#REF!,$DJ72)&gt;0,"OK","ONBEKEND")),IF(AND($EX72=$EU72,$EY72=$EV72+1),IF(OR(COUNTIF(#REF!,$D72)&gt;0,COUNTIF(#REF!,$D72)=0),"SKIP",IF(COUNTIFS(#REF!,$D72,#REF!,$DJ72)&gt;0,"OK","ONBEKEND")),"ONZEKER")))))</f>
        <v/>
      </c>
      <c r="DL72" t="str">
        <f t="shared" si="572"/>
        <v/>
      </c>
      <c r="DM72" t="str">
        <f t="shared" si="573"/>
        <v/>
      </c>
      <c r="DN72" t="str">
        <f t="shared" si="574"/>
        <v/>
      </c>
      <c r="DO72" t="str">
        <f t="shared" si="575"/>
        <v/>
      </c>
      <c r="DP72" t="str">
        <f t="shared" si="576"/>
        <v/>
      </c>
      <c r="DQ72" t="str">
        <f t="shared" si="577"/>
        <v/>
      </c>
      <c r="DR72" t="str">
        <f t="shared" si="578"/>
        <v/>
      </c>
      <c r="DS72" t="str">
        <f t="shared" si="579"/>
        <v/>
      </c>
      <c r="DT72" t="str">
        <f t="shared" si="580"/>
        <v/>
      </c>
      <c r="DU72" t="str">
        <f t="shared" si="581"/>
        <v/>
      </c>
      <c r="DV72" t="str">
        <f t="shared" si="582"/>
        <v/>
      </c>
      <c r="DW72" t="str">
        <f t="shared" si="583"/>
        <v/>
      </c>
      <c r="DX72" t="str">
        <f t="shared" si="584"/>
        <v/>
      </c>
      <c r="DY72" t="str">
        <f t="shared" si="585"/>
        <v/>
      </c>
      <c r="DZ72" t="str">
        <f t="shared" si="586"/>
        <v/>
      </c>
      <c r="EA72" t="str">
        <f t="shared" si="587"/>
        <v/>
      </c>
      <c r="EB72" t="str">
        <f t="shared" si="588"/>
        <v/>
      </c>
      <c r="EC72" t="str">
        <f t="shared" si="589"/>
        <v/>
      </c>
      <c r="ED72" t="str">
        <f t="shared" si="590"/>
        <v/>
      </c>
      <c r="EE72" t="str">
        <f t="shared" si="591"/>
        <v/>
      </c>
      <c r="EF72" t="str">
        <f t="shared" si="592"/>
        <v/>
      </c>
      <c r="EG72" t="str">
        <f t="shared" si="593"/>
        <v/>
      </c>
      <c r="EH72" t="str">
        <f t="shared" si="594"/>
        <v/>
      </c>
      <c r="EI72" t="str">
        <f t="shared" si="595"/>
        <v/>
      </c>
      <c r="EJ72" t="str">
        <f t="shared" si="596"/>
        <v/>
      </c>
      <c r="EK72" t="str">
        <f t="shared" si="597"/>
        <v/>
      </c>
      <c r="EL72" t="str">
        <f t="shared" si="598"/>
        <v/>
      </c>
      <c r="EM72" t="str">
        <f t="shared" si="599"/>
        <v/>
      </c>
      <c r="EN72" t="str">
        <f t="shared" si="600"/>
        <v/>
      </c>
      <c r="EO72" t="str">
        <f t="shared" si="601"/>
        <v/>
      </c>
      <c r="EP72" t="str">
        <f t="shared" si="602"/>
        <v/>
      </c>
      <c r="EQ72" t="str">
        <f t="shared" si="603"/>
        <v/>
      </c>
      <c r="ER72" t="str">
        <f t="shared" si="604"/>
        <v/>
      </c>
      <c r="ES72" t="str">
        <f t="shared" si="605"/>
        <v/>
      </c>
      <c r="ET72" t="str">
        <f t="shared" si="606"/>
        <v/>
      </c>
      <c r="EU72" t="str">
        <f t="shared" si="607"/>
        <v/>
      </c>
      <c r="EV72" t="str">
        <f t="shared" si="608"/>
        <v/>
      </c>
      <c r="EW72" t="str">
        <f t="shared" si="609"/>
        <v/>
      </c>
      <c r="EX72" t="str">
        <f t="shared" si="610"/>
        <v/>
      </c>
      <c r="EY72" t="str">
        <f t="shared" si="611"/>
        <v/>
      </c>
    </row>
    <row r="73" spans="1:155" ht="13.9" customHeight="1" x14ac:dyDescent="0.25">
      <c r="A73" s="7"/>
      <c r="B73" s="17"/>
      <c r="C73" s="8"/>
      <c r="D73" s="17"/>
      <c r="E73" s="8"/>
      <c r="F73" s="18">
        <v>0</v>
      </c>
      <c r="G73" s="7" t="s">
        <v>147</v>
      </c>
      <c r="H73" s="18">
        <v>0</v>
      </c>
      <c r="I73" s="19">
        <v>0</v>
      </c>
      <c r="J73" s="7" t="s">
        <v>147</v>
      </c>
      <c r="K73" s="19">
        <v>0</v>
      </c>
      <c r="L73" s="9"/>
      <c r="M73" s="3" t="str">
        <f>IF($L73="","",IF($L73="DOELPUNTENMAKERS","",IF(AND(COUNTIF(#REF!,$B73)=0,COUNTIF(#REF!,$D73)=0),"OK",IF($O73&gt;20,"LET OP: meer dan 20 items (controle onvolledig)",IF((COUNTIF($R73:$AS73,"ONZEKER")+COUNTIF($CJ73:$DK73,"ONZEKER"))&gt;0,"LET OP: scoreverloop onduidelijk (controle beperkt)",IF((IF($AT73&lt;&gt;"",$AT73&amp;", ","")&amp;IF($AU73&lt;&gt;"",$AU73&amp;", ","")&amp;IF($AV73&lt;&gt;"",$AV73&amp;", ","")&amp;IF($AW73&lt;&gt;"",$AW73&amp;", ","")&amp;IF($AX73&lt;&gt;"",$AX73&amp;", ","")&amp;IF($AY73&lt;&gt;"",$AY73&amp;", ","")&amp;IF($AZ73&lt;&gt;"",$AZ73&amp;", ","")&amp;IF($BA73&lt;&gt;"",$BA73&amp;", ","")&amp;IF($BB73&lt;&gt;"",$BB73&amp;", ","")&amp;IF($BC73&lt;&gt;"",$BC73&amp;", ","")&amp;IF($DL73&lt;&gt;"",$DL73&amp;", ","")&amp;IF($DM73&lt;&gt;"",$DM73&amp;", ","")&amp;IF($DN73&lt;&gt;"",$DN73&amp;", ","")&amp;IF($DO73&lt;&gt;"",$DO73&amp;", ","")&amp;IF($DP73&lt;&gt;"",$DP73&amp;", ","")&amp;IF($DQ73&lt;&gt;"",$DQ73&amp;", ","")&amp;IF($DR73&lt;&gt;"",$DR73&amp;", ","")&amp;IF($DS73&lt;&gt;"",$DS73&amp;", ","")&amp;IF($DT73&lt;&gt;"",$DT73&amp;", ","")&amp;IF($DU73&lt;&gt;"",$DU73&amp;", ",""))="","OK","Onbekend: "&amp;LEFT((IF($AT73&lt;&gt;"",$AT73&amp;", ","")&amp;IF($AU73&lt;&gt;"",$AU73&amp;", ","")&amp;IF($AV73&lt;&gt;"",$AV73&amp;", ","")&amp;IF($AW73&lt;&gt;"",$AW73&amp;", ","")&amp;IF($AX73&lt;&gt;"",$AX73&amp;", ","")&amp;IF($AY73&lt;&gt;"",$AY73&amp;", ","")&amp;IF($AZ73&lt;&gt;"",$AZ73&amp;", ","")&amp;IF($BA73&lt;&gt;"",$BA73&amp;", ","")&amp;IF($BB73&lt;&gt;"",$BB73&amp;", ","")&amp;IF($BC73&lt;&gt;"",$BC73&amp;", ","")&amp;IF($DL73&lt;&gt;"",$DL73&amp;", ","")&amp;IF($DM73&lt;&gt;"",$DM73&amp;", ","")&amp;IF($DN73&lt;&gt;"",$DN73&amp;", ","")&amp;IF($DO73&lt;&gt;"",$DO73&amp;", ","")&amp;IF($DP73&lt;&gt;"",$DP73&amp;", ","")&amp;IF($DQ73&lt;&gt;"",$DQ73&amp;", ","")&amp;IF($DR73&lt;&gt;"",$DR73&amp;", ","")&amp;IF($DS73&lt;&gt;"",$DS73&amp;", ","")&amp;IF($DT73&lt;&gt;"",$DT73&amp;", ","")&amp;IF($DU73&lt;&gt;"",$DU73&amp;", ","")),LEN((IF($AT73&lt;&gt;"",$AT73&amp;", ","")&amp;IF($AU73&lt;&gt;"",$AU73&amp;", ","")&amp;IF($AV73&lt;&gt;"",$AV73&amp;", ","")&amp;IF($AW73&lt;&gt;"",$AW73&amp;", ","")&amp;IF($AX73&lt;&gt;"",$AX73&amp;", ","")&amp;IF($AY73&lt;&gt;"",$AY73&amp;", ","")&amp;IF($AZ73&lt;&gt;"",$AZ73&amp;", ","")&amp;IF($BA73&lt;&gt;"",$BA73&amp;", ","")&amp;IF($BB73&lt;&gt;"",$BB73&amp;", ","")&amp;IF($BC73&lt;&gt;"",$BC73&amp;", ","")&amp;IF($DL73&lt;&gt;"",$DL73&amp;", ","")&amp;IF($DM73&lt;&gt;"",$DM73&amp;", ","")&amp;IF($DN73&lt;&gt;"",$DN73&amp;", ","")&amp;IF($DO73&lt;&gt;"",$DO73&amp;", ","")&amp;IF($DP73&lt;&gt;"",$DP73&amp;", ","")&amp;IF($DQ73&lt;&gt;"",$DQ73&amp;", ","")&amp;IF($DR73&lt;&gt;"",$DR73&amp;", ","")&amp;IF($DS73&lt;&gt;"",$DS73&amp;", ","")&amp;IF($DT73&lt;&gt;"",$DT73&amp;", ","")&amp;IF($DU73&lt;&gt;"",$DU73&amp;", ","")))-2)))))))</f>
        <v/>
      </c>
      <c r="N73" t="str">
        <f t="shared" si="520"/>
        <v/>
      </c>
      <c r="O73" t="str">
        <f t="shared" si="521"/>
        <v/>
      </c>
      <c r="P73" t="str">
        <f t="shared" si="522"/>
        <v/>
      </c>
      <c r="Q73" t="str">
        <f t="shared" si="523"/>
        <v/>
      </c>
      <c r="R73" t="str">
        <f>IF($Q73="","",IF(OR($BE73="",$BF73=""),"ONZEKER",IF(AND($BE73=0+1,$BF73=0),IF(OR(COUNTIF(#REF!,$B73)&gt;0,COUNTIF(#REF!,$B73)=0),"SKIP",IF(COUNTIFS(#REF!,$B73,#REF!,$Q73)&gt;0,"OK","ONBEKEND")),IF(AND($BE73=0,$BF73=0+1),IF(OR(COUNTIF(#REF!,$D73)&gt;0,COUNTIF(#REF!,$D73)=0),"SKIP",IF(COUNTIFS(#REF!,$D73,#REF!,$Q73)&gt;0,"OK","ONBEKEND")),"ONZEKER"))))</f>
        <v/>
      </c>
      <c r="S73" t="str">
        <f t="shared" si="524"/>
        <v/>
      </c>
      <c r="T73" t="str">
        <f t="shared" si="525"/>
        <v/>
      </c>
      <c r="U73" t="str">
        <f>IF($T73="","",IF(OR($BH73="",$BI73=""),"ONZEKER",IF(OR($BE73="",$BF73=""),"ONZEKER",IF(AND($BH73=$BE73+1,$BI73=$BF73),IF(OR(COUNTIF(#REF!,$B73)&gt;0,COUNTIF(#REF!,$B73)=0),"SKIP",IF(COUNTIFS(#REF!,$B73,#REF!,$T73)&gt;0,"OK","ONBEKEND")),IF(AND($BH73=$BE73,$BI73=$BF73+1),IF(OR(COUNTIF(#REF!,$D73)&gt;0,COUNTIF(#REF!,$D73)=0),"SKIP",IF(COUNTIFS(#REF!,$D73,#REF!,$T73)&gt;0,"OK","ONBEKEND")),"ONZEKER")))))</f>
        <v/>
      </c>
      <c r="V73" t="str">
        <f t="shared" si="526"/>
        <v/>
      </c>
      <c r="W73" t="str">
        <f t="shared" si="527"/>
        <v/>
      </c>
      <c r="X73" t="str">
        <f>IF($W73="","",IF(OR($BK73="",$BL73=""),"ONZEKER",IF(OR($BH73="",$BI73=""),"ONZEKER",IF(AND($BK73=$BH73+1,$BL73=$BI73),IF(OR(COUNTIF(#REF!,$B73)&gt;0,COUNTIF(#REF!,$B73)=0),"SKIP",IF(COUNTIFS(#REF!,$B73,#REF!,$W73)&gt;0,"OK","ONBEKEND")),IF(AND($BK73=$BH73,$BL73=$BI73+1),IF(OR(COUNTIF(#REF!,$D73)&gt;0,COUNTIF(#REF!,$D73)=0),"SKIP",IF(COUNTIFS(#REF!,$D73,#REF!,$W73)&gt;0,"OK","ONBEKEND")),"ONZEKER")))))</f>
        <v/>
      </c>
      <c r="Y73" t="str">
        <f t="shared" si="528"/>
        <v/>
      </c>
      <c r="Z73" t="str">
        <f t="shared" si="529"/>
        <v/>
      </c>
      <c r="AA73" t="str">
        <f>IF($Z73="","",IF(OR($BN73="",$BO73=""),"ONZEKER",IF(OR($BK73="",$BL73=""),"ONZEKER",IF(AND($BN73=$BK73+1,$BO73=$BL73),IF(OR(COUNTIF(#REF!,$B73)&gt;0,COUNTIF(#REF!,$B73)=0),"SKIP",IF(COUNTIFS(#REF!,$B73,#REF!,$Z73)&gt;0,"OK","ONBEKEND")),IF(AND($BN73=$BK73,$BO73=$BL73+1),IF(OR(COUNTIF(#REF!,$D73)&gt;0,COUNTIF(#REF!,$D73)=0),"SKIP",IF(COUNTIFS(#REF!,$D73,#REF!,$Z73)&gt;0,"OK","ONBEKEND")),"ONZEKER")))))</f>
        <v/>
      </c>
      <c r="AB73" t="str">
        <f t="shared" si="530"/>
        <v/>
      </c>
      <c r="AC73" t="str">
        <f t="shared" si="531"/>
        <v/>
      </c>
      <c r="AD73" t="str">
        <f>IF($AC73="","",IF(OR($BQ73="",$BR73=""),"ONZEKER",IF(OR($BN73="",$BO73=""),"ONZEKER",IF(AND($BQ73=$BN73+1,$BR73=$BO73),IF(OR(COUNTIF(#REF!,$B73)&gt;0,COUNTIF(#REF!,$B73)=0),"SKIP",IF(COUNTIFS(#REF!,$B73,#REF!,$AC73)&gt;0,"OK","ONBEKEND")),IF(AND($BQ73=$BN73,$BR73=$BO73+1),IF(OR(COUNTIF(#REF!,$D73)&gt;0,COUNTIF(#REF!,$D73)=0),"SKIP",IF(COUNTIFS(#REF!,$D73,#REF!,$AC73)&gt;0,"OK","ONBEKEND")),"ONZEKER")))))</f>
        <v/>
      </c>
      <c r="AE73" t="str">
        <f t="shared" si="532"/>
        <v/>
      </c>
      <c r="AF73" t="str">
        <f t="shared" si="533"/>
        <v/>
      </c>
      <c r="AG73" t="str">
        <f>IF($AF73="","",IF(OR($BT73="",$BU73=""),"ONZEKER",IF(OR($BQ73="",$BR73=""),"ONZEKER",IF(AND($BT73=$BQ73+1,$BU73=$BR73),IF(OR(COUNTIF(#REF!,$B73)&gt;0,COUNTIF(#REF!,$B73)=0),"SKIP",IF(COUNTIFS(#REF!,$B73,#REF!,$AF73)&gt;0,"OK","ONBEKEND")),IF(AND($BT73=$BQ73,$BU73=$BR73+1),IF(OR(COUNTIF(#REF!,$D73)&gt;0,COUNTIF(#REF!,$D73)=0),"SKIP",IF(COUNTIFS(#REF!,$D73,#REF!,$AF73)&gt;0,"OK","ONBEKEND")),"ONZEKER")))))</f>
        <v/>
      </c>
      <c r="AH73" t="str">
        <f t="shared" si="534"/>
        <v/>
      </c>
      <c r="AI73" t="str">
        <f t="shared" si="535"/>
        <v/>
      </c>
      <c r="AJ73" t="str">
        <f>IF($AI73="","",IF(OR($BW73="",$BX73=""),"ONZEKER",IF(OR($BT73="",$BU73=""),"ONZEKER",IF(AND($BW73=$BT73+1,$BX73=$BU73),IF(OR(COUNTIF(#REF!,$B73)&gt;0,COUNTIF(#REF!,$B73)=0),"SKIP",IF(COUNTIFS(#REF!,$B73,#REF!,$AI73)&gt;0,"OK","ONBEKEND")),IF(AND($BW73=$BT73,$BX73=$BU73+1),IF(OR(COUNTIF(#REF!,$D73)&gt;0,COUNTIF(#REF!,$D73)=0),"SKIP",IF(COUNTIFS(#REF!,$D73,#REF!,$AI73)&gt;0,"OK","ONBEKEND")),"ONZEKER")))))</f>
        <v/>
      </c>
      <c r="AK73" t="str">
        <f t="shared" si="536"/>
        <v/>
      </c>
      <c r="AL73" t="str">
        <f t="shared" si="537"/>
        <v/>
      </c>
      <c r="AM73" t="str">
        <f>IF($AL73="","",IF(OR($BZ73="",$CA73=""),"ONZEKER",IF(OR($BW73="",$BX73=""),"ONZEKER",IF(AND($BZ73=$BW73+1,$CA73=$BX73),IF(OR(COUNTIF(#REF!,$B73)&gt;0,COUNTIF(#REF!,$B73)=0),"SKIP",IF(COUNTIFS(#REF!,$B73,#REF!,$AL73)&gt;0,"OK","ONBEKEND")),IF(AND($BZ73=$BW73,$CA73=$BX73+1),IF(OR(COUNTIF(#REF!,$D73)&gt;0,COUNTIF(#REF!,$D73)=0),"SKIP",IF(COUNTIFS(#REF!,$D73,#REF!,$AL73)&gt;0,"OK","ONBEKEND")),"ONZEKER")))))</f>
        <v/>
      </c>
      <c r="AN73" t="str">
        <f t="shared" si="538"/>
        <v/>
      </c>
      <c r="AO73" t="str">
        <f t="shared" si="539"/>
        <v/>
      </c>
      <c r="AP73" t="str">
        <f>IF($AO73="","",IF(OR($CC73="",$CD73=""),"ONZEKER",IF(OR($BZ73="",$CA73=""),"ONZEKER",IF(AND($CC73=$BZ73+1,$CD73=$CA73),IF(OR(COUNTIF(#REF!,$B73)&gt;0,COUNTIF(#REF!,$B73)=0),"SKIP",IF(COUNTIFS(#REF!,$B73,#REF!,$AO73)&gt;0,"OK","ONBEKEND")),IF(AND($CC73=$BZ73,$CD73=$CA73+1),IF(OR(COUNTIF(#REF!,$D73)&gt;0,COUNTIF(#REF!,$D73)=0),"SKIP",IF(COUNTIFS(#REF!,$D73,#REF!,$AO73)&gt;0,"OK","ONBEKEND")),"ONZEKER")))))</f>
        <v/>
      </c>
      <c r="AQ73" t="str">
        <f t="shared" si="540"/>
        <v/>
      </c>
      <c r="AR73" t="str">
        <f t="shared" si="541"/>
        <v/>
      </c>
      <c r="AS73" t="str">
        <f>IF($AR73="","",IF(OR($CF73="",$CG73=""),"ONZEKER",IF(OR($CC73="",$CD73=""),"ONZEKER",IF(AND($CF73=$CC73+1,$CG73=$CD73),IF(OR(COUNTIF(#REF!,$B73)&gt;0,COUNTIF(#REF!,$B73)=0),"SKIP",IF(COUNTIFS(#REF!,$B73,#REF!,$AR73)&gt;0,"OK","ONBEKEND")),IF(AND($CF73=$CC73,$CG73=$CD73+1),IF(OR(COUNTIF(#REF!,$D73)&gt;0,COUNTIF(#REF!,$D73)=0),"SKIP",IF(COUNTIFS(#REF!,$D73,#REF!,$AR73)&gt;0,"OK","ONBEKEND")),"ONZEKER")))))</f>
        <v/>
      </c>
      <c r="AT73" t="str">
        <f t="shared" si="542"/>
        <v/>
      </c>
      <c r="AU73" t="str">
        <f t="shared" si="543"/>
        <v/>
      </c>
      <c r="AV73" t="str">
        <f t="shared" si="544"/>
        <v/>
      </c>
      <c r="AW73" t="str">
        <f t="shared" si="545"/>
        <v/>
      </c>
      <c r="AX73" t="str">
        <f t="shared" si="546"/>
        <v/>
      </c>
      <c r="AY73" t="str">
        <f t="shared" si="547"/>
        <v/>
      </c>
      <c r="AZ73" t="str">
        <f t="shared" si="548"/>
        <v/>
      </c>
      <c r="BA73" t="str">
        <f t="shared" si="549"/>
        <v/>
      </c>
      <c r="BB73" t="str">
        <f t="shared" si="550"/>
        <v/>
      </c>
      <c r="BC73" t="str">
        <f t="shared" si="551"/>
        <v/>
      </c>
      <c r="BD73" t="str">
        <f t="shared" si="490"/>
        <v/>
      </c>
      <c r="BE73" t="str">
        <f t="shared" si="491"/>
        <v/>
      </c>
      <c r="BF73" t="str">
        <f t="shared" si="492"/>
        <v/>
      </c>
      <c r="BG73" t="str">
        <f t="shared" si="493"/>
        <v/>
      </c>
      <c r="BH73" t="str">
        <f t="shared" si="494"/>
        <v/>
      </c>
      <c r="BI73" t="str">
        <f t="shared" si="495"/>
        <v/>
      </c>
      <c r="BJ73" t="str">
        <f t="shared" si="496"/>
        <v/>
      </c>
      <c r="BK73" t="str">
        <f t="shared" si="497"/>
        <v/>
      </c>
      <c r="BL73" t="str">
        <f t="shared" si="498"/>
        <v/>
      </c>
      <c r="BM73" t="str">
        <f t="shared" si="499"/>
        <v/>
      </c>
      <c r="BN73" t="str">
        <f t="shared" si="500"/>
        <v/>
      </c>
      <c r="BO73" t="str">
        <f t="shared" si="501"/>
        <v/>
      </c>
      <c r="BP73" t="str">
        <f t="shared" si="502"/>
        <v/>
      </c>
      <c r="BQ73" t="str">
        <f t="shared" si="503"/>
        <v/>
      </c>
      <c r="BR73" t="str">
        <f t="shared" si="504"/>
        <v/>
      </c>
      <c r="BS73" t="str">
        <f t="shared" si="505"/>
        <v/>
      </c>
      <c r="BT73" t="str">
        <f t="shared" si="506"/>
        <v/>
      </c>
      <c r="BU73" t="str">
        <f t="shared" si="507"/>
        <v/>
      </c>
      <c r="BV73" t="str">
        <f t="shared" si="508"/>
        <v/>
      </c>
      <c r="BW73" t="str">
        <f t="shared" si="509"/>
        <v/>
      </c>
      <c r="BX73" t="str">
        <f t="shared" si="510"/>
        <v/>
      </c>
      <c r="BY73" t="str">
        <f t="shared" si="511"/>
        <v/>
      </c>
      <c r="BZ73" t="str">
        <f t="shared" si="512"/>
        <v/>
      </c>
      <c r="CA73" t="str">
        <f t="shared" si="513"/>
        <v/>
      </c>
      <c r="CB73" t="str">
        <f t="shared" si="514"/>
        <v/>
      </c>
      <c r="CC73" t="str">
        <f t="shared" si="515"/>
        <v/>
      </c>
      <c r="CD73" t="str">
        <f t="shared" si="516"/>
        <v/>
      </c>
      <c r="CE73" t="str">
        <f t="shared" si="517"/>
        <v/>
      </c>
      <c r="CF73" t="str">
        <f t="shared" si="518"/>
        <v/>
      </c>
      <c r="CG73" t="str">
        <f t="shared" si="519"/>
        <v/>
      </c>
      <c r="CH73" t="str">
        <f t="shared" si="552"/>
        <v/>
      </c>
      <c r="CI73" t="str">
        <f t="shared" si="553"/>
        <v/>
      </c>
      <c r="CJ73" t="str">
        <f>IF($CI73="","",IF(OR($DW73="",$DX73=""),"ONZEKER",IF(OR($CF73="",$CG73=""),"ONZEKER",IF(AND($DW73=$CF73+1,$DX73=$CG73),IF(OR(COUNTIF(#REF!,$B73)&gt;0,COUNTIF(#REF!,$B73)=0),"SKIP",IF(COUNTIFS(#REF!,$B73,#REF!,$CI73)&gt;0,"OK","ONBEKEND")),IF(AND($DW73=$CF73,$DX73=$CG73+1),IF(OR(COUNTIF(#REF!,$D73)&gt;0,COUNTIF(#REF!,$D73)=0),"SKIP",IF(COUNTIFS(#REF!,$D73,#REF!,$CI73)&gt;0,"OK","ONBEKEND")),"ONZEKER")))))</f>
        <v/>
      </c>
      <c r="CK73" t="str">
        <f t="shared" si="554"/>
        <v/>
      </c>
      <c r="CL73" t="str">
        <f t="shared" si="555"/>
        <v/>
      </c>
      <c r="CM73" t="str">
        <f>IF($CL73="","",IF(OR($DZ73="",$EA73=""),"ONZEKER",IF(OR($DW73="",$DX73=""),"ONZEKER",IF(AND($DZ73=$DW73+1,$EA73=$DX73),IF(OR(COUNTIF(#REF!,$B73)&gt;0,COUNTIF(#REF!,$B73)=0),"SKIP",IF(COUNTIFS(#REF!,$B73,#REF!,$CL73)&gt;0,"OK","ONBEKEND")),IF(AND($DZ73=$DW73,$EA73=$DX73+1),IF(OR(COUNTIF(#REF!,$D73)&gt;0,COUNTIF(#REF!,$D73)=0),"SKIP",IF(COUNTIFS(#REF!,$D73,#REF!,$CL73)&gt;0,"OK","ONBEKEND")),"ONZEKER")))))</f>
        <v/>
      </c>
      <c r="CN73" t="str">
        <f t="shared" si="556"/>
        <v/>
      </c>
      <c r="CO73" t="str">
        <f t="shared" si="557"/>
        <v/>
      </c>
      <c r="CP73" t="str">
        <f>IF($CO73="","",IF(OR($EC73="",$ED73=""),"ONZEKER",IF(OR($DZ73="",$EA73=""),"ONZEKER",IF(AND($EC73=$DZ73+1,$ED73=$EA73),IF(OR(COUNTIF(#REF!,$B73)&gt;0,COUNTIF(#REF!,$B73)=0),"SKIP",IF(COUNTIFS(#REF!,$B73,#REF!,$CO73)&gt;0,"OK","ONBEKEND")),IF(AND($EC73=$DZ73,$ED73=$EA73+1),IF(OR(COUNTIF(#REF!,$D73)&gt;0,COUNTIF(#REF!,$D73)=0),"SKIP",IF(COUNTIFS(#REF!,$D73,#REF!,$CO73)&gt;0,"OK","ONBEKEND")),"ONZEKER")))))</f>
        <v/>
      </c>
      <c r="CQ73" t="str">
        <f t="shared" si="558"/>
        <v/>
      </c>
      <c r="CR73" t="str">
        <f t="shared" si="559"/>
        <v/>
      </c>
      <c r="CS73" t="str">
        <f>IF($CR73="","",IF(OR($EF73="",$EG73=""),"ONZEKER",IF(OR($EC73="",$ED73=""),"ONZEKER",IF(AND($EF73=$EC73+1,$EG73=$ED73),IF(OR(COUNTIF(#REF!,$B73)&gt;0,COUNTIF(#REF!,$B73)=0),"SKIP",IF(COUNTIFS(#REF!,$B73,#REF!,$CR73)&gt;0,"OK","ONBEKEND")),IF(AND($EF73=$EC73,$EG73=$ED73+1),IF(OR(COUNTIF(#REF!,$D73)&gt;0,COUNTIF(#REF!,$D73)=0),"SKIP",IF(COUNTIFS(#REF!,$D73,#REF!,$CR73)&gt;0,"OK","ONBEKEND")),"ONZEKER")))))</f>
        <v/>
      </c>
      <c r="CT73" t="str">
        <f t="shared" si="560"/>
        <v/>
      </c>
      <c r="CU73" t="str">
        <f t="shared" si="561"/>
        <v/>
      </c>
      <c r="CV73" t="str">
        <f>IF($CU73="","",IF(OR($EI73="",$EJ73=""),"ONZEKER",IF(OR($EF73="",$EG73=""),"ONZEKER",IF(AND($EI73=$EF73+1,$EJ73=$EG73),IF(OR(COUNTIF(#REF!,$B73)&gt;0,COUNTIF(#REF!,$B73)=0),"SKIP",IF(COUNTIFS(#REF!,$B73,#REF!,$CU73)&gt;0,"OK","ONBEKEND")),IF(AND($EI73=$EF73,$EJ73=$EG73+1),IF(OR(COUNTIF(#REF!,$D73)&gt;0,COUNTIF(#REF!,$D73)=0),"SKIP",IF(COUNTIFS(#REF!,$D73,#REF!,$CU73)&gt;0,"OK","ONBEKEND")),"ONZEKER")))))</f>
        <v/>
      </c>
      <c r="CW73" t="str">
        <f t="shared" si="562"/>
        <v/>
      </c>
      <c r="CX73" t="str">
        <f t="shared" si="563"/>
        <v/>
      </c>
      <c r="CY73" t="str">
        <f>IF($CX73="","",IF(OR($EL73="",$EM73=""),"ONZEKER",IF(OR($EI73="",$EJ73=""),"ONZEKER",IF(AND($EL73=$EI73+1,$EM73=$EJ73),IF(OR(COUNTIF(#REF!,$B73)&gt;0,COUNTIF(#REF!,$B73)=0),"SKIP",IF(COUNTIFS(#REF!,$B73,#REF!,$CX73)&gt;0,"OK","ONBEKEND")),IF(AND($EL73=$EI73,$EM73=$EJ73+1),IF(OR(COUNTIF(#REF!,$D73)&gt;0,COUNTIF(#REF!,$D73)=0),"SKIP",IF(COUNTIFS(#REF!,$D73,#REF!,$CX73)&gt;0,"OK","ONBEKEND")),"ONZEKER")))))</f>
        <v/>
      </c>
      <c r="CZ73" t="str">
        <f t="shared" si="564"/>
        <v/>
      </c>
      <c r="DA73" t="str">
        <f t="shared" si="565"/>
        <v/>
      </c>
      <c r="DB73" t="str">
        <f>IF($DA73="","",IF(OR($EO73="",$EP73=""),"ONZEKER",IF(OR($EL73="",$EM73=""),"ONZEKER",IF(AND($EO73=$EL73+1,$EP73=$EM73),IF(OR(COUNTIF(#REF!,$B73)&gt;0,COUNTIF(#REF!,$B73)=0),"SKIP",IF(COUNTIFS(#REF!,$B73,#REF!,$DA73)&gt;0,"OK","ONBEKEND")),IF(AND($EO73=$EL73,$EP73=$EM73+1),IF(OR(COUNTIF(#REF!,$D73)&gt;0,COUNTIF(#REF!,$D73)=0),"SKIP",IF(COUNTIFS(#REF!,$D73,#REF!,$DA73)&gt;0,"OK","ONBEKEND")),"ONZEKER")))))</f>
        <v/>
      </c>
      <c r="DC73" t="str">
        <f t="shared" si="566"/>
        <v/>
      </c>
      <c r="DD73" t="str">
        <f t="shared" si="567"/>
        <v/>
      </c>
      <c r="DE73" t="str">
        <f>IF($DD73="","",IF(OR($ER73="",$ES73=""),"ONZEKER",IF(OR($EO73="",$EP73=""),"ONZEKER",IF(AND($ER73=$EO73+1,$ES73=$EP73),IF(OR(COUNTIF(#REF!,$B73)&gt;0,COUNTIF(#REF!,$B73)=0),"SKIP",IF(COUNTIFS(#REF!,$B73,#REF!,$DD73)&gt;0,"OK","ONBEKEND")),IF(AND($ER73=$EO73,$ES73=$EP73+1),IF(OR(COUNTIF(#REF!,$D73)&gt;0,COUNTIF(#REF!,$D73)=0),"SKIP",IF(COUNTIFS(#REF!,$D73,#REF!,$DD73)&gt;0,"OK","ONBEKEND")),"ONZEKER")))))</f>
        <v/>
      </c>
      <c r="DF73" t="str">
        <f t="shared" si="568"/>
        <v/>
      </c>
      <c r="DG73" t="str">
        <f t="shared" si="569"/>
        <v/>
      </c>
      <c r="DH73" t="str">
        <f>IF($DG73="","",IF(OR($EU73="",$EV73=""),"ONZEKER",IF(OR($ER73="",$ES73=""),"ONZEKER",IF(AND($EU73=$ER73+1,$EV73=$ES73),IF(OR(COUNTIF(#REF!,$B73)&gt;0,COUNTIF(#REF!,$B73)=0),"SKIP",IF(COUNTIFS(#REF!,$B73,#REF!,$DG73)&gt;0,"OK","ONBEKEND")),IF(AND($EU73=$ER73,$EV73=$ES73+1),IF(OR(COUNTIF(#REF!,$D73)&gt;0,COUNTIF(#REF!,$D73)=0),"SKIP",IF(COUNTIFS(#REF!,$D73,#REF!,$DG73)&gt;0,"OK","ONBEKEND")),"ONZEKER")))))</f>
        <v/>
      </c>
      <c r="DI73" t="str">
        <f t="shared" si="570"/>
        <v/>
      </c>
      <c r="DJ73" t="str">
        <f t="shared" si="571"/>
        <v/>
      </c>
      <c r="DK73" t="str">
        <f>IF($DJ73="","",IF(OR($EX73="",$EY73=""),"ONZEKER",IF(OR($EU73="",$EV73=""),"ONZEKER",IF(AND($EX73=$EU73+1,$EY73=$EV73),IF(OR(COUNTIF(#REF!,$B73)&gt;0,COUNTIF(#REF!,$B73)=0),"SKIP",IF(COUNTIFS(#REF!,$B73,#REF!,$DJ73)&gt;0,"OK","ONBEKEND")),IF(AND($EX73=$EU73,$EY73=$EV73+1),IF(OR(COUNTIF(#REF!,$D73)&gt;0,COUNTIF(#REF!,$D73)=0),"SKIP",IF(COUNTIFS(#REF!,$D73,#REF!,$DJ73)&gt;0,"OK","ONBEKEND")),"ONZEKER")))))</f>
        <v/>
      </c>
      <c r="DL73" t="str">
        <f t="shared" si="572"/>
        <v/>
      </c>
      <c r="DM73" t="str">
        <f t="shared" si="573"/>
        <v/>
      </c>
      <c r="DN73" t="str">
        <f t="shared" si="574"/>
        <v/>
      </c>
      <c r="DO73" t="str">
        <f t="shared" si="575"/>
        <v/>
      </c>
      <c r="DP73" t="str">
        <f t="shared" si="576"/>
        <v/>
      </c>
      <c r="DQ73" t="str">
        <f t="shared" si="577"/>
        <v/>
      </c>
      <c r="DR73" t="str">
        <f t="shared" si="578"/>
        <v/>
      </c>
      <c r="DS73" t="str">
        <f t="shared" si="579"/>
        <v/>
      </c>
      <c r="DT73" t="str">
        <f t="shared" si="580"/>
        <v/>
      </c>
      <c r="DU73" t="str">
        <f t="shared" si="581"/>
        <v/>
      </c>
      <c r="DV73" t="str">
        <f t="shared" si="582"/>
        <v/>
      </c>
      <c r="DW73" t="str">
        <f t="shared" si="583"/>
        <v/>
      </c>
      <c r="DX73" t="str">
        <f t="shared" si="584"/>
        <v/>
      </c>
      <c r="DY73" t="str">
        <f t="shared" si="585"/>
        <v/>
      </c>
      <c r="DZ73" t="str">
        <f t="shared" si="586"/>
        <v/>
      </c>
      <c r="EA73" t="str">
        <f t="shared" si="587"/>
        <v/>
      </c>
      <c r="EB73" t="str">
        <f t="shared" si="588"/>
        <v/>
      </c>
      <c r="EC73" t="str">
        <f t="shared" si="589"/>
        <v/>
      </c>
      <c r="ED73" t="str">
        <f t="shared" si="590"/>
        <v/>
      </c>
      <c r="EE73" t="str">
        <f t="shared" si="591"/>
        <v/>
      </c>
      <c r="EF73" t="str">
        <f t="shared" si="592"/>
        <v/>
      </c>
      <c r="EG73" t="str">
        <f t="shared" si="593"/>
        <v/>
      </c>
      <c r="EH73" t="str">
        <f t="shared" si="594"/>
        <v/>
      </c>
      <c r="EI73" t="str">
        <f t="shared" si="595"/>
        <v/>
      </c>
      <c r="EJ73" t="str">
        <f t="shared" si="596"/>
        <v/>
      </c>
      <c r="EK73" t="str">
        <f t="shared" si="597"/>
        <v/>
      </c>
      <c r="EL73" t="str">
        <f t="shared" si="598"/>
        <v/>
      </c>
      <c r="EM73" t="str">
        <f t="shared" si="599"/>
        <v/>
      </c>
      <c r="EN73" t="str">
        <f t="shared" si="600"/>
        <v/>
      </c>
      <c r="EO73" t="str">
        <f t="shared" si="601"/>
        <v/>
      </c>
      <c r="EP73" t="str">
        <f t="shared" si="602"/>
        <v/>
      </c>
      <c r="EQ73" t="str">
        <f t="shared" si="603"/>
        <v/>
      </c>
      <c r="ER73" t="str">
        <f t="shared" si="604"/>
        <v/>
      </c>
      <c r="ES73" t="str">
        <f t="shared" si="605"/>
        <v/>
      </c>
      <c r="ET73" t="str">
        <f t="shared" si="606"/>
        <v/>
      </c>
      <c r="EU73" t="str">
        <f t="shared" si="607"/>
        <v/>
      </c>
      <c r="EV73" t="str">
        <f t="shared" si="608"/>
        <v/>
      </c>
      <c r="EW73" t="str">
        <f t="shared" si="609"/>
        <v/>
      </c>
      <c r="EX73" t="str">
        <f t="shared" si="610"/>
        <v/>
      </c>
      <c r="EY73" t="str">
        <f t="shared" si="611"/>
        <v/>
      </c>
    </row>
    <row r="74" spans="1:155" ht="13.9" customHeight="1" x14ac:dyDescent="0.25">
      <c r="A74" s="7"/>
      <c r="B74" s="17"/>
      <c r="C74" s="8"/>
      <c r="D74" s="17"/>
      <c r="E74" s="8"/>
      <c r="F74" s="18">
        <v>0</v>
      </c>
      <c r="G74" s="7" t="s">
        <v>147</v>
      </c>
      <c r="H74" s="18">
        <v>0</v>
      </c>
      <c r="I74" s="19">
        <v>0</v>
      </c>
      <c r="J74" s="7" t="s">
        <v>147</v>
      </c>
      <c r="K74" s="19">
        <v>0</v>
      </c>
      <c r="L74" s="9"/>
      <c r="M74" s="3" t="str">
        <f>IF($L74="","",IF($L74="DOELPUNTENMAKERS","",IF(AND(COUNTIF(#REF!,$B74)=0,COUNTIF(#REF!,$D74)=0),"OK",IF($O74&gt;20,"LET OP: meer dan 20 items (controle onvolledig)",IF((COUNTIF($R74:$AS74,"ONZEKER")+COUNTIF($CJ74:$DK74,"ONZEKER"))&gt;0,"LET OP: scoreverloop onduidelijk (controle beperkt)",IF((IF($AT74&lt;&gt;"",$AT74&amp;", ","")&amp;IF($AU74&lt;&gt;"",$AU74&amp;", ","")&amp;IF($AV74&lt;&gt;"",$AV74&amp;", ","")&amp;IF($AW74&lt;&gt;"",$AW74&amp;", ","")&amp;IF($AX74&lt;&gt;"",$AX74&amp;", ","")&amp;IF($AY74&lt;&gt;"",$AY74&amp;", ","")&amp;IF($AZ74&lt;&gt;"",$AZ74&amp;", ","")&amp;IF($BA74&lt;&gt;"",$BA74&amp;", ","")&amp;IF($BB74&lt;&gt;"",$BB74&amp;", ","")&amp;IF($BC74&lt;&gt;"",$BC74&amp;", ","")&amp;IF($DL74&lt;&gt;"",$DL74&amp;", ","")&amp;IF($DM74&lt;&gt;"",$DM74&amp;", ","")&amp;IF($DN74&lt;&gt;"",$DN74&amp;", ","")&amp;IF($DO74&lt;&gt;"",$DO74&amp;", ","")&amp;IF($DP74&lt;&gt;"",$DP74&amp;", ","")&amp;IF($DQ74&lt;&gt;"",$DQ74&amp;", ","")&amp;IF($DR74&lt;&gt;"",$DR74&amp;", ","")&amp;IF($DS74&lt;&gt;"",$DS74&amp;", ","")&amp;IF($DT74&lt;&gt;"",$DT74&amp;", ","")&amp;IF($DU74&lt;&gt;"",$DU74&amp;", ",""))="","OK","Onbekend: "&amp;LEFT((IF($AT74&lt;&gt;"",$AT74&amp;", ","")&amp;IF($AU74&lt;&gt;"",$AU74&amp;", ","")&amp;IF($AV74&lt;&gt;"",$AV74&amp;", ","")&amp;IF($AW74&lt;&gt;"",$AW74&amp;", ","")&amp;IF($AX74&lt;&gt;"",$AX74&amp;", ","")&amp;IF($AY74&lt;&gt;"",$AY74&amp;", ","")&amp;IF($AZ74&lt;&gt;"",$AZ74&amp;", ","")&amp;IF($BA74&lt;&gt;"",$BA74&amp;", ","")&amp;IF($BB74&lt;&gt;"",$BB74&amp;", ","")&amp;IF($BC74&lt;&gt;"",$BC74&amp;", ","")&amp;IF($DL74&lt;&gt;"",$DL74&amp;", ","")&amp;IF($DM74&lt;&gt;"",$DM74&amp;", ","")&amp;IF($DN74&lt;&gt;"",$DN74&amp;", ","")&amp;IF($DO74&lt;&gt;"",$DO74&amp;", ","")&amp;IF($DP74&lt;&gt;"",$DP74&amp;", ","")&amp;IF($DQ74&lt;&gt;"",$DQ74&amp;", ","")&amp;IF($DR74&lt;&gt;"",$DR74&amp;", ","")&amp;IF($DS74&lt;&gt;"",$DS74&amp;", ","")&amp;IF($DT74&lt;&gt;"",$DT74&amp;", ","")&amp;IF($DU74&lt;&gt;"",$DU74&amp;", ","")),LEN((IF($AT74&lt;&gt;"",$AT74&amp;", ","")&amp;IF($AU74&lt;&gt;"",$AU74&amp;", ","")&amp;IF($AV74&lt;&gt;"",$AV74&amp;", ","")&amp;IF($AW74&lt;&gt;"",$AW74&amp;", ","")&amp;IF($AX74&lt;&gt;"",$AX74&amp;", ","")&amp;IF($AY74&lt;&gt;"",$AY74&amp;", ","")&amp;IF($AZ74&lt;&gt;"",$AZ74&amp;", ","")&amp;IF($BA74&lt;&gt;"",$BA74&amp;", ","")&amp;IF($BB74&lt;&gt;"",$BB74&amp;", ","")&amp;IF($BC74&lt;&gt;"",$BC74&amp;", ","")&amp;IF($DL74&lt;&gt;"",$DL74&amp;", ","")&amp;IF($DM74&lt;&gt;"",$DM74&amp;", ","")&amp;IF($DN74&lt;&gt;"",$DN74&amp;", ","")&amp;IF($DO74&lt;&gt;"",$DO74&amp;", ","")&amp;IF($DP74&lt;&gt;"",$DP74&amp;", ","")&amp;IF($DQ74&lt;&gt;"",$DQ74&amp;", ","")&amp;IF($DR74&lt;&gt;"",$DR74&amp;", ","")&amp;IF($DS74&lt;&gt;"",$DS74&amp;", ","")&amp;IF($DT74&lt;&gt;"",$DT74&amp;", ","")&amp;IF($DU74&lt;&gt;"",$DU74&amp;", ","")))-2)))))))</f>
        <v/>
      </c>
      <c r="N74" t="str">
        <f t="shared" si="520"/>
        <v/>
      </c>
      <c r="O74" t="str">
        <f t="shared" si="521"/>
        <v/>
      </c>
      <c r="P74" t="str">
        <f t="shared" si="522"/>
        <v/>
      </c>
      <c r="Q74" t="str">
        <f t="shared" si="523"/>
        <v/>
      </c>
      <c r="R74" t="str">
        <f>IF($Q74="","",IF(OR($BE74="",$BF74=""),"ONZEKER",IF(AND($BE74=0+1,$BF74=0),IF(OR(COUNTIF(#REF!,$B74)&gt;0,COUNTIF(#REF!,$B74)=0),"SKIP",IF(COUNTIFS(#REF!,$B74,#REF!,$Q74)&gt;0,"OK","ONBEKEND")),IF(AND($BE74=0,$BF74=0+1),IF(OR(COUNTIF(#REF!,$D74)&gt;0,COUNTIF(#REF!,$D74)=0),"SKIP",IF(COUNTIFS(#REF!,$D74,#REF!,$Q74)&gt;0,"OK","ONBEKEND")),"ONZEKER"))))</f>
        <v/>
      </c>
      <c r="S74" t="str">
        <f t="shared" si="524"/>
        <v/>
      </c>
      <c r="T74" t="str">
        <f t="shared" si="525"/>
        <v/>
      </c>
      <c r="U74" t="str">
        <f>IF($T74="","",IF(OR($BH74="",$BI74=""),"ONZEKER",IF(OR($BE74="",$BF74=""),"ONZEKER",IF(AND($BH74=$BE74+1,$BI74=$BF74),IF(OR(COUNTIF(#REF!,$B74)&gt;0,COUNTIF(#REF!,$B74)=0),"SKIP",IF(COUNTIFS(#REF!,$B74,#REF!,$T74)&gt;0,"OK","ONBEKEND")),IF(AND($BH74=$BE74,$BI74=$BF74+1),IF(OR(COUNTIF(#REF!,$D74)&gt;0,COUNTIF(#REF!,$D74)=0),"SKIP",IF(COUNTIFS(#REF!,$D74,#REF!,$T74)&gt;0,"OK","ONBEKEND")),"ONZEKER")))))</f>
        <v/>
      </c>
      <c r="V74" t="str">
        <f t="shared" si="526"/>
        <v/>
      </c>
      <c r="W74" t="str">
        <f t="shared" si="527"/>
        <v/>
      </c>
      <c r="X74" t="str">
        <f>IF($W74="","",IF(OR($BK74="",$BL74=""),"ONZEKER",IF(OR($BH74="",$BI74=""),"ONZEKER",IF(AND($BK74=$BH74+1,$BL74=$BI74),IF(OR(COUNTIF(#REF!,$B74)&gt;0,COUNTIF(#REF!,$B74)=0),"SKIP",IF(COUNTIFS(#REF!,$B74,#REF!,$W74)&gt;0,"OK","ONBEKEND")),IF(AND($BK74=$BH74,$BL74=$BI74+1),IF(OR(COUNTIF(#REF!,$D74)&gt;0,COUNTIF(#REF!,$D74)=0),"SKIP",IF(COUNTIFS(#REF!,$D74,#REF!,$W74)&gt;0,"OK","ONBEKEND")),"ONZEKER")))))</f>
        <v/>
      </c>
      <c r="Y74" t="str">
        <f t="shared" si="528"/>
        <v/>
      </c>
      <c r="Z74" t="str">
        <f t="shared" si="529"/>
        <v/>
      </c>
      <c r="AA74" t="str">
        <f>IF($Z74="","",IF(OR($BN74="",$BO74=""),"ONZEKER",IF(OR($BK74="",$BL74=""),"ONZEKER",IF(AND($BN74=$BK74+1,$BO74=$BL74),IF(OR(COUNTIF(#REF!,$B74)&gt;0,COUNTIF(#REF!,$B74)=0),"SKIP",IF(COUNTIFS(#REF!,$B74,#REF!,$Z74)&gt;0,"OK","ONBEKEND")),IF(AND($BN74=$BK74,$BO74=$BL74+1),IF(OR(COUNTIF(#REF!,$D74)&gt;0,COUNTIF(#REF!,$D74)=0),"SKIP",IF(COUNTIFS(#REF!,$D74,#REF!,$Z74)&gt;0,"OK","ONBEKEND")),"ONZEKER")))))</f>
        <v/>
      </c>
      <c r="AB74" t="str">
        <f t="shared" si="530"/>
        <v/>
      </c>
      <c r="AC74" t="str">
        <f t="shared" si="531"/>
        <v/>
      </c>
      <c r="AD74" t="str">
        <f>IF($AC74="","",IF(OR($BQ74="",$BR74=""),"ONZEKER",IF(OR($BN74="",$BO74=""),"ONZEKER",IF(AND($BQ74=$BN74+1,$BR74=$BO74),IF(OR(COUNTIF(#REF!,$B74)&gt;0,COUNTIF(#REF!,$B74)=0),"SKIP",IF(COUNTIFS(#REF!,$B74,#REF!,$AC74)&gt;0,"OK","ONBEKEND")),IF(AND($BQ74=$BN74,$BR74=$BO74+1),IF(OR(COUNTIF(#REF!,$D74)&gt;0,COUNTIF(#REF!,$D74)=0),"SKIP",IF(COUNTIFS(#REF!,$D74,#REF!,$AC74)&gt;0,"OK","ONBEKEND")),"ONZEKER")))))</f>
        <v/>
      </c>
      <c r="AE74" t="str">
        <f t="shared" si="532"/>
        <v/>
      </c>
      <c r="AF74" t="str">
        <f t="shared" si="533"/>
        <v/>
      </c>
      <c r="AG74" t="str">
        <f>IF($AF74="","",IF(OR($BT74="",$BU74=""),"ONZEKER",IF(OR($BQ74="",$BR74=""),"ONZEKER",IF(AND($BT74=$BQ74+1,$BU74=$BR74),IF(OR(COUNTIF(#REF!,$B74)&gt;0,COUNTIF(#REF!,$B74)=0),"SKIP",IF(COUNTIFS(#REF!,$B74,#REF!,$AF74)&gt;0,"OK","ONBEKEND")),IF(AND($BT74=$BQ74,$BU74=$BR74+1),IF(OR(COUNTIF(#REF!,$D74)&gt;0,COUNTIF(#REF!,$D74)=0),"SKIP",IF(COUNTIFS(#REF!,$D74,#REF!,$AF74)&gt;0,"OK","ONBEKEND")),"ONZEKER")))))</f>
        <v/>
      </c>
      <c r="AH74" t="str">
        <f t="shared" si="534"/>
        <v/>
      </c>
      <c r="AI74" t="str">
        <f t="shared" si="535"/>
        <v/>
      </c>
      <c r="AJ74" t="str">
        <f>IF($AI74="","",IF(OR($BW74="",$BX74=""),"ONZEKER",IF(OR($BT74="",$BU74=""),"ONZEKER",IF(AND($BW74=$BT74+1,$BX74=$BU74),IF(OR(COUNTIF(#REF!,$B74)&gt;0,COUNTIF(#REF!,$B74)=0),"SKIP",IF(COUNTIFS(#REF!,$B74,#REF!,$AI74)&gt;0,"OK","ONBEKEND")),IF(AND($BW74=$BT74,$BX74=$BU74+1),IF(OR(COUNTIF(#REF!,$D74)&gt;0,COUNTIF(#REF!,$D74)=0),"SKIP",IF(COUNTIFS(#REF!,$D74,#REF!,$AI74)&gt;0,"OK","ONBEKEND")),"ONZEKER")))))</f>
        <v/>
      </c>
      <c r="AK74" t="str">
        <f t="shared" si="536"/>
        <v/>
      </c>
      <c r="AL74" t="str">
        <f t="shared" si="537"/>
        <v/>
      </c>
      <c r="AM74" t="str">
        <f>IF($AL74="","",IF(OR($BZ74="",$CA74=""),"ONZEKER",IF(OR($BW74="",$BX74=""),"ONZEKER",IF(AND($BZ74=$BW74+1,$CA74=$BX74),IF(OR(COUNTIF(#REF!,$B74)&gt;0,COUNTIF(#REF!,$B74)=0),"SKIP",IF(COUNTIFS(#REF!,$B74,#REF!,$AL74)&gt;0,"OK","ONBEKEND")),IF(AND($BZ74=$BW74,$CA74=$BX74+1),IF(OR(COUNTIF(#REF!,$D74)&gt;0,COUNTIF(#REF!,$D74)=0),"SKIP",IF(COUNTIFS(#REF!,$D74,#REF!,$AL74)&gt;0,"OK","ONBEKEND")),"ONZEKER")))))</f>
        <v/>
      </c>
      <c r="AN74" t="str">
        <f t="shared" si="538"/>
        <v/>
      </c>
      <c r="AO74" t="str">
        <f t="shared" si="539"/>
        <v/>
      </c>
      <c r="AP74" t="str">
        <f>IF($AO74="","",IF(OR($CC74="",$CD74=""),"ONZEKER",IF(OR($BZ74="",$CA74=""),"ONZEKER",IF(AND($CC74=$BZ74+1,$CD74=$CA74),IF(OR(COUNTIF(#REF!,$B74)&gt;0,COUNTIF(#REF!,$B74)=0),"SKIP",IF(COUNTIFS(#REF!,$B74,#REF!,$AO74)&gt;0,"OK","ONBEKEND")),IF(AND($CC74=$BZ74,$CD74=$CA74+1),IF(OR(COUNTIF(#REF!,$D74)&gt;0,COUNTIF(#REF!,$D74)=0),"SKIP",IF(COUNTIFS(#REF!,$D74,#REF!,$AO74)&gt;0,"OK","ONBEKEND")),"ONZEKER")))))</f>
        <v/>
      </c>
      <c r="AQ74" t="str">
        <f t="shared" si="540"/>
        <v/>
      </c>
      <c r="AR74" t="str">
        <f t="shared" si="541"/>
        <v/>
      </c>
      <c r="AS74" t="str">
        <f>IF($AR74="","",IF(OR($CF74="",$CG74=""),"ONZEKER",IF(OR($CC74="",$CD74=""),"ONZEKER",IF(AND($CF74=$CC74+1,$CG74=$CD74),IF(OR(COUNTIF(#REF!,$B74)&gt;0,COUNTIF(#REF!,$B74)=0),"SKIP",IF(COUNTIFS(#REF!,$B74,#REF!,$AR74)&gt;0,"OK","ONBEKEND")),IF(AND($CF74=$CC74,$CG74=$CD74+1),IF(OR(COUNTIF(#REF!,$D74)&gt;0,COUNTIF(#REF!,$D74)=0),"SKIP",IF(COUNTIFS(#REF!,$D74,#REF!,$AR74)&gt;0,"OK","ONBEKEND")),"ONZEKER")))))</f>
        <v/>
      </c>
      <c r="AT74" t="str">
        <f t="shared" si="542"/>
        <v/>
      </c>
      <c r="AU74" t="str">
        <f t="shared" si="543"/>
        <v/>
      </c>
      <c r="AV74" t="str">
        <f t="shared" si="544"/>
        <v/>
      </c>
      <c r="AW74" t="str">
        <f t="shared" si="545"/>
        <v/>
      </c>
      <c r="AX74" t="str">
        <f t="shared" si="546"/>
        <v/>
      </c>
      <c r="AY74" t="str">
        <f t="shared" si="547"/>
        <v/>
      </c>
      <c r="AZ74" t="str">
        <f t="shared" si="548"/>
        <v/>
      </c>
      <c r="BA74" t="str">
        <f t="shared" si="549"/>
        <v/>
      </c>
      <c r="BB74" t="str">
        <f t="shared" si="550"/>
        <v/>
      </c>
      <c r="BC74" t="str">
        <f t="shared" si="551"/>
        <v/>
      </c>
      <c r="BD74" t="str">
        <f t="shared" si="490"/>
        <v/>
      </c>
      <c r="BE74" t="str">
        <f t="shared" si="491"/>
        <v/>
      </c>
      <c r="BF74" t="str">
        <f t="shared" si="492"/>
        <v/>
      </c>
      <c r="BG74" t="str">
        <f t="shared" si="493"/>
        <v/>
      </c>
      <c r="BH74" t="str">
        <f t="shared" si="494"/>
        <v/>
      </c>
      <c r="BI74" t="str">
        <f t="shared" si="495"/>
        <v/>
      </c>
      <c r="BJ74" t="str">
        <f t="shared" si="496"/>
        <v/>
      </c>
      <c r="BK74" t="str">
        <f t="shared" si="497"/>
        <v/>
      </c>
      <c r="BL74" t="str">
        <f t="shared" si="498"/>
        <v/>
      </c>
      <c r="BM74" t="str">
        <f t="shared" si="499"/>
        <v/>
      </c>
      <c r="BN74" t="str">
        <f t="shared" si="500"/>
        <v/>
      </c>
      <c r="BO74" t="str">
        <f t="shared" si="501"/>
        <v/>
      </c>
      <c r="BP74" t="str">
        <f t="shared" si="502"/>
        <v/>
      </c>
      <c r="BQ74" t="str">
        <f t="shared" si="503"/>
        <v/>
      </c>
      <c r="BR74" t="str">
        <f t="shared" si="504"/>
        <v/>
      </c>
      <c r="BS74" t="str">
        <f t="shared" si="505"/>
        <v/>
      </c>
      <c r="BT74" t="str">
        <f t="shared" si="506"/>
        <v/>
      </c>
      <c r="BU74" t="str">
        <f t="shared" si="507"/>
        <v/>
      </c>
      <c r="BV74" t="str">
        <f t="shared" si="508"/>
        <v/>
      </c>
      <c r="BW74" t="str">
        <f t="shared" si="509"/>
        <v/>
      </c>
      <c r="BX74" t="str">
        <f t="shared" si="510"/>
        <v/>
      </c>
      <c r="BY74" t="str">
        <f t="shared" si="511"/>
        <v/>
      </c>
      <c r="BZ74" t="str">
        <f t="shared" si="512"/>
        <v/>
      </c>
      <c r="CA74" t="str">
        <f t="shared" si="513"/>
        <v/>
      </c>
      <c r="CB74" t="str">
        <f t="shared" si="514"/>
        <v/>
      </c>
      <c r="CC74" t="str">
        <f t="shared" si="515"/>
        <v/>
      </c>
      <c r="CD74" t="str">
        <f t="shared" si="516"/>
        <v/>
      </c>
      <c r="CE74" t="str">
        <f t="shared" si="517"/>
        <v/>
      </c>
      <c r="CF74" t="str">
        <f t="shared" si="518"/>
        <v/>
      </c>
      <c r="CG74" t="str">
        <f t="shared" si="519"/>
        <v/>
      </c>
      <c r="CH74" t="str">
        <f t="shared" si="552"/>
        <v/>
      </c>
      <c r="CI74" t="str">
        <f t="shared" si="553"/>
        <v/>
      </c>
      <c r="CJ74" t="str">
        <f>IF($CI74="","",IF(OR($DW74="",$DX74=""),"ONZEKER",IF(OR($CF74="",$CG74=""),"ONZEKER",IF(AND($DW74=$CF74+1,$DX74=$CG74),IF(OR(COUNTIF(#REF!,$B74)&gt;0,COUNTIF(#REF!,$B74)=0),"SKIP",IF(COUNTIFS(#REF!,$B74,#REF!,$CI74)&gt;0,"OK","ONBEKEND")),IF(AND($DW74=$CF74,$DX74=$CG74+1),IF(OR(COUNTIF(#REF!,$D74)&gt;0,COUNTIF(#REF!,$D74)=0),"SKIP",IF(COUNTIFS(#REF!,$D74,#REF!,$CI74)&gt;0,"OK","ONBEKEND")),"ONZEKER")))))</f>
        <v/>
      </c>
      <c r="CK74" t="str">
        <f t="shared" si="554"/>
        <v/>
      </c>
      <c r="CL74" t="str">
        <f t="shared" si="555"/>
        <v/>
      </c>
      <c r="CM74" t="str">
        <f>IF($CL74="","",IF(OR($DZ74="",$EA74=""),"ONZEKER",IF(OR($DW74="",$DX74=""),"ONZEKER",IF(AND($DZ74=$DW74+1,$EA74=$DX74),IF(OR(COUNTIF(#REF!,$B74)&gt;0,COUNTIF(#REF!,$B74)=0),"SKIP",IF(COUNTIFS(#REF!,$B74,#REF!,$CL74)&gt;0,"OK","ONBEKEND")),IF(AND($DZ74=$DW74,$EA74=$DX74+1),IF(OR(COUNTIF(#REF!,$D74)&gt;0,COUNTIF(#REF!,$D74)=0),"SKIP",IF(COUNTIFS(#REF!,$D74,#REF!,$CL74)&gt;0,"OK","ONBEKEND")),"ONZEKER")))))</f>
        <v/>
      </c>
      <c r="CN74" t="str">
        <f t="shared" si="556"/>
        <v/>
      </c>
      <c r="CO74" t="str">
        <f t="shared" si="557"/>
        <v/>
      </c>
      <c r="CP74" t="str">
        <f>IF($CO74="","",IF(OR($EC74="",$ED74=""),"ONZEKER",IF(OR($DZ74="",$EA74=""),"ONZEKER",IF(AND($EC74=$DZ74+1,$ED74=$EA74),IF(OR(COUNTIF(#REF!,$B74)&gt;0,COUNTIF(#REF!,$B74)=0),"SKIP",IF(COUNTIFS(#REF!,$B74,#REF!,$CO74)&gt;0,"OK","ONBEKEND")),IF(AND($EC74=$DZ74,$ED74=$EA74+1),IF(OR(COUNTIF(#REF!,$D74)&gt;0,COUNTIF(#REF!,$D74)=0),"SKIP",IF(COUNTIFS(#REF!,$D74,#REF!,$CO74)&gt;0,"OK","ONBEKEND")),"ONZEKER")))))</f>
        <v/>
      </c>
      <c r="CQ74" t="str">
        <f t="shared" si="558"/>
        <v/>
      </c>
      <c r="CR74" t="str">
        <f t="shared" si="559"/>
        <v/>
      </c>
      <c r="CS74" t="str">
        <f>IF($CR74="","",IF(OR($EF74="",$EG74=""),"ONZEKER",IF(OR($EC74="",$ED74=""),"ONZEKER",IF(AND($EF74=$EC74+1,$EG74=$ED74),IF(OR(COUNTIF(#REF!,$B74)&gt;0,COUNTIF(#REF!,$B74)=0),"SKIP",IF(COUNTIFS(#REF!,$B74,#REF!,$CR74)&gt;0,"OK","ONBEKEND")),IF(AND($EF74=$EC74,$EG74=$ED74+1),IF(OR(COUNTIF(#REF!,$D74)&gt;0,COUNTIF(#REF!,$D74)=0),"SKIP",IF(COUNTIFS(#REF!,$D74,#REF!,$CR74)&gt;0,"OK","ONBEKEND")),"ONZEKER")))))</f>
        <v/>
      </c>
      <c r="CT74" t="str">
        <f t="shared" si="560"/>
        <v/>
      </c>
      <c r="CU74" t="str">
        <f t="shared" si="561"/>
        <v/>
      </c>
      <c r="CV74" t="str">
        <f>IF($CU74="","",IF(OR($EI74="",$EJ74=""),"ONZEKER",IF(OR($EF74="",$EG74=""),"ONZEKER",IF(AND($EI74=$EF74+1,$EJ74=$EG74),IF(OR(COUNTIF(#REF!,$B74)&gt;0,COUNTIF(#REF!,$B74)=0),"SKIP",IF(COUNTIFS(#REF!,$B74,#REF!,$CU74)&gt;0,"OK","ONBEKEND")),IF(AND($EI74=$EF74,$EJ74=$EG74+1),IF(OR(COUNTIF(#REF!,$D74)&gt;0,COUNTIF(#REF!,$D74)=0),"SKIP",IF(COUNTIFS(#REF!,$D74,#REF!,$CU74)&gt;0,"OK","ONBEKEND")),"ONZEKER")))))</f>
        <v/>
      </c>
      <c r="CW74" t="str">
        <f t="shared" si="562"/>
        <v/>
      </c>
      <c r="CX74" t="str">
        <f t="shared" si="563"/>
        <v/>
      </c>
      <c r="CY74" t="str">
        <f>IF($CX74="","",IF(OR($EL74="",$EM74=""),"ONZEKER",IF(OR($EI74="",$EJ74=""),"ONZEKER",IF(AND($EL74=$EI74+1,$EM74=$EJ74),IF(OR(COUNTIF(#REF!,$B74)&gt;0,COUNTIF(#REF!,$B74)=0),"SKIP",IF(COUNTIFS(#REF!,$B74,#REF!,$CX74)&gt;0,"OK","ONBEKEND")),IF(AND($EL74=$EI74,$EM74=$EJ74+1),IF(OR(COUNTIF(#REF!,$D74)&gt;0,COUNTIF(#REF!,$D74)=0),"SKIP",IF(COUNTIFS(#REF!,$D74,#REF!,$CX74)&gt;0,"OK","ONBEKEND")),"ONZEKER")))))</f>
        <v/>
      </c>
      <c r="CZ74" t="str">
        <f t="shared" si="564"/>
        <v/>
      </c>
      <c r="DA74" t="str">
        <f t="shared" si="565"/>
        <v/>
      </c>
      <c r="DB74" t="str">
        <f>IF($DA74="","",IF(OR($EO74="",$EP74=""),"ONZEKER",IF(OR($EL74="",$EM74=""),"ONZEKER",IF(AND($EO74=$EL74+1,$EP74=$EM74),IF(OR(COUNTIF(#REF!,$B74)&gt;0,COUNTIF(#REF!,$B74)=0),"SKIP",IF(COUNTIFS(#REF!,$B74,#REF!,$DA74)&gt;0,"OK","ONBEKEND")),IF(AND($EO74=$EL74,$EP74=$EM74+1),IF(OR(COUNTIF(#REF!,$D74)&gt;0,COUNTIF(#REF!,$D74)=0),"SKIP",IF(COUNTIFS(#REF!,$D74,#REF!,$DA74)&gt;0,"OK","ONBEKEND")),"ONZEKER")))))</f>
        <v/>
      </c>
      <c r="DC74" t="str">
        <f t="shared" si="566"/>
        <v/>
      </c>
      <c r="DD74" t="str">
        <f t="shared" si="567"/>
        <v/>
      </c>
      <c r="DE74" t="str">
        <f>IF($DD74="","",IF(OR($ER74="",$ES74=""),"ONZEKER",IF(OR($EO74="",$EP74=""),"ONZEKER",IF(AND($ER74=$EO74+1,$ES74=$EP74),IF(OR(COUNTIF(#REF!,$B74)&gt;0,COUNTIF(#REF!,$B74)=0),"SKIP",IF(COUNTIFS(#REF!,$B74,#REF!,$DD74)&gt;0,"OK","ONBEKEND")),IF(AND($ER74=$EO74,$ES74=$EP74+1),IF(OR(COUNTIF(#REF!,$D74)&gt;0,COUNTIF(#REF!,$D74)=0),"SKIP",IF(COUNTIFS(#REF!,$D74,#REF!,$DD74)&gt;0,"OK","ONBEKEND")),"ONZEKER")))))</f>
        <v/>
      </c>
      <c r="DF74" t="str">
        <f t="shared" si="568"/>
        <v/>
      </c>
      <c r="DG74" t="str">
        <f t="shared" si="569"/>
        <v/>
      </c>
      <c r="DH74" t="str">
        <f>IF($DG74="","",IF(OR($EU74="",$EV74=""),"ONZEKER",IF(OR($ER74="",$ES74=""),"ONZEKER",IF(AND($EU74=$ER74+1,$EV74=$ES74),IF(OR(COUNTIF(#REF!,$B74)&gt;0,COUNTIF(#REF!,$B74)=0),"SKIP",IF(COUNTIFS(#REF!,$B74,#REF!,$DG74)&gt;0,"OK","ONBEKEND")),IF(AND($EU74=$ER74,$EV74=$ES74+1),IF(OR(COUNTIF(#REF!,$D74)&gt;0,COUNTIF(#REF!,$D74)=0),"SKIP",IF(COUNTIFS(#REF!,$D74,#REF!,$DG74)&gt;0,"OK","ONBEKEND")),"ONZEKER")))))</f>
        <v/>
      </c>
      <c r="DI74" t="str">
        <f t="shared" si="570"/>
        <v/>
      </c>
      <c r="DJ74" t="str">
        <f t="shared" si="571"/>
        <v/>
      </c>
      <c r="DK74" t="str">
        <f>IF($DJ74="","",IF(OR($EX74="",$EY74=""),"ONZEKER",IF(OR($EU74="",$EV74=""),"ONZEKER",IF(AND($EX74=$EU74+1,$EY74=$EV74),IF(OR(COUNTIF(#REF!,$B74)&gt;0,COUNTIF(#REF!,$B74)=0),"SKIP",IF(COUNTIFS(#REF!,$B74,#REF!,$DJ74)&gt;0,"OK","ONBEKEND")),IF(AND($EX74=$EU74,$EY74=$EV74+1),IF(OR(COUNTIF(#REF!,$D74)&gt;0,COUNTIF(#REF!,$D74)=0),"SKIP",IF(COUNTIFS(#REF!,$D74,#REF!,$DJ74)&gt;0,"OK","ONBEKEND")),"ONZEKER")))))</f>
        <v/>
      </c>
      <c r="DL74" t="str">
        <f t="shared" si="572"/>
        <v/>
      </c>
      <c r="DM74" t="str">
        <f t="shared" si="573"/>
        <v/>
      </c>
      <c r="DN74" t="str">
        <f t="shared" si="574"/>
        <v/>
      </c>
      <c r="DO74" t="str">
        <f t="shared" si="575"/>
        <v/>
      </c>
      <c r="DP74" t="str">
        <f t="shared" si="576"/>
        <v/>
      </c>
      <c r="DQ74" t="str">
        <f t="shared" si="577"/>
        <v/>
      </c>
      <c r="DR74" t="str">
        <f t="shared" si="578"/>
        <v/>
      </c>
      <c r="DS74" t="str">
        <f t="shared" si="579"/>
        <v/>
      </c>
      <c r="DT74" t="str">
        <f t="shared" si="580"/>
        <v/>
      </c>
      <c r="DU74" t="str">
        <f t="shared" si="581"/>
        <v/>
      </c>
      <c r="DV74" t="str">
        <f t="shared" si="582"/>
        <v/>
      </c>
      <c r="DW74" t="str">
        <f t="shared" si="583"/>
        <v/>
      </c>
      <c r="DX74" t="str">
        <f t="shared" si="584"/>
        <v/>
      </c>
      <c r="DY74" t="str">
        <f t="shared" si="585"/>
        <v/>
      </c>
      <c r="DZ74" t="str">
        <f t="shared" si="586"/>
        <v/>
      </c>
      <c r="EA74" t="str">
        <f t="shared" si="587"/>
        <v/>
      </c>
      <c r="EB74" t="str">
        <f t="shared" si="588"/>
        <v/>
      </c>
      <c r="EC74" t="str">
        <f t="shared" si="589"/>
        <v/>
      </c>
      <c r="ED74" t="str">
        <f t="shared" si="590"/>
        <v/>
      </c>
      <c r="EE74" t="str">
        <f t="shared" si="591"/>
        <v/>
      </c>
      <c r="EF74" t="str">
        <f t="shared" si="592"/>
        <v/>
      </c>
      <c r="EG74" t="str">
        <f t="shared" si="593"/>
        <v/>
      </c>
      <c r="EH74" t="str">
        <f t="shared" si="594"/>
        <v/>
      </c>
      <c r="EI74" t="str">
        <f t="shared" si="595"/>
        <v/>
      </c>
      <c r="EJ74" t="str">
        <f t="shared" si="596"/>
        <v/>
      </c>
      <c r="EK74" t="str">
        <f t="shared" si="597"/>
        <v/>
      </c>
      <c r="EL74" t="str">
        <f t="shared" si="598"/>
        <v/>
      </c>
      <c r="EM74" t="str">
        <f t="shared" si="599"/>
        <v/>
      </c>
      <c r="EN74" t="str">
        <f t="shared" si="600"/>
        <v/>
      </c>
      <c r="EO74" t="str">
        <f t="shared" si="601"/>
        <v/>
      </c>
      <c r="EP74" t="str">
        <f t="shared" si="602"/>
        <v/>
      </c>
      <c r="EQ74" t="str">
        <f t="shared" si="603"/>
        <v/>
      </c>
      <c r="ER74" t="str">
        <f t="shared" si="604"/>
        <v/>
      </c>
      <c r="ES74" t="str">
        <f t="shared" si="605"/>
        <v/>
      </c>
      <c r="ET74" t="str">
        <f t="shared" si="606"/>
        <v/>
      </c>
      <c r="EU74" t="str">
        <f t="shared" si="607"/>
        <v/>
      </c>
      <c r="EV74" t="str">
        <f t="shared" si="608"/>
        <v/>
      </c>
      <c r="EW74" t="str">
        <f t="shared" si="609"/>
        <v/>
      </c>
      <c r="EX74" t="str">
        <f t="shared" si="610"/>
        <v/>
      </c>
      <c r="EY74" t="str">
        <f t="shared" si="611"/>
        <v/>
      </c>
    </row>
    <row r="75" spans="1:155" ht="13.9" customHeight="1" x14ac:dyDescent="0.25">
      <c r="A75" s="7"/>
      <c r="B75" s="17"/>
      <c r="C75" s="8"/>
      <c r="D75" s="17"/>
      <c r="E75" s="8"/>
      <c r="F75" s="18">
        <v>0</v>
      </c>
      <c r="G75" s="7" t="s">
        <v>147</v>
      </c>
      <c r="H75" s="18">
        <v>0</v>
      </c>
      <c r="I75" s="19">
        <v>0</v>
      </c>
      <c r="J75" s="7" t="s">
        <v>147</v>
      </c>
      <c r="K75" s="19">
        <v>0</v>
      </c>
      <c r="L75" s="9"/>
      <c r="M75" s="3" t="str">
        <f>IF($L75="","",IF($L75="DOELPUNTENMAKERS","",IF(AND(COUNTIF(#REF!,$B75)=0,COUNTIF(#REF!,$D75)=0),"OK",IF($O75&gt;20,"LET OP: meer dan 20 items (controle onvolledig)",IF((COUNTIF($R75:$AS75,"ONZEKER")+COUNTIF($CJ75:$DK75,"ONZEKER"))&gt;0,"LET OP: scoreverloop onduidelijk (controle beperkt)",IF((IF($AT75&lt;&gt;"",$AT75&amp;", ","")&amp;IF($AU75&lt;&gt;"",$AU75&amp;", ","")&amp;IF($AV75&lt;&gt;"",$AV75&amp;", ","")&amp;IF($AW75&lt;&gt;"",$AW75&amp;", ","")&amp;IF($AX75&lt;&gt;"",$AX75&amp;", ","")&amp;IF($AY75&lt;&gt;"",$AY75&amp;", ","")&amp;IF($AZ75&lt;&gt;"",$AZ75&amp;", ","")&amp;IF($BA75&lt;&gt;"",$BA75&amp;", ","")&amp;IF($BB75&lt;&gt;"",$BB75&amp;", ","")&amp;IF($BC75&lt;&gt;"",$BC75&amp;", ","")&amp;IF($DL75&lt;&gt;"",$DL75&amp;", ","")&amp;IF($DM75&lt;&gt;"",$DM75&amp;", ","")&amp;IF($DN75&lt;&gt;"",$DN75&amp;", ","")&amp;IF($DO75&lt;&gt;"",$DO75&amp;", ","")&amp;IF($DP75&lt;&gt;"",$DP75&amp;", ","")&amp;IF($DQ75&lt;&gt;"",$DQ75&amp;", ","")&amp;IF($DR75&lt;&gt;"",$DR75&amp;", ","")&amp;IF($DS75&lt;&gt;"",$DS75&amp;", ","")&amp;IF($DT75&lt;&gt;"",$DT75&amp;", ","")&amp;IF($DU75&lt;&gt;"",$DU75&amp;", ",""))="","OK","Onbekend: "&amp;LEFT((IF($AT75&lt;&gt;"",$AT75&amp;", ","")&amp;IF($AU75&lt;&gt;"",$AU75&amp;", ","")&amp;IF($AV75&lt;&gt;"",$AV75&amp;", ","")&amp;IF($AW75&lt;&gt;"",$AW75&amp;", ","")&amp;IF($AX75&lt;&gt;"",$AX75&amp;", ","")&amp;IF($AY75&lt;&gt;"",$AY75&amp;", ","")&amp;IF($AZ75&lt;&gt;"",$AZ75&amp;", ","")&amp;IF($BA75&lt;&gt;"",$BA75&amp;", ","")&amp;IF($BB75&lt;&gt;"",$BB75&amp;", ","")&amp;IF($BC75&lt;&gt;"",$BC75&amp;", ","")&amp;IF($DL75&lt;&gt;"",$DL75&amp;", ","")&amp;IF($DM75&lt;&gt;"",$DM75&amp;", ","")&amp;IF($DN75&lt;&gt;"",$DN75&amp;", ","")&amp;IF($DO75&lt;&gt;"",$DO75&amp;", ","")&amp;IF($DP75&lt;&gt;"",$DP75&amp;", ","")&amp;IF($DQ75&lt;&gt;"",$DQ75&amp;", ","")&amp;IF($DR75&lt;&gt;"",$DR75&amp;", ","")&amp;IF($DS75&lt;&gt;"",$DS75&amp;", ","")&amp;IF($DT75&lt;&gt;"",$DT75&amp;", ","")&amp;IF($DU75&lt;&gt;"",$DU75&amp;", ","")),LEN((IF($AT75&lt;&gt;"",$AT75&amp;", ","")&amp;IF($AU75&lt;&gt;"",$AU75&amp;", ","")&amp;IF($AV75&lt;&gt;"",$AV75&amp;", ","")&amp;IF($AW75&lt;&gt;"",$AW75&amp;", ","")&amp;IF($AX75&lt;&gt;"",$AX75&amp;", ","")&amp;IF($AY75&lt;&gt;"",$AY75&amp;", ","")&amp;IF($AZ75&lt;&gt;"",$AZ75&amp;", ","")&amp;IF($BA75&lt;&gt;"",$BA75&amp;", ","")&amp;IF($BB75&lt;&gt;"",$BB75&amp;", ","")&amp;IF($BC75&lt;&gt;"",$BC75&amp;", ","")&amp;IF($DL75&lt;&gt;"",$DL75&amp;", ","")&amp;IF($DM75&lt;&gt;"",$DM75&amp;", ","")&amp;IF($DN75&lt;&gt;"",$DN75&amp;", ","")&amp;IF($DO75&lt;&gt;"",$DO75&amp;", ","")&amp;IF($DP75&lt;&gt;"",$DP75&amp;", ","")&amp;IF($DQ75&lt;&gt;"",$DQ75&amp;", ","")&amp;IF($DR75&lt;&gt;"",$DR75&amp;", ","")&amp;IF($DS75&lt;&gt;"",$DS75&amp;", ","")&amp;IF($DT75&lt;&gt;"",$DT75&amp;", ","")&amp;IF($DU75&lt;&gt;"",$DU75&amp;", ","")))-2)))))))</f>
        <v/>
      </c>
      <c r="N75" t="str">
        <f t="shared" si="520"/>
        <v/>
      </c>
      <c r="O75" t="str">
        <f t="shared" si="521"/>
        <v/>
      </c>
      <c r="P75" t="str">
        <f t="shared" si="522"/>
        <v/>
      </c>
      <c r="Q75" t="str">
        <f t="shared" si="523"/>
        <v/>
      </c>
      <c r="R75" t="str">
        <f>IF($Q75="","",IF(OR($BE75="",$BF75=""),"ONZEKER",IF(AND($BE75=0+1,$BF75=0),IF(OR(COUNTIF(#REF!,$B75)&gt;0,COUNTIF(#REF!,$B75)=0),"SKIP",IF(COUNTIFS(#REF!,$B75,#REF!,$Q75)&gt;0,"OK","ONBEKEND")),IF(AND($BE75=0,$BF75=0+1),IF(OR(COUNTIF(#REF!,$D75)&gt;0,COUNTIF(#REF!,$D75)=0),"SKIP",IF(COUNTIFS(#REF!,$D75,#REF!,$Q75)&gt;0,"OK","ONBEKEND")),"ONZEKER"))))</f>
        <v/>
      </c>
      <c r="S75" t="str">
        <f t="shared" si="524"/>
        <v/>
      </c>
      <c r="T75" t="str">
        <f t="shared" si="525"/>
        <v/>
      </c>
      <c r="U75" t="str">
        <f>IF($T75="","",IF(OR($BH75="",$BI75=""),"ONZEKER",IF(OR($BE75="",$BF75=""),"ONZEKER",IF(AND($BH75=$BE75+1,$BI75=$BF75),IF(OR(COUNTIF(#REF!,$B75)&gt;0,COUNTIF(#REF!,$B75)=0),"SKIP",IF(COUNTIFS(#REF!,$B75,#REF!,$T75)&gt;0,"OK","ONBEKEND")),IF(AND($BH75=$BE75,$BI75=$BF75+1),IF(OR(COUNTIF(#REF!,$D75)&gt;0,COUNTIF(#REF!,$D75)=0),"SKIP",IF(COUNTIFS(#REF!,$D75,#REF!,$T75)&gt;0,"OK","ONBEKEND")),"ONZEKER")))))</f>
        <v/>
      </c>
      <c r="V75" t="str">
        <f t="shared" si="526"/>
        <v/>
      </c>
      <c r="W75" t="str">
        <f t="shared" si="527"/>
        <v/>
      </c>
      <c r="X75" t="str">
        <f>IF($W75="","",IF(OR($BK75="",$BL75=""),"ONZEKER",IF(OR($BH75="",$BI75=""),"ONZEKER",IF(AND($BK75=$BH75+1,$BL75=$BI75),IF(OR(COUNTIF(#REF!,$B75)&gt;0,COUNTIF(#REF!,$B75)=0),"SKIP",IF(COUNTIFS(#REF!,$B75,#REF!,$W75)&gt;0,"OK","ONBEKEND")),IF(AND($BK75=$BH75,$BL75=$BI75+1),IF(OR(COUNTIF(#REF!,$D75)&gt;0,COUNTIF(#REF!,$D75)=0),"SKIP",IF(COUNTIFS(#REF!,$D75,#REF!,$W75)&gt;0,"OK","ONBEKEND")),"ONZEKER")))))</f>
        <v/>
      </c>
      <c r="Y75" t="str">
        <f t="shared" si="528"/>
        <v/>
      </c>
      <c r="Z75" t="str">
        <f t="shared" si="529"/>
        <v/>
      </c>
      <c r="AA75" t="str">
        <f>IF($Z75="","",IF(OR($BN75="",$BO75=""),"ONZEKER",IF(OR($BK75="",$BL75=""),"ONZEKER",IF(AND($BN75=$BK75+1,$BO75=$BL75),IF(OR(COUNTIF(#REF!,$B75)&gt;0,COUNTIF(#REF!,$B75)=0),"SKIP",IF(COUNTIFS(#REF!,$B75,#REF!,$Z75)&gt;0,"OK","ONBEKEND")),IF(AND($BN75=$BK75,$BO75=$BL75+1),IF(OR(COUNTIF(#REF!,$D75)&gt;0,COUNTIF(#REF!,$D75)=0),"SKIP",IF(COUNTIFS(#REF!,$D75,#REF!,$Z75)&gt;0,"OK","ONBEKEND")),"ONZEKER")))))</f>
        <v/>
      </c>
      <c r="AB75" t="str">
        <f t="shared" si="530"/>
        <v/>
      </c>
      <c r="AC75" t="str">
        <f t="shared" si="531"/>
        <v/>
      </c>
      <c r="AD75" t="str">
        <f>IF($AC75="","",IF(OR($BQ75="",$BR75=""),"ONZEKER",IF(OR($BN75="",$BO75=""),"ONZEKER",IF(AND($BQ75=$BN75+1,$BR75=$BO75),IF(OR(COUNTIF(#REF!,$B75)&gt;0,COUNTIF(#REF!,$B75)=0),"SKIP",IF(COUNTIFS(#REF!,$B75,#REF!,$AC75)&gt;0,"OK","ONBEKEND")),IF(AND($BQ75=$BN75,$BR75=$BO75+1),IF(OR(COUNTIF(#REF!,$D75)&gt;0,COUNTIF(#REF!,$D75)=0),"SKIP",IF(COUNTIFS(#REF!,$D75,#REF!,$AC75)&gt;0,"OK","ONBEKEND")),"ONZEKER")))))</f>
        <v/>
      </c>
      <c r="AE75" t="str">
        <f t="shared" si="532"/>
        <v/>
      </c>
      <c r="AF75" t="str">
        <f t="shared" si="533"/>
        <v/>
      </c>
      <c r="AG75" t="str">
        <f>IF($AF75="","",IF(OR($BT75="",$BU75=""),"ONZEKER",IF(OR($BQ75="",$BR75=""),"ONZEKER",IF(AND($BT75=$BQ75+1,$BU75=$BR75),IF(OR(COUNTIF(#REF!,$B75)&gt;0,COUNTIF(#REF!,$B75)=0),"SKIP",IF(COUNTIFS(#REF!,$B75,#REF!,$AF75)&gt;0,"OK","ONBEKEND")),IF(AND($BT75=$BQ75,$BU75=$BR75+1),IF(OR(COUNTIF(#REF!,$D75)&gt;0,COUNTIF(#REF!,$D75)=0),"SKIP",IF(COUNTIFS(#REF!,$D75,#REF!,$AF75)&gt;0,"OK","ONBEKEND")),"ONZEKER")))))</f>
        <v/>
      </c>
      <c r="AH75" t="str">
        <f t="shared" si="534"/>
        <v/>
      </c>
      <c r="AI75" t="str">
        <f t="shared" si="535"/>
        <v/>
      </c>
      <c r="AJ75" t="str">
        <f>IF($AI75="","",IF(OR($BW75="",$BX75=""),"ONZEKER",IF(OR($BT75="",$BU75=""),"ONZEKER",IF(AND($BW75=$BT75+1,$BX75=$BU75),IF(OR(COUNTIF(#REF!,$B75)&gt;0,COUNTIF(#REF!,$B75)=0),"SKIP",IF(COUNTIFS(#REF!,$B75,#REF!,$AI75)&gt;0,"OK","ONBEKEND")),IF(AND($BW75=$BT75,$BX75=$BU75+1),IF(OR(COUNTIF(#REF!,$D75)&gt;0,COUNTIF(#REF!,$D75)=0),"SKIP",IF(COUNTIFS(#REF!,$D75,#REF!,$AI75)&gt;0,"OK","ONBEKEND")),"ONZEKER")))))</f>
        <v/>
      </c>
      <c r="AK75" t="str">
        <f t="shared" si="536"/>
        <v/>
      </c>
      <c r="AL75" t="str">
        <f t="shared" si="537"/>
        <v/>
      </c>
      <c r="AM75" t="str">
        <f>IF($AL75="","",IF(OR($BZ75="",$CA75=""),"ONZEKER",IF(OR($BW75="",$BX75=""),"ONZEKER",IF(AND($BZ75=$BW75+1,$CA75=$BX75),IF(OR(COUNTIF(#REF!,$B75)&gt;0,COUNTIF(#REF!,$B75)=0),"SKIP",IF(COUNTIFS(#REF!,$B75,#REF!,$AL75)&gt;0,"OK","ONBEKEND")),IF(AND($BZ75=$BW75,$CA75=$BX75+1),IF(OR(COUNTIF(#REF!,$D75)&gt;0,COUNTIF(#REF!,$D75)=0),"SKIP",IF(COUNTIFS(#REF!,$D75,#REF!,$AL75)&gt;0,"OK","ONBEKEND")),"ONZEKER")))))</f>
        <v/>
      </c>
      <c r="AN75" t="str">
        <f t="shared" si="538"/>
        <v/>
      </c>
      <c r="AO75" t="str">
        <f t="shared" si="539"/>
        <v/>
      </c>
      <c r="AP75" t="str">
        <f>IF($AO75="","",IF(OR($CC75="",$CD75=""),"ONZEKER",IF(OR($BZ75="",$CA75=""),"ONZEKER",IF(AND($CC75=$BZ75+1,$CD75=$CA75),IF(OR(COUNTIF(#REF!,$B75)&gt;0,COUNTIF(#REF!,$B75)=0),"SKIP",IF(COUNTIFS(#REF!,$B75,#REF!,$AO75)&gt;0,"OK","ONBEKEND")),IF(AND($CC75=$BZ75,$CD75=$CA75+1),IF(OR(COUNTIF(#REF!,$D75)&gt;0,COUNTIF(#REF!,$D75)=0),"SKIP",IF(COUNTIFS(#REF!,$D75,#REF!,$AO75)&gt;0,"OK","ONBEKEND")),"ONZEKER")))))</f>
        <v/>
      </c>
      <c r="AQ75" t="str">
        <f t="shared" si="540"/>
        <v/>
      </c>
      <c r="AR75" t="str">
        <f t="shared" si="541"/>
        <v/>
      </c>
      <c r="AS75" t="str">
        <f>IF($AR75="","",IF(OR($CF75="",$CG75=""),"ONZEKER",IF(OR($CC75="",$CD75=""),"ONZEKER",IF(AND($CF75=$CC75+1,$CG75=$CD75),IF(OR(COUNTIF(#REF!,$B75)&gt;0,COUNTIF(#REF!,$B75)=0),"SKIP",IF(COUNTIFS(#REF!,$B75,#REF!,$AR75)&gt;0,"OK","ONBEKEND")),IF(AND($CF75=$CC75,$CG75=$CD75+1),IF(OR(COUNTIF(#REF!,$D75)&gt;0,COUNTIF(#REF!,$D75)=0),"SKIP",IF(COUNTIFS(#REF!,$D75,#REF!,$AR75)&gt;0,"OK","ONBEKEND")),"ONZEKER")))))</f>
        <v/>
      </c>
      <c r="AT75" t="str">
        <f t="shared" si="542"/>
        <v/>
      </c>
      <c r="AU75" t="str">
        <f t="shared" si="543"/>
        <v/>
      </c>
      <c r="AV75" t="str">
        <f t="shared" si="544"/>
        <v/>
      </c>
      <c r="AW75" t="str">
        <f t="shared" si="545"/>
        <v/>
      </c>
      <c r="AX75" t="str">
        <f t="shared" si="546"/>
        <v/>
      </c>
      <c r="AY75" t="str">
        <f t="shared" si="547"/>
        <v/>
      </c>
      <c r="AZ75" t="str">
        <f t="shared" si="548"/>
        <v/>
      </c>
      <c r="BA75" t="str">
        <f t="shared" si="549"/>
        <v/>
      </c>
      <c r="BB75" t="str">
        <f t="shared" si="550"/>
        <v/>
      </c>
      <c r="BC75" t="str">
        <f t="shared" si="551"/>
        <v/>
      </c>
      <c r="BD75" t="str">
        <f t="shared" si="490"/>
        <v/>
      </c>
      <c r="BE75" t="str">
        <f t="shared" si="491"/>
        <v/>
      </c>
      <c r="BF75" t="str">
        <f t="shared" si="492"/>
        <v/>
      </c>
      <c r="BG75" t="str">
        <f t="shared" si="493"/>
        <v/>
      </c>
      <c r="BH75" t="str">
        <f t="shared" si="494"/>
        <v/>
      </c>
      <c r="BI75" t="str">
        <f t="shared" si="495"/>
        <v/>
      </c>
      <c r="BJ75" t="str">
        <f t="shared" si="496"/>
        <v/>
      </c>
      <c r="BK75" t="str">
        <f t="shared" si="497"/>
        <v/>
      </c>
      <c r="BL75" t="str">
        <f t="shared" si="498"/>
        <v/>
      </c>
      <c r="BM75" t="str">
        <f t="shared" si="499"/>
        <v/>
      </c>
      <c r="BN75" t="str">
        <f t="shared" si="500"/>
        <v/>
      </c>
      <c r="BO75" t="str">
        <f t="shared" si="501"/>
        <v/>
      </c>
      <c r="BP75" t="str">
        <f t="shared" si="502"/>
        <v/>
      </c>
      <c r="BQ75" t="str">
        <f t="shared" si="503"/>
        <v/>
      </c>
      <c r="BR75" t="str">
        <f t="shared" si="504"/>
        <v/>
      </c>
      <c r="BS75" t="str">
        <f t="shared" si="505"/>
        <v/>
      </c>
      <c r="BT75" t="str">
        <f t="shared" si="506"/>
        <v/>
      </c>
      <c r="BU75" t="str">
        <f t="shared" si="507"/>
        <v/>
      </c>
      <c r="BV75" t="str">
        <f t="shared" si="508"/>
        <v/>
      </c>
      <c r="BW75" t="str">
        <f t="shared" si="509"/>
        <v/>
      </c>
      <c r="BX75" t="str">
        <f t="shared" si="510"/>
        <v/>
      </c>
      <c r="BY75" t="str">
        <f t="shared" si="511"/>
        <v/>
      </c>
      <c r="BZ75" t="str">
        <f t="shared" si="512"/>
        <v/>
      </c>
      <c r="CA75" t="str">
        <f t="shared" si="513"/>
        <v/>
      </c>
      <c r="CB75" t="str">
        <f t="shared" si="514"/>
        <v/>
      </c>
      <c r="CC75" t="str">
        <f t="shared" si="515"/>
        <v/>
      </c>
      <c r="CD75" t="str">
        <f t="shared" si="516"/>
        <v/>
      </c>
      <c r="CE75" t="str">
        <f t="shared" si="517"/>
        <v/>
      </c>
      <c r="CF75" t="str">
        <f t="shared" si="518"/>
        <v/>
      </c>
      <c r="CG75" t="str">
        <f t="shared" si="519"/>
        <v/>
      </c>
      <c r="CH75" t="str">
        <f t="shared" si="552"/>
        <v/>
      </c>
      <c r="CI75" t="str">
        <f t="shared" si="553"/>
        <v/>
      </c>
      <c r="CJ75" t="str">
        <f>IF($CI75="","",IF(OR($DW75="",$DX75=""),"ONZEKER",IF(OR($CF75="",$CG75=""),"ONZEKER",IF(AND($DW75=$CF75+1,$DX75=$CG75),IF(OR(COUNTIF(#REF!,$B75)&gt;0,COUNTIF(#REF!,$B75)=0),"SKIP",IF(COUNTIFS(#REF!,$B75,#REF!,$CI75)&gt;0,"OK","ONBEKEND")),IF(AND($DW75=$CF75,$DX75=$CG75+1),IF(OR(COUNTIF(#REF!,$D75)&gt;0,COUNTIF(#REF!,$D75)=0),"SKIP",IF(COUNTIFS(#REF!,$D75,#REF!,$CI75)&gt;0,"OK","ONBEKEND")),"ONZEKER")))))</f>
        <v/>
      </c>
      <c r="CK75" t="str">
        <f t="shared" si="554"/>
        <v/>
      </c>
      <c r="CL75" t="str">
        <f t="shared" si="555"/>
        <v/>
      </c>
      <c r="CM75" t="str">
        <f>IF($CL75="","",IF(OR($DZ75="",$EA75=""),"ONZEKER",IF(OR($DW75="",$DX75=""),"ONZEKER",IF(AND($DZ75=$DW75+1,$EA75=$DX75),IF(OR(COUNTIF(#REF!,$B75)&gt;0,COUNTIF(#REF!,$B75)=0),"SKIP",IF(COUNTIFS(#REF!,$B75,#REF!,$CL75)&gt;0,"OK","ONBEKEND")),IF(AND($DZ75=$DW75,$EA75=$DX75+1),IF(OR(COUNTIF(#REF!,$D75)&gt;0,COUNTIF(#REF!,$D75)=0),"SKIP",IF(COUNTIFS(#REF!,$D75,#REF!,$CL75)&gt;0,"OK","ONBEKEND")),"ONZEKER")))))</f>
        <v/>
      </c>
      <c r="CN75" t="str">
        <f t="shared" si="556"/>
        <v/>
      </c>
      <c r="CO75" t="str">
        <f t="shared" si="557"/>
        <v/>
      </c>
      <c r="CP75" t="str">
        <f>IF($CO75="","",IF(OR($EC75="",$ED75=""),"ONZEKER",IF(OR($DZ75="",$EA75=""),"ONZEKER",IF(AND($EC75=$DZ75+1,$ED75=$EA75),IF(OR(COUNTIF(#REF!,$B75)&gt;0,COUNTIF(#REF!,$B75)=0),"SKIP",IF(COUNTIFS(#REF!,$B75,#REF!,$CO75)&gt;0,"OK","ONBEKEND")),IF(AND($EC75=$DZ75,$ED75=$EA75+1),IF(OR(COUNTIF(#REF!,$D75)&gt;0,COUNTIF(#REF!,$D75)=0),"SKIP",IF(COUNTIFS(#REF!,$D75,#REF!,$CO75)&gt;0,"OK","ONBEKEND")),"ONZEKER")))))</f>
        <v/>
      </c>
      <c r="CQ75" t="str">
        <f t="shared" si="558"/>
        <v/>
      </c>
      <c r="CR75" t="str">
        <f t="shared" si="559"/>
        <v/>
      </c>
      <c r="CS75" t="str">
        <f>IF($CR75="","",IF(OR($EF75="",$EG75=""),"ONZEKER",IF(OR($EC75="",$ED75=""),"ONZEKER",IF(AND($EF75=$EC75+1,$EG75=$ED75),IF(OR(COUNTIF(#REF!,$B75)&gt;0,COUNTIF(#REF!,$B75)=0),"SKIP",IF(COUNTIFS(#REF!,$B75,#REF!,$CR75)&gt;0,"OK","ONBEKEND")),IF(AND($EF75=$EC75,$EG75=$ED75+1),IF(OR(COUNTIF(#REF!,$D75)&gt;0,COUNTIF(#REF!,$D75)=0),"SKIP",IF(COUNTIFS(#REF!,$D75,#REF!,$CR75)&gt;0,"OK","ONBEKEND")),"ONZEKER")))))</f>
        <v/>
      </c>
      <c r="CT75" t="str">
        <f t="shared" si="560"/>
        <v/>
      </c>
      <c r="CU75" t="str">
        <f t="shared" si="561"/>
        <v/>
      </c>
      <c r="CV75" t="str">
        <f>IF($CU75="","",IF(OR($EI75="",$EJ75=""),"ONZEKER",IF(OR($EF75="",$EG75=""),"ONZEKER",IF(AND($EI75=$EF75+1,$EJ75=$EG75),IF(OR(COUNTIF(#REF!,$B75)&gt;0,COUNTIF(#REF!,$B75)=0),"SKIP",IF(COUNTIFS(#REF!,$B75,#REF!,$CU75)&gt;0,"OK","ONBEKEND")),IF(AND($EI75=$EF75,$EJ75=$EG75+1),IF(OR(COUNTIF(#REF!,$D75)&gt;0,COUNTIF(#REF!,$D75)=0),"SKIP",IF(COUNTIFS(#REF!,$D75,#REF!,$CU75)&gt;0,"OK","ONBEKEND")),"ONZEKER")))))</f>
        <v/>
      </c>
      <c r="CW75" t="str">
        <f t="shared" si="562"/>
        <v/>
      </c>
      <c r="CX75" t="str">
        <f t="shared" si="563"/>
        <v/>
      </c>
      <c r="CY75" t="str">
        <f>IF($CX75="","",IF(OR($EL75="",$EM75=""),"ONZEKER",IF(OR($EI75="",$EJ75=""),"ONZEKER",IF(AND($EL75=$EI75+1,$EM75=$EJ75),IF(OR(COUNTIF(#REF!,$B75)&gt;0,COUNTIF(#REF!,$B75)=0),"SKIP",IF(COUNTIFS(#REF!,$B75,#REF!,$CX75)&gt;0,"OK","ONBEKEND")),IF(AND($EL75=$EI75,$EM75=$EJ75+1),IF(OR(COUNTIF(#REF!,$D75)&gt;0,COUNTIF(#REF!,$D75)=0),"SKIP",IF(COUNTIFS(#REF!,$D75,#REF!,$CX75)&gt;0,"OK","ONBEKEND")),"ONZEKER")))))</f>
        <v/>
      </c>
      <c r="CZ75" t="str">
        <f t="shared" si="564"/>
        <v/>
      </c>
      <c r="DA75" t="str">
        <f t="shared" si="565"/>
        <v/>
      </c>
      <c r="DB75" t="str">
        <f>IF($DA75="","",IF(OR($EO75="",$EP75=""),"ONZEKER",IF(OR($EL75="",$EM75=""),"ONZEKER",IF(AND($EO75=$EL75+1,$EP75=$EM75),IF(OR(COUNTIF(#REF!,$B75)&gt;0,COUNTIF(#REF!,$B75)=0),"SKIP",IF(COUNTIFS(#REF!,$B75,#REF!,$DA75)&gt;0,"OK","ONBEKEND")),IF(AND($EO75=$EL75,$EP75=$EM75+1),IF(OR(COUNTIF(#REF!,$D75)&gt;0,COUNTIF(#REF!,$D75)=0),"SKIP",IF(COUNTIFS(#REF!,$D75,#REF!,$DA75)&gt;0,"OK","ONBEKEND")),"ONZEKER")))))</f>
        <v/>
      </c>
      <c r="DC75" t="str">
        <f t="shared" si="566"/>
        <v/>
      </c>
      <c r="DD75" t="str">
        <f t="shared" si="567"/>
        <v/>
      </c>
      <c r="DE75" t="str">
        <f>IF($DD75="","",IF(OR($ER75="",$ES75=""),"ONZEKER",IF(OR($EO75="",$EP75=""),"ONZEKER",IF(AND($ER75=$EO75+1,$ES75=$EP75),IF(OR(COUNTIF(#REF!,$B75)&gt;0,COUNTIF(#REF!,$B75)=0),"SKIP",IF(COUNTIFS(#REF!,$B75,#REF!,$DD75)&gt;0,"OK","ONBEKEND")),IF(AND($ER75=$EO75,$ES75=$EP75+1),IF(OR(COUNTIF(#REF!,$D75)&gt;0,COUNTIF(#REF!,$D75)=0),"SKIP",IF(COUNTIFS(#REF!,$D75,#REF!,$DD75)&gt;0,"OK","ONBEKEND")),"ONZEKER")))))</f>
        <v/>
      </c>
      <c r="DF75" t="str">
        <f t="shared" si="568"/>
        <v/>
      </c>
      <c r="DG75" t="str">
        <f t="shared" si="569"/>
        <v/>
      </c>
      <c r="DH75" t="str">
        <f>IF($DG75="","",IF(OR($EU75="",$EV75=""),"ONZEKER",IF(OR($ER75="",$ES75=""),"ONZEKER",IF(AND($EU75=$ER75+1,$EV75=$ES75),IF(OR(COUNTIF(#REF!,$B75)&gt;0,COUNTIF(#REF!,$B75)=0),"SKIP",IF(COUNTIFS(#REF!,$B75,#REF!,$DG75)&gt;0,"OK","ONBEKEND")),IF(AND($EU75=$ER75,$EV75=$ES75+1),IF(OR(COUNTIF(#REF!,$D75)&gt;0,COUNTIF(#REF!,$D75)=0),"SKIP",IF(COUNTIFS(#REF!,$D75,#REF!,$DG75)&gt;0,"OK","ONBEKEND")),"ONZEKER")))))</f>
        <v/>
      </c>
      <c r="DI75" t="str">
        <f t="shared" si="570"/>
        <v/>
      </c>
      <c r="DJ75" t="str">
        <f t="shared" si="571"/>
        <v/>
      </c>
      <c r="DK75" t="str">
        <f>IF($DJ75="","",IF(OR($EX75="",$EY75=""),"ONZEKER",IF(OR($EU75="",$EV75=""),"ONZEKER",IF(AND($EX75=$EU75+1,$EY75=$EV75),IF(OR(COUNTIF(#REF!,$B75)&gt;0,COUNTIF(#REF!,$B75)=0),"SKIP",IF(COUNTIFS(#REF!,$B75,#REF!,$DJ75)&gt;0,"OK","ONBEKEND")),IF(AND($EX75=$EU75,$EY75=$EV75+1),IF(OR(COUNTIF(#REF!,$D75)&gt;0,COUNTIF(#REF!,$D75)=0),"SKIP",IF(COUNTIFS(#REF!,$D75,#REF!,$DJ75)&gt;0,"OK","ONBEKEND")),"ONZEKER")))))</f>
        <v/>
      </c>
      <c r="DL75" t="str">
        <f t="shared" si="572"/>
        <v/>
      </c>
      <c r="DM75" t="str">
        <f t="shared" si="573"/>
        <v/>
      </c>
      <c r="DN75" t="str">
        <f t="shared" si="574"/>
        <v/>
      </c>
      <c r="DO75" t="str">
        <f t="shared" si="575"/>
        <v/>
      </c>
      <c r="DP75" t="str">
        <f t="shared" si="576"/>
        <v/>
      </c>
      <c r="DQ75" t="str">
        <f t="shared" si="577"/>
        <v/>
      </c>
      <c r="DR75" t="str">
        <f t="shared" si="578"/>
        <v/>
      </c>
      <c r="DS75" t="str">
        <f t="shared" si="579"/>
        <v/>
      </c>
      <c r="DT75" t="str">
        <f t="shared" si="580"/>
        <v/>
      </c>
      <c r="DU75" t="str">
        <f t="shared" si="581"/>
        <v/>
      </c>
      <c r="DV75" t="str">
        <f t="shared" si="582"/>
        <v/>
      </c>
      <c r="DW75" t="str">
        <f t="shared" si="583"/>
        <v/>
      </c>
      <c r="DX75" t="str">
        <f t="shared" si="584"/>
        <v/>
      </c>
      <c r="DY75" t="str">
        <f t="shared" si="585"/>
        <v/>
      </c>
      <c r="DZ75" t="str">
        <f t="shared" si="586"/>
        <v/>
      </c>
      <c r="EA75" t="str">
        <f t="shared" si="587"/>
        <v/>
      </c>
      <c r="EB75" t="str">
        <f t="shared" si="588"/>
        <v/>
      </c>
      <c r="EC75" t="str">
        <f t="shared" si="589"/>
        <v/>
      </c>
      <c r="ED75" t="str">
        <f t="shared" si="590"/>
        <v/>
      </c>
      <c r="EE75" t="str">
        <f t="shared" si="591"/>
        <v/>
      </c>
      <c r="EF75" t="str">
        <f t="shared" si="592"/>
        <v/>
      </c>
      <c r="EG75" t="str">
        <f t="shared" si="593"/>
        <v/>
      </c>
      <c r="EH75" t="str">
        <f t="shared" si="594"/>
        <v/>
      </c>
      <c r="EI75" t="str">
        <f t="shared" si="595"/>
        <v/>
      </c>
      <c r="EJ75" t="str">
        <f t="shared" si="596"/>
        <v/>
      </c>
      <c r="EK75" t="str">
        <f t="shared" si="597"/>
        <v/>
      </c>
      <c r="EL75" t="str">
        <f t="shared" si="598"/>
        <v/>
      </c>
      <c r="EM75" t="str">
        <f t="shared" si="599"/>
        <v/>
      </c>
      <c r="EN75" t="str">
        <f t="shared" si="600"/>
        <v/>
      </c>
      <c r="EO75" t="str">
        <f t="shared" si="601"/>
        <v/>
      </c>
      <c r="EP75" t="str">
        <f t="shared" si="602"/>
        <v/>
      </c>
      <c r="EQ75" t="str">
        <f t="shared" si="603"/>
        <v/>
      </c>
      <c r="ER75" t="str">
        <f t="shared" si="604"/>
        <v/>
      </c>
      <c r="ES75" t="str">
        <f t="shared" si="605"/>
        <v/>
      </c>
      <c r="ET75" t="str">
        <f t="shared" si="606"/>
        <v/>
      </c>
      <c r="EU75" t="str">
        <f t="shared" si="607"/>
        <v/>
      </c>
      <c r="EV75" t="str">
        <f t="shared" si="608"/>
        <v/>
      </c>
      <c r="EW75" t="str">
        <f t="shared" si="609"/>
        <v/>
      </c>
      <c r="EX75" t="str">
        <f t="shared" si="610"/>
        <v/>
      </c>
      <c r="EY75" t="str">
        <f t="shared" si="611"/>
        <v/>
      </c>
    </row>
    <row r="76" spans="1:155" ht="13.9" customHeight="1" x14ac:dyDescent="0.25">
      <c r="A76" s="7"/>
      <c r="B76" s="17"/>
      <c r="C76" s="8"/>
      <c r="D76" s="17"/>
      <c r="E76" s="8"/>
      <c r="F76" s="18">
        <v>0</v>
      </c>
      <c r="G76" s="7" t="s">
        <v>147</v>
      </c>
      <c r="H76" s="18">
        <v>0</v>
      </c>
      <c r="I76" s="19">
        <v>0</v>
      </c>
      <c r="J76" s="7" t="s">
        <v>147</v>
      </c>
      <c r="K76" s="19">
        <v>0</v>
      </c>
      <c r="L76" s="9"/>
      <c r="M76" s="3" t="str">
        <f>IF($L76="","",IF($L76="DOELPUNTENMAKERS","",IF(AND(COUNTIF(#REF!,$B76)=0,COUNTIF(#REF!,$D76)=0),"OK",IF($O76&gt;20,"LET OP: meer dan 20 items (controle onvolledig)",IF((COUNTIF($R76:$AS76,"ONZEKER")+COUNTIF($CJ76:$DK76,"ONZEKER"))&gt;0,"LET OP: scoreverloop onduidelijk (controle beperkt)",IF((IF($AT76&lt;&gt;"",$AT76&amp;", ","")&amp;IF($AU76&lt;&gt;"",$AU76&amp;", ","")&amp;IF($AV76&lt;&gt;"",$AV76&amp;", ","")&amp;IF($AW76&lt;&gt;"",$AW76&amp;", ","")&amp;IF($AX76&lt;&gt;"",$AX76&amp;", ","")&amp;IF($AY76&lt;&gt;"",$AY76&amp;", ","")&amp;IF($AZ76&lt;&gt;"",$AZ76&amp;", ","")&amp;IF($BA76&lt;&gt;"",$BA76&amp;", ","")&amp;IF($BB76&lt;&gt;"",$BB76&amp;", ","")&amp;IF($BC76&lt;&gt;"",$BC76&amp;", ","")&amp;IF($DL76&lt;&gt;"",$DL76&amp;", ","")&amp;IF($DM76&lt;&gt;"",$DM76&amp;", ","")&amp;IF($DN76&lt;&gt;"",$DN76&amp;", ","")&amp;IF($DO76&lt;&gt;"",$DO76&amp;", ","")&amp;IF($DP76&lt;&gt;"",$DP76&amp;", ","")&amp;IF($DQ76&lt;&gt;"",$DQ76&amp;", ","")&amp;IF($DR76&lt;&gt;"",$DR76&amp;", ","")&amp;IF($DS76&lt;&gt;"",$DS76&amp;", ","")&amp;IF($DT76&lt;&gt;"",$DT76&amp;", ","")&amp;IF($DU76&lt;&gt;"",$DU76&amp;", ",""))="","OK","Onbekend: "&amp;LEFT((IF($AT76&lt;&gt;"",$AT76&amp;", ","")&amp;IF($AU76&lt;&gt;"",$AU76&amp;", ","")&amp;IF($AV76&lt;&gt;"",$AV76&amp;", ","")&amp;IF($AW76&lt;&gt;"",$AW76&amp;", ","")&amp;IF($AX76&lt;&gt;"",$AX76&amp;", ","")&amp;IF($AY76&lt;&gt;"",$AY76&amp;", ","")&amp;IF($AZ76&lt;&gt;"",$AZ76&amp;", ","")&amp;IF($BA76&lt;&gt;"",$BA76&amp;", ","")&amp;IF($BB76&lt;&gt;"",$BB76&amp;", ","")&amp;IF($BC76&lt;&gt;"",$BC76&amp;", ","")&amp;IF($DL76&lt;&gt;"",$DL76&amp;", ","")&amp;IF($DM76&lt;&gt;"",$DM76&amp;", ","")&amp;IF($DN76&lt;&gt;"",$DN76&amp;", ","")&amp;IF($DO76&lt;&gt;"",$DO76&amp;", ","")&amp;IF($DP76&lt;&gt;"",$DP76&amp;", ","")&amp;IF($DQ76&lt;&gt;"",$DQ76&amp;", ","")&amp;IF($DR76&lt;&gt;"",$DR76&amp;", ","")&amp;IF($DS76&lt;&gt;"",$DS76&amp;", ","")&amp;IF($DT76&lt;&gt;"",$DT76&amp;", ","")&amp;IF($DU76&lt;&gt;"",$DU76&amp;", ","")),LEN((IF($AT76&lt;&gt;"",$AT76&amp;", ","")&amp;IF($AU76&lt;&gt;"",$AU76&amp;", ","")&amp;IF($AV76&lt;&gt;"",$AV76&amp;", ","")&amp;IF($AW76&lt;&gt;"",$AW76&amp;", ","")&amp;IF($AX76&lt;&gt;"",$AX76&amp;", ","")&amp;IF($AY76&lt;&gt;"",$AY76&amp;", ","")&amp;IF($AZ76&lt;&gt;"",$AZ76&amp;", ","")&amp;IF($BA76&lt;&gt;"",$BA76&amp;", ","")&amp;IF($BB76&lt;&gt;"",$BB76&amp;", ","")&amp;IF($BC76&lt;&gt;"",$BC76&amp;", ","")&amp;IF($DL76&lt;&gt;"",$DL76&amp;", ","")&amp;IF($DM76&lt;&gt;"",$DM76&amp;", ","")&amp;IF($DN76&lt;&gt;"",$DN76&amp;", ","")&amp;IF($DO76&lt;&gt;"",$DO76&amp;", ","")&amp;IF($DP76&lt;&gt;"",$DP76&amp;", ","")&amp;IF($DQ76&lt;&gt;"",$DQ76&amp;", ","")&amp;IF($DR76&lt;&gt;"",$DR76&amp;", ","")&amp;IF($DS76&lt;&gt;"",$DS76&amp;", ","")&amp;IF($DT76&lt;&gt;"",$DT76&amp;", ","")&amp;IF($DU76&lt;&gt;"",$DU76&amp;", ","")))-2)))))))</f>
        <v/>
      </c>
      <c r="N76" t="str">
        <f t="shared" si="520"/>
        <v/>
      </c>
      <c r="O76" t="str">
        <f t="shared" si="521"/>
        <v/>
      </c>
      <c r="P76" t="str">
        <f t="shared" si="522"/>
        <v/>
      </c>
      <c r="Q76" t="str">
        <f t="shared" si="523"/>
        <v/>
      </c>
      <c r="R76" t="str">
        <f>IF($Q76="","",IF(OR($BE76="",$BF76=""),"ONZEKER",IF(AND($BE76=0+1,$BF76=0),IF(OR(COUNTIF(#REF!,$B76)&gt;0,COUNTIF(#REF!,$B76)=0),"SKIP",IF(COUNTIFS(#REF!,$B76,#REF!,$Q76)&gt;0,"OK","ONBEKEND")),IF(AND($BE76=0,$BF76=0+1),IF(OR(COUNTIF(#REF!,$D76)&gt;0,COUNTIF(#REF!,$D76)=0),"SKIP",IF(COUNTIFS(#REF!,$D76,#REF!,$Q76)&gt;0,"OK","ONBEKEND")),"ONZEKER"))))</f>
        <v/>
      </c>
      <c r="S76" t="str">
        <f t="shared" si="524"/>
        <v/>
      </c>
      <c r="T76" t="str">
        <f t="shared" si="525"/>
        <v/>
      </c>
      <c r="U76" t="str">
        <f>IF($T76="","",IF(OR($BH76="",$BI76=""),"ONZEKER",IF(OR($BE76="",$BF76=""),"ONZEKER",IF(AND($BH76=$BE76+1,$BI76=$BF76),IF(OR(COUNTIF(#REF!,$B76)&gt;0,COUNTIF(#REF!,$B76)=0),"SKIP",IF(COUNTIFS(#REF!,$B76,#REF!,$T76)&gt;0,"OK","ONBEKEND")),IF(AND($BH76=$BE76,$BI76=$BF76+1),IF(OR(COUNTIF(#REF!,$D76)&gt;0,COUNTIF(#REF!,$D76)=0),"SKIP",IF(COUNTIFS(#REF!,$D76,#REF!,$T76)&gt;0,"OK","ONBEKEND")),"ONZEKER")))))</f>
        <v/>
      </c>
      <c r="V76" t="str">
        <f t="shared" si="526"/>
        <v/>
      </c>
      <c r="W76" t="str">
        <f t="shared" si="527"/>
        <v/>
      </c>
      <c r="X76" t="str">
        <f>IF($W76="","",IF(OR($BK76="",$BL76=""),"ONZEKER",IF(OR($BH76="",$BI76=""),"ONZEKER",IF(AND($BK76=$BH76+1,$BL76=$BI76),IF(OR(COUNTIF(#REF!,$B76)&gt;0,COUNTIF(#REF!,$B76)=0),"SKIP",IF(COUNTIFS(#REF!,$B76,#REF!,$W76)&gt;0,"OK","ONBEKEND")),IF(AND($BK76=$BH76,$BL76=$BI76+1),IF(OR(COUNTIF(#REF!,$D76)&gt;0,COUNTIF(#REF!,$D76)=0),"SKIP",IF(COUNTIFS(#REF!,$D76,#REF!,$W76)&gt;0,"OK","ONBEKEND")),"ONZEKER")))))</f>
        <v/>
      </c>
      <c r="Y76" t="str">
        <f t="shared" si="528"/>
        <v/>
      </c>
      <c r="Z76" t="str">
        <f t="shared" si="529"/>
        <v/>
      </c>
      <c r="AA76" t="str">
        <f>IF($Z76="","",IF(OR($BN76="",$BO76=""),"ONZEKER",IF(OR($BK76="",$BL76=""),"ONZEKER",IF(AND($BN76=$BK76+1,$BO76=$BL76),IF(OR(COUNTIF(#REF!,$B76)&gt;0,COUNTIF(#REF!,$B76)=0),"SKIP",IF(COUNTIFS(#REF!,$B76,#REF!,$Z76)&gt;0,"OK","ONBEKEND")),IF(AND($BN76=$BK76,$BO76=$BL76+1),IF(OR(COUNTIF(#REF!,$D76)&gt;0,COUNTIF(#REF!,$D76)=0),"SKIP",IF(COUNTIFS(#REF!,$D76,#REF!,$Z76)&gt;0,"OK","ONBEKEND")),"ONZEKER")))))</f>
        <v/>
      </c>
      <c r="AB76" t="str">
        <f t="shared" si="530"/>
        <v/>
      </c>
      <c r="AC76" t="str">
        <f t="shared" si="531"/>
        <v/>
      </c>
      <c r="AD76" t="str">
        <f>IF($AC76="","",IF(OR($BQ76="",$BR76=""),"ONZEKER",IF(OR($BN76="",$BO76=""),"ONZEKER",IF(AND($BQ76=$BN76+1,$BR76=$BO76),IF(OR(COUNTIF(#REF!,$B76)&gt;0,COUNTIF(#REF!,$B76)=0),"SKIP",IF(COUNTIFS(#REF!,$B76,#REF!,$AC76)&gt;0,"OK","ONBEKEND")),IF(AND($BQ76=$BN76,$BR76=$BO76+1),IF(OR(COUNTIF(#REF!,$D76)&gt;0,COUNTIF(#REF!,$D76)=0),"SKIP",IF(COUNTIFS(#REF!,$D76,#REF!,$AC76)&gt;0,"OK","ONBEKEND")),"ONZEKER")))))</f>
        <v/>
      </c>
      <c r="AE76" t="str">
        <f t="shared" si="532"/>
        <v/>
      </c>
      <c r="AF76" t="str">
        <f t="shared" si="533"/>
        <v/>
      </c>
      <c r="AG76" t="str">
        <f>IF($AF76="","",IF(OR($BT76="",$BU76=""),"ONZEKER",IF(OR($BQ76="",$BR76=""),"ONZEKER",IF(AND($BT76=$BQ76+1,$BU76=$BR76),IF(OR(COUNTIF(#REF!,$B76)&gt;0,COUNTIF(#REF!,$B76)=0),"SKIP",IF(COUNTIFS(#REF!,$B76,#REF!,$AF76)&gt;0,"OK","ONBEKEND")),IF(AND($BT76=$BQ76,$BU76=$BR76+1),IF(OR(COUNTIF(#REF!,$D76)&gt;0,COUNTIF(#REF!,$D76)=0),"SKIP",IF(COUNTIFS(#REF!,$D76,#REF!,$AF76)&gt;0,"OK","ONBEKEND")),"ONZEKER")))))</f>
        <v/>
      </c>
      <c r="AH76" t="str">
        <f t="shared" si="534"/>
        <v/>
      </c>
      <c r="AI76" t="str">
        <f t="shared" si="535"/>
        <v/>
      </c>
      <c r="AJ76" t="str">
        <f>IF($AI76="","",IF(OR($BW76="",$BX76=""),"ONZEKER",IF(OR($BT76="",$BU76=""),"ONZEKER",IF(AND($BW76=$BT76+1,$BX76=$BU76),IF(OR(COUNTIF(#REF!,$B76)&gt;0,COUNTIF(#REF!,$B76)=0),"SKIP",IF(COUNTIFS(#REF!,$B76,#REF!,$AI76)&gt;0,"OK","ONBEKEND")),IF(AND($BW76=$BT76,$BX76=$BU76+1),IF(OR(COUNTIF(#REF!,$D76)&gt;0,COUNTIF(#REF!,$D76)=0),"SKIP",IF(COUNTIFS(#REF!,$D76,#REF!,$AI76)&gt;0,"OK","ONBEKEND")),"ONZEKER")))))</f>
        <v/>
      </c>
      <c r="AK76" t="str">
        <f t="shared" si="536"/>
        <v/>
      </c>
      <c r="AL76" t="str">
        <f t="shared" si="537"/>
        <v/>
      </c>
      <c r="AM76" t="str">
        <f>IF($AL76="","",IF(OR($BZ76="",$CA76=""),"ONZEKER",IF(OR($BW76="",$BX76=""),"ONZEKER",IF(AND($BZ76=$BW76+1,$CA76=$BX76),IF(OR(COUNTIF(#REF!,$B76)&gt;0,COUNTIF(#REF!,$B76)=0),"SKIP",IF(COUNTIFS(#REF!,$B76,#REF!,$AL76)&gt;0,"OK","ONBEKEND")),IF(AND($BZ76=$BW76,$CA76=$BX76+1),IF(OR(COUNTIF(#REF!,$D76)&gt;0,COUNTIF(#REF!,$D76)=0),"SKIP",IF(COUNTIFS(#REF!,$D76,#REF!,$AL76)&gt;0,"OK","ONBEKEND")),"ONZEKER")))))</f>
        <v/>
      </c>
      <c r="AN76" t="str">
        <f t="shared" si="538"/>
        <v/>
      </c>
      <c r="AO76" t="str">
        <f t="shared" si="539"/>
        <v/>
      </c>
      <c r="AP76" t="str">
        <f>IF($AO76="","",IF(OR($CC76="",$CD76=""),"ONZEKER",IF(OR($BZ76="",$CA76=""),"ONZEKER",IF(AND($CC76=$BZ76+1,$CD76=$CA76),IF(OR(COUNTIF(#REF!,$B76)&gt;0,COUNTIF(#REF!,$B76)=0),"SKIP",IF(COUNTIFS(#REF!,$B76,#REF!,$AO76)&gt;0,"OK","ONBEKEND")),IF(AND($CC76=$BZ76,$CD76=$CA76+1),IF(OR(COUNTIF(#REF!,$D76)&gt;0,COUNTIF(#REF!,$D76)=0),"SKIP",IF(COUNTIFS(#REF!,$D76,#REF!,$AO76)&gt;0,"OK","ONBEKEND")),"ONZEKER")))))</f>
        <v/>
      </c>
      <c r="AQ76" t="str">
        <f t="shared" si="540"/>
        <v/>
      </c>
      <c r="AR76" t="str">
        <f t="shared" si="541"/>
        <v/>
      </c>
      <c r="AS76" t="str">
        <f>IF($AR76="","",IF(OR($CF76="",$CG76=""),"ONZEKER",IF(OR($CC76="",$CD76=""),"ONZEKER",IF(AND($CF76=$CC76+1,$CG76=$CD76),IF(OR(COUNTIF(#REF!,$B76)&gt;0,COUNTIF(#REF!,$B76)=0),"SKIP",IF(COUNTIFS(#REF!,$B76,#REF!,$AR76)&gt;0,"OK","ONBEKEND")),IF(AND($CF76=$CC76,$CG76=$CD76+1),IF(OR(COUNTIF(#REF!,$D76)&gt;0,COUNTIF(#REF!,$D76)=0),"SKIP",IF(COUNTIFS(#REF!,$D76,#REF!,$AR76)&gt;0,"OK","ONBEKEND")),"ONZEKER")))))</f>
        <v/>
      </c>
      <c r="AT76" t="str">
        <f t="shared" si="542"/>
        <v/>
      </c>
      <c r="AU76" t="str">
        <f t="shared" si="543"/>
        <v/>
      </c>
      <c r="AV76" t="str">
        <f t="shared" si="544"/>
        <v/>
      </c>
      <c r="AW76" t="str">
        <f t="shared" si="545"/>
        <v/>
      </c>
      <c r="AX76" t="str">
        <f t="shared" si="546"/>
        <v/>
      </c>
      <c r="AY76" t="str">
        <f t="shared" si="547"/>
        <v/>
      </c>
      <c r="AZ76" t="str">
        <f t="shared" si="548"/>
        <v/>
      </c>
      <c r="BA76" t="str">
        <f t="shared" si="549"/>
        <v/>
      </c>
      <c r="BB76" t="str">
        <f t="shared" si="550"/>
        <v/>
      </c>
      <c r="BC76" t="str">
        <f t="shared" si="551"/>
        <v/>
      </c>
      <c r="BD76" t="str">
        <f t="shared" si="490"/>
        <v/>
      </c>
      <c r="BE76" t="str">
        <f t="shared" si="491"/>
        <v/>
      </c>
      <c r="BF76" t="str">
        <f t="shared" si="492"/>
        <v/>
      </c>
      <c r="BG76" t="str">
        <f t="shared" si="493"/>
        <v/>
      </c>
      <c r="BH76" t="str">
        <f t="shared" si="494"/>
        <v/>
      </c>
      <c r="BI76" t="str">
        <f t="shared" si="495"/>
        <v/>
      </c>
      <c r="BJ76" t="str">
        <f t="shared" si="496"/>
        <v/>
      </c>
      <c r="BK76" t="str">
        <f t="shared" si="497"/>
        <v/>
      </c>
      <c r="BL76" t="str">
        <f t="shared" si="498"/>
        <v/>
      </c>
      <c r="BM76" t="str">
        <f t="shared" si="499"/>
        <v/>
      </c>
      <c r="BN76" t="str">
        <f t="shared" si="500"/>
        <v/>
      </c>
      <c r="BO76" t="str">
        <f t="shared" si="501"/>
        <v/>
      </c>
      <c r="BP76" t="str">
        <f t="shared" si="502"/>
        <v/>
      </c>
      <c r="BQ76" t="str">
        <f t="shared" si="503"/>
        <v/>
      </c>
      <c r="BR76" t="str">
        <f t="shared" si="504"/>
        <v/>
      </c>
      <c r="BS76" t="str">
        <f t="shared" si="505"/>
        <v/>
      </c>
      <c r="BT76" t="str">
        <f t="shared" si="506"/>
        <v/>
      </c>
      <c r="BU76" t="str">
        <f t="shared" si="507"/>
        <v/>
      </c>
      <c r="BV76" t="str">
        <f t="shared" si="508"/>
        <v/>
      </c>
      <c r="BW76" t="str">
        <f t="shared" si="509"/>
        <v/>
      </c>
      <c r="BX76" t="str">
        <f t="shared" si="510"/>
        <v/>
      </c>
      <c r="BY76" t="str">
        <f t="shared" si="511"/>
        <v/>
      </c>
      <c r="BZ76" t="str">
        <f t="shared" si="512"/>
        <v/>
      </c>
      <c r="CA76" t="str">
        <f t="shared" si="513"/>
        <v/>
      </c>
      <c r="CB76" t="str">
        <f t="shared" si="514"/>
        <v/>
      </c>
      <c r="CC76" t="str">
        <f t="shared" si="515"/>
        <v/>
      </c>
      <c r="CD76" t="str">
        <f t="shared" si="516"/>
        <v/>
      </c>
      <c r="CE76" t="str">
        <f t="shared" si="517"/>
        <v/>
      </c>
      <c r="CF76" t="str">
        <f t="shared" si="518"/>
        <v/>
      </c>
      <c r="CG76" t="str">
        <f t="shared" si="519"/>
        <v/>
      </c>
      <c r="CH76" t="str">
        <f t="shared" si="552"/>
        <v/>
      </c>
      <c r="CI76" t="str">
        <f t="shared" si="553"/>
        <v/>
      </c>
      <c r="CJ76" t="str">
        <f>IF($CI76="","",IF(OR($DW76="",$DX76=""),"ONZEKER",IF(OR($CF76="",$CG76=""),"ONZEKER",IF(AND($DW76=$CF76+1,$DX76=$CG76),IF(OR(COUNTIF(#REF!,$B76)&gt;0,COUNTIF(#REF!,$B76)=0),"SKIP",IF(COUNTIFS(#REF!,$B76,#REF!,$CI76)&gt;0,"OK","ONBEKEND")),IF(AND($DW76=$CF76,$DX76=$CG76+1),IF(OR(COUNTIF(#REF!,$D76)&gt;0,COUNTIF(#REF!,$D76)=0),"SKIP",IF(COUNTIFS(#REF!,$D76,#REF!,$CI76)&gt;0,"OK","ONBEKEND")),"ONZEKER")))))</f>
        <v/>
      </c>
      <c r="CK76" t="str">
        <f t="shared" si="554"/>
        <v/>
      </c>
      <c r="CL76" t="str">
        <f t="shared" si="555"/>
        <v/>
      </c>
      <c r="CM76" t="str">
        <f>IF($CL76="","",IF(OR($DZ76="",$EA76=""),"ONZEKER",IF(OR($DW76="",$DX76=""),"ONZEKER",IF(AND($DZ76=$DW76+1,$EA76=$DX76),IF(OR(COUNTIF(#REF!,$B76)&gt;0,COUNTIF(#REF!,$B76)=0),"SKIP",IF(COUNTIFS(#REF!,$B76,#REF!,$CL76)&gt;0,"OK","ONBEKEND")),IF(AND($DZ76=$DW76,$EA76=$DX76+1),IF(OR(COUNTIF(#REF!,$D76)&gt;0,COUNTIF(#REF!,$D76)=0),"SKIP",IF(COUNTIFS(#REF!,$D76,#REF!,$CL76)&gt;0,"OK","ONBEKEND")),"ONZEKER")))))</f>
        <v/>
      </c>
      <c r="CN76" t="str">
        <f t="shared" si="556"/>
        <v/>
      </c>
      <c r="CO76" t="str">
        <f t="shared" si="557"/>
        <v/>
      </c>
      <c r="CP76" t="str">
        <f>IF($CO76="","",IF(OR($EC76="",$ED76=""),"ONZEKER",IF(OR($DZ76="",$EA76=""),"ONZEKER",IF(AND($EC76=$DZ76+1,$ED76=$EA76),IF(OR(COUNTIF(#REF!,$B76)&gt;0,COUNTIF(#REF!,$B76)=0),"SKIP",IF(COUNTIFS(#REF!,$B76,#REF!,$CO76)&gt;0,"OK","ONBEKEND")),IF(AND($EC76=$DZ76,$ED76=$EA76+1),IF(OR(COUNTIF(#REF!,$D76)&gt;0,COUNTIF(#REF!,$D76)=0),"SKIP",IF(COUNTIFS(#REF!,$D76,#REF!,$CO76)&gt;0,"OK","ONBEKEND")),"ONZEKER")))))</f>
        <v/>
      </c>
      <c r="CQ76" t="str">
        <f t="shared" si="558"/>
        <v/>
      </c>
      <c r="CR76" t="str">
        <f t="shared" si="559"/>
        <v/>
      </c>
      <c r="CS76" t="str">
        <f>IF($CR76="","",IF(OR($EF76="",$EG76=""),"ONZEKER",IF(OR($EC76="",$ED76=""),"ONZEKER",IF(AND($EF76=$EC76+1,$EG76=$ED76),IF(OR(COUNTIF(#REF!,$B76)&gt;0,COUNTIF(#REF!,$B76)=0),"SKIP",IF(COUNTIFS(#REF!,$B76,#REF!,$CR76)&gt;0,"OK","ONBEKEND")),IF(AND($EF76=$EC76,$EG76=$ED76+1),IF(OR(COUNTIF(#REF!,$D76)&gt;0,COUNTIF(#REF!,$D76)=0),"SKIP",IF(COUNTIFS(#REF!,$D76,#REF!,$CR76)&gt;0,"OK","ONBEKEND")),"ONZEKER")))))</f>
        <v/>
      </c>
      <c r="CT76" t="str">
        <f t="shared" si="560"/>
        <v/>
      </c>
      <c r="CU76" t="str">
        <f t="shared" si="561"/>
        <v/>
      </c>
      <c r="CV76" t="str">
        <f>IF($CU76="","",IF(OR($EI76="",$EJ76=""),"ONZEKER",IF(OR($EF76="",$EG76=""),"ONZEKER",IF(AND($EI76=$EF76+1,$EJ76=$EG76),IF(OR(COUNTIF(#REF!,$B76)&gt;0,COUNTIF(#REF!,$B76)=0),"SKIP",IF(COUNTIFS(#REF!,$B76,#REF!,$CU76)&gt;0,"OK","ONBEKEND")),IF(AND($EI76=$EF76,$EJ76=$EG76+1),IF(OR(COUNTIF(#REF!,$D76)&gt;0,COUNTIF(#REF!,$D76)=0),"SKIP",IF(COUNTIFS(#REF!,$D76,#REF!,$CU76)&gt;0,"OK","ONBEKEND")),"ONZEKER")))))</f>
        <v/>
      </c>
      <c r="CW76" t="str">
        <f t="shared" si="562"/>
        <v/>
      </c>
      <c r="CX76" t="str">
        <f t="shared" si="563"/>
        <v/>
      </c>
      <c r="CY76" t="str">
        <f>IF($CX76="","",IF(OR($EL76="",$EM76=""),"ONZEKER",IF(OR($EI76="",$EJ76=""),"ONZEKER",IF(AND($EL76=$EI76+1,$EM76=$EJ76),IF(OR(COUNTIF(#REF!,$B76)&gt;0,COUNTIF(#REF!,$B76)=0),"SKIP",IF(COUNTIFS(#REF!,$B76,#REF!,$CX76)&gt;0,"OK","ONBEKEND")),IF(AND($EL76=$EI76,$EM76=$EJ76+1),IF(OR(COUNTIF(#REF!,$D76)&gt;0,COUNTIF(#REF!,$D76)=0),"SKIP",IF(COUNTIFS(#REF!,$D76,#REF!,$CX76)&gt;0,"OK","ONBEKEND")),"ONZEKER")))))</f>
        <v/>
      </c>
      <c r="CZ76" t="str">
        <f t="shared" si="564"/>
        <v/>
      </c>
      <c r="DA76" t="str">
        <f t="shared" si="565"/>
        <v/>
      </c>
      <c r="DB76" t="str">
        <f>IF($DA76="","",IF(OR($EO76="",$EP76=""),"ONZEKER",IF(OR($EL76="",$EM76=""),"ONZEKER",IF(AND($EO76=$EL76+1,$EP76=$EM76),IF(OR(COUNTIF(#REF!,$B76)&gt;0,COUNTIF(#REF!,$B76)=0),"SKIP",IF(COUNTIFS(#REF!,$B76,#REF!,$DA76)&gt;0,"OK","ONBEKEND")),IF(AND($EO76=$EL76,$EP76=$EM76+1),IF(OR(COUNTIF(#REF!,$D76)&gt;0,COUNTIF(#REF!,$D76)=0),"SKIP",IF(COUNTIFS(#REF!,$D76,#REF!,$DA76)&gt;0,"OK","ONBEKEND")),"ONZEKER")))))</f>
        <v/>
      </c>
      <c r="DC76" t="str">
        <f t="shared" si="566"/>
        <v/>
      </c>
      <c r="DD76" t="str">
        <f t="shared" si="567"/>
        <v/>
      </c>
      <c r="DE76" t="str">
        <f>IF($DD76="","",IF(OR($ER76="",$ES76=""),"ONZEKER",IF(OR($EO76="",$EP76=""),"ONZEKER",IF(AND($ER76=$EO76+1,$ES76=$EP76),IF(OR(COUNTIF(#REF!,$B76)&gt;0,COUNTIF(#REF!,$B76)=0),"SKIP",IF(COUNTIFS(#REF!,$B76,#REF!,$DD76)&gt;0,"OK","ONBEKEND")),IF(AND($ER76=$EO76,$ES76=$EP76+1),IF(OR(COUNTIF(#REF!,$D76)&gt;0,COUNTIF(#REF!,$D76)=0),"SKIP",IF(COUNTIFS(#REF!,$D76,#REF!,$DD76)&gt;0,"OK","ONBEKEND")),"ONZEKER")))))</f>
        <v/>
      </c>
      <c r="DF76" t="str">
        <f t="shared" si="568"/>
        <v/>
      </c>
      <c r="DG76" t="str">
        <f t="shared" si="569"/>
        <v/>
      </c>
      <c r="DH76" t="str">
        <f>IF($DG76="","",IF(OR($EU76="",$EV76=""),"ONZEKER",IF(OR($ER76="",$ES76=""),"ONZEKER",IF(AND($EU76=$ER76+1,$EV76=$ES76),IF(OR(COUNTIF(#REF!,$B76)&gt;0,COUNTIF(#REF!,$B76)=0),"SKIP",IF(COUNTIFS(#REF!,$B76,#REF!,$DG76)&gt;0,"OK","ONBEKEND")),IF(AND($EU76=$ER76,$EV76=$ES76+1),IF(OR(COUNTIF(#REF!,$D76)&gt;0,COUNTIF(#REF!,$D76)=0),"SKIP",IF(COUNTIFS(#REF!,$D76,#REF!,$DG76)&gt;0,"OK","ONBEKEND")),"ONZEKER")))))</f>
        <v/>
      </c>
      <c r="DI76" t="str">
        <f t="shared" si="570"/>
        <v/>
      </c>
      <c r="DJ76" t="str">
        <f t="shared" si="571"/>
        <v/>
      </c>
      <c r="DK76" t="str">
        <f>IF($DJ76="","",IF(OR($EX76="",$EY76=""),"ONZEKER",IF(OR($EU76="",$EV76=""),"ONZEKER",IF(AND($EX76=$EU76+1,$EY76=$EV76),IF(OR(COUNTIF(#REF!,$B76)&gt;0,COUNTIF(#REF!,$B76)=0),"SKIP",IF(COUNTIFS(#REF!,$B76,#REF!,$DJ76)&gt;0,"OK","ONBEKEND")),IF(AND($EX76=$EU76,$EY76=$EV76+1),IF(OR(COUNTIF(#REF!,$D76)&gt;0,COUNTIF(#REF!,$D76)=0),"SKIP",IF(COUNTIFS(#REF!,$D76,#REF!,$DJ76)&gt;0,"OK","ONBEKEND")),"ONZEKER")))))</f>
        <v/>
      </c>
      <c r="DL76" t="str">
        <f t="shared" si="572"/>
        <v/>
      </c>
      <c r="DM76" t="str">
        <f t="shared" si="573"/>
        <v/>
      </c>
      <c r="DN76" t="str">
        <f t="shared" si="574"/>
        <v/>
      </c>
      <c r="DO76" t="str">
        <f t="shared" si="575"/>
        <v/>
      </c>
      <c r="DP76" t="str">
        <f t="shared" si="576"/>
        <v/>
      </c>
      <c r="DQ76" t="str">
        <f t="shared" si="577"/>
        <v/>
      </c>
      <c r="DR76" t="str">
        <f t="shared" si="578"/>
        <v/>
      </c>
      <c r="DS76" t="str">
        <f t="shared" si="579"/>
        <v/>
      </c>
      <c r="DT76" t="str">
        <f t="shared" si="580"/>
        <v/>
      </c>
      <c r="DU76" t="str">
        <f t="shared" si="581"/>
        <v/>
      </c>
      <c r="DV76" t="str">
        <f t="shared" si="582"/>
        <v/>
      </c>
      <c r="DW76" t="str">
        <f t="shared" si="583"/>
        <v/>
      </c>
      <c r="DX76" t="str">
        <f t="shared" si="584"/>
        <v/>
      </c>
      <c r="DY76" t="str">
        <f t="shared" si="585"/>
        <v/>
      </c>
      <c r="DZ76" t="str">
        <f t="shared" si="586"/>
        <v/>
      </c>
      <c r="EA76" t="str">
        <f t="shared" si="587"/>
        <v/>
      </c>
      <c r="EB76" t="str">
        <f t="shared" si="588"/>
        <v/>
      </c>
      <c r="EC76" t="str">
        <f t="shared" si="589"/>
        <v/>
      </c>
      <c r="ED76" t="str">
        <f t="shared" si="590"/>
        <v/>
      </c>
      <c r="EE76" t="str">
        <f t="shared" si="591"/>
        <v/>
      </c>
      <c r="EF76" t="str">
        <f t="shared" si="592"/>
        <v/>
      </c>
      <c r="EG76" t="str">
        <f t="shared" si="593"/>
        <v/>
      </c>
      <c r="EH76" t="str">
        <f t="shared" si="594"/>
        <v/>
      </c>
      <c r="EI76" t="str">
        <f t="shared" si="595"/>
        <v/>
      </c>
      <c r="EJ76" t="str">
        <f t="shared" si="596"/>
        <v/>
      </c>
      <c r="EK76" t="str">
        <f t="shared" si="597"/>
        <v/>
      </c>
      <c r="EL76" t="str">
        <f t="shared" si="598"/>
        <v/>
      </c>
      <c r="EM76" t="str">
        <f t="shared" si="599"/>
        <v/>
      </c>
      <c r="EN76" t="str">
        <f t="shared" si="600"/>
        <v/>
      </c>
      <c r="EO76" t="str">
        <f t="shared" si="601"/>
        <v/>
      </c>
      <c r="EP76" t="str">
        <f t="shared" si="602"/>
        <v/>
      </c>
      <c r="EQ76" t="str">
        <f t="shared" si="603"/>
        <v/>
      </c>
      <c r="ER76" t="str">
        <f t="shared" si="604"/>
        <v/>
      </c>
      <c r="ES76" t="str">
        <f t="shared" si="605"/>
        <v/>
      </c>
      <c r="ET76" t="str">
        <f t="shared" si="606"/>
        <v/>
      </c>
      <c r="EU76" t="str">
        <f t="shared" si="607"/>
        <v/>
      </c>
      <c r="EV76" t="str">
        <f t="shared" si="608"/>
        <v/>
      </c>
      <c r="EW76" t="str">
        <f t="shared" si="609"/>
        <v/>
      </c>
      <c r="EX76" t="str">
        <f t="shared" si="610"/>
        <v/>
      </c>
      <c r="EY76" t="str">
        <f t="shared" si="611"/>
        <v/>
      </c>
    </row>
    <row r="77" spans="1:155" ht="13.9" customHeight="1" x14ac:dyDescent="0.25">
      <c r="M77" s="3" t="str">
        <f>IF($L77="","",IF($L77="DOELPUNTENMAKERS","",IF(AND(COUNTIF(#REF!,$B77)=0,COUNTIF(#REF!,$D77)=0),"OK",IF($O77&gt;20,"LET OP: meer dan 20 items (controle onvolledig)",IF((COUNTIF($R77:$AS77,"ONZEKER")+COUNTIF($CJ77:$DK77,"ONZEKER"))&gt;0,"LET OP: scoreverloop onduidelijk (controle beperkt)",IF((IF($AT77&lt;&gt;"",$AT77&amp;", ","")&amp;IF($AU77&lt;&gt;"",$AU77&amp;", ","")&amp;IF($AV77&lt;&gt;"",$AV77&amp;", ","")&amp;IF($AW77&lt;&gt;"",$AW77&amp;", ","")&amp;IF($AX77&lt;&gt;"",$AX77&amp;", ","")&amp;IF($AY77&lt;&gt;"",$AY77&amp;", ","")&amp;IF($AZ77&lt;&gt;"",$AZ77&amp;", ","")&amp;IF($BA77&lt;&gt;"",$BA77&amp;", ","")&amp;IF($BB77&lt;&gt;"",$BB77&amp;", ","")&amp;IF($BC77&lt;&gt;"",$BC77&amp;", ","")&amp;IF($DL77&lt;&gt;"",$DL77&amp;", ","")&amp;IF($DM77&lt;&gt;"",$DM77&amp;", ","")&amp;IF($DN77&lt;&gt;"",$DN77&amp;", ","")&amp;IF($DO77&lt;&gt;"",$DO77&amp;", ","")&amp;IF($DP77&lt;&gt;"",$DP77&amp;", ","")&amp;IF($DQ77&lt;&gt;"",$DQ77&amp;", ","")&amp;IF($DR77&lt;&gt;"",$DR77&amp;", ","")&amp;IF($DS77&lt;&gt;"",$DS77&amp;", ","")&amp;IF($DT77&lt;&gt;"",$DT77&amp;", ","")&amp;IF($DU77&lt;&gt;"",$DU77&amp;", ",""))="","OK","Onbekend: "&amp;LEFT((IF($AT77&lt;&gt;"",$AT77&amp;", ","")&amp;IF($AU77&lt;&gt;"",$AU77&amp;", ","")&amp;IF($AV77&lt;&gt;"",$AV77&amp;", ","")&amp;IF($AW77&lt;&gt;"",$AW77&amp;", ","")&amp;IF($AX77&lt;&gt;"",$AX77&amp;", ","")&amp;IF($AY77&lt;&gt;"",$AY77&amp;", ","")&amp;IF($AZ77&lt;&gt;"",$AZ77&amp;", ","")&amp;IF($BA77&lt;&gt;"",$BA77&amp;", ","")&amp;IF($BB77&lt;&gt;"",$BB77&amp;", ","")&amp;IF($BC77&lt;&gt;"",$BC77&amp;", ","")&amp;IF($DL77&lt;&gt;"",$DL77&amp;", ","")&amp;IF($DM77&lt;&gt;"",$DM77&amp;", ","")&amp;IF($DN77&lt;&gt;"",$DN77&amp;", ","")&amp;IF($DO77&lt;&gt;"",$DO77&amp;", ","")&amp;IF($DP77&lt;&gt;"",$DP77&amp;", ","")&amp;IF($DQ77&lt;&gt;"",$DQ77&amp;", ","")&amp;IF($DR77&lt;&gt;"",$DR77&amp;", ","")&amp;IF($DS77&lt;&gt;"",$DS77&amp;", ","")&amp;IF($DT77&lt;&gt;"",$DT77&amp;", ","")&amp;IF($DU77&lt;&gt;"",$DU77&amp;", ","")),LEN((IF($AT77&lt;&gt;"",$AT77&amp;", ","")&amp;IF($AU77&lt;&gt;"",$AU77&amp;", ","")&amp;IF($AV77&lt;&gt;"",$AV77&amp;", ","")&amp;IF($AW77&lt;&gt;"",$AW77&amp;", ","")&amp;IF($AX77&lt;&gt;"",$AX77&amp;", ","")&amp;IF($AY77&lt;&gt;"",$AY77&amp;", ","")&amp;IF($AZ77&lt;&gt;"",$AZ77&amp;", ","")&amp;IF($BA77&lt;&gt;"",$BA77&amp;", ","")&amp;IF($BB77&lt;&gt;"",$BB77&amp;", ","")&amp;IF($BC77&lt;&gt;"",$BC77&amp;", ","")&amp;IF($DL77&lt;&gt;"",$DL77&amp;", ","")&amp;IF($DM77&lt;&gt;"",$DM77&amp;", ","")&amp;IF($DN77&lt;&gt;"",$DN77&amp;", ","")&amp;IF($DO77&lt;&gt;"",$DO77&amp;", ","")&amp;IF($DP77&lt;&gt;"",$DP77&amp;", ","")&amp;IF($DQ77&lt;&gt;"",$DQ77&amp;", ","")&amp;IF($DR77&lt;&gt;"",$DR77&amp;", ","")&amp;IF($DS77&lt;&gt;"",$DS77&amp;", ","")&amp;IF($DT77&lt;&gt;"",$DT77&amp;", ","")&amp;IF($DU77&lt;&gt;"",$DU77&amp;", ","")))-2)))))))</f>
        <v/>
      </c>
      <c r="N77" t="str">
        <f t="shared" si="520"/>
        <v/>
      </c>
      <c r="O77" t="str">
        <f t="shared" si="521"/>
        <v/>
      </c>
      <c r="P77" t="str">
        <f t="shared" si="522"/>
        <v/>
      </c>
      <c r="Q77" t="str">
        <f t="shared" si="523"/>
        <v/>
      </c>
      <c r="R77" t="str">
        <f>IF($Q77="","",IF(OR($BE77="",$BF77=""),"ONZEKER",IF(AND($BE77=0+1,$BF77=0),IF(OR(COUNTIF(#REF!,$B77)&gt;0,COUNTIF(#REF!,$B77)=0),"SKIP",IF(COUNTIFS(#REF!,$B77,#REF!,$Q77)&gt;0,"OK","ONBEKEND")),IF(AND($BE77=0,$BF77=0+1),IF(OR(COUNTIF(#REF!,$D77)&gt;0,COUNTIF(#REF!,$D77)=0),"SKIP",IF(COUNTIFS(#REF!,$D77,#REF!,$Q77)&gt;0,"OK","ONBEKEND")),"ONZEKER"))))</f>
        <v/>
      </c>
      <c r="S77" t="str">
        <f t="shared" si="524"/>
        <v/>
      </c>
      <c r="T77" t="str">
        <f t="shared" si="525"/>
        <v/>
      </c>
      <c r="U77" t="str">
        <f>IF($T77="","",IF(OR($BH77="",$BI77=""),"ONZEKER",IF(OR($BE77="",$BF77=""),"ONZEKER",IF(AND($BH77=$BE77+1,$BI77=$BF77),IF(OR(COUNTIF(#REF!,$B77)&gt;0,COUNTIF(#REF!,$B77)=0),"SKIP",IF(COUNTIFS(#REF!,$B77,#REF!,$T77)&gt;0,"OK","ONBEKEND")),IF(AND($BH77=$BE77,$BI77=$BF77+1),IF(OR(COUNTIF(#REF!,$D77)&gt;0,COUNTIF(#REF!,$D77)=0),"SKIP",IF(COUNTIFS(#REF!,$D77,#REF!,$T77)&gt;0,"OK","ONBEKEND")),"ONZEKER")))))</f>
        <v/>
      </c>
      <c r="V77" t="str">
        <f t="shared" si="526"/>
        <v/>
      </c>
      <c r="W77" t="str">
        <f t="shared" si="527"/>
        <v/>
      </c>
      <c r="X77" t="str">
        <f>IF($W77="","",IF(OR($BK77="",$BL77=""),"ONZEKER",IF(OR($BH77="",$BI77=""),"ONZEKER",IF(AND($BK77=$BH77+1,$BL77=$BI77),IF(OR(COUNTIF(#REF!,$B77)&gt;0,COUNTIF(#REF!,$B77)=0),"SKIP",IF(COUNTIFS(#REF!,$B77,#REF!,$W77)&gt;0,"OK","ONBEKEND")),IF(AND($BK77=$BH77,$BL77=$BI77+1),IF(OR(COUNTIF(#REF!,$D77)&gt;0,COUNTIF(#REF!,$D77)=0),"SKIP",IF(COUNTIFS(#REF!,$D77,#REF!,$W77)&gt;0,"OK","ONBEKEND")),"ONZEKER")))))</f>
        <v/>
      </c>
      <c r="Y77" t="str">
        <f t="shared" si="528"/>
        <v/>
      </c>
      <c r="Z77" t="str">
        <f t="shared" si="529"/>
        <v/>
      </c>
      <c r="AA77" t="str">
        <f>IF($Z77="","",IF(OR($BN77="",$BO77=""),"ONZEKER",IF(OR($BK77="",$BL77=""),"ONZEKER",IF(AND($BN77=$BK77+1,$BO77=$BL77),IF(OR(COUNTIF(#REF!,$B77)&gt;0,COUNTIF(#REF!,$B77)=0),"SKIP",IF(COUNTIFS(#REF!,$B77,#REF!,$Z77)&gt;0,"OK","ONBEKEND")),IF(AND($BN77=$BK77,$BO77=$BL77+1),IF(OR(COUNTIF(#REF!,$D77)&gt;0,COUNTIF(#REF!,$D77)=0),"SKIP",IF(COUNTIFS(#REF!,$D77,#REF!,$Z77)&gt;0,"OK","ONBEKEND")),"ONZEKER")))))</f>
        <v/>
      </c>
      <c r="AB77" t="str">
        <f t="shared" si="530"/>
        <v/>
      </c>
      <c r="AC77" t="str">
        <f t="shared" si="531"/>
        <v/>
      </c>
      <c r="AD77" t="str">
        <f>IF($AC77="","",IF(OR($BQ77="",$BR77=""),"ONZEKER",IF(OR($BN77="",$BO77=""),"ONZEKER",IF(AND($BQ77=$BN77+1,$BR77=$BO77),IF(OR(COUNTIF(#REF!,$B77)&gt;0,COUNTIF(#REF!,$B77)=0),"SKIP",IF(COUNTIFS(#REF!,$B77,#REF!,$AC77)&gt;0,"OK","ONBEKEND")),IF(AND($BQ77=$BN77,$BR77=$BO77+1),IF(OR(COUNTIF(#REF!,$D77)&gt;0,COUNTIF(#REF!,$D77)=0),"SKIP",IF(COUNTIFS(#REF!,$D77,#REF!,$AC77)&gt;0,"OK","ONBEKEND")),"ONZEKER")))))</f>
        <v/>
      </c>
      <c r="AE77" t="str">
        <f t="shared" si="532"/>
        <v/>
      </c>
      <c r="AF77" t="str">
        <f t="shared" si="533"/>
        <v/>
      </c>
      <c r="AG77" t="str">
        <f>IF($AF77="","",IF(OR($BT77="",$BU77=""),"ONZEKER",IF(OR($BQ77="",$BR77=""),"ONZEKER",IF(AND($BT77=$BQ77+1,$BU77=$BR77),IF(OR(COUNTIF(#REF!,$B77)&gt;0,COUNTIF(#REF!,$B77)=0),"SKIP",IF(COUNTIFS(#REF!,$B77,#REF!,$AF77)&gt;0,"OK","ONBEKEND")),IF(AND($BT77=$BQ77,$BU77=$BR77+1),IF(OR(COUNTIF(#REF!,$D77)&gt;0,COUNTIF(#REF!,$D77)=0),"SKIP",IF(COUNTIFS(#REF!,$D77,#REF!,$AF77)&gt;0,"OK","ONBEKEND")),"ONZEKER")))))</f>
        <v/>
      </c>
      <c r="AH77" t="str">
        <f t="shared" si="534"/>
        <v/>
      </c>
      <c r="AI77" t="str">
        <f t="shared" si="535"/>
        <v/>
      </c>
      <c r="AJ77" t="str">
        <f>IF($AI77="","",IF(OR($BW77="",$BX77=""),"ONZEKER",IF(OR($BT77="",$BU77=""),"ONZEKER",IF(AND($BW77=$BT77+1,$BX77=$BU77),IF(OR(COUNTIF(#REF!,$B77)&gt;0,COUNTIF(#REF!,$B77)=0),"SKIP",IF(COUNTIFS(#REF!,$B77,#REF!,$AI77)&gt;0,"OK","ONBEKEND")),IF(AND($BW77=$BT77,$BX77=$BU77+1),IF(OR(COUNTIF(#REF!,$D77)&gt;0,COUNTIF(#REF!,$D77)=0),"SKIP",IF(COUNTIFS(#REF!,$D77,#REF!,$AI77)&gt;0,"OK","ONBEKEND")),"ONZEKER")))))</f>
        <v/>
      </c>
      <c r="AK77" t="str">
        <f t="shared" si="536"/>
        <v/>
      </c>
      <c r="AL77" t="str">
        <f t="shared" si="537"/>
        <v/>
      </c>
      <c r="AM77" t="str">
        <f>IF($AL77="","",IF(OR($BZ77="",$CA77=""),"ONZEKER",IF(OR($BW77="",$BX77=""),"ONZEKER",IF(AND($BZ77=$BW77+1,$CA77=$BX77),IF(OR(COUNTIF(#REF!,$B77)&gt;0,COUNTIF(#REF!,$B77)=0),"SKIP",IF(COUNTIFS(#REF!,$B77,#REF!,$AL77)&gt;0,"OK","ONBEKEND")),IF(AND($BZ77=$BW77,$CA77=$BX77+1),IF(OR(COUNTIF(#REF!,$D77)&gt;0,COUNTIF(#REF!,$D77)=0),"SKIP",IF(COUNTIFS(#REF!,$D77,#REF!,$AL77)&gt;0,"OK","ONBEKEND")),"ONZEKER")))))</f>
        <v/>
      </c>
      <c r="AN77" t="str">
        <f t="shared" si="538"/>
        <v/>
      </c>
      <c r="AO77" t="str">
        <f t="shared" si="539"/>
        <v/>
      </c>
      <c r="AP77" t="str">
        <f>IF($AO77="","",IF(OR($CC77="",$CD77=""),"ONZEKER",IF(OR($BZ77="",$CA77=""),"ONZEKER",IF(AND($CC77=$BZ77+1,$CD77=$CA77),IF(OR(COUNTIF(#REF!,$B77)&gt;0,COUNTIF(#REF!,$B77)=0),"SKIP",IF(COUNTIFS(#REF!,$B77,#REF!,$AO77)&gt;0,"OK","ONBEKEND")),IF(AND($CC77=$BZ77,$CD77=$CA77+1),IF(OR(COUNTIF(#REF!,$D77)&gt;0,COUNTIF(#REF!,$D77)=0),"SKIP",IF(COUNTIFS(#REF!,$D77,#REF!,$AO77)&gt;0,"OK","ONBEKEND")),"ONZEKER")))))</f>
        <v/>
      </c>
      <c r="AQ77" t="str">
        <f t="shared" si="540"/>
        <v/>
      </c>
      <c r="AR77" t="str">
        <f t="shared" si="541"/>
        <v/>
      </c>
      <c r="AS77" t="str">
        <f>IF($AR77="","",IF(OR($CF77="",$CG77=""),"ONZEKER",IF(OR($CC77="",$CD77=""),"ONZEKER",IF(AND($CF77=$CC77+1,$CG77=$CD77),IF(OR(COUNTIF(#REF!,$B77)&gt;0,COUNTIF(#REF!,$B77)=0),"SKIP",IF(COUNTIFS(#REF!,$B77,#REF!,$AR77)&gt;0,"OK","ONBEKEND")),IF(AND($CF77=$CC77,$CG77=$CD77+1),IF(OR(COUNTIF(#REF!,$D77)&gt;0,COUNTIF(#REF!,$D77)=0),"SKIP",IF(COUNTIFS(#REF!,$D77,#REF!,$AR77)&gt;0,"OK","ONBEKEND")),"ONZEKER")))))</f>
        <v/>
      </c>
      <c r="AT77" t="str">
        <f t="shared" si="542"/>
        <v/>
      </c>
      <c r="AU77" t="str">
        <f t="shared" si="543"/>
        <v/>
      </c>
      <c r="AV77" t="str">
        <f t="shared" si="544"/>
        <v/>
      </c>
      <c r="AW77" t="str">
        <f t="shared" si="545"/>
        <v/>
      </c>
      <c r="AX77" t="str">
        <f t="shared" si="546"/>
        <v/>
      </c>
      <c r="AY77" t="str">
        <f t="shared" si="547"/>
        <v/>
      </c>
      <c r="AZ77" t="str">
        <f t="shared" si="548"/>
        <v/>
      </c>
      <c r="BA77" t="str">
        <f t="shared" si="549"/>
        <v/>
      </c>
      <c r="BB77" t="str">
        <f t="shared" si="550"/>
        <v/>
      </c>
      <c r="BC77" t="str">
        <f t="shared" si="551"/>
        <v/>
      </c>
      <c r="BD77" t="str">
        <f t="shared" si="490"/>
        <v/>
      </c>
      <c r="BE77" t="str">
        <f t="shared" si="491"/>
        <v/>
      </c>
      <c r="BF77" t="str">
        <f t="shared" si="492"/>
        <v/>
      </c>
      <c r="BG77" t="str">
        <f t="shared" si="493"/>
        <v/>
      </c>
      <c r="BH77" t="str">
        <f t="shared" si="494"/>
        <v/>
      </c>
      <c r="BI77" t="str">
        <f t="shared" si="495"/>
        <v/>
      </c>
      <c r="BJ77" t="str">
        <f t="shared" si="496"/>
        <v/>
      </c>
      <c r="BK77" t="str">
        <f t="shared" si="497"/>
        <v/>
      </c>
      <c r="BL77" t="str">
        <f t="shared" si="498"/>
        <v/>
      </c>
      <c r="BM77" t="str">
        <f t="shared" si="499"/>
        <v/>
      </c>
      <c r="BN77" t="str">
        <f t="shared" si="500"/>
        <v/>
      </c>
      <c r="BO77" t="str">
        <f t="shared" si="501"/>
        <v/>
      </c>
      <c r="BP77" t="str">
        <f t="shared" si="502"/>
        <v/>
      </c>
      <c r="BQ77" t="str">
        <f t="shared" si="503"/>
        <v/>
      </c>
      <c r="BR77" t="str">
        <f t="shared" si="504"/>
        <v/>
      </c>
      <c r="BS77" t="str">
        <f t="shared" si="505"/>
        <v/>
      </c>
      <c r="BT77" t="str">
        <f t="shared" si="506"/>
        <v/>
      </c>
      <c r="BU77" t="str">
        <f t="shared" si="507"/>
        <v/>
      </c>
      <c r="BV77" t="str">
        <f t="shared" si="508"/>
        <v/>
      </c>
      <c r="BW77" t="str">
        <f t="shared" si="509"/>
        <v/>
      </c>
      <c r="BX77" t="str">
        <f t="shared" si="510"/>
        <v/>
      </c>
      <c r="BY77" t="str">
        <f t="shared" si="511"/>
        <v/>
      </c>
      <c r="BZ77" t="str">
        <f t="shared" si="512"/>
        <v/>
      </c>
      <c r="CA77" t="str">
        <f t="shared" si="513"/>
        <v/>
      </c>
      <c r="CB77" t="str">
        <f t="shared" si="514"/>
        <v/>
      </c>
      <c r="CC77" t="str">
        <f t="shared" si="515"/>
        <v/>
      </c>
      <c r="CD77" t="str">
        <f t="shared" si="516"/>
        <v/>
      </c>
      <c r="CE77" t="str">
        <f t="shared" si="517"/>
        <v/>
      </c>
      <c r="CF77" t="str">
        <f t="shared" si="518"/>
        <v/>
      </c>
      <c r="CG77" t="str">
        <f t="shared" si="519"/>
        <v/>
      </c>
      <c r="CH77" t="str">
        <f t="shared" si="552"/>
        <v/>
      </c>
      <c r="CI77" t="str">
        <f t="shared" si="553"/>
        <v/>
      </c>
      <c r="CJ77" t="str">
        <f>IF($CI77="","",IF(OR($DW77="",$DX77=""),"ONZEKER",IF(OR($CF77="",$CG77=""),"ONZEKER",IF(AND($DW77=$CF77+1,$DX77=$CG77),IF(OR(COUNTIF(#REF!,$B77)&gt;0,COUNTIF(#REF!,$B77)=0),"SKIP",IF(COUNTIFS(#REF!,$B77,#REF!,$CI77)&gt;0,"OK","ONBEKEND")),IF(AND($DW77=$CF77,$DX77=$CG77+1),IF(OR(COUNTIF(#REF!,$D77)&gt;0,COUNTIF(#REF!,$D77)=0),"SKIP",IF(COUNTIFS(#REF!,$D77,#REF!,$CI77)&gt;0,"OK","ONBEKEND")),"ONZEKER")))))</f>
        <v/>
      </c>
      <c r="CK77" t="str">
        <f t="shared" si="554"/>
        <v/>
      </c>
      <c r="CL77" t="str">
        <f t="shared" si="555"/>
        <v/>
      </c>
      <c r="CM77" t="str">
        <f>IF($CL77="","",IF(OR($DZ77="",$EA77=""),"ONZEKER",IF(OR($DW77="",$DX77=""),"ONZEKER",IF(AND($DZ77=$DW77+1,$EA77=$DX77),IF(OR(COUNTIF(#REF!,$B77)&gt;0,COUNTIF(#REF!,$B77)=0),"SKIP",IF(COUNTIFS(#REF!,$B77,#REF!,$CL77)&gt;0,"OK","ONBEKEND")),IF(AND($DZ77=$DW77,$EA77=$DX77+1),IF(OR(COUNTIF(#REF!,$D77)&gt;0,COUNTIF(#REF!,$D77)=0),"SKIP",IF(COUNTIFS(#REF!,$D77,#REF!,$CL77)&gt;0,"OK","ONBEKEND")),"ONZEKER")))))</f>
        <v/>
      </c>
      <c r="CN77" t="str">
        <f t="shared" si="556"/>
        <v/>
      </c>
      <c r="CO77" t="str">
        <f t="shared" si="557"/>
        <v/>
      </c>
      <c r="CP77" t="str">
        <f>IF($CO77="","",IF(OR($EC77="",$ED77=""),"ONZEKER",IF(OR($DZ77="",$EA77=""),"ONZEKER",IF(AND($EC77=$DZ77+1,$ED77=$EA77),IF(OR(COUNTIF(#REF!,$B77)&gt;0,COUNTIF(#REF!,$B77)=0),"SKIP",IF(COUNTIFS(#REF!,$B77,#REF!,$CO77)&gt;0,"OK","ONBEKEND")),IF(AND($EC77=$DZ77,$ED77=$EA77+1),IF(OR(COUNTIF(#REF!,$D77)&gt;0,COUNTIF(#REF!,$D77)=0),"SKIP",IF(COUNTIFS(#REF!,$D77,#REF!,$CO77)&gt;0,"OK","ONBEKEND")),"ONZEKER")))))</f>
        <v/>
      </c>
      <c r="CQ77" t="str">
        <f t="shared" si="558"/>
        <v/>
      </c>
      <c r="CR77" t="str">
        <f t="shared" si="559"/>
        <v/>
      </c>
      <c r="CS77" t="str">
        <f>IF($CR77="","",IF(OR($EF77="",$EG77=""),"ONZEKER",IF(OR($EC77="",$ED77=""),"ONZEKER",IF(AND($EF77=$EC77+1,$EG77=$ED77),IF(OR(COUNTIF(#REF!,$B77)&gt;0,COUNTIF(#REF!,$B77)=0),"SKIP",IF(COUNTIFS(#REF!,$B77,#REF!,$CR77)&gt;0,"OK","ONBEKEND")),IF(AND($EF77=$EC77,$EG77=$ED77+1),IF(OR(COUNTIF(#REF!,$D77)&gt;0,COUNTIF(#REF!,$D77)=0),"SKIP",IF(COUNTIFS(#REF!,$D77,#REF!,$CR77)&gt;0,"OK","ONBEKEND")),"ONZEKER")))))</f>
        <v/>
      </c>
      <c r="CT77" t="str">
        <f t="shared" si="560"/>
        <v/>
      </c>
      <c r="CU77" t="str">
        <f t="shared" si="561"/>
        <v/>
      </c>
      <c r="CV77" t="str">
        <f>IF($CU77="","",IF(OR($EI77="",$EJ77=""),"ONZEKER",IF(OR($EF77="",$EG77=""),"ONZEKER",IF(AND($EI77=$EF77+1,$EJ77=$EG77),IF(OR(COUNTIF(#REF!,$B77)&gt;0,COUNTIF(#REF!,$B77)=0),"SKIP",IF(COUNTIFS(#REF!,$B77,#REF!,$CU77)&gt;0,"OK","ONBEKEND")),IF(AND($EI77=$EF77,$EJ77=$EG77+1),IF(OR(COUNTIF(#REF!,$D77)&gt;0,COUNTIF(#REF!,$D77)=0),"SKIP",IF(COUNTIFS(#REF!,$D77,#REF!,$CU77)&gt;0,"OK","ONBEKEND")),"ONZEKER")))))</f>
        <v/>
      </c>
      <c r="CW77" t="str">
        <f t="shared" si="562"/>
        <v/>
      </c>
      <c r="CX77" t="str">
        <f t="shared" si="563"/>
        <v/>
      </c>
      <c r="CY77" t="str">
        <f>IF($CX77="","",IF(OR($EL77="",$EM77=""),"ONZEKER",IF(OR($EI77="",$EJ77=""),"ONZEKER",IF(AND($EL77=$EI77+1,$EM77=$EJ77),IF(OR(COUNTIF(#REF!,$B77)&gt;0,COUNTIF(#REF!,$B77)=0),"SKIP",IF(COUNTIFS(#REF!,$B77,#REF!,$CX77)&gt;0,"OK","ONBEKEND")),IF(AND($EL77=$EI77,$EM77=$EJ77+1),IF(OR(COUNTIF(#REF!,$D77)&gt;0,COUNTIF(#REF!,$D77)=0),"SKIP",IF(COUNTIFS(#REF!,$D77,#REF!,$CX77)&gt;0,"OK","ONBEKEND")),"ONZEKER")))))</f>
        <v/>
      </c>
      <c r="CZ77" t="str">
        <f t="shared" si="564"/>
        <v/>
      </c>
      <c r="DA77" t="str">
        <f t="shared" si="565"/>
        <v/>
      </c>
      <c r="DB77" t="str">
        <f>IF($DA77="","",IF(OR($EO77="",$EP77=""),"ONZEKER",IF(OR($EL77="",$EM77=""),"ONZEKER",IF(AND($EO77=$EL77+1,$EP77=$EM77),IF(OR(COUNTIF(#REF!,$B77)&gt;0,COUNTIF(#REF!,$B77)=0),"SKIP",IF(COUNTIFS(#REF!,$B77,#REF!,$DA77)&gt;0,"OK","ONBEKEND")),IF(AND($EO77=$EL77,$EP77=$EM77+1),IF(OR(COUNTIF(#REF!,$D77)&gt;0,COUNTIF(#REF!,$D77)=0),"SKIP",IF(COUNTIFS(#REF!,$D77,#REF!,$DA77)&gt;0,"OK","ONBEKEND")),"ONZEKER")))))</f>
        <v/>
      </c>
      <c r="DC77" t="str">
        <f t="shared" si="566"/>
        <v/>
      </c>
      <c r="DD77" t="str">
        <f t="shared" si="567"/>
        <v/>
      </c>
      <c r="DE77" t="str">
        <f>IF($DD77="","",IF(OR($ER77="",$ES77=""),"ONZEKER",IF(OR($EO77="",$EP77=""),"ONZEKER",IF(AND($ER77=$EO77+1,$ES77=$EP77),IF(OR(COUNTIF(#REF!,$B77)&gt;0,COUNTIF(#REF!,$B77)=0),"SKIP",IF(COUNTIFS(#REF!,$B77,#REF!,$DD77)&gt;0,"OK","ONBEKEND")),IF(AND($ER77=$EO77,$ES77=$EP77+1),IF(OR(COUNTIF(#REF!,$D77)&gt;0,COUNTIF(#REF!,$D77)=0),"SKIP",IF(COUNTIFS(#REF!,$D77,#REF!,$DD77)&gt;0,"OK","ONBEKEND")),"ONZEKER")))))</f>
        <v/>
      </c>
      <c r="DF77" t="str">
        <f t="shared" si="568"/>
        <v/>
      </c>
      <c r="DG77" t="str">
        <f t="shared" si="569"/>
        <v/>
      </c>
      <c r="DH77" t="str">
        <f>IF($DG77="","",IF(OR($EU77="",$EV77=""),"ONZEKER",IF(OR($ER77="",$ES77=""),"ONZEKER",IF(AND($EU77=$ER77+1,$EV77=$ES77),IF(OR(COUNTIF(#REF!,$B77)&gt;0,COUNTIF(#REF!,$B77)=0),"SKIP",IF(COUNTIFS(#REF!,$B77,#REF!,$DG77)&gt;0,"OK","ONBEKEND")),IF(AND($EU77=$ER77,$EV77=$ES77+1),IF(OR(COUNTIF(#REF!,$D77)&gt;0,COUNTIF(#REF!,$D77)=0),"SKIP",IF(COUNTIFS(#REF!,$D77,#REF!,$DG77)&gt;0,"OK","ONBEKEND")),"ONZEKER")))))</f>
        <v/>
      </c>
      <c r="DI77" t="str">
        <f t="shared" si="570"/>
        <v/>
      </c>
      <c r="DJ77" t="str">
        <f t="shared" si="571"/>
        <v/>
      </c>
      <c r="DK77" t="str">
        <f>IF($DJ77="","",IF(OR($EX77="",$EY77=""),"ONZEKER",IF(OR($EU77="",$EV77=""),"ONZEKER",IF(AND($EX77=$EU77+1,$EY77=$EV77),IF(OR(COUNTIF(#REF!,$B77)&gt;0,COUNTIF(#REF!,$B77)=0),"SKIP",IF(COUNTIFS(#REF!,$B77,#REF!,$DJ77)&gt;0,"OK","ONBEKEND")),IF(AND($EX77=$EU77,$EY77=$EV77+1),IF(OR(COUNTIF(#REF!,$D77)&gt;0,COUNTIF(#REF!,$D77)=0),"SKIP",IF(COUNTIFS(#REF!,$D77,#REF!,$DJ77)&gt;0,"OK","ONBEKEND")),"ONZEKER")))))</f>
        <v/>
      </c>
      <c r="DL77" t="str">
        <f t="shared" si="572"/>
        <v/>
      </c>
      <c r="DM77" t="str">
        <f t="shared" si="573"/>
        <v/>
      </c>
      <c r="DN77" t="str">
        <f t="shared" si="574"/>
        <v/>
      </c>
      <c r="DO77" t="str">
        <f t="shared" si="575"/>
        <v/>
      </c>
      <c r="DP77" t="str">
        <f t="shared" si="576"/>
        <v/>
      </c>
      <c r="DQ77" t="str">
        <f t="shared" si="577"/>
        <v/>
      </c>
      <c r="DR77" t="str">
        <f t="shared" si="578"/>
        <v/>
      </c>
      <c r="DS77" t="str">
        <f t="shared" si="579"/>
        <v/>
      </c>
      <c r="DT77" t="str">
        <f t="shared" si="580"/>
        <v/>
      </c>
      <c r="DU77" t="str">
        <f t="shared" si="581"/>
        <v/>
      </c>
      <c r="DV77" t="str">
        <f t="shared" si="582"/>
        <v/>
      </c>
      <c r="DW77" t="str">
        <f t="shared" si="583"/>
        <v/>
      </c>
      <c r="DX77" t="str">
        <f t="shared" si="584"/>
        <v/>
      </c>
      <c r="DY77" t="str">
        <f t="shared" si="585"/>
        <v/>
      </c>
      <c r="DZ77" t="str">
        <f t="shared" si="586"/>
        <v/>
      </c>
      <c r="EA77" t="str">
        <f t="shared" si="587"/>
        <v/>
      </c>
      <c r="EB77" t="str">
        <f t="shared" si="588"/>
        <v/>
      </c>
      <c r="EC77" t="str">
        <f t="shared" si="589"/>
        <v/>
      </c>
      <c r="ED77" t="str">
        <f t="shared" si="590"/>
        <v/>
      </c>
      <c r="EE77" t="str">
        <f t="shared" si="591"/>
        <v/>
      </c>
      <c r="EF77" t="str">
        <f t="shared" si="592"/>
        <v/>
      </c>
      <c r="EG77" t="str">
        <f t="shared" si="593"/>
        <v/>
      </c>
      <c r="EH77" t="str">
        <f t="shared" si="594"/>
        <v/>
      </c>
      <c r="EI77" t="str">
        <f t="shared" si="595"/>
        <v/>
      </c>
      <c r="EJ77" t="str">
        <f t="shared" si="596"/>
        <v/>
      </c>
      <c r="EK77" t="str">
        <f t="shared" si="597"/>
        <v/>
      </c>
      <c r="EL77" t="str">
        <f t="shared" si="598"/>
        <v/>
      </c>
      <c r="EM77" t="str">
        <f t="shared" si="599"/>
        <v/>
      </c>
      <c r="EN77" t="str">
        <f t="shared" si="600"/>
        <v/>
      </c>
      <c r="EO77" t="str">
        <f t="shared" si="601"/>
        <v/>
      </c>
      <c r="EP77" t="str">
        <f t="shared" si="602"/>
        <v/>
      </c>
      <c r="EQ77" t="str">
        <f t="shared" si="603"/>
        <v/>
      </c>
      <c r="ER77" t="str">
        <f t="shared" si="604"/>
        <v/>
      </c>
      <c r="ES77" t="str">
        <f t="shared" si="605"/>
        <v/>
      </c>
      <c r="ET77" t="str">
        <f t="shared" si="606"/>
        <v/>
      </c>
      <c r="EU77" t="str">
        <f t="shared" si="607"/>
        <v/>
      </c>
      <c r="EV77" t="str">
        <f t="shared" si="608"/>
        <v/>
      </c>
      <c r="EW77" t="str">
        <f t="shared" si="609"/>
        <v/>
      </c>
      <c r="EX77" t="str">
        <f t="shared" si="610"/>
        <v/>
      </c>
      <c r="EY77" t="str">
        <f t="shared" si="611"/>
        <v/>
      </c>
    </row>
    <row r="78" spans="1:155" ht="13.9" customHeight="1" x14ac:dyDescent="0.25">
      <c r="M78" s="3" t="str">
        <f>IF($L78="","",IF($L78="DOELPUNTENMAKERS","",IF(AND(COUNTIF(#REF!,$B78)=0,COUNTIF(#REF!,$D78)=0),"OK",IF($O78&gt;20,"LET OP: meer dan 20 items (controle onvolledig)",IF((COUNTIF($R78:$AS78,"ONZEKER")+COUNTIF($CJ78:$DK78,"ONZEKER"))&gt;0,"LET OP: scoreverloop onduidelijk (controle beperkt)",IF((IF($AT78&lt;&gt;"",$AT78&amp;", ","")&amp;IF($AU78&lt;&gt;"",$AU78&amp;", ","")&amp;IF($AV78&lt;&gt;"",$AV78&amp;", ","")&amp;IF($AW78&lt;&gt;"",$AW78&amp;", ","")&amp;IF($AX78&lt;&gt;"",$AX78&amp;", ","")&amp;IF($AY78&lt;&gt;"",$AY78&amp;", ","")&amp;IF($AZ78&lt;&gt;"",$AZ78&amp;", ","")&amp;IF($BA78&lt;&gt;"",$BA78&amp;", ","")&amp;IF($BB78&lt;&gt;"",$BB78&amp;", ","")&amp;IF($BC78&lt;&gt;"",$BC78&amp;", ","")&amp;IF($DL78&lt;&gt;"",$DL78&amp;", ","")&amp;IF($DM78&lt;&gt;"",$DM78&amp;", ","")&amp;IF($DN78&lt;&gt;"",$DN78&amp;", ","")&amp;IF($DO78&lt;&gt;"",$DO78&amp;", ","")&amp;IF($DP78&lt;&gt;"",$DP78&amp;", ","")&amp;IF($DQ78&lt;&gt;"",$DQ78&amp;", ","")&amp;IF($DR78&lt;&gt;"",$DR78&amp;", ","")&amp;IF($DS78&lt;&gt;"",$DS78&amp;", ","")&amp;IF($DT78&lt;&gt;"",$DT78&amp;", ","")&amp;IF($DU78&lt;&gt;"",$DU78&amp;", ",""))="","OK","Onbekend: "&amp;LEFT((IF($AT78&lt;&gt;"",$AT78&amp;", ","")&amp;IF($AU78&lt;&gt;"",$AU78&amp;", ","")&amp;IF($AV78&lt;&gt;"",$AV78&amp;", ","")&amp;IF($AW78&lt;&gt;"",$AW78&amp;", ","")&amp;IF($AX78&lt;&gt;"",$AX78&amp;", ","")&amp;IF($AY78&lt;&gt;"",$AY78&amp;", ","")&amp;IF($AZ78&lt;&gt;"",$AZ78&amp;", ","")&amp;IF($BA78&lt;&gt;"",$BA78&amp;", ","")&amp;IF($BB78&lt;&gt;"",$BB78&amp;", ","")&amp;IF($BC78&lt;&gt;"",$BC78&amp;", ","")&amp;IF($DL78&lt;&gt;"",$DL78&amp;", ","")&amp;IF($DM78&lt;&gt;"",$DM78&amp;", ","")&amp;IF($DN78&lt;&gt;"",$DN78&amp;", ","")&amp;IF($DO78&lt;&gt;"",$DO78&amp;", ","")&amp;IF($DP78&lt;&gt;"",$DP78&amp;", ","")&amp;IF($DQ78&lt;&gt;"",$DQ78&amp;", ","")&amp;IF($DR78&lt;&gt;"",$DR78&amp;", ","")&amp;IF($DS78&lt;&gt;"",$DS78&amp;", ","")&amp;IF($DT78&lt;&gt;"",$DT78&amp;", ","")&amp;IF($DU78&lt;&gt;"",$DU78&amp;", ","")),LEN((IF($AT78&lt;&gt;"",$AT78&amp;", ","")&amp;IF($AU78&lt;&gt;"",$AU78&amp;", ","")&amp;IF($AV78&lt;&gt;"",$AV78&amp;", ","")&amp;IF($AW78&lt;&gt;"",$AW78&amp;", ","")&amp;IF($AX78&lt;&gt;"",$AX78&amp;", ","")&amp;IF($AY78&lt;&gt;"",$AY78&amp;", ","")&amp;IF($AZ78&lt;&gt;"",$AZ78&amp;", ","")&amp;IF($BA78&lt;&gt;"",$BA78&amp;", ","")&amp;IF($BB78&lt;&gt;"",$BB78&amp;", ","")&amp;IF($BC78&lt;&gt;"",$BC78&amp;", ","")&amp;IF($DL78&lt;&gt;"",$DL78&amp;", ","")&amp;IF($DM78&lt;&gt;"",$DM78&amp;", ","")&amp;IF($DN78&lt;&gt;"",$DN78&amp;", ","")&amp;IF($DO78&lt;&gt;"",$DO78&amp;", ","")&amp;IF($DP78&lt;&gt;"",$DP78&amp;", ","")&amp;IF($DQ78&lt;&gt;"",$DQ78&amp;", ","")&amp;IF($DR78&lt;&gt;"",$DR78&amp;", ","")&amp;IF($DS78&lt;&gt;"",$DS78&amp;", ","")&amp;IF($DT78&lt;&gt;"",$DT78&amp;", ","")&amp;IF($DU78&lt;&gt;"",$DU78&amp;", ","")))-2)))))))</f>
        <v/>
      </c>
      <c r="N78" t="str">
        <f t="shared" si="520"/>
        <v/>
      </c>
      <c r="O78" t="str">
        <f t="shared" si="521"/>
        <v/>
      </c>
      <c r="P78" t="str">
        <f t="shared" si="522"/>
        <v/>
      </c>
      <c r="Q78" t="str">
        <f t="shared" si="523"/>
        <v/>
      </c>
      <c r="R78" t="str">
        <f>IF($Q78="","",IF(OR($BE78="",$BF78=""),"ONZEKER",IF(AND($BE78=0+1,$BF78=0),IF(OR(COUNTIF(#REF!,$B78)&gt;0,COUNTIF(#REF!,$B78)=0),"SKIP",IF(COUNTIFS(#REF!,$B78,#REF!,$Q78)&gt;0,"OK","ONBEKEND")),IF(AND($BE78=0,$BF78=0+1),IF(OR(COUNTIF(#REF!,$D78)&gt;0,COUNTIF(#REF!,$D78)=0),"SKIP",IF(COUNTIFS(#REF!,$D78,#REF!,$Q78)&gt;0,"OK","ONBEKEND")),"ONZEKER"))))</f>
        <v/>
      </c>
      <c r="S78" t="str">
        <f t="shared" si="524"/>
        <v/>
      </c>
      <c r="T78" t="str">
        <f t="shared" si="525"/>
        <v/>
      </c>
      <c r="U78" t="str">
        <f>IF($T78="","",IF(OR($BH78="",$BI78=""),"ONZEKER",IF(OR($BE78="",$BF78=""),"ONZEKER",IF(AND($BH78=$BE78+1,$BI78=$BF78),IF(OR(COUNTIF(#REF!,$B78)&gt;0,COUNTIF(#REF!,$B78)=0),"SKIP",IF(COUNTIFS(#REF!,$B78,#REF!,$T78)&gt;0,"OK","ONBEKEND")),IF(AND($BH78=$BE78,$BI78=$BF78+1),IF(OR(COUNTIF(#REF!,$D78)&gt;0,COUNTIF(#REF!,$D78)=0),"SKIP",IF(COUNTIFS(#REF!,$D78,#REF!,$T78)&gt;0,"OK","ONBEKEND")),"ONZEKER")))))</f>
        <v/>
      </c>
      <c r="V78" t="str">
        <f t="shared" si="526"/>
        <v/>
      </c>
      <c r="W78" t="str">
        <f t="shared" si="527"/>
        <v/>
      </c>
      <c r="X78" t="str">
        <f>IF($W78="","",IF(OR($BK78="",$BL78=""),"ONZEKER",IF(OR($BH78="",$BI78=""),"ONZEKER",IF(AND($BK78=$BH78+1,$BL78=$BI78),IF(OR(COUNTIF(#REF!,$B78)&gt;0,COUNTIF(#REF!,$B78)=0),"SKIP",IF(COUNTIFS(#REF!,$B78,#REF!,$W78)&gt;0,"OK","ONBEKEND")),IF(AND($BK78=$BH78,$BL78=$BI78+1),IF(OR(COUNTIF(#REF!,$D78)&gt;0,COUNTIF(#REF!,$D78)=0),"SKIP",IF(COUNTIFS(#REF!,$D78,#REF!,$W78)&gt;0,"OK","ONBEKEND")),"ONZEKER")))))</f>
        <v/>
      </c>
      <c r="Y78" t="str">
        <f t="shared" si="528"/>
        <v/>
      </c>
      <c r="Z78" t="str">
        <f t="shared" si="529"/>
        <v/>
      </c>
      <c r="AA78" t="str">
        <f>IF($Z78="","",IF(OR($BN78="",$BO78=""),"ONZEKER",IF(OR($BK78="",$BL78=""),"ONZEKER",IF(AND($BN78=$BK78+1,$BO78=$BL78),IF(OR(COUNTIF(#REF!,$B78)&gt;0,COUNTIF(#REF!,$B78)=0),"SKIP",IF(COUNTIFS(#REF!,$B78,#REF!,$Z78)&gt;0,"OK","ONBEKEND")),IF(AND($BN78=$BK78,$BO78=$BL78+1),IF(OR(COUNTIF(#REF!,$D78)&gt;0,COUNTIF(#REF!,$D78)=0),"SKIP",IF(COUNTIFS(#REF!,$D78,#REF!,$Z78)&gt;0,"OK","ONBEKEND")),"ONZEKER")))))</f>
        <v/>
      </c>
      <c r="AB78" t="str">
        <f t="shared" si="530"/>
        <v/>
      </c>
      <c r="AC78" t="str">
        <f t="shared" si="531"/>
        <v/>
      </c>
      <c r="AD78" t="str">
        <f>IF($AC78="","",IF(OR($BQ78="",$BR78=""),"ONZEKER",IF(OR($BN78="",$BO78=""),"ONZEKER",IF(AND($BQ78=$BN78+1,$BR78=$BO78),IF(OR(COUNTIF(#REF!,$B78)&gt;0,COUNTIF(#REF!,$B78)=0),"SKIP",IF(COUNTIFS(#REF!,$B78,#REF!,$AC78)&gt;0,"OK","ONBEKEND")),IF(AND($BQ78=$BN78,$BR78=$BO78+1),IF(OR(COUNTIF(#REF!,$D78)&gt;0,COUNTIF(#REF!,$D78)=0),"SKIP",IF(COUNTIFS(#REF!,$D78,#REF!,$AC78)&gt;0,"OK","ONBEKEND")),"ONZEKER")))))</f>
        <v/>
      </c>
      <c r="AE78" t="str">
        <f t="shared" si="532"/>
        <v/>
      </c>
      <c r="AF78" t="str">
        <f t="shared" si="533"/>
        <v/>
      </c>
      <c r="AG78" t="str">
        <f>IF($AF78="","",IF(OR($BT78="",$BU78=""),"ONZEKER",IF(OR($BQ78="",$BR78=""),"ONZEKER",IF(AND($BT78=$BQ78+1,$BU78=$BR78),IF(OR(COUNTIF(#REF!,$B78)&gt;0,COUNTIF(#REF!,$B78)=0),"SKIP",IF(COUNTIFS(#REF!,$B78,#REF!,$AF78)&gt;0,"OK","ONBEKEND")),IF(AND($BT78=$BQ78,$BU78=$BR78+1),IF(OR(COUNTIF(#REF!,$D78)&gt;0,COUNTIF(#REF!,$D78)=0),"SKIP",IF(COUNTIFS(#REF!,$D78,#REF!,$AF78)&gt;0,"OK","ONBEKEND")),"ONZEKER")))))</f>
        <v/>
      </c>
      <c r="AH78" t="str">
        <f t="shared" si="534"/>
        <v/>
      </c>
      <c r="AI78" t="str">
        <f t="shared" si="535"/>
        <v/>
      </c>
      <c r="AJ78" t="str">
        <f>IF($AI78="","",IF(OR($BW78="",$BX78=""),"ONZEKER",IF(OR($BT78="",$BU78=""),"ONZEKER",IF(AND($BW78=$BT78+1,$BX78=$BU78),IF(OR(COUNTIF(#REF!,$B78)&gt;0,COUNTIF(#REF!,$B78)=0),"SKIP",IF(COUNTIFS(#REF!,$B78,#REF!,$AI78)&gt;0,"OK","ONBEKEND")),IF(AND($BW78=$BT78,$BX78=$BU78+1),IF(OR(COUNTIF(#REF!,$D78)&gt;0,COUNTIF(#REF!,$D78)=0),"SKIP",IF(COUNTIFS(#REF!,$D78,#REF!,$AI78)&gt;0,"OK","ONBEKEND")),"ONZEKER")))))</f>
        <v/>
      </c>
      <c r="AK78" t="str">
        <f t="shared" si="536"/>
        <v/>
      </c>
      <c r="AL78" t="str">
        <f t="shared" si="537"/>
        <v/>
      </c>
      <c r="AM78" t="str">
        <f>IF($AL78="","",IF(OR($BZ78="",$CA78=""),"ONZEKER",IF(OR($BW78="",$BX78=""),"ONZEKER",IF(AND($BZ78=$BW78+1,$CA78=$BX78),IF(OR(COUNTIF(#REF!,$B78)&gt;0,COUNTIF(#REF!,$B78)=0),"SKIP",IF(COUNTIFS(#REF!,$B78,#REF!,$AL78)&gt;0,"OK","ONBEKEND")),IF(AND($BZ78=$BW78,$CA78=$BX78+1),IF(OR(COUNTIF(#REF!,$D78)&gt;0,COUNTIF(#REF!,$D78)=0),"SKIP",IF(COUNTIFS(#REF!,$D78,#REF!,$AL78)&gt;0,"OK","ONBEKEND")),"ONZEKER")))))</f>
        <v/>
      </c>
      <c r="AN78" t="str">
        <f t="shared" si="538"/>
        <v/>
      </c>
      <c r="AO78" t="str">
        <f t="shared" si="539"/>
        <v/>
      </c>
      <c r="AP78" t="str">
        <f>IF($AO78="","",IF(OR($CC78="",$CD78=""),"ONZEKER",IF(OR($BZ78="",$CA78=""),"ONZEKER",IF(AND($CC78=$BZ78+1,$CD78=$CA78),IF(OR(COUNTIF(#REF!,$B78)&gt;0,COUNTIF(#REF!,$B78)=0),"SKIP",IF(COUNTIFS(#REF!,$B78,#REF!,$AO78)&gt;0,"OK","ONBEKEND")),IF(AND($CC78=$BZ78,$CD78=$CA78+1),IF(OR(COUNTIF(#REF!,$D78)&gt;0,COUNTIF(#REF!,$D78)=0),"SKIP",IF(COUNTIFS(#REF!,$D78,#REF!,$AO78)&gt;0,"OK","ONBEKEND")),"ONZEKER")))))</f>
        <v/>
      </c>
      <c r="AQ78" t="str">
        <f t="shared" si="540"/>
        <v/>
      </c>
      <c r="AR78" t="str">
        <f t="shared" si="541"/>
        <v/>
      </c>
      <c r="AS78" t="str">
        <f>IF($AR78="","",IF(OR($CF78="",$CG78=""),"ONZEKER",IF(OR($CC78="",$CD78=""),"ONZEKER",IF(AND($CF78=$CC78+1,$CG78=$CD78),IF(OR(COUNTIF(#REF!,$B78)&gt;0,COUNTIF(#REF!,$B78)=0),"SKIP",IF(COUNTIFS(#REF!,$B78,#REF!,$AR78)&gt;0,"OK","ONBEKEND")),IF(AND($CF78=$CC78,$CG78=$CD78+1),IF(OR(COUNTIF(#REF!,$D78)&gt;0,COUNTIF(#REF!,$D78)=0),"SKIP",IF(COUNTIFS(#REF!,$D78,#REF!,$AR78)&gt;0,"OK","ONBEKEND")),"ONZEKER")))))</f>
        <v/>
      </c>
      <c r="AT78" t="str">
        <f t="shared" si="542"/>
        <v/>
      </c>
      <c r="AU78" t="str">
        <f t="shared" si="543"/>
        <v/>
      </c>
      <c r="AV78" t="str">
        <f t="shared" si="544"/>
        <v/>
      </c>
      <c r="AW78" t="str">
        <f t="shared" si="545"/>
        <v/>
      </c>
      <c r="AX78" t="str">
        <f t="shared" si="546"/>
        <v/>
      </c>
      <c r="AY78" t="str">
        <f t="shared" si="547"/>
        <v/>
      </c>
      <c r="AZ78" t="str">
        <f t="shared" si="548"/>
        <v/>
      </c>
      <c r="BA78" t="str">
        <f t="shared" si="549"/>
        <v/>
      </c>
      <c r="BB78" t="str">
        <f t="shared" si="550"/>
        <v/>
      </c>
      <c r="BC78" t="str">
        <f t="shared" si="551"/>
        <v/>
      </c>
      <c r="BD78" t="str">
        <f t="shared" si="490"/>
        <v/>
      </c>
      <c r="BE78" t="str">
        <f t="shared" si="491"/>
        <v/>
      </c>
      <c r="BF78" t="str">
        <f t="shared" si="492"/>
        <v/>
      </c>
      <c r="BG78" t="str">
        <f t="shared" si="493"/>
        <v/>
      </c>
      <c r="BH78" t="str">
        <f t="shared" si="494"/>
        <v/>
      </c>
      <c r="BI78" t="str">
        <f t="shared" si="495"/>
        <v/>
      </c>
      <c r="BJ78" t="str">
        <f t="shared" si="496"/>
        <v/>
      </c>
      <c r="BK78" t="str">
        <f t="shared" si="497"/>
        <v/>
      </c>
      <c r="BL78" t="str">
        <f t="shared" si="498"/>
        <v/>
      </c>
      <c r="BM78" t="str">
        <f t="shared" si="499"/>
        <v/>
      </c>
      <c r="BN78" t="str">
        <f t="shared" si="500"/>
        <v/>
      </c>
      <c r="BO78" t="str">
        <f t="shared" si="501"/>
        <v/>
      </c>
      <c r="BP78" t="str">
        <f t="shared" si="502"/>
        <v/>
      </c>
      <c r="BQ78" t="str">
        <f t="shared" si="503"/>
        <v/>
      </c>
      <c r="BR78" t="str">
        <f t="shared" si="504"/>
        <v/>
      </c>
      <c r="BS78" t="str">
        <f t="shared" si="505"/>
        <v/>
      </c>
      <c r="BT78" t="str">
        <f t="shared" si="506"/>
        <v/>
      </c>
      <c r="BU78" t="str">
        <f t="shared" si="507"/>
        <v/>
      </c>
      <c r="BV78" t="str">
        <f t="shared" si="508"/>
        <v/>
      </c>
      <c r="BW78" t="str">
        <f t="shared" si="509"/>
        <v/>
      </c>
      <c r="BX78" t="str">
        <f t="shared" si="510"/>
        <v/>
      </c>
      <c r="BY78" t="str">
        <f t="shared" si="511"/>
        <v/>
      </c>
      <c r="BZ78" t="str">
        <f t="shared" si="512"/>
        <v/>
      </c>
      <c r="CA78" t="str">
        <f t="shared" si="513"/>
        <v/>
      </c>
      <c r="CB78" t="str">
        <f t="shared" si="514"/>
        <v/>
      </c>
      <c r="CC78" t="str">
        <f t="shared" si="515"/>
        <v/>
      </c>
      <c r="CD78" t="str">
        <f t="shared" si="516"/>
        <v/>
      </c>
      <c r="CE78" t="str">
        <f t="shared" si="517"/>
        <v/>
      </c>
      <c r="CF78" t="str">
        <f t="shared" si="518"/>
        <v/>
      </c>
      <c r="CG78" t="str">
        <f t="shared" si="519"/>
        <v/>
      </c>
      <c r="CH78" t="str">
        <f t="shared" si="552"/>
        <v/>
      </c>
      <c r="CI78" t="str">
        <f t="shared" si="553"/>
        <v/>
      </c>
      <c r="CJ78" t="str">
        <f>IF($CI78="","",IF(OR($DW78="",$DX78=""),"ONZEKER",IF(OR($CF78="",$CG78=""),"ONZEKER",IF(AND($DW78=$CF78+1,$DX78=$CG78),IF(OR(COUNTIF(#REF!,$B78)&gt;0,COUNTIF(#REF!,$B78)=0),"SKIP",IF(COUNTIFS(#REF!,$B78,#REF!,$CI78)&gt;0,"OK","ONBEKEND")),IF(AND($DW78=$CF78,$DX78=$CG78+1),IF(OR(COUNTIF(#REF!,$D78)&gt;0,COUNTIF(#REF!,$D78)=0),"SKIP",IF(COUNTIFS(#REF!,$D78,#REF!,$CI78)&gt;0,"OK","ONBEKEND")),"ONZEKER")))))</f>
        <v/>
      </c>
      <c r="CK78" t="str">
        <f t="shared" si="554"/>
        <v/>
      </c>
      <c r="CL78" t="str">
        <f t="shared" si="555"/>
        <v/>
      </c>
      <c r="CM78" t="str">
        <f>IF($CL78="","",IF(OR($DZ78="",$EA78=""),"ONZEKER",IF(OR($DW78="",$DX78=""),"ONZEKER",IF(AND($DZ78=$DW78+1,$EA78=$DX78),IF(OR(COUNTIF(#REF!,$B78)&gt;0,COUNTIF(#REF!,$B78)=0),"SKIP",IF(COUNTIFS(#REF!,$B78,#REF!,$CL78)&gt;0,"OK","ONBEKEND")),IF(AND($DZ78=$DW78,$EA78=$DX78+1),IF(OR(COUNTIF(#REF!,$D78)&gt;0,COUNTIF(#REF!,$D78)=0),"SKIP",IF(COUNTIFS(#REF!,$D78,#REF!,$CL78)&gt;0,"OK","ONBEKEND")),"ONZEKER")))))</f>
        <v/>
      </c>
      <c r="CN78" t="str">
        <f t="shared" si="556"/>
        <v/>
      </c>
      <c r="CO78" t="str">
        <f t="shared" si="557"/>
        <v/>
      </c>
      <c r="CP78" t="str">
        <f>IF($CO78="","",IF(OR($EC78="",$ED78=""),"ONZEKER",IF(OR($DZ78="",$EA78=""),"ONZEKER",IF(AND($EC78=$DZ78+1,$ED78=$EA78),IF(OR(COUNTIF(#REF!,$B78)&gt;0,COUNTIF(#REF!,$B78)=0),"SKIP",IF(COUNTIFS(#REF!,$B78,#REF!,$CO78)&gt;0,"OK","ONBEKEND")),IF(AND($EC78=$DZ78,$ED78=$EA78+1),IF(OR(COUNTIF(#REF!,$D78)&gt;0,COUNTIF(#REF!,$D78)=0),"SKIP",IF(COUNTIFS(#REF!,$D78,#REF!,$CO78)&gt;0,"OK","ONBEKEND")),"ONZEKER")))))</f>
        <v/>
      </c>
      <c r="CQ78" t="str">
        <f t="shared" si="558"/>
        <v/>
      </c>
      <c r="CR78" t="str">
        <f t="shared" si="559"/>
        <v/>
      </c>
      <c r="CS78" t="str">
        <f>IF($CR78="","",IF(OR($EF78="",$EG78=""),"ONZEKER",IF(OR($EC78="",$ED78=""),"ONZEKER",IF(AND($EF78=$EC78+1,$EG78=$ED78),IF(OR(COUNTIF(#REF!,$B78)&gt;0,COUNTIF(#REF!,$B78)=0),"SKIP",IF(COUNTIFS(#REF!,$B78,#REF!,$CR78)&gt;0,"OK","ONBEKEND")),IF(AND($EF78=$EC78,$EG78=$ED78+1),IF(OR(COUNTIF(#REF!,$D78)&gt;0,COUNTIF(#REF!,$D78)=0),"SKIP",IF(COUNTIFS(#REF!,$D78,#REF!,$CR78)&gt;0,"OK","ONBEKEND")),"ONZEKER")))))</f>
        <v/>
      </c>
      <c r="CT78" t="str">
        <f t="shared" si="560"/>
        <v/>
      </c>
      <c r="CU78" t="str">
        <f t="shared" si="561"/>
        <v/>
      </c>
      <c r="CV78" t="str">
        <f>IF($CU78="","",IF(OR($EI78="",$EJ78=""),"ONZEKER",IF(OR($EF78="",$EG78=""),"ONZEKER",IF(AND($EI78=$EF78+1,$EJ78=$EG78),IF(OR(COUNTIF(#REF!,$B78)&gt;0,COUNTIF(#REF!,$B78)=0),"SKIP",IF(COUNTIFS(#REF!,$B78,#REF!,$CU78)&gt;0,"OK","ONBEKEND")),IF(AND($EI78=$EF78,$EJ78=$EG78+1),IF(OR(COUNTIF(#REF!,$D78)&gt;0,COUNTIF(#REF!,$D78)=0),"SKIP",IF(COUNTIFS(#REF!,$D78,#REF!,$CU78)&gt;0,"OK","ONBEKEND")),"ONZEKER")))))</f>
        <v/>
      </c>
      <c r="CW78" t="str">
        <f t="shared" si="562"/>
        <v/>
      </c>
      <c r="CX78" t="str">
        <f t="shared" si="563"/>
        <v/>
      </c>
      <c r="CY78" t="str">
        <f>IF($CX78="","",IF(OR($EL78="",$EM78=""),"ONZEKER",IF(OR($EI78="",$EJ78=""),"ONZEKER",IF(AND($EL78=$EI78+1,$EM78=$EJ78),IF(OR(COUNTIF(#REF!,$B78)&gt;0,COUNTIF(#REF!,$B78)=0),"SKIP",IF(COUNTIFS(#REF!,$B78,#REF!,$CX78)&gt;0,"OK","ONBEKEND")),IF(AND($EL78=$EI78,$EM78=$EJ78+1),IF(OR(COUNTIF(#REF!,$D78)&gt;0,COUNTIF(#REF!,$D78)=0),"SKIP",IF(COUNTIFS(#REF!,$D78,#REF!,$CX78)&gt;0,"OK","ONBEKEND")),"ONZEKER")))))</f>
        <v/>
      </c>
      <c r="CZ78" t="str">
        <f t="shared" si="564"/>
        <v/>
      </c>
      <c r="DA78" t="str">
        <f t="shared" si="565"/>
        <v/>
      </c>
      <c r="DB78" t="str">
        <f>IF($DA78="","",IF(OR($EO78="",$EP78=""),"ONZEKER",IF(OR($EL78="",$EM78=""),"ONZEKER",IF(AND($EO78=$EL78+1,$EP78=$EM78),IF(OR(COUNTIF(#REF!,$B78)&gt;0,COUNTIF(#REF!,$B78)=0),"SKIP",IF(COUNTIFS(#REF!,$B78,#REF!,$DA78)&gt;0,"OK","ONBEKEND")),IF(AND($EO78=$EL78,$EP78=$EM78+1),IF(OR(COUNTIF(#REF!,$D78)&gt;0,COUNTIF(#REF!,$D78)=0),"SKIP",IF(COUNTIFS(#REF!,$D78,#REF!,$DA78)&gt;0,"OK","ONBEKEND")),"ONZEKER")))))</f>
        <v/>
      </c>
      <c r="DC78" t="str">
        <f t="shared" si="566"/>
        <v/>
      </c>
      <c r="DD78" t="str">
        <f t="shared" si="567"/>
        <v/>
      </c>
      <c r="DE78" t="str">
        <f>IF($DD78="","",IF(OR($ER78="",$ES78=""),"ONZEKER",IF(OR($EO78="",$EP78=""),"ONZEKER",IF(AND($ER78=$EO78+1,$ES78=$EP78),IF(OR(COUNTIF(#REF!,$B78)&gt;0,COUNTIF(#REF!,$B78)=0),"SKIP",IF(COUNTIFS(#REF!,$B78,#REF!,$DD78)&gt;0,"OK","ONBEKEND")),IF(AND($ER78=$EO78,$ES78=$EP78+1),IF(OR(COUNTIF(#REF!,$D78)&gt;0,COUNTIF(#REF!,$D78)=0),"SKIP",IF(COUNTIFS(#REF!,$D78,#REF!,$DD78)&gt;0,"OK","ONBEKEND")),"ONZEKER")))))</f>
        <v/>
      </c>
      <c r="DF78" t="str">
        <f t="shared" si="568"/>
        <v/>
      </c>
      <c r="DG78" t="str">
        <f t="shared" si="569"/>
        <v/>
      </c>
      <c r="DH78" t="str">
        <f>IF($DG78="","",IF(OR($EU78="",$EV78=""),"ONZEKER",IF(OR($ER78="",$ES78=""),"ONZEKER",IF(AND($EU78=$ER78+1,$EV78=$ES78),IF(OR(COUNTIF(#REF!,$B78)&gt;0,COUNTIF(#REF!,$B78)=0),"SKIP",IF(COUNTIFS(#REF!,$B78,#REF!,$DG78)&gt;0,"OK","ONBEKEND")),IF(AND($EU78=$ER78,$EV78=$ES78+1),IF(OR(COUNTIF(#REF!,$D78)&gt;0,COUNTIF(#REF!,$D78)=0),"SKIP",IF(COUNTIFS(#REF!,$D78,#REF!,$DG78)&gt;0,"OK","ONBEKEND")),"ONZEKER")))))</f>
        <v/>
      </c>
      <c r="DI78" t="str">
        <f t="shared" si="570"/>
        <v/>
      </c>
      <c r="DJ78" t="str">
        <f t="shared" si="571"/>
        <v/>
      </c>
      <c r="DK78" t="str">
        <f>IF($DJ78="","",IF(OR($EX78="",$EY78=""),"ONZEKER",IF(OR($EU78="",$EV78=""),"ONZEKER",IF(AND($EX78=$EU78+1,$EY78=$EV78),IF(OR(COUNTIF(#REF!,$B78)&gt;0,COUNTIF(#REF!,$B78)=0),"SKIP",IF(COUNTIFS(#REF!,$B78,#REF!,$DJ78)&gt;0,"OK","ONBEKEND")),IF(AND($EX78=$EU78,$EY78=$EV78+1),IF(OR(COUNTIF(#REF!,$D78)&gt;0,COUNTIF(#REF!,$D78)=0),"SKIP",IF(COUNTIFS(#REF!,$D78,#REF!,$DJ78)&gt;0,"OK","ONBEKEND")),"ONZEKER")))))</f>
        <v/>
      </c>
      <c r="DL78" t="str">
        <f t="shared" si="572"/>
        <v/>
      </c>
      <c r="DM78" t="str">
        <f t="shared" si="573"/>
        <v/>
      </c>
      <c r="DN78" t="str">
        <f t="shared" si="574"/>
        <v/>
      </c>
      <c r="DO78" t="str">
        <f t="shared" si="575"/>
        <v/>
      </c>
      <c r="DP78" t="str">
        <f t="shared" si="576"/>
        <v/>
      </c>
      <c r="DQ78" t="str">
        <f t="shared" si="577"/>
        <v/>
      </c>
      <c r="DR78" t="str">
        <f t="shared" si="578"/>
        <v/>
      </c>
      <c r="DS78" t="str">
        <f t="shared" si="579"/>
        <v/>
      </c>
      <c r="DT78" t="str">
        <f t="shared" si="580"/>
        <v/>
      </c>
      <c r="DU78" t="str">
        <f t="shared" si="581"/>
        <v/>
      </c>
      <c r="DV78" t="str">
        <f t="shared" si="582"/>
        <v/>
      </c>
      <c r="DW78" t="str">
        <f t="shared" si="583"/>
        <v/>
      </c>
      <c r="DX78" t="str">
        <f t="shared" si="584"/>
        <v/>
      </c>
      <c r="DY78" t="str">
        <f t="shared" si="585"/>
        <v/>
      </c>
      <c r="DZ78" t="str">
        <f t="shared" si="586"/>
        <v/>
      </c>
      <c r="EA78" t="str">
        <f t="shared" si="587"/>
        <v/>
      </c>
      <c r="EB78" t="str">
        <f t="shared" si="588"/>
        <v/>
      </c>
      <c r="EC78" t="str">
        <f t="shared" si="589"/>
        <v/>
      </c>
      <c r="ED78" t="str">
        <f t="shared" si="590"/>
        <v/>
      </c>
      <c r="EE78" t="str">
        <f t="shared" si="591"/>
        <v/>
      </c>
      <c r="EF78" t="str">
        <f t="shared" si="592"/>
        <v/>
      </c>
      <c r="EG78" t="str">
        <f t="shared" si="593"/>
        <v/>
      </c>
      <c r="EH78" t="str">
        <f t="shared" si="594"/>
        <v/>
      </c>
      <c r="EI78" t="str">
        <f t="shared" si="595"/>
        <v/>
      </c>
      <c r="EJ78" t="str">
        <f t="shared" si="596"/>
        <v/>
      </c>
      <c r="EK78" t="str">
        <f t="shared" si="597"/>
        <v/>
      </c>
      <c r="EL78" t="str">
        <f t="shared" si="598"/>
        <v/>
      </c>
      <c r="EM78" t="str">
        <f t="shared" si="599"/>
        <v/>
      </c>
      <c r="EN78" t="str">
        <f t="shared" si="600"/>
        <v/>
      </c>
      <c r="EO78" t="str">
        <f t="shared" si="601"/>
        <v/>
      </c>
      <c r="EP78" t="str">
        <f t="shared" si="602"/>
        <v/>
      </c>
      <c r="EQ78" t="str">
        <f t="shared" si="603"/>
        <v/>
      </c>
      <c r="ER78" t="str">
        <f t="shared" si="604"/>
        <v/>
      </c>
      <c r="ES78" t="str">
        <f t="shared" si="605"/>
        <v/>
      </c>
      <c r="ET78" t="str">
        <f t="shared" si="606"/>
        <v/>
      </c>
      <c r="EU78" t="str">
        <f t="shared" si="607"/>
        <v/>
      </c>
      <c r="EV78" t="str">
        <f t="shared" si="608"/>
        <v/>
      </c>
      <c r="EW78" t="str">
        <f t="shared" si="609"/>
        <v/>
      </c>
      <c r="EX78" t="str">
        <f t="shared" si="610"/>
        <v/>
      </c>
      <c r="EY78" t="str">
        <f t="shared" si="611"/>
        <v/>
      </c>
    </row>
    <row r="79" spans="1:155" ht="13.9" customHeight="1" x14ac:dyDescent="0.25">
      <c r="A79" s="14"/>
      <c r="B79" s="15" t="s">
        <v>1535</v>
      </c>
      <c r="C79" s="16"/>
      <c r="D79" s="16"/>
      <c r="E79" s="16"/>
      <c r="F79" s="31" t="s">
        <v>1</v>
      </c>
      <c r="G79" s="33"/>
      <c r="H79" s="33"/>
      <c r="I79" s="32" t="s">
        <v>2</v>
      </c>
      <c r="J79" s="33"/>
      <c r="K79" s="33"/>
      <c r="L79" s="6" t="s">
        <v>3</v>
      </c>
      <c r="M79" s="2" t="s">
        <v>4</v>
      </c>
      <c r="N79" s="2" t="s">
        <v>5</v>
      </c>
      <c r="O79" s="2" t="s">
        <v>6</v>
      </c>
      <c r="P79" s="2" t="s">
        <v>7</v>
      </c>
      <c r="Q79" s="2" t="s">
        <v>8</v>
      </c>
      <c r="R79" s="2" t="str">
        <f>IF($Q79="","",IF(OR($BE79="",$BF79=""),"ONZEKER",IF(AND($BE79=0+1,$BF79=0),IF(OR(COUNTIF(#REF!,$B79)&gt;0,COUNTIF(#REF!,$B79)=0),"SKIP",IF(COUNTIFS(#REF!,$B79,#REF!,$Q79)&gt;0,"OK","ONBEKEND")),IF(AND($BE79=0,$BF79=0+1),IF(OR(COUNTIF(#REF!,$D79)&gt;0,COUNTIF(#REF!,$D79)=0),"SKIP",IF(COUNTIFS(#REF!,$D79,#REF!,$Q79)&gt;0,"OK","ONBEKEND")),"ONZEKER"))))</f>
        <v>ONZEKER</v>
      </c>
      <c r="S79" s="2" t="s">
        <v>10</v>
      </c>
      <c r="T79" s="2" t="s">
        <v>11</v>
      </c>
      <c r="U79" s="2" t="str">
        <f>IF($T79="","",IF(OR($BH79="",$BI79=""),"ONZEKER",IF(OR($BE79="",$BF79=""),"ONZEKER",IF(AND($BH79=$BE79+1,$BI79=$BF79),IF(OR(COUNTIF(#REF!,$B79)&gt;0,COUNTIF(#REF!,$B79)=0),"SKIP",IF(COUNTIFS(#REF!,$B79,#REF!,$T79)&gt;0,"OK","ONBEKEND")),IF(AND($BH79=$BE79,$BI79=$BF79+1),IF(OR(COUNTIF(#REF!,$D79)&gt;0,COUNTIF(#REF!,$D79)=0),"SKIP",IF(COUNTIFS(#REF!,$D79,#REF!,$T79)&gt;0,"OK","ONBEKEND")),"ONZEKER")))))</f>
        <v>ONZEKER</v>
      </c>
      <c r="V79" s="2" t="s">
        <v>13</v>
      </c>
      <c r="W79" s="2" t="s">
        <v>14</v>
      </c>
      <c r="X79" s="2" t="str">
        <f>IF($W79="","",IF(OR($BK79="",$BL79=""),"ONZEKER",IF(OR($BH79="",$BI79=""),"ONZEKER",IF(AND($BK79=$BH79+1,$BL79=$BI79),IF(OR(COUNTIF(#REF!,$B79)&gt;0,COUNTIF(#REF!,$B79)=0),"SKIP",IF(COUNTIFS(#REF!,$B79,#REF!,$W79)&gt;0,"OK","ONBEKEND")),IF(AND($BK79=$BH79,$BL79=$BI79+1),IF(OR(COUNTIF(#REF!,$D79)&gt;0,COUNTIF(#REF!,$D79)=0),"SKIP",IF(COUNTIFS(#REF!,$D79,#REF!,$W79)&gt;0,"OK","ONBEKEND")),"ONZEKER")))))</f>
        <v>ONZEKER</v>
      </c>
      <c r="Y79" s="2" t="s">
        <v>16</v>
      </c>
      <c r="Z79" s="2" t="s">
        <v>17</v>
      </c>
      <c r="AA79" s="2" t="str">
        <f>IF($Z79="","",IF(OR($BN79="",$BO79=""),"ONZEKER",IF(OR($BK79="",$BL79=""),"ONZEKER",IF(AND($BN79=$BK79+1,$BO79=$BL79),IF(OR(COUNTIF(#REF!,$B79)&gt;0,COUNTIF(#REF!,$B79)=0),"SKIP",IF(COUNTIFS(#REF!,$B79,#REF!,$Z79)&gt;0,"OK","ONBEKEND")),IF(AND($BN79=$BK79,$BO79=$BL79+1),IF(OR(COUNTIF(#REF!,$D79)&gt;0,COUNTIF(#REF!,$D79)=0),"SKIP",IF(COUNTIFS(#REF!,$D79,#REF!,$Z79)&gt;0,"OK","ONBEKEND")),"ONZEKER")))))</f>
        <v>ONZEKER</v>
      </c>
      <c r="AB79" s="2" t="s">
        <v>19</v>
      </c>
      <c r="AC79" s="2" t="s">
        <v>20</v>
      </c>
      <c r="AD79" s="2" t="str">
        <f>IF($AC79="","",IF(OR($BQ79="",$BR79=""),"ONZEKER",IF(OR($BN79="",$BO79=""),"ONZEKER",IF(AND($BQ79=$BN79+1,$BR79=$BO79),IF(OR(COUNTIF(#REF!,$B79)&gt;0,COUNTIF(#REF!,$B79)=0),"SKIP",IF(COUNTIFS(#REF!,$B79,#REF!,$AC79)&gt;0,"OK","ONBEKEND")),IF(AND($BQ79=$BN79,$BR79=$BO79+1),IF(OR(COUNTIF(#REF!,$D79)&gt;0,COUNTIF(#REF!,$D79)=0),"SKIP",IF(COUNTIFS(#REF!,$D79,#REF!,$AC79)&gt;0,"OK","ONBEKEND")),"ONZEKER")))))</f>
        <v>ONZEKER</v>
      </c>
      <c r="AE79" s="2" t="s">
        <v>22</v>
      </c>
      <c r="AF79" s="2" t="s">
        <v>23</v>
      </c>
      <c r="AG79" s="2" t="str">
        <f>IF($AF79="","",IF(OR($BT79="",$BU79=""),"ONZEKER",IF(OR($BQ79="",$BR79=""),"ONZEKER",IF(AND($BT79=$BQ79+1,$BU79=$BR79),IF(OR(COUNTIF(#REF!,$B79)&gt;0,COUNTIF(#REF!,$B79)=0),"SKIP",IF(COUNTIFS(#REF!,$B79,#REF!,$AF79)&gt;0,"OK","ONBEKEND")),IF(AND($BT79=$BQ79,$BU79=$BR79+1),IF(OR(COUNTIF(#REF!,$D79)&gt;0,COUNTIF(#REF!,$D79)=0),"SKIP",IF(COUNTIFS(#REF!,$D79,#REF!,$AF79)&gt;0,"OK","ONBEKEND")),"ONZEKER")))))</f>
        <v>ONZEKER</v>
      </c>
      <c r="AH79" s="2" t="s">
        <v>25</v>
      </c>
      <c r="AI79" s="2" t="s">
        <v>26</v>
      </c>
      <c r="AJ79" s="2" t="str">
        <f>IF($AI79="","",IF(OR($BW79="",$BX79=""),"ONZEKER",IF(OR($BT79="",$BU79=""),"ONZEKER",IF(AND($BW79=$BT79+1,$BX79=$BU79),IF(OR(COUNTIF(#REF!,$B79)&gt;0,COUNTIF(#REF!,$B79)=0),"SKIP",IF(COUNTIFS(#REF!,$B79,#REF!,$AI79)&gt;0,"OK","ONBEKEND")),IF(AND($BW79=$BT79,$BX79=$BU79+1),IF(OR(COUNTIF(#REF!,$D79)&gt;0,COUNTIF(#REF!,$D79)=0),"SKIP",IF(COUNTIFS(#REF!,$D79,#REF!,$AI79)&gt;0,"OK","ONBEKEND")),"ONZEKER")))))</f>
        <v>ONZEKER</v>
      </c>
      <c r="AK79" s="2" t="s">
        <v>28</v>
      </c>
      <c r="AL79" s="2" t="s">
        <v>29</v>
      </c>
      <c r="AM79" s="2" t="str">
        <f>IF($AL79="","",IF(OR($BZ79="",$CA79=""),"ONZEKER",IF(OR($BW79="",$BX79=""),"ONZEKER",IF(AND($BZ79=$BW79+1,$CA79=$BX79),IF(OR(COUNTIF(#REF!,$B79)&gt;0,COUNTIF(#REF!,$B79)=0),"SKIP",IF(COUNTIFS(#REF!,$B79,#REF!,$AL79)&gt;0,"OK","ONBEKEND")),IF(AND($BZ79=$BW79,$CA79=$BX79+1),IF(OR(COUNTIF(#REF!,$D79)&gt;0,COUNTIF(#REF!,$D79)=0),"SKIP",IF(COUNTIFS(#REF!,$D79,#REF!,$AL79)&gt;0,"OK","ONBEKEND")),"ONZEKER")))))</f>
        <v>ONZEKER</v>
      </c>
      <c r="AN79" s="2" t="s">
        <v>31</v>
      </c>
      <c r="AO79" s="2" t="s">
        <v>32</v>
      </c>
      <c r="AP79" s="2" t="str">
        <f>IF($AO79="","",IF(OR($CC79="",$CD79=""),"ONZEKER",IF(OR($BZ79="",$CA79=""),"ONZEKER",IF(AND($CC79=$BZ79+1,$CD79=$CA79),IF(OR(COUNTIF(#REF!,$B79)&gt;0,COUNTIF(#REF!,$B79)=0),"SKIP",IF(COUNTIFS(#REF!,$B79,#REF!,$AO79)&gt;0,"OK","ONBEKEND")),IF(AND($CC79=$BZ79,$CD79=$CA79+1),IF(OR(COUNTIF(#REF!,$D79)&gt;0,COUNTIF(#REF!,$D79)=0),"SKIP",IF(COUNTIFS(#REF!,$D79,#REF!,$AO79)&gt;0,"OK","ONBEKEND")),"ONZEKER")))))</f>
        <v>ONZEKER</v>
      </c>
      <c r="AQ79" s="2" t="s">
        <v>34</v>
      </c>
      <c r="AR79" s="2" t="s">
        <v>35</v>
      </c>
      <c r="AS79" s="2" t="str">
        <f>IF($AR79="","",IF(OR($CF79="",$CG79=""),"ONZEKER",IF(OR($CC79="",$CD79=""),"ONZEKER",IF(AND($CF79=$CC79+1,$CG79=$CD79),IF(OR(COUNTIF(#REF!,$B79)&gt;0,COUNTIF(#REF!,$B79)=0),"SKIP",IF(COUNTIFS(#REF!,$B79,#REF!,$AR79)&gt;0,"OK","ONBEKEND")),IF(AND($CF79=$CC79,$CG79=$CD79+1),IF(OR(COUNTIF(#REF!,$D79)&gt;0,COUNTIF(#REF!,$D79)=0),"SKIP",IF(COUNTIFS(#REF!,$D79,#REF!,$AR79)&gt;0,"OK","ONBEKEND")),"ONZEKER")))))</f>
        <v>ONZEKER</v>
      </c>
      <c r="AT79" s="2" t="s">
        <v>37</v>
      </c>
      <c r="AU79" s="2" t="s">
        <v>38</v>
      </c>
      <c r="AV79" s="2" t="s">
        <v>39</v>
      </c>
      <c r="AW79" s="2" t="s">
        <v>40</v>
      </c>
      <c r="AX79" s="2" t="s">
        <v>41</v>
      </c>
      <c r="AY79" s="2" t="s">
        <v>42</v>
      </c>
      <c r="AZ79" s="2" t="s">
        <v>43</v>
      </c>
      <c r="BA79" s="2" t="s">
        <v>44</v>
      </c>
      <c r="BB79" s="2" t="s">
        <v>45</v>
      </c>
      <c r="BC79" s="2" t="s">
        <v>46</v>
      </c>
      <c r="BD79" t="str">
        <f t="shared" si="490"/>
        <v/>
      </c>
      <c r="BE79" t="str">
        <f t="shared" si="491"/>
        <v/>
      </c>
      <c r="BF79" t="str">
        <f t="shared" si="492"/>
        <v/>
      </c>
      <c r="BG79" t="str">
        <f t="shared" si="493"/>
        <v/>
      </c>
      <c r="BH79" t="str">
        <f t="shared" si="494"/>
        <v/>
      </c>
      <c r="BI79" t="str">
        <f t="shared" si="495"/>
        <v/>
      </c>
      <c r="BJ79" t="str">
        <f t="shared" si="496"/>
        <v/>
      </c>
      <c r="BK79" t="str">
        <f t="shared" si="497"/>
        <v/>
      </c>
      <c r="BL79" t="str">
        <f t="shared" si="498"/>
        <v/>
      </c>
      <c r="BM79" t="str">
        <f t="shared" si="499"/>
        <v/>
      </c>
      <c r="BN79" t="str">
        <f t="shared" si="500"/>
        <v/>
      </c>
      <c r="BO79" t="str">
        <f t="shared" si="501"/>
        <v/>
      </c>
      <c r="BP79" t="str">
        <f t="shared" si="502"/>
        <v/>
      </c>
      <c r="BQ79" t="str">
        <f t="shared" si="503"/>
        <v/>
      </c>
      <c r="BR79" t="str">
        <f t="shared" si="504"/>
        <v/>
      </c>
      <c r="BS79" t="str">
        <f t="shared" si="505"/>
        <v/>
      </c>
      <c r="BT79" t="str">
        <f t="shared" si="506"/>
        <v/>
      </c>
      <c r="BU79" t="str">
        <f t="shared" si="507"/>
        <v/>
      </c>
      <c r="BV79" t="str">
        <f t="shared" si="508"/>
        <v/>
      </c>
      <c r="BW79" t="str">
        <f t="shared" si="509"/>
        <v/>
      </c>
      <c r="BX79" t="str">
        <f t="shared" si="510"/>
        <v/>
      </c>
      <c r="BY79" t="str">
        <f t="shared" si="511"/>
        <v/>
      </c>
      <c r="BZ79" t="str">
        <f t="shared" si="512"/>
        <v/>
      </c>
      <c r="CA79" t="str">
        <f t="shared" si="513"/>
        <v/>
      </c>
      <c r="CB79" t="str">
        <f t="shared" si="514"/>
        <v/>
      </c>
      <c r="CC79" t="str">
        <f t="shared" si="515"/>
        <v/>
      </c>
      <c r="CD79" t="str">
        <f t="shared" si="516"/>
        <v/>
      </c>
      <c r="CE79" t="str">
        <f t="shared" si="517"/>
        <v/>
      </c>
      <c r="CF79" t="str">
        <f t="shared" si="518"/>
        <v/>
      </c>
      <c r="CG79" t="str">
        <f t="shared" si="519"/>
        <v/>
      </c>
      <c r="CH79" s="2" t="s">
        <v>77</v>
      </c>
      <c r="CI79" s="2" t="s">
        <v>78</v>
      </c>
      <c r="CJ79" s="2" t="s">
        <v>79</v>
      </c>
      <c r="CK79" s="2" t="s">
        <v>80</v>
      </c>
      <c r="CL79" s="2" t="s">
        <v>81</v>
      </c>
      <c r="CM79" s="2" t="s">
        <v>82</v>
      </c>
      <c r="CN79" s="2" t="s">
        <v>83</v>
      </c>
      <c r="CO79" s="2" t="s">
        <v>84</v>
      </c>
      <c r="CP79" s="2" t="s">
        <v>85</v>
      </c>
      <c r="CQ79" s="2" t="s">
        <v>86</v>
      </c>
      <c r="CR79" s="2" t="s">
        <v>87</v>
      </c>
      <c r="CS79" s="2" t="s">
        <v>88</v>
      </c>
      <c r="CT79" s="2" t="s">
        <v>89</v>
      </c>
      <c r="CU79" s="2" t="s">
        <v>90</v>
      </c>
      <c r="CV79" s="2" t="s">
        <v>91</v>
      </c>
      <c r="CW79" s="2" t="s">
        <v>92</v>
      </c>
      <c r="CX79" s="2" t="s">
        <v>93</v>
      </c>
      <c r="CY79" s="2" t="s">
        <v>94</v>
      </c>
      <c r="CZ79" s="2" t="s">
        <v>95</v>
      </c>
      <c r="DA79" s="2" t="s">
        <v>96</v>
      </c>
      <c r="DB79" s="2" t="s">
        <v>97</v>
      </c>
      <c r="DC79" s="2" t="s">
        <v>98</v>
      </c>
      <c r="DD79" s="2" t="s">
        <v>99</v>
      </c>
      <c r="DE79" s="2" t="s">
        <v>100</v>
      </c>
      <c r="DF79" s="2" t="s">
        <v>101</v>
      </c>
      <c r="DG79" s="2" t="s">
        <v>102</v>
      </c>
      <c r="DH79" s="2" t="s">
        <v>103</v>
      </c>
      <c r="DI79" s="2" t="s">
        <v>104</v>
      </c>
      <c r="DJ79" s="2" t="s">
        <v>105</v>
      </c>
      <c r="DK79" s="2" t="s">
        <v>106</v>
      </c>
      <c r="DL79" s="2" t="s">
        <v>107</v>
      </c>
      <c r="DM79" s="2" t="s">
        <v>108</v>
      </c>
      <c r="DN79" s="2" t="s">
        <v>109</v>
      </c>
      <c r="DO79" s="2" t="s">
        <v>110</v>
      </c>
      <c r="DP79" s="2" t="s">
        <v>111</v>
      </c>
      <c r="DQ79" s="2" t="s">
        <v>112</v>
      </c>
      <c r="DR79" s="2" t="s">
        <v>113</v>
      </c>
      <c r="DS79" s="2" t="s">
        <v>114</v>
      </c>
      <c r="DT79" s="2" t="s">
        <v>115</v>
      </c>
      <c r="DU79" s="2" t="s">
        <v>116</v>
      </c>
      <c r="DV79" s="2" t="s">
        <v>117</v>
      </c>
      <c r="DW79" s="2" t="s">
        <v>118</v>
      </c>
      <c r="DX79" s="2" t="s">
        <v>119</v>
      </c>
      <c r="DY79" s="2" t="s">
        <v>120</v>
      </c>
      <c r="DZ79" s="2" t="s">
        <v>121</v>
      </c>
      <c r="EA79" s="2" t="s">
        <v>122</v>
      </c>
      <c r="EB79" s="2" t="s">
        <v>123</v>
      </c>
      <c r="EC79" s="2" t="s">
        <v>124</v>
      </c>
      <c r="ED79" s="2" t="s">
        <v>125</v>
      </c>
      <c r="EE79" s="2" t="s">
        <v>126</v>
      </c>
      <c r="EF79" s="2" t="s">
        <v>127</v>
      </c>
      <c r="EG79" s="2" t="s">
        <v>128</v>
      </c>
      <c r="EH79" s="2" t="s">
        <v>129</v>
      </c>
      <c r="EI79" s="2" t="s">
        <v>130</v>
      </c>
      <c r="EJ79" s="2" t="s">
        <v>131</v>
      </c>
      <c r="EK79" s="2" t="s">
        <v>132</v>
      </c>
      <c r="EL79" s="2" t="s">
        <v>133</v>
      </c>
      <c r="EM79" s="2" t="s">
        <v>134</v>
      </c>
      <c r="EN79" s="2" t="s">
        <v>135</v>
      </c>
      <c r="EO79" s="2" t="s">
        <v>136</v>
      </c>
      <c r="EP79" s="2" t="s">
        <v>137</v>
      </c>
      <c r="EQ79" s="2" t="s">
        <v>138</v>
      </c>
      <c r="ER79" s="2" t="s">
        <v>139</v>
      </c>
      <c r="ES79" s="2" t="s">
        <v>140</v>
      </c>
      <c r="ET79" s="2" t="s">
        <v>141</v>
      </c>
      <c r="EU79" s="2" t="s">
        <v>142</v>
      </c>
      <c r="EV79" s="2" t="s">
        <v>143</v>
      </c>
      <c r="EW79" s="2" t="s">
        <v>144</v>
      </c>
      <c r="EX79" s="2" t="s">
        <v>145</v>
      </c>
      <c r="EY79" s="2" t="s">
        <v>146</v>
      </c>
    </row>
    <row r="80" spans="1:155" ht="13.9" customHeight="1" x14ac:dyDescent="0.25">
      <c r="A80" s="7"/>
      <c r="B80" s="17"/>
      <c r="C80" s="8"/>
      <c r="D80" s="17"/>
      <c r="E80" s="8"/>
      <c r="F80" s="18">
        <v>0</v>
      </c>
      <c r="G80" s="7" t="s">
        <v>147</v>
      </c>
      <c r="H80" s="18">
        <v>0</v>
      </c>
      <c r="I80" s="19">
        <v>0</v>
      </c>
      <c r="J80" s="7" t="s">
        <v>147</v>
      </c>
      <c r="K80" s="19">
        <v>0</v>
      </c>
      <c r="L80" s="9"/>
      <c r="M80" s="3" t="str">
        <f>IF($L80="","",IF($L80="DOELPUNTENMAKERS","",IF(AND(COUNTIF(#REF!,$B80)=0,COUNTIF(#REF!,$D80)=0),"OK",IF($O80&gt;20,"LET OP: meer dan 20 items (controle onvolledig)",IF((COUNTIF($R80:$AS80,"ONZEKER")+COUNTIF($CJ80:$DK80,"ONZEKER"))&gt;0,"LET OP: scoreverloop onduidelijk (controle beperkt)",IF((IF($AT80&lt;&gt;"",$AT80&amp;", ","")&amp;IF($AU80&lt;&gt;"",$AU80&amp;", ","")&amp;IF($AV80&lt;&gt;"",$AV80&amp;", ","")&amp;IF($AW80&lt;&gt;"",$AW80&amp;", ","")&amp;IF($AX80&lt;&gt;"",$AX80&amp;", ","")&amp;IF($AY80&lt;&gt;"",$AY80&amp;", ","")&amp;IF($AZ80&lt;&gt;"",$AZ80&amp;", ","")&amp;IF($BA80&lt;&gt;"",$BA80&amp;", ","")&amp;IF($BB80&lt;&gt;"",$BB80&amp;", ","")&amp;IF($BC80&lt;&gt;"",$BC80&amp;", ","")&amp;IF($DL80&lt;&gt;"",$DL80&amp;", ","")&amp;IF($DM80&lt;&gt;"",$DM80&amp;", ","")&amp;IF($DN80&lt;&gt;"",$DN80&amp;", ","")&amp;IF($DO80&lt;&gt;"",$DO80&amp;", ","")&amp;IF($DP80&lt;&gt;"",$DP80&amp;", ","")&amp;IF($DQ80&lt;&gt;"",$DQ80&amp;", ","")&amp;IF($DR80&lt;&gt;"",$DR80&amp;", ","")&amp;IF($DS80&lt;&gt;"",$DS80&amp;", ","")&amp;IF($DT80&lt;&gt;"",$DT80&amp;", ","")&amp;IF($DU80&lt;&gt;"",$DU80&amp;", ",""))="","OK","Onbekend: "&amp;LEFT((IF($AT80&lt;&gt;"",$AT80&amp;", ","")&amp;IF($AU80&lt;&gt;"",$AU80&amp;", ","")&amp;IF($AV80&lt;&gt;"",$AV80&amp;", ","")&amp;IF($AW80&lt;&gt;"",$AW80&amp;", ","")&amp;IF($AX80&lt;&gt;"",$AX80&amp;", ","")&amp;IF($AY80&lt;&gt;"",$AY80&amp;", ","")&amp;IF($AZ80&lt;&gt;"",$AZ80&amp;", ","")&amp;IF($BA80&lt;&gt;"",$BA80&amp;", ","")&amp;IF($BB80&lt;&gt;"",$BB80&amp;", ","")&amp;IF($BC80&lt;&gt;"",$BC80&amp;", ","")&amp;IF($DL80&lt;&gt;"",$DL80&amp;", ","")&amp;IF($DM80&lt;&gt;"",$DM80&amp;", ","")&amp;IF($DN80&lt;&gt;"",$DN80&amp;", ","")&amp;IF($DO80&lt;&gt;"",$DO80&amp;", ","")&amp;IF($DP80&lt;&gt;"",$DP80&amp;", ","")&amp;IF($DQ80&lt;&gt;"",$DQ80&amp;", ","")&amp;IF($DR80&lt;&gt;"",$DR80&amp;", ","")&amp;IF($DS80&lt;&gt;"",$DS80&amp;", ","")&amp;IF($DT80&lt;&gt;"",$DT80&amp;", ","")&amp;IF($DU80&lt;&gt;"",$DU80&amp;", ","")),LEN((IF($AT80&lt;&gt;"",$AT80&amp;", ","")&amp;IF($AU80&lt;&gt;"",$AU80&amp;", ","")&amp;IF($AV80&lt;&gt;"",$AV80&amp;", ","")&amp;IF($AW80&lt;&gt;"",$AW80&amp;", ","")&amp;IF($AX80&lt;&gt;"",$AX80&amp;", ","")&amp;IF($AY80&lt;&gt;"",$AY80&amp;", ","")&amp;IF($AZ80&lt;&gt;"",$AZ80&amp;", ","")&amp;IF($BA80&lt;&gt;"",$BA80&amp;", ","")&amp;IF($BB80&lt;&gt;"",$BB80&amp;", ","")&amp;IF($BC80&lt;&gt;"",$BC80&amp;", ","")&amp;IF($DL80&lt;&gt;"",$DL80&amp;", ","")&amp;IF($DM80&lt;&gt;"",$DM80&amp;", ","")&amp;IF($DN80&lt;&gt;"",$DN80&amp;", ","")&amp;IF($DO80&lt;&gt;"",$DO80&amp;", ","")&amp;IF($DP80&lt;&gt;"",$DP80&amp;", ","")&amp;IF($DQ80&lt;&gt;"",$DQ80&amp;", ","")&amp;IF($DR80&lt;&gt;"",$DR80&amp;", ","")&amp;IF($DS80&lt;&gt;"",$DS80&amp;", ","")&amp;IF($DT80&lt;&gt;"",$DT80&amp;", ","")&amp;IF($DU80&lt;&gt;"",$DU80&amp;", ","")))-2)))))))</f>
        <v/>
      </c>
      <c r="N80" t="str">
        <f t="shared" ref="N80:N91" si="612">IF($L80="","",TRIM(IF(RIGHT(SUBSTITUTE($L80,CHAR(160)," "),1)=".",LEFT(SUBSTITUTE($L80,CHAR(160)," "),LEN(SUBSTITUTE($L80,CHAR(160)," "))-1),SUBSTITUTE($L80,CHAR(160)," "))))</f>
        <v/>
      </c>
      <c r="O80" t="str">
        <f t="shared" ref="O80:O91" si="613">IF($N80="","",LEN($N80)-LEN(SUBSTITUTE($N80,",",""))+1)</f>
        <v/>
      </c>
      <c r="P80" t="str">
        <f t="shared" ref="P80:P91" si="614">IF($N80="","",TRIM(MID(SUBSTITUTE($N80,",",REPT(" ",200)),1,200)))</f>
        <v/>
      </c>
      <c r="Q80" t="str">
        <f t="shared" ref="Q80:Q91" si="615">IF(P80="","",TRIM(IFERROR(LEFT(P80,FIND("§",SUBSTITUTE(P80," ","§",LEN(P80)-LEN(SUBSTITUTE(P80," ",""))))-1),P80)))</f>
        <v/>
      </c>
      <c r="R80" t="str">
        <f>IF($Q80="","",IF(OR($BE80="",$BF80=""),"ONZEKER",IF(AND($BE80=0+1,$BF80=0),IF(OR(COUNTIF(#REF!,$B80)&gt;0,COUNTIF(#REF!,$B80)=0),"SKIP",IF(COUNTIFS(#REF!,$B80,#REF!,$Q80)&gt;0,"OK","ONBEKEND")),IF(AND($BE80=0,$BF80=0+1),IF(OR(COUNTIF(#REF!,$D80)&gt;0,COUNTIF(#REF!,$D80)=0),"SKIP",IF(COUNTIFS(#REF!,$D80,#REF!,$Q80)&gt;0,"OK","ONBEKEND")),"ONZEKER"))))</f>
        <v/>
      </c>
      <c r="S80" t="str">
        <f t="shared" ref="S80:S91" si="616">IF($N80="","",TRIM(MID(SUBSTITUTE($N80,",",REPT(" ",200)),201,200)))</f>
        <v/>
      </c>
      <c r="T80" t="str">
        <f t="shared" ref="T80:T91" si="617">IF(S80="","",TRIM(IFERROR(LEFT(S80,FIND("§",SUBSTITUTE(S80," ","§",LEN(S80)-LEN(SUBSTITUTE(S80," ",""))))-1),S80)))</f>
        <v/>
      </c>
      <c r="U80" t="str">
        <f>IF($T80="","",IF(OR($BH80="",$BI80=""),"ONZEKER",IF(OR($BE80="",$BF80=""),"ONZEKER",IF(AND($BH80=$BE80+1,$BI80=$BF80),IF(OR(COUNTIF(#REF!,$B80)&gt;0,COUNTIF(#REF!,$B80)=0),"SKIP",IF(COUNTIFS(#REF!,$B80,#REF!,$T80)&gt;0,"OK","ONBEKEND")),IF(AND($BH80=$BE80,$BI80=$BF80+1),IF(OR(COUNTIF(#REF!,$D80)&gt;0,COUNTIF(#REF!,$D80)=0),"SKIP",IF(COUNTIFS(#REF!,$D80,#REF!,$T80)&gt;0,"OK","ONBEKEND")),"ONZEKER")))))</f>
        <v/>
      </c>
      <c r="V80" t="str">
        <f t="shared" ref="V80:V91" si="618">IF($N80="","",TRIM(MID(SUBSTITUTE($N80,",",REPT(" ",200)),401,200)))</f>
        <v/>
      </c>
      <c r="W80" t="str">
        <f t="shared" ref="W80:W91" si="619">IF(V80="","",TRIM(IFERROR(LEFT(V80,FIND("§",SUBSTITUTE(V80," ","§",LEN(V80)-LEN(SUBSTITUTE(V80," ",""))))-1),V80)))</f>
        <v/>
      </c>
      <c r="X80" t="str">
        <f>IF($W80="","",IF(OR($BK80="",$BL80=""),"ONZEKER",IF(OR($BH80="",$BI80=""),"ONZEKER",IF(AND($BK80=$BH80+1,$BL80=$BI80),IF(OR(COUNTIF(#REF!,$B80)&gt;0,COUNTIF(#REF!,$B80)=0),"SKIP",IF(COUNTIFS(#REF!,$B80,#REF!,$W80)&gt;0,"OK","ONBEKEND")),IF(AND($BK80=$BH80,$BL80=$BI80+1),IF(OR(COUNTIF(#REF!,$D80)&gt;0,COUNTIF(#REF!,$D80)=0),"SKIP",IF(COUNTIFS(#REF!,$D80,#REF!,$W80)&gt;0,"OK","ONBEKEND")),"ONZEKER")))))</f>
        <v/>
      </c>
      <c r="Y80" t="str">
        <f t="shared" ref="Y80:Y91" si="620">IF($N80="","",TRIM(MID(SUBSTITUTE($N80,",",REPT(" ",200)),601,200)))</f>
        <v/>
      </c>
      <c r="Z80" t="str">
        <f t="shared" ref="Z80:Z91" si="621">IF(Y80="","",TRIM(IFERROR(LEFT(Y80,FIND("§",SUBSTITUTE(Y80," ","§",LEN(Y80)-LEN(SUBSTITUTE(Y80," ",""))))-1),Y80)))</f>
        <v/>
      </c>
      <c r="AA80" t="str">
        <f>IF($Z80="","",IF(OR($BN80="",$BO80=""),"ONZEKER",IF(OR($BK80="",$BL80=""),"ONZEKER",IF(AND($BN80=$BK80+1,$BO80=$BL80),IF(OR(COUNTIF(#REF!,$B80)&gt;0,COUNTIF(#REF!,$B80)=0),"SKIP",IF(COUNTIFS(#REF!,$B80,#REF!,$Z80)&gt;0,"OK","ONBEKEND")),IF(AND($BN80=$BK80,$BO80=$BL80+1),IF(OR(COUNTIF(#REF!,$D80)&gt;0,COUNTIF(#REF!,$D80)=0),"SKIP",IF(COUNTIFS(#REF!,$D80,#REF!,$Z80)&gt;0,"OK","ONBEKEND")),"ONZEKER")))))</f>
        <v/>
      </c>
      <c r="AB80" t="str">
        <f t="shared" ref="AB80:AB91" si="622">IF($N80="","",TRIM(MID(SUBSTITUTE($N80,",",REPT(" ",200)),801,200)))</f>
        <v/>
      </c>
      <c r="AC80" t="str">
        <f t="shared" ref="AC80:AC91" si="623">IF(AB80="","",TRIM(IFERROR(LEFT(AB80,FIND("§",SUBSTITUTE(AB80," ","§",LEN(AB80)-LEN(SUBSTITUTE(AB80," ",""))))-1),AB80)))</f>
        <v/>
      </c>
      <c r="AD80" t="str">
        <f>IF($AC80="","",IF(OR($BQ80="",$BR80=""),"ONZEKER",IF(OR($BN80="",$BO80=""),"ONZEKER",IF(AND($BQ80=$BN80+1,$BR80=$BO80),IF(OR(COUNTIF(#REF!,$B80)&gt;0,COUNTIF(#REF!,$B80)=0),"SKIP",IF(COUNTIFS(#REF!,$B80,#REF!,$AC80)&gt;0,"OK","ONBEKEND")),IF(AND($BQ80=$BN80,$BR80=$BO80+1),IF(OR(COUNTIF(#REF!,$D80)&gt;0,COUNTIF(#REF!,$D80)=0),"SKIP",IF(COUNTIFS(#REF!,$D80,#REF!,$AC80)&gt;0,"OK","ONBEKEND")),"ONZEKER")))))</f>
        <v/>
      </c>
      <c r="AE80" t="str">
        <f t="shared" ref="AE80:AE91" si="624">IF($N80="","",TRIM(MID(SUBSTITUTE($N80,",",REPT(" ",200)),1001,200)))</f>
        <v/>
      </c>
      <c r="AF80" t="str">
        <f t="shared" ref="AF80:AF91" si="625">IF(AE80="","",TRIM(IFERROR(LEFT(AE80,FIND("§",SUBSTITUTE(AE80," ","§",LEN(AE80)-LEN(SUBSTITUTE(AE80," ",""))))-1),AE80)))</f>
        <v/>
      </c>
      <c r="AG80" t="str">
        <f>IF($AF80="","",IF(OR($BT80="",$BU80=""),"ONZEKER",IF(OR($BQ80="",$BR80=""),"ONZEKER",IF(AND($BT80=$BQ80+1,$BU80=$BR80),IF(OR(COUNTIF(#REF!,$B80)&gt;0,COUNTIF(#REF!,$B80)=0),"SKIP",IF(COUNTIFS(#REF!,$B80,#REF!,$AF80)&gt;0,"OK","ONBEKEND")),IF(AND($BT80=$BQ80,$BU80=$BR80+1),IF(OR(COUNTIF(#REF!,$D80)&gt;0,COUNTIF(#REF!,$D80)=0),"SKIP",IF(COUNTIFS(#REF!,$D80,#REF!,$AF80)&gt;0,"OK","ONBEKEND")),"ONZEKER")))))</f>
        <v/>
      </c>
      <c r="AH80" t="str">
        <f t="shared" ref="AH80:AH91" si="626">IF($N80="","",TRIM(MID(SUBSTITUTE($N80,",",REPT(" ",200)),1201,200)))</f>
        <v/>
      </c>
      <c r="AI80" t="str">
        <f t="shared" ref="AI80:AI91" si="627">IF(AH80="","",TRIM(IFERROR(LEFT(AH80,FIND("§",SUBSTITUTE(AH80," ","§",LEN(AH80)-LEN(SUBSTITUTE(AH80," ",""))))-1),AH80)))</f>
        <v/>
      </c>
      <c r="AJ80" t="str">
        <f>IF($AI80="","",IF(OR($BW80="",$BX80=""),"ONZEKER",IF(OR($BT80="",$BU80=""),"ONZEKER",IF(AND($BW80=$BT80+1,$BX80=$BU80),IF(OR(COUNTIF(#REF!,$B80)&gt;0,COUNTIF(#REF!,$B80)=0),"SKIP",IF(COUNTIFS(#REF!,$B80,#REF!,$AI80)&gt;0,"OK","ONBEKEND")),IF(AND($BW80=$BT80,$BX80=$BU80+1),IF(OR(COUNTIF(#REF!,$D80)&gt;0,COUNTIF(#REF!,$D80)=0),"SKIP",IF(COUNTIFS(#REF!,$D80,#REF!,$AI80)&gt;0,"OK","ONBEKEND")),"ONZEKER")))))</f>
        <v/>
      </c>
      <c r="AK80" t="str">
        <f t="shared" ref="AK80:AK91" si="628">IF($N80="","",TRIM(MID(SUBSTITUTE($N80,",",REPT(" ",200)),1401,200)))</f>
        <v/>
      </c>
      <c r="AL80" t="str">
        <f t="shared" ref="AL80:AL91" si="629">IF(AK80="","",TRIM(IFERROR(LEFT(AK80,FIND("§",SUBSTITUTE(AK80," ","§",LEN(AK80)-LEN(SUBSTITUTE(AK80," ",""))))-1),AK80)))</f>
        <v/>
      </c>
      <c r="AM80" t="str">
        <f>IF($AL80="","",IF(OR($BZ80="",$CA80=""),"ONZEKER",IF(OR($BW80="",$BX80=""),"ONZEKER",IF(AND($BZ80=$BW80+1,$CA80=$BX80),IF(OR(COUNTIF(#REF!,$B80)&gt;0,COUNTIF(#REF!,$B80)=0),"SKIP",IF(COUNTIFS(#REF!,$B80,#REF!,$AL80)&gt;0,"OK","ONBEKEND")),IF(AND($BZ80=$BW80,$CA80=$BX80+1),IF(OR(COUNTIF(#REF!,$D80)&gt;0,COUNTIF(#REF!,$D80)=0),"SKIP",IF(COUNTIFS(#REF!,$D80,#REF!,$AL80)&gt;0,"OK","ONBEKEND")),"ONZEKER")))))</f>
        <v/>
      </c>
      <c r="AN80" t="str">
        <f t="shared" ref="AN80:AN91" si="630">IF($N80="","",TRIM(MID(SUBSTITUTE($N80,",",REPT(" ",200)),1601,200)))</f>
        <v/>
      </c>
      <c r="AO80" t="str">
        <f t="shared" ref="AO80:AO91" si="631">IF(AN80="","",TRIM(IFERROR(LEFT(AN80,FIND("§",SUBSTITUTE(AN80," ","§",LEN(AN80)-LEN(SUBSTITUTE(AN80," ",""))))-1),AN80)))</f>
        <v/>
      </c>
      <c r="AP80" t="str">
        <f>IF($AO80="","",IF(OR($CC80="",$CD80=""),"ONZEKER",IF(OR($BZ80="",$CA80=""),"ONZEKER",IF(AND($CC80=$BZ80+1,$CD80=$CA80),IF(OR(COUNTIF(#REF!,$B80)&gt;0,COUNTIF(#REF!,$B80)=0),"SKIP",IF(COUNTIFS(#REF!,$B80,#REF!,$AO80)&gt;0,"OK","ONBEKEND")),IF(AND($CC80=$BZ80,$CD80=$CA80+1),IF(OR(COUNTIF(#REF!,$D80)&gt;0,COUNTIF(#REF!,$D80)=0),"SKIP",IF(COUNTIFS(#REF!,$D80,#REF!,$AO80)&gt;0,"OK","ONBEKEND")),"ONZEKER")))))</f>
        <v/>
      </c>
      <c r="AQ80" t="str">
        <f t="shared" ref="AQ80:AQ91" si="632">IF($N80="","",TRIM(MID(SUBSTITUTE($N80,",",REPT(" ",200)),1801,200)))</f>
        <v/>
      </c>
      <c r="AR80" t="str">
        <f t="shared" ref="AR80:AR91" si="633">IF(AQ80="","",TRIM(IFERROR(LEFT(AQ80,FIND("§",SUBSTITUTE(AQ80," ","§",LEN(AQ80)-LEN(SUBSTITUTE(AQ80," ",""))))-1),AQ80)))</f>
        <v/>
      </c>
      <c r="AS80" t="str">
        <f>IF($AR80="","",IF(OR($CF80="",$CG80=""),"ONZEKER",IF(OR($CC80="",$CD80=""),"ONZEKER",IF(AND($CF80=$CC80+1,$CG80=$CD80),IF(OR(COUNTIF(#REF!,$B80)&gt;0,COUNTIF(#REF!,$B80)=0),"SKIP",IF(COUNTIFS(#REF!,$B80,#REF!,$AR80)&gt;0,"OK","ONBEKEND")),IF(AND($CF80=$CC80,$CG80=$CD80+1),IF(OR(COUNTIF(#REF!,$D80)&gt;0,COUNTIF(#REF!,$D80)=0),"SKIP",IF(COUNTIFS(#REF!,$D80,#REF!,$AR80)&gt;0,"OK","ONBEKEND")),"ONZEKER")))))</f>
        <v/>
      </c>
      <c r="AT80" t="str">
        <f t="shared" ref="AT80:AT91" si="634">IF(R80="ONBEKEND",Q80,"")</f>
        <v/>
      </c>
      <c r="AU80" t="str">
        <f t="shared" ref="AU80:AU91" si="635">IF(U80="ONBEKEND",T80,"")</f>
        <v/>
      </c>
      <c r="AV80" t="str">
        <f t="shared" ref="AV80:AV91" si="636">IF(X80="ONBEKEND",W80,"")</f>
        <v/>
      </c>
      <c r="AW80" t="str">
        <f t="shared" ref="AW80:AW91" si="637">IF(AA80="ONBEKEND",Z80,"")</f>
        <v/>
      </c>
      <c r="AX80" t="str">
        <f t="shared" ref="AX80:AX91" si="638">IF(AD80="ONBEKEND",AC80,"")</f>
        <v/>
      </c>
      <c r="AY80" t="str">
        <f t="shared" ref="AY80:AY91" si="639">IF(AG80="ONBEKEND",AF80,"")</f>
        <v/>
      </c>
      <c r="AZ80" t="str">
        <f t="shared" ref="AZ80:AZ91" si="640">IF(AJ80="ONBEKEND",AI80,"")</f>
        <v/>
      </c>
      <c r="BA80" t="str">
        <f t="shared" ref="BA80:BA91" si="641">IF(AM80="ONBEKEND",AL80,"")</f>
        <v/>
      </c>
      <c r="BB80" t="str">
        <f t="shared" ref="BB80:BB91" si="642">IF(AP80="ONBEKEND",AO80,"")</f>
        <v/>
      </c>
      <c r="BC80" t="str">
        <f t="shared" ref="BC80:BC91" si="643">IF(AS80="ONBEKEND",AR80,"")</f>
        <v/>
      </c>
      <c r="BD80" t="str">
        <f t="shared" si="490"/>
        <v/>
      </c>
      <c r="BE80" t="str">
        <f t="shared" si="491"/>
        <v/>
      </c>
      <c r="BF80" t="str">
        <f t="shared" si="492"/>
        <v/>
      </c>
      <c r="BG80" t="str">
        <f t="shared" si="493"/>
        <v/>
      </c>
      <c r="BH80" t="str">
        <f t="shared" si="494"/>
        <v/>
      </c>
      <c r="BI80" t="str">
        <f t="shared" si="495"/>
        <v/>
      </c>
      <c r="BJ80" t="str">
        <f t="shared" si="496"/>
        <v/>
      </c>
      <c r="BK80" t="str">
        <f t="shared" si="497"/>
        <v/>
      </c>
      <c r="BL80" t="str">
        <f t="shared" si="498"/>
        <v/>
      </c>
      <c r="BM80" t="str">
        <f t="shared" si="499"/>
        <v/>
      </c>
      <c r="BN80" t="str">
        <f t="shared" si="500"/>
        <v/>
      </c>
      <c r="BO80" t="str">
        <f t="shared" si="501"/>
        <v/>
      </c>
      <c r="BP80" t="str">
        <f t="shared" si="502"/>
        <v/>
      </c>
      <c r="BQ80" t="str">
        <f t="shared" si="503"/>
        <v/>
      </c>
      <c r="BR80" t="str">
        <f t="shared" si="504"/>
        <v/>
      </c>
      <c r="BS80" t="str">
        <f t="shared" si="505"/>
        <v/>
      </c>
      <c r="BT80" t="str">
        <f t="shared" si="506"/>
        <v/>
      </c>
      <c r="BU80" t="str">
        <f t="shared" si="507"/>
        <v/>
      </c>
      <c r="BV80" t="str">
        <f t="shared" si="508"/>
        <v/>
      </c>
      <c r="BW80" t="str">
        <f t="shared" si="509"/>
        <v/>
      </c>
      <c r="BX80" t="str">
        <f t="shared" si="510"/>
        <v/>
      </c>
      <c r="BY80" t="str">
        <f t="shared" si="511"/>
        <v/>
      </c>
      <c r="BZ80" t="str">
        <f t="shared" si="512"/>
        <v/>
      </c>
      <c r="CA80" t="str">
        <f t="shared" si="513"/>
        <v/>
      </c>
      <c r="CB80" t="str">
        <f t="shared" si="514"/>
        <v/>
      </c>
      <c r="CC80" t="str">
        <f t="shared" si="515"/>
        <v/>
      </c>
      <c r="CD80" t="str">
        <f t="shared" si="516"/>
        <v/>
      </c>
      <c r="CE80" t="str">
        <f t="shared" si="517"/>
        <v/>
      </c>
      <c r="CF80" t="str">
        <f t="shared" si="518"/>
        <v/>
      </c>
      <c r="CG80" t="str">
        <f t="shared" si="519"/>
        <v/>
      </c>
      <c r="CH80" t="str">
        <f t="shared" ref="CH80:CH91" si="644">IF($N80="","",TRIM(MID(SUBSTITUTE($N80,",",REPT(" ",200)),2001,200)))</f>
        <v/>
      </c>
      <c r="CI80" t="str">
        <f t="shared" ref="CI80:CI91" si="645">IF(CH80="","",TRIM(IFERROR(LEFT(CH80,FIND("§",SUBSTITUTE(CH80," ","§",LEN(CH80)-LEN(SUBSTITUTE(CH80," ",""))))-1),CH80)))</f>
        <v/>
      </c>
      <c r="CJ80" t="str">
        <f>IF($CI80="","",IF(OR($DW80="",$DX80=""),"ONZEKER",IF(OR($CF80="",$CG80=""),"ONZEKER",IF(AND($DW80=$CF80+1,$DX80=$CG80),IF(OR(COUNTIF(#REF!,$B80)&gt;0,COUNTIF(#REF!,$B80)=0),"SKIP",IF(COUNTIFS(#REF!,$B80,#REF!,$CI80)&gt;0,"OK","ONBEKEND")),IF(AND($DW80=$CF80,$DX80=$CG80+1),IF(OR(COUNTIF(#REF!,$D80)&gt;0,COUNTIF(#REF!,$D80)=0),"SKIP",IF(COUNTIFS(#REF!,$D80,#REF!,$CI80)&gt;0,"OK","ONBEKEND")),"ONZEKER")))))</f>
        <v/>
      </c>
      <c r="CK80" t="str">
        <f t="shared" ref="CK80:CK91" si="646">IF($N80="","",TRIM(MID(SUBSTITUTE($N80,",",REPT(" ",200)),2201,200)))</f>
        <v/>
      </c>
      <c r="CL80" t="str">
        <f t="shared" ref="CL80:CL91" si="647">IF(CK80="","",TRIM(IFERROR(LEFT(CK80,FIND("§",SUBSTITUTE(CK80," ","§",LEN(CK80)-LEN(SUBSTITUTE(CK80," ",""))))-1),CK80)))</f>
        <v/>
      </c>
      <c r="CM80" t="str">
        <f>IF($CL80="","",IF(OR($DZ80="",$EA80=""),"ONZEKER",IF(OR($DW80="",$DX80=""),"ONZEKER",IF(AND($DZ80=$DW80+1,$EA80=$DX80),IF(OR(COUNTIF(#REF!,$B80)&gt;0,COUNTIF(#REF!,$B80)=0),"SKIP",IF(COUNTIFS(#REF!,$B80,#REF!,$CL80)&gt;0,"OK","ONBEKEND")),IF(AND($DZ80=$DW80,$EA80=$DX80+1),IF(OR(COUNTIF(#REF!,$D80)&gt;0,COUNTIF(#REF!,$D80)=0),"SKIP",IF(COUNTIFS(#REF!,$D80,#REF!,$CL80)&gt;0,"OK","ONBEKEND")),"ONZEKER")))))</f>
        <v/>
      </c>
      <c r="CN80" t="str">
        <f t="shared" ref="CN80:CN91" si="648">IF($N80="","",TRIM(MID(SUBSTITUTE($N80,",",REPT(" ",200)),2401,200)))</f>
        <v/>
      </c>
      <c r="CO80" t="str">
        <f t="shared" ref="CO80:CO91" si="649">IF(CN80="","",TRIM(IFERROR(LEFT(CN80,FIND("§",SUBSTITUTE(CN80," ","§",LEN(CN80)-LEN(SUBSTITUTE(CN80," ",""))))-1),CN80)))</f>
        <v/>
      </c>
      <c r="CP80" t="str">
        <f>IF($CO80="","",IF(OR($EC80="",$ED80=""),"ONZEKER",IF(OR($DZ80="",$EA80=""),"ONZEKER",IF(AND($EC80=$DZ80+1,$ED80=$EA80),IF(OR(COUNTIF(#REF!,$B80)&gt;0,COUNTIF(#REF!,$B80)=0),"SKIP",IF(COUNTIFS(#REF!,$B80,#REF!,$CO80)&gt;0,"OK","ONBEKEND")),IF(AND($EC80=$DZ80,$ED80=$EA80+1),IF(OR(COUNTIF(#REF!,$D80)&gt;0,COUNTIF(#REF!,$D80)=0),"SKIP",IF(COUNTIFS(#REF!,$D80,#REF!,$CO80)&gt;0,"OK","ONBEKEND")),"ONZEKER")))))</f>
        <v/>
      </c>
      <c r="CQ80" t="str">
        <f t="shared" ref="CQ80:CQ91" si="650">IF($N80="","",TRIM(MID(SUBSTITUTE($N80,",",REPT(" ",200)),2601,200)))</f>
        <v/>
      </c>
      <c r="CR80" t="str">
        <f t="shared" ref="CR80:CR91" si="651">IF(CQ80="","",TRIM(IFERROR(LEFT(CQ80,FIND("§",SUBSTITUTE(CQ80," ","§",LEN(CQ80)-LEN(SUBSTITUTE(CQ80," ",""))))-1),CQ80)))</f>
        <v/>
      </c>
      <c r="CS80" t="str">
        <f>IF($CR80="","",IF(OR($EF80="",$EG80=""),"ONZEKER",IF(OR($EC80="",$ED80=""),"ONZEKER",IF(AND($EF80=$EC80+1,$EG80=$ED80),IF(OR(COUNTIF(#REF!,$B80)&gt;0,COUNTIF(#REF!,$B80)=0),"SKIP",IF(COUNTIFS(#REF!,$B80,#REF!,$CR80)&gt;0,"OK","ONBEKEND")),IF(AND($EF80=$EC80,$EG80=$ED80+1),IF(OR(COUNTIF(#REF!,$D80)&gt;0,COUNTIF(#REF!,$D80)=0),"SKIP",IF(COUNTIFS(#REF!,$D80,#REF!,$CR80)&gt;0,"OK","ONBEKEND")),"ONZEKER")))))</f>
        <v/>
      </c>
      <c r="CT80" t="str">
        <f t="shared" ref="CT80:CT91" si="652">IF($N80="","",TRIM(MID(SUBSTITUTE($N80,",",REPT(" ",200)),2801,200)))</f>
        <v/>
      </c>
      <c r="CU80" t="str">
        <f t="shared" ref="CU80:CU91" si="653">IF(CT80="","",TRIM(IFERROR(LEFT(CT80,FIND("§",SUBSTITUTE(CT80," ","§",LEN(CT80)-LEN(SUBSTITUTE(CT80," ",""))))-1),CT80)))</f>
        <v/>
      </c>
      <c r="CV80" t="str">
        <f>IF($CU80="","",IF(OR($EI80="",$EJ80=""),"ONZEKER",IF(OR($EF80="",$EG80=""),"ONZEKER",IF(AND($EI80=$EF80+1,$EJ80=$EG80),IF(OR(COUNTIF(#REF!,$B80)&gt;0,COUNTIF(#REF!,$B80)=0),"SKIP",IF(COUNTIFS(#REF!,$B80,#REF!,$CU80)&gt;0,"OK","ONBEKEND")),IF(AND($EI80=$EF80,$EJ80=$EG80+1),IF(OR(COUNTIF(#REF!,$D80)&gt;0,COUNTIF(#REF!,$D80)=0),"SKIP",IF(COUNTIFS(#REF!,$D80,#REF!,$CU80)&gt;0,"OK","ONBEKEND")),"ONZEKER")))))</f>
        <v/>
      </c>
      <c r="CW80" t="str">
        <f t="shared" ref="CW80:CW91" si="654">IF($N80="","",TRIM(MID(SUBSTITUTE($N80,",",REPT(" ",200)),3001,200)))</f>
        <v/>
      </c>
      <c r="CX80" t="str">
        <f t="shared" ref="CX80:CX91" si="655">IF(CW80="","",TRIM(IFERROR(LEFT(CW80,FIND("§",SUBSTITUTE(CW80," ","§",LEN(CW80)-LEN(SUBSTITUTE(CW80," ",""))))-1),CW80)))</f>
        <v/>
      </c>
      <c r="CY80" t="str">
        <f>IF($CX80="","",IF(OR($EL80="",$EM80=""),"ONZEKER",IF(OR($EI80="",$EJ80=""),"ONZEKER",IF(AND($EL80=$EI80+1,$EM80=$EJ80),IF(OR(COUNTIF(#REF!,$B80)&gt;0,COUNTIF(#REF!,$B80)=0),"SKIP",IF(COUNTIFS(#REF!,$B80,#REF!,$CX80)&gt;0,"OK","ONBEKEND")),IF(AND($EL80=$EI80,$EM80=$EJ80+1),IF(OR(COUNTIF(#REF!,$D80)&gt;0,COUNTIF(#REF!,$D80)=0),"SKIP",IF(COUNTIFS(#REF!,$D80,#REF!,$CX80)&gt;0,"OK","ONBEKEND")),"ONZEKER")))))</f>
        <v/>
      </c>
      <c r="CZ80" t="str">
        <f t="shared" ref="CZ80:CZ91" si="656">IF($N80="","",TRIM(MID(SUBSTITUTE($N80,",",REPT(" ",200)),3201,200)))</f>
        <v/>
      </c>
      <c r="DA80" t="str">
        <f t="shared" ref="DA80:DA91" si="657">IF(CZ80="","",TRIM(IFERROR(LEFT(CZ80,FIND("§",SUBSTITUTE(CZ80," ","§",LEN(CZ80)-LEN(SUBSTITUTE(CZ80," ",""))))-1),CZ80)))</f>
        <v/>
      </c>
      <c r="DB80" t="str">
        <f>IF($DA80="","",IF(OR($EO80="",$EP80=""),"ONZEKER",IF(OR($EL80="",$EM80=""),"ONZEKER",IF(AND($EO80=$EL80+1,$EP80=$EM80),IF(OR(COUNTIF(#REF!,$B80)&gt;0,COUNTIF(#REF!,$B80)=0),"SKIP",IF(COUNTIFS(#REF!,$B80,#REF!,$DA80)&gt;0,"OK","ONBEKEND")),IF(AND($EO80=$EL80,$EP80=$EM80+1),IF(OR(COUNTIF(#REF!,$D80)&gt;0,COUNTIF(#REF!,$D80)=0),"SKIP",IF(COUNTIFS(#REF!,$D80,#REF!,$DA80)&gt;0,"OK","ONBEKEND")),"ONZEKER")))))</f>
        <v/>
      </c>
      <c r="DC80" t="str">
        <f t="shared" ref="DC80:DC91" si="658">IF($N80="","",TRIM(MID(SUBSTITUTE($N80,",",REPT(" ",200)),3401,200)))</f>
        <v/>
      </c>
      <c r="DD80" t="str">
        <f t="shared" ref="DD80:DD91" si="659">IF(DC80="","",TRIM(IFERROR(LEFT(DC80,FIND("§",SUBSTITUTE(DC80," ","§",LEN(DC80)-LEN(SUBSTITUTE(DC80," ",""))))-1),DC80)))</f>
        <v/>
      </c>
      <c r="DE80" t="str">
        <f>IF($DD80="","",IF(OR($ER80="",$ES80=""),"ONZEKER",IF(OR($EO80="",$EP80=""),"ONZEKER",IF(AND($ER80=$EO80+1,$ES80=$EP80),IF(OR(COUNTIF(#REF!,$B80)&gt;0,COUNTIF(#REF!,$B80)=0),"SKIP",IF(COUNTIFS(#REF!,$B80,#REF!,$DD80)&gt;0,"OK","ONBEKEND")),IF(AND($ER80=$EO80,$ES80=$EP80+1),IF(OR(COUNTIF(#REF!,$D80)&gt;0,COUNTIF(#REF!,$D80)=0),"SKIP",IF(COUNTIFS(#REF!,$D80,#REF!,$DD80)&gt;0,"OK","ONBEKEND")),"ONZEKER")))))</f>
        <v/>
      </c>
      <c r="DF80" t="str">
        <f t="shared" ref="DF80:DF91" si="660">IF($N80="","",TRIM(MID(SUBSTITUTE($N80,",",REPT(" ",200)),3601,200)))</f>
        <v/>
      </c>
      <c r="DG80" t="str">
        <f t="shared" ref="DG80:DG91" si="661">IF(DF80="","",TRIM(IFERROR(LEFT(DF80,FIND("§",SUBSTITUTE(DF80," ","§",LEN(DF80)-LEN(SUBSTITUTE(DF80," ",""))))-1),DF80)))</f>
        <v/>
      </c>
      <c r="DH80" t="str">
        <f>IF($DG80="","",IF(OR($EU80="",$EV80=""),"ONZEKER",IF(OR($ER80="",$ES80=""),"ONZEKER",IF(AND($EU80=$ER80+1,$EV80=$ES80),IF(OR(COUNTIF(#REF!,$B80)&gt;0,COUNTIF(#REF!,$B80)=0),"SKIP",IF(COUNTIFS(#REF!,$B80,#REF!,$DG80)&gt;0,"OK","ONBEKEND")),IF(AND($EU80=$ER80,$EV80=$ES80+1),IF(OR(COUNTIF(#REF!,$D80)&gt;0,COUNTIF(#REF!,$D80)=0),"SKIP",IF(COUNTIFS(#REF!,$D80,#REF!,$DG80)&gt;0,"OK","ONBEKEND")),"ONZEKER")))))</f>
        <v/>
      </c>
      <c r="DI80" t="str">
        <f t="shared" ref="DI80:DI91" si="662">IF($N80="","",TRIM(MID(SUBSTITUTE($N80,",",REPT(" ",200)),3801,200)))</f>
        <v/>
      </c>
      <c r="DJ80" t="str">
        <f t="shared" ref="DJ80:DJ91" si="663">IF(DI80="","",TRIM(IFERROR(LEFT(DI80,FIND("§",SUBSTITUTE(DI80," ","§",LEN(DI80)-LEN(SUBSTITUTE(DI80," ",""))))-1),DI80)))</f>
        <v/>
      </c>
      <c r="DK80" t="str">
        <f>IF($DJ80="","",IF(OR($EX80="",$EY80=""),"ONZEKER",IF(OR($EU80="",$EV80=""),"ONZEKER",IF(AND($EX80=$EU80+1,$EY80=$EV80),IF(OR(COUNTIF(#REF!,$B80)&gt;0,COUNTIF(#REF!,$B80)=0),"SKIP",IF(COUNTIFS(#REF!,$B80,#REF!,$DJ80)&gt;0,"OK","ONBEKEND")),IF(AND($EX80=$EU80,$EY80=$EV80+1),IF(OR(COUNTIF(#REF!,$D80)&gt;0,COUNTIF(#REF!,$D80)=0),"SKIP",IF(COUNTIFS(#REF!,$D80,#REF!,$DJ80)&gt;0,"OK","ONBEKEND")),"ONZEKER")))))</f>
        <v/>
      </c>
      <c r="DL80" t="str">
        <f t="shared" ref="DL80:DL91" si="664">IF($CJ80="ONBEKEND",$CI80,"")</f>
        <v/>
      </c>
      <c r="DM80" t="str">
        <f t="shared" ref="DM80:DM91" si="665">IF($CM80="ONBEKEND",$CL80,"")</f>
        <v/>
      </c>
      <c r="DN80" t="str">
        <f t="shared" ref="DN80:DN91" si="666">IF($CP80="ONBEKEND",$CO80,"")</f>
        <v/>
      </c>
      <c r="DO80" t="str">
        <f t="shared" ref="DO80:DO91" si="667">IF($CS80="ONBEKEND",$CR80,"")</f>
        <v/>
      </c>
      <c r="DP80" t="str">
        <f t="shared" ref="DP80:DP91" si="668">IF($CV80="ONBEKEND",$CU80,"")</f>
        <v/>
      </c>
      <c r="DQ80" t="str">
        <f t="shared" ref="DQ80:DQ91" si="669">IF($CY80="ONBEKEND",$CX80,"")</f>
        <v/>
      </c>
      <c r="DR80" t="str">
        <f t="shared" ref="DR80:DR91" si="670">IF($DB80="ONBEKEND",$DA80,"")</f>
        <v/>
      </c>
      <c r="DS80" t="str">
        <f t="shared" ref="DS80:DS91" si="671">IF($DE80="ONBEKEND",$DD80,"")</f>
        <v/>
      </c>
      <c r="DT80" t="str">
        <f t="shared" ref="DT80:DT91" si="672">IF($DH80="ONBEKEND",$DG80,"")</f>
        <v/>
      </c>
      <c r="DU80" t="str">
        <f t="shared" ref="DU80:DU91" si="673">IF($DK80="ONBEKEND",$DJ80,"")</f>
        <v/>
      </c>
      <c r="DV80" t="str">
        <f t="shared" ref="DV80:DV91" si="674">IF($CH80="","",TRIM(IFERROR(RIGHT($CH80,LEN($CH80)-FIND("§",SUBSTITUTE($CH80," ","§",LEN($CH80)-LEN(SUBSTITUTE($CH80," ",""))))),"")))</f>
        <v/>
      </c>
      <c r="DW80" t="str">
        <f t="shared" ref="DW80:DW91" si="675">IF($DV80="","",IFERROR(VALUE(LEFT($DV80,FIND("-",$DV80)-1)),""))</f>
        <v/>
      </c>
      <c r="DX80" t="str">
        <f t="shared" ref="DX80:DX91" si="676">IF($DV80="","",IFERROR(VALUE(MID($DV80,FIND("-",$DV80)+1,99)),""))</f>
        <v/>
      </c>
      <c r="DY80" t="str">
        <f t="shared" ref="DY80:DY91" si="677">IF($CK80="","",TRIM(IFERROR(RIGHT($CK80,LEN($CK80)-FIND("§",SUBSTITUTE($CK80," ","§",LEN($CK80)-LEN(SUBSTITUTE($CK80," ",""))))),"")))</f>
        <v/>
      </c>
      <c r="DZ80" t="str">
        <f t="shared" ref="DZ80:DZ91" si="678">IF($DY80="","",IFERROR(VALUE(LEFT($DY80,FIND("-",$DY80)-1)),""))</f>
        <v/>
      </c>
      <c r="EA80" t="str">
        <f t="shared" ref="EA80:EA91" si="679">IF($DY80="","",IFERROR(VALUE(MID($DY80,FIND("-",$DY80)+1,99)),""))</f>
        <v/>
      </c>
      <c r="EB80" t="str">
        <f t="shared" ref="EB80:EB91" si="680">IF($CN80="","",TRIM(IFERROR(RIGHT($CN80,LEN($CN80)-FIND("§",SUBSTITUTE($CN80," ","§",LEN($CN80)-LEN(SUBSTITUTE($CN80," ",""))))),"")))</f>
        <v/>
      </c>
      <c r="EC80" t="str">
        <f t="shared" ref="EC80:EC91" si="681">IF($EB80="","",IFERROR(VALUE(LEFT($EB80,FIND("-",$EB80)-1)),""))</f>
        <v/>
      </c>
      <c r="ED80" t="str">
        <f t="shared" ref="ED80:ED91" si="682">IF($EB80="","",IFERROR(VALUE(MID($EB80,FIND("-",$EB80)+1,99)),""))</f>
        <v/>
      </c>
      <c r="EE80" t="str">
        <f t="shared" ref="EE80:EE91" si="683">IF($CQ80="","",TRIM(IFERROR(RIGHT($CQ80,LEN($CQ80)-FIND("§",SUBSTITUTE($CQ80," ","§",LEN($CQ80)-LEN(SUBSTITUTE($CQ80," ",""))))),"")))</f>
        <v/>
      </c>
      <c r="EF80" t="str">
        <f t="shared" ref="EF80:EF91" si="684">IF($EE80="","",IFERROR(VALUE(LEFT($EE80,FIND("-",$EE80)-1)),""))</f>
        <v/>
      </c>
      <c r="EG80" t="str">
        <f t="shared" ref="EG80:EG91" si="685">IF($EE80="","",IFERROR(VALUE(MID($EE80,FIND("-",$EE80)+1,99)),""))</f>
        <v/>
      </c>
      <c r="EH80" t="str">
        <f t="shared" ref="EH80:EH91" si="686">IF($CT80="","",TRIM(IFERROR(RIGHT($CT80,LEN($CT80)-FIND("§",SUBSTITUTE($CT80," ","§",LEN($CT80)-LEN(SUBSTITUTE($CT80," ",""))))),"")))</f>
        <v/>
      </c>
      <c r="EI80" t="str">
        <f t="shared" ref="EI80:EI91" si="687">IF($EH80="","",IFERROR(VALUE(LEFT($EH80,FIND("-",$EH80)-1)),""))</f>
        <v/>
      </c>
      <c r="EJ80" t="str">
        <f t="shared" ref="EJ80:EJ91" si="688">IF($EH80="","",IFERROR(VALUE(MID($EH80,FIND("-",$EH80)+1,99)),""))</f>
        <v/>
      </c>
      <c r="EK80" t="str">
        <f t="shared" ref="EK80:EK91" si="689">IF($CW80="","",TRIM(IFERROR(RIGHT($CW80,LEN($CW80)-FIND("§",SUBSTITUTE($CW80," ","§",LEN($CW80)-LEN(SUBSTITUTE($CW80," ",""))))),"")))</f>
        <v/>
      </c>
      <c r="EL80" t="str">
        <f t="shared" ref="EL80:EL91" si="690">IF($EK80="","",IFERROR(VALUE(LEFT($EK80,FIND("-",$EK80)-1)),""))</f>
        <v/>
      </c>
      <c r="EM80" t="str">
        <f t="shared" ref="EM80:EM91" si="691">IF($EK80="","",IFERROR(VALUE(MID($EK80,FIND("-",$EK80)+1,99)),""))</f>
        <v/>
      </c>
      <c r="EN80" t="str">
        <f t="shared" ref="EN80:EN91" si="692">IF($CZ80="","",TRIM(IFERROR(RIGHT($CZ80,LEN($CZ80)-FIND("§",SUBSTITUTE($CZ80," ","§",LEN($CZ80)-LEN(SUBSTITUTE($CZ80," ",""))))),"")))</f>
        <v/>
      </c>
      <c r="EO80" t="str">
        <f t="shared" ref="EO80:EO91" si="693">IF($EN80="","",IFERROR(VALUE(LEFT($EN80,FIND("-",$EN80)-1)),""))</f>
        <v/>
      </c>
      <c r="EP80" t="str">
        <f t="shared" ref="EP80:EP91" si="694">IF($EN80="","",IFERROR(VALUE(MID($EN80,FIND("-",$EN80)+1,99)),""))</f>
        <v/>
      </c>
      <c r="EQ80" t="str">
        <f t="shared" ref="EQ80:EQ91" si="695">IF($DC80="","",TRIM(IFERROR(RIGHT($DC80,LEN($DC80)-FIND("§",SUBSTITUTE($DC80," ","§",LEN($DC80)-LEN(SUBSTITUTE($DC80," ",""))))),"")))</f>
        <v/>
      </c>
      <c r="ER80" t="str">
        <f t="shared" ref="ER80:ER91" si="696">IF($EQ80="","",IFERROR(VALUE(LEFT($EQ80,FIND("-",$EQ80)-1)),""))</f>
        <v/>
      </c>
      <c r="ES80" t="str">
        <f t="shared" ref="ES80:ES91" si="697">IF($EQ80="","",IFERROR(VALUE(MID($EQ80,FIND("-",$EQ80)+1,99)),""))</f>
        <v/>
      </c>
      <c r="ET80" t="str">
        <f t="shared" ref="ET80:ET91" si="698">IF($DF80="","",TRIM(IFERROR(RIGHT($DF80,LEN($DF80)-FIND("§",SUBSTITUTE($DF80," ","§",LEN($DF80)-LEN(SUBSTITUTE($DF80," ",""))))),"")))</f>
        <v/>
      </c>
      <c r="EU80" t="str">
        <f t="shared" ref="EU80:EU91" si="699">IF($ET80="","",IFERROR(VALUE(LEFT($ET80,FIND("-",$ET80)-1)),""))</f>
        <v/>
      </c>
      <c r="EV80" t="str">
        <f t="shared" ref="EV80:EV91" si="700">IF($ET80="","",IFERROR(VALUE(MID($ET80,FIND("-",$ET80)+1,99)),""))</f>
        <v/>
      </c>
      <c r="EW80" t="str">
        <f t="shared" ref="EW80:EW91" si="701">IF($DI80="","",TRIM(IFERROR(RIGHT($DI80,LEN($DI80)-FIND("§",SUBSTITUTE($DI80," ","§",LEN($DI80)-LEN(SUBSTITUTE($DI80," ",""))))),"")))</f>
        <v/>
      </c>
      <c r="EX80" t="str">
        <f t="shared" ref="EX80:EX91" si="702">IF($EW80="","",IFERROR(VALUE(LEFT($EW80,FIND("-",$EW80)-1)),""))</f>
        <v/>
      </c>
      <c r="EY80" t="str">
        <f t="shared" ref="EY80:EY91" si="703">IF($EW80="","",IFERROR(VALUE(MID($EW80,FIND("-",$EW80)+1,99)),""))</f>
        <v/>
      </c>
    </row>
    <row r="81" spans="1:155" ht="13.9" customHeight="1" x14ac:dyDescent="0.25">
      <c r="A81" s="7"/>
      <c r="B81" s="17"/>
      <c r="C81" s="8"/>
      <c r="D81" s="17"/>
      <c r="E81" s="8"/>
      <c r="F81" s="18">
        <v>0</v>
      </c>
      <c r="G81" s="7" t="s">
        <v>147</v>
      </c>
      <c r="H81" s="18">
        <v>0</v>
      </c>
      <c r="I81" s="19">
        <v>0</v>
      </c>
      <c r="J81" s="7" t="s">
        <v>147</v>
      </c>
      <c r="K81" s="19">
        <v>0</v>
      </c>
      <c r="L81" s="9"/>
      <c r="M81" s="3" t="str">
        <f>IF($L81="","",IF($L81="DOELPUNTENMAKERS","",IF(AND(COUNTIF(#REF!,$B81)=0,COUNTIF(#REF!,$D81)=0),"OK",IF($O81&gt;20,"LET OP: meer dan 20 items (controle onvolledig)",IF((COUNTIF($R81:$AS81,"ONZEKER")+COUNTIF($CJ81:$DK81,"ONZEKER"))&gt;0,"LET OP: scoreverloop onduidelijk (controle beperkt)",IF((IF($AT81&lt;&gt;"",$AT81&amp;", ","")&amp;IF($AU81&lt;&gt;"",$AU81&amp;", ","")&amp;IF($AV81&lt;&gt;"",$AV81&amp;", ","")&amp;IF($AW81&lt;&gt;"",$AW81&amp;", ","")&amp;IF($AX81&lt;&gt;"",$AX81&amp;", ","")&amp;IF($AY81&lt;&gt;"",$AY81&amp;", ","")&amp;IF($AZ81&lt;&gt;"",$AZ81&amp;", ","")&amp;IF($BA81&lt;&gt;"",$BA81&amp;", ","")&amp;IF($BB81&lt;&gt;"",$BB81&amp;", ","")&amp;IF($BC81&lt;&gt;"",$BC81&amp;", ","")&amp;IF($DL81&lt;&gt;"",$DL81&amp;", ","")&amp;IF($DM81&lt;&gt;"",$DM81&amp;", ","")&amp;IF($DN81&lt;&gt;"",$DN81&amp;", ","")&amp;IF($DO81&lt;&gt;"",$DO81&amp;", ","")&amp;IF($DP81&lt;&gt;"",$DP81&amp;", ","")&amp;IF($DQ81&lt;&gt;"",$DQ81&amp;", ","")&amp;IF($DR81&lt;&gt;"",$DR81&amp;", ","")&amp;IF($DS81&lt;&gt;"",$DS81&amp;", ","")&amp;IF($DT81&lt;&gt;"",$DT81&amp;", ","")&amp;IF($DU81&lt;&gt;"",$DU81&amp;", ",""))="","OK","Onbekend: "&amp;LEFT((IF($AT81&lt;&gt;"",$AT81&amp;", ","")&amp;IF($AU81&lt;&gt;"",$AU81&amp;", ","")&amp;IF($AV81&lt;&gt;"",$AV81&amp;", ","")&amp;IF($AW81&lt;&gt;"",$AW81&amp;", ","")&amp;IF($AX81&lt;&gt;"",$AX81&amp;", ","")&amp;IF($AY81&lt;&gt;"",$AY81&amp;", ","")&amp;IF($AZ81&lt;&gt;"",$AZ81&amp;", ","")&amp;IF($BA81&lt;&gt;"",$BA81&amp;", ","")&amp;IF($BB81&lt;&gt;"",$BB81&amp;", ","")&amp;IF($BC81&lt;&gt;"",$BC81&amp;", ","")&amp;IF($DL81&lt;&gt;"",$DL81&amp;", ","")&amp;IF($DM81&lt;&gt;"",$DM81&amp;", ","")&amp;IF($DN81&lt;&gt;"",$DN81&amp;", ","")&amp;IF($DO81&lt;&gt;"",$DO81&amp;", ","")&amp;IF($DP81&lt;&gt;"",$DP81&amp;", ","")&amp;IF($DQ81&lt;&gt;"",$DQ81&amp;", ","")&amp;IF($DR81&lt;&gt;"",$DR81&amp;", ","")&amp;IF($DS81&lt;&gt;"",$DS81&amp;", ","")&amp;IF($DT81&lt;&gt;"",$DT81&amp;", ","")&amp;IF($DU81&lt;&gt;"",$DU81&amp;", ","")),LEN((IF($AT81&lt;&gt;"",$AT81&amp;", ","")&amp;IF($AU81&lt;&gt;"",$AU81&amp;", ","")&amp;IF($AV81&lt;&gt;"",$AV81&amp;", ","")&amp;IF($AW81&lt;&gt;"",$AW81&amp;", ","")&amp;IF($AX81&lt;&gt;"",$AX81&amp;", ","")&amp;IF($AY81&lt;&gt;"",$AY81&amp;", ","")&amp;IF($AZ81&lt;&gt;"",$AZ81&amp;", ","")&amp;IF($BA81&lt;&gt;"",$BA81&amp;", ","")&amp;IF($BB81&lt;&gt;"",$BB81&amp;", ","")&amp;IF($BC81&lt;&gt;"",$BC81&amp;", ","")&amp;IF($DL81&lt;&gt;"",$DL81&amp;", ","")&amp;IF($DM81&lt;&gt;"",$DM81&amp;", ","")&amp;IF($DN81&lt;&gt;"",$DN81&amp;", ","")&amp;IF($DO81&lt;&gt;"",$DO81&amp;", ","")&amp;IF($DP81&lt;&gt;"",$DP81&amp;", ","")&amp;IF($DQ81&lt;&gt;"",$DQ81&amp;", ","")&amp;IF($DR81&lt;&gt;"",$DR81&amp;", ","")&amp;IF($DS81&lt;&gt;"",$DS81&amp;", ","")&amp;IF($DT81&lt;&gt;"",$DT81&amp;", ","")&amp;IF($DU81&lt;&gt;"",$DU81&amp;", ","")))-2)))))))</f>
        <v/>
      </c>
      <c r="N81" t="str">
        <f t="shared" si="612"/>
        <v/>
      </c>
      <c r="O81" t="str">
        <f t="shared" si="613"/>
        <v/>
      </c>
      <c r="P81" t="str">
        <f t="shared" si="614"/>
        <v/>
      </c>
      <c r="Q81" t="str">
        <f t="shared" si="615"/>
        <v/>
      </c>
      <c r="R81" t="str">
        <f>IF($Q81="","",IF(OR($BE81="",$BF81=""),"ONZEKER",IF(AND($BE81=0+1,$BF81=0),IF(OR(COUNTIF(#REF!,$B81)&gt;0,COUNTIF(#REF!,$B81)=0),"SKIP",IF(COUNTIFS(#REF!,$B81,#REF!,$Q81)&gt;0,"OK","ONBEKEND")),IF(AND($BE81=0,$BF81=0+1),IF(OR(COUNTIF(#REF!,$D81)&gt;0,COUNTIF(#REF!,$D81)=0),"SKIP",IF(COUNTIFS(#REF!,$D81,#REF!,$Q81)&gt;0,"OK","ONBEKEND")),"ONZEKER"))))</f>
        <v/>
      </c>
      <c r="S81" t="str">
        <f t="shared" si="616"/>
        <v/>
      </c>
      <c r="T81" t="str">
        <f t="shared" si="617"/>
        <v/>
      </c>
      <c r="U81" t="str">
        <f>IF($T81="","",IF(OR($BH81="",$BI81=""),"ONZEKER",IF(OR($BE81="",$BF81=""),"ONZEKER",IF(AND($BH81=$BE81+1,$BI81=$BF81),IF(OR(COUNTIF(#REF!,$B81)&gt;0,COUNTIF(#REF!,$B81)=0),"SKIP",IF(COUNTIFS(#REF!,$B81,#REF!,$T81)&gt;0,"OK","ONBEKEND")),IF(AND($BH81=$BE81,$BI81=$BF81+1),IF(OR(COUNTIF(#REF!,$D81)&gt;0,COUNTIF(#REF!,$D81)=0),"SKIP",IF(COUNTIFS(#REF!,$D81,#REF!,$T81)&gt;0,"OK","ONBEKEND")),"ONZEKER")))))</f>
        <v/>
      </c>
      <c r="V81" t="str">
        <f t="shared" si="618"/>
        <v/>
      </c>
      <c r="W81" t="str">
        <f t="shared" si="619"/>
        <v/>
      </c>
      <c r="X81" t="str">
        <f>IF($W81="","",IF(OR($BK81="",$BL81=""),"ONZEKER",IF(OR($BH81="",$BI81=""),"ONZEKER",IF(AND($BK81=$BH81+1,$BL81=$BI81),IF(OR(COUNTIF(#REF!,$B81)&gt;0,COUNTIF(#REF!,$B81)=0),"SKIP",IF(COUNTIFS(#REF!,$B81,#REF!,$W81)&gt;0,"OK","ONBEKEND")),IF(AND($BK81=$BH81,$BL81=$BI81+1),IF(OR(COUNTIF(#REF!,$D81)&gt;0,COUNTIF(#REF!,$D81)=0),"SKIP",IF(COUNTIFS(#REF!,$D81,#REF!,$W81)&gt;0,"OK","ONBEKEND")),"ONZEKER")))))</f>
        <v/>
      </c>
      <c r="Y81" t="str">
        <f t="shared" si="620"/>
        <v/>
      </c>
      <c r="Z81" t="str">
        <f t="shared" si="621"/>
        <v/>
      </c>
      <c r="AA81" t="str">
        <f>IF($Z81="","",IF(OR($BN81="",$BO81=""),"ONZEKER",IF(OR($BK81="",$BL81=""),"ONZEKER",IF(AND($BN81=$BK81+1,$BO81=$BL81),IF(OR(COUNTIF(#REF!,$B81)&gt;0,COUNTIF(#REF!,$B81)=0),"SKIP",IF(COUNTIFS(#REF!,$B81,#REF!,$Z81)&gt;0,"OK","ONBEKEND")),IF(AND($BN81=$BK81,$BO81=$BL81+1),IF(OR(COUNTIF(#REF!,$D81)&gt;0,COUNTIF(#REF!,$D81)=0),"SKIP",IF(COUNTIFS(#REF!,$D81,#REF!,$Z81)&gt;0,"OK","ONBEKEND")),"ONZEKER")))))</f>
        <v/>
      </c>
      <c r="AB81" t="str">
        <f t="shared" si="622"/>
        <v/>
      </c>
      <c r="AC81" t="str">
        <f t="shared" si="623"/>
        <v/>
      </c>
      <c r="AD81" t="str">
        <f>IF($AC81="","",IF(OR($BQ81="",$BR81=""),"ONZEKER",IF(OR($BN81="",$BO81=""),"ONZEKER",IF(AND($BQ81=$BN81+1,$BR81=$BO81),IF(OR(COUNTIF(#REF!,$B81)&gt;0,COUNTIF(#REF!,$B81)=0),"SKIP",IF(COUNTIFS(#REF!,$B81,#REF!,$AC81)&gt;0,"OK","ONBEKEND")),IF(AND($BQ81=$BN81,$BR81=$BO81+1),IF(OR(COUNTIF(#REF!,$D81)&gt;0,COUNTIF(#REF!,$D81)=0),"SKIP",IF(COUNTIFS(#REF!,$D81,#REF!,$AC81)&gt;0,"OK","ONBEKEND")),"ONZEKER")))))</f>
        <v/>
      </c>
      <c r="AE81" t="str">
        <f t="shared" si="624"/>
        <v/>
      </c>
      <c r="AF81" t="str">
        <f t="shared" si="625"/>
        <v/>
      </c>
      <c r="AG81" t="str">
        <f>IF($AF81="","",IF(OR($BT81="",$BU81=""),"ONZEKER",IF(OR($BQ81="",$BR81=""),"ONZEKER",IF(AND($BT81=$BQ81+1,$BU81=$BR81),IF(OR(COUNTIF(#REF!,$B81)&gt;0,COUNTIF(#REF!,$B81)=0),"SKIP",IF(COUNTIFS(#REF!,$B81,#REF!,$AF81)&gt;0,"OK","ONBEKEND")),IF(AND($BT81=$BQ81,$BU81=$BR81+1),IF(OR(COUNTIF(#REF!,$D81)&gt;0,COUNTIF(#REF!,$D81)=0),"SKIP",IF(COUNTIFS(#REF!,$D81,#REF!,$AF81)&gt;0,"OK","ONBEKEND")),"ONZEKER")))))</f>
        <v/>
      </c>
      <c r="AH81" t="str">
        <f t="shared" si="626"/>
        <v/>
      </c>
      <c r="AI81" t="str">
        <f t="shared" si="627"/>
        <v/>
      </c>
      <c r="AJ81" t="str">
        <f>IF($AI81="","",IF(OR($BW81="",$BX81=""),"ONZEKER",IF(OR($BT81="",$BU81=""),"ONZEKER",IF(AND($BW81=$BT81+1,$BX81=$BU81),IF(OR(COUNTIF(#REF!,$B81)&gt;0,COUNTIF(#REF!,$B81)=0),"SKIP",IF(COUNTIFS(#REF!,$B81,#REF!,$AI81)&gt;0,"OK","ONBEKEND")),IF(AND($BW81=$BT81,$BX81=$BU81+1),IF(OR(COUNTIF(#REF!,$D81)&gt;0,COUNTIF(#REF!,$D81)=0),"SKIP",IF(COUNTIFS(#REF!,$D81,#REF!,$AI81)&gt;0,"OK","ONBEKEND")),"ONZEKER")))))</f>
        <v/>
      </c>
      <c r="AK81" t="str">
        <f t="shared" si="628"/>
        <v/>
      </c>
      <c r="AL81" t="str">
        <f t="shared" si="629"/>
        <v/>
      </c>
      <c r="AM81" t="str">
        <f>IF($AL81="","",IF(OR($BZ81="",$CA81=""),"ONZEKER",IF(OR($BW81="",$BX81=""),"ONZEKER",IF(AND($BZ81=$BW81+1,$CA81=$BX81),IF(OR(COUNTIF(#REF!,$B81)&gt;0,COUNTIF(#REF!,$B81)=0),"SKIP",IF(COUNTIFS(#REF!,$B81,#REF!,$AL81)&gt;0,"OK","ONBEKEND")),IF(AND($BZ81=$BW81,$CA81=$BX81+1),IF(OR(COUNTIF(#REF!,$D81)&gt;0,COUNTIF(#REF!,$D81)=0),"SKIP",IF(COUNTIFS(#REF!,$D81,#REF!,$AL81)&gt;0,"OK","ONBEKEND")),"ONZEKER")))))</f>
        <v/>
      </c>
      <c r="AN81" t="str">
        <f t="shared" si="630"/>
        <v/>
      </c>
      <c r="AO81" t="str">
        <f t="shared" si="631"/>
        <v/>
      </c>
      <c r="AP81" t="str">
        <f>IF($AO81="","",IF(OR($CC81="",$CD81=""),"ONZEKER",IF(OR($BZ81="",$CA81=""),"ONZEKER",IF(AND($CC81=$BZ81+1,$CD81=$CA81),IF(OR(COUNTIF(#REF!,$B81)&gt;0,COUNTIF(#REF!,$B81)=0),"SKIP",IF(COUNTIFS(#REF!,$B81,#REF!,$AO81)&gt;0,"OK","ONBEKEND")),IF(AND($CC81=$BZ81,$CD81=$CA81+1),IF(OR(COUNTIF(#REF!,$D81)&gt;0,COUNTIF(#REF!,$D81)=0),"SKIP",IF(COUNTIFS(#REF!,$D81,#REF!,$AO81)&gt;0,"OK","ONBEKEND")),"ONZEKER")))))</f>
        <v/>
      </c>
      <c r="AQ81" t="str">
        <f t="shared" si="632"/>
        <v/>
      </c>
      <c r="AR81" t="str">
        <f t="shared" si="633"/>
        <v/>
      </c>
      <c r="AS81" t="str">
        <f>IF($AR81="","",IF(OR($CF81="",$CG81=""),"ONZEKER",IF(OR($CC81="",$CD81=""),"ONZEKER",IF(AND($CF81=$CC81+1,$CG81=$CD81),IF(OR(COUNTIF(#REF!,$B81)&gt;0,COUNTIF(#REF!,$B81)=0),"SKIP",IF(COUNTIFS(#REF!,$B81,#REF!,$AR81)&gt;0,"OK","ONBEKEND")),IF(AND($CF81=$CC81,$CG81=$CD81+1),IF(OR(COUNTIF(#REF!,$D81)&gt;0,COUNTIF(#REF!,$D81)=0),"SKIP",IF(COUNTIFS(#REF!,$D81,#REF!,$AR81)&gt;0,"OK","ONBEKEND")),"ONZEKER")))))</f>
        <v/>
      </c>
      <c r="AT81" t="str">
        <f t="shared" si="634"/>
        <v/>
      </c>
      <c r="AU81" t="str">
        <f t="shared" si="635"/>
        <v/>
      </c>
      <c r="AV81" t="str">
        <f t="shared" si="636"/>
        <v/>
      </c>
      <c r="AW81" t="str">
        <f t="shared" si="637"/>
        <v/>
      </c>
      <c r="AX81" t="str">
        <f t="shared" si="638"/>
        <v/>
      </c>
      <c r="AY81" t="str">
        <f t="shared" si="639"/>
        <v/>
      </c>
      <c r="AZ81" t="str">
        <f t="shared" si="640"/>
        <v/>
      </c>
      <c r="BA81" t="str">
        <f t="shared" si="641"/>
        <v/>
      </c>
      <c r="BB81" t="str">
        <f t="shared" si="642"/>
        <v/>
      </c>
      <c r="BC81" t="str">
        <f t="shared" si="643"/>
        <v/>
      </c>
      <c r="BD81" t="str">
        <f t="shared" si="490"/>
        <v/>
      </c>
      <c r="BE81" t="str">
        <f t="shared" si="491"/>
        <v/>
      </c>
      <c r="BF81" t="str">
        <f t="shared" si="492"/>
        <v/>
      </c>
      <c r="BG81" t="str">
        <f t="shared" si="493"/>
        <v/>
      </c>
      <c r="BH81" t="str">
        <f t="shared" si="494"/>
        <v/>
      </c>
      <c r="BI81" t="str">
        <f t="shared" si="495"/>
        <v/>
      </c>
      <c r="BJ81" t="str">
        <f t="shared" si="496"/>
        <v/>
      </c>
      <c r="BK81" t="str">
        <f t="shared" si="497"/>
        <v/>
      </c>
      <c r="BL81" t="str">
        <f t="shared" si="498"/>
        <v/>
      </c>
      <c r="BM81" t="str">
        <f t="shared" si="499"/>
        <v/>
      </c>
      <c r="BN81" t="str">
        <f t="shared" si="500"/>
        <v/>
      </c>
      <c r="BO81" t="str">
        <f t="shared" si="501"/>
        <v/>
      </c>
      <c r="BP81" t="str">
        <f t="shared" si="502"/>
        <v/>
      </c>
      <c r="BQ81" t="str">
        <f t="shared" si="503"/>
        <v/>
      </c>
      <c r="BR81" t="str">
        <f t="shared" si="504"/>
        <v/>
      </c>
      <c r="BS81" t="str">
        <f t="shared" si="505"/>
        <v/>
      </c>
      <c r="BT81" t="str">
        <f t="shared" si="506"/>
        <v/>
      </c>
      <c r="BU81" t="str">
        <f t="shared" si="507"/>
        <v/>
      </c>
      <c r="BV81" t="str">
        <f t="shared" si="508"/>
        <v/>
      </c>
      <c r="BW81" t="str">
        <f t="shared" si="509"/>
        <v/>
      </c>
      <c r="BX81" t="str">
        <f t="shared" si="510"/>
        <v/>
      </c>
      <c r="BY81" t="str">
        <f t="shared" si="511"/>
        <v/>
      </c>
      <c r="BZ81" t="str">
        <f t="shared" si="512"/>
        <v/>
      </c>
      <c r="CA81" t="str">
        <f t="shared" si="513"/>
        <v/>
      </c>
      <c r="CB81" t="str">
        <f t="shared" si="514"/>
        <v/>
      </c>
      <c r="CC81" t="str">
        <f t="shared" si="515"/>
        <v/>
      </c>
      <c r="CD81" t="str">
        <f t="shared" si="516"/>
        <v/>
      </c>
      <c r="CE81" t="str">
        <f t="shared" si="517"/>
        <v/>
      </c>
      <c r="CF81" t="str">
        <f t="shared" si="518"/>
        <v/>
      </c>
      <c r="CG81" t="str">
        <f t="shared" si="519"/>
        <v/>
      </c>
      <c r="CH81" t="str">
        <f t="shared" si="644"/>
        <v/>
      </c>
      <c r="CI81" t="str">
        <f t="shared" si="645"/>
        <v/>
      </c>
      <c r="CJ81" t="str">
        <f>IF($CI81="","",IF(OR($DW81="",$DX81=""),"ONZEKER",IF(OR($CF81="",$CG81=""),"ONZEKER",IF(AND($DW81=$CF81+1,$DX81=$CG81),IF(OR(COUNTIF(#REF!,$B81)&gt;0,COUNTIF(#REF!,$B81)=0),"SKIP",IF(COUNTIFS(#REF!,$B81,#REF!,$CI81)&gt;0,"OK","ONBEKEND")),IF(AND($DW81=$CF81,$DX81=$CG81+1),IF(OR(COUNTIF(#REF!,$D81)&gt;0,COUNTIF(#REF!,$D81)=0),"SKIP",IF(COUNTIFS(#REF!,$D81,#REF!,$CI81)&gt;0,"OK","ONBEKEND")),"ONZEKER")))))</f>
        <v/>
      </c>
      <c r="CK81" t="str">
        <f t="shared" si="646"/>
        <v/>
      </c>
      <c r="CL81" t="str">
        <f t="shared" si="647"/>
        <v/>
      </c>
      <c r="CM81" t="str">
        <f>IF($CL81="","",IF(OR($DZ81="",$EA81=""),"ONZEKER",IF(OR($DW81="",$DX81=""),"ONZEKER",IF(AND($DZ81=$DW81+1,$EA81=$DX81),IF(OR(COUNTIF(#REF!,$B81)&gt;0,COUNTIF(#REF!,$B81)=0),"SKIP",IF(COUNTIFS(#REF!,$B81,#REF!,$CL81)&gt;0,"OK","ONBEKEND")),IF(AND($DZ81=$DW81,$EA81=$DX81+1),IF(OR(COUNTIF(#REF!,$D81)&gt;0,COUNTIF(#REF!,$D81)=0),"SKIP",IF(COUNTIFS(#REF!,$D81,#REF!,$CL81)&gt;0,"OK","ONBEKEND")),"ONZEKER")))))</f>
        <v/>
      </c>
      <c r="CN81" t="str">
        <f t="shared" si="648"/>
        <v/>
      </c>
      <c r="CO81" t="str">
        <f t="shared" si="649"/>
        <v/>
      </c>
      <c r="CP81" t="str">
        <f>IF($CO81="","",IF(OR($EC81="",$ED81=""),"ONZEKER",IF(OR($DZ81="",$EA81=""),"ONZEKER",IF(AND($EC81=$DZ81+1,$ED81=$EA81),IF(OR(COUNTIF(#REF!,$B81)&gt;0,COUNTIF(#REF!,$B81)=0),"SKIP",IF(COUNTIFS(#REF!,$B81,#REF!,$CO81)&gt;0,"OK","ONBEKEND")),IF(AND($EC81=$DZ81,$ED81=$EA81+1),IF(OR(COUNTIF(#REF!,$D81)&gt;0,COUNTIF(#REF!,$D81)=0),"SKIP",IF(COUNTIFS(#REF!,$D81,#REF!,$CO81)&gt;0,"OK","ONBEKEND")),"ONZEKER")))))</f>
        <v/>
      </c>
      <c r="CQ81" t="str">
        <f t="shared" si="650"/>
        <v/>
      </c>
      <c r="CR81" t="str">
        <f t="shared" si="651"/>
        <v/>
      </c>
      <c r="CS81" t="str">
        <f>IF($CR81="","",IF(OR($EF81="",$EG81=""),"ONZEKER",IF(OR($EC81="",$ED81=""),"ONZEKER",IF(AND($EF81=$EC81+1,$EG81=$ED81),IF(OR(COUNTIF(#REF!,$B81)&gt;0,COUNTIF(#REF!,$B81)=0),"SKIP",IF(COUNTIFS(#REF!,$B81,#REF!,$CR81)&gt;0,"OK","ONBEKEND")),IF(AND($EF81=$EC81,$EG81=$ED81+1),IF(OR(COUNTIF(#REF!,$D81)&gt;0,COUNTIF(#REF!,$D81)=0),"SKIP",IF(COUNTIFS(#REF!,$D81,#REF!,$CR81)&gt;0,"OK","ONBEKEND")),"ONZEKER")))))</f>
        <v/>
      </c>
      <c r="CT81" t="str">
        <f t="shared" si="652"/>
        <v/>
      </c>
      <c r="CU81" t="str">
        <f t="shared" si="653"/>
        <v/>
      </c>
      <c r="CV81" t="str">
        <f>IF($CU81="","",IF(OR($EI81="",$EJ81=""),"ONZEKER",IF(OR($EF81="",$EG81=""),"ONZEKER",IF(AND($EI81=$EF81+1,$EJ81=$EG81),IF(OR(COUNTIF(#REF!,$B81)&gt;0,COUNTIF(#REF!,$B81)=0),"SKIP",IF(COUNTIFS(#REF!,$B81,#REF!,$CU81)&gt;0,"OK","ONBEKEND")),IF(AND($EI81=$EF81,$EJ81=$EG81+1),IF(OR(COUNTIF(#REF!,$D81)&gt;0,COUNTIF(#REF!,$D81)=0),"SKIP",IF(COUNTIFS(#REF!,$D81,#REF!,$CU81)&gt;0,"OK","ONBEKEND")),"ONZEKER")))))</f>
        <v/>
      </c>
      <c r="CW81" t="str">
        <f t="shared" si="654"/>
        <v/>
      </c>
      <c r="CX81" t="str">
        <f t="shared" si="655"/>
        <v/>
      </c>
      <c r="CY81" t="str">
        <f>IF($CX81="","",IF(OR($EL81="",$EM81=""),"ONZEKER",IF(OR($EI81="",$EJ81=""),"ONZEKER",IF(AND($EL81=$EI81+1,$EM81=$EJ81),IF(OR(COUNTIF(#REF!,$B81)&gt;0,COUNTIF(#REF!,$B81)=0),"SKIP",IF(COUNTIFS(#REF!,$B81,#REF!,$CX81)&gt;0,"OK","ONBEKEND")),IF(AND($EL81=$EI81,$EM81=$EJ81+1),IF(OR(COUNTIF(#REF!,$D81)&gt;0,COUNTIF(#REF!,$D81)=0),"SKIP",IF(COUNTIFS(#REF!,$D81,#REF!,$CX81)&gt;0,"OK","ONBEKEND")),"ONZEKER")))))</f>
        <v/>
      </c>
      <c r="CZ81" t="str">
        <f t="shared" si="656"/>
        <v/>
      </c>
      <c r="DA81" t="str">
        <f t="shared" si="657"/>
        <v/>
      </c>
      <c r="DB81" t="str">
        <f>IF($DA81="","",IF(OR($EO81="",$EP81=""),"ONZEKER",IF(OR($EL81="",$EM81=""),"ONZEKER",IF(AND($EO81=$EL81+1,$EP81=$EM81),IF(OR(COUNTIF(#REF!,$B81)&gt;0,COUNTIF(#REF!,$B81)=0),"SKIP",IF(COUNTIFS(#REF!,$B81,#REF!,$DA81)&gt;0,"OK","ONBEKEND")),IF(AND($EO81=$EL81,$EP81=$EM81+1),IF(OR(COUNTIF(#REF!,$D81)&gt;0,COUNTIF(#REF!,$D81)=0),"SKIP",IF(COUNTIFS(#REF!,$D81,#REF!,$DA81)&gt;0,"OK","ONBEKEND")),"ONZEKER")))))</f>
        <v/>
      </c>
      <c r="DC81" t="str">
        <f t="shared" si="658"/>
        <v/>
      </c>
      <c r="DD81" t="str">
        <f t="shared" si="659"/>
        <v/>
      </c>
      <c r="DE81" t="str">
        <f>IF($DD81="","",IF(OR($ER81="",$ES81=""),"ONZEKER",IF(OR($EO81="",$EP81=""),"ONZEKER",IF(AND($ER81=$EO81+1,$ES81=$EP81),IF(OR(COUNTIF(#REF!,$B81)&gt;0,COUNTIF(#REF!,$B81)=0),"SKIP",IF(COUNTIFS(#REF!,$B81,#REF!,$DD81)&gt;0,"OK","ONBEKEND")),IF(AND($ER81=$EO81,$ES81=$EP81+1),IF(OR(COUNTIF(#REF!,$D81)&gt;0,COUNTIF(#REF!,$D81)=0),"SKIP",IF(COUNTIFS(#REF!,$D81,#REF!,$DD81)&gt;0,"OK","ONBEKEND")),"ONZEKER")))))</f>
        <v/>
      </c>
      <c r="DF81" t="str">
        <f t="shared" si="660"/>
        <v/>
      </c>
      <c r="DG81" t="str">
        <f t="shared" si="661"/>
        <v/>
      </c>
      <c r="DH81" t="str">
        <f>IF($DG81="","",IF(OR($EU81="",$EV81=""),"ONZEKER",IF(OR($ER81="",$ES81=""),"ONZEKER",IF(AND($EU81=$ER81+1,$EV81=$ES81),IF(OR(COUNTIF(#REF!,$B81)&gt;0,COUNTIF(#REF!,$B81)=0),"SKIP",IF(COUNTIFS(#REF!,$B81,#REF!,$DG81)&gt;0,"OK","ONBEKEND")),IF(AND($EU81=$ER81,$EV81=$ES81+1),IF(OR(COUNTIF(#REF!,$D81)&gt;0,COUNTIF(#REF!,$D81)=0),"SKIP",IF(COUNTIFS(#REF!,$D81,#REF!,$DG81)&gt;0,"OK","ONBEKEND")),"ONZEKER")))))</f>
        <v/>
      </c>
      <c r="DI81" t="str">
        <f t="shared" si="662"/>
        <v/>
      </c>
      <c r="DJ81" t="str">
        <f t="shared" si="663"/>
        <v/>
      </c>
      <c r="DK81" t="str">
        <f>IF($DJ81="","",IF(OR($EX81="",$EY81=""),"ONZEKER",IF(OR($EU81="",$EV81=""),"ONZEKER",IF(AND($EX81=$EU81+1,$EY81=$EV81),IF(OR(COUNTIF(#REF!,$B81)&gt;0,COUNTIF(#REF!,$B81)=0),"SKIP",IF(COUNTIFS(#REF!,$B81,#REF!,$DJ81)&gt;0,"OK","ONBEKEND")),IF(AND($EX81=$EU81,$EY81=$EV81+1),IF(OR(COUNTIF(#REF!,$D81)&gt;0,COUNTIF(#REF!,$D81)=0),"SKIP",IF(COUNTIFS(#REF!,$D81,#REF!,$DJ81)&gt;0,"OK","ONBEKEND")),"ONZEKER")))))</f>
        <v/>
      </c>
      <c r="DL81" t="str">
        <f t="shared" si="664"/>
        <v/>
      </c>
      <c r="DM81" t="str">
        <f t="shared" si="665"/>
        <v/>
      </c>
      <c r="DN81" t="str">
        <f t="shared" si="666"/>
        <v/>
      </c>
      <c r="DO81" t="str">
        <f t="shared" si="667"/>
        <v/>
      </c>
      <c r="DP81" t="str">
        <f t="shared" si="668"/>
        <v/>
      </c>
      <c r="DQ81" t="str">
        <f t="shared" si="669"/>
        <v/>
      </c>
      <c r="DR81" t="str">
        <f t="shared" si="670"/>
        <v/>
      </c>
      <c r="DS81" t="str">
        <f t="shared" si="671"/>
        <v/>
      </c>
      <c r="DT81" t="str">
        <f t="shared" si="672"/>
        <v/>
      </c>
      <c r="DU81" t="str">
        <f t="shared" si="673"/>
        <v/>
      </c>
      <c r="DV81" t="str">
        <f t="shared" si="674"/>
        <v/>
      </c>
      <c r="DW81" t="str">
        <f t="shared" si="675"/>
        <v/>
      </c>
      <c r="DX81" t="str">
        <f t="shared" si="676"/>
        <v/>
      </c>
      <c r="DY81" t="str">
        <f t="shared" si="677"/>
        <v/>
      </c>
      <c r="DZ81" t="str">
        <f t="shared" si="678"/>
        <v/>
      </c>
      <c r="EA81" t="str">
        <f t="shared" si="679"/>
        <v/>
      </c>
      <c r="EB81" t="str">
        <f t="shared" si="680"/>
        <v/>
      </c>
      <c r="EC81" t="str">
        <f t="shared" si="681"/>
        <v/>
      </c>
      <c r="ED81" t="str">
        <f t="shared" si="682"/>
        <v/>
      </c>
      <c r="EE81" t="str">
        <f t="shared" si="683"/>
        <v/>
      </c>
      <c r="EF81" t="str">
        <f t="shared" si="684"/>
        <v/>
      </c>
      <c r="EG81" t="str">
        <f t="shared" si="685"/>
        <v/>
      </c>
      <c r="EH81" t="str">
        <f t="shared" si="686"/>
        <v/>
      </c>
      <c r="EI81" t="str">
        <f t="shared" si="687"/>
        <v/>
      </c>
      <c r="EJ81" t="str">
        <f t="shared" si="688"/>
        <v/>
      </c>
      <c r="EK81" t="str">
        <f t="shared" si="689"/>
        <v/>
      </c>
      <c r="EL81" t="str">
        <f t="shared" si="690"/>
        <v/>
      </c>
      <c r="EM81" t="str">
        <f t="shared" si="691"/>
        <v/>
      </c>
      <c r="EN81" t="str">
        <f t="shared" si="692"/>
        <v/>
      </c>
      <c r="EO81" t="str">
        <f t="shared" si="693"/>
        <v/>
      </c>
      <c r="EP81" t="str">
        <f t="shared" si="694"/>
        <v/>
      </c>
      <c r="EQ81" t="str">
        <f t="shared" si="695"/>
        <v/>
      </c>
      <c r="ER81" t="str">
        <f t="shared" si="696"/>
        <v/>
      </c>
      <c r="ES81" t="str">
        <f t="shared" si="697"/>
        <v/>
      </c>
      <c r="ET81" t="str">
        <f t="shared" si="698"/>
        <v/>
      </c>
      <c r="EU81" t="str">
        <f t="shared" si="699"/>
        <v/>
      </c>
      <c r="EV81" t="str">
        <f t="shared" si="700"/>
        <v/>
      </c>
      <c r="EW81" t="str">
        <f t="shared" si="701"/>
        <v/>
      </c>
      <c r="EX81" t="str">
        <f t="shared" si="702"/>
        <v/>
      </c>
      <c r="EY81" t="str">
        <f t="shared" si="703"/>
        <v/>
      </c>
    </row>
    <row r="82" spans="1:155" ht="13.9" customHeight="1" x14ac:dyDescent="0.25">
      <c r="A82" s="7"/>
      <c r="B82" s="17"/>
      <c r="C82" s="8"/>
      <c r="D82" s="17"/>
      <c r="E82" s="8"/>
      <c r="F82" s="18">
        <v>0</v>
      </c>
      <c r="G82" s="7" t="s">
        <v>147</v>
      </c>
      <c r="H82" s="18">
        <v>0</v>
      </c>
      <c r="I82" s="19">
        <v>0</v>
      </c>
      <c r="J82" s="7" t="s">
        <v>147</v>
      </c>
      <c r="K82" s="19">
        <v>0</v>
      </c>
      <c r="L82" s="9"/>
      <c r="M82" s="3" t="str">
        <f>IF($L82="","",IF($L82="DOELPUNTENMAKERS","",IF(AND(COUNTIF(#REF!,$B82)=0,COUNTIF(#REF!,$D82)=0),"OK",IF($O82&gt;20,"LET OP: meer dan 20 items (controle onvolledig)",IF((COUNTIF($R82:$AS82,"ONZEKER")+COUNTIF($CJ82:$DK82,"ONZEKER"))&gt;0,"LET OP: scoreverloop onduidelijk (controle beperkt)",IF((IF($AT82&lt;&gt;"",$AT82&amp;", ","")&amp;IF($AU82&lt;&gt;"",$AU82&amp;", ","")&amp;IF($AV82&lt;&gt;"",$AV82&amp;", ","")&amp;IF($AW82&lt;&gt;"",$AW82&amp;", ","")&amp;IF($AX82&lt;&gt;"",$AX82&amp;", ","")&amp;IF($AY82&lt;&gt;"",$AY82&amp;", ","")&amp;IF($AZ82&lt;&gt;"",$AZ82&amp;", ","")&amp;IF($BA82&lt;&gt;"",$BA82&amp;", ","")&amp;IF($BB82&lt;&gt;"",$BB82&amp;", ","")&amp;IF($BC82&lt;&gt;"",$BC82&amp;", ","")&amp;IF($DL82&lt;&gt;"",$DL82&amp;", ","")&amp;IF($DM82&lt;&gt;"",$DM82&amp;", ","")&amp;IF($DN82&lt;&gt;"",$DN82&amp;", ","")&amp;IF($DO82&lt;&gt;"",$DO82&amp;", ","")&amp;IF($DP82&lt;&gt;"",$DP82&amp;", ","")&amp;IF($DQ82&lt;&gt;"",$DQ82&amp;", ","")&amp;IF($DR82&lt;&gt;"",$DR82&amp;", ","")&amp;IF($DS82&lt;&gt;"",$DS82&amp;", ","")&amp;IF($DT82&lt;&gt;"",$DT82&amp;", ","")&amp;IF($DU82&lt;&gt;"",$DU82&amp;", ",""))="","OK","Onbekend: "&amp;LEFT((IF($AT82&lt;&gt;"",$AT82&amp;", ","")&amp;IF($AU82&lt;&gt;"",$AU82&amp;", ","")&amp;IF($AV82&lt;&gt;"",$AV82&amp;", ","")&amp;IF($AW82&lt;&gt;"",$AW82&amp;", ","")&amp;IF($AX82&lt;&gt;"",$AX82&amp;", ","")&amp;IF($AY82&lt;&gt;"",$AY82&amp;", ","")&amp;IF($AZ82&lt;&gt;"",$AZ82&amp;", ","")&amp;IF($BA82&lt;&gt;"",$BA82&amp;", ","")&amp;IF($BB82&lt;&gt;"",$BB82&amp;", ","")&amp;IF($BC82&lt;&gt;"",$BC82&amp;", ","")&amp;IF($DL82&lt;&gt;"",$DL82&amp;", ","")&amp;IF($DM82&lt;&gt;"",$DM82&amp;", ","")&amp;IF($DN82&lt;&gt;"",$DN82&amp;", ","")&amp;IF($DO82&lt;&gt;"",$DO82&amp;", ","")&amp;IF($DP82&lt;&gt;"",$DP82&amp;", ","")&amp;IF($DQ82&lt;&gt;"",$DQ82&amp;", ","")&amp;IF($DR82&lt;&gt;"",$DR82&amp;", ","")&amp;IF($DS82&lt;&gt;"",$DS82&amp;", ","")&amp;IF($DT82&lt;&gt;"",$DT82&amp;", ","")&amp;IF($DU82&lt;&gt;"",$DU82&amp;", ","")),LEN((IF($AT82&lt;&gt;"",$AT82&amp;", ","")&amp;IF($AU82&lt;&gt;"",$AU82&amp;", ","")&amp;IF($AV82&lt;&gt;"",$AV82&amp;", ","")&amp;IF($AW82&lt;&gt;"",$AW82&amp;", ","")&amp;IF($AX82&lt;&gt;"",$AX82&amp;", ","")&amp;IF($AY82&lt;&gt;"",$AY82&amp;", ","")&amp;IF($AZ82&lt;&gt;"",$AZ82&amp;", ","")&amp;IF($BA82&lt;&gt;"",$BA82&amp;", ","")&amp;IF($BB82&lt;&gt;"",$BB82&amp;", ","")&amp;IF($BC82&lt;&gt;"",$BC82&amp;", ","")&amp;IF($DL82&lt;&gt;"",$DL82&amp;", ","")&amp;IF($DM82&lt;&gt;"",$DM82&amp;", ","")&amp;IF($DN82&lt;&gt;"",$DN82&amp;", ","")&amp;IF($DO82&lt;&gt;"",$DO82&amp;", ","")&amp;IF($DP82&lt;&gt;"",$DP82&amp;", ","")&amp;IF($DQ82&lt;&gt;"",$DQ82&amp;", ","")&amp;IF($DR82&lt;&gt;"",$DR82&amp;", ","")&amp;IF($DS82&lt;&gt;"",$DS82&amp;", ","")&amp;IF($DT82&lt;&gt;"",$DT82&amp;", ","")&amp;IF($DU82&lt;&gt;"",$DU82&amp;", ","")))-2)))))))</f>
        <v/>
      </c>
      <c r="N82" t="str">
        <f t="shared" si="612"/>
        <v/>
      </c>
      <c r="O82" t="str">
        <f t="shared" si="613"/>
        <v/>
      </c>
      <c r="P82" t="str">
        <f t="shared" si="614"/>
        <v/>
      </c>
      <c r="Q82" t="str">
        <f t="shared" si="615"/>
        <v/>
      </c>
      <c r="R82" t="str">
        <f>IF($Q82="","",IF(OR($BE82="",$BF82=""),"ONZEKER",IF(AND($BE82=0+1,$BF82=0),IF(OR(COUNTIF(#REF!,$B82)&gt;0,COUNTIF(#REF!,$B82)=0),"SKIP",IF(COUNTIFS(#REF!,$B82,#REF!,$Q82)&gt;0,"OK","ONBEKEND")),IF(AND($BE82=0,$BF82=0+1),IF(OR(COUNTIF(#REF!,$D82)&gt;0,COUNTIF(#REF!,$D82)=0),"SKIP",IF(COUNTIFS(#REF!,$D82,#REF!,$Q82)&gt;0,"OK","ONBEKEND")),"ONZEKER"))))</f>
        <v/>
      </c>
      <c r="S82" t="str">
        <f t="shared" si="616"/>
        <v/>
      </c>
      <c r="T82" t="str">
        <f t="shared" si="617"/>
        <v/>
      </c>
      <c r="U82" t="str">
        <f>IF($T82="","",IF(OR($BH82="",$BI82=""),"ONZEKER",IF(OR($BE82="",$BF82=""),"ONZEKER",IF(AND($BH82=$BE82+1,$BI82=$BF82),IF(OR(COUNTIF(#REF!,$B82)&gt;0,COUNTIF(#REF!,$B82)=0),"SKIP",IF(COUNTIFS(#REF!,$B82,#REF!,$T82)&gt;0,"OK","ONBEKEND")),IF(AND($BH82=$BE82,$BI82=$BF82+1),IF(OR(COUNTIF(#REF!,$D82)&gt;0,COUNTIF(#REF!,$D82)=0),"SKIP",IF(COUNTIFS(#REF!,$D82,#REF!,$T82)&gt;0,"OK","ONBEKEND")),"ONZEKER")))))</f>
        <v/>
      </c>
      <c r="V82" t="str">
        <f t="shared" si="618"/>
        <v/>
      </c>
      <c r="W82" t="str">
        <f t="shared" si="619"/>
        <v/>
      </c>
      <c r="X82" t="str">
        <f>IF($W82="","",IF(OR($BK82="",$BL82=""),"ONZEKER",IF(OR($BH82="",$BI82=""),"ONZEKER",IF(AND($BK82=$BH82+1,$BL82=$BI82),IF(OR(COUNTIF(#REF!,$B82)&gt;0,COUNTIF(#REF!,$B82)=0),"SKIP",IF(COUNTIFS(#REF!,$B82,#REF!,$W82)&gt;0,"OK","ONBEKEND")),IF(AND($BK82=$BH82,$BL82=$BI82+1),IF(OR(COUNTIF(#REF!,$D82)&gt;0,COUNTIF(#REF!,$D82)=0),"SKIP",IF(COUNTIFS(#REF!,$D82,#REF!,$W82)&gt;0,"OK","ONBEKEND")),"ONZEKER")))))</f>
        <v/>
      </c>
      <c r="Y82" t="str">
        <f t="shared" si="620"/>
        <v/>
      </c>
      <c r="Z82" t="str">
        <f t="shared" si="621"/>
        <v/>
      </c>
      <c r="AA82" t="str">
        <f>IF($Z82="","",IF(OR($BN82="",$BO82=""),"ONZEKER",IF(OR($BK82="",$BL82=""),"ONZEKER",IF(AND($BN82=$BK82+1,$BO82=$BL82),IF(OR(COUNTIF(#REF!,$B82)&gt;0,COUNTIF(#REF!,$B82)=0),"SKIP",IF(COUNTIFS(#REF!,$B82,#REF!,$Z82)&gt;0,"OK","ONBEKEND")),IF(AND($BN82=$BK82,$BO82=$BL82+1),IF(OR(COUNTIF(#REF!,$D82)&gt;0,COUNTIF(#REF!,$D82)=0),"SKIP",IF(COUNTIFS(#REF!,$D82,#REF!,$Z82)&gt;0,"OK","ONBEKEND")),"ONZEKER")))))</f>
        <v/>
      </c>
      <c r="AB82" t="str">
        <f t="shared" si="622"/>
        <v/>
      </c>
      <c r="AC82" t="str">
        <f t="shared" si="623"/>
        <v/>
      </c>
      <c r="AD82" t="str">
        <f>IF($AC82="","",IF(OR($BQ82="",$BR82=""),"ONZEKER",IF(OR($BN82="",$BO82=""),"ONZEKER",IF(AND($BQ82=$BN82+1,$BR82=$BO82),IF(OR(COUNTIF(#REF!,$B82)&gt;0,COUNTIF(#REF!,$B82)=0),"SKIP",IF(COUNTIFS(#REF!,$B82,#REF!,$AC82)&gt;0,"OK","ONBEKEND")),IF(AND($BQ82=$BN82,$BR82=$BO82+1),IF(OR(COUNTIF(#REF!,$D82)&gt;0,COUNTIF(#REF!,$D82)=0),"SKIP",IF(COUNTIFS(#REF!,$D82,#REF!,$AC82)&gt;0,"OK","ONBEKEND")),"ONZEKER")))))</f>
        <v/>
      </c>
      <c r="AE82" t="str">
        <f t="shared" si="624"/>
        <v/>
      </c>
      <c r="AF82" t="str">
        <f t="shared" si="625"/>
        <v/>
      </c>
      <c r="AG82" t="str">
        <f>IF($AF82="","",IF(OR($BT82="",$BU82=""),"ONZEKER",IF(OR($BQ82="",$BR82=""),"ONZEKER",IF(AND($BT82=$BQ82+1,$BU82=$BR82),IF(OR(COUNTIF(#REF!,$B82)&gt;0,COUNTIF(#REF!,$B82)=0),"SKIP",IF(COUNTIFS(#REF!,$B82,#REF!,$AF82)&gt;0,"OK","ONBEKEND")),IF(AND($BT82=$BQ82,$BU82=$BR82+1),IF(OR(COUNTIF(#REF!,$D82)&gt;0,COUNTIF(#REF!,$D82)=0),"SKIP",IF(COUNTIFS(#REF!,$D82,#REF!,$AF82)&gt;0,"OK","ONBEKEND")),"ONZEKER")))))</f>
        <v/>
      </c>
      <c r="AH82" t="str">
        <f t="shared" si="626"/>
        <v/>
      </c>
      <c r="AI82" t="str">
        <f t="shared" si="627"/>
        <v/>
      </c>
      <c r="AJ82" t="str">
        <f>IF($AI82="","",IF(OR($BW82="",$BX82=""),"ONZEKER",IF(OR($BT82="",$BU82=""),"ONZEKER",IF(AND($BW82=$BT82+1,$BX82=$BU82),IF(OR(COUNTIF(#REF!,$B82)&gt;0,COUNTIF(#REF!,$B82)=0),"SKIP",IF(COUNTIFS(#REF!,$B82,#REF!,$AI82)&gt;0,"OK","ONBEKEND")),IF(AND($BW82=$BT82,$BX82=$BU82+1),IF(OR(COUNTIF(#REF!,$D82)&gt;0,COUNTIF(#REF!,$D82)=0),"SKIP",IF(COUNTIFS(#REF!,$D82,#REF!,$AI82)&gt;0,"OK","ONBEKEND")),"ONZEKER")))))</f>
        <v/>
      </c>
      <c r="AK82" t="str">
        <f t="shared" si="628"/>
        <v/>
      </c>
      <c r="AL82" t="str">
        <f t="shared" si="629"/>
        <v/>
      </c>
      <c r="AM82" t="str">
        <f>IF($AL82="","",IF(OR($BZ82="",$CA82=""),"ONZEKER",IF(OR($BW82="",$BX82=""),"ONZEKER",IF(AND($BZ82=$BW82+1,$CA82=$BX82),IF(OR(COUNTIF(#REF!,$B82)&gt;0,COUNTIF(#REF!,$B82)=0),"SKIP",IF(COUNTIFS(#REF!,$B82,#REF!,$AL82)&gt;0,"OK","ONBEKEND")),IF(AND($BZ82=$BW82,$CA82=$BX82+1),IF(OR(COUNTIF(#REF!,$D82)&gt;0,COUNTIF(#REF!,$D82)=0),"SKIP",IF(COUNTIFS(#REF!,$D82,#REF!,$AL82)&gt;0,"OK","ONBEKEND")),"ONZEKER")))))</f>
        <v/>
      </c>
      <c r="AN82" t="str">
        <f t="shared" si="630"/>
        <v/>
      </c>
      <c r="AO82" t="str">
        <f t="shared" si="631"/>
        <v/>
      </c>
      <c r="AP82" t="str">
        <f>IF($AO82="","",IF(OR($CC82="",$CD82=""),"ONZEKER",IF(OR($BZ82="",$CA82=""),"ONZEKER",IF(AND($CC82=$BZ82+1,$CD82=$CA82),IF(OR(COUNTIF(#REF!,$B82)&gt;0,COUNTIF(#REF!,$B82)=0),"SKIP",IF(COUNTIFS(#REF!,$B82,#REF!,$AO82)&gt;0,"OK","ONBEKEND")),IF(AND($CC82=$BZ82,$CD82=$CA82+1),IF(OR(COUNTIF(#REF!,$D82)&gt;0,COUNTIF(#REF!,$D82)=0),"SKIP",IF(COUNTIFS(#REF!,$D82,#REF!,$AO82)&gt;0,"OK","ONBEKEND")),"ONZEKER")))))</f>
        <v/>
      </c>
      <c r="AQ82" t="str">
        <f t="shared" si="632"/>
        <v/>
      </c>
      <c r="AR82" t="str">
        <f t="shared" si="633"/>
        <v/>
      </c>
      <c r="AS82" t="str">
        <f>IF($AR82="","",IF(OR($CF82="",$CG82=""),"ONZEKER",IF(OR($CC82="",$CD82=""),"ONZEKER",IF(AND($CF82=$CC82+1,$CG82=$CD82),IF(OR(COUNTIF(#REF!,$B82)&gt;0,COUNTIF(#REF!,$B82)=0),"SKIP",IF(COUNTIFS(#REF!,$B82,#REF!,$AR82)&gt;0,"OK","ONBEKEND")),IF(AND($CF82=$CC82,$CG82=$CD82+1),IF(OR(COUNTIF(#REF!,$D82)&gt;0,COUNTIF(#REF!,$D82)=0),"SKIP",IF(COUNTIFS(#REF!,$D82,#REF!,$AR82)&gt;0,"OK","ONBEKEND")),"ONZEKER")))))</f>
        <v/>
      </c>
      <c r="AT82" t="str">
        <f t="shared" si="634"/>
        <v/>
      </c>
      <c r="AU82" t="str">
        <f t="shared" si="635"/>
        <v/>
      </c>
      <c r="AV82" t="str">
        <f t="shared" si="636"/>
        <v/>
      </c>
      <c r="AW82" t="str">
        <f t="shared" si="637"/>
        <v/>
      </c>
      <c r="AX82" t="str">
        <f t="shared" si="638"/>
        <v/>
      </c>
      <c r="AY82" t="str">
        <f t="shared" si="639"/>
        <v/>
      </c>
      <c r="AZ82" t="str">
        <f t="shared" si="640"/>
        <v/>
      </c>
      <c r="BA82" t="str">
        <f t="shared" si="641"/>
        <v/>
      </c>
      <c r="BB82" t="str">
        <f t="shared" si="642"/>
        <v/>
      </c>
      <c r="BC82" t="str">
        <f t="shared" si="643"/>
        <v/>
      </c>
      <c r="BD82" t="str">
        <f t="shared" si="490"/>
        <v/>
      </c>
      <c r="BE82" t="str">
        <f t="shared" si="491"/>
        <v/>
      </c>
      <c r="BF82" t="str">
        <f t="shared" si="492"/>
        <v/>
      </c>
      <c r="BG82" t="str">
        <f t="shared" si="493"/>
        <v/>
      </c>
      <c r="BH82" t="str">
        <f t="shared" si="494"/>
        <v/>
      </c>
      <c r="BI82" t="str">
        <f t="shared" si="495"/>
        <v/>
      </c>
      <c r="BJ82" t="str">
        <f t="shared" si="496"/>
        <v/>
      </c>
      <c r="BK82" t="str">
        <f t="shared" si="497"/>
        <v/>
      </c>
      <c r="BL82" t="str">
        <f t="shared" si="498"/>
        <v/>
      </c>
      <c r="BM82" t="str">
        <f t="shared" si="499"/>
        <v/>
      </c>
      <c r="BN82" t="str">
        <f t="shared" si="500"/>
        <v/>
      </c>
      <c r="BO82" t="str">
        <f t="shared" si="501"/>
        <v/>
      </c>
      <c r="BP82" t="str">
        <f t="shared" si="502"/>
        <v/>
      </c>
      <c r="BQ82" t="str">
        <f t="shared" si="503"/>
        <v/>
      </c>
      <c r="BR82" t="str">
        <f t="shared" si="504"/>
        <v/>
      </c>
      <c r="BS82" t="str">
        <f t="shared" si="505"/>
        <v/>
      </c>
      <c r="BT82" t="str">
        <f t="shared" si="506"/>
        <v/>
      </c>
      <c r="BU82" t="str">
        <f t="shared" si="507"/>
        <v/>
      </c>
      <c r="BV82" t="str">
        <f t="shared" si="508"/>
        <v/>
      </c>
      <c r="BW82" t="str">
        <f t="shared" si="509"/>
        <v/>
      </c>
      <c r="BX82" t="str">
        <f t="shared" si="510"/>
        <v/>
      </c>
      <c r="BY82" t="str">
        <f t="shared" si="511"/>
        <v/>
      </c>
      <c r="BZ82" t="str">
        <f t="shared" si="512"/>
        <v/>
      </c>
      <c r="CA82" t="str">
        <f t="shared" si="513"/>
        <v/>
      </c>
      <c r="CB82" t="str">
        <f t="shared" si="514"/>
        <v/>
      </c>
      <c r="CC82" t="str">
        <f t="shared" si="515"/>
        <v/>
      </c>
      <c r="CD82" t="str">
        <f t="shared" si="516"/>
        <v/>
      </c>
      <c r="CE82" t="str">
        <f t="shared" si="517"/>
        <v/>
      </c>
      <c r="CF82" t="str">
        <f t="shared" si="518"/>
        <v/>
      </c>
      <c r="CG82" t="str">
        <f t="shared" si="519"/>
        <v/>
      </c>
      <c r="CH82" t="str">
        <f t="shared" si="644"/>
        <v/>
      </c>
      <c r="CI82" t="str">
        <f t="shared" si="645"/>
        <v/>
      </c>
      <c r="CJ82" t="str">
        <f>IF($CI82="","",IF(OR($DW82="",$DX82=""),"ONZEKER",IF(OR($CF82="",$CG82=""),"ONZEKER",IF(AND($DW82=$CF82+1,$DX82=$CG82),IF(OR(COUNTIF(#REF!,$B82)&gt;0,COUNTIF(#REF!,$B82)=0),"SKIP",IF(COUNTIFS(#REF!,$B82,#REF!,$CI82)&gt;0,"OK","ONBEKEND")),IF(AND($DW82=$CF82,$DX82=$CG82+1),IF(OR(COUNTIF(#REF!,$D82)&gt;0,COUNTIF(#REF!,$D82)=0),"SKIP",IF(COUNTIFS(#REF!,$D82,#REF!,$CI82)&gt;0,"OK","ONBEKEND")),"ONZEKER")))))</f>
        <v/>
      </c>
      <c r="CK82" t="str">
        <f t="shared" si="646"/>
        <v/>
      </c>
      <c r="CL82" t="str">
        <f t="shared" si="647"/>
        <v/>
      </c>
      <c r="CM82" t="str">
        <f>IF($CL82="","",IF(OR($DZ82="",$EA82=""),"ONZEKER",IF(OR($DW82="",$DX82=""),"ONZEKER",IF(AND($DZ82=$DW82+1,$EA82=$DX82),IF(OR(COUNTIF(#REF!,$B82)&gt;0,COUNTIF(#REF!,$B82)=0),"SKIP",IF(COUNTIFS(#REF!,$B82,#REF!,$CL82)&gt;0,"OK","ONBEKEND")),IF(AND($DZ82=$DW82,$EA82=$DX82+1),IF(OR(COUNTIF(#REF!,$D82)&gt;0,COUNTIF(#REF!,$D82)=0),"SKIP",IF(COUNTIFS(#REF!,$D82,#REF!,$CL82)&gt;0,"OK","ONBEKEND")),"ONZEKER")))))</f>
        <v/>
      </c>
      <c r="CN82" t="str">
        <f t="shared" si="648"/>
        <v/>
      </c>
      <c r="CO82" t="str">
        <f t="shared" si="649"/>
        <v/>
      </c>
      <c r="CP82" t="str">
        <f>IF($CO82="","",IF(OR($EC82="",$ED82=""),"ONZEKER",IF(OR($DZ82="",$EA82=""),"ONZEKER",IF(AND($EC82=$DZ82+1,$ED82=$EA82),IF(OR(COUNTIF(#REF!,$B82)&gt;0,COUNTIF(#REF!,$B82)=0),"SKIP",IF(COUNTIFS(#REF!,$B82,#REF!,$CO82)&gt;0,"OK","ONBEKEND")),IF(AND($EC82=$DZ82,$ED82=$EA82+1),IF(OR(COUNTIF(#REF!,$D82)&gt;0,COUNTIF(#REF!,$D82)=0),"SKIP",IF(COUNTIFS(#REF!,$D82,#REF!,$CO82)&gt;0,"OK","ONBEKEND")),"ONZEKER")))))</f>
        <v/>
      </c>
      <c r="CQ82" t="str">
        <f t="shared" si="650"/>
        <v/>
      </c>
      <c r="CR82" t="str">
        <f t="shared" si="651"/>
        <v/>
      </c>
      <c r="CS82" t="str">
        <f>IF($CR82="","",IF(OR($EF82="",$EG82=""),"ONZEKER",IF(OR($EC82="",$ED82=""),"ONZEKER",IF(AND($EF82=$EC82+1,$EG82=$ED82),IF(OR(COUNTIF(#REF!,$B82)&gt;0,COUNTIF(#REF!,$B82)=0),"SKIP",IF(COUNTIFS(#REF!,$B82,#REF!,$CR82)&gt;0,"OK","ONBEKEND")),IF(AND($EF82=$EC82,$EG82=$ED82+1),IF(OR(COUNTIF(#REF!,$D82)&gt;0,COUNTIF(#REF!,$D82)=0),"SKIP",IF(COUNTIFS(#REF!,$D82,#REF!,$CR82)&gt;0,"OK","ONBEKEND")),"ONZEKER")))))</f>
        <v/>
      </c>
      <c r="CT82" t="str">
        <f t="shared" si="652"/>
        <v/>
      </c>
      <c r="CU82" t="str">
        <f t="shared" si="653"/>
        <v/>
      </c>
      <c r="CV82" t="str">
        <f>IF($CU82="","",IF(OR($EI82="",$EJ82=""),"ONZEKER",IF(OR($EF82="",$EG82=""),"ONZEKER",IF(AND($EI82=$EF82+1,$EJ82=$EG82),IF(OR(COUNTIF(#REF!,$B82)&gt;0,COUNTIF(#REF!,$B82)=0),"SKIP",IF(COUNTIFS(#REF!,$B82,#REF!,$CU82)&gt;0,"OK","ONBEKEND")),IF(AND($EI82=$EF82,$EJ82=$EG82+1),IF(OR(COUNTIF(#REF!,$D82)&gt;0,COUNTIF(#REF!,$D82)=0),"SKIP",IF(COUNTIFS(#REF!,$D82,#REF!,$CU82)&gt;0,"OK","ONBEKEND")),"ONZEKER")))))</f>
        <v/>
      </c>
      <c r="CW82" t="str">
        <f t="shared" si="654"/>
        <v/>
      </c>
      <c r="CX82" t="str">
        <f t="shared" si="655"/>
        <v/>
      </c>
      <c r="CY82" t="str">
        <f>IF($CX82="","",IF(OR($EL82="",$EM82=""),"ONZEKER",IF(OR($EI82="",$EJ82=""),"ONZEKER",IF(AND($EL82=$EI82+1,$EM82=$EJ82),IF(OR(COUNTIF(#REF!,$B82)&gt;0,COUNTIF(#REF!,$B82)=0),"SKIP",IF(COUNTIFS(#REF!,$B82,#REF!,$CX82)&gt;0,"OK","ONBEKEND")),IF(AND($EL82=$EI82,$EM82=$EJ82+1),IF(OR(COUNTIF(#REF!,$D82)&gt;0,COUNTIF(#REF!,$D82)=0),"SKIP",IF(COUNTIFS(#REF!,$D82,#REF!,$CX82)&gt;0,"OK","ONBEKEND")),"ONZEKER")))))</f>
        <v/>
      </c>
      <c r="CZ82" t="str">
        <f t="shared" si="656"/>
        <v/>
      </c>
      <c r="DA82" t="str">
        <f t="shared" si="657"/>
        <v/>
      </c>
      <c r="DB82" t="str">
        <f>IF($DA82="","",IF(OR($EO82="",$EP82=""),"ONZEKER",IF(OR($EL82="",$EM82=""),"ONZEKER",IF(AND($EO82=$EL82+1,$EP82=$EM82),IF(OR(COUNTIF(#REF!,$B82)&gt;0,COUNTIF(#REF!,$B82)=0),"SKIP",IF(COUNTIFS(#REF!,$B82,#REF!,$DA82)&gt;0,"OK","ONBEKEND")),IF(AND($EO82=$EL82,$EP82=$EM82+1),IF(OR(COUNTIF(#REF!,$D82)&gt;0,COUNTIF(#REF!,$D82)=0),"SKIP",IF(COUNTIFS(#REF!,$D82,#REF!,$DA82)&gt;0,"OK","ONBEKEND")),"ONZEKER")))))</f>
        <v/>
      </c>
      <c r="DC82" t="str">
        <f t="shared" si="658"/>
        <v/>
      </c>
      <c r="DD82" t="str">
        <f t="shared" si="659"/>
        <v/>
      </c>
      <c r="DE82" t="str">
        <f>IF($DD82="","",IF(OR($ER82="",$ES82=""),"ONZEKER",IF(OR($EO82="",$EP82=""),"ONZEKER",IF(AND($ER82=$EO82+1,$ES82=$EP82),IF(OR(COUNTIF(#REF!,$B82)&gt;0,COUNTIF(#REF!,$B82)=0),"SKIP",IF(COUNTIFS(#REF!,$B82,#REF!,$DD82)&gt;0,"OK","ONBEKEND")),IF(AND($ER82=$EO82,$ES82=$EP82+1),IF(OR(COUNTIF(#REF!,$D82)&gt;0,COUNTIF(#REF!,$D82)=0),"SKIP",IF(COUNTIFS(#REF!,$D82,#REF!,$DD82)&gt;0,"OK","ONBEKEND")),"ONZEKER")))))</f>
        <v/>
      </c>
      <c r="DF82" t="str">
        <f t="shared" si="660"/>
        <v/>
      </c>
      <c r="DG82" t="str">
        <f t="shared" si="661"/>
        <v/>
      </c>
      <c r="DH82" t="str">
        <f>IF($DG82="","",IF(OR($EU82="",$EV82=""),"ONZEKER",IF(OR($ER82="",$ES82=""),"ONZEKER",IF(AND($EU82=$ER82+1,$EV82=$ES82),IF(OR(COUNTIF(#REF!,$B82)&gt;0,COUNTIF(#REF!,$B82)=0),"SKIP",IF(COUNTIFS(#REF!,$B82,#REF!,$DG82)&gt;0,"OK","ONBEKEND")),IF(AND($EU82=$ER82,$EV82=$ES82+1),IF(OR(COUNTIF(#REF!,$D82)&gt;0,COUNTIF(#REF!,$D82)=0),"SKIP",IF(COUNTIFS(#REF!,$D82,#REF!,$DG82)&gt;0,"OK","ONBEKEND")),"ONZEKER")))))</f>
        <v/>
      </c>
      <c r="DI82" t="str">
        <f t="shared" si="662"/>
        <v/>
      </c>
      <c r="DJ82" t="str">
        <f t="shared" si="663"/>
        <v/>
      </c>
      <c r="DK82" t="str">
        <f>IF($DJ82="","",IF(OR($EX82="",$EY82=""),"ONZEKER",IF(OR($EU82="",$EV82=""),"ONZEKER",IF(AND($EX82=$EU82+1,$EY82=$EV82),IF(OR(COUNTIF(#REF!,$B82)&gt;0,COUNTIF(#REF!,$B82)=0),"SKIP",IF(COUNTIFS(#REF!,$B82,#REF!,$DJ82)&gt;0,"OK","ONBEKEND")),IF(AND($EX82=$EU82,$EY82=$EV82+1),IF(OR(COUNTIF(#REF!,$D82)&gt;0,COUNTIF(#REF!,$D82)=0),"SKIP",IF(COUNTIFS(#REF!,$D82,#REF!,$DJ82)&gt;0,"OK","ONBEKEND")),"ONZEKER")))))</f>
        <v/>
      </c>
      <c r="DL82" t="str">
        <f t="shared" si="664"/>
        <v/>
      </c>
      <c r="DM82" t="str">
        <f t="shared" si="665"/>
        <v/>
      </c>
      <c r="DN82" t="str">
        <f t="shared" si="666"/>
        <v/>
      </c>
      <c r="DO82" t="str">
        <f t="shared" si="667"/>
        <v/>
      </c>
      <c r="DP82" t="str">
        <f t="shared" si="668"/>
        <v/>
      </c>
      <c r="DQ82" t="str">
        <f t="shared" si="669"/>
        <v/>
      </c>
      <c r="DR82" t="str">
        <f t="shared" si="670"/>
        <v/>
      </c>
      <c r="DS82" t="str">
        <f t="shared" si="671"/>
        <v/>
      </c>
      <c r="DT82" t="str">
        <f t="shared" si="672"/>
        <v/>
      </c>
      <c r="DU82" t="str">
        <f t="shared" si="673"/>
        <v/>
      </c>
      <c r="DV82" t="str">
        <f t="shared" si="674"/>
        <v/>
      </c>
      <c r="DW82" t="str">
        <f t="shared" si="675"/>
        <v/>
      </c>
      <c r="DX82" t="str">
        <f t="shared" si="676"/>
        <v/>
      </c>
      <c r="DY82" t="str">
        <f t="shared" si="677"/>
        <v/>
      </c>
      <c r="DZ82" t="str">
        <f t="shared" si="678"/>
        <v/>
      </c>
      <c r="EA82" t="str">
        <f t="shared" si="679"/>
        <v/>
      </c>
      <c r="EB82" t="str">
        <f t="shared" si="680"/>
        <v/>
      </c>
      <c r="EC82" t="str">
        <f t="shared" si="681"/>
        <v/>
      </c>
      <c r="ED82" t="str">
        <f t="shared" si="682"/>
        <v/>
      </c>
      <c r="EE82" t="str">
        <f t="shared" si="683"/>
        <v/>
      </c>
      <c r="EF82" t="str">
        <f t="shared" si="684"/>
        <v/>
      </c>
      <c r="EG82" t="str">
        <f t="shared" si="685"/>
        <v/>
      </c>
      <c r="EH82" t="str">
        <f t="shared" si="686"/>
        <v/>
      </c>
      <c r="EI82" t="str">
        <f t="shared" si="687"/>
        <v/>
      </c>
      <c r="EJ82" t="str">
        <f t="shared" si="688"/>
        <v/>
      </c>
      <c r="EK82" t="str">
        <f t="shared" si="689"/>
        <v/>
      </c>
      <c r="EL82" t="str">
        <f t="shared" si="690"/>
        <v/>
      </c>
      <c r="EM82" t="str">
        <f t="shared" si="691"/>
        <v/>
      </c>
      <c r="EN82" t="str">
        <f t="shared" si="692"/>
        <v/>
      </c>
      <c r="EO82" t="str">
        <f t="shared" si="693"/>
        <v/>
      </c>
      <c r="EP82" t="str">
        <f t="shared" si="694"/>
        <v/>
      </c>
      <c r="EQ82" t="str">
        <f t="shared" si="695"/>
        <v/>
      </c>
      <c r="ER82" t="str">
        <f t="shared" si="696"/>
        <v/>
      </c>
      <c r="ES82" t="str">
        <f t="shared" si="697"/>
        <v/>
      </c>
      <c r="ET82" t="str">
        <f t="shared" si="698"/>
        <v/>
      </c>
      <c r="EU82" t="str">
        <f t="shared" si="699"/>
        <v/>
      </c>
      <c r="EV82" t="str">
        <f t="shared" si="700"/>
        <v/>
      </c>
      <c r="EW82" t="str">
        <f t="shared" si="701"/>
        <v/>
      </c>
      <c r="EX82" t="str">
        <f t="shared" si="702"/>
        <v/>
      </c>
      <c r="EY82" t="str">
        <f t="shared" si="703"/>
        <v/>
      </c>
    </row>
    <row r="83" spans="1:155" ht="13.9" customHeight="1" x14ac:dyDescent="0.25">
      <c r="A83" s="7"/>
      <c r="B83" s="17"/>
      <c r="C83" s="8"/>
      <c r="D83" s="17"/>
      <c r="E83" s="8"/>
      <c r="F83" s="18">
        <v>0</v>
      </c>
      <c r="G83" s="7" t="s">
        <v>147</v>
      </c>
      <c r="H83" s="18">
        <v>0</v>
      </c>
      <c r="I83" s="19">
        <v>0</v>
      </c>
      <c r="J83" s="7" t="s">
        <v>147</v>
      </c>
      <c r="K83" s="19">
        <v>0</v>
      </c>
      <c r="L83" s="9"/>
      <c r="M83" s="3" t="str">
        <f>IF($L83="","",IF($L83="DOELPUNTENMAKERS","",IF(AND(COUNTIF(#REF!,$B83)=0,COUNTIF(#REF!,$D83)=0),"OK",IF($O83&gt;20,"LET OP: meer dan 20 items (controle onvolledig)",IF((COUNTIF($R83:$AS83,"ONZEKER")+COUNTIF($CJ83:$DK83,"ONZEKER"))&gt;0,"LET OP: scoreverloop onduidelijk (controle beperkt)",IF((IF($AT83&lt;&gt;"",$AT83&amp;", ","")&amp;IF($AU83&lt;&gt;"",$AU83&amp;", ","")&amp;IF($AV83&lt;&gt;"",$AV83&amp;", ","")&amp;IF($AW83&lt;&gt;"",$AW83&amp;", ","")&amp;IF($AX83&lt;&gt;"",$AX83&amp;", ","")&amp;IF($AY83&lt;&gt;"",$AY83&amp;", ","")&amp;IF($AZ83&lt;&gt;"",$AZ83&amp;", ","")&amp;IF($BA83&lt;&gt;"",$BA83&amp;", ","")&amp;IF($BB83&lt;&gt;"",$BB83&amp;", ","")&amp;IF($BC83&lt;&gt;"",$BC83&amp;", ","")&amp;IF($DL83&lt;&gt;"",$DL83&amp;", ","")&amp;IF($DM83&lt;&gt;"",$DM83&amp;", ","")&amp;IF($DN83&lt;&gt;"",$DN83&amp;", ","")&amp;IF($DO83&lt;&gt;"",$DO83&amp;", ","")&amp;IF($DP83&lt;&gt;"",$DP83&amp;", ","")&amp;IF($DQ83&lt;&gt;"",$DQ83&amp;", ","")&amp;IF($DR83&lt;&gt;"",$DR83&amp;", ","")&amp;IF($DS83&lt;&gt;"",$DS83&amp;", ","")&amp;IF($DT83&lt;&gt;"",$DT83&amp;", ","")&amp;IF($DU83&lt;&gt;"",$DU83&amp;", ",""))="","OK","Onbekend: "&amp;LEFT((IF($AT83&lt;&gt;"",$AT83&amp;", ","")&amp;IF($AU83&lt;&gt;"",$AU83&amp;", ","")&amp;IF($AV83&lt;&gt;"",$AV83&amp;", ","")&amp;IF($AW83&lt;&gt;"",$AW83&amp;", ","")&amp;IF($AX83&lt;&gt;"",$AX83&amp;", ","")&amp;IF($AY83&lt;&gt;"",$AY83&amp;", ","")&amp;IF($AZ83&lt;&gt;"",$AZ83&amp;", ","")&amp;IF($BA83&lt;&gt;"",$BA83&amp;", ","")&amp;IF($BB83&lt;&gt;"",$BB83&amp;", ","")&amp;IF($BC83&lt;&gt;"",$BC83&amp;", ","")&amp;IF($DL83&lt;&gt;"",$DL83&amp;", ","")&amp;IF($DM83&lt;&gt;"",$DM83&amp;", ","")&amp;IF($DN83&lt;&gt;"",$DN83&amp;", ","")&amp;IF($DO83&lt;&gt;"",$DO83&amp;", ","")&amp;IF($DP83&lt;&gt;"",$DP83&amp;", ","")&amp;IF($DQ83&lt;&gt;"",$DQ83&amp;", ","")&amp;IF($DR83&lt;&gt;"",$DR83&amp;", ","")&amp;IF($DS83&lt;&gt;"",$DS83&amp;", ","")&amp;IF($DT83&lt;&gt;"",$DT83&amp;", ","")&amp;IF($DU83&lt;&gt;"",$DU83&amp;", ","")),LEN((IF($AT83&lt;&gt;"",$AT83&amp;", ","")&amp;IF($AU83&lt;&gt;"",$AU83&amp;", ","")&amp;IF($AV83&lt;&gt;"",$AV83&amp;", ","")&amp;IF($AW83&lt;&gt;"",$AW83&amp;", ","")&amp;IF($AX83&lt;&gt;"",$AX83&amp;", ","")&amp;IF($AY83&lt;&gt;"",$AY83&amp;", ","")&amp;IF($AZ83&lt;&gt;"",$AZ83&amp;", ","")&amp;IF($BA83&lt;&gt;"",$BA83&amp;", ","")&amp;IF($BB83&lt;&gt;"",$BB83&amp;", ","")&amp;IF($BC83&lt;&gt;"",$BC83&amp;", ","")&amp;IF($DL83&lt;&gt;"",$DL83&amp;", ","")&amp;IF($DM83&lt;&gt;"",$DM83&amp;", ","")&amp;IF($DN83&lt;&gt;"",$DN83&amp;", ","")&amp;IF($DO83&lt;&gt;"",$DO83&amp;", ","")&amp;IF($DP83&lt;&gt;"",$DP83&amp;", ","")&amp;IF($DQ83&lt;&gt;"",$DQ83&amp;", ","")&amp;IF($DR83&lt;&gt;"",$DR83&amp;", ","")&amp;IF($DS83&lt;&gt;"",$DS83&amp;", ","")&amp;IF($DT83&lt;&gt;"",$DT83&amp;", ","")&amp;IF($DU83&lt;&gt;"",$DU83&amp;", ","")))-2)))))))</f>
        <v/>
      </c>
      <c r="N83" t="str">
        <f t="shared" si="612"/>
        <v/>
      </c>
      <c r="O83" t="str">
        <f t="shared" si="613"/>
        <v/>
      </c>
      <c r="P83" t="str">
        <f t="shared" si="614"/>
        <v/>
      </c>
      <c r="Q83" t="str">
        <f t="shared" si="615"/>
        <v/>
      </c>
      <c r="R83" t="str">
        <f>IF($Q83="","",IF(OR($BE83="",$BF83=""),"ONZEKER",IF(AND($BE83=0+1,$BF83=0),IF(OR(COUNTIF(#REF!,$B83)&gt;0,COUNTIF(#REF!,$B83)=0),"SKIP",IF(COUNTIFS(#REF!,$B83,#REF!,$Q83)&gt;0,"OK","ONBEKEND")),IF(AND($BE83=0,$BF83=0+1),IF(OR(COUNTIF(#REF!,$D83)&gt;0,COUNTIF(#REF!,$D83)=0),"SKIP",IF(COUNTIFS(#REF!,$D83,#REF!,$Q83)&gt;0,"OK","ONBEKEND")),"ONZEKER"))))</f>
        <v/>
      </c>
      <c r="S83" t="str">
        <f t="shared" si="616"/>
        <v/>
      </c>
      <c r="T83" t="str">
        <f t="shared" si="617"/>
        <v/>
      </c>
      <c r="U83" t="str">
        <f>IF($T83="","",IF(OR($BH83="",$BI83=""),"ONZEKER",IF(OR($BE83="",$BF83=""),"ONZEKER",IF(AND($BH83=$BE83+1,$BI83=$BF83),IF(OR(COUNTIF(#REF!,$B83)&gt;0,COUNTIF(#REF!,$B83)=0),"SKIP",IF(COUNTIFS(#REF!,$B83,#REF!,$T83)&gt;0,"OK","ONBEKEND")),IF(AND($BH83=$BE83,$BI83=$BF83+1),IF(OR(COUNTIF(#REF!,$D83)&gt;0,COUNTIF(#REF!,$D83)=0),"SKIP",IF(COUNTIFS(#REF!,$D83,#REF!,$T83)&gt;0,"OK","ONBEKEND")),"ONZEKER")))))</f>
        <v/>
      </c>
      <c r="V83" t="str">
        <f t="shared" si="618"/>
        <v/>
      </c>
      <c r="W83" t="str">
        <f t="shared" si="619"/>
        <v/>
      </c>
      <c r="X83" t="str">
        <f>IF($W83="","",IF(OR($BK83="",$BL83=""),"ONZEKER",IF(OR($BH83="",$BI83=""),"ONZEKER",IF(AND($BK83=$BH83+1,$BL83=$BI83),IF(OR(COUNTIF(#REF!,$B83)&gt;0,COUNTIF(#REF!,$B83)=0),"SKIP",IF(COUNTIFS(#REF!,$B83,#REF!,$W83)&gt;0,"OK","ONBEKEND")),IF(AND($BK83=$BH83,$BL83=$BI83+1),IF(OR(COUNTIF(#REF!,$D83)&gt;0,COUNTIF(#REF!,$D83)=0),"SKIP",IF(COUNTIFS(#REF!,$D83,#REF!,$W83)&gt;0,"OK","ONBEKEND")),"ONZEKER")))))</f>
        <v/>
      </c>
      <c r="Y83" t="str">
        <f t="shared" si="620"/>
        <v/>
      </c>
      <c r="Z83" t="str">
        <f t="shared" si="621"/>
        <v/>
      </c>
      <c r="AA83" t="str">
        <f>IF($Z83="","",IF(OR($BN83="",$BO83=""),"ONZEKER",IF(OR($BK83="",$BL83=""),"ONZEKER",IF(AND($BN83=$BK83+1,$BO83=$BL83),IF(OR(COUNTIF(#REF!,$B83)&gt;0,COUNTIF(#REF!,$B83)=0),"SKIP",IF(COUNTIFS(#REF!,$B83,#REF!,$Z83)&gt;0,"OK","ONBEKEND")),IF(AND($BN83=$BK83,$BO83=$BL83+1),IF(OR(COUNTIF(#REF!,$D83)&gt;0,COUNTIF(#REF!,$D83)=0),"SKIP",IF(COUNTIFS(#REF!,$D83,#REF!,$Z83)&gt;0,"OK","ONBEKEND")),"ONZEKER")))))</f>
        <v/>
      </c>
      <c r="AB83" t="str">
        <f t="shared" si="622"/>
        <v/>
      </c>
      <c r="AC83" t="str">
        <f t="shared" si="623"/>
        <v/>
      </c>
      <c r="AD83" t="str">
        <f>IF($AC83="","",IF(OR($BQ83="",$BR83=""),"ONZEKER",IF(OR($BN83="",$BO83=""),"ONZEKER",IF(AND($BQ83=$BN83+1,$BR83=$BO83),IF(OR(COUNTIF(#REF!,$B83)&gt;0,COUNTIF(#REF!,$B83)=0),"SKIP",IF(COUNTIFS(#REF!,$B83,#REF!,$AC83)&gt;0,"OK","ONBEKEND")),IF(AND($BQ83=$BN83,$BR83=$BO83+1),IF(OR(COUNTIF(#REF!,$D83)&gt;0,COUNTIF(#REF!,$D83)=0),"SKIP",IF(COUNTIFS(#REF!,$D83,#REF!,$AC83)&gt;0,"OK","ONBEKEND")),"ONZEKER")))))</f>
        <v/>
      </c>
      <c r="AE83" t="str">
        <f t="shared" si="624"/>
        <v/>
      </c>
      <c r="AF83" t="str">
        <f t="shared" si="625"/>
        <v/>
      </c>
      <c r="AG83" t="str">
        <f>IF($AF83="","",IF(OR($BT83="",$BU83=""),"ONZEKER",IF(OR($BQ83="",$BR83=""),"ONZEKER",IF(AND($BT83=$BQ83+1,$BU83=$BR83),IF(OR(COUNTIF(#REF!,$B83)&gt;0,COUNTIF(#REF!,$B83)=0),"SKIP",IF(COUNTIFS(#REF!,$B83,#REF!,$AF83)&gt;0,"OK","ONBEKEND")),IF(AND($BT83=$BQ83,$BU83=$BR83+1),IF(OR(COUNTIF(#REF!,$D83)&gt;0,COUNTIF(#REF!,$D83)=0),"SKIP",IF(COUNTIFS(#REF!,$D83,#REF!,$AF83)&gt;0,"OK","ONBEKEND")),"ONZEKER")))))</f>
        <v/>
      </c>
      <c r="AH83" t="str">
        <f t="shared" si="626"/>
        <v/>
      </c>
      <c r="AI83" t="str">
        <f t="shared" si="627"/>
        <v/>
      </c>
      <c r="AJ83" t="str">
        <f>IF($AI83="","",IF(OR($BW83="",$BX83=""),"ONZEKER",IF(OR($BT83="",$BU83=""),"ONZEKER",IF(AND($BW83=$BT83+1,$BX83=$BU83),IF(OR(COUNTIF(#REF!,$B83)&gt;0,COUNTIF(#REF!,$B83)=0),"SKIP",IF(COUNTIFS(#REF!,$B83,#REF!,$AI83)&gt;0,"OK","ONBEKEND")),IF(AND($BW83=$BT83,$BX83=$BU83+1),IF(OR(COUNTIF(#REF!,$D83)&gt;0,COUNTIF(#REF!,$D83)=0),"SKIP",IF(COUNTIFS(#REF!,$D83,#REF!,$AI83)&gt;0,"OK","ONBEKEND")),"ONZEKER")))))</f>
        <v/>
      </c>
      <c r="AK83" t="str">
        <f t="shared" si="628"/>
        <v/>
      </c>
      <c r="AL83" t="str">
        <f t="shared" si="629"/>
        <v/>
      </c>
      <c r="AM83" t="str">
        <f>IF($AL83="","",IF(OR($BZ83="",$CA83=""),"ONZEKER",IF(OR($BW83="",$BX83=""),"ONZEKER",IF(AND($BZ83=$BW83+1,$CA83=$BX83),IF(OR(COUNTIF(#REF!,$B83)&gt;0,COUNTIF(#REF!,$B83)=0),"SKIP",IF(COUNTIFS(#REF!,$B83,#REF!,$AL83)&gt;0,"OK","ONBEKEND")),IF(AND($BZ83=$BW83,$CA83=$BX83+1),IF(OR(COUNTIF(#REF!,$D83)&gt;0,COUNTIF(#REF!,$D83)=0),"SKIP",IF(COUNTIFS(#REF!,$D83,#REF!,$AL83)&gt;0,"OK","ONBEKEND")),"ONZEKER")))))</f>
        <v/>
      </c>
      <c r="AN83" t="str">
        <f t="shared" si="630"/>
        <v/>
      </c>
      <c r="AO83" t="str">
        <f t="shared" si="631"/>
        <v/>
      </c>
      <c r="AP83" t="str">
        <f>IF($AO83="","",IF(OR($CC83="",$CD83=""),"ONZEKER",IF(OR($BZ83="",$CA83=""),"ONZEKER",IF(AND($CC83=$BZ83+1,$CD83=$CA83),IF(OR(COUNTIF(#REF!,$B83)&gt;0,COUNTIF(#REF!,$B83)=0),"SKIP",IF(COUNTIFS(#REF!,$B83,#REF!,$AO83)&gt;0,"OK","ONBEKEND")),IF(AND($CC83=$BZ83,$CD83=$CA83+1),IF(OR(COUNTIF(#REF!,$D83)&gt;0,COUNTIF(#REF!,$D83)=0),"SKIP",IF(COUNTIFS(#REF!,$D83,#REF!,$AO83)&gt;0,"OK","ONBEKEND")),"ONZEKER")))))</f>
        <v/>
      </c>
      <c r="AQ83" t="str">
        <f t="shared" si="632"/>
        <v/>
      </c>
      <c r="AR83" t="str">
        <f t="shared" si="633"/>
        <v/>
      </c>
      <c r="AS83" t="str">
        <f>IF($AR83="","",IF(OR($CF83="",$CG83=""),"ONZEKER",IF(OR($CC83="",$CD83=""),"ONZEKER",IF(AND($CF83=$CC83+1,$CG83=$CD83),IF(OR(COUNTIF(#REF!,$B83)&gt;0,COUNTIF(#REF!,$B83)=0),"SKIP",IF(COUNTIFS(#REF!,$B83,#REF!,$AR83)&gt;0,"OK","ONBEKEND")),IF(AND($CF83=$CC83,$CG83=$CD83+1),IF(OR(COUNTIF(#REF!,$D83)&gt;0,COUNTIF(#REF!,$D83)=0),"SKIP",IF(COUNTIFS(#REF!,$D83,#REF!,$AR83)&gt;0,"OK","ONBEKEND")),"ONZEKER")))))</f>
        <v/>
      </c>
      <c r="AT83" t="str">
        <f t="shared" si="634"/>
        <v/>
      </c>
      <c r="AU83" t="str">
        <f t="shared" si="635"/>
        <v/>
      </c>
      <c r="AV83" t="str">
        <f t="shared" si="636"/>
        <v/>
      </c>
      <c r="AW83" t="str">
        <f t="shared" si="637"/>
        <v/>
      </c>
      <c r="AX83" t="str">
        <f t="shared" si="638"/>
        <v/>
      </c>
      <c r="AY83" t="str">
        <f t="shared" si="639"/>
        <v/>
      </c>
      <c r="AZ83" t="str">
        <f t="shared" si="640"/>
        <v/>
      </c>
      <c r="BA83" t="str">
        <f t="shared" si="641"/>
        <v/>
      </c>
      <c r="BB83" t="str">
        <f t="shared" si="642"/>
        <v/>
      </c>
      <c r="BC83" t="str">
        <f t="shared" si="643"/>
        <v/>
      </c>
      <c r="BD83" t="str">
        <f t="shared" si="490"/>
        <v/>
      </c>
      <c r="BE83" t="str">
        <f t="shared" si="491"/>
        <v/>
      </c>
      <c r="BF83" t="str">
        <f t="shared" si="492"/>
        <v/>
      </c>
      <c r="BG83" t="str">
        <f t="shared" si="493"/>
        <v/>
      </c>
      <c r="BH83" t="str">
        <f t="shared" si="494"/>
        <v/>
      </c>
      <c r="BI83" t="str">
        <f t="shared" si="495"/>
        <v/>
      </c>
      <c r="BJ83" t="str">
        <f t="shared" si="496"/>
        <v/>
      </c>
      <c r="BK83" t="str">
        <f t="shared" si="497"/>
        <v/>
      </c>
      <c r="BL83" t="str">
        <f t="shared" si="498"/>
        <v/>
      </c>
      <c r="BM83" t="str">
        <f t="shared" si="499"/>
        <v/>
      </c>
      <c r="BN83" t="str">
        <f t="shared" si="500"/>
        <v/>
      </c>
      <c r="BO83" t="str">
        <f t="shared" si="501"/>
        <v/>
      </c>
      <c r="BP83" t="str">
        <f t="shared" si="502"/>
        <v/>
      </c>
      <c r="BQ83" t="str">
        <f t="shared" si="503"/>
        <v/>
      </c>
      <c r="BR83" t="str">
        <f t="shared" si="504"/>
        <v/>
      </c>
      <c r="BS83" t="str">
        <f t="shared" si="505"/>
        <v/>
      </c>
      <c r="BT83" t="str">
        <f t="shared" si="506"/>
        <v/>
      </c>
      <c r="BU83" t="str">
        <f t="shared" si="507"/>
        <v/>
      </c>
      <c r="BV83" t="str">
        <f t="shared" si="508"/>
        <v/>
      </c>
      <c r="BW83" t="str">
        <f t="shared" si="509"/>
        <v/>
      </c>
      <c r="BX83" t="str">
        <f t="shared" si="510"/>
        <v/>
      </c>
      <c r="BY83" t="str">
        <f t="shared" si="511"/>
        <v/>
      </c>
      <c r="BZ83" t="str">
        <f t="shared" si="512"/>
        <v/>
      </c>
      <c r="CA83" t="str">
        <f t="shared" si="513"/>
        <v/>
      </c>
      <c r="CB83" t="str">
        <f t="shared" si="514"/>
        <v/>
      </c>
      <c r="CC83" t="str">
        <f t="shared" si="515"/>
        <v/>
      </c>
      <c r="CD83" t="str">
        <f t="shared" si="516"/>
        <v/>
      </c>
      <c r="CE83" t="str">
        <f t="shared" si="517"/>
        <v/>
      </c>
      <c r="CF83" t="str">
        <f t="shared" si="518"/>
        <v/>
      </c>
      <c r="CG83" t="str">
        <f t="shared" si="519"/>
        <v/>
      </c>
      <c r="CH83" t="str">
        <f t="shared" si="644"/>
        <v/>
      </c>
      <c r="CI83" t="str">
        <f t="shared" si="645"/>
        <v/>
      </c>
      <c r="CJ83" t="str">
        <f>IF($CI83="","",IF(OR($DW83="",$DX83=""),"ONZEKER",IF(OR($CF83="",$CG83=""),"ONZEKER",IF(AND($DW83=$CF83+1,$DX83=$CG83),IF(OR(COUNTIF(#REF!,$B83)&gt;0,COUNTIF(#REF!,$B83)=0),"SKIP",IF(COUNTIFS(#REF!,$B83,#REF!,$CI83)&gt;0,"OK","ONBEKEND")),IF(AND($DW83=$CF83,$DX83=$CG83+1),IF(OR(COUNTIF(#REF!,$D83)&gt;0,COUNTIF(#REF!,$D83)=0),"SKIP",IF(COUNTIFS(#REF!,$D83,#REF!,$CI83)&gt;0,"OK","ONBEKEND")),"ONZEKER")))))</f>
        <v/>
      </c>
      <c r="CK83" t="str">
        <f t="shared" si="646"/>
        <v/>
      </c>
      <c r="CL83" t="str">
        <f t="shared" si="647"/>
        <v/>
      </c>
      <c r="CM83" t="str">
        <f>IF($CL83="","",IF(OR($DZ83="",$EA83=""),"ONZEKER",IF(OR($DW83="",$DX83=""),"ONZEKER",IF(AND($DZ83=$DW83+1,$EA83=$DX83),IF(OR(COUNTIF(#REF!,$B83)&gt;0,COUNTIF(#REF!,$B83)=0),"SKIP",IF(COUNTIFS(#REF!,$B83,#REF!,$CL83)&gt;0,"OK","ONBEKEND")),IF(AND($DZ83=$DW83,$EA83=$DX83+1),IF(OR(COUNTIF(#REF!,$D83)&gt;0,COUNTIF(#REF!,$D83)=0),"SKIP",IF(COUNTIFS(#REF!,$D83,#REF!,$CL83)&gt;0,"OK","ONBEKEND")),"ONZEKER")))))</f>
        <v/>
      </c>
      <c r="CN83" t="str">
        <f t="shared" si="648"/>
        <v/>
      </c>
      <c r="CO83" t="str">
        <f t="shared" si="649"/>
        <v/>
      </c>
      <c r="CP83" t="str">
        <f>IF($CO83="","",IF(OR($EC83="",$ED83=""),"ONZEKER",IF(OR($DZ83="",$EA83=""),"ONZEKER",IF(AND($EC83=$DZ83+1,$ED83=$EA83),IF(OR(COUNTIF(#REF!,$B83)&gt;0,COUNTIF(#REF!,$B83)=0),"SKIP",IF(COUNTIFS(#REF!,$B83,#REF!,$CO83)&gt;0,"OK","ONBEKEND")),IF(AND($EC83=$DZ83,$ED83=$EA83+1),IF(OR(COUNTIF(#REF!,$D83)&gt;0,COUNTIF(#REF!,$D83)=0),"SKIP",IF(COUNTIFS(#REF!,$D83,#REF!,$CO83)&gt;0,"OK","ONBEKEND")),"ONZEKER")))))</f>
        <v/>
      </c>
      <c r="CQ83" t="str">
        <f t="shared" si="650"/>
        <v/>
      </c>
      <c r="CR83" t="str">
        <f t="shared" si="651"/>
        <v/>
      </c>
      <c r="CS83" t="str">
        <f>IF($CR83="","",IF(OR($EF83="",$EG83=""),"ONZEKER",IF(OR($EC83="",$ED83=""),"ONZEKER",IF(AND($EF83=$EC83+1,$EG83=$ED83),IF(OR(COUNTIF(#REF!,$B83)&gt;0,COUNTIF(#REF!,$B83)=0),"SKIP",IF(COUNTIFS(#REF!,$B83,#REF!,$CR83)&gt;0,"OK","ONBEKEND")),IF(AND($EF83=$EC83,$EG83=$ED83+1),IF(OR(COUNTIF(#REF!,$D83)&gt;0,COUNTIF(#REF!,$D83)=0),"SKIP",IF(COUNTIFS(#REF!,$D83,#REF!,$CR83)&gt;0,"OK","ONBEKEND")),"ONZEKER")))))</f>
        <v/>
      </c>
      <c r="CT83" t="str">
        <f t="shared" si="652"/>
        <v/>
      </c>
      <c r="CU83" t="str">
        <f t="shared" si="653"/>
        <v/>
      </c>
      <c r="CV83" t="str">
        <f>IF($CU83="","",IF(OR($EI83="",$EJ83=""),"ONZEKER",IF(OR($EF83="",$EG83=""),"ONZEKER",IF(AND($EI83=$EF83+1,$EJ83=$EG83),IF(OR(COUNTIF(#REF!,$B83)&gt;0,COUNTIF(#REF!,$B83)=0),"SKIP",IF(COUNTIFS(#REF!,$B83,#REF!,$CU83)&gt;0,"OK","ONBEKEND")),IF(AND($EI83=$EF83,$EJ83=$EG83+1),IF(OR(COUNTIF(#REF!,$D83)&gt;0,COUNTIF(#REF!,$D83)=0),"SKIP",IF(COUNTIFS(#REF!,$D83,#REF!,$CU83)&gt;0,"OK","ONBEKEND")),"ONZEKER")))))</f>
        <v/>
      </c>
      <c r="CW83" t="str">
        <f t="shared" si="654"/>
        <v/>
      </c>
      <c r="CX83" t="str">
        <f t="shared" si="655"/>
        <v/>
      </c>
      <c r="CY83" t="str">
        <f>IF($CX83="","",IF(OR($EL83="",$EM83=""),"ONZEKER",IF(OR($EI83="",$EJ83=""),"ONZEKER",IF(AND($EL83=$EI83+1,$EM83=$EJ83),IF(OR(COUNTIF(#REF!,$B83)&gt;0,COUNTIF(#REF!,$B83)=0),"SKIP",IF(COUNTIFS(#REF!,$B83,#REF!,$CX83)&gt;0,"OK","ONBEKEND")),IF(AND($EL83=$EI83,$EM83=$EJ83+1),IF(OR(COUNTIF(#REF!,$D83)&gt;0,COUNTIF(#REF!,$D83)=0),"SKIP",IF(COUNTIFS(#REF!,$D83,#REF!,$CX83)&gt;0,"OK","ONBEKEND")),"ONZEKER")))))</f>
        <v/>
      </c>
      <c r="CZ83" t="str">
        <f t="shared" si="656"/>
        <v/>
      </c>
      <c r="DA83" t="str">
        <f t="shared" si="657"/>
        <v/>
      </c>
      <c r="DB83" t="str">
        <f>IF($DA83="","",IF(OR($EO83="",$EP83=""),"ONZEKER",IF(OR($EL83="",$EM83=""),"ONZEKER",IF(AND($EO83=$EL83+1,$EP83=$EM83),IF(OR(COUNTIF(#REF!,$B83)&gt;0,COUNTIF(#REF!,$B83)=0),"SKIP",IF(COUNTIFS(#REF!,$B83,#REF!,$DA83)&gt;0,"OK","ONBEKEND")),IF(AND($EO83=$EL83,$EP83=$EM83+1),IF(OR(COUNTIF(#REF!,$D83)&gt;0,COUNTIF(#REF!,$D83)=0),"SKIP",IF(COUNTIFS(#REF!,$D83,#REF!,$DA83)&gt;0,"OK","ONBEKEND")),"ONZEKER")))))</f>
        <v/>
      </c>
      <c r="DC83" t="str">
        <f t="shared" si="658"/>
        <v/>
      </c>
      <c r="DD83" t="str">
        <f t="shared" si="659"/>
        <v/>
      </c>
      <c r="DE83" t="str">
        <f>IF($DD83="","",IF(OR($ER83="",$ES83=""),"ONZEKER",IF(OR($EO83="",$EP83=""),"ONZEKER",IF(AND($ER83=$EO83+1,$ES83=$EP83),IF(OR(COUNTIF(#REF!,$B83)&gt;0,COUNTIF(#REF!,$B83)=0),"SKIP",IF(COUNTIFS(#REF!,$B83,#REF!,$DD83)&gt;0,"OK","ONBEKEND")),IF(AND($ER83=$EO83,$ES83=$EP83+1),IF(OR(COUNTIF(#REF!,$D83)&gt;0,COUNTIF(#REF!,$D83)=0),"SKIP",IF(COUNTIFS(#REF!,$D83,#REF!,$DD83)&gt;0,"OK","ONBEKEND")),"ONZEKER")))))</f>
        <v/>
      </c>
      <c r="DF83" t="str">
        <f t="shared" si="660"/>
        <v/>
      </c>
      <c r="DG83" t="str">
        <f t="shared" si="661"/>
        <v/>
      </c>
      <c r="DH83" t="str">
        <f>IF($DG83="","",IF(OR($EU83="",$EV83=""),"ONZEKER",IF(OR($ER83="",$ES83=""),"ONZEKER",IF(AND($EU83=$ER83+1,$EV83=$ES83),IF(OR(COUNTIF(#REF!,$B83)&gt;0,COUNTIF(#REF!,$B83)=0),"SKIP",IF(COUNTIFS(#REF!,$B83,#REF!,$DG83)&gt;0,"OK","ONBEKEND")),IF(AND($EU83=$ER83,$EV83=$ES83+1),IF(OR(COUNTIF(#REF!,$D83)&gt;0,COUNTIF(#REF!,$D83)=0),"SKIP",IF(COUNTIFS(#REF!,$D83,#REF!,$DG83)&gt;0,"OK","ONBEKEND")),"ONZEKER")))))</f>
        <v/>
      </c>
      <c r="DI83" t="str">
        <f t="shared" si="662"/>
        <v/>
      </c>
      <c r="DJ83" t="str">
        <f t="shared" si="663"/>
        <v/>
      </c>
      <c r="DK83" t="str">
        <f>IF($DJ83="","",IF(OR($EX83="",$EY83=""),"ONZEKER",IF(OR($EU83="",$EV83=""),"ONZEKER",IF(AND($EX83=$EU83+1,$EY83=$EV83),IF(OR(COUNTIF(#REF!,$B83)&gt;0,COUNTIF(#REF!,$B83)=0),"SKIP",IF(COUNTIFS(#REF!,$B83,#REF!,$DJ83)&gt;0,"OK","ONBEKEND")),IF(AND($EX83=$EU83,$EY83=$EV83+1),IF(OR(COUNTIF(#REF!,$D83)&gt;0,COUNTIF(#REF!,$D83)=0),"SKIP",IF(COUNTIFS(#REF!,$D83,#REF!,$DJ83)&gt;0,"OK","ONBEKEND")),"ONZEKER")))))</f>
        <v/>
      </c>
      <c r="DL83" t="str">
        <f t="shared" si="664"/>
        <v/>
      </c>
      <c r="DM83" t="str">
        <f t="shared" si="665"/>
        <v/>
      </c>
      <c r="DN83" t="str">
        <f t="shared" si="666"/>
        <v/>
      </c>
      <c r="DO83" t="str">
        <f t="shared" si="667"/>
        <v/>
      </c>
      <c r="DP83" t="str">
        <f t="shared" si="668"/>
        <v/>
      </c>
      <c r="DQ83" t="str">
        <f t="shared" si="669"/>
        <v/>
      </c>
      <c r="DR83" t="str">
        <f t="shared" si="670"/>
        <v/>
      </c>
      <c r="DS83" t="str">
        <f t="shared" si="671"/>
        <v/>
      </c>
      <c r="DT83" t="str">
        <f t="shared" si="672"/>
        <v/>
      </c>
      <c r="DU83" t="str">
        <f t="shared" si="673"/>
        <v/>
      </c>
      <c r="DV83" t="str">
        <f t="shared" si="674"/>
        <v/>
      </c>
      <c r="DW83" t="str">
        <f t="shared" si="675"/>
        <v/>
      </c>
      <c r="DX83" t="str">
        <f t="shared" si="676"/>
        <v/>
      </c>
      <c r="DY83" t="str">
        <f t="shared" si="677"/>
        <v/>
      </c>
      <c r="DZ83" t="str">
        <f t="shared" si="678"/>
        <v/>
      </c>
      <c r="EA83" t="str">
        <f t="shared" si="679"/>
        <v/>
      </c>
      <c r="EB83" t="str">
        <f t="shared" si="680"/>
        <v/>
      </c>
      <c r="EC83" t="str">
        <f t="shared" si="681"/>
        <v/>
      </c>
      <c r="ED83" t="str">
        <f t="shared" si="682"/>
        <v/>
      </c>
      <c r="EE83" t="str">
        <f t="shared" si="683"/>
        <v/>
      </c>
      <c r="EF83" t="str">
        <f t="shared" si="684"/>
        <v/>
      </c>
      <c r="EG83" t="str">
        <f t="shared" si="685"/>
        <v/>
      </c>
      <c r="EH83" t="str">
        <f t="shared" si="686"/>
        <v/>
      </c>
      <c r="EI83" t="str">
        <f t="shared" si="687"/>
        <v/>
      </c>
      <c r="EJ83" t="str">
        <f t="shared" si="688"/>
        <v/>
      </c>
      <c r="EK83" t="str">
        <f t="shared" si="689"/>
        <v/>
      </c>
      <c r="EL83" t="str">
        <f t="shared" si="690"/>
        <v/>
      </c>
      <c r="EM83" t="str">
        <f t="shared" si="691"/>
        <v/>
      </c>
      <c r="EN83" t="str">
        <f t="shared" si="692"/>
        <v/>
      </c>
      <c r="EO83" t="str">
        <f t="shared" si="693"/>
        <v/>
      </c>
      <c r="EP83" t="str">
        <f t="shared" si="694"/>
        <v/>
      </c>
      <c r="EQ83" t="str">
        <f t="shared" si="695"/>
        <v/>
      </c>
      <c r="ER83" t="str">
        <f t="shared" si="696"/>
        <v/>
      </c>
      <c r="ES83" t="str">
        <f t="shared" si="697"/>
        <v/>
      </c>
      <c r="ET83" t="str">
        <f t="shared" si="698"/>
        <v/>
      </c>
      <c r="EU83" t="str">
        <f t="shared" si="699"/>
        <v/>
      </c>
      <c r="EV83" t="str">
        <f t="shared" si="700"/>
        <v/>
      </c>
      <c r="EW83" t="str">
        <f t="shared" si="701"/>
        <v/>
      </c>
      <c r="EX83" t="str">
        <f t="shared" si="702"/>
        <v/>
      </c>
      <c r="EY83" t="str">
        <f t="shared" si="703"/>
        <v/>
      </c>
    </row>
    <row r="84" spans="1:155" ht="13.9" customHeight="1" x14ac:dyDescent="0.25">
      <c r="A84" s="7"/>
      <c r="B84" s="17"/>
      <c r="C84" s="8"/>
      <c r="D84" s="17"/>
      <c r="E84" s="8"/>
      <c r="F84" s="18">
        <v>0</v>
      </c>
      <c r="G84" s="7" t="s">
        <v>147</v>
      </c>
      <c r="H84" s="18">
        <v>0</v>
      </c>
      <c r="I84" s="19">
        <v>0</v>
      </c>
      <c r="J84" s="7" t="s">
        <v>147</v>
      </c>
      <c r="K84" s="19">
        <v>0</v>
      </c>
      <c r="L84" s="9"/>
      <c r="M84" s="3" t="str">
        <f>IF($L84="","",IF($L84="DOELPUNTENMAKERS","",IF(AND(COUNTIF(#REF!,$B84)=0,COUNTIF(#REF!,$D84)=0),"OK",IF($O84&gt;20,"LET OP: meer dan 20 items (controle onvolledig)",IF((COUNTIF($R84:$AS84,"ONZEKER")+COUNTIF($CJ84:$DK84,"ONZEKER"))&gt;0,"LET OP: scoreverloop onduidelijk (controle beperkt)",IF((IF($AT84&lt;&gt;"",$AT84&amp;", ","")&amp;IF($AU84&lt;&gt;"",$AU84&amp;", ","")&amp;IF($AV84&lt;&gt;"",$AV84&amp;", ","")&amp;IF($AW84&lt;&gt;"",$AW84&amp;", ","")&amp;IF($AX84&lt;&gt;"",$AX84&amp;", ","")&amp;IF($AY84&lt;&gt;"",$AY84&amp;", ","")&amp;IF($AZ84&lt;&gt;"",$AZ84&amp;", ","")&amp;IF($BA84&lt;&gt;"",$BA84&amp;", ","")&amp;IF($BB84&lt;&gt;"",$BB84&amp;", ","")&amp;IF($BC84&lt;&gt;"",$BC84&amp;", ","")&amp;IF($DL84&lt;&gt;"",$DL84&amp;", ","")&amp;IF($DM84&lt;&gt;"",$DM84&amp;", ","")&amp;IF($DN84&lt;&gt;"",$DN84&amp;", ","")&amp;IF($DO84&lt;&gt;"",$DO84&amp;", ","")&amp;IF($DP84&lt;&gt;"",$DP84&amp;", ","")&amp;IF($DQ84&lt;&gt;"",$DQ84&amp;", ","")&amp;IF($DR84&lt;&gt;"",$DR84&amp;", ","")&amp;IF($DS84&lt;&gt;"",$DS84&amp;", ","")&amp;IF($DT84&lt;&gt;"",$DT84&amp;", ","")&amp;IF($DU84&lt;&gt;"",$DU84&amp;", ",""))="","OK","Onbekend: "&amp;LEFT((IF($AT84&lt;&gt;"",$AT84&amp;", ","")&amp;IF($AU84&lt;&gt;"",$AU84&amp;", ","")&amp;IF($AV84&lt;&gt;"",$AV84&amp;", ","")&amp;IF($AW84&lt;&gt;"",$AW84&amp;", ","")&amp;IF($AX84&lt;&gt;"",$AX84&amp;", ","")&amp;IF($AY84&lt;&gt;"",$AY84&amp;", ","")&amp;IF($AZ84&lt;&gt;"",$AZ84&amp;", ","")&amp;IF($BA84&lt;&gt;"",$BA84&amp;", ","")&amp;IF($BB84&lt;&gt;"",$BB84&amp;", ","")&amp;IF($BC84&lt;&gt;"",$BC84&amp;", ","")&amp;IF($DL84&lt;&gt;"",$DL84&amp;", ","")&amp;IF($DM84&lt;&gt;"",$DM84&amp;", ","")&amp;IF($DN84&lt;&gt;"",$DN84&amp;", ","")&amp;IF($DO84&lt;&gt;"",$DO84&amp;", ","")&amp;IF($DP84&lt;&gt;"",$DP84&amp;", ","")&amp;IF($DQ84&lt;&gt;"",$DQ84&amp;", ","")&amp;IF($DR84&lt;&gt;"",$DR84&amp;", ","")&amp;IF($DS84&lt;&gt;"",$DS84&amp;", ","")&amp;IF($DT84&lt;&gt;"",$DT84&amp;", ","")&amp;IF($DU84&lt;&gt;"",$DU84&amp;", ","")),LEN((IF($AT84&lt;&gt;"",$AT84&amp;", ","")&amp;IF($AU84&lt;&gt;"",$AU84&amp;", ","")&amp;IF($AV84&lt;&gt;"",$AV84&amp;", ","")&amp;IF($AW84&lt;&gt;"",$AW84&amp;", ","")&amp;IF($AX84&lt;&gt;"",$AX84&amp;", ","")&amp;IF($AY84&lt;&gt;"",$AY84&amp;", ","")&amp;IF($AZ84&lt;&gt;"",$AZ84&amp;", ","")&amp;IF($BA84&lt;&gt;"",$BA84&amp;", ","")&amp;IF($BB84&lt;&gt;"",$BB84&amp;", ","")&amp;IF($BC84&lt;&gt;"",$BC84&amp;", ","")&amp;IF($DL84&lt;&gt;"",$DL84&amp;", ","")&amp;IF($DM84&lt;&gt;"",$DM84&amp;", ","")&amp;IF($DN84&lt;&gt;"",$DN84&amp;", ","")&amp;IF($DO84&lt;&gt;"",$DO84&amp;", ","")&amp;IF($DP84&lt;&gt;"",$DP84&amp;", ","")&amp;IF($DQ84&lt;&gt;"",$DQ84&amp;", ","")&amp;IF($DR84&lt;&gt;"",$DR84&amp;", ","")&amp;IF($DS84&lt;&gt;"",$DS84&amp;", ","")&amp;IF($DT84&lt;&gt;"",$DT84&amp;", ","")&amp;IF($DU84&lt;&gt;"",$DU84&amp;", ","")))-2)))))))</f>
        <v/>
      </c>
      <c r="N84" t="str">
        <f t="shared" si="612"/>
        <v/>
      </c>
      <c r="O84" t="str">
        <f t="shared" si="613"/>
        <v/>
      </c>
      <c r="P84" t="str">
        <f t="shared" si="614"/>
        <v/>
      </c>
      <c r="Q84" t="str">
        <f t="shared" si="615"/>
        <v/>
      </c>
      <c r="R84" t="str">
        <f>IF($Q84="","",IF(OR($BE84="",$BF84=""),"ONZEKER",IF(AND($BE84=0+1,$BF84=0),IF(OR(COUNTIF(#REF!,$B84)&gt;0,COUNTIF(#REF!,$B84)=0),"SKIP",IF(COUNTIFS(#REF!,$B84,#REF!,$Q84)&gt;0,"OK","ONBEKEND")),IF(AND($BE84=0,$BF84=0+1),IF(OR(COUNTIF(#REF!,$D84)&gt;0,COUNTIF(#REF!,$D84)=0),"SKIP",IF(COUNTIFS(#REF!,$D84,#REF!,$Q84)&gt;0,"OK","ONBEKEND")),"ONZEKER"))))</f>
        <v/>
      </c>
      <c r="S84" t="str">
        <f t="shared" si="616"/>
        <v/>
      </c>
      <c r="T84" t="str">
        <f t="shared" si="617"/>
        <v/>
      </c>
      <c r="U84" t="str">
        <f>IF($T84="","",IF(OR($BH84="",$BI84=""),"ONZEKER",IF(OR($BE84="",$BF84=""),"ONZEKER",IF(AND($BH84=$BE84+1,$BI84=$BF84),IF(OR(COUNTIF(#REF!,$B84)&gt;0,COUNTIF(#REF!,$B84)=0),"SKIP",IF(COUNTIFS(#REF!,$B84,#REF!,$T84)&gt;0,"OK","ONBEKEND")),IF(AND($BH84=$BE84,$BI84=$BF84+1),IF(OR(COUNTIF(#REF!,$D84)&gt;0,COUNTIF(#REF!,$D84)=0),"SKIP",IF(COUNTIFS(#REF!,$D84,#REF!,$T84)&gt;0,"OK","ONBEKEND")),"ONZEKER")))))</f>
        <v/>
      </c>
      <c r="V84" t="str">
        <f t="shared" si="618"/>
        <v/>
      </c>
      <c r="W84" t="str">
        <f t="shared" si="619"/>
        <v/>
      </c>
      <c r="X84" t="str">
        <f>IF($W84="","",IF(OR($BK84="",$BL84=""),"ONZEKER",IF(OR($BH84="",$BI84=""),"ONZEKER",IF(AND($BK84=$BH84+1,$BL84=$BI84),IF(OR(COUNTIF(#REF!,$B84)&gt;0,COUNTIF(#REF!,$B84)=0),"SKIP",IF(COUNTIFS(#REF!,$B84,#REF!,$W84)&gt;0,"OK","ONBEKEND")),IF(AND($BK84=$BH84,$BL84=$BI84+1),IF(OR(COUNTIF(#REF!,$D84)&gt;0,COUNTIF(#REF!,$D84)=0),"SKIP",IF(COUNTIFS(#REF!,$D84,#REF!,$W84)&gt;0,"OK","ONBEKEND")),"ONZEKER")))))</f>
        <v/>
      </c>
      <c r="Y84" t="str">
        <f t="shared" si="620"/>
        <v/>
      </c>
      <c r="Z84" t="str">
        <f t="shared" si="621"/>
        <v/>
      </c>
      <c r="AA84" t="str">
        <f>IF($Z84="","",IF(OR($BN84="",$BO84=""),"ONZEKER",IF(OR($BK84="",$BL84=""),"ONZEKER",IF(AND($BN84=$BK84+1,$BO84=$BL84),IF(OR(COUNTIF(#REF!,$B84)&gt;0,COUNTIF(#REF!,$B84)=0),"SKIP",IF(COUNTIFS(#REF!,$B84,#REF!,$Z84)&gt;0,"OK","ONBEKEND")),IF(AND($BN84=$BK84,$BO84=$BL84+1),IF(OR(COUNTIF(#REF!,$D84)&gt;0,COUNTIF(#REF!,$D84)=0),"SKIP",IF(COUNTIFS(#REF!,$D84,#REF!,$Z84)&gt;0,"OK","ONBEKEND")),"ONZEKER")))))</f>
        <v/>
      </c>
      <c r="AB84" t="str">
        <f t="shared" si="622"/>
        <v/>
      </c>
      <c r="AC84" t="str">
        <f t="shared" si="623"/>
        <v/>
      </c>
      <c r="AD84" t="str">
        <f>IF($AC84="","",IF(OR($BQ84="",$BR84=""),"ONZEKER",IF(OR($BN84="",$BO84=""),"ONZEKER",IF(AND($BQ84=$BN84+1,$BR84=$BO84),IF(OR(COUNTIF(#REF!,$B84)&gt;0,COUNTIF(#REF!,$B84)=0),"SKIP",IF(COUNTIFS(#REF!,$B84,#REF!,$AC84)&gt;0,"OK","ONBEKEND")),IF(AND($BQ84=$BN84,$BR84=$BO84+1),IF(OR(COUNTIF(#REF!,$D84)&gt;0,COUNTIF(#REF!,$D84)=0),"SKIP",IF(COUNTIFS(#REF!,$D84,#REF!,$AC84)&gt;0,"OK","ONBEKEND")),"ONZEKER")))))</f>
        <v/>
      </c>
      <c r="AE84" t="str">
        <f t="shared" si="624"/>
        <v/>
      </c>
      <c r="AF84" t="str">
        <f t="shared" si="625"/>
        <v/>
      </c>
      <c r="AG84" t="str">
        <f>IF($AF84="","",IF(OR($BT84="",$BU84=""),"ONZEKER",IF(OR($BQ84="",$BR84=""),"ONZEKER",IF(AND($BT84=$BQ84+1,$BU84=$BR84),IF(OR(COUNTIF(#REF!,$B84)&gt;0,COUNTIF(#REF!,$B84)=0),"SKIP",IF(COUNTIFS(#REF!,$B84,#REF!,$AF84)&gt;0,"OK","ONBEKEND")),IF(AND($BT84=$BQ84,$BU84=$BR84+1),IF(OR(COUNTIF(#REF!,$D84)&gt;0,COUNTIF(#REF!,$D84)=0),"SKIP",IF(COUNTIFS(#REF!,$D84,#REF!,$AF84)&gt;0,"OK","ONBEKEND")),"ONZEKER")))))</f>
        <v/>
      </c>
      <c r="AH84" t="str">
        <f t="shared" si="626"/>
        <v/>
      </c>
      <c r="AI84" t="str">
        <f t="shared" si="627"/>
        <v/>
      </c>
      <c r="AJ84" t="str">
        <f>IF($AI84="","",IF(OR($BW84="",$BX84=""),"ONZEKER",IF(OR($BT84="",$BU84=""),"ONZEKER",IF(AND($BW84=$BT84+1,$BX84=$BU84),IF(OR(COUNTIF(#REF!,$B84)&gt;0,COUNTIF(#REF!,$B84)=0),"SKIP",IF(COUNTIFS(#REF!,$B84,#REF!,$AI84)&gt;0,"OK","ONBEKEND")),IF(AND($BW84=$BT84,$BX84=$BU84+1),IF(OR(COUNTIF(#REF!,$D84)&gt;0,COUNTIF(#REF!,$D84)=0),"SKIP",IF(COUNTIFS(#REF!,$D84,#REF!,$AI84)&gt;0,"OK","ONBEKEND")),"ONZEKER")))))</f>
        <v/>
      </c>
      <c r="AK84" t="str">
        <f t="shared" si="628"/>
        <v/>
      </c>
      <c r="AL84" t="str">
        <f t="shared" si="629"/>
        <v/>
      </c>
      <c r="AM84" t="str">
        <f>IF($AL84="","",IF(OR($BZ84="",$CA84=""),"ONZEKER",IF(OR($BW84="",$BX84=""),"ONZEKER",IF(AND($BZ84=$BW84+1,$CA84=$BX84),IF(OR(COUNTIF(#REF!,$B84)&gt;0,COUNTIF(#REF!,$B84)=0),"SKIP",IF(COUNTIFS(#REF!,$B84,#REF!,$AL84)&gt;0,"OK","ONBEKEND")),IF(AND($BZ84=$BW84,$CA84=$BX84+1),IF(OR(COUNTIF(#REF!,$D84)&gt;0,COUNTIF(#REF!,$D84)=0),"SKIP",IF(COUNTIFS(#REF!,$D84,#REF!,$AL84)&gt;0,"OK","ONBEKEND")),"ONZEKER")))))</f>
        <v/>
      </c>
      <c r="AN84" t="str">
        <f t="shared" si="630"/>
        <v/>
      </c>
      <c r="AO84" t="str">
        <f t="shared" si="631"/>
        <v/>
      </c>
      <c r="AP84" t="str">
        <f>IF($AO84="","",IF(OR($CC84="",$CD84=""),"ONZEKER",IF(OR($BZ84="",$CA84=""),"ONZEKER",IF(AND($CC84=$BZ84+1,$CD84=$CA84),IF(OR(COUNTIF(#REF!,$B84)&gt;0,COUNTIF(#REF!,$B84)=0),"SKIP",IF(COUNTIFS(#REF!,$B84,#REF!,$AO84)&gt;0,"OK","ONBEKEND")),IF(AND($CC84=$BZ84,$CD84=$CA84+1),IF(OR(COUNTIF(#REF!,$D84)&gt;0,COUNTIF(#REF!,$D84)=0),"SKIP",IF(COUNTIFS(#REF!,$D84,#REF!,$AO84)&gt;0,"OK","ONBEKEND")),"ONZEKER")))))</f>
        <v/>
      </c>
      <c r="AQ84" t="str">
        <f t="shared" si="632"/>
        <v/>
      </c>
      <c r="AR84" t="str">
        <f t="shared" si="633"/>
        <v/>
      </c>
      <c r="AS84" t="str">
        <f>IF($AR84="","",IF(OR($CF84="",$CG84=""),"ONZEKER",IF(OR($CC84="",$CD84=""),"ONZEKER",IF(AND($CF84=$CC84+1,$CG84=$CD84),IF(OR(COUNTIF(#REF!,$B84)&gt;0,COUNTIF(#REF!,$B84)=0),"SKIP",IF(COUNTIFS(#REF!,$B84,#REF!,$AR84)&gt;0,"OK","ONBEKEND")),IF(AND($CF84=$CC84,$CG84=$CD84+1),IF(OR(COUNTIF(#REF!,$D84)&gt;0,COUNTIF(#REF!,$D84)=0),"SKIP",IF(COUNTIFS(#REF!,$D84,#REF!,$AR84)&gt;0,"OK","ONBEKEND")),"ONZEKER")))))</f>
        <v/>
      </c>
      <c r="AT84" t="str">
        <f t="shared" si="634"/>
        <v/>
      </c>
      <c r="AU84" t="str">
        <f t="shared" si="635"/>
        <v/>
      </c>
      <c r="AV84" t="str">
        <f t="shared" si="636"/>
        <v/>
      </c>
      <c r="AW84" t="str">
        <f t="shared" si="637"/>
        <v/>
      </c>
      <c r="AX84" t="str">
        <f t="shared" si="638"/>
        <v/>
      </c>
      <c r="AY84" t="str">
        <f t="shared" si="639"/>
        <v/>
      </c>
      <c r="AZ84" t="str">
        <f t="shared" si="640"/>
        <v/>
      </c>
      <c r="BA84" t="str">
        <f t="shared" si="641"/>
        <v/>
      </c>
      <c r="BB84" t="str">
        <f t="shared" si="642"/>
        <v/>
      </c>
      <c r="BC84" t="str">
        <f t="shared" si="643"/>
        <v/>
      </c>
      <c r="BD84" t="str">
        <f t="shared" si="490"/>
        <v/>
      </c>
      <c r="BE84" t="str">
        <f t="shared" si="491"/>
        <v/>
      </c>
      <c r="BF84" t="str">
        <f t="shared" si="492"/>
        <v/>
      </c>
      <c r="BG84" t="str">
        <f t="shared" si="493"/>
        <v/>
      </c>
      <c r="BH84" t="str">
        <f t="shared" si="494"/>
        <v/>
      </c>
      <c r="BI84" t="str">
        <f t="shared" si="495"/>
        <v/>
      </c>
      <c r="BJ84" t="str">
        <f t="shared" si="496"/>
        <v/>
      </c>
      <c r="BK84" t="str">
        <f t="shared" si="497"/>
        <v/>
      </c>
      <c r="BL84" t="str">
        <f t="shared" si="498"/>
        <v/>
      </c>
      <c r="BM84" t="str">
        <f t="shared" si="499"/>
        <v/>
      </c>
      <c r="BN84" t="str">
        <f t="shared" si="500"/>
        <v/>
      </c>
      <c r="BO84" t="str">
        <f t="shared" si="501"/>
        <v/>
      </c>
      <c r="BP84" t="str">
        <f t="shared" si="502"/>
        <v/>
      </c>
      <c r="BQ84" t="str">
        <f t="shared" si="503"/>
        <v/>
      </c>
      <c r="BR84" t="str">
        <f t="shared" si="504"/>
        <v/>
      </c>
      <c r="BS84" t="str">
        <f t="shared" si="505"/>
        <v/>
      </c>
      <c r="BT84" t="str">
        <f t="shared" si="506"/>
        <v/>
      </c>
      <c r="BU84" t="str">
        <f t="shared" si="507"/>
        <v/>
      </c>
      <c r="BV84" t="str">
        <f t="shared" si="508"/>
        <v/>
      </c>
      <c r="BW84" t="str">
        <f t="shared" si="509"/>
        <v/>
      </c>
      <c r="BX84" t="str">
        <f t="shared" si="510"/>
        <v/>
      </c>
      <c r="BY84" t="str">
        <f t="shared" si="511"/>
        <v/>
      </c>
      <c r="BZ84" t="str">
        <f t="shared" si="512"/>
        <v/>
      </c>
      <c r="CA84" t="str">
        <f t="shared" si="513"/>
        <v/>
      </c>
      <c r="CB84" t="str">
        <f t="shared" si="514"/>
        <v/>
      </c>
      <c r="CC84" t="str">
        <f t="shared" si="515"/>
        <v/>
      </c>
      <c r="CD84" t="str">
        <f t="shared" si="516"/>
        <v/>
      </c>
      <c r="CE84" t="str">
        <f t="shared" si="517"/>
        <v/>
      </c>
      <c r="CF84" t="str">
        <f t="shared" si="518"/>
        <v/>
      </c>
      <c r="CG84" t="str">
        <f t="shared" si="519"/>
        <v/>
      </c>
      <c r="CH84" t="str">
        <f t="shared" si="644"/>
        <v/>
      </c>
      <c r="CI84" t="str">
        <f t="shared" si="645"/>
        <v/>
      </c>
      <c r="CJ84" t="str">
        <f>IF($CI84="","",IF(OR($DW84="",$DX84=""),"ONZEKER",IF(OR($CF84="",$CG84=""),"ONZEKER",IF(AND($DW84=$CF84+1,$DX84=$CG84),IF(OR(COUNTIF(#REF!,$B84)&gt;0,COUNTIF(#REF!,$B84)=0),"SKIP",IF(COUNTIFS(#REF!,$B84,#REF!,$CI84)&gt;0,"OK","ONBEKEND")),IF(AND($DW84=$CF84,$DX84=$CG84+1),IF(OR(COUNTIF(#REF!,$D84)&gt;0,COUNTIF(#REF!,$D84)=0),"SKIP",IF(COUNTIFS(#REF!,$D84,#REF!,$CI84)&gt;0,"OK","ONBEKEND")),"ONZEKER")))))</f>
        <v/>
      </c>
      <c r="CK84" t="str">
        <f t="shared" si="646"/>
        <v/>
      </c>
      <c r="CL84" t="str">
        <f t="shared" si="647"/>
        <v/>
      </c>
      <c r="CM84" t="str">
        <f>IF($CL84="","",IF(OR($DZ84="",$EA84=""),"ONZEKER",IF(OR($DW84="",$DX84=""),"ONZEKER",IF(AND($DZ84=$DW84+1,$EA84=$DX84),IF(OR(COUNTIF(#REF!,$B84)&gt;0,COUNTIF(#REF!,$B84)=0),"SKIP",IF(COUNTIFS(#REF!,$B84,#REF!,$CL84)&gt;0,"OK","ONBEKEND")),IF(AND($DZ84=$DW84,$EA84=$DX84+1),IF(OR(COUNTIF(#REF!,$D84)&gt;0,COUNTIF(#REF!,$D84)=0),"SKIP",IF(COUNTIFS(#REF!,$D84,#REF!,$CL84)&gt;0,"OK","ONBEKEND")),"ONZEKER")))))</f>
        <v/>
      </c>
      <c r="CN84" t="str">
        <f t="shared" si="648"/>
        <v/>
      </c>
      <c r="CO84" t="str">
        <f t="shared" si="649"/>
        <v/>
      </c>
      <c r="CP84" t="str">
        <f>IF($CO84="","",IF(OR($EC84="",$ED84=""),"ONZEKER",IF(OR($DZ84="",$EA84=""),"ONZEKER",IF(AND($EC84=$DZ84+1,$ED84=$EA84),IF(OR(COUNTIF(#REF!,$B84)&gt;0,COUNTIF(#REF!,$B84)=0),"SKIP",IF(COUNTIFS(#REF!,$B84,#REF!,$CO84)&gt;0,"OK","ONBEKEND")),IF(AND($EC84=$DZ84,$ED84=$EA84+1),IF(OR(COUNTIF(#REF!,$D84)&gt;0,COUNTIF(#REF!,$D84)=0),"SKIP",IF(COUNTIFS(#REF!,$D84,#REF!,$CO84)&gt;0,"OK","ONBEKEND")),"ONZEKER")))))</f>
        <v/>
      </c>
      <c r="CQ84" t="str">
        <f t="shared" si="650"/>
        <v/>
      </c>
      <c r="CR84" t="str">
        <f t="shared" si="651"/>
        <v/>
      </c>
      <c r="CS84" t="str">
        <f>IF($CR84="","",IF(OR($EF84="",$EG84=""),"ONZEKER",IF(OR($EC84="",$ED84=""),"ONZEKER",IF(AND($EF84=$EC84+1,$EG84=$ED84),IF(OR(COUNTIF(#REF!,$B84)&gt;0,COUNTIF(#REF!,$B84)=0),"SKIP",IF(COUNTIFS(#REF!,$B84,#REF!,$CR84)&gt;0,"OK","ONBEKEND")),IF(AND($EF84=$EC84,$EG84=$ED84+1),IF(OR(COUNTIF(#REF!,$D84)&gt;0,COUNTIF(#REF!,$D84)=0),"SKIP",IF(COUNTIFS(#REF!,$D84,#REF!,$CR84)&gt;0,"OK","ONBEKEND")),"ONZEKER")))))</f>
        <v/>
      </c>
      <c r="CT84" t="str">
        <f t="shared" si="652"/>
        <v/>
      </c>
      <c r="CU84" t="str">
        <f t="shared" si="653"/>
        <v/>
      </c>
      <c r="CV84" t="str">
        <f>IF($CU84="","",IF(OR($EI84="",$EJ84=""),"ONZEKER",IF(OR($EF84="",$EG84=""),"ONZEKER",IF(AND($EI84=$EF84+1,$EJ84=$EG84),IF(OR(COUNTIF(#REF!,$B84)&gt;0,COUNTIF(#REF!,$B84)=0),"SKIP",IF(COUNTIFS(#REF!,$B84,#REF!,$CU84)&gt;0,"OK","ONBEKEND")),IF(AND($EI84=$EF84,$EJ84=$EG84+1),IF(OR(COUNTIF(#REF!,$D84)&gt;0,COUNTIF(#REF!,$D84)=0),"SKIP",IF(COUNTIFS(#REF!,$D84,#REF!,$CU84)&gt;0,"OK","ONBEKEND")),"ONZEKER")))))</f>
        <v/>
      </c>
      <c r="CW84" t="str">
        <f t="shared" si="654"/>
        <v/>
      </c>
      <c r="CX84" t="str">
        <f t="shared" si="655"/>
        <v/>
      </c>
      <c r="CY84" t="str">
        <f>IF($CX84="","",IF(OR($EL84="",$EM84=""),"ONZEKER",IF(OR($EI84="",$EJ84=""),"ONZEKER",IF(AND($EL84=$EI84+1,$EM84=$EJ84),IF(OR(COUNTIF(#REF!,$B84)&gt;0,COUNTIF(#REF!,$B84)=0),"SKIP",IF(COUNTIFS(#REF!,$B84,#REF!,$CX84)&gt;0,"OK","ONBEKEND")),IF(AND($EL84=$EI84,$EM84=$EJ84+1),IF(OR(COUNTIF(#REF!,$D84)&gt;0,COUNTIF(#REF!,$D84)=0),"SKIP",IF(COUNTIFS(#REF!,$D84,#REF!,$CX84)&gt;0,"OK","ONBEKEND")),"ONZEKER")))))</f>
        <v/>
      </c>
      <c r="CZ84" t="str">
        <f t="shared" si="656"/>
        <v/>
      </c>
      <c r="DA84" t="str">
        <f t="shared" si="657"/>
        <v/>
      </c>
      <c r="DB84" t="str">
        <f>IF($DA84="","",IF(OR($EO84="",$EP84=""),"ONZEKER",IF(OR($EL84="",$EM84=""),"ONZEKER",IF(AND($EO84=$EL84+1,$EP84=$EM84),IF(OR(COUNTIF(#REF!,$B84)&gt;0,COUNTIF(#REF!,$B84)=0),"SKIP",IF(COUNTIFS(#REF!,$B84,#REF!,$DA84)&gt;0,"OK","ONBEKEND")),IF(AND($EO84=$EL84,$EP84=$EM84+1),IF(OR(COUNTIF(#REF!,$D84)&gt;0,COUNTIF(#REF!,$D84)=0),"SKIP",IF(COUNTIFS(#REF!,$D84,#REF!,$DA84)&gt;0,"OK","ONBEKEND")),"ONZEKER")))))</f>
        <v/>
      </c>
      <c r="DC84" t="str">
        <f t="shared" si="658"/>
        <v/>
      </c>
      <c r="DD84" t="str">
        <f t="shared" si="659"/>
        <v/>
      </c>
      <c r="DE84" t="str">
        <f>IF($DD84="","",IF(OR($ER84="",$ES84=""),"ONZEKER",IF(OR($EO84="",$EP84=""),"ONZEKER",IF(AND($ER84=$EO84+1,$ES84=$EP84),IF(OR(COUNTIF(#REF!,$B84)&gt;0,COUNTIF(#REF!,$B84)=0),"SKIP",IF(COUNTIFS(#REF!,$B84,#REF!,$DD84)&gt;0,"OK","ONBEKEND")),IF(AND($ER84=$EO84,$ES84=$EP84+1),IF(OR(COUNTIF(#REF!,$D84)&gt;0,COUNTIF(#REF!,$D84)=0),"SKIP",IF(COUNTIFS(#REF!,$D84,#REF!,$DD84)&gt;0,"OK","ONBEKEND")),"ONZEKER")))))</f>
        <v/>
      </c>
      <c r="DF84" t="str">
        <f t="shared" si="660"/>
        <v/>
      </c>
      <c r="DG84" t="str">
        <f t="shared" si="661"/>
        <v/>
      </c>
      <c r="DH84" t="str">
        <f>IF($DG84="","",IF(OR($EU84="",$EV84=""),"ONZEKER",IF(OR($ER84="",$ES84=""),"ONZEKER",IF(AND($EU84=$ER84+1,$EV84=$ES84),IF(OR(COUNTIF(#REF!,$B84)&gt;0,COUNTIF(#REF!,$B84)=0),"SKIP",IF(COUNTIFS(#REF!,$B84,#REF!,$DG84)&gt;0,"OK","ONBEKEND")),IF(AND($EU84=$ER84,$EV84=$ES84+1),IF(OR(COUNTIF(#REF!,$D84)&gt;0,COUNTIF(#REF!,$D84)=0),"SKIP",IF(COUNTIFS(#REF!,$D84,#REF!,$DG84)&gt;0,"OK","ONBEKEND")),"ONZEKER")))))</f>
        <v/>
      </c>
      <c r="DI84" t="str">
        <f t="shared" si="662"/>
        <v/>
      </c>
      <c r="DJ84" t="str">
        <f t="shared" si="663"/>
        <v/>
      </c>
      <c r="DK84" t="str">
        <f>IF($DJ84="","",IF(OR($EX84="",$EY84=""),"ONZEKER",IF(OR($EU84="",$EV84=""),"ONZEKER",IF(AND($EX84=$EU84+1,$EY84=$EV84),IF(OR(COUNTIF(#REF!,$B84)&gt;0,COUNTIF(#REF!,$B84)=0),"SKIP",IF(COUNTIFS(#REF!,$B84,#REF!,$DJ84)&gt;0,"OK","ONBEKEND")),IF(AND($EX84=$EU84,$EY84=$EV84+1),IF(OR(COUNTIF(#REF!,$D84)&gt;0,COUNTIF(#REF!,$D84)=0),"SKIP",IF(COUNTIFS(#REF!,$D84,#REF!,$DJ84)&gt;0,"OK","ONBEKEND")),"ONZEKER")))))</f>
        <v/>
      </c>
      <c r="DL84" t="str">
        <f t="shared" si="664"/>
        <v/>
      </c>
      <c r="DM84" t="str">
        <f t="shared" si="665"/>
        <v/>
      </c>
      <c r="DN84" t="str">
        <f t="shared" si="666"/>
        <v/>
      </c>
      <c r="DO84" t="str">
        <f t="shared" si="667"/>
        <v/>
      </c>
      <c r="DP84" t="str">
        <f t="shared" si="668"/>
        <v/>
      </c>
      <c r="DQ84" t="str">
        <f t="shared" si="669"/>
        <v/>
      </c>
      <c r="DR84" t="str">
        <f t="shared" si="670"/>
        <v/>
      </c>
      <c r="DS84" t="str">
        <f t="shared" si="671"/>
        <v/>
      </c>
      <c r="DT84" t="str">
        <f t="shared" si="672"/>
        <v/>
      </c>
      <c r="DU84" t="str">
        <f t="shared" si="673"/>
        <v/>
      </c>
      <c r="DV84" t="str">
        <f t="shared" si="674"/>
        <v/>
      </c>
      <c r="DW84" t="str">
        <f t="shared" si="675"/>
        <v/>
      </c>
      <c r="DX84" t="str">
        <f t="shared" si="676"/>
        <v/>
      </c>
      <c r="DY84" t="str">
        <f t="shared" si="677"/>
        <v/>
      </c>
      <c r="DZ84" t="str">
        <f t="shared" si="678"/>
        <v/>
      </c>
      <c r="EA84" t="str">
        <f t="shared" si="679"/>
        <v/>
      </c>
      <c r="EB84" t="str">
        <f t="shared" si="680"/>
        <v/>
      </c>
      <c r="EC84" t="str">
        <f t="shared" si="681"/>
        <v/>
      </c>
      <c r="ED84" t="str">
        <f t="shared" si="682"/>
        <v/>
      </c>
      <c r="EE84" t="str">
        <f t="shared" si="683"/>
        <v/>
      </c>
      <c r="EF84" t="str">
        <f t="shared" si="684"/>
        <v/>
      </c>
      <c r="EG84" t="str">
        <f t="shared" si="685"/>
        <v/>
      </c>
      <c r="EH84" t="str">
        <f t="shared" si="686"/>
        <v/>
      </c>
      <c r="EI84" t="str">
        <f t="shared" si="687"/>
        <v/>
      </c>
      <c r="EJ84" t="str">
        <f t="shared" si="688"/>
        <v/>
      </c>
      <c r="EK84" t="str">
        <f t="shared" si="689"/>
        <v/>
      </c>
      <c r="EL84" t="str">
        <f t="shared" si="690"/>
        <v/>
      </c>
      <c r="EM84" t="str">
        <f t="shared" si="691"/>
        <v/>
      </c>
      <c r="EN84" t="str">
        <f t="shared" si="692"/>
        <v/>
      </c>
      <c r="EO84" t="str">
        <f t="shared" si="693"/>
        <v/>
      </c>
      <c r="EP84" t="str">
        <f t="shared" si="694"/>
        <v/>
      </c>
      <c r="EQ84" t="str">
        <f t="shared" si="695"/>
        <v/>
      </c>
      <c r="ER84" t="str">
        <f t="shared" si="696"/>
        <v/>
      </c>
      <c r="ES84" t="str">
        <f t="shared" si="697"/>
        <v/>
      </c>
      <c r="ET84" t="str">
        <f t="shared" si="698"/>
        <v/>
      </c>
      <c r="EU84" t="str">
        <f t="shared" si="699"/>
        <v/>
      </c>
      <c r="EV84" t="str">
        <f t="shared" si="700"/>
        <v/>
      </c>
      <c r="EW84" t="str">
        <f t="shared" si="701"/>
        <v/>
      </c>
      <c r="EX84" t="str">
        <f t="shared" si="702"/>
        <v/>
      </c>
      <c r="EY84" t="str">
        <f t="shared" si="703"/>
        <v/>
      </c>
    </row>
    <row r="85" spans="1:155" ht="13.9" customHeight="1" x14ac:dyDescent="0.25">
      <c r="A85" s="7"/>
      <c r="B85" s="17"/>
      <c r="C85" s="8"/>
      <c r="D85" s="17"/>
      <c r="E85" s="8"/>
      <c r="F85" s="18">
        <v>0</v>
      </c>
      <c r="G85" s="7" t="s">
        <v>147</v>
      </c>
      <c r="H85" s="18">
        <v>0</v>
      </c>
      <c r="I85" s="19">
        <v>0</v>
      </c>
      <c r="J85" s="7" t="s">
        <v>147</v>
      </c>
      <c r="K85" s="19">
        <v>0</v>
      </c>
      <c r="L85" s="9"/>
      <c r="M85" s="3" t="str">
        <f>IF($L85="","",IF($L85="DOELPUNTENMAKERS","",IF(AND(COUNTIF(#REF!,$B85)=0,COUNTIF(#REF!,$D85)=0),"OK",IF($O85&gt;20,"LET OP: meer dan 20 items (controle onvolledig)",IF((COUNTIF($R85:$AS85,"ONZEKER")+COUNTIF($CJ85:$DK85,"ONZEKER"))&gt;0,"LET OP: scoreverloop onduidelijk (controle beperkt)",IF((IF($AT85&lt;&gt;"",$AT85&amp;", ","")&amp;IF($AU85&lt;&gt;"",$AU85&amp;", ","")&amp;IF($AV85&lt;&gt;"",$AV85&amp;", ","")&amp;IF($AW85&lt;&gt;"",$AW85&amp;", ","")&amp;IF($AX85&lt;&gt;"",$AX85&amp;", ","")&amp;IF($AY85&lt;&gt;"",$AY85&amp;", ","")&amp;IF($AZ85&lt;&gt;"",$AZ85&amp;", ","")&amp;IF($BA85&lt;&gt;"",$BA85&amp;", ","")&amp;IF($BB85&lt;&gt;"",$BB85&amp;", ","")&amp;IF($BC85&lt;&gt;"",$BC85&amp;", ","")&amp;IF($DL85&lt;&gt;"",$DL85&amp;", ","")&amp;IF($DM85&lt;&gt;"",$DM85&amp;", ","")&amp;IF($DN85&lt;&gt;"",$DN85&amp;", ","")&amp;IF($DO85&lt;&gt;"",$DO85&amp;", ","")&amp;IF($DP85&lt;&gt;"",$DP85&amp;", ","")&amp;IF($DQ85&lt;&gt;"",$DQ85&amp;", ","")&amp;IF($DR85&lt;&gt;"",$DR85&amp;", ","")&amp;IF($DS85&lt;&gt;"",$DS85&amp;", ","")&amp;IF($DT85&lt;&gt;"",$DT85&amp;", ","")&amp;IF($DU85&lt;&gt;"",$DU85&amp;", ",""))="","OK","Onbekend: "&amp;LEFT((IF($AT85&lt;&gt;"",$AT85&amp;", ","")&amp;IF($AU85&lt;&gt;"",$AU85&amp;", ","")&amp;IF($AV85&lt;&gt;"",$AV85&amp;", ","")&amp;IF($AW85&lt;&gt;"",$AW85&amp;", ","")&amp;IF($AX85&lt;&gt;"",$AX85&amp;", ","")&amp;IF($AY85&lt;&gt;"",$AY85&amp;", ","")&amp;IF($AZ85&lt;&gt;"",$AZ85&amp;", ","")&amp;IF($BA85&lt;&gt;"",$BA85&amp;", ","")&amp;IF($BB85&lt;&gt;"",$BB85&amp;", ","")&amp;IF($BC85&lt;&gt;"",$BC85&amp;", ","")&amp;IF($DL85&lt;&gt;"",$DL85&amp;", ","")&amp;IF($DM85&lt;&gt;"",$DM85&amp;", ","")&amp;IF($DN85&lt;&gt;"",$DN85&amp;", ","")&amp;IF($DO85&lt;&gt;"",$DO85&amp;", ","")&amp;IF($DP85&lt;&gt;"",$DP85&amp;", ","")&amp;IF($DQ85&lt;&gt;"",$DQ85&amp;", ","")&amp;IF($DR85&lt;&gt;"",$DR85&amp;", ","")&amp;IF($DS85&lt;&gt;"",$DS85&amp;", ","")&amp;IF($DT85&lt;&gt;"",$DT85&amp;", ","")&amp;IF($DU85&lt;&gt;"",$DU85&amp;", ","")),LEN((IF($AT85&lt;&gt;"",$AT85&amp;", ","")&amp;IF($AU85&lt;&gt;"",$AU85&amp;", ","")&amp;IF($AV85&lt;&gt;"",$AV85&amp;", ","")&amp;IF($AW85&lt;&gt;"",$AW85&amp;", ","")&amp;IF($AX85&lt;&gt;"",$AX85&amp;", ","")&amp;IF($AY85&lt;&gt;"",$AY85&amp;", ","")&amp;IF($AZ85&lt;&gt;"",$AZ85&amp;", ","")&amp;IF($BA85&lt;&gt;"",$BA85&amp;", ","")&amp;IF($BB85&lt;&gt;"",$BB85&amp;", ","")&amp;IF($BC85&lt;&gt;"",$BC85&amp;", ","")&amp;IF($DL85&lt;&gt;"",$DL85&amp;", ","")&amp;IF($DM85&lt;&gt;"",$DM85&amp;", ","")&amp;IF($DN85&lt;&gt;"",$DN85&amp;", ","")&amp;IF($DO85&lt;&gt;"",$DO85&amp;", ","")&amp;IF($DP85&lt;&gt;"",$DP85&amp;", ","")&amp;IF($DQ85&lt;&gt;"",$DQ85&amp;", ","")&amp;IF($DR85&lt;&gt;"",$DR85&amp;", ","")&amp;IF($DS85&lt;&gt;"",$DS85&amp;", ","")&amp;IF($DT85&lt;&gt;"",$DT85&amp;", ","")&amp;IF($DU85&lt;&gt;"",$DU85&amp;", ","")))-2)))))))</f>
        <v/>
      </c>
      <c r="N85" t="str">
        <f t="shared" si="612"/>
        <v/>
      </c>
      <c r="O85" t="str">
        <f t="shared" si="613"/>
        <v/>
      </c>
      <c r="P85" t="str">
        <f t="shared" si="614"/>
        <v/>
      </c>
      <c r="Q85" t="str">
        <f t="shared" si="615"/>
        <v/>
      </c>
      <c r="R85" t="str">
        <f>IF($Q85="","",IF(OR($BE85="",$BF85=""),"ONZEKER",IF(AND($BE85=0+1,$BF85=0),IF(OR(COUNTIF(#REF!,$B85)&gt;0,COUNTIF(#REF!,$B85)=0),"SKIP",IF(COUNTIFS(#REF!,$B85,#REF!,$Q85)&gt;0,"OK","ONBEKEND")),IF(AND($BE85=0,$BF85=0+1),IF(OR(COUNTIF(#REF!,$D85)&gt;0,COUNTIF(#REF!,$D85)=0),"SKIP",IF(COUNTIFS(#REF!,$D85,#REF!,$Q85)&gt;0,"OK","ONBEKEND")),"ONZEKER"))))</f>
        <v/>
      </c>
      <c r="S85" t="str">
        <f t="shared" si="616"/>
        <v/>
      </c>
      <c r="T85" t="str">
        <f t="shared" si="617"/>
        <v/>
      </c>
      <c r="U85" t="str">
        <f>IF($T85="","",IF(OR($BH85="",$BI85=""),"ONZEKER",IF(OR($BE85="",$BF85=""),"ONZEKER",IF(AND($BH85=$BE85+1,$BI85=$BF85),IF(OR(COUNTIF(#REF!,$B85)&gt;0,COUNTIF(#REF!,$B85)=0),"SKIP",IF(COUNTIFS(#REF!,$B85,#REF!,$T85)&gt;0,"OK","ONBEKEND")),IF(AND($BH85=$BE85,$BI85=$BF85+1),IF(OR(COUNTIF(#REF!,$D85)&gt;0,COUNTIF(#REF!,$D85)=0),"SKIP",IF(COUNTIFS(#REF!,$D85,#REF!,$T85)&gt;0,"OK","ONBEKEND")),"ONZEKER")))))</f>
        <v/>
      </c>
      <c r="V85" t="str">
        <f t="shared" si="618"/>
        <v/>
      </c>
      <c r="W85" t="str">
        <f t="shared" si="619"/>
        <v/>
      </c>
      <c r="X85" t="str">
        <f>IF($W85="","",IF(OR($BK85="",$BL85=""),"ONZEKER",IF(OR($BH85="",$BI85=""),"ONZEKER",IF(AND($BK85=$BH85+1,$BL85=$BI85),IF(OR(COUNTIF(#REF!,$B85)&gt;0,COUNTIF(#REF!,$B85)=0),"SKIP",IF(COUNTIFS(#REF!,$B85,#REF!,$W85)&gt;0,"OK","ONBEKEND")),IF(AND($BK85=$BH85,$BL85=$BI85+1),IF(OR(COUNTIF(#REF!,$D85)&gt;0,COUNTIF(#REF!,$D85)=0),"SKIP",IF(COUNTIFS(#REF!,$D85,#REF!,$W85)&gt;0,"OK","ONBEKEND")),"ONZEKER")))))</f>
        <v/>
      </c>
      <c r="Y85" t="str">
        <f t="shared" si="620"/>
        <v/>
      </c>
      <c r="Z85" t="str">
        <f t="shared" si="621"/>
        <v/>
      </c>
      <c r="AA85" t="str">
        <f>IF($Z85="","",IF(OR($BN85="",$BO85=""),"ONZEKER",IF(OR($BK85="",$BL85=""),"ONZEKER",IF(AND($BN85=$BK85+1,$BO85=$BL85),IF(OR(COUNTIF(#REF!,$B85)&gt;0,COUNTIF(#REF!,$B85)=0),"SKIP",IF(COUNTIFS(#REF!,$B85,#REF!,$Z85)&gt;0,"OK","ONBEKEND")),IF(AND($BN85=$BK85,$BO85=$BL85+1),IF(OR(COUNTIF(#REF!,$D85)&gt;0,COUNTIF(#REF!,$D85)=0),"SKIP",IF(COUNTIFS(#REF!,$D85,#REF!,$Z85)&gt;0,"OK","ONBEKEND")),"ONZEKER")))))</f>
        <v/>
      </c>
      <c r="AB85" t="str">
        <f t="shared" si="622"/>
        <v/>
      </c>
      <c r="AC85" t="str">
        <f t="shared" si="623"/>
        <v/>
      </c>
      <c r="AD85" t="str">
        <f>IF($AC85="","",IF(OR($BQ85="",$BR85=""),"ONZEKER",IF(OR($BN85="",$BO85=""),"ONZEKER",IF(AND($BQ85=$BN85+1,$BR85=$BO85),IF(OR(COUNTIF(#REF!,$B85)&gt;0,COUNTIF(#REF!,$B85)=0),"SKIP",IF(COUNTIFS(#REF!,$B85,#REF!,$AC85)&gt;0,"OK","ONBEKEND")),IF(AND($BQ85=$BN85,$BR85=$BO85+1),IF(OR(COUNTIF(#REF!,$D85)&gt;0,COUNTIF(#REF!,$D85)=0),"SKIP",IF(COUNTIFS(#REF!,$D85,#REF!,$AC85)&gt;0,"OK","ONBEKEND")),"ONZEKER")))))</f>
        <v/>
      </c>
      <c r="AE85" t="str">
        <f t="shared" si="624"/>
        <v/>
      </c>
      <c r="AF85" t="str">
        <f t="shared" si="625"/>
        <v/>
      </c>
      <c r="AG85" t="str">
        <f>IF($AF85="","",IF(OR($BT85="",$BU85=""),"ONZEKER",IF(OR($BQ85="",$BR85=""),"ONZEKER",IF(AND($BT85=$BQ85+1,$BU85=$BR85),IF(OR(COUNTIF(#REF!,$B85)&gt;0,COUNTIF(#REF!,$B85)=0),"SKIP",IF(COUNTIFS(#REF!,$B85,#REF!,$AF85)&gt;0,"OK","ONBEKEND")),IF(AND($BT85=$BQ85,$BU85=$BR85+1),IF(OR(COUNTIF(#REF!,$D85)&gt;0,COUNTIF(#REF!,$D85)=0),"SKIP",IF(COUNTIFS(#REF!,$D85,#REF!,$AF85)&gt;0,"OK","ONBEKEND")),"ONZEKER")))))</f>
        <v/>
      </c>
      <c r="AH85" t="str">
        <f t="shared" si="626"/>
        <v/>
      </c>
      <c r="AI85" t="str">
        <f t="shared" si="627"/>
        <v/>
      </c>
      <c r="AJ85" t="str">
        <f>IF($AI85="","",IF(OR($BW85="",$BX85=""),"ONZEKER",IF(OR($BT85="",$BU85=""),"ONZEKER",IF(AND($BW85=$BT85+1,$BX85=$BU85),IF(OR(COUNTIF(#REF!,$B85)&gt;0,COUNTIF(#REF!,$B85)=0),"SKIP",IF(COUNTIFS(#REF!,$B85,#REF!,$AI85)&gt;0,"OK","ONBEKEND")),IF(AND($BW85=$BT85,$BX85=$BU85+1),IF(OR(COUNTIF(#REF!,$D85)&gt;0,COUNTIF(#REF!,$D85)=0),"SKIP",IF(COUNTIFS(#REF!,$D85,#REF!,$AI85)&gt;0,"OK","ONBEKEND")),"ONZEKER")))))</f>
        <v/>
      </c>
      <c r="AK85" t="str">
        <f t="shared" si="628"/>
        <v/>
      </c>
      <c r="AL85" t="str">
        <f t="shared" si="629"/>
        <v/>
      </c>
      <c r="AM85" t="str">
        <f>IF($AL85="","",IF(OR($BZ85="",$CA85=""),"ONZEKER",IF(OR($BW85="",$BX85=""),"ONZEKER",IF(AND($BZ85=$BW85+1,$CA85=$BX85),IF(OR(COUNTIF(#REF!,$B85)&gt;0,COUNTIF(#REF!,$B85)=0),"SKIP",IF(COUNTIFS(#REF!,$B85,#REF!,$AL85)&gt;0,"OK","ONBEKEND")),IF(AND($BZ85=$BW85,$CA85=$BX85+1),IF(OR(COUNTIF(#REF!,$D85)&gt;0,COUNTIF(#REF!,$D85)=0),"SKIP",IF(COUNTIFS(#REF!,$D85,#REF!,$AL85)&gt;0,"OK","ONBEKEND")),"ONZEKER")))))</f>
        <v/>
      </c>
      <c r="AN85" t="str">
        <f t="shared" si="630"/>
        <v/>
      </c>
      <c r="AO85" t="str">
        <f t="shared" si="631"/>
        <v/>
      </c>
      <c r="AP85" t="str">
        <f>IF($AO85="","",IF(OR($CC85="",$CD85=""),"ONZEKER",IF(OR($BZ85="",$CA85=""),"ONZEKER",IF(AND($CC85=$BZ85+1,$CD85=$CA85),IF(OR(COUNTIF(#REF!,$B85)&gt;0,COUNTIF(#REF!,$B85)=0),"SKIP",IF(COUNTIFS(#REF!,$B85,#REF!,$AO85)&gt;0,"OK","ONBEKEND")),IF(AND($CC85=$BZ85,$CD85=$CA85+1),IF(OR(COUNTIF(#REF!,$D85)&gt;0,COUNTIF(#REF!,$D85)=0),"SKIP",IF(COUNTIFS(#REF!,$D85,#REF!,$AO85)&gt;0,"OK","ONBEKEND")),"ONZEKER")))))</f>
        <v/>
      </c>
      <c r="AQ85" t="str">
        <f t="shared" si="632"/>
        <v/>
      </c>
      <c r="AR85" t="str">
        <f t="shared" si="633"/>
        <v/>
      </c>
      <c r="AS85" t="str">
        <f>IF($AR85="","",IF(OR($CF85="",$CG85=""),"ONZEKER",IF(OR($CC85="",$CD85=""),"ONZEKER",IF(AND($CF85=$CC85+1,$CG85=$CD85),IF(OR(COUNTIF(#REF!,$B85)&gt;0,COUNTIF(#REF!,$B85)=0),"SKIP",IF(COUNTIFS(#REF!,$B85,#REF!,$AR85)&gt;0,"OK","ONBEKEND")),IF(AND($CF85=$CC85,$CG85=$CD85+1),IF(OR(COUNTIF(#REF!,$D85)&gt;0,COUNTIF(#REF!,$D85)=0),"SKIP",IF(COUNTIFS(#REF!,$D85,#REF!,$AR85)&gt;0,"OK","ONBEKEND")),"ONZEKER")))))</f>
        <v/>
      </c>
      <c r="AT85" t="str">
        <f t="shared" si="634"/>
        <v/>
      </c>
      <c r="AU85" t="str">
        <f t="shared" si="635"/>
        <v/>
      </c>
      <c r="AV85" t="str">
        <f t="shared" si="636"/>
        <v/>
      </c>
      <c r="AW85" t="str">
        <f t="shared" si="637"/>
        <v/>
      </c>
      <c r="AX85" t="str">
        <f t="shared" si="638"/>
        <v/>
      </c>
      <c r="AY85" t="str">
        <f t="shared" si="639"/>
        <v/>
      </c>
      <c r="AZ85" t="str">
        <f t="shared" si="640"/>
        <v/>
      </c>
      <c r="BA85" t="str">
        <f t="shared" si="641"/>
        <v/>
      </c>
      <c r="BB85" t="str">
        <f t="shared" si="642"/>
        <v/>
      </c>
      <c r="BC85" t="str">
        <f t="shared" si="643"/>
        <v/>
      </c>
      <c r="BD85" t="str">
        <f t="shared" si="490"/>
        <v/>
      </c>
      <c r="BE85" t="str">
        <f t="shared" si="491"/>
        <v/>
      </c>
      <c r="BF85" t="str">
        <f t="shared" si="492"/>
        <v/>
      </c>
      <c r="BG85" t="str">
        <f t="shared" si="493"/>
        <v/>
      </c>
      <c r="BH85" t="str">
        <f t="shared" si="494"/>
        <v/>
      </c>
      <c r="BI85" t="str">
        <f t="shared" si="495"/>
        <v/>
      </c>
      <c r="BJ85" t="str">
        <f t="shared" si="496"/>
        <v/>
      </c>
      <c r="BK85" t="str">
        <f t="shared" si="497"/>
        <v/>
      </c>
      <c r="BL85" t="str">
        <f t="shared" si="498"/>
        <v/>
      </c>
      <c r="BM85" t="str">
        <f t="shared" si="499"/>
        <v/>
      </c>
      <c r="BN85" t="str">
        <f t="shared" si="500"/>
        <v/>
      </c>
      <c r="BO85" t="str">
        <f t="shared" si="501"/>
        <v/>
      </c>
      <c r="BP85" t="str">
        <f t="shared" si="502"/>
        <v/>
      </c>
      <c r="BQ85" t="str">
        <f t="shared" si="503"/>
        <v/>
      </c>
      <c r="BR85" t="str">
        <f t="shared" si="504"/>
        <v/>
      </c>
      <c r="BS85" t="str">
        <f t="shared" si="505"/>
        <v/>
      </c>
      <c r="BT85" t="str">
        <f t="shared" si="506"/>
        <v/>
      </c>
      <c r="BU85" t="str">
        <f t="shared" si="507"/>
        <v/>
      </c>
      <c r="BV85" t="str">
        <f t="shared" si="508"/>
        <v/>
      </c>
      <c r="BW85" t="str">
        <f t="shared" si="509"/>
        <v/>
      </c>
      <c r="BX85" t="str">
        <f t="shared" si="510"/>
        <v/>
      </c>
      <c r="BY85" t="str">
        <f t="shared" si="511"/>
        <v/>
      </c>
      <c r="BZ85" t="str">
        <f t="shared" si="512"/>
        <v/>
      </c>
      <c r="CA85" t="str">
        <f t="shared" si="513"/>
        <v/>
      </c>
      <c r="CB85" t="str">
        <f t="shared" si="514"/>
        <v/>
      </c>
      <c r="CC85" t="str">
        <f t="shared" si="515"/>
        <v/>
      </c>
      <c r="CD85" t="str">
        <f t="shared" si="516"/>
        <v/>
      </c>
      <c r="CE85" t="str">
        <f t="shared" si="517"/>
        <v/>
      </c>
      <c r="CF85" t="str">
        <f t="shared" si="518"/>
        <v/>
      </c>
      <c r="CG85" t="str">
        <f t="shared" si="519"/>
        <v/>
      </c>
      <c r="CH85" t="str">
        <f t="shared" si="644"/>
        <v/>
      </c>
      <c r="CI85" t="str">
        <f t="shared" si="645"/>
        <v/>
      </c>
      <c r="CJ85" t="str">
        <f>IF($CI85="","",IF(OR($DW85="",$DX85=""),"ONZEKER",IF(OR($CF85="",$CG85=""),"ONZEKER",IF(AND($DW85=$CF85+1,$DX85=$CG85),IF(OR(COUNTIF(#REF!,$B85)&gt;0,COUNTIF(#REF!,$B85)=0),"SKIP",IF(COUNTIFS(#REF!,$B85,#REF!,$CI85)&gt;0,"OK","ONBEKEND")),IF(AND($DW85=$CF85,$DX85=$CG85+1),IF(OR(COUNTIF(#REF!,$D85)&gt;0,COUNTIF(#REF!,$D85)=0),"SKIP",IF(COUNTIFS(#REF!,$D85,#REF!,$CI85)&gt;0,"OK","ONBEKEND")),"ONZEKER")))))</f>
        <v/>
      </c>
      <c r="CK85" t="str">
        <f t="shared" si="646"/>
        <v/>
      </c>
      <c r="CL85" t="str">
        <f t="shared" si="647"/>
        <v/>
      </c>
      <c r="CM85" t="str">
        <f>IF($CL85="","",IF(OR($DZ85="",$EA85=""),"ONZEKER",IF(OR($DW85="",$DX85=""),"ONZEKER",IF(AND($DZ85=$DW85+1,$EA85=$DX85),IF(OR(COUNTIF(#REF!,$B85)&gt;0,COUNTIF(#REF!,$B85)=0),"SKIP",IF(COUNTIFS(#REF!,$B85,#REF!,$CL85)&gt;0,"OK","ONBEKEND")),IF(AND($DZ85=$DW85,$EA85=$DX85+1),IF(OR(COUNTIF(#REF!,$D85)&gt;0,COUNTIF(#REF!,$D85)=0),"SKIP",IF(COUNTIFS(#REF!,$D85,#REF!,$CL85)&gt;0,"OK","ONBEKEND")),"ONZEKER")))))</f>
        <v/>
      </c>
      <c r="CN85" t="str">
        <f t="shared" si="648"/>
        <v/>
      </c>
      <c r="CO85" t="str">
        <f t="shared" si="649"/>
        <v/>
      </c>
      <c r="CP85" t="str">
        <f>IF($CO85="","",IF(OR($EC85="",$ED85=""),"ONZEKER",IF(OR($DZ85="",$EA85=""),"ONZEKER",IF(AND($EC85=$DZ85+1,$ED85=$EA85),IF(OR(COUNTIF(#REF!,$B85)&gt;0,COUNTIF(#REF!,$B85)=0),"SKIP",IF(COUNTIFS(#REF!,$B85,#REF!,$CO85)&gt;0,"OK","ONBEKEND")),IF(AND($EC85=$DZ85,$ED85=$EA85+1),IF(OR(COUNTIF(#REF!,$D85)&gt;0,COUNTIF(#REF!,$D85)=0),"SKIP",IF(COUNTIFS(#REF!,$D85,#REF!,$CO85)&gt;0,"OK","ONBEKEND")),"ONZEKER")))))</f>
        <v/>
      </c>
      <c r="CQ85" t="str">
        <f t="shared" si="650"/>
        <v/>
      </c>
      <c r="CR85" t="str">
        <f t="shared" si="651"/>
        <v/>
      </c>
      <c r="CS85" t="str">
        <f>IF($CR85="","",IF(OR($EF85="",$EG85=""),"ONZEKER",IF(OR($EC85="",$ED85=""),"ONZEKER",IF(AND($EF85=$EC85+1,$EG85=$ED85),IF(OR(COUNTIF(#REF!,$B85)&gt;0,COUNTIF(#REF!,$B85)=0),"SKIP",IF(COUNTIFS(#REF!,$B85,#REF!,$CR85)&gt;0,"OK","ONBEKEND")),IF(AND($EF85=$EC85,$EG85=$ED85+1),IF(OR(COUNTIF(#REF!,$D85)&gt;0,COUNTIF(#REF!,$D85)=0),"SKIP",IF(COUNTIFS(#REF!,$D85,#REF!,$CR85)&gt;0,"OK","ONBEKEND")),"ONZEKER")))))</f>
        <v/>
      </c>
      <c r="CT85" t="str">
        <f t="shared" si="652"/>
        <v/>
      </c>
      <c r="CU85" t="str">
        <f t="shared" si="653"/>
        <v/>
      </c>
      <c r="CV85" t="str">
        <f>IF($CU85="","",IF(OR($EI85="",$EJ85=""),"ONZEKER",IF(OR($EF85="",$EG85=""),"ONZEKER",IF(AND($EI85=$EF85+1,$EJ85=$EG85),IF(OR(COUNTIF(#REF!,$B85)&gt;0,COUNTIF(#REF!,$B85)=0),"SKIP",IF(COUNTIFS(#REF!,$B85,#REF!,$CU85)&gt;0,"OK","ONBEKEND")),IF(AND($EI85=$EF85,$EJ85=$EG85+1),IF(OR(COUNTIF(#REF!,$D85)&gt;0,COUNTIF(#REF!,$D85)=0),"SKIP",IF(COUNTIFS(#REF!,$D85,#REF!,$CU85)&gt;0,"OK","ONBEKEND")),"ONZEKER")))))</f>
        <v/>
      </c>
      <c r="CW85" t="str">
        <f t="shared" si="654"/>
        <v/>
      </c>
      <c r="CX85" t="str">
        <f t="shared" si="655"/>
        <v/>
      </c>
      <c r="CY85" t="str">
        <f>IF($CX85="","",IF(OR($EL85="",$EM85=""),"ONZEKER",IF(OR($EI85="",$EJ85=""),"ONZEKER",IF(AND($EL85=$EI85+1,$EM85=$EJ85),IF(OR(COUNTIF(#REF!,$B85)&gt;0,COUNTIF(#REF!,$B85)=0),"SKIP",IF(COUNTIFS(#REF!,$B85,#REF!,$CX85)&gt;0,"OK","ONBEKEND")),IF(AND($EL85=$EI85,$EM85=$EJ85+1),IF(OR(COUNTIF(#REF!,$D85)&gt;0,COUNTIF(#REF!,$D85)=0),"SKIP",IF(COUNTIFS(#REF!,$D85,#REF!,$CX85)&gt;0,"OK","ONBEKEND")),"ONZEKER")))))</f>
        <v/>
      </c>
      <c r="CZ85" t="str">
        <f t="shared" si="656"/>
        <v/>
      </c>
      <c r="DA85" t="str">
        <f t="shared" si="657"/>
        <v/>
      </c>
      <c r="DB85" t="str">
        <f>IF($DA85="","",IF(OR($EO85="",$EP85=""),"ONZEKER",IF(OR($EL85="",$EM85=""),"ONZEKER",IF(AND($EO85=$EL85+1,$EP85=$EM85),IF(OR(COUNTIF(#REF!,$B85)&gt;0,COUNTIF(#REF!,$B85)=0),"SKIP",IF(COUNTIFS(#REF!,$B85,#REF!,$DA85)&gt;0,"OK","ONBEKEND")),IF(AND($EO85=$EL85,$EP85=$EM85+1),IF(OR(COUNTIF(#REF!,$D85)&gt;0,COUNTIF(#REF!,$D85)=0),"SKIP",IF(COUNTIFS(#REF!,$D85,#REF!,$DA85)&gt;0,"OK","ONBEKEND")),"ONZEKER")))))</f>
        <v/>
      </c>
      <c r="DC85" t="str">
        <f t="shared" si="658"/>
        <v/>
      </c>
      <c r="DD85" t="str">
        <f t="shared" si="659"/>
        <v/>
      </c>
      <c r="DE85" t="str">
        <f>IF($DD85="","",IF(OR($ER85="",$ES85=""),"ONZEKER",IF(OR($EO85="",$EP85=""),"ONZEKER",IF(AND($ER85=$EO85+1,$ES85=$EP85),IF(OR(COUNTIF(#REF!,$B85)&gt;0,COUNTIF(#REF!,$B85)=0),"SKIP",IF(COUNTIFS(#REF!,$B85,#REF!,$DD85)&gt;0,"OK","ONBEKEND")),IF(AND($ER85=$EO85,$ES85=$EP85+1),IF(OR(COUNTIF(#REF!,$D85)&gt;0,COUNTIF(#REF!,$D85)=0),"SKIP",IF(COUNTIFS(#REF!,$D85,#REF!,$DD85)&gt;0,"OK","ONBEKEND")),"ONZEKER")))))</f>
        <v/>
      </c>
      <c r="DF85" t="str">
        <f t="shared" si="660"/>
        <v/>
      </c>
      <c r="DG85" t="str">
        <f t="shared" si="661"/>
        <v/>
      </c>
      <c r="DH85" t="str">
        <f>IF($DG85="","",IF(OR($EU85="",$EV85=""),"ONZEKER",IF(OR($ER85="",$ES85=""),"ONZEKER",IF(AND($EU85=$ER85+1,$EV85=$ES85),IF(OR(COUNTIF(#REF!,$B85)&gt;0,COUNTIF(#REF!,$B85)=0),"SKIP",IF(COUNTIFS(#REF!,$B85,#REF!,$DG85)&gt;0,"OK","ONBEKEND")),IF(AND($EU85=$ER85,$EV85=$ES85+1),IF(OR(COUNTIF(#REF!,$D85)&gt;0,COUNTIF(#REF!,$D85)=0),"SKIP",IF(COUNTIFS(#REF!,$D85,#REF!,$DG85)&gt;0,"OK","ONBEKEND")),"ONZEKER")))))</f>
        <v/>
      </c>
      <c r="DI85" t="str">
        <f t="shared" si="662"/>
        <v/>
      </c>
      <c r="DJ85" t="str">
        <f t="shared" si="663"/>
        <v/>
      </c>
      <c r="DK85" t="str">
        <f>IF($DJ85="","",IF(OR($EX85="",$EY85=""),"ONZEKER",IF(OR($EU85="",$EV85=""),"ONZEKER",IF(AND($EX85=$EU85+1,$EY85=$EV85),IF(OR(COUNTIF(#REF!,$B85)&gt;0,COUNTIF(#REF!,$B85)=0),"SKIP",IF(COUNTIFS(#REF!,$B85,#REF!,$DJ85)&gt;0,"OK","ONBEKEND")),IF(AND($EX85=$EU85,$EY85=$EV85+1),IF(OR(COUNTIF(#REF!,$D85)&gt;0,COUNTIF(#REF!,$D85)=0),"SKIP",IF(COUNTIFS(#REF!,$D85,#REF!,$DJ85)&gt;0,"OK","ONBEKEND")),"ONZEKER")))))</f>
        <v/>
      </c>
      <c r="DL85" t="str">
        <f t="shared" si="664"/>
        <v/>
      </c>
      <c r="DM85" t="str">
        <f t="shared" si="665"/>
        <v/>
      </c>
      <c r="DN85" t="str">
        <f t="shared" si="666"/>
        <v/>
      </c>
      <c r="DO85" t="str">
        <f t="shared" si="667"/>
        <v/>
      </c>
      <c r="DP85" t="str">
        <f t="shared" si="668"/>
        <v/>
      </c>
      <c r="DQ85" t="str">
        <f t="shared" si="669"/>
        <v/>
      </c>
      <c r="DR85" t="str">
        <f t="shared" si="670"/>
        <v/>
      </c>
      <c r="DS85" t="str">
        <f t="shared" si="671"/>
        <v/>
      </c>
      <c r="DT85" t="str">
        <f t="shared" si="672"/>
        <v/>
      </c>
      <c r="DU85" t="str">
        <f t="shared" si="673"/>
        <v/>
      </c>
      <c r="DV85" t="str">
        <f t="shared" si="674"/>
        <v/>
      </c>
      <c r="DW85" t="str">
        <f t="shared" si="675"/>
        <v/>
      </c>
      <c r="DX85" t="str">
        <f t="shared" si="676"/>
        <v/>
      </c>
      <c r="DY85" t="str">
        <f t="shared" si="677"/>
        <v/>
      </c>
      <c r="DZ85" t="str">
        <f t="shared" si="678"/>
        <v/>
      </c>
      <c r="EA85" t="str">
        <f t="shared" si="679"/>
        <v/>
      </c>
      <c r="EB85" t="str">
        <f t="shared" si="680"/>
        <v/>
      </c>
      <c r="EC85" t="str">
        <f t="shared" si="681"/>
        <v/>
      </c>
      <c r="ED85" t="str">
        <f t="shared" si="682"/>
        <v/>
      </c>
      <c r="EE85" t="str">
        <f t="shared" si="683"/>
        <v/>
      </c>
      <c r="EF85" t="str">
        <f t="shared" si="684"/>
        <v/>
      </c>
      <c r="EG85" t="str">
        <f t="shared" si="685"/>
        <v/>
      </c>
      <c r="EH85" t="str">
        <f t="shared" si="686"/>
        <v/>
      </c>
      <c r="EI85" t="str">
        <f t="shared" si="687"/>
        <v/>
      </c>
      <c r="EJ85" t="str">
        <f t="shared" si="688"/>
        <v/>
      </c>
      <c r="EK85" t="str">
        <f t="shared" si="689"/>
        <v/>
      </c>
      <c r="EL85" t="str">
        <f t="shared" si="690"/>
        <v/>
      </c>
      <c r="EM85" t="str">
        <f t="shared" si="691"/>
        <v/>
      </c>
      <c r="EN85" t="str">
        <f t="shared" si="692"/>
        <v/>
      </c>
      <c r="EO85" t="str">
        <f t="shared" si="693"/>
        <v/>
      </c>
      <c r="EP85" t="str">
        <f t="shared" si="694"/>
        <v/>
      </c>
      <c r="EQ85" t="str">
        <f t="shared" si="695"/>
        <v/>
      </c>
      <c r="ER85" t="str">
        <f t="shared" si="696"/>
        <v/>
      </c>
      <c r="ES85" t="str">
        <f t="shared" si="697"/>
        <v/>
      </c>
      <c r="ET85" t="str">
        <f t="shared" si="698"/>
        <v/>
      </c>
      <c r="EU85" t="str">
        <f t="shared" si="699"/>
        <v/>
      </c>
      <c r="EV85" t="str">
        <f t="shared" si="700"/>
        <v/>
      </c>
      <c r="EW85" t="str">
        <f t="shared" si="701"/>
        <v/>
      </c>
      <c r="EX85" t="str">
        <f t="shared" si="702"/>
        <v/>
      </c>
      <c r="EY85" t="str">
        <f t="shared" si="703"/>
        <v/>
      </c>
    </row>
    <row r="86" spans="1:155" ht="13.9" customHeight="1" x14ac:dyDescent="0.25">
      <c r="A86" s="7"/>
      <c r="B86" s="17"/>
      <c r="C86" s="8"/>
      <c r="D86" s="17"/>
      <c r="E86" s="8"/>
      <c r="F86" s="18">
        <v>0</v>
      </c>
      <c r="G86" s="7" t="s">
        <v>147</v>
      </c>
      <c r="H86" s="18">
        <v>0</v>
      </c>
      <c r="I86" s="19">
        <v>0</v>
      </c>
      <c r="J86" s="7" t="s">
        <v>147</v>
      </c>
      <c r="K86" s="19">
        <v>0</v>
      </c>
      <c r="L86" s="9"/>
      <c r="M86" s="3" t="str">
        <f>IF($L86="","",IF($L86="DOELPUNTENMAKERS","",IF(AND(COUNTIF(#REF!,$B86)=0,COUNTIF(#REF!,$D86)=0),"OK",IF($O86&gt;20,"LET OP: meer dan 20 items (controle onvolledig)",IF((COUNTIF($R86:$AS86,"ONZEKER")+COUNTIF($CJ86:$DK86,"ONZEKER"))&gt;0,"LET OP: scoreverloop onduidelijk (controle beperkt)",IF((IF($AT86&lt;&gt;"",$AT86&amp;", ","")&amp;IF($AU86&lt;&gt;"",$AU86&amp;", ","")&amp;IF($AV86&lt;&gt;"",$AV86&amp;", ","")&amp;IF($AW86&lt;&gt;"",$AW86&amp;", ","")&amp;IF($AX86&lt;&gt;"",$AX86&amp;", ","")&amp;IF($AY86&lt;&gt;"",$AY86&amp;", ","")&amp;IF($AZ86&lt;&gt;"",$AZ86&amp;", ","")&amp;IF($BA86&lt;&gt;"",$BA86&amp;", ","")&amp;IF($BB86&lt;&gt;"",$BB86&amp;", ","")&amp;IF($BC86&lt;&gt;"",$BC86&amp;", ","")&amp;IF($DL86&lt;&gt;"",$DL86&amp;", ","")&amp;IF($DM86&lt;&gt;"",$DM86&amp;", ","")&amp;IF($DN86&lt;&gt;"",$DN86&amp;", ","")&amp;IF($DO86&lt;&gt;"",$DO86&amp;", ","")&amp;IF($DP86&lt;&gt;"",$DP86&amp;", ","")&amp;IF($DQ86&lt;&gt;"",$DQ86&amp;", ","")&amp;IF($DR86&lt;&gt;"",$DR86&amp;", ","")&amp;IF($DS86&lt;&gt;"",$DS86&amp;", ","")&amp;IF($DT86&lt;&gt;"",$DT86&amp;", ","")&amp;IF($DU86&lt;&gt;"",$DU86&amp;", ",""))="","OK","Onbekend: "&amp;LEFT((IF($AT86&lt;&gt;"",$AT86&amp;", ","")&amp;IF($AU86&lt;&gt;"",$AU86&amp;", ","")&amp;IF($AV86&lt;&gt;"",$AV86&amp;", ","")&amp;IF($AW86&lt;&gt;"",$AW86&amp;", ","")&amp;IF($AX86&lt;&gt;"",$AX86&amp;", ","")&amp;IF($AY86&lt;&gt;"",$AY86&amp;", ","")&amp;IF($AZ86&lt;&gt;"",$AZ86&amp;", ","")&amp;IF($BA86&lt;&gt;"",$BA86&amp;", ","")&amp;IF($BB86&lt;&gt;"",$BB86&amp;", ","")&amp;IF($BC86&lt;&gt;"",$BC86&amp;", ","")&amp;IF($DL86&lt;&gt;"",$DL86&amp;", ","")&amp;IF($DM86&lt;&gt;"",$DM86&amp;", ","")&amp;IF($DN86&lt;&gt;"",$DN86&amp;", ","")&amp;IF($DO86&lt;&gt;"",$DO86&amp;", ","")&amp;IF($DP86&lt;&gt;"",$DP86&amp;", ","")&amp;IF($DQ86&lt;&gt;"",$DQ86&amp;", ","")&amp;IF($DR86&lt;&gt;"",$DR86&amp;", ","")&amp;IF($DS86&lt;&gt;"",$DS86&amp;", ","")&amp;IF($DT86&lt;&gt;"",$DT86&amp;", ","")&amp;IF($DU86&lt;&gt;"",$DU86&amp;", ","")),LEN((IF($AT86&lt;&gt;"",$AT86&amp;", ","")&amp;IF($AU86&lt;&gt;"",$AU86&amp;", ","")&amp;IF($AV86&lt;&gt;"",$AV86&amp;", ","")&amp;IF($AW86&lt;&gt;"",$AW86&amp;", ","")&amp;IF($AX86&lt;&gt;"",$AX86&amp;", ","")&amp;IF($AY86&lt;&gt;"",$AY86&amp;", ","")&amp;IF($AZ86&lt;&gt;"",$AZ86&amp;", ","")&amp;IF($BA86&lt;&gt;"",$BA86&amp;", ","")&amp;IF($BB86&lt;&gt;"",$BB86&amp;", ","")&amp;IF($BC86&lt;&gt;"",$BC86&amp;", ","")&amp;IF($DL86&lt;&gt;"",$DL86&amp;", ","")&amp;IF($DM86&lt;&gt;"",$DM86&amp;", ","")&amp;IF($DN86&lt;&gt;"",$DN86&amp;", ","")&amp;IF($DO86&lt;&gt;"",$DO86&amp;", ","")&amp;IF($DP86&lt;&gt;"",$DP86&amp;", ","")&amp;IF($DQ86&lt;&gt;"",$DQ86&amp;", ","")&amp;IF($DR86&lt;&gt;"",$DR86&amp;", ","")&amp;IF($DS86&lt;&gt;"",$DS86&amp;", ","")&amp;IF($DT86&lt;&gt;"",$DT86&amp;", ","")&amp;IF($DU86&lt;&gt;"",$DU86&amp;", ","")))-2)))))))</f>
        <v/>
      </c>
      <c r="N86" t="str">
        <f t="shared" si="612"/>
        <v/>
      </c>
      <c r="O86" t="str">
        <f t="shared" si="613"/>
        <v/>
      </c>
      <c r="P86" t="str">
        <f t="shared" si="614"/>
        <v/>
      </c>
      <c r="Q86" t="str">
        <f t="shared" si="615"/>
        <v/>
      </c>
      <c r="R86" t="str">
        <f>IF($Q86="","",IF(OR($BE86="",$BF86=""),"ONZEKER",IF(AND($BE86=0+1,$BF86=0),IF(OR(COUNTIF(#REF!,$B86)&gt;0,COUNTIF(#REF!,$B86)=0),"SKIP",IF(COUNTIFS(#REF!,$B86,#REF!,$Q86)&gt;0,"OK","ONBEKEND")),IF(AND($BE86=0,$BF86=0+1),IF(OR(COUNTIF(#REF!,$D86)&gt;0,COUNTIF(#REF!,$D86)=0),"SKIP",IF(COUNTIFS(#REF!,$D86,#REF!,$Q86)&gt;0,"OK","ONBEKEND")),"ONZEKER"))))</f>
        <v/>
      </c>
      <c r="S86" t="str">
        <f t="shared" si="616"/>
        <v/>
      </c>
      <c r="T86" t="str">
        <f t="shared" si="617"/>
        <v/>
      </c>
      <c r="U86" t="str">
        <f>IF($T86="","",IF(OR($BH86="",$BI86=""),"ONZEKER",IF(OR($BE86="",$BF86=""),"ONZEKER",IF(AND($BH86=$BE86+1,$BI86=$BF86),IF(OR(COUNTIF(#REF!,$B86)&gt;0,COUNTIF(#REF!,$B86)=0),"SKIP",IF(COUNTIFS(#REF!,$B86,#REF!,$T86)&gt;0,"OK","ONBEKEND")),IF(AND($BH86=$BE86,$BI86=$BF86+1),IF(OR(COUNTIF(#REF!,$D86)&gt;0,COUNTIF(#REF!,$D86)=0),"SKIP",IF(COUNTIFS(#REF!,$D86,#REF!,$T86)&gt;0,"OK","ONBEKEND")),"ONZEKER")))))</f>
        <v/>
      </c>
      <c r="V86" t="str">
        <f t="shared" si="618"/>
        <v/>
      </c>
      <c r="W86" t="str">
        <f t="shared" si="619"/>
        <v/>
      </c>
      <c r="X86" t="str">
        <f>IF($W86="","",IF(OR($BK86="",$BL86=""),"ONZEKER",IF(OR($BH86="",$BI86=""),"ONZEKER",IF(AND($BK86=$BH86+1,$BL86=$BI86),IF(OR(COUNTIF(#REF!,$B86)&gt;0,COUNTIF(#REF!,$B86)=0),"SKIP",IF(COUNTIFS(#REF!,$B86,#REF!,$W86)&gt;0,"OK","ONBEKEND")),IF(AND($BK86=$BH86,$BL86=$BI86+1),IF(OR(COUNTIF(#REF!,$D86)&gt;0,COUNTIF(#REF!,$D86)=0),"SKIP",IF(COUNTIFS(#REF!,$D86,#REF!,$W86)&gt;0,"OK","ONBEKEND")),"ONZEKER")))))</f>
        <v/>
      </c>
      <c r="Y86" t="str">
        <f t="shared" si="620"/>
        <v/>
      </c>
      <c r="Z86" t="str">
        <f t="shared" si="621"/>
        <v/>
      </c>
      <c r="AA86" t="str">
        <f>IF($Z86="","",IF(OR($BN86="",$BO86=""),"ONZEKER",IF(OR($BK86="",$BL86=""),"ONZEKER",IF(AND($BN86=$BK86+1,$BO86=$BL86),IF(OR(COUNTIF(#REF!,$B86)&gt;0,COUNTIF(#REF!,$B86)=0),"SKIP",IF(COUNTIFS(#REF!,$B86,#REF!,$Z86)&gt;0,"OK","ONBEKEND")),IF(AND($BN86=$BK86,$BO86=$BL86+1),IF(OR(COUNTIF(#REF!,$D86)&gt;0,COUNTIF(#REF!,$D86)=0),"SKIP",IF(COUNTIFS(#REF!,$D86,#REF!,$Z86)&gt;0,"OK","ONBEKEND")),"ONZEKER")))))</f>
        <v/>
      </c>
      <c r="AB86" t="str">
        <f t="shared" si="622"/>
        <v/>
      </c>
      <c r="AC86" t="str">
        <f t="shared" si="623"/>
        <v/>
      </c>
      <c r="AD86" t="str">
        <f>IF($AC86="","",IF(OR($BQ86="",$BR86=""),"ONZEKER",IF(OR($BN86="",$BO86=""),"ONZEKER",IF(AND($BQ86=$BN86+1,$BR86=$BO86),IF(OR(COUNTIF(#REF!,$B86)&gt;0,COUNTIF(#REF!,$B86)=0),"SKIP",IF(COUNTIFS(#REF!,$B86,#REF!,$AC86)&gt;0,"OK","ONBEKEND")),IF(AND($BQ86=$BN86,$BR86=$BO86+1),IF(OR(COUNTIF(#REF!,$D86)&gt;0,COUNTIF(#REF!,$D86)=0),"SKIP",IF(COUNTIFS(#REF!,$D86,#REF!,$AC86)&gt;0,"OK","ONBEKEND")),"ONZEKER")))))</f>
        <v/>
      </c>
      <c r="AE86" t="str">
        <f t="shared" si="624"/>
        <v/>
      </c>
      <c r="AF86" t="str">
        <f t="shared" si="625"/>
        <v/>
      </c>
      <c r="AG86" t="str">
        <f>IF($AF86="","",IF(OR($BT86="",$BU86=""),"ONZEKER",IF(OR($BQ86="",$BR86=""),"ONZEKER",IF(AND($BT86=$BQ86+1,$BU86=$BR86),IF(OR(COUNTIF(#REF!,$B86)&gt;0,COUNTIF(#REF!,$B86)=0),"SKIP",IF(COUNTIFS(#REF!,$B86,#REF!,$AF86)&gt;0,"OK","ONBEKEND")),IF(AND($BT86=$BQ86,$BU86=$BR86+1),IF(OR(COUNTIF(#REF!,$D86)&gt;0,COUNTIF(#REF!,$D86)=0),"SKIP",IF(COUNTIFS(#REF!,$D86,#REF!,$AF86)&gt;0,"OK","ONBEKEND")),"ONZEKER")))))</f>
        <v/>
      </c>
      <c r="AH86" t="str">
        <f t="shared" si="626"/>
        <v/>
      </c>
      <c r="AI86" t="str">
        <f t="shared" si="627"/>
        <v/>
      </c>
      <c r="AJ86" t="str">
        <f>IF($AI86="","",IF(OR($BW86="",$BX86=""),"ONZEKER",IF(OR($BT86="",$BU86=""),"ONZEKER",IF(AND($BW86=$BT86+1,$BX86=$BU86),IF(OR(COUNTIF(#REF!,$B86)&gt;0,COUNTIF(#REF!,$B86)=0),"SKIP",IF(COUNTIFS(#REF!,$B86,#REF!,$AI86)&gt;0,"OK","ONBEKEND")),IF(AND($BW86=$BT86,$BX86=$BU86+1),IF(OR(COUNTIF(#REF!,$D86)&gt;0,COUNTIF(#REF!,$D86)=0),"SKIP",IF(COUNTIFS(#REF!,$D86,#REF!,$AI86)&gt;0,"OK","ONBEKEND")),"ONZEKER")))))</f>
        <v/>
      </c>
      <c r="AK86" t="str">
        <f t="shared" si="628"/>
        <v/>
      </c>
      <c r="AL86" t="str">
        <f t="shared" si="629"/>
        <v/>
      </c>
      <c r="AM86" t="str">
        <f>IF($AL86="","",IF(OR($BZ86="",$CA86=""),"ONZEKER",IF(OR($BW86="",$BX86=""),"ONZEKER",IF(AND($BZ86=$BW86+1,$CA86=$BX86),IF(OR(COUNTIF(#REF!,$B86)&gt;0,COUNTIF(#REF!,$B86)=0),"SKIP",IF(COUNTIFS(#REF!,$B86,#REF!,$AL86)&gt;0,"OK","ONBEKEND")),IF(AND($BZ86=$BW86,$CA86=$BX86+1),IF(OR(COUNTIF(#REF!,$D86)&gt;0,COUNTIF(#REF!,$D86)=0),"SKIP",IF(COUNTIFS(#REF!,$D86,#REF!,$AL86)&gt;0,"OK","ONBEKEND")),"ONZEKER")))))</f>
        <v/>
      </c>
      <c r="AN86" t="str">
        <f t="shared" si="630"/>
        <v/>
      </c>
      <c r="AO86" t="str">
        <f t="shared" si="631"/>
        <v/>
      </c>
      <c r="AP86" t="str">
        <f>IF($AO86="","",IF(OR($CC86="",$CD86=""),"ONZEKER",IF(OR($BZ86="",$CA86=""),"ONZEKER",IF(AND($CC86=$BZ86+1,$CD86=$CA86),IF(OR(COUNTIF(#REF!,$B86)&gt;0,COUNTIF(#REF!,$B86)=0),"SKIP",IF(COUNTIFS(#REF!,$B86,#REF!,$AO86)&gt;0,"OK","ONBEKEND")),IF(AND($CC86=$BZ86,$CD86=$CA86+1),IF(OR(COUNTIF(#REF!,$D86)&gt;0,COUNTIF(#REF!,$D86)=0),"SKIP",IF(COUNTIFS(#REF!,$D86,#REF!,$AO86)&gt;0,"OK","ONBEKEND")),"ONZEKER")))))</f>
        <v/>
      </c>
      <c r="AQ86" t="str">
        <f t="shared" si="632"/>
        <v/>
      </c>
      <c r="AR86" t="str">
        <f t="shared" si="633"/>
        <v/>
      </c>
      <c r="AS86" t="str">
        <f>IF($AR86="","",IF(OR($CF86="",$CG86=""),"ONZEKER",IF(OR($CC86="",$CD86=""),"ONZEKER",IF(AND($CF86=$CC86+1,$CG86=$CD86),IF(OR(COUNTIF(#REF!,$B86)&gt;0,COUNTIF(#REF!,$B86)=0),"SKIP",IF(COUNTIFS(#REF!,$B86,#REF!,$AR86)&gt;0,"OK","ONBEKEND")),IF(AND($CF86=$CC86,$CG86=$CD86+1),IF(OR(COUNTIF(#REF!,$D86)&gt;0,COUNTIF(#REF!,$D86)=0),"SKIP",IF(COUNTIFS(#REF!,$D86,#REF!,$AR86)&gt;0,"OK","ONBEKEND")),"ONZEKER")))))</f>
        <v/>
      </c>
      <c r="AT86" t="str">
        <f t="shared" si="634"/>
        <v/>
      </c>
      <c r="AU86" t="str">
        <f t="shared" si="635"/>
        <v/>
      </c>
      <c r="AV86" t="str">
        <f t="shared" si="636"/>
        <v/>
      </c>
      <c r="AW86" t="str">
        <f t="shared" si="637"/>
        <v/>
      </c>
      <c r="AX86" t="str">
        <f t="shared" si="638"/>
        <v/>
      </c>
      <c r="AY86" t="str">
        <f t="shared" si="639"/>
        <v/>
      </c>
      <c r="AZ86" t="str">
        <f t="shared" si="640"/>
        <v/>
      </c>
      <c r="BA86" t="str">
        <f t="shared" si="641"/>
        <v/>
      </c>
      <c r="BB86" t="str">
        <f t="shared" si="642"/>
        <v/>
      </c>
      <c r="BC86" t="str">
        <f t="shared" si="643"/>
        <v/>
      </c>
      <c r="BD86" t="str">
        <f t="shared" si="490"/>
        <v/>
      </c>
      <c r="BE86" t="str">
        <f t="shared" si="491"/>
        <v/>
      </c>
      <c r="BF86" t="str">
        <f t="shared" si="492"/>
        <v/>
      </c>
      <c r="BG86" t="str">
        <f t="shared" si="493"/>
        <v/>
      </c>
      <c r="BH86" t="str">
        <f t="shared" si="494"/>
        <v/>
      </c>
      <c r="BI86" t="str">
        <f t="shared" si="495"/>
        <v/>
      </c>
      <c r="BJ86" t="str">
        <f t="shared" si="496"/>
        <v/>
      </c>
      <c r="BK86" t="str">
        <f t="shared" si="497"/>
        <v/>
      </c>
      <c r="BL86" t="str">
        <f t="shared" si="498"/>
        <v/>
      </c>
      <c r="BM86" t="str">
        <f t="shared" si="499"/>
        <v/>
      </c>
      <c r="BN86" t="str">
        <f t="shared" si="500"/>
        <v/>
      </c>
      <c r="BO86" t="str">
        <f t="shared" si="501"/>
        <v/>
      </c>
      <c r="BP86" t="str">
        <f t="shared" si="502"/>
        <v/>
      </c>
      <c r="BQ86" t="str">
        <f t="shared" si="503"/>
        <v/>
      </c>
      <c r="BR86" t="str">
        <f t="shared" si="504"/>
        <v/>
      </c>
      <c r="BS86" t="str">
        <f t="shared" si="505"/>
        <v/>
      </c>
      <c r="BT86" t="str">
        <f t="shared" si="506"/>
        <v/>
      </c>
      <c r="BU86" t="str">
        <f t="shared" si="507"/>
        <v/>
      </c>
      <c r="BV86" t="str">
        <f t="shared" si="508"/>
        <v/>
      </c>
      <c r="BW86" t="str">
        <f t="shared" si="509"/>
        <v/>
      </c>
      <c r="BX86" t="str">
        <f t="shared" si="510"/>
        <v/>
      </c>
      <c r="BY86" t="str">
        <f t="shared" si="511"/>
        <v/>
      </c>
      <c r="BZ86" t="str">
        <f t="shared" si="512"/>
        <v/>
      </c>
      <c r="CA86" t="str">
        <f t="shared" si="513"/>
        <v/>
      </c>
      <c r="CB86" t="str">
        <f t="shared" si="514"/>
        <v/>
      </c>
      <c r="CC86" t="str">
        <f t="shared" si="515"/>
        <v/>
      </c>
      <c r="CD86" t="str">
        <f t="shared" si="516"/>
        <v/>
      </c>
      <c r="CE86" t="str">
        <f t="shared" si="517"/>
        <v/>
      </c>
      <c r="CF86" t="str">
        <f t="shared" si="518"/>
        <v/>
      </c>
      <c r="CG86" t="str">
        <f t="shared" si="519"/>
        <v/>
      </c>
      <c r="CH86" t="str">
        <f t="shared" si="644"/>
        <v/>
      </c>
      <c r="CI86" t="str">
        <f t="shared" si="645"/>
        <v/>
      </c>
      <c r="CJ86" t="str">
        <f>IF($CI86="","",IF(OR($DW86="",$DX86=""),"ONZEKER",IF(OR($CF86="",$CG86=""),"ONZEKER",IF(AND($DW86=$CF86+1,$DX86=$CG86),IF(OR(COUNTIF(#REF!,$B86)&gt;0,COUNTIF(#REF!,$B86)=0),"SKIP",IF(COUNTIFS(#REF!,$B86,#REF!,$CI86)&gt;0,"OK","ONBEKEND")),IF(AND($DW86=$CF86,$DX86=$CG86+1),IF(OR(COUNTIF(#REF!,$D86)&gt;0,COUNTIF(#REF!,$D86)=0),"SKIP",IF(COUNTIFS(#REF!,$D86,#REF!,$CI86)&gt;0,"OK","ONBEKEND")),"ONZEKER")))))</f>
        <v/>
      </c>
      <c r="CK86" t="str">
        <f t="shared" si="646"/>
        <v/>
      </c>
      <c r="CL86" t="str">
        <f t="shared" si="647"/>
        <v/>
      </c>
      <c r="CM86" t="str">
        <f>IF($CL86="","",IF(OR($DZ86="",$EA86=""),"ONZEKER",IF(OR($DW86="",$DX86=""),"ONZEKER",IF(AND($DZ86=$DW86+1,$EA86=$DX86),IF(OR(COUNTIF(#REF!,$B86)&gt;0,COUNTIF(#REF!,$B86)=0),"SKIP",IF(COUNTIFS(#REF!,$B86,#REF!,$CL86)&gt;0,"OK","ONBEKEND")),IF(AND($DZ86=$DW86,$EA86=$DX86+1),IF(OR(COUNTIF(#REF!,$D86)&gt;0,COUNTIF(#REF!,$D86)=0),"SKIP",IF(COUNTIFS(#REF!,$D86,#REF!,$CL86)&gt;0,"OK","ONBEKEND")),"ONZEKER")))))</f>
        <v/>
      </c>
      <c r="CN86" t="str">
        <f t="shared" si="648"/>
        <v/>
      </c>
      <c r="CO86" t="str">
        <f t="shared" si="649"/>
        <v/>
      </c>
      <c r="CP86" t="str">
        <f>IF($CO86="","",IF(OR($EC86="",$ED86=""),"ONZEKER",IF(OR($DZ86="",$EA86=""),"ONZEKER",IF(AND($EC86=$DZ86+1,$ED86=$EA86),IF(OR(COUNTIF(#REF!,$B86)&gt;0,COUNTIF(#REF!,$B86)=0),"SKIP",IF(COUNTIFS(#REF!,$B86,#REF!,$CO86)&gt;0,"OK","ONBEKEND")),IF(AND($EC86=$DZ86,$ED86=$EA86+1),IF(OR(COUNTIF(#REF!,$D86)&gt;0,COUNTIF(#REF!,$D86)=0),"SKIP",IF(COUNTIFS(#REF!,$D86,#REF!,$CO86)&gt;0,"OK","ONBEKEND")),"ONZEKER")))))</f>
        <v/>
      </c>
      <c r="CQ86" t="str">
        <f t="shared" si="650"/>
        <v/>
      </c>
      <c r="CR86" t="str">
        <f t="shared" si="651"/>
        <v/>
      </c>
      <c r="CS86" t="str">
        <f>IF($CR86="","",IF(OR($EF86="",$EG86=""),"ONZEKER",IF(OR($EC86="",$ED86=""),"ONZEKER",IF(AND($EF86=$EC86+1,$EG86=$ED86),IF(OR(COUNTIF(#REF!,$B86)&gt;0,COUNTIF(#REF!,$B86)=0),"SKIP",IF(COUNTIFS(#REF!,$B86,#REF!,$CR86)&gt;0,"OK","ONBEKEND")),IF(AND($EF86=$EC86,$EG86=$ED86+1),IF(OR(COUNTIF(#REF!,$D86)&gt;0,COUNTIF(#REF!,$D86)=0),"SKIP",IF(COUNTIFS(#REF!,$D86,#REF!,$CR86)&gt;0,"OK","ONBEKEND")),"ONZEKER")))))</f>
        <v/>
      </c>
      <c r="CT86" t="str">
        <f t="shared" si="652"/>
        <v/>
      </c>
      <c r="CU86" t="str">
        <f t="shared" si="653"/>
        <v/>
      </c>
      <c r="CV86" t="str">
        <f>IF($CU86="","",IF(OR($EI86="",$EJ86=""),"ONZEKER",IF(OR($EF86="",$EG86=""),"ONZEKER",IF(AND($EI86=$EF86+1,$EJ86=$EG86),IF(OR(COUNTIF(#REF!,$B86)&gt;0,COUNTIF(#REF!,$B86)=0),"SKIP",IF(COUNTIFS(#REF!,$B86,#REF!,$CU86)&gt;0,"OK","ONBEKEND")),IF(AND($EI86=$EF86,$EJ86=$EG86+1),IF(OR(COUNTIF(#REF!,$D86)&gt;0,COUNTIF(#REF!,$D86)=0),"SKIP",IF(COUNTIFS(#REF!,$D86,#REF!,$CU86)&gt;0,"OK","ONBEKEND")),"ONZEKER")))))</f>
        <v/>
      </c>
      <c r="CW86" t="str">
        <f t="shared" si="654"/>
        <v/>
      </c>
      <c r="CX86" t="str">
        <f t="shared" si="655"/>
        <v/>
      </c>
      <c r="CY86" t="str">
        <f>IF($CX86="","",IF(OR($EL86="",$EM86=""),"ONZEKER",IF(OR($EI86="",$EJ86=""),"ONZEKER",IF(AND($EL86=$EI86+1,$EM86=$EJ86),IF(OR(COUNTIF(#REF!,$B86)&gt;0,COUNTIF(#REF!,$B86)=0),"SKIP",IF(COUNTIFS(#REF!,$B86,#REF!,$CX86)&gt;0,"OK","ONBEKEND")),IF(AND($EL86=$EI86,$EM86=$EJ86+1),IF(OR(COUNTIF(#REF!,$D86)&gt;0,COUNTIF(#REF!,$D86)=0),"SKIP",IF(COUNTIFS(#REF!,$D86,#REF!,$CX86)&gt;0,"OK","ONBEKEND")),"ONZEKER")))))</f>
        <v/>
      </c>
      <c r="CZ86" t="str">
        <f t="shared" si="656"/>
        <v/>
      </c>
      <c r="DA86" t="str">
        <f t="shared" si="657"/>
        <v/>
      </c>
      <c r="DB86" t="str">
        <f>IF($DA86="","",IF(OR($EO86="",$EP86=""),"ONZEKER",IF(OR($EL86="",$EM86=""),"ONZEKER",IF(AND($EO86=$EL86+1,$EP86=$EM86),IF(OR(COUNTIF(#REF!,$B86)&gt;0,COUNTIF(#REF!,$B86)=0),"SKIP",IF(COUNTIFS(#REF!,$B86,#REF!,$DA86)&gt;0,"OK","ONBEKEND")),IF(AND($EO86=$EL86,$EP86=$EM86+1),IF(OR(COUNTIF(#REF!,$D86)&gt;0,COUNTIF(#REF!,$D86)=0),"SKIP",IF(COUNTIFS(#REF!,$D86,#REF!,$DA86)&gt;0,"OK","ONBEKEND")),"ONZEKER")))))</f>
        <v/>
      </c>
      <c r="DC86" t="str">
        <f t="shared" si="658"/>
        <v/>
      </c>
      <c r="DD86" t="str">
        <f t="shared" si="659"/>
        <v/>
      </c>
      <c r="DE86" t="str">
        <f>IF($DD86="","",IF(OR($ER86="",$ES86=""),"ONZEKER",IF(OR($EO86="",$EP86=""),"ONZEKER",IF(AND($ER86=$EO86+1,$ES86=$EP86),IF(OR(COUNTIF(#REF!,$B86)&gt;0,COUNTIF(#REF!,$B86)=0),"SKIP",IF(COUNTIFS(#REF!,$B86,#REF!,$DD86)&gt;0,"OK","ONBEKEND")),IF(AND($ER86=$EO86,$ES86=$EP86+1),IF(OR(COUNTIF(#REF!,$D86)&gt;0,COUNTIF(#REF!,$D86)=0),"SKIP",IF(COUNTIFS(#REF!,$D86,#REF!,$DD86)&gt;0,"OK","ONBEKEND")),"ONZEKER")))))</f>
        <v/>
      </c>
      <c r="DF86" t="str">
        <f t="shared" si="660"/>
        <v/>
      </c>
      <c r="DG86" t="str">
        <f t="shared" si="661"/>
        <v/>
      </c>
      <c r="DH86" t="str">
        <f>IF($DG86="","",IF(OR($EU86="",$EV86=""),"ONZEKER",IF(OR($ER86="",$ES86=""),"ONZEKER",IF(AND($EU86=$ER86+1,$EV86=$ES86),IF(OR(COUNTIF(#REF!,$B86)&gt;0,COUNTIF(#REF!,$B86)=0),"SKIP",IF(COUNTIFS(#REF!,$B86,#REF!,$DG86)&gt;0,"OK","ONBEKEND")),IF(AND($EU86=$ER86,$EV86=$ES86+1),IF(OR(COUNTIF(#REF!,$D86)&gt;0,COUNTIF(#REF!,$D86)=0),"SKIP",IF(COUNTIFS(#REF!,$D86,#REF!,$DG86)&gt;0,"OK","ONBEKEND")),"ONZEKER")))))</f>
        <v/>
      </c>
      <c r="DI86" t="str">
        <f t="shared" si="662"/>
        <v/>
      </c>
      <c r="DJ86" t="str">
        <f t="shared" si="663"/>
        <v/>
      </c>
      <c r="DK86" t="str">
        <f>IF($DJ86="","",IF(OR($EX86="",$EY86=""),"ONZEKER",IF(OR($EU86="",$EV86=""),"ONZEKER",IF(AND($EX86=$EU86+1,$EY86=$EV86),IF(OR(COUNTIF(#REF!,$B86)&gt;0,COUNTIF(#REF!,$B86)=0),"SKIP",IF(COUNTIFS(#REF!,$B86,#REF!,$DJ86)&gt;0,"OK","ONBEKEND")),IF(AND($EX86=$EU86,$EY86=$EV86+1),IF(OR(COUNTIF(#REF!,$D86)&gt;0,COUNTIF(#REF!,$D86)=0),"SKIP",IF(COUNTIFS(#REF!,$D86,#REF!,$DJ86)&gt;0,"OK","ONBEKEND")),"ONZEKER")))))</f>
        <v/>
      </c>
      <c r="DL86" t="str">
        <f t="shared" si="664"/>
        <v/>
      </c>
      <c r="DM86" t="str">
        <f t="shared" si="665"/>
        <v/>
      </c>
      <c r="DN86" t="str">
        <f t="shared" si="666"/>
        <v/>
      </c>
      <c r="DO86" t="str">
        <f t="shared" si="667"/>
        <v/>
      </c>
      <c r="DP86" t="str">
        <f t="shared" si="668"/>
        <v/>
      </c>
      <c r="DQ86" t="str">
        <f t="shared" si="669"/>
        <v/>
      </c>
      <c r="DR86" t="str">
        <f t="shared" si="670"/>
        <v/>
      </c>
      <c r="DS86" t="str">
        <f t="shared" si="671"/>
        <v/>
      </c>
      <c r="DT86" t="str">
        <f t="shared" si="672"/>
        <v/>
      </c>
      <c r="DU86" t="str">
        <f t="shared" si="673"/>
        <v/>
      </c>
      <c r="DV86" t="str">
        <f t="shared" si="674"/>
        <v/>
      </c>
      <c r="DW86" t="str">
        <f t="shared" si="675"/>
        <v/>
      </c>
      <c r="DX86" t="str">
        <f t="shared" si="676"/>
        <v/>
      </c>
      <c r="DY86" t="str">
        <f t="shared" si="677"/>
        <v/>
      </c>
      <c r="DZ86" t="str">
        <f t="shared" si="678"/>
        <v/>
      </c>
      <c r="EA86" t="str">
        <f t="shared" si="679"/>
        <v/>
      </c>
      <c r="EB86" t="str">
        <f t="shared" si="680"/>
        <v/>
      </c>
      <c r="EC86" t="str">
        <f t="shared" si="681"/>
        <v/>
      </c>
      <c r="ED86" t="str">
        <f t="shared" si="682"/>
        <v/>
      </c>
      <c r="EE86" t="str">
        <f t="shared" si="683"/>
        <v/>
      </c>
      <c r="EF86" t="str">
        <f t="shared" si="684"/>
        <v/>
      </c>
      <c r="EG86" t="str">
        <f t="shared" si="685"/>
        <v/>
      </c>
      <c r="EH86" t="str">
        <f t="shared" si="686"/>
        <v/>
      </c>
      <c r="EI86" t="str">
        <f t="shared" si="687"/>
        <v/>
      </c>
      <c r="EJ86" t="str">
        <f t="shared" si="688"/>
        <v/>
      </c>
      <c r="EK86" t="str">
        <f t="shared" si="689"/>
        <v/>
      </c>
      <c r="EL86" t="str">
        <f t="shared" si="690"/>
        <v/>
      </c>
      <c r="EM86" t="str">
        <f t="shared" si="691"/>
        <v/>
      </c>
      <c r="EN86" t="str">
        <f t="shared" si="692"/>
        <v/>
      </c>
      <c r="EO86" t="str">
        <f t="shared" si="693"/>
        <v/>
      </c>
      <c r="EP86" t="str">
        <f t="shared" si="694"/>
        <v/>
      </c>
      <c r="EQ86" t="str">
        <f t="shared" si="695"/>
        <v/>
      </c>
      <c r="ER86" t="str">
        <f t="shared" si="696"/>
        <v/>
      </c>
      <c r="ES86" t="str">
        <f t="shared" si="697"/>
        <v/>
      </c>
      <c r="ET86" t="str">
        <f t="shared" si="698"/>
        <v/>
      </c>
      <c r="EU86" t="str">
        <f t="shared" si="699"/>
        <v/>
      </c>
      <c r="EV86" t="str">
        <f t="shared" si="700"/>
        <v/>
      </c>
      <c r="EW86" t="str">
        <f t="shared" si="701"/>
        <v/>
      </c>
      <c r="EX86" t="str">
        <f t="shared" si="702"/>
        <v/>
      </c>
      <c r="EY86" t="str">
        <f t="shared" si="703"/>
        <v/>
      </c>
    </row>
    <row r="87" spans="1:155" ht="13.9" customHeight="1" x14ac:dyDescent="0.25">
      <c r="A87" s="7"/>
      <c r="B87" s="17"/>
      <c r="C87" s="8"/>
      <c r="D87" s="17"/>
      <c r="E87" s="8"/>
      <c r="F87" s="18">
        <v>0</v>
      </c>
      <c r="G87" s="7" t="s">
        <v>147</v>
      </c>
      <c r="H87" s="18">
        <v>0</v>
      </c>
      <c r="I87" s="19">
        <v>0</v>
      </c>
      <c r="J87" s="7" t="s">
        <v>147</v>
      </c>
      <c r="K87" s="19">
        <v>0</v>
      </c>
      <c r="L87" s="9"/>
      <c r="M87" s="3" t="str">
        <f>IF($L87="","",IF($L87="DOELPUNTENMAKERS","",IF(AND(COUNTIF(#REF!,$B87)=0,COUNTIF(#REF!,$D87)=0),"OK",IF($O87&gt;20,"LET OP: meer dan 20 items (controle onvolledig)",IF((COUNTIF($R87:$AS87,"ONZEKER")+COUNTIF($CJ87:$DK87,"ONZEKER"))&gt;0,"LET OP: scoreverloop onduidelijk (controle beperkt)",IF((IF($AT87&lt;&gt;"",$AT87&amp;", ","")&amp;IF($AU87&lt;&gt;"",$AU87&amp;", ","")&amp;IF($AV87&lt;&gt;"",$AV87&amp;", ","")&amp;IF($AW87&lt;&gt;"",$AW87&amp;", ","")&amp;IF($AX87&lt;&gt;"",$AX87&amp;", ","")&amp;IF($AY87&lt;&gt;"",$AY87&amp;", ","")&amp;IF($AZ87&lt;&gt;"",$AZ87&amp;", ","")&amp;IF($BA87&lt;&gt;"",$BA87&amp;", ","")&amp;IF($BB87&lt;&gt;"",$BB87&amp;", ","")&amp;IF($BC87&lt;&gt;"",$BC87&amp;", ","")&amp;IF($DL87&lt;&gt;"",$DL87&amp;", ","")&amp;IF($DM87&lt;&gt;"",$DM87&amp;", ","")&amp;IF($DN87&lt;&gt;"",$DN87&amp;", ","")&amp;IF($DO87&lt;&gt;"",$DO87&amp;", ","")&amp;IF($DP87&lt;&gt;"",$DP87&amp;", ","")&amp;IF($DQ87&lt;&gt;"",$DQ87&amp;", ","")&amp;IF($DR87&lt;&gt;"",$DR87&amp;", ","")&amp;IF($DS87&lt;&gt;"",$DS87&amp;", ","")&amp;IF($DT87&lt;&gt;"",$DT87&amp;", ","")&amp;IF($DU87&lt;&gt;"",$DU87&amp;", ",""))="","OK","Onbekend: "&amp;LEFT((IF($AT87&lt;&gt;"",$AT87&amp;", ","")&amp;IF($AU87&lt;&gt;"",$AU87&amp;", ","")&amp;IF($AV87&lt;&gt;"",$AV87&amp;", ","")&amp;IF($AW87&lt;&gt;"",$AW87&amp;", ","")&amp;IF($AX87&lt;&gt;"",$AX87&amp;", ","")&amp;IF($AY87&lt;&gt;"",$AY87&amp;", ","")&amp;IF($AZ87&lt;&gt;"",$AZ87&amp;", ","")&amp;IF($BA87&lt;&gt;"",$BA87&amp;", ","")&amp;IF($BB87&lt;&gt;"",$BB87&amp;", ","")&amp;IF($BC87&lt;&gt;"",$BC87&amp;", ","")&amp;IF($DL87&lt;&gt;"",$DL87&amp;", ","")&amp;IF($DM87&lt;&gt;"",$DM87&amp;", ","")&amp;IF($DN87&lt;&gt;"",$DN87&amp;", ","")&amp;IF($DO87&lt;&gt;"",$DO87&amp;", ","")&amp;IF($DP87&lt;&gt;"",$DP87&amp;", ","")&amp;IF($DQ87&lt;&gt;"",$DQ87&amp;", ","")&amp;IF($DR87&lt;&gt;"",$DR87&amp;", ","")&amp;IF($DS87&lt;&gt;"",$DS87&amp;", ","")&amp;IF($DT87&lt;&gt;"",$DT87&amp;", ","")&amp;IF($DU87&lt;&gt;"",$DU87&amp;", ","")),LEN((IF($AT87&lt;&gt;"",$AT87&amp;", ","")&amp;IF($AU87&lt;&gt;"",$AU87&amp;", ","")&amp;IF($AV87&lt;&gt;"",$AV87&amp;", ","")&amp;IF($AW87&lt;&gt;"",$AW87&amp;", ","")&amp;IF($AX87&lt;&gt;"",$AX87&amp;", ","")&amp;IF($AY87&lt;&gt;"",$AY87&amp;", ","")&amp;IF($AZ87&lt;&gt;"",$AZ87&amp;", ","")&amp;IF($BA87&lt;&gt;"",$BA87&amp;", ","")&amp;IF($BB87&lt;&gt;"",$BB87&amp;", ","")&amp;IF($BC87&lt;&gt;"",$BC87&amp;", ","")&amp;IF($DL87&lt;&gt;"",$DL87&amp;", ","")&amp;IF($DM87&lt;&gt;"",$DM87&amp;", ","")&amp;IF($DN87&lt;&gt;"",$DN87&amp;", ","")&amp;IF($DO87&lt;&gt;"",$DO87&amp;", ","")&amp;IF($DP87&lt;&gt;"",$DP87&amp;", ","")&amp;IF($DQ87&lt;&gt;"",$DQ87&amp;", ","")&amp;IF($DR87&lt;&gt;"",$DR87&amp;", ","")&amp;IF($DS87&lt;&gt;"",$DS87&amp;", ","")&amp;IF($DT87&lt;&gt;"",$DT87&amp;", ","")&amp;IF($DU87&lt;&gt;"",$DU87&amp;", ","")))-2)))))))</f>
        <v/>
      </c>
      <c r="N87" t="str">
        <f t="shared" si="612"/>
        <v/>
      </c>
      <c r="O87" t="str">
        <f t="shared" si="613"/>
        <v/>
      </c>
      <c r="P87" t="str">
        <f t="shared" si="614"/>
        <v/>
      </c>
      <c r="Q87" t="str">
        <f t="shared" si="615"/>
        <v/>
      </c>
      <c r="R87" t="str">
        <f>IF($Q87="","",IF(OR($BE87="",$BF87=""),"ONZEKER",IF(AND($BE87=0+1,$BF87=0),IF(OR(COUNTIF(#REF!,$B87)&gt;0,COUNTIF(#REF!,$B87)=0),"SKIP",IF(COUNTIFS(#REF!,$B87,#REF!,$Q87)&gt;0,"OK","ONBEKEND")),IF(AND($BE87=0,$BF87=0+1),IF(OR(COUNTIF(#REF!,$D87)&gt;0,COUNTIF(#REF!,$D87)=0),"SKIP",IF(COUNTIFS(#REF!,$D87,#REF!,$Q87)&gt;0,"OK","ONBEKEND")),"ONZEKER"))))</f>
        <v/>
      </c>
      <c r="S87" t="str">
        <f t="shared" si="616"/>
        <v/>
      </c>
      <c r="T87" t="str">
        <f t="shared" si="617"/>
        <v/>
      </c>
      <c r="U87" t="str">
        <f>IF($T87="","",IF(OR($BH87="",$BI87=""),"ONZEKER",IF(OR($BE87="",$BF87=""),"ONZEKER",IF(AND($BH87=$BE87+1,$BI87=$BF87),IF(OR(COUNTIF(#REF!,$B87)&gt;0,COUNTIF(#REF!,$B87)=0),"SKIP",IF(COUNTIFS(#REF!,$B87,#REF!,$T87)&gt;0,"OK","ONBEKEND")),IF(AND($BH87=$BE87,$BI87=$BF87+1),IF(OR(COUNTIF(#REF!,$D87)&gt;0,COUNTIF(#REF!,$D87)=0),"SKIP",IF(COUNTIFS(#REF!,$D87,#REF!,$T87)&gt;0,"OK","ONBEKEND")),"ONZEKER")))))</f>
        <v/>
      </c>
      <c r="V87" t="str">
        <f t="shared" si="618"/>
        <v/>
      </c>
      <c r="W87" t="str">
        <f t="shared" si="619"/>
        <v/>
      </c>
      <c r="X87" t="str">
        <f>IF($W87="","",IF(OR($BK87="",$BL87=""),"ONZEKER",IF(OR($BH87="",$BI87=""),"ONZEKER",IF(AND($BK87=$BH87+1,$BL87=$BI87),IF(OR(COUNTIF(#REF!,$B87)&gt;0,COUNTIF(#REF!,$B87)=0),"SKIP",IF(COUNTIFS(#REF!,$B87,#REF!,$W87)&gt;0,"OK","ONBEKEND")),IF(AND($BK87=$BH87,$BL87=$BI87+1),IF(OR(COUNTIF(#REF!,$D87)&gt;0,COUNTIF(#REF!,$D87)=0),"SKIP",IF(COUNTIFS(#REF!,$D87,#REF!,$W87)&gt;0,"OK","ONBEKEND")),"ONZEKER")))))</f>
        <v/>
      </c>
      <c r="Y87" t="str">
        <f t="shared" si="620"/>
        <v/>
      </c>
      <c r="Z87" t="str">
        <f t="shared" si="621"/>
        <v/>
      </c>
      <c r="AA87" t="str">
        <f>IF($Z87="","",IF(OR($BN87="",$BO87=""),"ONZEKER",IF(OR($BK87="",$BL87=""),"ONZEKER",IF(AND($BN87=$BK87+1,$BO87=$BL87),IF(OR(COUNTIF(#REF!,$B87)&gt;0,COUNTIF(#REF!,$B87)=0),"SKIP",IF(COUNTIFS(#REF!,$B87,#REF!,$Z87)&gt;0,"OK","ONBEKEND")),IF(AND($BN87=$BK87,$BO87=$BL87+1),IF(OR(COUNTIF(#REF!,$D87)&gt;0,COUNTIF(#REF!,$D87)=0),"SKIP",IF(COUNTIFS(#REF!,$D87,#REF!,$Z87)&gt;0,"OK","ONBEKEND")),"ONZEKER")))))</f>
        <v/>
      </c>
      <c r="AB87" t="str">
        <f t="shared" si="622"/>
        <v/>
      </c>
      <c r="AC87" t="str">
        <f t="shared" si="623"/>
        <v/>
      </c>
      <c r="AD87" t="str">
        <f>IF($AC87="","",IF(OR($BQ87="",$BR87=""),"ONZEKER",IF(OR($BN87="",$BO87=""),"ONZEKER",IF(AND($BQ87=$BN87+1,$BR87=$BO87),IF(OR(COUNTIF(#REF!,$B87)&gt;0,COUNTIF(#REF!,$B87)=0),"SKIP",IF(COUNTIFS(#REF!,$B87,#REF!,$AC87)&gt;0,"OK","ONBEKEND")),IF(AND($BQ87=$BN87,$BR87=$BO87+1),IF(OR(COUNTIF(#REF!,$D87)&gt;0,COUNTIF(#REF!,$D87)=0),"SKIP",IF(COUNTIFS(#REF!,$D87,#REF!,$AC87)&gt;0,"OK","ONBEKEND")),"ONZEKER")))))</f>
        <v/>
      </c>
      <c r="AE87" t="str">
        <f t="shared" si="624"/>
        <v/>
      </c>
      <c r="AF87" t="str">
        <f t="shared" si="625"/>
        <v/>
      </c>
      <c r="AG87" t="str">
        <f>IF($AF87="","",IF(OR($BT87="",$BU87=""),"ONZEKER",IF(OR($BQ87="",$BR87=""),"ONZEKER",IF(AND($BT87=$BQ87+1,$BU87=$BR87),IF(OR(COUNTIF(#REF!,$B87)&gt;0,COUNTIF(#REF!,$B87)=0),"SKIP",IF(COUNTIFS(#REF!,$B87,#REF!,$AF87)&gt;0,"OK","ONBEKEND")),IF(AND($BT87=$BQ87,$BU87=$BR87+1),IF(OR(COUNTIF(#REF!,$D87)&gt;0,COUNTIF(#REF!,$D87)=0),"SKIP",IF(COUNTIFS(#REF!,$D87,#REF!,$AF87)&gt;0,"OK","ONBEKEND")),"ONZEKER")))))</f>
        <v/>
      </c>
      <c r="AH87" t="str">
        <f t="shared" si="626"/>
        <v/>
      </c>
      <c r="AI87" t="str">
        <f t="shared" si="627"/>
        <v/>
      </c>
      <c r="AJ87" t="str">
        <f>IF($AI87="","",IF(OR($BW87="",$BX87=""),"ONZEKER",IF(OR($BT87="",$BU87=""),"ONZEKER",IF(AND($BW87=$BT87+1,$BX87=$BU87),IF(OR(COUNTIF(#REF!,$B87)&gt;0,COUNTIF(#REF!,$B87)=0),"SKIP",IF(COUNTIFS(#REF!,$B87,#REF!,$AI87)&gt;0,"OK","ONBEKEND")),IF(AND($BW87=$BT87,$BX87=$BU87+1),IF(OR(COUNTIF(#REF!,$D87)&gt;0,COUNTIF(#REF!,$D87)=0),"SKIP",IF(COUNTIFS(#REF!,$D87,#REF!,$AI87)&gt;0,"OK","ONBEKEND")),"ONZEKER")))))</f>
        <v/>
      </c>
      <c r="AK87" t="str">
        <f t="shared" si="628"/>
        <v/>
      </c>
      <c r="AL87" t="str">
        <f t="shared" si="629"/>
        <v/>
      </c>
      <c r="AM87" t="str">
        <f>IF($AL87="","",IF(OR($BZ87="",$CA87=""),"ONZEKER",IF(OR($BW87="",$BX87=""),"ONZEKER",IF(AND($BZ87=$BW87+1,$CA87=$BX87),IF(OR(COUNTIF(#REF!,$B87)&gt;0,COUNTIF(#REF!,$B87)=0),"SKIP",IF(COUNTIFS(#REF!,$B87,#REF!,$AL87)&gt;0,"OK","ONBEKEND")),IF(AND($BZ87=$BW87,$CA87=$BX87+1),IF(OR(COUNTIF(#REF!,$D87)&gt;0,COUNTIF(#REF!,$D87)=0),"SKIP",IF(COUNTIFS(#REF!,$D87,#REF!,$AL87)&gt;0,"OK","ONBEKEND")),"ONZEKER")))))</f>
        <v/>
      </c>
      <c r="AN87" t="str">
        <f t="shared" si="630"/>
        <v/>
      </c>
      <c r="AO87" t="str">
        <f t="shared" si="631"/>
        <v/>
      </c>
      <c r="AP87" t="str">
        <f>IF($AO87="","",IF(OR($CC87="",$CD87=""),"ONZEKER",IF(OR($BZ87="",$CA87=""),"ONZEKER",IF(AND($CC87=$BZ87+1,$CD87=$CA87),IF(OR(COUNTIF(#REF!,$B87)&gt;0,COUNTIF(#REF!,$B87)=0),"SKIP",IF(COUNTIFS(#REF!,$B87,#REF!,$AO87)&gt;0,"OK","ONBEKEND")),IF(AND($CC87=$BZ87,$CD87=$CA87+1),IF(OR(COUNTIF(#REF!,$D87)&gt;0,COUNTIF(#REF!,$D87)=0),"SKIP",IF(COUNTIFS(#REF!,$D87,#REF!,$AO87)&gt;0,"OK","ONBEKEND")),"ONZEKER")))))</f>
        <v/>
      </c>
      <c r="AQ87" t="str">
        <f t="shared" si="632"/>
        <v/>
      </c>
      <c r="AR87" t="str">
        <f t="shared" si="633"/>
        <v/>
      </c>
      <c r="AS87" t="str">
        <f>IF($AR87="","",IF(OR($CF87="",$CG87=""),"ONZEKER",IF(OR($CC87="",$CD87=""),"ONZEKER",IF(AND($CF87=$CC87+1,$CG87=$CD87),IF(OR(COUNTIF(#REF!,$B87)&gt;0,COUNTIF(#REF!,$B87)=0),"SKIP",IF(COUNTIFS(#REF!,$B87,#REF!,$AR87)&gt;0,"OK","ONBEKEND")),IF(AND($CF87=$CC87,$CG87=$CD87+1),IF(OR(COUNTIF(#REF!,$D87)&gt;0,COUNTIF(#REF!,$D87)=0),"SKIP",IF(COUNTIFS(#REF!,$D87,#REF!,$AR87)&gt;0,"OK","ONBEKEND")),"ONZEKER")))))</f>
        <v/>
      </c>
      <c r="AT87" t="str">
        <f t="shared" si="634"/>
        <v/>
      </c>
      <c r="AU87" t="str">
        <f t="shared" si="635"/>
        <v/>
      </c>
      <c r="AV87" t="str">
        <f t="shared" si="636"/>
        <v/>
      </c>
      <c r="AW87" t="str">
        <f t="shared" si="637"/>
        <v/>
      </c>
      <c r="AX87" t="str">
        <f t="shared" si="638"/>
        <v/>
      </c>
      <c r="AY87" t="str">
        <f t="shared" si="639"/>
        <v/>
      </c>
      <c r="AZ87" t="str">
        <f t="shared" si="640"/>
        <v/>
      </c>
      <c r="BA87" t="str">
        <f t="shared" si="641"/>
        <v/>
      </c>
      <c r="BB87" t="str">
        <f t="shared" si="642"/>
        <v/>
      </c>
      <c r="BC87" t="str">
        <f t="shared" si="643"/>
        <v/>
      </c>
      <c r="BD87" t="str">
        <f t="shared" si="490"/>
        <v/>
      </c>
      <c r="BE87" t="str">
        <f t="shared" si="491"/>
        <v/>
      </c>
      <c r="BF87" t="str">
        <f t="shared" si="492"/>
        <v/>
      </c>
      <c r="BG87" t="str">
        <f t="shared" si="493"/>
        <v/>
      </c>
      <c r="BH87" t="str">
        <f t="shared" si="494"/>
        <v/>
      </c>
      <c r="BI87" t="str">
        <f t="shared" si="495"/>
        <v/>
      </c>
      <c r="BJ87" t="str">
        <f t="shared" si="496"/>
        <v/>
      </c>
      <c r="BK87" t="str">
        <f t="shared" si="497"/>
        <v/>
      </c>
      <c r="BL87" t="str">
        <f t="shared" si="498"/>
        <v/>
      </c>
      <c r="BM87" t="str">
        <f t="shared" si="499"/>
        <v/>
      </c>
      <c r="BN87" t="str">
        <f t="shared" si="500"/>
        <v/>
      </c>
      <c r="BO87" t="str">
        <f t="shared" si="501"/>
        <v/>
      </c>
      <c r="BP87" t="str">
        <f t="shared" si="502"/>
        <v/>
      </c>
      <c r="BQ87" t="str">
        <f t="shared" si="503"/>
        <v/>
      </c>
      <c r="BR87" t="str">
        <f t="shared" si="504"/>
        <v/>
      </c>
      <c r="BS87" t="str">
        <f t="shared" si="505"/>
        <v/>
      </c>
      <c r="BT87" t="str">
        <f t="shared" si="506"/>
        <v/>
      </c>
      <c r="BU87" t="str">
        <f t="shared" si="507"/>
        <v/>
      </c>
      <c r="BV87" t="str">
        <f t="shared" si="508"/>
        <v/>
      </c>
      <c r="BW87" t="str">
        <f t="shared" si="509"/>
        <v/>
      </c>
      <c r="BX87" t="str">
        <f t="shared" si="510"/>
        <v/>
      </c>
      <c r="BY87" t="str">
        <f t="shared" si="511"/>
        <v/>
      </c>
      <c r="BZ87" t="str">
        <f t="shared" si="512"/>
        <v/>
      </c>
      <c r="CA87" t="str">
        <f t="shared" si="513"/>
        <v/>
      </c>
      <c r="CB87" t="str">
        <f t="shared" si="514"/>
        <v/>
      </c>
      <c r="CC87" t="str">
        <f t="shared" si="515"/>
        <v/>
      </c>
      <c r="CD87" t="str">
        <f t="shared" si="516"/>
        <v/>
      </c>
      <c r="CE87" t="str">
        <f t="shared" si="517"/>
        <v/>
      </c>
      <c r="CF87" t="str">
        <f t="shared" si="518"/>
        <v/>
      </c>
      <c r="CG87" t="str">
        <f t="shared" si="519"/>
        <v/>
      </c>
      <c r="CH87" t="str">
        <f t="shared" si="644"/>
        <v/>
      </c>
      <c r="CI87" t="str">
        <f t="shared" si="645"/>
        <v/>
      </c>
      <c r="CJ87" t="str">
        <f>IF($CI87="","",IF(OR($DW87="",$DX87=""),"ONZEKER",IF(OR($CF87="",$CG87=""),"ONZEKER",IF(AND($DW87=$CF87+1,$DX87=$CG87),IF(OR(COUNTIF(#REF!,$B87)&gt;0,COUNTIF(#REF!,$B87)=0),"SKIP",IF(COUNTIFS(#REF!,$B87,#REF!,$CI87)&gt;0,"OK","ONBEKEND")),IF(AND($DW87=$CF87,$DX87=$CG87+1),IF(OR(COUNTIF(#REF!,$D87)&gt;0,COUNTIF(#REF!,$D87)=0),"SKIP",IF(COUNTIFS(#REF!,$D87,#REF!,$CI87)&gt;0,"OK","ONBEKEND")),"ONZEKER")))))</f>
        <v/>
      </c>
      <c r="CK87" t="str">
        <f t="shared" si="646"/>
        <v/>
      </c>
      <c r="CL87" t="str">
        <f t="shared" si="647"/>
        <v/>
      </c>
      <c r="CM87" t="str">
        <f>IF($CL87="","",IF(OR($DZ87="",$EA87=""),"ONZEKER",IF(OR($DW87="",$DX87=""),"ONZEKER",IF(AND($DZ87=$DW87+1,$EA87=$DX87),IF(OR(COUNTIF(#REF!,$B87)&gt;0,COUNTIF(#REF!,$B87)=0),"SKIP",IF(COUNTIFS(#REF!,$B87,#REF!,$CL87)&gt;0,"OK","ONBEKEND")),IF(AND($DZ87=$DW87,$EA87=$DX87+1),IF(OR(COUNTIF(#REF!,$D87)&gt;0,COUNTIF(#REF!,$D87)=0),"SKIP",IF(COUNTIFS(#REF!,$D87,#REF!,$CL87)&gt;0,"OK","ONBEKEND")),"ONZEKER")))))</f>
        <v/>
      </c>
      <c r="CN87" t="str">
        <f t="shared" si="648"/>
        <v/>
      </c>
      <c r="CO87" t="str">
        <f t="shared" si="649"/>
        <v/>
      </c>
      <c r="CP87" t="str">
        <f>IF($CO87="","",IF(OR($EC87="",$ED87=""),"ONZEKER",IF(OR($DZ87="",$EA87=""),"ONZEKER",IF(AND($EC87=$DZ87+1,$ED87=$EA87),IF(OR(COUNTIF(#REF!,$B87)&gt;0,COUNTIF(#REF!,$B87)=0),"SKIP",IF(COUNTIFS(#REF!,$B87,#REF!,$CO87)&gt;0,"OK","ONBEKEND")),IF(AND($EC87=$DZ87,$ED87=$EA87+1),IF(OR(COUNTIF(#REF!,$D87)&gt;0,COUNTIF(#REF!,$D87)=0),"SKIP",IF(COUNTIFS(#REF!,$D87,#REF!,$CO87)&gt;0,"OK","ONBEKEND")),"ONZEKER")))))</f>
        <v/>
      </c>
      <c r="CQ87" t="str">
        <f t="shared" si="650"/>
        <v/>
      </c>
      <c r="CR87" t="str">
        <f t="shared" si="651"/>
        <v/>
      </c>
      <c r="CS87" t="str">
        <f>IF($CR87="","",IF(OR($EF87="",$EG87=""),"ONZEKER",IF(OR($EC87="",$ED87=""),"ONZEKER",IF(AND($EF87=$EC87+1,$EG87=$ED87),IF(OR(COUNTIF(#REF!,$B87)&gt;0,COUNTIF(#REF!,$B87)=0),"SKIP",IF(COUNTIFS(#REF!,$B87,#REF!,$CR87)&gt;0,"OK","ONBEKEND")),IF(AND($EF87=$EC87,$EG87=$ED87+1),IF(OR(COUNTIF(#REF!,$D87)&gt;0,COUNTIF(#REF!,$D87)=0),"SKIP",IF(COUNTIFS(#REF!,$D87,#REF!,$CR87)&gt;0,"OK","ONBEKEND")),"ONZEKER")))))</f>
        <v/>
      </c>
      <c r="CT87" t="str">
        <f t="shared" si="652"/>
        <v/>
      </c>
      <c r="CU87" t="str">
        <f t="shared" si="653"/>
        <v/>
      </c>
      <c r="CV87" t="str">
        <f>IF($CU87="","",IF(OR($EI87="",$EJ87=""),"ONZEKER",IF(OR($EF87="",$EG87=""),"ONZEKER",IF(AND($EI87=$EF87+1,$EJ87=$EG87),IF(OR(COUNTIF(#REF!,$B87)&gt;0,COUNTIF(#REF!,$B87)=0),"SKIP",IF(COUNTIFS(#REF!,$B87,#REF!,$CU87)&gt;0,"OK","ONBEKEND")),IF(AND($EI87=$EF87,$EJ87=$EG87+1),IF(OR(COUNTIF(#REF!,$D87)&gt;0,COUNTIF(#REF!,$D87)=0),"SKIP",IF(COUNTIFS(#REF!,$D87,#REF!,$CU87)&gt;0,"OK","ONBEKEND")),"ONZEKER")))))</f>
        <v/>
      </c>
      <c r="CW87" t="str">
        <f t="shared" si="654"/>
        <v/>
      </c>
      <c r="CX87" t="str">
        <f t="shared" si="655"/>
        <v/>
      </c>
      <c r="CY87" t="str">
        <f>IF($CX87="","",IF(OR($EL87="",$EM87=""),"ONZEKER",IF(OR($EI87="",$EJ87=""),"ONZEKER",IF(AND($EL87=$EI87+1,$EM87=$EJ87),IF(OR(COUNTIF(#REF!,$B87)&gt;0,COUNTIF(#REF!,$B87)=0),"SKIP",IF(COUNTIFS(#REF!,$B87,#REF!,$CX87)&gt;0,"OK","ONBEKEND")),IF(AND($EL87=$EI87,$EM87=$EJ87+1),IF(OR(COUNTIF(#REF!,$D87)&gt;0,COUNTIF(#REF!,$D87)=0),"SKIP",IF(COUNTIFS(#REF!,$D87,#REF!,$CX87)&gt;0,"OK","ONBEKEND")),"ONZEKER")))))</f>
        <v/>
      </c>
      <c r="CZ87" t="str">
        <f t="shared" si="656"/>
        <v/>
      </c>
      <c r="DA87" t="str">
        <f t="shared" si="657"/>
        <v/>
      </c>
      <c r="DB87" t="str">
        <f>IF($DA87="","",IF(OR($EO87="",$EP87=""),"ONZEKER",IF(OR($EL87="",$EM87=""),"ONZEKER",IF(AND($EO87=$EL87+1,$EP87=$EM87),IF(OR(COUNTIF(#REF!,$B87)&gt;0,COUNTIF(#REF!,$B87)=0),"SKIP",IF(COUNTIFS(#REF!,$B87,#REF!,$DA87)&gt;0,"OK","ONBEKEND")),IF(AND($EO87=$EL87,$EP87=$EM87+1),IF(OR(COUNTIF(#REF!,$D87)&gt;0,COUNTIF(#REF!,$D87)=0),"SKIP",IF(COUNTIFS(#REF!,$D87,#REF!,$DA87)&gt;0,"OK","ONBEKEND")),"ONZEKER")))))</f>
        <v/>
      </c>
      <c r="DC87" t="str">
        <f t="shared" si="658"/>
        <v/>
      </c>
      <c r="DD87" t="str">
        <f t="shared" si="659"/>
        <v/>
      </c>
      <c r="DE87" t="str">
        <f>IF($DD87="","",IF(OR($ER87="",$ES87=""),"ONZEKER",IF(OR($EO87="",$EP87=""),"ONZEKER",IF(AND($ER87=$EO87+1,$ES87=$EP87),IF(OR(COUNTIF(#REF!,$B87)&gt;0,COUNTIF(#REF!,$B87)=0),"SKIP",IF(COUNTIFS(#REF!,$B87,#REF!,$DD87)&gt;0,"OK","ONBEKEND")),IF(AND($ER87=$EO87,$ES87=$EP87+1),IF(OR(COUNTIF(#REF!,$D87)&gt;0,COUNTIF(#REF!,$D87)=0),"SKIP",IF(COUNTIFS(#REF!,$D87,#REF!,$DD87)&gt;0,"OK","ONBEKEND")),"ONZEKER")))))</f>
        <v/>
      </c>
      <c r="DF87" t="str">
        <f t="shared" si="660"/>
        <v/>
      </c>
      <c r="DG87" t="str">
        <f t="shared" si="661"/>
        <v/>
      </c>
      <c r="DH87" t="str">
        <f>IF($DG87="","",IF(OR($EU87="",$EV87=""),"ONZEKER",IF(OR($ER87="",$ES87=""),"ONZEKER",IF(AND($EU87=$ER87+1,$EV87=$ES87),IF(OR(COUNTIF(#REF!,$B87)&gt;0,COUNTIF(#REF!,$B87)=0),"SKIP",IF(COUNTIFS(#REF!,$B87,#REF!,$DG87)&gt;0,"OK","ONBEKEND")),IF(AND($EU87=$ER87,$EV87=$ES87+1),IF(OR(COUNTIF(#REF!,$D87)&gt;0,COUNTIF(#REF!,$D87)=0),"SKIP",IF(COUNTIFS(#REF!,$D87,#REF!,$DG87)&gt;0,"OK","ONBEKEND")),"ONZEKER")))))</f>
        <v/>
      </c>
      <c r="DI87" t="str">
        <f t="shared" si="662"/>
        <v/>
      </c>
      <c r="DJ87" t="str">
        <f t="shared" si="663"/>
        <v/>
      </c>
      <c r="DK87" t="str">
        <f>IF($DJ87="","",IF(OR($EX87="",$EY87=""),"ONZEKER",IF(OR($EU87="",$EV87=""),"ONZEKER",IF(AND($EX87=$EU87+1,$EY87=$EV87),IF(OR(COUNTIF(#REF!,$B87)&gt;0,COUNTIF(#REF!,$B87)=0),"SKIP",IF(COUNTIFS(#REF!,$B87,#REF!,$DJ87)&gt;0,"OK","ONBEKEND")),IF(AND($EX87=$EU87,$EY87=$EV87+1),IF(OR(COUNTIF(#REF!,$D87)&gt;0,COUNTIF(#REF!,$D87)=0),"SKIP",IF(COUNTIFS(#REF!,$D87,#REF!,$DJ87)&gt;0,"OK","ONBEKEND")),"ONZEKER")))))</f>
        <v/>
      </c>
      <c r="DL87" t="str">
        <f t="shared" si="664"/>
        <v/>
      </c>
      <c r="DM87" t="str">
        <f t="shared" si="665"/>
        <v/>
      </c>
      <c r="DN87" t="str">
        <f t="shared" si="666"/>
        <v/>
      </c>
      <c r="DO87" t="str">
        <f t="shared" si="667"/>
        <v/>
      </c>
      <c r="DP87" t="str">
        <f t="shared" si="668"/>
        <v/>
      </c>
      <c r="DQ87" t="str">
        <f t="shared" si="669"/>
        <v/>
      </c>
      <c r="DR87" t="str">
        <f t="shared" si="670"/>
        <v/>
      </c>
      <c r="DS87" t="str">
        <f t="shared" si="671"/>
        <v/>
      </c>
      <c r="DT87" t="str">
        <f t="shared" si="672"/>
        <v/>
      </c>
      <c r="DU87" t="str">
        <f t="shared" si="673"/>
        <v/>
      </c>
      <c r="DV87" t="str">
        <f t="shared" si="674"/>
        <v/>
      </c>
      <c r="DW87" t="str">
        <f t="shared" si="675"/>
        <v/>
      </c>
      <c r="DX87" t="str">
        <f t="shared" si="676"/>
        <v/>
      </c>
      <c r="DY87" t="str">
        <f t="shared" si="677"/>
        <v/>
      </c>
      <c r="DZ87" t="str">
        <f t="shared" si="678"/>
        <v/>
      </c>
      <c r="EA87" t="str">
        <f t="shared" si="679"/>
        <v/>
      </c>
      <c r="EB87" t="str">
        <f t="shared" si="680"/>
        <v/>
      </c>
      <c r="EC87" t="str">
        <f t="shared" si="681"/>
        <v/>
      </c>
      <c r="ED87" t="str">
        <f t="shared" si="682"/>
        <v/>
      </c>
      <c r="EE87" t="str">
        <f t="shared" si="683"/>
        <v/>
      </c>
      <c r="EF87" t="str">
        <f t="shared" si="684"/>
        <v/>
      </c>
      <c r="EG87" t="str">
        <f t="shared" si="685"/>
        <v/>
      </c>
      <c r="EH87" t="str">
        <f t="shared" si="686"/>
        <v/>
      </c>
      <c r="EI87" t="str">
        <f t="shared" si="687"/>
        <v/>
      </c>
      <c r="EJ87" t="str">
        <f t="shared" si="688"/>
        <v/>
      </c>
      <c r="EK87" t="str">
        <f t="shared" si="689"/>
        <v/>
      </c>
      <c r="EL87" t="str">
        <f t="shared" si="690"/>
        <v/>
      </c>
      <c r="EM87" t="str">
        <f t="shared" si="691"/>
        <v/>
      </c>
      <c r="EN87" t="str">
        <f t="shared" si="692"/>
        <v/>
      </c>
      <c r="EO87" t="str">
        <f t="shared" si="693"/>
        <v/>
      </c>
      <c r="EP87" t="str">
        <f t="shared" si="694"/>
        <v/>
      </c>
      <c r="EQ87" t="str">
        <f t="shared" si="695"/>
        <v/>
      </c>
      <c r="ER87" t="str">
        <f t="shared" si="696"/>
        <v/>
      </c>
      <c r="ES87" t="str">
        <f t="shared" si="697"/>
        <v/>
      </c>
      <c r="ET87" t="str">
        <f t="shared" si="698"/>
        <v/>
      </c>
      <c r="EU87" t="str">
        <f t="shared" si="699"/>
        <v/>
      </c>
      <c r="EV87" t="str">
        <f t="shared" si="700"/>
        <v/>
      </c>
      <c r="EW87" t="str">
        <f t="shared" si="701"/>
        <v/>
      </c>
      <c r="EX87" t="str">
        <f t="shared" si="702"/>
        <v/>
      </c>
      <c r="EY87" t="str">
        <f t="shared" si="703"/>
        <v/>
      </c>
    </row>
    <row r="88" spans="1:155" ht="13.9" customHeight="1" x14ac:dyDescent="0.25">
      <c r="A88" s="7"/>
      <c r="B88" s="17"/>
      <c r="C88" s="8"/>
      <c r="D88" s="17"/>
      <c r="E88" s="8"/>
      <c r="F88" s="18">
        <v>0</v>
      </c>
      <c r="G88" s="7" t="s">
        <v>147</v>
      </c>
      <c r="H88" s="18">
        <v>0</v>
      </c>
      <c r="I88" s="19">
        <v>0</v>
      </c>
      <c r="J88" s="7" t="s">
        <v>147</v>
      </c>
      <c r="K88" s="19">
        <v>0</v>
      </c>
      <c r="L88" s="9"/>
      <c r="M88" s="3" t="str">
        <f>IF($L88="","",IF($L88="DOELPUNTENMAKERS","",IF(AND(COUNTIF(#REF!,$B88)=0,COUNTIF(#REF!,$D88)=0),"OK",IF($O88&gt;20,"LET OP: meer dan 20 items (controle onvolledig)",IF((COUNTIF($R88:$AS88,"ONZEKER")+COUNTIF($CJ88:$DK88,"ONZEKER"))&gt;0,"LET OP: scoreverloop onduidelijk (controle beperkt)",IF((IF($AT88&lt;&gt;"",$AT88&amp;", ","")&amp;IF($AU88&lt;&gt;"",$AU88&amp;", ","")&amp;IF($AV88&lt;&gt;"",$AV88&amp;", ","")&amp;IF($AW88&lt;&gt;"",$AW88&amp;", ","")&amp;IF($AX88&lt;&gt;"",$AX88&amp;", ","")&amp;IF($AY88&lt;&gt;"",$AY88&amp;", ","")&amp;IF($AZ88&lt;&gt;"",$AZ88&amp;", ","")&amp;IF($BA88&lt;&gt;"",$BA88&amp;", ","")&amp;IF($BB88&lt;&gt;"",$BB88&amp;", ","")&amp;IF($BC88&lt;&gt;"",$BC88&amp;", ","")&amp;IF($DL88&lt;&gt;"",$DL88&amp;", ","")&amp;IF($DM88&lt;&gt;"",$DM88&amp;", ","")&amp;IF($DN88&lt;&gt;"",$DN88&amp;", ","")&amp;IF($DO88&lt;&gt;"",$DO88&amp;", ","")&amp;IF($DP88&lt;&gt;"",$DP88&amp;", ","")&amp;IF($DQ88&lt;&gt;"",$DQ88&amp;", ","")&amp;IF($DR88&lt;&gt;"",$DR88&amp;", ","")&amp;IF($DS88&lt;&gt;"",$DS88&amp;", ","")&amp;IF($DT88&lt;&gt;"",$DT88&amp;", ","")&amp;IF($DU88&lt;&gt;"",$DU88&amp;", ",""))="","OK","Onbekend: "&amp;LEFT((IF($AT88&lt;&gt;"",$AT88&amp;", ","")&amp;IF($AU88&lt;&gt;"",$AU88&amp;", ","")&amp;IF($AV88&lt;&gt;"",$AV88&amp;", ","")&amp;IF($AW88&lt;&gt;"",$AW88&amp;", ","")&amp;IF($AX88&lt;&gt;"",$AX88&amp;", ","")&amp;IF($AY88&lt;&gt;"",$AY88&amp;", ","")&amp;IF($AZ88&lt;&gt;"",$AZ88&amp;", ","")&amp;IF($BA88&lt;&gt;"",$BA88&amp;", ","")&amp;IF($BB88&lt;&gt;"",$BB88&amp;", ","")&amp;IF($BC88&lt;&gt;"",$BC88&amp;", ","")&amp;IF($DL88&lt;&gt;"",$DL88&amp;", ","")&amp;IF($DM88&lt;&gt;"",$DM88&amp;", ","")&amp;IF($DN88&lt;&gt;"",$DN88&amp;", ","")&amp;IF($DO88&lt;&gt;"",$DO88&amp;", ","")&amp;IF($DP88&lt;&gt;"",$DP88&amp;", ","")&amp;IF($DQ88&lt;&gt;"",$DQ88&amp;", ","")&amp;IF($DR88&lt;&gt;"",$DR88&amp;", ","")&amp;IF($DS88&lt;&gt;"",$DS88&amp;", ","")&amp;IF($DT88&lt;&gt;"",$DT88&amp;", ","")&amp;IF($DU88&lt;&gt;"",$DU88&amp;", ","")),LEN((IF($AT88&lt;&gt;"",$AT88&amp;", ","")&amp;IF($AU88&lt;&gt;"",$AU88&amp;", ","")&amp;IF($AV88&lt;&gt;"",$AV88&amp;", ","")&amp;IF($AW88&lt;&gt;"",$AW88&amp;", ","")&amp;IF($AX88&lt;&gt;"",$AX88&amp;", ","")&amp;IF($AY88&lt;&gt;"",$AY88&amp;", ","")&amp;IF($AZ88&lt;&gt;"",$AZ88&amp;", ","")&amp;IF($BA88&lt;&gt;"",$BA88&amp;", ","")&amp;IF($BB88&lt;&gt;"",$BB88&amp;", ","")&amp;IF($BC88&lt;&gt;"",$BC88&amp;", ","")&amp;IF($DL88&lt;&gt;"",$DL88&amp;", ","")&amp;IF($DM88&lt;&gt;"",$DM88&amp;", ","")&amp;IF($DN88&lt;&gt;"",$DN88&amp;", ","")&amp;IF($DO88&lt;&gt;"",$DO88&amp;", ","")&amp;IF($DP88&lt;&gt;"",$DP88&amp;", ","")&amp;IF($DQ88&lt;&gt;"",$DQ88&amp;", ","")&amp;IF($DR88&lt;&gt;"",$DR88&amp;", ","")&amp;IF($DS88&lt;&gt;"",$DS88&amp;", ","")&amp;IF($DT88&lt;&gt;"",$DT88&amp;", ","")&amp;IF($DU88&lt;&gt;"",$DU88&amp;", ","")))-2)))))))</f>
        <v/>
      </c>
      <c r="N88" t="str">
        <f t="shared" si="612"/>
        <v/>
      </c>
      <c r="O88" t="str">
        <f t="shared" si="613"/>
        <v/>
      </c>
      <c r="P88" t="str">
        <f t="shared" si="614"/>
        <v/>
      </c>
      <c r="Q88" t="str">
        <f t="shared" si="615"/>
        <v/>
      </c>
      <c r="R88" t="str">
        <f>IF($Q88="","",IF(OR($BE88="",$BF88=""),"ONZEKER",IF(AND($BE88=0+1,$BF88=0),IF(OR(COUNTIF(#REF!,$B88)&gt;0,COUNTIF(#REF!,$B88)=0),"SKIP",IF(COUNTIFS(#REF!,$B88,#REF!,$Q88)&gt;0,"OK","ONBEKEND")),IF(AND($BE88=0,$BF88=0+1),IF(OR(COUNTIF(#REF!,$D88)&gt;0,COUNTIF(#REF!,$D88)=0),"SKIP",IF(COUNTIFS(#REF!,$D88,#REF!,$Q88)&gt;0,"OK","ONBEKEND")),"ONZEKER"))))</f>
        <v/>
      </c>
      <c r="S88" t="str">
        <f t="shared" si="616"/>
        <v/>
      </c>
      <c r="T88" t="str">
        <f t="shared" si="617"/>
        <v/>
      </c>
      <c r="U88" t="str">
        <f>IF($T88="","",IF(OR($BH88="",$BI88=""),"ONZEKER",IF(OR($BE88="",$BF88=""),"ONZEKER",IF(AND($BH88=$BE88+1,$BI88=$BF88),IF(OR(COUNTIF(#REF!,$B88)&gt;0,COUNTIF(#REF!,$B88)=0),"SKIP",IF(COUNTIFS(#REF!,$B88,#REF!,$T88)&gt;0,"OK","ONBEKEND")),IF(AND($BH88=$BE88,$BI88=$BF88+1),IF(OR(COUNTIF(#REF!,$D88)&gt;0,COUNTIF(#REF!,$D88)=0),"SKIP",IF(COUNTIFS(#REF!,$D88,#REF!,$T88)&gt;0,"OK","ONBEKEND")),"ONZEKER")))))</f>
        <v/>
      </c>
      <c r="V88" t="str">
        <f t="shared" si="618"/>
        <v/>
      </c>
      <c r="W88" t="str">
        <f t="shared" si="619"/>
        <v/>
      </c>
      <c r="X88" t="str">
        <f>IF($W88="","",IF(OR($BK88="",$BL88=""),"ONZEKER",IF(OR($BH88="",$BI88=""),"ONZEKER",IF(AND($BK88=$BH88+1,$BL88=$BI88),IF(OR(COUNTIF(#REF!,$B88)&gt;0,COUNTIF(#REF!,$B88)=0),"SKIP",IF(COUNTIFS(#REF!,$B88,#REF!,$W88)&gt;0,"OK","ONBEKEND")),IF(AND($BK88=$BH88,$BL88=$BI88+1),IF(OR(COUNTIF(#REF!,$D88)&gt;0,COUNTIF(#REF!,$D88)=0),"SKIP",IF(COUNTIFS(#REF!,$D88,#REF!,$W88)&gt;0,"OK","ONBEKEND")),"ONZEKER")))))</f>
        <v/>
      </c>
      <c r="Y88" t="str">
        <f t="shared" si="620"/>
        <v/>
      </c>
      <c r="Z88" t="str">
        <f t="shared" si="621"/>
        <v/>
      </c>
      <c r="AA88" t="str">
        <f>IF($Z88="","",IF(OR($BN88="",$BO88=""),"ONZEKER",IF(OR($BK88="",$BL88=""),"ONZEKER",IF(AND($BN88=$BK88+1,$BO88=$BL88),IF(OR(COUNTIF(#REF!,$B88)&gt;0,COUNTIF(#REF!,$B88)=0),"SKIP",IF(COUNTIFS(#REF!,$B88,#REF!,$Z88)&gt;0,"OK","ONBEKEND")),IF(AND($BN88=$BK88,$BO88=$BL88+1),IF(OR(COUNTIF(#REF!,$D88)&gt;0,COUNTIF(#REF!,$D88)=0),"SKIP",IF(COUNTIFS(#REF!,$D88,#REF!,$Z88)&gt;0,"OK","ONBEKEND")),"ONZEKER")))))</f>
        <v/>
      </c>
      <c r="AB88" t="str">
        <f t="shared" si="622"/>
        <v/>
      </c>
      <c r="AC88" t="str">
        <f t="shared" si="623"/>
        <v/>
      </c>
      <c r="AD88" t="str">
        <f>IF($AC88="","",IF(OR($BQ88="",$BR88=""),"ONZEKER",IF(OR($BN88="",$BO88=""),"ONZEKER",IF(AND($BQ88=$BN88+1,$BR88=$BO88),IF(OR(COUNTIF(#REF!,$B88)&gt;0,COUNTIF(#REF!,$B88)=0),"SKIP",IF(COUNTIFS(#REF!,$B88,#REF!,$AC88)&gt;0,"OK","ONBEKEND")),IF(AND($BQ88=$BN88,$BR88=$BO88+1),IF(OR(COUNTIF(#REF!,$D88)&gt;0,COUNTIF(#REF!,$D88)=0),"SKIP",IF(COUNTIFS(#REF!,$D88,#REF!,$AC88)&gt;0,"OK","ONBEKEND")),"ONZEKER")))))</f>
        <v/>
      </c>
      <c r="AE88" t="str">
        <f t="shared" si="624"/>
        <v/>
      </c>
      <c r="AF88" t="str">
        <f t="shared" si="625"/>
        <v/>
      </c>
      <c r="AG88" t="str">
        <f>IF($AF88="","",IF(OR($BT88="",$BU88=""),"ONZEKER",IF(OR($BQ88="",$BR88=""),"ONZEKER",IF(AND($BT88=$BQ88+1,$BU88=$BR88),IF(OR(COUNTIF(#REF!,$B88)&gt;0,COUNTIF(#REF!,$B88)=0),"SKIP",IF(COUNTIFS(#REF!,$B88,#REF!,$AF88)&gt;0,"OK","ONBEKEND")),IF(AND($BT88=$BQ88,$BU88=$BR88+1),IF(OR(COUNTIF(#REF!,$D88)&gt;0,COUNTIF(#REF!,$D88)=0),"SKIP",IF(COUNTIFS(#REF!,$D88,#REF!,$AF88)&gt;0,"OK","ONBEKEND")),"ONZEKER")))))</f>
        <v/>
      </c>
      <c r="AH88" t="str">
        <f t="shared" si="626"/>
        <v/>
      </c>
      <c r="AI88" t="str">
        <f t="shared" si="627"/>
        <v/>
      </c>
      <c r="AJ88" t="str">
        <f>IF($AI88="","",IF(OR($BW88="",$BX88=""),"ONZEKER",IF(OR($BT88="",$BU88=""),"ONZEKER",IF(AND($BW88=$BT88+1,$BX88=$BU88),IF(OR(COUNTIF(#REF!,$B88)&gt;0,COUNTIF(#REF!,$B88)=0),"SKIP",IF(COUNTIFS(#REF!,$B88,#REF!,$AI88)&gt;0,"OK","ONBEKEND")),IF(AND($BW88=$BT88,$BX88=$BU88+1),IF(OR(COUNTIF(#REF!,$D88)&gt;0,COUNTIF(#REF!,$D88)=0),"SKIP",IF(COUNTIFS(#REF!,$D88,#REF!,$AI88)&gt;0,"OK","ONBEKEND")),"ONZEKER")))))</f>
        <v/>
      </c>
      <c r="AK88" t="str">
        <f t="shared" si="628"/>
        <v/>
      </c>
      <c r="AL88" t="str">
        <f t="shared" si="629"/>
        <v/>
      </c>
      <c r="AM88" t="str">
        <f>IF($AL88="","",IF(OR($BZ88="",$CA88=""),"ONZEKER",IF(OR($BW88="",$BX88=""),"ONZEKER",IF(AND($BZ88=$BW88+1,$CA88=$BX88),IF(OR(COUNTIF(#REF!,$B88)&gt;0,COUNTIF(#REF!,$B88)=0),"SKIP",IF(COUNTIFS(#REF!,$B88,#REF!,$AL88)&gt;0,"OK","ONBEKEND")),IF(AND($BZ88=$BW88,$CA88=$BX88+1),IF(OR(COUNTIF(#REF!,$D88)&gt;0,COUNTIF(#REF!,$D88)=0),"SKIP",IF(COUNTIFS(#REF!,$D88,#REF!,$AL88)&gt;0,"OK","ONBEKEND")),"ONZEKER")))))</f>
        <v/>
      </c>
      <c r="AN88" t="str">
        <f t="shared" si="630"/>
        <v/>
      </c>
      <c r="AO88" t="str">
        <f t="shared" si="631"/>
        <v/>
      </c>
      <c r="AP88" t="str">
        <f>IF($AO88="","",IF(OR($CC88="",$CD88=""),"ONZEKER",IF(OR($BZ88="",$CA88=""),"ONZEKER",IF(AND($CC88=$BZ88+1,$CD88=$CA88),IF(OR(COUNTIF(#REF!,$B88)&gt;0,COUNTIF(#REF!,$B88)=0),"SKIP",IF(COUNTIFS(#REF!,$B88,#REF!,$AO88)&gt;0,"OK","ONBEKEND")),IF(AND($CC88=$BZ88,$CD88=$CA88+1),IF(OR(COUNTIF(#REF!,$D88)&gt;0,COUNTIF(#REF!,$D88)=0),"SKIP",IF(COUNTIFS(#REF!,$D88,#REF!,$AO88)&gt;0,"OK","ONBEKEND")),"ONZEKER")))))</f>
        <v/>
      </c>
      <c r="AQ88" t="str">
        <f t="shared" si="632"/>
        <v/>
      </c>
      <c r="AR88" t="str">
        <f t="shared" si="633"/>
        <v/>
      </c>
      <c r="AS88" t="str">
        <f>IF($AR88="","",IF(OR($CF88="",$CG88=""),"ONZEKER",IF(OR($CC88="",$CD88=""),"ONZEKER",IF(AND($CF88=$CC88+1,$CG88=$CD88),IF(OR(COUNTIF(#REF!,$B88)&gt;0,COUNTIF(#REF!,$B88)=0),"SKIP",IF(COUNTIFS(#REF!,$B88,#REF!,$AR88)&gt;0,"OK","ONBEKEND")),IF(AND($CF88=$CC88,$CG88=$CD88+1),IF(OR(COUNTIF(#REF!,$D88)&gt;0,COUNTIF(#REF!,$D88)=0),"SKIP",IF(COUNTIFS(#REF!,$D88,#REF!,$AR88)&gt;0,"OK","ONBEKEND")),"ONZEKER")))))</f>
        <v/>
      </c>
      <c r="AT88" t="str">
        <f t="shared" si="634"/>
        <v/>
      </c>
      <c r="AU88" t="str">
        <f t="shared" si="635"/>
        <v/>
      </c>
      <c r="AV88" t="str">
        <f t="shared" si="636"/>
        <v/>
      </c>
      <c r="AW88" t="str">
        <f t="shared" si="637"/>
        <v/>
      </c>
      <c r="AX88" t="str">
        <f t="shared" si="638"/>
        <v/>
      </c>
      <c r="AY88" t="str">
        <f t="shared" si="639"/>
        <v/>
      </c>
      <c r="AZ88" t="str">
        <f t="shared" si="640"/>
        <v/>
      </c>
      <c r="BA88" t="str">
        <f t="shared" si="641"/>
        <v/>
      </c>
      <c r="BB88" t="str">
        <f t="shared" si="642"/>
        <v/>
      </c>
      <c r="BC88" t="str">
        <f t="shared" si="643"/>
        <v/>
      </c>
      <c r="BD88" t="str">
        <f t="shared" si="490"/>
        <v/>
      </c>
      <c r="BE88" t="str">
        <f t="shared" si="491"/>
        <v/>
      </c>
      <c r="BF88" t="str">
        <f t="shared" si="492"/>
        <v/>
      </c>
      <c r="BG88" t="str">
        <f t="shared" si="493"/>
        <v/>
      </c>
      <c r="BH88" t="str">
        <f t="shared" si="494"/>
        <v/>
      </c>
      <c r="BI88" t="str">
        <f t="shared" si="495"/>
        <v/>
      </c>
      <c r="BJ88" t="str">
        <f t="shared" si="496"/>
        <v/>
      </c>
      <c r="BK88" t="str">
        <f t="shared" si="497"/>
        <v/>
      </c>
      <c r="BL88" t="str">
        <f t="shared" si="498"/>
        <v/>
      </c>
      <c r="BM88" t="str">
        <f t="shared" si="499"/>
        <v/>
      </c>
      <c r="BN88" t="str">
        <f t="shared" si="500"/>
        <v/>
      </c>
      <c r="BO88" t="str">
        <f t="shared" si="501"/>
        <v/>
      </c>
      <c r="BP88" t="str">
        <f t="shared" si="502"/>
        <v/>
      </c>
      <c r="BQ88" t="str">
        <f t="shared" si="503"/>
        <v/>
      </c>
      <c r="BR88" t="str">
        <f t="shared" si="504"/>
        <v/>
      </c>
      <c r="BS88" t="str">
        <f t="shared" si="505"/>
        <v/>
      </c>
      <c r="BT88" t="str">
        <f t="shared" si="506"/>
        <v/>
      </c>
      <c r="BU88" t="str">
        <f t="shared" si="507"/>
        <v/>
      </c>
      <c r="BV88" t="str">
        <f t="shared" si="508"/>
        <v/>
      </c>
      <c r="BW88" t="str">
        <f t="shared" si="509"/>
        <v/>
      </c>
      <c r="BX88" t="str">
        <f t="shared" si="510"/>
        <v/>
      </c>
      <c r="BY88" t="str">
        <f t="shared" si="511"/>
        <v/>
      </c>
      <c r="BZ88" t="str">
        <f t="shared" si="512"/>
        <v/>
      </c>
      <c r="CA88" t="str">
        <f t="shared" si="513"/>
        <v/>
      </c>
      <c r="CB88" t="str">
        <f t="shared" si="514"/>
        <v/>
      </c>
      <c r="CC88" t="str">
        <f t="shared" si="515"/>
        <v/>
      </c>
      <c r="CD88" t="str">
        <f t="shared" si="516"/>
        <v/>
      </c>
      <c r="CE88" t="str">
        <f t="shared" si="517"/>
        <v/>
      </c>
      <c r="CF88" t="str">
        <f t="shared" si="518"/>
        <v/>
      </c>
      <c r="CG88" t="str">
        <f t="shared" si="519"/>
        <v/>
      </c>
      <c r="CH88" t="str">
        <f t="shared" si="644"/>
        <v/>
      </c>
      <c r="CI88" t="str">
        <f t="shared" si="645"/>
        <v/>
      </c>
      <c r="CJ88" t="str">
        <f>IF($CI88="","",IF(OR($DW88="",$DX88=""),"ONZEKER",IF(OR($CF88="",$CG88=""),"ONZEKER",IF(AND($DW88=$CF88+1,$DX88=$CG88),IF(OR(COUNTIF(#REF!,$B88)&gt;0,COUNTIF(#REF!,$B88)=0),"SKIP",IF(COUNTIFS(#REF!,$B88,#REF!,$CI88)&gt;0,"OK","ONBEKEND")),IF(AND($DW88=$CF88,$DX88=$CG88+1),IF(OR(COUNTIF(#REF!,$D88)&gt;0,COUNTIF(#REF!,$D88)=0),"SKIP",IF(COUNTIFS(#REF!,$D88,#REF!,$CI88)&gt;0,"OK","ONBEKEND")),"ONZEKER")))))</f>
        <v/>
      </c>
      <c r="CK88" t="str">
        <f t="shared" si="646"/>
        <v/>
      </c>
      <c r="CL88" t="str">
        <f t="shared" si="647"/>
        <v/>
      </c>
      <c r="CM88" t="str">
        <f>IF($CL88="","",IF(OR($DZ88="",$EA88=""),"ONZEKER",IF(OR($DW88="",$DX88=""),"ONZEKER",IF(AND($DZ88=$DW88+1,$EA88=$DX88),IF(OR(COUNTIF(#REF!,$B88)&gt;0,COUNTIF(#REF!,$B88)=0),"SKIP",IF(COUNTIFS(#REF!,$B88,#REF!,$CL88)&gt;0,"OK","ONBEKEND")),IF(AND($DZ88=$DW88,$EA88=$DX88+1),IF(OR(COUNTIF(#REF!,$D88)&gt;0,COUNTIF(#REF!,$D88)=0),"SKIP",IF(COUNTIFS(#REF!,$D88,#REF!,$CL88)&gt;0,"OK","ONBEKEND")),"ONZEKER")))))</f>
        <v/>
      </c>
      <c r="CN88" t="str">
        <f t="shared" si="648"/>
        <v/>
      </c>
      <c r="CO88" t="str">
        <f t="shared" si="649"/>
        <v/>
      </c>
      <c r="CP88" t="str">
        <f>IF($CO88="","",IF(OR($EC88="",$ED88=""),"ONZEKER",IF(OR($DZ88="",$EA88=""),"ONZEKER",IF(AND($EC88=$DZ88+1,$ED88=$EA88),IF(OR(COUNTIF(#REF!,$B88)&gt;0,COUNTIF(#REF!,$B88)=0),"SKIP",IF(COUNTIFS(#REF!,$B88,#REF!,$CO88)&gt;0,"OK","ONBEKEND")),IF(AND($EC88=$DZ88,$ED88=$EA88+1),IF(OR(COUNTIF(#REF!,$D88)&gt;0,COUNTIF(#REF!,$D88)=0),"SKIP",IF(COUNTIFS(#REF!,$D88,#REF!,$CO88)&gt;0,"OK","ONBEKEND")),"ONZEKER")))))</f>
        <v/>
      </c>
      <c r="CQ88" t="str">
        <f t="shared" si="650"/>
        <v/>
      </c>
      <c r="CR88" t="str">
        <f t="shared" si="651"/>
        <v/>
      </c>
      <c r="CS88" t="str">
        <f>IF($CR88="","",IF(OR($EF88="",$EG88=""),"ONZEKER",IF(OR($EC88="",$ED88=""),"ONZEKER",IF(AND($EF88=$EC88+1,$EG88=$ED88),IF(OR(COUNTIF(#REF!,$B88)&gt;0,COUNTIF(#REF!,$B88)=0),"SKIP",IF(COUNTIFS(#REF!,$B88,#REF!,$CR88)&gt;0,"OK","ONBEKEND")),IF(AND($EF88=$EC88,$EG88=$ED88+1),IF(OR(COUNTIF(#REF!,$D88)&gt;0,COUNTIF(#REF!,$D88)=0),"SKIP",IF(COUNTIFS(#REF!,$D88,#REF!,$CR88)&gt;0,"OK","ONBEKEND")),"ONZEKER")))))</f>
        <v/>
      </c>
      <c r="CT88" t="str">
        <f t="shared" si="652"/>
        <v/>
      </c>
      <c r="CU88" t="str">
        <f t="shared" si="653"/>
        <v/>
      </c>
      <c r="CV88" t="str">
        <f>IF($CU88="","",IF(OR($EI88="",$EJ88=""),"ONZEKER",IF(OR($EF88="",$EG88=""),"ONZEKER",IF(AND($EI88=$EF88+1,$EJ88=$EG88),IF(OR(COUNTIF(#REF!,$B88)&gt;0,COUNTIF(#REF!,$B88)=0),"SKIP",IF(COUNTIFS(#REF!,$B88,#REF!,$CU88)&gt;0,"OK","ONBEKEND")),IF(AND($EI88=$EF88,$EJ88=$EG88+1),IF(OR(COUNTIF(#REF!,$D88)&gt;0,COUNTIF(#REF!,$D88)=0),"SKIP",IF(COUNTIFS(#REF!,$D88,#REF!,$CU88)&gt;0,"OK","ONBEKEND")),"ONZEKER")))))</f>
        <v/>
      </c>
      <c r="CW88" t="str">
        <f t="shared" si="654"/>
        <v/>
      </c>
      <c r="CX88" t="str">
        <f t="shared" si="655"/>
        <v/>
      </c>
      <c r="CY88" t="str">
        <f>IF($CX88="","",IF(OR($EL88="",$EM88=""),"ONZEKER",IF(OR($EI88="",$EJ88=""),"ONZEKER",IF(AND($EL88=$EI88+1,$EM88=$EJ88),IF(OR(COUNTIF(#REF!,$B88)&gt;0,COUNTIF(#REF!,$B88)=0),"SKIP",IF(COUNTIFS(#REF!,$B88,#REF!,$CX88)&gt;0,"OK","ONBEKEND")),IF(AND($EL88=$EI88,$EM88=$EJ88+1),IF(OR(COUNTIF(#REF!,$D88)&gt;0,COUNTIF(#REF!,$D88)=0),"SKIP",IF(COUNTIFS(#REF!,$D88,#REF!,$CX88)&gt;0,"OK","ONBEKEND")),"ONZEKER")))))</f>
        <v/>
      </c>
      <c r="CZ88" t="str">
        <f t="shared" si="656"/>
        <v/>
      </c>
      <c r="DA88" t="str">
        <f t="shared" si="657"/>
        <v/>
      </c>
      <c r="DB88" t="str">
        <f>IF($DA88="","",IF(OR($EO88="",$EP88=""),"ONZEKER",IF(OR($EL88="",$EM88=""),"ONZEKER",IF(AND($EO88=$EL88+1,$EP88=$EM88),IF(OR(COUNTIF(#REF!,$B88)&gt;0,COUNTIF(#REF!,$B88)=0),"SKIP",IF(COUNTIFS(#REF!,$B88,#REF!,$DA88)&gt;0,"OK","ONBEKEND")),IF(AND($EO88=$EL88,$EP88=$EM88+1),IF(OR(COUNTIF(#REF!,$D88)&gt;0,COUNTIF(#REF!,$D88)=0),"SKIP",IF(COUNTIFS(#REF!,$D88,#REF!,$DA88)&gt;0,"OK","ONBEKEND")),"ONZEKER")))))</f>
        <v/>
      </c>
      <c r="DC88" t="str">
        <f t="shared" si="658"/>
        <v/>
      </c>
      <c r="DD88" t="str">
        <f t="shared" si="659"/>
        <v/>
      </c>
      <c r="DE88" t="str">
        <f>IF($DD88="","",IF(OR($ER88="",$ES88=""),"ONZEKER",IF(OR($EO88="",$EP88=""),"ONZEKER",IF(AND($ER88=$EO88+1,$ES88=$EP88),IF(OR(COUNTIF(#REF!,$B88)&gt;0,COUNTIF(#REF!,$B88)=0),"SKIP",IF(COUNTIFS(#REF!,$B88,#REF!,$DD88)&gt;0,"OK","ONBEKEND")),IF(AND($ER88=$EO88,$ES88=$EP88+1),IF(OR(COUNTIF(#REF!,$D88)&gt;0,COUNTIF(#REF!,$D88)=0),"SKIP",IF(COUNTIFS(#REF!,$D88,#REF!,$DD88)&gt;0,"OK","ONBEKEND")),"ONZEKER")))))</f>
        <v/>
      </c>
      <c r="DF88" t="str">
        <f t="shared" si="660"/>
        <v/>
      </c>
      <c r="DG88" t="str">
        <f t="shared" si="661"/>
        <v/>
      </c>
      <c r="DH88" t="str">
        <f>IF($DG88="","",IF(OR($EU88="",$EV88=""),"ONZEKER",IF(OR($ER88="",$ES88=""),"ONZEKER",IF(AND($EU88=$ER88+1,$EV88=$ES88),IF(OR(COUNTIF(#REF!,$B88)&gt;0,COUNTIF(#REF!,$B88)=0),"SKIP",IF(COUNTIFS(#REF!,$B88,#REF!,$DG88)&gt;0,"OK","ONBEKEND")),IF(AND($EU88=$ER88,$EV88=$ES88+1),IF(OR(COUNTIF(#REF!,$D88)&gt;0,COUNTIF(#REF!,$D88)=0),"SKIP",IF(COUNTIFS(#REF!,$D88,#REF!,$DG88)&gt;0,"OK","ONBEKEND")),"ONZEKER")))))</f>
        <v/>
      </c>
      <c r="DI88" t="str">
        <f t="shared" si="662"/>
        <v/>
      </c>
      <c r="DJ88" t="str">
        <f t="shared" si="663"/>
        <v/>
      </c>
      <c r="DK88" t="str">
        <f>IF($DJ88="","",IF(OR($EX88="",$EY88=""),"ONZEKER",IF(OR($EU88="",$EV88=""),"ONZEKER",IF(AND($EX88=$EU88+1,$EY88=$EV88),IF(OR(COUNTIF(#REF!,$B88)&gt;0,COUNTIF(#REF!,$B88)=0),"SKIP",IF(COUNTIFS(#REF!,$B88,#REF!,$DJ88)&gt;0,"OK","ONBEKEND")),IF(AND($EX88=$EU88,$EY88=$EV88+1),IF(OR(COUNTIF(#REF!,$D88)&gt;0,COUNTIF(#REF!,$D88)=0),"SKIP",IF(COUNTIFS(#REF!,$D88,#REF!,$DJ88)&gt;0,"OK","ONBEKEND")),"ONZEKER")))))</f>
        <v/>
      </c>
      <c r="DL88" t="str">
        <f t="shared" si="664"/>
        <v/>
      </c>
      <c r="DM88" t="str">
        <f t="shared" si="665"/>
        <v/>
      </c>
      <c r="DN88" t="str">
        <f t="shared" si="666"/>
        <v/>
      </c>
      <c r="DO88" t="str">
        <f t="shared" si="667"/>
        <v/>
      </c>
      <c r="DP88" t="str">
        <f t="shared" si="668"/>
        <v/>
      </c>
      <c r="DQ88" t="str">
        <f t="shared" si="669"/>
        <v/>
      </c>
      <c r="DR88" t="str">
        <f t="shared" si="670"/>
        <v/>
      </c>
      <c r="DS88" t="str">
        <f t="shared" si="671"/>
        <v/>
      </c>
      <c r="DT88" t="str">
        <f t="shared" si="672"/>
        <v/>
      </c>
      <c r="DU88" t="str">
        <f t="shared" si="673"/>
        <v/>
      </c>
      <c r="DV88" t="str">
        <f t="shared" si="674"/>
        <v/>
      </c>
      <c r="DW88" t="str">
        <f t="shared" si="675"/>
        <v/>
      </c>
      <c r="DX88" t="str">
        <f t="shared" si="676"/>
        <v/>
      </c>
      <c r="DY88" t="str">
        <f t="shared" si="677"/>
        <v/>
      </c>
      <c r="DZ88" t="str">
        <f t="shared" si="678"/>
        <v/>
      </c>
      <c r="EA88" t="str">
        <f t="shared" si="679"/>
        <v/>
      </c>
      <c r="EB88" t="str">
        <f t="shared" si="680"/>
        <v/>
      </c>
      <c r="EC88" t="str">
        <f t="shared" si="681"/>
        <v/>
      </c>
      <c r="ED88" t="str">
        <f t="shared" si="682"/>
        <v/>
      </c>
      <c r="EE88" t="str">
        <f t="shared" si="683"/>
        <v/>
      </c>
      <c r="EF88" t="str">
        <f t="shared" si="684"/>
        <v/>
      </c>
      <c r="EG88" t="str">
        <f t="shared" si="685"/>
        <v/>
      </c>
      <c r="EH88" t="str">
        <f t="shared" si="686"/>
        <v/>
      </c>
      <c r="EI88" t="str">
        <f t="shared" si="687"/>
        <v/>
      </c>
      <c r="EJ88" t="str">
        <f t="shared" si="688"/>
        <v/>
      </c>
      <c r="EK88" t="str">
        <f t="shared" si="689"/>
        <v/>
      </c>
      <c r="EL88" t="str">
        <f t="shared" si="690"/>
        <v/>
      </c>
      <c r="EM88" t="str">
        <f t="shared" si="691"/>
        <v/>
      </c>
      <c r="EN88" t="str">
        <f t="shared" si="692"/>
        <v/>
      </c>
      <c r="EO88" t="str">
        <f t="shared" si="693"/>
        <v/>
      </c>
      <c r="EP88" t="str">
        <f t="shared" si="694"/>
        <v/>
      </c>
      <c r="EQ88" t="str">
        <f t="shared" si="695"/>
        <v/>
      </c>
      <c r="ER88" t="str">
        <f t="shared" si="696"/>
        <v/>
      </c>
      <c r="ES88" t="str">
        <f t="shared" si="697"/>
        <v/>
      </c>
      <c r="ET88" t="str">
        <f t="shared" si="698"/>
        <v/>
      </c>
      <c r="EU88" t="str">
        <f t="shared" si="699"/>
        <v/>
      </c>
      <c r="EV88" t="str">
        <f t="shared" si="700"/>
        <v/>
      </c>
      <c r="EW88" t="str">
        <f t="shared" si="701"/>
        <v/>
      </c>
      <c r="EX88" t="str">
        <f t="shared" si="702"/>
        <v/>
      </c>
      <c r="EY88" t="str">
        <f t="shared" si="703"/>
        <v/>
      </c>
    </row>
    <row r="89" spans="1:155" ht="13.9" customHeight="1" x14ac:dyDescent="0.25">
      <c r="A89" s="7"/>
      <c r="B89" s="17"/>
      <c r="C89" s="8"/>
      <c r="D89" s="17"/>
      <c r="E89" s="8"/>
      <c r="F89" s="18">
        <v>0</v>
      </c>
      <c r="G89" s="7" t="s">
        <v>147</v>
      </c>
      <c r="H89" s="18">
        <v>0</v>
      </c>
      <c r="I89" s="19">
        <v>0</v>
      </c>
      <c r="J89" s="7" t="s">
        <v>147</v>
      </c>
      <c r="K89" s="19">
        <v>0</v>
      </c>
      <c r="L89" s="9"/>
      <c r="M89" s="3" t="str">
        <f>IF($L89="","",IF($L89="DOELPUNTENMAKERS","",IF(AND(COUNTIF(#REF!,$B89)=0,COUNTIF(#REF!,$D89)=0),"OK",IF($O89&gt;20,"LET OP: meer dan 20 items (controle onvolledig)",IF((COUNTIF($R89:$AS89,"ONZEKER")+COUNTIF($CJ89:$DK89,"ONZEKER"))&gt;0,"LET OP: scoreverloop onduidelijk (controle beperkt)",IF((IF($AT89&lt;&gt;"",$AT89&amp;", ","")&amp;IF($AU89&lt;&gt;"",$AU89&amp;", ","")&amp;IF($AV89&lt;&gt;"",$AV89&amp;", ","")&amp;IF($AW89&lt;&gt;"",$AW89&amp;", ","")&amp;IF($AX89&lt;&gt;"",$AX89&amp;", ","")&amp;IF($AY89&lt;&gt;"",$AY89&amp;", ","")&amp;IF($AZ89&lt;&gt;"",$AZ89&amp;", ","")&amp;IF($BA89&lt;&gt;"",$BA89&amp;", ","")&amp;IF($BB89&lt;&gt;"",$BB89&amp;", ","")&amp;IF($BC89&lt;&gt;"",$BC89&amp;", ","")&amp;IF($DL89&lt;&gt;"",$DL89&amp;", ","")&amp;IF($DM89&lt;&gt;"",$DM89&amp;", ","")&amp;IF($DN89&lt;&gt;"",$DN89&amp;", ","")&amp;IF($DO89&lt;&gt;"",$DO89&amp;", ","")&amp;IF($DP89&lt;&gt;"",$DP89&amp;", ","")&amp;IF($DQ89&lt;&gt;"",$DQ89&amp;", ","")&amp;IF($DR89&lt;&gt;"",$DR89&amp;", ","")&amp;IF($DS89&lt;&gt;"",$DS89&amp;", ","")&amp;IF($DT89&lt;&gt;"",$DT89&amp;", ","")&amp;IF($DU89&lt;&gt;"",$DU89&amp;", ",""))="","OK","Onbekend: "&amp;LEFT((IF($AT89&lt;&gt;"",$AT89&amp;", ","")&amp;IF($AU89&lt;&gt;"",$AU89&amp;", ","")&amp;IF($AV89&lt;&gt;"",$AV89&amp;", ","")&amp;IF($AW89&lt;&gt;"",$AW89&amp;", ","")&amp;IF($AX89&lt;&gt;"",$AX89&amp;", ","")&amp;IF($AY89&lt;&gt;"",$AY89&amp;", ","")&amp;IF($AZ89&lt;&gt;"",$AZ89&amp;", ","")&amp;IF($BA89&lt;&gt;"",$BA89&amp;", ","")&amp;IF($BB89&lt;&gt;"",$BB89&amp;", ","")&amp;IF($BC89&lt;&gt;"",$BC89&amp;", ","")&amp;IF($DL89&lt;&gt;"",$DL89&amp;", ","")&amp;IF($DM89&lt;&gt;"",$DM89&amp;", ","")&amp;IF($DN89&lt;&gt;"",$DN89&amp;", ","")&amp;IF($DO89&lt;&gt;"",$DO89&amp;", ","")&amp;IF($DP89&lt;&gt;"",$DP89&amp;", ","")&amp;IF($DQ89&lt;&gt;"",$DQ89&amp;", ","")&amp;IF($DR89&lt;&gt;"",$DR89&amp;", ","")&amp;IF($DS89&lt;&gt;"",$DS89&amp;", ","")&amp;IF($DT89&lt;&gt;"",$DT89&amp;", ","")&amp;IF($DU89&lt;&gt;"",$DU89&amp;", ","")),LEN((IF($AT89&lt;&gt;"",$AT89&amp;", ","")&amp;IF($AU89&lt;&gt;"",$AU89&amp;", ","")&amp;IF($AV89&lt;&gt;"",$AV89&amp;", ","")&amp;IF($AW89&lt;&gt;"",$AW89&amp;", ","")&amp;IF($AX89&lt;&gt;"",$AX89&amp;", ","")&amp;IF($AY89&lt;&gt;"",$AY89&amp;", ","")&amp;IF($AZ89&lt;&gt;"",$AZ89&amp;", ","")&amp;IF($BA89&lt;&gt;"",$BA89&amp;", ","")&amp;IF($BB89&lt;&gt;"",$BB89&amp;", ","")&amp;IF($BC89&lt;&gt;"",$BC89&amp;", ","")&amp;IF($DL89&lt;&gt;"",$DL89&amp;", ","")&amp;IF($DM89&lt;&gt;"",$DM89&amp;", ","")&amp;IF($DN89&lt;&gt;"",$DN89&amp;", ","")&amp;IF($DO89&lt;&gt;"",$DO89&amp;", ","")&amp;IF($DP89&lt;&gt;"",$DP89&amp;", ","")&amp;IF($DQ89&lt;&gt;"",$DQ89&amp;", ","")&amp;IF($DR89&lt;&gt;"",$DR89&amp;", ","")&amp;IF($DS89&lt;&gt;"",$DS89&amp;", ","")&amp;IF($DT89&lt;&gt;"",$DT89&amp;", ","")&amp;IF($DU89&lt;&gt;"",$DU89&amp;", ","")))-2)))))))</f>
        <v/>
      </c>
      <c r="N89" t="str">
        <f t="shared" si="612"/>
        <v/>
      </c>
      <c r="O89" t="str">
        <f t="shared" si="613"/>
        <v/>
      </c>
      <c r="P89" t="str">
        <f t="shared" si="614"/>
        <v/>
      </c>
      <c r="Q89" t="str">
        <f t="shared" si="615"/>
        <v/>
      </c>
      <c r="R89" t="str">
        <f>IF($Q89="","",IF(OR($BE89="",$BF89=""),"ONZEKER",IF(AND($BE89=0+1,$BF89=0),IF(OR(COUNTIF(#REF!,$B89)&gt;0,COUNTIF(#REF!,$B89)=0),"SKIP",IF(COUNTIFS(#REF!,$B89,#REF!,$Q89)&gt;0,"OK","ONBEKEND")),IF(AND($BE89=0,$BF89=0+1),IF(OR(COUNTIF(#REF!,$D89)&gt;0,COUNTIF(#REF!,$D89)=0),"SKIP",IF(COUNTIFS(#REF!,$D89,#REF!,$Q89)&gt;0,"OK","ONBEKEND")),"ONZEKER"))))</f>
        <v/>
      </c>
      <c r="S89" t="str">
        <f t="shared" si="616"/>
        <v/>
      </c>
      <c r="T89" t="str">
        <f t="shared" si="617"/>
        <v/>
      </c>
      <c r="U89" t="str">
        <f>IF($T89="","",IF(OR($BH89="",$BI89=""),"ONZEKER",IF(OR($BE89="",$BF89=""),"ONZEKER",IF(AND($BH89=$BE89+1,$BI89=$BF89),IF(OR(COUNTIF(#REF!,$B89)&gt;0,COUNTIF(#REF!,$B89)=0),"SKIP",IF(COUNTIFS(#REF!,$B89,#REF!,$T89)&gt;0,"OK","ONBEKEND")),IF(AND($BH89=$BE89,$BI89=$BF89+1),IF(OR(COUNTIF(#REF!,$D89)&gt;0,COUNTIF(#REF!,$D89)=0),"SKIP",IF(COUNTIFS(#REF!,$D89,#REF!,$T89)&gt;0,"OK","ONBEKEND")),"ONZEKER")))))</f>
        <v/>
      </c>
      <c r="V89" t="str">
        <f t="shared" si="618"/>
        <v/>
      </c>
      <c r="W89" t="str">
        <f t="shared" si="619"/>
        <v/>
      </c>
      <c r="X89" t="str">
        <f>IF($W89="","",IF(OR($BK89="",$BL89=""),"ONZEKER",IF(OR($BH89="",$BI89=""),"ONZEKER",IF(AND($BK89=$BH89+1,$BL89=$BI89),IF(OR(COUNTIF(#REF!,$B89)&gt;0,COUNTIF(#REF!,$B89)=0),"SKIP",IF(COUNTIFS(#REF!,$B89,#REF!,$W89)&gt;0,"OK","ONBEKEND")),IF(AND($BK89=$BH89,$BL89=$BI89+1),IF(OR(COUNTIF(#REF!,$D89)&gt;0,COUNTIF(#REF!,$D89)=0),"SKIP",IF(COUNTIFS(#REF!,$D89,#REF!,$W89)&gt;0,"OK","ONBEKEND")),"ONZEKER")))))</f>
        <v/>
      </c>
      <c r="Y89" t="str">
        <f t="shared" si="620"/>
        <v/>
      </c>
      <c r="Z89" t="str">
        <f t="shared" si="621"/>
        <v/>
      </c>
      <c r="AA89" t="str">
        <f>IF($Z89="","",IF(OR($BN89="",$BO89=""),"ONZEKER",IF(OR($BK89="",$BL89=""),"ONZEKER",IF(AND($BN89=$BK89+1,$BO89=$BL89),IF(OR(COUNTIF(#REF!,$B89)&gt;0,COUNTIF(#REF!,$B89)=0),"SKIP",IF(COUNTIFS(#REF!,$B89,#REF!,$Z89)&gt;0,"OK","ONBEKEND")),IF(AND($BN89=$BK89,$BO89=$BL89+1),IF(OR(COUNTIF(#REF!,$D89)&gt;0,COUNTIF(#REF!,$D89)=0),"SKIP",IF(COUNTIFS(#REF!,$D89,#REF!,$Z89)&gt;0,"OK","ONBEKEND")),"ONZEKER")))))</f>
        <v/>
      </c>
      <c r="AB89" t="str">
        <f t="shared" si="622"/>
        <v/>
      </c>
      <c r="AC89" t="str">
        <f t="shared" si="623"/>
        <v/>
      </c>
      <c r="AD89" t="str">
        <f>IF($AC89="","",IF(OR($BQ89="",$BR89=""),"ONZEKER",IF(OR($BN89="",$BO89=""),"ONZEKER",IF(AND($BQ89=$BN89+1,$BR89=$BO89),IF(OR(COUNTIF(#REF!,$B89)&gt;0,COUNTIF(#REF!,$B89)=0),"SKIP",IF(COUNTIFS(#REF!,$B89,#REF!,$AC89)&gt;0,"OK","ONBEKEND")),IF(AND($BQ89=$BN89,$BR89=$BO89+1),IF(OR(COUNTIF(#REF!,$D89)&gt;0,COUNTIF(#REF!,$D89)=0),"SKIP",IF(COUNTIFS(#REF!,$D89,#REF!,$AC89)&gt;0,"OK","ONBEKEND")),"ONZEKER")))))</f>
        <v/>
      </c>
      <c r="AE89" t="str">
        <f t="shared" si="624"/>
        <v/>
      </c>
      <c r="AF89" t="str">
        <f t="shared" si="625"/>
        <v/>
      </c>
      <c r="AG89" t="str">
        <f>IF($AF89="","",IF(OR($BT89="",$BU89=""),"ONZEKER",IF(OR($BQ89="",$BR89=""),"ONZEKER",IF(AND($BT89=$BQ89+1,$BU89=$BR89),IF(OR(COUNTIF(#REF!,$B89)&gt;0,COUNTIF(#REF!,$B89)=0),"SKIP",IF(COUNTIFS(#REF!,$B89,#REF!,$AF89)&gt;0,"OK","ONBEKEND")),IF(AND($BT89=$BQ89,$BU89=$BR89+1),IF(OR(COUNTIF(#REF!,$D89)&gt;0,COUNTIF(#REF!,$D89)=0),"SKIP",IF(COUNTIFS(#REF!,$D89,#REF!,$AF89)&gt;0,"OK","ONBEKEND")),"ONZEKER")))))</f>
        <v/>
      </c>
      <c r="AH89" t="str">
        <f t="shared" si="626"/>
        <v/>
      </c>
      <c r="AI89" t="str">
        <f t="shared" si="627"/>
        <v/>
      </c>
      <c r="AJ89" t="str">
        <f>IF($AI89="","",IF(OR($BW89="",$BX89=""),"ONZEKER",IF(OR($BT89="",$BU89=""),"ONZEKER",IF(AND($BW89=$BT89+1,$BX89=$BU89),IF(OR(COUNTIF(#REF!,$B89)&gt;0,COUNTIF(#REF!,$B89)=0),"SKIP",IF(COUNTIFS(#REF!,$B89,#REF!,$AI89)&gt;0,"OK","ONBEKEND")),IF(AND($BW89=$BT89,$BX89=$BU89+1),IF(OR(COUNTIF(#REF!,$D89)&gt;0,COUNTIF(#REF!,$D89)=0),"SKIP",IF(COUNTIFS(#REF!,$D89,#REF!,$AI89)&gt;0,"OK","ONBEKEND")),"ONZEKER")))))</f>
        <v/>
      </c>
      <c r="AK89" t="str">
        <f t="shared" si="628"/>
        <v/>
      </c>
      <c r="AL89" t="str">
        <f t="shared" si="629"/>
        <v/>
      </c>
      <c r="AM89" t="str">
        <f>IF($AL89="","",IF(OR($BZ89="",$CA89=""),"ONZEKER",IF(OR($BW89="",$BX89=""),"ONZEKER",IF(AND($BZ89=$BW89+1,$CA89=$BX89),IF(OR(COUNTIF(#REF!,$B89)&gt;0,COUNTIF(#REF!,$B89)=0),"SKIP",IF(COUNTIFS(#REF!,$B89,#REF!,$AL89)&gt;0,"OK","ONBEKEND")),IF(AND($BZ89=$BW89,$CA89=$BX89+1),IF(OR(COUNTIF(#REF!,$D89)&gt;0,COUNTIF(#REF!,$D89)=0),"SKIP",IF(COUNTIFS(#REF!,$D89,#REF!,$AL89)&gt;0,"OK","ONBEKEND")),"ONZEKER")))))</f>
        <v/>
      </c>
      <c r="AN89" t="str">
        <f t="shared" si="630"/>
        <v/>
      </c>
      <c r="AO89" t="str">
        <f t="shared" si="631"/>
        <v/>
      </c>
      <c r="AP89" t="str">
        <f>IF($AO89="","",IF(OR($CC89="",$CD89=""),"ONZEKER",IF(OR($BZ89="",$CA89=""),"ONZEKER",IF(AND($CC89=$BZ89+1,$CD89=$CA89),IF(OR(COUNTIF(#REF!,$B89)&gt;0,COUNTIF(#REF!,$B89)=0),"SKIP",IF(COUNTIFS(#REF!,$B89,#REF!,$AO89)&gt;0,"OK","ONBEKEND")),IF(AND($CC89=$BZ89,$CD89=$CA89+1),IF(OR(COUNTIF(#REF!,$D89)&gt;0,COUNTIF(#REF!,$D89)=0),"SKIP",IF(COUNTIFS(#REF!,$D89,#REF!,$AO89)&gt;0,"OK","ONBEKEND")),"ONZEKER")))))</f>
        <v/>
      </c>
      <c r="AQ89" t="str">
        <f t="shared" si="632"/>
        <v/>
      </c>
      <c r="AR89" t="str">
        <f t="shared" si="633"/>
        <v/>
      </c>
      <c r="AS89" t="str">
        <f>IF($AR89="","",IF(OR($CF89="",$CG89=""),"ONZEKER",IF(OR($CC89="",$CD89=""),"ONZEKER",IF(AND($CF89=$CC89+1,$CG89=$CD89),IF(OR(COUNTIF(#REF!,$B89)&gt;0,COUNTIF(#REF!,$B89)=0),"SKIP",IF(COUNTIFS(#REF!,$B89,#REF!,$AR89)&gt;0,"OK","ONBEKEND")),IF(AND($CF89=$CC89,$CG89=$CD89+1),IF(OR(COUNTIF(#REF!,$D89)&gt;0,COUNTIF(#REF!,$D89)=0),"SKIP",IF(COUNTIFS(#REF!,$D89,#REF!,$AR89)&gt;0,"OK","ONBEKEND")),"ONZEKER")))))</f>
        <v/>
      </c>
      <c r="AT89" t="str">
        <f t="shared" si="634"/>
        <v/>
      </c>
      <c r="AU89" t="str">
        <f t="shared" si="635"/>
        <v/>
      </c>
      <c r="AV89" t="str">
        <f t="shared" si="636"/>
        <v/>
      </c>
      <c r="AW89" t="str">
        <f t="shared" si="637"/>
        <v/>
      </c>
      <c r="AX89" t="str">
        <f t="shared" si="638"/>
        <v/>
      </c>
      <c r="AY89" t="str">
        <f t="shared" si="639"/>
        <v/>
      </c>
      <c r="AZ89" t="str">
        <f t="shared" si="640"/>
        <v/>
      </c>
      <c r="BA89" t="str">
        <f t="shared" si="641"/>
        <v/>
      </c>
      <c r="BB89" t="str">
        <f t="shared" si="642"/>
        <v/>
      </c>
      <c r="BC89" t="str">
        <f t="shared" si="643"/>
        <v/>
      </c>
      <c r="BD89" t="str">
        <f t="shared" si="490"/>
        <v/>
      </c>
      <c r="BE89" t="str">
        <f t="shared" si="491"/>
        <v/>
      </c>
      <c r="BF89" t="str">
        <f t="shared" si="492"/>
        <v/>
      </c>
      <c r="BG89" t="str">
        <f t="shared" si="493"/>
        <v/>
      </c>
      <c r="BH89" t="str">
        <f t="shared" si="494"/>
        <v/>
      </c>
      <c r="BI89" t="str">
        <f t="shared" si="495"/>
        <v/>
      </c>
      <c r="BJ89" t="str">
        <f t="shared" si="496"/>
        <v/>
      </c>
      <c r="BK89" t="str">
        <f t="shared" si="497"/>
        <v/>
      </c>
      <c r="BL89" t="str">
        <f t="shared" si="498"/>
        <v/>
      </c>
      <c r="BM89" t="str">
        <f t="shared" si="499"/>
        <v/>
      </c>
      <c r="BN89" t="str">
        <f t="shared" si="500"/>
        <v/>
      </c>
      <c r="BO89" t="str">
        <f t="shared" si="501"/>
        <v/>
      </c>
      <c r="BP89" t="str">
        <f t="shared" si="502"/>
        <v/>
      </c>
      <c r="BQ89" t="str">
        <f t="shared" si="503"/>
        <v/>
      </c>
      <c r="BR89" t="str">
        <f t="shared" si="504"/>
        <v/>
      </c>
      <c r="BS89" t="str">
        <f t="shared" si="505"/>
        <v/>
      </c>
      <c r="BT89" t="str">
        <f t="shared" si="506"/>
        <v/>
      </c>
      <c r="BU89" t="str">
        <f t="shared" si="507"/>
        <v/>
      </c>
      <c r="BV89" t="str">
        <f t="shared" si="508"/>
        <v/>
      </c>
      <c r="BW89" t="str">
        <f t="shared" si="509"/>
        <v/>
      </c>
      <c r="BX89" t="str">
        <f t="shared" si="510"/>
        <v/>
      </c>
      <c r="BY89" t="str">
        <f t="shared" si="511"/>
        <v/>
      </c>
      <c r="BZ89" t="str">
        <f t="shared" si="512"/>
        <v/>
      </c>
      <c r="CA89" t="str">
        <f t="shared" si="513"/>
        <v/>
      </c>
      <c r="CB89" t="str">
        <f t="shared" si="514"/>
        <v/>
      </c>
      <c r="CC89" t="str">
        <f t="shared" si="515"/>
        <v/>
      </c>
      <c r="CD89" t="str">
        <f t="shared" si="516"/>
        <v/>
      </c>
      <c r="CE89" t="str">
        <f t="shared" si="517"/>
        <v/>
      </c>
      <c r="CF89" t="str">
        <f t="shared" si="518"/>
        <v/>
      </c>
      <c r="CG89" t="str">
        <f t="shared" si="519"/>
        <v/>
      </c>
      <c r="CH89" t="str">
        <f t="shared" si="644"/>
        <v/>
      </c>
      <c r="CI89" t="str">
        <f t="shared" si="645"/>
        <v/>
      </c>
      <c r="CJ89" t="str">
        <f>IF($CI89="","",IF(OR($DW89="",$DX89=""),"ONZEKER",IF(OR($CF89="",$CG89=""),"ONZEKER",IF(AND($DW89=$CF89+1,$DX89=$CG89),IF(OR(COUNTIF(#REF!,$B89)&gt;0,COUNTIF(#REF!,$B89)=0),"SKIP",IF(COUNTIFS(#REF!,$B89,#REF!,$CI89)&gt;0,"OK","ONBEKEND")),IF(AND($DW89=$CF89,$DX89=$CG89+1),IF(OR(COUNTIF(#REF!,$D89)&gt;0,COUNTIF(#REF!,$D89)=0),"SKIP",IF(COUNTIFS(#REF!,$D89,#REF!,$CI89)&gt;0,"OK","ONBEKEND")),"ONZEKER")))))</f>
        <v/>
      </c>
      <c r="CK89" t="str">
        <f t="shared" si="646"/>
        <v/>
      </c>
      <c r="CL89" t="str">
        <f t="shared" si="647"/>
        <v/>
      </c>
      <c r="CM89" t="str">
        <f>IF($CL89="","",IF(OR($DZ89="",$EA89=""),"ONZEKER",IF(OR($DW89="",$DX89=""),"ONZEKER",IF(AND($DZ89=$DW89+1,$EA89=$DX89),IF(OR(COUNTIF(#REF!,$B89)&gt;0,COUNTIF(#REF!,$B89)=0),"SKIP",IF(COUNTIFS(#REF!,$B89,#REF!,$CL89)&gt;0,"OK","ONBEKEND")),IF(AND($DZ89=$DW89,$EA89=$DX89+1),IF(OR(COUNTIF(#REF!,$D89)&gt;0,COUNTIF(#REF!,$D89)=0),"SKIP",IF(COUNTIFS(#REF!,$D89,#REF!,$CL89)&gt;0,"OK","ONBEKEND")),"ONZEKER")))))</f>
        <v/>
      </c>
      <c r="CN89" t="str">
        <f t="shared" si="648"/>
        <v/>
      </c>
      <c r="CO89" t="str">
        <f t="shared" si="649"/>
        <v/>
      </c>
      <c r="CP89" t="str">
        <f>IF($CO89="","",IF(OR($EC89="",$ED89=""),"ONZEKER",IF(OR($DZ89="",$EA89=""),"ONZEKER",IF(AND($EC89=$DZ89+1,$ED89=$EA89),IF(OR(COUNTIF(#REF!,$B89)&gt;0,COUNTIF(#REF!,$B89)=0),"SKIP",IF(COUNTIFS(#REF!,$B89,#REF!,$CO89)&gt;0,"OK","ONBEKEND")),IF(AND($EC89=$DZ89,$ED89=$EA89+1),IF(OR(COUNTIF(#REF!,$D89)&gt;0,COUNTIF(#REF!,$D89)=0),"SKIP",IF(COUNTIFS(#REF!,$D89,#REF!,$CO89)&gt;0,"OK","ONBEKEND")),"ONZEKER")))))</f>
        <v/>
      </c>
      <c r="CQ89" t="str">
        <f t="shared" si="650"/>
        <v/>
      </c>
      <c r="CR89" t="str">
        <f t="shared" si="651"/>
        <v/>
      </c>
      <c r="CS89" t="str">
        <f>IF($CR89="","",IF(OR($EF89="",$EG89=""),"ONZEKER",IF(OR($EC89="",$ED89=""),"ONZEKER",IF(AND($EF89=$EC89+1,$EG89=$ED89),IF(OR(COUNTIF(#REF!,$B89)&gt;0,COUNTIF(#REF!,$B89)=0),"SKIP",IF(COUNTIFS(#REF!,$B89,#REF!,$CR89)&gt;0,"OK","ONBEKEND")),IF(AND($EF89=$EC89,$EG89=$ED89+1),IF(OR(COUNTIF(#REF!,$D89)&gt;0,COUNTIF(#REF!,$D89)=0),"SKIP",IF(COUNTIFS(#REF!,$D89,#REF!,$CR89)&gt;0,"OK","ONBEKEND")),"ONZEKER")))))</f>
        <v/>
      </c>
      <c r="CT89" t="str">
        <f t="shared" si="652"/>
        <v/>
      </c>
      <c r="CU89" t="str">
        <f t="shared" si="653"/>
        <v/>
      </c>
      <c r="CV89" t="str">
        <f>IF($CU89="","",IF(OR($EI89="",$EJ89=""),"ONZEKER",IF(OR($EF89="",$EG89=""),"ONZEKER",IF(AND($EI89=$EF89+1,$EJ89=$EG89),IF(OR(COUNTIF(#REF!,$B89)&gt;0,COUNTIF(#REF!,$B89)=0),"SKIP",IF(COUNTIFS(#REF!,$B89,#REF!,$CU89)&gt;0,"OK","ONBEKEND")),IF(AND($EI89=$EF89,$EJ89=$EG89+1),IF(OR(COUNTIF(#REF!,$D89)&gt;0,COUNTIF(#REF!,$D89)=0),"SKIP",IF(COUNTIFS(#REF!,$D89,#REF!,$CU89)&gt;0,"OK","ONBEKEND")),"ONZEKER")))))</f>
        <v/>
      </c>
      <c r="CW89" t="str">
        <f t="shared" si="654"/>
        <v/>
      </c>
      <c r="CX89" t="str">
        <f t="shared" si="655"/>
        <v/>
      </c>
      <c r="CY89" t="str">
        <f>IF($CX89="","",IF(OR($EL89="",$EM89=""),"ONZEKER",IF(OR($EI89="",$EJ89=""),"ONZEKER",IF(AND($EL89=$EI89+1,$EM89=$EJ89),IF(OR(COUNTIF(#REF!,$B89)&gt;0,COUNTIF(#REF!,$B89)=0),"SKIP",IF(COUNTIFS(#REF!,$B89,#REF!,$CX89)&gt;0,"OK","ONBEKEND")),IF(AND($EL89=$EI89,$EM89=$EJ89+1),IF(OR(COUNTIF(#REF!,$D89)&gt;0,COUNTIF(#REF!,$D89)=0),"SKIP",IF(COUNTIFS(#REF!,$D89,#REF!,$CX89)&gt;0,"OK","ONBEKEND")),"ONZEKER")))))</f>
        <v/>
      </c>
      <c r="CZ89" t="str">
        <f t="shared" si="656"/>
        <v/>
      </c>
      <c r="DA89" t="str">
        <f t="shared" si="657"/>
        <v/>
      </c>
      <c r="DB89" t="str">
        <f>IF($DA89="","",IF(OR($EO89="",$EP89=""),"ONZEKER",IF(OR($EL89="",$EM89=""),"ONZEKER",IF(AND($EO89=$EL89+1,$EP89=$EM89),IF(OR(COUNTIF(#REF!,$B89)&gt;0,COUNTIF(#REF!,$B89)=0),"SKIP",IF(COUNTIFS(#REF!,$B89,#REF!,$DA89)&gt;0,"OK","ONBEKEND")),IF(AND($EO89=$EL89,$EP89=$EM89+1),IF(OR(COUNTIF(#REF!,$D89)&gt;0,COUNTIF(#REF!,$D89)=0),"SKIP",IF(COUNTIFS(#REF!,$D89,#REF!,$DA89)&gt;0,"OK","ONBEKEND")),"ONZEKER")))))</f>
        <v/>
      </c>
      <c r="DC89" t="str">
        <f t="shared" si="658"/>
        <v/>
      </c>
      <c r="DD89" t="str">
        <f t="shared" si="659"/>
        <v/>
      </c>
      <c r="DE89" t="str">
        <f>IF($DD89="","",IF(OR($ER89="",$ES89=""),"ONZEKER",IF(OR($EO89="",$EP89=""),"ONZEKER",IF(AND($ER89=$EO89+1,$ES89=$EP89),IF(OR(COUNTIF(#REF!,$B89)&gt;0,COUNTIF(#REF!,$B89)=0),"SKIP",IF(COUNTIFS(#REF!,$B89,#REF!,$DD89)&gt;0,"OK","ONBEKEND")),IF(AND($ER89=$EO89,$ES89=$EP89+1),IF(OR(COUNTIF(#REF!,$D89)&gt;0,COUNTIF(#REF!,$D89)=0),"SKIP",IF(COUNTIFS(#REF!,$D89,#REF!,$DD89)&gt;0,"OK","ONBEKEND")),"ONZEKER")))))</f>
        <v/>
      </c>
      <c r="DF89" t="str">
        <f t="shared" si="660"/>
        <v/>
      </c>
      <c r="DG89" t="str">
        <f t="shared" si="661"/>
        <v/>
      </c>
      <c r="DH89" t="str">
        <f>IF($DG89="","",IF(OR($EU89="",$EV89=""),"ONZEKER",IF(OR($ER89="",$ES89=""),"ONZEKER",IF(AND($EU89=$ER89+1,$EV89=$ES89),IF(OR(COUNTIF(#REF!,$B89)&gt;0,COUNTIF(#REF!,$B89)=0),"SKIP",IF(COUNTIFS(#REF!,$B89,#REF!,$DG89)&gt;0,"OK","ONBEKEND")),IF(AND($EU89=$ER89,$EV89=$ES89+1),IF(OR(COUNTIF(#REF!,$D89)&gt;0,COUNTIF(#REF!,$D89)=0),"SKIP",IF(COUNTIFS(#REF!,$D89,#REF!,$DG89)&gt;0,"OK","ONBEKEND")),"ONZEKER")))))</f>
        <v/>
      </c>
      <c r="DI89" t="str">
        <f t="shared" si="662"/>
        <v/>
      </c>
      <c r="DJ89" t="str">
        <f t="shared" si="663"/>
        <v/>
      </c>
      <c r="DK89" t="str">
        <f>IF($DJ89="","",IF(OR($EX89="",$EY89=""),"ONZEKER",IF(OR($EU89="",$EV89=""),"ONZEKER",IF(AND($EX89=$EU89+1,$EY89=$EV89),IF(OR(COUNTIF(#REF!,$B89)&gt;0,COUNTIF(#REF!,$B89)=0),"SKIP",IF(COUNTIFS(#REF!,$B89,#REF!,$DJ89)&gt;0,"OK","ONBEKEND")),IF(AND($EX89=$EU89,$EY89=$EV89+1),IF(OR(COUNTIF(#REF!,$D89)&gt;0,COUNTIF(#REF!,$D89)=0),"SKIP",IF(COUNTIFS(#REF!,$D89,#REF!,$DJ89)&gt;0,"OK","ONBEKEND")),"ONZEKER")))))</f>
        <v/>
      </c>
      <c r="DL89" t="str">
        <f t="shared" si="664"/>
        <v/>
      </c>
      <c r="DM89" t="str">
        <f t="shared" si="665"/>
        <v/>
      </c>
      <c r="DN89" t="str">
        <f t="shared" si="666"/>
        <v/>
      </c>
      <c r="DO89" t="str">
        <f t="shared" si="667"/>
        <v/>
      </c>
      <c r="DP89" t="str">
        <f t="shared" si="668"/>
        <v/>
      </c>
      <c r="DQ89" t="str">
        <f t="shared" si="669"/>
        <v/>
      </c>
      <c r="DR89" t="str">
        <f t="shared" si="670"/>
        <v/>
      </c>
      <c r="DS89" t="str">
        <f t="shared" si="671"/>
        <v/>
      </c>
      <c r="DT89" t="str">
        <f t="shared" si="672"/>
        <v/>
      </c>
      <c r="DU89" t="str">
        <f t="shared" si="673"/>
        <v/>
      </c>
      <c r="DV89" t="str">
        <f t="shared" si="674"/>
        <v/>
      </c>
      <c r="DW89" t="str">
        <f t="shared" si="675"/>
        <v/>
      </c>
      <c r="DX89" t="str">
        <f t="shared" si="676"/>
        <v/>
      </c>
      <c r="DY89" t="str">
        <f t="shared" si="677"/>
        <v/>
      </c>
      <c r="DZ89" t="str">
        <f t="shared" si="678"/>
        <v/>
      </c>
      <c r="EA89" t="str">
        <f t="shared" si="679"/>
        <v/>
      </c>
      <c r="EB89" t="str">
        <f t="shared" si="680"/>
        <v/>
      </c>
      <c r="EC89" t="str">
        <f t="shared" si="681"/>
        <v/>
      </c>
      <c r="ED89" t="str">
        <f t="shared" si="682"/>
        <v/>
      </c>
      <c r="EE89" t="str">
        <f t="shared" si="683"/>
        <v/>
      </c>
      <c r="EF89" t="str">
        <f t="shared" si="684"/>
        <v/>
      </c>
      <c r="EG89" t="str">
        <f t="shared" si="685"/>
        <v/>
      </c>
      <c r="EH89" t="str">
        <f t="shared" si="686"/>
        <v/>
      </c>
      <c r="EI89" t="str">
        <f t="shared" si="687"/>
        <v/>
      </c>
      <c r="EJ89" t="str">
        <f t="shared" si="688"/>
        <v/>
      </c>
      <c r="EK89" t="str">
        <f t="shared" si="689"/>
        <v/>
      </c>
      <c r="EL89" t="str">
        <f t="shared" si="690"/>
        <v/>
      </c>
      <c r="EM89" t="str">
        <f t="shared" si="691"/>
        <v/>
      </c>
      <c r="EN89" t="str">
        <f t="shared" si="692"/>
        <v/>
      </c>
      <c r="EO89" t="str">
        <f t="shared" si="693"/>
        <v/>
      </c>
      <c r="EP89" t="str">
        <f t="shared" si="694"/>
        <v/>
      </c>
      <c r="EQ89" t="str">
        <f t="shared" si="695"/>
        <v/>
      </c>
      <c r="ER89" t="str">
        <f t="shared" si="696"/>
        <v/>
      </c>
      <c r="ES89" t="str">
        <f t="shared" si="697"/>
        <v/>
      </c>
      <c r="ET89" t="str">
        <f t="shared" si="698"/>
        <v/>
      </c>
      <c r="EU89" t="str">
        <f t="shared" si="699"/>
        <v/>
      </c>
      <c r="EV89" t="str">
        <f t="shared" si="700"/>
        <v/>
      </c>
      <c r="EW89" t="str">
        <f t="shared" si="701"/>
        <v/>
      </c>
      <c r="EX89" t="str">
        <f t="shared" si="702"/>
        <v/>
      </c>
      <c r="EY89" t="str">
        <f t="shared" si="703"/>
        <v/>
      </c>
    </row>
    <row r="90" spans="1:155" ht="13.9" customHeight="1" x14ac:dyDescent="0.25">
      <c r="M90" s="3" t="str">
        <f>IF($L90="","",IF($L90="DOELPUNTENMAKERS","",IF(AND(COUNTIF(#REF!,$B90)=0,COUNTIF(#REF!,$D90)=0),"OK",IF($O90&gt;20,"LET OP: meer dan 20 items (controle onvolledig)",IF((COUNTIF($R90:$AS90,"ONZEKER")+COUNTIF($CJ90:$DK90,"ONZEKER"))&gt;0,"LET OP: scoreverloop onduidelijk (controle beperkt)",IF((IF($AT90&lt;&gt;"",$AT90&amp;", ","")&amp;IF($AU90&lt;&gt;"",$AU90&amp;", ","")&amp;IF($AV90&lt;&gt;"",$AV90&amp;", ","")&amp;IF($AW90&lt;&gt;"",$AW90&amp;", ","")&amp;IF($AX90&lt;&gt;"",$AX90&amp;", ","")&amp;IF($AY90&lt;&gt;"",$AY90&amp;", ","")&amp;IF($AZ90&lt;&gt;"",$AZ90&amp;", ","")&amp;IF($BA90&lt;&gt;"",$BA90&amp;", ","")&amp;IF($BB90&lt;&gt;"",$BB90&amp;", ","")&amp;IF($BC90&lt;&gt;"",$BC90&amp;", ","")&amp;IF($DL90&lt;&gt;"",$DL90&amp;", ","")&amp;IF($DM90&lt;&gt;"",$DM90&amp;", ","")&amp;IF($DN90&lt;&gt;"",$DN90&amp;", ","")&amp;IF($DO90&lt;&gt;"",$DO90&amp;", ","")&amp;IF($DP90&lt;&gt;"",$DP90&amp;", ","")&amp;IF($DQ90&lt;&gt;"",$DQ90&amp;", ","")&amp;IF($DR90&lt;&gt;"",$DR90&amp;", ","")&amp;IF($DS90&lt;&gt;"",$DS90&amp;", ","")&amp;IF($DT90&lt;&gt;"",$DT90&amp;", ","")&amp;IF($DU90&lt;&gt;"",$DU90&amp;", ",""))="","OK","Onbekend: "&amp;LEFT((IF($AT90&lt;&gt;"",$AT90&amp;", ","")&amp;IF($AU90&lt;&gt;"",$AU90&amp;", ","")&amp;IF($AV90&lt;&gt;"",$AV90&amp;", ","")&amp;IF($AW90&lt;&gt;"",$AW90&amp;", ","")&amp;IF($AX90&lt;&gt;"",$AX90&amp;", ","")&amp;IF($AY90&lt;&gt;"",$AY90&amp;", ","")&amp;IF($AZ90&lt;&gt;"",$AZ90&amp;", ","")&amp;IF($BA90&lt;&gt;"",$BA90&amp;", ","")&amp;IF($BB90&lt;&gt;"",$BB90&amp;", ","")&amp;IF($BC90&lt;&gt;"",$BC90&amp;", ","")&amp;IF($DL90&lt;&gt;"",$DL90&amp;", ","")&amp;IF($DM90&lt;&gt;"",$DM90&amp;", ","")&amp;IF($DN90&lt;&gt;"",$DN90&amp;", ","")&amp;IF($DO90&lt;&gt;"",$DO90&amp;", ","")&amp;IF($DP90&lt;&gt;"",$DP90&amp;", ","")&amp;IF($DQ90&lt;&gt;"",$DQ90&amp;", ","")&amp;IF($DR90&lt;&gt;"",$DR90&amp;", ","")&amp;IF($DS90&lt;&gt;"",$DS90&amp;", ","")&amp;IF($DT90&lt;&gt;"",$DT90&amp;", ","")&amp;IF($DU90&lt;&gt;"",$DU90&amp;", ","")),LEN((IF($AT90&lt;&gt;"",$AT90&amp;", ","")&amp;IF($AU90&lt;&gt;"",$AU90&amp;", ","")&amp;IF($AV90&lt;&gt;"",$AV90&amp;", ","")&amp;IF($AW90&lt;&gt;"",$AW90&amp;", ","")&amp;IF($AX90&lt;&gt;"",$AX90&amp;", ","")&amp;IF($AY90&lt;&gt;"",$AY90&amp;", ","")&amp;IF($AZ90&lt;&gt;"",$AZ90&amp;", ","")&amp;IF($BA90&lt;&gt;"",$BA90&amp;", ","")&amp;IF($BB90&lt;&gt;"",$BB90&amp;", ","")&amp;IF($BC90&lt;&gt;"",$BC90&amp;", ","")&amp;IF($DL90&lt;&gt;"",$DL90&amp;", ","")&amp;IF($DM90&lt;&gt;"",$DM90&amp;", ","")&amp;IF($DN90&lt;&gt;"",$DN90&amp;", ","")&amp;IF($DO90&lt;&gt;"",$DO90&amp;", ","")&amp;IF($DP90&lt;&gt;"",$DP90&amp;", ","")&amp;IF($DQ90&lt;&gt;"",$DQ90&amp;", ","")&amp;IF($DR90&lt;&gt;"",$DR90&amp;", ","")&amp;IF($DS90&lt;&gt;"",$DS90&amp;", ","")&amp;IF($DT90&lt;&gt;"",$DT90&amp;", ","")&amp;IF($DU90&lt;&gt;"",$DU90&amp;", ","")))-2)))))))</f>
        <v/>
      </c>
      <c r="N90" t="str">
        <f t="shared" si="612"/>
        <v/>
      </c>
      <c r="O90" t="str">
        <f t="shared" si="613"/>
        <v/>
      </c>
      <c r="P90" t="str">
        <f t="shared" si="614"/>
        <v/>
      </c>
      <c r="Q90" t="str">
        <f t="shared" si="615"/>
        <v/>
      </c>
      <c r="R90" t="str">
        <f>IF($Q90="","",IF(OR($BE90="",$BF90=""),"ONZEKER",IF(AND($BE90=0+1,$BF90=0),IF(OR(COUNTIF(#REF!,$B90)&gt;0,COUNTIF(#REF!,$B90)=0),"SKIP",IF(COUNTIFS(#REF!,$B90,#REF!,$Q90)&gt;0,"OK","ONBEKEND")),IF(AND($BE90=0,$BF90=0+1),IF(OR(COUNTIF(#REF!,$D90)&gt;0,COUNTIF(#REF!,$D90)=0),"SKIP",IF(COUNTIFS(#REF!,$D90,#REF!,$Q90)&gt;0,"OK","ONBEKEND")),"ONZEKER"))))</f>
        <v/>
      </c>
      <c r="S90" t="str">
        <f t="shared" si="616"/>
        <v/>
      </c>
      <c r="T90" t="str">
        <f t="shared" si="617"/>
        <v/>
      </c>
      <c r="U90" t="str">
        <f>IF($T90="","",IF(OR($BH90="",$BI90=""),"ONZEKER",IF(OR($BE90="",$BF90=""),"ONZEKER",IF(AND($BH90=$BE90+1,$BI90=$BF90),IF(OR(COUNTIF(#REF!,$B90)&gt;0,COUNTIF(#REF!,$B90)=0),"SKIP",IF(COUNTIFS(#REF!,$B90,#REF!,$T90)&gt;0,"OK","ONBEKEND")),IF(AND($BH90=$BE90,$BI90=$BF90+1),IF(OR(COUNTIF(#REF!,$D90)&gt;0,COUNTIF(#REF!,$D90)=0),"SKIP",IF(COUNTIFS(#REF!,$D90,#REF!,$T90)&gt;0,"OK","ONBEKEND")),"ONZEKER")))))</f>
        <v/>
      </c>
      <c r="V90" t="str">
        <f t="shared" si="618"/>
        <v/>
      </c>
      <c r="W90" t="str">
        <f t="shared" si="619"/>
        <v/>
      </c>
      <c r="X90" t="str">
        <f>IF($W90="","",IF(OR($BK90="",$BL90=""),"ONZEKER",IF(OR($BH90="",$BI90=""),"ONZEKER",IF(AND($BK90=$BH90+1,$BL90=$BI90),IF(OR(COUNTIF(#REF!,$B90)&gt;0,COUNTIF(#REF!,$B90)=0),"SKIP",IF(COUNTIFS(#REF!,$B90,#REF!,$W90)&gt;0,"OK","ONBEKEND")),IF(AND($BK90=$BH90,$BL90=$BI90+1),IF(OR(COUNTIF(#REF!,$D90)&gt;0,COUNTIF(#REF!,$D90)=0),"SKIP",IF(COUNTIFS(#REF!,$D90,#REF!,$W90)&gt;0,"OK","ONBEKEND")),"ONZEKER")))))</f>
        <v/>
      </c>
      <c r="Y90" t="str">
        <f t="shared" si="620"/>
        <v/>
      </c>
      <c r="Z90" t="str">
        <f t="shared" si="621"/>
        <v/>
      </c>
      <c r="AA90" t="str">
        <f>IF($Z90="","",IF(OR($BN90="",$BO90=""),"ONZEKER",IF(OR($BK90="",$BL90=""),"ONZEKER",IF(AND($BN90=$BK90+1,$BO90=$BL90),IF(OR(COUNTIF(#REF!,$B90)&gt;0,COUNTIF(#REF!,$B90)=0),"SKIP",IF(COUNTIFS(#REF!,$B90,#REF!,$Z90)&gt;0,"OK","ONBEKEND")),IF(AND($BN90=$BK90,$BO90=$BL90+1),IF(OR(COUNTIF(#REF!,$D90)&gt;0,COUNTIF(#REF!,$D90)=0),"SKIP",IF(COUNTIFS(#REF!,$D90,#REF!,$Z90)&gt;0,"OK","ONBEKEND")),"ONZEKER")))))</f>
        <v/>
      </c>
      <c r="AB90" t="str">
        <f t="shared" si="622"/>
        <v/>
      </c>
      <c r="AC90" t="str">
        <f t="shared" si="623"/>
        <v/>
      </c>
      <c r="AD90" t="str">
        <f>IF($AC90="","",IF(OR($BQ90="",$BR90=""),"ONZEKER",IF(OR($BN90="",$BO90=""),"ONZEKER",IF(AND($BQ90=$BN90+1,$BR90=$BO90),IF(OR(COUNTIF(#REF!,$B90)&gt;0,COUNTIF(#REF!,$B90)=0),"SKIP",IF(COUNTIFS(#REF!,$B90,#REF!,$AC90)&gt;0,"OK","ONBEKEND")),IF(AND($BQ90=$BN90,$BR90=$BO90+1),IF(OR(COUNTIF(#REF!,$D90)&gt;0,COUNTIF(#REF!,$D90)=0),"SKIP",IF(COUNTIFS(#REF!,$D90,#REF!,$AC90)&gt;0,"OK","ONBEKEND")),"ONZEKER")))))</f>
        <v/>
      </c>
      <c r="AE90" t="str">
        <f t="shared" si="624"/>
        <v/>
      </c>
      <c r="AF90" t="str">
        <f t="shared" si="625"/>
        <v/>
      </c>
      <c r="AG90" t="str">
        <f>IF($AF90="","",IF(OR($BT90="",$BU90=""),"ONZEKER",IF(OR($BQ90="",$BR90=""),"ONZEKER",IF(AND($BT90=$BQ90+1,$BU90=$BR90),IF(OR(COUNTIF(#REF!,$B90)&gt;0,COUNTIF(#REF!,$B90)=0),"SKIP",IF(COUNTIFS(#REF!,$B90,#REF!,$AF90)&gt;0,"OK","ONBEKEND")),IF(AND($BT90=$BQ90,$BU90=$BR90+1),IF(OR(COUNTIF(#REF!,$D90)&gt;0,COUNTIF(#REF!,$D90)=0),"SKIP",IF(COUNTIFS(#REF!,$D90,#REF!,$AF90)&gt;0,"OK","ONBEKEND")),"ONZEKER")))))</f>
        <v/>
      </c>
      <c r="AH90" t="str">
        <f t="shared" si="626"/>
        <v/>
      </c>
      <c r="AI90" t="str">
        <f t="shared" si="627"/>
        <v/>
      </c>
      <c r="AJ90" t="str">
        <f>IF($AI90="","",IF(OR($BW90="",$BX90=""),"ONZEKER",IF(OR($BT90="",$BU90=""),"ONZEKER",IF(AND($BW90=$BT90+1,$BX90=$BU90),IF(OR(COUNTIF(#REF!,$B90)&gt;0,COUNTIF(#REF!,$B90)=0),"SKIP",IF(COUNTIFS(#REF!,$B90,#REF!,$AI90)&gt;0,"OK","ONBEKEND")),IF(AND($BW90=$BT90,$BX90=$BU90+1),IF(OR(COUNTIF(#REF!,$D90)&gt;0,COUNTIF(#REF!,$D90)=0),"SKIP",IF(COUNTIFS(#REF!,$D90,#REF!,$AI90)&gt;0,"OK","ONBEKEND")),"ONZEKER")))))</f>
        <v/>
      </c>
      <c r="AK90" t="str">
        <f t="shared" si="628"/>
        <v/>
      </c>
      <c r="AL90" t="str">
        <f t="shared" si="629"/>
        <v/>
      </c>
      <c r="AM90" t="str">
        <f>IF($AL90="","",IF(OR($BZ90="",$CA90=""),"ONZEKER",IF(OR($BW90="",$BX90=""),"ONZEKER",IF(AND($BZ90=$BW90+1,$CA90=$BX90),IF(OR(COUNTIF(#REF!,$B90)&gt;0,COUNTIF(#REF!,$B90)=0),"SKIP",IF(COUNTIFS(#REF!,$B90,#REF!,$AL90)&gt;0,"OK","ONBEKEND")),IF(AND($BZ90=$BW90,$CA90=$BX90+1),IF(OR(COUNTIF(#REF!,$D90)&gt;0,COUNTIF(#REF!,$D90)=0),"SKIP",IF(COUNTIFS(#REF!,$D90,#REF!,$AL90)&gt;0,"OK","ONBEKEND")),"ONZEKER")))))</f>
        <v/>
      </c>
      <c r="AN90" t="str">
        <f t="shared" si="630"/>
        <v/>
      </c>
      <c r="AO90" t="str">
        <f t="shared" si="631"/>
        <v/>
      </c>
      <c r="AP90" t="str">
        <f>IF($AO90="","",IF(OR($CC90="",$CD90=""),"ONZEKER",IF(OR($BZ90="",$CA90=""),"ONZEKER",IF(AND($CC90=$BZ90+1,$CD90=$CA90),IF(OR(COUNTIF(#REF!,$B90)&gt;0,COUNTIF(#REF!,$B90)=0),"SKIP",IF(COUNTIFS(#REF!,$B90,#REF!,$AO90)&gt;0,"OK","ONBEKEND")),IF(AND($CC90=$BZ90,$CD90=$CA90+1),IF(OR(COUNTIF(#REF!,$D90)&gt;0,COUNTIF(#REF!,$D90)=0),"SKIP",IF(COUNTIFS(#REF!,$D90,#REF!,$AO90)&gt;0,"OK","ONBEKEND")),"ONZEKER")))))</f>
        <v/>
      </c>
      <c r="AQ90" t="str">
        <f t="shared" si="632"/>
        <v/>
      </c>
      <c r="AR90" t="str">
        <f t="shared" si="633"/>
        <v/>
      </c>
      <c r="AS90" t="str">
        <f>IF($AR90="","",IF(OR($CF90="",$CG90=""),"ONZEKER",IF(OR($CC90="",$CD90=""),"ONZEKER",IF(AND($CF90=$CC90+1,$CG90=$CD90),IF(OR(COUNTIF(#REF!,$B90)&gt;0,COUNTIF(#REF!,$B90)=0),"SKIP",IF(COUNTIFS(#REF!,$B90,#REF!,$AR90)&gt;0,"OK","ONBEKEND")),IF(AND($CF90=$CC90,$CG90=$CD90+1),IF(OR(COUNTIF(#REF!,$D90)&gt;0,COUNTIF(#REF!,$D90)=0),"SKIP",IF(COUNTIFS(#REF!,$D90,#REF!,$AR90)&gt;0,"OK","ONBEKEND")),"ONZEKER")))))</f>
        <v/>
      </c>
      <c r="AT90" t="str">
        <f t="shared" si="634"/>
        <v/>
      </c>
      <c r="AU90" t="str">
        <f t="shared" si="635"/>
        <v/>
      </c>
      <c r="AV90" t="str">
        <f t="shared" si="636"/>
        <v/>
      </c>
      <c r="AW90" t="str">
        <f t="shared" si="637"/>
        <v/>
      </c>
      <c r="AX90" t="str">
        <f t="shared" si="638"/>
        <v/>
      </c>
      <c r="AY90" t="str">
        <f t="shared" si="639"/>
        <v/>
      </c>
      <c r="AZ90" t="str">
        <f t="shared" si="640"/>
        <v/>
      </c>
      <c r="BA90" t="str">
        <f t="shared" si="641"/>
        <v/>
      </c>
      <c r="BB90" t="str">
        <f t="shared" si="642"/>
        <v/>
      </c>
      <c r="BC90" t="str">
        <f t="shared" si="643"/>
        <v/>
      </c>
      <c r="BD90" t="str">
        <f t="shared" si="490"/>
        <v/>
      </c>
      <c r="BE90" t="str">
        <f t="shared" si="491"/>
        <v/>
      </c>
      <c r="BF90" t="str">
        <f t="shared" si="492"/>
        <v/>
      </c>
      <c r="BG90" t="str">
        <f t="shared" si="493"/>
        <v/>
      </c>
      <c r="BH90" t="str">
        <f t="shared" si="494"/>
        <v/>
      </c>
      <c r="BI90" t="str">
        <f t="shared" si="495"/>
        <v/>
      </c>
      <c r="BJ90" t="str">
        <f t="shared" si="496"/>
        <v/>
      </c>
      <c r="BK90" t="str">
        <f t="shared" si="497"/>
        <v/>
      </c>
      <c r="BL90" t="str">
        <f t="shared" si="498"/>
        <v/>
      </c>
      <c r="BM90" t="str">
        <f t="shared" si="499"/>
        <v/>
      </c>
      <c r="BN90" t="str">
        <f t="shared" si="500"/>
        <v/>
      </c>
      <c r="BO90" t="str">
        <f t="shared" si="501"/>
        <v/>
      </c>
      <c r="BP90" t="str">
        <f t="shared" si="502"/>
        <v/>
      </c>
      <c r="BQ90" t="str">
        <f t="shared" si="503"/>
        <v/>
      </c>
      <c r="BR90" t="str">
        <f t="shared" si="504"/>
        <v/>
      </c>
      <c r="BS90" t="str">
        <f t="shared" si="505"/>
        <v/>
      </c>
      <c r="BT90" t="str">
        <f t="shared" si="506"/>
        <v/>
      </c>
      <c r="BU90" t="str">
        <f t="shared" si="507"/>
        <v/>
      </c>
      <c r="BV90" t="str">
        <f t="shared" si="508"/>
        <v/>
      </c>
      <c r="BW90" t="str">
        <f t="shared" si="509"/>
        <v/>
      </c>
      <c r="BX90" t="str">
        <f t="shared" si="510"/>
        <v/>
      </c>
      <c r="BY90" t="str">
        <f t="shared" si="511"/>
        <v/>
      </c>
      <c r="BZ90" t="str">
        <f t="shared" si="512"/>
        <v/>
      </c>
      <c r="CA90" t="str">
        <f t="shared" si="513"/>
        <v/>
      </c>
      <c r="CB90" t="str">
        <f t="shared" si="514"/>
        <v/>
      </c>
      <c r="CC90" t="str">
        <f t="shared" si="515"/>
        <v/>
      </c>
      <c r="CD90" t="str">
        <f t="shared" si="516"/>
        <v/>
      </c>
      <c r="CE90" t="str">
        <f t="shared" si="517"/>
        <v/>
      </c>
      <c r="CF90" t="str">
        <f t="shared" si="518"/>
        <v/>
      </c>
      <c r="CG90" t="str">
        <f t="shared" si="519"/>
        <v/>
      </c>
      <c r="CH90" t="str">
        <f t="shared" si="644"/>
        <v/>
      </c>
      <c r="CI90" t="str">
        <f t="shared" si="645"/>
        <v/>
      </c>
      <c r="CJ90" t="str">
        <f>IF($CI90="","",IF(OR($DW90="",$DX90=""),"ONZEKER",IF(OR($CF90="",$CG90=""),"ONZEKER",IF(AND($DW90=$CF90+1,$DX90=$CG90),IF(OR(COUNTIF(#REF!,$B90)&gt;0,COUNTIF(#REF!,$B90)=0),"SKIP",IF(COUNTIFS(#REF!,$B90,#REF!,$CI90)&gt;0,"OK","ONBEKEND")),IF(AND($DW90=$CF90,$DX90=$CG90+1),IF(OR(COUNTIF(#REF!,$D90)&gt;0,COUNTIF(#REF!,$D90)=0),"SKIP",IF(COUNTIFS(#REF!,$D90,#REF!,$CI90)&gt;0,"OK","ONBEKEND")),"ONZEKER")))))</f>
        <v/>
      </c>
      <c r="CK90" t="str">
        <f t="shared" si="646"/>
        <v/>
      </c>
      <c r="CL90" t="str">
        <f t="shared" si="647"/>
        <v/>
      </c>
      <c r="CM90" t="str">
        <f>IF($CL90="","",IF(OR($DZ90="",$EA90=""),"ONZEKER",IF(OR($DW90="",$DX90=""),"ONZEKER",IF(AND($DZ90=$DW90+1,$EA90=$DX90),IF(OR(COUNTIF(#REF!,$B90)&gt;0,COUNTIF(#REF!,$B90)=0),"SKIP",IF(COUNTIFS(#REF!,$B90,#REF!,$CL90)&gt;0,"OK","ONBEKEND")),IF(AND($DZ90=$DW90,$EA90=$DX90+1),IF(OR(COUNTIF(#REF!,$D90)&gt;0,COUNTIF(#REF!,$D90)=0),"SKIP",IF(COUNTIFS(#REF!,$D90,#REF!,$CL90)&gt;0,"OK","ONBEKEND")),"ONZEKER")))))</f>
        <v/>
      </c>
      <c r="CN90" t="str">
        <f t="shared" si="648"/>
        <v/>
      </c>
      <c r="CO90" t="str">
        <f t="shared" si="649"/>
        <v/>
      </c>
      <c r="CP90" t="str">
        <f>IF($CO90="","",IF(OR($EC90="",$ED90=""),"ONZEKER",IF(OR($DZ90="",$EA90=""),"ONZEKER",IF(AND($EC90=$DZ90+1,$ED90=$EA90),IF(OR(COUNTIF(#REF!,$B90)&gt;0,COUNTIF(#REF!,$B90)=0),"SKIP",IF(COUNTIFS(#REF!,$B90,#REF!,$CO90)&gt;0,"OK","ONBEKEND")),IF(AND($EC90=$DZ90,$ED90=$EA90+1),IF(OR(COUNTIF(#REF!,$D90)&gt;0,COUNTIF(#REF!,$D90)=0),"SKIP",IF(COUNTIFS(#REF!,$D90,#REF!,$CO90)&gt;0,"OK","ONBEKEND")),"ONZEKER")))))</f>
        <v/>
      </c>
      <c r="CQ90" t="str">
        <f t="shared" si="650"/>
        <v/>
      </c>
      <c r="CR90" t="str">
        <f t="shared" si="651"/>
        <v/>
      </c>
      <c r="CS90" t="str">
        <f>IF($CR90="","",IF(OR($EF90="",$EG90=""),"ONZEKER",IF(OR($EC90="",$ED90=""),"ONZEKER",IF(AND($EF90=$EC90+1,$EG90=$ED90),IF(OR(COUNTIF(#REF!,$B90)&gt;0,COUNTIF(#REF!,$B90)=0),"SKIP",IF(COUNTIFS(#REF!,$B90,#REF!,$CR90)&gt;0,"OK","ONBEKEND")),IF(AND($EF90=$EC90,$EG90=$ED90+1),IF(OR(COUNTIF(#REF!,$D90)&gt;0,COUNTIF(#REF!,$D90)=0),"SKIP",IF(COUNTIFS(#REF!,$D90,#REF!,$CR90)&gt;0,"OK","ONBEKEND")),"ONZEKER")))))</f>
        <v/>
      </c>
      <c r="CT90" t="str">
        <f t="shared" si="652"/>
        <v/>
      </c>
      <c r="CU90" t="str">
        <f t="shared" si="653"/>
        <v/>
      </c>
      <c r="CV90" t="str">
        <f>IF($CU90="","",IF(OR($EI90="",$EJ90=""),"ONZEKER",IF(OR($EF90="",$EG90=""),"ONZEKER",IF(AND($EI90=$EF90+1,$EJ90=$EG90),IF(OR(COUNTIF(#REF!,$B90)&gt;0,COUNTIF(#REF!,$B90)=0),"SKIP",IF(COUNTIFS(#REF!,$B90,#REF!,$CU90)&gt;0,"OK","ONBEKEND")),IF(AND($EI90=$EF90,$EJ90=$EG90+1),IF(OR(COUNTIF(#REF!,$D90)&gt;0,COUNTIF(#REF!,$D90)=0),"SKIP",IF(COUNTIFS(#REF!,$D90,#REF!,$CU90)&gt;0,"OK","ONBEKEND")),"ONZEKER")))))</f>
        <v/>
      </c>
      <c r="CW90" t="str">
        <f t="shared" si="654"/>
        <v/>
      </c>
      <c r="CX90" t="str">
        <f t="shared" si="655"/>
        <v/>
      </c>
      <c r="CY90" t="str">
        <f>IF($CX90="","",IF(OR($EL90="",$EM90=""),"ONZEKER",IF(OR($EI90="",$EJ90=""),"ONZEKER",IF(AND($EL90=$EI90+1,$EM90=$EJ90),IF(OR(COUNTIF(#REF!,$B90)&gt;0,COUNTIF(#REF!,$B90)=0),"SKIP",IF(COUNTIFS(#REF!,$B90,#REF!,$CX90)&gt;0,"OK","ONBEKEND")),IF(AND($EL90=$EI90,$EM90=$EJ90+1),IF(OR(COUNTIF(#REF!,$D90)&gt;0,COUNTIF(#REF!,$D90)=0),"SKIP",IF(COUNTIFS(#REF!,$D90,#REF!,$CX90)&gt;0,"OK","ONBEKEND")),"ONZEKER")))))</f>
        <v/>
      </c>
      <c r="CZ90" t="str">
        <f t="shared" si="656"/>
        <v/>
      </c>
      <c r="DA90" t="str">
        <f t="shared" si="657"/>
        <v/>
      </c>
      <c r="DB90" t="str">
        <f>IF($DA90="","",IF(OR($EO90="",$EP90=""),"ONZEKER",IF(OR($EL90="",$EM90=""),"ONZEKER",IF(AND($EO90=$EL90+1,$EP90=$EM90),IF(OR(COUNTIF(#REF!,$B90)&gt;0,COUNTIF(#REF!,$B90)=0),"SKIP",IF(COUNTIFS(#REF!,$B90,#REF!,$DA90)&gt;0,"OK","ONBEKEND")),IF(AND($EO90=$EL90,$EP90=$EM90+1),IF(OR(COUNTIF(#REF!,$D90)&gt;0,COUNTIF(#REF!,$D90)=0),"SKIP",IF(COUNTIFS(#REF!,$D90,#REF!,$DA90)&gt;0,"OK","ONBEKEND")),"ONZEKER")))))</f>
        <v/>
      </c>
      <c r="DC90" t="str">
        <f t="shared" si="658"/>
        <v/>
      </c>
      <c r="DD90" t="str">
        <f t="shared" si="659"/>
        <v/>
      </c>
      <c r="DE90" t="str">
        <f>IF($DD90="","",IF(OR($ER90="",$ES90=""),"ONZEKER",IF(OR($EO90="",$EP90=""),"ONZEKER",IF(AND($ER90=$EO90+1,$ES90=$EP90),IF(OR(COUNTIF(#REF!,$B90)&gt;0,COUNTIF(#REF!,$B90)=0),"SKIP",IF(COUNTIFS(#REF!,$B90,#REF!,$DD90)&gt;0,"OK","ONBEKEND")),IF(AND($ER90=$EO90,$ES90=$EP90+1),IF(OR(COUNTIF(#REF!,$D90)&gt;0,COUNTIF(#REF!,$D90)=0),"SKIP",IF(COUNTIFS(#REF!,$D90,#REF!,$DD90)&gt;0,"OK","ONBEKEND")),"ONZEKER")))))</f>
        <v/>
      </c>
      <c r="DF90" t="str">
        <f t="shared" si="660"/>
        <v/>
      </c>
      <c r="DG90" t="str">
        <f t="shared" si="661"/>
        <v/>
      </c>
      <c r="DH90" t="str">
        <f>IF($DG90="","",IF(OR($EU90="",$EV90=""),"ONZEKER",IF(OR($ER90="",$ES90=""),"ONZEKER",IF(AND($EU90=$ER90+1,$EV90=$ES90),IF(OR(COUNTIF(#REF!,$B90)&gt;0,COUNTIF(#REF!,$B90)=0),"SKIP",IF(COUNTIFS(#REF!,$B90,#REF!,$DG90)&gt;0,"OK","ONBEKEND")),IF(AND($EU90=$ER90,$EV90=$ES90+1),IF(OR(COUNTIF(#REF!,$D90)&gt;0,COUNTIF(#REF!,$D90)=0),"SKIP",IF(COUNTIFS(#REF!,$D90,#REF!,$DG90)&gt;0,"OK","ONBEKEND")),"ONZEKER")))))</f>
        <v/>
      </c>
      <c r="DI90" t="str">
        <f t="shared" si="662"/>
        <v/>
      </c>
      <c r="DJ90" t="str">
        <f t="shared" si="663"/>
        <v/>
      </c>
      <c r="DK90" t="str">
        <f>IF($DJ90="","",IF(OR($EX90="",$EY90=""),"ONZEKER",IF(OR($EU90="",$EV90=""),"ONZEKER",IF(AND($EX90=$EU90+1,$EY90=$EV90),IF(OR(COUNTIF(#REF!,$B90)&gt;0,COUNTIF(#REF!,$B90)=0),"SKIP",IF(COUNTIFS(#REF!,$B90,#REF!,$DJ90)&gt;0,"OK","ONBEKEND")),IF(AND($EX90=$EU90,$EY90=$EV90+1),IF(OR(COUNTIF(#REF!,$D90)&gt;0,COUNTIF(#REF!,$D90)=0),"SKIP",IF(COUNTIFS(#REF!,$D90,#REF!,$DJ90)&gt;0,"OK","ONBEKEND")),"ONZEKER")))))</f>
        <v/>
      </c>
      <c r="DL90" t="str">
        <f t="shared" si="664"/>
        <v/>
      </c>
      <c r="DM90" t="str">
        <f t="shared" si="665"/>
        <v/>
      </c>
      <c r="DN90" t="str">
        <f t="shared" si="666"/>
        <v/>
      </c>
      <c r="DO90" t="str">
        <f t="shared" si="667"/>
        <v/>
      </c>
      <c r="DP90" t="str">
        <f t="shared" si="668"/>
        <v/>
      </c>
      <c r="DQ90" t="str">
        <f t="shared" si="669"/>
        <v/>
      </c>
      <c r="DR90" t="str">
        <f t="shared" si="670"/>
        <v/>
      </c>
      <c r="DS90" t="str">
        <f t="shared" si="671"/>
        <v/>
      </c>
      <c r="DT90" t="str">
        <f t="shared" si="672"/>
        <v/>
      </c>
      <c r="DU90" t="str">
        <f t="shared" si="673"/>
        <v/>
      </c>
      <c r="DV90" t="str">
        <f t="shared" si="674"/>
        <v/>
      </c>
      <c r="DW90" t="str">
        <f t="shared" si="675"/>
        <v/>
      </c>
      <c r="DX90" t="str">
        <f t="shared" si="676"/>
        <v/>
      </c>
      <c r="DY90" t="str">
        <f t="shared" si="677"/>
        <v/>
      </c>
      <c r="DZ90" t="str">
        <f t="shared" si="678"/>
        <v/>
      </c>
      <c r="EA90" t="str">
        <f t="shared" si="679"/>
        <v/>
      </c>
      <c r="EB90" t="str">
        <f t="shared" si="680"/>
        <v/>
      </c>
      <c r="EC90" t="str">
        <f t="shared" si="681"/>
        <v/>
      </c>
      <c r="ED90" t="str">
        <f t="shared" si="682"/>
        <v/>
      </c>
      <c r="EE90" t="str">
        <f t="shared" si="683"/>
        <v/>
      </c>
      <c r="EF90" t="str">
        <f t="shared" si="684"/>
        <v/>
      </c>
      <c r="EG90" t="str">
        <f t="shared" si="685"/>
        <v/>
      </c>
      <c r="EH90" t="str">
        <f t="shared" si="686"/>
        <v/>
      </c>
      <c r="EI90" t="str">
        <f t="shared" si="687"/>
        <v/>
      </c>
      <c r="EJ90" t="str">
        <f t="shared" si="688"/>
        <v/>
      </c>
      <c r="EK90" t="str">
        <f t="shared" si="689"/>
        <v/>
      </c>
      <c r="EL90" t="str">
        <f t="shared" si="690"/>
        <v/>
      </c>
      <c r="EM90" t="str">
        <f t="shared" si="691"/>
        <v/>
      </c>
      <c r="EN90" t="str">
        <f t="shared" si="692"/>
        <v/>
      </c>
      <c r="EO90" t="str">
        <f t="shared" si="693"/>
        <v/>
      </c>
      <c r="EP90" t="str">
        <f t="shared" si="694"/>
        <v/>
      </c>
      <c r="EQ90" t="str">
        <f t="shared" si="695"/>
        <v/>
      </c>
      <c r="ER90" t="str">
        <f t="shared" si="696"/>
        <v/>
      </c>
      <c r="ES90" t="str">
        <f t="shared" si="697"/>
        <v/>
      </c>
      <c r="ET90" t="str">
        <f t="shared" si="698"/>
        <v/>
      </c>
      <c r="EU90" t="str">
        <f t="shared" si="699"/>
        <v/>
      </c>
      <c r="EV90" t="str">
        <f t="shared" si="700"/>
        <v/>
      </c>
      <c r="EW90" t="str">
        <f t="shared" si="701"/>
        <v/>
      </c>
      <c r="EX90" t="str">
        <f t="shared" si="702"/>
        <v/>
      </c>
      <c r="EY90" t="str">
        <f t="shared" si="703"/>
        <v/>
      </c>
    </row>
    <row r="91" spans="1:155" ht="13.9" customHeight="1" x14ac:dyDescent="0.25">
      <c r="M91" s="3" t="str">
        <f>IF($L91="","",IF($L91="DOELPUNTENMAKERS","",IF(AND(COUNTIF(#REF!,$B91)=0,COUNTIF(#REF!,$D91)=0),"OK",IF($O91&gt;20,"LET OP: meer dan 20 items (controle onvolledig)",IF((COUNTIF($R91:$AS91,"ONZEKER")+COUNTIF($CJ91:$DK91,"ONZEKER"))&gt;0,"LET OP: scoreverloop onduidelijk (controle beperkt)",IF((IF($AT91&lt;&gt;"",$AT91&amp;", ","")&amp;IF($AU91&lt;&gt;"",$AU91&amp;", ","")&amp;IF($AV91&lt;&gt;"",$AV91&amp;", ","")&amp;IF($AW91&lt;&gt;"",$AW91&amp;", ","")&amp;IF($AX91&lt;&gt;"",$AX91&amp;", ","")&amp;IF($AY91&lt;&gt;"",$AY91&amp;", ","")&amp;IF($AZ91&lt;&gt;"",$AZ91&amp;", ","")&amp;IF($BA91&lt;&gt;"",$BA91&amp;", ","")&amp;IF($BB91&lt;&gt;"",$BB91&amp;", ","")&amp;IF($BC91&lt;&gt;"",$BC91&amp;", ","")&amp;IF($DL91&lt;&gt;"",$DL91&amp;", ","")&amp;IF($DM91&lt;&gt;"",$DM91&amp;", ","")&amp;IF($DN91&lt;&gt;"",$DN91&amp;", ","")&amp;IF($DO91&lt;&gt;"",$DO91&amp;", ","")&amp;IF($DP91&lt;&gt;"",$DP91&amp;", ","")&amp;IF($DQ91&lt;&gt;"",$DQ91&amp;", ","")&amp;IF($DR91&lt;&gt;"",$DR91&amp;", ","")&amp;IF($DS91&lt;&gt;"",$DS91&amp;", ","")&amp;IF($DT91&lt;&gt;"",$DT91&amp;", ","")&amp;IF($DU91&lt;&gt;"",$DU91&amp;", ",""))="","OK","Onbekend: "&amp;LEFT((IF($AT91&lt;&gt;"",$AT91&amp;", ","")&amp;IF($AU91&lt;&gt;"",$AU91&amp;", ","")&amp;IF($AV91&lt;&gt;"",$AV91&amp;", ","")&amp;IF($AW91&lt;&gt;"",$AW91&amp;", ","")&amp;IF($AX91&lt;&gt;"",$AX91&amp;", ","")&amp;IF($AY91&lt;&gt;"",$AY91&amp;", ","")&amp;IF($AZ91&lt;&gt;"",$AZ91&amp;", ","")&amp;IF($BA91&lt;&gt;"",$BA91&amp;", ","")&amp;IF($BB91&lt;&gt;"",$BB91&amp;", ","")&amp;IF($BC91&lt;&gt;"",$BC91&amp;", ","")&amp;IF($DL91&lt;&gt;"",$DL91&amp;", ","")&amp;IF($DM91&lt;&gt;"",$DM91&amp;", ","")&amp;IF($DN91&lt;&gt;"",$DN91&amp;", ","")&amp;IF($DO91&lt;&gt;"",$DO91&amp;", ","")&amp;IF($DP91&lt;&gt;"",$DP91&amp;", ","")&amp;IF($DQ91&lt;&gt;"",$DQ91&amp;", ","")&amp;IF($DR91&lt;&gt;"",$DR91&amp;", ","")&amp;IF($DS91&lt;&gt;"",$DS91&amp;", ","")&amp;IF($DT91&lt;&gt;"",$DT91&amp;", ","")&amp;IF($DU91&lt;&gt;"",$DU91&amp;", ","")),LEN((IF($AT91&lt;&gt;"",$AT91&amp;", ","")&amp;IF($AU91&lt;&gt;"",$AU91&amp;", ","")&amp;IF($AV91&lt;&gt;"",$AV91&amp;", ","")&amp;IF($AW91&lt;&gt;"",$AW91&amp;", ","")&amp;IF($AX91&lt;&gt;"",$AX91&amp;", ","")&amp;IF($AY91&lt;&gt;"",$AY91&amp;", ","")&amp;IF($AZ91&lt;&gt;"",$AZ91&amp;", ","")&amp;IF($BA91&lt;&gt;"",$BA91&amp;", ","")&amp;IF($BB91&lt;&gt;"",$BB91&amp;", ","")&amp;IF($BC91&lt;&gt;"",$BC91&amp;", ","")&amp;IF($DL91&lt;&gt;"",$DL91&amp;", ","")&amp;IF($DM91&lt;&gt;"",$DM91&amp;", ","")&amp;IF($DN91&lt;&gt;"",$DN91&amp;", ","")&amp;IF($DO91&lt;&gt;"",$DO91&amp;", ","")&amp;IF($DP91&lt;&gt;"",$DP91&amp;", ","")&amp;IF($DQ91&lt;&gt;"",$DQ91&amp;", ","")&amp;IF($DR91&lt;&gt;"",$DR91&amp;", ","")&amp;IF($DS91&lt;&gt;"",$DS91&amp;", ","")&amp;IF($DT91&lt;&gt;"",$DT91&amp;", ","")&amp;IF($DU91&lt;&gt;"",$DU91&amp;", ","")))-2)))))))</f>
        <v/>
      </c>
      <c r="N91" t="str">
        <f t="shared" si="612"/>
        <v/>
      </c>
      <c r="O91" t="str">
        <f t="shared" si="613"/>
        <v/>
      </c>
      <c r="P91" t="str">
        <f t="shared" si="614"/>
        <v/>
      </c>
      <c r="Q91" t="str">
        <f t="shared" si="615"/>
        <v/>
      </c>
      <c r="R91" t="str">
        <f>IF($Q91="","",IF(OR($BE91="",$BF91=""),"ONZEKER",IF(AND($BE91=0+1,$BF91=0),IF(OR(COUNTIF(#REF!,$B91)&gt;0,COUNTIF(#REF!,$B91)=0),"SKIP",IF(COUNTIFS(#REF!,$B91,#REF!,$Q91)&gt;0,"OK","ONBEKEND")),IF(AND($BE91=0,$BF91=0+1),IF(OR(COUNTIF(#REF!,$D91)&gt;0,COUNTIF(#REF!,$D91)=0),"SKIP",IF(COUNTIFS(#REF!,$D91,#REF!,$Q91)&gt;0,"OK","ONBEKEND")),"ONZEKER"))))</f>
        <v/>
      </c>
      <c r="S91" t="str">
        <f t="shared" si="616"/>
        <v/>
      </c>
      <c r="T91" t="str">
        <f t="shared" si="617"/>
        <v/>
      </c>
      <c r="U91" t="str">
        <f>IF($T91="","",IF(OR($BH91="",$BI91=""),"ONZEKER",IF(OR($BE91="",$BF91=""),"ONZEKER",IF(AND($BH91=$BE91+1,$BI91=$BF91),IF(OR(COUNTIF(#REF!,$B91)&gt;0,COUNTIF(#REF!,$B91)=0),"SKIP",IF(COUNTIFS(#REF!,$B91,#REF!,$T91)&gt;0,"OK","ONBEKEND")),IF(AND($BH91=$BE91,$BI91=$BF91+1),IF(OR(COUNTIF(#REF!,$D91)&gt;0,COUNTIF(#REF!,$D91)=0),"SKIP",IF(COUNTIFS(#REF!,$D91,#REF!,$T91)&gt;0,"OK","ONBEKEND")),"ONZEKER")))))</f>
        <v/>
      </c>
      <c r="V91" t="str">
        <f t="shared" si="618"/>
        <v/>
      </c>
      <c r="W91" t="str">
        <f t="shared" si="619"/>
        <v/>
      </c>
      <c r="X91" t="str">
        <f>IF($W91="","",IF(OR($BK91="",$BL91=""),"ONZEKER",IF(OR($BH91="",$BI91=""),"ONZEKER",IF(AND($BK91=$BH91+1,$BL91=$BI91),IF(OR(COUNTIF(#REF!,$B91)&gt;0,COUNTIF(#REF!,$B91)=0),"SKIP",IF(COUNTIFS(#REF!,$B91,#REF!,$W91)&gt;0,"OK","ONBEKEND")),IF(AND($BK91=$BH91,$BL91=$BI91+1),IF(OR(COUNTIF(#REF!,$D91)&gt;0,COUNTIF(#REF!,$D91)=0),"SKIP",IF(COUNTIFS(#REF!,$D91,#REF!,$W91)&gt;0,"OK","ONBEKEND")),"ONZEKER")))))</f>
        <v/>
      </c>
      <c r="Y91" t="str">
        <f t="shared" si="620"/>
        <v/>
      </c>
      <c r="Z91" t="str">
        <f t="shared" si="621"/>
        <v/>
      </c>
      <c r="AA91" t="str">
        <f>IF($Z91="","",IF(OR($BN91="",$BO91=""),"ONZEKER",IF(OR($BK91="",$BL91=""),"ONZEKER",IF(AND($BN91=$BK91+1,$BO91=$BL91),IF(OR(COUNTIF(#REF!,$B91)&gt;0,COUNTIF(#REF!,$B91)=0),"SKIP",IF(COUNTIFS(#REF!,$B91,#REF!,$Z91)&gt;0,"OK","ONBEKEND")),IF(AND($BN91=$BK91,$BO91=$BL91+1),IF(OR(COUNTIF(#REF!,$D91)&gt;0,COUNTIF(#REF!,$D91)=0),"SKIP",IF(COUNTIFS(#REF!,$D91,#REF!,$Z91)&gt;0,"OK","ONBEKEND")),"ONZEKER")))))</f>
        <v/>
      </c>
      <c r="AB91" t="str">
        <f t="shared" si="622"/>
        <v/>
      </c>
      <c r="AC91" t="str">
        <f t="shared" si="623"/>
        <v/>
      </c>
      <c r="AD91" t="str">
        <f>IF($AC91="","",IF(OR($BQ91="",$BR91=""),"ONZEKER",IF(OR($BN91="",$BO91=""),"ONZEKER",IF(AND($BQ91=$BN91+1,$BR91=$BO91),IF(OR(COUNTIF(#REF!,$B91)&gt;0,COUNTIF(#REF!,$B91)=0),"SKIP",IF(COUNTIFS(#REF!,$B91,#REF!,$AC91)&gt;0,"OK","ONBEKEND")),IF(AND($BQ91=$BN91,$BR91=$BO91+1),IF(OR(COUNTIF(#REF!,$D91)&gt;0,COUNTIF(#REF!,$D91)=0),"SKIP",IF(COUNTIFS(#REF!,$D91,#REF!,$AC91)&gt;0,"OK","ONBEKEND")),"ONZEKER")))))</f>
        <v/>
      </c>
      <c r="AE91" t="str">
        <f t="shared" si="624"/>
        <v/>
      </c>
      <c r="AF91" t="str">
        <f t="shared" si="625"/>
        <v/>
      </c>
      <c r="AG91" t="str">
        <f>IF($AF91="","",IF(OR($BT91="",$BU91=""),"ONZEKER",IF(OR($BQ91="",$BR91=""),"ONZEKER",IF(AND($BT91=$BQ91+1,$BU91=$BR91),IF(OR(COUNTIF(#REF!,$B91)&gt;0,COUNTIF(#REF!,$B91)=0),"SKIP",IF(COUNTIFS(#REF!,$B91,#REF!,$AF91)&gt;0,"OK","ONBEKEND")),IF(AND($BT91=$BQ91,$BU91=$BR91+1),IF(OR(COUNTIF(#REF!,$D91)&gt;0,COUNTIF(#REF!,$D91)=0),"SKIP",IF(COUNTIFS(#REF!,$D91,#REF!,$AF91)&gt;0,"OK","ONBEKEND")),"ONZEKER")))))</f>
        <v/>
      </c>
      <c r="AH91" t="str">
        <f t="shared" si="626"/>
        <v/>
      </c>
      <c r="AI91" t="str">
        <f t="shared" si="627"/>
        <v/>
      </c>
      <c r="AJ91" t="str">
        <f>IF($AI91="","",IF(OR($BW91="",$BX91=""),"ONZEKER",IF(OR($BT91="",$BU91=""),"ONZEKER",IF(AND($BW91=$BT91+1,$BX91=$BU91),IF(OR(COUNTIF(#REF!,$B91)&gt;0,COUNTIF(#REF!,$B91)=0),"SKIP",IF(COUNTIFS(#REF!,$B91,#REF!,$AI91)&gt;0,"OK","ONBEKEND")),IF(AND($BW91=$BT91,$BX91=$BU91+1),IF(OR(COUNTIF(#REF!,$D91)&gt;0,COUNTIF(#REF!,$D91)=0),"SKIP",IF(COUNTIFS(#REF!,$D91,#REF!,$AI91)&gt;0,"OK","ONBEKEND")),"ONZEKER")))))</f>
        <v/>
      </c>
      <c r="AK91" t="str">
        <f t="shared" si="628"/>
        <v/>
      </c>
      <c r="AL91" t="str">
        <f t="shared" si="629"/>
        <v/>
      </c>
      <c r="AM91" t="str">
        <f>IF($AL91="","",IF(OR($BZ91="",$CA91=""),"ONZEKER",IF(OR($BW91="",$BX91=""),"ONZEKER",IF(AND($BZ91=$BW91+1,$CA91=$BX91),IF(OR(COUNTIF(#REF!,$B91)&gt;0,COUNTIF(#REF!,$B91)=0),"SKIP",IF(COUNTIFS(#REF!,$B91,#REF!,$AL91)&gt;0,"OK","ONBEKEND")),IF(AND($BZ91=$BW91,$CA91=$BX91+1),IF(OR(COUNTIF(#REF!,$D91)&gt;0,COUNTIF(#REF!,$D91)=0),"SKIP",IF(COUNTIFS(#REF!,$D91,#REF!,$AL91)&gt;0,"OK","ONBEKEND")),"ONZEKER")))))</f>
        <v/>
      </c>
      <c r="AN91" t="str">
        <f t="shared" si="630"/>
        <v/>
      </c>
      <c r="AO91" t="str">
        <f t="shared" si="631"/>
        <v/>
      </c>
      <c r="AP91" t="str">
        <f>IF($AO91="","",IF(OR($CC91="",$CD91=""),"ONZEKER",IF(OR($BZ91="",$CA91=""),"ONZEKER",IF(AND($CC91=$BZ91+1,$CD91=$CA91),IF(OR(COUNTIF(#REF!,$B91)&gt;0,COUNTIF(#REF!,$B91)=0),"SKIP",IF(COUNTIFS(#REF!,$B91,#REF!,$AO91)&gt;0,"OK","ONBEKEND")),IF(AND($CC91=$BZ91,$CD91=$CA91+1),IF(OR(COUNTIF(#REF!,$D91)&gt;0,COUNTIF(#REF!,$D91)=0),"SKIP",IF(COUNTIFS(#REF!,$D91,#REF!,$AO91)&gt;0,"OK","ONBEKEND")),"ONZEKER")))))</f>
        <v/>
      </c>
      <c r="AQ91" t="str">
        <f t="shared" si="632"/>
        <v/>
      </c>
      <c r="AR91" t="str">
        <f t="shared" si="633"/>
        <v/>
      </c>
      <c r="AS91" t="str">
        <f>IF($AR91="","",IF(OR($CF91="",$CG91=""),"ONZEKER",IF(OR($CC91="",$CD91=""),"ONZEKER",IF(AND($CF91=$CC91+1,$CG91=$CD91),IF(OR(COUNTIF(#REF!,$B91)&gt;0,COUNTIF(#REF!,$B91)=0),"SKIP",IF(COUNTIFS(#REF!,$B91,#REF!,$AR91)&gt;0,"OK","ONBEKEND")),IF(AND($CF91=$CC91,$CG91=$CD91+1),IF(OR(COUNTIF(#REF!,$D91)&gt;0,COUNTIF(#REF!,$D91)=0),"SKIP",IF(COUNTIFS(#REF!,$D91,#REF!,$AR91)&gt;0,"OK","ONBEKEND")),"ONZEKER")))))</f>
        <v/>
      </c>
      <c r="AT91" t="str">
        <f t="shared" si="634"/>
        <v/>
      </c>
      <c r="AU91" t="str">
        <f t="shared" si="635"/>
        <v/>
      </c>
      <c r="AV91" t="str">
        <f t="shared" si="636"/>
        <v/>
      </c>
      <c r="AW91" t="str">
        <f t="shared" si="637"/>
        <v/>
      </c>
      <c r="AX91" t="str">
        <f t="shared" si="638"/>
        <v/>
      </c>
      <c r="AY91" t="str">
        <f t="shared" si="639"/>
        <v/>
      </c>
      <c r="AZ91" t="str">
        <f t="shared" si="640"/>
        <v/>
      </c>
      <c r="BA91" t="str">
        <f t="shared" si="641"/>
        <v/>
      </c>
      <c r="BB91" t="str">
        <f t="shared" si="642"/>
        <v/>
      </c>
      <c r="BC91" t="str">
        <f t="shared" si="643"/>
        <v/>
      </c>
      <c r="BD91" t="str">
        <f t="shared" si="490"/>
        <v/>
      </c>
      <c r="BE91" t="str">
        <f t="shared" si="491"/>
        <v/>
      </c>
      <c r="BF91" t="str">
        <f t="shared" si="492"/>
        <v/>
      </c>
      <c r="BG91" t="str">
        <f t="shared" si="493"/>
        <v/>
      </c>
      <c r="BH91" t="str">
        <f t="shared" si="494"/>
        <v/>
      </c>
      <c r="BI91" t="str">
        <f t="shared" si="495"/>
        <v/>
      </c>
      <c r="BJ91" t="str">
        <f t="shared" si="496"/>
        <v/>
      </c>
      <c r="BK91" t="str">
        <f t="shared" si="497"/>
        <v/>
      </c>
      <c r="BL91" t="str">
        <f t="shared" si="498"/>
        <v/>
      </c>
      <c r="BM91" t="str">
        <f t="shared" si="499"/>
        <v/>
      </c>
      <c r="BN91" t="str">
        <f t="shared" si="500"/>
        <v/>
      </c>
      <c r="BO91" t="str">
        <f t="shared" si="501"/>
        <v/>
      </c>
      <c r="BP91" t="str">
        <f t="shared" si="502"/>
        <v/>
      </c>
      <c r="BQ91" t="str">
        <f t="shared" si="503"/>
        <v/>
      </c>
      <c r="BR91" t="str">
        <f t="shared" si="504"/>
        <v/>
      </c>
      <c r="BS91" t="str">
        <f t="shared" si="505"/>
        <v/>
      </c>
      <c r="BT91" t="str">
        <f t="shared" si="506"/>
        <v/>
      </c>
      <c r="BU91" t="str">
        <f t="shared" si="507"/>
        <v/>
      </c>
      <c r="BV91" t="str">
        <f t="shared" si="508"/>
        <v/>
      </c>
      <c r="BW91" t="str">
        <f t="shared" si="509"/>
        <v/>
      </c>
      <c r="BX91" t="str">
        <f t="shared" si="510"/>
        <v/>
      </c>
      <c r="BY91" t="str">
        <f t="shared" si="511"/>
        <v/>
      </c>
      <c r="BZ91" t="str">
        <f t="shared" si="512"/>
        <v/>
      </c>
      <c r="CA91" t="str">
        <f t="shared" si="513"/>
        <v/>
      </c>
      <c r="CB91" t="str">
        <f t="shared" si="514"/>
        <v/>
      </c>
      <c r="CC91" t="str">
        <f t="shared" si="515"/>
        <v/>
      </c>
      <c r="CD91" t="str">
        <f t="shared" si="516"/>
        <v/>
      </c>
      <c r="CE91" t="str">
        <f t="shared" si="517"/>
        <v/>
      </c>
      <c r="CF91" t="str">
        <f t="shared" si="518"/>
        <v/>
      </c>
      <c r="CG91" t="str">
        <f t="shared" si="519"/>
        <v/>
      </c>
      <c r="CH91" t="str">
        <f t="shared" si="644"/>
        <v/>
      </c>
      <c r="CI91" t="str">
        <f t="shared" si="645"/>
        <v/>
      </c>
      <c r="CJ91" t="str">
        <f>IF($CI91="","",IF(OR($DW91="",$DX91=""),"ONZEKER",IF(OR($CF91="",$CG91=""),"ONZEKER",IF(AND($DW91=$CF91+1,$DX91=$CG91),IF(OR(COUNTIF(#REF!,$B91)&gt;0,COUNTIF(#REF!,$B91)=0),"SKIP",IF(COUNTIFS(#REF!,$B91,#REF!,$CI91)&gt;0,"OK","ONBEKEND")),IF(AND($DW91=$CF91,$DX91=$CG91+1),IF(OR(COUNTIF(#REF!,$D91)&gt;0,COUNTIF(#REF!,$D91)=0),"SKIP",IF(COUNTIFS(#REF!,$D91,#REF!,$CI91)&gt;0,"OK","ONBEKEND")),"ONZEKER")))))</f>
        <v/>
      </c>
      <c r="CK91" t="str">
        <f t="shared" si="646"/>
        <v/>
      </c>
      <c r="CL91" t="str">
        <f t="shared" si="647"/>
        <v/>
      </c>
      <c r="CM91" t="str">
        <f>IF($CL91="","",IF(OR($DZ91="",$EA91=""),"ONZEKER",IF(OR($DW91="",$DX91=""),"ONZEKER",IF(AND($DZ91=$DW91+1,$EA91=$DX91),IF(OR(COUNTIF(#REF!,$B91)&gt;0,COUNTIF(#REF!,$B91)=0),"SKIP",IF(COUNTIFS(#REF!,$B91,#REF!,$CL91)&gt;0,"OK","ONBEKEND")),IF(AND($DZ91=$DW91,$EA91=$DX91+1),IF(OR(COUNTIF(#REF!,$D91)&gt;0,COUNTIF(#REF!,$D91)=0),"SKIP",IF(COUNTIFS(#REF!,$D91,#REF!,$CL91)&gt;0,"OK","ONBEKEND")),"ONZEKER")))))</f>
        <v/>
      </c>
      <c r="CN91" t="str">
        <f t="shared" si="648"/>
        <v/>
      </c>
      <c r="CO91" t="str">
        <f t="shared" si="649"/>
        <v/>
      </c>
      <c r="CP91" t="str">
        <f>IF($CO91="","",IF(OR($EC91="",$ED91=""),"ONZEKER",IF(OR($DZ91="",$EA91=""),"ONZEKER",IF(AND($EC91=$DZ91+1,$ED91=$EA91),IF(OR(COUNTIF(#REF!,$B91)&gt;0,COUNTIF(#REF!,$B91)=0),"SKIP",IF(COUNTIFS(#REF!,$B91,#REF!,$CO91)&gt;0,"OK","ONBEKEND")),IF(AND($EC91=$DZ91,$ED91=$EA91+1),IF(OR(COUNTIF(#REF!,$D91)&gt;0,COUNTIF(#REF!,$D91)=0),"SKIP",IF(COUNTIFS(#REF!,$D91,#REF!,$CO91)&gt;0,"OK","ONBEKEND")),"ONZEKER")))))</f>
        <v/>
      </c>
      <c r="CQ91" t="str">
        <f t="shared" si="650"/>
        <v/>
      </c>
      <c r="CR91" t="str">
        <f t="shared" si="651"/>
        <v/>
      </c>
      <c r="CS91" t="str">
        <f>IF($CR91="","",IF(OR($EF91="",$EG91=""),"ONZEKER",IF(OR($EC91="",$ED91=""),"ONZEKER",IF(AND($EF91=$EC91+1,$EG91=$ED91),IF(OR(COUNTIF(#REF!,$B91)&gt;0,COUNTIF(#REF!,$B91)=0),"SKIP",IF(COUNTIFS(#REF!,$B91,#REF!,$CR91)&gt;0,"OK","ONBEKEND")),IF(AND($EF91=$EC91,$EG91=$ED91+1),IF(OR(COUNTIF(#REF!,$D91)&gt;0,COUNTIF(#REF!,$D91)=0),"SKIP",IF(COUNTIFS(#REF!,$D91,#REF!,$CR91)&gt;0,"OK","ONBEKEND")),"ONZEKER")))))</f>
        <v/>
      </c>
      <c r="CT91" t="str">
        <f t="shared" si="652"/>
        <v/>
      </c>
      <c r="CU91" t="str">
        <f t="shared" si="653"/>
        <v/>
      </c>
      <c r="CV91" t="str">
        <f>IF($CU91="","",IF(OR($EI91="",$EJ91=""),"ONZEKER",IF(OR($EF91="",$EG91=""),"ONZEKER",IF(AND($EI91=$EF91+1,$EJ91=$EG91),IF(OR(COUNTIF(#REF!,$B91)&gt;0,COUNTIF(#REF!,$B91)=0),"SKIP",IF(COUNTIFS(#REF!,$B91,#REF!,$CU91)&gt;0,"OK","ONBEKEND")),IF(AND($EI91=$EF91,$EJ91=$EG91+1),IF(OR(COUNTIF(#REF!,$D91)&gt;0,COUNTIF(#REF!,$D91)=0),"SKIP",IF(COUNTIFS(#REF!,$D91,#REF!,$CU91)&gt;0,"OK","ONBEKEND")),"ONZEKER")))))</f>
        <v/>
      </c>
      <c r="CW91" t="str">
        <f t="shared" si="654"/>
        <v/>
      </c>
      <c r="CX91" t="str">
        <f t="shared" si="655"/>
        <v/>
      </c>
      <c r="CY91" t="str">
        <f>IF($CX91="","",IF(OR($EL91="",$EM91=""),"ONZEKER",IF(OR($EI91="",$EJ91=""),"ONZEKER",IF(AND($EL91=$EI91+1,$EM91=$EJ91),IF(OR(COUNTIF(#REF!,$B91)&gt;0,COUNTIF(#REF!,$B91)=0),"SKIP",IF(COUNTIFS(#REF!,$B91,#REF!,$CX91)&gt;0,"OK","ONBEKEND")),IF(AND($EL91=$EI91,$EM91=$EJ91+1),IF(OR(COUNTIF(#REF!,$D91)&gt;0,COUNTIF(#REF!,$D91)=0),"SKIP",IF(COUNTIFS(#REF!,$D91,#REF!,$CX91)&gt;0,"OK","ONBEKEND")),"ONZEKER")))))</f>
        <v/>
      </c>
      <c r="CZ91" t="str">
        <f t="shared" si="656"/>
        <v/>
      </c>
      <c r="DA91" t="str">
        <f t="shared" si="657"/>
        <v/>
      </c>
      <c r="DB91" t="str">
        <f>IF($DA91="","",IF(OR($EO91="",$EP91=""),"ONZEKER",IF(OR($EL91="",$EM91=""),"ONZEKER",IF(AND($EO91=$EL91+1,$EP91=$EM91),IF(OR(COUNTIF(#REF!,$B91)&gt;0,COUNTIF(#REF!,$B91)=0),"SKIP",IF(COUNTIFS(#REF!,$B91,#REF!,$DA91)&gt;0,"OK","ONBEKEND")),IF(AND($EO91=$EL91,$EP91=$EM91+1),IF(OR(COUNTIF(#REF!,$D91)&gt;0,COUNTIF(#REF!,$D91)=0),"SKIP",IF(COUNTIFS(#REF!,$D91,#REF!,$DA91)&gt;0,"OK","ONBEKEND")),"ONZEKER")))))</f>
        <v/>
      </c>
      <c r="DC91" t="str">
        <f t="shared" si="658"/>
        <v/>
      </c>
      <c r="DD91" t="str">
        <f t="shared" si="659"/>
        <v/>
      </c>
      <c r="DE91" t="str">
        <f>IF($DD91="","",IF(OR($ER91="",$ES91=""),"ONZEKER",IF(OR($EO91="",$EP91=""),"ONZEKER",IF(AND($ER91=$EO91+1,$ES91=$EP91),IF(OR(COUNTIF(#REF!,$B91)&gt;0,COUNTIF(#REF!,$B91)=0),"SKIP",IF(COUNTIFS(#REF!,$B91,#REF!,$DD91)&gt;0,"OK","ONBEKEND")),IF(AND($ER91=$EO91,$ES91=$EP91+1),IF(OR(COUNTIF(#REF!,$D91)&gt;0,COUNTIF(#REF!,$D91)=0),"SKIP",IF(COUNTIFS(#REF!,$D91,#REF!,$DD91)&gt;0,"OK","ONBEKEND")),"ONZEKER")))))</f>
        <v/>
      </c>
      <c r="DF91" t="str">
        <f t="shared" si="660"/>
        <v/>
      </c>
      <c r="DG91" t="str">
        <f t="shared" si="661"/>
        <v/>
      </c>
      <c r="DH91" t="str">
        <f>IF($DG91="","",IF(OR($EU91="",$EV91=""),"ONZEKER",IF(OR($ER91="",$ES91=""),"ONZEKER",IF(AND($EU91=$ER91+1,$EV91=$ES91),IF(OR(COUNTIF(#REF!,$B91)&gt;0,COUNTIF(#REF!,$B91)=0),"SKIP",IF(COUNTIFS(#REF!,$B91,#REF!,$DG91)&gt;0,"OK","ONBEKEND")),IF(AND($EU91=$ER91,$EV91=$ES91+1),IF(OR(COUNTIF(#REF!,$D91)&gt;0,COUNTIF(#REF!,$D91)=0),"SKIP",IF(COUNTIFS(#REF!,$D91,#REF!,$DG91)&gt;0,"OK","ONBEKEND")),"ONZEKER")))))</f>
        <v/>
      </c>
      <c r="DI91" t="str">
        <f t="shared" si="662"/>
        <v/>
      </c>
      <c r="DJ91" t="str">
        <f t="shared" si="663"/>
        <v/>
      </c>
      <c r="DK91" t="str">
        <f>IF($DJ91="","",IF(OR($EX91="",$EY91=""),"ONZEKER",IF(OR($EU91="",$EV91=""),"ONZEKER",IF(AND($EX91=$EU91+1,$EY91=$EV91),IF(OR(COUNTIF(#REF!,$B91)&gt;0,COUNTIF(#REF!,$B91)=0),"SKIP",IF(COUNTIFS(#REF!,$B91,#REF!,$DJ91)&gt;0,"OK","ONBEKEND")),IF(AND($EX91=$EU91,$EY91=$EV91+1),IF(OR(COUNTIF(#REF!,$D91)&gt;0,COUNTIF(#REF!,$D91)=0),"SKIP",IF(COUNTIFS(#REF!,$D91,#REF!,$DJ91)&gt;0,"OK","ONBEKEND")),"ONZEKER")))))</f>
        <v/>
      </c>
      <c r="DL91" t="str">
        <f t="shared" si="664"/>
        <v/>
      </c>
      <c r="DM91" t="str">
        <f t="shared" si="665"/>
        <v/>
      </c>
      <c r="DN91" t="str">
        <f t="shared" si="666"/>
        <v/>
      </c>
      <c r="DO91" t="str">
        <f t="shared" si="667"/>
        <v/>
      </c>
      <c r="DP91" t="str">
        <f t="shared" si="668"/>
        <v/>
      </c>
      <c r="DQ91" t="str">
        <f t="shared" si="669"/>
        <v/>
      </c>
      <c r="DR91" t="str">
        <f t="shared" si="670"/>
        <v/>
      </c>
      <c r="DS91" t="str">
        <f t="shared" si="671"/>
        <v/>
      </c>
      <c r="DT91" t="str">
        <f t="shared" si="672"/>
        <v/>
      </c>
      <c r="DU91" t="str">
        <f t="shared" si="673"/>
        <v/>
      </c>
      <c r="DV91" t="str">
        <f t="shared" si="674"/>
        <v/>
      </c>
      <c r="DW91" t="str">
        <f t="shared" si="675"/>
        <v/>
      </c>
      <c r="DX91" t="str">
        <f t="shared" si="676"/>
        <v/>
      </c>
      <c r="DY91" t="str">
        <f t="shared" si="677"/>
        <v/>
      </c>
      <c r="DZ91" t="str">
        <f t="shared" si="678"/>
        <v/>
      </c>
      <c r="EA91" t="str">
        <f t="shared" si="679"/>
        <v/>
      </c>
      <c r="EB91" t="str">
        <f t="shared" si="680"/>
        <v/>
      </c>
      <c r="EC91" t="str">
        <f t="shared" si="681"/>
        <v/>
      </c>
      <c r="ED91" t="str">
        <f t="shared" si="682"/>
        <v/>
      </c>
      <c r="EE91" t="str">
        <f t="shared" si="683"/>
        <v/>
      </c>
      <c r="EF91" t="str">
        <f t="shared" si="684"/>
        <v/>
      </c>
      <c r="EG91" t="str">
        <f t="shared" si="685"/>
        <v/>
      </c>
      <c r="EH91" t="str">
        <f t="shared" si="686"/>
        <v/>
      </c>
      <c r="EI91" t="str">
        <f t="shared" si="687"/>
        <v/>
      </c>
      <c r="EJ91" t="str">
        <f t="shared" si="688"/>
        <v/>
      </c>
      <c r="EK91" t="str">
        <f t="shared" si="689"/>
        <v/>
      </c>
      <c r="EL91" t="str">
        <f t="shared" si="690"/>
        <v/>
      </c>
      <c r="EM91" t="str">
        <f t="shared" si="691"/>
        <v/>
      </c>
      <c r="EN91" t="str">
        <f t="shared" si="692"/>
        <v/>
      </c>
      <c r="EO91" t="str">
        <f t="shared" si="693"/>
        <v/>
      </c>
      <c r="EP91" t="str">
        <f t="shared" si="694"/>
        <v/>
      </c>
      <c r="EQ91" t="str">
        <f t="shared" si="695"/>
        <v/>
      </c>
      <c r="ER91" t="str">
        <f t="shared" si="696"/>
        <v/>
      </c>
      <c r="ES91" t="str">
        <f t="shared" si="697"/>
        <v/>
      </c>
      <c r="ET91" t="str">
        <f t="shared" si="698"/>
        <v/>
      </c>
      <c r="EU91" t="str">
        <f t="shared" si="699"/>
        <v/>
      </c>
      <c r="EV91" t="str">
        <f t="shared" si="700"/>
        <v/>
      </c>
      <c r="EW91" t="str">
        <f t="shared" si="701"/>
        <v/>
      </c>
      <c r="EX91" t="str">
        <f t="shared" si="702"/>
        <v/>
      </c>
      <c r="EY91" t="str">
        <f t="shared" si="703"/>
        <v/>
      </c>
    </row>
    <row r="92" spans="1:155" ht="13.9" customHeight="1" x14ac:dyDescent="0.25">
      <c r="A92" s="14"/>
      <c r="B92" s="15" t="s">
        <v>151</v>
      </c>
      <c r="C92" s="16"/>
      <c r="D92" s="16"/>
      <c r="E92" s="16"/>
      <c r="F92" s="31" t="s">
        <v>1</v>
      </c>
      <c r="G92" s="33"/>
      <c r="H92" s="33"/>
      <c r="I92" s="32" t="s">
        <v>2</v>
      </c>
      <c r="J92" s="33"/>
      <c r="K92" s="33"/>
      <c r="L92" s="6" t="s">
        <v>3</v>
      </c>
      <c r="M92" s="2" t="s">
        <v>4</v>
      </c>
      <c r="N92" s="2" t="s">
        <v>5</v>
      </c>
      <c r="O92" s="2" t="s">
        <v>6</v>
      </c>
      <c r="P92" s="2" t="s">
        <v>7</v>
      </c>
      <c r="Q92" s="2" t="s">
        <v>8</v>
      </c>
      <c r="R92" s="2" t="str">
        <f>IF($Q92="","",IF(OR($BE92="",$BF92=""),"ONZEKER",IF(AND($BE92=0+1,$BF92=0),IF(OR(COUNTIF(#REF!,$B92)&gt;0,COUNTIF(#REF!,$B92)=0),"SKIP",IF(COUNTIFS(#REF!,$B92,#REF!,$Q92)&gt;0,"OK","ONBEKEND")),IF(AND($BE92=0,$BF92=0+1),IF(OR(COUNTIF(#REF!,$D92)&gt;0,COUNTIF(#REF!,$D92)=0),"SKIP",IF(COUNTIFS(#REF!,$D92,#REF!,$Q92)&gt;0,"OK","ONBEKEND")),"ONZEKER"))))</f>
        <v>ONZEKER</v>
      </c>
      <c r="S92" s="2" t="s">
        <v>10</v>
      </c>
      <c r="T92" s="2" t="s">
        <v>11</v>
      </c>
      <c r="U92" s="2" t="str">
        <f>IF($T92="","",IF(OR($BH92="",$BI92=""),"ONZEKER",IF(OR($BE92="",$BF92=""),"ONZEKER",IF(AND($BH92=$BE92+1,$BI92=$BF92),IF(OR(COUNTIF(#REF!,$B92)&gt;0,COUNTIF(#REF!,$B92)=0),"SKIP",IF(COUNTIFS(#REF!,$B92,#REF!,$T92)&gt;0,"OK","ONBEKEND")),IF(AND($BH92=$BE92,$BI92=$BF92+1),IF(OR(COUNTIF(#REF!,$D92)&gt;0,COUNTIF(#REF!,$D92)=0),"SKIP",IF(COUNTIFS(#REF!,$D92,#REF!,$T92)&gt;0,"OK","ONBEKEND")),"ONZEKER")))))</f>
        <v>ONZEKER</v>
      </c>
      <c r="V92" s="2" t="s">
        <v>13</v>
      </c>
      <c r="W92" s="2" t="s">
        <v>14</v>
      </c>
      <c r="X92" s="2" t="str">
        <f>IF($W92="","",IF(OR($BK92="",$BL92=""),"ONZEKER",IF(OR($BH92="",$BI92=""),"ONZEKER",IF(AND($BK92=$BH92+1,$BL92=$BI92),IF(OR(COUNTIF(#REF!,$B92)&gt;0,COUNTIF(#REF!,$B92)=0),"SKIP",IF(COUNTIFS(#REF!,$B92,#REF!,$W92)&gt;0,"OK","ONBEKEND")),IF(AND($BK92=$BH92,$BL92=$BI92+1),IF(OR(COUNTIF(#REF!,$D92)&gt;0,COUNTIF(#REF!,$D92)=0),"SKIP",IF(COUNTIFS(#REF!,$D92,#REF!,$W92)&gt;0,"OK","ONBEKEND")),"ONZEKER")))))</f>
        <v>ONZEKER</v>
      </c>
      <c r="Y92" s="2" t="s">
        <v>16</v>
      </c>
      <c r="Z92" s="2" t="s">
        <v>17</v>
      </c>
      <c r="AA92" s="2" t="str">
        <f>IF($Z92="","",IF(OR($BN92="",$BO92=""),"ONZEKER",IF(OR($BK92="",$BL92=""),"ONZEKER",IF(AND($BN92=$BK92+1,$BO92=$BL92),IF(OR(COUNTIF(#REF!,$B92)&gt;0,COUNTIF(#REF!,$B92)=0),"SKIP",IF(COUNTIFS(#REF!,$B92,#REF!,$Z92)&gt;0,"OK","ONBEKEND")),IF(AND($BN92=$BK92,$BO92=$BL92+1),IF(OR(COUNTIF(#REF!,$D92)&gt;0,COUNTIF(#REF!,$D92)=0),"SKIP",IF(COUNTIFS(#REF!,$D92,#REF!,$Z92)&gt;0,"OK","ONBEKEND")),"ONZEKER")))))</f>
        <v>ONZEKER</v>
      </c>
      <c r="AB92" s="2" t="s">
        <v>19</v>
      </c>
      <c r="AC92" s="2" t="s">
        <v>20</v>
      </c>
      <c r="AD92" s="2" t="str">
        <f>IF($AC92="","",IF(OR($BQ92="",$BR92=""),"ONZEKER",IF(OR($BN92="",$BO92=""),"ONZEKER",IF(AND($BQ92=$BN92+1,$BR92=$BO92),IF(OR(COUNTIF(#REF!,$B92)&gt;0,COUNTIF(#REF!,$B92)=0),"SKIP",IF(COUNTIFS(#REF!,$B92,#REF!,$AC92)&gt;0,"OK","ONBEKEND")),IF(AND($BQ92=$BN92,$BR92=$BO92+1),IF(OR(COUNTIF(#REF!,$D92)&gt;0,COUNTIF(#REF!,$D92)=0),"SKIP",IF(COUNTIFS(#REF!,$D92,#REF!,$AC92)&gt;0,"OK","ONBEKEND")),"ONZEKER")))))</f>
        <v>ONZEKER</v>
      </c>
      <c r="AE92" s="2" t="s">
        <v>22</v>
      </c>
      <c r="AF92" s="2" t="s">
        <v>23</v>
      </c>
      <c r="AG92" s="2" t="str">
        <f>IF($AF92="","",IF(OR($BT92="",$BU92=""),"ONZEKER",IF(OR($BQ92="",$BR92=""),"ONZEKER",IF(AND($BT92=$BQ92+1,$BU92=$BR92),IF(OR(COUNTIF(#REF!,$B92)&gt;0,COUNTIF(#REF!,$B92)=0),"SKIP",IF(COUNTIFS(#REF!,$B92,#REF!,$AF92)&gt;0,"OK","ONBEKEND")),IF(AND($BT92=$BQ92,$BU92=$BR92+1),IF(OR(COUNTIF(#REF!,$D92)&gt;0,COUNTIF(#REF!,$D92)=0),"SKIP",IF(COUNTIFS(#REF!,$D92,#REF!,$AF92)&gt;0,"OK","ONBEKEND")),"ONZEKER")))))</f>
        <v>ONZEKER</v>
      </c>
      <c r="AH92" s="2" t="s">
        <v>25</v>
      </c>
      <c r="AI92" s="2" t="s">
        <v>26</v>
      </c>
      <c r="AJ92" s="2" t="str">
        <f>IF($AI92="","",IF(OR($BW92="",$BX92=""),"ONZEKER",IF(OR($BT92="",$BU92=""),"ONZEKER",IF(AND($BW92=$BT92+1,$BX92=$BU92),IF(OR(COUNTIF(#REF!,$B92)&gt;0,COUNTIF(#REF!,$B92)=0),"SKIP",IF(COUNTIFS(#REF!,$B92,#REF!,$AI92)&gt;0,"OK","ONBEKEND")),IF(AND($BW92=$BT92,$BX92=$BU92+1),IF(OR(COUNTIF(#REF!,$D92)&gt;0,COUNTIF(#REF!,$D92)=0),"SKIP",IF(COUNTIFS(#REF!,$D92,#REF!,$AI92)&gt;0,"OK","ONBEKEND")),"ONZEKER")))))</f>
        <v>ONZEKER</v>
      </c>
      <c r="AK92" s="2" t="s">
        <v>28</v>
      </c>
      <c r="AL92" s="2" t="s">
        <v>29</v>
      </c>
      <c r="AM92" s="2" t="str">
        <f>IF($AL92="","",IF(OR($BZ92="",$CA92=""),"ONZEKER",IF(OR($BW92="",$BX92=""),"ONZEKER",IF(AND($BZ92=$BW92+1,$CA92=$BX92),IF(OR(COUNTIF(#REF!,$B92)&gt;0,COUNTIF(#REF!,$B92)=0),"SKIP",IF(COUNTIFS(#REF!,$B92,#REF!,$AL92)&gt;0,"OK","ONBEKEND")),IF(AND($BZ92=$BW92,$CA92=$BX92+1),IF(OR(COUNTIF(#REF!,$D92)&gt;0,COUNTIF(#REF!,$D92)=0),"SKIP",IF(COUNTIFS(#REF!,$D92,#REF!,$AL92)&gt;0,"OK","ONBEKEND")),"ONZEKER")))))</f>
        <v>ONZEKER</v>
      </c>
      <c r="AN92" s="2" t="s">
        <v>31</v>
      </c>
      <c r="AO92" s="2" t="s">
        <v>32</v>
      </c>
      <c r="AP92" s="2" t="str">
        <f>IF($AO92="","",IF(OR($CC92="",$CD92=""),"ONZEKER",IF(OR($BZ92="",$CA92=""),"ONZEKER",IF(AND($CC92=$BZ92+1,$CD92=$CA92),IF(OR(COUNTIF(#REF!,$B92)&gt;0,COUNTIF(#REF!,$B92)=0),"SKIP",IF(COUNTIFS(#REF!,$B92,#REF!,$AO92)&gt;0,"OK","ONBEKEND")),IF(AND($CC92=$BZ92,$CD92=$CA92+1),IF(OR(COUNTIF(#REF!,$D92)&gt;0,COUNTIF(#REF!,$D92)=0),"SKIP",IF(COUNTIFS(#REF!,$D92,#REF!,$AO92)&gt;0,"OK","ONBEKEND")),"ONZEKER")))))</f>
        <v>ONZEKER</v>
      </c>
      <c r="AQ92" s="2" t="s">
        <v>34</v>
      </c>
      <c r="AR92" s="2" t="s">
        <v>35</v>
      </c>
      <c r="AS92" s="2" t="str">
        <f>IF($AR92="","",IF(OR($CF92="",$CG92=""),"ONZEKER",IF(OR($CC92="",$CD92=""),"ONZEKER",IF(AND($CF92=$CC92+1,$CG92=$CD92),IF(OR(COUNTIF(#REF!,$B92)&gt;0,COUNTIF(#REF!,$B92)=0),"SKIP",IF(COUNTIFS(#REF!,$B92,#REF!,$AR92)&gt;0,"OK","ONBEKEND")),IF(AND($CF92=$CC92,$CG92=$CD92+1),IF(OR(COUNTIF(#REF!,$D92)&gt;0,COUNTIF(#REF!,$D92)=0),"SKIP",IF(COUNTIFS(#REF!,$D92,#REF!,$AR92)&gt;0,"OK","ONBEKEND")),"ONZEKER")))))</f>
        <v>ONZEKER</v>
      </c>
      <c r="AT92" s="2" t="s">
        <v>37</v>
      </c>
      <c r="AU92" s="2" t="s">
        <v>38</v>
      </c>
      <c r="AV92" s="2" t="s">
        <v>39</v>
      </c>
      <c r="AW92" s="2" t="s">
        <v>40</v>
      </c>
      <c r="AX92" s="2" t="s">
        <v>41</v>
      </c>
      <c r="AY92" s="2" t="s">
        <v>42</v>
      </c>
      <c r="AZ92" s="2" t="s">
        <v>43</v>
      </c>
      <c r="BA92" s="2" t="s">
        <v>44</v>
      </c>
      <c r="BB92" s="2" t="s">
        <v>45</v>
      </c>
      <c r="BC92" s="2" t="s">
        <v>46</v>
      </c>
      <c r="BD92" t="str">
        <f t="shared" si="490"/>
        <v/>
      </c>
      <c r="BE92" t="str">
        <f t="shared" si="491"/>
        <v/>
      </c>
      <c r="BF92" t="str">
        <f t="shared" si="492"/>
        <v/>
      </c>
      <c r="BG92" t="str">
        <f t="shared" si="493"/>
        <v/>
      </c>
      <c r="BH92" t="str">
        <f t="shared" si="494"/>
        <v/>
      </c>
      <c r="BI92" t="str">
        <f t="shared" si="495"/>
        <v/>
      </c>
      <c r="BJ92" t="str">
        <f t="shared" si="496"/>
        <v/>
      </c>
      <c r="BK92" t="str">
        <f t="shared" si="497"/>
        <v/>
      </c>
      <c r="BL92" t="str">
        <f t="shared" si="498"/>
        <v/>
      </c>
      <c r="BM92" t="str">
        <f t="shared" si="499"/>
        <v/>
      </c>
      <c r="BN92" t="str">
        <f t="shared" si="500"/>
        <v/>
      </c>
      <c r="BO92" t="str">
        <f t="shared" si="501"/>
        <v/>
      </c>
      <c r="BP92" t="str">
        <f t="shared" si="502"/>
        <v/>
      </c>
      <c r="BQ92" t="str">
        <f t="shared" si="503"/>
        <v/>
      </c>
      <c r="BR92" t="str">
        <f t="shared" si="504"/>
        <v/>
      </c>
      <c r="BS92" t="str">
        <f t="shared" si="505"/>
        <v/>
      </c>
      <c r="BT92" t="str">
        <f t="shared" si="506"/>
        <v/>
      </c>
      <c r="BU92" t="str">
        <f t="shared" si="507"/>
        <v/>
      </c>
      <c r="BV92" t="str">
        <f t="shared" si="508"/>
        <v/>
      </c>
      <c r="BW92" t="str">
        <f t="shared" si="509"/>
        <v/>
      </c>
      <c r="BX92" t="str">
        <f t="shared" si="510"/>
        <v/>
      </c>
      <c r="BY92" t="str">
        <f t="shared" si="511"/>
        <v/>
      </c>
      <c r="BZ92" t="str">
        <f t="shared" si="512"/>
        <v/>
      </c>
      <c r="CA92" t="str">
        <f t="shared" si="513"/>
        <v/>
      </c>
      <c r="CB92" t="str">
        <f t="shared" si="514"/>
        <v/>
      </c>
      <c r="CC92" t="str">
        <f t="shared" si="515"/>
        <v/>
      </c>
      <c r="CD92" t="str">
        <f t="shared" si="516"/>
        <v/>
      </c>
      <c r="CE92" t="str">
        <f t="shared" si="517"/>
        <v/>
      </c>
      <c r="CF92" t="str">
        <f t="shared" si="518"/>
        <v/>
      </c>
      <c r="CG92" t="str">
        <f t="shared" si="519"/>
        <v/>
      </c>
      <c r="CH92" s="2" t="s">
        <v>77</v>
      </c>
      <c r="CI92" s="2" t="s">
        <v>78</v>
      </c>
      <c r="CJ92" s="2" t="s">
        <v>79</v>
      </c>
      <c r="CK92" s="2" t="s">
        <v>80</v>
      </c>
      <c r="CL92" s="2" t="s">
        <v>81</v>
      </c>
      <c r="CM92" s="2" t="s">
        <v>82</v>
      </c>
      <c r="CN92" s="2" t="s">
        <v>83</v>
      </c>
      <c r="CO92" s="2" t="s">
        <v>84</v>
      </c>
      <c r="CP92" s="2" t="s">
        <v>85</v>
      </c>
      <c r="CQ92" s="2" t="s">
        <v>86</v>
      </c>
      <c r="CR92" s="2" t="s">
        <v>87</v>
      </c>
      <c r="CS92" s="2" t="s">
        <v>88</v>
      </c>
      <c r="CT92" s="2" t="s">
        <v>89</v>
      </c>
      <c r="CU92" s="2" t="s">
        <v>90</v>
      </c>
      <c r="CV92" s="2" t="s">
        <v>91</v>
      </c>
      <c r="CW92" s="2" t="s">
        <v>92</v>
      </c>
      <c r="CX92" s="2" t="s">
        <v>93</v>
      </c>
      <c r="CY92" s="2" t="s">
        <v>94</v>
      </c>
      <c r="CZ92" s="2" t="s">
        <v>95</v>
      </c>
      <c r="DA92" s="2" t="s">
        <v>96</v>
      </c>
      <c r="DB92" s="2" t="s">
        <v>97</v>
      </c>
      <c r="DC92" s="2" t="s">
        <v>98</v>
      </c>
      <c r="DD92" s="2" t="s">
        <v>99</v>
      </c>
      <c r="DE92" s="2" t="s">
        <v>100</v>
      </c>
      <c r="DF92" s="2" t="s">
        <v>101</v>
      </c>
      <c r="DG92" s="2" t="s">
        <v>102</v>
      </c>
      <c r="DH92" s="2" t="s">
        <v>103</v>
      </c>
      <c r="DI92" s="2" t="s">
        <v>104</v>
      </c>
      <c r="DJ92" s="2" t="s">
        <v>105</v>
      </c>
      <c r="DK92" s="2" t="s">
        <v>106</v>
      </c>
      <c r="DL92" s="2" t="s">
        <v>107</v>
      </c>
      <c r="DM92" s="2" t="s">
        <v>108</v>
      </c>
      <c r="DN92" s="2" t="s">
        <v>109</v>
      </c>
      <c r="DO92" s="2" t="s">
        <v>110</v>
      </c>
      <c r="DP92" s="2" t="s">
        <v>111</v>
      </c>
      <c r="DQ92" s="2" t="s">
        <v>112</v>
      </c>
      <c r="DR92" s="2" t="s">
        <v>113</v>
      </c>
      <c r="DS92" s="2" t="s">
        <v>114</v>
      </c>
      <c r="DT92" s="2" t="s">
        <v>115</v>
      </c>
      <c r="DU92" s="2" t="s">
        <v>116</v>
      </c>
      <c r="DV92" s="2" t="s">
        <v>117</v>
      </c>
      <c r="DW92" s="2" t="s">
        <v>118</v>
      </c>
      <c r="DX92" s="2" t="s">
        <v>119</v>
      </c>
      <c r="DY92" s="2" t="s">
        <v>120</v>
      </c>
      <c r="DZ92" s="2" t="s">
        <v>121</v>
      </c>
      <c r="EA92" s="2" t="s">
        <v>122</v>
      </c>
      <c r="EB92" s="2" t="s">
        <v>123</v>
      </c>
      <c r="EC92" s="2" t="s">
        <v>124</v>
      </c>
      <c r="ED92" s="2" t="s">
        <v>125</v>
      </c>
      <c r="EE92" s="2" t="s">
        <v>126</v>
      </c>
      <c r="EF92" s="2" t="s">
        <v>127</v>
      </c>
      <c r="EG92" s="2" t="s">
        <v>128</v>
      </c>
      <c r="EH92" s="2" t="s">
        <v>129</v>
      </c>
      <c r="EI92" s="2" t="s">
        <v>130</v>
      </c>
      <c r="EJ92" s="2" t="s">
        <v>131</v>
      </c>
      <c r="EK92" s="2" t="s">
        <v>132</v>
      </c>
      <c r="EL92" s="2" t="s">
        <v>133</v>
      </c>
      <c r="EM92" s="2" t="s">
        <v>134</v>
      </c>
      <c r="EN92" s="2" t="s">
        <v>135</v>
      </c>
      <c r="EO92" s="2" t="s">
        <v>136</v>
      </c>
      <c r="EP92" s="2" t="s">
        <v>137</v>
      </c>
      <c r="EQ92" s="2" t="s">
        <v>138</v>
      </c>
      <c r="ER92" s="2" t="s">
        <v>139</v>
      </c>
      <c r="ES92" s="2" t="s">
        <v>140</v>
      </c>
      <c r="ET92" s="2" t="s">
        <v>141</v>
      </c>
      <c r="EU92" s="2" t="s">
        <v>142</v>
      </c>
      <c r="EV92" s="2" t="s">
        <v>143</v>
      </c>
      <c r="EW92" s="2" t="s">
        <v>144</v>
      </c>
      <c r="EX92" s="2" t="s">
        <v>145</v>
      </c>
      <c r="EY92" s="2" t="s">
        <v>146</v>
      </c>
    </row>
    <row r="93" spans="1:155" ht="13.9" customHeight="1" x14ac:dyDescent="0.25">
      <c r="A93" s="7"/>
      <c r="B93" s="17"/>
      <c r="C93" s="8"/>
      <c r="D93" s="17"/>
      <c r="E93" s="8"/>
      <c r="F93" s="18">
        <v>0</v>
      </c>
      <c r="G93" s="7" t="s">
        <v>147</v>
      </c>
      <c r="H93" s="18">
        <v>0</v>
      </c>
      <c r="I93" s="19">
        <v>0</v>
      </c>
      <c r="J93" s="7" t="s">
        <v>147</v>
      </c>
      <c r="K93" s="19">
        <v>0</v>
      </c>
      <c r="L93" s="9"/>
      <c r="M93" s="3" t="str">
        <f>IF($L93="","",IF($L93="DOELPUNTENMAKERS","",IF(AND(COUNTIF(#REF!,$B93)=0,COUNTIF(#REF!,$D93)=0),"OK",IF($O93&gt;20,"LET OP: meer dan 20 items (controle onvolledig)",IF((COUNTIF($R93:$AS93,"ONZEKER")+COUNTIF($CJ93:$DK93,"ONZEKER"))&gt;0,"LET OP: scoreverloop onduidelijk (controle beperkt)",IF((IF($AT93&lt;&gt;"",$AT93&amp;", ","")&amp;IF($AU93&lt;&gt;"",$AU93&amp;", ","")&amp;IF($AV93&lt;&gt;"",$AV93&amp;", ","")&amp;IF($AW93&lt;&gt;"",$AW93&amp;", ","")&amp;IF($AX93&lt;&gt;"",$AX93&amp;", ","")&amp;IF($AY93&lt;&gt;"",$AY93&amp;", ","")&amp;IF($AZ93&lt;&gt;"",$AZ93&amp;", ","")&amp;IF($BA93&lt;&gt;"",$BA93&amp;", ","")&amp;IF($BB93&lt;&gt;"",$BB93&amp;", ","")&amp;IF($BC93&lt;&gt;"",$BC93&amp;", ","")&amp;IF($DL93&lt;&gt;"",$DL93&amp;", ","")&amp;IF($DM93&lt;&gt;"",$DM93&amp;", ","")&amp;IF($DN93&lt;&gt;"",$DN93&amp;", ","")&amp;IF($DO93&lt;&gt;"",$DO93&amp;", ","")&amp;IF($DP93&lt;&gt;"",$DP93&amp;", ","")&amp;IF($DQ93&lt;&gt;"",$DQ93&amp;", ","")&amp;IF($DR93&lt;&gt;"",$DR93&amp;", ","")&amp;IF($DS93&lt;&gt;"",$DS93&amp;", ","")&amp;IF($DT93&lt;&gt;"",$DT93&amp;", ","")&amp;IF($DU93&lt;&gt;"",$DU93&amp;", ",""))="","OK","Onbekend: "&amp;LEFT((IF($AT93&lt;&gt;"",$AT93&amp;", ","")&amp;IF($AU93&lt;&gt;"",$AU93&amp;", ","")&amp;IF($AV93&lt;&gt;"",$AV93&amp;", ","")&amp;IF($AW93&lt;&gt;"",$AW93&amp;", ","")&amp;IF($AX93&lt;&gt;"",$AX93&amp;", ","")&amp;IF($AY93&lt;&gt;"",$AY93&amp;", ","")&amp;IF($AZ93&lt;&gt;"",$AZ93&amp;", ","")&amp;IF($BA93&lt;&gt;"",$BA93&amp;", ","")&amp;IF($BB93&lt;&gt;"",$BB93&amp;", ","")&amp;IF($BC93&lt;&gt;"",$BC93&amp;", ","")&amp;IF($DL93&lt;&gt;"",$DL93&amp;", ","")&amp;IF($DM93&lt;&gt;"",$DM93&amp;", ","")&amp;IF($DN93&lt;&gt;"",$DN93&amp;", ","")&amp;IF($DO93&lt;&gt;"",$DO93&amp;", ","")&amp;IF($DP93&lt;&gt;"",$DP93&amp;", ","")&amp;IF($DQ93&lt;&gt;"",$DQ93&amp;", ","")&amp;IF($DR93&lt;&gt;"",$DR93&amp;", ","")&amp;IF($DS93&lt;&gt;"",$DS93&amp;", ","")&amp;IF($DT93&lt;&gt;"",$DT93&amp;", ","")&amp;IF($DU93&lt;&gt;"",$DU93&amp;", ","")),LEN((IF($AT93&lt;&gt;"",$AT93&amp;", ","")&amp;IF($AU93&lt;&gt;"",$AU93&amp;", ","")&amp;IF($AV93&lt;&gt;"",$AV93&amp;", ","")&amp;IF($AW93&lt;&gt;"",$AW93&amp;", ","")&amp;IF($AX93&lt;&gt;"",$AX93&amp;", ","")&amp;IF($AY93&lt;&gt;"",$AY93&amp;", ","")&amp;IF($AZ93&lt;&gt;"",$AZ93&amp;", ","")&amp;IF($BA93&lt;&gt;"",$BA93&amp;", ","")&amp;IF($BB93&lt;&gt;"",$BB93&amp;", ","")&amp;IF($BC93&lt;&gt;"",$BC93&amp;", ","")&amp;IF($DL93&lt;&gt;"",$DL93&amp;", ","")&amp;IF($DM93&lt;&gt;"",$DM93&amp;", ","")&amp;IF($DN93&lt;&gt;"",$DN93&amp;", ","")&amp;IF($DO93&lt;&gt;"",$DO93&amp;", ","")&amp;IF($DP93&lt;&gt;"",$DP93&amp;", ","")&amp;IF($DQ93&lt;&gt;"",$DQ93&amp;", ","")&amp;IF($DR93&lt;&gt;"",$DR93&amp;", ","")&amp;IF($DS93&lt;&gt;"",$DS93&amp;", ","")&amp;IF($DT93&lt;&gt;"",$DT93&amp;", ","")&amp;IF($DU93&lt;&gt;"",$DU93&amp;", ","")))-2)))))))</f>
        <v/>
      </c>
      <c r="N93" t="str">
        <f t="shared" ref="N93:N104" si="704">IF($L93="","",TRIM(IF(RIGHT(SUBSTITUTE($L93,CHAR(160)," "),1)=".",LEFT(SUBSTITUTE($L93,CHAR(160)," "),LEN(SUBSTITUTE($L93,CHAR(160)," "))-1),SUBSTITUTE($L93,CHAR(160)," "))))</f>
        <v/>
      </c>
      <c r="O93" t="str">
        <f t="shared" ref="O93:O104" si="705">IF($N93="","",LEN($N93)-LEN(SUBSTITUTE($N93,",",""))+1)</f>
        <v/>
      </c>
      <c r="P93" t="str">
        <f t="shared" ref="P93:P104" si="706">IF($N93="","",TRIM(MID(SUBSTITUTE($N93,",",REPT(" ",200)),1,200)))</f>
        <v/>
      </c>
      <c r="Q93" t="str">
        <f t="shared" ref="Q93:Q104" si="707">IF(P93="","",TRIM(IFERROR(LEFT(P93,FIND("§",SUBSTITUTE(P93," ","§",LEN(P93)-LEN(SUBSTITUTE(P93," ",""))))-1),P93)))</f>
        <v/>
      </c>
      <c r="R93" t="str">
        <f>IF($Q93="","",IF(OR($BE93="",$BF93=""),"ONZEKER",IF(AND($BE93=0+1,$BF93=0),IF(OR(COUNTIF(#REF!,$B93)&gt;0,COUNTIF(#REF!,$B93)=0),"SKIP",IF(COUNTIFS(#REF!,$B93,#REF!,$Q93)&gt;0,"OK","ONBEKEND")),IF(AND($BE93=0,$BF93=0+1),IF(OR(COUNTIF(#REF!,$D93)&gt;0,COUNTIF(#REF!,$D93)=0),"SKIP",IF(COUNTIFS(#REF!,$D93,#REF!,$Q93)&gt;0,"OK","ONBEKEND")),"ONZEKER"))))</f>
        <v/>
      </c>
      <c r="S93" t="str">
        <f t="shared" ref="S93:S104" si="708">IF($N93="","",TRIM(MID(SUBSTITUTE($N93,",",REPT(" ",200)),201,200)))</f>
        <v/>
      </c>
      <c r="T93" t="str">
        <f t="shared" ref="T93:T104" si="709">IF(S93="","",TRIM(IFERROR(LEFT(S93,FIND("§",SUBSTITUTE(S93," ","§",LEN(S93)-LEN(SUBSTITUTE(S93," ",""))))-1),S93)))</f>
        <v/>
      </c>
      <c r="U93" t="str">
        <f>IF($T93="","",IF(OR($BH93="",$BI93=""),"ONZEKER",IF(OR($BE93="",$BF93=""),"ONZEKER",IF(AND($BH93=$BE93+1,$BI93=$BF93),IF(OR(COUNTIF(#REF!,$B93)&gt;0,COUNTIF(#REF!,$B93)=0),"SKIP",IF(COUNTIFS(#REF!,$B93,#REF!,$T93)&gt;0,"OK","ONBEKEND")),IF(AND($BH93=$BE93,$BI93=$BF93+1),IF(OR(COUNTIF(#REF!,$D93)&gt;0,COUNTIF(#REF!,$D93)=0),"SKIP",IF(COUNTIFS(#REF!,$D93,#REF!,$T93)&gt;0,"OK","ONBEKEND")),"ONZEKER")))))</f>
        <v/>
      </c>
      <c r="V93" t="str">
        <f t="shared" ref="V93:V104" si="710">IF($N93="","",TRIM(MID(SUBSTITUTE($N93,",",REPT(" ",200)),401,200)))</f>
        <v/>
      </c>
      <c r="W93" t="str">
        <f t="shared" ref="W93:W104" si="711">IF(V93="","",TRIM(IFERROR(LEFT(V93,FIND("§",SUBSTITUTE(V93," ","§",LEN(V93)-LEN(SUBSTITUTE(V93," ",""))))-1),V93)))</f>
        <v/>
      </c>
      <c r="X93" t="str">
        <f>IF($W93="","",IF(OR($BK93="",$BL93=""),"ONZEKER",IF(OR($BH93="",$BI93=""),"ONZEKER",IF(AND($BK93=$BH93+1,$BL93=$BI93),IF(OR(COUNTIF(#REF!,$B93)&gt;0,COUNTIF(#REF!,$B93)=0),"SKIP",IF(COUNTIFS(#REF!,$B93,#REF!,$W93)&gt;0,"OK","ONBEKEND")),IF(AND($BK93=$BH93,$BL93=$BI93+1),IF(OR(COUNTIF(#REF!,$D93)&gt;0,COUNTIF(#REF!,$D93)=0),"SKIP",IF(COUNTIFS(#REF!,$D93,#REF!,$W93)&gt;0,"OK","ONBEKEND")),"ONZEKER")))))</f>
        <v/>
      </c>
      <c r="Y93" t="str">
        <f t="shared" ref="Y93:Y104" si="712">IF($N93="","",TRIM(MID(SUBSTITUTE($N93,",",REPT(" ",200)),601,200)))</f>
        <v/>
      </c>
      <c r="Z93" t="str">
        <f t="shared" ref="Z93:Z104" si="713">IF(Y93="","",TRIM(IFERROR(LEFT(Y93,FIND("§",SUBSTITUTE(Y93," ","§",LEN(Y93)-LEN(SUBSTITUTE(Y93," ",""))))-1),Y93)))</f>
        <v/>
      </c>
      <c r="AA93" t="str">
        <f>IF($Z93="","",IF(OR($BN93="",$BO93=""),"ONZEKER",IF(OR($BK93="",$BL93=""),"ONZEKER",IF(AND($BN93=$BK93+1,$BO93=$BL93),IF(OR(COUNTIF(#REF!,$B93)&gt;0,COUNTIF(#REF!,$B93)=0),"SKIP",IF(COUNTIFS(#REF!,$B93,#REF!,$Z93)&gt;0,"OK","ONBEKEND")),IF(AND($BN93=$BK93,$BO93=$BL93+1),IF(OR(COUNTIF(#REF!,$D93)&gt;0,COUNTIF(#REF!,$D93)=0),"SKIP",IF(COUNTIFS(#REF!,$D93,#REF!,$Z93)&gt;0,"OK","ONBEKEND")),"ONZEKER")))))</f>
        <v/>
      </c>
      <c r="AB93" t="str">
        <f t="shared" ref="AB93:AB104" si="714">IF($N93="","",TRIM(MID(SUBSTITUTE($N93,",",REPT(" ",200)),801,200)))</f>
        <v/>
      </c>
      <c r="AC93" t="str">
        <f t="shared" ref="AC93:AC104" si="715">IF(AB93="","",TRIM(IFERROR(LEFT(AB93,FIND("§",SUBSTITUTE(AB93," ","§",LEN(AB93)-LEN(SUBSTITUTE(AB93," ",""))))-1),AB93)))</f>
        <v/>
      </c>
      <c r="AD93" t="str">
        <f>IF($AC93="","",IF(OR($BQ93="",$BR93=""),"ONZEKER",IF(OR($BN93="",$BO93=""),"ONZEKER",IF(AND($BQ93=$BN93+1,$BR93=$BO93),IF(OR(COUNTIF(#REF!,$B93)&gt;0,COUNTIF(#REF!,$B93)=0),"SKIP",IF(COUNTIFS(#REF!,$B93,#REF!,$AC93)&gt;0,"OK","ONBEKEND")),IF(AND($BQ93=$BN93,$BR93=$BO93+1),IF(OR(COUNTIF(#REF!,$D93)&gt;0,COUNTIF(#REF!,$D93)=0),"SKIP",IF(COUNTIFS(#REF!,$D93,#REF!,$AC93)&gt;0,"OK","ONBEKEND")),"ONZEKER")))))</f>
        <v/>
      </c>
      <c r="AE93" t="str">
        <f t="shared" ref="AE93:AE104" si="716">IF($N93="","",TRIM(MID(SUBSTITUTE($N93,",",REPT(" ",200)),1001,200)))</f>
        <v/>
      </c>
      <c r="AF93" t="str">
        <f t="shared" ref="AF93:AF104" si="717">IF(AE93="","",TRIM(IFERROR(LEFT(AE93,FIND("§",SUBSTITUTE(AE93," ","§",LEN(AE93)-LEN(SUBSTITUTE(AE93," ",""))))-1),AE93)))</f>
        <v/>
      </c>
      <c r="AG93" t="str">
        <f>IF($AF93="","",IF(OR($BT93="",$BU93=""),"ONZEKER",IF(OR($BQ93="",$BR93=""),"ONZEKER",IF(AND($BT93=$BQ93+1,$BU93=$BR93),IF(OR(COUNTIF(#REF!,$B93)&gt;0,COUNTIF(#REF!,$B93)=0),"SKIP",IF(COUNTIFS(#REF!,$B93,#REF!,$AF93)&gt;0,"OK","ONBEKEND")),IF(AND($BT93=$BQ93,$BU93=$BR93+1),IF(OR(COUNTIF(#REF!,$D93)&gt;0,COUNTIF(#REF!,$D93)=0),"SKIP",IF(COUNTIFS(#REF!,$D93,#REF!,$AF93)&gt;0,"OK","ONBEKEND")),"ONZEKER")))))</f>
        <v/>
      </c>
      <c r="AH93" t="str">
        <f t="shared" ref="AH93:AH104" si="718">IF($N93="","",TRIM(MID(SUBSTITUTE($N93,",",REPT(" ",200)),1201,200)))</f>
        <v/>
      </c>
      <c r="AI93" t="str">
        <f t="shared" ref="AI93:AI104" si="719">IF(AH93="","",TRIM(IFERROR(LEFT(AH93,FIND("§",SUBSTITUTE(AH93," ","§",LEN(AH93)-LEN(SUBSTITUTE(AH93," ",""))))-1),AH93)))</f>
        <v/>
      </c>
      <c r="AJ93" t="str">
        <f>IF($AI93="","",IF(OR($BW93="",$BX93=""),"ONZEKER",IF(OR($BT93="",$BU93=""),"ONZEKER",IF(AND($BW93=$BT93+1,$BX93=$BU93),IF(OR(COUNTIF(#REF!,$B93)&gt;0,COUNTIF(#REF!,$B93)=0),"SKIP",IF(COUNTIFS(#REF!,$B93,#REF!,$AI93)&gt;0,"OK","ONBEKEND")),IF(AND($BW93=$BT93,$BX93=$BU93+1),IF(OR(COUNTIF(#REF!,$D93)&gt;0,COUNTIF(#REF!,$D93)=0),"SKIP",IF(COUNTIFS(#REF!,$D93,#REF!,$AI93)&gt;0,"OK","ONBEKEND")),"ONZEKER")))))</f>
        <v/>
      </c>
      <c r="AK93" t="str">
        <f t="shared" ref="AK93:AK104" si="720">IF($N93="","",TRIM(MID(SUBSTITUTE($N93,",",REPT(" ",200)),1401,200)))</f>
        <v/>
      </c>
      <c r="AL93" t="str">
        <f t="shared" ref="AL93:AL104" si="721">IF(AK93="","",TRIM(IFERROR(LEFT(AK93,FIND("§",SUBSTITUTE(AK93," ","§",LEN(AK93)-LEN(SUBSTITUTE(AK93," ",""))))-1),AK93)))</f>
        <v/>
      </c>
      <c r="AM93" t="str">
        <f>IF($AL93="","",IF(OR($BZ93="",$CA93=""),"ONZEKER",IF(OR($BW93="",$BX93=""),"ONZEKER",IF(AND($BZ93=$BW93+1,$CA93=$BX93),IF(OR(COUNTIF(#REF!,$B93)&gt;0,COUNTIF(#REF!,$B93)=0),"SKIP",IF(COUNTIFS(#REF!,$B93,#REF!,$AL93)&gt;0,"OK","ONBEKEND")),IF(AND($BZ93=$BW93,$CA93=$BX93+1),IF(OR(COUNTIF(#REF!,$D93)&gt;0,COUNTIF(#REF!,$D93)=0),"SKIP",IF(COUNTIFS(#REF!,$D93,#REF!,$AL93)&gt;0,"OK","ONBEKEND")),"ONZEKER")))))</f>
        <v/>
      </c>
      <c r="AN93" t="str">
        <f t="shared" ref="AN93:AN104" si="722">IF($N93="","",TRIM(MID(SUBSTITUTE($N93,",",REPT(" ",200)),1601,200)))</f>
        <v/>
      </c>
      <c r="AO93" t="str">
        <f t="shared" ref="AO93:AO104" si="723">IF(AN93="","",TRIM(IFERROR(LEFT(AN93,FIND("§",SUBSTITUTE(AN93," ","§",LEN(AN93)-LEN(SUBSTITUTE(AN93," ",""))))-1),AN93)))</f>
        <v/>
      </c>
      <c r="AP93" t="str">
        <f>IF($AO93="","",IF(OR($CC93="",$CD93=""),"ONZEKER",IF(OR($BZ93="",$CA93=""),"ONZEKER",IF(AND($CC93=$BZ93+1,$CD93=$CA93),IF(OR(COUNTIF(#REF!,$B93)&gt;0,COUNTIF(#REF!,$B93)=0),"SKIP",IF(COUNTIFS(#REF!,$B93,#REF!,$AO93)&gt;0,"OK","ONBEKEND")),IF(AND($CC93=$BZ93,$CD93=$CA93+1),IF(OR(COUNTIF(#REF!,$D93)&gt;0,COUNTIF(#REF!,$D93)=0),"SKIP",IF(COUNTIFS(#REF!,$D93,#REF!,$AO93)&gt;0,"OK","ONBEKEND")),"ONZEKER")))))</f>
        <v/>
      </c>
      <c r="AQ93" t="str">
        <f t="shared" ref="AQ93:AQ104" si="724">IF($N93="","",TRIM(MID(SUBSTITUTE($N93,",",REPT(" ",200)),1801,200)))</f>
        <v/>
      </c>
      <c r="AR93" t="str">
        <f t="shared" ref="AR93:AR104" si="725">IF(AQ93="","",TRIM(IFERROR(LEFT(AQ93,FIND("§",SUBSTITUTE(AQ93," ","§",LEN(AQ93)-LEN(SUBSTITUTE(AQ93," ",""))))-1),AQ93)))</f>
        <v/>
      </c>
      <c r="AS93" t="str">
        <f>IF($AR93="","",IF(OR($CF93="",$CG93=""),"ONZEKER",IF(OR($CC93="",$CD93=""),"ONZEKER",IF(AND($CF93=$CC93+1,$CG93=$CD93),IF(OR(COUNTIF(#REF!,$B93)&gt;0,COUNTIF(#REF!,$B93)=0),"SKIP",IF(COUNTIFS(#REF!,$B93,#REF!,$AR93)&gt;0,"OK","ONBEKEND")),IF(AND($CF93=$CC93,$CG93=$CD93+1),IF(OR(COUNTIF(#REF!,$D93)&gt;0,COUNTIF(#REF!,$D93)=0),"SKIP",IF(COUNTIFS(#REF!,$D93,#REF!,$AR93)&gt;0,"OK","ONBEKEND")),"ONZEKER")))))</f>
        <v/>
      </c>
      <c r="AT93" t="str">
        <f t="shared" ref="AT93:AT104" si="726">IF(R93="ONBEKEND",Q93,"")</f>
        <v/>
      </c>
      <c r="AU93" t="str">
        <f t="shared" ref="AU93:AU104" si="727">IF(U93="ONBEKEND",T93,"")</f>
        <v/>
      </c>
      <c r="AV93" t="str">
        <f t="shared" ref="AV93:AV104" si="728">IF(X93="ONBEKEND",W93,"")</f>
        <v/>
      </c>
      <c r="AW93" t="str">
        <f t="shared" ref="AW93:AW104" si="729">IF(AA93="ONBEKEND",Z93,"")</f>
        <v/>
      </c>
      <c r="AX93" t="str">
        <f t="shared" ref="AX93:AX104" si="730">IF(AD93="ONBEKEND",AC93,"")</f>
        <v/>
      </c>
      <c r="AY93" t="str">
        <f t="shared" ref="AY93:AY104" si="731">IF(AG93="ONBEKEND",AF93,"")</f>
        <v/>
      </c>
      <c r="AZ93" t="str">
        <f t="shared" ref="AZ93:AZ104" si="732">IF(AJ93="ONBEKEND",AI93,"")</f>
        <v/>
      </c>
      <c r="BA93" t="str">
        <f t="shared" ref="BA93:BA104" si="733">IF(AM93="ONBEKEND",AL93,"")</f>
        <v/>
      </c>
      <c r="BB93" t="str">
        <f t="shared" ref="BB93:BB104" si="734">IF(AP93="ONBEKEND",AO93,"")</f>
        <v/>
      </c>
      <c r="BC93" t="str">
        <f t="shared" ref="BC93:BC104" si="735">IF(AS93="ONBEKEND",AR93,"")</f>
        <v/>
      </c>
      <c r="BD93" t="str">
        <f t="shared" si="490"/>
        <v/>
      </c>
      <c r="BE93" t="str">
        <f t="shared" si="491"/>
        <v/>
      </c>
      <c r="BF93" t="str">
        <f t="shared" si="492"/>
        <v/>
      </c>
      <c r="BG93" t="str">
        <f t="shared" si="493"/>
        <v/>
      </c>
      <c r="BH93" t="str">
        <f t="shared" si="494"/>
        <v/>
      </c>
      <c r="BI93" t="str">
        <f t="shared" si="495"/>
        <v/>
      </c>
      <c r="BJ93" t="str">
        <f t="shared" si="496"/>
        <v/>
      </c>
      <c r="BK93" t="str">
        <f t="shared" si="497"/>
        <v/>
      </c>
      <c r="BL93" t="str">
        <f t="shared" si="498"/>
        <v/>
      </c>
      <c r="BM93" t="str">
        <f t="shared" si="499"/>
        <v/>
      </c>
      <c r="BN93" t="str">
        <f t="shared" si="500"/>
        <v/>
      </c>
      <c r="BO93" t="str">
        <f t="shared" si="501"/>
        <v/>
      </c>
      <c r="BP93" t="str">
        <f t="shared" si="502"/>
        <v/>
      </c>
      <c r="BQ93" t="str">
        <f t="shared" si="503"/>
        <v/>
      </c>
      <c r="BR93" t="str">
        <f t="shared" si="504"/>
        <v/>
      </c>
      <c r="BS93" t="str">
        <f t="shared" si="505"/>
        <v/>
      </c>
      <c r="BT93" t="str">
        <f t="shared" si="506"/>
        <v/>
      </c>
      <c r="BU93" t="str">
        <f t="shared" si="507"/>
        <v/>
      </c>
      <c r="BV93" t="str">
        <f t="shared" si="508"/>
        <v/>
      </c>
      <c r="BW93" t="str">
        <f t="shared" si="509"/>
        <v/>
      </c>
      <c r="BX93" t="str">
        <f t="shared" si="510"/>
        <v/>
      </c>
      <c r="BY93" t="str">
        <f t="shared" si="511"/>
        <v/>
      </c>
      <c r="BZ93" t="str">
        <f t="shared" si="512"/>
        <v/>
      </c>
      <c r="CA93" t="str">
        <f t="shared" si="513"/>
        <v/>
      </c>
      <c r="CB93" t="str">
        <f t="shared" si="514"/>
        <v/>
      </c>
      <c r="CC93" t="str">
        <f t="shared" si="515"/>
        <v/>
      </c>
      <c r="CD93" t="str">
        <f t="shared" si="516"/>
        <v/>
      </c>
      <c r="CE93" t="str">
        <f t="shared" si="517"/>
        <v/>
      </c>
      <c r="CF93" t="str">
        <f t="shared" si="518"/>
        <v/>
      </c>
      <c r="CG93" t="str">
        <f t="shared" si="519"/>
        <v/>
      </c>
      <c r="CH93" t="str">
        <f t="shared" ref="CH93:CH104" si="736">IF($N93="","",TRIM(MID(SUBSTITUTE($N93,",",REPT(" ",200)),2001,200)))</f>
        <v/>
      </c>
      <c r="CI93" t="str">
        <f t="shared" ref="CI93:CI104" si="737">IF(CH93="","",TRIM(IFERROR(LEFT(CH93,FIND("§",SUBSTITUTE(CH93," ","§",LEN(CH93)-LEN(SUBSTITUTE(CH93," ",""))))-1),CH93)))</f>
        <v/>
      </c>
      <c r="CJ93" t="str">
        <f>IF($CI93="","",IF(OR($DW93="",$DX93=""),"ONZEKER",IF(OR($CF93="",$CG93=""),"ONZEKER",IF(AND($DW93=$CF93+1,$DX93=$CG93),IF(OR(COUNTIF(#REF!,$B93)&gt;0,COUNTIF(#REF!,$B93)=0),"SKIP",IF(COUNTIFS(#REF!,$B93,#REF!,$CI93)&gt;0,"OK","ONBEKEND")),IF(AND($DW93=$CF93,$DX93=$CG93+1),IF(OR(COUNTIF(#REF!,$D93)&gt;0,COUNTIF(#REF!,$D93)=0),"SKIP",IF(COUNTIFS(#REF!,$D93,#REF!,$CI93)&gt;0,"OK","ONBEKEND")),"ONZEKER")))))</f>
        <v/>
      </c>
      <c r="CK93" t="str">
        <f t="shared" ref="CK93:CK104" si="738">IF($N93="","",TRIM(MID(SUBSTITUTE($N93,",",REPT(" ",200)),2201,200)))</f>
        <v/>
      </c>
      <c r="CL93" t="str">
        <f t="shared" ref="CL93:CL104" si="739">IF(CK93="","",TRIM(IFERROR(LEFT(CK93,FIND("§",SUBSTITUTE(CK93," ","§",LEN(CK93)-LEN(SUBSTITUTE(CK93," ",""))))-1),CK93)))</f>
        <v/>
      </c>
      <c r="CM93" t="str">
        <f>IF($CL93="","",IF(OR($DZ93="",$EA93=""),"ONZEKER",IF(OR($DW93="",$DX93=""),"ONZEKER",IF(AND($DZ93=$DW93+1,$EA93=$DX93),IF(OR(COUNTIF(#REF!,$B93)&gt;0,COUNTIF(#REF!,$B93)=0),"SKIP",IF(COUNTIFS(#REF!,$B93,#REF!,$CL93)&gt;0,"OK","ONBEKEND")),IF(AND($DZ93=$DW93,$EA93=$DX93+1),IF(OR(COUNTIF(#REF!,$D93)&gt;0,COUNTIF(#REF!,$D93)=0),"SKIP",IF(COUNTIFS(#REF!,$D93,#REF!,$CL93)&gt;0,"OK","ONBEKEND")),"ONZEKER")))))</f>
        <v/>
      </c>
      <c r="CN93" t="str">
        <f t="shared" ref="CN93:CN104" si="740">IF($N93="","",TRIM(MID(SUBSTITUTE($N93,",",REPT(" ",200)),2401,200)))</f>
        <v/>
      </c>
      <c r="CO93" t="str">
        <f t="shared" ref="CO93:CO104" si="741">IF(CN93="","",TRIM(IFERROR(LEFT(CN93,FIND("§",SUBSTITUTE(CN93," ","§",LEN(CN93)-LEN(SUBSTITUTE(CN93," ",""))))-1),CN93)))</f>
        <v/>
      </c>
      <c r="CP93" t="str">
        <f>IF($CO93="","",IF(OR($EC93="",$ED93=""),"ONZEKER",IF(OR($DZ93="",$EA93=""),"ONZEKER",IF(AND($EC93=$DZ93+1,$ED93=$EA93),IF(OR(COUNTIF(#REF!,$B93)&gt;0,COUNTIF(#REF!,$B93)=0),"SKIP",IF(COUNTIFS(#REF!,$B93,#REF!,$CO93)&gt;0,"OK","ONBEKEND")),IF(AND($EC93=$DZ93,$ED93=$EA93+1),IF(OR(COUNTIF(#REF!,$D93)&gt;0,COUNTIF(#REF!,$D93)=0),"SKIP",IF(COUNTIFS(#REF!,$D93,#REF!,$CO93)&gt;0,"OK","ONBEKEND")),"ONZEKER")))))</f>
        <v/>
      </c>
      <c r="CQ93" t="str">
        <f t="shared" ref="CQ93:CQ104" si="742">IF($N93="","",TRIM(MID(SUBSTITUTE($N93,",",REPT(" ",200)),2601,200)))</f>
        <v/>
      </c>
      <c r="CR93" t="str">
        <f t="shared" ref="CR93:CR104" si="743">IF(CQ93="","",TRIM(IFERROR(LEFT(CQ93,FIND("§",SUBSTITUTE(CQ93," ","§",LEN(CQ93)-LEN(SUBSTITUTE(CQ93," ",""))))-1),CQ93)))</f>
        <v/>
      </c>
      <c r="CS93" t="str">
        <f>IF($CR93="","",IF(OR($EF93="",$EG93=""),"ONZEKER",IF(OR($EC93="",$ED93=""),"ONZEKER",IF(AND($EF93=$EC93+1,$EG93=$ED93),IF(OR(COUNTIF(#REF!,$B93)&gt;0,COUNTIF(#REF!,$B93)=0),"SKIP",IF(COUNTIFS(#REF!,$B93,#REF!,$CR93)&gt;0,"OK","ONBEKEND")),IF(AND($EF93=$EC93,$EG93=$ED93+1),IF(OR(COUNTIF(#REF!,$D93)&gt;0,COUNTIF(#REF!,$D93)=0),"SKIP",IF(COUNTIFS(#REF!,$D93,#REF!,$CR93)&gt;0,"OK","ONBEKEND")),"ONZEKER")))))</f>
        <v/>
      </c>
      <c r="CT93" t="str">
        <f t="shared" ref="CT93:CT104" si="744">IF($N93="","",TRIM(MID(SUBSTITUTE($N93,",",REPT(" ",200)),2801,200)))</f>
        <v/>
      </c>
      <c r="CU93" t="str">
        <f t="shared" ref="CU93:CU104" si="745">IF(CT93="","",TRIM(IFERROR(LEFT(CT93,FIND("§",SUBSTITUTE(CT93," ","§",LEN(CT93)-LEN(SUBSTITUTE(CT93," ",""))))-1),CT93)))</f>
        <v/>
      </c>
      <c r="CV93" t="str">
        <f>IF($CU93="","",IF(OR($EI93="",$EJ93=""),"ONZEKER",IF(OR($EF93="",$EG93=""),"ONZEKER",IF(AND($EI93=$EF93+1,$EJ93=$EG93),IF(OR(COUNTIF(#REF!,$B93)&gt;0,COUNTIF(#REF!,$B93)=0),"SKIP",IF(COUNTIFS(#REF!,$B93,#REF!,$CU93)&gt;0,"OK","ONBEKEND")),IF(AND($EI93=$EF93,$EJ93=$EG93+1),IF(OR(COUNTIF(#REF!,$D93)&gt;0,COUNTIF(#REF!,$D93)=0),"SKIP",IF(COUNTIFS(#REF!,$D93,#REF!,$CU93)&gt;0,"OK","ONBEKEND")),"ONZEKER")))))</f>
        <v/>
      </c>
      <c r="CW93" t="str">
        <f t="shared" ref="CW93:CW104" si="746">IF($N93="","",TRIM(MID(SUBSTITUTE($N93,",",REPT(" ",200)),3001,200)))</f>
        <v/>
      </c>
      <c r="CX93" t="str">
        <f t="shared" ref="CX93:CX104" si="747">IF(CW93="","",TRIM(IFERROR(LEFT(CW93,FIND("§",SUBSTITUTE(CW93," ","§",LEN(CW93)-LEN(SUBSTITUTE(CW93," ",""))))-1),CW93)))</f>
        <v/>
      </c>
      <c r="CY93" t="str">
        <f>IF($CX93="","",IF(OR($EL93="",$EM93=""),"ONZEKER",IF(OR($EI93="",$EJ93=""),"ONZEKER",IF(AND($EL93=$EI93+1,$EM93=$EJ93),IF(OR(COUNTIF(#REF!,$B93)&gt;0,COUNTIF(#REF!,$B93)=0),"SKIP",IF(COUNTIFS(#REF!,$B93,#REF!,$CX93)&gt;0,"OK","ONBEKEND")),IF(AND($EL93=$EI93,$EM93=$EJ93+1),IF(OR(COUNTIF(#REF!,$D93)&gt;0,COUNTIF(#REF!,$D93)=0),"SKIP",IF(COUNTIFS(#REF!,$D93,#REF!,$CX93)&gt;0,"OK","ONBEKEND")),"ONZEKER")))))</f>
        <v/>
      </c>
      <c r="CZ93" t="str">
        <f t="shared" ref="CZ93:CZ104" si="748">IF($N93="","",TRIM(MID(SUBSTITUTE($N93,",",REPT(" ",200)),3201,200)))</f>
        <v/>
      </c>
      <c r="DA93" t="str">
        <f t="shared" ref="DA93:DA104" si="749">IF(CZ93="","",TRIM(IFERROR(LEFT(CZ93,FIND("§",SUBSTITUTE(CZ93," ","§",LEN(CZ93)-LEN(SUBSTITUTE(CZ93," ",""))))-1),CZ93)))</f>
        <v/>
      </c>
      <c r="DB93" t="str">
        <f>IF($DA93="","",IF(OR($EO93="",$EP93=""),"ONZEKER",IF(OR($EL93="",$EM93=""),"ONZEKER",IF(AND($EO93=$EL93+1,$EP93=$EM93),IF(OR(COUNTIF(#REF!,$B93)&gt;0,COUNTIF(#REF!,$B93)=0),"SKIP",IF(COUNTIFS(#REF!,$B93,#REF!,$DA93)&gt;0,"OK","ONBEKEND")),IF(AND($EO93=$EL93,$EP93=$EM93+1),IF(OR(COUNTIF(#REF!,$D93)&gt;0,COUNTIF(#REF!,$D93)=0),"SKIP",IF(COUNTIFS(#REF!,$D93,#REF!,$DA93)&gt;0,"OK","ONBEKEND")),"ONZEKER")))))</f>
        <v/>
      </c>
      <c r="DC93" t="str">
        <f t="shared" ref="DC93:DC104" si="750">IF($N93="","",TRIM(MID(SUBSTITUTE($N93,",",REPT(" ",200)),3401,200)))</f>
        <v/>
      </c>
      <c r="DD93" t="str">
        <f t="shared" ref="DD93:DD104" si="751">IF(DC93="","",TRIM(IFERROR(LEFT(DC93,FIND("§",SUBSTITUTE(DC93," ","§",LEN(DC93)-LEN(SUBSTITUTE(DC93," ",""))))-1),DC93)))</f>
        <v/>
      </c>
      <c r="DE93" t="str">
        <f>IF($DD93="","",IF(OR($ER93="",$ES93=""),"ONZEKER",IF(OR($EO93="",$EP93=""),"ONZEKER",IF(AND($ER93=$EO93+1,$ES93=$EP93),IF(OR(COUNTIF(#REF!,$B93)&gt;0,COUNTIF(#REF!,$B93)=0),"SKIP",IF(COUNTIFS(#REF!,$B93,#REF!,$DD93)&gt;0,"OK","ONBEKEND")),IF(AND($ER93=$EO93,$ES93=$EP93+1),IF(OR(COUNTIF(#REF!,$D93)&gt;0,COUNTIF(#REF!,$D93)=0),"SKIP",IF(COUNTIFS(#REF!,$D93,#REF!,$DD93)&gt;0,"OK","ONBEKEND")),"ONZEKER")))))</f>
        <v/>
      </c>
      <c r="DF93" t="str">
        <f t="shared" ref="DF93:DF104" si="752">IF($N93="","",TRIM(MID(SUBSTITUTE($N93,",",REPT(" ",200)),3601,200)))</f>
        <v/>
      </c>
      <c r="DG93" t="str">
        <f t="shared" ref="DG93:DG104" si="753">IF(DF93="","",TRIM(IFERROR(LEFT(DF93,FIND("§",SUBSTITUTE(DF93," ","§",LEN(DF93)-LEN(SUBSTITUTE(DF93," ",""))))-1),DF93)))</f>
        <v/>
      </c>
      <c r="DH93" t="str">
        <f>IF($DG93="","",IF(OR($EU93="",$EV93=""),"ONZEKER",IF(OR($ER93="",$ES93=""),"ONZEKER",IF(AND($EU93=$ER93+1,$EV93=$ES93),IF(OR(COUNTIF(#REF!,$B93)&gt;0,COUNTIF(#REF!,$B93)=0),"SKIP",IF(COUNTIFS(#REF!,$B93,#REF!,$DG93)&gt;0,"OK","ONBEKEND")),IF(AND($EU93=$ER93,$EV93=$ES93+1),IF(OR(COUNTIF(#REF!,$D93)&gt;0,COUNTIF(#REF!,$D93)=0),"SKIP",IF(COUNTIFS(#REF!,$D93,#REF!,$DG93)&gt;0,"OK","ONBEKEND")),"ONZEKER")))))</f>
        <v/>
      </c>
      <c r="DI93" t="str">
        <f t="shared" ref="DI93:DI104" si="754">IF($N93="","",TRIM(MID(SUBSTITUTE($N93,",",REPT(" ",200)),3801,200)))</f>
        <v/>
      </c>
      <c r="DJ93" t="str">
        <f t="shared" ref="DJ93:DJ104" si="755">IF(DI93="","",TRIM(IFERROR(LEFT(DI93,FIND("§",SUBSTITUTE(DI93," ","§",LEN(DI93)-LEN(SUBSTITUTE(DI93," ",""))))-1),DI93)))</f>
        <v/>
      </c>
      <c r="DK93" t="str">
        <f>IF($DJ93="","",IF(OR($EX93="",$EY93=""),"ONZEKER",IF(OR($EU93="",$EV93=""),"ONZEKER",IF(AND($EX93=$EU93+1,$EY93=$EV93),IF(OR(COUNTIF(#REF!,$B93)&gt;0,COUNTIF(#REF!,$B93)=0),"SKIP",IF(COUNTIFS(#REF!,$B93,#REF!,$DJ93)&gt;0,"OK","ONBEKEND")),IF(AND($EX93=$EU93,$EY93=$EV93+1),IF(OR(COUNTIF(#REF!,$D93)&gt;0,COUNTIF(#REF!,$D93)=0),"SKIP",IF(COUNTIFS(#REF!,$D93,#REF!,$DJ93)&gt;0,"OK","ONBEKEND")),"ONZEKER")))))</f>
        <v/>
      </c>
      <c r="DL93" t="str">
        <f t="shared" ref="DL93:DL104" si="756">IF($CJ93="ONBEKEND",$CI93,"")</f>
        <v/>
      </c>
      <c r="DM93" t="str">
        <f t="shared" ref="DM93:DM104" si="757">IF($CM93="ONBEKEND",$CL93,"")</f>
        <v/>
      </c>
      <c r="DN93" t="str">
        <f t="shared" ref="DN93:DN104" si="758">IF($CP93="ONBEKEND",$CO93,"")</f>
        <v/>
      </c>
      <c r="DO93" t="str">
        <f t="shared" ref="DO93:DO104" si="759">IF($CS93="ONBEKEND",$CR93,"")</f>
        <v/>
      </c>
      <c r="DP93" t="str">
        <f t="shared" ref="DP93:DP104" si="760">IF($CV93="ONBEKEND",$CU93,"")</f>
        <v/>
      </c>
      <c r="DQ93" t="str">
        <f t="shared" ref="DQ93:DQ104" si="761">IF($CY93="ONBEKEND",$CX93,"")</f>
        <v/>
      </c>
      <c r="DR93" t="str">
        <f t="shared" ref="DR93:DR104" si="762">IF($DB93="ONBEKEND",$DA93,"")</f>
        <v/>
      </c>
      <c r="DS93" t="str">
        <f t="shared" ref="DS93:DS104" si="763">IF($DE93="ONBEKEND",$DD93,"")</f>
        <v/>
      </c>
      <c r="DT93" t="str">
        <f t="shared" ref="DT93:DT104" si="764">IF($DH93="ONBEKEND",$DG93,"")</f>
        <v/>
      </c>
      <c r="DU93" t="str">
        <f t="shared" ref="DU93:DU104" si="765">IF($DK93="ONBEKEND",$DJ93,"")</f>
        <v/>
      </c>
      <c r="DV93" t="str">
        <f t="shared" ref="DV93:DV104" si="766">IF($CH93="","",TRIM(IFERROR(RIGHT($CH93,LEN($CH93)-FIND("§",SUBSTITUTE($CH93," ","§",LEN($CH93)-LEN(SUBSTITUTE($CH93," ",""))))),"")))</f>
        <v/>
      </c>
      <c r="DW93" t="str">
        <f t="shared" ref="DW93:DW104" si="767">IF($DV93="","",IFERROR(VALUE(LEFT($DV93,FIND("-",$DV93)-1)),""))</f>
        <v/>
      </c>
      <c r="DX93" t="str">
        <f t="shared" ref="DX93:DX104" si="768">IF($DV93="","",IFERROR(VALUE(MID($DV93,FIND("-",$DV93)+1,99)),""))</f>
        <v/>
      </c>
      <c r="DY93" t="str">
        <f t="shared" ref="DY93:DY104" si="769">IF($CK93="","",TRIM(IFERROR(RIGHT($CK93,LEN($CK93)-FIND("§",SUBSTITUTE($CK93," ","§",LEN($CK93)-LEN(SUBSTITUTE($CK93," ",""))))),"")))</f>
        <v/>
      </c>
      <c r="DZ93" t="str">
        <f t="shared" ref="DZ93:DZ104" si="770">IF($DY93="","",IFERROR(VALUE(LEFT($DY93,FIND("-",$DY93)-1)),""))</f>
        <v/>
      </c>
      <c r="EA93" t="str">
        <f t="shared" ref="EA93:EA104" si="771">IF($DY93="","",IFERROR(VALUE(MID($DY93,FIND("-",$DY93)+1,99)),""))</f>
        <v/>
      </c>
      <c r="EB93" t="str">
        <f t="shared" ref="EB93:EB104" si="772">IF($CN93="","",TRIM(IFERROR(RIGHT($CN93,LEN($CN93)-FIND("§",SUBSTITUTE($CN93," ","§",LEN($CN93)-LEN(SUBSTITUTE($CN93," ",""))))),"")))</f>
        <v/>
      </c>
      <c r="EC93" t="str">
        <f t="shared" ref="EC93:EC104" si="773">IF($EB93="","",IFERROR(VALUE(LEFT($EB93,FIND("-",$EB93)-1)),""))</f>
        <v/>
      </c>
      <c r="ED93" t="str">
        <f t="shared" ref="ED93:ED104" si="774">IF($EB93="","",IFERROR(VALUE(MID($EB93,FIND("-",$EB93)+1,99)),""))</f>
        <v/>
      </c>
      <c r="EE93" t="str">
        <f t="shared" ref="EE93:EE104" si="775">IF($CQ93="","",TRIM(IFERROR(RIGHT($CQ93,LEN($CQ93)-FIND("§",SUBSTITUTE($CQ93," ","§",LEN($CQ93)-LEN(SUBSTITUTE($CQ93," ",""))))),"")))</f>
        <v/>
      </c>
      <c r="EF93" t="str">
        <f t="shared" ref="EF93:EF104" si="776">IF($EE93="","",IFERROR(VALUE(LEFT($EE93,FIND("-",$EE93)-1)),""))</f>
        <v/>
      </c>
      <c r="EG93" t="str">
        <f t="shared" ref="EG93:EG104" si="777">IF($EE93="","",IFERROR(VALUE(MID($EE93,FIND("-",$EE93)+1,99)),""))</f>
        <v/>
      </c>
      <c r="EH93" t="str">
        <f t="shared" ref="EH93:EH104" si="778">IF($CT93="","",TRIM(IFERROR(RIGHT($CT93,LEN($CT93)-FIND("§",SUBSTITUTE($CT93," ","§",LEN($CT93)-LEN(SUBSTITUTE($CT93," ",""))))),"")))</f>
        <v/>
      </c>
      <c r="EI93" t="str">
        <f t="shared" ref="EI93:EI104" si="779">IF($EH93="","",IFERROR(VALUE(LEFT($EH93,FIND("-",$EH93)-1)),""))</f>
        <v/>
      </c>
      <c r="EJ93" t="str">
        <f t="shared" ref="EJ93:EJ104" si="780">IF($EH93="","",IFERROR(VALUE(MID($EH93,FIND("-",$EH93)+1,99)),""))</f>
        <v/>
      </c>
      <c r="EK93" t="str">
        <f t="shared" ref="EK93:EK104" si="781">IF($CW93="","",TRIM(IFERROR(RIGHT($CW93,LEN($CW93)-FIND("§",SUBSTITUTE($CW93," ","§",LEN($CW93)-LEN(SUBSTITUTE($CW93," ",""))))),"")))</f>
        <v/>
      </c>
      <c r="EL93" t="str">
        <f t="shared" ref="EL93:EL104" si="782">IF($EK93="","",IFERROR(VALUE(LEFT($EK93,FIND("-",$EK93)-1)),""))</f>
        <v/>
      </c>
      <c r="EM93" t="str">
        <f t="shared" ref="EM93:EM104" si="783">IF($EK93="","",IFERROR(VALUE(MID($EK93,FIND("-",$EK93)+1,99)),""))</f>
        <v/>
      </c>
      <c r="EN93" t="str">
        <f t="shared" ref="EN93:EN104" si="784">IF($CZ93="","",TRIM(IFERROR(RIGHT($CZ93,LEN($CZ93)-FIND("§",SUBSTITUTE($CZ93," ","§",LEN($CZ93)-LEN(SUBSTITUTE($CZ93," ",""))))),"")))</f>
        <v/>
      </c>
      <c r="EO93" t="str">
        <f t="shared" ref="EO93:EO104" si="785">IF($EN93="","",IFERROR(VALUE(LEFT($EN93,FIND("-",$EN93)-1)),""))</f>
        <v/>
      </c>
      <c r="EP93" t="str">
        <f t="shared" ref="EP93:EP104" si="786">IF($EN93="","",IFERROR(VALUE(MID($EN93,FIND("-",$EN93)+1,99)),""))</f>
        <v/>
      </c>
      <c r="EQ93" t="str">
        <f t="shared" ref="EQ93:EQ104" si="787">IF($DC93="","",TRIM(IFERROR(RIGHT($DC93,LEN($DC93)-FIND("§",SUBSTITUTE($DC93," ","§",LEN($DC93)-LEN(SUBSTITUTE($DC93," ",""))))),"")))</f>
        <v/>
      </c>
      <c r="ER93" t="str">
        <f t="shared" ref="ER93:ER104" si="788">IF($EQ93="","",IFERROR(VALUE(LEFT($EQ93,FIND("-",$EQ93)-1)),""))</f>
        <v/>
      </c>
      <c r="ES93" t="str">
        <f t="shared" ref="ES93:ES104" si="789">IF($EQ93="","",IFERROR(VALUE(MID($EQ93,FIND("-",$EQ93)+1,99)),""))</f>
        <v/>
      </c>
      <c r="ET93" t="str">
        <f t="shared" ref="ET93:ET104" si="790">IF($DF93="","",TRIM(IFERROR(RIGHT($DF93,LEN($DF93)-FIND("§",SUBSTITUTE($DF93," ","§",LEN($DF93)-LEN(SUBSTITUTE($DF93," ",""))))),"")))</f>
        <v/>
      </c>
      <c r="EU93" t="str">
        <f t="shared" ref="EU93:EU104" si="791">IF($ET93="","",IFERROR(VALUE(LEFT($ET93,FIND("-",$ET93)-1)),""))</f>
        <v/>
      </c>
      <c r="EV93" t="str">
        <f t="shared" ref="EV93:EV104" si="792">IF($ET93="","",IFERROR(VALUE(MID($ET93,FIND("-",$ET93)+1,99)),""))</f>
        <v/>
      </c>
      <c r="EW93" t="str">
        <f t="shared" ref="EW93:EW104" si="793">IF($DI93="","",TRIM(IFERROR(RIGHT($DI93,LEN($DI93)-FIND("§",SUBSTITUTE($DI93," ","§",LEN($DI93)-LEN(SUBSTITUTE($DI93," ",""))))),"")))</f>
        <v/>
      </c>
      <c r="EX93" t="str">
        <f t="shared" ref="EX93:EX104" si="794">IF($EW93="","",IFERROR(VALUE(LEFT($EW93,FIND("-",$EW93)-1)),""))</f>
        <v/>
      </c>
      <c r="EY93" t="str">
        <f t="shared" ref="EY93:EY104" si="795">IF($EW93="","",IFERROR(VALUE(MID($EW93,FIND("-",$EW93)+1,99)),""))</f>
        <v/>
      </c>
    </row>
    <row r="94" spans="1:155" ht="13.9" customHeight="1" x14ac:dyDescent="0.25">
      <c r="A94" s="7"/>
      <c r="B94" s="17"/>
      <c r="C94" s="8"/>
      <c r="D94" s="17"/>
      <c r="E94" s="8"/>
      <c r="F94" s="18">
        <v>0</v>
      </c>
      <c r="G94" s="7" t="s">
        <v>147</v>
      </c>
      <c r="H94" s="18">
        <v>0</v>
      </c>
      <c r="I94" s="19">
        <v>0</v>
      </c>
      <c r="J94" s="7" t="s">
        <v>147</v>
      </c>
      <c r="K94" s="19">
        <v>0</v>
      </c>
      <c r="L94" s="9"/>
      <c r="M94" s="3" t="str">
        <f>IF($L94="","",IF($L94="DOELPUNTENMAKERS","",IF(AND(COUNTIF(#REF!,$B94)=0,COUNTIF(#REF!,$D94)=0),"OK",IF($O94&gt;20,"LET OP: meer dan 20 items (controle onvolledig)",IF((COUNTIF($R94:$AS94,"ONZEKER")+COUNTIF($CJ94:$DK94,"ONZEKER"))&gt;0,"LET OP: scoreverloop onduidelijk (controle beperkt)",IF((IF($AT94&lt;&gt;"",$AT94&amp;", ","")&amp;IF($AU94&lt;&gt;"",$AU94&amp;", ","")&amp;IF($AV94&lt;&gt;"",$AV94&amp;", ","")&amp;IF($AW94&lt;&gt;"",$AW94&amp;", ","")&amp;IF($AX94&lt;&gt;"",$AX94&amp;", ","")&amp;IF($AY94&lt;&gt;"",$AY94&amp;", ","")&amp;IF($AZ94&lt;&gt;"",$AZ94&amp;", ","")&amp;IF($BA94&lt;&gt;"",$BA94&amp;", ","")&amp;IF($BB94&lt;&gt;"",$BB94&amp;", ","")&amp;IF($BC94&lt;&gt;"",$BC94&amp;", ","")&amp;IF($DL94&lt;&gt;"",$DL94&amp;", ","")&amp;IF($DM94&lt;&gt;"",$DM94&amp;", ","")&amp;IF($DN94&lt;&gt;"",$DN94&amp;", ","")&amp;IF($DO94&lt;&gt;"",$DO94&amp;", ","")&amp;IF($DP94&lt;&gt;"",$DP94&amp;", ","")&amp;IF($DQ94&lt;&gt;"",$DQ94&amp;", ","")&amp;IF($DR94&lt;&gt;"",$DR94&amp;", ","")&amp;IF($DS94&lt;&gt;"",$DS94&amp;", ","")&amp;IF($DT94&lt;&gt;"",$DT94&amp;", ","")&amp;IF($DU94&lt;&gt;"",$DU94&amp;", ",""))="","OK","Onbekend: "&amp;LEFT((IF($AT94&lt;&gt;"",$AT94&amp;", ","")&amp;IF($AU94&lt;&gt;"",$AU94&amp;", ","")&amp;IF($AV94&lt;&gt;"",$AV94&amp;", ","")&amp;IF($AW94&lt;&gt;"",$AW94&amp;", ","")&amp;IF($AX94&lt;&gt;"",$AX94&amp;", ","")&amp;IF($AY94&lt;&gt;"",$AY94&amp;", ","")&amp;IF($AZ94&lt;&gt;"",$AZ94&amp;", ","")&amp;IF($BA94&lt;&gt;"",$BA94&amp;", ","")&amp;IF($BB94&lt;&gt;"",$BB94&amp;", ","")&amp;IF($BC94&lt;&gt;"",$BC94&amp;", ","")&amp;IF($DL94&lt;&gt;"",$DL94&amp;", ","")&amp;IF($DM94&lt;&gt;"",$DM94&amp;", ","")&amp;IF($DN94&lt;&gt;"",$DN94&amp;", ","")&amp;IF($DO94&lt;&gt;"",$DO94&amp;", ","")&amp;IF($DP94&lt;&gt;"",$DP94&amp;", ","")&amp;IF($DQ94&lt;&gt;"",$DQ94&amp;", ","")&amp;IF($DR94&lt;&gt;"",$DR94&amp;", ","")&amp;IF($DS94&lt;&gt;"",$DS94&amp;", ","")&amp;IF($DT94&lt;&gt;"",$DT94&amp;", ","")&amp;IF($DU94&lt;&gt;"",$DU94&amp;", ","")),LEN((IF($AT94&lt;&gt;"",$AT94&amp;", ","")&amp;IF($AU94&lt;&gt;"",$AU94&amp;", ","")&amp;IF($AV94&lt;&gt;"",$AV94&amp;", ","")&amp;IF($AW94&lt;&gt;"",$AW94&amp;", ","")&amp;IF($AX94&lt;&gt;"",$AX94&amp;", ","")&amp;IF($AY94&lt;&gt;"",$AY94&amp;", ","")&amp;IF($AZ94&lt;&gt;"",$AZ94&amp;", ","")&amp;IF($BA94&lt;&gt;"",$BA94&amp;", ","")&amp;IF($BB94&lt;&gt;"",$BB94&amp;", ","")&amp;IF($BC94&lt;&gt;"",$BC94&amp;", ","")&amp;IF($DL94&lt;&gt;"",$DL94&amp;", ","")&amp;IF($DM94&lt;&gt;"",$DM94&amp;", ","")&amp;IF($DN94&lt;&gt;"",$DN94&amp;", ","")&amp;IF($DO94&lt;&gt;"",$DO94&amp;", ","")&amp;IF($DP94&lt;&gt;"",$DP94&amp;", ","")&amp;IF($DQ94&lt;&gt;"",$DQ94&amp;", ","")&amp;IF($DR94&lt;&gt;"",$DR94&amp;", ","")&amp;IF($DS94&lt;&gt;"",$DS94&amp;", ","")&amp;IF($DT94&lt;&gt;"",$DT94&amp;", ","")&amp;IF($DU94&lt;&gt;"",$DU94&amp;", ","")))-2)))))))</f>
        <v/>
      </c>
      <c r="N94" t="str">
        <f t="shared" si="704"/>
        <v/>
      </c>
      <c r="O94" t="str">
        <f t="shared" si="705"/>
        <v/>
      </c>
      <c r="P94" t="str">
        <f t="shared" si="706"/>
        <v/>
      </c>
      <c r="Q94" t="str">
        <f t="shared" si="707"/>
        <v/>
      </c>
      <c r="R94" t="str">
        <f>IF($Q94="","",IF(OR($BE94="",$BF94=""),"ONZEKER",IF(AND($BE94=0+1,$BF94=0),IF(OR(COUNTIF(#REF!,$B94)&gt;0,COUNTIF(#REF!,$B94)=0),"SKIP",IF(COUNTIFS(#REF!,$B94,#REF!,$Q94)&gt;0,"OK","ONBEKEND")),IF(AND($BE94=0,$BF94=0+1),IF(OR(COUNTIF(#REF!,$D94)&gt;0,COUNTIF(#REF!,$D94)=0),"SKIP",IF(COUNTIFS(#REF!,$D94,#REF!,$Q94)&gt;0,"OK","ONBEKEND")),"ONZEKER"))))</f>
        <v/>
      </c>
      <c r="S94" t="str">
        <f t="shared" si="708"/>
        <v/>
      </c>
      <c r="T94" t="str">
        <f t="shared" si="709"/>
        <v/>
      </c>
      <c r="U94" t="str">
        <f>IF($T94="","",IF(OR($BH94="",$BI94=""),"ONZEKER",IF(OR($BE94="",$BF94=""),"ONZEKER",IF(AND($BH94=$BE94+1,$BI94=$BF94),IF(OR(COUNTIF(#REF!,$B94)&gt;0,COUNTIF(#REF!,$B94)=0),"SKIP",IF(COUNTIFS(#REF!,$B94,#REF!,$T94)&gt;0,"OK","ONBEKEND")),IF(AND($BH94=$BE94,$BI94=$BF94+1),IF(OR(COUNTIF(#REF!,$D94)&gt;0,COUNTIF(#REF!,$D94)=0),"SKIP",IF(COUNTIFS(#REF!,$D94,#REF!,$T94)&gt;0,"OK","ONBEKEND")),"ONZEKER")))))</f>
        <v/>
      </c>
      <c r="V94" t="str">
        <f t="shared" si="710"/>
        <v/>
      </c>
      <c r="W94" t="str">
        <f t="shared" si="711"/>
        <v/>
      </c>
      <c r="X94" t="str">
        <f>IF($W94="","",IF(OR($BK94="",$BL94=""),"ONZEKER",IF(OR($BH94="",$BI94=""),"ONZEKER",IF(AND($BK94=$BH94+1,$BL94=$BI94),IF(OR(COUNTIF(#REF!,$B94)&gt;0,COUNTIF(#REF!,$B94)=0),"SKIP",IF(COUNTIFS(#REF!,$B94,#REF!,$W94)&gt;0,"OK","ONBEKEND")),IF(AND($BK94=$BH94,$BL94=$BI94+1),IF(OR(COUNTIF(#REF!,$D94)&gt;0,COUNTIF(#REF!,$D94)=0),"SKIP",IF(COUNTIFS(#REF!,$D94,#REF!,$W94)&gt;0,"OK","ONBEKEND")),"ONZEKER")))))</f>
        <v/>
      </c>
      <c r="Y94" t="str">
        <f t="shared" si="712"/>
        <v/>
      </c>
      <c r="Z94" t="str">
        <f t="shared" si="713"/>
        <v/>
      </c>
      <c r="AA94" t="str">
        <f>IF($Z94="","",IF(OR($BN94="",$BO94=""),"ONZEKER",IF(OR($BK94="",$BL94=""),"ONZEKER",IF(AND($BN94=$BK94+1,$BO94=$BL94),IF(OR(COUNTIF(#REF!,$B94)&gt;0,COUNTIF(#REF!,$B94)=0),"SKIP",IF(COUNTIFS(#REF!,$B94,#REF!,$Z94)&gt;0,"OK","ONBEKEND")),IF(AND($BN94=$BK94,$BO94=$BL94+1),IF(OR(COUNTIF(#REF!,$D94)&gt;0,COUNTIF(#REF!,$D94)=0),"SKIP",IF(COUNTIFS(#REF!,$D94,#REF!,$Z94)&gt;0,"OK","ONBEKEND")),"ONZEKER")))))</f>
        <v/>
      </c>
      <c r="AB94" t="str">
        <f t="shared" si="714"/>
        <v/>
      </c>
      <c r="AC94" t="str">
        <f t="shared" si="715"/>
        <v/>
      </c>
      <c r="AD94" t="str">
        <f>IF($AC94="","",IF(OR($BQ94="",$BR94=""),"ONZEKER",IF(OR($BN94="",$BO94=""),"ONZEKER",IF(AND($BQ94=$BN94+1,$BR94=$BO94),IF(OR(COUNTIF(#REF!,$B94)&gt;0,COUNTIF(#REF!,$B94)=0),"SKIP",IF(COUNTIFS(#REF!,$B94,#REF!,$AC94)&gt;0,"OK","ONBEKEND")),IF(AND($BQ94=$BN94,$BR94=$BO94+1),IF(OR(COUNTIF(#REF!,$D94)&gt;0,COUNTIF(#REF!,$D94)=0),"SKIP",IF(COUNTIFS(#REF!,$D94,#REF!,$AC94)&gt;0,"OK","ONBEKEND")),"ONZEKER")))))</f>
        <v/>
      </c>
      <c r="AE94" t="str">
        <f t="shared" si="716"/>
        <v/>
      </c>
      <c r="AF94" t="str">
        <f t="shared" si="717"/>
        <v/>
      </c>
      <c r="AG94" t="str">
        <f>IF($AF94="","",IF(OR($BT94="",$BU94=""),"ONZEKER",IF(OR($BQ94="",$BR94=""),"ONZEKER",IF(AND($BT94=$BQ94+1,$BU94=$BR94),IF(OR(COUNTIF(#REF!,$B94)&gt;0,COUNTIF(#REF!,$B94)=0),"SKIP",IF(COUNTIFS(#REF!,$B94,#REF!,$AF94)&gt;0,"OK","ONBEKEND")),IF(AND($BT94=$BQ94,$BU94=$BR94+1),IF(OR(COUNTIF(#REF!,$D94)&gt;0,COUNTIF(#REF!,$D94)=0),"SKIP",IF(COUNTIFS(#REF!,$D94,#REF!,$AF94)&gt;0,"OK","ONBEKEND")),"ONZEKER")))))</f>
        <v/>
      </c>
      <c r="AH94" t="str">
        <f t="shared" si="718"/>
        <v/>
      </c>
      <c r="AI94" t="str">
        <f t="shared" si="719"/>
        <v/>
      </c>
      <c r="AJ94" t="str">
        <f>IF($AI94="","",IF(OR($BW94="",$BX94=""),"ONZEKER",IF(OR($BT94="",$BU94=""),"ONZEKER",IF(AND($BW94=$BT94+1,$BX94=$BU94),IF(OR(COUNTIF(#REF!,$B94)&gt;0,COUNTIF(#REF!,$B94)=0),"SKIP",IF(COUNTIFS(#REF!,$B94,#REF!,$AI94)&gt;0,"OK","ONBEKEND")),IF(AND($BW94=$BT94,$BX94=$BU94+1),IF(OR(COUNTIF(#REF!,$D94)&gt;0,COUNTIF(#REF!,$D94)=0),"SKIP",IF(COUNTIFS(#REF!,$D94,#REF!,$AI94)&gt;0,"OK","ONBEKEND")),"ONZEKER")))))</f>
        <v/>
      </c>
      <c r="AK94" t="str">
        <f t="shared" si="720"/>
        <v/>
      </c>
      <c r="AL94" t="str">
        <f t="shared" si="721"/>
        <v/>
      </c>
      <c r="AM94" t="str">
        <f>IF($AL94="","",IF(OR($BZ94="",$CA94=""),"ONZEKER",IF(OR($BW94="",$BX94=""),"ONZEKER",IF(AND($BZ94=$BW94+1,$CA94=$BX94),IF(OR(COUNTIF(#REF!,$B94)&gt;0,COUNTIF(#REF!,$B94)=0),"SKIP",IF(COUNTIFS(#REF!,$B94,#REF!,$AL94)&gt;0,"OK","ONBEKEND")),IF(AND($BZ94=$BW94,$CA94=$BX94+1),IF(OR(COUNTIF(#REF!,$D94)&gt;0,COUNTIF(#REF!,$D94)=0),"SKIP",IF(COUNTIFS(#REF!,$D94,#REF!,$AL94)&gt;0,"OK","ONBEKEND")),"ONZEKER")))))</f>
        <v/>
      </c>
      <c r="AN94" t="str">
        <f t="shared" si="722"/>
        <v/>
      </c>
      <c r="AO94" t="str">
        <f t="shared" si="723"/>
        <v/>
      </c>
      <c r="AP94" t="str">
        <f>IF($AO94="","",IF(OR($CC94="",$CD94=""),"ONZEKER",IF(OR($BZ94="",$CA94=""),"ONZEKER",IF(AND($CC94=$BZ94+1,$CD94=$CA94),IF(OR(COUNTIF(#REF!,$B94)&gt;0,COUNTIF(#REF!,$B94)=0),"SKIP",IF(COUNTIFS(#REF!,$B94,#REF!,$AO94)&gt;0,"OK","ONBEKEND")),IF(AND($CC94=$BZ94,$CD94=$CA94+1),IF(OR(COUNTIF(#REF!,$D94)&gt;0,COUNTIF(#REF!,$D94)=0),"SKIP",IF(COUNTIFS(#REF!,$D94,#REF!,$AO94)&gt;0,"OK","ONBEKEND")),"ONZEKER")))))</f>
        <v/>
      </c>
      <c r="AQ94" t="str">
        <f t="shared" si="724"/>
        <v/>
      </c>
      <c r="AR94" t="str">
        <f t="shared" si="725"/>
        <v/>
      </c>
      <c r="AS94" t="str">
        <f>IF($AR94="","",IF(OR($CF94="",$CG94=""),"ONZEKER",IF(OR($CC94="",$CD94=""),"ONZEKER",IF(AND($CF94=$CC94+1,$CG94=$CD94),IF(OR(COUNTIF(#REF!,$B94)&gt;0,COUNTIF(#REF!,$B94)=0),"SKIP",IF(COUNTIFS(#REF!,$B94,#REF!,$AR94)&gt;0,"OK","ONBEKEND")),IF(AND($CF94=$CC94,$CG94=$CD94+1),IF(OR(COUNTIF(#REF!,$D94)&gt;0,COUNTIF(#REF!,$D94)=0),"SKIP",IF(COUNTIFS(#REF!,$D94,#REF!,$AR94)&gt;0,"OK","ONBEKEND")),"ONZEKER")))))</f>
        <v/>
      </c>
      <c r="AT94" t="str">
        <f t="shared" si="726"/>
        <v/>
      </c>
      <c r="AU94" t="str">
        <f t="shared" si="727"/>
        <v/>
      </c>
      <c r="AV94" t="str">
        <f t="shared" si="728"/>
        <v/>
      </c>
      <c r="AW94" t="str">
        <f t="shared" si="729"/>
        <v/>
      </c>
      <c r="AX94" t="str">
        <f t="shared" si="730"/>
        <v/>
      </c>
      <c r="AY94" t="str">
        <f t="shared" si="731"/>
        <v/>
      </c>
      <c r="AZ94" t="str">
        <f t="shared" si="732"/>
        <v/>
      </c>
      <c r="BA94" t="str">
        <f t="shared" si="733"/>
        <v/>
      </c>
      <c r="BB94" t="str">
        <f t="shared" si="734"/>
        <v/>
      </c>
      <c r="BC94" t="str">
        <f t="shared" si="735"/>
        <v/>
      </c>
      <c r="BD94" t="str">
        <f t="shared" si="490"/>
        <v/>
      </c>
      <c r="BE94" t="str">
        <f t="shared" si="491"/>
        <v/>
      </c>
      <c r="BF94" t="str">
        <f t="shared" si="492"/>
        <v/>
      </c>
      <c r="BG94" t="str">
        <f t="shared" si="493"/>
        <v/>
      </c>
      <c r="BH94" t="str">
        <f t="shared" si="494"/>
        <v/>
      </c>
      <c r="BI94" t="str">
        <f t="shared" si="495"/>
        <v/>
      </c>
      <c r="BJ94" t="str">
        <f t="shared" si="496"/>
        <v/>
      </c>
      <c r="BK94" t="str">
        <f t="shared" si="497"/>
        <v/>
      </c>
      <c r="BL94" t="str">
        <f t="shared" si="498"/>
        <v/>
      </c>
      <c r="BM94" t="str">
        <f t="shared" si="499"/>
        <v/>
      </c>
      <c r="BN94" t="str">
        <f t="shared" si="500"/>
        <v/>
      </c>
      <c r="BO94" t="str">
        <f t="shared" si="501"/>
        <v/>
      </c>
      <c r="BP94" t="str">
        <f t="shared" si="502"/>
        <v/>
      </c>
      <c r="BQ94" t="str">
        <f t="shared" si="503"/>
        <v/>
      </c>
      <c r="BR94" t="str">
        <f t="shared" si="504"/>
        <v/>
      </c>
      <c r="BS94" t="str">
        <f t="shared" si="505"/>
        <v/>
      </c>
      <c r="BT94" t="str">
        <f t="shared" si="506"/>
        <v/>
      </c>
      <c r="BU94" t="str">
        <f t="shared" si="507"/>
        <v/>
      </c>
      <c r="BV94" t="str">
        <f t="shared" si="508"/>
        <v/>
      </c>
      <c r="BW94" t="str">
        <f t="shared" si="509"/>
        <v/>
      </c>
      <c r="BX94" t="str">
        <f t="shared" si="510"/>
        <v/>
      </c>
      <c r="BY94" t="str">
        <f t="shared" si="511"/>
        <v/>
      </c>
      <c r="BZ94" t="str">
        <f t="shared" si="512"/>
        <v/>
      </c>
      <c r="CA94" t="str">
        <f t="shared" si="513"/>
        <v/>
      </c>
      <c r="CB94" t="str">
        <f t="shared" si="514"/>
        <v/>
      </c>
      <c r="CC94" t="str">
        <f t="shared" si="515"/>
        <v/>
      </c>
      <c r="CD94" t="str">
        <f t="shared" si="516"/>
        <v/>
      </c>
      <c r="CE94" t="str">
        <f t="shared" si="517"/>
        <v/>
      </c>
      <c r="CF94" t="str">
        <f t="shared" si="518"/>
        <v/>
      </c>
      <c r="CG94" t="str">
        <f t="shared" si="519"/>
        <v/>
      </c>
      <c r="CH94" t="str">
        <f t="shared" si="736"/>
        <v/>
      </c>
      <c r="CI94" t="str">
        <f t="shared" si="737"/>
        <v/>
      </c>
      <c r="CJ94" t="str">
        <f>IF($CI94="","",IF(OR($DW94="",$DX94=""),"ONZEKER",IF(OR($CF94="",$CG94=""),"ONZEKER",IF(AND($DW94=$CF94+1,$DX94=$CG94),IF(OR(COUNTIF(#REF!,$B94)&gt;0,COUNTIF(#REF!,$B94)=0),"SKIP",IF(COUNTIFS(#REF!,$B94,#REF!,$CI94)&gt;0,"OK","ONBEKEND")),IF(AND($DW94=$CF94,$DX94=$CG94+1),IF(OR(COUNTIF(#REF!,$D94)&gt;0,COUNTIF(#REF!,$D94)=0),"SKIP",IF(COUNTIFS(#REF!,$D94,#REF!,$CI94)&gt;0,"OK","ONBEKEND")),"ONZEKER")))))</f>
        <v/>
      </c>
      <c r="CK94" t="str">
        <f t="shared" si="738"/>
        <v/>
      </c>
      <c r="CL94" t="str">
        <f t="shared" si="739"/>
        <v/>
      </c>
      <c r="CM94" t="str">
        <f>IF($CL94="","",IF(OR($DZ94="",$EA94=""),"ONZEKER",IF(OR($DW94="",$DX94=""),"ONZEKER",IF(AND($DZ94=$DW94+1,$EA94=$DX94),IF(OR(COUNTIF(#REF!,$B94)&gt;0,COUNTIF(#REF!,$B94)=0),"SKIP",IF(COUNTIFS(#REF!,$B94,#REF!,$CL94)&gt;0,"OK","ONBEKEND")),IF(AND($DZ94=$DW94,$EA94=$DX94+1),IF(OR(COUNTIF(#REF!,$D94)&gt;0,COUNTIF(#REF!,$D94)=0),"SKIP",IF(COUNTIFS(#REF!,$D94,#REF!,$CL94)&gt;0,"OK","ONBEKEND")),"ONZEKER")))))</f>
        <v/>
      </c>
      <c r="CN94" t="str">
        <f t="shared" si="740"/>
        <v/>
      </c>
      <c r="CO94" t="str">
        <f t="shared" si="741"/>
        <v/>
      </c>
      <c r="CP94" t="str">
        <f>IF($CO94="","",IF(OR($EC94="",$ED94=""),"ONZEKER",IF(OR($DZ94="",$EA94=""),"ONZEKER",IF(AND($EC94=$DZ94+1,$ED94=$EA94),IF(OR(COUNTIF(#REF!,$B94)&gt;0,COUNTIF(#REF!,$B94)=0),"SKIP",IF(COUNTIFS(#REF!,$B94,#REF!,$CO94)&gt;0,"OK","ONBEKEND")),IF(AND($EC94=$DZ94,$ED94=$EA94+1),IF(OR(COUNTIF(#REF!,$D94)&gt;0,COUNTIF(#REF!,$D94)=0),"SKIP",IF(COUNTIFS(#REF!,$D94,#REF!,$CO94)&gt;0,"OK","ONBEKEND")),"ONZEKER")))))</f>
        <v/>
      </c>
      <c r="CQ94" t="str">
        <f t="shared" si="742"/>
        <v/>
      </c>
      <c r="CR94" t="str">
        <f t="shared" si="743"/>
        <v/>
      </c>
      <c r="CS94" t="str">
        <f>IF($CR94="","",IF(OR($EF94="",$EG94=""),"ONZEKER",IF(OR($EC94="",$ED94=""),"ONZEKER",IF(AND($EF94=$EC94+1,$EG94=$ED94),IF(OR(COUNTIF(#REF!,$B94)&gt;0,COUNTIF(#REF!,$B94)=0),"SKIP",IF(COUNTIFS(#REF!,$B94,#REF!,$CR94)&gt;0,"OK","ONBEKEND")),IF(AND($EF94=$EC94,$EG94=$ED94+1),IF(OR(COUNTIF(#REF!,$D94)&gt;0,COUNTIF(#REF!,$D94)=0),"SKIP",IF(COUNTIFS(#REF!,$D94,#REF!,$CR94)&gt;0,"OK","ONBEKEND")),"ONZEKER")))))</f>
        <v/>
      </c>
      <c r="CT94" t="str">
        <f t="shared" si="744"/>
        <v/>
      </c>
      <c r="CU94" t="str">
        <f t="shared" si="745"/>
        <v/>
      </c>
      <c r="CV94" t="str">
        <f>IF($CU94="","",IF(OR($EI94="",$EJ94=""),"ONZEKER",IF(OR($EF94="",$EG94=""),"ONZEKER",IF(AND($EI94=$EF94+1,$EJ94=$EG94),IF(OR(COUNTIF(#REF!,$B94)&gt;0,COUNTIF(#REF!,$B94)=0),"SKIP",IF(COUNTIFS(#REF!,$B94,#REF!,$CU94)&gt;0,"OK","ONBEKEND")),IF(AND($EI94=$EF94,$EJ94=$EG94+1),IF(OR(COUNTIF(#REF!,$D94)&gt;0,COUNTIF(#REF!,$D94)=0),"SKIP",IF(COUNTIFS(#REF!,$D94,#REF!,$CU94)&gt;0,"OK","ONBEKEND")),"ONZEKER")))))</f>
        <v/>
      </c>
      <c r="CW94" t="str">
        <f t="shared" si="746"/>
        <v/>
      </c>
      <c r="CX94" t="str">
        <f t="shared" si="747"/>
        <v/>
      </c>
      <c r="CY94" t="str">
        <f>IF($CX94="","",IF(OR($EL94="",$EM94=""),"ONZEKER",IF(OR($EI94="",$EJ94=""),"ONZEKER",IF(AND($EL94=$EI94+1,$EM94=$EJ94),IF(OR(COUNTIF(#REF!,$B94)&gt;0,COUNTIF(#REF!,$B94)=0),"SKIP",IF(COUNTIFS(#REF!,$B94,#REF!,$CX94)&gt;0,"OK","ONBEKEND")),IF(AND($EL94=$EI94,$EM94=$EJ94+1),IF(OR(COUNTIF(#REF!,$D94)&gt;0,COUNTIF(#REF!,$D94)=0),"SKIP",IF(COUNTIFS(#REF!,$D94,#REF!,$CX94)&gt;0,"OK","ONBEKEND")),"ONZEKER")))))</f>
        <v/>
      </c>
      <c r="CZ94" t="str">
        <f t="shared" si="748"/>
        <v/>
      </c>
      <c r="DA94" t="str">
        <f t="shared" si="749"/>
        <v/>
      </c>
      <c r="DB94" t="str">
        <f>IF($DA94="","",IF(OR($EO94="",$EP94=""),"ONZEKER",IF(OR($EL94="",$EM94=""),"ONZEKER",IF(AND($EO94=$EL94+1,$EP94=$EM94),IF(OR(COUNTIF(#REF!,$B94)&gt;0,COUNTIF(#REF!,$B94)=0),"SKIP",IF(COUNTIFS(#REF!,$B94,#REF!,$DA94)&gt;0,"OK","ONBEKEND")),IF(AND($EO94=$EL94,$EP94=$EM94+1),IF(OR(COUNTIF(#REF!,$D94)&gt;0,COUNTIF(#REF!,$D94)=0),"SKIP",IF(COUNTIFS(#REF!,$D94,#REF!,$DA94)&gt;0,"OK","ONBEKEND")),"ONZEKER")))))</f>
        <v/>
      </c>
      <c r="DC94" t="str">
        <f t="shared" si="750"/>
        <v/>
      </c>
      <c r="DD94" t="str">
        <f t="shared" si="751"/>
        <v/>
      </c>
      <c r="DE94" t="str">
        <f>IF($DD94="","",IF(OR($ER94="",$ES94=""),"ONZEKER",IF(OR($EO94="",$EP94=""),"ONZEKER",IF(AND($ER94=$EO94+1,$ES94=$EP94),IF(OR(COUNTIF(#REF!,$B94)&gt;0,COUNTIF(#REF!,$B94)=0),"SKIP",IF(COUNTIFS(#REF!,$B94,#REF!,$DD94)&gt;0,"OK","ONBEKEND")),IF(AND($ER94=$EO94,$ES94=$EP94+1),IF(OR(COUNTIF(#REF!,$D94)&gt;0,COUNTIF(#REF!,$D94)=0),"SKIP",IF(COUNTIFS(#REF!,$D94,#REF!,$DD94)&gt;0,"OK","ONBEKEND")),"ONZEKER")))))</f>
        <v/>
      </c>
      <c r="DF94" t="str">
        <f t="shared" si="752"/>
        <v/>
      </c>
      <c r="DG94" t="str">
        <f t="shared" si="753"/>
        <v/>
      </c>
      <c r="DH94" t="str">
        <f>IF($DG94="","",IF(OR($EU94="",$EV94=""),"ONZEKER",IF(OR($ER94="",$ES94=""),"ONZEKER",IF(AND($EU94=$ER94+1,$EV94=$ES94),IF(OR(COUNTIF(#REF!,$B94)&gt;0,COUNTIF(#REF!,$B94)=0),"SKIP",IF(COUNTIFS(#REF!,$B94,#REF!,$DG94)&gt;0,"OK","ONBEKEND")),IF(AND($EU94=$ER94,$EV94=$ES94+1),IF(OR(COUNTIF(#REF!,$D94)&gt;0,COUNTIF(#REF!,$D94)=0),"SKIP",IF(COUNTIFS(#REF!,$D94,#REF!,$DG94)&gt;0,"OK","ONBEKEND")),"ONZEKER")))))</f>
        <v/>
      </c>
      <c r="DI94" t="str">
        <f t="shared" si="754"/>
        <v/>
      </c>
      <c r="DJ94" t="str">
        <f t="shared" si="755"/>
        <v/>
      </c>
      <c r="DK94" t="str">
        <f>IF($DJ94="","",IF(OR($EX94="",$EY94=""),"ONZEKER",IF(OR($EU94="",$EV94=""),"ONZEKER",IF(AND($EX94=$EU94+1,$EY94=$EV94),IF(OR(COUNTIF(#REF!,$B94)&gt;0,COUNTIF(#REF!,$B94)=0),"SKIP",IF(COUNTIFS(#REF!,$B94,#REF!,$DJ94)&gt;0,"OK","ONBEKEND")),IF(AND($EX94=$EU94,$EY94=$EV94+1),IF(OR(COUNTIF(#REF!,$D94)&gt;0,COUNTIF(#REF!,$D94)=0),"SKIP",IF(COUNTIFS(#REF!,$D94,#REF!,$DJ94)&gt;0,"OK","ONBEKEND")),"ONZEKER")))))</f>
        <v/>
      </c>
      <c r="DL94" t="str">
        <f t="shared" si="756"/>
        <v/>
      </c>
      <c r="DM94" t="str">
        <f t="shared" si="757"/>
        <v/>
      </c>
      <c r="DN94" t="str">
        <f t="shared" si="758"/>
        <v/>
      </c>
      <c r="DO94" t="str">
        <f t="shared" si="759"/>
        <v/>
      </c>
      <c r="DP94" t="str">
        <f t="shared" si="760"/>
        <v/>
      </c>
      <c r="DQ94" t="str">
        <f t="shared" si="761"/>
        <v/>
      </c>
      <c r="DR94" t="str">
        <f t="shared" si="762"/>
        <v/>
      </c>
      <c r="DS94" t="str">
        <f t="shared" si="763"/>
        <v/>
      </c>
      <c r="DT94" t="str">
        <f t="shared" si="764"/>
        <v/>
      </c>
      <c r="DU94" t="str">
        <f t="shared" si="765"/>
        <v/>
      </c>
      <c r="DV94" t="str">
        <f t="shared" si="766"/>
        <v/>
      </c>
      <c r="DW94" t="str">
        <f t="shared" si="767"/>
        <v/>
      </c>
      <c r="DX94" t="str">
        <f t="shared" si="768"/>
        <v/>
      </c>
      <c r="DY94" t="str">
        <f t="shared" si="769"/>
        <v/>
      </c>
      <c r="DZ94" t="str">
        <f t="shared" si="770"/>
        <v/>
      </c>
      <c r="EA94" t="str">
        <f t="shared" si="771"/>
        <v/>
      </c>
      <c r="EB94" t="str">
        <f t="shared" si="772"/>
        <v/>
      </c>
      <c r="EC94" t="str">
        <f t="shared" si="773"/>
        <v/>
      </c>
      <c r="ED94" t="str">
        <f t="shared" si="774"/>
        <v/>
      </c>
      <c r="EE94" t="str">
        <f t="shared" si="775"/>
        <v/>
      </c>
      <c r="EF94" t="str">
        <f t="shared" si="776"/>
        <v/>
      </c>
      <c r="EG94" t="str">
        <f t="shared" si="777"/>
        <v/>
      </c>
      <c r="EH94" t="str">
        <f t="shared" si="778"/>
        <v/>
      </c>
      <c r="EI94" t="str">
        <f t="shared" si="779"/>
        <v/>
      </c>
      <c r="EJ94" t="str">
        <f t="shared" si="780"/>
        <v/>
      </c>
      <c r="EK94" t="str">
        <f t="shared" si="781"/>
        <v/>
      </c>
      <c r="EL94" t="str">
        <f t="shared" si="782"/>
        <v/>
      </c>
      <c r="EM94" t="str">
        <f t="shared" si="783"/>
        <v/>
      </c>
      <c r="EN94" t="str">
        <f t="shared" si="784"/>
        <v/>
      </c>
      <c r="EO94" t="str">
        <f t="shared" si="785"/>
        <v/>
      </c>
      <c r="EP94" t="str">
        <f t="shared" si="786"/>
        <v/>
      </c>
      <c r="EQ94" t="str">
        <f t="shared" si="787"/>
        <v/>
      </c>
      <c r="ER94" t="str">
        <f t="shared" si="788"/>
        <v/>
      </c>
      <c r="ES94" t="str">
        <f t="shared" si="789"/>
        <v/>
      </c>
      <c r="ET94" t="str">
        <f t="shared" si="790"/>
        <v/>
      </c>
      <c r="EU94" t="str">
        <f t="shared" si="791"/>
        <v/>
      </c>
      <c r="EV94" t="str">
        <f t="shared" si="792"/>
        <v/>
      </c>
      <c r="EW94" t="str">
        <f t="shared" si="793"/>
        <v/>
      </c>
      <c r="EX94" t="str">
        <f t="shared" si="794"/>
        <v/>
      </c>
      <c r="EY94" t="str">
        <f t="shared" si="795"/>
        <v/>
      </c>
    </row>
    <row r="95" spans="1:155" ht="13.9" customHeight="1" x14ac:dyDescent="0.25">
      <c r="A95" s="7"/>
      <c r="B95" s="17"/>
      <c r="C95" s="8"/>
      <c r="D95" s="17"/>
      <c r="E95" s="8"/>
      <c r="F95" s="18">
        <v>0</v>
      </c>
      <c r="G95" s="7" t="s">
        <v>147</v>
      </c>
      <c r="H95" s="18">
        <v>0</v>
      </c>
      <c r="I95" s="19">
        <v>0</v>
      </c>
      <c r="J95" s="7" t="s">
        <v>147</v>
      </c>
      <c r="K95" s="19">
        <v>0</v>
      </c>
      <c r="L95" s="9"/>
      <c r="M95" s="3" t="str">
        <f>IF($L95="","",IF($L95="DOELPUNTENMAKERS","",IF(AND(COUNTIF(#REF!,$B95)=0,COUNTIF(#REF!,$D95)=0),"OK",IF($O95&gt;20,"LET OP: meer dan 20 items (controle onvolledig)",IF((COUNTIF($R95:$AS95,"ONZEKER")+COUNTIF($CJ95:$DK95,"ONZEKER"))&gt;0,"LET OP: scoreverloop onduidelijk (controle beperkt)",IF((IF($AT95&lt;&gt;"",$AT95&amp;", ","")&amp;IF($AU95&lt;&gt;"",$AU95&amp;", ","")&amp;IF($AV95&lt;&gt;"",$AV95&amp;", ","")&amp;IF($AW95&lt;&gt;"",$AW95&amp;", ","")&amp;IF($AX95&lt;&gt;"",$AX95&amp;", ","")&amp;IF($AY95&lt;&gt;"",$AY95&amp;", ","")&amp;IF($AZ95&lt;&gt;"",$AZ95&amp;", ","")&amp;IF($BA95&lt;&gt;"",$BA95&amp;", ","")&amp;IF($BB95&lt;&gt;"",$BB95&amp;", ","")&amp;IF($BC95&lt;&gt;"",$BC95&amp;", ","")&amp;IF($DL95&lt;&gt;"",$DL95&amp;", ","")&amp;IF($DM95&lt;&gt;"",$DM95&amp;", ","")&amp;IF($DN95&lt;&gt;"",$DN95&amp;", ","")&amp;IF($DO95&lt;&gt;"",$DO95&amp;", ","")&amp;IF($DP95&lt;&gt;"",$DP95&amp;", ","")&amp;IF($DQ95&lt;&gt;"",$DQ95&amp;", ","")&amp;IF($DR95&lt;&gt;"",$DR95&amp;", ","")&amp;IF($DS95&lt;&gt;"",$DS95&amp;", ","")&amp;IF($DT95&lt;&gt;"",$DT95&amp;", ","")&amp;IF($DU95&lt;&gt;"",$DU95&amp;", ",""))="","OK","Onbekend: "&amp;LEFT((IF($AT95&lt;&gt;"",$AT95&amp;", ","")&amp;IF($AU95&lt;&gt;"",$AU95&amp;", ","")&amp;IF($AV95&lt;&gt;"",$AV95&amp;", ","")&amp;IF($AW95&lt;&gt;"",$AW95&amp;", ","")&amp;IF($AX95&lt;&gt;"",$AX95&amp;", ","")&amp;IF($AY95&lt;&gt;"",$AY95&amp;", ","")&amp;IF($AZ95&lt;&gt;"",$AZ95&amp;", ","")&amp;IF($BA95&lt;&gt;"",$BA95&amp;", ","")&amp;IF($BB95&lt;&gt;"",$BB95&amp;", ","")&amp;IF($BC95&lt;&gt;"",$BC95&amp;", ","")&amp;IF($DL95&lt;&gt;"",$DL95&amp;", ","")&amp;IF($DM95&lt;&gt;"",$DM95&amp;", ","")&amp;IF($DN95&lt;&gt;"",$DN95&amp;", ","")&amp;IF($DO95&lt;&gt;"",$DO95&amp;", ","")&amp;IF($DP95&lt;&gt;"",$DP95&amp;", ","")&amp;IF($DQ95&lt;&gt;"",$DQ95&amp;", ","")&amp;IF($DR95&lt;&gt;"",$DR95&amp;", ","")&amp;IF($DS95&lt;&gt;"",$DS95&amp;", ","")&amp;IF($DT95&lt;&gt;"",$DT95&amp;", ","")&amp;IF($DU95&lt;&gt;"",$DU95&amp;", ","")),LEN((IF($AT95&lt;&gt;"",$AT95&amp;", ","")&amp;IF($AU95&lt;&gt;"",$AU95&amp;", ","")&amp;IF($AV95&lt;&gt;"",$AV95&amp;", ","")&amp;IF($AW95&lt;&gt;"",$AW95&amp;", ","")&amp;IF($AX95&lt;&gt;"",$AX95&amp;", ","")&amp;IF($AY95&lt;&gt;"",$AY95&amp;", ","")&amp;IF($AZ95&lt;&gt;"",$AZ95&amp;", ","")&amp;IF($BA95&lt;&gt;"",$BA95&amp;", ","")&amp;IF($BB95&lt;&gt;"",$BB95&amp;", ","")&amp;IF($BC95&lt;&gt;"",$BC95&amp;", ","")&amp;IF($DL95&lt;&gt;"",$DL95&amp;", ","")&amp;IF($DM95&lt;&gt;"",$DM95&amp;", ","")&amp;IF($DN95&lt;&gt;"",$DN95&amp;", ","")&amp;IF($DO95&lt;&gt;"",$DO95&amp;", ","")&amp;IF($DP95&lt;&gt;"",$DP95&amp;", ","")&amp;IF($DQ95&lt;&gt;"",$DQ95&amp;", ","")&amp;IF($DR95&lt;&gt;"",$DR95&amp;", ","")&amp;IF($DS95&lt;&gt;"",$DS95&amp;", ","")&amp;IF($DT95&lt;&gt;"",$DT95&amp;", ","")&amp;IF($DU95&lt;&gt;"",$DU95&amp;", ","")))-2)))))))</f>
        <v/>
      </c>
      <c r="N95" t="str">
        <f t="shared" si="704"/>
        <v/>
      </c>
      <c r="O95" t="str">
        <f t="shared" si="705"/>
        <v/>
      </c>
      <c r="P95" t="str">
        <f t="shared" si="706"/>
        <v/>
      </c>
      <c r="Q95" t="str">
        <f t="shared" si="707"/>
        <v/>
      </c>
      <c r="R95" t="str">
        <f>IF($Q95="","",IF(OR($BE95="",$BF95=""),"ONZEKER",IF(AND($BE95=0+1,$BF95=0),IF(OR(COUNTIF(#REF!,$B95)&gt;0,COUNTIF(#REF!,$B95)=0),"SKIP",IF(COUNTIFS(#REF!,$B95,#REF!,$Q95)&gt;0,"OK","ONBEKEND")),IF(AND($BE95=0,$BF95=0+1),IF(OR(COUNTIF(#REF!,$D95)&gt;0,COUNTIF(#REF!,$D95)=0),"SKIP",IF(COUNTIFS(#REF!,$D95,#REF!,$Q95)&gt;0,"OK","ONBEKEND")),"ONZEKER"))))</f>
        <v/>
      </c>
      <c r="S95" t="str">
        <f t="shared" si="708"/>
        <v/>
      </c>
      <c r="T95" t="str">
        <f t="shared" si="709"/>
        <v/>
      </c>
      <c r="U95" t="str">
        <f>IF($T95="","",IF(OR($BH95="",$BI95=""),"ONZEKER",IF(OR($BE95="",$BF95=""),"ONZEKER",IF(AND($BH95=$BE95+1,$BI95=$BF95),IF(OR(COUNTIF(#REF!,$B95)&gt;0,COUNTIF(#REF!,$B95)=0),"SKIP",IF(COUNTIFS(#REF!,$B95,#REF!,$T95)&gt;0,"OK","ONBEKEND")),IF(AND($BH95=$BE95,$BI95=$BF95+1),IF(OR(COUNTIF(#REF!,$D95)&gt;0,COUNTIF(#REF!,$D95)=0),"SKIP",IF(COUNTIFS(#REF!,$D95,#REF!,$T95)&gt;0,"OK","ONBEKEND")),"ONZEKER")))))</f>
        <v/>
      </c>
      <c r="V95" t="str">
        <f t="shared" si="710"/>
        <v/>
      </c>
      <c r="W95" t="str">
        <f t="shared" si="711"/>
        <v/>
      </c>
      <c r="X95" t="str">
        <f>IF($W95="","",IF(OR($BK95="",$BL95=""),"ONZEKER",IF(OR($BH95="",$BI95=""),"ONZEKER",IF(AND($BK95=$BH95+1,$BL95=$BI95),IF(OR(COUNTIF(#REF!,$B95)&gt;0,COUNTIF(#REF!,$B95)=0),"SKIP",IF(COUNTIFS(#REF!,$B95,#REF!,$W95)&gt;0,"OK","ONBEKEND")),IF(AND($BK95=$BH95,$BL95=$BI95+1),IF(OR(COUNTIF(#REF!,$D95)&gt;0,COUNTIF(#REF!,$D95)=0),"SKIP",IF(COUNTIFS(#REF!,$D95,#REF!,$W95)&gt;0,"OK","ONBEKEND")),"ONZEKER")))))</f>
        <v/>
      </c>
      <c r="Y95" t="str">
        <f t="shared" si="712"/>
        <v/>
      </c>
      <c r="Z95" t="str">
        <f t="shared" si="713"/>
        <v/>
      </c>
      <c r="AA95" t="str">
        <f>IF($Z95="","",IF(OR($BN95="",$BO95=""),"ONZEKER",IF(OR($BK95="",$BL95=""),"ONZEKER",IF(AND($BN95=$BK95+1,$BO95=$BL95),IF(OR(COUNTIF(#REF!,$B95)&gt;0,COUNTIF(#REF!,$B95)=0),"SKIP",IF(COUNTIFS(#REF!,$B95,#REF!,$Z95)&gt;0,"OK","ONBEKEND")),IF(AND($BN95=$BK95,$BO95=$BL95+1),IF(OR(COUNTIF(#REF!,$D95)&gt;0,COUNTIF(#REF!,$D95)=0),"SKIP",IF(COUNTIFS(#REF!,$D95,#REF!,$Z95)&gt;0,"OK","ONBEKEND")),"ONZEKER")))))</f>
        <v/>
      </c>
      <c r="AB95" t="str">
        <f t="shared" si="714"/>
        <v/>
      </c>
      <c r="AC95" t="str">
        <f t="shared" si="715"/>
        <v/>
      </c>
      <c r="AD95" t="str">
        <f>IF($AC95="","",IF(OR($BQ95="",$BR95=""),"ONZEKER",IF(OR($BN95="",$BO95=""),"ONZEKER",IF(AND($BQ95=$BN95+1,$BR95=$BO95),IF(OR(COUNTIF(#REF!,$B95)&gt;0,COUNTIF(#REF!,$B95)=0),"SKIP",IF(COUNTIFS(#REF!,$B95,#REF!,$AC95)&gt;0,"OK","ONBEKEND")),IF(AND($BQ95=$BN95,$BR95=$BO95+1),IF(OR(COUNTIF(#REF!,$D95)&gt;0,COUNTIF(#REF!,$D95)=0),"SKIP",IF(COUNTIFS(#REF!,$D95,#REF!,$AC95)&gt;0,"OK","ONBEKEND")),"ONZEKER")))))</f>
        <v/>
      </c>
      <c r="AE95" t="str">
        <f t="shared" si="716"/>
        <v/>
      </c>
      <c r="AF95" t="str">
        <f t="shared" si="717"/>
        <v/>
      </c>
      <c r="AG95" t="str">
        <f>IF($AF95="","",IF(OR($BT95="",$BU95=""),"ONZEKER",IF(OR($BQ95="",$BR95=""),"ONZEKER",IF(AND($BT95=$BQ95+1,$BU95=$BR95),IF(OR(COUNTIF(#REF!,$B95)&gt;0,COUNTIF(#REF!,$B95)=0),"SKIP",IF(COUNTIFS(#REF!,$B95,#REF!,$AF95)&gt;0,"OK","ONBEKEND")),IF(AND($BT95=$BQ95,$BU95=$BR95+1),IF(OR(COUNTIF(#REF!,$D95)&gt;0,COUNTIF(#REF!,$D95)=0),"SKIP",IF(COUNTIFS(#REF!,$D95,#REF!,$AF95)&gt;0,"OK","ONBEKEND")),"ONZEKER")))))</f>
        <v/>
      </c>
      <c r="AH95" t="str">
        <f t="shared" si="718"/>
        <v/>
      </c>
      <c r="AI95" t="str">
        <f t="shared" si="719"/>
        <v/>
      </c>
      <c r="AJ95" t="str">
        <f>IF($AI95="","",IF(OR($BW95="",$BX95=""),"ONZEKER",IF(OR($BT95="",$BU95=""),"ONZEKER",IF(AND($BW95=$BT95+1,$BX95=$BU95),IF(OR(COUNTIF(#REF!,$B95)&gt;0,COUNTIF(#REF!,$B95)=0),"SKIP",IF(COUNTIFS(#REF!,$B95,#REF!,$AI95)&gt;0,"OK","ONBEKEND")),IF(AND($BW95=$BT95,$BX95=$BU95+1),IF(OR(COUNTIF(#REF!,$D95)&gt;0,COUNTIF(#REF!,$D95)=0),"SKIP",IF(COUNTIFS(#REF!,$D95,#REF!,$AI95)&gt;0,"OK","ONBEKEND")),"ONZEKER")))))</f>
        <v/>
      </c>
      <c r="AK95" t="str">
        <f t="shared" si="720"/>
        <v/>
      </c>
      <c r="AL95" t="str">
        <f t="shared" si="721"/>
        <v/>
      </c>
      <c r="AM95" t="str">
        <f>IF($AL95="","",IF(OR($BZ95="",$CA95=""),"ONZEKER",IF(OR($BW95="",$BX95=""),"ONZEKER",IF(AND($BZ95=$BW95+1,$CA95=$BX95),IF(OR(COUNTIF(#REF!,$B95)&gt;0,COUNTIF(#REF!,$B95)=0),"SKIP",IF(COUNTIFS(#REF!,$B95,#REF!,$AL95)&gt;0,"OK","ONBEKEND")),IF(AND($BZ95=$BW95,$CA95=$BX95+1),IF(OR(COUNTIF(#REF!,$D95)&gt;0,COUNTIF(#REF!,$D95)=0),"SKIP",IF(COUNTIFS(#REF!,$D95,#REF!,$AL95)&gt;0,"OK","ONBEKEND")),"ONZEKER")))))</f>
        <v/>
      </c>
      <c r="AN95" t="str">
        <f t="shared" si="722"/>
        <v/>
      </c>
      <c r="AO95" t="str">
        <f t="shared" si="723"/>
        <v/>
      </c>
      <c r="AP95" t="str">
        <f>IF($AO95="","",IF(OR($CC95="",$CD95=""),"ONZEKER",IF(OR($BZ95="",$CA95=""),"ONZEKER",IF(AND($CC95=$BZ95+1,$CD95=$CA95),IF(OR(COUNTIF(#REF!,$B95)&gt;0,COUNTIF(#REF!,$B95)=0),"SKIP",IF(COUNTIFS(#REF!,$B95,#REF!,$AO95)&gt;0,"OK","ONBEKEND")),IF(AND($CC95=$BZ95,$CD95=$CA95+1),IF(OR(COUNTIF(#REF!,$D95)&gt;0,COUNTIF(#REF!,$D95)=0),"SKIP",IF(COUNTIFS(#REF!,$D95,#REF!,$AO95)&gt;0,"OK","ONBEKEND")),"ONZEKER")))))</f>
        <v/>
      </c>
      <c r="AQ95" t="str">
        <f t="shared" si="724"/>
        <v/>
      </c>
      <c r="AR95" t="str">
        <f t="shared" si="725"/>
        <v/>
      </c>
      <c r="AS95" t="str">
        <f>IF($AR95="","",IF(OR($CF95="",$CG95=""),"ONZEKER",IF(OR($CC95="",$CD95=""),"ONZEKER",IF(AND($CF95=$CC95+1,$CG95=$CD95),IF(OR(COUNTIF(#REF!,$B95)&gt;0,COUNTIF(#REF!,$B95)=0),"SKIP",IF(COUNTIFS(#REF!,$B95,#REF!,$AR95)&gt;0,"OK","ONBEKEND")),IF(AND($CF95=$CC95,$CG95=$CD95+1),IF(OR(COUNTIF(#REF!,$D95)&gt;0,COUNTIF(#REF!,$D95)=0),"SKIP",IF(COUNTIFS(#REF!,$D95,#REF!,$AR95)&gt;0,"OK","ONBEKEND")),"ONZEKER")))))</f>
        <v/>
      </c>
      <c r="AT95" t="str">
        <f t="shared" si="726"/>
        <v/>
      </c>
      <c r="AU95" t="str">
        <f t="shared" si="727"/>
        <v/>
      </c>
      <c r="AV95" t="str">
        <f t="shared" si="728"/>
        <v/>
      </c>
      <c r="AW95" t="str">
        <f t="shared" si="729"/>
        <v/>
      </c>
      <c r="AX95" t="str">
        <f t="shared" si="730"/>
        <v/>
      </c>
      <c r="AY95" t="str">
        <f t="shared" si="731"/>
        <v/>
      </c>
      <c r="AZ95" t="str">
        <f t="shared" si="732"/>
        <v/>
      </c>
      <c r="BA95" t="str">
        <f t="shared" si="733"/>
        <v/>
      </c>
      <c r="BB95" t="str">
        <f t="shared" si="734"/>
        <v/>
      </c>
      <c r="BC95" t="str">
        <f t="shared" si="735"/>
        <v/>
      </c>
      <c r="BD95" t="str">
        <f t="shared" si="490"/>
        <v/>
      </c>
      <c r="BE95" t="str">
        <f t="shared" si="491"/>
        <v/>
      </c>
      <c r="BF95" t="str">
        <f t="shared" si="492"/>
        <v/>
      </c>
      <c r="BG95" t="str">
        <f t="shared" si="493"/>
        <v/>
      </c>
      <c r="BH95" t="str">
        <f t="shared" si="494"/>
        <v/>
      </c>
      <c r="BI95" t="str">
        <f t="shared" si="495"/>
        <v/>
      </c>
      <c r="BJ95" t="str">
        <f t="shared" si="496"/>
        <v/>
      </c>
      <c r="BK95" t="str">
        <f t="shared" si="497"/>
        <v/>
      </c>
      <c r="BL95" t="str">
        <f t="shared" si="498"/>
        <v/>
      </c>
      <c r="BM95" t="str">
        <f t="shared" si="499"/>
        <v/>
      </c>
      <c r="BN95" t="str">
        <f t="shared" si="500"/>
        <v/>
      </c>
      <c r="BO95" t="str">
        <f t="shared" si="501"/>
        <v/>
      </c>
      <c r="BP95" t="str">
        <f t="shared" si="502"/>
        <v/>
      </c>
      <c r="BQ95" t="str">
        <f t="shared" si="503"/>
        <v/>
      </c>
      <c r="BR95" t="str">
        <f t="shared" si="504"/>
        <v/>
      </c>
      <c r="BS95" t="str">
        <f t="shared" si="505"/>
        <v/>
      </c>
      <c r="BT95" t="str">
        <f t="shared" si="506"/>
        <v/>
      </c>
      <c r="BU95" t="str">
        <f t="shared" si="507"/>
        <v/>
      </c>
      <c r="BV95" t="str">
        <f t="shared" si="508"/>
        <v/>
      </c>
      <c r="BW95" t="str">
        <f t="shared" si="509"/>
        <v/>
      </c>
      <c r="BX95" t="str">
        <f t="shared" si="510"/>
        <v/>
      </c>
      <c r="BY95" t="str">
        <f t="shared" si="511"/>
        <v/>
      </c>
      <c r="BZ95" t="str">
        <f t="shared" si="512"/>
        <v/>
      </c>
      <c r="CA95" t="str">
        <f t="shared" si="513"/>
        <v/>
      </c>
      <c r="CB95" t="str">
        <f t="shared" si="514"/>
        <v/>
      </c>
      <c r="CC95" t="str">
        <f t="shared" si="515"/>
        <v/>
      </c>
      <c r="CD95" t="str">
        <f t="shared" si="516"/>
        <v/>
      </c>
      <c r="CE95" t="str">
        <f t="shared" si="517"/>
        <v/>
      </c>
      <c r="CF95" t="str">
        <f t="shared" si="518"/>
        <v/>
      </c>
      <c r="CG95" t="str">
        <f t="shared" si="519"/>
        <v/>
      </c>
      <c r="CH95" t="str">
        <f t="shared" si="736"/>
        <v/>
      </c>
      <c r="CI95" t="str">
        <f t="shared" si="737"/>
        <v/>
      </c>
      <c r="CJ95" t="str">
        <f>IF($CI95="","",IF(OR($DW95="",$DX95=""),"ONZEKER",IF(OR($CF95="",$CG95=""),"ONZEKER",IF(AND($DW95=$CF95+1,$DX95=$CG95),IF(OR(COUNTIF(#REF!,$B95)&gt;0,COUNTIF(#REF!,$B95)=0),"SKIP",IF(COUNTIFS(#REF!,$B95,#REF!,$CI95)&gt;0,"OK","ONBEKEND")),IF(AND($DW95=$CF95,$DX95=$CG95+1),IF(OR(COUNTIF(#REF!,$D95)&gt;0,COUNTIF(#REF!,$D95)=0),"SKIP",IF(COUNTIFS(#REF!,$D95,#REF!,$CI95)&gt;0,"OK","ONBEKEND")),"ONZEKER")))))</f>
        <v/>
      </c>
      <c r="CK95" t="str">
        <f t="shared" si="738"/>
        <v/>
      </c>
      <c r="CL95" t="str">
        <f t="shared" si="739"/>
        <v/>
      </c>
      <c r="CM95" t="str">
        <f>IF($CL95="","",IF(OR($DZ95="",$EA95=""),"ONZEKER",IF(OR($DW95="",$DX95=""),"ONZEKER",IF(AND($DZ95=$DW95+1,$EA95=$DX95),IF(OR(COUNTIF(#REF!,$B95)&gt;0,COUNTIF(#REF!,$B95)=0),"SKIP",IF(COUNTIFS(#REF!,$B95,#REF!,$CL95)&gt;0,"OK","ONBEKEND")),IF(AND($DZ95=$DW95,$EA95=$DX95+1),IF(OR(COUNTIF(#REF!,$D95)&gt;0,COUNTIF(#REF!,$D95)=0),"SKIP",IF(COUNTIFS(#REF!,$D95,#REF!,$CL95)&gt;0,"OK","ONBEKEND")),"ONZEKER")))))</f>
        <v/>
      </c>
      <c r="CN95" t="str">
        <f t="shared" si="740"/>
        <v/>
      </c>
      <c r="CO95" t="str">
        <f t="shared" si="741"/>
        <v/>
      </c>
      <c r="CP95" t="str">
        <f>IF($CO95="","",IF(OR($EC95="",$ED95=""),"ONZEKER",IF(OR($DZ95="",$EA95=""),"ONZEKER",IF(AND($EC95=$DZ95+1,$ED95=$EA95),IF(OR(COUNTIF(#REF!,$B95)&gt;0,COUNTIF(#REF!,$B95)=0),"SKIP",IF(COUNTIFS(#REF!,$B95,#REF!,$CO95)&gt;0,"OK","ONBEKEND")),IF(AND($EC95=$DZ95,$ED95=$EA95+1),IF(OR(COUNTIF(#REF!,$D95)&gt;0,COUNTIF(#REF!,$D95)=0),"SKIP",IF(COUNTIFS(#REF!,$D95,#REF!,$CO95)&gt;0,"OK","ONBEKEND")),"ONZEKER")))))</f>
        <v/>
      </c>
      <c r="CQ95" t="str">
        <f t="shared" si="742"/>
        <v/>
      </c>
      <c r="CR95" t="str">
        <f t="shared" si="743"/>
        <v/>
      </c>
      <c r="CS95" t="str">
        <f>IF($CR95="","",IF(OR($EF95="",$EG95=""),"ONZEKER",IF(OR($EC95="",$ED95=""),"ONZEKER",IF(AND($EF95=$EC95+1,$EG95=$ED95),IF(OR(COUNTIF(#REF!,$B95)&gt;0,COUNTIF(#REF!,$B95)=0),"SKIP",IF(COUNTIFS(#REF!,$B95,#REF!,$CR95)&gt;0,"OK","ONBEKEND")),IF(AND($EF95=$EC95,$EG95=$ED95+1),IF(OR(COUNTIF(#REF!,$D95)&gt;0,COUNTIF(#REF!,$D95)=0),"SKIP",IF(COUNTIFS(#REF!,$D95,#REF!,$CR95)&gt;0,"OK","ONBEKEND")),"ONZEKER")))))</f>
        <v/>
      </c>
      <c r="CT95" t="str">
        <f t="shared" si="744"/>
        <v/>
      </c>
      <c r="CU95" t="str">
        <f t="shared" si="745"/>
        <v/>
      </c>
      <c r="CV95" t="str">
        <f>IF($CU95="","",IF(OR($EI95="",$EJ95=""),"ONZEKER",IF(OR($EF95="",$EG95=""),"ONZEKER",IF(AND($EI95=$EF95+1,$EJ95=$EG95),IF(OR(COUNTIF(#REF!,$B95)&gt;0,COUNTIF(#REF!,$B95)=0),"SKIP",IF(COUNTIFS(#REF!,$B95,#REF!,$CU95)&gt;0,"OK","ONBEKEND")),IF(AND($EI95=$EF95,$EJ95=$EG95+1),IF(OR(COUNTIF(#REF!,$D95)&gt;0,COUNTIF(#REF!,$D95)=0),"SKIP",IF(COUNTIFS(#REF!,$D95,#REF!,$CU95)&gt;0,"OK","ONBEKEND")),"ONZEKER")))))</f>
        <v/>
      </c>
      <c r="CW95" t="str">
        <f t="shared" si="746"/>
        <v/>
      </c>
      <c r="CX95" t="str">
        <f t="shared" si="747"/>
        <v/>
      </c>
      <c r="CY95" t="str">
        <f>IF($CX95="","",IF(OR($EL95="",$EM95=""),"ONZEKER",IF(OR($EI95="",$EJ95=""),"ONZEKER",IF(AND($EL95=$EI95+1,$EM95=$EJ95),IF(OR(COUNTIF(#REF!,$B95)&gt;0,COUNTIF(#REF!,$B95)=0),"SKIP",IF(COUNTIFS(#REF!,$B95,#REF!,$CX95)&gt;0,"OK","ONBEKEND")),IF(AND($EL95=$EI95,$EM95=$EJ95+1),IF(OR(COUNTIF(#REF!,$D95)&gt;0,COUNTIF(#REF!,$D95)=0),"SKIP",IF(COUNTIFS(#REF!,$D95,#REF!,$CX95)&gt;0,"OK","ONBEKEND")),"ONZEKER")))))</f>
        <v/>
      </c>
      <c r="CZ95" t="str">
        <f t="shared" si="748"/>
        <v/>
      </c>
      <c r="DA95" t="str">
        <f t="shared" si="749"/>
        <v/>
      </c>
      <c r="DB95" t="str">
        <f>IF($DA95="","",IF(OR($EO95="",$EP95=""),"ONZEKER",IF(OR($EL95="",$EM95=""),"ONZEKER",IF(AND($EO95=$EL95+1,$EP95=$EM95),IF(OR(COUNTIF(#REF!,$B95)&gt;0,COUNTIF(#REF!,$B95)=0),"SKIP",IF(COUNTIFS(#REF!,$B95,#REF!,$DA95)&gt;0,"OK","ONBEKEND")),IF(AND($EO95=$EL95,$EP95=$EM95+1),IF(OR(COUNTIF(#REF!,$D95)&gt;0,COUNTIF(#REF!,$D95)=0),"SKIP",IF(COUNTIFS(#REF!,$D95,#REF!,$DA95)&gt;0,"OK","ONBEKEND")),"ONZEKER")))))</f>
        <v/>
      </c>
      <c r="DC95" t="str">
        <f t="shared" si="750"/>
        <v/>
      </c>
      <c r="DD95" t="str">
        <f t="shared" si="751"/>
        <v/>
      </c>
      <c r="DE95" t="str">
        <f>IF($DD95="","",IF(OR($ER95="",$ES95=""),"ONZEKER",IF(OR($EO95="",$EP95=""),"ONZEKER",IF(AND($ER95=$EO95+1,$ES95=$EP95),IF(OR(COUNTIF(#REF!,$B95)&gt;0,COUNTIF(#REF!,$B95)=0),"SKIP",IF(COUNTIFS(#REF!,$B95,#REF!,$DD95)&gt;0,"OK","ONBEKEND")),IF(AND($ER95=$EO95,$ES95=$EP95+1),IF(OR(COUNTIF(#REF!,$D95)&gt;0,COUNTIF(#REF!,$D95)=0),"SKIP",IF(COUNTIFS(#REF!,$D95,#REF!,$DD95)&gt;0,"OK","ONBEKEND")),"ONZEKER")))))</f>
        <v/>
      </c>
      <c r="DF95" t="str">
        <f t="shared" si="752"/>
        <v/>
      </c>
      <c r="DG95" t="str">
        <f t="shared" si="753"/>
        <v/>
      </c>
      <c r="DH95" t="str">
        <f>IF($DG95="","",IF(OR($EU95="",$EV95=""),"ONZEKER",IF(OR($ER95="",$ES95=""),"ONZEKER",IF(AND($EU95=$ER95+1,$EV95=$ES95),IF(OR(COUNTIF(#REF!,$B95)&gt;0,COUNTIF(#REF!,$B95)=0),"SKIP",IF(COUNTIFS(#REF!,$B95,#REF!,$DG95)&gt;0,"OK","ONBEKEND")),IF(AND($EU95=$ER95,$EV95=$ES95+1),IF(OR(COUNTIF(#REF!,$D95)&gt;0,COUNTIF(#REF!,$D95)=0),"SKIP",IF(COUNTIFS(#REF!,$D95,#REF!,$DG95)&gt;0,"OK","ONBEKEND")),"ONZEKER")))))</f>
        <v/>
      </c>
      <c r="DI95" t="str">
        <f t="shared" si="754"/>
        <v/>
      </c>
      <c r="DJ95" t="str">
        <f t="shared" si="755"/>
        <v/>
      </c>
      <c r="DK95" t="str">
        <f>IF($DJ95="","",IF(OR($EX95="",$EY95=""),"ONZEKER",IF(OR($EU95="",$EV95=""),"ONZEKER",IF(AND($EX95=$EU95+1,$EY95=$EV95),IF(OR(COUNTIF(#REF!,$B95)&gt;0,COUNTIF(#REF!,$B95)=0),"SKIP",IF(COUNTIFS(#REF!,$B95,#REF!,$DJ95)&gt;0,"OK","ONBEKEND")),IF(AND($EX95=$EU95,$EY95=$EV95+1),IF(OR(COUNTIF(#REF!,$D95)&gt;0,COUNTIF(#REF!,$D95)=0),"SKIP",IF(COUNTIFS(#REF!,$D95,#REF!,$DJ95)&gt;0,"OK","ONBEKEND")),"ONZEKER")))))</f>
        <v/>
      </c>
      <c r="DL95" t="str">
        <f t="shared" si="756"/>
        <v/>
      </c>
      <c r="DM95" t="str">
        <f t="shared" si="757"/>
        <v/>
      </c>
      <c r="DN95" t="str">
        <f t="shared" si="758"/>
        <v/>
      </c>
      <c r="DO95" t="str">
        <f t="shared" si="759"/>
        <v/>
      </c>
      <c r="DP95" t="str">
        <f t="shared" si="760"/>
        <v/>
      </c>
      <c r="DQ95" t="str">
        <f t="shared" si="761"/>
        <v/>
      </c>
      <c r="DR95" t="str">
        <f t="shared" si="762"/>
        <v/>
      </c>
      <c r="DS95" t="str">
        <f t="shared" si="763"/>
        <v/>
      </c>
      <c r="DT95" t="str">
        <f t="shared" si="764"/>
        <v/>
      </c>
      <c r="DU95" t="str">
        <f t="shared" si="765"/>
        <v/>
      </c>
      <c r="DV95" t="str">
        <f t="shared" si="766"/>
        <v/>
      </c>
      <c r="DW95" t="str">
        <f t="shared" si="767"/>
        <v/>
      </c>
      <c r="DX95" t="str">
        <f t="shared" si="768"/>
        <v/>
      </c>
      <c r="DY95" t="str">
        <f t="shared" si="769"/>
        <v/>
      </c>
      <c r="DZ95" t="str">
        <f t="shared" si="770"/>
        <v/>
      </c>
      <c r="EA95" t="str">
        <f t="shared" si="771"/>
        <v/>
      </c>
      <c r="EB95" t="str">
        <f t="shared" si="772"/>
        <v/>
      </c>
      <c r="EC95" t="str">
        <f t="shared" si="773"/>
        <v/>
      </c>
      <c r="ED95" t="str">
        <f t="shared" si="774"/>
        <v/>
      </c>
      <c r="EE95" t="str">
        <f t="shared" si="775"/>
        <v/>
      </c>
      <c r="EF95" t="str">
        <f t="shared" si="776"/>
        <v/>
      </c>
      <c r="EG95" t="str">
        <f t="shared" si="777"/>
        <v/>
      </c>
      <c r="EH95" t="str">
        <f t="shared" si="778"/>
        <v/>
      </c>
      <c r="EI95" t="str">
        <f t="shared" si="779"/>
        <v/>
      </c>
      <c r="EJ95" t="str">
        <f t="shared" si="780"/>
        <v/>
      </c>
      <c r="EK95" t="str">
        <f t="shared" si="781"/>
        <v/>
      </c>
      <c r="EL95" t="str">
        <f t="shared" si="782"/>
        <v/>
      </c>
      <c r="EM95" t="str">
        <f t="shared" si="783"/>
        <v/>
      </c>
      <c r="EN95" t="str">
        <f t="shared" si="784"/>
        <v/>
      </c>
      <c r="EO95" t="str">
        <f t="shared" si="785"/>
        <v/>
      </c>
      <c r="EP95" t="str">
        <f t="shared" si="786"/>
        <v/>
      </c>
      <c r="EQ95" t="str">
        <f t="shared" si="787"/>
        <v/>
      </c>
      <c r="ER95" t="str">
        <f t="shared" si="788"/>
        <v/>
      </c>
      <c r="ES95" t="str">
        <f t="shared" si="789"/>
        <v/>
      </c>
      <c r="ET95" t="str">
        <f t="shared" si="790"/>
        <v/>
      </c>
      <c r="EU95" t="str">
        <f t="shared" si="791"/>
        <v/>
      </c>
      <c r="EV95" t="str">
        <f t="shared" si="792"/>
        <v/>
      </c>
      <c r="EW95" t="str">
        <f t="shared" si="793"/>
        <v/>
      </c>
      <c r="EX95" t="str">
        <f t="shared" si="794"/>
        <v/>
      </c>
      <c r="EY95" t="str">
        <f t="shared" si="795"/>
        <v/>
      </c>
    </row>
    <row r="96" spans="1:155" ht="13.9" customHeight="1" x14ac:dyDescent="0.25">
      <c r="A96" s="7"/>
      <c r="B96" s="17"/>
      <c r="C96" s="8"/>
      <c r="D96" s="17"/>
      <c r="E96" s="8"/>
      <c r="F96" s="18">
        <v>0</v>
      </c>
      <c r="G96" s="7" t="s">
        <v>147</v>
      </c>
      <c r="H96" s="18">
        <v>0</v>
      </c>
      <c r="I96" s="19">
        <v>0</v>
      </c>
      <c r="J96" s="7" t="s">
        <v>147</v>
      </c>
      <c r="K96" s="19">
        <v>0</v>
      </c>
      <c r="L96" s="9"/>
      <c r="M96" s="3" t="str">
        <f>IF($L96="","",IF($L96="DOELPUNTENMAKERS","",IF(AND(COUNTIF(#REF!,$B96)=0,COUNTIF(#REF!,$D96)=0),"OK",IF($O96&gt;20,"LET OP: meer dan 20 items (controle onvolledig)",IF((COUNTIF($R96:$AS96,"ONZEKER")+COUNTIF($CJ96:$DK96,"ONZEKER"))&gt;0,"LET OP: scoreverloop onduidelijk (controle beperkt)",IF((IF($AT96&lt;&gt;"",$AT96&amp;", ","")&amp;IF($AU96&lt;&gt;"",$AU96&amp;", ","")&amp;IF($AV96&lt;&gt;"",$AV96&amp;", ","")&amp;IF($AW96&lt;&gt;"",$AW96&amp;", ","")&amp;IF($AX96&lt;&gt;"",$AX96&amp;", ","")&amp;IF($AY96&lt;&gt;"",$AY96&amp;", ","")&amp;IF($AZ96&lt;&gt;"",$AZ96&amp;", ","")&amp;IF($BA96&lt;&gt;"",$BA96&amp;", ","")&amp;IF($BB96&lt;&gt;"",$BB96&amp;", ","")&amp;IF($BC96&lt;&gt;"",$BC96&amp;", ","")&amp;IF($DL96&lt;&gt;"",$DL96&amp;", ","")&amp;IF($DM96&lt;&gt;"",$DM96&amp;", ","")&amp;IF($DN96&lt;&gt;"",$DN96&amp;", ","")&amp;IF($DO96&lt;&gt;"",$DO96&amp;", ","")&amp;IF($DP96&lt;&gt;"",$DP96&amp;", ","")&amp;IF($DQ96&lt;&gt;"",$DQ96&amp;", ","")&amp;IF($DR96&lt;&gt;"",$DR96&amp;", ","")&amp;IF($DS96&lt;&gt;"",$DS96&amp;", ","")&amp;IF($DT96&lt;&gt;"",$DT96&amp;", ","")&amp;IF($DU96&lt;&gt;"",$DU96&amp;", ",""))="","OK","Onbekend: "&amp;LEFT((IF($AT96&lt;&gt;"",$AT96&amp;", ","")&amp;IF($AU96&lt;&gt;"",$AU96&amp;", ","")&amp;IF($AV96&lt;&gt;"",$AV96&amp;", ","")&amp;IF($AW96&lt;&gt;"",$AW96&amp;", ","")&amp;IF($AX96&lt;&gt;"",$AX96&amp;", ","")&amp;IF($AY96&lt;&gt;"",$AY96&amp;", ","")&amp;IF($AZ96&lt;&gt;"",$AZ96&amp;", ","")&amp;IF($BA96&lt;&gt;"",$BA96&amp;", ","")&amp;IF($BB96&lt;&gt;"",$BB96&amp;", ","")&amp;IF($BC96&lt;&gt;"",$BC96&amp;", ","")&amp;IF($DL96&lt;&gt;"",$DL96&amp;", ","")&amp;IF($DM96&lt;&gt;"",$DM96&amp;", ","")&amp;IF($DN96&lt;&gt;"",$DN96&amp;", ","")&amp;IF($DO96&lt;&gt;"",$DO96&amp;", ","")&amp;IF($DP96&lt;&gt;"",$DP96&amp;", ","")&amp;IF($DQ96&lt;&gt;"",$DQ96&amp;", ","")&amp;IF($DR96&lt;&gt;"",$DR96&amp;", ","")&amp;IF($DS96&lt;&gt;"",$DS96&amp;", ","")&amp;IF($DT96&lt;&gt;"",$DT96&amp;", ","")&amp;IF($DU96&lt;&gt;"",$DU96&amp;", ","")),LEN((IF($AT96&lt;&gt;"",$AT96&amp;", ","")&amp;IF($AU96&lt;&gt;"",$AU96&amp;", ","")&amp;IF($AV96&lt;&gt;"",$AV96&amp;", ","")&amp;IF($AW96&lt;&gt;"",$AW96&amp;", ","")&amp;IF($AX96&lt;&gt;"",$AX96&amp;", ","")&amp;IF($AY96&lt;&gt;"",$AY96&amp;", ","")&amp;IF($AZ96&lt;&gt;"",$AZ96&amp;", ","")&amp;IF($BA96&lt;&gt;"",$BA96&amp;", ","")&amp;IF($BB96&lt;&gt;"",$BB96&amp;", ","")&amp;IF($BC96&lt;&gt;"",$BC96&amp;", ","")&amp;IF($DL96&lt;&gt;"",$DL96&amp;", ","")&amp;IF($DM96&lt;&gt;"",$DM96&amp;", ","")&amp;IF($DN96&lt;&gt;"",$DN96&amp;", ","")&amp;IF($DO96&lt;&gt;"",$DO96&amp;", ","")&amp;IF($DP96&lt;&gt;"",$DP96&amp;", ","")&amp;IF($DQ96&lt;&gt;"",$DQ96&amp;", ","")&amp;IF($DR96&lt;&gt;"",$DR96&amp;", ","")&amp;IF($DS96&lt;&gt;"",$DS96&amp;", ","")&amp;IF($DT96&lt;&gt;"",$DT96&amp;", ","")&amp;IF($DU96&lt;&gt;"",$DU96&amp;", ","")))-2)))))))</f>
        <v/>
      </c>
      <c r="N96" t="str">
        <f t="shared" si="704"/>
        <v/>
      </c>
      <c r="O96" t="str">
        <f t="shared" si="705"/>
        <v/>
      </c>
      <c r="P96" t="str">
        <f t="shared" si="706"/>
        <v/>
      </c>
      <c r="Q96" t="str">
        <f t="shared" si="707"/>
        <v/>
      </c>
      <c r="R96" t="str">
        <f>IF($Q96="","",IF(OR($BE96="",$BF96=""),"ONZEKER",IF(AND($BE96=0+1,$BF96=0),IF(OR(COUNTIF(#REF!,$B96)&gt;0,COUNTIF(#REF!,$B96)=0),"SKIP",IF(COUNTIFS(#REF!,$B96,#REF!,$Q96)&gt;0,"OK","ONBEKEND")),IF(AND($BE96=0,$BF96=0+1),IF(OR(COUNTIF(#REF!,$D96)&gt;0,COUNTIF(#REF!,$D96)=0),"SKIP",IF(COUNTIFS(#REF!,$D96,#REF!,$Q96)&gt;0,"OK","ONBEKEND")),"ONZEKER"))))</f>
        <v/>
      </c>
      <c r="S96" t="str">
        <f t="shared" si="708"/>
        <v/>
      </c>
      <c r="T96" t="str">
        <f t="shared" si="709"/>
        <v/>
      </c>
      <c r="U96" t="str">
        <f>IF($T96="","",IF(OR($BH96="",$BI96=""),"ONZEKER",IF(OR($BE96="",$BF96=""),"ONZEKER",IF(AND($BH96=$BE96+1,$BI96=$BF96),IF(OR(COUNTIF(#REF!,$B96)&gt;0,COUNTIF(#REF!,$B96)=0),"SKIP",IF(COUNTIFS(#REF!,$B96,#REF!,$T96)&gt;0,"OK","ONBEKEND")),IF(AND($BH96=$BE96,$BI96=$BF96+1),IF(OR(COUNTIF(#REF!,$D96)&gt;0,COUNTIF(#REF!,$D96)=0),"SKIP",IF(COUNTIFS(#REF!,$D96,#REF!,$T96)&gt;0,"OK","ONBEKEND")),"ONZEKER")))))</f>
        <v/>
      </c>
      <c r="V96" t="str">
        <f t="shared" si="710"/>
        <v/>
      </c>
      <c r="W96" t="str">
        <f t="shared" si="711"/>
        <v/>
      </c>
      <c r="X96" t="str">
        <f>IF($W96="","",IF(OR($BK96="",$BL96=""),"ONZEKER",IF(OR($BH96="",$BI96=""),"ONZEKER",IF(AND($BK96=$BH96+1,$BL96=$BI96),IF(OR(COUNTIF(#REF!,$B96)&gt;0,COUNTIF(#REF!,$B96)=0),"SKIP",IF(COUNTIFS(#REF!,$B96,#REF!,$W96)&gt;0,"OK","ONBEKEND")),IF(AND($BK96=$BH96,$BL96=$BI96+1),IF(OR(COUNTIF(#REF!,$D96)&gt;0,COUNTIF(#REF!,$D96)=0),"SKIP",IF(COUNTIFS(#REF!,$D96,#REF!,$W96)&gt;0,"OK","ONBEKEND")),"ONZEKER")))))</f>
        <v/>
      </c>
      <c r="Y96" t="str">
        <f t="shared" si="712"/>
        <v/>
      </c>
      <c r="Z96" t="str">
        <f t="shared" si="713"/>
        <v/>
      </c>
      <c r="AA96" t="str">
        <f>IF($Z96="","",IF(OR($BN96="",$BO96=""),"ONZEKER",IF(OR($BK96="",$BL96=""),"ONZEKER",IF(AND($BN96=$BK96+1,$BO96=$BL96),IF(OR(COUNTIF(#REF!,$B96)&gt;0,COUNTIF(#REF!,$B96)=0),"SKIP",IF(COUNTIFS(#REF!,$B96,#REF!,$Z96)&gt;0,"OK","ONBEKEND")),IF(AND($BN96=$BK96,$BO96=$BL96+1),IF(OR(COUNTIF(#REF!,$D96)&gt;0,COUNTIF(#REF!,$D96)=0),"SKIP",IF(COUNTIFS(#REF!,$D96,#REF!,$Z96)&gt;0,"OK","ONBEKEND")),"ONZEKER")))))</f>
        <v/>
      </c>
      <c r="AB96" t="str">
        <f t="shared" si="714"/>
        <v/>
      </c>
      <c r="AC96" t="str">
        <f t="shared" si="715"/>
        <v/>
      </c>
      <c r="AD96" t="str">
        <f>IF($AC96="","",IF(OR($BQ96="",$BR96=""),"ONZEKER",IF(OR($BN96="",$BO96=""),"ONZEKER",IF(AND($BQ96=$BN96+1,$BR96=$BO96),IF(OR(COUNTIF(#REF!,$B96)&gt;0,COUNTIF(#REF!,$B96)=0),"SKIP",IF(COUNTIFS(#REF!,$B96,#REF!,$AC96)&gt;0,"OK","ONBEKEND")),IF(AND($BQ96=$BN96,$BR96=$BO96+1),IF(OR(COUNTIF(#REF!,$D96)&gt;0,COUNTIF(#REF!,$D96)=0),"SKIP",IF(COUNTIFS(#REF!,$D96,#REF!,$AC96)&gt;0,"OK","ONBEKEND")),"ONZEKER")))))</f>
        <v/>
      </c>
      <c r="AE96" t="str">
        <f t="shared" si="716"/>
        <v/>
      </c>
      <c r="AF96" t="str">
        <f t="shared" si="717"/>
        <v/>
      </c>
      <c r="AG96" t="str">
        <f>IF($AF96="","",IF(OR($BT96="",$BU96=""),"ONZEKER",IF(OR($BQ96="",$BR96=""),"ONZEKER",IF(AND($BT96=$BQ96+1,$BU96=$BR96),IF(OR(COUNTIF(#REF!,$B96)&gt;0,COUNTIF(#REF!,$B96)=0),"SKIP",IF(COUNTIFS(#REF!,$B96,#REF!,$AF96)&gt;0,"OK","ONBEKEND")),IF(AND($BT96=$BQ96,$BU96=$BR96+1),IF(OR(COUNTIF(#REF!,$D96)&gt;0,COUNTIF(#REF!,$D96)=0),"SKIP",IF(COUNTIFS(#REF!,$D96,#REF!,$AF96)&gt;0,"OK","ONBEKEND")),"ONZEKER")))))</f>
        <v/>
      </c>
      <c r="AH96" t="str">
        <f t="shared" si="718"/>
        <v/>
      </c>
      <c r="AI96" t="str">
        <f t="shared" si="719"/>
        <v/>
      </c>
      <c r="AJ96" t="str">
        <f>IF($AI96="","",IF(OR($BW96="",$BX96=""),"ONZEKER",IF(OR($BT96="",$BU96=""),"ONZEKER",IF(AND($BW96=$BT96+1,$BX96=$BU96),IF(OR(COUNTIF(#REF!,$B96)&gt;0,COUNTIF(#REF!,$B96)=0),"SKIP",IF(COUNTIFS(#REF!,$B96,#REF!,$AI96)&gt;0,"OK","ONBEKEND")),IF(AND($BW96=$BT96,$BX96=$BU96+1),IF(OR(COUNTIF(#REF!,$D96)&gt;0,COUNTIF(#REF!,$D96)=0),"SKIP",IF(COUNTIFS(#REF!,$D96,#REF!,$AI96)&gt;0,"OK","ONBEKEND")),"ONZEKER")))))</f>
        <v/>
      </c>
      <c r="AK96" t="str">
        <f t="shared" si="720"/>
        <v/>
      </c>
      <c r="AL96" t="str">
        <f t="shared" si="721"/>
        <v/>
      </c>
      <c r="AM96" t="str">
        <f>IF($AL96="","",IF(OR($BZ96="",$CA96=""),"ONZEKER",IF(OR($BW96="",$BX96=""),"ONZEKER",IF(AND($BZ96=$BW96+1,$CA96=$BX96),IF(OR(COUNTIF(#REF!,$B96)&gt;0,COUNTIF(#REF!,$B96)=0),"SKIP",IF(COUNTIFS(#REF!,$B96,#REF!,$AL96)&gt;0,"OK","ONBEKEND")),IF(AND($BZ96=$BW96,$CA96=$BX96+1),IF(OR(COUNTIF(#REF!,$D96)&gt;0,COUNTIF(#REF!,$D96)=0),"SKIP",IF(COUNTIFS(#REF!,$D96,#REF!,$AL96)&gt;0,"OK","ONBEKEND")),"ONZEKER")))))</f>
        <v/>
      </c>
      <c r="AN96" t="str">
        <f t="shared" si="722"/>
        <v/>
      </c>
      <c r="AO96" t="str">
        <f t="shared" si="723"/>
        <v/>
      </c>
      <c r="AP96" t="str">
        <f>IF($AO96="","",IF(OR($CC96="",$CD96=""),"ONZEKER",IF(OR($BZ96="",$CA96=""),"ONZEKER",IF(AND($CC96=$BZ96+1,$CD96=$CA96),IF(OR(COUNTIF(#REF!,$B96)&gt;0,COUNTIF(#REF!,$B96)=0),"SKIP",IF(COUNTIFS(#REF!,$B96,#REF!,$AO96)&gt;0,"OK","ONBEKEND")),IF(AND($CC96=$BZ96,$CD96=$CA96+1),IF(OR(COUNTIF(#REF!,$D96)&gt;0,COUNTIF(#REF!,$D96)=0),"SKIP",IF(COUNTIFS(#REF!,$D96,#REF!,$AO96)&gt;0,"OK","ONBEKEND")),"ONZEKER")))))</f>
        <v/>
      </c>
      <c r="AQ96" t="str">
        <f t="shared" si="724"/>
        <v/>
      </c>
      <c r="AR96" t="str">
        <f t="shared" si="725"/>
        <v/>
      </c>
      <c r="AS96" t="str">
        <f>IF($AR96="","",IF(OR($CF96="",$CG96=""),"ONZEKER",IF(OR($CC96="",$CD96=""),"ONZEKER",IF(AND($CF96=$CC96+1,$CG96=$CD96),IF(OR(COUNTIF(#REF!,$B96)&gt;0,COUNTIF(#REF!,$B96)=0),"SKIP",IF(COUNTIFS(#REF!,$B96,#REF!,$AR96)&gt;0,"OK","ONBEKEND")),IF(AND($CF96=$CC96,$CG96=$CD96+1),IF(OR(COUNTIF(#REF!,$D96)&gt;0,COUNTIF(#REF!,$D96)=0),"SKIP",IF(COUNTIFS(#REF!,$D96,#REF!,$AR96)&gt;0,"OK","ONBEKEND")),"ONZEKER")))))</f>
        <v/>
      </c>
      <c r="AT96" t="str">
        <f t="shared" si="726"/>
        <v/>
      </c>
      <c r="AU96" t="str">
        <f t="shared" si="727"/>
        <v/>
      </c>
      <c r="AV96" t="str">
        <f t="shared" si="728"/>
        <v/>
      </c>
      <c r="AW96" t="str">
        <f t="shared" si="729"/>
        <v/>
      </c>
      <c r="AX96" t="str">
        <f t="shared" si="730"/>
        <v/>
      </c>
      <c r="AY96" t="str">
        <f t="shared" si="731"/>
        <v/>
      </c>
      <c r="AZ96" t="str">
        <f t="shared" si="732"/>
        <v/>
      </c>
      <c r="BA96" t="str">
        <f t="shared" si="733"/>
        <v/>
      </c>
      <c r="BB96" t="str">
        <f t="shared" si="734"/>
        <v/>
      </c>
      <c r="BC96" t="str">
        <f t="shared" si="735"/>
        <v/>
      </c>
      <c r="BD96" t="str">
        <f t="shared" si="490"/>
        <v/>
      </c>
      <c r="BE96" t="str">
        <f t="shared" si="491"/>
        <v/>
      </c>
      <c r="BF96" t="str">
        <f t="shared" si="492"/>
        <v/>
      </c>
      <c r="BG96" t="str">
        <f t="shared" si="493"/>
        <v/>
      </c>
      <c r="BH96" t="str">
        <f t="shared" si="494"/>
        <v/>
      </c>
      <c r="BI96" t="str">
        <f t="shared" si="495"/>
        <v/>
      </c>
      <c r="BJ96" t="str">
        <f t="shared" si="496"/>
        <v/>
      </c>
      <c r="BK96" t="str">
        <f t="shared" si="497"/>
        <v/>
      </c>
      <c r="BL96" t="str">
        <f t="shared" si="498"/>
        <v/>
      </c>
      <c r="BM96" t="str">
        <f t="shared" si="499"/>
        <v/>
      </c>
      <c r="BN96" t="str">
        <f t="shared" si="500"/>
        <v/>
      </c>
      <c r="BO96" t="str">
        <f t="shared" si="501"/>
        <v/>
      </c>
      <c r="BP96" t="str">
        <f t="shared" si="502"/>
        <v/>
      </c>
      <c r="BQ96" t="str">
        <f t="shared" si="503"/>
        <v/>
      </c>
      <c r="BR96" t="str">
        <f t="shared" si="504"/>
        <v/>
      </c>
      <c r="BS96" t="str">
        <f t="shared" si="505"/>
        <v/>
      </c>
      <c r="BT96" t="str">
        <f t="shared" si="506"/>
        <v/>
      </c>
      <c r="BU96" t="str">
        <f t="shared" si="507"/>
        <v/>
      </c>
      <c r="BV96" t="str">
        <f t="shared" si="508"/>
        <v/>
      </c>
      <c r="BW96" t="str">
        <f t="shared" si="509"/>
        <v/>
      </c>
      <c r="BX96" t="str">
        <f t="shared" si="510"/>
        <v/>
      </c>
      <c r="BY96" t="str">
        <f t="shared" si="511"/>
        <v/>
      </c>
      <c r="BZ96" t="str">
        <f t="shared" si="512"/>
        <v/>
      </c>
      <c r="CA96" t="str">
        <f t="shared" si="513"/>
        <v/>
      </c>
      <c r="CB96" t="str">
        <f t="shared" si="514"/>
        <v/>
      </c>
      <c r="CC96" t="str">
        <f t="shared" si="515"/>
        <v/>
      </c>
      <c r="CD96" t="str">
        <f t="shared" si="516"/>
        <v/>
      </c>
      <c r="CE96" t="str">
        <f t="shared" si="517"/>
        <v/>
      </c>
      <c r="CF96" t="str">
        <f t="shared" si="518"/>
        <v/>
      </c>
      <c r="CG96" t="str">
        <f t="shared" si="519"/>
        <v/>
      </c>
      <c r="CH96" t="str">
        <f t="shared" si="736"/>
        <v/>
      </c>
      <c r="CI96" t="str">
        <f t="shared" si="737"/>
        <v/>
      </c>
      <c r="CJ96" t="str">
        <f>IF($CI96="","",IF(OR($DW96="",$DX96=""),"ONZEKER",IF(OR($CF96="",$CG96=""),"ONZEKER",IF(AND($DW96=$CF96+1,$DX96=$CG96),IF(OR(COUNTIF(#REF!,$B96)&gt;0,COUNTIF(#REF!,$B96)=0),"SKIP",IF(COUNTIFS(#REF!,$B96,#REF!,$CI96)&gt;0,"OK","ONBEKEND")),IF(AND($DW96=$CF96,$DX96=$CG96+1),IF(OR(COUNTIF(#REF!,$D96)&gt;0,COUNTIF(#REF!,$D96)=0),"SKIP",IF(COUNTIFS(#REF!,$D96,#REF!,$CI96)&gt;0,"OK","ONBEKEND")),"ONZEKER")))))</f>
        <v/>
      </c>
      <c r="CK96" t="str">
        <f t="shared" si="738"/>
        <v/>
      </c>
      <c r="CL96" t="str">
        <f t="shared" si="739"/>
        <v/>
      </c>
      <c r="CM96" t="str">
        <f>IF($CL96="","",IF(OR($DZ96="",$EA96=""),"ONZEKER",IF(OR($DW96="",$DX96=""),"ONZEKER",IF(AND($DZ96=$DW96+1,$EA96=$DX96),IF(OR(COUNTIF(#REF!,$B96)&gt;0,COUNTIF(#REF!,$B96)=0),"SKIP",IF(COUNTIFS(#REF!,$B96,#REF!,$CL96)&gt;0,"OK","ONBEKEND")),IF(AND($DZ96=$DW96,$EA96=$DX96+1),IF(OR(COUNTIF(#REF!,$D96)&gt;0,COUNTIF(#REF!,$D96)=0),"SKIP",IF(COUNTIFS(#REF!,$D96,#REF!,$CL96)&gt;0,"OK","ONBEKEND")),"ONZEKER")))))</f>
        <v/>
      </c>
      <c r="CN96" t="str">
        <f t="shared" si="740"/>
        <v/>
      </c>
      <c r="CO96" t="str">
        <f t="shared" si="741"/>
        <v/>
      </c>
      <c r="CP96" t="str">
        <f>IF($CO96="","",IF(OR($EC96="",$ED96=""),"ONZEKER",IF(OR($DZ96="",$EA96=""),"ONZEKER",IF(AND($EC96=$DZ96+1,$ED96=$EA96),IF(OR(COUNTIF(#REF!,$B96)&gt;0,COUNTIF(#REF!,$B96)=0),"SKIP",IF(COUNTIFS(#REF!,$B96,#REF!,$CO96)&gt;0,"OK","ONBEKEND")),IF(AND($EC96=$DZ96,$ED96=$EA96+1),IF(OR(COUNTIF(#REF!,$D96)&gt;0,COUNTIF(#REF!,$D96)=0),"SKIP",IF(COUNTIFS(#REF!,$D96,#REF!,$CO96)&gt;0,"OK","ONBEKEND")),"ONZEKER")))))</f>
        <v/>
      </c>
      <c r="CQ96" t="str">
        <f t="shared" si="742"/>
        <v/>
      </c>
      <c r="CR96" t="str">
        <f t="shared" si="743"/>
        <v/>
      </c>
      <c r="CS96" t="str">
        <f>IF($CR96="","",IF(OR($EF96="",$EG96=""),"ONZEKER",IF(OR($EC96="",$ED96=""),"ONZEKER",IF(AND($EF96=$EC96+1,$EG96=$ED96),IF(OR(COUNTIF(#REF!,$B96)&gt;0,COUNTIF(#REF!,$B96)=0),"SKIP",IF(COUNTIFS(#REF!,$B96,#REF!,$CR96)&gt;0,"OK","ONBEKEND")),IF(AND($EF96=$EC96,$EG96=$ED96+1),IF(OR(COUNTIF(#REF!,$D96)&gt;0,COUNTIF(#REF!,$D96)=0),"SKIP",IF(COUNTIFS(#REF!,$D96,#REF!,$CR96)&gt;0,"OK","ONBEKEND")),"ONZEKER")))))</f>
        <v/>
      </c>
      <c r="CT96" t="str">
        <f t="shared" si="744"/>
        <v/>
      </c>
      <c r="CU96" t="str">
        <f t="shared" si="745"/>
        <v/>
      </c>
      <c r="CV96" t="str">
        <f>IF($CU96="","",IF(OR($EI96="",$EJ96=""),"ONZEKER",IF(OR($EF96="",$EG96=""),"ONZEKER",IF(AND($EI96=$EF96+1,$EJ96=$EG96),IF(OR(COUNTIF(#REF!,$B96)&gt;0,COUNTIF(#REF!,$B96)=0),"SKIP",IF(COUNTIFS(#REF!,$B96,#REF!,$CU96)&gt;0,"OK","ONBEKEND")),IF(AND($EI96=$EF96,$EJ96=$EG96+1),IF(OR(COUNTIF(#REF!,$D96)&gt;0,COUNTIF(#REF!,$D96)=0),"SKIP",IF(COUNTIFS(#REF!,$D96,#REF!,$CU96)&gt;0,"OK","ONBEKEND")),"ONZEKER")))))</f>
        <v/>
      </c>
      <c r="CW96" t="str">
        <f t="shared" si="746"/>
        <v/>
      </c>
      <c r="CX96" t="str">
        <f t="shared" si="747"/>
        <v/>
      </c>
      <c r="CY96" t="str">
        <f>IF($CX96="","",IF(OR($EL96="",$EM96=""),"ONZEKER",IF(OR($EI96="",$EJ96=""),"ONZEKER",IF(AND($EL96=$EI96+1,$EM96=$EJ96),IF(OR(COUNTIF(#REF!,$B96)&gt;0,COUNTIF(#REF!,$B96)=0),"SKIP",IF(COUNTIFS(#REF!,$B96,#REF!,$CX96)&gt;0,"OK","ONBEKEND")),IF(AND($EL96=$EI96,$EM96=$EJ96+1),IF(OR(COUNTIF(#REF!,$D96)&gt;0,COUNTIF(#REF!,$D96)=0),"SKIP",IF(COUNTIFS(#REF!,$D96,#REF!,$CX96)&gt;0,"OK","ONBEKEND")),"ONZEKER")))))</f>
        <v/>
      </c>
      <c r="CZ96" t="str">
        <f t="shared" si="748"/>
        <v/>
      </c>
      <c r="DA96" t="str">
        <f t="shared" si="749"/>
        <v/>
      </c>
      <c r="DB96" t="str">
        <f>IF($DA96="","",IF(OR($EO96="",$EP96=""),"ONZEKER",IF(OR($EL96="",$EM96=""),"ONZEKER",IF(AND($EO96=$EL96+1,$EP96=$EM96),IF(OR(COUNTIF(#REF!,$B96)&gt;0,COUNTIF(#REF!,$B96)=0),"SKIP",IF(COUNTIFS(#REF!,$B96,#REF!,$DA96)&gt;0,"OK","ONBEKEND")),IF(AND($EO96=$EL96,$EP96=$EM96+1),IF(OR(COUNTIF(#REF!,$D96)&gt;0,COUNTIF(#REF!,$D96)=0),"SKIP",IF(COUNTIFS(#REF!,$D96,#REF!,$DA96)&gt;0,"OK","ONBEKEND")),"ONZEKER")))))</f>
        <v/>
      </c>
      <c r="DC96" t="str">
        <f t="shared" si="750"/>
        <v/>
      </c>
      <c r="DD96" t="str">
        <f t="shared" si="751"/>
        <v/>
      </c>
      <c r="DE96" t="str">
        <f>IF($DD96="","",IF(OR($ER96="",$ES96=""),"ONZEKER",IF(OR($EO96="",$EP96=""),"ONZEKER",IF(AND($ER96=$EO96+1,$ES96=$EP96),IF(OR(COUNTIF(#REF!,$B96)&gt;0,COUNTIF(#REF!,$B96)=0),"SKIP",IF(COUNTIFS(#REF!,$B96,#REF!,$DD96)&gt;0,"OK","ONBEKEND")),IF(AND($ER96=$EO96,$ES96=$EP96+1),IF(OR(COUNTIF(#REF!,$D96)&gt;0,COUNTIF(#REF!,$D96)=0),"SKIP",IF(COUNTIFS(#REF!,$D96,#REF!,$DD96)&gt;0,"OK","ONBEKEND")),"ONZEKER")))))</f>
        <v/>
      </c>
      <c r="DF96" t="str">
        <f t="shared" si="752"/>
        <v/>
      </c>
      <c r="DG96" t="str">
        <f t="shared" si="753"/>
        <v/>
      </c>
      <c r="DH96" t="str">
        <f>IF($DG96="","",IF(OR($EU96="",$EV96=""),"ONZEKER",IF(OR($ER96="",$ES96=""),"ONZEKER",IF(AND($EU96=$ER96+1,$EV96=$ES96),IF(OR(COUNTIF(#REF!,$B96)&gt;0,COUNTIF(#REF!,$B96)=0),"SKIP",IF(COUNTIFS(#REF!,$B96,#REF!,$DG96)&gt;0,"OK","ONBEKEND")),IF(AND($EU96=$ER96,$EV96=$ES96+1),IF(OR(COUNTIF(#REF!,$D96)&gt;0,COUNTIF(#REF!,$D96)=0),"SKIP",IF(COUNTIFS(#REF!,$D96,#REF!,$DG96)&gt;0,"OK","ONBEKEND")),"ONZEKER")))))</f>
        <v/>
      </c>
      <c r="DI96" t="str">
        <f t="shared" si="754"/>
        <v/>
      </c>
      <c r="DJ96" t="str">
        <f t="shared" si="755"/>
        <v/>
      </c>
      <c r="DK96" t="str">
        <f>IF($DJ96="","",IF(OR($EX96="",$EY96=""),"ONZEKER",IF(OR($EU96="",$EV96=""),"ONZEKER",IF(AND($EX96=$EU96+1,$EY96=$EV96),IF(OR(COUNTIF(#REF!,$B96)&gt;0,COUNTIF(#REF!,$B96)=0),"SKIP",IF(COUNTIFS(#REF!,$B96,#REF!,$DJ96)&gt;0,"OK","ONBEKEND")),IF(AND($EX96=$EU96,$EY96=$EV96+1),IF(OR(COUNTIF(#REF!,$D96)&gt;0,COUNTIF(#REF!,$D96)=0),"SKIP",IF(COUNTIFS(#REF!,$D96,#REF!,$DJ96)&gt;0,"OK","ONBEKEND")),"ONZEKER")))))</f>
        <v/>
      </c>
      <c r="DL96" t="str">
        <f t="shared" si="756"/>
        <v/>
      </c>
      <c r="DM96" t="str">
        <f t="shared" si="757"/>
        <v/>
      </c>
      <c r="DN96" t="str">
        <f t="shared" si="758"/>
        <v/>
      </c>
      <c r="DO96" t="str">
        <f t="shared" si="759"/>
        <v/>
      </c>
      <c r="DP96" t="str">
        <f t="shared" si="760"/>
        <v/>
      </c>
      <c r="DQ96" t="str">
        <f t="shared" si="761"/>
        <v/>
      </c>
      <c r="DR96" t="str">
        <f t="shared" si="762"/>
        <v/>
      </c>
      <c r="DS96" t="str">
        <f t="shared" si="763"/>
        <v/>
      </c>
      <c r="DT96" t="str">
        <f t="shared" si="764"/>
        <v/>
      </c>
      <c r="DU96" t="str">
        <f t="shared" si="765"/>
        <v/>
      </c>
      <c r="DV96" t="str">
        <f t="shared" si="766"/>
        <v/>
      </c>
      <c r="DW96" t="str">
        <f t="shared" si="767"/>
        <v/>
      </c>
      <c r="DX96" t="str">
        <f t="shared" si="768"/>
        <v/>
      </c>
      <c r="DY96" t="str">
        <f t="shared" si="769"/>
        <v/>
      </c>
      <c r="DZ96" t="str">
        <f t="shared" si="770"/>
        <v/>
      </c>
      <c r="EA96" t="str">
        <f t="shared" si="771"/>
        <v/>
      </c>
      <c r="EB96" t="str">
        <f t="shared" si="772"/>
        <v/>
      </c>
      <c r="EC96" t="str">
        <f t="shared" si="773"/>
        <v/>
      </c>
      <c r="ED96" t="str">
        <f t="shared" si="774"/>
        <v/>
      </c>
      <c r="EE96" t="str">
        <f t="shared" si="775"/>
        <v/>
      </c>
      <c r="EF96" t="str">
        <f t="shared" si="776"/>
        <v/>
      </c>
      <c r="EG96" t="str">
        <f t="shared" si="777"/>
        <v/>
      </c>
      <c r="EH96" t="str">
        <f t="shared" si="778"/>
        <v/>
      </c>
      <c r="EI96" t="str">
        <f t="shared" si="779"/>
        <v/>
      </c>
      <c r="EJ96" t="str">
        <f t="shared" si="780"/>
        <v/>
      </c>
      <c r="EK96" t="str">
        <f t="shared" si="781"/>
        <v/>
      </c>
      <c r="EL96" t="str">
        <f t="shared" si="782"/>
        <v/>
      </c>
      <c r="EM96" t="str">
        <f t="shared" si="783"/>
        <v/>
      </c>
      <c r="EN96" t="str">
        <f t="shared" si="784"/>
        <v/>
      </c>
      <c r="EO96" t="str">
        <f t="shared" si="785"/>
        <v/>
      </c>
      <c r="EP96" t="str">
        <f t="shared" si="786"/>
        <v/>
      </c>
      <c r="EQ96" t="str">
        <f t="shared" si="787"/>
        <v/>
      </c>
      <c r="ER96" t="str">
        <f t="shared" si="788"/>
        <v/>
      </c>
      <c r="ES96" t="str">
        <f t="shared" si="789"/>
        <v/>
      </c>
      <c r="ET96" t="str">
        <f t="shared" si="790"/>
        <v/>
      </c>
      <c r="EU96" t="str">
        <f t="shared" si="791"/>
        <v/>
      </c>
      <c r="EV96" t="str">
        <f t="shared" si="792"/>
        <v/>
      </c>
      <c r="EW96" t="str">
        <f t="shared" si="793"/>
        <v/>
      </c>
      <c r="EX96" t="str">
        <f t="shared" si="794"/>
        <v/>
      </c>
      <c r="EY96" t="str">
        <f t="shared" si="795"/>
        <v/>
      </c>
    </row>
    <row r="97" spans="1:155" ht="13.9" customHeight="1" x14ac:dyDescent="0.25">
      <c r="A97" s="7"/>
      <c r="B97" s="17"/>
      <c r="C97" s="8"/>
      <c r="D97" s="17"/>
      <c r="E97" s="8"/>
      <c r="F97" s="18">
        <v>0</v>
      </c>
      <c r="G97" s="7" t="s">
        <v>147</v>
      </c>
      <c r="H97" s="18">
        <v>0</v>
      </c>
      <c r="I97" s="19">
        <v>0</v>
      </c>
      <c r="J97" s="7" t="s">
        <v>147</v>
      </c>
      <c r="K97" s="19">
        <v>0</v>
      </c>
      <c r="L97" s="9"/>
      <c r="M97" s="3" t="str">
        <f>IF($L97="","",IF($L97="DOELPUNTENMAKERS","",IF(AND(COUNTIF(#REF!,$B97)=0,COUNTIF(#REF!,$D97)=0),"OK",IF($O97&gt;20,"LET OP: meer dan 20 items (controle onvolledig)",IF((COUNTIF($R97:$AS97,"ONZEKER")+COUNTIF($CJ97:$DK97,"ONZEKER"))&gt;0,"LET OP: scoreverloop onduidelijk (controle beperkt)",IF((IF($AT97&lt;&gt;"",$AT97&amp;", ","")&amp;IF($AU97&lt;&gt;"",$AU97&amp;", ","")&amp;IF($AV97&lt;&gt;"",$AV97&amp;", ","")&amp;IF($AW97&lt;&gt;"",$AW97&amp;", ","")&amp;IF($AX97&lt;&gt;"",$AX97&amp;", ","")&amp;IF($AY97&lt;&gt;"",$AY97&amp;", ","")&amp;IF($AZ97&lt;&gt;"",$AZ97&amp;", ","")&amp;IF($BA97&lt;&gt;"",$BA97&amp;", ","")&amp;IF($BB97&lt;&gt;"",$BB97&amp;", ","")&amp;IF($BC97&lt;&gt;"",$BC97&amp;", ","")&amp;IF($DL97&lt;&gt;"",$DL97&amp;", ","")&amp;IF($DM97&lt;&gt;"",$DM97&amp;", ","")&amp;IF($DN97&lt;&gt;"",$DN97&amp;", ","")&amp;IF($DO97&lt;&gt;"",$DO97&amp;", ","")&amp;IF($DP97&lt;&gt;"",$DP97&amp;", ","")&amp;IF($DQ97&lt;&gt;"",$DQ97&amp;", ","")&amp;IF($DR97&lt;&gt;"",$DR97&amp;", ","")&amp;IF($DS97&lt;&gt;"",$DS97&amp;", ","")&amp;IF($DT97&lt;&gt;"",$DT97&amp;", ","")&amp;IF($DU97&lt;&gt;"",$DU97&amp;", ",""))="","OK","Onbekend: "&amp;LEFT((IF($AT97&lt;&gt;"",$AT97&amp;", ","")&amp;IF($AU97&lt;&gt;"",$AU97&amp;", ","")&amp;IF($AV97&lt;&gt;"",$AV97&amp;", ","")&amp;IF($AW97&lt;&gt;"",$AW97&amp;", ","")&amp;IF($AX97&lt;&gt;"",$AX97&amp;", ","")&amp;IF($AY97&lt;&gt;"",$AY97&amp;", ","")&amp;IF($AZ97&lt;&gt;"",$AZ97&amp;", ","")&amp;IF($BA97&lt;&gt;"",$BA97&amp;", ","")&amp;IF($BB97&lt;&gt;"",$BB97&amp;", ","")&amp;IF($BC97&lt;&gt;"",$BC97&amp;", ","")&amp;IF($DL97&lt;&gt;"",$DL97&amp;", ","")&amp;IF($DM97&lt;&gt;"",$DM97&amp;", ","")&amp;IF($DN97&lt;&gt;"",$DN97&amp;", ","")&amp;IF($DO97&lt;&gt;"",$DO97&amp;", ","")&amp;IF($DP97&lt;&gt;"",$DP97&amp;", ","")&amp;IF($DQ97&lt;&gt;"",$DQ97&amp;", ","")&amp;IF($DR97&lt;&gt;"",$DR97&amp;", ","")&amp;IF($DS97&lt;&gt;"",$DS97&amp;", ","")&amp;IF($DT97&lt;&gt;"",$DT97&amp;", ","")&amp;IF($DU97&lt;&gt;"",$DU97&amp;", ","")),LEN((IF($AT97&lt;&gt;"",$AT97&amp;", ","")&amp;IF($AU97&lt;&gt;"",$AU97&amp;", ","")&amp;IF($AV97&lt;&gt;"",$AV97&amp;", ","")&amp;IF($AW97&lt;&gt;"",$AW97&amp;", ","")&amp;IF($AX97&lt;&gt;"",$AX97&amp;", ","")&amp;IF($AY97&lt;&gt;"",$AY97&amp;", ","")&amp;IF($AZ97&lt;&gt;"",$AZ97&amp;", ","")&amp;IF($BA97&lt;&gt;"",$BA97&amp;", ","")&amp;IF($BB97&lt;&gt;"",$BB97&amp;", ","")&amp;IF($BC97&lt;&gt;"",$BC97&amp;", ","")&amp;IF($DL97&lt;&gt;"",$DL97&amp;", ","")&amp;IF($DM97&lt;&gt;"",$DM97&amp;", ","")&amp;IF($DN97&lt;&gt;"",$DN97&amp;", ","")&amp;IF($DO97&lt;&gt;"",$DO97&amp;", ","")&amp;IF($DP97&lt;&gt;"",$DP97&amp;", ","")&amp;IF($DQ97&lt;&gt;"",$DQ97&amp;", ","")&amp;IF($DR97&lt;&gt;"",$DR97&amp;", ","")&amp;IF($DS97&lt;&gt;"",$DS97&amp;", ","")&amp;IF($DT97&lt;&gt;"",$DT97&amp;", ","")&amp;IF($DU97&lt;&gt;"",$DU97&amp;", ","")))-2)))))))</f>
        <v/>
      </c>
      <c r="N97" t="str">
        <f t="shared" si="704"/>
        <v/>
      </c>
      <c r="O97" t="str">
        <f t="shared" si="705"/>
        <v/>
      </c>
      <c r="P97" t="str">
        <f t="shared" si="706"/>
        <v/>
      </c>
      <c r="Q97" t="str">
        <f t="shared" si="707"/>
        <v/>
      </c>
      <c r="R97" t="str">
        <f>IF($Q97="","",IF(OR($BE97="",$BF97=""),"ONZEKER",IF(AND($BE97=0+1,$BF97=0),IF(OR(COUNTIF(#REF!,$B97)&gt;0,COUNTIF(#REF!,$B97)=0),"SKIP",IF(COUNTIFS(#REF!,$B97,#REF!,$Q97)&gt;0,"OK","ONBEKEND")),IF(AND($BE97=0,$BF97=0+1),IF(OR(COUNTIF(#REF!,$D97)&gt;0,COUNTIF(#REF!,$D97)=0),"SKIP",IF(COUNTIFS(#REF!,$D97,#REF!,$Q97)&gt;0,"OK","ONBEKEND")),"ONZEKER"))))</f>
        <v/>
      </c>
      <c r="S97" t="str">
        <f t="shared" si="708"/>
        <v/>
      </c>
      <c r="T97" t="str">
        <f t="shared" si="709"/>
        <v/>
      </c>
      <c r="U97" t="str">
        <f>IF($T97="","",IF(OR($BH97="",$BI97=""),"ONZEKER",IF(OR($BE97="",$BF97=""),"ONZEKER",IF(AND($BH97=$BE97+1,$BI97=$BF97),IF(OR(COUNTIF(#REF!,$B97)&gt;0,COUNTIF(#REF!,$B97)=0),"SKIP",IF(COUNTIFS(#REF!,$B97,#REF!,$T97)&gt;0,"OK","ONBEKEND")),IF(AND($BH97=$BE97,$BI97=$BF97+1),IF(OR(COUNTIF(#REF!,$D97)&gt;0,COUNTIF(#REF!,$D97)=0),"SKIP",IF(COUNTIFS(#REF!,$D97,#REF!,$T97)&gt;0,"OK","ONBEKEND")),"ONZEKER")))))</f>
        <v/>
      </c>
      <c r="V97" t="str">
        <f t="shared" si="710"/>
        <v/>
      </c>
      <c r="W97" t="str">
        <f t="shared" si="711"/>
        <v/>
      </c>
      <c r="X97" t="str">
        <f>IF($W97="","",IF(OR($BK97="",$BL97=""),"ONZEKER",IF(OR($BH97="",$BI97=""),"ONZEKER",IF(AND($BK97=$BH97+1,$BL97=$BI97),IF(OR(COUNTIF(#REF!,$B97)&gt;0,COUNTIF(#REF!,$B97)=0),"SKIP",IF(COUNTIFS(#REF!,$B97,#REF!,$W97)&gt;0,"OK","ONBEKEND")),IF(AND($BK97=$BH97,$BL97=$BI97+1),IF(OR(COUNTIF(#REF!,$D97)&gt;0,COUNTIF(#REF!,$D97)=0),"SKIP",IF(COUNTIFS(#REF!,$D97,#REF!,$W97)&gt;0,"OK","ONBEKEND")),"ONZEKER")))))</f>
        <v/>
      </c>
      <c r="Y97" t="str">
        <f t="shared" si="712"/>
        <v/>
      </c>
      <c r="Z97" t="str">
        <f t="shared" si="713"/>
        <v/>
      </c>
      <c r="AA97" t="str">
        <f>IF($Z97="","",IF(OR($BN97="",$BO97=""),"ONZEKER",IF(OR($BK97="",$BL97=""),"ONZEKER",IF(AND($BN97=$BK97+1,$BO97=$BL97),IF(OR(COUNTIF(#REF!,$B97)&gt;0,COUNTIF(#REF!,$B97)=0),"SKIP",IF(COUNTIFS(#REF!,$B97,#REF!,$Z97)&gt;0,"OK","ONBEKEND")),IF(AND($BN97=$BK97,$BO97=$BL97+1),IF(OR(COUNTIF(#REF!,$D97)&gt;0,COUNTIF(#REF!,$D97)=0),"SKIP",IF(COUNTIFS(#REF!,$D97,#REF!,$Z97)&gt;0,"OK","ONBEKEND")),"ONZEKER")))))</f>
        <v/>
      </c>
      <c r="AB97" t="str">
        <f t="shared" si="714"/>
        <v/>
      </c>
      <c r="AC97" t="str">
        <f t="shared" si="715"/>
        <v/>
      </c>
      <c r="AD97" t="str">
        <f>IF($AC97="","",IF(OR($BQ97="",$BR97=""),"ONZEKER",IF(OR($BN97="",$BO97=""),"ONZEKER",IF(AND($BQ97=$BN97+1,$BR97=$BO97),IF(OR(COUNTIF(#REF!,$B97)&gt;0,COUNTIF(#REF!,$B97)=0),"SKIP",IF(COUNTIFS(#REF!,$B97,#REF!,$AC97)&gt;0,"OK","ONBEKEND")),IF(AND($BQ97=$BN97,$BR97=$BO97+1),IF(OR(COUNTIF(#REF!,$D97)&gt;0,COUNTIF(#REF!,$D97)=0),"SKIP",IF(COUNTIFS(#REF!,$D97,#REF!,$AC97)&gt;0,"OK","ONBEKEND")),"ONZEKER")))))</f>
        <v/>
      </c>
      <c r="AE97" t="str">
        <f t="shared" si="716"/>
        <v/>
      </c>
      <c r="AF97" t="str">
        <f t="shared" si="717"/>
        <v/>
      </c>
      <c r="AG97" t="str">
        <f>IF($AF97="","",IF(OR($BT97="",$BU97=""),"ONZEKER",IF(OR($BQ97="",$BR97=""),"ONZEKER",IF(AND($BT97=$BQ97+1,$BU97=$BR97),IF(OR(COUNTIF(#REF!,$B97)&gt;0,COUNTIF(#REF!,$B97)=0),"SKIP",IF(COUNTIFS(#REF!,$B97,#REF!,$AF97)&gt;0,"OK","ONBEKEND")),IF(AND($BT97=$BQ97,$BU97=$BR97+1),IF(OR(COUNTIF(#REF!,$D97)&gt;0,COUNTIF(#REF!,$D97)=0),"SKIP",IF(COUNTIFS(#REF!,$D97,#REF!,$AF97)&gt;0,"OK","ONBEKEND")),"ONZEKER")))))</f>
        <v/>
      </c>
      <c r="AH97" t="str">
        <f t="shared" si="718"/>
        <v/>
      </c>
      <c r="AI97" t="str">
        <f t="shared" si="719"/>
        <v/>
      </c>
      <c r="AJ97" t="str">
        <f>IF($AI97="","",IF(OR($BW97="",$BX97=""),"ONZEKER",IF(OR($BT97="",$BU97=""),"ONZEKER",IF(AND($BW97=$BT97+1,$BX97=$BU97),IF(OR(COUNTIF(#REF!,$B97)&gt;0,COUNTIF(#REF!,$B97)=0),"SKIP",IF(COUNTIFS(#REF!,$B97,#REF!,$AI97)&gt;0,"OK","ONBEKEND")),IF(AND($BW97=$BT97,$BX97=$BU97+1),IF(OR(COUNTIF(#REF!,$D97)&gt;0,COUNTIF(#REF!,$D97)=0),"SKIP",IF(COUNTIFS(#REF!,$D97,#REF!,$AI97)&gt;0,"OK","ONBEKEND")),"ONZEKER")))))</f>
        <v/>
      </c>
      <c r="AK97" t="str">
        <f t="shared" si="720"/>
        <v/>
      </c>
      <c r="AL97" t="str">
        <f t="shared" si="721"/>
        <v/>
      </c>
      <c r="AM97" t="str">
        <f>IF($AL97="","",IF(OR($BZ97="",$CA97=""),"ONZEKER",IF(OR($BW97="",$BX97=""),"ONZEKER",IF(AND($BZ97=$BW97+1,$CA97=$BX97),IF(OR(COUNTIF(#REF!,$B97)&gt;0,COUNTIF(#REF!,$B97)=0),"SKIP",IF(COUNTIFS(#REF!,$B97,#REF!,$AL97)&gt;0,"OK","ONBEKEND")),IF(AND($BZ97=$BW97,$CA97=$BX97+1),IF(OR(COUNTIF(#REF!,$D97)&gt;0,COUNTIF(#REF!,$D97)=0),"SKIP",IF(COUNTIFS(#REF!,$D97,#REF!,$AL97)&gt;0,"OK","ONBEKEND")),"ONZEKER")))))</f>
        <v/>
      </c>
      <c r="AN97" t="str">
        <f t="shared" si="722"/>
        <v/>
      </c>
      <c r="AO97" t="str">
        <f t="shared" si="723"/>
        <v/>
      </c>
      <c r="AP97" t="str">
        <f>IF($AO97="","",IF(OR($CC97="",$CD97=""),"ONZEKER",IF(OR($BZ97="",$CA97=""),"ONZEKER",IF(AND($CC97=$BZ97+1,$CD97=$CA97),IF(OR(COUNTIF(#REF!,$B97)&gt;0,COUNTIF(#REF!,$B97)=0),"SKIP",IF(COUNTIFS(#REF!,$B97,#REF!,$AO97)&gt;0,"OK","ONBEKEND")),IF(AND($CC97=$BZ97,$CD97=$CA97+1),IF(OR(COUNTIF(#REF!,$D97)&gt;0,COUNTIF(#REF!,$D97)=0),"SKIP",IF(COUNTIFS(#REF!,$D97,#REF!,$AO97)&gt;0,"OK","ONBEKEND")),"ONZEKER")))))</f>
        <v/>
      </c>
      <c r="AQ97" t="str">
        <f t="shared" si="724"/>
        <v/>
      </c>
      <c r="AR97" t="str">
        <f t="shared" si="725"/>
        <v/>
      </c>
      <c r="AS97" t="str">
        <f>IF($AR97="","",IF(OR($CF97="",$CG97=""),"ONZEKER",IF(OR($CC97="",$CD97=""),"ONZEKER",IF(AND($CF97=$CC97+1,$CG97=$CD97),IF(OR(COUNTIF(#REF!,$B97)&gt;0,COUNTIF(#REF!,$B97)=0),"SKIP",IF(COUNTIFS(#REF!,$B97,#REF!,$AR97)&gt;0,"OK","ONBEKEND")),IF(AND($CF97=$CC97,$CG97=$CD97+1),IF(OR(COUNTIF(#REF!,$D97)&gt;0,COUNTIF(#REF!,$D97)=0),"SKIP",IF(COUNTIFS(#REF!,$D97,#REF!,$AR97)&gt;0,"OK","ONBEKEND")),"ONZEKER")))))</f>
        <v/>
      </c>
      <c r="AT97" t="str">
        <f t="shared" si="726"/>
        <v/>
      </c>
      <c r="AU97" t="str">
        <f t="shared" si="727"/>
        <v/>
      </c>
      <c r="AV97" t="str">
        <f t="shared" si="728"/>
        <v/>
      </c>
      <c r="AW97" t="str">
        <f t="shared" si="729"/>
        <v/>
      </c>
      <c r="AX97" t="str">
        <f t="shared" si="730"/>
        <v/>
      </c>
      <c r="AY97" t="str">
        <f t="shared" si="731"/>
        <v/>
      </c>
      <c r="AZ97" t="str">
        <f t="shared" si="732"/>
        <v/>
      </c>
      <c r="BA97" t="str">
        <f t="shared" si="733"/>
        <v/>
      </c>
      <c r="BB97" t="str">
        <f t="shared" si="734"/>
        <v/>
      </c>
      <c r="BC97" t="str">
        <f t="shared" si="735"/>
        <v/>
      </c>
      <c r="BD97" t="str">
        <f t="shared" si="490"/>
        <v/>
      </c>
      <c r="BE97" t="str">
        <f t="shared" si="491"/>
        <v/>
      </c>
      <c r="BF97" t="str">
        <f t="shared" si="492"/>
        <v/>
      </c>
      <c r="BG97" t="str">
        <f t="shared" si="493"/>
        <v/>
      </c>
      <c r="BH97" t="str">
        <f t="shared" si="494"/>
        <v/>
      </c>
      <c r="BI97" t="str">
        <f t="shared" si="495"/>
        <v/>
      </c>
      <c r="BJ97" t="str">
        <f t="shared" si="496"/>
        <v/>
      </c>
      <c r="BK97" t="str">
        <f t="shared" si="497"/>
        <v/>
      </c>
      <c r="BL97" t="str">
        <f t="shared" si="498"/>
        <v/>
      </c>
      <c r="BM97" t="str">
        <f t="shared" si="499"/>
        <v/>
      </c>
      <c r="BN97" t="str">
        <f t="shared" si="500"/>
        <v/>
      </c>
      <c r="BO97" t="str">
        <f t="shared" si="501"/>
        <v/>
      </c>
      <c r="BP97" t="str">
        <f t="shared" si="502"/>
        <v/>
      </c>
      <c r="BQ97" t="str">
        <f t="shared" si="503"/>
        <v/>
      </c>
      <c r="BR97" t="str">
        <f t="shared" si="504"/>
        <v/>
      </c>
      <c r="BS97" t="str">
        <f t="shared" si="505"/>
        <v/>
      </c>
      <c r="BT97" t="str">
        <f t="shared" si="506"/>
        <v/>
      </c>
      <c r="BU97" t="str">
        <f t="shared" si="507"/>
        <v/>
      </c>
      <c r="BV97" t="str">
        <f t="shared" si="508"/>
        <v/>
      </c>
      <c r="BW97" t="str">
        <f t="shared" si="509"/>
        <v/>
      </c>
      <c r="BX97" t="str">
        <f t="shared" si="510"/>
        <v/>
      </c>
      <c r="BY97" t="str">
        <f t="shared" si="511"/>
        <v/>
      </c>
      <c r="BZ97" t="str">
        <f t="shared" si="512"/>
        <v/>
      </c>
      <c r="CA97" t="str">
        <f t="shared" si="513"/>
        <v/>
      </c>
      <c r="CB97" t="str">
        <f t="shared" si="514"/>
        <v/>
      </c>
      <c r="CC97" t="str">
        <f t="shared" si="515"/>
        <v/>
      </c>
      <c r="CD97" t="str">
        <f t="shared" si="516"/>
        <v/>
      </c>
      <c r="CE97" t="str">
        <f t="shared" si="517"/>
        <v/>
      </c>
      <c r="CF97" t="str">
        <f t="shared" si="518"/>
        <v/>
      </c>
      <c r="CG97" t="str">
        <f t="shared" si="519"/>
        <v/>
      </c>
      <c r="CH97" t="str">
        <f t="shared" si="736"/>
        <v/>
      </c>
      <c r="CI97" t="str">
        <f t="shared" si="737"/>
        <v/>
      </c>
      <c r="CJ97" t="str">
        <f>IF($CI97="","",IF(OR($DW97="",$DX97=""),"ONZEKER",IF(OR($CF97="",$CG97=""),"ONZEKER",IF(AND($DW97=$CF97+1,$DX97=$CG97),IF(OR(COUNTIF(#REF!,$B97)&gt;0,COUNTIF(#REF!,$B97)=0),"SKIP",IF(COUNTIFS(#REF!,$B97,#REF!,$CI97)&gt;0,"OK","ONBEKEND")),IF(AND($DW97=$CF97,$DX97=$CG97+1),IF(OR(COUNTIF(#REF!,$D97)&gt;0,COUNTIF(#REF!,$D97)=0),"SKIP",IF(COUNTIFS(#REF!,$D97,#REF!,$CI97)&gt;0,"OK","ONBEKEND")),"ONZEKER")))))</f>
        <v/>
      </c>
      <c r="CK97" t="str">
        <f t="shared" si="738"/>
        <v/>
      </c>
      <c r="CL97" t="str">
        <f t="shared" si="739"/>
        <v/>
      </c>
      <c r="CM97" t="str">
        <f>IF($CL97="","",IF(OR($DZ97="",$EA97=""),"ONZEKER",IF(OR($DW97="",$DX97=""),"ONZEKER",IF(AND($DZ97=$DW97+1,$EA97=$DX97),IF(OR(COUNTIF(#REF!,$B97)&gt;0,COUNTIF(#REF!,$B97)=0),"SKIP",IF(COUNTIFS(#REF!,$B97,#REF!,$CL97)&gt;0,"OK","ONBEKEND")),IF(AND($DZ97=$DW97,$EA97=$DX97+1),IF(OR(COUNTIF(#REF!,$D97)&gt;0,COUNTIF(#REF!,$D97)=0),"SKIP",IF(COUNTIFS(#REF!,$D97,#REF!,$CL97)&gt;0,"OK","ONBEKEND")),"ONZEKER")))))</f>
        <v/>
      </c>
      <c r="CN97" t="str">
        <f t="shared" si="740"/>
        <v/>
      </c>
      <c r="CO97" t="str">
        <f t="shared" si="741"/>
        <v/>
      </c>
      <c r="CP97" t="str">
        <f>IF($CO97="","",IF(OR($EC97="",$ED97=""),"ONZEKER",IF(OR($DZ97="",$EA97=""),"ONZEKER",IF(AND($EC97=$DZ97+1,$ED97=$EA97),IF(OR(COUNTIF(#REF!,$B97)&gt;0,COUNTIF(#REF!,$B97)=0),"SKIP",IF(COUNTIFS(#REF!,$B97,#REF!,$CO97)&gt;0,"OK","ONBEKEND")),IF(AND($EC97=$DZ97,$ED97=$EA97+1),IF(OR(COUNTIF(#REF!,$D97)&gt;0,COUNTIF(#REF!,$D97)=0),"SKIP",IF(COUNTIFS(#REF!,$D97,#REF!,$CO97)&gt;0,"OK","ONBEKEND")),"ONZEKER")))))</f>
        <v/>
      </c>
      <c r="CQ97" t="str">
        <f t="shared" si="742"/>
        <v/>
      </c>
      <c r="CR97" t="str">
        <f t="shared" si="743"/>
        <v/>
      </c>
      <c r="CS97" t="str">
        <f>IF($CR97="","",IF(OR($EF97="",$EG97=""),"ONZEKER",IF(OR($EC97="",$ED97=""),"ONZEKER",IF(AND($EF97=$EC97+1,$EG97=$ED97),IF(OR(COUNTIF(#REF!,$B97)&gt;0,COUNTIF(#REF!,$B97)=0),"SKIP",IF(COUNTIFS(#REF!,$B97,#REF!,$CR97)&gt;0,"OK","ONBEKEND")),IF(AND($EF97=$EC97,$EG97=$ED97+1),IF(OR(COUNTIF(#REF!,$D97)&gt;0,COUNTIF(#REF!,$D97)=0),"SKIP",IF(COUNTIFS(#REF!,$D97,#REF!,$CR97)&gt;0,"OK","ONBEKEND")),"ONZEKER")))))</f>
        <v/>
      </c>
      <c r="CT97" t="str">
        <f t="shared" si="744"/>
        <v/>
      </c>
      <c r="CU97" t="str">
        <f t="shared" si="745"/>
        <v/>
      </c>
      <c r="CV97" t="str">
        <f>IF($CU97="","",IF(OR($EI97="",$EJ97=""),"ONZEKER",IF(OR($EF97="",$EG97=""),"ONZEKER",IF(AND($EI97=$EF97+1,$EJ97=$EG97),IF(OR(COUNTIF(#REF!,$B97)&gt;0,COUNTIF(#REF!,$B97)=0),"SKIP",IF(COUNTIFS(#REF!,$B97,#REF!,$CU97)&gt;0,"OK","ONBEKEND")),IF(AND($EI97=$EF97,$EJ97=$EG97+1),IF(OR(COUNTIF(#REF!,$D97)&gt;0,COUNTIF(#REF!,$D97)=0),"SKIP",IF(COUNTIFS(#REF!,$D97,#REF!,$CU97)&gt;0,"OK","ONBEKEND")),"ONZEKER")))))</f>
        <v/>
      </c>
      <c r="CW97" t="str">
        <f t="shared" si="746"/>
        <v/>
      </c>
      <c r="CX97" t="str">
        <f t="shared" si="747"/>
        <v/>
      </c>
      <c r="CY97" t="str">
        <f>IF($CX97="","",IF(OR($EL97="",$EM97=""),"ONZEKER",IF(OR($EI97="",$EJ97=""),"ONZEKER",IF(AND($EL97=$EI97+1,$EM97=$EJ97),IF(OR(COUNTIF(#REF!,$B97)&gt;0,COUNTIF(#REF!,$B97)=0),"SKIP",IF(COUNTIFS(#REF!,$B97,#REF!,$CX97)&gt;0,"OK","ONBEKEND")),IF(AND($EL97=$EI97,$EM97=$EJ97+1),IF(OR(COUNTIF(#REF!,$D97)&gt;0,COUNTIF(#REF!,$D97)=0),"SKIP",IF(COUNTIFS(#REF!,$D97,#REF!,$CX97)&gt;0,"OK","ONBEKEND")),"ONZEKER")))))</f>
        <v/>
      </c>
      <c r="CZ97" t="str">
        <f t="shared" si="748"/>
        <v/>
      </c>
      <c r="DA97" t="str">
        <f t="shared" si="749"/>
        <v/>
      </c>
      <c r="DB97" t="str">
        <f>IF($DA97="","",IF(OR($EO97="",$EP97=""),"ONZEKER",IF(OR($EL97="",$EM97=""),"ONZEKER",IF(AND($EO97=$EL97+1,$EP97=$EM97),IF(OR(COUNTIF(#REF!,$B97)&gt;0,COUNTIF(#REF!,$B97)=0),"SKIP",IF(COUNTIFS(#REF!,$B97,#REF!,$DA97)&gt;0,"OK","ONBEKEND")),IF(AND($EO97=$EL97,$EP97=$EM97+1),IF(OR(COUNTIF(#REF!,$D97)&gt;0,COUNTIF(#REF!,$D97)=0),"SKIP",IF(COUNTIFS(#REF!,$D97,#REF!,$DA97)&gt;0,"OK","ONBEKEND")),"ONZEKER")))))</f>
        <v/>
      </c>
      <c r="DC97" t="str">
        <f t="shared" si="750"/>
        <v/>
      </c>
      <c r="DD97" t="str">
        <f t="shared" si="751"/>
        <v/>
      </c>
      <c r="DE97" t="str">
        <f>IF($DD97="","",IF(OR($ER97="",$ES97=""),"ONZEKER",IF(OR($EO97="",$EP97=""),"ONZEKER",IF(AND($ER97=$EO97+1,$ES97=$EP97),IF(OR(COUNTIF(#REF!,$B97)&gt;0,COUNTIF(#REF!,$B97)=0),"SKIP",IF(COUNTIFS(#REF!,$B97,#REF!,$DD97)&gt;0,"OK","ONBEKEND")),IF(AND($ER97=$EO97,$ES97=$EP97+1),IF(OR(COUNTIF(#REF!,$D97)&gt;0,COUNTIF(#REF!,$D97)=0),"SKIP",IF(COUNTIFS(#REF!,$D97,#REF!,$DD97)&gt;0,"OK","ONBEKEND")),"ONZEKER")))))</f>
        <v/>
      </c>
      <c r="DF97" t="str">
        <f t="shared" si="752"/>
        <v/>
      </c>
      <c r="DG97" t="str">
        <f t="shared" si="753"/>
        <v/>
      </c>
      <c r="DH97" t="str">
        <f>IF($DG97="","",IF(OR($EU97="",$EV97=""),"ONZEKER",IF(OR($ER97="",$ES97=""),"ONZEKER",IF(AND($EU97=$ER97+1,$EV97=$ES97),IF(OR(COUNTIF(#REF!,$B97)&gt;0,COUNTIF(#REF!,$B97)=0),"SKIP",IF(COUNTIFS(#REF!,$B97,#REF!,$DG97)&gt;0,"OK","ONBEKEND")),IF(AND($EU97=$ER97,$EV97=$ES97+1),IF(OR(COUNTIF(#REF!,$D97)&gt;0,COUNTIF(#REF!,$D97)=0),"SKIP",IF(COUNTIFS(#REF!,$D97,#REF!,$DG97)&gt;0,"OK","ONBEKEND")),"ONZEKER")))))</f>
        <v/>
      </c>
      <c r="DI97" t="str">
        <f t="shared" si="754"/>
        <v/>
      </c>
      <c r="DJ97" t="str">
        <f t="shared" si="755"/>
        <v/>
      </c>
      <c r="DK97" t="str">
        <f>IF($DJ97="","",IF(OR($EX97="",$EY97=""),"ONZEKER",IF(OR($EU97="",$EV97=""),"ONZEKER",IF(AND($EX97=$EU97+1,$EY97=$EV97),IF(OR(COUNTIF(#REF!,$B97)&gt;0,COUNTIF(#REF!,$B97)=0),"SKIP",IF(COUNTIFS(#REF!,$B97,#REF!,$DJ97)&gt;0,"OK","ONBEKEND")),IF(AND($EX97=$EU97,$EY97=$EV97+1),IF(OR(COUNTIF(#REF!,$D97)&gt;0,COUNTIF(#REF!,$D97)=0),"SKIP",IF(COUNTIFS(#REF!,$D97,#REF!,$DJ97)&gt;0,"OK","ONBEKEND")),"ONZEKER")))))</f>
        <v/>
      </c>
      <c r="DL97" t="str">
        <f t="shared" si="756"/>
        <v/>
      </c>
      <c r="DM97" t="str">
        <f t="shared" si="757"/>
        <v/>
      </c>
      <c r="DN97" t="str">
        <f t="shared" si="758"/>
        <v/>
      </c>
      <c r="DO97" t="str">
        <f t="shared" si="759"/>
        <v/>
      </c>
      <c r="DP97" t="str">
        <f t="shared" si="760"/>
        <v/>
      </c>
      <c r="DQ97" t="str">
        <f t="shared" si="761"/>
        <v/>
      </c>
      <c r="DR97" t="str">
        <f t="shared" si="762"/>
        <v/>
      </c>
      <c r="DS97" t="str">
        <f t="shared" si="763"/>
        <v/>
      </c>
      <c r="DT97" t="str">
        <f t="shared" si="764"/>
        <v/>
      </c>
      <c r="DU97" t="str">
        <f t="shared" si="765"/>
        <v/>
      </c>
      <c r="DV97" t="str">
        <f t="shared" si="766"/>
        <v/>
      </c>
      <c r="DW97" t="str">
        <f t="shared" si="767"/>
        <v/>
      </c>
      <c r="DX97" t="str">
        <f t="shared" si="768"/>
        <v/>
      </c>
      <c r="DY97" t="str">
        <f t="shared" si="769"/>
        <v/>
      </c>
      <c r="DZ97" t="str">
        <f t="shared" si="770"/>
        <v/>
      </c>
      <c r="EA97" t="str">
        <f t="shared" si="771"/>
        <v/>
      </c>
      <c r="EB97" t="str">
        <f t="shared" si="772"/>
        <v/>
      </c>
      <c r="EC97" t="str">
        <f t="shared" si="773"/>
        <v/>
      </c>
      <c r="ED97" t="str">
        <f t="shared" si="774"/>
        <v/>
      </c>
      <c r="EE97" t="str">
        <f t="shared" si="775"/>
        <v/>
      </c>
      <c r="EF97" t="str">
        <f t="shared" si="776"/>
        <v/>
      </c>
      <c r="EG97" t="str">
        <f t="shared" si="777"/>
        <v/>
      </c>
      <c r="EH97" t="str">
        <f t="shared" si="778"/>
        <v/>
      </c>
      <c r="EI97" t="str">
        <f t="shared" si="779"/>
        <v/>
      </c>
      <c r="EJ97" t="str">
        <f t="shared" si="780"/>
        <v/>
      </c>
      <c r="EK97" t="str">
        <f t="shared" si="781"/>
        <v/>
      </c>
      <c r="EL97" t="str">
        <f t="shared" si="782"/>
        <v/>
      </c>
      <c r="EM97" t="str">
        <f t="shared" si="783"/>
        <v/>
      </c>
      <c r="EN97" t="str">
        <f t="shared" si="784"/>
        <v/>
      </c>
      <c r="EO97" t="str">
        <f t="shared" si="785"/>
        <v/>
      </c>
      <c r="EP97" t="str">
        <f t="shared" si="786"/>
        <v/>
      </c>
      <c r="EQ97" t="str">
        <f t="shared" si="787"/>
        <v/>
      </c>
      <c r="ER97" t="str">
        <f t="shared" si="788"/>
        <v/>
      </c>
      <c r="ES97" t="str">
        <f t="shared" si="789"/>
        <v/>
      </c>
      <c r="ET97" t="str">
        <f t="shared" si="790"/>
        <v/>
      </c>
      <c r="EU97" t="str">
        <f t="shared" si="791"/>
        <v/>
      </c>
      <c r="EV97" t="str">
        <f t="shared" si="792"/>
        <v/>
      </c>
      <c r="EW97" t="str">
        <f t="shared" si="793"/>
        <v/>
      </c>
      <c r="EX97" t="str">
        <f t="shared" si="794"/>
        <v/>
      </c>
      <c r="EY97" t="str">
        <f t="shared" si="795"/>
        <v/>
      </c>
    </row>
    <row r="98" spans="1:155" ht="13.9" customHeight="1" x14ac:dyDescent="0.25">
      <c r="A98" s="7"/>
      <c r="B98" s="17"/>
      <c r="C98" s="8"/>
      <c r="D98" s="17"/>
      <c r="E98" s="8"/>
      <c r="F98" s="18">
        <v>0</v>
      </c>
      <c r="G98" s="7" t="s">
        <v>147</v>
      </c>
      <c r="H98" s="18">
        <v>0</v>
      </c>
      <c r="I98" s="19">
        <v>0</v>
      </c>
      <c r="J98" s="7" t="s">
        <v>147</v>
      </c>
      <c r="K98" s="19">
        <v>0</v>
      </c>
      <c r="L98" s="9"/>
      <c r="M98" s="3" t="str">
        <f>IF($L98="","",IF($L98="DOELPUNTENMAKERS","",IF(AND(COUNTIF(#REF!,$B98)=0,COUNTIF(#REF!,$D98)=0),"OK",IF($O98&gt;20,"LET OP: meer dan 20 items (controle onvolledig)",IF((COUNTIF($R98:$AS98,"ONZEKER")+COUNTIF($CJ98:$DK98,"ONZEKER"))&gt;0,"LET OP: scoreverloop onduidelijk (controle beperkt)",IF((IF($AT98&lt;&gt;"",$AT98&amp;", ","")&amp;IF($AU98&lt;&gt;"",$AU98&amp;", ","")&amp;IF($AV98&lt;&gt;"",$AV98&amp;", ","")&amp;IF($AW98&lt;&gt;"",$AW98&amp;", ","")&amp;IF($AX98&lt;&gt;"",$AX98&amp;", ","")&amp;IF($AY98&lt;&gt;"",$AY98&amp;", ","")&amp;IF($AZ98&lt;&gt;"",$AZ98&amp;", ","")&amp;IF($BA98&lt;&gt;"",$BA98&amp;", ","")&amp;IF($BB98&lt;&gt;"",$BB98&amp;", ","")&amp;IF($BC98&lt;&gt;"",$BC98&amp;", ","")&amp;IF($DL98&lt;&gt;"",$DL98&amp;", ","")&amp;IF($DM98&lt;&gt;"",$DM98&amp;", ","")&amp;IF($DN98&lt;&gt;"",$DN98&amp;", ","")&amp;IF($DO98&lt;&gt;"",$DO98&amp;", ","")&amp;IF($DP98&lt;&gt;"",$DP98&amp;", ","")&amp;IF($DQ98&lt;&gt;"",$DQ98&amp;", ","")&amp;IF($DR98&lt;&gt;"",$DR98&amp;", ","")&amp;IF($DS98&lt;&gt;"",$DS98&amp;", ","")&amp;IF($DT98&lt;&gt;"",$DT98&amp;", ","")&amp;IF($DU98&lt;&gt;"",$DU98&amp;", ",""))="","OK","Onbekend: "&amp;LEFT((IF($AT98&lt;&gt;"",$AT98&amp;", ","")&amp;IF($AU98&lt;&gt;"",$AU98&amp;", ","")&amp;IF($AV98&lt;&gt;"",$AV98&amp;", ","")&amp;IF($AW98&lt;&gt;"",$AW98&amp;", ","")&amp;IF($AX98&lt;&gt;"",$AX98&amp;", ","")&amp;IF($AY98&lt;&gt;"",$AY98&amp;", ","")&amp;IF($AZ98&lt;&gt;"",$AZ98&amp;", ","")&amp;IF($BA98&lt;&gt;"",$BA98&amp;", ","")&amp;IF($BB98&lt;&gt;"",$BB98&amp;", ","")&amp;IF($BC98&lt;&gt;"",$BC98&amp;", ","")&amp;IF($DL98&lt;&gt;"",$DL98&amp;", ","")&amp;IF($DM98&lt;&gt;"",$DM98&amp;", ","")&amp;IF($DN98&lt;&gt;"",$DN98&amp;", ","")&amp;IF($DO98&lt;&gt;"",$DO98&amp;", ","")&amp;IF($DP98&lt;&gt;"",$DP98&amp;", ","")&amp;IF($DQ98&lt;&gt;"",$DQ98&amp;", ","")&amp;IF($DR98&lt;&gt;"",$DR98&amp;", ","")&amp;IF($DS98&lt;&gt;"",$DS98&amp;", ","")&amp;IF($DT98&lt;&gt;"",$DT98&amp;", ","")&amp;IF($DU98&lt;&gt;"",$DU98&amp;", ","")),LEN((IF($AT98&lt;&gt;"",$AT98&amp;", ","")&amp;IF($AU98&lt;&gt;"",$AU98&amp;", ","")&amp;IF($AV98&lt;&gt;"",$AV98&amp;", ","")&amp;IF($AW98&lt;&gt;"",$AW98&amp;", ","")&amp;IF($AX98&lt;&gt;"",$AX98&amp;", ","")&amp;IF($AY98&lt;&gt;"",$AY98&amp;", ","")&amp;IF($AZ98&lt;&gt;"",$AZ98&amp;", ","")&amp;IF($BA98&lt;&gt;"",$BA98&amp;", ","")&amp;IF($BB98&lt;&gt;"",$BB98&amp;", ","")&amp;IF($BC98&lt;&gt;"",$BC98&amp;", ","")&amp;IF($DL98&lt;&gt;"",$DL98&amp;", ","")&amp;IF($DM98&lt;&gt;"",$DM98&amp;", ","")&amp;IF($DN98&lt;&gt;"",$DN98&amp;", ","")&amp;IF($DO98&lt;&gt;"",$DO98&amp;", ","")&amp;IF($DP98&lt;&gt;"",$DP98&amp;", ","")&amp;IF($DQ98&lt;&gt;"",$DQ98&amp;", ","")&amp;IF($DR98&lt;&gt;"",$DR98&amp;", ","")&amp;IF($DS98&lt;&gt;"",$DS98&amp;", ","")&amp;IF($DT98&lt;&gt;"",$DT98&amp;", ","")&amp;IF($DU98&lt;&gt;"",$DU98&amp;", ","")))-2)))))))</f>
        <v/>
      </c>
      <c r="N98" t="str">
        <f t="shared" si="704"/>
        <v/>
      </c>
      <c r="O98" t="str">
        <f t="shared" si="705"/>
        <v/>
      </c>
      <c r="P98" t="str">
        <f t="shared" si="706"/>
        <v/>
      </c>
      <c r="Q98" t="str">
        <f t="shared" si="707"/>
        <v/>
      </c>
      <c r="R98" t="str">
        <f>IF($Q98="","",IF(OR($BE98="",$BF98=""),"ONZEKER",IF(AND($BE98=0+1,$BF98=0),IF(OR(COUNTIF(#REF!,$B98)&gt;0,COUNTIF(#REF!,$B98)=0),"SKIP",IF(COUNTIFS(#REF!,$B98,#REF!,$Q98)&gt;0,"OK","ONBEKEND")),IF(AND($BE98=0,$BF98=0+1),IF(OR(COUNTIF(#REF!,$D98)&gt;0,COUNTIF(#REF!,$D98)=0),"SKIP",IF(COUNTIFS(#REF!,$D98,#REF!,$Q98)&gt;0,"OK","ONBEKEND")),"ONZEKER"))))</f>
        <v/>
      </c>
      <c r="S98" t="str">
        <f t="shared" si="708"/>
        <v/>
      </c>
      <c r="T98" t="str">
        <f t="shared" si="709"/>
        <v/>
      </c>
      <c r="U98" t="str">
        <f>IF($T98="","",IF(OR($BH98="",$BI98=""),"ONZEKER",IF(OR($BE98="",$BF98=""),"ONZEKER",IF(AND($BH98=$BE98+1,$BI98=$BF98),IF(OR(COUNTIF(#REF!,$B98)&gt;0,COUNTIF(#REF!,$B98)=0),"SKIP",IF(COUNTIFS(#REF!,$B98,#REF!,$T98)&gt;0,"OK","ONBEKEND")),IF(AND($BH98=$BE98,$BI98=$BF98+1),IF(OR(COUNTIF(#REF!,$D98)&gt;0,COUNTIF(#REF!,$D98)=0),"SKIP",IF(COUNTIFS(#REF!,$D98,#REF!,$T98)&gt;0,"OK","ONBEKEND")),"ONZEKER")))))</f>
        <v/>
      </c>
      <c r="V98" t="str">
        <f t="shared" si="710"/>
        <v/>
      </c>
      <c r="W98" t="str">
        <f t="shared" si="711"/>
        <v/>
      </c>
      <c r="X98" t="str">
        <f>IF($W98="","",IF(OR($BK98="",$BL98=""),"ONZEKER",IF(OR($BH98="",$BI98=""),"ONZEKER",IF(AND($BK98=$BH98+1,$BL98=$BI98),IF(OR(COUNTIF(#REF!,$B98)&gt;0,COUNTIF(#REF!,$B98)=0),"SKIP",IF(COUNTIFS(#REF!,$B98,#REF!,$W98)&gt;0,"OK","ONBEKEND")),IF(AND($BK98=$BH98,$BL98=$BI98+1),IF(OR(COUNTIF(#REF!,$D98)&gt;0,COUNTIF(#REF!,$D98)=0),"SKIP",IF(COUNTIFS(#REF!,$D98,#REF!,$W98)&gt;0,"OK","ONBEKEND")),"ONZEKER")))))</f>
        <v/>
      </c>
      <c r="Y98" t="str">
        <f t="shared" si="712"/>
        <v/>
      </c>
      <c r="Z98" t="str">
        <f t="shared" si="713"/>
        <v/>
      </c>
      <c r="AA98" t="str">
        <f>IF($Z98="","",IF(OR($BN98="",$BO98=""),"ONZEKER",IF(OR($BK98="",$BL98=""),"ONZEKER",IF(AND($BN98=$BK98+1,$BO98=$BL98),IF(OR(COUNTIF(#REF!,$B98)&gt;0,COUNTIF(#REF!,$B98)=0),"SKIP",IF(COUNTIFS(#REF!,$B98,#REF!,$Z98)&gt;0,"OK","ONBEKEND")),IF(AND($BN98=$BK98,$BO98=$BL98+1),IF(OR(COUNTIF(#REF!,$D98)&gt;0,COUNTIF(#REF!,$D98)=0),"SKIP",IF(COUNTIFS(#REF!,$D98,#REF!,$Z98)&gt;0,"OK","ONBEKEND")),"ONZEKER")))))</f>
        <v/>
      </c>
      <c r="AB98" t="str">
        <f t="shared" si="714"/>
        <v/>
      </c>
      <c r="AC98" t="str">
        <f t="shared" si="715"/>
        <v/>
      </c>
      <c r="AD98" t="str">
        <f>IF($AC98="","",IF(OR($BQ98="",$BR98=""),"ONZEKER",IF(OR($BN98="",$BO98=""),"ONZEKER",IF(AND($BQ98=$BN98+1,$BR98=$BO98),IF(OR(COUNTIF(#REF!,$B98)&gt;0,COUNTIF(#REF!,$B98)=0),"SKIP",IF(COUNTIFS(#REF!,$B98,#REF!,$AC98)&gt;0,"OK","ONBEKEND")),IF(AND($BQ98=$BN98,$BR98=$BO98+1),IF(OR(COUNTIF(#REF!,$D98)&gt;0,COUNTIF(#REF!,$D98)=0),"SKIP",IF(COUNTIFS(#REF!,$D98,#REF!,$AC98)&gt;0,"OK","ONBEKEND")),"ONZEKER")))))</f>
        <v/>
      </c>
      <c r="AE98" t="str">
        <f t="shared" si="716"/>
        <v/>
      </c>
      <c r="AF98" t="str">
        <f t="shared" si="717"/>
        <v/>
      </c>
      <c r="AG98" t="str">
        <f>IF($AF98="","",IF(OR($BT98="",$BU98=""),"ONZEKER",IF(OR($BQ98="",$BR98=""),"ONZEKER",IF(AND($BT98=$BQ98+1,$BU98=$BR98),IF(OR(COUNTIF(#REF!,$B98)&gt;0,COUNTIF(#REF!,$B98)=0),"SKIP",IF(COUNTIFS(#REF!,$B98,#REF!,$AF98)&gt;0,"OK","ONBEKEND")),IF(AND($BT98=$BQ98,$BU98=$BR98+1),IF(OR(COUNTIF(#REF!,$D98)&gt;0,COUNTIF(#REF!,$D98)=0),"SKIP",IF(COUNTIFS(#REF!,$D98,#REF!,$AF98)&gt;0,"OK","ONBEKEND")),"ONZEKER")))))</f>
        <v/>
      </c>
      <c r="AH98" t="str">
        <f t="shared" si="718"/>
        <v/>
      </c>
      <c r="AI98" t="str">
        <f t="shared" si="719"/>
        <v/>
      </c>
      <c r="AJ98" t="str">
        <f>IF($AI98="","",IF(OR($BW98="",$BX98=""),"ONZEKER",IF(OR($BT98="",$BU98=""),"ONZEKER",IF(AND($BW98=$BT98+1,$BX98=$BU98),IF(OR(COUNTIF(#REF!,$B98)&gt;0,COUNTIF(#REF!,$B98)=0),"SKIP",IF(COUNTIFS(#REF!,$B98,#REF!,$AI98)&gt;0,"OK","ONBEKEND")),IF(AND($BW98=$BT98,$BX98=$BU98+1),IF(OR(COUNTIF(#REF!,$D98)&gt;0,COUNTIF(#REF!,$D98)=0),"SKIP",IF(COUNTIFS(#REF!,$D98,#REF!,$AI98)&gt;0,"OK","ONBEKEND")),"ONZEKER")))))</f>
        <v/>
      </c>
      <c r="AK98" t="str">
        <f t="shared" si="720"/>
        <v/>
      </c>
      <c r="AL98" t="str">
        <f t="shared" si="721"/>
        <v/>
      </c>
      <c r="AM98" t="str">
        <f>IF($AL98="","",IF(OR($BZ98="",$CA98=""),"ONZEKER",IF(OR($BW98="",$BX98=""),"ONZEKER",IF(AND($BZ98=$BW98+1,$CA98=$BX98),IF(OR(COUNTIF(#REF!,$B98)&gt;0,COUNTIF(#REF!,$B98)=0),"SKIP",IF(COUNTIFS(#REF!,$B98,#REF!,$AL98)&gt;0,"OK","ONBEKEND")),IF(AND($BZ98=$BW98,$CA98=$BX98+1),IF(OR(COUNTIF(#REF!,$D98)&gt;0,COUNTIF(#REF!,$D98)=0),"SKIP",IF(COUNTIFS(#REF!,$D98,#REF!,$AL98)&gt;0,"OK","ONBEKEND")),"ONZEKER")))))</f>
        <v/>
      </c>
      <c r="AN98" t="str">
        <f t="shared" si="722"/>
        <v/>
      </c>
      <c r="AO98" t="str">
        <f t="shared" si="723"/>
        <v/>
      </c>
      <c r="AP98" t="str">
        <f>IF($AO98="","",IF(OR($CC98="",$CD98=""),"ONZEKER",IF(OR($BZ98="",$CA98=""),"ONZEKER",IF(AND($CC98=$BZ98+1,$CD98=$CA98),IF(OR(COUNTIF(#REF!,$B98)&gt;0,COUNTIF(#REF!,$B98)=0),"SKIP",IF(COUNTIFS(#REF!,$B98,#REF!,$AO98)&gt;0,"OK","ONBEKEND")),IF(AND($CC98=$BZ98,$CD98=$CA98+1),IF(OR(COUNTIF(#REF!,$D98)&gt;0,COUNTIF(#REF!,$D98)=0),"SKIP",IF(COUNTIFS(#REF!,$D98,#REF!,$AO98)&gt;0,"OK","ONBEKEND")),"ONZEKER")))))</f>
        <v/>
      </c>
      <c r="AQ98" t="str">
        <f t="shared" si="724"/>
        <v/>
      </c>
      <c r="AR98" t="str">
        <f t="shared" si="725"/>
        <v/>
      </c>
      <c r="AS98" t="str">
        <f>IF($AR98="","",IF(OR($CF98="",$CG98=""),"ONZEKER",IF(OR($CC98="",$CD98=""),"ONZEKER",IF(AND($CF98=$CC98+1,$CG98=$CD98),IF(OR(COUNTIF(#REF!,$B98)&gt;0,COUNTIF(#REF!,$B98)=0),"SKIP",IF(COUNTIFS(#REF!,$B98,#REF!,$AR98)&gt;0,"OK","ONBEKEND")),IF(AND($CF98=$CC98,$CG98=$CD98+1),IF(OR(COUNTIF(#REF!,$D98)&gt;0,COUNTIF(#REF!,$D98)=0),"SKIP",IF(COUNTIFS(#REF!,$D98,#REF!,$AR98)&gt;0,"OK","ONBEKEND")),"ONZEKER")))))</f>
        <v/>
      </c>
      <c r="AT98" t="str">
        <f t="shared" si="726"/>
        <v/>
      </c>
      <c r="AU98" t="str">
        <f t="shared" si="727"/>
        <v/>
      </c>
      <c r="AV98" t="str">
        <f t="shared" si="728"/>
        <v/>
      </c>
      <c r="AW98" t="str">
        <f t="shared" si="729"/>
        <v/>
      </c>
      <c r="AX98" t="str">
        <f t="shared" si="730"/>
        <v/>
      </c>
      <c r="AY98" t="str">
        <f t="shared" si="731"/>
        <v/>
      </c>
      <c r="AZ98" t="str">
        <f t="shared" si="732"/>
        <v/>
      </c>
      <c r="BA98" t="str">
        <f t="shared" si="733"/>
        <v/>
      </c>
      <c r="BB98" t="str">
        <f t="shared" si="734"/>
        <v/>
      </c>
      <c r="BC98" t="str">
        <f t="shared" si="735"/>
        <v/>
      </c>
      <c r="BD98" t="str">
        <f t="shared" si="490"/>
        <v/>
      </c>
      <c r="BE98" t="str">
        <f t="shared" si="491"/>
        <v/>
      </c>
      <c r="BF98" t="str">
        <f t="shared" si="492"/>
        <v/>
      </c>
      <c r="BG98" t="str">
        <f t="shared" si="493"/>
        <v/>
      </c>
      <c r="BH98" t="str">
        <f t="shared" si="494"/>
        <v/>
      </c>
      <c r="BI98" t="str">
        <f t="shared" si="495"/>
        <v/>
      </c>
      <c r="BJ98" t="str">
        <f t="shared" si="496"/>
        <v/>
      </c>
      <c r="BK98" t="str">
        <f t="shared" si="497"/>
        <v/>
      </c>
      <c r="BL98" t="str">
        <f t="shared" si="498"/>
        <v/>
      </c>
      <c r="BM98" t="str">
        <f t="shared" si="499"/>
        <v/>
      </c>
      <c r="BN98" t="str">
        <f t="shared" si="500"/>
        <v/>
      </c>
      <c r="BO98" t="str">
        <f t="shared" si="501"/>
        <v/>
      </c>
      <c r="BP98" t="str">
        <f t="shared" si="502"/>
        <v/>
      </c>
      <c r="BQ98" t="str">
        <f t="shared" si="503"/>
        <v/>
      </c>
      <c r="BR98" t="str">
        <f t="shared" si="504"/>
        <v/>
      </c>
      <c r="BS98" t="str">
        <f t="shared" si="505"/>
        <v/>
      </c>
      <c r="BT98" t="str">
        <f t="shared" si="506"/>
        <v/>
      </c>
      <c r="BU98" t="str">
        <f t="shared" si="507"/>
        <v/>
      </c>
      <c r="BV98" t="str">
        <f t="shared" si="508"/>
        <v/>
      </c>
      <c r="BW98" t="str">
        <f t="shared" si="509"/>
        <v/>
      </c>
      <c r="BX98" t="str">
        <f t="shared" si="510"/>
        <v/>
      </c>
      <c r="BY98" t="str">
        <f t="shared" si="511"/>
        <v/>
      </c>
      <c r="BZ98" t="str">
        <f t="shared" si="512"/>
        <v/>
      </c>
      <c r="CA98" t="str">
        <f t="shared" si="513"/>
        <v/>
      </c>
      <c r="CB98" t="str">
        <f t="shared" si="514"/>
        <v/>
      </c>
      <c r="CC98" t="str">
        <f t="shared" si="515"/>
        <v/>
      </c>
      <c r="CD98" t="str">
        <f t="shared" si="516"/>
        <v/>
      </c>
      <c r="CE98" t="str">
        <f t="shared" si="517"/>
        <v/>
      </c>
      <c r="CF98" t="str">
        <f t="shared" si="518"/>
        <v/>
      </c>
      <c r="CG98" t="str">
        <f t="shared" si="519"/>
        <v/>
      </c>
      <c r="CH98" t="str">
        <f t="shared" si="736"/>
        <v/>
      </c>
      <c r="CI98" t="str">
        <f t="shared" si="737"/>
        <v/>
      </c>
      <c r="CJ98" t="str">
        <f>IF($CI98="","",IF(OR($DW98="",$DX98=""),"ONZEKER",IF(OR($CF98="",$CG98=""),"ONZEKER",IF(AND($DW98=$CF98+1,$DX98=$CG98),IF(OR(COUNTIF(#REF!,$B98)&gt;0,COUNTIF(#REF!,$B98)=0),"SKIP",IF(COUNTIFS(#REF!,$B98,#REF!,$CI98)&gt;0,"OK","ONBEKEND")),IF(AND($DW98=$CF98,$DX98=$CG98+1),IF(OR(COUNTIF(#REF!,$D98)&gt;0,COUNTIF(#REF!,$D98)=0),"SKIP",IF(COUNTIFS(#REF!,$D98,#REF!,$CI98)&gt;0,"OK","ONBEKEND")),"ONZEKER")))))</f>
        <v/>
      </c>
      <c r="CK98" t="str">
        <f t="shared" si="738"/>
        <v/>
      </c>
      <c r="CL98" t="str">
        <f t="shared" si="739"/>
        <v/>
      </c>
      <c r="CM98" t="str">
        <f>IF($CL98="","",IF(OR($DZ98="",$EA98=""),"ONZEKER",IF(OR($DW98="",$DX98=""),"ONZEKER",IF(AND($DZ98=$DW98+1,$EA98=$DX98),IF(OR(COUNTIF(#REF!,$B98)&gt;0,COUNTIF(#REF!,$B98)=0),"SKIP",IF(COUNTIFS(#REF!,$B98,#REF!,$CL98)&gt;0,"OK","ONBEKEND")),IF(AND($DZ98=$DW98,$EA98=$DX98+1),IF(OR(COUNTIF(#REF!,$D98)&gt;0,COUNTIF(#REF!,$D98)=0),"SKIP",IF(COUNTIFS(#REF!,$D98,#REF!,$CL98)&gt;0,"OK","ONBEKEND")),"ONZEKER")))))</f>
        <v/>
      </c>
      <c r="CN98" t="str">
        <f t="shared" si="740"/>
        <v/>
      </c>
      <c r="CO98" t="str">
        <f t="shared" si="741"/>
        <v/>
      </c>
      <c r="CP98" t="str">
        <f>IF($CO98="","",IF(OR($EC98="",$ED98=""),"ONZEKER",IF(OR($DZ98="",$EA98=""),"ONZEKER",IF(AND($EC98=$DZ98+1,$ED98=$EA98),IF(OR(COUNTIF(#REF!,$B98)&gt;0,COUNTIF(#REF!,$B98)=0),"SKIP",IF(COUNTIFS(#REF!,$B98,#REF!,$CO98)&gt;0,"OK","ONBEKEND")),IF(AND($EC98=$DZ98,$ED98=$EA98+1),IF(OR(COUNTIF(#REF!,$D98)&gt;0,COUNTIF(#REF!,$D98)=0),"SKIP",IF(COUNTIFS(#REF!,$D98,#REF!,$CO98)&gt;0,"OK","ONBEKEND")),"ONZEKER")))))</f>
        <v/>
      </c>
      <c r="CQ98" t="str">
        <f t="shared" si="742"/>
        <v/>
      </c>
      <c r="CR98" t="str">
        <f t="shared" si="743"/>
        <v/>
      </c>
      <c r="CS98" t="str">
        <f>IF($CR98="","",IF(OR($EF98="",$EG98=""),"ONZEKER",IF(OR($EC98="",$ED98=""),"ONZEKER",IF(AND($EF98=$EC98+1,$EG98=$ED98),IF(OR(COUNTIF(#REF!,$B98)&gt;0,COUNTIF(#REF!,$B98)=0),"SKIP",IF(COUNTIFS(#REF!,$B98,#REF!,$CR98)&gt;0,"OK","ONBEKEND")),IF(AND($EF98=$EC98,$EG98=$ED98+1),IF(OR(COUNTIF(#REF!,$D98)&gt;0,COUNTIF(#REF!,$D98)=0),"SKIP",IF(COUNTIFS(#REF!,$D98,#REF!,$CR98)&gt;0,"OK","ONBEKEND")),"ONZEKER")))))</f>
        <v/>
      </c>
      <c r="CT98" t="str">
        <f t="shared" si="744"/>
        <v/>
      </c>
      <c r="CU98" t="str">
        <f t="shared" si="745"/>
        <v/>
      </c>
      <c r="CV98" t="str">
        <f>IF($CU98="","",IF(OR($EI98="",$EJ98=""),"ONZEKER",IF(OR($EF98="",$EG98=""),"ONZEKER",IF(AND($EI98=$EF98+1,$EJ98=$EG98),IF(OR(COUNTIF(#REF!,$B98)&gt;0,COUNTIF(#REF!,$B98)=0),"SKIP",IF(COUNTIFS(#REF!,$B98,#REF!,$CU98)&gt;0,"OK","ONBEKEND")),IF(AND($EI98=$EF98,$EJ98=$EG98+1),IF(OR(COUNTIF(#REF!,$D98)&gt;0,COUNTIF(#REF!,$D98)=0),"SKIP",IF(COUNTIFS(#REF!,$D98,#REF!,$CU98)&gt;0,"OK","ONBEKEND")),"ONZEKER")))))</f>
        <v/>
      </c>
      <c r="CW98" t="str">
        <f t="shared" si="746"/>
        <v/>
      </c>
      <c r="CX98" t="str">
        <f t="shared" si="747"/>
        <v/>
      </c>
      <c r="CY98" t="str">
        <f>IF($CX98="","",IF(OR($EL98="",$EM98=""),"ONZEKER",IF(OR($EI98="",$EJ98=""),"ONZEKER",IF(AND($EL98=$EI98+1,$EM98=$EJ98),IF(OR(COUNTIF(#REF!,$B98)&gt;0,COUNTIF(#REF!,$B98)=0),"SKIP",IF(COUNTIFS(#REF!,$B98,#REF!,$CX98)&gt;0,"OK","ONBEKEND")),IF(AND($EL98=$EI98,$EM98=$EJ98+1),IF(OR(COUNTIF(#REF!,$D98)&gt;0,COUNTIF(#REF!,$D98)=0),"SKIP",IF(COUNTIFS(#REF!,$D98,#REF!,$CX98)&gt;0,"OK","ONBEKEND")),"ONZEKER")))))</f>
        <v/>
      </c>
      <c r="CZ98" t="str">
        <f t="shared" si="748"/>
        <v/>
      </c>
      <c r="DA98" t="str">
        <f t="shared" si="749"/>
        <v/>
      </c>
      <c r="DB98" t="str">
        <f>IF($DA98="","",IF(OR($EO98="",$EP98=""),"ONZEKER",IF(OR($EL98="",$EM98=""),"ONZEKER",IF(AND($EO98=$EL98+1,$EP98=$EM98),IF(OR(COUNTIF(#REF!,$B98)&gt;0,COUNTIF(#REF!,$B98)=0),"SKIP",IF(COUNTIFS(#REF!,$B98,#REF!,$DA98)&gt;0,"OK","ONBEKEND")),IF(AND($EO98=$EL98,$EP98=$EM98+1),IF(OR(COUNTIF(#REF!,$D98)&gt;0,COUNTIF(#REF!,$D98)=0),"SKIP",IF(COUNTIFS(#REF!,$D98,#REF!,$DA98)&gt;0,"OK","ONBEKEND")),"ONZEKER")))))</f>
        <v/>
      </c>
      <c r="DC98" t="str">
        <f t="shared" si="750"/>
        <v/>
      </c>
      <c r="DD98" t="str">
        <f t="shared" si="751"/>
        <v/>
      </c>
      <c r="DE98" t="str">
        <f>IF($DD98="","",IF(OR($ER98="",$ES98=""),"ONZEKER",IF(OR($EO98="",$EP98=""),"ONZEKER",IF(AND($ER98=$EO98+1,$ES98=$EP98),IF(OR(COUNTIF(#REF!,$B98)&gt;0,COUNTIF(#REF!,$B98)=0),"SKIP",IF(COUNTIFS(#REF!,$B98,#REF!,$DD98)&gt;0,"OK","ONBEKEND")),IF(AND($ER98=$EO98,$ES98=$EP98+1),IF(OR(COUNTIF(#REF!,$D98)&gt;0,COUNTIF(#REF!,$D98)=0),"SKIP",IF(COUNTIFS(#REF!,$D98,#REF!,$DD98)&gt;0,"OK","ONBEKEND")),"ONZEKER")))))</f>
        <v/>
      </c>
      <c r="DF98" t="str">
        <f t="shared" si="752"/>
        <v/>
      </c>
      <c r="DG98" t="str">
        <f t="shared" si="753"/>
        <v/>
      </c>
      <c r="DH98" t="str">
        <f>IF($DG98="","",IF(OR($EU98="",$EV98=""),"ONZEKER",IF(OR($ER98="",$ES98=""),"ONZEKER",IF(AND($EU98=$ER98+1,$EV98=$ES98),IF(OR(COUNTIF(#REF!,$B98)&gt;0,COUNTIF(#REF!,$B98)=0),"SKIP",IF(COUNTIFS(#REF!,$B98,#REF!,$DG98)&gt;0,"OK","ONBEKEND")),IF(AND($EU98=$ER98,$EV98=$ES98+1),IF(OR(COUNTIF(#REF!,$D98)&gt;0,COUNTIF(#REF!,$D98)=0),"SKIP",IF(COUNTIFS(#REF!,$D98,#REF!,$DG98)&gt;0,"OK","ONBEKEND")),"ONZEKER")))))</f>
        <v/>
      </c>
      <c r="DI98" t="str">
        <f t="shared" si="754"/>
        <v/>
      </c>
      <c r="DJ98" t="str">
        <f t="shared" si="755"/>
        <v/>
      </c>
      <c r="DK98" t="str">
        <f>IF($DJ98="","",IF(OR($EX98="",$EY98=""),"ONZEKER",IF(OR($EU98="",$EV98=""),"ONZEKER",IF(AND($EX98=$EU98+1,$EY98=$EV98),IF(OR(COUNTIF(#REF!,$B98)&gt;0,COUNTIF(#REF!,$B98)=0),"SKIP",IF(COUNTIFS(#REF!,$B98,#REF!,$DJ98)&gt;0,"OK","ONBEKEND")),IF(AND($EX98=$EU98,$EY98=$EV98+1),IF(OR(COUNTIF(#REF!,$D98)&gt;0,COUNTIF(#REF!,$D98)=0),"SKIP",IF(COUNTIFS(#REF!,$D98,#REF!,$DJ98)&gt;0,"OK","ONBEKEND")),"ONZEKER")))))</f>
        <v/>
      </c>
      <c r="DL98" t="str">
        <f t="shared" si="756"/>
        <v/>
      </c>
      <c r="DM98" t="str">
        <f t="shared" si="757"/>
        <v/>
      </c>
      <c r="DN98" t="str">
        <f t="shared" si="758"/>
        <v/>
      </c>
      <c r="DO98" t="str">
        <f t="shared" si="759"/>
        <v/>
      </c>
      <c r="DP98" t="str">
        <f t="shared" si="760"/>
        <v/>
      </c>
      <c r="DQ98" t="str">
        <f t="shared" si="761"/>
        <v/>
      </c>
      <c r="DR98" t="str">
        <f t="shared" si="762"/>
        <v/>
      </c>
      <c r="DS98" t="str">
        <f t="shared" si="763"/>
        <v/>
      </c>
      <c r="DT98" t="str">
        <f t="shared" si="764"/>
        <v/>
      </c>
      <c r="DU98" t="str">
        <f t="shared" si="765"/>
        <v/>
      </c>
      <c r="DV98" t="str">
        <f t="shared" si="766"/>
        <v/>
      </c>
      <c r="DW98" t="str">
        <f t="shared" si="767"/>
        <v/>
      </c>
      <c r="DX98" t="str">
        <f t="shared" si="768"/>
        <v/>
      </c>
      <c r="DY98" t="str">
        <f t="shared" si="769"/>
        <v/>
      </c>
      <c r="DZ98" t="str">
        <f t="shared" si="770"/>
        <v/>
      </c>
      <c r="EA98" t="str">
        <f t="shared" si="771"/>
        <v/>
      </c>
      <c r="EB98" t="str">
        <f t="shared" si="772"/>
        <v/>
      </c>
      <c r="EC98" t="str">
        <f t="shared" si="773"/>
        <v/>
      </c>
      <c r="ED98" t="str">
        <f t="shared" si="774"/>
        <v/>
      </c>
      <c r="EE98" t="str">
        <f t="shared" si="775"/>
        <v/>
      </c>
      <c r="EF98" t="str">
        <f t="shared" si="776"/>
        <v/>
      </c>
      <c r="EG98" t="str">
        <f t="shared" si="777"/>
        <v/>
      </c>
      <c r="EH98" t="str">
        <f t="shared" si="778"/>
        <v/>
      </c>
      <c r="EI98" t="str">
        <f t="shared" si="779"/>
        <v/>
      </c>
      <c r="EJ98" t="str">
        <f t="shared" si="780"/>
        <v/>
      </c>
      <c r="EK98" t="str">
        <f t="shared" si="781"/>
        <v/>
      </c>
      <c r="EL98" t="str">
        <f t="shared" si="782"/>
        <v/>
      </c>
      <c r="EM98" t="str">
        <f t="shared" si="783"/>
        <v/>
      </c>
      <c r="EN98" t="str">
        <f t="shared" si="784"/>
        <v/>
      </c>
      <c r="EO98" t="str">
        <f t="shared" si="785"/>
        <v/>
      </c>
      <c r="EP98" t="str">
        <f t="shared" si="786"/>
        <v/>
      </c>
      <c r="EQ98" t="str">
        <f t="shared" si="787"/>
        <v/>
      </c>
      <c r="ER98" t="str">
        <f t="shared" si="788"/>
        <v/>
      </c>
      <c r="ES98" t="str">
        <f t="shared" si="789"/>
        <v/>
      </c>
      <c r="ET98" t="str">
        <f t="shared" si="790"/>
        <v/>
      </c>
      <c r="EU98" t="str">
        <f t="shared" si="791"/>
        <v/>
      </c>
      <c r="EV98" t="str">
        <f t="shared" si="792"/>
        <v/>
      </c>
      <c r="EW98" t="str">
        <f t="shared" si="793"/>
        <v/>
      </c>
      <c r="EX98" t="str">
        <f t="shared" si="794"/>
        <v/>
      </c>
      <c r="EY98" t="str">
        <f t="shared" si="795"/>
        <v/>
      </c>
    </row>
    <row r="99" spans="1:155" ht="13.9" customHeight="1" x14ac:dyDescent="0.25">
      <c r="A99" s="7"/>
      <c r="B99" s="17"/>
      <c r="C99" s="8"/>
      <c r="D99" s="17"/>
      <c r="E99" s="8"/>
      <c r="F99" s="18">
        <v>0</v>
      </c>
      <c r="G99" s="7" t="s">
        <v>147</v>
      </c>
      <c r="H99" s="18">
        <v>0</v>
      </c>
      <c r="I99" s="19">
        <v>0</v>
      </c>
      <c r="J99" s="7" t="s">
        <v>147</v>
      </c>
      <c r="K99" s="19">
        <v>0</v>
      </c>
      <c r="L99" s="9"/>
      <c r="M99" s="3" t="str">
        <f>IF($L99="","",IF($L99="DOELPUNTENMAKERS","",IF(AND(COUNTIF(#REF!,$B99)=0,COUNTIF(#REF!,$D99)=0),"OK",IF($O99&gt;20,"LET OP: meer dan 20 items (controle onvolledig)",IF((COUNTIF($R99:$AS99,"ONZEKER")+COUNTIF($CJ99:$DK99,"ONZEKER"))&gt;0,"LET OP: scoreverloop onduidelijk (controle beperkt)",IF((IF($AT99&lt;&gt;"",$AT99&amp;", ","")&amp;IF($AU99&lt;&gt;"",$AU99&amp;", ","")&amp;IF($AV99&lt;&gt;"",$AV99&amp;", ","")&amp;IF($AW99&lt;&gt;"",$AW99&amp;", ","")&amp;IF($AX99&lt;&gt;"",$AX99&amp;", ","")&amp;IF($AY99&lt;&gt;"",$AY99&amp;", ","")&amp;IF($AZ99&lt;&gt;"",$AZ99&amp;", ","")&amp;IF($BA99&lt;&gt;"",$BA99&amp;", ","")&amp;IF($BB99&lt;&gt;"",$BB99&amp;", ","")&amp;IF($BC99&lt;&gt;"",$BC99&amp;", ","")&amp;IF($DL99&lt;&gt;"",$DL99&amp;", ","")&amp;IF($DM99&lt;&gt;"",$DM99&amp;", ","")&amp;IF($DN99&lt;&gt;"",$DN99&amp;", ","")&amp;IF($DO99&lt;&gt;"",$DO99&amp;", ","")&amp;IF($DP99&lt;&gt;"",$DP99&amp;", ","")&amp;IF($DQ99&lt;&gt;"",$DQ99&amp;", ","")&amp;IF($DR99&lt;&gt;"",$DR99&amp;", ","")&amp;IF($DS99&lt;&gt;"",$DS99&amp;", ","")&amp;IF($DT99&lt;&gt;"",$DT99&amp;", ","")&amp;IF($DU99&lt;&gt;"",$DU99&amp;", ",""))="","OK","Onbekend: "&amp;LEFT((IF($AT99&lt;&gt;"",$AT99&amp;", ","")&amp;IF($AU99&lt;&gt;"",$AU99&amp;", ","")&amp;IF($AV99&lt;&gt;"",$AV99&amp;", ","")&amp;IF($AW99&lt;&gt;"",$AW99&amp;", ","")&amp;IF($AX99&lt;&gt;"",$AX99&amp;", ","")&amp;IF($AY99&lt;&gt;"",$AY99&amp;", ","")&amp;IF($AZ99&lt;&gt;"",$AZ99&amp;", ","")&amp;IF($BA99&lt;&gt;"",$BA99&amp;", ","")&amp;IF($BB99&lt;&gt;"",$BB99&amp;", ","")&amp;IF($BC99&lt;&gt;"",$BC99&amp;", ","")&amp;IF($DL99&lt;&gt;"",$DL99&amp;", ","")&amp;IF($DM99&lt;&gt;"",$DM99&amp;", ","")&amp;IF($DN99&lt;&gt;"",$DN99&amp;", ","")&amp;IF($DO99&lt;&gt;"",$DO99&amp;", ","")&amp;IF($DP99&lt;&gt;"",$DP99&amp;", ","")&amp;IF($DQ99&lt;&gt;"",$DQ99&amp;", ","")&amp;IF($DR99&lt;&gt;"",$DR99&amp;", ","")&amp;IF($DS99&lt;&gt;"",$DS99&amp;", ","")&amp;IF($DT99&lt;&gt;"",$DT99&amp;", ","")&amp;IF($DU99&lt;&gt;"",$DU99&amp;", ","")),LEN((IF($AT99&lt;&gt;"",$AT99&amp;", ","")&amp;IF($AU99&lt;&gt;"",$AU99&amp;", ","")&amp;IF($AV99&lt;&gt;"",$AV99&amp;", ","")&amp;IF($AW99&lt;&gt;"",$AW99&amp;", ","")&amp;IF($AX99&lt;&gt;"",$AX99&amp;", ","")&amp;IF($AY99&lt;&gt;"",$AY99&amp;", ","")&amp;IF($AZ99&lt;&gt;"",$AZ99&amp;", ","")&amp;IF($BA99&lt;&gt;"",$BA99&amp;", ","")&amp;IF($BB99&lt;&gt;"",$BB99&amp;", ","")&amp;IF($BC99&lt;&gt;"",$BC99&amp;", ","")&amp;IF($DL99&lt;&gt;"",$DL99&amp;", ","")&amp;IF($DM99&lt;&gt;"",$DM99&amp;", ","")&amp;IF($DN99&lt;&gt;"",$DN99&amp;", ","")&amp;IF($DO99&lt;&gt;"",$DO99&amp;", ","")&amp;IF($DP99&lt;&gt;"",$DP99&amp;", ","")&amp;IF($DQ99&lt;&gt;"",$DQ99&amp;", ","")&amp;IF($DR99&lt;&gt;"",$DR99&amp;", ","")&amp;IF($DS99&lt;&gt;"",$DS99&amp;", ","")&amp;IF($DT99&lt;&gt;"",$DT99&amp;", ","")&amp;IF($DU99&lt;&gt;"",$DU99&amp;", ","")))-2)))))))</f>
        <v/>
      </c>
      <c r="N99" t="str">
        <f t="shared" si="704"/>
        <v/>
      </c>
      <c r="O99" t="str">
        <f t="shared" si="705"/>
        <v/>
      </c>
      <c r="P99" t="str">
        <f t="shared" si="706"/>
        <v/>
      </c>
      <c r="Q99" t="str">
        <f t="shared" si="707"/>
        <v/>
      </c>
      <c r="R99" t="str">
        <f>IF($Q99="","",IF(OR($BE99="",$BF99=""),"ONZEKER",IF(AND($BE99=0+1,$BF99=0),IF(OR(COUNTIF(#REF!,$B99)&gt;0,COUNTIF(#REF!,$B99)=0),"SKIP",IF(COUNTIFS(#REF!,$B99,#REF!,$Q99)&gt;0,"OK","ONBEKEND")),IF(AND($BE99=0,$BF99=0+1),IF(OR(COUNTIF(#REF!,$D99)&gt;0,COUNTIF(#REF!,$D99)=0),"SKIP",IF(COUNTIFS(#REF!,$D99,#REF!,$Q99)&gt;0,"OK","ONBEKEND")),"ONZEKER"))))</f>
        <v/>
      </c>
      <c r="S99" t="str">
        <f t="shared" si="708"/>
        <v/>
      </c>
      <c r="T99" t="str">
        <f t="shared" si="709"/>
        <v/>
      </c>
      <c r="U99" t="str">
        <f>IF($T99="","",IF(OR($BH99="",$BI99=""),"ONZEKER",IF(OR($BE99="",$BF99=""),"ONZEKER",IF(AND($BH99=$BE99+1,$BI99=$BF99),IF(OR(COUNTIF(#REF!,$B99)&gt;0,COUNTIF(#REF!,$B99)=0),"SKIP",IF(COUNTIFS(#REF!,$B99,#REF!,$T99)&gt;0,"OK","ONBEKEND")),IF(AND($BH99=$BE99,$BI99=$BF99+1),IF(OR(COUNTIF(#REF!,$D99)&gt;0,COUNTIF(#REF!,$D99)=0),"SKIP",IF(COUNTIFS(#REF!,$D99,#REF!,$T99)&gt;0,"OK","ONBEKEND")),"ONZEKER")))))</f>
        <v/>
      </c>
      <c r="V99" t="str">
        <f t="shared" si="710"/>
        <v/>
      </c>
      <c r="W99" t="str">
        <f t="shared" si="711"/>
        <v/>
      </c>
      <c r="X99" t="str">
        <f>IF($W99="","",IF(OR($BK99="",$BL99=""),"ONZEKER",IF(OR($BH99="",$BI99=""),"ONZEKER",IF(AND($BK99=$BH99+1,$BL99=$BI99),IF(OR(COUNTIF(#REF!,$B99)&gt;0,COUNTIF(#REF!,$B99)=0),"SKIP",IF(COUNTIFS(#REF!,$B99,#REF!,$W99)&gt;0,"OK","ONBEKEND")),IF(AND($BK99=$BH99,$BL99=$BI99+1),IF(OR(COUNTIF(#REF!,$D99)&gt;0,COUNTIF(#REF!,$D99)=0),"SKIP",IF(COUNTIFS(#REF!,$D99,#REF!,$W99)&gt;0,"OK","ONBEKEND")),"ONZEKER")))))</f>
        <v/>
      </c>
      <c r="Y99" t="str">
        <f t="shared" si="712"/>
        <v/>
      </c>
      <c r="Z99" t="str">
        <f t="shared" si="713"/>
        <v/>
      </c>
      <c r="AA99" t="str">
        <f>IF($Z99="","",IF(OR($BN99="",$BO99=""),"ONZEKER",IF(OR($BK99="",$BL99=""),"ONZEKER",IF(AND($BN99=$BK99+1,$BO99=$BL99),IF(OR(COUNTIF(#REF!,$B99)&gt;0,COUNTIF(#REF!,$B99)=0),"SKIP",IF(COUNTIFS(#REF!,$B99,#REF!,$Z99)&gt;0,"OK","ONBEKEND")),IF(AND($BN99=$BK99,$BO99=$BL99+1),IF(OR(COUNTIF(#REF!,$D99)&gt;0,COUNTIF(#REF!,$D99)=0),"SKIP",IF(COUNTIFS(#REF!,$D99,#REF!,$Z99)&gt;0,"OK","ONBEKEND")),"ONZEKER")))))</f>
        <v/>
      </c>
      <c r="AB99" t="str">
        <f t="shared" si="714"/>
        <v/>
      </c>
      <c r="AC99" t="str">
        <f t="shared" si="715"/>
        <v/>
      </c>
      <c r="AD99" t="str">
        <f>IF($AC99="","",IF(OR($BQ99="",$BR99=""),"ONZEKER",IF(OR($BN99="",$BO99=""),"ONZEKER",IF(AND($BQ99=$BN99+1,$BR99=$BO99),IF(OR(COUNTIF(#REF!,$B99)&gt;0,COUNTIF(#REF!,$B99)=0),"SKIP",IF(COUNTIFS(#REF!,$B99,#REF!,$AC99)&gt;0,"OK","ONBEKEND")),IF(AND($BQ99=$BN99,$BR99=$BO99+1),IF(OR(COUNTIF(#REF!,$D99)&gt;0,COUNTIF(#REF!,$D99)=0),"SKIP",IF(COUNTIFS(#REF!,$D99,#REF!,$AC99)&gt;0,"OK","ONBEKEND")),"ONZEKER")))))</f>
        <v/>
      </c>
      <c r="AE99" t="str">
        <f t="shared" si="716"/>
        <v/>
      </c>
      <c r="AF99" t="str">
        <f t="shared" si="717"/>
        <v/>
      </c>
      <c r="AG99" t="str">
        <f>IF($AF99="","",IF(OR($BT99="",$BU99=""),"ONZEKER",IF(OR($BQ99="",$BR99=""),"ONZEKER",IF(AND($BT99=$BQ99+1,$BU99=$BR99),IF(OR(COUNTIF(#REF!,$B99)&gt;0,COUNTIF(#REF!,$B99)=0),"SKIP",IF(COUNTIFS(#REF!,$B99,#REF!,$AF99)&gt;0,"OK","ONBEKEND")),IF(AND($BT99=$BQ99,$BU99=$BR99+1),IF(OR(COUNTIF(#REF!,$D99)&gt;0,COUNTIF(#REF!,$D99)=0),"SKIP",IF(COUNTIFS(#REF!,$D99,#REF!,$AF99)&gt;0,"OK","ONBEKEND")),"ONZEKER")))))</f>
        <v/>
      </c>
      <c r="AH99" t="str">
        <f t="shared" si="718"/>
        <v/>
      </c>
      <c r="AI99" t="str">
        <f t="shared" si="719"/>
        <v/>
      </c>
      <c r="AJ99" t="str">
        <f>IF($AI99="","",IF(OR($BW99="",$BX99=""),"ONZEKER",IF(OR($BT99="",$BU99=""),"ONZEKER",IF(AND($BW99=$BT99+1,$BX99=$BU99),IF(OR(COUNTIF(#REF!,$B99)&gt;0,COUNTIF(#REF!,$B99)=0),"SKIP",IF(COUNTIFS(#REF!,$B99,#REF!,$AI99)&gt;0,"OK","ONBEKEND")),IF(AND($BW99=$BT99,$BX99=$BU99+1),IF(OR(COUNTIF(#REF!,$D99)&gt;0,COUNTIF(#REF!,$D99)=0),"SKIP",IF(COUNTIFS(#REF!,$D99,#REF!,$AI99)&gt;0,"OK","ONBEKEND")),"ONZEKER")))))</f>
        <v/>
      </c>
      <c r="AK99" t="str">
        <f t="shared" si="720"/>
        <v/>
      </c>
      <c r="AL99" t="str">
        <f t="shared" si="721"/>
        <v/>
      </c>
      <c r="AM99" t="str">
        <f>IF($AL99="","",IF(OR($BZ99="",$CA99=""),"ONZEKER",IF(OR($BW99="",$BX99=""),"ONZEKER",IF(AND($BZ99=$BW99+1,$CA99=$BX99),IF(OR(COUNTIF(#REF!,$B99)&gt;0,COUNTIF(#REF!,$B99)=0),"SKIP",IF(COUNTIFS(#REF!,$B99,#REF!,$AL99)&gt;0,"OK","ONBEKEND")),IF(AND($BZ99=$BW99,$CA99=$BX99+1),IF(OR(COUNTIF(#REF!,$D99)&gt;0,COUNTIF(#REF!,$D99)=0),"SKIP",IF(COUNTIFS(#REF!,$D99,#REF!,$AL99)&gt;0,"OK","ONBEKEND")),"ONZEKER")))))</f>
        <v/>
      </c>
      <c r="AN99" t="str">
        <f t="shared" si="722"/>
        <v/>
      </c>
      <c r="AO99" t="str">
        <f t="shared" si="723"/>
        <v/>
      </c>
      <c r="AP99" t="str">
        <f>IF($AO99="","",IF(OR($CC99="",$CD99=""),"ONZEKER",IF(OR($BZ99="",$CA99=""),"ONZEKER",IF(AND($CC99=$BZ99+1,$CD99=$CA99),IF(OR(COUNTIF(#REF!,$B99)&gt;0,COUNTIF(#REF!,$B99)=0),"SKIP",IF(COUNTIFS(#REF!,$B99,#REF!,$AO99)&gt;0,"OK","ONBEKEND")),IF(AND($CC99=$BZ99,$CD99=$CA99+1),IF(OR(COUNTIF(#REF!,$D99)&gt;0,COUNTIF(#REF!,$D99)=0),"SKIP",IF(COUNTIFS(#REF!,$D99,#REF!,$AO99)&gt;0,"OK","ONBEKEND")),"ONZEKER")))))</f>
        <v/>
      </c>
      <c r="AQ99" t="str">
        <f t="shared" si="724"/>
        <v/>
      </c>
      <c r="AR99" t="str">
        <f t="shared" si="725"/>
        <v/>
      </c>
      <c r="AS99" t="str">
        <f>IF($AR99="","",IF(OR($CF99="",$CG99=""),"ONZEKER",IF(OR($CC99="",$CD99=""),"ONZEKER",IF(AND($CF99=$CC99+1,$CG99=$CD99),IF(OR(COUNTIF(#REF!,$B99)&gt;0,COUNTIF(#REF!,$B99)=0),"SKIP",IF(COUNTIFS(#REF!,$B99,#REF!,$AR99)&gt;0,"OK","ONBEKEND")),IF(AND($CF99=$CC99,$CG99=$CD99+1),IF(OR(COUNTIF(#REF!,$D99)&gt;0,COUNTIF(#REF!,$D99)=0),"SKIP",IF(COUNTIFS(#REF!,$D99,#REF!,$AR99)&gt;0,"OK","ONBEKEND")),"ONZEKER")))))</f>
        <v/>
      </c>
      <c r="AT99" t="str">
        <f t="shared" si="726"/>
        <v/>
      </c>
      <c r="AU99" t="str">
        <f t="shared" si="727"/>
        <v/>
      </c>
      <c r="AV99" t="str">
        <f t="shared" si="728"/>
        <v/>
      </c>
      <c r="AW99" t="str">
        <f t="shared" si="729"/>
        <v/>
      </c>
      <c r="AX99" t="str">
        <f t="shared" si="730"/>
        <v/>
      </c>
      <c r="AY99" t="str">
        <f t="shared" si="731"/>
        <v/>
      </c>
      <c r="AZ99" t="str">
        <f t="shared" si="732"/>
        <v/>
      </c>
      <c r="BA99" t="str">
        <f t="shared" si="733"/>
        <v/>
      </c>
      <c r="BB99" t="str">
        <f t="shared" si="734"/>
        <v/>
      </c>
      <c r="BC99" t="str">
        <f t="shared" si="735"/>
        <v/>
      </c>
      <c r="BD99" t="str">
        <f t="shared" si="490"/>
        <v/>
      </c>
      <c r="BE99" t="str">
        <f t="shared" si="491"/>
        <v/>
      </c>
      <c r="BF99" t="str">
        <f t="shared" si="492"/>
        <v/>
      </c>
      <c r="BG99" t="str">
        <f t="shared" si="493"/>
        <v/>
      </c>
      <c r="BH99" t="str">
        <f t="shared" si="494"/>
        <v/>
      </c>
      <c r="BI99" t="str">
        <f t="shared" si="495"/>
        <v/>
      </c>
      <c r="BJ99" t="str">
        <f t="shared" si="496"/>
        <v/>
      </c>
      <c r="BK99" t="str">
        <f t="shared" si="497"/>
        <v/>
      </c>
      <c r="BL99" t="str">
        <f t="shared" si="498"/>
        <v/>
      </c>
      <c r="BM99" t="str">
        <f t="shared" si="499"/>
        <v/>
      </c>
      <c r="BN99" t="str">
        <f t="shared" si="500"/>
        <v/>
      </c>
      <c r="BO99" t="str">
        <f t="shared" si="501"/>
        <v/>
      </c>
      <c r="BP99" t="str">
        <f t="shared" si="502"/>
        <v/>
      </c>
      <c r="BQ99" t="str">
        <f t="shared" si="503"/>
        <v/>
      </c>
      <c r="BR99" t="str">
        <f t="shared" si="504"/>
        <v/>
      </c>
      <c r="BS99" t="str">
        <f t="shared" si="505"/>
        <v/>
      </c>
      <c r="BT99" t="str">
        <f t="shared" si="506"/>
        <v/>
      </c>
      <c r="BU99" t="str">
        <f t="shared" si="507"/>
        <v/>
      </c>
      <c r="BV99" t="str">
        <f t="shared" si="508"/>
        <v/>
      </c>
      <c r="BW99" t="str">
        <f t="shared" si="509"/>
        <v/>
      </c>
      <c r="BX99" t="str">
        <f t="shared" si="510"/>
        <v/>
      </c>
      <c r="BY99" t="str">
        <f t="shared" si="511"/>
        <v/>
      </c>
      <c r="BZ99" t="str">
        <f t="shared" si="512"/>
        <v/>
      </c>
      <c r="CA99" t="str">
        <f t="shared" si="513"/>
        <v/>
      </c>
      <c r="CB99" t="str">
        <f t="shared" si="514"/>
        <v/>
      </c>
      <c r="CC99" t="str">
        <f t="shared" si="515"/>
        <v/>
      </c>
      <c r="CD99" t="str">
        <f t="shared" si="516"/>
        <v/>
      </c>
      <c r="CE99" t="str">
        <f t="shared" si="517"/>
        <v/>
      </c>
      <c r="CF99" t="str">
        <f t="shared" si="518"/>
        <v/>
      </c>
      <c r="CG99" t="str">
        <f t="shared" si="519"/>
        <v/>
      </c>
      <c r="CH99" t="str">
        <f t="shared" si="736"/>
        <v/>
      </c>
      <c r="CI99" t="str">
        <f t="shared" si="737"/>
        <v/>
      </c>
      <c r="CJ99" t="str">
        <f>IF($CI99="","",IF(OR($DW99="",$DX99=""),"ONZEKER",IF(OR($CF99="",$CG99=""),"ONZEKER",IF(AND($DW99=$CF99+1,$DX99=$CG99),IF(OR(COUNTIF(#REF!,$B99)&gt;0,COUNTIF(#REF!,$B99)=0),"SKIP",IF(COUNTIFS(#REF!,$B99,#REF!,$CI99)&gt;0,"OK","ONBEKEND")),IF(AND($DW99=$CF99,$DX99=$CG99+1),IF(OR(COUNTIF(#REF!,$D99)&gt;0,COUNTIF(#REF!,$D99)=0),"SKIP",IF(COUNTIFS(#REF!,$D99,#REF!,$CI99)&gt;0,"OK","ONBEKEND")),"ONZEKER")))))</f>
        <v/>
      </c>
      <c r="CK99" t="str">
        <f t="shared" si="738"/>
        <v/>
      </c>
      <c r="CL99" t="str">
        <f t="shared" si="739"/>
        <v/>
      </c>
      <c r="CM99" t="str">
        <f>IF($CL99="","",IF(OR($DZ99="",$EA99=""),"ONZEKER",IF(OR($DW99="",$DX99=""),"ONZEKER",IF(AND($DZ99=$DW99+1,$EA99=$DX99),IF(OR(COUNTIF(#REF!,$B99)&gt;0,COUNTIF(#REF!,$B99)=0),"SKIP",IF(COUNTIFS(#REF!,$B99,#REF!,$CL99)&gt;0,"OK","ONBEKEND")),IF(AND($DZ99=$DW99,$EA99=$DX99+1),IF(OR(COUNTIF(#REF!,$D99)&gt;0,COUNTIF(#REF!,$D99)=0),"SKIP",IF(COUNTIFS(#REF!,$D99,#REF!,$CL99)&gt;0,"OK","ONBEKEND")),"ONZEKER")))))</f>
        <v/>
      </c>
      <c r="CN99" t="str">
        <f t="shared" si="740"/>
        <v/>
      </c>
      <c r="CO99" t="str">
        <f t="shared" si="741"/>
        <v/>
      </c>
      <c r="CP99" t="str">
        <f>IF($CO99="","",IF(OR($EC99="",$ED99=""),"ONZEKER",IF(OR($DZ99="",$EA99=""),"ONZEKER",IF(AND($EC99=$DZ99+1,$ED99=$EA99),IF(OR(COUNTIF(#REF!,$B99)&gt;0,COUNTIF(#REF!,$B99)=0),"SKIP",IF(COUNTIFS(#REF!,$B99,#REF!,$CO99)&gt;0,"OK","ONBEKEND")),IF(AND($EC99=$DZ99,$ED99=$EA99+1),IF(OR(COUNTIF(#REF!,$D99)&gt;0,COUNTIF(#REF!,$D99)=0),"SKIP",IF(COUNTIFS(#REF!,$D99,#REF!,$CO99)&gt;0,"OK","ONBEKEND")),"ONZEKER")))))</f>
        <v/>
      </c>
      <c r="CQ99" t="str">
        <f t="shared" si="742"/>
        <v/>
      </c>
      <c r="CR99" t="str">
        <f t="shared" si="743"/>
        <v/>
      </c>
      <c r="CS99" t="str">
        <f>IF($CR99="","",IF(OR($EF99="",$EG99=""),"ONZEKER",IF(OR($EC99="",$ED99=""),"ONZEKER",IF(AND($EF99=$EC99+1,$EG99=$ED99),IF(OR(COUNTIF(#REF!,$B99)&gt;0,COUNTIF(#REF!,$B99)=0),"SKIP",IF(COUNTIFS(#REF!,$B99,#REF!,$CR99)&gt;0,"OK","ONBEKEND")),IF(AND($EF99=$EC99,$EG99=$ED99+1),IF(OR(COUNTIF(#REF!,$D99)&gt;0,COUNTIF(#REF!,$D99)=0),"SKIP",IF(COUNTIFS(#REF!,$D99,#REF!,$CR99)&gt;0,"OK","ONBEKEND")),"ONZEKER")))))</f>
        <v/>
      </c>
      <c r="CT99" t="str">
        <f t="shared" si="744"/>
        <v/>
      </c>
      <c r="CU99" t="str">
        <f t="shared" si="745"/>
        <v/>
      </c>
      <c r="CV99" t="str">
        <f>IF($CU99="","",IF(OR($EI99="",$EJ99=""),"ONZEKER",IF(OR($EF99="",$EG99=""),"ONZEKER",IF(AND($EI99=$EF99+1,$EJ99=$EG99),IF(OR(COUNTIF(#REF!,$B99)&gt;0,COUNTIF(#REF!,$B99)=0),"SKIP",IF(COUNTIFS(#REF!,$B99,#REF!,$CU99)&gt;0,"OK","ONBEKEND")),IF(AND($EI99=$EF99,$EJ99=$EG99+1),IF(OR(COUNTIF(#REF!,$D99)&gt;0,COUNTIF(#REF!,$D99)=0),"SKIP",IF(COUNTIFS(#REF!,$D99,#REF!,$CU99)&gt;0,"OK","ONBEKEND")),"ONZEKER")))))</f>
        <v/>
      </c>
      <c r="CW99" t="str">
        <f t="shared" si="746"/>
        <v/>
      </c>
      <c r="CX99" t="str">
        <f t="shared" si="747"/>
        <v/>
      </c>
      <c r="CY99" t="str">
        <f>IF($CX99="","",IF(OR($EL99="",$EM99=""),"ONZEKER",IF(OR($EI99="",$EJ99=""),"ONZEKER",IF(AND($EL99=$EI99+1,$EM99=$EJ99),IF(OR(COUNTIF(#REF!,$B99)&gt;0,COUNTIF(#REF!,$B99)=0),"SKIP",IF(COUNTIFS(#REF!,$B99,#REF!,$CX99)&gt;0,"OK","ONBEKEND")),IF(AND($EL99=$EI99,$EM99=$EJ99+1),IF(OR(COUNTIF(#REF!,$D99)&gt;0,COUNTIF(#REF!,$D99)=0),"SKIP",IF(COUNTIFS(#REF!,$D99,#REF!,$CX99)&gt;0,"OK","ONBEKEND")),"ONZEKER")))))</f>
        <v/>
      </c>
      <c r="CZ99" t="str">
        <f t="shared" si="748"/>
        <v/>
      </c>
      <c r="DA99" t="str">
        <f t="shared" si="749"/>
        <v/>
      </c>
      <c r="DB99" t="str">
        <f>IF($DA99="","",IF(OR($EO99="",$EP99=""),"ONZEKER",IF(OR($EL99="",$EM99=""),"ONZEKER",IF(AND($EO99=$EL99+1,$EP99=$EM99),IF(OR(COUNTIF(#REF!,$B99)&gt;0,COUNTIF(#REF!,$B99)=0),"SKIP",IF(COUNTIFS(#REF!,$B99,#REF!,$DA99)&gt;0,"OK","ONBEKEND")),IF(AND($EO99=$EL99,$EP99=$EM99+1),IF(OR(COUNTIF(#REF!,$D99)&gt;0,COUNTIF(#REF!,$D99)=0),"SKIP",IF(COUNTIFS(#REF!,$D99,#REF!,$DA99)&gt;0,"OK","ONBEKEND")),"ONZEKER")))))</f>
        <v/>
      </c>
      <c r="DC99" t="str">
        <f t="shared" si="750"/>
        <v/>
      </c>
      <c r="DD99" t="str">
        <f t="shared" si="751"/>
        <v/>
      </c>
      <c r="DE99" t="str">
        <f>IF($DD99="","",IF(OR($ER99="",$ES99=""),"ONZEKER",IF(OR($EO99="",$EP99=""),"ONZEKER",IF(AND($ER99=$EO99+1,$ES99=$EP99),IF(OR(COUNTIF(#REF!,$B99)&gt;0,COUNTIF(#REF!,$B99)=0),"SKIP",IF(COUNTIFS(#REF!,$B99,#REF!,$DD99)&gt;0,"OK","ONBEKEND")),IF(AND($ER99=$EO99,$ES99=$EP99+1),IF(OR(COUNTIF(#REF!,$D99)&gt;0,COUNTIF(#REF!,$D99)=0),"SKIP",IF(COUNTIFS(#REF!,$D99,#REF!,$DD99)&gt;0,"OK","ONBEKEND")),"ONZEKER")))))</f>
        <v/>
      </c>
      <c r="DF99" t="str">
        <f t="shared" si="752"/>
        <v/>
      </c>
      <c r="DG99" t="str">
        <f t="shared" si="753"/>
        <v/>
      </c>
      <c r="DH99" t="str">
        <f>IF($DG99="","",IF(OR($EU99="",$EV99=""),"ONZEKER",IF(OR($ER99="",$ES99=""),"ONZEKER",IF(AND($EU99=$ER99+1,$EV99=$ES99),IF(OR(COUNTIF(#REF!,$B99)&gt;0,COUNTIF(#REF!,$B99)=0),"SKIP",IF(COUNTIFS(#REF!,$B99,#REF!,$DG99)&gt;0,"OK","ONBEKEND")),IF(AND($EU99=$ER99,$EV99=$ES99+1),IF(OR(COUNTIF(#REF!,$D99)&gt;0,COUNTIF(#REF!,$D99)=0),"SKIP",IF(COUNTIFS(#REF!,$D99,#REF!,$DG99)&gt;0,"OK","ONBEKEND")),"ONZEKER")))))</f>
        <v/>
      </c>
      <c r="DI99" t="str">
        <f t="shared" si="754"/>
        <v/>
      </c>
      <c r="DJ99" t="str">
        <f t="shared" si="755"/>
        <v/>
      </c>
      <c r="DK99" t="str">
        <f>IF($DJ99="","",IF(OR($EX99="",$EY99=""),"ONZEKER",IF(OR($EU99="",$EV99=""),"ONZEKER",IF(AND($EX99=$EU99+1,$EY99=$EV99),IF(OR(COUNTIF(#REF!,$B99)&gt;0,COUNTIF(#REF!,$B99)=0),"SKIP",IF(COUNTIFS(#REF!,$B99,#REF!,$DJ99)&gt;0,"OK","ONBEKEND")),IF(AND($EX99=$EU99,$EY99=$EV99+1),IF(OR(COUNTIF(#REF!,$D99)&gt;0,COUNTIF(#REF!,$D99)=0),"SKIP",IF(COUNTIFS(#REF!,$D99,#REF!,$DJ99)&gt;0,"OK","ONBEKEND")),"ONZEKER")))))</f>
        <v/>
      </c>
      <c r="DL99" t="str">
        <f t="shared" si="756"/>
        <v/>
      </c>
      <c r="DM99" t="str">
        <f t="shared" si="757"/>
        <v/>
      </c>
      <c r="DN99" t="str">
        <f t="shared" si="758"/>
        <v/>
      </c>
      <c r="DO99" t="str">
        <f t="shared" si="759"/>
        <v/>
      </c>
      <c r="DP99" t="str">
        <f t="shared" si="760"/>
        <v/>
      </c>
      <c r="DQ99" t="str">
        <f t="shared" si="761"/>
        <v/>
      </c>
      <c r="DR99" t="str">
        <f t="shared" si="762"/>
        <v/>
      </c>
      <c r="DS99" t="str">
        <f t="shared" si="763"/>
        <v/>
      </c>
      <c r="DT99" t="str">
        <f t="shared" si="764"/>
        <v/>
      </c>
      <c r="DU99" t="str">
        <f t="shared" si="765"/>
        <v/>
      </c>
      <c r="DV99" t="str">
        <f t="shared" si="766"/>
        <v/>
      </c>
      <c r="DW99" t="str">
        <f t="shared" si="767"/>
        <v/>
      </c>
      <c r="DX99" t="str">
        <f t="shared" si="768"/>
        <v/>
      </c>
      <c r="DY99" t="str">
        <f t="shared" si="769"/>
        <v/>
      </c>
      <c r="DZ99" t="str">
        <f t="shared" si="770"/>
        <v/>
      </c>
      <c r="EA99" t="str">
        <f t="shared" si="771"/>
        <v/>
      </c>
      <c r="EB99" t="str">
        <f t="shared" si="772"/>
        <v/>
      </c>
      <c r="EC99" t="str">
        <f t="shared" si="773"/>
        <v/>
      </c>
      <c r="ED99" t="str">
        <f t="shared" si="774"/>
        <v/>
      </c>
      <c r="EE99" t="str">
        <f t="shared" si="775"/>
        <v/>
      </c>
      <c r="EF99" t="str">
        <f t="shared" si="776"/>
        <v/>
      </c>
      <c r="EG99" t="str">
        <f t="shared" si="777"/>
        <v/>
      </c>
      <c r="EH99" t="str">
        <f t="shared" si="778"/>
        <v/>
      </c>
      <c r="EI99" t="str">
        <f t="shared" si="779"/>
        <v/>
      </c>
      <c r="EJ99" t="str">
        <f t="shared" si="780"/>
        <v/>
      </c>
      <c r="EK99" t="str">
        <f t="shared" si="781"/>
        <v/>
      </c>
      <c r="EL99" t="str">
        <f t="shared" si="782"/>
        <v/>
      </c>
      <c r="EM99" t="str">
        <f t="shared" si="783"/>
        <v/>
      </c>
      <c r="EN99" t="str">
        <f t="shared" si="784"/>
        <v/>
      </c>
      <c r="EO99" t="str">
        <f t="shared" si="785"/>
        <v/>
      </c>
      <c r="EP99" t="str">
        <f t="shared" si="786"/>
        <v/>
      </c>
      <c r="EQ99" t="str">
        <f t="shared" si="787"/>
        <v/>
      </c>
      <c r="ER99" t="str">
        <f t="shared" si="788"/>
        <v/>
      </c>
      <c r="ES99" t="str">
        <f t="shared" si="789"/>
        <v/>
      </c>
      <c r="ET99" t="str">
        <f t="shared" si="790"/>
        <v/>
      </c>
      <c r="EU99" t="str">
        <f t="shared" si="791"/>
        <v/>
      </c>
      <c r="EV99" t="str">
        <f t="shared" si="792"/>
        <v/>
      </c>
      <c r="EW99" t="str">
        <f t="shared" si="793"/>
        <v/>
      </c>
      <c r="EX99" t="str">
        <f t="shared" si="794"/>
        <v/>
      </c>
      <c r="EY99" t="str">
        <f t="shared" si="795"/>
        <v/>
      </c>
    </row>
    <row r="100" spans="1:155" ht="13.9" customHeight="1" x14ac:dyDescent="0.25">
      <c r="A100" s="7"/>
      <c r="B100" s="17"/>
      <c r="C100" s="8"/>
      <c r="D100" s="17"/>
      <c r="E100" s="8"/>
      <c r="F100" s="18">
        <v>0</v>
      </c>
      <c r="G100" s="7" t="s">
        <v>147</v>
      </c>
      <c r="H100" s="18">
        <v>0</v>
      </c>
      <c r="I100" s="19">
        <v>0</v>
      </c>
      <c r="J100" s="7" t="s">
        <v>147</v>
      </c>
      <c r="K100" s="19">
        <v>0</v>
      </c>
      <c r="L100" s="9"/>
      <c r="M100" s="3" t="str">
        <f>IF($L100="","",IF($L100="DOELPUNTENMAKERS","",IF(AND(COUNTIF(#REF!,$B100)=0,COUNTIF(#REF!,$D100)=0),"OK",IF($O100&gt;20,"LET OP: meer dan 20 items (controle onvolledig)",IF((COUNTIF($R100:$AS100,"ONZEKER")+COUNTIF($CJ100:$DK100,"ONZEKER"))&gt;0,"LET OP: scoreverloop onduidelijk (controle beperkt)",IF((IF($AT100&lt;&gt;"",$AT100&amp;", ","")&amp;IF($AU100&lt;&gt;"",$AU100&amp;", ","")&amp;IF($AV100&lt;&gt;"",$AV100&amp;", ","")&amp;IF($AW100&lt;&gt;"",$AW100&amp;", ","")&amp;IF($AX100&lt;&gt;"",$AX100&amp;", ","")&amp;IF($AY100&lt;&gt;"",$AY100&amp;", ","")&amp;IF($AZ100&lt;&gt;"",$AZ100&amp;", ","")&amp;IF($BA100&lt;&gt;"",$BA100&amp;", ","")&amp;IF($BB100&lt;&gt;"",$BB100&amp;", ","")&amp;IF($BC100&lt;&gt;"",$BC100&amp;", ","")&amp;IF($DL100&lt;&gt;"",$DL100&amp;", ","")&amp;IF($DM100&lt;&gt;"",$DM100&amp;", ","")&amp;IF($DN100&lt;&gt;"",$DN100&amp;", ","")&amp;IF($DO100&lt;&gt;"",$DO100&amp;", ","")&amp;IF($DP100&lt;&gt;"",$DP100&amp;", ","")&amp;IF($DQ100&lt;&gt;"",$DQ100&amp;", ","")&amp;IF($DR100&lt;&gt;"",$DR100&amp;", ","")&amp;IF($DS100&lt;&gt;"",$DS100&amp;", ","")&amp;IF($DT100&lt;&gt;"",$DT100&amp;", ","")&amp;IF($DU100&lt;&gt;"",$DU100&amp;", ",""))="","OK","Onbekend: "&amp;LEFT((IF($AT100&lt;&gt;"",$AT100&amp;", ","")&amp;IF($AU100&lt;&gt;"",$AU100&amp;", ","")&amp;IF($AV100&lt;&gt;"",$AV100&amp;", ","")&amp;IF($AW100&lt;&gt;"",$AW100&amp;", ","")&amp;IF($AX100&lt;&gt;"",$AX100&amp;", ","")&amp;IF($AY100&lt;&gt;"",$AY100&amp;", ","")&amp;IF($AZ100&lt;&gt;"",$AZ100&amp;", ","")&amp;IF($BA100&lt;&gt;"",$BA100&amp;", ","")&amp;IF($BB100&lt;&gt;"",$BB100&amp;", ","")&amp;IF($BC100&lt;&gt;"",$BC100&amp;", ","")&amp;IF($DL100&lt;&gt;"",$DL100&amp;", ","")&amp;IF($DM100&lt;&gt;"",$DM100&amp;", ","")&amp;IF($DN100&lt;&gt;"",$DN100&amp;", ","")&amp;IF($DO100&lt;&gt;"",$DO100&amp;", ","")&amp;IF($DP100&lt;&gt;"",$DP100&amp;", ","")&amp;IF($DQ100&lt;&gt;"",$DQ100&amp;", ","")&amp;IF($DR100&lt;&gt;"",$DR100&amp;", ","")&amp;IF($DS100&lt;&gt;"",$DS100&amp;", ","")&amp;IF($DT100&lt;&gt;"",$DT100&amp;", ","")&amp;IF($DU100&lt;&gt;"",$DU100&amp;", ","")),LEN((IF($AT100&lt;&gt;"",$AT100&amp;", ","")&amp;IF($AU100&lt;&gt;"",$AU100&amp;", ","")&amp;IF($AV100&lt;&gt;"",$AV100&amp;", ","")&amp;IF($AW100&lt;&gt;"",$AW100&amp;", ","")&amp;IF($AX100&lt;&gt;"",$AX100&amp;", ","")&amp;IF($AY100&lt;&gt;"",$AY100&amp;", ","")&amp;IF($AZ100&lt;&gt;"",$AZ100&amp;", ","")&amp;IF($BA100&lt;&gt;"",$BA100&amp;", ","")&amp;IF($BB100&lt;&gt;"",$BB100&amp;", ","")&amp;IF($BC100&lt;&gt;"",$BC100&amp;", ","")&amp;IF($DL100&lt;&gt;"",$DL100&amp;", ","")&amp;IF($DM100&lt;&gt;"",$DM100&amp;", ","")&amp;IF($DN100&lt;&gt;"",$DN100&amp;", ","")&amp;IF($DO100&lt;&gt;"",$DO100&amp;", ","")&amp;IF($DP100&lt;&gt;"",$DP100&amp;", ","")&amp;IF($DQ100&lt;&gt;"",$DQ100&amp;", ","")&amp;IF($DR100&lt;&gt;"",$DR100&amp;", ","")&amp;IF($DS100&lt;&gt;"",$DS100&amp;", ","")&amp;IF($DT100&lt;&gt;"",$DT100&amp;", ","")&amp;IF($DU100&lt;&gt;"",$DU100&amp;", ","")))-2)))))))</f>
        <v/>
      </c>
      <c r="N100" t="str">
        <f t="shared" si="704"/>
        <v/>
      </c>
      <c r="O100" t="str">
        <f t="shared" si="705"/>
        <v/>
      </c>
      <c r="P100" t="str">
        <f t="shared" si="706"/>
        <v/>
      </c>
      <c r="Q100" t="str">
        <f t="shared" si="707"/>
        <v/>
      </c>
      <c r="R100" t="str">
        <f>IF($Q100="","",IF(OR($BE100="",$BF100=""),"ONZEKER",IF(AND($BE100=0+1,$BF100=0),IF(OR(COUNTIF(#REF!,$B100)&gt;0,COUNTIF(#REF!,$B100)=0),"SKIP",IF(COUNTIFS(#REF!,$B100,#REF!,$Q100)&gt;0,"OK","ONBEKEND")),IF(AND($BE100=0,$BF100=0+1),IF(OR(COUNTIF(#REF!,$D100)&gt;0,COUNTIF(#REF!,$D100)=0),"SKIP",IF(COUNTIFS(#REF!,$D100,#REF!,$Q100)&gt;0,"OK","ONBEKEND")),"ONZEKER"))))</f>
        <v/>
      </c>
      <c r="S100" t="str">
        <f t="shared" si="708"/>
        <v/>
      </c>
      <c r="T100" t="str">
        <f t="shared" si="709"/>
        <v/>
      </c>
      <c r="U100" t="str">
        <f>IF($T100="","",IF(OR($BH100="",$BI100=""),"ONZEKER",IF(OR($BE100="",$BF100=""),"ONZEKER",IF(AND($BH100=$BE100+1,$BI100=$BF100),IF(OR(COUNTIF(#REF!,$B100)&gt;0,COUNTIF(#REF!,$B100)=0),"SKIP",IF(COUNTIFS(#REF!,$B100,#REF!,$T100)&gt;0,"OK","ONBEKEND")),IF(AND($BH100=$BE100,$BI100=$BF100+1),IF(OR(COUNTIF(#REF!,$D100)&gt;0,COUNTIF(#REF!,$D100)=0),"SKIP",IF(COUNTIFS(#REF!,$D100,#REF!,$T100)&gt;0,"OK","ONBEKEND")),"ONZEKER")))))</f>
        <v/>
      </c>
      <c r="V100" t="str">
        <f t="shared" si="710"/>
        <v/>
      </c>
      <c r="W100" t="str">
        <f t="shared" si="711"/>
        <v/>
      </c>
      <c r="X100" t="str">
        <f>IF($W100="","",IF(OR($BK100="",$BL100=""),"ONZEKER",IF(OR($BH100="",$BI100=""),"ONZEKER",IF(AND($BK100=$BH100+1,$BL100=$BI100),IF(OR(COUNTIF(#REF!,$B100)&gt;0,COUNTIF(#REF!,$B100)=0),"SKIP",IF(COUNTIFS(#REF!,$B100,#REF!,$W100)&gt;0,"OK","ONBEKEND")),IF(AND($BK100=$BH100,$BL100=$BI100+1),IF(OR(COUNTIF(#REF!,$D100)&gt;0,COUNTIF(#REF!,$D100)=0),"SKIP",IF(COUNTIFS(#REF!,$D100,#REF!,$W100)&gt;0,"OK","ONBEKEND")),"ONZEKER")))))</f>
        <v/>
      </c>
      <c r="Y100" t="str">
        <f t="shared" si="712"/>
        <v/>
      </c>
      <c r="Z100" t="str">
        <f t="shared" si="713"/>
        <v/>
      </c>
      <c r="AA100" t="str">
        <f>IF($Z100="","",IF(OR($BN100="",$BO100=""),"ONZEKER",IF(OR($BK100="",$BL100=""),"ONZEKER",IF(AND($BN100=$BK100+1,$BO100=$BL100),IF(OR(COUNTIF(#REF!,$B100)&gt;0,COUNTIF(#REF!,$B100)=0),"SKIP",IF(COUNTIFS(#REF!,$B100,#REF!,$Z100)&gt;0,"OK","ONBEKEND")),IF(AND($BN100=$BK100,$BO100=$BL100+1),IF(OR(COUNTIF(#REF!,$D100)&gt;0,COUNTIF(#REF!,$D100)=0),"SKIP",IF(COUNTIFS(#REF!,$D100,#REF!,$Z100)&gt;0,"OK","ONBEKEND")),"ONZEKER")))))</f>
        <v/>
      </c>
      <c r="AB100" t="str">
        <f t="shared" si="714"/>
        <v/>
      </c>
      <c r="AC100" t="str">
        <f t="shared" si="715"/>
        <v/>
      </c>
      <c r="AD100" t="str">
        <f>IF($AC100="","",IF(OR($BQ100="",$BR100=""),"ONZEKER",IF(OR($BN100="",$BO100=""),"ONZEKER",IF(AND($BQ100=$BN100+1,$BR100=$BO100),IF(OR(COUNTIF(#REF!,$B100)&gt;0,COUNTIF(#REF!,$B100)=0),"SKIP",IF(COUNTIFS(#REF!,$B100,#REF!,$AC100)&gt;0,"OK","ONBEKEND")),IF(AND($BQ100=$BN100,$BR100=$BO100+1),IF(OR(COUNTIF(#REF!,$D100)&gt;0,COUNTIF(#REF!,$D100)=0),"SKIP",IF(COUNTIFS(#REF!,$D100,#REF!,$AC100)&gt;0,"OK","ONBEKEND")),"ONZEKER")))))</f>
        <v/>
      </c>
      <c r="AE100" t="str">
        <f t="shared" si="716"/>
        <v/>
      </c>
      <c r="AF100" t="str">
        <f t="shared" si="717"/>
        <v/>
      </c>
      <c r="AG100" t="str">
        <f>IF($AF100="","",IF(OR($BT100="",$BU100=""),"ONZEKER",IF(OR($BQ100="",$BR100=""),"ONZEKER",IF(AND($BT100=$BQ100+1,$BU100=$BR100),IF(OR(COUNTIF(#REF!,$B100)&gt;0,COUNTIF(#REF!,$B100)=0),"SKIP",IF(COUNTIFS(#REF!,$B100,#REF!,$AF100)&gt;0,"OK","ONBEKEND")),IF(AND($BT100=$BQ100,$BU100=$BR100+1),IF(OR(COUNTIF(#REF!,$D100)&gt;0,COUNTIF(#REF!,$D100)=0),"SKIP",IF(COUNTIFS(#REF!,$D100,#REF!,$AF100)&gt;0,"OK","ONBEKEND")),"ONZEKER")))))</f>
        <v/>
      </c>
      <c r="AH100" t="str">
        <f t="shared" si="718"/>
        <v/>
      </c>
      <c r="AI100" t="str">
        <f t="shared" si="719"/>
        <v/>
      </c>
      <c r="AJ100" t="str">
        <f>IF($AI100="","",IF(OR($BW100="",$BX100=""),"ONZEKER",IF(OR($BT100="",$BU100=""),"ONZEKER",IF(AND($BW100=$BT100+1,$BX100=$BU100),IF(OR(COUNTIF(#REF!,$B100)&gt;0,COUNTIF(#REF!,$B100)=0),"SKIP",IF(COUNTIFS(#REF!,$B100,#REF!,$AI100)&gt;0,"OK","ONBEKEND")),IF(AND($BW100=$BT100,$BX100=$BU100+1),IF(OR(COUNTIF(#REF!,$D100)&gt;0,COUNTIF(#REF!,$D100)=0),"SKIP",IF(COUNTIFS(#REF!,$D100,#REF!,$AI100)&gt;0,"OK","ONBEKEND")),"ONZEKER")))))</f>
        <v/>
      </c>
      <c r="AK100" t="str">
        <f t="shared" si="720"/>
        <v/>
      </c>
      <c r="AL100" t="str">
        <f t="shared" si="721"/>
        <v/>
      </c>
      <c r="AM100" t="str">
        <f>IF($AL100="","",IF(OR($BZ100="",$CA100=""),"ONZEKER",IF(OR($BW100="",$BX100=""),"ONZEKER",IF(AND($BZ100=$BW100+1,$CA100=$BX100),IF(OR(COUNTIF(#REF!,$B100)&gt;0,COUNTIF(#REF!,$B100)=0),"SKIP",IF(COUNTIFS(#REF!,$B100,#REF!,$AL100)&gt;0,"OK","ONBEKEND")),IF(AND($BZ100=$BW100,$CA100=$BX100+1),IF(OR(COUNTIF(#REF!,$D100)&gt;0,COUNTIF(#REF!,$D100)=0),"SKIP",IF(COUNTIFS(#REF!,$D100,#REF!,$AL100)&gt;0,"OK","ONBEKEND")),"ONZEKER")))))</f>
        <v/>
      </c>
      <c r="AN100" t="str">
        <f t="shared" si="722"/>
        <v/>
      </c>
      <c r="AO100" t="str">
        <f t="shared" si="723"/>
        <v/>
      </c>
      <c r="AP100" t="str">
        <f>IF($AO100="","",IF(OR($CC100="",$CD100=""),"ONZEKER",IF(OR($BZ100="",$CA100=""),"ONZEKER",IF(AND($CC100=$BZ100+1,$CD100=$CA100),IF(OR(COUNTIF(#REF!,$B100)&gt;0,COUNTIF(#REF!,$B100)=0),"SKIP",IF(COUNTIFS(#REF!,$B100,#REF!,$AO100)&gt;0,"OK","ONBEKEND")),IF(AND($CC100=$BZ100,$CD100=$CA100+1),IF(OR(COUNTIF(#REF!,$D100)&gt;0,COUNTIF(#REF!,$D100)=0),"SKIP",IF(COUNTIFS(#REF!,$D100,#REF!,$AO100)&gt;0,"OK","ONBEKEND")),"ONZEKER")))))</f>
        <v/>
      </c>
      <c r="AQ100" t="str">
        <f t="shared" si="724"/>
        <v/>
      </c>
      <c r="AR100" t="str">
        <f t="shared" si="725"/>
        <v/>
      </c>
      <c r="AS100" t="str">
        <f>IF($AR100="","",IF(OR($CF100="",$CG100=""),"ONZEKER",IF(OR($CC100="",$CD100=""),"ONZEKER",IF(AND($CF100=$CC100+1,$CG100=$CD100),IF(OR(COUNTIF(#REF!,$B100)&gt;0,COUNTIF(#REF!,$B100)=0),"SKIP",IF(COUNTIFS(#REF!,$B100,#REF!,$AR100)&gt;0,"OK","ONBEKEND")),IF(AND($CF100=$CC100,$CG100=$CD100+1),IF(OR(COUNTIF(#REF!,$D100)&gt;0,COUNTIF(#REF!,$D100)=0),"SKIP",IF(COUNTIFS(#REF!,$D100,#REF!,$AR100)&gt;0,"OK","ONBEKEND")),"ONZEKER")))))</f>
        <v/>
      </c>
      <c r="AT100" t="str">
        <f t="shared" si="726"/>
        <v/>
      </c>
      <c r="AU100" t="str">
        <f t="shared" si="727"/>
        <v/>
      </c>
      <c r="AV100" t="str">
        <f t="shared" si="728"/>
        <v/>
      </c>
      <c r="AW100" t="str">
        <f t="shared" si="729"/>
        <v/>
      </c>
      <c r="AX100" t="str">
        <f t="shared" si="730"/>
        <v/>
      </c>
      <c r="AY100" t="str">
        <f t="shared" si="731"/>
        <v/>
      </c>
      <c r="AZ100" t="str">
        <f t="shared" si="732"/>
        <v/>
      </c>
      <c r="BA100" t="str">
        <f t="shared" si="733"/>
        <v/>
      </c>
      <c r="BB100" t="str">
        <f t="shared" si="734"/>
        <v/>
      </c>
      <c r="BC100" t="str">
        <f t="shared" si="735"/>
        <v/>
      </c>
      <c r="BD100" t="str">
        <f t="shared" si="490"/>
        <v/>
      </c>
      <c r="BE100" t="str">
        <f t="shared" si="491"/>
        <v/>
      </c>
      <c r="BF100" t="str">
        <f t="shared" si="492"/>
        <v/>
      </c>
      <c r="BG100" t="str">
        <f t="shared" si="493"/>
        <v/>
      </c>
      <c r="BH100" t="str">
        <f t="shared" si="494"/>
        <v/>
      </c>
      <c r="BI100" t="str">
        <f t="shared" si="495"/>
        <v/>
      </c>
      <c r="BJ100" t="str">
        <f t="shared" si="496"/>
        <v/>
      </c>
      <c r="BK100" t="str">
        <f t="shared" si="497"/>
        <v/>
      </c>
      <c r="BL100" t="str">
        <f t="shared" si="498"/>
        <v/>
      </c>
      <c r="BM100" t="str">
        <f t="shared" si="499"/>
        <v/>
      </c>
      <c r="BN100" t="str">
        <f t="shared" si="500"/>
        <v/>
      </c>
      <c r="BO100" t="str">
        <f t="shared" si="501"/>
        <v/>
      </c>
      <c r="BP100" t="str">
        <f t="shared" si="502"/>
        <v/>
      </c>
      <c r="BQ100" t="str">
        <f t="shared" si="503"/>
        <v/>
      </c>
      <c r="BR100" t="str">
        <f t="shared" si="504"/>
        <v/>
      </c>
      <c r="BS100" t="str">
        <f t="shared" si="505"/>
        <v/>
      </c>
      <c r="BT100" t="str">
        <f t="shared" si="506"/>
        <v/>
      </c>
      <c r="BU100" t="str">
        <f t="shared" si="507"/>
        <v/>
      </c>
      <c r="BV100" t="str">
        <f t="shared" si="508"/>
        <v/>
      </c>
      <c r="BW100" t="str">
        <f t="shared" si="509"/>
        <v/>
      </c>
      <c r="BX100" t="str">
        <f t="shared" si="510"/>
        <v/>
      </c>
      <c r="BY100" t="str">
        <f t="shared" si="511"/>
        <v/>
      </c>
      <c r="BZ100" t="str">
        <f t="shared" si="512"/>
        <v/>
      </c>
      <c r="CA100" t="str">
        <f t="shared" si="513"/>
        <v/>
      </c>
      <c r="CB100" t="str">
        <f t="shared" si="514"/>
        <v/>
      </c>
      <c r="CC100" t="str">
        <f t="shared" si="515"/>
        <v/>
      </c>
      <c r="CD100" t="str">
        <f t="shared" si="516"/>
        <v/>
      </c>
      <c r="CE100" t="str">
        <f t="shared" si="517"/>
        <v/>
      </c>
      <c r="CF100" t="str">
        <f t="shared" si="518"/>
        <v/>
      </c>
      <c r="CG100" t="str">
        <f t="shared" si="519"/>
        <v/>
      </c>
      <c r="CH100" t="str">
        <f t="shared" si="736"/>
        <v/>
      </c>
      <c r="CI100" t="str">
        <f t="shared" si="737"/>
        <v/>
      </c>
      <c r="CJ100" t="str">
        <f>IF($CI100="","",IF(OR($DW100="",$DX100=""),"ONZEKER",IF(OR($CF100="",$CG100=""),"ONZEKER",IF(AND($DW100=$CF100+1,$DX100=$CG100),IF(OR(COUNTIF(#REF!,$B100)&gt;0,COUNTIF(#REF!,$B100)=0),"SKIP",IF(COUNTIFS(#REF!,$B100,#REF!,$CI100)&gt;0,"OK","ONBEKEND")),IF(AND($DW100=$CF100,$DX100=$CG100+1),IF(OR(COUNTIF(#REF!,$D100)&gt;0,COUNTIF(#REF!,$D100)=0),"SKIP",IF(COUNTIFS(#REF!,$D100,#REF!,$CI100)&gt;0,"OK","ONBEKEND")),"ONZEKER")))))</f>
        <v/>
      </c>
      <c r="CK100" t="str">
        <f t="shared" si="738"/>
        <v/>
      </c>
      <c r="CL100" t="str">
        <f t="shared" si="739"/>
        <v/>
      </c>
      <c r="CM100" t="str">
        <f>IF($CL100="","",IF(OR($DZ100="",$EA100=""),"ONZEKER",IF(OR($DW100="",$DX100=""),"ONZEKER",IF(AND($DZ100=$DW100+1,$EA100=$DX100),IF(OR(COUNTIF(#REF!,$B100)&gt;0,COUNTIF(#REF!,$B100)=0),"SKIP",IF(COUNTIFS(#REF!,$B100,#REF!,$CL100)&gt;0,"OK","ONBEKEND")),IF(AND($DZ100=$DW100,$EA100=$DX100+1),IF(OR(COUNTIF(#REF!,$D100)&gt;0,COUNTIF(#REF!,$D100)=0),"SKIP",IF(COUNTIFS(#REF!,$D100,#REF!,$CL100)&gt;0,"OK","ONBEKEND")),"ONZEKER")))))</f>
        <v/>
      </c>
      <c r="CN100" t="str">
        <f t="shared" si="740"/>
        <v/>
      </c>
      <c r="CO100" t="str">
        <f t="shared" si="741"/>
        <v/>
      </c>
      <c r="CP100" t="str">
        <f>IF($CO100="","",IF(OR($EC100="",$ED100=""),"ONZEKER",IF(OR($DZ100="",$EA100=""),"ONZEKER",IF(AND($EC100=$DZ100+1,$ED100=$EA100),IF(OR(COUNTIF(#REF!,$B100)&gt;0,COUNTIF(#REF!,$B100)=0),"SKIP",IF(COUNTIFS(#REF!,$B100,#REF!,$CO100)&gt;0,"OK","ONBEKEND")),IF(AND($EC100=$DZ100,$ED100=$EA100+1),IF(OR(COUNTIF(#REF!,$D100)&gt;0,COUNTIF(#REF!,$D100)=0),"SKIP",IF(COUNTIFS(#REF!,$D100,#REF!,$CO100)&gt;0,"OK","ONBEKEND")),"ONZEKER")))))</f>
        <v/>
      </c>
      <c r="CQ100" t="str">
        <f t="shared" si="742"/>
        <v/>
      </c>
      <c r="CR100" t="str">
        <f t="shared" si="743"/>
        <v/>
      </c>
      <c r="CS100" t="str">
        <f>IF($CR100="","",IF(OR($EF100="",$EG100=""),"ONZEKER",IF(OR($EC100="",$ED100=""),"ONZEKER",IF(AND($EF100=$EC100+1,$EG100=$ED100),IF(OR(COUNTIF(#REF!,$B100)&gt;0,COUNTIF(#REF!,$B100)=0),"SKIP",IF(COUNTIFS(#REF!,$B100,#REF!,$CR100)&gt;0,"OK","ONBEKEND")),IF(AND($EF100=$EC100,$EG100=$ED100+1),IF(OR(COUNTIF(#REF!,$D100)&gt;0,COUNTIF(#REF!,$D100)=0),"SKIP",IF(COUNTIFS(#REF!,$D100,#REF!,$CR100)&gt;0,"OK","ONBEKEND")),"ONZEKER")))))</f>
        <v/>
      </c>
      <c r="CT100" t="str">
        <f t="shared" si="744"/>
        <v/>
      </c>
      <c r="CU100" t="str">
        <f t="shared" si="745"/>
        <v/>
      </c>
      <c r="CV100" t="str">
        <f>IF($CU100="","",IF(OR($EI100="",$EJ100=""),"ONZEKER",IF(OR($EF100="",$EG100=""),"ONZEKER",IF(AND($EI100=$EF100+1,$EJ100=$EG100),IF(OR(COUNTIF(#REF!,$B100)&gt;0,COUNTIF(#REF!,$B100)=0),"SKIP",IF(COUNTIFS(#REF!,$B100,#REF!,$CU100)&gt;0,"OK","ONBEKEND")),IF(AND($EI100=$EF100,$EJ100=$EG100+1),IF(OR(COUNTIF(#REF!,$D100)&gt;0,COUNTIF(#REF!,$D100)=0),"SKIP",IF(COUNTIFS(#REF!,$D100,#REF!,$CU100)&gt;0,"OK","ONBEKEND")),"ONZEKER")))))</f>
        <v/>
      </c>
      <c r="CW100" t="str">
        <f t="shared" si="746"/>
        <v/>
      </c>
      <c r="CX100" t="str">
        <f t="shared" si="747"/>
        <v/>
      </c>
      <c r="CY100" t="str">
        <f>IF($CX100="","",IF(OR($EL100="",$EM100=""),"ONZEKER",IF(OR($EI100="",$EJ100=""),"ONZEKER",IF(AND($EL100=$EI100+1,$EM100=$EJ100),IF(OR(COUNTIF(#REF!,$B100)&gt;0,COUNTIF(#REF!,$B100)=0),"SKIP",IF(COUNTIFS(#REF!,$B100,#REF!,$CX100)&gt;0,"OK","ONBEKEND")),IF(AND($EL100=$EI100,$EM100=$EJ100+1),IF(OR(COUNTIF(#REF!,$D100)&gt;0,COUNTIF(#REF!,$D100)=0),"SKIP",IF(COUNTIFS(#REF!,$D100,#REF!,$CX100)&gt;0,"OK","ONBEKEND")),"ONZEKER")))))</f>
        <v/>
      </c>
      <c r="CZ100" t="str">
        <f t="shared" si="748"/>
        <v/>
      </c>
      <c r="DA100" t="str">
        <f t="shared" si="749"/>
        <v/>
      </c>
      <c r="DB100" t="str">
        <f>IF($DA100="","",IF(OR($EO100="",$EP100=""),"ONZEKER",IF(OR($EL100="",$EM100=""),"ONZEKER",IF(AND($EO100=$EL100+1,$EP100=$EM100),IF(OR(COUNTIF(#REF!,$B100)&gt;0,COUNTIF(#REF!,$B100)=0),"SKIP",IF(COUNTIFS(#REF!,$B100,#REF!,$DA100)&gt;0,"OK","ONBEKEND")),IF(AND($EO100=$EL100,$EP100=$EM100+1),IF(OR(COUNTIF(#REF!,$D100)&gt;0,COUNTIF(#REF!,$D100)=0),"SKIP",IF(COUNTIFS(#REF!,$D100,#REF!,$DA100)&gt;0,"OK","ONBEKEND")),"ONZEKER")))))</f>
        <v/>
      </c>
      <c r="DC100" t="str">
        <f t="shared" si="750"/>
        <v/>
      </c>
      <c r="DD100" t="str">
        <f t="shared" si="751"/>
        <v/>
      </c>
      <c r="DE100" t="str">
        <f>IF($DD100="","",IF(OR($ER100="",$ES100=""),"ONZEKER",IF(OR($EO100="",$EP100=""),"ONZEKER",IF(AND($ER100=$EO100+1,$ES100=$EP100),IF(OR(COUNTIF(#REF!,$B100)&gt;0,COUNTIF(#REF!,$B100)=0),"SKIP",IF(COUNTIFS(#REF!,$B100,#REF!,$DD100)&gt;0,"OK","ONBEKEND")),IF(AND($ER100=$EO100,$ES100=$EP100+1),IF(OR(COUNTIF(#REF!,$D100)&gt;0,COUNTIF(#REF!,$D100)=0),"SKIP",IF(COUNTIFS(#REF!,$D100,#REF!,$DD100)&gt;0,"OK","ONBEKEND")),"ONZEKER")))))</f>
        <v/>
      </c>
      <c r="DF100" t="str">
        <f t="shared" si="752"/>
        <v/>
      </c>
      <c r="DG100" t="str">
        <f t="shared" si="753"/>
        <v/>
      </c>
      <c r="DH100" t="str">
        <f>IF($DG100="","",IF(OR($EU100="",$EV100=""),"ONZEKER",IF(OR($ER100="",$ES100=""),"ONZEKER",IF(AND($EU100=$ER100+1,$EV100=$ES100),IF(OR(COUNTIF(#REF!,$B100)&gt;0,COUNTIF(#REF!,$B100)=0),"SKIP",IF(COUNTIFS(#REF!,$B100,#REF!,$DG100)&gt;0,"OK","ONBEKEND")),IF(AND($EU100=$ER100,$EV100=$ES100+1),IF(OR(COUNTIF(#REF!,$D100)&gt;0,COUNTIF(#REF!,$D100)=0),"SKIP",IF(COUNTIFS(#REF!,$D100,#REF!,$DG100)&gt;0,"OK","ONBEKEND")),"ONZEKER")))))</f>
        <v/>
      </c>
      <c r="DI100" t="str">
        <f t="shared" si="754"/>
        <v/>
      </c>
      <c r="DJ100" t="str">
        <f t="shared" si="755"/>
        <v/>
      </c>
      <c r="DK100" t="str">
        <f>IF($DJ100="","",IF(OR($EX100="",$EY100=""),"ONZEKER",IF(OR($EU100="",$EV100=""),"ONZEKER",IF(AND($EX100=$EU100+1,$EY100=$EV100),IF(OR(COUNTIF(#REF!,$B100)&gt;0,COUNTIF(#REF!,$B100)=0),"SKIP",IF(COUNTIFS(#REF!,$B100,#REF!,$DJ100)&gt;0,"OK","ONBEKEND")),IF(AND($EX100=$EU100,$EY100=$EV100+1),IF(OR(COUNTIF(#REF!,$D100)&gt;0,COUNTIF(#REF!,$D100)=0),"SKIP",IF(COUNTIFS(#REF!,$D100,#REF!,$DJ100)&gt;0,"OK","ONBEKEND")),"ONZEKER")))))</f>
        <v/>
      </c>
      <c r="DL100" t="str">
        <f t="shared" si="756"/>
        <v/>
      </c>
      <c r="DM100" t="str">
        <f t="shared" si="757"/>
        <v/>
      </c>
      <c r="DN100" t="str">
        <f t="shared" si="758"/>
        <v/>
      </c>
      <c r="DO100" t="str">
        <f t="shared" si="759"/>
        <v/>
      </c>
      <c r="DP100" t="str">
        <f t="shared" si="760"/>
        <v/>
      </c>
      <c r="DQ100" t="str">
        <f t="shared" si="761"/>
        <v/>
      </c>
      <c r="DR100" t="str">
        <f t="shared" si="762"/>
        <v/>
      </c>
      <c r="DS100" t="str">
        <f t="shared" si="763"/>
        <v/>
      </c>
      <c r="DT100" t="str">
        <f t="shared" si="764"/>
        <v/>
      </c>
      <c r="DU100" t="str">
        <f t="shared" si="765"/>
        <v/>
      </c>
      <c r="DV100" t="str">
        <f t="shared" si="766"/>
        <v/>
      </c>
      <c r="DW100" t="str">
        <f t="shared" si="767"/>
        <v/>
      </c>
      <c r="DX100" t="str">
        <f t="shared" si="768"/>
        <v/>
      </c>
      <c r="DY100" t="str">
        <f t="shared" si="769"/>
        <v/>
      </c>
      <c r="DZ100" t="str">
        <f t="shared" si="770"/>
        <v/>
      </c>
      <c r="EA100" t="str">
        <f t="shared" si="771"/>
        <v/>
      </c>
      <c r="EB100" t="str">
        <f t="shared" si="772"/>
        <v/>
      </c>
      <c r="EC100" t="str">
        <f t="shared" si="773"/>
        <v/>
      </c>
      <c r="ED100" t="str">
        <f t="shared" si="774"/>
        <v/>
      </c>
      <c r="EE100" t="str">
        <f t="shared" si="775"/>
        <v/>
      </c>
      <c r="EF100" t="str">
        <f t="shared" si="776"/>
        <v/>
      </c>
      <c r="EG100" t="str">
        <f t="shared" si="777"/>
        <v/>
      </c>
      <c r="EH100" t="str">
        <f t="shared" si="778"/>
        <v/>
      </c>
      <c r="EI100" t="str">
        <f t="shared" si="779"/>
        <v/>
      </c>
      <c r="EJ100" t="str">
        <f t="shared" si="780"/>
        <v/>
      </c>
      <c r="EK100" t="str">
        <f t="shared" si="781"/>
        <v/>
      </c>
      <c r="EL100" t="str">
        <f t="shared" si="782"/>
        <v/>
      </c>
      <c r="EM100" t="str">
        <f t="shared" si="783"/>
        <v/>
      </c>
      <c r="EN100" t="str">
        <f t="shared" si="784"/>
        <v/>
      </c>
      <c r="EO100" t="str">
        <f t="shared" si="785"/>
        <v/>
      </c>
      <c r="EP100" t="str">
        <f t="shared" si="786"/>
        <v/>
      </c>
      <c r="EQ100" t="str">
        <f t="shared" si="787"/>
        <v/>
      </c>
      <c r="ER100" t="str">
        <f t="shared" si="788"/>
        <v/>
      </c>
      <c r="ES100" t="str">
        <f t="shared" si="789"/>
        <v/>
      </c>
      <c r="ET100" t="str">
        <f t="shared" si="790"/>
        <v/>
      </c>
      <c r="EU100" t="str">
        <f t="shared" si="791"/>
        <v/>
      </c>
      <c r="EV100" t="str">
        <f t="shared" si="792"/>
        <v/>
      </c>
      <c r="EW100" t="str">
        <f t="shared" si="793"/>
        <v/>
      </c>
      <c r="EX100" t="str">
        <f t="shared" si="794"/>
        <v/>
      </c>
      <c r="EY100" t="str">
        <f t="shared" si="795"/>
        <v/>
      </c>
    </row>
    <row r="101" spans="1:155" ht="13.9" customHeight="1" x14ac:dyDescent="0.25">
      <c r="A101" s="7"/>
      <c r="B101" s="17"/>
      <c r="C101" s="8"/>
      <c r="D101" s="17"/>
      <c r="E101" s="8"/>
      <c r="F101" s="18">
        <v>0</v>
      </c>
      <c r="G101" s="7" t="s">
        <v>147</v>
      </c>
      <c r="H101" s="18">
        <v>0</v>
      </c>
      <c r="I101" s="19">
        <v>0</v>
      </c>
      <c r="J101" s="7" t="s">
        <v>147</v>
      </c>
      <c r="K101" s="19">
        <v>0</v>
      </c>
      <c r="L101" s="9"/>
      <c r="M101" s="3" t="str">
        <f>IF($L101="","",IF($L101="DOELPUNTENMAKERS","",IF(AND(COUNTIF(#REF!,$B101)=0,COUNTIF(#REF!,$D101)=0),"OK",IF($O101&gt;20,"LET OP: meer dan 20 items (controle onvolledig)",IF((COUNTIF($R101:$AS101,"ONZEKER")+COUNTIF($CJ101:$DK101,"ONZEKER"))&gt;0,"LET OP: scoreverloop onduidelijk (controle beperkt)",IF((IF($AT101&lt;&gt;"",$AT101&amp;", ","")&amp;IF($AU101&lt;&gt;"",$AU101&amp;", ","")&amp;IF($AV101&lt;&gt;"",$AV101&amp;", ","")&amp;IF($AW101&lt;&gt;"",$AW101&amp;", ","")&amp;IF($AX101&lt;&gt;"",$AX101&amp;", ","")&amp;IF($AY101&lt;&gt;"",$AY101&amp;", ","")&amp;IF($AZ101&lt;&gt;"",$AZ101&amp;", ","")&amp;IF($BA101&lt;&gt;"",$BA101&amp;", ","")&amp;IF($BB101&lt;&gt;"",$BB101&amp;", ","")&amp;IF($BC101&lt;&gt;"",$BC101&amp;", ","")&amp;IF($DL101&lt;&gt;"",$DL101&amp;", ","")&amp;IF($DM101&lt;&gt;"",$DM101&amp;", ","")&amp;IF($DN101&lt;&gt;"",$DN101&amp;", ","")&amp;IF($DO101&lt;&gt;"",$DO101&amp;", ","")&amp;IF($DP101&lt;&gt;"",$DP101&amp;", ","")&amp;IF($DQ101&lt;&gt;"",$DQ101&amp;", ","")&amp;IF($DR101&lt;&gt;"",$DR101&amp;", ","")&amp;IF($DS101&lt;&gt;"",$DS101&amp;", ","")&amp;IF($DT101&lt;&gt;"",$DT101&amp;", ","")&amp;IF($DU101&lt;&gt;"",$DU101&amp;", ",""))="","OK","Onbekend: "&amp;LEFT((IF($AT101&lt;&gt;"",$AT101&amp;", ","")&amp;IF($AU101&lt;&gt;"",$AU101&amp;", ","")&amp;IF($AV101&lt;&gt;"",$AV101&amp;", ","")&amp;IF($AW101&lt;&gt;"",$AW101&amp;", ","")&amp;IF($AX101&lt;&gt;"",$AX101&amp;", ","")&amp;IF($AY101&lt;&gt;"",$AY101&amp;", ","")&amp;IF($AZ101&lt;&gt;"",$AZ101&amp;", ","")&amp;IF($BA101&lt;&gt;"",$BA101&amp;", ","")&amp;IF($BB101&lt;&gt;"",$BB101&amp;", ","")&amp;IF($BC101&lt;&gt;"",$BC101&amp;", ","")&amp;IF($DL101&lt;&gt;"",$DL101&amp;", ","")&amp;IF($DM101&lt;&gt;"",$DM101&amp;", ","")&amp;IF($DN101&lt;&gt;"",$DN101&amp;", ","")&amp;IF($DO101&lt;&gt;"",$DO101&amp;", ","")&amp;IF($DP101&lt;&gt;"",$DP101&amp;", ","")&amp;IF($DQ101&lt;&gt;"",$DQ101&amp;", ","")&amp;IF($DR101&lt;&gt;"",$DR101&amp;", ","")&amp;IF($DS101&lt;&gt;"",$DS101&amp;", ","")&amp;IF($DT101&lt;&gt;"",$DT101&amp;", ","")&amp;IF($DU101&lt;&gt;"",$DU101&amp;", ","")),LEN((IF($AT101&lt;&gt;"",$AT101&amp;", ","")&amp;IF($AU101&lt;&gt;"",$AU101&amp;", ","")&amp;IF($AV101&lt;&gt;"",$AV101&amp;", ","")&amp;IF($AW101&lt;&gt;"",$AW101&amp;", ","")&amp;IF($AX101&lt;&gt;"",$AX101&amp;", ","")&amp;IF($AY101&lt;&gt;"",$AY101&amp;", ","")&amp;IF($AZ101&lt;&gt;"",$AZ101&amp;", ","")&amp;IF($BA101&lt;&gt;"",$BA101&amp;", ","")&amp;IF($BB101&lt;&gt;"",$BB101&amp;", ","")&amp;IF($BC101&lt;&gt;"",$BC101&amp;", ","")&amp;IF($DL101&lt;&gt;"",$DL101&amp;", ","")&amp;IF($DM101&lt;&gt;"",$DM101&amp;", ","")&amp;IF($DN101&lt;&gt;"",$DN101&amp;", ","")&amp;IF($DO101&lt;&gt;"",$DO101&amp;", ","")&amp;IF($DP101&lt;&gt;"",$DP101&amp;", ","")&amp;IF($DQ101&lt;&gt;"",$DQ101&amp;", ","")&amp;IF($DR101&lt;&gt;"",$DR101&amp;", ","")&amp;IF($DS101&lt;&gt;"",$DS101&amp;", ","")&amp;IF($DT101&lt;&gt;"",$DT101&amp;", ","")&amp;IF($DU101&lt;&gt;"",$DU101&amp;", ","")))-2)))))))</f>
        <v/>
      </c>
      <c r="N101" t="str">
        <f t="shared" si="704"/>
        <v/>
      </c>
      <c r="O101" t="str">
        <f t="shared" si="705"/>
        <v/>
      </c>
      <c r="P101" t="str">
        <f t="shared" si="706"/>
        <v/>
      </c>
      <c r="Q101" t="str">
        <f t="shared" si="707"/>
        <v/>
      </c>
      <c r="R101" t="str">
        <f>IF($Q101="","",IF(OR($BE101="",$BF101=""),"ONZEKER",IF(AND($BE101=0+1,$BF101=0),IF(OR(COUNTIF(#REF!,$B101)&gt;0,COUNTIF(#REF!,$B101)=0),"SKIP",IF(COUNTIFS(#REF!,$B101,#REF!,$Q101)&gt;0,"OK","ONBEKEND")),IF(AND($BE101=0,$BF101=0+1),IF(OR(COUNTIF(#REF!,$D101)&gt;0,COUNTIF(#REF!,$D101)=0),"SKIP",IF(COUNTIFS(#REF!,$D101,#REF!,$Q101)&gt;0,"OK","ONBEKEND")),"ONZEKER"))))</f>
        <v/>
      </c>
      <c r="S101" t="str">
        <f t="shared" si="708"/>
        <v/>
      </c>
      <c r="T101" t="str">
        <f t="shared" si="709"/>
        <v/>
      </c>
      <c r="U101" t="str">
        <f>IF($T101="","",IF(OR($BH101="",$BI101=""),"ONZEKER",IF(OR($BE101="",$BF101=""),"ONZEKER",IF(AND($BH101=$BE101+1,$BI101=$BF101),IF(OR(COUNTIF(#REF!,$B101)&gt;0,COUNTIF(#REF!,$B101)=0),"SKIP",IF(COUNTIFS(#REF!,$B101,#REF!,$T101)&gt;0,"OK","ONBEKEND")),IF(AND($BH101=$BE101,$BI101=$BF101+1),IF(OR(COUNTIF(#REF!,$D101)&gt;0,COUNTIF(#REF!,$D101)=0),"SKIP",IF(COUNTIFS(#REF!,$D101,#REF!,$T101)&gt;0,"OK","ONBEKEND")),"ONZEKER")))))</f>
        <v/>
      </c>
      <c r="V101" t="str">
        <f t="shared" si="710"/>
        <v/>
      </c>
      <c r="W101" t="str">
        <f t="shared" si="711"/>
        <v/>
      </c>
      <c r="X101" t="str">
        <f>IF($W101="","",IF(OR($BK101="",$BL101=""),"ONZEKER",IF(OR($BH101="",$BI101=""),"ONZEKER",IF(AND($BK101=$BH101+1,$BL101=$BI101),IF(OR(COUNTIF(#REF!,$B101)&gt;0,COUNTIF(#REF!,$B101)=0),"SKIP",IF(COUNTIFS(#REF!,$B101,#REF!,$W101)&gt;0,"OK","ONBEKEND")),IF(AND($BK101=$BH101,$BL101=$BI101+1),IF(OR(COUNTIF(#REF!,$D101)&gt;0,COUNTIF(#REF!,$D101)=0),"SKIP",IF(COUNTIFS(#REF!,$D101,#REF!,$W101)&gt;0,"OK","ONBEKEND")),"ONZEKER")))))</f>
        <v/>
      </c>
      <c r="Y101" t="str">
        <f t="shared" si="712"/>
        <v/>
      </c>
      <c r="Z101" t="str">
        <f t="shared" si="713"/>
        <v/>
      </c>
      <c r="AA101" t="str">
        <f>IF($Z101="","",IF(OR($BN101="",$BO101=""),"ONZEKER",IF(OR($BK101="",$BL101=""),"ONZEKER",IF(AND($BN101=$BK101+1,$BO101=$BL101),IF(OR(COUNTIF(#REF!,$B101)&gt;0,COUNTIF(#REF!,$B101)=0),"SKIP",IF(COUNTIFS(#REF!,$B101,#REF!,$Z101)&gt;0,"OK","ONBEKEND")),IF(AND($BN101=$BK101,$BO101=$BL101+1),IF(OR(COUNTIF(#REF!,$D101)&gt;0,COUNTIF(#REF!,$D101)=0),"SKIP",IF(COUNTIFS(#REF!,$D101,#REF!,$Z101)&gt;0,"OK","ONBEKEND")),"ONZEKER")))))</f>
        <v/>
      </c>
      <c r="AB101" t="str">
        <f t="shared" si="714"/>
        <v/>
      </c>
      <c r="AC101" t="str">
        <f t="shared" si="715"/>
        <v/>
      </c>
      <c r="AD101" t="str">
        <f>IF($AC101="","",IF(OR($BQ101="",$BR101=""),"ONZEKER",IF(OR($BN101="",$BO101=""),"ONZEKER",IF(AND($BQ101=$BN101+1,$BR101=$BO101),IF(OR(COUNTIF(#REF!,$B101)&gt;0,COUNTIF(#REF!,$B101)=0),"SKIP",IF(COUNTIFS(#REF!,$B101,#REF!,$AC101)&gt;0,"OK","ONBEKEND")),IF(AND($BQ101=$BN101,$BR101=$BO101+1),IF(OR(COUNTIF(#REF!,$D101)&gt;0,COUNTIF(#REF!,$D101)=0),"SKIP",IF(COUNTIFS(#REF!,$D101,#REF!,$AC101)&gt;0,"OK","ONBEKEND")),"ONZEKER")))))</f>
        <v/>
      </c>
      <c r="AE101" t="str">
        <f t="shared" si="716"/>
        <v/>
      </c>
      <c r="AF101" t="str">
        <f t="shared" si="717"/>
        <v/>
      </c>
      <c r="AG101" t="str">
        <f>IF($AF101="","",IF(OR($BT101="",$BU101=""),"ONZEKER",IF(OR($BQ101="",$BR101=""),"ONZEKER",IF(AND($BT101=$BQ101+1,$BU101=$BR101),IF(OR(COUNTIF(#REF!,$B101)&gt;0,COUNTIF(#REF!,$B101)=0),"SKIP",IF(COUNTIFS(#REF!,$B101,#REF!,$AF101)&gt;0,"OK","ONBEKEND")),IF(AND($BT101=$BQ101,$BU101=$BR101+1),IF(OR(COUNTIF(#REF!,$D101)&gt;0,COUNTIF(#REF!,$D101)=0),"SKIP",IF(COUNTIFS(#REF!,$D101,#REF!,$AF101)&gt;0,"OK","ONBEKEND")),"ONZEKER")))))</f>
        <v/>
      </c>
      <c r="AH101" t="str">
        <f t="shared" si="718"/>
        <v/>
      </c>
      <c r="AI101" t="str">
        <f t="shared" si="719"/>
        <v/>
      </c>
      <c r="AJ101" t="str">
        <f>IF($AI101="","",IF(OR($BW101="",$BX101=""),"ONZEKER",IF(OR($BT101="",$BU101=""),"ONZEKER",IF(AND($BW101=$BT101+1,$BX101=$BU101),IF(OR(COUNTIF(#REF!,$B101)&gt;0,COUNTIF(#REF!,$B101)=0),"SKIP",IF(COUNTIFS(#REF!,$B101,#REF!,$AI101)&gt;0,"OK","ONBEKEND")),IF(AND($BW101=$BT101,$BX101=$BU101+1),IF(OR(COUNTIF(#REF!,$D101)&gt;0,COUNTIF(#REF!,$D101)=0),"SKIP",IF(COUNTIFS(#REF!,$D101,#REF!,$AI101)&gt;0,"OK","ONBEKEND")),"ONZEKER")))))</f>
        <v/>
      </c>
      <c r="AK101" t="str">
        <f t="shared" si="720"/>
        <v/>
      </c>
      <c r="AL101" t="str">
        <f t="shared" si="721"/>
        <v/>
      </c>
      <c r="AM101" t="str">
        <f>IF($AL101="","",IF(OR($BZ101="",$CA101=""),"ONZEKER",IF(OR($BW101="",$BX101=""),"ONZEKER",IF(AND($BZ101=$BW101+1,$CA101=$BX101),IF(OR(COUNTIF(#REF!,$B101)&gt;0,COUNTIF(#REF!,$B101)=0),"SKIP",IF(COUNTIFS(#REF!,$B101,#REF!,$AL101)&gt;0,"OK","ONBEKEND")),IF(AND($BZ101=$BW101,$CA101=$BX101+1),IF(OR(COUNTIF(#REF!,$D101)&gt;0,COUNTIF(#REF!,$D101)=0),"SKIP",IF(COUNTIFS(#REF!,$D101,#REF!,$AL101)&gt;0,"OK","ONBEKEND")),"ONZEKER")))))</f>
        <v/>
      </c>
      <c r="AN101" t="str">
        <f t="shared" si="722"/>
        <v/>
      </c>
      <c r="AO101" t="str">
        <f t="shared" si="723"/>
        <v/>
      </c>
      <c r="AP101" t="str">
        <f>IF($AO101="","",IF(OR($CC101="",$CD101=""),"ONZEKER",IF(OR($BZ101="",$CA101=""),"ONZEKER",IF(AND($CC101=$BZ101+1,$CD101=$CA101),IF(OR(COUNTIF(#REF!,$B101)&gt;0,COUNTIF(#REF!,$B101)=0),"SKIP",IF(COUNTIFS(#REF!,$B101,#REF!,$AO101)&gt;0,"OK","ONBEKEND")),IF(AND($CC101=$BZ101,$CD101=$CA101+1),IF(OR(COUNTIF(#REF!,$D101)&gt;0,COUNTIF(#REF!,$D101)=0),"SKIP",IF(COUNTIFS(#REF!,$D101,#REF!,$AO101)&gt;0,"OK","ONBEKEND")),"ONZEKER")))))</f>
        <v/>
      </c>
      <c r="AQ101" t="str">
        <f t="shared" si="724"/>
        <v/>
      </c>
      <c r="AR101" t="str">
        <f t="shared" si="725"/>
        <v/>
      </c>
      <c r="AS101" t="str">
        <f>IF($AR101="","",IF(OR($CF101="",$CG101=""),"ONZEKER",IF(OR($CC101="",$CD101=""),"ONZEKER",IF(AND($CF101=$CC101+1,$CG101=$CD101),IF(OR(COUNTIF(#REF!,$B101)&gt;0,COUNTIF(#REF!,$B101)=0),"SKIP",IF(COUNTIFS(#REF!,$B101,#REF!,$AR101)&gt;0,"OK","ONBEKEND")),IF(AND($CF101=$CC101,$CG101=$CD101+1),IF(OR(COUNTIF(#REF!,$D101)&gt;0,COUNTIF(#REF!,$D101)=0),"SKIP",IF(COUNTIFS(#REF!,$D101,#REF!,$AR101)&gt;0,"OK","ONBEKEND")),"ONZEKER")))))</f>
        <v/>
      </c>
      <c r="AT101" t="str">
        <f t="shared" si="726"/>
        <v/>
      </c>
      <c r="AU101" t="str">
        <f t="shared" si="727"/>
        <v/>
      </c>
      <c r="AV101" t="str">
        <f t="shared" si="728"/>
        <v/>
      </c>
      <c r="AW101" t="str">
        <f t="shared" si="729"/>
        <v/>
      </c>
      <c r="AX101" t="str">
        <f t="shared" si="730"/>
        <v/>
      </c>
      <c r="AY101" t="str">
        <f t="shared" si="731"/>
        <v/>
      </c>
      <c r="AZ101" t="str">
        <f t="shared" si="732"/>
        <v/>
      </c>
      <c r="BA101" t="str">
        <f t="shared" si="733"/>
        <v/>
      </c>
      <c r="BB101" t="str">
        <f t="shared" si="734"/>
        <v/>
      </c>
      <c r="BC101" t="str">
        <f t="shared" si="735"/>
        <v/>
      </c>
      <c r="BD101" t="str">
        <f t="shared" si="490"/>
        <v/>
      </c>
      <c r="BE101" t="str">
        <f t="shared" si="491"/>
        <v/>
      </c>
      <c r="BF101" t="str">
        <f t="shared" si="492"/>
        <v/>
      </c>
      <c r="BG101" t="str">
        <f t="shared" si="493"/>
        <v/>
      </c>
      <c r="BH101" t="str">
        <f t="shared" si="494"/>
        <v/>
      </c>
      <c r="BI101" t="str">
        <f t="shared" si="495"/>
        <v/>
      </c>
      <c r="BJ101" t="str">
        <f t="shared" si="496"/>
        <v/>
      </c>
      <c r="BK101" t="str">
        <f t="shared" si="497"/>
        <v/>
      </c>
      <c r="BL101" t="str">
        <f t="shared" si="498"/>
        <v/>
      </c>
      <c r="BM101" t="str">
        <f t="shared" si="499"/>
        <v/>
      </c>
      <c r="BN101" t="str">
        <f t="shared" si="500"/>
        <v/>
      </c>
      <c r="BO101" t="str">
        <f t="shared" si="501"/>
        <v/>
      </c>
      <c r="BP101" t="str">
        <f t="shared" si="502"/>
        <v/>
      </c>
      <c r="BQ101" t="str">
        <f t="shared" si="503"/>
        <v/>
      </c>
      <c r="BR101" t="str">
        <f t="shared" si="504"/>
        <v/>
      </c>
      <c r="BS101" t="str">
        <f t="shared" si="505"/>
        <v/>
      </c>
      <c r="BT101" t="str">
        <f t="shared" si="506"/>
        <v/>
      </c>
      <c r="BU101" t="str">
        <f t="shared" si="507"/>
        <v/>
      </c>
      <c r="BV101" t="str">
        <f t="shared" si="508"/>
        <v/>
      </c>
      <c r="BW101" t="str">
        <f t="shared" si="509"/>
        <v/>
      </c>
      <c r="BX101" t="str">
        <f t="shared" si="510"/>
        <v/>
      </c>
      <c r="BY101" t="str">
        <f t="shared" si="511"/>
        <v/>
      </c>
      <c r="BZ101" t="str">
        <f t="shared" si="512"/>
        <v/>
      </c>
      <c r="CA101" t="str">
        <f t="shared" si="513"/>
        <v/>
      </c>
      <c r="CB101" t="str">
        <f t="shared" si="514"/>
        <v/>
      </c>
      <c r="CC101" t="str">
        <f t="shared" si="515"/>
        <v/>
      </c>
      <c r="CD101" t="str">
        <f t="shared" si="516"/>
        <v/>
      </c>
      <c r="CE101" t="str">
        <f t="shared" si="517"/>
        <v/>
      </c>
      <c r="CF101" t="str">
        <f t="shared" si="518"/>
        <v/>
      </c>
      <c r="CG101" t="str">
        <f t="shared" si="519"/>
        <v/>
      </c>
      <c r="CH101" t="str">
        <f t="shared" si="736"/>
        <v/>
      </c>
      <c r="CI101" t="str">
        <f t="shared" si="737"/>
        <v/>
      </c>
      <c r="CJ101" t="str">
        <f>IF($CI101="","",IF(OR($DW101="",$DX101=""),"ONZEKER",IF(OR($CF101="",$CG101=""),"ONZEKER",IF(AND($DW101=$CF101+1,$DX101=$CG101),IF(OR(COUNTIF(#REF!,$B101)&gt;0,COUNTIF(#REF!,$B101)=0),"SKIP",IF(COUNTIFS(#REF!,$B101,#REF!,$CI101)&gt;0,"OK","ONBEKEND")),IF(AND($DW101=$CF101,$DX101=$CG101+1),IF(OR(COUNTIF(#REF!,$D101)&gt;0,COUNTIF(#REF!,$D101)=0),"SKIP",IF(COUNTIFS(#REF!,$D101,#REF!,$CI101)&gt;0,"OK","ONBEKEND")),"ONZEKER")))))</f>
        <v/>
      </c>
      <c r="CK101" t="str">
        <f t="shared" si="738"/>
        <v/>
      </c>
      <c r="CL101" t="str">
        <f t="shared" si="739"/>
        <v/>
      </c>
      <c r="CM101" t="str">
        <f>IF($CL101="","",IF(OR($DZ101="",$EA101=""),"ONZEKER",IF(OR($DW101="",$DX101=""),"ONZEKER",IF(AND($DZ101=$DW101+1,$EA101=$DX101),IF(OR(COUNTIF(#REF!,$B101)&gt;0,COUNTIF(#REF!,$B101)=0),"SKIP",IF(COUNTIFS(#REF!,$B101,#REF!,$CL101)&gt;0,"OK","ONBEKEND")),IF(AND($DZ101=$DW101,$EA101=$DX101+1),IF(OR(COUNTIF(#REF!,$D101)&gt;0,COUNTIF(#REF!,$D101)=0),"SKIP",IF(COUNTIFS(#REF!,$D101,#REF!,$CL101)&gt;0,"OK","ONBEKEND")),"ONZEKER")))))</f>
        <v/>
      </c>
      <c r="CN101" t="str">
        <f t="shared" si="740"/>
        <v/>
      </c>
      <c r="CO101" t="str">
        <f t="shared" si="741"/>
        <v/>
      </c>
      <c r="CP101" t="str">
        <f>IF($CO101="","",IF(OR($EC101="",$ED101=""),"ONZEKER",IF(OR($DZ101="",$EA101=""),"ONZEKER",IF(AND($EC101=$DZ101+1,$ED101=$EA101),IF(OR(COUNTIF(#REF!,$B101)&gt;0,COUNTIF(#REF!,$B101)=0),"SKIP",IF(COUNTIFS(#REF!,$B101,#REF!,$CO101)&gt;0,"OK","ONBEKEND")),IF(AND($EC101=$DZ101,$ED101=$EA101+1),IF(OR(COUNTIF(#REF!,$D101)&gt;0,COUNTIF(#REF!,$D101)=0),"SKIP",IF(COUNTIFS(#REF!,$D101,#REF!,$CO101)&gt;0,"OK","ONBEKEND")),"ONZEKER")))))</f>
        <v/>
      </c>
      <c r="CQ101" t="str">
        <f t="shared" si="742"/>
        <v/>
      </c>
      <c r="CR101" t="str">
        <f t="shared" si="743"/>
        <v/>
      </c>
      <c r="CS101" t="str">
        <f>IF($CR101="","",IF(OR($EF101="",$EG101=""),"ONZEKER",IF(OR($EC101="",$ED101=""),"ONZEKER",IF(AND($EF101=$EC101+1,$EG101=$ED101),IF(OR(COUNTIF(#REF!,$B101)&gt;0,COUNTIF(#REF!,$B101)=0),"SKIP",IF(COUNTIFS(#REF!,$B101,#REF!,$CR101)&gt;0,"OK","ONBEKEND")),IF(AND($EF101=$EC101,$EG101=$ED101+1),IF(OR(COUNTIF(#REF!,$D101)&gt;0,COUNTIF(#REF!,$D101)=0),"SKIP",IF(COUNTIFS(#REF!,$D101,#REF!,$CR101)&gt;0,"OK","ONBEKEND")),"ONZEKER")))))</f>
        <v/>
      </c>
      <c r="CT101" t="str">
        <f t="shared" si="744"/>
        <v/>
      </c>
      <c r="CU101" t="str">
        <f t="shared" si="745"/>
        <v/>
      </c>
      <c r="CV101" t="str">
        <f>IF($CU101="","",IF(OR($EI101="",$EJ101=""),"ONZEKER",IF(OR($EF101="",$EG101=""),"ONZEKER",IF(AND($EI101=$EF101+1,$EJ101=$EG101),IF(OR(COUNTIF(#REF!,$B101)&gt;0,COUNTIF(#REF!,$B101)=0),"SKIP",IF(COUNTIFS(#REF!,$B101,#REF!,$CU101)&gt;0,"OK","ONBEKEND")),IF(AND($EI101=$EF101,$EJ101=$EG101+1),IF(OR(COUNTIF(#REF!,$D101)&gt;0,COUNTIF(#REF!,$D101)=0),"SKIP",IF(COUNTIFS(#REF!,$D101,#REF!,$CU101)&gt;0,"OK","ONBEKEND")),"ONZEKER")))))</f>
        <v/>
      </c>
      <c r="CW101" t="str">
        <f t="shared" si="746"/>
        <v/>
      </c>
      <c r="CX101" t="str">
        <f t="shared" si="747"/>
        <v/>
      </c>
      <c r="CY101" t="str">
        <f>IF($CX101="","",IF(OR($EL101="",$EM101=""),"ONZEKER",IF(OR($EI101="",$EJ101=""),"ONZEKER",IF(AND($EL101=$EI101+1,$EM101=$EJ101),IF(OR(COUNTIF(#REF!,$B101)&gt;0,COUNTIF(#REF!,$B101)=0),"SKIP",IF(COUNTIFS(#REF!,$B101,#REF!,$CX101)&gt;0,"OK","ONBEKEND")),IF(AND($EL101=$EI101,$EM101=$EJ101+1),IF(OR(COUNTIF(#REF!,$D101)&gt;0,COUNTIF(#REF!,$D101)=0),"SKIP",IF(COUNTIFS(#REF!,$D101,#REF!,$CX101)&gt;0,"OK","ONBEKEND")),"ONZEKER")))))</f>
        <v/>
      </c>
      <c r="CZ101" t="str">
        <f t="shared" si="748"/>
        <v/>
      </c>
      <c r="DA101" t="str">
        <f t="shared" si="749"/>
        <v/>
      </c>
      <c r="DB101" t="str">
        <f>IF($DA101="","",IF(OR($EO101="",$EP101=""),"ONZEKER",IF(OR($EL101="",$EM101=""),"ONZEKER",IF(AND($EO101=$EL101+1,$EP101=$EM101),IF(OR(COUNTIF(#REF!,$B101)&gt;0,COUNTIF(#REF!,$B101)=0),"SKIP",IF(COUNTIFS(#REF!,$B101,#REF!,$DA101)&gt;0,"OK","ONBEKEND")),IF(AND($EO101=$EL101,$EP101=$EM101+1),IF(OR(COUNTIF(#REF!,$D101)&gt;0,COUNTIF(#REF!,$D101)=0),"SKIP",IF(COUNTIFS(#REF!,$D101,#REF!,$DA101)&gt;0,"OK","ONBEKEND")),"ONZEKER")))))</f>
        <v/>
      </c>
      <c r="DC101" t="str">
        <f t="shared" si="750"/>
        <v/>
      </c>
      <c r="DD101" t="str">
        <f t="shared" si="751"/>
        <v/>
      </c>
      <c r="DE101" t="str">
        <f>IF($DD101="","",IF(OR($ER101="",$ES101=""),"ONZEKER",IF(OR($EO101="",$EP101=""),"ONZEKER",IF(AND($ER101=$EO101+1,$ES101=$EP101),IF(OR(COUNTIF(#REF!,$B101)&gt;0,COUNTIF(#REF!,$B101)=0),"SKIP",IF(COUNTIFS(#REF!,$B101,#REF!,$DD101)&gt;0,"OK","ONBEKEND")),IF(AND($ER101=$EO101,$ES101=$EP101+1),IF(OR(COUNTIF(#REF!,$D101)&gt;0,COUNTIF(#REF!,$D101)=0),"SKIP",IF(COUNTIFS(#REF!,$D101,#REF!,$DD101)&gt;0,"OK","ONBEKEND")),"ONZEKER")))))</f>
        <v/>
      </c>
      <c r="DF101" t="str">
        <f t="shared" si="752"/>
        <v/>
      </c>
      <c r="DG101" t="str">
        <f t="shared" si="753"/>
        <v/>
      </c>
      <c r="DH101" t="str">
        <f>IF($DG101="","",IF(OR($EU101="",$EV101=""),"ONZEKER",IF(OR($ER101="",$ES101=""),"ONZEKER",IF(AND($EU101=$ER101+1,$EV101=$ES101),IF(OR(COUNTIF(#REF!,$B101)&gt;0,COUNTIF(#REF!,$B101)=0),"SKIP",IF(COUNTIFS(#REF!,$B101,#REF!,$DG101)&gt;0,"OK","ONBEKEND")),IF(AND($EU101=$ER101,$EV101=$ES101+1),IF(OR(COUNTIF(#REF!,$D101)&gt;0,COUNTIF(#REF!,$D101)=0),"SKIP",IF(COUNTIFS(#REF!,$D101,#REF!,$DG101)&gt;0,"OK","ONBEKEND")),"ONZEKER")))))</f>
        <v/>
      </c>
      <c r="DI101" t="str">
        <f t="shared" si="754"/>
        <v/>
      </c>
      <c r="DJ101" t="str">
        <f t="shared" si="755"/>
        <v/>
      </c>
      <c r="DK101" t="str">
        <f>IF($DJ101="","",IF(OR($EX101="",$EY101=""),"ONZEKER",IF(OR($EU101="",$EV101=""),"ONZEKER",IF(AND($EX101=$EU101+1,$EY101=$EV101),IF(OR(COUNTIF(#REF!,$B101)&gt;0,COUNTIF(#REF!,$B101)=0),"SKIP",IF(COUNTIFS(#REF!,$B101,#REF!,$DJ101)&gt;0,"OK","ONBEKEND")),IF(AND($EX101=$EU101,$EY101=$EV101+1),IF(OR(COUNTIF(#REF!,$D101)&gt;0,COUNTIF(#REF!,$D101)=0),"SKIP",IF(COUNTIFS(#REF!,$D101,#REF!,$DJ101)&gt;0,"OK","ONBEKEND")),"ONZEKER")))))</f>
        <v/>
      </c>
      <c r="DL101" t="str">
        <f t="shared" si="756"/>
        <v/>
      </c>
      <c r="DM101" t="str">
        <f t="shared" si="757"/>
        <v/>
      </c>
      <c r="DN101" t="str">
        <f t="shared" si="758"/>
        <v/>
      </c>
      <c r="DO101" t="str">
        <f t="shared" si="759"/>
        <v/>
      </c>
      <c r="DP101" t="str">
        <f t="shared" si="760"/>
        <v/>
      </c>
      <c r="DQ101" t="str">
        <f t="shared" si="761"/>
        <v/>
      </c>
      <c r="DR101" t="str">
        <f t="shared" si="762"/>
        <v/>
      </c>
      <c r="DS101" t="str">
        <f t="shared" si="763"/>
        <v/>
      </c>
      <c r="DT101" t="str">
        <f t="shared" si="764"/>
        <v/>
      </c>
      <c r="DU101" t="str">
        <f t="shared" si="765"/>
        <v/>
      </c>
      <c r="DV101" t="str">
        <f t="shared" si="766"/>
        <v/>
      </c>
      <c r="DW101" t="str">
        <f t="shared" si="767"/>
        <v/>
      </c>
      <c r="DX101" t="str">
        <f t="shared" si="768"/>
        <v/>
      </c>
      <c r="DY101" t="str">
        <f t="shared" si="769"/>
        <v/>
      </c>
      <c r="DZ101" t="str">
        <f t="shared" si="770"/>
        <v/>
      </c>
      <c r="EA101" t="str">
        <f t="shared" si="771"/>
        <v/>
      </c>
      <c r="EB101" t="str">
        <f t="shared" si="772"/>
        <v/>
      </c>
      <c r="EC101" t="str">
        <f t="shared" si="773"/>
        <v/>
      </c>
      <c r="ED101" t="str">
        <f t="shared" si="774"/>
        <v/>
      </c>
      <c r="EE101" t="str">
        <f t="shared" si="775"/>
        <v/>
      </c>
      <c r="EF101" t="str">
        <f t="shared" si="776"/>
        <v/>
      </c>
      <c r="EG101" t="str">
        <f t="shared" si="777"/>
        <v/>
      </c>
      <c r="EH101" t="str">
        <f t="shared" si="778"/>
        <v/>
      </c>
      <c r="EI101" t="str">
        <f t="shared" si="779"/>
        <v/>
      </c>
      <c r="EJ101" t="str">
        <f t="shared" si="780"/>
        <v/>
      </c>
      <c r="EK101" t="str">
        <f t="shared" si="781"/>
        <v/>
      </c>
      <c r="EL101" t="str">
        <f t="shared" si="782"/>
        <v/>
      </c>
      <c r="EM101" t="str">
        <f t="shared" si="783"/>
        <v/>
      </c>
      <c r="EN101" t="str">
        <f t="shared" si="784"/>
        <v/>
      </c>
      <c r="EO101" t="str">
        <f t="shared" si="785"/>
        <v/>
      </c>
      <c r="EP101" t="str">
        <f t="shared" si="786"/>
        <v/>
      </c>
      <c r="EQ101" t="str">
        <f t="shared" si="787"/>
        <v/>
      </c>
      <c r="ER101" t="str">
        <f t="shared" si="788"/>
        <v/>
      </c>
      <c r="ES101" t="str">
        <f t="shared" si="789"/>
        <v/>
      </c>
      <c r="ET101" t="str">
        <f t="shared" si="790"/>
        <v/>
      </c>
      <c r="EU101" t="str">
        <f t="shared" si="791"/>
        <v/>
      </c>
      <c r="EV101" t="str">
        <f t="shared" si="792"/>
        <v/>
      </c>
      <c r="EW101" t="str">
        <f t="shared" si="793"/>
        <v/>
      </c>
      <c r="EX101" t="str">
        <f t="shared" si="794"/>
        <v/>
      </c>
      <c r="EY101" t="str">
        <f t="shared" si="795"/>
        <v/>
      </c>
    </row>
    <row r="102" spans="1:155" ht="13.9" customHeight="1" x14ac:dyDescent="0.25">
      <c r="A102" s="7"/>
      <c r="B102" s="17"/>
      <c r="C102" s="8"/>
      <c r="D102" s="17"/>
      <c r="E102" s="8"/>
      <c r="F102" s="18">
        <v>0</v>
      </c>
      <c r="G102" s="7" t="s">
        <v>147</v>
      </c>
      <c r="H102" s="18">
        <v>0</v>
      </c>
      <c r="I102" s="19">
        <v>0</v>
      </c>
      <c r="J102" s="7" t="s">
        <v>147</v>
      </c>
      <c r="K102" s="19">
        <v>0</v>
      </c>
      <c r="L102" s="9"/>
      <c r="M102" s="3" t="str">
        <f>IF($L102="","",IF($L102="DOELPUNTENMAKERS","",IF(AND(COUNTIF(#REF!,$B102)=0,COUNTIF(#REF!,$D102)=0),"OK",IF($O102&gt;20,"LET OP: meer dan 20 items (controle onvolledig)",IF((COUNTIF($R102:$AS102,"ONZEKER")+COUNTIF($CJ102:$DK102,"ONZEKER"))&gt;0,"LET OP: scoreverloop onduidelijk (controle beperkt)",IF((IF($AT102&lt;&gt;"",$AT102&amp;", ","")&amp;IF($AU102&lt;&gt;"",$AU102&amp;", ","")&amp;IF($AV102&lt;&gt;"",$AV102&amp;", ","")&amp;IF($AW102&lt;&gt;"",$AW102&amp;", ","")&amp;IF($AX102&lt;&gt;"",$AX102&amp;", ","")&amp;IF($AY102&lt;&gt;"",$AY102&amp;", ","")&amp;IF($AZ102&lt;&gt;"",$AZ102&amp;", ","")&amp;IF($BA102&lt;&gt;"",$BA102&amp;", ","")&amp;IF($BB102&lt;&gt;"",$BB102&amp;", ","")&amp;IF($BC102&lt;&gt;"",$BC102&amp;", ","")&amp;IF($DL102&lt;&gt;"",$DL102&amp;", ","")&amp;IF($DM102&lt;&gt;"",$DM102&amp;", ","")&amp;IF($DN102&lt;&gt;"",$DN102&amp;", ","")&amp;IF($DO102&lt;&gt;"",$DO102&amp;", ","")&amp;IF($DP102&lt;&gt;"",$DP102&amp;", ","")&amp;IF($DQ102&lt;&gt;"",$DQ102&amp;", ","")&amp;IF($DR102&lt;&gt;"",$DR102&amp;", ","")&amp;IF($DS102&lt;&gt;"",$DS102&amp;", ","")&amp;IF($DT102&lt;&gt;"",$DT102&amp;", ","")&amp;IF($DU102&lt;&gt;"",$DU102&amp;", ",""))="","OK","Onbekend: "&amp;LEFT((IF($AT102&lt;&gt;"",$AT102&amp;", ","")&amp;IF($AU102&lt;&gt;"",$AU102&amp;", ","")&amp;IF($AV102&lt;&gt;"",$AV102&amp;", ","")&amp;IF($AW102&lt;&gt;"",$AW102&amp;", ","")&amp;IF($AX102&lt;&gt;"",$AX102&amp;", ","")&amp;IF($AY102&lt;&gt;"",$AY102&amp;", ","")&amp;IF($AZ102&lt;&gt;"",$AZ102&amp;", ","")&amp;IF($BA102&lt;&gt;"",$BA102&amp;", ","")&amp;IF($BB102&lt;&gt;"",$BB102&amp;", ","")&amp;IF($BC102&lt;&gt;"",$BC102&amp;", ","")&amp;IF($DL102&lt;&gt;"",$DL102&amp;", ","")&amp;IF($DM102&lt;&gt;"",$DM102&amp;", ","")&amp;IF($DN102&lt;&gt;"",$DN102&amp;", ","")&amp;IF($DO102&lt;&gt;"",$DO102&amp;", ","")&amp;IF($DP102&lt;&gt;"",$DP102&amp;", ","")&amp;IF($DQ102&lt;&gt;"",$DQ102&amp;", ","")&amp;IF($DR102&lt;&gt;"",$DR102&amp;", ","")&amp;IF($DS102&lt;&gt;"",$DS102&amp;", ","")&amp;IF($DT102&lt;&gt;"",$DT102&amp;", ","")&amp;IF($DU102&lt;&gt;"",$DU102&amp;", ","")),LEN((IF($AT102&lt;&gt;"",$AT102&amp;", ","")&amp;IF($AU102&lt;&gt;"",$AU102&amp;", ","")&amp;IF($AV102&lt;&gt;"",$AV102&amp;", ","")&amp;IF($AW102&lt;&gt;"",$AW102&amp;", ","")&amp;IF($AX102&lt;&gt;"",$AX102&amp;", ","")&amp;IF($AY102&lt;&gt;"",$AY102&amp;", ","")&amp;IF($AZ102&lt;&gt;"",$AZ102&amp;", ","")&amp;IF($BA102&lt;&gt;"",$BA102&amp;", ","")&amp;IF($BB102&lt;&gt;"",$BB102&amp;", ","")&amp;IF($BC102&lt;&gt;"",$BC102&amp;", ","")&amp;IF($DL102&lt;&gt;"",$DL102&amp;", ","")&amp;IF($DM102&lt;&gt;"",$DM102&amp;", ","")&amp;IF($DN102&lt;&gt;"",$DN102&amp;", ","")&amp;IF($DO102&lt;&gt;"",$DO102&amp;", ","")&amp;IF($DP102&lt;&gt;"",$DP102&amp;", ","")&amp;IF($DQ102&lt;&gt;"",$DQ102&amp;", ","")&amp;IF($DR102&lt;&gt;"",$DR102&amp;", ","")&amp;IF($DS102&lt;&gt;"",$DS102&amp;", ","")&amp;IF($DT102&lt;&gt;"",$DT102&amp;", ","")&amp;IF($DU102&lt;&gt;"",$DU102&amp;", ","")))-2)))))))</f>
        <v/>
      </c>
      <c r="N102" t="str">
        <f t="shared" si="704"/>
        <v/>
      </c>
      <c r="O102" t="str">
        <f t="shared" si="705"/>
        <v/>
      </c>
      <c r="P102" t="str">
        <f t="shared" si="706"/>
        <v/>
      </c>
      <c r="Q102" t="str">
        <f t="shared" si="707"/>
        <v/>
      </c>
      <c r="R102" t="str">
        <f>IF($Q102="","",IF(OR($BE102="",$BF102=""),"ONZEKER",IF(AND($BE102=0+1,$BF102=0),IF(OR(COUNTIF(#REF!,$B102)&gt;0,COUNTIF(#REF!,$B102)=0),"SKIP",IF(COUNTIFS(#REF!,$B102,#REF!,$Q102)&gt;0,"OK","ONBEKEND")),IF(AND($BE102=0,$BF102=0+1),IF(OR(COUNTIF(#REF!,$D102)&gt;0,COUNTIF(#REF!,$D102)=0),"SKIP",IF(COUNTIFS(#REF!,$D102,#REF!,$Q102)&gt;0,"OK","ONBEKEND")),"ONZEKER"))))</f>
        <v/>
      </c>
      <c r="S102" t="str">
        <f t="shared" si="708"/>
        <v/>
      </c>
      <c r="T102" t="str">
        <f t="shared" si="709"/>
        <v/>
      </c>
      <c r="U102" t="str">
        <f>IF($T102="","",IF(OR($BH102="",$BI102=""),"ONZEKER",IF(OR($BE102="",$BF102=""),"ONZEKER",IF(AND($BH102=$BE102+1,$BI102=$BF102),IF(OR(COUNTIF(#REF!,$B102)&gt;0,COUNTIF(#REF!,$B102)=0),"SKIP",IF(COUNTIFS(#REF!,$B102,#REF!,$T102)&gt;0,"OK","ONBEKEND")),IF(AND($BH102=$BE102,$BI102=$BF102+1),IF(OR(COUNTIF(#REF!,$D102)&gt;0,COUNTIF(#REF!,$D102)=0),"SKIP",IF(COUNTIFS(#REF!,$D102,#REF!,$T102)&gt;0,"OK","ONBEKEND")),"ONZEKER")))))</f>
        <v/>
      </c>
      <c r="V102" t="str">
        <f t="shared" si="710"/>
        <v/>
      </c>
      <c r="W102" t="str">
        <f t="shared" si="711"/>
        <v/>
      </c>
      <c r="X102" t="str">
        <f>IF($W102="","",IF(OR($BK102="",$BL102=""),"ONZEKER",IF(OR($BH102="",$BI102=""),"ONZEKER",IF(AND($BK102=$BH102+1,$BL102=$BI102),IF(OR(COUNTIF(#REF!,$B102)&gt;0,COUNTIF(#REF!,$B102)=0),"SKIP",IF(COUNTIFS(#REF!,$B102,#REF!,$W102)&gt;0,"OK","ONBEKEND")),IF(AND($BK102=$BH102,$BL102=$BI102+1),IF(OR(COUNTIF(#REF!,$D102)&gt;0,COUNTIF(#REF!,$D102)=0),"SKIP",IF(COUNTIFS(#REF!,$D102,#REF!,$W102)&gt;0,"OK","ONBEKEND")),"ONZEKER")))))</f>
        <v/>
      </c>
      <c r="Y102" t="str">
        <f t="shared" si="712"/>
        <v/>
      </c>
      <c r="Z102" t="str">
        <f t="shared" si="713"/>
        <v/>
      </c>
      <c r="AA102" t="str">
        <f>IF($Z102="","",IF(OR($BN102="",$BO102=""),"ONZEKER",IF(OR($BK102="",$BL102=""),"ONZEKER",IF(AND($BN102=$BK102+1,$BO102=$BL102),IF(OR(COUNTIF(#REF!,$B102)&gt;0,COUNTIF(#REF!,$B102)=0),"SKIP",IF(COUNTIFS(#REF!,$B102,#REF!,$Z102)&gt;0,"OK","ONBEKEND")),IF(AND($BN102=$BK102,$BO102=$BL102+1),IF(OR(COUNTIF(#REF!,$D102)&gt;0,COUNTIF(#REF!,$D102)=0),"SKIP",IF(COUNTIFS(#REF!,$D102,#REF!,$Z102)&gt;0,"OK","ONBEKEND")),"ONZEKER")))))</f>
        <v/>
      </c>
      <c r="AB102" t="str">
        <f t="shared" si="714"/>
        <v/>
      </c>
      <c r="AC102" t="str">
        <f t="shared" si="715"/>
        <v/>
      </c>
      <c r="AD102" t="str">
        <f>IF($AC102="","",IF(OR($BQ102="",$BR102=""),"ONZEKER",IF(OR($BN102="",$BO102=""),"ONZEKER",IF(AND($BQ102=$BN102+1,$BR102=$BO102),IF(OR(COUNTIF(#REF!,$B102)&gt;0,COUNTIF(#REF!,$B102)=0),"SKIP",IF(COUNTIFS(#REF!,$B102,#REF!,$AC102)&gt;0,"OK","ONBEKEND")),IF(AND($BQ102=$BN102,$BR102=$BO102+1),IF(OR(COUNTIF(#REF!,$D102)&gt;0,COUNTIF(#REF!,$D102)=0),"SKIP",IF(COUNTIFS(#REF!,$D102,#REF!,$AC102)&gt;0,"OK","ONBEKEND")),"ONZEKER")))))</f>
        <v/>
      </c>
      <c r="AE102" t="str">
        <f t="shared" si="716"/>
        <v/>
      </c>
      <c r="AF102" t="str">
        <f t="shared" si="717"/>
        <v/>
      </c>
      <c r="AG102" t="str">
        <f>IF($AF102="","",IF(OR($BT102="",$BU102=""),"ONZEKER",IF(OR($BQ102="",$BR102=""),"ONZEKER",IF(AND($BT102=$BQ102+1,$BU102=$BR102),IF(OR(COUNTIF(#REF!,$B102)&gt;0,COUNTIF(#REF!,$B102)=0),"SKIP",IF(COUNTIFS(#REF!,$B102,#REF!,$AF102)&gt;0,"OK","ONBEKEND")),IF(AND($BT102=$BQ102,$BU102=$BR102+1),IF(OR(COUNTIF(#REF!,$D102)&gt;0,COUNTIF(#REF!,$D102)=0),"SKIP",IF(COUNTIFS(#REF!,$D102,#REF!,$AF102)&gt;0,"OK","ONBEKEND")),"ONZEKER")))))</f>
        <v/>
      </c>
      <c r="AH102" t="str">
        <f t="shared" si="718"/>
        <v/>
      </c>
      <c r="AI102" t="str">
        <f t="shared" si="719"/>
        <v/>
      </c>
      <c r="AJ102" t="str">
        <f>IF($AI102="","",IF(OR($BW102="",$BX102=""),"ONZEKER",IF(OR($BT102="",$BU102=""),"ONZEKER",IF(AND($BW102=$BT102+1,$BX102=$BU102),IF(OR(COUNTIF(#REF!,$B102)&gt;0,COUNTIF(#REF!,$B102)=0),"SKIP",IF(COUNTIFS(#REF!,$B102,#REF!,$AI102)&gt;0,"OK","ONBEKEND")),IF(AND($BW102=$BT102,$BX102=$BU102+1),IF(OR(COUNTIF(#REF!,$D102)&gt;0,COUNTIF(#REF!,$D102)=0),"SKIP",IF(COUNTIFS(#REF!,$D102,#REF!,$AI102)&gt;0,"OK","ONBEKEND")),"ONZEKER")))))</f>
        <v/>
      </c>
      <c r="AK102" t="str">
        <f t="shared" si="720"/>
        <v/>
      </c>
      <c r="AL102" t="str">
        <f t="shared" si="721"/>
        <v/>
      </c>
      <c r="AM102" t="str">
        <f>IF($AL102="","",IF(OR($BZ102="",$CA102=""),"ONZEKER",IF(OR($BW102="",$BX102=""),"ONZEKER",IF(AND($BZ102=$BW102+1,$CA102=$BX102),IF(OR(COUNTIF(#REF!,$B102)&gt;0,COUNTIF(#REF!,$B102)=0),"SKIP",IF(COUNTIFS(#REF!,$B102,#REF!,$AL102)&gt;0,"OK","ONBEKEND")),IF(AND($BZ102=$BW102,$CA102=$BX102+1),IF(OR(COUNTIF(#REF!,$D102)&gt;0,COUNTIF(#REF!,$D102)=0),"SKIP",IF(COUNTIFS(#REF!,$D102,#REF!,$AL102)&gt;0,"OK","ONBEKEND")),"ONZEKER")))))</f>
        <v/>
      </c>
      <c r="AN102" t="str">
        <f t="shared" si="722"/>
        <v/>
      </c>
      <c r="AO102" t="str">
        <f t="shared" si="723"/>
        <v/>
      </c>
      <c r="AP102" t="str">
        <f>IF($AO102="","",IF(OR($CC102="",$CD102=""),"ONZEKER",IF(OR($BZ102="",$CA102=""),"ONZEKER",IF(AND($CC102=$BZ102+1,$CD102=$CA102),IF(OR(COUNTIF(#REF!,$B102)&gt;0,COUNTIF(#REF!,$B102)=0),"SKIP",IF(COUNTIFS(#REF!,$B102,#REF!,$AO102)&gt;0,"OK","ONBEKEND")),IF(AND($CC102=$BZ102,$CD102=$CA102+1),IF(OR(COUNTIF(#REF!,$D102)&gt;0,COUNTIF(#REF!,$D102)=0),"SKIP",IF(COUNTIFS(#REF!,$D102,#REF!,$AO102)&gt;0,"OK","ONBEKEND")),"ONZEKER")))))</f>
        <v/>
      </c>
      <c r="AQ102" t="str">
        <f t="shared" si="724"/>
        <v/>
      </c>
      <c r="AR102" t="str">
        <f t="shared" si="725"/>
        <v/>
      </c>
      <c r="AS102" t="str">
        <f>IF($AR102="","",IF(OR($CF102="",$CG102=""),"ONZEKER",IF(OR($CC102="",$CD102=""),"ONZEKER",IF(AND($CF102=$CC102+1,$CG102=$CD102),IF(OR(COUNTIF(#REF!,$B102)&gt;0,COUNTIF(#REF!,$B102)=0),"SKIP",IF(COUNTIFS(#REF!,$B102,#REF!,$AR102)&gt;0,"OK","ONBEKEND")),IF(AND($CF102=$CC102,$CG102=$CD102+1),IF(OR(COUNTIF(#REF!,$D102)&gt;0,COUNTIF(#REF!,$D102)=0),"SKIP",IF(COUNTIFS(#REF!,$D102,#REF!,$AR102)&gt;0,"OK","ONBEKEND")),"ONZEKER")))))</f>
        <v/>
      </c>
      <c r="AT102" t="str">
        <f t="shared" si="726"/>
        <v/>
      </c>
      <c r="AU102" t="str">
        <f t="shared" si="727"/>
        <v/>
      </c>
      <c r="AV102" t="str">
        <f t="shared" si="728"/>
        <v/>
      </c>
      <c r="AW102" t="str">
        <f t="shared" si="729"/>
        <v/>
      </c>
      <c r="AX102" t="str">
        <f t="shared" si="730"/>
        <v/>
      </c>
      <c r="AY102" t="str">
        <f t="shared" si="731"/>
        <v/>
      </c>
      <c r="AZ102" t="str">
        <f t="shared" si="732"/>
        <v/>
      </c>
      <c r="BA102" t="str">
        <f t="shared" si="733"/>
        <v/>
      </c>
      <c r="BB102" t="str">
        <f t="shared" si="734"/>
        <v/>
      </c>
      <c r="BC102" t="str">
        <f t="shared" si="735"/>
        <v/>
      </c>
      <c r="BD102" t="str">
        <f t="shared" si="490"/>
        <v/>
      </c>
      <c r="BE102" t="str">
        <f t="shared" si="491"/>
        <v/>
      </c>
      <c r="BF102" t="str">
        <f t="shared" si="492"/>
        <v/>
      </c>
      <c r="BG102" t="str">
        <f t="shared" si="493"/>
        <v/>
      </c>
      <c r="BH102" t="str">
        <f t="shared" si="494"/>
        <v/>
      </c>
      <c r="BI102" t="str">
        <f t="shared" si="495"/>
        <v/>
      </c>
      <c r="BJ102" t="str">
        <f t="shared" si="496"/>
        <v/>
      </c>
      <c r="BK102" t="str">
        <f t="shared" si="497"/>
        <v/>
      </c>
      <c r="BL102" t="str">
        <f t="shared" si="498"/>
        <v/>
      </c>
      <c r="BM102" t="str">
        <f t="shared" si="499"/>
        <v/>
      </c>
      <c r="BN102" t="str">
        <f t="shared" si="500"/>
        <v/>
      </c>
      <c r="BO102" t="str">
        <f t="shared" si="501"/>
        <v/>
      </c>
      <c r="BP102" t="str">
        <f t="shared" si="502"/>
        <v/>
      </c>
      <c r="BQ102" t="str">
        <f t="shared" si="503"/>
        <v/>
      </c>
      <c r="BR102" t="str">
        <f t="shared" si="504"/>
        <v/>
      </c>
      <c r="BS102" t="str">
        <f t="shared" si="505"/>
        <v/>
      </c>
      <c r="BT102" t="str">
        <f t="shared" si="506"/>
        <v/>
      </c>
      <c r="BU102" t="str">
        <f t="shared" si="507"/>
        <v/>
      </c>
      <c r="BV102" t="str">
        <f t="shared" si="508"/>
        <v/>
      </c>
      <c r="BW102" t="str">
        <f t="shared" si="509"/>
        <v/>
      </c>
      <c r="BX102" t="str">
        <f t="shared" si="510"/>
        <v/>
      </c>
      <c r="BY102" t="str">
        <f t="shared" si="511"/>
        <v/>
      </c>
      <c r="BZ102" t="str">
        <f t="shared" si="512"/>
        <v/>
      </c>
      <c r="CA102" t="str">
        <f t="shared" si="513"/>
        <v/>
      </c>
      <c r="CB102" t="str">
        <f t="shared" si="514"/>
        <v/>
      </c>
      <c r="CC102" t="str">
        <f t="shared" si="515"/>
        <v/>
      </c>
      <c r="CD102" t="str">
        <f t="shared" si="516"/>
        <v/>
      </c>
      <c r="CE102" t="str">
        <f t="shared" si="517"/>
        <v/>
      </c>
      <c r="CF102" t="str">
        <f t="shared" si="518"/>
        <v/>
      </c>
      <c r="CG102" t="str">
        <f t="shared" si="519"/>
        <v/>
      </c>
      <c r="CH102" t="str">
        <f t="shared" si="736"/>
        <v/>
      </c>
      <c r="CI102" t="str">
        <f t="shared" si="737"/>
        <v/>
      </c>
      <c r="CJ102" t="str">
        <f>IF($CI102="","",IF(OR($DW102="",$DX102=""),"ONZEKER",IF(OR($CF102="",$CG102=""),"ONZEKER",IF(AND($DW102=$CF102+1,$DX102=$CG102),IF(OR(COUNTIF(#REF!,$B102)&gt;0,COUNTIF(#REF!,$B102)=0),"SKIP",IF(COUNTIFS(#REF!,$B102,#REF!,$CI102)&gt;0,"OK","ONBEKEND")),IF(AND($DW102=$CF102,$DX102=$CG102+1),IF(OR(COUNTIF(#REF!,$D102)&gt;0,COUNTIF(#REF!,$D102)=0),"SKIP",IF(COUNTIFS(#REF!,$D102,#REF!,$CI102)&gt;0,"OK","ONBEKEND")),"ONZEKER")))))</f>
        <v/>
      </c>
      <c r="CK102" t="str">
        <f t="shared" si="738"/>
        <v/>
      </c>
      <c r="CL102" t="str">
        <f t="shared" si="739"/>
        <v/>
      </c>
      <c r="CM102" t="str">
        <f>IF($CL102="","",IF(OR($DZ102="",$EA102=""),"ONZEKER",IF(OR($DW102="",$DX102=""),"ONZEKER",IF(AND($DZ102=$DW102+1,$EA102=$DX102),IF(OR(COUNTIF(#REF!,$B102)&gt;0,COUNTIF(#REF!,$B102)=0),"SKIP",IF(COUNTIFS(#REF!,$B102,#REF!,$CL102)&gt;0,"OK","ONBEKEND")),IF(AND($DZ102=$DW102,$EA102=$DX102+1),IF(OR(COUNTIF(#REF!,$D102)&gt;0,COUNTIF(#REF!,$D102)=0),"SKIP",IF(COUNTIFS(#REF!,$D102,#REF!,$CL102)&gt;0,"OK","ONBEKEND")),"ONZEKER")))))</f>
        <v/>
      </c>
      <c r="CN102" t="str">
        <f t="shared" si="740"/>
        <v/>
      </c>
      <c r="CO102" t="str">
        <f t="shared" si="741"/>
        <v/>
      </c>
      <c r="CP102" t="str">
        <f>IF($CO102="","",IF(OR($EC102="",$ED102=""),"ONZEKER",IF(OR($DZ102="",$EA102=""),"ONZEKER",IF(AND($EC102=$DZ102+1,$ED102=$EA102),IF(OR(COUNTIF(#REF!,$B102)&gt;0,COUNTIF(#REF!,$B102)=0),"SKIP",IF(COUNTIFS(#REF!,$B102,#REF!,$CO102)&gt;0,"OK","ONBEKEND")),IF(AND($EC102=$DZ102,$ED102=$EA102+1),IF(OR(COUNTIF(#REF!,$D102)&gt;0,COUNTIF(#REF!,$D102)=0),"SKIP",IF(COUNTIFS(#REF!,$D102,#REF!,$CO102)&gt;0,"OK","ONBEKEND")),"ONZEKER")))))</f>
        <v/>
      </c>
      <c r="CQ102" t="str">
        <f t="shared" si="742"/>
        <v/>
      </c>
      <c r="CR102" t="str">
        <f t="shared" si="743"/>
        <v/>
      </c>
      <c r="CS102" t="str">
        <f>IF($CR102="","",IF(OR($EF102="",$EG102=""),"ONZEKER",IF(OR($EC102="",$ED102=""),"ONZEKER",IF(AND($EF102=$EC102+1,$EG102=$ED102),IF(OR(COUNTIF(#REF!,$B102)&gt;0,COUNTIF(#REF!,$B102)=0),"SKIP",IF(COUNTIFS(#REF!,$B102,#REF!,$CR102)&gt;0,"OK","ONBEKEND")),IF(AND($EF102=$EC102,$EG102=$ED102+1),IF(OR(COUNTIF(#REF!,$D102)&gt;0,COUNTIF(#REF!,$D102)=0),"SKIP",IF(COUNTIFS(#REF!,$D102,#REF!,$CR102)&gt;0,"OK","ONBEKEND")),"ONZEKER")))))</f>
        <v/>
      </c>
      <c r="CT102" t="str">
        <f t="shared" si="744"/>
        <v/>
      </c>
      <c r="CU102" t="str">
        <f t="shared" si="745"/>
        <v/>
      </c>
      <c r="CV102" t="str">
        <f>IF($CU102="","",IF(OR($EI102="",$EJ102=""),"ONZEKER",IF(OR($EF102="",$EG102=""),"ONZEKER",IF(AND($EI102=$EF102+1,$EJ102=$EG102),IF(OR(COUNTIF(#REF!,$B102)&gt;0,COUNTIF(#REF!,$B102)=0),"SKIP",IF(COUNTIFS(#REF!,$B102,#REF!,$CU102)&gt;0,"OK","ONBEKEND")),IF(AND($EI102=$EF102,$EJ102=$EG102+1),IF(OR(COUNTIF(#REF!,$D102)&gt;0,COUNTIF(#REF!,$D102)=0),"SKIP",IF(COUNTIFS(#REF!,$D102,#REF!,$CU102)&gt;0,"OK","ONBEKEND")),"ONZEKER")))))</f>
        <v/>
      </c>
      <c r="CW102" t="str">
        <f t="shared" si="746"/>
        <v/>
      </c>
      <c r="CX102" t="str">
        <f t="shared" si="747"/>
        <v/>
      </c>
      <c r="CY102" t="str">
        <f>IF($CX102="","",IF(OR($EL102="",$EM102=""),"ONZEKER",IF(OR($EI102="",$EJ102=""),"ONZEKER",IF(AND($EL102=$EI102+1,$EM102=$EJ102),IF(OR(COUNTIF(#REF!,$B102)&gt;0,COUNTIF(#REF!,$B102)=0),"SKIP",IF(COUNTIFS(#REF!,$B102,#REF!,$CX102)&gt;0,"OK","ONBEKEND")),IF(AND($EL102=$EI102,$EM102=$EJ102+1),IF(OR(COUNTIF(#REF!,$D102)&gt;0,COUNTIF(#REF!,$D102)=0),"SKIP",IF(COUNTIFS(#REF!,$D102,#REF!,$CX102)&gt;0,"OK","ONBEKEND")),"ONZEKER")))))</f>
        <v/>
      </c>
      <c r="CZ102" t="str">
        <f t="shared" si="748"/>
        <v/>
      </c>
      <c r="DA102" t="str">
        <f t="shared" si="749"/>
        <v/>
      </c>
      <c r="DB102" t="str">
        <f>IF($DA102="","",IF(OR($EO102="",$EP102=""),"ONZEKER",IF(OR($EL102="",$EM102=""),"ONZEKER",IF(AND($EO102=$EL102+1,$EP102=$EM102),IF(OR(COUNTIF(#REF!,$B102)&gt;0,COUNTIF(#REF!,$B102)=0),"SKIP",IF(COUNTIFS(#REF!,$B102,#REF!,$DA102)&gt;0,"OK","ONBEKEND")),IF(AND($EO102=$EL102,$EP102=$EM102+1),IF(OR(COUNTIF(#REF!,$D102)&gt;0,COUNTIF(#REF!,$D102)=0),"SKIP",IF(COUNTIFS(#REF!,$D102,#REF!,$DA102)&gt;0,"OK","ONBEKEND")),"ONZEKER")))))</f>
        <v/>
      </c>
      <c r="DC102" t="str">
        <f t="shared" si="750"/>
        <v/>
      </c>
      <c r="DD102" t="str">
        <f t="shared" si="751"/>
        <v/>
      </c>
      <c r="DE102" t="str">
        <f>IF($DD102="","",IF(OR($ER102="",$ES102=""),"ONZEKER",IF(OR($EO102="",$EP102=""),"ONZEKER",IF(AND($ER102=$EO102+1,$ES102=$EP102),IF(OR(COUNTIF(#REF!,$B102)&gt;0,COUNTIF(#REF!,$B102)=0),"SKIP",IF(COUNTIFS(#REF!,$B102,#REF!,$DD102)&gt;0,"OK","ONBEKEND")),IF(AND($ER102=$EO102,$ES102=$EP102+1),IF(OR(COUNTIF(#REF!,$D102)&gt;0,COUNTIF(#REF!,$D102)=0),"SKIP",IF(COUNTIFS(#REF!,$D102,#REF!,$DD102)&gt;0,"OK","ONBEKEND")),"ONZEKER")))))</f>
        <v/>
      </c>
      <c r="DF102" t="str">
        <f t="shared" si="752"/>
        <v/>
      </c>
      <c r="DG102" t="str">
        <f t="shared" si="753"/>
        <v/>
      </c>
      <c r="DH102" t="str">
        <f>IF($DG102="","",IF(OR($EU102="",$EV102=""),"ONZEKER",IF(OR($ER102="",$ES102=""),"ONZEKER",IF(AND($EU102=$ER102+1,$EV102=$ES102),IF(OR(COUNTIF(#REF!,$B102)&gt;0,COUNTIF(#REF!,$B102)=0),"SKIP",IF(COUNTIFS(#REF!,$B102,#REF!,$DG102)&gt;0,"OK","ONBEKEND")),IF(AND($EU102=$ER102,$EV102=$ES102+1),IF(OR(COUNTIF(#REF!,$D102)&gt;0,COUNTIF(#REF!,$D102)=0),"SKIP",IF(COUNTIFS(#REF!,$D102,#REF!,$DG102)&gt;0,"OK","ONBEKEND")),"ONZEKER")))))</f>
        <v/>
      </c>
      <c r="DI102" t="str">
        <f t="shared" si="754"/>
        <v/>
      </c>
      <c r="DJ102" t="str">
        <f t="shared" si="755"/>
        <v/>
      </c>
      <c r="DK102" t="str">
        <f>IF($DJ102="","",IF(OR($EX102="",$EY102=""),"ONZEKER",IF(OR($EU102="",$EV102=""),"ONZEKER",IF(AND($EX102=$EU102+1,$EY102=$EV102),IF(OR(COUNTIF(#REF!,$B102)&gt;0,COUNTIF(#REF!,$B102)=0),"SKIP",IF(COUNTIFS(#REF!,$B102,#REF!,$DJ102)&gt;0,"OK","ONBEKEND")),IF(AND($EX102=$EU102,$EY102=$EV102+1),IF(OR(COUNTIF(#REF!,$D102)&gt;0,COUNTIF(#REF!,$D102)=0),"SKIP",IF(COUNTIFS(#REF!,$D102,#REF!,$DJ102)&gt;0,"OK","ONBEKEND")),"ONZEKER")))))</f>
        <v/>
      </c>
      <c r="DL102" t="str">
        <f t="shared" si="756"/>
        <v/>
      </c>
      <c r="DM102" t="str">
        <f t="shared" si="757"/>
        <v/>
      </c>
      <c r="DN102" t="str">
        <f t="shared" si="758"/>
        <v/>
      </c>
      <c r="DO102" t="str">
        <f t="shared" si="759"/>
        <v/>
      </c>
      <c r="DP102" t="str">
        <f t="shared" si="760"/>
        <v/>
      </c>
      <c r="DQ102" t="str">
        <f t="shared" si="761"/>
        <v/>
      </c>
      <c r="DR102" t="str">
        <f t="shared" si="762"/>
        <v/>
      </c>
      <c r="DS102" t="str">
        <f t="shared" si="763"/>
        <v/>
      </c>
      <c r="DT102" t="str">
        <f t="shared" si="764"/>
        <v/>
      </c>
      <c r="DU102" t="str">
        <f t="shared" si="765"/>
        <v/>
      </c>
      <c r="DV102" t="str">
        <f t="shared" si="766"/>
        <v/>
      </c>
      <c r="DW102" t="str">
        <f t="shared" si="767"/>
        <v/>
      </c>
      <c r="DX102" t="str">
        <f t="shared" si="768"/>
        <v/>
      </c>
      <c r="DY102" t="str">
        <f t="shared" si="769"/>
        <v/>
      </c>
      <c r="DZ102" t="str">
        <f t="shared" si="770"/>
        <v/>
      </c>
      <c r="EA102" t="str">
        <f t="shared" si="771"/>
        <v/>
      </c>
      <c r="EB102" t="str">
        <f t="shared" si="772"/>
        <v/>
      </c>
      <c r="EC102" t="str">
        <f t="shared" si="773"/>
        <v/>
      </c>
      <c r="ED102" t="str">
        <f t="shared" si="774"/>
        <v/>
      </c>
      <c r="EE102" t="str">
        <f t="shared" si="775"/>
        <v/>
      </c>
      <c r="EF102" t="str">
        <f t="shared" si="776"/>
        <v/>
      </c>
      <c r="EG102" t="str">
        <f t="shared" si="777"/>
        <v/>
      </c>
      <c r="EH102" t="str">
        <f t="shared" si="778"/>
        <v/>
      </c>
      <c r="EI102" t="str">
        <f t="shared" si="779"/>
        <v/>
      </c>
      <c r="EJ102" t="str">
        <f t="shared" si="780"/>
        <v/>
      </c>
      <c r="EK102" t="str">
        <f t="shared" si="781"/>
        <v/>
      </c>
      <c r="EL102" t="str">
        <f t="shared" si="782"/>
        <v/>
      </c>
      <c r="EM102" t="str">
        <f t="shared" si="783"/>
        <v/>
      </c>
      <c r="EN102" t="str">
        <f t="shared" si="784"/>
        <v/>
      </c>
      <c r="EO102" t="str">
        <f t="shared" si="785"/>
        <v/>
      </c>
      <c r="EP102" t="str">
        <f t="shared" si="786"/>
        <v/>
      </c>
      <c r="EQ102" t="str">
        <f t="shared" si="787"/>
        <v/>
      </c>
      <c r="ER102" t="str">
        <f t="shared" si="788"/>
        <v/>
      </c>
      <c r="ES102" t="str">
        <f t="shared" si="789"/>
        <v/>
      </c>
      <c r="ET102" t="str">
        <f t="shared" si="790"/>
        <v/>
      </c>
      <c r="EU102" t="str">
        <f t="shared" si="791"/>
        <v/>
      </c>
      <c r="EV102" t="str">
        <f t="shared" si="792"/>
        <v/>
      </c>
      <c r="EW102" t="str">
        <f t="shared" si="793"/>
        <v/>
      </c>
      <c r="EX102" t="str">
        <f t="shared" si="794"/>
        <v/>
      </c>
      <c r="EY102" t="str">
        <f t="shared" si="795"/>
        <v/>
      </c>
    </row>
    <row r="103" spans="1:155" ht="13.9" customHeight="1" x14ac:dyDescent="0.25">
      <c r="M103" s="3" t="str">
        <f>IF($L103="","",IF($L103="DOELPUNTENMAKERS","",IF(AND(COUNTIF(#REF!,$B103)=0,COUNTIF(#REF!,$D103)=0),"OK",IF($O103&gt;20,"LET OP: meer dan 20 items (controle onvolledig)",IF((COUNTIF($R103:$AS103,"ONZEKER")+COUNTIF($CJ103:$DK103,"ONZEKER"))&gt;0,"LET OP: scoreverloop onduidelijk (controle beperkt)",IF((IF($AT103&lt;&gt;"",$AT103&amp;", ","")&amp;IF($AU103&lt;&gt;"",$AU103&amp;", ","")&amp;IF($AV103&lt;&gt;"",$AV103&amp;", ","")&amp;IF($AW103&lt;&gt;"",$AW103&amp;", ","")&amp;IF($AX103&lt;&gt;"",$AX103&amp;", ","")&amp;IF($AY103&lt;&gt;"",$AY103&amp;", ","")&amp;IF($AZ103&lt;&gt;"",$AZ103&amp;", ","")&amp;IF($BA103&lt;&gt;"",$BA103&amp;", ","")&amp;IF($BB103&lt;&gt;"",$BB103&amp;", ","")&amp;IF($BC103&lt;&gt;"",$BC103&amp;", ","")&amp;IF($DL103&lt;&gt;"",$DL103&amp;", ","")&amp;IF($DM103&lt;&gt;"",$DM103&amp;", ","")&amp;IF($DN103&lt;&gt;"",$DN103&amp;", ","")&amp;IF($DO103&lt;&gt;"",$DO103&amp;", ","")&amp;IF($DP103&lt;&gt;"",$DP103&amp;", ","")&amp;IF($DQ103&lt;&gt;"",$DQ103&amp;", ","")&amp;IF($DR103&lt;&gt;"",$DR103&amp;", ","")&amp;IF($DS103&lt;&gt;"",$DS103&amp;", ","")&amp;IF($DT103&lt;&gt;"",$DT103&amp;", ","")&amp;IF($DU103&lt;&gt;"",$DU103&amp;", ",""))="","OK","Onbekend: "&amp;LEFT((IF($AT103&lt;&gt;"",$AT103&amp;", ","")&amp;IF($AU103&lt;&gt;"",$AU103&amp;", ","")&amp;IF($AV103&lt;&gt;"",$AV103&amp;", ","")&amp;IF($AW103&lt;&gt;"",$AW103&amp;", ","")&amp;IF($AX103&lt;&gt;"",$AX103&amp;", ","")&amp;IF($AY103&lt;&gt;"",$AY103&amp;", ","")&amp;IF($AZ103&lt;&gt;"",$AZ103&amp;", ","")&amp;IF($BA103&lt;&gt;"",$BA103&amp;", ","")&amp;IF($BB103&lt;&gt;"",$BB103&amp;", ","")&amp;IF($BC103&lt;&gt;"",$BC103&amp;", ","")&amp;IF($DL103&lt;&gt;"",$DL103&amp;", ","")&amp;IF($DM103&lt;&gt;"",$DM103&amp;", ","")&amp;IF($DN103&lt;&gt;"",$DN103&amp;", ","")&amp;IF($DO103&lt;&gt;"",$DO103&amp;", ","")&amp;IF($DP103&lt;&gt;"",$DP103&amp;", ","")&amp;IF($DQ103&lt;&gt;"",$DQ103&amp;", ","")&amp;IF($DR103&lt;&gt;"",$DR103&amp;", ","")&amp;IF($DS103&lt;&gt;"",$DS103&amp;", ","")&amp;IF($DT103&lt;&gt;"",$DT103&amp;", ","")&amp;IF($DU103&lt;&gt;"",$DU103&amp;", ","")),LEN((IF($AT103&lt;&gt;"",$AT103&amp;", ","")&amp;IF($AU103&lt;&gt;"",$AU103&amp;", ","")&amp;IF($AV103&lt;&gt;"",$AV103&amp;", ","")&amp;IF($AW103&lt;&gt;"",$AW103&amp;", ","")&amp;IF($AX103&lt;&gt;"",$AX103&amp;", ","")&amp;IF($AY103&lt;&gt;"",$AY103&amp;", ","")&amp;IF($AZ103&lt;&gt;"",$AZ103&amp;", ","")&amp;IF($BA103&lt;&gt;"",$BA103&amp;", ","")&amp;IF($BB103&lt;&gt;"",$BB103&amp;", ","")&amp;IF($BC103&lt;&gt;"",$BC103&amp;", ","")&amp;IF($DL103&lt;&gt;"",$DL103&amp;", ","")&amp;IF($DM103&lt;&gt;"",$DM103&amp;", ","")&amp;IF($DN103&lt;&gt;"",$DN103&amp;", ","")&amp;IF($DO103&lt;&gt;"",$DO103&amp;", ","")&amp;IF($DP103&lt;&gt;"",$DP103&amp;", ","")&amp;IF($DQ103&lt;&gt;"",$DQ103&amp;", ","")&amp;IF($DR103&lt;&gt;"",$DR103&amp;", ","")&amp;IF($DS103&lt;&gt;"",$DS103&amp;", ","")&amp;IF($DT103&lt;&gt;"",$DT103&amp;", ","")&amp;IF($DU103&lt;&gt;"",$DU103&amp;", ","")))-2)))))))</f>
        <v/>
      </c>
      <c r="N103" t="str">
        <f t="shared" si="704"/>
        <v/>
      </c>
      <c r="O103" t="str">
        <f t="shared" si="705"/>
        <v/>
      </c>
      <c r="P103" t="str">
        <f t="shared" si="706"/>
        <v/>
      </c>
      <c r="Q103" t="str">
        <f t="shared" si="707"/>
        <v/>
      </c>
      <c r="R103" t="str">
        <f>IF($Q103="","",IF(OR($BE103="",$BF103=""),"ONZEKER",IF(AND($BE103=0+1,$BF103=0),IF(OR(COUNTIF(#REF!,$B103)&gt;0,COUNTIF(#REF!,$B103)=0),"SKIP",IF(COUNTIFS(#REF!,$B103,#REF!,$Q103)&gt;0,"OK","ONBEKEND")),IF(AND($BE103=0,$BF103=0+1),IF(OR(COUNTIF(#REF!,$D103)&gt;0,COUNTIF(#REF!,$D103)=0),"SKIP",IF(COUNTIFS(#REF!,$D103,#REF!,$Q103)&gt;0,"OK","ONBEKEND")),"ONZEKER"))))</f>
        <v/>
      </c>
      <c r="S103" t="str">
        <f t="shared" si="708"/>
        <v/>
      </c>
      <c r="T103" t="str">
        <f t="shared" si="709"/>
        <v/>
      </c>
      <c r="U103" t="str">
        <f>IF($T103="","",IF(OR($BH103="",$BI103=""),"ONZEKER",IF(OR($BE103="",$BF103=""),"ONZEKER",IF(AND($BH103=$BE103+1,$BI103=$BF103),IF(OR(COUNTIF(#REF!,$B103)&gt;0,COUNTIF(#REF!,$B103)=0),"SKIP",IF(COUNTIFS(#REF!,$B103,#REF!,$T103)&gt;0,"OK","ONBEKEND")),IF(AND($BH103=$BE103,$BI103=$BF103+1),IF(OR(COUNTIF(#REF!,$D103)&gt;0,COUNTIF(#REF!,$D103)=0),"SKIP",IF(COUNTIFS(#REF!,$D103,#REF!,$T103)&gt;0,"OK","ONBEKEND")),"ONZEKER")))))</f>
        <v/>
      </c>
      <c r="V103" t="str">
        <f t="shared" si="710"/>
        <v/>
      </c>
      <c r="W103" t="str">
        <f t="shared" si="711"/>
        <v/>
      </c>
      <c r="X103" t="str">
        <f>IF($W103="","",IF(OR($BK103="",$BL103=""),"ONZEKER",IF(OR($BH103="",$BI103=""),"ONZEKER",IF(AND($BK103=$BH103+1,$BL103=$BI103),IF(OR(COUNTIF(#REF!,$B103)&gt;0,COUNTIF(#REF!,$B103)=0),"SKIP",IF(COUNTIFS(#REF!,$B103,#REF!,$W103)&gt;0,"OK","ONBEKEND")),IF(AND($BK103=$BH103,$BL103=$BI103+1),IF(OR(COUNTIF(#REF!,$D103)&gt;0,COUNTIF(#REF!,$D103)=0),"SKIP",IF(COUNTIFS(#REF!,$D103,#REF!,$W103)&gt;0,"OK","ONBEKEND")),"ONZEKER")))))</f>
        <v/>
      </c>
      <c r="Y103" t="str">
        <f t="shared" si="712"/>
        <v/>
      </c>
      <c r="Z103" t="str">
        <f t="shared" si="713"/>
        <v/>
      </c>
      <c r="AA103" t="str">
        <f>IF($Z103="","",IF(OR($BN103="",$BO103=""),"ONZEKER",IF(OR($BK103="",$BL103=""),"ONZEKER",IF(AND($BN103=$BK103+1,$BO103=$BL103),IF(OR(COUNTIF(#REF!,$B103)&gt;0,COUNTIF(#REF!,$B103)=0),"SKIP",IF(COUNTIFS(#REF!,$B103,#REF!,$Z103)&gt;0,"OK","ONBEKEND")),IF(AND($BN103=$BK103,$BO103=$BL103+1),IF(OR(COUNTIF(#REF!,$D103)&gt;0,COUNTIF(#REF!,$D103)=0),"SKIP",IF(COUNTIFS(#REF!,$D103,#REF!,$Z103)&gt;0,"OK","ONBEKEND")),"ONZEKER")))))</f>
        <v/>
      </c>
      <c r="AB103" t="str">
        <f t="shared" si="714"/>
        <v/>
      </c>
      <c r="AC103" t="str">
        <f t="shared" si="715"/>
        <v/>
      </c>
      <c r="AD103" t="str">
        <f>IF($AC103="","",IF(OR($BQ103="",$BR103=""),"ONZEKER",IF(OR($BN103="",$BO103=""),"ONZEKER",IF(AND($BQ103=$BN103+1,$BR103=$BO103),IF(OR(COUNTIF(#REF!,$B103)&gt;0,COUNTIF(#REF!,$B103)=0),"SKIP",IF(COUNTIFS(#REF!,$B103,#REF!,$AC103)&gt;0,"OK","ONBEKEND")),IF(AND($BQ103=$BN103,$BR103=$BO103+1),IF(OR(COUNTIF(#REF!,$D103)&gt;0,COUNTIF(#REF!,$D103)=0),"SKIP",IF(COUNTIFS(#REF!,$D103,#REF!,$AC103)&gt;0,"OK","ONBEKEND")),"ONZEKER")))))</f>
        <v/>
      </c>
      <c r="AE103" t="str">
        <f t="shared" si="716"/>
        <v/>
      </c>
      <c r="AF103" t="str">
        <f t="shared" si="717"/>
        <v/>
      </c>
      <c r="AG103" t="str">
        <f>IF($AF103="","",IF(OR($BT103="",$BU103=""),"ONZEKER",IF(OR($BQ103="",$BR103=""),"ONZEKER",IF(AND($BT103=$BQ103+1,$BU103=$BR103),IF(OR(COUNTIF(#REF!,$B103)&gt;0,COUNTIF(#REF!,$B103)=0),"SKIP",IF(COUNTIFS(#REF!,$B103,#REF!,$AF103)&gt;0,"OK","ONBEKEND")),IF(AND($BT103=$BQ103,$BU103=$BR103+1),IF(OR(COUNTIF(#REF!,$D103)&gt;0,COUNTIF(#REF!,$D103)=0),"SKIP",IF(COUNTIFS(#REF!,$D103,#REF!,$AF103)&gt;0,"OK","ONBEKEND")),"ONZEKER")))))</f>
        <v/>
      </c>
      <c r="AH103" t="str">
        <f t="shared" si="718"/>
        <v/>
      </c>
      <c r="AI103" t="str">
        <f t="shared" si="719"/>
        <v/>
      </c>
      <c r="AJ103" t="str">
        <f>IF($AI103="","",IF(OR($BW103="",$BX103=""),"ONZEKER",IF(OR($BT103="",$BU103=""),"ONZEKER",IF(AND($BW103=$BT103+1,$BX103=$BU103),IF(OR(COUNTIF(#REF!,$B103)&gt;0,COUNTIF(#REF!,$B103)=0),"SKIP",IF(COUNTIFS(#REF!,$B103,#REF!,$AI103)&gt;0,"OK","ONBEKEND")),IF(AND($BW103=$BT103,$BX103=$BU103+1),IF(OR(COUNTIF(#REF!,$D103)&gt;0,COUNTIF(#REF!,$D103)=0),"SKIP",IF(COUNTIFS(#REF!,$D103,#REF!,$AI103)&gt;0,"OK","ONBEKEND")),"ONZEKER")))))</f>
        <v/>
      </c>
      <c r="AK103" t="str">
        <f t="shared" si="720"/>
        <v/>
      </c>
      <c r="AL103" t="str">
        <f t="shared" si="721"/>
        <v/>
      </c>
      <c r="AM103" t="str">
        <f>IF($AL103="","",IF(OR($BZ103="",$CA103=""),"ONZEKER",IF(OR($BW103="",$BX103=""),"ONZEKER",IF(AND($BZ103=$BW103+1,$CA103=$BX103),IF(OR(COUNTIF(#REF!,$B103)&gt;0,COUNTIF(#REF!,$B103)=0),"SKIP",IF(COUNTIFS(#REF!,$B103,#REF!,$AL103)&gt;0,"OK","ONBEKEND")),IF(AND($BZ103=$BW103,$CA103=$BX103+1),IF(OR(COUNTIF(#REF!,$D103)&gt;0,COUNTIF(#REF!,$D103)=0),"SKIP",IF(COUNTIFS(#REF!,$D103,#REF!,$AL103)&gt;0,"OK","ONBEKEND")),"ONZEKER")))))</f>
        <v/>
      </c>
      <c r="AN103" t="str">
        <f t="shared" si="722"/>
        <v/>
      </c>
      <c r="AO103" t="str">
        <f t="shared" si="723"/>
        <v/>
      </c>
      <c r="AP103" t="str">
        <f>IF($AO103="","",IF(OR($CC103="",$CD103=""),"ONZEKER",IF(OR($BZ103="",$CA103=""),"ONZEKER",IF(AND($CC103=$BZ103+1,$CD103=$CA103),IF(OR(COUNTIF(#REF!,$B103)&gt;0,COUNTIF(#REF!,$B103)=0),"SKIP",IF(COUNTIFS(#REF!,$B103,#REF!,$AO103)&gt;0,"OK","ONBEKEND")),IF(AND($CC103=$BZ103,$CD103=$CA103+1),IF(OR(COUNTIF(#REF!,$D103)&gt;0,COUNTIF(#REF!,$D103)=0),"SKIP",IF(COUNTIFS(#REF!,$D103,#REF!,$AO103)&gt;0,"OK","ONBEKEND")),"ONZEKER")))))</f>
        <v/>
      </c>
      <c r="AQ103" t="str">
        <f t="shared" si="724"/>
        <v/>
      </c>
      <c r="AR103" t="str">
        <f t="shared" si="725"/>
        <v/>
      </c>
      <c r="AS103" t="str">
        <f>IF($AR103="","",IF(OR($CF103="",$CG103=""),"ONZEKER",IF(OR($CC103="",$CD103=""),"ONZEKER",IF(AND($CF103=$CC103+1,$CG103=$CD103),IF(OR(COUNTIF(#REF!,$B103)&gt;0,COUNTIF(#REF!,$B103)=0),"SKIP",IF(COUNTIFS(#REF!,$B103,#REF!,$AR103)&gt;0,"OK","ONBEKEND")),IF(AND($CF103=$CC103,$CG103=$CD103+1),IF(OR(COUNTIF(#REF!,$D103)&gt;0,COUNTIF(#REF!,$D103)=0),"SKIP",IF(COUNTIFS(#REF!,$D103,#REF!,$AR103)&gt;0,"OK","ONBEKEND")),"ONZEKER")))))</f>
        <v/>
      </c>
      <c r="AT103" t="str">
        <f t="shared" si="726"/>
        <v/>
      </c>
      <c r="AU103" t="str">
        <f t="shared" si="727"/>
        <v/>
      </c>
      <c r="AV103" t="str">
        <f t="shared" si="728"/>
        <v/>
      </c>
      <c r="AW103" t="str">
        <f t="shared" si="729"/>
        <v/>
      </c>
      <c r="AX103" t="str">
        <f t="shared" si="730"/>
        <v/>
      </c>
      <c r="AY103" t="str">
        <f t="shared" si="731"/>
        <v/>
      </c>
      <c r="AZ103" t="str">
        <f t="shared" si="732"/>
        <v/>
      </c>
      <c r="BA103" t="str">
        <f t="shared" si="733"/>
        <v/>
      </c>
      <c r="BB103" t="str">
        <f t="shared" si="734"/>
        <v/>
      </c>
      <c r="BC103" t="str">
        <f t="shared" si="735"/>
        <v/>
      </c>
      <c r="BD103" t="str">
        <f t="shared" si="490"/>
        <v/>
      </c>
      <c r="BE103" t="str">
        <f t="shared" si="491"/>
        <v/>
      </c>
      <c r="BF103" t="str">
        <f t="shared" si="492"/>
        <v/>
      </c>
      <c r="BG103" t="str">
        <f t="shared" si="493"/>
        <v/>
      </c>
      <c r="BH103" t="str">
        <f t="shared" si="494"/>
        <v/>
      </c>
      <c r="BI103" t="str">
        <f t="shared" si="495"/>
        <v/>
      </c>
      <c r="BJ103" t="str">
        <f t="shared" si="496"/>
        <v/>
      </c>
      <c r="BK103" t="str">
        <f t="shared" si="497"/>
        <v/>
      </c>
      <c r="BL103" t="str">
        <f t="shared" si="498"/>
        <v/>
      </c>
      <c r="BM103" t="str">
        <f t="shared" si="499"/>
        <v/>
      </c>
      <c r="BN103" t="str">
        <f t="shared" si="500"/>
        <v/>
      </c>
      <c r="BO103" t="str">
        <f t="shared" si="501"/>
        <v/>
      </c>
      <c r="BP103" t="str">
        <f t="shared" si="502"/>
        <v/>
      </c>
      <c r="BQ103" t="str">
        <f t="shared" si="503"/>
        <v/>
      </c>
      <c r="BR103" t="str">
        <f t="shared" si="504"/>
        <v/>
      </c>
      <c r="BS103" t="str">
        <f t="shared" si="505"/>
        <v/>
      </c>
      <c r="BT103" t="str">
        <f t="shared" si="506"/>
        <v/>
      </c>
      <c r="BU103" t="str">
        <f t="shared" si="507"/>
        <v/>
      </c>
      <c r="BV103" t="str">
        <f t="shared" si="508"/>
        <v/>
      </c>
      <c r="BW103" t="str">
        <f t="shared" si="509"/>
        <v/>
      </c>
      <c r="BX103" t="str">
        <f t="shared" si="510"/>
        <v/>
      </c>
      <c r="BY103" t="str">
        <f t="shared" si="511"/>
        <v/>
      </c>
      <c r="BZ103" t="str">
        <f t="shared" si="512"/>
        <v/>
      </c>
      <c r="CA103" t="str">
        <f t="shared" si="513"/>
        <v/>
      </c>
      <c r="CB103" t="str">
        <f t="shared" si="514"/>
        <v/>
      </c>
      <c r="CC103" t="str">
        <f t="shared" si="515"/>
        <v/>
      </c>
      <c r="CD103" t="str">
        <f t="shared" si="516"/>
        <v/>
      </c>
      <c r="CE103" t="str">
        <f t="shared" si="517"/>
        <v/>
      </c>
      <c r="CF103" t="str">
        <f t="shared" si="518"/>
        <v/>
      </c>
      <c r="CG103" t="str">
        <f t="shared" si="519"/>
        <v/>
      </c>
      <c r="CH103" t="str">
        <f t="shared" si="736"/>
        <v/>
      </c>
      <c r="CI103" t="str">
        <f t="shared" si="737"/>
        <v/>
      </c>
      <c r="CJ103" t="str">
        <f>IF($CI103="","",IF(OR($DW103="",$DX103=""),"ONZEKER",IF(OR($CF103="",$CG103=""),"ONZEKER",IF(AND($DW103=$CF103+1,$DX103=$CG103),IF(OR(COUNTIF(#REF!,$B103)&gt;0,COUNTIF(#REF!,$B103)=0),"SKIP",IF(COUNTIFS(#REF!,$B103,#REF!,$CI103)&gt;0,"OK","ONBEKEND")),IF(AND($DW103=$CF103,$DX103=$CG103+1),IF(OR(COUNTIF(#REF!,$D103)&gt;0,COUNTIF(#REF!,$D103)=0),"SKIP",IF(COUNTIFS(#REF!,$D103,#REF!,$CI103)&gt;0,"OK","ONBEKEND")),"ONZEKER")))))</f>
        <v/>
      </c>
      <c r="CK103" t="str">
        <f t="shared" si="738"/>
        <v/>
      </c>
      <c r="CL103" t="str">
        <f t="shared" si="739"/>
        <v/>
      </c>
      <c r="CM103" t="str">
        <f>IF($CL103="","",IF(OR($DZ103="",$EA103=""),"ONZEKER",IF(OR($DW103="",$DX103=""),"ONZEKER",IF(AND($DZ103=$DW103+1,$EA103=$DX103),IF(OR(COUNTIF(#REF!,$B103)&gt;0,COUNTIF(#REF!,$B103)=0),"SKIP",IF(COUNTIFS(#REF!,$B103,#REF!,$CL103)&gt;0,"OK","ONBEKEND")),IF(AND($DZ103=$DW103,$EA103=$DX103+1),IF(OR(COUNTIF(#REF!,$D103)&gt;0,COUNTIF(#REF!,$D103)=0),"SKIP",IF(COUNTIFS(#REF!,$D103,#REF!,$CL103)&gt;0,"OK","ONBEKEND")),"ONZEKER")))))</f>
        <v/>
      </c>
      <c r="CN103" t="str">
        <f t="shared" si="740"/>
        <v/>
      </c>
      <c r="CO103" t="str">
        <f t="shared" si="741"/>
        <v/>
      </c>
      <c r="CP103" t="str">
        <f>IF($CO103="","",IF(OR($EC103="",$ED103=""),"ONZEKER",IF(OR($DZ103="",$EA103=""),"ONZEKER",IF(AND($EC103=$DZ103+1,$ED103=$EA103),IF(OR(COUNTIF(#REF!,$B103)&gt;0,COUNTIF(#REF!,$B103)=0),"SKIP",IF(COUNTIFS(#REF!,$B103,#REF!,$CO103)&gt;0,"OK","ONBEKEND")),IF(AND($EC103=$DZ103,$ED103=$EA103+1),IF(OR(COUNTIF(#REF!,$D103)&gt;0,COUNTIF(#REF!,$D103)=0),"SKIP",IF(COUNTIFS(#REF!,$D103,#REF!,$CO103)&gt;0,"OK","ONBEKEND")),"ONZEKER")))))</f>
        <v/>
      </c>
      <c r="CQ103" t="str">
        <f t="shared" si="742"/>
        <v/>
      </c>
      <c r="CR103" t="str">
        <f t="shared" si="743"/>
        <v/>
      </c>
      <c r="CS103" t="str">
        <f>IF($CR103="","",IF(OR($EF103="",$EG103=""),"ONZEKER",IF(OR($EC103="",$ED103=""),"ONZEKER",IF(AND($EF103=$EC103+1,$EG103=$ED103),IF(OR(COUNTIF(#REF!,$B103)&gt;0,COUNTIF(#REF!,$B103)=0),"SKIP",IF(COUNTIFS(#REF!,$B103,#REF!,$CR103)&gt;0,"OK","ONBEKEND")),IF(AND($EF103=$EC103,$EG103=$ED103+1),IF(OR(COUNTIF(#REF!,$D103)&gt;0,COUNTIF(#REF!,$D103)=0),"SKIP",IF(COUNTIFS(#REF!,$D103,#REF!,$CR103)&gt;0,"OK","ONBEKEND")),"ONZEKER")))))</f>
        <v/>
      </c>
      <c r="CT103" t="str">
        <f t="shared" si="744"/>
        <v/>
      </c>
      <c r="CU103" t="str">
        <f t="shared" si="745"/>
        <v/>
      </c>
      <c r="CV103" t="str">
        <f>IF($CU103="","",IF(OR($EI103="",$EJ103=""),"ONZEKER",IF(OR($EF103="",$EG103=""),"ONZEKER",IF(AND($EI103=$EF103+1,$EJ103=$EG103),IF(OR(COUNTIF(#REF!,$B103)&gt;0,COUNTIF(#REF!,$B103)=0),"SKIP",IF(COUNTIFS(#REF!,$B103,#REF!,$CU103)&gt;0,"OK","ONBEKEND")),IF(AND($EI103=$EF103,$EJ103=$EG103+1),IF(OR(COUNTIF(#REF!,$D103)&gt;0,COUNTIF(#REF!,$D103)=0),"SKIP",IF(COUNTIFS(#REF!,$D103,#REF!,$CU103)&gt;0,"OK","ONBEKEND")),"ONZEKER")))))</f>
        <v/>
      </c>
      <c r="CW103" t="str">
        <f t="shared" si="746"/>
        <v/>
      </c>
      <c r="CX103" t="str">
        <f t="shared" si="747"/>
        <v/>
      </c>
      <c r="CY103" t="str">
        <f>IF($CX103="","",IF(OR($EL103="",$EM103=""),"ONZEKER",IF(OR($EI103="",$EJ103=""),"ONZEKER",IF(AND($EL103=$EI103+1,$EM103=$EJ103),IF(OR(COUNTIF(#REF!,$B103)&gt;0,COUNTIF(#REF!,$B103)=0),"SKIP",IF(COUNTIFS(#REF!,$B103,#REF!,$CX103)&gt;0,"OK","ONBEKEND")),IF(AND($EL103=$EI103,$EM103=$EJ103+1),IF(OR(COUNTIF(#REF!,$D103)&gt;0,COUNTIF(#REF!,$D103)=0),"SKIP",IF(COUNTIFS(#REF!,$D103,#REF!,$CX103)&gt;0,"OK","ONBEKEND")),"ONZEKER")))))</f>
        <v/>
      </c>
      <c r="CZ103" t="str">
        <f t="shared" si="748"/>
        <v/>
      </c>
      <c r="DA103" t="str">
        <f t="shared" si="749"/>
        <v/>
      </c>
      <c r="DB103" t="str">
        <f>IF($DA103="","",IF(OR($EO103="",$EP103=""),"ONZEKER",IF(OR($EL103="",$EM103=""),"ONZEKER",IF(AND($EO103=$EL103+1,$EP103=$EM103),IF(OR(COUNTIF(#REF!,$B103)&gt;0,COUNTIF(#REF!,$B103)=0),"SKIP",IF(COUNTIFS(#REF!,$B103,#REF!,$DA103)&gt;0,"OK","ONBEKEND")),IF(AND($EO103=$EL103,$EP103=$EM103+1),IF(OR(COUNTIF(#REF!,$D103)&gt;0,COUNTIF(#REF!,$D103)=0),"SKIP",IF(COUNTIFS(#REF!,$D103,#REF!,$DA103)&gt;0,"OK","ONBEKEND")),"ONZEKER")))))</f>
        <v/>
      </c>
      <c r="DC103" t="str">
        <f t="shared" si="750"/>
        <v/>
      </c>
      <c r="DD103" t="str">
        <f t="shared" si="751"/>
        <v/>
      </c>
      <c r="DE103" t="str">
        <f>IF($DD103="","",IF(OR($ER103="",$ES103=""),"ONZEKER",IF(OR($EO103="",$EP103=""),"ONZEKER",IF(AND($ER103=$EO103+1,$ES103=$EP103),IF(OR(COUNTIF(#REF!,$B103)&gt;0,COUNTIF(#REF!,$B103)=0),"SKIP",IF(COUNTIFS(#REF!,$B103,#REF!,$DD103)&gt;0,"OK","ONBEKEND")),IF(AND($ER103=$EO103,$ES103=$EP103+1),IF(OR(COUNTIF(#REF!,$D103)&gt;0,COUNTIF(#REF!,$D103)=0),"SKIP",IF(COUNTIFS(#REF!,$D103,#REF!,$DD103)&gt;0,"OK","ONBEKEND")),"ONZEKER")))))</f>
        <v/>
      </c>
      <c r="DF103" t="str">
        <f t="shared" si="752"/>
        <v/>
      </c>
      <c r="DG103" t="str">
        <f t="shared" si="753"/>
        <v/>
      </c>
      <c r="DH103" t="str">
        <f>IF($DG103="","",IF(OR($EU103="",$EV103=""),"ONZEKER",IF(OR($ER103="",$ES103=""),"ONZEKER",IF(AND($EU103=$ER103+1,$EV103=$ES103),IF(OR(COUNTIF(#REF!,$B103)&gt;0,COUNTIF(#REF!,$B103)=0),"SKIP",IF(COUNTIFS(#REF!,$B103,#REF!,$DG103)&gt;0,"OK","ONBEKEND")),IF(AND($EU103=$ER103,$EV103=$ES103+1),IF(OR(COUNTIF(#REF!,$D103)&gt;0,COUNTIF(#REF!,$D103)=0),"SKIP",IF(COUNTIFS(#REF!,$D103,#REF!,$DG103)&gt;0,"OK","ONBEKEND")),"ONZEKER")))))</f>
        <v/>
      </c>
      <c r="DI103" t="str">
        <f t="shared" si="754"/>
        <v/>
      </c>
      <c r="DJ103" t="str">
        <f t="shared" si="755"/>
        <v/>
      </c>
      <c r="DK103" t="str">
        <f>IF($DJ103="","",IF(OR($EX103="",$EY103=""),"ONZEKER",IF(OR($EU103="",$EV103=""),"ONZEKER",IF(AND($EX103=$EU103+1,$EY103=$EV103),IF(OR(COUNTIF(#REF!,$B103)&gt;0,COUNTIF(#REF!,$B103)=0),"SKIP",IF(COUNTIFS(#REF!,$B103,#REF!,$DJ103)&gt;0,"OK","ONBEKEND")),IF(AND($EX103=$EU103,$EY103=$EV103+1),IF(OR(COUNTIF(#REF!,$D103)&gt;0,COUNTIF(#REF!,$D103)=0),"SKIP",IF(COUNTIFS(#REF!,$D103,#REF!,$DJ103)&gt;0,"OK","ONBEKEND")),"ONZEKER")))))</f>
        <v/>
      </c>
      <c r="DL103" t="str">
        <f t="shared" si="756"/>
        <v/>
      </c>
      <c r="DM103" t="str">
        <f t="shared" si="757"/>
        <v/>
      </c>
      <c r="DN103" t="str">
        <f t="shared" si="758"/>
        <v/>
      </c>
      <c r="DO103" t="str">
        <f t="shared" si="759"/>
        <v/>
      </c>
      <c r="DP103" t="str">
        <f t="shared" si="760"/>
        <v/>
      </c>
      <c r="DQ103" t="str">
        <f t="shared" si="761"/>
        <v/>
      </c>
      <c r="DR103" t="str">
        <f t="shared" si="762"/>
        <v/>
      </c>
      <c r="DS103" t="str">
        <f t="shared" si="763"/>
        <v/>
      </c>
      <c r="DT103" t="str">
        <f t="shared" si="764"/>
        <v/>
      </c>
      <c r="DU103" t="str">
        <f t="shared" si="765"/>
        <v/>
      </c>
      <c r="DV103" t="str">
        <f t="shared" si="766"/>
        <v/>
      </c>
      <c r="DW103" t="str">
        <f t="shared" si="767"/>
        <v/>
      </c>
      <c r="DX103" t="str">
        <f t="shared" si="768"/>
        <v/>
      </c>
      <c r="DY103" t="str">
        <f t="shared" si="769"/>
        <v/>
      </c>
      <c r="DZ103" t="str">
        <f t="shared" si="770"/>
        <v/>
      </c>
      <c r="EA103" t="str">
        <f t="shared" si="771"/>
        <v/>
      </c>
      <c r="EB103" t="str">
        <f t="shared" si="772"/>
        <v/>
      </c>
      <c r="EC103" t="str">
        <f t="shared" si="773"/>
        <v/>
      </c>
      <c r="ED103" t="str">
        <f t="shared" si="774"/>
        <v/>
      </c>
      <c r="EE103" t="str">
        <f t="shared" si="775"/>
        <v/>
      </c>
      <c r="EF103" t="str">
        <f t="shared" si="776"/>
        <v/>
      </c>
      <c r="EG103" t="str">
        <f t="shared" si="777"/>
        <v/>
      </c>
      <c r="EH103" t="str">
        <f t="shared" si="778"/>
        <v/>
      </c>
      <c r="EI103" t="str">
        <f t="shared" si="779"/>
        <v/>
      </c>
      <c r="EJ103" t="str">
        <f t="shared" si="780"/>
        <v/>
      </c>
      <c r="EK103" t="str">
        <f t="shared" si="781"/>
        <v/>
      </c>
      <c r="EL103" t="str">
        <f t="shared" si="782"/>
        <v/>
      </c>
      <c r="EM103" t="str">
        <f t="shared" si="783"/>
        <v/>
      </c>
      <c r="EN103" t="str">
        <f t="shared" si="784"/>
        <v/>
      </c>
      <c r="EO103" t="str">
        <f t="shared" si="785"/>
        <v/>
      </c>
      <c r="EP103" t="str">
        <f t="shared" si="786"/>
        <v/>
      </c>
      <c r="EQ103" t="str">
        <f t="shared" si="787"/>
        <v/>
      </c>
      <c r="ER103" t="str">
        <f t="shared" si="788"/>
        <v/>
      </c>
      <c r="ES103" t="str">
        <f t="shared" si="789"/>
        <v/>
      </c>
      <c r="ET103" t="str">
        <f t="shared" si="790"/>
        <v/>
      </c>
      <c r="EU103" t="str">
        <f t="shared" si="791"/>
        <v/>
      </c>
      <c r="EV103" t="str">
        <f t="shared" si="792"/>
        <v/>
      </c>
      <c r="EW103" t="str">
        <f t="shared" si="793"/>
        <v/>
      </c>
      <c r="EX103" t="str">
        <f t="shared" si="794"/>
        <v/>
      </c>
      <c r="EY103" t="str">
        <f t="shared" si="795"/>
        <v/>
      </c>
    </row>
    <row r="104" spans="1:155" ht="13.9" customHeight="1" x14ac:dyDescent="0.25">
      <c r="M104" s="3" t="str">
        <f>IF($L104="","",IF($L104="DOELPUNTENMAKERS","",IF(AND(COUNTIF(#REF!,$B104)=0,COUNTIF(#REF!,$D104)=0),"OK",IF($O104&gt;20,"LET OP: meer dan 20 items (controle onvolledig)",IF((COUNTIF($R104:$AS104,"ONZEKER")+COUNTIF($CJ104:$DK104,"ONZEKER"))&gt;0,"LET OP: scoreverloop onduidelijk (controle beperkt)",IF((IF($AT104&lt;&gt;"",$AT104&amp;", ","")&amp;IF($AU104&lt;&gt;"",$AU104&amp;", ","")&amp;IF($AV104&lt;&gt;"",$AV104&amp;", ","")&amp;IF($AW104&lt;&gt;"",$AW104&amp;", ","")&amp;IF($AX104&lt;&gt;"",$AX104&amp;", ","")&amp;IF($AY104&lt;&gt;"",$AY104&amp;", ","")&amp;IF($AZ104&lt;&gt;"",$AZ104&amp;", ","")&amp;IF($BA104&lt;&gt;"",$BA104&amp;", ","")&amp;IF($BB104&lt;&gt;"",$BB104&amp;", ","")&amp;IF($BC104&lt;&gt;"",$BC104&amp;", ","")&amp;IF($DL104&lt;&gt;"",$DL104&amp;", ","")&amp;IF($DM104&lt;&gt;"",$DM104&amp;", ","")&amp;IF($DN104&lt;&gt;"",$DN104&amp;", ","")&amp;IF($DO104&lt;&gt;"",$DO104&amp;", ","")&amp;IF($DP104&lt;&gt;"",$DP104&amp;", ","")&amp;IF($DQ104&lt;&gt;"",$DQ104&amp;", ","")&amp;IF($DR104&lt;&gt;"",$DR104&amp;", ","")&amp;IF($DS104&lt;&gt;"",$DS104&amp;", ","")&amp;IF($DT104&lt;&gt;"",$DT104&amp;", ","")&amp;IF($DU104&lt;&gt;"",$DU104&amp;", ",""))="","OK","Onbekend: "&amp;LEFT((IF($AT104&lt;&gt;"",$AT104&amp;", ","")&amp;IF($AU104&lt;&gt;"",$AU104&amp;", ","")&amp;IF($AV104&lt;&gt;"",$AV104&amp;", ","")&amp;IF($AW104&lt;&gt;"",$AW104&amp;", ","")&amp;IF($AX104&lt;&gt;"",$AX104&amp;", ","")&amp;IF($AY104&lt;&gt;"",$AY104&amp;", ","")&amp;IF($AZ104&lt;&gt;"",$AZ104&amp;", ","")&amp;IF($BA104&lt;&gt;"",$BA104&amp;", ","")&amp;IF($BB104&lt;&gt;"",$BB104&amp;", ","")&amp;IF($BC104&lt;&gt;"",$BC104&amp;", ","")&amp;IF($DL104&lt;&gt;"",$DL104&amp;", ","")&amp;IF($DM104&lt;&gt;"",$DM104&amp;", ","")&amp;IF($DN104&lt;&gt;"",$DN104&amp;", ","")&amp;IF($DO104&lt;&gt;"",$DO104&amp;", ","")&amp;IF($DP104&lt;&gt;"",$DP104&amp;", ","")&amp;IF($DQ104&lt;&gt;"",$DQ104&amp;", ","")&amp;IF($DR104&lt;&gt;"",$DR104&amp;", ","")&amp;IF($DS104&lt;&gt;"",$DS104&amp;", ","")&amp;IF($DT104&lt;&gt;"",$DT104&amp;", ","")&amp;IF($DU104&lt;&gt;"",$DU104&amp;", ","")),LEN((IF($AT104&lt;&gt;"",$AT104&amp;", ","")&amp;IF($AU104&lt;&gt;"",$AU104&amp;", ","")&amp;IF($AV104&lt;&gt;"",$AV104&amp;", ","")&amp;IF($AW104&lt;&gt;"",$AW104&amp;", ","")&amp;IF($AX104&lt;&gt;"",$AX104&amp;", ","")&amp;IF($AY104&lt;&gt;"",$AY104&amp;", ","")&amp;IF($AZ104&lt;&gt;"",$AZ104&amp;", ","")&amp;IF($BA104&lt;&gt;"",$BA104&amp;", ","")&amp;IF($BB104&lt;&gt;"",$BB104&amp;", ","")&amp;IF($BC104&lt;&gt;"",$BC104&amp;", ","")&amp;IF($DL104&lt;&gt;"",$DL104&amp;", ","")&amp;IF($DM104&lt;&gt;"",$DM104&amp;", ","")&amp;IF($DN104&lt;&gt;"",$DN104&amp;", ","")&amp;IF($DO104&lt;&gt;"",$DO104&amp;", ","")&amp;IF($DP104&lt;&gt;"",$DP104&amp;", ","")&amp;IF($DQ104&lt;&gt;"",$DQ104&amp;", ","")&amp;IF($DR104&lt;&gt;"",$DR104&amp;", ","")&amp;IF($DS104&lt;&gt;"",$DS104&amp;", ","")&amp;IF($DT104&lt;&gt;"",$DT104&amp;", ","")&amp;IF($DU104&lt;&gt;"",$DU104&amp;", ","")))-2)))))))</f>
        <v/>
      </c>
      <c r="N104" t="str">
        <f t="shared" si="704"/>
        <v/>
      </c>
      <c r="O104" t="str">
        <f t="shared" si="705"/>
        <v/>
      </c>
      <c r="P104" t="str">
        <f t="shared" si="706"/>
        <v/>
      </c>
      <c r="Q104" t="str">
        <f t="shared" si="707"/>
        <v/>
      </c>
      <c r="R104" t="str">
        <f>IF($Q104="","",IF(OR($BE104="",$BF104=""),"ONZEKER",IF(AND($BE104=0+1,$BF104=0),IF(OR(COUNTIF(#REF!,$B104)&gt;0,COUNTIF(#REF!,$B104)=0),"SKIP",IF(COUNTIFS(#REF!,$B104,#REF!,$Q104)&gt;0,"OK","ONBEKEND")),IF(AND($BE104=0,$BF104=0+1),IF(OR(COUNTIF(#REF!,$D104)&gt;0,COUNTIF(#REF!,$D104)=0),"SKIP",IF(COUNTIFS(#REF!,$D104,#REF!,$Q104)&gt;0,"OK","ONBEKEND")),"ONZEKER"))))</f>
        <v/>
      </c>
      <c r="S104" t="str">
        <f t="shared" si="708"/>
        <v/>
      </c>
      <c r="T104" t="str">
        <f t="shared" si="709"/>
        <v/>
      </c>
      <c r="U104" t="str">
        <f>IF($T104="","",IF(OR($BH104="",$BI104=""),"ONZEKER",IF(OR($BE104="",$BF104=""),"ONZEKER",IF(AND($BH104=$BE104+1,$BI104=$BF104),IF(OR(COUNTIF(#REF!,$B104)&gt;0,COUNTIF(#REF!,$B104)=0),"SKIP",IF(COUNTIFS(#REF!,$B104,#REF!,$T104)&gt;0,"OK","ONBEKEND")),IF(AND($BH104=$BE104,$BI104=$BF104+1),IF(OR(COUNTIF(#REF!,$D104)&gt;0,COUNTIF(#REF!,$D104)=0),"SKIP",IF(COUNTIFS(#REF!,$D104,#REF!,$T104)&gt;0,"OK","ONBEKEND")),"ONZEKER")))))</f>
        <v/>
      </c>
      <c r="V104" t="str">
        <f t="shared" si="710"/>
        <v/>
      </c>
      <c r="W104" t="str">
        <f t="shared" si="711"/>
        <v/>
      </c>
      <c r="X104" t="str">
        <f>IF($W104="","",IF(OR($BK104="",$BL104=""),"ONZEKER",IF(OR($BH104="",$BI104=""),"ONZEKER",IF(AND($BK104=$BH104+1,$BL104=$BI104),IF(OR(COUNTIF(#REF!,$B104)&gt;0,COUNTIF(#REF!,$B104)=0),"SKIP",IF(COUNTIFS(#REF!,$B104,#REF!,$W104)&gt;0,"OK","ONBEKEND")),IF(AND($BK104=$BH104,$BL104=$BI104+1),IF(OR(COUNTIF(#REF!,$D104)&gt;0,COUNTIF(#REF!,$D104)=0),"SKIP",IF(COUNTIFS(#REF!,$D104,#REF!,$W104)&gt;0,"OK","ONBEKEND")),"ONZEKER")))))</f>
        <v/>
      </c>
      <c r="Y104" t="str">
        <f t="shared" si="712"/>
        <v/>
      </c>
      <c r="Z104" t="str">
        <f t="shared" si="713"/>
        <v/>
      </c>
      <c r="AA104" t="str">
        <f>IF($Z104="","",IF(OR($BN104="",$BO104=""),"ONZEKER",IF(OR($BK104="",$BL104=""),"ONZEKER",IF(AND($BN104=$BK104+1,$BO104=$BL104),IF(OR(COUNTIF(#REF!,$B104)&gt;0,COUNTIF(#REF!,$B104)=0),"SKIP",IF(COUNTIFS(#REF!,$B104,#REF!,$Z104)&gt;0,"OK","ONBEKEND")),IF(AND($BN104=$BK104,$BO104=$BL104+1),IF(OR(COUNTIF(#REF!,$D104)&gt;0,COUNTIF(#REF!,$D104)=0),"SKIP",IF(COUNTIFS(#REF!,$D104,#REF!,$Z104)&gt;0,"OK","ONBEKEND")),"ONZEKER")))))</f>
        <v/>
      </c>
      <c r="AB104" t="str">
        <f t="shared" si="714"/>
        <v/>
      </c>
      <c r="AC104" t="str">
        <f t="shared" si="715"/>
        <v/>
      </c>
      <c r="AD104" t="str">
        <f>IF($AC104="","",IF(OR($BQ104="",$BR104=""),"ONZEKER",IF(OR($BN104="",$BO104=""),"ONZEKER",IF(AND($BQ104=$BN104+1,$BR104=$BO104),IF(OR(COUNTIF(#REF!,$B104)&gt;0,COUNTIF(#REF!,$B104)=0),"SKIP",IF(COUNTIFS(#REF!,$B104,#REF!,$AC104)&gt;0,"OK","ONBEKEND")),IF(AND($BQ104=$BN104,$BR104=$BO104+1),IF(OR(COUNTIF(#REF!,$D104)&gt;0,COUNTIF(#REF!,$D104)=0),"SKIP",IF(COUNTIFS(#REF!,$D104,#REF!,$AC104)&gt;0,"OK","ONBEKEND")),"ONZEKER")))))</f>
        <v/>
      </c>
      <c r="AE104" t="str">
        <f t="shared" si="716"/>
        <v/>
      </c>
      <c r="AF104" t="str">
        <f t="shared" si="717"/>
        <v/>
      </c>
      <c r="AG104" t="str">
        <f>IF($AF104="","",IF(OR($BT104="",$BU104=""),"ONZEKER",IF(OR($BQ104="",$BR104=""),"ONZEKER",IF(AND($BT104=$BQ104+1,$BU104=$BR104),IF(OR(COUNTIF(#REF!,$B104)&gt;0,COUNTIF(#REF!,$B104)=0),"SKIP",IF(COUNTIFS(#REF!,$B104,#REF!,$AF104)&gt;0,"OK","ONBEKEND")),IF(AND($BT104=$BQ104,$BU104=$BR104+1),IF(OR(COUNTIF(#REF!,$D104)&gt;0,COUNTIF(#REF!,$D104)=0),"SKIP",IF(COUNTIFS(#REF!,$D104,#REF!,$AF104)&gt;0,"OK","ONBEKEND")),"ONZEKER")))))</f>
        <v/>
      </c>
      <c r="AH104" t="str">
        <f t="shared" si="718"/>
        <v/>
      </c>
      <c r="AI104" t="str">
        <f t="shared" si="719"/>
        <v/>
      </c>
      <c r="AJ104" t="str">
        <f>IF($AI104="","",IF(OR($BW104="",$BX104=""),"ONZEKER",IF(OR($BT104="",$BU104=""),"ONZEKER",IF(AND($BW104=$BT104+1,$BX104=$BU104),IF(OR(COUNTIF(#REF!,$B104)&gt;0,COUNTIF(#REF!,$B104)=0),"SKIP",IF(COUNTIFS(#REF!,$B104,#REF!,$AI104)&gt;0,"OK","ONBEKEND")),IF(AND($BW104=$BT104,$BX104=$BU104+1),IF(OR(COUNTIF(#REF!,$D104)&gt;0,COUNTIF(#REF!,$D104)=0),"SKIP",IF(COUNTIFS(#REF!,$D104,#REF!,$AI104)&gt;0,"OK","ONBEKEND")),"ONZEKER")))))</f>
        <v/>
      </c>
      <c r="AK104" t="str">
        <f t="shared" si="720"/>
        <v/>
      </c>
      <c r="AL104" t="str">
        <f t="shared" si="721"/>
        <v/>
      </c>
      <c r="AM104" t="str">
        <f>IF($AL104="","",IF(OR($BZ104="",$CA104=""),"ONZEKER",IF(OR($BW104="",$BX104=""),"ONZEKER",IF(AND($BZ104=$BW104+1,$CA104=$BX104),IF(OR(COUNTIF(#REF!,$B104)&gt;0,COUNTIF(#REF!,$B104)=0),"SKIP",IF(COUNTIFS(#REF!,$B104,#REF!,$AL104)&gt;0,"OK","ONBEKEND")),IF(AND($BZ104=$BW104,$CA104=$BX104+1),IF(OR(COUNTIF(#REF!,$D104)&gt;0,COUNTIF(#REF!,$D104)=0),"SKIP",IF(COUNTIFS(#REF!,$D104,#REF!,$AL104)&gt;0,"OK","ONBEKEND")),"ONZEKER")))))</f>
        <v/>
      </c>
      <c r="AN104" t="str">
        <f t="shared" si="722"/>
        <v/>
      </c>
      <c r="AO104" t="str">
        <f t="shared" si="723"/>
        <v/>
      </c>
      <c r="AP104" t="str">
        <f>IF($AO104="","",IF(OR($CC104="",$CD104=""),"ONZEKER",IF(OR($BZ104="",$CA104=""),"ONZEKER",IF(AND($CC104=$BZ104+1,$CD104=$CA104),IF(OR(COUNTIF(#REF!,$B104)&gt;0,COUNTIF(#REF!,$B104)=0),"SKIP",IF(COUNTIFS(#REF!,$B104,#REF!,$AO104)&gt;0,"OK","ONBEKEND")),IF(AND($CC104=$BZ104,$CD104=$CA104+1),IF(OR(COUNTIF(#REF!,$D104)&gt;0,COUNTIF(#REF!,$D104)=0),"SKIP",IF(COUNTIFS(#REF!,$D104,#REF!,$AO104)&gt;0,"OK","ONBEKEND")),"ONZEKER")))))</f>
        <v/>
      </c>
      <c r="AQ104" t="str">
        <f t="shared" si="724"/>
        <v/>
      </c>
      <c r="AR104" t="str">
        <f t="shared" si="725"/>
        <v/>
      </c>
      <c r="AS104" t="str">
        <f>IF($AR104="","",IF(OR($CF104="",$CG104=""),"ONZEKER",IF(OR($CC104="",$CD104=""),"ONZEKER",IF(AND($CF104=$CC104+1,$CG104=$CD104),IF(OR(COUNTIF(#REF!,$B104)&gt;0,COUNTIF(#REF!,$B104)=0),"SKIP",IF(COUNTIFS(#REF!,$B104,#REF!,$AR104)&gt;0,"OK","ONBEKEND")),IF(AND($CF104=$CC104,$CG104=$CD104+1),IF(OR(COUNTIF(#REF!,$D104)&gt;0,COUNTIF(#REF!,$D104)=0),"SKIP",IF(COUNTIFS(#REF!,$D104,#REF!,$AR104)&gt;0,"OK","ONBEKEND")),"ONZEKER")))))</f>
        <v/>
      </c>
      <c r="AT104" t="str">
        <f t="shared" si="726"/>
        <v/>
      </c>
      <c r="AU104" t="str">
        <f t="shared" si="727"/>
        <v/>
      </c>
      <c r="AV104" t="str">
        <f t="shared" si="728"/>
        <v/>
      </c>
      <c r="AW104" t="str">
        <f t="shared" si="729"/>
        <v/>
      </c>
      <c r="AX104" t="str">
        <f t="shared" si="730"/>
        <v/>
      </c>
      <c r="AY104" t="str">
        <f t="shared" si="731"/>
        <v/>
      </c>
      <c r="AZ104" t="str">
        <f t="shared" si="732"/>
        <v/>
      </c>
      <c r="BA104" t="str">
        <f t="shared" si="733"/>
        <v/>
      </c>
      <c r="BB104" t="str">
        <f t="shared" si="734"/>
        <v/>
      </c>
      <c r="BC104" t="str">
        <f t="shared" si="735"/>
        <v/>
      </c>
      <c r="BD104" t="str">
        <f t="shared" si="490"/>
        <v/>
      </c>
      <c r="BE104" t="str">
        <f t="shared" si="491"/>
        <v/>
      </c>
      <c r="BF104" t="str">
        <f t="shared" si="492"/>
        <v/>
      </c>
      <c r="BG104" t="str">
        <f t="shared" si="493"/>
        <v/>
      </c>
      <c r="BH104" t="str">
        <f t="shared" si="494"/>
        <v/>
      </c>
      <c r="BI104" t="str">
        <f t="shared" si="495"/>
        <v/>
      </c>
      <c r="BJ104" t="str">
        <f t="shared" si="496"/>
        <v/>
      </c>
      <c r="BK104" t="str">
        <f t="shared" si="497"/>
        <v/>
      </c>
      <c r="BL104" t="str">
        <f t="shared" si="498"/>
        <v/>
      </c>
      <c r="BM104" t="str">
        <f t="shared" si="499"/>
        <v/>
      </c>
      <c r="BN104" t="str">
        <f t="shared" si="500"/>
        <v/>
      </c>
      <c r="BO104" t="str">
        <f t="shared" si="501"/>
        <v/>
      </c>
      <c r="BP104" t="str">
        <f t="shared" si="502"/>
        <v/>
      </c>
      <c r="BQ104" t="str">
        <f t="shared" si="503"/>
        <v/>
      </c>
      <c r="BR104" t="str">
        <f t="shared" si="504"/>
        <v/>
      </c>
      <c r="BS104" t="str">
        <f t="shared" si="505"/>
        <v/>
      </c>
      <c r="BT104" t="str">
        <f t="shared" si="506"/>
        <v/>
      </c>
      <c r="BU104" t="str">
        <f t="shared" si="507"/>
        <v/>
      </c>
      <c r="BV104" t="str">
        <f t="shared" si="508"/>
        <v/>
      </c>
      <c r="BW104" t="str">
        <f t="shared" si="509"/>
        <v/>
      </c>
      <c r="BX104" t="str">
        <f t="shared" si="510"/>
        <v/>
      </c>
      <c r="BY104" t="str">
        <f t="shared" si="511"/>
        <v/>
      </c>
      <c r="BZ104" t="str">
        <f t="shared" si="512"/>
        <v/>
      </c>
      <c r="CA104" t="str">
        <f t="shared" si="513"/>
        <v/>
      </c>
      <c r="CB104" t="str">
        <f t="shared" si="514"/>
        <v/>
      </c>
      <c r="CC104" t="str">
        <f t="shared" si="515"/>
        <v/>
      </c>
      <c r="CD104" t="str">
        <f t="shared" si="516"/>
        <v/>
      </c>
      <c r="CE104" t="str">
        <f t="shared" si="517"/>
        <v/>
      </c>
      <c r="CF104" t="str">
        <f t="shared" si="518"/>
        <v/>
      </c>
      <c r="CG104" t="str">
        <f t="shared" si="519"/>
        <v/>
      </c>
      <c r="CH104" t="str">
        <f t="shared" si="736"/>
        <v/>
      </c>
      <c r="CI104" t="str">
        <f t="shared" si="737"/>
        <v/>
      </c>
      <c r="CJ104" t="str">
        <f>IF($CI104="","",IF(OR($DW104="",$DX104=""),"ONZEKER",IF(OR($CF104="",$CG104=""),"ONZEKER",IF(AND($DW104=$CF104+1,$DX104=$CG104),IF(OR(COUNTIF(#REF!,$B104)&gt;0,COUNTIF(#REF!,$B104)=0),"SKIP",IF(COUNTIFS(#REF!,$B104,#REF!,$CI104)&gt;0,"OK","ONBEKEND")),IF(AND($DW104=$CF104,$DX104=$CG104+1),IF(OR(COUNTIF(#REF!,$D104)&gt;0,COUNTIF(#REF!,$D104)=0),"SKIP",IF(COUNTIFS(#REF!,$D104,#REF!,$CI104)&gt;0,"OK","ONBEKEND")),"ONZEKER")))))</f>
        <v/>
      </c>
      <c r="CK104" t="str">
        <f t="shared" si="738"/>
        <v/>
      </c>
      <c r="CL104" t="str">
        <f t="shared" si="739"/>
        <v/>
      </c>
      <c r="CM104" t="str">
        <f>IF($CL104="","",IF(OR($DZ104="",$EA104=""),"ONZEKER",IF(OR($DW104="",$DX104=""),"ONZEKER",IF(AND($DZ104=$DW104+1,$EA104=$DX104),IF(OR(COUNTIF(#REF!,$B104)&gt;0,COUNTIF(#REF!,$B104)=0),"SKIP",IF(COUNTIFS(#REF!,$B104,#REF!,$CL104)&gt;0,"OK","ONBEKEND")),IF(AND($DZ104=$DW104,$EA104=$DX104+1),IF(OR(COUNTIF(#REF!,$D104)&gt;0,COUNTIF(#REF!,$D104)=0),"SKIP",IF(COUNTIFS(#REF!,$D104,#REF!,$CL104)&gt;0,"OK","ONBEKEND")),"ONZEKER")))))</f>
        <v/>
      </c>
      <c r="CN104" t="str">
        <f t="shared" si="740"/>
        <v/>
      </c>
      <c r="CO104" t="str">
        <f t="shared" si="741"/>
        <v/>
      </c>
      <c r="CP104" t="str">
        <f>IF($CO104="","",IF(OR($EC104="",$ED104=""),"ONZEKER",IF(OR($DZ104="",$EA104=""),"ONZEKER",IF(AND($EC104=$DZ104+1,$ED104=$EA104),IF(OR(COUNTIF(#REF!,$B104)&gt;0,COUNTIF(#REF!,$B104)=0),"SKIP",IF(COUNTIFS(#REF!,$B104,#REF!,$CO104)&gt;0,"OK","ONBEKEND")),IF(AND($EC104=$DZ104,$ED104=$EA104+1),IF(OR(COUNTIF(#REF!,$D104)&gt;0,COUNTIF(#REF!,$D104)=0),"SKIP",IF(COUNTIFS(#REF!,$D104,#REF!,$CO104)&gt;0,"OK","ONBEKEND")),"ONZEKER")))))</f>
        <v/>
      </c>
      <c r="CQ104" t="str">
        <f t="shared" si="742"/>
        <v/>
      </c>
      <c r="CR104" t="str">
        <f t="shared" si="743"/>
        <v/>
      </c>
      <c r="CS104" t="str">
        <f>IF($CR104="","",IF(OR($EF104="",$EG104=""),"ONZEKER",IF(OR($EC104="",$ED104=""),"ONZEKER",IF(AND($EF104=$EC104+1,$EG104=$ED104),IF(OR(COUNTIF(#REF!,$B104)&gt;0,COUNTIF(#REF!,$B104)=0),"SKIP",IF(COUNTIFS(#REF!,$B104,#REF!,$CR104)&gt;0,"OK","ONBEKEND")),IF(AND($EF104=$EC104,$EG104=$ED104+1),IF(OR(COUNTIF(#REF!,$D104)&gt;0,COUNTIF(#REF!,$D104)=0),"SKIP",IF(COUNTIFS(#REF!,$D104,#REF!,$CR104)&gt;0,"OK","ONBEKEND")),"ONZEKER")))))</f>
        <v/>
      </c>
      <c r="CT104" t="str">
        <f t="shared" si="744"/>
        <v/>
      </c>
      <c r="CU104" t="str">
        <f t="shared" si="745"/>
        <v/>
      </c>
      <c r="CV104" t="str">
        <f>IF($CU104="","",IF(OR($EI104="",$EJ104=""),"ONZEKER",IF(OR($EF104="",$EG104=""),"ONZEKER",IF(AND($EI104=$EF104+1,$EJ104=$EG104),IF(OR(COUNTIF(#REF!,$B104)&gt;0,COUNTIF(#REF!,$B104)=0),"SKIP",IF(COUNTIFS(#REF!,$B104,#REF!,$CU104)&gt;0,"OK","ONBEKEND")),IF(AND($EI104=$EF104,$EJ104=$EG104+1),IF(OR(COUNTIF(#REF!,$D104)&gt;0,COUNTIF(#REF!,$D104)=0),"SKIP",IF(COUNTIFS(#REF!,$D104,#REF!,$CU104)&gt;0,"OK","ONBEKEND")),"ONZEKER")))))</f>
        <v/>
      </c>
      <c r="CW104" t="str">
        <f t="shared" si="746"/>
        <v/>
      </c>
      <c r="CX104" t="str">
        <f t="shared" si="747"/>
        <v/>
      </c>
      <c r="CY104" t="str">
        <f>IF($CX104="","",IF(OR($EL104="",$EM104=""),"ONZEKER",IF(OR($EI104="",$EJ104=""),"ONZEKER",IF(AND($EL104=$EI104+1,$EM104=$EJ104),IF(OR(COUNTIF(#REF!,$B104)&gt;0,COUNTIF(#REF!,$B104)=0),"SKIP",IF(COUNTIFS(#REF!,$B104,#REF!,$CX104)&gt;0,"OK","ONBEKEND")),IF(AND($EL104=$EI104,$EM104=$EJ104+1),IF(OR(COUNTIF(#REF!,$D104)&gt;0,COUNTIF(#REF!,$D104)=0),"SKIP",IF(COUNTIFS(#REF!,$D104,#REF!,$CX104)&gt;0,"OK","ONBEKEND")),"ONZEKER")))))</f>
        <v/>
      </c>
      <c r="CZ104" t="str">
        <f t="shared" si="748"/>
        <v/>
      </c>
      <c r="DA104" t="str">
        <f t="shared" si="749"/>
        <v/>
      </c>
      <c r="DB104" t="str">
        <f>IF($DA104="","",IF(OR($EO104="",$EP104=""),"ONZEKER",IF(OR($EL104="",$EM104=""),"ONZEKER",IF(AND($EO104=$EL104+1,$EP104=$EM104),IF(OR(COUNTIF(#REF!,$B104)&gt;0,COUNTIF(#REF!,$B104)=0),"SKIP",IF(COUNTIFS(#REF!,$B104,#REF!,$DA104)&gt;0,"OK","ONBEKEND")),IF(AND($EO104=$EL104,$EP104=$EM104+1),IF(OR(COUNTIF(#REF!,$D104)&gt;0,COUNTIF(#REF!,$D104)=0),"SKIP",IF(COUNTIFS(#REF!,$D104,#REF!,$DA104)&gt;0,"OK","ONBEKEND")),"ONZEKER")))))</f>
        <v/>
      </c>
      <c r="DC104" t="str">
        <f t="shared" si="750"/>
        <v/>
      </c>
      <c r="DD104" t="str">
        <f t="shared" si="751"/>
        <v/>
      </c>
      <c r="DE104" t="str">
        <f>IF($DD104="","",IF(OR($ER104="",$ES104=""),"ONZEKER",IF(OR($EO104="",$EP104=""),"ONZEKER",IF(AND($ER104=$EO104+1,$ES104=$EP104),IF(OR(COUNTIF(#REF!,$B104)&gt;0,COUNTIF(#REF!,$B104)=0),"SKIP",IF(COUNTIFS(#REF!,$B104,#REF!,$DD104)&gt;0,"OK","ONBEKEND")),IF(AND($ER104=$EO104,$ES104=$EP104+1),IF(OR(COUNTIF(#REF!,$D104)&gt;0,COUNTIF(#REF!,$D104)=0),"SKIP",IF(COUNTIFS(#REF!,$D104,#REF!,$DD104)&gt;0,"OK","ONBEKEND")),"ONZEKER")))))</f>
        <v/>
      </c>
      <c r="DF104" t="str">
        <f t="shared" si="752"/>
        <v/>
      </c>
      <c r="DG104" t="str">
        <f t="shared" si="753"/>
        <v/>
      </c>
      <c r="DH104" t="str">
        <f>IF($DG104="","",IF(OR($EU104="",$EV104=""),"ONZEKER",IF(OR($ER104="",$ES104=""),"ONZEKER",IF(AND($EU104=$ER104+1,$EV104=$ES104),IF(OR(COUNTIF(#REF!,$B104)&gt;0,COUNTIF(#REF!,$B104)=0),"SKIP",IF(COUNTIFS(#REF!,$B104,#REF!,$DG104)&gt;0,"OK","ONBEKEND")),IF(AND($EU104=$ER104,$EV104=$ES104+1),IF(OR(COUNTIF(#REF!,$D104)&gt;0,COUNTIF(#REF!,$D104)=0),"SKIP",IF(COUNTIFS(#REF!,$D104,#REF!,$DG104)&gt;0,"OK","ONBEKEND")),"ONZEKER")))))</f>
        <v/>
      </c>
      <c r="DI104" t="str">
        <f t="shared" si="754"/>
        <v/>
      </c>
      <c r="DJ104" t="str">
        <f t="shared" si="755"/>
        <v/>
      </c>
      <c r="DK104" t="str">
        <f>IF($DJ104="","",IF(OR($EX104="",$EY104=""),"ONZEKER",IF(OR($EU104="",$EV104=""),"ONZEKER",IF(AND($EX104=$EU104+1,$EY104=$EV104),IF(OR(COUNTIF(#REF!,$B104)&gt;0,COUNTIF(#REF!,$B104)=0),"SKIP",IF(COUNTIFS(#REF!,$B104,#REF!,$DJ104)&gt;0,"OK","ONBEKEND")),IF(AND($EX104=$EU104,$EY104=$EV104+1),IF(OR(COUNTIF(#REF!,$D104)&gt;0,COUNTIF(#REF!,$D104)=0),"SKIP",IF(COUNTIFS(#REF!,$D104,#REF!,$DJ104)&gt;0,"OK","ONBEKEND")),"ONZEKER")))))</f>
        <v/>
      </c>
      <c r="DL104" t="str">
        <f t="shared" si="756"/>
        <v/>
      </c>
      <c r="DM104" t="str">
        <f t="shared" si="757"/>
        <v/>
      </c>
      <c r="DN104" t="str">
        <f t="shared" si="758"/>
        <v/>
      </c>
      <c r="DO104" t="str">
        <f t="shared" si="759"/>
        <v/>
      </c>
      <c r="DP104" t="str">
        <f t="shared" si="760"/>
        <v/>
      </c>
      <c r="DQ104" t="str">
        <f t="shared" si="761"/>
        <v/>
      </c>
      <c r="DR104" t="str">
        <f t="shared" si="762"/>
        <v/>
      </c>
      <c r="DS104" t="str">
        <f t="shared" si="763"/>
        <v/>
      </c>
      <c r="DT104" t="str">
        <f t="shared" si="764"/>
        <v/>
      </c>
      <c r="DU104" t="str">
        <f t="shared" si="765"/>
        <v/>
      </c>
      <c r="DV104" t="str">
        <f t="shared" si="766"/>
        <v/>
      </c>
      <c r="DW104" t="str">
        <f t="shared" si="767"/>
        <v/>
      </c>
      <c r="DX104" t="str">
        <f t="shared" si="768"/>
        <v/>
      </c>
      <c r="DY104" t="str">
        <f t="shared" si="769"/>
        <v/>
      </c>
      <c r="DZ104" t="str">
        <f t="shared" si="770"/>
        <v/>
      </c>
      <c r="EA104" t="str">
        <f t="shared" si="771"/>
        <v/>
      </c>
      <c r="EB104" t="str">
        <f t="shared" si="772"/>
        <v/>
      </c>
      <c r="EC104" t="str">
        <f t="shared" si="773"/>
        <v/>
      </c>
      <c r="ED104" t="str">
        <f t="shared" si="774"/>
        <v/>
      </c>
      <c r="EE104" t="str">
        <f t="shared" si="775"/>
        <v/>
      </c>
      <c r="EF104" t="str">
        <f t="shared" si="776"/>
        <v/>
      </c>
      <c r="EG104" t="str">
        <f t="shared" si="777"/>
        <v/>
      </c>
      <c r="EH104" t="str">
        <f t="shared" si="778"/>
        <v/>
      </c>
      <c r="EI104" t="str">
        <f t="shared" si="779"/>
        <v/>
      </c>
      <c r="EJ104" t="str">
        <f t="shared" si="780"/>
        <v/>
      </c>
      <c r="EK104" t="str">
        <f t="shared" si="781"/>
        <v/>
      </c>
      <c r="EL104" t="str">
        <f t="shared" si="782"/>
        <v/>
      </c>
      <c r="EM104" t="str">
        <f t="shared" si="783"/>
        <v/>
      </c>
      <c r="EN104" t="str">
        <f t="shared" si="784"/>
        <v/>
      </c>
      <c r="EO104" t="str">
        <f t="shared" si="785"/>
        <v/>
      </c>
      <c r="EP104" t="str">
        <f t="shared" si="786"/>
        <v/>
      </c>
      <c r="EQ104" t="str">
        <f t="shared" si="787"/>
        <v/>
      </c>
      <c r="ER104" t="str">
        <f t="shared" si="788"/>
        <v/>
      </c>
      <c r="ES104" t="str">
        <f t="shared" si="789"/>
        <v/>
      </c>
      <c r="ET104" t="str">
        <f t="shared" si="790"/>
        <v/>
      </c>
      <c r="EU104" t="str">
        <f t="shared" si="791"/>
        <v/>
      </c>
      <c r="EV104" t="str">
        <f t="shared" si="792"/>
        <v/>
      </c>
      <c r="EW104" t="str">
        <f t="shared" si="793"/>
        <v/>
      </c>
      <c r="EX104" t="str">
        <f t="shared" si="794"/>
        <v/>
      </c>
      <c r="EY104" t="str">
        <f t="shared" si="795"/>
        <v/>
      </c>
    </row>
    <row r="105" spans="1:155" ht="13.9" customHeight="1" x14ac:dyDescent="0.25">
      <c r="A105" s="14"/>
      <c r="B105" s="15" t="s">
        <v>152</v>
      </c>
      <c r="C105" s="16"/>
      <c r="D105" s="16"/>
      <c r="E105" s="16"/>
      <c r="F105" s="31" t="s">
        <v>1</v>
      </c>
      <c r="G105" s="33"/>
      <c r="H105" s="33"/>
      <c r="I105" s="32" t="s">
        <v>2</v>
      </c>
      <c r="J105" s="33"/>
      <c r="K105" s="33"/>
      <c r="L105" s="6" t="s">
        <v>3</v>
      </c>
      <c r="M105" s="2" t="s">
        <v>4</v>
      </c>
      <c r="N105" s="2" t="s">
        <v>5</v>
      </c>
      <c r="O105" s="2" t="s">
        <v>6</v>
      </c>
      <c r="P105" s="2" t="s">
        <v>7</v>
      </c>
      <c r="Q105" s="2" t="s">
        <v>8</v>
      </c>
      <c r="R105" s="2" t="str">
        <f>IF($Q105="","",IF(OR($BE105="",$BF105=""),"ONZEKER",IF(AND($BE105=0+1,$BF105=0),IF(OR(COUNTIF(#REF!,$B105)&gt;0,COUNTIF(#REF!,$B105)=0),"SKIP",IF(COUNTIFS(#REF!,$B105,#REF!,$Q105)&gt;0,"OK","ONBEKEND")),IF(AND($BE105=0,$BF105=0+1),IF(OR(COUNTIF(#REF!,$D105)&gt;0,COUNTIF(#REF!,$D105)=0),"SKIP",IF(COUNTIFS(#REF!,$D105,#REF!,$Q105)&gt;0,"OK","ONBEKEND")),"ONZEKER"))))</f>
        <v>ONZEKER</v>
      </c>
      <c r="S105" s="2" t="s">
        <v>10</v>
      </c>
      <c r="T105" s="2" t="s">
        <v>11</v>
      </c>
      <c r="U105" s="2" t="str">
        <f>IF($T105="","",IF(OR($BH105="",$BI105=""),"ONZEKER",IF(OR($BE105="",$BF105=""),"ONZEKER",IF(AND($BH105=$BE105+1,$BI105=$BF105),IF(OR(COUNTIF(#REF!,$B105)&gt;0,COUNTIF(#REF!,$B105)=0),"SKIP",IF(COUNTIFS(#REF!,$B105,#REF!,$T105)&gt;0,"OK","ONBEKEND")),IF(AND($BH105=$BE105,$BI105=$BF105+1),IF(OR(COUNTIF(#REF!,$D105)&gt;0,COUNTIF(#REF!,$D105)=0),"SKIP",IF(COUNTIFS(#REF!,$D105,#REF!,$T105)&gt;0,"OK","ONBEKEND")),"ONZEKER")))))</f>
        <v>ONZEKER</v>
      </c>
      <c r="V105" s="2" t="s">
        <v>13</v>
      </c>
      <c r="W105" s="2" t="s">
        <v>14</v>
      </c>
      <c r="X105" s="2" t="str">
        <f>IF($W105="","",IF(OR($BK105="",$BL105=""),"ONZEKER",IF(OR($BH105="",$BI105=""),"ONZEKER",IF(AND($BK105=$BH105+1,$BL105=$BI105),IF(OR(COUNTIF(#REF!,$B105)&gt;0,COUNTIF(#REF!,$B105)=0),"SKIP",IF(COUNTIFS(#REF!,$B105,#REF!,$W105)&gt;0,"OK","ONBEKEND")),IF(AND($BK105=$BH105,$BL105=$BI105+1),IF(OR(COUNTIF(#REF!,$D105)&gt;0,COUNTIF(#REF!,$D105)=0),"SKIP",IF(COUNTIFS(#REF!,$D105,#REF!,$W105)&gt;0,"OK","ONBEKEND")),"ONZEKER")))))</f>
        <v>ONZEKER</v>
      </c>
      <c r="Y105" s="2" t="s">
        <v>16</v>
      </c>
      <c r="Z105" s="2" t="s">
        <v>17</v>
      </c>
      <c r="AA105" s="2" t="str">
        <f>IF($Z105="","",IF(OR($BN105="",$BO105=""),"ONZEKER",IF(OR($BK105="",$BL105=""),"ONZEKER",IF(AND($BN105=$BK105+1,$BO105=$BL105),IF(OR(COUNTIF(#REF!,$B105)&gt;0,COUNTIF(#REF!,$B105)=0),"SKIP",IF(COUNTIFS(#REF!,$B105,#REF!,$Z105)&gt;0,"OK","ONBEKEND")),IF(AND($BN105=$BK105,$BO105=$BL105+1),IF(OR(COUNTIF(#REF!,$D105)&gt;0,COUNTIF(#REF!,$D105)=0),"SKIP",IF(COUNTIFS(#REF!,$D105,#REF!,$Z105)&gt;0,"OK","ONBEKEND")),"ONZEKER")))))</f>
        <v>ONZEKER</v>
      </c>
      <c r="AB105" s="2" t="s">
        <v>19</v>
      </c>
      <c r="AC105" s="2" t="s">
        <v>20</v>
      </c>
      <c r="AD105" s="2" t="str">
        <f>IF($AC105="","",IF(OR($BQ105="",$BR105=""),"ONZEKER",IF(OR($BN105="",$BO105=""),"ONZEKER",IF(AND($BQ105=$BN105+1,$BR105=$BO105),IF(OR(COUNTIF(#REF!,$B105)&gt;0,COUNTIF(#REF!,$B105)=0),"SKIP",IF(COUNTIFS(#REF!,$B105,#REF!,$AC105)&gt;0,"OK","ONBEKEND")),IF(AND($BQ105=$BN105,$BR105=$BO105+1),IF(OR(COUNTIF(#REF!,$D105)&gt;0,COUNTIF(#REF!,$D105)=0),"SKIP",IF(COUNTIFS(#REF!,$D105,#REF!,$AC105)&gt;0,"OK","ONBEKEND")),"ONZEKER")))))</f>
        <v>ONZEKER</v>
      </c>
      <c r="AE105" s="2" t="s">
        <v>22</v>
      </c>
      <c r="AF105" s="2" t="s">
        <v>23</v>
      </c>
      <c r="AG105" s="2" t="str">
        <f>IF($AF105="","",IF(OR($BT105="",$BU105=""),"ONZEKER",IF(OR($BQ105="",$BR105=""),"ONZEKER",IF(AND($BT105=$BQ105+1,$BU105=$BR105),IF(OR(COUNTIF(#REF!,$B105)&gt;0,COUNTIF(#REF!,$B105)=0),"SKIP",IF(COUNTIFS(#REF!,$B105,#REF!,$AF105)&gt;0,"OK","ONBEKEND")),IF(AND($BT105=$BQ105,$BU105=$BR105+1),IF(OR(COUNTIF(#REF!,$D105)&gt;0,COUNTIF(#REF!,$D105)=0),"SKIP",IF(COUNTIFS(#REF!,$D105,#REF!,$AF105)&gt;0,"OK","ONBEKEND")),"ONZEKER")))))</f>
        <v>ONZEKER</v>
      </c>
      <c r="AH105" s="2" t="s">
        <v>25</v>
      </c>
      <c r="AI105" s="2" t="s">
        <v>26</v>
      </c>
      <c r="AJ105" s="2" t="str">
        <f>IF($AI105="","",IF(OR($BW105="",$BX105=""),"ONZEKER",IF(OR($BT105="",$BU105=""),"ONZEKER",IF(AND($BW105=$BT105+1,$BX105=$BU105),IF(OR(COUNTIF(#REF!,$B105)&gt;0,COUNTIF(#REF!,$B105)=0),"SKIP",IF(COUNTIFS(#REF!,$B105,#REF!,$AI105)&gt;0,"OK","ONBEKEND")),IF(AND($BW105=$BT105,$BX105=$BU105+1),IF(OR(COUNTIF(#REF!,$D105)&gt;0,COUNTIF(#REF!,$D105)=0),"SKIP",IF(COUNTIFS(#REF!,$D105,#REF!,$AI105)&gt;0,"OK","ONBEKEND")),"ONZEKER")))))</f>
        <v>ONZEKER</v>
      </c>
      <c r="AK105" s="2" t="s">
        <v>28</v>
      </c>
      <c r="AL105" s="2" t="s">
        <v>29</v>
      </c>
      <c r="AM105" s="2" t="str">
        <f>IF($AL105="","",IF(OR($BZ105="",$CA105=""),"ONZEKER",IF(OR($BW105="",$BX105=""),"ONZEKER",IF(AND($BZ105=$BW105+1,$CA105=$BX105),IF(OR(COUNTIF(#REF!,$B105)&gt;0,COUNTIF(#REF!,$B105)=0),"SKIP",IF(COUNTIFS(#REF!,$B105,#REF!,$AL105)&gt;0,"OK","ONBEKEND")),IF(AND($BZ105=$BW105,$CA105=$BX105+1),IF(OR(COUNTIF(#REF!,$D105)&gt;0,COUNTIF(#REF!,$D105)=0),"SKIP",IF(COUNTIFS(#REF!,$D105,#REF!,$AL105)&gt;0,"OK","ONBEKEND")),"ONZEKER")))))</f>
        <v>ONZEKER</v>
      </c>
      <c r="AN105" s="2" t="s">
        <v>31</v>
      </c>
      <c r="AO105" s="2" t="s">
        <v>32</v>
      </c>
      <c r="AP105" s="2" t="str">
        <f>IF($AO105="","",IF(OR($CC105="",$CD105=""),"ONZEKER",IF(OR($BZ105="",$CA105=""),"ONZEKER",IF(AND($CC105=$BZ105+1,$CD105=$CA105),IF(OR(COUNTIF(#REF!,$B105)&gt;0,COUNTIF(#REF!,$B105)=0),"SKIP",IF(COUNTIFS(#REF!,$B105,#REF!,$AO105)&gt;0,"OK","ONBEKEND")),IF(AND($CC105=$BZ105,$CD105=$CA105+1),IF(OR(COUNTIF(#REF!,$D105)&gt;0,COUNTIF(#REF!,$D105)=0),"SKIP",IF(COUNTIFS(#REF!,$D105,#REF!,$AO105)&gt;0,"OK","ONBEKEND")),"ONZEKER")))))</f>
        <v>ONZEKER</v>
      </c>
      <c r="AQ105" s="2" t="s">
        <v>34</v>
      </c>
      <c r="AR105" s="2" t="s">
        <v>35</v>
      </c>
      <c r="AS105" s="2" t="str">
        <f>IF($AR105="","",IF(OR($CF105="",$CG105=""),"ONZEKER",IF(OR($CC105="",$CD105=""),"ONZEKER",IF(AND($CF105=$CC105+1,$CG105=$CD105),IF(OR(COUNTIF(#REF!,$B105)&gt;0,COUNTIF(#REF!,$B105)=0),"SKIP",IF(COUNTIFS(#REF!,$B105,#REF!,$AR105)&gt;0,"OK","ONBEKEND")),IF(AND($CF105=$CC105,$CG105=$CD105+1),IF(OR(COUNTIF(#REF!,$D105)&gt;0,COUNTIF(#REF!,$D105)=0),"SKIP",IF(COUNTIFS(#REF!,$D105,#REF!,$AR105)&gt;0,"OK","ONBEKEND")),"ONZEKER")))))</f>
        <v>ONZEKER</v>
      </c>
      <c r="AT105" s="2" t="s">
        <v>37</v>
      </c>
      <c r="AU105" s="2" t="s">
        <v>38</v>
      </c>
      <c r="AV105" s="2" t="s">
        <v>39</v>
      </c>
      <c r="AW105" s="2" t="s">
        <v>40</v>
      </c>
      <c r="AX105" s="2" t="s">
        <v>41</v>
      </c>
      <c r="AY105" s="2" t="s">
        <v>42</v>
      </c>
      <c r="AZ105" s="2" t="s">
        <v>43</v>
      </c>
      <c r="BA105" s="2" t="s">
        <v>44</v>
      </c>
      <c r="BB105" s="2" t="s">
        <v>45</v>
      </c>
      <c r="BC105" s="2" t="s">
        <v>46</v>
      </c>
      <c r="BD105" t="str">
        <f t="shared" si="490"/>
        <v/>
      </c>
      <c r="BE105" t="str">
        <f t="shared" si="491"/>
        <v/>
      </c>
      <c r="BF105" t="str">
        <f t="shared" si="492"/>
        <v/>
      </c>
      <c r="BG105" t="str">
        <f t="shared" si="493"/>
        <v/>
      </c>
      <c r="BH105" t="str">
        <f t="shared" si="494"/>
        <v/>
      </c>
      <c r="BI105" t="str">
        <f t="shared" si="495"/>
        <v/>
      </c>
      <c r="BJ105" t="str">
        <f t="shared" si="496"/>
        <v/>
      </c>
      <c r="BK105" t="str">
        <f t="shared" si="497"/>
        <v/>
      </c>
      <c r="BL105" t="str">
        <f t="shared" si="498"/>
        <v/>
      </c>
      <c r="BM105" t="str">
        <f t="shared" si="499"/>
        <v/>
      </c>
      <c r="BN105" t="str">
        <f t="shared" si="500"/>
        <v/>
      </c>
      <c r="BO105" t="str">
        <f t="shared" si="501"/>
        <v/>
      </c>
      <c r="BP105" t="str">
        <f t="shared" si="502"/>
        <v/>
      </c>
      <c r="BQ105" t="str">
        <f t="shared" si="503"/>
        <v/>
      </c>
      <c r="BR105" t="str">
        <f t="shared" si="504"/>
        <v/>
      </c>
      <c r="BS105" t="str">
        <f t="shared" si="505"/>
        <v/>
      </c>
      <c r="BT105" t="str">
        <f t="shared" si="506"/>
        <v/>
      </c>
      <c r="BU105" t="str">
        <f t="shared" si="507"/>
        <v/>
      </c>
      <c r="BV105" t="str">
        <f t="shared" si="508"/>
        <v/>
      </c>
      <c r="BW105" t="str">
        <f t="shared" si="509"/>
        <v/>
      </c>
      <c r="BX105" t="str">
        <f t="shared" si="510"/>
        <v/>
      </c>
      <c r="BY105" t="str">
        <f t="shared" si="511"/>
        <v/>
      </c>
      <c r="BZ105" t="str">
        <f t="shared" si="512"/>
        <v/>
      </c>
      <c r="CA105" t="str">
        <f t="shared" si="513"/>
        <v/>
      </c>
      <c r="CB105" t="str">
        <f t="shared" si="514"/>
        <v/>
      </c>
      <c r="CC105" t="str">
        <f t="shared" si="515"/>
        <v/>
      </c>
      <c r="CD105" t="str">
        <f t="shared" si="516"/>
        <v/>
      </c>
      <c r="CE105" t="str">
        <f t="shared" si="517"/>
        <v/>
      </c>
      <c r="CF105" t="str">
        <f t="shared" si="518"/>
        <v/>
      </c>
      <c r="CG105" t="str">
        <f t="shared" si="519"/>
        <v/>
      </c>
      <c r="CH105" s="2" t="s">
        <v>77</v>
      </c>
      <c r="CI105" s="2" t="s">
        <v>78</v>
      </c>
      <c r="CJ105" s="2" t="s">
        <v>79</v>
      </c>
      <c r="CK105" s="2" t="s">
        <v>80</v>
      </c>
      <c r="CL105" s="2" t="s">
        <v>81</v>
      </c>
      <c r="CM105" s="2" t="s">
        <v>82</v>
      </c>
      <c r="CN105" s="2" t="s">
        <v>83</v>
      </c>
      <c r="CO105" s="2" t="s">
        <v>84</v>
      </c>
      <c r="CP105" s="2" t="s">
        <v>85</v>
      </c>
      <c r="CQ105" s="2" t="s">
        <v>86</v>
      </c>
      <c r="CR105" s="2" t="s">
        <v>87</v>
      </c>
      <c r="CS105" s="2" t="s">
        <v>88</v>
      </c>
      <c r="CT105" s="2" t="s">
        <v>89</v>
      </c>
      <c r="CU105" s="2" t="s">
        <v>90</v>
      </c>
      <c r="CV105" s="2" t="s">
        <v>91</v>
      </c>
      <c r="CW105" s="2" t="s">
        <v>92</v>
      </c>
      <c r="CX105" s="2" t="s">
        <v>93</v>
      </c>
      <c r="CY105" s="2" t="s">
        <v>94</v>
      </c>
      <c r="CZ105" s="2" t="s">
        <v>95</v>
      </c>
      <c r="DA105" s="2" t="s">
        <v>96</v>
      </c>
      <c r="DB105" s="2" t="s">
        <v>97</v>
      </c>
      <c r="DC105" s="2" t="s">
        <v>98</v>
      </c>
      <c r="DD105" s="2" t="s">
        <v>99</v>
      </c>
      <c r="DE105" s="2" t="s">
        <v>100</v>
      </c>
      <c r="DF105" s="2" t="s">
        <v>101</v>
      </c>
      <c r="DG105" s="2" t="s">
        <v>102</v>
      </c>
      <c r="DH105" s="2" t="s">
        <v>103</v>
      </c>
      <c r="DI105" s="2" t="s">
        <v>104</v>
      </c>
      <c r="DJ105" s="2" t="s">
        <v>105</v>
      </c>
      <c r="DK105" s="2" t="s">
        <v>106</v>
      </c>
      <c r="DL105" s="2" t="s">
        <v>107</v>
      </c>
      <c r="DM105" s="2" t="s">
        <v>108</v>
      </c>
      <c r="DN105" s="2" t="s">
        <v>109</v>
      </c>
      <c r="DO105" s="2" t="s">
        <v>110</v>
      </c>
      <c r="DP105" s="2" t="s">
        <v>111</v>
      </c>
      <c r="DQ105" s="2" t="s">
        <v>112</v>
      </c>
      <c r="DR105" s="2" t="s">
        <v>113</v>
      </c>
      <c r="DS105" s="2" t="s">
        <v>114</v>
      </c>
      <c r="DT105" s="2" t="s">
        <v>115</v>
      </c>
      <c r="DU105" s="2" t="s">
        <v>116</v>
      </c>
      <c r="DV105" s="2" t="s">
        <v>117</v>
      </c>
      <c r="DW105" s="2" t="s">
        <v>118</v>
      </c>
      <c r="DX105" s="2" t="s">
        <v>119</v>
      </c>
      <c r="DY105" s="2" t="s">
        <v>120</v>
      </c>
      <c r="DZ105" s="2" t="s">
        <v>121</v>
      </c>
      <c r="EA105" s="2" t="s">
        <v>122</v>
      </c>
      <c r="EB105" s="2" t="s">
        <v>123</v>
      </c>
      <c r="EC105" s="2" t="s">
        <v>124</v>
      </c>
      <c r="ED105" s="2" t="s">
        <v>125</v>
      </c>
      <c r="EE105" s="2" t="s">
        <v>126</v>
      </c>
      <c r="EF105" s="2" t="s">
        <v>127</v>
      </c>
      <c r="EG105" s="2" t="s">
        <v>128</v>
      </c>
      <c r="EH105" s="2" t="s">
        <v>129</v>
      </c>
      <c r="EI105" s="2" t="s">
        <v>130</v>
      </c>
      <c r="EJ105" s="2" t="s">
        <v>131</v>
      </c>
      <c r="EK105" s="2" t="s">
        <v>132</v>
      </c>
      <c r="EL105" s="2" t="s">
        <v>133</v>
      </c>
      <c r="EM105" s="2" t="s">
        <v>134</v>
      </c>
      <c r="EN105" s="2" t="s">
        <v>135</v>
      </c>
      <c r="EO105" s="2" t="s">
        <v>136</v>
      </c>
      <c r="EP105" s="2" t="s">
        <v>137</v>
      </c>
      <c r="EQ105" s="2" t="s">
        <v>138</v>
      </c>
      <c r="ER105" s="2" t="s">
        <v>139</v>
      </c>
      <c r="ES105" s="2" t="s">
        <v>140</v>
      </c>
      <c r="ET105" s="2" t="s">
        <v>141</v>
      </c>
      <c r="EU105" s="2" t="s">
        <v>142</v>
      </c>
      <c r="EV105" s="2" t="s">
        <v>143</v>
      </c>
      <c r="EW105" s="2" t="s">
        <v>144</v>
      </c>
      <c r="EX105" s="2" t="s">
        <v>145</v>
      </c>
      <c r="EY105" s="2" t="s">
        <v>146</v>
      </c>
    </row>
    <row r="106" spans="1:155" ht="13.9" customHeight="1" x14ac:dyDescent="0.25">
      <c r="A106" s="7"/>
      <c r="B106" s="17"/>
      <c r="C106" s="8"/>
      <c r="D106" s="17"/>
      <c r="E106" s="8"/>
      <c r="F106" s="18">
        <v>0</v>
      </c>
      <c r="G106" s="7" t="s">
        <v>147</v>
      </c>
      <c r="H106" s="18">
        <v>0</v>
      </c>
      <c r="I106" s="19">
        <v>0</v>
      </c>
      <c r="J106" s="7" t="s">
        <v>147</v>
      </c>
      <c r="K106" s="19">
        <v>0</v>
      </c>
      <c r="L106" s="9"/>
      <c r="M106" s="3" t="str">
        <f>IF($L106="","",IF($L106="DOELPUNTENMAKERS","",IF(AND(COUNTIF(#REF!,$B106)=0,COUNTIF(#REF!,$D106)=0),"OK",IF($O106&gt;20,"LET OP: meer dan 20 items (controle onvolledig)",IF((COUNTIF($R106:$AS106,"ONZEKER")+COUNTIF($CJ106:$DK106,"ONZEKER"))&gt;0,"LET OP: scoreverloop onduidelijk (controle beperkt)",IF((IF($AT106&lt;&gt;"",$AT106&amp;", ","")&amp;IF($AU106&lt;&gt;"",$AU106&amp;", ","")&amp;IF($AV106&lt;&gt;"",$AV106&amp;", ","")&amp;IF($AW106&lt;&gt;"",$AW106&amp;", ","")&amp;IF($AX106&lt;&gt;"",$AX106&amp;", ","")&amp;IF($AY106&lt;&gt;"",$AY106&amp;", ","")&amp;IF($AZ106&lt;&gt;"",$AZ106&amp;", ","")&amp;IF($BA106&lt;&gt;"",$BA106&amp;", ","")&amp;IF($BB106&lt;&gt;"",$BB106&amp;", ","")&amp;IF($BC106&lt;&gt;"",$BC106&amp;", ","")&amp;IF($DL106&lt;&gt;"",$DL106&amp;", ","")&amp;IF($DM106&lt;&gt;"",$DM106&amp;", ","")&amp;IF($DN106&lt;&gt;"",$DN106&amp;", ","")&amp;IF($DO106&lt;&gt;"",$DO106&amp;", ","")&amp;IF($DP106&lt;&gt;"",$DP106&amp;", ","")&amp;IF($DQ106&lt;&gt;"",$DQ106&amp;", ","")&amp;IF($DR106&lt;&gt;"",$DR106&amp;", ","")&amp;IF($DS106&lt;&gt;"",$DS106&amp;", ","")&amp;IF($DT106&lt;&gt;"",$DT106&amp;", ","")&amp;IF($DU106&lt;&gt;"",$DU106&amp;", ",""))="","OK","Onbekend: "&amp;LEFT((IF($AT106&lt;&gt;"",$AT106&amp;", ","")&amp;IF($AU106&lt;&gt;"",$AU106&amp;", ","")&amp;IF($AV106&lt;&gt;"",$AV106&amp;", ","")&amp;IF($AW106&lt;&gt;"",$AW106&amp;", ","")&amp;IF($AX106&lt;&gt;"",$AX106&amp;", ","")&amp;IF($AY106&lt;&gt;"",$AY106&amp;", ","")&amp;IF($AZ106&lt;&gt;"",$AZ106&amp;", ","")&amp;IF($BA106&lt;&gt;"",$BA106&amp;", ","")&amp;IF($BB106&lt;&gt;"",$BB106&amp;", ","")&amp;IF($BC106&lt;&gt;"",$BC106&amp;", ","")&amp;IF($DL106&lt;&gt;"",$DL106&amp;", ","")&amp;IF($DM106&lt;&gt;"",$DM106&amp;", ","")&amp;IF($DN106&lt;&gt;"",$DN106&amp;", ","")&amp;IF($DO106&lt;&gt;"",$DO106&amp;", ","")&amp;IF($DP106&lt;&gt;"",$DP106&amp;", ","")&amp;IF($DQ106&lt;&gt;"",$DQ106&amp;", ","")&amp;IF($DR106&lt;&gt;"",$DR106&amp;", ","")&amp;IF($DS106&lt;&gt;"",$DS106&amp;", ","")&amp;IF($DT106&lt;&gt;"",$DT106&amp;", ","")&amp;IF($DU106&lt;&gt;"",$DU106&amp;", ","")),LEN((IF($AT106&lt;&gt;"",$AT106&amp;", ","")&amp;IF($AU106&lt;&gt;"",$AU106&amp;", ","")&amp;IF($AV106&lt;&gt;"",$AV106&amp;", ","")&amp;IF($AW106&lt;&gt;"",$AW106&amp;", ","")&amp;IF($AX106&lt;&gt;"",$AX106&amp;", ","")&amp;IF($AY106&lt;&gt;"",$AY106&amp;", ","")&amp;IF($AZ106&lt;&gt;"",$AZ106&amp;", ","")&amp;IF($BA106&lt;&gt;"",$BA106&amp;", ","")&amp;IF($BB106&lt;&gt;"",$BB106&amp;", ","")&amp;IF($BC106&lt;&gt;"",$BC106&amp;", ","")&amp;IF($DL106&lt;&gt;"",$DL106&amp;", ","")&amp;IF($DM106&lt;&gt;"",$DM106&amp;", ","")&amp;IF($DN106&lt;&gt;"",$DN106&amp;", ","")&amp;IF($DO106&lt;&gt;"",$DO106&amp;", ","")&amp;IF($DP106&lt;&gt;"",$DP106&amp;", ","")&amp;IF($DQ106&lt;&gt;"",$DQ106&amp;", ","")&amp;IF($DR106&lt;&gt;"",$DR106&amp;", ","")&amp;IF($DS106&lt;&gt;"",$DS106&amp;", ","")&amp;IF($DT106&lt;&gt;"",$DT106&amp;", ","")&amp;IF($DU106&lt;&gt;"",$DU106&amp;", ","")))-2)))))))</f>
        <v/>
      </c>
      <c r="N106" t="str">
        <f t="shared" ref="N106:N117" si="796">IF($L106="","",TRIM(IF(RIGHT(SUBSTITUTE($L106,CHAR(160)," "),1)=".",LEFT(SUBSTITUTE($L106,CHAR(160)," "),LEN(SUBSTITUTE($L106,CHAR(160)," "))-1),SUBSTITUTE($L106,CHAR(160)," "))))</f>
        <v/>
      </c>
      <c r="O106" t="str">
        <f t="shared" ref="O106:O117" si="797">IF($N106="","",LEN($N106)-LEN(SUBSTITUTE($N106,",",""))+1)</f>
        <v/>
      </c>
      <c r="P106" t="str">
        <f t="shared" ref="P106:P117" si="798">IF($N106="","",TRIM(MID(SUBSTITUTE($N106,",",REPT(" ",200)),1,200)))</f>
        <v/>
      </c>
      <c r="Q106" t="str">
        <f t="shared" ref="Q106:Q117" si="799">IF(P106="","",TRIM(IFERROR(LEFT(P106,FIND("§",SUBSTITUTE(P106," ","§",LEN(P106)-LEN(SUBSTITUTE(P106," ",""))))-1),P106)))</f>
        <v/>
      </c>
      <c r="R106" t="str">
        <f>IF($Q106="","",IF(OR($BE106="",$BF106=""),"ONZEKER",IF(AND($BE106=0+1,$BF106=0),IF(OR(COUNTIF(#REF!,$B106)&gt;0,COUNTIF(#REF!,$B106)=0),"SKIP",IF(COUNTIFS(#REF!,$B106,#REF!,$Q106)&gt;0,"OK","ONBEKEND")),IF(AND($BE106=0,$BF106=0+1),IF(OR(COUNTIF(#REF!,$D106)&gt;0,COUNTIF(#REF!,$D106)=0),"SKIP",IF(COUNTIFS(#REF!,$D106,#REF!,$Q106)&gt;0,"OK","ONBEKEND")),"ONZEKER"))))</f>
        <v/>
      </c>
      <c r="S106" t="str">
        <f t="shared" ref="S106:S117" si="800">IF($N106="","",TRIM(MID(SUBSTITUTE($N106,",",REPT(" ",200)),201,200)))</f>
        <v/>
      </c>
      <c r="T106" t="str">
        <f t="shared" ref="T106:T117" si="801">IF(S106="","",TRIM(IFERROR(LEFT(S106,FIND("§",SUBSTITUTE(S106," ","§",LEN(S106)-LEN(SUBSTITUTE(S106," ",""))))-1),S106)))</f>
        <v/>
      </c>
      <c r="U106" t="str">
        <f>IF($T106="","",IF(OR($BH106="",$BI106=""),"ONZEKER",IF(OR($BE106="",$BF106=""),"ONZEKER",IF(AND($BH106=$BE106+1,$BI106=$BF106),IF(OR(COUNTIF(#REF!,$B106)&gt;0,COUNTIF(#REF!,$B106)=0),"SKIP",IF(COUNTIFS(#REF!,$B106,#REF!,$T106)&gt;0,"OK","ONBEKEND")),IF(AND($BH106=$BE106,$BI106=$BF106+1),IF(OR(COUNTIF(#REF!,$D106)&gt;0,COUNTIF(#REF!,$D106)=0),"SKIP",IF(COUNTIFS(#REF!,$D106,#REF!,$T106)&gt;0,"OK","ONBEKEND")),"ONZEKER")))))</f>
        <v/>
      </c>
      <c r="V106" t="str">
        <f t="shared" ref="V106:V117" si="802">IF($N106="","",TRIM(MID(SUBSTITUTE($N106,",",REPT(" ",200)),401,200)))</f>
        <v/>
      </c>
      <c r="W106" t="str">
        <f t="shared" ref="W106:W117" si="803">IF(V106="","",TRIM(IFERROR(LEFT(V106,FIND("§",SUBSTITUTE(V106," ","§",LEN(V106)-LEN(SUBSTITUTE(V106," ",""))))-1),V106)))</f>
        <v/>
      </c>
      <c r="X106" t="str">
        <f>IF($W106="","",IF(OR($BK106="",$BL106=""),"ONZEKER",IF(OR($BH106="",$BI106=""),"ONZEKER",IF(AND($BK106=$BH106+1,$BL106=$BI106),IF(OR(COUNTIF(#REF!,$B106)&gt;0,COUNTIF(#REF!,$B106)=0),"SKIP",IF(COUNTIFS(#REF!,$B106,#REF!,$W106)&gt;0,"OK","ONBEKEND")),IF(AND($BK106=$BH106,$BL106=$BI106+1),IF(OR(COUNTIF(#REF!,$D106)&gt;0,COUNTIF(#REF!,$D106)=0),"SKIP",IF(COUNTIFS(#REF!,$D106,#REF!,$W106)&gt;0,"OK","ONBEKEND")),"ONZEKER")))))</f>
        <v/>
      </c>
      <c r="Y106" t="str">
        <f t="shared" ref="Y106:Y117" si="804">IF($N106="","",TRIM(MID(SUBSTITUTE($N106,",",REPT(" ",200)),601,200)))</f>
        <v/>
      </c>
      <c r="Z106" t="str">
        <f t="shared" ref="Z106:Z117" si="805">IF(Y106="","",TRIM(IFERROR(LEFT(Y106,FIND("§",SUBSTITUTE(Y106," ","§",LEN(Y106)-LEN(SUBSTITUTE(Y106," ",""))))-1),Y106)))</f>
        <v/>
      </c>
      <c r="AA106" t="str">
        <f>IF($Z106="","",IF(OR($BN106="",$BO106=""),"ONZEKER",IF(OR($BK106="",$BL106=""),"ONZEKER",IF(AND($BN106=$BK106+1,$BO106=$BL106),IF(OR(COUNTIF(#REF!,$B106)&gt;0,COUNTIF(#REF!,$B106)=0),"SKIP",IF(COUNTIFS(#REF!,$B106,#REF!,$Z106)&gt;0,"OK","ONBEKEND")),IF(AND($BN106=$BK106,$BO106=$BL106+1),IF(OR(COUNTIF(#REF!,$D106)&gt;0,COUNTIF(#REF!,$D106)=0),"SKIP",IF(COUNTIFS(#REF!,$D106,#REF!,$Z106)&gt;0,"OK","ONBEKEND")),"ONZEKER")))))</f>
        <v/>
      </c>
      <c r="AB106" t="str">
        <f t="shared" ref="AB106:AB117" si="806">IF($N106="","",TRIM(MID(SUBSTITUTE($N106,",",REPT(" ",200)),801,200)))</f>
        <v/>
      </c>
      <c r="AC106" t="str">
        <f t="shared" ref="AC106:AC117" si="807">IF(AB106="","",TRIM(IFERROR(LEFT(AB106,FIND("§",SUBSTITUTE(AB106," ","§",LEN(AB106)-LEN(SUBSTITUTE(AB106," ",""))))-1),AB106)))</f>
        <v/>
      </c>
      <c r="AD106" t="str">
        <f>IF($AC106="","",IF(OR($BQ106="",$BR106=""),"ONZEKER",IF(OR($BN106="",$BO106=""),"ONZEKER",IF(AND($BQ106=$BN106+1,$BR106=$BO106),IF(OR(COUNTIF(#REF!,$B106)&gt;0,COUNTIF(#REF!,$B106)=0),"SKIP",IF(COUNTIFS(#REF!,$B106,#REF!,$AC106)&gt;0,"OK","ONBEKEND")),IF(AND($BQ106=$BN106,$BR106=$BO106+1),IF(OR(COUNTIF(#REF!,$D106)&gt;0,COUNTIF(#REF!,$D106)=0),"SKIP",IF(COUNTIFS(#REF!,$D106,#REF!,$AC106)&gt;0,"OK","ONBEKEND")),"ONZEKER")))))</f>
        <v/>
      </c>
      <c r="AE106" t="str">
        <f t="shared" ref="AE106:AE117" si="808">IF($N106="","",TRIM(MID(SUBSTITUTE($N106,",",REPT(" ",200)),1001,200)))</f>
        <v/>
      </c>
      <c r="AF106" t="str">
        <f t="shared" ref="AF106:AF117" si="809">IF(AE106="","",TRIM(IFERROR(LEFT(AE106,FIND("§",SUBSTITUTE(AE106," ","§",LEN(AE106)-LEN(SUBSTITUTE(AE106," ",""))))-1),AE106)))</f>
        <v/>
      </c>
      <c r="AG106" t="str">
        <f>IF($AF106="","",IF(OR($BT106="",$BU106=""),"ONZEKER",IF(OR($BQ106="",$BR106=""),"ONZEKER",IF(AND($BT106=$BQ106+1,$BU106=$BR106),IF(OR(COUNTIF(#REF!,$B106)&gt;0,COUNTIF(#REF!,$B106)=0),"SKIP",IF(COUNTIFS(#REF!,$B106,#REF!,$AF106)&gt;0,"OK","ONBEKEND")),IF(AND($BT106=$BQ106,$BU106=$BR106+1),IF(OR(COUNTIF(#REF!,$D106)&gt;0,COUNTIF(#REF!,$D106)=0),"SKIP",IF(COUNTIFS(#REF!,$D106,#REF!,$AF106)&gt;0,"OK","ONBEKEND")),"ONZEKER")))))</f>
        <v/>
      </c>
      <c r="AH106" t="str">
        <f t="shared" ref="AH106:AH117" si="810">IF($N106="","",TRIM(MID(SUBSTITUTE($N106,",",REPT(" ",200)),1201,200)))</f>
        <v/>
      </c>
      <c r="AI106" t="str">
        <f t="shared" ref="AI106:AI117" si="811">IF(AH106="","",TRIM(IFERROR(LEFT(AH106,FIND("§",SUBSTITUTE(AH106," ","§",LEN(AH106)-LEN(SUBSTITUTE(AH106," ",""))))-1),AH106)))</f>
        <v/>
      </c>
      <c r="AJ106" t="str">
        <f>IF($AI106="","",IF(OR($BW106="",$BX106=""),"ONZEKER",IF(OR($BT106="",$BU106=""),"ONZEKER",IF(AND($BW106=$BT106+1,$BX106=$BU106),IF(OR(COUNTIF(#REF!,$B106)&gt;0,COUNTIF(#REF!,$B106)=0),"SKIP",IF(COUNTIFS(#REF!,$B106,#REF!,$AI106)&gt;0,"OK","ONBEKEND")),IF(AND($BW106=$BT106,$BX106=$BU106+1),IF(OR(COUNTIF(#REF!,$D106)&gt;0,COUNTIF(#REF!,$D106)=0),"SKIP",IF(COUNTIFS(#REF!,$D106,#REF!,$AI106)&gt;0,"OK","ONBEKEND")),"ONZEKER")))))</f>
        <v/>
      </c>
      <c r="AK106" t="str">
        <f t="shared" ref="AK106:AK117" si="812">IF($N106="","",TRIM(MID(SUBSTITUTE($N106,",",REPT(" ",200)),1401,200)))</f>
        <v/>
      </c>
      <c r="AL106" t="str">
        <f t="shared" ref="AL106:AL117" si="813">IF(AK106="","",TRIM(IFERROR(LEFT(AK106,FIND("§",SUBSTITUTE(AK106," ","§",LEN(AK106)-LEN(SUBSTITUTE(AK106," ",""))))-1),AK106)))</f>
        <v/>
      </c>
      <c r="AM106" t="str">
        <f>IF($AL106="","",IF(OR($BZ106="",$CA106=""),"ONZEKER",IF(OR($BW106="",$BX106=""),"ONZEKER",IF(AND($BZ106=$BW106+1,$CA106=$BX106),IF(OR(COUNTIF(#REF!,$B106)&gt;0,COUNTIF(#REF!,$B106)=0),"SKIP",IF(COUNTIFS(#REF!,$B106,#REF!,$AL106)&gt;0,"OK","ONBEKEND")),IF(AND($BZ106=$BW106,$CA106=$BX106+1),IF(OR(COUNTIF(#REF!,$D106)&gt;0,COUNTIF(#REF!,$D106)=0),"SKIP",IF(COUNTIFS(#REF!,$D106,#REF!,$AL106)&gt;0,"OK","ONBEKEND")),"ONZEKER")))))</f>
        <v/>
      </c>
      <c r="AN106" t="str">
        <f t="shared" ref="AN106:AN117" si="814">IF($N106="","",TRIM(MID(SUBSTITUTE($N106,",",REPT(" ",200)),1601,200)))</f>
        <v/>
      </c>
      <c r="AO106" t="str">
        <f t="shared" ref="AO106:AO117" si="815">IF(AN106="","",TRIM(IFERROR(LEFT(AN106,FIND("§",SUBSTITUTE(AN106," ","§",LEN(AN106)-LEN(SUBSTITUTE(AN106," ",""))))-1),AN106)))</f>
        <v/>
      </c>
      <c r="AP106" t="str">
        <f>IF($AO106="","",IF(OR($CC106="",$CD106=""),"ONZEKER",IF(OR($BZ106="",$CA106=""),"ONZEKER",IF(AND($CC106=$BZ106+1,$CD106=$CA106),IF(OR(COUNTIF(#REF!,$B106)&gt;0,COUNTIF(#REF!,$B106)=0),"SKIP",IF(COUNTIFS(#REF!,$B106,#REF!,$AO106)&gt;0,"OK","ONBEKEND")),IF(AND($CC106=$BZ106,$CD106=$CA106+1),IF(OR(COUNTIF(#REF!,$D106)&gt;0,COUNTIF(#REF!,$D106)=0),"SKIP",IF(COUNTIFS(#REF!,$D106,#REF!,$AO106)&gt;0,"OK","ONBEKEND")),"ONZEKER")))))</f>
        <v/>
      </c>
      <c r="AQ106" t="str">
        <f t="shared" ref="AQ106:AQ117" si="816">IF($N106="","",TRIM(MID(SUBSTITUTE($N106,",",REPT(" ",200)),1801,200)))</f>
        <v/>
      </c>
      <c r="AR106" t="str">
        <f t="shared" ref="AR106:AR117" si="817">IF(AQ106="","",TRIM(IFERROR(LEFT(AQ106,FIND("§",SUBSTITUTE(AQ106," ","§",LEN(AQ106)-LEN(SUBSTITUTE(AQ106," ",""))))-1),AQ106)))</f>
        <v/>
      </c>
      <c r="AS106" t="str">
        <f>IF($AR106="","",IF(OR($CF106="",$CG106=""),"ONZEKER",IF(OR($CC106="",$CD106=""),"ONZEKER",IF(AND($CF106=$CC106+1,$CG106=$CD106),IF(OR(COUNTIF(#REF!,$B106)&gt;0,COUNTIF(#REF!,$B106)=0),"SKIP",IF(COUNTIFS(#REF!,$B106,#REF!,$AR106)&gt;0,"OK","ONBEKEND")),IF(AND($CF106=$CC106,$CG106=$CD106+1),IF(OR(COUNTIF(#REF!,$D106)&gt;0,COUNTIF(#REF!,$D106)=0),"SKIP",IF(COUNTIFS(#REF!,$D106,#REF!,$AR106)&gt;0,"OK","ONBEKEND")),"ONZEKER")))))</f>
        <v/>
      </c>
      <c r="AT106" t="str">
        <f t="shared" ref="AT106:AT117" si="818">IF(R106="ONBEKEND",Q106,"")</f>
        <v/>
      </c>
      <c r="AU106" t="str">
        <f t="shared" ref="AU106:AU117" si="819">IF(U106="ONBEKEND",T106,"")</f>
        <v/>
      </c>
      <c r="AV106" t="str">
        <f t="shared" ref="AV106:AV117" si="820">IF(X106="ONBEKEND",W106,"")</f>
        <v/>
      </c>
      <c r="AW106" t="str">
        <f t="shared" ref="AW106:AW117" si="821">IF(AA106="ONBEKEND",Z106,"")</f>
        <v/>
      </c>
      <c r="AX106" t="str">
        <f t="shared" ref="AX106:AX117" si="822">IF(AD106="ONBEKEND",AC106,"")</f>
        <v/>
      </c>
      <c r="AY106" t="str">
        <f t="shared" ref="AY106:AY117" si="823">IF(AG106="ONBEKEND",AF106,"")</f>
        <v/>
      </c>
      <c r="AZ106" t="str">
        <f t="shared" ref="AZ106:AZ117" si="824">IF(AJ106="ONBEKEND",AI106,"")</f>
        <v/>
      </c>
      <c r="BA106" t="str">
        <f t="shared" ref="BA106:BA117" si="825">IF(AM106="ONBEKEND",AL106,"")</f>
        <v/>
      </c>
      <c r="BB106" t="str">
        <f t="shared" ref="BB106:BB117" si="826">IF(AP106="ONBEKEND",AO106,"")</f>
        <v/>
      </c>
      <c r="BC106" t="str">
        <f t="shared" ref="BC106:BC117" si="827">IF(AS106="ONBEKEND",AR106,"")</f>
        <v/>
      </c>
      <c r="BD106" t="str">
        <f t="shared" si="490"/>
        <v/>
      </c>
      <c r="BE106" t="str">
        <f t="shared" si="491"/>
        <v/>
      </c>
      <c r="BF106" t="str">
        <f t="shared" si="492"/>
        <v/>
      </c>
      <c r="BG106" t="str">
        <f t="shared" si="493"/>
        <v/>
      </c>
      <c r="BH106" t="str">
        <f t="shared" si="494"/>
        <v/>
      </c>
      <c r="BI106" t="str">
        <f t="shared" si="495"/>
        <v/>
      </c>
      <c r="BJ106" t="str">
        <f t="shared" si="496"/>
        <v/>
      </c>
      <c r="BK106" t="str">
        <f t="shared" si="497"/>
        <v/>
      </c>
      <c r="BL106" t="str">
        <f t="shared" si="498"/>
        <v/>
      </c>
      <c r="BM106" t="str">
        <f t="shared" si="499"/>
        <v/>
      </c>
      <c r="BN106" t="str">
        <f t="shared" si="500"/>
        <v/>
      </c>
      <c r="BO106" t="str">
        <f t="shared" si="501"/>
        <v/>
      </c>
      <c r="BP106" t="str">
        <f t="shared" si="502"/>
        <v/>
      </c>
      <c r="BQ106" t="str">
        <f t="shared" si="503"/>
        <v/>
      </c>
      <c r="BR106" t="str">
        <f t="shared" si="504"/>
        <v/>
      </c>
      <c r="BS106" t="str">
        <f t="shared" si="505"/>
        <v/>
      </c>
      <c r="BT106" t="str">
        <f t="shared" si="506"/>
        <v/>
      </c>
      <c r="BU106" t="str">
        <f t="shared" si="507"/>
        <v/>
      </c>
      <c r="BV106" t="str">
        <f t="shared" si="508"/>
        <v/>
      </c>
      <c r="BW106" t="str">
        <f t="shared" si="509"/>
        <v/>
      </c>
      <c r="BX106" t="str">
        <f t="shared" si="510"/>
        <v/>
      </c>
      <c r="BY106" t="str">
        <f t="shared" si="511"/>
        <v/>
      </c>
      <c r="BZ106" t="str">
        <f t="shared" si="512"/>
        <v/>
      </c>
      <c r="CA106" t="str">
        <f t="shared" si="513"/>
        <v/>
      </c>
      <c r="CB106" t="str">
        <f t="shared" si="514"/>
        <v/>
      </c>
      <c r="CC106" t="str">
        <f t="shared" si="515"/>
        <v/>
      </c>
      <c r="CD106" t="str">
        <f t="shared" si="516"/>
        <v/>
      </c>
      <c r="CE106" t="str">
        <f t="shared" si="517"/>
        <v/>
      </c>
      <c r="CF106" t="str">
        <f t="shared" si="518"/>
        <v/>
      </c>
      <c r="CG106" t="str">
        <f t="shared" si="519"/>
        <v/>
      </c>
      <c r="CH106" t="str">
        <f t="shared" ref="CH106:CH117" si="828">IF($N106="","",TRIM(MID(SUBSTITUTE($N106,",",REPT(" ",200)),2001,200)))</f>
        <v/>
      </c>
      <c r="CI106" t="str">
        <f t="shared" ref="CI106:CI117" si="829">IF(CH106="","",TRIM(IFERROR(LEFT(CH106,FIND("§",SUBSTITUTE(CH106," ","§",LEN(CH106)-LEN(SUBSTITUTE(CH106," ",""))))-1),CH106)))</f>
        <v/>
      </c>
      <c r="CJ106" t="str">
        <f>IF($CI106="","",IF(OR($DW106="",$DX106=""),"ONZEKER",IF(OR($CF106="",$CG106=""),"ONZEKER",IF(AND($DW106=$CF106+1,$DX106=$CG106),IF(OR(COUNTIF(#REF!,$B106)&gt;0,COUNTIF(#REF!,$B106)=0),"SKIP",IF(COUNTIFS(#REF!,$B106,#REF!,$CI106)&gt;0,"OK","ONBEKEND")),IF(AND($DW106=$CF106,$DX106=$CG106+1),IF(OR(COUNTIF(#REF!,$D106)&gt;0,COUNTIF(#REF!,$D106)=0),"SKIP",IF(COUNTIFS(#REF!,$D106,#REF!,$CI106)&gt;0,"OK","ONBEKEND")),"ONZEKER")))))</f>
        <v/>
      </c>
      <c r="CK106" t="str">
        <f t="shared" ref="CK106:CK117" si="830">IF($N106="","",TRIM(MID(SUBSTITUTE($N106,",",REPT(" ",200)),2201,200)))</f>
        <v/>
      </c>
      <c r="CL106" t="str">
        <f t="shared" ref="CL106:CL117" si="831">IF(CK106="","",TRIM(IFERROR(LEFT(CK106,FIND("§",SUBSTITUTE(CK106," ","§",LEN(CK106)-LEN(SUBSTITUTE(CK106," ",""))))-1),CK106)))</f>
        <v/>
      </c>
      <c r="CM106" t="str">
        <f>IF($CL106="","",IF(OR($DZ106="",$EA106=""),"ONZEKER",IF(OR($DW106="",$DX106=""),"ONZEKER",IF(AND($DZ106=$DW106+1,$EA106=$DX106),IF(OR(COUNTIF(#REF!,$B106)&gt;0,COUNTIF(#REF!,$B106)=0),"SKIP",IF(COUNTIFS(#REF!,$B106,#REF!,$CL106)&gt;0,"OK","ONBEKEND")),IF(AND($DZ106=$DW106,$EA106=$DX106+1),IF(OR(COUNTIF(#REF!,$D106)&gt;0,COUNTIF(#REF!,$D106)=0),"SKIP",IF(COUNTIFS(#REF!,$D106,#REF!,$CL106)&gt;0,"OK","ONBEKEND")),"ONZEKER")))))</f>
        <v/>
      </c>
      <c r="CN106" t="str">
        <f t="shared" ref="CN106:CN117" si="832">IF($N106="","",TRIM(MID(SUBSTITUTE($N106,",",REPT(" ",200)),2401,200)))</f>
        <v/>
      </c>
      <c r="CO106" t="str">
        <f t="shared" ref="CO106:CO117" si="833">IF(CN106="","",TRIM(IFERROR(LEFT(CN106,FIND("§",SUBSTITUTE(CN106," ","§",LEN(CN106)-LEN(SUBSTITUTE(CN106," ",""))))-1),CN106)))</f>
        <v/>
      </c>
      <c r="CP106" t="str">
        <f>IF($CO106="","",IF(OR($EC106="",$ED106=""),"ONZEKER",IF(OR($DZ106="",$EA106=""),"ONZEKER",IF(AND($EC106=$DZ106+1,$ED106=$EA106),IF(OR(COUNTIF(#REF!,$B106)&gt;0,COUNTIF(#REF!,$B106)=0),"SKIP",IF(COUNTIFS(#REF!,$B106,#REF!,$CO106)&gt;0,"OK","ONBEKEND")),IF(AND($EC106=$DZ106,$ED106=$EA106+1),IF(OR(COUNTIF(#REF!,$D106)&gt;0,COUNTIF(#REF!,$D106)=0),"SKIP",IF(COUNTIFS(#REF!,$D106,#REF!,$CO106)&gt;0,"OK","ONBEKEND")),"ONZEKER")))))</f>
        <v/>
      </c>
      <c r="CQ106" t="str">
        <f t="shared" ref="CQ106:CQ117" si="834">IF($N106="","",TRIM(MID(SUBSTITUTE($N106,",",REPT(" ",200)),2601,200)))</f>
        <v/>
      </c>
      <c r="CR106" t="str">
        <f t="shared" ref="CR106:CR117" si="835">IF(CQ106="","",TRIM(IFERROR(LEFT(CQ106,FIND("§",SUBSTITUTE(CQ106," ","§",LEN(CQ106)-LEN(SUBSTITUTE(CQ106," ",""))))-1),CQ106)))</f>
        <v/>
      </c>
      <c r="CS106" t="str">
        <f>IF($CR106="","",IF(OR($EF106="",$EG106=""),"ONZEKER",IF(OR($EC106="",$ED106=""),"ONZEKER",IF(AND($EF106=$EC106+1,$EG106=$ED106),IF(OR(COUNTIF(#REF!,$B106)&gt;0,COUNTIF(#REF!,$B106)=0),"SKIP",IF(COUNTIFS(#REF!,$B106,#REF!,$CR106)&gt;0,"OK","ONBEKEND")),IF(AND($EF106=$EC106,$EG106=$ED106+1),IF(OR(COUNTIF(#REF!,$D106)&gt;0,COUNTIF(#REF!,$D106)=0),"SKIP",IF(COUNTIFS(#REF!,$D106,#REF!,$CR106)&gt;0,"OK","ONBEKEND")),"ONZEKER")))))</f>
        <v/>
      </c>
      <c r="CT106" t="str">
        <f t="shared" ref="CT106:CT117" si="836">IF($N106="","",TRIM(MID(SUBSTITUTE($N106,",",REPT(" ",200)),2801,200)))</f>
        <v/>
      </c>
      <c r="CU106" t="str">
        <f t="shared" ref="CU106:CU117" si="837">IF(CT106="","",TRIM(IFERROR(LEFT(CT106,FIND("§",SUBSTITUTE(CT106," ","§",LEN(CT106)-LEN(SUBSTITUTE(CT106," ",""))))-1),CT106)))</f>
        <v/>
      </c>
      <c r="CV106" t="str">
        <f>IF($CU106="","",IF(OR($EI106="",$EJ106=""),"ONZEKER",IF(OR($EF106="",$EG106=""),"ONZEKER",IF(AND($EI106=$EF106+1,$EJ106=$EG106),IF(OR(COUNTIF(#REF!,$B106)&gt;0,COUNTIF(#REF!,$B106)=0),"SKIP",IF(COUNTIFS(#REF!,$B106,#REF!,$CU106)&gt;0,"OK","ONBEKEND")),IF(AND($EI106=$EF106,$EJ106=$EG106+1),IF(OR(COUNTIF(#REF!,$D106)&gt;0,COUNTIF(#REF!,$D106)=0),"SKIP",IF(COUNTIFS(#REF!,$D106,#REF!,$CU106)&gt;0,"OK","ONBEKEND")),"ONZEKER")))))</f>
        <v/>
      </c>
      <c r="CW106" t="str">
        <f t="shared" ref="CW106:CW117" si="838">IF($N106="","",TRIM(MID(SUBSTITUTE($N106,",",REPT(" ",200)),3001,200)))</f>
        <v/>
      </c>
      <c r="CX106" t="str">
        <f t="shared" ref="CX106:CX117" si="839">IF(CW106="","",TRIM(IFERROR(LEFT(CW106,FIND("§",SUBSTITUTE(CW106," ","§",LEN(CW106)-LEN(SUBSTITUTE(CW106," ",""))))-1),CW106)))</f>
        <v/>
      </c>
      <c r="CY106" t="str">
        <f>IF($CX106="","",IF(OR($EL106="",$EM106=""),"ONZEKER",IF(OR($EI106="",$EJ106=""),"ONZEKER",IF(AND($EL106=$EI106+1,$EM106=$EJ106),IF(OR(COUNTIF(#REF!,$B106)&gt;0,COUNTIF(#REF!,$B106)=0),"SKIP",IF(COUNTIFS(#REF!,$B106,#REF!,$CX106)&gt;0,"OK","ONBEKEND")),IF(AND($EL106=$EI106,$EM106=$EJ106+1),IF(OR(COUNTIF(#REF!,$D106)&gt;0,COUNTIF(#REF!,$D106)=0),"SKIP",IF(COUNTIFS(#REF!,$D106,#REF!,$CX106)&gt;0,"OK","ONBEKEND")),"ONZEKER")))))</f>
        <v/>
      </c>
      <c r="CZ106" t="str">
        <f t="shared" ref="CZ106:CZ117" si="840">IF($N106="","",TRIM(MID(SUBSTITUTE($N106,",",REPT(" ",200)),3201,200)))</f>
        <v/>
      </c>
      <c r="DA106" t="str">
        <f t="shared" ref="DA106:DA117" si="841">IF(CZ106="","",TRIM(IFERROR(LEFT(CZ106,FIND("§",SUBSTITUTE(CZ106," ","§",LEN(CZ106)-LEN(SUBSTITUTE(CZ106," ",""))))-1),CZ106)))</f>
        <v/>
      </c>
      <c r="DB106" t="str">
        <f>IF($DA106="","",IF(OR($EO106="",$EP106=""),"ONZEKER",IF(OR($EL106="",$EM106=""),"ONZEKER",IF(AND($EO106=$EL106+1,$EP106=$EM106),IF(OR(COUNTIF(#REF!,$B106)&gt;0,COUNTIF(#REF!,$B106)=0),"SKIP",IF(COUNTIFS(#REF!,$B106,#REF!,$DA106)&gt;0,"OK","ONBEKEND")),IF(AND($EO106=$EL106,$EP106=$EM106+1),IF(OR(COUNTIF(#REF!,$D106)&gt;0,COUNTIF(#REF!,$D106)=0),"SKIP",IF(COUNTIFS(#REF!,$D106,#REF!,$DA106)&gt;0,"OK","ONBEKEND")),"ONZEKER")))))</f>
        <v/>
      </c>
      <c r="DC106" t="str">
        <f t="shared" ref="DC106:DC117" si="842">IF($N106="","",TRIM(MID(SUBSTITUTE($N106,",",REPT(" ",200)),3401,200)))</f>
        <v/>
      </c>
      <c r="DD106" t="str">
        <f t="shared" ref="DD106:DD117" si="843">IF(DC106="","",TRIM(IFERROR(LEFT(DC106,FIND("§",SUBSTITUTE(DC106," ","§",LEN(DC106)-LEN(SUBSTITUTE(DC106," ",""))))-1),DC106)))</f>
        <v/>
      </c>
      <c r="DE106" t="str">
        <f>IF($DD106="","",IF(OR($ER106="",$ES106=""),"ONZEKER",IF(OR($EO106="",$EP106=""),"ONZEKER",IF(AND($ER106=$EO106+1,$ES106=$EP106),IF(OR(COUNTIF(#REF!,$B106)&gt;0,COUNTIF(#REF!,$B106)=0),"SKIP",IF(COUNTIFS(#REF!,$B106,#REF!,$DD106)&gt;0,"OK","ONBEKEND")),IF(AND($ER106=$EO106,$ES106=$EP106+1),IF(OR(COUNTIF(#REF!,$D106)&gt;0,COUNTIF(#REF!,$D106)=0),"SKIP",IF(COUNTIFS(#REF!,$D106,#REF!,$DD106)&gt;0,"OK","ONBEKEND")),"ONZEKER")))))</f>
        <v/>
      </c>
      <c r="DF106" t="str">
        <f t="shared" ref="DF106:DF117" si="844">IF($N106="","",TRIM(MID(SUBSTITUTE($N106,",",REPT(" ",200)),3601,200)))</f>
        <v/>
      </c>
      <c r="DG106" t="str">
        <f t="shared" ref="DG106:DG117" si="845">IF(DF106="","",TRIM(IFERROR(LEFT(DF106,FIND("§",SUBSTITUTE(DF106," ","§",LEN(DF106)-LEN(SUBSTITUTE(DF106," ",""))))-1),DF106)))</f>
        <v/>
      </c>
      <c r="DH106" t="str">
        <f>IF($DG106="","",IF(OR($EU106="",$EV106=""),"ONZEKER",IF(OR($ER106="",$ES106=""),"ONZEKER",IF(AND($EU106=$ER106+1,$EV106=$ES106),IF(OR(COUNTIF(#REF!,$B106)&gt;0,COUNTIF(#REF!,$B106)=0),"SKIP",IF(COUNTIFS(#REF!,$B106,#REF!,$DG106)&gt;0,"OK","ONBEKEND")),IF(AND($EU106=$ER106,$EV106=$ES106+1),IF(OR(COUNTIF(#REF!,$D106)&gt;0,COUNTIF(#REF!,$D106)=0),"SKIP",IF(COUNTIFS(#REF!,$D106,#REF!,$DG106)&gt;0,"OK","ONBEKEND")),"ONZEKER")))))</f>
        <v/>
      </c>
      <c r="DI106" t="str">
        <f t="shared" ref="DI106:DI117" si="846">IF($N106="","",TRIM(MID(SUBSTITUTE($N106,",",REPT(" ",200)),3801,200)))</f>
        <v/>
      </c>
      <c r="DJ106" t="str">
        <f t="shared" ref="DJ106:DJ117" si="847">IF(DI106="","",TRIM(IFERROR(LEFT(DI106,FIND("§",SUBSTITUTE(DI106," ","§",LEN(DI106)-LEN(SUBSTITUTE(DI106," ",""))))-1),DI106)))</f>
        <v/>
      </c>
      <c r="DK106" t="str">
        <f>IF($DJ106="","",IF(OR($EX106="",$EY106=""),"ONZEKER",IF(OR($EU106="",$EV106=""),"ONZEKER",IF(AND($EX106=$EU106+1,$EY106=$EV106),IF(OR(COUNTIF(#REF!,$B106)&gt;0,COUNTIF(#REF!,$B106)=0),"SKIP",IF(COUNTIFS(#REF!,$B106,#REF!,$DJ106)&gt;0,"OK","ONBEKEND")),IF(AND($EX106=$EU106,$EY106=$EV106+1),IF(OR(COUNTIF(#REF!,$D106)&gt;0,COUNTIF(#REF!,$D106)=0),"SKIP",IF(COUNTIFS(#REF!,$D106,#REF!,$DJ106)&gt;0,"OK","ONBEKEND")),"ONZEKER")))))</f>
        <v/>
      </c>
      <c r="DL106" t="str">
        <f t="shared" ref="DL106:DL117" si="848">IF($CJ106="ONBEKEND",$CI106,"")</f>
        <v/>
      </c>
      <c r="DM106" t="str">
        <f t="shared" ref="DM106:DM117" si="849">IF($CM106="ONBEKEND",$CL106,"")</f>
        <v/>
      </c>
      <c r="DN106" t="str">
        <f t="shared" ref="DN106:DN117" si="850">IF($CP106="ONBEKEND",$CO106,"")</f>
        <v/>
      </c>
      <c r="DO106" t="str">
        <f t="shared" ref="DO106:DO117" si="851">IF($CS106="ONBEKEND",$CR106,"")</f>
        <v/>
      </c>
      <c r="DP106" t="str">
        <f t="shared" ref="DP106:DP117" si="852">IF($CV106="ONBEKEND",$CU106,"")</f>
        <v/>
      </c>
      <c r="DQ106" t="str">
        <f t="shared" ref="DQ106:DQ117" si="853">IF($CY106="ONBEKEND",$CX106,"")</f>
        <v/>
      </c>
      <c r="DR106" t="str">
        <f t="shared" ref="DR106:DR117" si="854">IF($DB106="ONBEKEND",$DA106,"")</f>
        <v/>
      </c>
      <c r="DS106" t="str">
        <f t="shared" ref="DS106:DS117" si="855">IF($DE106="ONBEKEND",$DD106,"")</f>
        <v/>
      </c>
      <c r="DT106" t="str">
        <f t="shared" ref="DT106:DT117" si="856">IF($DH106="ONBEKEND",$DG106,"")</f>
        <v/>
      </c>
      <c r="DU106" t="str">
        <f t="shared" ref="DU106:DU117" si="857">IF($DK106="ONBEKEND",$DJ106,"")</f>
        <v/>
      </c>
      <c r="DV106" t="str">
        <f t="shared" ref="DV106:DV117" si="858">IF($CH106="","",TRIM(IFERROR(RIGHT($CH106,LEN($CH106)-FIND("§",SUBSTITUTE($CH106," ","§",LEN($CH106)-LEN(SUBSTITUTE($CH106," ",""))))),"")))</f>
        <v/>
      </c>
      <c r="DW106" t="str">
        <f t="shared" ref="DW106:DW117" si="859">IF($DV106="","",IFERROR(VALUE(LEFT($DV106,FIND("-",$DV106)-1)),""))</f>
        <v/>
      </c>
      <c r="DX106" t="str">
        <f t="shared" ref="DX106:DX117" si="860">IF($DV106="","",IFERROR(VALUE(MID($DV106,FIND("-",$DV106)+1,99)),""))</f>
        <v/>
      </c>
      <c r="DY106" t="str">
        <f t="shared" ref="DY106:DY117" si="861">IF($CK106="","",TRIM(IFERROR(RIGHT($CK106,LEN($CK106)-FIND("§",SUBSTITUTE($CK106," ","§",LEN($CK106)-LEN(SUBSTITUTE($CK106," ",""))))),"")))</f>
        <v/>
      </c>
      <c r="DZ106" t="str">
        <f t="shared" ref="DZ106:DZ117" si="862">IF($DY106="","",IFERROR(VALUE(LEFT($DY106,FIND("-",$DY106)-1)),""))</f>
        <v/>
      </c>
      <c r="EA106" t="str">
        <f t="shared" ref="EA106:EA117" si="863">IF($DY106="","",IFERROR(VALUE(MID($DY106,FIND("-",$DY106)+1,99)),""))</f>
        <v/>
      </c>
      <c r="EB106" t="str">
        <f t="shared" ref="EB106:EB117" si="864">IF($CN106="","",TRIM(IFERROR(RIGHT($CN106,LEN($CN106)-FIND("§",SUBSTITUTE($CN106," ","§",LEN($CN106)-LEN(SUBSTITUTE($CN106," ",""))))),"")))</f>
        <v/>
      </c>
      <c r="EC106" t="str">
        <f t="shared" ref="EC106:EC117" si="865">IF($EB106="","",IFERROR(VALUE(LEFT($EB106,FIND("-",$EB106)-1)),""))</f>
        <v/>
      </c>
      <c r="ED106" t="str">
        <f t="shared" ref="ED106:ED117" si="866">IF($EB106="","",IFERROR(VALUE(MID($EB106,FIND("-",$EB106)+1,99)),""))</f>
        <v/>
      </c>
      <c r="EE106" t="str">
        <f t="shared" ref="EE106:EE117" si="867">IF($CQ106="","",TRIM(IFERROR(RIGHT($CQ106,LEN($CQ106)-FIND("§",SUBSTITUTE($CQ106," ","§",LEN($CQ106)-LEN(SUBSTITUTE($CQ106," ",""))))),"")))</f>
        <v/>
      </c>
      <c r="EF106" t="str">
        <f t="shared" ref="EF106:EF117" si="868">IF($EE106="","",IFERROR(VALUE(LEFT($EE106,FIND("-",$EE106)-1)),""))</f>
        <v/>
      </c>
      <c r="EG106" t="str">
        <f t="shared" ref="EG106:EG117" si="869">IF($EE106="","",IFERROR(VALUE(MID($EE106,FIND("-",$EE106)+1,99)),""))</f>
        <v/>
      </c>
      <c r="EH106" t="str">
        <f t="shared" ref="EH106:EH117" si="870">IF($CT106="","",TRIM(IFERROR(RIGHT($CT106,LEN($CT106)-FIND("§",SUBSTITUTE($CT106," ","§",LEN($CT106)-LEN(SUBSTITUTE($CT106," ",""))))),"")))</f>
        <v/>
      </c>
      <c r="EI106" t="str">
        <f t="shared" ref="EI106:EI117" si="871">IF($EH106="","",IFERROR(VALUE(LEFT($EH106,FIND("-",$EH106)-1)),""))</f>
        <v/>
      </c>
      <c r="EJ106" t="str">
        <f t="shared" ref="EJ106:EJ117" si="872">IF($EH106="","",IFERROR(VALUE(MID($EH106,FIND("-",$EH106)+1,99)),""))</f>
        <v/>
      </c>
      <c r="EK106" t="str">
        <f t="shared" ref="EK106:EK117" si="873">IF($CW106="","",TRIM(IFERROR(RIGHT($CW106,LEN($CW106)-FIND("§",SUBSTITUTE($CW106," ","§",LEN($CW106)-LEN(SUBSTITUTE($CW106," ",""))))),"")))</f>
        <v/>
      </c>
      <c r="EL106" t="str">
        <f t="shared" ref="EL106:EL117" si="874">IF($EK106="","",IFERROR(VALUE(LEFT($EK106,FIND("-",$EK106)-1)),""))</f>
        <v/>
      </c>
      <c r="EM106" t="str">
        <f t="shared" ref="EM106:EM117" si="875">IF($EK106="","",IFERROR(VALUE(MID($EK106,FIND("-",$EK106)+1,99)),""))</f>
        <v/>
      </c>
      <c r="EN106" t="str">
        <f t="shared" ref="EN106:EN117" si="876">IF($CZ106="","",TRIM(IFERROR(RIGHT($CZ106,LEN($CZ106)-FIND("§",SUBSTITUTE($CZ106," ","§",LEN($CZ106)-LEN(SUBSTITUTE($CZ106," ",""))))),"")))</f>
        <v/>
      </c>
      <c r="EO106" t="str">
        <f t="shared" ref="EO106:EO117" si="877">IF($EN106="","",IFERROR(VALUE(LEFT($EN106,FIND("-",$EN106)-1)),""))</f>
        <v/>
      </c>
      <c r="EP106" t="str">
        <f t="shared" ref="EP106:EP117" si="878">IF($EN106="","",IFERROR(VALUE(MID($EN106,FIND("-",$EN106)+1,99)),""))</f>
        <v/>
      </c>
      <c r="EQ106" t="str">
        <f t="shared" ref="EQ106:EQ117" si="879">IF($DC106="","",TRIM(IFERROR(RIGHT($DC106,LEN($DC106)-FIND("§",SUBSTITUTE($DC106," ","§",LEN($DC106)-LEN(SUBSTITUTE($DC106," ",""))))),"")))</f>
        <v/>
      </c>
      <c r="ER106" t="str">
        <f t="shared" ref="ER106:ER117" si="880">IF($EQ106="","",IFERROR(VALUE(LEFT($EQ106,FIND("-",$EQ106)-1)),""))</f>
        <v/>
      </c>
      <c r="ES106" t="str">
        <f t="shared" ref="ES106:ES117" si="881">IF($EQ106="","",IFERROR(VALUE(MID($EQ106,FIND("-",$EQ106)+1,99)),""))</f>
        <v/>
      </c>
      <c r="ET106" t="str">
        <f t="shared" ref="ET106:ET117" si="882">IF($DF106="","",TRIM(IFERROR(RIGHT($DF106,LEN($DF106)-FIND("§",SUBSTITUTE($DF106," ","§",LEN($DF106)-LEN(SUBSTITUTE($DF106," ",""))))),"")))</f>
        <v/>
      </c>
      <c r="EU106" t="str">
        <f t="shared" ref="EU106:EU117" si="883">IF($ET106="","",IFERROR(VALUE(LEFT($ET106,FIND("-",$ET106)-1)),""))</f>
        <v/>
      </c>
      <c r="EV106" t="str">
        <f t="shared" ref="EV106:EV117" si="884">IF($ET106="","",IFERROR(VALUE(MID($ET106,FIND("-",$ET106)+1,99)),""))</f>
        <v/>
      </c>
      <c r="EW106" t="str">
        <f t="shared" ref="EW106:EW117" si="885">IF($DI106="","",TRIM(IFERROR(RIGHT($DI106,LEN($DI106)-FIND("§",SUBSTITUTE($DI106," ","§",LEN($DI106)-LEN(SUBSTITUTE($DI106," ",""))))),"")))</f>
        <v/>
      </c>
      <c r="EX106" t="str">
        <f t="shared" ref="EX106:EX117" si="886">IF($EW106="","",IFERROR(VALUE(LEFT($EW106,FIND("-",$EW106)-1)),""))</f>
        <v/>
      </c>
      <c r="EY106" t="str">
        <f t="shared" ref="EY106:EY117" si="887">IF($EW106="","",IFERROR(VALUE(MID($EW106,FIND("-",$EW106)+1,99)),""))</f>
        <v/>
      </c>
    </row>
    <row r="107" spans="1:155" ht="13.9" customHeight="1" x14ac:dyDescent="0.25">
      <c r="A107" s="7"/>
      <c r="B107" s="17"/>
      <c r="C107" s="8"/>
      <c r="D107" s="17"/>
      <c r="E107" s="8"/>
      <c r="F107" s="18">
        <v>0</v>
      </c>
      <c r="G107" s="7" t="s">
        <v>147</v>
      </c>
      <c r="H107" s="18">
        <v>0</v>
      </c>
      <c r="I107" s="19">
        <v>0</v>
      </c>
      <c r="J107" s="7" t="s">
        <v>147</v>
      </c>
      <c r="K107" s="19">
        <v>0</v>
      </c>
      <c r="L107" s="9"/>
      <c r="M107" s="3" t="str">
        <f>IF($L107="","",IF($L107="DOELPUNTENMAKERS","",IF(AND(COUNTIF(#REF!,$B107)=0,COUNTIF(#REF!,$D107)=0),"OK",IF($O107&gt;20,"LET OP: meer dan 20 items (controle onvolledig)",IF((COUNTIF($R107:$AS107,"ONZEKER")+COUNTIF($CJ107:$DK107,"ONZEKER"))&gt;0,"LET OP: scoreverloop onduidelijk (controle beperkt)",IF((IF($AT107&lt;&gt;"",$AT107&amp;", ","")&amp;IF($AU107&lt;&gt;"",$AU107&amp;", ","")&amp;IF($AV107&lt;&gt;"",$AV107&amp;", ","")&amp;IF($AW107&lt;&gt;"",$AW107&amp;", ","")&amp;IF($AX107&lt;&gt;"",$AX107&amp;", ","")&amp;IF($AY107&lt;&gt;"",$AY107&amp;", ","")&amp;IF($AZ107&lt;&gt;"",$AZ107&amp;", ","")&amp;IF($BA107&lt;&gt;"",$BA107&amp;", ","")&amp;IF($BB107&lt;&gt;"",$BB107&amp;", ","")&amp;IF($BC107&lt;&gt;"",$BC107&amp;", ","")&amp;IF($DL107&lt;&gt;"",$DL107&amp;", ","")&amp;IF($DM107&lt;&gt;"",$DM107&amp;", ","")&amp;IF($DN107&lt;&gt;"",$DN107&amp;", ","")&amp;IF($DO107&lt;&gt;"",$DO107&amp;", ","")&amp;IF($DP107&lt;&gt;"",$DP107&amp;", ","")&amp;IF($DQ107&lt;&gt;"",$DQ107&amp;", ","")&amp;IF($DR107&lt;&gt;"",$DR107&amp;", ","")&amp;IF($DS107&lt;&gt;"",$DS107&amp;", ","")&amp;IF($DT107&lt;&gt;"",$DT107&amp;", ","")&amp;IF($DU107&lt;&gt;"",$DU107&amp;", ",""))="","OK","Onbekend: "&amp;LEFT((IF($AT107&lt;&gt;"",$AT107&amp;", ","")&amp;IF($AU107&lt;&gt;"",$AU107&amp;", ","")&amp;IF($AV107&lt;&gt;"",$AV107&amp;", ","")&amp;IF($AW107&lt;&gt;"",$AW107&amp;", ","")&amp;IF($AX107&lt;&gt;"",$AX107&amp;", ","")&amp;IF($AY107&lt;&gt;"",$AY107&amp;", ","")&amp;IF($AZ107&lt;&gt;"",$AZ107&amp;", ","")&amp;IF($BA107&lt;&gt;"",$BA107&amp;", ","")&amp;IF($BB107&lt;&gt;"",$BB107&amp;", ","")&amp;IF($BC107&lt;&gt;"",$BC107&amp;", ","")&amp;IF($DL107&lt;&gt;"",$DL107&amp;", ","")&amp;IF($DM107&lt;&gt;"",$DM107&amp;", ","")&amp;IF($DN107&lt;&gt;"",$DN107&amp;", ","")&amp;IF($DO107&lt;&gt;"",$DO107&amp;", ","")&amp;IF($DP107&lt;&gt;"",$DP107&amp;", ","")&amp;IF($DQ107&lt;&gt;"",$DQ107&amp;", ","")&amp;IF($DR107&lt;&gt;"",$DR107&amp;", ","")&amp;IF($DS107&lt;&gt;"",$DS107&amp;", ","")&amp;IF($DT107&lt;&gt;"",$DT107&amp;", ","")&amp;IF($DU107&lt;&gt;"",$DU107&amp;", ","")),LEN((IF($AT107&lt;&gt;"",$AT107&amp;", ","")&amp;IF($AU107&lt;&gt;"",$AU107&amp;", ","")&amp;IF($AV107&lt;&gt;"",$AV107&amp;", ","")&amp;IF($AW107&lt;&gt;"",$AW107&amp;", ","")&amp;IF($AX107&lt;&gt;"",$AX107&amp;", ","")&amp;IF($AY107&lt;&gt;"",$AY107&amp;", ","")&amp;IF($AZ107&lt;&gt;"",$AZ107&amp;", ","")&amp;IF($BA107&lt;&gt;"",$BA107&amp;", ","")&amp;IF($BB107&lt;&gt;"",$BB107&amp;", ","")&amp;IF($BC107&lt;&gt;"",$BC107&amp;", ","")&amp;IF($DL107&lt;&gt;"",$DL107&amp;", ","")&amp;IF($DM107&lt;&gt;"",$DM107&amp;", ","")&amp;IF($DN107&lt;&gt;"",$DN107&amp;", ","")&amp;IF($DO107&lt;&gt;"",$DO107&amp;", ","")&amp;IF($DP107&lt;&gt;"",$DP107&amp;", ","")&amp;IF($DQ107&lt;&gt;"",$DQ107&amp;", ","")&amp;IF($DR107&lt;&gt;"",$DR107&amp;", ","")&amp;IF($DS107&lt;&gt;"",$DS107&amp;", ","")&amp;IF($DT107&lt;&gt;"",$DT107&amp;", ","")&amp;IF($DU107&lt;&gt;"",$DU107&amp;", ","")))-2)))))))</f>
        <v/>
      </c>
      <c r="N107" t="str">
        <f t="shared" si="796"/>
        <v/>
      </c>
      <c r="O107" t="str">
        <f t="shared" si="797"/>
        <v/>
      </c>
      <c r="P107" t="str">
        <f t="shared" si="798"/>
        <v/>
      </c>
      <c r="Q107" t="str">
        <f t="shared" si="799"/>
        <v/>
      </c>
      <c r="R107" t="str">
        <f>IF($Q107="","",IF(OR($BE107="",$BF107=""),"ONZEKER",IF(AND($BE107=0+1,$BF107=0),IF(OR(COUNTIF(#REF!,$B107)&gt;0,COUNTIF(#REF!,$B107)=0),"SKIP",IF(COUNTIFS(#REF!,$B107,#REF!,$Q107)&gt;0,"OK","ONBEKEND")),IF(AND($BE107=0,$BF107=0+1),IF(OR(COUNTIF(#REF!,$D107)&gt;0,COUNTIF(#REF!,$D107)=0),"SKIP",IF(COUNTIFS(#REF!,$D107,#REF!,$Q107)&gt;0,"OK","ONBEKEND")),"ONZEKER"))))</f>
        <v/>
      </c>
      <c r="S107" t="str">
        <f t="shared" si="800"/>
        <v/>
      </c>
      <c r="T107" t="str">
        <f t="shared" si="801"/>
        <v/>
      </c>
      <c r="U107" t="str">
        <f>IF($T107="","",IF(OR($BH107="",$BI107=""),"ONZEKER",IF(OR($BE107="",$BF107=""),"ONZEKER",IF(AND($BH107=$BE107+1,$BI107=$BF107),IF(OR(COUNTIF(#REF!,$B107)&gt;0,COUNTIF(#REF!,$B107)=0),"SKIP",IF(COUNTIFS(#REF!,$B107,#REF!,$T107)&gt;0,"OK","ONBEKEND")),IF(AND($BH107=$BE107,$BI107=$BF107+1),IF(OR(COUNTIF(#REF!,$D107)&gt;0,COUNTIF(#REF!,$D107)=0),"SKIP",IF(COUNTIFS(#REF!,$D107,#REF!,$T107)&gt;0,"OK","ONBEKEND")),"ONZEKER")))))</f>
        <v/>
      </c>
      <c r="V107" t="str">
        <f t="shared" si="802"/>
        <v/>
      </c>
      <c r="W107" t="str">
        <f t="shared" si="803"/>
        <v/>
      </c>
      <c r="X107" t="str">
        <f>IF($W107="","",IF(OR($BK107="",$BL107=""),"ONZEKER",IF(OR($BH107="",$BI107=""),"ONZEKER",IF(AND($BK107=$BH107+1,$BL107=$BI107),IF(OR(COUNTIF(#REF!,$B107)&gt;0,COUNTIF(#REF!,$B107)=0),"SKIP",IF(COUNTIFS(#REF!,$B107,#REF!,$W107)&gt;0,"OK","ONBEKEND")),IF(AND($BK107=$BH107,$BL107=$BI107+1),IF(OR(COUNTIF(#REF!,$D107)&gt;0,COUNTIF(#REF!,$D107)=0),"SKIP",IF(COUNTIFS(#REF!,$D107,#REF!,$W107)&gt;0,"OK","ONBEKEND")),"ONZEKER")))))</f>
        <v/>
      </c>
      <c r="Y107" t="str">
        <f t="shared" si="804"/>
        <v/>
      </c>
      <c r="Z107" t="str">
        <f t="shared" si="805"/>
        <v/>
      </c>
      <c r="AA107" t="str">
        <f>IF($Z107="","",IF(OR($BN107="",$BO107=""),"ONZEKER",IF(OR($BK107="",$BL107=""),"ONZEKER",IF(AND($BN107=$BK107+1,$BO107=$BL107),IF(OR(COUNTIF(#REF!,$B107)&gt;0,COUNTIF(#REF!,$B107)=0),"SKIP",IF(COUNTIFS(#REF!,$B107,#REF!,$Z107)&gt;0,"OK","ONBEKEND")),IF(AND($BN107=$BK107,$BO107=$BL107+1),IF(OR(COUNTIF(#REF!,$D107)&gt;0,COUNTIF(#REF!,$D107)=0),"SKIP",IF(COUNTIFS(#REF!,$D107,#REF!,$Z107)&gt;0,"OK","ONBEKEND")),"ONZEKER")))))</f>
        <v/>
      </c>
      <c r="AB107" t="str">
        <f t="shared" si="806"/>
        <v/>
      </c>
      <c r="AC107" t="str">
        <f t="shared" si="807"/>
        <v/>
      </c>
      <c r="AD107" t="str">
        <f>IF($AC107="","",IF(OR($BQ107="",$BR107=""),"ONZEKER",IF(OR($BN107="",$BO107=""),"ONZEKER",IF(AND($BQ107=$BN107+1,$BR107=$BO107),IF(OR(COUNTIF(#REF!,$B107)&gt;0,COUNTIF(#REF!,$B107)=0),"SKIP",IF(COUNTIFS(#REF!,$B107,#REF!,$AC107)&gt;0,"OK","ONBEKEND")),IF(AND($BQ107=$BN107,$BR107=$BO107+1),IF(OR(COUNTIF(#REF!,$D107)&gt;0,COUNTIF(#REF!,$D107)=0),"SKIP",IF(COUNTIFS(#REF!,$D107,#REF!,$AC107)&gt;0,"OK","ONBEKEND")),"ONZEKER")))))</f>
        <v/>
      </c>
      <c r="AE107" t="str">
        <f t="shared" si="808"/>
        <v/>
      </c>
      <c r="AF107" t="str">
        <f t="shared" si="809"/>
        <v/>
      </c>
      <c r="AG107" t="str">
        <f>IF($AF107="","",IF(OR($BT107="",$BU107=""),"ONZEKER",IF(OR($BQ107="",$BR107=""),"ONZEKER",IF(AND($BT107=$BQ107+1,$BU107=$BR107),IF(OR(COUNTIF(#REF!,$B107)&gt;0,COUNTIF(#REF!,$B107)=0),"SKIP",IF(COUNTIFS(#REF!,$B107,#REF!,$AF107)&gt;0,"OK","ONBEKEND")),IF(AND($BT107=$BQ107,$BU107=$BR107+1),IF(OR(COUNTIF(#REF!,$D107)&gt;0,COUNTIF(#REF!,$D107)=0),"SKIP",IF(COUNTIFS(#REF!,$D107,#REF!,$AF107)&gt;0,"OK","ONBEKEND")),"ONZEKER")))))</f>
        <v/>
      </c>
      <c r="AH107" t="str">
        <f t="shared" si="810"/>
        <v/>
      </c>
      <c r="AI107" t="str">
        <f t="shared" si="811"/>
        <v/>
      </c>
      <c r="AJ107" t="str">
        <f>IF($AI107="","",IF(OR($BW107="",$BX107=""),"ONZEKER",IF(OR($BT107="",$BU107=""),"ONZEKER",IF(AND($BW107=$BT107+1,$BX107=$BU107),IF(OR(COUNTIF(#REF!,$B107)&gt;0,COUNTIF(#REF!,$B107)=0),"SKIP",IF(COUNTIFS(#REF!,$B107,#REF!,$AI107)&gt;0,"OK","ONBEKEND")),IF(AND($BW107=$BT107,$BX107=$BU107+1),IF(OR(COUNTIF(#REF!,$D107)&gt;0,COUNTIF(#REF!,$D107)=0),"SKIP",IF(COUNTIFS(#REF!,$D107,#REF!,$AI107)&gt;0,"OK","ONBEKEND")),"ONZEKER")))))</f>
        <v/>
      </c>
      <c r="AK107" t="str">
        <f t="shared" si="812"/>
        <v/>
      </c>
      <c r="AL107" t="str">
        <f t="shared" si="813"/>
        <v/>
      </c>
      <c r="AM107" t="str">
        <f>IF($AL107="","",IF(OR($BZ107="",$CA107=""),"ONZEKER",IF(OR($BW107="",$BX107=""),"ONZEKER",IF(AND($BZ107=$BW107+1,$CA107=$BX107),IF(OR(COUNTIF(#REF!,$B107)&gt;0,COUNTIF(#REF!,$B107)=0),"SKIP",IF(COUNTIFS(#REF!,$B107,#REF!,$AL107)&gt;0,"OK","ONBEKEND")),IF(AND($BZ107=$BW107,$CA107=$BX107+1),IF(OR(COUNTIF(#REF!,$D107)&gt;0,COUNTIF(#REF!,$D107)=0),"SKIP",IF(COUNTIFS(#REF!,$D107,#REF!,$AL107)&gt;0,"OK","ONBEKEND")),"ONZEKER")))))</f>
        <v/>
      </c>
      <c r="AN107" t="str">
        <f t="shared" si="814"/>
        <v/>
      </c>
      <c r="AO107" t="str">
        <f t="shared" si="815"/>
        <v/>
      </c>
      <c r="AP107" t="str">
        <f>IF($AO107="","",IF(OR($CC107="",$CD107=""),"ONZEKER",IF(OR($BZ107="",$CA107=""),"ONZEKER",IF(AND($CC107=$BZ107+1,$CD107=$CA107),IF(OR(COUNTIF(#REF!,$B107)&gt;0,COUNTIF(#REF!,$B107)=0),"SKIP",IF(COUNTIFS(#REF!,$B107,#REF!,$AO107)&gt;0,"OK","ONBEKEND")),IF(AND($CC107=$BZ107,$CD107=$CA107+1),IF(OR(COUNTIF(#REF!,$D107)&gt;0,COUNTIF(#REF!,$D107)=0),"SKIP",IF(COUNTIFS(#REF!,$D107,#REF!,$AO107)&gt;0,"OK","ONBEKEND")),"ONZEKER")))))</f>
        <v/>
      </c>
      <c r="AQ107" t="str">
        <f t="shared" si="816"/>
        <v/>
      </c>
      <c r="AR107" t="str">
        <f t="shared" si="817"/>
        <v/>
      </c>
      <c r="AS107" t="str">
        <f>IF($AR107="","",IF(OR($CF107="",$CG107=""),"ONZEKER",IF(OR($CC107="",$CD107=""),"ONZEKER",IF(AND($CF107=$CC107+1,$CG107=$CD107),IF(OR(COUNTIF(#REF!,$B107)&gt;0,COUNTIF(#REF!,$B107)=0),"SKIP",IF(COUNTIFS(#REF!,$B107,#REF!,$AR107)&gt;0,"OK","ONBEKEND")),IF(AND($CF107=$CC107,$CG107=$CD107+1),IF(OR(COUNTIF(#REF!,$D107)&gt;0,COUNTIF(#REF!,$D107)=0),"SKIP",IF(COUNTIFS(#REF!,$D107,#REF!,$AR107)&gt;0,"OK","ONBEKEND")),"ONZEKER")))))</f>
        <v/>
      </c>
      <c r="AT107" t="str">
        <f t="shared" si="818"/>
        <v/>
      </c>
      <c r="AU107" t="str">
        <f t="shared" si="819"/>
        <v/>
      </c>
      <c r="AV107" t="str">
        <f t="shared" si="820"/>
        <v/>
      </c>
      <c r="AW107" t="str">
        <f t="shared" si="821"/>
        <v/>
      </c>
      <c r="AX107" t="str">
        <f t="shared" si="822"/>
        <v/>
      </c>
      <c r="AY107" t="str">
        <f t="shared" si="823"/>
        <v/>
      </c>
      <c r="AZ107" t="str">
        <f t="shared" si="824"/>
        <v/>
      </c>
      <c r="BA107" t="str">
        <f t="shared" si="825"/>
        <v/>
      </c>
      <c r="BB107" t="str">
        <f t="shared" si="826"/>
        <v/>
      </c>
      <c r="BC107" t="str">
        <f t="shared" si="827"/>
        <v/>
      </c>
      <c r="BD107" t="str">
        <f t="shared" si="490"/>
        <v/>
      </c>
      <c r="BE107" t="str">
        <f t="shared" si="491"/>
        <v/>
      </c>
      <c r="BF107" t="str">
        <f t="shared" si="492"/>
        <v/>
      </c>
      <c r="BG107" t="str">
        <f t="shared" si="493"/>
        <v/>
      </c>
      <c r="BH107" t="str">
        <f t="shared" si="494"/>
        <v/>
      </c>
      <c r="BI107" t="str">
        <f t="shared" si="495"/>
        <v/>
      </c>
      <c r="BJ107" t="str">
        <f t="shared" si="496"/>
        <v/>
      </c>
      <c r="BK107" t="str">
        <f t="shared" si="497"/>
        <v/>
      </c>
      <c r="BL107" t="str">
        <f t="shared" si="498"/>
        <v/>
      </c>
      <c r="BM107" t="str">
        <f t="shared" si="499"/>
        <v/>
      </c>
      <c r="BN107" t="str">
        <f t="shared" si="500"/>
        <v/>
      </c>
      <c r="BO107" t="str">
        <f t="shared" si="501"/>
        <v/>
      </c>
      <c r="BP107" t="str">
        <f t="shared" si="502"/>
        <v/>
      </c>
      <c r="BQ107" t="str">
        <f t="shared" si="503"/>
        <v/>
      </c>
      <c r="BR107" t="str">
        <f t="shared" si="504"/>
        <v/>
      </c>
      <c r="BS107" t="str">
        <f t="shared" si="505"/>
        <v/>
      </c>
      <c r="BT107" t="str">
        <f t="shared" si="506"/>
        <v/>
      </c>
      <c r="BU107" t="str">
        <f t="shared" si="507"/>
        <v/>
      </c>
      <c r="BV107" t="str">
        <f t="shared" si="508"/>
        <v/>
      </c>
      <c r="BW107" t="str">
        <f t="shared" si="509"/>
        <v/>
      </c>
      <c r="BX107" t="str">
        <f t="shared" si="510"/>
        <v/>
      </c>
      <c r="BY107" t="str">
        <f t="shared" si="511"/>
        <v/>
      </c>
      <c r="BZ107" t="str">
        <f t="shared" si="512"/>
        <v/>
      </c>
      <c r="CA107" t="str">
        <f t="shared" si="513"/>
        <v/>
      </c>
      <c r="CB107" t="str">
        <f t="shared" si="514"/>
        <v/>
      </c>
      <c r="CC107" t="str">
        <f t="shared" si="515"/>
        <v/>
      </c>
      <c r="CD107" t="str">
        <f t="shared" si="516"/>
        <v/>
      </c>
      <c r="CE107" t="str">
        <f t="shared" si="517"/>
        <v/>
      </c>
      <c r="CF107" t="str">
        <f t="shared" si="518"/>
        <v/>
      </c>
      <c r="CG107" t="str">
        <f t="shared" si="519"/>
        <v/>
      </c>
      <c r="CH107" t="str">
        <f t="shared" si="828"/>
        <v/>
      </c>
      <c r="CI107" t="str">
        <f t="shared" si="829"/>
        <v/>
      </c>
      <c r="CJ107" t="str">
        <f>IF($CI107="","",IF(OR($DW107="",$DX107=""),"ONZEKER",IF(OR($CF107="",$CG107=""),"ONZEKER",IF(AND($DW107=$CF107+1,$DX107=$CG107),IF(OR(COUNTIF(#REF!,$B107)&gt;0,COUNTIF(#REF!,$B107)=0),"SKIP",IF(COUNTIFS(#REF!,$B107,#REF!,$CI107)&gt;0,"OK","ONBEKEND")),IF(AND($DW107=$CF107,$DX107=$CG107+1),IF(OR(COUNTIF(#REF!,$D107)&gt;0,COUNTIF(#REF!,$D107)=0),"SKIP",IF(COUNTIFS(#REF!,$D107,#REF!,$CI107)&gt;0,"OK","ONBEKEND")),"ONZEKER")))))</f>
        <v/>
      </c>
      <c r="CK107" t="str">
        <f t="shared" si="830"/>
        <v/>
      </c>
      <c r="CL107" t="str">
        <f t="shared" si="831"/>
        <v/>
      </c>
      <c r="CM107" t="str">
        <f>IF($CL107="","",IF(OR($DZ107="",$EA107=""),"ONZEKER",IF(OR($DW107="",$DX107=""),"ONZEKER",IF(AND($DZ107=$DW107+1,$EA107=$DX107),IF(OR(COUNTIF(#REF!,$B107)&gt;0,COUNTIF(#REF!,$B107)=0),"SKIP",IF(COUNTIFS(#REF!,$B107,#REF!,$CL107)&gt;0,"OK","ONBEKEND")),IF(AND($DZ107=$DW107,$EA107=$DX107+1),IF(OR(COUNTIF(#REF!,$D107)&gt;0,COUNTIF(#REF!,$D107)=0),"SKIP",IF(COUNTIFS(#REF!,$D107,#REF!,$CL107)&gt;0,"OK","ONBEKEND")),"ONZEKER")))))</f>
        <v/>
      </c>
      <c r="CN107" t="str">
        <f t="shared" si="832"/>
        <v/>
      </c>
      <c r="CO107" t="str">
        <f t="shared" si="833"/>
        <v/>
      </c>
      <c r="CP107" t="str">
        <f>IF($CO107="","",IF(OR($EC107="",$ED107=""),"ONZEKER",IF(OR($DZ107="",$EA107=""),"ONZEKER",IF(AND($EC107=$DZ107+1,$ED107=$EA107),IF(OR(COUNTIF(#REF!,$B107)&gt;0,COUNTIF(#REF!,$B107)=0),"SKIP",IF(COUNTIFS(#REF!,$B107,#REF!,$CO107)&gt;0,"OK","ONBEKEND")),IF(AND($EC107=$DZ107,$ED107=$EA107+1),IF(OR(COUNTIF(#REF!,$D107)&gt;0,COUNTIF(#REF!,$D107)=0),"SKIP",IF(COUNTIFS(#REF!,$D107,#REF!,$CO107)&gt;0,"OK","ONBEKEND")),"ONZEKER")))))</f>
        <v/>
      </c>
      <c r="CQ107" t="str">
        <f t="shared" si="834"/>
        <v/>
      </c>
      <c r="CR107" t="str">
        <f t="shared" si="835"/>
        <v/>
      </c>
      <c r="CS107" t="str">
        <f>IF($CR107="","",IF(OR($EF107="",$EG107=""),"ONZEKER",IF(OR($EC107="",$ED107=""),"ONZEKER",IF(AND($EF107=$EC107+1,$EG107=$ED107),IF(OR(COUNTIF(#REF!,$B107)&gt;0,COUNTIF(#REF!,$B107)=0),"SKIP",IF(COUNTIFS(#REF!,$B107,#REF!,$CR107)&gt;0,"OK","ONBEKEND")),IF(AND($EF107=$EC107,$EG107=$ED107+1),IF(OR(COUNTIF(#REF!,$D107)&gt;0,COUNTIF(#REF!,$D107)=0),"SKIP",IF(COUNTIFS(#REF!,$D107,#REF!,$CR107)&gt;0,"OK","ONBEKEND")),"ONZEKER")))))</f>
        <v/>
      </c>
      <c r="CT107" t="str">
        <f t="shared" si="836"/>
        <v/>
      </c>
      <c r="CU107" t="str">
        <f t="shared" si="837"/>
        <v/>
      </c>
      <c r="CV107" t="str">
        <f>IF($CU107="","",IF(OR($EI107="",$EJ107=""),"ONZEKER",IF(OR($EF107="",$EG107=""),"ONZEKER",IF(AND($EI107=$EF107+1,$EJ107=$EG107),IF(OR(COUNTIF(#REF!,$B107)&gt;0,COUNTIF(#REF!,$B107)=0),"SKIP",IF(COUNTIFS(#REF!,$B107,#REF!,$CU107)&gt;0,"OK","ONBEKEND")),IF(AND($EI107=$EF107,$EJ107=$EG107+1),IF(OR(COUNTIF(#REF!,$D107)&gt;0,COUNTIF(#REF!,$D107)=0),"SKIP",IF(COUNTIFS(#REF!,$D107,#REF!,$CU107)&gt;0,"OK","ONBEKEND")),"ONZEKER")))))</f>
        <v/>
      </c>
      <c r="CW107" t="str">
        <f t="shared" si="838"/>
        <v/>
      </c>
      <c r="CX107" t="str">
        <f t="shared" si="839"/>
        <v/>
      </c>
      <c r="CY107" t="str">
        <f>IF($CX107="","",IF(OR($EL107="",$EM107=""),"ONZEKER",IF(OR($EI107="",$EJ107=""),"ONZEKER",IF(AND($EL107=$EI107+1,$EM107=$EJ107),IF(OR(COUNTIF(#REF!,$B107)&gt;0,COUNTIF(#REF!,$B107)=0),"SKIP",IF(COUNTIFS(#REF!,$B107,#REF!,$CX107)&gt;0,"OK","ONBEKEND")),IF(AND($EL107=$EI107,$EM107=$EJ107+1),IF(OR(COUNTIF(#REF!,$D107)&gt;0,COUNTIF(#REF!,$D107)=0),"SKIP",IF(COUNTIFS(#REF!,$D107,#REF!,$CX107)&gt;0,"OK","ONBEKEND")),"ONZEKER")))))</f>
        <v/>
      </c>
      <c r="CZ107" t="str">
        <f t="shared" si="840"/>
        <v/>
      </c>
      <c r="DA107" t="str">
        <f t="shared" si="841"/>
        <v/>
      </c>
      <c r="DB107" t="str">
        <f>IF($DA107="","",IF(OR($EO107="",$EP107=""),"ONZEKER",IF(OR($EL107="",$EM107=""),"ONZEKER",IF(AND($EO107=$EL107+1,$EP107=$EM107),IF(OR(COUNTIF(#REF!,$B107)&gt;0,COUNTIF(#REF!,$B107)=0),"SKIP",IF(COUNTIFS(#REF!,$B107,#REF!,$DA107)&gt;0,"OK","ONBEKEND")),IF(AND($EO107=$EL107,$EP107=$EM107+1),IF(OR(COUNTIF(#REF!,$D107)&gt;0,COUNTIF(#REF!,$D107)=0),"SKIP",IF(COUNTIFS(#REF!,$D107,#REF!,$DA107)&gt;0,"OK","ONBEKEND")),"ONZEKER")))))</f>
        <v/>
      </c>
      <c r="DC107" t="str">
        <f t="shared" si="842"/>
        <v/>
      </c>
      <c r="DD107" t="str">
        <f t="shared" si="843"/>
        <v/>
      </c>
      <c r="DE107" t="str">
        <f>IF($DD107="","",IF(OR($ER107="",$ES107=""),"ONZEKER",IF(OR($EO107="",$EP107=""),"ONZEKER",IF(AND($ER107=$EO107+1,$ES107=$EP107),IF(OR(COUNTIF(#REF!,$B107)&gt;0,COUNTIF(#REF!,$B107)=0),"SKIP",IF(COUNTIFS(#REF!,$B107,#REF!,$DD107)&gt;0,"OK","ONBEKEND")),IF(AND($ER107=$EO107,$ES107=$EP107+1),IF(OR(COUNTIF(#REF!,$D107)&gt;0,COUNTIF(#REF!,$D107)=0),"SKIP",IF(COUNTIFS(#REF!,$D107,#REF!,$DD107)&gt;0,"OK","ONBEKEND")),"ONZEKER")))))</f>
        <v/>
      </c>
      <c r="DF107" t="str">
        <f t="shared" si="844"/>
        <v/>
      </c>
      <c r="DG107" t="str">
        <f t="shared" si="845"/>
        <v/>
      </c>
      <c r="DH107" t="str">
        <f>IF($DG107="","",IF(OR($EU107="",$EV107=""),"ONZEKER",IF(OR($ER107="",$ES107=""),"ONZEKER",IF(AND($EU107=$ER107+1,$EV107=$ES107),IF(OR(COUNTIF(#REF!,$B107)&gt;0,COUNTIF(#REF!,$B107)=0),"SKIP",IF(COUNTIFS(#REF!,$B107,#REF!,$DG107)&gt;0,"OK","ONBEKEND")),IF(AND($EU107=$ER107,$EV107=$ES107+1),IF(OR(COUNTIF(#REF!,$D107)&gt;0,COUNTIF(#REF!,$D107)=0),"SKIP",IF(COUNTIFS(#REF!,$D107,#REF!,$DG107)&gt;0,"OK","ONBEKEND")),"ONZEKER")))))</f>
        <v/>
      </c>
      <c r="DI107" t="str">
        <f t="shared" si="846"/>
        <v/>
      </c>
      <c r="DJ107" t="str">
        <f t="shared" si="847"/>
        <v/>
      </c>
      <c r="DK107" t="str">
        <f>IF($DJ107="","",IF(OR($EX107="",$EY107=""),"ONZEKER",IF(OR($EU107="",$EV107=""),"ONZEKER",IF(AND($EX107=$EU107+1,$EY107=$EV107),IF(OR(COUNTIF(#REF!,$B107)&gt;0,COUNTIF(#REF!,$B107)=0),"SKIP",IF(COUNTIFS(#REF!,$B107,#REF!,$DJ107)&gt;0,"OK","ONBEKEND")),IF(AND($EX107=$EU107,$EY107=$EV107+1),IF(OR(COUNTIF(#REF!,$D107)&gt;0,COUNTIF(#REF!,$D107)=0),"SKIP",IF(COUNTIFS(#REF!,$D107,#REF!,$DJ107)&gt;0,"OK","ONBEKEND")),"ONZEKER")))))</f>
        <v/>
      </c>
      <c r="DL107" t="str">
        <f t="shared" si="848"/>
        <v/>
      </c>
      <c r="DM107" t="str">
        <f t="shared" si="849"/>
        <v/>
      </c>
      <c r="DN107" t="str">
        <f t="shared" si="850"/>
        <v/>
      </c>
      <c r="DO107" t="str">
        <f t="shared" si="851"/>
        <v/>
      </c>
      <c r="DP107" t="str">
        <f t="shared" si="852"/>
        <v/>
      </c>
      <c r="DQ107" t="str">
        <f t="shared" si="853"/>
        <v/>
      </c>
      <c r="DR107" t="str">
        <f t="shared" si="854"/>
        <v/>
      </c>
      <c r="DS107" t="str">
        <f t="shared" si="855"/>
        <v/>
      </c>
      <c r="DT107" t="str">
        <f t="shared" si="856"/>
        <v/>
      </c>
      <c r="DU107" t="str">
        <f t="shared" si="857"/>
        <v/>
      </c>
      <c r="DV107" t="str">
        <f t="shared" si="858"/>
        <v/>
      </c>
      <c r="DW107" t="str">
        <f t="shared" si="859"/>
        <v/>
      </c>
      <c r="DX107" t="str">
        <f t="shared" si="860"/>
        <v/>
      </c>
      <c r="DY107" t="str">
        <f t="shared" si="861"/>
        <v/>
      </c>
      <c r="DZ107" t="str">
        <f t="shared" si="862"/>
        <v/>
      </c>
      <c r="EA107" t="str">
        <f t="shared" si="863"/>
        <v/>
      </c>
      <c r="EB107" t="str">
        <f t="shared" si="864"/>
        <v/>
      </c>
      <c r="EC107" t="str">
        <f t="shared" si="865"/>
        <v/>
      </c>
      <c r="ED107" t="str">
        <f t="shared" si="866"/>
        <v/>
      </c>
      <c r="EE107" t="str">
        <f t="shared" si="867"/>
        <v/>
      </c>
      <c r="EF107" t="str">
        <f t="shared" si="868"/>
        <v/>
      </c>
      <c r="EG107" t="str">
        <f t="shared" si="869"/>
        <v/>
      </c>
      <c r="EH107" t="str">
        <f t="shared" si="870"/>
        <v/>
      </c>
      <c r="EI107" t="str">
        <f t="shared" si="871"/>
        <v/>
      </c>
      <c r="EJ107" t="str">
        <f t="shared" si="872"/>
        <v/>
      </c>
      <c r="EK107" t="str">
        <f t="shared" si="873"/>
        <v/>
      </c>
      <c r="EL107" t="str">
        <f t="shared" si="874"/>
        <v/>
      </c>
      <c r="EM107" t="str">
        <f t="shared" si="875"/>
        <v/>
      </c>
      <c r="EN107" t="str">
        <f t="shared" si="876"/>
        <v/>
      </c>
      <c r="EO107" t="str">
        <f t="shared" si="877"/>
        <v/>
      </c>
      <c r="EP107" t="str">
        <f t="shared" si="878"/>
        <v/>
      </c>
      <c r="EQ107" t="str">
        <f t="shared" si="879"/>
        <v/>
      </c>
      <c r="ER107" t="str">
        <f t="shared" si="880"/>
        <v/>
      </c>
      <c r="ES107" t="str">
        <f t="shared" si="881"/>
        <v/>
      </c>
      <c r="ET107" t="str">
        <f t="shared" si="882"/>
        <v/>
      </c>
      <c r="EU107" t="str">
        <f t="shared" si="883"/>
        <v/>
      </c>
      <c r="EV107" t="str">
        <f t="shared" si="884"/>
        <v/>
      </c>
      <c r="EW107" t="str">
        <f t="shared" si="885"/>
        <v/>
      </c>
      <c r="EX107" t="str">
        <f t="shared" si="886"/>
        <v/>
      </c>
      <c r="EY107" t="str">
        <f t="shared" si="887"/>
        <v/>
      </c>
    </row>
    <row r="108" spans="1:155" ht="13.9" customHeight="1" x14ac:dyDescent="0.25">
      <c r="A108" s="7"/>
      <c r="B108" s="17"/>
      <c r="C108" s="8"/>
      <c r="D108" s="17"/>
      <c r="E108" s="8"/>
      <c r="F108" s="18">
        <v>0</v>
      </c>
      <c r="G108" s="7" t="s">
        <v>147</v>
      </c>
      <c r="H108" s="18">
        <v>0</v>
      </c>
      <c r="I108" s="19">
        <v>0</v>
      </c>
      <c r="J108" s="7" t="s">
        <v>147</v>
      </c>
      <c r="K108" s="19">
        <v>0</v>
      </c>
      <c r="L108" s="9"/>
      <c r="M108" s="3" t="str">
        <f>IF($L108="","",IF($L108="DOELPUNTENMAKERS","",IF(AND(COUNTIF(#REF!,$B108)=0,COUNTIF(#REF!,$D108)=0),"OK",IF($O108&gt;20,"LET OP: meer dan 20 items (controle onvolledig)",IF((COUNTIF($R108:$AS108,"ONZEKER")+COUNTIF($CJ108:$DK108,"ONZEKER"))&gt;0,"LET OP: scoreverloop onduidelijk (controle beperkt)",IF((IF($AT108&lt;&gt;"",$AT108&amp;", ","")&amp;IF($AU108&lt;&gt;"",$AU108&amp;", ","")&amp;IF($AV108&lt;&gt;"",$AV108&amp;", ","")&amp;IF($AW108&lt;&gt;"",$AW108&amp;", ","")&amp;IF($AX108&lt;&gt;"",$AX108&amp;", ","")&amp;IF($AY108&lt;&gt;"",$AY108&amp;", ","")&amp;IF($AZ108&lt;&gt;"",$AZ108&amp;", ","")&amp;IF($BA108&lt;&gt;"",$BA108&amp;", ","")&amp;IF($BB108&lt;&gt;"",$BB108&amp;", ","")&amp;IF($BC108&lt;&gt;"",$BC108&amp;", ","")&amp;IF($DL108&lt;&gt;"",$DL108&amp;", ","")&amp;IF($DM108&lt;&gt;"",$DM108&amp;", ","")&amp;IF($DN108&lt;&gt;"",$DN108&amp;", ","")&amp;IF($DO108&lt;&gt;"",$DO108&amp;", ","")&amp;IF($DP108&lt;&gt;"",$DP108&amp;", ","")&amp;IF($DQ108&lt;&gt;"",$DQ108&amp;", ","")&amp;IF($DR108&lt;&gt;"",$DR108&amp;", ","")&amp;IF($DS108&lt;&gt;"",$DS108&amp;", ","")&amp;IF($DT108&lt;&gt;"",$DT108&amp;", ","")&amp;IF($DU108&lt;&gt;"",$DU108&amp;", ",""))="","OK","Onbekend: "&amp;LEFT((IF($AT108&lt;&gt;"",$AT108&amp;", ","")&amp;IF($AU108&lt;&gt;"",$AU108&amp;", ","")&amp;IF($AV108&lt;&gt;"",$AV108&amp;", ","")&amp;IF($AW108&lt;&gt;"",$AW108&amp;", ","")&amp;IF($AX108&lt;&gt;"",$AX108&amp;", ","")&amp;IF($AY108&lt;&gt;"",$AY108&amp;", ","")&amp;IF($AZ108&lt;&gt;"",$AZ108&amp;", ","")&amp;IF($BA108&lt;&gt;"",$BA108&amp;", ","")&amp;IF($BB108&lt;&gt;"",$BB108&amp;", ","")&amp;IF($BC108&lt;&gt;"",$BC108&amp;", ","")&amp;IF($DL108&lt;&gt;"",$DL108&amp;", ","")&amp;IF($DM108&lt;&gt;"",$DM108&amp;", ","")&amp;IF($DN108&lt;&gt;"",$DN108&amp;", ","")&amp;IF($DO108&lt;&gt;"",$DO108&amp;", ","")&amp;IF($DP108&lt;&gt;"",$DP108&amp;", ","")&amp;IF($DQ108&lt;&gt;"",$DQ108&amp;", ","")&amp;IF($DR108&lt;&gt;"",$DR108&amp;", ","")&amp;IF($DS108&lt;&gt;"",$DS108&amp;", ","")&amp;IF($DT108&lt;&gt;"",$DT108&amp;", ","")&amp;IF($DU108&lt;&gt;"",$DU108&amp;", ","")),LEN((IF($AT108&lt;&gt;"",$AT108&amp;", ","")&amp;IF($AU108&lt;&gt;"",$AU108&amp;", ","")&amp;IF($AV108&lt;&gt;"",$AV108&amp;", ","")&amp;IF($AW108&lt;&gt;"",$AW108&amp;", ","")&amp;IF($AX108&lt;&gt;"",$AX108&amp;", ","")&amp;IF($AY108&lt;&gt;"",$AY108&amp;", ","")&amp;IF($AZ108&lt;&gt;"",$AZ108&amp;", ","")&amp;IF($BA108&lt;&gt;"",$BA108&amp;", ","")&amp;IF($BB108&lt;&gt;"",$BB108&amp;", ","")&amp;IF($BC108&lt;&gt;"",$BC108&amp;", ","")&amp;IF($DL108&lt;&gt;"",$DL108&amp;", ","")&amp;IF($DM108&lt;&gt;"",$DM108&amp;", ","")&amp;IF($DN108&lt;&gt;"",$DN108&amp;", ","")&amp;IF($DO108&lt;&gt;"",$DO108&amp;", ","")&amp;IF($DP108&lt;&gt;"",$DP108&amp;", ","")&amp;IF($DQ108&lt;&gt;"",$DQ108&amp;", ","")&amp;IF($DR108&lt;&gt;"",$DR108&amp;", ","")&amp;IF($DS108&lt;&gt;"",$DS108&amp;", ","")&amp;IF($DT108&lt;&gt;"",$DT108&amp;", ","")&amp;IF($DU108&lt;&gt;"",$DU108&amp;", ","")))-2)))))))</f>
        <v/>
      </c>
      <c r="N108" t="str">
        <f t="shared" si="796"/>
        <v/>
      </c>
      <c r="O108" t="str">
        <f t="shared" si="797"/>
        <v/>
      </c>
      <c r="P108" t="str">
        <f t="shared" si="798"/>
        <v/>
      </c>
      <c r="Q108" t="str">
        <f t="shared" si="799"/>
        <v/>
      </c>
      <c r="R108" t="str">
        <f>IF($Q108="","",IF(OR($BE108="",$BF108=""),"ONZEKER",IF(AND($BE108=0+1,$BF108=0),IF(OR(COUNTIF(#REF!,$B108)&gt;0,COUNTIF(#REF!,$B108)=0),"SKIP",IF(COUNTIFS(#REF!,$B108,#REF!,$Q108)&gt;0,"OK","ONBEKEND")),IF(AND($BE108=0,$BF108=0+1),IF(OR(COUNTIF(#REF!,$D108)&gt;0,COUNTIF(#REF!,$D108)=0),"SKIP",IF(COUNTIFS(#REF!,$D108,#REF!,$Q108)&gt;0,"OK","ONBEKEND")),"ONZEKER"))))</f>
        <v/>
      </c>
      <c r="S108" t="str">
        <f t="shared" si="800"/>
        <v/>
      </c>
      <c r="T108" t="str">
        <f t="shared" si="801"/>
        <v/>
      </c>
      <c r="U108" t="str">
        <f>IF($T108="","",IF(OR($BH108="",$BI108=""),"ONZEKER",IF(OR($BE108="",$BF108=""),"ONZEKER",IF(AND($BH108=$BE108+1,$BI108=$BF108),IF(OR(COUNTIF(#REF!,$B108)&gt;0,COUNTIF(#REF!,$B108)=0),"SKIP",IF(COUNTIFS(#REF!,$B108,#REF!,$T108)&gt;0,"OK","ONBEKEND")),IF(AND($BH108=$BE108,$BI108=$BF108+1),IF(OR(COUNTIF(#REF!,$D108)&gt;0,COUNTIF(#REF!,$D108)=0),"SKIP",IF(COUNTIFS(#REF!,$D108,#REF!,$T108)&gt;0,"OK","ONBEKEND")),"ONZEKER")))))</f>
        <v/>
      </c>
      <c r="V108" t="str">
        <f t="shared" si="802"/>
        <v/>
      </c>
      <c r="W108" t="str">
        <f t="shared" si="803"/>
        <v/>
      </c>
      <c r="X108" t="str">
        <f>IF($W108="","",IF(OR($BK108="",$BL108=""),"ONZEKER",IF(OR($BH108="",$BI108=""),"ONZEKER",IF(AND($BK108=$BH108+1,$BL108=$BI108),IF(OR(COUNTIF(#REF!,$B108)&gt;0,COUNTIF(#REF!,$B108)=0),"SKIP",IF(COUNTIFS(#REF!,$B108,#REF!,$W108)&gt;0,"OK","ONBEKEND")),IF(AND($BK108=$BH108,$BL108=$BI108+1),IF(OR(COUNTIF(#REF!,$D108)&gt;0,COUNTIF(#REF!,$D108)=0),"SKIP",IF(COUNTIFS(#REF!,$D108,#REF!,$W108)&gt;0,"OK","ONBEKEND")),"ONZEKER")))))</f>
        <v/>
      </c>
      <c r="Y108" t="str">
        <f t="shared" si="804"/>
        <v/>
      </c>
      <c r="Z108" t="str">
        <f t="shared" si="805"/>
        <v/>
      </c>
      <c r="AA108" t="str">
        <f>IF($Z108="","",IF(OR($BN108="",$BO108=""),"ONZEKER",IF(OR($BK108="",$BL108=""),"ONZEKER",IF(AND($BN108=$BK108+1,$BO108=$BL108),IF(OR(COUNTIF(#REF!,$B108)&gt;0,COUNTIF(#REF!,$B108)=0),"SKIP",IF(COUNTIFS(#REF!,$B108,#REF!,$Z108)&gt;0,"OK","ONBEKEND")),IF(AND($BN108=$BK108,$BO108=$BL108+1),IF(OR(COUNTIF(#REF!,$D108)&gt;0,COUNTIF(#REF!,$D108)=0),"SKIP",IF(COUNTIFS(#REF!,$D108,#REF!,$Z108)&gt;0,"OK","ONBEKEND")),"ONZEKER")))))</f>
        <v/>
      </c>
      <c r="AB108" t="str">
        <f t="shared" si="806"/>
        <v/>
      </c>
      <c r="AC108" t="str">
        <f t="shared" si="807"/>
        <v/>
      </c>
      <c r="AD108" t="str">
        <f>IF($AC108="","",IF(OR($BQ108="",$BR108=""),"ONZEKER",IF(OR($BN108="",$BO108=""),"ONZEKER",IF(AND($BQ108=$BN108+1,$BR108=$BO108),IF(OR(COUNTIF(#REF!,$B108)&gt;0,COUNTIF(#REF!,$B108)=0),"SKIP",IF(COUNTIFS(#REF!,$B108,#REF!,$AC108)&gt;0,"OK","ONBEKEND")),IF(AND($BQ108=$BN108,$BR108=$BO108+1),IF(OR(COUNTIF(#REF!,$D108)&gt;0,COUNTIF(#REF!,$D108)=0),"SKIP",IF(COUNTIFS(#REF!,$D108,#REF!,$AC108)&gt;0,"OK","ONBEKEND")),"ONZEKER")))))</f>
        <v/>
      </c>
      <c r="AE108" t="str">
        <f t="shared" si="808"/>
        <v/>
      </c>
      <c r="AF108" t="str">
        <f t="shared" si="809"/>
        <v/>
      </c>
      <c r="AG108" t="str">
        <f>IF($AF108="","",IF(OR($BT108="",$BU108=""),"ONZEKER",IF(OR($BQ108="",$BR108=""),"ONZEKER",IF(AND($BT108=$BQ108+1,$BU108=$BR108),IF(OR(COUNTIF(#REF!,$B108)&gt;0,COUNTIF(#REF!,$B108)=0),"SKIP",IF(COUNTIFS(#REF!,$B108,#REF!,$AF108)&gt;0,"OK","ONBEKEND")),IF(AND($BT108=$BQ108,$BU108=$BR108+1),IF(OR(COUNTIF(#REF!,$D108)&gt;0,COUNTIF(#REF!,$D108)=0),"SKIP",IF(COUNTIFS(#REF!,$D108,#REF!,$AF108)&gt;0,"OK","ONBEKEND")),"ONZEKER")))))</f>
        <v/>
      </c>
      <c r="AH108" t="str">
        <f t="shared" si="810"/>
        <v/>
      </c>
      <c r="AI108" t="str">
        <f t="shared" si="811"/>
        <v/>
      </c>
      <c r="AJ108" t="str">
        <f>IF($AI108="","",IF(OR($BW108="",$BX108=""),"ONZEKER",IF(OR($BT108="",$BU108=""),"ONZEKER",IF(AND($BW108=$BT108+1,$BX108=$BU108),IF(OR(COUNTIF(#REF!,$B108)&gt;0,COUNTIF(#REF!,$B108)=0),"SKIP",IF(COUNTIFS(#REF!,$B108,#REF!,$AI108)&gt;0,"OK","ONBEKEND")),IF(AND($BW108=$BT108,$BX108=$BU108+1),IF(OR(COUNTIF(#REF!,$D108)&gt;0,COUNTIF(#REF!,$D108)=0),"SKIP",IF(COUNTIFS(#REF!,$D108,#REF!,$AI108)&gt;0,"OK","ONBEKEND")),"ONZEKER")))))</f>
        <v/>
      </c>
      <c r="AK108" t="str">
        <f t="shared" si="812"/>
        <v/>
      </c>
      <c r="AL108" t="str">
        <f t="shared" si="813"/>
        <v/>
      </c>
      <c r="AM108" t="str">
        <f>IF($AL108="","",IF(OR($BZ108="",$CA108=""),"ONZEKER",IF(OR($BW108="",$BX108=""),"ONZEKER",IF(AND($BZ108=$BW108+1,$CA108=$BX108),IF(OR(COUNTIF(#REF!,$B108)&gt;0,COUNTIF(#REF!,$B108)=0),"SKIP",IF(COUNTIFS(#REF!,$B108,#REF!,$AL108)&gt;0,"OK","ONBEKEND")),IF(AND($BZ108=$BW108,$CA108=$BX108+1),IF(OR(COUNTIF(#REF!,$D108)&gt;0,COUNTIF(#REF!,$D108)=0),"SKIP",IF(COUNTIFS(#REF!,$D108,#REF!,$AL108)&gt;0,"OK","ONBEKEND")),"ONZEKER")))))</f>
        <v/>
      </c>
      <c r="AN108" t="str">
        <f t="shared" si="814"/>
        <v/>
      </c>
      <c r="AO108" t="str">
        <f t="shared" si="815"/>
        <v/>
      </c>
      <c r="AP108" t="str">
        <f>IF($AO108="","",IF(OR($CC108="",$CD108=""),"ONZEKER",IF(OR($BZ108="",$CA108=""),"ONZEKER",IF(AND($CC108=$BZ108+1,$CD108=$CA108),IF(OR(COUNTIF(#REF!,$B108)&gt;0,COUNTIF(#REF!,$B108)=0),"SKIP",IF(COUNTIFS(#REF!,$B108,#REF!,$AO108)&gt;0,"OK","ONBEKEND")),IF(AND($CC108=$BZ108,$CD108=$CA108+1),IF(OR(COUNTIF(#REF!,$D108)&gt;0,COUNTIF(#REF!,$D108)=0),"SKIP",IF(COUNTIFS(#REF!,$D108,#REF!,$AO108)&gt;0,"OK","ONBEKEND")),"ONZEKER")))))</f>
        <v/>
      </c>
      <c r="AQ108" t="str">
        <f t="shared" si="816"/>
        <v/>
      </c>
      <c r="AR108" t="str">
        <f t="shared" si="817"/>
        <v/>
      </c>
      <c r="AS108" t="str">
        <f>IF($AR108="","",IF(OR($CF108="",$CG108=""),"ONZEKER",IF(OR($CC108="",$CD108=""),"ONZEKER",IF(AND($CF108=$CC108+1,$CG108=$CD108),IF(OR(COUNTIF(#REF!,$B108)&gt;0,COUNTIF(#REF!,$B108)=0),"SKIP",IF(COUNTIFS(#REF!,$B108,#REF!,$AR108)&gt;0,"OK","ONBEKEND")),IF(AND($CF108=$CC108,$CG108=$CD108+1),IF(OR(COUNTIF(#REF!,$D108)&gt;0,COUNTIF(#REF!,$D108)=0),"SKIP",IF(COUNTIFS(#REF!,$D108,#REF!,$AR108)&gt;0,"OK","ONBEKEND")),"ONZEKER")))))</f>
        <v/>
      </c>
      <c r="AT108" t="str">
        <f t="shared" si="818"/>
        <v/>
      </c>
      <c r="AU108" t="str">
        <f t="shared" si="819"/>
        <v/>
      </c>
      <c r="AV108" t="str">
        <f t="shared" si="820"/>
        <v/>
      </c>
      <c r="AW108" t="str">
        <f t="shared" si="821"/>
        <v/>
      </c>
      <c r="AX108" t="str">
        <f t="shared" si="822"/>
        <v/>
      </c>
      <c r="AY108" t="str">
        <f t="shared" si="823"/>
        <v/>
      </c>
      <c r="AZ108" t="str">
        <f t="shared" si="824"/>
        <v/>
      </c>
      <c r="BA108" t="str">
        <f t="shared" si="825"/>
        <v/>
      </c>
      <c r="BB108" t="str">
        <f t="shared" si="826"/>
        <v/>
      </c>
      <c r="BC108" t="str">
        <f t="shared" si="827"/>
        <v/>
      </c>
      <c r="BD108" t="str">
        <f t="shared" si="490"/>
        <v/>
      </c>
      <c r="BE108" t="str">
        <f t="shared" si="491"/>
        <v/>
      </c>
      <c r="BF108" t="str">
        <f t="shared" si="492"/>
        <v/>
      </c>
      <c r="BG108" t="str">
        <f t="shared" si="493"/>
        <v/>
      </c>
      <c r="BH108" t="str">
        <f t="shared" si="494"/>
        <v/>
      </c>
      <c r="BI108" t="str">
        <f t="shared" si="495"/>
        <v/>
      </c>
      <c r="BJ108" t="str">
        <f t="shared" si="496"/>
        <v/>
      </c>
      <c r="BK108" t="str">
        <f t="shared" si="497"/>
        <v/>
      </c>
      <c r="BL108" t="str">
        <f t="shared" si="498"/>
        <v/>
      </c>
      <c r="BM108" t="str">
        <f t="shared" si="499"/>
        <v/>
      </c>
      <c r="BN108" t="str">
        <f t="shared" si="500"/>
        <v/>
      </c>
      <c r="BO108" t="str">
        <f t="shared" si="501"/>
        <v/>
      </c>
      <c r="BP108" t="str">
        <f t="shared" si="502"/>
        <v/>
      </c>
      <c r="BQ108" t="str">
        <f t="shared" si="503"/>
        <v/>
      </c>
      <c r="BR108" t="str">
        <f t="shared" si="504"/>
        <v/>
      </c>
      <c r="BS108" t="str">
        <f t="shared" si="505"/>
        <v/>
      </c>
      <c r="BT108" t="str">
        <f t="shared" si="506"/>
        <v/>
      </c>
      <c r="BU108" t="str">
        <f t="shared" si="507"/>
        <v/>
      </c>
      <c r="BV108" t="str">
        <f t="shared" si="508"/>
        <v/>
      </c>
      <c r="BW108" t="str">
        <f t="shared" si="509"/>
        <v/>
      </c>
      <c r="BX108" t="str">
        <f t="shared" si="510"/>
        <v/>
      </c>
      <c r="BY108" t="str">
        <f t="shared" si="511"/>
        <v/>
      </c>
      <c r="BZ108" t="str">
        <f t="shared" si="512"/>
        <v/>
      </c>
      <c r="CA108" t="str">
        <f t="shared" si="513"/>
        <v/>
      </c>
      <c r="CB108" t="str">
        <f t="shared" si="514"/>
        <v/>
      </c>
      <c r="CC108" t="str">
        <f t="shared" si="515"/>
        <v/>
      </c>
      <c r="CD108" t="str">
        <f t="shared" si="516"/>
        <v/>
      </c>
      <c r="CE108" t="str">
        <f t="shared" si="517"/>
        <v/>
      </c>
      <c r="CF108" t="str">
        <f t="shared" si="518"/>
        <v/>
      </c>
      <c r="CG108" t="str">
        <f t="shared" si="519"/>
        <v/>
      </c>
      <c r="CH108" t="str">
        <f t="shared" si="828"/>
        <v/>
      </c>
      <c r="CI108" t="str">
        <f t="shared" si="829"/>
        <v/>
      </c>
      <c r="CJ108" t="str">
        <f>IF($CI108="","",IF(OR($DW108="",$DX108=""),"ONZEKER",IF(OR($CF108="",$CG108=""),"ONZEKER",IF(AND($DW108=$CF108+1,$DX108=$CG108),IF(OR(COUNTIF(#REF!,$B108)&gt;0,COUNTIF(#REF!,$B108)=0),"SKIP",IF(COUNTIFS(#REF!,$B108,#REF!,$CI108)&gt;0,"OK","ONBEKEND")),IF(AND($DW108=$CF108,$DX108=$CG108+1),IF(OR(COUNTIF(#REF!,$D108)&gt;0,COUNTIF(#REF!,$D108)=0),"SKIP",IF(COUNTIFS(#REF!,$D108,#REF!,$CI108)&gt;0,"OK","ONBEKEND")),"ONZEKER")))))</f>
        <v/>
      </c>
      <c r="CK108" t="str">
        <f t="shared" si="830"/>
        <v/>
      </c>
      <c r="CL108" t="str">
        <f t="shared" si="831"/>
        <v/>
      </c>
      <c r="CM108" t="str">
        <f>IF($CL108="","",IF(OR($DZ108="",$EA108=""),"ONZEKER",IF(OR($DW108="",$DX108=""),"ONZEKER",IF(AND($DZ108=$DW108+1,$EA108=$DX108),IF(OR(COUNTIF(#REF!,$B108)&gt;0,COUNTIF(#REF!,$B108)=0),"SKIP",IF(COUNTIFS(#REF!,$B108,#REF!,$CL108)&gt;0,"OK","ONBEKEND")),IF(AND($DZ108=$DW108,$EA108=$DX108+1),IF(OR(COUNTIF(#REF!,$D108)&gt;0,COUNTIF(#REF!,$D108)=0),"SKIP",IF(COUNTIFS(#REF!,$D108,#REF!,$CL108)&gt;0,"OK","ONBEKEND")),"ONZEKER")))))</f>
        <v/>
      </c>
      <c r="CN108" t="str">
        <f t="shared" si="832"/>
        <v/>
      </c>
      <c r="CO108" t="str">
        <f t="shared" si="833"/>
        <v/>
      </c>
      <c r="CP108" t="str">
        <f>IF($CO108="","",IF(OR($EC108="",$ED108=""),"ONZEKER",IF(OR($DZ108="",$EA108=""),"ONZEKER",IF(AND($EC108=$DZ108+1,$ED108=$EA108),IF(OR(COUNTIF(#REF!,$B108)&gt;0,COUNTIF(#REF!,$B108)=0),"SKIP",IF(COUNTIFS(#REF!,$B108,#REF!,$CO108)&gt;0,"OK","ONBEKEND")),IF(AND($EC108=$DZ108,$ED108=$EA108+1),IF(OR(COUNTIF(#REF!,$D108)&gt;0,COUNTIF(#REF!,$D108)=0),"SKIP",IF(COUNTIFS(#REF!,$D108,#REF!,$CO108)&gt;0,"OK","ONBEKEND")),"ONZEKER")))))</f>
        <v/>
      </c>
      <c r="CQ108" t="str">
        <f t="shared" si="834"/>
        <v/>
      </c>
      <c r="CR108" t="str">
        <f t="shared" si="835"/>
        <v/>
      </c>
      <c r="CS108" t="str">
        <f>IF($CR108="","",IF(OR($EF108="",$EG108=""),"ONZEKER",IF(OR($EC108="",$ED108=""),"ONZEKER",IF(AND($EF108=$EC108+1,$EG108=$ED108),IF(OR(COUNTIF(#REF!,$B108)&gt;0,COUNTIF(#REF!,$B108)=0),"SKIP",IF(COUNTIFS(#REF!,$B108,#REF!,$CR108)&gt;0,"OK","ONBEKEND")),IF(AND($EF108=$EC108,$EG108=$ED108+1),IF(OR(COUNTIF(#REF!,$D108)&gt;0,COUNTIF(#REF!,$D108)=0),"SKIP",IF(COUNTIFS(#REF!,$D108,#REF!,$CR108)&gt;0,"OK","ONBEKEND")),"ONZEKER")))))</f>
        <v/>
      </c>
      <c r="CT108" t="str">
        <f t="shared" si="836"/>
        <v/>
      </c>
      <c r="CU108" t="str">
        <f t="shared" si="837"/>
        <v/>
      </c>
      <c r="CV108" t="str">
        <f>IF($CU108="","",IF(OR($EI108="",$EJ108=""),"ONZEKER",IF(OR($EF108="",$EG108=""),"ONZEKER",IF(AND($EI108=$EF108+1,$EJ108=$EG108),IF(OR(COUNTIF(#REF!,$B108)&gt;0,COUNTIF(#REF!,$B108)=0),"SKIP",IF(COUNTIFS(#REF!,$B108,#REF!,$CU108)&gt;0,"OK","ONBEKEND")),IF(AND($EI108=$EF108,$EJ108=$EG108+1),IF(OR(COUNTIF(#REF!,$D108)&gt;0,COUNTIF(#REF!,$D108)=0),"SKIP",IF(COUNTIFS(#REF!,$D108,#REF!,$CU108)&gt;0,"OK","ONBEKEND")),"ONZEKER")))))</f>
        <v/>
      </c>
      <c r="CW108" t="str">
        <f t="shared" si="838"/>
        <v/>
      </c>
      <c r="CX108" t="str">
        <f t="shared" si="839"/>
        <v/>
      </c>
      <c r="CY108" t="str">
        <f>IF($CX108="","",IF(OR($EL108="",$EM108=""),"ONZEKER",IF(OR($EI108="",$EJ108=""),"ONZEKER",IF(AND($EL108=$EI108+1,$EM108=$EJ108),IF(OR(COUNTIF(#REF!,$B108)&gt;0,COUNTIF(#REF!,$B108)=0),"SKIP",IF(COUNTIFS(#REF!,$B108,#REF!,$CX108)&gt;0,"OK","ONBEKEND")),IF(AND($EL108=$EI108,$EM108=$EJ108+1),IF(OR(COUNTIF(#REF!,$D108)&gt;0,COUNTIF(#REF!,$D108)=0),"SKIP",IF(COUNTIFS(#REF!,$D108,#REF!,$CX108)&gt;0,"OK","ONBEKEND")),"ONZEKER")))))</f>
        <v/>
      </c>
      <c r="CZ108" t="str">
        <f t="shared" si="840"/>
        <v/>
      </c>
      <c r="DA108" t="str">
        <f t="shared" si="841"/>
        <v/>
      </c>
      <c r="DB108" t="str">
        <f>IF($DA108="","",IF(OR($EO108="",$EP108=""),"ONZEKER",IF(OR($EL108="",$EM108=""),"ONZEKER",IF(AND($EO108=$EL108+1,$EP108=$EM108),IF(OR(COUNTIF(#REF!,$B108)&gt;0,COUNTIF(#REF!,$B108)=0),"SKIP",IF(COUNTIFS(#REF!,$B108,#REF!,$DA108)&gt;0,"OK","ONBEKEND")),IF(AND($EO108=$EL108,$EP108=$EM108+1),IF(OR(COUNTIF(#REF!,$D108)&gt;0,COUNTIF(#REF!,$D108)=0),"SKIP",IF(COUNTIFS(#REF!,$D108,#REF!,$DA108)&gt;0,"OK","ONBEKEND")),"ONZEKER")))))</f>
        <v/>
      </c>
      <c r="DC108" t="str">
        <f t="shared" si="842"/>
        <v/>
      </c>
      <c r="DD108" t="str">
        <f t="shared" si="843"/>
        <v/>
      </c>
      <c r="DE108" t="str">
        <f>IF($DD108="","",IF(OR($ER108="",$ES108=""),"ONZEKER",IF(OR($EO108="",$EP108=""),"ONZEKER",IF(AND($ER108=$EO108+1,$ES108=$EP108),IF(OR(COUNTIF(#REF!,$B108)&gt;0,COUNTIF(#REF!,$B108)=0),"SKIP",IF(COUNTIFS(#REF!,$B108,#REF!,$DD108)&gt;0,"OK","ONBEKEND")),IF(AND($ER108=$EO108,$ES108=$EP108+1),IF(OR(COUNTIF(#REF!,$D108)&gt;0,COUNTIF(#REF!,$D108)=0),"SKIP",IF(COUNTIFS(#REF!,$D108,#REF!,$DD108)&gt;0,"OK","ONBEKEND")),"ONZEKER")))))</f>
        <v/>
      </c>
      <c r="DF108" t="str">
        <f t="shared" si="844"/>
        <v/>
      </c>
      <c r="DG108" t="str">
        <f t="shared" si="845"/>
        <v/>
      </c>
      <c r="DH108" t="str">
        <f>IF($DG108="","",IF(OR($EU108="",$EV108=""),"ONZEKER",IF(OR($ER108="",$ES108=""),"ONZEKER",IF(AND($EU108=$ER108+1,$EV108=$ES108),IF(OR(COUNTIF(#REF!,$B108)&gt;0,COUNTIF(#REF!,$B108)=0),"SKIP",IF(COUNTIFS(#REF!,$B108,#REF!,$DG108)&gt;0,"OK","ONBEKEND")),IF(AND($EU108=$ER108,$EV108=$ES108+1),IF(OR(COUNTIF(#REF!,$D108)&gt;0,COUNTIF(#REF!,$D108)=0),"SKIP",IF(COUNTIFS(#REF!,$D108,#REF!,$DG108)&gt;0,"OK","ONBEKEND")),"ONZEKER")))))</f>
        <v/>
      </c>
      <c r="DI108" t="str">
        <f t="shared" si="846"/>
        <v/>
      </c>
      <c r="DJ108" t="str">
        <f t="shared" si="847"/>
        <v/>
      </c>
      <c r="DK108" t="str">
        <f>IF($DJ108="","",IF(OR($EX108="",$EY108=""),"ONZEKER",IF(OR($EU108="",$EV108=""),"ONZEKER",IF(AND($EX108=$EU108+1,$EY108=$EV108),IF(OR(COUNTIF(#REF!,$B108)&gt;0,COUNTIF(#REF!,$B108)=0),"SKIP",IF(COUNTIFS(#REF!,$B108,#REF!,$DJ108)&gt;0,"OK","ONBEKEND")),IF(AND($EX108=$EU108,$EY108=$EV108+1),IF(OR(COUNTIF(#REF!,$D108)&gt;0,COUNTIF(#REF!,$D108)=0),"SKIP",IF(COUNTIFS(#REF!,$D108,#REF!,$DJ108)&gt;0,"OK","ONBEKEND")),"ONZEKER")))))</f>
        <v/>
      </c>
      <c r="DL108" t="str">
        <f t="shared" si="848"/>
        <v/>
      </c>
      <c r="DM108" t="str">
        <f t="shared" si="849"/>
        <v/>
      </c>
      <c r="DN108" t="str">
        <f t="shared" si="850"/>
        <v/>
      </c>
      <c r="DO108" t="str">
        <f t="shared" si="851"/>
        <v/>
      </c>
      <c r="DP108" t="str">
        <f t="shared" si="852"/>
        <v/>
      </c>
      <c r="DQ108" t="str">
        <f t="shared" si="853"/>
        <v/>
      </c>
      <c r="DR108" t="str">
        <f t="shared" si="854"/>
        <v/>
      </c>
      <c r="DS108" t="str">
        <f t="shared" si="855"/>
        <v/>
      </c>
      <c r="DT108" t="str">
        <f t="shared" si="856"/>
        <v/>
      </c>
      <c r="DU108" t="str">
        <f t="shared" si="857"/>
        <v/>
      </c>
      <c r="DV108" t="str">
        <f t="shared" si="858"/>
        <v/>
      </c>
      <c r="DW108" t="str">
        <f t="shared" si="859"/>
        <v/>
      </c>
      <c r="DX108" t="str">
        <f t="shared" si="860"/>
        <v/>
      </c>
      <c r="DY108" t="str">
        <f t="shared" si="861"/>
        <v/>
      </c>
      <c r="DZ108" t="str">
        <f t="shared" si="862"/>
        <v/>
      </c>
      <c r="EA108" t="str">
        <f t="shared" si="863"/>
        <v/>
      </c>
      <c r="EB108" t="str">
        <f t="shared" si="864"/>
        <v/>
      </c>
      <c r="EC108" t="str">
        <f t="shared" si="865"/>
        <v/>
      </c>
      <c r="ED108" t="str">
        <f t="shared" si="866"/>
        <v/>
      </c>
      <c r="EE108" t="str">
        <f t="shared" si="867"/>
        <v/>
      </c>
      <c r="EF108" t="str">
        <f t="shared" si="868"/>
        <v/>
      </c>
      <c r="EG108" t="str">
        <f t="shared" si="869"/>
        <v/>
      </c>
      <c r="EH108" t="str">
        <f t="shared" si="870"/>
        <v/>
      </c>
      <c r="EI108" t="str">
        <f t="shared" si="871"/>
        <v/>
      </c>
      <c r="EJ108" t="str">
        <f t="shared" si="872"/>
        <v/>
      </c>
      <c r="EK108" t="str">
        <f t="shared" si="873"/>
        <v/>
      </c>
      <c r="EL108" t="str">
        <f t="shared" si="874"/>
        <v/>
      </c>
      <c r="EM108" t="str">
        <f t="shared" si="875"/>
        <v/>
      </c>
      <c r="EN108" t="str">
        <f t="shared" si="876"/>
        <v/>
      </c>
      <c r="EO108" t="str">
        <f t="shared" si="877"/>
        <v/>
      </c>
      <c r="EP108" t="str">
        <f t="shared" si="878"/>
        <v/>
      </c>
      <c r="EQ108" t="str">
        <f t="shared" si="879"/>
        <v/>
      </c>
      <c r="ER108" t="str">
        <f t="shared" si="880"/>
        <v/>
      </c>
      <c r="ES108" t="str">
        <f t="shared" si="881"/>
        <v/>
      </c>
      <c r="ET108" t="str">
        <f t="shared" si="882"/>
        <v/>
      </c>
      <c r="EU108" t="str">
        <f t="shared" si="883"/>
        <v/>
      </c>
      <c r="EV108" t="str">
        <f t="shared" si="884"/>
        <v/>
      </c>
      <c r="EW108" t="str">
        <f t="shared" si="885"/>
        <v/>
      </c>
      <c r="EX108" t="str">
        <f t="shared" si="886"/>
        <v/>
      </c>
      <c r="EY108" t="str">
        <f t="shared" si="887"/>
        <v/>
      </c>
    </row>
    <row r="109" spans="1:155" ht="13.9" customHeight="1" x14ac:dyDescent="0.25">
      <c r="A109" s="7"/>
      <c r="B109" s="17"/>
      <c r="C109" s="8"/>
      <c r="D109" s="17"/>
      <c r="E109" s="8"/>
      <c r="F109" s="18">
        <v>0</v>
      </c>
      <c r="G109" s="7" t="s">
        <v>147</v>
      </c>
      <c r="H109" s="18">
        <v>0</v>
      </c>
      <c r="I109" s="19">
        <v>0</v>
      </c>
      <c r="J109" s="7" t="s">
        <v>147</v>
      </c>
      <c r="K109" s="19">
        <v>0</v>
      </c>
      <c r="L109" s="9"/>
      <c r="M109" s="3" t="str">
        <f>IF($L109="","",IF($L109="DOELPUNTENMAKERS","",IF(AND(COUNTIF(#REF!,$B109)=0,COUNTIF(#REF!,$D109)=0),"OK",IF($O109&gt;20,"LET OP: meer dan 20 items (controle onvolledig)",IF((COUNTIF($R109:$AS109,"ONZEKER")+COUNTIF($CJ109:$DK109,"ONZEKER"))&gt;0,"LET OP: scoreverloop onduidelijk (controle beperkt)",IF((IF($AT109&lt;&gt;"",$AT109&amp;", ","")&amp;IF($AU109&lt;&gt;"",$AU109&amp;", ","")&amp;IF($AV109&lt;&gt;"",$AV109&amp;", ","")&amp;IF($AW109&lt;&gt;"",$AW109&amp;", ","")&amp;IF($AX109&lt;&gt;"",$AX109&amp;", ","")&amp;IF($AY109&lt;&gt;"",$AY109&amp;", ","")&amp;IF($AZ109&lt;&gt;"",$AZ109&amp;", ","")&amp;IF($BA109&lt;&gt;"",$BA109&amp;", ","")&amp;IF($BB109&lt;&gt;"",$BB109&amp;", ","")&amp;IF($BC109&lt;&gt;"",$BC109&amp;", ","")&amp;IF($DL109&lt;&gt;"",$DL109&amp;", ","")&amp;IF($DM109&lt;&gt;"",$DM109&amp;", ","")&amp;IF($DN109&lt;&gt;"",$DN109&amp;", ","")&amp;IF($DO109&lt;&gt;"",$DO109&amp;", ","")&amp;IF($DP109&lt;&gt;"",$DP109&amp;", ","")&amp;IF($DQ109&lt;&gt;"",$DQ109&amp;", ","")&amp;IF($DR109&lt;&gt;"",$DR109&amp;", ","")&amp;IF($DS109&lt;&gt;"",$DS109&amp;", ","")&amp;IF($DT109&lt;&gt;"",$DT109&amp;", ","")&amp;IF($DU109&lt;&gt;"",$DU109&amp;", ",""))="","OK","Onbekend: "&amp;LEFT((IF($AT109&lt;&gt;"",$AT109&amp;", ","")&amp;IF($AU109&lt;&gt;"",$AU109&amp;", ","")&amp;IF($AV109&lt;&gt;"",$AV109&amp;", ","")&amp;IF($AW109&lt;&gt;"",$AW109&amp;", ","")&amp;IF($AX109&lt;&gt;"",$AX109&amp;", ","")&amp;IF($AY109&lt;&gt;"",$AY109&amp;", ","")&amp;IF($AZ109&lt;&gt;"",$AZ109&amp;", ","")&amp;IF($BA109&lt;&gt;"",$BA109&amp;", ","")&amp;IF($BB109&lt;&gt;"",$BB109&amp;", ","")&amp;IF($BC109&lt;&gt;"",$BC109&amp;", ","")&amp;IF($DL109&lt;&gt;"",$DL109&amp;", ","")&amp;IF($DM109&lt;&gt;"",$DM109&amp;", ","")&amp;IF($DN109&lt;&gt;"",$DN109&amp;", ","")&amp;IF($DO109&lt;&gt;"",$DO109&amp;", ","")&amp;IF($DP109&lt;&gt;"",$DP109&amp;", ","")&amp;IF($DQ109&lt;&gt;"",$DQ109&amp;", ","")&amp;IF($DR109&lt;&gt;"",$DR109&amp;", ","")&amp;IF($DS109&lt;&gt;"",$DS109&amp;", ","")&amp;IF($DT109&lt;&gt;"",$DT109&amp;", ","")&amp;IF($DU109&lt;&gt;"",$DU109&amp;", ","")),LEN((IF($AT109&lt;&gt;"",$AT109&amp;", ","")&amp;IF($AU109&lt;&gt;"",$AU109&amp;", ","")&amp;IF($AV109&lt;&gt;"",$AV109&amp;", ","")&amp;IF($AW109&lt;&gt;"",$AW109&amp;", ","")&amp;IF($AX109&lt;&gt;"",$AX109&amp;", ","")&amp;IF($AY109&lt;&gt;"",$AY109&amp;", ","")&amp;IF($AZ109&lt;&gt;"",$AZ109&amp;", ","")&amp;IF($BA109&lt;&gt;"",$BA109&amp;", ","")&amp;IF($BB109&lt;&gt;"",$BB109&amp;", ","")&amp;IF($BC109&lt;&gt;"",$BC109&amp;", ","")&amp;IF($DL109&lt;&gt;"",$DL109&amp;", ","")&amp;IF($DM109&lt;&gt;"",$DM109&amp;", ","")&amp;IF($DN109&lt;&gt;"",$DN109&amp;", ","")&amp;IF($DO109&lt;&gt;"",$DO109&amp;", ","")&amp;IF($DP109&lt;&gt;"",$DP109&amp;", ","")&amp;IF($DQ109&lt;&gt;"",$DQ109&amp;", ","")&amp;IF($DR109&lt;&gt;"",$DR109&amp;", ","")&amp;IF($DS109&lt;&gt;"",$DS109&amp;", ","")&amp;IF($DT109&lt;&gt;"",$DT109&amp;", ","")&amp;IF($DU109&lt;&gt;"",$DU109&amp;", ","")))-2)))))))</f>
        <v/>
      </c>
      <c r="N109" t="str">
        <f t="shared" si="796"/>
        <v/>
      </c>
      <c r="O109" t="str">
        <f t="shared" si="797"/>
        <v/>
      </c>
      <c r="P109" t="str">
        <f t="shared" si="798"/>
        <v/>
      </c>
      <c r="Q109" t="str">
        <f t="shared" si="799"/>
        <v/>
      </c>
      <c r="R109" t="str">
        <f>IF($Q109="","",IF(OR($BE109="",$BF109=""),"ONZEKER",IF(AND($BE109=0+1,$BF109=0),IF(OR(COUNTIF(#REF!,$B109)&gt;0,COUNTIF(#REF!,$B109)=0),"SKIP",IF(COUNTIFS(#REF!,$B109,#REF!,$Q109)&gt;0,"OK","ONBEKEND")),IF(AND($BE109=0,$BF109=0+1),IF(OR(COUNTIF(#REF!,$D109)&gt;0,COUNTIF(#REF!,$D109)=0),"SKIP",IF(COUNTIFS(#REF!,$D109,#REF!,$Q109)&gt;0,"OK","ONBEKEND")),"ONZEKER"))))</f>
        <v/>
      </c>
      <c r="S109" t="str">
        <f t="shared" si="800"/>
        <v/>
      </c>
      <c r="T109" t="str">
        <f t="shared" si="801"/>
        <v/>
      </c>
      <c r="U109" t="str">
        <f>IF($T109="","",IF(OR($BH109="",$BI109=""),"ONZEKER",IF(OR($BE109="",$BF109=""),"ONZEKER",IF(AND($BH109=$BE109+1,$BI109=$BF109),IF(OR(COUNTIF(#REF!,$B109)&gt;0,COUNTIF(#REF!,$B109)=0),"SKIP",IF(COUNTIFS(#REF!,$B109,#REF!,$T109)&gt;0,"OK","ONBEKEND")),IF(AND($BH109=$BE109,$BI109=$BF109+1),IF(OR(COUNTIF(#REF!,$D109)&gt;0,COUNTIF(#REF!,$D109)=0),"SKIP",IF(COUNTIFS(#REF!,$D109,#REF!,$T109)&gt;0,"OK","ONBEKEND")),"ONZEKER")))))</f>
        <v/>
      </c>
      <c r="V109" t="str">
        <f t="shared" si="802"/>
        <v/>
      </c>
      <c r="W109" t="str">
        <f t="shared" si="803"/>
        <v/>
      </c>
      <c r="X109" t="str">
        <f>IF($W109="","",IF(OR($BK109="",$BL109=""),"ONZEKER",IF(OR($BH109="",$BI109=""),"ONZEKER",IF(AND($BK109=$BH109+1,$BL109=$BI109),IF(OR(COUNTIF(#REF!,$B109)&gt;0,COUNTIF(#REF!,$B109)=0),"SKIP",IF(COUNTIFS(#REF!,$B109,#REF!,$W109)&gt;0,"OK","ONBEKEND")),IF(AND($BK109=$BH109,$BL109=$BI109+1),IF(OR(COUNTIF(#REF!,$D109)&gt;0,COUNTIF(#REF!,$D109)=0),"SKIP",IF(COUNTIFS(#REF!,$D109,#REF!,$W109)&gt;0,"OK","ONBEKEND")),"ONZEKER")))))</f>
        <v/>
      </c>
      <c r="Y109" t="str">
        <f t="shared" si="804"/>
        <v/>
      </c>
      <c r="Z109" t="str">
        <f t="shared" si="805"/>
        <v/>
      </c>
      <c r="AA109" t="str">
        <f>IF($Z109="","",IF(OR($BN109="",$BO109=""),"ONZEKER",IF(OR($BK109="",$BL109=""),"ONZEKER",IF(AND($BN109=$BK109+1,$BO109=$BL109),IF(OR(COUNTIF(#REF!,$B109)&gt;0,COUNTIF(#REF!,$B109)=0),"SKIP",IF(COUNTIFS(#REF!,$B109,#REF!,$Z109)&gt;0,"OK","ONBEKEND")),IF(AND($BN109=$BK109,$BO109=$BL109+1),IF(OR(COUNTIF(#REF!,$D109)&gt;0,COUNTIF(#REF!,$D109)=0),"SKIP",IF(COUNTIFS(#REF!,$D109,#REF!,$Z109)&gt;0,"OK","ONBEKEND")),"ONZEKER")))))</f>
        <v/>
      </c>
      <c r="AB109" t="str">
        <f t="shared" si="806"/>
        <v/>
      </c>
      <c r="AC109" t="str">
        <f t="shared" si="807"/>
        <v/>
      </c>
      <c r="AD109" t="str">
        <f>IF($AC109="","",IF(OR($BQ109="",$BR109=""),"ONZEKER",IF(OR($BN109="",$BO109=""),"ONZEKER",IF(AND($BQ109=$BN109+1,$BR109=$BO109),IF(OR(COUNTIF(#REF!,$B109)&gt;0,COUNTIF(#REF!,$B109)=0),"SKIP",IF(COUNTIFS(#REF!,$B109,#REF!,$AC109)&gt;0,"OK","ONBEKEND")),IF(AND($BQ109=$BN109,$BR109=$BO109+1),IF(OR(COUNTIF(#REF!,$D109)&gt;0,COUNTIF(#REF!,$D109)=0),"SKIP",IF(COUNTIFS(#REF!,$D109,#REF!,$AC109)&gt;0,"OK","ONBEKEND")),"ONZEKER")))))</f>
        <v/>
      </c>
      <c r="AE109" t="str">
        <f t="shared" si="808"/>
        <v/>
      </c>
      <c r="AF109" t="str">
        <f t="shared" si="809"/>
        <v/>
      </c>
      <c r="AG109" t="str">
        <f>IF($AF109="","",IF(OR($BT109="",$BU109=""),"ONZEKER",IF(OR($BQ109="",$BR109=""),"ONZEKER",IF(AND($BT109=$BQ109+1,$BU109=$BR109),IF(OR(COUNTIF(#REF!,$B109)&gt;0,COUNTIF(#REF!,$B109)=0),"SKIP",IF(COUNTIFS(#REF!,$B109,#REF!,$AF109)&gt;0,"OK","ONBEKEND")),IF(AND($BT109=$BQ109,$BU109=$BR109+1),IF(OR(COUNTIF(#REF!,$D109)&gt;0,COUNTIF(#REF!,$D109)=0),"SKIP",IF(COUNTIFS(#REF!,$D109,#REF!,$AF109)&gt;0,"OK","ONBEKEND")),"ONZEKER")))))</f>
        <v/>
      </c>
      <c r="AH109" t="str">
        <f t="shared" si="810"/>
        <v/>
      </c>
      <c r="AI109" t="str">
        <f t="shared" si="811"/>
        <v/>
      </c>
      <c r="AJ109" t="str">
        <f>IF($AI109="","",IF(OR($BW109="",$BX109=""),"ONZEKER",IF(OR($BT109="",$BU109=""),"ONZEKER",IF(AND($BW109=$BT109+1,$BX109=$BU109),IF(OR(COUNTIF(#REF!,$B109)&gt;0,COUNTIF(#REF!,$B109)=0),"SKIP",IF(COUNTIFS(#REF!,$B109,#REF!,$AI109)&gt;0,"OK","ONBEKEND")),IF(AND($BW109=$BT109,$BX109=$BU109+1),IF(OR(COUNTIF(#REF!,$D109)&gt;0,COUNTIF(#REF!,$D109)=0),"SKIP",IF(COUNTIFS(#REF!,$D109,#REF!,$AI109)&gt;0,"OK","ONBEKEND")),"ONZEKER")))))</f>
        <v/>
      </c>
      <c r="AK109" t="str">
        <f t="shared" si="812"/>
        <v/>
      </c>
      <c r="AL109" t="str">
        <f t="shared" si="813"/>
        <v/>
      </c>
      <c r="AM109" t="str">
        <f>IF($AL109="","",IF(OR($BZ109="",$CA109=""),"ONZEKER",IF(OR($BW109="",$BX109=""),"ONZEKER",IF(AND($BZ109=$BW109+1,$CA109=$BX109),IF(OR(COUNTIF(#REF!,$B109)&gt;0,COUNTIF(#REF!,$B109)=0),"SKIP",IF(COUNTIFS(#REF!,$B109,#REF!,$AL109)&gt;0,"OK","ONBEKEND")),IF(AND($BZ109=$BW109,$CA109=$BX109+1),IF(OR(COUNTIF(#REF!,$D109)&gt;0,COUNTIF(#REF!,$D109)=0),"SKIP",IF(COUNTIFS(#REF!,$D109,#REF!,$AL109)&gt;0,"OK","ONBEKEND")),"ONZEKER")))))</f>
        <v/>
      </c>
      <c r="AN109" t="str">
        <f t="shared" si="814"/>
        <v/>
      </c>
      <c r="AO109" t="str">
        <f t="shared" si="815"/>
        <v/>
      </c>
      <c r="AP109" t="str">
        <f>IF($AO109="","",IF(OR($CC109="",$CD109=""),"ONZEKER",IF(OR($BZ109="",$CA109=""),"ONZEKER",IF(AND($CC109=$BZ109+1,$CD109=$CA109),IF(OR(COUNTIF(#REF!,$B109)&gt;0,COUNTIF(#REF!,$B109)=0),"SKIP",IF(COUNTIFS(#REF!,$B109,#REF!,$AO109)&gt;0,"OK","ONBEKEND")),IF(AND($CC109=$BZ109,$CD109=$CA109+1),IF(OR(COUNTIF(#REF!,$D109)&gt;0,COUNTIF(#REF!,$D109)=0),"SKIP",IF(COUNTIFS(#REF!,$D109,#REF!,$AO109)&gt;0,"OK","ONBEKEND")),"ONZEKER")))))</f>
        <v/>
      </c>
      <c r="AQ109" t="str">
        <f t="shared" si="816"/>
        <v/>
      </c>
      <c r="AR109" t="str">
        <f t="shared" si="817"/>
        <v/>
      </c>
      <c r="AS109" t="str">
        <f>IF($AR109="","",IF(OR($CF109="",$CG109=""),"ONZEKER",IF(OR($CC109="",$CD109=""),"ONZEKER",IF(AND($CF109=$CC109+1,$CG109=$CD109),IF(OR(COUNTIF(#REF!,$B109)&gt;0,COUNTIF(#REF!,$B109)=0),"SKIP",IF(COUNTIFS(#REF!,$B109,#REF!,$AR109)&gt;0,"OK","ONBEKEND")),IF(AND($CF109=$CC109,$CG109=$CD109+1),IF(OR(COUNTIF(#REF!,$D109)&gt;0,COUNTIF(#REF!,$D109)=0),"SKIP",IF(COUNTIFS(#REF!,$D109,#REF!,$AR109)&gt;0,"OK","ONBEKEND")),"ONZEKER")))))</f>
        <v/>
      </c>
      <c r="AT109" t="str">
        <f t="shared" si="818"/>
        <v/>
      </c>
      <c r="AU109" t="str">
        <f t="shared" si="819"/>
        <v/>
      </c>
      <c r="AV109" t="str">
        <f t="shared" si="820"/>
        <v/>
      </c>
      <c r="AW109" t="str">
        <f t="shared" si="821"/>
        <v/>
      </c>
      <c r="AX109" t="str">
        <f t="shared" si="822"/>
        <v/>
      </c>
      <c r="AY109" t="str">
        <f t="shared" si="823"/>
        <v/>
      </c>
      <c r="AZ109" t="str">
        <f t="shared" si="824"/>
        <v/>
      </c>
      <c r="BA109" t="str">
        <f t="shared" si="825"/>
        <v/>
      </c>
      <c r="BB109" t="str">
        <f t="shared" si="826"/>
        <v/>
      </c>
      <c r="BC109" t="str">
        <f t="shared" si="827"/>
        <v/>
      </c>
      <c r="BD109" t="str">
        <f t="shared" si="490"/>
        <v/>
      </c>
      <c r="BE109" t="str">
        <f t="shared" si="491"/>
        <v/>
      </c>
      <c r="BF109" t="str">
        <f t="shared" si="492"/>
        <v/>
      </c>
      <c r="BG109" t="str">
        <f t="shared" si="493"/>
        <v/>
      </c>
      <c r="BH109" t="str">
        <f t="shared" si="494"/>
        <v/>
      </c>
      <c r="BI109" t="str">
        <f t="shared" si="495"/>
        <v/>
      </c>
      <c r="BJ109" t="str">
        <f t="shared" si="496"/>
        <v/>
      </c>
      <c r="BK109" t="str">
        <f t="shared" si="497"/>
        <v/>
      </c>
      <c r="BL109" t="str">
        <f t="shared" si="498"/>
        <v/>
      </c>
      <c r="BM109" t="str">
        <f t="shared" si="499"/>
        <v/>
      </c>
      <c r="BN109" t="str">
        <f t="shared" si="500"/>
        <v/>
      </c>
      <c r="BO109" t="str">
        <f t="shared" si="501"/>
        <v/>
      </c>
      <c r="BP109" t="str">
        <f t="shared" si="502"/>
        <v/>
      </c>
      <c r="BQ109" t="str">
        <f t="shared" si="503"/>
        <v/>
      </c>
      <c r="BR109" t="str">
        <f t="shared" si="504"/>
        <v/>
      </c>
      <c r="BS109" t="str">
        <f t="shared" si="505"/>
        <v/>
      </c>
      <c r="BT109" t="str">
        <f t="shared" si="506"/>
        <v/>
      </c>
      <c r="BU109" t="str">
        <f t="shared" si="507"/>
        <v/>
      </c>
      <c r="BV109" t="str">
        <f t="shared" si="508"/>
        <v/>
      </c>
      <c r="BW109" t="str">
        <f t="shared" si="509"/>
        <v/>
      </c>
      <c r="BX109" t="str">
        <f t="shared" si="510"/>
        <v/>
      </c>
      <c r="BY109" t="str">
        <f t="shared" si="511"/>
        <v/>
      </c>
      <c r="BZ109" t="str">
        <f t="shared" si="512"/>
        <v/>
      </c>
      <c r="CA109" t="str">
        <f t="shared" si="513"/>
        <v/>
      </c>
      <c r="CB109" t="str">
        <f t="shared" si="514"/>
        <v/>
      </c>
      <c r="CC109" t="str">
        <f t="shared" si="515"/>
        <v/>
      </c>
      <c r="CD109" t="str">
        <f t="shared" si="516"/>
        <v/>
      </c>
      <c r="CE109" t="str">
        <f t="shared" si="517"/>
        <v/>
      </c>
      <c r="CF109" t="str">
        <f t="shared" si="518"/>
        <v/>
      </c>
      <c r="CG109" t="str">
        <f t="shared" si="519"/>
        <v/>
      </c>
      <c r="CH109" t="str">
        <f t="shared" si="828"/>
        <v/>
      </c>
      <c r="CI109" t="str">
        <f t="shared" si="829"/>
        <v/>
      </c>
      <c r="CJ109" t="str">
        <f>IF($CI109="","",IF(OR($DW109="",$DX109=""),"ONZEKER",IF(OR($CF109="",$CG109=""),"ONZEKER",IF(AND($DW109=$CF109+1,$DX109=$CG109),IF(OR(COUNTIF(#REF!,$B109)&gt;0,COUNTIF(#REF!,$B109)=0),"SKIP",IF(COUNTIFS(#REF!,$B109,#REF!,$CI109)&gt;0,"OK","ONBEKEND")),IF(AND($DW109=$CF109,$DX109=$CG109+1),IF(OR(COUNTIF(#REF!,$D109)&gt;0,COUNTIF(#REF!,$D109)=0),"SKIP",IF(COUNTIFS(#REF!,$D109,#REF!,$CI109)&gt;0,"OK","ONBEKEND")),"ONZEKER")))))</f>
        <v/>
      </c>
      <c r="CK109" t="str">
        <f t="shared" si="830"/>
        <v/>
      </c>
      <c r="CL109" t="str">
        <f t="shared" si="831"/>
        <v/>
      </c>
      <c r="CM109" t="str">
        <f>IF($CL109="","",IF(OR($DZ109="",$EA109=""),"ONZEKER",IF(OR($DW109="",$DX109=""),"ONZEKER",IF(AND($DZ109=$DW109+1,$EA109=$DX109),IF(OR(COUNTIF(#REF!,$B109)&gt;0,COUNTIF(#REF!,$B109)=0),"SKIP",IF(COUNTIFS(#REF!,$B109,#REF!,$CL109)&gt;0,"OK","ONBEKEND")),IF(AND($DZ109=$DW109,$EA109=$DX109+1),IF(OR(COUNTIF(#REF!,$D109)&gt;0,COUNTIF(#REF!,$D109)=0),"SKIP",IF(COUNTIFS(#REF!,$D109,#REF!,$CL109)&gt;0,"OK","ONBEKEND")),"ONZEKER")))))</f>
        <v/>
      </c>
      <c r="CN109" t="str">
        <f t="shared" si="832"/>
        <v/>
      </c>
      <c r="CO109" t="str">
        <f t="shared" si="833"/>
        <v/>
      </c>
      <c r="CP109" t="str">
        <f>IF($CO109="","",IF(OR($EC109="",$ED109=""),"ONZEKER",IF(OR($DZ109="",$EA109=""),"ONZEKER",IF(AND($EC109=$DZ109+1,$ED109=$EA109),IF(OR(COUNTIF(#REF!,$B109)&gt;0,COUNTIF(#REF!,$B109)=0),"SKIP",IF(COUNTIFS(#REF!,$B109,#REF!,$CO109)&gt;0,"OK","ONBEKEND")),IF(AND($EC109=$DZ109,$ED109=$EA109+1),IF(OR(COUNTIF(#REF!,$D109)&gt;0,COUNTIF(#REF!,$D109)=0),"SKIP",IF(COUNTIFS(#REF!,$D109,#REF!,$CO109)&gt;0,"OK","ONBEKEND")),"ONZEKER")))))</f>
        <v/>
      </c>
      <c r="CQ109" t="str">
        <f t="shared" si="834"/>
        <v/>
      </c>
      <c r="CR109" t="str">
        <f t="shared" si="835"/>
        <v/>
      </c>
      <c r="CS109" t="str">
        <f>IF($CR109="","",IF(OR($EF109="",$EG109=""),"ONZEKER",IF(OR($EC109="",$ED109=""),"ONZEKER",IF(AND($EF109=$EC109+1,$EG109=$ED109),IF(OR(COUNTIF(#REF!,$B109)&gt;0,COUNTIF(#REF!,$B109)=0),"SKIP",IF(COUNTIFS(#REF!,$B109,#REF!,$CR109)&gt;0,"OK","ONBEKEND")),IF(AND($EF109=$EC109,$EG109=$ED109+1),IF(OR(COUNTIF(#REF!,$D109)&gt;0,COUNTIF(#REF!,$D109)=0),"SKIP",IF(COUNTIFS(#REF!,$D109,#REF!,$CR109)&gt;0,"OK","ONBEKEND")),"ONZEKER")))))</f>
        <v/>
      </c>
      <c r="CT109" t="str">
        <f t="shared" si="836"/>
        <v/>
      </c>
      <c r="CU109" t="str">
        <f t="shared" si="837"/>
        <v/>
      </c>
      <c r="CV109" t="str">
        <f>IF($CU109="","",IF(OR($EI109="",$EJ109=""),"ONZEKER",IF(OR($EF109="",$EG109=""),"ONZEKER",IF(AND($EI109=$EF109+1,$EJ109=$EG109),IF(OR(COUNTIF(#REF!,$B109)&gt;0,COUNTIF(#REF!,$B109)=0),"SKIP",IF(COUNTIFS(#REF!,$B109,#REF!,$CU109)&gt;0,"OK","ONBEKEND")),IF(AND($EI109=$EF109,$EJ109=$EG109+1),IF(OR(COUNTIF(#REF!,$D109)&gt;0,COUNTIF(#REF!,$D109)=0),"SKIP",IF(COUNTIFS(#REF!,$D109,#REF!,$CU109)&gt;0,"OK","ONBEKEND")),"ONZEKER")))))</f>
        <v/>
      </c>
      <c r="CW109" t="str">
        <f t="shared" si="838"/>
        <v/>
      </c>
      <c r="CX109" t="str">
        <f t="shared" si="839"/>
        <v/>
      </c>
      <c r="CY109" t="str">
        <f>IF($CX109="","",IF(OR($EL109="",$EM109=""),"ONZEKER",IF(OR($EI109="",$EJ109=""),"ONZEKER",IF(AND($EL109=$EI109+1,$EM109=$EJ109),IF(OR(COUNTIF(#REF!,$B109)&gt;0,COUNTIF(#REF!,$B109)=0),"SKIP",IF(COUNTIFS(#REF!,$B109,#REF!,$CX109)&gt;0,"OK","ONBEKEND")),IF(AND($EL109=$EI109,$EM109=$EJ109+1),IF(OR(COUNTIF(#REF!,$D109)&gt;0,COUNTIF(#REF!,$D109)=0),"SKIP",IF(COUNTIFS(#REF!,$D109,#REF!,$CX109)&gt;0,"OK","ONBEKEND")),"ONZEKER")))))</f>
        <v/>
      </c>
      <c r="CZ109" t="str">
        <f t="shared" si="840"/>
        <v/>
      </c>
      <c r="DA109" t="str">
        <f t="shared" si="841"/>
        <v/>
      </c>
      <c r="DB109" t="str">
        <f>IF($DA109="","",IF(OR($EO109="",$EP109=""),"ONZEKER",IF(OR($EL109="",$EM109=""),"ONZEKER",IF(AND($EO109=$EL109+1,$EP109=$EM109),IF(OR(COUNTIF(#REF!,$B109)&gt;0,COUNTIF(#REF!,$B109)=0),"SKIP",IF(COUNTIFS(#REF!,$B109,#REF!,$DA109)&gt;0,"OK","ONBEKEND")),IF(AND($EO109=$EL109,$EP109=$EM109+1),IF(OR(COUNTIF(#REF!,$D109)&gt;0,COUNTIF(#REF!,$D109)=0),"SKIP",IF(COUNTIFS(#REF!,$D109,#REF!,$DA109)&gt;0,"OK","ONBEKEND")),"ONZEKER")))))</f>
        <v/>
      </c>
      <c r="DC109" t="str">
        <f t="shared" si="842"/>
        <v/>
      </c>
      <c r="DD109" t="str">
        <f t="shared" si="843"/>
        <v/>
      </c>
      <c r="DE109" t="str">
        <f>IF($DD109="","",IF(OR($ER109="",$ES109=""),"ONZEKER",IF(OR($EO109="",$EP109=""),"ONZEKER",IF(AND($ER109=$EO109+1,$ES109=$EP109),IF(OR(COUNTIF(#REF!,$B109)&gt;0,COUNTIF(#REF!,$B109)=0),"SKIP",IF(COUNTIFS(#REF!,$B109,#REF!,$DD109)&gt;0,"OK","ONBEKEND")),IF(AND($ER109=$EO109,$ES109=$EP109+1),IF(OR(COUNTIF(#REF!,$D109)&gt;0,COUNTIF(#REF!,$D109)=0),"SKIP",IF(COUNTIFS(#REF!,$D109,#REF!,$DD109)&gt;0,"OK","ONBEKEND")),"ONZEKER")))))</f>
        <v/>
      </c>
      <c r="DF109" t="str">
        <f t="shared" si="844"/>
        <v/>
      </c>
      <c r="DG109" t="str">
        <f t="shared" si="845"/>
        <v/>
      </c>
      <c r="DH109" t="str">
        <f>IF($DG109="","",IF(OR($EU109="",$EV109=""),"ONZEKER",IF(OR($ER109="",$ES109=""),"ONZEKER",IF(AND($EU109=$ER109+1,$EV109=$ES109),IF(OR(COUNTIF(#REF!,$B109)&gt;0,COUNTIF(#REF!,$B109)=0),"SKIP",IF(COUNTIFS(#REF!,$B109,#REF!,$DG109)&gt;0,"OK","ONBEKEND")),IF(AND($EU109=$ER109,$EV109=$ES109+1),IF(OR(COUNTIF(#REF!,$D109)&gt;0,COUNTIF(#REF!,$D109)=0),"SKIP",IF(COUNTIFS(#REF!,$D109,#REF!,$DG109)&gt;0,"OK","ONBEKEND")),"ONZEKER")))))</f>
        <v/>
      </c>
      <c r="DI109" t="str">
        <f t="shared" si="846"/>
        <v/>
      </c>
      <c r="DJ109" t="str">
        <f t="shared" si="847"/>
        <v/>
      </c>
      <c r="DK109" t="str">
        <f>IF($DJ109="","",IF(OR($EX109="",$EY109=""),"ONZEKER",IF(OR($EU109="",$EV109=""),"ONZEKER",IF(AND($EX109=$EU109+1,$EY109=$EV109),IF(OR(COUNTIF(#REF!,$B109)&gt;0,COUNTIF(#REF!,$B109)=0),"SKIP",IF(COUNTIFS(#REF!,$B109,#REF!,$DJ109)&gt;0,"OK","ONBEKEND")),IF(AND($EX109=$EU109,$EY109=$EV109+1),IF(OR(COUNTIF(#REF!,$D109)&gt;0,COUNTIF(#REF!,$D109)=0),"SKIP",IF(COUNTIFS(#REF!,$D109,#REF!,$DJ109)&gt;0,"OK","ONBEKEND")),"ONZEKER")))))</f>
        <v/>
      </c>
      <c r="DL109" t="str">
        <f t="shared" si="848"/>
        <v/>
      </c>
      <c r="DM109" t="str">
        <f t="shared" si="849"/>
        <v/>
      </c>
      <c r="DN109" t="str">
        <f t="shared" si="850"/>
        <v/>
      </c>
      <c r="DO109" t="str">
        <f t="shared" si="851"/>
        <v/>
      </c>
      <c r="DP109" t="str">
        <f t="shared" si="852"/>
        <v/>
      </c>
      <c r="DQ109" t="str">
        <f t="shared" si="853"/>
        <v/>
      </c>
      <c r="DR109" t="str">
        <f t="shared" si="854"/>
        <v/>
      </c>
      <c r="DS109" t="str">
        <f t="shared" si="855"/>
        <v/>
      </c>
      <c r="DT109" t="str">
        <f t="shared" si="856"/>
        <v/>
      </c>
      <c r="DU109" t="str">
        <f t="shared" si="857"/>
        <v/>
      </c>
      <c r="DV109" t="str">
        <f t="shared" si="858"/>
        <v/>
      </c>
      <c r="DW109" t="str">
        <f t="shared" si="859"/>
        <v/>
      </c>
      <c r="DX109" t="str">
        <f t="shared" si="860"/>
        <v/>
      </c>
      <c r="DY109" t="str">
        <f t="shared" si="861"/>
        <v/>
      </c>
      <c r="DZ109" t="str">
        <f t="shared" si="862"/>
        <v/>
      </c>
      <c r="EA109" t="str">
        <f t="shared" si="863"/>
        <v/>
      </c>
      <c r="EB109" t="str">
        <f t="shared" si="864"/>
        <v/>
      </c>
      <c r="EC109" t="str">
        <f t="shared" si="865"/>
        <v/>
      </c>
      <c r="ED109" t="str">
        <f t="shared" si="866"/>
        <v/>
      </c>
      <c r="EE109" t="str">
        <f t="shared" si="867"/>
        <v/>
      </c>
      <c r="EF109" t="str">
        <f t="shared" si="868"/>
        <v/>
      </c>
      <c r="EG109" t="str">
        <f t="shared" si="869"/>
        <v/>
      </c>
      <c r="EH109" t="str">
        <f t="shared" si="870"/>
        <v/>
      </c>
      <c r="EI109" t="str">
        <f t="shared" si="871"/>
        <v/>
      </c>
      <c r="EJ109" t="str">
        <f t="shared" si="872"/>
        <v/>
      </c>
      <c r="EK109" t="str">
        <f t="shared" si="873"/>
        <v/>
      </c>
      <c r="EL109" t="str">
        <f t="shared" si="874"/>
        <v/>
      </c>
      <c r="EM109" t="str">
        <f t="shared" si="875"/>
        <v/>
      </c>
      <c r="EN109" t="str">
        <f t="shared" si="876"/>
        <v/>
      </c>
      <c r="EO109" t="str">
        <f t="shared" si="877"/>
        <v/>
      </c>
      <c r="EP109" t="str">
        <f t="shared" si="878"/>
        <v/>
      </c>
      <c r="EQ109" t="str">
        <f t="shared" si="879"/>
        <v/>
      </c>
      <c r="ER109" t="str">
        <f t="shared" si="880"/>
        <v/>
      </c>
      <c r="ES109" t="str">
        <f t="shared" si="881"/>
        <v/>
      </c>
      <c r="ET109" t="str">
        <f t="shared" si="882"/>
        <v/>
      </c>
      <c r="EU109" t="str">
        <f t="shared" si="883"/>
        <v/>
      </c>
      <c r="EV109" t="str">
        <f t="shared" si="884"/>
        <v/>
      </c>
      <c r="EW109" t="str">
        <f t="shared" si="885"/>
        <v/>
      </c>
      <c r="EX109" t="str">
        <f t="shared" si="886"/>
        <v/>
      </c>
      <c r="EY109" t="str">
        <f t="shared" si="887"/>
        <v/>
      </c>
    </row>
    <row r="110" spans="1:155" ht="13.9" customHeight="1" x14ac:dyDescent="0.25">
      <c r="A110" s="7"/>
      <c r="B110" s="17"/>
      <c r="C110" s="8"/>
      <c r="D110" s="17"/>
      <c r="E110" s="8"/>
      <c r="F110" s="18">
        <v>0</v>
      </c>
      <c r="G110" s="7" t="s">
        <v>147</v>
      </c>
      <c r="H110" s="18">
        <v>0</v>
      </c>
      <c r="I110" s="19">
        <v>0</v>
      </c>
      <c r="J110" s="7" t="s">
        <v>147</v>
      </c>
      <c r="K110" s="19">
        <v>0</v>
      </c>
      <c r="L110" s="9"/>
      <c r="M110" s="3" t="str">
        <f>IF($L110="","",IF($L110="DOELPUNTENMAKERS","",IF(AND(COUNTIF(#REF!,$B110)=0,COUNTIF(#REF!,$D110)=0),"OK",IF($O110&gt;20,"LET OP: meer dan 20 items (controle onvolledig)",IF((COUNTIF($R110:$AS110,"ONZEKER")+COUNTIF($CJ110:$DK110,"ONZEKER"))&gt;0,"LET OP: scoreverloop onduidelijk (controle beperkt)",IF((IF($AT110&lt;&gt;"",$AT110&amp;", ","")&amp;IF($AU110&lt;&gt;"",$AU110&amp;", ","")&amp;IF($AV110&lt;&gt;"",$AV110&amp;", ","")&amp;IF($AW110&lt;&gt;"",$AW110&amp;", ","")&amp;IF($AX110&lt;&gt;"",$AX110&amp;", ","")&amp;IF($AY110&lt;&gt;"",$AY110&amp;", ","")&amp;IF($AZ110&lt;&gt;"",$AZ110&amp;", ","")&amp;IF($BA110&lt;&gt;"",$BA110&amp;", ","")&amp;IF($BB110&lt;&gt;"",$BB110&amp;", ","")&amp;IF($BC110&lt;&gt;"",$BC110&amp;", ","")&amp;IF($DL110&lt;&gt;"",$DL110&amp;", ","")&amp;IF($DM110&lt;&gt;"",$DM110&amp;", ","")&amp;IF($DN110&lt;&gt;"",$DN110&amp;", ","")&amp;IF($DO110&lt;&gt;"",$DO110&amp;", ","")&amp;IF($DP110&lt;&gt;"",$DP110&amp;", ","")&amp;IF($DQ110&lt;&gt;"",$DQ110&amp;", ","")&amp;IF($DR110&lt;&gt;"",$DR110&amp;", ","")&amp;IF($DS110&lt;&gt;"",$DS110&amp;", ","")&amp;IF($DT110&lt;&gt;"",$DT110&amp;", ","")&amp;IF($DU110&lt;&gt;"",$DU110&amp;", ",""))="","OK","Onbekend: "&amp;LEFT((IF($AT110&lt;&gt;"",$AT110&amp;", ","")&amp;IF($AU110&lt;&gt;"",$AU110&amp;", ","")&amp;IF($AV110&lt;&gt;"",$AV110&amp;", ","")&amp;IF($AW110&lt;&gt;"",$AW110&amp;", ","")&amp;IF($AX110&lt;&gt;"",$AX110&amp;", ","")&amp;IF($AY110&lt;&gt;"",$AY110&amp;", ","")&amp;IF($AZ110&lt;&gt;"",$AZ110&amp;", ","")&amp;IF($BA110&lt;&gt;"",$BA110&amp;", ","")&amp;IF($BB110&lt;&gt;"",$BB110&amp;", ","")&amp;IF($BC110&lt;&gt;"",$BC110&amp;", ","")&amp;IF($DL110&lt;&gt;"",$DL110&amp;", ","")&amp;IF($DM110&lt;&gt;"",$DM110&amp;", ","")&amp;IF($DN110&lt;&gt;"",$DN110&amp;", ","")&amp;IF($DO110&lt;&gt;"",$DO110&amp;", ","")&amp;IF($DP110&lt;&gt;"",$DP110&amp;", ","")&amp;IF($DQ110&lt;&gt;"",$DQ110&amp;", ","")&amp;IF($DR110&lt;&gt;"",$DR110&amp;", ","")&amp;IF($DS110&lt;&gt;"",$DS110&amp;", ","")&amp;IF($DT110&lt;&gt;"",$DT110&amp;", ","")&amp;IF($DU110&lt;&gt;"",$DU110&amp;", ","")),LEN((IF($AT110&lt;&gt;"",$AT110&amp;", ","")&amp;IF($AU110&lt;&gt;"",$AU110&amp;", ","")&amp;IF($AV110&lt;&gt;"",$AV110&amp;", ","")&amp;IF($AW110&lt;&gt;"",$AW110&amp;", ","")&amp;IF($AX110&lt;&gt;"",$AX110&amp;", ","")&amp;IF($AY110&lt;&gt;"",$AY110&amp;", ","")&amp;IF($AZ110&lt;&gt;"",$AZ110&amp;", ","")&amp;IF($BA110&lt;&gt;"",$BA110&amp;", ","")&amp;IF($BB110&lt;&gt;"",$BB110&amp;", ","")&amp;IF($BC110&lt;&gt;"",$BC110&amp;", ","")&amp;IF($DL110&lt;&gt;"",$DL110&amp;", ","")&amp;IF($DM110&lt;&gt;"",$DM110&amp;", ","")&amp;IF($DN110&lt;&gt;"",$DN110&amp;", ","")&amp;IF($DO110&lt;&gt;"",$DO110&amp;", ","")&amp;IF($DP110&lt;&gt;"",$DP110&amp;", ","")&amp;IF($DQ110&lt;&gt;"",$DQ110&amp;", ","")&amp;IF($DR110&lt;&gt;"",$DR110&amp;", ","")&amp;IF($DS110&lt;&gt;"",$DS110&amp;", ","")&amp;IF($DT110&lt;&gt;"",$DT110&amp;", ","")&amp;IF($DU110&lt;&gt;"",$DU110&amp;", ","")))-2)))))))</f>
        <v/>
      </c>
      <c r="N110" t="str">
        <f t="shared" si="796"/>
        <v/>
      </c>
      <c r="O110" t="str">
        <f t="shared" si="797"/>
        <v/>
      </c>
      <c r="P110" t="str">
        <f t="shared" si="798"/>
        <v/>
      </c>
      <c r="Q110" t="str">
        <f t="shared" si="799"/>
        <v/>
      </c>
      <c r="R110" t="str">
        <f>IF($Q110="","",IF(OR($BE110="",$BF110=""),"ONZEKER",IF(AND($BE110=0+1,$BF110=0),IF(OR(COUNTIF(#REF!,$B110)&gt;0,COUNTIF(#REF!,$B110)=0),"SKIP",IF(COUNTIFS(#REF!,$B110,#REF!,$Q110)&gt;0,"OK","ONBEKEND")),IF(AND($BE110=0,$BF110=0+1),IF(OR(COUNTIF(#REF!,$D110)&gt;0,COUNTIF(#REF!,$D110)=0),"SKIP",IF(COUNTIFS(#REF!,$D110,#REF!,$Q110)&gt;0,"OK","ONBEKEND")),"ONZEKER"))))</f>
        <v/>
      </c>
      <c r="S110" t="str">
        <f t="shared" si="800"/>
        <v/>
      </c>
      <c r="T110" t="str">
        <f t="shared" si="801"/>
        <v/>
      </c>
      <c r="U110" t="str">
        <f>IF($T110="","",IF(OR($BH110="",$BI110=""),"ONZEKER",IF(OR($BE110="",$BF110=""),"ONZEKER",IF(AND($BH110=$BE110+1,$BI110=$BF110),IF(OR(COUNTIF(#REF!,$B110)&gt;0,COUNTIF(#REF!,$B110)=0),"SKIP",IF(COUNTIFS(#REF!,$B110,#REF!,$T110)&gt;0,"OK","ONBEKEND")),IF(AND($BH110=$BE110,$BI110=$BF110+1),IF(OR(COUNTIF(#REF!,$D110)&gt;0,COUNTIF(#REF!,$D110)=0),"SKIP",IF(COUNTIFS(#REF!,$D110,#REF!,$T110)&gt;0,"OK","ONBEKEND")),"ONZEKER")))))</f>
        <v/>
      </c>
      <c r="V110" t="str">
        <f t="shared" si="802"/>
        <v/>
      </c>
      <c r="W110" t="str">
        <f t="shared" si="803"/>
        <v/>
      </c>
      <c r="X110" t="str">
        <f>IF($W110="","",IF(OR($BK110="",$BL110=""),"ONZEKER",IF(OR($BH110="",$BI110=""),"ONZEKER",IF(AND($BK110=$BH110+1,$BL110=$BI110),IF(OR(COUNTIF(#REF!,$B110)&gt;0,COUNTIF(#REF!,$B110)=0),"SKIP",IF(COUNTIFS(#REF!,$B110,#REF!,$W110)&gt;0,"OK","ONBEKEND")),IF(AND($BK110=$BH110,$BL110=$BI110+1),IF(OR(COUNTIF(#REF!,$D110)&gt;0,COUNTIF(#REF!,$D110)=0),"SKIP",IF(COUNTIFS(#REF!,$D110,#REF!,$W110)&gt;0,"OK","ONBEKEND")),"ONZEKER")))))</f>
        <v/>
      </c>
      <c r="Y110" t="str">
        <f t="shared" si="804"/>
        <v/>
      </c>
      <c r="Z110" t="str">
        <f t="shared" si="805"/>
        <v/>
      </c>
      <c r="AA110" t="str">
        <f>IF($Z110="","",IF(OR($BN110="",$BO110=""),"ONZEKER",IF(OR($BK110="",$BL110=""),"ONZEKER",IF(AND($BN110=$BK110+1,$BO110=$BL110),IF(OR(COUNTIF(#REF!,$B110)&gt;0,COUNTIF(#REF!,$B110)=0),"SKIP",IF(COUNTIFS(#REF!,$B110,#REF!,$Z110)&gt;0,"OK","ONBEKEND")),IF(AND($BN110=$BK110,$BO110=$BL110+1),IF(OR(COUNTIF(#REF!,$D110)&gt;0,COUNTIF(#REF!,$D110)=0),"SKIP",IF(COUNTIFS(#REF!,$D110,#REF!,$Z110)&gt;0,"OK","ONBEKEND")),"ONZEKER")))))</f>
        <v/>
      </c>
      <c r="AB110" t="str">
        <f t="shared" si="806"/>
        <v/>
      </c>
      <c r="AC110" t="str">
        <f t="shared" si="807"/>
        <v/>
      </c>
      <c r="AD110" t="str">
        <f>IF($AC110="","",IF(OR($BQ110="",$BR110=""),"ONZEKER",IF(OR($BN110="",$BO110=""),"ONZEKER",IF(AND($BQ110=$BN110+1,$BR110=$BO110),IF(OR(COUNTIF(#REF!,$B110)&gt;0,COUNTIF(#REF!,$B110)=0),"SKIP",IF(COUNTIFS(#REF!,$B110,#REF!,$AC110)&gt;0,"OK","ONBEKEND")),IF(AND($BQ110=$BN110,$BR110=$BO110+1),IF(OR(COUNTIF(#REF!,$D110)&gt;0,COUNTIF(#REF!,$D110)=0),"SKIP",IF(COUNTIFS(#REF!,$D110,#REF!,$AC110)&gt;0,"OK","ONBEKEND")),"ONZEKER")))))</f>
        <v/>
      </c>
      <c r="AE110" t="str">
        <f t="shared" si="808"/>
        <v/>
      </c>
      <c r="AF110" t="str">
        <f t="shared" si="809"/>
        <v/>
      </c>
      <c r="AG110" t="str">
        <f>IF($AF110="","",IF(OR($BT110="",$BU110=""),"ONZEKER",IF(OR($BQ110="",$BR110=""),"ONZEKER",IF(AND($BT110=$BQ110+1,$BU110=$BR110),IF(OR(COUNTIF(#REF!,$B110)&gt;0,COUNTIF(#REF!,$B110)=0),"SKIP",IF(COUNTIFS(#REF!,$B110,#REF!,$AF110)&gt;0,"OK","ONBEKEND")),IF(AND($BT110=$BQ110,$BU110=$BR110+1),IF(OR(COUNTIF(#REF!,$D110)&gt;0,COUNTIF(#REF!,$D110)=0),"SKIP",IF(COUNTIFS(#REF!,$D110,#REF!,$AF110)&gt;0,"OK","ONBEKEND")),"ONZEKER")))))</f>
        <v/>
      </c>
      <c r="AH110" t="str">
        <f t="shared" si="810"/>
        <v/>
      </c>
      <c r="AI110" t="str">
        <f t="shared" si="811"/>
        <v/>
      </c>
      <c r="AJ110" t="str">
        <f>IF($AI110="","",IF(OR($BW110="",$BX110=""),"ONZEKER",IF(OR($BT110="",$BU110=""),"ONZEKER",IF(AND($BW110=$BT110+1,$BX110=$BU110),IF(OR(COUNTIF(#REF!,$B110)&gt;0,COUNTIF(#REF!,$B110)=0),"SKIP",IF(COUNTIFS(#REF!,$B110,#REF!,$AI110)&gt;0,"OK","ONBEKEND")),IF(AND($BW110=$BT110,$BX110=$BU110+1),IF(OR(COUNTIF(#REF!,$D110)&gt;0,COUNTIF(#REF!,$D110)=0),"SKIP",IF(COUNTIFS(#REF!,$D110,#REF!,$AI110)&gt;0,"OK","ONBEKEND")),"ONZEKER")))))</f>
        <v/>
      </c>
      <c r="AK110" t="str">
        <f t="shared" si="812"/>
        <v/>
      </c>
      <c r="AL110" t="str">
        <f t="shared" si="813"/>
        <v/>
      </c>
      <c r="AM110" t="str">
        <f>IF($AL110="","",IF(OR($BZ110="",$CA110=""),"ONZEKER",IF(OR($BW110="",$BX110=""),"ONZEKER",IF(AND($BZ110=$BW110+1,$CA110=$BX110),IF(OR(COUNTIF(#REF!,$B110)&gt;0,COUNTIF(#REF!,$B110)=0),"SKIP",IF(COUNTIFS(#REF!,$B110,#REF!,$AL110)&gt;0,"OK","ONBEKEND")),IF(AND($BZ110=$BW110,$CA110=$BX110+1),IF(OR(COUNTIF(#REF!,$D110)&gt;0,COUNTIF(#REF!,$D110)=0),"SKIP",IF(COUNTIFS(#REF!,$D110,#REF!,$AL110)&gt;0,"OK","ONBEKEND")),"ONZEKER")))))</f>
        <v/>
      </c>
      <c r="AN110" t="str">
        <f t="shared" si="814"/>
        <v/>
      </c>
      <c r="AO110" t="str">
        <f t="shared" si="815"/>
        <v/>
      </c>
      <c r="AP110" t="str">
        <f>IF($AO110="","",IF(OR($CC110="",$CD110=""),"ONZEKER",IF(OR($BZ110="",$CA110=""),"ONZEKER",IF(AND($CC110=$BZ110+1,$CD110=$CA110),IF(OR(COUNTIF(#REF!,$B110)&gt;0,COUNTIF(#REF!,$B110)=0),"SKIP",IF(COUNTIFS(#REF!,$B110,#REF!,$AO110)&gt;0,"OK","ONBEKEND")),IF(AND($CC110=$BZ110,$CD110=$CA110+1),IF(OR(COUNTIF(#REF!,$D110)&gt;0,COUNTIF(#REF!,$D110)=0),"SKIP",IF(COUNTIFS(#REF!,$D110,#REF!,$AO110)&gt;0,"OK","ONBEKEND")),"ONZEKER")))))</f>
        <v/>
      </c>
      <c r="AQ110" t="str">
        <f t="shared" si="816"/>
        <v/>
      </c>
      <c r="AR110" t="str">
        <f t="shared" si="817"/>
        <v/>
      </c>
      <c r="AS110" t="str">
        <f>IF($AR110="","",IF(OR($CF110="",$CG110=""),"ONZEKER",IF(OR($CC110="",$CD110=""),"ONZEKER",IF(AND($CF110=$CC110+1,$CG110=$CD110),IF(OR(COUNTIF(#REF!,$B110)&gt;0,COUNTIF(#REF!,$B110)=0),"SKIP",IF(COUNTIFS(#REF!,$B110,#REF!,$AR110)&gt;0,"OK","ONBEKEND")),IF(AND($CF110=$CC110,$CG110=$CD110+1),IF(OR(COUNTIF(#REF!,$D110)&gt;0,COUNTIF(#REF!,$D110)=0),"SKIP",IF(COUNTIFS(#REF!,$D110,#REF!,$AR110)&gt;0,"OK","ONBEKEND")),"ONZEKER")))))</f>
        <v/>
      </c>
      <c r="AT110" t="str">
        <f t="shared" si="818"/>
        <v/>
      </c>
      <c r="AU110" t="str">
        <f t="shared" si="819"/>
        <v/>
      </c>
      <c r="AV110" t="str">
        <f t="shared" si="820"/>
        <v/>
      </c>
      <c r="AW110" t="str">
        <f t="shared" si="821"/>
        <v/>
      </c>
      <c r="AX110" t="str">
        <f t="shared" si="822"/>
        <v/>
      </c>
      <c r="AY110" t="str">
        <f t="shared" si="823"/>
        <v/>
      </c>
      <c r="AZ110" t="str">
        <f t="shared" si="824"/>
        <v/>
      </c>
      <c r="BA110" t="str">
        <f t="shared" si="825"/>
        <v/>
      </c>
      <c r="BB110" t="str">
        <f t="shared" si="826"/>
        <v/>
      </c>
      <c r="BC110" t="str">
        <f t="shared" si="827"/>
        <v/>
      </c>
      <c r="BD110" t="str">
        <f t="shared" si="490"/>
        <v/>
      </c>
      <c r="BE110" t="str">
        <f t="shared" si="491"/>
        <v/>
      </c>
      <c r="BF110" t="str">
        <f t="shared" si="492"/>
        <v/>
      </c>
      <c r="BG110" t="str">
        <f t="shared" si="493"/>
        <v/>
      </c>
      <c r="BH110" t="str">
        <f t="shared" si="494"/>
        <v/>
      </c>
      <c r="BI110" t="str">
        <f t="shared" si="495"/>
        <v/>
      </c>
      <c r="BJ110" t="str">
        <f t="shared" si="496"/>
        <v/>
      </c>
      <c r="BK110" t="str">
        <f t="shared" si="497"/>
        <v/>
      </c>
      <c r="BL110" t="str">
        <f t="shared" si="498"/>
        <v/>
      </c>
      <c r="BM110" t="str">
        <f t="shared" si="499"/>
        <v/>
      </c>
      <c r="BN110" t="str">
        <f t="shared" si="500"/>
        <v/>
      </c>
      <c r="BO110" t="str">
        <f t="shared" si="501"/>
        <v/>
      </c>
      <c r="BP110" t="str">
        <f t="shared" si="502"/>
        <v/>
      </c>
      <c r="BQ110" t="str">
        <f t="shared" si="503"/>
        <v/>
      </c>
      <c r="BR110" t="str">
        <f t="shared" si="504"/>
        <v/>
      </c>
      <c r="BS110" t="str">
        <f t="shared" si="505"/>
        <v/>
      </c>
      <c r="BT110" t="str">
        <f t="shared" si="506"/>
        <v/>
      </c>
      <c r="BU110" t="str">
        <f t="shared" si="507"/>
        <v/>
      </c>
      <c r="BV110" t="str">
        <f t="shared" si="508"/>
        <v/>
      </c>
      <c r="BW110" t="str">
        <f t="shared" si="509"/>
        <v/>
      </c>
      <c r="BX110" t="str">
        <f t="shared" si="510"/>
        <v/>
      </c>
      <c r="BY110" t="str">
        <f t="shared" si="511"/>
        <v/>
      </c>
      <c r="BZ110" t="str">
        <f t="shared" si="512"/>
        <v/>
      </c>
      <c r="CA110" t="str">
        <f t="shared" si="513"/>
        <v/>
      </c>
      <c r="CB110" t="str">
        <f t="shared" si="514"/>
        <v/>
      </c>
      <c r="CC110" t="str">
        <f t="shared" si="515"/>
        <v/>
      </c>
      <c r="CD110" t="str">
        <f t="shared" si="516"/>
        <v/>
      </c>
      <c r="CE110" t="str">
        <f t="shared" si="517"/>
        <v/>
      </c>
      <c r="CF110" t="str">
        <f t="shared" si="518"/>
        <v/>
      </c>
      <c r="CG110" t="str">
        <f t="shared" si="519"/>
        <v/>
      </c>
      <c r="CH110" t="str">
        <f t="shared" si="828"/>
        <v/>
      </c>
      <c r="CI110" t="str">
        <f t="shared" si="829"/>
        <v/>
      </c>
      <c r="CJ110" t="str">
        <f>IF($CI110="","",IF(OR($DW110="",$DX110=""),"ONZEKER",IF(OR($CF110="",$CG110=""),"ONZEKER",IF(AND($DW110=$CF110+1,$DX110=$CG110),IF(OR(COUNTIF(#REF!,$B110)&gt;0,COUNTIF(#REF!,$B110)=0),"SKIP",IF(COUNTIFS(#REF!,$B110,#REF!,$CI110)&gt;0,"OK","ONBEKEND")),IF(AND($DW110=$CF110,$DX110=$CG110+1),IF(OR(COUNTIF(#REF!,$D110)&gt;0,COUNTIF(#REF!,$D110)=0),"SKIP",IF(COUNTIFS(#REF!,$D110,#REF!,$CI110)&gt;0,"OK","ONBEKEND")),"ONZEKER")))))</f>
        <v/>
      </c>
      <c r="CK110" t="str">
        <f t="shared" si="830"/>
        <v/>
      </c>
      <c r="CL110" t="str">
        <f t="shared" si="831"/>
        <v/>
      </c>
      <c r="CM110" t="str">
        <f>IF($CL110="","",IF(OR($DZ110="",$EA110=""),"ONZEKER",IF(OR($DW110="",$DX110=""),"ONZEKER",IF(AND($DZ110=$DW110+1,$EA110=$DX110),IF(OR(COUNTIF(#REF!,$B110)&gt;0,COUNTIF(#REF!,$B110)=0),"SKIP",IF(COUNTIFS(#REF!,$B110,#REF!,$CL110)&gt;0,"OK","ONBEKEND")),IF(AND($DZ110=$DW110,$EA110=$DX110+1),IF(OR(COUNTIF(#REF!,$D110)&gt;0,COUNTIF(#REF!,$D110)=0),"SKIP",IF(COUNTIFS(#REF!,$D110,#REF!,$CL110)&gt;0,"OK","ONBEKEND")),"ONZEKER")))))</f>
        <v/>
      </c>
      <c r="CN110" t="str">
        <f t="shared" si="832"/>
        <v/>
      </c>
      <c r="CO110" t="str">
        <f t="shared" si="833"/>
        <v/>
      </c>
      <c r="CP110" t="str">
        <f>IF($CO110="","",IF(OR($EC110="",$ED110=""),"ONZEKER",IF(OR($DZ110="",$EA110=""),"ONZEKER",IF(AND($EC110=$DZ110+1,$ED110=$EA110),IF(OR(COUNTIF(#REF!,$B110)&gt;0,COUNTIF(#REF!,$B110)=0),"SKIP",IF(COUNTIFS(#REF!,$B110,#REF!,$CO110)&gt;0,"OK","ONBEKEND")),IF(AND($EC110=$DZ110,$ED110=$EA110+1),IF(OR(COUNTIF(#REF!,$D110)&gt;0,COUNTIF(#REF!,$D110)=0),"SKIP",IF(COUNTIFS(#REF!,$D110,#REF!,$CO110)&gt;0,"OK","ONBEKEND")),"ONZEKER")))))</f>
        <v/>
      </c>
      <c r="CQ110" t="str">
        <f t="shared" si="834"/>
        <v/>
      </c>
      <c r="CR110" t="str">
        <f t="shared" si="835"/>
        <v/>
      </c>
      <c r="CS110" t="str">
        <f>IF($CR110="","",IF(OR($EF110="",$EG110=""),"ONZEKER",IF(OR($EC110="",$ED110=""),"ONZEKER",IF(AND($EF110=$EC110+1,$EG110=$ED110),IF(OR(COUNTIF(#REF!,$B110)&gt;0,COUNTIF(#REF!,$B110)=0),"SKIP",IF(COUNTIFS(#REF!,$B110,#REF!,$CR110)&gt;0,"OK","ONBEKEND")),IF(AND($EF110=$EC110,$EG110=$ED110+1),IF(OR(COUNTIF(#REF!,$D110)&gt;0,COUNTIF(#REF!,$D110)=0),"SKIP",IF(COUNTIFS(#REF!,$D110,#REF!,$CR110)&gt;0,"OK","ONBEKEND")),"ONZEKER")))))</f>
        <v/>
      </c>
      <c r="CT110" t="str">
        <f t="shared" si="836"/>
        <v/>
      </c>
      <c r="CU110" t="str">
        <f t="shared" si="837"/>
        <v/>
      </c>
      <c r="CV110" t="str">
        <f>IF($CU110="","",IF(OR($EI110="",$EJ110=""),"ONZEKER",IF(OR($EF110="",$EG110=""),"ONZEKER",IF(AND($EI110=$EF110+1,$EJ110=$EG110),IF(OR(COUNTIF(#REF!,$B110)&gt;0,COUNTIF(#REF!,$B110)=0),"SKIP",IF(COUNTIFS(#REF!,$B110,#REF!,$CU110)&gt;0,"OK","ONBEKEND")),IF(AND($EI110=$EF110,$EJ110=$EG110+1),IF(OR(COUNTIF(#REF!,$D110)&gt;0,COUNTIF(#REF!,$D110)=0),"SKIP",IF(COUNTIFS(#REF!,$D110,#REF!,$CU110)&gt;0,"OK","ONBEKEND")),"ONZEKER")))))</f>
        <v/>
      </c>
      <c r="CW110" t="str">
        <f t="shared" si="838"/>
        <v/>
      </c>
      <c r="CX110" t="str">
        <f t="shared" si="839"/>
        <v/>
      </c>
      <c r="CY110" t="str">
        <f>IF($CX110="","",IF(OR($EL110="",$EM110=""),"ONZEKER",IF(OR($EI110="",$EJ110=""),"ONZEKER",IF(AND($EL110=$EI110+1,$EM110=$EJ110),IF(OR(COUNTIF(#REF!,$B110)&gt;0,COUNTIF(#REF!,$B110)=0),"SKIP",IF(COUNTIFS(#REF!,$B110,#REF!,$CX110)&gt;0,"OK","ONBEKEND")),IF(AND($EL110=$EI110,$EM110=$EJ110+1),IF(OR(COUNTIF(#REF!,$D110)&gt;0,COUNTIF(#REF!,$D110)=0),"SKIP",IF(COUNTIFS(#REF!,$D110,#REF!,$CX110)&gt;0,"OK","ONBEKEND")),"ONZEKER")))))</f>
        <v/>
      </c>
      <c r="CZ110" t="str">
        <f t="shared" si="840"/>
        <v/>
      </c>
      <c r="DA110" t="str">
        <f t="shared" si="841"/>
        <v/>
      </c>
      <c r="DB110" t="str">
        <f>IF($DA110="","",IF(OR($EO110="",$EP110=""),"ONZEKER",IF(OR($EL110="",$EM110=""),"ONZEKER",IF(AND($EO110=$EL110+1,$EP110=$EM110),IF(OR(COUNTIF(#REF!,$B110)&gt;0,COUNTIF(#REF!,$B110)=0),"SKIP",IF(COUNTIFS(#REF!,$B110,#REF!,$DA110)&gt;0,"OK","ONBEKEND")),IF(AND($EO110=$EL110,$EP110=$EM110+1),IF(OR(COUNTIF(#REF!,$D110)&gt;0,COUNTIF(#REF!,$D110)=0),"SKIP",IF(COUNTIFS(#REF!,$D110,#REF!,$DA110)&gt;0,"OK","ONBEKEND")),"ONZEKER")))))</f>
        <v/>
      </c>
      <c r="DC110" t="str">
        <f t="shared" si="842"/>
        <v/>
      </c>
      <c r="DD110" t="str">
        <f t="shared" si="843"/>
        <v/>
      </c>
      <c r="DE110" t="str">
        <f>IF($DD110="","",IF(OR($ER110="",$ES110=""),"ONZEKER",IF(OR($EO110="",$EP110=""),"ONZEKER",IF(AND($ER110=$EO110+1,$ES110=$EP110),IF(OR(COUNTIF(#REF!,$B110)&gt;0,COUNTIF(#REF!,$B110)=0),"SKIP",IF(COUNTIFS(#REF!,$B110,#REF!,$DD110)&gt;0,"OK","ONBEKEND")),IF(AND($ER110=$EO110,$ES110=$EP110+1),IF(OR(COUNTIF(#REF!,$D110)&gt;0,COUNTIF(#REF!,$D110)=0),"SKIP",IF(COUNTIFS(#REF!,$D110,#REF!,$DD110)&gt;0,"OK","ONBEKEND")),"ONZEKER")))))</f>
        <v/>
      </c>
      <c r="DF110" t="str">
        <f t="shared" si="844"/>
        <v/>
      </c>
      <c r="DG110" t="str">
        <f t="shared" si="845"/>
        <v/>
      </c>
      <c r="DH110" t="str">
        <f>IF($DG110="","",IF(OR($EU110="",$EV110=""),"ONZEKER",IF(OR($ER110="",$ES110=""),"ONZEKER",IF(AND($EU110=$ER110+1,$EV110=$ES110),IF(OR(COUNTIF(#REF!,$B110)&gt;0,COUNTIF(#REF!,$B110)=0),"SKIP",IF(COUNTIFS(#REF!,$B110,#REF!,$DG110)&gt;0,"OK","ONBEKEND")),IF(AND($EU110=$ER110,$EV110=$ES110+1),IF(OR(COUNTIF(#REF!,$D110)&gt;0,COUNTIF(#REF!,$D110)=0),"SKIP",IF(COUNTIFS(#REF!,$D110,#REF!,$DG110)&gt;0,"OK","ONBEKEND")),"ONZEKER")))))</f>
        <v/>
      </c>
      <c r="DI110" t="str">
        <f t="shared" si="846"/>
        <v/>
      </c>
      <c r="DJ110" t="str">
        <f t="shared" si="847"/>
        <v/>
      </c>
      <c r="DK110" t="str">
        <f>IF($DJ110="","",IF(OR($EX110="",$EY110=""),"ONZEKER",IF(OR($EU110="",$EV110=""),"ONZEKER",IF(AND($EX110=$EU110+1,$EY110=$EV110),IF(OR(COUNTIF(#REF!,$B110)&gt;0,COUNTIF(#REF!,$B110)=0),"SKIP",IF(COUNTIFS(#REF!,$B110,#REF!,$DJ110)&gt;0,"OK","ONBEKEND")),IF(AND($EX110=$EU110,$EY110=$EV110+1),IF(OR(COUNTIF(#REF!,$D110)&gt;0,COUNTIF(#REF!,$D110)=0),"SKIP",IF(COUNTIFS(#REF!,$D110,#REF!,$DJ110)&gt;0,"OK","ONBEKEND")),"ONZEKER")))))</f>
        <v/>
      </c>
      <c r="DL110" t="str">
        <f t="shared" si="848"/>
        <v/>
      </c>
      <c r="DM110" t="str">
        <f t="shared" si="849"/>
        <v/>
      </c>
      <c r="DN110" t="str">
        <f t="shared" si="850"/>
        <v/>
      </c>
      <c r="DO110" t="str">
        <f t="shared" si="851"/>
        <v/>
      </c>
      <c r="DP110" t="str">
        <f t="shared" si="852"/>
        <v/>
      </c>
      <c r="DQ110" t="str">
        <f t="shared" si="853"/>
        <v/>
      </c>
      <c r="DR110" t="str">
        <f t="shared" si="854"/>
        <v/>
      </c>
      <c r="DS110" t="str">
        <f t="shared" si="855"/>
        <v/>
      </c>
      <c r="DT110" t="str">
        <f t="shared" si="856"/>
        <v/>
      </c>
      <c r="DU110" t="str">
        <f t="shared" si="857"/>
        <v/>
      </c>
      <c r="DV110" t="str">
        <f t="shared" si="858"/>
        <v/>
      </c>
      <c r="DW110" t="str">
        <f t="shared" si="859"/>
        <v/>
      </c>
      <c r="DX110" t="str">
        <f t="shared" si="860"/>
        <v/>
      </c>
      <c r="DY110" t="str">
        <f t="shared" si="861"/>
        <v/>
      </c>
      <c r="DZ110" t="str">
        <f t="shared" si="862"/>
        <v/>
      </c>
      <c r="EA110" t="str">
        <f t="shared" si="863"/>
        <v/>
      </c>
      <c r="EB110" t="str">
        <f t="shared" si="864"/>
        <v/>
      </c>
      <c r="EC110" t="str">
        <f t="shared" si="865"/>
        <v/>
      </c>
      <c r="ED110" t="str">
        <f t="shared" si="866"/>
        <v/>
      </c>
      <c r="EE110" t="str">
        <f t="shared" si="867"/>
        <v/>
      </c>
      <c r="EF110" t="str">
        <f t="shared" si="868"/>
        <v/>
      </c>
      <c r="EG110" t="str">
        <f t="shared" si="869"/>
        <v/>
      </c>
      <c r="EH110" t="str">
        <f t="shared" si="870"/>
        <v/>
      </c>
      <c r="EI110" t="str">
        <f t="shared" si="871"/>
        <v/>
      </c>
      <c r="EJ110" t="str">
        <f t="shared" si="872"/>
        <v/>
      </c>
      <c r="EK110" t="str">
        <f t="shared" si="873"/>
        <v/>
      </c>
      <c r="EL110" t="str">
        <f t="shared" si="874"/>
        <v/>
      </c>
      <c r="EM110" t="str">
        <f t="shared" si="875"/>
        <v/>
      </c>
      <c r="EN110" t="str">
        <f t="shared" si="876"/>
        <v/>
      </c>
      <c r="EO110" t="str">
        <f t="shared" si="877"/>
        <v/>
      </c>
      <c r="EP110" t="str">
        <f t="shared" si="878"/>
        <v/>
      </c>
      <c r="EQ110" t="str">
        <f t="shared" si="879"/>
        <v/>
      </c>
      <c r="ER110" t="str">
        <f t="shared" si="880"/>
        <v/>
      </c>
      <c r="ES110" t="str">
        <f t="shared" si="881"/>
        <v/>
      </c>
      <c r="ET110" t="str">
        <f t="shared" si="882"/>
        <v/>
      </c>
      <c r="EU110" t="str">
        <f t="shared" si="883"/>
        <v/>
      </c>
      <c r="EV110" t="str">
        <f t="shared" si="884"/>
        <v/>
      </c>
      <c r="EW110" t="str">
        <f t="shared" si="885"/>
        <v/>
      </c>
      <c r="EX110" t="str">
        <f t="shared" si="886"/>
        <v/>
      </c>
      <c r="EY110" t="str">
        <f t="shared" si="887"/>
        <v/>
      </c>
    </row>
    <row r="111" spans="1:155" ht="13.9" customHeight="1" x14ac:dyDescent="0.25">
      <c r="A111" s="7"/>
      <c r="B111" s="17"/>
      <c r="C111" s="8"/>
      <c r="D111" s="17"/>
      <c r="E111" s="8"/>
      <c r="F111" s="18">
        <v>0</v>
      </c>
      <c r="G111" s="7" t="s">
        <v>147</v>
      </c>
      <c r="H111" s="18">
        <v>0</v>
      </c>
      <c r="I111" s="19">
        <v>0</v>
      </c>
      <c r="J111" s="7" t="s">
        <v>147</v>
      </c>
      <c r="K111" s="19">
        <v>0</v>
      </c>
      <c r="L111" s="9"/>
      <c r="M111" s="3" t="str">
        <f>IF($L111="","",IF($L111="DOELPUNTENMAKERS","",IF(AND(COUNTIF(#REF!,$B111)=0,COUNTIF(#REF!,$D111)=0),"OK",IF($O111&gt;20,"LET OP: meer dan 20 items (controle onvolledig)",IF((COUNTIF($R111:$AS111,"ONZEKER")+COUNTIF($CJ111:$DK111,"ONZEKER"))&gt;0,"LET OP: scoreverloop onduidelijk (controle beperkt)",IF((IF($AT111&lt;&gt;"",$AT111&amp;", ","")&amp;IF($AU111&lt;&gt;"",$AU111&amp;", ","")&amp;IF($AV111&lt;&gt;"",$AV111&amp;", ","")&amp;IF($AW111&lt;&gt;"",$AW111&amp;", ","")&amp;IF($AX111&lt;&gt;"",$AX111&amp;", ","")&amp;IF($AY111&lt;&gt;"",$AY111&amp;", ","")&amp;IF($AZ111&lt;&gt;"",$AZ111&amp;", ","")&amp;IF($BA111&lt;&gt;"",$BA111&amp;", ","")&amp;IF($BB111&lt;&gt;"",$BB111&amp;", ","")&amp;IF($BC111&lt;&gt;"",$BC111&amp;", ","")&amp;IF($DL111&lt;&gt;"",$DL111&amp;", ","")&amp;IF($DM111&lt;&gt;"",$DM111&amp;", ","")&amp;IF($DN111&lt;&gt;"",$DN111&amp;", ","")&amp;IF($DO111&lt;&gt;"",$DO111&amp;", ","")&amp;IF($DP111&lt;&gt;"",$DP111&amp;", ","")&amp;IF($DQ111&lt;&gt;"",$DQ111&amp;", ","")&amp;IF($DR111&lt;&gt;"",$DR111&amp;", ","")&amp;IF($DS111&lt;&gt;"",$DS111&amp;", ","")&amp;IF($DT111&lt;&gt;"",$DT111&amp;", ","")&amp;IF($DU111&lt;&gt;"",$DU111&amp;", ",""))="","OK","Onbekend: "&amp;LEFT((IF($AT111&lt;&gt;"",$AT111&amp;", ","")&amp;IF($AU111&lt;&gt;"",$AU111&amp;", ","")&amp;IF($AV111&lt;&gt;"",$AV111&amp;", ","")&amp;IF($AW111&lt;&gt;"",$AW111&amp;", ","")&amp;IF($AX111&lt;&gt;"",$AX111&amp;", ","")&amp;IF($AY111&lt;&gt;"",$AY111&amp;", ","")&amp;IF($AZ111&lt;&gt;"",$AZ111&amp;", ","")&amp;IF($BA111&lt;&gt;"",$BA111&amp;", ","")&amp;IF($BB111&lt;&gt;"",$BB111&amp;", ","")&amp;IF($BC111&lt;&gt;"",$BC111&amp;", ","")&amp;IF($DL111&lt;&gt;"",$DL111&amp;", ","")&amp;IF($DM111&lt;&gt;"",$DM111&amp;", ","")&amp;IF($DN111&lt;&gt;"",$DN111&amp;", ","")&amp;IF($DO111&lt;&gt;"",$DO111&amp;", ","")&amp;IF($DP111&lt;&gt;"",$DP111&amp;", ","")&amp;IF($DQ111&lt;&gt;"",$DQ111&amp;", ","")&amp;IF($DR111&lt;&gt;"",$DR111&amp;", ","")&amp;IF($DS111&lt;&gt;"",$DS111&amp;", ","")&amp;IF($DT111&lt;&gt;"",$DT111&amp;", ","")&amp;IF($DU111&lt;&gt;"",$DU111&amp;", ","")),LEN((IF($AT111&lt;&gt;"",$AT111&amp;", ","")&amp;IF($AU111&lt;&gt;"",$AU111&amp;", ","")&amp;IF($AV111&lt;&gt;"",$AV111&amp;", ","")&amp;IF($AW111&lt;&gt;"",$AW111&amp;", ","")&amp;IF($AX111&lt;&gt;"",$AX111&amp;", ","")&amp;IF($AY111&lt;&gt;"",$AY111&amp;", ","")&amp;IF($AZ111&lt;&gt;"",$AZ111&amp;", ","")&amp;IF($BA111&lt;&gt;"",$BA111&amp;", ","")&amp;IF($BB111&lt;&gt;"",$BB111&amp;", ","")&amp;IF($BC111&lt;&gt;"",$BC111&amp;", ","")&amp;IF($DL111&lt;&gt;"",$DL111&amp;", ","")&amp;IF($DM111&lt;&gt;"",$DM111&amp;", ","")&amp;IF($DN111&lt;&gt;"",$DN111&amp;", ","")&amp;IF($DO111&lt;&gt;"",$DO111&amp;", ","")&amp;IF($DP111&lt;&gt;"",$DP111&amp;", ","")&amp;IF($DQ111&lt;&gt;"",$DQ111&amp;", ","")&amp;IF($DR111&lt;&gt;"",$DR111&amp;", ","")&amp;IF($DS111&lt;&gt;"",$DS111&amp;", ","")&amp;IF($DT111&lt;&gt;"",$DT111&amp;", ","")&amp;IF($DU111&lt;&gt;"",$DU111&amp;", ","")))-2)))))))</f>
        <v/>
      </c>
      <c r="N111" t="str">
        <f t="shared" si="796"/>
        <v/>
      </c>
      <c r="O111" t="str">
        <f t="shared" si="797"/>
        <v/>
      </c>
      <c r="P111" t="str">
        <f t="shared" si="798"/>
        <v/>
      </c>
      <c r="Q111" t="str">
        <f t="shared" si="799"/>
        <v/>
      </c>
      <c r="R111" t="str">
        <f>IF($Q111="","",IF(OR($BE111="",$BF111=""),"ONZEKER",IF(AND($BE111=0+1,$BF111=0),IF(OR(COUNTIF(#REF!,$B111)&gt;0,COUNTIF(#REF!,$B111)=0),"SKIP",IF(COUNTIFS(#REF!,$B111,#REF!,$Q111)&gt;0,"OK","ONBEKEND")),IF(AND($BE111=0,$BF111=0+1),IF(OR(COUNTIF(#REF!,$D111)&gt;0,COUNTIF(#REF!,$D111)=0),"SKIP",IF(COUNTIFS(#REF!,$D111,#REF!,$Q111)&gt;0,"OK","ONBEKEND")),"ONZEKER"))))</f>
        <v/>
      </c>
      <c r="S111" t="str">
        <f t="shared" si="800"/>
        <v/>
      </c>
      <c r="T111" t="str">
        <f t="shared" si="801"/>
        <v/>
      </c>
      <c r="U111" t="str">
        <f>IF($T111="","",IF(OR($BH111="",$BI111=""),"ONZEKER",IF(OR($BE111="",$BF111=""),"ONZEKER",IF(AND($BH111=$BE111+1,$BI111=$BF111),IF(OR(COUNTIF(#REF!,$B111)&gt;0,COUNTIF(#REF!,$B111)=0),"SKIP",IF(COUNTIFS(#REF!,$B111,#REF!,$T111)&gt;0,"OK","ONBEKEND")),IF(AND($BH111=$BE111,$BI111=$BF111+1),IF(OR(COUNTIF(#REF!,$D111)&gt;0,COUNTIF(#REF!,$D111)=0),"SKIP",IF(COUNTIFS(#REF!,$D111,#REF!,$T111)&gt;0,"OK","ONBEKEND")),"ONZEKER")))))</f>
        <v/>
      </c>
      <c r="V111" t="str">
        <f t="shared" si="802"/>
        <v/>
      </c>
      <c r="W111" t="str">
        <f t="shared" si="803"/>
        <v/>
      </c>
      <c r="X111" t="str">
        <f>IF($W111="","",IF(OR($BK111="",$BL111=""),"ONZEKER",IF(OR($BH111="",$BI111=""),"ONZEKER",IF(AND($BK111=$BH111+1,$BL111=$BI111),IF(OR(COUNTIF(#REF!,$B111)&gt;0,COUNTIF(#REF!,$B111)=0),"SKIP",IF(COUNTIFS(#REF!,$B111,#REF!,$W111)&gt;0,"OK","ONBEKEND")),IF(AND($BK111=$BH111,$BL111=$BI111+1),IF(OR(COUNTIF(#REF!,$D111)&gt;0,COUNTIF(#REF!,$D111)=0),"SKIP",IF(COUNTIFS(#REF!,$D111,#REF!,$W111)&gt;0,"OK","ONBEKEND")),"ONZEKER")))))</f>
        <v/>
      </c>
      <c r="Y111" t="str">
        <f t="shared" si="804"/>
        <v/>
      </c>
      <c r="Z111" t="str">
        <f t="shared" si="805"/>
        <v/>
      </c>
      <c r="AA111" t="str">
        <f>IF($Z111="","",IF(OR($BN111="",$BO111=""),"ONZEKER",IF(OR($BK111="",$BL111=""),"ONZEKER",IF(AND($BN111=$BK111+1,$BO111=$BL111),IF(OR(COUNTIF(#REF!,$B111)&gt;0,COUNTIF(#REF!,$B111)=0),"SKIP",IF(COUNTIFS(#REF!,$B111,#REF!,$Z111)&gt;0,"OK","ONBEKEND")),IF(AND($BN111=$BK111,$BO111=$BL111+1),IF(OR(COUNTIF(#REF!,$D111)&gt;0,COUNTIF(#REF!,$D111)=0),"SKIP",IF(COUNTIFS(#REF!,$D111,#REF!,$Z111)&gt;0,"OK","ONBEKEND")),"ONZEKER")))))</f>
        <v/>
      </c>
      <c r="AB111" t="str">
        <f t="shared" si="806"/>
        <v/>
      </c>
      <c r="AC111" t="str">
        <f t="shared" si="807"/>
        <v/>
      </c>
      <c r="AD111" t="str">
        <f>IF($AC111="","",IF(OR($BQ111="",$BR111=""),"ONZEKER",IF(OR($BN111="",$BO111=""),"ONZEKER",IF(AND($BQ111=$BN111+1,$BR111=$BO111),IF(OR(COUNTIF(#REF!,$B111)&gt;0,COUNTIF(#REF!,$B111)=0),"SKIP",IF(COUNTIFS(#REF!,$B111,#REF!,$AC111)&gt;0,"OK","ONBEKEND")),IF(AND($BQ111=$BN111,$BR111=$BO111+1),IF(OR(COUNTIF(#REF!,$D111)&gt;0,COUNTIF(#REF!,$D111)=0),"SKIP",IF(COUNTIFS(#REF!,$D111,#REF!,$AC111)&gt;0,"OK","ONBEKEND")),"ONZEKER")))))</f>
        <v/>
      </c>
      <c r="AE111" t="str">
        <f t="shared" si="808"/>
        <v/>
      </c>
      <c r="AF111" t="str">
        <f t="shared" si="809"/>
        <v/>
      </c>
      <c r="AG111" t="str">
        <f>IF($AF111="","",IF(OR($BT111="",$BU111=""),"ONZEKER",IF(OR($BQ111="",$BR111=""),"ONZEKER",IF(AND($BT111=$BQ111+1,$BU111=$BR111),IF(OR(COUNTIF(#REF!,$B111)&gt;0,COUNTIF(#REF!,$B111)=0),"SKIP",IF(COUNTIFS(#REF!,$B111,#REF!,$AF111)&gt;0,"OK","ONBEKEND")),IF(AND($BT111=$BQ111,$BU111=$BR111+1),IF(OR(COUNTIF(#REF!,$D111)&gt;0,COUNTIF(#REF!,$D111)=0),"SKIP",IF(COUNTIFS(#REF!,$D111,#REF!,$AF111)&gt;0,"OK","ONBEKEND")),"ONZEKER")))))</f>
        <v/>
      </c>
      <c r="AH111" t="str">
        <f t="shared" si="810"/>
        <v/>
      </c>
      <c r="AI111" t="str">
        <f t="shared" si="811"/>
        <v/>
      </c>
      <c r="AJ111" t="str">
        <f>IF($AI111="","",IF(OR($BW111="",$BX111=""),"ONZEKER",IF(OR($BT111="",$BU111=""),"ONZEKER",IF(AND($BW111=$BT111+1,$BX111=$BU111),IF(OR(COUNTIF(#REF!,$B111)&gt;0,COUNTIF(#REF!,$B111)=0),"SKIP",IF(COUNTIFS(#REF!,$B111,#REF!,$AI111)&gt;0,"OK","ONBEKEND")),IF(AND($BW111=$BT111,$BX111=$BU111+1),IF(OR(COUNTIF(#REF!,$D111)&gt;0,COUNTIF(#REF!,$D111)=0),"SKIP",IF(COUNTIFS(#REF!,$D111,#REF!,$AI111)&gt;0,"OK","ONBEKEND")),"ONZEKER")))))</f>
        <v/>
      </c>
      <c r="AK111" t="str">
        <f t="shared" si="812"/>
        <v/>
      </c>
      <c r="AL111" t="str">
        <f t="shared" si="813"/>
        <v/>
      </c>
      <c r="AM111" t="str">
        <f>IF($AL111="","",IF(OR($BZ111="",$CA111=""),"ONZEKER",IF(OR($BW111="",$BX111=""),"ONZEKER",IF(AND($BZ111=$BW111+1,$CA111=$BX111),IF(OR(COUNTIF(#REF!,$B111)&gt;0,COUNTIF(#REF!,$B111)=0),"SKIP",IF(COUNTIFS(#REF!,$B111,#REF!,$AL111)&gt;0,"OK","ONBEKEND")),IF(AND($BZ111=$BW111,$CA111=$BX111+1),IF(OR(COUNTIF(#REF!,$D111)&gt;0,COUNTIF(#REF!,$D111)=0),"SKIP",IF(COUNTIFS(#REF!,$D111,#REF!,$AL111)&gt;0,"OK","ONBEKEND")),"ONZEKER")))))</f>
        <v/>
      </c>
      <c r="AN111" t="str">
        <f t="shared" si="814"/>
        <v/>
      </c>
      <c r="AO111" t="str">
        <f t="shared" si="815"/>
        <v/>
      </c>
      <c r="AP111" t="str">
        <f>IF($AO111="","",IF(OR($CC111="",$CD111=""),"ONZEKER",IF(OR($BZ111="",$CA111=""),"ONZEKER",IF(AND($CC111=$BZ111+1,$CD111=$CA111),IF(OR(COUNTIF(#REF!,$B111)&gt;0,COUNTIF(#REF!,$B111)=0),"SKIP",IF(COUNTIFS(#REF!,$B111,#REF!,$AO111)&gt;0,"OK","ONBEKEND")),IF(AND($CC111=$BZ111,$CD111=$CA111+1),IF(OR(COUNTIF(#REF!,$D111)&gt;0,COUNTIF(#REF!,$D111)=0),"SKIP",IF(COUNTIFS(#REF!,$D111,#REF!,$AO111)&gt;0,"OK","ONBEKEND")),"ONZEKER")))))</f>
        <v/>
      </c>
      <c r="AQ111" t="str">
        <f t="shared" si="816"/>
        <v/>
      </c>
      <c r="AR111" t="str">
        <f t="shared" si="817"/>
        <v/>
      </c>
      <c r="AS111" t="str">
        <f>IF($AR111="","",IF(OR($CF111="",$CG111=""),"ONZEKER",IF(OR($CC111="",$CD111=""),"ONZEKER",IF(AND($CF111=$CC111+1,$CG111=$CD111),IF(OR(COUNTIF(#REF!,$B111)&gt;0,COUNTIF(#REF!,$B111)=0),"SKIP",IF(COUNTIFS(#REF!,$B111,#REF!,$AR111)&gt;0,"OK","ONBEKEND")),IF(AND($CF111=$CC111,$CG111=$CD111+1),IF(OR(COUNTIF(#REF!,$D111)&gt;0,COUNTIF(#REF!,$D111)=0),"SKIP",IF(COUNTIFS(#REF!,$D111,#REF!,$AR111)&gt;0,"OK","ONBEKEND")),"ONZEKER")))))</f>
        <v/>
      </c>
      <c r="AT111" t="str">
        <f t="shared" si="818"/>
        <v/>
      </c>
      <c r="AU111" t="str">
        <f t="shared" si="819"/>
        <v/>
      </c>
      <c r="AV111" t="str">
        <f t="shared" si="820"/>
        <v/>
      </c>
      <c r="AW111" t="str">
        <f t="shared" si="821"/>
        <v/>
      </c>
      <c r="AX111" t="str">
        <f t="shared" si="822"/>
        <v/>
      </c>
      <c r="AY111" t="str">
        <f t="shared" si="823"/>
        <v/>
      </c>
      <c r="AZ111" t="str">
        <f t="shared" si="824"/>
        <v/>
      </c>
      <c r="BA111" t="str">
        <f t="shared" si="825"/>
        <v/>
      </c>
      <c r="BB111" t="str">
        <f t="shared" si="826"/>
        <v/>
      </c>
      <c r="BC111" t="str">
        <f t="shared" si="827"/>
        <v/>
      </c>
      <c r="BD111" t="str">
        <f t="shared" si="490"/>
        <v/>
      </c>
      <c r="BE111" t="str">
        <f t="shared" si="491"/>
        <v/>
      </c>
      <c r="BF111" t="str">
        <f t="shared" si="492"/>
        <v/>
      </c>
      <c r="BG111" t="str">
        <f t="shared" si="493"/>
        <v/>
      </c>
      <c r="BH111" t="str">
        <f t="shared" si="494"/>
        <v/>
      </c>
      <c r="BI111" t="str">
        <f t="shared" si="495"/>
        <v/>
      </c>
      <c r="BJ111" t="str">
        <f t="shared" si="496"/>
        <v/>
      </c>
      <c r="BK111" t="str">
        <f t="shared" si="497"/>
        <v/>
      </c>
      <c r="BL111" t="str">
        <f t="shared" si="498"/>
        <v/>
      </c>
      <c r="BM111" t="str">
        <f t="shared" si="499"/>
        <v/>
      </c>
      <c r="BN111" t="str">
        <f t="shared" si="500"/>
        <v/>
      </c>
      <c r="BO111" t="str">
        <f t="shared" si="501"/>
        <v/>
      </c>
      <c r="BP111" t="str">
        <f t="shared" si="502"/>
        <v/>
      </c>
      <c r="BQ111" t="str">
        <f t="shared" si="503"/>
        <v/>
      </c>
      <c r="BR111" t="str">
        <f t="shared" si="504"/>
        <v/>
      </c>
      <c r="BS111" t="str">
        <f t="shared" si="505"/>
        <v/>
      </c>
      <c r="BT111" t="str">
        <f t="shared" si="506"/>
        <v/>
      </c>
      <c r="BU111" t="str">
        <f t="shared" si="507"/>
        <v/>
      </c>
      <c r="BV111" t="str">
        <f t="shared" si="508"/>
        <v/>
      </c>
      <c r="BW111" t="str">
        <f t="shared" si="509"/>
        <v/>
      </c>
      <c r="BX111" t="str">
        <f t="shared" si="510"/>
        <v/>
      </c>
      <c r="BY111" t="str">
        <f t="shared" si="511"/>
        <v/>
      </c>
      <c r="BZ111" t="str">
        <f t="shared" si="512"/>
        <v/>
      </c>
      <c r="CA111" t="str">
        <f t="shared" si="513"/>
        <v/>
      </c>
      <c r="CB111" t="str">
        <f t="shared" si="514"/>
        <v/>
      </c>
      <c r="CC111" t="str">
        <f t="shared" si="515"/>
        <v/>
      </c>
      <c r="CD111" t="str">
        <f t="shared" si="516"/>
        <v/>
      </c>
      <c r="CE111" t="str">
        <f t="shared" si="517"/>
        <v/>
      </c>
      <c r="CF111" t="str">
        <f t="shared" si="518"/>
        <v/>
      </c>
      <c r="CG111" t="str">
        <f t="shared" si="519"/>
        <v/>
      </c>
      <c r="CH111" t="str">
        <f t="shared" si="828"/>
        <v/>
      </c>
      <c r="CI111" t="str">
        <f t="shared" si="829"/>
        <v/>
      </c>
      <c r="CJ111" t="str">
        <f>IF($CI111="","",IF(OR($DW111="",$DX111=""),"ONZEKER",IF(OR($CF111="",$CG111=""),"ONZEKER",IF(AND($DW111=$CF111+1,$DX111=$CG111),IF(OR(COUNTIF(#REF!,$B111)&gt;0,COUNTIF(#REF!,$B111)=0),"SKIP",IF(COUNTIFS(#REF!,$B111,#REF!,$CI111)&gt;0,"OK","ONBEKEND")),IF(AND($DW111=$CF111,$DX111=$CG111+1),IF(OR(COUNTIF(#REF!,$D111)&gt;0,COUNTIF(#REF!,$D111)=0),"SKIP",IF(COUNTIFS(#REF!,$D111,#REF!,$CI111)&gt;0,"OK","ONBEKEND")),"ONZEKER")))))</f>
        <v/>
      </c>
      <c r="CK111" t="str">
        <f t="shared" si="830"/>
        <v/>
      </c>
      <c r="CL111" t="str">
        <f t="shared" si="831"/>
        <v/>
      </c>
      <c r="CM111" t="str">
        <f>IF($CL111="","",IF(OR($DZ111="",$EA111=""),"ONZEKER",IF(OR($DW111="",$DX111=""),"ONZEKER",IF(AND($DZ111=$DW111+1,$EA111=$DX111),IF(OR(COUNTIF(#REF!,$B111)&gt;0,COUNTIF(#REF!,$B111)=0),"SKIP",IF(COUNTIFS(#REF!,$B111,#REF!,$CL111)&gt;0,"OK","ONBEKEND")),IF(AND($DZ111=$DW111,$EA111=$DX111+1),IF(OR(COUNTIF(#REF!,$D111)&gt;0,COUNTIF(#REF!,$D111)=0),"SKIP",IF(COUNTIFS(#REF!,$D111,#REF!,$CL111)&gt;0,"OK","ONBEKEND")),"ONZEKER")))))</f>
        <v/>
      </c>
      <c r="CN111" t="str">
        <f t="shared" si="832"/>
        <v/>
      </c>
      <c r="CO111" t="str">
        <f t="shared" si="833"/>
        <v/>
      </c>
      <c r="CP111" t="str">
        <f>IF($CO111="","",IF(OR($EC111="",$ED111=""),"ONZEKER",IF(OR($DZ111="",$EA111=""),"ONZEKER",IF(AND($EC111=$DZ111+1,$ED111=$EA111),IF(OR(COUNTIF(#REF!,$B111)&gt;0,COUNTIF(#REF!,$B111)=0),"SKIP",IF(COUNTIFS(#REF!,$B111,#REF!,$CO111)&gt;0,"OK","ONBEKEND")),IF(AND($EC111=$DZ111,$ED111=$EA111+1),IF(OR(COUNTIF(#REF!,$D111)&gt;0,COUNTIF(#REF!,$D111)=0),"SKIP",IF(COUNTIFS(#REF!,$D111,#REF!,$CO111)&gt;0,"OK","ONBEKEND")),"ONZEKER")))))</f>
        <v/>
      </c>
      <c r="CQ111" t="str">
        <f t="shared" si="834"/>
        <v/>
      </c>
      <c r="CR111" t="str">
        <f t="shared" si="835"/>
        <v/>
      </c>
      <c r="CS111" t="str">
        <f>IF($CR111="","",IF(OR($EF111="",$EG111=""),"ONZEKER",IF(OR($EC111="",$ED111=""),"ONZEKER",IF(AND($EF111=$EC111+1,$EG111=$ED111),IF(OR(COUNTIF(#REF!,$B111)&gt;0,COUNTIF(#REF!,$B111)=0),"SKIP",IF(COUNTIFS(#REF!,$B111,#REF!,$CR111)&gt;0,"OK","ONBEKEND")),IF(AND($EF111=$EC111,$EG111=$ED111+1),IF(OR(COUNTIF(#REF!,$D111)&gt;0,COUNTIF(#REF!,$D111)=0),"SKIP",IF(COUNTIFS(#REF!,$D111,#REF!,$CR111)&gt;0,"OK","ONBEKEND")),"ONZEKER")))))</f>
        <v/>
      </c>
      <c r="CT111" t="str">
        <f t="shared" si="836"/>
        <v/>
      </c>
      <c r="CU111" t="str">
        <f t="shared" si="837"/>
        <v/>
      </c>
      <c r="CV111" t="str">
        <f>IF($CU111="","",IF(OR($EI111="",$EJ111=""),"ONZEKER",IF(OR($EF111="",$EG111=""),"ONZEKER",IF(AND($EI111=$EF111+1,$EJ111=$EG111),IF(OR(COUNTIF(#REF!,$B111)&gt;0,COUNTIF(#REF!,$B111)=0),"SKIP",IF(COUNTIFS(#REF!,$B111,#REF!,$CU111)&gt;0,"OK","ONBEKEND")),IF(AND($EI111=$EF111,$EJ111=$EG111+1),IF(OR(COUNTIF(#REF!,$D111)&gt;0,COUNTIF(#REF!,$D111)=0),"SKIP",IF(COUNTIFS(#REF!,$D111,#REF!,$CU111)&gt;0,"OK","ONBEKEND")),"ONZEKER")))))</f>
        <v/>
      </c>
      <c r="CW111" t="str">
        <f t="shared" si="838"/>
        <v/>
      </c>
      <c r="CX111" t="str">
        <f t="shared" si="839"/>
        <v/>
      </c>
      <c r="CY111" t="str">
        <f>IF($CX111="","",IF(OR($EL111="",$EM111=""),"ONZEKER",IF(OR($EI111="",$EJ111=""),"ONZEKER",IF(AND($EL111=$EI111+1,$EM111=$EJ111),IF(OR(COUNTIF(#REF!,$B111)&gt;0,COUNTIF(#REF!,$B111)=0),"SKIP",IF(COUNTIFS(#REF!,$B111,#REF!,$CX111)&gt;0,"OK","ONBEKEND")),IF(AND($EL111=$EI111,$EM111=$EJ111+1),IF(OR(COUNTIF(#REF!,$D111)&gt;0,COUNTIF(#REF!,$D111)=0),"SKIP",IF(COUNTIFS(#REF!,$D111,#REF!,$CX111)&gt;0,"OK","ONBEKEND")),"ONZEKER")))))</f>
        <v/>
      </c>
      <c r="CZ111" t="str">
        <f t="shared" si="840"/>
        <v/>
      </c>
      <c r="DA111" t="str">
        <f t="shared" si="841"/>
        <v/>
      </c>
      <c r="DB111" t="str">
        <f>IF($DA111="","",IF(OR($EO111="",$EP111=""),"ONZEKER",IF(OR($EL111="",$EM111=""),"ONZEKER",IF(AND($EO111=$EL111+1,$EP111=$EM111),IF(OR(COUNTIF(#REF!,$B111)&gt;0,COUNTIF(#REF!,$B111)=0),"SKIP",IF(COUNTIFS(#REF!,$B111,#REF!,$DA111)&gt;0,"OK","ONBEKEND")),IF(AND($EO111=$EL111,$EP111=$EM111+1),IF(OR(COUNTIF(#REF!,$D111)&gt;0,COUNTIF(#REF!,$D111)=0),"SKIP",IF(COUNTIFS(#REF!,$D111,#REF!,$DA111)&gt;0,"OK","ONBEKEND")),"ONZEKER")))))</f>
        <v/>
      </c>
      <c r="DC111" t="str">
        <f t="shared" si="842"/>
        <v/>
      </c>
      <c r="DD111" t="str">
        <f t="shared" si="843"/>
        <v/>
      </c>
      <c r="DE111" t="str">
        <f>IF($DD111="","",IF(OR($ER111="",$ES111=""),"ONZEKER",IF(OR($EO111="",$EP111=""),"ONZEKER",IF(AND($ER111=$EO111+1,$ES111=$EP111),IF(OR(COUNTIF(#REF!,$B111)&gt;0,COUNTIF(#REF!,$B111)=0),"SKIP",IF(COUNTIFS(#REF!,$B111,#REF!,$DD111)&gt;0,"OK","ONBEKEND")),IF(AND($ER111=$EO111,$ES111=$EP111+1),IF(OR(COUNTIF(#REF!,$D111)&gt;0,COUNTIF(#REF!,$D111)=0),"SKIP",IF(COUNTIFS(#REF!,$D111,#REF!,$DD111)&gt;0,"OK","ONBEKEND")),"ONZEKER")))))</f>
        <v/>
      </c>
      <c r="DF111" t="str">
        <f t="shared" si="844"/>
        <v/>
      </c>
      <c r="DG111" t="str">
        <f t="shared" si="845"/>
        <v/>
      </c>
      <c r="DH111" t="str">
        <f>IF($DG111="","",IF(OR($EU111="",$EV111=""),"ONZEKER",IF(OR($ER111="",$ES111=""),"ONZEKER",IF(AND($EU111=$ER111+1,$EV111=$ES111),IF(OR(COUNTIF(#REF!,$B111)&gt;0,COUNTIF(#REF!,$B111)=0),"SKIP",IF(COUNTIFS(#REF!,$B111,#REF!,$DG111)&gt;0,"OK","ONBEKEND")),IF(AND($EU111=$ER111,$EV111=$ES111+1),IF(OR(COUNTIF(#REF!,$D111)&gt;0,COUNTIF(#REF!,$D111)=0),"SKIP",IF(COUNTIFS(#REF!,$D111,#REF!,$DG111)&gt;0,"OK","ONBEKEND")),"ONZEKER")))))</f>
        <v/>
      </c>
      <c r="DI111" t="str">
        <f t="shared" si="846"/>
        <v/>
      </c>
      <c r="DJ111" t="str">
        <f t="shared" si="847"/>
        <v/>
      </c>
      <c r="DK111" t="str">
        <f>IF($DJ111="","",IF(OR($EX111="",$EY111=""),"ONZEKER",IF(OR($EU111="",$EV111=""),"ONZEKER",IF(AND($EX111=$EU111+1,$EY111=$EV111),IF(OR(COUNTIF(#REF!,$B111)&gt;0,COUNTIF(#REF!,$B111)=0),"SKIP",IF(COUNTIFS(#REF!,$B111,#REF!,$DJ111)&gt;0,"OK","ONBEKEND")),IF(AND($EX111=$EU111,$EY111=$EV111+1),IF(OR(COUNTIF(#REF!,$D111)&gt;0,COUNTIF(#REF!,$D111)=0),"SKIP",IF(COUNTIFS(#REF!,$D111,#REF!,$DJ111)&gt;0,"OK","ONBEKEND")),"ONZEKER")))))</f>
        <v/>
      </c>
      <c r="DL111" t="str">
        <f t="shared" si="848"/>
        <v/>
      </c>
      <c r="DM111" t="str">
        <f t="shared" si="849"/>
        <v/>
      </c>
      <c r="DN111" t="str">
        <f t="shared" si="850"/>
        <v/>
      </c>
      <c r="DO111" t="str">
        <f t="shared" si="851"/>
        <v/>
      </c>
      <c r="DP111" t="str">
        <f t="shared" si="852"/>
        <v/>
      </c>
      <c r="DQ111" t="str">
        <f t="shared" si="853"/>
        <v/>
      </c>
      <c r="DR111" t="str">
        <f t="shared" si="854"/>
        <v/>
      </c>
      <c r="DS111" t="str">
        <f t="shared" si="855"/>
        <v/>
      </c>
      <c r="DT111" t="str">
        <f t="shared" si="856"/>
        <v/>
      </c>
      <c r="DU111" t="str">
        <f t="shared" si="857"/>
        <v/>
      </c>
      <c r="DV111" t="str">
        <f t="shared" si="858"/>
        <v/>
      </c>
      <c r="DW111" t="str">
        <f t="shared" si="859"/>
        <v/>
      </c>
      <c r="DX111" t="str">
        <f t="shared" si="860"/>
        <v/>
      </c>
      <c r="DY111" t="str">
        <f t="shared" si="861"/>
        <v/>
      </c>
      <c r="DZ111" t="str">
        <f t="shared" si="862"/>
        <v/>
      </c>
      <c r="EA111" t="str">
        <f t="shared" si="863"/>
        <v/>
      </c>
      <c r="EB111" t="str">
        <f t="shared" si="864"/>
        <v/>
      </c>
      <c r="EC111" t="str">
        <f t="shared" si="865"/>
        <v/>
      </c>
      <c r="ED111" t="str">
        <f t="shared" si="866"/>
        <v/>
      </c>
      <c r="EE111" t="str">
        <f t="shared" si="867"/>
        <v/>
      </c>
      <c r="EF111" t="str">
        <f t="shared" si="868"/>
        <v/>
      </c>
      <c r="EG111" t="str">
        <f t="shared" si="869"/>
        <v/>
      </c>
      <c r="EH111" t="str">
        <f t="shared" si="870"/>
        <v/>
      </c>
      <c r="EI111" t="str">
        <f t="shared" si="871"/>
        <v/>
      </c>
      <c r="EJ111" t="str">
        <f t="shared" si="872"/>
        <v/>
      </c>
      <c r="EK111" t="str">
        <f t="shared" si="873"/>
        <v/>
      </c>
      <c r="EL111" t="str">
        <f t="shared" si="874"/>
        <v/>
      </c>
      <c r="EM111" t="str">
        <f t="shared" si="875"/>
        <v/>
      </c>
      <c r="EN111" t="str">
        <f t="shared" si="876"/>
        <v/>
      </c>
      <c r="EO111" t="str">
        <f t="shared" si="877"/>
        <v/>
      </c>
      <c r="EP111" t="str">
        <f t="shared" si="878"/>
        <v/>
      </c>
      <c r="EQ111" t="str">
        <f t="shared" si="879"/>
        <v/>
      </c>
      <c r="ER111" t="str">
        <f t="shared" si="880"/>
        <v/>
      </c>
      <c r="ES111" t="str">
        <f t="shared" si="881"/>
        <v/>
      </c>
      <c r="ET111" t="str">
        <f t="shared" si="882"/>
        <v/>
      </c>
      <c r="EU111" t="str">
        <f t="shared" si="883"/>
        <v/>
      </c>
      <c r="EV111" t="str">
        <f t="shared" si="884"/>
        <v/>
      </c>
      <c r="EW111" t="str">
        <f t="shared" si="885"/>
        <v/>
      </c>
      <c r="EX111" t="str">
        <f t="shared" si="886"/>
        <v/>
      </c>
      <c r="EY111" t="str">
        <f t="shared" si="887"/>
        <v/>
      </c>
    </row>
    <row r="112" spans="1:155" ht="13.9" customHeight="1" x14ac:dyDescent="0.25">
      <c r="A112" s="7"/>
      <c r="B112" s="17"/>
      <c r="C112" s="8"/>
      <c r="D112" s="17"/>
      <c r="E112" s="8"/>
      <c r="F112" s="18">
        <v>0</v>
      </c>
      <c r="G112" s="7" t="s">
        <v>147</v>
      </c>
      <c r="H112" s="18">
        <v>0</v>
      </c>
      <c r="I112" s="19">
        <v>0</v>
      </c>
      <c r="J112" s="7" t="s">
        <v>147</v>
      </c>
      <c r="K112" s="19">
        <v>0</v>
      </c>
      <c r="L112" s="9"/>
      <c r="M112" s="3" t="str">
        <f>IF($L112="","",IF($L112="DOELPUNTENMAKERS","",IF(AND(COUNTIF(#REF!,$B112)=0,COUNTIF(#REF!,$D112)=0),"OK",IF($O112&gt;20,"LET OP: meer dan 20 items (controle onvolledig)",IF((COUNTIF($R112:$AS112,"ONZEKER")+COUNTIF($CJ112:$DK112,"ONZEKER"))&gt;0,"LET OP: scoreverloop onduidelijk (controle beperkt)",IF((IF($AT112&lt;&gt;"",$AT112&amp;", ","")&amp;IF($AU112&lt;&gt;"",$AU112&amp;", ","")&amp;IF($AV112&lt;&gt;"",$AV112&amp;", ","")&amp;IF($AW112&lt;&gt;"",$AW112&amp;", ","")&amp;IF($AX112&lt;&gt;"",$AX112&amp;", ","")&amp;IF($AY112&lt;&gt;"",$AY112&amp;", ","")&amp;IF($AZ112&lt;&gt;"",$AZ112&amp;", ","")&amp;IF($BA112&lt;&gt;"",$BA112&amp;", ","")&amp;IF($BB112&lt;&gt;"",$BB112&amp;", ","")&amp;IF($BC112&lt;&gt;"",$BC112&amp;", ","")&amp;IF($DL112&lt;&gt;"",$DL112&amp;", ","")&amp;IF($DM112&lt;&gt;"",$DM112&amp;", ","")&amp;IF($DN112&lt;&gt;"",$DN112&amp;", ","")&amp;IF($DO112&lt;&gt;"",$DO112&amp;", ","")&amp;IF($DP112&lt;&gt;"",$DP112&amp;", ","")&amp;IF($DQ112&lt;&gt;"",$DQ112&amp;", ","")&amp;IF($DR112&lt;&gt;"",$DR112&amp;", ","")&amp;IF($DS112&lt;&gt;"",$DS112&amp;", ","")&amp;IF($DT112&lt;&gt;"",$DT112&amp;", ","")&amp;IF($DU112&lt;&gt;"",$DU112&amp;", ",""))="","OK","Onbekend: "&amp;LEFT((IF($AT112&lt;&gt;"",$AT112&amp;", ","")&amp;IF($AU112&lt;&gt;"",$AU112&amp;", ","")&amp;IF($AV112&lt;&gt;"",$AV112&amp;", ","")&amp;IF($AW112&lt;&gt;"",$AW112&amp;", ","")&amp;IF($AX112&lt;&gt;"",$AX112&amp;", ","")&amp;IF($AY112&lt;&gt;"",$AY112&amp;", ","")&amp;IF($AZ112&lt;&gt;"",$AZ112&amp;", ","")&amp;IF($BA112&lt;&gt;"",$BA112&amp;", ","")&amp;IF($BB112&lt;&gt;"",$BB112&amp;", ","")&amp;IF($BC112&lt;&gt;"",$BC112&amp;", ","")&amp;IF($DL112&lt;&gt;"",$DL112&amp;", ","")&amp;IF($DM112&lt;&gt;"",$DM112&amp;", ","")&amp;IF($DN112&lt;&gt;"",$DN112&amp;", ","")&amp;IF($DO112&lt;&gt;"",$DO112&amp;", ","")&amp;IF($DP112&lt;&gt;"",$DP112&amp;", ","")&amp;IF($DQ112&lt;&gt;"",$DQ112&amp;", ","")&amp;IF($DR112&lt;&gt;"",$DR112&amp;", ","")&amp;IF($DS112&lt;&gt;"",$DS112&amp;", ","")&amp;IF($DT112&lt;&gt;"",$DT112&amp;", ","")&amp;IF($DU112&lt;&gt;"",$DU112&amp;", ","")),LEN((IF($AT112&lt;&gt;"",$AT112&amp;", ","")&amp;IF($AU112&lt;&gt;"",$AU112&amp;", ","")&amp;IF($AV112&lt;&gt;"",$AV112&amp;", ","")&amp;IF($AW112&lt;&gt;"",$AW112&amp;", ","")&amp;IF($AX112&lt;&gt;"",$AX112&amp;", ","")&amp;IF($AY112&lt;&gt;"",$AY112&amp;", ","")&amp;IF($AZ112&lt;&gt;"",$AZ112&amp;", ","")&amp;IF($BA112&lt;&gt;"",$BA112&amp;", ","")&amp;IF($BB112&lt;&gt;"",$BB112&amp;", ","")&amp;IF($BC112&lt;&gt;"",$BC112&amp;", ","")&amp;IF($DL112&lt;&gt;"",$DL112&amp;", ","")&amp;IF($DM112&lt;&gt;"",$DM112&amp;", ","")&amp;IF($DN112&lt;&gt;"",$DN112&amp;", ","")&amp;IF($DO112&lt;&gt;"",$DO112&amp;", ","")&amp;IF($DP112&lt;&gt;"",$DP112&amp;", ","")&amp;IF($DQ112&lt;&gt;"",$DQ112&amp;", ","")&amp;IF($DR112&lt;&gt;"",$DR112&amp;", ","")&amp;IF($DS112&lt;&gt;"",$DS112&amp;", ","")&amp;IF($DT112&lt;&gt;"",$DT112&amp;", ","")&amp;IF($DU112&lt;&gt;"",$DU112&amp;", ","")))-2)))))))</f>
        <v/>
      </c>
      <c r="N112" t="str">
        <f t="shared" si="796"/>
        <v/>
      </c>
      <c r="O112" t="str">
        <f t="shared" si="797"/>
        <v/>
      </c>
      <c r="P112" t="str">
        <f t="shared" si="798"/>
        <v/>
      </c>
      <c r="Q112" t="str">
        <f t="shared" si="799"/>
        <v/>
      </c>
      <c r="R112" t="str">
        <f>IF($Q112="","",IF(OR($BE112="",$BF112=""),"ONZEKER",IF(AND($BE112=0+1,$BF112=0),IF(OR(COUNTIF(#REF!,$B112)&gt;0,COUNTIF(#REF!,$B112)=0),"SKIP",IF(COUNTIFS(#REF!,$B112,#REF!,$Q112)&gt;0,"OK","ONBEKEND")),IF(AND($BE112=0,$BF112=0+1),IF(OR(COUNTIF(#REF!,$D112)&gt;0,COUNTIF(#REF!,$D112)=0),"SKIP",IF(COUNTIFS(#REF!,$D112,#REF!,$Q112)&gt;0,"OK","ONBEKEND")),"ONZEKER"))))</f>
        <v/>
      </c>
      <c r="S112" t="str">
        <f t="shared" si="800"/>
        <v/>
      </c>
      <c r="T112" t="str">
        <f t="shared" si="801"/>
        <v/>
      </c>
      <c r="U112" t="str">
        <f>IF($T112="","",IF(OR($BH112="",$BI112=""),"ONZEKER",IF(OR($BE112="",$BF112=""),"ONZEKER",IF(AND($BH112=$BE112+1,$BI112=$BF112),IF(OR(COUNTIF(#REF!,$B112)&gt;0,COUNTIF(#REF!,$B112)=0),"SKIP",IF(COUNTIFS(#REF!,$B112,#REF!,$T112)&gt;0,"OK","ONBEKEND")),IF(AND($BH112=$BE112,$BI112=$BF112+1),IF(OR(COUNTIF(#REF!,$D112)&gt;0,COUNTIF(#REF!,$D112)=0),"SKIP",IF(COUNTIFS(#REF!,$D112,#REF!,$T112)&gt;0,"OK","ONBEKEND")),"ONZEKER")))))</f>
        <v/>
      </c>
      <c r="V112" t="str">
        <f t="shared" si="802"/>
        <v/>
      </c>
      <c r="W112" t="str">
        <f t="shared" si="803"/>
        <v/>
      </c>
      <c r="X112" t="str">
        <f>IF($W112="","",IF(OR($BK112="",$BL112=""),"ONZEKER",IF(OR($BH112="",$BI112=""),"ONZEKER",IF(AND($BK112=$BH112+1,$BL112=$BI112),IF(OR(COUNTIF(#REF!,$B112)&gt;0,COUNTIF(#REF!,$B112)=0),"SKIP",IF(COUNTIFS(#REF!,$B112,#REF!,$W112)&gt;0,"OK","ONBEKEND")),IF(AND($BK112=$BH112,$BL112=$BI112+1),IF(OR(COUNTIF(#REF!,$D112)&gt;0,COUNTIF(#REF!,$D112)=0),"SKIP",IF(COUNTIFS(#REF!,$D112,#REF!,$W112)&gt;0,"OK","ONBEKEND")),"ONZEKER")))))</f>
        <v/>
      </c>
      <c r="Y112" t="str">
        <f t="shared" si="804"/>
        <v/>
      </c>
      <c r="Z112" t="str">
        <f t="shared" si="805"/>
        <v/>
      </c>
      <c r="AA112" t="str">
        <f>IF($Z112="","",IF(OR($BN112="",$BO112=""),"ONZEKER",IF(OR($BK112="",$BL112=""),"ONZEKER",IF(AND($BN112=$BK112+1,$BO112=$BL112),IF(OR(COUNTIF(#REF!,$B112)&gt;0,COUNTIF(#REF!,$B112)=0),"SKIP",IF(COUNTIFS(#REF!,$B112,#REF!,$Z112)&gt;0,"OK","ONBEKEND")),IF(AND($BN112=$BK112,$BO112=$BL112+1),IF(OR(COUNTIF(#REF!,$D112)&gt;0,COUNTIF(#REF!,$D112)=0),"SKIP",IF(COUNTIFS(#REF!,$D112,#REF!,$Z112)&gt;0,"OK","ONBEKEND")),"ONZEKER")))))</f>
        <v/>
      </c>
      <c r="AB112" t="str">
        <f t="shared" si="806"/>
        <v/>
      </c>
      <c r="AC112" t="str">
        <f t="shared" si="807"/>
        <v/>
      </c>
      <c r="AD112" t="str">
        <f>IF($AC112="","",IF(OR($BQ112="",$BR112=""),"ONZEKER",IF(OR($BN112="",$BO112=""),"ONZEKER",IF(AND($BQ112=$BN112+1,$BR112=$BO112),IF(OR(COUNTIF(#REF!,$B112)&gt;0,COUNTIF(#REF!,$B112)=0),"SKIP",IF(COUNTIFS(#REF!,$B112,#REF!,$AC112)&gt;0,"OK","ONBEKEND")),IF(AND($BQ112=$BN112,$BR112=$BO112+1),IF(OR(COUNTIF(#REF!,$D112)&gt;0,COUNTIF(#REF!,$D112)=0),"SKIP",IF(COUNTIFS(#REF!,$D112,#REF!,$AC112)&gt;0,"OK","ONBEKEND")),"ONZEKER")))))</f>
        <v/>
      </c>
      <c r="AE112" t="str">
        <f t="shared" si="808"/>
        <v/>
      </c>
      <c r="AF112" t="str">
        <f t="shared" si="809"/>
        <v/>
      </c>
      <c r="AG112" t="str">
        <f>IF($AF112="","",IF(OR($BT112="",$BU112=""),"ONZEKER",IF(OR($BQ112="",$BR112=""),"ONZEKER",IF(AND($BT112=$BQ112+1,$BU112=$BR112),IF(OR(COUNTIF(#REF!,$B112)&gt;0,COUNTIF(#REF!,$B112)=0),"SKIP",IF(COUNTIFS(#REF!,$B112,#REF!,$AF112)&gt;0,"OK","ONBEKEND")),IF(AND($BT112=$BQ112,$BU112=$BR112+1),IF(OR(COUNTIF(#REF!,$D112)&gt;0,COUNTIF(#REF!,$D112)=0),"SKIP",IF(COUNTIFS(#REF!,$D112,#REF!,$AF112)&gt;0,"OK","ONBEKEND")),"ONZEKER")))))</f>
        <v/>
      </c>
      <c r="AH112" t="str">
        <f t="shared" si="810"/>
        <v/>
      </c>
      <c r="AI112" t="str">
        <f t="shared" si="811"/>
        <v/>
      </c>
      <c r="AJ112" t="str">
        <f>IF($AI112="","",IF(OR($BW112="",$BX112=""),"ONZEKER",IF(OR($BT112="",$BU112=""),"ONZEKER",IF(AND($BW112=$BT112+1,$BX112=$BU112),IF(OR(COUNTIF(#REF!,$B112)&gt;0,COUNTIF(#REF!,$B112)=0),"SKIP",IF(COUNTIFS(#REF!,$B112,#REF!,$AI112)&gt;0,"OK","ONBEKEND")),IF(AND($BW112=$BT112,$BX112=$BU112+1),IF(OR(COUNTIF(#REF!,$D112)&gt;0,COUNTIF(#REF!,$D112)=0),"SKIP",IF(COUNTIFS(#REF!,$D112,#REF!,$AI112)&gt;0,"OK","ONBEKEND")),"ONZEKER")))))</f>
        <v/>
      </c>
      <c r="AK112" t="str">
        <f t="shared" si="812"/>
        <v/>
      </c>
      <c r="AL112" t="str">
        <f t="shared" si="813"/>
        <v/>
      </c>
      <c r="AM112" t="str">
        <f>IF($AL112="","",IF(OR($BZ112="",$CA112=""),"ONZEKER",IF(OR($BW112="",$BX112=""),"ONZEKER",IF(AND($BZ112=$BW112+1,$CA112=$BX112),IF(OR(COUNTIF(#REF!,$B112)&gt;0,COUNTIF(#REF!,$B112)=0),"SKIP",IF(COUNTIFS(#REF!,$B112,#REF!,$AL112)&gt;0,"OK","ONBEKEND")),IF(AND($BZ112=$BW112,$CA112=$BX112+1),IF(OR(COUNTIF(#REF!,$D112)&gt;0,COUNTIF(#REF!,$D112)=0),"SKIP",IF(COUNTIFS(#REF!,$D112,#REF!,$AL112)&gt;0,"OK","ONBEKEND")),"ONZEKER")))))</f>
        <v/>
      </c>
      <c r="AN112" t="str">
        <f t="shared" si="814"/>
        <v/>
      </c>
      <c r="AO112" t="str">
        <f t="shared" si="815"/>
        <v/>
      </c>
      <c r="AP112" t="str">
        <f>IF($AO112="","",IF(OR($CC112="",$CD112=""),"ONZEKER",IF(OR($BZ112="",$CA112=""),"ONZEKER",IF(AND($CC112=$BZ112+1,$CD112=$CA112),IF(OR(COUNTIF(#REF!,$B112)&gt;0,COUNTIF(#REF!,$B112)=0),"SKIP",IF(COUNTIFS(#REF!,$B112,#REF!,$AO112)&gt;0,"OK","ONBEKEND")),IF(AND($CC112=$BZ112,$CD112=$CA112+1),IF(OR(COUNTIF(#REF!,$D112)&gt;0,COUNTIF(#REF!,$D112)=0),"SKIP",IF(COUNTIFS(#REF!,$D112,#REF!,$AO112)&gt;0,"OK","ONBEKEND")),"ONZEKER")))))</f>
        <v/>
      </c>
      <c r="AQ112" t="str">
        <f t="shared" si="816"/>
        <v/>
      </c>
      <c r="AR112" t="str">
        <f t="shared" si="817"/>
        <v/>
      </c>
      <c r="AS112" t="str">
        <f>IF($AR112="","",IF(OR($CF112="",$CG112=""),"ONZEKER",IF(OR($CC112="",$CD112=""),"ONZEKER",IF(AND($CF112=$CC112+1,$CG112=$CD112),IF(OR(COUNTIF(#REF!,$B112)&gt;0,COUNTIF(#REF!,$B112)=0),"SKIP",IF(COUNTIFS(#REF!,$B112,#REF!,$AR112)&gt;0,"OK","ONBEKEND")),IF(AND($CF112=$CC112,$CG112=$CD112+1),IF(OR(COUNTIF(#REF!,$D112)&gt;0,COUNTIF(#REF!,$D112)=0),"SKIP",IF(COUNTIFS(#REF!,$D112,#REF!,$AR112)&gt;0,"OK","ONBEKEND")),"ONZEKER")))))</f>
        <v/>
      </c>
      <c r="AT112" t="str">
        <f t="shared" si="818"/>
        <v/>
      </c>
      <c r="AU112" t="str">
        <f t="shared" si="819"/>
        <v/>
      </c>
      <c r="AV112" t="str">
        <f t="shared" si="820"/>
        <v/>
      </c>
      <c r="AW112" t="str">
        <f t="shared" si="821"/>
        <v/>
      </c>
      <c r="AX112" t="str">
        <f t="shared" si="822"/>
        <v/>
      </c>
      <c r="AY112" t="str">
        <f t="shared" si="823"/>
        <v/>
      </c>
      <c r="AZ112" t="str">
        <f t="shared" si="824"/>
        <v/>
      </c>
      <c r="BA112" t="str">
        <f t="shared" si="825"/>
        <v/>
      </c>
      <c r="BB112" t="str">
        <f t="shared" si="826"/>
        <v/>
      </c>
      <c r="BC112" t="str">
        <f t="shared" si="827"/>
        <v/>
      </c>
      <c r="BD112" t="str">
        <f t="shared" si="490"/>
        <v/>
      </c>
      <c r="BE112" t="str">
        <f t="shared" si="491"/>
        <v/>
      </c>
      <c r="BF112" t="str">
        <f t="shared" si="492"/>
        <v/>
      </c>
      <c r="BG112" t="str">
        <f t="shared" si="493"/>
        <v/>
      </c>
      <c r="BH112" t="str">
        <f t="shared" si="494"/>
        <v/>
      </c>
      <c r="BI112" t="str">
        <f t="shared" si="495"/>
        <v/>
      </c>
      <c r="BJ112" t="str">
        <f t="shared" si="496"/>
        <v/>
      </c>
      <c r="BK112" t="str">
        <f t="shared" si="497"/>
        <v/>
      </c>
      <c r="BL112" t="str">
        <f t="shared" si="498"/>
        <v/>
      </c>
      <c r="BM112" t="str">
        <f t="shared" si="499"/>
        <v/>
      </c>
      <c r="BN112" t="str">
        <f t="shared" si="500"/>
        <v/>
      </c>
      <c r="BO112" t="str">
        <f t="shared" si="501"/>
        <v/>
      </c>
      <c r="BP112" t="str">
        <f t="shared" si="502"/>
        <v/>
      </c>
      <c r="BQ112" t="str">
        <f t="shared" si="503"/>
        <v/>
      </c>
      <c r="BR112" t="str">
        <f t="shared" si="504"/>
        <v/>
      </c>
      <c r="BS112" t="str">
        <f t="shared" si="505"/>
        <v/>
      </c>
      <c r="BT112" t="str">
        <f t="shared" si="506"/>
        <v/>
      </c>
      <c r="BU112" t="str">
        <f t="shared" si="507"/>
        <v/>
      </c>
      <c r="BV112" t="str">
        <f t="shared" si="508"/>
        <v/>
      </c>
      <c r="BW112" t="str">
        <f t="shared" si="509"/>
        <v/>
      </c>
      <c r="BX112" t="str">
        <f t="shared" si="510"/>
        <v/>
      </c>
      <c r="BY112" t="str">
        <f t="shared" si="511"/>
        <v/>
      </c>
      <c r="BZ112" t="str">
        <f t="shared" si="512"/>
        <v/>
      </c>
      <c r="CA112" t="str">
        <f t="shared" si="513"/>
        <v/>
      </c>
      <c r="CB112" t="str">
        <f t="shared" si="514"/>
        <v/>
      </c>
      <c r="CC112" t="str">
        <f t="shared" si="515"/>
        <v/>
      </c>
      <c r="CD112" t="str">
        <f t="shared" si="516"/>
        <v/>
      </c>
      <c r="CE112" t="str">
        <f t="shared" si="517"/>
        <v/>
      </c>
      <c r="CF112" t="str">
        <f t="shared" si="518"/>
        <v/>
      </c>
      <c r="CG112" t="str">
        <f t="shared" si="519"/>
        <v/>
      </c>
      <c r="CH112" t="str">
        <f t="shared" si="828"/>
        <v/>
      </c>
      <c r="CI112" t="str">
        <f t="shared" si="829"/>
        <v/>
      </c>
      <c r="CJ112" t="str">
        <f>IF($CI112="","",IF(OR($DW112="",$DX112=""),"ONZEKER",IF(OR($CF112="",$CG112=""),"ONZEKER",IF(AND($DW112=$CF112+1,$DX112=$CG112),IF(OR(COUNTIF(#REF!,$B112)&gt;0,COUNTIF(#REF!,$B112)=0),"SKIP",IF(COUNTIFS(#REF!,$B112,#REF!,$CI112)&gt;0,"OK","ONBEKEND")),IF(AND($DW112=$CF112,$DX112=$CG112+1),IF(OR(COUNTIF(#REF!,$D112)&gt;0,COUNTIF(#REF!,$D112)=0),"SKIP",IF(COUNTIFS(#REF!,$D112,#REF!,$CI112)&gt;0,"OK","ONBEKEND")),"ONZEKER")))))</f>
        <v/>
      </c>
      <c r="CK112" t="str">
        <f t="shared" si="830"/>
        <v/>
      </c>
      <c r="CL112" t="str">
        <f t="shared" si="831"/>
        <v/>
      </c>
      <c r="CM112" t="str">
        <f>IF($CL112="","",IF(OR($DZ112="",$EA112=""),"ONZEKER",IF(OR($DW112="",$DX112=""),"ONZEKER",IF(AND($DZ112=$DW112+1,$EA112=$DX112),IF(OR(COUNTIF(#REF!,$B112)&gt;0,COUNTIF(#REF!,$B112)=0),"SKIP",IF(COUNTIFS(#REF!,$B112,#REF!,$CL112)&gt;0,"OK","ONBEKEND")),IF(AND($DZ112=$DW112,$EA112=$DX112+1),IF(OR(COUNTIF(#REF!,$D112)&gt;0,COUNTIF(#REF!,$D112)=0),"SKIP",IF(COUNTIFS(#REF!,$D112,#REF!,$CL112)&gt;0,"OK","ONBEKEND")),"ONZEKER")))))</f>
        <v/>
      </c>
      <c r="CN112" t="str">
        <f t="shared" si="832"/>
        <v/>
      </c>
      <c r="CO112" t="str">
        <f t="shared" si="833"/>
        <v/>
      </c>
      <c r="CP112" t="str">
        <f>IF($CO112="","",IF(OR($EC112="",$ED112=""),"ONZEKER",IF(OR($DZ112="",$EA112=""),"ONZEKER",IF(AND($EC112=$DZ112+1,$ED112=$EA112),IF(OR(COUNTIF(#REF!,$B112)&gt;0,COUNTIF(#REF!,$B112)=0),"SKIP",IF(COUNTIFS(#REF!,$B112,#REF!,$CO112)&gt;0,"OK","ONBEKEND")),IF(AND($EC112=$DZ112,$ED112=$EA112+1),IF(OR(COUNTIF(#REF!,$D112)&gt;0,COUNTIF(#REF!,$D112)=0),"SKIP",IF(COUNTIFS(#REF!,$D112,#REF!,$CO112)&gt;0,"OK","ONBEKEND")),"ONZEKER")))))</f>
        <v/>
      </c>
      <c r="CQ112" t="str">
        <f t="shared" si="834"/>
        <v/>
      </c>
      <c r="CR112" t="str">
        <f t="shared" si="835"/>
        <v/>
      </c>
      <c r="CS112" t="str">
        <f>IF($CR112="","",IF(OR($EF112="",$EG112=""),"ONZEKER",IF(OR($EC112="",$ED112=""),"ONZEKER",IF(AND($EF112=$EC112+1,$EG112=$ED112),IF(OR(COUNTIF(#REF!,$B112)&gt;0,COUNTIF(#REF!,$B112)=0),"SKIP",IF(COUNTIFS(#REF!,$B112,#REF!,$CR112)&gt;0,"OK","ONBEKEND")),IF(AND($EF112=$EC112,$EG112=$ED112+1),IF(OR(COUNTIF(#REF!,$D112)&gt;0,COUNTIF(#REF!,$D112)=0),"SKIP",IF(COUNTIFS(#REF!,$D112,#REF!,$CR112)&gt;0,"OK","ONBEKEND")),"ONZEKER")))))</f>
        <v/>
      </c>
      <c r="CT112" t="str">
        <f t="shared" si="836"/>
        <v/>
      </c>
      <c r="CU112" t="str">
        <f t="shared" si="837"/>
        <v/>
      </c>
      <c r="CV112" t="str">
        <f>IF($CU112="","",IF(OR($EI112="",$EJ112=""),"ONZEKER",IF(OR($EF112="",$EG112=""),"ONZEKER",IF(AND($EI112=$EF112+1,$EJ112=$EG112),IF(OR(COUNTIF(#REF!,$B112)&gt;0,COUNTIF(#REF!,$B112)=0),"SKIP",IF(COUNTIFS(#REF!,$B112,#REF!,$CU112)&gt;0,"OK","ONBEKEND")),IF(AND($EI112=$EF112,$EJ112=$EG112+1),IF(OR(COUNTIF(#REF!,$D112)&gt;0,COUNTIF(#REF!,$D112)=0),"SKIP",IF(COUNTIFS(#REF!,$D112,#REF!,$CU112)&gt;0,"OK","ONBEKEND")),"ONZEKER")))))</f>
        <v/>
      </c>
      <c r="CW112" t="str">
        <f t="shared" si="838"/>
        <v/>
      </c>
      <c r="CX112" t="str">
        <f t="shared" si="839"/>
        <v/>
      </c>
      <c r="CY112" t="str">
        <f>IF($CX112="","",IF(OR($EL112="",$EM112=""),"ONZEKER",IF(OR($EI112="",$EJ112=""),"ONZEKER",IF(AND($EL112=$EI112+1,$EM112=$EJ112),IF(OR(COUNTIF(#REF!,$B112)&gt;0,COUNTIF(#REF!,$B112)=0),"SKIP",IF(COUNTIFS(#REF!,$B112,#REF!,$CX112)&gt;0,"OK","ONBEKEND")),IF(AND($EL112=$EI112,$EM112=$EJ112+1),IF(OR(COUNTIF(#REF!,$D112)&gt;0,COUNTIF(#REF!,$D112)=0),"SKIP",IF(COUNTIFS(#REF!,$D112,#REF!,$CX112)&gt;0,"OK","ONBEKEND")),"ONZEKER")))))</f>
        <v/>
      </c>
      <c r="CZ112" t="str">
        <f t="shared" si="840"/>
        <v/>
      </c>
      <c r="DA112" t="str">
        <f t="shared" si="841"/>
        <v/>
      </c>
      <c r="DB112" t="str">
        <f>IF($DA112="","",IF(OR($EO112="",$EP112=""),"ONZEKER",IF(OR($EL112="",$EM112=""),"ONZEKER",IF(AND($EO112=$EL112+1,$EP112=$EM112),IF(OR(COUNTIF(#REF!,$B112)&gt;0,COUNTIF(#REF!,$B112)=0),"SKIP",IF(COUNTIFS(#REF!,$B112,#REF!,$DA112)&gt;0,"OK","ONBEKEND")),IF(AND($EO112=$EL112,$EP112=$EM112+1),IF(OR(COUNTIF(#REF!,$D112)&gt;0,COUNTIF(#REF!,$D112)=0),"SKIP",IF(COUNTIFS(#REF!,$D112,#REF!,$DA112)&gt;0,"OK","ONBEKEND")),"ONZEKER")))))</f>
        <v/>
      </c>
      <c r="DC112" t="str">
        <f t="shared" si="842"/>
        <v/>
      </c>
      <c r="DD112" t="str">
        <f t="shared" si="843"/>
        <v/>
      </c>
      <c r="DE112" t="str">
        <f>IF($DD112="","",IF(OR($ER112="",$ES112=""),"ONZEKER",IF(OR($EO112="",$EP112=""),"ONZEKER",IF(AND($ER112=$EO112+1,$ES112=$EP112),IF(OR(COUNTIF(#REF!,$B112)&gt;0,COUNTIF(#REF!,$B112)=0),"SKIP",IF(COUNTIFS(#REF!,$B112,#REF!,$DD112)&gt;0,"OK","ONBEKEND")),IF(AND($ER112=$EO112,$ES112=$EP112+1),IF(OR(COUNTIF(#REF!,$D112)&gt;0,COUNTIF(#REF!,$D112)=0),"SKIP",IF(COUNTIFS(#REF!,$D112,#REF!,$DD112)&gt;0,"OK","ONBEKEND")),"ONZEKER")))))</f>
        <v/>
      </c>
      <c r="DF112" t="str">
        <f t="shared" si="844"/>
        <v/>
      </c>
      <c r="DG112" t="str">
        <f t="shared" si="845"/>
        <v/>
      </c>
      <c r="DH112" t="str">
        <f>IF($DG112="","",IF(OR($EU112="",$EV112=""),"ONZEKER",IF(OR($ER112="",$ES112=""),"ONZEKER",IF(AND($EU112=$ER112+1,$EV112=$ES112),IF(OR(COUNTIF(#REF!,$B112)&gt;0,COUNTIF(#REF!,$B112)=0),"SKIP",IF(COUNTIFS(#REF!,$B112,#REF!,$DG112)&gt;0,"OK","ONBEKEND")),IF(AND($EU112=$ER112,$EV112=$ES112+1),IF(OR(COUNTIF(#REF!,$D112)&gt;0,COUNTIF(#REF!,$D112)=0),"SKIP",IF(COUNTIFS(#REF!,$D112,#REF!,$DG112)&gt;0,"OK","ONBEKEND")),"ONZEKER")))))</f>
        <v/>
      </c>
      <c r="DI112" t="str">
        <f t="shared" si="846"/>
        <v/>
      </c>
      <c r="DJ112" t="str">
        <f t="shared" si="847"/>
        <v/>
      </c>
      <c r="DK112" t="str">
        <f>IF($DJ112="","",IF(OR($EX112="",$EY112=""),"ONZEKER",IF(OR($EU112="",$EV112=""),"ONZEKER",IF(AND($EX112=$EU112+1,$EY112=$EV112),IF(OR(COUNTIF(#REF!,$B112)&gt;0,COUNTIF(#REF!,$B112)=0),"SKIP",IF(COUNTIFS(#REF!,$B112,#REF!,$DJ112)&gt;0,"OK","ONBEKEND")),IF(AND($EX112=$EU112,$EY112=$EV112+1),IF(OR(COUNTIF(#REF!,$D112)&gt;0,COUNTIF(#REF!,$D112)=0),"SKIP",IF(COUNTIFS(#REF!,$D112,#REF!,$DJ112)&gt;0,"OK","ONBEKEND")),"ONZEKER")))))</f>
        <v/>
      </c>
      <c r="DL112" t="str">
        <f t="shared" si="848"/>
        <v/>
      </c>
      <c r="DM112" t="str">
        <f t="shared" si="849"/>
        <v/>
      </c>
      <c r="DN112" t="str">
        <f t="shared" si="850"/>
        <v/>
      </c>
      <c r="DO112" t="str">
        <f t="shared" si="851"/>
        <v/>
      </c>
      <c r="DP112" t="str">
        <f t="shared" si="852"/>
        <v/>
      </c>
      <c r="DQ112" t="str">
        <f t="shared" si="853"/>
        <v/>
      </c>
      <c r="DR112" t="str">
        <f t="shared" si="854"/>
        <v/>
      </c>
      <c r="DS112" t="str">
        <f t="shared" si="855"/>
        <v/>
      </c>
      <c r="DT112" t="str">
        <f t="shared" si="856"/>
        <v/>
      </c>
      <c r="DU112" t="str">
        <f t="shared" si="857"/>
        <v/>
      </c>
      <c r="DV112" t="str">
        <f t="shared" si="858"/>
        <v/>
      </c>
      <c r="DW112" t="str">
        <f t="shared" si="859"/>
        <v/>
      </c>
      <c r="DX112" t="str">
        <f t="shared" si="860"/>
        <v/>
      </c>
      <c r="DY112" t="str">
        <f t="shared" si="861"/>
        <v/>
      </c>
      <c r="DZ112" t="str">
        <f t="shared" si="862"/>
        <v/>
      </c>
      <c r="EA112" t="str">
        <f t="shared" si="863"/>
        <v/>
      </c>
      <c r="EB112" t="str">
        <f t="shared" si="864"/>
        <v/>
      </c>
      <c r="EC112" t="str">
        <f t="shared" si="865"/>
        <v/>
      </c>
      <c r="ED112" t="str">
        <f t="shared" si="866"/>
        <v/>
      </c>
      <c r="EE112" t="str">
        <f t="shared" si="867"/>
        <v/>
      </c>
      <c r="EF112" t="str">
        <f t="shared" si="868"/>
        <v/>
      </c>
      <c r="EG112" t="str">
        <f t="shared" si="869"/>
        <v/>
      </c>
      <c r="EH112" t="str">
        <f t="shared" si="870"/>
        <v/>
      </c>
      <c r="EI112" t="str">
        <f t="shared" si="871"/>
        <v/>
      </c>
      <c r="EJ112" t="str">
        <f t="shared" si="872"/>
        <v/>
      </c>
      <c r="EK112" t="str">
        <f t="shared" si="873"/>
        <v/>
      </c>
      <c r="EL112" t="str">
        <f t="shared" si="874"/>
        <v/>
      </c>
      <c r="EM112" t="str">
        <f t="shared" si="875"/>
        <v/>
      </c>
      <c r="EN112" t="str">
        <f t="shared" si="876"/>
        <v/>
      </c>
      <c r="EO112" t="str">
        <f t="shared" si="877"/>
        <v/>
      </c>
      <c r="EP112" t="str">
        <f t="shared" si="878"/>
        <v/>
      </c>
      <c r="EQ112" t="str">
        <f t="shared" si="879"/>
        <v/>
      </c>
      <c r="ER112" t="str">
        <f t="shared" si="880"/>
        <v/>
      </c>
      <c r="ES112" t="str">
        <f t="shared" si="881"/>
        <v/>
      </c>
      <c r="ET112" t="str">
        <f t="shared" si="882"/>
        <v/>
      </c>
      <c r="EU112" t="str">
        <f t="shared" si="883"/>
        <v/>
      </c>
      <c r="EV112" t="str">
        <f t="shared" si="884"/>
        <v/>
      </c>
      <c r="EW112" t="str">
        <f t="shared" si="885"/>
        <v/>
      </c>
      <c r="EX112" t="str">
        <f t="shared" si="886"/>
        <v/>
      </c>
      <c r="EY112" t="str">
        <f t="shared" si="887"/>
        <v/>
      </c>
    </row>
    <row r="113" spans="1:155" ht="13.9" customHeight="1" x14ac:dyDescent="0.25">
      <c r="A113" s="7"/>
      <c r="B113" s="17"/>
      <c r="C113" s="8"/>
      <c r="D113" s="17"/>
      <c r="E113" s="8"/>
      <c r="F113" s="18">
        <v>0</v>
      </c>
      <c r="G113" s="7" t="s">
        <v>147</v>
      </c>
      <c r="H113" s="18">
        <v>0</v>
      </c>
      <c r="I113" s="19">
        <v>0</v>
      </c>
      <c r="J113" s="7" t="s">
        <v>147</v>
      </c>
      <c r="K113" s="19">
        <v>0</v>
      </c>
      <c r="L113" s="9"/>
      <c r="M113" s="3" t="str">
        <f>IF($L113="","",IF($L113="DOELPUNTENMAKERS","",IF(AND(COUNTIF(#REF!,$B113)=0,COUNTIF(#REF!,$D113)=0),"OK",IF($O113&gt;20,"LET OP: meer dan 20 items (controle onvolledig)",IF((COUNTIF($R113:$AS113,"ONZEKER")+COUNTIF($CJ113:$DK113,"ONZEKER"))&gt;0,"LET OP: scoreverloop onduidelijk (controle beperkt)",IF((IF($AT113&lt;&gt;"",$AT113&amp;", ","")&amp;IF($AU113&lt;&gt;"",$AU113&amp;", ","")&amp;IF($AV113&lt;&gt;"",$AV113&amp;", ","")&amp;IF($AW113&lt;&gt;"",$AW113&amp;", ","")&amp;IF($AX113&lt;&gt;"",$AX113&amp;", ","")&amp;IF($AY113&lt;&gt;"",$AY113&amp;", ","")&amp;IF($AZ113&lt;&gt;"",$AZ113&amp;", ","")&amp;IF($BA113&lt;&gt;"",$BA113&amp;", ","")&amp;IF($BB113&lt;&gt;"",$BB113&amp;", ","")&amp;IF($BC113&lt;&gt;"",$BC113&amp;", ","")&amp;IF($DL113&lt;&gt;"",$DL113&amp;", ","")&amp;IF($DM113&lt;&gt;"",$DM113&amp;", ","")&amp;IF($DN113&lt;&gt;"",$DN113&amp;", ","")&amp;IF($DO113&lt;&gt;"",$DO113&amp;", ","")&amp;IF($DP113&lt;&gt;"",$DP113&amp;", ","")&amp;IF($DQ113&lt;&gt;"",$DQ113&amp;", ","")&amp;IF($DR113&lt;&gt;"",$DR113&amp;", ","")&amp;IF($DS113&lt;&gt;"",$DS113&amp;", ","")&amp;IF($DT113&lt;&gt;"",$DT113&amp;", ","")&amp;IF($DU113&lt;&gt;"",$DU113&amp;", ",""))="","OK","Onbekend: "&amp;LEFT((IF($AT113&lt;&gt;"",$AT113&amp;", ","")&amp;IF($AU113&lt;&gt;"",$AU113&amp;", ","")&amp;IF($AV113&lt;&gt;"",$AV113&amp;", ","")&amp;IF($AW113&lt;&gt;"",$AW113&amp;", ","")&amp;IF($AX113&lt;&gt;"",$AX113&amp;", ","")&amp;IF($AY113&lt;&gt;"",$AY113&amp;", ","")&amp;IF($AZ113&lt;&gt;"",$AZ113&amp;", ","")&amp;IF($BA113&lt;&gt;"",$BA113&amp;", ","")&amp;IF($BB113&lt;&gt;"",$BB113&amp;", ","")&amp;IF($BC113&lt;&gt;"",$BC113&amp;", ","")&amp;IF($DL113&lt;&gt;"",$DL113&amp;", ","")&amp;IF($DM113&lt;&gt;"",$DM113&amp;", ","")&amp;IF($DN113&lt;&gt;"",$DN113&amp;", ","")&amp;IF($DO113&lt;&gt;"",$DO113&amp;", ","")&amp;IF($DP113&lt;&gt;"",$DP113&amp;", ","")&amp;IF($DQ113&lt;&gt;"",$DQ113&amp;", ","")&amp;IF($DR113&lt;&gt;"",$DR113&amp;", ","")&amp;IF($DS113&lt;&gt;"",$DS113&amp;", ","")&amp;IF($DT113&lt;&gt;"",$DT113&amp;", ","")&amp;IF($DU113&lt;&gt;"",$DU113&amp;", ","")),LEN((IF($AT113&lt;&gt;"",$AT113&amp;", ","")&amp;IF($AU113&lt;&gt;"",$AU113&amp;", ","")&amp;IF($AV113&lt;&gt;"",$AV113&amp;", ","")&amp;IF($AW113&lt;&gt;"",$AW113&amp;", ","")&amp;IF($AX113&lt;&gt;"",$AX113&amp;", ","")&amp;IF($AY113&lt;&gt;"",$AY113&amp;", ","")&amp;IF($AZ113&lt;&gt;"",$AZ113&amp;", ","")&amp;IF($BA113&lt;&gt;"",$BA113&amp;", ","")&amp;IF($BB113&lt;&gt;"",$BB113&amp;", ","")&amp;IF($BC113&lt;&gt;"",$BC113&amp;", ","")&amp;IF($DL113&lt;&gt;"",$DL113&amp;", ","")&amp;IF($DM113&lt;&gt;"",$DM113&amp;", ","")&amp;IF($DN113&lt;&gt;"",$DN113&amp;", ","")&amp;IF($DO113&lt;&gt;"",$DO113&amp;", ","")&amp;IF($DP113&lt;&gt;"",$DP113&amp;", ","")&amp;IF($DQ113&lt;&gt;"",$DQ113&amp;", ","")&amp;IF($DR113&lt;&gt;"",$DR113&amp;", ","")&amp;IF($DS113&lt;&gt;"",$DS113&amp;", ","")&amp;IF($DT113&lt;&gt;"",$DT113&amp;", ","")&amp;IF($DU113&lt;&gt;"",$DU113&amp;", ","")))-2)))))))</f>
        <v/>
      </c>
      <c r="N113" t="str">
        <f t="shared" si="796"/>
        <v/>
      </c>
      <c r="O113" t="str">
        <f t="shared" si="797"/>
        <v/>
      </c>
      <c r="P113" t="str">
        <f t="shared" si="798"/>
        <v/>
      </c>
      <c r="Q113" t="str">
        <f t="shared" si="799"/>
        <v/>
      </c>
      <c r="R113" t="str">
        <f>IF($Q113="","",IF(OR($BE113="",$BF113=""),"ONZEKER",IF(AND($BE113=0+1,$BF113=0),IF(OR(COUNTIF(#REF!,$B113)&gt;0,COUNTIF(#REF!,$B113)=0),"SKIP",IF(COUNTIFS(#REF!,$B113,#REF!,$Q113)&gt;0,"OK","ONBEKEND")),IF(AND($BE113=0,$BF113=0+1),IF(OR(COUNTIF(#REF!,$D113)&gt;0,COUNTIF(#REF!,$D113)=0),"SKIP",IF(COUNTIFS(#REF!,$D113,#REF!,$Q113)&gt;0,"OK","ONBEKEND")),"ONZEKER"))))</f>
        <v/>
      </c>
      <c r="S113" t="str">
        <f t="shared" si="800"/>
        <v/>
      </c>
      <c r="T113" t="str">
        <f t="shared" si="801"/>
        <v/>
      </c>
      <c r="U113" t="str">
        <f>IF($T113="","",IF(OR($BH113="",$BI113=""),"ONZEKER",IF(OR($BE113="",$BF113=""),"ONZEKER",IF(AND($BH113=$BE113+1,$BI113=$BF113),IF(OR(COUNTIF(#REF!,$B113)&gt;0,COUNTIF(#REF!,$B113)=0),"SKIP",IF(COUNTIFS(#REF!,$B113,#REF!,$T113)&gt;0,"OK","ONBEKEND")),IF(AND($BH113=$BE113,$BI113=$BF113+1),IF(OR(COUNTIF(#REF!,$D113)&gt;0,COUNTIF(#REF!,$D113)=0),"SKIP",IF(COUNTIFS(#REF!,$D113,#REF!,$T113)&gt;0,"OK","ONBEKEND")),"ONZEKER")))))</f>
        <v/>
      </c>
      <c r="V113" t="str">
        <f t="shared" si="802"/>
        <v/>
      </c>
      <c r="W113" t="str">
        <f t="shared" si="803"/>
        <v/>
      </c>
      <c r="X113" t="str">
        <f>IF($W113="","",IF(OR($BK113="",$BL113=""),"ONZEKER",IF(OR($BH113="",$BI113=""),"ONZEKER",IF(AND($BK113=$BH113+1,$BL113=$BI113),IF(OR(COUNTIF(#REF!,$B113)&gt;0,COUNTIF(#REF!,$B113)=0),"SKIP",IF(COUNTIFS(#REF!,$B113,#REF!,$W113)&gt;0,"OK","ONBEKEND")),IF(AND($BK113=$BH113,$BL113=$BI113+1),IF(OR(COUNTIF(#REF!,$D113)&gt;0,COUNTIF(#REF!,$D113)=0),"SKIP",IF(COUNTIFS(#REF!,$D113,#REF!,$W113)&gt;0,"OK","ONBEKEND")),"ONZEKER")))))</f>
        <v/>
      </c>
      <c r="Y113" t="str">
        <f t="shared" si="804"/>
        <v/>
      </c>
      <c r="Z113" t="str">
        <f t="shared" si="805"/>
        <v/>
      </c>
      <c r="AA113" t="str">
        <f>IF($Z113="","",IF(OR($BN113="",$BO113=""),"ONZEKER",IF(OR($BK113="",$BL113=""),"ONZEKER",IF(AND($BN113=$BK113+1,$BO113=$BL113),IF(OR(COUNTIF(#REF!,$B113)&gt;0,COUNTIF(#REF!,$B113)=0),"SKIP",IF(COUNTIFS(#REF!,$B113,#REF!,$Z113)&gt;0,"OK","ONBEKEND")),IF(AND($BN113=$BK113,$BO113=$BL113+1),IF(OR(COUNTIF(#REF!,$D113)&gt;0,COUNTIF(#REF!,$D113)=0),"SKIP",IF(COUNTIFS(#REF!,$D113,#REF!,$Z113)&gt;0,"OK","ONBEKEND")),"ONZEKER")))))</f>
        <v/>
      </c>
      <c r="AB113" t="str">
        <f t="shared" si="806"/>
        <v/>
      </c>
      <c r="AC113" t="str">
        <f t="shared" si="807"/>
        <v/>
      </c>
      <c r="AD113" t="str">
        <f>IF($AC113="","",IF(OR($BQ113="",$BR113=""),"ONZEKER",IF(OR($BN113="",$BO113=""),"ONZEKER",IF(AND($BQ113=$BN113+1,$BR113=$BO113),IF(OR(COUNTIF(#REF!,$B113)&gt;0,COUNTIF(#REF!,$B113)=0),"SKIP",IF(COUNTIFS(#REF!,$B113,#REF!,$AC113)&gt;0,"OK","ONBEKEND")),IF(AND($BQ113=$BN113,$BR113=$BO113+1),IF(OR(COUNTIF(#REF!,$D113)&gt;0,COUNTIF(#REF!,$D113)=0),"SKIP",IF(COUNTIFS(#REF!,$D113,#REF!,$AC113)&gt;0,"OK","ONBEKEND")),"ONZEKER")))))</f>
        <v/>
      </c>
      <c r="AE113" t="str">
        <f t="shared" si="808"/>
        <v/>
      </c>
      <c r="AF113" t="str">
        <f t="shared" si="809"/>
        <v/>
      </c>
      <c r="AG113" t="str">
        <f>IF($AF113="","",IF(OR($BT113="",$BU113=""),"ONZEKER",IF(OR($BQ113="",$BR113=""),"ONZEKER",IF(AND($BT113=$BQ113+1,$BU113=$BR113),IF(OR(COUNTIF(#REF!,$B113)&gt;0,COUNTIF(#REF!,$B113)=0),"SKIP",IF(COUNTIFS(#REF!,$B113,#REF!,$AF113)&gt;0,"OK","ONBEKEND")),IF(AND($BT113=$BQ113,$BU113=$BR113+1),IF(OR(COUNTIF(#REF!,$D113)&gt;0,COUNTIF(#REF!,$D113)=0),"SKIP",IF(COUNTIFS(#REF!,$D113,#REF!,$AF113)&gt;0,"OK","ONBEKEND")),"ONZEKER")))))</f>
        <v/>
      </c>
      <c r="AH113" t="str">
        <f t="shared" si="810"/>
        <v/>
      </c>
      <c r="AI113" t="str">
        <f t="shared" si="811"/>
        <v/>
      </c>
      <c r="AJ113" t="str">
        <f>IF($AI113="","",IF(OR($BW113="",$BX113=""),"ONZEKER",IF(OR($BT113="",$BU113=""),"ONZEKER",IF(AND($BW113=$BT113+1,$BX113=$BU113),IF(OR(COUNTIF(#REF!,$B113)&gt;0,COUNTIF(#REF!,$B113)=0),"SKIP",IF(COUNTIFS(#REF!,$B113,#REF!,$AI113)&gt;0,"OK","ONBEKEND")),IF(AND($BW113=$BT113,$BX113=$BU113+1),IF(OR(COUNTIF(#REF!,$D113)&gt;0,COUNTIF(#REF!,$D113)=0),"SKIP",IF(COUNTIFS(#REF!,$D113,#REF!,$AI113)&gt;0,"OK","ONBEKEND")),"ONZEKER")))))</f>
        <v/>
      </c>
      <c r="AK113" t="str">
        <f t="shared" si="812"/>
        <v/>
      </c>
      <c r="AL113" t="str">
        <f t="shared" si="813"/>
        <v/>
      </c>
      <c r="AM113" t="str">
        <f>IF($AL113="","",IF(OR($BZ113="",$CA113=""),"ONZEKER",IF(OR($BW113="",$BX113=""),"ONZEKER",IF(AND($BZ113=$BW113+1,$CA113=$BX113),IF(OR(COUNTIF(#REF!,$B113)&gt;0,COUNTIF(#REF!,$B113)=0),"SKIP",IF(COUNTIFS(#REF!,$B113,#REF!,$AL113)&gt;0,"OK","ONBEKEND")),IF(AND($BZ113=$BW113,$CA113=$BX113+1),IF(OR(COUNTIF(#REF!,$D113)&gt;0,COUNTIF(#REF!,$D113)=0),"SKIP",IF(COUNTIFS(#REF!,$D113,#REF!,$AL113)&gt;0,"OK","ONBEKEND")),"ONZEKER")))))</f>
        <v/>
      </c>
      <c r="AN113" t="str">
        <f t="shared" si="814"/>
        <v/>
      </c>
      <c r="AO113" t="str">
        <f t="shared" si="815"/>
        <v/>
      </c>
      <c r="AP113" t="str">
        <f>IF($AO113="","",IF(OR($CC113="",$CD113=""),"ONZEKER",IF(OR($BZ113="",$CA113=""),"ONZEKER",IF(AND($CC113=$BZ113+1,$CD113=$CA113),IF(OR(COUNTIF(#REF!,$B113)&gt;0,COUNTIF(#REF!,$B113)=0),"SKIP",IF(COUNTIFS(#REF!,$B113,#REF!,$AO113)&gt;0,"OK","ONBEKEND")),IF(AND($CC113=$BZ113,$CD113=$CA113+1),IF(OR(COUNTIF(#REF!,$D113)&gt;0,COUNTIF(#REF!,$D113)=0),"SKIP",IF(COUNTIFS(#REF!,$D113,#REF!,$AO113)&gt;0,"OK","ONBEKEND")),"ONZEKER")))))</f>
        <v/>
      </c>
      <c r="AQ113" t="str">
        <f t="shared" si="816"/>
        <v/>
      </c>
      <c r="AR113" t="str">
        <f t="shared" si="817"/>
        <v/>
      </c>
      <c r="AS113" t="str">
        <f>IF($AR113="","",IF(OR($CF113="",$CG113=""),"ONZEKER",IF(OR($CC113="",$CD113=""),"ONZEKER",IF(AND($CF113=$CC113+1,$CG113=$CD113),IF(OR(COUNTIF(#REF!,$B113)&gt;0,COUNTIF(#REF!,$B113)=0),"SKIP",IF(COUNTIFS(#REF!,$B113,#REF!,$AR113)&gt;0,"OK","ONBEKEND")),IF(AND($CF113=$CC113,$CG113=$CD113+1),IF(OR(COUNTIF(#REF!,$D113)&gt;0,COUNTIF(#REF!,$D113)=0),"SKIP",IF(COUNTIFS(#REF!,$D113,#REF!,$AR113)&gt;0,"OK","ONBEKEND")),"ONZEKER")))))</f>
        <v/>
      </c>
      <c r="AT113" t="str">
        <f t="shared" si="818"/>
        <v/>
      </c>
      <c r="AU113" t="str">
        <f t="shared" si="819"/>
        <v/>
      </c>
      <c r="AV113" t="str">
        <f t="shared" si="820"/>
        <v/>
      </c>
      <c r="AW113" t="str">
        <f t="shared" si="821"/>
        <v/>
      </c>
      <c r="AX113" t="str">
        <f t="shared" si="822"/>
        <v/>
      </c>
      <c r="AY113" t="str">
        <f t="shared" si="823"/>
        <v/>
      </c>
      <c r="AZ113" t="str">
        <f t="shared" si="824"/>
        <v/>
      </c>
      <c r="BA113" t="str">
        <f t="shared" si="825"/>
        <v/>
      </c>
      <c r="BB113" t="str">
        <f t="shared" si="826"/>
        <v/>
      </c>
      <c r="BC113" t="str">
        <f t="shared" si="827"/>
        <v/>
      </c>
      <c r="BD113" t="str">
        <f t="shared" si="490"/>
        <v/>
      </c>
      <c r="BE113" t="str">
        <f t="shared" si="491"/>
        <v/>
      </c>
      <c r="BF113" t="str">
        <f t="shared" si="492"/>
        <v/>
      </c>
      <c r="BG113" t="str">
        <f t="shared" si="493"/>
        <v/>
      </c>
      <c r="BH113" t="str">
        <f t="shared" si="494"/>
        <v/>
      </c>
      <c r="BI113" t="str">
        <f t="shared" si="495"/>
        <v/>
      </c>
      <c r="BJ113" t="str">
        <f t="shared" si="496"/>
        <v/>
      </c>
      <c r="BK113" t="str">
        <f t="shared" si="497"/>
        <v/>
      </c>
      <c r="BL113" t="str">
        <f t="shared" si="498"/>
        <v/>
      </c>
      <c r="BM113" t="str">
        <f t="shared" si="499"/>
        <v/>
      </c>
      <c r="BN113" t="str">
        <f t="shared" si="500"/>
        <v/>
      </c>
      <c r="BO113" t="str">
        <f t="shared" si="501"/>
        <v/>
      </c>
      <c r="BP113" t="str">
        <f t="shared" si="502"/>
        <v/>
      </c>
      <c r="BQ113" t="str">
        <f t="shared" si="503"/>
        <v/>
      </c>
      <c r="BR113" t="str">
        <f t="shared" si="504"/>
        <v/>
      </c>
      <c r="BS113" t="str">
        <f t="shared" si="505"/>
        <v/>
      </c>
      <c r="BT113" t="str">
        <f t="shared" si="506"/>
        <v/>
      </c>
      <c r="BU113" t="str">
        <f t="shared" si="507"/>
        <v/>
      </c>
      <c r="BV113" t="str">
        <f t="shared" si="508"/>
        <v/>
      </c>
      <c r="BW113" t="str">
        <f t="shared" si="509"/>
        <v/>
      </c>
      <c r="BX113" t="str">
        <f t="shared" si="510"/>
        <v/>
      </c>
      <c r="BY113" t="str">
        <f t="shared" si="511"/>
        <v/>
      </c>
      <c r="BZ113" t="str">
        <f t="shared" si="512"/>
        <v/>
      </c>
      <c r="CA113" t="str">
        <f t="shared" si="513"/>
        <v/>
      </c>
      <c r="CB113" t="str">
        <f t="shared" si="514"/>
        <v/>
      </c>
      <c r="CC113" t="str">
        <f t="shared" si="515"/>
        <v/>
      </c>
      <c r="CD113" t="str">
        <f t="shared" si="516"/>
        <v/>
      </c>
      <c r="CE113" t="str">
        <f t="shared" si="517"/>
        <v/>
      </c>
      <c r="CF113" t="str">
        <f t="shared" si="518"/>
        <v/>
      </c>
      <c r="CG113" t="str">
        <f t="shared" si="519"/>
        <v/>
      </c>
      <c r="CH113" t="str">
        <f t="shared" si="828"/>
        <v/>
      </c>
      <c r="CI113" t="str">
        <f t="shared" si="829"/>
        <v/>
      </c>
      <c r="CJ113" t="str">
        <f>IF($CI113="","",IF(OR($DW113="",$DX113=""),"ONZEKER",IF(OR($CF113="",$CG113=""),"ONZEKER",IF(AND($DW113=$CF113+1,$DX113=$CG113),IF(OR(COUNTIF(#REF!,$B113)&gt;0,COUNTIF(#REF!,$B113)=0),"SKIP",IF(COUNTIFS(#REF!,$B113,#REF!,$CI113)&gt;0,"OK","ONBEKEND")),IF(AND($DW113=$CF113,$DX113=$CG113+1),IF(OR(COUNTIF(#REF!,$D113)&gt;0,COUNTIF(#REF!,$D113)=0),"SKIP",IF(COUNTIFS(#REF!,$D113,#REF!,$CI113)&gt;0,"OK","ONBEKEND")),"ONZEKER")))))</f>
        <v/>
      </c>
      <c r="CK113" t="str">
        <f t="shared" si="830"/>
        <v/>
      </c>
      <c r="CL113" t="str">
        <f t="shared" si="831"/>
        <v/>
      </c>
      <c r="CM113" t="str">
        <f>IF($CL113="","",IF(OR($DZ113="",$EA113=""),"ONZEKER",IF(OR($DW113="",$DX113=""),"ONZEKER",IF(AND($DZ113=$DW113+1,$EA113=$DX113),IF(OR(COUNTIF(#REF!,$B113)&gt;0,COUNTIF(#REF!,$B113)=0),"SKIP",IF(COUNTIFS(#REF!,$B113,#REF!,$CL113)&gt;0,"OK","ONBEKEND")),IF(AND($DZ113=$DW113,$EA113=$DX113+1),IF(OR(COUNTIF(#REF!,$D113)&gt;0,COUNTIF(#REF!,$D113)=0),"SKIP",IF(COUNTIFS(#REF!,$D113,#REF!,$CL113)&gt;0,"OK","ONBEKEND")),"ONZEKER")))))</f>
        <v/>
      </c>
      <c r="CN113" t="str">
        <f t="shared" si="832"/>
        <v/>
      </c>
      <c r="CO113" t="str">
        <f t="shared" si="833"/>
        <v/>
      </c>
      <c r="CP113" t="str">
        <f>IF($CO113="","",IF(OR($EC113="",$ED113=""),"ONZEKER",IF(OR($DZ113="",$EA113=""),"ONZEKER",IF(AND($EC113=$DZ113+1,$ED113=$EA113),IF(OR(COUNTIF(#REF!,$B113)&gt;0,COUNTIF(#REF!,$B113)=0),"SKIP",IF(COUNTIFS(#REF!,$B113,#REF!,$CO113)&gt;0,"OK","ONBEKEND")),IF(AND($EC113=$DZ113,$ED113=$EA113+1),IF(OR(COUNTIF(#REF!,$D113)&gt;0,COUNTIF(#REF!,$D113)=0),"SKIP",IF(COUNTIFS(#REF!,$D113,#REF!,$CO113)&gt;0,"OK","ONBEKEND")),"ONZEKER")))))</f>
        <v/>
      </c>
      <c r="CQ113" t="str">
        <f t="shared" si="834"/>
        <v/>
      </c>
      <c r="CR113" t="str">
        <f t="shared" si="835"/>
        <v/>
      </c>
      <c r="CS113" t="str">
        <f>IF($CR113="","",IF(OR($EF113="",$EG113=""),"ONZEKER",IF(OR($EC113="",$ED113=""),"ONZEKER",IF(AND($EF113=$EC113+1,$EG113=$ED113),IF(OR(COUNTIF(#REF!,$B113)&gt;0,COUNTIF(#REF!,$B113)=0),"SKIP",IF(COUNTIFS(#REF!,$B113,#REF!,$CR113)&gt;0,"OK","ONBEKEND")),IF(AND($EF113=$EC113,$EG113=$ED113+1),IF(OR(COUNTIF(#REF!,$D113)&gt;0,COUNTIF(#REF!,$D113)=0),"SKIP",IF(COUNTIFS(#REF!,$D113,#REF!,$CR113)&gt;0,"OK","ONBEKEND")),"ONZEKER")))))</f>
        <v/>
      </c>
      <c r="CT113" t="str">
        <f t="shared" si="836"/>
        <v/>
      </c>
      <c r="CU113" t="str">
        <f t="shared" si="837"/>
        <v/>
      </c>
      <c r="CV113" t="str">
        <f>IF($CU113="","",IF(OR($EI113="",$EJ113=""),"ONZEKER",IF(OR($EF113="",$EG113=""),"ONZEKER",IF(AND($EI113=$EF113+1,$EJ113=$EG113),IF(OR(COUNTIF(#REF!,$B113)&gt;0,COUNTIF(#REF!,$B113)=0),"SKIP",IF(COUNTIFS(#REF!,$B113,#REF!,$CU113)&gt;0,"OK","ONBEKEND")),IF(AND($EI113=$EF113,$EJ113=$EG113+1),IF(OR(COUNTIF(#REF!,$D113)&gt;0,COUNTIF(#REF!,$D113)=0),"SKIP",IF(COUNTIFS(#REF!,$D113,#REF!,$CU113)&gt;0,"OK","ONBEKEND")),"ONZEKER")))))</f>
        <v/>
      </c>
      <c r="CW113" t="str">
        <f t="shared" si="838"/>
        <v/>
      </c>
      <c r="CX113" t="str">
        <f t="shared" si="839"/>
        <v/>
      </c>
      <c r="CY113" t="str">
        <f>IF($CX113="","",IF(OR($EL113="",$EM113=""),"ONZEKER",IF(OR($EI113="",$EJ113=""),"ONZEKER",IF(AND($EL113=$EI113+1,$EM113=$EJ113),IF(OR(COUNTIF(#REF!,$B113)&gt;0,COUNTIF(#REF!,$B113)=0),"SKIP",IF(COUNTIFS(#REF!,$B113,#REF!,$CX113)&gt;0,"OK","ONBEKEND")),IF(AND($EL113=$EI113,$EM113=$EJ113+1),IF(OR(COUNTIF(#REF!,$D113)&gt;0,COUNTIF(#REF!,$D113)=0),"SKIP",IF(COUNTIFS(#REF!,$D113,#REF!,$CX113)&gt;0,"OK","ONBEKEND")),"ONZEKER")))))</f>
        <v/>
      </c>
      <c r="CZ113" t="str">
        <f t="shared" si="840"/>
        <v/>
      </c>
      <c r="DA113" t="str">
        <f t="shared" si="841"/>
        <v/>
      </c>
      <c r="DB113" t="str">
        <f>IF($DA113="","",IF(OR($EO113="",$EP113=""),"ONZEKER",IF(OR($EL113="",$EM113=""),"ONZEKER",IF(AND($EO113=$EL113+1,$EP113=$EM113),IF(OR(COUNTIF(#REF!,$B113)&gt;0,COUNTIF(#REF!,$B113)=0),"SKIP",IF(COUNTIFS(#REF!,$B113,#REF!,$DA113)&gt;0,"OK","ONBEKEND")),IF(AND($EO113=$EL113,$EP113=$EM113+1),IF(OR(COUNTIF(#REF!,$D113)&gt;0,COUNTIF(#REF!,$D113)=0),"SKIP",IF(COUNTIFS(#REF!,$D113,#REF!,$DA113)&gt;0,"OK","ONBEKEND")),"ONZEKER")))))</f>
        <v/>
      </c>
      <c r="DC113" t="str">
        <f t="shared" si="842"/>
        <v/>
      </c>
      <c r="DD113" t="str">
        <f t="shared" si="843"/>
        <v/>
      </c>
      <c r="DE113" t="str">
        <f>IF($DD113="","",IF(OR($ER113="",$ES113=""),"ONZEKER",IF(OR($EO113="",$EP113=""),"ONZEKER",IF(AND($ER113=$EO113+1,$ES113=$EP113),IF(OR(COUNTIF(#REF!,$B113)&gt;0,COUNTIF(#REF!,$B113)=0),"SKIP",IF(COUNTIFS(#REF!,$B113,#REF!,$DD113)&gt;0,"OK","ONBEKEND")),IF(AND($ER113=$EO113,$ES113=$EP113+1),IF(OR(COUNTIF(#REF!,$D113)&gt;0,COUNTIF(#REF!,$D113)=0),"SKIP",IF(COUNTIFS(#REF!,$D113,#REF!,$DD113)&gt;0,"OK","ONBEKEND")),"ONZEKER")))))</f>
        <v/>
      </c>
      <c r="DF113" t="str">
        <f t="shared" si="844"/>
        <v/>
      </c>
      <c r="DG113" t="str">
        <f t="shared" si="845"/>
        <v/>
      </c>
      <c r="DH113" t="str">
        <f>IF($DG113="","",IF(OR($EU113="",$EV113=""),"ONZEKER",IF(OR($ER113="",$ES113=""),"ONZEKER",IF(AND($EU113=$ER113+1,$EV113=$ES113),IF(OR(COUNTIF(#REF!,$B113)&gt;0,COUNTIF(#REF!,$B113)=0),"SKIP",IF(COUNTIFS(#REF!,$B113,#REF!,$DG113)&gt;0,"OK","ONBEKEND")),IF(AND($EU113=$ER113,$EV113=$ES113+1),IF(OR(COUNTIF(#REF!,$D113)&gt;0,COUNTIF(#REF!,$D113)=0),"SKIP",IF(COUNTIFS(#REF!,$D113,#REF!,$DG113)&gt;0,"OK","ONBEKEND")),"ONZEKER")))))</f>
        <v/>
      </c>
      <c r="DI113" t="str">
        <f t="shared" si="846"/>
        <v/>
      </c>
      <c r="DJ113" t="str">
        <f t="shared" si="847"/>
        <v/>
      </c>
      <c r="DK113" t="str">
        <f>IF($DJ113="","",IF(OR($EX113="",$EY113=""),"ONZEKER",IF(OR($EU113="",$EV113=""),"ONZEKER",IF(AND($EX113=$EU113+1,$EY113=$EV113),IF(OR(COUNTIF(#REF!,$B113)&gt;0,COUNTIF(#REF!,$B113)=0),"SKIP",IF(COUNTIFS(#REF!,$B113,#REF!,$DJ113)&gt;0,"OK","ONBEKEND")),IF(AND($EX113=$EU113,$EY113=$EV113+1),IF(OR(COUNTIF(#REF!,$D113)&gt;0,COUNTIF(#REF!,$D113)=0),"SKIP",IF(COUNTIFS(#REF!,$D113,#REF!,$DJ113)&gt;0,"OK","ONBEKEND")),"ONZEKER")))))</f>
        <v/>
      </c>
      <c r="DL113" t="str">
        <f t="shared" si="848"/>
        <v/>
      </c>
      <c r="DM113" t="str">
        <f t="shared" si="849"/>
        <v/>
      </c>
      <c r="DN113" t="str">
        <f t="shared" si="850"/>
        <v/>
      </c>
      <c r="DO113" t="str">
        <f t="shared" si="851"/>
        <v/>
      </c>
      <c r="DP113" t="str">
        <f t="shared" si="852"/>
        <v/>
      </c>
      <c r="DQ113" t="str">
        <f t="shared" si="853"/>
        <v/>
      </c>
      <c r="DR113" t="str">
        <f t="shared" si="854"/>
        <v/>
      </c>
      <c r="DS113" t="str">
        <f t="shared" si="855"/>
        <v/>
      </c>
      <c r="DT113" t="str">
        <f t="shared" si="856"/>
        <v/>
      </c>
      <c r="DU113" t="str">
        <f t="shared" si="857"/>
        <v/>
      </c>
      <c r="DV113" t="str">
        <f t="shared" si="858"/>
        <v/>
      </c>
      <c r="DW113" t="str">
        <f t="shared" si="859"/>
        <v/>
      </c>
      <c r="DX113" t="str">
        <f t="shared" si="860"/>
        <v/>
      </c>
      <c r="DY113" t="str">
        <f t="shared" si="861"/>
        <v/>
      </c>
      <c r="DZ113" t="str">
        <f t="shared" si="862"/>
        <v/>
      </c>
      <c r="EA113" t="str">
        <f t="shared" si="863"/>
        <v/>
      </c>
      <c r="EB113" t="str">
        <f t="shared" si="864"/>
        <v/>
      </c>
      <c r="EC113" t="str">
        <f t="shared" si="865"/>
        <v/>
      </c>
      <c r="ED113" t="str">
        <f t="shared" si="866"/>
        <v/>
      </c>
      <c r="EE113" t="str">
        <f t="shared" si="867"/>
        <v/>
      </c>
      <c r="EF113" t="str">
        <f t="shared" si="868"/>
        <v/>
      </c>
      <c r="EG113" t="str">
        <f t="shared" si="869"/>
        <v/>
      </c>
      <c r="EH113" t="str">
        <f t="shared" si="870"/>
        <v/>
      </c>
      <c r="EI113" t="str">
        <f t="shared" si="871"/>
        <v/>
      </c>
      <c r="EJ113" t="str">
        <f t="shared" si="872"/>
        <v/>
      </c>
      <c r="EK113" t="str">
        <f t="shared" si="873"/>
        <v/>
      </c>
      <c r="EL113" t="str">
        <f t="shared" si="874"/>
        <v/>
      </c>
      <c r="EM113" t="str">
        <f t="shared" si="875"/>
        <v/>
      </c>
      <c r="EN113" t="str">
        <f t="shared" si="876"/>
        <v/>
      </c>
      <c r="EO113" t="str">
        <f t="shared" si="877"/>
        <v/>
      </c>
      <c r="EP113" t="str">
        <f t="shared" si="878"/>
        <v/>
      </c>
      <c r="EQ113" t="str">
        <f t="shared" si="879"/>
        <v/>
      </c>
      <c r="ER113" t="str">
        <f t="shared" si="880"/>
        <v/>
      </c>
      <c r="ES113" t="str">
        <f t="shared" si="881"/>
        <v/>
      </c>
      <c r="ET113" t="str">
        <f t="shared" si="882"/>
        <v/>
      </c>
      <c r="EU113" t="str">
        <f t="shared" si="883"/>
        <v/>
      </c>
      <c r="EV113" t="str">
        <f t="shared" si="884"/>
        <v/>
      </c>
      <c r="EW113" t="str">
        <f t="shared" si="885"/>
        <v/>
      </c>
      <c r="EX113" t="str">
        <f t="shared" si="886"/>
        <v/>
      </c>
      <c r="EY113" t="str">
        <f t="shared" si="887"/>
        <v/>
      </c>
    </row>
    <row r="114" spans="1:155" ht="13.9" customHeight="1" x14ac:dyDescent="0.25">
      <c r="A114" s="7"/>
      <c r="B114" s="17"/>
      <c r="C114" s="8"/>
      <c r="D114" s="17"/>
      <c r="E114" s="8"/>
      <c r="F114" s="18">
        <v>0</v>
      </c>
      <c r="G114" s="7" t="s">
        <v>147</v>
      </c>
      <c r="H114" s="18">
        <v>0</v>
      </c>
      <c r="I114" s="19">
        <v>0</v>
      </c>
      <c r="J114" s="7" t="s">
        <v>147</v>
      </c>
      <c r="K114" s="19">
        <v>0</v>
      </c>
      <c r="L114" s="9"/>
      <c r="M114" s="3" t="str">
        <f>IF($L114="","",IF($L114="DOELPUNTENMAKERS","",IF(AND(COUNTIF(#REF!,$B114)=0,COUNTIF(#REF!,$D114)=0),"OK",IF($O114&gt;20,"LET OP: meer dan 20 items (controle onvolledig)",IF((COUNTIF($R114:$AS114,"ONZEKER")+COUNTIF($CJ114:$DK114,"ONZEKER"))&gt;0,"LET OP: scoreverloop onduidelijk (controle beperkt)",IF((IF($AT114&lt;&gt;"",$AT114&amp;", ","")&amp;IF($AU114&lt;&gt;"",$AU114&amp;", ","")&amp;IF($AV114&lt;&gt;"",$AV114&amp;", ","")&amp;IF($AW114&lt;&gt;"",$AW114&amp;", ","")&amp;IF($AX114&lt;&gt;"",$AX114&amp;", ","")&amp;IF($AY114&lt;&gt;"",$AY114&amp;", ","")&amp;IF($AZ114&lt;&gt;"",$AZ114&amp;", ","")&amp;IF($BA114&lt;&gt;"",$BA114&amp;", ","")&amp;IF($BB114&lt;&gt;"",$BB114&amp;", ","")&amp;IF($BC114&lt;&gt;"",$BC114&amp;", ","")&amp;IF($DL114&lt;&gt;"",$DL114&amp;", ","")&amp;IF($DM114&lt;&gt;"",$DM114&amp;", ","")&amp;IF($DN114&lt;&gt;"",$DN114&amp;", ","")&amp;IF($DO114&lt;&gt;"",$DO114&amp;", ","")&amp;IF($DP114&lt;&gt;"",$DP114&amp;", ","")&amp;IF($DQ114&lt;&gt;"",$DQ114&amp;", ","")&amp;IF($DR114&lt;&gt;"",$DR114&amp;", ","")&amp;IF($DS114&lt;&gt;"",$DS114&amp;", ","")&amp;IF($DT114&lt;&gt;"",$DT114&amp;", ","")&amp;IF($DU114&lt;&gt;"",$DU114&amp;", ",""))="","OK","Onbekend: "&amp;LEFT((IF($AT114&lt;&gt;"",$AT114&amp;", ","")&amp;IF($AU114&lt;&gt;"",$AU114&amp;", ","")&amp;IF($AV114&lt;&gt;"",$AV114&amp;", ","")&amp;IF($AW114&lt;&gt;"",$AW114&amp;", ","")&amp;IF($AX114&lt;&gt;"",$AX114&amp;", ","")&amp;IF($AY114&lt;&gt;"",$AY114&amp;", ","")&amp;IF($AZ114&lt;&gt;"",$AZ114&amp;", ","")&amp;IF($BA114&lt;&gt;"",$BA114&amp;", ","")&amp;IF($BB114&lt;&gt;"",$BB114&amp;", ","")&amp;IF($BC114&lt;&gt;"",$BC114&amp;", ","")&amp;IF($DL114&lt;&gt;"",$DL114&amp;", ","")&amp;IF($DM114&lt;&gt;"",$DM114&amp;", ","")&amp;IF($DN114&lt;&gt;"",$DN114&amp;", ","")&amp;IF($DO114&lt;&gt;"",$DO114&amp;", ","")&amp;IF($DP114&lt;&gt;"",$DP114&amp;", ","")&amp;IF($DQ114&lt;&gt;"",$DQ114&amp;", ","")&amp;IF($DR114&lt;&gt;"",$DR114&amp;", ","")&amp;IF($DS114&lt;&gt;"",$DS114&amp;", ","")&amp;IF($DT114&lt;&gt;"",$DT114&amp;", ","")&amp;IF($DU114&lt;&gt;"",$DU114&amp;", ","")),LEN((IF($AT114&lt;&gt;"",$AT114&amp;", ","")&amp;IF($AU114&lt;&gt;"",$AU114&amp;", ","")&amp;IF($AV114&lt;&gt;"",$AV114&amp;", ","")&amp;IF($AW114&lt;&gt;"",$AW114&amp;", ","")&amp;IF($AX114&lt;&gt;"",$AX114&amp;", ","")&amp;IF($AY114&lt;&gt;"",$AY114&amp;", ","")&amp;IF($AZ114&lt;&gt;"",$AZ114&amp;", ","")&amp;IF($BA114&lt;&gt;"",$BA114&amp;", ","")&amp;IF($BB114&lt;&gt;"",$BB114&amp;", ","")&amp;IF($BC114&lt;&gt;"",$BC114&amp;", ","")&amp;IF($DL114&lt;&gt;"",$DL114&amp;", ","")&amp;IF($DM114&lt;&gt;"",$DM114&amp;", ","")&amp;IF($DN114&lt;&gt;"",$DN114&amp;", ","")&amp;IF($DO114&lt;&gt;"",$DO114&amp;", ","")&amp;IF($DP114&lt;&gt;"",$DP114&amp;", ","")&amp;IF($DQ114&lt;&gt;"",$DQ114&amp;", ","")&amp;IF($DR114&lt;&gt;"",$DR114&amp;", ","")&amp;IF($DS114&lt;&gt;"",$DS114&amp;", ","")&amp;IF($DT114&lt;&gt;"",$DT114&amp;", ","")&amp;IF($DU114&lt;&gt;"",$DU114&amp;", ","")))-2)))))))</f>
        <v/>
      </c>
      <c r="N114" t="str">
        <f t="shared" si="796"/>
        <v/>
      </c>
      <c r="O114" t="str">
        <f t="shared" si="797"/>
        <v/>
      </c>
      <c r="P114" t="str">
        <f t="shared" si="798"/>
        <v/>
      </c>
      <c r="Q114" t="str">
        <f t="shared" si="799"/>
        <v/>
      </c>
      <c r="R114" t="str">
        <f>IF($Q114="","",IF(OR($BE114="",$BF114=""),"ONZEKER",IF(AND($BE114=0+1,$BF114=0),IF(OR(COUNTIF(#REF!,$B114)&gt;0,COUNTIF(#REF!,$B114)=0),"SKIP",IF(COUNTIFS(#REF!,$B114,#REF!,$Q114)&gt;0,"OK","ONBEKEND")),IF(AND($BE114=0,$BF114=0+1),IF(OR(COUNTIF(#REF!,$D114)&gt;0,COUNTIF(#REF!,$D114)=0),"SKIP",IF(COUNTIFS(#REF!,$D114,#REF!,$Q114)&gt;0,"OK","ONBEKEND")),"ONZEKER"))))</f>
        <v/>
      </c>
      <c r="S114" t="str">
        <f t="shared" si="800"/>
        <v/>
      </c>
      <c r="T114" t="str">
        <f t="shared" si="801"/>
        <v/>
      </c>
      <c r="U114" t="str">
        <f>IF($T114="","",IF(OR($BH114="",$BI114=""),"ONZEKER",IF(OR($BE114="",$BF114=""),"ONZEKER",IF(AND($BH114=$BE114+1,$BI114=$BF114),IF(OR(COUNTIF(#REF!,$B114)&gt;0,COUNTIF(#REF!,$B114)=0),"SKIP",IF(COUNTIFS(#REF!,$B114,#REF!,$T114)&gt;0,"OK","ONBEKEND")),IF(AND($BH114=$BE114,$BI114=$BF114+1),IF(OR(COUNTIF(#REF!,$D114)&gt;0,COUNTIF(#REF!,$D114)=0),"SKIP",IF(COUNTIFS(#REF!,$D114,#REF!,$T114)&gt;0,"OK","ONBEKEND")),"ONZEKER")))))</f>
        <v/>
      </c>
      <c r="V114" t="str">
        <f t="shared" si="802"/>
        <v/>
      </c>
      <c r="W114" t="str">
        <f t="shared" si="803"/>
        <v/>
      </c>
      <c r="X114" t="str">
        <f>IF($W114="","",IF(OR($BK114="",$BL114=""),"ONZEKER",IF(OR($BH114="",$BI114=""),"ONZEKER",IF(AND($BK114=$BH114+1,$BL114=$BI114),IF(OR(COUNTIF(#REF!,$B114)&gt;0,COUNTIF(#REF!,$B114)=0),"SKIP",IF(COUNTIFS(#REF!,$B114,#REF!,$W114)&gt;0,"OK","ONBEKEND")),IF(AND($BK114=$BH114,$BL114=$BI114+1),IF(OR(COUNTIF(#REF!,$D114)&gt;0,COUNTIF(#REF!,$D114)=0),"SKIP",IF(COUNTIFS(#REF!,$D114,#REF!,$W114)&gt;0,"OK","ONBEKEND")),"ONZEKER")))))</f>
        <v/>
      </c>
      <c r="Y114" t="str">
        <f t="shared" si="804"/>
        <v/>
      </c>
      <c r="Z114" t="str">
        <f t="shared" si="805"/>
        <v/>
      </c>
      <c r="AA114" t="str">
        <f>IF($Z114="","",IF(OR($BN114="",$BO114=""),"ONZEKER",IF(OR($BK114="",$BL114=""),"ONZEKER",IF(AND($BN114=$BK114+1,$BO114=$BL114),IF(OR(COUNTIF(#REF!,$B114)&gt;0,COUNTIF(#REF!,$B114)=0),"SKIP",IF(COUNTIFS(#REF!,$B114,#REF!,$Z114)&gt;0,"OK","ONBEKEND")),IF(AND($BN114=$BK114,$BO114=$BL114+1),IF(OR(COUNTIF(#REF!,$D114)&gt;0,COUNTIF(#REF!,$D114)=0),"SKIP",IF(COUNTIFS(#REF!,$D114,#REF!,$Z114)&gt;0,"OK","ONBEKEND")),"ONZEKER")))))</f>
        <v/>
      </c>
      <c r="AB114" t="str">
        <f t="shared" si="806"/>
        <v/>
      </c>
      <c r="AC114" t="str">
        <f t="shared" si="807"/>
        <v/>
      </c>
      <c r="AD114" t="str">
        <f>IF($AC114="","",IF(OR($BQ114="",$BR114=""),"ONZEKER",IF(OR($BN114="",$BO114=""),"ONZEKER",IF(AND($BQ114=$BN114+1,$BR114=$BO114),IF(OR(COUNTIF(#REF!,$B114)&gt;0,COUNTIF(#REF!,$B114)=0),"SKIP",IF(COUNTIFS(#REF!,$B114,#REF!,$AC114)&gt;0,"OK","ONBEKEND")),IF(AND($BQ114=$BN114,$BR114=$BO114+1),IF(OR(COUNTIF(#REF!,$D114)&gt;0,COUNTIF(#REF!,$D114)=0),"SKIP",IF(COUNTIFS(#REF!,$D114,#REF!,$AC114)&gt;0,"OK","ONBEKEND")),"ONZEKER")))))</f>
        <v/>
      </c>
      <c r="AE114" t="str">
        <f t="shared" si="808"/>
        <v/>
      </c>
      <c r="AF114" t="str">
        <f t="shared" si="809"/>
        <v/>
      </c>
      <c r="AG114" t="str">
        <f>IF($AF114="","",IF(OR($BT114="",$BU114=""),"ONZEKER",IF(OR($BQ114="",$BR114=""),"ONZEKER",IF(AND($BT114=$BQ114+1,$BU114=$BR114),IF(OR(COUNTIF(#REF!,$B114)&gt;0,COUNTIF(#REF!,$B114)=0),"SKIP",IF(COUNTIFS(#REF!,$B114,#REF!,$AF114)&gt;0,"OK","ONBEKEND")),IF(AND($BT114=$BQ114,$BU114=$BR114+1),IF(OR(COUNTIF(#REF!,$D114)&gt;0,COUNTIF(#REF!,$D114)=0),"SKIP",IF(COUNTIFS(#REF!,$D114,#REF!,$AF114)&gt;0,"OK","ONBEKEND")),"ONZEKER")))))</f>
        <v/>
      </c>
      <c r="AH114" t="str">
        <f t="shared" si="810"/>
        <v/>
      </c>
      <c r="AI114" t="str">
        <f t="shared" si="811"/>
        <v/>
      </c>
      <c r="AJ114" t="str">
        <f>IF($AI114="","",IF(OR($BW114="",$BX114=""),"ONZEKER",IF(OR($BT114="",$BU114=""),"ONZEKER",IF(AND($BW114=$BT114+1,$BX114=$BU114),IF(OR(COUNTIF(#REF!,$B114)&gt;0,COUNTIF(#REF!,$B114)=0),"SKIP",IF(COUNTIFS(#REF!,$B114,#REF!,$AI114)&gt;0,"OK","ONBEKEND")),IF(AND($BW114=$BT114,$BX114=$BU114+1),IF(OR(COUNTIF(#REF!,$D114)&gt;0,COUNTIF(#REF!,$D114)=0),"SKIP",IF(COUNTIFS(#REF!,$D114,#REF!,$AI114)&gt;0,"OK","ONBEKEND")),"ONZEKER")))))</f>
        <v/>
      </c>
      <c r="AK114" t="str">
        <f t="shared" si="812"/>
        <v/>
      </c>
      <c r="AL114" t="str">
        <f t="shared" si="813"/>
        <v/>
      </c>
      <c r="AM114" t="str">
        <f>IF($AL114="","",IF(OR($BZ114="",$CA114=""),"ONZEKER",IF(OR($BW114="",$BX114=""),"ONZEKER",IF(AND($BZ114=$BW114+1,$CA114=$BX114),IF(OR(COUNTIF(#REF!,$B114)&gt;0,COUNTIF(#REF!,$B114)=0),"SKIP",IF(COUNTIFS(#REF!,$B114,#REF!,$AL114)&gt;0,"OK","ONBEKEND")),IF(AND($BZ114=$BW114,$CA114=$BX114+1),IF(OR(COUNTIF(#REF!,$D114)&gt;0,COUNTIF(#REF!,$D114)=0),"SKIP",IF(COUNTIFS(#REF!,$D114,#REF!,$AL114)&gt;0,"OK","ONBEKEND")),"ONZEKER")))))</f>
        <v/>
      </c>
      <c r="AN114" t="str">
        <f t="shared" si="814"/>
        <v/>
      </c>
      <c r="AO114" t="str">
        <f t="shared" si="815"/>
        <v/>
      </c>
      <c r="AP114" t="str">
        <f>IF($AO114="","",IF(OR($CC114="",$CD114=""),"ONZEKER",IF(OR($BZ114="",$CA114=""),"ONZEKER",IF(AND($CC114=$BZ114+1,$CD114=$CA114),IF(OR(COUNTIF(#REF!,$B114)&gt;0,COUNTIF(#REF!,$B114)=0),"SKIP",IF(COUNTIFS(#REF!,$B114,#REF!,$AO114)&gt;0,"OK","ONBEKEND")),IF(AND($CC114=$BZ114,$CD114=$CA114+1),IF(OR(COUNTIF(#REF!,$D114)&gt;0,COUNTIF(#REF!,$D114)=0),"SKIP",IF(COUNTIFS(#REF!,$D114,#REF!,$AO114)&gt;0,"OK","ONBEKEND")),"ONZEKER")))))</f>
        <v/>
      </c>
      <c r="AQ114" t="str">
        <f t="shared" si="816"/>
        <v/>
      </c>
      <c r="AR114" t="str">
        <f t="shared" si="817"/>
        <v/>
      </c>
      <c r="AS114" t="str">
        <f>IF($AR114="","",IF(OR($CF114="",$CG114=""),"ONZEKER",IF(OR($CC114="",$CD114=""),"ONZEKER",IF(AND($CF114=$CC114+1,$CG114=$CD114),IF(OR(COUNTIF(#REF!,$B114)&gt;0,COUNTIF(#REF!,$B114)=0),"SKIP",IF(COUNTIFS(#REF!,$B114,#REF!,$AR114)&gt;0,"OK","ONBEKEND")),IF(AND($CF114=$CC114,$CG114=$CD114+1),IF(OR(COUNTIF(#REF!,$D114)&gt;0,COUNTIF(#REF!,$D114)=0),"SKIP",IF(COUNTIFS(#REF!,$D114,#REF!,$AR114)&gt;0,"OK","ONBEKEND")),"ONZEKER")))))</f>
        <v/>
      </c>
      <c r="AT114" t="str">
        <f t="shared" si="818"/>
        <v/>
      </c>
      <c r="AU114" t="str">
        <f t="shared" si="819"/>
        <v/>
      </c>
      <c r="AV114" t="str">
        <f t="shared" si="820"/>
        <v/>
      </c>
      <c r="AW114" t="str">
        <f t="shared" si="821"/>
        <v/>
      </c>
      <c r="AX114" t="str">
        <f t="shared" si="822"/>
        <v/>
      </c>
      <c r="AY114" t="str">
        <f t="shared" si="823"/>
        <v/>
      </c>
      <c r="AZ114" t="str">
        <f t="shared" si="824"/>
        <v/>
      </c>
      <c r="BA114" t="str">
        <f t="shared" si="825"/>
        <v/>
      </c>
      <c r="BB114" t="str">
        <f t="shared" si="826"/>
        <v/>
      </c>
      <c r="BC114" t="str">
        <f t="shared" si="827"/>
        <v/>
      </c>
      <c r="BD114" t="str">
        <f t="shared" si="490"/>
        <v/>
      </c>
      <c r="BE114" t="str">
        <f t="shared" si="491"/>
        <v/>
      </c>
      <c r="BF114" t="str">
        <f t="shared" si="492"/>
        <v/>
      </c>
      <c r="BG114" t="str">
        <f t="shared" si="493"/>
        <v/>
      </c>
      <c r="BH114" t="str">
        <f t="shared" si="494"/>
        <v/>
      </c>
      <c r="BI114" t="str">
        <f t="shared" si="495"/>
        <v/>
      </c>
      <c r="BJ114" t="str">
        <f t="shared" si="496"/>
        <v/>
      </c>
      <c r="BK114" t="str">
        <f t="shared" si="497"/>
        <v/>
      </c>
      <c r="BL114" t="str">
        <f t="shared" si="498"/>
        <v/>
      </c>
      <c r="BM114" t="str">
        <f t="shared" si="499"/>
        <v/>
      </c>
      <c r="BN114" t="str">
        <f t="shared" si="500"/>
        <v/>
      </c>
      <c r="BO114" t="str">
        <f t="shared" si="501"/>
        <v/>
      </c>
      <c r="BP114" t="str">
        <f t="shared" si="502"/>
        <v/>
      </c>
      <c r="BQ114" t="str">
        <f t="shared" si="503"/>
        <v/>
      </c>
      <c r="BR114" t="str">
        <f t="shared" si="504"/>
        <v/>
      </c>
      <c r="BS114" t="str">
        <f t="shared" si="505"/>
        <v/>
      </c>
      <c r="BT114" t="str">
        <f t="shared" si="506"/>
        <v/>
      </c>
      <c r="BU114" t="str">
        <f t="shared" si="507"/>
        <v/>
      </c>
      <c r="BV114" t="str">
        <f t="shared" si="508"/>
        <v/>
      </c>
      <c r="BW114" t="str">
        <f t="shared" si="509"/>
        <v/>
      </c>
      <c r="BX114" t="str">
        <f t="shared" si="510"/>
        <v/>
      </c>
      <c r="BY114" t="str">
        <f t="shared" si="511"/>
        <v/>
      </c>
      <c r="BZ114" t="str">
        <f t="shared" si="512"/>
        <v/>
      </c>
      <c r="CA114" t="str">
        <f t="shared" si="513"/>
        <v/>
      </c>
      <c r="CB114" t="str">
        <f t="shared" si="514"/>
        <v/>
      </c>
      <c r="CC114" t="str">
        <f t="shared" si="515"/>
        <v/>
      </c>
      <c r="CD114" t="str">
        <f t="shared" si="516"/>
        <v/>
      </c>
      <c r="CE114" t="str">
        <f t="shared" si="517"/>
        <v/>
      </c>
      <c r="CF114" t="str">
        <f t="shared" si="518"/>
        <v/>
      </c>
      <c r="CG114" t="str">
        <f t="shared" si="519"/>
        <v/>
      </c>
      <c r="CH114" t="str">
        <f t="shared" si="828"/>
        <v/>
      </c>
      <c r="CI114" t="str">
        <f t="shared" si="829"/>
        <v/>
      </c>
      <c r="CJ114" t="str">
        <f>IF($CI114="","",IF(OR($DW114="",$DX114=""),"ONZEKER",IF(OR($CF114="",$CG114=""),"ONZEKER",IF(AND($DW114=$CF114+1,$DX114=$CG114),IF(OR(COUNTIF(#REF!,$B114)&gt;0,COUNTIF(#REF!,$B114)=0),"SKIP",IF(COUNTIFS(#REF!,$B114,#REF!,$CI114)&gt;0,"OK","ONBEKEND")),IF(AND($DW114=$CF114,$DX114=$CG114+1),IF(OR(COUNTIF(#REF!,$D114)&gt;0,COUNTIF(#REF!,$D114)=0),"SKIP",IF(COUNTIFS(#REF!,$D114,#REF!,$CI114)&gt;0,"OK","ONBEKEND")),"ONZEKER")))))</f>
        <v/>
      </c>
      <c r="CK114" t="str">
        <f t="shared" si="830"/>
        <v/>
      </c>
      <c r="CL114" t="str">
        <f t="shared" si="831"/>
        <v/>
      </c>
      <c r="CM114" t="str">
        <f>IF($CL114="","",IF(OR($DZ114="",$EA114=""),"ONZEKER",IF(OR($DW114="",$DX114=""),"ONZEKER",IF(AND($DZ114=$DW114+1,$EA114=$DX114),IF(OR(COUNTIF(#REF!,$B114)&gt;0,COUNTIF(#REF!,$B114)=0),"SKIP",IF(COUNTIFS(#REF!,$B114,#REF!,$CL114)&gt;0,"OK","ONBEKEND")),IF(AND($DZ114=$DW114,$EA114=$DX114+1),IF(OR(COUNTIF(#REF!,$D114)&gt;0,COUNTIF(#REF!,$D114)=0),"SKIP",IF(COUNTIFS(#REF!,$D114,#REF!,$CL114)&gt;0,"OK","ONBEKEND")),"ONZEKER")))))</f>
        <v/>
      </c>
      <c r="CN114" t="str">
        <f t="shared" si="832"/>
        <v/>
      </c>
      <c r="CO114" t="str">
        <f t="shared" si="833"/>
        <v/>
      </c>
      <c r="CP114" t="str">
        <f>IF($CO114="","",IF(OR($EC114="",$ED114=""),"ONZEKER",IF(OR($DZ114="",$EA114=""),"ONZEKER",IF(AND($EC114=$DZ114+1,$ED114=$EA114),IF(OR(COUNTIF(#REF!,$B114)&gt;0,COUNTIF(#REF!,$B114)=0),"SKIP",IF(COUNTIFS(#REF!,$B114,#REF!,$CO114)&gt;0,"OK","ONBEKEND")),IF(AND($EC114=$DZ114,$ED114=$EA114+1),IF(OR(COUNTIF(#REF!,$D114)&gt;0,COUNTIF(#REF!,$D114)=0),"SKIP",IF(COUNTIFS(#REF!,$D114,#REF!,$CO114)&gt;0,"OK","ONBEKEND")),"ONZEKER")))))</f>
        <v/>
      </c>
      <c r="CQ114" t="str">
        <f t="shared" si="834"/>
        <v/>
      </c>
      <c r="CR114" t="str">
        <f t="shared" si="835"/>
        <v/>
      </c>
      <c r="CS114" t="str">
        <f>IF($CR114="","",IF(OR($EF114="",$EG114=""),"ONZEKER",IF(OR($EC114="",$ED114=""),"ONZEKER",IF(AND($EF114=$EC114+1,$EG114=$ED114),IF(OR(COUNTIF(#REF!,$B114)&gt;0,COUNTIF(#REF!,$B114)=0),"SKIP",IF(COUNTIFS(#REF!,$B114,#REF!,$CR114)&gt;0,"OK","ONBEKEND")),IF(AND($EF114=$EC114,$EG114=$ED114+1),IF(OR(COUNTIF(#REF!,$D114)&gt;0,COUNTIF(#REF!,$D114)=0),"SKIP",IF(COUNTIFS(#REF!,$D114,#REF!,$CR114)&gt;0,"OK","ONBEKEND")),"ONZEKER")))))</f>
        <v/>
      </c>
      <c r="CT114" t="str">
        <f t="shared" si="836"/>
        <v/>
      </c>
      <c r="CU114" t="str">
        <f t="shared" si="837"/>
        <v/>
      </c>
      <c r="CV114" t="str">
        <f>IF($CU114="","",IF(OR($EI114="",$EJ114=""),"ONZEKER",IF(OR($EF114="",$EG114=""),"ONZEKER",IF(AND($EI114=$EF114+1,$EJ114=$EG114),IF(OR(COUNTIF(#REF!,$B114)&gt;0,COUNTIF(#REF!,$B114)=0),"SKIP",IF(COUNTIFS(#REF!,$B114,#REF!,$CU114)&gt;0,"OK","ONBEKEND")),IF(AND($EI114=$EF114,$EJ114=$EG114+1),IF(OR(COUNTIF(#REF!,$D114)&gt;0,COUNTIF(#REF!,$D114)=0),"SKIP",IF(COUNTIFS(#REF!,$D114,#REF!,$CU114)&gt;0,"OK","ONBEKEND")),"ONZEKER")))))</f>
        <v/>
      </c>
      <c r="CW114" t="str">
        <f t="shared" si="838"/>
        <v/>
      </c>
      <c r="CX114" t="str">
        <f t="shared" si="839"/>
        <v/>
      </c>
      <c r="CY114" t="str">
        <f>IF($CX114="","",IF(OR($EL114="",$EM114=""),"ONZEKER",IF(OR($EI114="",$EJ114=""),"ONZEKER",IF(AND($EL114=$EI114+1,$EM114=$EJ114),IF(OR(COUNTIF(#REF!,$B114)&gt;0,COUNTIF(#REF!,$B114)=0),"SKIP",IF(COUNTIFS(#REF!,$B114,#REF!,$CX114)&gt;0,"OK","ONBEKEND")),IF(AND($EL114=$EI114,$EM114=$EJ114+1),IF(OR(COUNTIF(#REF!,$D114)&gt;0,COUNTIF(#REF!,$D114)=0),"SKIP",IF(COUNTIFS(#REF!,$D114,#REF!,$CX114)&gt;0,"OK","ONBEKEND")),"ONZEKER")))))</f>
        <v/>
      </c>
      <c r="CZ114" t="str">
        <f t="shared" si="840"/>
        <v/>
      </c>
      <c r="DA114" t="str">
        <f t="shared" si="841"/>
        <v/>
      </c>
      <c r="DB114" t="str">
        <f>IF($DA114="","",IF(OR($EO114="",$EP114=""),"ONZEKER",IF(OR($EL114="",$EM114=""),"ONZEKER",IF(AND($EO114=$EL114+1,$EP114=$EM114),IF(OR(COUNTIF(#REF!,$B114)&gt;0,COUNTIF(#REF!,$B114)=0),"SKIP",IF(COUNTIFS(#REF!,$B114,#REF!,$DA114)&gt;0,"OK","ONBEKEND")),IF(AND($EO114=$EL114,$EP114=$EM114+1),IF(OR(COUNTIF(#REF!,$D114)&gt;0,COUNTIF(#REF!,$D114)=0),"SKIP",IF(COUNTIFS(#REF!,$D114,#REF!,$DA114)&gt;0,"OK","ONBEKEND")),"ONZEKER")))))</f>
        <v/>
      </c>
      <c r="DC114" t="str">
        <f t="shared" si="842"/>
        <v/>
      </c>
      <c r="DD114" t="str">
        <f t="shared" si="843"/>
        <v/>
      </c>
      <c r="DE114" t="str">
        <f>IF($DD114="","",IF(OR($ER114="",$ES114=""),"ONZEKER",IF(OR($EO114="",$EP114=""),"ONZEKER",IF(AND($ER114=$EO114+1,$ES114=$EP114),IF(OR(COUNTIF(#REF!,$B114)&gt;0,COUNTIF(#REF!,$B114)=0),"SKIP",IF(COUNTIFS(#REF!,$B114,#REF!,$DD114)&gt;0,"OK","ONBEKEND")),IF(AND($ER114=$EO114,$ES114=$EP114+1),IF(OR(COUNTIF(#REF!,$D114)&gt;0,COUNTIF(#REF!,$D114)=0),"SKIP",IF(COUNTIFS(#REF!,$D114,#REF!,$DD114)&gt;0,"OK","ONBEKEND")),"ONZEKER")))))</f>
        <v/>
      </c>
      <c r="DF114" t="str">
        <f t="shared" si="844"/>
        <v/>
      </c>
      <c r="DG114" t="str">
        <f t="shared" si="845"/>
        <v/>
      </c>
      <c r="DH114" t="str">
        <f>IF($DG114="","",IF(OR($EU114="",$EV114=""),"ONZEKER",IF(OR($ER114="",$ES114=""),"ONZEKER",IF(AND($EU114=$ER114+1,$EV114=$ES114),IF(OR(COUNTIF(#REF!,$B114)&gt;0,COUNTIF(#REF!,$B114)=0),"SKIP",IF(COUNTIFS(#REF!,$B114,#REF!,$DG114)&gt;0,"OK","ONBEKEND")),IF(AND($EU114=$ER114,$EV114=$ES114+1),IF(OR(COUNTIF(#REF!,$D114)&gt;0,COUNTIF(#REF!,$D114)=0),"SKIP",IF(COUNTIFS(#REF!,$D114,#REF!,$DG114)&gt;0,"OK","ONBEKEND")),"ONZEKER")))))</f>
        <v/>
      </c>
      <c r="DI114" t="str">
        <f t="shared" si="846"/>
        <v/>
      </c>
      <c r="DJ114" t="str">
        <f t="shared" si="847"/>
        <v/>
      </c>
      <c r="DK114" t="str">
        <f>IF($DJ114="","",IF(OR($EX114="",$EY114=""),"ONZEKER",IF(OR($EU114="",$EV114=""),"ONZEKER",IF(AND($EX114=$EU114+1,$EY114=$EV114),IF(OR(COUNTIF(#REF!,$B114)&gt;0,COUNTIF(#REF!,$B114)=0),"SKIP",IF(COUNTIFS(#REF!,$B114,#REF!,$DJ114)&gt;0,"OK","ONBEKEND")),IF(AND($EX114=$EU114,$EY114=$EV114+1),IF(OR(COUNTIF(#REF!,$D114)&gt;0,COUNTIF(#REF!,$D114)=0),"SKIP",IF(COUNTIFS(#REF!,$D114,#REF!,$DJ114)&gt;0,"OK","ONBEKEND")),"ONZEKER")))))</f>
        <v/>
      </c>
      <c r="DL114" t="str">
        <f t="shared" si="848"/>
        <v/>
      </c>
      <c r="DM114" t="str">
        <f t="shared" si="849"/>
        <v/>
      </c>
      <c r="DN114" t="str">
        <f t="shared" si="850"/>
        <v/>
      </c>
      <c r="DO114" t="str">
        <f t="shared" si="851"/>
        <v/>
      </c>
      <c r="DP114" t="str">
        <f t="shared" si="852"/>
        <v/>
      </c>
      <c r="DQ114" t="str">
        <f t="shared" si="853"/>
        <v/>
      </c>
      <c r="DR114" t="str">
        <f t="shared" si="854"/>
        <v/>
      </c>
      <c r="DS114" t="str">
        <f t="shared" si="855"/>
        <v/>
      </c>
      <c r="DT114" t="str">
        <f t="shared" si="856"/>
        <v/>
      </c>
      <c r="DU114" t="str">
        <f t="shared" si="857"/>
        <v/>
      </c>
      <c r="DV114" t="str">
        <f t="shared" si="858"/>
        <v/>
      </c>
      <c r="DW114" t="str">
        <f t="shared" si="859"/>
        <v/>
      </c>
      <c r="DX114" t="str">
        <f t="shared" si="860"/>
        <v/>
      </c>
      <c r="DY114" t="str">
        <f t="shared" si="861"/>
        <v/>
      </c>
      <c r="DZ114" t="str">
        <f t="shared" si="862"/>
        <v/>
      </c>
      <c r="EA114" t="str">
        <f t="shared" si="863"/>
        <v/>
      </c>
      <c r="EB114" t="str">
        <f t="shared" si="864"/>
        <v/>
      </c>
      <c r="EC114" t="str">
        <f t="shared" si="865"/>
        <v/>
      </c>
      <c r="ED114" t="str">
        <f t="shared" si="866"/>
        <v/>
      </c>
      <c r="EE114" t="str">
        <f t="shared" si="867"/>
        <v/>
      </c>
      <c r="EF114" t="str">
        <f t="shared" si="868"/>
        <v/>
      </c>
      <c r="EG114" t="str">
        <f t="shared" si="869"/>
        <v/>
      </c>
      <c r="EH114" t="str">
        <f t="shared" si="870"/>
        <v/>
      </c>
      <c r="EI114" t="str">
        <f t="shared" si="871"/>
        <v/>
      </c>
      <c r="EJ114" t="str">
        <f t="shared" si="872"/>
        <v/>
      </c>
      <c r="EK114" t="str">
        <f t="shared" si="873"/>
        <v/>
      </c>
      <c r="EL114" t="str">
        <f t="shared" si="874"/>
        <v/>
      </c>
      <c r="EM114" t="str">
        <f t="shared" si="875"/>
        <v/>
      </c>
      <c r="EN114" t="str">
        <f t="shared" si="876"/>
        <v/>
      </c>
      <c r="EO114" t="str">
        <f t="shared" si="877"/>
        <v/>
      </c>
      <c r="EP114" t="str">
        <f t="shared" si="878"/>
        <v/>
      </c>
      <c r="EQ114" t="str">
        <f t="shared" si="879"/>
        <v/>
      </c>
      <c r="ER114" t="str">
        <f t="shared" si="880"/>
        <v/>
      </c>
      <c r="ES114" t="str">
        <f t="shared" si="881"/>
        <v/>
      </c>
      <c r="ET114" t="str">
        <f t="shared" si="882"/>
        <v/>
      </c>
      <c r="EU114" t="str">
        <f t="shared" si="883"/>
        <v/>
      </c>
      <c r="EV114" t="str">
        <f t="shared" si="884"/>
        <v/>
      </c>
      <c r="EW114" t="str">
        <f t="shared" si="885"/>
        <v/>
      </c>
      <c r="EX114" t="str">
        <f t="shared" si="886"/>
        <v/>
      </c>
      <c r="EY114" t="str">
        <f t="shared" si="887"/>
        <v/>
      </c>
    </row>
    <row r="115" spans="1:155" ht="13.9" customHeight="1" x14ac:dyDescent="0.25">
      <c r="A115" s="7"/>
      <c r="B115" s="17"/>
      <c r="C115" s="8"/>
      <c r="D115" s="17"/>
      <c r="E115" s="8"/>
      <c r="F115" s="18">
        <v>0</v>
      </c>
      <c r="G115" s="7" t="s">
        <v>147</v>
      </c>
      <c r="H115" s="18">
        <v>0</v>
      </c>
      <c r="I115" s="19">
        <v>0</v>
      </c>
      <c r="J115" s="7" t="s">
        <v>147</v>
      </c>
      <c r="K115" s="19">
        <v>0</v>
      </c>
      <c r="L115" s="9"/>
      <c r="M115" s="3" t="str">
        <f>IF($L115="","",IF($L115="DOELPUNTENMAKERS","",IF(AND(COUNTIF(#REF!,$B115)=0,COUNTIF(#REF!,$D115)=0),"OK",IF($O115&gt;20,"LET OP: meer dan 20 items (controle onvolledig)",IF((COUNTIF($R115:$AS115,"ONZEKER")+COUNTIF($CJ115:$DK115,"ONZEKER"))&gt;0,"LET OP: scoreverloop onduidelijk (controle beperkt)",IF((IF($AT115&lt;&gt;"",$AT115&amp;", ","")&amp;IF($AU115&lt;&gt;"",$AU115&amp;", ","")&amp;IF($AV115&lt;&gt;"",$AV115&amp;", ","")&amp;IF($AW115&lt;&gt;"",$AW115&amp;", ","")&amp;IF($AX115&lt;&gt;"",$AX115&amp;", ","")&amp;IF($AY115&lt;&gt;"",$AY115&amp;", ","")&amp;IF($AZ115&lt;&gt;"",$AZ115&amp;", ","")&amp;IF($BA115&lt;&gt;"",$BA115&amp;", ","")&amp;IF($BB115&lt;&gt;"",$BB115&amp;", ","")&amp;IF($BC115&lt;&gt;"",$BC115&amp;", ","")&amp;IF($DL115&lt;&gt;"",$DL115&amp;", ","")&amp;IF($DM115&lt;&gt;"",$DM115&amp;", ","")&amp;IF($DN115&lt;&gt;"",$DN115&amp;", ","")&amp;IF($DO115&lt;&gt;"",$DO115&amp;", ","")&amp;IF($DP115&lt;&gt;"",$DP115&amp;", ","")&amp;IF($DQ115&lt;&gt;"",$DQ115&amp;", ","")&amp;IF($DR115&lt;&gt;"",$DR115&amp;", ","")&amp;IF($DS115&lt;&gt;"",$DS115&amp;", ","")&amp;IF($DT115&lt;&gt;"",$DT115&amp;", ","")&amp;IF($DU115&lt;&gt;"",$DU115&amp;", ",""))="","OK","Onbekend: "&amp;LEFT((IF($AT115&lt;&gt;"",$AT115&amp;", ","")&amp;IF($AU115&lt;&gt;"",$AU115&amp;", ","")&amp;IF($AV115&lt;&gt;"",$AV115&amp;", ","")&amp;IF($AW115&lt;&gt;"",$AW115&amp;", ","")&amp;IF($AX115&lt;&gt;"",$AX115&amp;", ","")&amp;IF($AY115&lt;&gt;"",$AY115&amp;", ","")&amp;IF($AZ115&lt;&gt;"",$AZ115&amp;", ","")&amp;IF($BA115&lt;&gt;"",$BA115&amp;", ","")&amp;IF($BB115&lt;&gt;"",$BB115&amp;", ","")&amp;IF($BC115&lt;&gt;"",$BC115&amp;", ","")&amp;IF($DL115&lt;&gt;"",$DL115&amp;", ","")&amp;IF($DM115&lt;&gt;"",$DM115&amp;", ","")&amp;IF($DN115&lt;&gt;"",$DN115&amp;", ","")&amp;IF($DO115&lt;&gt;"",$DO115&amp;", ","")&amp;IF($DP115&lt;&gt;"",$DP115&amp;", ","")&amp;IF($DQ115&lt;&gt;"",$DQ115&amp;", ","")&amp;IF($DR115&lt;&gt;"",$DR115&amp;", ","")&amp;IF($DS115&lt;&gt;"",$DS115&amp;", ","")&amp;IF($DT115&lt;&gt;"",$DT115&amp;", ","")&amp;IF($DU115&lt;&gt;"",$DU115&amp;", ","")),LEN((IF($AT115&lt;&gt;"",$AT115&amp;", ","")&amp;IF($AU115&lt;&gt;"",$AU115&amp;", ","")&amp;IF($AV115&lt;&gt;"",$AV115&amp;", ","")&amp;IF($AW115&lt;&gt;"",$AW115&amp;", ","")&amp;IF($AX115&lt;&gt;"",$AX115&amp;", ","")&amp;IF($AY115&lt;&gt;"",$AY115&amp;", ","")&amp;IF($AZ115&lt;&gt;"",$AZ115&amp;", ","")&amp;IF($BA115&lt;&gt;"",$BA115&amp;", ","")&amp;IF($BB115&lt;&gt;"",$BB115&amp;", ","")&amp;IF($BC115&lt;&gt;"",$BC115&amp;", ","")&amp;IF($DL115&lt;&gt;"",$DL115&amp;", ","")&amp;IF($DM115&lt;&gt;"",$DM115&amp;", ","")&amp;IF($DN115&lt;&gt;"",$DN115&amp;", ","")&amp;IF($DO115&lt;&gt;"",$DO115&amp;", ","")&amp;IF($DP115&lt;&gt;"",$DP115&amp;", ","")&amp;IF($DQ115&lt;&gt;"",$DQ115&amp;", ","")&amp;IF($DR115&lt;&gt;"",$DR115&amp;", ","")&amp;IF($DS115&lt;&gt;"",$DS115&amp;", ","")&amp;IF($DT115&lt;&gt;"",$DT115&amp;", ","")&amp;IF($DU115&lt;&gt;"",$DU115&amp;", ","")))-2)))))))</f>
        <v/>
      </c>
      <c r="N115" t="str">
        <f t="shared" si="796"/>
        <v/>
      </c>
      <c r="O115" t="str">
        <f t="shared" si="797"/>
        <v/>
      </c>
      <c r="P115" t="str">
        <f t="shared" si="798"/>
        <v/>
      </c>
      <c r="Q115" t="str">
        <f t="shared" si="799"/>
        <v/>
      </c>
      <c r="R115" t="str">
        <f>IF($Q115="","",IF(OR($BE115="",$BF115=""),"ONZEKER",IF(AND($BE115=0+1,$BF115=0),IF(OR(COUNTIF(#REF!,$B115)&gt;0,COUNTIF(#REF!,$B115)=0),"SKIP",IF(COUNTIFS(#REF!,$B115,#REF!,$Q115)&gt;0,"OK","ONBEKEND")),IF(AND($BE115=0,$BF115=0+1),IF(OR(COUNTIF(#REF!,$D115)&gt;0,COUNTIF(#REF!,$D115)=0),"SKIP",IF(COUNTIFS(#REF!,$D115,#REF!,$Q115)&gt;0,"OK","ONBEKEND")),"ONZEKER"))))</f>
        <v/>
      </c>
      <c r="S115" t="str">
        <f t="shared" si="800"/>
        <v/>
      </c>
      <c r="T115" t="str">
        <f t="shared" si="801"/>
        <v/>
      </c>
      <c r="U115" t="str">
        <f>IF($T115="","",IF(OR($BH115="",$BI115=""),"ONZEKER",IF(OR($BE115="",$BF115=""),"ONZEKER",IF(AND($BH115=$BE115+1,$BI115=$BF115),IF(OR(COUNTIF(#REF!,$B115)&gt;0,COUNTIF(#REF!,$B115)=0),"SKIP",IF(COUNTIFS(#REF!,$B115,#REF!,$T115)&gt;0,"OK","ONBEKEND")),IF(AND($BH115=$BE115,$BI115=$BF115+1),IF(OR(COUNTIF(#REF!,$D115)&gt;0,COUNTIF(#REF!,$D115)=0),"SKIP",IF(COUNTIFS(#REF!,$D115,#REF!,$T115)&gt;0,"OK","ONBEKEND")),"ONZEKER")))))</f>
        <v/>
      </c>
      <c r="V115" t="str">
        <f t="shared" si="802"/>
        <v/>
      </c>
      <c r="W115" t="str">
        <f t="shared" si="803"/>
        <v/>
      </c>
      <c r="X115" t="str">
        <f>IF($W115="","",IF(OR($BK115="",$BL115=""),"ONZEKER",IF(OR($BH115="",$BI115=""),"ONZEKER",IF(AND($BK115=$BH115+1,$BL115=$BI115),IF(OR(COUNTIF(#REF!,$B115)&gt;0,COUNTIF(#REF!,$B115)=0),"SKIP",IF(COUNTIFS(#REF!,$B115,#REF!,$W115)&gt;0,"OK","ONBEKEND")),IF(AND($BK115=$BH115,$BL115=$BI115+1),IF(OR(COUNTIF(#REF!,$D115)&gt;0,COUNTIF(#REF!,$D115)=0),"SKIP",IF(COUNTIFS(#REF!,$D115,#REF!,$W115)&gt;0,"OK","ONBEKEND")),"ONZEKER")))))</f>
        <v/>
      </c>
      <c r="Y115" t="str">
        <f t="shared" si="804"/>
        <v/>
      </c>
      <c r="Z115" t="str">
        <f t="shared" si="805"/>
        <v/>
      </c>
      <c r="AA115" t="str">
        <f>IF($Z115="","",IF(OR($BN115="",$BO115=""),"ONZEKER",IF(OR($BK115="",$BL115=""),"ONZEKER",IF(AND($BN115=$BK115+1,$BO115=$BL115),IF(OR(COUNTIF(#REF!,$B115)&gt;0,COUNTIF(#REF!,$B115)=0),"SKIP",IF(COUNTIFS(#REF!,$B115,#REF!,$Z115)&gt;0,"OK","ONBEKEND")),IF(AND($BN115=$BK115,$BO115=$BL115+1),IF(OR(COUNTIF(#REF!,$D115)&gt;0,COUNTIF(#REF!,$D115)=0),"SKIP",IF(COUNTIFS(#REF!,$D115,#REF!,$Z115)&gt;0,"OK","ONBEKEND")),"ONZEKER")))))</f>
        <v/>
      </c>
      <c r="AB115" t="str">
        <f t="shared" si="806"/>
        <v/>
      </c>
      <c r="AC115" t="str">
        <f t="shared" si="807"/>
        <v/>
      </c>
      <c r="AD115" t="str">
        <f>IF($AC115="","",IF(OR($BQ115="",$BR115=""),"ONZEKER",IF(OR($BN115="",$BO115=""),"ONZEKER",IF(AND($BQ115=$BN115+1,$BR115=$BO115),IF(OR(COUNTIF(#REF!,$B115)&gt;0,COUNTIF(#REF!,$B115)=0),"SKIP",IF(COUNTIFS(#REF!,$B115,#REF!,$AC115)&gt;0,"OK","ONBEKEND")),IF(AND($BQ115=$BN115,$BR115=$BO115+1),IF(OR(COUNTIF(#REF!,$D115)&gt;0,COUNTIF(#REF!,$D115)=0),"SKIP",IF(COUNTIFS(#REF!,$D115,#REF!,$AC115)&gt;0,"OK","ONBEKEND")),"ONZEKER")))))</f>
        <v/>
      </c>
      <c r="AE115" t="str">
        <f t="shared" si="808"/>
        <v/>
      </c>
      <c r="AF115" t="str">
        <f t="shared" si="809"/>
        <v/>
      </c>
      <c r="AG115" t="str">
        <f>IF($AF115="","",IF(OR($BT115="",$BU115=""),"ONZEKER",IF(OR($BQ115="",$BR115=""),"ONZEKER",IF(AND($BT115=$BQ115+1,$BU115=$BR115),IF(OR(COUNTIF(#REF!,$B115)&gt;0,COUNTIF(#REF!,$B115)=0),"SKIP",IF(COUNTIFS(#REF!,$B115,#REF!,$AF115)&gt;0,"OK","ONBEKEND")),IF(AND($BT115=$BQ115,$BU115=$BR115+1),IF(OR(COUNTIF(#REF!,$D115)&gt;0,COUNTIF(#REF!,$D115)=0),"SKIP",IF(COUNTIFS(#REF!,$D115,#REF!,$AF115)&gt;0,"OK","ONBEKEND")),"ONZEKER")))))</f>
        <v/>
      </c>
      <c r="AH115" t="str">
        <f t="shared" si="810"/>
        <v/>
      </c>
      <c r="AI115" t="str">
        <f t="shared" si="811"/>
        <v/>
      </c>
      <c r="AJ115" t="str">
        <f>IF($AI115="","",IF(OR($BW115="",$BX115=""),"ONZEKER",IF(OR($BT115="",$BU115=""),"ONZEKER",IF(AND($BW115=$BT115+1,$BX115=$BU115),IF(OR(COUNTIF(#REF!,$B115)&gt;0,COUNTIF(#REF!,$B115)=0),"SKIP",IF(COUNTIFS(#REF!,$B115,#REF!,$AI115)&gt;0,"OK","ONBEKEND")),IF(AND($BW115=$BT115,$BX115=$BU115+1),IF(OR(COUNTIF(#REF!,$D115)&gt;0,COUNTIF(#REF!,$D115)=0),"SKIP",IF(COUNTIFS(#REF!,$D115,#REF!,$AI115)&gt;0,"OK","ONBEKEND")),"ONZEKER")))))</f>
        <v/>
      </c>
      <c r="AK115" t="str">
        <f t="shared" si="812"/>
        <v/>
      </c>
      <c r="AL115" t="str">
        <f t="shared" si="813"/>
        <v/>
      </c>
      <c r="AM115" t="str">
        <f>IF($AL115="","",IF(OR($BZ115="",$CA115=""),"ONZEKER",IF(OR($BW115="",$BX115=""),"ONZEKER",IF(AND($BZ115=$BW115+1,$CA115=$BX115),IF(OR(COUNTIF(#REF!,$B115)&gt;0,COUNTIF(#REF!,$B115)=0),"SKIP",IF(COUNTIFS(#REF!,$B115,#REF!,$AL115)&gt;0,"OK","ONBEKEND")),IF(AND($BZ115=$BW115,$CA115=$BX115+1),IF(OR(COUNTIF(#REF!,$D115)&gt;0,COUNTIF(#REF!,$D115)=0),"SKIP",IF(COUNTIFS(#REF!,$D115,#REF!,$AL115)&gt;0,"OK","ONBEKEND")),"ONZEKER")))))</f>
        <v/>
      </c>
      <c r="AN115" t="str">
        <f t="shared" si="814"/>
        <v/>
      </c>
      <c r="AO115" t="str">
        <f t="shared" si="815"/>
        <v/>
      </c>
      <c r="AP115" t="str">
        <f>IF($AO115="","",IF(OR($CC115="",$CD115=""),"ONZEKER",IF(OR($BZ115="",$CA115=""),"ONZEKER",IF(AND($CC115=$BZ115+1,$CD115=$CA115),IF(OR(COUNTIF(#REF!,$B115)&gt;0,COUNTIF(#REF!,$B115)=0),"SKIP",IF(COUNTIFS(#REF!,$B115,#REF!,$AO115)&gt;0,"OK","ONBEKEND")),IF(AND($CC115=$BZ115,$CD115=$CA115+1),IF(OR(COUNTIF(#REF!,$D115)&gt;0,COUNTIF(#REF!,$D115)=0),"SKIP",IF(COUNTIFS(#REF!,$D115,#REF!,$AO115)&gt;0,"OK","ONBEKEND")),"ONZEKER")))))</f>
        <v/>
      </c>
      <c r="AQ115" t="str">
        <f t="shared" si="816"/>
        <v/>
      </c>
      <c r="AR115" t="str">
        <f t="shared" si="817"/>
        <v/>
      </c>
      <c r="AS115" t="str">
        <f>IF($AR115="","",IF(OR($CF115="",$CG115=""),"ONZEKER",IF(OR($CC115="",$CD115=""),"ONZEKER",IF(AND($CF115=$CC115+1,$CG115=$CD115),IF(OR(COUNTIF(#REF!,$B115)&gt;0,COUNTIF(#REF!,$B115)=0),"SKIP",IF(COUNTIFS(#REF!,$B115,#REF!,$AR115)&gt;0,"OK","ONBEKEND")),IF(AND($CF115=$CC115,$CG115=$CD115+1),IF(OR(COUNTIF(#REF!,$D115)&gt;0,COUNTIF(#REF!,$D115)=0),"SKIP",IF(COUNTIFS(#REF!,$D115,#REF!,$AR115)&gt;0,"OK","ONBEKEND")),"ONZEKER")))))</f>
        <v/>
      </c>
      <c r="AT115" t="str">
        <f t="shared" si="818"/>
        <v/>
      </c>
      <c r="AU115" t="str">
        <f t="shared" si="819"/>
        <v/>
      </c>
      <c r="AV115" t="str">
        <f t="shared" si="820"/>
        <v/>
      </c>
      <c r="AW115" t="str">
        <f t="shared" si="821"/>
        <v/>
      </c>
      <c r="AX115" t="str">
        <f t="shared" si="822"/>
        <v/>
      </c>
      <c r="AY115" t="str">
        <f t="shared" si="823"/>
        <v/>
      </c>
      <c r="AZ115" t="str">
        <f t="shared" si="824"/>
        <v/>
      </c>
      <c r="BA115" t="str">
        <f t="shared" si="825"/>
        <v/>
      </c>
      <c r="BB115" t="str">
        <f t="shared" si="826"/>
        <v/>
      </c>
      <c r="BC115" t="str">
        <f t="shared" si="827"/>
        <v/>
      </c>
      <c r="BD115" t="str">
        <f t="shared" si="490"/>
        <v/>
      </c>
      <c r="BE115" t="str">
        <f t="shared" si="491"/>
        <v/>
      </c>
      <c r="BF115" t="str">
        <f t="shared" si="492"/>
        <v/>
      </c>
      <c r="BG115" t="str">
        <f t="shared" si="493"/>
        <v/>
      </c>
      <c r="BH115" t="str">
        <f t="shared" si="494"/>
        <v/>
      </c>
      <c r="BI115" t="str">
        <f t="shared" si="495"/>
        <v/>
      </c>
      <c r="BJ115" t="str">
        <f t="shared" si="496"/>
        <v/>
      </c>
      <c r="BK115" t="str">
        <f t="shared" si="497"/>
        <v/>
      </c>
      <c r="BL115" t="str">
        <f t="shared" si="498"/>
        <v/>
      </c>
      <c r="BM115" t="str">
        <f t="shared" si="499"/>
        <v/>
      </c>
      <c r="BN115" t="str">
        <f t="shared" si="500"/>
        <v/>
      </c>
      <c r="BO115" t="str">
        <f t="shared" si="501"/>
        <v/>
      </c>
      <c r="BP115" t="str">
        <f t="shared" si="502"/>
        <v/>
      </c>
      <c r="BQ115" t="str">
        <f t="shared" si="503"/>
        <v/>
      </c>
      <c r="BR115" t="str">
        <f t="shared" si="504"/>
        <v/>
      </c>
      <c r="BS115" t="str">
        <f t="shared" si="505"/>
        <v/>
      </c>
      <c r="BT115" t="str">
        <f t="shared" si="506"/>
        <v/>
      </c>
      <c r="BU115" t="str">
        <f t="shared" si="507"/>
        <v/>
      </c>
      <c r="BV115" t="str">
        <f t="shared" si="508"/>
        <v/>
      </c>
      <c r="BW115" t="str">
        <f t="shared" si="509"/>
        <v/>
      </c>
      <c r="BX115" t="str">
        <f t="shared" si="510"/>
        <v/>
      </c>
      <c r="BY115" t="str">
        <f t="shared" si="511"/>
        <v/>
      </c>
      <c r="BZ115" t="str">
        <f t="shared" si="512"/>
        <v/>
      </c>
      <c r="CA115" t="str">
        <f t="shared" si="513"/>
        <v/>
      </c>
      <c r="CB115" t="str">
        <f t="shared" si="514"/>
        <v/>
      </c>
      <c r="CC115" t="str">
        <f t="shared" si="515"/>
        <v/>
      </c>
      <c r="CD115" t="str">
        <f t="shared" si="516"/>
        <v/>
      </c>
      <c r="CE115" t="str">
        <f t="shared" si="517"/>
        <v/>
      </c>
      <c r="CF115" t="str">
        <f t="shared" si="518"/>
        <v/>
      </c>
      <c r="CG115" t="str">
        <f t="shared" si="519"/>
        <v/>
      </c>
      <c r="CH115" t="str">
        <f t="shared" si="828"/>
        <v/>
      </c>
      <c r="CI115" t="str">
        <f t="shared" si="829"/>
        <v/>
      </c>
      <c r="CJ115" t="str">
        <f>IF($CI115="","",IF(OR($DW115="",$DX115=""),"ONZEKER",IF(OR($CF115="",$CG115=""),"ONZEKER",IF(AND($DW115=$CF115+1,$DX115=$CG115),IF(OR(COUNTIF(#REF!,$B115)&gt;0,COUNTIF(#REF!,$B115)=0),"SKIP",IF(COUNTIFS(#REF!,$B115,#REF!,$CI115)&gt;0,"OK","ONBEKEND")),IF(AND($DW115=$CF115,$DX115=$CG115+1),IF(OR(COUNTIF(#REF!,$D115)&gt;0,COUNTIF(#REF!,$D115)=0),"SKIP",IF(COUNTIFS(#REF!,$D115,#REF!,$CI115)&gt;0,"OK","ONBEKEND")),"ONZEKER")))))</f>
        <v/>
      </c>
      <c r="CK115" t="str">
        <f t="shared" si="830"/>
        <v/>
      </c>
      <c r="CL115" t="str">
        <f t="shared" si="831"/>
        <v/>
      </c>
      <c r="CM115" t="str">
        <f>IF($CL115="","",IF(OR($DZ115="",$EA115=""),"ONZEKER",IF(OR($DW115="",$DX115=""),"ONZEKER",IF(AND($DZ115=$DW115+1,$EA115=$DX115),IF(OR(COUNTIF(#REF!,$B115)&gt;0,COUNTIF(#REF!,$B115)=0),"SKIP",IF(COUNTIFS(#REF!,$B115,#REF!,$CL115)&gt;0,"OK","ONBEKEND")),IF(AND($DZ115=$DW115,$EA115=$DX115+1),IF(OR(COUNTIF(#REF!,$D115)&gt;0,COUNTIF(#REF!,$D115)=0),"SKIP",IF(COUNTIFS(#REF!,$D115,#REF!,$CL115)&gt;0,"OK","ONBEKEND")),"ONZEKER")))))</f>
        <v/>
      </c>
      <c r="CN115" t="str">
        <f t="shared" si="832"/>
        <v/>
      </c>
      <c r="CO115" t="str">
        <f t="shared" si="833"/>
        <v/>
      </c>
      <c r="CP115" t="str">
        <f>IF($CO115="","",IF(OR($EC115="",$ED115=""),"ONZEKER",IF(OR($DZ115="",$EA115=""),"ONZEKER",IF(AND($EC115=$DZ115+1,$ED115=$EA115),IF(OR(COUNTIF(#REF!,$B115)&gt;0,COUNTIF(#REF!,$B115)=0),"SKIP",IF(COUNTIFS(#REF!,$B115,#REF!,$CO115)&gt;0,"OK","ONBEKEND")),IF(AND($EC115=$DZ115,$ED115=$EA115+1),IF(OR(COUNTIF(#REF!,$D115)&gt;0,COUNTIF(#REF!,$D115)=0),"SKIP",IF(COUNTIFS(#REF!,$D115,#REF!,$CO115)&gt;0,"OK","ONBEKEND")),"ONZEKER")))))</f>
        <v/>
      </c>
      <c r="CQ115" t="str">
        <f t="shared" si="834"/>
        <v/>
      </c>
      <c r="CR115" t="str">
        <f t="shared" si="835"/>
        <v/>
      </c>
      <c r="CS115" t="str">
        <f>IF($CR115="","",IF(OR($EF115="",$EG115=""),"ONZEKER",IF(OR($EC115="",$ED115=""),"ONZEKER",IF(AND($EF115=$EC115+1,$EG115=$ED115),IF(OR(COUNTIF(#REF!,$B115)&gt;0,COUNTIF(#REF!,$B115)=0),"SKIP",IF(COUNTIFS(#REF!,$B115,#REF!,$CR115)&gt;0,"OK","ONBEKEND")),IF(AND($EF115=$EC115,$EG115=$ED115+1),IF(OR(COUNTIF(#REF!,$D115)&gt;0,COUNTIF(#REF!,$D115)=0),"SKIP",IF(COUNTIFS(#REF!,$D115,#REF!,$CR115)&gt;0,"OK","ONBEKEND")),"ONZEKER")))))</f>
        <v/>
      </c>
      <c r="CT115" t="str">
        <f t="shared" si="836"/>
        <v/>
      </c>
      <c r="CU115" t="str">
        <f t="shared" si="837"/>
        <v/>
      </c>
      <c r="CV115" t="str">
        <f>IF($CU115="","",IF(OR($EI115="",$EJ115=""),"ONZEKER",IF(OR($EF115="",$EG115=""),"ONZEKER",IF(AND($EI115=$EF115+1,$EJ115=$EG115),IF(OR(COUNTIF(#REF!,$B115)&gt;0,COUNTIF(#REF!,$B115)=0),"SKIP",IF(COUNTIFS(#REF!,$B115,#REF!,$CU115)&gt;0,"OK","ONBEKEND")),IF(AND($EI115=$EF115,$EJ115=$EG115+1),IF(OR(COUNTIF(#REF!,$D115)&gt;0,COUNTIF(#REF!,$D115)=0),"SKIP",IF(COUNTIFS(#REF!,$D115,#REF!,$CU115)&gt;0,"OK","ONBEKEND")),"ONZEKER")))))</f>
        <v/>
      </c>
      <c r="CW115" t="str">
        <f t="shared" si="838"/>
        <v/>
      </c>
      <c r="CX115" t="str">
        <f t="shared" si="839"/>
        <v/>
      </c>
      <c r="CY115" t="str">
        <f>IF($CX115="","",IF(OR($EL115="",$EM115=""),"ONZEKER",IF(OR($EI115="",$EJ115=""),"ONZEKER",IF(AND($EL115=$EI115+1,$EM115=$EJ115),IF(OR(COUNTIF(#REF!,$B115)&gt;0,COUNTIF(#REF!,$B115)=0),"SKIP",IF(COUNTIFS(#REF!,$B115,#REF!,$CX115)&gt;0,"OK","ONBEKEND")),IF(AND($EL115=$EI115,$EM115=$EJ115+1),IF(OR(COUNTIF(#REF!,$D115)&gt;0,COUNTIF(#REF!,$D115)=0),"SKIP",IF(COUNTIFS(#REF!,$D115,#REF!,$CX115)&gt;0,"OK","ONBEKEND")),"ONZEKER")))))</f>
        <v/>
      </c>
      <c r="CZ115" t="str">
        <f t="shared" si="840"/>
        <v/>
      </c>
      <c r="DA115" t="str">
        <f t="shared" si="841"/>
        <v/>
      </c>
      <c r="DB115" t="str">
        <f>IF($DA115="","",IF(OR($EO115="",$EP115=""),"ONZEKER",IF(OR($EL115="",$EM115=""),"ONZEKER",IF(AND($EO115=$EL115+1,$EP115=$EM115),IF(OR(COUNTIF(#REF!,$B115)&gt;0,COUNTIF(#REF!,$B115)=0),"SKIP",IF(COUNTIFS(#REF!,$B115,#REF!,$DA115)&gt;0,"OK","ONBEKEND")),IF(AND($EO115=$EL115,$EP115=$EM115+1),IF(OR(COUNTIF(#REF!,$D115)&gt;0,COUNTIF(#REF!,$D115)=0),"SKIP",IF(COUNTIFS(#REF!,$D115,#REF!,$DA115)&gt;0,"OK","ONBEKEND")),"ONZEKER")))))</f>
        <v/>
      </c>
      <c r="DC115" t="str">
        <f t="shared" si="842"/>
        <v/>
      </c>
      <c r="DD115" t="str">
        <f t="shared" si="843"/>
        <v/>
      </c>
      <c r="DE115" t="str">
        <f>IF($DD115="","",IF(OR($ER115="",$ES115=""),"ONZEKER",IF(OR($EO115="",$EP115=""),"ONZEKER",IF(AND($ER115=$EO115+1,$ES115=$EP115),IF(OR(COUNTIF(#REF!,$B115)&gt;0,COUNTIF(#REF!,$B115)=0),"SKIP",IF(COUNTIFS(#REF!,$B115,#REF!,$DD115)&gt;0,"OK","ONBEKEND")),IF(AND($ER115=$EO115,$ES115=$EP115+1),IF(OR(COUNTIF(#REF!,$D115)&gt;0,COUNTIF(#REF!,$D115)=0),"SKIP",IF(COUNTIFS(#REF!,$D115,#REF!,$DD115)&gt;0,"OK","ONBEKEND")),"ONZEKER")))))</f>
        <v/>
      </c>
      <c r="DF115" t="str">
        <f t="shared" si="844"/>
        <v/>
      </c>
      <c r="DG115" t="str">
        <f t="shared" si="845"/>
        <v/>
      </c>
      <c r="DH115" t="str">
        <f>IF($DG115="","",IF(OR($EU115="",$EV115=""),"ONZEKER",IF(OR($ER115="",$ES115=""),"ONZEKER",IF(AND($EU115=$ER115+1,$EV115=$ES115),IF(OR(COUNTIF(#REF!,$B115)&gt;0,COUNTIF(#REF!,$B115)=0),"SKIP",IF(COUNTIFS(#REF!,$B115,#REF!,$DG115)&gt;0,"OK","ONBEKEND")),IF(AND($EU115=$ER115,$EV115=$ES115+1),IF(OR(COUNTIF(#REF!,$D115)&gt;0,COUNTIF(#REF!,$D115)=0),"SKIP",IF(COUNTIFS(#REF!,$D115,#REF!,$DG115)&gt;0,"OK","ONBEKEND")),"ONZEKER")))))</f>
        <v/>
      </c>
      <c r="DI115" t="str">
        <f t="shared" si="846"/>
        <v/>
      </c>
      <c r="DJ115" t="str">
        <f t="shared" si="847"/>
        <v/>
      </c>
      <c r="DK115" t="str">
        <f>IF($DJ115="","",IF(OR($EX115="",$EY115=""),"ONZEKER",IF(OR($EU115="",$EV115=""),"ONZEKER",IF(AND($EX115=$EU115+1,$EY115=$EV115),IF(OR(COUNTIF(#REF!,$B115)&gt;0,COUNTIF(#REF!,$B115)=0),"SKIP",IF(COUNTIFS(#REF!,$B115,#REF!,$DJ115)&gt;0,"OK","ONBEKEND")),IF(AND($EX115=$EU115,$EY115=$EV115+1),IF(OR(COUNTIF(#REF!,$D115)&gt;0,COUNTIF(#REF!,$D115)=0),"SKIP",IF(COUNTIFS(#REF!,$D115,#REF!,$DJ115)&gt;0,"OK","ONBEKEND")),"ONZEKER")))))</f>
        <v/>
      </c>
      <c r="DL115" t="str">
        <f t="shared" si="848"/>
        <v/>
      </c>
      <c r="DM115" t="str">
        <f t="shared" si="849"/>
        <v/>
      </c>
      <c r="DN115" t="str">
        <f t="shared" si="850"/>
        <v/>
      </c>
      <c r="DO115" t="str">
        <f t="shared" si="851"/>
        <v/>
      </c>
      <c r="DP115" t="str">
        <f t="shared" si="852"/>
        <v/>
      </c>
      <c r="DQ115" t="str">
        <f t="shared" si="853"/>
        <v/>
      </c>
      <c r="DR115" t="str">
        <f t="shared" si="854"/>
        <v/>
      </c>
      <c r="DS115" t="str">
        <f t="shared" si="855"/>
        <v/>
      </c>
      <c r="DT115" t="str">
        <f t="shared" si="856"/>
        <v/>
      </c>
      <c r="DU115" t="str">
        <f t="shared" si="857"/>
        <v/>
      </c>
      <c r="DV115" t="str">
        <f t="shared" si="858"/>
        <v/>
      </c>
      <c r="DW115" t="str">
        <f t="shared" si="859"/>
        <v/>
      </c>
      <c r="DX115" t="str">
        <f t="shared" si="860"/>
        <v/>
      </c>
      <c r="DY115" t="str">
        <f t="shared" si="861"/>
        <v/>
      </c>
      <c r="DZ115" t="str">
        <f t="shared" si="862"/>
        <v/>
      </c>
      <c r="EA115" t="str">
        <f t="shared" si="863"/>
        <v/>
      </c>
      <c r="EB115" t="str">
        <f t="shared" si="864"/>
        <v/>
      </c>
      <c r="EC115" t="str">
        <f t="shared" si="865"/>
        <v/>
      </c>
      <c r="ED115" t="str">
        <f t="shared" si="866"/>
        <v/>
      </c>
      <c r="EE115" t="str">
        <f t="shared" si="867"/>
        <v/>
      </c>
      <c r="EF115" t="str">
        <f t="shared" si="868"/>
        <v/>
      </c>
      <c r="EG115" t="str">
        <f t="shared" si="869"/>
        <v/>
      </c>
      <c r="EH115" t="str">
        <f t="shared" si="870"/>
        <v/>
      </c>
      <c r="EI115" t="str">
        <f t="shared" si="871"/>
        <v/>
      </c>
      <c r="EJ115" t="str">
        <f t="shared" si="872"/>
        <v/>
      </c>
      <c r="EK115" t="str">
        <f t="shared" si="873"/>
        <v/>
      </c>
      <c r="EL115" t="str">
        <f t="shared" si="874"/>
        <v/>
      </c>
      <c r="EM115" t="str">
        <f t="shared" si="875"/>
        <v/>
      </c>
      <c r="EN115" t="str">
        <f t="shared" si="876"/>
        <v/>
      </c>
      <c r="EO115" t="str">
        <f t="shared" si="877"/>
        <v/>
      </c>
      <c r="EP115" t="str">
        <f t="shared" si="878"/>
        <v/>
      </c>
      <c r="EQ115" t="str">
        <f t="shared" si="879"/>
        <v/>
      </c>
      <c r="ER115" t="str">
        <f t="shared" si="880"/>
        <v/>
      </c>
      <c r="ES115" t="str">
        <f t="shared" si="881"/>
        <v/>
      </c>
      <c r="ET115" t="str">
        <f t="shared" si="882"/>
        <v/>
      </c>
      <c r="EU115" t="str">
        <f t="shared" si="883"/>
        <v/>
      </c>
      <c r="EV115" t="str">
        <f t="shared" si="884"/>
        <v/>
      </c>
      <c r="EW115" t="str">
        <f t="shared" si="885"/>
        <v/>
      </c>
      <c r="EX115" t="str">
        <f t="shared" si="886"/>
        <v/>
      </c>
      <c r="EY115" t="str">
        <f t="shared" si="887"/>
        <v/>
      </c>
    </row>
    <row r="116" spans="1:155" ht="13.9" customHeight="1" x14ac:dyDescent="0.25">
      <c r="M116" s="3" t="str">
        <f>IF($L116="","",IF($L116="DOELPUNTENMAKERS","",IF(AND(COUNTIF(#REF!,$B116)=0,COUNTIF(#REF!,$D116)=0),"OK",IF($O116&gt;20,"LET OP: meer dan 20 items (controle onvolledig)",IF((COUNTIF($R116:$AS116,"ONZEKER")+COUNTIF($CJ116:$DK116,"ONZEKER"))&gt;0,"LET OP: scoreverloop onduidelijk (controle beperkt)",IF((IF($AT116&lt;&gt;"",$AT116&amp;", ","")&amp;IF($AU116&lt;&gt;"",$AU116&amp;", ","")&amp;IF($AV116&lt;&gt;"",$AV116&amp;", ","")&amp;IF($AW116&lt;&gt;"",$AW116&amp;", ","")&amp;IF($AX116&lt;&gt;"",$AX116&amp;", ","")&amp;IF($AY116&lt;&gt;"",$AY116&amp;", ","")&amp;IF($AZ116&lt;&gt;"",$AZ116&amp;", ","")&amp;IF($BA116&lt;&gt;"",$BA116&amp;", ","")&amp;IF($BB116&lt;&gt;"",$BB116&amp;", ","")&amp;IF($BC116&lt;&gt;"",$BC116&amp;", ","")&amp;IF($DL116&lt;&gt;"",$DL116&amp;", ","")&amp;IF($DM116&lt;&gt;"",$DM116&amp;", ","")&amp;IF($DN116&lt;&gt;"",$DN116&amp;", ","")&amp;IF($DO116&lt;&gt;"",$DO116&amp;", ","")&amp;IF($DP116&lt;&gt;"",$DP116&amp;", ","")&amp;IF($DQ116&lt;&gt;"",$DQ116&amp;", ","")&amp;IF($DR116&lt;&gt;"",$DR116&amp;", ","")&amp;IF($DS116&lt;&gt;"",$DS116&amp;", ","")&amp;IF($DT116&lt;&gt;"",$DT116&amp;", ","")&amp;IF($DU116&lt;&gt;"",$DU116&amp;", ",""))="","OK","Onbekend: "&amp;LEFT((IF($AT116&lt;&gt;"",$AT116&amp;", ","")&amp;IF($AU116&lt;&gt;"",$AU116&amp;", ","")&amp;IF($AV116&lt;&gt;"",$AV116&amp;", ","")&amp;IF($AW116&lt;&gt;"",$AW116&amp;", ","")&amp;IF($AX116&lt;&gt;"",$AX116&amp;", ","")&amp;IF($AY116&lt;&gt;"",$AY116&amp;", ","")&amp;IF($AZ116&lt;&gt;"",$AZ116&amp;", ","")&amp;IF($BA116&lt;&gt;"",$BA116&amp;", ","")&amp;IF($BB116&lt;&gt;"",$BB116&amp;", ","")&amp;IF($BC116&lt;&gt;"",$BC116&amp;", ","")&amp;IF($DL116&lt;&gt;"",$DL116&amp;", ","")&amp;IF($DM116&lt;&gt;"",$DM116&amp;", ","")&amp;IF($DN116&lt;&gt;"",$DN116&amp;", ","")&amp;IF($DO116&lt;&gt;"",$DO116&amp;", ","")&amp;IF($DP116&lt;&gt;"",$DP116&amp;", ","")&amp;IF($DQ116&lt;&gt;"",$DQ116&amp;", ","")&amp;IF($DR116&lt;&gt;"",$DR116&amp;", ","")&amp;IF($DS116&lt;&gt;"",$DS116&amp;", ","")&amp;IF($DT116&lt;&gt;"",$DT116&amp;", ","")&amp;IF($DU116&lt;&gt;"",$DU116&amp;", ","")),LEN((IF($AT116&lt;&gt;"",$AT116&amp;", ","")&amp;IF($AU116&lt;&gt;"",$AU116&amp;", ","")&amp;IF($AV116&lt;&gt;"",$AV116&amp;", ","")&amp;IF($AW116&lt;&gt;"",$AW116&amp;", ","")&amp;IF($AX116&lt;&gt;"",$AX116&amp;", ","")&amp;IF($AY116&lt;&gt;"",$AY116&amp;", ","")&amp;IF($AZ116&lt;&gt;"",$AZ116&amp;", ","")&amp;IF($BA116&lt;&gt;"",$BA116&amp;", ","")&amp;IF($BB116&lt;&gt;"",$BB116&amp;", ","")&amp;IF($BC116&lt;&gt;"",$BC116&amp;", ","")&amp;IF($DL116&lt;&gt;"",$DL116&amp;", ","")&amp;IF($DM116&lt;&gt;"",$DM116&amp;", ","")&amp;IF($DN116&lt;&gt;"",$DN116&amp;", ","")&amp;IF($DO116&lt;&gt;"",$DO116&amp;", ","")&amp;IF($DP116&lt;&gt;"",$DP116&amp;", ","")&amp;IF($DQ116&lt;&gt;"",$DQ116&amp;", ","")&amp;IF($DR116&lt;&gt;"",$DR116&amp;", ","")&amp;IF($DS116&lt;&gt;"",$DS116&amp;", ","")&amp;IF($DT116&lt;&gt;"",$DT116&amp;", ","")&amp;IF($DU116&lt;&gt;"",$DU116&amp;", ","")))-2)))))))</f>
        <v/>
      </c>
      <c r="N116" t="str">
        <f t="shared" si="796"/>
        <v/>
      </c>
      <c r="O116" t="str">
        <f t="shared" si="797"/>
        <v/>
      </c>
      <c r="P116" t="str">
        <f t="shared" si="798"/>
        <v/>
      </c>
      <c r="Q116" t="str">
        <f t="shared" si="799"/>
        <v/>
      </c>
      <c r="R116" t="str">
        <f>IF($Q116="","",IF(OR($BE116="",$BF116=""),"ONZEKER",IF(AND($BE116=0+1,$BF116=0),IF(OR(COUNTIF(#REF!,$B116)&gt;0,COUNTIF(#REF!,$B116)=0),"SKIP",IF(COUNTIFS(#REF!,$B116,#REF!,$Q116)&gt;0,"OK","ONBEKEND")),IF(AND($BE116=0,$BF116=0+1),IF(OR(COUNTIF(#REF!,$D116)&gt;0,COUNTIF(#REF!,$D116)=0),"SKIP",IF(COUNTIFS(#REF!,$D116,#REF!,$Q116)&gt;0,"OK","ONBEKEND")),"ONZEKER"))))</f>
        <v/>
      </c>
      <c r="S116" t="str">
        <f t="shared" si="800"/>
        <v/>
      </c>
      <c r="T116" t="str">
        <f t="shared" si="801"/>
        <v/>
      </c>
      <c r="U116" t="str">
        <f>IF($T116="","",IF(OR($BH116="",$BI116=""),"ONZEKER",IF(OR($BE116="",$BF116=""),"ONZEKER",IF(AND($BH116=$BE116+1,$BI116=$BF116),IF(OR(COUNTIF(#REF!,$B116)&gt;0,COUNTIF(#REF!,$B116)=0),"SKIP",IF(COUNTIFS(#REF!,$B116,#REF!,$T116)&gt;0,"OK","ONBEKEND")),IF(AND($BH116=$BE116,$BI116=$BF116+1),IF(OR(COUNTIF(#REF!,$D116)&gt;0,COUNTIF(#REF!,$D116)=0),"SKIP",IF(COUNTIFS(#REF!,$D116,#REF!,$T116)&gt;0,"OK","ONBEKEND")),"ONZEKER")))))</f>
        <v/>
      </c>
      <c r="V116" t="str">
        <f t="shared" si="802"/>
        <v/>
      </c>
      <c r="W116" t="str">
        <f t="shared" si="803"/>
        <v/>
      </c>
      <c r="X116" t="str">
        <f>IF($W116="","",IF(OR($BK116="",$BL116=""),"ONZEKER",IF(OR($BH116="",$BI116=""),"ONZEKER",IF(AND($BK116=$BH116+1,$BL116=$BI116),IF(OR(COUNTIF(#REF!,$B116)&gt;0,COUNTIF(#REF!,$B116)=0),"SKIP",IF(COUNTIFS(#REF!,$B116,#REF!,$W116)&gt;0,"OK","ONBEKEND")),IF(AND($BK116=$BH116,$BL116=$BI116+1),IF(OR(COUNTIF(#REF!,$D116)&gt;0,COUNTIF(#REF!,$D116)=0),"SKIP",IF(COUNTIFS(#REF!,$D116,#REF!,$W116)&gt;0,"OK","ONBEKEND")),"ONZEKER")))))</f>
        <v/>
      </c>
      <c r="Y116" t="str">
        <f t="shared" si="804"/>
        <v/>
      </c>
      <c r="Z116" t="str">
        <f t="shared" si="805"/>
        <v/>
      </c>
      <c r="AA116" t="str">
        <f>IF($Z116="","",IF(OR($BN116="",$BO116=""),"ONZEKER",IF(OR($BK116="",$BL116=""),"ONZEKER",IF(AND($BN116=$BK116+1,$BO116=$BL116),IF(OR(COUNTIF(#REF!,$B116)&gt;0,COUNTIF(#REF!,$B116)=0),"SKIP",IF(COUNTIFS(#REF!,$B116,#REF!,$Z116)&gt;0,"OK","ONBEKEND")),IF(AND($BN116=$BK116,$BO116=$BL116+1),IF(OR(COUNTIF(#REF!,$D116)&gt;0,COUNTIF(#REF!,$D116)=0),"SKIP",IF(COUNTIFS(#REF!,$D116,#REF!,$Z116)&gt;0,"OK","ONBEKEND")),"ONZEKER")))))</f>
        <v/>
      </c>
      <c r="AB116" t="str">
        <f t="shared" si="806"/>
        <v/>
      </c>
      <c r="AC116" t="str">
        <f t="shared" si="807"/>
        <v/>
      </c>
      <c r="AD116" t="str">
        <f>IF($AC116="","",IF(OR($BQ116="",$BR116=""),"ONZEKER",IF(OR($BN116="",$BO116=""),"ONZEKER",IF(AND($BQ116=$BN116+1,$BR116=$BO116),IF(OR(COUNTIF(#REF!,$B116)&gt;0,COUNTIF(#REF!,$B116)=0),"SKIP",IF(COUNTIFS(#REF!,$B116,#REF!,$AC116)&gt;0,"OK","ONBEKEND")),IF(AND($BQ116=$BN116,$BR116=$BO116+1),IF(OR(COUNTIF(#REF!,$D116)&gt;0,COUNTIF(#REF!,$D116)=0),"SKIP",IF(COUNTIFS(#REF!,$D116,#REF!,$AC116)&gt;0,"OK","ONBEKEND")),"ONZEKER")))))</f>
        <v/>
      </c>
      <c r="AE116" t="str">
        <f t="shared" si="808"/>
        <v/>
      </c>
      <c r="AF116" t="str">
        <f t="shared" si="809"/>
        <v/>
      </c>
      <c r="AG116" t="str">
        <f>IF($AF116="","",IF(OR($BT116="",$BU116=""),"ONZEKER",IF(OR($BQ116="",$BR116=""),"ONZEKER",IF(AND($BT116=$BQ116+1,$BU116=$BR116),IF(OR(COUNTIF(#REF!,$B116)&gt;0,COUNTIF(#REF!,$B116)=0),"SKIP",IF(COUNTIFS(#REF!,$B116,#REF!,$AF116)&gt;0,"OK","ONBEKEND")),IF(AND($BT116=$BQ116,$BU116=$BR116+1),IF(OR(COUNTIF(#REF!,$D116)&gt;0,COUNTIF(#REF!,$D116)=0),"SKIP",IF(COUNTIFS(#REF!,$D116,#REF!,$AF116)&gt;0,"OK","ONBEKEND")),"ONZEKER")))))</f>
        <v/>
      </c>
      <c r="AH116" t="str">
        <f t="shared" si="810"/>
        <v/>
      </c>
      <c r="AI116" t="str">
        <f t="shared" si="811"/>
        <v/>
      </c>
      <c r="AJ116" t="str">
        <f>IF($AI116="","",IF(OR($BW116="",$BX116=""),"ONZEKER",IF(OR($BT116="",$BU116=""),"ONZEKER",IF(AND($BW116=$BT116+1,$BX116=$BU116),IF(OR(COUNTIF(#REF!,$B116)&gt;0,COUNTIF(#REF!,$B116)=0),"SKIP",IF(COUNTIFS(#REF!,$B116,#REF!,$AI116)&gt;0,"OK","ONBEKEND")),IF(AND($BW116=$BT116,$BX116=$BU116+1),IF(OR(COUNTIF(#REF!,$D116)&gt;0,COUNTIF(#REF!,$D116)=0),"SKIP",IF(COUNTIFS(#REF!,$D116,#REF!,$AI116)&gt;0,"OK","ONBEKEND")),"ONZEKER")))))</f>
        <v/>
      </c>
      <c r="AK116" t="str">
        <f t="shared" si="812"/>
        <v/>
      </c>
      <c r="AL116" t="str">
        <f t="shared" si="813"/>
        <v/>
      </c>
      <c r="AM116" t="str">
        <f>IF($AL116="","",IF(OR($BZ116="",$CA116=""),"ONZEKER",IF(OR($BW116="",$BX116=""),"ONZEKER",IF(AND($BZ116=$BW116+1,$CA116=$BX116),IF(OR(COUNTIF(#REF!,$B116)&gt;0,COUNTIF(#REF!,$B116)=0),"SKIP",IF(COUNTIFS(#REF!,$B116,#REF!,$AL116)&gt;0,"OK","ONBEKEND")),IF(AND($BZ116=$BW116,$CA116=$BX116+1),IF(OR(COUNTIF(#REF!,$D116)&gt;0,COUNTIF(#REF!,$D116)=0),"SKIP",IF(COUNTIFS(#REF!,$D116,#REF!,$AL116)&gt;0,"OK","ONBEKEND")),"ONZEKER")))))</f>
        <v/>
      </c>
      <c r="AN116" t="str">
        <f t="shared" si="814"/>
        <v/>
      </c>
      <c r="AO116" t="str">
        <f t="shared" si="815"/>
        <v/>
      </c>
      <c r="AP116" t="str">
        <f>IF($AO116="","",IF(OR($CC116="",$CD116=""),"ONZEKER",IF(OR($BZ116="",$CA116=""),"ONZEKER",IF(AND($CC116=$BZ116+1,$CD116=$CA116),IF(OR(COUNTIF(#REF!,$B116)&gt;0,COUNTIF(#REF!,$B116)=0),"SKIP",IF(COUNTIFS(#REF!,$B116,#REF!,$AO116)&gt;0,"OK","ONBEKEND")),IF(AND($CC116=$BZ116,$CD116=$CA116+1),IF(OR(COUNTIF(#REF!,$D116)&gt;0,COUNTIF(#REF!,$D116)=0),"SKIP",IF(COUNTIFS(#REF!,$D116,#REF!,$AO116)&gt;0,"OK","ONBEKEND")),"ONZEKER")))))</f>
        <v/>
      </c>
      <c r="AQ116" t="str">
        <f t="shared" si="816"/>
        <v/>
      </c>
      <c r="AR116" t="str">
        <f t="shared" si="817"/>
        <v/>
      </c>
      <c r="AS116" t="str">
        <f>IF($AR116="","",IF(OR($CF116="",$CG116=""),"ONZEKER",IF(OR($CC116="",$CD116=""),"ONZEKER",IF(AND($CF116=$CC116+1,$CG116=$CD116),IF(OR(COUNTIF(#REF!,$B116)&gt;0,COUNTIF(#REF!,$B116)=0),"SKIP",IF(COUNTIFS(#REF!,$B116,#REF!,$AR116)&gt;0,"OK","ONBEKEND")),IF(AND($CF116=$CC116,$CG116=$CD116+1),IF(OR(COUNTIF(#REF!,$D116)&gt;0,COUNTIF(#REF!,$D116)=0),"SKIP",IF(COUNTIFS(#REF!,$D116,#REF!,$AR116)&gt;0,"OK","ONBEKEND")),"ONZEKER")))))</f>
        <v/>
      </c>
      <c r="AT116" t="str">
        <f t="shared" si="818"/>
        <v/>
      </c>
      <c r="AU116" t="str">
        <f t="shared" si="819"/>
        <v/>
      </c>
      <c r="AV116" t="str">
        <f t="shared" si="820"/>
        <v/>
      </c>
      <c r="AW116" t="str">
        <f t="shared" si="821"/>
        <v/>
      </c>
      <c r="AX116" t="str">
        <f t="shared" si="822"/>
        <v/>
      </c>
      <c r="AY116" t="str">
        <f t="shared" si="823"/>
        <v/>
      </c>
      <c r="AZ116" t="str">
        <f t="shared" si="824"/>
        <v/>
      </c>
      <c r="BA116" t="str">
        <f t="shared" si="825"/>
        <v/>
      </c>
      <c r="BB116" t="str">
        <f t="shared" si="826"/>
        <v/>
      </c>
      <c r="BC116" t="str">
        <f t="shared" si="827"/>
        <v/>
      </c>
      <c r="BD116" t="str">
        <f t="shared" si="490"/>
        <v/>
      </c>
      <c r="BE116" t="str">
        <f t="shared" si="491"/>
        <v/>
      </c>
      <c r="BF116" t="str">
        <f t="shared" si="492"/>
        <v/>
      </c>
      <c r="BG116" t="str">
        <f t="shared" si="493"/>
        <v/>
      </c>
      <c r="BH116" t="str">
        <f t="shared" si="494"/>
        <v/>
      </c>
      <c r="BI116" t="str">
        <f t="shared" si="495"/>
        <v/>
      </c>
      <c r="BJ116" t="str">
        <f t="shared" si="496"/>
        <v/>
      </c>
      <c r="BK116" t="str">
        <f t="shared" si="497"/>
        <v/>
      </c>
      <c r="BL116" t="str">
        <f t="shared" si="498"/>
        <v/>
      </c>
      <c r="BM116" t="str">
        <f t="shared" si="499"/>
        <v/>
      </c>
      <c r="BN116" t="str">
        <f t="shared" si="500"/>
        <v/>
      </c>
      <c r="BO116" t="str">
        <f t="shared" si="501"/>
        <v/>
      </c>
      <c r="BP116" t="str">
        <f t="shared" si="502"/>
        <v/>
      </c>
      <c r="BQ116" t="str">
        <f t="shared" si="503"/>
        <v/>
      </c>
      <c r="BR116" t="str">
        <f t="shared" si="504"/>
        <v/>
      </c>
      <c r="BS116" t="str">
        <f t="shared" si="505"/>
        <v/>
      </c>
      <c r="BT116" t="str">
        <f t="shared" si="506"/>
        <v/>
      </c>
      <c r="BU116" t="str">
        <f t="shared" si="507"/>
        <v/>
      </c>
      <c r="BV116" t="str">
        <f t="shared" si="508"/>
        <v/>
      </c>
      <c r="BW116" t="str">
        <f t="shared" si="509"/>
        <v/>
      </c>
      <c r="BX116" t="str">
        <f t="shared" si="510"/>
        <v/>
      </c>
      <c r="BY116" t="str">
        <f t="shared" si="511"/>
        <v/>
      </c>
      <c r="BZ116" t="str">
        <f t="shared" si="512"/>
        <v/>
      </c>
      <c r="CA116" t="str">
        <f t="shared" si="513"/>
        <v/>
      </c>
      <c r="CB116" t="str">
        <f t="shared" si="514"/>
        <v/>
      </c>
      <c r="CC116" t="str">
        <f t="shared" si="515"/>
        <v/>
      </c>
      <c r="CD116" t="str">
        <f t="shared" si="516"/>
        <v/>
      </c>
      <c r="CE116" t="str">
        <f t="shared" si="517"/>
        <v/>
      </c>
      <c r="CF116" t="str">
        <f t="shared" si="518"/>
        <v/>
      </c>
      <c r="CG116" t="str">
        <f t="shared" si="519"/>
        <v/>
      </c>
      <c r="CH116" t="str">
        <f t="shared" si="828"/>
        <v/>
      </c>
      <c r="CI116" t="str">
        <f t="shared" si="829"/>
        <v/>
      </c>
      <c r="CJ116" t="str">
        <f>IF($CI116="","",IF(OR($DW116="",$DX116=""),"ONZEKER",IF(OR($CF116="",$CG116=""),"ONZEKER",IF(AND($DW116=$CF116+1,$DX116=$CG116),IF(OR(COUNTIF(#REF!,$B116)&gt;0,COUNTIF(#REF!,$B116)=0),"SKIP",IF(COUNTIFS(#REF!,$B116,#REF!,$CI116)&gt;0,"OK","ONBEKEND")),IF(AND($DW116=$CF116,$DX116=$CG116+1),IF(OR(COUNTIF(#REF!,$D116)&gt;0,COUNTIF(#REF!,$D116)=0),"SKIP",IF(COUNTIFS(#REF!,$D116,#REF!,$CI116)&gt;0,"OK","ONBEKEND")),"ONZEKER")))))</f>
        <v/>
      </c>
      <c r="CK116" t="str">
        <f t="shared" si="830"/>
        <v/>
      </c>
      <c r="CL116" t="str">
        <f t="shared" si="831"/>
        <v/>
      </c>
      <c r="CM116" t="str">
        <f>IF($CL116="","",IF(OR($DZ116="",$EA116=""),"ONZEKER",IF(OR($DW116="",$DX116=""),"ONZEKER",IF(AND($DZ116=$DW116+1,$EA116=$DX116),IF(OR(COUNTIF(#REF!,$B116)&gt;0,COUNTIF(#REF!,$B116)=0),"SKIP",IF(COUNTIFS(#REF!,$B116,#REF!,$CL116)&gt;0,"OK","ONBEKEND")),IF(AND($DZ116=$DW116,$EA116=$DX116+1),IF(OR(COUNTIF(#REF!,$D116)&gt;0,COUNTIF(#REF!,$D116)=0),"SKIP",IF(COUNTIFS(#REF!,$D116,#REF!,$CL116)&gt;0,"OK","ONBEKEND")),"ONZEKER")))))</f>
        <v/>
      </c>
      <c r="CN116" t="str">
        <f t="shared" si="832"/>
        <v/>
      </c>
      <c r="CO116" t="str">
        <f t="shared" si="833"/>
        <v/>
      </c>
      <c r="CP116" t="str">
        <f>IF($CO116="","",IF(OR($EC116="",$ED116=""),"ONZEKER",IF(OR($DZ116="",$EA116=""),"ONZEKER",IF(AND($EC116=$DZ116+1,$ED116=$EA116),IF(OR(COUNTIF(#REF!,$B116)&gt;0,COUNTIF(#REF!,$B116)=0),"SKIP",IF(COUNTIFS(#REF!,$B116,#REF!,$CO116)&gt;0,"OK","ONBEKEND")),IF(AND($EC116=$DZ116,$ED116=$EA116+1),IF(OR(COUNTIF(#REF!,$D116)&gt;0,COUNTIF(#REF!,$D116)=0),"SKIP",IF(COUNTIFS(#REF!,$D116,#REF!,$CO116)&gt;0,"OK","ONBEKEND")),"ONZEKER")))))</f>
        <v/>
      </c>
      <c r="CQ116" t="str">
        <f t="shared" si="834"/>
        <v/>
      </c>
      <c r="CR116" t="str">
        <f t="shared" si="835"/>
        <v/>
      </c>
      <c r="CS116" t="str">
        <f>IF($CR116="","",IF(OR($EF116="",$EG116=""),"ONZEKER",IF(OR($EC116="",$ED116=""),"ONZEKER",IF(AND($EF116=$EC116+1,$EG116=$ED116),IF(OR(COUNTIF(#REF!,$B116)&gt;0,COUNTIF(#REF!,$B116)=0),"SKIP",IF(COUNTIFS(#REF!,$B116,#REF!,$CR116)&gt;0,"OK","ONBEKEND")),IF(AND($EF116=$EC116,$EG116=$ED116+1),IF(OR(COUNTIF(#REF!,$D116)&gt;0,COUNTIF(#REF!,$D116)=0),"SKIP",IF(COUNTIFS(#REF!,$D116,#REF!,$CR116)&gt;0,"OK","ONBEKEND")),"ONZEKER")))))</f>
        <v/>
      </c>
      <c r="CT116" t="str">
        <f t="shared" si="836"/>
        <v/>
      </c>
      <c r="CU116" t="str">
        <f t="shared" si="837"/>
        <v/>
      </c>
      <c r="CV116" t="str">
        <f>IF($CU116="","",IF(OR($EI116="",$EJ116=""),"ONZEKER",IF(OR($EF116="",$EG116=""),"ONZEKER",IF(AND($EI116=$EF116+1,$EJ116=$EG116),IF(OR(COUNTIF(#REF!,$B116)&gt;0,COUNTIF(#REF!,$B116)=0),"SKIP",IF(COUNTIFS(#REF!,$B116,#REF!,$CU116)&gt;0,"OK","ONBEKEND")),IF(AND($EI116=$EF116,$EJ116=$EG116+1),IF(OR(COUNTIF(#REF!,$D116)&gt;0,COUNTIF(#REF!,$D116)=0),"SKIP",IF(COUNTIFS(#REF!,$D116,#REF!,$CU116)&gt;0,"OK","ONBEKEND")),"ONZEKER")))))</f>
        <v/>
      </c>
      <c r="CW116" t="str">
        <f t="shared" si="838"/>
        <v/>
      </c>
      <c r="CX116" t="str">
        <f t="shared" si="839"/>
        <v/>
      </c>
      <c r="CY116" t="str">
        <f>IF($CX116="","",IF(OR($EL116="",$EM116=""),"ONZEKER",IF(OR($EI116="",$EJ116=""),"ONZEKER",IF(AND($EL116=$EI116+1,$EM116=$EJ116),IF(OR(COUNTIF(#REF!,$B116)&gt;0,COUNTIF(#REF!,$B116)=0),"SKIP",IF(COUNTIFS(#REF!,$B116,#REF!,$CX116)&gt;0,"OK","ONBEKEND")),IF(AND($EL116=$EI116,$EM116=$EJ116+1),IF(OR(COUNTIF(#REF!,$D116)&gt;0,COUNTIF(#REF!,$D116)=0),"SKIP",IF(COUNTIFS(#REF!,$D116,#REF!,$CX116)&gt;0,"OK","ONBEKEND")),"ONZEKER")))))</f>
        <v/>
      </c>
      <c r="CZ116" t="str">
        <f t="shared" si="840"/>
        <v/>
      </c>
      <c r="DA116" t="str">
        <f t="shared" si="841"/>
        <v/>
      </c>
      <c r="DB116" t="str">
        <f>IF($DA116="","",IF(OR($EO116="",$EP116=""),"ONZEKER",IF(OR($EL116="",$EM116=""),"ONZEKER",IF(AND($EO116=$EL116+1,$EP116=$EM116),IF(OR(COUNTIF(#REF!,$B116)&gt;0,COUNTIF(#REF!,$B116)=0),"SKIP",IF(COUNTIFS(#REF!,$B116,#REF!,$DA116)&gt;0,"OK","ONBEKEND")),IF(AND($EO116=$EL116,$EP116=$EM116+1),IF(OR(COUNTIF(#REF!,$D116)&gt;0,COUNTIF(#REF!,$D116)=0),"SKIP",IF(COUNTIFS(#REF!,$D116,#REF!,$DA116)&gt;0,"OK","ONBEKEND")),"ONZEKER")))))</f>
        <v/>
      </c>
      <c r="DC116" t="str">
        <f t="shared" si="842"/>
        <v/>
      </c>
      <c r="DD116" t="str">
        <f t="shared" si="843"/>
        <v/>
      </c>
      <c r="DE116" t="str">
        <f>IF($DD116="","",IF(OR($ER116="",$ES116=""),"ONZEKER",IF(OR($EO116="",$EP116=""),"ONZEKER",IF(AND($ER116=$EO116+1,$ES116=$EP116),IF(OR(COUNTIF(#REF!,$B116)&gt;0,COUNTIF(#REF!,$B116)=0),"SKIP",IF(COUNTIFS(#REF!,$B116,#REF!,$DD116)&gt;0,"OK","ONBEKEND")),IF(AND($ER116=$EO116,$ES116=$EP116+1),IF(OR(COUNTIF(#REF!,$D116)&gt;0,COUNTIF(#REF!,$D116)=0),"SKIP",IF(COUNTIFS(#REF!,$D116,#REF!,$DD116)&gt;0,"OK","ONBEKEND")),"ONZEKER")))))</f>
        <v/>
      </c>
      <c r="DF116" t="str">
        <f t="shared" si="844"/>
        <v/>
      </c>
      <c r="DG116" t="str">
        <f t="shared" si="845"/>
        <v/>
      </c>
      <c r="DH116" t="str">
        <f>IF($DG116="","",IF(OR($EU116="",$EV116=""),"ONZEKER",IF(OR($ER116="",$ES116=""),"ONZEKER",IF(AND($EU116=$ER116+1,$EV116=$ES116),IF(OR(COUNTIF(#REF!,$B116)&gt;0,COUNTIF(#REF!,$B116)=0),"SKIP",IF(COUNTIFS(#REF!,$B116,#REF!,$DG116)&gt;0,"OK","ONBEKEND")),IF(AND($EU116=$ER116,$EV116=$ES116+1),IF(OR(COUNTIF(#REF!,$D116)&gt;0,COUNTIF(#REF!,$D116)=0),"SKIP",IF(COUNTIFS(#REF!,$D116,#REF!,$DG116)&gt;0,"OK","ONBEKEND")),"ONZEKER")))))</f>
        <v/>
      </c>
      <c r="DI116" t="str">
        <f t="shared" si="846"/>
        <v/>
      </c>
      <c r="DJ116" t="str">
        <f t="shared" si="847"/>
        <v/>
      </c>
      <c r="DK116" t="str">
        <f>IF($DJ116="","",IF(OR($EX116="",$EY116=""),"ONZEKER",IF(OR($EU116="",$EV116=""),"ONZEKER",IF(AND($EX116=$EU116+1,$EY116=$EV116),IF(OR(COUNTIF(#REF!,$B116)&gt;0,COUNTIF(#REF!,$B116)=0),"SKIP",IF(COUNTIFS(#REF!,$B116,#REF!,$DJ116)&gt;0,"OK","ONBEKEND")),IF(AND($EX116=$EU116,$EY116=$EV116+1),IF(OR(COUNTIF(#REF!,$D116)&gt;0,COUNTIF(#REF!,$D116)=0),"SKIP",IF(COUNTIFS(#REF!,$D116,#REF!,$DJ116)&gt;0,"OK","ONBEKEND")),"ONZEKER")))))</f>
        <v/>
      </c>
      <c r="DL116" t="str">
        <f t="shared" si="848"/>
        <v/>
      </c>
      <c r="DM116" t="str">
        <f t="shared" si="849"/>
        <v/>
      </c>
      <c r="DN116" t="str">
        <f t="shared" si="850"/>
        <v/>
      </c>
      <c r="DO116" t="str">
        <f t="shared" si="851"/>
        <v/>
      </c>
      <c r="DP116" t="str">
        <f t="shared" si="852"/>
        <v/>
      </c>
      <c r="DQ116" t="str">
        <f t="shared" si="853"/>
        <v/>
      </c>
      <c r="DR116" t="str">
        <f t="shared" si="854"/>
        <v/>
      </c>
      <c r="DS116" t="str">
        <f t="shared" si="855"/>
        <v/>
      </c>
      <c r="DT116" t="str">
        <f t="shared" si="856"/>
        <v/>
      </c>
      <c r="DU116" t="str">
        <f t="shared" si="857"/>
        <v/>
      </c>
      <c r="DV116" t="str">
        <f t="shared" si="858"/>
        <v/>
      </c>
      <c r="DW116" t="str">
        <f t="shared" si="859"/>
        <v/>
      </c>
      <c r="DX116" t="str">
        <f t="shared" si="860"/>
        <v/>
      </c>
      <c r="DY116" t="str">
        <f t="shared" si="861"/>
        <v/>
      </c>
      <c r="DZ116" t="str">
        <f t="shared" si="862"/>
        <v/>
      </c>
      <c r="EA116" t="str">
        <f t="shared" si="863"/>
        <v/>
      </c>
      <c r="EB116" t="str">
        <f t="shared" si="864"/>
        <v/>
      </c>
      <c r="EC116" t="str">
        <f t="shared" si="865"/>
        <v/>
      </c>
      <c r="ED116" t="str">
        <f t="shared" si="866"/>
        <v/>
      </c>
      <c r="EE116" t="str">
        <f t="shared" si="867"/>
        <v/>
      </c>
      <c r="EF116" t="str">
        <f t="shared" si="868"/>
        <v/>
      </c>
      <c r="EG116" t="str">
        <f t="shared" si="869"/>
        <v/>
      </c>
      <c r="EH116" t="str">
        <f t="shared" si="870"/>
        <v/>
      </c>
      <c r="EI116" t="str">
        <f t="shared" si="871"/>
        <v/>
      </c>
      <c r="EJ116" t="str">
        <f t="shared" si="872"/>
        <v/>
      </c>
      <c r="EK116" t="str">
        <f t="shared" si="873"/>
        <v/>
      </c>
      <c r="EL116" t="str">
        <f t="shared" si="874"/>
        <v/>
      </c>
      <c r="EM116" t="str">
        <f t="shared" si="875"/>
        <v/>
      </c>
      <c r="EN116" t="str">
        <f t="shared" si="876"/>
        <v/>
      </c>
      <c r="EO116" t="str">
        <f t="shared" si="877"/>
        <v/>
      </c>
      <c r="EP116" t="str">
        <f t="shared" si="878"/>
        <v/>
      </c>
      <c r="EQ116" t="str">
        <f t="shared" si="879"/>
        <v/>
      </c>
      <c r="ER116" t="str">
        <f t="shared" si="880"/>
        <v/>
      </c>
      <c r="ES116" t="str">
        <f t="shared" si="881"/>
        <v/>
      </c>
      <c r="ET116" t="str">
        <f t="shared" si="882"/>
        <v/>
      </c>
      <c r="EU116" t="str">
        <f t="shared" si="883"/>
        <v/>
      </c>
      <c r="EV116" t="str">
        <f t="shared" si="884"/>
        <v/>
      </c>
      <c r="EW116" t="str">
        <f t="shared" si="885"/>
        <v/>
      </c>
      <c r="EX116" t="str">
        <f t="shared" si="886"/>
        <v/>
      </c>
      <c r="EY116" t="str">
        <f t="shared" si="887"/>
        <v/>
      </c>
    </row>
    <row r="117" spans="1:155" ht="13.9" customHeight="1" x14ac:dyDescent="0.25">
      <c r="M117" s="3" t="str">
        <f>IF($L117="","",IF($L117="DOELPUNTENMAKERS","",IF(AND(COUNTIF(#REF!,$B117)=0,COUNTIF(#REF!,$D117)=0),"OK",IF($O117&gt;20,"LET OP: meer dan 20 items (controle onvolledig)",IF((COUNTIF($R117:$AS117,"ONZEKER")+COUNTIF($CJ117:$DK117,"ONZEKER"))&gt;0,"LET OP: scoreverloop onduidelijk (controle beperkt)",IF((IF($AT117&lt;&gt;"",$AT117&amp;", ","")&amp;IF($AU117&lt;&gt;"",$AU117&amp;", ","")&amp;IF($AV117&lt;&gt;"",$AV117&amp;", ","")&amp;IF($AW117&lt;&gt;"",$AW117&amp;", ","")&amp;IF($AX117&lt;&gt;"",$AX117&amp;", ","")&amp;IF($AY117&lt;&gt;"",$AY117&amp;", ","")&amp;IF($AZ117&lt;&gt;"",$AZ117&amp;", ","")&amp;IF($BA117&lt;&gt;"",$BA117&amp;", ","")&amp;IF($BB117&lt;&gt;"",$BB117&amp;", ","")&amp;IF($BC117&lt;&gt;"",$BC117&amp;", ","")&amp;IF($DL117&lt;&gt;"",$DL117&amp;", ","")&amp;IF($DM117&lt;&gt;"",$DM117&amp;", ","")&amp;IF($DN117&lt;&gt;"",$DN117&amp;", ","")&amp;IF($DO117&lt;&gt;"",$DO117&amp;", ","")&amp;IF($DP117&lt;&gt;"",$DP117&amp;", ","")&amp;IF($DQ117&lt;&gt;"",$DQ117&amp;", ","")&amp;IF($DR117&lt;&gt;"",$DR117&amp;", ","")&amp;IF($DS117&lt;&gt;"",$DS117&amp;", ","")&amp;IF($DT117&lt;&gt;"",$DT117&amp;", ","")&amp;IF($DU117&lt;&gt;"",$DU117&amp;", ",""))="","OK","Onbekend: "&amp;LEFT((IF($AT117&lt;&gt;"",$AT117&amp;", ","")&amp;IF($AU117&lt;&gt;"",$AU117&amp;", ","")&amp;IF($AV117&lt;&gt;"",$AV117&amp;", ","")&amp;IF($AW117&lt;&gt;"",$AW117&amp;", ","")&amp;IF($AX117&lt;&gt;"",$AX117&amp;", ","")&amp;IF($AY117&lt;&gt;"",$AY117&amp;", ","")&amp;IF($AZ117&lt;&gt;"",$AZ117&amp;", ","")&amp;IF($BA117&lt;&gt;"",$BA117&amp;", ","")&amp;IF($BB117&lt;&gt;"",$BB117&amp;", ","")&amp;IF($BC117&lt;&gt;"",$BC117&amp;", ","")&amp;IF($DL117&lt;&gt;"",$DL117&amp;", ","")&amp;IF($DM117&lt;&gt;"",$DM117&amp;", ","")&amp;IF($DN117&lt;&gt;"",$DN117&amp;", ","")&amp;IF($DO117&lt;&gt;"",$DO117&amp;", ","")&amp;IF($DP117&lt;&gt;"",$DP117&amp;", ","")&amp;IF($DQ117&lt;&gt;"",$DQ117&amp;", ","")&amp;IF($DR117&lt;&gt;"",$DR117&amp;", ","")&amp;IF($DS117&lt;&gt;"",$DS117&amp;", ","")&amp;IF($DT117&lt;&gt;"",$DT117&amp;", ","")&amp;IF($DU117&lt;&gt;"",$DU117&amp;", ","")),LEN((IF($AT117&lt;&gt;"",$AT117&amp;", ","")&amp;IF($AU117&lt;&gt;"",$AU117&amp;", ","")&amp;IF($AV117&lt;&gt;"",$AV117&amp;", ","")&amp;IF($AW117&lt;&gt;"",$AW117&amp;", ","")&amp;IF($AX117&lt;&gt;"",$AX117&amp;", ","")&amp;IF($AY117&lt;&gt;"",$AY117&amp;", ","")&amp;IF($AZ117&lt;&gt;"",$AZ117&amp;", ","")&amp;IF($BA117&lt;&gt;"",$BA117&amp;", ","")&amp;IF($BB117&lt;&gt;"",$BB117&amp;", ","")&amp;IF($BC117&lt;&gt;"",$BC117&amp;", ","")&amp;IF($DL117&lt;&gt;"",$DL117&amp;", ","")&amp;IF($DM117&lt;&gt;"",$DM117&amp;", ","")&amp;IF($DN117&lt;&gt;"",$DN117&amp;", ","")&amp;IF($DO117&lt;&gt;"",$DO117&amp;", ","")&amp;IF($DP117&lt;&gt;"",$DP117&amp;", ","")&amp;IF($DQ117&lt;&gt;"",$DQ117&amp;", ","")&amp;IF($DR117&lt;&gt;"",$DR117&amp;", ","")&amp;IF($DS117&lt;&gt;"",$DS117&amp;", ","")&amp;IF($DT117&lt;&gt;"",$DT117&amp;", ","")&amp;IF($DU117&lt;&gt;"",$DU117&amp;", ","")))-2)))))))</f>
        <v/>
      </c>
      <c r="N117" t="str">
        <f t="shared" si="796"/>
        <v/>
      </c>
      <c r="O117" t="str">
        <f t="shared" si="797"/>
        <v/>
      </c>
      <c r="P117" t="str">
        <f t="shared" si="798"/>
        <v/>
      </c>
      <c r="Q117" t="str">
        <f t="shared" si="799"/>
        <v/>
      </c>
      <c r="R117" t="str">
        <f>IF($Q117="","",IF(OR($BE117="",$BF117=""),"ONZEKER",IF(AND($BE117=0+1,$BF117=0),IF(OR(COUNTIF(#REF!,$B117)&gt;0,COUNTIF(#REF!,$B117)=0),"SKIP",IF(COUNTIFS(#REF!,$B117,#REF!,$Q117)&gt;0,"OK","ONBEKEND")),IF(AND($BE117=0,$BF117=0+1),IF(OR(COUNTIF(#REF!,$D117)&gt;0,COUNTIF(#REF!,$D117)=0),"SKIP",IF(COUNTIFS(#REF!,$D117,#REF!,$Q117)&gt;0,"OK","ONBEKEND")),"ONZEKER"))))</f>
        <v/>
      </c>
      <c r="S117" t="str">
        <f t="shared" si="800"/>
        <v/>
      </c>
      <c r="T117" t="str">
        <f t="shared" si="801"/>
        <v/>
      </c>
      <c r="U117" t="str">
        <f>IF($T117="","",IF(OR($BH117="",$BI117=""),"ONZEKER",IF(OR($BE117="",$BF117=""),"ONZEKER",IF(AND($BH117=$BE117+1,$BI117=$BF117),IF(OR(COUNTIF(#REF!,$B117)&gt;0,COUNTIF(#REF!,$B117)=0),"SKIP",IF(COUNTIFS(#REF!,$B117,#REF!,$T117)&gt;0,"OK","ONBEKEND")),IF(AND($BH117=$BE117,$BI117=$BF117+1),IF(OR(COUNTIF(#REF!,$D117)&gt;0,COUNTIF(#REF!,$D117)=0),"SKIP",IF(COUNTIFS(#REF!,$D117,#REF!,$T117)&gt;0,"OK","ONBEKEND")),"ONZEKER")))))</f>
        <v/>
      </c>
      <c r="V117" t="str">
        <f t="shared" si="802"/>
        <v/>
      </c>
      <c r="W117" t="str">
        <f t="shared" si="803"/>
        <v/>
      </c>
      <c r="X117" t="str">
        <f>IF($W117="","",IF(OR($BK117="",$BL117=""),"ONZEKER",IF(OR($BH117="",$BI117=""),"ONZEKER",IF(AND($BK117=$BH117+1,$BL117=$BI117),IF(OR(COUNTIF(#REF!,$B117)&gt;0,COUNTIF(#REF!,$B117)=0),"SKIP",IF(COUNTIFS(#REF!,$B117,#REF!,$W117)&gt;0,"OK","ONBEKEND")),IF(AND($BK117=$BH117,$BL117=$BI117+1),IF(OR(COUNTIF(#REF!,$D117)&gt;0,COUNTIF(#REF!,$D117)=0),"SKIP",IF(COUNTIFS(#REF!,$D117,#REF!,$W117)&gt;0,"OK","ONBEKEND")),"ONZEKER")))))</f>
        <v/>
      </c>
      <c r="Y117" t="str">
        <f t="shared" si="804"/>
        <v/>
      </c>
      <c r="Z117" t="str">
        <f t="shared" si="805"/>
        <v/>
      </c>
      <c r="AA117" t="str">
        <f>IF($Z117="","",IF(OR($BN117="",$BO117=""),"ONZEKER",IF(OR($BK117="",$BL117=""),"ONZEKER",IF(AND($BN117=$BK117+1,$BO117=$BL117),IF(OR(COUNTIF(#REF!,$B117)&gt;0,COUNTIF(#REF!,$B117)=0),"SKIP",IF(COUNTIFS(#REF!,$B117,#REF!,$Z117)&gt;0,"OK","ONBEKEND")),IF(AND($BN117=$BK117,$BO117=$BL117+1),IF(OR(COUNTIF(#REF!,$D117)&gt;0,COUNTIF(#REF!,$D117)=0),"SKIP",IF(COUNTIFS(#REF!,$D117,#REF!,$Z117)&gt;0,"OK","ONBEKEND")),"ONZEKER")))))</f>
        <v/>
      </c>
      <c r="AB117" t="str">
        <f t="shared" si="806"/>
        <v/>
      </c>
      <c r="AC117" t="str">
        <f t="shared" si="807"/>
        <v/>
      </c>
      <c r="AD117" t="str">
        <f>IF($AC117="","",IF(OR($BQ117="",$BR117=""),"ONZEKER",IF(OR($BN117="",$BO117=""),"ONZEKER",IF(AND($BQ117=$BN117+1,$BR117=$BO117),IF(OR(COUNTIF(#REF!,$B117)&gt;0,COUNTIF(#REF!,$B117)=0),"SKIP",IF(COUNTIFS(#REF!,$B117,#REF!,$AC117)&gt;0,"OK","ONBEKEND")),IF(AND($BQ117=$BN117,$BR117=$BO117+1),IF(OR(COUNTIF(#REF!,$D117)&gt;0,COUNTIF(#REF!,$D117)=0),"SKIP",IF(COUNTIFS(#REF!,$D117,#REF!,$AC117)&gt;0,"OK","ONBEKEND")),"ONZEKER")))))</f>
        <v/>
      </c>
      <c r="AE117" t="str">
        <f t="shared" si="808"/>
        <v/>
      </c>
      <c r="AF117" t="str">
        <f t="shared" si="809"/>
        <v/>
      </c>
      <c r="AG117" t="str">
        <f>IF($AF117="","",IF(OR($BT117="",$BU117=""),"ONZEKER",IF(OR($BQ117="",$BR117=""),"ONZEKER",IF(AND($BT117=$BQ117+1,$BU117=$BR117),IF(OR(COUNTIF(#REF!,$B117)&gt;0,COUNTIF(#REF!,$B117)=0),"SKIP",IF(COUNTIFS(#REF!,$B117,#REF!,$AF117)&gt;0,"OK","ONBEKEND")),IF(AND($BT117=$BQ117,$BU117=$BR117+1),IF(OR(COUNTIF(#REF!,$D117)&gt;0,COUNTIF(#REF!,$D117)=0),"SKIP",IF(COUNTIFS(#REF!,$D117,#REF!,$AF117)&gt;0,"OK","ONBEKEND")),"ONZEKER")))))</f>
        <v/>
      </c>
      <c r="AH117" t="str">
        <f t="shared" si="810"/>
        <v/>
      </c>
      <c r="AI117" t="str">
        <f t="shared" si="811"/>
        <v/>
      </c>
      <c r="AJ117" t="str">
        <f>IF($AI117="","",IF(OR($BW117="",$BX117=""),"ONZEKER",IF(OR($BT117="",$BU117=""),"ONZEKER",IF(AND($BW117=$BT117+1,$BX117=$BU117),IF(OR(COUNTIF(#REF!,$B117)&gt;0,COUNTIF(#REF!,$B117)=0),"SKIP",IF(COUNTIFS(#REF!,$B117,#REF!,$AI117)&gt;0,"OK","ONBEKEND")),IF(AND($BW117=$BT117,$BX117=$BU117+1),IF(OR(COUNTIF(#REF!,$D117)&gt;0,COUNTIF(#REF!,$D117)=0),"SKIP",IF(COUNTIFS(#REF!,$D117,#REF!,$AI117)&gt;0,"OK","ONBEKEND")),"ONZEKER")))))</f>
        <v/>
      </c>
      <c r="AK117" t="str">
        <f t="shared" si="812"/>
        <v/>
      </c>
      <c r="AL117" t="str">
        <f t="shared" si="813"/>
        <v/>
      </c>
      <c r="AM117" t="str">
        <f>IF($AL117="","",IF(OR($BZ117="",$CA117=""),"ONZEKER",IF(OR($BW117="",$BX117=""),"ONZEKER",IF(AND($BZ117=$BW117+1,$CA117=$BX117),IF(OR(COUNTIF(#REF!,$B117)&gt;0,COUNTIF(#REF!,$B117)=0),"SKIP",IF(COUNTIFS(#REF!,$B117,#REF!,$AL117)&gt;0,"OK","ONBEKEND")),IF(AND($BZ117=$BW117,$CA117=$BX117+1),IF(OR(COUNTIF(#REF!,$D117)&gt;0,COUNTIF(#REF!,$D117)=0),"SKIP",IF(COUNTIFS(#REF!,$D117,#REF!,$AL117)&gt;0,"OK","ONBEKEND")),"ONZEKER")))))</f>
        <v/>
      </c>
      <c r="AN117" t="str">
        <f t="shared" si="814"/>
        <v/>
      </c>
      <c r="AO117" t="str">
        <f t="shared" si="815"/>
        <v/>
      </c>
      <c r="AP117" t="str">
        <f>IF($AO117="","",IF(OR($CC117="",$CD117=""),"ONZEKER",IF(OR($BZ117="",$CA117=""),"ONZEKER",IF(AND($CC117=$BZ117+1,$CD117=$CA117),IF(OR(COUNTIF(#REF!,$B117)&gt;0,COUNTIF(#REF!,$B117)=0),"SKIP",IF(COUNTIFS(#REF!,$B117,#REF!,$AO117)&gt;0,"OK","ONBEKEND")),IF(AND($CC117=$BZ117,$CD117=$CA117+1),IF(OR(COUNTIF(#REF!,$D117)&gt;0,COUNTIF(#REF!,$D117)=0),"SKIP",IF(COUNTIFS(#REF!,$D117,#REF!,$AO117)&gt;0,"OK","ONBEKEND")),"ONZEKER")))))</f>
        <v/>
      </c>
      <c r="AQ117" t="str">
        <f t="shared" si="816"/>
        <v/>
      </c>
      <c r="AR117" t="str">
        <f t="shared" si="817"/>
        <v/>
      </c>
      <c r="AS117" t="str">
        <f>IF($AR117="","",IF(OR($CF117="",$CG117=""),"ONZEKER",IF(OR($CC117="",$CD117=""),"ONZEKER",IF(AND($CF117=$CC117+1,$CG117=$CD117),IF(OR(COUNTIF(#REF!,$B117)&gt;0,COUNTIF(#REF!,$B117)=0),"SKIP",IF(COUNTIFS(#REF!,$B117,#REF!,$AR117)&gt;0,"OK","ONBEKEND")),IF(AND($CF117=$CC117,$CG117=$CD117+1),IF(OR(COUNTIF(#REF!,$D117)&gt;0,COUNTIF(#REF!,$D117)=0),"SKIP",IF(COUNTIFS(#REF!,$D117,#REF!,$AR117)&gt;0,"OK","ONBEKEND")),"ONZEKER")))))</f>
        <v/>
      </c>
      <c r="AT117" t="str">
        <f t="shared" si="818"/>
        <v/>
      </c>
      <c r="AU117" t="str">
        <f t="shared" si="819"/>
        <v/>
      </c>
      <c r="AV117" t="str">
        <f t="shared" si="820"/>
        <v/>
      </c>
      <c r="AW117" t="str">
        <f t="shared" si="821"/>
        <v/>
      </c>
      <c r="AX117" t="str">
        <f t="shared" si="822"/>
        <v/>
      </c>
      <c r="AY117" t="str">
        <f t="shared" si="823"/>
        <v/>
      </c>
      <c r="AZ117" t="str">
        <f t="shared" si="824"/>
        <v/>
      </c>
      <c r="BA117" t="str">
        <f t="shared" si="825"/>
        <v/>
      </c>
      <c r="BB117" t="str">
        <f t="shared" si="826"/>
        <v/>
      </c>
      <c r="BC117" t="str">
        <f t="shared" si="827"/>
        <v/>
      </c>
      <c r="BD117" t="str">
        <f t="shared" si="490"/>
        <v/>
      </c>
      <c r="BE117" t="str">
        <f t="shared" si="491"/>
        <v/>
      </c>
      <c r="BF117" t="str">
        <f t="shared" si="492"/>
        <v/>
      </c>
      <c r="BG117" t="str">
        <f t="shared" si="493"/>
        <v/>
      </c>
      <c r="BH117" t="str">
        <f t="shared" si="494"/>
        <v/>
      </c>
      <c r="BI117" t="str">
        <f t="shared" si="495"/>
        <v/>
      </c>
      <c r="BJ117" t="str">
        <f t="shared" si="496"/>
        <v/>
      </c>
      <c r="BK117" t="str">
        <f t="shared" si="497"/>
        <v/>
      </c>
      <c r="BL117" t="str">
        <f t="shared" si="498"/>
        <v/>
      </c>
      <c r="BM117" t="str">
        <f t="shared" si="499"/>
        <v/>
      </c>
      <c r="BN117" t="str">
        <f t="shared" si="500"/>
        <v/>
      </c>
      <c r="BO117" t="str">
        <f t="shared" si="501"/>
        <v/>
      </c>
      <c r="BP117" t="str">
        <f t="shared" si="502"/>
        <v/>
      </c>
      <c r="BQ117" t="str">
        <f t="shared" si="503"/>
        <v/>
      </c>
      <c r="BR117" t="str">
        <f t="shared" si="504"/>
        <v/>
      </c>
      <c r="BS117" t="str">
        <f t="shared" si="505"/>
        <v/>
      </c>
      <c r="BT117" t="str">
        <f t="shared" si="506"/>
        <v/>
      </c>
      <c r="BU117" t="str">
        <f t="shared" si="507"/>
        <v/>
      </c>
      <c r="BV117" t="str">
        <f t="shared" si="508"/>
        <v/>
      </c>
      <c r="BW117" t="str">
        <f t="shared" si="509"/>
        <v/>
      </c>
      <c r="BX117" t="str">
        <f t="shared" si="510"/>
        <v/>
      </c>
      <c r="BY117" t="str">
        <f t="shared" si="511"/>
        <v/>
      </c>
      <c r="BZ117" t="str">
        <f t="shared" si="512"/>
        <v/>
      </c>
      <c r="CA117" t="str">
        <f t="shared" si="513"/>
        <v/>
      </c>
      <c r="CB117" t="str">
        <f t="shared" si="514"/>
        <v/>
      </c>
      <c r="CC117" t="str">
        <f t="shared" si="515"/>
        <v/>
      </c>
      <c r="CD117" t="str">
        <f t="shared" si="516"/>
        <v/>
      </c>
      <c r="CE117" t="str">
        <f t="shared" si="517"/>
        <v/>
      </c>
      <c r="CF117" t="str">
        <f t="shared" si="518"/>
        <v/>
      </c>
      <c r="CG117" t="str">
        <f t="shared" si="519"/>
        <v/>
      </c>
      <c r="CH117" t="str">
        <f t="shared" si="828"/>
        <v/>
      </c>
      <c r="CI117" t="str">
        <f t="shared" si="829"/>
        <v/>
      </c>
      <c r="CJ117" t="str">
        <f>IF($CI117="","",IF(OR($DW117="",$DX117=""),"ONZEKER",IF(OR($CF117="",$CG117=""),"ONZEKER",IF(AND($DW117=$CF117+1,$DX117=$CG117),IF(OR(COUNTIF(#REF!,$B117)&gt;0,COUNTIF(#REF!,$B117)=0),"SKIP",IF(COUNTIFS(#REF!,$B117,#REF!,$CI117)&gt;0,"OK","ONBEKEND")),IF(AND($DW117=$CF117,$DX117=$CG117+1),IF(OR(COUNTIF(#REF!,$D117)&gt;0,COUNTIF(#REF!,$D117)=0),"SKIP",IF(COUNTIFS(#REF!,$D117,#REF!,$CI117)&gt;0,"OK","ONBEKEND")),"ONZEKER")))))</f>
        <v/>
      </c>
      <c r="CK117" t="str">
        <f t="shared" si="830"/>
        <v/>
      </c>
      <c r="CL117" t="str">
        <f t="shared" si="831"/>
        <v/>
      </c>
      <c r="CM117" t="str">
        <f>IF($CL117="","",IF(OR($DZ117="",$EA117=""),"ONZEKER",IF(OR($DW117="",$DX117=""),"ONZEKER",IF(AND($DZ117=$DW117+1,$EA117=$DX117),IF(OR(COUNTIF(#REF!,$B117)&gt;0,COUNTIF(#REF!,$B117)=0),"SKIP",IF(COUNTIFS(#REF!,$B117,#REF!,$CL117)&gt;0,"OK","ONBEKEND")),IF(AND($DZ117=$DW117,$EA117=$DX117+1),IF(OR(COUNTIF(#REF!,$D117)&gt;0,COUNTIF(#REF!,$D117)=0),"SKIP",IF(COUNTIFS(#REF!,$D117,#REF!,$CL117)&gt;0,"OK","ONBEKEND")),"ONZEKER")))))</f>
        <v/>
      </c>
      <c r="CN117" t="str">
        <f t="shared" si="832"/>
        <v/>
      </c>
      <c r="CO117" t="str">
        <f t="shared" si="833"/>
        <v/>
      </c>
      <c r="CP117" t="str">
        <f>IF($CO117="","",IF(OR($EC117="",$ED117=""),"ONZEKER",IF(OR($DZ117="",$EA117=""),"ONZEKER",IF(AND($EC117=$DZ117+1,$ED117=$EA117),IF(OR(COUNTIF(#REF!,$B117)&gt;0,COUNTIF(#REF!,$B117)=0),"SKIP",IF(COUNTIFS(#REF!,$B117,#REF!,$CO117)&gt;0,"OK","ONBEKEND")),IF(AND($EC117=$DZ117,$ED117=$EA117+1),IF(OR(COUNTIF(#REF!,$D117)&gt;0,COUNTIF(#REF!,$D117)=0),"SKIP",IF(COUNTIFS(#REF!,$D117,#REF!,$CO117)&gt;0,"OK","ONBEKEND")),"ONZEKER")))))</f>
        <v/>
      </c>
      <c r="CQ117" t="str">
        <f t="shared" si="834"/>
        <v/>
      </c>
      <c r="CR117" t="str">
        <f t="shared" si="835"/>
        <v/>
      </c>
      <c r="CS117" t="str">
        <f>IF($CR117="","",IF(OR($EF117="",$EG117=""),"ONZEKER",IF(OR($EC117="",$ED117=""),"ONZEKER",IF(AND($EF117=$EC117+1,$EG117=$ED117),IF(OR(COUNTIF(#REF!,$B117)&gt;0,COUNTIF(#REF!,$B117)=0),"SKIP",IF(COUNTIFS(#REF!,$B117,#REF!,$CR117)&gt;0,"OK","ONBEKEND")),IF(AND($EF117=$EC117,$EG117=$ED117+1),IF(OR(COUNTIF(#REF!,$D117)&gt;0,COUNTIF(#REF!,$D117)=0),"SKIP",IF(COUNTIFS(#REF!,$D117,#REF!,$CR117)&gt;0,"OK","ONBEKEND")),"ONZEKER")))))</f>
        <v/>
      </c>
      <c r="CT117" t="str">
        <f t="shared" si="836"/>
        <v/>
      </c>
      <c r="CU117" t="str">
        <f t="shared" si="837"/>
        <v/>
      </c>
      <c r="CV117" t="str">
        <f>IF($CU117="","",IF(OR($EI117="",$EJ117=""),"ONZEKER",IF(OR($EF117="",$EG117=""),"ONZEKER",IF(AND($EI117=$EF117+1,$EJ117=$EG117),IF(OR(COUNTIF(#REF!,$B117)&gt;0,COUNTIF(#REF!,$B117)=0),"SKIP",IF(COUNTIFS(#REF!,$B117,#REF!,$CU117)&gt;0,"OK","ONBEKEND")),IF(AND($EI117=$EF117,$EJ117=$EG117+1),IF(OR(COUNTIF(#REF!,$D117)&gt;0,COUNTIF(#REF!,$D117)=0),"SKIP",IF(COUNTIFS(#REF!,$D117,#REF!,$CU117)&gt;0,"OK","ONBEKEND")),"ONZEKER")))))</f>
        <v/>
      </c>
      <c r="CW117" t="str">
        <f t="shared" si="838"/>
        <v/>
      </c>
      <c r="CX117" t="str">
        <f t="shared" si="839"/>
        <v/>
      </c>
      <c r="CY117" t="str">
        <f>IF($CX117="","",IF(OR($EL117="",$EM117=""),"ONZEKER",IF(OR($EI117="",$EJ117=""),"ONZEKER",IF(AND($EL117=$EI117+1,$EM117=$EJ117),IF(OR(COUNTIF(#REF!,$B117)&gt;0,COUNTIF(#REF!,$B117)=0),"SKIP",IF(COUNTIFS(#REF!,$B117,#REF!,$CX117)&gt;0,"OK","ONBEKEND")),IF(AND($EL117=$EI117,$EM117=$EJ117+1),IF(OR(COUNTIF(#REF!,$D117)&gt;0,COUNTIF(#REF!,$D117)=0),"SKIP",IF(COUNTIFS(#REF!,$D117,#REF!,$CX117)&gt;0,"OK","ONBEKEND")),"ONZEKER")))))</f>
        <v/>
      </c>
      <c r="CZ117" t="str">
        <f t="shared" si="840"/>
        <v/>
      </c>
      <c r="DA117" t="str">
        <f t="shared" si="841"/>
        <v/>
      </c>
      <c r="DB117" t="str">
        <f>IF($DA117="","",IF(OR($EO117="",$EP117=""),"ONZEKER",IF(OR($EL117="",$EM117=""),"ONZEKER",IF(AND($EO117=$EL117+1,$EP117=$EM117),IF(OR(COUNTIF(#REF!,$B117)&gt;0,COUNTIF(#REF!,$B117)=0),"SKIP",IF(COUNTIFS(#REF!,$B117,#REF!,$DA117)&gt;0,"OK","ONBEKEND")),IF(AND($EO117=$EL117,$EP117=$EM117+1),IF(OR(COUNTIF(#REF!,$D117)&gt;0,COUNTIF(#REF!,$D117)=0),"SKIP",IF(COUNTIFS(#REF!,$D117,#REF!,$DA117)&gt;0,"OK","ONBEKEND")),"ONZEKER")))))</f>
        <v/>
      </c>
      <c r="DC117" t="str">
        <f t="shared" si="842"/>
        <v/>
      </c>
      <c r="DD117" t="str">
        <f t="shared" si="843"/>
        <v/>
      </c>
      <c r="DE117" t="str">
        <f>IF($DD117="","",IF(OR($ER117="",$ES117=""),"ONZEKER",IF(OR($EO117="",$EP117=""),"ONZEKER",IF(AND($ER117=$EO117+1,$ES117=$EP117),IF(OR(COUNTIF(#REF!,$B117)&gt;0,COUNTIF(#REF!,$B117)=0),"SKIP",IF(COUNTIFS(#REF!,$B117,#REF!,$DD117)&gt;0,"OK","ONBEKEND")),IF(AND($ER117=$EO117,$ES117=$EP117+1),IF(OR(COUNTIF(#REF!,$D117)&gt;0,COUNTIF(#REF!,$D117)=0),"SKIP",IF(COUNTIFS(#REF!,$D117,#REF!,$DD117)&gt;0,"OK","ONBEKEND")),"ONZEKER")))))</f>
        <v/>
      </c>
      <c r="DF117" t="str">
        <f t="shared" si="844"/>
        <v/>
      </c>
      <c r="DG117" t="str">
        <f t="shared" si="845"/>
        <v/>
      </c>
      <c r="DH117" t="str">
        <f>IF($DG117="","",IF(OR($EU117="",$EV117=""),"ONZEKER",IF(OR($ER117="",$ES117=""),"ONZEKER",IF(AND($EU117=$ER117+1,$EV117=$ES117),IF(OR(COUNTIF(#REF!,$B117)&gt;0,COUNTIF(#REF!,$B117)=0),"SKIP",IF(COUNTIFS(#REF!,$B117,#REF!,$DG117)&gt;0,"OK","ONBEKEND")),IF(AND($EU117=$ER117,$EV117=$ES117+1),IF(OR(COUNTIF(#REF!,$D117)&gt;0,COUNTIF(#REF!,$D117)=0),"SKIP",IF(COUNTIFS(#REF!,$D117,#REF!,$DG117)&gt;0,"OK","ONBEKEND")),"ONZEKER")))))</f>
        <v/>
      </c>
      <c r="DI117" t="str">
        <f t="shared" si="846"/>
        <v/>
      </c>
      <c r="DJ117" t="str">
        <f t="shared" si="847"/>
        <v/>
      </c>
      <c r="DK117" t="str">
        <f>IF($DJ117="","",IF(OR($EX117="",$EY117=""),"ONZEKER",IF(OR($EU117="",$EV117=""),"ONZEKER",IF(AND($EX117=$EU117+1,$EY117=$EV117),IF(OR(COUNTIF(#REF!,$B117)&gt;0,COUNTIF(#REF!,$B117)=0),"SKIP",IF(COUNTIFS(#REF!,$B117,#REF!,$DJ117)&gt;0,"OK","ONBEKEND")),IF(AND($EX117=$EU117,$EY117=$EV117+1),IF(OR(COUNTIF(#REF!,$D117)&gt;0,COUNTIF(#REF!,$D117)=0),"SKIP",IF(COUNTIFS(#REF!,$D117,#REF!,$DJ117)&gt;0,"OK","ONBEKEND")),"ONZEKER")))))</f>
        <v/>
      </c>
      <c r="DL117" t="str">
        <f t="shared" si="848"/>
        <v/>
      </c>
      <c r="DM117" t="str">
        <f t="shared" si="849"/>
        <v/>
      </c>
      <c r="DN117" t="str">
        <f t="shared" si="850"/>
        <v/>
      </c>
      <c r="DO117" t="str">
        <f t="shared" si="851"/>
        <v/>
      </c>
      <c r="DP117" t="str">
        <f t="shared" si="852"/>
        <v/>
      </c>
      <c r="DQ117" t="str">
        <f t="shared" si="853"/>
        <v/>
      </c>
      <c r="DR117" t="str">
        <f t="shared" si="854"/>
        <v/>
      </c>
      <c r="DS117" t="str">
        <f t="shared" si="855"/>
        <v/>
      </c>
      <c r="DT117" t="str">
        <f t="shared" si="856"/>
        <v/>
      </c>
      <c r="DU117" t="str">
        <f t="shared" si="857"/>
        <v/>
      </c>
      <c r="DV117" t="str">
        <f t="shared" si="858"/>
        <v/>
      </c>
      <c r="DW117" t="str">
        <f t="shared" si="859"/>
        <v/>
      </c>
      <c r="DX117" t="str">
        <f t="shared" si="860"/>
        <v/>
      </c>
      <c r="DY117" t="str">
        <f t="shared" si="861"/>
        <v/>
      </c>
      <c r="DZ117" t="str">
        <f t="shared" si="862"/>
        <v/>
      </c>
      <c r="EA117" t="str">
        <f t="shared" si="863"/>
        <v/>
      </c>
      <c r="EB117" t="str">
        <f t="shared" si="864"/>
        <v/>
      </c>
      <c r="EC117" t="str">
        <f t="shared" si="865"/>
        <v/>
      </c>
      <c r="ED117" t="str">
        <f t="shared" si="866"/>
        <v/>
      </c>
      <c r="EE117" t="str">
        <f t="shared" si="867"/>
        <v/>
      </c>
      <c r="EF117" t="str">
        <f t="shared" si="868"/>
        <v/>
      </c>
      <c r="EG117" t="str">
        <f t="shared" si="869"/>
        <v/>
      </c>
      <c r="EH117" t="str">
        <f t="shared" si="870"/>
        <v/>
      </c>
      <c r="EI117" t="str">
        <f t="shared" si="871"/>
        <v/>
      </c>
      <c r="EJ117" t="str">
        <f t="shared" si="872"/>
        <v/>
      </c>
      <c r="EK117" t="str">
        <f t="shared" si="873"/>
        <v/>
      </c>
      <c r="EL117" t="str">
        <f t="shared" si="874"/>
        <v/>
      </c>
      <c r="EM117" t="str">
        <f t="shared" si="875"/>
        <v/>
      </c>
      <c r="EN117" t="str">
        <f t="shared" si="876"/>
        <v/>
      </c>
      <c r="EO117" t="str">
        <f t="shared" si="877"/>
        <v/>
      </c>
      <c r="EP117" t="str">
        <f t="shared" si="878"/>
        <v/>
      </c>
      <c r="EQ117" t="str">
        <f t="shared" si="879"/>
        <v/>
      </c>
      <c r="ER117" t="str">
        <f t="shared" si="880"/>
        <v/>
      </c>
      <c r="ES117" t="str">
        <f t="shared" si="881"/>
        <v/>
      </c>
      <c r="ET117" t="str">
        <f t="shared" si="882"/>
        <v/>
      </c>
      <c r="EU117" t="str">
        <f t="shared" si="883"/>
        <v/>
      </c>
      <c r="EV117" t="str">
        <f t="shared" si="884"/>
        <v/>
      </c>
      <c r="EW117" t="str">
        <f t="shared" si="885"/>
        <v/>
      </c>
      <c r="EX117" t="str">
        <f t="shared" si="886"/>
        <v/>
      </c>
      <c r="EY117" t="str">
        <f t="shared" si="887"/>
        <v/>
      </c>
    </row>
    <row r="118" spans="1:155" ht="13.9" customHeight="1" x14ac:dyDescent="0.25">
      <c r="A118" s="14"/>
      <c r="B118" s="15" t="s">
        <v>153</v>
      </c>
      <c r="C118" s="16"/>
      <c r="D118" s="16"/>
      <c r="E118" s="16"/>
      <c r="F118" s="31" t="s">
        <v>1</v>
      </c>
      <c r="G118" s="33"/>
      <c r="H118" s="33"/>
      <c r="I118" s="32" t="s">
        <v>2</v>
      </c>
      <c r="J118" s="33"/>
      <c r="K118" s="33"/>
      <c r="L118" s="6" t="s">
        <v>3</v>
      </c>
      <c r="M118" s="2" t="s">
        <v>4</v>
      </c>
      <c r="N118" s="2" t="s">
        <v>5</v>
      </c>
      <c r="O118" s="2" t="s">
        <v>6</v>
      </c>
      <c r="P118" s="2" t="s">
        <v>7</v>
      </c>
      <c r="Q118" s="2" t="s">
        <v>8</v>
      </c>
      <c r="R118" s="2" t="str">
        <f>IF($Q118="","",IF(OR($BE118="",$BF118=""),"ONZEKER",IF(AND($BE118=0+1,$BF118=0),IF(OR(COUNTIF(#REF!,$B118)&gt;0,COUNTIF(#REF!,$B118)=0),"SKIP",IF(COUNTIFS(#REF!,$B118,#REF!,$Q118)&gt;0,"OK","ONBEKEND")),IF(AND($BE118=0,$BF118=0+1),IF(OR(COUNTIF(#REF!,$D118)&gt;0,COUNTIF(#REF!,$D118)=0),"SKIP",IF(COUNTIFS(#REF!,$D118,#REF!,$Q118)&gt;0,"OK","ONBEKEND")),"ONZEKER"))))</f>
        <v>ONZEKER</v>
      </c>
      <c r="S118" s="2" t="s">
        <v>10</v>
      </c>
      <c r="T118" s="2" t="s">
        <v>11</v>
      </c>
      <c r="U118" s="2" t="str">
        <f>IF($T118="","",IF(OR($BH118="",$BI118=""),"ONZEKER",IF(OR($BE118="",$BF118=""),"ONZEKER",IF(AND($BH118=$BE118+1,$BI118=$BF118),IF(OR(COUNTIF(#REF!,$B118)&gt;0,COUNTIF(#REF!,$B118)=0),"SKIP",IF(COUNTIFS(#REF!,$B118,#REF!,$T118)&gt;0,"OK","ONBEKEND")),IF(AND($BH118=$BE118,$BI118=$BF118+1),IF(OR(COUNTIF(#REF!,$D118)&gt;0,COUNTIF(#REF!,$D118)=0),"SKIP",IF(COUNTIFS(#REF!,$D118,#REF!,$T118)&gt;0,"OK","ONBEKEND")),"ONZEKER")))))</f>
        <v>ONZEKER</v>
      </c>
      <c r="V118" s="2" t="s">
        <v>13</v>
      </c>
      <c r="W118" s="2" t="s">
        <v>14</v>
      </c>
      <c r="X118" s="2" t="str">
        <f>IF($W118="","",IF(OR($BK118="",$BL118=""),"ONZEKER",IF(OR($BH118="",$BI118=""),"ONZEKER",IF(AND($BK118=$BH118+1,$BL118=$BI118),IF(OR(COUNTIF(#REF!,$B118)&gt;0,COUNTIF(#REF!,$B118)=0),"SKIP",IF(COUNTIFS(#REF!,$B118,#REF!,$W118)&gt;0,"OK","ONBEKEND")),IF(AND($BK118=$BH118,$BL118=$BI118+1),IF(OR(COUNTIF(#REF!,$D118)&gt;0,COUNTIF(#REF!,$D118)=0),"SKIP",IF(COUNTIFS(#REF!,$D118,#REF!,$W118)&gt;0,"OK","ONBEKEND")),"ONZEKER")))))</f>
        <v>ONZEKER</v>
      </c>
      <c r="Y118" s="2" t="s">
        <v>16</v>
      </c>
      <c r="Z118" s="2" t="s">
        <v>17</v>
      </c>
      <c r="AA118" s="2" t="str">
        <f>IF($Z118="","",IF(OR($BN118="",$BO118=""),"ONZEKER",IF(OR($BK118="",$BL118=""),"ONZEKER",IF(AND($BN118=$BK118+1,$BO118=$BL118),IF(OR(COUNTIF(#REF!,$B118)&gt;0,COUNTIF(#REF!,$B118)=0),"SKIP",IF(COUNTIFS(#REF!,$B118,#REF!,$Z118)&gt;0,"OK","ONBEKEND")),IF(AND($BN118=$BK118,$BO118=$BL118+1),IF(OR(COUNTIF(#REF!,$D118)&gt;0,COUNTIF(#REF!,$D118)=0),"SKIP",IF(COUNTIFS(#REF!,$D118,#REF!,$Z118)&gt;0,"OK","ONBEKEND")),"ONZEKER")))))</f>
        <v>ONZEKER</v>
      </c>
      <c r="AB118" s="2" t="s">
        <v>19</v>
      </c>
      <c r="AC118" s="2" t="s">
        <v>20</v>
      </c>
      <c r="AD118" s="2" t="str">
        <f>IF($AC118="","",IF(OR($BQ118="",$BR118=""),"ONZEKER",IF(OR($BN118="",$BO118=""),"ONZEKER",IF(AND($BQ118=$BN118+1,$BR118=$BO118),IF(OR(COUNTIF(#REF!,$B118)&gt;0,COUNTIF(#REF!,$B118)=0),"SKIP",IF(COUNTIFS(#REF!,$B118,#REF!,$AC118)&gt;0,"OK","ONBEKEND")),IF(AND($BQ118=$BN118,$BR118=$BO118+1),IF(OR(COUNTIF(#REF!,$D118)&gt;0,COUNTIF(#REF!,$D118)=0),"SKIP",IF(COUNTIFS(#REF!,$D118,#REF!,$AC118)&gt;0,"OK","ONBEKEND")),"ONZEKER")))))</f>
        <v>ONZEKER</v>
      </c>
      <c r="AE118" s="2" t="s">
        <v>22</v>
      </c>
      <c r="AF118" s="2" t="s">
        <v>23</v>
      </c>
      <c r="AG118" s="2" t="str">
        <f>IF($AF118="","",IF(OR($BT118="",$BU118=""),"ONZEKER",IF(OR($BQ118="",$BR118=""),"ONZEKER",IF(AND($BT118=$BQ118+1,$BU118=$BR118),IF(OR(COUNTIF(#REF!,$B118)&gt;0,COUNTIF(#REF!,$B118)=0),"SKIP",IF(COUNTIFS(#REF!,$B118,#REF!,$AF118)&gt;0,"OK","ONBEKEND")),IF(AND($BT118=$BQ118,$BU118=$BR118+1),IF(OR(COUNTIF(#REF!,$D118)&gt;0,COUNTIF(#REF!,$D118)=0),"SKIP",IF(COUNTIFS(#REF!,$D118,#REF!,$AF118)&gt;0,"OK","ONBEKEND")),"ONZEKER")))))</f>
        <v>ONZEKER</v>
      </c>
      <c r="AH118" s="2" t="s">
        <v>25</v>
      </c>
      <c r="AI118" s="2" t="s">
        <v>26</v>
      </c>
      <c r="AJ118" s="2" t="str">
        <f>IF($AI118="","",IF(OR($BW118="",$BX118=""),"ONZEKER",IF(OR($BT118="",$BU118=""),"ONZEKER",IF(AND($BW118=$BT118+1,$BX118=$BU118),IF(OR(COUNTIF(#REF!,$B118)&gt;0,COUNTIF(#REF!,$B118)=0),"SKIP",IF(COUNTIFS(#REF!,$B118,#REF!,$AI118)&gt;0,"OK","ONBEKEND")),IF(AND($BW118=$BT118,$BX118=$BU118+1),IF(OR(COUNTIF(#REF!,$D118)&gt;0,COUNTIF(#REF!,$D118)=0),"SKIP",IF(COUNTIFS(#REF!,$D118,#REF!,$AI118)&gt;0,"OK","ONBEKEND")),"ONZEKER")))))</f>
        <v>ONZEKER</v>
      </c>
      <c r="AK118" s="2" t="s">
        <v>28</v>
      </c>
      <c r="AL118" s="2" t="s">
        <v>29</v>
      </c>
      <c r="AM118" s="2" t="str">
        <f>IF($AL118="","",IF(OR($BZ118="",$CA118=""),"ONZEKER",IF(OR($BW118="",$BX118=""),"ONZEKER",IF(AND($BZ118=$BW118+1,$CA118=$BX118),IF(OR(COUNTIF(#REF!,$B118)&gt;0,COUNTIF(#REF!,$B118)=0),"SKIP",IF(COUNTIFS(#REF!,$B118,#REF!,$AL118)&gt;0,"OK","ONBEKEND")),IF(AND($BZ118=$BW118,$CA118=$BX118+1),IF(OR(COUNTIF(#REF!,$D118)&gt;0,COUNTIF(#REF!,$D118)=0),"SKIP",IF(COUNTIFS(#REF!,$D118,#REF!,$AL118)&gt;0,"OK","ONBEKEND")),"ONZEKER")))))</f>
        <v>ONZEKER</v>
      </c>
      <c r="AN118" s="2" t="s">
        <v>31</v>
      </c>
      <c r="AO118" s="2" t="s">
        <v>32</v>
      </c>
      <c r="AP118" s="2" t="str">
        <f>IF($AO118="","",IF(OR($CC118="",$CD118=""),"ONZEKER",IF(OR($BZ118="",$CA118=""),"ONZEKER",IF(AND($CC118=$BZ118+1,$CD118=$CA118),IF(OR(COUNTIF(#REF!,$B118)&gt;0,COUNTIF(#REF!,$B118)=0),"SKIP",IF(COUNTIFS(#REF!,$B118,#REF!,$AO118)&gt;0,"OK","ONBEKEND")),IF(AND($CC118=$BZ118,$CD118=$CA118+1),IF(OR(COUNTIF(#REF!,$D118)&gt;0,COUNTIF(#REF!,$D118)=0),"SKIP",IF(COUNTIFS(#REF!,$D118,#REF!,$AO118)&gt;0,"OK","ONBEKEND")),"ONZEKER")))))</f>
        <v>ONZEKER</v>
      </c>
      <c r="AQ118" s="2" t="s">
        <v>34</v>
      </c>
      <c r="AR118" s="2" t="s">
        <v>35</v>
      </c>
      <c r="AS118" s="2" t="str">
        <f>IF($AR118="","",IF(OR($CF118="",$CG118=""),"ONZEKER",IF(OR($CC118="",$CD118=""),"ONZEKER",IF(AND($CF118=$CC118+1,$CG118=$CD118),IF(OR(COUNTIF(#REF!,$B118)&gt;0,COUNTIF(#REF!,$B118)=0),"SKIP",IF(COUNTIFS(#REF!,$B118,#REF!,$AR118)&gt;0,"OK","ONBEKEND")),IF(AND($CF118=$CC118,$CG118=$CD118+1),IF(OR(COUNTIF(#REF!,$D118)&gt;0,COUNTIF(#REF!,$D118)=0),"SKIP",IF(COUNTIFS(#REF!,$D118,#REF!,$AR118)&gt;0,"OK","ONBEKEND")),"ONZEKER")))))</f>
        <v>ONZEKER</v>
      </c>
      <c r="AT118" s="2" t="s">
        <v>37</v>
      </c>
      <c r="AU118" s="2" t="s">
        <v>38</v>
      </c>
      <c r="AV118" s="2" t="s">
        <v>39</v>
      </c>
      <c r="AW118" s="2" t="s">
        <v>40</v>
      </c>
      <c r="AX118" s="2" t="s">
        <v>41</v>
      </c>
      <c r="AY118" s="2" t="s">
        <v>42</v>
      </c>
      <c r="AZ118" s="2" t="s">
        <v>43</v>
      </c>
      <c r="BA118" s="2" t="s">
        <v>44</v>
      </c>
      <c r="BB118" s="2" t="s">
        <v>45</v>
      </c>
      <c r="BC118" s="2" t="s">
        <v>46</v>
      </c>
      <c r="BD118" t="str">
        <f t="shared" si="490"/>
        <v/>
      </c>
      <c r="BE118" t="str">
        <f t="shared" si="491"/>
        <v/>
      </c>
      <c r="BF118" t="str">
        <f t="shared" si="492"/>
        <v/>
      </c>
      <c r="BG118" t="str">
        <f t="shared" si="493"/>
        <v/>
      </c>
      <c r="BH118" t="str">
        <f t="shared" si="494"/>
        <v/>
      </c>
      <c r="BI118" t="str">
        <f t="shared" si="495"/>
        <v/>
      </c>
      <c r="BJ118" t="str">
        <f t="shared" si="496"/>
        <v/>
      </c>
      <c r="BK118" t="str">
        <f t="shared" si="497"/>
        <v/>
      </c>
      <c r="BL118" t="str">
        <f t="shared" si="498"/>
        <v/>
      </c>
      <c r="BM118" t="str">
        <f t="shared" si="499"/>
        <v/>
      </c>
      <c r="BN118" t="str">
        <f t="shared" si="500"/>
        <v/>
      </c>
      <c r="BO118" t="str">
        <f t="shared" si="501"/>
        <v/>
      </c>
      <c r="BP118" t="str">
        <f t="shared" si="502"/>
        <v/>
      </c>
      <c r="BQ118" t="str">
        <f t="shared" si="503"/>
        <v/>
      </c>
      <c r="BR118" t="str">
        <f t="shared" si="504"/>
        <v/>
      </c>
      <c r="BS118" t="str">
        <f t="shared" si="505"/>
        <v/>
      </c>
      <c r="BT118" t="str">
        <f t="shared" si="506"/>
        <v/>
      </c>
      <c r="BU118" t="str">
        <f t="shared" si="507"/>
        <v/>
      </c>
      <c r="BV118" t="str">
        <f t="shared" si="508"/>
        <v/>
      </c>
      <c r="BW118" t="str">
        <f t="shared" si="509"/>
        <v/>
      </c>
      <c r="BX118" t="str">
        <f t="shared" si="510"/>
        <v/>
      </c>
      <c r="BY118" t="str">
        <f t="shared" si="511"/>
        <v/>
      </c>
      <c r="BZ118" t="str">
        <f t="shared" si="512"/>
        <v/>
      </c>
      <c r="CA118" t="str">
        <f t="shared" si="513"/>
        <v/>
      </c>
      <c r="CB118" t="str">
        <f t="shared" si="514"/>
        <v/>
      </c>
      <c r="CC118" t="str">
        <f t="shared" si="515"/>
        <v/>
      </c>
      <c r="CD118" t="str">
        <f t="shared" si="516"/>
        <v/>
      </c>
      <c r="CE118" t="str">
        <f t="shared" si="517"/>
        <v/>
      </c>
      <c r="CF118" t="str">
        <f t="shared" si="518"/>
        <v/>
      </c>
      <c r="CG118" t="str">
        <f t="shared" si="519"/>
        <v/>
      </c>
      <c r="CH118" s="2" t="s">
        <v>77</v>
      </c>
      <c r="CI118" s="2" t="s">
        <v>78</v>
      </c>
      <c r="CJ118" s="2" t="s">
        <v>79</v>
      </c>
      <c r="CK118" s="2" t="s">
        <v>80</v>
      </c>
      <c r="CL118" s="2" t="s">
        <v>81</v>
      </c>
      <c r="CM118" s="2" t="s">
        <v>82</v>
      </c>
      <c r="CN118" s="2" t="s">
        <v>83</v>
      </c>
      <c r="CO118" s="2" t="s">
        <v>84</v>
      </c>
      <c r="CP118" s="2" t="s">
        <v>85</v>
      </c>
      <c r="CQ118" s="2" t="s">
        <v>86</v>
      </c>
      <c r="CR118" s="2" t="s">
        <v>87</v>
      </c>
      <c r="CS118" s="2" t="s">
        <v>88</v>
      </c>
      <c r="CT118" s="2" t="s">
        <v>89</v>
      </c>
      <c r="CU118" s="2" t="s">
        <v>90</v>
      </c>
      <c r="CV118" s="2" t="s">
        <v>91</v>
      </c>
      <c r="CW118" s="2" t="s">
        <v>92</v>
      </c>
      <c r="CX118" s="2" t="s">
        <v>93</v>
      </c>
      <c r="CY118" s="2" t="s">
        <v>94</v>
      </c>
      <c r="CZ118" s="2" t="s">
        <v>95</v>
      </c>
      <c r="DA118" s="2" t="s">
        <v>96</v>
      </c>
      <c r="DB118" s="2" t="s">
        <v>97</v>
      </c>
      <c r="DC118" s="2" t="s">
        <v>98</v>
      </c>
      <c r="DD118" s="2" t="s">
        <v>99</v>
      </c>
      <c r="DE118" s="2" t="s">
        <v>100</v>
      </c>
      <c r="DF118" s="2" t="s">
        <v>101</v>
      </c>
      <c r="DG118" s="2" t="s">
        <v>102</v>
      </c>
      <c r="DH118" s="2" t="s">
        <v>103</v>
      </c>
      <c r="DI118" s="2" t="s">
        <v>104</v>
      </c>
      <c r="DJ118" s="2" t="s">
        <v>105</v>
      </c>
      <c r="DK118" s="2" t="s">
        <v>106</v>
      </c>
      <c r="DL118" s="2" t="s">
        <v>107</v>
      </c>
      <c r="DM118" s="2" t="s">
        <v>108</v>
      </c>
      <c r="DN118" s="2" t="s">
        <v>109</v>
      </c>
      <c r="DO118" s="2" t="s">
        <v>110</v>
      </c>
      <c r="DP118" s="2" t="s">
        <v>111</v>
      </c>
      <c r="DQ118" s="2" t="s">
        <v>112</v>
      </c>
      <c r="DR118" s="2" t="s">
        <v>113</v>
      </c>
      <c r="DS118" s="2" t="s">
        <v>114</v>
      </c>
      <c r="DT118" s="2" t="s">
        <v>115</v>
      </c>
      <c r="DU118" s="2" t="s">
        <v>116</v>
      </c>
      <c r="DV118" s="2" t="s">
        <v>117</v>
      </c>
      <c r="DW118" s="2" t="s">
        <v>118</v>
      </c>
      <c r="DX118" s="2" t="s">
        <v>119</v>
      </c>
      <c r="DY118" s="2" t="s">
        <v>120</v>
      </c>
      <c r="DZ118" s="2" t="s">
        <v>121</v>
      </c>
      <c r="EA118" s="2" t="s">
        <v>122</v>
      </c>
      <c r="EB118" s="2" t="s">
        <v>123</v>
      </c>
      <c r="EC118" s="2" t="s">
        <v>124</v>
      </c>
      <c r="ED118" s="2" t="s">
        <v>125</v>
      </c>
      <c r="EE118" s="2" t="s">
        <v>126</v>
      </c>
      <c r="EF118" s="2" t="s">
        <v>127</v>
      </c>
      <c r="EG118" s="2" t="s">
        <v>128</v>
      </c>
      <c r="EH118" s="2" t="s">
        <v>129</v>
      </c>
      <c r="EI118" s="2" t="s">
        <v>130</v>
      </c>
      <c r="EJ118" s="2" t="s">
        <v>131</v>
      </c>
      <c r="EK118" s="2" t="s">
        <v>132</v>
      </c>
      <c r="EL118" s="2" t="s">
        <v>133</v>
      </c>
      <c r="EM118" s="2" t="s">
        <v>134</v>
      </c>
      <c r="EN118" s="2" t="s">
        <v>135</v>
      </c>
      <c r="EO118" s="2" t="s">
        <v>136</v>
      </c>
      <c r="EP118" s="2" t="s">
        <v>137</v>
      </c>
      <c r="EQ118" s="2" t="s">
        <v>138</v>
      </c>
      <c r="ER118" s="2" t="s">
        <v>139</v>
      </c>
      <c r="ES118" s="2" t="s">
        <v>140</v>
      </c>
      <c r="ET118" s="2" t="s">
        <v>141</v>
      </c>
      <c r="EU118" s="2" t="s">
        <v>142</v>
      </c>
      <c r="EV118" s="2" t="s">
        <v>143</v>
      </c>
      <c r="EW118" s="2" t="s">
        <v>144</v>
      </c>
      <c r="EX118" s="2" t="s">
        <v>145</v>
      </c>
      <c r="EY118" s="2" t="s">
        <v>146</v>
      </c>
    </row>
    <row r="119" spans="1:155" ht="13.9" customHeight="1" x14ac:dyDescent="0.25">
      <c r="A119" s="7"/>
      <c r="B119" s="17"/>
      <c r="C119" s="8"/>
      <c r="D119" s="17"/>
      <c r="E119" s="8"/>
      <c r="F119" s="18">
        <v>0</v>
      </c>
      <c r="G119" s="7" t="s">
        <v>147</v>
      </c>
      <c r="H119" s="18">
        <v>0</v>
      </c>
      <c r="I119" s="19">
        <v>0</v>
      </c>
      <c r="J119" s="7" t="s">
        <v>147</v>
      </c>
      <c r="K119" s="19">
        <v>0</v>
      </c>
      <c r="L119" s="9"/>
      <c r="M119" s="3" t="str">
        <f>IF($L119="","",IF($L119="DOELPUNTENMAKERS","",IF(AND(COUNTIF(#REF!,$B119)=0,COUNTIF(#REF!,$D119)=0),"OK",IF($O119&gt;20,"LET OP: meer dan 20 items (controle onvolledig)",IF((COUNTIF($R119:$AS119,"ONZEKER")+COUNTIF($CJ119:$DK119,"ONZEKER"))&gt;0,"LET OP: scoreverloop onduidelijk (controle beperkt)",IF((IF($AT119&lt;&gt;"",$AT119&amp;", ","")&amp;IF($AU119&lt;&gt;"",$AU119&amp;", ","")&amp;IF($AV119&lt;&gt;"",$AV119&amp;", ","")&amp;IF($AW119&lt;&gt;"",$AW119&amp;", ","")&amp;IF($AX119&lt;&gt;"",$AX119&amp;", ","")&amp;IF($AY119&lt;&gt;"",$AY119&amp;", ","")&amp;IF($AZ119&lt;&gt;"",$AZ119&amp;", ","")&amp;IF($BA119&lt;&gt;"",$BA119&amp;", ","")&amp;IF($BB119&lt;&gt;"",$BB119&amp;", ","")&amp;IF($BC119&lt;&gt;"",$BC119&amp;", ","")&amp;IF($DL119&lt;&gt;"",$DL119&amp;", ","")&amp;IF($DM119&lt;&gt;"",$DM119&amp;", ","")&amp;IF($DN119&lt;&gt;"",$DN119&amp;", ","")&amp;IF($DO119&lt;&gt;"",$DO119&amp;", ","")&amp;IF($DP119&lt;&gt;"",$DP119&amp;", ","")&amp;IF($DQ119&lt;&gt;"",$DQ119&amp;", ","")&amp;IF($DR119&lt;&gt;"",$DR119&amp;", ","")&amp;IF($DS119&lt;&gt;"",$DS119&amp;", ","")&amp;IF($DT119&lt;&gt;"",$DT119&amp;", ","")&amp;IF($DU119&lt;&gt;"",$DU119&amp;", ",""))="","OK","Onbekend: "&amp;LEFT((IF($AT119&lt;&gt;"",$AT119&amp;", ","")&amp;IF($AU119&lt;&gt;"",$AU119&amp;", ","")&amp;IF($AV119&lt;&gt;"",$AV119&amp;", ","")&amp;IF($AW119&lt;&gt;"",$AW119&amp;", ","")&amp;IF($AX119&lt;&gt;"",$AX119&amp;", ","")&amp;IF($AY119&lt;&gt;"",$AY119&amp;", ","")&amp;IF($AZ119&lt;&gt;"",$AZ119&amp;", ","")&amp;IF($BA119&lt;&gt;"",$BA119&amp;", ","")&amp;IF($BB119&lt;&gt;"",$BB119&amp;", ","")&amp;IF($BC119&lt;&gt;"",$BC119&amp;", ","")&amp;IF($DL119&lt;&gt;"",$DL119&amp;", ","")&amp;IF($DM119&lt;&gt;"",$DM119&amp;", ","")&amp;IF($DN119&lt;&gt;"",$DN119&amp;", ","")&amp;IF($DO119&lt;&gt;"",$DO119&amp;", ","")&amp;IF($DP119&lt;&gt;"",$DP119&amp;", ","")&amp;IF($DQ119&lt;&gt;"",$DQ119&amp;", ","")&amp;IF($DR119&lt;&gt;"",$DR119&amp;", ","")&amp;IF($DS119&lt;&gt;"",$DS119&amp;", ","")&amp;IF($DT119&lt;&gt;"",$DT119&amp;", ","")&amp;IF($DU119&lt;&gt;"",$DU119&amp;", ","")),LEN((IF($AT119&lt;&gt;"",$AT119&amp;", ","")&amp;IF($AU119&lt;&gt;"",$AU119&amp;", ","")&amp;IF($AV119&lt;&gt;"",$AV119&amp;", ","")&amp;IF($AW119&lt;&gt;"",$AW119&amp;", ","")&amp;IF($AX119&lt;&gt;"",$AX119&amp;", ","")&amp;IF($AY119&lt;&gt;"",$AY119&amp;", ","")&amp;IF($AZ119&lt;&gt;"",$AZ119&amp;", ","")&amp;IF($BA119&lt;&gt;"",$BA119&amp;", ","")&amp;IF($BB119&lt;&gt;"",$BB119&amp;", ","")&amp;IF($BC119&lt;&gt;"",$BC119&amp;", ","")&amp;IF($DL119&lt;&gt;"",$DL119&amp;", ","")&amp;IF($DM119&lt;&gt;"",$DM119&amp;", ","")&amp;IF($DN119&lt;&gt;"",$DN119&amp;", ","")&amp;IF($DO119&lt;&gt;"",$DO119&amp;", ","")&amp;IF($DP119&lt;&gt;"",$DP119&amp;", ","")&amp;IF($DQ119&lt;&gt;"",$DQ119&amp;", ","")&amp;IF($DR119&lt;&gt;"",$DR119&amp;", ","")&amp;IF($DS119&lt;&gt;"",$DS119&amp;", ","")&amp;IF($DT119&lt;&gt;"",$DT119&amp;", ","")&amp;IF($DU119&lt;&gt;"",$DU119&amp;", ","")))-2)))))))</f>
        <v/>
      </c>
      <c r="N119" t="str">
        <f t="shared" ref="N119:N130" si="888">IF($L119="","",TRIM(IF(RIGHT(SUBSTITUTE($L119,CHAR(160)," "),1)=".",LEFT(SUBSTITUTE($L119,CHAR(160)," "),LEN(SUBSTITUTE($L119,CHAR(160)," "))-1),SUBSTITUTE($L119,CHAR(160)," "))))</f>
        <v/>
      </c>
      <c r="O119" t="str">
        <f t="shared" ref="O119:O130" si="889">IF($N119="","",LEN($N119)-LEN(SUBSTITUTE($N119,",",""))+1)</f>
        <v/>
      </c>
      <c r="P119" t="str">
        <f t="shared" ref="P119:P130" si="890">IF($N119="","",TRIM(MID(SUBSTITUTE($N119,",",REPT(" ",200)),1,200)))</f>
        <v/>
      </c>
      <c r="Q119" t="str">
        <f t="shared" ref="Q119:Q130" si="891">IF(P119="","",TRIM(IFERROR(LEFT(P119,FIND("§",SUBSTITUTE(P119," ","§",LEN(P119)-LEN(SUBSTITUTE(P119," ",""))))-1),P119)))</f>
        <v/>
      </c>
      <c r="R119" t="str">
        <f>IF($Q119="","",IF(OR($BE119="",$BF119=""),"ONZEKER",IF(AND($BE119=0+1,$BF119=0),IF(OR(COUNTIF(#REF!,$B119)&gt;0,COUNTIF(#REF!,$B119)=0),"SKIP",IF(COUNTIFS(#REF!,$B119,#REF!,$Q119)&gt;0,"OK","ONBEKEND")),IF(AND($BE119=0,$BF119=0+1),IF(OR(COUNTIF(#REF!,$D119)&gt;0,COUNTIF(#REF!,$D119)=0),"SKIP",IF(COUNTIFS(#REF!,$D119,#REF!,$Q119)&gt;0,"OK","ONBEKEND")),"ONZEKER"))))</f>
        <v/>
      </c>
      <c r="S119" t="str">
        <f t="shared" ref="S119:S130" si="892">IF($N119="","",TRIM(MID(SUBSTITUTE($N119,",",REPT(" ",200)),201,200)))</f>
        <v/>
      </c>
      <c r="T119" t="str">
        <f t="shared" ref="T119:T130" si="893">IF(S119="","",TRIM(IFERROR(LEFT(S119,FIND("§",SUBSTITUTE(S119," ","§",LEN(S119)-LEN(SUBSTITUTE(S119," ",""))))-1),S119)))</f>
        <v/>
      </c>
      <c r="U119" t="str">
        <f>IF($T119="","",IF(OR($BH119="",$BI119=""),"ONZEKER",IF(OR($BE119="",$BF119=""),"ONZEKER",IF(AND($BH119=$BE119+1,$BI119=$BF119),IF(OR(COUNTIF(#REF!,$B119)&gt;0,COUNTIF(#REF!,$B119)=0),"SKIP",IF(COUNTIFS(#REF!,$B119,#REF!,$T119)&gt;0,"OK","ONBEKEND")),IF(AND($BH119=$BE119,$BI119=$BF119+1),IF(OR(COUNTIF(#REF!,$D119)&gt;0,COUNTIF(#REF!,$D119)=0),"SKIP",IF(COUNTIFS(#REF!,$D119,#REF!,$T119)&gt;0,"OK","ONBEKEND")),"ONZEKER")))))</f>
        <v/>
      </c>
      <c r="V119" t="str">
        <f t="shared" ref="V119:V130" si="894">IF($N119="","",TRIM(MID(SUBSTITUTE($N119,",",REPT(" ",200)),401,200)))</f>
        <v/>
      </c>
      <c r="W119" t="str">
        <f t="shared" ref="W119:W130" si="895">IF(V119="","",TRIM(IFERROR(LEFT(V119,FIND("§",SUBSTITUTE(V119," ","§",LEN(V119)-LEN(SUBSTITUTE(V119," ",""))))-1),V119)))</f>
        <v/>
      </c>
      <c r="X119" t="str">
        <f>IF($W119="","",IF(OR($BK119="",$BL119=""),"ONZEKER",IF(OR($BH119="",$BI119=""),"ONZEKER",IF(AND($BK119=$BH119+1,$BL119=$BI119),IF(OR(COUNTIF(#REF!,$B119)&gt;0,COUNTIF(#REF!,$B119)=0),"SKIP",IF(COUNTIFS(#REF!,$B119,#REF!,$W119)&gt;0,"OK","ONBEKEND")),IF(AND($BK119=$BH119,$BL119=$BI119+1),IF(OR(COUNTIF(#REF!,$D119)&gt;0,COUNTIF(#REF!,$D119)=0),"SKIP",IF(COUNTIFS(#REF!,$D119,#REF!,$W119)&gt;0,"OK","ONBEKEND")),"ONZEKER")))))</f>
        <v/>
      </c>
      <c r="Y119" t="str">
        <f t="shared" ref="Y119:Y130" si="896">IF($N119="","",TRIM(MID(SUBSTITUTE($N119,",",REPT(" ",200)),601,200)))</f>
        <v/>
      </c>
      <c r="Z119" t="str">
        <f t="shared" ref="Z119:Z130" si="897">IF(Y119="","",TRIM(IFERROR(LEFT(Y119,FIND("§",SUBSTITUTE(Y119," ","§",LEN(Y119)-LEN(SUBSTITUTE(Y119," ",""))))-1),Y119)))</f>
        <v/>
      </c>
      <c r="AA119" t="str">
        <f>IF($Z119="","",IF(OR($BN119="",$BO119=""),"ONZEKER",IF(OR($BK119="",$BL119=""),"ONZEKER",IF(AND($BN119=$BK119+1,$BO119=$BL119),IF(OR(COUNTIF(#REF!,$B119)&gt;0,COUNTIF(#REF!,$B119)=0),"SKIP",IF(COUNTIFS(#REF!,$B119,#REF!,$Z119)&gt;0,"OK","ONBEKEND")),IF(AND($BN119=$BK119,$BO119=$BL119+1),IF(OR(COUNTIF(#REF!,$D119)&gt;0,COUNTIF(#REF!,$D119)=0),"SKIP",IF(COUNTIFS(#REF!,$D119,#REF!,$Z119)&gt;0,"OK","ONBEKEND")),"ONZEKER")))))</f>
        <v/>
      </c>
      <c r="AB119" t="str">
        <f t="shared" ref="AB119:AB130" si="898">IF($N119="","",TRIM(MID(SUBSTITUTE($N119,",",REPT(" ",200)),801,200)))</f>
        <v/>
      </c>
      <c r="AC119" t="str">
        <f t="shared" ref="AC119:AC130" si="899">IF(AB119="","",TRIM(IFERROR(LEFT(AB119,FIND("§",SUBSTITUTE(AB119," ","§",LEN(AB119)-LEN(SUBSTITUTE(AB119," ",""))))-1),AB119)))</f>
        <v/>
      </c>
      <c r="AD119" t="str">
        <f>IF($AC119="","",IF(OR($BQ119="",$BR119=""),"ONZEKER",IF(OR($BN119="",$BO119=""),"ONZEKER",IF(AND($BQ119=$BN119+1,$BR119=$BO119),IF(OR(COUNTIF(#REF!,$B119)&gt;0,COUNTIF(#REF!,$B119)=0),"SKIP",IF(COUNTIFS(#REF!,$B119,#REF!,$AC119)&gt;0,"OK","ONBEKEND")),IF(AND($BQ119=$BN119,$BR119=$BO119+1),IF(OR(COUNTIF(#REF!,$D119)&gt;0,COUNTIF(#REF!,$D119)=0),"SKIP",IF(COUNTIFS(#REF!,$D119,#REF!,$AC119)&gt;0,"OK","ONBEKEND")),"ONZEKER")))))</f>
        <v/>
      </c>
      <c r="AE119" t="str">
        <f t="shared" ref="AE119:AE130" si="900">IF($N119="","",TRIM(MID(SUBSTITUTE($N119,",",REPT(" ",200)),1001,200)))</f>
        <v/>
      </c>
      <c r="AF119" t="str">
        <f t="shared" ref="AF119:AF130" si="901">IF(AE119="","",TRIM(IFERROR(LEFT(AE119,FIND("§",SUBSTITUTE(AE119," ","§",LEN(AE119)-LEN(SUBSTITUTE(AE119," ",""))))-1),AE119)))</f>
        <v/>
      </c>
      <c r="AG119" t="str">
        <f>IF($AF119="","",IF(OR($BT119="",$BU119=""),"ONZEKER",IF(OR($BQ119="",$BR119=""),"ONZEKER",IF(AND($BT119=$BQ119+1,$BU119=$BR119),IF(OR(COUNTIF(#REF!,$B119)&gt;0,COUNTIF(#REF!,$B119)=0),"SKIP",IF(COUNTIFS(#REF!,$B119,#REF!,$AF119)&gt;0,"OK","ONBEKEND")),IF(AND($BT119=$BQ119,$BU119=$BR119+1),IF(OR(COUNTIF(#REF!,$D119)&gt;0,COUNTIF(#REF!,$D119)=0),"SKIP",IF(COUNTIFS(#REF!,$D119,#REF!,$AF119)&gt;0,"OK","ONBEKEND")),"ONZEKER")))))</f>
        <v/>
      </c>
      <c r="AH119" t="str">
        <f t="shared" ref="AH119:AH130" si="902">IF($N119="","",TRIM(MID(SUBSTITUTE($N119,",",REPT(" ",200)),1201,200)))</f>
        <v/>
      </c>
      <c r="AI119" t="str">
        <f t="shared" ref="AI119:AI130" si="903">IF(AH119="","",TRIM(IFERROR(LEFT(AH119,FIND("§",SUBSTITUTE(AH119," ","§",LEN(AH119)-LEN(SUBSTITUTE(AH119," ",""))))-1),AH119)))</f>
        <v/>
      </c>
      <c r="AJ119" t="str">
        <f>IF($AI119="","",IF(OR($BW119="",$BX119=""),"ONZEKER",IF(OR($BT119="",$BU119=""),"ONZEKER",IF(AND($BW119=$BT119+1,$BX119=$BU119),IF(OR(COUNTIF(#REF!,$B119)&gt;0,COUNTIF(#REF!,$B119)=0),"SKIP",IF(COUNTIFS(#REF!,$B119,#REF!,$AI119)&gt;0,"OK","ONBEKEND")),IF(AND($BW119=$BT119,$BX119=$BU119+1),IF(OR(COUNTIF(#REF!,$D119)&gt;0,COUNTIF(#REF!,$D119)=0),"SKIP",IF(COUNTIFS(#REF!,$D119,#REF!,$AI119)&gt;0,"OK","ONBEKEND")),"ONZEKER")))))</f>
        <v/>
      </c>
      <c r="AK119" t="str">
        <f t="shared" ref="AK119:AK130" si="904">IF($N119="","",TRIM(MID(SUBSTITUTE($N119,",",REPT(" ",200)),1401,200)))</f>
        <v/>
      </c>
      <c r="AL119" t="str">
        <f t="shared" ref="AL119:AL130" si="905">IF(AK119="","",TRIM(IFERROR(LEFT(AK119,FIND("§",SUBSTITUTE(AK119," ","§",LEN(AK119)-LEN(SUBSTITUTE(AK119," ",""))))-1),AK119)))</f>
        <v/>
      </c>
      <c r="AM119" t="str">
        <f>IF($AL119="","",IF(OR($BZ119="",$CA119=""),"ONZEKER",IF(OR($BW119="",$BX119=""),"ONZEKER",IF(AND($BZ119=$BW119+1,$CA119=$BX119),IF(OR(COUNTIF(#REF!,$B119)&gt;0,COUNTIF(#REF!,$B119)=0),"SKIP",IF(COUNTIFS(#REF!,$B119,#REF!,$AL119)&gt;0,"OK","ONBEKEND")),IF(AND($BZ119=$BW119,$CA119=$BX119+1),IF(OR(COUNTIF(#REF!,$D119)&gt;0,COUNTIF(#REF!,$D119)=0),"SKIP",IF(COUNTIFS(#REF!,$D119,#REF!,$AL119)&gt;0,"OK","ONBEKEND")),"ONZEKER")))))</f>
        <v/>
      </c>
      <c r="AN119" t="str">
        <f t="shared" ref="AN119:AN130" si="906">IF($N119="","",TRIM(MID(SUBSTITUTE($N119,",",REPT(" ",200)),1601,200)))</f>
        <v/>
      </c>
      <c r="AO119" t="str">
        <f t="shared" ref="AO119:AO130" si="907">IF(AN119="","",TRIM(IFERROR(LEFT(AN119,FIND("§",SUBSTITUTE(AN119," ","§",LEN(AN119)-LEN(SUBSTITUTE(AN119," ",""))))-1),AN119)))</f>
        <v/>
      </c>
      <c r="AP119" t="str">
        <f>IF($AO119="","",IF(OR($CC119="",$CD119=""),"ONZEKER",IF(OR($BZ119="",$CA119=""),"ONZEKER",IF(AND($CC119=$BZ119+1,$CD119=$CA119),IF(OR(COUNTIF(#REF!,$B119)&gt;0,COUNTIF(#REF!,$B119)=0),"SKIP",IF(COUNTIFS(#REF!,$B119,#REF!,$AO119)&gt;0,"OK","ONBEKEND")),IF(AND($CC119=$BZ119,$CD119=$CA119+1),IF(OR(COUNTIF(#REF!,$D119)&gt;0,COUNTIF(#REF!,$D119)=0),"SKIP",IF(COUNTIFS(#REF!,$D119,#REF!,$AO119)&gt;0,"OK","ONBEKEND")),"ONZEKER")))))</f>
        <v/>
      </c>
      <c r="AQ119" t="str">
        <f t="shared" ref="AQ119:AQ130" si="908">IF($N119="","",TRIM(MID(SUBSTITUTE($N119,",",REPT(" ",200)),1801,200)))</f>
        <v/>
      </c>
      <c r="AR119" t="str">
        <f t="shared" ref="AR119:AR130" si="909">IF(AQ119="","",TRIM(IFERROR(LEFT(AQ119,FIND("§",SUBSTITUTE(AQ119," ","§",LEN(AQ119)-LEN(SUBSTITUTE(AQ119," ",""))))-1),AQ119)))</f>
        <v/>
      </c>
      <c r="AS119" t="str">
        <f>IF($AR119="","",IF(OR($CF119="",$CG119=""),"ONZEKER",IF(OR($CC119="",$CD119=""),"ONZEKER",IF(AND($CF119=$CC119+1,$CG119=$CD119),IF(OR(COUNTIF(#REF!,$B119)&gt;0,COUNTIF(#REF!,$B119)=0),"SKIP",IF(COUNTIFS(#REF!,$B119,#REF!,$AR119)&gt;0,"OK","ONBEKEND")),IF(AND($CF119=$CC119,$CG119=$CD119+1),IF(OR(COUNTIF(#REF!,$D119)&gt;0,COUNTIF(#REF!,$D119)=0),"SKIP",IF(COUNTIFS(#REF!,$D119,#REF!,$AR119)&gt;0,"OK","ONBEKEND")),"ONZEKER")))))</f>
        <v/>
      </c>
      <c r="AT119" t="str">
        <f t="shared" ref="AT119:AT130" si="910">IF(R119="ONBEKEND",Q119,"")</f>
        <v/>
      </c>
      <c r="AU119" t="str">
        <f t="shared" ref="AU119:AU130" si="911">IF(U119="ONBEKEND",T119,"")</f>
        <v/>
      </c>
      <c r="AV119" t="str">
        <f t="shared" ref="AV119:AV130" si="912">IF(X119="ONBEKEND",W119,"")</f>
        <v/>
      </c>
      <c r="AW119" t="str">
        <f t="shared" ref="AW119:AW130" si="913">IF(AA119="ONBEKEND",Z119,"")</f>
        <v/>
      </c>
      <c r="AX119" t="str">
        <f t="shared" ref="AX119:AX130" si="914">IF(AD119="ONBEKEND",AC119,"")</f>
        <v/>
      </c>
      <c r="AY119" t="str">
        <f t="shared" ref="AY119:AY130" si="915">IF(AG119="ONBEKEND",AF119,"")</f>
        <v/>
      </c>
      <c r="AZ119" t="str">
        <f t="shared" ref="AZ119:AZ130" si="916">IF(AJ119="ONBEKEND",AI119,"")</f>
        <v/>
      </c>
      <c r="BA119" t="str">
        <f t="shared" ref="BA119:BA130" si="917">IF(AM119="ONBEKEND",AL119,"")</f>
        <v/>
      </c>
      <c r="BB119" t="str">
        <f t="shared" ref="BB119:BB130" si="918">IF(AP119="ONBEKEND",AO119,"")</f>
        <v/>
      </c>
      <c r="BC119" t="str">
        <f t="shared" ref="BC119:BC130" si="919">IF(AS119="ONBEKEND",AR119,"")</f>
        <v/>
      </c>
      <c r="BD119" t="str">
        <f t="shared" si="490"/>
        <v/>
      </c>
      <c r="BE119" t="str">
        <f t="shared" si="491"/>
        <v/>
      </c>
      <c r="BF119" t="str">
        <f t="shared" si="492"/>
        <v/>
      </c>
      <c r="BG119" t="str">
        <f t="shared" si="493"/>
        <v/>
      </c>
      <c r="BH119" t="str">
        <f t="shared" si="494"/>
        <v/>
      </c>
      <c r="BI119" t="str">
        <f t="shared" si="495"/>
        <v/>
      </c>
      <c r="BJ119" t="str">
        <f t="shared" si="496"/>
        <v/>
      </c>
      <c r="BK119" t="str">
        <f t="shared" si="497"/>
        <v/>
      </c>
      <c r="BL119" t="str">
        <f t="shared" si="498"/>
        <v/>
      </c>
      <c r="BM119" t="str">
        <f t="shared" si="499"/>
        <v/>
      </c>
      <c r="BN119" t="str">
        <f t="shared" si="500"/>
        <v/>
      </c>
      <c r="BO119" t="str">
        <f t="shared" si="501"/>
        <v/>
      </c>
      <c r="BP119" t="str">
        <f t="shared" si="502"/>
        <v/>
      </c>
      <c r="BQ119" t="str">
        <f t="shared" si="503"/>
        <v/>
      </c>
      <c r="BR119" t="str">
        <f t="shared" si="504"/>
        <v/>
      </c>
      <c r="BS119" t="str">
        <f t="shared" si="505"/>
        <v/>
      </c>
      <c r="BT119" t="str">
        <f t="shared" si="506"/>
        <v/>
      </c>
      <c r="BU119" t="str">
        <f t="shared" si="507"/>
        <v/>
      </c>
      <c r="BV119" t="str">
        <f t="shared" si="508"/>
        <v/>
      </c>
      <c r="BW119" t="str">
        <f t="shared" si="509"/>
        <v/>
      </c>
      <c r="BX119" t="str">
        <f t="shared" si="510"/>
        <v/>
      </c>
      <c r="BY119" t="str">
        <f t="shared" si="511"/>
        <v/>
      </c>
      <c r="BZ119" t="str">
        <f t="shared" si="512"/>
        <v/>
      </c>
      <c r="CA119" t="str">
        <f t="shared" si="513"/>
        <v/>
      </c>
      <c r="CB119" t="str">
        <f t="shared" si="514"/>
        <v/>
      </c>
      <c r="CC119" t="str">
        <f t="shared" si="515"/>
        <v/>
      </c>
      <c r="CD119" t="str">
        <f t="shared" si="516"/>
        <v/>
      </c>
      <c r="CE119" t="str">
        <f t="shared" si="517"/>
        <v/>
      </c>
      <c r="CF119" t="str">
        <f t="shared" si="518"/>
        <v/>
      </c>
      <c r="CG119" t="str">
        <f t="shared" si="519"/>
        <v/>
      </c>
      <c r="CH119" t="str">
        <f t="shared" ref="CH119:CH130" si="920">IF($N119="","",TRIM(MID(SUBSTITUTE($N119,",",REPT(" ",200)),2001,200)))</f>
        <v/>
      </c>
      <c r="CI119" t="str">
        <f t="shared" ref="CI119:CI130" si="921">IF(CH119="","",TRIM(IFERROR(LEFT(CH119,FIND("§",SUBSTITUTE(CH119," ","§",LEN(CH119)-LEN(SUBSTITUTE(CH119," ",""))))-1),CH119)))</f>
        <v/>
      </c>
      <c r="CJ119" t="str">
        <f>IF($CI119="","",IF(OR($DW119="",$DX119=""),"ONZEKER",IF(OR($CF119="",$CG119=""),"ONZEKER",IF(AND($DW119=$CF119+1,$DX119=$CG119),IF(OR(COUNTIF(#REF!,$B119)&gt;0,COUNTIF(#REF!,$B119)=0),"SKIP",IF(COUNTIFS(#REF!,$B119,#REF!,$CI119)&gt;0,"OK","ONBEKEND")),IF(AND($DW119=$CF119,$DX119=$CG119+1),IF(OR(COUNTIF(#REF!,$D119)&gt;0,COUNTIF(#REF!,$D119)=0),"SKIP",IF(COUNTIFS(#REF!,$D119,#REF!,$CI119)&gt;0,"OK","ONBEKEND")),"ONZEKER")))))</f>
        <v/>
      </c>
      <c r="CK119" t="str">
        <f t="shared" ref="CK119:CK130" si="922">IF($N119="","",TRIM(MID(SUBSTITUTE($N119,",",REPT(" ",200)),2201,200)))</f>
        <v/>
      </c>
      <c r="CL119" t="str">
        <f t="shared" ref="CL119:CL130" si="923">IF(CK119="","",TRIM(IFERROR(LEFT(CK119,FIND("§",SUBSTITUTE(CK119," ","§",LEN(CK119)-LEN(SUBSTITUTE(CK119," ",""))))-1),CK119)))</f>
        <v/>
      </c>
      <c r="CM119" t="str">
        <f>IF($CL119="","",IF(OR($DZ119="",$EA119=""),"ONZEKER",IF(OR($DW119="",$DX119=""),"ONZEKER",IF(AND($DZ119=$DW119+1,$EA119=$DX119),IF(OR(COUNTIF(#REF!,$B119)&gt;0,COUNTIF(#REF!,$B119)=0),"SKIP",IF(COUNTIFS(#REF!,$B119,#REF!,$CL119)&gt;0,"OK","ONBEKEND")),IF(AND($DZ119=$DW119,$EA119=$DX119+1),IF(OR(COUNTIF(#REF!,$D119)&gt;0,COUNTIF(#REF!,$D119)=0),"SKIP",IF(COUNTIFS(#REF!,$D119,#REF!,$CL119)&gt;0,"OK","ONBEKEND")),"ONZEKER")))))</f>
        <v/>
      </c>
      <c r="CN119" t="str">
        <f t="shared" ref="CN119:CN130" si="924">IF($N119="","",TRIM(MID(SUBSTITUTE($N119,",",REPT(" ",200)),2401,200)))</f>
        <v/>
      </c>
      <c r="CO119" t="str">
        <f t="shared" ref="CO119:CO130" si="925">IF(CN119="","",TRIM(IFERROR(LEFT(CN119,FIND("§",SUBSTITUTE(CN119," ","§",LEN(CN119)-LEN(SUBSTITUTE(CN119," ",""))))-1),CN119)))</f>
        <v/>
      </c>
      <c r="CP119" t="str">
        <f>IF($CO119="","",IF(OR($EC119="",$ED119=""),"ONZEKER",IF(OR($DZ119="",$EA119=""),"ONZEKER",IF(AND($EC119=$DZ119+1,$ED119=$EA119),IF(OR(COUNTIF(#REF!,$B119)&gt;0,COUNTIF(#REF!,$B119)=0),"SKIP",IF(COUNTIFS(#REF!,$B119,#REF!,$CO119)&gt;0,"OK","ONBEKEND")),IF(AND($EC119=$DZ119,$ED119=$EA119+1),IF(OR(COUNTIF(#REF!,$D119)&gt;0,COUNTIF(#REF!,$D119)=0),"SKIP",IF(COUNTIFS(#REF!,$D119,#REF!,$CO119)&gt;0,"OK","ONBEKEND")),"ONZEKER")))))</f>
        <v/>
      </c>
      <c r="CQ119" t="str">
        <f t="shared" ref="CQ119:CQ130" si="926">IF($N119="","",TRIM(MID(SUBSTITUTE($N119,",",REPT(" ",200)),2601,200)))</f>
        <v/>
      </c>
      <c r="CR119" t="str">
        <f t="shared" ref="CR119:CR130" si="927">IF(CQ119="","",TRIM(IFERROR(LEFT(CQ119,FIND("§",SUBSTITUTE(CQ119," ","§",LEN(CQ119)-LEN(SUBSTITUTE(CQ119," ",""))))-1),CQ119)))</f>
        <v/>
      </c>
      <c r="CS119" t="str">
        <f>IF($CR119="","",IF(OR($EF119="",$EG119=""),"ONZEKER",IF(OR($EC119="",$ED119=""),"ONZEKER",IF(AND($EF119=$EC119+1,$EG119=$ED119),IF(OR(COUNTIF(#REF!,$B119)&gt;0,COUNTIF(#REF!,$B119)=0),"SKIP",IF(COUNTIFS(#REF!,$B119,#REF!,$CR119)&gt;0,"OK","ONBEKEND")),IF(AND($EF119=$EC119,$EG119=$ED119+1),IF(OR(COUNTIF(#REF!,$D119)&gt;0,COUNTIF(#REF!,$D119)=0),"SKIP",IF(COUNTIFS(#REF!,$D119,#REF!,$CR119)&gt;0,"OK","ONBEKEND")),"ONZEKER")))))</f>
        <v/>
      </c>
      <c r="CT119" t="str">
        <f t="shared" ref="CT119:CT130" si="928">IF($N119="","",TRIM(MID(SUBSTITUTE($N119,",",REPT(" ",200)),2801,200)))</f>
        <v/>
      </c>
      <c r="CU119" t="str">
        <f t="shared" ref="CU119:CU130" si="929">IF(CT119="","",TRIM(IFERROR(LEFT(CT119,FIND("§",SUBSTITUTE(CT119," ","§",LEN(CT119)-LEN(SUBSTITUTE(CT119," ",""))))-1),CT119)))</f>
        <v/>
      </c>
      <c r="CV119" t="str">
        <f>IF($CU119="","",IF(OR($EI119="",$EJ119=""),"ONZEKER",IF(OR($EF119="",$EG119=""),"ONZEKER",IF(AND($EI119=$EF119+1,$EJ119=$EG119),IF(OR(COUNTIF(#REF!,$B119)&gt;0,COUNTIF(#REF!,$B119)=0),"SKIP",IF(COUNTIFS(#REF!,$B119,#REF!,$CU119)&gt;0,"OK","ONBEKEND")),IF(AND($EI119=$EF119,$EJ119=$EG119+1),IF(OR(COUNTIF(#REF!,$D119)&gt;0,COUNTIF(#REF!,$D119)=0),"SKIP",IF(COUNTIFS(#REF!,$D119,#REF!,$CU119)&gt;0,"OK","ONBEKEND")),"ONZEKER")))))</f>
        <v/>
      </c>
      <c r="CW119" t="str">
        <f t="shared" ref="CW119:CW130" si="930">IF($N119="","",TRIM(MID(SUBSTITUTE($N119,",",REPT(" ",200)),3001,200)))</f>
        <v/>
      </c>
      <c r="CX119" t="str">
        <f t="shared" ref="CX119:CX130" si="931">IF(CW119="","",TRIM(IFERROR(LEFT(CW119,FIND("§",SUBSTITUTE(CW119," ","§",LEN(CW119)-LEN(SUBSTITUTE(CW119," ",""))))-1),CW119)))</f>
        <v/>
      </c>
      <c r="CY119" t="str">
        <f>IF($CX119="","",IF(OR($EL119="",$EM119=""),"ONZEKER",IF(OR($EI119="",$EJ119=""),"ONZEKER",IF(AND($EL119=$EI119+1,$EM119=$EJ119),IF(OR(COUNTIF(#REF!,$B119)&gt;0,COUNTIF(#REF!,$B119)=0),"SKIP",IF(COUNTIFS(#REF!,$B119,#REF!,$CX119)&gt;0,"OK","ONBEKEND")),IF(AND($EL119=$EI119,$EM119=$EJ119+1),IF(OR(COUNTIF(#REF!,$D119)&gt;0,COUNTIF(#REF!,$D119)=0),"SKIP",IF(COUNTIFS(#REF!,$D119,#REF!,$CX119)&gt;0,"OK","ONBEKEND")),"ONZEKER")))))</f>
        <v/>
      </c>
      <c r="CZ119" t="str">
        <f t="shared" ref="CZ119:CZ130" si="932">IF($N119="","",TRIM(MID(SUBSTITUTE($N119,",",REPT(" ",200)),3201,200)))</f>
        <v/>
      </c>
      <c r="DA119" t="str">
        <f t="shared" ref="DA119:DA130" si="933">IF(CZ119="","",TRIM(IFERROR(LEFT(CZ119,FIND("§",SUBSTITUTE(CZ119," ","§",LEN(CZ119)-LEN(SUBSTITUTE(CZ119," ",""))))-1),CZ119)))</f>
        <v/>
      </c>
      <c r="DB119" t="str">
        <f>IF($DA119="","",IF(OR($EO119="",$EP119=""),"ONZEKER",IF(OR($EL119="",$EM119=""),"ONZEKER",IF(AND($EO119=$EL119+1,$EP119=$EM119),IF(OR(COUNTIF(#REF!,$B119)&gt;0,COUNTIF(#REF!,$B119)=0),"SKIP",IF(COUNTIFS(#REF!,$B119,#REF!,$DA119)&gt;0,"OK","ONBEKEND")),IF(AND($EO119=$EL119,$EP119=$EM119+1),IF(OR(COUNTIF(#REF!,$D119)&gt;0,COUNTIF(#REF!,$D119)=0),"SKIP",IF(COUNTIFS(#REF!,$D119,#REF!,$DA119)&gt;0,"OK","ONBEKEND")),"ONZEKER")))))</f>
        <v/>
      </c>
      <c r="DC119" t="str">
        <f t="shared" ref="DC119:DC130" si="934">IF($N119="","",TRIM(MID(SUBSTITUTE($N119,",",REPT(" ",200)),3401,200)))</f>
        <v/>
      </c>
      <c r="DD119" t="str">
        <f t="shared" ref="DD119:DD130" si="935">IF(DC119="","",TRIM(IFERROR(LEFT(DC119,FIND("§",SUBSTITUTE(DC119," ","§",LEN(DC119)-LEN(SUBSTITUTE(DC119," ",""))))-1),DC119)))</f>
        <v/>
      </c>
      <c r="DE119" t="str">
        <f>IF($DD119="","",IF(OR($ER119="",$ES119=""),"ONZEKER",IF(OR($EO119="",$EP119=""),"ONZEKER",IF(AND($ER119=$EO119+1,$ES119=$EP119),IF(OR(COUNTIF(#REF!,$B119)&gt;0,COUNTIF(#REF!,$B119)=0),"SKIP",IF(COUNTIFS(#REF!,$B119,#REF!,$DD119)&gt;0,"OK","ONBEKEND")),IF(AND($ER119=$EO119,$ES119=$EP119+1),IF(OR(COUNTIF(#REF!,$D119)&gt;0,COUNTIF(#REF!,$D119)=0),"SKIP",IF(COUNTIFS(#REF!,$D119,#REF!,$DD119)&gt;0,"OK","ONBEKEND")),"ONZEKER")))))</f>
        <v/>
      </c>
      <c r="DF119" t="str">
        <f t="shared" ref="DF119:DF130" si="936">IF($N119="","",TRIM(MID(SUBSTITUTE($N119,",",REPT(" ",200)),3601,200)))</f>
        <v/>
      </c>
      <c r="DG119" t="str">
        <f t="shared" ref="DG119:DG130" si="937">IF(DF119="","",TRIM(IFERROR(LEFT(DF119,FIND("§",SUBSTITUTE(DF119," ","§",LEN(DF119)-LEN(SUBSTITUTE(DF119," ",""))))-1),DF119)))</f>
        <v/>
      </c>
      <c r="DH119" t="str">
        <f>IF($DG119="","",IF(OR($EU119="",$EV119=""),"ONZEKER",IF(OR($ER119="",$ES119=""),"ONZEKER",IF(AND($EU119=$ER119+1,$EV119=$ES119),IF(OR(COUNTIF(#REF!,$B119)&gt;0,COUNTIF(#REF!,$B119)=0),"SKIP",IF(COUNTIFS(#REF!,$B119,#REF!,$DG119)&gt;0,"OK","ONBEKEND")),IF(AND($EU119=$ER119,$EV119=$ES119+1),IF(OR(COUNTIF(#REF!,$D119)&gt;0,COUNTIF(#REF!,$D119)=0),"SKIP",IF(COUNTIFS(#REF!,$D119,#REF!,$DG119)&gt;0,"OK","ONBEKEND")),"ONZEKER")))))</f>
        <v/>
      </c>
      <c r="DI119" t="str">
        <f t="shared" ref="DI119:DI130" si="938">IF($N119="","",TRIM(MID(SUBSTITUTE($N119,",",REPT(" ",200)),3801,200)))</f>
        <v/>
      </c>
      <c r="DJ119" t="str">
        <f t="shared" ref="DJ119:DJ130" si="939">IF(DI119="","",TRIM(IFERROR(LEFT(DI119,FIND("§",SUBSTITUTE(DI119," ","§",LEN(DI119)-LEN(SUBSTITUTE(DI119," ",""))))-1),DI119)))</f>
        <v/>
      </c>
      <c r="DK119" t="str">
        <f>IF($DJ119="","",IF(OR($EX119="",$EY119=""),"ONZEKER",IF(OR($EU119="",$EV119=""),"ONZEKER",IF(AND($EX119=$EU119+1,$EY119=$EV119),IF(OR(COUNTIF(#REF!,$B119)&gt;0,COUNTIF(#REF!,$B119)=0),"SKIP",IF(COUNTIFS(#REF!,$B119,#REF!,$DJ119)&gt;0,"OK","ONBEKEND")),IF(AND($EX119=$EU119,$EY119=$EV119+1),IF(OR(COUNTIF(#REF!,$D119)&gt;0,COUNTIF(#REF!,$D119)=0),"SKIP",IF(COUNTIFS(#REF!,$D119,#REF!,$DJ119)&gt;0,"OK","ONBEKEND")),"ONZEKER")))))</f>
        <v/>
      </c>
      <c r="DL119" t="str">
        <f t="shared" ref="DL119:DL130" si="940">IF($CJ119="ONBEKEND",$CI119,"")</f>
        <v/>
      </c>
      <c r="DM119" t="str">
        <f t="shared" ref="DM119:DM130" si="941">IF($CM119="ONBEKEND",$CL119,"")</f>
        <v/>
      </c>
      <c r="DN119" t="str">
        <f t="shared" ref="DN119:DN130" si="942">IF($CP119="ONBEKEND",$CO119,"")</f>
        <v/>
      </c>
      <c r="DO119" t="str">
        <f t="shared" ref="DO119:DO130" si="943">IF($CS119="ONBEKEND",$CR119,"")</f>
        <v/>
      </c>
      <c r="DP119" t="str">
        <f t="shared" ref="DP119:DP130" si="944">IF($CV119="ONBEKEND",$CU119,"")</f>
        <v/>
      </c>
      <c r="DQ119" t="str">
        <f t="shared" ref="DQ119:DQ130" si="945">IF($CY119="ONBEKEND",$CX119,"")</f>
        <v/>
      </c>
      <c r="DR119" t="str">
        <f t="shared" ref="DR119:DR130" si="946">IF($DB119="ONBEKEND",$DA119,"")</f>
        <v/>
      </c>
      <c r="DS119" t="str">
        <f t="shared" ref="DS119:DS130" si="947">IF($DE119="ONBEKEND",$DD119,"")</f>
        <v/>
      </c>
      <c r="DT119" t="str">
        <f t="shared" ref="DT119:DT130" si="948">IF($DH119="ONBEKEND",$DG119,"")</f>
        <v/>
      </c>
      <c r="DU119" t="str">
        <f t="shared" ref="DU119:DU130" si="949">IF($DK119="ONBEKEND",$DJ119,"")</f>
        <v/>
      </c>
      <c r="DV119" t="str">
        <f t="shared" ref="DV119:DV130" si="950">IF($CH119="","",TRIM(IFERROR(RIGHT($CH119,LEN($CH119)-FIND("§",SUBSTITUTE($CH119," ","§",LEN($CH119)-LEN(SUBSTITUTE($CH119," ",""))))),"")))</f>
        <v/>
      </c>
      <c r="DW119" t="str">
        <f t="shared" ref="DW119:DW130" si="951">IF($DV119="","",IFERROR(VALUE(LEFT($DV119,FIND("-",$DV119)-1)),""))</f>
        <v/>
      </c>
      <c r="DX119" t="str">
        <f t="shared" ref="DX119:DX130" si="952">IF($DV119="","",IFERROR(VALUE(MID($DV119,FIND("-",$DV119)+1,99)),""))</f>
        <v/>
      </c>
      <c r="DY119" t="str">
        <f t="shared" ref="DY119:DY130" si="953">IF($CK119="","",TRIM(IFERROR(RIGHT($CK119,LEN($CK119)-FIND("§",SUBSTITUTE($CK119," ","§",LEN($CK119)-LEN(SUBSTITUTE($CK119," ",""))))),"")))</f>
        <v/>
      </c>
      <c r="DZ119" t="str">
        <f t="shared" ref="DZ119:DZ130" si="954">IF($DY119="","",IFERROR(VALUE(LEFT($DY119,FIND("-",$DY119)-1)),""))</f>
        <v/>
      </c>
      <c r="EA119" t="str">
        <f t="shared" ref="EA119:EA130" si="955">IF($DY119="","",IFERROR(VALUE(MID($DY119,FIND("-",$DY119)+1,99)),""))</f>
        <v/>
      </c>
      <c r="EB119" t="str">
        <f t="shared" ref="EB119:EB130" si="956">IF($CN119="","",TRIM(IFERROR(RIGHT($CN119,LEN($CN119)-FIND("§",SUBSTITUTE($CN119," ","§",LEN($CN119)-LEN(SUBSTITUTE($CN119," ",""))))),"")))</f>
        <v/>
      </c>
      <c r="EC119" t="str">
        <f t="shared" ref="EC119:EC130" si="957">IF($EB119="","",IFERROR(VALUE(LEFT($EB119,FIND("-",$EB119)-1)),""))</f>
        <v/>
      </c>
      <c r="ED119" t="str">
        <f t="shared" ref="ED119:ED130" si="958">IF($EB119="","",IFERROR(VALUE(MID($EB119,FIND("-",$EB119)+1,99)),""))</f>
        <v/>
      </c>
      <c r="EE119" t="str">
        <f t="shared" ref="EE119:EE130" si="959">IF($CQ119="","",TRIM(IFERROR(RIGHT($CQ119,LEN($CQ119)-FIND("§",SUBSTITUTE($CQ119," ","§",LEN($CQ119)-LEN(SUBSTITUTE($CQ119," ",""))))),"")))</f>
        <v/>
      </c>
      <c r="EF119" t="str">
        <f t="shared" ref="EF119:EF130" si="960">IF($EE119="","",IFERROR(VALUE(LEFT($EE119,FIND("-",$EE119)-1)),""))</f>
        <v/>
      </c>
      <c r="EG119" t="str">
        <f t="shared" ref="EG119:EG130" si="961">IF($EE119="","",IFERROR(VALUE(MID($EE119,FIND("-",$EE119)+1,99)),""))</f>
        <v/>
      </c>
      <c r="EH119" t="str">
        <f t="shared" ref="EH119:EH130" si="962">IF($CT119="","",TRIM(IFERROR(RIGHT($CT119,LEN($CT119)-FIND("§",SUBSTITUTE($CT119," ","§",LEN($CT119)-LEN(SUBSTITUTE($CT119," ",""))))),"")))</f>
        <v/>
      </c>
      <c r="EI119" t="str">
        <f t="shared" ref="EI119:EI130" si="963">IF($EH119="","",IFERROR(VALUE(LEFT($EH119,FIND("-",$EH119)-1)),""))</f>
        <v/>
      </c>
      <c r="EJ119" t="str">
        <f t="shared" ref="EJ119:EJ130" si="964">IF($EH119="","",IFERROR(VALUE(MID($EH119,FIND("-",$EH119)+1,99)),""))</f>
        <v/>
      </c>
      <c r="EK119" t="str">
        <f t="shared" ref="EK119:EK130" si="965">IF($CW119="","",TRIM(IFERROR(RIGHT($CW119,LEN($CW119)-FIND("§",SUBSTITUTE($CW119," ","§",LEN($CW119)-LEN(SUBSTITUTE($CW119," ",""))))),"")))</f>
        <v/>
      </c>
      <c r="EL119" t="str">
        <f t="shared" ref="EL119:EL130" si="966">IF($EK119="","",IFERROR(VALUE(LEFT($EK119,FIND("-",$EK119)-1)),""))</f>
        <v/>
      </c>
      <c r="EM119" t="str">
        <f t="shared" ref="EM119:EM130" si="967">IF($EK119="","",IFERROR(VALUE(MID($EK119,FIND("-",$EK119)+1,99)),""))</f>
        <v/>
      </c>
      <c r="EN119" t="str">
        <f t="shared" ref="EN119:EN130" si="968">IF($CZ119="","",TRIM(IFERROR(RIGHT($CZ119,LEN($CZ119)-FIND("§",SUBSTITUTE($CZ119," ","§",LEN($CZ119)-LEN(SUBSTITUTE($CZ119," ",""))))),"")))</f>
        <v/>
      </c>
      <c r="EO119" t="str">
        <f t="shared" ref="EO119:EO130" si="969">IF($EN119="","",IFERROR(VALUE(LEFT($EN119,FIND("-",$EN119)-1)),""))</f>
        <v/>
      </c>
      <c r="EP119" t="str">
        <f t="shared" ref="EP119:EP130" si="970">IF($EN119="","",IFERROR(VALUE(MID($EN119,FIND("-",$EN119)+1,99)),""))</f>
        <v/>
      </c>
      <c r="EQ119" t="str">
        <f t="shared" ref="EQ119:EQ130" si="971">IF($DC119="","",TRIM(IFERROR(RIGHT($DC119,LEN($DC119)-FIND("§",SUBSTITUTE($DC119," ","§",LEN($DC119)-LEN(SUBSTITUTE($DC119," ",""))))),"")))</f>
        <v/>
      </c>
      <c r="ER119" t="str">
        <f t="shared" ref="ER119:ER130" si="972">IF($EQ119="","",IFERROR(VALUE(LEFT($EQ119,FIND("-",$EQ119)-1)),""))</f>
        <v/>
      </c>
      <c r="ES119" t="str">
        <f t="shared" ref="ES119:ES130" si="973">IF($EQ119="","",IFERROR(VALUE(MID($EQ119,FIND("-",$EQ119)+1,99)),""))</f>
        <v/>
      </c>
      <c r="ET119" t="str">
        <f t="shared" ref="ET119:ET130" si="974">IF($DF119="","",TRIM(IFERROR(RIGHT($DF119,LEN($DF119)-FIND("§",SUBSTITUTE($DF119," ","§",LEN($DF119)-LEN(SUBSTITUTE($DF119," ",""))))),"")))</f>
        <v/>
      </c>
      <c r="EU119" t="str">
        <f t="shared" ref="EU119:EU130" si="975">IF($ET119="","",IFERROR(VALUE(LEFT($ET119,FIND("-",$ET119)-1)),""))</f>
        <v/>
      </c>
      <c r="EV119" t="str">
        <f t="shared" ref="EV119:EV130" si="976">IF($ET119="","",IFERROR(VALUE(MID($ET119,FIND("-",$ET119)+1,99)),""))</f>
        <v/>
      </c>
      <c r="EW119" t="str">
        <f t="shared" ref="EW119:EW130" si="977">IF($DI119="","",TRIM(IFERROR(RIGHT($DI119,LEN($DI119)-FIND("§",SUBSTITUTE($DI119," ","§",LEN($DI119)-LEN(SUBSTITUTE($DI119," ",""))))),"")))</f>
        <v/>
      </c>
      <c r="EX119" t="str">
        <f t="shared" ref="EX119:EX130" si="978">IF($EW119="","",IFERROR(VALUE(LEFT($EW119,FIND("-",$EW119)-1)),""))</f>
        <v/>
      </c>
      <c r="EY119" t="str">
        <f t="shared" ref="EY119:EY130" si="979">IF($EW119="","",IFERROR(VALUE(MID($EW119,FIND("-",$EW119)+1,99)),""))</f>
        <v/>
      </c>
    </row>
    <row r="120" spans="1:155" ht="13.9" customHeight="1" x14ac:dyDescent="0.25">
      <c r="A120" s="7"/>
      <c r="B120" s="17"/>
      <c r="C120" s="8"/>
      <c r="D120" s="17"/>
      <c r="E120" s="8"/>
      <c r="F120" s="18">
        <v>0</v>
      </c>
      <c r="G120" s="7" t="s">
        <v>147</v>
      </c>
      <c r="H120" s="18">
        <v>0</v>
      </c>
      <c r="I120" s="19">
        <v>0</v>
      </c>
      <c r="J120" s="7" t="s">
        <v>147</v>
      </c>
      <c r="K120" s="19">
        <v>0</v>
      </c>
      <c r="L120" s="9"/>
      <c r="M120" s="3" t="str">
        <f>IF($L120="","",IF($L120="DOELPUNTENMAKERS","",IF(AND(COUNTIF(#REF!,$B120)=0,COUNTIF(#REF!,$D120)=0),"OK",IF($O120&gt;20,"LET OP: meer dan 20 items (controle onvolledig)",IF((COUNTIF($R120:$AS120,"ONZEKER")+COUNTIF($CJ120:$DK120,"ONZEKER"))&gt;0,"LET OP: scoreverloop onduidelijk (controle beperkt)",IF((IF($AT120&lt;&gt;"",$AT120&amp;", ","")&amp;IF($AU120&lt;&gt;"",$AU120&amp;", ","")&amp;IF($AV120&lt;&gt;"",$AV120&amp;", ","")&amp;IF($AW120&lt;&gt;"",$AW120&amp;", ","")&amp;IF($AX120&lt;&gt;"",$AX120&amp;", ","")&amp;IF($AY120&lt;&gt;"",$AY120&amp;", ","")&amp;IF($AZ120&lt;&gt;"",$AZ120&amp;", ","")&amp;IF($BA120&lt;&gt;"",$BA120&amp;", ","")&amp;IF($BB120&lt;&gt;"",$BB120&amp;", ","")&amp;IF($BC120&lt;&gt;"",$BC120&amp;", ","")&amp;IF($DL120&lt;&gt;"",$DL120&amp;", ","")&amp;IF($DM120&lt;&gt;"",$DM120&amp;", ","")&amp;IF($DN120&lt;&gt;"",$DN120&amp;", ","")&amp;IF($DO120&lt;&gt;"",$DO120&amp;", ","")&amp;IF($DP120&lt;&gt;"",$DP120&amp;", ","")&amp;IF($DQ120&lt;&gt;"",$DQ120&amp;", ","")&amp;IF($DR120&lt;&gt;"",$DR120&amp;", ","")&amp;IF($DS120&lt;&gt;"",$DS120&amp;", ","")&amp;IF($DT120&lt;&gt;"",$DT120&amp;", ","")&amp;IF($DU120&lt;&gt;"",$DU120&amp;", ",""))="","OK","Onbekend: "&amp;LEFT((IF($AT120&lt;&gt;"",$AT120&amp;", ","")&amp;IF($AU120&lt;&gt;"",$AU120&amp;", ","")&amp;IF($AV120&lt;&gt;"",$AV120&amp;", ","")&amp;IF($AW120&lt;&gt;"",$AW120&amp;", ","")&amp;IF($AX120&lt;&gt;"",$AX120&amp;", ","")&amp;IF($AY120&lt;&gt;"",$AY120&amp;", ","")&amp;IF($AZ120&lt;&gt;"",$AZ120&amp;", ","")&amp;IF($BA120&lt;&gt;"",$BA120&amp;", ","")&amp;IF($BB120&lt;&gt;"",$BB120&amp;", ","")&amp;IF($BC120&lt;&gt;"",$BC120&amp;", ","")&amp;IF($DL120&lt;&gt;"",$DL120&amp;", ","")&amp;IF($DM120&lt;&gt;"",$DM120&amp;", ","")&amp;IF($DN120&lt;&gt;"",$DN120&amp;", ","")&amp;IF($DO120&lt;&gt;"",$DO120&amp;", ","")&amp;IF($DP120&lt;&gt;"",$DP120&amp;", ","")&amp;IF($DQ120&lt;&gt;"",$DQ120&amp;", ","")&amp;IF($DR120&lt;&gt;"",$DR120&amp;", ","")&amp;IF($DS120&lt;&gt;"",$DS120&amp;", ","")&amp;IF($DT120&lt;&gt;"",$DT120&amp;", ","")&amp;IF($DU120&lt;&gt;"",$DU120&amp;", ","")),LEN((IF($AT120&lt;&gt;"",$AT120&amp;", ","")&amp;IF($AU120&lt;&gt;"",$AU120&amp;", ","")&amp;IF($AV120&lt;&gt;"",$AV120&amp;", ","")&amp;IF($AW120&lt;&gt;"",$AW120&amp;", ","")&amp;IF($AX120&lt;&gt;"",$AX120&amp;", ","")&amp;IF($AY120&lt;&gt;"",$AY120&amp;", ","")&amp;IF($AZ120&lt;&gt;"",$AZ120&amp;", ","")&amp;IF($BA120&lt;&gt;"",$BA120&amp;", ","")&amp;IF($BB120&lt;&gt;"",$BB120&amp;", ","")&amp;IF($BC120&lt;&gt;"",$BC120&amp;", ","")&amp;IF($DL120&lt;&gt;"",$DL120&amp;", ","")&amp;IF($DM120&lt;&gt;"",$DM120&amp;", ","")&amp;IF($DN120&lt;&gt;"",$DN120&amp;", ","")&amp;IF($DO120&lt;&gt;"",$DO120&amp;", ","")&amp;IF($DP120&lt;&gt;"",$DP120&amp;", ","")&amp;IF($DQ120&lt;&gt;"",$DQ120&amp;", ","")&amp;IF($DR120&lt;&gt;"",$DR120&amp;", ","")&amp;IF($DS120&lt;&gt;"",$DS120&amp;", ","")&amp;IF($DT120&lt;&gt;"",$DT120&amp;", ","")&amp;IF($DU120&lt;&gt;"",$DU120&amp;", ","")))-2)))))))</f>
        <v/>
      </c>
      <c r="N120" t="str">
        <f t="shared" si="888"/>
        <v/>
      </c>
      <c r="O120" t="str">
        <f t="shared" si="889"/>
        <v/>
      </c>
      <c r="P120" t="str">
        <f t="shared" si="890"/>
        <v/>
      </c>
      <c r="Q120" t="str">
        <f t="shared" si="891"/>
        <v/>
      </c>
      <c r="R120" t="str">
        <f>IF($Q120="","",IF(OR($BE120="",$BF120=""),"ONZEKER",IF(AND($BE120=0+1,$BF120=0),IF(OR(COUNTIF(#REF!,$B120)&gt;0,COUNTIF(#REF!,$B120)=0),"SKIP",IF(COUNTIFS(#REF!,$B120,#REF!,$Q120)&gt;0,"OK","ONBEKEND")),IF(AND($BE120=0,$BF120=0+1),IF(OR(COUNTIF(#REF!,$D120)&gt;0,COUNTIF(#REF!,$D120)=0),"SKIP",IF(COUNTIFS(#REF!,$D120,#REF!,$Q120)&gt;0,"OK","ONBEKEND")),"ONZEKER"))))</f>
        <v/>
      </c>
      <c r="S120" t="str">
        <f t="shared" si="892"/>
        <v/>
      </c>
      <c r="T120" t="str">
        <f t="shared" si="893"/>
        <v/>
      </c>
      <c r="U120" t="str">
        <f>IF($T120="","",IF(OR($BH120="",$BI120=""),"ONZEKER",IF(OR($BE120="",$BF120=""),"ONZEKER",IF(AND($BH120=$BE120+1,$BI120=$BF120),IF(OR(COUNTIF(#REF!,$B120)&gt;0,COUNTIF(#REF!,$B120)=0),"SKIP",IF(COUNTIFS(#REF!,$B120,#REF!,$T120)&gt;0,"OK","ONBEKEND")),IF(AND($BH120=$BE120,$BI120=$BF120+1),IF(OR(COUNTIF(#REF!,$D120)&gt;0,COUNTIF(#REF!,$D120)=0),"SKIP",IF(COUNTIFS(#REF!,$D120,#REF!,$T120)&gt;0,"OK","ONBEKEND")),"ONZEKER")))))</f>
        <v/>
      </c>
      <c r="V120" t="str">
        <f t="shared" si="894"/>
        <v/>
      </c>
      <c r="W120" t="str">
        <f t="shared" si="895"/>
        <v/>
      </c>
      <c r="X120" t="str">
        <f>IF($W120="","",IF(OR($BK120="",$BL120=""),"ONZEKER",IF(OR($BH120="",$BI120=""),"ONZEKER",IF(AND($BK120=$BH120+1,$BL120=$BI120),IF(OR(COUNTIF(#REF!,$B120)&gt;0,COUNTIF(#REF!,$B120)=0),"SKIP",IF(COUNTIFS(#REF!,$B120,#REF!,$W120)&gt;0,"OK","ONBEKEND")),IF(AND($BK120=$BH120,$BL120=$BI120+1),IF(OR(COUNTIF(#REF!,$D120)&gt;0,COUNTIF(#REF!,$D120)=0),"SKIP",IF(COUNTIFS(#REF!,$D120,#REF!,$W120)&gt;0,"OK","ONBEKEND")),"ONZEKER")))))</f>
        <v/>
      </c>
      <c r="Y120" t="str">
        <f t="shared" si="896"/>
        <v/>
      </c>
      <c r="Z120" t="str">
        <f t="shared" si="897"/>
        <v/>
      </c>
      <c r="AA120" t="str">
        <f>IF($Z120="","",IF(OR($BN120="",$BO120=""),"ONZEKER",IF(OR($BK120="",$BL120=""),"ONZEKER",IF(AND($BN120=$BK120+1,$BO120=$BL120),IF(OR(COUNTIF(#REF!,$B120)&gt;0,COUNTIF(#REF!,$B120)=0),"SKIP",IF(COUNTIFS(#REF!,$B120,#REF!,$Z120)&gt;0,"OK","ONBEKEND")),IF(AND($BN120=$BK120,$BO120=$BL120+1),IF(OR(COUNTIF(#REF!,$D120)&gt;0,COUNTIF(#REF!,$D120)=0),"SKIP",IF(COUNTIFS(#REF!,$D120,#REF!,$Z120)&gt;0,"OK","ONBEKEND")),"ONZEKER")))))</f>
        <v/>
      </c>
      <c r="AB120" t="str">
        <f t="shared" si="898"/>
        <v/>
      </c>
      <c r="AC120" t="str">
        <f t="shared" si="899"/>
        <v/>
      </c>
      <c r="AD120" t="str">
        <f>IF($AC120="","",IF(OR($BQ120="",$BR120=""),"ONZEKER",IF(OR($BN120="",$BO120=""),"ONZEKER",IF(AND($BQ120=$BN120+1,$BR120=$BO120),IF(OR(COUNTIF(#REF!,$B120)&gt;0,COUNTIF(#REF!,$B120)=0),"SKIP",IF(COUNTIFS(#REF!,$B120,#REF!,$AC120)&gt;0,"OK","ONBEKEND")),IF(AND($BQ120=$BN120,$BR120=$BO120+1),IF(OR(COUNTIF(#REF!,$D120)&gt;0,COUNTIF(#REF!,$D120)=0),"SKIP",IF(COUNTIFS(#REF!,$D120,#REF!,$AC120)&gt;0,"OK","ONBEKEND")),"ONZEKER")))))</f>
        <v/>
      </c>
      <c r="AE120" t="str">
        <f t="shared" si="900"/>
        <v/>
      </c>
      <c r="AF120" t="str">
        <f t="shared" si="901"/>
        <v/>
      </c>
      <c r="AG120" t="str">
        <f>IF($AF120="","",IF(OR($BT120="",$BU120=""),"ONZEKER",IF(OR($BQ120="",$BR120=""),"ONZEKER",IF(AND($BT120=$BQ120+1,$BU120=$BR120),IF(OR(COUNTIF(#REF!,$B120)&gt;0,COUNTIF(#REF!,$B120)=0),"SKIP",IF(COUNTIFS(#REF!,$B120,#REF!,$AF120)&gt;0,"OK","ONBEKEND")),IF(AND($BT120=$BQ120,$BU120=$BR120+1),IF(OR(COUNTIF(#REF!,$D120)&gt;0,COUNTIF(#REF!,$D120)=0),"SKIP",IF(COUNTIFS(#REF!,$D120,#REF!,$AF120)&gt;0,"OK","ONBEKEND")),"ONZEKER")))))</f>
        <v/>
      </c>
      <c r="AH120" t="str">
        <f t="shared" si="902"/>
        <v/>
      </c>
      <c r="AI120" t="str">
        <f t="shared" si="903"/>
        <v/>
      </c>
      <c r="AJ120" t="str">
        <f>IF($AI120="","",IF(OR($BW120="",$BX120=""),"ONZEKER",IF(OR($BT120="",$BU120=""),"ONZEKER",IF(AND($BW120=$BT120+1,$BX120=$BU120),IF(OR(COUNTIF(#REF!,$B120)&gt;0,COUNTIF(#REF!,$B120)=0),"SKIP",IF(COUNTIFS(#REF!,$B120,#REF!,$AI120)&gt;0,"OK","ONBEKEND")),IF(AND($BW120=$BT120,$BX120=$BU120+1),IF(OR(COUNTIF(#REF!,$D120)&gt;0,COUNTIF(#REF!,$D120)=0),"SKIP",IF(COUNTIFS(#REF!,$D120,#REF!,$AI120)&gt;0,"OK","ONBEKEND")),"ONZEKER")))))</f>
        <v/>
      </c>
      <c r="AK120" t="str">
        <f t="shared" si="904"/>
        <v/>
      </c>
      <c r="AL120" t="str">
        <f t="shared" si="905"/>
        <v/>
      </c>
      <c r="AM120" t="str">
        <f>IF($AL120="","",IF(OR($BZ120="",$CA120=""),"ONZEKER",IF(OR($BW120="",$BX120=""),"ONZEKER",IF(AND($BZ120=$BW120+1,$CA120=$BX120),IF(OR(COUNTIF(#REF!,$B120)&gt;0,COUNTIF(#REF!,$B120)=0),"SKIP",IF(COUNTIFS(#REF!,$B120,#REF!,$AL120)&gt;0,"OK","ONBEKEND")),IF(AND($BZ120=$BW120,$CA120=$BX120+1),IF(OR(COUNTIF(#REF!,$D120)&gt;0,COUNTIF(#REF!,$D120)=0),"SKIP",IF(COUNTIFS(#REF!,$D120,#REF!,$AL120)&gt;0,"OK","ONBEKEND")),"ONZEKER")))))</f>
        <v/>
      </c>
      <c r="AN120" t="str">
        <f t="shared" si="906"/>
        <v/>
      </c>
      <c r="AO120" t="str">
        <f t="shared" si="907"/>
        <v/>
      </c>
      <c r="AP120" t="str">
        <f>IF($AO120="","",IF(OR($CC120="",$CD120=""),"ONZEKER",IF(OR($BZ120="",$CA120=""),"ONZEKER",IF(AND($CC120=$BZ120+1,$CD120=$CA120),IF(OR(COUNTIF(#REF!,$B120)&gt;0,COUNTIF(#REF!,$B120)=0),"SKIP",IF(COUNTIFS(#REF!,$B120,#REF!,$AO120)&gt;0,"OK","ONBEKEND")),IF(AND($CC120=$BZ120,$CD120=$CA120+1),IF(OR(COUNTIF(#REF!,$D120)&gt;0,COUNTIF(#REF!,$D120)=0),"SKIP",IF(COUNTIFS(#REF!,$D120,#REF!,$AO120)&gt;0,"OK","ONBEKEND")),"ONZEKER")))))</f>
        <v/>
      </c>
      <c r="AQ120" t="str">
        <f t="shared" si="908"/>
        <v/>
      </c>
      <c r="AR120" t="str">
        <f t="shared" si="909"/>
        <v/>
      </c>
      <c r="AS120" t="str">
        <f>IF($AR120="","",IF(OR($CF120="",$CG120=""),"ONZEKER",IF(OR($CC120="",$CD120=""),"ONZEKER",IF(AND($CF120=$CC120+1,$CG120=$CD120),IF(OR(COUNTIF(#REF!,$B120)&gt;0,COUNTIF(#REF!,$B120)=0),"SKIP",IF(COUNTIFS(#REF!,$B120,#REF!,$AR120)&gt;0,"OK","ONBEKEND")),IF(AND($CF120=$CC120,$CG120=$CD120+1),IF(OR(COUNTIF(#REF!,$D120)&gt;0,COUNTIF(#REF!,$D120)=0),"SKIP",IF(COUNTIFS(#REF!,$D120,#REF!,$AR120)&gt;0,"OK","ONBEKEND")),"ONZEKER")))))</f>
        <v/>
      </c>
      <c r="AT120" t="str">
        <f t="shared" si="910"/>
        <v/>
      </c>
      <c r="AU120" t="str">
        <f t="shared" si="911"/>
        <v/>
      </c>
      <c r="AV120" t="str">
        <f t="shared" si="912"/>
        <v/>
      </c>
      <c r="AW120" t="str">
        <f t="shared" si="913"/>
        <v/>
      </c>
      <c r="AX120" t="str">
        <f t="shared" si="914"/>
        <v/>
      </c>
      <c r="AY120" t="str">
        <f t="shared" si="915"/>
        <v/>
      </c>
      <c r="AZ120" t="str">
        <f t="shared" si="916"/>
        <v/>
      </c>
      <c r="BA120" t="str">
        <f t="shared" si="917"/>
        <v/>
      </c>
      <c r="BB120" t="str">
        <f t="shared" si="918"/>
        <v/>
      </c>
      <c r="BC120" t="str">
        <f t="shared" si="919"/>
        <v/>
      </c>
      <c r="BD120" t="str">
        <f t="shared" si="490"/>
        <v/>
      </c>
      <c r="BE120" t="str">
        <f t="shared" si="491"/>
        <v/>
      </c>
      <c r="BF120" t="str">
        <f t="shared" si="492"/>
        <v/>
      </c>
      <c r="BG120" t="str">
        <f t="shared" si="493"/>
        <v/>
      </c>
      <c r="BH120" t="str">
        <f t="shared" si="494"/>
        <v/>
      </c>
      <c r="BI120" t="str">
        <f t="shared" si="495"/>
        <v/>
      </c>
      <c r="BJ120" t="str">
        <f t="shared" si="496"/>
        <v/>
      </c>
      <c r="BK120" t="str">
        <f t="shared" si="497"/>
        <v/>
      </c>
      <c r="BL120" t="str">
        <f t="shared" si="498"/>
        <v/>
      </c>
      <c r="BM120" t="str">
        <f t="shared" si="499"/>
        <v/>
      </c>
      <c r="BN120" t="str">
        <f t="shared" si="500"/>
        <v/>
      </c>
      <c r="BO120" t="str">
        <f t="shared" si="501"/>
        <v/>
      </c>
      <c r="BP120" t="str">
        <f t="shared" si="502"/>
        <v/>
      </c>
      <c r="BQ120" t="str">
        <f t="shared" si="503"/>
        <v/>
      </c>
      <c r="BR120" t="str">
        <f t="shared" si="504"/>
        <v/>
      </c>
      <c r="BS120" t="str">
        <f t="shared" si="505"/>
        <v/>
      </c>
      <c r="BT120" t="str">
        <f t="shared" si="506"/>
        <v/>
      </c>
      <c r="BU120" t="str">
        <f t="shared" si="507"/>
        <v/>
      </c>
      <c r="BV120" t="str">
        <f t="shared" si="508"/>
        <v/>
      </c>
      <c r="BW120" t="str">
        <f t="shared" si="509"/>
        <v/>
      </c>
      <c r="BX120" t="str">
        <f t="shared" si="510"/>
        <v/>
      </c>
      <c r="BY120" t="str">
        <f t="shared" si="511"/>
        <v/>
      </c>
      <c r="BZ120" t="str">
        <f t="shared" si="512"/>
        <v/>
      </c>
      <c r="CA120" t="str">
        <f t="shared" si="513"/>
        <v/>
      </c>
      <c r="CB120" t="str">
        <f t="shared" si="514"/>
        <v/>
      </c>
      <c r="CC120" t="str">
        <f t="shared" si="515"/>
        <v/>
      </c>
      <c r="CD120" t="str">
        <f t="shared" si="516"/>
        <v/>
      </c>
      <c r="CE120" t="str">
        <f t="shared" si="517"/>
        <v/>
      </c>
      <c r="CF120" t="str">
        <f t="shared" si="518"/>
        <v/>
      </c>
      <c r="CG120" t="str">
        <f t="shared" si="519"/>
        <v/>
      </c>
      <c r="CH120" t="str">
        <f t="shared" si="920"/>
        <v/>
      </c>
      <c r="CI120" t="str">
        <f t="shared" si="921"/>
        <v/>
      </c>
      <c r="CJ120" t="str">
        <f>IF($CI120="","",IF(OR($DW120="",$DX120=""),"ONZEKER",IF(OR($CF120="",$CG120=""),"ONZEKER",IF(AND($DW120=$CF120+1,$DX120=$CG120),IF(OR(COUNTIF(#REF!,$B120)&gt;0,COUNTIF(#REF!,$B120)=0),"SKIP",IF(COUNTIFS(#REF!,$B120,#REF!,$CI120)&gt;0,"OK","ONBEKEND")),IF(AND($DW120=$CF120,$DX120=$CG120+1),IF(OR(COUNTIF(#REF!,$D120)&gt;0,COUNTIF(#REF!,$D120)=0),"SKIP",IF(COUNTIFS(#REF!,$D120,#REF!,$CI120)&gt;0,"OK","ONBEKEND")),"ONZEKER")))))</f>
        <v/>
      </c>
      <c r="CK120" t="str">
        <f t="shared" si="922"/>
        <v/>
      </c>
      <c r="CL120" t="str">
        <f t="shared" si="923"/>
        <v/>
      </c>
      <c r="CM120" t="str">
        <f>IF($CL120="","",IF(OR($DZ120="",$EA120=""),"ONZEKER",IF(OR($DW120="",$DX120=""),"ONZEKER",IF(AND($DZ120=$DW120+1,$EA120=$DX120),IF(OR(COUNTIF(#REF!,$B120)&gt;0,COUNTIF(#REF!,$B120)=0),"SKIP",IF(COUNTIFS(#REF!,$B120,#REF!,$CL120)&gt;0,"OK","ONBEKEND")),IF(AND($DZ120=$DW120,$EA120=$DX120+1),IF(OR(COUNTIF(#REF!,$D120)&gt;0,COUNTIF(#REF!,$D120)=0),"SKIP",IF(COUNTIFS(#REF!,$D120,#REF!,$CL120)&gt;0,"OK","ONBEKEND")),"ONZEKER")))))</f>
        <v/>
      </c>
      <c r="CN120" t="str">
        <f t="shared" si="924"/>
        <v/>
      </c>
      <c r="CO120" t="str">
        <f t="shared" si="925"/>
        <v/>
      </c>
      <c r="CP120" t="str">
        <f>IF($CO120="","",IF(OR($EC120="",$ED120=""),"ONZEKER",IF(OR($DZ120="",$EA120=""),"ONZEKER",IF(AND($EC120=$DZ120+1,$ED120=$EA120),IF(OR(COUNTIF(#REF!,$B120)&gt;0,COUNTIF(#REF!,$B120)=0),"SKIP",IF(COUNTIFS(#REF!,$B120,#REF!,$CO120)&gt;0,"OK","ONBEKEND")),IF(AND($EC120=$DZ120,$ED120=$EA120+1),IF(OR(COUNTIF(#REF!,$D120)&gt;0,COUNTIF(#REF!,$D120)=0),"SKIP",IF(COUNTIFS(#REF!,$D120,#REF!,$CO120)&gt;0,"OK","ONBEKEND")),"ONZEKER")))))</f>
        <v/>
      </c>
      <c r="CQ120" t="str">
        <f t="shared" si="926"/>
        <v/>
      </c>
      <c r="CR120" t="str">
        <f t="shared" si="927"/>
        <v/>
      </c>
      <c r="CS120" t="str">
        <f>IF($CR120="","",IF(OR($EF120="",$EG120=""),"ONZEKER",IF(OR($EC120="",$ED120=""),"ONZEKER",IF(AND($EF120=$EC120+1,$EG120=$ED120),IF(OR(COUNTIF(#REF!,$B120)&gt;0,COUNTIF(#REF!,$B120)=0),"SKIP",IF(COUNTIFS(#REF!,$B120,#REF!,$CR120)&gt;0,"OK","ONBEKEND")),IF(AND($EF120=$EC120,$EG120=$ED120+1),IF(OR(COUNTIF(#REF!,$D120)&gt;0,COUNTIF(#REF!,$D120)=0),"SKIP",IF(COUNTIFS(#REF!,$D120,#REF!,$CR120)&gt;0,"OK","ONBEKEND")),"ONZEKER")))))</f>
        <v/>
      </c>
      <c r="CT120" t="str">
        <f t="shared" si="928"/>
        <v/>
      </c>
      <c r="CU120" t="str">
        <f t="shared" si="929"/>
        <v/>
      </c>
      <c r="CV120" t="str">
        <f>IF($CU120="","",IF(OR($EI120="",$EJ120=""),"ONZEKER",IF(OR($EF120="",$EG120=""),"ONZEKER",IF(AND($EI120=$EF120+1,$EJ120=$EG120),IF(OR(COUNTIF(#REF!,$B120)&gt;0,COUNTIF(#REF!,$B120)=0),"SKIP",IF(COUNTIFS(#REF!,$B120,#REF!,$CU120)&gt;0,"OK","ONBEKEND")),IF(AND($EI120=$EF120,$EJ120=$EG120+1),IF(OR(COUNTIF(#REF!,$D120)&gt;0,COUNTIF(#REF!,$D120)=0),"SKIP",IF(COUNTIFS(#REF!,$D120,#REF!,$CU120)&gt;0,"OK","ONBEKEND")),"ONZEKER")))))</f>
        <v/>
      </c>
      <c r="CW120" t="str">
        <f t="shared" si="930"/>
        <v/>
      </c>
      <c r="CX120" t="str">
        <f t="shared" si="931"/>
        <v/>
      </c>
      <c r="CY120" t="str">
        <f>IF($CX120="","",IF(OR($EL120="",$EM120=""),"ONZEKER",IF(OR($EI120="",$EJ120=""),"ONZEKER",IF(AND($EL120=$EI120+1,$EM120=$EJ120),IF(OR(COUNTIF(#REF!,$B120)&gt;0,COUNTIF(#REF!,$B120)=0),"SKIP",IF(COUNTIFS(#REF!,$B120,#REF!,$CX120)&gt;0,"OK","ONBEKEND")),IF(AND($EL120=$EI120,$EM120=$EJ120+1),IF(OR(COUNTIF(#REF!,$D120)&gt;0,COUNTIF(#REF!,$D120)=0),"SKIP",IF(COUNTIFS(#REF!,$D120,#REF!,$CX120)&gt;0,"OK","ONBEKEND")),"ONZEKER")))))</f>
        <v/>
      </c>
      <c r="CZ120" t="str">
        <f t="shared" si="932"/>
        <v/>
      </c>
      <c r="DA120" t="str">
        <f t="shared" si="933"/>
        <v/>
      </c>
      <c r="DB120" t="str">
        <f>IF($DA120="","",IF(OR($EO120="",$EP120=""),"ONZEKER",IF(OR($EL120="",$EM120=""),"ONZEKER",IF(AND($EO120=$EL120+1,$EP120=$EM120),IF(OR(COUNTIF(#REF!,$B120)&gt;0,COUNTIF(#REF!,$B120)=0),"SKIP",IF(COUNTIFS(#REF!,$B120,#REF!,$DA120)&gt;0,"OK","ONBEKEND")),IF(AND($EO120=$EL120,$EP120=$EM120+1),IF(OR(COUNTIF(#REF!,$D120)&gt;0,COUNTIF(#REF!,$D120)=0),"SKIP",IF(COUNTIFS(#REF!,$D120,#REF!,$DA120)&gt;0,"OK","ONBEKEND")),"ONZEKER")))))</f>
        <v/>
      </c>
      <c r="DC120" t="str">
        <f t="shared" si="934"/>
        <v/>
      </c>
      <c r="DD120" t="str">
        <f t="shared" si="935"/>
        <v/>
      </c>
      <c r="DE120" t="str">
        <f>IF($DD120="","",IF(OR($ER120="",$ES120=""),"ONZEKER",IF(OR($EO120="",$EP120=""),"ONZEKER",IF(AND($ER120=$EO120+1,$ES120=$EP120),IF(OR(COUNTIF(#REF!,$B120)&gt;0,COUNTIF(#REF!,$B120)=0),"SKIP",IF(COUNTIFS(#REF!,$B120,#REF!,$DD120)&gt;0,"OK","ONBEKEND")),IF(AND($ER120=$EO120,$ES120=$EP120+1),IF(OR(COUNTIF(#REF!,$D120)&gt;0,COUNTIF(#REF!,$D120)=0),"SKIP",IF(COUNTIFS(#REF!,$D120,#REF!,$DD120)&gt;0,"OK","ONBEKEND")),"ONZEKER")))))</f>
        <v/>
      </c>
      <c r="DF120" t="str">
        <f t="shared" si="936"/>
        <v/>
      </c>
      <c r="DG120" t="str">
        <f t="shared" si="937"/>
        <v/>
      </c>
      <c r="DH120" t="str">
        <f>IF($DG120="","",IF(OR($EU120="",$EV120=""),"ONZEKER",IF(OR($ER120="",$ES120=""),"ONZEKER",IF(AND($EU120=$ER120+1,$EV120=$ES120),IF(OR(COUNTIF(#REF!,$B120)&gt;0,COUNTIF(#REF!,$B120)=0),"SKIP",IF(COUNTIFS(#REF!,$B120,#REF!,$DG120)&gt;0,"OK","ONBEKEND")),IF(AND($EU120=$ER120,$EV120=$ES120+1),IF(OR(COUNTIF(#REF!,$D120)&gt;0,COUNTIF(#REF!,$D120)=0),"SKIP",IF(COUNTIFS(#REF!,$D120,#REF!,$DG120)&gt;0,"OK","ONBEKEND")),"ONZEKER")))))</f>
        <v/>
      </c>
      <c r="DI120" t="str">
        <f t="shared" si="938"/>
        <v/>
      </c>
      <c r="DJ120" t="str">
        <f t="shared" si="939"/>
        <v/>
      </c>
      <c r="DK120" t="str">
        <f>IF($DJ120="","",IF(OR($EX120="",$EY120=""),"ONZEKER",IF(OR($EU120="",$EV120=""),"ONZEKER",IF(AND($EX120=$EU120+1,$EY120=$EV120),IF(OR(COUNTIF(#REF!,$B120)&gt;0,COUNTIF(#REF!,$B120)=0),"SKIP",IF(COUNTIFS(#REF!,$B120,#REF!,$DJ120)&gt;0,"OK","ONBEKEND")),IF(AND($EX120=$EU120,$EY120=$EV120+1),IF(OR(COUNTIF(#REF!,$D120)&gt;0,COUNTIF(#REF!,$D120)=0),"SKIP",IF(COUNTIFS(#REF!,$D120,#REF!,$DJ120)&gt;0,"OK","ONBEKEND")),"ONZEKER")))))</f>
        <v/>
      </c>
      <c r="DL120" t="str">
        <f t="shared" si="940"/>
        <v/>
      </c>
      <c r="DM120" t="str">
        <f t="shared" si="941"/>
        <v/>
      </c>
      <c r="DN120" t="str">
        <f t="shared" si="942"/>
        <v/>
      </c>
      <c r="DO120" t="str">
        <f t="shared" si="943"/>
        <v/>
      </c>
      <c r="DP120" t="str">
        <f t="shared" si="944"/>
        <v/>
      </c>
      <c r="DQ120" t="str">
        <f t="shared" si="945"/>
        <v/>
      </c>
      <c r="DR120" t="str">
        <f t="shared" si="946"/>
        <v/>
      </c>
      <c r="DS120" t="str">
        <f t="shared" si="947"/>
        <v/>
      </c>
      <c r="DT120" t="str">
        <f t="shared" si="948"/>
        <v/>
      </c>
      <c r="DU120" t="str">
        <f t="shared" si="949"/>
        <v/>
      </c>
      <c r="DV120" t="str">
        <f t="shared" si="950"/>
        <v/>
      </c>
      <c r="DW120" t="str">
        <f t="shared" si="951"/>
        <v/>
      </c>
      <c r="DX120" t="str">
        <f t="shared" si="952"/>
        <v/>
      </c>
      <c r="DY120" t="str">
        <f t="shared" si="953"/>
        <v/>
      </c>
      <c r="DZ120" t="str">
        <f t="shared" si="954"/>
        <v/>
      </c>
      <c r="EA120" t="str">
        <f t="shared" si="955"/>
        <v/>
      </c>
      <c r="EB120" t="str">
        <f t="shared" si="956"/>
        <v/>
      </c>
      <c r="EC120" t="str">
        <f t="shared" si="957"/>
        <v/>
      </c>
      <c r="ED120" t="str">
        <f t="shared" si="958"/>
        <v/>
      </c>
      <c r="EE120" t="str">
        <f t="shared" si="959"/>
        <v/>
      </c>
      <c r="EF120" t="str">
        <f t="shared" si="960"/>
        <v/>
      </c>
      <c r="EG120" t="str">
        <f t="shared" si="961"/>
        <v/>
      </c>
      <c r="EH120" t="str">
        <f t="shared" si="962"/>
        <v/>
      </c>
      <c r="EI120" t="str">
        <f t="shared" si="963"/>
        <v/>
      </c>
      <c r="EJ120" t="str">
        <f t="shared" si="964"/>
        <v/>
      </c>
      <c r="EK120" t="str">
        <f t="shared" si="965"/>
        <v/>
      </c>
      <c r="EL120" t="str">
        <f t="shared" si="966"/>
        <v/>
      </c>
      <c r="EM120" t="str">
        <f t="shared" si="967"/>
        <v/>
      </c>
      <c r="EN120" t="str">
        <f t="shared" si="968"/>
        <v/>
      </c>
      <c r="EO120" t="str">
        <f t="shared" si="969"/>
        <v/>
      </c>
      <c r="EP120" t="str">
        <f t="shared" si="970"/>
        <v/>
      </c>
      <c r="EQ120" t="str">
        <f t="shared" si="971"/>
        <v/>
      </c>
      <c r="ER120" t="str">
        <f t="shared" si="972"/>
        <v/>
      </c>
      <c r="ES120" t="str">
        <f t="shared" si="973"/>
        <v/>
      </c>
      <c r="ET120" t="str">
        <f t="shared" si="974"/>
        <v/>
      </c>
      <c r="EU120" t="str">
        <f t="shared" si="975"/>
        <v/>
      </c>
      <c r="EV120" t="str">
        <f t="shared" si="976"/>
        <v/>
      </c>
      <c r="EW120" t="str">
        <f t="shared" si="977"/>
        <v/>
      </c>
      <c r="EX120" t="str">
        <f t="shared" si="978"/>
        <v/>
      </c>
      <c r="EY120" t="str">
        <f t="shared" si="979"/>
        <v/>
      </c>
    </row>
    <row r="121" spans="1:155" ht="13.9" customHeight="1" x14ac:dyDescent="0.25">
      <c r="A121" s="7"/>
      <c r="B121" s="17"/>
      <c r="C121" s="8"/>
      <c r="D121" s="17"/>
      <c r="E121" s="8"/>
      <c r="F121" s="18">
        <v>0</v>
      </c>
      <c r="G121" s="7" t="s">
        <v>147</v>
      </c>
      <c r="H121" s="18">
        <v>0</v>
      </c>
      <c r="I121" s="19">
        <v>0</v>
      </c>
      <c r="J121" s="7" t="s">
        <v>147</v>
      </c>
      <c r="K121" s="19">
        <v>0</v>
      </c>
      <c r="L121" s="9"/>
      <c r="M121" s="3" t="str">
        <f>IF($L121="","",IF($L121="DOELPUNTENMAKERS","",IF(AND(COUNTIF(#REF!,$B121)=0,COUNTIF(#REF!,$D121)=0),"OK",IF($O121&gt;20,"LET OP: meer dan 20 items (controle onvolledig)",IF((COUNTIF($R121:$AS121,"ONZEKER")+COUNTIF($CJ121:$DK121,"ONZEKER"))&gt;0,"LET OP: scoreverloop onduidelijk (controle beperkt)",IF((IF($AT121&lt;&gt;"",$AT121&amp;", ","")&amp;IF($AU121&lt;&gt;"",$AU121&amp;", ","")&amp;IF($AV121&lt;&gt;"",$AV121&amp;", ","")&amp;IF($AW121&lt;&gt;"",$AW121&amp;", ","")&amp;IF($AX121&lt;&gt;"",$AX121&amp;", ","")&amp;IF($AY121&lt;&gt;"",$AY121&amp;", ","")&amp;IF($AZ121&lt;&gt;"",$AZ121&amp;", ","")&amp;IF($BA121&lt;&gt;"",$BA121&amp;", ","")&amp;IF($BB121&lt;&gt;"",$BB121&amp;", ","")&amp;IF($BC121&lt;&gt;"",$BC121&amp;", ","")&amp;IF($DL121&lt;&gt;"",$DL121&amp;", ","")&amp;IF($DM121&lt;&gt;"",$DM121&amp;", ","")&amp;IF($DN121&lt;&gt;"",$DN121&amp;", ","")&amp;IF($DO121&lt;&gt;"",$DO121&amp;", ","")&amp;IF($DP121&lt;&gt;"",$DP121&amp;", ","")&amp;IF($DQ121&lt;&gt;"",$DQ121&amp;", ","")&amp;IF($DR121&lt;&gt;"",$DR121&amp;", ","")&amp;IF($DS121&lt;&gt;"",$DS121&amp;", ","")&amp;IF($DT121&lt;&gt;"",$DT121&amp;", ","")&amp;IF($DU121&lt;&gt;"",$DU121&amp;", ",""))="","OK","Onbekend: "&amp;LEFT((IF($AT121&lt;&gt;"",$AT121&amp;", ","")&amp;IF($AU121&lt;&gt;"",$AU121&amp;", ","")&amp;IF($AV121&lt;&gt;"",$AV121&amp;", ","")&amp;IF($AW121&lt;&gt;"",$AW121&amp;", ","")&amp;IF($AX121&lt;&gt;"",$AX121&amp;", ","")&amp;IF($AY121&lt;&gt;"",$AY121&amp;", ","")&amp;IF($AZ121&lt;&gt;"",$AZ121&amp;", ","")&amp;IF($BA121&lt;&gt;"",$BA121&amp;", ","")&amp;IF($BB121&lt;&gt;"",$BB121&amp;", ","")&amp;IF($BC121&lt;&gt;"",$BC121&amp;", ","")&amp;IF($DL121&lt;&gt;"",$DL121&amp;", ","")&amp;IF($DM121&lt;&gt;"",$DM121&amp;", ","")&amp;IF($DN121&lt;&gt;"",$DN121&amp;", ","")&amp;IF($DO121&lt;&gt;"",$DO121&amp;", ","")&amp;IF($DP121&lt;&gt;"",$DP121&amp;", ","")&amp;IF($DQ121&lt;&gt;"",$DQ121&amp;", ","")&amp;IF($DR121&lt;&gt;"",$DR121&amp;", ","")&amp;IF($DS121&lt;&gt;"",$DS121&amp;", ","")&amp;IF($DT121&lt;&gt;"",$DT121&amp;", ","")&amp;IF($DU121&lt;&gt;"",$DU121&amp;", ","")),LEN((IF($AT121&lt;&gt;"",$AT121&amp;", ","")&amp;IF($AU121&lt;&gt;"",$AU121&amp;", ","")&amp;IF($AV121&lt;&gt;"",$AV121&amp;", ","")&amp;IF($AW121&lt;&gt;"",$AW121&amp;", ","")&amp;IF($AX121&lt;&gt;"",$AX121&amp;", ","")&amp;IF($AY121&lt;&gt;"",$AY121&amp;", ","")&amp;IF($AZ121&lt;&gt;"",$AZ121&amp;", ","")&amp;IF($BA121&lt;&gt;"",$BA121&amp;", ","")&amp;IF($BB121&lt;&gt;"",$BB121&amp;", ","")&amp;IF($BC121&lt;&gt;"",$BC121&amp;", ","")&amp;IF($DL121&lt;&gt;"",$DL121&amp;", ","")&amp;IF($DM121&lt;&gt;"",$DM121&amp;", ","")&amp;IF($DN121&lt;&gt;"",$DN121&amp;", ","")&amp;IF($DO121&lt;&gt;"",$DO121&amp;", ","")&amp;IF($DP121&lt;&gt;"",$DP121&amp;", ","")&amp;IF($DQ121&lt;&gt;"",$DQ121&amp;", ","")&amp;IF($DR121&lt;&gt;"",$DR121&amp;", ","")&amp;IF($DS121&lt;&gt;"",$DS121&amp;", ","")&amp;IF($DT121&lt;&gt;"",$DT121&amp;", ","")&amp;IF($DU121&lt;&gt;"",$DU121&amp;", ","")))-2)))))))</f>
        <v/>
      </c>
      <c r="N121" t="str">
        <f t="shared" si="888"/>
        <v/>
      </c>
      <c r="O121" t="str">
        <f t="shared" si="889"/>
        <v/>
      </c>
      <c r="P121" t="str">
        <f t="shared" si="890"/>
        <v/>
      </c>
      <c r="Q121" t="str">
        <f t="shared" si="891"/>
        <v/>
      </c>
      <c r="R121" t="str">
        <f>IF($Q121="","",IF(OR($BE121="",$BF121=""),"ONZEKER",IF(AND($BE121=0+1,$BF121=0),IF(OR(COUNTIF(#REF!,$B121)&gt;0,COUNTIF(#REF!,$B121)=0),"SKIP",IF(COUNTIFS(#REF!,$B121,#REF!,$Q121)&gt;0,"OK","ONBEKEND")),IF(AND($BE121=0,$BF121=0+1),IF(OR(COUNTIF(#REF!,$D121)&gt;0,COUNTIF(#REF!,$D121)=0),"SKIP",IF(COUNTIFS(#REF!,$D121,#REF!,$Q121)&gt;0,"OK","ONBEKEND")),"ONZEKER"))))</f>
        <v/>
      </c>
      <c r="S121" t="str">
        <f t="shared" si="892"/>
        <v/>
      </c>
      <c r="T121" t="str">
        <f t="shared" si="893"/>
        <v/>
      </c>
      <c r="U121" t="str">
        <f>IF($T121="","",IF(OR($BH121="",$BI121=""),"ONZEKER",IF(OR($BE121="",$BF121=""),"ONZEKER",IF(AND($BH121=$BE121+1,$BI121=$BF121),IF(OR(COUNTIF(#REF!,$B121)&gt;0,COUNTIF(#REF!,$B121)=0),"SKIP",IF(COUNTIFS(#REF!,$B121,#REF!,$T121)&gt;0,"OK","ONBEKEND")),IF(AND($BH121=$BE121,$BI121=$BF121+1),IF(OR(COUNTIF(#REF!,$D121)&gt;0,COUNTIF(#REF!,$D121)=0),"SKIP",IF(COUNTIFS(#REF!,$D121,#REF!,$T121)&gt;0,"OK","ONBEKEND")),"ONZEKER")))))</f>
        <v/>
      </c>
      <c r="V121" t="str">
        <f t="shared" si="894"/>
        <v/>
      </c>
      <c r="W121" t="str">
        <f t="shared" si="895"/>
        <v/>
      </c>
      <c r="X121" t="str">
        <f>IF($W121="","",IF(OR($BK121="",$BL121=""),"ONZEKER",IF(OR($BH121="",$BI121=""),"ONZEKER",IF(AND($BK121=$BH121+1,$BL121=$BI121),IF(OR(COUNTIF(#REF!,$B121)&gt;0,COUNTIF(#REF!,$B121)=0),"SKIP",IF(COUNTIFS(#REF!,$B121,#REF!,$W121)&gt;0,"OK","ONBEKEND")),IF(AND($BK121=$BH121,$BL121=$BI121+1),IF(OR(COUNTIF(#REF!,$D121)&gt;0,COUNTIF(#REF!,$D121)=0),"SKIP",IF(COUNTIFS(#REF!,$D121,#REF!,$W121)&gt;0,"OK","ONBEKEND")),"ONZEKER")))))</f>
        <v/>
      </c>
      <c r="Y121" t="str">
        <f t="shared" si="896"/>
        <v/>
      </c>
      <c r="Z121" t="str">
        <f t="shared" si="897"/>
        <v/>
      </c>
      <c r="AA121" t="str">
        <f>IF($Z121="","",IF(OR($BN121="",$BO121=""),"ONZEKER",IF(OR($BK121="",$BL121=""),"ONZEKER",IF(AND($BN121=$BK121+1,$BO121=$BL121),IF(OR(COUNTIF(#REF!,$B121)&gt;0,COUNTIF(#REF!,$B121)=0),"SKIP",IF(COUNTIFS(#REF!,$B121,#REF!,$Z121)&gt;0,"OK","ONBEKEND")),IF(AND($BN121=$BK121,$BO121=$BL121+1),IF(OR(COUNTIF(#REF!,$D121)&gt;0,COUNTIF(#REF!,$D121)=0),"SKIP",IF(COUNTIFS(#REF!,$D121,#REF!,$Z121)&gt;0,"OK","ONBEKEND")),"ONZEKER")))))</f>
        <v/>
      </c>
      <c r="AB121" t="str">
        <f t="shared" si="898"/>
        <v/>
      </c>
      <c r="AC121" t="str">
        <f t="shared" si="899"/>
        <v/>
      </c>
      <c r="AD121" t="str">
        <f>IF($AC121="","",IF(OR($BQ121="",$BR121=""),"ONZEKER",IF(OR($BN121="",$BO121=""),"ONZEKER",IF(AND($BQ121=$BN121+1,$BR121=$BO121),IF(OR(COUNTIF(#REF!,$B121)&gt;0,COUNTIF(#REF!,$B121)=0),"SKIP",IF(COUNTIFS(#REF!,$B121,#REF!,$AC121)&gt;0,"OK","ONBEKEND")),IF(AND($BQ121=$BN121,$BR121=$BO121+1),IF(OR(COUNTIF(#REF!,$D121)&gt;0,COUNTIF(#REF!,$D121)=0),"SKIP",IF(COUNTIFS(#REF!,$D121,#REF!,$AC121)&gt;0,"OK","ONBEKEND")),"ONZEKER")))))</f>
        <v/>
      </c>
      <c r="AE121" t="str">
        <f t="shared" si="900"/>
        <v/>
      </c>
      <c r="AF121" t="str">
        <f t="shared" si="901"/>
        <v/>
      </c>
      <c r="AG121" t="str">
        <f>IF($AF121="","",IF(OR($BT121="",$BU121=""),"ONZEKER",IF(OR($BQ121="",$BR121=""),"ONZEKER",IF(AND($BT121=$BQ121+1,$BU121=$BR121),IF(OR(COUNTIF(#REF!,$B121)&gt;0,COUNTIF(#REF!,$B121)=0),"SKIP",IF(COUNTIFS(#REF!,$B121,#REF!,$AF121)&gt;0,"OK","ONBEKEND")),IF(AND($BT121=$BQ121,$BU121=$BR121+1),IF(OR(COUNTIF(#REF!,$D121)&gt;0,COUNTIF(#REF!,$D121)=0),"SKIP",IF(COUNTIFS(#REF!,$D121,#REF!,$AF121)&gt;0,"OK","ONBEKEND")),"ONZEKER")))))</f>
        <v/>
      </c>
      <c r="AH121" t="str">
        <f t="shared" si="902"/>
        <v/>
      </c>
      <c r="AI121" t="str">
        <f t="shared" si="903"/>
        <v/>
      </c>
      <c r="AJ121" t="str">
        <f>IF($AI121="","",IF(OR($BW121="",$BX121=""),"ONZEKER",IF(OR($BT121="",$BU121=""),"ONZEKER",IF(AND($BW121=$BT121+1,$BX121=$BU121),IF(OR(COUNTIF(#REF!,$B121)&gt;0,COUNTIF(#REF!,$B121)=0),"SKIP",IF(COUNTIFS(#REF!,$B121,#REF!,$AI121)&gt;0,"OK","ONBEKEND")),IF(AND($BW121=$BT121,$BX121=$BU121+1),IF(OR(COUNTIF(#REF!,$D121)&gt;0,COUNTIF(#REF!,$D121)=0),"SKIP",IF(COUNTIFS(#REF!,$D121,#REF!,$AI121)&gt;0,"OK","ONBEKEND")),"ONZEKER")))))</f>
        <v/>
      </c>
      <c r="AK121" t="str">
        <f t="shared" si="904"/>
        <v/>
      </c>
      <c r="AL121" t="str">
        <f t="shared" si="905"/>
        <v/>
      </c>
      <c r="AM121" t="str">
        <f>IF($AL121="","",IF(OR($BZ121="",$CA121=""),"ONZEKER",IF(OR($BW121="",$BX121=""),"ONZEKER",IF(AND($BZ121=$BW121+1,$CA121=$BX121),IF(OR(COUNTIF(#REF!,$B121)&gt;0,COUNTIF(#REF!,$B121)=0),"SKIP",IF(COUNTIFS(#REF!,$B121,#REF!,$AL121)&gt;0,"OK","ONBEKEND")),IF(AND($BZ121=$BW121,$CA121=$BX121+1),IF(OR(COUNTIF(#REF!,$D121)&gt;0,COUNTIF(#REF!,$D121)=0),"SKIP",IF(COUNTIFS(#REF!,$D121,#REF!,$AL121)&gt;0,"OK","ONBEKEND")),"ONZEKER")))))</f>
        <v/>
      </c>
      <c r="AN121" t="str">
        <f t="shared" si="906"/>
        <v/>
      </c>
      <c r="AO121" t="str">
        <f t="shared" si="907"/>
        <v/>
      </c>
      <c r="AP121" t="str">
        <f>IF($AO121="","",IF(OR($CC121="",$CD121=""),"ONZEKER",IF(OR($BZ121="",$CA121=""),"ONZEKER",IF(AND($CC121=$BZ121+1,$CD121=$CA121),IF(OR(COUNTIF(#REF!,$B121)&gt;0,COUNTIF(#REF!,$B121)=0),"SKIP",IF(COUNTIFS(#REF!,$B121,#REF!,$AO121)&gt;0,"OK","ONBEKEND")),IF(AND($CC121=$BZ121,$CD121=$CA121+1),IF(OR(COUNTIF(#REF!,$D121)&gt;0,COUNTIF(#REF!,$D121)=0),"SKIP",IF(COUNTIFS(#REF!,$D121,#REF!,$AO121)&gt;0,"OK","ONBEKEND")),"ONZEKER")))))</f>
        <v/>
      </c>
      <c r="AQ121" t="str">
        <f t="shared" si="908"/>
        <v/>
      </c>
      <c r="AR121" t="str">
        <f t="shared" si="909"/>
        <v/>
      </c>
      <c r="AS121" t="str">
        <f>IF($AR121="","",IF(OR($CF121="",$CG121=""),"ONZEKER",IF(OR($CC121="",$CD121=""),"ONZEKER",IF(AND($CF121=$CC121+1,$CG121=$CD121),IF(OR(COUNTIF(#REF!,$B121)&gt;0,COUNTIF(#REF!,$B121)=0),"SKIP",IF(COUNTIFS(#REF!,$B121,#REF!,$AR121)&gt;0,"OK","ONBEKEND")),IF(AND($CF121=$CC121,$CG121=$CD121+1),IF(OR(COUNTIF(#REF!,$D121)&gt;0,COUNTIF(#REF!,$D121)=0),"SKIP",IF(COUNTIFS(#REF!,$D121,#REF!,$AR121)&gt;0,"OK","ONBEKEND")),"ONZEKER")))))</f>
        <v/>
      </c>
      <c r="AT121" t="str">
        <f t="shared" si="910"/>
        <v/>
      </c>
      <c r="AU121" t="str">
        <f t="shared" si="911"/>
        <v/>
      </c>
      <c r="AV121" t="str">
        <f t="shared" si="912"/>
        <v/>
      </c>
      <c r="AW121" t="str">
        <f t="shared" si="913"/>
        <v/>
      </c>
      <c r="AX121" t="str">
        <f t="shared" si="914"/>
        <v/>
      </c>
      <c r="AY121" t="str">
        <f t="shared" si="915"/>
        <v/>
      </c>
      <c r="AZ121" t="str">
        <f t="shared" si="916"/>
        <v/>
      </c>
      <c r="BA121" t="str">
        <f t="shared" si="917"/>
        <v/>
      </c>
      <c r="BB121" t="str">
        <f t="shared" si="918"/>
        <v/>
      </c>
      <c r="BC121" t="str">
        <f t="shared" si="919"/>
        <v/>
      </c>
      <c r="BD121" t="str">
        <f t="shared" si="490"/>
        <v/>
      </c>
      <c r="BE121" t="str">
        <f t="shared" si="491"/>
        <v/>
      </c>
      <c r="BF121" t="str">
        <f t="shared" si="492"/>
        <v/>
      </c>
      <c r="BG121" t="str">
        <f t="shared" si="493"/>
        <v/>
      </c>
      <c r="BH121" t="str">
        <f t="shared" si="494"/>
        <v/>
      </c>
      <c r="BI121" t="str">
        <f t="shared" si="495"/>
        <v/>
      </c>
      <c r="BJ121" t="str">
        <f t="shared" si="496"/>
        <v/>
      </c>
      <c r="BK121" t="str">
        <f t="shared" si="497"/>
        <v/>
      </c>
      <c r="BL121" t="str">
        <f t="shared" si="498"/>
        <v/>
      </c>
      <c r="BM121" t="str">
        <f t="shared" si="499"/>
        <v/>
      </c>
      <c r="BN121" t="str">
        <f t="shared" si="500"/>
        <v/>
      </c>
      <c r="BO121" t="str">
        <f t="shared" si="501"/>
        <v/>
      </c>
      <c r="BP121" t="str">
        <f t="shared" si="502"/>
        <v/>
      </c>
      <c r="BQ121" t="str">
        <f t="shared" si="503"/>
        <v/>
      </c>
      <c r="BR121" t="str">
        <f t="shared" si="504"/>
        <v/>
      </c>
      <c r="BS121" t="str">
        <f t="shared" si="505"/>
        <v/>
      </c>
      <c r="BT121" t="str">
        <f t="shared" si="506"/>
        <v/>
      </c>
      <c r="BU121" t="str">
        <f t="shared" si="507"/>
        <v/>
      </c>
      <c r="BV121" t="str">
        <f t="shared" si="508"/>
        <v/>
      </c>
      <c r="BW121" t="str">
        <f t="shared" si="509"/>
        <v/>
      </c>
      <c r="BX121" t="str">
        <f t="shared" si="510"/>
        <v/>
      </c>
      <c r="BY121" t="str">
        <f t="shared" si="511"/>
        <v/>
      </c>
      <c r="BZ121" t="str">
        <f t="shared" si="512"/>
        <v/>
      </c>
      <c r="CA121" t="str">
        <f t="shared" si="513"/>
        <v/>
      </c>
      <c r="CB121" t="str">
        <f t="shared" si="514"/>
        <v/>
      </c>
      <c r="CC121" t="str">
        <f t="shared" si="515"/>
        <v/>
      </c>
      <c r="CD121" t="str">
        <f t="shared" si="516"/>
        <v/>
      </c>
      <c r="CE121" t="str">
        <f t="shared" si="517"/>
        <v/>
      </c>
      <c r="CF121" t="str">
        <f t="shared" si="518"/>
        <v/>
      </c>
      <c r="CG121" t="str">
        <f t="shared" si="519"/>
        <v/>
      </c>
      <c r="CH121" t="str">
        <f t="shared" si="920"/>
        <v/>
      </c>
      <c r="CI121" t="str">
        <f t="shared" si="921"/>
        <v/>
      </c>
      <c r="CJ121" t="str">
        <f>IF($CI121="","",IF(OR($DW121="",$DX121=""),"ONZEKER",IF(OR($CF121="",$CG121=""),"ONZEKER",IF(AND($DW121=$CF121+1,$DX121=$CG121),IF(OR(COUNTIF(#REF!,$B121)&gt;0,COUNTIF(#REF!,$B121)=0),"SKIP",IF(COUNTIFS(#REF!,$B121,#REF!,$CI121)&gt;0,"OK","ONBEKEND")),IF(AND($DW121=$CF121,$DX121=$CG121+1),IF(OR(COUNTIF(#REF!,$D121)&gt;0,COUNTIF(#REF!,$D121)=0),"SKIP",IF(COUNTIFS(#REF!,$D121,#REF!,$CI121)&gt;0,"OK","ONBEKEND")),"ONZEKER")))))</f>
        <v/>
      </c>
      <c r="CK121" t="str">
        <f t="shared" si="922"/>
        <v/>
      </c>
      <c r="CL121" t="str">
        <f t="shared" si="923"/>
        <v/>
      </c>
      <c r="CM121" t="str">
        <f>IF($CL121="","",IF(OR($DZ121="",$EA121=""),"ONZEKER",IF(OR($DW121="",$DX121=""),"ONZEKER",IF(AND($DZ121=$DW121+1,$EA121=$DX121),IF(OR(COUNTIF(#REF!,$B121)&gt;0,COUNTIF(#REF!,$B121)=0),"SKIP",IF(COUNTIFS(#REF!,$B121,#REF!,$CL121)&gt;0,"OK","ONBEKEND")),IF(AND($DZ121=$DW121,$EA121=$DX121+1),IF(OR(COUNTIF(#REF!,$D121)&gt;0,COUNTIF(#REF!,$D121)=0),"SKIP",IF(COUNTIFS(#REF!,$D121,#REF!,$CL121)&gt;0,"OK","ONBEKEND")),"ONZEKER")))))</f>
        <v/>
      </c>
      <c r="CN121" t="str">
        <f t="shared" si="924"/>
        <v/>
      </c>
      <c r="CO121" t="str">
        <f t="shared" si="925"/>
        <v/>
      </c>
      <c r="CP121" t="str">
        <f>IF($CO121="","",IF(OR($EC121="",$ED121=""),"ONZEKER",IF(OR($DZ121="",$EA121=""),"ONZEKER",IF(AND($EC121=$DZ121+1,$ED121=$EA121),IF(OR(COUNTIF(#REF!,$B121)&gt;0,COUNTIF(#REF!,$B121)=0),"SKIP",IF(COUNTIFS(#REF!,$B121,#REF!,$CO121)&gt;0,"OK","ONBEKEND")),IF(AND($EC121=$DZ121,$ED121=$EA121+1),IF(OR(COUNTIF(#REF!,$D121)&gt;0,COUNTIF(#REF!,$D121)=0),"SKIP",IF(COUNTIFS(#REF!,$D121,#REF!,$CO121)&gt;0,"OK","ONBEKEND")),"ONZEKER")))))</f>
        <v/>
      </c>
      <c r="CQ121" t="str">
        <f t="shared" si="926"/>
        <v/>
      </c>
      <c r="CR121" t="str">
        <f t="shared" si="927"/>
        <v/>
      </c>
      <c r="CS121" t="str">
        <f>IF($CR121="","",IF(OR($EF121="",$EG121=""),"ONZEKER",IF(OR($EC121="",$ED121=""),"ONZEKER",IF(AND($EF121=$EC121+1,$EG121=$ED121),IF(OR(COUNTIF(#REF!,$B121)&gt;0,COUNTIF(#REF!,$B121)=0),"SKIP",IF(COUNTIFS(#REF!,$B121,#REF!,$CR121)&gt;0,"OK","ONBEKEND")),IF(AND($EF121=$EC121,$EG121=$ED121+1),IF(OR(COUNTIF(#REF!,$D121)&gt;0,COUNTIF(#REF!,$D121)=0),"SKIP",IF(COUNTIFS(#REF!,$D121,#REF!,$CR121)&gt;0,"OK","ONBEKEND")),"ONZEKER")))))</f>
        <v/>
      </c>
      <c r="CT121" t="str">
        <f t="shared" si="928"/>
        <v/>
      </c>
      <c r="CU121" t="str">
        <f t="shared" si="929"/>
        <v/>
      </c>
      <c r="CV121" t="str">
        <f>IF($CU121="","",IF(OR($EI121="",$EJ121=""),"ONZEKER",IF(OR($EF121="",$EG121=""),"ONZEKER",IF(AND($EI121=$EF121+1,$EJ121=$EG121),IF(OR(COUNTIF(#REF!,$B121)&gt;0,COUNTIF(#REF!,$B121)=0),"SKIP",IF(COUNTIFS(#REF!,$B121,#REF!,$CU121)&gt;0,"OK","ONBEKEND")),IF(AND($EI121=$EF121,$EJ121=$EG121+1),IF(OR(COUNTIF(#REF!,$D121)&gt;0,COUNTIF(#REF!,$D121)=0),"SKIP",IF(COUNTIFS(#REF!,$D121,#REF!,$CU121)&gt;0,"OK","ONBEKEND")),"ONZEKER")))))</f>
        <v/>
      </c>
      <c r="CW121" t="str">
        <f t="shared" si="930"/>
        <v/>
      </c>
      <c r="CX121" t="str">
        <f t="shared" si="931"/>
        <v/>
      </c>
      <c r="CY121" t="str">
        <f>IF($CX121="","",IF(OR($EL121="",$EM121=""),"ONZEKER",IF(OR($EI121="",$EJ121=""),"ONZEKER",IF(AND($EL121=$EI121+1,$EM121=$EJ121),IF(OR(COUNTIF(#REF!,$B121)&gt;0,COUNTIF(#REF!,$B121)=0),"SKIP",IF(COUNTIFS(#REF!,$B121,#REF!,$CX121)&gt;0,"OK","ONBEKEND")),IF(AND($EL121=$EI121,$EM121=$EJ121+1),IF(OR(COUNTIF(#REF!,$D121)&gt;0,COUNTIF(#REF!,$D121)=0),"SKIP",IF(COUNTIFS(#REF!,$D121,#REF!,$CX121)&gt;0,"OK","ONBEKEND")),"ONZEKER")))))</f>
        <v/>
      </c>
      <c r="CZ121" t="str">
        <f t="shared" si="932"/>
        <v/>
      </c>
      <c r="DA121" t="str">
        <f t="shared" si="933"/>
        <v/>
      </c>
      <c r="DB121" t="str">
        <f>IF($DA121="","",IF(OR($EO121="",$EP121=""),"ONZEKER",IF(OR($EL121="",$EM121=""),"ONZEKER",IF(AND($EO121=$EL121+1,$EP121=$EM121),IF(OR(COUNTIF(#REF!,$B121)&gt;0,COUNTIF(#REF!,$B121)=0),"SKIP",IF(COUNTIFS(#REF!,$B121,#REF!,$DA121)&gt;0,"OK","ONBEKEND")),IF(AND($EO121=$EL121,$EP121=$EM121+1),IF(OR(COUNTIF(#REF!,$D121)&gt;0,COUNTIF(#REF!,$D121)=0),"SKIP",IF(COUNTIFS(#REF!,$D121,#REF!,$DA121)&gt;0,"OK","ONBEKEND")),"ONZEKER")))))</f>
        <v/>
      </c>
      <c r="DC121" t="str">
        <f t="shared" si="934"/>
        <v/>
      </c>
      <c r="DD121" t="str">
        <f t="shared" si="935"/>
        <v/>
      </c>
      <c r="DE121" t="str">
        <f>IF($DD121="","",IF(OR($ER121="",$ES121=""),"ONZEKER",IF(OR($EO121="",$EP121=""),"ONZEKER",IF(AND($ER121=$EO121+1,$ES121=$EP121),IF(OR(COUNTIF(#REF!,$B121)&gt;0,COUNTIF(#REF!,$B121)=0),"SKIP",IF(COUNTIFS(#REF!,$B121,#REF!,$DD121)&gt;0,"OK","ONBEKEND")),IF(AND($ER121=$EO121,$ES121=$EP121+1),IF(OR(COUNTIF(#REF!,$D121)&gt;0,COUNTIF(#REF!,$D121)=0),"SKIP",IF(COUNTIFS(#REF!,$D121,#REF!,$DD121)&gt;0,"OK","ONBEKEND")),"ONZEKER")))))</f>
        <v/>
      </c>
      <c r="DF121" t="str">
        <f t="shared" si="936"/>
        <v/>
      </c>
      <c r="DG121" t="str">
        <f t="shared" si="937"/>
        <v/>
      </c>
      <c r="DH121" t="str">
        <f>IF($DG121="","",IF(OR($EU121="",$EV121=""),"ONZEKER",IF(OR($ER121="",$ES121=""),"ONZEKER",IF(AND($EU121=$ER121+1,$EV121=$ES121),IF(OR(COUNTIF(#REF!,$B121)&gt;0,COUNTIF(#REF!,$B121)=0),"SKIP",IF(COUNTIFS(#REF!,$B121,#REF!,$DG121)&gt;0,"OK","ONBEKEND")),IF(AND($EU121=$ER121,$EV121=$ES121+1),IF(OR(COUNTIF(#REF!,$D121)&gt;0,COUNTIF(#REF!,$D121)=0),"SKIP",IF(COUNTIFS(#REF!,$D121,#REF!,$DG121)&gt;0,"OK","ONBEKEND")),"ONZEKER")))))</f>
        <v/>
      </c>
      <c r="DI121" t="str">
        <f t="shared" si="938"/>
        <v/>
      </c>
      <c r="DJ121" t="str">
        <f t="shared" si="939"/>
        <v/>
      </c>
      <c r="DK121" t="str">
        <f>IF($DJ121="","",IF(OR($EX121="",$EY121=""),"ONZEKER",IF(OR($EU121="",$EV121=""),"ONZEKER",IF(AND($EX121=$EU121+1,$EY121=$EV121),IF(OR(COUNTIF(#REF!,$B121)&gt;0,COUNTIF(#REF!,$B121)=0),"SKIP",IF(COUNTIFS(#REF!,$B121,#REF!,$DJ121)&gt;0,"OK","ONBEKEND")),IF(AND($EX121=$EU121,$EY121=$EV121+1),IF(OR(COUNTIF(#REF!,$D121)&gt;0,COUNTIF(#REF!,$D121)=0),"SKIP",IF(COUNTIFS(#REF!,$D121,#REF!,$DJ121)&gt;0,"OK","ONBEKEND")),"ONZEKER")))))</f>
        <v/>
      </c>
      <c r="DL121" t="str">
        <f t="shared" si="940"/>
        <v/>
      </c>
      <c r="DM121" t="str">
        <f t="shared" si="941"/>
        <v/>
      </c>
      <c r="DN121" t="str">
        <f t="shared" si="942"/>
        <v/>
      </c>
      <c r="DO121" t="str">
        <f t="shared" si="943"/>
        <v/>
      </c>
      <c r="DP121" t="str">
        <f t="shared" si="944"/>
        <v/>
      </c>
      <c r="DQ121" t="str">
        <f t="shared" si="945"/>
        <v/>
      </c>
      <c r="DR121" t="str">
        <f t="shared" si="946"/>
        <v/>
      </c>
      <c r="DS121" t="str">
        <f t="shared" si="947"/>
        <v/>
      </c>
      <c r="DT121" t="str">
        <f t="shared" si="948"/>
        <v/>
      </c>
      <c r="DU121" t="str">
        <f t="shared" si="949"/>
        <v/>
      </c>
      <c r="DV121" t="str">
        <f t="shared" si="950"/>
        <v/>
      </c>
      <c r="DW121" t="str">
        <f t="shared" si="951"/>
        <v/>
      </c>
      <c r="DX121" t="str">
        <f t="shared" si="952"/>
        <v/>
      </c>
      <c r="DY121" t="str">
        <f t="shared" si="953"/>
        <v/>
      </c>
      <c r="DZ121" t="str">
        <f t="shared" si="954"/>
        <v/>
      </c>
      <c r="EA121" t="str">
        <f t="shared" si="955"/>
        <v/>
      </c>
      <c r="EB121" t="str">
        <f t="shared" si="956"/>
        <v/>
      </c>
      <c r="EC121" t="str">
        <f t="shared" si="957"/>
        <v/>
      </c>
      <c r="ED121" t="str">
        <f t="shared" si="958"/>
        <v/>
      </c>
      <c r="EE121" t="str">
        <f t="shared" si="959"/>
        <v/>
      </c>
      <c r="EF121" t="str">
        <f t="shared" si="960"/>
        <v/>
      </c>
      <c r="EG121" t="str">
        <f t="shared" si="961"/>
        <v/>
      </c>
      <c r="EH121" t="str">
        <f t="shared" si="962"/>
        <v/>
      </c>
      <c r="EI121" t="str">
        <f t="shared" si="963"/>
        <v/>
      </c>
      <c r="EJ121" t="str">
        <f t="shared" si="964"/>
        <v/>
      </c>
      <c r="EK121" t="str">
        <f t="shared" si="965"/>
        <v/>
      </c>
      <c r="EL121" t="str">
        <f t="shared" si="966"/>
        <v/>
      </c>
      <c r="EM121" t="str">
        <f t="shared" si="967"/>
        <v/>
      </c>
      <c r="EN121" t="str">
        <f t="shared" si="968"/>
        <v/>
      </c>
      <c r="EO121" t="str">
        <f t="shared" si="969"/>
        <v/>
      </c>
      <c r="EP121" t="str">
        <f t="shared" si="970"/>
        <v/>
      </c>
      <c r="EQ121" t="str">
        <f t="shared" si="971"/>
        <v/>
      </c>
      <c r="ER121" t="str">
        <f t="shared" si="972"/>
        <v/>
      </c>
      <c r="ES121" t="str">
        <f t="shared" si="973"/>
        <v/>
      </c>
      <c r="ET121" t="str">
        <f t="shared" si="974"/>
        <v/>
      </c>
      <c r="EU121" t="str">
        <f t="shared" si="975"/>
        <v/>
      </c>
      <c r="EV121" t="str">
        <f t="shared" si="976"/>
        <v/>
      </c>
      <c r="EW121" t="str">
        <f t="shared" si="977"/>
        <v/>
      </c>
      <c r="EX121" t="str">
        <f t="shared" si="978"/>
        <v/>
      </c>
      <c r="EY121" t="str">
        <f t="shared" si="979"/>
        <v/>
      </c>
    </row>
    <row r="122" spans="1:155" ht="13.9" customHeight="1" x14ac:dyDescent="0.25">
      <c r="A122" s="7"/>
      <c r="B122" s="17"/>
      <c r="C122" s="8"/>
      <c r="D122" s="17"/>
      <c r="E122" s="8"/>
      <c r="F122" s="18">
        <v>0</v>
      </c>
      <c r="G122" s="7" t="s">
        <v>147</v>
      </c>
      <c r="H122" s="18">
        <v>0</v>
      </c>
      <c r="I122" s="19">
        <v>0</v>
      </c>
      <c r="J122" s="7" t="s">
        <v>147</v>
      </c>
      <c r="K122" s="19">
        <v>0</v>
      </c>
      <c r="L122" s="9"/>
      <c r="M122" s="3" t="str">
        <f>IF($L122="","",IF($L122="DOELPUNTENMAKERS","",IF(AND(COUNTIF(#REF!,$B122)=0,COUNTIF(#REF!,$D122)=0),"OK",IF($O122&gt;20,"LET OP: meer dan 20 items (controle onvolledig)",IF((COUNTIF($R122:$AS122,"ONZEKER")+COUNTIF($CJ122:$DK122,"ONZEKER"))&gt;0,"LET OP: scoreverloop onduidelijk (controle beperkt)",IF((IF($AT122&lt;&gt;"",$AT122&amp;", ","")&amp;IF($AU122&lt;&gt;"",$AU122&amp;", ","")&amp;IF($AV122&lt;&gt;"",$AV122&amp;", ","")&amp;IF($AW122&lt;&gt;"",$AW122&amp;", ","")&amp;IF($AX122&lt;&gt;"",$AX122&amp;", ","")&amp;IF($AY122&lt;&gt;"",$AY122&amp;", ","")&amp;IF($AZ122&lt;&gt;"",$AZ122&amp;", ","")&amp;IF($BA122&lt;&gt;"",$BA122&amp;", ","")&amp;IF($BB122&lt;&gt;"",$BB122&amp;", ","")&amp;IF($BC122&lt;&gt;"",$BC122&amp;", ","")&amp;IF($DL122&lt;&gt;"",$DL122&amp;", ","")&amp;IF($DM122&lt;&gt;"",$DM122&amp;", ","")&amp;IF($DN122&lt;&gt;"",$DN122&amp;", ","")&amp;IF($DO122&lt;&gt;"",$DO122&amp;", ","")&amp;IF($DP122&lt;&gt;"",$DP122&amp;", ","")&amp;IF($DQ122&lt;&gt;"",$DQ122&amp;", ","")&amp;IF($DR122&lt;&gt;"",$DR122&amp;", ","")&amp;IF($DS122&lt;&gt;"",$DS122&amp;", ","")&amp;IF($DT122&lt;&gt;"",$DT122&amp;", ","")&amp;IF($DU122&lt;&gt;"",$DU122&amp;", ",""))="","OK","Onbekend: "&amp;LEFT((IF($AT122&lt;&gt;"",$AT122&amp;", ","")&amp;IF($AU122&lt;&gt;"",$AU122&amp;", ","")&amp;IF($AV122&lt;&gt;"",$AV122&amp;", ","")&amp;IF($AW122&lt;&gt;"",$AW122&amp;", ","")&amp;IF($AX122&lt;&gt;"",$AX122&amp;", ","")&amp;IF($AY122&lt;&gt;"",$AY122&amp;", ","")&amp;IF($AZ122&lt;&gt;"",$AZ122&amp;", ","")&amp;IF($BA122&lt;&gt;"",$BA122&amp;", ","")&amp;IF($BB122&lt;&gt;"",$BB122&amp;", ","")&amp;IF($BC122&lt;&gt;"",$BC122&amp;", ","")&amp;IF($DL122&lt;&gt;"",$DL122&amp;", ","")&amp;IF($DM122&lt;&gt;"",$DM122&amp;", ","")&amp;IF($DN122&lt;&gt;"",$DN122&amp;", ","")&amp;IF($DO122&lt;&gt;"",$DO122&amp;", ","")&amp;IF($DP122&lt;&gt;"",$DP122&amp;", ","")&amp;IF($DQ122&lt;&gt;"",$DQ122&amp;", ","")&amp;IF($DR122&lt;&gt;"",$DR122&amp;", ","")&amp;IF($DS122&lt;&gt;"",$DS122&amp;", ","")&amp;IF($DT122&lt;&gt;"",$DT122&amp;", ","")&amp;IF($DU122&lt;&gt;"",$DU122&amp;", ","")),LEN((IF($AT122&lt;&gt;"",$AT122&amp;", ","")&amp;IF($AU122&lt;&gt;"",$AU122&amp;", ","")&amp;IF($AV122&lt;&gt;"",$AV122&amp;", ","")&amp;IF($AW122&lt;&gt;"",$AW122&amp;", ","")&amp;IF($AX122&lt;&gt;"",$AX122&amp;", ","")&amp;IF($AY122&lt;&gt;"",$AY122&amp;", ","")&amp;IF($AZ122&lt;&gt;"",$AZ122&amp;", ","")&amp;IF($BA122&lt;&gt;"",$BA122&amp;", ","")&amp;IF($BB122&lt;&gt;"",$BB122&amp;", ","")&amp;IF($BC122&lt;&gt;"",$BC122&amp;", ","")&amp;IF($DL122&lt;&gt;"",$DL122&amp;", ","")&amp;IF($DM122&lt;&gt;"",$DM122&amp;", ","")&amp;IF($DN122&lt;&gt;"",$DN122&amp;", ","")&amp;IF($DO122&lt;&gt;"",$DO122&amp;", ","")&amp;IF($DP122&lt;&gt;"",$DP122&amp;", ","")&amp;IF($DQ122&lt;&gt;"",$DQ122&amp;", ","")&amp;IF($DR122&lt;&gt;"",$DR122&amp;", ","")&amp;IF($DS122&lt;&gt;"",$DS122&amp;", ","")&amp;IF($DT122&lt;&gt;"",$DT122&amp;", ","")&amp;IF($DU122&lt;&gt;"",$DU122&amp;", ","")))-2)))))))</f>
        <v/>
      </c>
      <c r="N122" t="str">
        <f t="shared" si="888"/>
        <v/>
      </c>
      <c r="O122" t="str">
        <f t="shared" si="889"/>
        <v/>
      </c>
      <c r="P122" t="str">
        <f t="shared" si="890"/>
        <v/>
      </c>
      <c r="Q122" t="str">
        <f t="shared" si="891"/>
        <v/>
      </c>
      <c r="R122" t="str">
        <f>IF($Q122="","",IF(OR($BE122="",$BF122=""),"ONZEKER",IF(AND($BE122=0+1,$BF122=0),IF(OR(COUNTIF(#REF!,$B122)&gt;0,COUNTIF(#REF!,$B122)=0),"SKIP",IF(COUNTIFS(#REF!,$B122,#REF!,$Q122)&gt;0,"OK","ONBEKEND")),IF(AND($BE122=0,$BF122=0+1),IF(OR(COUNTIF(#REF!,$D122)&gt;0,COUNTIF(#REF!,$D122)=0),"SKIP",IF(COUNTIFS(#REF!,$D122,#REF!,$Q122)&gt;0,"OK","ONBEKEND")),"ONZEKER"))))</f>
        <v/>
      </c>
      <c r="S122" t="str">
        <f t="shared" si="892"/>
        <v/>
      </c>
      <c r="T122" t="str">
        <f t="shared" si="893"/>
        <v/>
      </c>
      <c r="U122" t="str">
        <f>IF($T122="","",IF(OR($BH122="",$BI122=""),"ONZEKER",IF(OR($BE122="",$BF122=""),"ONZEKER",IF(AND($BH122=$BE122+1,$BI122=$BF122),IF(OR(COUNTIF(#REF!,$B122)&gt;0,COUNTIF(#REF!,$B122)=0),"SKIP",IF(COUNTIFS(#REF!,$B122,#REF!,$T122)&gt;0,"OK","ONBEKEND")),IF(AND($BH122=$BE122,$BI122=$BF122+1),IF(OR(COUNTIF(#REF!,$D122)&gt;0,COUNTIF(#REF!,$D122)=0),"SKIP",IF(COUNTIFS(#REF!,$D122,#REF!,$T122)&gt;0,"OK","ONBEKEND")),"ONZEKER")))))</f>
        <v/>
      </c>
      <c r="V122" t="str">
        <f t="shared" si="894"/>
        <v/>
      </c>
      <c r="W122" t="str">
        <f t="shared" si="895"/>
        <v/>
      </c>
      <c r="X122" t="str">
        <f>IF($W122="","",IF(OR($BK122="",$BL122=""),"ONZEKER",IF(OR($BH122="",$BI122=""),"ONZEKER",IF(AND($BK122=$BH122+1,$BL122=$BI122),IF(OR(COUNTIF(#REF!,$B122)&gt;0,COUNTIF(#REF!,$B122)=0),"SKIP",IF(COUNTIFS(#REF!,$B122,#REF!,$W122)&gt;0,"OK","ONBEKEND")),IF(AND($BK122=$BH122,$BL122=$BI122+1),IF(OR(COUNTIF(#REF!,$D122)&gt;0,COUNTIF(#REF!,$D122)=0),"SKIP",IF(COUNTIFS(#REF!,$D122,#REF!,$W122)&gt;0,"OK","ONBEKEND")),"ONZEKER")))))</f>
        <v/>
      </c>
      <c r="Y122" t="str">
        <f t="shared" si="896"/>
        <v/>
      </c>
      <c r="Z122" t="str">
        <f t="shared" si="897"/>
        <v/>
      </c>
      <c r="AA122" t="str">
        <f>IF($Z122="","",IF(OR($BN122="",$BO122=""),"ONZEKER",IF(OR($BK122="",$BL122=""),"ONZEKER",IF(AND($BN122=$BK122+1,$BO122=$BL122),IF(OR(COUNTIF(#REF!,$B122)&gt;0,COUNTIF(#REF!,$B122)=0),"SKIP",IF(COUNTIFS(#REF!,$B122,#REF!,$Z122)&gt;0,"OK","ONBEKEND")),IF(AND($BN122=$BK122,$BO122=$BL122+1),IF(OR(COUNTIF(#REF!,$D122)&gt;0,COUNTIF(#REF!,$D122)=0),"SKIP",IF(COUNTIFS(#REF!,$D122,#REF!,$Z122)&gt;0,"OK","ONBEKEND")),"ONZEKER")))))</f>
        <v/>
      </c>
      <c r="AB122" t="str">
        <f t="shared" si="898"/>
        <v/>
      </c>
      <c r="AC122" t="str">
        <f t="shared" si="899"/>
        <v/>
      </c>
      <c r="AD122" t="str">
        <f>IF($AC122="","",IF(OR($BQ122="",$BR122=""),"ONZEKER",IF(OR($BN122="",$BO122=""),"ONZEKER",IF(AND($BQ122=$BN122+1,$BR122=$BO122),IF(OR(COUNTIF(#REF!,$B122)&gt;0,COUNTIF(#REF!,$B122)=0),"SKIP",IF(COUNTIFS(#REF!,$B122,#REF!,$AC122)&gt;0,"OK","ONBEKEND")),IF(AND($BQ122=$BN122,$BR122=$BO122+1),IF(OR(COUNTIF(#REF!,$D122)&gt;0,COUNTIF(#REF!,$D122)=0),"SKIP",IF(COUNTIFS(#REF!,$D122,#REF!,$AC122)&gt;0,"OK","ONBEKEND")),"ONZEKER")))))</f>
        <v/>
      </c>
      <c r="AE122" t="str">
        <f t="shared" si="900"/>
        <v/>
      </c>
      <c r="AF122" t="str">
        <f t="shared" si="901"/>
        <v/>
      </c>
      <c r="AG122" t="str">
        <f>IF($AF122="","",IF(OR($BT122="",$BU122=""),"ONZEKER",IF(OR($BQ122="",$BR122=""),"ONZEKER",IF(AND($BT122=$BQ122+1,$BU122=$BR122),IF(OR(COUNTIF(#REF!,$B122)&gt;0,COUNTIF(#REF!,$B122)=0),"SKIP",IF(COUNTIFS(#REF!,$B122,#REF!,$AF122)&gt;0,"OK","ONBEKEND")),IF(AND($BT122=$BQ122,$BU122=$BR122+1),IF(OR(COUNTIF(#REF!,$D122)&gt;0,COUNTIF(#REF!,$D122)=0),"SKIP",IF(COUNTIFS(#REF!,$D122,#REF!,$AF122)&gt;0,"OK","ONBEKEND")),"ONZEKER")))))</f>
        <v/>
      </c>
      <c r="AH122" t="str">
        <f t="shared" si="902"/>
        <v/>
      </c>
      <c r="AI122" t="str">
        <f t="shared" si="903"/>
        <v/>
      </c>
      <c r="AJ122" t="str">
        <f>IF($AI122="","",IF(OR($BW122="",$BX122=""),"ONZEKER",IF(OR($BT122="",$BU122=""),"ONZEKER",IF(AND($BW122=$BT122+1,$BX122=$BU122),IF(OR(COUNTIF(#REF!,$B122)&gt;0,COUNTIF(#REF!,$B122)=0),"SKIP",IF(COUNTIFS(#REF!,$B122,#REF!,$AI122)&gt;0,"OK","ONBEKEND")),IF(AND($BW122=$BT122,$BX122=$BU122+1),IF(OR(COUNTIF(#REF!,$D122)&gt;0,COUNTIF(#REF!,$D122)=0),"SKIP",IF(COUNTIFS(#REF!,$D122,#REF!,$AI122)&gt;0,"OK","ONBEKEND")),"ONZEKER")))))</f>
        <v/>
      </c>
      <c r="AK122" t="str">
        <f t="shared" si="904"/>
        <v/>
      </c>
      <c r="AL122" t="str">
        <f t="shared" si="905"/>
        <v/>
      </c>
      <c r="AM122" t="str">
        <f>IF($AL122="","",IF(OR($BZ122="",$CA122=""),"ONZEKER",IF(OR($BW122="",$BX122=""),"ONZEKER",IF(AND($BZ122=$BW122+1,$CA122=$BX122),IF(OR(COUNTIF(#REF!,$B122)&gt;0,COUNTIF(#REF!,$B122)=0),"SKIP",IF(COUNTIFS(#REF!,$B122,#REF!,$AL122)&gt;0,"OK","ONBEKEND")),IF(AND($BZ122=$BW122,$CA122=$BX122+1),IF(OR(COUNTIF(#REF!,$D122)&gt;0,COUNTIF(#REF!,$D122)=0),"SKIP",IF(COUNTIFS(#REF!,$D122,#REF!,$AL122)&gt;0,"OK","ONBEKEND")),"ONZEKER")))))</f>
        <v/>
      </c>
      <c r="AN122" t="str">
        <f t="shared" si="906"/>
        <v/>
      </c>
      <c r="AO122" t="str">
        <f t="shared" si="907"/>
        <v/>
      </c>
      <c r="AP122" t="str">
        <f>IF($AO122="","",IF(OR($CC122="",$CD122=""),"ONZEKER",IF(OR($BZ122="",$CA122=""),"ONZEKER",IF(AND($CC122=$BZ122+1,$CD122=$CA122),IF(OR(COUNTIF(#REF!,$B122)&gt;0,COUNTIF(#REF!,$B122)=0),"SKIP",IF(COUNTIFS(#REF!,$B122,#REF!,$AO122)&gt;0,"OK","ONBEKEND")),IF(AND($CC122=$BZ122,$CD122=$CA122+1),IF(OR(COUNTIF(#REF!,$D122)&gt;0,COUNTIF(#REF!,$D122)=0),"SKIP",IF(COUNTIFS(#REF!,$D122,#REF!,$AO122)&gt;0,"OK","ONBEKEND")),"ONZEKER")))))</f>
        <v/>
      </c>
      <c r="AQ122" t="str">
        <f t="shared" si="908"/>
        <v/>
      </c>
      <c r="AR122" t="str">
        <f t="shared" si="909"/>
        <v/>
      </c>
      <c r="AS122" t="str">
        <f>IF($AR122="","",IF(OR($CF122="",$CG122=""),"ONZEKER",IF(OR($CC122="",$CD122=""),"ONZEKER",IF(AND($CF122=$CC122+1,$CG122=$CD122),IF(OR(COUNTIF(#REF!,$B122)&gt;0,COUNTIF(#REF!,$B122)=0),"SKIP",IF(COUNTIFS(#REF!,$B122,#REF!,$AR122)&gt;0,"OK","ONBEKEND")),IF(AND($CF122=$CC122,$CG122=$CD122+1),IF(OR(COUNTIF(#REF!,$D122)&gt;0,COUNTIF(#REF!,$D122)=0),"SKIP",IF(COUNTIFS(#REF!,$D122,#REF!,$AR122)&gt;0,"OK","ONBEKEND")),"ONZEKER")))))</f>
        <v/>
      </c>
      <c r="AT122" t="str">
        <f t="shared" si="910"/>
        <v/>
      </c>
      <c r="AU122" t="str">
        <f t="shared" si="911"/>
        <v/>
      </c>
      <c r="AV122" t="str">
        <f t="shared" si="912"/>
        <v/>
      </c>
      <c r="AW122" t="str">
        <f t="shared" si="913"/>
        <v/>
      </c>
      <c r="AX122" t="str">
        <f t="shared" si="914"/>
        <v/>
      </c>
      <c r="AY122" t="str">
        <f t="shared" si="915"/>
        <v/>
      </c>
      <c r="AZ122" t="str">
        <f t="shared" si="916"/>
        <v/>
      </c>
      <c r="BA122" t="str">
        <f t="shared" si="917"/>
        <v/>
      </c>
      <c r="BB122" t="str">
        <f t="shared" si="918"/>
        <v/>
      </c>
      <c r="BC122" t="str">
        <f t="shared" si="919"/>
        <v/>
      </c>
      <c r="BD122" t="str">
        <f t="shared" si="490"/>
        <v/>
      </c>
      <c r="BE122" t="str">
        <f t="shared" si="491"/>
        <v/>
      </c>
      <c r="BF122" t="str">
        <f t="shared" si="492"/>
        <v/>
      </c>
      <c r="BG122" t="str">
        <f t="shared" si="493"/>
        <v/>
      </c>
      <c r="BH122" t="str">
        <f t="shared" si="494"/>
        <v/>
      </c>
      <c r="BI122" t="str">
        <f t="shared" si="495"/>
        <v/>
      </c>
      <c r="BJ122" t="str">
        <f t="shared" si="496"/>
        <v/>
      </c>
      <c r="BK122" t="str">
        <f t="shared" si="497"/>
        <v/>
      </c>
      <c r="BL122" t="str">
        <f t="shared" si="498"/>
        <v/>
      </c>
      <c r="BM122" t="str">
        <f t="shared" si="499"/>
        <v/>
      </c>
      <c r="BN122" t="str">
        <f t="shared" si="500"/>
        <v/>
      </c>
      <c r="BO122" t="str">
        <f t="shared" si="501"/>
        <v/>
      </c>
      <c r="BP122" t="str">
        <f t="shared" si="502"/>
        <v/>
      </c>
      <c r="BQ122" t="str">
        <f t="shared" si="503"/>
        <v/>
      </c>
      <c r="BR122" t="str">
        <f t="shared" si="504"/>
        <v/>
      </c>
      <c r="BS122" t="str">
        <f t="shared" si="505"/>
        <v/>
      </c>
      <c r="BT122" t="str">
        <f t="shared" si="506"/>
        <v/>
      </c>
      <c r="BU122" t="str">
        <f t="shared" si="507"/>
        <v/>
      </c>
      <c r="BV122" t="str">
        <f t="shared" si="508"/>
        <v/>
      </c>
      <c r="BW122" t="str">
        <f t="shared" si="509"/>
        <v/>
      </c>
      <c r="BX122" t="str">
        <f t="shared" si="510"/>
        <v/>
      </c>
      <c r="BY122" t="str">
        <f t="shared" si="511"/>
        <v/>
      </c>
      <c r="BZ122" t="str">
        <f t="shared" si="512"/>
        <v/>
      </c>
      <c r="CA122" t="str">
        <f t="shared" si="513"/>
        <v/>
      </c>
      <c r="CB122" t="str">
        <f t="shared" si="514"/>
        <v/>
      </c>
      <c r="CC122" t="str">
        <f t="shared" si="515"/>
        <v/>
      </c>
      <c r="CD122" t="str">
        <f t="shared" si="516"/>
        <v/>
      </c>
      <c r="CE122" t="str">
        <f t="shared" si="517"/>
        <v/>
      </c>
      <c r="CF122" t="str">
        <f t="shared" si="518"/>
        <v/>
      </c>
      <c r="CG122" t="str">
        <f t="shared" si="519"/>
        <v/>
      </c>
      <c r="CH122" t="str">
        <f t="shared" si="920"/>
        <v/>
      </c>
      <c r="CI122" t="str">
        <f t="shared" si="921"/>
        <v/>
      </c>
      <c r="CJ122" t="str">
        <f>IF($CI122="","",IF(OR($DW122="",$DX122=""),"ONZEKER",IF(OR($CF122="",$CG122=""),"ONZEKER",IF(AND($DW122=$CF122+1,$DX122=$CG122),IF(OR(COUNTIF(#REF!,$B122)&gt;0,COUNTIF(#REF!,$B122)=0),"SKIP",IF(COUNTIFS(#REF!,$B122,#REF!,$CI122)&gt;0,"OK","ONBEKEND")),IF(AND($DW122=$CF122,$DX122=$CG122+1),IF(OR(COUNTIF(#REF!,$D122)&gt;0,COUNTIF(#REF!,$D122)=0),"SKIP",IF(COUNTIFS(#REF!,$D122,#REF!,$CI122)&gt;0,"OK","ONBEKEND")),"ONZEKER")))))</f>
        <v/>
      </c>
      <c r="CK122" t="str">
        <f t="shared" si="922"/>
        <v/>
      </c>
      <c r="CL122" t="str">
        <f t="shared" si="923"/>
        <v/>
      </c>
      <c r="CM122" t="str">
        <f>IF($CL122="","",IF(OR($DZ122="",$EA122=""),"ONZEKER",IF(OR($DW122="",$DX122=""),"ONZEKER",IF(AND($DZ122=$DW122+1,$EA122=$DX122),IF(OR(COUNTIF(#REF!,$B122)&gt;0,COUNTIF(#REF!,$B122)=0),"SKIP",IF(COUNTIFS(#REF!,$B122,#REF!,$CL122)&gt;0,"OK","ONBEKEND")),IF(AND($DZ122=$DW122,$EA122=$DX122+1),IF(OR(COUNTIF(#REF!,$D122)&gt;0,COUNTIF(#REF!,$D122)=0),"SKIP",IF(COUNTIFS(#REF!,$D122,#REF!,$CL122)&gt;0,"OK","ONBEKEND")),"ONZEKER")))))</f>
        <v/>
      </c>
      <c r="CN122" t="str">
        <f t="shared" si="924"/>
        <v/>
      </c>
      <c r="CO122" t="str">
        <f t="shared" si="925"/>
        <v/>
      </c>
      <c r="CP122" t="str">
        <f>IF($CO122="","",IF(OR($EC122="",$ED122=""),"ONZEKER",IF(OR($DZ122="",$EA122=""),"ONZEKER",IF(AND($EC122=$DZ122+1,$ED122=$EA122),IF(OR(COUNTIF(#REF!,$B122)&gt;0,COUNTIF(#REF!,$B122)=0),"SKIP",IF(COUNTIFS(#REF!,$B122,#REF!,$CO122)&gt;0,"OK","ONBEKEND")),IF(AND($EC122=$DZ122,$ED122=$EA122+1),IF(OR(COUNTIF(#REF!,$D122)&gt;0,COUNTIF(#REF!,$D122)=0),"SKIP",IF(COUNTIFS(#REF!,$D122,#REF!,$CO122)&gt;0,"OK","ONBEKEND")),"ONZEKER")))))</f>
        <v/>
      </c>
      <c r="CQ122" t="str">
        <f t="shared" si="926"/>
        <v/>
      </c>
      <c r="CR122" t="str">
        <f t="shared" si="927"/>
        <v/>
      </c>
      <c r="CS122" t="str">
        <f>IF($CR122="","",IF(OR($EF122="",$EG122=""),"ONZEKER",IF(OR($EC122="",$ED122=""),"ONZEKER",IF(AND($EF122=$EC122+1,$EG122=$ED122),IF(OR(COUNTIF(#REF!,$B122)&gt;0,COUNTIF(#REF!,$B122)=0),"SKIP",IF(COUNTIFS(#REF!,$B122,#REF!,$CR122)&gt;0,"OK","ONBEKEND")),IF(AND($EF122=$EC122,$EG122=$ED122+1),IF(OR(COUNTIF(#REF!,$D122)&gt;0,COUNTIF(#REF!,$D122)=0),"SKIP",IF(COUNTIFS(#REF!,$D122,#REF!,$CR122)&gt;0,"OK","ONBEKEND")),"ONZEKER")))))</f>
        <v/>
      </c>
      <c r="CT122" t="str">
        <f t="shared" si="928"/>
        <v/>
      </c>
      <c r="CU122" t="str">
        <f t="shared" si="929"/>
        <v/>
      </c>
      <c r="CV122" t="str">
        <f>IF($CU122="","",IF(OR($EI122="",$EJ122=""),"ONZEKER",IF(OR($EF122="",$EG122=""),"ONZEKER",IF(AND($EI122=$EF122+1,$EJ122=$EG122),IF(OR(COUNTIF(#REF!,$B122)&gt;0,COUNTIF(#REF!,$B122)=0),"SKIP",IF(COUNTIFS(#REF!,$B122,#REF!,$CU122)&gt;0,"OK","ONBEKEND")),IF(AND($EI122=$EF122,$EJ122=$EG122+1),IF(OR(COUNTIF(#REF!,$D122)&gt;0,COUNTIF(#REF!,$D122)=0),"SKIP",IF(COUNTIFS(#REF!,$D122,#REF!,$CU122)&gt;0,"OK","ONBEKEND")),"ONZEKER")))))</f>
        <v/>
      </c>
      <c r="CW122" t="str">
        <f t="shared" si="930"/>
        <v/>
      </c>
      <c r="CX122" t="str">
        <f t="shared" si="931"/>
        <v/>
      </c>
      <c r="CY122" t="str">
        <f>IF($CX122="","",IF(OR($EL122="",$EM122=""),"ONZEKER",IF(OR($EI122="",$EJ122=""),"ONZEKER",IF(AND($EL122=$EI122+1,$EM122=$EJ122),IF(OR(COUNTIF(#REF!,$B122)&gt;0,COUNTIF(#REF!,$B122)=0),"SKIP",IF(COUNTIFS(#REF!,$B122,#REF!,$CX122)&gt;0,"OK","ONBEKEND")),IF(AND($EL122=$EI122,$EM122=$EJ122+1),IF(OR(COUNTIF(#REF!,$D122)&gt;0,COUNTIF(#REF!,$D122)=0),"SKIP",IF(COUNTIFS(#REF!,$D122,#REF!,$CX122)&gt;0,"OK","ONBEKEND")),"ONZEKER")))))</f>
        <v/>
      </c>
      <c r="CZ122" t="str">
        <f t="shared" si="932"/>
        <v/>
      </c>
      <c r="DA122" t="str">
        <f t="shared" si="933"/>
        <v/>
      </c>
      <c r="DB122" t="str">
        <f>IF($DA122="","",IF(OR($EO122="",$EP122=""),"ONZEKER",IF(OR($EL122="",$EM122=""),"ONZEKER",IF(AND($EO122=$EL122+1,$EP122=$EM122),IF(OR(COUNTIF(#REF!,$B122)&gt;0,COUNTIF(#REF!,$B122)=0),"SKIP",IF(COUNTIFS(#REF!,$B122,#REF!,$DA122)&gt;0,"OK","ONBEKEND")),IF(AND($EO122=$EL122,$EP122=$EM122+1),IF(OR(COUNTIF(#REF!,$D122)&gt;0,COUNTIF(#REF!,$D122)=0),"SKIP",IF(COUNTIFS(#REF!,$D122,#REF!,$DA122)&gt;0,"OK","ONBEKEND")),"ONZEKER")))))</f>
        <v/>
      </c>
      <c r="DC122" t="str">
        <f t="shared" si="934"/>
        <v/>
      </c>
      <c r="DD122" t="str">
        <f t="shared" si="935"/>
        <v/>
      </c>
      <c r="DE122" t="str">
        <f>IF($DD122="","",IF(OR($ER122="",$ES122=""),"ONZEKER",IF(OR($EO122="",$EP122=""),"ONZEKER",IF(AND($ER122=$EO122+1,$ES122=$EP122),IF(OR(COUNTIF(#REF!,$B122)&gt;0,COUNTIF(#REF!,$B122)=0),"SKIP",IF(COUNTIFS(#REF!,$B122,#REF!,$DD122)&gt;0,"OK","ONBEKEND")),IF(AND($ER122=$EO122,$ES122=$EP122+1),IF(OR(COUNTIF(#REF!,$D122)&gt;0,COUNTIF(#REF!,$D122)=0),"SKIP",IF(COUNTIFS(#REF!,$D122,#REF!,$DD122)&gt;0,"OK","ONBEKEND")),"ONZEKER")))))</f>
        <v/>
      </c>
      <c r="DF122" t="str">
        <f t="shared" si="936"/>
        <v/>
      </c>
      <c r="DG122" t="str">
        <f t="shared" si="937"/>
        <v/>
      </c>
      <c r="DH122" t="str">
        <f>IF($DG122="","",IF(OR($EU122="",$EV122=""),"ONZEKER",IF(OR($ER122="",$ES122=""),"ONZEKER",IF(AND($EU122=$ER122+1,$EV122=$ES122),IF(OR(COUNTIF(#REF!,$B122)&gt;0,COUNTIF(#REF!,$B122)=0),"SKIP",IF(COUNTIFS(#REF!,$B122,#REF!,$DG122)&gt;0,"OK","ONBEKEND")),IF(AND($EU122=$ER122,$EV122=$ES122+1),IF(OR(COUNTIF(#REF!,$D122)&gt;0,COUNTIF(#REF!,$D122)=0),"SKIP",IF(COUNTIFS(#REF!,$D122,#REF!,$DG122)&gt;0,"OK","ONBEKEND")),"ONZEKER")))))</f>
        <v/>
      </c>
      <c r="DI122" t="str">
        <f t="shared" si="938"/>
        <v/>
      </c>
      <c r="DJ122" t="str">
        <f t="shared" si="939"/>
        <v/>
      </c>
      <c r="DK122" t="str">
        <f>IF($DJ122="","",IF(OR($EX122="",$EY122=""),"ONZEKER",IF(OR($EU122="",$EV122=""),"ONZEKER",IF(AND($EX122=$EU122+1,$EY122=$EV122),IF(OR(COUNTIF(#REF!,$B122)&gt;0,COUNTIF(#REF!,$B122)=0),"SKIP",IF(COUNTIFS(#REF!,$B122,#REF!,$DJ122)&gt;0,"OK","ONBEKEND")),IF(AND($EX122=$EU122,$EY122=$EV122+1),IF(OR(COUNTIF(#REF!,$D122)&gt;0,COUNTIF(#REF!,$D122)=0),"SKIP",IF(COUNTIFS(#REF!,$D122,#REF!,$DJ122)&gt;0,"OK","ONBEKEND")),"ONZEKER")))))</f>
        <v/>
      </c>
      <c r="DL122" t="str">
        <f t="shared" si="940"/>
        <v/>
      </c>
      <c r="DM122" t="str">
        <f t="shared" si="941"/>
        <v/>
      </c>
      <c r="DN122" t="str">
        <f t="shared" si="942"/>
        <v/>
      </c>
      <c r="DO122" t="str">
        <f t="shared" si="943"/>
        <v/>
      </c>
      <c r="DP122" t="str">
        <f t="shared" si="944"/>
        <v/>
      </c>
      <c r="DQ122" t="str">
        <f t="shared" si="945"/>
        <v/>
      </c>
      <c r="DR122" t="str">
        <f t="shared" si="946"/>
        <v/>
      </c>
      <c r="DS122" t="str">
        <f t="shared" si="947"/>
        <v/>
      </c>
      <c r="DT122" t="str">
        <f t="shared" si="948"/>
        <v/>
      </c>
      <c r="DU122" t="str">
        <f t="shared" si="949"/>
        <v/>
      </c>
      <c r="DV122" t="str">
        <f t="shared" si="950"/>
        <v/>
      </c>
      <c r="DW122" t="str">
        <f t="shared" si="951"/>
        <v/>
      </c>
      <c r="DX122" t="str">
        <f t="shared" si="952"/>
        <v/>
      </c>
      <c r="DY122" t="str">
        <f t="shared" si="953"/>
        <v/>
      </c>
      <c r="DZ122" t="str">
        <f t="shared" si="954"/>
        <v/>
      </c>
      <c r="EA122" t="str">
        <f t="shared" si="955"/>
        <v/>
      </c>
      <c r="EB122" t="str">
        <f t="shared" si="956"/>
        <v/>
      </c>
      <c r="EC122" t="str">
        <f t="shared" si="957"/>
        <v/>
      </c>
      <c r="ED122" t="str">
        <f t="shared" si="958"/>
        <v/>
      </c>
      <c r="EE122" t="str">
        <f t="shared" si="959"/>
        <v/>
      </c>
      <c r="EF122" t="str">
        <f t="shared" si="960"/>
        <v/>
      </c>
      <c r="EG122" t="str">
        <f t="shared" si="961"/>
        <v/>
      </c>
      <c r="EH122" t="str">
        <f t="shared" si="962"/>
        <v/>
      </c>
      <c r="EI122" t="str">
        <f t="shared" si="963"/>
        <v/>
      </c>
      <c r="EJ122" t="str">
        <f t="shared" si="964"/>
        <v/>
      </c>
      <c r="EK122" t="str">
        <f t="shared" si="965"/>
        <v/>
      </c>
      <c r="EL122" t="str">
        <f t="shared" si="966"/>
        <v/>
      </c>
      <c r="EM122" t="str">
        <f t="shared" si="967"/>
        <v/>
      </c>
      <c r="EN122" t="str">
        <f t="shared" si="968"/>
        <v/>
      </c>
      <c r="EO122" t="str">
        <f t="shared" si="969"/>
        <v/>
      </c>
      <c r="EP122" t="str">
        <f t="shared" si="970"/>
        <v/>
      </c>
      <c r="EQ122" t="str">
        <f t="shared" si="971"/>
        <v/>
      </c>
      <c r="ER122" t="str">
        <f t="shared" si="972"/>
        <v/>
      </c>
      <c r="ES122" t="str">
        <f t="shared" si="973"/>
        <v/>
      </c>
      <c r="ET122" t="str">
        <f t="shared" si="974"/>
        <v/>
      </c>
      <c r="EU122" t="str">
        <f t="shared" si="975"/>
        <v/>
      </c>
      <c r="EV122" t="str">
        <f t="shared" si="976"/>
        <v/>
      </c>
      <c r="EW122" t="str">
        <f t="shared" si="977"/>
        <v/>
      </c>
      <c r="EX122" t="str">
        <f t="shared" si="978"/>
        <v/>
      </c>
      <c r="EY122" t="str">
        <f t="shared" si="979"/>
        <v/>
      </c>
    </row>
    <row r="123" spans="1:155" ht="13.9" customHeight="1" x14ac:dyDescent="0.25">
      <c r="A123" s="7"/>
      <c r="B123" s="17"/>
      <c r="C123" s="8"/>
      <c r="D123" s="17"/>
      <c r="E123" s="8"/>
      <c r="F123" s="18">
        <v>0</v>
      </c>
      <c r="G123" s="7" t="s">
        <v>147</v>
      </c>
      <c r="H123" s="18">
        <v>0</v>
      </c>
      <c r="I123" s="19">
        <v>0</v>
      </c>
      <c r="J123" s="7" t="s">
        <v>147</v>
      </c>
      <c r="K123" s="19">
        <v>0</v>
      </c>
      <c r="L123" s="9"/>
      <c r="M123" s="3" t="str">
        <f>IF($L123="","",IF($L123="DOELPUNTENMAKERS","",IF(AND(COUNTIF(#REF!,$B123)=0,COUNTIF(#REF!,$D123)=0),"OK",IF($O123&gt;20,"LET OP: meer dan 20 items (controle onvolledig)",IF((COUNTIF($R123:$AS123,"ONZEKER")+COUNTIF($CJ123:$DK123,"ONZEKER"))&gt;0,"LET OP: scoreverloop onduidelijk (controle beperkt)",IF((IF($AT123&lt;&gt;"",$AT123&amp;", ","")&amp;IF($AU123&lt;&gt;"",$AU123&amp;", ","")&amp;IF($AV123&lt;&gt;"",$AV123&amp;", ","")&amp;IF($AW123&lt;&gt;"",$AW123&amp;", ","")&amp;IF($AX123&lt;&gt;"",$AX123&amp;", ","")&amp;IF($AY123&lt;&gt;"",$AY123&amp;", ","")&amp;IF($AZ123&lt;&gt;"",$AZ123&amp;", ","")&amp;IF($BA123&lt;&gt;"",$BA123&amp;", ","")&amp;IF($BB123&lt;&gt;"",$BB123&amp;", ","")&amp;IF($BC123&lt;&gt;"",$BC123&amp;", ","")&amp;IF($DL123&lt;&gt;"",$DL123&amp;", ","")&amp;IF($DM123&lt;&gt;"",$DM123&amp;", ","")&amp;IF($DN123&lt;&gt;"",$DN123&amp;", ","")&amp;IF($DO123&lt;&gt;"",$DO123&amp;", ","")&amp;IF($DP123&lt;&gt;"",$DP123&amp;", ","")&amp;IF($DQ123&lt;&gt;"",$DQ123&amp;", ","")&amp;IF($DR123&lt;&gt;"",$DR123&amp;", ","")&amp;IF($DS123&lt;&gt;"",$DS123&amp;", ","")&amp;IF($DT123&lt;&gt;"",$DT123&amp;", ","")&amp;IF($DU123&lt;&gt;"",$DU123&amp;", ",""))="","OK","Onbekend: "&amp;LEFT((IF($AT123&lt;&gt;"",$AT123&amp;", ","")&amp;IF($AU123&lt;&gt;"",$AU123&amp;", ","")&amp;IF($AV123&lt;&gt;"",$AV123&amp;", ","")&amp;IF($AW123&lt;&gt;"",$AW123&amp;", ","")&amp;IF($AX123&lt;&gt;"",$AX123&amp;", ","")&amp;IF($AY123&lt;&gt;"",$AY123&amp;", ","")&amp;IF($AZ123&lt;&gt;"",$AZ123&amp;", ","")&amp;IF($BA123&lt;&gt;"",$BA123&amp;", ","")&amp;IF($BB123&lt;&gt;"",$BB123&amp;", ","")&amp;IF($BC123&lt;&gt;"",$BC123&amp;", ","")&amp;IF($DL123&lt;&gt;"",$DL123&amp;", ","")&amp;IF($DM123&lt;&gt;"",$DM123&amp;", ","")&amp;IF($DN123&lt;&gt;"",$DN123&amp;", ","")&amp;IF($DO123&lt;&gt;"",$DO123&amp;", ","")&amp;IF($DP123&lt;&gt;"",$DP123&amp;", ","")&amp;IF($DQ123&lt;&gt;"",$DQ123&amp;", ","")&amp;IF($DR123&lt;&gt;"",$DR123&amp;", ","")&amp;IF($DS123&lt;&gt;"",$DS123&amp;", ","")&amp;IF($DT123&lt;&gt;"",$DT123&amp;", ","")&amp;IF($DU123&lt;&gt;"",$DU123&amp;", ","")),LEN((IF($AT123&lt;&gt;"",$AT123&amp;", ","")&amp;IF($AU123&lt;&gt;"",$AU123&amp;", ","")&amp;IF($AV123&lt;&gt;"",$AV123&amp;", ","")&amp;IF($AW123&lt;&gt;"",$AW123&amp;", ","")&amp;IF($AX123&lt;&gt;"",$AX123&amp;", ","")&amp;IF($AY123&lt;&gt;"",$AY123&amp;", ","")&amp;IF($AZ123&lt;&gt;"",$AZ123&amp;", ","")&amp;IF($BA123&lt;&gt;"",$BA123&amp;", ","")&amp;IF($BB123&lt;&gt;"",$BB123&amp;", ","")&amp;IF($BC123&lt;&gt;"",$BC123&amp;", ","")&amp;IF($DL123&lt;&gt;"",$DL123&amp;", ","")&amp;IF($DM123&lt;&gt;"",$DM123&amp;", ","")&amp;IF($DN123&lt;&gt;"",$DN123&amp;", ","")&amp;IF($DO123&lt;&gt;"",$DO123&amp;", ","")&amp;IF($DP123&lt;&gt;"",$DP123&amp;", ","")&amp;IF($DQ123&lt;&gt;"",$DQ123&amp;", ","")&amp;IF($DR123&lt;&gt;"",$DR123&amp;", ","")&amp;IF($DS123&lt;&gt;"",$DS123&amp;", ","")&amp;IF($DT123&lt;&gt;"",$DT123&amp;", ","")&amp;IF($DU123&lt;&gt;"",$DU123&amp;", ","")))-2)))))))</f>
        <v/>
      </c>
      <c r="N123" t="str">
        <f t="shared" si="888"/>
        <v/>
      </c>
      <c r="O123" t="str">
        <f t="shared" si="889"/>
        <v/>
      </c>
      <c r="P123" t="str">
        <f t="shared" si="890"/>
        <v/>
      </c>
      <c r="Q123" t="str">
        <f t="shared" si="891"/>
        <v/>
      </c>
      <c r="R123" t="str">
        <f>IF($Q123="","",IF(OR($BE123="",$BF123=""),"ONZEKER",IF(AND($BE123=0+1,$BF123=0),IF(OR(COUNTIF(#REF!,$B123)&gt;0,COUNTIF(#REF!,$B123)=0),"SKIP",IF(COUNTIFS(#REF!,$B123,#REF!,$Q123)&gt;0,"OK","ONBEKEND")),IF(AND($BE123=0,$BF123=0+1),IF(OR(COUNTIF(#REF!,$D123)&gt;0,COUNTIF(#REF!,$D123)=0),"SKIP",IF(COUNTIFS(#REF!,$D123,#REF!,$Q123)&gt;0,"OK","ONBEKEND")),"ONZEKER"))))</f>
        <v/>
      </c>
      <c r="S123" t="str">
        <f t="shared" si="892"/>
        <v/>
      </c>
      <c r="T123" t="str">
        <f t="shared" si="893"/>
        <v/>
      </c>
      <c r="U123" t="str">
        <f>IF($T123="","",IF(OR($BH123="",$BI123=""),"ONZEKER",IF(OR($BE123="",$BF123=""),"ONZEKER",IF(AND($BH123=$BE123+1,$BI123=$BF123),IF(OR(COUNTIF(#REF!,$B123)&gt;0,COUNTIF(#REF!,$B123)=0),"SKIP",IF(COUNTIFS(#REF!,$B123,#REF!,$T123)&gt;0,"OK","ONBEKEND")),IF(AND($BH123=$BE123,$BI123=$BF123+1),IF(OR(COUNTIF(#REF!,$D123)&gt;0,COUNTIF(#REF!,$D123)=0),"SKIP",IF(COUNTIFS(#REF!,$D123,#REF!,$T123)&gt;0,"OK","ONBEKEND")),"ONZEKER")))))</f>
        <v/>
      </c>
      <c r="V123" t="str">
        <f t="shared" si="894"/>
        <v/>
      </c>
      <c r="W123" t="str">
        <f t="shared" si="895"/>
        <v/>
      </c>
      <c r="X123" t="str">
        <f>IF($W123="","",IF(OR($BK123="",$BL123=""),"ONZEKER",IF(OR($BH123="",$BI123=""),"ONZEKER",IF(AND($BK123=$BH123+1,$BL123=$BI123),IF(OR(COUNTIF(#REF!,$B123)&gt;0,COUNTIF(#REF!,$B123)=0),"SKIP",IF(COUNTIFS(#REF!,$B123,#REF!,$W123)&gt;0,"OK","ONBEKEND")),IF(AND($BK123=$BH123,$BL123=$BI123+1),IF(OR(COUNTIF(#REF!,$D123)&gt;0,COUNTIF(#REF!,$D123)=0),"SKIP",IF(COUNTIFS(#REF!,$D123,#REF!,$W123)&gt;0,"OK","ONBEKEND")),"ONZEKER")))))</f>
        <v/>
      </c>
      <c r="Y123" t="str">
        <f t="shared" si="896"/>
        <v/>
      </c>
      <c r="Z123" t="str">
        <f t="shared" si="897"/>
        <v/>
      </c>
      <c r="AA123" t="str">
        <f>IF($Z123="","",IF(OR($BN123="",$BO123=""),"ONZEKER",IF(OR($BK123="",$BL123=""),"ONZEKER",IF(AND($BN123=$BK123+1,$BO123=$BL123),IF(OR(COUNTIF(#REF!,$B123)&gt;0,COUNTIF(#REF!,$B123)=0),"SKIP",IF(COUNTIFS(#REF!,$B123,#REF!,$Z123)&gt;0,"OK","ONBEKEND")),IF(AND($BN123=$BK123,$BO123=$BL123+1),IF(OR(COUNTIF(#REF!,$D123)&gt;0,COUNTIF(#REF!,$D123)=0),"SKIP",IF(COUNTIFS(#REF!,$D123,#REF!,$Z123)&gt;0,"OK","ONBEKEND")),"ONZEKER")))))</f>
        <v/>
      </c>
      <c r="AB123" t="str">
        <f t="shared" si="898"/>
        <v/>
      </c>
      <c r="AC123" t="str">
        <f t="shared" si="899"/>
        <v/>
      </c>
      <c r="AD123" t="str">
        <f>IF($AC123="","",IF(OR($BQ123="",$BR123=""),"ONZEKER",IF(OR($BN123="",$BO123=""),"ONZEKER",IF(AND($BQ123=$BN123+1,$BR123=$BO123),IF(OR(COUNTIF(#REF!,$B123)&gt;0,COUNTIF(#REF!,$B123)=0),"SKIP",IF(COUNTIFS(#REF!,$B123,#REF!,$AC123)&gt;0,"OK","ONBEKEND")),IF(AND($BQ123=$BN123,$BR123=$BO123+1),IF(OR(COUNTIF(#REF!,$D123)&gt;0,COUNTIF(#REF!,$D123)=0),"SKIP",IF(COUNTIFS(#REF!,$D123,#REF!,$AC123)&gt;0,"OK","ONBEKEND")),"ONZEKER")))))</f>
        <v/>
      </c>
      <c r="AE123" t="str">
        <f t="shared" si="900"/>
        <v/>
      </c>
      <c r="AF123" t="str">
        <f t="shared" si="901"/>
        <v/>
      </c>
      <c r="AG123" t="str">
        <f>IF($AF123="","",IF(OR($BT123="",$BU123=""),"ONZEKER",IF(OR($BQ123="",$BR123=""),"ONZEKER",IF(AND($BT123=$BQ123+1,$BU123=$BR123),IF(OR(COUNTIF(#REF!,$B123)&gt;0,COUNTIF(#REF!,$B123)=0),"SKIP",IF(COUNTIFS(#REF!,$B123,#REF!,$AF123)&gt;0,"OK","ONBEKEND")),IF(AND($BT123=$BQ123,$BU123=$BR123+1),IF(OR(COUNTIF(#REF!,$D123)&gt;0,COUNTIF(#REF!,$D123)=0),"SKIP",IF(COUNTIFS(#REF!,$D123,#REF!,$AF123)&gt;0,"OK","ONBEKEND")),"ONZEKER")))))</f>
        <v/>
      </c>
      <c r="AH123" t="str">
        <f t="shared" si="902"/>
        <v/>
      </c>
      <c r="AI123" t="str">
        <f t="shared" si="903"/>
        <v/>
      </c>
      <c r="AJ123" t="str">
        <f>IF($AI123="","",IF(OR($BW123="",$BX123=""),"ONZEKER",IF(OR($BT123="",$BU123=""),"ONZEKER",IF(AND($BW123=$BT123+1,$BX123=$BU123),IF(OR(COUNTIF(#REF!,$B123)&gt;0,COUNTIF(#REF!,$B123)=0),"SKIP",IF(COUNTIFS(#REF!,$B123,#REF!,$AI123)&gt;0,"OK","ONBEKEND")),IF(AND($BW123=$BT123,$BX123=$BU123+1),IF(OR(COUNTIF(#REF!,$D123)&gt;0,COUNTIF(#REF!,$D123)=0),"SKIP",IF(COUNTIFS(#REF!,$D123,#REF!,$AI123)&gt;0,"OK","ONBEKEND")),"ONZEKER")))))</f>
        <v/>
      </c>
      <c r="AK123" t="str">
        <f t="shared" si="904"/>
        <v/>
      </c>
      <c r="AL123" t="str">
        <f t="shared" si="905"/>
        <v/>
      </c>
      <c r="AM123" t="str">
        <f>IF($AL123="","",IF(OR($BZ123="",$CA123=""),"ONZEKER",IF(OR($BW123="",$BX123=""),"ONZEKER",IF(AND($BZ123=$BW123+1,$CA123=$BX123),IF(OR(COUNTIF(#REF!,$B123)&gt;0,COUNTIF(#REF!,$B123)=0),"SKIP",IF(COUNTIFS(#REF!,$B123,#REF!,$AL123)&gt;0,"OK","ONBEKEND")),IF(AND($BZ123=$BW123,$CA123=$BX123+1),IF(OR(COUNTIF(#REF!,$D123)&gt;0,COUNTIF(#REF!,$D123)=0),"SKIP",IF(COUNTIFS(#REF!,$D123,#REF!,$AL123)&gt;0,"OK","ONBEKEND")),"ONZEKER")))))</f>
        <v/>
      </c>
      <c r="AN123" t="str">
        <f t="shared" si="906"/>
        <v/>
      </c>
      <c r="AO123" t="str">
        <f t="shared" si="907"/>
        <v/>
      </c>
      <c r="AP123" t="str">
        <f>IF($AO123="","",IF(OR($CC123="",$CD123=""),"ONZEKER",IF(OR($BZ123="",$CA123=""),"ONZEKER",IF(AND($CC123=$BZ123+1,$CD123=$CA123),IF(OR(COUNTIF(#REF!,$B123)&gt;0,COUNTIF(#REF!,$B123)=0),"SKIP",IF(COUNTIFS(#REF!,$B123,#REF!,$AO123)&gt;0,"OK","ONBEKEND")),IF(AND($CC123=$BZ123,$CD123=$CA123+1),IF(OR(COUNTIF(#REF!,$D123)&gt;0,COUNTIF(#REF!,$D123)=0),"SKIP",IF(COUNTIFS(#REF!,$D123,#REF!,$AO123)&gt;0,"OK","ONBEKEND")),"ONZEKER")))))</f>
        <v/>
      </c>
      <c r="AQ123" t="str">
        <f t="shared" si="908"/>
        <v/>
      </c>
      <c r="AR123" t="str">
        <f t="shared" si="909"/>
        <v/>
      </c>
      <c r="AS123" t="str">
        <f>IF($AR123="","",IF(OR($CF123="",$CG123=""),"ONZEKER",IF(OR($CC123="",$CD123=""),"ONZEKER",IF(AND($CF123=$CC123+1,$CG123=$CD123),IF(OR(COUNTIF(#REF!,$B123)&gt;0,COUNTIF(#REF!,$B123)=0),"SKIP",IF(COUNTIFS(#REF!,$B123,#REF!,$AR123)&gt;0,"OK","ONBEKEND")),IF(AND($CF123=$CC123,$CG123=$CD123+1),IF(OR(COUNTIF(#REF!,$D123)&gt;0,COUNTIF(#REF!,$D123)=0),"SKIP",IF(COUNTIFS(#REF!,$D123,#REF!,$AR123)&gt;0,"OK","ONBEKEND")),"ONZEKER")))))</f>
        <v/>
      </c>
      <c r="AT123" t="str">
        <f t="shared" si="910"/>
        <v/>
      </c>
      <c r="AU123" t="str">
        <f t="shared" si="911"/>
        <v/>
      </c>
      <c r="AV123" t="str">
        <f t="shared" si="912"/>
        <v/>
      </c>
      <c r="AW123" t="str">
        <f t="shared" si="913"/>
        <v/>
      </c>
      <c r="AX123" t="str">
        <f t="shared" si="914"/>
        <v/>
      </c>
      <c r="AY123" t="str">
        <f t="shared" si="915"/>
        <v/>
      </c>
      <c r="AZ123" t="str">
        <f t="shared" si="916"/>
        <v/>
      </c>
      <c r="BA123" t="str">
        <f t="shared" si="917"/>
        <v/>
      </c>
      <c r="BB123" t="str">
        <f t="shared" si="918"/>
        <v/>
      </c>
      <c r="BC123" t="str">
        <f t="shared" si="919"/>
        <v/>
      </c>
      <c r="BD123" t="str">
        <f t="shared" si="490"/>
        <v/>
      </c>
      <c r="BE123" t="str">
        <f t="shared" si="491"/>
        <v/>
      </c>
      <c r="BF123" t="str">
        <f t="shared" si="492"/>
        <v/>
      </c>
      <c r="BG123" t="str">
        <f t="shared" si="493"/>
        <v/>
      </c>
      <c r="BH123" t="str">
        <f t="shared" si="494"/>
        <v/>
      </c>
      <c r="BI123" t="str">
        <f t="shared" si="495"/>
        <v/>
      </c>
      <c r="BJ123" t="str">
        <f t="shared" si="496"/>
        <v/>
      </c>
      <c r="BK123" t="str">
        <f t="shared" si="497"/>
        <v/>
      </c>
      <c r="BL123" t="str">
        <f t="shared" si="498"/>
        <v/>
      </c>
      <c r="BM123" t="str">
        <f t="shared" si="499"/>
        <v/>
      </c>
      <c r="BN123" t="str">
        <f t="shared" si="500"/>
        <v/>
      </c>
      <c r="BO123" t="str">
        <f t="shared" si="501"/>
        <v/>
      </c>
      <c r="BP123" t="str">
        <f t="shared" si="502"/>
        <v/>
      </c>
      <c r="BQ123" t="str">
        <f t="shared" si="503"/>
        <v/>
      </c>
      <c r="BR123" t="str">
        <f t="shared" si="504"/>
        <v/>
      </c>
      <c r="BS123" t="str">
        <f t="shared" si="505"/>
        <v/>
      </c>
      <c r="BT123" t="str">
        <f t="shared" si="506"/>
        <v/>
      </c>
      <c r="BU123" t="str">
        <f t="shared" si="507"/>
        <v/>
      </c>
      <c r="BV123" t="str">
        <f t="shared" si="508"/>
        <v/>
      </c>
      <c r="BW123" t="str">
        <f t="shared" si="509"/>
        <v/>
      </c>
      <c r="BX123" t="str">
        <f t="shared" si="510"/>
        <v/>
      </c>
      <c r="BY123" t="str">
        <f t="shared" si="511"/>
        <v/>
      </c>
      <c r="BZ123" t="str">
        <f t="shared" si="512"/>
        <v/>
      </c>
      <c r="CA123" t="str">
        <f t="shared" si="513"/>
        <v/>
      </c>
      <c r="CB123" t="str">
        <f t="shared" si="514"/>
        <v/>
      </c>
      <c r="CC123" t="str">
        <f t="shared" si="515"/>
        <v/>
      </c>
      <c r="CD123" t="str">
        <f t="shared" si="516"/>
        <v/>
      </c>
      <c r="CE123" t="str">
        <f t="shared" si="517"/>
        <v/>
      </c>
      <c r="CF123" t="str">
        <f t="shared" si="518"/>
        <v/>
      </c>
      <c r="CG123" t="str">
        <f t="shared" si="519"/>
        <v/>
      </c>
      <c r="CH123" t="str">
        <f t="shared" si="920"/>
        <v/>
      </c>
      <c r="CI123" t="str">
        <f t="shared" si="921"/>
        <v/>
      </c>
      <c r="CJ123" t="str">
        <f>IF($CI123="","",IF(OR($DW123="",$DX123=""),"ONZEKER",IF(OR($CF123="",$CG123=""),"ONZEKER",IF(AND($DW123=$CF123+1,$DX123=$CG123),IF(OR(COUNTIF(#REF!,$B123)&gt;0,COUNTIF(#REF!,$B123)=0),"SKIP",IF(COUNTIFS(#REF!,$B123,#REF!,$CI123)&gt;0,"OK","ONBEKEND")),IF(AND($DW123=$CF123,$DX123=$CG123+1),IF(OR(COUNTIF(#REF!,$D123)&gt;0,COUNTIF(#REF!,$D123)=0),"SKIP",IF(COUNTIFS(#REF!,$D123,#REF!,$CI123)&gt;0,"OK","ONBEKEND")),"ONZEKER")))))</f>
        <v/>
      </c>
      <c r="CK123" t="str">
        <f t="shared" si="922"/>
        <v/>
      </c>
      <c r="CL123" t="str">
        <f t="shared" si="923"/>
        <v/>
      </c>
      <c r="CM123" t="str">
        <f>IF($CL123="","",IF(OR($DZ123="",$EA123=""),"ONZEKER",IF(OR($DW123="",$DX123=""),"ONZEKER",IF(AND($DZ123=$DW123+1,$EA123=$DX123),IF(OR(COUNTIF(#REF!,$B123)&gt;0,COUNTIF(#REF!,$B123)=0),"SKIP",IF(COUNTIFS(#REF!,$B123,#REF!,$CL123)&gt;0,"OK","ONBEKEND")),IF(AND($DZ123=$DW123,$EA123=$DX123+1),IF(OR(COUNTIF(#REF!,$D123)&gt;0,COUNTIF(#REF!,$D123)=0),"SKIP",IF(COUNTIFS(#REF!,$D123,#REF!,$CL123)&gt;0,"OK","ONBEKEND")),"ONZEKER")))))</f>
        <v/>
      </c>
      <c r="CN123" t="str">
        <f t="shared" si="924"/>
        <v/>
      </c>
      <c r="CO123" t="str">
        <f t="shared" si="925"/>
        <v/>
      </c>
      <c r="CP123" t="str">
        <f>IF($CO123="","",IF(OR($EC123="",$ED123=""),"ONZEKER",IF(OR($DZ123="",$EA123=""),"ONZEKER",IF(AND($EC123=$DZ123+1,$ED123=$EA123),IF(OR(COUNTIF(#REF!,$B123)&gt;0,COUNTIF(#REF!,$B123)=0),"SKIP",IF(COUNTIFS(#REF!,$B123,#REF!,$CO123)&gt;0,"OK","ONBEKEND")),IF(AND($EC123=$DZ123,$ED123=$EA123+1),IF(OR(COUNTIF(#REF!,$D123)&gt;0,COUNTIF(#REF!,$D123)=0),"SKIP",IF(COUNTIFS(#REF!,$D123,#REF!,$CO123)&gt;0,"OK","ONBEKEND")),"ONZEKER")))))</f>
        <v/>
      </c>
      <c r="CQ123" t="str">
        <f t="shared" si="926"/>
        <v/>
      </c>
      <c r="CR123" t="str">
        <f t="shared" si="927"/>
        <v/>
      </c>
      <c r="CS123" t="str">
        <f>IF($CR123="","",IF(OR($EF123="",$EG123=""),"ONZEKER",IF(OR($EC123="",$ED123=""),"ONZEKER",IF(AND($EF123=$EC123+1,$EG123=$ED123),IF(OR(COUNTIF(#REF!,$B123)&gt;0,COUNTIF(#REF!,$B123)=0),"SKIP",IF(COUNTIFS(#REF!,$B123,#REF!,$CR123)&gt;0,"OK","ONBEKEND")),IF(AND($EF123=$EC123,$EG123=$ED123+1),IF(OR(COUNTIF(#REF!,$D123)&gt;0,COUNTIF(#REF!,$D123)=0),"SKIP",IF(COUNTIFS(#REF!,$D123,#REF!,$CR123)&gt;0,"OK","ONBEKEND")),"ONZEKER")))))</f>
        <v/>
      </c>
      <c r="CT123" t="str">
        <f t="shared" si="928"/>
        <v/>
      </c>
      <c r="CU123" t="str">
        <f t="shared" si="929"/>
        <v/>
      </c>
      <c r="CV123" t="str">
        <f>IF($CU123="","",IF(OR($EI123="",$EJ123=""),"ONZEKER",IF(OR($EF123="",$EG123=""),"ONZEKER",IF(AND($EI123=$EF123+1,$EJ123=$EG123),IF(OR(COUNTIF(#REF!,$B123)&gt;0,COUNTIF(#REF!,$B123)=0),"SKIP",IF(COUNTIFS(#REF!,$B123,#REF!,$CU123)&gt;0,"OK","ONBEKEND")),IF(AND($EI123=$EF123,$EJ123=$EG123+1),IF(OR(COUNTIF(#REF!,$D123)&gt;0,COUNTIF(#REF!,$D123)=0),"SKIP",IF(COUNTIFS(#REF!,$D123,#REF!,$CU123)&gt;0,"OK","ONBEKEND")),"ONZEKER")))))</f>
        <v/>
      </c>
      <c r="CW123" t="str">
        <f t="shared" si="930"/>
        <v/>
      </c>
      <c r="CX123" t="str">
        <f t="shared" si="931"/>
        <v/>
      </c>
      <c r="CY123" t="str">
        <f>IF($CX123="","",IF(OR($EL123="",$EM123=""),"ONZEKER",IF(OR($EI123="",$EJ123=""),"ONZEKER",IF(AND($EL123=$EI123+1,$EM123=$EJ123),IF(OR(COUNTIF(#REF!,$B123)&gt;0,COUNTIF(#REF!,$B123)=0),"SKIP",IF(COUNTIFS(#REF!,$B123,#REF!,$CX123)&gt;0,"OK","ONBEKEND")),IF(AND($EL123=$EI123,$EM123=$EJ123+1),IF(OR(COUNTIF(#REF!,$D123)&gt;0,COUNTIF(#REF!,$D123)=0),"SKIP",IF(COUNTIFS(#REF!,$D123,#REF!,$CX123)&gt;0,"OK","ONBEKEND")),"ONZEKER")))))</f>
        <v/>
      </c>
      <c r="CZ123" t="str">
        <f t="shared" si="932"/>
        <v/>
      </c>
      <c r="DA123" t="str">
        <f t="shared" si="933"/>
        <v/>
      </c>
      <c r="DB123" t="str">
        <f>IF($DA123="","",IF(OR($EO123="",$EP123=""),"ONZEKER",IF(OR($EL123="",$EM123=""),"ONZEKER",IF(AND($EO123=$EL123+1,$EP123=$EM123),IF(OR(COUNTIF(#REF!,$B123)&gt;0,COUNTIF(#REF!,$B123)=0),"SKIP",IF(COUNTIFS(#REF!,$B123,#REF!,$DA123)&gt;0,"OK","ONBEKEND")),IF(AND($EO123=$EL123,$EP123=$EM123+1),IF(OR(COUNTIF(#REF!,$D123)&gt;0,COUNTIF(#REF!,$D123)=0),"SKIP",IF(COUNTIFS(#REF!,$D123,#REF!,$DA123)&gt;0,"OK","ONBEKEND")),"ONZEKER")))))</f>
        <v/>
      </c>
      <c r="DC123" t="str">
        <f t="shared" si="934"/>
        <v/>
      </c>
      <c r="DD123" t="str">
        <f t="shared" si="935"/>
        <v/>
      </c>
      <c r="DE123" t="str">
        <f>IF($DD123="","",IF(OR($ER123="",$ES123=""),"ONZEKER",IF(OR($EO123="",$EP123=""),"ONZEKER",IF(AND($ER123=$EO123+1,$ES123=$EP123),IF(OR(COUNTIF(#REF!,$B123)&gt;0,COUNTIF(#REF!,$B123)=0),"SKIP",IF(COUNTIFS(#REF!,$B123,#REF!,$DD123)&gt;0,"OK","ONBEKEND")),IF(AND($ER123=$EO123,$ES123=$EP123+1),IF(OR(COUNTIF(#REF!,$D123)&gt;0,COUNTIF(#REF!,$D123)=0),"SKIP",IF(COUNTIFS(#REF!,$D123,#REF!,$DD123)&gt;0,"OK","ONBEKEND")),"ONZEKER")))))</f>
        <v/>
      </c>
      <c r="DF123" t="str">
        <f t="shared" si="936"/>
        <v/>
      </c>
      <c r="DG123" t="str">
        <f t="shared" si="937"/>
        <v/>
      </c>
      <c r="DH123" t="str">
        <f>IF($DG123="","",IF(OR($EU123="",$EV123=""),"ONZEKER",IF(OR($ER123="",$ES123=""),"ONZEKER",IF(AND($EU123=$ER123+1,$EV123=$ES123),IF(OR(COUNTIF(#REF!,$B123)&gt;0,COUNTIF(#REF!,$B123)=0),"SKIP",IF(COUNTIFS(#REF!,$B123,#REF!,$DG123)&gt;0,"OK","ONBEKEND")),IF(AND($EU123=$ER123,$EV123=$ES123+1),IF(OR(COUNTIF(#REF!,$D123)&gt;0,COUNTIF(#REF!,$D123)=0),"SKIP",IF(COUNTIFS(#REF!,$D123,#REF!,$DG123)&gt;0,"OK","ONBEKEND")),"ONZEKER")))))</f>
        <v/>
      </c>
      <c r="DI123" t="str">
        <f t="shared" si="938"/>
        <v/>
      </c>
      <c r="DJ123" t="str">
        <f t="shared" si="939"/>
        <v/>
      </c>
      <c r="DK123" t="str">
        <f>IF($DJ123="","",IF(OR($EX123="",$EY123=""),"ONZEKER",IF(OR($EU123="",$EV123=""),"ONZEKER",IF(AND($EX123=$EU123+1,$EY123=$EV123),IF(OR(COUNTIF(#REF!,$B123)&gt;0,COUNTIF(#REF!,$B123)=0),"SKIP",IF(COUNTIFS(#REF!,$B123,#REF!,$DJ123)&gt;0,"OK","ONBEKEND")),IF(AND($EX123=$EU123,$EY123=$EV123+1),IF(OR(COUNTIF(#REF!,$D123)&gt;0,COUNTIF(#REF!,$D123)=0),"SKIP",IF(COUNTIFS(#REF!,$D123,#REF!,$DJ123)&gt;0,"OK","ONBEKEND")),"ONZEKER")))))</f>
        <v/>
      </c>
      <c r="DL123" t="str">
        <f t="shared" si="940"/>
        <v/>
      </c>
      <c r="DM123" t="str">
        <f t="shared" si="941"/>
        <v/>
      </c>
      <c r="DN123" t="str">
        <f t="shared" si="942"/>
        <v/>
      </c>
      <c r="DO123" t="str">
        <f t="shared" si="943"/>
        <v/>
      </c>
      <c r="DP123" t="str">
        <f t="shared" si="944"/>
        <v/>
      </c>
      <c r="DQ123" t="str">
        <f t="shared" si="945"/>
        <v/>
      </c>
      <c r="DR123" t="str">
        <f t="shared" si="946"/>
        <v/>
      </c>
      <c r="DS123" t="str">
        <f t="shared" si="947"/>
        <v/>
      </c>
      <c r="DT123" t="str">
        <f t="shared" si="948"/>
        <v/>
      </c>
      <c r="DU123" t="str">
        <f t="shared" si="949"/>
        <v/>
      </c>
      <c r="DV123" t="str">
        <f t="shared" si="950"/>
        <v/>
      </c>
      <c r="DW123" t="str">
        <f t="shared" si="951"/>
        <v/>
      </c>
      <c r="DX123" t="str">
        <f t="shared" si="952"/>
        <v/>
      </c>
      <c r="DY123" t="str">
        <f t="shared" si="953"/>
        <v/>
      </c>
      <c r="DZ123" t="str">
        <f t="shared" si="954"/>
        <v/>
      </c>
      <c r="EA123" t="str">
        <f t="shared" si="955"/>
        <v/>
      </c>
      <c r="EB123" t="str">
        <f t="shared" si="956"/>
        <v/>
      </c>
      <c r="EC123" t="str">
        <f t="shared" si="957"/>
        <v/>
      </c>
      <c r="ED123" t="str">
        <f t="shared" si="958"/>
        <v/>
      </c>
      <c r="EE123" t="str">
        <f t="shared" si="959"/>
        <v/>
      </c>
      <c r="EF123" t="str">
        <f t="shared" si="960"/>
        <v/>
      </c>
      <c r="EG123" t="str">
        <f t="shared" si="961"/>
        <v/>
      </c>
      <c r="EH123" t="str">
        <f t="shared" si="962"/>
        <v/>
      </c>
      <c r="EI123" t="str">
        <f t="shared" si="963"/>
        <v/>
      </c>
      <c r="EJ123" t="str">
        <f t="shared" si="964"/>
        <v/>
      </c>
      <c r="EK123" t="str">
        <f t="shared" si="965"/>
        <v/>
      </c>
      <c r="EL123" t="str">
        <f t="shared" si="966"/>
        <v/>
      </c>
      <c r="EM123" t="str">
        <f t="shared" si="967"/>
        <v/>
      </c>
      <c r="EN123" t="str">
        <f t="shared" si="968"/>
        <v/>
      </c>
      <c r="EO123" t="str">
        <f t="shared" si="969"/>
        <v/>
      </c>
      <c r="EP123" t="str">
        <f t="shared" si="970"/>
        <v/>
      </c>
      <c r="EQ123" t="str">
        <f t="shared" si="971"/>
        <v/>
      </c>
      <c r="ER123" t="str">
        <f t="shared" si="972"/>
        <v/>
      </c>
      <c r="ES123" t="str">
        <f t="shared" si="973"/>
        <v/>
      </c>
      <c r="ET123" t="str">
        <f t="shared" si="974"/>
        <v/>
      </c>
      <c r="EU123" t="str">
        <f t="shared" si="975"/>
        <v/>
      </c>
      <c r="EV123" t="str">
        <f t="shared" si="976"/>
        <v/>
      </c>
      <c r="EW123" t="str">
        <f t="shared" si="977"/>
        <v/>
      </c>
      <c r="EX123" t="str">
        <f t="shared" si="978"/>
        <v/>
      </c>
      <c r="EY123" t="str">
        <f t="shared" si="979"/>
        <v/>
      </c>
    </row>
    <row r="124" spans="1:155" ht="13.9" customHeight="1" x14ac:dyDescent="0.25">
      <c r="A124" s="7"/>
      <c r="B124" s="17"/>
      <c r="C124" s="8"/>
      <c r="D124" s="17"/>
      <c r="E124" s="8"/>
      <c r="F124" s="18">
        <v>0</v>
      </c>
      <c r="G124" s="7" t="s">
        <v>147</v>
      </c>
      <c r="H124" s="18">
        <v>0</v>
      </c>
      <c r="I124" s="19">
        <v>0</v>
      </c>
      <c r="J124" s="7" t="s">
        <v>147</v>
      </c>
      <c r="K124" s="19">
        <v>0</v>
      </c>
      <c r="L124" s="9"/>
      <c r="M124" s="3" t="str">
        <f>IF($L124="","",IF($L124="DOELPUNTENMAKERS","",IF(AND(COUNTIF(#REF!,$B124)=0,COUNTIF(#REF!,$D124)=0),"OK",IF($O124&gt;20,"LET OP: meer dan 20 items (controle onvolledig)",IF((COUNTIF($R124:$AS124,"ONZEKER")+COUNTIF($CJ124:$DK124,"ONZEKER"))&gt;0,"LET OP: scoreverloop onduidelijk (controle beperkt)",IF((IF($AT124&lt;&gt;"",$AT124&amp;", ","")&amp;IF($AU124&lt;&gt;"",$AU124&amp;", ","")&amp;IF($AV124&lt;&gt;"",$AV124&amp;", ","")&amp;IF($AW124&lt;&gt;"",$AW124&amp;", ","")&amp;IF($AX124&lt;&gt;"",$AX124&amp;", ","")&amp;IF($AY124&lt;&gt;"",$AY124&amp;", ","")&amp;IF($AZ124&lt;&gt;"",$AZ124&amp;", ","")&amp;IF($BA124&lt;&gt;"",$BA124&amp;", ","")&amp;IF($BB124&lt;&gt;"",$BB124&amp;", ","")&amp;IF($BC124&lt;&gt;"",$BC124&amp;", ","")&amp;IF($DL124&lt;&gt;"",$DL124&amp;", ","")&amp;IF($DM124&lt;&gt;"",$DM124&amp;", ","")&amp;IF($DN124&lt;&gt;"",$DN124&amp;", ","")&amp;IF($DO124&lt;&gt;"",$DO124&amp;", ","")&amp;IF($DP124&lt;&gt;"",$DP124&amp;", ","")&amp;IF($DQ124&lt;&gt;"",$DQ124&amp;", ","")&amp;IF($DR124&lt;&gt;"",$DR124&amp;", ","")&amp;IF($DS124&lt;&gt;"",$DS124&amp;", ","")&amp;IF($DT124&lt;&gt;"",$DT124&amp;", ","")&amp;IF($DU124&lt;&gt;"",$DU124&amp;", ",""))="","OK","Onbekend: "&amp;LEFT((IF($AT124&lt;&gt;"",$AT124&amp;", ","")&amp;IF($AU124&lt;&gt;"",$AU124&amp;", ","")&amp;IF($AV124&lt;&gt;"",$AV124&amp;", ","")&amp;IF($AW124&lt;&gt;"",$AW124&amp;", ","")&amp;IF($AX124&lt;&gt;"",$AX124&amp;", ","")&amp;IF($AY124&lt;&gt;"",$AY124&amp;", ","")&amp;IF($AZ124&lt;&gt;"",$AZ124&amp;", ","")&amp;IF($BA124&lt;&gt;"",$BA124&amp;", ","")&amp;IF($BB124&lt;&gt;"",$BB124&amp;", ","")&amp;IF($BC124&lt;&gt;"",$BC124&amp;", ","")&amp;IF($DL124&lt;&gt;"",$DL124&amp;", ","")&amp;IF($DM124&lt;&gt;"",$DM124&amp;", ","")&amp;IF($DN124&lt;&gt;"",$DN124&amp;", ","")&amp;IF($DO124&lt;&gt;"",$DO124&amp;", ","")&amp;IF($DP124&lt;&gt;"",$DP124&amp;", ","")&amp;IF($DQ124&lt;&gt;"",$DQ124&amp;", ","")&amp;IF($DR124&lt;&gt;"",$DR124&amp;", ","")&amp;IF($DS124&lt;&gt;"",$DS124&amp;", ","")&amp;IF($DT124&lt;&gt;"",$DT124&amp;", ","")&amp;IF($DU124&lt;&gt;"",$DU124&amp;", ","")),LEN((IF($AT124&lt;&gt;"",$AT124&amp;", ","")&amp;IF($AU124&lt;&gt;"",$AU124&amp;", ","")&amp;IF($AV124&lt;&gt;"",$AV124&amp;", ","")&amp;IF($AW124&lt;&gt;"",$AW124&amp;", ","")&amp;IF($AX124&lt;&gt;"",$AX124&amp;", ","")&amp;IF($AY124&lt;&gt;"",$AY124&amp;", ","")&amp;IF($AZ124&lt;&gt;"",$AZ124&amp;", ","")&amp;IF($BA124&lt;&gt;"",$BA124&amp;", ","")&amp;IF($BB124&lt;&gt;"",$BB124&amp;", ","")&amp;IF($BC124&lt;&gt;"",$BC124&amp;", ","")&amp;IF($DL124&lt;&gt;"",$DL124&amp;", ","")&amp;IF($DM124&lt;&gt;"",$DM124&amp;", ","")&amp;IF($DN124&lt;&gt;"",$DN124&amp;", ","")&amp;IF($DO124&lt;&gt;"",$DO124&amp;", ","")&amp;IF($DP124&lt;&gt;"",$DP124&amp;", ","")&amp;IF($DQ124&lt;&gt;"",$DQ124&amp;", ","")&amp;IF($DR124&lt;&gt;"",$DR124&amp;", ","")&amp;IF($DS124&lt;&gt;"",$DS124&amp;", ","")&amp;IF($DT124&lt;&gt;"",$DT124&amp;", ","")&amp;IF($DU124&lt;&gt;"",$DU124&amp;", ","")))-2)))))))</f>
        <v/>
      </c>
      <c r="N124" t="str">
        <f t="shared" si="888"/>
        <v/>
      </c>
      <c r="O124" t="str">
        <f t="shared" si="889"/>
        <v/>
      </c>
      <c r="P124" t="str">
        <f t="shared" si="890"/>
        <v/>
      </c>
      <c r="Q124" t="str">
        <f t="shared" si="891"/>
        <v/>
      </c>
      <c r="R124" t="str">
        <f>IF($Q124="","",IF(OR($BE124="",$BF124=""),"ONZEKER",IF(AND($BE124=0+1,$BF124=0),IF(OR(COUNTIF(#REF!,$B124)&gt;0,COUNTIF(#REF!,$B124)=0),"SKIP",IF(COUNTIFS(#REF!,$B124,#REF!,$Q124)&gt;0,"OK","ONBEKEND")),IF(AND($BE124=0,$BF124=0+1),IF(OR(COUNTIF(#REF!,$D124)&gt;0,COUNTIF(#REF!,$D124)=0),"SKIP",IF(COUNTIFS(#REF!,$D124,#REF!,$Q124)&gt;0,"OK","ONBEKEND")),"ONZEKER"))))</f>
        <v/>
      </c>
      <c r="S124" t="str">
        <f t="shared" si="892"/>
        <v/>
      </c>
      <c r="T124" t="str">
        <f t="shared" si="893"/>
        <v/>
      </c>
      <c r="U124" t="str">
        <f>IF($T124="","",IF(OR($BH124="",$BI124=""),"ONZEKER",IF(OR($BE124="",$BF124=""),"ONZEKER",IF(AND($BH124=$BE124+1,$BI124=$BF124),IF(OR(COUNTIF(#REF!,$B124)&gt;0,COUNTIF(#REF!,$B124)=0),"SKIP",IF(COUNTIFS(#REF!,$B124,#REF!,$T124)&gt;0,"OK","ONBEKEND")),IF(AND($BH124=$BE124,$BI124=$BF124+1),IF(OR(COUNTIF(#REF!,$D124)&gt;0,COUNTIF(#REF!,$D124)=0),"SKIP",IF(COUNTIFS(#REF!,$D124,#REF!,$T124)&gt;0,"OK","ONBEKEND")),"ONZEKER")))))</f>
        <v/>
      </c>
      <c r="V124" t="str">
        <f t="shared" si="894"/>
        <v/>
      </c>
      <c r="W124" t="str">
        <f t="shared" si="895"/>
        <v/>
      </c>
      <c r="X124" t="str">
        <f>IF($W124="","",IF(OR($BK124="",$BL124=""),"ONZEKER",IF(OR($BH124="",$BI124=""),"ONZEKER",IF(AND($BK124=$BH124+1,$BL124=$BI124),IF(OR(COUNTIF(#REF!,$B124)&gt;0,COUNTIF(#REF!,$B124)=0),"SKIP",IF(COUNTIFS(#REF!,$B124,#REF!,$W124)&gt;0,"OK","ONBEKEND")),IF(AND($BK124=$BH124,$BL124=$BI124+1),IF(OR(COUNTIF(#REF!,$D124)&gt;0,COUNTIF(#REF!,$D124)=0),"SKIP",IF(COUNTIFS(#REF!,$D124,#REF!,$W124)&gt;0,"OK","ONBEKEND")),"ONZEKER")))))</f>
        <v/>
      </c>
      <c r="Y124" t="str">
        <f t="shared" si="896"/>
        <v/>
      </c>
      <c r="Z124" t="str">
        <f t="shared" si="897"/>
        <v/>
      </c>
      <c r="AA124" t="str">
        <f>IF($Z124="","",IF(OR($BN124="",$BO124=""),"ONZEKER",IF(OR($BK124="",$BL124=""),"ONZEKER",IF(AND($BN124=$BK124+1,$BO124=$BL124),IF(OR(COUNTIF(#REF!,$B124)&gt;0,COUNTIF(#REF!,$B124)=0),"SKIP",IF(COUNTIFS(#REF!,$B124,#REF!,$Z124)&gt;0,"OK","ONBEKEND")),IF(AND($BN124=$BK124,$BO124=$BL124+1),IF(OR(COUNTIF(#REF!,$D124)&gt;0,COUNTIF(#REF!,$D124)=0),"SKIP",IF(COUNTIFS(#REF!,$D124,#REF!,$Z124)&gt;0,"OK","ONBEKEND")),"ONZEKER")))))</f>
        <v/>
      </c>
      <c r="AB124" t="str">
        <f t="shared" si="898"/>
        <v/>
      </c>
      <c r="AC124" t="str">
        <f t="shared" si="899"/>
        <v/>
      </c>
      <c r="AD124" t="str">
        <f>IF($AC124="","",IF(OR($BQ124="",$BR124=""),"ONZEKER",IF(OR($BN124="",$BO124=""),"ONZEKER",IF(AND($BQ124=$BN124+1,$BR124=$BO124),IF(OR(COUNTIF(#REF!,$B124)&gt;0,COUNTIF(#REF!,$B124)=0),"SKIP",IF(COUNTIFS(#REF!,$B124,#REF!,$AC124)&gt;0,"OK","ONBEKEND")),IF(AND($BQ124=$BN124,$BR124=$BO124+1),IF(OR(COUNTIF(#REF!,$D124)&gt;0,COUNTIF(#REF!,$D124)=0),"SKIP",IF(COUNTIFS(#REF!,$D124,#REF!,$AC124)&gt;0,"OK","ONBEKEND")),"ONZEKER")))))</f>
        <v/>
      </c>
      <c r="AE124" t="str">
        <f t="shared" si="900"/>
        <v/>
      </c>
      <c r="AF124" t="str">
        <f t="shared" si="901"/>
        <v/>
      </c>
      <c r="AG124" t="str">
        <f>IF($AF124="","",IF(OR($BT124="",$BU124=""),"ONZEKER",IF(OR($BQ124="",$BR124=""),"ONZEKER",IF(AND($BT124=$BQ124+1,$BU124=$BR124),IF(OR(COUNTIF(#REF!,$B124)&gt;0,COUNTIF(#REF!,$B124)=0),"SKIP",IF(COUNTIFS(#REF!,$B124,#REF!,$AF124)&gt;0,"OK","ONBEKEND")),IF(AND($BT124=$BQ124,$BU124=$BR124+1),IF(OR(COUNTIF(#REF!,$D124)&gt;0,COUNTIF(#REF!,$D124)=0),"SKIP",IF(COUNTIFS(#REF!,$D124,#REF!,$AF124)&gt;0,"OK","ONBEKEND")),"ONZEKER")))))</f>
        <v/>
      </c>
      <c r="AH124" t="str">
        <f t="shared" si="902"/>
        <v/>
      </c>
      <c r="AI124" t="str">
        <f t="shared" si="903"/>
        <v/>
      </c>
      <c r="AJ124" t="str">
        <f>IF($AI124="","",IF(OR($BW124="",$BX124=""),"ONZEKER",IF(OR($BT124="",$BU124=""),"ONZEKER",IF(AND($BW124=$BT124+1,$BX124=$BU124),IF(OR(COUNTIF(#REF!,$B124)&gt;0,COUNTIF(#REF!,$B124)=0),"SKIP",IF(COUNTIFS(#REF!,$B124,#REF!,$AI124)&gt;0,"OK","ONBEKEND")),IF(AND($BW124=$BT124,$BX124=$BU124+1),IF(OR(COUNTIF(#REF!,$D124)&gt;0,COUNTIF(#REF!,$D124)=0),"SKIP",IF(COUNTIFS(#REF!,$D124,#REF!,$AI124)&gt;0,"OK","ONBEKEND")),"ONZEKER")))))</f>
        <v/>
      </c>
      <c r="AK124" t="str">
        <f t="shared" si="904"/>
        <v/>
      </c>
      <c r="AL124" t="str">
        <f t="shared" si="905"/>
        <v/>
      </c>
      <c r="AM124" t="str">
        <f>IF($AL124="","",IF(OR($BZ124="",$CA124=""),"ONZEKER",IF(OR($BW124="",$BX124=""),"ONZEKER",IF(AND($BZ124=$BW124+1,$CA124=$BX124),IF(OR(COUNTIF(#REF!,$B124)&gt;0,COUNTIF(#REF!,$B124)=0),"SKIP",IF(COUNTIFS(#REF!,$B124,#REF!,$AL124)&gt;0,"OK","ONBEKEND")),IF(AND($BZ124=$BW124,$CA124=$BX124+1),IF(OR(COUNTIF(#REF!,$D124)&gt;0,COUNTIF(#REF!,$D124)=0),"SKIP",IF(COUNTIFS(#REF!,$D124,#REF!,$AL124)&gt;0,"OK","ONBEKEND")),"ONZEKER")))))</f>
        <v/>
      </c>
      <c r="AN124" t="str">
        <f t="shared" si="906"/>
        <v/>
      </c>
      <c r="AO124" t="str">
        <f t="shared" si="907"/>
        <v/>
      </c>
      <c r="AP124" t="str">
        <f>IF($AO124="","",IF(OR($CC124="",$CD124=""),"ONZEKER",IF(OR($BZ124="",$CA124=""),"ONZEKER",IF(AND($CC124=$BZ124+1,$CD124=$CA124),IF(OR(COUNTIF(#REF!,$B124)&gt;0,COUNTIF(#REF!,$B124)=0),"SKIP",IF(COUNTIFS(#REF!,$B124,#REF!,$AO124)&gt;0,"OK","ONBEKEND")),IF(AND($CC124=$BZ124,$CD124=$CA124+1),IF(OR(COUNTIF(#REF!,$D124)&gt;0,COUNTIF(#REF!,$D124)=0),"SKIP",IF(COUNTIFS(#REF!,$D124,#REF!,$AO124)&gt;0,"OK","ONBEKEND")),"ONZEKER")))))</f>
        <v/>
      </c>
      <c r="AQ124" t="str">
        <f t="shared" si="908"/>
        <v/>
      </c>
      <c r="AR124" t="str">
        <f t="shared" si="909"/>
        <v/>
      </c>
      <c r="AS124" t="str">
        <f>IF($AR124="","",IF(OR($CF124="",$CG124=""),"ONZEKER",IF(OR($CC124="",$CD124=""),"ONZEKER",IF(AND($CF124=$CC124+1,$CG124=$CD124),IF(OR(COUNTIF(#REF!,$B124)&gt;0,COUNTIF(#REF!,$B124)=0),"SKIP",IF(COUNTIFS(#REF!,$B124,#REF!,$AR124)&gt;0,"OK","ONBEKEND")),IF(AND($CF124=$CC124,$CG124=$CD124+1),IF(OR(COUNTIF(#REF!,$D124)&gt;0,COUNTIF(#REF!,$D124)=0),"SKIP",IF(COUNTIFS(#REF!,$D124,#REF!,$AR124)&gt;0,"OK","ONBEKEND")),"ONZEKER")))))</f>
        <v/>
      </c>
      <c r="AT124" t="str">
        <f t="shared" si="910"/>
        <v/>
      </c>
      <c r="AU124" t="str">
        <f t="shared" si="911"/>
        <v/>
      </c>
      <c r="AV124" t="str">
        <f t="shared" si="912"/>
        <v/>
      </c>
      <c r="AW124" t="str">
        <f t="shared" si="913"/>
        <v/>
      </c>
      <c r="AX124" t="str">
        <f t="shared" si="914"/>
        <v/>
      </c>
      <c r="AY124" t="str">
        <f t="shared" si="915"/>
        <v/>
      </c>
      <c r="AZ124" t="str">
        <f t="shared" si="916"/>
        <v/>
      </c>
      <c r="BA124" t="str">
        <f t="shared" si="917"/>
        <v/>
      </c>
      <c r="BB124" t="str">
        <f t="shared" si="918"/>
        <v/>
      </c>
      <c r="BC124" t="str">
        <f t="shared" si="919"/>
        <v/>
      </c>
      <c r="BD124" t="str">
        <f t="shared" si="490"/>
        <v/>
      </c>
      <c r="BE124" t="str">
        <f t="shared" si="491"/>
        <v/>
      </c>
      <c r="BF124" t="str">
        <f t="shared" si="492"/>
        <v/>
      </c>
      <c r="BG124" t="str">
        <f t="shared" si="493"/>
        <v/>
      </c>
      <c r="BH124" t="str">
        <f t="shared" si="494"/>
        <v/>
      </c>
      <c r="BI124" t="str">
        <f t="shared" si="495"/>
        <v/>
      </c>
      <c r="BJ124" t="str">
        <f t="shared" si="496"/>
        <v/>
      </c>
      <c r="BK124" t="str">
        <f t="shared" si="497"/>
        <v/>
      </c>
      <c r="BL124" t="str">
        <f t="shared" si="498"/>
        <v/>
      </c>
      <c r="BM124" t="str">
        <f t="shared" si="499"/>
        <v/>
      </c>
      <c r="BN124" t="str">
        <f t="shared" si="500"/>
        <v/>
      </c>
      <c r="BO124" t="str">
        <f t="shared" si="501"/>
        <v/>
      </c>
      <c r="BP124" t="str">
        <f t="shared" si="502"/>
        <v/>
      </c>
      <c r="BQ124" t="str">
        <f t="shared" si="503"/>
        <v/>
      </c>
      <c r="BR124" t="str">
        <f t="shared" si="504"/>
        <v/>
      </c>
      <c r="BS124" t="str">
        <f t="shared" si="505"/>
        <v/>
      </c>
      <c r="BT124" t="str">
        <f t="shared" si="506"/>
        <v/>
      </c>
      <c r="BU124" t="str">
        <f t="shared" si="507"/>
        <v/>
      </c>
      <c r="BV124" t="str">
        <f t="shared" si="508"/>
        <v/>
      </c>
      <c r="BW124" t="str">
        <f t="shared" si="509"/>
        <v/>
      </c>
      <c r="BX124" t="str">
        <f t="shared" si="510"/>
        <v/>
      </c>
      <c r="BY124" t="str">
        <f t="shared" si="511"/>
        <v/>
      </c>
      <c r="BZ124" t="str">
        <f t="shared" si="512"/>
        <v/>
      </c>
      <c r="CA124" t="str">
        <f t="shared" si="513"/>
        <v/>
      </c>
      <c r="CB124" t="str">
        <f t="shared" si="514"/>
        <v/>
      </c>
      <c r="CC124" t="str">
        <f t="shared" si="515"/>
        <v/>
      </c>
      <c r="CD124" t="str">
        <f t="shared" si="516"/>
        <v/>
      </c>
      <c r="CE124" t="str">
        <f t="shared" si="517"/>
        <v/>
      </c>
      <c r="CF124" t="str">
        <f t="shared" si="518"/>
        <v/>
      </c>
      <c r="CG124" t="str">
        <f t="shared" si="519"/>
        <v/>
      </c>
      <c r="CH124" t="str">
        <f t="shared" si="920"/>
        <v/>
      </c>
      <c r="CI124" t="str">
        <f t="shared" si="921"/>
        <v/>
      </c>
      <c r="CJ124" t="str">
        <f>IF($CI124="","",IF(OR($DW124="",$DX124=""),"ONZEKER",IF(OR($CF124="",$CG124=""),"ONZEKER",IF(AND($DW124=$CF124+1,$DX124=$CG124),IF(OR(COUNTIF(#REF!,$B124)&gt;0,COUNTIF(#REF!,$B124)=0),"SKIP",IF(COUNTIFS(#REF!,$B124,#REF!,$CI124)&gt;0,"OK","ONBEKEND")),IF(AND($DW124=$CF124,$DX124=$CG124+1),IF(OR(COUNTIF(#REF!,$D124)&gt;0,COUNTIF(#REF!,$D124)=0),"SKIP",IF(COUNTIFS(#REF!,$D124,#REF!,$CI124)&gt;0,"OK","ONBEKEND")),"ONZEKER")))))</f>
        <v/>
      </c>
      <c r="CK124" t="str">
        <f t="shared" si="922"/>
        <v/>
      </c>
      <c r="CL124" t="str">
        <f t="shared" si="923"/>
        <v/>
      </c>
      <c r="CM124" t="str">
        <f>IF($CL124="","",IF(OR($DZ124="",$EA124=""),"ONZEKER",IF(OR($DW124="",$DX124=""),"ONZEKER",IF(AND($DZ124=$DW124+1,$EA124=$DX124),IF(OR(COUNTIF(#REF!,$B124)&gt;0,COUNTIF(#REF!,$B124)=0),"SKIP",IF(COUNTIFS(#REF!,$B124,#REF!,$CL124)&gt;0,"OK","ONBEKEND")),IF(AND($DZ124=$DW124,$EA124=$DX124+1),IF(OR(COUNTIF(#REF!,$D124)&gt;0,COUNTIF(#REF!,$D124)=0),"SKIP",IF(COUNTIFS(#REF!,$D124,#REF!,$CL124)&gt;0,"OK","ONBEKEND")),"ONZEKER")))))</f>
        <v/>
      </c>
      <c r="CN124" t="str">
        <f t="shared" si="924"/>
        <v/>
      </c>
      <c r="CO124" t="str">
        <f t="shared" si="925"/>
        <v/>
      </c>
      <c r="CP124" t="str">
        <f>IF($CO124="","",IF(OR($EC124="",$ED124=""),"ONZEKER",IF(OR($DZ124="",$EA124=""),"ONZEKER",IF(AND($EC124=$DZ124+1,$ED124=$EA124),IF(OR(COUNTIF(#REF!,$B124)&gt;0,COUNTIF(#REF!,$B124)=0),"SKIP",IF(COUNTIFS(#REF!,$B124,#REF!,$CO124)&gt;0,"OK","ONBEKEND")),IF(AND($EC124=$DZ124,$ED124=$EA124+1),IF(OR(COUNTIF(#REF!,$D124)&gt;0,COUNTIF(#REF!,$D124)=0),"SKIP",IF(COUNTIFS(#REF!,$D124,#REF!,$CO124)&gt;0,"OK","ONBEKEND")),"ONZEKER")))))</f>
        <v/>
      </c>
      <c r="CQ124" t="str">
        <f t="shared" si="926"/>
        <v/>
      </c>
      <c r="CR124" t="str">
        <f t="shared" si="927"/>
        <v/>
      </c>
      <c r="CS124" t="str">
        <f>IF($CR124="","",IF(OR($EF124="",$EG124=""),"ONZEKER",IF(OR($EC124="",$ED124=""),"ONZEKER",IF(AND($EF124=$EC124+1,$EG124=$ED124),IF(OR(COUNTIF(#REF!,$B124)&gt;0,COUNTIF(#REF!,$B124)=0),"SKIP",IF(COUNTIFS(#REF!,$B124,#REF!,$CR124)&gt;0,"OK","ONBEKEND")),IF(AND($EF124=$EC124,$EG124=$ED124+1),IF(OR(COUNTIF(#REF!,$D124)&gt;0,COUNTIF(#REF!,$D124)=0),"SKIP",IF(COUNTIFS(#REF!,$D124,#REF!,$CR124)&gt;0,"OK","ONBEKEND")),"ONZEKER")))))</f>
        <v/>
      </c>
      <c r="CT124" t="str">
        <f t="shared" si="928"/>
        <v/>
      </c>
      <c r="CU124" t="str">
        <f t="shared" si="929"/>
        <v/>
      </c>
      <c r="CV124" t="str">
        <f>IF($CU124="","",IF(OR($EI124="",$EJ124=""),"ONZEKER",IF(OR($EF124="",$EG124=""),"ONZEKER",IF(AND($EI124=$EF124+1,$EJ124=$EG124),IF(OR(COUNTIF(#REF!,$B124)&gt;0,COUNTIF(#REF!,$B124)=0),"SKIP",IF(COUNTIFS(#REF!,$B124,#REF!,$CU124)&gt;0,"OK","ONBEKEND")),IF(AND($EI124=$EF124,$EJ124=$EG124+1),IF(OR(COUNTIF(#REF!,$D124)&gt;0,COUNTIF(#REF!,$D124)=0),"SKIP",IF(COUNTIFS(#REF!,$D124,#REF!,$CU124)&gt;0,"OK","ONBEKEND")),"ONZEKER")))))</f>
        <v/>
      </c>
      <c r="CW124" t="str">
        <f t="shared" si="930"/>
        <v/>
      </c>
      <c r="CX124" t="str">
        <f t="shared" si="931"/>
        <v/>
      </c>
      <c r="CY124" t="str">
        <f>IF($CX124="","",IF(OR($EL124="",$EM124=""),"ONZEKER",IF(OR($EI124="",$EJ124=""),"ONZEKER",IF(AND($EL124=$EI124+1,$EM124=$EJ124),IF(OR(COUNTIF(#REF!,$B124)&gt;0,COUNTIF(#REF!,$B124)=0),"SKIP",IF(COUNTIFS(#REF!,$B124,#REF!,$CX124)&gt;0,"OK","ONBEKEND")),IF(AND($EL124=$EI124,$EM124=$EJ124+1),IF(OR(COUNTIF(#REF!,$D124)&gt;0,COUNTIF(#REF!,$D124)=0),"SKIP",IF(COUNTIFS(#REF!,$D124,#REF!,$CX124)&gt;0,"OK","ONBEKEND")),"ONZEKER")))))</f>
        <v/>
      </c>
      <c r="CZ124" t="str">
        <f t="shared" si="932"/>
        <v/>
      </c>
      <c r="DA124" t="str">
        <f t="shared" si="933"/>
        <v/>
      </c>
      <c r="DB124" t="str">
        <f>IF($DA124="","",IF(OR($EO124="",$EP124=""),"ONZEKER",IF(OR($EL124="",$EM124=""),"ONZEKER",IF(AND($EO124=$EL124+1,$EP124=$EM124),IF(OR(COUNTIF(#REF!,$B124)&gt;0,COUNTIF(#REF!,$B124)=0),"SKIP",IF(COUNTIFS(#REF!,$B124,#REF!,$DA124)&gt;0,"OK","ONBEKEND")),IF(AND($EO124=$EL124,$EP124=$EM124+1),IF(OR(COUNTIF(#REF!,$D124)&gt;0,COUNTIF(#REF!,$D124)=0),"SKIP",IF(COUNTIFS(#REF!,$D124,#REF!,$DA124)&gt;0,"OK","ONBEKEND")),"ONZEKER")))))</f>
        <v/>
      </c>
      <c r="DC124" t="str">
        <f t="shared" si="934"/>
        <v/>
      </c>
      <c r="DD124" t="str">
        <f t="shared" si="935"/>
        <v/>
      </c>
      <c r="DE124" t="str">
        <f>IF($DD124="","",IF(OR($ER124="",$ES124=""),"ONZEKER",IF(OR($EO124="",$EP124=""),"ONZEKER",IF(AND($ER124=$EO124+1,$ES124=$EP124),IF(OR(COUNTIF(#REF!,$B124)&gt;0,COUNTIF(#REF!,$B124)=0),"SKIP",IF(COUNTIFS(#REF!,$B124,#REF!,$DD124)&gt;0,"OK","ONBEKEND")),IF(AND($ER124=$EO124,$ES124=$EP124+1),IF(OR(COUNTIF(#REF!,$D124)&gt;0,COUNTIF(#REF!,$D124)=0),"SKIP",IF(COUNTIFS(#REF!,$D124,#REF!,$DD124)&gt;0,"OK","ONBEKEND")),"ONZEKER")))))</f>
        <v/>
      </c>
      <c r="DF124" t="str">
        <f t="shared" si="936"/>
        <v/>
      </c>
      <c r="DG124" t="str">
        <f t="shared" si="937"/>
        <v/>
      </c>
      <c r="DH124" t="str">
        <f>IF($DG124="","",IF(OR($EU124="",$EV124=""),"ONZEKER",IF(OR($ER124="",$ES124=""),"ONZEKER",IF(AND($EU124=$ER124+1,$EV124=$ES124),IF(OR(COUNTIF(#REF!,$B124)&gt;0,COUNTIF(#REF!,$B124)=0),"SKIP",IF(COUNTIFS(#REF!,$B124,#REF!,$DG124)&gt;0,"OK","ONBEKEND")),IF(AND($EU124=$ER124,$EV124=$ES124+1),IF(OR(COUNTIF(#REF!,$D124)&gt;0,COUNTIF(#REF!,$D124)=0),"SKIP",IF(COUNTIFS(#REF!,$D124,#REF!,$DG124)&gt;0,"OK","ONBEKEND")),"ONZEKER")))))</f>
        <v/>
      </c>
      <c r="DI124" t="str">
        <f t="shared" si="938"/>
        <v/>
      </c>
      <c r="DJ124" t="str">
        <f t="shared" si="939"/>
        <v/>
      </c>
      <c r="DK124" t="str">
        <f>IF($DJ124="","",IF(OR($EX124="",$EY124=""),"ONZEKER",IF(OR($EU124="",$EV124=""),"ONZEKER",IF(AND($EX124=$EU124+1,$EY124=$EV124),IF(OR(COUNTIF(#REF!,$B124)&gt;0,COUNTIF(#REF!,$B124)=0),"SKIP",IF(COUNTIFS(#REF!,$B124,#REF!,$DJ124)&gt;0,"OK","ONBEKEND")),IF(AND($EX124=$EU124,$EY124=$EV124+1),IF(OR(COUNTIF(#REF!,$D124)&gt;0,COUNTIF(#REF!,$D124)=0),"SKIP",IF(COUNTIFS(#REF!,$D124,#REF!,$DJ124)&gt;0,"OK","ONBEKEND")),"ONZEKER")))))</f>
        <v/>
      </c>
      <c r="DL124" t="str">
        <f t="shared" si="940"/>
        <v/>
      </c>
      <c r="DM124" t="str">
        <f t="shared" si="941"/>
        <v/>
      </c>
      <c r="DN124" t="str">
        <f t="shared" si="942"/>
        <v/>
      </c>
      <c r="DO124" t="str">
        <f t="shared" si="943"/>
        <v/>
      </c>
      <c r="DP124" t="str">
        <f t="shared" si="944"/>
        <v/>
      </c>
      <c r="DQ124" t="str">
        <f t="shared" si="945"/>
        <v/>
      </c>
      <c r="DR124" t="str">
        <f t="shared" si="946"/>
        <v/>
      </c>
      <c r="DS124" t="str">
        <f t="shared" si="947"/>
        <v/>
      </c>
      <c r="DT124" t="str">
        <f t="shared" si="948"/>
        <v/>
      </c>
      <c r="DU124" t="str">
        <f t="shared" si="949"/>
        <v/>
      </c>
      <c r="DV124" t="str">
        <f t="shared" si="950"/>
        <v/>
      </c>
      <c r="DW124" t="str">
        <f t="shared" si="951"/>
        <v/>
      </c>
      <c r="DX124" t="str">
        <f t="shared" si="952"/>
        <v/>
      </c>
      <c r="DY124" t="str">
        <f t="shared" si="953"/>
        <v/>
      </c>
      <c r="DZ124" t="str">
        <f t="shared" si="954"/>
        <v/>
      </c>
      <c r="EA124" t="str">
        <f t="shared" si="955"/>
        <v/>
      </c>
      <c r="EB124" t="str">
        <f t="shared" si="956"/>
        <v/>
      </c>
      <c r="EC124" t="str">
        <f t="shared" si="957"/>
        <v/>
      </c>
      <c r="ED124" t="str">
        <f t="shared" si="958"/>
        <v/>
      </c>
      <c r="EE124" t="str">
        <f t="shared" si="959"/>
        <v/>
      </c>
      <c r="EF124" t="str">
        <f t="shared" si="960"/>
        <v/>
      </c>
      <c r="EG124" t="str">
        <f t="shared" si="961"/>
        <v/>
      </c>
      <c r="EH124" t="str">
        <f t="shared" si="962"/>
        <v/>
      </c>
      <c r="EI124" t="str">
        <f t="shared" si="963"/>
        <v/>
      </c>
      <c r="EJ124" t="str">
        <f t="shared" si="964"/>
        <v/>
      </c>
      <c r="EK124" t="str">
        <f t="shared" si="965"/>
        <v/>
      </c>
      <c r="EL124" t="str">
        <f t="shared" si="966"/>
        <v/>
      </c>
      <c r="EM124" t="str">
        <f t="shared" si="967"/>
        <v/>
      </c>
      <c r="EN124" t="str">
        <f t="shared" si="968"/>
        <v/>
      </c>
      <c r="EO124" t="str">
        <f t="shared" si="969"/>
        <v/>
      </c>
      <c r="EP124" t="str">
        <f t="shared" si="970"/>
        <v/>
      </c>
      <c r="EQ124" t="str">
        <f t="shared" si="971"/>
        <v/>
      </c>
      <c r="ER124" t="str">
        <f t="shared" si="972"/>
        <v/>
      </c>
      <c r="ES124" t="str">
        <f t="shared" si="973"/>
        <v/>
      </c>
      <c r="ET124" t="str">
        <f t="shared" si="974"/>
        <v/>
      </c>
      <c r="EU124" t="str">
        <f t="shared" si="975"/>
        <v/>
      </c>
      <c r="EV124" t="str">
        <f t="shared" si="976"/>
        <v/>
      </c>
      <c r="EW124" t="str">
        <f t="shared" si="977"/>
        <v/>
      </c>
      <c r="EX124" t="str">
        <f t="shared" si="978"/>
        <v/>
      </c>
      <c r="EY124" t="str">
        <f t="shared" si="979"/>
        <v/>
      </c>
    </row>
    <row r="125" spans="1:155" ht="13.9" customHeight="1" x14ac:dyDescent="0.25">
      <c r="A125" s="7"/>
      <c r="B125" s="17"/>
      <c r="C125" s="8"/>
      <c r="D125" s="17"/>
      <c r="E125" s="8"/>
      <c r="F125" s="18">
        <v>0</v>
      </c>
      <c r="G125" s="7" t="s">
        <v>147</v>
      </c>
      <c r="H125" s="18">
        <v>0</v>
      </c>
      <c r="I125" s="19">
        <v>0</v>
      </c>
      <c r="J125" s="7" t="s">
        <v>147</v>
      </c>
      <c r="K125" s="19">
        <v>0</v>
      </c>
      <c r="L125" s="9"/>
      <c r="M125" s="3" t="str">
        <f>IF($L125="","",IF($L125="DOELPUNTENMAKERS","",IF(AND(COUNTIF(#REF!,$B125)=0,COUNTIF(#REF!,$D125)=0),"OK",IF($O125&gt;20,"LET OP: meer dan 20 items (controle onvolledig)",IF((COUNTIF($R125:$AS125,"ONZEKER")+COUNTIF($CJ125:$DK125,"ONZEKER"))&gt;0,"LET OP: scoreverloop onduidelijk (controle beperkt)",IF((IF($AT125&lt;&gt;"",$AT125&amp;", ","")&amp;IF($AU125&lt;&gt;"",$AU125&amp;", ","")&amp;IF($AV125&lt;&gt;"",$AV125&amp;", ","")&amp;IF($AW125&lt;&gt;"",$AW125&amp;", ","")&amp;IF($AX125&lt;&gt;"",$AX125&amp;", ","")&amp;IF($AY125&lt;&gt;"",$AY125&amp;", ","")&amp;IF($AZ125&lt;&gt;"",$AZ125&amp;", ","")&amp;IF($BA125&lt;&gt;"",$BA125&amp;", ","")&amp;IF($BB125&lt;&gt;"",$BB125&amp;", ","")&amp;IF($BC125&lt;&gt;"",$BC125&amp;", ","")&amp;IF($DL125&lt;&gt;"",$DL125&amp;", ","")&amp;IF($DM125&lt;&gt;"",$DM125&amp;", ","")&amp;IF($DN125&lt;&gt;"",$DN125&amp;", ","")&amp;IF($DO125&lt;&gt;"",$DO125&amp;", ","")&amp;IF($DP125&lt;&gt;"",$DP125&amp;", ","")&amp;IF($DQ125&lt;&gt;"",$DQ125&amp;", ","")&amp;IF($DR125&lt;&gt;"",$DR125&amp;", ","")&amp;IF($DS125&lt;&gt;"",$DS125&amp;", ","")&amp;IF($DT125&lt;&gt;"",$DT125&amp;", ","")&amp;IF($DU125&lt;&gt;"",$DU125&amp;", ",""))="","OK","Onbekend: "&amp;LEFT((IF($AT125&lt;&gt;"",$AT125&amp;", ","")&amp;IF($AU125&lt;&gt;"",$AU125&amp;", ","")&amp;IF($AV125&lt;&gt;"",$AV125&amp;", ","")&amp;IF($AW125&lt;&gt;"",$AW125&amp;", ","")&amp;IF($AX125&lt;&gt;"",$AX125&amp;", ","")&amp;IF($AY125&lt;&gt;"",$AY125&amp;", ","")&amp;IF($AZ125&lt;&gt;"",$AZ125&amp;", ","")&amp;IF($BA125&lt;&gt;"",$BA125&amp;", ","")&amp;IF($BB125&lt;&gt;"",$BB125&amp;", ","")&amp;IF($BC125&lt;&gt;"",$BC125&amp;", ","")&amp;IF($DL125&lt;&gt;"",$DL125&amp;", ","")&amp;IF($DM125&lt;&gt;"",$DM125&amp;", ","")&amp;IF($DN125&lt;&gt;"",$DN125&amp;", ","")&amp;IF($DO125&lt;&gt;"",$DO125&amp;", ","")&amp;IF($DP125&lt;&gt;"",$DP125&amp;", ","")&amp;IF($DQ125&lt;&gt;"",$DQ125&amp;", ","")&amp;IF($DR125&lt;&gt;"",$DR125&amp;", ","")&amp;IF($DS125&lt;&gt;"",$DS125&amp;", ","")&amp;IF($DT125&lt;&gt;"",$DT125&amp;", ","")&amp;IF($DU125&lt;&gt;"",$DU125&amp;", ","")),LEN((IF($AT125&lt;&gt;"",$AT125&amp;", ","")&amp;IF($AU125&lt;&gt;"",$AU125&amp;", ","")&amp;IF($AV125&lt;&gt;"",$AV125&amp;", ","")&amp;IF($AW125&lt;&gt;"",$AW125&amp;", ","")&amp;IF($AX125&lt;&gt;"",$AX125&amp;", ","")&amp;IF($AY125&lt;&gt;"",$AY125&amp;", ","")&amp;IF($AZ125&lt;&gt;"",$AZ125&amp;", ","")&amp;IF($BA125&lt;&gt;"",$BA125&amp;", ","")&amp;IF($BB125&lt;&gt;"",$BB125&amp;", ","")&amp;IF($BC125&lt;&gt;"",$BC125&amp;", ","")&amp;IF($DL125&lt;&gt;"",$DL125&amp;", ","")&amp;IF($DM125&lt;&gt;"",$DM125&amp;", ","")&amp;IF($DN125&lt;&gt;"",$DN125&amp;", ","")&amp;IF($DO125&lt;&gt;"",$DO125&amp;", ","")&amp;IF($DP125&lt;&gt;"",$DP125&amp;", ","")&amp;IF($DQ125&lt;&gt;"",$DQ125&amp;", ","")&amp;IF($DR125&lt;&gt;"",$DR125&amp;", ","")&amp;IF($DS125&lt;&gt;"",$DS125&amp;", ","")&amp;IF($DT125&lt;&gt;"",$DT125&amp;", ","")&amp;IF($DU125&lt;&gt;"",$DU125&amp;", ","")))-2)))))))</f>
        <v/>
      </c>
      <c r="N125" t="str">
        <f t="shared" si="888"/>
        <v/>
      </c>
      <c r="O125" t="str">
        <f t="shared" si="889"/>
        <v/>
      </c>
      <c r="P125" t="str">
        <f t="shared" si="890"/>
        <v/>
      </c>
      <c r="Q125" t="str">
        <f t="shared" si="891"/>
        <v/>
      </c>
      <c r="R125" t="str">
        <f>IF($Q125="","",IF(OR($BE125="",$BF125=""),"ONZEKER",IF(AND($BE125=0+1,$BF125=0),IF(OR(COUNTIF(#REF!,$B125)&gt;0,COUNTIF(#REF!,$B125)=0),"SKIP",IF(COUNTIFS(#REF!,$B125,#REF!,$Q125)&gt;0,"OK","ONBEKEND")),IF(AND($BE125=0,$BF125=0+1),IF(OR(COUNTIF(#REF!,$D125)&gt;0,COUNTIF(#REF!,$D125)=0),"SKIP",IF(COUNTIFS(#REF!,$D125,#REF!,$Q125)&gt;0,"OK","ONBEKEND")),"ONZEKER"))))</f>
        <v/>
      </c>
      <c r="S125" t="str">
        <f t="shared" si="892"/>
        <v/>
      </c>
      <c r="T125" t="str">
        <f t="shared" si="893"/>
        <v/>
      </c>
      <c r="U125" t="str">
        <f>IF($T125="","",IF(OR($BH125="",$BI125=""),"ONZEKER",IF(OR($BE125="",$BF125=""),"ONZEKER",IF(AND($BH125=$BE125+1,$BI125=$BF125),IF(OR(COUNTIF(#REF!,$B125)&gt;0,COUNTIF(#REF!,$B125)=0),"SKIP",IF(COUNTIFS(#REF!,$B125,#REF!,$T125)&gt;0,"OK","ONBEKEND")),IF(AND($BH125=$BE125,$BI125=$BF125+1),IF(OR(COUNTIF(#REF!,$D125)&gt;0,COUNTIF(#REF!,$D125)=0),"SKIP",IF(COUNTIFS(#REF!,$D125,#REF!,$T125)&gt;0,"OK","ONBEKEND")),"ONZEKER")))))</f>
        <v/>
      </c>
      <c r="V125" t="str">
        <f t="shared" si="894"/>
        <v/>
      </c>
      <c r="W125" t="str">
        <f t="shared" si="895"/>
        <v/>
      </c>
      <c r="X125" t="str">
        <f>IF($W125="","",IF(OR($BK125="",$BL125=""),"ONZEKER",IF(OR($BH125="",$BI125=""),"ONZEKER",IF(AND($BK125=$BH125+1,$BL125=$BI125),IF(OR(COUNTIF(#REF!,$B125)&gt;0,COUNTIF(#REF!,$B125)=0),"SKIP",IF(COUNTIFS(#REF!,$B125,#REF!,$W125)&gt;0,"OK","ONBEKEND")),IF(AND($BK125=$BH125,$BL125=$BI125+1),IF(OR(COUNTIF(#REF!,$D125)&gt;0,COUNTIF(#REF!,$D125)=0),"SKIP",IF(COUNTIFS(#REF!,$D125,#REF!,$W125)&gt;0,"OK","ONBEKEND")),"ONZEKER")))))</f>
        <v/>
      </c>
      <c r="Y125" t="str">
        <f t="shared" si="896"/>
        <v/>
      </c>
      <c r="Z125" t="str">
        <f t="shared" si="897"/>
        <v/>
      </c>
      <c r="AA125" t="str">
        <f>IF($Z125="","",IF(OR($BN125="",$BO125=""),"ONZEKER",IF(OR($BK125="",$BL125=""),"ONZEKER",IF(AND($BN125=$BK125+1,$BO125=$BL125),IF(OR(COUNTIF(#REF!,$B125)&gt;0,COUNTIF(#REF!,$B125)=0),"SKIP",IF(COUNTIFS(#REF!,$B125,#REF!,$Z125)&gt;0,"OK","ONBEKEND")),IF(AND($BN125=$BK125,$BO125=$BL125+1),IF(OR(COUNTIF(#REF!,$D125)&gt;0,COUNTIF(#REF!,$D125)=0),"SKIP",IF(COUNTIFS(#REF!,$D125,#REF!,$Z125)&gt;0,"OK","ONBEKEND")),"ONZEKER")))))</f>
        <v/>
      </c>
      <c r="AB125" t="str">
        <f t="shared" si="898"/>
        <v/>
      </c>
      <c r="AC125" t="str">
        <f t="shared" si="899"/>
        <v/>
      </c>
      <c r="AD125" t="str">
        <f>IF($AC125="","",IF(OR($BQ125="",$BR125=""),"ONZEKER",IF(OR($BN125="",$BO125=""),"ONZEKER",IF(AND($BQ125=$BN125+1,$BR125=$BO125),IF(OR(COUNTIF(#REF!,$B125)&gt;0,COUNTIF(#REF!,$B125)=0),"SKIP",IF(COUNTIFS(#REF!,$B125,#REF!,$AC125)&gt;0,"OK","ONBEKEND")),IF(AND($BQ125=$BN125,$BR125=$BO125+1),IF(OR(COUNTIF(#REF!,$D125)&gt;0,COUNTIF(#REF!,$D125)=0),"SKIP",IF(COUNTIFS(#REF!,$D125,#REF!,$AC125)&gt;0,"OK","ONBEKEND")),"ONZEKER")))))</f>
        <v/>
      </c>
      <c r="AE125" t="str">
        <f t="shared" si="900"/>
        <v/>
      </c>
      <c r="AF125" t="str">
        <f t="shared" si="901"/>
        <v/>
      </c>
      <c r="AG125" t="str">
        <f>IF($AF125="","",IF(OR($BT125="",$BU125=""),"ONZEKER",IF(OR($BQ125="",$BR125=""),"ONZEKER",IF(AND($BT125=$BQ125+1,$BU125=$BR125),IF(OR(COUNTIF(#REF!,$B125)&gt;0,COUNTIF(#REF!,$B125)=0),"SKIP",IF(COUNTIFS(#REF!,$B125,#REF!,$AF125)&gt;0,"OK","ONBEKEND")),IF(AND($BT125=$BQ125,$BU125=$BR125+1),IF(OR(COUNTIF(#REF!,$D125)&gt;0,COUNTIF(#REF!,$D125)=0),"SKIP",IF(COUNTIFS(#REF!,$D125,#REF!,$AF125)&gt;0,"OK","ONBEKEND")),"ONZEKER")))))</f>
        <v/>
      </c>
      <c r="AH125" t="str">
        <f t="shared" si="902"/>
        <v/>
      </c>
      <c r="AI125" t="str">
        <f t="shared" si="903"/>
        <v/>
      </c>
      <c r="AJ125" t="str">
        <f>IF($AI125="","",IF(OR($BW125="",$BX125=""),"ONZEKER",IF(OR($BT125="",$BU125=""),"ONZEKER",IF(AND($BW125=$BT125+1,$BX125=$BU125),IF(OR(COUNTIF(#REF!,$B125)&gt;0,COUNTIF(#REF!,$B125)=0),"SKIP",IF(COUNTIFS(#REF!,$B125,#REF!,$AI125)&gt;0,"OK","ONBEKEND")),IF(AND($BW125=$BT125,$BX125=$BU125+1),IF(OR(COUNTIF(#REF!,$D125)&gt;0,COUNTIF(#REF!,$D125)=0),"SKIP",IF(COUNTIFS(#REF!,$D125,#REF!,$AI125)&gt;0,"OK","ONBEKEND")),"ONZEKER")))))</f>
        <v/>
      </c>
      <c r="AK125" t="str">
        <f t="shared" si="904"/>
        <v/>
      </c>
      <c r="AL125" t="str">
        <f t="shared" si="905"/>
        <v/>
      </c>
      <c r="AM125" t="str">
        <f>IF($AL125="","",IF(OR($BZ125="",$CA125=""),"ONZEKER",IF(OR($BW125="",$BX125=""),"ONZEKER",IF(AND($BZ125=$BW125+1,$CA125=$BX125),IF(OR(COUNTIF(#REF!,$B125)&gt;0,COUNTIF(#REF!,$B125)=0),"SKIP",IF(COUNTIFS(#REF!,$B125,#REF!,$AL125)&gt;0,"OK","ONBEKEND")),IF(AND($BZ125=$BW125,$CA125=$BX125+1),IF(OR(COUNTIF(#REF!,$D125)&gt;0,COUNTIF(#REF!,$D125)=0),"SKIP",IF(COUNTIFS(#REF!,$D125,#REF!,$AL125)&gt;0,"OK","ONBEKEND")),"ONZEKER")))))</f>
        <v/>
      </c>
      <c r="AN125" t="str">
        <f t="shared" si="906"/>
        <v/>
      </c>
      <c r="AO125" t="str">
        <f t="shared" si="907"/>
        <v/>
      </c>
      <c r="AP125" t="str">
        <f>IF($AO125="","",IF(OR($CC125="",$CD125=""),"ONZEKER",IF(OR($BZ125="",$CA125=""),"ONZEKER",IF(AND($CC125=$BZ125+1,$CD125=$CA125),IF(OR(COUNTIF(#REF!,$B125)&gt;0,COUNTIF(#REF!,$B125)=0),"SKIP",IF(COUNTIFS(#REF!,$B125,#REF!,$AO125)&gt;0,"OK","ONBEKEND")),IF(AND($CC125=$BZ125,$CD125=$CA125+1),IF(OR(COUNTIF(#REF!,$D125)&gt;0,COUNTIF(#REF!,$D125)=0),"SKIP",IF(COUNTIFS(#REF!,$D125,#REF!,$AO125)&gt;0,"OK","ONBEKEND")),"ONZEKER")))))</f>
        <v/>
      </c>
      <c r="AQ125" t="str">
        <f t="shared" si="908"/>
        <v/>
      </c>
      <c r="AR125" t="str">
        <f t="shared" si="909"/>
        <v/>
      </c>
      <c r="AS125" t="str">
        <f>IF($AR125="","",IF(OR($CF125="",$CG125=""),"ONZEKER",IF(OR($CC125="",$CD125=""),"ONZEKER",IF(AND($CF125=$CC125+1,$CG125=$CD125),IF(OR(COUNTIF(#REF!,$B125)&gt;0,COUNTIF(#REF!,$B125)=0),"SKIP",IF(COUNTIFS(#REF!,$B125,#REF!,$AR125)&gt;0,"OK","ONBEKEND")),IF(AND($CF125=$CC125,$CG125=$CD125+1),IF(OR(COUNTIF(#REF!,$D125)&gt;0,COUNTIF(#REF!,$D125)=0),"SKIP",IF(COUNTIFS(#REF!,$D125,#REF!,$AR125)&gt;0,"OK","ONBEKEND")),"ONZEKER")))))</f>
        <v/>
      </c>
      <c r="AT125" t="str">
        <f t="shared" si="910"/>
        <v/>
      </c>
      <c r="AU125" t="str">
        <f t="shared" si="911"/>
        <v/>
      </c>
      <c r="AV125" t="str">
        <f t="shared" si="912"/>
        <v/>
      </c>
      <c r="AW125" t="str">
        <f t="shared" si="913"/>
        <v/>
      </c>
      <c r="AX125" t="str">
        <f t="shared" si="914"/>
        <v/>
      </c>
      <c r="AY125" t="str">
        <f t="shared" si="915"/>
        <v/>
      </c>
      <c r="AZ125" t="str">
        <f t="shared" si="916"/>
        <v/>
      </c>
      <c r="BA125" t="str">
        <f t="shared" si="917"/>
        <v/>
      </c>
      <c r="BB125" t="str">
        <f t="shared" si="918"/>
        <v/>
      </c>
      <c r="BC125" t="str">
        <f t="shared" si="919"/>
        <v/>
      </c>
      <c r="BD125" t="str">
        <f t="shared" si="490"/>
        <v/>
      </c>
      <c r="BE125" t="str">
        <f t="shared" si="491"/>
        <v/>
      </c>
      <c r="BF125" t="str">
        <f t="shared" si="492"/>
        <v/>
      </c>
      <c r="BG125" t="str">
        <f t="shared" si="493"/>
        <v/>
      </c>
      <c r="BH125" t="str">
        <f t="shared" si="494"/>
        <v/>
      </c>
      <c r="BI125" t="str">
        <f t="shared" si="495"/>
        <v/>
      </c>
      <c r="BJ125" t="str">
        <f t="shared" si="496"/>
        <v/>
      </c>
      <c r="BK125" t="str">
        <f t="shared" si="497"/>
        <v/>
      </c>
      <c r="BL125" t="str">
        <f t="shared" si="498"/>
        <v/>
      </c>
      <c r="BM125" t="str">
        <f t="shared" si="499"/>
        <v/>
      </c>
      <c r="BN125" t="str">
        <f t="shared" si="500"/>
        <v/>
      </c>
      <c r="BO125" t="str">
        <f t="shared" si="501"/>
        <v/>
      </c>
      <c r="BP125" t="str">
        <f t="shared" si="502"/>
        <v/>
      </c>
      <c r="BQ125" t="str">
        <f t="shared" si="503"/>
        <v/>
      </c>
      <c r="BR125" t="str">
        <f t="shared" si="504"/>
        <v/>
      </c>
      <c r="BS125" t="str">
        <f t="shared" si="505"/>
        <v/>
      </c>
      <c r="BT125" t="str">
        <f t="shared" si="506"/>
        <v/>
      </c>
      <c r="BU125" t="str">
        <f t="shared" si="507"/>
        <v/>
      </c>
      <c r="BV125" t="str">
        <f t="shared" si="508"/>
        <v/>
      </c>
      <c r="BW125" t="str">
        <f t="shared" si="509"/>
        <v/>
      </c>
      <c r="BX125" t="str">
        <f t="shared" si="510"/>
        <v/>
      </c>
      <c r="BY125" t="str">
        <f t="shared" si="511"/>
        <v/>
      </c>
      <c r="BZ125" t="str">
        <f t="shared" si="512"/>
        <v/>
      </c>
      <c r="CA125" t="str">
        <f t="shared" si="513"/>
        <v/>
      </c>
      <c r="CB125" t="str">
        <f t="shared" si="514"/>
        <v/>
      </c>
      <c r="CC125" t="str">
        <f t="shared" si="515"/>
        <v/>
      </c>
      <c r="CD125" t="str">
        <f t="shared" si="516"/>
        <v/>
      </c>
      <c r="CE125" t="str">
        <f t="shared" si="517"/>
        <v/>
      </c>
      <c r="CF125" t="str">
        <f t="shared" si="518"/>
        <v/>
      </c>
      <c r="CG125" t="str">
        <f t="shared" si="519"/>
        <v/>
      </c>
      <c r="CH125" t="str">
        <f t="shared" si="920"/>
        <v/>
      </c>
      <c r="CI125" t="str">
        <f t="shared" si="921"/>
        <v/>
      </c>
      <c r="CJ125" t="str">
        <f>IF($CI125="","",IF(OR($DW125="",$DX125=""),"ONZEKER",IF(OR($CF125="",$CG125=""),"ONZEKER",IF(AND($DW125=$CF125+1,$DX125=$CG125),IF(OR(COUNTIF(#REF!,$B125)&gt;0,COUNTIF(#REF!,$B125)=0),"SKIP",IF(COUNTIFS(#REF!,$B125,#REF!,$CI125)&gt;0,"OK","ONBEKEND")),IF(AND($DW125=$CF125,$DX125=$CG125+1),IF(OR(COUNTIF(#REF!,$D125)&gt;0,COUNTIF(#REF!,$D125)=0),"SKIP",IF(COUNTIFS(#REF!,$D125,#REF!,$CI125)&gt;0,"OK","ONBEKEND")),"ONZEKER")))))</f>
        <v/>
      </c>
      <c r="CK125" t="str">
        <f t="shared" si="922"/>
        <v/>
      </c>
      <c r="CL125" t="str">
        <f t="shared" si="923"/>
        <v/>
      </c>
      <c r="CM125" t="str">
        <f>IF($CL125="","",IF(OR($DZ125="",$EA125=""),"ONZEKER",IF(OR($DW125="",$DX125=""),"ONZEKER",IF(AND($DZ125=$DW125+1,$EA125=$DX125),IF(OR(COUNTIF(#REF!,$B125)&gt;0,COUNTIF(#REF!,$B125)=0),"SKIP",IF(COUNTIFS(#REF!,$B125,#REF!,$CL125)&gt;0,"OK","ONBEKEND")),IF(AND($DZ125=$DW125,$EA125=$DX125+1),IF(OR(COUNTIF(#REF!,$D125)&gt;0,COUNTIF(#REF!,$D125)=0),"SKIP",IF(COUNTIFS(#REF!,$D125,#REF!,$CL125)&gt;0,"OK","ONBEKEND")),"ONZEKER")))))</f>
        <v/>
      </c>
      <c r="CN125" t="str">
        <f t="shared" si="924"/>
        <v/>
      </c>
      <c r="CO125" t="str">
        <f t="shared" si="925"/>
        <v/>
      </c>
      <c r="CP125" t="str">
        <f>IF($CO125="","",IF(OR($EC125="",$ED125=""),"ONZEKER",IF(OR($DZ125="",$EA125=""),"ONZEKER",IF(AND($EC125=$DZ125+1,$ED125=$EA125),IF(OR(COUNTIF(#REF!,$B125)&gt;0,COUNTIF(#REF!,$B125)=0),"SKIP",IF(COUNTIFS(#REF!,$B125,#REF!,$CO125)&gt;0,"OK","ONBEKEND")),IF(AND($EC125=$DZ125,$ED125=$EA125+1),IF(OR(COUNTIF(#REF!,$D125)&gt;0,COUNTIF(#REF!,$D125)=0),"SKIP",IF(COUNTIFS(#REF!,$D125,#REF!,$CO125)&gt;0,"OK","ONBEKEND")),"ONZEKER")))))</f>
        <v/>
      </c>
      <c r="CQ125" t="str">
        <f t="shared" si="926"/>
        <v/>
      </c>
      <c r="CR125" t="str">
        <f t="shared" si="927"/>
        <v/>
      </c>
      <c r="CS125" t="str">
        <f>IF($CR125="","",IF(OR($EF125="",$EG125=""),"ONZEKER",IF(OR($EC125="",$ED125=""),"ONZEKER",IF(AND($EF125=$EC125+1,$EG125=$ED125),IF(OR(COUNTIF(#REF!,$B125)&gt;0,COUNTIF(#REF!,$B125)=0),"SKIP",IF(COUNTIFS(#REF!,$B125,#REF!,$CR125)&gt;0,"OK","ONBEKEND")),IF(AND($EF125=$EC125,$EG125=$ED125+1),IF(OR(COUNTIF(#REF!,$D125)&gt;0,COUNTIF(#REF!,$D125)=0),"SKIP",IF(COUNTIFS(#REF!,$D125,#REF!,$CR125)&gt;0,"OK","ONBEKEND")),"ONZEKER")))))</f>
        <v/>
      </c>
      <c r="CT125" t="str">
        <f t="shared" si="928"/>
        <v/>
      </c>
      <c r="CU125" t="str">
        <f t="shared" si="929"/>
        <v/>
      </c>
      <c r="CV125" t="str">
        <f>IF($CU125="","",IF(OR($EI125="",$EJ125=""),"ONZEKER",IF(OR($EF125="",$EG125=""),"ONZEKER",IF(AND($EI125=$EF125+1,$EJ125=$EG125),IF(OR(COUNTIF(#REF!,$B125)&gt;0,COUNTIF(#REF!,$B125)=0),"SKIP",IF(COUNTIFS(#REF!,$B125,#REF!,$CU125)&gt;0,"OK","ONBEKEND")),IF(AND($EI125=$EF125,$EJ125=$EG125+1),IF(OR(COUNTIF(#REF!,$D125)&gt;0,COUNTIF(#REF!,$D125)=0),"SKIP",IF(COUNTIFS(#REF!,$D125,#REF!,$CU125)&gt;0,"OK","ONBEKEND")),"ONZEKER")))))</f>
        <v/>
      </c>
      <c r="CW125" t="str">
        <f t="shared" si="930"/>
        <v/>
      </c>
      <c r="CX125" t="str">
        <f t="shared" si="931"/>
        <v/>
      </c>
      <c r="CY125" t="str">
        <f>IF($CX125="","",IF(OR($EL125="",$EM125=""),"ONZEKER",IF(OR($EI125="",$EJ125=""),"ONZEKER",IF(AND($EL125=$EI125+1,$EM125=$EJ125),IF(OR(COUNTIF(#REF!,$B125)&gt;0,COUNTIF(#REF!,$B125)=0),"SKIP",IF(COUNTIFS(#REF!,$B125,#REF!,$CX125)&gt;0,"OK","ONBEKEND")),IF(AND($EL125=$EI125,$EM125=$EJ125+1),IF(OR(COUNTIF(#REF!,$D125)&gt;0,COUNTIF(#REF!,$D125)=0),"SKIP",IF(COUNTIFS(#REF!,$D125,#REF!,$CX125)&gt;0,"OK","ONBEKEND")),"ONZEKER")))))</f>
        <v/>
      </c>
      <c r="CZ125" t="str">
        <f t="shared" si="932"/>
        <v/>
      </c>
      <c r="DA125" t="str">
        <f t="shared" si="933"/>
        <v/>
      </c>
      <c r="DB125" t="str">
        <f>IF($DA125="","",IF(OR($EO125="",$EP125=""),"ONZEKER",IF(OR($EL125="",$EM125=""),"ONZEKER",IF(AND($EO125=$EL125+1,$EP125=$EM125),IF(OR(COUNTIF(#REF!,$B125)&gt;0,COUNTIF(#REF!,$B125)=0),"SKIP",IF(COUNTIFS(#REF!,$B125,#REF!,$DA125)&gt;0,"OK","ONBEKEND")),IF(AND($EO125=$EL125,$EP125=$EM125+1),IF(OR(COUNTIF(#REF!,$D125)&gt;0,COUNTIF(#REF!,$D125)=0),"SKIP",IF(COUNTIFS(#REF!,$D125,#REF!,$DA125)&gt;0,"OK","ONBEKEND")),"ONZEKER")))))</f>
        <v/>
      </c>
      <c r="DC125" t="str">
        <f t="shared" si="934"/>
        <v/>
      </c>
      <c r="DD125" t="str">
        <f t="shared" si="935"/>
        <v/>
      </c>
      <c r="DE125" t="str">
        <f>IF($DD125="","",IF(OR($ER125="",$ES125=""),"ONZEKER",IF(OR($EO125="",$EP125=""),"ONZEKER",IF(AND($ER125=$EO125+1,$ES125=$EP125),IF(OR(COUNTIF(#REF!,$B125)&gt;0,COUNTIF(#REF!,$B125)=0),"SKIP",IF(COUNTIFS(#REF!,$B125,#REF!,$DD125)&gt;0,"OK","ONBEKEND")),IF(AND($ER125=$EO125,$ES125=$EP125+1),IF(OR(COUNTIF(#REF!,$D125)&gt;0,COUNTIF(#REF!,$D125)=0),"SKIP",IF(COUNTIFS(#REF!,$D125,#REF!,$DD125)&gt;0,"OK","ONBEKEND")),"ONZEKER")))))</f>
        <v/>
      </c>
      <c r="DF125" t="str">
        <f t="shared" si="936"/>
        <v/>
      </c>
      <c r="DG125" t="str">
        <f t="shared" si="937"/>
        <v/>
      </c>
      <c r="DH125" t="str">
        <f>IF($DG125="","",IF(OR($EU125="",$EV125=""),"ONZEKER",IF(OR($ER125="",$ES125=""),"ONZEKER",IF(AND($EU125=$ER125+1,$EV125=$ES125),IF(OR(COUNTIF(#REF!,$B125)&gt;0,COUNTIF(#REF!,$B125)=0),"SKIP",IF(COUNTIFS(#REF!,$B125,#REF!,$DG125)&gt;0,"OK","ONBEKEND")),IF(AND($EU125=$ER125,$EV125=$ES125+1),IF(OR(COUNTIF(#REF!,$D125)&gt;0,COUNTIF(#REF!,$D125)=0),"SKIP",IF(COUNTIFS(#REF!,$D125,#REF!,$DG125)&gt;0,"OK","ONBEKEND")),"ONZEKER")))))</f>
        <v/>
      </c>
      <c r="DI125" t="str">
        <f t="shared" si="938"/>
        <v/>
      </c>
      <c r="DJ125" t="str">
        <f t="shared" si="939"/>
        <v/>
      </c>
      <c r="DK125" t="str">
        <f>IF($DJ125="","",IF(OR($EX125="",$EY125=""),"ONZEKER",IF(OR($EU125="",$EV125=""),"ONZEKER",IF(AND($EX125=$EU125+1,$EY125=$EV125),IF(OR(COUNTIF(#REF!,$B125)&gt;0,COUNTIF(#REF!,$B125)=0),"SKIP",IF(COUNTIFS(#REF!,$B125,#REF!,$DJ125)&gt;0,"OK","ONBEKEND")),IF(AND($EX125=$EU125,$EY125=$EV125+1),IF(OR(COUNTIF(#REF!,$D125)&gt;0,COUNTIF(#REF!,$D125)=0),"SKIP",IF(COUNTIFS(#REF!,$D125,#REF!,$DJ125)&gt;0,"OK","ONBEKEND")),"ONZEKER")))))</f>
        <v/>
      </c>
      <c r="DL125" t="str">
        <f t="shared" si="940"/>
        <v/>
      </c>
      <c r="DM125" t="str">
        <f t="shared" si="941"/>
        <v/>
      </c>
      <c r="DN125" t="str">
        <f t="shared" si="942"/>
        <v/>
      </c>
      <c r="DO125" t="str">
        <f t="shared" si="943"/>
        <v/>
      </c>
      <c r="DP125" t="str">
        <f t="shared" si="944"/>
        <v/>
      </c>
      <c r="DQ125" t="str">
        <f t="shared" si="945"/>
        <v/>
      </c>
      <c r="DR125" t="str">
        <f t="shared" si="946"/>
        <v/>
      </c>
      <c r="DS125" t="str">
        <f t="shared" si="947"/>
        <v/>
      </c>
      <c r="DT125" t="str">
        <f t="shared" si="948"/>
        <v/>
      </c>
      <c r="DU125" t="str">
        <f t="shared" si="949"/>
        <v/>
      </c>
      <c r="DV125" t="str">
        <f t="shared" si="950"/>
        <v/>
      </c>
      <c r="DW125" t="str">
        <f t="shared" si="951"/>
        <v/>
      </c>
      <c r="DX125" t="str">
        <f t="shared" si="952"/>
        <v/>
      </c>
      <c r="DY125" t="str">
        <f t="shared" si="953"/>
        <v/>
      </c>
      <c r="DZ125" t="str">
        <f t="shared" si="954"/>
        <v/>
      </c>
      <c r="EA125" t="str">
        <f t="shared" si="955"/>
        <v/>
      </c>
      <c r="EB125" t="str">
        <f t="shared" si="956"/>
        <v/>
      </c>
      <c r="EC125" t="str">
        <f t="shared" si="957"/>
        <v/>
      </c>
      <c r="ED125" t="str">
        <f t="shared" si="958"/>
        <v/>
      </c>
      <c r="EE125" t="str">
        <f t="shared" si="959"/>
        <v/>
      </c>
      <c r="EF125" t="str">
        <f t="shared" si="960"/>
        <v/>
      </c>
      <c r="EG125" t="str">
        <f t="shared" si="961"/>
        <v/>
      </c>
      <c r="EH125" t="str">
        <f t="shared" si="962"/>
        <v/>
      </c>
      <c r="EI125" t="str">
        <f t="shared" si="963"/>
        <v/>
      </c>
      <c r="EJ125" t="str">
        <f t="shared" si="964"/>
        <v/>
      </c>
      <c r="EK125" t="str">
        <f t="shared" si="965"/>
        <v/>
      </c>
      <c r="EL125" t="str">
        <f t="shared" si="966"/>
        <v/>
      </c>
      <c r="EM125" t="str">
        <f t="shared" si="967"/>
        <v/>
      </c>
      <c r="EN125" t="str">
        <f t="shared" si="968"/>
        <v/>
      </c>
      <c r="EO125" t="str">
        <f t="shared" si="969"/>
        <v/>
      </c>
      <c r="EP125" t="str">
        <f t="shared" si="970"/>
        <v/>
      </c>
      <c r="EQ125" t="str">
        <f t="shared" si="971"/>
        <v/>
      </c>
      <c r="ER125" t="str">
        <f t="shared" si="972"/>
        <v/>
      </c>
      <c r="ES125" t="str">
        <f t="shared" si="973"/>
        <v/>
      </c>
      <c r="ET125" t="str">
        <f t="shared" si="974"/>
        <v/>
      </c>
      <c r="EU125" t="str">
        <f t="shared" si="975"/>
        <v/>
      </c>
      <c r="EV125" t="str">
        <f t="shared" si="976"/>
        <v/>
      </c>
      <c r="EW125" t="str">
        <f t="shared" si="977"/>
        <v/>
      </c>
      <c r="EX125" t="str">
        <f t="shared" si="978"/>
        <v/>
      </c>
      <c r="EY125" t="str">
        <f t="shared" si="979"/>
        <v/>
      </c>
    </row>
    <row r="126" spans="1:155" ht="13.9" customHeight="1" x14ac:dyDescent="0.25">
      <c r="A126" s="7"/>
      <c r="B126" s="17"/>
      <c r="C126" s="8"/>
      <c r="D126" s="17"/>
      <c r="E126" s="8"/>
      <c r="F126" s="18">
        <v>0</v>
      </c>
      <c r="G126" s="7" t="s">
        <v>147</v>
      </c>
      <c r="H126" s="18">
        <v>0</v>
      </c>
      <c r="I126" s="19">
        <v>0</v>
      </c>
      <c r="J126" s="7" t="s">
        <v>147</v>
      </c>
      <c r="K126" s="19">
        <v>0</v>
      </c>
      <c r="L126" s="9"/>
      <c r="M126" s="3" t="str">
        <f>IF($L126="","",IF($L126="DOELPUNTENMAKERS","",IF(AND(COUNTIF(#REF!,$B126)=0,COUNTIF(#REF!,$D126)=0),"OK",IF($O126&gt;20,"LET OP: meer dan 20 items (controle onvolledig)",IF((COUNTIF($R126:$AS126,"ONZEKER")+COUNTIF($CJ126:$DK126,"ONZEKER"))&gt;0,"LET OP: scoreverloop onduidelijk (controle beperkt)",IF((IF($AT126&lt;&gt;"",$AT126&amp;", ","")&amp;IF($AU126&lt;&gt;"",$AU126&amp;", ","")&amp;IF($AV126&lt;&gt;"",$AV126&amp;", ","")&amp;IF($AW126&lt;&gt;"",$AW126&amp;", ","")&amp;IF($AX126&lt;&gt;"",$AX126&amp;", ","")&amp;IF($AY126&lt;&gt;"",$AY126&amp;", ","")&amp;IF($AZ126&lt;&gt;"",$AZ126&amp;", ","")&amp;IF($BA126&lt;&gt;"",$BA126&amp;", ","")&amp;IF($BB126&lt;&gt;"",$BB126&amp;", ","")&amp;IF($BC126&lt;&gt;"",$BC126&amp;", ","")&amp;IF($DL126&lt;&gt;"",$DL126&amp;", ","")&amp;IF($DM126&lt;&gt;"",$DM126&amp;", ","")&amp;IF($DN126&lt;&gt;"",$DN126&amp;", ","")&amp;IF($DO126&lt;&gt;"",$DO126&amp;", ","")&amp;IF($DP126&lt;&gt;"",$DP126&amp;", ","")&amp;IF($DQ126&lt;&gt;"",$DQ126&amp;", ","")&amp;IF($DR126&lt;&gt;"",$DR126&amp;", ","")&amp;IF($DS126&lt;&gt;"",$DS126&amp;", ","")&amp;IF($DT126&lt;&gt;"",$DT126&amp;", ","")&amp;IF($DU126&lt;&gt;"",$DU126&amp;", ",""))="","OK","Onbekend: "&amp;LEFT((IF($AT126&lt;&gt;"",$AT126&amp;", ","")&amp;IF($AU126&lt;&gt;"",$AU126&amp;", ","")&amp;IF($AV126&lt;&gt;"",$AV126&amp;", ","")&amp;IF($AW126&lt;&gt;"",$AW126&amp;", ","")&amp;IF($AX126&lt;&gt;"",$AX126&amp;", ","")&amp;IF($AY126&lt;&gt;"",$AY126&amp;", ","")&amp;IF($AZ126&lt;&gt;"",$AZ126&amp;", ","")&amp;IF($BA126&lt;&gt;"",$BA126&amp;", ","")&amp;IF($BB126&lt;&gt;"",$BB126&amp;", ","")&amp;IF($BC126&lt;&gt;"",$BC126&amp;", ","")&amp;IF($DL126&lt;&gt;"",$DL126&amp;", ","")&amp;IF($DM126&lt;&gt;"",$DM126&amp;", ","")&amp;IF($DN126&lt;&gt;"",$DN126&amp;", ","")&amp;IF($DO126&lt;&gt;"",$DO126&amp;", ","")&amp;IF($DP126&lt;&gt;"",$DP126&amp;", ","")&amp;IF($DQ126&lt;&gt;"",$DQ126&amp;", ","")&amp;IF($DR126&lt;&gt;"",$DR126&amp;", ","")&amp;IF($DS126&lt;&gt;"",$DS126&amp;", ","")&amp;IF($DT126&lt;&gt;"",$DT126&amp;", ","")&amp;IF($DU126&lt;&gt;"",$DU126&amp;", ","")),LEN((IF($AT126&lt;&gt;"",$AT126&amp;", ","")&amp;IF($AU126&lt;&gt;"",$AU126&amp;", ","")&amp;IF($AV126&lt;&gt;"",$AV126&amp;", ","")&amp;IF($AW126&lt;&gt;"",$AW126&amp;", ","")&amp;IF($AX126&lt;&gt;"",$AX126&amp;", ","")&amp;IF($AY126&lt;&gt;"",$AY126&amp;", ","")&amp;IF($AZ126&lt;&gt;"",$AZ126&amp;", ","")&amp;IF($BA126&lt;&gt;"",$BA126&amp;", ","")&amp;IF($BB126&lt;&gt;"",$BB126&amp;", ","")&amp;IF($BC126&lt;&gt;"",$BC126&amp;", ","")&amp;IF($DL126&lt;&gt;"",$DL126&amp;", ","")&amp;IF($DM126&lt;&gt;"",$DM126&amp;", ","")&amp;IF($DN126&lt;&gt;"",$DN126&amp;", ","")&amp;IF($DO126&lt;&gt;"",$DO126&amp;", ","")&amp;IF($DP126&lt;&gt;"",$DP126&amp;", ","")&amp;IF($DQ126&lt;&gt;"",$DQ126&amp;", ","")&amp;IF($DR126&lt;&gt;"",$DR126&amp;", ","")&amp;IF($DS126&lt;&gt;"",$DS126&amp;", ","")&amp;IF($DT126&lt;&gt;"",$DT126&amp;", ","")&amp;IF($DU126&lt;&gt;"",$DU126&amp;", ","")))-2)))))))</f>
        <v/>
      </c>
      <c r="N126" t="str">
        <f t="shared" si="888"/>
        <v/>
      </c>
      <c r="O126" t="str">
        <f t="shared" si="889"/>
        <v/>
      </c>
      <c r="P126" t="str">
        <f t="shared" si="890"/>
        <v/>
      </c>
      <c r="Q126" t="str">
        <f t="shared" si="891"/>
        <v/>
      </c>
      <c r="R126" t="str">
        <f>IF($Q126="","",IF(OR($BE126="",$BF126=""),"ONZEKER",IF(AND($BE126=0+1,$BF126=0),IF(OR(COUNTIF(#REF!,$B126)&gt;0,COUNTIF(#REF!,$B126)=0),"SKIP",IF(COUNTIFS(#REF!,$B126,#REF!,$Q126)&gt;0,"OK","ONBEKEND")),IF(AND($BE126=0,$BF126=0+1),IF(OR(COUNTIF(#REF!,$D126)&gt;0,COUNTIF(#REF!,$D126)=0),"SKIP",IF(COUNTIFS(#REF!,$D126,#REF!,$Q126)&gt;0,"OK","ONBEKEND")),"ONZEKER"))))</f>
        <v/>
      </c>
      <c r="S126" t="str">
        <f t="shared" si="892"/>
        <v/>
      </c>
      <c r="T126" t="str">
        <f t="shared" si="893"/>
        <v/>
      </c>
      <c r="U126" t="str">
        <f>IF($T126="","",IF(OR($BH126="",$BI126=""),"ONZEKER",IF(OR($BE126="",$BF126=""),"ONZEKER",IF(AND($BH126=$BE126+1,$BI126=$BF126),IF(OR(COUNTIF(#REF!,$B126)&gt;0,COUNTIF(#REF!,$B126)=0),"SKIP",IF(COUNTIFS(#REF!,$B126,#REF!,$T126)&gt;0,"OK","ONBEKEND")),IF(AND($BH126=$BE126,$BI126=$BF126+1),IF(OR(COUNTIF(#REF!,$D126)&gt;0,COUNTIF(#REF!,$D126)=0),"SKIP",IF(COUNTIFS(#REF!,$D126,#REF!,$T126)&gt;0,"OK","ONBEKEND")),"ONZEKER")))))</f>
        <v/>
      </c>
      <c r="V126" t="str">
        <f t="shared" si="894"/>
        <v/>
      </c>
      <c r="W126" t="str">
        <f t="shared" si="895"/>
        <v/>
      </c>
      <c r="X126" t="str">
        <f>IF($W126="","",IF(OR($BK126="",$BL126=""),"ONZEKER",IF(OR($BH126="",$BI126=""),"ONZEKER",IF(AND($BK126=$BH126+1,$BL126=$BI126),IF(OR(COUNTIF(#REF!,$B126)&gt;0,COUNTIF(#REF!,$B126)=0),"SKIP",IF(COUNTIFS(#REF!,$B126,#REF!,$W126)&gt;0,"OK","ONBEKEND")),IF(AND($BK126=$BH126,$BL126=$BI126+1),IF(OR(COUNTIF(#REF!,$D126)&gt;0,COUNTIF(#REF!,$D126)=0),"SKIP",IF(COUNTIFS(#REF!,$D126,#REF!,$W126)&gt;0,"OK","ONBEKEND")),"ONZEKER")))))</f>
        <v/>
      </c>
      <c r="Y126" t="str">
        <f t="shared" si="896"/>
        <v/>
      </c>
      <c r="Z126" t="str">
        <f t="shared" si="897"/>
        <v/>
      </c>
      <c r="AA126" t="str">
        <f>IF($Z126="","",IF(OR($BN126="",$BO126=""),"ONZEKER",IF(OR($BK126="",$BL126=""),"ONZEKER",IF(AND($BN126=$BK126+1,$BO126=$BL126),IF(OR(COUNTIF(#REF!,$B126)&gt;0,COUNTIF(#REF!,$B126)=0),"SKIP",IF(COUNTIFS(#REF!,$B126,#REF!,$Z126)&gt;0,"OK","ONBEKEND")),IF(AND($BN126=$BK126,$BO126=$BL126+1),IF(OR(COUNTIF(#REF!,$D126)&gt;0,COUNTIF(#REF!,$D126)=0),"SKIP",IF(COUNTIFS(#REF!,$D126,#REF!,$Z126)&gt;0,"OK","ONBEKEND")),"ONZEKER")))))</f>
        <v/>
      </c>
      <c r="AB126" t="str">
        <f t="shared" si="898"/>
        <v/>
      </c>
      <c r="AC126" t="str">
        <f t="shared" si="899"/>
        <v/>
      </c>
      <c r="AD126" t="str">
        <f>IF($AC126="","",IF(OR($BQ126="",$BR126=""),"ONZEKER",IF(OR($BN126="",$BO126=""),"ONZEKER",IF(AND($BQ126=$BN126+1,$BR126=$BO126),IF(OR(COUNTIF(#REF!,$B126)&gt;0,COUNTIF(#REF!,$B126)=0),"SKIP",IF(COUNTIFS(#REF!,$B126,#REF!,$AC126)&gt;0,"OK","ONBEKEND")),IF(AND($BQ126=$BN126,$BR126=$BO126+1),IF(OR(COUNTIF(#REF!,$D126)&gt;0,COUNTIF(#REF!,$D126)=0),"SKIP",IF(COUNTIFS(#REF!,$D126,#REF!,$AC126)&gt;0,"OK","ONBEKEND")),"ONZEKER")))))</f>
        <v/>
      </c>
      <c r="AE126" t="str">
        <f t="shared" si="900"/>
        <v/>
      </c>
      <c r="AF126" t="str">
        <f t="shared" si="901"/>
        <v/>
      </c>
      <c r="AG126" t="str">
        <f>IF($AF126="","",IF(OR($BT126="",$BU126=""),"ONZEKER",IF(OR($BQ126="",$BR126=""),"ONZEKER",IF(AND($BT126=$BQ126+1,$BU126=$BR126),IF(OR(COUNTIF(#REF!,$B126)&gt;0,COUNTIF(#REF!,$B126)=0),"SKIP",IF(COUNTIFS(#REF!,$B126,#REF!,$AF126)&gt;0,"OK","ONBEKEND")),IF(AND($BT126=$BQ126,$BU126=$BR126+1),IF(OR(COUNTIF(#REF!,$D126)&gt;0,COUNTIF(#REF!,$D126)=0),"SKIP",IF(COUNTIFS(#REF!,$D126,#REF!,$AF126)&gt;0,"OK","ONBEKEND")),"ONZEKER")))))</f>
        <v/>
      </c>
      <c r="AH126" t="str">
        <f t="shared" si="902"/>
        <v/>
      </c>
      <c r="AI126" t="str">
        <f t="shared" si="903"/>
        <v/>
      </c>
      <c r="AJ126" t="str">
        <f>IF($AI126="","",IF(OR($BW126="",$BX126=""),"ONZEKER",IF(OR($BT126="",$BU126=""),"ONZEKER",IF(AND($BW126=$BT126+1,$BX126=$BU126),IF(OR(COUNTIF(#REF!,$B126)&gt;0,COUNTIF(#REF!,$B126)=0),"SKIP",IF(COUNTIFS(#REF!,$B126,#REF!,$AI126)&gt;0,"OK","ONBEKEND")),IF(AND($BW126=$BT126,$BX126=$BU126+1),IF(OR(COUNTIF(#REF!,$D126)&gt;0,COUNTIF(#REF!,$D126)=0),"SKIP",IF(COUNTIFS(#REF!,$D126,#REF!,$AI126)&gt;0,"OK","ONBEKEND")),"ONZEKER")))))</f>
        <v/>
      </c>
      <c r="AK126" t="str">
        <f t="shared" si="904"/>
        <v/>
      </c>
      <c r="AL126" t="str">
        <f t="shared" si="905"/>
        <v/>
      </c>
      <c r="AM126" t="str">
        <f>IF($AL126="","",IF(OR($BZ126="",$CA126=""),"ONZEKER",IF(OR($BW126="",$BX126=""),"ONZEKER",IF(AND($BZ126=$BW126+1,$CA126=$BX126),IF(OR(COUNTIF(#REF!,$B126)&gt;0,COUNTIF(#REF!,$B126)=0),"SKIP",IF(COUNTIFS(#REF!,$B126,#REF!,$AL126)&gt;0,"OK","ONBEKEND")),IF(AND($BZ126=$BW126,$CA126=$BX126+1),IF(OR(COUNTIF(#REF!,$D126)&gt;0,COUNTIF(#REF!,$D126)=0),"SKIP",IF(COUNTIFS(#REF!,$D126,#REF!,$AL126)&gt;0,"OK","ONBEKEND")),"ONZEKER")))))</f>
        <v/>
      </c>
      <c r="AN126" t="str">
        <f t="shared" si="906"/>
        <v/>
      </c>
      <c r="AO126" t="str">
        <f t="shared" si="907"/>
        <v/>
      </c>
      <c r="AP126" t="str">
        <f>IF($AO126="","",IF(OR($CC126="",$CD126=""),"ONZEKER",IF(OR($BZ126="",$CA126=""),"ONZEKER",IF(AND($CC126=$BZ126+1,$CD126=$CA126),IF(OR(COUNTIF(#REF!,$B126)&gt;0,COUNTIF(#REF!,$B126)=0),"SKIP",IF(COUNTIFS(#REF!,$B126,#REF!,$AO126)&gt;0,"OK","ONBEKEND")),IF(AND($CC126=$BZ126,$CD126=$CA126+1),IF(OR(COUNTIF(#REF!,$D126)&gt;0,COUNTIF(#REF!,$D126)=0),"SKIP",IF(COUNTIFS(#REF!,$D126,#REF!,$AO126)&gt;0,"OK","ONBEKEND")),"ONZEKER")))))</f>
        <v/>
      </c>
      <c r="AQ126" t="str">
        <f t="shared" si="908"/>
        <v/>
      </c>
      <c r="AR126" t="str">
        <f t="shared" si="909"/>
        <v/>
      </c>
      <c r="AS126" t="str">
        <f>IF($AR126="","",IF(OR($CF126="",$CG126=""),"ONZEKER",IF(OR($CC126="",$CD126=""),"ONZEKER",IF(AND($CF126=$CC126+1,$CG126=$CD126),IF(OR(COUNTIF(#REF!,$B126)&gt;0,COUNTIF(#REF!,$B126)=0),"SKIP",IF(COUNTIFS(#REF!,$B126,#REF!,$AR126)&gt;0,"OK","ONBEKEND")),IF(AND($CF126=$CC126,$CG126=$CD126+1),IF(OR(COUNTIF(#REF!,$D126)&gt;0,COUNTIF(#REF!,$D126)=0),"SKIP",IF(COUNTIFS(#REF!,$D126,#REF!,$AR126)&gt;0,"OK","ONBEKEND")),"ONZEKER")))))</f>
        <v/>
      </c>
      <c r="AT126" t="str">
        <f t="shared" si="910"/>
        <v/>
      </c>
      <c r="AU126" t="str">
        <f t="shared" si="911"/>
        <v/>
      </c>
      <c r="AV126" t="str">
        <f t="shared" si="912"/>
        <v/>
      </c>
      <c r="AW126" t="str">
        <f t="shared" si="913"/>
        <v/>
      </c>
      <c r="AX126" t="str">
        <f t="shared" si="914"/>
        <v/>
      </c>
      <c r="AY126" t="str">
        <f t="shared" si="915"/>
        <v/>
      </c>
      <c r="AZ126" t="str">
        <f t="shared" si="916"/>
        <v/>
      </c>
      <c r="BA126" t="str">
        <f t="shared" si="917"/>
        <v/>
      </c>
      <c r="BB126" t="str">
        <f t="shared" si="918"/>
        <v/>
      </c>
      <c r="BC126" t="str">
        <f t="shared" si="919"/>
        <v/>
      </c>
      <c r="BD126" t="str">
        <f t="shared" si="490"/>
        <v/>
      </c>
      <c r="BE126" t="str">
        <f t="shared" si="491"/>
        <v/>
      </c>
      <c r="BF126" t="str">
        <f t="shared" si="492"/>
        <v/>
      </c>
      <c r="BG126" t="str">
        <f t="shared" si="493"/>
        <v/>
      </c>
      <c r="BH126" t="str">
        <f t="shared" si="494"/>
        <v/>
      </c>
      <c r="BI126" t="str">
        <f t="shared" si="495"/>
        <v/>
      </c>
      <c r="BJ126" t="str">
        <f t="shared" si="496"/>
        <v/>
      </c>
      <c r="BK126" t="str">
        <f t="shared" si="497"/>
        <v/>
      </c>
      <c r="BL126" t="str">
        <f t="shared" si="498"/>
        <v/>
      </c>
      <c r="BM126" t="str">
        <f t="shared" si="499"/>
        <v/>
      </c>
      <c r="BN126" t="str">
        <f t="shared" si="500"/>
        <v/>
      </c>
      <c r="BO126" t="str">
        <f t="shared" si="501"/>
        <v/>
      </c>
      <c r="BP126" t="str">
        <f t="shared" si="502"/>
        <v/>
      </c>
      <c r="BQ126" t="str">
        <f t="shared" si="503"/>
        <v/>
      </c>
      <c r="BR126" t="str">
        <f t="shared" si="504"/>
        <v/>
      </c>
      <c r="BS126" t="str">
        <f t="shared" si="505"/>
        <v/>
      </c>
      <c r="BT126" t="str">
        <f t="shared" si="506"/>
        <v/>
      </c>
      <c r="BU126" t="str">
        <f t="shared" si="507"/>
        <v/>
      </c>
      <c r="BV126" t="str">
        <f t="shared" si="508"/>
        <v/>
      </c>
      <c r="BW126" t="str">
        <f t="shared" si="509"/>
        <v/>
      </c>
      <c r="BX126" t="str">
        <f t="shared" si="510"/>
        <v/>
      </c>
      <c r="BY126" t="str">
        <f t="shared" si="511"/>
        <v/>
      </c>
      <c r="BZ126" t="str">
        <f t="shared" si="512"/>
        <v/>
      </c>
      <c r="CA126" t="str">
        <f t="shared" si="513"/>
        <v/>
      </c>
      <c r="CB126" t="str">
        <f t="shared" si="514"/>
        <v/>
      </c>
      <c r="CC126" t="str">
        <f t="shared" si="515"/>
        <v/>
      </c>
      <c r="CD126" t="str">
        <f t="shared" si="516"/>
        <v/>
      </c>
      <c r="CE126" t="str">
        <f t="shared" si="517"/>
        <v/>
      </c>
      <c r="CF126" t="str">
        <f t="shared" si="518"/>
        <v/>
      </c>
      <c r="CG126" t="str">
        <f t="shared" si="519"/>
        <v/>
      </c>
      <c r="CH126" t="str">
        <f t="shared" si="920"/>
        <v/>
      </c>
      <c r="CI126" t="str">
        <f t="shared" si="921"/>
        <v/>
      </c>
      <c r="CJ126" t="str">
        <f>IF($CI126="","",IF(OR($DW126="",$DX126=""),"ONZEKER",IF(OR($CF126="",$CG126=""),"ONZEKER",IF(AND($DW126=$CF126+1,$DX126=$CG126),IF(OR(COUNTIF(#REF!,$B126)&gt;0,COUNTIF(#REF!,$B126)=0),"SKIP",IF(COUNTIFS(#REF!,$B126,#REF!,$CI126)&gt;0,"OK","ONBEKEND")),IF(AND($DW126=$CF126,$DX126=$CG126+1),IF(OR(COUNTIF(#REF!,$D126)&gt;0,COUNTIF(#REF!,$D126)=0),"SKIP",IF(COUNTIFS(#REF!,$D126,#REF!,$CI126)&gt;0,"OK","ONBEKEND")),"ONZEKER")))))</f>
        <v/>
      </c>
      <c r="CK126" t="str">
        <f t="shared" si="922"/>
        <v/>
      </c>
      <c r="CL126" t="str">
        <f t="shared" si="923"/>
        <v/>
      </c>
      <c r="CM126" t="str">
        <f>IF($CL126="","",IF(OR($DZ126="",$EA126=""),"ONZEKER",IF(OR($DW126="",$DX126=""),"ONZEKER",IF(AND($DZ126=$DW126+1,$EA126=$DX126),IF(OR(COUNTIF(#REF!,$B126)&gt;0,COUNTIF(#REF!,$B126)=0),"SKIP",IF(COUNTIFS(#REF!,$B126,#REF!,$CL126)&gt;0,"OK","ONBEKEND")),IF(AND($DZ126=$DW126,$EA126=$DX126+1),IF(OR(COUNTIF(#REF!,$D126)&gt;0,COUNTIF(#REF!,$D126)=0),"SKIP",IF(COUNTIFS(#REF!,$D126,#REF!,$CL126)&gt;0,"OK","ONBEKEND")),"ONZEKER")))))</f>
        <v/>
      </c>
      <c r="CN126" t="str">
        <f t="shared" si="924"/>
        <v/>
      </c>
      <c r="CO126" t="str">
        <f t="shared" si="925"/>
        <v/>
      </c>
      <c r="CP126" t="str">
        <f>IF($CO126="","",IF(OR($EC126="",$ED126=""),"ONZEKER",IF(OR($DZ126="",$EA126=""),"ONZEKER",IF(AND($EC126=$DZ126+1,$ED126=$EA126),IF(OR(COUNTIF(#REF!,$B126)&gt;0,COUNTIF(#REF!,$B126)=0),"SKIP",IF(COUNTIFS(#REF!,$B126,#REF!,$CO126)&gt;0,"OK","ONBEKEND")),IF(AND($EC126=$DZ126,$ED126=$EA126+1),IF(OR(COUNTIF(#REF!,$D126)&gt;0,COUNTIF(#REF!,$D126)=0),"SKIP",IF(COUNTIFS(#REF!,$D126,#REF!,$CO126)&gt;0,"OK","ONBEKEND")),"ONZEKER")))))</f>
        <v/>
      </c>
      <c r="CQ126" t="str">
        <f t="shared" si="926"/>
        <v/>
      </c>
      <c r="CR126" t="str">
        <f t="shared" si="927"/>
        <v/>
      </c>
      <c r="CS126" t="str">
        <f>IF($CR126="","",IF(OR($EF126="",$EG126=""),"ONZEKER",IF(OR($EC126="",$ED126=""),"ONZEKER",IF(AND($EF126=$EC126+1,$EG126=$ED126),IF(OR(COUNTIF(#REF!,$B126)&gt;0,COUNTIF(#REF!,$B126)=0),"SKIP",IF(COUNTIFS(#REF!,$B126,#REF!,$CR126)&gt;0,"OK","ONBEKEND")),IF(AND($EF126=$EC126,$EG126=$ED126+1),IF(OR(COUNTIF(#REF!,$D126)&gt;0,COUNTIF(#REF!,$D126)=0),"SKIP",IF(COUNTIFS(#REF!,$D126,#REF!,$CR126)&gt;0,"OK","ONBEKEND")),"ONZEKER")))))</f>
        <v/>
      </c>
      <c r="CT126" t="str">
        <f t="shared" si="928"/>
        <v/>
      </c>
      <c r="CU126" t="str">
        <f t="shared" si="929"/>
        <v/>
      </c>
      <c r="CV126" t="str">
        <f>IF($CU126="","",IF(OR($EI126="",$EJ126=""),"ONZEKER",IF(OR($EF126="",$EG126=""),"ONZEKER",IF(AND($EI126=$EF126+1,$EJ126=$EG126),IF(OR(COUNTIF(#REF!,$B126)&gt;0,COUNTIF(#REF!,$B126)=0),"SKIP",IF(COUNTIFS(#REF!,$B126,#REF!,$CU126)&gt;0,"OK","ONBEKEND")),IF(AND($EI126=$EF126,$EJ126=$EG126+1),IF(OR(COUNTIF(#REF!,$D126)&gt;0,COUNTIF(#REF!,$D126)=0),"SKIP",IF(COUNTIFS(#REF!,$D126,#REF!,$CU126)&gt;0,"OK","ONBEKEND")),"ONZEKER")))))</f>
        <v/>
      </c>
      <c r="CW126" t="str">
        <f t="shared" si="930"/>
        <v/>
      </c>
      <c r="CX126" t="str">
        <f t="shared" si="931"/>
        <v/>
      </c>
      <c r="CY126" t="str">
        <f>IF($CX126="","",IF(OR($EL126="",$EM126=""),"ONZEKER",IF(OR($EI126="",$EJ126=""),"ONZEKER",IF(AND($EL126=$EI126+1,$EM126=$EJ126),IF(OR(COUNTIF(#REF!,$B126)&gt;0,COUNTIF(#REF!,$B126)=0),"SKIP",IF(COUNTIFS(#REF!,$B126,#REF!,$CX126)&gt;0,"OK","ONBEKEND")),IF(AND($EL126=$EI126,$EM126=$EJ126+1),IF(OR(COUNTIF(#REF!,$D126)&gt;0,COUNTIF(#REF!,$D126)=0),"SKIP",IF(COUNTIFS(#REF!,$D126,#REF!,$CX126)&gt;0,"OK","ONBEKEND")),"ONZEKER")))))</f>
        <v/>
      </c>
      <c r="CZ126" t="str">
        <f t="shared" si="932"/>
        <v/>
      </c>
      <c r="DA126" t="str">
        <f t="shared" si="933"/>
        <v/>
      </c>
      <c r="DB126" t="str">
        <f>IF($DA126="","",IF(OR($EO126="",$EP126=""),"ONZEKER",IF(OR($EL126="",$EM126=""),"ONZEKER",IF(AND($EO126=$EL126+1,$EP126=$EM126),IF(OR(COUNTIF(#REF!,$B126)&gt;0,COUNTIF(#REF!,$B126)=0),"SKIP",IF(COUNTIFS(#REF!,$B126,#REF!,$DA126)&gt;0,"OK","ONBEKEND")),IF(AND($EO126=$EL126,$EP126=$EM126+1),IF(OR(COUNTIF(#REF!,$D126)&gt;0,COUNTIF(#REF!,$D126)=0),"SKIP",IF(COUNTIFS(#REF!,$D126,#REF!,$DA126)&gt;0,"OK","ONBEKEND")),"ONZEKER")))))</f>
        <v/>
      </c>
      <c r="DC126" t="str">
        <f t="shared" si="934"/>
        <v/>
      </c>
      <c r="DD126" t="str">
        <f t="shared" si="935"/>
        <v/>
      </c>
      <c r="DE126" t="str">
        <f>IF($DD126="","",IF(OR($ER126="",$ES126=""),"ONZEKER",IF(OR($EO126="",$EP126=""),"ONZEKER",IF(AND($ER126=$EO126+1,$ES126=$EP126),IF(OR(COUNTIF(#REF!,$B126)&gt;0,COUNTIF(#REF!,$B126)=0),"SKIP",IF(COUNTIFS(#REF!,$B126,#REF!,$DD126)&gt;0,"OK","ONBEKEND")),IF(AND($ER126=$EO126,$ES126=$EP126+1),IF(OR(COUNTIF(#REF!,$D126)&gt;0,COUNTIF(#REF!,$D126)=0),"SKIP",IF(COUNTIFS(#REF!,$D126,#REF!,$DD126)&gt;0,"OK","ONBEKEND")),"ONZEKER")))))</f>
        <v/>
      </c>
      <c r="DF126" t="str">
        <f t="shared" si="936"/>
        <v/>
      </c>
      <c r="DG126" t="str">
        <f t="shared" si="937"/>
        <v/>
      </c>
      <c r="DH126" t="str">
        <f>IF($DG126="","",IF(OR($EU126="",$EV126=""),"ONZEKER",IF(OR($ER126="",$ES126=""),"ONZEKER",IF(AND($EU126=$ER126+1,$EV126=$ES126),IF(OR(COUNTIF(#REF!,$B126)&gt;0,COUNTIF(#REF!,$B126)=0),"SKIP",IF(COUNTIFS(#REF!,$B126,#REF!,$DG126)&gt;0,"OK","ONBEKEND")),IF(AND($EU126=$ER126,$EV126=$ES126+1),IF(OR(COUNTIF(#REF!,$D126)&gt;0,COUNTIF(#REF!,$D126)=0),"SKIP",IF(COUNTIFS(#REF!,$D126,#REF!,$DG126)&gt;0,"OK","ONBEKEND")),"ONZEKER")))))</f>
        <v/>
      </c>
      <c r="DI126" t="str">
        <f t="shared" si="938"/>
        <v/>
      </c>
      <c r="DJ126" t="str">
        <f t="shared" si="939"/>
        <v/>
      </c>
      <c r="DK126" t="str">
        <f>IF($DJ126="","",IF(OR($EX126="",$EY126=""),"ONZEKER",IF(OR($EU126="",$EV126=""),"ONZEKER",IF(AND($EX126=$EU126+1,$EY126=$EV126),IF(OR(COUNTIF(#REF!,$B126)&gt;0,COUNTIF(#REF!,$B126)=0),"SKIP",IF(COUNTIFS(#REF!,$B126,#REF!,$DJ126)&gt;0,"OK","ONBEKEND")),IF(AND($EX126=$EU126,$EY126=$EV126+1),IF(OR(COUNTIF(#REF!,$D126)&gt;0,COUNTIF(#REF!,$D126)=0),"SKIP",IF(COUNTIFS(#REF!,$D126,#REF!,$DJ126)&gt;0,"OK","ONBEKEND")),"ONZEKER")))))</f>
        <v/>
      </c>
      <c r="DL126" t="str">
        <f t="shared" si="940"/>
        <v/>
      </c>
      <c r="DM126" t="str">
        <f t="shared" si="941"/>
        <v/>
      </c>
      <c r="DN126" t="str">
        <f t="shared" si="942"/>
        <v/>
      </c>
      <c r="DO126" t="str">
        <f t="shared" si="943"/>
        <v/>
      </c>
      <c r="DP126" t="str">
        <f t="shared" si="944"/>
        <v/>
      </c>
      <c r="DQ126" t="str">
        <f t="shared" si="945"/>
        <v/>
      </c>
      <c r="DR126" t="str">
        <f t="shared" si="946"/>
        <v/>
      </c>
      <c r="DS126" t="str">
        <f t="shared" si="947"/>
        <v/>
      </c>
      <c r="DT126" t="str">
        <f t="shared" si="948"/>
        <v/>
      </c>
      <c r="DU126" t="str">
        <f t="shared" si="949"/>
        <v/>
      </c>
      <c r="DV126" t="str">
        <f t="shared" si="950"/>
        <v/>
      </c>
      <c r="DW126" t="str">
        <f t="shared" si="951"/>
        <v/>
      </c>
      <c r="DX126" t="str">
        <f t="shared" si="952"/>
        <v/>
      </c>
      <c r="DY126" t="str">
        <f t="shared" si="953"/>
        <v/>
      </c>
      <c r="DZ126" t="str">
        <f t="shared" si="954"/>
        <v/>
      </c>
      <c r="EA126" t="str">
        <f t="shared" si="955"/>
        <v/>
      </c>
      <c r="EB126" t="str">
        <f t="shared" si="956"/>
        <v/>
      </c>
      <c r="EC126" t="str">
        <f t="shared" si="957"/>
        <v/>
      </c>
      <c r="ED126" t="str">
        <f t="shared" si="958"/>
        <v/>
      </c>
      <c r="EE126" t="str">
        <f t="shared" si="959"/>
        <v/>
      </c>
      <c r="EF126" t="str">
        <f t="shared" si="960"/>
        <v/>
      </c>
      <c r="EG126" t="str">
        <f t="shared" si="961"/>
        <v/>
      </c>
      <c r="EH126" t="str">
        <f t="shared" si="962"/>
        <v/>
      </c>
      <c r="EI126" t="str">
        <f t="shared" si="963"/>
        <v/>
      </c>
      <c r="EJ126" t="str">
        <f t="shared" si="964"/>
        <v/>
      </c>
      <c r="EK126" t="str">
        <f t="shared" si="965"/>
        <v/>
      </c>
      <c r="EL126" t="str">
        <f t="shared" si="966"/>
        <v/>
      </c>
      <c r="EM126" t="str">
        <f t="shared" si="967"/>
        <v/>
      </c>
      <c r="EN126" t="str">
        <f t="shared" si="968"/>
        <v/>
      </c>
      <c r="EO126" t="str">
        <f t="shared" si="969"/>
        <v/>
      </c>
      <c r="EP126" t="str">
        <f t="shared" si="970"/>
        <v/>
      </c>
      <c r="EQ126" t="str">
        <f t="shared" si="971"/>
        <v/>
      </c>
      <c r="ER126" t="str">
        <f t="shared" si="972"/>
        <v/>
      </c>
      <c r="ES126" t="str">
        <f t="shared" si="973"/>
        <v/>
      </c>
      <c r="ET126" t="str">
        <f t="shared" si="974"/>
        <v/>
      </c>
      <c r="EU126" t="str">
        <f t="shared" si="975"/>
        <v/>
      </c>
      <c r="EV126" t="str">
        <f t="shared" si="976"/>
        <v/>
      </c>
      <c r="EW126" t="str">
        <f t="shared" si="977"/>
        <v/>
      </c>
      <c r="EX126" t="str">
        <f t="shared" si="978"/>
        <v/>
      </c>
      <c r="EY126" t="str">
        <f t="shared" si="979"/>
        <v/>
      </c>
    </row>
    <row r="127" spans="1:155" ht="13.9" customHeight="1" x14ac:dyDescent="0.25">
      <c r="A127" s="7"/>
      <c r="B127" s="17"/>
      <c r="C127" s="8"/>
      <c r="D127" s="17"/>
      <c r="E127" s="8"/>
      <c r="F127" s="18">
        <v>0</v>
      </c>
      <c r="G127" s="7" t="s">
        <v>147</v>
      </c>
      <c r="H127" s="18">
        <v>0</v>
      </c>
      <c r="I127" s="19">
        <v>0</v>
      </c>
      <c r="J127" s="7" t="s">
        <v>147</v>
      </c>
      <c r="K127" s="19">
        <v>0</v>
      </c>
      <c r="L127" s="9"/>
      <c r="M127" s="3" t="str">
        <f>IF($L127="","",IF($L127="DOELPUNTENMAKERS","",IF(AND(COUNTIF(#REF!,$B127)=0,COUNTIF(#REF!,$D127)=0),"OK",IF($O127&gt;20,"LET OP: meer dan 20 items (controle onvolledig)",IF((COUNTIF($R127:$AS127,"ONZEKER")+COUNTIF($CJ127:$DK127,"ONZEKER"))&gt;0,"LET OP: scoreverloop onduidelijk (controle beperkt)",IF((IF($AT127&lt;&gt;"",$AT127&amp;", ","")&amp;IF($AU127&lt;&gt;"",$AU127&amp;", ","")&amp;IF($AV127&lt;&gt;"",$AV127&amp;", ","")&amp;IF($AW127&lt;&gt;"",$AW127&amp;", ","")&amp;IF($AX127&lt;&gt;"",$AX127&amp;", ","")&amp;IF($AY127&lt;&gt;"",$AY127&amp;", ","")&amp;IF($AZ127&lt;&gt;"",$AZ127&amp;", ","")&amp;IF($BA127&lt;&gt;"",$BA127&amp;", ","")&amp;IF($BB127&lt;&gt;"",$BB127&amp;", ","")&amp;IF($BC127&lt;&gt;"",$BC127&amp;", ","")&amp;IF($DL127&lt;&gt;"",$DL127&amp;", ","")&amp;IF($DM127&lt;&gt;"",$DM127&amp;", ","")&amp;IF($DN127&lt;&gt;"",$DN127&amp;", ","")&amp;IF($DO127&lt;&gt;"",$DO127&amp;", ","")&amp;IF($DP127&lt;&gt;"",$DP127&amp;", ","")&amp;IF($DQ127&lt;&gt;"",$DQ127&amp;", ","")&amp;IF($DR127&lt;&gt;"",$DR127&amp;", ","")&amp;IF($DS127&lt;&gt;"",$DS127&amp;", ","")&amp;IF($DT127&lt;&gt;"",$DT127&amp;", ","")&amp;IF($DU127&lt;&gt;"",$DU127&amp;", ",""))="","OK","Onbekend: "&amp;LEFT((IF($AT127&lt;&gt;"",$AT127&amp;", ","")&amp;IF($AU127&lt;&gt;"",$AU127&amp;", ","")&amp;IF($AV127&lt;&gt;"",$AV127&amp;", ","")&amp;IF($AW127&lt;&gt;"",$AW127&amp;", ","")&amp;IF($AX127&lt;&gt;"",$AX127&amp;", ","")&amp;IF($AY127&lt;&gt;"",$AY127&amp;", ","")&amp;IF($AZ127&lt;&gt;"",$AZ127&amp;", ","")&amp;IF($BA127&lt;&gt;"",$BA127&amp;", ","")&amp;IF($BB127&lt;&gt;"",$BB127&amp;", ","")&amp;IF($BC127&lt;&gt;"",$BC127&amp;", ","")&amp;IF($DL127&lt;&gt;"",$DL127&amp;", ","")&amp;IF($DM127&lt;&gt;"",$DM127&amp;", ","")&amp;IF($DN127&lt;&gt;"",$DN127&amp;", ","")&amp;IF($DO127&lt;&gt;"",$DO127&amp;", ","")&amp;IF($DP127&lt;&gt;"",$DP127&amp;", ","")&amp;IF($DQ127&lt;&gt;"",$DQ127&amp;", ","")&amp;IF($DR127&lt;&gt;"",$DR127&amp;", ","")&amp;IF($DS127&lt;&gt;"",$DS127&amp;", ","")&amp;IF($DT127&lt;&gt;"",$DT127&amp;", ","")&amp;IF($DU127&lt;&gt;"",$DU127&amp;", ","")),LEN((IF($AT127&lt;&gt;"",$AT127&amp;", ","")&amp;IF($AU127&lt;&gt;"",$AU127&amp;", ","")&amp;IF($AV127&lt;&gt;"",$AV127&amp;", ","")&amp;IF($AW127&lt;&gt;"",$AW127&amp;", ","")&amp;IF($AX127&lt;&gt;"",$AX127&amp;", ","")&amp;IF($AY127&lt;&gt;"",$AY127&amp;", ","")&amp;IF($AZ127&lt;&gt;"",$AZ127&amp;", ","")&amp;IF($BA127&lt;&gt;"",$BA127&amp;", ","")&amp;IF($BB127&lt;&gt;"",$BB127&amp;", ","")&amp;IF($BC127&lt;&gt;"",$BC127&amp;", ","")&amp;IF($DL127&lt;&gt;"",$DL127&amp;", ","")&amp;IF($DM127&lt;&gt;"",$DM127&amp;", ","")&amp;IF($DN127&lt;&gt;"",$DN127&amp;", ","")&amp;IF($DO127&lt;&gt;"",$DO127&amp;", ","")&amp;IF($DP127&lt;&gt;"",$DP127&amp;", ","")&amp;IF($DQ127&lt;&gt;"",$DQ127&amp;", ","")&amp;IF($DR127&lt;&gt;"",$DR127&amp;", ","")&amp;IF($DS127&lt;&gt;"",$DS127&amp;", ","")&amp;IF($DT127&lt;&gt;"",$DT127&amp;", ","")&amp;IF($DU127&lt;&gt;"",$DU127&amp;", ","")))-2)))))))</f>
        <v/>
      </c>
      <c r="N127" t="str">
        <f t="shared" si="888"/>
        <v/>
      </c>
      <c r="O127" t="str">
        <f t="shared" si="889"/>
        <v/>
      </c>
      <c r="P127" t="str">
        <f t="shared" si="890"/>
        <v/>
      </c>
      <c r="Q127" t="str">
        <f t="shared" si="891"/>
        <v/>
      </c>
      <c r="R127" t="str">
        <f>IF($Q127="","",IF(OR($BE127="",$BF127=""),"ONZEKER",IF(AND($BE127=0+1,$BF127=0),IF(OR(COUNTIF(#REF!,$B127)&gt;0,COUNTIF(#REF!,$B127)=0),"SKIP",IF(COUNTIFS(#REF!,$B127,#REF!,$Q127)&gt;0,"OK","ONBEKEND")),IF(AND($BE127=0,$BF127=0+1),IF(OR(COUNTIF(#REF!,$D127)&gt;0,COUNTIF(#REF!,$D127)=0),"SKIP",IF(COUNTIFS(#REF!,$D127,#REF!,$Q127)&gt;0,"OK","ONBEKEND")),"ONZEKER"))))</f>
        <v/>
      </c>
      <c r="S127" t="str">
        <f t="shared" si="892"/>
        <v/>
      </c>
      <c r="T127" t="str">
        <f t="shared" si="893"/>
        <v/>
      </c>
      <c r="U127" t="str">
        <f>IF($T127="","",IF(OR($BH127="",$BI127=""),"ONZEKER",IF(OR($BE127="",$BF127=""),"ONZEKER",IF(AND($BH127=$BE127+1,$BI127=$BF127),IF(OR(COUNTIF(#REF!,$B127)&gt;0,COUNTIF(#REF!,$B127)=0),"SKIP",IF(COUNTIFS(#REF!,$B127,#REF!,$T127)&gt;0,"OK","ONBEKEND")),IF(AND($BH127=$BE127,$BI127=$BF127+1),IF(OR(COUNTIF(#REF!,$D127)&gt;0,COUNTIF(#REF!,$D127)=0),"SKIP",IF(COUNTIFS(#REF!,$D127,#REF!,$T127)&gt;0,"OK","ONBEKEND")),"ONZEKER")))))</f>
        <v/>
      </c>
      <c r="V127" t="str">
        <f t="shared" si="894"/>
        <v/>
      </c>
      <c r="W127" t="str">
        <f t="shared" si="895"/>
        <v/>
      </c>
      <c r="X127" t="str">
        <f>IF($W127="","",IF(OR($BK127="",$BL127=""),"ONZEKER",IF(OR($BH127="",$BI127=""),"ONZEKER",IF(AND($BK127=$BH127+1,$BL127=$BI127),IF(OR(COUNTIF(#REF!,$B127)&gt;0,COUNTIF(#REF!,$B127)=0),"SKIP",IF(COUNTIFS(#REF!,$B127,#REF!,$W127)&gt;0,"OK","ONBEKEND")),IF(AND($BK127=$BH127,$BL127=$BI127+1),IF(OR(COUNTIF(#REF!,$D127)&gt;0,COUNTIF(#REF!,$D127)=0),"SKIP",IF(COUNTIFS(#REF!,$D127,#REF!,$W127)&gt;0,"OK","ONBEKEND")),"ONZEKER")))))</f>
        <v/>
      </c>
      <c r="Y127" t="str">
        <f t="shared" si="896"/>
        <v/>
      </c>
      <c r="Z127" t="str">
        <f t="shared" si="897"/>
        <v/>
      </c>
      <c r="AA127" t="str">
        <f>IF($Z127="","",IF(OR($BN127="",$BO127=""),"ONZEKER",IF(OR($BK127="",$BL127=""),"ONZEKER",IF(AND($BN127=$BK127+1,$BO127=$BL127),IF(OR(COUNTIF(#REF!,$B127)&gt;0,COUNTIF(#REF!,$B127)=0),"SKIP",IF(COUNTIFS(#REF!,$B127,#REF!,$Z127)&gt;0,"OK","ONBEKEND")),IF(AND($BN127=$BK127,$BO127=$BL127+1),IF(OR(COUNTIF(#REF!,$D127)&gt;0,COUNTIF(#REF!,$D127)=0),"SKIP",IF(COUNTIFS(#REF!,$D127,#REF!,$Z127)&gt;0,"OK","ONBEKEND")),"ONZEKER")))))</f>
        <v/>
      </c>
      <c r="AB127" t="str">
        <f t="shared" si="898"/>
        <v/>
      </c>
      <c r="AC127" t="str">
        <f t="shared" si="899"/>
        <v/>
      </c>
      <c r="AD127" t="str">
        <f>IF($AC127="","",IF(OR($BQ127="",$BR127=""),"ONZEKER",IF(OR($BN127="",$BO127=""),"ONZEKER",IF(AND($BQ127=$BN127+1,$BR127=$BO127),IF(OR(COUNTIF(#REF!,$B127)&gt;0,COUNTIF(#REF!,$B127)=0),"SKIP",IF(COUNTIFS(#REF!,$B127,#REF!,$AC127)&gt;0,"OK","ONBEKEND")),IF(AND($BQ127=$BN127,$BR127=$BO127+1),IF(OR(COUNTIF(#REF!,$D127)&gt;0,COUNTIF(#REF!,$D127)=0),"SKIP",IF(COUNTIFS(#REF!,$D127,#REF!,$AC127)&gt;0,"OK","ONBEKEND")),"ONZEKER")))))</f>
        <v/>
      </c>
      <c r="AE127" t="str">
        <f t="shared" si="900"/>
        <v/>
      </c>
      <c r="AF127" t="str">
        <f t="shared" si="901"/>
        <v/>
      </c>
      <c r="AG127" t="str">
        <f>IF($AF127="","",IF(OR($BT127="",$BU127=""),"ONZEKER",IF(OR($BQ127="",$BR127=""),"ONZEKER",IF(AND($BT127=$BQ127+1,$BU127=$BR127),IF(OR(COUNTIF(#REF!,$B127)&gt;0,COUNTIF(#REF!,$B127)=0),"SKIP",IF(COUNTIFS(#REF!,$B127,#REF!,$AF127)&gt;0,"OK","ONBEKEND")),IF(AND($BT127=$BQ127,$BU127=$BR127+1),IF(OR(COUNTIF(#REF!,$D127)&gt;0,COUNTIF(#REF!,$D127)=0),"SKIP",IF(COUNTIFS(#REF!,$D127,#REF!,$AF127)&gt;0,"OK","ONBEKEND")),"ONZEKER")))))</f>
        <v/>
      </c>
      <c r="AH127" t="str">
        <f t="shared" si="902"/>
        <v/>
      </c>
      <c r="AI127" t="str">
        <f t="shared" si="903"/>
        <v/>
      </c>
      <c r="AJ127" t="str">
        <f>IF($AI127="","",IF(OR($BW127="",$BX127=""),"ONZEKER",IF(OR($BT127="",$BU127=""),"ONZEKER",IF(AND($BW127=$BT127+1,$BX127=$BU127),IF(OR(COUNTIF(#REF!,$B127)&gt;0,COUNTIF(#REF!,$B127)=0),"SKIP",IF(COUNTIFS(#REF!,$B127,#REF!,$AI127)&gt;0,"OK","ONBEKEND")),IF(AND($BW127=$BT127,$BX127=$BU127+1),IF(OR(COUNTIF(#REF!,$D127)&gt;0,COUNTIF(#REF!,$D127)=0),"SKIP",IF(COUNTIFS(#REF!,$D127,#REF!,$AI127)&gt;0,"OK","ONBEKEND")),"ONZEKER")))))</f>
        <v/>
      </c>
      <c r="AK127" t="str">
        <f t="shared" si="904"/>
        <v/>
      </c>
      <c r="AL127" t="str">
        <f t="shared" si="905"/>
        <v/>
      </c>
      <c r="AM127" t="str">
        <f>IF($AL127="","",IF(OR($BZ127="",$CA127=""),"ONZEKER",IF(OR($BW127="",$BX127=""),"ONZEKER",IF(AND($BZ127=$BW127+1,$CA127=$BX127),IF(OR(COUNTIF(#REF!,$B127)&gt;0,COUNTIF(#REF!,$B127)=0),"SKIP",IF(COUNTIFS(#REF!,$B127,#REF!,$AL127)&gt;0,"OK","ONBEKEND")),IF(AND($BZ127=$BW127,$CA127=$BX127+1),IF(OR(COUNTIF(#REF!,$D127)&gt;0,COUNTIF(#REF!,$D127)=0),"SKIP",IF(COUNTIFS(#REF!,$D127,#REF!,$AL127)&gt;0,"OK","ONBEKEND")),"ONZEKER")))))</f>
        <v/>
      </c>
      <c r="AN127" t="str">
        <f t="shared" si="906"/>
        <v/>
      </c>
      <c r="AO127" t="str">
        <f t="shared" si="907"/>
        <v/>
      </c>
      <c r="AP127" t="str">
        <f>IF($AO127="","",IF(OR($CC127="",$CD127=""),"ONZEKER",IF(OR($BZ127="",$CA127=""),"ONZEKER",IF(AND($CC127=$BZ127+1,$CD127=$CA127),IF(OR(COUNTIF(#REF!,$B127)&gt;0,COUNTIF(#REF!,$B127)=0),"SKIP",IF(COUNTIFS(#REF!,$B127,#REF!,$AO127)&gt;0,"OK","ONBEKEND")),IF(AND($CC127=$BZ127,$CD127=$CA127+1),IF(OR(COUNTIF(#REF!,$D127)&gt;0,COUNTIF(#REF!,$D127)=0),"SKIP",IF(COUNTIFS(#REF!,$D127,#REF!,$AO127)&gt;0,"OK","ONBEKEND")),"ONZEKER")))))</f>
        <v/>
      </c>
      <c r="AQ127" t="str">
        <f t="shared" si="908"/>
        <v/>
      </c>
      <c r="AR127" t="str">
        <f t="shared" si="909"/>
        <v/>
      </c>
      <c r="AS127" t="str">
        <f>IF($AR127="","",IF(OR($CF127="",$CG127=""),"ONZEKER",IF(OR($CC127="",$CD127=""),"ONZEKER",IF(AND($CF127=$CC127+1,$CG127=$CD127),IF(OR(COUNTIF(#REF!,$B127)&gt;0,COUNTIF(#REF!,$B127)=0),"SKIP",IF(COUNTIFS(#REF!,$B127,#REF!,$AR127)&gt;0,"OK","ONBEKEND")),IF(AND($CF127=$CC127,$CG127=$CD127+1),IF(OR(COUNTIF(#REF!,$D127)&gt;0,COUNTIF(#REF!,$D127)=0),"SKIP",IF(COUNTIFS(#REF!,$D127,#REF!,$AR127)&gt;0,"OK","ONBEKEND")),"ONZEKER")))))</f>
        <v/>
      </c>
      <c r="AT127" t="str">
        <f t="shared" si="910"/>
        <v/>
      </c>
      <c r="AU127" t="str">
        <f t="shared" si="911"/>
        <v/>
      </c>
      <c r="AV127" t="str">
        <f t="shared" si="912"/>
        <v/>
      </c>
      <c r="AW127" t="str">
        <f t="shared" si="913"/>
        <v/>
      </c>
      <c r="AX127" t="str">
        <f t="shared" si="914"/>
        <v/>
      </c>
      <c r="AY127" t="str">
        <f t="shared" si="915"/>
        <v/>
      </c>
      <c r="AZ127" t="str">
        <f t="shared" si="916"/>
        <v/>
      </c>
      <c r="BA127" t="str">
        <f t="shared" si="917"/>
        <v/>
      </c>
      <c r="BB127" t="str">
        <f t="shared" si="918"/>
        <v/>
      </c>
      <c r="BC127" t="str">
        <f t="shared" si="919"/>
        <v/>
      </c>
      <c r="BD127" t="str">
        <f t="shared" si="490"/>
        <v/>
      </c>
      <c r="BE127" t="str">
        <f t="shared" si="491"/>
        <v/>
      </c>
      <c r="BF127" t="str">
        <f t="shared" si="492"/>
        <v/>
      </c>
      <c r="BG127" t="str">
        <f t="shared" si="493"/>
        <v/>
      </c>
      <c r="BH127" t="str">
        <f t="shared" si="494"/>
        <v/>
      </c>
      <c r="BI127" t="str">
        <f t="shared" si="495"/>
        <v/>
      </c>
      <c r="BJ127" t="str">
        <f t="shared" si="496"/>
        <v/>
      </c>
      <c r="BK127" t="str">
        <f t="shared" si="497"/>
        <v/>
      </c>
      <c r="BL127" t="str">
        <f t="shared" si="498"/>
        <v/>
      </c>
      <c r="BM127" t="str">
        <f t="shared" si="499"/>
        <v/>
      </c>
      <c r="BN127" t="str">
        <f t="shared" si="500"/>
        <v/>
      </c>
      <c r="BO127" t="str">
        <f t="shared" si="501"/>
        <v/>
      </c>
      <c r="BP127" t="str">
        <f t="shared" si="502"/>
        <v/>
      </c>
      <c r="BQ127" t="str">
        <f t="shared" si="503"/>
        <v/>
      </c>
      <c r="BR127" t="str">
        <f t="shared" si="504"/>
        <v/>
      </c>
      <c r="BS127" t="str">
        <f t="shared" si="505"/>
        <v/>
      </c>
      <c r="BT127" t="str">
        <f t="shared" si="506"/>
        <v/>
      </c>
      <c r="BU127" t="str">
        <f t="shared" si="507"/>
        <v/>
      </c>
      <c r="BV127" t="str">
        <f t="shared" si="508"/>
        <v/>
      </c>
      <c r="BW127" t="str">
        <f t="shared" si="509"/>
        <v/>
      </c>
      <c r="BX127" t="str">
        <f t="shared" si="510"/>
        <v/>
      </c>
      <c r="BY127" t="str">
        <f t="shared" si="511"/>
        <v/>
      </c>
      <c r="BZ127" t="str">
        <f t="shared" si="512"/>
        <v/>
      </c>
      <c r="CA127" t="str">
        <f t="shared" si="513"/>
        <v/>
      </c>
      <c r="CB127" t="str">
        <f t="shared" si="514"/>
        <v/>
      </c>
      <c r="CC127" t="str">
        <f t="shared" si="515"/>
        <v/>
      </c>
      <c r="CD127" t="str">
        <f t="shared" si="516"/>
        <v/>
      </c>
      <c r="CE127" t="str">
        <f t="shared" si="517"/>
        <v/>
      </c>
      <c r="CF127" t="str">
        <f t="shared" si="518"/>
        <v/>
      </c>
      <c r="CG127" t="str">
        <f t="shared" si="519"/>
        <v/>
      </c>
      <c r="CH127" t="str">
        <f t="shared" si="920"/>
        <v/>
      </c>
      <c r="CI127" t="str">
        <f t="shared" si="921"/>
        <v/>
      </c>
      <c r="CJ127" t="str">
        <f>IF($CI127="","",IF(OR($DW127="",$DX127=""),"ONZEKER",IF(OR($CF127="",$CG127=""),"ONZEKER",IF(AND($DW127=$CF127+1,$DX127=$CG127),IF(OR(COUNTIF(#REF!,$B127)&gt;0,COUNTIF(#REF!,$B127)=0),"SKIP",IF(COUNTIFS(#REF!,$B127,#REF!,$CI127)&gt;0,"OK","ONBEKEND")),IF(AND($DW127=$CF127,$DX127=$CG127+1),IF(OR(COUNTIF(#REF!,$D127)&gt;0,COUNTIF(#REF!,$D127)=0),"SKIP",IF(COUNTIFS(#REF!,$D127,#REF!,$CI127)&gt;0,"OK","ONBEKEND")),"ONZEKER")))))</f>
        <v/>
      </c>
      <c r="CK127" t="str">
        <f t="shared" si="922"/>
        <v/>
      </c>
      <c r="CL127" t="str">
        <f t="shared" si="923"/>
        <v/>
      </c>
      <c r="CM127" t="str">
        <f>IF($CL127="","",IF(OR($DZ127="",$EA127=""),"ONZEKER",IF(OR($DW127="",$DX127=""),"ONZEKER",IF(AND($DZ127=$DW127+1,$EA127=$DX127),IF(OR(COUNTIF(#REF!,$B127)&gt;0,COUNTIF(#REF!,$B127)=0),"SKIP",IF(COUNTIFS(#REF!,$B127,#REF!,$CL127)&gt;0,"OK","ONBEKEND")),IF(AND($DZ127=$DW127,$EA127=$DX127+1),IF(OR(COUNTIF(#REF!,$D127)&gt;0,COUNTIF(#REF!,$D127)=0),"SKIP",IF(COUNTIFS(#REF!,$D127,#REF!,$CL127)&gt;0,"OK","ONBEKEND")),"ONZEKER")))))</f>
        <v/>
      </c>
      <c r="CN127" t="str">
        <f t="shared" si="924"/>
        <v/>
      </c>
      <c r="CO127" t="str">
        <f t="shared" si="925"/>
        <v/>
      </c>
      <c r="CP127" t="str">
        <f>IF($CO127="","",IF(OR($EC127="",$ED127=""),"ONZEKER",IF(OR($DZ127="",$EA127=""),"ONZEKER",IF(AND($EC127=$DZ127+1,$ED127=$EA127),IF(OR(COUNTIF(#REF!,$B127)&gt;0,COUNTIF(#REF!,$B127)=0),"SKIP",IF(COUNTIFS(#REF!,$B127,#REF!,$CO127)&gt;0,"OK","ONBEKEND")),IF(AND($EC127=$DZ127,$ED127=$EA127+1),IF(OR(COUNTIF(#REF!,$D127)&gt;0,COUNTIF(#REF!,$D127)=0),"SKIP",IF(COUNTIFS(#REF!,$D127,#REF!,$CO127)&gt;0,"OK","ONBEKEND")),"ONZEKER")))))</f>
        <v/>
      </c>
      <c r="CQ127" t="str">
        <f t="shared" si="926"/>
        <v/>
      </c>
      <c r="CR127" t="str">
        <f t="shared" si="927"/>
        <v/>
      </c>
      <c r="CS127" t="str">
        <f>IF($CR127="","",IF(OR($EF127="",$EG127=""),"ONZEKER",IF(OR($EC127="",$ED127=""),"ONZEKER",IF(AND($EF127=$EC127+1,$EG127=$ED127),IF(OR(COUNTIF(#REF!,$B127)&gt;0,COUNTIF(#REF!,$B127)=0),"SKIP",IF(COUNTIFS(#REF!,$B127,#REF!,$CR127)&gt;0,"OK","ONBEKEND")),IF(AND($EF127=$EC127,$EG127=$ED127+1),IF(OR(COUNTIF(#REF!,$D127)&gt;0,COUNTIF(#REF!,$D127)=0),"SKIP",IF(COUNTIFS(#REF!,$D127,#REF!,$CR127)&gt;0,"OK","ONBEKEND")),"ONZEKER")))))</f>
        <v/>
      </c>
      <c r="CT127" t="str">
        <f t="shared" si="928"/>
        <v/>
      </c>
      <c r="CU127" t="str">
        <f t="shared" si="929"/>
        <v/>
      </c>
      <c r="CV127" t="str">
        <f>IF($CU127="","",IF(OR($EI127="",$EJ127=""),"ONZEKER",IF(OR($EF127="",$EG127=""),"ONZEKER",IF(AND($EI127=$EF127+1,$EJ127=$EG127),IF(OR(COUNTIF(#REF!,$B127)&gt;0,COUNTIF(#REF!,$B127)=0),"SKIP",IF(COUNTIFS(#REF!,$B127,#REF!,$CU127)&gt;0,"OK","ONBEKEND")),IF(AND($EI127=$EF127,$EJ127=$EG127+1),IF(OR(COUNTIF(#REF!,$D127)&gt;0,COUNTIF(#REF!,$D127)=0),"SKIP",IF(COUNTIFS(#REF!,$D127,#REF!,$CU127)&gt;0,"OK","ONBEKEND")),"ONZEKER")))))</f>
        <v/>
      </c>
      <c r="CW127" t="str">
        <f t="shared" si="930"/>
        <v/>
      </c>
      <c r="CX127" t="str">
        <f t="shared" si="931"/>
        <v/>
      </c>
      <c r="CY127" t="str">
        <f>IF($CX127="","",IF(OR($EL127="",$EM127=""),"ONZEKER",IF(OR($EI127="",$EJ127=""),"ONZEKER",IF(AND($EL127=$EI127+1,$EM127=$EJ127),IF(OR(COUNTIF(#REF!,$B127)&gt;0,COUNTIF(#REF!,$B127)=0),"SKIP",IF(COUNTIFS(#REF!,$B127,#REF!,$CX127)&gt;0,"OK","ONBEKEND")),IF(AND($EL127=$EI127,$EM127=$EJ127+1),IF(OR(COUNTIF(#REF!,$D127)&gt;0,COUNTIF(#REF!,$D127)=0),"SKIP",IF(COUNTIFS(#REF!,$D127,#REF!,$CX127)&gt;0,"OK","ONBEKEND")),"ONZEKER")))))</f>
        <v/>
      </c>
      <c r="CZ127" t="str">
        <f t="shared" si="932"/>
        <v/>
      </c>
      <c r="DA127" t="str">
        <f t="shared" si="933"/>
        <v/>
      </c>
      <c r="DB127" t="str">
        <f>IF($DA127="","",IF(OR($EO127="",$EP127=""),"ONZEKER",IF(OR($EL127="",$EM127=""),"ONZEKER",IF(AND($EO127=$EL127+1,$EP127=$EM127),IF(OR(COUNTIF(#REF!,$B127)&gt;0,COUNTIF(#REF!,$B127)=0),"SKIP",IF(COUNTIFS(#REF!,$B127,#REF!,$DA127)&gt;0,"OK","ONBEKEND")),IF(AND($EO127=$EL127,$EP127=$EM127+1),IF(OR(COUNTIF(#REF!,$D127)&gt;0,COUNTIF(#REF!,$D127)=0),"SKIP",IF(COUNTIFS(#REF!,$D127,#REF!,$DA127)&gt;0,"OK","ONBEKEND")),"ONZEKER")))))</f>
        <v/>
      </c>
      <c r="DC127" t="str">
        <f t="shared" si="934"/>
        <v/>
      </c>
      <c r="DD127" t="str">
        <f t="shared" si="935"/>
        <v/>
      </c>
      <c r="DE127" t="str">
        <f>IF($DD127="","",IF(OR($ER127="",$ES127=""),"ONZEKER",IF(OR($EO127="",$EP127=""),"ONZEKER",IF(AND($ER127=$EO127+1,$ES127=$EP127),IF(OR(COUNTIF(#REF!,$B127)&gt;0,COUNTIF(#REF!,$B127)=0),"SKIP",IF(COUNTIFS(#REF!,$B127,#REF!,$DD127)&gt;0,"OK","ONBEKEND")),IF(AND($ER127=$EO127,$ES127=$EP127+1),IF(OR(COUNTIF(#REF!,$D127)&gt;0,COUNTIF(#REF!,$D127)=0),"SKIP",IF(COUNTIFS(#REF!,$D127,#REF!,$DD127)&gt;0,"OK","ONBEKEND")),"ONZEKER")))))</f>
        <v/>
      </c>
      <c r="DF127" t="str">
        <f t="shared" si="936"/>
        <v/>
      </c>
      <c r="DG127" t="str">
        <f t="shared" si="937"/>
        <v/>
      </c>
      <c r="DH127" t="str">
        <f>IF($DG127="","",IF(OR($EU127="",$EV127=""),"ONZEKER",IF(OR($ER127="",$ES127=""),"ONZEKER",IF(AND($EU127=$ER127+1,$EV127=$ES127),IF(OR(COUNTIF(#REF!,$B127)&gt;0,COUNTIF(#REF!,$B127)=0),"SKIP",IF(COUNTIFS(#REF!,$B127,#REF!,$DG127)&gt;0,"OK","ONBEKEND")),IF(AND($EU127=$ER127,$EV127=$ES127+1),IF(OR(COUNTIF(#REF!,$D127)&gt;0,COUNTIF(#REF!,$D127)=0),"SKIP",IF(COUNTIFS(#REF!,$D127,#REF!,$DG127)&gt;0,"OK","ONBEKEND")),"ONZEKER")))))</f>
        <v/>
      </c>
      <c r="DI127" t="str">
        <f t="shared" si="938"/>
        <v/>
      </c>
      <c r="DJ127" t="str">
        <f t="shared" si="939"/>
        <v/>
      </c>
      <c r="DK127" t="str">
        <f>IF($DJ127="","",IF(OR($EX127="",$EY127=""),"ONZEKER",IF(OR($EU127="",$EV127=""),"ONZEKER",IF(AND($EX127=$EU127+1,$EY127=$EV127),IF(OR(COUNTIF(#REF!,$B127)&gt;0,COUNTIF(#REF!,$B127)=0),"SKIP",IF(COUNTIFS(#REF!,$B127,#REF!,$DJ127)&gt;0,"OK","ONBEKEND")),IF(AND($EX127=$EU127,$EY127=$EV127+1),IF(OR(COUNTIF(#REF!,$D127)&gt;0,COUNTIF(#REF!,$D127)=0),"SKIP",IF(COUNTIFS(#REF!,$D127,#REF!,$DJ127)&gt;0,"OK","ONBEKEND")),"ONZEKER")))))</f>
        <v/>
      </c>
      <c r="DL127" t="str">
        <f t="shared" si="940"/>
        <v/>
      </c>
      <c r="DM127" t="str">
        <f t="shared" si="941"/>
        <v/>
      </c>
      <c r="DN127" t="str">
        <f t="shared" si="942"/>
        <v/>
      </c>
      <c r="DO127" t="str">
        <f t="shared" si="943"/>
        <v/>
      </c>
      <c r="DP127" t="str">
        <f t="shared" si="944"/>
        <v/>
      </c>
      <c r="DQ127" t="str">
        <f t="shared" si="945"/>
        <v/>
      </c>
      <c r="DR127" t="str">
        <f t="shared" si="946"/>
        <v/>
      </c>
      <c r="DS127" t="str">
        <f t="shared" si="947"/>
        <v/>
      </c>
      <c r="DT127" t="str">
        <f t="shared" si="948"/>
        <v/>
      </c>
      <c r="DU127" t="str">
        <f t="shared" si="949"/>
        <v/>
      </c>
      <c r="DV127" t="str">
        <f t="shared" si="950"/>
        <v/>
      </c>
      <c r="DW127" t="str">
        <f t="shared" si="951"/>
        <v/>
      </c>
      <c r="DX127" t="str">
        <f t="shared" si="952"/>
        <v/>
      </c>
      <c r="DY127" t="str">
        <f t="shared" si="953"/>
        <v/>
      </c>
      <c r="DZ127" t="str">
        <f t="shared" si="954"/>
        <v/>
      </c>
      <c r="EA127" t="str">
        <f t="shared" si="955"/>
        <v/>
      </c>
      <c r="EB127" t="str">
        <f t="shared" si="956"/>
        <v/>
      </c>
      <c r="EC127" t="str">
        <f t="shared" si="957"/>
        <v/>
      </c>
      <c r="ED127" t="str">
        <f t="shared" si="958"/>
        <v/>
      </c>
      <c r="EE127" t="str">
        <f t="shared" si="959"/>
        <v/>
      </c>
      <c r="EF127" t="str">
        <f t="shared" si="960"/>
        <v/>
      </c>
      <c r="EG127" t="str">
        <f t="shared" si="961"/>
        <v/>
      </c>
      <c r="EH127" t="str">
        <f t="shared" si="962"/>
        <v/>
      </c>
      <c r="EI127" t="str">
        <f t="shared" si="963"/>
        <v/>
      </c>
      <c r="EJ127" t="str">
        <f t="shared" si="964"/>
        <v/>
      </c>
      <c r="EK127" t="str">
        <f t="shared" si="965"/>
        <v/>
      </c>
      <c r="EL127" t="str">
        <f t="shared" si="966"/>
        <v/>
      </c>
      <c r="EM127" t="str">
        <f t="shared" si="967"/>
        <v/>
      </c>
      <c r="EN127" t="str">
        <f t="shared" si="968"/>
        <v/>
      </c>
      <c r="EO127" t="str">
        <f t="shared" si="969"/>
        <v/>
      </c>
      <c r="EP127" t="str">
        <f t="shared" si="970"/>
        <v/>
      </c>
      <c r="EQ127" t="str">
        <f t="shared" si="971"/>
        <v/>
      </c>
      <c r="ER127" t="str">
        <f t="shared" si="972"/>
        <v/>
      </c>
      <c r="ES127" t="str">
        <f t="shared" si="973"/>
        <v/>
      </c>
      <c r="ET127" t="str">
        <f t="shared" si="974"/>
        <v/>
      </c>
      <c r="EU127" t="str">
        <f t="shared" si="975"/>
        <v/>
      </c>
      <c r="EV127" t="str">
        <f t="shared" si="976"/>
        <v/>
      </c>
      <c r="EW127" t="str">
        <f t="shared" si="977"/>
        <v/>
      </c>
      <c r="EX127" t="str">
        <f t="shared" si="978"/>
        <v/>
      </c>
      <c r="EY127" t="str">
        <f t="shared" si="979"/>
        <v/>
      </c>
    </row>
    <row r="128" spans="1:155" ht="13.9" customHeight="1" x14ac:dyDescent="0.25">
      <c r="A128" s="7"/>
      <c r="B128" s="17"/>
      <c r="C128" s="8"/>
      <c r="D128" s="17"/>
      <c r="E128" s="8"/>
      <c r="F128" s="18">
        <v>0</v>
      </c>
      <c r="G128" s="7" t="s">
        <v>147</v>
      </c>
      <c r="H128" s="18">
        <v>0</v>
      </c>
      <c r="I128" s="19">
        <v>0</v>
      </c>
      <c r="J128" s="7" t="s">
        <v>147</v>
      </c>
      <c r="K128" s="19">
        <v>0</v>
      </c>
      <c r="L128" s="9"/>
      <c r="M128" s="3" t="str">
        <f>IF($L128="","",IF($L128="DOELPUNTENMAKERS","",IF(AND(COUNTIF(#REF!,$B128)=0,COUNTIF(#REF!,$D128)=0),"OK",IF($O128&gt;20,"LET OP: meer dan 20 items (controle onvolledig)",IF((COUNTIF($R128:$AS128,"ONZEKER")+COUNTIF($CJ128:$DK128,"ONZEKER"))&gt;0,"LET OP: scoreverloop onduidelijk (controle beperkt)",IF((IF($AT128&lt;&gt;"",$AT128&amp;", ","")&amp;IF($AU128&lt;&gt;"",$AU128&amp;", ","")&amp;IF($AV128&lt;&gt;"",$AV128&amp;", ","")&amp;IF($AW128&lt;&gt;"",$AW128&amp;", ","")&amp;IF($AX128&lt;&gt;"",$AX128&amp;", ","")&amp;IF($AY128&lt;&gt;"",$AY128&amp;", ","")&amp;IF($AZ128&lt;&gt;"",$AZ128&amp;", ","")&amp;IF($BA128&lt;&gt;"",$BA128&amp;", ","")&amp;IF($BB128&lt;&gt;"",$BB128&amp;", ","")&amp;IF($BC128&lt;&gt;"",$BC128&amp;", ","")&amp;IF($DL128&lt;&gt;"",$DL128&amp;", ","")&amp;IF($DM128&lt;&gt;"",$DM128&amp;", ","")&amp;IF($DN128&lt;&gt;"",$DN128&amp;", ","")&amp;IF($DO128&lt;&gt;"",$DO128&amp;", ","")&amp;IF($DP128&lt;&gt;"",$DP128&amp;", ","")&amp;IF($DQ128&lt;&gt;"",$DQ128&amp;", ","")&amp;IF($DR128&lt;&gt;"",$DR128&amp;", ","")&amp;IF($DS128&lt;&gt;"",$DS128&amp;", ","")&amp;IF($DT128&lt;&gt;"",$DT128&amp;", ","")&amp;IF($DU128&lt;&gt;"",$DU128&amp;", ",""))="","OK","Onbekend: "&amp;LEFT((IF($AT128&lt;&gt;"",$AT128&amp;", ","")&amp;IF($AU128&lt;&gt;"",$AU128&amp;", ","")&amp;IF($AV128&lt;&gt;"",$AV128&amp;", ","")&amp;IF($AW128&lt;&gt;"",$AW128&amp;", ","")&amp;IF($AX128&lt;&gt;"",$AX128&amp;", ","")&amp;IF($AY128&lt;&gt;"",$AY128&amp;", ","")&amp;IF($AZ128&lt;&gt;"",$AZ128&amp;", ","")&amp;IF($BA128&lt;&gt;"",$BA128&amp;", ","")&amp;IF($BB128&lt;&gt;"",$BB128&amp;", ","")&amp;IF($BC128&lt;&gt;"",$BC128&amp;", ","")&amp;IF($DL128&lt;&gt;"",$DL128&amp;", ","")&amp;IF($DM128&lt;&gt;"",$DM128&amp;", ","")&amp;IF($DN128&lt;&gt;"",$DN128&amp;", ","")&amp;IF($DO128&lt;&gt;"",$DO128&amp;", ","")&amp;IF($DP128&lt;&gt;"",$DP128&amp;", ","")&amp;IF($DQ128&lt;&gt;"",$DQ128&amp;", ","")&amp;IF($DR128&lt;&gt;"",$DR128&amp;", ","")&amp;IF($DS128&lt;&gt;"",$DS128&amp;", ","")&amp;IF($DT128&lt;&gt;"",$DT128&amp;", ","")&amp;IF($DU128&lt;&gt;"",$DU128&amp;", ","")),LEN((IF($AT128&lt;&gt;"",$AT128&amp;", ","")&amp;IF($AU128&lt;&gt;"",$AU128&amp;", ","")&amp;IF($AV128&lt;&gt;"",$AV128&amp;", ","")&amp;IF($AW128&lt;&gt;"",$AW128&amp;", ","")&amp;IF($AX128&lt;&gt;"",$AX128&amp;", ","")&amp;IF($AY128&lt;&gt;"",$AY128&amp;", ","")&amp;IF($AZ128&lt;&gt;"",$AZ128&amp;", ","")&amp;IF($BA128&lt;&gt;"",$BA128&amp;", ","")&amp;IF($BB128&lt;&gt;"",$BB128&amp;", ","")&amp;IF($BC128&lt;&gt;"",$BC128&amp;", ","")&amp;IF($DL128&lt;&gt;"",$DL128&amp;", ","")&amp;IF($DM128&lt;&gt;"",$DM128&amp;", ","")&amp;IF($DN128&lt;&gt;"",$DN128&amp;", ","")&amp;IF($DO128&lt;&gt;"",$DO128&amp;", ","")&amp;IF($DP128&lt;&gt;"",$DP128&amp;", ","")&amp;IF($DQ128&lt;&gt;"",$DQ128&amp;", ","")&amp;IF($DR128&lt;&gt;"",$DR128&amp;", ","")&amp;IF($DS128&lt;&gt;"",$DS128&amp;", ","")&amp;IF($DT128&lt;&gt;"",$DT128&amp;", ","")&amp;IF($DU128&lt;&gt;"",$DU128&amp;", ","")))-2)))))))</f>
        <v/>
      </c>
      <c r="N128" t="str">
        <f t="shared" si="888"/>
        <v/>
      </c>
      <c r="O128" t="str">
        <f t="shared" si="889"/>
        <v/>
      </c>
      <c r="P128" t="str">
        <f t="shared" si="890"/>
        <v/>
      </c>
      <c r="Q128" t="str">
        <f t="shared" si="891"/>
        <v/>
      </c>
      <c r="R128" t="str">
        <f>IF($Q128="","",IF(OR($BE128="",$BF128=""),"ONZEKER",IF(AND($BE128=0+1,$BF128=0),IF(OR(COUNTIF(#REF!,$B128)&gt;0,COUNTIF(#REF!,$B128)=0),"SKIP",IF(COUNTIFS(#REF!,$B128,#REF!,$Q128)&gt;0,"OK","ONBEKEND")),IF(AND($BE128=0,$BF128=0+1),IF(OR(COUNTIF(#REF!,$D128)&gt;0,COUNTIF(#REF!,$D128)=0),"SKIP",IF(COUNTIFS(#REF!,$D128,#REF!,$Q128)&gt;0,"OK","ONBEKEND")),"ONZEKER"))))</f>
        <v/>
      </c>
      <c r="S128" t="str">
        <f t="shared" si="892"/>
        <v/>
      </c>
      <c r="T128" t="str">
        <f t="shared" si="893"/>
        <v/>
      </c>
      <c r="U128" t="str">
        <f>IF($T128="","",IF(OR($BH128="",$BI128=""),"ONZEKER",IF(OR($BE128="",$BF128=""),"ONZEKER",IF(AND($BH128=$BE128+1,$BI128=$BF128),IF(OR(COUNTIF(#REF!,$B128)&gt;0,COUNTIF(#REF!,$B128)=0),"SKIP",IF(COUNTIFS(#REF!,$B128,#REF!,$T128)&gt;0,"OK","ONBEKEND")),IF(AND($BH128=$BE128,$BI128=$BF128+1),IF(OR(COUNTIF(#REF!,$D128)&gt;0,COUNTIF(#REF!,$D128)=0),"SKIP",IF(COUNTIFS(#REF!,$D128,#REF!,$T128)&gt;0,"OK","ONBEKEND")),"ONZEKER")))))</f>
        <v/>
      </c>
      <c r="V128" t="str">
        <f t="shared" si="894"/>
        <v/>
      </c>
      <c r="W128" t="str">
        <f t="shared" si="895"/>
        <v/>
      </c>
      <c r="X128" t="str">
        <f>IF($W128="","",IF(OR($BK128="",$BL128=""),"ONZEKER",IF(OR($BH128="",$BI128=""),"ONZEKER",IF(AND($BK128=$BH128+1,$BL128=$BI128),IF(OR(COUNTIF(#REF!,$B128)&gt;0,COUNTIF(#REF!,$B128)=0),"SKIP",IF(COUNTIFS(#REF!,$B128,#REF!,$W128)&gt;0,"OK","ONBEKEND")),IF(AND($BK128=$BH128,$BL128=$BI128+1),IF(OR(COUNTIF(#REF!,$D128)&gt;0,COUNTIF(#REF!,$D128)=0),"SKIP",IF(COUNTIFS(#REF!,$D128,#REF!,$W128)&gt;0,"OK","ONBEKEND")),"ONZEKER")))))</f>
        <v/>
      </c>
      <c r="Y128" t="str">
        <f t="shared" si="896"/>
        <v/>
      </c>
      <c r="Z128" t="str">
        <f t="shared" si="897"/>
        <v/>
      </c>
      <c r="AA128" t="str">
        <f>IF($Z128="","",IF(OR($BN128="",$BO128=""),"ONZEKER",IF(OR($BK128="",$BL128=""),"ONZEKER",IF(AND($BN128=$BK128+1,$BO128=$BL128),IF(OR(COUNTIF(#REF!,$B128)&gt;0,COUNTIF(#REF!,$B128)=0),"SKIP",IF(COUNTIFS(#REF!,$B128,#REF!,$Z128)&gt;0,"OK","ONBEKEND")),IF(AND($BN128=$BK128,$BO128=$BL128+1),IF(OR(COUNTIF(#REF!,$D128)&gt;0,COUNTIF(#REF!,$D128)=0),"SKIP",IF(COUNTIFS(#REF!,$D128,#REF!,$Z128)&gt;0,"OK","ONBEKEND")),"ONZEKER")))))</f>
        <v/>
      </c>
      <c r="AB128" t="str">
        <f t="shared" si="898"/>
        <v/>
      </c>
      <c r="AC128" t="str">
        <f t="shared" si="899"/>
        <v/>
      </c>
      <c r="AD128" t="str">
        <f>IF($AC128="","",IF(OR($BQ128="",$BR128=""),"ONZEKER",IF(OR($BN128="",$BO128=""),"ONZEKER",IF(AND($BQ128=$BN128+1,$BR128=$BO128),IF(OR(COUNTIF(#REF!,$B128)&gt;0,COUNTIF(#REF!,$B128)=0),"SKIP",IF(COUNTIFS(#REF!,$B128,#REF!,$AC128)&gt;0,"OK","ONBEKEND")),IF(AND($BQ128=$BN128,$BR128=$BO128+1),IF(OR(COUNTIF(#REF!,$D128)&gt;0,COUNTIF(#REF!,$D128)=0),"SKIP",IF(COUNTIFS(#REF!,$D128,#REF!,$AC128)&gt;0,"OK","ONBEKEND")),"ONZEKER")))))</f>
        <v/>
      </c>
      <c r="AE128" t="str">
        <f t="shared" si="900"/>
        <v/>
      </c>
      <c r="AF128" t="str">
        <f t="shared" si="901"/>
        <v/>
      </c>
      <c r="AG128" t="str">
        <f>IF($AF128="","",IF(OR($BT128="",$BU128=""),"ONZEKER",IF(OR($BQ128="",$BR128=""),"ONZEKER",IF(AND($BT128=$BQ128+1,$BU128=$BR128),IF(OR(COUNTIF(#REF!,$B128)&gt;0,COUNTIF(#REF!,$B128)=0),"SKIP",IF(COUNTIFS(#REF!,$B128,#REF!,$AF128)&gt;0,"OK","ONBEKEND")),IF(AND($BT128=$BQ128,$BU128=$BR128+1),IF(OR(COUNTIF(#REF!,$D128)&gt;0,COUNTIF(#REF!,$D128)=0),"SKIP",IF(COUNTIFS(#REF!,$D128,#REF!,$AF128)&gt;0,"OK","ONBEKEND")),"ONZEKER")))))</f>
        <v/>
      </c>
      <c r="AH128" t="str">
        <f t="shared" si="902"/>
        <v/>
      </c>
      <c r="AI128" t="str">
        <f t="shared" si="903"/>
        <v/>
      </c>
      <c r="AJ128" t="str">
        <f>IF($AI128="","",IF(OR($BW128="",$BX128=""),"ONZEKER",IF(OR($BT128="",$BU128=""),"ONZEKER",IF(AND($BW128=$BT128+1,$BX128=$BU128),IF(OR(COUNTIF(#REF!,$B128)&gt;0,COUNTIF(#REF!,$B128)=0),"SKIP",IF(COUNTIFS(#REF!,$B128,#REF!,$AI128)&gt;0,"OK","ONBEKEND")),IF(AND($BW128=$BT128,$BX128=$BU128+1),IF(OR(COUNTIF(#REF!,$D128)&gt;0,COUNTIF(#REF!,$D128)=0),"SKIP",IF(COUNTIFS(#REF!,$D128,#REF!,$AI128)&gt;0,"OK","ONBEKEND")),"ONZEKER")))))</f>
        <v/>
      </c>
      <c r="AK128" t="str">
        <f t="shared" si="904"/>
        <v/>
      </c>
      <c r="AL128" t="str">
        <f t="shared" si="905"/>
        <v/>
      </c>
      <c r="AM128" t="str">
        <f>IF($AL128="","",IF(OR($BZ128="",$CA128=""),"ONZEKER",IF(OR($BW128="",$BX128=""),"ONZEKER",IF(AND($BZ128=$BW128+1,$CA128=$BX128),IF(OR(COUNTIF(#REF!,$B128)&gt;0,COUNTIF(#REF!,$B128)=0),"SKIP",IF(COUNTIFS(#REF!,$B128,#REF!,$AL128)&gt;0,"OK","ONBEKEND")),IF(AND($BZ128=$BW128,$CA128=$BX128+1),IF(OR(COUNTIF(#REF!,$D128)&gt;0,COUNTIF(#REF!,$D128)=0),"SKIP",IF(COUNTIFS(#REF!,$D128,#REF!,$AL128)&gt;0,"OK","ONBEKEND")),"ONZEKER")))))</f>
        <v/>
      </c>
      <c r="AN128" t="str">
        <f t="shared" si="906"/>
        <v/>
      </c>
      <c r="AO128" t="str">
        <f t="shared" si="907"/>
        <v/>
      </c>
      <c r="AP128" t="str">
        <f>IF($AO128="","",IF(OR($CC128="",$CD128=""),"ONZEKER",IF(OR($BZ128="",$CA128=""),"ONZEKER",IF(AND($CC128=$BZ128+1,$CD128=$CA128),IF(OR(COUNTIF(#REF!,$B128)&gt;0,COUNTIF(#REF!,$B128)=0),"SKIP",IF(COUNTIFS(#REF!,$B128,#REF!,$AO128)&gt;0,"OK","ONBEKEND")),IF(AND($CC128=$BZ128,$CD128=$CA128+1),IF(OR(COUNTIF(#REF!,$D128)&gt;0,COUNTIF(#REF!,$D128)=0),"SKIP",IF(COUNTIFS(#REF!,$D128,#REF!,$AO128)&gt;0,"OK","ONBEKEND")),"ONZEKER")))))</f>
        <v/>
      </c>
      <c r="AQ128" t="str">
        <f t="shared" si="908"/>
        <v/>
      </c>
      <c r="AR128" t="str">
        <f t="shared" si="909"/>
        <v/>
      </c>
      <c r="AS128" t="str">
        <f>IF($AR128="","",IF(OR($CF128="",$CG128=""),"ONZEKER",IF(OR($CC128="",$CD128=""),"ONZEKER",IF(AND($CF128=$CC128+1,$CG128=$CD128),IF(OR(COUNTIF(#REF!,$B128)&gt;0,COUNTIF(#REF!,$B128)=0),"SKIP",IF(COUNTIFS(#REF!,$B128,#REF!,$AR128)&gt;0,"OK","ONBEKEND")),IF(AND($CF128=$CC128,$CG128=$CD128+1),IF(OR(COUNTIF(#REF!,$D128)&gt;0,COUNTIF(#REF!,$D128)=0),"SKIP",IF(COUNTIFS(#REF!,$D128,#REF!,$AR128)&gt;0,"OK","ONBEKEND")),"ONZEKER")))))</f>
        <v/>
      </c>
      <c r="AT128" t="str">
        <f t="shared" si="910"/>
        <v/>
      </c>
      <c r="AU128" t="str">
        <f t="shared" si="911"/>
        <v/>
      </c>
      <c r="AV128" t="str">
        <f t="shared" si="912"/>
        <v/>
      </c>
      <c r="AW128" t="str">
        <f t="shared" si="913"/>
        <v/>
      </c>
      <c r="AX128" t="str">
        <f t="shared" si="914"/>
        <v/>
      </c>
      <c r="AY128" t="str">
        <f t="shared" si="915"/>
        <v/>
      </c>
      <c r="AZ128" t="str">
        <f t="shared" si="916"/>
        <v/>
      </c>
      <c r="BA128" t="str">
        <f t="shared" si="917"/>
        <v/>
      </c>
      <c r="BB128" t="str">
        <f t="shared" si="918"/>
        <v/>
      </c>
      <c r="BC128" t="str">
        <f t="shared" si="919"/>
        <v/>
      </c>
      <c r="BD128" t="str">
        <f t="shared" si="490"/>
        <v/>
      </c>
      <c r="BE128" t="str">
        <f t="shared" si="491"/>
        <v/>
      </c>
      <c r="BF128" t="str">
        <f t="shared" si="492"/>
        <v/>
      </c>
      <c r="BG128" t="str">
        <f t="shared" si="493"/>
        <v/>
      </c>
      <c r="BH128" t="str">
        <f t="shared" si="494"/>
        <v/>
      </c>
      <c r="BI128" t="str">
        <f t="shared" si="495"/>
        <v/>
      </c>
      <c r="BJ128" t="str">
        <f t="shared" si="496"/>
        <v/>
      </c>
      <c r="BK128" t="str">
        <f t="shared" si="497"/>
        <v/>
      </c>
      <c r="BL128" t="str">
        <f t="shared" si="498"/>
        <v/>
      </c>
      <c r="BM128" t="str">
        <f t="shared" si="499"/>
        <v/>
      </c>
      <c r="BN128" t="str">
        <f t="shared" si="500"/>
        <v/>
      </c>
      <c r="BO128" t="str">
        <f t="shared" si="501"/>
        <v/>
      </c>
      <c r="BP128" t="str">
        <f t="shared" si="502"/>
        <v/>
      </c>
      <c r="BQ128" t="str">
        <f t="shared" si="503"/>
        <v/>
      </c>
      <c r="BR128" t="str">
        <f t="shared" si="504"/>
        <v/>
      </c>
      <c r="BS128" t="str">
        <f t="shared" si="505"/>
        <v/>
      </c>
      <c r="BT128" t="str">
        <f t="shared" si="506"/>
        <v/>
      </c>
      <c r="BU128" t="str">
        <f t="shared" si="507"/>
        <v/>
      </c>
      <c r="BV128" t="str">
        <f t="shared" si="508"/>
        <v/>
      </c>
      <c r="BW128" t="str">
        <f t="shared" si="509"/>
        <v/>
      </c>
      <c r="BX128" t="str">
        <f t="shared" si="510"/>
        <v/>
      </c>
      <c r="BY128" t="str">
        <f t="shared" si="511"/>
        <v/>
      </c>
      <c r="BZ128" t="str">
        <f t="shared" si="512"/>
        <v/>
      </c>
      <c r="CA128" t="str">
        <f t="shared" si="513"/>
        <v/>
      </c>
      <c r="CB128" t="str">
        <f t="shared" si="514"/>
        <v/>
      </c>
      <c r="CC128" t="str">
        <f t="shared" si="515"/>
        <v/>
      </c>
      <c r="CD128" t="str">
        <f t="shared" si="516"/>
        <v/>
      </c>
      <c r="CE128" t="str">
        <f t="shared" si="517"/>
        <v/>
      </c>
      <c r="CF128" t="str">
        <f t="shared" si="518"/>
        <v/>
      </c>
      <c r="CG128" t="str">
        <f t="shared" si="519"/>
        <v/>
      </c>
      <c r="CH128" t="str">
        <f t="shared" si="920"/>
        <v/>
      </c>
      <c r="CI128" t="str">
        <f t="shared" si="921"/>
        <v/>
      </c>
      <c r="CJ128" t="str">
        <f>IF($CI128="","",IF(OR($DW128="",$DX128=""),"ONZEKER",IF(OR($CF128="",$CG128=""),"ONZEKER",IF(AND($DW128=$CF128+1,$DX128=$CG128),IF(OR(COUNTIF(#REF!,$B128)&gt;0,COUNTIF(#REF!,$B128)=0),"SKIP",IF(COUNTIFS(#REF!,$B128,#REF!,$CI128)&gt;0,"OK","ONBEKEND")),IF(AND($DW128=$CF128,$DX128=$CG128+1),IF(OR(COUNTIF(#REF!,$D128)&gt;0,COUNTIF(#REF!,$D128)=0),"SKIP",IF(COUNTIFS(#REF!,$D128,#REF!,$CI128)&gt;0,"OK","ONBEKEND")),"ONZEKER")))))</f>
        <v/>
      </c>
      <c r="CK128" t="str">
        <f t="shared" si="922"/>
        <v/>
      </c>
      <c r="CL128" t="str">
        <f t="shared" si="923"/>
        <v/>
      </c>
      <c r="CM128" t="str">
        <f>IF($CL128="","",IF(OR($DZ128="",$EA128=""),"ONZEKER",IF(OR($DW128="",$DX128=""),"ONZEKER",IF(AND($DZ128=$DW128+1,$EA128=$DX128),IF(OR(COUNTIF(#REF!,$B128)&gt;0,COUNTIF(#REF!,$B128)=0),"SKIP",IF(COUNTIFS(#REF!,$B128,#REF!,$CL128)&gt;0,"OK","ONBEKEND")),IF(AND($DZ128=$DW128,$EA128=$DX128+1),IF(OR(COUNTIF(#REF!,$D128)&gt;0,COUNTIF(#REF!,$D128)=0),"SKIP",IF(COUNTIFS(#REF!,$D128,#REF!,$CL128)&gt;0,"OK","ONBEKEND")),"ONZEKER")))))</f>
        <v/>
      </c>
      <c r="CN128" t="str">
        <f t="shared" si="924"/>
        <v/>
      </c>
      <c r="CO128" t="str">
        <f t="shared" si="925"/>
        <v/>
      </c>
      <c r="CP128" t="str">
        <f>IF($CO128="","",IF(OR($EC128="",$ED128=""),"ONZEKER",IF(OR($DZ128="",$EA128=""),"ONZEKER",IF(AND($EC128=$DZ128+1,$ED128=$EA128),IF(OR(COUNTIF(#REF!,$B128)&gt;0,COUNTIF(#REF!,$B128)=0),"SKIP",IF(COUNTIFS(#REF!,$B128,#REF!,$CO128)&gt;0,"OK","ONBEKEND")),IF(AND($EC128=$DZ128,$ED128=$EA128+1),IF(OR(COUNTIF(#REF!,$D128)&gt;0,COUNTIF(#REF!,$D128)=0),"SKIP",IF(COUNTIFS(#REF!,$D128,#REF!,$CO128)&gt;0,"OK","ONBEKEND")),"ONZEKER")))))</f>
        <v/>
      </c>
      <c r="CQ128" t="str">
        <f t="shared" si="926"/>
        <v/>
      </c>
      <c r="CR128" t="str">
        <f t="shared" si="927"/>
        <v/>
      </c>
      <c r="CS128" t="str">
        <f>IF($CR128="","",IF(OR($EF128="",$EG128=""),"ONZEKER",IF(OR($EC128="",$ED128=""),"ONZEKER",IF(AND($EF128=$EC128+1,$EG128=$ED128),IF(OR(COUNTIF(#REF!,$B128)&gt;0,COUNTIF(#REF!,$B128)=0),"SKIP",IF(COUNTIFS(#REF!,$B128,#REF!,$CR128)&gt;0,"OK","ONBEKEND")),IF(AND($EF128=$EC128,$EG128=$ED128+1),IF(OR(COUNTIF(#REF!,$D128)&gt;0,COUNTIF(#REF!,$D128)=0),"SKIP",IF(COUNTIFS(#REF!,$D128,#REF!,$CR128)&gt;0,"OK","ONBEKEND")),"ONZEKER")))))</f>
        <v/>
      </c>
      <c r="CT128" t="str">
        <f t="shared" si="928"/>
        <v/>
      </c>
      <c r="CU128" t="str">
        <f t="shared" si="929"/>
        <v/>
      </c>
      <c r="CV128" t="str">
        <f>IF($CU128="","",IF(OR($EI128="",$EJ128=""),"ONZEKER",IF(OR($EF128="",$EG128=""),"ONZEKER",IF(AND($EI128=$EF128+1,$EJ128=$EG128),IF(OR(COUNTIF(#REF!,$B128)&gt;0,COUNTIF(#REF!,$B128)=0),"SKIP",IF(COUNTIFS(#REF!,$B128,#REF!,$CU128)&gt;0,"OK","ONBEKEND")),IF(AND($EI128=$EF128,$EJ128=$EG128+1),IF(OR(COUNTIF(#REF!,$D128)&gt;0,COUNTIF(#REF!,$D128)=0),"SKIP",IF(COUNTIFS(#REF!,$D128,#REF!,$CU128)&gt;0,"OK","ONBEKEND")),"ONZEKER")))))</f>
        <v/>
      </c>
      <c r="CW128" t="str">
        <f t="shared" si="930"/>
        <v/>
      </c>
      <c r="CX128" t="str">
        <f t="shared" si="931"/>
        <v/>
      </c>
      <c r="CY128" t="str">
        <f>IF($CX128="","",IF(OR($EL128="",$EM128=""),"ONZEKER",IF(OR($EI128="",$EJ128=""),"ONZEKER",IF(AND($EL128=$EI128+1,$EM128=$EJ128),IF(OR(COUNTIF(#REF!,$B128)&gt;0,COUNTIF(#REF!,$B128)=0),"SKIP",IF(COUNTIFS(#REF!,$B128,#REF!,$CX128)&gt;0,"OK","ONBEKEND")),IF(AND($EL128=$EI128,$EM128=$EJ128+1),IF(OR(COUNTIF(#REF!,$D128)&gt;0,COUNTIF(#REF!,$D128)=0),"SKIP",IF(COUNTIFS(#REF!,$D128,#REF!,$CX128)&gt;0,"OK","ONBEKEND")),"ONZEKER")))))</f>
        <v/>
      </c>
      <c r="CZ128" t="str">
        <f t="shared" si="932"/>
        <v/>
      </c>
      <c r="DA128" t="str">
        <f t="shared" si="933"/>
        <v/>
      </c>
      <c r="DB128" t="str">
        <f>IF($DA128="","",IF(OR($EO128="",$EP128=""),"ONZEKER",IF(OR($EL128="",$EM128=""),"ONZEKER",IF(AND($EO128=$EL128+1,$EP128=$EM128),IF(OR(COUNTIF(#REF!,$B128)&gt;0,COUNTIF(#REF!,$B128)=0),"SKIP",IF(COUNTIFS(#REF!,$B128,#REF!,$DA128)&gt;0,"OK","ONBEKEND")),IF(AND($EO128=$EL128,$EP128=$EM128+1),IF(OR(COUNTIF(#REF!,$D128)&gt;0,COUNTIF(#REF!,$D128)=0),"SKIP",IF(COUNTIFS(#REF!,$D128,#REF!,$DA128)&gt;0,"OK","ONBEKEND")),"ONZEKER")))))</f>
        <v/>
      </c>
      <c r="DC128" t="str">
        <f t="shared" si="934"/>
        <v/>
      </c>
      <c r="DD128" t="str">
        <f t="shared" si="935"/>
        <v/>
      </c>
      <c r="DE128" t="str">
        <f>IF($DD128="","",IF(OR($ER128="",$ES128=""),"ONZEKER",IF(OR($EO128="",$EP128=""),"ONZEKER",IF(AND($ER128=$EO128+1,$ES128=$EP128),IF(OR(COUNTIF(#REF!,$B128)&gt;0,COUNTIF(#REF!,$B128)=0),"SKIP",IF(COUNTIFS(#REF!,$B128,#REF!,$DD128)&gt;0,"OK","ONBEKEND")),IF(AND($ER128=$EO128,$ES128=$EP128+1),IF(OR(COUNTIF(#REF!,$D128)&gt;0,COUNTIF(#REF!,$D128)=0),"SKIP",IF(COUNTIFS(#REF!,$D128,#REF!,$DD128)&gt;0,"OK","ONBEKEND")),"ONZEKER")))))</f>
        <v/>
      </c>
      <c r="DF128" t="str">
        <f t="shared" si="936"/>
        <v/>
      </c>
      <c r="DG128" t="str">
        <f t="shared" si="937"/>
        <v/>
      </c>
      <c r="DH128" t="str">
        <f>IF($DG128="","",IF(OR($EU128="",$EV128=""),"ONZEKER",IF(OR($ER128="",$ES128=""),"ONZEKER",IF(AND($EU128=$ER128+1,$EV128=$ES128),IF(OR(COUNTIF(#REF!,$B128)&gt;0,COUNTIF(#REF!,$B128)=0),"SKIP",IF(COUNTIFS(#REF!,$B128,#REF!,$DG128)&gt;0,"OK","ONBEKEND")),IF(AND($EU128=$ER128,$EV128=$ES128+1),IF(OR(COUNTIF(#REF!,$D128)&gt;0,COUNTIF(#REF!,$D128)=0),"SKIP",IF(COUNTIFS(#REF!,$D128,#REF!,$DG128)&gt;0,"OK","ONBEKEND")),"ONZEKER")))))</f>
        <v/>
      </c>
      <c r="DI128" t="str">
        <f t="shared" si="938"/>
        <v/>
      </c>
      <c r="DJ128" t="str">
        <f t="shared" si="939"/>
        <v/>
      </c>
      <c r="DK128" t="str">
        <f>IF($DJ128="","",IF(OR($EX128="",$EY128=""),"ONZEKER",IF(OR($EU128="",$EV128=""),"ONZEKER",IF(AND($EX128=$EU128+1,$EY128=$EV128),IF(OR(COUNTIF(#REF!,$B128)&gt;0,COUNTIF(#REF!,$B128)=0),"SKIP",IF(COUNTIFS(#REF!,$B128,#REF!,$DJ128)&gt;0,"OK","ONBEKEND")),IF(AND($EX128=$EU128,$EY128=$EV128+1),IF(OR(COUNTIF(#REF!,$D128)&gt;0,COUNTIF(#REF!,$D128)=0),"SKIP",IF(COUNTIFS(#REF!,$D128,#REF!,$DJ128)&gt;0,"OK","ONBEKEND")),"ONZEKER")))))</f>
        <v/>
      </c>
      <c r="DL128" t="str">
        <f t="shared" si="940"/>
        <v/>
      </c>
      <c r="DM128" t="str">
        <f t="shared" si="941"/>
        <v/>
      </c>
      <c r="DN128" t="str">
        <f t="shared" si="942"/>
        <v/>
      </c>
      <c r="DO128" t="str">
        <f t="shared" si="943"/>
        <v/>
      </c>
      <c r="DP128" t="str">
        <f t="shared" si="944"/>
        <v/>
      </c>
      <c r="DQ128" t="str">
        <f t="shared" si="945"/>
        <v/>
      </c>
      <c r="DR128" t="str">
        <f t="shared" si="946"/>
        <v/>
      </c>
      <c r="DS128" t="str">
        <f t="shared" si="947"/>
        <v/>
      </c>
      <c r="DT128" t="str">
        <f t="shared" si="948"/>
        <v/>
      </c>
      <c r="DU128" t="str">
        <f t="shared" si="949"/>
        <v/>
      </c>
      <c r="DV128" t="str">
        <f t="shared" si="950"/>
        <v/>
      </c>
      <c r="DW128" t="str">
        <f t="shared" si="951"/>
        <v/>
      </c>
      <c r="DX128" t="str">
        <f t="shared" si="952"/>
        <v/>
      </c>
      <c r="DY128" t="str">
        <f t="shared" si="953"/>
        <v/>
      </c>
      <c r="DZ128" t="str">
        <f t="shared" si="954"/>
        <v/>
      </c>
      <c r="EA128" t="str">
        <f t="shared" si="955"/>
        <v/>
      </c>
      <c r="EB128" t="str">
        <f t="shared" si="956"/>
        <v/>
      </c>
      <c r="EC128" t="str">
        <f t="shared" si="957"/>
        <v/>
      </c>
      <c r="ED128" t="str">
        <f t="shared" si="958"/>
        <v/>
      </c>
      <c r="EE128" t="str">
        <f t="shared" si="959"/>
        <v/>
      </c>
      <c r="EF128" t="str">
        <f t="shared" si="960"/>
        <v/>
      </c>
      <c r="EG128" t="str">
        <f t="shared" si="961"/>
        <v/>
      </c>
      <c r="EH128" t="str">
        <f t="shared" si="962"/>
        <v/>
      </c>
      <c r="EI128" t="str">
        <f t="shared" si="963"/>
        <v/>
      </c>
      <c r="EJ128" t="str">
        <f t="shared" si="964"/>
        <v/>
      </c>
      <c r="EK128" t="str">
        <f t="shared" si="965"/>
        <v/>
      </c>
      <c r="EL128" t="str">
        <f t="shared" si="966"/>
        <v/>
      </c>
      <c r="EM128" t="str">
        <f t="shared" si="967"/>
        <v/>
      </c>
      <c r="EN128" t="str">
        <f t="shared" si="968"/>
        <v/>
      </c>
      <c r="EO128" t="str">
        <f t="shared" si="969"/>
        <v/>
      </c>
      <c r="EP128" t="str">
        <f t="shared" si="970"/>
        <v/>
      </c>
      <c r="EQ128" t="str">
        <f t="shared" si="971"/>
        <v/>
      </c>
      <c r="ER128" t="str">
        <f t="shared" si="972"/>
        <v/>
      </c>
      <c r="ES128" t="str">
        <f t="shared" si="973"/>
        <v/>
      </c>
      <c r="ET128" t="str">
        <f t="shared" si="974"/>
        <v/>
      </c>
      <c r="EU128" t="str">
        <f t="shared" si="975"/>
        <v/>
      </c>
      <c r="EV128" t="str">
        <f t="shared" si="976"/>
        <v/>
      </c>
      <c r="EW128" t="str">
        <f t="shared" si="977"/>
        <v/>
      </c>
      <c r="EX128" t="str">
        <f t="shared" si="978"/>
        <v/>
      </c>
      <c r="EY128" t="str">
        <f t="shared" si="979"/>
        <v/>
      </c>
    </row>
    <row r="129" spans="1:155" ht="13.9" customHeight="1" x14ac:dyDescent="0.25">
      <c r="M129" s="3" t="str">
        <f>IF($L129="","",IF($L129="DOELPUNTENMAKERS","",IF(AND(COUNTIF(#REF!,$B129)=0,COUNTIF(#REF!,$D129)=0),"OK",IF($O129&gt;20,"LET OP: meer dan 20 items (controle onvolledig)",IF((COUNTIF($R129:$AS129,"ONZEKER")+COUNTIF($CJ129:$DK129,"ONZEKER"))&gt;0,"LET OP: scoreverloop onduidelijk (controle beperkt)",IF((IF($AT129&lt;&gt;"",$AT129&amp;", ","")&amp;IF($AU129&lt;&gt;"",$AU129&amp;", ","")&amp;IF($AV129&lt;&gt;"",$AV129&amp;", ","")&amp;IF($AW129&lt;&gt;"",$AW129&amp;", ","")&amp;IF($AX129&lt;&gt;"",$AX129&amp;", ","")&amp;IF($AY129&lt;&gt;"",$AY129&amp;", ","")&amp;IF($AZ129&lt;&gt;"",$AZ129&amp;", ","")&amp;IF($BA129&lt;&gt;"",$BA129&amp;", ","")&amp;IF($BB129&lt;&gt;"",$BB129&amp;", ","")&amp;IF($BC129&lt;&gt;"",$BC129&amp;", ","")&amp;IF($DL129&lt;&gt;"",$DL129&amp;", ","")&amp;IF($DM129&lt;&gt;"",$DM129&amp;", ","")&amp;IF($DN129&lt;&gt;"",$DN129&amp;", ","")&amp;IF($DO129&lt;&gt;"",$DO129&amp;", ","")&amp;IF($DP129&lt;&gt;"",$DP129&amp;", ","")&amp;IF($DQ129&lt;&gt;"",$DQ129&amp;", ","")&amp;IF($DR129&lt;&gt;"",$DR129&amp;", ","")&amp;IF($DS129&lt;&gt;"",$DS129&amp;", ","")&amp;IF($DT129&lt;&gt;"",$DT129&amp;", ","")&amp;IF($DU129&lt;&gt;"",$DU129&amp;", ",""))="","OK","Onbekend: "&amp;LEFT((IF($AT129&lt;&gt;"",$AT129&amp;", ","")&amp;IF($AU129&lt;&gt;"",$AU129&amp;", ","")&amp;IF($AV129&lt;&gt;"",$AV129&amp;", ","")&amp;IF($AW129&lt;&gt;"",$AW129&amp;", ","")&amp;IF($AX129&lt;&gt;"",$AX129&amp;", ","")&amp;IF($AY129&lt;&gt;"",$AY129&amp;", ","")&amp;IF($AZ129&lt;&gt;"",$AZ129&amp;", ","")&amp;IF($BA129&lt;&gt;"",$BA129&amp;", ","")&amp;IF($BB129&lt;&gt;"",$BB129&amp;", ","")&amp;IF($BC129&lt;&gt;"",$BC129&amp;", ","")&amp;IF($DL129&lt;&gt;"",$DL129&amp;", ","")&amp;IF($DM129&lt;&gt;"",$DM129&amp;", ","")&amp;IF($DN129&lt;&gt;"",$DN129&amp;", ","")&amp;IF($DO129&lt;&gt;"",$DO129&amp;", ","")&amp;IF($DP129&lt;&gt;"",$DP129&amp;", ","")&amp;IF($DQ129&lt;&gt;"",$DQ129&amp;", ","")&amp;IF($DR129&lt;&gt;"",$DR129&amp;", ","")&amp;IF($DS129&lt;&gt;"",$DS129&amp;", ","")&amp;IF($DT129&lt;&gt;"",$DT129&amp;", ","")&amp;IF($DU129&lt;&gt;"",$DU129&amp;", ","")),LEN((IF($AT129&lt;&gt;"",$AT129&amp;", ","")&amp;IF($AU129&lt;&gt;"",$AU129&amp;", ","")&amp;IF($AV129&lt;&gt;"",$AV129&amp;", ","")&amp;IF($AW129&lt;&gt;"",$AW129&amp;", ","")&amp;IF($AX129&lt;&gt;"",$AX129&amp;", ","")&amp;IF($AY129&lt;&gt;"",$AY129&amp;", ","")&amp;IF($AZ129&lt;&gt;"",$AZ129&amp;", ","")&amp;IF($BA129&lt;&gt;"",$BA129&amp;", ","")&amp;IF($BB129&lt;&gt;"",$BB129&amp;", ","")&amp;IF($BC129&lt;&gt;"",$BC129&amp;", ","")&amp;IF($DL129&lt;&gt;"",$DL129&amp;", ","")&amp;IF($DM129&lt;&gt;"",$DM129&amp;", ","")&amp;IF($DN129&lt;&gt;"",$DN129&amp;", ","")&amp;IF($DO129&lt;&gt;"",$DO129&amp;", ","")&amp;IF($DP129&lt;&gt;"",$DP129&amp;", ","")&amp;IF($DQ129&lt;&gt;"",$DQ129&amp;", ","")&amp;IF($DR129&lt;&gt;"",$DR129&amp;", ","")&amp;IF($DS129&lt;&gt;"",$DS129&amp;", ","")&amp;IF($DT129&lt;&gt;"",$DT129&amp;", ","")&amp;IF($DU129&lt;&gt;"",$DU129&amp;", ","")))-2)))))))</f>
        <v/>
      </c>
      <c r="N129" t="str">
        <f t="shared" si="888"/>
        <v/>
      </c>
      <c r="O129" t="str">
        <f t="shared" si="889"/>
        <v/>
      </c>
      <c r="P129" t="str">
        <f t="shared" si="890"/>
        <v/>
      </c>
      <c r="Q129" t="str">
        <f t="shared" si="891"/>
        <v/>
      </c>
      <c r="R129" t="str">
        <f>IF($Q129="","",IF(OR($BE129="",$BF129=""),"ONZEKER",IF(AND($BE129=0+1,$BF129=0),IF(OR(COUNTIF(#REF!,$B129)&gt;0,COUNTIF(#REF!,$B129)=0),"SKIP",IF(COUNTIFS(#REF!,$B129,#REF!,$Q129)&gt;0,"OK","ONBEKEND")),IF(AND($BE129=0,$BF129=0+1),IF(OR(COUNTIF(#REF!,$D129)&gt;0,COUNTIF(#REF!,$D129)=0),"SKIP",IF(COUNTIFS(#REF!,$D129,#REF!,$Q129)&gt;0,"OK","ONBEKEND")),"ONZEKER"))))</f>
        <v/>
      </c>
      <c r="S129" t="str">
        <f t="shared" si="892"/>
        <v/>
      </c>
      <c r="T129" t="str">
        <f t="shared" si="893"/>
        <v/>
      </c>
      <c r="U129" t="str">
        <f>IF($T129="","",IF(OR($BH129="",$BI129=""),"ONZEKER",IF(OR($BE129="",$BF129=""),"ONZEKER",IF(AND($BH129=$BE129+1,$BI129=$BF129),IF(OR(COUNTIF(#REF!,$B129)&gt;0,COUNTIF(#REF!,$B129)=0),"SKIP",IF(COUNTIFS(#REF!,$B129,#REF!,$T129)&gt;0,"OK","ONBEKEND")),IF(AND($BH129=$BE129,$BI129=$BF129+1),IF(OR(COUNTIF(#REF!,$D129)&gt;0,COUNTIF(#REF!,$D129)=0),"SKIP",IF(COUNTIFS(#REF!,$D129,#REF!,$T129)&gt;0,"OK","ONBEKEND")),"ONZEKER")))))</f>
        <v/>
      </c>
      <c r="V129" t="str">
        <f t="shared" si="894"/>
        <v/>
      </c>
      <c r="W129" t="str">
        <f t="shared" si="895"/>
        <v/>
      </c>
      <c r="X129" t="str">
        <f>IF($W129="","",IF(OR($BK129="",$BL129=""),"ONZEKER",IF(OR($BH129="",$BI129=""),"ONZEKER",IF(AND($BK129=$BH129+1,$BL129=$BI129),IF(OR(COUNTIF(#REF!,$B129)&gt;0,COUNTIF(#REF!,$B129)=0),"SKIP",IF(COUNTIFS(#REF!,$B129,#REF!,$W129)&gt;0,"OK","ONBEKEND")),IF(AND($BK129=$BH129,$BL129=$BI129+1),IF(OR(COUNTIF(#REF!,$D129)&gt;0,COUNTIF(#REF!,$D129)=0),"SKIP",IF(COUNTIFS(#REF!,$D129,#REF!,$W129)&gt;0,"OK","ONBEKEND")),"ONZEKER")))))</f>
        <v/>
      </c>
      <c r="Y129" t="str">
        <f t="shared" si="896"/>
        <v/>
      </c>
      <c r="Z129" t="str">
        <f t="shared" si="897"/>
        <v/>
      </c>
      <c r="AA129" t="str">
        <f>IF($Z129="","",IF(OR($BN129="",$BO129=""),"ONZEKER",IF(OR($BK129="",$BL129=""),"ONZEKER",IF(AND($BN129=$BK129+1,$BO129=$BL129),IF(OR(COUNTIF(#REF!,$B129)&gt;0,COUNTIF(#REF!,$B129)=0),"SKIP",IF(COUNTIFS(#REF!,$B129,#REF!,$Z129)&gt;0,"OK","ONBEKEND")),IF(AND($BN129=$BK129,$BO129=$BL129+1),IF(OR(COUNTIF(#REF!,$D129)&gt;0,COUNTIF(#REF!,$D129)=0),"SKIP",IF(COUNTIFS(#REF!,$D129,#REF!,$Z129)&gt;0,"OK","ONBEKEND")),"ONZEKER")))))</f>
        <v/>
      </c>
      <c r="AB129" t="str">
        <f t="shared" si="898"/>
        <v/>
      </c>
      <c r="AC129" t="str">
        <f t="shared" si="899"/>
        <v/>
      </c>
      <c r="AD129" t="str">
        <f>IF($AC129="","",IF(OR($BQ129="",$BR129=""),"ONZEKER",IF(OR($BN129="",$BO129=""),"ONZEKER",IF(AND($BQ129=$BN129+1,$BR129=$BO129),IF(OR(COUNTIF(#REF!,$B129)&gt;0,COUNTIF(#REF!,$B129)=0),"SKIP",IF(COUNTIFS(#REF!,$B129,#REF!,$AC129)&gt;0,"OK","ONBEKEND")),IF(AND($BQ129=$BN129,$BR129=$BO129+1),IF(OR(COUNTIF(#REF!,$D129)&gt;0,COUNTIF(#REF!,$D129)=0),"SKIP",IF(COUNTIFS(#REF!,$D129,#REF!,$AC129)&gt;0,"OK","ONBEKEND")),"ONZEKER")))))</f>
        <v/>
      </c>
      <c r="AE129" t="str">
        <f t="shared" si="900"/>
        <v/>
      </c>
      <c r="AF129" t="str">
        <f t="shared" si="901"/>
        <v/>
      </c>
      <c r="AG129" t="str">
        <f>IF($AF129="","",IF(OR($BT129="",$BU129=""),"ONZEKER",IF(OR($BQ129="",$BR129=""),"ONZEKER",IF(AND($BT129=$BQ129+1,$BU129=$BR129),IF(OR(COUNTIF(#REF!,$B129)&gt;0,COUNTIF(#REF!,$B129)=0),"SKIP",IF(COUNTIFS(#REF!,$B129,#REF!,$AF129)&gt;0,"OK","ONBEKEND")),IF(AND($BT129=$BQ129,$BU129=$BR129+1),IF(OR(COUNTIF(#REF!,$D129)&gt;0,COUNTIF(#REF!,$D129)=0),"SKIP",IF(COUNTIFS(#REF!,$D129,#REF!,$AF129)&gt;0,"OK","ONBEKEND")),"ONZEKER")))))</f>
        <v/>
      </c>
      <c r="AH129" t="str">
        <f t="shared" si="902"/>
        <v/>
      </c>
      <c r="AI129" t="str">
        <f t="shared" si="903"/>
        <v/>
      </c>
      <c r="AJ129" t="str">
        <f>IF($AI129="","",IF(OR($BW129="",$BX129=""),"ONZEKER",IF(OR($BT129="",$BU129=""),"ONZEKER",IF(AND($BW129=$BT129+1,$BX129=$BU129),IF(OR(COUNTIF(#REF!,$B129)&gt;0,COUNTIF(#REF!,$B129)=0),"SKIP",IF(COUNTIFS(#REF!,$B129,#REF!,$AI129)&gt;0,"OK","ONBEKEND")),IF(AND($BW129=$BT129,$BX129=$BU129+1),IF(OR(COUNTIF(#REF!,$D129)&gt;0,COUNTIF(#REF!,$D129)=0),"SKIP",IF(COUNTIFS(#REF!,$D129,#REF!,$AI129)&gt;0,"OK","ONBEKEND")),"ONZEKER")))))</f>
        <v/>
      </c>
      <c r="AK129" t="str">
        <f t="shared" si="904"/>
        <v/>
      </c>
      <c r="AL129" t="str">
        <f t="shared" si="905"/>
        <v/>
      </c>
      <c r="AM129" t="str">
        <f>IF($AL129="","",IF(OR($BZ129="",$CA129=""),"ONZEKER",IF(OR($BW129="",$BX129=""),"ONZEKER",IF(AND($BZ129=$BW129+1,$CA129=$BX129),IF(OR(COUNTIF(#REF!,$B129)&gt;0,COUNTIF(#REF!,$B129)=0),"SKIP",IF(COUNTIFS(#REF!,$B129,#REF!,$AL129)&gt;0,"OK","ONBEKEND")),IF(AND($BZ129=$BW129,$CA129=$BX129+1),IF(OR(COUNTIF(#REF!,$D129)&gt;0,COUNTIF(#REF!,$D129)=0),"SKIP",IF(COUNTIFS(#REF!,$D129,#REF!,$AL129)&gt;0,"OK","ONBEKEND")),"ONZEKER")))))</f>
        <v/>
      </c>
      <c r="AN129" t="str">
        <f t="shared" si="906"/>
        <v/>
      </c>
      <c r="AO129" t="str">
        <f t="shared" si="907"/>
        <v/>
      </c>
      <c r="AP129" t="str">
        <f>IF($AO129="","",IF(OR($CC129="",$CD129=""),"ONZEKER",IF(OR($BZ129="",$CA129=""),"ONZEKER",IF(AND($CC129=$BZ129+1,$CD129=$CA129),IF(OR(COUNTIF(#REF!,$B129)&gt;0,COUNTIF(#REF!,$B129)=0),"SKIP",IF(COUNTIFS(#REF!,$B129,#REF!,$AO129)&gt;0,"OK","ONBEKEND")),IF(AND($CC129=$BZ129,$CD129=$CA129+1),IF(OR(COUNTIF(#REF!,$D129)&gt;0,COUNTIF(#REF!,$D129)=0),"SKIP",IF(COUNTIFS(#REF!,$D129,#REF!,$AO129)&gt;0,"OK","ONBEKEND")),"ONZEKER")))))</f>
        <v/>
      </c>
      <c r="AQ129" t="str">
        <f t="shared" si="908"/>
        <v/>
      </c>
      <c r="AR129" t="str">
        <f t="shared" si="909"/>
        <v/>
      </c>
      <c r="AS129" t="str">
        <f>IF($AR129="","",IF(OR($CF129="",$CG129=""),"ONZEKER",IF(OR($CC129="",$CD129=""),"ONZEKER",IF(AND($CF129=$CC129+1,$CG129=$CD129),IF(OR(COUNTIF(#REF!,$B129)&gt;0,COUNTIF(#REF!,$B129)=0),"SKIP",IF(COUNTIFS(#REF!,$B129,#REF!,$AR129)&gt;0,"OK","ONBEKEND")),IF(AND($CF129=$CC129,$CG129=$CD129+1),IF(OR(COUNTIF(#REF!,$D129)&gt;0,COUNTIF(#REF!,$D129)=0),"SKIP",IF(COUNTIFS(#REF!,$D129,#REF!,$AR129)&gt;0,"OK","ONBEKEND")),"ONZEKER")))))</f>
        <v/>
      </c>
      <c r="AT129" t="str">
        <f t="shared" si="910"/>
        <v/>
      </c>
      <c r="AU129" t="str">
        <f t="shared" si="911"/>
        <v/>
      </c>
      <c r="AV129" t="str">
        <f t="shared" si="912"/>
        <v/>
      </c>
      <c r="AW129" t="str">
        <f t="shared" si="913"/>
        <v/>
      </c>
      <c r="AX129" t="str">
        <f t="shared" si="914"/>
        <v/>
      </c>
      <c r="AY129" t="str">
        <f t="shared" si="915"/>
        <v/>
      </c>
      <c r="AZ129" t="str">
        <f t="shared" si="916"/>
        <v/>
      </c>
      <c r="BA129" t="str">
        <f t="shared" si="917"/>
        <v/>
      </c>
      <c r="BB129" t="str">
        <f t="shared" si="918"/>
        <v/>
      </c>
      <c r="BC129" t="str">
        <f t="shared" si="919"/>
        <v/>
      </c>
      <c r="BD129" t="str">
        <f t="shared" si="490"/>
        <v/>
      </c>
      <c r="BE129" t="str">
        <f t="shared" si="491"/>
        <v/>
      </c>
      <c r="BF129" t="str">
        <f t="shared" si="492"/>
        <v/>
      </c>
      <c r="BG129" t="str">
        <f t="shared" si="493"/>
        <v/>
      </c>
      <c r="BH129" t="str">
        <f t="shared" si="494"/>
        <v/>
      </c>
      <c r="BI129" t="str">
        <f t="shared" si="495"/>
        <v/>
      </c>
      <c r="BJ129" t="str">
        <f t="shared" si="496"/>
        <v/>
      </c>
      <c r="BK129" t="str">
        <f t="shared" si="497"/>
        <v/>
      </c>
      <c r="BL129" t="str">
        <f t="shared" si="498"/>
        <v/>
      </c>
      <c r="BM129" t="str">
        <f t="shared" si="499"/>
        <v/>
      </c>
      <c r="BN129" t="str">
        <f t="shared" si="500"/>
        <v/>
      </c>
      <c r="BO129" t="str">
        <f t="shared" si="501"/>
        <v/>
      </c>
      <c r="BP129" t="str">
        <f t="shared" si="502"/>
        <v/>
      </c>
      <c r="BQ129" t="str">
        <f t="shared" si="503"/>
        <v/>
      </c>
      <c r="BR129" t="str">
        <f t="shared" si="504"/>
        <v/>
      </c>
      <c r="BS129" t="str">
        <f t="shared" si="505"/>
        <v/>
      </c>
      <c r="BT129" t="str">
        <f t="shared" si="506"/>
        <v/>
      </c>
      <c r="BU129" t="str">
        <f t="shared" si="507"/>
        <v/>
      </c>
      <c r="BV129" t="str">
        <f t="shared" si="508"/>
        <v/>
      </c>
      <c r="BW129" t="str">
        <f t="shared" si="509"/>
        <v/>
      </c>
      <c r="BX129" t="str">
        <f t="shared" si="510"/>
        <v/>
      </c>
      <c r="BY129" t="str">
        <f t="shared" si="511"/>
        <v/>
      </c>
      <c r="BZ129" t="str">
        <f t="shared" si="512"/>
        <v/>
      </c>
      <c r="CA129" t="str">
        <f t="shared" si="513"/>
        <v/>
      </c>
      <c r="CB129" t="str">
        <f t="shared" si="514"/>
        <v/>
      </c>
      <c r="CC129" t="str">
        <f t="shared" si="515"/>
        <v/>
      </c>
      <c r="CD129" t="str">
        <f t="shared" si="516"/>
        <v/>
      </c>
      <c r="CE129" t="str">
        <f t="shared" si="517"/>
        <v/>
      </c>
      <c r="CF129" t="str">
        <f t="shared" si="518"/>
        <v/>
      </c>
      <c r="CG129" t="str">
        <f t="shared" si="519"/>
        <v/>
      </c>
      <c r="CH129" t="str">
        <f t="shared" si="920"/>
        <v/>
      </c>
      <c r="CI129" t="str">
        <f t="shared" si="921"/>
        <v/>
      </c>
      <c r="CJ129" t="str">
        <f>IF($CI129="","",IF(OR($DW129="",$DX129=""),"ONZEKER",IF(OR($CF129="",$CG129=""),"ONZEKER",IF(AND($DW129=$CF129+1,$DX129=$CG129),IF(OR(COUNTIF(#REF!,$B129)&gt;0,COUNTIF(#REF!,$B129)=0),"SKIP",IF(COUNTIFS(#REF!,$B129,#REF!,$CI129)&gt;0,"OK","ONBEKEND")),IF(AND($DW129=$CF129,$DX129=$CG129+1),IF(OR(COUNTIF(#REF!,$D129)&gt;0,COUNTIF(#REF!,$D129)=0),"SKIP",IF(COUNTIFS(#REF!,$D129,#REF!,$CI129)&gt;0,"OK","ONBEKEND")),"ONZEKER")))))</f>
        <v/>
      </c>
      <c r="CK129" t="str">
        <f t="shared" si="922"/>
        <v/>
      </c>
      <c r="CL129" t="str">
        <f t="shared" si="923"/>
        <v/>
      </c>
      <c r="CM129" t="str">
        <f>IF($CL129="","",IF(OR($DZ129="",$EA129=""),"ONZEKER",IF(OR($DW129="",$DX129=""),"ONZEKER",IF(AND($DZ129=$DW129+1,$EA129=$DX129),IF(OR(COUNTIF(#REF!,$B129)&gt;0,COUNTIF(#REF!,$B129)=0),"SKIP",IF(COUNTIFS(#REF!,$B129,#REF!,$CL129)&gt;0,"OK","ONBEKEND")),IF(AND($DZ129=$DW129,$EA129=$DX129+1),IF(OR(COUNTIF(#REF!,$D129)&gt;0,COUNTIF(#REF!,$D129)=0),"SKIP",IF(COUNTIFS(#REF!,$D129,#REF!,$CL129)&gt;0,"OK","ONBEKEND")),"ONZEKER")))))</f>
        <v/>
      </c>
      <c r="CN129" t="str">
        <f t="shared" si="924"/>
        <v/>
      </c>
      <c r="CO129" t="str">
        <f t="shared" si="925"/>
        <v/>
      </c>
      <c r="CP129" t="str">
        <f>IF($CO129="","",IF(OR($EC129="",$ED129=""),"ONZEKER",IF(OR($DZ129="",$EA129=""),"ONZEKER",IF(AND($EC129=$DZ129+1,$ED129=$EA129),IF(OR(COUNTIF(#REF!,$B129)&gt;0,COUNTIF(#REF!,$B129)=0),"SKIP",IF(COUNTIFS(#REF!,$B129,#REF!,$CO129)&gt;0,"OK","ONBEKEND")),IF(AND($EC129=$DZ129,$ED129=$EA129+1),IF(OR(COUNTIF(#REF!,$D129)&gt;0,COUNTIF(#REF!,$D129)=0),"SKIP",IF(COUNTIFS(#REF!,$D129,#REF!,$CO129)&gt;0,"OK","ONBEKEND")),"ONZEKER")))))</f>
        <v/>
      </c>
      <c r="CQ129" t="str">
        <f t="shared" si="926"/>
        <v/>
      </c>
      <c r="CR129" t="str">
        <f t="shared" si="927"/>
        <v/>
      </c>
      <c r="CS129" t="str">
        <f>IF($CR129="","",IF(OR($EF129="",$EG129=""),"ONZEKER",IF(OR($EC129="",$ED129=""),"ONZEKER",IF(AND($EF129=$EC129+1,$EG129=$ED129),IF(OR(COUNTIF(#REF!,$B129)&gt;0,COUNTIF(#REF!,$B129)=0),"SKIP",IF(COUNTIFS(#REF!,$B129,#REF!,$CR129)&gt;0,"OK","ONBEKEND")),IF(AND($EF129=$EC129,$EG129=$ED129+1),IF(OR(COUNTIF(#REF!,$D129)&gt;0,COUNTIF(#REF!,$D129)=0),"SKIP",IF(COUNTIFS(#REF!,$D129,#REF!,$CR129)&gt;0,"OK","ONBEKEND")),"ONZEKER")))))</f>
        <v/>
      </c>
      <c r="CT129" t="str">
        <f t="shared" si="928"/>
        <v/>
      </c>
      <c r="CU129" t="str">
        <f t="shared" si="929"/>
        <v/>
      </c>
      <c r="CV129" t="str">
        <f>IF($CU129="","",IF(OR($EI129="",$EJ129=""),"ONZEKER",IF(OR($EF129="",$EG129=""),"ONZEKER",IF(AND($EI129=$EF129+1,$EJ129=$EG129),IF(OR(COUNTIF(#REF!,$B129)&gt;0,COUNTIF(#REF!,$B129)=0),"SKIP",IF(COUNTIFS(#REF!,$B129,#REF!,$CU129)&gt;0,"OK","ONBEKEND")),IF(AND($EI129=$EF129,$EJ129=$EG129+1),IF(OR(COUNTIF(#REF!,$D129)&gt;0,COUNTIF(#REF!,$D129)=0),"SKIP",IF(COUNTIFS(#REF!,$D129,#REF!,$CU129)&gt;0,"OK","ONBEKEND")),"ONZEKER")))))</f>
        <v/>
      </c>
      <c r="CW129" t="str">
        <f t="shared" si="930"/>
        <v/>
      </c>
      <c r="CX129" t="str">
        <f t="shared" si="931"/>
        <v/>
      </c>
      <c r="CY129" t="str">
        <f>IF($CX129="","",IF(OR($EL129="",$EM129=""),"ONZEKER",IF(OR($EI129="",$EJ129=""),"ONZEKER",IF(AND($EL129=$EI129+1,$EM129=$EJ129),IF(OR(COUNTIF(#REF!,$B129)&gt;0,COUNTIF(#REF!,$B129)=0),"SKIP",IF(COUNTIFS(#REF!,$B129,#REF!,$CX129)&gt;0,"OK","ONBEKEND")),IF(AND($EL129=$EI129,$EM129=$EJ129+1),IF(OR(COUNTIF(#REF!,$D129)&gt;0,COUNTIF(#REF!,$D129)=0),"SKIP",IF(COUNTIFS(#REF!,$D129,#REF!,$CX129)&gt;0,"OK","ONBEKEND")),"ONZEKER")))))</f>
        <v/>
      </c>
      <c r="CZ129" t="str">
        <f t="shared" si="932"/>
        <v/>
      </c>
      <c r="DA129" t="str">
        <f t="shared" si="933"/>
        <v/>
      </c>
      <c r="DB129" t="str">
        <f>IF($DA129="","",IF(OR($EO129="",$EP129=""),"ONZEKER",IF(OR($EL129="",$EM129=""),"ONZEKER",IF(AND($EO129=$EL129+1,$EP129=$EM129),IF(OR(COUNTIF(#REF!,$B129)&gt;0,COUNTIF(#REF!,$B129)=0),"SKIP",IF(COUNTIFS(#REF!,$B129,#REF!,$DA129)&gt;0,"OK","ONBEKEND")),IF(AND($EO129=$EL129,$EP129=$EM129+1),IF(OR(COUNTIF(#REF!,$D129)&gt;0,COUNTIF(#REF!,$D129)=0),"SKIP",IF(COUNTIFS(#REF!,$D129,#REF!,$DA129)&gt;0,"OK","ONBEKEND")),"ONZEKER")))))</f>
        <v/>
      </c>
      <c r="DC129" t="str">
        <f t="shared" si="934"/>
        <v/>
      </c>
      <c r="DD129" t="str">
        <f t="shared" si="935"/>
        <v/>
      </c>
      <c r="DE129" t="str">
        <f>IF($DD129="","",IF(OR($ER129="",$ES129=""),"ONZEKER",IF(OR($EO129="",$EP129=""),"ONZEKER",IF(AND($ER129=$EO129+1,$ES129=$EP129),IF(OR(COUNTIF(#REF!,$B129)&gt;0,COUNTIF(#REF!,$B129)=0),"SKIP",IF(COUNTIFS(#REF!,$B129,#REF!,$DD129)&gt;0,"OK","ONBEKEND")),IF(AND($ER129=$EO129,$ES129=$EP129+1),IF(OR(COUNTIF(#REF!,$D129)&gt;0,COUNTIF(#REF!,$D129)=0),"SKIP",IF(COUNTIFS(#REF!,$D129,#REF!,$DD129)&gt;0,"OK","ONBEKEND")),"ONZEKER")))))</f>
        <v/>
      </c>
      <c r="DF129" t="str">
        <f t="shared" si="936"/>
        <v/>
      </c>
      <c r="DG129" t="str">
        <f t="shared" si="937"/>
        <v/>
      </c>
      <c r="DH129" t="str">
        <f>IF($DG129="","",IF(OR($EU129="",$EV129=""),"ONZEKER",IF(OR($ER129="",$ES129=""),"ONZEKER",IF(AND($EU129=$ER129+1,$EV129=$ES129),IF(OR(COUNTIF(#REF!,$B129)&gt;0,COUNTIF(#REF!,$B129)=0),"SKIP",IF(COUNTIFS(#REF!,$B129,#REF!,$DG129)&gt;0,"OK","ONBEKEND")),IF(AND($EU129=$ER129,$EV129=$ES129+1),IF(OR(COUNTIF(#REF!,$D129)&gt;0,COUNTIF(#REF!,$D129)=0),"SKIP",IF(COUNTIFS(#REF!,$D129,#REF!,$DG129)&gt;0,"OK","ONBEKEND")),"ONZEKER")))))</f>
        <v/>
      </c>
      <c r="DI129" t="str">
        <f t="shared" si="938"/>
        <v/>
      </c>
      <c r="DJ129" t="str">
        <f t="shared" si="939"/>
        <v/>
      </c>
      <c r="DK129" t="str">
        <f>IF($DJ129="","",IF(OR($EX129="",$EY129=""),"ONZEKER",IF(OR($EU129="",$EV129=""),"ONZEKER",IF(AND($EX129=$EU129+1,$EY129=$EV129),IF(OR(COUNTIF(#REF!,$B129)&gt;0,COUNTIF(#REF!,$B129)=0),"SKIP",IF(COUNTIFS(#REF!,$B129,#REF!,$DJ129)&gt;0,"OK","ONBEKEND")),IF(AND($EX129=$EU129,$EY129=$EV129+1),IF(OR(COUNTIF(#REF!,$D129)&gt;0,COUNTIF(#REF!,$D129)=0),"SKIP",IF(COUNTIFS(#REF!,$D129,#REF!,$DJ129)&gt;0,"OK","ONBEKEND")),"ONZEKER")))))</f>
        <v/>
      </c>
      <c r="DL129" t="str">
        <f t="shared" si="940"/>
        <v/>
      </c>
      <c r="DM129" t="str">
        <f t="shared" si="941"/>
        <v/>
      </c>
      <c r="DN129" t="str">
        <f t="shared" si="942"/>
        <v/>
      </c>
      <c r="DO129" t="str">
        <f t="shared" si="943"/>
        <v/>
      </c>
      <c r="DP129" t="str">
        <f t="shared" si="944"/>
        <v/>
      </c>
      <c r="DQ129" t="str">
        <f t="shared" si="945"/>
        <v/>
      </c>
      <c r="DR129" t="str">
        <f t="shared" si="946"/>
        <v/>
      </c>
      <c r="DS129" t="str">
        <f t="shared" si="947"/>
        <v/>
      </c>
      <c r="DT129" t="str">
        <f t="shared" si="948"/>
        <v/>
      </c>
      <c r="DU129" t="str">
        <f t="shared" si="949"/>
        <v/>
      </c>
      <c r="DV129" t="str">
        <f t="shared" si="950"/>
        <v/>
      </c>
      <c r="DW129" t="str">
        <f t="shared" si="951"/>
        <v/>
      </c>
      <c r="DX129" t="str">
        <f t="shared" si="952"/>
        <v/>
      </c>
      <c r="DY129" t="str">
        <f t="shared" si="953"/>
        <v/>
      </c>
      <c r="DZ129" t="str">
        <f t="shared" si="954"/>
        <v/>
      </c>
      <c r="EA129" t="str">
        <f t="shared" si="955"/>
        <v/>
      </c>
      <c r="EB129" t="str">
        <f t="shared" si="956"/>
        <v/>
      </c>
      <c r="EC129" t="str">
        <f t="shared" si="957"/>
        <v/>
      </c>
      <c r="ED129" t="str">
        <f t="shared" si="958"/>
        <v/>
      </c>
      <c r="EE129" t="str">
        <f t="shared" si="959"/>
        <v/>
      </c>
      <c r="EF129" t="str">
        <f t="shared" si="960"/>
        <v/>
      </c>
      <c r="EG129" t="str">
        <f t="shared" si="961"/>
        <v/>
      </c>
      <c r="EH129" t="str">
        <f t="shared" si="962"/>
        <v/>
      </c>
      <c r="EI129" t="str">
        <f t="shared" si="963"/>
        <v/>
      </c>
      <c r="EJ129" t="str">
        <f t="shared" si="964"/>
        <v/>
      </c>
      <c r="EK129" t="str">
        <f t="shared" si="965"/>
        <v/>
      </c>
      <c r="EL129" t="str">
        <f t="shared" si="966"/>
        <v/>
      </c>
      <c r="EM129" t="str">
        <f t="shared" si="967"/>
        <v/>
      </c>
      <c r="EN129" t="str">
        <f t="shared" si="968"/>
        <v/>
      </c>
      <c r="EO129" t="str">
        <f t="shared" si="969"/>
        <v/>
      </c>
      <c r="EP129" t="str">
        <f t="shared" si="970"/>
        <v/>
      </c>
      <c r="EQ129" t="str">
        <f t="shared" si="971"/>
        <v/>
      </c>
      <c r="ER129" t="str">
        <f t="shared" si="972"/>
        <v/>
      </c>
      <c r="ES129" t="str">
        <f t="shared" si="973"/>
        <v/>
      </c>
      <c r="ET129" t="str">
        <f t="shared" si="974"/>
        <v/>
      </c>
      <c r="EU129" t="str">
        <f t="shared" si="975"/>
        <v/>
      </c>
      <c r="EV129" t="str">
        <f t="shared" si="976"/>
        <v/>
      </c>
      <c r="EW129" t="str">
        <f t="shared" si="977"/>
        <v/>
      </c>
      <c r="EX129" t="str">
        <f t="shared" si="978"/>
        <v/>
      </c>
      <c r="EY129" t="str">
        <f t="shared" si="979"/>
        <v/>
      </c>
    </row>
    <row r="130" spans="1:155" ht="13.9" customHeight="1" x14ac:dyDescent="0.25">
      <c r="M130" s="3" t="str">
        <f>IF($L130="","",IF($L130="DOELPUNTENMAKERS","",IF(AND(COUNTIF(#REF!,$B130)=0,COUNTIF(#REF!,$D130)=0),"OK",IF($O130&gt;20,"LET OP: meer dan 20 items (controle onvolledig)",IF((COUNTIF($R130:$AS130,"ONZEKER")+COUNTIF($CJ130:$DK130,"ONZEKER"))&gt;0,"LET OP: scoreverloop onduidelijk (controle beperkt)",IF((IF($AT130&lt;&gt;"",$AT130&amp;", ","")&amp;IF($AU130&lt;&gt;"",$AU130&amp;", ","")&amp;IF($AV130&lt;&gt;"",$AV130&amp;", ","")&amp;IF($AW130&lt;&gt;"",$AW130&amp;", ","")&amp;IF($AX130&lt;&gt;"",$AX130&amp;", ","")&amp;IF($AY130&lt;&gt;"",$AY130&amp;", ","")&amp;IF($AZ130&lt;&gt;"",$AZ130&amp;", ","")&amp;IF($BA130&lt;&gt;"",$BA130&amp;", ","")&amp;IF($BB130&lt;&gt;"",$BB130&amp;", ","")&amp;IF($BC130&lt;&gt;"",$BC130&amp;", ","")&amp;IF($DL130&lt;&gt;"",$DL130&amp;", ","")&amp;IF($DM130&lt;&gt;"",$DM130&amp;", ","")&amp;IF($DN130&lt;&gt;"",$DN130&amp;", ","")&amp;IF($DO130&lt;&gt;"",$DO130&amp;", ","")&amp;IF($DP130&lt;&gt;"",$DP130&amp;", ","")&amp;IF($DQ130&lt;&gt;"",$DQ130&amp;", ","")&amp;IF($DR130&lt;&gt;"",$DR130&amp;", ","")&amp;IF($DS130&lt;&gt;"",$DS130&amp;", ","")&amp;IF($DT130&lt;&gt;"",$DT130&amp;", ","")&amp;IF($DU130&lt;&gt;"",$DU130&amp;", ",""))="","OK","Onbekend: "&amp;LEFT((IF($AT130&lt;&gt;"",$AT130&amp;", ","")&amp;IF($AU130&lt;&gt;"",$AU130&amp;", ","")&amp;IF($AV130&lt;&gt;"",$AV130&amp;", ","")&amp;IF($AW130&lt;&gt;"",$AW130&amp;", ","")&amp;IF($AX130&lt;&gt;"",$AX130&amp;", ","")&amp;IF($AY130&lt;&gt;"",$AY130&amp;", ","")&amp;IF($AZ130&lt;&gt;"",$AZ130&amp;", ","")&amp;IF($BA130&lt;&gt;"",$BA130&amp;", ","")&amp;IF($BB130&lt;&gt;"",$BB130&amp;", ","")&amp;IF($BC130&lt;&gt;"",$BC130&amp;", ","")&amp;IF($DL130&lt;&gt;"",$DL130&amp;", ","")&amp;IF($DM130&lt;&gt;"",$DM130&amp;", ","")&amp;IF($DN130&lt;&gt;"",$DN130&amp;", ","")&amp;IF($DO130&lt;&gt;"",$DO130&amp;", ","")&amp;IF($DP130&lt;&gt;"",$DP130&amp;", ","")&amp;IF($DQ130&lt;&gt;"",$DQ130&amp;", ","")&amp;IF($DR130&lt;&gt;"",$DR130&amp;", ","")&amp;IF($DS130&lt;&gt;"",$DS130&amp;", ","")&amp;IF($DT130&lt;&gt;"",$DT130&amp;", ","")&amp;IF($DU130&lt;&gt;"",$DU130&amp;", ","")),LEN((IF($AT130&lt;&gt;"",$AT130&amp;", ","")&amp;IF($AU130&lt;&gt;"",$AU130&amp;", ","")&amp;IF($AV130&lt;&gt;"",$AV130&amp;", ","")&amp;IF($AW130&lt;&gt;"",$AW130&amp;", ","")&amp;IF($AX130&lt;&gt;"",$AX130&amp;", ","")&amp;IF($AY130&lt;&gt;"",$AY130&amp;", ","")&amp;IF($AZ130&lt;&gt;"",$AZ130&amp;", ","")&amp;IF($BA130&lt;&gt;"",$BA130&amp;", ","")&amp;IF($BB130&lt;&gt;"",$BB130&amp;", ","")&amp;IF($BC130&lt;&gt;"",$BC130&amp;", ","")&amp;IF($DL130&lt;&gt;"",$DL130&amp;", ","")&amp;IF($DM130&lt;&gt;"",$DM130&amp;", ","")&amp;IF($DN130&lt;&gt;"",$DN130&amp;", ","")&amp;IF($DO130&lt;&gt;"",$DO130&amp;", ","")&amp;IF($DP130&lt;&gt;"",$DP130&amp;", ","")&amp;IF($DQ130&lt;&gt;"",$DQ130&amp;", ","")&amp;IF($DR130&lt;&gt;"",$DR130&amp;", ","")&amp;IF($DS130&lt;&gt;"",$DS130&amp;", ","")&amp;IF($DT130&lt;&gt;"",$DT130&amp;", ","")&amp;IF($DU130&lt;&gt;"",$DU130&amp;", ","")))-2)))))))</f>
        <v/>
      </c>
      <c r="N130" t="str">
        <f t="shared" si="888"/>
        <v/>
      </c>
      <c r="O130" t="str">
        <f t="shared" si="889"/>
        <v/>
      </c>
      <c r="P130" t="str">
        <f t="shared" si="890"/>
        <v/>
      </c>
      <c r="Q130" t="str">
        <f t="shared" si="891"/>
        <v/>
      </c>
      <c r="R130" t="str">
        <f>IF($Q130="","",IF(OR($BE130="",$BF130=""),"ONZEKER",IF(AND($BE130=0+1,$BF130=0),IF(OR(COUNTIF(#REF!,$B130)&gt;0,COUNTIF(#REF!,$B130)=0),"SKIP",IF(COUNTIFS(#REF!,$B130,#REF!,$Q130)&gt;0,"OK","ONBEKEND")),IF(AND($BE130=0,$BF130=0+1),IF(OR(COUNTIF(#REF!,$D130)&gt;0,COUNTIF(#REF!,$D130)=0),"SKIP",IF(COUNTIFS(#REF!,$D130,#REF!,$Q130)&gt;0,"OK","ONBEKEND")),"ONZEKER"))))</f>
        <v/>
      </c>
      <c r="S130" t="str">
        <f t="shared" si="892"/>
        <v/>
      </c>
      <c r="T130" t="str">
        <f t="shared" si="893"/>
        <v/>
      </c>
      <c r="U130" t="str">
        <f>IF($T130="","",IF(OR($BH130="",$BI130=""),"ONZEKER",IF(OR($BE130="",$BF130=""),"ONZEKER",IF(AND($BH130=$BE130+1,$BI130=$BF130),IF(OR(COUNTIF(#REF!,$B130)&gt;0,COUNTIF(#REF!,$B130)=0),"SKIP",IF(COUNTIFS(#REF!,$B130,#REF!,$T130)&gt;0,"OK","ONBEKEND")),IF(AND($BH130=$BE130,$BI130=$BF130+1),IF(OR(COUNTIF(#REF!,$D130)&gt;0,COUNTIF(#REF!,$D130)=0),"SKIP",IF(COUNTIFS(#REF!,$D130,#REF!,$T130)&gt;0,"OK","ONBEKEND")),"ONZEKER")))))</f>
        <v/>
      </c>
      <c r="V130" t="str">
        <f t="shared" si="894"/>
        <v/>
      </c>
      <c r="W130" t="str">
        <f t="shared" si="895"/>
        <v/>
      </c>
      <c r="X130" t="str">
        <f>IF($W130="","",IF(OR($BK130="",$BL130=""),"ONZEKER",IF(OR($BH130="",$BI130=""),"ONZEKER",IF(AND($BK130=$BH130+1,$BL130=$BI130),IF(OR(COUNTIF(#REF!,$B130)&gt;0,COUNTIF(#REF!,$B130)=0),"SKIP",IF(COUNTIFS(#REF!,$B130,#REF!,$W130)&gt;0,"OK","ONBEKEND")),IF(AND($BK130=$BH130,$BL130=$BI130+1),IF(OR(COUNTIF(#REF!,$D130)&gt;0,COUNTIF(#REF!,$D130)=0),"SKIP",IF(COUNTIFS(#REF!,$D130,#REF!,$W130)&gt;0,"OK","ONBEKEND")),"ONZEKER")))))</f>
        <v/>
      </c>
      <c r="Y130" t="str">
        <f t="shared" si="896"/>
        <v/>
      </c>
      <c r="Z130" t="str">
        <f t="shared" si="897"/>
        <v/>
      </c>
      <c r="AA130" t="str">
        <f>IF($Z130="","",IF(OR($BN130="",$BO130=""),"ONZEKER",IF(OR($BK130="",$BL130=""),"ONZEKER",IF(AND($BN130=$BK130+1,$BO130=$BL130),IF(OR(COUNTIF(#REF!,$B130)&gt;0,COUNTIF(#REF!,$B130)=0),"SKIP",IF(COUNTIFS(#REF!,$B130,#REF!,$Z130)&gt;0,"OK","ONBEKEND")),IF(AND($BN130=$BK130,$BO130=$BL130+1),IF(OR(COUNTIF(#REF!,$D130)&gt;0,COUNTIF(#REF!,$D130)=0),"SKIP",IF(COUNTIFS(#REF!,$D130,#REF!,$Z130)&gt;0,"OK","ONBEKEND")),"ONZEKER")))))</f>
        <v/>
      </c>
      <c r="AB130" t="str">
        <f t="shared" si="898"/>
        <v/>
      </c>
      <c r="AC130" t="str">
        <f t="shared" si="899"/>
        <v/>
      </c>
      <c r="AD130" t="str">
        <f>IF($AC130="","",IF(OR($BQ130="",$BR130=""),"ONZEKER",IF(OR($BN130="",$BO130=""),"ONZEKER",IF(AND($BQ130=$BN130+1,$BR130=$BO130),IF(OR(COUNTIF(#REF!,$B130)&gt;0,COUNTIF(#REF!,$B130)=0),"SKIP",IF(COUNTIFS(#REF!,$B130,#REF!,$AC130)&gt;0,"OK","ONBEKEND")),IF(AND($BQ130=$BN130,$BR130=$BO130+1),IF(OR(COUNTIF(#REF!,$D130)&gt;0,COUNTIF(#REF!,$D130)=0),"SKIP",IF(COUNTIFS(#REF!,$D130,#REF!,$AC130)&gt;0,"OK","ONBEKEND")),"ONZEKER")))))</f>
        <v/>
      </c>
      <c r="AE130" t="str">
        <f t="shared" si="900"/>
        <v/>
      </c>
      <c r="AF130" t="str">
        <f t="shared" si="901"/>
        <v/>
      </c>
      <c r="AG130" t="str">
        <f>IF($AF130="","",IF(OR($BT130="",$BU130=""),"ONZEKER",IF(OR($BQ130="",$BR130=""),"ONZEKER",IF(AND($BT130=$BQ130+1,$BU130=$BR130),IF(OR(COUNTIF(#REF!,$B130)&gt;0,COUNTIF(#REF!,$B130)=0),"SKIP",IF(COUNTIFS(#REF!,$B130,#REF!,$AF130)&gt;0,"OK","ONBEKEND")),IF(AND($BT130=$BQ130,$BU130=$BR130+1),IF(OR(COUNTIF(#REF!,$D130)&gt;0,COUNTIF(#REF!,$D130)=0),"SKIP",IF(COUNTIFS(#REF!,$D130,#REF!,$AF130)&gt;0,"OK","ONBEKEND")),"ONZEKER")))))</f>
        <v/>
      </c>
      <c r="AH130" t="str">
        <f t="shared" si="902"/>
        <v/>
      </c>
      <c r="AI130" t="str">
        <f t="shared" si="903"/>
        <v/>
      </c>
      <c r="AJ130" t="str">
        <f>IF($AI130="","",IF(OR($BW130="",$BX130=""),"ONZEKER",IF(OR($BT130="",$BU130=""),"ONZEKER",IF(AND($BW130=$BT130+1,$BX130=$BU130),IF(OR(COUNTIF(#REF!,$B130)&gt;0,COUNTIF(#REF!,$B130)=0),"SKIP",IF(COUNTIFS(#REF!,$B130,#REF!,$AI130)&gt;0,"OK","ONBEKEND")),IF(AND($BW130=$BT130,$BX130=$BU130+1),IF(OR(COUNTIF(#REF!,$D130)&gt;0,COUNTIF(#REF!,$D130)=0),"SKIP",IF(COUNTIFS(#REF!,$D130,#REF!,$AI130)&gt;0,"OK","ONBEKEND")),"ONZEKER")))))</f>
        <v/>
      </c>
      <c r="AK130" t="str">
        <f t="shared" si="904"/>
        <v/>
      </c>
      <c r="AL130" t="str">
        <f t="shared" si="905"/>
        <v/>
      </c>
      <c r="AM130" t="str">
        <f>IF($AL130="","",IF(OR($BZ130="",$CA130=""),"ONZEKER",IF(OR($BW130="",$BX130=""),"ONZEKER",IF(AND($BZ130=$BW130+1,$CA130=$BX130),IF(OR(COUNTIF(#REF!,$B130)&gt;0,COUNTIF(#REF!,$B130)=0),"SKIP",IF(COUNTIFS(#REF!,$B130,#REF!,$AL130)&gt;0,"OK","ONBEKEND")),IF(AND($BZ130=$BW130,$CA130=$BX130+1),IF(OR(COUNTIF(#REF!,$D130)&gt;0,COUNTIF(#REF!,$D130)=0),"SKIP",IF(COUNTIFS(#REF!,$D130,#REF!,$AL130)&gt;0,"OK","ONBEKEND")),"ONZEKER")))))</f>
        <v/>
      </c>
      <c r="AN130" t="str">
        <f t="shared" si="906"/>
        <v/>
      </c>
      <c r="AO130" t="str">
        <f t="shared" si="907"/>
        <v/>
      </c>
      <c r="AP130" t="str">
        <f>IF($AO130="","",IF(OR($CC130="",$CD130=""),"ONZEKER",IF(OR($BZ130="",$CA130=""),"ONZEKER",IF(AND($CC130=$BZ130+1,$CD130=$CA130),IF(OR(COUNTIF(#REF!,$B130)&gt;0,COUNTIF(#REF!,$B130)=0),"SKIP",IF(COUNTIFS(#REF!,$B130,#REF!,$AO130)&gt;0,"OK","ONBEKEND")),IF(AND($CC130=$BZ130,$CD130=$CA130+1),IF(OR(COUNTIF(#REF!,$D130)&gt;0,COUNTIF(#REF!,$D130)=0),"SKIP",IF(COUNTIFS(#REF!,$D130,#REF!,$AO130)&gt;0,"OK","ONBEKEND")),"ONZEKER")))))</f>
        <v/>
      </c>
      <c r="AQ130" t="str">
        <f t="shared" si="908"/>
        <v/>
      </c>
      <c r="AR130" t="str">
        <f t="shared" si="909"/>
        <v/>
      </c>
      <c r="AS130" t="str">
        <f>IF($AR130="","",IF(OR($CF130="",$CG130=""),"ONZEKER",IF(OR($CC130="",$CD130=""),"ONZEKER",IF(AND($CF130=$CC130+1,$CG130=$CD130),IF(OR(COUNTIF(#REF!,$B130)&gt;0,COUNTIF(#REF!,$B130)=0),"SKIP",IF(COUNTIFS(#REF!,$B130,#REF!,$AR130)&gt;0,"OK","ONBEKEND")),IF(AND($CF130=$CC130,$CG130=$CD130+1),IF(OR(COUNTIF(#REF!,$D130)&gt;0,COUNTIF(#REF!,$D130)=0),"SKIP",IF(COUNTIFS(#REF!,$D130,#REF!,$AR130)&gt;0,"OK","ONBEKEND")),"ONZEKER")))))</f>
        <v/>
      </c>
      <c r="AT130" t="str">
        <f t="shared" si="910"/>
        <v/>
      </c>
      <c r="AU130" t="str">
        <f t="shared" si="911"/>
        <v/>
      </c>
      <c r="AV130" t="str">
        <f t="shared" si="912"/>
        <v/>
      </c>
      <c r="AW130" t="str">
        <f t="shared" si="913"/>
        <v/>
      </c>
      <c r="AX130" t="str">
        <f t="shared" si="914"/>
        <v/>
      </c>
      <c r="AY130" t="str">
        <f t="shared" si="915"/>
        <v/>
      </c>
      <c r="AZ130" t="str">
        <f t="shared" si="916"/>
        <v/>
      </c>
      <c r="BA130" t="str">
        <f t="shared" si="917"/>
        <v/>
      </c>
      <c r="BB130" t="str">
        <f t="shared" si="918"/>
        <v/>
      </c>
      <c r="BC130" t="str">
        <f t="shared" si="919"/>
        <v/>
      </c>
      <c r="BD130" t="str">
        <f t="shared" ref="BD130:BD193" si="980">IF($P130="","",TRIM(IFERROR(RIGHT($P130,LEN($P130)-FIND("§",SUBSTITUTE($P130," ","§",LEN($P130)-LEN(SUBSTITUTE($P130," ",""))))),"")))</f>
        <v/>
      </c>
      <c r="BE130" t="str">
        <f t="shared" ref="BE130:BE193" si="981">IF($BD130="","",IFERROR(VALUE(LEFT($BD130,FIND("-",$BD130)-1)),""))</f>
        <v/>
      </c>
      <c r="BF130" t="str">
        <f t="shared" ref="BF130:BF193" si="982">IF($BD130="","",IFERROR(VALUE(MID($BD130,FIND("-",$BD130)+1,99)),""))</f>
        <v/>
      </c>
      <c r="BG130" t="str">
        <f t="shared" ref="BG130:BG193" si="983">IF($S130="","",TRIM(IFERROR(RIGHT($S130,LEN($S130)-FIND("§",SUBSTITUTE($S130," ","§",LEN($S130)-LEN(SUBSTITUTE($S130," ",""))))),"")))</f>
        <v/>
      </c>
      <c r="BH130" t="str">
        <f t="shared" ref="BH130:BH193" si="984">IF($BG130="","",IFERROR(VALUE(LEFT($BG130,FIND("-",$BG130)-1)),""))</f>
        <v/>
      </c>
      <c r="BI130" t="str">
        <f t="shared" ref="BI130:BI193" si="985">IF($BG130="","",IFERROR(VALUE(MID($BG130,FIND("-",$BG130)+1,99)),""))</f>
        <v/>
      </c>
      <c r="BJ130" t="str">
        <f t="shared" ref="BJ130:BJ193" si="986">IF($V130="","",TRIM(IFERROR(RIGHT($V130,LEN($V130)-FIND("§",SUBSTITUTE($V130," ","§",LEN($V130)-LEN(SUBSTITUTE($V130," ",""))))),"")))</f>
        <v/>
      </c>
      <c r="BK130" t="str">
        <f t="shared" ref="BK130:BK193" si="987">IF($BJ130="","",IFERROR(VALUE(LEFT($BJ130,FIND("-",$BJ130)-1)),""))</f>
        <v/>
      </c>
      <c r="BL130" t="str">
        <f t="shared" ref="BL130:BL193" si="988">IF($BJ130="","",IFERROR(VALUE(MID($BJ130,FIND("-",$BJ130)+1,99)),""))</f>
        <v/>
      </c>
      <c r="BM130" t="str">
        <f t="shared" ref="BM130:BM193" si="989">IF($Y130="","",TRIM(IFERROR(RIGHT($Y130,LEN($Y130)-FIND("§",SUBSTITUTE($Y130," ","§",LEN($Y130)-LEN(SUBSTITUTE($Y130," ",""))))),"")))</f>
        <v/>
      </c>
      <c r="BN130" t="str">
        <f t="shared" ref="BN130:BN193" si="990">IF($BM130="","",IFERROR(VALUE(LEFT($BM130,FIND("-",$BM130)-1)),""))</f>
        <v/>
      </c>
      <c r="BO130" t="str">
        <f t="shared" ref="BO130:BO193" si="991">IF($BM130="","",IFERROR(VALUE(MID($BM130,FIND("-",$BM130)+1,99)),""))</f>
        <v/>
      </c>
      <c r="BP130" t="str">
        <f t="shared" ref="BP130:BP193" si="992">IF($AB130="","",TRIM(IFERROR(RIGHT($AB130,LEN($AB130)-FIND("§",SUBSTITUTE($AB130," ","§",LEN($AB130)-LEN(SUBSTITUTE($AB130," ",""))))),"")))</f>
        <v/>
      </c>
      <c r="BQ130" t="str">
        <f t="shared" ref="BQ130:BQ193" si="993">IF($BP130="","",IFERROR(VALUE(LEFT($BP130,FIND("-",$BP130)-1)),""))</f>
        <v/>
      </c>
      <c r="BR130" t="str">
        <f t="shared" ref="BR130:BR193" si="994">IF($BP130="","",IFERROR(VALUE(MID($BP130,FIND("-",$BP130)+1,99)),""))</f>
        <v/>
      </c>
      <c r="BS130" t="str">
        <f t="shared" ref="BS130:BS193" si="995">IF($AE130="","",TRIM(IFERROR(RIGHT($AE130,LEN($AE130)-FIND("§",SUBSTITUTE($AE130," ","§",LEN($AE130)-LEN(SUBSTITUTE($AE130," ",""))))),"")))</f>
        <v/>
      </c>
      <c r="BT130" t="str">
        <f t="shared" ref="BT130:BT193" si="996">IF($BS130="","",IFERROR(VALUE(LEFT($BS130,FIND("-",$BS130)-1)),""))</f>
        <v/>
      </c>
      <c r="BU130" t="str">
        <f t="shared" ref="BU130:BU193" si="997">IF($BS130="","",IFERROR(VALUE(MID($BS130,FIND("-",$BS130)+1,99)),""))</f>
        <v/>
      </c>
      <c r="BV130" t="str">
        <f t="shared" ref="BV130:BV193" si="998">IF($AH130="","",TRIM(IFERROR(RIGHT($AH130,LEN($AH130)-FIND("§",SUBSTITUTE($AH130," ","§",LEN($AH130)-LEN(SUBSTITUTE($AH130," ",""))))),"")))</f>
        <v/>
      </c>
      <c r="BW130" t="str">
        <f t="shared" ref="BW130:BW193" si="999">IF($BV130="","",IFERROR(VALUE(LEFT($BV130,FIND("-",$BV130)-1)),""))</f>
        <v/>
      </c>
      <c r="BX130" t="str">
        <f t="shared" ref="BX130:BX193" si="1000">IF($BV130="","",IFERROR(VALUE(MID($BV130,FIND("-",$BV130)+1,99)),""))</f>
        <v/>
      </c>
      <c r="BY130" t="str">
        <f t="shared" ref="BY130:BY193" si="1001">IF($AK130="","",TRIM(IFERROR(RIGHT($AK130,LEN($AK130)-FIND("§",SUBSTITUTE($AK130," ","§",LEN($AK130)-LEN(SUBSTITUTE($AK130," ",""))))),"")))</f>
        <v/>
      </c>
      <c r="BZ130" t="str">
        <f t="shared" ref="BZ130:BZ193" si="1002">IF($BY130="","",IFERROR(VALUE(LEFT($BY130,FIND("-",$BY130)-1)),""))</f>
        <v/>
      </c>
      <c r="CA130" t="str">
        <f t="shared" ref="CA130:CA193" si="1003">IF($BY130="","",IFERROR(VALUE(MID($BY130,FIND("-",$BY130)+1,99)),""))</f>
        <v/>
      </c>
      <c r="CB130" t="str">
        <f t="shared" ref="CB130:CB193" si="1004">IF($AN130="","",TRIM(IFERROR(RIGHT($AN130,LEN($AN130)-FIND("§",SUBSTITUTE($AN130," ","§",LEN($AN130)-LEN(SUBSTITUTE($AN130," ",""))))),"")))</f>
        <v/>
      </c>
      <c r="CC130" t="str">
        <f t="shared" ref="CC130:CC193" si="1005">IF($CB130="","",IFERROR(VALUE(LEFT($CB130,FIND("-",$CB130)-1)),""))</f>
        <v/>
      </c>
      <c r="CD130" t="str">
        <f t="shared" ref="CD130:CD193" si="1006">IF($CB130="","",IFERROR(VALUE(MID($CB130,FIND("-",$CB130)+1,99)),""))</f>
        <v/>
      </c>
      <c r="CE130" t="str">
        <f t="shared" ref="CE130:CE193" si="1007">IF($AQ130="","",TRIM(IFERROR(RIGHT($AQ130,LEN($AQ130)-FIND("§",SUBSTITUTE($AQ130," ","§",LEN($AQ130)-LEN(SUBSTITUTE($AQ130," ",""))))),"")))</f>
        <v/>
      </c>
      <c r="CF130" t="str">
        <f t="shared" ref="CF130:CF193" si="1008">IF($CE130="","",IFERROR(VALUE(LEFT($CE130,FIND("-",$CE130)-1)),""))</f>
        <v/>
      </c>
      <c r="CG130" t="str">
        <f t="shared" ref="CG130:CG193" si="1009">IF($CE130="","",IFERROR(VALUE(MID($CE130,FIND("-",$CE130)+1,99)),""))</f>
        <v/>
      </c>
      <c r="CH130" t="str">
        <f t="shared" si="920"/>
        <v/>
      </c>
      <c r="CI130" t="str">
        <f t="shared" si="921"/>
        <v/>
      </c>
      <c r="CJ130" t="str">
        <f>IF($CI130="","",IF(OR($DW130="",$DX130=""),"ONZEKER",IF(OR($CF130="",$CG130=""),"ONZEKER",IF(AND($DW130=$CF130+1,$DX130=$CG130),IF(OR(COUNTIF(#REF!,$B130)&gt;0,COUNTIF(#REF!,$B130)=0),"SKIP",IF(COUNTIFS(#REF!,$B130,#REF!,$CI130)&gt;0,"OK","ONBEKEND")),IF(AND($DW130=$CF130,$DX130=$CG130+1),IF(OR(COUNTIF(#REF!,$D130)&gt;0,COUNTIF(#REF!,$D130)=0),"SKIP",IF(COUNTIFS(#REF!,$D130,#REF!,$CI130)&gt;0,"OK","ONBEKEND")),"ONZEKER")))))</f>
        <v/>
      </c>
      <c r="CK130" t="str">
        <f t="shared" si="922"/>
        <v/>
      </c>
      <c r="CL130" t="str">
        <f t="shared" si="923"/>
        <v/>
      </c>
      <c r="CM130" t="str">
        <f>IF($CL130="","",IF(OR($DZ130="",$EA130=""),"ONZEKER",IF(OR($DW130="",$DX130=""),"ONZEKER",IF(AND($DZ130=$DW130+1,$EA130=$DX130),IF(OR(COUNTIF(#REF!,$B130)&gt;0,COUNTIF(#REF!,$B130)=0),"SKIP",IF(COUNTIFS(#REF!,$B130,#REF!,$CL130)&gt;0,"OK","ONBEKEND")),IF(AND($DZ130=$DW130,$EA130=$DX130+1),IF(OR(COUNTIF(#REF!,$D130)&gt;0,COUNTIF(#REF!,$D130)=0),"SKIP",IF(COUNTIFS(#REF!,$D130,#REF!,$CL130)&gt;0,"OK","ONBEKEND")),"ONZEKER")))))</f>
        <v/>
      </c>
      <c r="CN130" t="str">
        <f t="shared" si="924"/>
        <v/>
      </c>
      <c r="CO130" t="str">
        <f t="shared" si="925"/>
        <v/>
      </c>
      <c r="CP130" t="str">
        <f>IF($CO130="","",IF(OR($EC130="",$ED130=""),"ONZEKER",IF(OR($DZ130="",$EA130=""),"ONZEKER",IF(AND($EC130=$DZ130+1,$ED130=$EA130),IF(OR(COUNTIF(#REF!,$B130)&gt;0,COUNTIF(#REF!,$B130)=0),"SKIP",IF(COUNTIFS(#REF!,$B130,#REF!,$CO130)&gt;0,"OK","ONBEKEND")),IF(AND($EC130=$DZ130,$ED130=$EA130+1),IF(OR(COUNTIF(#REF!,$D130)&gt;0,COUNTIF(#REF!,$D130)=0),"SKIP",IF(COUNTIFS(#REF!,$D130,#REF!,$CO130)&gt;0,"OK","ONBEKEND")),"ONZEKER")))))</f>
        <v/>
      </c>
      <c r="CQ130" t="str">
        <f t="shared" si="926"/>
        <v/>
      </c>
      <c r="CR130" t="str">
        <f t="shared" si="927"/>
        <v/>
      </c>
      <c r="CS130" t="str">
        <f>IF($CR130="","",IF(OR($EF130="",$EG130=""),"ONZEKER",IF(OR($EC130="",$ED130=""),"ONZEKER",IF(AND($EF130=$EC130+1,$EG130=$ED130),IF(OR(COUNTIF(#REF!,$B130)&gt;0,COUNTIF(#REF!,$B130)=0),"SKIP",IF(COUNTIFS(#REF!,$B130,#REF!,$CR130)&gt;0,"OK","ONBEKEND")),IF(AND($EF130=$EC130,$EG130=$ED130+1),IF(OR(COUNTIF(#REF!,$D130)&gt;0,COUNTIF(#REF!,$D130)=0),"SKIP",IF(COUNTIFS(#REF!,$D130,#REF!,$CR130)&gt;0,"OK","ONBEKEND")),"ONZEKER")))))</f>
        <v/>
      </c>
      <c r="CT130" t="str">
        <f t="shared" si="928"/>
        <v/>
      </c>
      <c r="CU130" t="str">
        <f t="shared" si="929"/>
        <v/>
      </c>
      <c r="CV130" t="str">
        <f>IF($CU130="","",IF(OR($EI130="",$EJ130=""),"ONZEKER",IF(OR($EF130="",$EG130=""),"ONZEKER",IF(AND($EI130=$EF130+1,$EJ130=$EG130),IF(OR(COUNTIF(#REF!,$B130)&gt;0,COUNTIF(#REF!,$B130)=0),"SKIP",IF(COUNTIFS(#REF!,$B130,#REF!,$CU130)&gt;0,"OK","ONBEKEND")),IF(AND($EI130=$EF130,$EJ130=$EG130+1),IF(OR(COUNTIF(#REF!,$D130)&gt;0,COUNTIF(#REF!,$D130)=0),"SKIP",IF(COUNTIFS(#REF!,$D130,#REF!,$CU130)&gt;0,"OK","ONBEKEND")),"ONZEKER")))))</f>
        <v/>
      </c>
      <c r="CW130" t="str">
        <f t="shared" si="930"/>
        <v/>
      </c>
      <c r="CX130" t="str">
        <f t="shared" si="931"/>
        <v/>
      </c>
      <c r="CY130" t="str">
        <f>IF($CX130="","",IF(OR($EL130="",$EM130=""),"ONZEKER",IF(OR($EI130="",$EJ130=""),"ONZEKER",IF(AND($EL130=$EI130+1,$EM130=$EJ130),IF(OR(COUNTIF(#REF!,$B130)&gt;0,COUNTIF(#REF!,$B130)=0),"SKIP",IF(COUNTIFS(#REF!,$B130,#REF!,$CX130)&gt;0,"OK","ONBEKEND")),IF(AND($EL130=$EI130,$EM130=$EJ130+1),IF(OR(COUNTIF(#REF!,$D130)&gt;0,COUNTIF(#REF!,$D130)=0),"SKIP",IF(COUNTIFS(#REF!,$D130,#REF!,$CX130)&gt;0,"OK","ONBEKEND")),"ONZEKER")))))</f>
        <v/>
      </c>
      <c r="CZ130" t="str">
        <f t="shared" si="932"/>
        <v/>
      </c>
      <c r="DA130" t="str">
        <f t="shared" si="933"/>
        <v/>
      </c>
      <c r="DB130" t="str">
        <f>IF($DA130="","",IF(OR($EO130="",$EP130=""),"ONZEKER",IF(OR($EL130="",$EM130=""),"ONZEKER",IF(AND($EO130=$EL130+1,$EP130=$EM130),IF(OR(COUNTIF(#REF!,$B130)&gt;0,COUNTIF(#REF!,$B130)=0),"SKIP",IF(COUNTIFS(#REF!,$B130,#REF!,$DA130)&gt;0,"OK","ONBEKEND")),IF(AND($EO130=$EL130,$EP130=$EM130+1),IF(OR(COUNTIF(#REF!,$D130)&gt;0,COUNTIF(#REF!,$D130)=0),"SKIP",IF(COUNTIFS(#REF!,$D130,#REF!,$DA130)&gt;0,"OK","ONBEKEND")),"ONZEKER")))))</f>
        <v/>
      </c>
      <c r="DC130" t="str">
        <f t="shared" si="934"/>
        <v/>
      </c>
      <c r="DD130" t="str">
        <f t="shared" si="935"/>
        <v/>
      </c>
      <c r="DE130" t="str">
        <f>IF($DD130="","",IF(OR($ER130="",$ES130=""),"ONZEKER",IF(OR($EO130="",$EP130=""),"ONZEKER",IF(AND($ER130=$EO130+1,$ES130=$EP130),IF(OR(COUNTIF(#REF!,$B130)&gt;0,COUNTIF(#REF!,$B130)=0),"SKIP",IF(COUNTIFS(#REF!,$B130,#REF!,$DD130)&gt;0,"OK","ONBEKEND")),IF(AND($ER130=$EO130,$ES130=$EP130+1),IF(OR(COUNTIF(#REF!,$D130)&gt;0,COUNTIF(#REF!,$D130)=0),"SKIP",IF(COUNTIFS(#REF!,$D130,#REF!,$DD130)&gt;0,"OK","ONBEKEND")),"ONZEKER")))))</f>
        <v/>
      </c>
      <c r="DF130" t="str">
        <f t="shared" si="936"/>
        <v/>
      </c>
      <c r="DG130" t="str">
        <f t="shared" si="937"/>
        <v/>
      </c>
      <c r="DH130" t="str">
        <f>IF($DG130="","",IF(OR($EU130="",$EV130=""),"ONZEKER",IF(OR($ER130="",$ES130=""),"ONZEKER",IF(AND($EU130=$ER130+1,$EV130=$ES130),IF(OR(COUNTIF(#REF!,$B130)&gt;0,COUNTIF(#REF!,$B130)=0),"SKIP",IF(COUNTIFS(#REF!,$B130,#REF!,$DG130)&gt;0,"OK","ONBEKEND")),IF(AND($EU130=$ER130,$EV130=$ES130+1),IF(OR(COUNTIF(#REF!,$D130)&gt;0,COUNTIF(#REF!,$D130)=0),"SKIP",IF(COUNTIFS(#REF!,$D130,#REF!,$DG130)&gt;0,"OK","ONBEKEND")),"ONZEKER")))))</f>
        <v/>
      </c>
      <c r="DI130" t="str">
        <f t="shared" si="938"/>
        <v/>
      </c>
      <c r="DJ130" t="str">
        <f t="shared" si="939"/>
        <v/>
      </c>
      <c r="DK130" t="str">
        <f>IF($DJ130="","",IF(OR($EX130="",$EY130=""),"ONZEKER",IF(OR($EU130="",$EV130=""),"ONZEKER",IF(AND($EX130=$EU130+1,$EY130=$EV130),IF(OR(COUNTIF(#REF!,$B130)&gt;0,COUNTIF(#REF!,$B130)=0),"SKIP",IF(COUNTIFS(#REF!,$B130,#REF!,$DJ130)&gt;0,"OK","ONBEKEND")),IF(AND($EX130=$EU130,$EY130=$EV130+1),IF(OR(COUNTIF(#REF!,$D130)&gt;0,COUNTIF(#REF!,$D130)=0),"SKIP",IF(COUNTIFS(#REF!,$D130,#REF!,$DJ130)&gt;0,"OK","ONBEKEND")),"ONZEKER")))))</f>
        <v/>
      </c>
      <c r="DL130" t="str">
        <f t="shared" si="940"/>
        <v/>
      </c>
      <c r="DM130" t="str">
        <f t="shared" si="941"/>
        <v/>
      </c>
      <c r="DN130" t="str">
        <f t="shared" si="942"/>
        <v/>
      </c>
      <c r="DO130" t="str">
        <f t="shared" si="943"/>
        <v/>
      </c>
      <c r="DP130" t="str">
        <f t="shared" si="944"/>
        <v/>
      </c>
      <c r="DQ130" t="str">
        <f t="shared" si="945"/>
        <v/>
      </c>
      <c r="DR130" t="str">
        <f t="shared" si="946"/>
        <v/>
      </c>
      <c r="DS130" t="str">
        <f t="shared" si="947"/>
        <v/>
      </c>
      <c r="DT130" t="str">
        <f t="shared" si="948"/>
        <v/>
      </c>
      <c r="DU130" t="str">
        <f t="shared" si="949"/>
        <v/>
      </c>
      <c r="DV130" t="str">
        <f t="shared" si="950"/>
        <v/>
      </c>
      <c r="DW130" t="str">
        <f t="shared" si="951"/>
        <v/>
      </c>
      <c r="DX130" t="str">
        <f t="shared" si="952"/>
        <v/>
      </c>
      <c r="DY130" t="str">
        <f t="shared" si="953"/>
        <v/>
      </c>
      <c r="DZ130" t="str">
        <f t="shared" si="954"/>
        <v/>
      </c>
      <c r="EA130" t="str">
        <f t="shared" si="955"/>
        <v/>
      </c>
      <c r="EB130" t="str">
        <f t="shared" si="956"/>
        <v/>
      </c>
      <c r="EC130" t="str">
        <f t="shared" si="957"/>
        <v/>
      </c>
      <c r="ED130" t="str">
        <f t="shared" si="958"/>
        <v/>
      </c>
      <c r="EE130" t="str">
        <f t="shared" si="959"/>
        <v/>
      </c>
      <c r="EF130" t="str">
        <f t="shared" si="960"/>
        <v/>
      </c>
      <c r="EG130" t="str">
        <f t="shared" si="961"/>
        <v/>
      </c>
      <c r="EH130" t="str">
        <f t="shared" si="962"/>
        <v/>
      </c>
      <c r="EI130" t="str">
        <f t="shared" si="963"/>
        <v/>
      </c>
      <c r="EJ130" t="str">
        <f t="shared" si="964"/>
        <v/>
      </c>
      <c r="EK130" t="str">
        <f t="shared" si="965"/>
        <v/>
      </c>
      <c r="EL130" t="str">
        <f t="shared" si="966"/>
        <v/>
      </c>
      <c r="EM130" t="str">
        <f t="shared" si="967"/>
        <v/>
      </c>
      <c r="EN130" t="str">
        <f t="shared" si="968"/>
        <v/>
      </c>
      <c r="EO130" t="str">
        <f t="shared" si="969"/>
        <v/>
      </c>
      <c r="EP130" t="str">
        <f t="shared" si="970"/>
        <v/>
      </c>
      <c r="EQ130" t="str">
        <f t="shared" si="971"/>
        <v/>
      </c>
      <c r="ER130" t="str">
        <f t="shared" si="972"/>
        <v/>
      </c>
      <c r="ES130" t="str">
        <f t="shared" si="973"/>
        <v/>
      </c>
      <c r="ET130" t="str">
        <f t="shared" si="974"/>
        <v/>
      </c>
      <c r="EU130" t="str">
        <f t="shared" si="975"/>
        <v/>
      </c>
      <c r="EV130" t="str">
        <f t="shared" si="976"/>
        <v/>
      </c>
      <c r="EW130" t="str">
        <f t="shared" si="977"/>
        <v/>
      </c>
      <c r="EX130" t="str">
        <f t="shared" si="978"/>
        <v/>
      </c>
      <c r="EY130" t="str">
        <f t="shared" si="979"/>
        <v/>
      </c>
    </row>
    <row r="131" spans="1:155" ht="13.9" customHeight="1" x14ac:dyDescent="0.25">
      <c r="A131" s="14"/>
      <c r="B131" s="15" t="s">
        <v>154</v>
      </c>
      <c r="C131" s="16"/>
      <c r="D131" s="16"/>
      <c r="E131" s="16"/>
      <c r="F131" s="31" t="s">
        <v>1</v>
      </c>
      <c r="G131" s="33"/>
      <c r="H131" s="33"/>
      <c r="I131" s="32" t="s">
        <v>2</v>
      </c>
      <c r="J131" s="33"/>
      <c r="K131" s="33"/>
      <c r="L131" s="6" t="s">
        <v>3</v>
      </c>
      <c r="M131" s="2" t="s">
        <v>4</v>
      </c>
      <c r="N131" s="2" t="s">
        <v>5</v>
      </c>
      <c r="O131" s="2" t="s">
        <v>6</v>
      </c>
      <c r="P131" s="2" t="s">
        <v>7</v>
      </c>
      <c r="Q131" s="2" t="s">
        <v>8</v>
      </c>
      <c r="R131" s="2" t="str">
        <f>IF($Q131="","",IF(OR($BE131="",$BF131=""),"ONZEKER",IF(AND($BE131=0+1,$BF131=0),IF(OR(COUNTIF(#REF!,$B131)&gt;0,COUNTIF(#REF!,$B131)=0),"SKIP",IF(COUNTIFS(#REF!,$B131,#REF!,$Q131)&gt;0,"OK","ONBEKEND")),IF(AND($BE131=0,$BF131=0+1),IF(OR(COUNTIF(#REF!,$D131)&gt;0,COUNTIF(#REF!,$D131)=0),"SKIP",IF(COUNTIFS(#REF!,$D131,#REF!,$Q131)&gt;0,"OK","ONBEKEND")),"ONZEKER"))))</f>
        <v>ONZEKER</v>
      </c>
      <c r="S131" s="2" t="s">
        <v>10</v>
      </c>
      <c r="T131" s="2" t="s">
        <v>11</v>
      </c>
      <c r="U131" s="2" t="str">
        <f>IF($T131="","",IF(OR($BH131="",$BI131=""),"ONZEKER",IF(OR($BE131="",$BF131=""),"ONZEKER",IF(AND($BH131=$BE131+1,$BI131=$BF131),IF(OR(COUNTIF(#REF!,$B131)&gt;0,COUNTIF(#REF!,$B131)=0),"SKIP",IF(COUNTIFS(#REF!,$B131,#REF!,$T131)&gt;0,"OK","ONBEKEND")),IF(AND($BH131=$BE131,$BI131=$BF131+1),IF(OR(COUNTIF(#REF!,$D131)&gt;0,COUNTIF(#REF!,$D131)=0),"SKIP",IF(COUNTIFS(#REF!,$D131,#REF!,$T131)&gt;0,"OK","ONBEKEND")),"ONZEKER")))))</f>
        <v>ONZEKER</v>
      </c>
      <c r="V131" s="2" t="s">
        <v>13</v>
      </c>
      <c r="W131" s="2" t="s">
        <v>14</v>
      </c>
      <c r="X131" s="2" t="str">
        <f>IF($W131="","",IF(OR($BK131="",$BL131=""),"ONZEKER",IF(OR($BH131="",$BI131=""),"ONZEKER",IF(AND($BK131=$BH131+1,$BL131=$BI131),IF(OR(COUNTIF(#REF!,$B131)&gt;0,COUNTIF(#REF!,$B131)=0),"SKIP",IF(COUNTIFS(#REF!,$B131,#REF!,$W131)&gt;0,"OK","ONBEKEND")),IF(AND($BK131=$BH131,$BL131=$BI131+1),IF(OR(COUNTIF(#REF!,$D131)&gt;0,COUNTIF(#REF!,$D131)=0),"SKIP",IF(COUNTIFS(#REF!,$D131,#REF!,$W131)&gt;0,"OK","ONBEKEND")),"ONZEKER")))))</f>
        <v>ONZEKER</v>
      </c>
      <c r="Y131" s="2" t="s">
        <v>16</v>
      </c>
      <c r="Z131" s="2" t="s">
        <v>17</v>
      </c>
      <c r="AA131" s="2" t="str">
        <f>IF($Z131="","",IF(OR($BN131="",$BO131=""),"ONZEKER",IF(OR($BK131="",$BL131=""),"ONZEKER",IF(AND($BN131=$BK131+1,$BO131=$BL131),IF(OR(COUNTIF(#REF!,$B131)&gt;0,COUNTIF(#REF!,$B131)=0),"SKIP",IF(COUNTIFS(#REF!,$B131,#REF!,$Z131)&gt;0,"OK","ONBEKEND")),IF(AND($BN131=$BK131,$BO131=$BL131+1),IF(OR(COUNTIF(#REF!,$D131)&gt;0,COUNTIF(#REF!,$D131)=0),"SKIP",IF(COUNTIFS(#REF!,$D131,#REF!,$Z131)&gt;0,"OK","ONBEKEND")),"ONZEKER")))))</f>
        <v>ONZEKER</v>
      </c>
      <c r="AB131" s="2" t="s">
        <v>19</v>
      </c>
      <c r="AC131" s="2" t="s">
        <v>20</v>
      </c>
      <c r="AD131" s="2" t="str">
        <f>IF($AC131="","",IF(OR($BQ131="",$BR131=""),"ONZEKER",IF(OR($BN131="",$BO131=""),"ONZEKER",IF(AND($BQ131=$BN131+1,$BR131=$BO131),IF(OR(COUNTIF(#REF!,$B131)&gt;0,COUNTIF(#REF!,$B131)=0),"SKIP",IF(COUNTIFS(#REF!,$B131,#REF!,$AC131)&gt;0,"OK","ONBEKEND")),IF(AND($BQ131=$BN131,$BR131=$BO131+1),IF(OR(COUNTIF(#REF!,$D131)&gt;0,COUNTIF(#REF!,$D131)=0),"SKIP",IF(COUNTIFS(#REF!,$D131,#REF!,$AC131)&gt;0,"OK","ONBEKEND")),"ONZEKER")))))</f>
        <v>ONZEKER</v>
      </c>
      <c r="AE131" s="2" t="s">
        <v>22</v>
      </c>
      <c r="AF131" s="2" t="s">
        <v>23</v>
      </c>
      <c r="AG131" s="2" t="str">
        <f>IF($AF131="","",IF(OR($BT131="",$BU131=""),"ONZEKER",IF(OR($BQ131="",$BR131=""),"ONZEKER",IF(AND($BT131=$BQ131+1,$BU131=$BR131),IF(OR(COUNTIF(#REF!,$B131)&gt;0,COUNTIF(#REF!,$B131)=0),"SKIP",IF(COUNTIFS(#REF!,$B131,#REF!,$AF131)&gt;0,"OK","ONBEKEND")),IF(AND($BT131=$BQ131,$BU131=$BR131+1),IF(OR(COUNTIF(#REF!,$D131)&gt;0,COUNTIF(#REF!,$D131)=0),"SKIP",IF(COUNTIFS(#REF!,$D131,#REF!,$AF131)&gt;0,"OK","ONBEKEND")),"ONZEKER")))))</f>
        <v>ONZEKER</v>
      </c>
      <c r="AH131" s="2" t="s">
        <v>25</v>
      </c>
      <c r="AI131" s="2" t="s">
        <v>26</v>
      </c>
      <c r="AJ131" s="2" t="str">
        <f>IF($AI131="","",IF(OR($BW131="",$BX131=""),"ONZEKER",IF(OR($BT131="",$BU131=""),"ONZEKER",IF(AND($BW131=$BT131+1,$BX131=$BU131),IF(OR(COUNTIF(#REF!,$B131)&gt;0,COUNTIF(#REF!,$B131)=0),"SKIP",IF(COUNTIFS(#REF!,$B131,#REF!,$AI131)&gt;0,"OK","ONBEKEND")),IF(AND($BW131=$BT131,$BX131=$BU131+1),IF(OR(COUNTIF(#REF!,$D131)&gt;0,COUNTIF(#REF!,$D131)=0),"SKIP",IF(COUNTIFS(#REF!,$D131,#REF!,$AI131)&gt;0,"OK","ONBEKEND")),"ONZEKER")))))</f>
        <v>ONZEKER</v>
      </c>
      <c r="AK131" s="2" t="s">
        <v>28</v>
      </c>
      <c r="AL131" s="2" t="s">
        <v>29</v>
      </c>
      <c r="AM131" s="2" t="str">
        <f>IF($AL131="","",IF(OR($BZ131="",$CA131=""),"ONZEKER",IF(OR($BW131="",$BX131=""),"ONZEKER",IF(AND($BZ131=$BW131+1,$CA131=$BX131),IF(OR(COUNTIF(#REF!,$B131)&gt;0,COUNTIF(#REF!,$B131)=0),"SKIP",IF(COUNTIFS(#REF!,$B131,#REF!,$AL131)&gt;0,"OK","ONBEKEND")),IF(AND($BZ131=$BW131,$CA131=$BX131+1),IF(OR(COUNTIF(#REF!,$D131)&gt;0,COUNTIF(#REF!,$D131)=0),"SKIP",IF(COUNTIFS(#REF!,$D131,#REF!,$AL131)&gt;0,"OK","ONBEKEND")),"ONZEKER")))))</f>
        <v>ONZEKER</v>
      </c>
      <c r="AN131" s="2" t="s">
        <v>31</v>
      </c>
      <c r="AO131" s="2" t="s">
        <v>32</v>
      </c>
      <c r="AP131" s="2" t="str">
        <f>IF($AO131="","",IF(OR($CC131="",$CD131=""),"ONZEKER",IF(OR($BZ131="",$CA131=""),"ONZEKER",IF(AND($CC131=$BZ131+1,$CD131=$CA131),IF(OR(COUNTIF(#REF!,$B131)&gt;0,COUNTIF(#REF!,$B131)=0),"SKIP",IF(COUNTIFS(#REF!,$B131,#REF!,$AO131)&gt;0,"OK","ONBEKEND")),IF(AND($CC131=$BZ131,$CD131=$CA131+1),IF(OR(COUNTIF(#REF!,$D131)&gt;0,COUNTIF(#REF!,$D131)=0),"SKIP",IF(COUNTIFS(#REF!,$D131,#REF!,$AO131)&gt;0,"OK","ONBEKEND")),"ONZEKER")))))</f>
        <v>ONZEKER</v>
      </c>
      <c r="AQ131" s="2" t="s">
        <v>34</v>
      </c>
      <c r="AR131" s="2" t="s">
        <v>35</v>
      </c>
      <c r="AS131" s="2" t="str">
        <f>IF($AR131="","",IF(OR($CF131="",$CG131=""),"ONZEKER",IF(OR($CC131="",$CD131=""),"ONZEKER",IF(AND($CF131=$CC131+1,$CG131=$CD131),IF(OR(COUNTIF(#REF!,$B131)&gt;0,COUNTIF(#REF!,$B131)=0),"SKIP",IF(COUNTIFS(#REF!,$B131,#REF!,$AR131)&gt;0,"OK","ONBEKEND")),IF(AND($CF131=$CC131,$CG131=$CD131+1),IF(OR(COUNTIF(#REF!,$D131)&gt;0,COUNTIF(#REF!,$D131)=0),"SKIP",IF(COUNTIFS(#REF!,$D131,#REF!,$AR131)&gt;0,"OK","ONBEKEND")),"ONZEKER")))))</f>
        <v>ONZEKER</v>
      </c>
      <c r="AT131" s="2" t="s">
        <v>37</v>
      </c>
      <c r="AU131" s="2" t="s">
        <v>38</v>
      </c>
      <c r="AV131" s="2" t="s">
        <v>39</v>
      </c>
      <c r="AW131" s="2" t="s">
        <v>40</v>
      </c>
      <c r="AX131" s="2" t="s">
        <v>41</v>
      </c>
      <c r="AY131" s="2" t="s">
        <v>42</v>
      </c>
      <c r="AZ131" s="2" t="s">
        <v>43</v>
      </c>
      <c r="BA131" s="2" t="s">
        <v>44</v>
      </c>
      <c r="BB131" s="2" t="s">
        <v>45</v>
      </c>
      <c r="BC131" s="2" t="s">
        <v>46</v>
      </c>
      <c r="BD131" t="str">
        <f t="shared" si="980"/>
        <v/>
      </c>
      <c r="BE131" t="str">
        <f t="shared" si="981"/>
        <v/>
      </c>
      <c r="BF131" t="str">
        <f t="shared" si="982"/>
        <v/>
      </c>
      <c r="BG131" t="str">
        <f t="shared" si="983"/>
        <v/>
      </c>
      <c r="BH131" t="str">
        <f t="shared" si="984"/>
        <v/>
      </c>
      <c r="BI131" t="str">
        <f t="shared" si="985"/>
        <v/>
      </c>
      <c r="BJ131" t="str">
        <f t="shared" si="986"/>
        <v/>
      </c>
      <c r="BK131" t="str">
        <f t="shared" si="987"/>
        <v/>
      </c>
      <c r="BL131" t="str">
        <f t="shared" si="988"/>
        <v/>
      </c>
      <c r="BM131" t="str">
        <f t="shared" si="989"/>
        <v/>
      </c>
      <c r="BN131" t="str">
        <f t="shared" si="990"/>
        <v/>
      </c>
      <c r="BO131" t="str">
        <f t="shared" si="991"/>
        <v/>
      </c>
      <c r="BP131" t="str">
        <f t="shared" si="992"/>
        <v/>
      </c>
      <c r="BQ131" t="str">
        <f t="shared" si="993"/>
        <v/>
      </c>
      <c r="BR131" t="str">
        <f t="shared" si="994"/>
        <v/>
      </c>
      <c r="BS131" t="str">
        <f t="shared" si="995"/>
        <v/>
      </c>
      <c r="BT131" t="str">
        <f t="shared" si="996"/>
        <v/>
      </c>
      <c r="BU131" t="str">
        <f t="shared" si="997"/>
        <v/>
      </c>
      <c r="BV131" t="str">
        <f t="shared" si="998"/>
        <v/>
      </c>
      <c r="BW131" t="str">
        <f t="shared" si="999"/>
        <v/>
      </c>
      <c r="BX131" t="str">
        <f t="shared" si="1000"/>
        <v/>
      </c>
      <c r="BY131" t="str">
        <f t="shared" si="1001"/>
        <v/>
      </c>
      <c r="BZ131" t="str">
        <f t="shared" si="1002"/>
        <v/>
      </c>
      <c r="CA131" t="str">
        <f t="shared" si="1003"/>
        <v/>
      </c>
      <c r="CB131" t="str">
        <f t="shared" si="1004"/>
        <v/>
      </c>
      <c r="CC131" t="str">
        <f t="shared" si="1005"/>
        <v/>
      </c>
      <c r="CD131" t="str">
        <f t="shared" si="1006"/>
        <v/>
      </c>
      <c r="CE131" t="str">
        <f t="shared" si="1007"/>
        <v/>
      </c>
      <c r="CF131" t="str">
        <f t="shared" si="1008"/>
        <v/>
      </c>
      <c r="CG131" t="str">
        <f t="shared" si="1009"/>
        <v/>
      </c>
      <c r="CH131" s="2" t="s">
        <v>77</v>
      </c>
      <c r="CI131" s="2" t="s">
        <v>78</v>
      </c>
      <c r="CJ131" s="2" t="s">
        <v>79</v>
      </c>
      <c r="CK131" s="2" t="s">
        <v>80</v>
      </c>
      <c r="CL131" s="2" t="s">
        <v>81</v>
      </c>
      <c r="CM131" s="2" t="s">
        <v>82</v>
      </c>
      <c r="CN131" s="2" t="s">
        <v>83</v>
      </c>
      <c r="CO131" s="2" t="s">
        <v>84</v>
      </c>
      <c r="CP131" s="2" t="s">
        <v>85</v>
      </c>
      <c r="CQ131" s="2" t="s">
        <v>86</v>
      </c>
      <c r="CR131" s="2" t="s">
        <v>87</v>
      </c>
      <c r="CS131" s="2" t="s">
        <v>88</v>
      </c>
      <c r="CT131" s="2" t="s">
        <v>89</v>
      </c>
      <c r="CU131" s="2" t="s">
        <v>90</v>
      </c>
      <c r="CV131" s="2" t="s">
        <v>91</v>
      </c>
      <c r="CW131" s="2" t="s">
        <v>92</v>
      </c>
      <c r="CX131" s="2" t="s">
        <v>93</v>
      </c>
      <c r="CY131" s="2" t="s">
        <v>94</v>
      </c>
      <c r="CZ131" s="2" t="s">
        <v>95</v>
      </c>
      <c r="DA131" s="2" t="s">
        <v>96</v>
      </c>
      <c r="DB131" s="2" t="s">
        <v>97</v>
      </c>
      <c r="DC131" s="2" t="s">
        <v>98</v>
      </c>
      <c r="DD131" s="2" t="s">
        <v>99</v>
      </c>
      <c r="DE131" s="2" t="s">
        <v>100</v>
      </c>
      <c r="DF131" s="2" t="s">
        <v>101</v>
      </c>
      <c r="DG131" s="2" t="s">
        <v>102</v>
      </c>
      <c r="DH131" s="2" t="s">
        <v>103</v>
      </c>
      <c r="DI131" s="2" t="s">
        <v>104</v>
      </c>
      <c r="DJ131" s="2" t="s">
        <v>105</v>
      </c>
      <c r="DK131" s="2" t="s">
        <v>106</v>
      </c>
      <c r="DL131" s="2" t="s">
        <v>107</v>
      </c>
      <c r="DM131" s="2" t="s">
        <v>108</v>
      </c>
      <c r="DN131" s="2" t="s">
        <v>109</v>
      </c>
      <c r="DO131" s="2" t="s">
        <v>110</v>
      </c>
      <c r="DP131" s="2" t="s">
        <v>111</v>
      </c>
      <c r="DQ131" s="2" t="s">
        <v>112</v>
      </c>
      <c r="DR131" s="2" t="s">
        <v>113</v>
      </c>
      <c r="DS131" s="2" t="s">
        <v>114</v>
      </c>
      <c r="DT131" s="2" t="s">
        <v>115</v>
      </c>
      <c r="DU131" s="2" t="s">
        <v>116</v>
      </c>
      <c r="DV131" s="2" t="s">
        <v>117</v>
      </c>
      <c r="DW131" s="2" t="s">
        <v>118</v>
      </c>
      <c r="DX131" s="2" t="s">
        <v>119</v>
      </c>
      <c r="DY131" s="2" t="s">
        <v>120</v>
      </c>
      <c r="DZ131" s="2" t="s">
        <v>121</v>
      </c>
      <c r="EA131" s="2" t="s">
        <v>122</v>
      </c>
      <c r="EB131" s="2" t="s">
        <v>123</v>
      </c>
      <c r="EC131" s="2" t="s">
        <v>124</v>
      </c>
      <c r="ED131" s="2" t="s">
        <v>125</v>
      </c>
      <c r="EE131" s="2" t="s">
        <v>126</v>
      </c>
      <c r="EF131" s="2" t="s">
        <v>127</v>
      </c>
      <c r="EG131" s="2" t="s">
        <v>128</v>
      </c>
      <c r="EH131" s="2" t="s">
        <v>129</v>
      </c>
      <c r="EI131" s="2" t="s">
        <v>130</v>
      </c>
      <c r="EJ131" s="2" t="s">
        <v>131</v>
      </c>
      <c r="EK131" s="2" t="s">
        <v>132</v>
      </c>
      <c r="EL131" s="2" t="s">
        <v>133</v>
      </c>
      <c r="EM131" s="2" t="s">
        <v>134</v>
      </c>
      <c r="EN131" s="2" t="s">
        <v>135</v>
      </c>
      <c r="EO131" s="2" t="s">
        <v>136</v>
      </c>
      <c r="EP131" s="2" t="s">
        <v>137</v>
      </c>
      <c r="EQ131" s="2" t="s">
        <v>138</v>
      </c>
      <c r="ER131" s="2" t="s">
        <v>139</v>
      </c>
      <c r="ES131" s="2" t="s">
        <v>140</v>
      </c>
      <c r="ET131" s="2" t="s">
        <v>141</v>
      </c>
      <c r="EU131" s="2" t="s">
        <v>142</v>
      </c>
      <c r="EV131" s="2" t="s">
        <v>143</v>
      </c>
      <c r="EW131" s="2" t="s">
        <v>144</v>
      </c>
      <c r="EX131" s="2" t="s">
        <v>145</v>
      </c>
      <c r="EY131" s="2" t="s">
        <v>146</v>
      </c>
    </row>
    <row r="132" spans="1:155" ht="13.9" customHeight="1" x14ac:dyDescent="0.25">
      <c r="A132" s="7"/>
      <c r="B132" s="17"/>
      <c r="C132" s="8"/>
      <c r="D132" s="17"/>
      <c r="E132" s="8"/>
      <c r="F132" s="18">
        <v>0</v>
      </c>
      <c r="G132" s="7" t="s">
        <v>147</v>
      </c>
      <c r="H132" s="18">
        <v>0</v>
      </c>
      <c r="I132" s="19">
        <v>0</v>
      </c>
      <c r="J132" s="7" t="s">
        <v>147</v>
      </c>
      <c r="K132" s="19">
        <v>0</v>
      </c>
      <c r="L132" s="9"/>
      <c r="M132" s="3" t="str">
        <f>IF($L132="","",IF($L132="DOELPUNTENMAKERS","",IF(AND(COUNTIF(#REF!,$B132)=0,COUNTIF(#REF!,$D132)=0),"OK",IF($O132&gt;20,"LET OP: meer dan 20 items (controle onvolledig)",IF((COUNTIF($R132:$AS132,"ONZEKER")+COUNTIF($CJ132:$DK132,"ONZEKER"))&gt;0,"LET OP: scoreverloop onduidelijk (controle beperkt)",IF((IF($AT132&lt;&gt;"",$AT132&amp;", ","")&amp;IF($AU132&lt;&gt;"",$AU132&amp;", ","")&amp;IF($AV132&lt;&gt;"",$AV132&amp;", ","")&amp;IF($AW132&lt;&gt;"",$AW132&amp;", ","")&amp;IF($AX132&lt;&gt;"",$AX132&amp;", ","")&amp;IF($AY132&lt;&gt;"",$AY132&amp;", ","")&amp;IF($AZ132&lt;&gt;"",$AZ132&amp;", ","")&amp;IF($BA132&lt;&gt;"",$BA132&amp;", ","")&amp;IF($BB132&lt;&gt;"",$BB132&amp;", ","")&amp;IF($BC132&lt;&gt;"",$BC132&amp;", ","")&amp;IF($DL132&lt;&gt;"",$DL132&amp;", ","")&amp;IF($DM132&lt;&gt;"",$DM132&amp;", ","")&amp;IF($DN132&lt;&gt;"",$DN132&amp;", ","")&amp;IF($DO132&lt;&gt;"",$DO132&amp;", ","")&amp;IF($DP132&lt;&gt;"",$DP132&amp;", ","")&amp;IF($DQ132&lt;&gt;"",$DQ132&amp;", ","")&amp;IF($DR132&lt;&gt;"",$DR132&amp;", ","")&amp;IF($DS132&lt;&gt;"",$DS132&amp;", ","")&amp;IF($DT132&lt;&gt;"",$DT132&amp;", ","")&amp;IF($DU132&lt;&gt;"",$DU132&amp;", ",""))="","OK","Onbekend: "&amp;LEFT((IF($AT132&lt;&gt;"",$AT132&amp;", ","")&amp;IF($AU132&lt;&gt;"",$AU132&amp;", ","")&amp;IF($AV132&lt;&gt;"",$AV132&amp;", ","")&amp;IF($AW132&lt;&gt;"",$AW132&amp;", ","")&amp;IF($AX132&lt;&gt;"",$AX132&amp;", ","")&amp;IF($AY132&lt;&gt;"",$AY132&amp;", ","")&amp;IF($AZ132&lt;&gt;"",$AZ132&amp;", ","")&amp;IF($BA132&lt;&gt;"",$BA132&amp;", ","")&amp;IF($BB132&lt;&gt;"",$BB132&amp;", ","")&amp;IF($BC132&lt;&gt;"",$BC132&amp;", ","")&amp;IF($DL132&lt;&gt;"",$DL132&amp;", ","")&amp;IF($DM132&lt;&gt;"",$DM132&amp;", ","")&amp;IF($DN132&lt;&gt;"",$DN132&amp;", ","")&amp;IF($DO132&lt;&gt;"",$DO132&amp;", ","")&amp;IF($DP132&lt;&gt;"",$DP132&amp;", ","")&amp;IF($DQ132&lt;&gt;"",$DQ132&amp;", ","")&amp;IF($DR132&lt;&gt;"",$DR132&amp;", ","")&amp;IF($DS132&lt;&gt;"",$DS132&amp;", ","")&amp;IF($DT132&lt;&gt;"",$DT132&amp;", ","")&amp;IF($DU132&lt;&gt;"",$DU132&amp;", ","")),LEN((IF($AT132&lt;&gt;"",$AT132&amp;", ","")&amp;IF($AU132&lt;&gt;"",$AU132&amp;", ","")&amp;IF($AV132&lt;&gt;"",$AV132&amp;", ","")&amp;IF($AW132&lt;&gt;"",$AW132&amp;", ","")&amp;IF($AX132&lt;&gt;"",$AX132&amp;", ","")&amp;IF($AY132&lt;&gt;"",$AY132&amp;", ","")&amp;IF($AZ132&lt;&gt;"",$AZ132&amp;", ","")&amp;IF($BA132&lt;&gt;"",$BA132&amp;", ","")&amp;IF($BB132&lt;&gt;"",$BB132&amp;", ","")&amp;IF($BC132&lt;&gt;"",$BC132&amp;", ","")&amp;IF($DL132&lt;&gt;"",$DL132&amp;", ","")&amp;IF($DM132&lt;&gt;"",$DM132&amp;", ","")&amp;IF($DN132&lt;&gt;"",$DN132&amp;", ","")&amp;IF($DO132&lt;&gt;"",$DO132&amp;", ","")&amp;IF($DP132&lt;&gt;"",$DP132&amp;", ","")&amp;IF($DQ132&lt;&gt;"",$DQ132&amp;", ","")&amp;IF($DR132&lt;&gt;"",$DR132&amp;", ","")&amp;IF($DS132&lt;&gt;"",$DS132&amp;", ","")&amp;IF($DT132&lt;&gt;"",$DT132&amp;", ","")&amp;IF($DU132&lt;&gt;"",$DU132&amp;", ","")))-2)))))))</f>
        <v/>
      </c>
      <c r="N132" t="str">
        <f t="shared" ref="N132:N143" si="1010">IF($L132="","",TRIM(IF(RIGHT(SUBSTITUTE($L132,CHAR(160)," "),1)=".",LEFT(SUBSTITUTE($L132,CHAR(160)," "),LEN(SUBSTITUTE($L132,CHAR(160)," "))-1),SUBSTITUTE($L132,CHAR(160)," "))))</f>
        <v/>
      </c>
      <c r="O132" t="str">
        <f t="shared" ref="O132:O143" si="1011">IF($N132="","",LEN($N132)-LEN(SUBSTITUTE($N132,",",""))+1)</f>
        <v/>
      </c>
      <c r="P132" t="str">
        <f t="shared" ref="P132:P143" si="1012">IF($N132="","",TRIM(MID(SUBSTITUTE($N132,",",REPT(" ",200)),1,200)))</f>
        <v/>
      </c>
      <c r="Q132" t="str">
        <f t="shared" ref="Q132:Q143" si="1013">IF(P132="","",TRIM(IFERROR(LEFT(P132,FIND("§",SUBSTITUTE(P132," ","§",LEN(P132)-LEN(SUBSTITUTE(P132," ",""))))-1),P132)))</f>
        <v/>
      </c>
      <c r="R132" t="str">
        <f>IF($Q132="","",IF(OR($BE132="",$BF132=""),"ONZEKER",IF(AND($BE132=0+1,$BF132=0),IF(OR(COUNTIF(#REF!,$B132)&gt;0,COUNTIF(#REF!,$B132)=0),"SKIP",IF(COUNTIFS(#REF!,$B132,#REF!,$Q132)&gt;0,"OK","ONBEKEND")),IF(AND($BE132=0,$BF132=0+1),IF(OR(COUNTIF(#REF!,$D132)&gt;0,COUNTIF(#REF!,$D132)=0),"SKIP",IF(COUNTIFS(#REF!,$D132,#REF!,$Q132)&gt;0,"OK","ONBEKEND")),"ONZEKER"))))</f>
        <v/>
      </c>
      <c r="S132" t="str">
        <f t="shared" ref="S132:S143" si="1014">IF($N132="","",TRIM(MID(SUBSTITUTE($N132,",",REPT(" ",200)),201,200)))</f>
        <v/>
      </c>
      <c r="T132" t="str">
        <f t="shared" ref="T132:T143" si="1015">IF(S132="","",TRIM(IFERROR(LEFT(S132,FIND("§",SUBSTITUTE(S132," ","§",LEN(S132)-LEN(SUBSTITUTE(S132," ",""))))-1),S132)))</f>
        <v/>
      </c>
      <c r="U132" t="str">
        <f>IF($T132="","",IF(OR($BH132="",$BI132=""),"ONZEKER",IF(OR($BE132="",$BF132=""),"ONZEKER",IF(AND($BH132=$BE132+1,$BI132=$BF132),IF(OR(COUNTIF(#REF!,$B132)&gt;0,COUNTIF(#REF!,$B132)=0),"SKIP",IF(COUNTIFS(#REF!,$B132,#REF!,$T132)&gt;0,"OK","ONBEKEND")),IF(AND($BH132=$BE132,$BI132=$BF132+1),IF(OR(COUNTIF(#REF!,$D132)&gt;0,COUNTIF(#REF!,$D132)=0),"SKIP",IF(COUNTIFS(#REF!,$D132,#REF!,$T132)&gt;0,"OK","ONBEKEND")),"ONZEKER")))))</f>
        <v/>
      </c>
      <c r="V132" t="str">
        <f t="shared" ref="V132:V143" si="1016">IF($N132="","",TRIM(MID(SUBSTITUTE($N132,",",REPT(" ",200)),401,200)))</f>
        <v/>
      </c>
      <c r="W132" t="str">
        <f t="shared" ref="W132:W143" si="1017">IF(V132="","",TRIM(IFERROR(LEFT(V132,FIND("§",SUBSTITUTE(V132," ","§",LEN(V132)-LEN(SUBSTITUTE(V132," ",""))))-1),V132)))</f>
        <v/>
      </c>
      <c r="X132" t="str">
        <f>IF($W132="","",IF(OR($BK132="",$BL132=""),"ONZEKER",IF(OR($BH132="",$BI132=""),"ONZEKER",IF(AND($BK132=$BH132+1,$BL132=$BI132),IF(OR(COUNTIF(#REF!,$B132)&gt;0,COUNTIF(#REF!,$B132)=0),"SKIP",IF(COUNTIFS(#REF!,$B132,#REF!,$W132)&gt;0,"OK","ONBEKEND")),IF(AND($BK132=$BH132,$BL132=$BI132+1),IF(OR(COUNTIF(#REF!,$D132)&gt;0,COUNTIF(#REF!,$D132)=0),"SKIP",IF(COUNTIFS(#REF!,$D132,#REF!,$W132)&gt;0,"OK","ONBEKEND")),"ONZEKER")))))</f>
        <v/>
      </c>
      <c r="Y132" t="str">
        <f t="shared" ref="Y132:Y143" si="1018">IF($N132="","",TRIM(MID(SUBSTITUTE($N132,",",REPT(" ",200)),601,200)))</f>
        <v/>
      </c>
      <c r="Z132" t="str">
        <f t="shared" ref="Z132:Z143" si="1019">IF(Y132="","",TRIM(IFERROR(LEFT(Y132,FIND("§",SUBSTITUTE(Y132," ","§",LEN(Y132)-LEN(SUBSTITUTE(Y132," ",""))))-1),Y132)))</f>
        <v/>
      </c>
      <c r="AA132" t="str">
        <f>IF($Z132="","",IF(OR($BN132="",$BO132=""),"ONZEKER",IF(OR($BK132="",$BL132=""),"ONZEKER",IF(AND($BN132=$BK132+1,$BO132=$BL132),IF(OR(COUNTIF(#REF!,$B132)&gt;0,COUNTIF(#REF!,$B132)=0),"SKIP",IF(COUNTIFS(#REF!,$B132,#REF!,$Z132)&gt;0,"OK","ONBEKEND")),IF(AND($BN132=$BK132,$BO132=$BL132+1),IF(OR(COUNTIF(#REF!,$D132)&gt;0,COUNTIF(#REF!,$D132)=0),"SKIP",IF(COUNTIFS(#REF!,$D132,#REF!,$Z132)&gt;0,"OK","ONBEKEND")),"ONZEKER")))))</f>
        <v/>
      </c>
      <c r="AB132" t="str">
        <f t="shared" ref="AB132:AB143" si="1020">IF($N132="","",TRIM(MID(SUBSTITUTE($N132,",",REPT(" ",200)),801,200)))</f>
        <v/>
      </c>
      <c r="AC132" t="str">
        <f t="shared" ref="AC132:AC143" si="1021">IF(AB132="","",TRIM(IFERROR(LEFT(AB132,FIND("§",SUBSTITUTE(AB132," ","§",LEN(AB132)-LEN(SUBSTITUTE(AB132," ",""))))-1),AB132)))</f>
        <v/>
      </c>
      <c r="AD132" t="str">
        <f>IF($AC132="","",IF(OR($BQ132="",$BR132=""),"ONZEKER",IF(OR($BN132="",$BO132=""),"ONZEKER",IF(AND($BQ132=$BN132+1,$BR132=$BO132),IF(OR(COUNTIF(#REF!,$B132)&gt;0,COUNTIF(#REF!,$B132)=0),"SKIP",IF(COUNTIFS(#REF!,$B132,#REF!,$AC132)&gt;0,"OK","ONBEKEND")),IF(AND($BQ132=$BN132,$BR132=$BO132+1),IF(OR(COUNTIF(#REF!,$D132)&gt;0,COUNTIF(#REF!,$D132)=0),"SKIP",IF(COUNTIFS(#REF!,$D132,#REF!,$AC132)&gt;0,"OK","ONBEKEND")),"ONZEKER")))))</f>
        <v/>
      </c>
      <c r="AE132" t="str">
        <f t="shared" ref="AE132:AE143" si="1022">IF($N132="","",TRIM(MID(SUBSTITUTE($N132,",",REPT(" ",200)),1001,200)))</f>
        <v/>
      </c>
      <c r="AF132" t="str">
        <f t="shared" ref="AF132:AF143" si="1023">IF(AE132="","",TRIM(IFERROR(LEFT(AE132,FIND("§",SUBSTITUTE(AE132," ","§",LEN(AE132)-LEN(SUBSTITUTE(AE132," ",""))))-1),AE132)))</f>
        <v/>
      </c>
      <c r="AG132" t="str">
        <f>IF($AF132="","",IF(OR($BT132="",$BU132=""),"ONZEKER",IF(OR($BQ132="",$BR132=""),"ONZEKER",IF(AND($BT132=$BQ132+1,$BU132=$BR132),IF(OR(COUNTIF(#REF!,$B132)&gt;0,COUNTIF(#REF!,$B132)=0),"SKIP",IF(COUNTIFS(#REF!,$B132,#REF!,$AF132)&gt;0,"OK","ONBEKEND")),IF(AND($BT132=$BQ132,$BU132=$BR132+1),IF(OR(COUNTIF(#REF!,$D132)&gt;0,COUNTIF(#REF!,$D132)=0),"SKIP",IF(COUNTIFS(#REF!,$D132,#REF!,$AF132)&gt;0,"OK","ONBEKEND")),"ONZEKER")))))</f>
        <v/>
      </c>
      <c r="AH132" t="str">
        <f t="shared" ref="AH132:AH143" si="1024">IF($N132="","",TRIM(MID(SUBSTITUTE($N132,",",REPT(" ",200)),1201,200)))</f>
        <v/>
      </c>
      <c r="AI132" t="str">
        <f t="shared" ref="AI132:AI143" si="1025">IF(AH132="","",TRIM(IFERROR(LEFT(AH132,FIND("§",SUBSTITUTE(AH132," ","§",LEN(AH132)-LEN(SUBSTITUTE(AH132," ",""))))-1),AH132)))</f>
        <v/>
      </c>
      <c r="AJ132" t="str">
        <f>IF($AI132="","",IF(OR($BW132="",$BX132=""),"ONZEKER",IF(OR($BT132="",$BU132=""),"ONZEKER",IF(AND($BW132=$BT132+1,$BX132=$BU132),IF(OR(COUNTIF(#REF!,$B132)&gt;0,COUNTIF(#REF!,$B132)=0),"SKIP",IF(COUNTIFS(#REF!,$B132,#REF!,$AI132)&gt;0,"OK","ONBEKEND")),IF(AND($BW132=$BT132,$BX132=$BU132+1),IF(OR(COUNTIF(#REF!,$D132)&gt;0,COUNTIF(#REF!,$D132)=0),"SKIP",IF(COUNTIFS(#REF!,$D132,#REF!,$AI132)&gt;0,"OK","ONBEKEND")),"ONZEKER")))))</f>
        <v/>
      </c>
      <c r="AK132" t="str">
        <f t="shared" ref="AK132:AK143" si="1026">IF($N132="","",TRIM(MID(SUBSTITUTE($N132,",",REPT(" ",200)),1401,200)))</f>
        <v/>
      </c>
      <c r="AL132" t="str">
        <f t="shared" ref="AL132:AL143" si="1027">IF(AK132="","",TRIM(IFERROR(LEFT(AK132,FIND("§",SUBSTITUTE(AK132," ","§",LEN(AK132)-LEN(SUBSTITUTE(AK132," ",""))))-1),AK132)))</f>
        <v/>
      </c>
      <c r="AM132" t="str">
        <f>IF($AL132="","",IF(OR($BZ132="",$CA132=""),"ONZEKER",IF(OR($BW132="",$BX132=""),"ONZEKER",IF(AND($BZ132=$BW132+1,$CA132=$BX132),IF(OR(COUNTIF(#REF!,$B132)&gt;0,COUNTIF(#REF!,$B132)=0),"SKIP",IF(COUNTIFS(#REF!,$B132,#REF!,$AL132)&gt;0,"OK","ONBEKEND")),IF(AND($BZ132=$BW132,$CA132=$BX132+1),IF(OR(COUNTIF(#REF!,$D132)&gt;0,COUNTIF(#REF!,$D132)=0),"SKIP",IF(COUNTIFS(#REF!,$D132,#REF!,$AL132)&gt;0,"OK","ONBEKEND")),"ONZEKER")))))</f>
        <v/>
      </c>
      <c r="AN132" t="str">
        <f t="shared" ref="AN132:AN143" si="1028">IF($N132="","",TRIM(MID(SUBSTITUTE($N132,",",REPT(" ",200)),1601,200)))</f>
        <v/>
      </c>
      <c r="AO132" t="str">
        <f t="shared" ref="AO132:AO143" si="1029">IF(AN132="","",TRIM(IFERROR(LEFT(AN132,FIND("§",SUBSTITUTE(AN132," ","§",LEN(AN132)-LEN(SUBSTITUTE(AN132," ",""))))-1),AN132)))</f>
        <v/>
      </c>
      <c r="AP132" t="str">
        <f>IF($AO132="","",IF(OR($CC132="",$CD132=""),"ONZEKER",IF(OR($BZ132="",$CA132=""),"ONZEKER",IF(AND($CC132=$BZ132+1,$CD132=$CA132),IF(OR(COUNTIF(#REF!,$B132)&gt;0,COUNTIF(#REF!,$B132)=0),"SKIP",IF(COUNTIFS(#REF!,$B132,#REF!,$AO132)&gt;0,"OK","ONBEKEND")),IF(AND($CC132=$BZ132,$CD132=$CA132+1),IF(OR(COUNTIF(#REF!,$D132)&gt;0,COUNTIF(#REF!,$D132)=0),"SKIP",IF(COUNTIFS(#REF!,$D132,#REF!,$AO132)&gt;0,"OK","ONBEKEND")),"ONZEKER")))))</f>
        <v/>
      </c>
      <c r="AQ132" t="str">
        <f t="shared" ref="AQ132:AQ143" si="1030">IF($N132="","",TRIM(MID(SUBSTITUTE($N132,",",REPT(" ",200)),1801,200)))</f>
        <v/>
      </c>
      <c r="AR132" t="str">
        <f t="shared" ref="AR132:AR143" si="1031">IF(AQ132="","",TRIM(IFERROR(LEFT(AQ132,FIND("§",SUBSTITUTE(AQ132," ","§",LEN(AQ132)-LEN(SUBSTITUTE(AQ132," ",""))))-1),AQ132)))</f>
        <v/>
      </c>
      <c r="AS132" t="str">
        <f>IF($AR132="","",IF(OR($CF132="",$CG132=""),"ONZEKER",IF(OR($CC132="",$CD132=""),"ONZEKER",IF(AND($CF132=$CC132+1,$CG132=$CD132),IF(OR(COUNTIF(#REF!,$B132)&gt;0,COUNTIF(#REF!,$B132)=0),"SKIP",IF(COUNTIFS(#REF!,$B132,#REF!,$AR132)&gt;0,"OK","ONBEKEND")),IF(AND($CF132=$CC132,$CG132=$CD132+1),IF(OR(COUNTIF(#REF!,$D132)&gt;0,COUNTIF(#REF!,$D132)=0),"SKIP",IF(COUNTIFS(#REF!,$D132,#REF!,$AR132)&gt;0,"OK","ONBEKEND")),"ONZEKER")))))</f>
        <v/>
      </c>
      <c r="AT132" t="str">
        <f t="shared" ref="AT132:AT143" si="1032">IF(R132="ONBEKEND",Q132,"")</f>
        <v/>
      </c>
      <c r="AU132" t="str">
        <f t="shared" ref="AU132:AU143" si="1033">IF(U132="ONBEKEND",T132,"")</f>
        <v/>
      </c>
      <c r="AV132" t="str">
        <f t="shared" ref="AV132:AV143" si="1034">IF(X132="ONBEKEND",W132,"")</f>
        <v/>
      </c>
      <c r="AW132" t="str">
        <f t="shared" ref="AW132:AW143" si="1035">IF(AA132="ONBEKEND",Z132,"")</f>
        <v/>
      </c>
      <c r="AX132" t="str">
        <f t="shared" ref="AX132:AX143" si="1036">IF(AD132="ONBEKEND",AC132,"")</f>
        <v/>
      </c>
      <c r="AY132" t="str">
        <f t="shared" ref="AY132:AY143" si="1037">IF(AG132="ONBEKEND",AF132,"")</f>
        <v/>
      </c>
      <c r="AZ132" t="str">
        <f t="shared" ref="AZ132:AZ143" si="1038">IF(AJ132="ONBEKEND",AI132,"")</f>
        <v/>
      </c>
      <c r="BA132" t="str">
        <f t="shared" ref="BA132:BA143" si="1039">IF(AM132="ONBEKEND",AL132,"")</f>
        <v/>
      </c>
      <c r="BB132" t="str">
        <f t="shared" ref="BB132:BB143" si="1040">IF(AP132="ONBEKEND",AO132,"")</f>
        <v/>
      </c>
      <c r="BC132" t="str">
        <f t="shared" ref="BC132:BC143" si="1041">IF(AS132="ONBEKEND",AR132,"")</f>
        <v/>
      </c>
      <c r="BD132" t="str">
        <f t="shared" si="980"/>
        <v/>
      </c>
      <c r="BE132" t="str">
        <f t="shared" si="981"/>
        <v/>
      </c>
      <c r="BF132" t="str">
        <f t="shared" si="982"/>
        <v/>
      </c>
      <c r="BG132" t="str">
        <f t="shared" si="983"/>
        <v/>
      </c>
      <c r="BH132" t="str">
        <f t="shared" si="984"/>
        <v/>
      </c>
      <c r="BI132" t="str">
        <f t="shared" si="985"/>
        <v/>
      </c>
      <c r="BJ132" t="str">
        <f t="shared" si="986"/>
        <v/>
      </c>
      <c r="BK132" t="str">
        <f t="shared" si="987"/>
        <v/>
      </c>
      <c r="BL132" t="str">
        <f t="shared" si="988"/>
        <v/>
      </c>
      <c r="BM132" t="str">
        <f t="shared" si="989"/>
        <v/>
      </c>
      <c r="BN132" t="str">
        <f t="shared" si="990"/>
        <v/>
      </c>
      <c r="BO132" t="str">
        <f t="shared" si="991"/>
        <v/>
      </c>
      <c r="BP132" t="str">
        <f t="shared" si="992"/>
        <v/>
      </c>
      <c r="BQ132" t="str">
        <f t="shared" si="993"/>
        <v/>
      </c>
      <c r="BR132" t="str">
        <f t="shared" si="994"/>
        <v/>
      </c>
      <c r="BS132" t="str">
        <f t="shared" si="995"/>
        <v/>
      </c>
      <c r="BT132" t="str">
        <f t="shared" si="996"/>
        <v/>
      </c>
      <c r="BU132" t="str">
        <f t="shared" si="997"/>
        <v/>
      </c>
      <c r="BV132" t="str">
        <f t="shared" si="998"/>
        <v/>
      </c>
      <c r="BW132" t="str">
        <f t="shared" si="999"/>
        <v/>
      </c>
      <c r="BX132" t="str">
        <f t="shared" si="1000"/>
        <v/>
      </c>
      <c r="BY132" t="str">
        <f t="shared" si="1001"/>
        <v/>
      </c>
      <c r="BZ132" t="str">
        <f t="shared" si="1002"/>
        <v/>
      </c>
      <c r="CA132" t="str">
        <f t="shared" si="1003"/>
        <v/>
      </c>
      <c r="CB132" t="str">
        <f t="shared" si="1004"/>
        <v/>
      </c>
      <c r="CC132" t="str">
        <f t="shared" si="1005"/>
        <v/>
      </c>
      <c r="CD132" t="str">
        <f t="shared" si="1006"/>
        <v/>
      </c>
      <c r="CE132" t="str">
        <f t="shared" si="1007"/>
        <v/>
      </c>
      <c r="CF132" t="str">
        <f t="shared" si="1008"/>
        <v/>
      </c>
      <c r="CG132" t="str">
        <f t="shared" si="1009"/>
        <v/>
      </c>
      <c r="CH132" t="str">
        <f t="shared" ref="CH132:CH143" si="1042">IF($N132="","",TRIM(MID(SUBSTITUTE($N132,",",REPT(" ",200)),2001,200)))</f>
        <v/>
      </c>
      <c r="CI132" t="str">
        <f t="shared" ref="CI132:CI143" si="1043">IF(CH132="","",TRIM(IFERROR(LEFT(CH132,FIND("§",SUBSTITUTE(CH132," ","§",LEN(CH132)-LEN(SUBSTITUTE(CH132," ",""))))-1),CH132)))</f>
        <v/>
      </c>
      <c r="CJ132" t="str">
        <f>IF($CI132="","",IF(OR($DW132="",$DX132=""),"ONZEKER",IF(OR($CF132="",$CG132=""),"ONZEKER",IF(AND($DW132=$CF132+1,$DX132=$CG132),IF(OR(COUNTIF(#REF!,$B132)&gt;0,COUNTIF(#REF!,$B132)=0),"SKIP",IF(COUNTIFS(#REF!,$B132,#REF!,$CI132)&gt;0,"OK","ONBEKEND")),IF(AND($DW132=$CF132,$DX132=$CG132+1),IF(OR(COUNTIF(#REF!,$D132)&gt;0,COUNTIF(#REF!,$D132)=0),"SKIP",IF(COUNTIFS(#REF!,$D132,#REF!,$CI132)&gt;0,"OK","ONBEKEND")),"ONZEKER")))))</f>
        <v/>
      </c>
      <c r="CK132" t="str">
        <f t="shared" ref="CK132:CK143" si="1044">IF($N132="","",TRIM(MID(SUBSTITUTE($N132,",",REPT(" ",200)),2201,200)))</f>
        <v/>
      </c>
      <c r="CL132" t="str">
        <f t="shared" ref="CL132:CL143" si="1045">IF(CK132="","",TRIM(IFERROR(LEFT(CK132,FIND("§",SUBSTITUTE(CK132," ","§",LEN(CK132)-LEN(SUBSTITUTE(CK132," ",""))))-1),CK132)))</f>
        <v/>
      </c>
      <c r="CM132" t="str">
        <f>IF($CL132="","",IF(OR($DZ132="",$EA132=""),"ONZEKER",IF(OR($DW132="",$DX132=""),"ONZEKER",IF(AND($DZ132=$DW132+1,$EA132=$DX132),IF(OR(COUNTIF(#REF!,$B132)&gt;0,COUNTIF(#REF!,$B132)=0),"SKIP",IF(COUNTIFS(#REF!,$B132,#REF!,$CL132)&gt;0,"OK","ONBEKEND")),IF(AND($DZ132=$DW132,$EA132=$DX132+1),IF(OR(COUNTIF(#REF!,$D132)&gt;0,COUNTIF(#REF!,$D132)=0),"SKIP",IF(COUNTIFS(#REF!,$D132,#REF!,$CL132)&gt;0,"OK","ONBEKEND")),"ONZEKER")))))</f>
        <v/>
      </c>
      <c r="CN132" t="str">
        <f t="shared" ref="CN132:CN143" si="1046">IF($N132="","",TRIM(MID(SUBSTITUTE($N132,",",REPT(" ",200)),2401,200)))</f>
        <v/>
      </c>
      <c r="CO132" t="str">
        <f t="shared" ref="CO132:CO143" si="1047">IF(CN132="","",TRIM(IFERROR(LEFT(CN132,FIND("§",SUBSTITUTE(CN132," ","§",LEN(CN132)-LEN(SUBSTITUTE(CN132," ",""))))-1),CN132)))</f>
        <v/>
      </c>
      <c r="CP132" t="str">
        <f>IF($CO132="","",IF(OR($EC132="",$ED132=""),"ONZEKER",IF(OR($DZ132="",$EA132=""),"ONZEKER",IF(AND($EC132=$DZ132+1,$ED132=$EA132),IF(OR(COUNTIF(#REF!,$B132)&gt;0,COUNTIF(#REF!,$B132)=0),"SKIP",IF(COUNTIFS(#REF!,$B132,#REF!,$CO132)&gt;0,"OK","ONBEKEND")),IF(AND($EC132=$DZ132,$ED132=$EA132+1),IF(OR(COUNTIF(#REF!,$D132)&gt;0,COUNTIF(#REF!,$D132)=0),"SKIP",IF(COUNTIFS(#REF!,$D132,#REF!,$CO132)&gt;0,"OK","ONBEKEND")),"ONZEKER")))))</f>
        <v/>
      </c>
      <c r="CQ132" t="str">
        <f t="shared" ref="CQ132:CQ143" si="1048">IF($N132="","",TRIM(MID(SUBSTITUTE($N132,",",REPT(" ",200)),2601,200)))</f>
        <v/>
      </c>
      <c r="CR132" t="str">
        <f t="shared" ref="CR132:CR143" si="1049">IF(CQ132="","",TRIM(IFERROR(LEFT(CQ132,FIND("§",SUBSTITUTE(CQ132," ","§",LEN(CQ132)-LEN(SUBSTITUTE(CQ132," ",""))))-1),CQ132)))</f>
        <v/>
      </c>
      <c r="CS132" t="str">
        <f>IF($CR132="","",IF(OR($EF132="",$EG132=""),"ONZEKER",IF(OR($EC132="",$ED132=""),"ONZEKER",IF(AND($EF132=$EC132+1,$EG132=$ED132),IF(OR(COUNTIF(#REF!,$B132)&gt;0,COUNTIF(#REF!,$B132)=0),"SKIP",IF(COUNTIFS(#REF!,$B132,#REF!,$CR132)&gt;0,"OK","ONBEKEND")),IF(AND($EF132=$EC132,$EG132=$ED132+1),IF(OR(COUNTIF(#REF!,$D132)&gt;0,COUNTIF(#REF!,$D132)=0),"SKIP",IF(COUNTIFS(#REF!,$D132,#REF!,$CR132)&gt;0,"OK","ONBEKEND")),"ONZEKER")))))</f>
        <v/>
      </c>
      <c r="CT132" t="str">
        <f t="shared" ref="CT132:CT143" si="1050">IF($N132="","",TRIM(MID(SUBSTITUTE($N132,",",REPT(" ",200)),2801,200)))</f>
        <v/>
      </c>
      <c r="CU132" t="str">
        <f t="shared" ref="CU132:CU143" si="1051">IF(CT132="","",TRIM(IFERROR(LEFT(CT132,FIND("§",SUBSTITUTE(CT132," ","§",LEN(CT132)-LEN(SUBSTITUTE(CT132," ",""))))-1),CT132)))</f>
        <v/>
      </c>
      <c r="CV132" t="str">
        <f>IF($CU132="","",IF(OR($EI132="",$EJ132=""),"ONZEKER",IF(OR($EF132="",$EG132=""),"ONZEKER",IF(AND($EI132=$EF132+1,$EJ132=$EG132),IF(OR(COUNTIF(#REF!,$B132)&gt;0,COUNTIF(#REF!,$B132)=0),"SKIP",IF(COUNTIFS(#REF!,$B132,#REF!,$CU132)&gt;0,"OK","ONBEKEND")),IF(AND($EI132=$EF132,$EJ132=$EG132+1),IF(OR(COUNTIF(#REF!,$D132)&gt;0,COUNTIF(#REF!,$D132)=0),"SKIP",IF(COUNTIFS(#REF!,$D132,#REF!,$CU132)&gt;0,"OK","ONBEKEND")),"ONZEKER")))))</f>
        <v/>
      </c>
      <c r="CW132" t="str">
        <f t="shared" ref="CW132:CW143" si="1052">IF($N132="","",TRIM(MID(SUBSTITUTE($N132,",",REPT(" ",200)),3001,200)))</f>
        <v/>
      </c>
      <c r="CX132" t="str">
        <f t="shared" ref="CX132:CX143" si="1053">IF(CW132="","",TRIM(IFERROR(LEFT(CW132,FIND("§",SUBSTITUTE(CW132," ","§",LEN(CW132)-LEN(SUBSTITUTE(CW132," ",""))))-1),CW132)))</f>
        <v/>
      </c>
      <c r="CY132" t="str">
        <f>IF($CX132="","",IF(OR($EL132="",$EM132=""),"ONZEKER",IF(OR($EI132="",$EJ132=""),"ONZEKER",IF(AND($EL132=$EI132+1,$EM132=$EJ132),IF(OR(COUNTIF(#REF!,$B132)&gt;0,COUNTIF(#REF!,$B132)=0),"SKIP",IF(COUNTIFS(#REF!,$B132,#REF!,$CX132)&gt;0,"OK","ONBEKEND")),IF(AND($EL132=$EI132,$EM132=$EJ132+1),IF(OR(COUNTIF(#REF!,$D132)&gt;0,COUNTIF(#REF!,$D132)=0),"SKIP",IF(COUNTIFS(#REF!,$D132,#REF!,$CX132)&gt;0,"OK","ONBEKEND")),"ONZEKER")))))</f>
        <v/>
      </c>
      <c r="CZ132" t="str">
        <f t="shared" ref="CZ132:CZ143" si="1054">IF($N132="","",TRIM(MID(SUBSTITUTE($N132,",",REPT(" ",200)),3201,200)))</f>
        <v/>
      </c>
      <c r="DA132" t="str">
        <f t="shared" ref="DA132:DA143" si="1055">IF(CZ132="","",TRIM(IFERROR(LEFT(CZ132,FIND("§",SUBSTITUTE(CZ132," ","§",LEN(CZ132)-LEN(SUBSTITUTE(CZ132," ",""))))-1),CZ132)))</f>
        <v/>
      </c>
      <c r="DB132" t="str">
        <f>IF($DA132="","",IF(OR($EO132="",$EP132=""),"ONZEKER",IF(OR($EL132="",$EM132=""),"ONZEKER",IF(AND($EO132=$EL132+1,$EP132=$EM132),IF(OR(COUNTIF(#REF!,$B132)&gt;0,COUNTIF(#REF!,$B132)=0),"SKIP",IF(COUNTIFS(#REF!,$B132,#REF!,$DA132)&gt;0,"OK","ONBEKEND")),IF(AND($EO132=$EL132,$EP132=$EM132+1),IF(OR(COUNTIF(#REF!,$D132)&gt;0,COUNTIF(#REF!,$D132)=0),"SKIP",IF(COUNTIFS(#REF!,$D132,#REF!,$DA132)&gt;0,"OK","ONBEKEND")),"ONZEKER")))))</f>
        <v/>
      </c>
      <c r="DC132" t="str">
        <f t="shared" ref="DC132:DC143" si="1056">IF($N132="","",TRIM(MID(SUBSTITUTE($N132,",",REPT(" ",200)),3401,200)))</f>
        <v/>
      </c>
      <c r="DD132" t="str">
        <f t="shared" ref="DD132:DD143" si="1057">IF(DC132="","",TRIM(IFERROR(LEFT(DC132,FIND("§",SUBSTITUTE(DC132," ","§",LEN(DC132)-LEN(SUBSTITUTE(DC132," ",""))))-1),DC132)))</f>
        <v/>
      </c>
      <c r="DE132" t="str">
        <f>IF($DD132="","",IF(OR($ER132="",$ES132=""),"ONZEKER",IF(OR($EO132="",$EP132=""),"ONZEKER",IF(AND($ER132=$EO132+1,$ES132=$EP132),IF(OR(COUNTIF(#REF!,$B132)&gt;0,COUNTIF(#REF!,$B132)=0),"SKIP",IF(COUNTIFS(#REF!,$B132,#REF!,$DD132)&gt;0,"OK","ONBEKEND")),IF(AND($ER132=$EO132,$ES132=$EP132+1),IF(OR(COUNTIF(#REF!,$D132)&gt;0,COUNTIF(#REF!,$D132)=0),"SKIP",IF(COUNTIFS(#REF!,$D132,#REF!,$DD132)&gt;0,"OK","ONBEKEND")),"ONZEKER")))))</f>
        <v/>
      </c>
      <c r="DF132" t="str">
        <f t="shared" ref="DF132:DF143" si="1058">IF($N132="","",TRIM(MID(SUBSTITUTE($N132,",",REPT(" ",200)),3601,200)))</f>
        <v/>
      </c>
      <c r="DG132" t="str">
        <f t="shared" ref="DG132:DG143" si="1059">IF(DF132="","",TRIM(IFERROR(LEFT(DF132,FIND("§",SUBSTITUTE(DF132," ","§",LEN(DF132)-LEN(SUBSTITUTE(DF132," ",""))))-1),DF132)))</f>
        <v/>
      </c>
      <c r="DH132" t="str">
        <f>IF($DG132="","",IF(OR($EU132="",$EV132=""),"ONZEKER",IF(OR($ER132="",$ES132=""),"ONZEKER",IF(AND($EU132=$ER132+1,$EV132=$ES132),IF(OR(COUNTIF(#REF!,$B132)&gt;0,COUNTIF(#REF!,$B132)=0),"SKIP",IF(COUNTIFS(#REF!,$B132,#REF!,$DG132)&gt;0,"OK","ONBEKEND")),IF(AND($EU132=$ER132,$EV132=$ES132+1),IF(OR(COUNTIF(#REF!,$D132)&gt;0,COUNTIF(#REF!,$D132)=0),"SKIP",IF(COUNTIFS(#REF!,$D132,#REF!,$DG132)&gt;0,"OK","ONBEKEND")),"ONZEKER")))))</f>
        <v/>
      </c>
      <c r="DI132" t="str">
        <f t="shared" ref="DI132:DI143" si="1060">IF($N132="","",TRIM(MID(SUBSTITUTE($N132,",",REPT(" ",200)),3801,200)))</f>
        <v/>
      </c>
      <c r="DJ132" t="str">
        <f t="shared" ref="DJ132:DJ143" si="1061">IF(DI132="","",TRIM(IFERROR(LEFT(DI132,FIND("§",SUBSTITUTE(DI132," ","§",LEN(DI132)-LEN(SUBSTITUTE(DI132," ",""))))-1),DI132)))</f>
        <v/>
      </c>
      <c r="DK132" t="str">
        <f>IF($DJ132="","",IF(OR($EX132="",$EY132=""),"ONZEKER",IF(OR($EU132="",$EV132=""),"ONZEKER",IF(AND($EX132=$EU132+1,$EY132=$EV132),IF(OR(COUNTIF(#REF!,$B132)&gt;0,COUNTIF(#REF!,$B132)=0),"SKIP",IF(COUNTIFS(#REF!,$B132,#REF!,$DJ132)&gt;0,"OK","ONBEKEND")),IF(AND($EX132=$EU132,$EY132=$EV132+1),IF(OR(COUNTIF(#REF!,$D132)&gt;0,COUNTIF(#REF!,$D132)=0),"SKIP",IF(COUNTIFS(#REF!,$D132,#REF!,$DJ132)&gt;0,"OK","ONBEKEND")),"ONZEKER")))))</f>
        <v/>
      </c>
      <c r="DL132" t="str">
        <f t="shared" ref="DL132:DL143" si="1062">IF($CJ132="ONBEKEND",$CI132,"")</f>
        <v/>
      </c>
      <c r="DM132" t="str">
        <f t="shared" ref="DM132:DM143" si="1063">IF($CM132="ONBEKEND",$CL132,"")</f>
        <v/>
      </c>
      <c r="DN132" t="str">
        <f t="shared" ref="DN132:DN143" si="1064">IF($CP132="ONBEKEND",$CO132,"")</f>
        <v/>
      </c>
      <c r="DO132" t="str">
        <f t="shared" ref="DO132:DO143" si="1065">IF($CS132="ONBEKEND",$CR132,"")</f>
        <v/>
      </c>
      <c r="DP132" t="str">
        <f t="shared" ref="DP132:DP143" si="1066">IF($CV132="ONBEKEND",$CU132,"")</f>
        <v/>
      </c>
      <c r="DQ132" t="str">
        <f t="shared" ref="DQ132:DQ143" si="1067">IF($CY132="ONBEKEND",$CX132,"")</f>
        <v/>
      </c>
      <c r="DR132" t="str">
        <f t="shared" ref="DR132:DR143" si="1068">IF($DB132="ONBEKEND",$DA132,"")</f>
        <v/>
      </c>
      <c r="DS132" t="str">
        <f t="shared" ref="DS132:DS143" si="1069">IF($DE132="ONBEKEND",$DD132,"")</f>
        <v/>
      </c>
      <c r="DT132" t="str">
        <f t="shared" ref="DT132:DT143" si="1070">IF($DH132="ONBEKEND",$DG132,"")</f>
        <v/>
      </c>
      <c r="DU132" t="str">
        <f t="shared" ref="DU132:DU143" si="1071">IF($DK132="ONBEKEND",$DJ132,"")</f>
        <v/>
      </c>
      <c r="DV132" t="str">
        <f t="shared" ref="DV132:DV143" si="1072">IF($CH132="","",TRIM(IFERROR(RIGHT($CH132,LEN($CH132)-FIND("§",SUBSTITUTE($CH132," ","§",LEN($CH132)-LEN(SUBSTITUTE($CH132," ",""))))),"")))</f>
        <v/>
      </c>
      <c r="DW132" t="str">
        <f t="shared" ref="DW132:DW143" si="1073">IF($DV132="","",IFERROR(VALUE(LEFT($DV132,FIND("-",$DV132)-1)),""))</f>
        <v/>
      </c>
      <c r="DX132" t="str">
        <f t="shared" ref="DX132:DX143" si="1074">IF($DV132="","",IFERROR(VALUE(MID($DV132,FIND("-",$DV132)+1,99)),""))</f>
        <v/>
      </c>
      <c r="DY132" t="str">
        <f t="shared" ref="DY132:DY143" si="1075">IF($CK132="","",TRIM(IFERROR(RIGHT($CK132,LEN($CK132)-FIND("§",SUBSTITUTE($CK132," ","§",LEN($CK132)-LEN(SUBSTITUTE($CK132," ",""))))),"")))</f>
        <v/>
      </c>
      <c r="DZ132" t="str">
        <f t="shared" ref="DZ132:DZ143" si="1076">IF($DY132="","",IFERROR(VALUE(LEFT($DY132,FIND("-",$DY132)-1)),""))</f>
        <v/>
      </c>
      <c r="EA132" t="str">
        <f t="shared" ref="EA132:EA143" si="1077">IF($DY132="","",IFERROR(VALUE(MID($DY132,FIND("-",$DY132)+1,99)),""))</f>
        <v/>
      </c>
      <c r="EB132" t="str">
        <f t="shared" ref="EB132:EB143" si="1078">IF($CN132="","",TRIM(IFERROR(RIGHT($CN132,LEN($CN132)-FIND("§",SUBSTITUTE($CN132," ","§",LEN($CN132)-LEN(SUBSTITUTE($CN132," ",""))))),"")))</f>
        <v/>
      </c>
      <c r="EC132" t="str">
        <f t="shared" ref="EC132:EC143" si="1079">IF($EB132="","",IFERROR(VALUE(LEFT($EB132,FIND("-",$EB132)-1)),""))</f>
        <v/>
      </c>
      <c r="ED132" t="str">
        <f t="shared" ref="ED132:ED143" si="1080">IF($EB132="","",IFERROR(VALUE(MID($EB132,FIND("-",$EB132)+1,99)),""))</f>
        <v/>
      </c>
      <c r="EE132" t="str">
        <f t="shared" ref="EE132:EE143" si="1081">IF($CQ132="","",TRIM(IFERROR(RIGHT($CQ132,LEN($CQ132)-FIND("§",SUBSTITUTE($CQ132," ","§",LEN($CQ132)-LEN(SUBSTITUTE($CQ132," ",""))))),"")))</f>
        <v/>
      </c>
      <c r="EF132" t="str">
        <f t="shared" ref="EF132:EF143" si="1082">IF($EE132="","",IFERROR(VALUE(LEFT($EE132,FIND("-",$EE132)-1)),""))</f>
        <v/>
      </c>
      <c r="EG132" t="str">
        <f t="shared" ref="EG132:EG143" si="1083">IF($EE132="","",IFERROR(VALUE(MID($EE132,FIND("-",$EE132)+1,99)),""))</f>
        <v/>
      </c>
      <c r="EH132" t="str">
        <f t="shared" ref="EH132:EH143" si="1084">IF($CT132="","",TRIM(IFERROR(RIGHT($CT132,LEN($CT132)-FIND("§",SUBSTITUTE($CT132," ","§",LEN($CT132)-LEN(SUBSTITUTE($CT132," ",""))))),"")))</f>
        <v/>
      </c>
      <c r="EI132" t="str">
        <f t="shared" ref="EI132:EI143" si="1085">IF($EH132="","",IFERROR(VALUE(LEFT($EH132,FIND("-",$EH132)-1)),""))</f>
        <v/>
      </c>
      <c r="EJ132" t="str">
        <f t="shared" ref="EJ132:EJ143" si="1086">IF($EH132="","",IFERROR(VALUE(MID($EH132,FIND("-",$EH132)+1,99)),""))</f>
        <v/>
      </c>
      <c r="EK132" t="str">
        <f t="shared" ref="EK132:EK143" si="1087">IF($CW132="","",TRIM(IFERROR(RIGHT($CW132,LEN($CW132)-FIND("§",SUBSTITUTE($CW132," ","§",LEN($CW132)-LEN(SUBSTITUTE($CW132," ",""))))),"")))</f>
        <v/>
      </c>
      <c r="EL132" t="str">
        <f t="shared" ref="EL132:EL143" si="1088">IF($EK132="","",IFERROR(VALUE(LEFT($EK132,FIND("-",$EK132)-1)),""))</f>
        <v/>
      </c>
      <c r="EM132" t="str">
        <f t="shared" ref="EM132:EM143" si="1089">IF($EK132="","",IFERROR(VALUE(MID($EK132,FIND("-",$EK132)+1,99)),""))</f>
        <v/>
      </c>
      <c r="EN132" t="str">
        <f t="shared" ref="EN132:EN143" si="1090">IF($CZ132="","",TRIM(IFERROR(RIGHT($CZ132,LEN($CZ132)-FIND("§",SUBSTITUTE($CZ132," ","§",LEN($CZ132)-LEN(SUBSTITUTE($CZ132," ",""))))),"")))</f>
        <v/>
      </c>
      <c r="EO132" t="str">
        <f t="shared" ref="EO132:EO143" si="1091">IF($EN132="","",IFERROR(VALUE(LEFT($EN132,FIND("-",$EN132)-1)),""))</f>
        <v/>
      </c>
      <c r="EP132" t="str">
        <f t="shared" ref="EP132:EP143" si="1092">IF($EN132="","",IFERROR(VALUE(MID($EN132,FIND("-",$EN132)+1,99)),""))</f>
        <v/>
      </c>
      <c r="EQ132" t="str">
        <f t="shared" ref="EQ132:EQ143" si="1093">IF($DC132="","",TRIM(IFERROR(RIGHT($DC132,LEN($DC132)-FIND("§",SUBSTITUTE($DC132," ","§",LEN($DC132)-LEN(SUBSTITUTE($DC132," ",""))))),"")))</f>
        <v/>
      </c>
      <c r="ER132" t="str">
        <f t="shared" ref="ER132:ER143" si="1094">IF($EQ132="","",IFERROR(VALUE(LEFT($EQ132,FIND("-",$EQ132)-1)),""))</f>
        <v/>
      </c>
      <c r="ES132" t="str">
        <f t="shared" ref="ES132:ES143" si="1095">IF($EQ132="","",IFERROR(VALUE(MID($EQ132,FIND("-",$EQ132)+1,99)),""))</f>
        <v/>
      </c>
      <c r="ET132" t="str">
        <f t="shared" ref="ET132:ET143" si="1096">IF($DF132="","",TRIM(IFERROR(RIGHT($DF132,LEN($DF132)-FIND("§",SUBSTITUTE($DF132," ","§",LEN($DF132)-LEN(SUBSTITUTE($DF132," ",""))))),"")))</f>
        <v/>
      </c>
      <c r="EU132" t="str">
        <f t="shared" ref="EU132:EU143" si="1097">IF($ET132="","",IFERROR(VALUE(LEFT($ET132,FIND("-",$ET132)-1)),""))</f>
        <v/>
      </c>
      <c r="EV132" t="str">
        <f t="shared" ref="EV132:EV143" si="1098">IF($ET132="","",IFERROR(VALUE(MID($ET132,FIND("-",$ET132)+1,99)),""))</f>
        <v/>
      </c>
      <c r="EW132" t="str">
        <f t="shared" ref="EW132:EW143" si="1099">IF($DI132="","",TRIM(IFERROR(RIGHT($DI132,LEN($DI132)-FIND("§",SUBSTITUTE($DI132," ","§",LEN($DI132)-LEN(SUBSTITUTE($DI132," ",""))))),"")))</f>
        <v/>
      </c>
      <c r="EX132" t="str">
        <f t="shared" ref="EX132:EX143" si="1100">IF($EW132="","",IFERROR(VALUE(LEFT($EW132,FIND("-",$EW132)-1)),""))</f>
        <v/>
      </c>
      <c r="EY132" t="str">
        <f t="shared" ref="EY132:EY143" si="1101">IF($EW132="","",IFERROR(VALUE(MID($EW132,FIND("-",$EW132)+1,99)),""))</f>
        <v/>
      </c>
    </row>
    <row r="133" spans="1:155" ht="13.9" customHeight="1" x14ac:dyDescent="0.25">
      <c r="A133" s="7"/>
      <c r="B133" s="17"/>
      <c r="C133" s="8"/>
      <c r="D133" s="17"/>
      <c r="E133" s="8"/>
      <c r="F133" s="18">
        <v>0</v>
      </c>
      <c r="G133" s="7" t="s">
        <v>147</v>
      </c>
      <c r="H133" s="18">
        <v>0</v>
      </c>
      <c r="I133" s="19">
        <v>0</v>
      </c>
      <c r="J133" s="7" t="s">
        <v>147</v>
      </c>
      <c r="K133" s="19">
        <v>0</v>
      </c>
      <c r="L133" s="9"/>
      <c r="M133" s="3" t="str">
        <f>IF($L133="","",IF($L133="DOELPUNTENMAKERS","",IF(AND(COUNTIF(#REF!,$B133)=0,COUNTIF(#REF!,$D133)=0),"OK",IF($O133&gt;20,"LET OP: meer dan 20 items (controle onvolledig)",IF((COUNTIF($R133:$AS133,"ONZEKER")+COUNTIF($CJ133:$DK133,"ONZEKER"))&gt;0,"LET OP: scoreverloop onduidelijk (controle beperkt)",IF((IF($AT133&lt;&gt;"",$AT133&amp;", ","")&amp;IF($AU133&lt;&gt;"",$AU133&amp;", ","")&amp;IF($AV133&lt;&gt;"",$AV133&amp;", ","")&amp;IF($AW133&lt;&gt;"",$AW133&amp;", ","")&amp;IF($AX133&lt;&gt;"",$AX133&amp;", ","")&amp;IF($AY133&lt;&gt;"",$AY133&amp;", ","")&amp;IF($AZ133&lt;&gt;"",$AZ133&amp;", ","")&amp;IF($BA133&lt;&gt;"",$BA133&amp;", ","")&amp;IF($BB133&lt;&gt;"",$BB133&amp;", ","")&amp;IF($BC133&lt;&gt;"",$BC133&amp;", ","")&amp;IF($DL133&lt;&gt;"",$DL133&amp;", ","")&amp;IF($DM133&lt;&gt;"",$DM133&amp;", ","")&amp;IF($DN133&lt;&gt;"",$DN133&amp;", ","")&amp;IF($DO133&lt;&gt;"",$DO133&amp;", ","")&amp;IF($DP133&lt;&gt;"",$DP133&amp;", ","")&amp;IF($DQ133&lt;&gt;"",$DQ133&amp;", ","")&amp;IF($DR133&lt;&gt;"",$DR133&amp;", ","")&amp;IF($DS133&lt;&gt;"",$DS133&amp;", ","")&amp;IF($DT133&lt;&gt;"",$DT133&amp;", ","")&amp;IF($DU133&lt;&gt;"",$DU133&amp;", ",""))="","OK","Onbekend: "&amp;LEFT((IF($AT133&lt;&gt;"",$AT133&amp;", ","")&amp;IF($AU133&lt;&gt;"",$AU133&amp;", ","")&amp;IF($AV133&lt;&gt;"",$AV133&amp;", ","")&amp;IF($AW133&lt;&gt;"",$AW133&amp;", ","")&amp;IF($AX133&lt;&gt;"",$AX133&amp;", ","")&amp;IF($AY133&lt;&gt;"",$AY133&amp;", ","")&amp;IF($AZ133&lt;&gt;"",$AZ133&amp;", ","")&amp;IF($BA133&lt;&gt;"",$BA133&amp;", ","")&amp;IF($BB133&lt;&gt;"",$BB133&amp;", ","")&amp;IF($BC133&lt;&gt;"",$BC133&amp;", ","")&amp;IF($DL133&lt;&gt;"",$DL133&amp;", ","")&amp;IF($DM133&lt;&gt;"",$DM133&amp;", ","")&amp;IF($DN133&lt;&gt;"",$DN133&amp;", ","")&amp;IF($DO133&lt;&gt;"",$DO133&amp;", ","")&amp;IF($DP133&lt;&gt;"",$DP133&amp;", ","")&amp;IF($DQ133&lt;&gt;"",$DQ133&amp;", ","")&amp;IF($DR133&lt;&gt;"",$DR133&amp;", ","")&amp;IF($DS133&lt;&gt;"",$DS133&amp;", ","")&amp;IF($DT133&lt;&gt;"",$DT133&amp;", ","")&amp;IF($DU133&lt;&gt;"",$DU133&amp;", ","")),LEN((IF($AT133&lt;&gt;"",$AT133&amp;", ","")&amp;IF($AU133&lt;&gt;"",$AU133&amp;", ","")&amp;IF($AV133&lt;&gt;"",$AV133&amp;", ","")&amp;IF($AW133&lt;&gt;"",$AW133&amp;", ","")&amp;IF($AX133&lt;&gt;"",$AX133&amp;", ","")&amp;IF($AY133&lt;&gt;"",$AY133&amp;", ","")&amp;IF($AZ133&lt;&gt;"",$AZ133&amp;", ","")&amp;IF($BA133&lt;&gt;"",$BA133&amp;", ","")&amp;IF($BB133&lt;&gt;"",$BB133&amp;", ","")&amp;IF($BC133&lt;&gt;"",$BC133&amp;", ","")&amp;IF($DL133&lt;&gt;"",$DL133&amp;", ","")&amp;IF($DM133&lt;&gt;"",$DM133&amp;", ","")&amp;IF($DN133&lt;&gt;"",$DN133&amp;", ","")&amp;IF($DO133&lt;&gt;"",$DO133&amp;", ","")&amp;IF($DP133&lt;&gt;"",$DP133&amp;", ","")&amp;IF($DQ133&lt;&gt;"",$DQ133&amp;", ","")&amp;IF($DR133&lt;&gt;"",$DR133&amp;", ","")&amp;IF($DS133&lt;&gt;"",$DS133&amp;", ","")&amp;IF($DT133&lt;&gt;"",$DT133&amp;", ","")&amp;IF($DU133&lt;&gt;"",$DU133&amp;", ","")))-2)))))))</f>
        <v/>
      </c>
      <c r="N133" t="str">
        <f t="shared" si="1010"/>
        <v/>
      </c>
      <c r="O133" t="str">
        <f t="shared" si="1011"/>
        <v/>
      </c>
      <c r="P133" t="str">
        <f t="shared" si="1012"/>
        <v/>
      </c>
      <c r="Q133" t="str">
        <f t="shared" si="1013"/>
        <v/>
      </c>
      <c r="R133" t="str">
        <f>IF($Q133="","",IF(OR($BE133="",$BF133=""),"ONZEKER",IF(AND($BE133=0+1,$BF133=0),IF(OR(COUNTIF(#REF!,$B133)&gt;0,COUNTIF(#REF!,$B133)=0),"SKIP",IF(COUNTIFS(#REF!,$B133,#REF!,$Q133)&gt;0,"OK","ONBEKEND")),IF(AND($BE133=0,$BF133=0+1),IF(OR(COUNTIF(#REF!,$D133)&gt;0,COUNTIF(#REF!,$D133)=0),"SKIP",IF(COUNTIFS(#REF!,$D133,#REF!,$Q133)&gt;0,"OK","ONBEKEND")),"ONZEKER"))))</f>
        <v/>
      </c>
      <c r="S133" t="str">
        <f t="shared" si="1014"/>
        <v/>
      </c>
      <c r="T133" t="str">
        <f t="shared" si="1015"/>
        <v/>
      </c>
      <c r="U133" t="str">
        <f>IF($T133="","",IF(OR($BH133="",$BI133=""),"ONZEKER",IF(OR($BE133="",$BF133=""),"ONZEKER",IF(AND($BH133=$BE133+1,$BI133=$BF133),IF(OR(COUNTIF(#REF!,$B133)&gt;0,COUNTIF(#REF!,$B133)=0),"SKIP",IF(COUNTIFS(#REF!,$B133,#REF!,$T133)&gt;0,"OK","ONBEKEND")),IF(AND($BH133=$BE133,$BI133=$BF133+1),IF(OR(COUNTIF(#REF!,$D133)&gt;0,COUNTIF(#REF!,$D133)=0),"SKIP",IF(COUNTIFS(#REF!,$D133,#REF!,$T133)&gt;0,"OK","ONBEKEND")),"ONZEKER")))))</f>
        <v/>
      </c>
      <c r="V133" t="str">
        <f t="shared" si="1016"/>
        <v/>
      </c>
      <c r="W133" t="str">
        <f t="shared" si="1017"/>
        <v/>
      </c>
      <c r="X133" t="str">
        <f>IF($W133="","",IF(OR($BK133="",$BL133=""),"ONZEKER",IF(OR($BH133="",$BI133=""),"ONZEKER",IF(AND($BK133=$BH133+1,$BL133=$BI133),IF(OR(COUNTIF(#REF!,$B133)&gt;0,COUNTIF(#REF!,$B133)=0),"SKIP",IF(COUNTIFS(#REF!,$B133,#REF!,$W133)&gt;0,"OK","ONBEKEND")),IF(AND($BK133=$BH133,$BL133=$BI133+1),IF(OR(COUNTIF(#REF!,$D133)&gt;0,COUNTIF(#REF!,$D133)=0),"SKIP",IF(COUNTIFS(#REF!,$D133,#REF!,$W133)&gt;0,"OK","ONBEKEND")),"ONZEKER")))))</f>
        <v/>
      </c>
      <c r="Y133" t="str">
        <f t="shared" si="1018"/>
        <v/>
      </c>
      <c r="Z133" t="str">
        <f t="shared" si="1019"/>
        <v/>
      </c>
      <c r="AA133" t="str">
        <f>IF($Z133="","",IF(OR($BN133="",$BO133=""),"ONZEKER",IF(OR($BK133="",$BL133=""),"ONZEKER",IF(AND($BN133=$BK133+1,$BO133=$BL133),IF(OR(COUNTIF(#REF!,$B133)&gt;0,COUNTIF(#REF!,$B133)=0),"SKIP",IF(COUNTIFS(#REF!,$B133,#REF!,$Z133)&gt;0,"OK","ONBEKEND")),IF(AND($BN133=$BK133,$BO133=$BL133+1),IF(OR(COUNTIF(#REF!,$D133)&gt;0,COUNTIF(#REF!,$D133)=0),"SKIP",IF(COUNTIFS(#REF!,$D133,#REF!,$Z133)&gt;0,"OK","ONBEKEND")),"ONZEKER")))))</f>
        <v/>
      </c>
      <c r="AB133" t="str">
        <f t="shared" si="1020"/>
        <v/>
      </c>
      <c r="AC133" t="str">
        <f t="shared" si="1021"/>
        <v/>
      </c>
      <c r="AD133" t="str">
        <f>IF($AC133="","",IF(OR($BQ133="",$BR133=""),"ONZEKER",IF(OR($BN133="",$BO133=""),"ONZEKER",IF(AND($BQ133=$BN133+1,$BR133=$BO133),IF(OR(COUNTIF(#REF!,$B133)&gt;0,COUNTIF(#REF!,$B133)=0),"SKIP",IF(COUNTIFS(#REF!,$B133,#REF!,$AC133)&gt;0,"OK","ONBEKEND")),IF(AND($BQ133=$BN133,$BR133=$BO133+1),IF(OR(COUNTIF(#REF!,$D133)&gt;0,COUNTIF(#REF!,$D133)=0),"SKIP",IF(COUNTIFS(#REF!,$D133,#REF!,$AC133)&gt;0,"OK","ONBEKEND")),"ONZEKER")))))</f>
        <v/>
      </c>
      <c r="AE133" t="str">
        <f t="shared" si="1022"/>
        <v/>
      </c>
      <c r="AF133" t="str">
        <f t="shared" si="1023"/>
        <v/>
      </c>
      <c r="AG133" t="str">
        <f>IF($AF133="","",IF(OR($BT133="",$BU133=""),"ONZEKER",IF(OR($BQ133="",$BR133=""),"ONZEKER",IF(AND($BT133=$BQ133+1,$BU133=$BR133),IF(OR(COUNTIF(#REF!,$B133)&gt;0,COUNTIF(#REF!,$B133)=0),"SKIP",IF(COUNTIFS(#REF!,$B133,#REF!,$AF133)&gt;0,"OK","ONBEKEND")),IF(AND($BT133=$BQ133,$BU133=$BR133+1),IF(OR(COUNTIF(#REF!,$D133)&gt;0,COUNTIF(#REF!,$D133)=0),"SKIP",IF(COUNTIFS(#REF!,$D133,#REF!,$AF133)&gt;0,"OK","ONBEKEND")),"ONZEKER")))))</f>
        <v/>
      </c>
      <c r="AH133" t="str">
        <f t="shared" si="1024"/>
        <v/>
      </c>
      <c r="AI133" t="str">
        <f t="shared" si="1025"/>
        <v/>
      </c>
      <c r="AJ133" t="str">
        <f>IF($AI133="","",IF(OR($BW133="",$BX133=""),"ONZEKER",IF(OR($BT133="",$BU133=""),"ONZEKER",IF(AND($BW133=$BT133+1,$BX133=$BU133),IF(OR(COUNTIF(#REF!,$B133)&gt;0,COUNTIF(#REF!,$B133)=0),"SKIP",IF(COUNTIFS(#REF!,$B133,#REF!,$AI133)&gt;0,"OK","ONBEKEND")),IF(AND($BW133=$BT133,$BX133=$BU133+1),IF(OR(COUNTIF(#REF!,$D133)&gt;0,COUNTIF(#REF!,$D133)=0),"SKIP",IF(COUNTIFS(#REF!,$D133,#REF!,$AI133)&gt;0,"OK","ONBEKEND")),"ONZEKER")))))</f>
        <v/>
      </c>
      <c r="AK133" t="str">
        <f t="shared" si="1026"/>
        <v/>
      </c>
      <c r="AL133" t="str">
        <f t="shared" si="1027"/>
        <v/>
      </c>
      <c r="AM133" t="str">
        <f>IF($AL133="","",IF(OR($BZ133="",$CA133=""),"ONZEKER",IF(OR($BW133="",$BX133=""),"ONZEKER",IF(AND($BZ133=$BW133+1,$CA133=$BX133),IF(OR(COUNTIF(#REF!,$B133)&gt;0,COUNTIF(#REF!,$B133)=0),"SKIP",IF(COUNTIFS(#REF!,$B133,#REF!,$AL133)&gt;0,"OK","ONBEKEND")),IF(AND($BZ133=$BW133,$CA133=$BX133+1),IF(OR(COUNTIF(#REF!,$D133)&gt;0,COUNTIF(#REF!,$D133)=0),"SKIP",IF(COUNTIFS(#REF!,$D133,#REF!,$AL133)&gt;0,"OK","ONBEKEND")),"ONZEKER")))))</f>
        <v/>
      </c>
      <c r="AN133" t="str">
        <f t="shared" si="1028"/>
        <v/>
      </c>
      <c r="AO133" t="str">
        <f t="shared" si="1029"/>
        <v/>
      </c>
      <c r="AP133" t="str">
        <f>IF($AO133="","",IF(OR($CC133="",$CD133=""),"ONZEKER",IF(OR($BZ133="",$CA133=""),"ONZEKER",IF(AND($CC133=$BZ133+1,$CD133=$CA133),IF(OR(COUNTIF(#REF!,$B133)&gt;0,COUNTIF(#REF!,$B133)=0),"SKIP",IF(COUNTIFS(#REF!,$B133,#REF!,$AO133)&gt;0,"OK","ONBEKEND")),IF(AND($CC133=$BZ133,$CD133=$CA133+1),IF(OR(COUNTIF(#REF!,$D133)&gt;0,COUNTIF(#REF!,$D133)=0),"SKIP",IF(COUNTIFS(#REF!,$D133,#REF!,$AO133)&gt;0,"OK","ONBEKEND")),"ONZEKER")))))</f>
        <v/>
      </c>
      <c r="AQ133" t="str">
        <f t="shared" si="1030"/>
        <v/>
      </c>
      <c r="AR133" t="str">
        <f t="shared" si="1031"/>
        <v/>
      </c>
      <c r="AS133" t="str">
        <f>IF($AR133="","",IF(OR($CF133="",$CG133=""),"ONZEKER",IF(OR($CC133="",$CD133=""),"ONZEKER",IF(AND($CF133=$CC133+1,$CG133=$CD133),IF(OR(COUNTIF(#REF!,$B133)&gt;0,COUNTIF(#REF!,$B133)=0),"SKIP",IF(COUNTIFS(#REF!,$B133,#REF!,$AR133)&gt;0,"OK","ONBEKEND")),IF(AND($CF133=$CC133,$CG133=$CD133+1),IF(OR(COUNTIF(#REF!,$D133)&gt;0,COUNTIF(#REF!,$D133)=0),"SKIP",IF(COUNTIFS(#REF!,$D133,#REF!,$AR133)&gt;0,"OK","ONBEKEND")),"ONZEKER")))))</f>
        <v/>
      </c>
      <c r="AT133" t="str">
        <f t="shared" si="1032"/>
        <v/>
      </c>
      <c r="AU133" t="str">
        <f t="shared" si="1033"/>
        <v/>
      </c>
      <c r="AV133" t="str">
        <f t="shared" si="1034"/>
        <v/>
      </c>
      <c r="AW133" t="str">
        <f t="shared" si="1035"/>
        <v/>
      </c>
      <c r="AX133" t="str">
        <f t="shared" si="1036"/>
        <v/>
      </c>
      <c r="AY133" t="str">
        <f t="shared" si="1037"/>
        <v/>
      </c>
      <c r="AZ133" t="str">
        <f t="shared" si="1038"/>
        <v/>
      </c>
      <c r="BA133" t="str">
        <f t="shared" si="1039"/>
        <v/>
      </c>
      <c r="BB133" t="str">
        <f t="shared" si="1040"/>
        <v/>
      </c>
      <c r="BC133" t="str">
        <f t="shared" si="1041"/>
        <v/>
      </c>
      <c r="BD133" t="str">
        <f t="shared" si="980"/>
        <v/>
      </c>
      <c r="BE133" t="str">
        <f t="shared" si="981"/>
        <v/>
      </c>
      <c r="BF133" t="str">
        <f t="shared" si="982"/>
        <v/>
      </c>
      <c r="BG133" t="str">
        <f t="shared" si="983"/>
        <v/>
      </c>
      <c r="BH133" t="str">
        <f t="shared" si="984"/>
        <v/>
      </c>
      <c r="BI133" t="str">
        <f t="shared" si="985"/>
        <v/>
      </c>
      <c r="BJ133" t="str">
        <f t="shared" si="986"/>
        <v/>
      </c>
      <c r="BK133" t="str">
        <f t="shared" si="987"/>
        <v/>
      </c>
      <c r="BL133" t="str">
        <f t="shared" si="988"/>
        <v/>
      </c>
      <c r="BM133" t="str">
        <f t="shared" si="989"/>
        <v/>
      </c>
      <c r="BN133" t="str">
        <f t="shared" si="990"/>
        <v/>
      </c>
      <c r="BO133" t="str">
        <f t="shared" si="991"/>
        <v/>
      </c>
      <c r="BP133" t="str">
        <f t="shared" si="992"/>
        <v/>
      </c>
      <c r="BQ133" t="str">
        <f t="shared" si="993"/>
        <v/>
      </c>
      <c r="BR133" t="str">
        <f t="shared" si="994"/>
        <v/>
      </c>
      <c r="BS133" t="str">
        <f t="shared" si="995"/>
        <v/>
      </c>
      <c r="BT133" t="str">
        <f t="shared" si="996"/>
        <v/>
      </c>
      <c r="BU133" t="str">
        <f t="shared" si="997"/>
        <v/>
      </c>
      <c r="BV133" t="str">
        <f t="shared" si="998"/>
        <v/>
      </c>
      <c r="BW133" t="str">
        <f t="shared" si="999"/>
        <v/>
      </c>
      <c r="BX133" t="str">
        <f t="shared" si="1000"/>
        <v/>
      </c>
      <c r="BY133" t="str">
        <f t="shared" si="1001"/>
        <v/>
      </c>
      <c r="BZ133" t="str">
        <f t="shared" si="1002"/>
        <v/>
      </c>
      <c r="CA133" t="str">
        <f t="shared" si="1003"/>
        <v/>
      </c>
      <c r="CB133" t="str">
        <f t="shared" si="1004"/>
        <v/>
      </c>
      <c r="CC133" t="str">
        <f t="shared" si="1005"/>
        <v/>
      </c>
      <c r="CD133" t="str">
        <f t="shared" si="1006"/>
        <v/>
      </c>
      <c r="CE133" t="str">
        <f t="shared" si="1007"/>
        <v/>
      </c>
      <c r="CF133" t="str">
        <f t="shared" si="1008"/>
        <v/>
      </c>
      <c r="CG133" t="str">
        <f t="shared" si="1009"/>
        <v/>
      </c>
      <c r="CH133" t="str">
        <f t="shared" si="1042"/>
        <v/>
      </c>
      <c r="CI133" t="str">
        <f t="shared" si="1043"/>
        <v/>
      </c>
      <c r="CJ133" t="str">
        <f>IF($CI133="","",IF(OR($DW133="",$DX133=""),"ONZEKER",IF(OR($CF133="",$CG133=""),"ONZEKER",IF(AND($DW133=$CF133+1,$DX133=$CG133),IF(OR(COUNTIF(#REF!,$B133)&gt;0,COUNTIF(#REF!,$B133)=0),"SKIP",IF(COUNTIFS(#REF!,$B133,#REF!,$CI133)&gt;0,"OK","ONBEKEND")),IF(AND($DW133=$CF133,$DX133=$CG133+1),IF(OR(COUNTIF(#REF!,$D133)&gt;0,COUNTIF(#REF!,$D133)=0),"SKIP",IF(COUNTIFS(#REF!,$D133,#REF!,$CI133)&gt;0,"OK","ONBEKEND")),"ONZEKER")))))</f>
        <v/>
      </c>
      <c r="CK133" t="str">
        <f t="shared" si="1044"/>
        <v/>
      </c>
      <c r="CL133" t="str">
        <f t="shared" si="1045"/>
        <v/>
      </c>
      <c r="CM133" t="str">
        <f>IF($CL133="","",IF(OR($DZ133="",$EA133=""),"ONZEKER",IF(OR($DW133="",$DX133=""),"ONZEKER",IF(AND($DZ133=$DW133+1,$EA133=$DX133),IF(OR(COUNTIF(#REF!,$B133)&gt;0,COUNTIF(#REF!,$B133)=0),"SKIP",IF(COUNTIFS(#REF!,$B133,#REF!,$CL133)&gt;0,"OK","ONBEKEND")),IF(AND($DZ133=$DW133,$EA133=$DX133+1),IF(OR(COUNTIF(#REF!,$D133)&gt;0,COUNTIF(#REF!,$D133)=0),"SKIP",IF(COUNTIFS(#REF!,$D133,#REF!,$CL133)&gt;0,"OK","ONBEKEND")),"ONZEKER")))))</f>
        <v/>
      </c>
      <c r="CN133" t="str">
        <f t="shared" si="1046"/>
        <v/>
      </c>
      <c r="CO133" t="str">
        <f t="shared" si="1047"/>
        <v/>
      </c>
      <c r="CP133" t="str">
        <f>IF($CO133="","",IF(OR($EC133="",$ED133=""),"ONZEKER",IF(OR($DZ133="",$EA133=""),"ONZEKER",IF(AND($EC133=$DZ133+1,$ED133=$EA133),IF(OR(COUNTIF(#REF!,$B133)&gt;0,COUNTIF(#REF!,$B133)=0),"SKIP",IF(COUNTIFS(#REF!,$B133,#REF!,$CO133)&gt;0,"OK","ONBEKEND")),IF(AND($EC133=$DZ133,$ED133=$EA133+1),IF(OR(COUNTIF(#REF!,$D133)&gt;0,COUNTIF(#REF!,$D133)=0),"SKIP",IF(COUNTIFS(#REF!,$D133,#REF!,$CO133)&gt;0,"OK","ONBEKEND")),"ONZEKER")))))</f>
        <v/>
      </c>
      <c r="CQ133" t="str">
        <f t="shared" si="1048"/>
        <v/>
      </c>
      <c r="CR133" t="str">
        <f t="shared" si="1049"/>
        <v/>
      </c>
      <c r="CS133" t="str">
        <f>IF($CR133="","",IF(OR($EF133="",$EG133=""),"ONZEKER",IF(OR($EC133="",$ED133=""),"ONZEKER",IF(AND($EF133=$EC133+1,$EG133=$ED133),IF(OR(COUNTIF(#REF!,$B133)&gt;0,COUNTIF(#REF!,$B133)=0),"SKIP",IF(COUNTIFS(#REF!,$B133,#REF!,$CR133)&gt;0,"OK","ONBEKEND")),IF(AND($EF133=$EC133,$EG133=$ED133+1),IF(OR(COUNTIF(#REF!,$D133)&gt;0,COUNTIF(#REF!,$D133)=0),"SKIP",IF(COUNTIFS(#REF!,$D133,#REF!,$CR133)&gt;0,"OK","ONBEKEND")),"ONZEKER")))))</f>
        <v/>
      </c>
      <c r="CT133" t="str">
        <f t="shared" si="1050"/>
        <v/>
      </c>
      <c r="CU133" t="str">
        <f t="shared" si="1051"/>
        <v/>
      </c>
      <c r="CV133" t="str">
        <f>IF($CU133="","",IF(OR($EI133="",$EJ133=""),"ONZEKER",IF(OR($EF133="",$EG133=""),"ONZEKER",IF(AND($EI133=$EF133+1,$EJ133=$EG133),IF(OR(COUNTIF(#REF!,$B133)&gt;0,COUNTIF(#REF!,$B133)=0),"SKIP",IF(COUNTIFS(#REF!,$B133,#REF!,$CU133)&gt;0,"OK","ONBEKEND")),IF(AND($EI133=$EF133,$EJ133=$EG133+1),IF(OR(COUNTIF(#REF!,$D133)&gt;0,COUNTIF(#REF!,$D133)=0),"SKIP",IF(COUNTIFS(#REF!,$D133,#REF!,$CU133)&gt;0,"OK","ONBEKEND")),"ONZEKER")))))</f>
        <v/>
      </c>
      <c r="CW133" t="str">
        <f t="shared" si="1052"/>
        <v/>
      </c>
      <c r="CX133" t="str">
        <f t="shared" si="1053"/>
        <v/>
      </c>
      <c r="CY133" t="str">
        <f>IF($CX133="","",IF(OR($EL133="",$EM133=""),"ONZEKER",IF(OR($EI133="",$EJ133=""),"ONZEKER",IF(AND($EL133=$EI133+1,$EM133=$EJ133),IF(OR(COUNTIF(#REF!,$B133)&gt;0,COUNTIF(#REF!,$B133)=0),"SKIP",IF(COUNTIFS(#REF!,$B133,#REF!,$CX133)&gt;0,"OK","ONBEKEND")),IF(AND($EL133=$EI133,$EM133=$EJ133+1),IF(OR(COUNTIF(#REF!,$D133)&gt;0,COUNTIF(#REF!,$D133)=0),"SKIP",IF(COUNTIFS(#REF!,$D133,#REF!,$CX133)&gt;0,"OK","ONBEKEND")),"ONZEKER")))))</f>
        <v/>
      </c>
      <c r="CZ133" t="str">
        <f t="shared" si="1054"/>
        <v/>
      </c>
      <c r="DA133" t="str">
        <f t="shared" si="1055"/>
        <v/>
      </c>
      <c r="DB133" t="str">
        <f>IF($DA133="","",IF(OR($EO133="",$EP133=""),"ONZEKER",IF(OR($EL133="",$EM133=""),"ONZEKER",IF(AND($EO133=$EL133+1,$EP133=$EM133),IF(OR(COUNTIF(#REF!,$B133)&gt;0,COUNTIF(#REF!,$B133)=0),"SKIP",IF(COUNTIFS(#REF!,$B133,#REF!,$DA133)&gt;0,"OK","ONBEKEND")),IF(AND($EO133=$EL133,$EP133=$EM133+1),IF(OR(COUNTIF(#REF!,$D133)&gt;0,COUNTIF(#REF!,$D133)=0),"SKIP",IF(COUNTIFS(#REF!,$D133,#REF!,$DA133)&gt;0,"OK","ONBEKEND")),"ONZEKER")))))</f>
        <v/>
      </c>
      <c r="DC133" t="str">
        <f t="shared" si="1056"/>
        <v/>
      </c>
      <c r="DD133" t="str">
        <f t="shared" si="1057"/>
        <v/>
      </c>
      <c r="DE133" t="str">
        <f>IF($DD133="","",IF(OR($ER133="",$ES133=""),"ONZEKER",IF(OR($EO133="",$EP133=""),"ONZEKER",IF(AND($ER133=$EO133+1,$ES133=$EP133),IF(OR(COUNTIF(#REF!,$B133)&gt;0,COUNTIF(#REF!,$B133)=0),"SKIP",IF(COUNTIFS(#REF!,$B133,#REF!,$DD133)&gt;0,"OK","ONBEKEND")),IF(AND($ER133=$EO133,$ES133=$EP133+1),IF(OR(COUNTIF(#REF!,$D133)&gt;0,COUNTIF(#REF!,$D133)=0),"SKIP",IF(COUNTIFS(#REF!,$D133,#REF!,$DD133)&gt;0,"OK","ONBEKEND")),"ONZEKER")))))</f>
        <v/>
      </c>
      <c r="DF133" t="str">
        <f t="shared" si="1058"/>
        <v/>
      </c>
      <c r="DG133" t="str">
        <f t="shared" si="1059"/>
        <v/>
      </c>
      <c r="DH133" t="str">
        <f>IF($DG133="","",IF(OR($EU133="",$EV133=""),"ONZEKER",IF(OR($ER133="",$ES133=""),"ONZEKER",IF(AND($EU133=$ER133+1,$EV133=$ES133),IF(OR(COUNTIF(#REF!,$B133)&gt;0,COUNTIF(#REF!,$B133)=0),"SKIP",IF(COUNTIFS(#REF!,$B133,#REF!,$DG133)&gt;0,"OK","ONBEKEND")),IF(AND($EU133=$ER133,$EV133=$ES133+1),IF(OR(COUNTIF(#REF!,$D133)&gt;0,COUNTIF(#REF!,$D133)=0),"SKIP",IF(COUNTIFS(#REF!,$D133,#REF!,$DG133)&gt;0,"OK","ONBEKEND")),"ONZEKER")))))</f>
        <v/>
      </c>
      <c r="DI133" t="str">
        <f t="shared" si="1060"/>
        <v/>
      </c>
      <c r="DJ133" t="str">
        <f t="shared" si="1061"/>
        <v/>
      </c>
      <c r="DK133" t="str">
        <f>IF($DJ133="","",IF(OR($EX133="",$EY133=""),"ONZEKER",IF(OR($EU133="",$EV133=""),"ONZEKER",IF(AND($EX133=$EU133+1,$EY133=$EV133),IF(OR(COUNTIF(#REF!,$B133)&gt;0,COUNTIF(#REF!,$B133)=0),"SKIP",IF(COUNTIFS(#REF!,$B133,#REF!,$DJ133)&gt;0,"OK","ONBEKEND")),IF(AND($EX133=$EU133,$EY133=$EV133+1),IF(OR(COUNTIF(#REF!,$D133)&gt;0,COUNTIF(#REF!,$D133)=0),"SKIP",IF(COUNTIFS(#REF!,$D133,#REF!,$DJ133)&gt;0,"OK","ONBEKEND")),"ONZEKER")))))</f>
        <v/>
      </c>
      <c r="DL133" t="str">
        <f t="shared" si="1062"/>
        <v/>
      </c>
      <c r="DM133" t="str">
        <f t="shared" si="1063"/>
        <v/>
      </c>
      <c r="DN133" t="str">
        <f t="shared" si="1064"/>
        <v/>
      </c>
      <c r="DO133" t="str">
        <f t="shared" si="1065"/>
        <v/>
      </c>
      <c r="DP133" t="str">
        <f t="shared" si="1066"/>
        <v/>
      </c>
      <c r="DQ133" t="str">
        <f t="shared" si="1067"/>
        <v/>
      </c>
      <c r="DR133" t="str">
        <f t="shared" si="1068"/>
        <v/>
      </c>
      <c r="DS133" t="str">
        <f t="shared" si="1069"/>
        <v/>
      </c>
      <c r="DT133" t="str">
        <f t="shared" si="1070"/>
        <v/>
      </c>
      <c r="DU133" t="str">
        <f t="shared" si="1071"/>
        <v/>
      </c>
      <c r="DV133" t="str">
        <f t="shared" si="1072"/>
        <v/>
      </c>
      <c r="DW133" t="str">
        <f t="shared" si="1073"/>
        <v/>
      </c>
      <c r="DX133" t="str">
        <f t="shared" si="1074"/>
        <v/>
      </c>
      <c r="DY133" t="str">
        <f t="shared" si="1075"/>
        <v/>
      </c>
      <c r="DZ133" t="str">
        <f t="shared" si="1076"/>
        <v/>
      </c>
      <c r="EA133" t="str">
        <f t="shared" si="1077"/>
        <v/>
      </c>
      <c r="EB133" t="str">
        <f t="shared" si="1078"/>
        <v/>
      </c>
      <c r="EC133" t="str">
        <f t="shared" si="1079"/>
        <v/>
      </c>
      <c r="ED133" t="str">
        <f t="shared" si="1080"/>
        <v/>
      </c>
      <c r="EE133" t="str">
        <f t="shared" si="1081"/>
        <v/>
      </c>
      <c r="EF133" t="str">
        <f t="shared" si="1082"/>
        <v/>
      </c>
      <c r="EG133" t="str">
        <f t="shared" si="1083"/>
        <v/>
      </c>
      <c r="EH133" t="str">
        <f t="shared" si="1084"/>
        <v/>
      </c>
      <c r="EI133" t="str">
        <f t="shared" si="1085"/>
        <v/>
      </c>
      <c r="EJ133" t="str">
        <f t="shared" si="1086"/>
        <v/>
      </c>
      <c r="EK133" t="str">
        <f t="shared" si="1087"/>
        <v/>
      </c>
      <c r="EL133" t="str">
        <f t="shared" si="1088"/>
        <v/>
      </c>
      <c r="EM133" t="str">
        <f t="shared" si="1089"/>
        <v/>
      </c>
      <c r="EN133" t="str">
        <f t="shared" si="1090"/>
        <v/>
      </c>
      <c r="EO133" t="str">
        <f t="shared" si="1091"/>
        <v/>
      </c>
      <c r="EP133" t="str">
        <f t="shared" si="1092"/>
        <v/>
      </c>
      <c r="EQ133" t="str">
        <f t="shared" si="1093"/>
        <v/>
      </c>
      <c r="ER133" t="str">
        <f t="shared" si="1094"/>
        <v/>
      </c>
      <c r="ES133" t="str">
        <f t="shared" si="1095"/>
        <v/>
      </c>
      <c r="ET133" t="str">
        <f t="shared" si="1096"/>
        <v/>
      </c>
      <c r="EU133" t="str">
        <f t="shared" si="1097"/>
        <v/>
      </c>
      <c r="EV133" t="str">
        <f t="shared" si="1098"/>
        <v/>
      </c>
      <c r="EW133" t="str">
        <f t="shared" si="1099"/>
        <v/>
      </c>
      <c r="EX133" t="str">
        <f t="shared" si="1100"/>
        <v/>
      </c>
      <c r="EY133" t="str">
        <f t="shared" si="1101"/>
        <v/>
      </c>
    </row>
    <row r="134" spans="1:155" ht="13.9" customHeight="1" x14ac:dyDescent="0.25">
      <c r="A134" s="7"/>
      <c r="B134" s="17"/>
      <c r="C134" s="8"/>
      <c r="D134" s="17"/>
      <c r="E134" s="8"/>
      <c r="F134" s="18">
        <v>0</v>
      </c>
      <c r="G134" s="7" t="s">
        <v>147</v>
      </c>
      <c r="H134" s="18">
        <v>0</v>
      </c>
      <c r="I134" s="19">
        <v>0</v>
      </c>
      <c r="J134" s="7" t="s">
        <v>147</v>
      </c>
      <c r="K134" s="19">
        <v>0</v>
      </c>
      <c r="L134" s="9"/>
      <c r="M134" s="3" t="str">
        <f>IF($L134="","",IF($L134="DOELPUNTENMAKERS","",IF(AND(COUNTIF(#REF!,$B134)=0,COUNTIF(#REF!,$D134)=0),"OK",IF($O134&gt;20,"LET OP: meer dan 20 items (controle onvolledig)",IF((COUNTIF($R134:$AS134,"ONZEKER")+COUNTIF($CJ134:$DK134,"ONZEKER"))&gt;0,"LET OP: scoreverloop onduidelijk (controle beperkt)",IF((IF($AT134&lt;&gt;"",$AT134&amp;", ","")&amp;IF($AU134&lt;&gt;"",$AU134&amp;", ","")&amp;IF($AV134&lt;&gt;"",$AV134&amp;", ","")&amp;IF($AW134&lt;&gt;"",$AW134&amp;", ","")&amp;IF($AX134&lt;&gt;"",$AX134&amp;", ","")&amp;IF($AY134&lt;&gt;"",$AY134&amp;", ","")&amp;IF($AZ134&lt;&gt;"",$AZ134&amp;", ","")&amp;IF($BA134&lt;&gt;"",$BA134&amp;", ","")&amp;IF($BB134&lt;&gt;"",$BB134&amp;", ","")&amp;IF($BC134&lt;&gt;"",$BC134&amp;", ","")&amp;IF($DL134&lt;&gt;"",$DL134&amp;", ","")&amp;IF($DM134&lt;&gt;"",$DM134&amp;", ","")&amp;IF($DN134&lt;&gt;"",$DN134&amp;", ","")&amp;IF($DO134&lt;&gt;"",$DO134&amp;", ","")&amp;IF($DP134&lt;&gt;"",$DP134&amp;", ","")&amp;IF($DQ134&lt;&gt;"",$DQ134&amp;", ","")&amp;IF($DR134&lt;&gt;"",$DR134&amp;", ","")&amp;IF($DS134&lt;&gt;"",$DS134&amp;", ","")&amp;IF($DT134&lt;&gt;"",$DT134&amp;", ","")&amp;IF($DU134&lt;&gt;"",$DU134&amp;", ",""))="","OK","Onbekend: "&amp;LEFT((IF($AT134&lt;&gt;"",$AT134&amp;", ","")&amp;IF($AU134&lt;&gt;"",$AU134&amp;", ","")&amp;IF($AV134&lt;&gt;"",$AV134&amp;", ","")&amp;IF($AW134&lt;&gt;"",$AW134&amp;", ","")&amp;IF($AX134&lt;&gt;"",$AX134&amp;", ","")&amp;IF($AY134&lt;&gt;"",$AY134&amp;", ","")&amp;IF($AZ134&lt;&gt;"",$AZ134&amp;", ","")&amp;IF($BA134&lt;&gt;"",$BA134&amp;", ","")&amp;IF($BB134&lt;&gt;"",$BB134&amp;", ","")&amp;IF($BC134&lt;&gt;"",$BC134&amp;", ","")&amp;IF($DL134&lt;&gt;"",$DL134&amp;", ","")&amp;IF($DM134&lt;&gt;"",$DM134&amp;", ","")&amp;IF($DN134&lt;&gt;"",$DN134&amp;", ","")&amp;IF($DO134&lt;&gt;"",$DO134&amp;", ","")&amp;IF($DP134&lt;&gt;"",$DP134&amp;", ","")&amp;IF($DQ134&lt;&gt;"",$DQ134&amp;", ","")&amp;IF($DR134&lt;&gt;"",$DR134&amp;", ","")&amp;IF($DS134&lt;&gt;"",$DS134&amp;", ","")&amp;IF($DT134&lt;&gt;"",$DT134&amp;", ","")&amp;IF($DU134&lt;&gt;"",$DU134&amp;", ","")),LEN((IF($AT134&lt;&gt;"",$AT134&amp;", ","")&amp;IF($AU134&lt;&gt;"",$AU134&amp;", ","")&amp;IF($AV134&lt;&gt;"",$AV134&amp;", ","")&amp;IF($AW134&lt;&gt;"",$AW134&amp;", ","")&amp;IF($AX134&lt;&gt;"",$AX134&amp;", ","")&amp;IF($AY134&lt;&gt;"",$AY134&amp;", ","")&amp;IF($AZ134&lt;&gt;"",$AZ134&amp;", ","")&amp;IF($BA134&lt;&gt;"",$BA134&amp;", ","")&amp;IF($BB134&lt;&gt;"",$BB134&amp;", ","")&amp;IF($BC134&lt;&gt;"",$BC134&amp;", ","")&amp;IF($DL134&lt;&gt;"",$DL134&amp;", ","")&amp;IF($DM134&lt;&gt;"",$DM134&amp;", ","")&amp;IF($DN134&lt;&gt;"",$DN134&amp;", ","")&amp;IF($DO134&lt;&gt;"",$DO134&amp;", ","")&amp;IF($DP134&lt;&gt;"",$DP134&amp;", ","")&amp;IF($DQ134&lt;&gt;"",$DQ134&amp;", ","")&amp;IF($DR134&lt;&gt;"",$DR134&amp;", ","")&amp;IF($DS134&lt;&gt;"",$DS134&amp;", ","")&amp;IF($DT134&lt;&gt;"",$DT134&amp;", ","")&amp;IF($DU134&lt;&gt;"",$DU134&amp;", ","")))-2)))))))</f>
        <v/>
      </c>
      <c r="N134" t="str">
        <f t="shared" si="1010"/>
        <v/>
      </c>
      <c r="O134" t="str">
        <f t="shared" si="1011"/>
        <v/>
      </c>
      <c r="P134" t="str">
        <f t="shared" si="1012"/>
        <v/>
      </c>
      <c r="Q134" t="str">
        <f t="shared" si="1013"/>
        <v/>
      </c>
      <c r="R134" t="str">
        <f>IF($Q134="","",IF(OR($BE134="",$BF134=""),"ONZEKER",IF(AND($BE134=0+1,$BF134=0),IF(OR(COUNTIF(#REF!,$B134)&gt;0,COUNTIF(#REF!,$B134)=0),"SKIP",IF(COUNTIFS(#REF!,$B134,#REF!,$Q134)&gt;0,"OK","ONBEKEND")),IF(AND($BE134=0,$BF134=0+1),IF(OR(COUNTIF(#REF!,$D134)&gt;0,COUNTIF(#REF!,$D134)=0),"SKIP",IF(COUNTIFS(#REF!,$D134,#REF!,$Q134)&gt;0,"OK","ONBEKEND")),"ONZEKER"))))</f>
        <v/>
      </c>
      <c r="S134" t="str">
        <f t="shared" si="1014"/>
        <v/>
      </c>
      <c r="T134" t="str">
        <f t="shared" si="1015"/>
        <v/>
      </c>
      <c r="U134" t="str">
        <f>IF($T134="","",IF(OR($BH134="",$BI134=""),"ONZEKER",IF(OR($BE134="",$BF134=""),"ONZEKER",IF(AND($BH134=$BE134+1,$BI134=$BF134),IF(OR(COUNTIF(#REF!,$B134)&gt;0,COUNTIF(#REF!,$B134)=0),"SKIP",IF(COUNTIFS(#REF!,$B134,#REF!,$T134)&gt;0,"OK","ONBEKEND")),IF(AND($BH134=$BE134,$BI134=$BF134+1),IF(OR(COUNTIF(#REF!,$D134)&gt;0,COUNTIF(#REF!,$D134)=0),"SKIP",IF(COUNTIFS(#REF!,$D134,#REF!,$T134)&gt;0,"OK","ONBEKEND")),"ONZEKER")))))</f>
        <v/>
      </c>
      <c r="V134" t="str">
        <f t="shared" si="1016"/>
        <v/>
      </c>
      <c r="W134" t="str">
        <f t="shared" si="1017"/>
        <v/>
      </c>
      <c r="X134" t="str">
        <f>IF($W134="","",IF(OR($BK134="",$BL134=""),"ONZEKER",IF(OR($BH134="",$BI134=""),"ONZEKER",IF(AND($BK134=$BH134+1,$BL134=$BI134),IF(OR(COUNTIF(#REF!,$B134)&gt;0,COUNTIF(#REF!,$B134)=0),"SKIP",IF(COUNTIFS(#REF!,$B134,#REF!,$W134)&gt;0,"OK","ONBEKEND")),IF(AND($BK134=$BH134,$BL134=$BI134+1),IF(OR(COUNTIF(#REF!,$D134)&gt;0,COUNTIF(#REF!,$D134)=0),"SKIP",IF(COUNTIFS(#REF!,$D134,#REF!,$W134)&gt;0,"OK","ONBEKEND")),"ONZEKER")))))</f>
        <v/>
      </c>
      <c r="Y134" t="str">
        <f t="shared" si="1018"/>
        <v/>
      </c>
      <c r="Z134" t="str">
        <f t="shared" si="1019"/>
        <v/>
      </c>
      <c r="AA134" t="str">
        <f>IF($Z134="","",IF(OR($BN134="",$BO134=""),"ONZEKER",IF(OR($BK134="",$BL134=""),"ONZEKER",IF(AND($BN134=$BK134+1,$BO134=$BL134),IF(OR(COUNTIF(#REF!,$B134)&gt;0,COUNTIF(#REF!,$B134)=0),"SKIP",IF(COUNTIFS(#REF!,$B134,#REF!,$Z134)&gt;0,"OK","ONBEKEND")),IF(AND($BN134=$BK134,$BO134=$BL134+1),IF(OR(COUNTIF(#REF!,$D134)&gt;0,COUNTIF(#REF!,$D134)=0),"SKIP",IF(COUNTIFS(#REF!,$D134,#REF!,$Z134)&gt;0,"OK","ONBEKEND")),"ONZEKER")))))</f>
        <v/>
      </c>
      <c r="AB134" t="str">
        <f t="shared" si="1020"/>
        <v/>
      </c>
      <c r="AC134" t="str">
        <f t="shared" si="1021"/>
        <v/>
      </c>
      <c r="AD134" t="str">
        <f>IF($AC134="","",IF(OR($BQ134="",$BR134=""),"ONZEKER",IF(OR($BN134="",$BO134=""),"ONZEKER",IF(AND($BQ134=$BN134+1,$BR134=$BO134),IF(OR(COUNTIF(#REF!,$B134)&gt;0,COUNTIF(#REF!,$B134)=0),"SKIP",IF(COUNTIFS(#REF!,$B134,#REF!,$AC134)&gt;0,"OK","ONBEKEND")),IF(AND($BQ134=$BN134,$BR134=$BO134+1),IF(OR(COUNTIF(#REF!,$D134)&gt;0,COUNTIF(#REF!,$D134)=0),"SKIP",IF(COUNTIFS(#REF!,$D134,#REF!,$AC134)&gt;0,"OK","ONBEKEND")),"ONZEKER")))))</f>
        <v/>
      </c>
      <c r="AE134" t="str">
        <f t="shared" si="1022"/>
        <v/>
      </c>
      <c r="AF134" t="str">
        <f t="shared" si="1023"/>
        <v/>
      </c>
      <c r="AG134" t="str">
        <f>IF($AF134="","",IF(OR($BT134="",$BU134=""),"ONZEKER",IF(OR($BQ134="",$BR134=""),"ONZEKER",IF(AND($BT134=$BQ134+1,$BU134=$BR134),IF(OR(COUNTIF(#REF!,$B134)&gt;0,COUNTIF(#REF!,$B134)=0),"SKIP",IF(COUNTIFS(#REF!,$B134,#REF!,$AF134)&gt;0,"OK","ONBEKEND")),IF(AND($BT134=$BQ134,$BU134=$BR134+1),IF(OR(COUNTIF(#REF!,$D134)&gt;0,COUNTIF(#REF!,$D134)=0),"SKIP",IF(COUNTIFS(#REF!,$D134,#REF!,$AF134)&gt;0,"OK","ONBEKEND")),"ONZEKER")))))</f>
        <v/>
      </c>
      <c r="AH134" t="str">
        <f t="shared" si="1024"/>
        <v/>
      </c>
      <c r="AI134" t="str">
        <f t="shared" si="1025"/>
        <v/>
      </c>
      <c r="AJ134" t="str">
        <f>IF($AI134="","",IF(OR($BW134="",$BX134=""),"ONZEKER",IF(OR($BT134="",$BU134=""),"ONZEKER",IF(AND($BW134=$BT134+1,$BX134=$BU134),IF(OR(COUNTIF(#REF!,$B134)&gt;0,COUNTIF(#REF!,$B134)=0),"SKIP",IF(COUNTIFS(#REF!,$B134,#REF!,$AI134)&gt;0,"OK","ONBEKEND")),IF(AND($BW134=$BT134,$BX134=$BU134+1),IF(OR(COUNTIF(#REF!,$D134)&gt;0,COUNTIF(#REF!,$D134)=0),"SKIP",IF(COUNTIFS(#REF!,$D134,#REF!,$AI134)&gt;0,"OK","ONBEKEND")),"ONZEKER")))))</f>
        <v/>
      </c>
      <c r="AK134" t="str">
        <f t="shared" si="1026"/>
        <v/>
      </c>
      <c r="AL134" t="str">
        <f t="shared" si="1027"/>
        <v/>
      </c>
      <c r="AM134" t="str">
        <f>IF($AL134="","",IF(OR($BZ134="",$CA134=""),"ONZEKER",IF(OR($BW134="",$BX134=""),"ONZEKER",IF(AND($BZ134=$BW134+1,$CA134=$BX134),IF(OR(COUNTIF(#REF!,$B134)&gt;0,COUNTIF(#REF!,$B134)=0),"SKIP",IF(COUNTIFS(#REF!,$B134,#REF!,$AL134)&gt;0,"OK","ONBEKEND")),IF(AND($BZ134=$BW134,$CA134=$BX134+1),IF(OR(COUNTIF(#REF!,$D134)&gt;0,COUNTIF(#REF!,$D134)=0),"SKIP",IF(COUNTIFS(#REF!,$D134,#REF!,$AL134)&gt;0,"OK","ONBEKEND")),"ONZEKER")))))</f>
        <v/>
      </c>
      <c r="AN134" t="str">
        <f t="shared" si="1028"/>
        <v/>
      </c>
      <c r="AO134" t="str">
        <f t="shared" si="1029"/>
        <v/>
      </c>
      <c r="AP134" t="str">
        <f>IF($AO134="","",IF(OR($CC134="",$CD134=""),"ONZEKER",IF(OR($BZ134="",$CA134=""),"ONZEKER",IF(AND($CC134=$BZ134+1,$CD134=$CA134),IF(OR(COUNTIF(#REF!,$B134)&gt;0,COUNTIF(#REF!,$B134)=0),"SKIP",IF(COUNTIFS(#REF!,$B134,#REF!,$AO134)&gt;0,"OK","ONBEKEND")),IF(AND($CC134=$BZ134,$CD134=$CA134+1),IF(OR(COUNTIF(#REF!,$D134)&gt;0,COUNTIF(#REF!,$D134)=0),"SKIP",IF(COUNTIFS(#REF!,$D134,#REF!,$AO134)&gt;0,"OK","ONBEKEND")),"ONZEKER")))))</f>
        <v/>
      </c>
      <c r="AQ134" t="str">
        <f t="shared" si="1030"/>
        <v/>
      </c>
      <c r="AR134" t="str">
        <f t="shared" si="1031"/>
        <v/>
      </c>
      <c r="AS134" t="str">
        <f>IF($AR134="","",IF(OR($CF134="",$CG134=""),"ONZEKER",IF(OR($CC134="",$CD134=""),"ONZEKER",IF(AND($CF134=$CC134+1,$CG134=$CD134),IF(OR(COUNTIF(#REF!,$B134)&gt;0,COUNTIF(#REF!,$B134)=0),"SKIP",IF(COUNTIFS(#REF!,$B134,#REF!,$AR134)&gt;0,"OK","ONBEKEND")),IF(AND($CF134=$CC134,$CG134=$CD134+1),IF(OR(COUNTIF(#REF!,$D134)&gt;0,COUNTIF(#REF!,$D134)=0),"SKIP",IF(COUNTIFS(#REF!,$D134,#REF!,$AR134)&gt;0,"OK","ONBEKEND")),"ONZEKER")))))</f>
        <v/>
      </c>
      <c r="AT134" t="str">
        <f t="shared" si="1032"/>
        <v/>
      </c>
      <c r="AU134" t="str">
        <f t="shared" si="1033"/>
        <v/>
      </c>
      <c r="AV134" t="str">
        <f t="shared" si="1034"/>
        <v/>
      </c>
      <c r="AW134" t="str">
        <f t="shared" si="1035"/>
        <v/>
      </c>
      <c r="AX134" t="str">
        <f t="shared" si="1036"/>
        <v/>
      </c>
      <c r="AY134" t="str">
        <f t="shared" si="1037"/>
        <v/>
      </c>
      <c r="AZ134" t="str">
        <f t="shared" si="1038"/>
        <v/>
      </c>
      <c r="BA134" t="str">
        <f t="shared" si="1039"/>
        <v/>
      </c>
      <c r="BB134" t="str">
        <f t="shared" si="1040"/>
        <v/>
      </c>
      <c r="BC134" t="str">
        <f t="shared" si="1041"/>
        <v/>
      </c>
      <c r="BD134" t="str">
        <f t="shared" si="980"/>
        <v/>
      </c>
      <c r="BE134" t="str">
        <f t="shared" si="981"/>
        <v/>
      </c>
      <c r="BF134" t="str">
        <f t="shared" si="982"/>
        <v/>
      </c>
      <c r="BG134" t="str">
        <f t="shared" si="983"/>
        <v/>
      </c>
      <c r="BH134" t="str">
        <f t="shared" si="984"/>
        <v/>
      </c>
      <c r="BI134" t="str">
        <f t="shared" si="985"/>
        <v/>
      </c>
      <c r="BJ134" t="str">
        <f t="shared" si="986"/>
        <v/>
      </c>
      <c r="BK134" t="str">
        <f t="shared" si="987"/>
        <v/>
      </c>
      <c r="BL134" t="str">
        <f t="shared" si="988"/>
        <v/>
      </c>
      <c r="BM134" t="str">
        <f t="shared" si="989"/>
        <v/>
      </c>
      <c r="BN134" t="str">
        <f t="shared" si="990"/>
        <v/>
      </c>
      <c r="BO134" t="str">
        <f t="shared" si="991"/>
        <v/>
      </c>
      <c r="BP134" t="str">
        <f t="shared" si="992"/>
        <v/>
      </c>
      <c r="BQ134" t="str">
        <f t="shared" si="993"/>
        <v/>
      </c>
      <c r="BR134" t="str">
        <f t="shared" si="994"/>
        <v/>
      </c>
      <c r="BS134" t="str">
        <f t="shared" si="995"/>
        <v/>
      </c>
      <c r="BT134" t="str">
        <f t="shared" si="996"/>
        <v/>
      </c>
      <c r="BU134" t="str">
        <f t="shared" si="997"/>
        <v/>
      </c>
      <c r="BV134" t="str">
        <f t="shared" si="998"/>
        <v/>
      </c>
      <c r="BW134" t="str">
        <f t="shared" si="999"/>
        <v/>
      </c>
      <c r="BX134" t="str">
        <f t="shared" si="1000"/>
        <v/>
      </c>
      <c r="BY134" t="str">
        <f t="shared" si="1001"/>
        <v/>
      </c>
      <c r="BZ134" t="str">
        <f t="shared" si="1002"/>
        <v/>
      </c>
      <c r="CA134" t="str">
        <f t="shared" si="1003"/>
        <v/>
      </c>
      <c r="CB134" t="str">
        <f t="shared" si="1004"/>
        <v/>
      </c>
      <c r="CC134" t="str">
        <f t="shared" si="1005"/>
        <v/>
      </c>
      <c r="CD134" t="str">
        <f t="shared" si="1006"/>
        <v/>
      </c>
      <c r="CE134" t="str">
        <f t="shared" si="1007"/>
        <v/>
      </c>
      <c r="CF134" t="str">
        <f t="shared" si="1008"/>
        <v/>
      </c>
      <c r="CG134" t="str">
        <f t="shared" si="1009"/>
        <v/>
      </c>
      <c r="CH134" t="str">
        <f t="shared" si="1042"/>
        <v/>
      </c>
      <c r="CI134" t="str">
        <f t="shared" si="1043"/>
        <v/>
      </c>
      <c r="CJ134" t="str">
        <f>IF($CI134="","",IF(OR($DW134="",$DX134=""),"ONZEKER",IF(OR($CF134="",$CG134=""),"ONZEKER",IF(AND($DW134=$CF134+1,$DX134=$CG134),IF(OR(COUNTIF(#REF!,$B134)&gt;0,COUNTIF(#REF!,$B134)=0),"SKIP",IF(COUNTIFS(#REF!,$B134,#REF!,$CI134)&gt;0,"OK","ONBEKEND")),IF(AND($DW134=$CF134,$DX134=$CG134+1),IF(OR(COUNTIF(#REF!,$D134)&gt;0,COUNTIF(#REF!,$D134)=0),"SKIP",IF(COUNTIFS(#REF!,$D134,#REF!,$CI134)&gt;0,"OK","ONBEKEND")),"ONZEKER")))))</f>
        <v/>
      </c>
      <c r="CK134" t="str">
        <f t="shared" si="1044"/>
        <v/>
      </c>
      <c r="CL134" t="str">
        <f t="shared" si="1045"/>
        <v/>
      </c>
      <c r="CM134" t="str">
        <f>IF($CL134="","",IF(OR($DZ134="",$EA134=""),"ONZEKER",IF(OR($DW134="",$DX134=""),"ONZEKER",IF(AND($DZ134=$DW134+1,$EA134=$DX134),IF(OR(COUNTIF(#REF!,$B134)&gt;0,COUNTIF(#REF!,$B134)=0),"SKIP",IF(COUNTIFS(#REF!,$B134,#REF!,$CL134)&gt;0,"OK","ONBEKEND")),IF(AND($DZ134=$DW134,$EA134=$DX134+1),IF(OR(COUNTIF(#REF!,$D134)&gt;0,COUNTIF(#REF!,$D134)=0),"SKIP",IF(COUNTIFS(#REF!,$D134,#REF!,$CL134)&gt;0,"OK","ONBEKEND")),"ONZEKER")))))</f>
        <v/>
      </c>
      <c r="CN134" t="str">
        <f t="shared" si="1046"/>
        <v/>
      </c>
      <c r="CO134" t="str">
        <f t="shared" si="1047"/>
        <v/>
      </c>
      <c r="CP134" t="str">
        <f>IF($CO134="","",IF(OR($EC134="",$ED134=""),"ONZEKER",IF(OR($DZ134="",$EA134=""),"ONZEKER",IF(AND($EC134=$DZ134+1,$ED134=$EA134),IF(OR(COUNTIF(#REF!,$B134)&gt;0,COUNTIF(#REF!,$B134)=0),"SKIP",IF(COUNTIFS(#REF!,$B134,#REF!,$CO134)&gt;0,"OK","ONBEKEND")),IF(AND($EC134=$DZ134,$ED134=$EA134+1),IF(OR(COUNTIF(#REF!,$D134)&gt;0,COUNTIF(#REF!,$D134)=0),"SKIP",IF(COUNTIFS(#REF!,$D134,#REF!,$CO134)&gt;0,"OK","ONBEKEND")),"ONZEKER")))))</f>
        <v/>
      </c>
      <c r="CQ134" t="str">
        <f t="shared" si="1048"/>
        <v/>
      </c>
      <c r="CR134" t="str">
        <f t="shared" si="1049"/>
        <v/>
      </c>
      <c r="CS134" t="str">
        <f>IF($CR134="","",IF(OR($EF134="",$EG134=""),"ONZEKER",IF(OR($EC134="",$ED134=""),"ONZEKER",IF(AND($EF134=$EC134+1,$EG134=$ED134),IF(OR(COUNTIF(#REF!,$B134)&gt;0,COUNTIF(#REF!,$B134)=0),"SKIP",IF(COUNTIFS(#REF!,$B134,#REF!,$CR134)&gt;0,"OK","ONBEKEND")),IF(AND($EF134=$EC134,$EG134=$ED134+1),IF(OR(COUNTIF(#REF!,$D134)&gt;0,COUNTIF(#REF!,$D134)=0),"SKIP",IF(COUNTIFS(#REF!,$D134,#REF!,$CR134)&gt;0,"OK","ONBEKEND")),"ONZEKER")))))</f>
        <v/>
      </c>
      <c r="CT134" t="str">
        <f t="shared" si="1050"/>
        <v/>
      </c>
      <c r="CU134" t="str">
        <f t="shared" si="1051"/>
        <v/>
      </c>
      <c r="CV134" t="str">
        <f>IF($CU134="","",IF(OR($EI134="",$EJ134=""),"ONZEKER",IF(OR($EF134="",$EG134=""),"ONZEKER",IF(AND($EI134=$EF134+1,$EJ134=$EG134),IF(OR(COUNTIF(#REF!,$B134)&gt;0,COUNTIF(#REF!,$B134)=0),"SKIP",IF(COUNTIFS(#REF!,$B134,#REF!,$CU134)&gt;0,"OK","ONBEKEND")),IF(AND($EI134=$EF134,$EJ134=$EG134+1),IF(OR(COUNTIF(#REF!,$D134)&gt;0,COUNTIF(#REF!,$D134)=0),"SKIP",IF(COUNTIFS(#REF!,$D134,#REF!,$CU134)&gt;0,"OK","ONBEKEND")),"ONZEKER")))))</f>
        <v/>
      </c>
      <c r="CW134" t="str">
        <f t="shared" si="1052"/>
        <v/>
      </c>
      <c r="CX134" t="str">
        <f t="shared" si="1053"/>
        <v/>
      </c>
      <c r="CY134" t="str">
        <f>IF($CX134="","",IF(OR($EL134="",$EM134=""),"ONZEKER",IF(OR($EI134="",$EJ134=""),"ONZEKER",IF(AND($EL134=$EI134+1,$EM134=$EJ134),IF(OR(COUNTIF(#REF!,$B134)&gt;0,COUNTIF(#REF!,$B134)=0),"SKIP",IF(COUNTIFS(#REF!,$B134,#REF!,$CX134)&gt;0,"OK","ONBEKEND")),IF(AND($EL134=$EI134,$EM134=$EJ134+1),IF(OR(COUNTIF(#REF!,$D134)&gt;0,COUNTIF(#REF!,$D134)=0),"SKIP",IF(COUNTIFS(#REF!,$D134,#REF!,$CX134)&gt;0,"OK","ONBEKEND")),"ONZEKER")))))</f>
        <v/>
      </c>
      <c r="CZ134" t="str">
        <f t="shared" si="1054"/>
        <v/>
      </c>
      <c r="DA134" t="str">
        <f t="shared" si="1055"/>
        <v/>
      </c>
      <c r="DB134" t="str">
        <f>IF($DA134="","",IF(OR($EO134="",$EP134=""),"ONZEKER",IF(OR($EL134="",$EM134=""),"ONZEKER",IF(AND($EO134=$EL134+1,$EP134=$EM134),IF(OR(COUNTIF(#REF!,$B134)&gt;0,COUNTIF(#REF!,$B134)=0),"SKIP",IF(COUNTIFS(#REF!,$B134,#REF!,$DA134)&gt;0,"OK","ONBEKEND")),IF(AND($EO134=$EL134,$EP134=$EM134+1),IF(OR(COUNTIF(#REF!,$D134)&gt;0,COUNTIF(#REF!,$D134)=0),"SKIP",IF(COUNTIFS(#REF!,$D134,#REF!,$DA134)&gt;0,"OK","ONBEKEND")),"ONZEKER")))))</f>
        <v/>
      </c>
      <c r="DC134" t="str">
        <f t="shared" si="1056"/>
        <v/>
      </c>
      <c r="DD134" t="str">
        <f t="shared" si="1057"/>
        <v/>
      </c>
      <c r="DE134" t="str">
        <f>IF($DD134="","",IF(OR($ER134="",$ES134=""),"ONZEKER",IF(OR($EO134="",$EP134=""),"ONZEKER",IF(AND($ER134=$EO134+1,$ES134=$EP134),IF(OR(COUNTIF(#REF!,$B134)&gt;0,COUNTIF(#REF!,$B134)=0),"SKIP",IF(COUNTIFS(#REF!,$B134,#REF!,$DD134)&gt;0,"OK","ONBEKEND")),IF(AND($ER134=$EO134,$ES134=$EP134+1),IF(OR(COUNTIF(#REF!,$D134)&gt;0,COUNTIF(#REF!,$D134)=0),"SKIP",IF(COUNTIFS(#REF!,$D134,#REF!,$DD134)&gt;0,"OK","ONBEKEND")),"ONZEKER")))))</f>
        <v/>
      </c>
      <c r="DF134" t="str">
        <f t="shared" si="1058"/>
        <v/>
      </c>
      <c r="DG134" t="str">
        <f t="shared" si="1059"/>
        <v/>
      </c>
      <c r="DH134" t="str">
        <f>IF($DG134="","",IF(OR($EU134="",$EV134=""),"ONZEKER",IF(OR($ER134="",$ES134=""),"ONZEKER",IF(AND($EU134=$ER134+1,$EV134=$ES134),IF(OR(COUNTIF(#REF!,$B134)&gt;0,COUNTIF(#REF!,$B134)=0),"SKIP",IF(COUNTIFS(#REF!,$B134,#REF!,$DG134)&gt;0,"OK","ONBEKEND")),IF(AND($EU134=$ER134,$EV134=$ES134+1),IF(OR(COUNTIF(#REF!,$D134)&gt;0,COUNTIF(#REF!,$D134)=0),"SKIP",IF(COUNTIFS(#REF!,$D134,#REF!,$DG134)&gt;0,"OK","ONBEKEND")),"ONZEKER")))))</f>
        <v/>
      </c>
      <c r="DI134" t="str">
        <f t="shared" si="1060"/>
        <v/>
      </c>
      <c r="DJ134" t="str">
        <f t="shared" si="1061"/>
        <v/>
      </c>
      <c r="DK134" t="str">
        <f>IF($DJ134="","",IF(OR($EX134="",$EY134=""),"ONZEKER",IF(OR($EU134="",$EV134=""),"ONZEKER",IF(AND($EX134=$EU134+1,$EY134=$EV134),IF(OR(COUNTIF(#REF!,$B134)&gt;0,COUNTIF(#REF!,$B134)=0),"SKIP",IF(COUNTIFS(#REF!,$B134,#REF!,$DJ134)&gt;0,"OK","ONBEKEND")),IF(AND($EX134=$EU134,$EY134=$EV134+1),IF(OR(COUNTIF(#REF!,$D134)&gt;0,COUNTIF(#REF!,$D134)=0),"SKIP",IF(COUNTIFS(#REF!,$D134,#REF!,$DJ134)&gt;0,"OK","ONBEKEND")),"ONZEKER")))))</f>
        <v/>
      </c>
      <c r="DL134" t="str">
        <f t="shared" si="1062"/>
        <v/>
      </c>
      <c r="DM134" t="str">
        <f t="shared" si="1063"/>
        <v/>
      </c>
      <c r="DN134" t="str">
        <f t="shared" si="1064"/>
        <v/>
      </c>
      <c r="DO134" t="str">
        <f t="shared" si="1065"/>
        <v/>
      </c>
      <c r="DP134" t="str">
        <f t="shared" si="1066"/>
        <v/>
      </c>
      <c r="DQ134" t="str">
        <f t="shared" si="1067"/>
        <v/>
      </c>
      <c r="DR134" t="str">
        <f t="shared" si="1068"/>
        <v/>
      </c>
      <c r="DS134" t="str">
        <f t="shared" si="1069"/>
        <v/>
      </c>
      <c r="DT134" t="str">
        <f t="shared" si="1070"/>
        <v/>
      </c>
      <c r="DU134" t="str">
        <f t="shared" si="1071"/>
        <v/>
      </c>
      <c r="DV134" t="str">
        <f t="shared" si="1072"/>
        <v/>
      </c>
      <c r="DW134" t="str">
        <f t="shared" si="1073"/>
        <v/>
      </c>
      <c r="DX134" t="str">
        <f t="shared" si="1074"/>
        <v/>
      </c>
      <c r="DY134" t="str">
        <f t="shared" si="1075"/>
        <v/>
      </c>
      <c r="DZ134" t="str">
        <f t="shared" si="1076"/>
        <v/>
      </c>
      <c r="EA134" t="str">
        <f t="shared" si="1077"/>
        <v/>
      </c>
      <c r="EB134" t="str">
        <f t="shared" si="1078"/>
        <v/>
      </c>
      <c r="EC134" t="str">
        <f t="shared" si="1079"/>
        <v/>
      </c>
      <c r="ED134" t="str">
        <f t="shared" si="1080"/>
        <v/>
      </c>
      <c r="EE134" t="str">
        <f t="shared" si="1081"/>
        <v/>
      </c>
      <c r="EF134" t="str">
        <f t="shared" si="1082"/>
        <v/>
      </c>
      <c r="EG134" t="str">
        <f t="shared" si="1083"/>
        <v/>
      </c>
      <c r="EH134" t="str">
        <f t="shared" si="1084"/>
        <v/>
      </c>
      <c r="EI134" t="str">
        <f t="shared" si="1085"/>
        <v/>
      </c>
      <c r="EJ134" t="str">
        <f t="shared" si="1086"/>
        <v/>
      </c>
      <c r="EK134" t="str">
        <f t="shared" si="1087"/>
        <v/>
      </c>
      <c r="EL134" t="str">
        <f t="shared" si="1088"/>
        <v/>
      </c>
      <c r="EM134" t="str">
        <f t="shared" si="1089"/>
        <v/>
      </c>
      <c r="EN134" t="str">
        <f t="shared" si="1090"/>
        <v/>
      </c>
      <c r="EO134" t="str">
        <f t="shared" si="1091"/>
        <v/>
      </c>
      <c r="EP134" t="str">
        <f t="shared" si="1092"/>
        <v/>
      </c>
      <c r="EQ134" t="str">
        <f t="shared" si="1093"/>
        <v/>
      </c>
      <c r="ER134" t="str">
        <f t="shared" si="1094"/>
        <v/>
      </c>
      <c r="ES134" t="str">
        <f t="shared" si="1095"/>
        <v/>
      </c>
      <c r="ET134" t="str">
        <f t="shared" si="1096"/>
        <v/>
      </c>
      <c r="EU134" t="str">
        <f t="shared" si="1097"/>
        <v/>
      </c>
      <c r="EV134" t="str">
        <f t="shared" si="1098"/>
        <v/>
      </c>
      <c r="EW134" t="str">
        <f t="shared" si="1099"/>
        <v/>
      </c>
      <c r="EX134" t="str">
        <f t="shared" si="1100"/>
        <v/>
      </c>
      <c r="EY134" t="str">
        <f t="shared" si="1101"/>
        <v/>
      </c>
    </row>
    <row r="135" spans="1:155" ht="13.9" customHeight="1" x14ac:dyDescent="0.25">
      <c r="A135" s="7"/>
      <c r="B135" s="17"/>
      <c r="C135" s="8"/>
      <c r="D135" s="17"/>
      <c r="E135" s="8"/>
      <c r="F135" s="18">
        <v>0</v>
      </c>
      <c r="G135" s="7" t="s">
        <v>147</v>
      </c>
      <c r="H135" s="18">
        <v>0</v>
      </c>
      <c r="I135" s="19">
        <v>0</v>
      </c>
      <c r="J135" s="7" t="s">
        <v>147</v>
      </c>
      <c r="K135" s="19">
        <v>0</v>
      </c>
      <c r="L135" s="9"/>
      <c r="M135" s="3" t="str">
        <f>IF($L135="","",IF($L135="DOELPUNTENMAKERS","",IF(AND(COUNTIF(#REF!,$B135)=0,COUNTIF(#REF!,$D135)=0),"OK",IF($O135&gt;20,"LET OP: meer dan 20 items (controle onvolledig)",IF((COUNTIF($R135:$AS135,"ONZEKER")+COUNTIF($CJ135:$DK135,"ONZEKER"))&gt;0,"LET OP: scoreverloop onduidelijk (controle beperkt)",IF((IF($AT135&lt;&gt;"",$AT135&amp;", ","")&amp;IF($AU135&lt;&gt;"",$AU135&amp;", ","")&amp;IF($AV135&lt;&gt;"",$AV135&amp;", ","")&amp;IF($AW135&lt;&gt;"",$AW135&amp;", ","")&amp;IF($AX135&lt;&gt;"",$AX135&amp;", ","")&amp;IF($AY135&lt;&gt;"",$AY135&amp;", ","")&amp;IF($AZ135&lt;&gt;"",$AZ135&amp;", ","")&amp;IF($BA135&lt;&gt;"",$BA135&amp;", ","")&amp;IF($BB135&lt;&gt;"",$BB135&amp;", ","")&amp;IF($BC135&lt;&gt;"",$BC135&amp;", ","")&amp;IF($DL135&lt;&gt;"",$DL135&amp;", ","")&amp;IF($DM135&lt;&gt;"",$DM135&amp;", ","")&amp;IF($DN135&lt;&gt;"",$DN135&amp;", ","")&amp;IF($DO135&lt;&gt;"",$DO135&amp;", ","")&amp;IF($DP135&lt;&gt;"",$DP135&amp;", ","")&amp;IF($DQ135&lt;&gt;"",$DQ135&amp;", ","")&amp;IF($DR135&lt;&gt;"",$DR135&amp;", ","")&amp;IF($DS135&lt;&gt;"",$DS135&amp;", ","")&amp;IF($DT135&lt;&gt;"",$DT135&amp;", ","")&amp;IF($DU135&lt;&gt;"",$DU135&amp;", ",""))="","OK","Onbekend: "&amp;LEFT((IF($AT135&lt;&gt;"",$AT135&amp;", ","")&amp;IF($AU135&lt;&gt;"",$AU135&amp;", ","")&amp;IF($AV135&lt;&gt;"",$AV135&amp;", ","")&amp;IF($AW135&lt;&gt;"",$AW135&amp;", ","")&amp;IF($AX135&lt;&gt;"",$AX135&amp;", ","")&amp;IF($AY135&lt;&gt;"",$AY135&amp;", ","")&amp;IF($AZ135&lt;&gt;"",$AZ135&amp;", ","")&amp;IF($BA135&lt;&gt;"",$BA135&amp;", ","")&amp;IF($BB135&lt;&gt;"",$BB135&amp;", ","")&amp;IF($BC135&lt;&gt;"",$BC135&amp;", ","")&amp;IF($DL135&lt;&gt;"",$DL135&amp;", ","")&amp;IF($DM135&lt;&gt;"",$DM135&amp;", ","")&amp;IF($DN135&lt;&gt;"",$DN135&amp;", ","")&amp;IF($DO135&lt;&gt;"",$DO135&amp;", ","")&amp;IF($DP135&lt;&gt;"",$DP135&amp;", ","")&amp;IF($DQ135&lt;&gt;"",$DQ135&amp;", ","")&amp;IF($DR135&lt;&gt;"",$DR135&amp;", ","")&amp;IF($DS135&lt;&gt;"",$DS135&amp;", ","")&amp;IF($DT135&lt;&gt;"",$DT135&amp;", ","")&amp;IF($DU135&lt;&gt;"",$DU135&amp;", ","")),LEN((IF($AT135&lt;&gt;"",$AT135&amp;", ","")&amp;IF($AU135&lt;&gt;"",$AU135&amp;", ","")&amp;IF($AV135&lt;&gt;"",$AV135&amp;", ","")&amp;IF($AW135&lt;&gt;"",$AW135&amp;", ","")&amp;IF($AX135&lt;&gt;"",$AX135&amp;", ","")&amp;IF($AY135&lt;&gt;"",$AY135&amp;", ","")&amp;IF($AZ135&lt;&gt;"",$AZ135&amp;", ","")&amp;IF($BA135&lt;&gt;"",$BA135&amp;", ","")&amp;IF($BB135&lt;&gt;"",$BB135&amp;", ","")&amp;IF($BC135&lt;&gt;"",$BC135&amp;", ","")&amp;IF($DL135&lt;&gt;"",$DL135&amp;", ","")&amp;IF($DM135&lt;&gt;"",$DM135&amp;", ","")&amp;IF($DN135&lt;&gt;"",$DN135&amp;", ","")&amp;IF($DO135&lt;&gt;"",$DO135&amp;", ","")&amp;IF($DP135&lt;&gt;"",$DP135&amp;", ","")&amp;IF($DQ135&lt;&gt;"",$DQ135&amp;", ","")&amp;IF($DR135&lt;&gt;"",$DR135&amp;", ","")&amp;IF($DS135&lt;&gt;"",$DS135&amp;", ","")&amp;IF($DT135&lt;&gt;"",$DT135&amp;", ","")&amp;IF($DU135&lt;&gt;"",$DU135&amp;", ","")))-2)))))))</f>
        <v/>
      </c>
      <c r="N135" t="str">
        <f t="shared" si="1010"/>
        <v/>
      </c>
      <c r="O135" t="str">
        <f t="shared" si="1011"/>
        <v/>
      </c>
      <c r="P135" t="str">
        <f t="shared" si="1012"/>
        <v/>
      </c>
      <c r="Q135" t="str">
        <f t="shared" si="1013"/>
        <v/>
      </c>
      <c r="R135" t="str">
        <f>IF($Q135="","",IF(OR($BE135="",$BF135=""),"ONZEKER",IF(AND($BE135=0+1,$BF135=0),IF(OR(COUNTIF(#REF!,$B135)&gt;0,COUNTIF(#REF!,$B135)=0),"SKIP",IF(COUNTIFS(#REF!,$B135,#REF!,$Q135)&gt;0,"OK","ONBEKEND")),IF(AND($BE135=0,$BF135=0+1),IF(OR(COUNTIF(#REF!,$D135)&gt;0,COUNTIF(#REF!,$D135)=0),"SKIP",IF(COUNTIFS(#REF!,$D135,#REF!,$Q135)&gt;0,"OK","ONBEKEND")),"ONZEKER"))))</f>
        <v/>
      </c>
      <c r="S135" t="str">
        <f t="shared" si="1014"/>
        <v/>
      </c>
      <c r="T135" t="str">
        <f t="shared" si="1015"/>
        <v/>
      </c>
      <c r="U135" t="str">
        <f>IF($T135="","",IF(OR($BH135="",$BI135=""),"ONZEKER",IF(OR($BE135="",$BF135=""),"ONZEKER",IF(AND($BH135=$BE135+1,$BI135=$BF135),IF(OR(COUNTIF(#REF!,$B135)&gt;0,COUNTIF(#REF!,$B135)=0),"SKIP",IF(COUNTIFS(#REF!,$B135,#REF!,$T135)&gt;0,"OK","ONBEKEND")),IF(AND($BH135=$BE135,$BI135=$BF135+1),IF(OR(COUNTIF(#REF!,$D135)&gt;0,COUNTIF(#REF!,$D135)=0),"SKIP",IF(COUNTIFS(#REF!,$D135,#REF!,$T135)&gt;0,"OK","ONBEKEND")),"ONZEKER")))))</f>
        <v/>
      </c>
      <c r="V135" t="str">
        <f t="shared" si="1016"/>
        <v/>
      </c>
      <c r="W135" t="str">
        <f t="shared" si="1017"/>
        <v/>
      </c>
      <c r="X135" t="str">
        <f>IF($W135="","",IF(OR($BK135="",$BL135=""),"ONZEKER",IF(OR($BH135="",$BI135=""),"ONZEKER",IF(AND($BK135=$BH135+1,$BL135=$BI135),IF(OR(COUNTIF(#REF!,$B135)&gt;0,COUNTIF(#REF!,$B135)=0),"SKIP",IF(COUNTIFS(#REF!,$B135,#REF!,$W135)&gt;0,"OK","ONBEKEND")),IF(AND($BK135=$BH135,$BL135=$BI135+1),IF(OR(COUNTIF(#REF!,$D135)&gt;0,COUNTIF(#REF!,$D135)=0),"SKIP",IF(COUNTIFS(#REF!,$D135,#REF!,$W135)&gt;0,"OK","ONBEKEND")),"ONZEKER")))))</f>
        <v/>
      </c>
      <c r="Y135" t="str">
        <f t="shared" si="1018"/>
        <v/>
      </c>
      <c r="Z135" t="str">
        <f t="shared" si="1019"/>
        <v/>
      </c>
      <c r="AA135" t="str">
        <f>IF($Z135="","",IF(OR($BN135="",$BO135=""),"ONZEKER",IF(OR($BK135="",$BL135=""),"ONZEKER",IF(AND($BN135=$BK135+1,$BO135=$BL135),IF(OR(COUNTIF(#REF!,$B135)&gt;0,COUNTIF(#REF!,$B135)=0),"SKIP",IF(COUNTIFS(#REF!,$B135,#REF!,$Z135)&gt;0,"OK","ONBEKEND")),IF(AND($BN135=$BK135,$BO135=$BL135+1),IF(OR(COUNTIF(#REF!,$D135)&gt;0,COUNTIF(#REF!,$D135)=0),"SKIP",IF(COUNTIFS(#REF!,$D135,#REF!,$Z135)&gt;0,"OK","ONBEKEND")),"ONZEKER")))))</f>
        <v/>
      </c>
      <c r="AB135" t="str">
        <f t="shared" si="1020"/>
        <v/>
      </c>
      <c r="AC135" t="str">
        <f t="shared" si="1021"/>
        <v/>
      </c>
      <c r="AD135" t="str">
        <f>IF($AC135="","",IF(OR($BQ135="",$BR135=""),"ONZEKER",IF(OR($BN135="",$BO135=""),"ONZEKER",IF(AND($BQ135=$BN135+1,$BR135=$BO135),IF(OR(COUNTIF(#REF!,$B135)&gt;0,COUNTIF(#REF!,$B135)=0),"SKIP",IF(COUNTIFS(#REF!,$B135,#REF!,$AC135)&gt;0,"OK","ONBEKEND")),IF(AND($BQ135=$BN135,$BR135=$BO135+1),IF(OR(COUNTIF(#REF!,$D135)&gt;0,COUNTIF(#REF!,$D135)=0),"SKIP",IF(COUNTIFS(#REF!,$D135,#REF!,$AC135)&gt;0,"OK","ONBEKEND")),"ONZEKER")))))</f>
        <v/>
      </c>
      <c r="AE135" t="str">
        <f t="shared" si="1022"/>
        <v/>
      </c>
      <c r="AF135" t="str">
        <f t="shared" si="1023"/>
        <v/>
      </c>
      <c r="AG135" t="str">
        <f>IF($AF135="","",IF(OR($BT135="",$BU135=""),"ONZEKER",IF(OR($BQ135="",$BR135=""),"ONZEKER",IF(AND($BT135=$BQ135+1,$BU135=$BR135),IF(OR(COUNTIF(#REF!,$B135)&gt;0,COUNTIF(#REF!,$B135)=0),"SKIP",IF(COUNTIFS(#REF!,$B135,#REF!,$AF135)&gt;0,"OK","ONBEKEND")),IF(AND($BT135=$BQ135,$BU135=$BR135+1),IF(OR(COUNTIF(#REF!,$D135)&gt;0,COUNTIF(#REF!,$D135)=0),"SKIP",IF(COUNTIFS(#REF!,$D135,#REF!,$AF135)&gt;0,"OK","ONBEKEND")),"ONZEKER")))))</f>
        <v/>
      </c>
      <c r="AH135" t="str">
        <f t="shared" si="1024"/>
        <v/>
      </c>
      <c r="AI135" t="str">
        <f t="shared" si="1025"/>
        <v/>
      </c>
      <c r="AJ135" t="str">
        <f>IF($AI135="","",IF(OR($BW135="",$BX135=""),"ONZEKER",IF(OR($BT135="",$BU135=""),"ONZEKER",IF(AND($BW135=$BT135+1,$BX135=$BU135),IF(OR(COUNTIF(#REF!,$B135)&gt;0,COUNTIF(#REF!,$B135)=0),"SKIP",IF(COUNTIFS(#REF!,$B135,#REF!,$AI135)&gt;0,"OK","ONBEKEND")),IF(AND($BW135=$BT135,$BX135=$BU135+1),IF(OR(COUNTIF(#REF!,$D135)&gt;0,COUNTIF(#REF!,$D135)=0),"SKIP",IF(COUNTIFS(#REF!,$D135,#REF!,$AI135)&gt;0,"OK","ONBEKEND")),"ONZEKER")))))</f>
        <v/>
      </c>
      <c r="AK135" t="str">
        <f t="shared" si="1026"/>
        <v/>
      </c>
      <c r="AL135" t="str">
        <f t="shared" si="1027"/>
        <v/>
      </c>
      <c r="AM135" t="str">
        <f>IF($AL135="","",IF(OR($BZ135="",$CA135=""),"ONZEKER",IF(OR($BW135="",$BX135=""),"ONZEKER",IF(AND($BZ135=$BW135+1,$CA135=$BX135),IF(OR(COUNTIF(#REF!,$B135)&gt;0,COUNTIF(#REF!,$B135)=0),"SKIP",IF(COUNTIFS(#REF!,$B135,#REF!,$AL135)&gt;0,"OK","ONBEKEND")),IF(AND($BZ135=$BW135,$CA135=$BX135+1),IF(OR(COUNTIF(#REF!,$D135)&gt;0,COUNTIF(#REF!,$D135)=0),"SKIP",IF(COUNTIFS(#REF!,$D135,#REF!,$AL135)&gt;0,"OK","ONBEKEND")),"ONZEKER")))))</f>
        <v/>
      </c>
      <c r="AN135" t="str">
        <f t="shared" si="1028"/>
        <v/>
      </c>
      <c r="AO135" t="str">
        <f t="shared" si="1029"/>
        <v/>
      </c>
      <c r="AP135" t="str">
        <f>IF($AO135="","",IF(OR($CC135="",$CD135=""),"ONZEKER",IF(OR($BZ135="",$CA135=""),"ONZEKER",IF(AND($CC135=$BZ135+1,$CD135=$CA135),IF(OR(COUNTIF(#REF!,$B135)&gt;0,COUNTIF(#REF!,$B135)=0),"SKIP",IF(COUNTIFS(#REF!,$B135,#REF!,$AO135)&gt;0,"OK","ONBEKEND")),IF(AND($CC135=$BZ135,$CD135=$CA135+1),IF(OR(COUNTIF(#REF!,$D135)&gt;0,COUNTIF(#REF!,$D135)=0),"SKIP",IF(COUNTIFS(#REF!,$D135,#REF!,$AO135)&gt;0,"OK","ONBEKEND")),"ONZEKER")))))</f>
        <v/>
      </c>
      <c r="AQ135" t="str">
        <f t="shared" si="1030"/>
        <v/>
      </c>
      <c r="AR135" t="str">
        <f t="shared" si="1031"/>
        <v/>
      </c>
      <c r="AS135" t="str">
        <f>IF($AR135="","",IF(OR($CF135="",$CG135=""),"ONZEKER",IF(OR($CC135="",$CD135=""),"ONZEKER",IF(AND($CF135=$CC135+1,$CG135=$CD135),IF(OR(COUNTIF(#REF!,$B135)&gt;0,COUNTIF(#REF!,$B135)=0),"SKIP",IF(COUNTIFS(#REF!,$B135,#REF!,$AR135)&gt;0,"OK","ONBEKEND")),IF(AND($CF135=$CC135,$CG135=$CD135+1),IF(OR(COUNTIF(#REF!,$D135)&gt;0,COUNTIF(#REF!,$D135)=0),"SKIP",IF(COUNTIFS(#REF!,$D135,#REF!,$AR135)&gt;0,"OK","ONBEKEND")),"ONZEKER")))))</f>
        <v/>
      </c>
      <c r="AT135" t="str">
        <f t="shared" si="1032"/>
        <v/>
      </c>
      <c r="AU135" t="str">
        <f t="shared" si="1033"/>
        <v/>
      </c>
      <c r="AV135" t="str">
        <f t="shared" si="1034"/>
        <v/>
      </c>
      <c r="AW135" t="str">
        <f t="shared" si="1035"/>
        <v/>
      </c>
      <c r="AX135" t="str">
        <f t="shared" si="1036"/>
        <v/>
      </c>
      <c r="AY135" t="str">
        <f t="shared" si="1037"/>
        <v/>
      </c>
      <c r="AZ135" t="str">
        <f t="shared" si="1038"/>
        <v/>
      </c>
      <c r="BA135" t="str">
        <f t="shared" si="1039"/>
        <v/>
      </c>
      <c r="BB135" t="str">
        <f t="shared" si="1040"/>
        <v/>
      </c>
      <c r="BC135" t="str">
        <f t="shared" si="1041"/>
        <v/>
      </c>
      <c r="BD135" t="str">
        <f t="shared" si="980"/>
        <v/>
      </c>
      <c r="BE135" t="str">
        <f t="shared" si="981"/>
        <v/>
      </c>
      <c r="BF135" t="str">
        <f t="shared" si="982"/>
        <v/>
      </c>
      <c r="BG135" t="str">
        <f t="shared" si="983"/>
        <v/>
      </c>
      <c r="BH135" t="str">
        <f t="shared" si="984"/>
        <v/>
      </c>
      <c r="BI135" t="str">
        <f t="shared" si="985"/>
        <v/>
      </c>
      <c r="BJ135" t="str">
        <f t="shared" si="986"/>
        <v/>
      </c>
      <c r="BK135" t="str">
        <f t="shared" si="987"/>
        <v/>
      </c>
      <c r="BL135" t="str">
        <f t="shared" si="988"/>
        <v/>
      </c>
      <c r="BM135" t="str">
        <f t="shared" si="989"/>
        <v/>
      </c>
      <c r="BN135" t="str">
        <f t="shared" si="990"/>
        <v/>
      </c>
      <c r="BO135" t="str">
        <f t="shared" si="991"/>
        <v/>
      </c>
      <c r="BP135" t="str">
        <f t="shared" si="992"/>
        <v/>
      </c>
      <c r="BQ135" t="str">
        <f t="shared" si="993"/>
        <v/>
      </c>
      <c r="BR135" t="str">
        <f t="shared" si="994"/>
        <v/>
      </c>
      <c r="BS135" t="str">
        <f t="shared" si="995"/>
        <v/>
      </c>
      <c r="BT135" t="str">
        <f t="shared" si="996"/>
        <v/>
      </c>
      <c r="BU135" t="str">
        <f t="shared" si="997"/>
        <v/>
      </c>
      <c r="BV135" t="str">
        <f t="shared" si="998"/>
        <v/>
      </c>
      <c r="BW135" t="str">
        <f t="shared" si="999"/>
        <v/>
      </c>
      <c r="BX135" t="str">
        <f t="shared" si="1000"/>
        <v/>
      </c>
      <c r="BY135" t="str">
        <f t="shared" si="1001"/>
        <v/>
      </c>
      <c r="BZ135" t="str">
        <f t="shared" si="1002"/>
        <v/>
      </c>
      <c r="CA135" t="str">
        <f t="shared" si="1003"/>
        <v/>
      </c>
      <c r="CB135" t="str">
        <f t="shared" si="1004"/>
        <v/>
      </c>
      <c r="CC135" t="str">
        <f t="shared" si="1005"/>
        <v/>
      </c>
      <c r="CD135" t="str">
        <f t="shared" si="1006"/>
        <v/>
      </c>
      <c r="CE135" t="str">
        <f t="shared" si="1007"/>
        <v/>
      </c>
      <c r="CF135" t="str">
        <f t="shared" si="1008"/>
        <v/>
      </c>
      <c r="CG135" t="str">
        <f t="shared" si="1009"/>
        <v/>
      </c>
      <c r="CH135" t="str">
        <f t="shared" si="1042"/>
        <v/>
      </c>
      <c r="CI135" t="str">
        <f t="shared" si="1043"/>
        <v/>
      </c>
      <c r="CJ135" t="str">
        <f>IF($CI135="","",IF(OR($DW135="",$DX135=""),"ONZEKER",IF(OR($CF135="",$CG135=""),"ONZEKER",IF(AND($DW135=$CF135+1,$DX135=$CG135),IF(OR(COUNTIF(#REF!,$B135)&gt;0,COUNTIF(#REF!,$B135)=0),"SKIP",IF(COUNTIFS(#REF!,$B135,#REF!,$CI135)&gt;0,"OK","ONBEKEND")),IF(AND($DW135=$CF135,$DX135=$CG135+1),IF(OR(COUNTIF(#REF!,$D135)&gt;0,COUNTIF(#REF!,$D135)=0),"SKIP",IF(COUNTIFS(#REF!,$D135,#REF!,$CI135)&gt;0,"OK","ONBEKEND")),"ONZEKER")))))</f>
        <v/>
      </c>
      <c r="CK135" t="str">
        <f t="shared" si="1044"/>
        <v/>
      </c>
      <c r="CL135" t="str">
        <f t="shared" si="1045"/>
        <v/>
      </c>
      <c r="CM135" t="str">
        <f>IF($CL135="","",IF(OR($DZ135="",$EA135=""),"ONZEKER",IF(OR($DW135="",$DX135=""),"ONZEKER",IF(AND($DZ135=$DW135+1,$EA135=$DX135),IF(OR(COUNTIF(#REF!,$B135)&gt;0,COUNTIF(#REF!,$B135)=0),"SKIP",IF(COUNTIFS(#REF!,$B135,#REF!,$CL135)&gt;0,"OK","ONBEKEND")),IF(AND($DZ135=$DW135,$EA135=$DX135+1),IF(OR(COUNTIF(#REF!,$D135)&gt;0,COUNTIF(#REF!,$D135)=0),"SKIP",IF(COUNTIFS(#REF!,$D135,#REF!,$CL135)&gt;0,"OK","ONBEKEND")),"ONZEKER")))))</f>
        <v/>
      </c>
      <c r="CN135" t="str">
        <f t="shared" si="1046"/>
        <v/>
      </c>
      <c r="CO135" t="str">
        <f t="shared" si="1047"/>
        <v/>
      </c>
      <c r="CP135" t="str">
        <f>IF($CO135="","",IF(OR($EC135="",$ED135=""),"ONZEKER",IF(OR($DZ135="",$EA135=""),"ONZEKER",IF(AND($EC135=$DZ135+1,$ED135=$EA135),IF(OR(COUNTIF(#REF!,$B135)&gt;0,COUNTIF(#REF!,$B135)=0),"SKIP",IF(COUNTIFS(#REF!,$B135,#REF!,$CO135)&gt;0,"OK","ONBEKEND")),IF(AND($EC135=$DZ135,$ED135=$EA135+1),IF(OR(COUNTIF(#REF!,$D135)&gt;0,COUNTIF(#REF!,$D135)=0),"SKIP",IF(COUNTIFS(#REF!,$D135,#REF!,$CO135)&gt;0,"OK","ONBEKEND")),"ONZEKER")))))</f>
        <v/>
      </c>
      <c r="CQ135" t="str">
        <f t="shared" si="1048"/>
        <v/>
      </c>
      <c r="CR135" t="str">
        <f t="shared" si="1049"/>
        <v/>
      </c>
      <c r="CS135" t="str">
        <f>IF($CR135="","",IF(OR($EF135="",$EG135=""),"ONZEKER",IF(OR($EC135="",$ED135=""),"ONZEKER",IF(AND($EF135=$EC135+1,$EG135=$ED135),IF(OR(COUNTIF(#REF!,$B135)&gt;0,COUNTIF(#REF!,$B135)=0),"SKIP",IF(COUNTIFS(#REF!,$B135,#REF!,$CR135)&gt;0,"OK","ONBEKEND")),IF(AND($EF135=$EC135,$EG135=$ED135+1),IF(OR(COUNTIF(#REF!,$D135)&gt;0,COUNTIF(#REF!,$D135)=0),"SKIP",IF(COUNTIFS(#REF!,$D135,#REF!,$CR135)&gt;0,"OK","ONBEKEND")),"ONZEKER")))))</f>
        <v/>
      </c>
      <c r="CT135" t="str">
        <f t="shared" si="1050"/>
        <v/>
      </c>
      <c r="CU135" t="str">
        <f t="shared" si="1051"/>
        <v/>
      </c>
      <c r="CV135" t="str">
        <f>IF($CU135="","",IF(OR($EI135="",$EJ135=""),"ONZEKER",IF(OR($EF135="",$EG135=""),"ONZEKER",IF(AND($EI135=$EF135+1,$EJ135=$EG135),IF(OR(COUNTIF(#REF!,$B135)&gt;0,COUNTIF(#REF!,$B135)=0),"SKIP",IF(COUNTIFS(#REF!,$B135,#REF!,$CU135)&gt;0,"OK","ONBEKEND")),IF(AND($EI135=$EF135,$EJ135=$EG135+1),IF(OR(COUNTIF(#REF!,$D135)&gt;0,COUNTIF(#REF!,$D135)=0),"SKIP",IF(COUNTIFS(#REF!,$D135,#REF!,$CU135)&gt;0,"OK","ONBEKEND")),"ONZEKER")))))</f>
        <v/>
      </c>
      <c r="CW135" t="str">
        <f t="shared" si="1052"/>
        <v/>
      </c>
      <c r="CX135" t="str">
        <f t="shared" si="1053"/>
        <v/>
      </c>
      <c r="CY135" t="str">
        <f>IF($CX135="","",IF(OR($EL135="",$EM135=""),"ONZEKER",IF(OR($EI135="",$EJ135=""),"ONZEKER",IF(AND($EL135=$EI135+1,$EM135=$EJ135),IF(OR(COUNTIF(#REF!,$B135)&gt;0,COUNTIF(#REF!,$B135)=0),"SKIP",IF(COUNTIFS(#REF!,$B135,#REF!,$CX135)&gt;0,"OK","ONBEKEND")),IF(AND($EL135=$EI135,$EM135=$EJ135+1),IF(OR(COUNTIF(#REF!,$D135)&gt;0,COUNTIF(#REF!,$D135)=0),"SKIP",IF(COUNTIFS(#REF!,$D135,#REF!,$CX135)&gt;0,"OK","ONBEKEND")),"ONZEKER")))))</f>
        <v/>
      </c>
      <c r="CZ135" t="str">
        <f t="shared" si="1054"/>
        <v/>
      </c>
      <c r="DA135" t="str">
        <f t="shared" si="1055"/>
        <v/>
      </c>
      <c r="DB135" t="str">
        <f>IF($DA135="","",IF(OR($EO135="",$EP135=""),"ONZEKER",IF(OR($EL135="",$EM135=""),"ONZEKER",IF(AND($EO135=$EL135+1,$EP135=$EM135),IF(OR(COUNTIF(#REF!,$B135)&gt;0,COUNTIF(#REF!,$B135)=0),"SKIP",IF(COUNTIFS(#REF!,$B135,#REF!,$DA135)&gt;0,"OK","ONBEKEND")),IF(AND($EO135=$EL135,$EP135=$EM135+1),IF(OR(COUNTIF(#REF!,$D135)&gt;0,COUNTIF(#REF!,$D135)=0),"SKIP",IF(COUNTIFS(#REF!,$D135,#REF!,$DA135)&gt;0,"OK","ONBEKEND")),"ONZEKER")))))</f>
        <v/>
      </c>
      <c r="DC135" t="str">
        <f t="shared" si="1056"/>
        <v/>
      </c>
      <c r="DD135" t="str">
        <f t="shared" si="1057"/>
        <v/>
      </c>
      <c r="DE135" t="str">
        <f>IF($DD135="","",IF(OR($ER135="",$ES135=""),"ONZEKER",IF(OR($EO135="",$EP135=""),"ONZEKER",IF(AND($ER135=$EO135+1,$ES135=$EP135),IF(OR(COUNTIF(#REF!,$B135)&gt;0,COUNTIF(#REF!,$B135)=0),"SKIP",IF(COUNTIFS(#REF!,$B135,#REF!,$DD135)&gt;0,"OK","ONBEKEND")),IF(AND($ER135=$EO135,$ES135=$EP135+1),IF(OR(COUNTIF(#REF!,$D135)&gt;0,COUNTIF(#REF!,$D135)=0),"SKIP",IF(COUNTIFS(#REF!,$D135,#REF!,$DD135)&gt;0,"OK","ONBEKEND")),"ONZEKER")))))</f>
        <v/>
      </c>
      <c r="DF135" t="str">
        <f t="shared" si="1058"/>
        <v/>
      </c>
      <c r="DG135" t="str">
        <f t="shared" si="1059"/>
        <v/>
      </c>
      <c r="DH135" t="str">
        <f>IF($DG135="","",IF(OR($EU135="",$EV135=""),"ONZEKER",IF(OR($ER135="",$ES135=""),"ONZEKER",IF(AND($EU135=$ER135+1,$EV135=$ES135),IF(OR(COUNTIF(#REF!,$B135)&gt;0,COUNTIF(#REF!,$B135)=0),"SKIP",IF(COUNTIFS(#REF!,$B135,#REF!,$DG135)&gt;0,"OK","ONBEKEND")),IF(AND($EU135=$ER135,$EV135=$ES135+1),IF(OR(COUNTIF(#REF!,$D135)&gt;0,COUNTIF(#REF!,$D135)=0),"SKIP",IF(COUNTIFS(#REF!,$D135,#REF!,$DG135)&gt;0,"OK","ONBEKEND")),"ONZEKER")))))</f>
        <v/>
      </c>
      <c r="DI135" t="str">
        <f t="shared" si="1060"/>
        <v/>
      </c>
      <c r="DJ135" t="str">
        <f t="shared" si="1061"/>
        <v/>
      </c>
      <c r="DK135" t="str">
        <f>IF($DJ135="","",IF(OR($EX135="",$EY135=""),"ONZEKER",IF(OR($EU135="",$EV135=""),"ONZEKER",IF(AND($EX135=$EU135+1,$EY135=$EV135),IF(OR(COUNTIF(#REF!,$B135)&gt;0,COUNTIF(#REF!,$B135)=0),"SKIP",IF(COUNTIFS(#REF!,$B135,#REF!,$DJ135)&gt;0,"OK","ONBEKEND")),IF(AND($EX135=$EU135,$EY135=$EV135+1),IF(OR(COUNTIF(#REF!,$D135)&gt;0,COUNTIF(#REF!,$D135)=0),"SKIP",IF(COUNTIFS(#REF!,$D135,#REF!,$DJ135)&gt;0,"OK","ONBEKEND")),"ONZEKER")))))</f>
        <v/>
      </c>
      <c r="DL135" t="str">
        <f t="shared" si="1062"/>
        <v/>
      </c>
      <c r="DM135" t="str">
        <f t="shared" si="1063"/>
        <v/>
      </c>
      <c r="DN135" t="str">
        <f t="shared" si="1064"/>
        <v/>
      </c>
      <c r="DO135" t="str">
        <f t="shared" si="1065"/>
        <v/>
      </c>
      <c r="DP135" t="str">
        <f t="shared" si="1066"/>
        <v/>
      </c>
      <c r="DQ135" t="str">
        <f t="shared" si="1067"/>
        <v/>
      </c>
      <c r="DR135" t="str">
        <f t="shared" si="1068"/>
        <v/>
      </c>
      <c r="DS135" t="str">
        <f t="shared" si="1069"/>
        <v/>
      </c>
      <c r="DT135" t="str">
        <f t="shared" si="1070"/>
        <v/>
      </c>
      <c r="DU135" t="str">
        <f t="shared" si="1071"/>
        <v/>
      </c>
      <c r="DV135" t="str">
        <f t="shared" si="1072"/>
        <v/>
      </c>
      <c r="DW135" t="str">
        <f t="shared" si="1073"/>
        <v/>
      </c>
      <c r="DX135" t="str">
        <f t="shared" si="1074"/>
        <v/>
      </c>
      <c r="DY135" t="str">
        <f t="shared" si="1075"/>
        <v/>
      </c>
      <c r="DZ135" t="str">
        <f t="shared" si="1076"/>
        <v/>
      </c>
      <c r="EA135" t="str">
        <f t="shared" si="1077"/>
        <v/>
      </c>
      <c r="EB135" t="str">
        <f t="shared" si="1078"/>
        <v/>
      </c>
      <c r="EC135" t="str">
        <f t="shared" si="1079"/>
        <v/>
      </c>
      <c r="ED135" t="str">
        <f t="shared" si="1080"/>
        <v/>
      </c>
      <c r="EE135" t="str">
        <f t="shared" si="1081"/>
        <v/>
      </c>
      <c r="EF135" t="str">
        <f t="shared" si="1082"/>
        <v/>
      </c>
      <c r="EG135" t="str">
        <f t="shared" si="1083"/>
        <v/>
      </c>
      <c r="EH135" t="str">
        <f t="shared" si="1084"/>
        <v/>
      </c>
      <c r="EI135" t="str">
        <f t="shared" si="1085"/>
        <v/>
      </c>
      <c r="EJ135" t="str">
        <f t="shared" si="1086"/>
        <v/>
      </c>
      <c r="EK135" t="str">
        <f t="shared" si="1087"/>
        <v/>
      </c>
      <c r="EL135" t="str">
        <f t="shared" si="1088"/>
        <v/>
      </c>
      <c r="EM135" t="str">
        <f t="shared" si="1089"/>
        <v/>
      </c>
      <c r="EN135" t="str">
        <f t="shared" si="1090"/>
        <v/>
      </c>
      <c r="EO135" t="str">
        <f t="shared" si="1091"/>
        <v/>
      </c>
      <c r="EP135" t="str">
        <f t="shared" si="1092"/>
        <v/>
      </c>
      <c r="EQ135" t="str">
        <f t="shared" si="1093"/>
        <v/>
      </c>
      <c r="ER135" t="str">
        <f t="shared" si="1094"/>
        <v/>
      </c>
      <c r="ES135" t="str">
        <f t="shared" si="1095"/>
        <v/>
      </c>
      <c r="ET135" t="str">
        <f t="shared" si="1096"/>
        <v/>
      </c>
      <c r="EU135" t="str">
        <f t="shared" si="1097"/>
        <v/>
      </c>
      <c r="EV135" t="str">
        <f t="shared" si="1098"/>
        <v/>
      </c>
      <c r="EW135" t="str">
        <f t="shared" si="1099"/>
        <v/>
      </c>
      <c r="EX135" t="str">
        <f t="shared" si="1100"/>
        <v/>
      </c>
      <c r="EY135" t="str">
        <f t="shared" si="1101"/>
        <v/>
      </c>
    </row>
    <row r="136" spans="1:155" ht="13.9" customHeight="1" x14ac:dyDescent="0.25">
      <c r="A136" s="7"/>
      <c r="B136" s="17"/>
      <c r="C136" s="8"/>
      <c r="D136" s="17"/>
      <c r="E136" s="8"/>
      <c r="F136" s="18">
        <v>0</v>
      </c>
      <c r="G136" s="7" t="s">
        <v>147</v>
      </c>
      <c r="H136" s="18">
        <v>0</v>
      </c>
      <c r="I136" s="19">
        <v>0</v>
      </c>
      <c r="J136" s="7" t="s">
        <v>147</v>
      </c>
      <c r="K136" s="19">
        <v>0</v>
      </c>
      <c r="L136" s="9"/>
      <c r="M136" s="3" t="str">
        <f>IF($L136="","",IF($L136="DOELPUNTENMAKERS","",IF(AND(COUNTIF(#REF!,$B136)=0,COUNTIF(#REF!,$D136)=0),"OK",IF($O136&gt;20,"LET OP: meer dan 20 items (controle onvolledig)",IF((COUNTIF($R136:$AS136,"ONZEKER")+COUNTIF($CJ136:$DK136,"ONZEKER"))&gt;0,"LET OP: scoreverloop onduidelijk (controle beperkt)",IF((IF($AT136&lt;&gt;"",$AT136&amp;", ","")&amp;IF($AU136&lt;&gt;"",$AU136&amp;", ","")&amp;IF($AV136&lt;&gt;"",$AV136&amp;", ","")&amp;IF($AW136&lt;&gt;"",$AW136&amp;", ","")&amp;IF($AX136&lt;&gt;"",$AX136&amp;", ","")&amp;IF($AY136&lt;&gt;"",$AY136&amp;", ","")&amp;IF($AZ136&lt;&gt;"",$AZ136&amp;", ","")&amp;IF($BA136&lt;&gt;"",$BA136&amp;", ","")&amp;IF($BB136&lt;&gt;"",$BB136&amp;", ","")&amp;IF($BC136&lt;&gt;"",$BC136&amp;", ","")&amp;IF($DL136&lt;&gt;"",$DL136&amp;", ","")&amp;IF($DM136&lt;&gt;"",$DM136&amp;", ","")&amp;IF($DN136&lt;&gt;"",$DN136&amp;", ","")&amp;IF($DO136&lt;&gt;"",$DO136&amp;", ","")&amp;IF($DP136&lt;&gt;"",$DP136&amp;", ","")&amp;IF($DQ136&lt;&gt;"",$DQ136&amp;", ","")&amp;IF($DR136&lt;&gt;"",$DR136&amp;", ","")&amp;IF($DS136&lt;&gt;"",$DS136&amp;", ","")&amp;IF($DT136&lt;&gt;"",$DT136&amp;", ","")&amp;IF($DU136&lt;&gt;"",$DU136&amp;", ",""))="","OK","Onbekend: "&amp;LEFT((IF($AT136&lt;&gt;"",$AT136&amp;", ","")&amp;IF($AU136&lt;&gt;"",$AU136&amp;", ","")&amp;IF($AV136&lt;&gt;"",$AV136&amp;", ","")&amp;IF($AW136&lt;&gt;"",$AW136&amp;", ","")&amp;IF($AX136&lt;&gt;"",$AX136&amp;", ","")&amp;IF($AY136&lt;&gt;"",$AY136&amp;", ","")&amp;IF($AZ136&lt;&gt;"",$AZ136&amp;", ","")&amp;IF($BA136&lt;&gt;"",$BA136&amp;", ","")&amp;IF($BB136&lt;&gt;"",$BB136&amp;", ","")&amp;IF($BC136&lt;&gt;"",$BC136&amp;", ","")&amp;IF($DL136&lt;&gt;"",$DL136&amp;", ","")&amp;IF($DM136&lt;&gt;"",$DM136&amp;", ","")&amp;IF($DN136&lt;&gt;"",$DN136&amp;", ","")&amp;IF($DO136&lt;&gt;"",$DO136&amp;", ","")&amp;IF($DP136&lt;&gt;"",$DP136&amp;", ","")&amp;IF($DQ136&lt;&gt;"",$DQ136&amp;", ","")&amp;IF($DR136&lt;&gt;"",$DR136&amp;", ","")&amp;IF($DS136&lt;&gt;"",$DS136&amp;", ","")&amp;IF($DT136&lt;&gt;"",$DT136&amp;", ","")&amp;IF($DU136&lt;&gt;"",$DU136&amp;", ","")),LEN((IF($AT136&lt;&gt;"",$AT136&amp;", ","")&amp;IF($AU136&lt;&gt;"",$AU136&amp;", ","")&amp;IF($AV136&lt;&gt;"",$AV136&amp;", ","")&amp;IF($AW136&lt;&gt;"",$AW136&amp;", ","")&amp;IF($AX136&lt;&gt;"",$AX136&amp;", ","")&amp;IF($AY136&lt;&gt;"",$AY136&amp;", ","")&amp;IF($AZ136&lt;&gt;"",$AZ136&amp;", ","")&amp;IF($BA136&lt;&gt;"",$BA136&amp;", ","")&amp;IF($BB136&lt;&gt;"",$BB136&amp;", ","")&amp;IF($BC136&lt;&gt;"",$BC136&amp;", ","")&amp;IF($DL136&lt;&gt;"",$DL136&amp;", ","")&amp;IF($DM136&lt;&gt;"",$DM136&amp;", ","")&amp;IF($DN136&lt;&gt;"",$DN136&amp;", ","")&amp;IF($DO136&lt;&gt;"",$DO136&amp;", ","")&amp;IF($DP136&lt;&gt;"",$DP136&amp;", ","")&amp;IF($DQ136&lt;&gt;"",$DQ136&amp;", ","")&amp;IF($DR136&lt;&gt;"",$DR136&amp;", ","")&amp;IF($DS136&lt;&gt;"",$DS136&amp;", ","")&amp;IF($DT136&lt;&gt;"",$DT136&amp;", ","")&amp;IF($DU136&lt;&gt;"",$DU136&amp;", ","")))-2)))))))</f>
        <v/>
      </c>
      <c r="N136" t="str">
        <f t="shared" si="1010"/>
        <v/>
      </c>
      <c r="O136" t="str">
        <f t="shared" si="1011"/>
        <v/>
      </c>
      <c r="P136" t="str">
        <f t="shared" si="1012"/>
        <v/>
      </c>
      <c r="Q136" t="str">
        <f t="shared" si="1013"/>
        <v/>
      </c>
      <c r="R136" t="str">
        <f>IF($Q136="","",IF(OR($BE136="",$BF136=""),"ONZEKER",IF(AND($BE136=0+1,$BF136=0),IF(OR(COUNTIF(#REF!,$B136)&gt;0,COUNTIF(#REF!,$B136)=0),"SKIP",IF(COUNTIFS(#REF!,$B136,#REF!,$Q136)&gt;0,"OK","ONBEKEND")),IF(AND($BE136=0,$BF136=0+1),IF(OR(COUNTIF(#REF!,$D136)&gt;0,COUNTIF(#REF!,$D136)=0),"SKIP",IF(COUNTIFS(#REF!,$D136,#REF!,$Q136)&gt;0,"OK","ONBEKEND")),"ONZEKER"))))</f>
        <v/>
      </c>
      <c r="S136" t="str">
        <f t="shared" si="1014"/>
        <v/>
      </c>
      <c r="T136" t="str">
        <f t="shared" si="1015"/>
        <v/>
      </c>
      <c r="U136" t="str">
        <f>IF($T136="","",IF(OR($BH136="",$BI136=""),"ONZEKER",IF(OR($BE136="",$BF136=""),"ONZEKER",IF(AND($BH136=$BE136+1,$BI136=$BF136),IF(OR(COUNTIF(#REF!,$B136)&gt;0,COUNTIF(#REF!,$B136)=0),"SKIP",IF(COUNTIFS(#REF!,$B136,#REF!,$T136)&gt;0,"OK","ONBEKEND")),IF(AND($BH136=$BE136,$BI136=$BF136+1),IF(OR(COUNTIF(#REF!,$D136)&gt;0,COUNTIF(#REF!,$D136)=0),"SKIP",IF(COUNTIFS(#REF!,$D136,#REF!,$T136)&gt;0,"OK","ONBEKEND")),"ONZEKER")))))</f>
        <v/>
      </c>
      <c r="V136" t="str">
        <f t="shared" si="1016"/>
        <v/>
      </c>
      <c r="W136" t="str">
        <f t="shared" si="1017"/>
        <v/>
      </c>
      <c r="X136" t="str">
        <f>IF($W136="","",IF(OR($BK136="",$BL136=""),"ONZEKER",IF(OR($BH136="",$BI136=""),"ONZEKER",IF(AND($BK136=$BH136+1,$BL136=$BI136),IF(OR(COUNTIF(#REF!,$B136)&gt;0,COUNTIF(#REF!,$B136)=0),"SKIP",IF(COUNTIFS(#REF!,$B136,#REF!,$W136)&gt;0,"OK","ONBEKEND")),IF(AND($BK136=$BH136,$BL136=$BI136+1),IF(OR(COUNTIF(#REF!,$D136)&gt;0,COUNTIF(#REF!,$D136)=0),"SKIP",IF(COUNTIFS(#REF!,$D136,#REF!,$W136)&gt;0,"OK","ONBEKEND")),"ONZEKER")))))</f>
        <v/>
      </c>
      <c r="Y136" t="str">
        <f t="shared" si="1018"/>
        <v/>
      </c>
      <c r="Z136" t="str">
        <f t="shared" si="1019"/>
        <v/>
      </c>
      <c r="AA136" t="str">
        <f>IF($Z136="","",IF(OR($BN136="",$BO136=""),"ONZEKER",IF(OR($BK136="",$BL136=""),"ONZEKER",IF(AND($BN136=$BK136+1,$BO136=$BL136),IF(OR(COUNTIF(#REF!,$B136)&gt;0,COUNTIF(#REF!,$B136)=0),"SKIP",IF(COUNTIFS(#REF!,$B136,#REF!,$Z136)&gt;0,"OK","ONBEKEND")),IF(AND($BN136=$BK136,$BO136=$BL136+1),IF(OR(COUNTIF(#REF!,$D136)&gt;0,COUNTIF(#REF!,$D136)=0),"SKIP",IF(COUNTIFS(#REF!,$D136,#REF!,$Z136)&gt;0,"OK","ONBEKEND")),"ONZEKER")))))</f>
        <v/>
      </c>
      <c r="AB136" t="str">
        <f t="shared" si="1020"/>
        <v/>
      </c>
      <c r="AC136" t="str">
        <f t="shared" si="1021"/>
        <v/>
      </c>
      <c r="AD136" t="str">
        <f>IF($AC136="","",IF(OR($BQ136="",$BR136=""),"ONZEKER",IF(OR($BN136="",$BO136=""),"ONZEKER",IF(AND($BQ136=$BN136+1,$BR136=$BO136),IF(OR(COUNTIF(#REF!,$B136)&gt;0,COUNTIF(#REF!,$B136)=0),"SKIP",IF(COUNTIFS(#REF!,$B136,#REF!,$AC136)&gt;0,"OK","ONBEKEND")),IF(AND($BQ136=$BN136,$BR136=$BO136+1),IF(OR(COUNTIF(#REF!,$D136)&gt;0,COUNTIF(#REF!,$D136)=0),"SKIP",IF(COUNTIFS(#REF!,$D136,#REF!,$AC136)&gt;0,"OK","ONBEKEND")),"ONZEKER")))))</f>
        <v/>
      </c>
      <c r="AE136" t="str">
        <f t="shared" si="1022"/>
        <v/>
      </c>
      <c r="AF136" t="str">
        <f t="shared" si="1023"/>
        <v/>
      </c>
      <c r="AG136" t="str">
        <f>IF($AF136="","",IF(OR($BT136="",$BU136=""),"ONZEKER",IF(OR($BQ136="",$BR136=""),"ONZEKER",IF(AND($BT136=$BQ136+1,$BU136=$BR136),IF(OR(COUNTIF(#REF!,$B136)&gt;0,COUNTIF(#REF!,$B136)=0),"SKIP",IF(COUNTIFS(#REF!,$B136,#REF!,$AF136)&gt;0,"OK","ONBEKEND")),IF(AND($BT136=$BQ136,$BU136=$BR136+1),IF(OR(COUNTIF(#REF!,$D136)&gt;0,COUNTIF(#REF!,$D136)=0),"SKIP",IF(COUNTIFS(#REF!,$D136,#REF!,$AF136)&gt;0,"OK","ONBEKEND")),"ONZEKER")))))</f>
        <v/>
      </c>
      <c r="AH136" t="str">
        <f t="shared" si="1024"/>
        <v/>
      </c>
      <c r="AI136" t="str">
        <f t="shared" si="1025"/>
        <v/>
      </c>
      <c r="AJ136" t="str">
        <f>IF($AI136="","",IF(OR($BW136="",$BX136=""),"ONZEKER",IF(OR($BT136="",$BU136=""),"ONZEKER",IF(AND($BW136=$BT136+1,$BX136=$BU136),IF(OR(COUNTIF(#REF!,$B136)&gt;0,COUNTIF(#REF!,$B136)=0),"SKIP",IF(COUNTIFS(#REF!,$B136,#REF!,$AI136)&gt;0,"OK","ONBEKEND")),IF(AND($BW136=$BT136,$BX136=$BU136+1),IF(OR(COUNTIF(#REF!,$D136)&gt;0,COUNTIF(#REF!,$D136)=0),"SKIP",IF(COUNTIFS(#REF!,$D136,#REF!,$AI136)&gt;0,"OK","ONBEKEND")),"ONZEKER")))))</f>
        <v/>
      </c>
      <c r="AK136" t="str">
        <f t="shared" si="1026"/>
        <v/>
      </c>
      <c r="AL136" t="str">
        <f t="shared" si="1027"/>
        <v/>
      </c>
      <c r="AM136" t="str">
        <f>IF($AL136="","",IF(OR($BZ136="",$CA136=""),"ONZEKER",IF(OR($BW136="",$BX136=""),"ONZEKER",IF(AND($BZ136=$BW136+1,$CA136=$BX136),IF(OR(COUNTIF(#REF!,$B136)&gt;0,COUNTIF(#REF!,$B136)=0),"SKIP",IF(COUNTIFS(#REF!,$B136,#REF!,$AL136)&gt;0,"OK","ONBEKEND")),IF(AND($BZ136=$BW136,$CA136=$BX136+1),IF(OR(COUNTIF(#REF!,$D136)&gt;0,COUNTIF(#REF!,$D136)=0),"SKIP",IF(COUNTIFS(#REF!,$D136,#REF!,$AL136)&gt;0,"OK","ONBEKEND")),"ONZEKER")))))</f>
        <v/>
      </c>
      <c r="AN136" t="str">
        <f t="shared" si="1028"/>
        <v/>
      </c>
      <c r="AO136" t="str">
        <f t="shared" si="1029"/>
        <v/>
      </c>
      <c r="AP136" t="str">
        <f>IF($AO136="","",IF(OR($CC136="",$CD136=""),"ONZEKER",IF(OR($BZ136="",$CA136=""),"ONZEKER",IF(AND($CC136=$BZ136+1,$CD136=$CA136),IF(OR(COUNTIF(#REF!,$B136)&gt;0,COUNTIF(#REF!,$B136)=0),"SKIP",IF(COUNTIFS(#REF!,$B136,#REF!,$AO136)&gt;0,"OK","ONBEKEND")),IF(AND($CC136=$BZ136,$CD136=$CA136+1),IF(OR(COUNTIF(#REF!,$D136)&gt;0,COUNTIF(#REF!,$D136)=0),"SKIP",IF(COUNTIFS(#REF!,$D136,#REF!,$AO136)&gt;0,"OK","ONBEKEND")),"ONZEKER")))))</f>
        <v/>
      </c>
      <c r="AQ136" t="str">
        <f t="shared" si="1030"/>
        <v/>
      </c>
      <c r="AR136" t="str">
        <f t="shared" si="1031"/>
        <v/>
      </c>
      <c r="AS136" t="str">
        <f>IF($AR136="","",IF(OR($CF136="",$CG136=""),"ONZEKER",IF(OR($CC136="",$CD136=""),"ONZEKER",IF(AND($CF136=$CC136+1,$CG136=$CD136),IF(OR(COUNTIF(#REF!,$B136)&gt;0,COUNTIF(#REF!,$B136)=0),"SKIP",IF(COUNTIFS(#REF!,$B136,#REF!,$AR136)&gt;0,"OK","ONBEKEND")),IF(AND($CF136=$CC136,$CG136=$CD136+1),IF(OR(COUNTIF(#REF!,$D136)&gt;0,COUNTIF(#REF!,$D136)=0),"SKIP",IF(COUNTIFS(#REF!,$D136,#REF!,$AR136)&gt;0,"OK","ONBEKEND")),"ONZEKER")))))</f>
        <v/>
      </c>
      <c r="AT136" t="str">
        <f t="shared" si="1032"/>
        <v/>
      </c>
      <c r="AU136" t="str">
        <f t="shared" si="1033"/>
        <v/>
      </c>
      <c r="AV136" t="str">
        <f t="shared" si="1034"/>
        <v/>
      </c>
      <c r="AW136" t="str">
        <f t="shared" si="1035"/>
        <v/>
      </c>
      <c r="AX136" t="str">
        <f t="shared" si="1036"/>
        <v/>
      </c>
      <c r="AY136" t="str">
        <f t="shared" si="1037"/>
        <v/>
      </c>
      <c r="AZ136" t="str">
        <f t="shared" si="1038"/>
        <v/>
      </c>
      <c r="BA136" t="str">
        <f t="shared" si="1039"/>
        <v/>
      </c>
      <c r="BB136" t="str">
        <f t="shared" si="1040"/>
        <v/>
      </c>
      <c r="BC136" t="str">
        <f t="shared" si="1041"/>
        <v/>
      </c>
      <c r="BD136" t="str">
        <f t="shared" si="980"/>
        <v/>
      </c>
      <c r="BE136" t="str">
        <f t="shared" si="981"/>
        <v/>
      </c>
      <c r="BF136" t="str">
        <f t="shared" si="982"/>
        <v/>
      </c>
      <c r="BG136" t="str">
        <f t="shared" si="983"/>
        <v/>
      </c>
      <c r="BH136" t="str">
        <f t="shared" si="984"/>
        <v/>
      </c>
      <c r="BI136" t="str">
        <f t="shared" si="985"/>
        <v/>
      </c>
      <c r="BJ136" t="str">
        <f t="shared" si="986"/>
        <v/>
      </c>
      <c r="BK136" t="str">
        <f t="shared" si="987"/>
        <v/>
      </c>
      <c r="BL136" t="str">
        <f t="shared" si="988"/>
        <v/>
      </c>
      <c r="BM136" t="str">
        <f t="shared" si="989"/>
        <v/>
      </c>
      <c r="BN136" t="str">
        <f t="shared" si="990"/>
        <v/>
      </c>
      <c r="BO136" t="str">
        <f t="shared" si="991"/>
        <v/>
      </c>
      <c r="BP136" t="str">
        <f t="shared" si="992"/>
        <v/>
      </c>
      <c r="BQ136" t="str">
        <f t="shared" si="993"/>
        <v/>
      </c>
      <c r="BR136" t="str">
        <f t="shared" si="994"/>
        <v/>
      </c>
      <c r="BS136" t="str">
        <f t="shared" si="995"/>
        <v/>
      </c>
      <c r="BT136" t="str">
        <f t="shared" si="996"/>
        <v/>
      </c>
      <c r="BU136" t="str">
        <f t="shared" si="997"/>
        <v/>
      </c>
      <c r="BV136" t="str">
        <f t="shared" si="998"/>
        <v/>
      </c>
      <c r="BW136" t="str">
        <f t="shared" si="999"/>
        <v/>
      </c>
      <c r="BX136" t="str">
        <f t="shared" si="1000"/>
        <v/>
      </c>
      <c r="BY136" t="str">
        <f t="shared" si="1001"/>
        <v/>
      </c>
      <c r="BZ136" t="str">
        <f t="shared" si="1002"/>
        <v/>
      </c>
      <c r="CA136" t="str">
        <f t="shared" si="1003"/>
        <v/>
      </c>
      <c r="CB136" t="str">
        <f t="shared" si="1004"/>
        <v/>
      </c>
      <c r="CC136" t="str">
        <f t="shared" si="1005"/>
        <v/>
      </c>
      <c r="CD136" t="str">
        <f t="shared" si="1006"/>
        <v/>
      </c>
      <c r="CE136" t="str">
        <f t="shared" si="1007"/>
        <v/>
      </c>
      <c r="CF136" t="str">
        <f t="shared" si="1008"/>
        <v/>
      </c>
      <c r="CG136" t="str">
        <f t="shared" si="1009"/>
        <v/>
      </c>
      <c r="CH136" t="str">
        <f t="shared" si="1042"/>
        <v/>
      </c>
      <c r="CI136" t="str">
        <f t="shared" si="1043"/>
        <v/>
      </c>
      <c r="CJ136" t="str">
        <f>IF($CI136="","",IF(OR($DW136="",$DX136=""),"ONZEKER",IF(OR($CF136="",$CG136=""),"ONZEKER",IF(AND($DW136=$CF136+1,$DX136=$CG136),IF(OR(COUNTIF(#REF!,$B136)&gt;0,COUNTIF(#REF!,$B136)=0),"SKIP",IF(COUNTIFS(#REF!,$B136,#REF!,$CI136)&gt;0,"OK","ONBEKEND")),IF(AND($DW136=$CF136,$DX136=$CG136+1),IF(OR(COUNTIF(#REF!,$D136)&gt;0,COUNTIF(#REF!,$D136)=0),"SKIP",IF(COUNTIFS(#REF!,$D136,#REF!,$CI136)&gt;0,"OK","ONBEKEND")),"ONZEKER")))))</f>
        <v/>
      </c>
      <c r="CK136" t="str">
        <f t="shared" si="1044"/>
        <v/>
      </c>
      <c r="CL136" t="str">
        <f t="shared" si="1045"/>
        <v/>
      </c>
      <c r="CM136" t="str">
        <f>IF($CL136="","",IF(OR($DZ136="",$EA136=""),"ONZEKER",IF(OR($DW136="",$DX136=""),"ONZEKER",IF(AND($DZ136=$DW136+1,$EA136=$DX136),IF(OR(COUNTIF(#REF!,$B136)&gt;0,COUNTIF(#REF!,$B136)=0),"SKIP",IF(COUNTIFS(#REF!,$B136,#REF!,$CL136)&gt;0,"OK","ONBEKEND")),IF(AND($DZ136=$DW136,$EA136=$DX136+1),IF(OR(COUNTIF(#REF!,$D136)&gt;0,COUNTIF(#REF!,$D136)=0),"SKIP",IF(COUNTIFS(#REF!,$D136,#REF!,$CL136)&gt;0,"OK","ONBEKEND")),"ONZEKER")))))</f>
        <v/>
      </c>
      <c r="CN136" t="str">
        <f t="shared" si="1046"/>
        <v/>
      </c>
      <c r="CO136" t="str">
        <f t="shared" si="1047"/>
        <v/>
      </c>
      <c r="CP136" t="str">
        <f>IF($CO136="","",IF(OR($EC136="",$ED136=""),"ONZEKER",IF(OR($DZ136="",$EA136=""),"ONZEKER",IF(AND($EC136=$DZ136+1,$ED136=$EA136),IF(OR(COUNTIF(#REF!,$B136)&gt;0,COUNTIF(#REF!,$B136)=0),"SKIP",IF(COUNTIFS(#REF!,$B136,#REF!,$CO136)&gt;0,"OK","ONBEKEND")),IF(AND($EC136=$DZ136,$ED136=$EA136+1),IF(OR(COUNTIF(#REF!,$D136)&gt;0,COUNTIF(#REF!,$D136)=0),"SKIP",IF(COUNTIFS(#REF!,$D136,#REF!,$CO136)&gt;0,"OK","ONBEKEND")),"ONZEKER")))))</f>
        <v/>
      </c>
      <c r="CQ136" t="str">
        <f t="shared" si="1048"/>
        <v/>
      </c>
      <c r="CR136" t="str">
        <f t="shared" si="1049"/>
        <v/>
      </c>
      <c r="CS136" t="str">
        <f>IF($CR136="","",IF(OR($EF136="",$EG136=""),"ONZEKER",IF(OR($EC136="",$ED136=""),"ONZEKER",IF(AND($EF136=$EC136+1,$EG136=$ED136),IF(OR(COUNTIF(#REF!,$B136)&gt;0,COUNTIF(#REF!,$B136)=0),"SKIP",IF(COUNTIFS(#REF!,$B136,#REF!,$CR136)&gt;0,"OK","ONBEKEND")),IF(AND($EF136=$EC136,$EG136=$ED136+1),IF(OR(COUNTIF(#REF!,$D136)&gt;0,COUNTIF(#REF!,$D136)=0),"SKIP",IF(COUNTIFS(#REF!,$D136,#REF!,$CR136)&gt;0,"OK","ONBEKEND")),"ONZEKER")))))</f>
        <v/>
      </c>
      <c r="CT136" t="str">
        <f t="shared" si="1050"/>
        <v/>
      </c>
      <c r="CU136" t="str">
        <f t="shared" si="1051"/>
        <v/>
      </c>
      <c r="CV136" t="str">
        <f>IF($CU136="","",IF(OR($EI136="",$EJ136=""),"ONZEKER",IF(OR($EF136="",$EG136=""),"ONZEKER",IF(AND($EI136=$EF136+1,$EJ136=$EG136),IF(OR(COUNTIF(#REF!,$B136)&gt;0,COUNTIF(#REF!,$B136)=0),"SKIP",IF(COUNTIFS(#REF!,$B136,#REF!,$CU136)&gt;0,"OK","ONBEKEND")),IF(AND($EI136=$EF136,$EJ136=$EG136+1),IF(OR(COUNTIF(#REF!,$D136)&gt;0,COUNTIF(#REF!,$D136)=0),"SKIP",IF(COUNTIFS(#REF!,$D136,#REF!,$CU136)&gt;0,"OK","ONBEKEND")),"ONZEKER")))))</f>
        <v/>
      </c>
      <c r="CW136" t="str">
        <f t="shared" si="1052"/>
        <v/>
      </c>
      <c r="CX136" t="str">
        <f t="shared" si="1053"/>
        <v/>
      </c>
      <c r="CY136" t="str">
        <f>IF($CX136="","",IF(OR($EL136="",$EM136=""),"ONZEKER",IF(OR($EI136="",$EJ136=""),"ONZEKER",IF(AND($EL136=$EI136+1,$EM136=$EJ136),IF(OR(COUNTIF(#REF!,$B136)&gt;0,COUNTIF(#REF!,$B136)=0),"SKIP",IF(COUNTIFS(#REF!,$B136,#REF!,$CX136)&gt;0,"OK","ONBEKEND")),IF(AND($EL136=$EI136,$EM136=$EJ136+1),IF(OR(COUNTIF(#REF!,$D136)&gt;0,COUNTIF(#REF!,$D136)=0),"SKIP",IF(COUNTIFS(#REF!,$D136,#REF!,$CX136)&gt;0,"OK","ONBEKEND")),"ONZEKER")))))</f>
        <v/>
      </c>
      <c r="CZ136" t="str">
        <f t="shared" si="1054"/>
        <v/>
      </c>
      <c r="DA136" t="str">
        <f t="shared" si="1055"/>
        <v/>
      </c>
      <c r="DB136" t="str">
        <f>IF($DA136="","",IF(OR($EO136="",$EP136=""),"ONZEKER",IF(OR($EL136="",$EM136=""),"ONZEKER",IF(AND($EO136=$EL136+1,$EP136=$EM136),IF(OR(COUNTIF(#REF!,$B136)&gt;0,COUNTIF(#REF!,$B136)=0),"SKIP",IF(COUNTIFS(#REF!,$B136,#REF!,$DA136)&gt;0,"OK","ONBEKEND")),IF(AND($EO136=$EL136,$EP136=$EM136+1),IF(OR(COUNTIF(#REF!,$D136)&gt;0,COUNTIF(#REF!,$D136)=0),"SKIP",IF(COUNTIFS(#REF!,$D136,#REF!,$DA136)&gt;0,"OK","ONBEKEND")),"ONZEKER")))))</f>
        <v/>
      </c>
      <c r="DC136" t="str">
        <f t="shared" si="1056"/>
        <v/>
      </c>
      <c r="DD136" t="str">
        <f t="shared" si="1057"/>
        <v/>
      </c>
      <c r="DE136" t="str">
        <f>IF($DD136="","",IF(OR($ER136="",$ES136=""),"ONZEKER",IF(OR($EO136="",$EP136=""),"ONZEKER",IF(AND($ER136=$EO136+1,$ES136=$EP136),IF(OR(COUNTIF(#REF!,$B136)&gt;0,COUNTIF(#REF!,$B136)=0),"SKIP",IF(COUNTIFS(#REF!,$B136,#REF!,$DD136)&gt;0,"OK","ONBEKEND")),IF(AND($ER136=$EO136,$ES136=$EP136+1),IF(OR(COUNTIF(#REF!,$D136)&gt;0,COUNTIF(#REF!,$D136)=0),"SKIP",IF(COUNTIFS(#REF!,$D136,#REF!,$DD136)&gt;0,"OK","ONBEKEND")),"ONZEKER")))))</f>
        <v/>
      </c>
      <c r="DF136" t="str">
        <f t="shared" si="1058"/>
        <v/>
      </c>
      <c r="DG136" t="str">
        <f t="shared" si="1059"/>
        <v/>
      </c>
      <c r="DH136" t="str">
        <f>IF($DG136="","",IF(OR($EU136="",$EV136=""),"ONZEKER",IF(OR($ER136="",$ES136=""),"ONZEKER",IF(AND($EU136=$ER136+1,$EV136=$ES136),IF(OR(COUNTIF(#REF!,$B136)&gt;0,COUNTIF(#REF!,$B136)=0),"SKIP",IF(COUNTIFS(#REF!,$B136,#REF!,$DG136)&gt;0,"OK","ONBEKEND")),IF(AND($EU136=$ER136,$EV136=$ES136+1),IF(OR(COUNTIF(#REF!,$D136)&gt;0,COUNTIF(#REF!,$D136)=0),"SKIP",IF(COUNTIFS(#REF!,$D136,#REF!,$DG136)&gt;0,"OK","ONBEKEND")),"ONZEKER")))))</f>
        <v/>
      </c>
      <c r="DI136" t="str">
        <f t="shared" si="1060"/>
        <v/>
      </c>
      <c r="DJ136" t="str">
        <f t="shared" si="1061"/>
        <v/>
      </c>
      <c r="DK136" t="str">
        <f>IF($DJ136="","",IF(OR($EX136="",$EY136=""),"ONZEKER",IF(OR($EU136="",$EV136=""),"ONZEKER",IF(AND($EX136=$EU136+1,$EY136=$EV136),IF(OR(COUNTIF(#REF!,$B136)&gt;0,COUNTIF(#REF!,$B136)=0),"SKIP",IF(COUNTIFS(#REF!,$B136,#REF!,$DJ136)&gt;0,"OK","ONBEKEND")),IF(AND($EX136=$EU136,$EY136=$EV136+1),IF(OR(COUNTIF(#REF!,$D136)&gt;0,COUNTIF(#REF!,$D136)=0),"SKIP",IF(COUNTIFS(#REF!,$D136,#REF!,$DJ136)&gt;0,"OK","ONBEKEND")),"ONZEKER")))))</f>
        <v/>
      </c>
      <c r="DL136" t="str">
        <f t="shared" si="1062"/>
        <v/>
      </c>
      <c r="DM136" t="str">
        <f t="shared" si="1063"/>
        <v/>
      </c>
      <c r="DN136" t="str">
        <f t="shared" si="1064"/>
        <v/>
      </c>
      <c r="DO136" t="str">
        <f t="shared" si="1065"/>
        <v/>
      </c>
      <c r="DP136" t="str">
        <f t="shared" si="1066"/>
        <v/>
      </c>
      <c r="DQ136" t="str">
        <f t="shared" si="1067"/>
        <v/>
      </c>
      <c r="DR136" t="str">
        <f t="shared" si="1068"/>
        <v/>
      </c>
      <c r="DS136" t="str">
        <f t="shared" si="1069"/>
        <v/>
      </c>
      <c r="DT136" t="str">
        <f t="shared" si="1070"/>
        <v/>
      </c>
      <c r="DU136" t="str">
        <f t="shared" si="1071"/>
        <v/>
      </c>
      <c r="DV136" t="str">
        <f t="shared" si="1072"/>
        <v/>
      </c>
      <c r="DW136" t="str">
        <f t="shared" si="1073"/>
        <v/>
      </c>
      <c r="DX136" t="str">
        <f t="shared" si="1074"/>
        <v/>
      </c>
      <c r="DY136" t="str">
        <f t="shared" si="1075"/>
        <v/>
      </c>
      <c r="DZ136" t="str">
        <f t="shared" si="1076"/>
        <v/>
      </c>
      <c r="EA136" t="str">
        <f t="shared" si="1077"/>
        <v/>
      </c>
      <c r="EB136" t="str">
        <f t="shared" si="1078"/>
        <v/>
      </c>
      <c r="EC136" t="str">
        <f t="shared" si="1079"/>
        <v/>
      </c>
      <c r="ED136" t="str">
        <f t="shared" si="1080"/>
        <v/>
      </c>
      <c r="EE136" t="str">
        <f t="shared" si="1081"/>
        <v/>
      </c>
      <c r="EF136" t="str">
        <f t="shared" si="1082"/>
        <v/>
      </c>
      <c r="EG136" t="str">
        <f t="shared" si="1083"/>
        <v/>
      </c>
      <c r="EH136" t="str">
        <f t="shared" si="1084"/>
        <v/>
      </c>
      <c r="EI136" t="str">
        <f t="shared" si="1085"/>
        <v/>
      </c>
      <c r="EJ136" t="str">
        <f t="shared" si="1086"/>
        <v/>
      </c>
      <c r="EK136" t="str">
        <f t="shared" si="1087"/>
        <v/>
      </c>
      <c r="EL136" t="str">
        <f t="shared" si="1088"/>
        <v/>
      </c>
      <c r="EM136" t="str">
        <f t="shared" si="1089"/>
        <v/>
      </c>
      <c r="EN136" t="str">
        <f t="shared" si="1090"/>
        <v/>
      </c>
      <c r="EO136" t="str">
        <f t="shared" si="1091"/>
        <v/>
      </c>
      <c r="EP136" t="str">
        <f t="shared" si="1092"/>
        <v/>
      </c>
      <c r="EQ136" t="str">
        <f t="shared" si="1093"/>
        <v/>
      </c>
      <c r="ER136" t="str">
        <f t="shared" si="1094"/>
        <v/>
      </c>
      <c r="ES136" t="str">
        <f t="shared" si="1095"/>
        <v/>
      </c>
      <c r="ET136" t="str">
        <f t="shared" si="1096"/>
        <v/>
      </c>
      <c r="EU136" t="str">
        <f t="shared" si="1097"/>
        <v/>
      </c>
      <c r="EV136" t="str">
        <f t="shared" si="1098"/>
        <v/>
      </c>
      <c r="EW136" t="str">
        <f t="shared" si="1099"/>
        <v/>
      </c>
      <c r="EX136" t="str">
        <f t="shared" si="1100"/>
        <v/>
      </c>
      <c r="EY136" t="str">
        <f t="shared" si="1101"/>
        <v/>
      </c>
    </row>
    <row r="137" spans="1:155" ht="13.9" customHeight="1" x14ac:dyDescent="0.25">
      <c r="A137" s="7"/>
      <c r="B137" s="17"/>
      <c r="C137" s="8"/>
      <c r="D137" s="17"/>
      <c r="E137" s="8"/>
      <c r="F137" s="18">
        <v>0</v>
      </c>
      <c r="G137" s="7" t="s">
        <v>147</v>
      </c>
      <c r="H137" s="18">
        <v>0</v>
      </c>
      <c r="I137" s="19">
        <v>0</v>
      </c>
      <c r="J137" s="7" t="s">
        <v>147</v>
      </c>
      <c r="K137" s="19">
        <v>0</v>
      </c>
      <c r="L137" s="9"/>
      <c r="M137" s="3" t="str">
        <f>IF($L137="","",IF($L137="DOELPUNTENMAKERS","",IF(AND(COUNTIF(#REF!,$B137)=0,COUNTIF(#REF!,$D137)=0),"OK",IF($O137&gt;20,"LET OP: meer dan 20 items (controle onvolledig)",IF((COUNTIF($R137:$AS137,"ONZEKER")+COUNTIF($CJ137:$DK137,"ONZEKER"))&gt;0,"LET OP: scoreverloop onduidelijk (controle beperkt)",IF((IF($AT137&lt;&gt;"",$AT137&amp;", ","")&amp;IF($AU137&lt;&gt;"",$AU137&amp;", ","")&amp;IF($AV137&lt;&gt;"",$AV137&amp;", ","")&amp;IF($AW137&lt;&gt;"",$AW137&amp;", ","")&amp;IF($AX137&lt;&gt;"",$AX137&amp;", ","")&amp;IF($AY137&lt;&gt;"",$AY137&amp;", ","")&amp;IF($AZ137&lt;&gt;"",$AZ137&amp;", ","")&amp;IF($BA137&lt;&gt;"",$BA137&amp;", ","")&amp;IF($BB137&lt;&gt;"",$BB137&amp;", ","")&amp;IF($BC137&lt;&gt;"",$BC137&amp;", ","")&amp;IF($DL137&lt;&gt;"",$DL137&amp;", ","")&amp;IF($DM137&lt;&gt;"",$DM137&amp;", ","")&amp;IF($DN137&lt;&gt;"",$DN137&amp;", ","")&amp;IF($DO137&lt;&gt;"",$DO137&amp;", ","")&amp;IF($DP137&lt;&gt;"",$DP137&amp;", ","")&amp;IF($DQ137&lt;&gt;"",$DQ137&amp;", ","")&amp;IF($DR137&lt;&gt;"",$DR137&amp;", ","")&amp;IF($DS137&lt;&gt;"",$DS137&amp;", ","")&amp;IF($DT137&lt;&gt;"",$DT137&amp;", ","")&amp;IF($DU137&lt;&gt;"",$DU137&amp;", ",""))="","OK","Onbekend: "&amp;LEFT((IF($AT137&lt;&gt;"",$AT137&amp;", ","")&amp;IF($AU137&lt;&gt;"",$AU137&amp;", ","")&amp;IF($AV137&lt;&gt;"",$AV137&amp;", ","")&amp;IF($AW137&lt;&gt;"",$AW137&amp;", ","")&amp;IF($AX137&lt;&gt;"",$AX137&amp;", ","")&amp;IF($AY137&lt;&gt;"",$AY137&amp;", ","")&amp;IF($AZ137&lt;&gt;"",$AZ137&amp;", ","")&amp;IF($BA137&lt;&gt;"",$BA137&amp;", ","")&amp;IF($BB137&lt;&gt;"",$BB137&amp;", ","")&amp;IF($BC137&lt;&gt;"",$BC137&amp;", ","")&amp;IF($DL137&lt;&gt;"",$DL137&amp;", ","")&amp;IF($DM137&lt;&gt;"",$DM137&amp;", ","")&amp;IF($DN137&lt;&gt;"",$DN137&amp;", ","")&amp;IF($DO137&lt;&gt;"",$DO137&amp;", ","")&amp;IF($DP137&lt;&gt;"",$DP137&amp;", ","")&amp;IF($DQ137&lt;&gt;"",$DQ137&amp;", ","")&amp;IF($DR137&lt;&gt;"",$DR137&amp;", ","")&amp;IF($DS137&lt;&gt;"",$DS137&amp;", ","")&amp;IF($DT137&lt;&gt;"",$DT137&amp;", ","")&amp;IF($DU137&lt;&gt;"",$DU137&amp;", ","")),LEN((IF($AT137&lt;&gt;"",$AT137&amp;", ","")&amp;IF($AU137&lt;&gt;"",$AU137&amp;", ","")&amp;IF($AV137&lt;&gt;"",$AV137&amp;", ","")&amp;IF($AW137&lt;&gt;"",$AW137&amp;", ","")&amp;IF($AX137&lt;&gt;"",$AX137&amp;", ","")&amp;IF($AY137&lt;&gt;"",$AY137&amp;", ","")&amp;IF($AZ137&lt;&gt;"",$AZ137&amp;", ","")&amp;IF($BA137&lt;&gt;"",$BA137&amp;", ","")&amp;IF($BB137&lt;&gt;"",$BB137&amp;", ","")&amp;IF($BC137&lt;&gt;"",$BC137&amp;", ","")&amp;IF($DL137&lt;&gt;"",$DL137&amp;", ","")&amp;IF($DM137&lt;&gt;"",$DM137&amp;", ","")&amp;IF($DN137&lt;&gt;"",$DN137&amp;", ","")&amp;IF($DO137&lt;&gt;"",$DO137&amp;", ","")&amp;IF($DP137&lt;&gt;"",$DP137&amp;", ","")&amp;IF($DQ137&lt;&gt;"",$DQ137&amp;", ","")&amp;IF($DR137&lt;&gt;"",$DR137&amp;", ","")&amp;IF($DS137&lt;&gt;"",$DS137&amp;", ","")&amp;IF($DT137&lt;&gt;"",$DT137&amp;", ","")&amp;IF($DU137&lt;&gt;"",$DU137&amp;", ","")))-2)))))))</f>
        <v/>
      </c>
      <c r="N137" t="str">
        <f t="shared" si="1010"/>
        <v/>
      </c>
      <c r="O137" t="str">
        <f t="shared" si="1011"/>
        <v/>
      </c>
      <c r="P137" t="str">
        <f t="shared" si="1012"/>
        <v/>
      </c>
      <c r="Q137" t="str">
        <f t="shared" si="1013"/>
        <v/>
      </c>
      <c r="R137" t="str">
        <f>IF($Q137="","",IF(OR($BE137="",$BF137=""),"ONZEKER",IF(AND($BE137=0+1,$BF137=0),IF(OR(COUNTIF(#REF!,$B137)&gt;0,COUNTIF(#REF!,$B137)=0),"SKIP",IF(COUNTIFS(#REF!,$B137,#REF!,$Q137)&gt;0,"OK","ONBEKEND")),IF(AND($BE137=0,$BF137=0+1),IF(OR(COUNTIF(#REF!,$D137)&gt;0,COUNTIF(#REF!,$D137)=0),"SKIP",IF(COUNTIFS(#REF!,$D137,#REF!,$Q137)&gt;0,"OK","ONBEKEND")),"ONZEKER"))))</f>
        <v/>
      </c>
      <c r="S137" t="str">
        <f t="shared" si="1014"/>
        <v/>
      </c>
      <c r="T137" t="str">
        <f t="shared" si="1015"/>
        <v/>
      </c>
      <c r="U137" t="str">
        <f>IF($T137="","",IF(OR($BH137="",$BI137=""),"ONZEKER",IF(OR($BE137="",$BF137=""),"ONZEKER",IF(AND($BH137=$BE137+1,$BI137=$BF137),IF(OR(COUNTIF(#REF!,$B137)&gt;0,COUNTIF(#REF!,$B137)=0),"SKIP",IF(COUNTIFS(#REF!,$B137,#REF!,$T137)&gt;0,"OK","ONBEKEND")),IF(AND($BH137=$BE137,$BI137=$BF137+1),IF(OR(COUNTIF(#REF!,$D137)&gt;0,COUNTIF(#REF!,$D137)=0),"SKIP",IF(COUNTIFS(#REF!,$D137,#REF!,$T137)&gt;0,"OK","ONBEKEND")),"ONZEKER")))))</f>
        <v/>
      </c>
      <c r="V137" t="str">
        <f t="shared" si="1016"/>
        <v/>
      </c>
      <c r="W137" t="str">
        <f t="shared" si="1017"/>
        <v/>
      </c>
      <c r="X137" t="str">
        <f>IF($W137="","",IF(OR($BK137="",$BL137=""),"ONZEKER",IF(OR($BH137="",$BI137=""),"ONZEKER",IF(AND($BK137=$BH137+1,$BL137=$BI137),IF(OR(COUNTIF(#REF!,$B137)&gt;0,COUNTIF(#REF!,$B137)=0),"SKIP",IF(COUNTIFS(#REF!,$B137,#REF!,$W137)&gt;0,"OK","ONBEKEND")),IF(AND($BK137=$BH137,$BL137=$BI137+1),IF(OR(COUNTIF(#REF!,$D137)&gt;0,COUNTIF(#REF!,$D137)=0),"SKIP",IF(COUNTIFS(#REF!,$D137,#REF!,$W137)&gt;0,"OK","ONBEKEND")),"ONZEKER")))))</f>
        <v/>
      </c>
      <c r="Y137" t="str">
        <f t="shared" si="1018"/>
        <v/>
      </c>
      <c r="Z137" t="str">
        <f t="shared" si="1019"/>
        <v/>
      </c>
      <c r="AA137" t="str">
        <f>IF($Z137="","",IF(OR($BN137="",$BO137=""),"ONZEKER",IF(OR($BK137="",$BL137=""),"ONZEKER",IF(AND($BN137=$BK137+1,$BO137=$BL137),IF(OR(COUNTIF(#REF!,$B137)&gt;0,COUNTIF(#REF!,$B137)=0),"SKIP",IF(COUNTIFS(#REF!,$B137,#REF!,$Z137)&gt;0,"OK","ONBEKEND")),IF(AND($BN137=$BK137,$BO137=$BL137+1),IF(OR(COUNTIF(#REF!,$D137)&gt;0,COUNTIF(#REF!,$D137)=0),"SKIP",IF(COUNTIFS(#REF!,$D137,#REF!,$Z137)&gt;0,"OK","ONBEKEND")),"ONZEKER")))))</f>
        <v/>
      </c>
      <c r="AB137" t="str">
        <f t="shared" si="1020"/>
        <v/>
      </c>
      <c r="AC137" t="str">
        <f t="shared" si="1021"/>
        <v/>
      </c>
      <c r="AD137" t="str">
        <f>IF($AC137="","",IF(OR($BQ137="",$BR137=""),"ONZEKER",IF(OR($BN137="",$BO137=""),"ONZEKER",IF(AND($BQ137=$BN137+1,$BR137=$BO137),IF(OR(COUNTIF(#REF!,$B137)&gt;0,COUNTIF(#REF!,$B137)=0),"SKIP",IF(COUNTIFS(#REF!,$B137,#REF!,$AC137)&gt;0,"OK","ONBEKEND")),IF(AND($BQ137=$BN137,$BR137=$BO137+1),IF(OR(COUNTIF(#REF!,$D137)&gt;0,COUNTIF(#REF!,$D137)=0),"SKIP",IF(COUNTIFS(#REF!,$D137,#REF!,$AC137)&gt;0,"OK","ONBEKEND")),"ONZEKER")))))</f>
        <v/>
      </c>
      <c r="AE137" t="str">
        <f t="shared" si="1022"/>
        <v/>
      </c>
      <c r="AF137" t="str">
        <f t="shared" si="1023"/>
        <v/>
      </c>
      <c r="AG137" t="str">
        <f>IF($AF137="","",IF(OR($BT137="",$BU137=""),"ONZEKER",IF(OR($BQ137="",$BR137=""),"ONZEKER",IF(AND($BT137=$BQ137+1,$BU137=$BR137),IF(OR(COUNTIF(#REF!,$B137)&gt;0,COUNTIF(#REF!,$B137)=0),"SKIP",IF(COUNTIFS(#REF!,$B137,#REF!,$AF137)&gt;0,"OK","ONBEKEND")),IF(AND($BT137=$BQ137,$BU137=$BR137+1),IF(OR(COUNTIF(#REF!,$D137)&gt;0,COUNTIF(#REF!,$D137)=0),"SKIP",IF(COUNTIFS(#REF!,$D137,#REF!,$AF137)&gt;0,"OK","ONBEKEND")),"ONZEKER")))))</f>
        <v/>
      </c>
      <c r="AH137" t="str">
        <f t="shared" si="1024"/>
        <v/>
      </c>
      <c r="AI137" t="str">
        <f t="shared" si="1025"/>
        <v/>
      </c>
      <c r="AJ137" t="str">
        <f>IF($AI137="","",IF(OR($BW137="",$BX137=""),"ONZEKER",IF(OR($BT137="",$BU137=""),"ONZEKER",IF(AND($BW137=$BT137+1,$BX137=$BU137),IF(OR(COUNTIF(#REF!,$B137)&gt;0,COUNTIF(#REF!,$B137)=0),"SKIP",IF(COUNTIFS(#REF!,$B137,#REF!,$AI137)&gt;0,"OK","ONBEKEND")),IF(AND($BW137=$BT137,$BX137=$BU137+1),IF(OR(COUNTIF(#REF!,$D137)&gt;0,COUNTIF(#REF!,$D137)=0),"SKIP",IF(COUNTIFS(#REF!,$D137,#REF!,$AI137)&gt;0,"OK","ONBEKEND")),"ONZEKER")))))</f>
        <v/>
      </c>
      <c r="AK137" t="str">
        <f t="shared" si="1026"/>
        <v/>
      </c>
      <c r="AL137" t="str">
        <f t="shared" si="1027"/>
        <v/>
      </c>
      <c r="AM137" t="str">
        <f>IF($AL137="","",IF(OR($BZ137="",$CA137=""),"ONZEKER",IF(OR($BW137="",$BX137=""),"ONZEKER",IF(AND($BZ137=$BW137+1,$CA137=$BX137),IF(OR(COUNTIF(#REF!,$B137)&gt;0,COUNTIF(#REF!,$B137)=0),"SKIP",IF(COUNTIFS(#REF!,$B137,#REF!,$AL137)&gt;0,"OK","ONBEKEND")),IF(AND($BZ137=$BW137,$CA137=$BX137+1),IF(OR(COUNTIF(#REF!,$D137)&gt;0,COUNTIF(#REF!,$D137)=0),"SKIP",IF(COUNTIFS(#REF!,$D137,#REF!,$AL137)&gt;0,"OK","ONBEKEND")),"ONZEKER")))))</f>
        <v/>
      </c>
      <c r="AN137" t="str">
        <f t="shared" si="1028"/>
        <v/>
      </c>
      <c r="AO137" t="str">
        <f t="shared" si="1029"/>
        <v/>
      </c>
      <c r="AP137" t="str">
        <f>IF($AO137="","",IF(OR($CC137="",$CD137=""),"ONZEKER",IF(OR($BZ137="",$CA137=""),"ONZEKER",IF(AND($CC137=$BZ137+1,$CD137=$CA137),IF(OR(COUNTIF(#REF!,$B137)&gt;0,COUNTIF(#REF!,$B137)=0),"SKIP",IF(COUNTIFS(#REF!,$B137,#REF!,$AO137)&gt;0,"OK","ONBEKEND")),IF(AND($CC137=$BZ137,$CD137=$CA137+1),IF(OR(COUNTIF(#REF!,$D137)&gt;0,COUNTIF(#REF!,$D137)=0),"SKIP",IF(COUNTIFS(#REF!,$D137,#REF!,$AO137)&gt;0,"OK","ONBEKEND")),"ONZEKER")))))</f>
        <v/>
      </c>
      <c r="AQ137" t="str">
        <f t="shared" si="1030"/>
        <v/>
      </c>
      <c r="AR137" t="str">
        <f t="shared" si="1031"/>
        <v/>
      </c>
      <c r="AS137" t="str">
        <f>IF($AR137="","",IF(OR($CF137="",$CG137=""),"ONZEKER",IF(OR($CC137="",$CD137=""),"ONZEKER",IF(AND($CF137=$CC137+1,$CG137=$CD137),IF(OR(COUNTIF(#REF!,$B137)&gt;0,COUNTIF(#REF!,$B137)=0),"SKIP",IF(COUNTIFS(#REF!,$B137,#REF!,$AR137)&gt;0,"OK","ONBEKEND")),IF(AND($CF137=$CC137,$CG137=$CD137+1),IF(OR(COUNTIF(#REF!,$D137)&gt;0,COUNTIF(#REF!,$D137)=0),"SKIP",IF(COUNTIFS(#REF!,$D137,#REF!,$AR137)&gt;0,"OK","ONBEKEND")),"ONZEKER")))))</f>
        <v/>
      </c>
      <c r="AT137" t="str">
        <f t="shared" si="1032"/>
        <v/>
      </c>
      <c r="AU137" t="str">
        <f t="shared" si="1033"/>
        <v/>
      </c>
      <c r="AV137" t="str">
        <f t="shared" si="1034"/>
        <v/>
      </c>
      <c r="AW137" t="str">
        <f t="shared" si="1035"/>
        <v/>
      </c>
      <c r="AX137" t="str">
        <f t="shared" si="1036"/>
        <v/>
      </c>
      <c r="AY137" t="str">
        <f t="shared" si="1037"/>
        <v/>
      </c>
      <c r="AZ137" t="str">
        <f t="shared" si="1038"/>
        <v/>
      </c>
      <c r="BA137" t="str">
        <f t="shared" si="1039"/>
        <v/>
      </c>
      <c r="BB137" t="str">
        <f t="shared" si="1040"/>
        <v/>
      </c>
      <c r="BC137" t="str">
        <f t="shared" si="1041"/>
        <v/>
      </c>
      <c r="BD137" t="str">
        <f t="shared" si="980"/>
        <v/>
      </c>
      <c r="BE137" t="str">
        <f t="shared" si="981"/>
        <v/>
      </c>
      <c r="BF137" t="str">
        <f t="shared" si="982"/>
        <v/>
      </c>
      <c r="BG137" t="str">
        <f t="shared" si="983"/>
        <v/>
      </c>
      <c r="BH137" t="str">
        <f t="shared" si="984"/>
        <v/>
      </c>
      <c r="BI137" t="str">
        <f t="shared" si="985"/>
        <v/>
      </c>
      <c r="BJ137" t="str">
        <f t="shared" si="986"/>
        <v/>
      </c>
      <c r="BK137" t="str">
        <f t="shared" si="987"/>
        <v/>
      </c>
      <c r="BL137" t="str">
        <f t="shared" si="988"/>
        <v/>
      </c>
      <c r="BM137" t="str">
        <f t="shared" si="989"/>
        <v/>
      </c>
      <c r="BN137" t="str">
        <f t="shared" si="990"/>
        <v/>
      </c>
      <c r="BO137" t="str">
        <f t="shared" si="991"/>
        <v/>
      </c>
      <c r="BP137" t="str">
        <f t="shared" si="992"/>
        <v/>
      </c>
      <c r="BQ137" t="str">
        <f t="shared" si="993"/>
        <v/>
      </c>
      <c r="BR137" t="str">
        <f t="shared" si="994"/>
        <v/>
      </c>
      <c r="BS137" t="str">
        <f t="shared" si="995"/>
        <v/>
      </c>
      <c r="BT137" t="str">
        <f t="shared" si="996"/>
        <v/>
      </c>
      <c r="BU137" t="str">
        <f t="shared" si="997"/>
        <v/>
      </c>
      <c r="BV137" t="str">
        <f t="shared" si="998"/>
        <v/>
      </c>
      <c r="BW137" t="str">
        <f t="shared" si="999"/>
        <v/>
      </c>
      <c r="BX137" t="str">
        <f t="shared" si="1000"/>
        <v/>
      </c>
      <c r="BY137" t="str">
        <f t="shared" si="1001"/>
        <v/>
      </c>
      <c r="BZ137" t="str">
        <f t="shared" si="1002"/>
        <v/>
      </c>
      <c r="CA137" t="str">
        <f t="shared" si="1003"/>
        <v/>
      </c>
      <c r="CB137" t="str">
        <f t="shared" si="1004"/>
        <v/>
      </c>
      <c r="CC137" t="str">
        <f t="shared" si="1005"/>
        <v/>
      </c>
      <c r="CD137" t="str">
        <f t="shared" si="1006"/>
        <v/>
      </c>
      <c r="CE137" t="str">
        <f t="shared" si="1007"/>
        <v/>
      </c>
      <c r="CF137" t="str">
        <f t="shared" si="1008"/>
        <v/>
      </c>
      <c r="CG137" t="str">
        <f t="shared" si="1009"/>
        <v/>
      </c>
      <c r="CH137" t="str">
        <f t="shared" si="1042"/>
        <v/>
      </c>
      <c r="CI137" t="str">
        <f t="shared" si="1043"/>
        <v/>
      </c>
      <c r="CJ137" t="str">
        <f>IF($CI137="","",IF(OR($DW137="",$DX137=""),"ONZEKER",IF(OR($CF137="",$CG137=""),"ONZEKER",IF(AND($DW137=$CF137+1,$DX137=$CG137),IF(OR(COUNTIF(#REF!,$B137)&gt;0,COUNTIF(#REF!,$B137)=0),"SKIP",IF(COUNTIFS(#REF!,$B137,#REF!,$CI137)&gt;0,"OK","ONBEKEND")),IF(AND($DW137=$CF137,$DX137=$CG137+1),IF(OR(COUNTIF(#REF!,$D137)&gt;0,COUNTIF(#REF!,$D137)=0),"SKIP",IF(COUNTIFS(#REF!,$D137,#REF!,$CI137)&gt;0,"OK","ONBEKEND")),"ONZEKER")))))</f>
        <v/>
      </c>
      <c r="CK137" t="str">
        <f t="shared" si="1044"/>
        <v/>
      </c>
      <c r="CL137" t="str">
        <f t="shared" si="1045"/>
        <v/>
      </c>
      <c r="CM137" t="str">
        <f>IF($CL137="","",IF(OR($DZ137="",$EA137=""),"ONZEKER",IF(OR($DW137="",$DX137=""),"ONZEKER",IF(AND($DZ137=$DW137+1,$EA137=$DX137),IF(OR(COUNTIF(#REF!,$B137)&gt;0,COUNTIF(#REF!,$B137)=0),"SKIP",IF(COUNTIFS(#REF!,$B137,#REF!,$CL137)&gt;0,"OK","ONBEKEND")),IF(AND($DZ137=$DW137,$EA137=$DX137+1),IF(OR(COUNTIF(#REF!,$D137)&gt;0,COUNTIF(#REF!,$D137)=0),"SKIP",IF(COUNTIFS(#REF!,$D137,#REF!,$CL137)&gt;0,"OK","ONBEKEND")),"ONZEKER")))))</f>
        <v/>
      </c>
      <c r="CN137" t="str">
        <f t="shared" si="1046"/>
        <v/>
      </c>
      <c r="CO137" t="str">
        <f t="shared" si="1047"/>
        <v/>
      </c>
      <c r="CP137" t="str">
        <f>IF($CO137="","",IF(OR($EC137="",$ED137=""),"ONZEKER",IF(OR($DZ137="",$EA137=""),"ONZEKER",IF(AND($EC137=$DZ137+1,$ED137=$EA137),IF(OR(COUNTIF(#REF!,$B137)&gt;0,COUNTIF(#REF!,$B137)=0),"SKIP",IF(COUNTIFS(#REF!,$B137,#REF!,$CO137)&gt;0,"OK","ONBEKEND")),IF(AND($EC137=$DZ137,$ED137=$EA137+1),IF(OR(COUNTIF(#REF!,$D137)&gt;0,COUNTIF(#REF!,$D137)=0),"SKIP",IF(COUNTIFS(#REF!,$D137,#REF!,$CO137)&gt;0,"OK","ONBEKEND")),"ONZEKER")))))</f>
        <v/>
      </c>
      <c r="CQ137" t="str">
        <f t="shared" si="1048"/>
        <v/>
      </c>
      <c r="CR137" t="str">
        <f t="shared" si="1049"/>
        <v/>
      </c>
      <c r="CS137" t="str">
        <f>IF($CR137="","",IF(OR($EF137="",$EG137=""),"ONZEKER",IF(OR($EC137="",$ED137=""),"ONZEKER",IF(AND($EF137=$EC137+1,$EG137=$ED137),IF(OR(COUNTIF(#REF!,$B137)&gt;0,COUNTIF(#REF!,$B137)=0),"SKIP",IF(COUNTIFS(#REF!,$B137,#REF!,$CR137)&gt;0,"OK","ONBEKEND")),IF(AND($EF137=$EC137,$EG137=$ED137+1),IF(OR(COUNTIF(#REF!,$D137)&gt;0,COUNTIF(#REF!,$D137)=0),"SKIP",IF(COUNTIFS(#REF!,$D137,#REF!,$CR137)&gt;0,"OK","ONBEKEND")),"ONZEKER")))))</f>
        <v/>
      </c>
      <c r="CT137" t="str">
        <f t="shared" si="1050"/>
        <v/>
      </c>
      <c r="CU137" t="str">
        <f t="shared" si="1051"/>
        <v/>
      </c>
      <c r="CV137" t="str">
        <f>IF($CU137="","",IF(OR($EI137="",$EJ137=""),"ONZEKER",IF(OR($EF137="",$EG137=""),"ONZEKER",IF(AND($EI137=$EF137+1,$EJ137=$EG137),IF(OR(COUNTIF(#REF!,$B137)&gt;0,COUNTIF(#REF!,$B137)=0),"SKIP",IF(COUNTIFS(#REF!,$B137,#REF!,$CU137)&gt;0,"OK","ONBEKEND")),IF(AND($EI137=$EF137,$EJ137=$EG137+1),IF(OR(COUNTIF(#REF!,$D137)&gt;0,COUNTIF(#REF!,$D137)=0),"SKIP",IF(COUNTIFS(#REF!,$D137,#REF!,$CU137)&gt;0,"OK","ONBEKEND")),"ONZEKER")))))</f>
        <v/>
      </c>
      <c r="CW137" t="str">
        <f t="shared" si="1052"/>
        <v/>
      </c>
      <c r="CX137" t="str">
        <f t="shared" si="1053"/>
        <v/>
      </c>
      <c r="CY137" t="str">
        <f>IF($CX137="","",IF(OR($EL137="",$EM137=""),"ONZEKER",IF(OR($EI137="",$EJ137=""),"ONZEKER",IF(AND($EL137=$EI137+1,$EM137=$EJ137),IF(OR(COUNTIF(#REF!,$B137)&gt;0,COUNTIF(#REF!,$B137)=0),"SKIP",IF(COUNTIFS(#REF!,$B137,#REF!,$CX137)&gt;0,"OK","ONBEKEND")),IF(AND($EL137=$EI137,$EM137=$EJ137+1),IF(OR(COUNTIF(#REF!,$D137)&gt;0,COUNTIF(#REF!,$D137)=0),"SKIP",IF(COUNTIFS(#REF!,$D137,#REF!,$CX137)&gt;0,"OK","ONBEKEND")),"ONZEKER")))))</f>
        <v/>
      </c>
      <c r="CZ137" t="str">
        <f t="shared" si="1054"/>
        <v/>
      </c>
      <c r="DA137" t="str">
        <f t="shared" si="1055"/>
        <v/>
      </c>
      <c r="DB137" t="str">
        <f>IF($DA137="","",IF(OR($EO137="",$EP137=""),"ONZEKER",IF(OR($EL137="",$EM137=""),"ONZEKER",IF(AND($EO137=$EL137+1,$EP137=$EM137),IF(OR(COUNTIF(#REF!,$B137)&gt;0,COUNTIF(#REF!,$B137)=0),"SKIP",IF(COUNTIFS(#REF!,$B137,#REF!,$DA137)&gt;0,"OK","ONBEKEND")),IF(AND($EO137=$EL137,$EP137=$EM137+1),IF(OR(COUNTIF(#REF!,$D137)&gt;0,COUNTIF(#REF!,$D137)=0),"SKIP",IF(COUNTIFS(#REF!,$D137,#REF!,$DA137)&gt;0,"OK","ONBEKEND")),"ONZEKER")))))</f>
        <v/>
      </c>
      <c r="DC137" t="str">
        <f t="shared" si="1056"/>
        <v/>
      </c>
      <c r="DD137" t="str">
        <f t="shared" si="1057"/>
        <v/>
      </c>
      <c r="DE137" t="str">
        <f>IF($DD137="","",IF(OR($ER137="",$ES137=""),"ONZEKER",IF(OR($EO137="",$EP137=""),"ONZEKER",IF(AND($ER137=$EO137+1,$ES137=$EP137),IF(OR(COUNTIF(#REF!,$B137)&gt;0,COUNTIF(#REF!,$B137)=0),"SKIP",IF(COUNTIFS(#REF!,$B137,#REF!,$DD137)&gt;0,"OK","ONBEKEND")),IF(AND($ER137=$EO137,$ES137=$EP137+1),IF(OR(COUNTIF(#REF!,$D137)&gt;0,COUNTIF(#REF!,$D137)=0),"SKIP",IF(COUNTIFS(#REF!,$D137,#REF!,$DD137)&gt;0,"OK","ONBEKEND")),"ONZEKER")))))</f>
        <v/>
      </c>
      <c r="DF137" t="str">
        <f t="shared" si="1058"/>
        <v/>
      </c>
      <c r="DG137" t="str">
        <f t="shared" si="1059"/>
        <v/>
      </c>
      <c r="DH137" t="str">
        <f>IF($DG137="","",IF(OR($EU137="",$EV137=""),"ONZEKER",IF(OR($ER137="",$ES137=""),"ONZEKER",IF(AND($EU137=$ER137+1,$EV137=$ES137),IF(OR(COUNTIF(#REF!,$B137)&gt;0,COUNTIF(#REF!,$B137)=0),"SKIP",IF(COUNTIFS(#REF!,$B137,#REF!,$DG137)&gt;0,"OK","ONBEKEND")),IF(AND($EU137=$ER137,$EV137=$ES137+1),IF(OR(COUNTIF(#REF!,$D137)&gt;0,COUNTIF(#REF!,$D137)=0),"SKIP",IF(COUNTIFS(#REF!,$D137,#REF!,$DG137)&gt;0,"OK","ONBEKEND")),"ONZEKER")))))</f>
        <v/>
      </c>
      <c r="DI137" t="str">
        <f t="shared" si="1060"/>
        <v/>
      </c>
      <c r="DJ137" t="str">
        <f t="shared" si="1061"/>
        <v/>
      </c>
      <c r="DK137" t="str">
        <f>IF($DJ137="","",IF(OR($EX137="",$EY137=""),"ONZEKER",IF(OR($EU137="",$EV137=""),"ONZEKER",IF(AND($EX137=$EU137+1,$EY137=$EV137),IF(OR(COUNTIF(#REF!,$B137)&gt;0,COUNTIF(#REF!,$B137)=0),"SKIP",IF(COUNTIFS(#REF!,$B137,#REF!,$DJ137)&gt;0,"OK","ONBEKEND")),IF(AND($EX137=$EU137,$EY137=$EV137+1),IF(OR(COUNTIF(#REF!,$D137)&gt;0,COUNTIF(#REF!,$D137)=0),"SKIP",IF(COUNTIFS(#REF!,$D137,#REF!,$DJ137)&gt;0,"OK","ONBEKEND")),"ONZEKER")))))</f>
        <v/>
      </c>
      <c r="DL137" t="str">
        <f t="shared" si="1062"/>
        <v/>
      </c>
      <c r="DM137" t="str">
        <f t="shared" si="1063"/>
        <v/>
      </c>
      <c r="DN137" t="str">
        <f t="shared" si="1064"/>
        <v/>
      </c>
      <c r="DO137" t="str">
        <f t="shared" si="1065"/>
        <v/>
      </c>
      <c r="DP137" t="str">
        <f t="shared" si="1066"/>
        <v/>
      </c>
      <c r="DQ137" t="str">
        <f t="shared" si="1067"/>
        <v/>
      </c>
      <c r="DR137" t="str">
        <f t="shared" si="1068"/>
        <v/>
      </c>
      <c r="DS137" t="str">
        <f t="shared" si="1069"/>
        <v/>
      </c>
      <c r="DT137" t="str">
        <f t="shared" si="1070"/>
        <v/>
      </c>
      <c r="DU137" t="str">
        <f t="shared" si="1071"/>
        <v/>
      </c>
      <c r="DV137" t="str">
        <f t="shared" si="1072"/>
        <v/>
      </c>
      <c r="DW137" t="str">
        <f t="shared" si="1073"/>
        <v/>
      </c>
      <c r="DX137" t="str">
        <f t="shared" si="1074"/>
        <v/>
      </c>
      <c r="DY137" t="str">
        <f t="shared" si="1075"/>
        <v/>
      </c>
      <c r="DZ137" t="str">
        <f t="shared" si="1076"/>
        <v/>
      </c>
      <c r="EA137" t="str">
        <f t="shared" si="1077"/>
        <v/>
      </c>
      <c r="EB137" t="str">
        <f t="shared" si="1078"/>
        <v/>
      </c>
      <c r="EC137" t="str">
        <f t="shared" si="1079"/>
        <v/>
      </c>
      <c r="ED137" t="str">
        <f t="shared" si="1080"/>
        <v/>
      </c>
      <c r="EE137" t="str">
        <f t="shared" si="1081"/>
        <v/>
      </c>
      <c r="EF137" t="str">
        <f t="shared" si="1082"/>
        <v/>
      </c>
      <c r="EG137" t="str">
        <f t="shared" si="1083"/>
        <v/>
      </c>
      <c r="EH137" t="str">
        <f t="shared" si="1084"/>
        <v/>
      </c>
      <c r="EI137" t="str">
        <f t="shared" si="1085"/>
        <v/>
      </c>
      <c r="EJ137" t="str">
        <f t="shared" si="1086"/>
        <v/>
      </c>
      <c r="EK137" t="str">
        <f t="shared" si="1087"/>
        <v/>
      </c>
      <c r="EL137" t="str">
        <f t="shared" si="1088"/>
        <v/>
      </c>
      <c r="EM137" t="str">
        <f t="shared" si="1089"/>
        <v/>
      </c>
      <c r="EN137" t="str">
        <f t="shared" si="1090"/>
        <v/>
      </c>
      <c r="EO137" t="str">
        <f t="shared" si="1091"/>
        <v/>
      </c>
      <c r="EP137" t="str">
        <f t="shared" si="1092"/>
        <v/>
      </c>
      <c r="EQ137" t="str">
        <f t="shared" si="1093"/>
        <v/>
      </c>
      <c r="ER137" t="str">
        <f t="shared" si="1094"/>
        <v/>
      </c>
      <c r="ES137" t="str">
        <f t="shared" si="1095"/>
        <v/>
      </c>
      <c r="ET137" t="str">
        <f t="shared" si="1096"/>
        <v/>
      </c>
      <c r="EU137" t="str">
        <f t="shared" si="1097"/>
        <v/>
      </c>
      <c r="EV137" t="str">
        <f t="shared" si="1098"/>
        <v/>
      </c>
      <c r="EW137" t="str">
        <f t="shared" si="1099"/>
        <v/>
      </c>
      <c r="EX137" t="str">
        <f t="shared" si="1100"/>
        <v/>
      </c>
      <c r="EY137" t="str">
        <f t="shared" si="1101"/>
        <v/>
      </c>
    </row>
    <row r="138" spans="1:155" ht="13.9" customHeight="1" x14ac:dyDescent="0.25">
      <c r="A138" s="7"/>
      <c r="B138" s="17"/>
      <c r="C138" s="8"/>
      <c r="D138" s="17"/>
      <c r="E138" s="8"/>
      <c r="F138" s="18">
        <v>0</v>
      </c>
      <c r="G138" s="7" t="s">
        <v>147</v>
      </c>
      <c r="H138" s="18">
        <v>0</v>
      </c>
      <c r="I138" s="19">
        <v>0</v>
      </c>
      <c r="J138" s="7" t="s">
        <v>147</v>
      </c>
      <c r="K138" s="19">
        <v>0</v>
      </c>
      <c r="L138" s="9"/>
      <c r="M138" s="3" t="str">
        <f>IF($L138="","",IF($L138="DOELPUNTENMAKERS","",IF(AND(COUNTIF(#REF!,$B138)=0,COUNTIF(#REF!,$D138)=0),"OK",IF($O138&gt;20,"LET OP: meer dan 20 items (controle onvolledig)",IF((COUNTIF($R138:$AS138,"ONZEKER")+COUNTIF($CJ138:$DK138,"ONZEKER"))&gt;0,"LET OP: scoreverloop onduidelijk (controle beperkt)",IF((IF($AT138&lt;&gt;"",$AT138&amp;", ","")&amp;IF($AU138&lt;&gt;"",$AU138&amp;", ","")&amp;IF($AV138&lt;&gt;"",$AV138&amp;", ","")&amp;IF($AW138&lt;&gt;"",$AW138&amp;", ","")&amp;IF($AX138&lt;&gt;"",$AX138&amp;", ","")&amp;IF($AY138&lt;&gt;"",$AY138&amp;", ","")&amp;IF($AZ138&lt;&gt;"",$AZ138&amp;", ","")&amp;IF($BA138&lt;&gt;"",$BA138&amp;", ","")&amp;IF($BB138&lt;&gt;"",$BB138&amp;", ","")&amp;IF($BC138&lt;&gt;"",$BC138&amp;", ","")&amp;IF($DL138&lt;&gt;"",$DL138&amp;", ","")&amp;IF($DM138&lt;&gt;"",$DM138&amp;", ","")&amp;IF($DN138&lt;&gt;"",$DN138&amp;", ","")&amp;IF($DO138&lt;&gt;"",$DO138&amp;", ","")&amp;IF($DP138&lt;&gt;"",$DP138&amp;", ","")&amp;IF($DQ138&lt;&gt;"",$DQ138&amp;", ","")&amp;IF($DR138&lt;&gt;"",$DR138&amp;", ","")&amp;IF($DS138&lt;&gt;"",$DS138&amp;", ","")&amp;IF($DT138&lt;&gt;"",$DT138&amp;", ","")&amp;IF($DU138&lt;&gt;"",$DU138&amp;", ",""))="","OK","Onbekend: "&amp;LEFT((IF($AT138&lt;&gt;"",$AT138&amp;", ","")&amp;IF($AU138&lt;&gt;"",$AU138&amp;", ","")&amp;IF($AV138&lt;&gt;"",$AV138&amp;", ","")&amp;IF($AW138&lt;&gt;"",$AW138&amp;", ","")&amp;IF($AX138&lt;&gt;"",$AX138&amp;", ","")&amp;IF($AY138&lt;&gt;"",$AY138&amp;", ","")&amp;IF($AZ138&lt;&gt;"",$AZ138&amp;", ","")&amp;IF($BA138&lt;&gt;"",$BA138&amp;", ","")&amp;IF($BB138&lt;&gt;"",$BB138&amp;", ","")&amp;IF($BC138&lt;&gt;"",$BC138&amp;", ","")&amp;IF($DL138&lt;&gt;"",$DL138&amp;", ","")&amp;IF($DM138&lt;&gt;"",$DM138&amp;", ","")&amp;IF($DN138&lt;&gt;"",$DN138&amp;", ","")&amp;IF($DO138&lt;&gt;"",$DO138&amp;", ","")&amp;IF($DP138&lt;&gt;"",$DP138&amp;", ","")&amp;IF($DQ138&lt;&gt;"",$DQ138&amp;", ","")&amp;IF($DR138&lt;&gt;"",$DR138&amp;", ","")&amp;IF($DS138&lt;&gt;"",$DS138&amp;", ","")&amp;IF($DT138&lt;&gt;"",$DT138&amp;", ","")&amp;IF($DU138&lt;&gt;"",$DU138&amp;", ","")),LEN((IF($AT138&lt;&gt;"",$AT138&amp;", ","")&amp;IF($AU138&lt;&gt;"",$AU138&amp;", ","")&amp;IF($AV138&lt;&gt;"",$AV138&amp;", ","")&amp;IF($AW138&lt;&gt;"",$AW138&amp;", ","")&amp;IF($AX138&lt;&gt;"",$AX138&amp;", ","")&amp;IF($AY138&lt;&gt;"",$AY138&amp;", ","")&amp;IF($AZ138&lt;&gt;"",$AZ138&amp;", ","")&amp;IF($BA138&lt;&gt;"",$BA138&amp;", ","")&amp;IF($BB138&lt;&gt;"",$BB138&amp;", ","")&amp;IF($BC138&lt;&gt;"",$BC138&amp;", ","")&amp;IF($DL138&lt;&gt;"",$DL138&amp;", ","")&amp;IF($DM138&lt;&gt;"",$DM138&amp;", ","")&amp;IF($DN138&lt;&gt;"",$DN138&amp;", ","")&amp;IF($DO138&lt;&gt;"",$DO138&amp;", ","")&amp;IF($DP138&lt;&gt;"",$DP138&amp;", ","")&amp;IF($DQ138&lt;&gt;"",$DQ138&amp;", ","")&amp;IF($DR138&lt;&gt;"",$DR138&amp;", ","")&amp;IF($DS138&lt;&gt;"",$DS138&amp;", ","")&amp;IF($DT138&lt;&gt;"",$DT138&amp;", ","")&amp;IF($DU138&lt;&gt;"",$DU138&amp;", ","")))-2)))))))</f>
        <v/>
      </c>
      <c r="N138" t="str">
        <f t="shared" si="1010"/>
        <v/>
      </c>
      <c r="O138" t="str">
        <f t="shared" si="1011"/>
        <v/>
      </c>
      <c r="P138" t="str">
        <f t="shared" si="1012"/>
        <v/>
      </c>
      <c r="Q138" t="str">
        <f t="shared" si="1013"/>
        <v/>
      </c>
      <c r="R138" t="str">
        <f>IF($Q138="","",IF(OR($BE138="",$BF138=""),"ONZEKER",IF(AND($BE138=0+1,$BF138=0),IF(OR(COUNTIF(#REF!,$B138)&gt;0,COUNTIF(#REF!,$B138)=0),"SKIP",IF(COUNTIFS(#REF!,$B138,#REF!,$Q138)&gt;0,"OK","ONBEKEND")),IF(AND($BE138=0,$BF138=0+1),IF(OR(COUNTIF(#REF!,$D138)&gt;0,COUNTIF(#REF!,$D138)=0),"SKIP",IF(COUNTIFS(#REF!,$D138,#REF!,$Q138)&gt;0,"OK","ONBEKEND")),"ONZEKER"))))</f>
        <v/>
      </c>
      <c r="S138" t="str">
        <f t="shared" si="1014"/>
        <v/>
      </c>
      <c r="T138" t="str">
        <f t="shared" si="1015"/>
        <v/>
      </c>
      <c r="U138" t="str">
        <f>IF($T138="","",IF(OR($BH138="",$BI138=""),"ONZEKER",IF(OR($BE138="",$BF138=""),"ONZEKER",IF(AND($BH138=$BE138+1,$BI138=$BF138),IF(OR(COUNTIF(#REF!,$B138)&gt;0,COUNTIF(#REF!,$B138)=0),"SKIP",IF(COUNTIFS(#REF!,$B138,#REF!,$T138)&gt;0,"OK","ONBEKEND")),IF(AND($BH138=$BE138,$BI138=$BF138+1),IF(OR(COUNTIF(#REF!,$D138)&gt;0,COUNTIF(#REF!,$D138)=0),"SKIP",IF(COUNTIFS(#REF!,$D138,#REF!,$T138)&gt;0,"OK","ONBEKEND")),"ONZEKER")))))</f>
        <v/>
      </c>
      <c r="V138" t="str">
        <f t="shared" si="1016"/>
        <v/>
      </c>
      <c r="W138" t="str">
        <f t="shared" si="1017"/>
        <v/>
      </c>
      <c r="X138" t="str">
        <f>IF($W138="","",IF(OR($BK138="",$BL138=""),"ONZEKER",IF(OR($BH138="",$BI138=""),"ONZEKER",IF(AND($BK138=$BH138+1,$BL138=$BI138),IF(OR(COUNTIF(#REF!,$B138)&gt;0,COUNTIF(#REF!,$B138)=0),"SKIP",IF(COUNTIFS(#REF!,$B138,#REF!,$W138)&gt;0,"OK","ONBEKEND")),IF(AND($BK138=$BH138,$BL138=$BI138+1),IF(OR(COUNTIF(#REF!,$D138)&gt;0,COUNTIF(#REF!,$D138)=0),"SKIP",IF(COUNTIFS(#REF!,$D138,#REF!,$W138)&gt;0,"OK","ONBEKEND")),"ONZEKER")))))</f>
        <v/>
      </c>
      <c r="Y138" t="str">
        <f t="shared" si="1018"/>
        <v/>
      </c>
      <c r="Z138" t="str">
        <f t="shared" si="1019"/>
        <v/>
      </c>
      <c r="AA138" t="str">
        <f>IF($Z138="","",IF(OR($BN138="",$BO138=""),"ONZEKER",IF(OR($BK138="",$BL138=""),"ONZEKER",IF(AND($BN138=$BK138+1,$BO138=$BL138),IF(OR(COUNTIF(#REF!,$B138)&gt;0,COUNTIF(#REF!,$B138)=0),"SKIP",IF(COUNTIFS(#REF!,$B138,#REF!,$Z138)&gt;0,"OK","ONBEKEND")),IF(AND($BN138=$BK138,$BO138=$BL138+1),IF(OR(COUNTIF(#REF!,$D138)&gt;0,COUNTIF(#REF!,$D138)=0),"SKIP",IF(COUNTIFS(#REF!,$D138,#REF!,$Z138)&gt;0,"OK","ONBEKEND")),"ONZEKER")))))</f>
        <v/>
      </c>
      <c r="AB138" t="str">
        <f t="shared" si="1020"/>
        <v/>
      </c>
      <c r="AC138" t="str">
        <f t="shared" si="1021"/>
        <v/>
      </c>
      <c r="AD138" t="str">
        <f>IF($AC138="","",IF(OR($BQ138="",$BR138=""),"ONZEKER",IF(OR($BN138="",$BO138=""),"ONZEKER",IF(AND($BQ138=$BN138+1,$BR138=$BO138),IF(OR(COUNTIF(#REF!,$B138)&gt;0,COUNTIF(#REF!,$B138)=0),"SKIP",IF(COUNTIFS(#REF!,$B138,#REF!,$AC138)&gt;0,"OK","ONBEKEND")),IF(AND($BQ138=$BN138,$BR138=$BO138+1),IF(OR(COUNTIF(#REF!,$D138)&gt;0,COUNTIF(#REF!,$D138)=0),"SKIP",IF(COUNTIFS(#REF!,$D138,#REF!,$AC138)&gt;0,"OK","ONBEKEND")),"ONZEKER")))))</f>
        <v/>
      </c>
      <c r="AE138" t="str">
        <f t="shared" si="1022"/>
        <v/>
      </c>
      <c r="AF138" t="str">
        <f t="shared" si="1023"/>
        <v/>
      </c>
      <c r="AG138" t="str">
        <f>IF($AF138="","",IF(OR($BT138="",$BU138=""),"ONZEKER",IF(OR($BQ138="",$BR138=""),"ONZEKER",IF(AND($BT138=$BQ138+1,$BU138=$BR138),IF(OR(COUNTIF(#REF!,$B138)&gt;0,COUNTIF(#REF!,$B138)=0),"SKIP",IF(COUNTIFS(#REF!,$B138,#REF!,$AF138)&gt;0,"OK","ONBEKEND")),IF(AND($BT138=$BQ138,$BU138=$BR138+1),IF(OR(COUNTIF(#REF!,$D138)&gt;0,COUNTIF(#REF!,$D138)=0),"SKIP",IF(COUNTIFS(#REF!,$D138,#REF!,$AF138)&gt;0,"OK","ONBEKEND")),"ONZEKER")))))</f>
        <v/>
      </c>
      <c r="AH138" t="str">
        <f t="shared" si="1024"/>
        <v/>
      </c>
      <c r="AI138" t="str">
        <f t="shared" si="1025"/>
        <v/>
      </c>
      <c r="AJ138" t="str">
        <f>IF($AI138="","",IF(OR($BW138="",$BX138=""),"ONZEKER",IF(OR($BT138="",$BU138=""),"ONZEKER",IF(AND($BW138=$BT138+1,$BX138=$BU138),IF(OR(COUNTIF(#REF!,$B138)&gt;0,COUNTIF(#REF!,$B138)=0),"SKIP",IF(COUNTIFS(#REF!,$B138,#REF!,$AI138)&gt;0,"OK","ONBEKEND")),IF(AND($BW138=$BT138,$BX138=$BU138+1),IF(OR(COUNTIF(#REF!,$D138)&gt;0,COUNTIF(#REF!,$D138)=0),"SKIP",IF(COUNTIFS(#REF!,$D138,#REF!,$AI138)&gt;0,"OK","ONBEKEND")),"ONZEKER")))))</f>
        <v/>
      </c>
      <c r="AK138" t="str">
        <f t="shared" si="1026"/>
        <v/>
      </c>
      <c r="AL138" t="str">
        <f t="shared" si="1027"/>
        <v/>
      </c>
      <c r="AM138" t="str">
        <f>IF($AL138="","",IF(OR($BZ138="",$CA138=""),"ONZEKER",IF(OR($BW138="",$BX138=""),"ONZEKER",IF(AND($BZ138=$BW138+1,$CA138=$BX138),IF(OR(COUNTIF(#REF!,$B138)&gt;0,COUNTIF(#REF!,$B138)=0),"SKIP",IF(COUNTIFS(#REF!,$B138,#REF!,$AL138)&gt;0,"OK","ONBEKEND")),IF(AND($BZ138=$BW138,$CA138=$BX138+1),IF(OR(COUNTIF(#REF!,$D138)&gt;0,COUNTIF(#REF!,$D138)=0),"SKIP",IF(COUNTIFS(#REF!,$D138,#REF!,$AL138)&gt;0,"OK","ONBEKEND")),"ONZEKER")))))</f>
        <v/>
      </c>
      <c r="AN138" t="str">
        <f t="shared" si="1028"/>
        <v/>
      </c>
      <c r="AO138" t="str">
        <f t="shared" si="1029"/>
        <v/>
      </c>
      <c r="AP138" t="str">
        <f>IF($AO138="","",IF(OR($CC138="",$CD138=""),"ONZEKER",IF(OR($BZ138="",$CA138=""),"ONZEKER",IF(AND($CC138=$BZ138+1,$CD138=$CA138),IF(OR(COUNTIF(#REF!,$B138)&gt;0,COUNTIF(#REF!,$B138)=0),"SKIP",IF(COUNTIFS(#REF!,$B138,#REF!,$AO138)&gt;0,"OK","ONBEKEND")),IF(AND($CC138=$BZ138,$CD138=$CA138+1),IF(OR(COUNTIF(#REF!,$D138)&gt;0,COUNTIF(#REF!,$D138)=0),"SKIP",IF(COUNTIFS(#REF!,$D138,#REF!,$AO138)&gt;0,"OK","ONBEKEND")),"ONZEKER")))))</f>
        <v/>
      </c>
      <c r="AQ138" t="str">
        <f t="shared" si="1030"/>
        <v/>
      </c>
      <c r="AR138" t="str">
        <f t="shared" si="1031"/>
        <v/>
      </c>
      <c r="AS138" t="str">
        <f>IF($AR138="","",IF(OR($CF138="",$CG138=""),"ONZEKER",IF(OR($CC138="",$CD138=""),"ONZEKER",IF(AND($CF138=$CC138+1,$CG138=$CD138),IF(OR(COUNTIF(#REF!,$B138)&gt;0,COUNTIF(#REF!,$B138)=0),"SKIP",IF(COUNTIFS(#REF!,$B138,#REF!,$AR138)&gt;0,"OK","ONBEKEND")),IF(AND($CF138=$CC138,$CG138=$CD138+1),IF(OR(COUNTIF(#REF!,$D138)&gt;0,COUNTIF(#REF!,$D138)=0),"SKIP",IF(COUNTIFS(#REF!,$D138,#REF!,$AR138)&gt;0,"OK","ONBEKEND")),"ONZEKER")))))</f>
        <v/>
      </c>
      <c r="AT138" t="str">
        <f t="shared" si="1032"/>
        <v/>
      </c>
      <c r="AU138" t="str">
        <f t="shared" si="1033"/>
        <v/>
      </c>
      <c r="AV138" t="str">
        <f t="shared" si="1034"/>
        <v/>
      </c>
      <c r="AW138" t="str">
        <f t="shared" si="1035"/>
        <v/>
      </c>
      <c r="AX138" t="str">
        <f t="shared" si="1036"/>
        <v/>
      </c>
      <c r="AY138" t="str">
        <f t="shared" si="1037"/>
        <v/>
      </c>
      <c r="AZ138" t="str">
        <f t="shared" si="1038"/>
        <v/>
      </c>
      <c r="BA138" t="str">
        <f t="shared" si="1039"/>
        <v/>
      </c>
      <c r="BB138" t="str">
        <f t="shared" si="1040"/>
        <v/>
      </c>
      <c r="BC138" t="str">
        <f t="shared" si="1041"/>
        <v/>
      </c>
      <c r="BD138" t="str">
        <f t="shared" si="980"/>
        <v/>
      </c>
      <c r="BE138" t="str">
        <f t="shared" si="981"/>
        <v/>
      </c>
      <c r="BF138" t="str">
        <f t="shared" si="982"/>
        <v/>
      </c>
      <c r="BG138" t="str">
        <f t="shared" si="983"/>
        <v/>
      </c>
      <c r="BH138" t="str">
        <f t="shared" si="984"/>
        <v/>
      </c>
      <c r="BI138" t="str">
        <f t="shared" si="985"/>
        <v/>
      </c>
      <c r="BJ138" t="str">
        <f t="shared" si="986"/>
        <v/>
      </c>
      <c r="BK138" t="str">
        <f t="shared" si="987"/>
        <v/>
      </c>
      <c r="BL138" t="str">
        <f t="shared" si="988"/>
        <v/>
      </c>
      <c r="BM138" t="str">
        <f t="shared" si="989"/>
        <v/>
      </c>
      <c r="BN138" t="str">
        <f t="shared" si="990"/>
        <v/>
      </c>
      <c r="BO138" t="str">
        <f t="shared" si="991"/>
        <v/>
      </c>
      <c r="BP138" t="str">
        <f t="shared" si="992"/>
        <v/>
      </c>
      <c r="BQ138" t="str">
        <f t="shared" si="993"/>
        <v/>
      </c>
      <c r="BR138" t="str">
        <f t="shared" si="994"/>
        <v/>
      </c>
      <c r="BS138" t="str">
        <f t="shared" si="995"/>
        <v/>
      </c>
      <c r="BT138" t="str">
        <f t="shared" si="996"/>
        <v/>
      </c>
      <c r="BU138" t="str">
        <f t="shared" si="997"/>
        <v/>
      </c>
      <c r="BV138" t="str">
        <f t="shared" si="998"/>
        <v/>
      </c>
      <c r="BW138" t="str">
        <f t="shared" si="999"/>
        <v/>
      </c>
      <c r="BX138" t="str">
        <f t="shared" si="1000"/>
        <v/>
      </c>
      <c r="BY138" t="str">
        <f t="shared" si="1001"/>
        <v/>
      </c>
      <c r="BZ138" t="str">
        <f t="shared" si="1002"/>
        <v/>
      </c>
      <c r="CA138" t="str">
        <f t="shared" si="1003"/>
        <v/>
      </c>
      <c r="CB138" t="str">
        <f t="shared" si="1004"/>
        <v/>
      </c>
      <c r="CC138" t="str">
        <f t="shared" si="1005"/>
        <v/>
      </c>
      <c r="CD138" t="str">
        <f t="shared" si="1006"/>
        <v/>
      </c>
      <c r="CE138" t="str">
        <f t="shared" si="1007"/>
        <v/>
      </c>
      <c r="CF138" t="str">
        <f t="shared" si="1008"/>
        <v/>
      </c>
      <c r="CG138" t="str">
        <f t="shared" si="1009"/>
        <v/>
      </c>
      <c r="CH138" t="str">
        <f t="shared" si="1042"/>
        <v/>
      </c>
      <c r="CI138" t="str">
        <f t="shared" si="1043"/>
        <v/>
      </c>
      <c r="CJ138" t="str">
        <f>IF($CI138="","",IF(OR($DW138="",$DX138=""),"ONZEKER",IF(OR($CF138="",$CG138=""),"ONZEKER",IF(AND($DW138=$CF138+1,$DX138=$CG138),IF(OR(COUNTIF(#REF!,$B138)&gt;0,COUNTIF(#REF!,$B138)=0),"SKIP",IF(COUNTIFS(#REF!,$B138,#REF!,$CI138)&gt;0,"OK","ONBEKEND")),IF(AND($DW138=$CF138,$DX138=$CG138+1),IF(OR(COUNTIF(#REF!,$D138)&gt;0,COUNTIF(#REF!,$D138)=0),"SKIP",IF(COUNTIFS(#REF!,$D138,#REF!,$CI138)&gt;0,"OK","ONBEKEND")),"ONZEKER")))))</f>
        <v/>
      </c>
      <c r="CK138" t="str">
        <f t="shared" si="1044"/>
        <v/>
      </c>
      <c r="CL138" t="str">
        <f t="shared" si="1045"/>
        <v/>
      </c>
      <c r="CM138" t="str">
        <f>IF($CL138="","",IF(OR($DZ138="",$EA138=""),"ONZEKER",IF(OR($DW138="",$DX138=""),"ONZEKER",IF(AND($DZ138=$DW138+1,$EA138=$DX138),IF(OR(COUNTIF(#REF!,$B138)&gt;0,COUNTIF(#REF!,$B138)=0),"SKIP",IF(COUNTIFS(#REF!,$B138,#REF!,$CL138)&gt;0,"OK","ONBEKEND")),IF(AND($DZ138=$DW138,$EA138=$DX138+1),IF(OR(COUNTIF(#REF!,$D138)&gt;0,COUNTIF(#REF!,$D138)=0),"SKIP",IF(COUNTIFS(#REF!,$D138,#REF!,$CL138)&gt;0,"OK","ONBEKEND")),"ONZEKER")))))</f>
        <v/>
      </c>
      <c r="CN138" t="str">
        <f t="shared" si="1046"/>
        <v/>
      </c>
      <c r="CO138" t="str">
        <f t="shared" si="1047"/>
        <v/>
      </c>
      <c r="CP138" t="str">
        <f>IF($CO138="","",IF(OR($EC138="",$ED138=""),"ONZEKER",IF(OR($DZ138="",$EA138=""),"ONZEKER",IF(AND($EC138=$DZ138+1,$ED138=$EA138),IF(OR(COUNTIF(#REF!,$B138)&gt;0,COUNTIF(#REF!,$B138)=0),"SKIP",IF(COUNTIFS(#REF!,$B138,#REF!,$CO138)&gt;0,"OK","ONBEKEND")),IF(AND($EC138=$DZ138,$ED138=$EA138+1),IF(OR(COUNTIF(#REF!,$D138)&gt;0,COUNTIF(#REF!,$D138)=0),"SKIP",IF(COUNTIFS(#REF!,$D138,#REF!,$CO138)&gt;0,"OK","ONBEKEND")),"ONZEKER")))))</f>
        <v/>
      </c>
      <c r="CQ138" t="str">
        <f t="shared" si="1048"/>
        <v/>
      </c>
      <c r="CR138" t="str">
        <f t="shared" si="1049"/>
        <v/>
      </c>
      <c r="CS138" t="str">
        <f>IF($CR138="","",IF(OR($EF138="",$EG138=""),"ONZEKER",IF(OR($EC138="",$ED138=""),"ONZEKER",IF(AND($EF138=$EC138+1,$EG138=$ED138),IF(OR(COUNTIF(#REF!,$B138)&gt;0,COUNTIF(#REF!,$B138)=0),"SKIP",IF(COUNTIFS(#REF!,$B138,#REF!,$CR138)&gt;0,"OK","ONBEKEND")),IF(AND($EF138=$EC138,$EG138=$ED138+1),IF(OR(COUNTIF(#REF!,$D138)&gt;0,COUNTIF(#REF!,$D138)=0),"SKIP",IF(COUNTIFS(#REF!,$D138,#REF!,$CR138)&gt;0,"OK","ONBEKEND")),"ONZEKER")))))</f>
        <v/>
      </c>
      <c r="CT138" t="str">
        <f t="shared" si="1050"/>
        <v/>
      </c>
      <c r="CU138" t="str">
        <f t="shared" si="1051"/>
        <v/>
      </c>
      <c r="CV138" t="str">
        <f>IF($CU138="","",IF(OR($EI138="",$EJ138=""),"ONZEKER",IF(OR($EF138="",$EG138=""),"ONZEKER",IF(AND($EI138=$EF138+1,$EJ138=$EG138),IF(OR(COUNTIF(#REF!,$B138)&gt;0,COUNTIF(#REF!,$B138)=0),"SKIP",IF(COUNTIFS(#REF!,$B138,#REF!,$CU138)&gt;0,"OK","ONBEKEND")),IF(AND($EI138=$EF138,$EJ138=$EG138+1),IF(OR(COUNTIF(#REF!,$D138)&gt;0,COUNTIF(#REF!,$D138)=0),"SKIP",IF(COUNTIFS(#REF!,$D138,#REF!,$CU138)&gt;0,"OK","ONBEKEND")),"ONZEKER")))))</f>
        <v/>
      </c>
      <c r="CW138" t="str">
        <f t="shared" si="1052"/>
        <v/>
      </c>
      <c r="CX138" t="str">
        <f t="shared" si="1053"/>
        <v/>
      </c>
      <c r="CY138" t="str">
        <f>IF($CX138="","",IF(OR($EL138="",$EM138=""),"ONZEKER",IF(OR($EI138="",$EJ138=""),"ONZEKER",IF(AND($EL138=$EI138+1,$EM138=$EJ138),IF(OR(COUNTIF(#REF!,$B138)&gt;0,COUNTIF(#REF!,$B138)=0),"SKIP",IF(COUNTIFS(#REF!,$B138,#REF!,$CX138)&gt;0,"OK","ONBEKEND")),IF(AND($EL138=$EI138,$EM138=$EJ138+1),IF(OR(COUNTIF(#REF!,$D138)&gt;0,COUNTIF(#REF!,$D138)=0),"SKIP",IF(COUNTIFS(#REF!,$D138,#REF!,$CX138)&gt;0,"OK","ONBEKEND")),"ONZEKER")))))</f>
        <v/>
      </c>
      <c r="CZ138" t="str">
        <f t="shared" si="1054"/>
        <v/>
      </c>
      <c r="DA138" t="str">
        <f t="shared" si="1055"/>
        <v/>
      </c>
      <c r="DB138" t="str">
        <f>IF($DA138="","",IF(OR($EO138="",$EP138=""),"ONZEKER",IF(OR($EL138="",$EM138=""),"ONZEKER",IF(AND($EO138=$EL138+1,$EP138=$EM138),IF(OR(COUNTIF(#REF!,$B138)&gt;0,COUNTIF(#REF!,$B138)=0),"SKIP",IF(COUNTIFS(#REF!,$B138,#REF!,$DA138)&gt;0,"OK","ONBEKEND")),IF(AND($EO138=$EL138,$EP138=$EM138+1),IF(OR(COUNTIF(#REF!,$D138)&gt;0,COUNTIF(#REF!,$D138)=0),"SKIP",IF(COUNTIFS(#REF!,$D138,#REF!,$DA138)&gt;0,"OK","ONBEKEND")),"ONZEKER")))))</f>
        <v/>
      </c>
      <c r="DC138" t="str">
        <f t="shared" si="1056"/>
        <v/>
      </c>
      <c r="DD138" t="str">
        <f t="shared" si="1057"/>
        <v/>
      </c>
      <c r="DE138" t="str">
        <f>IF($DD138="","",IF(OR($ER138="",$ES138=""),"ONZEKER",IF(OR($EO138="",$EP138=""),"ONZEKER",IF(AND($ER138=$EO138+1,$ES138=$EP138),IF(OR(COUNTIF(#REF!,$B138)&gt;0,COUNTIF(#REF!,$B138)=0),"SKIP",IF(COUNTIFS(#REF!,$B138,#REF!,$DD138)&gt;0,"OK","ONBEKEND")),IF(AND($ER138=$EO138,$ES138=$EP138+1),IF(OR(COUNTIF(#REF!,$D138)&gt;0,COUNTIF(#REF!,$D138)=0),"SKIP",IF(COUNTIFS(#REF!,$D138,#REF!,$DD138)&gt;0,"OK","ONBEKEND")),"ONZEKER")))))</f>
        <v/>
      </c>
      <c r="DF138" t="str">
        <f t="shared" si="1058"/>
        <v/>
      </c>
      <c r="DG138" t="str">
        <f t="shared" si="1059"/>
        <v/>
      </c>
      <c r="DH138" t="str">
        <f>IF($DG138="","",IF(OR($EU138="",$EV138=""),"ONZEKER",IF(OR($ER138="",$ES138=""),"ONZEKER",IF(AND($EU138=$ER138+1,$EV138=$ES138),IF(OR(COUNTIF(#REF!,$B138)&gt;0,COUNTIF(#REF!,$B138)=0),"SKIP",IF(COUNTIFS(#REF!,$B138,#REF!,$DG138)&gt;0,"OK","ONBEKEND")),IF(AND($EU138=$ER138,$EV138=$ES138+1),IF(OR(COUNTIF(#REF!,$D138)&gt;0,COUNTIF(#REF!,$D138)=0),"SKIP",IF(COUNTIFS(#REF!,$D138,#REF!,$DG138)&gt;0,"OK","ONBEKEND")),"ONZEKER")))))</f>
        <v/>
      </c>
      <c r="DI138" t="str">
        <f t="shared" si="1060"/>
        <v/>
      </c>
      <c r="DJ138" t="str">
        <f t="shared" si="1061"/>
        <v/>
      </c>
      <c r="DK138" t="str">
        <f>IF($DJ138="","",IF(OR($EX138="",$EY138=""),"ONZEKER",IF(OR($EU138="",$EV138=""),"ONZEKER",IF(AND($EX138=$EU138+1,$EY138=$EV138),IF(OR(COUNTIF(#REF!,$B138)&gt;0,COUNTIF(#REF!,$B138)=0),"SKIP",IF(COUNTIFS(#REF!,$B138,#REF!,$DJ138)&gt;0,"OK","ONBEKEND")),IF(AND($EX138=$EU138,$EY138=$EV138+1),IF(OR(COUNTIF(#REF!,$D138)&gt;0,COUNTIF(#REF!,$D138)=0),"SKIP",IF(COUNTIFS(#REF!,$D138,#REF!,$DJ138)&gt;0,"OK","ONBEKEND")),"ONZEKER")))))</f>
        <v/>
      </c>
      <c r="DL138" t="str">
        <f t="shared" si="1062"/>
        <v/>
      </c>
      <c r="DM138" t="str">
        <f t="shared" si="1063"/>
        <v/>
      </c>
      <c r="DN138" t="str">
        <f t="shared" si="1064"/>
        <v/>
      </c>
      <c r="DO138" t="str">
        <f t="shared" si="1065"/>
        <v/>
      </c>
      <c r="DP138" t="str">
        <f t="shared" si="1066"/>
        <v/>
      </c>
      <c r="DQ138" t="str">
        <f t="shared" si="1067"/>
        <v/>
      </c>
      <c r="DR138" t="str">
        <f t="shared" si="1068"/>
        <v/>
      </c>
      <c r="DS138" t="str">
        <f t="shared" si="1069"/>
        <v/>
      </c>
      <c r="DT138" t="str">
        <f t="shared" si="1070"/>
        <v/>
      </c>
      <c r="DU138" t="str">
        <f t="shared" si="1071"/>
        <v/>
      </c>
      <c r="DV138" t="str">
        <f t="shared" si="1072"/>
        <v/>
      </c>
      <c r="DW138" t="str">
        <f t="shared" si="1073"/>
        <v/>
      </c>
      <c r="DX138" t="str">
        <f t="shared" si="1074"/>
        <v/>
      </c>
      <c r="DY138" t="str">
        <f t="shared" si="1075"/>
        <v/>
      </c>
      <c r="DZ138" t="str">
        <f t="shared" si="1076"/>
        <v/>
      </c>
      <c r="EA138" t="str">
        <f t="shared" si="1077"/>
        <v/>
      </c>
      <c r="EB138" t="str">
        <f t="shared" si="1078"/>
        <v/>
      </c>
      <c r="EC138" t="str">
        <f t="shared" si="1079"/>
        <v/>
      </c>
      <c r="ED138" t="str">
        <f t="shared" si="1080"/>
        <v/>
      </c>
      <c r="EE138" t="str">
        <f t="shared" si="1081"/>
        <v/>
      </c>
      <c r="EF138" t="str">
        <f t="shared" si="1082"/>
        <v/>
      </c>
      <c r="EG138" t="str">
        <f t="shared" si="1083"/>
        <v/>
      </c>
      <c r="EH138" t="str">
        <f t="shared" si="1084"/>
        <v/>
      </c>
      <c r="EI138" t="str">
        <f t="shared" si="1085"/>
        <v/>
      </c>
      <c r="EJ138" t="str">
        <f t="shared" si="1086"/>
        <v/>
      </c>
      <c r="EK138" t="str">
        <f t="shared" si="1087"/>
        <v/>
      </c>
      <c r="EL138" t="str">
        <f t="shared" si="1088"/>
        <v/>
      </c>
      <c r="EM138" t="str">
        <f t="shared" si="1089"/>
        <v/>
      </c>
      <c r="EN138" t="str">
        <f t="shared" si="1090"/>
        <v/>
      </c>
      <c r="EO138" t="str">
        <f t="shared" si="1091"/>
        <v/>
      </c>
      <c r="EP138" t="str">
        <f t="shared" si="1092"/>
        <v/>
      </c>
      <c r="EQ138" t="str">
        <f t="shared" si="1093"/>
        <v/>
      </c>
      <c r="ER138" t="str">
        <f t="shared" si="1094"/>
        <v/>
      </c>
      <c r="ES138" t="str">
        <f t="shared" si="1095"/>
        <v/>
      </c>
      <c r="ET138" t="str">
        <f t="shared" si="1096"/>
        <v/>
      </c>
      <c r="EU138" t="str">
        <f t="shared" si="1097"/>
        <v/>
      </c>
      <c r="EV138" t="str">
        <f t="shared" si="1098"/>
        <v/>
      </c>
      <c r="EW138" t="str">
        <f t="shared" si="1099"/>
        <v/>
      </c>
      <c r="EX138" t="str">
        <f t="shared" si="1100"/>
        <v/>
      </c>
      <c r="EY138" t="str">
        <f t="shared" si="1101"/>
        <v/>
      </c>
    </row>
    <row r="139" spans="1:155" ht="13.9" customHeight="1" x14ac:dyDescent="0.25">
      <c r="A139" s="7"/>
      <c r="B139" s="17"/>
      <c r="C139" s="8"/>
      <c r="D139" s="17"/>
      <c r="E139" s="8"/>
      <c r="F139" s="18">
        <v>0</v>
      </c>
      <c r="G139" s="7" t="s">
        <v>147</v>
      </c>
      <c r="H139" s="18">
        <v>0</v>
      </c>
      <c r="I139" s="19">
        <v>0</v>
      </c>
      <c r="J139" s="7" t="s">
        <v>147</v>
      </c>
      <c r="K139" s="19">
        <v>0</v>
      </c>
      <c r="L139" s="9"/>
      <c r="M139" s="3" t="str">
        <f>IF($L139="","",IF($L139="DOELPUNTENMAKERS","",IF(AND(COUNTIF(#REF!,$B139)=0,COUNTIF(#REF!,$D139)=0),"OK",IF($O139&gt;20,"LET OP: meer dan 20 items (controle onvolledig)",IF((COUNTIF($R139:$AS139,"ONZEKER")+COUNTIF($CJ139:$DK139,"ONZEKER"))&gt;0,"LET OP: scoreverloop onduidelijk (controle beperkt)",IF((IF($AT139&lt;&gt;"",$AT139&amp;", ","")&amp;IF($AU139&lt;&gt;"",$AU139&amp;", ","")&amp;IF($AV139&lt;&gt;"",$AV139&amp;", ","")&amp;IF($AW139&lt;&gt;"",$AW139&amp;", ","")&amp;IF($AX139&lt;&gt;"",$AX139&amp;", ","")&amp;IF($AY139&lt;&gt;"",$AY139&amp;", ","")&amp;IF($AZ139&lt;&gt;"",$AZ139&amp;", ","")&amp;IF($BA139&lt;&gt;"",$BA139&amp;", ","")&amp;IF($BB139&lt;&gt;"",$BB139&amp;", ","")&amp;IF($BC139&lt;&gt;"",$BC139&amp;", ","")&amp;IF($DL139&lt;&gt;"",$DL139&amp;", ","")&amp;IF($DM139&lt;&gt;"",$DM139&amp;", ","")&amp;IF($DN139&lt;&gt;"",$DN139&amp;", ","")&amp;IF($DO139&lt;&gt;"",$DO139&amp;", ","")&amp;IF($DP139&lt;&gt;"",$DP139&amp;", ","")&amp;IF($DQ139&lt;&gt;"",$DQ139&amp;", ","")&amp;IF($DR139&lt;&gt;"",$DR139&amp;", ","")&amp;IF($DS139&lt;&gt;"",$DS139&amp;", ","")&amp;IF($DT139&lt;&gt;"",$DT139&amp;", ","")&amp;IF($DU139&lt;&gt;"",$DU139&amp;", ",""))="","OK","Onbekend: "&amp;LEFT((IF($AT139&lt;&gt;"",$AT139&amp;", ","")&amp;IF($AU139&lt;&gt;"",$AU139&amp;", ","")&amp;IF($AV139&lt;&gt;"",$AV139&amp;", ","")&amp;IF($AW139&lt;&gt;"",$AW139&amp;", ","")&amp;IF($AX139&lt;&gt;"",$AX139&amp;", ","")&amp;IF($AY139&lt;&gt;"",$AY139&amp;", ","")&amp;IF($AZ139&lt;&gt;"",$AZ139&amp;", ","")&amp;IF($BA139&lt;&gt;"",$BA139&amp;", ","")&amp;IF($BB139&lt;&gt;"",$BB139&amp;", ","")&amp;IF($BC139&lt;&gt;"",$BC139&amp;", ","")&amp;IF($DL139&lt;&gt;"",$DL139&amp;", ","")&amp;IF($DM139&lt;&gt;"",$DM139&amp;", ","")&amp;IF($DN139&lt;&gt;"",$DN139&amp;", ","")&amp;IF($DO139&lt;&gt;"",$DO139&amp;", ","")&amp;IF($DP139&lt;&gt;"",$DP139&amp;", ","")&amp;IF($DQ139&lt;&gt;"",$DQ139&amp;", ","")&amp;IF($DR139&lt;&gt;"",$DR139&amp;", ","")&amp;IF($DS139&lt;&gt;"",$DS139&amp;", ","")&amp;IF($DT139&lt;&gt;"",$DT139&amp;", ","")&amp;IF($DU139&lt;&gt;"",$DU139&amp;", ","")),LEN((IF($AT139&lt;&gt;"",$AT139&amp;", ","")&amp;IF($AU139&lt;&gt;"",$AU139&amp;", ","")&amp;IF($AV139&lt;&gt;"",$AV139&amp;", ","")&amp;IF($AW139&lt;&gt;"",$AW139&amp;", ","")&amp;IF($AX139&lt;&gt;"",$AX139&amp;", ","")&amp;IF($AY139&lt;&gt;"",$AY139&amp;", ","")&amp;IF($AZ139&lt;&gt;"",$AZ139&amp;", ","")&amp;IF($BA139&lt;&gt;"",$BA139&amp;", ","")&amp;IF($BB139&lt;&gt;"",$BB139&amp;", ","")&amp;IF($BC139&lt;&gt;"",$BC139&amp;", ","")&amp;IF($DL139&lt;&gt;"",$DL139&amp;", ","")&amp;IF($DM139&lt;&gt;"",$DM139&amp;", ","")&amp;IF($DN139&lt;&gt;"",$DN139&amp;", ","")&amp;IF($DO139&lt;&gt;"",$DO139&amp;", ","")&amp;IF($DP139&lt;&gt;"",$DP139&amp;", ","")&amp;IF($DQ139&lt;&gt;"",$DQ139&amp;", ","")&amp;IF($DR139&lt;&gt;"",$DR139&amp;", ","")&amp;IF($DS139&lt;&gt;"",$DS139&amp;", ","")&amp;IF($DT139&lt;&gt;"",$DT139&amp;", ","")&amp;IF($DU139&lt;&gt;"",$DU139&amp;", ","")))-2)))))))</f>
        <v/>
      </c>
      <c r="N139" t="str">
        <f t="shared" si="1010"/>
        <v/>
      </c>
      <c r="O139" t="str">
        <f t="shared" si="1011"/>
        <v/>
      </c>
      <c r="P139" t="str">
        <f t="shared" si="1012"/>
        <v/>
      </c>
      <c r="Q139" t="str">
        <f t="shared" si="1013"/>
        <v/>
      </c>
      <c r="R139" t="str">
        <f>IF($Q139="","",IF(OR($BE139="",$BF139=""),"ONZEKER",IF(AND($BE139=0+1,$BF139=0),IF(OR(COUNTIF(#REF!,$B139)&gt;0,COUNTIF(#REF!,$B139)=0),"SKIP",IF(COUNTIFS(#REF!,$B139,#REF!,$Q139)&gt;0,"OK","ONBEKEND")),IF(AND($BE139=0,$BF139=0+1),IF(OR(COUNTIF(#REF!,$D139)&gt;0,COUNTIF(#REF!,$D139)=0),"SKIP",IF(COUNTIFS(#REF!,$D139,#REF!,$Q139)&gt;0,"OK","ONBEKEND")),"ONZEKER"))))</f>
        <v/>
      </c>
      <c r="S139" t="str">
        <f t="shared" si="1014"/>
        <v/>
      </c>
      <c r="T139" t="str">
        <f t="shared" si="1015"/>
        <v/>
      </c>
      <c r="U139" t="str">
        <f>IF($T139="","",IF(OR($BH139="",$BI139=""),"ONZEKER",IF(OR($BE139="",$BF139=""),"ONZEKER",IF(AND($BH139=$BE139+1,$BI139=$BF139),IF(OR(COUNTIF(#REF!,$B139)&gt;0,COUNTIF(#REF!,$B139)=0),"SKIP",IF(COUNTIFS(#REF!,$B139,#REF!,$T139)&gt;0,"OK","ONBEKEND")),IF(AND($BH139=$BE139,$BI139=$BF139+1),IF(OR(COUNTIF(#REF!,$D139)&gt;0,COUNTIF(#REF!,$D139)=0),"SKIP",IF(COUNTIFS(#REF!,$D139,#REF!,$T139)&gt;0,"OK","ONBEKEND")),"ONZEKER")))))</f>
        <v/>
      </c>
      <c r="V139" t="str">
        <f t="shared" si="1016"/>
        <v/>
      </c>
      <c r="W139" t="str">
        <f t="shared" si="1017"/>
        <v/>
      </c>
      <c r="X139" t="str">
        <f>IF($W139="","",IF(OR($BK139="",$BL139=""),"ONZEKER",IF(OR($BH139="",$BI139=""),"ONZEKER",IF(AND($BK139=$BH139+1,$BL139=$BI139),IF(OR(COUNTIF(#REF!,$B139)&gt;0,COUNTIF(#REF!,$B139)=0),"SKIP",IF(COUNTIFS(#REF!,$B139,#REF!,$W139)&gt;0,"OK","ONBEKEND")),IF(AND($BK139=$BH139,$BL139=$BI139+1),IF(OR(COUNTIF(#REF!,$D139)&gt;0,COUNTIF(#REF!,$D139)=0),"SKIP",IF(COUNTIFS(#REF!,$D139,#REF!,$W139)&gt;0,"OK","ONBEKEND")),"ONZEKER")))))</f>
        <v/>
      </c>
      <c r="Y139" t="str">
        <f t="shared" si="1018"/>
        <v/>
      </c>
      <c r="Z139" t="str">
        <f t="shared" si="1019"/>
        <v/>
      </c>
      <c r="AA139" t="str">
        <f>IF($Z139="","",IF(OR($BN139="",$BO139=""),"ONZEKER",IF(OR($BK139="",$BL139=""),"ONZEKER",IF(AND($BN139=$BK139+1,$BO139=$BL139),IF(OR(COUNTIF(#REF!,$B139)&gt;0,COUNTIF(#REF!,$B139)=0),"SKIP",IF(COUNTIFS(#REF!,$B139,#REF!,$Z139)&gt;0,"OK","ONBEKEND")),IF(AND($BN139=$BK139,$BO139=$BL139+1),IF(OR(COUNTIF(#REF!,$D139)&gt;0,COUNTIF(#REF!,$D139)=0),"SKIP",IF(COUNTIFS(#REF!,$D139,#REF!,$Z139)&gt;0,"OK","ONBEKEND")),"ONZEKER")))))</f>
        <v/>
      </c>
      <c r="AB139" t="str">
        <f t="shared" si="1020"/>
        <v/>
      </c>
      <c r="AC139" t="str">
        <f t="shared" si="1021"/>
        <v/>
      </c>
      <c r="AD139" t="str">
        <f>IF($AC139="","",IF(OR($BQ139="",$BR139=""),"ONZEKER",IF(OR($BN139="",$BO139=""),"ONZEKER",IF(AND($BQ139=$BN139+1,$BR139=$BO139),IF(OR(COUNTIF(#REF!,$B139)&gt;0,COUNTIF(#REF!,$B139)=0),"SKIP",IF(COUNTIFS(#REF!,$B139,#REF!,$AC139)&gt;0,"OK","ONBEKEND")),IF(AND($BQ139=$BN139,$BR139=$BO139+1),IF(OR(COUNTIF(#REF!,$D139)&gt;0,COUNTIF(#REF!,$D139)=0),"SKIP",IF(COUNTIFS(#REF!,$D139,#REF!,$AC139)&gt;0,"OK","ONBEKEND")),"ONZEKER")))))</f>
        <v/>
      </c>
      <c r="AE139" t="str">
        <f t="shared" si="1022"/>
        <v/>
      </c>
      <c r="AF139" t="str">
        <f t="shared" si="1023"/>
        <v/>
      </c>
      <c r="AG139" t="str">
        <f>IF($AF139="","",IF(OR($BT139="",$BU139=""),"ONZEKER",IF(OR($BQ139="",$BR139=""),"ONZEKER",IF(AND($BT139=$BQ139+1,$BU139=$BR139),IF(OR(COUNTIF(#REF!,$B139)&gt;0,COUNTIF(#REF!,$B139)=0),"SKIP",IF(COUNTIFS(#REF!,$B139,#REF!,$AF139)&gt;0,"OK","ONBEKEND")),IF(AND($BT139=$BQ139,$BU139=$BR139+1),IF(OR(COUNTIF(#REF!,$D139)&gt;0,COUNTIF(#REF!,$D139)=0),"SKIP",IF(COUNTIFS(#REF!,$D139,#REF!,$AF139)&gt;0,"OK","ONBEKEND")),"ONZEKER")))))</f>
        <v/>
      </c>
      <c r="AH139" t="str">
        <f t="shared" si="1024"/>
        <v/>
      </c>
      <c r="AI139" t="str">
        <f t="shared" si="1025"/>
        <v/>
      </c>
      <c r="AJ139" t="str">
        <f>IF($AI139="","",IF(OR($BW139="",$BX139=""),"ONZEKER",IF(OR($BT139="",$BU139=""),"ONZEKER",IF(AND($BW139=$BT139+1,$BX139=$BU139),IF(OR(COUNTIF(#REF!,$B139)&gt;0,COUNTIF(#REF!,$B139)=0),"SKIP",IF(COUNTIFS(#REF!,$B139,#REF!,$AI139)&gt;0,"OK","ONBEKEND")),IF(AND($BW139=$BT139,$BX139=$BU139+1),IF(OR(COUNTIF(#REF!,$D139)&gt;0,COUNTIF(#REF!,$D139)=0),"SKIP",IF(COUNTIFS(#REF!,$D139,#REF!,$AI139)&gt;0,"OK","ONBEKEND")),"ONZEKER")))))</f>
        <v/>
      </c>
      <c r="AK139" t="str">
        <f t="shared" si="1026"/>
        <v/>
      </c>
      <c r="AL139" t="str">
        <f t="shared" si="1027"/>
        <v/>
      </c>
      <c r="AM139" t="str">
        <f>IF($AL139="","",IF(OR($BZ139="",$CA139=""),"ONZEKER",IF(OR($BW139="",$BX139=""),"ONZEKER",IF(AND($BZ139=$BW139+1,$CA139=$BX139),IF(OR(COUNTIF(#REF!,$B139)&gt;0,COUNTIF(#REF!,$B139)=0),"SKIP",IF(COUNTIFS(#REF!,$B139,#REF!,$AL139)&gt;0,"OK","ONBEKEND")),IF(AND($BZ139=$BW139,$CA139=$BX139+1),IF(OR(COUNTIF(#REF!,$D139)&gt;0,COUNTIF(#REF!,$D139)=0),"SKIP",IF(COUNTIFS(#REF!,$D139,#REF!,$AL139)&gt;0,"OK","ONBEKEND")),"ONZEKER")))))</f>
        <v/>
      </c>
      <c r="AN139" t="str">
        <f t="shared" si="1028"/>
        <v/>
      </c>
      <c r="AO139" t="str">
        <f t="shared" si="1029"/>
        <v/>
      </c>
      <c r="AP139" t="str">
        <f>IF($AO139="","",IF(OR($CC139="",$CD139=""),"ONZEKER",IF(OR($BZ139="",$CA139=""),"ONZEKER",IF(AND($CC139=$BZ139+1,$CD139=$CA139),IF(OR(COUNTIF(#REF!,$B139)&gt;0,COUNTIF(#REF!,$B139)=0),"SKIP",IF(COUNTIFS(#REF!,$B139,#REF!,$AO139)&gt;0,"OK","ONBEKEND")),IF(AND($CC139=$BZ139,$CD139=$CA139+1),IF(OR(COUNTIF(#REF!,$D139)&gt;0,COUNTIF(#REF!,$D139)=0),"SKIP",IF(COUNTIFS(#REF!,$D139,#REF!,$AO139)&gt;0,"OK","ONBEKEND")),"ONZEKER")))))</f>
        <v/>
      </c>
      <c r="AQ139" t="str">
        <f t="shared" si="1030"/>
        <v/>
      </c>
      <c r="AR139" t="str">
        <f t="shared" si="1031"/>
        <v/>
      </c>
      <c r="AS139" t="str">
        <f>IF($AR139="","",IF(OR($CF139="",$CG139=""),"ONZEKER",IF(OR($CC139="",$CD139=""),"ONZEKER",IF(AND($CF139=$CC139+1,$CG139=$CD139),IF(OR(COUNTIF(#REF!,$B139)&gt;0,COUNTIF(#REF!,$B139)=0),"SKIP",IF(COUNTIFS(#REF!,$B139,#REF!,$AR139)&gt;0,"OK","ONBEKEND")),IF(AND($CF139=$CC139,$CG139=$CD139+1),IF(OR(COUNTIF(#REF!,$D139)&gt;0,COUNTIF(#REF!,$D139)=0),"SKIP",IF(COUNTIFS(#REF!,$D139,#REF!,$AR139)&gt;0,"OK","ONBEKEND")),"ONZEKER")))))</f>
        <v/>
      </c>
      <c r="AT139" t="str">
        <f t="shared" si="1032"/>
        <v/>
      </c>
      <c r="AU139" t="str">
        <f t="shared" si="1033"/>
        <v/>
      </c>
      <c r="AV139" t="str">
        <f t="shared" si="1034"/>
        <v/>
      </c>
      <c r="AW139" t="str">
        <f t="shared" si="1035"/>
        <v/>
      </c>
      <c r="AX139" t="str">
        <f t="shared" si="1036"/>
        <v/>
      </c>
      <c r="AY139" t="str">
        <f t="shared" si="1037"/>
        <v/>
      </c>
      <c r="AZ139" t="str">
        <f t="shared" si="1038"/>
        <v/>
      </c>
      <c r="BA139" t="str">
        <f t="shared" si="1039"/>
        <v/>
      </c>
      <c r="BB139" t="str">
        <f t="shared" si="1040"/>
        <v/>
      </c>
      <c r="BC139" t="str">
        <f t="shared" si="1041"/>
        <v/>
      </c>
      <c r="BD139" t="str">
        <f t="shared" si="980"/>
        <v/>
      </c>
      <c r="BE139" t="str">
        <f t="shared" si="981"/>
        <v/>
      </c>
      <c r="BF139" t="str">
        <f t="shared" si="982"/>
        <v/>
      </c>
      <c r="BG139" t="str">
        <f t="shared" si="983"/>
        <v/>
      </c>
      <c r="BH139" t="str">
        <f t="shared" si="984"/>
        <v/>
      </c>
      <c r="BI139" t="str">
        <f t="shared" si="985"/>
        <v/>
      </c>
      <c r="BJ139" t="str">
        <f t="shared" si="986"/>
        <v/>
      </c>
      <c r="BK139" t="str">
        <f t="shared" si="987"/>
        <v/>
      </c>
      <c r="BL139" t="str">
        <f t="shared" si="988"/>
        <v/>
      </c>
      <c r="BM139" t="str">
        <f t="shared" si="989"/>
        <v/>
      </c>
      <c r="BN139" t="str">
        <f t="shared" si="990"/>
        <v/>
      </c>
      <c r="BO139" t="str">
        <f t="shared" si="991"/>
        <v/>
      </c>
      <c r="BP139" t="str">
        <f t="shared" si="992"/>
        <v/>
      </c>
      <c r="BQ139" t="str">
        <f t="shared" si="993"/>
        <v/>
      </c>
      <c r="BR139" t="str">
        <f t="shared" si="994"/>
        <v/>
      </c>
      <c r="BS139" t="str">
        <f t="shared" si="995"/>
        <v/>
      </c>
      <c r="BT139" t="str">
        <f t="shared" si="996"/>
        <v/>
      </c>
      <c r="BU139" t="str">
        <f t="shared" si="997"/>
        <v/>
      </c>
      <c r="BV139" t="str">
        <f t="shared" si="998"/>
        <v/>
      </c>
      <c r="BW139" t="str">
        <f t="shared" si="999"/>
        <v/>
      </c>
      <c r="BX139" t="str">
        <f t="shared" si="1000"/>
        <v/>
      </c>
      <c r="BY139" t="str">
        <f t="shared" si="1001"/>
        <v/>
      </c>
      <c r="BZ139" t="str">
        <f t="shared" si="1002"/>
        <v/>
      </c>
      <c r="CA139" t="str">
        <f t="shared" si="1003"/>
        <v/>
      </c>
      <c r="CB139" t="str">
        <f t="shared" si="1004"/>
        <v/>
      </c>
      <c r="CC139" t="str">
        <f t="shared" si="1005"/>
        <v/>
      </c>
      <c r="CD139" t="str">
        <f t="shared" si="1006"/>
        <v/>
      </c>
      <c r="CE139" t="str">
        <f t="shared" si="1007"/>
        <v/>
      </c>
      <c r="CF139" t="str">
        <f t="shared" si="1008"/>
        <v/>
      </c>
      <c r="CG139" t="str">
        <f t="shared" si="1009"/>
        <v/>
      </c>
      <c r="CH139" t="str">
        <f t="shared" si="1042"/>
        <v/>
      </c>
      <c r="CI139" t="str">
        <f t="shared" si="1043"/>
        <v/>
      </c>
      <c r="CJ139" t="str">
        <f>IF($CI139="","",IF(OR($DW139="",$DX139=""),"ONZEKER",IF(OR($CF139="",$CG139=""),"ONZEKER",IF(AND($DW139=$CF139+1,$DX139=$CG139),IF(OR(COUNTIF(#REF!,$B139)&gt;0,COUNTIF(#REF!,$B139)=0),"SKIP",IF(COUNTIFS(#REF!,$B139,#REF!,$CI139)&gt;0,"OK","ONBEKEND")),IF(AND($DW139=$CF139,$DX139=$CG139+1),IF(OR(COUNTIF(#REF!,$D139)&gt;0,COUNTIF(#REF!,$D139)=0),"SKIP",IF(COUNTIFS(#REF!,$D139,#REF!,$CI139)&gt;0,"OK","ONBEKEND")),"ONZEKER")))))</f>
        <v/>
      </c>
      <c r="CK139" t="str">
        <f t="shared" si="1044"/>
        <v/>
      </c>
      <c r="CL139" t="str">
        <f t="shared" si="1045"/>
        <v/>
      </c>
      <c r="CM139" t="str">
        <f>IF($CL139="","",IF(OR($DZ139="",$EA139=""),"ONZEKER",IF(OR($DW139="",$DX139=""),"ONZEKER",IF(AND($DZ139=$DW139+1,$EA139=$DX139),IF(OR(COUNTIF(#REF!,$B139)&gt;0,COUNTIF(#REF!,$B139)=0),"SKIP",IF(COUNTIFS(#REF!,$B139,#REF!,$CL139)&gt;0,"OK","ONBEKEND")),IF(AND($DZ139=$DW139,$EA139=$DX139+1),IF(OR(COUNTIF(#REF!,$D139)&gt;0,COUNTIF(#REF!,$D139)=0),"SKIP",IF(COUNTIFS(#REF!,$D139,#REF!,$CL139)&gt;0,"OK","ONBEKEND")),"ONZEKER")))))</f>
        <v/>
      </c>
      <c r="CN139" t="str">
        <f t="shared" si="1046"/>
        <v/>
      </c>
      <c r="CO139" t="str">
        <f t="shared" si="1047"/>
        <v/>
      </c>
      <c r="CP139" t="str">
        <f>IF($CO139="","",IF(OR($EC139="",$ED139=""),"ONZEKER",IF(OR($DZ139="",$EA139=""),"ONZEKER",IF(AND($EC139=$DZ139+1,$ED139=$EA139),IF(OR(COUNTIF(#REF!,$B139)&gt;0,COUNTIF(#REF!,$B139)=0),"SKIP",IF(COUNTIFS(#REF!,$B139,#REF!,$CO139)&gt;0,"OK","ONBEKEND")),IF(AND($EC139=$DZ139,$ED139=$EA139+1),IF(OR(COUNTIF(#REF!,$D139)&gt;0,COUNTIF(#REF!,$D139)=0),"SKIP",IF(COUNTIFS(#REF!,$D139,#REF!,$CO139)&gt;0,"OK","ONBEKEND")),"ONZEKER")))))</f>
        <v/>
      </c>
      <c r="CQ139" t="str">
        <f t="shared" si="1048"/>
        <v/>
      </c>
      <c r="CR139" t="str">
        <f t="shared" si="1049"/>
        <v/>
      </c>
      <c r="CS139" t="str">
        <f>IF($CR139="","",IF(OR($EF139="",$EG139=""),"ONZEKER",IF(OR($EC139="",$ED139=""),"ONZEKER",IF(AND($EF139=$EC139+1,$EG139=$ED139),IF(OR(COUNTIF(#REF!,$B139)&gt;0,COUNTIF(#REF!,$B139)=0),"SKIP",IF(COUNTIFS(#REF!,$B139,#REF!,$CR139)&gt;0,"OK","ONBEKEND")),IF(AND($EF139=$EC139,$EG139=$ED139+1),IF(OR(COUNTIF(#REF!,$D139)&gt;0,COUNTIF(#REF!,$D139)=0),"SKIP",IF(COUNTIFS(#REF!,$D139,#REF!,$CR139)&gt;0,"OK","ONBEKEND")),"ONZEKER")))))</f>
        <v/>
      </c>
      <c r="CT139" t="str">
        <f t="shared" si="1050"/>
        <v/>
      </c>
      <c r="CU139" t="str">
        <f t="shared" si="1051"/>
        <v/>
      </c>
      <c r="CV139" t="str">
        <f>IF($CU139="","",IF(OR($EI139="",$EJ139=""),"ONZEKER",IF(OR($EF139="",$EG139=""),"ONZEKER",IF(AND($EI139=$EF139+1,$EJ139=$EG139),IF(OR(COUNTIF(#REF!,$B139)&gt;0,COUNTIF(#REF!,$B139)=0),"SKIP",IF(COUNTIFS(#REF!,$B139,#REF!,$CU139)&gt;0,"OK","ONBEKEND")),IF(AND($EI139=$EF139,$EJ139=$EG139+1),IF(OR(COUNTIF(#REF!,$D139)&gt;0,COUNTIF(#REF!,$D139)=0),"SKIP",IF(COUNTIFS(#REF!,$D139,#REF!,$CU139)&gt;0,"OK","ONBEKEND")),"ONZEKER")))))</f>
        <v/>
      </c>
      <c r="CW139" t="str">
        <f t="shared" si="1052"/>
        <v/>
      </c>
      <c r="CX139" t="str">
        <f t="shared" si="1053"/>
        <v/>
      </c>
      <c r="CY139" t="str">
        <f>IF($CX139="","",IF(OR($EL139="",$EM139=""),"ONZEKER",IF(OR($EI139="",$EJ139=""),"ONZEKER",IF(AND($EL139=$EI139+1,$EM139=$EJ139),IF(OR(COUNTIF(#REF!,$B139)&gt;0,COUNTIF(#REF!,$B139)=0),"SKIP",IF(COUNTIFS(#REF!,$B139,#REF!,$CX139)&gt;0,"OK","ONBEKEND")),IF(AND($EL139=$EI139,$EM139=$EJ139+1),IF(OR(COUNTIF(#REF!,$D139)&gt;0,COUNTIF(#REF!,$D139)=0),"SKIP",IF(COUNTIFS(#REF!,$D139,#REF!,$CX139)&gt;0,"OK","ONBEKEND")),"ONZEKER")))))</f>
        <v/>
      </c>
      <c r="CZ139" t="str">
        <f t="shared" si="1054"/>
        <v/>
      </c>
      <c r="DA139" t="str">
        <f t="shared" si="1055"/>
        <v/>
      </c>
      <c r="DB139" t="str">
        <f>IF($DA139="","",IF(OR($EO139="",$EP139=""),"ONZEKER",IF(OR($EL139="",$EM139=""),"ONZEKER",IF(AND($EO139=$EL139+1,$EP139=$EM139),IF(OR(COUNTIF(#REF!,$B139)&gt;0,COUNTIF(#REF!,$B139)=0),"SKIP",IF(COUNTIFS(#REF!,$B139,#REF!,$DA139)&gt;0,"OK","ONBEKEND")),IF(AND($EO139=$EL139,$EP139=$EM139+1),IF(OR(COUNTIF(#REF!,$D139)&gt;0,COUNTIF(#REF!,$D139)=0),"SKIP",IF(COUNTIFS(#REF!,$D139,#REF!,$DA139)&gt;0,"OK","ONBEKEND")),"ONZEKER")))))</f>
        <v/>
      </c>
      <c r="DC139" t="str">
        <f t="shared" si="1056"/>
        <v/>
      </c>
      <c r="DD139" t="str">
        <f t="shared" si="1057"/>
        <v/>
      </c>
      <c r="DE139" t="str">
        <f>IF($DD139="","",IF(OR($ER139="",$ES139=""),"ONZEKER",IF(OR($EO139="",$EP139=""),"ONZEKER",IF(AND($ER139=$EO139+1,$ES139=$EP139),IF(OR(COUNTIF(#REF!,$B139)&gt;0,COUNTIF(#REF!,$B139)=0),"SKIP",IF(COUNTIFS(#REF!,$B139,#REF!,$DD139)&gt;0,"OK","ONBEKEND")),IF(AND($ER139=$EO139,$ES139=$EP139+1),IF(OR(COUNTIF(#REF!,$D139)&gt;0,COUNTIF(#REF!,$D139)=0),"SKIP",IF(COUNTIFS(#REF!,$D139,#REF!,$DD139)&gt;0,"OK","ONBEKEND")),"ONZEKER")))))</f>
        <v/>
      </c>
      <c r="DF139" t="str">
        <f t="shared" si="1058"/>
        <v/>
      </c>
      <c r="DG139" t="str">
        <f t="shared" si="1059"/>
        <v/>
      </c>
      <c r="DH139" t="str">
        <f>IF($DG139="","",IF(OR($EU139="",$EV139=""),"ONZEKER",IF(OR($ER139="",$ES139=""),"ONZEKER",IF(AND($EU139=$ER139+1,$EV139=$ES139),IF(OR(COUNTIF(#REF!,$B139)&gt;0,COUNTIF(#REF!,$B139)=0),"SKIP",IF(COUNTIFS(#REF!,$B139,#REF!,$DG139)&gt;0,"OK","ONBEKEND")),IF(AND($EU139=$ER139,$EV139=$ES139+1),IF(OR(COUNTIF(#REF!,$D139)&gt;0,COUNTIF(#REF!,$D139)=0),"SKIP",IF(COUNTIFS(#REF!,$D139,#REF!,$DG139)&gt;0,"OK","ONBEKEND")),"ONZEKER")))))</f>
        <v/>
      </c>
      <c r="DI139" t="str">
        <f t="shared" si="1060"/>
        <v/>
      </c>
      <c r="DJ139" t="str">
        <f t="shared" si="1061"/>
        <v/>
      </c>
      <c r="DK139" t="str">
        <f>IF($DJ139="","",IF(OR($EX139="",$EY139=""),"ONZEKER",IF(OR($EU139="",$EV139=""),"ONZEKER",IF(AND($EX139=$EU139+1,$EY139=$EV139),IF(OR(COUNTIF(#REF!,$B139)&gt;0,COUNTIF(#REF!,$B139)=0),"SKIP",IF(COUNTIFS(#REF!,$B139,#REF!,$DJ139)&gt;0,"OK","ONBEKEND")),IF(AND($EX139=$EU139,$EY139=$EV139+1),IF(OR(COUNTIF(#REF!,$D139)&gt;0,COUNTIF(#REF!,$D139)=0),"SKIP",IF(COUNTIFS(#REF!,$D139,#REF!,$DJ139)&gt;0,"OK","ONBEKEND")),"ONZEKER")))))</f>
        <v/>
      </c>
      <c r="DL139" t="str">
        <f t="shared" si="1062"/>
        <v/>
      </c>
      <c r="DM139" t="str">
        <f t="shared" si="1063"/>
        <v/>
      </c>
      <c r="DN139" t="str">
        <f t="shared" si="1064"/>
        <v/>
      </c>
      <c r="DO139" t="str">
        <f t="shared" si="1065"/>
        <v/>
      </c>
      <c r="DP139" t="str">
        <f t="shared" si="1066"/>
        <v/>
      </c>
      <c r="DQ139" t="str">
        <f t="shared" si="1067"/>
        <v/>
      </c>
      <c r="DR139" t="str">
        <f t="shared" si="1068"/>
        <v/>
      </c>
      <c r="DS139" t="str">
        <f t="shared" si="1069"/>
        <v/>
      </c>
      <c r="DT139" t="str">
        <f t="shared" si="1070"/>
        <v/>
      </c>
      <c r="DU139" t="str">
        <f t="shared" si="1071"/>
        <v/>
      </c>
      <c r="DV139" t="str">
        <f t="shared" si="1072"/>
        <v/>
      </c>
      <c r="DW139" t="str">
        <f t="shared" si="1073"/>
        <v/>
      </c>
      <c r="DX139" t="str">
        <f t="shared" si="1074"/>
        <v/>
      </c>
      <c r="DY139" t="str">
        <f t="shared" si="1075"/>
        <v/>
      </c>
      <c r="DZ139" t="str">
        <f t="shared" si="1076"/>
        <v/>
      </c>
      <c r="EA139" t="str">
        <f t="shared" si="1077"/>
        <v/>
      </c>
      <c r="EB139" t="str">
        <f t="shared" si="1078"/>
        <v/>
      </c>
      <c r="EC139" t="str">
        <f t="shared" si="1079"/>
        <v/>
      </c>
      <c r="ED139" t="str">
        <f t="shared" si="1080"/>
        <v/>
      </c>
      <c r="EE139" t="str">
        <f t="shared" si="1081"/>
        <v/>
      </c>
      <c r="EF139" t="str">
        <f t="shared" si="1082"/>
        <v/>
      </c>
      <c r="EG139" t="str">
        <f t="shared" si="1083"/>
        <v/>
      </c>
      <c r="EH139" t="str">
        <f t="shared" si="1084"/>
        <v/>
      </c>
      <c r="EI139" t="str">
        <f t="shared" si="1085"/>
        <v/>
      </c>
      <c r="EJ139" t="str">
        <f t="shared" si="1086"/>
        <v/>
      </c>
      <c r="EK139" t="str">
        <f t="shared" si="1087"/>
        <v/>
      </c>
      <c r="EL139" t="str">
        <f t="shared" si="1088"/>
        <v/>
      </c>
      <c r="EM139" t="str">
        <f t="shared" si="1089"/>
        <v/>
      </c>
      <c r="EN139" t="str">
        <f t="shared" si="1090"/>
        <v/>
      </c>
      <c r="EO139" t="str">
        <f t="shared" si="1091"/>
        <v/>
      </c>
      <c r="EP139" t="str">
        <f t="shared" si="1092"/>
        <v/>
      </c>
      <c r="EQ139" t="str">
        <f t="shared" si="1093"/>
        <v/>
      </c>
      <c r="ER139" t="str">
        <f t="shared" si="1094"/>
        <v/>
      </c>
      <c r="ES139" t="str">
        <f t="shared" si="1095"/>
        <v/>
      </c>
      <c r="ET139" t="str">
        <f t="shared" si="1096"/>
        <v/>
      </c>
      <c r="EU139" t="str">
        <f t="shared" si="1097"/>
        <v/>
      </c>
      <c r="EV139" t="str">
        <f t="shared" si="1098"/>
        <v/>
      </c>
      <c r="EW139" t="str">
        <f t="shared" si="1099"/>
        <v/>
      </c>
      <c r="EX139" t="str">
        <f t="shared" si="1100"/>
        <v/>
      </c>
      <c r="EY139" t="str">
        <f t="shared" si="1101"/>
        <v/>
      </c>
    </row>
    <row r="140" spans="1:155" ht="13.9" customHeight="1" x14ac:dyDescent="0.25">
      <c r="A140" s="7"/>
      <c r="B140" s="17"/>
      <c r="C140" s="8"/>
      <c r="D140" s="17"/>
      <c r="E140" s="8"/>
      <c r="F140" s="18">
        <v>0</v>
      </c>
      <c r="G140" s="7" t="s">
        <v>147</v>
      </c>
      <c r="H140" s="18">
        <v>0</v>
      </c>
      <c r="I140" s="19">
        <v>0</v>
      </c>
      <c r="J140" s="7" t="s">
        <v>147</v>
      </c>
      <c r="K140" s="19">
        <v>0</v>
      </c>
      <c r="L140" s="9"/>
      <c r="M140" s="3" t="str">
        <f>IF($L140="","",IF($L140="DOELPUNTENMAKERS","",IF(AND(COUNTIF(#REF!,$B140)=0,COUNTIF(#REF!,$D140)=0),"OK",IF($O140&gt;20,"LET OP: meer dan 20 items (controle onvolledig)",IF((COUNTIF($R140:$AS140,"ONZEKER")+COUNTIF($CJ140:$DK140,"ONZEKER"))&gt;0,"LET OP: scoreverloop onduidelijk (controle beperkt)",IF((IF($AT140&lt;&gt;"",$AT140&amp;", ","")&amp;IF($AU140&lt;&gt;"",$AU140&amp;", ","")&amp;IF($AV140&lt;&gt;"",$AV140&amp;", ","")&amp;IF($AW140&lt;&gt;"",$AW140&amp;", ","")&amp;IF($AX140&lt;&gt;"",$AX140&amp;", ","")&amp;IF($AY140&lt;&gt;"",$AY140&amp;", ","")&amp;IF($AZ140&lt;&gt;"",$AZ140&amp;", ","")&amp;IF($BA140&lt;&gt;"",$BA140&amp;", ","")&amp;IF($BB140&lt;&gt;"",$BB140&amp;", ","")&amp;IF($BC140&lt;&gt;"",$BC140&amp;", ","")&amp;IF($DL140&lt;&gt;"",$DL140&amp;", ","")&amp;IF($DM140&lt;&gt;"",$DM140&amp;", ","")&amp;IF($DN140&lt;&gt;"",$DN140&amp;", ","")&amp;IF($DO140&lt;&gt;"",$DO140&amp;", ","")&amp;IF($DP140&lt;&gt;"",$DP140&amp;", ","")&amp;IF($DQ140&lt;&gt;"",$DQ140&amp;", ","")&amp;IF($DR140&lt;&gt;"",$DR140&amp;", ","")&amp;IF($DS140&lt;&gt;"",$DS140&amp;", ","")&amp;IF($DT140&lt;&gt;"",$DT140&amp;", ","")&amp;IF($DU140&lt;&gt;"",$DU140&amp;", ",""))="","OK","Onbekend: "&amp;LEFT((IF($AT140&lt;&gt;"",$AT140&amp;", ","")&amp;IF($AU140&lt;&gt;"",$AU140&amp;", ","")&amp;IF($AV140&lt;&gt;"",$AV140&amp;", ","")&amp;IF($AW140&lt;&gt;"",$AW140&amp;", ","")&amp;IF($AX140&lt;&gt;"",$AX140&amp;", ","")&amp;IF($AY140&lt;&gt;"",$AY140&amp;", ","")&amp;IF($AZ140&lt;&gt;"",$AZ140&amp;", ","")&amp;IF($BA140&lt;&gt;"",$BA140&amp;", ","")&amp;IF($BB140&lt;&gt;"",$BB140&amp;", ","")&amp;IF($BC140&lt;&gt;"",$BC140&amp;", ","")&amp;IF($DL140&lt;&gt;"",$DL140&amp;", ","")&amp;IF($DM140&lt;&gt;"",$DM140&amp;", ","")&amp;IF($DN140&lt;&gt;"",$DN140&amp;", ","")&amp;IF($DO140&lt;&gt;"",$DO140&amp;", ","")&amp;IF($DP140&lt;&gt;"",$DP140&amp;", ","")&amp;IF($DQ140&lt;&gt;"",$DQ140&amp;", ","")&amp;IF($DR140&lt;&gt;"",$DR140&amp;", ","")&amp;IF($DS140&lt;&gt;"",$DS140&amp;", ","")&amp;IF($DT140&lt;&gt;"",$DT140&amp;", ","")&amp;IF($DU140&lt;&gt;"",$DU140&amp;", ","")),LEN((IF($AT140&lt;&gt;"",$AT140&amp;", ","")&amp;IF($AU140&lt;&gt;"",$AU140&amp;", ","")&amp;IF($AV140&lt;&gt;"",$AV140&amp;", ","")&amp;IF($AW140&lt;&gt;"",$AW140&amp;", ","")&amp;IF($AX140&lt;&gt;"",$AX140&amp;", ","")&amp;IF($AY140&lt;&gt;"",$AY140&amp;", ","")&amp;IF($AZ140&lt;&gt;"",$AZ140&amp;", ","")&amp;IF($BA140&lt;&gt;"",$BA140&amp;", ","")&amp;IF($BB140&lt;&gt;"",$BB140&amp;", ","")&amp;IF($BC140&lt;&gt;"",$BC140&amp;", ","")&amp;IF($DL140&lt;&gt;"",$DL140&amp;", ","")&amp;IF($DM140&lt;&gt;"",$DM140&amp;", ","")&amp;IF($DN140&lt;&gt;"",$DN140&amp;", ","")&amp;IF($DO140&lt;&gt;"",$DO140&amp;", ","")&amp;IF($DP140&lt;&gt;"",$DP140&amp;", ","")&amp;IF($DQ140&lt;&gt;"",$DQ140&amp;", ","")&amp;IF($DR140&lt;&gt;"",$DR140&amp;", ","")&amp;IF($DS140&lt;&gt;"",$DS140&amp;", ","")&amp;IF($DT140&lt;&gt;"",$DT140&amp;", ","")&amp;IF($DU140&lt;&gt;"",$DU140&amp;", ","")))-2)))))))</f>
        <v/>
      </c>
      <c r="N140" t="str">
        <f t="shared" si="1010"/>
        <v/>
      </c>
      <c r="O140" t="str">
        <f t="shared" si="1011"/>
        <v/>
      </c>
      <c r="P140" t="str">
        <f t="shared" si="1012"/>
        <v/>
      </c>
      <c r="Q140" t="str">
        <f t="shared" si="1013"/>
        <v/>
      </c>
      <c r="R140" t="str">
        <f>IF($Q140="","",IF(OR($BE140="",$BF140=""),"ONZEKER",IF(AND($BE140=0+1,$BF140=0),IF(OR(COUNTIF(#REF!,$B140)&gt;0,COUNTIF(#REF!,$B140)=0),"SKIP",IF(COUNTIFS(#REF!,$B140,#REF!,$Q140)&gt;0,"OK","ONBEKEND")),IF(AND($BE140=0,$BF140=0+1),IF(OR(COUNTIF(#REF!,$D140)&gt;0,COUNTIF(#REF!,$D140)=0),"SKIP",IF(COUNTIFS(#REF!,$D140,#REF!,$Q140)&gt;0,"OK","ONBEKEND")),"ONZEKER"))))</f>
        <v/>
      </c>
      <c r="S140" t="str">
        <f t="shared" si="1014"/>
        <v/>
      </c>
      <c r="T140" t="str">
        <f t="shared" si="1015"/>
        <v/>
      </c>
      <c r="U140" t="str">
        <f>IF($T140="","",IF(OR($BH140="",$BI140=""),"ONZEKER",IF(OR($BE140="",$BF140=""),"ONZEKER",IF(AND($BH140=$BE140+1,$BI140=$BF140),IF(OR(COUNTIF(#REF!,$B140)&gt;0,COUNTIF(#REF!,$B140)=0),"SKIP",IF(COUNTIFS(#REF!,$B140,#REF!,$T140)&gt;0,"OK","ONBEKEND")),IF(AND($BH140=$BE140,$BI140=$BF140+1),IF(OR(COUNTIF(#REF!,$D140)&gt;0,COUNTIF(#REF!,$D140)=0),"SKIP",IF(COUNTIFS(#REF!,$D140,#REF!,$T140)&gt;0,"OK","ONBEKEND")),"ONZEKER")))))</f>
        <v/>
      </c>
      <c r="V140" t="str">
        <f t="shared" si="1016"/>
        <v/>
      </c>
      <c r="W140" t="str">
        <f t="shared" si="1017"/>
        <v/>
      </c>
      <c r="X140" t="str">
        <f>IF($W140="","",IF(OR($BK140="",$BL140=""),"ONZEKER",IF(OR($BH140="",$BI140=""),"ONZEKER",IF(AND($BK140=$BH140+1,$BL140=$BI140),IF(OR(COUNTIF(#REF!,$B140)&gt;0,COUNTIF(#REF!,$B140)=0),"SKIP",IF(COUNTIFS(#REF!,$B140,#REF!,$W140)&gt;0,"OK","ONBEKEND")),IF(AND($BK140=$BH140,$BL140=$BI140+1),IF(OR(COUNTIF(#REF!,$D140)&gt;0,COUNTIF(#REF!,$D140)=0),"SKIP",IF(COUNTIFS(#REF!,$D140,#REF!,$W140)&gt;0,"OK","ONBEKEND")),"ONZEKER")))))</f>
        <v/>
      </c>
      <c r="Y140" t="str">
        <f t="shared" si="1018"/>
        <v/>
      </c>
      <c r="Z140" t="str">
        <f t="shared" si="1019"/>
        <v/>
      </c>
      <c r="AA140" t="str">
        <f>IF($Z140="","",IF(OR($BN140="",$BO140=""),"ONZEKER",IF(OR($BK140="",$BL140=""),"ONZEKER",IF(AND($BN140=$BK140+1,$BO140=$BL140),IF(OR(COUNTIF(#REF!,$B140)&gt;0,COUNTIF(#REF!,$B140)=0),"SKIP",IF(COUNTIFS(#REF!,$B140,#REF!,$Z140)&gt;0,"OK","ONBEKEND")),IF(AND($BN140=$BK140,$BO140=$BL140+1),IF(OR(COUNTIF(#REF!,$D140)&gt;0,COUNTIF(#REF!,$D140)=0),"SKIP",IF(COUNTIFS(#REF!,$D140,#REF!,$Z140)&gt;0,"OK","ONBEKEND")),"ONZEKER")))))</f>
        <v/>
      </c>
      <c r="AB140" t="str">
        <f t="shared" si="1020"/>
        <v/>
      </c>
      <c r="AC140" t="str">
        <f t="shared" si="1021"/>
        <v/>
      </c>
      <c r="AD140" t="str">
        <f>IF($AC140="","",IF(OR($BQ140="",$BR140=""),"ONZEKER",IF(OR($BN140="",$BO140=""),"ONZEKER",IF(AND($BQ140=$BN140+1,$BR140=$BO140),IF(OR(COUNTIF(#REF!,$B140)&gt;0,COUNTIF(#REF!,$B140)=0),"SKIP",IF(COUNTIFS(#REF!,$B140,#REF!,$AC140)&gt;0,"OK","ONBEKEND")),IF(AND($BQ140=$BN140,$BR140=$BO140+1),IF(OR(COUNTIF(#REF!,$D140)&gt;0,COUNTIF(#REF!,$D140)=0),"SKIP",IF(COUNTIFS(#REF!,$D140,#REF!,$AC140)&gt;0,"OK","ONBEKEND")),"ONZEKER")))))</f>
        <v/>
      </c>
      <c r="AE140" t="str">
        <f t="shared" si="1022"/>
        <v/>
      </c>
      <c r="AF140" t="str">
        <f t="shared" si="1023"/>
        <v/>
      </c>
      <c r="AG140" t="str">
        <f>IF($AF140="","",IF(OR($BT140="",$BU140=""),"ONZEKER",IF(OR($BQ140="",$BR140=""),"ONZEKER",IF(AND($BT140=$BQ140+1,$BU140=$BR140),IF(OR(COUNTIF(#REF!,$B140)&gt;0,COUNTIF(#REF!,$B140)=0),"SKIP",IF(COUNTIFS(#REF!,$B140,#REF!,$AF140)&gt;0,"OK","ONBEKEND")),IF(AND($BT140=$BQ140,$BU140=$BR140+1),IF(OR(COUNTIF(#REF!,$D140)&gt;0,COUNTIF(#REF!,$D140)=0),"SKIP",IF(COUNTIFS(#REF!,$D140,#REF!,$AF140)&gt;0,"OK","ONBEKEND")),"ONZEKER")))))</f>
        <v/>
      </c>
      <c r="AH140" t="str">
        <f t="shared" si="1024"/>
        <v/>
      </c>
      <c r="AI140" t="str">
        <f t="shared" si="1025"/>
        <v/>
      </c>
      <c r="AJ140" t="str">
        <f>IF($AI140="","",IF(OR($BW140="",$BX140=""),"ONZEKER",IF(OR($BT140="",$BU140=""),"ONZEKER",IF(AND($BW140=$BT140+1,$BX140=$BU140),IF(OR(COUNTIF(#REF!,$B140)&gt;0,COUNTIF(#REF!,$B140)=0),"SKIP",IF(COUNTIFS(#REF!,$B140,#REF!,$AI140)&gt;0,"OK","ONBEKEND")),IF(AND($BW140=$BT140,$BX140=$BU140+1),IF(OR(COUNTIF(#REF!,$D140)&gt;0,COUNTIF(#REF!,$D140)=0),"SKIP",IF(COUNTIFS(#REF!,$D140,#REF!,$AI140)&gt;0,"OK","ONBEKEND")),"ONZEKER")))))</f>
        <v/>
      </c>
      <c r="AK140" t="str">
        <f t="shared" si="1026"/>
        <v/>
      </c>
      <c r="AL140" t="str">
        <f t="shared" si="1027"/>
        <v/>
      </c>
      <c r="AM140" t="str">
        <f>IF($AL140="","",IF(OR($BZ140="",$CA140=""),"ONZEKER",IF(OR($BW140="",$BX140=""),"ONZEKER",IF(AND($BZ140=$BW140+1,$CA140=$BX140),IF(OR(COUNTIF(#REF!,$B140)&gt;0,COUNTIF(#REF!,$B140)=0),"SKIP",IF(COUNTIFS(#REF!,$B140,#REF!,$AL140)&gt;0,"OK","ONBEKEND")),IF(AND($BZ140=$BW140,$CA140=$BX140+1),IF(OR(COUNTIF(#REF!,$D140)&gt;0,COUNTIF(#REF!,$D140)=0),"SKIP",IF(COUNTIFS(#REF!,$D140,#REF!,$AL140)&gt;0,"OK","ONBEKEND")),"ONZEKER")))))</f>
        <v/>
      </c>
      <c r="AN140" t="str">
        <f t="shared" si="1028"/>
        <v/>
      </c>
      <c r="AO140" t="str">
        <f t="shared" si="1029"/>
        <v/>
      </c>
      <c r="AP140" t="str">
        <f>IF($AO140="","",IF(OR($CC140="",$CD140=""),"ONZEKER",IF(OR($BZ140="",$CA140=""),"ONZEKER",IF(AND($CC140=$BZ140+1,$CD140=$CA140),IF(OR(COUNTIF(#REF!,$B140)&gt;0,COUNTIF(#REF!,$B140)=0),"SKIP",IF(COUNTIFS(#REF!,$B140,#REF!,$AO140)&gt;0,"OK","ONBEKEND")),IF(AND($CC140=$BZ140,$CD140=$CA140+1),IF(OR(COUNTIF(#REF!,$D140)&gt;0,COUNTIF(#REF!,$D140)=0),"SKIP",IF(COUNTIFS(#REF!,$D140,#REF!,$AO140)&gt;0,"OK","ONBEKEND")),"ONZEKER")))))</f>
        <v/>
      </c>
      <c r="AQ140" t="str">
        <f t="shared" si="1030"/>
        <v/>
      </c>
      <c r="AR140" t="str">
        <f t="shared" si="1031"/>
        <v/>
      </c>
      <c r="AS140" t="str">
        <f>IF($AR140="","",IF(OR($CF140="",$CG140=""),"ONZEKER",IF(OR($CC140="",$CD140=""),"ONZEKER",IF(AND($CF140=$CC140+1,$CG140=$CD140),IF(OR(COUNTIF(#REF!,$B140)&gt;0,COUNTIF(#REF!,$B140)=0),"SKIP",IF(COUNTIFS(#REF!,$B140,#REF!,$AR140)&gt;0,"OK","ONBEKEND")),IF(AND($CF140=$CC140,$CG140=$CD140+1),IF(OR(COUNTIF(#REF!,$D140)&gt;0,COUNTIF(#REF!,$D140)=0),"SKIP",IF(COUNTIFS(#REF!,$D140,#REF!,$AR140)&gt;0,"OK","ONBEKEND")),"ONZEKER")))))</f>
        <v/>
      </c>
      <c r="AT140" t="str">
        <f t="shared" si="1032"/>
        <v/>
      </c>
      <c r="AU140" t="str">
        <f t="shared" si="1033"/>
        <v/>
      </c>
      <c r="AV140" t="str">
        <f t="shared" si="1034"/>
        <v/>
      </c>
      <c r="AW140" t="str">
        <f t="shared" si="1035"/>
        <v/>
      </c>
      <c r="AX140" t="str">
        <f t="shared" si="1036"/>
        <v/>
      </c>
      <c r="AY140" t="str">
        <f t="shared" si="1037"/>
        <v/>
      </c>
      <c r="AZ140" t="str">
        <f t="shared" si="1038"/>
        <v/>
      </c>
      <c r="BA140" t="str">
        <f t="shared" si="1039"/>
        <v/>
      </c>
      <c r="BB140" t="str">
        <f t="shared" si="1040"/>
        <v/>
      </c>
      <c r="BC140" t="str">
        <f t="shared" si="1041"/>
        <v/>
      </c>
      <c r="BD140" t="str">
        <f t="shared" si="980"/>
        <v/>
      </c>
      <c r="BE140" t="str">
        <f t="shared" si="981"/>
        <v/>
      </c>
      <c r="BF140" t="str">
        <f t="shared" si="982"/>
        <v/>
      </c>
      <c r="BG140" t="str">
        <f t="shared" si="983"/>
        <v/>
      </c>
      <c r="BH140" t="str">
        <f t="shared" si="984"/>
        <v/>
      </c>
      <c r="BI140" t="str">
        <f t="shared" si="985"/>
        <v/>
      </c>
      <c r="BJ140" t="str">
        <f t="shared" si="986"/>
        <v/>
      </c>
      <c r="BK140" t="str">
        <f t="shared" si="987"/>
        <v/>
      </c>
      <c r="BL140" t="str">
        <f t="shared" si="988"/>
        <v/>
      </c>
      <c r="BM140" t="str">
        <f t="shared" si="989"/>
        <v/>
      </c>
      <c r="BN140" t="str">
        <f t="shared" si="990"/>
        <v/>
      </c>
      <c r="BO140" t="str">
        <f t="shared" si="991"/>
        <v/>
      </c>
      <c r="BP140" t="str">
        <f t="shared" si="992"/>
        <v/>
      </c>
      <c r="BQ140" t="str">
        <f t="shared" si="993"/>
        <v/>
      </c>
      <c r="BR140" t="str">
        <f t="shared" si="994"/>
        <v/>
      </c>
      <c r="BS140" t="str">
        <f t="shared" si="995"/>
        <v/>
      </c>
      <c r="BT140" t="str">
        <f t="shared" si="996"/>
        <v/>
      </c>
      <c r="BU140" t="str">
        <f t="shared" si="997"/>
        <v/>
      </c>
      <c r="BV140" t="str">
        <f t="shared" si="998"/>
        <v/>
      </c>
      <c r="BW140" t="str">
        <f t="shared" si="999"/>
        <v/>
      </c>
      <c r="BX140" t="str">
        <f t="shared" si="1000"/>
        <v/>
      </c>
      <c r="BY140" t="str">
        <f t="shared" si="1001"/>
        <v/>
      </c>
      <c r="BZ140" t="str">
        <f t="shared" si="1002"/>
        <v/>
      </c>
      <c r="CA140" t="str">
        <f t="shared" si="1003"/>
        <v/>
      </c>
      <c r="CB140" t="str">
        <f t="shared" si="1004"/>
        <v/>
      </c>
      <c r="CC140" t="str">
        <f t="shared" si="1005"/>
        <v/>
      </c>
      <c r="CD140" t="str">
        <f t="shared" si="1006"/>
        <v/>
      </c>
      <c r="CE140" t="str">
        <f t="shared" si="1007"/>
        <v/>
      </c>
      <c r="CF140" t="str">
        <f t="shared" si="1008"/>
        <v/>
      </c>
      <c r="CG140" t="str">
        <f t="shared" si="1009"/>
        <v/>
      </c>
      <c r="CH140" t="str">
        <f t="shared" si="1042"/>
        <v/>
      </c>
      <c r="CI140" t="str">
        <f t="shared" si="1043"/>
        <v/>
      </c>
      <c r="CJ140" t="str">
        <f>IF($CI140="","",IF(OR($DW140="",$DX140=""),"ONZEKER",IF(OR($CF140="",$CG140=""),"ONZEKER",IF(AND($DW140=$CF140+1,$DX140=$CG140),IF(OR(COUNTIF(#REF!,$B140)&gt;0,COUNTIF(#REF!,$B140)=0),"SKIP",IF(COUNTIFS(#REF!,$B140,#REF!,$CI140)&gt;0,"OK","ONBEKEND")),IF(AND($DW140=$CF140,$DX140=$CG140+1),IF(OR(COUNTIF(#REF!,$D140)&gt;0,COUNTIF(#REF!,$D140)=0),"SKIP",IF(COUNTIFS(#REF!,$D140,#REF!,$CI140)&gt;0,"OK","ONBEKEND")),"ONZEKER")))))</f>
        <v/>
      </c>
      <c r="CK140" t="str">
        <f t="shared" si="1044"/>
        <v/>
      </c>
      <c r="CL140" t="str">
        <f t="shared" si="1045"/>
        <v/>
      </c>
      <c r="CM140" t="str">
        <f>IF($CL140="","",IF(OR($DZ140="",$EA140=""),"ONZEKER",IF(OR($DW140="",$DX140=""),"ONZEKER",IF(AND($DZ140=$DW140+1,$EA140=$DX140),IF(OR(COUNTIF(#REF!,$B140)&gt;0,COUNTIF(#REF!,$B140)=0),"SKIP",IF(COUNTIFS(#REF!,$B140,#REF!,$CL140)&gt;0,"OK","ONBEKEND")),IF(AND($DZ140=$DW140,$EA140=$DX140+1),IF(OR(COUNTIF(#REF!,$D140)&gt;0,COUNTIF(#REF!,$D140)=0),"SKIP",IF(COUNTIFS(#REF!,$D140,#REF!,$CL140)&gt;0,"OK","ONBEKEND")),"ONZEKER")))))</f>
        <v/>
      </c>
      <c r="CN140" t="str">
        <f t="shared" si="1046"/>
        <v/>
      </c>
      <c r="CO140" t="str">
        <f t="shared" si="1047"/>
        <v/>
      </c>
      <c r="CP140" t="str">
        <f>IF($CO140="","",IF(OR($EC140="",$ED140=""),"ONZEKER",IF(OR($DZ140="",$EA140=""),"ONZEKER",IF(AND($EC140=$DZ140+1,$ED140=$EA140),IF(OR(COUNTIF(#REF!,$B140)&gt;0,COUNTIF(#REF!,$B140)=0),"SKIP",IF(COUNTIFS(#REF!,$B140,#REF!,$CO140)&gt;0,"OK","ONBEKEND")),IF(AND($EC140=$DZ140,$ED140=$EA140+1),IF(OR(COUNTIF(#REF!,$D140)&gt;0,COUNTIF(#REF!,$D140)=0),"SKIP",IF(COUNTIFS(#REF!,$D140,#REF!,$CO140)&gt;0,"OK","ONBEKEND")),"ONZEKER")))))</f>
        <v/>
      </c>
      <c r="CQ140" t="str">
        <f t="shared" si="1048"/>
        <v/>
      </c>
      <c r="CR140" t="str">
        <f t="shared" si="1049"/>
        <v/>
      </c>
      <c r="CS140" t="str">
        <f>IF($CR140="","",IF(OR($EF140="",$EG140=""),"ONZEKER",IF(OR($EC140="",$ED140=""),"ONZEKER",IF(AND($EF140=$EC140+1,$EG140=$ED140),IF(OR(COUNTIF(#REF!,$B140)&gt;0,COUNTIF(#REF!,$B140)=0),"SKIP",IF(COUNTIFS(#REF!,$B140,#REF!,$CR140)&gt;0,"OK","ONBEKEND")),IF(AND($EF140=$EC140,$EG140=$ED140+1),IF(OR(COUNTIF(#REF!,$D140)&gt;0,COUNTIF(#REF!,$D140)=0),"SKIP",IF(COUNTIFS(#REF!,$D140,#REF!,$CR140)&gt;0,"OK","ONBEKEND")),"ONZEKER")))))</f>
        <v/>
      </c>
      <c r="CT140" t="str">
        <f t="shared" si="1050"/>
        <v/>
      </c>
      <c r="CU140" t="str">
        <f t="shared" si="1051"/>
        <v/>
      </c>
      <c r="CV140" t="str">
        <f>IF($CU140="","",IF(OR($EI140="",$EJ140=""),"ONZEKER",IF(OR($EF140="",$EG140=""),"ONZEKER",IF(AND($EI140=$EF140+1,$EJ140=$EG140),IF(OR(COUNTIF(#REF!,$B140)&gt;0,COUNTIF(#REF!,$B140)=0),"SKIP",IF(COUNTIFS(#REF!,$B140,#REF!,$CU140)&gt;0,"OK","ONBEKEND")),IF(AND($EI140=$EF140,$EJ140=$EG140+1),IF(OR(COUNTIF(#REF!,$D140)&gt;0,COUNTIF(#REF!,$D140)=0),"SKIP",IF(COUNTIFS(#REF!,$D140,#REF!,$CU140)&gt;0,"OK","ONBEKEND")),"ONZEKER")))))</f>
        <v/>
      </c>
      <c r="CW140" t="str">
        <f t="shared" si="1052"/>
        <v/>
      </c>
      <c r="CX140" t="str">
        <f t="shared" si="1053"/>
        <v/>
      </c>
      <c r="CY140" t="str">
        <f>IF($CX140="","",IF(OR($EL140="",$EM140=""),"ONZEKER",IF(OR($EI140="",$EJ140=""),"ONZEKER",IF(AND($EL140=$EI140+1,$EM140=$EJ140),IF(OR(COUNTIF(#REF!,$B140)&gt;0,COUNTIF(#REF!,$B140)=0),"SKIP",IF(COUNTIFS(#REF!,$B140,#REF!,$CX140)&gt;0,"OK","ONBEKEND")),IF(AND($EL140=$EI140,$EM140=$EJ140+1),IF(OR(COUNTIF(#REF!,$D140)&gt;0,COUNTIF(#REF!,$D140)=0),"SKIP",IF(COUNTIFS(#REF!,$D140,#REF!,$CX140)&gt;0,"OK","ONBEKEND")),"ONZEKER")))))</f>
        <v/>
      </c>
      <c r="CZ140" t="str">
        <f t="shared" si="1054"/>
        <v/>
      </c>
      <c r="DA140" t="str">
        <f t="shared" si="1055"/>
        <v/>
      </c>
      <c r="DB140" t="str">
        <f>IF($DA140="","",IF(OR($EO140="",$EP140=""),"ONZEKER",IF(OR($EL140="",$EM140=""),"ONZEKER",IF(AND($EO140=$EL140+1,$EP140=$EM140),IF(OR(COUNTIF(#REF!,$B140)&gt;0,COUNTIF(#REF!,$B140)=0),"SKIP",IF(COUNTIFS(#REF!,$B140,#REF!,$DA140)&gt;0,"OK","ONBEKEND")),IF(AND($EO140=$EL140,$EP140=$EM140+1),IF(OR(COUNTIF(#REF!,$D140)&gt;0,COUNTIF(#REF!,$D140)=0),"SKIP",IF(COUNTIFS(#REF!,$D140,#REF!,$DA140)&gt;0,"OK","ONBEKEND")),"ONZEKER")))))</f>
        <v/>
      </c>
      <c r="DC140" t="str">
        <f t="shared" si="1056"/>
        <v/>
      </c>
      <c r="DD140" t="str">
        <f t="shared" si="1057"/>
        <v/>
      </c>
      <c r="DE140" t="str">
        <f>IF($DD140="","",IF(OR($ER140="",$ES140=""),"ONZEKER",IF(OR($EO140="",$EP140=""),"ONZEKER",IF(AND($ER140=$EO140+1,$ES140=$EP140),IF(OR(COUNTIF(#REF!,$B140)&gt;0,COUNTIF(#REF!,$B140)=0),"SKIP",IF(COUNTIFS(#REF!,$B140,#REF!,$DD140)&gt;0,"OK","ONBEKEND")),IF(AND($ER140=$EO140,$ES140=$EP140+1),IF(OR(COUNTIF(#REF!,$D140)&gt;0,COUNTIF(#REF!,$D140)=0),"SKIP",IF(COUNTIFS(#REF!,$D140,#REF!,$DD140)&gt;0,"OK","ONBEKEND")),"ONZEKER")))))</f>
        <v/>
      </c>
      <c r="DF140" t="str">
        <f t="shared" si="1058"/>
        <v/>
      </c>
      <c r="DG140" t="str">
        <f t="shared" si="1059"/>
        <v/>
      </c>
      <c r="DH140" t="str">
        <f>IF($DG140="","",IF(OR($EU140="",$EV140=""),"ONZEKER",IF(OR($ER140="",$ES140=""),"ONZEKER",IF(AND($EU140=$ER140+1,$EV140=$ES140),IF(OR(COUNTIF(#REF!,$B140)&gt;0,COUNTIF(#REF!,$B140)=0),"SKIP",IF(COUNTIFS(#REF!,$B140,#REF!,$DG140)&gt;0,"OK","ONBEKEND")),IF(AND($EU140=$ER140,$EV140=$ES140+1),IF(OR(COUNTIF(#REF!,$D140)&gt;0,COUNTIF(#REF!,$D140)=0),"SKIP",IF(COUNTIFS(#REF!,$D140,#REF!,$DG140)&gt;0,"OK","ONBEKEND")),"ONZEKER")))))</f>
        <v/>
      </c>
      <c r="DI140" t="str">
        <f t="shared" si="1060"/>
        <v/>
      </c>
      <c r="DJ140" t="str">
        <f t="shared" si="1061"/>
        <v/>
      </c>
      <c r="DK140" t="str">
        <f>IF($DJ140="","",IF(OR($EX140="",$EY140=""),"ONZEKER",IF(OR($EU140="",$EV140=""),"ONZEKER",IF(AND($EX140=$EU140+1,$EY140=$EV140),IF(OR(COUNTIF(#REF!,$B140)&gt;0,COUNTIF(#REF!,$B140)=0),"SKIP",IF(COUNTIFS(#REF!,$B140,#REF!,$DJ140)&gt;0,"OK","ONBEKEND")),IF(AND($EX140=$EU140,$EY140=$EV140+1),IF(OR(COUNTIF(#REF!,$D140)&gt;0,COUNTIF(#REF!,$D140)=0),"SKIP",IF(COUNTIFS(#REF!,$D140,#REF!,$DJ140)&gt;0,"OK","ONBEKEND")),"ONZEKER")))))</f>
        <v/>
      </c>
      <c r="DL140" t="str">
        <f t="shared" si="1062"/>
        <v/>
      </c>
      <c r="DM140" t="str">
        <f t="shared" si="1063"/>
        <v/>
      </c>
      <c r="DN140" t="str">
        <f t="shared" si="1064"/>
        <v/>
      </c>
      <c r="DO140" t="str">
        <f t="shared" si="1065"/>
        <v/>
      </c>
      <c r="DP140" t="str">
        <f t="shared" si="1066"/>
        <v/>
      </c>
      <c r="DQ140" t="str">
        <f t="shared" si="1067"/>
        <v/>
      </c>
      <c r="DR140" t="str">
        <f t="shared" si="1068"/>
        <v/>
      </c>
      <c r="DS140" t="str">
        <f t="shared" si="1069"/>
        <v/>
      </c>
      <c r="DT140" t="str">
        <f t="shared" si="1070"/>
        <v/>
      </c>
      <c r="DU140" t="str">
        <f t="shared" si="1071"/>
        <v/>
      </c>
      <c r="DV140" t="str">
        <f t="shared" si="1072"/>
        <v/>
      </c>
      <c r="DW140" t="str">
        <f t="shared" si="1073"/>
        <v/>
      </c>
      <c r="DX140" t="str">
        <f t="shared" si="1074"/>
        <v/>
      </c>
      <c r="DY140" t="str">
        <f t="shared" si="1075"/>
        <v/>
      </c>
      <c r="DZ140" t="str">
        <f t="shared" si="1076"/>
        <v/>
      </c>
      <c r="EA140" t="str">
        <f t="shared" si="1077"/>
        <v/>
      </c>
      <c r="EB140" t="str">
        <f t="shared" si="1078"/>
        <v/>
      </c>
      <c r="EC140" t="str">
        <f t="shared" si="1079"/>
        <v/>
      </c>
      <c r="ED140" t="str">
        <f t="shared" si="1080"/>
        <v/>
      </c>
      <c r="EE140" t="str">
        <f t="shared" si="1081"/>
        <v/>
      </c>
      <c r="EF140" t="str">
        <f t="shared" si="1082"/>
        <v/>
      </c>
      <c r="EG140" t="str">
        <f t="shared" si="1083"/>
        <v/>
      </c>
      <c r="EH140" t="str">
        <f t="shared" si="1084"/>
        <v/>
      </c>
      <c r="EI140" t="str">
        <f t="shared" si="1085"/>
        <v/>
      </c>
      <c r="EJ140" t="str">
        <f t="shared" si="1086"/>
        <v/>
      </c>
      <c r="EK140" t="str">
        <f t="shared" si="1087"/>
        <v/>
      </c>
      <c r="EL140" t="str">
        <f t="shared" si="1088"/>
        <v/>
      </c>
      <c r="EM140" t="str">
        <f t="shared" si="1089"/>
        <v/>
      </c>
      <c r="EN140" t="str">
        <f t="shared" si="1090"/>
        <v/>
      </c>
      <c r="EO140" t="str">
        <f t="shared" si="1091"/>
        <v/>
      </c>
      <c r="EP140" t="str">
        <f t="shared" si="1092"/>
        <v/>
      </c>
      <c r="EQ140" t="str">
        <f t="shared" si="1093"/>
        <v/>
      </c>
      <c r="ER140" t="str">
        <f t="shared" si="1094"/>
        <v/>
      </c>
      <c r="ES140" t="str">
        <f t="shared" si="1095"/>
        <v/>
      </c>
      <c r="ET140" t="str">
        <f t="shared" si="1096"/>
        <v/>
      </c>
      <c r="EU140" t="str">
        <f t="shared" si="1097"/>
        <v/>
      </c>
      <c r="EV140" t="str">
        <f t="shared" si="1098"/>
        <v/>
      </c>
      <c r="EW140" t="str">
        <f t="shared" si="1099"/>
        <v/>
      </c>
      <c r="EX140" t="str">
        <f t="shared" si="1100"/>
        <v/>
      </c>
      <c r="EY140" t="str">
        <f t="shared" si="1101"/>
        <v/>
      </c>
    </row>
    <row r="141" spans="1:155" ht="13.9" customHeight="1" x14ac:dyDescent="0.25">
      <c r="A141" s="7"/>
      <c r="B141" s="17"/>
      <c r="C141" s="8"/>
      <c r="D141" s="17"/>
      <c r="E141" s="8"/>
      <c r="F141" s="18">
        <v>0</v>
      </c>
      <c r="G141" s="7" t="s">
        <v>147</v>
      </c>
      <c r="H141" s="18">
        <v>0</v>
      </c>
      <c r="I141" s="19">
        <v>0</v>
      </c>
      <c r="J141" s="7" t="s">
        <v>147</v>
      </c>
      <c r="K141" s="19">
        <v>0</v>
      </c>
      <c r="L141" s="9"/>
      <c r="M141" s="3" t="str">
        <f>IF($L141="","",IF($L141="DOELPUNTENMAKERS","",IF(AND(COUNTIF(#REF!,$B141)=0,COUNTIF(#REF!,$D141)=0),"OK",IF($O141&gt;20,"LET OP: meer dan 20 items (controle onvolledig)",IF((COUNTIF($R141:$AS141,"ONZEKER")+COUNTIF($CJ141:$DK141,"ONZEKER"))&gt;0,"LET OP: scoreverloop onduidelijk (controle beperkt)",IF((IF($AT141&lt;&gt;"",$AT141&amp;", ","")&amp;IF($AU141&lt;&gt;"",$AU141&amp;", ","")&amp;IF($AV141&lt;&gt;"",$AV141&amp;", ","")&amp;IF($AW141&lt;&gt;"",$AW141&amp;", ","")&amp;IF($AX141&lt;&gt;"",$AX141&amp;", ","")&amp;IF($AY141&lt;&gt;"",$AY141&amp;", ","")&amp;IF($AZ141&lt;&gt;"",$AZ141&amp;", ","")&amp;IF($BA141&lt;&gt;"",$BA141&amp;", ","")&amp;IF($BB141&lt;&gt;"",$BB141&amp;", ","")&amp;IF($BC141&lt;&gt;"",$BC141&amp;", ","")&amp;IF($DL141&lt;&gt;"",$DL141&amp;", ","")&amp;IF($DM141&lt;&gt;"",$DM141&amp;", ","")&amp;IF($DN141&lt;&gt;"",$DN141&amp;", ","")&amp;IF($DO141&lt;&gt;"",$DO141&amp;", ","")&amp;IF($DP141&lt;&gt;"",$DP141&amp;", ","")&amp;IF($DQ141&lt;&gt;"",$DQ141&amp;", ","")&amp;IF($DR141&lt;&gt;"",$DR141&amp;", ","")&amp;IF($DS141&lt;&gt;"",$DS141&amp;", ","")&amp;IF($DT141&lt;&gt;"",$DT141&amp;", ","")&amp;IF($DU141&lt;&gt;"",$DU141&amp;", ",""))="","OK","Onbekend: "&amp;LEFT((IF($AT141&lt;&gt;"",$AT141&amp;", ","")&amp;IF($AU141&lt;&gt;"",$AU141&amp;", ","")&amp;IF($AV141&lt;&gt;"",$AV141&amp;", ","")&amp;IF($AW141&lt;&gt;"",$AW141&amp;", ","")&amp;IF($AX141&lt;&gt;"",$AX141&amp;", ","")&amp;IF($AY141&lt;&gt;"",$AY141&amp;", ","")&amp;IF($AZ141&lt;&gt;"",$AZ141&amp;", ","")&amp;IF($BA141&lt;&gt;"",$BA141&amp;", ","")&amp;IF($BB141&lt;&gt;"",$BB141&amp;", ","")&amp;IF($BC141&lt;&gt;"",$BC141&amp;", ","")&amp;IF($DL141&lt;&gt;"",$DL141&amp;", ","")&amp;IF($DM141&lt;&gt;"",$DM141&amp;", ","")&amp;IF($DN141&lt;&gt;"",$DN141&amp;", ","")&amp;IF($DO141&lt;&gt;"",$DO141&amp;", ","")&amp;IF($DP141&lt;&gt;"",$DP141&amp;", ","")&amp;IF($DQ141&lt;&gt;"",$DQ141&amp;", ","")&amp;IF($DR141&lt;&gt;"",$DR141&amp;", ","")&amp;IF($DS141&lt;&gt;"",$DS141&amp;", ","")&amp;IF($DT141&lt;&gt;"",$DT141&amp;", ","")&amp;IF($DU141&lt;&gt;"",$DU141&amp;", ","")),LEN((IF($AT141&lt;&gt;"",$AT141&amp;", ","")&amp;IF($AU141&lt;&gt;"",$AU141&amp;", ","")&amp;IF($AV141&lt;&gt;"",$AV141&amp;", ","")&amp;IF($AW141&lt;&gt;"",$AW141&amp;", ","")&amp;IF($AX141&lt;&gt;"",$AX141&amp;", ","")&amp;IF($AY141&lt;&gt;"",$AY141&amp;", ","")&amp;IF($AZ141&lt;&gt;"",$AZ141&amp;", ","")&amp;IF($BA141&lt;&gt;"",$BA141&amp;", ","")&amp;IF($BB141&lt;&gt;"",$BB141&amp;", ","")&amp;IF($BC141&lt;&gt;"",$BC141&amp;", ","")&amp;IF($DL141&lt;&gt;"",$DL141&amp;", ","")&amp;IF($DM141&lt;&gt;"",$DM141&amp;", ","")&amp;IF($DN141&lt;&gt;"",$DN141&amp;", ","")&amp;IF($DO141&lt;&gt;"",$DO141&amp;", ","")&amp;IF($DP141&lt;&gt;"",$DP141&amp;", ","")&amp;IF($DQ141&lt;&gt;"",$DQ141&amp;", ","")&amp;IF($DR141&lt;&gt;"",$DR141&amp;", ","")&amp;IF($DS141&lt;&gt;"",$DS141&amp;", ","")&amp;IF($DT141&lt;&gt;"",$DT141&amp;", ","")&amp;IF($DU141&lt;&gt;"",$DU141&amp;", ","")))-2)))))))</f>
        <v/>
      </c>
      <c r="N141" t="str">
        <f t="shared" si="1010"/>
        <v/>
      </c>
      <c r="O141" t="str">
        <f t="shared" si="1011"/>
        <v/>
      </c>
      <c r="P141" t="str">
        <f t="shared" si="1012"/>
        <v/>
      </c>
      <c r="Q141" t="str">
        <f t="shared" si="1013"/>
        <v/>
      </c>
      <c r="R141" t="str">
        <f>IF($Q141="","",IF(OR($BE141="",$BF141=""),"ONZEKER",IF(AND($BE141=0+1,$BF141=0),IF(OR(COUNTIF(#REF!,$B141)&gt;0,COUNTIF(#REF!,$B141)=0),"SKIP",IF(COUNTIFS(#REF!,$B141,#REF!,$Q141)&gt;0,"OK","ONBEKEND")),IF(AND($BE141=0,$BF141=0+1),IF(OR(COUNTIF(#REF!,$D141)&gt;0,COUNTIF(#REF!,$D141)=0),"SKIP",IF(COUNTIFS(#REF!,$D141,#REF!,$Q141)&gt;0,"OK","ONBEKEND")),"ONZEKER"))))</f>
        <v/>
      </c>
      <c r="S141" t="str">
        <f t="shared" si="1014"/>
        <v/>
      </c>
      <c r="T141" t="str">
        <f t="shared" si="1015"/>
        <v/>
      </c>
      <c r="U141" t="str">
        <f>IF($T141="","",IF(OR($BH141="",$BI141=""),"ONZEKER",IF(OR($BE141="",$BF141=""),"ONZEKER",IF(AND($BH141=$BE141+1,$BI141=$BF141),IF(OR(COUNTIF(#REF!,$B141)&gt;0,COUNTIF(#REF!,$B141)=0),"SKIP",IF(COUNTIFS(#REF!,$B141,#REF!,$T141)&gt;0,"OK","ONBEKEND")),IF(AND($BH141=$BE141,$BI141=$BF141+1),IF(OR(COUNTIF(#REF!,$D141)&gt;0,COUNTIF(#REF!,$D141)=0),"SKIP",IF(COUNTIFS(#REF!,$D141,#REF!,$T141)&gt;0,"OK","ONBEKEND")),"ONZEKER")))))</f>
        <v/>
      </c>
      <c r="V141" t="str">
        <f t="shared" si="1016"/>
        <v/>
      </c>
      <c r="W141" t="str">
        <f t="shared" si="1017"/>
        <v/>
      </c>
      <c r="X141" t="str">
        <f>IF($W141="","",IF(OR($BK141="",$BL141=""),"ONZEKER",IF(OR($BH141="",$BI141=""),"ONZEKER",IF(AND($BK141=$BH141+1,$BL141=$BI141),IF(OR(COUNTIF(#REF!,$B141)&gt;0,COUNTIF(#REF!,$B141)=0),"SKIP",IF(COUNTIFS(#REF!,$B141,#REF!,$W141)&gt;0,"OK","ONBEKEND")),IF(AND($BK141=$BH141,$BL141=$BI141+1),IF(OR(COUNTIF(#REF!,$D141)&gt;0,COUNTIF(#REF!,$D141)=0),"SKIP",IF(COUNTIFS(#REF!,$D141,#REF!,$W141)&gt;0,"OK","ONBEKEND")),"ONZEKER")))))</f>
        <v/>
      </c>
      <c r="Y141" t="str">
        <f t="shared" si="1018"/>
        <v/>
      </c>
      <c r="Z141" t="str">
        <f t="shared" si="1019"/>
        <v/>
      </c>
      <c r="AA141" t="str">
        <f>IF($Z141="","",IF(OR($BN141="",$BO141=""),"ONZEKER",IF(OR($BK141="",$BL141=""),"ONZEKER",IF(AND($BN141=$BK141+1,$BO141=$BL141),IF(OR(COUNTIF(#REF!,$B141)&gt;0,COUNTIF(#REF!,$B141)=0),"SKIP",IF(COUNTIFS(#REF!,$B141,#REF!,$Z141)&gt;0,"OK","ONBEKEND")),IF(AND($BN141=$BK141,$BO141=$BL141+1),IF(OR(COUNTIF(#REF!,$D141)&gt;0,COUNTIF(#REF!,$D141)=0),"SKIP",IF(COUNTIFS(#REF!,$D141,#REF!,$Z141)&gt;0,"OK","ONBEKEND")),"ONZEKER")))))</f>
        <v/>
      </c>
      <c r="AB141" t="str">
        <f t="shared" si="1020"/>
        <v/>
      </c>
      <c r="AC141" t="str">
        <f t="shared" si="1021"/>
        <v/>
      </c>
      <c r="AD141" t="str">
        <f>IF($AC141="","",IF(OR($BQ141="",$BR141=""),"ONZEKER",IF(OR($BN141="",$BO141=""),"ONZEKER",IF(AND($BQ141=$BN141+1,$BR141=$BO141),IF(OR(COUNTIF(#REF!,$B141)&gt;0,COUNTIF(#REF!,$B141)=0),"SKIP",IF(COUNTIFS(#REF!,$B141,#REF!,$AC141)&gt;0,"OK","ONBEKEND")),IF(AND($BQ141=$BN141,$BR141=$BO141+1),IF(OR(COUNTIF(#REF!,$D141)&gt;0,COUNTIF(#REF!,$D141)=0),"SKIP",IF(COUNTIFS(#REF!,$D141,#REF!,$AC141)&gt;0,"OK","ONBEKEND")),"ONZEKER")))))</f>
        <v/>
      </c>
      <c r="AE141" t="str">
        <f t="shared" si="1022"/>
        <v/>
      </c>
      <c r="AF141" t="str">
        <f t="shared" si="1023"/>
        <v/>
      </c>
      <c r="AG141" t="str">
        <f>IF($AF141="","",IF(OR($BT141="",$BU141=""),"ONZEKER",IF(OR($BQ141="",$BR141=""),"ONZEKER",IF(AND($BT141=$BQ141+1,$BU141=$BR141),IF(OR(COUNTIF(#REF!,$B141)&gt;0,COUNTIF(#REF!,$B141)=0),"SKIP",IF(COUNTIFS(#REF!,$B141,#REF!,$AF141)&gt;0,"OK","ONBEKEND")),IF(AND($BT141=$BQ141,$BU141=$BR141+1),IF(OR(COUNTIF(#REF!,$D141)&gt;0,COUNTIF(#REF!,$D141)=0),"SKIP",IF(COUNTIFS(#REF!,$D141,#REF!,$AF141)&gt;0,"OK","ONBEKEND")),"ONZEKER")))))</f>
        <v/>
      </c>
      <c r="AH141" t="str">
        <f t="shared" si="1024"/>
        <v/>
      </c>
      <c r="AI141" t="str">
        <f t="shared" si="1025"/>
        <v/>
      </c>
      <c r="AJ141" t="str">
        <f>IF($AI141="","",IF(OR($BW141="",$BX141=""),"ONZEKER",IF(OR($BT141="",$BU141=""),"ONZEKER",IF(AND($BW141=$BT141+1,$BX141=$BU141),IF(OR(COUNTIF(#REF!,$B141)&gt;0,COUNTIF(#REF!,$B141)=0),"SKIP",IF(COUNTIFS(#REF!,$B141,#REF!,$AI141)&gt;0,"OK","ONBEKEND")),IF(AND($BW141=$BT141,$BX141=$BU141+1),IF(OR(COUNTIF(#REF!,$D141)&gt;0,COUNTIF(#REF!,$D141)=0),"SKIP",IF(COUNTIFS(#REF!,$D141,#REF!,$AI141)&gt;0,"OK","ONBEKEND")),"ONZEKER")))))</f>
        <v/>
      </c>
      <c r="AK141" t="str">
        <f t="shared" si="1026"/>
        <v/>
      </c>
      <c r="AL141" t="str">
        <f t="shared" si="1027"/>
        <v/>
      </c>
      <c r="AM141" t="str">
        <f>IF($AL141="","",IF(OR($BZ141="",$CA141=""),"ONZEKER",IF(OR($BW141="",$BX141=""),"ONZEKER",IF(AND($BZ141=$BW141+1,$CA141=$BX141),IF(OR(COUNTIF(#REF!,$B141)&gt;0,COUNTIF(#REF!,$B141)=0),"SKIP",IF(COUNTIFS(#REF!,$B141,#REF!,$AL141)&gt;0,"OK","ONBEKEND")),IF(AND($BZ141=$BW141,$CA141=$BX141+1),IF(OR(COUNTIF(#REF!,$D141)&gt;0,COUNTIF(#REF!,$D141)=0),"SKIP",IF(COUNTIFS(#REF!,$D141,#REF!,$AL141)&gt;0,"OK","ONBEKEND")),"ONZEKER")))))</f>
        <v/>
      </c>
      <c r="AN141" t="str">
        <f t="shared" si="1028"/>
        <v/>
      </c>
      <c r="AO141" t="str">
        <f t="shared" si="1029"/>
        <v/>
      </c>
      <c r="AP141" t="str">
        <f>IF($AO141="","",IF(OR($CC141="",$CD141=""),"ONZEKER",IF(OR($BZ141="",$CA141=""),"ONZEKER",IF(AND($CC141=$BZ141+1,$CD141=$CA141),IF(OR(COUNTIF(#REF!,$B141)&gt;0,COUNTIF(#REF!,$B141)=0),"SKIP",IF(COUNTIFS(#REF!,$B141,#REF!,$AO141)&gt;0,"OK","ONBEKEND")),IF(AND($CC141=$BZ141,$CD141=$CA141+1),IF(OR(COUNTIF(#REF!,$D141)&gt;0,COUNTIF(#REF!,$D141)=0),"SKIP",IF(COUNTIFS(#REF!,$D141,#REF!,$AO141)&gt;0,"OK","ONBEKEND")),"ONZEKER")))))</f>
        <v/>
      </c>
      <c r="AQ141" t="str">
        <f t="shared" si="1030"/>
        <v/>
      </c>
      <c r="AR141" t="str">
        <f t="shared" si="1031"/>
        <v/>
      </c>
      <c r="AS141" t="str">
        <f>IF($AR141="","",IF(OR($CF141="",$CG141=""),"ONZEKER",IF(OR($CC141="",$CD141=""),"ONZEKER",IF(AND($CF141=$CC141+1,$CG141=$CD141),IF(OR(COUNTIF(#REF!,$B141)&gt;0,COUNTIF(#REF!,$B141)=0),"SKIP",IF(COUNTIFS(#REF!,$B141,#REF!,$AR141)&gt;0,"OK","ONBEKEND")),IF(AND($CF141=$CC141,$CG141=$CD141+1),IF(OR(COUNTIF(#REF!,$D141)&gt;0,COUNTIF(#REF!,$D141)=0),"SKIP",IF(COUNTIFS(#REF!,$D141,#REF!,$AR141)&gt;0,"OK","ONBEKEND")),"ONZEKER")))))</f>
        <v/>
      </c>
      <c r="AT141" t="str">
        <f t="shared" si="1032"/>
        <v/>
      </c>
      <c r="AU141" t="str">
        <f t="shared" si="1033"/>
        <v/>
      </c>
      <c r="AV141" t="str">
        <f t="shared" si="1034"/>
        <v/>
      </c>
      <c r="AW141" t="str">
        <f t="shared" si="1035"/>
        <v/>
      </c>
      <c r="AX141" t="str">
        <f t="shared" si="1036"/>
        <v/>
      </c>
      <c r="AY141" t="str">
        <f t="shared" si="1037"/>
        <v/>
      </c>
      <c r="AZ141" t="str">
        <f t="shared" si="1038"/>
        <v/>
      </c>
      <c r="BA141" t="str">
        <f t="shared" si="1039"/>
        <v/>
      </c>
      <c r="BB141" t="str">
        <f t="shared" si="1040"/>
        <v/>
      </c>
      <c r="BC141" t="str">
        <f t="shared" si="1041"/>
        <v/>
      </c>
      <c r="BD141" t="str">
        <f t="shared" si="980"/>
        <v/>
      </c>
      <c r="BE141" t="str">
        <f t="shared" si="981"/>
        <v/>
      </c>
      <c r="BF141" t="str">
        <f t="shared" si="982"/>
        <v/>
      </c>
      <c r="BG141" t="str">
        <f t="shared" si="983"/>
        <v/>
      </c>
      <c r="BH141" t="str">
        <f t="shared" si="984"/>
        <v/>
      </c>
      <c r="BI141" t="str">
        <f t="shared" si="985"/>
        <v/>
      </c>
      <c r="BJ141" t="str">
        <f t="shared" si="986"/>
        <v/>
      </c>
      <c r="BK141" t="str">
        <f t="shared" si="987"/>
        <v/>
      </c>
      <c r="BL141" t="str">
        <f t="shared" si="988"/>
        <v/>
      </c>
      <c r="BM141" t="str">
        <f t="shared" si="989"/>
        <v/>
      </c>
      <c r="BN141" t="str">
        <f t="shared" si="990"/>
        <v/>
      </c>
      <c r="BO141" t="str">
        <f t="shared" si="991"/>
        <v/>
      </c>
      <c r="BP141" t="str">
        <f t="shared" si="992"/>
        <v/>
      </c>
      <c r="BQ141" t="str">
        <f t="shared" si="993"/>
        <v/>
      </c>
      <c r="BR141" t="str">
        <f t="shared" si="994"/>
        <v/>
      </c>
      <c r="BS141" t="str">
        <f t="shared" si="995"/>
        <v/>
      </c>
      <c r="BT141" t="str">
        <f t="shared" si="996"/>
        <v/>
      </c>
      <c r="BU141" t="str">
        <f t="shared" si="997"/>
        <v/>
      </c>
      <c r="BV141" t="str">
        <f t="shared" si="998"/>
        <v/>
      </c>
      <c r="BW141" t="str">
        <f t="shared" si="999"/>
        <v/>
      </c>
      <c r="BX141" t="str">
        <f t="shared" si="1000"/>
        <v/>
      </c>
      <c r="BY141" t="str">
        <f t="shared" si="1001"/>
        <v/>
      </c>
      <c r="BZ141" t="str">
        <f t="shared" si="1002"/>
        <v/>
      </c>
      <c r="CA141" t="str">
        <f t="shared" si="1003"/>
        <v/>
      </c>
      <c r="CB141" t="str">
        <f t="shared" si="1004"/>
        <v/>
      </c>
      <c r="CC141" t="str">
        <f t="shared" si="1005"/>
        <v/>
      </c>
      <c r="CD141" t="str">
        <f t="shared" si="1006"/>
        <v/>
      </c>
      <c r="CE141" t="str">
        <f t="shared" si="1007"/>
        <v/>
      </c>
      <c r="CF141" t="str">
        <f t="shared" si="1008"/>
        <v/>
      </c>
      <c r="CG141" t="str">
        <f t="shared" si="1009"/>
        <v/>
      </c>
      <c r="CH141" t="str">
        <f t="shared" si="1042"/>
        <v/>
      </c>
      <c r="CI141" t="str">
        <f t="shared" si="1043"/>
        <v/>
      </c>
      <c r="CJ141" t="str">
        <f>IF($CI141="","",IF(OR($DW141="",$DX141=""),"ONZEKER",IF(OR($CF141="",$CG141=""),"ONZEKER",IF(AND($DW141=$CF141+1,$DX141=$CG141),IF(OR(COUNTIF(#REF!,$B141)&gt;0,COUNTIF(#REF!,$B141)=0),"SKIP",IF(COUNTIFS(#REF!,$B141,#REF!,$CI141)&gt;0,"OK","ONBEKEND")),IF(AND($DW141=$CF141,$DX141=$CG141+1),IF(OR(COUNTIF(#REF!,$D141)&gt;0,COUNTIF(#REF!,$D141)=0),"SKIP",IF(COUNTIFS(#REF!,$D141,#REF!,$CI141)&gt;0,"OK","ONBEKEND")),"ONZEKER")))))</f>
        <v/>
      </c>
      <c r="CK141" t="str">
        <f t="shared" si="1044"/>
        <v/>
      </c>
      <c r="CL141" t="str">
        <f t="shared" si="1045"/>
        <v/>
      </c>
      <c r="CM141" t="str">
        <f>IF($CL141="","",IF(OR($DZ141="",$EA141=""),"ONZEKER",IF(OR($DW141="",$DX141=""),"ONZEKER",IF(AND($DZ141=$DW141+1,$EA141=$DX141),IF(OR(COUNTIF(#REF!,$B141)&gt;0,COUNTIF(#REF!,$B141)=0),"SKIP",IF(COUNTIFS(#REF!,$B141,#REF!,$CL141)&gt;0,"OK","ONBEKEND")),IF(AND($DZ141=$DW141,$EA141=$DX141+1),IF(OR(COUNTIF(#REF!,$D141)&gt;0,COUNTIF(#REF!,$D141)=0),"SKIP",IF(COUNTIFS(#REF!,$D141,#REF!,$CL141)&gt;0,"OK","ONBEKEND")),"ONZEKER")))))</f>
        <v/>
      </c>
      <c r="CN141" t="str">
        <f t="shared" si="1046"/>
        <v/>
      </c>
      <c r="CO141" t="str">
        <f t="shared" si="1047"/>
        <v/>
      </c>
      <c r="CP141" t="str">
        <f>IF($CO141="","",IF(OR($EC141="",$ED141=""),"ONZEKER",IF(OR($DZ141="",$EA141=""),"ONZEKER",IF(AND($EC141=$DZ141+1,$ED141=$EA141),IF(OR(COUNTIF(#REF!,$B141)&gt;0,COUNTIF(#REF!,$B141)=0),"SKIP",IF(COUNTIFS(#REF!,$B141,#REF!,$CO141)&gt;0,"OK","ONBEKEND")),IF(AND($EC141=$DZ141,$ED141=$EA141+1),IF(OR(COUNTIF(#REF!,$D141)&gt;0,COUNTIF(#REF!,$D141)=0),"SKIP",IF(COUNTIFS(#REF!,$D141,#REF!,$CO141)&gt;0,"OK","ONBEKEND")),"ONZEKER")))))</f>
        <v/>
      </c>
      <c r="CQ141" t="str">
        <f t="shared" si="1048"/>
        <v/>
      </c>
      <c r="CR141" t="str">
        <f t="shared" si="1049"/>
        <v/>
      </c>
      <c r="CS141" t="str">
        <f>IF($CR141="","",IF(OR($EF141="",$EG141=""),"ONZEKER",IF(OR($EC141="",$ED141=""),"ONZEKER",IF(AND($EF141=$EC141+1,$EG141=$ED141),IF(OR(COUNTIF(#REF!,$B141)&gt;0,COUNTIF(#REF!,$B141)=0),"SKIP",IF(COUNTIFS(#REF!,$B141,#REF!,$CR141)&gt;0,"OK","ONBEKEND")),IF(AND($EF141=$EC141,$EG141=$ED141+1),IF(OR(COUNTIF(#REF!,$D141)&gt;0,COUNTIF(#REF!,$D141)=0),"SKIP",IF(COUNTIFS(#REF!,$D141,#REF!,$CR141)&gt;0,"OK","ONBEKEND")),"ONZEKER")))))</f>
        <v/>
      </c>
      <c r="CT141" t="str">
        <f t="shared" si="1050"/>
        <v/>
      </c>
      <c r="CU141" t="str">
        <f t="shared" si="1051"/>
        <v/>
      </c>
      <c r="CV141" t="str">
        <f>IF($CU141="","",IF(OR($EI141="",$EJ141=""),"ONZEKER",IF(OR($EF141="",$EG141=""),"ONZEKER",IF(AND($EI141=$EF141+1,$EJ141=$EG141),IF(OR(COUNTIF(#REF!,$B141)&gt;0,COUNTIF(#REF!,$B141)=0),"SKIP",IF(COUNTIFS(#REF!,$B141,#REF!,$CU141)&gt;0,"OK","ONBEKEND")),IF(AND($EI141=$EF141,$EJ141=$EG141+1),IF(OR(COUNTIF(#REF!,$D141)&gt;0,COUNTIF(#REF!,$D141)=0),"SKIP",IF(COUNTIFS(#REF!,$D141,#REF!,$CU141)&gt;0,"OK","ONBEKEND")),"ONZEKER")))))</f>
        <v/>
      </c>
      <c r="CW141" t="str">
        <f t="shared" si="1052"/>
        <v/>
      </c>
      <c r="CX141" t="str">
        <f t="shared" si="1053"/>
        <v/>
      </c>
      <c r="CY141" t="str">
        <f>IF($CX141="","",IF(OR($EL141="",$EM141=""),"ONZEKER",IF(OR($EI141="",$EJ141=""),"ONZEKER",IF(AND($EL141=$EI141+1,$EM141=$EJ141),IF(OR(COUNTIF(#REF!,$B141)&gt;0,COUNTIF(#REF!,$B141)=0),"SKIP",IF(COUNTIFS(#REF!,$B141,#REF!,$CX141)&gt;0,"OK","ONBEKEND")),IF(AND($EL141=$EI141,$EM141=$EJ141+1),IF(OR(COUNTIF(#REF!,$D141)&gt;0,COUNTIF(#REF!,$D141)=0),"SKIP",IF(COUNTIFS(#REF!,$D141,#REF!,$CX141)&gt;0,"OK","ONBEKEND")),"ONZEKER")))))</f>
        <v/>
      </c>
      <c r="CZ141" t="str">
        <f t="shared" si="1054"/>
        <v/>
      </c>
      <c r="DA141" t="str">
        <f t="shared" si="1055"/>
        <v/>
      </c>
      <c r="DB141" t="str">
        <f>IF($DA141="","",IF(OR($EO141="",$EP141=""),"ONZEKER",IF(OR($EL141="",$EM141=""),"ONZEKER",IF(AND($EO141=$EL141+1,$EP141=$EM141),IF(OR(COUNTIF(#REF!,$B141)&gt;0,COUNTIF(#REF!,$B141)=0),"SKIP",IF(COUNTIFS(#REF!,$B141,#REF!,$DA141)&gt;0,"OK","ONBEKEND")),IF(AND($EO141=$EL141,$EP141=$EM141+1),IF(OR(COUNTIF(#REF!,$D141)&gt;0,COUNTIF(#REF!,$D141)=0),"SKIP",IF(COUNTIFS(#REF!,$D141,#REF!,$DA141)&gt;0,"OK","ONBEKEND")),"ONZEKER")))))</f>
        <v/>
      </c>
      <c r="DC141" t="str">
        <f t="shared" si="1056"/>
        <v/>
      </c>
      <c r="DD141" t="str">
        <f t="shared" si="1057"/>
        <v/>
      </c>
      <c r="DE141" t="str">
        <f>IF($DD141="","",IF(OR($ER141="",$ES141=""),"ONZEKER",IF(OR($EO141="",$EP141=""),"ONZEKER",IF(AND($ER141=$EO141+1,$ES141=$EP141),IF(OR(COUNTIF(#REF!,$B141)&gt;0,COUNTIF(#REF!,$B141)=0),"SKIP",IF(COUNTIFS(#REF!,$B141,#REF!,$DD141)&gt;0,"OK","ONBEKEND")),IF(AND($ER141=$EO141,$ES141=$EP141+1),IF(OR(COUNTIF(#REF!,$D141)&gt;0,COUNTIF(#REF!,$D141)=0),"SKIP",IF(COUNTIFS(#REF!,$D141,#REF!,$DD141)&gt;0,"OK","ONBEKEND")),"ONZEKER")))))</f>
        <v/>
      </c>
      <c r="DF141" t="str">
        <f t="shared" si="1058"/>
        <v/>
      </c>
      <c r="DG141" t="str">
        <f t="shared" si="1059"/>
        <v/>
      </c>
      <c r="DH141" t="str">
        <f>IF($DG141="","",IF(OR($EU141="",$EV141=""),"ONZEKER",IF(OR($ER141="",$ES141=""),"ONZEKER",IF(AND($EU141=$ER141+1,$EV141=$ES141),IF(OR(COUNTIF(#REF!,$B141)&gt;0,COUNTIF(#REF!,$B141)=0),"SKIP",IF(COUNTIFS(#REF!,$B141,#REF!,$DG141)&gt;0,"OK","ONBEKEND")),IF(AND($EU141=$ER141,$EV141=$ES141+1),IF(OR(COUNTIF(#REF!,$D141)&gt;0,COUNTIF(#REF!,$D141)=0),"SKIP",IF(COUNTIFS(#REF!,$D141,#REF!,$DG141)&gt;0,"OK","ONBEKEND")),"ONZEKER")))))</f>
        <v/>
      </c>
      <c r="DI141" t="str">
        <f t="shared" si="1060"/>
        <v/>
      </c>
      <c r="DJ141" t="str">
        <f t="shared" si="1061"/>
        <v/>
      </c>
      <c r="DK141" t="str">
        <f>IF($DJ141="","",IF(OR($EX141="",$EY141=""),"ONZEKER",IF(OR($EU141="",$EV141=""),"ONZEKER",IF(AND($EX141=$EU141+1,$EY141=$EV141),IF(OR(COUNTIF(#REF!,$B141)&gt;0,COUNTIF(#REF!,$B141)=0),"SKIP",IF(COUNTIFS(#REF!,$B141,#REF!,$DJ141)&gt;0,"OK","ONBEKEND")),IF(AND($EX141=$EU141,$EY141=$EV141+1),IF(OR(COUNTIF(#REF!,$D141)&gt;0,COUNTIF(#REF!,$D141)=0),"SKIP",IF(COUNTIFS(#REF!,$D141,#REF!,$DJ141)&gt;0,"OK","ONBEKEND")),"ONZEKER")))))</f>
        <v/>
      </c>
      <c r="DL141" t="str">
        <f t="shared" si="1062"/>
        <v/>
      </c>
      <c r="DM141" t="str">
        <f t="shared" si="1063"/>
        <v/>
      </c>
      <c r="DN141" t="str">
        <f t="shared" si="1064"/>
        <v/>
      </c>
      <c r="DO141" t="str">
        <f t="shared" si="1065"/>
        <v/>
      </c>
      <c r="DP141" t="str">
        <f t="shared" si="1066"/>
        <v/>
      </c>
      <c r="DQ141" t="str">
        <f t="shared" si="1067"/>
        <v/>
      </c>
      <c r="DR141" t="str">
        <f t="shared" si="1068"/>
        <v/>
      </c>
      <c r="DS141" t="str">
        <f t="shared" si="1069"/>
        <v/>
      </c>
      <c r="DT141" t="str">
        <f t="shared" si="1070"/>
        <v/>
      </c>
      <c r="DU141" t="str">
        <f t="shared" si="1071"/>
        <v/>
      </c>
      <c r="DV141" t="str">
        <f t="shared" si="1072"/>
        <v/>
      </c>
      <c r="DW141" t="str">
        <f t="shared" si="1073"/>
        <v/>
      </c>
      <c r="DX141" t="str">
        <f t="shared" si="1074"/>
        <v/>
      </c>
      <c r="DY141" t="str">
        <f t="shared" si="1075"/>
        <v/>
      </c>
      <c r="DZ141" t="str">
        <f t="shared" si="1076"/>
        <v/>
      </c>
      <c r="EA141" t="str">
        <f t="shared" si="1077"/>
        <v/>
      </c>
      <c r="EB141" t="str">
        <f t="shared" si="1078"/>
        <v/>
      </c>
      <c r="EC141" t="str">
        <f t="shared" si="1079"/>
        <v/>
      </c>
      <c r="ED141" t="str">
        <f t="shared" si="1080"/>
        <v/>
      </c>
      <c r="EE141" t="str">
        <f t="shared" si="1081"/>
        <v/>
      </c>
      <c r="EF141" t="str">
        <f t="shared" si="1082"/>
        <v/>
      </c>
      <c r="EG141" t="str">
        <f t="shared" si="1083"/>
        <v/>
      </c>
      <c r="EH141" t="str">
        <f t="shared" si="1084"/>
        <v/>
      </c>
      <c r="EI141" t="str">
        <f t="shared" si="1085"/>
        <v/>
      </c>
      <c r="EJ141" t="str">
        <f t="shared" si="1086"/>
        <v/>
      </c>
      <c r="EK141" t="str">
        <f t="shared" si="1087"/>
        <v/>
      </c>
      <c r="EL141" t="str">
        <f t="shared" si="1088"/>
        <v/>
      </c>
      <c r="EM141" t="str">
        <f t="shared" si="1089"/>
        <v/>
      </c>
      <c r="EN141" t="str">
        <f t="shared" si="1090"/>
        <v/>
      </c>
      <c r="EO141" t="str">
        <f t="shared" si="1091"/>
        <v/>
      </c>
      <c r="EP141" t="str">
        <f t="shared" si="1092"/>
        <v/>
      </c>
      <c r="EQ141" t="str">
        <f t="shared" si="1093"/>
        <v/>
      </c>
      <c r="ER141" t="str">
        <f t="shared" si="1094"/>
        <v/>
      </c>
      <c r="ES141" t="str">
        <f t="shared" si="1095"/>
        <v/>
      </c>
      <c r="ET141" t="str">
        <f t="shared" si="1096"/>
        <v/>
      </c>
      <c r="EU141" t="str">
        <f t="shared" si="1097"/>
        <v/>
      </c>
      <c r="EV141" t="str">
        <f t="shared" si="1098"/>
        <v/>
      </c>
      <c r="EW141" t="str">
        <f t="shared" si="1099"/>
        <v/>
      </c>
      <c r="EX141" t="str">
        <f t="shared" si="1100"/>
        <v/>
      </c>
      <c r="EY141" t="str">
        <f t="shared" si="1101"/>
        <v/>
      </c>
    </row>
    <row r="142" spans="1:155" ht="13.9" customHeight="1" x14ac:dyDescent="0.25">
      <c r="M142" s="3" t="str">
        <f>IF($L142="","",IF($L142="DOELPUNTENMAKERS","",IF(AND(COUNTIF(#REF!,$B142)=0,COUNTIF(#REF!,$D142)=0),"OK",IF($O142&gt;20,"LET OP: meer dan 20 items (controle onvolledig)",IF((COUNTIF($R142:$AS142,"ONZEKER")+COUNTIF($CJ142:$DK142,"ONZEKER"))&gt;0,"LET OP: scoreverloop onduidelijk (controle beperkt)",IF((IF($AT142&lt;&gt;"",$AT142&amp;", ","")&amp;IF($AU142&lt;&gt;"",$AU142&amp;", ","")&amp;IF($AV142&lt;&gt;"",$AV142&amp;", ","")&amp;IF($AW142&lt;&gt;"",$AW142&amp;", ","")&amp;IF($AX142&lt;&gt;"",$AX142&amp;", ","")&amp;IF($AY142&lt;&gt;"",$AY142&amp;", ","")&amp;IF($AZ142&lt;&gt;"",$AZ142&amp;", ","")&amp;IF($BA142&lt;&gt;"",$BA142&amp;", ","")&amp;IF($BB142&lt;&gt;"",$BB142&amp;", ","")&amp;IF($BC142&lt;&gt;"",$BC142&amp;", ","")&amp;IF($DL142&lt;&gt;"",$DL142&amp;", ","")&amp;IF($DM142&lt;&gt;"",$DM142&amp;", ","")&amp;IF($DN142&lt;&gt;"",$DN142&amp;", ","")&amp;IF($DO142&lt;&gt;"",$DO142&amp;", ","")&amp;IF($DP142&lt;&gt;"",$DP142&amp;", ","")&amp;IF($DQ142&lt;&gt;"",$DQ142&amp;", ","")&amp;IF($DR142&lt;&gt;"",$DR142&amp;", ","")&amp;IF($DS142&lt;&gt;"",$DS142&amp;", ","")&amp;IF($DT142&lt;&gt;"",$DT142&amp;", ","")&amp;IF($DU142&lt;&gt;"",$DU142&amp;", ",""))="","OK","Onbekend: "&amp;LEFT((IF($AT142&lt;&gt;"",$AT142&amp;", ","")&amp;IF($AU142&lt;&gt;"",$AU142&amp;", ","")&amp;IF($AV142&lt;&gt;"",$AV142&amp;", ","")&amp;IF($AW142&lt;&gt;"",$AW142&amp;", ","")&amp;IF($AX142&lt;&gt;"",$AX142&amp;", ","")&amp;IF($AY142&lt;&gt;"",$AY142&amp;", ","")&amp;IF($AZ142&lt;&gt;"",$AZ142&amp;", ","")&amp;IF($BA142&lt;&gt;"",$BA142&amp;", ","")&amp;IF($BB142&lt;&gt;"",$BB142&amp;", ","")&amp;IF($BC142&lt;&gt;"",$BC142&amp;", ","")&amp;IF($DL142&lt;&gt;"",$DL142&amp;", ","")&amp;IF($DM142&lt;&gt;"",$DM142&amp;", ","")&amp;IF($DN142&lt;&gt;"",$DN142&amp;", ","")&amp;IF($DO142&lt;&gt;"",$DO142&amp;", ","")&amp;IF($DP142&lt;&gt;"",$DP142&amp;", ","")&amp;IF($DQ142&lt;&gt;"",$DQ142&amp;", ","")&amp;IF($DR142&lt;&gt;"",$DR142&amp;", ","")&amp;IF($DS142&lt;&gt;"",$DS142&amp;", ","")&amp;IF($DT142&lt;&gt;"",$DT142&amp;", ","")&amp;IF($DU142&lt;&gt;"",$DU142&amp;", ","")),LEN((IF($AT142&lt;&gt;"",$AT142&amp;", ","")&amp;IF($AU142&lt;&gt;"",$AU142&amp;", ","")&amp;IF($AV142&lt;&gt;"",$AV142&amp;", ","")&amp;IF($AW142&lt;&gt;"",$AW142&amp;", ","")&amp;IF($AX142&lt;&gt;"",$AX142&amp;", ","")&amp;IF($AY142&lt;&gt;"",$AY142&amp;", ","")&amp;IF($AZ142&lt;&gt;"",$AZ142&amp;", ","")&amp;IF($BA142&lt;&gt;"",$BA142&amp;", ","")&amp;IF($BB142&lt;&gt;"",$BB142&amp;", ","")&amp;IF($BC142&lt;&gt;"",$BC142&amp;", ","")&amp;IF($DL142&lt;&gt;"",$DL142&amp;", ","")&amp;IF($DM142&lt;&gt;"",$DM142&amp;", ","")&amp;IF($DN142&lt;&gt;"",$DN142&amp;", ","")&amp;IF($DO142&lt;&gt;"",$DO142&amp;", ","")&amp;IF($DP142&lt;&gt;"",$DP142&amp;", ","")&amp;IF($DQ142&lt;&gt;"",$DQ142&amp;", ","")&amp;IF($DR142&lt;&gt;"",$DR142&amp;", ","")&amp;IF($DS142&lt;&gt;"",$DS142&amp;", ","")&amp;IF($DT142&lt;&gt;"",$DT142&amp;", ","")&amp;IF($DU142&lt;&gt;"",$DU142&amp;", ","")))-2)))))))</f>
        <v/>
      </c>
      <c r="N142" t="str">
        <f t="shared" si="1010"/>
        <v/>
      </c>
      <c r="O142" t="str">
        <f t="shared" si="1011"/>
        <v/>
      </c>
      <c r="P142" t="str">
        <f t="shared" si="1012"/>
        <v/>
      </c>
      <c r="Q142" t="str">
        <f t="shared" si="1013"/>
        <v/>
      </c>
      <c r="R142" t="str">
        <f>IF($Q142="","",IF(OR($BE142="",$BF142=""),"ONZEKER",IF(AND($BE142=0+1,$BF142=0),IF(OR(COUNTIF(#REF!,$B142)&gt;0,COUNTIF(#REF!,$B142)=0),"SKIP",IF(COUNTIFS(#REF!,$B142,#REF!,$Q142)&gt;0,"OK","ONBEKEND")),IF(AND($BE142=0,$BF142=0+1),IF(OR(COUNTIF(#REF!,$D142)&gt;0,COUNTIF(#REF!,$D142)=0),"SKIP",IF(COUNTIFS(#REF!,$D142,#REF!,$Q142)&gt;0,"OK","ONBEKEND")),"ONZEKER"))))</f>
        <v/>
      </c>
      <c r="S142" t="str">
        <f t="shared" si="1014"/>
        <v/>
      </c>
      <c r="T142" t="str">
        <f t="shared" si="1015"/>
        <v/>
      </c>
      <c r="U142" t="str">
        <f>IF($T142="","",IF(OR($BH142="",$BI142=""),"ONZEKER",IF(OR($BE142="",$BF142=""),"ONZEKER",IF(AND($BH142=$BE142+1,$BI142=$BF142),IF(OR(COUNTIF(#REF!,$B142)&gt;0,COUNTIF(#REF!,$B142)=0),"SKIP",IF(COUNTIFS(#REF!,$B142,#REF!,$T142)&gt;0,"OK","ONBEKEND")),IF(AND($BH142=$BE142,$BI142=$BF142+1),IF(OR(COUNTIF(#REF!,$D142)&gt;0,COUNTIF(#REF!,$D142)=0),"SKIP",IF(COUNTIFS(#REF!,$D142,#REF!,$T142)&gt;0,"OK","ONBEKEND")),"ONZEKER")))))</f>
        <v/>
      </c>
      <c r="V142" t="str">
        <f t="shared" si="1016"/>
        <v/>
      </c>
      <c r="W142" t="str">
        <f t="shared" si="1017"/>
        <v/>
      </c>
      <c r="X142" t="str">
        <f>IF($W142="","",IF(OR($BK142="",$BL142=""),"ONZEKER",IF(OR($BH142="",$BI142=""),"ONZEKER",IF(AND($BK142=$BH142+1,$BL142=$BI142),IF(OR(COUNTIF(#REF!,$B142)&gt;0,COUNTIF(#REF!,$B142)=0),"SKIP",IF(COUNTIFS(#REF!,$B142,#REF!,$W142)&gt;0,"OK","ONBEKEND")),IF(AND($BK142=$BH142,$BL142=$BI142+1),IF(OR(COUNTIF(#REF!,$D142)&gt;0,COUNTIF(#REF!,$D142)=0),"SKIP",IF(COUNTIFS(#REF!,$D142,#REF!,$W142)&gt;0,"OK","ONBEKEND")),"ONZEKER")))))</f>
        <v/>
      </c>
      <c r="Y142" t="str">
        <f t="shared" si="1018"/>
        <v/>
      </c>
      <c r="Z142" t="str">
        <f t="shared" si="1019"/>
        <v/>
      </c>
      <c r="AA142" t="str">
        <f>IF($Z142="","",IF(OR($BN142="",$BO142=""),"ONZEKER",IF(OR($BK142="",$BL142=""),"ONZEKER",IF(AND($BN142=$BK142+1,$BO142=$BL142),IF(OR(COUNTIF(#REF!,$B142)&gt;0,COUNTIF(#REF!,$B142)=0),"SKIP",IF(COUNTIFS(#REF!,$B142,#REF!,$Z142)&gt;0,"OK","ONBEKEND")),IF(AND($BN142=$BK142,$BO142=$BL142+1),IF(OR(COUNTIF(#REF!,$D142)&gt;0,COUNTIF(#REF!,$D142)=0),"SKIP",IF(COUNTIFS(#REF!,$D142,#REF!,$Z142)&gt;0,"OK","ONBEKEND")),"ONZEKER")))))</f>
        <v/>
      </c>
      <c r="AB142" t="str">
        <f t="shared" si="1020"/>
        <v/>
      </c>
      <c r="AC142" t="str">
        <f t="shared" si="1021"/>
        <v/>
      </c>
      <c r="AD142" t="str">
        <f>IF($AC142="","",IF(OR($BQ142="",$BR142=""),"ONZEKER",IF(OR($BN142="",$BO142=""),"ONZEKER",IF(AND($BQ142=$BN142+1,$BR142=$BO142),IF(OR(COUNTIF(#REF!,$B142)&gt;0,COUNTIF(#REF!,$B142)=0),"SKIP",IF(COUNTIFS(#REF!,$B142,#REF!,$AC142)&gt;0,"OK","ONBEKEND")),IF(AND($BQ142=$BN142,$BR142=$BO142+1),IF(OR(COUNTIF(#REF!,$D142)&gt;0,COUNTIF(#REF!,$D142)=0),"SKIP",IF(COUNTIFS(#REF!,$D142,#REF!,$AC142)&gt;0,"OK","ONBEKEND")),"ONZEKER")))))</f>
        <v/>
      </c>
      <c r="AE142" t="str">
        <f t="shared" si="1022"/>
        <v/>
      </c>
      <c r="AF142" t="str">
        <f t="shared" si="1023"/>
        <v/>
      </c>
      <c r="AG142" t="str">
        <f>IF($AF142="","",IF(OR($BT142="",$BU142=""),"ONZEKER",IF(OR($BQ142="",$BR142=""),"ONZEKER",IF(AND($BT142=$BQ142+1,$BU142=$BR142),IF(OR(COUNTIF(#REF!,$B142)&gt;0,COUNTIF(#REF!,$B142)=0),"SKIP",IF(COUNTIFS(#REF!,$B142,#REF!,$AF142)&gt;0,"OK","ONBEKEND")),IF(AND($BT142=$BQ142,$BU142=$BR142+1),IF(OR(COUNTIF(#REF!,$D142)&gt;0,COUNTIF(#REF!,$D142)=0),"SKIP",IF(COUNTIFS(#REF!,$D142,#REF!,$AF142)&gt;0,"OK","ONBEKEND")),"ONZEKER")))))</f>
        <v/>
      </c>
      <c r="AH142" t="str">
        <f t="shared" si="1024"/>
        <v/>
      </c>
      <c r="AI142" t="str">
        <f t="shared" si="1025"/>
        <v/>
      </c>
      <c r="AJ142" t="str">
        <f>IF($AI142="","",IF(OR($BW142="",$BX142=""),"ONZEKER",IF(OR($BT142="",$BU142=""),"ONZEKER",IF(AND($BW142=$BT142+1,$BX142=$BU142),IF(OR(COUNTIF(#REF!,$B142)&gt;0,COUNTIF(#REF!,$B142)=0),"SKIP",IF(COUNTIFS(#REF!,$B142,#REF!,$AI142)&gt;0,"OK","ONBEKEND")),IF(AND($BW142=$BT142,$BX142=$BU142+1),IF(OR(COUNTIF(#REF!,$D142)&gt;0,COUNTIF(#REF!,$D142)=0),"SKIP",IF(COUNTIFS(#REF!,$D142,#REF!,$AI142)&gt;0,"OK","ONBEKEND")),"ONZEKER")))))</f>
        <v/>
      </c>
      <c r="AK142" t="str">
        <f t="shared" si="1026"/>
        <v/>
      </c>
      <c r="AL142" t="str">
        <f t="shared" si="1027"/>
        <v/>
      </c>
      <c r="AM142" t="str">
        <f>IF($AL142="","",IF(OR($BZ142="",$CA142=""),"ONZEKER",IF(OR($BW142="",$BX142=""),"ONZEKER",IF(AND($BZ142=$BW142+1,$CA142=$BX142),IF(OR(COUNTIF(#REF!,$B142)&gt;0,COUNTIF(#REF!,$B142)=0),"SKIP",IF(COUNTIFS(#REF!,$B142,#REF!,$AL142)&gt;0,"OK","ONBEKEND")),IF(AND($BZ142=$BW142,$CA142=$BX142+1),IF(OR(COUNTIF(#REF!,$D142)&gt;0,COUNTIF(#REF!,$D142)=0),"SKIP",IF(COUNTIFS(#REF!,$D142,#REF!,$AL142)&gt;0,"OK","ONBEKEND")),"ONZEKER")))))</f>
        <v/>
      </c>
      <c r="AN142" t="str">
        <f t="shared" si="1028"/>
        <v/>
      </c>
      <c r="AO142" t="str">
        <f t="shared" si="1029"/>
        <v/>
      </c>
      <c r="AP142" t="str">
        <f>IF($AO142="","",IF(OR($CC142="",$CD142=""),"ONZEKER",IF(OR($BZ142="",$CA142=""),"ONZEKER",IF(AND($CC142=$BZ142+1,$CD142=$CA142),IF(OR(COUNTIF(#REF!,$B142)&gt;0,COUNTIF(#REF!,$B142)=0),"SKIP",IF(COUNTIFS(#REF!,$B142,#REF!,$AO142)&gt;0,"OK","ONBEKEND")),IF(AND($CC142=$BZ142,$CD142=$CA142+1),IF(OR(COUNTIF(#REF!,$D142)&gt;0,COUNTIF(#REF!,$D142)=0),"SKIP",IF(COUNTIFS(#REF!,$D142,#REF!,$AO142)&gt;0,"OK","ONBEKEND")),"ONZEKER")))))</f>
        <v/>
      </c>
      <c r="AQ142" t="str">
        <f t="shared" si="1030"/>
        <v/>
      </c>
      <c r="AR142" t="str">
        <f t="shared" si="1031"/>
        <v/>
      </c>
      <c r="AS142" t="str">
        <f>IF($AR142="","",IF(OR($CF142="",$CG142=""),"ONZEKER",IF(OR($CC142="",$CD142=""),"ONZEKER",IF(AND($CF142=$CC142+1,$CG142=$CD142),IF(OR(COUNTIF(#REF!,$B142)&gt;0,COUNTIF(#REF!,$B142)=0),"SKIP",IF(COUNTIFS(#REF!,$B142,#REF!,$AR142)&gt;0,"OK","ONBEKEND")),IF(AND($CF142=$CC142,$CG142=$CD142+1),IF(OR(COUNTIF(#REF!,$D142)&gt;0,COUNTIF(#REF!,$D142)=0),"SKIP",IF(COUNTIFS(#REF!,$D142,#REF!,$AR142)&gt;0,"OK","ONBEKEND")),"ONZEKER")))))</f>
        <v/>
      </c>
      <c r="AT142" t="str">
        <f t="shared" si="1032"/>
        <v/>
      </c>
      <c r="AU142" t="str">
        <f t="shared" si="1033"/>
        <v/>
      </c>
      <c r="AV142" t="str">
        <f t="shared" si="1034"/>
        <v/>
      </c>
      <c r="AW142" t="str">
        <f t="shared" si="1035"/>
        <v/>
      </c>
      <c r="AX142" t="str">
        <f t="shared" si="1036"/>
        <v/>
      </c>
      <c r="AY142" t="str">
        <f t="shared" si="1037"/>
        <v/>
      </c>
      <c r="AZ142" t="str">
        <f t="shared" si="1038"/>
        <v/>
      </c>
      <c r="BA142" t="str">
        <f t="shared" si="1039"/>
        <v/>
      </c>
      <c r="BB142" t="str">
        <f t="shared" si="1040"/>
        <v/>
      </c>
      <c r="BC142" t="str">
        <f t="shared" si="1041"/>
        <v/>
      </c>
      <c r="BD142" t="str">
        <f t="shared" si="980"/>
        <v/>
      </c>
      <c r="BE142" t="str">
        <f t="shared" si="981"/>
        <v/>
      </c>
      <c r="BF142" t="str">
        <f t="shared" si="982"/>
        <v/>
      </c>
      <c r="BG142" t="str">
        <f t="shared" si="983"/>
        <v/>
      </c>
      <c r="BH142" t="str">
        <f t="shared" si="984"/>
        <v/>
      </c>
      <c r="BI142" t="str">
        <f t="shared" si="985"/>
        <v/>
      </c>
      <c r="BJ142" t="str">
        <f t="shared" si="986"/>
        <v/>
      </c>
      <c r="BK142" t="str">
        <f t="shared" si="987"/>
        <v/>
      </c>
      <c r="BL142" t="str">
        <f t="shared" si="988"/>
        <v/>
      </c>
      <c r="BM142" t="str">
        <f t="shared" si="989"/>
        <v/>
      </c>
      <c r="BN142" t="str">
        <f t="shared" si="990"/>
        <v/>
      </c>
      <c r="BO142" t="str">
        <f t="shared" si="991"/>
        <v/>
      </c>
      <c r="BP142" t="str">
        <f t="shared" si="992"/>
        <v/>
      </c>
      <c r="BQ142" t="str">
        <f t="shared" si="993"/>
        <v/>
      </c>
      <c r="BR142" t="str">
        <f t="shared" si="994"/>
        <v/>
      </c>
      <c r="BS142" t="str">
        <f t="shared" si="995"/>
        <v/>
      </c>
      <c r="BT142" t="str">
        <f t="shared" si="996"/>
        <v/>
      </c>
      <c r="BU142" t="str">
        <f t="shared" si="997"/>
        <v/>
      </c>
      <c r="BV142" t="str">
        <f t="shared" si="998"/>
        <v/>
      </c>
      <c r="BW142" t="str">
        <f t="shared" si="999"/>
        <v/>
      </c>
      <c r="BX142" t="str">
        <f t="shared" si="1000"/>
        <v/>
      </c>
      <c r="BY142" t="str">
        <f t="shared" si="1001"/>
        <v/>
      </c>
      <c r="BZ142" t="str">
        <f t="shared" si="1002"/>
        <v/>
      </c>
      <c r="CA142" t="str">
        <f t="shared" si="1003"/>
        <v/>
      </c>
      <c r="CB142" t="str">
        <f t="shared" si="1004"/>
        <v/>
      </c>
      <c r="CC142" t="str">
        <f t="shared" si="1005"/>
        <v/>
      </c>
      <c r="CD142" t="str">
        <f t="shared" si="1006"/>
        <v/>
      </c>
      <c r="CE142" t="str">
        <f t="shared" si="1007"/>
        <v/>
      </c>
      <c r="CF142" t="str">
        <f t="shared" si="1008"/>
        <v/>
      </c>
      <c r="CG142" t="str">
        <f t="shared" si="1009"/>
        <v/>
      </c>
      <c r="CH142" t="str">
        <f t="shared" si="1042"/>
        <v/>
      </c>
      <c r="CI142" t="str">
        <f t="shared" si="1043"/>
        <v/>
      </c>
      <c r="CJ142" t="str">
        <f>IF($CI142="","",IF(OR($DW142="",$DX142=""),"ONZEKER",IF(OR($CF142="",$CG142=""),"ONZEKER",IF(AND($DW142=$CF142+1,$DX142=$CG142),IF(OR(COUNTIF(#REF!,$B142)&gt;0,COUNTIF(#REF!,$B142)=0),"SKIP",IF(COUNTIFS(#REF!,$B142,#REF!,$CI142)&gt;0,"OK","ONBEKEND")),IF(AND($DW142=$CF142,$DX142=$CG142+1),IF(OR(COUNTIF(#REF!,$D142)&gt;0,COUNTIF(#REF!,$D142)=0),"SKIP",IF(COUNTIFS(#REF!,$D142,#REF!,$CI142)&gt;0,"OK","ONBEKEND")),"ONZEKER")))))</f>
        <v/>
      </c>
      <c r="CK142" t="str">
        <f t="shared" si="1044"/>
        <v/>
      </c>
      <c r="CL142" t="str">
        <f t="shared" si="1045"/>
        <v/>
      </c>
      <c r="CM142" t="str">
        <f>IF($CL142="","",IF(OR($DZ142="",$EA142=""),"ONZEKER",IF(OR($DW142="",$DX142=""),"ONZEKER",IF(AND($DZ142=$DW142+1,$EA142=$DX142),IF(OR(COUNTIF(#REF!,$B142)&gt;0,COUNTIF(#REF!,$B142)=0),"SKIP",IF(COUNTIFS(#REF!,$B142,#REF!,$CL142)&gt;0,"OK","ONBEKEND")),IF(AND($DZ142=$DW142,$EA142=$DX142+1),IF(OR(COUNTIF(#REF!,$D142)&gt;0,COUNTIF(#REF!,$D142)=0),"SKIP",IF(COUNTIFS(#REF!,$D142,#REF!,$CL142)&gt;0,"OK","ONBEKEND")),"ONZEKER")))))</f>
        <v/>
      </c>
      <c r="CN142" t="str">
        <f t="shared" si="1046"/>
        <v/>
      </c>
      <c r="CO142" t="str">
        <f t="shared" si="1047"/>
        <v/>
      </c>
      <c r="CP142" t="str">
        <f>IF($CO142="","",IF(OR($EC142="",$ED142=""),"ONZEKER",IF(OR($DZ142="",$EA142=""),"ONZEKER",IF(AND($EC142=$DZ142+1,$ED142=$EA142),IF(OR(COUNTIF(#REF!,$B142)&gt;0,COUNTIF(#REF!,$B142)=0),"SKIP",IF(COUNTIFS(#REF!,$B142,#REF!,$CO142)&gt;0,"OK","ONBEKEND")),IF(AND($EC142=$DZ142,$ED142=$EA142+1),IF(OR(COUNTIF(#REF!,$D142)&gt;0,COUNTIF(#REF!,$D142)=0),"SKIP",IF(COUNTIFS(#REF!,$D142,#REF!,$CO142)&gt;0,"OK","ONBEKEND")),"ONZEKER")))))</f>
        <v/>
      </c>
      <c r="CQ142" t="str">
        <f t="shared" si="1048"/>
        <v/>
      </c>
      <c r="CR142" t="str">
        <f t="shared" si="1049"/>
        <v/>
      </c>
      <c r="CS142" t="str">
        <f>IF($CR142="","",IF(OR($EF142="",$EG142=""),"ONZEKER",IF(OR($EC142="",$ED142=""),"ONZEKER",IF(AND($EF142=$EC142+1,$EG142=$ED142),IF(OR(COUNTIF(#REF!,$B142)&gt;0,COUNTIF(#REF!,$B142)=0),"SKIP",IF(COUNTIFS(#REF!,$B142,#REF!,$CR142)&gt;0,"OK","ONBEKEND")),IF(AND($EF142=$EC142,$EG142=$ED142+1),IF(OR(COUNTIF(#REF!,$D142)&gt;0,COUNTIF(#REF!,$D142)=0),"SKIP",IF(COUNTIFS(#REF!,$D142,#REF!,$CR142)&gt;0,"OK","ONBEKEND")),"ONZEKER")))))</f>
        <v/>
      </c>
      <c r="CT142" t="str">
        <f t="shared" si="1050"/>
        <v/>
      </c>
      <c r="CU142" t="str">
        <f t="shared" si="1051"/>
        <v/>
      </c>
      <c r="CV142" t="str">
        <f>IF($CU142="","",IF(OR($EI142="",$EJ142=""),"ONZEKER",IF(OR($EF142="",$EG142=""),"ONZEKER",IF(AND($EI142=$EF142+1,$EJ142=$EG142),IF(OR(COUNTIF(#REF!,$B142)&gt;0,COUNTIF(#REF!,$B142)=0),"SKIP",IF(COUNTIFS(#REF!,$B142,#REF!,$CU142)&gt;0,"OK","ONBEKEND")),IF(AND($EI142=$EF142,$EJ142=$EG142+1),IF(OR(COUNTIF(#REF!,$D142)&gt;0,COUNTIF(#REF!,$D142)=0),"SKIP",IF(COUNTIFS(#REF!,$D142,#REF!,$CU142)&gt;0,"OK","ONBEKEND")),"ONZEKER")))))</f>
        <v/>
      </c>
      <c r="CW142" t="str">
        <f t="shared" si="1052"/>
        <v/>
      </c>
      <c r="CX142" t="str">
        <f t="shared" si="1053"/>
        <v/>
      </c>
      <c r="CY142" t="str">
        <f>IF($CX142="","",IF(OR($EL142="",$EM142=""),"ONZEKER",IF(OR($EI142="",$EJ142=""),"ONZEKER",IF(AND($EL142=$EI142+1,$EM142=$EJ142),IF(OR(COUNTIF(#REF!,$B142)&gt;0,COUNTIF(#REF!,$B142)=0),"SKIP",IF(COUNTIFS(#REF!,$B142,#REF!,$CX142)&gt;0,"OK","ONBEKEND")),IF(AND($EL142=$EI142,$EM142=$EJ142+1),IF(OR(COUNTIF(#REF!,$D142)&gt;0,COUNTIF(#REF!,$D142)=0),"SKIP",IF(COUNTIFS(#REF!,$D142,#REF!,$CX142)&gt;0,"OK","ONBEKEND")),"ONZEKER")))))</f>
        <v/>
      </c>
      <c r="CZ142" t="str">
        <f t="shared" si="1054"/>
        <v/>
      </c>
      <c r="DA142" t="str">
        <f t="shared" si="1055"/>
        <v/>
      </c>
      <c r="DB142" t="str">
        <f>IF($DA142="","",IF(OR($EO142="",$EP142=""),"ONZEKER",IF(OR($EL142="",$EM142=""),"ONZEKER",IF(AND($EO142=$EL142+1,$EP142=$EM142),IF(OR(COUNTIF(#REF!,$B142)&gt;0,COUNTIF(#REF!,$B142)=0),"SKIP",IF(COUNTIFS(#REF!,$B142,#REF!,$DA142)&gt;0,"OK","ONBEKEND")),IF(AND($EO142=$EL142,$EP142=$EM142+1),IF(OR(COUNTIF(#REF!,$D142)&gt;0,COUNTIF(#REF!,$D142)=0),"SKIP",IF(COUNTIFS(#REF!,$D142,#REF!,$DA142)&gt;0,"OK","ONBEKEND")),"ONZEKER")))))</f>
        <v/>
      </c>
      <c r="DC142" t="str">
        <f t="shared" si="1056"/>
        <v/>
      </c>
      <c r="DD142" t="str">
        <f t="shared" si="1057"/>
        <v/>
      </c>
      <c r="DE142" t="str">
        <f>IF($DD142="","",IF(OR($ER142="",$ES142=""),"ONZEKER",IF(OR($EO142="",$EP142=""),"ONZEKER",IF(AND($ER142=$EO142+1,$ES142=$EP142),IF(OR(COUNTIF(#REF!,$B142)&gt;0,COUNTIF(#REF!,$B142)=0),"SKIP",IF(COUNTIFS(#REF!,$B142,#REF!,$DD142)&gt;0,"OK","ONBEKEND")),IF(AND($ER142=$EO142,$ES142=$EP142+1),IF(OR(COUNTIF(#REF!,$D142)&gt;0,COUNTIF(#REF!,$D142)=0),"SKIP",IF(COUNTIFS(#REF!,$D142,#REF!,$DD142)&gt;0,"OK","ONBEKEND")),"ONZEKER")))))</f>
        <v/>
      </c>
      <c r="DF142" t="str">
        <f t="shared" si="1058"/>
        <v/>
      </c>
      <c r="DG142" t="str">
        <f t="shared" si="1059"/>
        <v/>
      </c>
      <c r="DH142" t="str">
        <f>IF($DG142="","",IF(OR($EU142="",$EV142=""),"ONZEKER",IF(OR($ER142="",$ES142=""),"ONZEKER",IF(AND($EU142=$ER142+1,$EV142=$ES142),IF(OR(COUNTIF(#REF!,$B142)&gt;0,COUNTIF(#REF!,$B142)=0),"SKIP",IF(COUNTIFS(#REF!,$B142,#REF!,$DG142)&gt;0,"OK","ONBEKEND")),IF(AND($EU142=$ER142,$EV142=$ES142+1),IF(OR(COUNTIF(#REF!,$D142)&gt;0,COUNTIF(#REF!,$D142)=0),"SKIP",IF(COUNTIFS(#REF!,$D142,#REF!,$DG142)&gt;0,"OK","ONBEKEND")),"ONZEKER")))))</f>
        <v/>
      </c>
      <c r="DI142" t="str">
        <f t="shared" si="1060"/>
        <v/>
      </c>
      <c r="DJ142" t="str">
        <f t="shared" si="1061"/>
        <v/>
      </c>
      <c r="DK142" t="str">
        <f>IF($DJ142="","",IF(OR($EX142="",$EY142=""),"ONZEKER",IF(OR($EU142="",$EV142=""),"ONZEKER",IF(AND($EX142=$EU142+1,$EY142=$EV142),IF(OR(COUNTIF(#REF!,$B142)&gt;0,COUNTIF(#REF!,$B142)=0),"SKIP",IF(COUNTIFS(#REF!,$B142,#REF!,$DJ142)&gt;0,"OK","ONBEKEND")),IF(AND($EX142=$EU142,$EY142=$EV142+1),IF(OR(COUNTIF(#REF!,$D142)&gt;0,COUNTIF(#REF!,$D142)=0),"SKIP",IF(COUNTIFS(#REF!,$D142,#REF!,$DJ142)&gt;0,"OK","ONBEKEND")),"ONZEKER")))))</f>
        <v/>
      </c>
      <c r="DL142" t="str">
        <f t="shared" si="1062"/>
        <v/>
      </c>
      <c r="DM142" t="str">
        <f t="shared" si="1063"/>
        <v/>
      </c>
      <c r="DN142" t="str">
        <f t="shared" si="1064"/>
        <v/>
      </c>
      <c r="DO142" t="str">
        <f t="shared" si="1065"/>
        <v/>
      </c>
      <c r="DP142" t="str">
        <f t="shared" si="1066"/>
        <v/>
      </c>
      <c r="DQ142" t="str">
        <f t="shared" si="1067"/>
        <v/>
      </c>
      <c r="DR142" t="str">
        <f t="shared" si="1068"/>
        <v/>
      </c>
      <c r="DS142" t="str">
        <f t="shared" si="1069"/>
        <v/>
      </c>
      <c r="DT142" t="str">
        <f t="shared" si="1070"/>
        <v/>
      </c>
      <c r="DU142" t="str">
        <f t="shared" si="1071"/>
        <v/>
      </c>
      <c r="DV142" t="str">
        <f t="shared" si="1072"/>
        <v/>
      </c>
      <c r="DW142" t="str">
        <f t="shared" si="1073"/>
        <v/>
      </c>
      <c r="DX142" t="str">
        <f t="shared" si="1074"/>
        <v/>
      </c>
      <c r="DY142" t="str">
        <f t="shared" si="1075"/>
        <v/>
      </c>
      <c r="DZ142" t="str">
        <f t="shared" si="1076"/>
        <v/>
      </c>
      <c r="EA142" t="str">
        <f t="shared" si="1077"/>
        <v/>
      </c>
      <c r="EB142" t="str">
        <f t="shared" si="1078"/>
        <v/>
      </c>
      <c r="EC142" t="str">
        <f t="shared" si="1079"/>
        <v/>
      </c>
      <c r="ED142" t="str">
        <f t="shared" si="1080"/>
        <v/>
      </c>
      <c r="EE142" t="str">
        <f t="shared" si="1081"/>
        <v/>
      </c>
      <c r="EF142" t="str">
        <f t="shared" si="1082"/>
        <v/>
      </c>
      <c r="EG142" t="str">
        <f t="shared" si="1083"/>
        <v/>
      </c>
      <c r="EH142" t="str">
        <f t="shared" si="1084"/>
        <v/>
      </c>
      <c r="EI142" t="str">
        <f t="shared" si="1085"/>
        <v/>
      </c>
      <c r="EJ142" t="str">
        <f t="shared" si="1086"/>
        <v/>
      </c>
      <c r="EK142" t="str">
        <f t="shared" si="1087"/>
        <v/>
      </c>
      <c r="EL142" t="str">
        <f t="shared" si="1088"/>
        <v/>
      </c>
      <c r="EM142" t="str">
        <f t="shared" si="1089"/>
        <v/>
      </c>
      <c r="EN142" t="str">
        <f t="shared" si="1090"/>
        <v/>
      </c>
      <c r="EO142" t="str">
        <f t="shared" si="1091"/>
        <v/>
      </c>
      <c r="EP142" t="str">
        <f t="shared" si="1092"/>
        <v/>
      </c>
      <c r="EQ142" t="str">
        <f t="shared" si="1093"/>
        <v/>
      </c>
      <c r="ER142" t="str">
        <f t="shared" si="1094"/>
        <v/>
      </c>
      <c r="ES142" t="str">
        <f t="shared" si="1095"/>
        <v/>
      </c>
      <c r="ET142" t="str">
        <f t="shared" si="1096"/>
        <v/>
      </c>
      <c r="EU142" t="str">
        <f t="shared" si="1097"/>
        <v/>
      </c>
      <c r="EV142" t="str">
        <f t="shared" si="1098"/>
        <v/>
      </c>
      <c r="EW142" t="str">
        <f t="shared" si="1099"/>
        <v/>
      </c>
      <c r="EX142" t="str">
        <f t="shared" si="1100"/>
        <v/>
      </c>
      <c r="EY142" t="str">
        <f t="shared" si="1101"/>
        <v/>
      </c>
    </row>
    <row r="143" spans="1:155" ht="13.9" customHeight="1" x14ac:dyDescent="0.25">
      <c r="M143" s="3" t="str">
        <f>IF($L143="","",IF($L143="DOELPUNTENMAKERS","",IF(AND(COUNTIF(#REF!,$B143)=0,COUNTIF(#REF!,$D143)=0),"OK",IF($O143&gt;20,"LET OP: meer dan 20 items (controle onvolledig)",IF((COUNTIF($R143:$AS143,"ONZEKER")+COUNTIF($CJ143:$DK143,"ONZEKER"))&gt;0,"LET OP: scoreverloop onduidelijk (controle beperkt)",IF((IF($AT143&lt;&gt;"",$AT143&amp;", ","")&amp;IF($AU143&lt;&gt;"",$AU143&amp;", ","")&amp;IF($AV143&lt;&gt;"",$AV143&amp;", ","")&amp;IF($AW143&lt;&gt;"",$AW143&amp;", ","")&amp;IF($AX143&lt;&gt;"",$AX143&amp;", ","")&amp;IF($AY143&lt;&gt;"",$AY143&amp;", ","")&amp;IF($AZ143&lt;&gt;"",$AZ143&amp;", ","")&amp;IF($BA143&lt;&gt;"",$BA143&amp;", ","")&amp;IF($BB143&lt;&gt;"",$BB143&amp;", ","")&amp;IF($BC143&lt;&gt;"",$BC143&amp;", ","")&amp;IF($DL143&lt;&gt;"",$DL143&amp;", ","")&amp;IF($DM143&lt;&gt;"",$DM143&amp;", ","")&amp;IF($DN143&lt;&gt;"",$DN143&amp;", ","")&amp;IF($DO143&lt;&gt;"",$DO143&amp;", ","")&amp;IF($DP143&lt;&gt;"",$DP143&amp;", ","")&amp;IF($DQ143&lt;&gt;"",$DQ143&amp;", ","")&amp;IF($DR143&lt;&gt;"",$DR143&amp;", ","")&amp;IF($DS143&lt;&gt;"",$DS143&amp;", ","")&amp;IF($DT143&lt;&gt;"",$DT143&amp;", ","")&amp;IF($DU143&lt;&gt;"",$DU143&amp;", ",""))="","OK","Onbekend: "&amp;LEFT((IF($AT143&lt;&gt;"",$AT143&amp;", ","")&amp;IF($AU143&lt;&gt;"",$AU143&amp;", ","")&amp;IF($AV143&lt;&gt;"",$AV143&amp;", ","")&amp;IF($AW143&lt;&gt;"",$AW143&amp;", ","")&amp;IF($AX143&lt;&gt;"",$AX143&amp;", ","")&amp;IF($AY143&lt;&gt;"",$AY143&amp;", ","")&amp;IF($AZ143&lt;&gt;"",$AZ143&amp;", ","")&amp;IF($BA143&lt;&gt;"",$BA143&amp;", ","")&amp;IF($BB143&lt;&gt;"",$BB143&amp;", ","")&amp;IF($BC143&lt;&gt;"",$BC143&amp;", ","")&amp;IF($DL143&lt;&gt;"",$DL143&amp;", ","")&amp;IF($DM143&lt;&gt;"",$DM143&amp;", ","")&amp;IF($DN143&lt;&gt;"",$DN143&amp;", ","")&amp;IF($DO143&lt;&gt;"",$DO143&amp;", ","")&amp;IF($DP143&lt;&gt;"",$DP143&amp;", ","")&amp;IF($DQ143&lt;&gt;"",$DQ143&amp;", ","")&amp;IF($DR143&lt;&gt;"",$DR143&amp;", ","")&amp;IF($DS143&lt;&gt;"",$DS143&amp;", ","")&amp;IF($DT143&lt;&gt;"",$DT143&amp;", ","")&amp;IF($DU143&lt;&gt;"",$DU143&amp;", ","")),LEN((IF($AT143&lt;&gt;"",$AT143&amp;", ","")&amp;IF($AU143&lt;&gt;"",$AU143&amp;", ","")&amp;IF($AV143&lt;&gt;"",$AV143&amp;", ","")&amp;IF($AW143&lt;&gt;"",$AW143&amp;", ","")&amp;IF($AX143&lt;&gt;"",$AX143&amp;", ","")&amp;IF($AY143&lt;&gt;"",$AY143&amp;", ","")&amp;IF($AZ143&lt;&gt;"",$AZ143&amp;", ","")&amp;IF($BA143&lt;&gt;"",$BA143&amp;", ","")&amp;IF($BB143&lt;&gt;"",$BB143&amp;", ","")&amp;IF($BC143&lt;&gt;"",$BC143&amp;", ","")&amp;IF($DL143&lt;&gt;"",$DL143&amp;", ","")&amp;IF($DM143&lt;&gt;"",$DM143&amp;", ","")&amp;IF($DN143&lt;&gt;"",$DN143&amp;", ","")&amp;IF($DO143&lt;&gt;"",$DO143&amp;", ","")&amp;IF($DP143&lt;&gt;"",$DP143&amp;", ","")&amp;IF($DQ143&lt;&gt;"",$DQ143&amp;", ","")&amp;IF($DR143&lt;&gt;"",$DR143&amp;", ","")&amp;IF($DS143&lt;&gt;"",$DS143&amp;", ","")&amp;IF($DT143&lt;&gt;"",$DT143&amp;", ","")&amp;IF($DU143&lt;&gt;"",$DU143&amp;", ","")))-2)))))))</f>
        <v/>
      </c>
      <c r="N143" t="str">
        <f t="shared" si="1010"/>
        <v/>
      </c>
      <c r="O143" t="str">
        <f t="shared" si="1011"/>
        <v/>
      </c>
      <c r="P143" t="str">
        <f t="shared" si="1012"/>
        <v/>
      </c>
      <c r="Q143" t="str">
        <f t="shared" si="1013"/>
        <v/>
      </c>
      <c r="R143" t="str">
        <f>IF($Q143="","",IF(OR($BE143="",$BF143=""),"ONZEKER",IF(AND($BE143=0+1,$BF143=0),IF(OR(COUNTIF(#REF!,$B143)&gt;0,COUNTIF(#REF!,$B143)=0),"SKIP",IF(COUNTIFS(#REF!,$B143,#REF!,$Q143)&gt;0,"OK","ONBEKEND")),IF(AND($BE143=0,$BF143=0+1),IF(OR(COUNTIF(#REF!,$D143)&gt;0,COUNTIF(#REF!,$D143)=0),"SKIP",IF(COUNTIFS(#REF!,$D143,#REF!,$Q143)&gt;0,"OK","ONBEKEND")),"ONZEKER"))))</f>
        <v/>
      </c>
      <c r="S143" t="str">
        <f t="shared" si="1014"/>
        <v/>
      </c>
      <c r="T143" t="str">
        <f t="shared" si="1015"/>
        <v/>
      </c>
      <c r="U143" t="str">
        <f>IF($T143="","",IF(OR($BH143="",$BI143=""),"ONZEKER",IF(OR($BE143="",$BF143=""),"ONZEKER",IF(AND($BH143=$BE143+1,$BI143=$BF143),IF(OR(COUNTIF(#REF!,$B143)&gt;0,COUNTIF(#REF!,$B143)=0),"SKIP",IF(COUNTIFS(#REF!,$B143,#REF!,$T143)&gt;0,"OK","ONBEKEND")),IF(AND($BH143=$BE143,$BI143=$BF143+1),IF(OR(COUNTIF(#REF!,$D143)&gt;0,COUNTIF(#REF!,$D143)=0),"SKIP",IF(COUNTIFS(#REF!,$D143,#REF!,$T143)&gt;0,"OK","ONBEKEND")),"ONZEKER")))))</f>
        <v/>
      </c>
      <c r="V143" t="str">
        <f t="shared" si="1016"/>
        <v/>
      </c>
      <c r="W143" t="str">
        <f t="shared" si="1017"/>
        <v/>
      </c>
      <c r="X143" t="str">
        <f>IF($W143="","",IF(OR($BK143="",$BL143=""),"ONZEKER",IF(OR($BH143="",$BI143=""),"ONZEKER",IF(AND($BK143=$BH143+1,$BL143=$BI143),IF(OR(COUNTIF(#REF!,$B143)&gt;0,COUNTIF(#REF!,$B143)=0),"SKIP",IF(COUNTIFS(#REF!,$B143,#REF!,$W143)&gt;0,"OK","ONBEKEND")),IF(AND($BK143=$BH143,$BL143=$BI143+1),IF(OR(COUNTIF(#REF!,$D143)&gt;0,COUNTIF(#REF!,$D143)=0),"SKIP",IF(COUNTIFS(#REF!,$D143,#REF!,$W143)&gt;0,"OK","ONBEKEND")),"ONZEKER")))))</f>
        <v/>
      </c>
      <c r="Y143" t="str">
        <f t="shared" si="1018"/>
        <v/>
      </c>
      <c r="Z143" t="str">
        <f t="shared" si="1019"/>
        <v/>
      </c>
      <c r="AA143" t="str">
        <f>IF($Z143="","",IF(OR($BN143="",$BO143=""),"ONZEKER",IF(OR($BK143="",$BL143=""),"ONZEKER",IF(AND($BN143=$BK143+1,$BO143=$BL143),IF(OR(COUNTIF(#REF!,$B143)&gt;0,COUNTIF(#REF!,$B143)=0),"SKIP",IF(COUNTIFS(#REF!,$B143,#REF!,$Z143)&gt;0,"OK","ONBEKEND")),IF(AND($BN143=$BK143,$BO143=$BL143+1),IF(OR(COUNTIF(#REF!,$D143)&gt;0,COUNTIF(#REF!,$D143)=0),"SKIP",IF(COUNTIFS(#REF!,$D143,#REF!,$Z143)&gt;0,"OK","ONBEKEND")),"ONZEKER")))))</f>
        <v/>
      </c>
      <c r="AB143" t="str">
        <f t="shared" si="1020"/>
        <v/>
      </c>
      <c r="AC143" t="str">
        <f t="shared" si="1021"/>
        <v/>
      </c>
      <c r="AD143" t="str">
        <f>IF($AC143="","",IF(OR($BQ143="",$BR143=""),"ONZEKER",IF(OR($BN143="",$BO143=""),"ONZEKER",IF(AND($BQ143=$BN143+1,$BR143=$BO143),IF(OR(COUNTIF(#REF!,$B143)&gt;0,COUNTIF(#REF!,$B143)=0),"SKIP",IF(COUNTIFS(#REF!,$B143,#REF!,$AC143)&gt;0,"OK","ONBEKEND")),IF(AND($BQ143=$BN143,$BR143=$BO143+1),IF(OR(COUNTIF(#REF!,$D143)&gt;0,COUNTIF(#REF!,$D143)=0),"SKIP",IF(COUNTIFS(#REF!,$D143,#REF!,$AC143)&gt;0,"OK","ONBEKEND")),"ONZEKER")))))</f>
        <v/>
      </c>
      <c r="AE143" t="str">
        <f t="shared" si="1022"/>
        <v/>
      </c>
      <c r="AF143" t="str">
        <f t="shared" si="1023"/>
        <v/>
      </c>
      <c r="AG143" t="str">
        <f>IF($AF143="","",IF(OR($BT143="",$BU143=""),"ONZEKER",IF(OR($BQ143="",$BR143=""),"ONZEKER",IF(AND($BT143=$BQ143+1,$BU143=$BR143),IF(OR(COUNTIF(#REF!,$B143)&gt;0,COUNTIF(#REF!,$B143)=0),"SKIP",IF(COUNTIFS(#REF!,$B143,#REF!,$AF143)&gt;0,"OK","ONBEKEND")),IF(AND($BT143=$BQ143,$BU143=$BR143+1),IF(OR(COUNTIF(#REF!,$D143)&gt;0,COUNTIF(#REF!,$D143)=0),"SKIP",IF(COUNTIFS(#REF!,$D143,#REF!,$AF143)&gt;0,"OK","ONBEKEND")),"ONZEKER")))))</f>
        <v/>
      </c>
      <c r="AH143" t="str">
        <f t="shared" si="1024"/>
        <v/>
      </c>
      <c r="AI143" t="str">
        <f t="shared" si="1025"/>
        <v/>
      </c>
      <c r="AJ143" t="str">
        <f>IF($AI143="","",IF(OR($BW143="",$BX143=""),"ONZEKER",IF(OR($BT143="",$BU143=""),"ONZEKER",IF(AND($BW143=$BT143+1,$BX143=$BU143),IF(OR(COUNTIF(#REF!,$B143)&gt;0,COUNTIF(#REF!,$B143)=0),"SKIP",IF(COUNTIFS(#REF!,$B143,#REF!,$AI143)&gt;0,"OK","ONBEKEND")),IF(AND($BW143=$BT143,$BX143=$BU143+1),IF(OR(COUNTIF(#REF!,$D143)&gt;0,COUNTIF(#REF!,$D143)=0),"SKIP",IF(COUNTIFS(#REF!,$D143,#REF!,$AI143)&gt;0,"OK","ONBEKEND")),"ONZEKER")))))</f>
        <v/>
      </c>
      <c r="AK143" t="str">
        <f t="shared" si="1026"/>
        <v/>
      </c>
      <c r="AL143" t="str">
        <f t="shared" si="1027"/>
        <v/>
      </c>
      <c r="AM143" t="str">
        <f>IF($AL143="","",IF(OR($BZ143="",$CA143=""),"ONZEKER",IF(OR($BW143="",$BX143=""),"ONZEKER",IF(AND($BZ143=$BW143+1,$CA143=$BX143),IF(OR(COUNTIF(#REF!,$B143)&gt;0,COUNTIF(#REF!,$B143)=0),"SKIP",IF(COUNTIFS(#REF!,$B143,#REF!,$AL143)&gt;0,"OK","ONBEKEND")),IF(AND($BZ143=$BW143,$CA143=$BX143+1),IF(OR(COUNTIF(#REF!,$D143)&gt;0,COUNTIF(#REF!,$D143)=0),"SKIP",IF(COUNTIFS(#REF!,$D143,#REF!,$AL143)&gt;0,"OK","ONBEKEND")),"ONZEKER")))))</f>
        <v/>
      </c>
      <c r="AN143" t="str">
        <f t="shared" si="1028"/>
        <v/>
      </c>
      <c r="AO143" t="str">
        <f t="shared" si="1029"/>
        <v/>
      </c>
      <c r="AP143" t="str">
        <f>IF($AO143="","",IF(OR($CC143="",$CD143=""),"ONZEKER",IF(OR($BZ143="",$CA143=""),"ONZEKER",IF(AND($CC143=$BZ143+1,$CD143=$CA143),IF(OR(COUNTIF(#REF!,$B143)&gt;0,COUNTIF(#REF!,$B143)=0),"SKIP",IF(COUNTIFS(#REF!,$B143,#REF!,$AO143)&gt;0,"OK","ONBEKEND")),IF(AND($CC143=$BZ143,$CD143=$CA143+1),IF(OR(COUNTIF(#REF!,$D143)&gt;0,COUNTIF(#REF!,$D143)=0),"SKIP",IF(COUNTIFS(#REF!,$D143,#REF!,$AO143)&gt;0,"OK","ONBEKEND")),"ONZEKER")))))</f>
        <v/>
      </c>
      <c r="AQ143" t="str">
        <f t="shared" si="1030"/>
        <v/>
      </c>
      <c r="AR143" t="str">
        <f t="shared" si="1031"/>
        <v/>
      </c>
      <c r="AS143" t="str">
        <f>IF($AR143="","",IF(OR($CF143="",$CG143=""),"ONZEKER",IF(OR($CC143="",$CD143=""),"ONZEKER",IF(AND($CF143=$CC143+1,$CG143=$CD143),IF(OR(COUNTIF(#REF!,$B143)&gt;0,COUNTIF(#REF!,$B143)=0),"SKIP",IF(COUNTIFS(#REF!,$B143,#REF!,$AR143)&gt;0,"OK","ONBEKEND")),IF(AND($CF143=$CC143,$CG143=$CD143+1),IF(OR(COUNTIF(#REF!,$D143)&gt;0,COUNTIF(#REF!,$D143)=0),"SKIP",IF(COUNTIFS(#REF!,$D143,#REF!,$AR143)&gt;0,"OK","ONBEKEND")),"ONZEKER")))))</f>
        <v/>
      </c>
      <c r="AT143" t="str">
        <f t="shared" si="1032"/>
        <v/>
      </c>
      <c r="AU143" t="str">
        <f t="shared" si="1033"/>
        <v/>
      </c>
      <c r="AV143" t="str">
        <f t="shared" si="1034"/>
        <v/>
      </c>
      <c r="AW143" t="str">
        <f t="shared" si="1035"/>
        <v/>
      </c>
      <c r="AX143" t="str">
        <f t="shared" si="1036"/>
        <v/>
      </c>
      <c r="AY143" t="str">
        <f t="shared" si="1037"/>
        <v/>
      </c>
      <c r="AZ143" t="str">
        <f t="shared" si="1038"/>
        <v/>
      </c>
      <c r="BA143" t="str">
        <f t="shared" si="1039"/>
        <v/>
      </c>
      <c r="BB143" t="str">
        <f t="shared" si="1040"/>
        <v/>
      </c>
      <c r="BC143" t="str">
        <f t="shared" si="1041"/>
        <v/>
      </c>
      <c r="BD143" t="str">
        <f t="shared" si="980"/>
        <v/>
      </c>
      <c r="BE143" t="str">
        <f t="shared" si="981"/>
        <v/>
      </c>
      <c r="BF143" t="str">
        <f t="shared" si="982"/>
        <v/>
      </c>
      <c r="BG143" t="str">
        <f t="shared" si="983"/>
        <v/>
      </c>
      <c r="BH143" t="str">
        <f t="shared" si="984"/>
        <v/>
      </c>
      <c r="BI143" t="str">
        <f t="shared" si="985"/>
        <v/>
      </c>
      <c r="BJ143" t="str">
        <f t="shared" si="986"/>
        <v/>
      </c>
      <c r="BK143" t="str">
        <f t="shared" si="987"/>
        <v/>
      </c>
      <c r="BL143" t="str">
        <f t="shared" si="988"/>
        <v/>
      </c>
      <c r="BM143" t="str">
        <f t="shared" si="989"/>
        <v/>
      </c>
      <c r="BN143" t="str">
        <f t="shared" si="990"/>
        <v/>
      </c>
      <c r="BO143" t="str">
        <f t="shared" si="991"/>
        <v/>
      </c>
      <c r="BP143" t="str">
        <f t="shared" si="992"/>
        <v/>
      </c>
      <c r="BQ143" t="str">
        <f t="shared" si="993"/>
        <v/>
      </c>
      <c r="BR143" t="str">
        <f t="shared" si="994"/>
        <v/>
      </c>
      <c r="BS143" t="str">
        <f t="shared" si="995"/>
        <v/>
      </c>
      <c r="BT143" t="str">
        <f t="shared" si="996"/>
        <v/>
      </c>
      <c r="BU143" t="str">
        <f t="shared" si="997"/>
        <v/>
      </c>
      <c r="BV143" t="str">
        <f t="shared" si="998"/>
        <v/>
      </c>
      <c r="BW143" t="str">
        <f t="shared" si="999"/>
        <v/>
      </c>
      <c r="BX143" t="str">
        <f t="shared" si="1000"/>
        <v/>
      </c>
      <c r="BY143" t="str">
        <f t="shared" si="1001"/>
        <v/>
      </c>
      <c r="BZ143" t="str">
        <f t="shared" si="1002"/>
        <v/>
      </c>
      <c r="CA143" t="str">
        <f t="shared" si="1003"/>
        <v/>
      </c>
      <c r="CB143" t="str">
        <f t="shared" si="1004"/>
        <v/>
      </c>
      <c r="CC143" t="str">
        <f t="shared" si="1005"/>
        <v/>
      </c>
      <c r="CD143" t="str">
        <f t="shared" si="1006"/>
        <v/>
      </c>
      <c r="CE143" t="str">
        <f t="shared" si="1007"/>
        <v/>
      </c>
      <c r="CF143" t="str">
        <f t="shared" si="1008"/>
        <v/>
      </c>
      <c r="CG143" t="str">
        <f t="shared" si="1009"/>
        <v/>
      </c>
      <c r="CH143" t="str">
        <f t="shared" si="1042"/>
        <v/>
      </c>
      <c r="CI143" t="str">
        <f t="shared" si="1043"/>
        <v/>
      </c>
      <c r="CJ143" t="str">
        <f>IF($CI143="","",IF(OR($DW143="",$DX143=""),"ONZEKER",IF(OR($CF143="",$CG143=""),"ONZEKER",IF(AND($DW143=$CF143+1,$DX143=$CG143),IF(OR(COUNTIF(#REF!,$B143)&gt;0,COUNTIF(#REF!,$B143)=0),"SKIP",IF(COUNTIFS(#REF!,$B143,#REF!,$CI143)&gt;0,"OK","ONBEKEND")),IF(AND($DW143=$CF143,$DX143=$CG143+1),IF(OR(COUNTIF(#REF!,$D143)&gt;0,COUNTIF(#REF!,$D143)=0),"SKIP",IF(COUNTIFS(#REF!,$D143,#REF!,$CI143)&gt;0,"OK","ONBEKEND")),"ONZEKER")))))</f>
        <v/>
      </c>
      <c r="CK143" t="str">
        <f t="shared" si="1044"/>
        <v/>
      </c>
      <c r="CL143" t="str">
        <f t="shared" si="1045"/>
        <v/>
      </c>
      <c r="CM143" t="str">
        <f>IF($CL143="","",IF(OR($DZ143="",$EA143=""),"ONZEKER",IF(OR($DW143="",$DX143=""),"ONZEKER",IF(AND($DZ143=$DW143+1,$EA143=$DX143),IF(OR(COUNTIF(#REF!,$B143)&gt;0,COUNTIF(#REF!,$B143)=0),"SKIP",IF(COUNTIFS(#REF!,$B143,#REF!,$CL143)&gt;0,"OK","ONBEKEND")),IF(AND($DZ143=$DW143,$EA143=$DX143+1),IF(OR(COUNTIF(#REF!,$D143)&gt;0,COUNTIF(#REF!,$D143)=0),"SKIP",IF(COUNTIFS(#REF!,$D143,#REF!,$CL143)&gt;0,"OK","ONBEKEND")),"ONZEKER")))))</f>
        <v/>
      </c>
      <c r="CN143" t="str">
        <f t="shared" si="1046"/>
        <v/>
      </c>
      <c r="CO143" t="str">
        <f t="shared" si="1047"/>
        <v/>
      </c>
      <c r="CP143" t="str">
        <f>IF($CO143="","",IF(OR($EC143="",$ED143=""),"ONZEKER",IF(OR($DZ143="",$EA143=""),"ONZEKER",IF(AND($EC143=$DZ143+1,$ED143=$EA143),IF(OR(COUNTIF(#REF!,$B143)&gt;0,COUNTIF(#REF!,$B143)=0),"SKIP",IF(COUNTIFS(#REF!,$B143,#REF!,$CO143)&gt;0,"OK","ONBEKEND")),IF(AND($EC143=$DZ143,$ED143=$EA143+1),IF(OR(COUNTIF(#REF!,$D143)&gt;0,COUNTIF(#REF!,$D143)=0),"SKIP",IF(COUNTIFS(#REF!,$D143,#REF!,$CO143)&gt;0,"OK","ONBEKEND")),"ONZEKER")))))</f>
        <v/>
      </c>
      <c r="CQ143" t="str">
        <f t="shared" si="1048"/>
        <v/>
      </c>
      <c r="CR143" t="str">
        <f t="shared" si="1049"/>
        <v/>
      </c>
      <c r="CS143" t="str">
        <f>IF($CR143="","",IF(OR($EF143="",$EG143=""),"ONZEKER",IF(OR($EC143="",$ED143=""),"ONZEKER",IF(AND($EF143=$EC143+1,$EG143=$ED143),IF(OR(COUNTIF(#REF!,$B143)&gt;0,COUNTIF(#REF!,$B143)=0),"SKIP",IF(COUNTIFS(#REF!,$B143,#REF!,$CR143)&gt;0,"OK","ONBEKEND")),IF(AND($EF143=$EC143,$EG143=$ED143+1),IF(OR(COUNTIF(#REF!,$D143)&gt;0,COUNTIF(#REF!,$D143)=0),"SKIP",IF(COUNTIFS(#REF!,$D143,#REF!,$CR143)&gt;0,"OK","ONBEKEND")),"ONZEKER")))))</f>
        <v/>
      </c>
      <c r="CT143" t="str">
        <f t="shared" si="1050"/>
        <v/>
      </c>
      <c r="CU143" t="str">
        <f t="shared" si="1051"/>
        <v/>
      </c>
      <c r="CV143" t="str">
        <f>IF($CU143="","",IF(OR($EI143="",$EJ143=""),"ONZEKER",IF(OR($EF143="",$EG143=""),"ONZEKER",IF(AND($EI143=$EF143+1,$EJ143=$EG143),IF(OR(COUNTIF(#REF!,$B143)&gt;0,COUNTIF(#REF!,$B143)=0),"SKIP",IF(COUNTIFS(#REF!,$B143,#REF!,$CU143)&gt;0,"OK","ONBEKEND")),IF(AND($EI143=$EF143,$EJ143=$EG143+1),IF(OR(COUNTIF(#REF!,$D143)&gt;0,COUNTIF(#REF!,$D143)=0),"SKIP",IF(COUNTIFS(#REF!,$D143,#REF!,$CU143)&gt;0,"OK","ONBEKEND")),"ONZEKER")))))</f>
        <v/>
      </c>
      <c r="CW143" t="str">
        <f t="shared" si="1052"/>
        <v/>
      </c>
      <c r="CX143" t="str">
        <f t="shared" si="1053"/>
        <v/>
      </c>
      <c r="CY143" t="str">
        <f>IF($CX143="","",IF(OR($EL143="",$EM143=""),"ONZEKER",IF(OR($EI143="",$EJ143=""),"ONZEKER",IF(AND($EL143=$EI143+1,$EM143=$EJ143),IF(OR(COUNTIF(#REF!,$B143)&gt;0,COUNTIF(#REF!,$B143)=0),"SKIP",IF(COUNTIFS(#REF!,$B143,#REF!,$CX143)&gt;0,"OK","ONBEKEND")),IF(AND($EL143=$EI143,$EM143=$EJ143+1),IF(OR(COUNTIF(#REF!,$D143)&gt;0,COUNTIF(#REF!,$D143)=0),"SKIP",IF(COUNTIFS(#REF!,$D143,#REF!,$CX143)&gt;0,"OK","ONBEKEND")),"ONZEKER")))))</f>
        <v/>
      </c>
      <c r="CZ143" t="str">
        <f t="shared" si="1054"/>
        <v/>
      </c>
      <c r="DA143" t="str">
        <f t="shared" si="1055"/>
        <v/>
      </c>
      <c r="DB143" t="str">
        <f>IF($DA143="","",IF(OR($EO143="",$EP143=""),"ONZEKER",IF(OR($EL143="",$EM143=""),"ONZEKER",IF(AND($EO143=$EL143+1,$EP143=$EM143),IF(OR(COUNTIF(#REF!,$B143)&gt;0,COUNTIF(#REF!,$B143)=0),"SKIP",IF(COUNTIFS(#REF!,$B143,#REF!,$DA143)&gt;0,"OK","ONBEKEND")),IF(AND($EO143=$EL143,$EP143=$EM143+1),IF(OR(COUNTIF(#REF!,$D143)&gt;0,COUNTIF(#REF!,$D143)=0),"SKIP",IF(COUNTIFS(#REF!,$D143,#REF!,$DA143)&gt;0,"OK","ONBEKEND")),"ONZEKER")))))</f>
        <v/>
      </c>
      <c r="DC143" t="str">
        <f t="shared" si="1056"/>
        <v/>
      </c>
      <c r="DD143" t="str">
        <f t="shared" si="1057"/>
        <v/>
      </c>
      <c r="DE143" t="str">
        <f>IF($DD143="","",IF(OR($ER143="",$ES143=""),"ONZEKER",IF(OR($EO143="",$EP143=""),"ONZEKER",IF(AND($ER143=$EO143+1,$ES143=$EP143),IF(OR(COUNTIF(#REF!,$B143)&gt;0,COUNTIF(#REF!,$B143)=0),"SKIP",IF(COUNTIFS(#REF!,$B143,#REF!,$DD143)&gt;0,"OK","ONBEKEND")),IF(AND($ER143=$EO143,$ES143=$EP143+1),IF(OR(COUNTIF(#REF!,$D143)&gt;0,COUNTIF(#REF!,$D143)=0),"SKIP",IF(COUNTIFS(#REF!,$D143,#REF!,$DD143)&gt;0,"OK","ONBEKEND")),"ONZEKER")))))</f>
        <v/>
      </c>
      <c r="DF143" t="str">
        <f t="shared" si="1058"/>
        <v/>
      </c>
      <c r="DG143" t="str">
        <f t="shared" si="1059"/>
        <v/>
      </c>
      <c r="DH143" t="str">
        <f>IF($DG143="","",IF(OR($EU143="",$EV143=""),"ONZEKER",IF(OR($ER143="",$ES143=""),"ONZEKER",IF(AND($EU143=$ER143+1,$EV143=$ES143),IF(OR(COUNTIF(#REF!,$B143)&gt;0,COUNTIF(#REF!,$B143)=0),"SKIP",IF(COUNTIFS(#REF!,$B143,#REF!,$DG143)&gt;0,"OK","ONBEKEND")),IF(AND($EU143=$ER143,$EV143=$ES143+1),IF(OR(COUNTIF(#REF!,$D143)&gt;0,COUNTIF(#REF!,$D143)=0),"SKIP",IF(COUNTIFS(#REF!,$D143,#REF!,$DG143)&gt;0,"OK","ONBEKEND")),"ONZEKER")))))</f>
        <v/>
      </c>
      <c r="DI143" t="str">
        <f t="shared" si="1060"/>
        <v/>
      </c>
      <c r="DJ143" t="str">
        <f t="shared" si="1061"/>
        <v/>
      </c>
      <c r="DK143" t="str">
        <f>IF($DJ143="","",IF(OR($EX143="",$EY143=""),"ONZEKER",IF(OR($EU143="",$EV143=""),"ONZEKER",IF(AND($EX143=$EU143+1,$EY143=$EV143),IF(OR(COUNTIF(#REF!,$B143)&gt;0,COUNTIF(#REF!,$B143)=0),"SKIP",IF(COUNTIFS(#REF!,$B143,#REF!,$DJ143)&gt;0,"OK","ONBEKEND")),IF(AND($EX143=$EU143,$EY143=$EV143+1),IF(OR(COUNTIF(#REF!,$D143)&gt;0,COUNTIF(#REF!,$D143)=0),"SKIP",IF(COUNTIFS(#REF!,$D143,#REF!,$DJ143)&gt;0,"OK","ONBEKEND")),"ONZEKER")))))</f>
        <v/>
      </c>
      <c r="DL143" t="str">
        <f t="shared" si="1062"/>
        <v/>
      </c>
      <c r="DM143" t="str">
        <f t="shared" si="1063"/>
        <v/>
      </c>
      <c r="DN143" t="str">
        <f t="shared" si="1064"/>
        <v/>
      </c>
      <c r="DO143" t="str">
        <f t="shared" si="1065"/>
        <v/>
      </c>
      <c r="DP143" t="str">
        <f t="shared" si="1066"/>
        <v/>
      </c>
      <c r="DQ143" t="str">
        <f t="shared" si="1067"/>
        <v/>
      </c>
      <c r="DR143" t="str">
        <f t="shared" si="1068"/>
        <v/>
      </c>
      <c r="DS143" t="str">
        <f t="shared" si="1069"/>
        <v/>
      </c>
      <c r="DT143" t="str">
        <f t="shared" si="1070"/>
        <v/>
      </c>
      <c r="DU143" t="str">
        <f t="shared" si="1071"/>
        <v/>
      </c>
      <c r="DV143" t="str">
        <f t="shared" si="1072"/>
        <v/>
      </c>
      <c r="DW143" t="str">
        <f t="shared" si="1073"/>
        <v/>
      </c>
      <c r="DX143" t="str">
        <f t="shared" si="1074"/>
        <v/>
      </c>
      <c r="DY143" t="str">
        <f t="shared" si="1075"/>
        <v/>
      </c>
      <c r="DZ143" t="str">
        <f t="shared" si="1076"/>
        <v/>
      </c>
      <c r="EA143" t="str">
        <f t="shared" si="1077"/>
        <v/>
      </c>
      <c r="EB143" t="str">
        <f t="shared" si="1078"/>
        <v/>
      </c>
      <c r="EC143" t="str">
        <f t="shared" si="1079"/>
        <v/>
      </c>
      <c r="ED143" t="str">
        <f t="shared" si="1080"/>
        <v/>
      </c>
      <c r="EE143" t="str">
        <f t="shared" si="1081"/>
        <v/>
      </c>
      <c r="EF143" t="str">
        <f t="shared" si="1082"/>
        <v/>
      </c>
      <c r="EG143" t="str">
        <f t="shared" si="1083"/>
        <v/>
      </c>
      <c r="EH143" t="str">
        <f t="shared" si="1084"/>
        <v/>
      </c>
      <c r="EI143" t="str">
        <f t="shared" si="1085"/>
        <v/>
      </c>
      <c r="EJ143" t="str">
        <f t="shared" si="1086"/>
        <v/>
      </c>
      <c r="EK143" t="str">
        <f t="shared" si="1087"/>
        <v/>
      </c>
      <c r="EL143" t="str">
        <f t="shared" si="1088"/>
        <v/>
      </c>
      <c r="EM143" t="str">
        <f t="shared" si="1089"/>
        <v/>
      </c>
      <c r="EN143" t="str">
        <f t="shared" si="1090"/>
        <v/>
      </c>
      <c r="EO143" t="str">
        <f t="shared" si="1091"/>
        <v/>
      </c>
      <c r="EP143" t="str">
        <f t="shared" si="1092"/>
        <v/>
      </c>
      <c r="EQ143" t="str">
        <f t="shared" si="1093"/>
        <v/>
      </c>
      <c r="ER143" t="str">
        <f t="shared" si="1094"/>
        <v/>
      </c>
      <c r="ES143" t="str">
        <f t="shared" si="1095"/>
        <v/>
      </c>
      <c r="ET143" t="str">
        <f t="shared" si="1096"/>
        <v/>
      </c>
      <c r="EU143" t="str">
        <f t="shared" si="1097"/>
        <v/>
      </c>
      <c r="EV143" t="str">
        <f t="shared" si="1098"/>
        <v/>
      </c>
      <c r="EW143" t="str">
        <f t="shared" si="1099"/>
        <v/>
      </c>
      <c r="EX143" t="str">
        <f t="shared" si="1100"/>
        <v/>
      </c>
      <c r="EY143" t="str">
        <f t="shared" si="1101"/>
        <v/>
      </c>
    </row>
    <row r="144" spans="1:155" ht="13.9" customHeight="1" x14ac:dyDescent="0.25">
      <c r="A144" s="14"/>
      <c r="B144" s="15" t="s">
        <v>1539</v>
      </c>
      <c r="C144" s="16"/>
      <c r="D144" s="16"/>
      <c r="E144" s="16"/>
      <c r="F144" s="31" t="s">
        <v>1</v>
      </c>
      <c r="G144" s="33"/>
      <c r="H144" s="33"/>
      <c r="I144" s="32" t="s">
        <v>2</v>
      </c>
      <c r="J144" s="33"/>
      <c r="K144" s="33"/>
      <c r="L144" s="6" t="s">
        <v>3</v>
      </c>
      <c r="M144" s="2" t="s">
        <v>4</v>
      </c>
      <c r="N144" s="2" t="s">
        <v>5</v>
      </c>
      <c r="O144" s="2" t="s">
        <v>6</v>
      </c>
      <c r="P144" s="2" t="s">
        <v>7</v>
      </c>
      <c r="Q144" s="2" t="s">
        <v>8</v>
      </c>
      <c r="R144" s="2" t="str">
        <f>IF($Q144="","",IF(OR($BE144="",$BF144=""),"ONZEKER",IF(AND($BE144=0+1,$BF144=0),IF(OR(COUNTIF(#REF!,$B144)&gt;0,COUNTIF(#REF!,$B144)=0),"SKIP",IF(COUNTIFS(#REF!,$B144,#REF!,$Q144)&gt;0,"OK","ONBEKEND")),IF(AND($BE144=0,$BF144=0+1),IF(OR(COUNTIF(#REF!,$D144)&gt;0,COUNTIF(#REF!,$D144)=0),"SKIP",IF(COUNTIFS(#REF!,$D144,#REF!,$Q144)&gt;0,"OK","ONBEKEND")),"ONZEKER"))))</f>
        <v>ONZEKER</v>
      </c>
      <c r="S144" s="2" t="s">
        <v>10</v>
      </c>
      <c r="T144" s="2" t="s">
        <v>11</v>
      </c>
      <c r="U144" s="2" t="str">
        <f>IF($T144="","",IF(OR($BH144="",$BI144=""),"ONZEKER",IF(OR($BE144="",$BF144=""),"ONZEKER",IF(AND($BH144=$BE144+1,$BI144=$BF144),IF(OR(COUNTIF(#REF!,$B144)&gt;0,COUNTIF(#REF!,$B144)=0),"SKIP",IF(COUNTIFS(#REF!,$B144,#REF!,$T144)&gt;0,"OK","ONBEKEND")),IF(AND($BH144=$BE144,$BI144=$BF144+1),IF(OR(COUNTIF(#REF!,$D144)&gt;0,COUNTIF(#REF!,$D144)=0),"SKIP",IF(COUNTIFS(#REF!,$D144,#REF!,$T144)&gt;0,"OK","ONBEKEND")),"ONZEKER")))))</f>
        <v>ONZEKER</v>
      </c>
      <c r="V144" s="2" t="s">
        <v>13</v>
      </c>
      <c r="W144" s="2" t="s">
        <v>14</v>
      </c>
      <c r="X144" s="2" t="str">
        <f>IF($W144="","",IF(OR($BK144="",$BL144=""),"ONZEKER",IF(OR($BH144="",$BI144=""),"ONZEKER",IF(AND($BK144=$BH144+1,$BL144=$BI144),IF(OR(COUNTIF(#REF!,$B144)&gt;0,COUNTIF(#REF!,$B144)=0),"SKIP",IF(COUNTIFS(#REF!,$B144,#REF!,$W144)&gt;0,"OK","ONBEKEND")),IF(AND($BK144=$BH144,$BL144=$BI144+1),IF(OR(COUNTIF(#REF!,$D144)&gt;0,COUNTIF(#REF!,$D144)=0),"SKIP",IF(COUNTIFS(#REF!,$D144,#REF!,$W144)&gt;0,"OK","ONBEKEND")),"ONZEKER")))))</f>
        <v>ONZEKER</v>
      </c>
      <c r="Y144" s="2" t="s">
        <v>16</v>
      </c>
      <c r="Z144" s="2" t="s">
        <v>17</v>
      </c>
      <c r="AA144" s="2" t="str">
        <f>IF($Z144="","",IF(OR($BN144="",$BO144=""),"ONZEKER",IF(OR($BK144="",$BL144=""),"ONZEKER",IF(AND($BN144=$BK144+1,$BO144=$BL144),IF(OR(COUNTIF(#REF!,$B144)&gt;0,COUNTIF(#REF!,$B144)=0),"SKIP",IF(COUNTIFS(#REF!,$B144,#REF!,$Z144)&gt;0,"OK","ONBEKEND")),IF(AND($BN144=$BK144,$BO144=$BL144+1),IF(OR(COUNTIF(#REF!,$D144)&gt;0,COUNTIF(#REF!,$D144)=0),"SKIP",IF(COUNTIFS(#REF!,$D144,#REF!,$Z144)&gt;0,"OK","ONBEKEND")),"ONZEKER")))))</f>
        <v>ONZEKER</v>
      </c>
      <c r="AB144" s="2" t="s">
        <v>19</v>
      </c>
      <c r="AC144" s="2" t="s">
        <v>20</v>
      </c>
      <c r="AD144" s="2" t="str">
        <f>IF($AC144="","",IF(OR($BQ144="",$BR144=""),"ONZEKER",IF(OR($BN144="",$BO144=""),"ONZEKER",IF(AND($BQ144=$BN144+1,$BR144=$BO144),IF(OR(COUNTIF(#REF!,$B144)&gt;0,COUNTIF(#REF!,$B144)=0),"SKIP",IF(COUNTIFS(#REF!,$B144,#REF!,$AC144)&gt;0,"OK","ONBEKEND")),IF(AND($BQ144=$BN144,$BR144=$BO144+1),IF(OR(COUNTIF(#REF!,$D144)&gt;0,COUNTIF(#REF!,$D144)=0),"SKIP",IF(COUNTIFS(#REF!,$D144,#REF!,$AC144)&gt;0,"OK","ONBEKEND")),"ONZEKER")))))</f>
        <v>ONZEKER</v>
      </c>
      <c r="AE144" s="2" t="s">
        <v>22</v>
      </c>
      <c r="AF144" s="2" t="s">
        <v>23</v>
      </c>
      <c r="AG144" s="2" t="str">
        <f>IF($AF144="","",IF(OR($BT144="",$BU144=""),"ONZEKER",IF(OR($BQ144="",$BR144=""),"ONZEKER",IF(AND($BT144=$BQ144+1,$BU144=$BR144),IF(OR(COUNTIF(#REF!,$B144)&gt;0,COUNTIF(#REF!,$B144)=0),"SKIP",IF(COUNTIFS(#REF!,$B144,#REF!,$AF144)&gt;0,"OK","ONBEKEND")),IF(AND($BT144=$BQ144,$BU144=$BR144+1),IF(OR(COUNTIF(#REF!,$D144)&gt;0,COUNTIF(#REF!,$D144)=0),"SKIP",IF(COUNTIFS(#REF!,$D144,#REF!,$AF144)&gt;0,"OK","ONBEKEND")),"ONZEKER")))))</f>
        <v>ONZEKER</v>
      </c>
      <c r="AH144" s="2" t="s">
        <v>25</v>
      </c>
      <c r="AI144" s="2" t="s">
        <v>26</v>
      </c>
      <c r="AJ144" s="2" t="str">
        <f>IF($AI144="","",IF(OR($BW144="",$BX144=""),"ONZEKER",IF(OR($BT144="",$BU144=""),"ONZEKER",IF(AND($BW144=$BT144+1,$BX144=$BU144),IF(OR(COUNTIF(#REF!,$B144)&gt;0,COUNTIF(#REF!,$B144)=0),"SKIP",IF(COUNTIFS(#REF!,$B144,#REF!,$AI144)&gt;0,"OK","ONBEKEND")),IF(AND($BW144=$BT144,$BX144=$BU144+1),IF(OR(COUNTIF(#REF!,$D144)&gt;0,COUNTIF(#REF!,$D144)=0),"SKIP",IF(COUNTIFS(#REF!,$D144,#REF!,$AI144)&gt;0,"OK","ONBEKEND")),"ONZEKER")))))</f>
        <v>ONZEKER</v>
      </c>
      <c r="AK144" s="2" t="s">
        <v>28</v>
      </c>
      <c r="AL144" s="2" t="s">
        <v>29</v>
      </c>
      <c r="AM144" s="2" t="str">
        <f>IF($AL144="","",IF(OR($BZ144="",$CA144=""),"ONZEKER",IF(OR($BW144="",$BX144=""),"ONZEKER",IF(AND($BZ144=$BW144+1,$CA144=$BX144),IF(OR(COUNTIF(#REF!,$B144)&gt;0,COUNTIF(#REF!,$B144)=0),"SKIP",IF(COUNTIFS(#REF!,$B144,#REF!,$AL144)&gt;0,"OK","ONBEKEND")),IF(AND($BZ144=$BW144,$CA144=$BX144+1),IF(OR(COUNTIF(#REF!,$D144)&gt;0,COUNTIF(#REF!,$D144)=0),"SKIP",IF(COUNTIFS(#REF!,$D144,#REF!,$AL144)&gt;0,"OK","ONBEKEND")),"ONZEKER")))))</f>
        <v>ONZEKER</v>
      </c>
      <c r="AN144" s="2" t="s">
        <v>31</v>
      </c>
      <c r="AO144" s="2" t="s">
        <v>32</v>
      </c>
      <c r="AP144" s="2" t="str">
        <f>IF($AO144="","",IF(OR($CC144="",$CD144=""),"ONZEKER",IF(OR($BZ144="",$CA144=""),"ONZEKER",IF(AND($CC144=$BZ144+1,$CD144=$CA144),IF(OR(COUNTIF(#REF!,$B144)&gt;0,COUNTIF(#REF!,$B144)=0),"SKIP",IF(COUNTIFS(#REF!,$B144,#REF!,$AO144)&gt;0,"OK","ONBEKEND")),IF(AND($CC144=$BZ144,$CD144=$CA144+1),IF(OR(COUNTIF(#REF!,$D144)&gt;0,COUNTIF(#REF!,$D144)=0),"SKIP",IF(COUNTIFS(#REF!,$D144,#REF!,$AO144)&gt;0,"OK","ONBEKEND")),"ONZEKER")))))</f>
        <v>ONZEKER</v>
      </c>
      <c r="AQ144" s="2" t="s">
        <v>34</v>
      </c>
      <c r="AR144" s="2" t="s">
        <v>35</v>
      </c>
      <c r="AS144" s="2" t="str">
        <f>IF($AR144="","",IF(OR($CF144="",$CG144=""),"ONZEKER",IF(OR($CC144="",$CD144=""),"ONZEKER",IF(AND($CF144=$CC144+1,$CG144=$CD144),IF(OR(COUNTIF(#REF!,$B144)&gt;0,COUNTIF(#REF!,$B144)=0),"SKIP",IF(COUNTIFS(#REF!,$B144,#REF!,$AR144)&gt;0,"OK","ONBEKEND")),IF(AND($CF144=$CC144,$CG144=$CD144+1),IF(OR(COUNTIF(#REF!,$D144)&gt;0,COUNTIF(#REF!,$D144)=0),"SKIP",IF(COUNTIFS(#REF!,$D144,#REF!,$AR144)&gt;0,"OK","ONBEKEND")),"ONZEKER")))))</f>
        <v>ONZEKER</v>
      </c>
      <c r="AT144" s="2" t="s">
        <v>37</v>
      </c>
      <c r="AU144" s="2" t="s">
        <v>38</v>
      </c>
      <c r="AV144" s="2" t="s">
        <v>39</v>
      </c>
      <c r="AW144" s="2" t="s">
        <v>40</v>
      </c>
      <c r="AX144" s="2" t="s">
        <v>41</v>
      </c>
      <c r="AY144" s="2" t="s">
        <v>42</v>
      </c>
      <c r="AZ144" s="2" t="s">
        <v>43</v>
      </c>
      <c r="BA144" s="2" t="s">
        <v>44</v>
      </c>
      <c r="BB144" s="2" t="s">
        <v>45</v>
      </c>
      <c r="BC144" s="2" t="s">
        <v>46</v>
      </c>
      <c r="BD144" t="str">
        <f t="shared" si="980"/>
        <v/>
      </c>
      <c r="BE144" t="str">
        <f t="shared" si="981"/>
        <v/>
      </c>
      <c r="BF144" t="str">
        <f t="shared" si="982"/>
        <v/>
      </c>
      <c r="BG144" t="str">
        <f t="shared" si="983"/>
        <v/>
      </c>
      <c r="BH144" t="str">
        <f t="shared" si="984"/>
        <v/>
      </c>
      <c r="BI144" t="str">
        <f t="shared" si="985"/>
        <v/>
      </c>
      <c r="BJ144" t="str">
        <f t="shared" si="986"/>
        <v/>
      </c>
      <c r="BK144" t="str">
        <f t="shared" si="987"/>
        <v/>
      </c>
      <c r="BL144" t="str">
        <f t="shared" si="988"/>
        <v/>
      </c>
      <c r="BM144" t="str">
        <f t="shared" si="989"/>
        <v/>
      </c>
      <c r="BN144" t="str">
        <f t="shared" si="990"/>
        <v/>
      </c>
      <c r="BO144" t="str">
        <f t="shared" si="991"/>
        <v/>
      </c>
      <c r="BP144" t="str">
        <f t="shared" si="992"/>
        <v/>
      </c>
      <c r="BQ144" t="str">
        <f t="shared" si="993"/>
        <v/>
      </c>
      <c r="BR144" t="str">
        <f t="shared" si="994"/>
        <v/>
      </c>
      <c r="BS144" t="str">
        <f t="shared" si="995"/>
        <v/>
      </c>
      <c r="BT144" t="str">
        <f t="shared" si="996"/>
        <v/>
      </c>
      <c r="BU144" t="str">
        <f t="shared" si="997"/>
        <v/>
      </c>
      <c r="BV144" t="str">
        <f t="shared" si="998"/>
        <v/>
      </c>
      <c r="BW144" t="str">
        <f t="shared" si="999"/>
        <v/>
      </c>
      <c r="BX144" t="str">
        <f t="shared" si="1000"/>
        <v/>
      </c>
      <c r="BY144" t="str">
        <f t="shared" si="1001"/>
        <v/>
      </c>
      <c r="BZ144" t="str">
        <f t="shared" si="1002"/>
        <v/>
      </c>
      <c r="CA144" t="str">
        <f t="shared" si="1003"/>
        <v/>
      </c>
      <c r="CB144" t="str">
        <f t="shared" si="1004"/>
        <v/>
      </c>
      <c r="CC144" t="str">
        <f t="shared" si="1005"/>
        <v/>
      </c>
      <c r="CD144" t="str">
        <f t="shared" si="1006"/>
        <v/>
      </c>
      <c r="CE144" t="str">
        <f t="shared" si="1007"/>
        <v/>
      </c>
      <c r="CF144" t="str">
        <f t="shared" si="1008"/>
        <v/>
      </c>
      <c r="CG144" t="str">
        <f t="shared" si="1009"/>
        <v/>
      </c>
      <c r="CH144" s="2" t="s">
        <v>77</v>
      </c>
      <c r="CI144" s="2" t="s">
        <v>78</v>
      </c>
      <c r="CJ144" s="2" t="s">
        <v>79</v>
      </c>
      <c r="CK144" s="2" t="s">
        <v>80</v>
      </c>
      <c r="CL144" s="2" t="s">
        <v>81</v>
      </c>
      <c r="CM144" s="2" t="s">
        <v>82</v>
      </c>
      <c r="CN144" s="2" t="s">
        <v>83</v>
      </c>
      <c r="CO144" s="2" t="s">
        <v>84</v>
      </c>
      <c r="CP144" s="2" t="s">
        <v>85</v>
      </c>
      <c r="CQ144" s="2" t="s">
        <v>86</v>
      </c>
      <c r="CR144" s="2" t="s">
        <v>87</v>
      </c>
      <c r="CS144" s="2" t="s">
        <v>88</v>
      </c>
      <c r="CT144" s="2" t="s">
        <v>89</v>
      </c>
      <c r="CU144" s="2" t="s">
        <v>90</v>
      </c>
      <c r="CV144" s="2" t="s">
        <v>91</v>
      </c>
      <c r="CW144" s="2" t="s">
        <v>92</v>
      </c>
      <c r="CX144" s="2" t="s">
        <v>93</v>
      </c>
      <c r="CY144" s="2" t="s">
        <v>94</v>
      </c>
      <c r="CZ144" s="2" t="s">
        <v>95</v>
      </c>
      <c r="DA144" s="2" t="s">
        <v>96</v>
      </c>
      <c r="DB144" s="2" t="s">
        <v>97</v>
      </c>
      <c r="DC144" s="2" t="s">
        <v>98</v>
      </c>
      <c r="DD144" s="2" t="s">
        <v>99</v>
      </c>
      <c r="DE144" s="2" t="s">
        <v>100</v>
      </c>
      <c r="DF144" s="2" t="s">
        <v>101</v>
      </c>
      <c r="DG144" s="2" t="s">
        <v>102</v>
      </c>
      <c r="DH144" s="2" t="s">
        <v>103</v>
      </c>
      <c r="DI144" s="2" t="s">
        <v>104</v>
      </c>
      <c r="DJ144" s="2" t="s">
        <v>105</v>
      </c>
      <c r="DK144" s="2" t="s">
        <v>106</v>
      </c>
      <c r="DL144" s="2" t="s">
        <v>107</v>
      </c>
      <c r="DM144" s="2" t="s">
        <v>108</v>
      </c>
      <c r="DN144" s="2" t="s">
        <v>109</v>
      </c>
      <c r="DO144" s="2" t="s">
        <v>110</v>
      </c>
      <c r="DP144" s="2" t="s">
        <v>111</v>
      </c>
      <c r="DQ144" s="2" t="s">
        <v>112</v>
      </c>
      <c r="DR144" s="2" t="s">
        <v>113</v>
      </c>
      <c r="DS144" s="2" t="s">
        <v>114</v>
      </c>
      <c r="DT144" s="2" t="s">
        <v>115</v>
      </c>
      <c r="DU144" s="2" t="s">
        <v>116</v>
      </c>
      <c r="DV144" s="2" t="s">
        <v>117</v>
      </c>
      <c r="DW144" s="2" t="s">
        <v>118</v>
      </c>
      <c r="DX144" s="2" t="s">
        <v>119</v>
      </c>
      <c r="DY144" s="2" t="s">
        <v>120</v>
      </c>
      <c r="DZ144" s="2" t="s">
        <v>121</v>
      </c>
      <c r="EA144" s="2" t="s">
        <v>122</v>
      </c>
      <c r="EB144" s="2" t="s">
        <v>123</v>
      </c>
      <c r="EC144" s="2" t="s">
        <v>124</v>
      </c>
      <c r="ED144" s="2" t="s">
        <v>125</v>
      </c>
      <c r="EE144" s="2" t="s">
        <v>126</v>
      </c>
      <c r="EF144" s="2" t="s">
        <v>127</v>
      </c>
      <c r="EG144" s="2" t="s">
        <v>128</v>
      </c>
      <c r="EH144" s="2" t="s">
        <v>129</v>
      </c>
      <c r="EI144" s="2" t="s">
        <v>130</v>
      </c>
      <c r="EJ144" s="2" t="s">
        <v>131</v>
      </c>
      <c r="EK144" s="2" t="s">
        <v>132</v>
      </c>
      <c r="EL144" s="2" t="s">
        <v>133</v>
      </c>
      <c r="EM144" s="2" t="s">
        <v>134</v>
      </c>
      <c r="EN144" s="2" t="s">
        <v>135</v>
      </c>
      <c r="EO144" s="2" t="s">
        <v>136</v>
      </c>
      <c r="EP144" s="2" t="s">
        <v>137</v>
      </c>
      <c r="EQ144" s="2" t="s">
        <v>138</v>
      </c>
      <c r="ER144" s="2" t="s">
        <v>139</v>
      </c>
      <c r="ES144" s="2" t="s">
        <v>140</v>
      </c>
      <c r="ET144" s="2" t="s">
        <v>141</v>
      </c>
      <c r="EU144" s="2" t="s">
        <v>142</v>
      </c>
      <c r="EV144" s="2" t="s">
        <v>143</v>
      </c>
      <c r="EW144" s="2" t="s">
        <v>144</v>
      </c>
      <c r="EX144" s="2" t="s">
        <v>145</v>
      </c>
      <c r="EY144" s="2" t="s">
        <v>146</v>
      </c>
    </row>
    <row r="145" spans="1:155" ht="13.9" customHeight="1" x14ac:dyDescent="0.25">
      <c r="A145" s="7"/>
      <c r="B145" s="17"/>
      <c r="C145" s="8"/>
      <c r="D145" s="17"/>
      <c r="E145" s="8"/>
      <c r="F145" s="18">
        <v>0</v>
      </c>
      <c r="G145" s="7" t="s">
        <v>147</v>
      </c>
      <c r="H145" s="18">
        <v>0</v>
      </c>
      <c r="I145" s="19">
        <v>0</v>
      </c>
      <c r="J145" s="7" t="s">
        <v>147</v>
      </c>
      <c r="K145" s="19">
        <v>0</v>
      </c>
      <c r="L145" s="9"/>
      <c r="M145" s="3" t="str">
        <f>IF($L145="","",IF($L145="DOELPUNTENMAKERS","",IF(AND(COUNTIF(#REF!,$B145)=0,COUNTIF(#REF!,$D145)=0),"OK",IF($O145&gt;20,"LET OP: meer dan 20 items (controle onvolledig)",IF((COUNTIF($R145:$AS145,"ONZEKER")+COUNTIF($CJ145:$DK145,"ONZEKER"))&gt;0,"LET OP: scoreverloop onduidelijk (controle beperkt)",IF((IF($AT145&lt;&gt;"",$AT145&amp;", ","")&amp;IF($AU145&lt;&gt;"",$AU145&amp;", ","")&amp;IF($AV145&lt;&gt;"",$AV145&amp;", ","")&amp;IF($AW145&lt;&gt;"",$AW145&amp;", ","")&amp;IF($AX145&lt;&gt;"",$AX145&amp;", ","")&amp;IF($AY145&lt;&gt;"",$AY145&amp;", ","")&amp;IF($AZ145&lt;&gt;"",$AZ145&amp;", ","")&amp;IF($BA145&lt;&gt;"",$BA145&amp;", ","")&amp;IF($BB145&lt;&gt;"",$BB145&amp;", ","")&amp;IF($BC145&lt;&gt;"",$BC145&amp;", ","")&amp;IF($DL145&lt;&gt;"",$DL145&amp;", ","")&amp;IF($DM145&lt;&gt;"",$DM145&amp;", ","")&amp;IF($DN145&lt;&gt;"",$DN145&amp;", ","")&amp;IF($DO145&lt;&gt;"",$DO145&amp;", ","")&amp;IF($DP145&lt;&gt;"",$DP145&amp;", ","")&amp;IF($DQ145&lt;&gt;"",$DQ145&amp;", ","")&amp;IF($DR145&lt;&gt;"",$DR145&amp;", ","")&amp;IF($DS145&lt;&gt;"",$DS145&amp;", ","")&amp;IF($DT145&lt;&gt;"",$DT145&amp;", ","")&amp;IF($DU145&lt;&gt;"",$DU145&amp;", ",""))="","OK","Onbekend: "&amp;LEFT((IF($AT145&lt;&gt;"",$AT145&amp;", ","")&amp;IF($AU145&lt;&gt;"",$AU145&amp;", ","")&amp;IF($AV145&lt;&gt;"",$AV145&amp;", ","")&amp;IF($AW145&lt;&gt;"",$AW145&amp;", ","")&amp;IF($AX145&lt;&gt;"",$AX145&amp;", ","")&amp;IF($AY145&lt;&gt;"",$AY145&amp;", ","")&amp;IF($AZ145&lt;&gt;"",$AZ145&amp;", ","")&amp;IF($BA145&lt;&gt;"",$BA145&amp;", ","")&amp;IF($BB145&lt;&gt;"",$BB145&amp;", ","")&amp;IF($BC145&lt;&gt;"",$BC145&amp;", ","")&amp;IF($DL145&lt;&gt;"",$DL145&amp;", ","")&amp;IF($DM145&lt;&gt;"",$DM145&amp;", ","")&amp;IF($DN145&lt;&gt;"",$DN145&amp;", ","")&amp;IF($DO145&lt;&gt;"",$DO145&amp;", ","")&amp;IF($DP145&lt;&gt;"",$DP145&amp;", ","")&amp;IF($DQ145&lt;&gt;"",$DQ145&amp;", ","")&amp;IF($DR145&lt;&gt;"",$DR145&amp;", ","")&amp;IF($DS145&lt;&gt;"",$DS145&amp;", ","")&amp;IF($DT145&lt;&gt;"",$DT145&amp;", ","")&amp;IF($DU145&lt;&gt;"",$DU145&amp;", ","")),LEN((IF($AT145&lt;&gt;"",$AT145&amp;", ","")&amp;IF($AU145&lt;&gt;"",$AU145&amp;", ","")&amp;IF($AV145&lt;&gt;"",$AV145&amp;", ","")&amp;IF($AW145&lt;&gt;"",$AW145&amp;", ","")&amp;IF($AX145&lt;&gt;"",$AX145&amp;", ","")&amp;IF($AY145&lt;&gt;"",$AY145&amp;", ","")&amp;IF($AZ145&lt;&gt;"",$AZ145&amp;", ","")&amp;IF($BA145&lt;&gt;"",$BA145&amp;", ","")&amp;IF($BB145&lt;&gt;"",$BB145&amp;", ","")&amp;IF($BC145&lt;&gt;"",$BC145&amp;", ","")&amp;IF($DL145&lt;&gt;"",$DL145&amp;", ","")&amp;IF($DM145&lt;&gt;"",$DM145&amp;", ","")&amp;IF($DN145&lt;&gt;"",$DN145&amp;", ","")&amp;IF($DO145&lt;&gt;"",$DO145&amp;", ","")&amp;IF($DP145&lt;&gt;"",$DP145&amp;", ","")&amp;IF($DQ145&lt;&gt;"",$DQ145&amp;", ","")&amp;IF($DR145&lt;&gt;"",$DR145&amp;", ","")&amp;IF($DS145&lt;&gt;"",$DS145&amp;", ","")&amp;IF($DT145&lt;&gt;"",$DT145&amp;", ","")&amp;IF($DU145&lt;&gt;"",$DU145&amp;", ","")))-2)))))))</f>
        <v/>
      </c>
      <c r="N145" t="str">
        <f t="shared" ref="N145:N156" si="1102">IF($L145="","",TRIM(IF(RIGHT(SUBSTITUTE($L145,CHAR(160)," "),1)=".",LEFT(SUBSTITUTE($L145,CHAR(160)," "),LEN(SUBSTITUTE($L145,CHAR(160)," "))-1),SUBSTITUTE($L145,CHAR(160)," "))))</f>
        <v/>
      </c>
      <c r="O145" t="str">
        <f t="shared" ref="O145:O156" si="1103">IF($N145="","",LEN($N145)-LEN(SUBSTITUTE($N145,",",""))+1)</f>
        <v/>
      </c>
      <c r="P145" t="str">
        <f t="shared" ref="P145:P156" si="1104">IF($N145="","",TRIM(MID(SUBSTITUTE($N145,",",REPT(" ",200)),1,200)))</f>
        <v/>
      </c>
      <c r="Q145" t="str">
        <f t="shared" ref="Q145:Q156" si="1105">IF(P145="","",TRIM(IFERROR(LEFT(P145,FIND("§",SUBSTITUTE(P145," ","§",LEN(P145)-LEN(SUBSTITUTE(P145," ",""))))-1),P145)))</f>
        <v/>
      </c>
      <c r="R145" t="str">
        <f>IF($Q145="","",IF(OR($BE145="",$BF145=""),"ONZEKER",IF(AND($BE145=0+1,$BF145=0),IF(OR(COUNTIF(#REF!,$B145)&gt;0,COUNTIF(#REF!,$B145)=0),"SKIP",IF(COUNTIFS(#REF!,$B145,#REF!,$Q145)&gt;0,"OK","ONBEKEND")),IF(AND($BE145=0,$BF145=0+1),IF(OR(COUNTIF(#REF!,$D145)&gt;0,COUNTIF(#REF!,$D145)=0),"SKIP",IF(COUNTIFS(#REF!,$D145,#REF!,$Q145)&gt;0,"OK","ONBEKEND")),"ONZEKER"))))</f>
        <v/>
      </c>
      <c r="S145" t="str">
        <f t="shared" ref="S145:S156" si="1106">IF($N145="","",TRIM(MID(SUBSTITUTE($N145,",",REPT(" ",200)),201,200)))</f>
        <v/>
      </c>
      <c r="T145" t="str">
        <f t="shared" ref="T145:T156" si="1107">IF(S145="","",TRIM(IFERROR(LEFT(S145,FIND("§",SUBSTITUTE(S145," ","§",LEN(S145)-LEN(SUBSTITUTE(S145," ",""))))-1),S145)))</f>
        <v/>
      </c>
      <c r="U145" t="str">
        <f>IF($T145="","",IF(OR($BH145="",$BI145=""),"ONZEKER",IF(OR($BE145="",$BF145=""),"ONZEKER",IF(AND($BH145=$BE145+1,$BI145=$BF145),IF(OR(COUNTIF(#REF!,$B145)&gt;0,COUNTIF(#REF!,$B145)=0),"SKIP",IF(COUNTIFS(#REF!,$B145,#REF!,$T145)&gt;0,"OK","ONBEKEND")),IF(AND($BH145=$BE145,$BI145=$BF145+1),IF(OR(COUNTIF(#REF!,$D145)&gt;0,COUNTIF(#REF!,$D145)=0),"SKIP",IF(COUNTIFS(#REF!,$D145,#REF!,$T145)&gt;0,"OK","ONBEKEND")),"ONZEKER")))))</f>
        <v/>
      </c>
      <c r="V145" t="str">
        <f t="shared" ref="V145:V156" si="1108">IF($N145="","",TRIM(MID(SUBSTITUTE($N145,",",REPT(" ",200)),401,200)))</f>
        <v/>
      </c>
      <c r="W145" t="str">
        <f t="shared" ref="W145:W156" si="1109">IF(V145="","",TRIM(IFERROR(LEFT(V145,FIND("§",SUBSTITUTE(V145," ","§",LEN(V145)-LEN(SUBSTITUTE(V145," ",""))))-1),V145)))</f>
        <v/>
      </c>
      <c r="X145" t="str">
        <f>IF($W145="","",IF(OR($BK145="",$BL145=""),"ONZEKER",IF(OR($BH145="",$BI145=""),"ONZEKER",IF(AND($BK145=$BH145+1,$BL145=$BI145),IF(OR(COUNTIF(#REF!,$B145)&gt;0,COUNTIF(#REF!,$B145)=0),"SKIP",IF(COUNTIFS(#REF!,$B145,#REF!,$W145)&gt;0,"OK","ONBEKEND")),IF(AND($BK145=$BH145,$BL145=$BI145+1),IF(OR(COUNTIF(#REF!,$D145)&gt;0,COUNTIF(#REF!,$D145)=0),"SKIP",IF(COUNTIFS(#REF!,$D145,#REF!,$W145)&gt;0,"OK","ONBEKEND")),"ONZEKER")))))</f>
        <v/>
      </c>
      <c r="Y145" t="str">
        <f t="shared" ref="Y145:Y156" si="1110">IF($N145="","",TRIM(MID(SUBSTITUTE($N145,",",REPT(" ",200)),601,200)))</f>
        <v/>
      </c>
      <c r="Z145" t="str">
        <f t="shared" ref="Z145:Z156" si="1111">IF(Y145="","",TRIM(IFERROR(LEFT(Y145,FIND("§",SUBSTITUTE(Y145," ","§",LEN(Y145)-LEN(SUBSTITUTE(Y145," ",""))))-1),Y145)))</f>
        <v/>
      </c>
      <c r="AA145" t="str">
        <f>IF($Z145="","",IF(OR($BN145="",$BO145=""),"ONZEKER",IF(OR($BK145="",$BL145=""),"ONZEKER",IF(AND($BN145=$BK145+1,$BO145=$BL145),IF(OR(COUNTIF(#REF!,$B145)&gt;0,COUNTIF(#REF!,$B145)=0),"SKIP",IF(COUNTIFS(#REF!,$B145,#REF!,$Z145)&gt;0,"OK","ONBEKEND")),IF(AND($BN145=$BK145,$BO145=$BL145+1),IF(OR(COUNTIF(#REF!,$D145)&gt;0,COUNTIF(#REF!,$D145)=0),"SKIP",IF(COUNTIFS(#REF!,$D145,#REF!,$Z145)&gt;0,"OK","ONBEKEND")),"ONZEKER")))))</f>
        <v/>
      </c>
      <c r="AB145" t="str">
        <f t="shared" ref="AB145:AB156" si="1112">IF($N145="","",TRIM(MID(SUBSTITUTE($N145,",",REPT(" ",200)),801,200)))</f>
        <v/>
      </c>
      <c r="AC145" t="str">
        <f t="shared" ref="AC145:AC156" si="1113">IF(AB145="","",TRIM(IFERROR(LEFT(AB145,FIND("§",SUBSTITUTE(AB145," ","§",LEN(AB145)-LEN(SUBSTITUTE(AB145," ",""))))-1),AB145)))</f>
        <v/>
      </c>
      <c r="AD145" t="str">
        <f>IF($AC145="","",IF(OR($BQ145="",$BR145=""),"ONZEKER",IF(OR($BN145="",$BO145=""),"ONZEKER",IF(AND($BQ145=$BN145+1,$BR145=$BO145),IF(OR(COUNTIF(#REF!,$B145)&gt;0,COUNTIF(#REF!,$B145)=0),"SKIP",IF(COUNTIFS(#REF!,$B145,#REF!,$AC145)&gt;0,"OK","ONBEKEND")),IF(AND($BQ145=$BN145,$BR145=$BO145+1),IF(OR(COUNTIF(#REF!,$D145)&gt;0,COUNTIF(#REF!,$D145)=0),"SKIP",IF(COUNTIFS(#REF!,$D145,#REF!,$AC145)&gt;0,"OK","ONBEKEND")),"ONZEKER")))))</f>
        <v/>
      </c>
      <c r="AE145" t="str">
        <f t="shared" ref="AE145:AE156" si="1114">IF($N145="","",TRIM(MID(SUBSTITUTE($N145,",",REPT(" ",200)),1001,200)))</f>
        <v/>
      </c>
      <c r="AF145" t="str">
        <f t="shared" ref="AF145:AF156" si="1115">IF(AE145="","",TRIM(IFERROR(LEFT(AE145,FIND("§",SUBSTITUTE(AE145," ","§",LEN(AE145)-LEN(SUBSTITUTE(AE145," ",""))))-1),AE145)))</f>
        <v/>
      </c>
      <c r="AG145" t="str">
        <f>IF($AF145="","",IF(OR($BT145="",$BU145=""),"ONZEKER",IF(OR($BQ145="",$BR145=""),"ONZEKER",IF(AND($BT145=$BQ145+1,$BU145=$BR145),IF(OR(COUNTIF(#REF!,$B145)&gt;0,COUNTIF(#REF!,$B145)=0),"SKIP",IF(COUNTIFS(#REF!,$B145,#REF!,$AF145)&gt;0,"OK","ONBEKEND")),IF(AND($BT145=$BQ145,$BU145=$BR145+1),IF(OR(COUNTIF(#REF!,$D145)&gt;0,COUNTIF(#REF!,$D145)=0),"SKIP",IF(COUNTIFS(#REF!,$D145,#REF!,$AF145)&gt;0,"OK","ONBEKEND")),"ONZEKER")))))</f>
        <v/>
      </c>
      <c r="AH145" t="str">
        <f t="shared" ref="AH145:AH156" si="1116">IF($N145="","",TRIM(MID(SUBSTITUTE($N145,",",REPT(" ",200)),1201,200)))</f>
        <v/>
      </c>
      <c r="AI145" t="str">
        <f t="shared" ref="AI145:AI156" si="1117">IF(AH145="","",TRIM(IFERROR(LEFT(AH145,FIND("§",SUBSTITUTE(AH145," ","§",LEN(AH145)-LEN(SUBSTITUTE(AH145," ",""))))-1),AH145)))</f>
        <v/>
      </c>
      <c r="AJ145" t="str">
        <f>IF($AI145="","",IF(OR($BW145="",$BX145=""),"ONZEKER",IF(OR($BT145="",$BU145=""),"ONZEKER",IF(AND($BW145=$BT145+1,$BX145=$BU145),IF(OR(COUNTIF(#REF!,$B145)&gt;0,COUNTIF(#REF!,$B145)=0),"SKIP",IF(COUNTIFS(#REF!,$B145,#REF!,$AI145)&gt;0,"OK","ONBEKEND")),IF(AND($BW145=$BT145,$BX145=$BU145+1),IF(OR(COUNTIF(#REF!,$D145)&gt;0,COUNTIF(#REF!,$D145)=0),"SKIP",IF(COUNTIFS(#REF!,$D145,#REF!,$AI145)&gt;0,"OK","ONBEKEND")),"ONZEKER")))))</f>
        <v/>
      </c>
      <c r="AK145" t="str">
        <f t="shared" ref="AK145:AK156" si="1118">IF($N145="","",TRIM(MID(SUBSTITUTE($N145,",",REPT(" ",200)),1401,200)))</f>
        <v/>
      </c>
      <c r="AL145" t="str">
        <f t="shared" ref="AL145:AL156" si="1119">IF(AK145="","",TRIM(IFERROR(LEFT(AK145,FIND("§",SUBSTITUTE(AK145," ","§",LEN(AK145)-LEN(SUBSTITUTE(AK145," ",""))))-1),AK145)))</f>
        <v/>
      </c>
      <c r="AM145" t="str">
        <f>IF($AL145="","",IF(OR($BZ145="",$CA145=""),"ONZEKER",IF(OR($BW145="",$BX145=""),"ONZEKER",IF(AND($BZ145=$BW145+1,$CA145=$BX145),IF(OR(COUNTIF(#REF!,$B145)&gt;0,COUNTIF(#REF!,$B145)=0),"SKIP",IF(COUNTIFS(#REF!,$B145,#REF!,$AL145)&gt;0,"OK","ONBEKEND")),IF(AND($BZ145=$BW145,$CA145=$BX145+1),IF(OR(COUNTIF(#REF!,$D145)&gt;0,COUNTIF(#REF!,$D145)=0),"SKIP",IF(COUNTIFS(#REF!,$D145,#REF!,$AL145)&gt;0,"OK","ONBEKEND")),"ONZEKER")))))</f>
        <v/>
      </c>
      <c r="AN145" t="str">
        <f t="shared" ref="AN145:AN156" si="1120">IF($N145="","",TRIM(MID(SUBSTITUTE($N145,",",REPT(" ",200)),1601,200)))</f>
        <v/>
      </c>
      <c r="AO145" t="str">
        <f t="shared" ref="AO145:AO156" si="1121">IF(AN145="","",TRIM(IFERROR(LEFT(AN145,FIND("§",SUBSTITUTE(AN145," ","§",LEN(AN145)-LEN(SUBSTITUTE(AN145," ",""))))-1),AN145)))</f>
        <v/>
      </c>
      <c r="AP145" t="str">
        <f>IF($AO145="","",IF(OR($CC145="",$CD145=""),"ONZEKER",IF(OR($BZ145="",$CA145=""),"ONZEKER",IF(AND($CC145=$BZ145+1,$CD145=$CA145),IF(OR(COUNTIF(#REF!,$B145)&gt;0,COUNTIF(#REF!,$B145)=0),"SKIP",IF(COUNTIFS(#REF!,$B145,#REF!,$AO145)&gt;0,"OK","ONBEKEND")),IF(AND($CC145=$BZ145,$CD145=$CA145+1),IF(OR(COUNTIF(#REF!,$D145)&gt;0,COUNTIF(#REF!,$D145)=0),"SKIP",IF(COUNTIFS(#REF!,$D145,#REF!,$AO145)&gt;0,"OK","ONBEKEND")),"ONZEKER")))))</f>
        <v/>
      </c>
      <c r="AQ145" t="str">
        <f t="shared" ref="AQ145:AQ156" si="1122">IF($N145="","",TRIM(MID(SUBSTITUTE($N145,",",REPT(" ",200)),1801,200)))</f>
        <v/>
      </c>
      <c r="AR145" t="str">
        <f t="shared" ref="AR145:AR156" si="1123">IF(AQ145="","",TRIM(IFERROR(LEFT(AQ145,FIND("§",SUBSTITUTE(AQ145," ","§",LEN(AQ145)-LEN(SUBSTITUTE(AQ145," ",""))))-1),AQ145)))</f>
        <v/>
      </c>
      <c r="AS145" t="str">
        <f>IF($AR145="","",IF(OR($CF145="",$CG145=""),"ONZEKER",IF(OR($CC145="",$CD145=""),"ONZEKER",IF(AND($CF145=$CC145+1,$CG145=$CD145),IF(OR(COUNTIF(#REF!,$B145)&gt;0,COUNTIF(#REF!,$B145)=0),"SKIP",IF(COUNTIFS(#REF!,$B145,#REF!,$AR145)&gt;0,"OK","ONBEKEND")),IF(AND($CF145=$CC145,$CG145=$CD145+1),IF(OR(COUNTIF(#REF!,$D145)&gt;0,COUNTIF(#REF!,$D145)=0),"SKIP",IF(COUNTIFS(#REF!,$D145,#REF!,$AR145)&gt;0,"OK","ONBEKEND")),"ONZEKER")))))</f>
        <v/>
      </c>
      <c r="AT145" t="str">
        <f t="shared" ref="AT145:AT156" si="1124">IF(R145="ONBEKEND",Q145,"")</f>
        <v/>
      </c>
      <c r="AU145" t="str">
        <f t="shared" ref="AU145:AU156" si="1125">IF(U145="ONBEKEND",T145,"")</f>
        <v/>
      </c>
      <c r="AV145" t="str">
        <f t="shared" ref="AV145:AV156" si="1126">IF(X145="ONBEKEND",W145,"")</f>
        <v/>
      </c>
      <c r="AW145" t="str">
        <f t="shared" ref="AW145:AW156" si="1127">IF(AA145="ONBEKEND",Z145,"")</f>
        <v/>
      </c>
      <c r="AX145" t="str">
        <f t="shared" ref="AX145:AX156" si="1128">IF(AD145="ONBEKEND",AC145,"")</f>
        <v/>
      </c>
      <c r="AY145" t="str">
        <f t="shared" ref="AY145:AY156" si="1129">IF(AG145="ONBEKEND",AF145,"")</f>
        <v/>
      </c>
      <c r="AZ145" t="str">
        <f t="shared" ref="AZ145:AZ156" si="1130">IF(AJ145="ONBEKEND",AI145,"")</f>
        <v/>
      </c>
      <c r="BA145" t="str">
        <f t="shared" ref="BA145:BA156" si="1131">IF(AM145="ONBEKEND",AL145,"")</f>
        <v/>
      </c>
      <c r="BB145" t="str">
        <f t="shared" ref="BB145:BB156" si="1132">IF(AP145="ONBEKEND",AO145,"")</f>
        <v/>
      </c>
      <c r="BC145" t="str">
        <f t="shared" ref="BC145:BC156" si="1133">IF(AS145="ONBEKEND",AR145,"")</f>
        <v/>
      </c>
      <c r="BD145" t="str">
        <f t="shared" si="980"/>
        <v/>
      </c>
      <c r="BE145" t="str">
        <f t="shared" si="981"/>
        <v/>
      </c>
      <c r="BF145" t="str">
        <f t="shared" si="982"/>
        <v/>
      </c>
      <c r="BG145" t="str">
        <f t="shared" si="983"/>
        <v/>
      </c>
      <c r="BH145" t="str">
        <f t="shared" si="984"/>
        <v/>
      </c>
      <c r="BI145" t="str">
        <f t="shared" si="985"/>
        <v/>
      </c>
      <c r="BJ145" t="str">
        <f t="shared" si="986"/>
        <v/>
      </c>
      <c r="BK145" t="str">
        <f t="shared" si="987"/>
        <v/>
      </c>
      <c r="BL145" t="str">
        <f t="shared" si="988"/>
        <v/>
      </c>
      <c r="BM145" t="str">
        <f t="shared" si="989"/>
        <v/>
      </c>
      <c r="BN145" t="str">
        <f t="shared" si="990"/>
        <v/>
      </c>
      <c r="BO145" t="str">
        <f t="shared" si="991"/>
        <v/>
      </c>
      <c r="BP145" t="str">
        <f t="shared" si="992"/>
        <v/>
      </c>
      <c r="BQ145" t="str">
        <f t="shared" si="993"/>
        <v/>
      </c>
      <c r="BR145" t="str">
        <f t="shared" si="994"/>
        <v/>
      </c>
      <c r="BS145" t="str">
        <f t="shared" si="995"/>
        <v/>
      </c>
      <c r="BT145" t="str">
        <f t="shared" si="996"/>
        <v/>
      </c>
      <c r="BU145" t="str">
        <f t="shared" si="997"/>
        <v/>
      </c>
      <c r="BV145" t="str">
        <f t="shared" si="998"/>
        <v/>
      </c>
      <c r="BW145" t="str">
        <f t="shared" si="999"/>
        <v/>
      </c>
      <c r="BX145" t="str">
        <f t="shared" si="1000"/>
        <v/>
      </c>
      <c r="BY145" t="str">
        <f t="shared" si="1001"/>
        <v/>
      </c>
      <c r="BZ145" t="str">
        <f t="shared" si="1002"/>
        <v/>
      </c>
      <c r="CA145" t="str">
        <f t="shared" si="1003"/>
        <v/>
      </c>
      <c r="CB145" t="str">
        <f t="shared" si="1004"/>
        <v/>
      </c>
      <c r="CC145" t="str">
        <f t="shared" si="1005"/>
        <v/>
      </c>
      <c r="CD145" t="str">
        <f t="shared" si="1006"/>
        <v/>
      </c>
      <c r="CE145" t="str">
        <f t="shared" si="1007"/>
        <v/>
      </c>
      <c r="CF145" t="str">
        <f t="shared" si="1008"/>
        <v/>
      </c>
      <c r="CG145" t="str">
        <f t="shared" si="1009"/>
        <v/>
      </c>
      <c r="CH145" t="str">
        <f t="shared" ref="CH145:CH156" si="1134">IF($N145="","",TRIM(MID(SUBSTITUTE($N145,",",REPT(" ",200)),2001,200)))</f>
        <v/>
      </c>
      <c r="CI145" t="str">
        <f t="shared" ref="CI145:CI156" si="1135">IF(CH145="","",TRIM(IFERROR(LEFT(CH145,FIND("§",SUBSTITUTE(CH145," ","§",LEN(CH145)-LEN(SUBSTITUTE(CH145," ",""))))-1),CH145)))</f>
        <v/>
      </c>
      <c r="CJ145" t="str">
        <f>IF($CI145="","",IF(OR($DW145="",$DX145=""),"ONZEKER",IF(OR($CF145="",$CG145=""),"ONZEKER",IF(AND($DW145=$CF145+1,$DX145=$CG145),IF(OR(COUNTIF(#REF!,$B145)&gt;0,COUNTIF(#REF!,$B145)=0),"SKIP",IF(COUNTIFS(#REF!,$B145,#REF!,$CI145)&gt;0,"OK","ONBEKEND")),IF(AND($DW145=$CF145,$DX145=$CG145+1),IF(OR(COUNTIF(#REF!,$D145)&gt;0,COUNTIF(#REF!,$D145)=0),"SKIP",IF(COUNTIFS(#REF!,$D145,#REF!,$CI145)&gt;0,"OK","ONBEKEND")),"ONZEKER")))))</f>
        <v/>
      </c>
      <c r="CK145" t="str">
        <f t="shared" ref="CK145:CK156" si="1136">IF($N145="","",TRIM(MID(SUBSTITUTE($N145,",",REPT(" ",200)),2201,200)))</f>
        <v/>
      </c>
      <c r="CL145" t="str">
        <f t="shared" ref="CL145:CL156" si="1137">IF(CK145="","",TRIM(IFERROR(LEFT(CK145,FIND("§",SUBSTITUTE(CK145," ","§",LEN(CK145)-LEN(SUBSTITUTE(CK145," ",""))))-1),CK145)))</f>
        <v/>
      </c>
      <c r="CM145" t="str">
        <f>IF($CL145="","",IF(OR($DZ145="",$EA145=""),"ONZEKER",IF(OR($DW145="",$DX145=""),"ONZEKER",IF(AND($DZ145=$DW145+1,$EA145=$DX145),IF(OR(COUNTIF(#REF!,$B145)&gt;0,COUNTIF(#REF!,$B145)=0),"SKIP",IF(COUNTIFS(#REF!,$B145,#REF!,$CL145)&gt;0,"OK","ONBEKEND")),IF(AND($DZ145=$DW145,$EA145=$DX145+1),IF(OR(COUNTIF(#REF!,$D145)&gt;0,COUNTIF(#REF!,$D145)=0),"SKIP",IF(COUNTIFS(#REF!,$D145,#REF!,$CL145)&gt;0,"OK","ONBEKEND")),"ONZEKER")))))</f>
        <v/>
      </c>
      <c r="CN145" t="str">
        <f t="shared" ref="CN145:CN156" si="1138">IF($N145="","",TRIM(MID(SUBSTITUTE($N145,",",REPT(" ",200)),2401,200)))</f>
        <v/>
      </c>
      <c r="CO145" t="str">
        <f t="shared" ref="CO145:CO156" si="1139">IF(CN145="","",TRIM(IFERROR(LEFT(CN145,FIND("§",SUBSTITUTE(CN145," ","§",LEN(CN145)-LEN(SUBSTITUTE(CN145," ",""))))-1),CN145)))</f>
        <v/>
      </c>
      <c r="CP145" t="str">
        <f>IF($CO145="","",IF(OR($EC145="",$ED145=""),"ONZEKER",IF(OR($DZ145="",$EA145=""),"ONZEKER",IF(AND($EC145=$DZ145+1,$ED145=$EA145),IF(OR(COUNTIF(#REF!,$B145)&gt;0,COUNTIF(#REF!,$B145)=0),"SKIP",IF(COUNTIFS(#REF!,$B145,#REF!,$CO145)&gt;0,"OK","ONBEKEND")),IF(AND($EC145=$DZ145,$ED145=$EA145+1),IF(OR(COUNTIF(#REF!,$D145)&gt;0,COUNTIF(#REF!,$D145)=0),"SKIP",IF(COUNTIFS(#REF!,$D145,#REF!,$CO145)&gt;0,"OK","ONBEKEND")),"ONZEKER")))))</f>
        <v/>
      </c>
      <c r="CQ145" t="str">
        <f t="shared" ref="CQ145:CQ156" si="1140">IF($N145="","",TRIM(MID(SUBSTITUTE($N145,",",REPT(" ",200)),2601,200)))</f>
        <v/>
      </c>
      <c r="CR145" t="str">
        <f t="shared" ref="CR145:CR156" si="1141">IF(CQ145="","",TRIM(IFERROR(LEFT(CQ145,FIND("§",SUBSTITUTE(CQ145," ","§",LEN(CQ145)-LEN(SUBSTITUTE(CQ145," ",""))))-1),CQ145)))</f>
        <v/>
      </c>
      <c r="CS145" t="str">
        <f>IF($CR145="","",IF(OR($EF145="",$EG145=""),"ONZEKER",IF(OR($EC145="",$ED145=""),"ONZEKER",IF(AND($EF145=$EC145+1,$EG145=$ED145),IF(OR(COUNTIF(#REF!,$B145)&gt;0,COUNTIF(#REF!,$B145)=0),"SKIP",IF(COUNTIFS(#REF!,$B145,#REF!,$CR145)&gt;0,"OK","ONBEKEND")),IF(AND($EF145=$EC145,$EG145=$ED145+1),IF(OR(COUNTIF(#REF!,$D145)&gt;0,COUNTIF(#REF!,$D145)=0),"SKIP",IF(COUNTIFS(#REF!,$D145,#REF!,$CR145)&gt;0,"OK","ONBEKEND")),"ONZEKER")))))</f>
        <v/>
      </c>
      <c r="CT145" t="str">
        <f t="shared" ref="CT145:CT156" si="1142">IF($N145="","",TRIM(MID(SUBSTITUTE($N145,",",REPT(" ",200)),2801,200)))</f>
        <v/>
      </c>
      <c r="CU145" t="str">
        <f t="shared" ref="CU145:CU156" si="1143">IF(CT145="","",TRIM(IFERROR(LEFT(CT145,FIND("§",SUBSTITUTE(CT145," ","§",LEN(CT145)-LEN(SUBSTITUTE(CT145," ",""))))-1),CT145)))</f>
        <v/>
      </c>
      <c r="CV145" t="str">
        <f>IF($CU145="","",IF(OR($EI145="",$EJ145=""),"ONZEKER",IF(OR($EF145="",$EG145=""),"ONZEKER",IF(AND($EI145=$EF145+1,$EJ145=$EG145),IF(OR(COUNTIF(#REF!,$B145)&gt;0,COUNTIF(#REF!,$B145)=0),"SKIP",IF(COUNTIFS(#REF!,$B145,#REF!,$CU145)&gt;0,"OK","ONBEKEND")),IF(AND($EI145=$EF145,$EJ145=$EG145+1),IF(OR(COUNTIF(#REF!,$D145)&gt;0,COUNTIF(#REF!,$D145)=0),"SKIP",IF(COUNTIFS(#REF!,$D145,#REF!,$CU145)&gt;0,"OK","ONBEKEND")),"ONZEKER")))))</f>
        <v/>
      </c>
      <c r="CW145" t="str">
        <f t="shared" ref="CW145:CW156" si="1144">IF($N145="","",TRIM(MID(SUBSTITUTE($N145,",",REPT(" ",200)),3001,200)))</f>
        <v/>
      </c>
      <c r="CX145" t="str">
        <f t="shared" ref="CX145:CX156" si="1145">IF(CW145="","",TRIM(IFERROR(LEFT(CW145,FIND("§",SUBSTITUTE(CW145," ","§",LEN(CW145)-LEN(SUBSTITUTE(CW145," ",""))))-1),CW145)))</f>
        <v/>
      </c>
      <c r="CY145" t="str">
        <f>IF($CX145="","",IF(OR($EL145="",$EM145=""),"ONZEKER",IF(OR($EI145="",$EJ145=""),"ONZEKER",IF(AND($EL145=$EI145+1,$EM145=$EJ145),IF(OR(COUNTIF(#REF!,$B145)&gt;0,COUNTIF(#REF!,$B145)=0),"SKIP",IF(COUNTIFS(#REF!,$B145,#REF!,$CX145)&gt;0,"OK","ONBEKEND")),IF(AND($EL145=$EI145,$EM145=$EJ145+1),IF(OR(COUNTIF(#REF!,$D145)&gt;0,COUNTIF(#REF!,$D145)=0),"SKIP",IF(COUNTIFS(#REF!,$D145,#REF!,$CX145)&gt;0,"OK","ONBEKEND")),"ONZEKER")))))</f>
        <v/>
      </c>
      <c r="CZ145" t="str">
        <f t="shared" ref="CZ145:CZ156" si="1146">IF($N145="","",TRIM(MID(SUBSTITUTE($N145,",",REPT(" ",200)),3201,200)))</f>
        <v/>
      </c>
      <c r="DA145" t="str">
        <f t="shared" ref="DA145:DA156" si="1147">IF(CZ145="","",TRIM(IFERROR(LEFT(CZ145,FIND("§",SUBSTITUTE(CZ145," ","§",LEN(CZ145)-LEN(SUBSTITUTE(CZ145," ",""))))-1),CZ145)))</f>
        <v/>
      </c>
      <c r="DB145" t="str">
        <f>IF($DA145="","",IF(OR($EO145="",$EP145=""),"ONZEKER",IF(OR($EL145="",$EM145=""),"ONZEKER",IF(AND($EO145=$EL145+1,$EP145=$EM145),IF(OR(COUNTIF(#REF!,$B145)&gt;0,COUNTIF(#REF!,$B145)=0),"SKIP",IF(COUNTIFS(#REF!,$B145,#REF!,$DA145)&gt;0,"OK","ONBEKEND")),IF(AND($EO145=$EL145,$EP145=$EM145+1),IF(OR(COUNTIF(#REF!,$D145)&gt;0,COUNTIF(#REF!,$D145)=0),"SKIP",IF(COUNTIFS(#REF!,$D145,#REF!,$DA145)&gt;0,"OK","ONBEKEND")),"ONZEKER")))))</f>
        <v/>
      </c>
      <c r="DC145" t="str">
        <f t="shared" ref="DC145:DC156" si="1148">IF($N145="","",TRIM(MID(SUBSTITUTE($N145,",",REPT(" ",200)),3401,200)))</f>
        <v/>
      </c>
      <c r="DD145" t="str">
        <f t="shared" ref="DD145:DD156" si="1149">IF(DC145="","",TRIM(IFERROR(LEFT(DC145,FIND("§",SUBSTITUTE(DC145," ","§",LEN(DC145)-LEN(SUBSTITUTE(DC145," ",""))))-1),DC145)))</f>
        <v/>
      </c>
      <c r="DE145" t="str">
        <f>IF($DD145="","",IF(OR($ER145="",$ES145=""),"ONZEKER",IF(OR($EO145="",$EP145=""),"ONZEKER",IF(AND($ER145=$EO145+1,$ES145=$EP145),IF(OR(COUNTIF(#REF!,$B145)&gt;0,COUNTIF(#REF!,$B145)=0),"SKIP",IF(COUNTIFS(#REF!,$B145,#REF!,$DD145)&gt;0,"OK","ONBEKEND")),IF(AND($ER145=$EO145,$ES145=$EP145+1),IF(OR(COUNTIF(#REF!,$D145)&gt;0,COUNTIF(#REF!,$D145)=0),"SKIP",IF(COUNTIFS(#REF!,$D145,#REF!,$DD145)&gt;0,"OK","ONBEKEND")),"ONZEKER")))))</f>
        <v/>
      </c>
      <c r="DF145" t="str">
        <f t="shared" ref="DF145:DF156" si="1150">IF($N145="","",TRIM(MID(SUBSTITUTE($N145,",",REPT(" ",200)),3601,200)))</f>
        <v/>
      </c>
      <c r="DG145" t="str">
        <f t="shared" ref="DG145:DG156" si="1151">IF(DF145="","",TRIM(IFERROR(LEFT(DF145,FIND("§",SUBSTITUTE(DF145," ","§",LEN(DF145)-LEN(SUBSTITUTE(DF145," ",""))))-1),DF145)))</f>
        <v/>
      </c>
      <c r="DH145" t="str">
        <f>IF($DG145="","",IF(OR($EU145="",$EV145=""),"ONZEKER",IF(OR($ER145="",$ES145=""),"ONZEKER",IF(AND($EU145=$ER145+1,$EV145=$ES145),IF(OR(COUNTIF(#REF!,$B145)&gt;0,COUNTIF(#REF!,$B145)=0),"SKIP",IF(COUNTIFS(#REF!,$B145,#REF!,$DG145)&gt;0,"OK","ONBEKEND")),IF(AND($EU145=$ER145,$EV145=$ES145+1),IF(OR(COUNTIF(#REF!,$D145)&gt;0,COUNTIF(#REF!,$D145)=0),"SKIP",IF(COUNTIFS(#REF!,$D145,#REF!,$DG145)&gt;0,"OK","ONBEKEND")),"ONZEKER")))))</f>
        <v/>
      </c>
      <c r="DI145" t="str">
        <f t="shared" ref="DI145:DI156" si="1152">IF($N145="","",TRIM(MID(SUBSTITUTE($N145,",",REPT(" ",200)),3801,200)))</f>
        <v/>
      </c>
      <c r="DJ145" t="str">
        <f t="shared" ref="DJ145:DJ156" si="1153">IF(DI145="","",TRIM(IFERROR(LEFT(DI145,FIND("§",SUBSTITUTE(DI145," ","§",LEN(DI145)-LEN(SUBSTITUTE(DI145," ",""))))-1),DI145)))</f>
        <v/>
      </c>
      <c r="DK145" t="str">
        <f>IF($DJ145="","",IF(OR($EX145="",$EY145=""),"ONZEKER",IF(OR($EU145="",$EV145=""),"ONZEKER",IF(AND($EX145=$EU145+1,$EY145=$EV145),IF(OR(COUNTIF(#REF!,$B145)&gt;0,COUNTIF(#REF!,$B145)=0),"SKIP",IF(COUNTIFS(#REF!,$B145,#REF!,$DJ145)&gt;0,"OK","ONBEKEND")),IF(AND($EX145=$EU145,$EY145=$EV145+1),IF(OR(COUNTIF(#REF!,$D145)&gt;0,COUNTIF(#REF!,$D145)=0),"SKIP",IF(COUNTIFS(#REF!,$D145,#REF!,$DJ145)&gt;0,"OK","ONBEKEND")),"ONZEKER")))))</f>
        <v/>
      </c>
      <c r="DL145" t="str">
        <f t="shared" ref="DL145:DL156" si="1154">IF($CJ145="ONBEKEND",$CI145,"")</f>
        <v/>
      </c>
      <c r="DM145" t="str">
        <f t="shared" ref="DM145:DM156" si="1155">IF($CM145="ONBEKEND",$CL145,"")</f>
        <v/>
      </c>
      <c r="DN145" t="str">
        <f t="shared" ref="DN145:DN156" si="1156">IF($CP145="ONBEKEND",$CO145,"")</f>
        <v/>
      </c>
      <c r="DO145" t="str">
        <f t="shared" ref="DO145:DO156" si="1157">IF($CS145="ONBEKEND",$CR145,"")</f>
        <v/>
      </c>
      <c r="DP145" t="str">
        <f t="shared" ref="DP145:DP156" si="1158">IF($CV145="ONBEKEND",$CU145,"")</f>
        <v/>
      </c>
      <c r="DQ145" t="str">
        <f t="shared" ref="DQ145:DQ156" si="1159">IF($CY145="ONBEKEND",$CX145,"")</f>
        <v/>
      </c>
      <c r="DR145" t="str">
        <f t="shared" ref="DR145:DR156" si="1160">IF($DB145="ONBEKEND",$DA145,"")</f>
        <v/>
      </c>
      <c r="DS145" t="str">
        <f t="shared" ref="DS145:DS156" si="1161">IF($DE145="ONBEKEND",$DD145,"")</f>
        <v/>
      </c>
      <c r="DT145" t="str">
        <f t="shared" ref="DT145:DT156" si="1162">IF($DH145="ONBEKEND",$DG145,"")</f>
        <v/>
      </c>
      <c r="DU145" t="str">
        <f t="shared" ref="DU145:DU156" si="1163">IF($DK145="ONBEKEND",$DJ145,"")</f>
        <v/>
      </c>
      <c r="DV145" t="str">
        <f t="shared" ref="DV145:DV156" si="1164">IF($CH145="","",TRIM(IFERROR(RIGHT($CH145,LEN($CH145)-FIND("§",SUBSTITUTE($CH145," ","§",LEN($CH145)-LEN(SUBSTITUTE($CH145," ",""))))),"")))</f>
        <v/>
      </c>
      <c r="DW145" t="str">
        <f t="shared" ref="DW145:DW156" si="1165">IF($DV145="","",IFERROR(VALUE(LEFT($DV145,FIND("-",$DV145)-1)),""))</f>
        <v/>
      </c>
      <c r="DX145" t="str">
        <f t="shared" ref="DX145:DX156" si="1166">IF($DV145="","",IFERROR(VALUE(MID($DV145,FIND("-",$DV145)+1,99)),""))</f>
        <v/>
      </c>
      <c r="DY145" t="str">
        <f t="shared" ref="DY145:DY156" si="1167">IF($CK145="","",TRIM(IFERROR(RIGHT($CK145,LEN($CK145)-FIND("§",SUBSTITUTE($CK145," ","§",LEN($CK145)-LEN(SUBSTITUTE($CK145," ",""))))),"")))</f>
        <v/>
      </c>
      <c r="DZ145" t="str">
        <f t="shared" ref="DZ145:DZ156" si="1168">IF($DY145="","",IFERROR(VALUE(LEFT($DY145,FIND("-",$DY145)-1)),""))</f>
        <v/>
      </c>
      <c r="EA145" t="str">
        <f t="shared" ref="EA145:EA156" si="1169">IF($DY145="","",IFERROR(VALUE(MID($DY145,FIND("-",$DY145)+1,99)),""))</f>
        <v/>
      </c>
      <c r="EB145" t="str">
        <f t="shared" ref="EB145:EB156" si="1170">IF($CN145="","",TRIM(IFERROR(RIGHT($CN145,LEN($CN145)-FIND("§",SUBSTITUTE($CN145," ","§",LEN($CN145)-LEN(SUBSTITUTE($CN145," ",""))))),"")))</f>
        <v/>
      </c>
      <c r="EC145" t="str">
        <f t="shared" ref="EC145:EC156" si="1171">IF($EB145="","",IFERROR(VALUE(LEFT($EB145,FIND("-",$EB145)-1)),""))</f>
        <v/>
      </c>
      <c r="ED145" t="str">
        <f t="shared" ref="ED145:ED156" si="1172">IF($EB145="","",IFERROR(VALUE(MID($EB145,FIND("-",$EB145)+1,99)),""))</f>
        <v/>
      </c>
      <c r="EE145" t="str">
        <f t="shared" ref="EE145:EE156" si="1173">IF($CQ145="","",TRIM(IFERROR(RIGHT($CQ145,LEN($CQ145)-FIND("§",SUBSTITUTE($CQ145," ","§",LEN($CQ145)-LEN(SUBSTITUTE($CQ145," ",""))))),"")))</f>
        <v/>
      </c>
      <c r="EF145" t="str">
        <f t="shared" ref="EF145:EF156" si="1174">IF($EE145="","",IFERROR(VALUE(LEFT($EE145,FIND("-",$EE145)-1)),""))</f>
        <v/>
      </c>
      <c r="EG145" t="str">
        <f t="shared" ref="EG145:EG156" si="1175">IF($EE145="","",IFERROR(VALUE(MID($EE145,FIND("-",$EE145)+1,99)),""))</f>
        <v/>
      </c>
      <c r="EH145" t="str">
        <f t="shared" ref="EH145:EH156" si="1176">IF($CT145="","",TRIM(IFERROR(RIGHT($CT145,LEN($CT145)-FIND("§",SUBSTITUTE($CT145," ","§",LEN($CT145)-LEN(SUBSTITUTE($CT145," ",""))))),"")))</f>
        <v/>
      </c>
      <c r="EI145" t="str">
        <f t="shared" ref="EI145:EI156" si="1177">IF($EH145="","",IFERROR(VALUE(LEFT($EH145,FIND("-",$EH145)-1)),""))</f>
        <v/>
      </c>
      <c r="EJ145" t="str">
        <f t="shared" ref="EJ145:EJ156" si="1178">IF($EH145="","",IFERROR(VALUE(MID($EH145,FIND("-",$EH145)+1,99)),""))</f>
        <v/>
      </c>
      <c r="EK145" t="str">
        <f t="shared" ref="EK145:EK156" si="1179">IF($CW145="","",TRIM(IFERROR(RIGHT($CW145,LEN($CW145)-FIND("§",SUBSTITUTE($CW145," ","§",LEN($CW145)-LEN(SUBSTITUTE($CW145," ",""))))),"")))</f>
        <v/>
      </c>
      <c r="EL145" t="str">
        <f t="shared" ref="EL145:EL156" si="1180">IF($EK145="","",IFERROR(VALUE(LEFT($EK145,FIND("-",$EK145)-1)),""))</f>
        <v/>
      </c>
      <c r="EM145" t="str">
        <f t="shared" ref="EM145:EM156" si="1181">IF($EK145="","",IFERROR(VALUE(MID($EK145,FIND("-",$EK145)+1,99)),""))</f>
        <v/>
      </c>
      <c r="EN145" t="str">
        <f t="shared" ref="EN145:EN156" si="1182">IF($CZ145="","",TRIM(IFERROR(RIGHT($CZ145,LEN($CZ145)-FIND("§",SUBSTITUTE($CZ145," ","§",LEN($CZ145)-LEN(SUBSTITUTE($CZ145," ",""))))),"")))</f>
        <v/>
      </c>
      <c r="EO145" t="str">
        <f t="shared" ref="EO145:EO156" si="1183">IF($EN145="","",IFERROR(VALUE(LEFT($EN145,FIND("-",$EN145)-1)),""))</f>
        <v/>
      </c>
      <c r="EP145" t="str">
        <f t="shared" ref="EP145:EP156" si="1184">IF($EN145="","",IFERROR(VALUE(MID($EN145,FIND("-",$EN145)+1,99)),""))</f>
        <v/>
      </c>
      <c r="EQ145" t="str">
        <f t="shared" ref="EQ145:EQ156" si="1185">IF($DC145="","",TRIM(IFERROR(RIGHT($DC145,LEN($DC145)-FIND("§",SUBSTITUTE($DC145," ","§",LEN($DC145)-LEN(SUBSTITUTE($DC145," ",""))))),"")))</f>
        <v/>
      </c>
      <c r="ER145" t="str">
        <f t="shared" ref="ER145:ER156" si="1186">IF($EQ145="","",IFERROR(VALUE(LEFT($EQ145,FIND("-",$EQ145)-1)),""))</f>
        <v/>
      </c>
      <c r="ES145" t="str">
        <f t="shared" ref="ES145:ES156" si="1187">IF($EQ145="","",IFERROR(VALUE(MID($EQ145,FIND("-",$EQ145)+1,99)),""))</f>
        <v/>
      </c>
      <c r="ET145" t="str">
        <f t="shared" ref="ET145:ET156" si="1188">IF($DF145="","",TRIM(IFERROR(RIGHT($DF145,LEN($DF145)-FIND("§",SUBSTITUTE($DF145," ","§",LEN($DF145)-LEN(SUBSTITUTE($DF145," ",""))))),"")))</f>
        <v/>
      </c>
      <c r="EU145" t="str">
        <f t="shared" ref="EU145:EU156" si="1189">IF($ET145="","",IFERROR(VALUE(LEFT($ET145,FIND("-",$ET145)-1)),""))</f>
        <v/>
      </c>
      <c r="EV145" t="str">
        <f t="shared" ref="EV145:EV156" si="1190">IF($ET145="","",IFERROR(VALUE(MID($ET145,FIND("-",$ET145)+1,99)),""))</f>
        <v/>
      </c>
      <c r="EW145" t="str">
        <f t="shared" ref="EW145:EW156" si="1191">IF($DI145="","",TRIM(IFERROR(RIGHT($DI145,LEN($DI145)-FIND("§",SUBSTITUTE($DI145," ","§",LEN($DI145)-LEN(SUBSTITUTE($DI145," ",""))))),"")))</f>
        <v/>
      </c>
      <c r="EX145" t="str">
        <f t="shared" ref="EX145:EX156" si="1192">IF($EW145="","",IFERROR(VALUE(LEFT($EW145,FIND("-",$EW145)-1)),""))</f>
        <v/>
      </c>
      <c r="EY145" t="str">
        <f t="shared" ref="EY145:EY156" si="1193">IF($EW145="","",IFERROR(VALUE(MID($EW145,FIND("-",$EW145)+1,99)),""))</f>
        <v/>
      </c>
    </row>
    <row r="146" spans="1:155" ht="13.9" customHeight="1" x14ac:dyDescent="0.25">
      <c r="A146" s="7"/>
      <c r="B146" s="17"/>
      <c r="C146" s="8"/>
      <c r="D146" s="17"/>
      <c r="E146" s="8"/>
      <c r="F146" s="18">
        <v>0</v>
      </c>
      <c r="G146" s="7" t="s">
        <v>147</v>
      </c>
      <c r="H146" s="18">
        <v>0</v>
      </c>
      <c r="I146" s="19">
        <v>0</v>
      </c>
      <c r="J146" s="7" t="s">
        <v>147</v>
      </c>
      <c r="K146" s="19">
        <v>0</v>
      </c>
      <c r="L146" s="9"/>
      <c r="M146" s="3" t="str">
        <f>IF($L146="","",IF($L146="DOELPUNTENMAKERS","",IF(AND(COUNTIF(#REF!,$B146)=0,COUNTIF(#REF!,$D146)=0),"OK",IF($O146&gt;20,"LET OP: meer dan 20 items (controle onvolledig)",IF((COUNTIF($R146:$AS146,"ONZEKER")+COUNTIF($CJ146:$DK146,"ONZEKER"))&gt;0,"LET OP: scoreverloop onduidelijk (controle beperkt)",IF((IF($AT146&lt;&gt;"",$AT146&amp;", ","")&amp;IF($AU146&lt;&gt;"",$AU146&amp;", ","")&amp;IF($AV146&lt;&gt;"",$AV146&amp;", ","")&amp;IF($AW146&lt;&gt;"",$AW146&amp;", ","")&amp;IF($AX146&lt;&gt;"",$AX146&amp;", ","")&amp;IF($AY146&lt;&gt;"",$AY146&amp;", ","")&amp;IF($AZ146&lt;&gt;"",$AZ146&amp;", ","")&amp;IF($BA146&lt;&gt;"",$BA146&amp;", ","")&amp;IF($BB146&lt;&gt;"",$BB146&amp;", ","")&amp;IF($BC146&lt;&gt;"",$BC146&amp;", ","")&amp;IF($DL146&lt;&gt;"",$DL146&amp;", ","")&amp;IF($DM146&lt;&gt;"",$DM146&amp;", ","")&amp;IF($DN146&lt;&gt;"",$DN146&amp;", ","")&amp;IF($DO146&lt;&gt;"",$DO146&amp;", ","")&amp;IF($DP146&lt;&gt;"",$DP146&amp;", ","")&amp;IF($DQ146&lt;&gt;"",$DQ146&amp;", ","")&amp;IF($DR146&lt;&gt;"",$DR146&amp;", ","")&amp;IF($DS146&lt;&gt;"",$DS146&amp;", ","")&amp;IF($DT146&lt;&gt;"",$DT146&amp;", ","")&amp;IF($DU146&lt;&gt;"",$DU146&amp;", ",""))="","OK","Onbekend: "&amp;LEFT((IF($AT146&lt;&gt;"",$AT146&amp;", ","")&amp;IF($AU146&lt;&gt;"",$AU146&amp;", ","")&amp;IF($AV146&lt;&gt;"",$AV146&amp;", ","")&amp;IF($AW146&lt;&gt;"",$AW146&amp;", ","")&amp;IF($AX146&lt;&gt;"",$AX146&amp;", ","")&amp;IF($AY146&lt;&gt;"",$AY146&amp;", ","")&amp;IF($AZ146&lt;&gt;"",$AZ146&amp;", ","")&amp;IF($BA146&lt;&gt;"",$BA146&amp;", ","")&amp;IF($BB146&lt;&gt;"",$BB146&amp;", ","")&amp;IF($BC146&lt;&gt;"",$BC146&amp;", ","")&amp;IF($DL146&lt;&gt;"",$DL146&amp;", ","")&amp;IF($DM146&lt;&gt;"",$DM146&amp;", ","")&amp;IF($DN146&lt;&gt;"",$DN146&amp;", ","")&amp;IF($DO146&lt;&gt;"",$DO146&amp;", ","")&amp;IF($DP146&lt;&gt;"",$DP146&amp;", ","")&amp;IF($DQ146&lt;&gt;"",$DQ146&amp;", ","")&amp;IF($DR146&lt;&gt;"",$DR146&amp;", ","")&amp;IF($DS146&lt;&gt;"",$DS146&amp;", ","")&amp;IF($DT146&lt;&gt;"",$DT146&amp;", ","")&amp;IF($DU146&lt;&gt;"",$DU146&amp;", ","")),LEN((IF($AT146&lt;&gt;"",$AT146&amp;", ","")&amp;IF($AU146&lt;&gt;"",$AU146&amp;", ","")&amp;IF($AV146&lt;&gt;"",$AV146&amp;", ","")&amp;IF($AW146&lt;&gt;"",$AW146&amp;", ","")&amp;IF($AX146&lt;&gt;"",$AX146&amp;", ","")&amp;IF($AY146&lt;&gt;"",$AY146&amp;", ","")&amp;IF($AZ146&lt;&gt;"",$AZ146&amp;", ","")&amp;IF($BA146&lt;&gt;"",$BA146&amp;", ","")&amp;IF($BB146&lt;&gt;"",$BB146&amp;", ","")&amp;IF($BC146&lt;&gt;"",$BC146&amp;", ","")&amp;IF($DL146&lt;&gt;"",$DL146&amp;", ","")&amp;IF($DM146&lt;&gt;"",$DM146&amp;", ","")&amp;IF($DN146&lt;&gt;"",$DN146&amp;", ","")&amp;IF($DO146&lt;&gt;"",$DO146&amp;", ","")&amp;IF($DP146&lt;&gt;"",$DP146&amp;", ","")&amp;IF($DQ146&lt;&gt;"",$DQ146&amp;", ","")&amp;IF($DR146&lt;&gt;"",$DR146&amp;", ","")&amp;IF($DS146&lt;&gt;"",$DS146&amp;", ","")&amp;IF($DT146&lt;&gt;"",$DT146&amp;", ","")&amp;IF($DU146&lt;&gt;"",$DU146&amp;", ","")))-2)))))))</f>
        <v/>
      </c>
      <c r="N146" t="str">
        <f t="shared" si="1102"/>
        <v/>
      </c>
      <c r="O146" t="str">
        <f t="shared" si="1103"/>
        <v/>
      </c>
      <c r="P146" t="str">
        <f t="shared" si="1104"/>
        <v/>
      </c>
      <c r="Q146" t="str">
        <f t="shared" si="1105"/>
        <v/>
      </c>
      <c r="R146" t="str">
        <f>IF($Q146="","",IF(OR($BE146="",$BF146=""),"ONZEKER",IF(AND($BE146=0+1,$BF146=0),IF(OR(COUNTIF(#REF!,$B146)&gt;0,COUNTIF(#REF!,$B146)=0),"SKIP",IF(COUNTIFS(#REF!,$B146,#REF!,$Q146)&gt;0,"OK","ONBEKEND")),IF(AND($BE146=0,$BF146=0+1),IF(OR(COUNTIF(#REF!,$D146)&gt;0,COUNTIF(#REF!,$D146)=0),"SKIP",IF(COUNTIFS(#REF!,$D146,#REF!,$Q146)&gt;0,"OK","ONBEKEND")),"ONZEKER"))))</f>
        <v/>
      </c>
      <c r="S146" t="str">
        <f t="shared" si="1106"/>
        <v/>
      </c>
      <c r="T146" t="str">
        <f t="shared" si="1107"/>
        <v/>
      </c>
      <c r="U146" t="str">
        <f>IF($T146="","",IF(OR($BH146="",$BI146=""),"ONZEKER",IF(OR($BE146="",$BF146=""),"ONZEKER",IF(AND($BH146=$BE146+1,$BI146=$BF146),IF(OR(COUNTIF(#REF!,$B146)&gt;0,COUNTIF(#REF!,$B146)=0),"SKIP",IF(COUNTIFS(#REF!,$B146,#REF!,$T146)&gt;0,"OK","ONBEKEND")),IF(AND($BH146=$BE146,$BI146=$BF146+1),IF(OR(COUNTIF(#REF!,$D146)&gt;0,COUNTIF(#REF!,$D146)=0),"SKIP",IF(COUNTIFS(#REF!,$D146,#REF!,$T146)&gt;0,"OK","ONBEKEND")),"ONZEKER")))))</f>
        <v/>
      </c>
      <c r="V146" t="str">
        <f t="shared" si="1108"/>
        <v/>
      </c>
      <c r="W146" t="str">
        <f t="shared" si="1109"/>
        <v/>
      </c>
      <c r="X146" t="str">
        <f>IF($W146="","",IF(OR($BK146="",$BL146=""),"ONZEKER",IF(OR($BH146="",$BI146=""),"ONZEKER",IF(AND($BK146=$BH146+1,$BL146=$BI146),IF(OR(COUNTIF(#REF!,$B146)&gt;0,COUNTIF(#REF!,$B146)=0),"SKIP",IF(COUNTIFS(#REF!,$B146,#REF!,$W146)&gt;0,"OK","ONBEKEND")),IF(AND($BK146=$BH146,$BL146=$BI146+1),IF(OR(COUNTIF(#REF!,$D146)&gt;0,COUNTIF(#REF!,$D146)=0),"SKIP",IF(COUNTIFS(#REF!,$D146,#REF!,$W146)&gt;0,"OK","ONBEKEND")),"ONZEKER")))))</f>
        <v/>
      </c>
      <c r="Y146" t="str">
        <f t="shared" si="1110"/>
        <v/>
      </c>
      <c r="Z146" t="str">
        <f t="shared" si="1111"/>
        <v/>
      </c>
      <c r="AA146" t="str">
        <f>IF($Z146="","",IF(OR($BN146="",$BO146=""),"ONZEKER",IF(OR($BK146="",$BL146=""),"ONZEKER",IF(AND($BN146=$BK146+1,$BO146=$BL146),IF(OR(COUNTIF(#REF!,$B146)&gt;0,COUNTIF(#REF!,$B146)=0),"SKIP",IF(COUNTIFS(#REF!,$B146,#REF!,$Z146)&gt;0,"OK","ONBEKEND")),IF(AND($BN146=$BK146,$BO146=$BL146+1),IF(OR(COUNTIF(#REF!,$D146)&gt;0,COUNTIF(#REF!,$D146)=0),"SKIP",IF(COUNTIFS(#REF!,$D146,#REF!,$Z146)&gt;0,"OK","ONBEKEND")),"ONZEKER")))))</f>
        <v/>
      </c>
      <c r="AB146" t="str">
        <f t="shared" si="1112"/>
        <v/>
      </c>
      <c r="AC146" t="str">
        <f t="shared" si="1113"/>
        <v/>
      </c>
      <c r="AD146" t="str">
        <f>IF($AC146="","",IF(OR($BQ146="",$BR146=""),"ONZEKER",IF(OR($BN146="",$BO146=""),"ONZEKER",IF(AND($BQ146=$BN146+1,$BR146=$BO146),IF(OR(COUNTIF(#REF!,$B146)&gt;0,COUNTIF(#REF!,$B146)=0),"SKIP",IF(COUNTIFS(#REF!,$B146,#REF!,$AC146)&gt;0,"OK","ONBEKEND")),IF(AND($BQ146=$BN146,$BR146=$BO146+1),IF(OR(COUNTIF(#REF!,$D146)&gt;0,COUNTIF(#REF!,$D146)=0),"SKIP",IF(COUNTIFS(#REF!,$D146,#REF!,$AC146)&gt;0,"OK","ONBEKEND")),"ONZEKER")))))</f>
        <v/>
      </c>
      <c r="AE146" t="str">
        <f t="shared" si="1114"/>
        <v/>
      </c>
      <c r="AF146" t="str">
        <f t="shared" si="1115"/>
        <v/>
      </c>
      <c r="AG146" t="str">
        <f>IF($AF146="","",IF(OR($BT146="",$BU146=""),"ONZEKER",IF(OR($BQ146="",$BR146=""),"ONZEKER",IF(AND($BT146=$BQ146+1,$BU146=$BR146),IF(OR(COUNTIF(#REF!,$B146)&gt;0,COUNTIF(#REF!,$B146)=0),"SKIP",IF(COUNTIFS(#REF!,$B146,#REF!,$AF146)&gt;0,"OK","ONBEKEND")),IF(AND($BT146=$BQ146,$BU146=$BR146+1),IF(OR(COUNTIF(#REF!,$D146)&gt;0,COUNTIF(#REF!,$D146)=0),"SKIP",IF(COUNTIFS(#REF!,$D146,#REF!,$AF146)&gt;0,"OK","ONBEKEND")),"ONZEKER")))))</f>
        <v/>
      </c>
      <c r="AH146" t="str">
        <f t="shared" si="1116"/>
        <v/>
      </c>
      <c r="AI146" t="str">
        <f t="shared" si="1117"/>
        <v/>
      </c>
      <c r="AJ146" t="str">
        <f>IF($AI146="","",IF(OR($BW146="",$BX146=""),"ONZEKER",IF(OR($BT146="",$BU146=""),"ONZEKER",IF(AND($BW146=$BT146+1,$BX146=$BU146),IF(OR(COUNTIF(#REF!,$B146)&gt;0,COUNTIF(#REF!,$B146)=0),"SKIP",IF(COUNTIFS(#REF!,$B146,#REF!,$AI146)&gt;0,"OK","ONBEKEND")),IF(AND($BW146=$BT146,$BX146=$BU146+1),IF(OR(COUNTIF(#REF!,$D146)&gt;0,COUNTIF(#REF!,$D146)=0),"SKIP",IF(COUNTIFS(#REF!,$D146,#REF!,$AI146)&gt;0,"OK","ONBEKEND")),"ONZEKER")))))</f>
        <v/>
      </c>
      <c r="AK146" t="str">
        <f t="shared" si="1118"/>
        <v/>
      </c>
      <c r="AL146" t="str">
        <f t="shared" si="1119"/>
        <v/>
      </c>
      <c r="AM146" t="str">
        <f>IF($AL146="","",IF(OR($BZ146="",$CA146=""),"ONZEKER",IF(OR($BW146="",$BX146=""),"ONZEKER",IF(AND($BZ146=$BW146+1,$CA146=$BX146),IF(OR(COUNTIF(#REF!,$B146)&gt;0,COUNTIF(#REF!,$B146)=0),"SKIP",IF(COUNTIFS(#REF!,$B146,#REF!,$AL146)&gt;0,"OK","ONBEKEND")),IF(AND($BZ146=$BW146,$CA146=$BX146+1),IF(OR(COUNTIF(#REF!,$D146)&gt;0,COUNTIF(#REF!,$D146)=0),"SKIP",IF(COUNTIFS(#REF!,$D146,#REF!,$AL146)&gt;0,"OK","ONBEKEND")),"ONZEKER")))))</f>
        <v/>
      </c>
      <c r="AN146" t="str">
        <f t="shared" si="1120"/>
        <v/>
      </c>
      <c r="AO146" t="str">
        <f t="shared" si="1121"/>
        <v/>
      </c>
      <c r="AP146" t="str">
        <f>IF($AO146="","",IF(OR($CC146="",$CD146=""),"ONZEKER",IF(OR($BZ146="",$CA146=""),"ONZEKER",IF(AND($CC146=$BZ146+1,$CD146=$CA146),IF(OR(COUNTIF(#REF!,$B146)&gt;0,COUNTIF(#REF!,$B146)=0),"SKIP",IF(COUNTIFS(#REF!,$B146,#REF!,$AO146)&gt;0,"OK","ONBEKEND")),IF(AND($CC146=$BZ146,$CD146=$CA146+1),IF(OR(COUNTIF(#REF!,$D146)&gt;0,COUNTIF(#REF!,$D146)=0),"SKIP",IF(COUNTIFS(#REF!,$D146,#REF!,$AO146)&gt;0,"OK","ONBEKEND")),"ONZEKER")))))</f>
        <v/>
      </c>
      <c r="AQ146" t="str">
        <f t="shared" si="1122"/>
        <v/>
      </c>
      <c r="AR146" t="str">
        <f t="shared" si="1123"/>
        <v/>
      </c>
      <c r="AS146" t="str">
        <f>IF($AR146="","",IF(OR($CF146="",$CG146=""),"ONZEKER",IF(OR($CC146="",$CD146=""),"ONZEKER",IF(AND($CF146=$CC146+1,$CG146=$CD146),IF(OR(COUNTIF(#REF!,$B146)&gt;0,COUNTIF(#REF!,$B146)=0),"SKIP",IF(COUNTIFS(#REF!,$B146,#REF!,$AR146)&gt;0,"OK","ONBEKEND")),IF(AND($CF146=$CC146,$CG146=$CD146+1),IF(OR(COUNTIF(#REF!,$D146)&gt;0,COUNTIF(#REF!,$D146)=0),"SKIP",IF(COUNTIFS(#REF!,$D146,#REF!,$AR146)&gt;0,"OK","ONBEKEND")),"ONZEKER")))))</f>
        <v/>
      </c>
      <c r="AT146" t="str">
        <f t="shared" si="1124"/>
        <v/>
      </c>
      <c r="AU146" t="str">
        <f t="shared" si="1125"/>
        <v/>
      </c>
      <c r="AV146" t="str">
        <f t="shared" si="1126"/>
        <v/>
      </c>
      <c r="AW146" t="str">
        <f t="shared" si="1127"/>
        <v/>
      </c>
      <c r="AX146" t="str">
        <f t="shared" si="1128"/>
        <v/>
      </c>
      <c r="AY146" t="str">
        <f t="shared" si="1129"/>
        <v/>
      </c>
      <c r="AZ146" t="str">
        <f t="shared" si="1130"/>
        <v/>
      </c>
      <c r="BA146" t="str">
        <f t="shared" si="1131"/>
        <v/>
      </c>
      <c r="BB146" t="str">
        <f t="shared" si="1132"/>
        <v/>
      </c>
      <c r="BC146" t="str">
        <f t="shared" si="1133"/>
        <v/>
      </c>
      <c r="BD146" t="str">
        <f t="shared" si="980"/>
        <v/>
      </c>
      <c r="BE146" t="str">
        <f t="shared" si="981"/>
        <v/>
      </c>
      <c r="BF146" t="str">
        <f t="shared" si="982"/>
        <v/>
      </c>
      <c r="BG146" t="str">
        <f t="shared" si="983"/>
        <v/>
      </c>
      <c r="BH146" t="str">
        <f t="shared" si="984"/>
        <v/>
      </c>
      <c r="BI146" t="str">
        <f t="shared" si="985"/>
        <v/>
      </c>
      <c r="BJ146" t="str">
        <f t="shared" si="986"/>
        <v/>
      </c>
      <c r="BK146" t="str">
        <f t="shared" si="987"/>
        <v/>
      </c>
      <c r="BL146" t="str">
        <f t="shared" si="988"/>
        <v/>
      </c>
      <c r="BM146" t="str">
        <f t="shared" si="989"/>
        <v/>
      </c>
      <c r="BN146" t="str">
        <f t="shared" si="990"/>
        <v/>
      </c>
      <c r="BO146" t="str">
        <f t="shared" si="991"/>
        <v/>
      </c>
      <c r="BP146" t="str">
        <f t="shared" si="992"/>
        <v/>
      </c>
      <c r="BQ146" t="str">
        <f t="shared" si="993"/>
        <v/>
      </c>
      <c r="BR146" t="str">
        <f t="shared" si="994"/>
        <v/>
      </c>
      <c r="BS146" t="str">
        <f t="shared" si="995"/>
        <v/>
      </c>
      <c r="BT146" t="str">
        <f t="shared" si="996"/>
        <v/>
      </c>
      <c r="BU146" t="str">
        <f t="shared" si="997"/>
        <v/>
      </c>
      <c r="BV146" t="str">
        <f t="shared" si="998"/>
        <v/>
      </c>
      <c r="BW146" t="str">
        <f t="shared" si="999"/>
        <v/>
      </c>
      <c r="BX146" t="str">
        <f t="shared" si="1000"/>
        <v/>
      </c>
      <c r="BY146" t="str">
        <f t="shared" si="1001"/>
        <v/>
      </c>
      <c r="BZ146" t="str">
        <f t="shared" si="1002"/>
        <v/>
      </c>
      <c r="CA146" t="str">
        <f t="shared" si="1003"/>
        <v/>
      </c>
      <c r="CB146" t="str">
        <f t="shared" si="1004"/>
        <v/>
      </c>
      <c r="CC146" t="str">
        <f t="shared" si="1005"/>
        <v/>
      </c>
      <c r="CD146" t="str">
        <f t="shared" si="1006"/>
        <v/>
      </c>
      <c r="CE146" t="str">
        <f t="shared" si="1007"/>
        <v/>
      </c>
      <c r="CF146" t="str">
        <f t="shared" si="1008"/>
        <v/>
      </c>
      <c r="CG146" t="str">
        <f t="shared" si="1009"/>
        <v/>
      </c>
      <c r="CH146" t="str">
        <f t="shared" si="1134"/>
        <v/>
      </c>
      <c r="CI146" t="str">
        <f t="shared" si="1135"/>
        <v/>
      </c>
      <c r="CJ146" t="str">
        <f>IF($CI146="","",IF(OR($DW146="",$DX146=""),"ONZEKER",IF(OR($CF146="",$CG146=""),"ONZEKER",IF(AND($DW146=$CF146+1,$DX146=$CG146),IF(OR(COUNTIF(#REF!,$B146)&gt;0,COUNTIF(#REF!,$B146)=0),"SKIP",IF(COUNTIFS(#REF!,$B146,#REF!,$CI146)&gt;0,"OK","ONBEKEND")),IF(AND($DW146=$CF146,$DX146=$CG146+1),IF(OR(COUNTIF(#REF!,$D146)&gt;0,COUNTIF(#REF!,$D146)=0),"SKIP",IF(COUNTIFS(#REF!,$D146,#REF!,$CI146)&gt;0,"OK","ONBEKEND")),"ONZEKER")))))</f>
        <v/>
      </c>
      <c r="CK146" t="str">
        <f t="shared" si="1136"/>
        <v/>
      </c>
      <c r="CL146" t="str">
        <f t="shared" si="1137"/>
        <v/>
      </c>
      <c r="CM146" t="str">
        <f>IF($CL146="","",IF(OR($DZ146="",$EA146=""),"ONZEKER",IF(OR($DW146="",$DX146=""),"ONZEKER",IF(AND($DZ146=$DW146+1,$EA146=$DX146),IF(OR(COUNTIF(#REF!,$B146)&gt;0,COUNTIF(#REF!,$B146)=0),"SKIP",IF(COUNTIFS(#REF!,$B146,#REF!,$CL146)&gt;0,"OK","ONBEKEND")),IF(AND($DZ146=$DW146,$EA146=$DX146+1),IF(OR(COUNTIF(#REF!,$D146)&gt;0,COUNTIF(#REF!,$D146)=0),"SKIP",IF(COUNTIFS(#REF!,$D146,#REF!,$CL146)&gt;0,"OK","ONBEKEND")),"ONZEKER")))))</f>
        <v/>
      </c>
      <c r="CN146" t="str">
        <f t="shared" si="1138"/>
        <v/>
      </c>
      <c r="CO146" t="str">
        <f t="shared" si="1139"/>
        <v/>
      </c>
      <c r="CP146" t="str">
        <f>IF($CO146="","",IF(OR($EC146="",$ED146=""),"ONZEKER",IF(OR($DZ146="",$EA146=""),"ONZEKER",IF(AND($EC146=$DZ146+1,$ED146=$EA146),IF(OR(COUNTIF(#REF!,$B146)&gt;0,COUNTIF(#REF!,$B146)=0),"SKIP",IF(COUNTIFS(#REF!,$B146,#REF!,$CO146)&gt;0,"OK","ONBEKEND")),IF(AND($EC146=$DZ146,$ED146=$EA146+1),IF(OR(COUNTIF(#REF!,$D146)&gt;0,COUNTIF(#REF!,$D146)=0),"SKIP",IF(COUNTIFS(#REF!,$D146,#REF!,$CO146)&gt;0,"OK","ONBEKEND")),"ONZEKER")))))</f>
        <v/>
      </c>
      <c r="CQ146" t="str">
        <f t="shared" si="1140"/>
        <v/>
      </c>
      <c r="CR146" t="str">
        <f t="shared" si="1141"/>
        <v/>
      </c>
      <c r="CS146" t="str">
        <f>IF($CR146="","",IF(OR($EF146="",$EG146=""),"ONZEKER",IF(OR($EC146="",$ED146=""),"ONZEKER",IF(AND($EF146=$EC146+1,$EG146=$ED146),IF(OR(COUNTIF(#REF!,$B146)&gt;0,COUNTIF(#REF!,$B146)=0),"SKIP",IF(COUNTIFS(#REF!,$B146,#REF!,$CR146)&gt;0,"OK","ONBEKEND")),IF(AND($EF146=$EC146,$EG146=$ED146+1),IF(OR(COUNTIF(#REF!,$D146)&gt;0,COUNTIF(#REF!,$D146)=0),"SKIP",IF(COUNTIFS(#REF!,$D146,#REF!,$CR146)&gt;0,"OK","ONBEKEND")),"ONZEKER")))))</f>
        <v/>
      </c>
      <c r="CT146" t="str">
        <f t="shared" si="1142"/>
        <v/>
      </c>
      <c r="CU146" t="str">
        <f t="shared" si="1143"/>
        <v/>
      </c>
      <c r="CV146" t="str">
        <f>IF($CU146="","",IF(OR($EI146="",$EJ146=""),"ONZEKER",IF(OR($EF146="",$EG146=""),"ONZEKER",IF(AND($EI146=$EF146+1,$EJ146=$EG146),IF(OR(COUNTIF(#REF!,$B146)&gt;0,COUNTIF(#REF!,$B146)=0),"SKIP",IF(COUNTIFS(#REF!,$B146,#REF!,$CU146)&gt;0,"OK","ONBEKEND")),IF(AND($EI146=$EF146,$EJ146=$EG146+1),IF(OR(COUNTIF(#REF!,$D146)&gt;0,COUNTIF(#REF!,$D146)=0),"SKIP",IF(COUNTIFS(#REF!,$D146,#REF!,$CU146)&gt;0,"OK","ONBEKEND")),"ONZEKER")))))</f>
        <v/>
      </c>
      <c r="CW146" t="str">
        <f t="shared" si="1144"/>
        <v/>
      </c>
      <c r="CX146" t="str">
        <f t="shared" si="1145"/>
        <v/>
      </c>
      <c r="CY146" t="str">
        <f>IF($CX146="","",IF(OR($EL146="",$EM146=""),"ONZEKER",IF(OR($EI146="",$EJ146=""),"ONZEKER",IF(AND($EL146=$EI146+1,$EM146=$EJ146),IF(OR(COUNTIF(#REF!,$B146)&gt;0,COUNTIF(#REF!,$B146)=0),"SKIP",IF(COUNTIFS(#REF!,$B146,#REF!,$CX146)&gt;0,"OK","ONBEKEND")),IF(AND($EL146=$EI146,$EM146=$EJ146+1),IF(OR(COUNTIF(#REF!,$D146)&gt;0,COUNTIF(#REF!,$D146)=0),"SKIP",IF(COUNTIFS(#REF!,$D146,#REF!,$CX146)&gt;0,"OK","ONBEKEND")),"ONZEKER")))))</f>
        <v/>
      </c>
      <c r="CZ146" t="str">
        <f t="shared" si="1146"/>
        <v/>
      </c>
      <c r="DA146" t="str">
        <f t="shared" si="1147"/>
        <v/>
      </c>
      <c r="DB146" t="str">
        <f>IF($DA146="","",IF(OR($EO146="",$EP146=""),"ONZEKER",IF(OR($EL146="",$EM146=""),"ONZEKER",IF(AND($EO146=$EL146+1,$EP146=$EM146),IF(OR(COUNTIF(#REF!,$B146)&gt;0,COUNTIF(#REF!,$B146)=0),"SKIP",IF(COUNTIFS(#REF!,$B146,#REF!,$DA146)&gt;0,"OK","ONBEKEND")),IF(AND($EO146=$EL146,$EP146=$EM146+1),IF(OR(COUNTIF(#REF!,$D146)&gt;0,COUNTIF(#REF!,$D146)=0),"SKIP",IF(COUNTIFS(#REF!,$D146,#REF!,$DA146)&gt;0,"OK","ONBEKEND")),"ONZEKER")))))</f>
        <v/>
      </c>
      <c r="DC146" t="str">
        <f t="shared" si="1148"/>
        <v/>
      </c>
      <c r="DD146" t="str">
        <f t="shared" si="1149"/>
        <v/>
      </c>
      <c r="DE146" t="str">
        <f>IF($DD146="","",IF(OR($ER146="",$ES146=""),"ONZEKER",IF(OR($EO146="",$EP146=""),"ONZEKER",IF(AND($ER146=$EO146+1,$ES146=$EP146),IF(OR(COUNTIF(#REF!,$B146)&gt;0,COUNTIF(#REF!,$B146)=0),"SKIP",IF(COUNTIFS(#REF!,$B146,#REF!,$DD146)&gt;0,"OK","ONBEKEND")),IF(AND($ER146=$EO146,$ES146=$EP146+1),IF(OR(COUNTIF(#REF!,$D146)&gt;0,COUNTIF(#REF!,$D146)=0),"SKIP",IF(COUNTIFS(#REF!,$D146,#REF!,$DD146)&gt;0,"OK","ONBEKEND")),"ONZEKER")))))</f>
        <v/>
      </c>
      <c r="DF146" t="str">
        <f t="shared" si="1150"/>
        <v/>
      </c>
      <c r="DG146" t="str">
        <f t="shared" si="1151"/>
        <v/>
      </c>
      <c r="DH146" t="str">
        <f>IF($DG146="","",IF(OR($EU146="",$EV146=""),"ONZEKER",IF(OR($ER146="",$ES146=""),"ONZEKER",IF(AND($EU146=$ER146+1,$EV146=$ES146),IF(OR(COUNTIF(#REF!,$B146)&gt;0,COUNTIF(#REF!,$B146)=0),"SKIP",IF(COUNTIFS(#REF!,$B146,#REF!,$DG146)&gt;0,"OK","ONBEKEND")),IF(AND($EU146=$ER146,$EV146=$ES146+1),IF(OR(COUNTIF(#REF!,$D146)&gt;0,COUNTIF(#REF!,$D146)=0),"SKIP",IF(COUNTIFS(#REF!,$D146,#REF!,$DG146)&gt;0,"OK","ONBEKEND")),"ONZEKER")))))</f>
        <v/>
      </c>
      <c r="DI146" t="str">
        <f t="shared" si="1152"/>
        <v/>
      </c>
      <c r="DJ146" t="str">
        <f t="shared" si="1153"/>
        <v/>
      </c>
      <c r="DK146" t="str">
        <f>IF($DJ146="","",IF(OR($EX146="",$EY146=""),"ONZEKER",IF(OR($EU146="",$EV146=""),"ONZEKER",IF(AND($EX146=$EU146+1,$EY146=$EV146),IF(OR(COUNTIF(#REF!,$B146)&gt;0,COUNTIF(#REF!,$B146)=0),"SKIP",IF(COUNTIFS(#REF!,$B146,#REF!,$DJ146)&gt;0,"OK","ONBEKEND")),IF(AND($EX146=$EU146,$EY146=$EV146+1),IF(OR(COUNTIF(#REF!,$D146)&gt;0,COUNTIF(#REF!,$D146)=0),"SKIP",IF(COUNTIFS(#REF!,$D146,#REF!,$DJ146)&gt;0,"OK","ONBEKEND")),"ONZEKER")))))</f>
        <v/>
      </c>
      <c r="DL146" t="str">
        <f t="shared" si="1154"/>
        <v/>
      </c>
      <c r="DM146" t="str">
        <f t="shared" si="1155"/>
        <v/>
      </c>
      <c r="DN146" t="str">
        <f t="shared" si="1156"/>
        <v/>
      </c>
      <c r="DO146" t="str">
        <f t="shared" si="1157"/>
        <v/>
      </c>
      <c r="DP146" t="str">
        <f t="shared" si="1158"/>
        <v/>
      </c>
      <c r="DQ146" t="str">
        <f t="shared" si="1159"/>
        <v/>
      </c>
      <c r="DR146" t="str">
        <f t="shared" si="1160"/>
        <v/>
      </c>
      <c r="DS146" t="str">
        <f t="shared" si="1161"/>
        <v/>
      </c>
      <c r="DT146" t="str">
        <f t="shared" si="1162"/>
        <v/>
      </c>
      <c r="DU146" t="str">
        <f t="shared" si="1163"/>
        <v/>
      </c>
      <c r="DV146" t="str">
        <f t="shared" si="1164"/>
        <v/>
      </c>
      <c r="DW146" t="str">
        <f t="shared" si="1165"/>
        <v/>
      </c>
      <c r="DX146" t="str">
        <f t="shared" si="1166"/>
        <v/>
      </c>
      <c r="DY146" t="str">
        <f t="shared" si="1167"/>
        <v/>
      </c>
      <c r="DZ146" t="str">
        <f t="shared" si="1168"/>
        <v/>
      </c>
      <c r="EA146" t="str">
        <f t="shared" si="1169"/>
        <v/>
      </c>
      <c r="EB146" t="str">
        <f t="shared" si="1170"/>
        <v/>
      </c>
      <c r="EC146" t="str">
        <f t="shared" si="1171"/>
        <v/>
      </c>
      <c r="ED146" t="str">
        <f t="shared" si="1172"/>
        <v/>
      </c>
      <c r="EE146" t="str">
        <f t="shared" si="1173"/>
        <v/>
      </c>
      <c r="EF146" t="str">
        <f t="shared" si="1174"/>
        <v/>
      </c>
      <c r="EG146" t="str">
        <f t="shared" si="1175"/>
        <v/>
      </c>
      <c r="EH146" t="str">
        <f t="shared" si="1176"/>
        <v/>
      </c>
      <c r="EI146" t="str">
        <f t="shared" si="1177"/>
        <v/>
      </c>
      <c r="EJ146" t="str">
        <f t="shared" si="1178"/>
        <v/>
      </c>
      <c r="EK146" t="str">
        <f t="shared" si="1179"/>
        <v/>
      </c>
      <c r="EL146" t="str">
        <f t="shared" si="1180"/>
        <v/>
      </c>
      <c r="EM146" t="str">
        <f t="shared" si="1181"/>
        <v/>
      </c>
      <c r="EN146" t="str">
        <f t="shared" si="1182"/>
        <v/>
      </c>
      <c r="EO146" t="str">
        <f t="shared" si="1183"/>
        <v/>
      </c>
      <c r="EP146" t="str">
        <f t="shared" si="1184"/>
        <v/>
      </c>
      <c r="EQ146" t="str">
        <f t="shared" si="1185"/>
        <v/>
      </c>
      <c r="ER146" t="str">
        <f t="shared" si="1186"/>
        <v/>
      </c>
      <c r="ES146" t="str">
        <f t="shared" si="1187"/>
        <v/>
      </c>
      <c r="ET146" t="str">
        <f t="shared" si="1188"/>
        <v/>
      </c>
      <c r="EU146" t="str">
        <f t="shared" si="1189"/>
        <v/>
      </c>
      <c r="EV146" t="str">
        <f t="shared" si="1190"/>
        <v/>
      </c>
      <c r="EW146" t="str">
        <f t="shared" si="1191"/>
        <v/>
      </c>
      <c r="EX146" t="str">
        <f t="shared" si="1192"/>
        <v/>
      </c>
      <c r="EY146" t="str">
        <f t="shared" si="1193"/>
        <v/>
      </c>
    </row>
    <row r="147" spans="1:155" ht="13.9" customHeight="1" x14ac:dyDescent="0.25">
      <c r="A147" s="7"/>
      <c r="B147" s="17"/>
      <c r="C147" s="8"/>
      <c r="D147" s="17"/>
      <c r="E147" s="8"/>
      <c r="F147" s="18">
        <v>0</v>
      </c>
      <c r="G147" s="7" t="s">
        <v>147</v>
      </c>
      <c r="H147" s="18">
        <v>0</v>
      </c>
      <c r="I147" s="19">
        <v>0</v>
      </c>
      <c r="J147" s="7" t="s">
        <v>147</v>
      </c>
      <c r="K147" s="19">
        <v>0</v>
      </c>
      <c r="L147" s="9"/>
      <c r="M147" s="3" t="str">
        <f>IF($L147="","",IF($L147="DOELPUNTENMAKERS","",IF(AND(COUNTIF(#REF!,$B147)=0,COUNTIF(#REF!,$D147)=0),"OK",IF($O147&gt;20,"LET OP: meer dan 20 items (controle onvolledig)",IF((COUNTIF($R147:$AS147,"ONZEKER")+COUNTIF($CJ147:$DK147,"ONZEKER"))&gt;0,"LET OP: scoreverloop onduidelijk (controle beperkt)",IF((IF($AT147&lt;&gt;"",$AT147&amp;", ","")&amp;IF($AU147&lt;&gt;"",$AU147&amp;", ","")&amp;IF($AV147&lt;&gt;"",$AV147&amp;", ","")&amp;IF($AW147&lt;&gt;"",$AW147&amp;", ","")&amp;IF($AX147&lt;&gt;"",$AX147&amp;", ","")&amp;IF($AY147&lt;&gt;"",$AY147&amp;", ","")&amp;IF($AZ147&lt;&gt;"",$AZ147&amp;", ","")&amp;IF($BA147&lt;&gt;"",$BA147&amp;", ","")&amp;IF($BB147&lt;&gt;"",$BB147&amp;", ","")&amp;IF($BC147&lt;&gt;"",$BC147&amp;", ","")&amp;IF($DL147&lt;&gt;"",$DL147&amp;", ","")&amp;IF($DM147&lt;&gt;"",$DM147&amp;", ","")&amp;IF($DN147&lt;&gt;"",$DN147&amp;", ","")&amp;IF($DO147&lt;&gt;"",$DO147&amp;", ","")&amp;IF($DP147&lt;&gt;"",$DP147&amp;", ","")&amp;IF($DQ147&lt;&gt;"",$DQ147&amp;", ","")&amp;IF($DR147&lt;&gt;"",$DR147&amp;", ","")&amp;IF($DS147&lt;&gt;"",$DS147&amp;", ","")&amp;IF($DT147&lt;&gt;"",$DT147&amp;", ","")&amp;IF($DU147&lt;&gt;"",$DU147&amp;", ",""))="","OK","Onbekend: "&amp;LEFT((IF($AT147&lt;&gt;"",$AT147&amp;", ","")&amp;IF($AU147&lt;&gt;"",$AU147&amp;", ","")&amp;IF($AV147&lt;&gt;"",$AV147&amp;", ","")&amp;IF($AW147&lt;&gt;"",$AW147&amp;", ","")&amp;IF($AX147&lt;&gt;"",$AX147&amp;", ","")&amp;IF($AY147&lt;&gt;"",$AY147&amp;", ","")&amp;IF($AZ147&lt;&gt;"",$AZ147&amp;", ","")&amp;IF($BA147&lt;&gt;"",$BA147&amp;", ","")&amp;IF($BB147&lt;&gt;"",$BB147&amp;", ","")&amp;IF($BC147&lt;&gt;"",$BC147&amp;", ","")&amp;IF($DL147&lt;&gt;"",$DL147&amp;", ","")&amp;IF($DM147&lt;&gt;"",$DM147&amp;", ","")&amp;IF($DN147&lt;&gt;"",$DN147&amp;", ","")&amp;IF($DO147&lt;&gt;"",$DO147&amp;", ","")&amp;IF($DP147&lt;&gt;"",$DP147&amp;", ","")&amp;IF($DQ147&lt;&gt;"",$DQ147&amp;", ","")&amp;IF($DR147&lt;&gt;"",$DR147&amp;", ","")&amp;IF($DS147&lt;&gt;"",$DS147&amp;", ","")&amp;IF($DT147&lt;&gt;"",$DT147&amp;", ","")&amp;IF($DU147&lt;&gt;"",$DU147&amp;", ","")),LEN((IF($AT147&lt;&gt;"",$AT147&amp;", ","")&amp;IF($AU147&lt;&gt;"",$AU147&amp;", ","")&amp;IF($AV147&lt;&gt;"",$AV147&amp;", ","")&amp;IF($AW147&lt;&gt;"",$AW147&amp;", ","")&amp;IF($AX147&lt;&gt;"",$AX147&amp;", ","")&amp;IF($AY147&lt;&gt;"",$AY147&amp;", ","")&amp;IF($AZ147&lt;&gt;"",$AZ147&amp;", ","")&amp;IF($BA147&lt;&gt;"",$BA147&amp;", ","")&amp;IF($BB147&lt;&gt;"",$BB147&amp;", ","")&amp;IF($BC147&lt;&gt;"",$BC147&amp;", ","")&amp;IF($DL147&lt;&gt;"",$DL147&amp;", ","")&amp;IF($DM147&lt;&gt;"",$DM147&amp;", ","")&amp;IF($DN147&lt;&gt;"",$DN147&amp;", ","")&amp;IF($DO147&lt;&gt;"",$DO147&amp;", ","")&amp;IF($DP147&lt;&gt;"",$DP147&amp;", ","")&amp;IF($DQ147&lt;&gt;"",$DQ147&amp;", ","")&amp;IF($DR147&lt;&gt;"",$DR147&amp;", ","")&amp;IF($DS147&lt;&gt;"",$DS147&amp;", ","")&amp;IF($DT147&lt;&gt;"",$DT147&amp;", ","")&amp;IF($DU147&lt;&gt;"",$DU147&amp;", ","")))-2)))))))</f>
        <v/>
      </c>
      <c r="N147" t="str">
        <f t="shared" si="1102"/>
        <v/>
      </c>
      <c r="O147" t="str">
        <f t="shared" si="1103"/>
        <v/>
      </c>
      <c r="P147" t="str">
        <f t="shared" si="1104"/>
        <v/>
      </c>
      <c r="Q147" t="str">
        <f t="shared" si="1105"/>
        <v/>
      </c>
      <c r="R147" t="str">
        <f>IF($Q147="","",IF(OR($BE147="",$BF147=""),"ONZEKER",IF(AND($BE147=0+1,$BF147=0),IF(OR(COUNTIF(#REF!,$B147)&gt;0,COUNTIF(#REF!,$B147)=0),"SKIP",IF(COUNTIFS(#REF!,$B147,#REF!,$Q147)&gt;0,"OK","ONBEKEND")),IF(AND($BE147=0,$BF147=0+1),IF(OR(COUNTIF(#REF!,$D147)&gt;0,COUNTIF(#REF!,$D147)=0),"SKIP",IF(COUNTIFS(#REF!,$D147,#REF!,$Q147)&gt;0,"OK","ONBEKEND")),"ONZEKER"))))</f>
        <v/>
      </c>
      <c r="S147" t="str">
        <f t="shared" si="1106"/>
        <v/>
      </c>
      <c r="T147" t="str">
        <f t="shared" si="1107"/>
        <v/>
      </c>
      <c r="U147" t="str">
        <f>IF($T147="","",IF(OR($BH147="",$BI147=""),"ONZEKER",IF(OR($BE147="",$BF147=""),"ONZEKER",IF(AND($BH147=$BE147+1,$BI147=$BF147),IF(OR(COUNTIF(#REF!,$B147)&gt;0,COUNTIF(#REF!,$B147)=0),"SKIP",IF(COUNTIFS(#REF!,$B147,#REF!,$T147)&gt;0,"OK","ONBEKEND")),IF(AND($BH147=$BE147,$BI147=$BF147+1),IF(OR(COUNTIF(#REF!,$D147)&gt;0,COUNTIF(#REF!,$D147)=0),"SKIP",IF(COUNTIFS(#REF!,$D147,#REF!,$T147)&gt;0,"OK","ONBEKEND")),"ONZEKER")))))</f>
        <v/>
      </c>
      <c r="V147" t="str">
        <f t="shared" si="1108"/>
        <v/>
      </c>
      <c r="W147" t="str">
        <f t="shared" si="1109"/>
        <v/>
      </c>
      <c r="X147" t="str">
        <f>IF($W147="","",IF(OR($BK147="",$BL147=""),"ONZEKER",IF(OR($BH147="",$BI147=""),"ONZEKER",IF(AND($BK147=$BH147+1,$BL147=$BI147),IF(OR(COUNTIF(#REF!,$B147)&gt;0,COUNTIF(#REF!,$B147)=0),"SKIP",IF(COUNTIFS(#REF!,$B147,#REF!,$W147)&gt;0,"OK","ONBEKEND")),IF(AND($BK147=$BH147,$BL147=$BI147+1),IF(OR(COUNTIF(#REF!,$D147)&gt;0,COUNTIF(#REF!,$D147)=0),"SKIP",IF(COUNTIFS(#REF!,$D147,#REF!,$W147)&gt;0,"OK","ONBEKEND")),"ONZEKER")))))</f>
        <v/>
      </c>
      <c r="Y147" t="str">
        <f t="shared" si="1110"/>
        <v/>
      </c>
      <c r="Z147" t="str">
        <f t="shared" si="1111"/>
        <v/>
      </c>
      <c r="AA147" t="str">
        <f>IF($Z147="","",IF(OR($BN147="",$BO147=""),"ONZEKER",IF(OR($BK147="",$BL147=""),"ONZEKER",IF(AND($BN147=$BK147+1,$BO147=$BL147),IF(OR(COUNTIF(#REF!,$B147)&gt;0,COUNTIF(#REF!,$B147)=0),"SKIP",IF(COUNTIFS(#REF!,$B147,#REF!,$Z147)&gt;0,"OK","ONBEKEND")),IF(AND($BN147=$BK147,$BO147=$BL147+1),IF(OR(COUNTIF(#REF!,$D147)&gt;0,COUNTIF(#REF!,$D147)=0),"SKIP",IF(COUNTIFS(#REF!,$D147,#REF!,$Z147)&gt;0,"OK","ONBEKEND")),"ONZEKER")))))</f>
        <v/>
      </c>
      <c r="AB147" t="str">
        <f t="shared" si="1112"/>
        <v/>
      </c>
      <c r="AC147" t="str">
        <f t="shared" si="1113"/>
        <v/>
      </c>
      <c r="AD147" t="str">
        <f>IF($AC147="","",IF(OR($BQ147="",$BR147=""),"ONZEKER",IF(OR($BN147="",$BO147=""),"ONZEKER",IF(AND($BQ147=$BN147+1,$BR147=$BO147),IF(OR(COUNTIF(#REF!,$B147)&gt;0,COUNTIF(#REF!,$B147)=0),"SKIP",IF(COUNTIFS(#REF!,$B147,#REF!,$AC147)&gt;0,"OK","ONBEKEND")),IF(AND($BQ147=$BN147,$BR147=$BO147+1),IF(OR(COUNTIF(#REF!,$D147)&gt;0,COUNTIF(#REF!,$D147)=0),"SKIP",IF(COUNTIFS(#REF!,$D147,#REF!,$AC147)&gt;0,"OK","ONBEKEND")),"ONZEKER")))))</f>
        <v/>
      </c>
      <c r="AE147" t="str">
        <f t="shared" si="1114"/>
        <v/>
      </c>
      <c r="AF147" t="str">
        <f t="shared" si="1115"/>
        <v/>
      </c>
      <c r="AG147" t="str">
        <f>IF($AF147="","",IF(OR($BT147="",$BU147=""),"ONZEKER",IF(OR($BQ147="",$BR147=""),"ONZEKER",IF(AND($BT147=$BQ147+1,$BU147=$BR147),IF(OR(COUNTIF(#REF!,$B147)&gt;0,COUNTIF(#REF!,$B147)=0),"SKIP",IF(COUNTIFS(#REF!,$B147,#REF!,$AF147)&gt;0,"OK","ONBEKEND")),IF(AND($BT147=$BQ147,$BU147=$BR147+1),IF(OR(COUNTIF(#REF!,$D147)&gt;0,COUNTIF(#REF!,$D147)=0),"SKIP",IF(COUNTIFS(#REF!,$D147,#REF!,$AF147)&gt;0,"OK","ONBEKEND")),"ONZEKER")))))</f>
        <v/>
      </c>
      <c r="AH147" t="str">
        <f t="shared" si="1116"/>
        <v/>
      </c>
      <c r="AI147" t="str">
        <f t="shared" si="1117"/>
        <v/>
      </c>
      <c r="AJ147" t="str">
        <f>IF($AI147="","",IF(OR($BW147="",$BX147=""),"ONZEKER",IF(OR($BT147="",$BU147=""),"ONZEKER",IF(AND($BW147=$BT147+1,$BX147=$BU147),IF(OR(COUNTIF(#REF!,$B147)&gt;0,COUNTIF(#REF!,$B147)=0),"SKIP",IF(COUNTIFS(#REF!,$B147,#REF!,$AI147)&gt;0,"OK","ONBEKEND")),IF(AND($BW147=$BT147,$BX147=$BU147+1),IF(OR(COUNTIF(#REF!,$D147)&gt;0,COUNTIF(#REF!,$D147)=0),"SKIP",IF(COUNTIFS(#REF!,$D147,#REF!,$AI147)&gt;0,"OK","ONBEKEND")),"ONZEKER")))))</f>
        <v/>
      </c>
      <c r="AK147" t="str">
        <f t="shared" si="1118"/>
        <v/>
      </c>
      <c r="AL147" t="str">
        <f t="shared" si="1119"/>
        <v/>
      </c>
      <c r="AM147" t="str">
        <f>IF($AL147="","",IF(OR($BZ147="",$CA147=""),"ONZEKER",IF(OR($BW147="",$BX147=""),"ONZEKER",IF(AND($BZ147=$BW147+1,$CA147=$BX147),IF(OR(COUNTIF(#REF!,$B147)&gt;0,COUNTIF(#REF!,$B147)=0),"SKIP",IF(COUNTIFS(#REF!,$B147,#REF!,$AL147)&gt;0,"OK","ONBEKEND")),IF(AND($BZ147=$BW147,$CA147=$BX147+1),IF(OR(COUNTIF(#REF!,$D147)&gt;0,COUNTIF(#REF!,$D147)=0),"SKIP",IF(COUNTIFS(#REF!,$D147,#REF!,$AL147)&gt;0,"OK","ONBEKEND")),"ONZEKER")))))</f>
        <v/>
      </c>
      <c r="AN147" t="str">
        <f t="shared" si="1120"/>
        <v/>
      </c>
      <c r="AO147" t="str">
        <f t="shared" si="1121"/>
        <v/>
      </c>
      <c r="AP147" t="str">
        <f>IF($AO147="","",IF(OR($CC147="",$CD147=""),"ONZEKER",IF(OR($BZ147="",$CA147=""),"ONZEKER",IF(AND($CC147=$BZ147+1,$CD147=$CA147),IF(OR(COUNTIF(#REF!,$B147)&gt;0,COUNTIF(#REF!,$B147)=0),"SKIP",IF(COUNTIFS(#REF!,$B147,#REF!,$AO147)&gt;0,"OK","ONBEKEND")),IF(AND($CC147=$BZ147,$CD147=$CA147+1),IF(OR(COUNTIF(#REF!,$D147)&gt;0,COUNTIF(#REF!,$D147)=0),"SKIP",IF(COUNTIFS(#REF!,$D147,#REF!,$AO147)&gt;0,"OK","ONBEKEND")),"ONZEKER")))))</f>
        <v/>
      </c>
      <c r="AQ147" t="str">
        <f t="shared" si="1122"/>
        <v/>
      </c>
      <c r="AR147" t="str">
        <f t="shared" si="1123"/>
        <v/>
      </c>
      <c r="AS147" t="str">
        <f>IF($AR147="","",IF(OR($CF147="",$CG147=""),"ONZEKER",IF(OR($CC147="",$CD147=""),"ONZEKER",IF(AND($CF147=$CC147+1,$CG147=$CD147),IF(OR(COUNTIF(#REF!,$B147)&gt;0,COUNTIF(#REF!,$B147)=0),"SKIP",IF(COUNTIFS(#REF!,$B147,#REF!,$AR147)&gt;0,"OK","ONBEKEND")),IF(AND($CF147=$CC147,$CG147=$CD147+1),IF(OR(COUNTIF(#REF!,$D147)&gt;0,COUNTIF(#REF!,$D147)=0),"SKIP",IF(COUNTIFS(#REF!,$D147,#REF!,$AR147)&gt;0,"OK","ONBEKEND")),"ONZEKER")))))</f>
        <v/>
      </c>
      <c r="AT147" t="str">
        <f t="shared" si="1124"/>
        <v/>
      </c>
      <c r="AU147" t="str">
        <f t="shared" si="1125"/>
        <v/>
      </c>
      <c r="AV147" t="str">
        <f t="shared" si="1126"/>
        <v/>
      </c>
      <c r="AW147" t="str">
        <f t="shared" si="1127"/>
        <v/>
      </c>
      <c r="AX147" t="str">
        <f t="shared" si="1128"/>
        <v/>
      </c>
      <c r="AY147" t="str">
        <f t="shared" si="1129"/>
        <v/>
      </c>
      <c r="AZ147" t="str">
        <f t="shared" si="1130"/>
        <v/>
      </c>
      <c r="BA147" t="str">
        <f t="shared" si="1131"/>
        <v/>
      </c>
      <c r="BB147" t="str">
        <f t="shared" si="1132"/>
        <v/>
      </c>
      <c r="BC147" t="str">
        <f t="shared" si="1133"/>
        <v/>
      </c>
      <c r="BD147" t="str">
        <f t="shared" si="980"/>
        <v/>
      </c>
      <c r="BE147" t="str">
        <f t="shared" si="981"/>
        <v/>
      </c>
      <c r="BF147" t="str">
        <f t="shared" si="982"/>
        <v/>
      </c>
      <c r="BG147" t="str">
        <f t="shared" si="983"/>
        <v/>
      </c>
      <c r="BH147" t="str">
        <f t="shared" si="984"/>
        <v/>
      </c>
      <c r="BI147" t="str">
        <f t="shared" si="985"/>
        <v/>
      </c>
      <c r="BJ147" t="str">
        <f t="shared" si="986"/>
        <v/>
      </c>
      <c r="BK147" t="str">
        <f t="shared" si="987"/>
        <v/>
      </c>
      <c r="BL147" t="str">
        <f t="shared" si="988"/>
        <v/>
      </c>
      <c r="BM147" t="str">
        <f t="shared" si="989"/>
        <v/>
      </c>
      <c r="BN147" t="str">
        <f t="shared" si="990"/>
        <v/>
      </c>
      <c r="BO147" t="str">
        <f t="shared" si="991"/>
        <v/>
      </c>
      <c r="BP147" t="str">
        <f t="shared" si="992"/>
        <v/>
      </c>
      <c r="BQ147" t="str">
        <f t="shared" si="993"/>
        <v/>
      </c>
      <c r="BR147" t="str">
        <f t="shared" si="994"/>
        <v/>
      </c>
      <c r="BS147" t="str">
        <f t="shared" si="995"/>
        <v/>
      </c>
      <c r="BT147" t="str">
        <f t="shared" si="996"/>
        <v/>
      </c>
      <c r="BU147" t="str">
        <f t="shared" si="997"/>
        <v/>
      </c>
      <c r="BV147" t="str">
        <f t="shared" si="998"/>
        <v/>
      </c>
      <c r="BW147" t="str">
        <f t="shared" si="999"/>
        <v/>
      </c>
      <c r="BX147" t="str">
        <f t="shared" si="1000"/>
        <v/>
      </c>
      <c r="BY147" t="str">
        <f t="shared" si="1001"/>
        <v/>
      </c>
      <c r="BZ147" t="str">
        <f t="shared" si="1002"/>
        <v/>
      </c>
      <c r="CA147" t="str">
        <f t="shared" si="1003"/>
        <v/>
      </c>
      <c r="CB147" t="str">
        <f t="shared" si="1004"/>
        <v/>
      </c>
      <c r="CC147" t="str">
        <f t="shared" si="1005"/>
        <v/>
      </c>
      <c r="CD147" t="str">
        <f t="shared" si="1006"/>
        <v/>
      </c>
      <c r="CE147" t="str">
        <f t="shared" si="1007"/>
        <v/>
      </c>
      <c r="CF147" t="str">
        <f t="shared" si="1008"/>
        <v/>
      </c>
      <c r="CG147" t="str">
        <f t="shared" si="1009"/>
        <v/>
      </c>
      <c r="CH147" t="str">
        <f t="shared" si="1134"/>
        <v/>
      </c>
      <c r="CI147" t="str">
        <f t="shared" si="1135"/>
        <v/>
      </c>
      <c r="CJ147" t="str">
        <f>IF($CI147="","",IF(OR($DW147="",$DX147=""),"ONZEKER",IF(OR($CF147="",$CG147=""),"ONZEKER",IF(AND($DW147=$CF147+1,$DX147=$CG147),IF(OR(COUNTIF(#REF!,$B147)&gt;0,COUNTIF(#REF!,$B147)=0),"SKIP",IF(COUNTIFS(#REF!,$B147,#REF!,$CI147)&gt;0,"OK","ONBEKEND")),IF(AND($DW147=$CF147,$DX147=$CG147+1),IF(OR(COUNTIF(#REF!,$D147)&gt;0,COUNTIF(#REF!,$D147)=0),"SKIP",IF(COUNTIFS(#REF!,$D147,#REF!,$CI147)&gt;0,"OK","ONBEKEND")),"ONZEKER")))))</f>
        <v/>
      </c>
      <c r="CK147" t="str">
        <f t="shared" si="1136"/>
        <v/>
      </c>
      <c r="CL147" t="str">
        <f t="shared" si="1137"/>
        <v/>
      </c>
      <c r="CM147" t="str">
        <f>IF($CL147="","",IF(OR($DZ147="",$EA147=""),"ONZEKER",IF(OR($DW147="",$DX147=""),"ONZEKER",IF(AND($DZ147=$DW147+1,$EA147=$DX147),IF(OR(COUNTIF(#REF!,$B147)&gt;0,COUNTIF(#REF!,$B147)=0),"SKIP",IF(COUNTIFS(#REF!,$B147,#REF!,$CL147)&gt;0,"OK","ONBEKEND")),IF(AND($DZ147=$DW147,$EA147=$DX147+1),IF(OR(COUNTIF(#REF!,$D147)&gt;0,COUNTIF(#REF!,$D147)=0),"SKIP",IF(COUNTIFS(#REF!,$D147,#REF!,$CL147)&gt;0,"OK","ONBEKEND")),"ONZEKER")))))</f>
        <v/>
      </c>
      <c r="CN147" t="str">
        <f t="shared" si="1138"/>
        <v/>
      </c>
      <c r="CO147" t="str">
        <f t="shared" si="1139"/>
        <v/>
      </c>
      <c r="CP147" t="str">
        <f>IF($CO147="","",IF(OR($EC147="",$ED147=""),"ONZEKER",IF(OR($DZ147="",$EA147=""),"ONZEKER",IF(AND($EC147=$DZ147+1,$ED147=$EA147),IF(OR(COUNTIF(#REF!,$B147)&gt;0,COUNTIF(#REF!,$B147)=0),"SKIP",IF(COUNTIFS(#REF!,$B147,#REF!,$CO147)&gt;0,"OK","ONBEKEND")),IF(AND($EC147=$DZ147,$ED147=$EA147+1),IF(OR(COUNTIF(#REF!,$D147)&gt;0,COUNTIF(#REF!,$D147)=0),"SKIP",IF(COUNTIFS(#REF!,$D147,#REF!,$CO147)&gt;0,"OK","ONBEKEND")),"ONZEKER")))))</f>
        <v/>
      </c>
      <c r="CQ147" t="str">
        <f t="shared" si="1140"/>
        <v/>
      </c>
      <c r="CR147" t="str">
        <f t="shared" si="1141"/>
        <v/>
      </c>
      <c r="CS147" t="str">
        <f>IF($CR147="","",IF(OR($EF147="",$EG147=""),"ONZEKER",IF(OR($EC147="",$ED147=""),"ONZEKER",IF(AND($EF147=$EC147+1,$EG147=$ED147),IF(OR(COUNTIF(#REF!,$B147)&gt;0,COUNTIF(#REF!,$B147)=0),"SKIP",IF(COUNTIFS(#REF!,$B147,#REF!,$CR147)&gt;0,"OK","ONBEKEND")),IF(AND($EF147=$EC147,$EG147=$ED147+1),IF(OR(COUNTIF(#REF!,$D147)&gt;0,COUNTIF(#REF!,$D147)=0),"SKIP",IF(COUNTIFS(#REF!,$D147,#REF!,$CR147)&gt;0,"OK","ONBEKEND")),"ONZEKER")))))</f>
        <v/>
      </c>
      <c r="CT147" t="str">
        <f t="shared" si="1142"/>
        <v/>
      </c>
      <c r="CU147" t="str">
        <f t="shared" si="1143"/>
        <v/>
      </c>
      <c r="CV147" t="str">
        <f>IF($CU147="","",IF(OR($EI147="",$EJ147=""),"ONZEKER",IF(OR($EF147="",$EG147=""),"ONZEKER",IF(AND($EI147=$EF147+1,$EJ147=$EG147),IF(OR(COUNTIF(#REF!,$B147)&gt;0,COUNTIF(#REF!,$B147)=0),"SKIP",IF(COUNTIFS(#REF!,$B147,#REF!,$CU147)&gt;0,"OK","ONBEKEND")),IF(AND($EI147=$EF147,$EJ147=$EG147+1),IF(OR(COUNTIF(#REF!,$D147)&gt;0,COUNTIF(#REF!,$D147)=0),"SKIP",IF(COUNTIFS(#REF!,$D147,#REF!,$CU147)&gt;0,"OK","ONBEKEND")),"ONZEKER")))))</f>
        <v/>
      </c>
      <c r="CW147" t="str">
        <f t="shared" si="1144"/>
        <v/>
      </c>
      <c r="CX147" t="str">
        <f t="shared" si="1145"/>
        <v/>
      </c>
      <c r="CY147" t="str">
        <f>IF($CX147="","",IF(OR($EL147="",$EM147=""),"ONZEKER",IF(OR($EI147="",$EJ147=""),"ONZEKER",IF(AND($EL147=$EI147+1,$EM147=$EJ147),IF(OR(COUNTIF(#REF!,$B147)&gt;0,COUNTIF(#REF!,$B147)=0),"SKIP",IF(COUNTIFS(#REF!,$B147,#REF!,$CX147)&gt;0,"OK","ONBEKEND")),IF(AND($EL147=$EI147,$EM147=$EJ147+1),IF(OR(COUNTIF(#REF!,$D147)&gt;0,COUNTIF(#REF!,$D147)=0),"SKIP",IF(COUNTIFS(#REF!,$D147,#REF!,$CX147)&gt;0,"OK","ONBEKEND")),"ONZEKER")))))</f>
        <v/>
      </c>
      <c r="CZ147" t="str">
        <f t="shared" si="1146"/>
        <v/>
      </c>
      <c r="DA147" t="str">
        <f t="shared" si="1147"/>
        <v/>
      </c>
      <c r="DB147" t="str">
        <f>IF($DA147="","",IF(OR($EO147="",$EP147=""),"ONZEKER",IF(OR($EL147="",$EM147=""),"ONZEKER",IF(AND($EO147=$EL147+1,$EP147=$EM147),IF(OR(COUNTIF(#REF!,$B147)&gt;0,COUNTIF(#REF!,$B147)=0),"SKIP",IF(COUNTIFS(#REF!,$B147,#REF!,$DA147)&gt;0,"OK","ONBEKEND")),IF(AND($EO147=$EL147,$EP147=$EM147+1),IF(OR(COUNTIF(#REF!,$D147)&gt;0,COUNTIF(#REF!,$D147)=0),"SKIP",IF(COUNTIFS(#REF!,$D147,#REF!,$DA147)&gt;0,"OK","ONBEKEND")),"ONZEKER")))))</f>
        <v/>
      </c>
      <c r="DC147" t="str">
        <f t="shared" si="1148"/>
        <v/>
      </c>
      <c r="DD147" t="str">
        <f t="shared" si="1149"/>
        <v/>
      </c>
      <c r="DE147" t="str">
        <f>IF($DD147="","",IF(OR($ER147="",$ES147=""),"ONZEKER",IF(OR($EO147="",$EP147=""),"ONZEKER",IF(AND($ER147=$EO147+1,$ES147=$EP147),IF(OR(COUNTIF(#REF!,$B147)&gt;0,COUNTIF(#REF!,$B147)=0),"SKIP",IF(COUNTIFS(#REF!,$B147,#REF!,$DD147)&gt;0,"OK","ONBEKEND")),IF(AND($ER147=$EO147,$ES147=$EP147+1),IF(OR(COUNTIF(#REF!,$D147)&gt;0,COUNTIF(#REF!,$D147)=0),"SKIP",IF(COUNTIFS(#REF!,$D147,#REF!,$DD147)&gt;0,"OK","ONBEKEND")),"ONZEKER")))))</f>
        <v/>
      </c>
      <c r="DF147" t="str">
        <f t="shared" si="1150"/>
        <v/>
      </c>
      <c r="DG147" t="str">
        <f t="shared" si="1151"/>
        <v/>
      </c>
      <c r="DH147" t="str">
        <f>IF($DG147="","",IF(OR($EU147="",$EV147=""),"ONZEKER",IF(OR($ER147="",$ES147=""),"ONZEKER",IF(AND($EU147=$ER147+1,$EV147=$ES147),IF(OR(COUNTIF(#REF!,$B147)&gt;0,COUNTIF(#REF!,$B147)=0),"SKIP",IF(COUNTIFS(#REF!,$B147,#REF!,$DG147)&gt;0,"OK","ONBEKEND")),IF(AND($EU147=$ER147,$EV147=$ES147+1),IF(OR(COUNTIF(#REF!,$D147)&gt;0,COUNTIF(#REF!,$D147)=0),"SKIP",IF(COUNTIFS(#REF!,$D147,#REF!,$DG147)&gt;0,"OK","ONBEKEND")),"ONZEKER")))))</f>
        <v/>
      </c>
      <c r="DI147" t="str">
        <f t="shared" si="1152"/>
        <v/>
      </c>
      <c r="DJ147" t="str">
        <f t="shared" si="1153"/>
        <v/>
      </c>
      <c r="DK147" t="str">
        <f>IF($DJ147="","",IF(OR($EX147="",$EY147=""),"ONZEKER",IF(OR($EU147="",$EV147=""),"ONZEKER",IF(AND($EX147=$EU147+1,$EY147=$EV147),IF(OR(COUNTIF(#REF!,$B147)&gt;0,COUNTIF(#REF!,$B147)=0),"SKIP",IF(COUNTIFS(#REF!,$B147,#REF!,$DJ147)&gt;0,"OK","ONBEKEND")),IF(AND($EX147=$EU147,$EY147=$EV147+1),IF(OR(COUNTIF(#REF!,$D147)&gt;0,COUNTIF(#REF!,$D147)=0),"SKIP",IF(COUNTIFS(#REF!,$D147,#REF!,$DJ147)&gt;0,"OK","ONBEKEND")),"ONZEKER")))))</f>
        <v/>
      </c>
      <c r="DL147" t="str">
        <f t="shared" si="1154"/>
        <v/>
      </c>
      <c r="DM147" t="str">
        <f t="shared" si="1155"/>
        <v/>
      </c>
      <c r="DN147" t="str">
        <f t="shared" si="1156"/>
        <v/>
      </c>
      <c r="DO147" t="str">
        <f t="shared" si="1157"/>
        <v/>
      </c>
      <c r="DP147" t="str">
        <f t="shared" si="1158"/>
        <v/>
      </c>
      <c r="DQ147" t="str">
        <f t="shared" si="1159"/>
        <v/>
      </c>
      <c r="DR147" t="str">
        <f t="shared" si="1160"/>
        <v/>
      </c>
      <c r="DS147" t="str">
        <f t="shared" si="1161"/>
        <v/>
      </c>
      <c r="DT147" t="str">
        <f t="shared" si="1162"/>
        <v/>
      </c>
      <c r="DU147" t="str">
        <f t="shared" si="1163"/>
        <v/>
      </c>
      <c r="DV147" t="str">
        <f t="shared" si="1164"/>
        <v/>
      </c>
      <c r="DW147" t="str">
        <f t="shared" si="1165"/>
        <v/>
      </c>
      <c r="DX147" t="str">
        <f t="shared" si="1166"/>
        <v/>
      </c>
      <c r="DY147" t="str">
        <f t="shared" si="1167"/>
        <v/>
      </c>
      <c r="DZ147" t="str">
        <f t="shared" si="1168"/>
        <v/>
      </c>
      <c r="EA147" t="str">
        <f t="shared" si="1169"/>
        <v/>
      </c>
      <c r="EB147" t="str">
        <f t="shared" si="1170"/>
        <v/>
      </c>
      <c r="EC147" t="str">
        <f t="shared" si="1171"/>
        <v/>
      </c>
      <c r="ED147" t="str">
        <f t="shared" si="1172"/>
        <v/>
      </c>
      <c r="EE147" t="str">
        <f t="shared" si="1173"/>
        <v/>
      </c>
      <c r="EF147" t="str">
        <f t="shared" si="1174"/>
        <v/>
      </c>
      <c r="EG147" t="str">
        <f t="shared" si="1175"/>
        <v/>
      </c>
      <c r="EH147" t="str">
        <f t="shared" si="1176"/>
        <v/>
      </c>
      <c r="EI147" t="str">
        <f t="shared" si="1177"/>
        <v/>
      </c>
      <c r="EJ147" t="str">
        <f t="shared" si="1178"/>
        <v/>
      </c>
      <c r="EK147" t="str">
        <f t="shared" si="1179"/>
        <v/>
      </c>
      <c r="EL147" t="str">
        <f t="shared" si="1180"/>
        <v/>
      </c>
      <c r="EM147" t="str">
        <f t="shared" si="1181"/>
        <v/>
      </c>
      <c r="EN147" t="str">
        <f t="shared" si="1182"/>
        <v/>
      </c>
      <c r="EO147" t="str">
        <f t="shared" si="1183"/>
        <v/>
      </c>
      <c r="EP147" t="str">
        <f t="shared" si="1184"/>
        <v/>
      </c>
      <c r="EQ147" t="str">
        <f t="shared" si="1185"/>
        <v/>
      </c>
      <c r="ER147" t="str">
        <f t="shared" si="1186"/>
        <v/>
      </c>
      <c r="ES147" t="str">
        <f t="shared" si="1187"/>
        <v/>
      </c>
      <c r="ET147" t="str">
        <f t="shared" si="1188"/>
        <v/>
      </c>
      <c r="EU147" t="str">
        <f t="shared" si="1189"/>
        <v/>
      </c>
      <c r="EV147" t="str">
        <f t="shared" si="1190"/>
        <v/>
      </c>
      <c r="EW147" t="str">
        <f t="shared" si="1191"/>
        <v/>
      </c>
      <c r="EX147" t="str">
        <f t="shared" si="1192"/>
        <v/>
      </c>
      <c r="EY147" t="str">
        <f t="shared" si="1193"/>
        <v/>
      </c>
    </row>
    <row r="148" spans="1:155" ht="13.9" customHeight="1" x14ac:dyDescent="0.25">
      <c r="A148" s="7"/>
      <c r="B148" s="17"/>
      <c r="C148" s="8"/>
      <c r="D148" s="17"/>
      <c r="E148" s="8"/>
      <c r="F148" s="18">
        <v>0</v>
      </c>
      <c r="G148" s="7" t="s">
        <v>147</v>
      </c>
      <c r="H148" s="18">
        <v>0</v>
      </c>
      <c r="I148" s="19">
        <v>0</v>
      </c>
      <c r="J148" s="7" t="s">
        <v>147</v>
      </c>
      <c r="K148" s="19">
        <v>0</v>
      </c>
      <c r="L148" s="9"/>
      <c r="M148" s="3" t="str">
        <f>IF($L148="","",IF($L148="DOELPUNTENMAKERS","",IF(AND(COUNTIF(#REF!,$B148)=0,COUNTIF(#REF!,$D148)=0),"OK",IF($O148&gt;20,"LET OP: meer dan 20 items (controle onvolledig)",IF((COUNTIF($R148:$AS148,"ONZEKER")+COUNTIF($CJ148:$DK148,"ONZEKER"))&gt;0,"LET OP: scoreverloop onduidelijk (controle beperkt)",IF((IF($AT148&lt;&gt;"",$AT148&amp;", ","")&amp;IF($AU148&lt;&gt;"",$AU148&amp;", ","")&amp;IF($AV148&lt;&gt;"",$AV148&amp;", ","")&amp;IF($AW148&lt;&gt;"",$AW148&amp;", ","")&amp;IF($AX148&lt;&gt;"",$AX148&amp;", ","")&amp;IF($AY148&lt;&gt;"",$AY148&amp;", ","")&amp;IF($AZ148&lt;&gt;"",$AZ148&amp;", ","")&amp;IF($BA148&lt;&gt;"",$BA148&amp;", ","")&amp;IF($BB148&lt;&gt;"",$BB148&amp;", ","")&amp;IF($BC148&lt;&gt;"",$BC148&amp;", ","")&amp;IF($DL148&lt;&gt;"",$DL148&amp;", ","")&amp;IF($DM148&lt;&gt;"",$DM148&amp;", ","")&amp;IF($DN148&lt;&gt;"",$DN148&amp;", ","")&amp;IF($DO148&lt;&gt;"",$DO148&amp;", ","")&amp;IF($DP148&lt;&gt;"",$DP148&amp;", ","")&amp;IF($DQ148&lt;&gt;"",$DQ148&amp;", ","")&amp;IF($DR148&lt;&gt;"",$DR148&amp;", ","")&amp;IF($DS148&lt;&gt;"",$DS148&amp;", ","")&amp;IF($DT148&lt;&gt;"",$DT148&amp;", ","")&amp;IF($DU148&lt;&gt;"",$DU148&amp;", ",""))="","OK","Onbekend: "&amp;LEFT((IF($AT148&lt;&gt;"",$AT148&amp;", ","")&amp;IF($AU148&lt;&gt;"",$AU148&amp;", ","")&amp;IF($AV148&lt;&gt;"",$AV148&amp;", ","")&amp;IF($AW148&lt;&gt;"",$AW148&amp;", ","")&amp;IF($AX148&lt;&gt;"",$AX148&amp;", ","")&amp;IF($AY148&lt;&gt;"",$AY148&amp;", ","")&amp;IF($AZ148&lt;&gt;"",$AZ148&amp;", ","")&amp;IF($BA148&lt;&gt;"",$BA148&amp;", ","")&amp;IF($BB148&lt;&gt;"",$BB148&amp;", ","")&amp;IF($BC148&lt;&gt;"",$BC148&amp;", ","")&amp;IF($DL148&lt;&gt;"",$DL148&amp;", ","")&amp;IF($DM148&lt;&gt;"",$DM148&amp;", ","")&amp;IF($DN148&lt;&gt;"",$DN148&amp;", ","")&amp;IF($DO148&lt;&gt;"",$DO148&amp;", ","")&amp;IF($DP148&lt;&gt;"",$DP148&amp;", ","")&amp;IF($DQ148&lt;&gt;"",$DQ148&amp;", ","")&amp;IF($DR148&lt;&gt;"",$DR148&amp;", ","")&amp;IF($DS148&lt;&gt;"",$DS148&amp;", ","")&amp;IF($DT148&lt;&gt;"",$DT148&amp;", ","")&amp;IF($DU148&lt;&gt;"",$DU148&amp;", ","")),LEN((IF($AT148&lt;&gt;"",$AT148&amp;", ","")&amp;IF($AU148&lt;&gt;"",$AU148&amp;", ","")&amp;IF($AV148&lt;&gt;"",$AV148&amp;", ","")&amp;IF($AW148&lt;&gt;"",$AW148&amp;", ","")&amp;IF($AX148&lt;&gt;"",$AX148&amp;", ","")&amp;IF($AY148&lt;&gt;"",$AY148&amp;", ","")&amp;IF($AZ148&lt;&gt;"",$AZ148&amp;", ","")&amp;IF($BA148&lt;&gt;"",$BA148&amp;", ","")&amp;IF($BB148&lt;&gt;"",$BB148&amp;", ","")&amp;IF($BC148&lt;&gt;"",$BC148&amp;", ","")&amp;IF($DL148&lt;&gt;"",$DL148&amp;", ","")&amp;IF($DM148&lt;&gt;"",$DM148&amp;", ","")&amp;IF($DN148&lt;&gt;"",$DN148&amp;", ","")&amp;IF($DO148&lt;&gt;"",$DO148&amp;", ","")&amp;IF($DP148&lt;&gt;"",$DP148&amp;", ","")&amp;IF($DQ148&lt;&gt;"",$DQ148&amp;", ","")&amp;IF($DR148&lt;&gt;"",$DR148&amp;", ","")&amp;IF($DS148&lt;&gt;"",$DS148&amp;", ","")&amp;IF($DT148&lt;&gt;"",$DT148&amp;", ","")&amp;IF($DU148&lt;&gt;"",$DU148&amp;", ","")))-2)))))))</f>
        <v/>
      </c>
      <c r="N148" t="str">
        <f t="shared" si="1102"/>
        <v/>
      </c>
      <c r="O148" t="str">
        <f t="shared" si="1103"/>
        <v/>
      </c>
      <c r="P148" t="str">
        <f t="shared" si="1104"/>
        <v/>
      </c>
      <c r="Q148" t="str">
        <f t="shared" si="1105"/>
        <v/>
      </c>
      <c r="R148" t="str">
        <f>IF($Q148="","",IF(OR($BE148="",$BF148=""),"ONZEKER",IF(AND($BE148=0+1,$BF148=0),IF(OR(COUNTIF(#REF!,$B148)&gt;0,COUNTIF(#REF!,$B148)=0),"SKIP",IF(COUNTIFS(#REF!,$B148,#REF!,$Q148)&gt;0,"OK","ONBEKEND")),IF(AND($BE148=0,$BF148=0+1),IF(OR(COUNTIF(#REF!,$D148)&gt;0,COUNTIF(#REF!,$D148)=0),"SKIP",IF(COUNTIFS(#REF!,$D148,#REF!,$Q148)&gt;0,"OK","ONBEKEND")),"ONZEKER"))))</f>
        <v/>
      </c>
      <c r="S148" t="str">
        <f t="shared" si="1106"/>
        <v/>
      </c>
      <c r="T148" t="str">
        <f t="shared" si="1107"/>
        <v/>
      </c>
      <c r="U148" t="str">
        <f>IF($T148="","",IF(OR($BH148="",$BI148=""),"ONZEKER",IF(OR($BE148="",$BF148=""),"ONZEKER",IF(AND($BH148=$BE148+1,$BI148=$BF148),IF(OR(COUNTIF(#REF!,$B148)&gt;0,COUNTIF(#REF!,$B148)=0),"SKIP",IF(COUNTIFS(#REF!,$B148,#REF!,$T148)&gt;0,"OK","ONBEKEND")),IF(AND($BH148=$BE148,$BI148=$BF148+1),IF(OR(COUNTIF(#REF!,$D148)&gt;0,COUNTIF(#REF!,$D148)=0),"SKIP",IF(COUNTIFS(#REF!,$D148,#REF!,$T148)&gt;0,"OK","ONBEKEND")),"ONZEKER")))))</f>
        <v/>
      </c>
      <c r="V148" t="str">
        <f t="shared" si="1108"/>
        <v/>
      </c>
      <c r="W148" t="str">
        <f t="shared" si="1109"/>
        <v/>
      </c>
      <c r="X148" t="str">
        <f>IF($W148="","",IF(OR($BK148="",$BL148=""),"ONZEKER",IF(OR($BH148="",$BI148=""),"ONZEKER",IF(AND($BK148=$BH148+1,$BL148=$BI148),IF(OR(COUNTIF(#REF!,$B148)&gt;0,COUNTIF(#REF!,$B148)=0),"SKIP",IF(COUNTIFS(#REF!,$B148,#REF!,$W148)&gt;0,"OK","ONBEKEND")),IF(AND($BK148=$BH148,$BL148=$BI148+1),IF(OR(COUNTIF(#REF!,$D148)&gt;0,COUNTIF(#REF!,$D148)=0),"SKIP",IF(COUNTIFS(#REF!,$D148,#REF!,$W148)&gt;0,"OK","ONBEKEND")),"ONZEKER")))))</f>
        <v/>
      </c>
      <c r="Y148" t="str">
        <f t="shared" si="1110"/>
        <v/>
      </c>
      <c r="Z148" t="str">
        <f t="shared" si="1111"/>
        <v/>
      </c>
      <c r="AA148" t="str">
        <f>IF($Z148="","",IF(OR($BN148="",$BO148=""),"ONZEKER",IF(OR($BK148="",$BL148=""),"ONZEKER",IF(AND($BN148=$BK148+1,$BO148=$BL148),IF(OR(COUNTIF(#REF!,$B148)&gt;0,COUNTIF(#REF!,$B148)=0),"SKIP",IF(COUNTIFS(#REF!,$B148,#REF!,$Z148)&gt;0,"OK","ONBEKEND")),IF(AND($BN148=$BK148,$BO148=$BL148+1),IF(OR(COUNTIF(#REF!,$D148)&gt;0,COUNTIF(#REF!,$D148)=0),"SKIP",IF(COUNTIFS(#REF!,$D148,#REF!,$Z148)&gt;0,"OK","ONBEKEND")),"ONZEKER")))))</f>
        <v/>
      </c>
      <c r="AB148" t="str">
        <f t="shared" si="1112"/>
        <v/>
      </c>
      <c r="AC148" t="str">
        <f t="shared" si="1113"/>
        <v/>
      </c>
      <c r="AD148" t="str">
        <f>IF($AC148="","",IF(OR($BQ148="",$BR148=""),"ONZEKER",IF(OR($BN148="",$BO148=""),"ONZEKER",IF(AND($BQ148=$BN148+1,$BR148=$BO148),IF(OR(COUNTIF(#REF!,$B148)&gt;0,COUNTIF(#REF!,$B148)=0),"SKIP",IF(COUNTIFS(#REF!,$B148,#REF!,$AC148)&gt;0,"OK","ONBEKEND")),IF(AND($BQ148=$BN148,$BR148=$BO148+1),IF(OR(COUNTIF(#REF!,$D148)&gt;0,COUNTIF(#REF!,$D148)=0),"SKIP",IF(COUNTIFS(#REF!,$D148,#REF!,$AC148)&gt;0,"OK","ONBEKEND")),"ONZEKER")))))</f>
        <v/>
      </c>
      <c r="AE148" t="str">
        <f t="shared" si="1114"/>
        <v/>
      </c>
      <c r="AF148" t="str">
        <f t="shared" si="1115"/>
        <v/>
      </c>
      <c r="AG148" t="str">
        <f>IF($AF148="","",IF(OR($BT148="",$BU148=""),"ONZEKER",IF(OR($BQ148="",$BR148=""),"ONZEKER",IF(AND($BT148=$BQ148+1,$BU148=$BR148),IF(OR(COUNTIF(#REF!,$B148)&gt;0,COUNTIF(#REF!,$B148)=0),"SKIP",IF(COUNTIFS(#REF!,$B148,#REF!,$AF148)&gt;0,"OK","ONBEKEND")),IF(AND($BT148=$BQ148,$BU148=$BR148+1),IF(OR(COUNTIF(#REF!,$D148)&gt;0,COUNTIF(#REF!,$D148)=0),"SKIP",IF(COUNTIFS(#REF!,$D148,#REF!,$AF148)&gt;0,"OK","ONBEKEND")),"ONZEKER")))))</f>
        <v/>
      </c>
      <c r="AH148" t="str">
        <f t="shared" si="1116"/>
        <v/>
      </c>
      <c r="AI148" t="str">
        <f t="shared" si="1117"/>
        <v/>
      </c>
      <c r="AJ148" t="str">
        <f>IF($AI148="","",IF(OR($BW148="",$BX148=""),"ONZEKER",IF(OR($BT148="",$BU148=""),"ONZEKER",IF(AND($BW148=$BT148+1,$BX148=$BU148),IF(OR(COUNTIF(#REF!,$B148)&gt;0,COUNTIF(#REF!,$B148)=0),"SKIP",IF(COUNTIFS(#REF!,$B148,#REF!,$AI148)&gt;0,"OK","ONBEKEND")),IF(AND($BW148=$BT148,$BX148=$BU148+1),IF(OR(COUNTIF(#REF!,$D148)&gt;0,COUNTIF(#REF!,$D148)=0),"SKIP",IF(COUNTIFS(#REF!,$D148,#REF!,$AI148)&gt;0,"OK","ONBEKEND")),"ONZEKER")))))</f>
        <v/>
      </c>
      <c r="AK148" t="str">
        <f t="shared" si="1118"/>
        <v/>
      </c>
      <c r="AL148" t="str">
        <f t="shared" si="1119"/>
        <v/>
      </c>
      <c r="AM148" t="str">
        <f>IF($AL148="","",IF(OR($BZ148="",$CA148=""),"ONZEKER",IF(OR($BW148="",$BX148=""),"ONZEKER",IF(AND($BZ148=$BW148+1,$CA148=$BX148),IF(OR(COUNTIF(#REF!,$B148)&gt;0,COUNTIF(#REF!,$B148)=0),"SKIP",IF(COUNTIFS(#REF!,$B148,#REF!,$AL148)&gt;0,"OK","ONBEKEND")),IF(AND($BZ148=$BW148,$CA148=$BX148+1),IF(OR(COUNTIF(#REF!,$D148)&gt;0,COUNTIF(#REF!,$D148)=0),"SKIP",IF(COUNTIFS(#REF!,$D148,#REF!,$AL148)&gt;0,"OK","ONBEKEND")),"ONZEKER")))))</f>
        <v/>
      </c>
      <c r="AN148" t="str">
        <f t="shared" si="1120"/>
        <v/>
      </c>
      <c r="AO148" t="str">
        <f t="shared" si="1121"/>
        <v/>
      </c>
      <c r="AP148" t="str">
        <f>IF($AO148="","",IF(OR($CC148="",$CD148=""),"ONZEKER",IF(OR($BZ148="",$CA148=""),"ONZEKER",IF(AND($CC148=$BZ148+1,$CD148=$CA148),IF(OR(COUNTIF(#REF!,$B148)&gt;0,COUNTIF(#REF!,$B148)=0),"SKIP",IF(COUNTIFS(#REF!,$B148,#REF!,$AO148)&gt;0,"OK","ONBEKEND")),IF(AND($CC148=$BZ148,$CD148=$CA148+1),IF(OR(COUNTIF(#REF!,$D148)&gt;0,COUNTIF(#REF!,$D148)=0),"SKIP",IF(COUNTIFS(#REF!,$D148,#REF!,$AO148)&gt;0,"OK","ONBEKEND")),"ONZEKER")))))</f>
        <v/>
      </c>
      <c r="AQ148" t="str">
        <f t="shared" si="1122"/>
        <v/>
      </c>
      <c r="AR148" t="str">
        <f t="shared" si="1123"/>
        <v/>
      </c>
      <c r="AS148" t="str">
        <f>IF($AR148="","",IF(OR($CF148="",$CG148=""),"ONZEKER",IF(OR($CC148="",$CD148=""),"ONZEKER",IF(AND($CF148=$CC148+1,$CG148=$CD148),IF(OR(COUNTIF(#REF!,$B148)&gt;0,COUNTIF(#REF!,$B148)=0),"SKIP",IF(COUNTIFS(#REF!,$B148,#REF!,$AR148)&gt;0,"OK","ONBEKEND")),IF(AND($CF148=$CC148,$CG148=$CD148+1),IF(OR(COUNTIF(#REF!,$D148)&gt;0,COUNTIF(#REF!,$D148)=0),"SKIP",IF(COUNTIFS(#REF!,$D148,#REF!,$AR148)&gt;0,"OK","ONBEKEND")),"ONZEKER")))))</f>
        <v/>
      </c>
      <c r="AT148" t="str">
        <f t="shared" si="1124"/>
        <v/>
      </c>
      <c r="AU148" t="str">
        <f t="shared" si="1125"/>
        <v/>
      </c>
      <c r="AV148" t="str">
        <f t="shared" si="1126"/>
        <v/>
      </c>
      <c r="AW148" t="str">
        <f t="shared" si="1127"/>
        <v/>
      </c>
      <c r="AX148" t="str">
        <f t="shared" si="1128"/>
        <v/>
      </c>
      <c r="AY148" t="str">
        <f t="shared" si="1129"/>
        <v/>
      </c>
      <c r="AZ148" t="str">
        <f t="shared" si="1130"/>
        <v/>
      </c>
      <c r="BA148" t="str">
        <f t="shared" si="1131"/>
        <v/>
      </c>
      <c r="BB148" t="str">
        <f t="shared" si="1132"/>
        <v/>
      </c>
      <c r="BC148" t="str">
        <f t="shared" si="1133"/>
        <v/>
      </c>
      <c r="BD148" t="str">
        <f t="shared" si="980"/>
        <v/>
      </c>
      <c r="BE148" t="str">
        <f t="shared" si="981"/>
        <v/>
      </c>
      <c r="BF148" t="str">
        <f t="shared" si="982"/>
        <v/>
      </c>
      <c r="BG148" t="str">
        <f t="shared" si="983"/>
        <v/>
      </c>
      <c r="BH148" t="str">
        <f t="shared" si="984"/>
        <v/>
      </c>
      <c r="BI148" t="str">
        <f t="shared" si="985"/>
        <v/>
      </c>
      <c r="BJ148" t="str">
        <f t="shared" si="986"/>
        <v/>
      </c>
      <c r="BK148" t="str">
        <f t="shared" si="987"/>
        <v/>
      </c>
      <c r="BL148" t="str">
        <f t="shared" si="988"/>
        <v/>
      </c>
      <c r="BM148" t="str">
        <f t="shared" si="989"/>
        <v/>
      </c>
      <c r="BN148" t="str">
        <f t="shared" si="990"/>
        <v/>
      </c>
      <c r="BO148" t="str">
        <f t="shared" si="991"/>
        <v/>
      </c>
      <c r="BP148" t="str">
        <f t="shared" si="992"/>
        <v/>
      </c>
      <c r="BQ148" t="str">
        <f t="shared" si="993"/>
        <v/>
      </c>
      <c r="BR148" t="str">
        <f t="shared" si="994"/>
        <v/>
      </c>
      <c r="BS148" t="str">
        <f t="shared" si="995"/>
        <v/>
      </c>
      <c r="BT148" t="str">
        <f t="shared" si="996"/>
        <v/>
      </c>
      <c r="BU148" t="str">
        <f t="shared" si="997"/>
        <v/>
      </c>
      <c r="BV148" t="str">
        <f t="shared" si="998"/>
        <v/>
      </c>
      <c r="BW148" t="str">
        <f t="shared" si="999"/>
        <v/>
      </c>
      <c r="BX148" t="str">
        <f t="shared" si="1000"/>
        <v/>
      </c>
      <c r="BY148" t="str">
        <f t="shared" si="1001"/>
        <v/>
      </c>
      <c r="BZ148" t="str">
        <f t="shared" si="1002"/>
        <v/>
      </c>
      <c r="CA148" t="str">
        <f t="shared" si="1003"/>
        <v/>
      </c>
      <c r="CB148" t="str">
        <f t="shared" si="1004"/>
        <v/>
      </c>
      <c r="CC148" t="str">
        <f t="shared" si="1005"/>
        <v/>
      </c>
      <c r="CD148" t="str">
        <f t="shared" si="1006"/>
        <v/>
      </c>
      <c r="CE148" t="str">
        <f t="shared" si="1007"/>
        <v/>
      </c>
      <c r="CF148" t="str">
        <f t="shared" si="1008"/>
        <v/>
      </c>
      <c r="CG148" t="str">
        <f t="shared" si="1009"/>
        <v/>
      </c>
      <c r="CH148" t="str">
        <f t="shared" si="1134"/>
        <v/>
      </c>
      <c r="CI148" t="str">
        <f t="shared" si="1135"/>
        <v/>
      </c>
      <c r="CJ148" t="str">
        <f>IF($CI148="","",IF(OR($DW148="",$DX148=""),"ONZEKER",IF(OR($CF148="",$CG148=""),"ONZEKER",IF(AND($DW148=$CF148+1,$DX148=$CG148),IF(OR(COUNTIF(#REF!,$B148)&gt;0,COUNTIF(#REF!,$B148)=0),"SKIP",IF(COUNTIFS(#REF!,$B148,#REF!,$CI148)&gt;0,"OK","ONBEKEND")),IF(AND($DW148=$CF148,$DX148=$CG148+1),IF(OR(COUNTIF(#REF!,$D148)&gt;0,COUNTIF(#REF!,$D148)=0),"SKIP",IF(COUNTIFS(#REF!,$D148,#REF!,$CI148)&gt;0,"OK","ONBEKEND")),"ONZEKER")))))</f>
        <v/>
      </c>
      <c r="CK148" t="str">
        <f t="shared" si="1136"/>
        <v/>
      </c>
      <c r="CL148" t="str">
        <f t="shared" si="1137"/>
        <v/>
      </c>
      <c r="CM148" t="str">
        <f>IF($CL148="","",IF(OR($DZ148="",$EA148=""),"ONZEKER",IF(OR($DW148="",$DX148=""),"ONZEKER",IF(AND($DZ148=$DW148+1,$EA148=$DX148),IF(OR(COUNTIF(#REF!,$B148)&gt;0,COUNTIF(#REF!,$B148)=0),"SKIP",IF(COUNTIFS(#REF!,$B148,#REF!,$CL148)&gt;0,"OK","ONBEKEND")),IF(AND($DZ148=$DW148,$EA148=$DX148+1),IF(OR(COUNTIF(#REF!,$D148)&gt;0,COUNTIF(#REF!,$D148)=0),"SKIP",IF(COUNTIFS(#REF!,$D148,#REF!,$CL148)&gt;0,"OK","ONBEKEND")),"ONZEKER")))))</f>
        <v/>
      </c>
      <c r="CN148" t="str">
        <f t="shared" si="1138"/>
        <v/>
      </c>
      <c r="CO148" t="str">
        <f t="shared" si="1139"/>
        <v/>
      </c>
      <c r="CP148" t="str">
        <f>IF($CO148="","",IF(OR($EC148="",$ED148=""),"ONZEKER",IF(OR($DZ148="",$EA148=""),"ONZEKER",IF(AND($EC148=$DZ148+1,$ED148=$EA148),IF(OR(COUNTIF(#REF!,$B148)&gt;0,COUNTIF(#REF!,$B148)=0),"SKIP",IF(COUNTIFS(#REF!,$B148,#REF!,$CO148)&gt;0,"OK","ONBEKEND")),IF(AND($EC148=$DZ148,$ED148=$EA148+1),IF(OR(COUNTIF(#REF!,$D148)&gt;0,COUNTIF(#REF!,$D148)=0),"SKIP",IF(COUNTIFS(#REF!,$D148,#REF!,$CO148)&gt;0,"OK","ONBEKEND")),"ONZEKER")))))</f>
        <v/>
      </c>
      <c r="CQ148" t="str">
        <f t="shared" si="1140"/>
        <v/>
      </c>
      <c r="CR148" t="str">
        <f t="shared" si="1141"/>
        <v/>
      </c>
      <c r="CS148" t="str">
        <f>IF($CR148="","",IF(OR($EF148="",$EG148=""),"ONZEKER",IF(OR($EC148="",$ED148=""),"ONZEKER",IF(AND($EF148=$EC148+1,$EG148=$ED148),IF(OR(COUNTIF(#REF!,$B148)&gt;0,COUNTIF(#REF!,$B148)=0),"SKIP",IF(COUNTIFS(#REF!,$B148,#REF!,$CR148)&gt;0,"OK","ONBEKEND")),IF(AND($EF148=$EC148,$EG148=$ED148+1),IF(OR(COUNTIF(#REF!,$D148)&gt;0,COUNTIF(#REF!,$D148)=0),"SKIP",IF(COUNTIFS(#REF!,$D148,#REF!,$CR148)&gt;0,"OK","ONBEKEND")),"ONZEKER")))))</f>
        <v/>
      </c>
      <c r="CT148" t="str">
        <f t="shared" si="1142"/>
        <v/>
      </c>
      <c r="CU148" t="str">
        <f t="shared" si="1143"/>
        <v/>
      </c>
      <c r="CV148" t="str">
        <f>IF($CU148="","",IF(OR($EI148="",$EJ148=""),"ONZEKER",IF(OR($EF148="",$EG148=""),"ONZEKER",IF(AND($EI148=$EF148+1,$EJ148=$EG148),IF(OR(COUNTIF(#REF!,$B148)&gt;0,COUNTIF(#REF!,$B148)=0),"SKIP",IF(COUNTIFS(#REF!,$B148,#REF!,$CU148)&gt;0,"OK","ONBEKEND")),IF(AND($EI148=$EF148,$EJ148=$EG148+1),IF(OR(COUNTIF(#REF!,$D148)&gt;0,COUNTIF(#REF!,$D148)=0),"SKIP",IF(COUNTIFS(#REF!,$D148,#REF!,$CU148)&gt;0,"OK","ONBEKEND")),"ONZEKER")))))</f>
        <v/>
      </c>
      <c r="CW148" t="str">
        <f t="shared" si="1144"/>
        <v/>
      </c>
      <c r="CX148" t="str">
        <f t="shared" si="1145"/>
        <v/>
      </c>
      <c r="CY148" t="str">
        <f>IF($CX148="","",IF(OR($EL148="",$EM148=""),"ONZEKER",IF(OR($EI148="",$EJ148=""),"ONZEKER",IF(AND($EL148=$EI148+1,$EM148=$EJ148),IF(OR(COUNTIF(#REF!,$B148)&gt;0,COUNTIF(#REF!,$B148)=0),"SKIP",IF(COUNTIFS(#REF!,$B148,#REF!,$CX148)&gt;0,"OK","ONBEKEND")),IF(AND($EL148=$EI148,$EM148=$EJ148+1),IF(OR(COUNTIF(#REF!,$D148)&gt;0,COUNTIF(#REF!,$D148)=0),"SKIP",IF(COUNTIFS(#REF!,$D148,#REF!,$CX148)&gt;0,"OK","ONBEKEND")),"ONZEKER")))))</f>
        <v/>
      </c>
      <c r="CZ148" t="str">
        <f t="shared" si="1146"/>
        <v/>
      </c>
      <c r="DA148" t="str">
        <f t="shared" si="1147"/>
        <v/>
      </c>
      <c r="DB148" t="str">
        <f>IF($DA148="","",IF(OR($EO148="",$EP148=""),"ONZEKER",IF(OR($EL148="",$EM148=""),"ONZEKER",IF(AND($EO148=$EL148+1,$EP148=$EM148),IF(OR(COUNTIF(#REF!,$B148)&gt;0,COUNTIF(#REF!,$B148)=0),"SKIP",IF(COUNTIFS(#REF!,$B148,#REF!,$DA148)&gt;0,"OK","ONBEKEND")),IF(AND($EO148=$EL148,$EP148=$EM148+1),IF(OR(COUNTIF(#REF!,$D148)&gt;0,COUNTIF(#REF!,$D148)=0),"SKIP",IF(COUNTIFS(#REF!,$D148,#REF!,$DA148)&gt;0,"OK","ONBEKEND")),"ONZEKER")))))</f>
        <v/>
      </c>
      <c r="DC148" t="str">
        <f t="shared" si="1148"/>
        <v/>
      </c>
      <c r="DD148" t="str">
        <f t="shared" si="1149"/>
        <v/>
      </c>
      <c r="DE148" t="str">
        <f>IF($DD148="","",IF(OR($ER148="",$ES148=""),"ONZEKER",IF(OR($EO148="",$EP148=""),"ONZEKER",IF(AND($ER148=$EO148+1,$ES148=$EP148),IF(OR(COUNTIF(#REF!,$B148)&gt;0,COUNTIF(#REF!,$B148)=0),"SKIP",IF(COUNTIFS(#REF!,$B148,#REF!,$DD148)&gt;0,"OK","ONBEKEND")),IF(AND($ER148=$EO148,$ES148=$EP148+1),IF(OR(COUNTIF(#REF!,$D148)&gt;0,COUNTIF(#REF!,$D148)=0),"SKIP",IF(COUNTIFS(#REF!,$D148,#REF!,$DD148)&gt;0,"OK","ONBEKEND")),"ONZEKER")))))</f>
        <v/>
      </c>
      <c r="DF148" t="str">
        <f t="shared" si="1150"/>
        <v/>
      </c>
      <c r="DG148" t="str">
        <f t="shared" si="1151"/>
        <v/>
      </c>
      <c r="DH148" t="str">
        <f>IF($DG148="","",IF(OR($EU148="",$EV148=""),"ONZEKER",IF(OR($ER148="",$ES148=""),"ONZEKER",IF(AND($EU148=$ER148+1,$EV148=$ES148),IF(OR(COUNTIF(#REF!,$B148)&gt;0,COUNTIF(#REF!,$B148)=0),"SKIP",IF(COUNTIFS(#REF!,$B148,#REF!,$DG148)&gt;0,"OK","ONBEKEND")),IF(AND($EU148=$ER148,$EV148=$ES148+1),IF(OR(COUNTIF(#REF!,$D148)&gt;0,COUNTIF(#REF!,$D148)=0),"SKIP",IF(COUNTIFS(#REF!,$D148,#REF!,$DG148)&gt;0,"OK","ONBEKEND")),"ONZEKER")))))</f>
        <v/>
      </c>
      <c r="DI148" t="str">
        <f t="shared" si="1152"/>
        <v/>
      </c>
      <c r="DJ148" t="str">
        <f t="shared" si="1153"/>
        <v/>
      </c>
      <c r="DK148" t="str">
        <f>IF($DJ148="","",IF(OR($EX148="",$EY148=""),"ONZEKER",IF(OR($EU148="",$EV148=""),"ONZEKER",IF(AND($EX148=$EU148+1,$EY148=$EV148),IF(OR(COUNTIF(#REF!,$B148)&gt;0,COUNTIF(#REF!,$B148)=0),"SKIP",IF(COUNTIFS(#REF!,$B148,#REF!,$DJ148)&gt;0,"OK","ONBEKEND")),IF(AND($EX148=$EU148,$EY148=$EV148+1),IF(OR(COUNTIF(#REF!,$D148)&gt;0,COUNTIF(#REF!,$D148)=0),"SKIP",IF(COUNTIFS(#REF!,$D148,#REF!,$DJ148)&gt;0,"OK","ONBEKEND")),"ONZEKER")))))</f>
        <v/>
      </c>
      <c r="DL148" t="str">
        <f t="shared" si="1154"/>
        <v/>
      </c>
      <c r="DM148" t="str">
        <f t="shared" si="1155"/>
        <v/>
      </c>
      <c r="DN148" t="str">
        <f t="shared" si="1156"/>
        <v/>
      </c>
      <c r="DO148" t="str">
        <f t="shared" si="1157"/>
        <v/>
      </c>
      <c r="DP148" t="str">
        <f t="shared" si="1158"/>
        <v/>
      </c>
      <c r="DQ148" t="str">
        <f t="shared" si="1159"/>
        <v/>
      </c>
      <c r="DR148" t="str">
        <f t="shared" si="1160"/>
        <v/>
      </c>
      <c r="DS148" t="str">
        <f t="shared" si="1161"/>
        <v/>
      </c>
      <c r="DT148" t="str">
        <f t="shared" si="1162"/>
        <v/>
      </c>
      <c r="DU148" t="str">
        <f t="shared" si="1163"/>
        <v/>
      </c>
      <c r="DV148" t="str">
        <f t="shared" si="1164"/>
        <v/>
      </c>
      <c r="DW148" t="str">
        <f t="shared" si="1165"/>
        <v/>
      </c>
      <c r="DX148" t="str">
        <f t="shared" si="1166"/>
        <v/>
      </c>
      <c r="DY148" t="str">
        <f t="shared" si="1167"/>
        <v/>
      </c>
      <c r="DZ148" t="str">
        <f t="shared" si="1168"/>
        <v/>
      </c>
      <c r="EA148" t="str">
        <f t="shared" si="1169"/>
        <v/>
      </c>
      <c r="EB148" t="str">
        <f t="shared" si="1170"/>
        <v/>
      </c>
      <c r="EC148" t="str">
        <f t="shared" si="1171"/>
        <v/>
      </c>
      <c r="ED148" t="str">
        <f t="shared" si="1172"/>
        <v/>
      </c>
      <c r="EE148" t="str">
        <f t="shared" si="1173"/>
        <v/>
      </c>
      <c r="EF148" t="str">
        <f t="shared" si="1174"/>
        <v/>
      </c>
      <c r="EG148" t="str">
        <f t="shared" si="1175"/>
        <v/>
      </c>
      <c r="EH148" t="str">
        <f t="shared" si="1176"/>
        <v/>
      </c>
      <c r="EI148" t="str">
        <f t="shared" si="1177"/>
        <v/>
      </c>
      <c r="EJ148" t="str">
        <f t="shared" si="1178"/>
        <v/>
      </c>
      <c r="EK148" t="str">
        <f t="shared" si="1179"/>
        <v/>
      </c>
      <c r="EL148" t="str">
        <f t="shared" si="1180"/>
        <v/>
      </c>
      <c r="EM148" t="str">
        <f t="shared" si="1181"/>
        <v/>
      </c>
      <c r="EN148" t="str">
        <f t="shared" si="1182"/>
        <v/>
      </c>
      <c r="EO148" t="str">
        <f t="shared" si="1183"/>
        <v/>
      </c>
      <c r="EP148" t="str">
        <f t="shared" si="1184"/>
        <v/>
      </c>
      <c r="EQ148" t="str">
        <f t="shared" si="1185"/>
        <v/>
      </c>
      <c r="ER148" t="str">
        <f t="shared" si="1186"/>
        <v/>
      </c>
      <c r="ES148" t="str">
        <f t="shared" si="1187"/>
        <v/>
      </c>
      <c r="ET148" t="str">
        <f t="shared" si="1188"/>
        <v/>
      </c>
      <c r="EU148" t="str">
        <f t="shared" si="1189"/>
        <v/>
      </c>
      <c r="EV148" t="str">
        <f t="shared" si="1190"/>
        <v/>
      </c>
      <c r="EW148" t="str">
        <f t="shared" si="1191"/>
        <v/>
      </c>
      <c r="EX148" t="str">
        <f t="shared" si="1192"/>
        <v/>
      </c>
      <c r="EY148" t="str">
        <f t="shared" si="1193"/>
        <v/>
      </c>
    </row>
    <row r="149" spans="1:155" ht="13.9" customHeight="1" x14ac:dyDescent="0.25">
      <c r="A149" s="7"/>
      <c r="B149" s="17"/>
      <c r="C149" s="8"/>
      <c r="D149" s="17"/>
      <c r="E149" s="8"/>
      <c r="F149" s="18">
        <v>0</v>
      </c>
      <c r="G149" s="7" t="s">
        <v>147</v>
      </c>
      <c r="H149" s="18">
        <v>0</v>
      </c>
      <c r="I149" s="19">
        <v>0</v>
      </c>
      <c r="J149" s="7" t="s">
        <v>147</v>
      </c>
      <c r="K149" s="19">
        <v>0</v>
      </c>
      <c r="L149" s="9"/>
      <c r="M149" s="3" t="str">
        <f>IF($L149="","",IF($L149="DOELPUNTENMAKERS","",IF(AND(COUNTIF(#REF!,$B149)=0,COUNTIF(#REF!,$D149)=0),"OK",IF($O149&gt;20,"LET OP: meer dan 20 items (controle onvolledig)",IF((COUNTIF($R149:$AS149,"ONZEKER")+COUNTIF($CJ149:$DK149,"ONZEKER"))&gt;0,"LET OP: scoreverloop onduidelijk (controle beperkt)",IF((IF($AT149&lt;&gt;"",$AT149&amp;", ","")&amp;IF($AU149&lt;&gt;"",$AU149&amp;", ","")&amp;IF($AV149&lt;&gt;"",$AV149&amp;", ","")&amp;IF($AW149&lt;&gt;"",$AW149&amp;", ","")&amp;IF($AX149&lt;&gt;"",$AX149&amp;", ","")&amp;IF($AY149&lt;&gt;"",$AY149&amp;", ","")&amp;IF($AZ149&lt;&gt;"",$AZ149&amp;", ","")&amp;IF($BA149&lt;&gt;"",$BA149&amp;", ","")&amp;IF($BB149&lt;&gt;"",$BB149&amp;", ","")&amp;IF($BC149&lt;&gt;"",$BC149&amp;", ","")&amp;IF($DL149&lt;&gt;"",$DL149&amp;", ","")&amp;IF($DM149&lt;&gt;"",$DM149&amp;", ","")&amp;IF($DN149&lt;&gt;"",$DN149&amp;", ","")&amp;IF($DO149&lt;&gt;"",$DO149&amp;", ","")&amp;IF($DP149&lt;&gt;"",$DP149&amp;", ","")&amp;IF($DQ149&lt;&gt;"",$DQ149&amp;", ","")&amp;IF($DR149&lt;&gt;"",$DR149&amp;", ","")&amp;IF($DS149&lt;&gt;"",$DS149&amp;", ","")&amp;IF($DT149&lt;&gt;"",$DT149&amp;", ","")&amp;IF($DU149&lt;&gt;"",$DU149&amp;", ",""))="","OK","Onbekend: "&amp;LEFT((IF($AT149&lt;&gt;"",$AT149&amp;", ","")&amp;IF($AU149&lt;&gt;"",$AU149&amp;", ","")&amp;IF($AV149&lt;&gt;"",$AV149&amp;", ","")&amp;IF($AW149&lt;&gt;"",$AW149&amp;", ","")&amp;IF($AX149&lt;&gt;"",$AX149&amp;", ","")&amp;IF($AY149&lt;&gt;"",$AY149&amp;", ","")&amp;IF($AZ149&lt;&gt;"",$AZ149&amp;", ","")&amp;IF($BA149&lt;&gt;"",$BA149&amp;", ","")&amp;IF($BB149&lt;&gt;"",$BB149&amp;", ","")&amp;IF($BC149&lt;&gt;"",$BC149&amp;", ","")&amp;IF($DL149&lt;&gt;"",$DL149&amp;", ","")&amp;IF($DM149&lt;&gt;"",$DM149&amp;", ","")&amp;IF($DN149&lt;&gt;"",$DN149&amp;", ","")&amp;IF($DO149&lt;&gt;"",$DO149&amp;", ","")&amp;IF($DP149&lt;&gt;"",$DP149&amp;", ","")&amp;IF($DQ149&lt;&gt;"",$DQ149&amp;", ","")&amp;IF($DR149&lt;&gt;"",$DR149&amp;", ","")&amp;IF($DS149&lt;&gt;"",$DS149&amp;", ","")&amp;IF($DT149&lt;&gt;"",$DT149&amp;", ","")&amp;IF($DU149&lt;&gt;"",$DU149&amp;", ","")),LEN((IF($AT149&lt;&gt;"",$AT149&amp;", ","")&amp;IF($AU149&lt;&gt;"",$AU149&amp;", ","")&amp;IF($AV149&lt;&gt;"",$AV149&amp;", ","")&amp;IF($AW149&lt;&gt;"",$AW149&amp;", ","")&amp;IF($AX149&lt;&gt;"",$AX149&amp;", ","")&amp;IF($AY149&lt;&gt;"",$AY149&amp;", ","")&amp;IF($AZ149&lt;&gt;"",$AZ149&amp;", ","")&amp;IF($BA149&lt;&gt;"",$BA149&amp;", ","")&amp;IF($BB149&lt;&gt;"",$BB149&amp;", ","")&amp;IF($BC149&lt;&gt;"",$BC149&amp;", ","")&amp;IF($DL149&lt;&gt;"",$DL149&amp;", ","")&amp;IF($DM149&lt;&gt;"",$DM149&amp;", ","")&amp;IF($DN149&lt;&gt;"",$DN149&amp;", ","")&amp;IF($DO149&lt;&gt;"",$DO149&amp;", ","")&amp;IF($DP149&lt;&gt;"",$DP149&amp;", ","")&amp;IF($DQ149&lt;&gt;"",$DQ149&amp;", ","")&amp;IF($DR149&lt;&gt;"",$DR149&amp;", ","")&amp;IF($DS149&lt;&gt;"",$DS149&amp;", ","")&amp;IF($DT149&lt;&gt;"",$DT149&amp;", ","")&amp;IF($DU149&lt;&gt;"",$DU149&amp;", ","")))-2)))))))</f>
        <v/>
      </c>
      <c r="N149" t="str">
        <f t="shared" si="1102"/>
        <v/>
      </c>
      <c r="O149" t="str">
        <f t="shared" si="1103"/>
        <v/>
      </c>
      <c r="P149" t="str">
        <f t="shared" si="1104"/>
        <v/>
      </c>
      <c r="Q149" t="str">
        <f t="shared" si="1105"/>
        <v/>
      </c>
      <c r="R149" t="str">
        <f>IF($Q149="","",IF(OR($BE149="",$BF149=""),"ONZEKER",IF(AND($BE149=0+1,$BF149=0),IF(OR(COUNTIF(#REF!,$B149)&gt;0,COUNTIF(#REF!,$B149)=0),"SKIP",IF(COUNTIFS(#REF!,$B149,#REF!,$Q149)&gt;0,"OK","ONBEKEND")),IF(AND($BE149=0,$BF149=0+1),IF(OR(COUNTIF(#REF!,$D149)&gt;0,COUNTIF(#REF!,$D149)=0),"SKIP",IF(COUNTIFS(#REF!,$D149,#REF!,$Q149)&gt;0,"OK","ONBEKEND")),"ONZEKER"))))</f>
        <v/>
      </c>
      <c r="S149" t="str">
        <f t="shared" si="1106"/>
        <v/>
      </c>
      <c r="T149" t="str">
        <f t="shared" si="1107"/>
        <v/>
      </c>
      <c r="U149" t="str">
        <f>IF($T149="","",IF(OR($BH149="",$BI149=""),"ONZEKER",IF(OR($BE149="",$BF149=""),"ONZEKER",IF(AND($BH149=$BE149+1,$BI149=$BF149),IF(OR(COUNTIF(#REF!,$B149)&gt;0,COUNTIF(#REF!,$B149)=0),"SKIP",IF(COUNTIFS(#REF!,$B149,#REF!,$T149)&gt;0,"OK","ONBEKEND")),IF(AND($BH149=$BE149,$BI149=$BF149+1),IF(OR(COUNTIF(#REF!,$D149)&gt;0,COUNTIF(#REF!,$D149)=0),"SKIP",IF(COUNTIFS(#REF!,$D149,#REF!,$T149)&gt;0,"OK","ONBEKEND")),"ONZEKER")))))</f>
        <v/>
      </c>
      <c r="V149" t="str">
        <f t="shared" si="1108"/>
        <v/>
      </c>
      <c r="W149" t="str">
        <f t="shared" si="1109"/>
        <v/>
      </c>
      <c r="X149" t="str">
        <f>IF($W149="","",IF(OR($BK149="",$BL149=""),"ONZEKER",IF(OR($BH149="",$BI149=""),"ONZEKER",IF(AND($BK149=$BH149+1,$BL149=$BI149),IF(OR(COUNTIF(#REF!,$B149)&gt;0,COUNTIF(#REF!,$B149)=0),"SKIP",IF(COUNTIFS(#REF!,$B149,#REF!,$W149)&gt;0,"OK","ONBEKEND")),IF(AND($BK149=$BH149,$BL149=$BI149+1),IF(OR(COUNTIF(#REF!,$D149)&gt;0,COUNTIF(#REF!,$D149)=0),"SKIP",IF(COUNTIFS(#REF!,$D149,#REF!,$W149)&gt;0,"OK","ONBEKEND")),"ONZEKER")))))</f>
        <v/>
      </c>
      <c r="Y149" t="str">
        <f t="shared" si="1110"/>
        <v/>
      </c>
      <c r="Z149" t="str">
        <f t="shared" si="1111"/>
        <v/>
      </c>
      <c r="AA149" t="str">
        <f>IF($Z149="","",IF(OR($BN149="",$BO149=""),"ONZEKER",IF(OR($BK149="",$BL149=""),"ONZEKER",IF(AND($BN149=$BK149+1,$BO149=$BL149),IF(OR(COUNTIF(#REF!,$B149)&gt;0,COUNTIF(#REF!,$B149)=0),"SKIP",IF(COUNTIFS(#REF!,$B149,#REF!,$Z149)&gt;0,"OK","ONBEKEND")),IF(AND($BN149=$BK149,$BO149=$BL149+1),IF(OR(COUNTIF(#REF!,$D149)&gt;0,COUNTIF(#REF!,$D149)=0),"SKIP",IF(COUNTIFS(#REF!,$D149,#REF!,$Z149)&gt;0,"OK","ONBEKEND")),"ONZEKER")))))</f>
        <v/>
      </c>
      <c r="AB149" t="str">
        <f t="shared" si="1112"/>
        <v/>
      </c>
      <c r="AC149" t="str">
        <f t="shared" si="1113"/>
        <v/>
      </c>
      <c r="AD149" t="str">
        <f>IF($AC149="","",IF(OR($BQ149="",$BR149=""),"ONZEKER",IF(OR($BN149="",$BO149=""),"ONZEKER",IF(AND($BQ149=$BN149+1,$BR149=$BO149),IF(OR(COUNTIF(#REF!,$B149)&gt;0,COUNTIF(#REF!,$B149)=0),"SKIP",IF(COUNTIFS(#REF!,$B149,#REF!,$AC149)&gt;0,"OK","ONBEKEND")),IF(AND($BQ149=$BN149,$BR149=$BO149+1),IF(OR(COUNTIF(#REF!,$D149)&gt;0,COUNTIF(#REF!,$D149)=0),"SKIP",IF(COUNTIFS(#REF!,$D149,#REF!,$AC149)&gt;0,"OK","ONBEKEND")),"ONZEKER")))))</f>
        <v/>
      </c>
      <c r="AE149" t="str">
        <f t="shared" si="1114"/>
        <v/>
      </c>
      <c r="AF149" t="str">
        <f t="shared" si="1115"/>
        <v/>
      </c>
      <c r="AG149" t="str">
        <f>IF($AF149="","",IF(OR($BT149="",$BU149=""),"ONZEKER",IF(OR($BQ149="",$BR149=""),"ONZEKER",IF(AND($BT149=$BQ149+1,$BU149=$BR149),IF(OR(COUNTIF(#REF!,$B149)&gt;0,COUNTIF(#REF!,$B149)=0),"SKIP",IF(COUNTIFS(#REF!,$B149,#REF!,$AF149)&gt;0,"OK","ONBEKEND")),IF(AND($BT149=$BQ149,$BU149=$BR149+1),IF(OR(COUNTIF(#REF!,$D149)&gt;0,COUNTIF(#REF!,$D149)=0),"SKIP",IF(COUNTIFS(#REF!,$D149,#REF!,$AF149)&gt;0,"OK","ONBEKEND")),"ONZEKER")))))</f>
        <v/>
      </c>
      <c r="AH149" t="str">
        <f t="shared" si="1116"/>
        <v/>
      </c>
      <c r="AI149" t="str">
        <f t="shared" si="1117"/>
        <v/>
      </c>
      <c r="AJ149" t="str">
        <f>IF($AI149="","",IF(OR($BW149="",$BX149=""),"ONZEKER",IF(OR($BT149="",$BU149=""),"ONZEKER",IF(AND($BW149=$BT149+1,$BX149=$BU149),IF(OR(COUNTIF(#REF!,$B149)&gt;0,COUNTIF(#REF!,$B149)=0),"SKIP",IF(COUNTIFS(#REF!,$B149,#REF!,$AI149)&gt;0,"OK","ONBEKEND")),IF(AND($BW149=$BT149,$BX149=$BU149+1),IF(OR(COUNTIF(#REF!,$D149)&gt;0,COUNTIF(#REF!,$D149)=0),"SKIP",IF(COUNTIFS(#REF!,$D149,#REF!,$AI149)&gt;0,"OK","ONBEKEND")),"ONZEKER")))))</f>
        <v/>
      </c>
      <c r="AK149" t="str">
        <f t="shared" si="1118"/>
        <v/>
      </c>
      <c r="AL149" t="str">
        <f t="shared" si="1119"/>
        <v/>
      </c>
      <c r="AM149" t="str">
        <f>IF($AL149="","",IF(OR($BZ149="",$CA149=""),"ONZEKER",IF(OR($BW149="",$BX149=""),"ONZEKER",IF(AND($BZ149=$BW149+1,$CA149=$BX149),IF(OR(COUNTIF(#REF!,$B149)&gt;0,COUNTIF(#REF!,$B149)=0),"SKIP",IF(COUNTIFS(#REF!,$B149,#REF!,$AL149)&gt;0,"OK","ONBEKEND")),IF(AND($BZ149=$BW149,$CA149=$BX149+1),IF(OR(COUNTIF(#REF!,$D149)&gt;0,COUNTIF(#REF!,$D149)=0),"SKIP",IF(COUNTIFS(#REF!,$D149,#REF!,$AL149)&gt;0,"OK","ONBEKEND")),"ONZEKER")))))</f>
        <v/>
      </c>
      <c r="AN149" t="str">
        <f t="shared" si="1120"/>
        <v/>
      </c>
      <c r="AO149" t="str">
        <f t="shared" si="1121"/>
        <v/>
      </c>
      <c r="AP149" t="str">
        <f>IF($AO149="","",IF(OR($CC149="",$CD149=""),"ONZEKER",IF(OR($BZ149="",$CA149=""),"ONZEKER",IF(AND($CC149=$BZ149+1,$CD149=$CA149),IF(OR(COUNTIF(#REF!,$B149)&gt;0,COUNTIF(#REF!,$B149)=0),"SKIP",IF(COUNTIFS(#REF!,$B149,#REF!,$AO149)&gt;0,"OK","ONBEKEND")),IF(AND($CC149=$BZ149,$CD149=$CA149+1),IF(OR(COUNTIF(#REF!,$D149)&gt;0,COUNTIF(#REF!,$D149)=0),"SKIP",IF(COUNTIFS(#REF!,$D149,#REF!,$AO149)&gt;0,"OK","ONBEKEND")),"ONZEKER")))))</f>
        <v/>
      </c>
      <c r="AQ149" t="str">
        <f t="shared" si="1122"/>
        <v/>
      </c>
      <c r="AR149" t="str">
        <f t="shared" si="1123"/>
        <v/>
      </c>
      <c r="AS149" t="str">
        <f>IF($AR149="","",IF(OR($CF149="",$CG149=""),"ONZEKER",IF(OR($CC149="",$CD149=""),"ONZEKER",IF(AND($CF149=$CC149+1,$CG149=$CD149),IF(OR(COUNTIF(#REF!,$B149)&gt;0,COUNTIF(#REF!,$B149)=0),"SKIP",IF(COUNTIFS(#REF!,$B149,#REF!,$AR149)&gt;0,"OK","ONBEKEND")),IF(AND($CF149=$CC149,$CG149=$CD149+1),IF(OR(COUNTIF(#REF!,$D149)&gt;0,COUNTIF(#REF!,$D149)=0),"SKIP",IF(COUNTIFS(#REF!,$D149,#REF!,$AR149)&gt;0,"OK","ONBEKEND")),"ONZEKER")))))</f>
        <v/>
      </c>
      <c r="AT149" t="str">
        <f t="shared" si="1124"/>
        <v/>
      </c>
      <c r="AU149" t="str">
        <f t="shared" si="1125"/>
        <v/>
      </c>
      <c r="AV149" t="str">
        <f t="shared" si="1126"/>
        <v/>
      </c>
      <c r="AW149" t="str">
        <f t="shared" si="1127"/>
        <v/>
      </c>
      <c r="AX149" t="str">
        <f t="shared" si="1128"/>
        <v/>
      </c>
      <c r="AY149" t="str">
        <f t="shared" si="1129"/>
        <v/>
      </c>
      <c r="AZ149" t="str">
        <f t="shared" si="1130"/>
        <v/>
      </c>
      <c r="BA149" t="str">
        <f t="shared" si="1131"/>
        <v/>
      </c>
      <c r="BB149" t="str">
        <f t="shared" si="1132"/>
        <v/>
      </c>
      <c r="BC149" t="str">
        <f t="shared" si="1133"/>
        <v/>
      </c>
      <c r="BD149" t="str">
        <f t="shared" si="980"/>
        <v/>
      </c>
      <c r="BE149" t="str">
        <f t="shared" si="981"/>
        <v/>
      </c>
      <c r="BF149" t="str">
        <f t="shared" si="982"/>
        <v/>
      </c>
      <c r="BG149" t="str">
        <f t="shared" si="983"/>
        <v/>
      </c>
      <c r="BH149" t="str">
        <f t="shared" si="984"/>
        <v/>
      </c>
      <c r="BI149" t="str">
        <f t="shared" si="985"/>
        <v/>
      </c>
      <c r="BJ149" t="str">
        <f t="shared" si="986"/>
        <v/>
      </c>
      <c r="BK149" t="str">
        <f t="shared" si="987"/>
        <v/>
      </c>
      <c r="BL149" t="str">
        <f t="shared" si="988"/>
        <v/>
      </c>
      <c r="BM149" t="str">
        <f t="shared" si="989"/>
        <v/>
      </c>
      <c r="BN149" t="str">
        <f t="shared" si="990"/>
        <v/>
      </c>
      <c r="BO149" t="str">
        <f t="shared" si="991"/>
        <v/>
      </c>
      <c r="BP149" t="str">
        <f t="shared" si="992"/>
        <v/>
      </c>
      <c r="BQ149" t="str">
        <f t="shared" si="993"/>
        <v/>
      </c>
      <c r="BR149" t="str">
        <f t="shared" si="994"/>
        <v/>
      </c>
      <c r="BS149" t="str">
        <f t="shared" si="995"/>
        <v/>
      </c>
      <c r="BT149" t="str">
        <f t="shared" si="996"/>
        <v/>
      </c>
      <c r="BU149" t="str">
        <f t="shared" si="997"/>
        <v/>
      </c>
      <c r="BV149" t="str">
        <f t="shared" si="998"/>
        <v/>
      </c>
      <c r="BW149" t="str">
        <f t="shared" si="999"/>
        <v/>
      </c>
      <c r="BX149" t="str">
        <f t="shared" si="1000"/>
        <v/>
      </c>
      <c r="BY149" t="str">
        <f t="shared" si="1001"/>
        <v/>
      </c>
      <c r="BZ149" t="str">
        <f t="shared" si="1002"/>
        <v/>
      </c>
      <c r="CA149" t="str">
        <f t="shared" si="1003"/>
        <v/>
      </c>
      <c r="CB149" t="str">
        <f t="shared" si="1004"/>
        <v/>
      </c>
      <c r="CC149" t="str">
        <f t="shared" si="1005"/>
        <v/>
      </c>
      <c r="CD149" t="str">
        <f t="shared" si="1006"/>
        <v/>
      </c>
      <c r="CE149" t="str">
        <f t="shared" si="1007"/>
        <v/>
      </c>
      <c r="CF149" t="str">
        <f t="shared" si="1008"/>
        <v/>
      </c>
      <c r="CG149" t="str">
        <f t="shared" si="1009"/>
        <v/>
      </c>
      <c r="CH149" t="str">
        <f t="shared" si="1134"/>
        <v/>
      </c>
      <c r="CI149" t="str">
        <f t="shared" si="1135"/>
        <v/>
      </c>
      <c r="CJ149" t="str">
        <f>IF($CI149="","",IF(OR($DW149="",$DX149=""),"ONZEKER",IF(OR($CF149="",$CG149=""),"ONZEKER",IF(AND($DW149=$CF149+1,$DX149=$CG149),IF(OR(COUNTIF(#REF!,$B149)&gt;0,COUNTIF(#REF!,$B149)=0),"SKIP",IF(COUNTIFS(#REF!,$B149,#REF!,$CI149)&gt;0,"OK","ONBEKEND")),IF(AND($DW149=$CF149,$DX149=$CG149+1),IF(OR(COUNTIF(#REF!,$D149)&gt;0,COUNTIF(#REF!,$D149)=0),"SKIP",IF(COUNTIFS(#REF!,$D149,#REF!,$CI149)&gt;0,"OK","ONBEKEND")),"ONZEKER")))))</f>
        <v/>
      </c>
      <c r="CK149" t="str">
        <f t="shared" si="1136"/>
        <v/>
      </c>
      <c r="CL149" t="str">
        <f t="shared" si="1137"/>
        <v/>
      </c>
      <c r="CM149" t="str">
        <f>IF($CL149="","",IF(OR($DZ149="",$EA149=""),"ONZEKER",IF(OR($DW149="",$DX149=""),"ONZEKER",IF(AND($DZ149=$DW149+1,$EA149=$DX149),IF(OR(COUNTIF(#REF!,$B149)&gt;0,COUNTIF(#REF!,$B149)=0),"SKIP",IF(COUNTIFS(#REF!,$B149,#REF!,$CL149)&gt;0,"OK","ONBEKEND")),IF(AND($DZ149=$DW149,$EA149=$DX149+1),IF(OR(COUNTIF(#REF!,$D149)&gt;0,COUNTIF(#REF!,$D149)=0),"SKIP",IF(COUNTIFS(#REF!,$D149,#REF!,$CL149)&gt;0,"OK","ONBEKEND")),"ONZEKER")))))</f>
        <v/>
      </c>
      <c r="CN149" t="str">
        <f t="shared" si="1138"/>
        <v/>
      </c>
      <c r="CO149" t="str">
        <f t="shared" si="1139"/>
        <v/>
      </c>
      <c r="CP149" t="str">
        <f>IF($CO149="","",IF(OR($EC149="",$ED149=""),"ONZEKER",IF(OR($DZ149="",$EA149=""),"ONZEKER",IF(AND($EC149=$DZ149+1,$ED149=$EA149),IF(OR(COUNTIF(#REF!,$B149)&gt;0,COUNTIF(#REF!,$B149)=0),"SKIP",IF(COUNTIFS(#REF!,$B149,#REF!,$CO149)&gt;0,"OK","ONBEKEND")),IF(AND($EC149=$DZ149,$ED149=$EA149+1),IF(OR(COUNTIF(#REF!,$D149)&gt;0,COUNTIF(#REF!,$D149)=0),"SKIP",IF(COUNTIFS(#REF!,$D149,#REF!,$CO149)&gt;0,"OK","ONBEKEND")),"ONZEKER")))))</f>
        <v/>
      </c>
      <c r="CQ149" t="str">
        <f t="shared" si="1140"/>
        <v/>
      </c>
      <c r="CR149" t="str">
        <f t="shared" si="1141"/>
        <v/>
      </c>
      <c r="CS149" t="str">
        <f>IF($CR149="","",IF(OR($EF149="",$EG149=""),"ONZEKER",IF(OR($EC149="",$ED149=""),"ONZEKER",IF(AND($EF149=$EC149+1,$EG149=$ED149),IF(OR(COUNTIF(#REF!,$B149)&gt;0,COUNTIF(#REF!,$B149)=0),"SKIP",IF(COUNTIFS(#REF!,$B149,#REF!,$CR149)&gt;0,"OK","ONBEKEND")),IF(AND($EF149=$EC149,$EG149=$ED149+1),IF(OR(COUNTIF(#REF!,$D149)&gt;0,COUNTIF(#REF!,$D149)=0),"SKIP",IF(COUNTIFS(#REF!,$D149,#REF!,$CR149)&gt;0,"OK","ONBEKEND")),"ONZEKER")))))</f>
        <v/>
      </c>
      <c r="CT149" t="str">
        <f t="shared" si="1142"/>
        <v/>
      </c>
      <c r="CU149" t="str">
        <f t="shared" si="1143"/>
        <v/>
      </c>
      <c r="CV149" t="str">
        <f>IF($CU149="","",IF(OR($EI149="",$EJ149=""),"ONZEKER",IF(OR($EF149="",$EG149=""),"ONZEKER",IF(AND($EI149=$EF149+1,$EJ149=$EG149),IF(OR(COUNTIF(#REF!,$B149)&gt;0,COUNTIF(#REF!,$B149)=0),"SKIP",IF(COUNTIFS(#REF!,$B149,#REF!,$CU149)&gt;0,"OK","ONBEKEND")),IF(AND($EI149=$EF149,$EJ149=$EG149+1),IF(OR(COUNTIF(#REF!,$D149)&gt;0,COUNTIF(#REF!,$D149)=0),"SKIP",IF(COUNTIFS(#REF!,$D149,#REF!,$CU149)&gt;0,"OK","ONBEKEND")),"ONZEKER")))))</f>
        <v/>
      </c>
      <c r="CW149" t="str">
        <f t="shared" si="1144"/>
        <v/>
      </c>
      <c r="CX149" t="str">
        <f t="shared" si="1145"/>
        <v/>
      </c>
      <c r="CY149" t="str">
        <f>IF($CX149="","",IF(OR($EL149="",$EM149=""),"ONZEKER",IF(OR($EI149="",$EJ149=""),"ONZEKER",IF(AND($EL149=$EI149+1,$EM149=$EJ149),IF(OR(COUNTIF(#REF!,$B149)&gt;0,COUNTIF(#REF!,$B149)=0),"SKIP",IF(COUNTIFS(#REF!,$B149,#REF!,$CX149)&gt;0,"OK","ONBEKEND")),IF(AND($EL149=$EI149,$EM149=$EJ149+1),IF(OR(COUNTIF(#REF!,$D149)&gt;0,COUNTIF(#REF!,$D149)=0),"SKIP",IF(COUNTIFS(#REF!,$D149,#REF!,$CX149)&gt;0,"OK","ONBEKEND")),"ONZEKER")))))</f>
        <v/>
      </c>
      <c r="CZ149" t="str">
        <f t="shared" si="1146"/>
        <v/>
      </c>
      <c r="DA149" t="str">
        <f t="shared" si="1147"/>
        <v/>
      </c>
      <c r="DB149" t="str">
        <f>IF($DA149="","",IF(OR($EO149="",$EP149=""),"ONZEKER",IF(OR($EL149="",$EM149=""),"ONZEKER",IF(AND($EO149=$EL149+1,$EP149=$EM149),IF(OR(COUNTIF(#REF!,$B149)&gt;0,COUNTIF(#REF!,$B149)=0),"SKIP",IF(COUNTIFS(#REF!,$B149,#REF!,$DA149)&gt;0,"OK","ONBEKEND")),IF(AND($EO149=$EL149,$EP149=$EM149+1),IF(OR(COUNTIF(#REF!,$D149)&gt;0,COUNTIF(#REF!,$D149)=0),"SKIP",IF(COUNTIFS(#REF!,$D149,#REF!,$DA149)&gt;0,"OK","ONBEKEND")),"ONZEKER")))))</f>
        <v/>
      </c>
      <c r="DC149" t="str">
        <f t="shared" si="1148"/>
        <v/>
      </c>
      <c r="DD149" t="str">
        <f t="shared" si="1149"/>
        <v/>
      </c>
      <c r="DE149" t="str">
        <f>IF($DD149="","",IF(OR($ER149="",$ES149=""),"ONZEKER",IF(OR($EO149="",$EP149=""),"ONZEKER",IF(AND($ER149=$EO149+1,$ES149=$EP149),IF(OR(COUNTIF(#REF!,$B149)&gt;0,COUNTIF(#REF!,$B149)=0),"SKIP",IF(COUNTIFS(#REF!,$B149,#REF!,$DD149)&gt;0,"OK","ONBEKEND")),IF(AND($ER149=$EO149,$ES149=$EP149+1),IF(OR(COUNTIF(#REF!,$D149)&gt;0,COUNTIF(#REF!,$D149)=0),"SKIP",IF(COUNTIFS(#REF!,$D149,#REF!,$DD149)&gt;0,"OK","ONBEKEND")),"ONZEKER")))))</f>
        <v/>
      </c>
      <c r="DF149" t="str">
        <f t="shared" si="1150"/>
        <v/>
      </c>
      <c r="DG149" t="str">
        <f t="shared" si="1151"/>
        <v/>
      </c>
      <c r="DH149" t="str">
        <f>IF($DG149="","",IF(OR($EU149="",$EV149=""),"ONZEKER",IF(OR($ER149="",$ES149=""),"ONZEKER",IF(AND($EU149=$ER149+1,$EV149=$ES149),IF(OR(COUNTIF(#REF!,$B149)&gt;0,COUNTIF(#REF!,$B149)=0),"SKIP",IF(COUNTIFS(#REF!,$B149,#REF!,$DG149)&gt;0,"OK","ONBEKEND")),IF(AND($EU149=$ER149,$EV149=$ES149+1),IF(OR(COUNTIF(#REF!,$D149)&gt;0,COUNTIF(#REF!,$D149)=0),"SKIP",IF(COUNTIFS(#REF!,$D149,#REF!,$DG149)&gt;0,"OK","ONBEKEND")),"ONZEKER")))))</f>
        <v/>
      </c>
      <c r="DI149" t="str">
        <f t="shared" si="1152"/>
        <v/>
      </c>
      <c r="DJ149" t="str">
        <f t="shared" si="1153"/>
        <v/>
      </c>
      <c r="DK149" t="str">
        <f>IF($DJ149="","",IF(OR($EX149="",$EY149=""),"ONZEKER",IF(OR($EU149="",$EV149=""),"ONZEKER",IF(AND($EX149=$EU149+1,$EY149=$EV149),IF(OR(COUNTIF(#REF!,$B149)&gt;0,COUNTIF(#REF!,$B149)=0),"SKIP",IF(COUNTIFS(#REF!,$B149,#REF!,$DJ149)&gt;0,"OK","ONBEKEND")),IF(AND($EX149=$EU149,$EY149=$EV149+1),IF(OR(COUNTIF(#REF!,$D149)&gt;0,COUNTIF(#REF!,$D149)=0),"SKIP",IF(COUNTIFS(#REF!,$D149,#REF!,$DJ149)&gt;0,"OK","ONBEKEND")),"ONZEKER")))))</f>
        <v/>
      </c>
      <c r="DL149" t="str">
        <f t="shared" si="1154"/>
        <v/>
      </c>
      <c r="DM149" t="str">
        <f t="shared" si="1155"/>
        <v/>
      </c>
      <c r="DN149" t="str">
        <f t="shared" si="1156"/>
        <v/>
      </c>
      <c r="DO149" t="str">
        <f t="shared" si="1157"/>
        <v/>
      </c>
      <c r="DP149" t="str">
        <f t="shared" si="1158"/>
        <v/>
      </c>
      <c r="DQ149" t="str">
        <f t="shared" si="1159"/>
        <v/>
      </c>
      <c r="DR149" t="str">
        <f t="shared" si="1160"/>
        <v/>
      </c>
      <c r="DS149" t="str">
        <f t="shared" si="1161"/>
        <v/>
      </c>
      <c r="DT149" t="str">
        <f t="shared" si="1162"/>
        <v/>
      </c>
      <c r="DU149" t="str">
        <f t="shared" si="1163"/>
        <v/>
      </c>
      <c r="DV149" t="str">
        <f t="shared" si="1164"/>
        <v/>
      </c>
      <c r="DW149" t="str">
        <f t="shared" si="1165"/>
        <v/>
      </c>
      <c r="DX149" t="str">
        <f t="shared" si="1166"/>
        <v/>
      </c>
      <c r="DY149" t="str">
        <f t="shared" si="1167"/>
        <v/>
      </c>
      <c r="DZ149" t="str">
        <f t="shared" si="1168"/>
        <v/>
      </c>
      <c r="EA149" t="str">
        <f t="shared" si="1169"/>
        <v/>
      </c>
      <c r="EB149" t="str">
        <f t="shared" si="1170"/>
        <v/>
      </c>
      <c r="EC149" t="str">
        <f t="shared" si="1171"/>
        <v/>
      </c>
      <c r="ED149" t="str">
        <f t="shared" si="1172"/>
        <v/>
      </c>
      <c r="EE149" t="str">
        <f t="shared" si="1173"/>
        <v/>
      </c>
      <c r="EF149" t="str">
        <f t="shared" si="1174"/>
        <v/>
      </c>
      <c r="EG149" t="str">
        <f t="shared" si="1175"/>
        <v/>
      </c>
      <c r="EH149" t="str">
        <f t="shared" si="1176"/>
        <v/>
      </c>
      <c r="EI149" t="str">
        <f t="shared" si="1177"/>
        <v/>
      </c>
      <c r="EJ149" t="str">
        <f t="shared" si="1178"/>
        <v/>
      </c>
      <c r="EK149" t="str">
        <f t="shared" si="1179"/>
        <v/>
      </c>
      <c r="EL149" t="str">
        <f t="shared" si="1180"/>
        <v/>
      </c>
      <c r="EM149" t="str">
        <f t="shared" si="1181"/>
        <v/>
      </c>
      <c r="EN149" t="str">
        <f t="shared" si="1182"/>
        <v/>
      </c>
      <c r="EO149" t="str">
        <f t="shared" si="1183"/>
        <v/>
      </c>
      <c r="EP149" t="str">
        <f t="shared" si="1184"/>
        <v/>
      </c>
      <c r="EQ149" t="str">
        <f t="shared" si="1185"/>
        <v/>
      </c>
      <c r="ER149" t="str">
        <f t="shared" si="1186"/>
        <v/>
      </c>
      <c r="ES149" t="str">
        <f t="shared" si="1187"/>
        <v/>
      </c>
      <c r="ET149" t="str">
        <f t="shared" si="1188"/>
        <v/>
      </c>
      <c r="EU149" t="str">
        <f t="shared" si="1189"/>
        <v/>
      </c>
      <c r="EV149" t="str">
        <f t="shared" si="1190"/>
        <v/>
      </c>
      <c r="EW149" t="str">
        <f t="shared" si="1191"/>
        <v/>
      </c>
      <c r="EX149" t="str">
        <f t="shared" si="1192"/>
        <v/>
      </c>
      <c r="EY149" t="str">
        <f t="shared" si="1193"/>
        <v/>
      </c>
    </row>
    <row r="150" spans="1:155" ht="13.9" customHeight="1" x14ac:dyDescent="0.25">
      <c r="A150" s="7"/>
      <c r="B150" s="17"/>
      <c r="C150" s="8"/>
      <c r="D150" s="17"/>
      <c r="E150" s="8"/>
      <c r="F150" s="18">
        <v>0</v>
      </c>
      <c r="G150" s="7" t="s">
        <v>147</v>
      </c>
      <c r="H150" s="18">
        <v>0</v>
      </c>
      <c r="I150" s="19">
        <v>0</v>
      </c>
      <c r="J150" s="7" t="s">
        <v>147</v>
      </c>
      <c r="K150" s="19">
        <v>0</v>
      </c>
      <c r="L150" s="9"/>
      <c r="M150" s="3" t="str">
        <f>IF($L150="","",IF($L150="DOELPUNTENMAKERS","",IF(AND(COUNTIF(#REF!,$B150)=0,COUNTIF(#REF!,$D150)=0),"OK",IF($O150&gt;20,"LET OP: meer dan 20 items (controle onvolledig)",IF((COUNTIF($R150:$AS150,"ONZEKER")+COUNTIF($CJ150:$DK150,"ONZEKER"))&gt;0,"LET OP: scoreverloop onduidelijk (controle beperkt)",IF((IF($AT150&lt;&gt;"",$AT150&amp;", ","")&amp;IF($AU150&lt;&gt;"",$AU150&amp;", ","")&amp;IF($AV150&lt;&gt;"",$AV150&amp;", ","")&amp;IF($AW150&lt;&gt;"",$AW150&amp;", ","")&amp;IF($AX150&lt;&gt;"",$AX150&amp;", ","")&amp;IF($AY150&lt;&gt;"",$AY150&amp;", ","")&amp;IF($AZ150&lt;&gt;"",$AZ150&amp;", ","")&amp;IF($BA150&lt;&gt;"",$BA150&amp;", ","")&amp;IF($BB150&lt;&gt;"",$BB150&amp;", ","")&amp;IF($BC150&lt;&gt;"",$BC150&amp;", ","")&amp;IF($DL150&lt;&gt;"",$DL150&amp;", ","")&amp;IF($DM150&lt;&gt;"",$DM150&amp;", ","")&amp;IF($DN150&lt;&gt;"",$DN150&amp;", ","")&amp;IF($DO150&lt;&gt;"",$DO150&amp;", ","")&amp;IF($DP150&lt;&gt;"",$DP150&amp;", ","")&amp;IF($DQ150&lt;&gt;"",$DQ150&amp;", ","")&amp;IF($DR150&lt;&gt;"",$DR150&amp;", ","")&amp;IF($DS150&lt;&gt;"",$DS150&amp;", ","")&amp;IF($DT150&lt;&gt;"",$DT150&amp;", ","")&amp;IF($DU150&lt;&gt;"",$DU150&amp;", ",""))="","OK","Onbekend: "&amp;LEFT((IF($AT150&lt;&gt;"",$AT150&amp;", ","")&amp;IF($AU150&lt;&gt;"",$AU150&amp;", ","")&amp;IF($AV150&lt;&gt;"",$AV150&amp;", ","")&amp;IF($AW150&lt;&gt;"",$AW150&amp;", ","")&amp;IF($AX150&lt;&gt;"",$AX150&amp;", ","")&amp;IF($AY150&lt;&gt;"",$AY150&amp;", ","")&amp;IF($AZ150&lt;&gt;"",$AZ150&amp;", ","")&amp;IF($BA150&lt;&gt;"",$BA150&amp;", ","")&amp;IF($BB150&lt;&gt;"",$BB150&amp;", ","")&amp;IF($BC150&lt;&gt;"",$BC150&amp;", ","")&amp;IF($DL150&lt;&gt;"",$DL150&amp;", ","")&amp;IF($DM150&lt;&gt;"",$DM150&amp;", ","")&amp;IF($DN150&lt;&gt;"",$DN150&amp;", ","")&amp;IF($DO150&lt;&gt;"",$DO150&amp;", ","")&amp;IF($DP150&lt;&gt;"",$DP150&amp;", ","")&amp;IF($DQ150&lt;&gt;"",$DQ150&amp;", ","")&amp;IF($DR150&lt;&gt;"",$DR150&amp;", ","")&amp;IF($DS150&lt;&gt;"",$DS150&amp;", ","")&amp;IF($DT150&lt;&gt;"",$DT150&amp;", ","")&amp;IF($DU150&lt;&gt;"",$DU150&amp;", ","")),LEN((IF($AT150&lt;&gt;"",$AT150&amp;", ","")&amp;IF($AU150&lt;&gt;"",$AU150&amp;", ","")&amp;IF($AV150&lt;&gt;"",$AV150&amp;", ","")&amp;IF($AW150&lt;&gt;"",$AW150&amp;", ","")&amp;IF($AX150&lt;&gt;"",$AX150&amp;", ","")&amp;IF($AY150&lt;&gt;"",$AY150&amp;", ","")&amp;IF($AZ150&lt;&gt;"",$AZ150&amp;", ","")&amp;IF($BA150&lt;&gt;"",$BA150&amp;", ","")&amp;IF($BB150&lt;&gt;"",$BB150&amp;", ","")&amp;IF($BC150&lt;&gt;"",$BC150&amp;", ","")&amp;IF($DL150&lt;&gt;"",$DL150&amp;", ","")&amp;IF($DM150&lt;&gt;"",$DM150&amp;", ","")&amp;IF($DN150&lt;&gt;"",$DN150&amp;", ","")&amp;IF($DO150&lt;&gt;"",$DO150&amp;", ","")&amp;IF($DP150&lt;&gt;"",$DP150&amp;", ","")&amp;IF($DQ150&lt;&gt;"",$DQ150&amp;", ","")&amp;IF($DR150&lt;&gt;"",$DR150&amp;", ","")&amp;IF($DS150&lt;&gt;"",$DS150&amp;", ","")&amp;IF($DT150&lt;&gt;"",$DT150&amp;", ","")&amp;IF($DU150&lt;&gt;"",$DU150&amp;", ","")))-2)))))))</f>
        <v/>
      </c>
      <c r="N150" t="str">
        <f t="shared" si="1102"/>
        <v/>
      </c>
      <c r="O150" t="str">
        <f t="shared" si="1103"/>
        <v/>
      </c>
      <c r="P150" t="str">
        <f t="shared" si="1104"/>
        <v/>
      </c>
      <c r="Q150" t="str">
        <f t="shared" si="1105"/>
        <v/>
      </c>
      <c r="R150" t="str">
        <f>IF($Q150="","",IF(OR($BE150="",$BF150=""),"ONZEKER",IF(AND($BE150=0+1,$BF150=0),IF(OR(COUNTIF(#REF!,$B150)&gt;0,COUNTIF(#REF!,$B150)=0),"SKIP",IF(COUNTIFS(#REF!,$B150,#REF!,$Q150)&gt;0,"OK","ONBEKEND")),IF(AND($BE150=0,$BF150=0+1),IF(OR(COUNTIF(#REF!,$D150)&gt;0,COUNTIF(#REF!,$D150)=0),"SKIP",IF(COUNTIFS(#REF!,$D150,#REF!,$Q150)&gt;0,"OK","ONBEKEND")),"ONZEKER"))))</f>
        <v/>
      </c>
      <c r="S150" t="str">
        <f t="shared" si="1106"/>
        <v/>
      </c>
      <c r="T150" t="str">
        <f t="shared" si="1107"/>
        <v/>
      </c>
      <c r="U150" t="str">
        <f>IF($T150="","",IF(OR($BH150="",$BI150=""),"ONZEKER",IF(OR($BE150="",$BF150=""),"ONZEKER",IF(AND($BH150=$BE150+1,$BI150=$BF150),IF(OR(COUNTIF(#REF!,$B150)&gt;0,COUNTIF(#REF!,$B150)=0),"SKIP",IF(COUNTIFS(#REF!,$B150,#REF!,$T150)&gt;0,"OK","ONBEKEND")),IF(AND($BH150=$BE150,$BI150=$BF150+1),IF(OR(COUNTIF(#REF!,$D150)&gt;0,COUNTIF(#REF!,$D150)=0),"SKIP",IF(COUNTIFS(#REF!,$D150,#REF!,$T150)&gt;0,"OK","ONBEKEND")),"ONZEKER")))))</f>
        <v/>
      </c>
      <c r="V150" t="str">
        <f t="shared" si="1108"/>
        <v/>
      </c>
      <c r="W150" t="str">
        <f t="shared" si="1109"/>
        <v/>
      </c>
      <c r="X150" t="str">
        <f>IF($W150="","",IF(OR($BK150="",$BL150=""),"ONZEKER",IF(OR($BH150="",$BI150=""),"ONZEKER",IF(AND($BK150=$BH150+1,$BL150=$BI150),IF(OR(COUNTIF(#REF!,$B150)&gt;0,COUNTIF(#REF!,$B150)=0),"SKIP",IF(COUNTIFS(#REF!,$B150,#REF!,$W150)&gt;0,"OK","ONBEKEND")),IF(AND($BK150=$BH150,$BL150=$BI150+1),IF(OR(COUNTIF(#REF!,$D150)&gt;0,COUNTIF(#REF!,$D150)=0),"SKIP",IF(COUNTIFS(#REF!,$D150,#REF!,$W150)&gt;0,"OK","ONBEKEND")),"ONZEKER")))))</f>
        <v/>
      </c>
      <c r="Y150" t="str">
        <f t="shared" si="1110"/>
        <v/>
      </c>
      <c r="Z150" t="str">
        <f t="shared" si="1111"/>
        <v/>
      </c>
      <c r="AA150" t="str">
        <f>IF($Z150="","",IF(OR($BN150="",$BO150=""),"ONZEKER",IF(OR($BK150="",$BL150=""),"ONZEKER",IF(AND($BN150=$BK150+1,$BO150=$BL150),IF(OR(COUNTIF(#REF!,$B150)&gt;0,COUNTIF(#REF!,$B150)=0),"SKIP",IF(COUNTIFS(#REF!,$B150,#REF!,$Z150)&gt;0,"OK","ONBEKEND")),IF(AND($BN150=$BK150,$BO150=$BL150+1),IF(OR(COUNTIF(#REF!,$D150)&gt;0,COUNTIF(#REF!,$D150)=0),"SKIP",IF(COUNTIFS(#REF!,$D150,#REF!,$Z150)&gt;0,"OK","ONBEKEND")),"ONZEKER")))))</f>
        <v/>
      </c>
      <c r="AB150" t="str">
        <f t="shared" si="1112"/>
        <v/>
      </c>
      <c r="AC150" t="str">
        <f t="shared" si="1113"/>
        <v/>
      </c>
      <c r="AD150" t="str">
        <f>IF($AC150="","",IF(OR($BQ150="",$BR150=""),"ONZEKER",IF(OR($BN150="",$BO150=""),"ONZEKER",IF(AND($BQ150=$BN150+1,$BR150=$BO150),IF(OR(COUNTIF(#REF!,$B150)&gt;0,COUNTIF(#REF!,$B150)=0),"SKIP",IF(COUNTIFS(#REF!,$B150,#REF!,$AC150)&gt;0,"OK","ONBEKEND")),IF(AND($BQ150=$BN150,$BR150=$BO150+1),IF(OR(COUNTIF(#REF!,$D150)&gt;0,COUNTIF(#REF!,$D150)=0),"SKIP",IF(COUNTIFS(#REF!,$D150,#REF!,$AC150)&gt;0,"OK","ONBEKEND")),"ONZEKER")))))</f>
        <v/>
      </c>
      <c r="AE150" t="str">
        <f t="shared" si="1114"/>
        <v/>
      </c>
      <c r="AF150" t="str">
        <f t="shared" si="1115"/>
        <v/>
      </c>
      <c r="AG150" t="str">
        <f>IF($AF150="","",IF(OR($BT150="",$BU150=""),"ONZEKER",IF(OR($BQ150="",$BR150=""),"ONZEKER",IF(AND($BT150=$BQ150+1,$BU150=$BR150),IF(OR(COUNTIF(#REF!,$B150)&gt;0,COUNTIF(#REF!,$B150)=0),"SKIP",IF(COUNTIFS(#REF!,$B150,#REF!,$AF150)&gt;0,"OK","ONBEKEND")),IF(AND($BT150=$BQ150,$BU150=$BR150+1),IF(OR(COUNTIF(#REF!,$D150)&gt;0,COUNTIF(#REF!,$D150)=0),"SKIP",IF(COUNTIFS(#REF!,$D150,#REF!,$AF150)&gt;0,"OK","ONBEKEND")),"ONZEKER")))))</f>
        <v/>
      </c>
      <c r="AH150" t="str">
        <f t="shared" si="1116"/>
        <v/>
      </c>
      <c r="AI150" t="str">
        <f t="shared" si="1117"/>
        <v/>
      </c>
      <c r="AJ150" t="str">
        <f>IF($AI150="","",IF(OR($BW150="",$BX150=""),"ONZEKER",IF(OR($BT150="",$BU150=""),"ONZEKER",IF(AND($BW150=$BT150+1,$BX150=$BU150),IF(OR(COUNTIF(#REF!,$B150)&gt;0,COUNTIF(#REF!,$B150)=0),"SKIP",IF(COUNTIFS(#REF!,$B150,#REF!,$AI150)&gt;0,"OK","ONBEKEND")),IF(AND($BW150=$BT150,$BX150=$BU150+1),IF(OR(COUNTIF(#REF!,$D150)&gt;0,COUNTIF(#REF!,$D150)=0),"SKIP",IF(COUNTIFS(#REF!,$D150,#REF!,$AI150)&gt;0,"OK","ONBEKEND")),"ONZEKER")))))</f>
        <v/>
      </c>
      <c r="AK150" t="str">
        <f t="shared" si="1118"/>
        <v/>
      </c>
      <c r="AL150" t="str">
        <f t="shared" si="1119"/>
        <v/>
      </c>
      <c r="AM150" t="str">
        <f>IF($AL150="","",IF(OR($BZ150="",$CA150=""),"ONZEKER",IF(OR($BW150="",$BX150=""),"ONZEKER",IF(AND($BZ150=$BW150+1,$CA150=$BX150),IF(OR(COUNTIF(#REF!,$B150)&gt;0,COUNTIF(#REF!,$B150)=0),"SKIP",IF(COUNTIFS(#REF!,$B150,#REF!,$AL150)&gt;0,"OK","ONBEKEND")),IF(AND($BZ150=$BW150,$CA150=$BX150+1),IF(OR(COUNTIF(#REF!,$D150)&gt;0,COUNTIF(#REF!,$D150)=0),"SKIP",IF(COUNTIFS(#REF!,$D150,#REF!,$AL150)&gt;0,"OK","ONBEKEND")),"ONZEKER")))))</f>
        <v/>
      </c>
      <c r="AN150" t="str">
        <f t="shared" si="1120"/>
        <v/>
      </c>
      <c r="AO150" t="str">
        <f t="shared" si="1121"/>
        <v/>
      </c>
      <c r="AP150" t="str">
        <f>IF($AO150="","",IF(OR($CC150="",$CD150=""),"ONZEKER",IF(OR($BZ150="",$CA150=""),"ONZEKER",IF(AND($CC150=$BZ150+1,$CD150=$CA150),IF(OR(COUNTIF(#REF!,$B150)&gt;0,COUNTIF(#REF!,$B150)=0),"SKIP",IF(COUNTIFS(#REF!,$B150,#REF!,$AO150)&gt;0,"OK","ONBEKEND")),IF(AND($CC150=$BZ150,$CD150=$CA150+1),IF(OR(COUNTIF(#REF!,$D150)&gt;0,COUNTIF(#REF!,$D150)=0),"SKIP",IF(COUNTIFS(#REF!,$D150,#REF!,$AO150)&gt;0,"OK","ONBEKEND")),"ONZEKER")))))</f>
        <v/>
      </c>
      <c r="AQ150" t="str">
        <f t="shared" si="1122"/>
        <v/>
      </c>
      <c r="AR150" t="str">
        <f t="shared" si="1123"/>
        <v/>
      </c>
      <c r="AS150" t="str">
        <f>IF($AR150="","",IF(OR($CF150="",$CG150=""),"ONZEKER",IF(OR($CC150="",$CD150=""),"ONZEKER",IF(AND($CF150=$CC150+1,$CG150=$CD150),IF(OR(COUNTIF(#REF!,$B150)&gt;0,COUNTIF(#REF!,$B150)=0),"SKIP",IF(COUNTIFS(#REF!,$B150,#REF!,$AR150)&gt;0,"OK","ONBEKEND")),IF(AND($CF150=$CC150,$CG150=$CD150+1),IF(OR(COUNTIF(#REF!,$D150)&gt;0,COUNTIF(#REF!,$D150)=0),"SKIP",IF(COUNTIFS(#REF!,$D150,#REF!,$AR150)&gt;0,"OK","ONBEKEND")),"ONZEKER")))))</f>
        <v/>
      </c>
      <c r="AT150" t="str">
        <f t="shared" si="1124"/>
        <v/>
      </c>
      <c r="AU150" t="str">
        <f t="shared" si="1125"/>
        <v/>
      </c>
      <c r="AV150" t="str">
        <f t="shared" si="1126"/>
        <v/>
      </c>
      <c r="AW150" t="str">
        <f t="shared" si="1127"/>
        <v/>
      </c>
      <c r="AX150" t="str">
        <f t="shared" si="1128"/>
        <v/>
      </c>
      <c r="AY150" t="str">
        <f t="shared" si="1129"/>
        <v/>
      </c>
      <c r="AZ150" t="str">
        <f t="shared" si="1130"/>
        <v/>
      </c>
      <c r="BA150" t="str">
        <f t="shared" si="1131"/>
        <v/>
      </c>
      <c r="BB150" t="str">
        <f t="shared" si="1132"/>
        <v/>
      </c>
      <c r="BC150" t="str">
        <f t="shared" si="1133"/>
        <v/>
      </c>
      <c r="BD150" t="str">
        <f t="shared" si="980"/>
        <v/>
      </c>
      <c r="BE150" t="str">
        <f t="shared" si="981"/>
        <v/>
      </c>
      <c r="BF150" t="str">
        <f t="shared" si="982"/>
        <v/>
      </c>
      <c r="BG150" t="str">
        <f t="shared" si="983"/>
        <v/>
      </c>
      <c r="BH150" t="str">
        <f t="shared" si="984"/>
        <v/>
      </c>
      <c r="BI150" t="str">
        <f t="shared" si="985"/>
        <v/>
      </c>
      <c r="BJ150" t="str">
        <f t="shared" si="986"/>
        <v/>
      </c>
      <c r="BK150" t="str">
        <f t="shared" si="987"/>
        <v/>
      </c>
      <c r="BL150" t="str">
        <f t="shared" si="988"/>
        <v/>
      </c>
      <c r="BM150" t="str">
        <f t="shared" si="989"/>
        <v/>
      </c>
      <c r="BN150" t="str">
        <f t="shared" si="990"/>
        <v/>
      </c>
      <c r="BO150" t="str">
        <f t="shared" si="991"/>
        <v/>
      </c>
      <c r="BP150" t="str">
        <f t="shared" si="992"/>
        <v/>
      </c>
      <c r="BQ150" t="str">
        <f t="shared" si="993"/>
        <v/>
      </c>
      <c r="BR150" t="str">
        <f t="shared" si="994"/>
        <v/>
      </c>
      <c r="BS150" t="str">
        <f t="shared" si="995"/>
        <v/>
      </c>
      <c r="BT150" t="str">
        <f t="shared" si="996"/>
        <v/>
      </c>
      <c r="BU150" t="str">
        <f t="shared" si="997"/>
        <v/>
      </c>
      <c r="BV150" t="str">
        <f t="shared" si="998"/>
        <v/>
      </c>
      <c r="BW150" t="str">
        <f t="shared" si="999"/>
        <v/>
      </c>
      <c r="BX150" t="str">
        <f t="shared" si="1000"/>
        <v/>
      </c>
      <c r="BY150" t="str">
        <f t="shared" si="1001"/>
        <v/>
      </c>
      <c r="BZ150" t="str">
        <f t="shared" si="1002"/>
        <v/>
      </c>
      <c r="CA150" t="str">
        <f t="shared" si="1003"/>
        <v/>
      </c>
      <c r="CB150" t="str">
        <f t="shared" si="1004"/>
        <v/>
      </c>
      <c r="CC150" t="str">
        <f t="shared" si="1005"/>
        <v/>
      </c>
      <c r="CD150" t="str">
        <f t="shared" si="1006"/>
        <v/>
      </c>
      <c r="CE150" t="str">
        <f t="shared" si="1007"/>
        <v/>
      </c>
      <c r="CF150" t="str">
        <f t="shared" si="1008"/>
        <v/>
      </c>
      <c r="CG150" t="str">
        <f t="shared" si="1009"/>
        <v/>
      </c>
      <c r="CH150" t="str">
        <f t="shared" si="1134"/>
        <v/>
      </c>
      <c r="CI150" t="str">
        <f t="shared" si="1135"/>
        <v/>
      </c>
      <c r="CJ150" t="str">
        <f>IF($CI150="","",IF(OR($DW150="",$DX150=""),"ONZEKER",IF(OR($CF150="",$CG150=""),"ONZEKER",IF(AND($DW150=$CF150+1,$DX150=$CG150),IF(OR(COUNTIF(#REF!,$B150)&gt;0,COUNTIF(#REF!,$B150)=0),"SKIP",IF(COUNTIFS(#REF!,$B150,#REF!,$CI150)&gt;0,"OK","ONBEKEND")),IF(AND($DW150=$CF150,$DX150=$CG150+1),IF(OR(COUNTIF(#REF!,$D150)&gt;0,COUNTIF(#REF!,$D150)=0),"SKIP",IF(COUNTIFS(#REF!,$D150,#REF!,$CI150)&gt;0,"OK","ONBEKEND")),"ONZEKER")))))</f>
        <v/>
      </c>
      <c r="CK150" t="str">
        <f t="shared" si="1136"/>
        <v/>
      </c>
      <c r="CL150" t="str">
        <f t="shared" si="1137"/>
        <v/>
      </c>
      <c r="CM150" t="str">
        <f>IF($CL150="","",IF(OR($DZ150="",$EA150=""),"ONZEKER",IF(OR($DW150="",$DX150=""),"ONZEKER",IF(AND($DZ150=$DW150+1,$EA150=$DX150),IF(OR(COUNTIF(#REF!,$B150)&gt;0,COUNTIF(#REF!,$B150)=0),"SKIP",IF(COUNTIFS(#REF!,$B150,#REF!,$CL150)&gt;0,"OK","ONBEKEND")),IF(AND($DZ150=$DW150,$EA150=$DX150+1),IF(OR(COUNTIF(#REF!,$D150)&gt;0,COUNTIF(#REF!,$D150)=0),"SKIP",IF(COUNTIFS(#REF!,$D150,#REF!,$CL150)&gt;0,"OK","ONBEKEND")),"ONZEKER")))))</f>
        <v/>
      </c>
      <c r="CN150" t="str">
        <f t="shared" si="1138"/>
        <v/>
      </c>
      <c r="CO150" t="str">
        <f t="shared" si="1139"/>
        <v/>
      </c>
      <c r="CP150" t="str">
        <f>IF($CO150="","",IF(OR($EC150="",$ED150=""),"ONZEKER",IF(OR($DZ150="",$EA150=""),"ONZEKER",IF(AND($EC150=$DZ150+1,$ED150=$EA150),IF(OR(COUNTIF(#REF!,$B150)&gt;0,COUNTIF(#REF!,$B150)=0),"SKIP",IF(COUNTIFS(#REF!,$B150,#REF!,$CO150)&gt;0,"OK","ONBEKEND")),IF(AND($EC150=$DZ150,$ED150=$EA150+1),IF(OR(COUNTIF(#REF!,$D150)&gt;0,COUNTIF(#REF!,$D150)=0),"SKIP",IF(COUNTIFS(#REF!,$D150,#REF!,$CO150)&gt;0,"OK","ONBEKEND")),"ONZEKER")))))</f>
        <v/>
      </c>
      <c r="CQ150" t="str">
        <f t="shared" si="1140"/>
        <v/>
      </c>
      <c r="CR150" t="str">
        <f t="shared" si="1141"/>
        <v/>
      </c>
      <c r="CS150" t="str">
        <f>IF($CR150="","",IF(OR($EF150="",$EG150=""),"ONZEKER",IF(OR($EC150="",$ED150=""),"ONZEKER",IF(AND($EF150=$EC150+1,$EG150=$ED150),IF(OR(COUNTIF(#REF!,$B150)&gt;0,COUNTIF(#REF!,$B150)=0),"SKIP",IF(COUNTIFS(#REF!,$B150,#REF!,$CR150)&gt;0,"OK","ONBEKEND")),IF(AND($EF150=$EC150,$EG150=$ED150+1),IF(OR(COUNTIF(#REF!,$D150)&gt;0,COUNTIF(#REF!,$D150)=0),"SKIP",IF(COUNTIFS(#REF!,$D150,#REF!,$CR150)&gt;0,"OK","ONBEKEND")),"ONZEKER")))))</f>
        <v/>
      </c>
      <c r="CT150" t="str">
        <f t="shared" si="1142"/>
        <v/>
      </c>
      <c r="CU150" t="str">
        <f t="shared" si="1143"/>
        <v/>
      </c>
      <c r="CV150" t="str">
        <f>IF($CU150="","",IF(OR($EI150="",$EJ150=""),"ONZEKER",IF(OR($EF150="",$EG150=""),"ONZEKER",IF(AND($EI150=$EF150+1,$EJ150=$EG150),IF(OR(COUNTIF(#REF!,$B150)&gt;0,COUNTIF(#REF!,$B150)=0),"SKIP",IF(COUNTIFS(#REF!,$B150,#REF!,$CU150)&gt;0,"OK","ONBEKEND")),IF(AND($EI150=$EF150,$EJ150=$EG150+1),IF(OR(COUNTIF(#REF!,$D150)&gt;0,COUNTIF(#REF!,$D150)=0),"SKIP",IF(COUNTIFS(#REF!,$D150,#REF!,$CU150)&gt;0,"OK","ONBEKEND")),"ONZEKER")))))</f>
        <v/>
      </c>
      <c r="CW150" t="str">
        <f t="shared" si="1144"/>
        <v/>
      </c>
      <c r="CX150" t="str">
        <f t="shared" si="1145"/>
        <v/>
      </c>
      <c r="CY150" t="str">
        <f>IF($CX150="","",IF(OR($EL150="",$EM150=""),"ONZEKER",IF(OR($EI150="",$EJ150=""),"ONZEKER",IF(AND($EL150=$EI150+1,$EM150=$EJ150),IF(OR(COUNTIF(#REF!,$B150)&gt;0,COUNTIF(#REF!,$B150)=0),"SKIP",IF(COUNTIFS(#REF!,$B150,#REF!,$CX150)&gt;0,"OK","ONBEKEND")),IF(AND($EL150=$EI150,$EM150=$EJ150+1),IF(OR(COUNTIF(#REF!,$D150)&gt;0,COUNTIF(#REF!,$D150)=0),"SKIP",IF(COUNTIFS(#REF!,$D150,#REF!,$CX150)&gt;0,"OK","ONBEKEND")),"ONZEKER")))))</f>
        <v/>
      </c>
      <c r="CZ150" t="str">
        <f t="shared" si="1146"/>
        <v/>
      </c>
      <c r="DA150" t="str">
        <f t="shared" si="1147"/>
        <v/>
      </c>
      <c r="DB150" t="str">
        <f>IF($DA150="","",IF(OR($EO150="",$EP150=""),"ONZEKER",IF(OR($EL150="",$EM150=""),"ONZEKER",IF(AND($EO150=$EL150+1,$EP150=$EM150),IF(OR(COUNTIF(#REF!,$B150)&gt;0,COUNTIF(#REF!,$B150)=0),"SKIP",IF(COUNTIFS(#REF!,$B150,#REF!,$DA150)&gt;0,"OK","ONBEKEND")),IF(AND($EO150=$EL150,$EP150=$EM150+1),IF(OR(COUNTIF(#REF!,$D150)&gt;0,COUNTIF(#REF!,$D150)=0),"SKIP",IF(COUNTIFS(#REF!,$D150,#REF!,$DA150)&gt;0,"OK","ONBEKEND")),"ONZEKER")))))</f>
        <v/>
      </c>
      <c r="DC150" t="str">
        <f t="shared" si="1148"/>
        <v/>
      </c>
      <c r="DD150" t="str">
        <f t="shared" si="1149"/>
        <v/>
      </c>
      <c r="DE150" t="str">
        <f>IF($DD150="","",IF(OR($ER150="",$ES150=""),"ONZEKER",IF(OR($EO150="",$EP150=""),"ONZEKER",IF(AND($ER150=$EO150+1,$ES150=$EP150),IF(OR(COUNTIF(#REF!,$B150)&gt;0,COUNTIF(#REF!,$B150)=0),"SKIP",IF(COUNTIFS(#REF!,$B150,#REF!,$DD150)&gt;0,"OK","ONBEKEND")),IF(AND($ER150=$EO150,$ES150=$EP150+1),IF(OR(COUNTIF(#REF!,$D150)&gt;0,COUNTIF(#REF!,$D150)=0),"SKIP",IF(COUNTIFS(#REF!,$D150,#REF!,$DD150)&gt;0,"OK","ONBEKEND")),"ONZEKER")))))</f>
        <v/>
      </c>
      <c r="DF150" t="str">
        <f t="shared" si="1150"/>
        <v/>
      </c>
      <c r="DG150" t="str">
        <f t="shared" si="1151"/>
        <v/>
      </c>
      <c r="DH150" t="str">
        <f>IF($DG150="","",IF(OR($EU150="",$EV150=""),"ONZEKER",IF(OR($ER150="",$ES150=""),"ONZEKER",IF(AND($EU150=$ER150+1,$EV150=$ES150),IF(OR(COUNTIF(#REF!,$B150)&gt;0,COUNTIF(#REF!,$B150)=0),"SKIP",IF(COUNTIFS(#REF!,$B150,#REF!,$DG150)&gt;0,"OK","ONBEKEND")),IF(AND($EU150=$ER150,$EV150=$ES150+1),IF(OR(COUNTIF(#REF!,$D150)&gt;0,COUNTIF(#REF!,$D150)=0),"SKIP",IF(COUNTIFS(#REF!,$D150,#REF!,$DG150)&gt;0,"OK","ONBEKEND")),"ONZEKER")))))</f>
        <v/>
      </c>
      <c r="DI150" t="str">
        <f t="shared" si="1152"/>
        <v/>
      </c>
      <c r="DJ150" t="str">
        <f t="shared" si="1153"/>
        <v/>
      </c>
      <c r="DK150" t="str">
        <f>IF($DJ150="","",IF(OR($EX150="",$EY150=""),"ONZEKER",IF(OR($EU150="",$EV150=""),"ONZEKER",IF(AND($EX150=$EU150+1,$EY150=$EV150),IF(OR(COUNTIF(#REF!,$B150)&gt;0,COUNTIF(#REF!,$B150)=0),"SKIP",IF(COUNTIFS(#REF!,$B150,#REF!,$DJ150)&gt;0,"OK","ONBEKEND")),IF(AND($EX150=$EU150,$EY150=$EV150+1),IF(OR(COUNTIF(#REF!,$D150)&gt;0,COUNTIF(#REF!,$D150)=0),"SKIP",IF(COUNTIFS(#REF!,$D150,#REF!,$DJ150)&gt;0,"OK","ONBEKEND")),"ONZEKER")))))</f>
        <v/>
      </c>
      <c r="DL150" t="str">
        <f t="shared" si="1154"/>
        <v/>
      </c>
      <c r="DM150" t="str">
        <f t="shared" si="1155"/>
        <v/>
      </c>
      <c r="DN150" t="str">
        <f t="shared" si="1156"/>
        <v/>
      </c>
      <c r="DO150" t="str">
        <f t="shared" si="1157"/>
        <v/>
      </c>
      <c r="DP150" t="str">
        <f t="shared" si="1158"/>
        <v/>
      </c>
      <c r="DQ150" t="str">
        <f t="shared" si="1159"/>
        <v/>
      </c>
      <c r="DR150" t="str">
        <f t="shared" si="1160"/>
        <v/>
      </c>
      <c r="DS150" t="str">
        <f t="shared" si="1161"/>
        <v/>
      </c>
      <c r="DT150" t="str">
        <f t="shared" si="1162"/>
        <v/>
      </c>
      <c r="DU150" t="str">
        <f t="shared" si="1163"/>
        <v/>
      </c>
      <c r="DV150" t="str">
        <f t="shared" si="1164"/>
        <v/>
      </c>
      <c r="DW150" t="str">
        <f t="shared" si="1165"/>
        <v/>
      </c>
      <c r="DX150" t="str">
        <f t="shared" si="1166"/>
        <v/>
      </c>
      <c r="DY150" t="str">
        <f t="shared" si="1167"/>
        <v/>
      </c>
      <c r="DZ150" t="str">
        <f t="shared" si="1168"/>
        <v/>
      </c>
      <c r="EA150" t="str">
        <f t="shared" si="1169"/>
        <v/>
      </c>
      <c r="EB150" t="str">
        <f t="shared" si="1170"/>
        <v/>
      </c>
      <c r="EC150" t="str">
        <f t="shared" si="1171"/>
        <v/>
      </c>
      <c r="ED150" t="str">
        <f t="shared" si="1172"/>
        <v/>
      </c>
      <c r="EE150" t="str">
        <f t="shared" si="1173"/>
        <v/>
      </c>
      <c r="EF150" t="str">
        <f t="shared" si="1174"/>
        <v/>
      </c>
      <c r="EG150" t="str">
        <f t="shared" si="1175"/>
        <v/>
      </c>
      <c r="EH150" t="str">
        <f t="shared" si="1176"/>
        <v/>
      </c>
      <c r="EI150" t="str">
        <f t="shared" si="1177"/>
        <v/>
      </c>
      <c r="EJ150" t="str">
        <f t="shared" si="1178"/>
        <v/>
      </c>
      <c r="EK150" t="str">
        <f t="shared" si="1179"/>
        <v/>
      </c>
      <c r="EL150" t="str">
        <f t="shared" si="1180"/>
        <v/>
      </c>
      <c r="EM150" t="str">
        <f t="shared" si="1181"/>
        <v/>
      </c>
      <c r="EN150" t="str">
        <f t="shared" si="1182"/>
        <v/>
      </c>
      <c r="EO150" t="str">
        <f t="shared" si="1183"/>
        <v/>
      </c>
      <c r="EP150" t="str">
        <f t="shared" si="1184"/>
        <v/>
      </c>
      <c r="EQ150" t="str">
        <f t="shared" si="1185"/>
        <v/>
      </c>
      <c r="ER150" t="str">
        <f t="shared" si="1186"/>
        <v/>
      </c>
      <c r="ES150" t="str">
        <f t="shared" si="1187"/>
        <v/>
      </c>
      <c r="ET150" t="str">
        <f t="shared" si="1188"/>
        <v/>
      </c>
      <c r="EU150" t="str">
        <f t="shared" si="1189"/>
        <v/>
      </c>
      <c r="EV150" t="str">
        <f t="shared" si="1190"/>
        <v/>
      </c>
      <c r="EW150" t="str">
        <f t="shared" si="1191"/>
        <v/>
      </c>
      <c r="EX150" t="str">
        <f t="shared" si="1192"/>
        <v/>
      </c>
      <c r="EY150" t="str">
        <f t="shared" si="1193"/>
        <v/>
      </c>
    </row>
    <row r="151" spans="1:155" ht="13.9" customHeight="1" x14ac:dyDescent="0.25">
      <c r="A151" s="7"/>
      <c r="B151" s="17"/>
      <c r="C151" s="8"/>
      <c r="D151" s="17"/>
      <c r="E151" s="8"/>
      <c r="F151" s="18">
        <v>0</v>
      </c>
      <c r="G151" s="7" t="s">
        <v>147</v>
      </c>
      <c r="H151" s="18">
        <v>0</v>
      </c>
      <c r="I151" s="19">
        <v>0</v>
      </c>
      <c r="J151" s="7" t="s">
        <v>147</v>
      </c>
      <c r="K151" s="19">
        <v>0</v>
      </c>
      <c r="L151" s="9"/>
      <c r="M151" s="3" t="str">
        <f>IF($L151="","",IF($L151="DOELPUNTENMAKERS","",IF(AND(COUNTIF(#REF!,$B151)=0,COUNTIF(#REF!,$D151)=0),"OK",IF($O151&gt;20,"LET OP: meer dan 20 items (controle onvolledig)",IF((COUNTIF($R151:$AS151,"ONZEKER")+COUNTIF($CJ151:$DK151,"ONZEKER"))&gt;0,"LET OP: scoreverloop onduidelijk (controle beperkt)",IF((IF($AT151&lt;&gt;"",$AT151&amp;", ","")&amp;IF($AU151&lt;&gt;"",$AU151&amp;", ","")&amp;IF($AV151&lt;&gt;"",$AV151&amp;", ","")&amp;IF($AW151&lt;&gt;"",$AW151&amp;", ","")&amp;IF($AX151&lt;&gt;"",$AX151&amp;", ","")&amp;IF($AY151&lt;&gt;"",$AY151&amp;", ","")&amp;IF($AZ151&lt;&gt;"",$AZ151&amp;", ","")&amp;IF($BA151&lt;&gt;"",$BA151&amp;", ","")&amp;IF($BB151&lt;&gt;"",$BB151&amp;", ","")&amp;IF($BC151&lt;&gt;"",$BC151&amp;", ","")&amp;IF($DL151&lt;&gt;"",$DL151&amp;", ","")&amp;IF($DM151&lt;&gt;"",$DM151&amp;", ","")&amp;IF($DN151&lt;&gt;"",$DN151&amp;", ","")&amp;IF($DO151&lt;&gt;"",$DO151&amp;", ","")&amp;IF($DP151&lt;&gt;"",$DP151&amp;", ","")&amp;IF($DQ151&lt;&gt;"",$DQ151&amp;", ","")&amp;IF($DR151&lt;&gt;"",$DR151&amp;", ","")&amp;IF($DS151&lt;&gt;"",$DS151&amp;", ","")&amp;IF($DT151&lt;&gt;"",$DT151&amp;", ","")&amp;IF($DU151&lt;&gt;"",$DU151&amp;", ",""))="","OK","Onbekend: "&amp;LEFT((IF($AT151&lt;&gt;"",$AT151&amp;", ","")&amp;IF($AU151&lt;&gt;"",$AU151&amp;", ","")&amp;IF($AV151&lt;&gt;"",$AV151&amp;", ","")&amp;IF($AW151&lt;&gt;"",$AW151&amp;", ","")&amp;IF($AX151&lt;&gt;"",$AX151&amp;", ","")&amp;IF($AY151&lt;&gt;"",$AY151&amp;", ","")&amp;IF($AZ151&lt;&gt;"",$AZ151&amp;", ","")&amp;IF($BA151&lt;&gt;"",$BA151&amp;", ","")&amp;IF($BB151&lt;&gt;"",$BB151&amp;", ","")&amp;IF($BC151&lt;&gt;"",$BC151&amp;", ","")&amp;IF($DL151&lt;&gt;"",$DL151&amp;", ","")&amp;IF($DM151&lt;&gt;"",$DM151&amp;", ","")&amp;IF($DN151&lt;&gt;"",$DN151&amp;", ","")&amp;IF($DO151&lt;&gt;"",$DO151&amp;", ","")&amp;IF($DP151&lt;&gt;"",$DP151&amp;", ","")&amp;IF($DQ151&lt;&gt;"",$DQ151&amp;", ","")&amp;IF($DR151&lt;&gt;"",$DR151&amp;", ","")&amp;IF($DS151&lt;&gt;"",$DS151&amp;", ","")&amp;IF($DT151&lt;&gt;"",$DT151&amp;", ","")&amp;IF($DU151&lt;&gt;"",$DU151&amp;", ","")),LEN((IF($AT151&lt;&gt;"",$AT151&amp;", ","")&amp;IF($AU151&lt;&gt;"",$AU151&amp;", ","")&amp;IF($AV151&lt;&gt;"",$AV151&amp;", ","")&amp;IF($AW151&lt;&gt;"",$AW151&amp;", ","")&amp;IF($AX151&lt;&gt;"",$AX151&amp;", ","")&amp;IF($AY151&lt;&gt;"",$AY151&amp;", ","")&amp;IF($AZ151&lt;&gt;"",$AZ151&amp;", ","")&amp;IF($BA151&lt;&gt;"",$BA151&amp;", ","")&amp;IF($BB151&lt;&gt;"",$BB151&amp;", ","")&amp;IF($BC151&lt;&gt;"",$BC151&amp;", ","")&amp;IF($DL151&lt;&gt;"",$DL151&amp;", ","")&amp;IF($DM151&lt;&gt;"",$DM151&amp;", ","")&amp;IF($DN151&lt;&gt;"",$DN151&amp;", ","")&amp;IF($DO151&lt;&gt;"",$DO151&amp;", ","")&amp;IF($DP151&lt;&gt;"",$DP151&amp;", ","")&amp;IF($DQ151&lt;&gt;"",$DQ151&amp;", ","")&amp;IF($DR151&lt;&gt;"",$DR151&amp;", ","")&amp;IF($DS151&lt;&gt;"",$DS151&amp;", ","")&amp;IF($DT151&lt;&gt;"",$DT151&amp;", ","")&amp;IF($DU151&lt;&gt;"",$DU151&amp;", ","")))-2)))))))</f>
        <v/>
      </c>
      <c r="N151" t="str">
        <f t="shared" si="1102"/>
        <v/>
      </c>
      <c r="O151" t="str">
        <f t="shared" si="1103"/>
        <v/>
      </c>
      <c r="P151" t="str">
        <f t="shared" si="1104"/>
        <v/>
      </c>
      <c r="Q151" t="str">
        <f t="shared" si="1105"/>
        <v/>
      </c>
      <c r="R151" t="str">
        <f>IF($Q151="","",IF(OR($BE151="",$BF151=""),"ONZEKER",IF(AND($BE151=0+1,$BF151=0),IF(OR(COUNTIF(#REF!,$B151)&gt;0,COUNTIF(#REF!,$B151)=0),"SKIP",IF(COUNTIFS(#REF!,$B151,#REF!,$Q151)&gt;0,"OK","ONBEKEND")),IF(AND($BE151=0,$BF151=0+1),IF(OR(COUNTIF(#REF!,$D151)&gt;0,COUNTIF(#REF!,$D151)=0),"SKIP",IF(COUNTIFS(#REF!,$D151,#REF!,$Q151)&gt;0,"OK","ONBEKEND")),"ONZEKER"))))</f>
        <v/>
      </c>
      <c r="S151" t="str">
        <f t="shared" si="1106"/>
        <v/>
      </c>
      <c r="T151" t="str">
        <f t="shared" si="1107"/>
        <v/>
      </c>
      <c r="U151" t="str">
        <f>IF($T151="","",IF(OR($BH151="",$BI151=""),"ONZEKER",IF(OR($BE151="",$BF151=""),"ONZEKER",IF(AND($BH151=$BE151+1,$BI151=$BF151),IF(OR(COUNTIF(#REF!,$B151)&gt;0,COUNTIF(#REF!,$B151)=0),"SKIP",IF(COUNTIFS(#REF!,$B151,#REF!,$T151)&gt;0,"OK","ONBEKEND")),IF(AND($BH151=$BE151,$BI151=$BF151+1),IF(OR(COUNTIF(#REF!,$D151)&gt;0,COUNTIF(#REF!,$D151)=0),"SKIP",IF(COUNTIFS(#REF!,$D151,#REF!,$T151)&gt;0,"OK","ONBEKEND")),"ONZEKER")))))</f>
        <v/>
      </c>
      <c r="V151" t="str">
        <f t="shared" si="1108"/>
        <v/>
      </c>
      <c r="W151" t="str">
        <f t="shared" si="1109"/>
        <v/>
      </c>
      <c r="X151" t="str">
        <f>IF($W151="","",IF(OR($BK151="",$BL151=""),"ONZEKER",IF(OR($BH151="",$BI151=""),"ONZEKER",IF(AND($BK151=$BH151+1,$BL151=$BI151),IF(OR(COUNTIF(#REF!,$B151)&gt;0,COUNTIF(#REF!,$B151)=0),"SKIP",IF(COUNTIFS(#REF!,$B151,#REF!,$W151)&gt;0,"OK","ONBEKEND")),IF(AND($BK151=$BH151,$BL151=$BI151+1),IF(OR(COUNTIF(#REF!,$D151)&gt;0,COUNTIF(#REF!,$D151)=0),"SKIP",IF(COUNTIFS(#REF!,$D151,#REF!,$W151)&gt;0,"OK","ONBEKEND")),"ONZEKER")))))</f>
        <v/>
      </c>
      <c r="Y151" t="str">
        <f t="shared" si="1110"/>
        <v/>
      </c>
      <c r="Z151" t="str">
        <f t="shared" si="1111"/>
        <v/>
      </c>
      <c r="AA151" t="str">
        <f>IF($Z151="","",IF(OR($BN151="",$BO151=""),"ONZEKER",IF(OR($BK151="",$BL151=""),"ONZEKER",IF(AND($BN151=$BK151+1,$BO151=$BL151),IF(OR(COUNTIF(#REF!,$B151)&gt;0,COUNTIF(#REF!,$B151)=0),"SKIP",IF(COUNTIFS(#REF!,$B151,#REF!,$Z151)&gt;0,"OK","ONBEKEND")),IF(AND($BN151=$BK151,$BO151=$BL151+1),IF(OR(COUNTIF(#REF!,$D151)&gt;0,COUNTIF(#REF!,$D151)=0),"SKIP",IF(COUNTIFS(#REF!,$D151,#REF!,$Z151)&gt;0,"OK","ONBEKEND")),"ONZEKER")))))</f>
        <v/>
      </c>
      <c r="AB151" t="str">
        <f t="shared" si="1112"/>
        <v/>
      </c>
      <c r="AC151" t="str">
        <f t="shared" si="1113"/>
        <v/>
      </c>
      <c r="AD151" t="str">
        <f>IF($AC151="","",IF(OR($BQ151="",$BR151=""),"ONZEKER",IF(OR($BN151="",$BO151=""),"ONZEKER",IF(AND($BQ151=$BN151+1,$BR151=$BO151),IF(OR(COUNTIF(#REF!,$B151)&gt;0,COUNTIF(#REF!,$B151)=0),"SKIP",IF(COUNTIFS(#REF!,$B151,#REF!,$AC151)&gt;0,"OK","ONBEKEND")),IF(AND($BQ151=$BN151,$BR151=$BO151+1),IF(OR(COUNTIF(#REF!,$D151)&gt;0,COUNTIF(#REF!,$D151)=0),"SKIP",IF(COUNTIFS(#REF!,$D151,#REF!,$AC151)&gt;0,"OK","ONBEKEND")),"ONZEKER")))))</f>
        <v/>
      </c>
      <c r="AE151" t="str">
        <f t="shared" si="1114"/>
        <v/>
      </c>
      <c r="AF151" t="str">
        <f t="shared" si="1115"/>
        <v/>
      </c>
      <c r="AG151" t="str">
        <f>IF($AF151="","",IF(OR($BT151="",$BU151=""),"ONZEKER",IF(OR($BQ151="",$BR151=""),"ONZEKER",IF(AND($BT151=$BQ151+1,$BU151=$BR151),IF(OR(COUNTIF(#REF!,$B151)&gt;0,COUNTIF(#REF!,$B151)=0),"SKIP",IF(COUNTIFS(#REF!,$B151,#REF!,$AF151)&gt;0,"OK","ONBEKEND")),IF(AND($BT151=$BQ151,$BU151=$BR151+1),IF(OR(COUNTIF(#REF!,$D151)&gt;0,COUNTIF(#REF!,$D151)=0),"SKIP",IF(COUNTIFS(#REF!,$D151,#REF!,$AF151)&gt;0,"OK","ONBEKEND")),"ONZEKER")))))</f>
        <v/>
      </c>
      <c r="AH151" t="str">
        <f t="shared" si="1116"/>
        <v/>
      </c>
      <c r="AI151" t="str">
        <f t="shared" si="1117"/>
        <v/>
      </c>
      <c r="AJ151" t="str">
        <f>IF($AI151="","",IF(OR($BW151="",$BX151=""),"ONZEKER",IF(OR($BT151="",$BU151=""),"ONZEKER",IF(AND($BW151=$BT151+1,$BX151=$BU151),IF(OR(COUNTIF(#REF!,$B151)&gt;0,COUNTIF(#REF!,$B151)=0),"SKIP",IF(COUNTIFS(#REF!,$B151,#REF!,$AI151)&gt;0,"OK","ONBEKEND")),IF(AND($BW151=$BT151,$BX151=$BU151+1),IF(OR(COUNTIF(#REF!,$D151)&gt;0,COUNTIF(#REF!,$D151)=0),"SKIP",IF(COUNTIFS(#REF!,$D151,#REF!,$AI151)&gt;0,"OK","ONBEKEND")),"ONZEKER")))))</f>
        <v/>
      </c>
      <c r="AK151" t="str">
        <f t="shared" si="1118"/>
        <v/>
      </c>
      <c r="AL151" t="str">
        <f t="shared" si="1119"/>
        <v/>
      </c>
      <c r="AM151" t="str">
        <f>IF($AL151="","",IF(OR($BZ151="",$CA151=""),"ONZEKER",IF(OR($BW151="",$BX151=""),"ONZEKER",IF(AND($BZ151=$BW151+1,$CA151=$BX151),IF(OR(COUNTIF(#REF!,$B151)&gt;0,COUNTIF(#REF!,$B151)=0),"SKIP",IF(COUNTIFS(#REF!,$B151,#REF!,$AL151)&gt;0,"OK","ONBEKEND")),IF(AND($BZ151=$BW151,$CA151=$BX151+1),IF(OR(COUNTIF(#REF!,$D151)&gt;0,COUNTIF(#REF!,$D151)=0),"SKIP",IF(COUNTIFS(#REF!,$D151,#REF!,$AL151)&gt;0,"OK","ONBEKEND")),"ONZEKER")))))</f>
        <v/>
      </c>
      <c r="AN151" t="str">
        <f t="shared" si="1120"/>
        <v/>
      </c>
      <c r="AO151" t="str">
        <f t="shared" si="1121"/>
        <v/>
      </c>
      <c r="AP151" t="str">
        <f>IF($AO151="","",IF(OR($CC151="",$CD151=""),"ONZEKER",IF(OR($BZ151="",$CA151=""),"ONZEKER",IF(AND($CC151=$BZ151+1,$CD151=$CA151),IF(OR(COUNTIF(#REF!,$B151)&gt;0,COUNTIF(#REF!,$B151)=0),"SKIP",IF(COUNTIFS(#REF!,$B151,#REF!,$AO151)&gt;0,"OK","ONBEKEND")),IF(AND($CC151=$BZ151,$CD151=$CA151+1),IF(OR(COUNTIF(#REF!,$D151)&gt;0,COUNTIF(#REF!,$D151)=0),"SKIP",IF(COUNTIFS(#REF!,$D151,#REF!,$AO151)&gt;0,"OK","ONBEKEND")),"ONZEKER")))))</f>
        <v/>
      </c>
      <c r="AQ151" t="str">
        <f t="shared" si="1122"/>
        <v/>
      </c>
      <c r="AR151" t="str">
        <f t="shared" si="1123"/>
        <v/>
      </c>
      <c r="AS151" t="str">
        <f>IF($AR151="","",IF(OR($CF151="",$CG151=""),"ONZEKER",IF(OR($CC151="",$CD151=""),"ONZEKER",IF(AND($CF151=$CC151+1,$CG151=$CD151),IF(OR(COUNTIF(#REF!,$B151)&gt;0,COUNTIF(#REF!,$B151)=0),"SKIP",IF(COUNTIFS(#REF!,$B151,#REF!,$AR151)&gt;0,"OK","ONBEKEND")),IF(AND($CF151=$CC151,$CG151=$CD151+1),IF(OR(COUNTIF(#REF!,$D151)&gt;0,COUNTIF(#REF!,$D151)=0),"SKIP",IF(COUNTIFS(#REF!,$D151,#REF!,$AR151)&gt;0,"OK","ONBEKEND")),"ONZEKER")))))</f>
        <v/>
      </c>
      <c r="AT151" t="str">
        <f t="shared" si="1124"/>
        <v/>
      </c>
      <c r="AU151" t="str">
        <f t="shared" si="1125"/>
        <v/>
      </c>
      <c r="AV151" t="str">
        <f t="shared" si="1126"/>
        <v/>
      </c>
      <c r="AW151" t="str">
        <f t="shared" si="1127"/>
        <v/>
      </c>
      <c r="AX151" t="str">
        <f t="shared" si="1128"/>
        <v/>
      </c>
      <c r="AY151" t="str">
        <f t="shared" si="1129"/>
        <v/>
      </c>
      <c r="AZ151" t="str">
        <f t="shared" si="1130"/>
        <v/>
      </c>
      <c r="BA151" t="str">
        <f t="shared" si="1131"/>
        <v/>
      </c>
      <c r="BB151" t="str">
        <f t="shared" si="1132"/>
        <v/>
      </c>
      <c r="BC151" t="str">
        <f t="shared" si="1133"/>
        <v/>
      </c>
      <c r="BD151" t="str">
        <f t="shared" si="980"/>
        <v/>
      </c>
      <c r="BE151" t="str">
        <f t="shared" si="981"/>
        <v/>
      </c>
      <c r="BF151" t="str">
        <f t="shared" si="982"/>
        <v/>
      </c>
      <c r="BG151" t="str">
        <f t="shared" si="983"/>
        <v/>
      </c>
      <c r="BH151" t="str">
        <f t="shared" si="984"/>
        <v/>
      </c>
      <c r="BI151" t="str">
        <f t="shared" si="985"/>
        <v/>
      </c>
      <c r="BJ151" t="str">
        <f t="shared" si="986"/>
        <v/>
      </c>
      <c r="BK151" t="str">
        <f t="shared" si="987"/>
        <v/>
      </c>
      <c r="BL151" t="str">
        <f t="shared" si="988"/>
        <v/>
      </c>
      <c r="BM151" t="str">
        <f t="shared" si="989"/>
        <v/>
      </c>
      <c r="BN151" t="str">
        <f t="shared" si="990"/>
        <v/>
      </c>
      <c r="BO151" t="str">
        <f t="shared" si="991"/>
        <v/>
      </c>
      <c r="BP151" t="str">
        <f t="shared" si="992"/>
        <v/>
      </c>
      <c r="BQ151" t="str">
        <f t="shared" si="993"/>
        <v/>
      </c>
      <c r="BR151" t="str">
        <f t="shared" si="994"/>
        <v/>
      </c>
      <c r="BS151" t="str">
        <f t="shared" si="995"/>
        <v/>
      </c>
      <c r="BT151" t="str">
        <f t="shared" si="996"/>
        <v/>
      </c>
      <c r="BU151" t="str">
        <f t="shared" si="997"/>
        <v/>
      </c>
      <c r="BV151" t="str">
        <f t="shared" si="998"/>
        <v/>
      </c>
      <c r="BW151" t="str">
        <f t="shared" si="999"/>
        <v/>
      </c>
      <c r="BX151" t="str">
        <f t="shared" si="1000"/>
        <v/>
      </c>
      <c r="BY151" t="str">
        <f t="shared" si="1001"/>
        <v/>
      </c>
      <c r="BZ151" t="str">
        <f t="shared" si="1002"/>
        <v/>
      </c>
      <c r="CA151" t="str">
        <f t="shared" si="1003"/>
        <v/>
      </c>
      <c r="CB151" t="str">
        <f t="shared" si="1004"/>
        <v/>
      </c>
      <c r="CC151" t="str">
        <f t="shared" si="1005"/>
        <v/>
      </c>
      <c r="CD151" t="str">
        <f t="shared" si="1006"/>
        <v/>
      </c>
      <c r="CE151" t="str">
        <f t="shared" si="1007"/>
        <v/>
      </c>
      <c r="CF151" t="str">
        <f t="shared" si="1008"/>
        <v/>
      </c>
      <c r="CG151" t="str">
        <f t="shared" si="1009"/>
        <v/>
      </c>
      <c r="CH151" t="str">
        <f t="shared" si="1134"/>
        <v/>
      </c>
      <c r="CI151" t="str">
        <f t="shared" si="1135"/>
        <v/>
      </c>
      <c r="CJ151" t="str">
        <f>IF($CI151="","",IF(OR($DW151="",$DX151=""),"ONZEKER",IF(OR($CF151="",$CG151=""),"ONZEKER",IF(AND($DW151=$CF151+1,$DX151=$CG151),IF(OR(COUNTIF(#REF!,$B151)&gt;0,COUNTIF(#REF!,$B151)=0),"SKIP",IF(COUNTIFS(#REF!,$B151,#REF!,$CI151)&gt;0,"OK","ONBEKEND")),IF(AND($DW151=$CF151,$DX151=$CG151+1),IF(OR(COUNTIF(#REF!,$D151)&gt;0,COUNTIF(#REF!,$D151)=0),"SKIP",IF(COUNTIFS(#REF!,$D151,#REF!,$CI151)&gt;0,"OK","ONBEKEND")),"ONZEKER")))))</f>
        <v/>
      </c>
      <c r="CK151" t="str">
        <f t="shared" si="1136"/>
        <v/>
      </c>
      <c r="CL151" t="str">
        <f t="shared" si="1137"/>
        <v/>
      </c>
      <c r="CM151" t="str">
        <f>IF($CL151="","",IF(OR($DZ151="",$EA151=""),"ONZEKER",IF(OR($DW151="",$DX151=""),"ONZEKER",IF(AND($DZ151=$DW151+1,$EA151=$DX151),IF(OR(COUNTIF(#REF!,$B151)&gt;0,COUNTIF(#REF!,$B151)=0),"SKIP",IF(COUNTIFS(#REF!,$B151,#REF!,$CL151)&gt;0,"OK","ONBEKEND")),IF(AND($DZ151=$DW151,$EA151=$DX151+1),IF(OR(COUNTIF(#REF!,$D151)&gt;0,COUNTIF(#REF!,$D151)=0),"SKIP",IF(COUNTIFS(#REF!,$D151,#REF!,$CL151)&gt;0,"OK","ONBEKEND")),"ONZEKER")))))</f>
        <v/>
      </c>
      <c r="CN151" t="str">
        <f t="shared" si="1138"/>
        <v/>
      </c>
      <c r="CO151" t="str">
        <f t="shared" si="1139"/>
        <v/>
      </c>
      <c r="CP151" t="str">
        <f>IF($CO151="","",IF(OR($EC151="",$ED151=""),"ONZEKER",IF(OR($DZ151="",$EA151=""),"ONZEKER",IF(AND($EC151=$DZ151+1,$ED151=$EA151),IF(OR(COUNTIF(#REF!,$B151)&gt;0,COUNTIF(#REF!,$B151)=0),"SKIP",IF(COUNTIFS(#REF!,$B151,#REF!,$CO151)&gt;0,"OK","ONBEKEND")),IF(AND($EC151=$DZ151,$ED151=$EA151+1),IF(OR(COUNTIF(#REF!,$D151)&gt;0,COUNTIF(#REF!,$D151)=0),"SKIP",IF(COUNTIFS(#REF!,$D151,#REF!,$CO151)&gt;0,"OK","ONBEKEND")),"ONZEKER")))))</f>
        <v/>
      </c>
      <c r="CQ151" t="str">
        <f t="shared" si="1140"/>
        <v/>
      </c>
      <c r="CR151" t="str">
        <f t="shared" si="1141"/>
        <v/>
      </c>
      <c r="CS151" t="str">
        <f>IF($CR151="","",IF(OR($EF151="",$EG151=""),"ONZEKER",IF(OR($EC151="",$ED151=""),"ONZEKER",IF(AND($EF151=$EC151+1,$EG151=$ED151),IF(OR(COUNTIF(#REF!,$B151)&gt;0,COUNTIF(#REF!,$B151)=0),"SKIP",IF(COUNTIFS(#REF!,$B151,#REF!,$CR151)&gt;0,"OK","ONBEKEND")),IF(AND($EF151=$EC151,$EG151=$ED151+1),IF(OR(COUNTIF(#REF!,$D151)&gt;0,COUNTIF(#REF!,$D151)=0),"SKIP",IF(COUNTIFS(#REF!,$D151,#REF!,$CR151)&gt;0,"OK","ONBEKEND")),"ONZEKER")))))</f>
        <v/>
      </c>
      <c r="CT151" t="str">
        <f t="shared" si="1142"/>
        <v/>
      </c>
      <c r="CU151" t="str">
        <f t="shared" si="1143"/>
        <v/>
      </c>
      <c r="CV151" t="str">
        <f>IF($CU151="","",IF(OR($EI151="",$EJ151=""),"ONZEKER",IF(OR($EF151="",$EG151=""),"ONZEKER",IF(AND($EI151=$EF151+1,$EJ151=$EG151),IF(OR(COUNTIF(#REF!,$B151)&gt;0,COUNTIF(#REF!,$B151)=0),"SKIP",IF(COUNTIFS(#REF!,$B151,#REF!,$CU151)&gt;0,"OK","ONBEKEND")),IF(AND($EI151=$EF151,$EJ151=$EG151+1),IF(OR(COUNTIF(#REF!,$D151)&gt;0,COUNTIF(#REF!,$D151)=0),"SKIP",IF(COUNTIFS(#REF!,$D151,#REF!,$CU151)&gt;0,"OK","ONBEKEND")),"ONZEKER")))))</f>
        <v/>
      </c>
      <c r="CW151" t="str">
        <f t="shared" si="1144"/>
        <v/>
      </c>
      <c r="CX151" t="str">
        <f t="shared" si="1145"/>
        <v/>
      </c>
      <c r="CY151" t="str">
        <f>IF($CX151="","",IF(OR($EL151="",$EM151=""),"ONZEKER",IF(OR($EI151="",$EJ151=""),"ONZEKER",IF(AND($EL151=$EI151+1,$EM151=$EJ151),IF(OR(COUNTIF(#REF!,$B151)&gt;0,COUNTIF(#REF!,$B151)=0),"SKIP",IF(COUNTIFS(#REF!,$B151,#REF!,$CX151)&gt;0,"OK","ONBEKEND")),IF(AND($EL151=$EI151,$EM151=$EJ151+1),IF(OR(COUNTIF(#REF!,$D151)&gt;0,COUNTIF(#REF!,$D151)=0),"SKIP",IF(COUNTIFS(#REF!,$D151,#REF!,$CX151)&gt;0,"OK","ONBEKEND")),"ONZEKER")))))</f>
        <v/>
      </c>
      <c r="CZ151" t="str">
        <f t="shared" si="1146"/>
        <v/>
      </c>
      <c r="DA151" t="str">
        <f t="shared" si="1147"/>
        <v/>
      </c>
      <c r="DB151" t="str">
        <f>IF($DA151="","",IF(OR($EO151="",$EP151=""),"ONZEKER",IF(OR($EL151="",$EM151=""),"ONZEKER",IF(AND($EO151=$EL151+1,$EP151=$EM151),IF(OR(COUNTIF(#REF!,$B151)&gt;0,COUNTIF(#REF!,$B151)=0),"SKIP",IF(COUNTIFS(#REF!,$B151,#REF!,$DA151)&gt;0,"OK","ONBEKEND")),IF(AND($EO151=$EL151,$EP151=$EM151+1),IF(OR(COUNTIF(#REF!,$D151)&gt;0,COUNTIF(#REF!,$D151)=0),"SKIP",IF(COUNTIFS(#REF!,$D151,#REF!,$DA151)&gt;0,"OK","ONBEKEND")),"ONZEKER")))))</f>
        <v/>
      </c>
      <c r="DC151" t="str">
        <f t="shared" si="1148"/>
        <v/>
      </c>
      <c r="DD151" t="str">
        <f t="shared" si="1149"/>
        <v/>
      </c>
      <c r="DE151" t="str">
        <f>IF($DD151="","",IF(OR($ER151="",$ES151=""),"ONZEKER",IF(OR($EO151="",$EP151=""),"ONZEKER",IF(AND($ER151=$EO151+1,$ES151=$EP151),IF(OR(COUNTIF(#REF!,$B151)&gt;0,COUNTIF(#REF!,$B151)=0),"SKIP",IF(COUNTIFS(#REF!,$B151,#REF!,$DD151)&gt;0,"OK","ONBEKEND")),IF(AND($ER151=$EO151,$ES151=$EP151+1),IF(OR(COUNTIF(#REF!,$D151)&gt;0,COUNTIF(#REF!,$D151)=0),"SKIP",IF(COUNTIFS(#REF!,$D151,#REF!,$DD151)&gt;0,"OK","ONBEKEND")),"ONZEKER")))))</f>
        <v/>
      </c>
      <c r="DF151" t="str">
        <f t="shared" si="1150"/>
        <v/>
      </c>
      <c r="DG151" t="str">
        <f t="shared" si="1151"/>
        <v/>
      </c>
      <c r="DH151" t="str">
        <f>IF($DG151="","",IF(OR($EU151="",$EV151=""),"ONZEKER",IF(OR($ER151="",$ES151=""),"ONZEKER",IF(AND($EU151=$ER151+1,$EV151=$ES151),IF(OR(COUNTIF(#REF!,$B151)&gt;0,COUNTIF(#REF!,$B151)=0),"SKIP",IF(COUNTIFS(#REF!,$B151,#REF!,$DG151)&gt;0,"OK","ONBEKEND")),IF(AND($EU151=$ER151,$EV151=$ES151+1),IF(OR(COUNTIF(#REF!,$D151)&gt;0,COUNTIF(#REF!,$D151)=0),"SKIP",IF(COUNTIFS(#REF!,$D151,#REF!,$DG151)&gt;0,"OK","ONBEKEND")),"ONZEKER")))))</f>
        <v/>
      </c>
      <c r="DI151" t="str">
        <f t="shared" si="1152"/>
        <v/>
      </c>
      <c r="DJ151" t="str">
        <f t="shared" si="1153"/>
        <v/>
      </c>
      <c r="DK151" t="str">
        <f>IF($DJ151="","",IF(OR($EX151="",$EY151=""),"ONZEKER",IF(OR($EU151="",$EV151=""),"ONZEKER",IF(AND($EX151=$EU151+1,$EY151=$EV151),IF(OR(COUNTIF(#REF!,$B151)&gt;0,COUNTIF(#REF!,$B151)=0),"SKIP",IF(COUNTIFS(#REF!,$B151,#REF!,$DJ151)&gt;0,"OK","ONBEKEND")),IF(AND($EX151=$EU151,$EY151=$EV151+1),IF(OR(COUNTIF(#REF!,$D151)&gt;0,COUNTIF(#REF!,$D151)=0),"SKIP",IF(COUNTIFS(#REF!,$D151,#REF!,$DJ151)&gt;0,"OK","ONBEKEND")),"ONZEKER")))))</f>
        <v/>
      </c>
      <c r="DL151" t="str">
        <f t="shared" si="1154"/>
        <v/>
      </c>
      <c r="DM151" t="str">
        <f t="shared" si="1155"/>
        <v/>
      </c>
      <c r="DN151" t="str">
        <f t="shared" si="1156"/>
        <v/>
      </c>
      <c r="DO151" t="str">
        <f t="shared" si="1157"/>
        <v/>
      </c>
      <c r="DP151" t="str">
        <f t="shared" si="1158"/>
        <v/>
      </c>
      <c r="DQ151" t="str">
        <f t="shared" si="1159"/>
        <v/>
      </c>
      <c r="DR151" t="str">
        <f t="shared" si="1160"/>
        <v/>
      </c>
      <c r="DS151" t="str">
        <f t="shared" si="1161"/>
        <v/>
      </c>
      <c r="DT151" t="str">
        <f t="shared" si="1162"/>
        <v/>
      </c>
      <c r="DU151" t="str">
        <f t="shared" si="1163"/>
        <v/>
      </c>
      <c r="DV151" t="str">
        <f t="shared" si="1164"/>
        <v/>
      </c>
      <c r="DW151" t="str">
        <f t="shared" si="1165"/>
        <v/>
      </c>
      <c r="DX151" t="str">
        <f t="shared" si="1166"/>
        <v/>
      </c>
      <c r="DY151" t="str">
        <f t="shared" si="1167"/>
        <v/>
      </c>
      <c r="DZ151" t="str">
        <f t="shared" si="1168"/>
        <v/>
      </c>
      <c r="EA151" t="str">
        <f t="shared" si="1169"/>
        <v/>
      </c>
      <c r="EB151" t="str">
        <f t="shared" si="1170"/>
        <v/>
      </c>
      <c r="EC151" t="str">
        <f t="shared" si="1171"/>
        <v/>
      </c>
      <c r="ED151" t="str">
        <f t="shared" si="1172"/>
        <v/>
      </c>
      <c r="EE151" t="str">
        <f t="shared" si="1173"/>
        <v/>
      </c>
      <c r="EF151" t="str">
        <f t="shared" si="1174"/>
        <v/>
      </c>
      <c r="EG151" t="str">
        <f t="shared" si="1175"/>
        <v/>
      </c>
      <c r="EH151" t="str">
        <f t="shared" si="1176"/>
        <v/>
      </c>
      <c r="EI151" t="str">
        <f t="shared" si="1177"/>
        <v/>
      </c>
      <c r="EJ151" t="str">
        <f t="shared" si="1178"/>
        <v/>
      </c>
      <c r="EK151" t="str">
        <f t="shared" si="1179"/>
        <v/>
      </c>
      <c r="EL151" t="str">
        <f t="shared" si="1180"/>
        <v/>
      </c>
      <c r="EM151" t="str">
        <f t="shared" si="1181"/>
        <v/>
      </c>
      <c r="EN151" t="str">
        <f t="shared" si="1182"/>
        <v/>
      </c>
      <c r="EO151" t="str">
        <f t="shared" si="1183"/>
        <v/>
      </c>
      <c r="EP151" t="str">
        <f t="shared" si="1184"/>
        <v/>
      </c>
      <c r="EQ151" t="str">
        <f t="shared" si="1185"/>
        <v/>
      </c>
      <c r="ER151" t="str">
        <f t="shared" si="1186"/>
        <v/>
      </c>
      <c r="ES151" t="str">
        <f t="shared" si="1187"/>
        <v/>
      </c>
      <c r="ET151" t="str">
        <f t="shared" si="1188"/>
        <v/>
      </c>
      <c r="EU151" t="str">
        <f t="shared" si="1189"/>
        <v/>
      </c>
      <c r="EV151" t="str">
        <f t="shared" si="1190"/>
        <v/>
      </c>
      <c r="EW151" t="str">
        <f t="shared" si="1191"/>
        <v/>
      </c>
      <c r="EX151" t="str">
        <f t="shared" si="1192"/>
        <v/>
      </c>
      <c r="EY151" t="str">
        <f t="shared" si="1193"/>
        <v/>
      </c>
    </row>
    <row r="152" spans="1:155" ht="13.9" customHeight="1" x14ac:dyDescent="0.25">
      <c r="A152" s="7"/>
      <c r="B152" s="17"/>
      <c r="C152" s="8"/>
      <c r="D152" s="17"/>
      <c r="E152" s="8"/>
      <c r="F152" s="18">
        <v>0</v>
      </c>
      <c r="G152" s="7" t="s">
        <v>147</v>
      </c>
      <c r="H152" s="18">
        <v>0</v>
      </c>
      <c r="I152" s="19">
        <v>0</v>
      </c>
      <c r="J152" s="7" t="s">
        <v>147</v>
      </c>
      <c r="K152" s="19">
        <v>0</v>
      </c>
      <c r="L152" s="9"/>
      <c r="M152" s="3" t="str">
        <f>IF($L152="","",IF($L152="DOELPUNTENMAKERS","",IF(AND(COUNTIF(#REF!,$B152)=0,COUNTIF(#REF!,$D152)=0),"OK",IF($O152&gt;20,"LET OP: meer dan 20 items (controle onvolledig)",IF((COUNTIF($R152:$AS152,"ONZEKER")+COUNTIF($CJ152:$DK152,"ONZEKER"))&gt;0,"LET OP: scoreverloop onduidelijk (controle beperkt)",IF((IF($AT152&lt;&gt;"",$AT152&amp;", ","")&amp;IF($AU152&lt;&gt;"",$AU152&amp;", ","")&amp;IF($AV152&lt;&gt;"",$AV152&amp;", ","")&amp;IF($AW152&lt;&gt;"",$AW152&amp;", ","")&amp;IF($AX152&lt;&gt;"",$AX152&amp;", ","")&amp;IF($AY152&lt;&gt;"",$AY152&amp;", ","")&amp;IF($AZ152&lt;&gt;"",$AZ152&amp;", ","")&amp;IF($BA152&lt;&gt;"",$BA152&amp;", ","")&amp;IF($BB152&lt;&gt;"",$BB152&amp;", ","")&amp;IF($BC152&lt;&gt;"",$BC152&amp;", ","")&amp;IF($DL152&lt;&gt;"",$DL152&amp;", ","")&amp;IF($DM152&lt;&gt;"",$DM152&amp;", ","")&amp;IF($DN152&lt;&gt;"",$DN152&amp;", ","")&amp;IF($DO152&lt;&gt;"",$DO152&amp;", ","")&amp;IF($DP152&lt;&gt;"",$DP152&amp;", ","")&amp;IF($DQ152&lt;&gt;"",$DQ152&amp;", ","")&amp;IF($DR152&lt;&gt;"",$DR152&amp;", ","")&amp;IF($DS152&lt;&gt;"",$DS152&amp;", ","")&amp;IF($DT152&lt;&gt;"",$DT152&amp;", ","")&amp;IF($DU152&lt;&gt;"",$DU152&amp;", ",""))="","OK","Onbekend: "&amp;LEFT((IF($AT152&lt;&gt;"",$AT152&amp;", ","")&amp;IF($AU152&lt;&gt;"",$AU152&amp;", ","")&amp;IF($AV152&lt;&gt;"",$AV152&amp;", ","")&amp;IF($AW152&lt;&gt;"",$AW152&amp;", ","")&amp;IF($AX152&lt;&gt;"",$AX152&amp;", ","")&amp;IF($AY152&lt;&gt;"",$AY152&amp;", ","")&amp;IF($AZ152&lt;&gt;"",$AZ152&amp;", ","")&amp;IF($BA152&lt;&gt;"",$BA152&amp;", ","")&amp;IF($BB152&lt;&gt;"",$BB152&amp;", ","")&amp;IF($BC152&lt;&gt;"",$BC152&amp;", ","")&amp;IF($DL152&lt;&gt;"",$DL152&amp;", ","")&amp;IF($DM152&lt;&gt;"",$DM152&amp;", ","")&amp;IF($DN152&lt;&gt;"",$DN152&amp;", ","")&amp;IF($DO152&lt;&gt;"",$DO152&amp;", ","")&amp;IF($DP152&lt;&gt;"",$DP152&amp;", ","")&amp;IF($DQ152&lt;&gt;"",$DQ152&amp;", ","")&amp;IF($DR152&lt;&gt;"",$DR152&amp;", ","")&amp;IF($DS152&lt;&gt;"",$DS152&amp;", ","")&amp;IF($DT152&lt;&gt;"",$DT152&amp;", ","")&amp;IF($DU152&lt;&gt;"",$DU152&amp;", ","")),LEN((IF($AT152&lt;&gt;"",$AT152&amp;", ","")&amp;IF($AU152&lt;&gt;"",$AU152&amp;", ","")&amp;IF($AV152&lt;&gt;"",$AV152&amp;", ","")&amp;IF($AW152&lt;&gt;"",$AW152&amp;", ","")&amp;IF($AX152&lt;&gt;"",$AX152&amp;", ","")&amp;IF($AY152&lt;&gt;"",$AY152&amp;", ","")&amp;IF($AZ152&lt;&gt;"",$AZ152&amp;", ","")&amp;IF($BA152&lt;&gt;"",$BA152&amp;", ","")&amp;IF($BB152&lt;&gt;"",$BB152&amp;", ","")&amp;IF($BC152&lt;&gt;"",$BC152&amp;", ","")&amp;IF($DL152&lt;&gt;"",$DL152&amp;", ","")&amp;IF($DM152&lt;&gt;"",$DM152&amp;", ","")&amp;IF($DN152&lt;&gt;"",$DN152&amp;", ","")&amp;IF($DO152&lt;&gt;"",$DO152&amp;", ","")&amp;IF($DP152&lt;&gt;"",$DP152&amp;", ","")&amp;IF($DQ152&lt;&gt;"",$DQ152&amp;", ","")&amp;IF($DR152&lt;&gt;"",$DR152&amp;", ","")&amp;IF($DS152&lt;&gt;"",$DS152&amp;", ","")&amp;IF($DT152&lt;&gt;"",$DT152&amp;", ","")&amp;IF($DU152&lt;&gt;"",$DU152&amp;", ","")))-2)))))))</f>
        <v/>
      </c>
      <c r="N152" t="str">
        <f t="shared" si="1102"/>
        <v/>
      </c>
      <c r="O152" t="str">
        <f t="shared" si="1103"/>
        <v/>
      </c>
      <c r="P152" t="str">
        <f t="shared" si="1104"/>
        <v/>
      </c>
      <c r="Q152" t="str">
        <f t="shared" si="1105"/>
        <v/>
      </c>
      <c r="R152" t="str">
        <f>IF($Q152="","",IF(OR($BE152="",$BF152=""),"ONZEKER",IF(AND($BE152=0+1,$BF152=0),IF(OR(COUNTIF(#REF!,$B152)&gt;0,COUNTIF(#REF!,$B152)=0),"SKIP",IF(COUNTIFS(#REF!,$B152,#REF!,$Q152)&gt;0,"OK","ONBEKEND")),IF(AND($BE152=0,$BF152=0+1),IF(OR(COUNTIF(#REF!,$D152)&gt;0,COUNTIF(#REF!,$D152)=0),"SKIP",IF(COUNTIFS(#REF!,$D152,#REF!,$Q152)&gt;0,"OK","ONBEKEND")),"ONZEKER"))))</f>
        <v/>
      </c>
      <c r="S152" t="str">
        <f t="shared" si="1106"/>
        <v/>
      </c>
      <c r="T152" t="str">
        <f t="shared" si="1107"/>
        <v/>
      </c>
      <c r="U152" t="str">
        <f>IF($T152="","",IF(OR($BH152="",$BI152=""),"ONZEKER",IF(OR($BE152="",$BF152=""),"ONZEKER",IF(AND($BH152=$BE152+1,$BI152=$BF152),IF(OR(COUNTIF(#REF!,$B152)&gt;0,COUNTIF(#REF!,$B152)=0),"SKIP",IF(COUNTIFS(#REF!,$B152,#REF!,$T152)&gt;0,"OK","ONBEKEND")),IF(AND($BH152=$BE152,$BI152=$BF152+1),IF(OR(COUNTIF(#REF!,$D152)&gt;0,COUNTIF(#REF!,$D152)=0),"SKIP",IF(COUNTIFS(#REF!,$D152,#REF!,$T152)&gt;0,"OK","ONBEKEND")),"ONZEKER")))))</f>
        <v/>
      </c>
      <c r="V152" t="str">
        <f t="shared" si="1108"/>
        <v/>
      </c>
      <c r="W152" t="str">
        <f t="shared" si="1109"/>
        <v/>
      </c>
      <c r="X152" t="str">
        <f>IF($W152="","",IF(OR($BK152="",$BL152=""),"ONZEKER",IF(OR($BH152="",$BI152=""),"ONZEKER",IF(AND($BK152=$BH152+1,$BL152=$BI152),IF(OR(COUNTIF(#REF!,$B152)&gt;0,COUNTIF(#REF!,$B152)=0),"SKIP",IF(COUNTIFS(#REF!,$B152,#REF!,$W152)&gt;0,"OK","ONBEKEND")),IF(AND($BK152=$BH152,$BL152=$BI152+1),IF(OR(COUNTIF(#REF!,$D152)&gt;0,COUNTIF(#REF!,$D152)=0),"SKIP",IF(COUNTIFS(#REF!,$D152,#REF!,$W152)&gt;0,"OK","ONBEKEND")),"ONZEKER")))))</f>
        <v/>
      </c>
      <c r="Y152" t="str">
        <f t="shared" si="1110"/>
        <v/>
      </c>
      <c r="Z152" t="str">
        <f t="shared" si="1111"/>
        <v/>
      </c>
      <c r="AA152" t="str">
        <f>IF($Z152="","",IF(OR($BN152="",$BO152=""),"ONZEKER",IF(OR($BK152="",$BL152=""),"ONZEKER",IF(AND($BN152=$BK152+1,$BO152=$BL152),IF(OR(COUNTIF(#REF!,$B152)&gt;0,COUNTIF(#REF!,$B152)=0),"SKIP",IF(COUNTIFS(#REF!,$B152,#REF!,$Z152)&gt;0,"OK","ONBEKEND")),IF(AND($BN152=$BK152,$BO152=$BL152+1),IF(OR(COUNTIF(#REF!,$D152)&gt;0,COUNTIF(#REF!,$D152)=0),"SKIP",IF(COUNTIFS(#REF!,$D152,#REF!,$Z152)&gt;0,"OK","ONBEKEND")),"ONZEKER")))))</f>
        <v/>
      </c>
      <c r="AB152" t="str">
        <f t="shared" si="1112"/>
        <v/>
      </c>
      <c r="AC152" t="str">
        <f t="shared" si="1113"/>
        <v/>
      </c>
      <c r="AD152" t="str">
        <f>IF($AC152="","",IF(OR($BQ152="",$BR152=""),"ONZEKER",IF(OR($BN152="",$BO152=""),"ONZEKER",IF(AND($BQ152=$BN152+1,$BR152=$BO152),IF(OR(COUNTIF(#REF!,$B152)&gt;0,COUNTIF(#REF!,$B152)=0),"SKIP",IF(COUNTIFS(#REF!,$B152,#REF!,$AC152)&gt;0,"OK","ONBEKEND")),IF(AND($BQ152=$BN152,$BR152=$BO152+1),IF(OR(COUNTIF(#REF!,$D152)&gt;0,COUNTIF(#REF!,$D152)=0),"SKIP",IF(COUNTIFS(#REF!,$D152,#REF!,$AC152)&gt;0,"OK","ONBEKEND")),"ONZEKER")))))</f>
        <v/>
      </c>
      <c r="AE152" t="str">
        <f t="shared" si="1114"/>
        <v/>
      </c>
      <c r="AF152" t="str">
        <f t="shared" si="1115"/>
        <v/>
      </c>
      <c r="AG152" t="str">
        <f>IF($AF152="","",IF(OR($BT152="",$BU152=""),"ONZEKER",IF(OR($BQ152="",$BR152=""),"ONZEKER",IF(AND($BT152=$BQ152+1,$BU152=$BR152),IF(OR(COUNTIF(#REF!,$B152)&gt;0,COUNTIF(#REF!,$B152)=0),"SKIP",IF(COUNTIFS(#REF!,$B152,#REF!,$AF152)&gt;0,"OK","ONBEKEND")),IF(AND($BT152=$BQ152,$BU152=$BR152+1),IF(OR(COUNTIF(#REF!,$D152)&gt;0,COUNTIF(#REF!,$D152)=0),"SKIP",IF(COUNTIFS(#REF!,$D152,#REF!,$AF152)&gt;0,"OK","ONBEKEND")),"ONZEKER")))))</f>
        <v/>
      </c>
      <c r="AH152" t="str">
        <f t="shared" si="1116"/>
        <v/>
      </c>
      <c r="AI152" t="str">
        <f t="shared" si="1117"/>
        <v/>
      </c>
      <c r="AJ152" t="str">
        <f>IF($AI152="","",IF(OR($BW152="",$BX152=""),"ONZEKER",IF(OR($BT152="",$BU152=""),"ONZEKER",IF(AND($BW152=$BT152+1,$BX152=$BU152),IF(OR(COUNTIF(#REF!,$B152)&gt;0,COUNTIF(#REF!,$B152)=0),"SKIP",IF(COUNTIFS(#REF!,$B152,#REF!,$AI152)&gt;0,"OK","ONBEKEND")),IF(AND($BW152=$BT152,$BX152=$BU152+1),IF(OR(COUNTIF(#REF!,$D152)&gt;0,COUNTIF(#REF!,$D152)=0),"SKIP",IF(COUNTIFS(#REF!,$D152,#REF!,$AI152)&gt;0,"OK","ONBEKEND")),"ONZEKER")))))</f>
        <v/>
      </c>
      <c r="AK152" t="str">
        <f t="shared" si="1118"/>
        <v/>
      </c>
      <c r="AL152" t="str">
        <f t="shared" si="1119"/>
        <v/>
      </c>
      <c r="AM152" t="str">
        <f>IF($AL152="","",IF(OR($BZ152="",$CA152=""),"ONZEKER",IF(OR($BW152="",$BX152=""),"ONZEKER",IF(AND($BZ152=$BW152+1,$CA152=$BX152),IF(OR(COUNTIF(#REF!,$B152)&gt;0,COUNTIF(#REF!,$B152)=0),"SKIP",IF(COUNTIFS(#REF!,$B152,#REF!,$AL152)&gt;0,"OK","ONBEKEND")),IF(AND($BZ152=$BW152,$CA152=$BX152+1),IF(OR(COUNTIF(#REF!,$D152)&gt;0,COUNTIF(#REF!,$D152)=0),"SKIP",IF(COUNTIFS(#REF!,$D152,#REF!,$AL152)&gt;0,"OK","ONBEKEND")),"ONZEKER")))))</f>
        <v/>
      </c>
      <c r="AN152" t="str">
        <f t="shared" si="1120"/>
        <v/>
      </c>
      <c r="AO152" t="str">
        <f t="shared" si="1121"/>
        <v/>
      </c>
      <c r="AP152" t="str">
        <f>IF($AO152="","",IF(OR($CC152="",$CD152=""),"ONZEKER",IF(OR($BZ152="",$CA152=""),"ONZEKER",IF(AND($CC152=$BZ152+1,$CD152=$CA152),IF(OR(COUNTIF(#REF!,$B152)&gt;0,COUNTIF(#REF!,$B152)=0),"SKIP",IF(COUNTIFS(#REF!,$B152,#REF!,$AO152)&gt;0,"OK","ONBEKEND")),IF(AND($CC152=$BZ152,$CD152=$CA152+1),IF(OR(COUNTIF(#REF!,$D152)&gt;0,COUNTIF(#REF!,$D152)=0),"SKIP",IF(COUNTIFS(#REF!,$D152,#REF!,$AO152)&gt;0,"OK","ONBEKEND")),"ONZEKER")))))</f>
        <v/>
      </c>
      <c r="AQ152" t="str">
        <f t="shared" si="1122"/>
        <v/>
      </c>
      <c r="AR152" t="str">
        <f t="shared" si="1123"/>
        <v/>
      </c>
      <c r="AS152" t="str">
        <f>IF($AR152="","",IF(OR($CF152="",$CG152=""),"ONZEKER",IF(OR($CC152="",$CD152=""),"ONZEKER",IF(AND($CF152=$CC152+1,$CG152=$CD152),IF(OR(COUNTIF(#REF!,$B152)&gt;0,COUNTIF(#REF!,$B152)=0),"SKIP",IF(COUNTIFS(#REF!,$B152,#REF!,$AR152)&gt;0,"OK","ONBEKEND")),IF(AND($CF152=$CC152,$CG152=$CD152+1),IF(OR(COUNTIF(#REF!,$D152)&gt;0,COUNTIF(#REF!,$D152)=0),"SKIP",IF(COUNTIFS(#REF!,$D152,#REF!,$AR152)&gt;0,"OK","ONBEKEND")),"ONZEKER")))))</f>
        <v/>
      </c>
      <c r="AT152" t="str">
        <f t="shared" si="1124"/>
        <v/>
      </c>
      <c r="AU152" t="str">
        <f t="shared" si="1125"/>
        <v/>
      </c>
      <c r="AV152" t="str">
        <f t="shared" si="1126"/>
        <v/>
      </c>
      <c r="AW152" t="str">
        <f t="shared" si="1127"/>
        <v/>
      </c>
      <c r="AX152" t="str">
        <f t="shared" si="1128"/>
        <v/>
      </c>
      <c r="AY152" t="str">
        <f t="shared" si="1129"/>
        <v/>
      </c>
      <c r="AZ152" t="str">
        <f t="shared" si="1130"/>
        <v/>
      </c>
      <c r="BA152" t="str">
        <f t="shared" si="1131"/>
        <v/>
      </c>
      <c r="BB152" t="str">
        <f t="shared" si="1132"/>
        <v/>
      </c>
      <c r="BC152" t="str">
        <f t="shared" si="1133"/>
        <v/>
      </c>
      <c r="BD152" t="str">
        <f t="shared" si="980"/>
        <v/>
      </c>
      <c r="BE152" t="str">
        <f t="shared" si="981"/>
        <v/>
      </c>
      <c r="BF152" t="str">
        <f t="shared" si="982"/>
        <v/>
      </c>
      <c r="BG152" t="str">
        <f t="shared" si="983"/>
        <v/>
      </c>
      <c r="BH152" t="str">
        <f t="shared" si="984"/>
        <v/>
      </c>
      <c r="BI152" t="str">
        <f t="shared" si="985"/>
        <v/>
      </c>
      <c r="BJ152" t="str">
        <f t="shared" si="986"/>
        <v/>
      </c>
      <c r="BK152" t="str">
        <f t="shared" si="987"/>
        <v/>
      </c>
      <c r="BL152" t="str">
        <f t="shared" si="988"/>
        <v/>
      </c>
      <c r="BM152" t="str">
        <f t="shared" si="989"/>
        <v/>
      </c>
      <c r="BN152" t="str">
        <f t="shared" si="990"/>
        <v/>
      </c>
      <c r="BO152" t="str">
        <f t="shared" si="991"/>
        <v/>
      </c>
      <c r="BP152" t="str">
        <f t="shared" si="992"/>
        <v/>
      </c>
      <c r="BQ152" t="str">
        <f t="shared" si="993"/>
        <v/>
      </c>
      <c r="BR152" t="str">
        <f t="shared" si="994"/>
        <v/>
      </c>
      <c r="BS152" t="str">
        <f t="shared" si="995"/>
        <v/>
      </c>
      <c r="BT152" t="str">
        <f t="shared" si="996"/>
        <v/>
      </c>
      <c r="BU152" t="str">
        <f t="shared" si="997"/>
        <v/>
      </c>
      <c r="BV152" t="str">
        <f t="shared" si="998"/>
        <v/>
      </c>
      <c r="BW152" t="str">
        <f t="shared" si="999"/>
        <v/>
      </c>
      <c r="BX152" t="str">
        <f t="shared" si="1000"/>
        <v/>
      </c>
      <c r="BY152" t="str">
        <f t="shared" si="1001"/>
        <v/>
      </c>
      <c r="BZ152" t="str">
        <f t="shared" si="1002"/>
        <v/>
      </c>
      <c r="CA152" t="str">
        <f t="shared" si="1003"/>
        <v/>
      </c>
      <c r="CB152" t="str">
        <f t="shared" si="1004"/>
        <v/>
      </c>
      <c r="CC152" t="str">
        <f t="shared" si="1005"/>
        <v/>
      </c>
      <c r="CD152" t="str">
        <f t="shared" si="1006"/>
        <v/>
      </c>
      <c r="CE152" t="str">
        <f t="shared" si="1007"/>
        <v/>
      </c>
      <c r="CF152" t="str">
        <f t="shared" si="1008"/>
        <v/>
      </c>
      <c r="CG152" t="str">
        <f t="shared" si="1009"/>
        <v/>
      </c>
      <c r="CH152" t="str">
        <f t="shared" si="1134"/>
        <v/>
      </c>
      <c r="CI152" t="str">
        <f t="shared" si="1135"/>
        <v/>
      </c>
      <c r="CJ152" t="str">
        <f>IF($CI152="","",IF(OR($DW152="",$DX152=""),"ONZEKER",IF(OR($CF152="",$CG152=""),"ONZEKER",IF(AND($DW152=$CF152+1,$DX152=$CG152),IF(OR(COUNTIF(#REF!,$B152)&gt;0,COUNTIF(#REF!,$B152)=0),"SKIP",IF(COUNTIFS(#REF!,$B152,#REF!,$CI152)&gt;0,"OK","ONBEKEND")),IF(AND($DW152=$CF152,$DX152=$CG152+1),IF(OR(COUNTIF(#REF!,$D152)&gt;0,COUNTIF(#REF!,$D152)=0),"SKIP",IF(COUNTIFS(#REF!,$D152,#REF!,$CI152)&gt;0,"OK","ONBEKEND")),"ONZEKER")))))</f>
        <v/>
      </c>
      <c r="CK152" t="str">
        <f t="shared" si="1136"/>
        <v/>
      </c>
      <c r="CL152" t="str">
        <f t="shared" si="1137"/>
        <v/>
      </c>
      <c r="CM152" t="str">
        <f>IF($CL152="","",IF(OR($DZ152="",$EA152=""),"ONZEKER",IF(OR($DW152="",$DX152=""),"ONZEKER",IF(AND($DZ152=$DW152+1,$EA152=$DX152),IF(OR(COUNTIF(#REF!,$B152)&gt;0,COUNTIF(#REF!,$B152)=0),"SKIP",IF(COUNTIFS(#REF!,$B152,#REF!,$CL152)&gt;0,"OK","ONBEKEND")),IF(AND($DZ152=$DW152,$EA152=$DX152+1),IF(OR(COUNTIF(#REF!,$D152)&gt;0,COUNTIF(#REF!,$D152)=0),"SKIP",IF(COUNTIFS(#REF!,$D152,#REF!,$CL152)&gt;0,"OK","ONBEKEND")),"ONZEKER")))))</f>
        <v/>
      </c>
      <c r="CN152" t="str">
        <f t="shared" si="1138"/>
        <v/>
      </c>
      <c r="CO152" t="str">
        <f t="shared" si="1139"/>
        <v/>
      </c>
      <c r="CP152" t="str">
        <f>IF($CO152="","",IF(OR($EC152="",$ED152=""),"ONZEKER",IF(OR($DZ152="",$EA152=""),"ONZEKER",IF(AND($EC152=$DZ152+1,$ED152=$EA152),IF(OR(COUNTIF(#REF!,$B152)&gt;0,COUNTIF(#REF!,$B152)=0),"SKIP",IF(COUNTIFS(#REF!,$B152,#REF!,$CO152)&gt;0,"OK","ONBEKEND")),IF(AND($EC152=$DZ152,$ED152=$EA152+1),IF(OR(COUNTIF(#REF!,$D152)&gt;0,COUNTIF(#REF!,$D152)=0),"SKIP",IF(COUNTIFS(#REF!,$D152,#REF!,$CO152)&gt;0,"OK","ONBEKEND")),"ONZEKER")))))</f>
        <v/>
      </c>
      <c r="CQ152" t="str">
        <f t="shared" si="1140"/>
        <v/>
      </c>
      <c r="CR152" t="str">
        <f t="shared" si="1141"/>
        <v/>
      </c>
      <c r="CS152" t="str">
        <f>IF($CR152="","",IF(OR($EF152="",$EG152=""),"ONZEKER",IF(OR($EC152="",$ED152=""),"ONZEKER",IF(AND($EF152=$EC152+1,$EG152=$ED152),IF(OR(COUNTIF(#REF!,$B152)&gt;0,COUNTIF(#REF!,$B152)=0),"SKIP",IF(COUNTIFS(#REF!,$B152,#REF!,$CR152)&gt;0,"OK","ONBEKEND")),IF(AND($EF152=$EC152,$EG152=$ED152+1),IF(OR(COUNTIF(#REF!,$D152)&gt;0,COUNTIF(#REF!,$D152)=0),"SKIP",IF(COUNTIFS(#REF!,$D152,#REF!,$CR152)&gt;0,"OK","ONBEKEND")),"ONZEKER")))))</f>
        <v/>
      </c>
      <c r="CT152" t="str">
        <f t="shared" si="1142"/>
        <v/>
      </c>
      <c r="CU152" t="str">
        <f t="shared" si="1143"/>
        <v/>
      </c>
      <c r="CV152" t="str">
        <f>IF($CU152="","",IF(OR($EI152="",$EJ152=""),"ONZEKER",IF(OR($EF152="",$EG152=""),"ONZEKER",IF(AND($EI152=$EF152+1,$EJ152=$EG152),IF(OR(COUNTIF(#REF!,$B152)&gt;0,COUNTIF(#REF!,$B152)=0),"SKIP",IF(COUNTIFS(#REF!,$B152,#REF!,$CU152)&gt;0,"OK","ONBEKEND")),IF(AND($EI152=$EF152,$EJ152=$EG152+1),IF(OR(COUNTIF(#REF!,$D152)&gt;0,COUNTIF(#REF!,$D152)=0),"SKIP",IF(COUNTIFS(#REF!,$D152,#REF!,$CU152)&gt;0,"OK","ONBEKEND")),"ONZEKER")))))</f>
        <v/>
      </c>
      <c r="CW152" t="str">
        <f t="shared" si="1144"/>
        <v/>
      </c>
      <c r="CX152" t="str">
        <f t="shared" si="1145"/>
        <v/>
      </c>
      <c r="CY152" t="str">
        <f>IF($CX152="","",IF(OR($EL152="",$EM152=""),"ONZEKER",IF(OR($EI152="",$EJ152=""),"ONZEKER",IF(AND($EL152=$EI152+1,$EM152=$EJ152),IF(OR(COUNTIF(#REF!,$B152)&gt;0,COUNTIF(#REF!,$B152)=0),"SKIP",IF(COUNTIFS(#REF!,$B152,#REF!,$CX152)&gt;0,"OK","ONBEKEND")),IF(AND($EL152=$EI152,$EM152=$EJ152+1),IF(OR(COUNTIF(#REF!,$D152)&gt;0,COUNTIF(#REF!,$D152)=0),"SKIP",IF(COUNTIFS(#REF!,$D152,#REF!,$CX152)&gt;0,"OK","ONBEKEND")),"ONZEKER")))))</f>
        <v/>
      </c>
      <c r="CZ152" t="str">
        <f t="shared" si="1146"/>
        <v/>
      </c>
      <c r="DA152" t="str">
        <f t="shared" si="1147"/>
        <v/>
      </c>
      <c r="DB152" t="str">
        <f>IF($DA152="","",IF(OR($EO152="",$EP152=""),"ONZEKER",IF(OR($EL152="",$EM152=""),"ONZEKER",IF(AND($EO152=$EL152+1,$EP152=$EM152),IF(OR(COUNTIF(#REF!,$B152)&gt;0,COUNTIF(#REF!,$B152)=0),"SKIP",IF(COUNTIFS(#REF!,$B152,#REF!,$DA152)&gt;0,"OK","ONBEKEND")),IF(AND($EO152=$EL152,$EP152=$EM152+1),IF(OR(COUNTIF(#REF!,$D152)&gt;0,COUNTIF(#REF!,$D152)=0),"SKIP",IF(COUNTIFS(#REF!,$D152,#REF!,$DA152)&gt;0,"OK","ONBEKEND")),"ONZEKER")))))</f>
        <v/>
      </c>
      <c r="DC152" t="str">
        <f t="shared" si="1148"/>
        <v/>
      </c>
      <c r="DD152" t="str">
        <f t="shared" si="1149"/>
        <v/>
      </c>
      <c r="DE152" t="str">
        <f>IF($DD152="","",IF(OR($ER152="",$ES152=""),"ONZEKER",IF(OR($EO152="",$EP152=""),"ONZEKER",IF(AND($ER152=$EO152+1,$ES152=$EP152),IF(OR(COUNTIF(#REF!,$B152)&gt;0,COUNTIF(#REF!,$B152)=0),"SKIP",IF(COUNTIFS(#REF!,$B152,#REF!,$DD152)&gt;0,"OK","ONBEKEND")),IF(AND($ER152=$EO152,$ES152=$EP152+1),IF(OR(COUNTIF(#REF!,$D152)&gt;0,COUNTIF(#REF!,$D152)=0),"SKIP",IF(COUNTIFS(#REF!,$D152,#REF!,$DD152)&gt;0,"OK","ONBEKEND")),"ONZEKER")))))</f>
        <v/>
      </c>
      <c r="DF152" t="str">
        <f t="shared" si="1150"/>
        <v/>
      </c>
      <c r="DG152" t="str">
        <f t="shared" si="1151"/>
        <v/>
      </c>
      <c r="DH152" t="str">
        <f>IF($DG152="","",IF(OR($EU152="",$EV152=""),"ONZEKER",IF(OR($ER152="",$ES152=""),"ONZEKER",IF(AND($EU152=$ER152+1,$EV152=$ES152),IF(OR(COUNTIF(#REF!,$B152)&gt;0,COUNTIF(#REF!,$B152)=0),"SKIP",IF(COUNTIFS(#REF!,$B152,#REF!,$DG152)&gt;0,"OK","ONBEKEND")),IF(AND($EU152=$ER152,$EV152=$ES152+1),IF(OR(COUNTIF(#REF!,$D152)&gt;0,COUNTIF(#REF!,$D152)=0),"SKIP",IF(COUNTIFS(#REF!,$D152,#REF!,$DG152)&gt;0,"OK","ONBEKEND")),"ONZEKER")))))</f>
        <v/>
      </c>
      <c r="DI152" t="str">
        <f t="shared" si="1152"/>
        <v/>
      </c>
      <c r="DJ152" t="str">
        <f t="shared" si="1153"/>
        <v/>
      </c>
      <c r="DK152" t="str">
        <f>IF($DJ152="","",IF(OR($EX152="",$EY152=""),"ONZEKER",IF(OR($EU152="",$EV152=""),"ONZEKER",IF(AND($EX152=$EU152+1,$EY152=$EV152),IF(OR(COUNTIF(#REF!,$B152)&gt;0,COUNTIF(#REF!,$B152)=0),"SKIP",IF(COUNTIFS(#REF!,$B152,#REF!,$DJ152)&gt;0,"OK","ONBEKEND")),IF(AND($EX152=$EU152,$EY152=$EV152+1),IF(OR(COUNTIF(#REF!,$D152)&gt;0,COUNTIF(#REF!,$D152)=0),"SKIP",IF(COUNTIFS(#REF!,$D152,#REF!,$DJ152)&gt;0,"OK","ONBEKEND")),"ONZEKER")))))</f>
        <v/>
      </c>
      <c r="DL152" t="str">
        <f t="shared" si="1154"/>
        <v/>
      </c>
      <c r="DM152" t="str">
        <f t="shared" si="1155"/>
        <v/>
      </c>
      <c r="DN152" t="str">
        <f t="shared" si="1156"/>
        <v/>
      </c>
      <c r="DO152" t="str">
        <f t="shared" si="1157"/>
        <v/>
      </c>
      <c r="DP152" t="str">
        <f t="shared" si="1158"/>
        <v/>
      </c>
      <c r="DQ152" t="str">
        <f t="shared" si="1159"/>
        <v/>
      </c>
      <c r="DR152" t="str">
        <f t="shared" si="1160"/>
        <v/>
      </c>
      <c r="DS152" t="str">
        <f t="shared" si="1161"/>
        <v/>
      </c>
      <c r="DT152" t="str">
        <f t="shared" si="1162"/>
        <v/>
      </c>
      <c r="DU152" t="str">
        <f t="shared" si="1163"/>
        <v/>
      </c>
      <c r="DV152" t="str">
        <f t="shared" si="1164"/>
        <v/>
      </c>
      <c r="DW152" t="str">
        <f t="shared" si="1165"/>
        <v/>
      </c>
      <c r="DX152" t="str">
        <f t="shared" si="1166"/>
        <v/>
      </c>
      <c r="DY152" t="str">
        <f t="shared" si="1167"/>
        <v/>
      </c>
      <c r="DZ152" t="str">
        <f t="shared" si="1168"/>
        <v/>
      </c>
      <c r="EA152" t="str">
        <f t="shared" si="1169"/>
        <v/>
      </c>
      <c r="EB152" t="str">
        <f t="shared" si="1170"/>
        <v/>
      </c>
      <c r="EC152" t="str">
        <f t="shared" si="1171"/>
        <v/>
      </c>
      <c r="ED152" t="str">
        <f t="shared" si="1172"/>
        <v/>
      </c>
      <c r="EE152" t="str">
        <f t="shared" si="1173"/>
        <v/>
      </c>
      <c r="EF152" t="str">
        <f t="shared" si="1174"/>
        <v/>
      </c>
      <c r="EG152" t="str">
        <f t="shared" si="1175"/>
        <v/>
      </c>
      <c r="EH152" t="str">
        <f t="shared" si="1176"/>
        <v/>
      </c>
      <c r="EI152" t="str">
        <f t="shared" si="1177"/>
        <v/>
      </c>
      <c r="EJ152" t="str">
        <f t="shared" si="1178"/>
        <v/>
      </c>
      <c r="EK152" t="str">
        <f t="shared" si="1179"/>
        <v/>
      </c>
      <c r="EL152" t="str">
        <f t="shared" si="1180"/>
        <v/>
      </c>
      <c r="EM152" t="str">
        <f t="shared" si="1181"/>
        <v/>
      </c>
      <c r="EN152" t="str">
        <f t="shared" si="1182"/>
        <v/>
      </c>
      <c r="EO152" t="str">
        <f t="shared" si="1183"/>
        <v/>
      </c>
      <c r="EP152" t="str">
        <f t="shared" si="1184"/>
        <v/>
      </c>
      <c r="EQ152" t="str">
        <f t="shared" si="1185"/>
        <v/>
      </c>
      <c r="ER152" t="str">
        <f t="shared" si="1186"/>
        <v/>
      </c>
      <c r="ES152" t="str">
        <f t="shared" si="1187"/>
        <v/>
      </c>
      <c r="ET152" t="str">
        <f t="shared" si="1188"/>
        <v/>
      </c>
      <c r="EU152" t="str">
        <f t="shared" si="1189"/>
        <v/>
      </c>
      <c r="EV152" t="str">
        <f t="shared" si="1190"/>
        <v/>
      </c>
      <c r="EW152" t="str">
        <f t="shared" si="1191"/>
        <v/>
      </c>
      <c r="EX152" t="str">
        <f t="shared" si="1192"/>
        <v/>
      </c>
      <c r="EY152" t="str">
        <f t="shared" si="1193"/>
        <v/>
      </c>
    </row>
    <row r="153" spans="1:155" ht="13.9" customHeight="1" x14ac:dyDescent="0.25">
      <c r="A153" s="7"/>
      <c r="B153" s="17"/>
      <c r="C153" s="8"/>
      <c r="D153" s="17"/>
      <c r="E153" s="8"/>
      <c r="F153" s="18">
        <v>0</v>
      </c>
      <c r="G153" s="7" t="s">
        <v>147</v>
      </c>
      <c r="H153" s="18">
        <v>0</v>
      </c>
      <c r="I153" s="19">
        <v>0</v>
      </c>
      <c r="J153" s="7" t="s">
        <v>147</v>
      </c>
      <c r="K153" s="19">
        <v>0</v>
      </c>
      <c r="L153" s="9"/>
      <c r="M153" s="3" t="str">
        <f>IF($L153="","",IF($L153="DOELPUNTENMAKERS","",IF(AND(COUNTIF(#REF!,$B153)=0,COUNTIF(#REF!,$D153)=0),"OK",IF($O153&gt;20,"LET OP: meer dan 20 items (controle onvolledig)",IF((COUNTIF($R153:$AS153,"ONZEKER")+COUNTIF($CJ153:$DK153,"ONZEKER"))&gt;0,"LET OP: scoreverloop onduidelijk (controle beperkt)",IF((IF($AT153&lt;&gt;"",$AT153&amp;", ","")&amp;IF($AU153&lt;&gt;"",$AU153&amp;", ","")&amp;IF($AV153&lt;&gt;"",$AV153&amp;", ","")&amp;IF($AW153&lt;&gt;"",$AW153&amp;", ","")&amp;IF($AX153&lt;&gt;"",$AX153&amp;", ","")&amp;IF($AY153&lt;&gt;"",$AY153&amp;", ","")&amp;IF($AZ153&lt;&gt;"",$AZ153&amp;", ","")&amp;IF($BA153&lt;&gt;"",$BA153&amp;", ","")&amp;IF($BB153&lt;&gt;"",$BB153&amp;", ","")&amp;IF($BC153&lt;&gt;"",$BC153&amp;", ","")&amp;IF($DL153&lt;&gt;"",$DL153&amp;", ","")&amp;IF($DM153&lt;&gt;"",$DM153&amp;", ","")&amp;IF($DN153&lt;&gt;"",$DN153&amp;", ","")&amp;IF($DO153&lt;&gt;"",$DO153&amp;", ","")&amp;IF($DP153&lt;&gt;"",$DP153&amp;", ","")&amp;IF($DQ153&lt;&gt;"",$DQ153&amp;", ","")&amp;IF($DR153&lt;&gt;"",$DR153&amp;", ","")&amp;IF($DS153&lt;&gt;"",$DS153&amp;", ","")&amp;IF($DT153&lt;&gt;"",$DT153&amp;", ","")&amp;IF($DU153&lt;&gt;"",$DU153&amp;", ",""))="","OK","Onbekend: "&amp;LEFT((IF($AT153&lt;&gt;"",$AT153&amp;", ","")&amp;IF($AU153&lt;&gt;"",$AU153&amp;", ","")&amp;IF($AV153&lt;&gt;"",$AV153&amp;", ","")&amp;IF($AW153&lt;&gt;"",$AW153&amp;", ","")&amp;IF($AX153&lt;&gt;"",$AX153&amp;", ","")&amp;IF($AY153&lt;&gt;"",$AY153&amp;", ","")&amp;IF($AZ153&lt;&gt;"",$AZ153&amp;", ","")&amp;IF($BA153&lt;&gt;"",$BA153&amp;", ","")&amp;IF($BB153&lt;&gt;"",$BB153&amp;", ","")&amp;IF($BC153&lt;&gt;"",$BC153&amp;", ","")&amp;IF($DL153&lt;&gt;"",$DL153&amp;", ","")&amp;IF($DM153&lt;&gt;"",$DM153&amp;", ","")&amp;IF($DN153&lt;&gt;"",$DN153&amp;", ","")&amp;IF($DO153&lt;&gt;"",$DO153&amp;", ","")&amp;IF($DP153&lt;&gt;"",$DP153&amp;", ","")&amp;IF($DQ153&lt;&gt;"",$DQ153&amp;", ","")&amp;IF($DR153&lt;&gt;"",$DR153&amp;", ","")&amp;IF($DS153&lt;&gt;"",$DS153&amp;", ","")&amp;IF($DT153&lt;&gt;"",$DT153&amp;", ","")&amp;IF($DU153&lt;&gt;"",$DU153&amp;", ","")),LEN((IF($AT153&lt;&gt;"",$AT153&amp;", ","")&amp;IF($AU153&lt;&gt;"",$AU153&amp;", ","")&amp;IF($AV153&lt;&gt;"",$AV153&amp;", ","")&amp;IF($AW153&lt;&gt;"",$AW153&amp;", ","")&amp;IF($AX153&lt;&gt;"",$AX153&amp;", ","")&amp;IF($AY153&lt;&gt;"",$AY153&amp;", ","")&amp;IF($AZ153&lt;&gt;"",$AZ153&amp;", ","")&amp;IF($BA153&lt;&gt;"",$BA153&amp;", ","")&amp;IF($BB153&lt;&gt;"",$BB153&amp;", ","")&amp;IF($BC153&lt;&gt;"",$BC153&amp;", ","")&amp;IF($DL153&lt;&gt;"",$DL153&amp;", ","")&amp;IF($DM153&lt;&gt;"",$DM153&amp;", ","")&amp;IF($DN153&lt;&gt;"",$DN153&amp;", ","")&amp;IF($DO153&lt;&gt;"",$DO153&amp;", ","")&amp;IF($DP153&lt;&gt;"",$DP153&amp;", ","")&amp;IF($DQ153&lt;&gt;"",$DQ153&amp;", ","")&amp;IF($DR153&lt;&gt;"",$DR153&amp;", ","")&amp;IF($DS153&lt;&gt;"",$DS153&amp;", ","")&amp;IF($DT153&lt;&gt;"",$DT153&amp;", ","")&amp;IF($DU153&lt;&gt;"",$DU153&amp;", ","")))-2)))))))</f>
        <v/>
      </c>
      <c r="N153" t="str">
        <f t="shared" si="1102"/>
        <v/>
      </c>
      <c r="O153" t="str">
        <f t="shared" si="1103"/>
        <v/>
      </c>
      <c r="P153" t="str">
        <f t="shared" si="1104"/>
        <v/>
      </c>
      <c r="Q153" t="str">
        <f t="shared" si="1105"/>
        <v/>
      </c>
      <c r="R153" t="str">
        <f>IF($Q153="","",IF(OR($BE153="",$BF153=""),"ONZEKER",IF(AND($BE153=0+1,$BF153=0),IF(OR(COUNTIF(#REF!,$B153)&gt;0,COUNTIF(#REF!,$B153)=0),"SKIP",IF(COUNTIFS(#REF!,$B153,#REF!,$Q153)&gt;0,"OK","ONBEKEND")),IF(AND($BE153=0,$BF153=0+1),IF(OR(COUNTIF(#REF!,$D153)&gt;0,COUNTIF(#REF!,$D153)=0),"SKIP",IF(COUNTIFS(#REF!,$D153,#REF!,$Q153)&gt;0,"OK","ONBEKEND")),"ONZEKER"))))</f>
        <v/>
      </c>
      <c r="S153" t="str">
        <f t="shared" si="1106"/>
        <v/>
      </c>
      <c r="T153" t="str">
        <f t="shared" si="1107"/>
        <v/>
      </c>
      <c r="U153" t="str">
        <f>IF($T153="","",IF(OR($BH153="",$BI153=""),"ONZEKER",IF(OR($BE153="",$BF153=""),"ONZEKER",IF(AND($BH153=$BE153+1,$BI153=$BF153),IF(OR(COUNTIF(#REF!,$B153)&gt;0,COUNTIF(#REF!,$B153)=0),"SKIP",IF(COUNTIFS(#REF!,$B153,#REF!,$T153)&gt;0,"OK","ONBEKEND")),IF(AND($BH153=$BE153,$BI153=$BF153+1),IF(OR(COUNTIF(#REF!,$D153)&gt;0,COUNTIF(#REF!,$D153)=0),"SKIP",IF(COUNTIFS(#REF!,$D153,#REF!,$T153)&gt;0,"OK","ONBEKEND")),"ONZEKER")))))</f>
        <v/>
      </c>
      <c r="V153" t="str">
        <f t="shared" si="1108"/>
        <v/>
      </c>
      <c r="W153" t="str">
        <f t="shared" si="1109"/>
        <v/>
      </c>
      <c r="X153" t="str">
        <f>IF($W153="","",IF(OR($BK153="",$BL153=""),"ONZEKER",IF(OR($BH153="",$BI153=""),"ONZEKER",IF(AND($BK153=$BH153+1,$BL153=$BI153),IF(OR(COUNTIF(#REF!,$B153)&gt;0,COUNTIF(#REF!,$B153)=0),"SKIP",IF(COUNTIFS(#REF!,$B153,#REF!,$W153)&gt;0,"OK","ONBEKEND")),IF(AND($BK153=$BH153,$BL153=$BI153+1),IF(OR(COUNTIF(#REF!,$D153)&gt;0,COUNTIF(#REF!,$D153)=0),"SKIP",IF(COUNTIFS(#REF!,$D153,#REF!,$W153)&gt;0,"OK","ONBEKEND")),"ONZEKER")))))</f>
        <v/>
      </c>
      <c r="Y153" t="str">
        <f t="shared" si="1110"/>
        <v/>
      </c>
      <c r="Z153" t="str">
        <f t="shared" si="1111"/>
        <v/>
      </c>
      <c r="AA153" t="str">
        <f>IF($Z153="","",IF(OR($BN153="",$BO153=""),"ONZEKER",IF(OR($BK153="",$BL153=""),"ONZEKER",IF(AND($BN153=$BK153+1,$BO153=$BL153),IF(OR(COUNTIF(#REF!,$B153)&gt;0,COUNTIF(#REF!,$B153)=0),"SKIP",IF(COUNTIFS(#REF!,$B153,#REF!,$Z153)&gt;0,"OK","ONBEKEND")),IF(AND($BN153=$BK153,$BO153=$BL153+1),IF(OR(COUNTIF(#REF!,$D153)&gt;0,COUNTIF(#REF!,$D153)=0),"SKIP",IF(COUNTIFS(#REF!,$D153,#REF!,$Z153)&gt;0,"OK","ONBEKEND")),"ONZEKER")))))</f>
        <v/>
      </c>
      <c r="AB153" t="str">
        <f t="shared" si="1112"/>
        <v/>
      </c>
      <c r="AC153" t="str">
        <f t="shared" si="1113"/>
        <v/>
      </c>
      <c r="AD153" t="str">
        <f>IF($AC153="","",IF(OR($BQ153="",$BR153=""),"ONZEKER",IF(OR($BN153="",$BO153=""),"ONZEKER",IF(AND($BQ153=$BN153+1,$BR153=$BO153),IF(OR(COUNTIF(#REF!,$B153)&gt;0,COUNTIF(#REF!,$B153)=0),"SKIP",IF(COUNTIFS(#REF!,$B153,#REF!,$AC153)&gt;0,"OK","ONBEKEND")),IF(AND($BQ153=$BN153,$BR153=$BO153+1),IF(OR(COUNTIF(#REF!,$D153)&gt;0,COUNTIF(#REF!,$D153)=0),"SKIP",IF(COUNTIFS(#REF!,$D153,#REF!,$AC153)&gt;0,"OK","ONBEKEND")),"ONZEKER")))))</f>
        <v/>
      </c>
      <c r="AE153" t="str">
        <f t="shared" si="1114"/>
        <v/>
      </c>
      <c r="AF153" t="str">
        <f t="shared" si="1115"/>
        <v/>
      </c>
      <c r="AG153" t="str">
        <f>IF($AF153="","",IF(OR($BT153="",$BU153=""),"ONZEKER",IF(OR($BQ153="",$BR153=""),"ONZEKER",IF(AND($BT153=$BQ153+1,$BU153=$BR153),IF(OR(COUNTIF(#REF!,$B153)&gt;0,COUNTIF(#REF!,$B153)=0),"SKIP",IF(COUNTIFS(#REF!,$B153,#REF!,$AF153)&gt;0,"OK","ONBEKEND")),IF(AND($BT153=$BQ153,$BU153=$BR153+1),IF(OR(COUNTIF(#REF!,$D153)&gt;0,COUNTIF(#REF!,$D153)=0),"SKIP",IF(COUNTIFS(#REF!,$D153,#REF!,$AF153)&gt;0,"OK","ONBEKEND")),"ONZEKER")))))</f>
        <v/>
      </c>
      <c r="AH153" t="str">
        <f t="shared" si="1116"/>
        <v/>
      </c>
      <c r="AI153" t="str">
        <f t="shared" si="1117"/>
        <v/>
      </c>
      <c r="AJ153" t="str">
        <f>IF($AI153="","",IF(OR($BW153="",$BX153=""),"ONZEKER",IF(OR($BT153="",$BU153=""),"ONZEKER",IF(AND($BW153=$BT153+1,$BX153=$BU153),IF(OR(COUNTIF(#REF!,$B153)&gt;0,COUNTIF(#REF!,$B153)=0),"SKIP",IF(COUNTIFS(#REF!,$B153,#REF!,$AI153)&gt;0,"OK","ONBEKEND")),IF(AND($BW153=$BT153,$BX153=$BU153+1),IF(OR(COUNTIF(#REF!,$D153)&gt;0,COUNTIF(#REF!,$D153)=0),"SKIP",IF(COUNTIFS(#REF!,$D153,#REF!,$AI153)&gt;0,"OK","ONBEKEND")),"ONZEKER")))))</f>
        <v/>
      </c>
      <c r="AK153" t="str">
        <f t="shared" si="1118"/>
        <v/>
      </c>
      <c r="AL153" t="str">
        <f t="shared" si="1119"/>
        <v/>
      </c>
      <c r="AM153" t="str">
        <f>IF($AL153="","",IF(OR($BZ153="",$CA153=""),"ONZEKER",IF(OR($BW153="",$BX153=""),"ONZEKER",IF(AND($BZ153=$BW153+1,$CA153=$BX153),IF(OR(COUNTIF(#REF!,$B153)&gt;0,COUNTIF(#REF!,$B153)=0),"SKIP",IF(COUNTIFS(#REF!,$B153,#REF!,$AL153)&gt;0,"OK","ONBEKEND")),IF(AND($BZ153=$BW153,$CA153=$BX153+1),IF(OR(COUNTIF(#REF!,$D153)&gt;0,COUNTIF(#REF!,$D153)=0),"SKIP",IF(COUNTIFS(#REF!,$D153,#REF!,$AL153)&gt;0,"OK","ONBEKEND")),"ONZEKER")))))</f>
        <v/>
      </c>
      <c r="AN153" t="str">
        <f t="shared" si="1120"/>
        <v/>
      </c>
      <c r="AO153" t="str">
        <f t="shared" si="1121"/>
        <v/>
      </c>
      <c r="AP153" t="str">
        <f>IF($AO153="","",IF(OR($CC153="",$CD153=""),"ONZEKER",IF(OR($BZ153="",$CA153=""),"ONZEKER",IF(AND($CC153=$BZ153+1,$CD153=$CA153),IF(OR(COUNTIF(#REF!,$B153)&gt;0,COUNTIF(#REF!,$B153)=0),"SKIP",IF(COUNTIFS(#REF!,$B153,#REF!,$AO153)&gt;0,"OK","ONBEKEND")),IF(AND($CC153=$BZ153,$CD153=$CA153+1),IF(OR(COUNTIF(#REF!,$D153)&gt;0,COUNTIF(#REF!,$D153)=0),"SKIP",IF(COUNTIFS(#REF!,$D153,#REF!,$AO153)&gt;0,"OK","ONBEKEND")),"ONZEKER")))))</f>
        <v/>
      </c>
      <c r="AQ153" t="str">
        <f t="shared" si="1122"/>
        <v/>
      </c>
      <c r="AR153" t="str">
        <f t="shared" si="1123"/>
        <v/>
      </c>
      <c r="AS153" t="str">
        <f>IF($AR153="","",IF(OR($CF153="",$CG153=""),"ONZEKER",IF(OR($CC153="",$CD153=""),"ONZEKER",IF(AND($CF153=$CC153+1,$CG153=$CD153),IF(OR(COUNTIF(#REF!,$B153)&gt;0,COUNTIF(#REF!,$B153)=0),"SKIP",IF(COUNTIFS(#REF!,$B153,#REF!,$AR153)&gt;0,"OK","ONBEKEND")),IF(AND($CF153=$CC153,$CG153=$CD153+1),IF(OR(COUNTIF(#REF!,$D153)&gt;0,COUNTIF(#REF!,$D153)=0),"SKIP",IF(COUNTIFS(#REF!,$D153,#REF!,$AR153)&gt;0,"OK","ONBEKEND")),"ONZEKER")))))</f>
        <v/>
      </c>
      <c r="AT153" t="str">
        <f t="shared" si="1124"/>
        <v/>
      </c>
      <c r="AU153" t="str">
        <f t="shared" si="1125"/>
        <v/>
      </c>
      <c r="AV153" t="str">
        <f t="shared" si="1126"/>
        <v/>
      </c>
      <c r="AW153" t="str">
        <f t="shared" si="1127"/>
        <v/>
      </c>
      <c r="AX153" t="str">
        <f t="shared" si="1128"/>
        <v/>
      </c>
      <c r="AY153" t="str">
        <f t="shared" si="1129"/>
        <v/>
      </c>
      <c r="AZ153" t="str">
        <f t="shared" si="1130"/>
        <v/>
      </c>
      <c r="BA153" t="str">
        <f t="shared" si="1131"/>
        <v/>
      </c>
      <c r="BB153" t="str">
        <f t="shared" si="1132"/>
        <v/>
      </c>
      <c r="BC153" t="str">
        <f t="shared" si="1133"/>
        <v/>
      </c>
      <c r="BD153" t="str">
        <f t="shared" si="980"/>
        <v/>
      </c>
      <c r="BE153" t="str">
        <f t="shared" si="981"/>
        <v/>
      </c>
      <c r="BF153" t="str">
        <f t="shared" si="982"/>
        <v/>
      </c>
      <c r="BG153" t="str">
        <f t="shared" si="983"/>
        <v/>
      </c>
      <c r="BH153" t="str">
        <f t="shared" si="984"/>
        <v/>
      </c>
      <c r="BI153" t="str">
        <f t="shared" si="985"/>
        <v/>
      </c>
      <c r="BJ153" t="str">
        <f t="shared" si="986"/>
        <v/>
      </c>
      <c r="BK153" t="str">
        <f t="shared" si="987"/>
        <v/>
      </c>
      <c r="BL153" t="str">
        <f t="shared" si="988"/>
        <v/>
      </c>
      <c r="BM153" t="str">
        <f t="shared" si="989"/>
        <v/>
      </c>
      <c r="BN153" t="str">
        <f t="shared" si="990"/>
        <v/>
      </c>
      <c r="BO153" t="str">
        <f t="shared" si="991"/>
        <v/>
      </c>
      <c r="BP153" t="str">
        <f t="shared" si="992"/>
        <v/>
      </c>
      <c r="BQ153" t="str">
        <f t="shared" si="993"/>
        <v/>
      </c>
      <c r="BR153" t="str">
        <f t="shared" si="994"/>
        <v/>
      </c>
      <c r="BS153" t="str">
        <f t="shared" si="995"/>
        <v/>
      </c>
      <c r="BT153" t="str">
        <f t="shared" si="996"/>
        <v/>
      </c>
      <c r="BU153" t="str">
        <f t="shared" si="997"/>
        <v/>
      </c>
      <c r="BV153" t="str">
        <f t="shared" si="998"/>
        <v/>
      </c>
      <c r="BW153" t="str">
        <f t="shared" si="999"/>
        <v/>
      </c>
      <c r="BX153" t="str">
        <f t="shared" si="1000"/>
        <v/>
      </c>
      <c r="BY153" t="str">
        <f t="shared" si="1001"/>
        <v/>
      </c>
      <c r="BZ153" t="str">
        <f t="shared" si="1002"/>
        <v/>
      </c>
      <c r="CA153" t="str">
        <f t="shared" si="1003"/>
        <v/>
      </c>
      <c r="CB153" t="str">
        <f t="shared" si="1004"/>
        <v/>
      </c>
      <c r="CC153" t="str">
        <f t="shared" si="1005"/>
        <v/>
      </c>
      <c r="CD153" t="str">
        <f t="shared" si="1006"/>
        <v/>
      </c>
      <c r="CE153" t="str">
        <f t="shared" si="1007"/>
        <v/>
      </c>
      <c r="CF153" t="str">
        <f t="shared" si="1008"/>
        <v/>
      </c>
      <c r="CG153" t="str">
        <f t="shared" si="1009"/>
        <v/>
      </c>
      <c r="CH153" t="str">
        <f t="shared" si="1134"/>
        <v/>
      </c>
      <c r="CI153" t="str">
        <f t="shared" si="1135"/>
        <v/>
      </c>
      <c r="CJ153" t="str">
        <f>IF($CI153="","",IF(OR($DW153="",$DX153=""),"ONZEKER",IF(OR($CF153="",$CG153=""),"ONZEKER",IF(AND($DW153=$CF153+1,$DX153=$CG153),IF(OR(COUNTIF(#REF!,$B153)&gt;0,COUNTIF(#REF!,$B153)=0),"SKIP",IF(COUNTIFS(#REF!,$B153,#REF!,$CI153)&gt;0,"OK","ONBEKEND")),IF(AND($DW153=$CF153,$DX153=$CG153+1),IF(OR(COUNTIF(#REF!,$D153)&gt;0,COUNTIF(#REF!,$D153)=0),"SKIP",IF(COUNTIFS(#REF!,$D153,#REF!,$CI153)&gt;0,"OK","ONBEKEND")),"ONZEKER")))))</f>
        <v/>
      </c>
      <c r="CK153" t="str">
        <f t="shared" si="1136"/>
        <v/>
      </c>
      <c r="CL153" t="str">
        <f t="shared" si="1137"/>
        <v/>
      </c>
      <c r="CM153" t="str">
        <f>IF($CL153="","",IF(OR($DZ153="",$EA153=""),"ONZEKER",IF(OR($DW153="",$DX153=""),"ONZEKER",IF(AND($DZ153=$DW153+1,$EA153=$DX153),IF(OR(COUNTIF(#REF!,$B153)&gt;0,COUNTIF(#REF!,$B153)=0),"SKIP",IF(COUNTIFS(#REF!,$B153,#REF!,$CL153)&gt;0,"OK","ONBEKEND")),IF(AND($DZ153=$DW153,$EA153=$DX153+1),IF(OR(COUNTIF(#REF!,$D153)&gt;0,COUNTIF(#REF!,$D153)=0),"SKIP",IF(COUNTIFS(#REF!,$D153,#REF!,$CL153)&gt;0,"OK","ONBEKEND")),"ONZEKER")))))</f>
        <v/>
      </c>
      <c r="CN153" t="str">
        <f t="shared" si="1138"/>
        <v/>
      </c>
      <c r="CO153" t="str">
        <f t="shared" si="1139"/>
        <v/>
      </c>
      <c r="CP153" t="str">
        <f>IF($CO153="","",IF(OR($EC153="",$ED153=""),"ONZEKER",IF(OR($DZ153="",$EA153=""),"ONZEKER",IF(AND($EC153=$DZ153+1,$ED153=$EA153),IF(OR(COUNTIF(#REF!,$B153)&gt;0,COUNTIF(#REF!,$B153)=0),"SKIP",IF(COUNTIFS(#REF!,$B153,#REF!,$CO153)&gt;0,"OK","ONBEKEND")),IF(AND($EC153=$DZ153,$ED153=$EA153+1),IF(OR(COUNTIF(#REF!,$D153)&gt;0,COUNTIF(#REF!,$D153)=0),"SKIP",IF(COUNTIFS(#REF!,$D153,#REF!,$CO153)&gt;0,"OK","ONBEKEND")),"ONZEKER")))))</f>
        <v/>
      </c>
      <c r="CQ153" t="str">
        <f t="shared" si="1140"/>
        <v/>
      </c>
      <c r="CR153" t="str">
        <f t="shared" si="1141"/>
        <v/>
      </c>
      <c r="CS153" t="str">
        <f>IF($CR153="","",IF(OR($EF153="",$EG153=""),"ONZEKER",IF(OR($EC153="",$ED153=""),"ONZEKER",IF(AND($EF153=$EC153+1,$EG153=$ED153),IF(OR(COUNTIF(#REF!,$B153)&gt;0,COUNTIF(#REF!,$B153)=0),"SKIP",IF(COUNTIFS(#REF!,$B153,#REF!,$CR153)&gt;0,"OK","ONBEKEND")),IF(AND($EF153=$EC153,$EG153=$ED153+1),IF(OR(COUNTIF(#REF!,$D153)&gt;0,COUNTIF(#REF!,$D153)=0),"SKIP",IF(COUNTIFS(#REF!,$D153,#REF!,$CR153)&gt;0,"OK","ONBEKEND")),"ONZEKER")))))</f>
        <v/>
      </c>
      <c r="CT153" t="str">
        <f t="shared" si="1142"/>
        <v/>
      </c>
      <c r="CU153" t="str">
        <f t="shared" si="1143"/>
        <v/>
      </c>
      <c r="CV153" t="str">
        <f>IF($CU153="","",IF(OR($EI153="",$EJ153=""),"ONZEKER",IF(OR($EF153="",$EG153=""),"ONZEKER",IF(AND($EI153=$EF153+1,$EJ153=$EG153),IF(OR(COUNTIF(#REF!,$B153)&gt;0,COUNTIF(#REF!,$B153)=0),"SKIP",IF(COUNTIFS(#REF!,$B153,#REF!,$CU153)&gt;0,"OK","ONBEKEND")),IF(AND($EI153=$EF153,$EJ153=$EG153+1),IF(OR(COUNTIF(#REF!,$D153)&gt;0,COUNTIF(#REF!,$D153)=0),"SKIP",IF(COUNTIFS(#REF!,$D153,#REF!,$CU153)&gt;0,"OK","ONBEKEND")),"ONZEKER")))))</f>
        <v/>
      </c>
      <c r="CW153" t="str">
        <f t="shared" si="1144"/>
        <v/>
      </c>
      <c r="CX153" t="str">
        <f t="shared" si="1145"/>
        <v/>
      </c>
      <c r="CY153" t="str">
        <f>IF($CX153="","",IF(OR($EL153="",$EM153=""),"ONZEKER",IF(OR($EI153="",$EJ153=""),"ONZEKER",IF(AND($EL153=$EI153+1,$EM153=$EJ153),IF(OR(COUNTIF(#REF!,$B153)&gt;0,COUNTIF(#REF!,$B153)=0),"SKIP",IF(COUNTIFS(#REF!,$B153,#REF!,$CX153)&gt;0,"OK","ONBEKEND")),IF(AND($EL153=$EI153,$EM153=$EJ153+1),IF(OR(COUNTIF(#REF!,$D153)&gt;0,COUNTIF(#REF!,$D153)=0),"SKIP",IF(COUNTIFS(#REF!,$D153,#REF!,$CX153)&gt;0,"OK","ONBEKEND")),"ONZEKER")))))</f>
        <v/>
      </c>
      <c r="CZ153" t="str">
        <f t="shared" si="1146"/>
        <v/>
      </c>
      <c r="DA153" t="str">
        <f t="shared" si="1147"/>
        <v/>
      </c>
      <c r="DB153" t="str">
        <f>IF($DA153="","",IF(OR($EO153="",$EP153=""),"ONZEKER",IF(OR($EL153="",$EM153=""),"ONZEKER",IF(AND($EO153=$EL153+1,$EP153=$EM153),IF(OR(COUNTIF(#REF!,$B153)&gt;0,COUNTIF(#REF!,$B153)=0),"SKIP",IF(COUNTIFS(#REF!,$B153,#REF!,$DA153)&gt;0,"OK","ONBEKEND")),IF(AND($EO153=$EL153,$EP153=$EM153+1),IF(OR(COUNTIF(#REF!,$D153)&gt;0,COUNTIF(#REF!,$D153)=0),"SKIP",IF(COUNTIFS(#REF!,$D153,#REF!,$DA153)&gt;0,"OK","ONBEKEND")),"ONZEKER")))))</f>
        <v/>
      </c>
      <c r="DC153" t="str">
        <f t="shared" si="1148"/>
        <v/>
      </c>
      <c r="DD153" t="str">
        <f t="shared" si="1149"/>
        <v/>
      </c>
      <c r="DE153" t="str">
        <f>IF($DD153="","",IF(OR($ER153="",$ES153=""),"ONZEKER",IF(OR($EO153="",$EP153=""),"ONZEKER",IF(AND($ER153=$EO153+1,$ES153=$EP153),IF(OR(COUNTIF(#REF!,$B153)&gt;0,COUNTIF(#REF!,$B153)=0),"SKIP",IF(COUNTIFS(#REF!,$B153,#REF!,$DD153)&gt;0,"OK","ONBEKEND")),IF(AND($ER153=$EO153,$ES153=$EP153+1),IF(OR(COUNTIF(#REF!,$D153)&gt;0,COUNTIF(#REF!,$D153)=0),"SKIP",IF(COUNTIFS(#REF!,$D153,#REF!,$DD153)&gt;0,"OK","ONBEKEND")),"ONZEKER")))))</f>
        <v/>
      </c>
      <c r="DF153" t="str">
        <f t="shared" si="1150"/>
        <v/>
      </c>
      <c r="DG153" t="str">
        <f t="shared" si="1151"/>
        <v/>
      </c>
      <c r="DH153" t="str">
        <f>IF($DG153="","",IF(OR($EU153="",$EV153=""),"ONZEKER",IF(OR($ER153="",$ES153=""),"ONZEKER",IF(AND($EU153=$ER153+1,$EV153=$ES153),IF(OR(COUNTIF(#REF!,$B153)&gt;0,COUNTIF(#REF!,$B153)=0),"SKIP",IF(COUNTIFS(#REF!,$B153,#REF!,$DG153)&gt;0,"OK","ONBEKEND")),IF(AND($EU153=$ER153,$EV153=$ES153+1),IF(OR(COUNTIF(#REF!,$D153)&gt;0,COUNTIF(#REF!,$D153)=0),"SKIP",IF(COUNTIFS(#REF!,$D153,#REF!,$DG153)&gt;0,"OK","ONBEKEND")),"ONZEKER")))))</f>
        <v/>
      </c>
      <c r="DI153" t="str">
        <f t="shared" si="1152"/>
        <v/>
      </c>
      <c r="DJ153" t="str">
        <f t="shared" si="1153"/>
        <v/>
      </c>
      <c r="DK153" t="str">
        <f>IF($DJ153="","",IF(OR($EX153="",$EY153=""),"ONZEKER",IF(OR($EU153="",$EV153=""),"ONZEKER",IF(AND($EX153=$EU153+1,$EY153=$EV153),IF(OR(COUNTIF(#REF!,$B153)&gt;0,COUNTIF(#REF!,$B153)=0),"SKIP",IF(COUNTIFS(#REF!,$B153,#REF!,$DJ153)&gt;0,"OK","ONBEKEND")),IF(AND($EX153=$EU153,$EY153=$EV153+1),IF(OR(COUNTIF(#REF!,$D153)&gt;0,COUNTIF(#REF!,$D153)=0),"SKIP",IF(COUNTIFS(#REF!,$D153,#REF!,$DJ153)&gt;0,"OK","ONBEKEND")),"ONZEKER")))))</f>
        <v/>
      </c>
      <c r="DL153" t="str">
        <f t="shared" si="1154"/>
        <v/>
      </c>
      <c r="DM153" t="str">
        <f t="shared" si="1155"/>
        <v/>
      </c>
      <c r="DN153" t="str">
        <f t="shared" si="1156"/>
        <v/>
      </c>
      <c r="DO153" t="str">
        <f t="shared" si="1157"/>
        <v/>
      </c>
      <c r="DP153" t="str">
        <f t="shared" si="1158"/>
        <v/>
      </c>
      <c r="DQ153" t="str">
        <f t="shared" si="1159"/>
        <v/>
      </c>
      <c r="DR153" t="str">
        <f t="shared" si="1160"/>
        <v/>
      </c>
      <c r="DS153" t="str">
        <f t="shared" si="1161"/>
        <v/>
      </c>
      <c r="DT153" t="str">
        <f t="shared" si="1162"/>
        <v/>
      </c>
      <c r="DU153" t="str">
        <f t="shared" si="1163"/>
        <v/>
      </c>
      <c r="DV153" t="str">
        <f t="shared" si="1164"/>
        <v/>
      </c>
      <c r="DW153" t="str">
        <f t="shared" si="1165"/>
        <v/>
      </c>
      <c r="DX153" t="str">
        <f t="shared" si="1166"/>
        <v/>
      </c>
      <c r="DY153" t="str">
        <f t="shared" si="1167"/>
        <v/>
      </c>
      <c r="DZ153" t="str">
        <f t="shared" si="1168"/>
        <v/>
      </c>
      <c r="EA153" t="str">
        <f t="shared" si="1169"/>
        <v/>
      </c>
      <c r="EB153" t="str">
        <f t="shared" si="1170"/>
        <v/>
      </c>
      <c r="EC153" t="str">
        <f t="shared" si="1171"/>
        <v/>
      </c>
      <c r="ED153" t="str">
        <f t="shared" si="1172"/>
        <v/>
      </c>
      <c r="EE153" t="str">
        <f t="shared" si="1173"/>
        <v/>
      </c>
      <c r="EF153" t="str">
        <f t="shared" si="1174"/>
        <v/>
      </c>
      <c r="EG153" t="str">
        <f t="shared" si="1175"/>
        <v/>
      </c>
      <c r="EH153" t="str">
        <f t="shared" si="1176"/>
        <v/>
      </c>
      <c r="EI153" t="str">
        <f t="shared" si="1177"/>
        <v/>
      </c>
      <c r="EJ153" t="str">
        <f t="shared" si="1178"/>
        <v/>
      </c>
      <c r="EK153" t="str">
        <f t="shared" si="1179"/>
        <v/>
      </c>
      <c r="EL153" t="str">
        <f t="shared" si="1180"/>
        <v/>
      </c>
      <c r="EM153" t="str">
        <f t="shared" si="1181"/>
        <v/>
      </c>
      <c r="EN153" t="str">
        <f t="shared" si="1182"/>
        <v/>
      </c>
      <c r="EO153" t="str">
        <f t="shared" si="1183"/>
        <v/>
      </c>
      <c r="EP153" t="str">
        <f t="shared" si="1184"/>
        <v/>
      </c>
      <c r="EQ153" t="str">
        <f t="shared" si="1185"/>
        <v/>
      </c>
      <c r="ER153" t="str">
        <f t="shared" si="1186"/>
        <v/>
      </c>
      <c r="ES153" t="str">
        <f t="shared" si="1187"/>
        <v/>
      </c>
      <c r="ET153" t="str">
        <f t="shared" si="1188"/>
        <v/>
      </c>
      <c r="EU153" t="str">
        <f t="shared" si="1189"/>
        <v/>
      </c>
      <c r="EV153" t="str">
        <f t="shared" si="1190"/>
        <v/>
      </c>
      <c r="EW153" t="str">
        <f t="shared" si="1191"/>
        <v/>
      </c>
      <c r="EX153" t="str">
        <f t="shared" si="1192"/>
        <v/>
      </c>
      <c r="EY153" t="str">
        <f t="shared" si="1193"/>
        <v/>
      </c>
    </row>
    <row r="154" spans="1:155" ht="13.9" customHeight="1" x14ac:dyDescent="0.25">
      <c r="A154" s="7"/>
      <c r="B154" s="17"/>
      <c r="C154" s="8"/>
      <c r="D154" s="17"/>
      <c r="E154" s="8"/>
      <c r="F154" s="18">
        <v>0</v>
      </c>
      <c r="G154" s="7" t="s">
        <v>147</v>
      </c>
      <c r="H154" s="18">
        <v>0</v>
      </c>
      <c r="I154" s="19">
        <v>0</v>
      </c>
      <c r="J154" s="7" t="s">
        <v>147</v>
      </c>
      <c r="K154" s="19">
        <v>0</v>
      </c>
      <c r="L154" s="9"/>
      <c r="M154" s="3" t="str">
        <f>IF($L154="","",IF($L154="DOELPUNTENMAKERS","",IF(AND(COUNTIF(#REF!,$B154)=0,COUNTIF(#REF!,$D154)=0),"OK",IF($O154&gt;20,"LET OP: meer dan 20 items (controle onvolledig)",IF((COUNTIF($R154:$AS154,"ONZEKER")+COUNTIF($CJ154:$DK154,"ONZEKER"))&gt;0,"LET OP: scoreverloop onduidelijk (controle beperkt)",IF((IF($AT154&lt;&gt;"",$AT154&amp;", ","")&amp;IF($AU154&lt;&gt;"",$AU154&amp;", ","")&amp;IF($AV154&lt;&gt;"",$AV154&amp;", ","")&amp;IF($AW154&lt;&gt;"",$AW154&amp;", ","")&amp;IF($AX154&lt;&gt;"",$AX154&amp;", ","")&amp;IF($AY154&lt;&gt;"",$AY154&amp;", ","")&amp;IF($AZ154&lt;&gt;"",$AZ154&amp;", ","")&amp;IF($BA154&lt;&gt;"",$BA154&amp;", ","")&amp;IF($BB154&lt;&gt;"",$BB154&amp;", ","")&amp;IF($BC154&lt;&gt;"",$BC154&amp;", ","")&amp;IF($DL154&lt;&gt;"",$DL154&amp;", ","")&amp;IF($DM154&lt;&gt;"",$DM154&amp;", ","")&amp;IF($DN154&lt;&gt;"",$DN154&amp;", ","")&amp;IF($DO154&lt;&gt;"",$DO154&amp;", ","")&amp;IF($DP154&lt;&gt;"",$DP154&amp;", ","")&amp;IF($DQ154&lt;&gt;"",$DQ154&amp;", ","")&amp;IF($DR154&lt;&gt;"",$DR154&amp;", ","")&amp;IF($DS154&lt;&gt;"",$DS154&amp;", ","")&amp;IF($DT154&lt;&gt;"",$DT154&amp;", ","")&amp;IF($DU154&lt;&gt;"",$DU154&amp;", ",""))="","OK","Onbekend: "&amp;LEFT((IF($AT154&lt;&gt;"",$AT154&amp;", ","")&amp;IF($AU154&lt;&gt;"",$AU154&amp;", ","")&amp;IF($AV154&lt;&gt;"",$AV154&amp;", ","")&amp;IF($AW154&lt;&gt;"",$AW154&amp;", ","")&amp;IF($AX154&lt;&gt;"",$AX154&amp;", ","")&amp;IF($AY154&lt;&gt;"",$AY154&amp;", ","")&amp;IF($AZ154&lt;&gt;"",$AZ154&amp;", ","")&amp;IF($BA154&lt;&gt;"",$BA154&amp;", ","")&amp;IF($BB154&lt;&gt;"",$BB154&amp;", ","")&amp;IF($BC154&lt;&gt;"",$BC154&amp;", ","")&amp;IF($DL154&lt;&gt;"",$DL154&amp;", ","")&amp;IF($DM154&lt;&gt;"",$DM154&amp;", ","")&amp;IF($DN154&lt;&gt;"",$DN154&amp;", ","")&amp;IF($DO154&lt;&gt;"",$DO154&amp;", ","")&amp;IF($DP154&lt;&gt;"",$DP154&amp;", ","")&amp;IF($DQ154&lt;&gt;"",$DQ154&amp;", ","")&amp;IF($DR154&lt;&gt;"",$DR154&amp;", ","")&amp;IF($DS154&lt;&gt;"",$DS154&amp;", ","")&amp;IF($DT154&lt;&gt;"",$DT154&amp;", ","")&amp;IF($DU154&lt;&gt;"",$DU154&amp;", ","")),LEN((IF($AT154&lt;&gt;"",$AT154&amp;", ","")&amp;IF($AU154&lt;&gt;"",$AU154&amp;", ","")&amp;IF($AV154&lt;&gt;"",$AV154&amp;", ","")&amp;IF($AW154&lt;&gt;"",$AW154&amp;", ","")&amp;IF($AX154&lt;&gt;"",$AX154&amp;", ","")&amp;IF($AY154&lt;&gt;"",$AY154&amp;", ","")&amp;IF($AZ154&lt;&gt;"",$AZ154&amp;", ","")&amp;IF($BA154&lt;&gt;"",$BA154&amp;", ","")&amp;IF($BB154&lt;&gt;"",$BB154&amp;", ","")&amp;IF($BC154&lt;&gt;"",$BC154&amp;", ","")&amp;IF($DL154&lt;&gt;"",$DL154&amp;", ","")&amp;IF($DM154&lt;&gt;"",$DM154&amp;", ","")&amp;IF($DN154&lt;&gt;"",$DN154&amp;", ","")&amp;IF($DO154&lt;&gt;"",$DO154&amp;", ","")&amp;IF($DP154&lt;&gt;"",$DP154&amp;", ","")&amp;IF($DQ154&lt;&gt;"",$DQ154&amp;", ","")&amp;IF($DR154&lt;&gt;"",$DR154&amp;", ","")&amp;IF($DS154&lt;&gt;"",$DS154&amp;", ","")&amp;IF($DT154&lt;&gt;"",$DT154&amp;", ","")&amp;IF($DU154&lt;&gt;"",$DU154&amp;", ","")))-2)))))))</f>
        <v/>
      </c>
      <c r="N154" t="str">
        <f t="shared" si="1102"/>
        <v/>
      </c>
      <c r="O154" t="str">
        <f t="shared" si="1103"/>
        <v/>
      </c>
      <c r="P154" t="str">
        <f t="shared" si="1104"/>
        <v/>
      </c>
      <c r="Q154" t="str">
        <f t="shared" si="1105"/>
        <v/>
      </c>
      <c r="R154" t="str">
        <f>IF($Q154="","",IF(OR($BE154="",$BF154=""),"ONZEKER",IF(AND($BE154=0+1,$BF154=0),IF(OR(COUNTIF(#REF!,$B154)&gt;0,COUNTIF(#REF!,$B154)=0),"SKIP",IF(COUNTIFS(#REF!,$B154,#REF!,$Q154)&gt;0,"OK","ONBEKEND")),IF(AND($BE154=0,$BF154=0+1),IF(OR(COUNTIF(#REF!,$D154)&gt;0,COUNTIF(#REF!,$D154)=0),"SKIP",IF(COUNTIFS(#REF!,$D154,#REF!,$Q154)&gt;0,"OK","ONBEKEND")),"ONZEKER"))))</f>
        <v/>
      </c>
      <c r="S154" t="str">
        <f t="shared" si="1106"/>
        <v/>
      </c>
      <c r="T154" t="str">
        <f t="shared" si="1107"/>
        <v/>
      </c>
      <c r="U154" t="str">
        <f>IF($T154="","",IF(OR($BH154="",$BI154=""),"ONZEKER",IF(OR($BE154="",$BF154=""),"ONZEKER",IF(AND($BH154=$BE154+1,$BI154=$BF154),IF(OR(COUNTIF(#REF!,$B154)&gt;0,COUNTIF(#REF!,$B154)=0),"SKIP",IF(COUNTIFS(#REF!,$B154,#REF!,$T154)&gt;0,"OK","ONBEKEND")),IF(AND($BH154=$BE154,$BI154=$BF154+1),IF(OR(COUNTIF(#REF!,$D154)&gt;0,COUNTIF(#REF!,$D154)=0),"SKIP",IF(COUNTIFS(#REF!,$D154,#REF!,$T154)&gt;0,"OK","ONBEKEND")),"ONZEKER")))))</f>
        <v/>
      </c>
      <c r="V154" t="str">
        <f t="shared" si="1108"/>
        <v/>
      </c>
      <c r="W154" t="str">
        <f t="shared" si="1109"/>
        <v/>
      </c>
      <c r="X154" t="str">
        <f>IF($W154="","",IF(OR($BK154="",$BL154=""),"ONZEKER",IF(OR($BH154="",$BI154=""),"ONZEKER",IF(AND($BK154=$BH154+1,$BL154=$BI154),IF(OR(COUNTIF(#REF!,$B154)&gt;0,COUNTIF(#REF!,$B154)=0),"SKIP",IF(COUNTIFS(#REF!,$B154,#REF!,$W154)&gt;0,"OK","ONBEKEND")),IF(AND($BK154=$BH154,$BL154=$BI154+1),IF(OR(COUNTIF(#REF!,$D154)&gt;0,COUNTIF(#REF!,$D154)=0),"SKIP",IF(COUNTIFS(#REF!,$D154,#REF!,$W154)&gt;0,"OK","ONBEKEND")),"ONZEKER")))))</f>
        <v/>
      </c>
      <c r="Y154" t="str">
        <f t="shared" si="1110"/>
        <v/>
      </c>
      <c r="Z154" t="str">
        <f t="shared" si="1111"/>
        <v/>
      </c>
      <c r="AA154" t="str">
        <f>IF($Z154="","",IF(OR($BN154="",$BO154=""),"ONZEKER",IF(OR($BK154="",$BL154=""),"ONZEKER",IF(AND($BN154=$BK154+1,$BO154=$BL154),IF(OR(COUNTIF(#REF!,$B154)&gt;0,COUNTIF(#REF!,$B154)=0),"SKIP",IF(COUNTIFS(#REF!,$B154,#REF!,$Z154)&gt;0,"OK","ONBEKEND")),IF(AND($BN154=$BK154,$BO154=$BL154+1),IF(OR(COUNTIF(#REF!,$D154)&gt;0,COUNTIF(#REF!,$D154)=0),"SKIP",IF(COUNTIFS(#REF!,$D154,#REF!,$Z154)&gt;0,"OK","ONBEKEND")),"ONZEKER")))))</f>
        <v/>
      </c>
      <c r="AB154" t="str">
        <f t="shared" si="1112"/>
        <v/>
      </c>
      <c r="AC154" t="str">
        <f t="shared" si="1113"/>
        <v/>
      </c>
      <c r="AD154" t="str">
        <f>IF($AC154="","",IF(OR($BQ154="",$BR154=""),"ONZEKER",IF(OR($BN154="",$BO154=""),"ONZEKER",IF(AND($BQ154=$BN154+1,$BR154=$BO154),IF(OR(COUNTIF(#REF!,$B154)&gt;0,COUNTIF(#REF!,$B154)=0),"SKIP",IF(COUNTIFS(#REF!,$B154,#REF!,$AC154)&gt;0,"OK","ONBEKEND")),IF(AND($BQ154=$BN154,$BR154=$BO154+1),IF(OR(COUNTIF(#REF!,$D154)&gt;0,COUNTIF(#REF!,$D154)=0),"SKIP",IF(COUNTIFS(#REF!,$D154,#REF!,$AC154)&gt;0,"OK","ONBEKEND")),"ONZEKER")))))</f>
        <v/>
      </c>
      <c r="AE154" t="str">
        <f t="shared" si="1114"/>
        <v/>
      </c>
      <c r="AF154" t="str">
        <f t="shared" si="1115"/>
        <v/>
      </c>
      <c r="AG154" t="str">
        <f>IF($AF154="","",IF(OR($BT154="",$BU154=""),"ONZEKER",IF(OR($BQ154="",$BR154=""),"ONZEKER",IF(AND($BT154=$BQ154+1,$BU154=$BR154),IF(OR(COUNTIF(#REF!,$B154)&gt;0,COUNTIF(#REF!,$B154)=0),"SKIP",IF(COUNTIFS(#REF!,$B154,#REF!,$AF154)&gt;0,"OK","ONBEKEND")),IF(AND($BT154=$BQ154,$BU154=$BR154+1),IF(OR(COUNTIF(#REF!,$D154)&gt;0,COUNTIF(#REF!,$D154)=0),"SKIP",IF(COUNTIFS(#REF!,$D154,#REF!,$AF154)&gt;0,"OK","ONBEKEND")),"ONZEKER")))))</f>
        <v/>
      </c>
      <c r="AH154" t="str">
        <f t="shared" si="1116"/>
        <v/>
      </c>
      <c r="AI154" t="str">
        <f t="shared" si="1117"/>
        <v/>
      </c>
      <c r="AJ154" t="str">
        <f>IF($AI154="","",IF(OR($BW154="",$BX154=""),"ONZEKER",IF(OR($BT154="",$BU154=""),"ONZEKER",IF(AND($BW154=$BT154+1,$BX154=$BU154),IF(OR(COUNTIF(#REF!,$B154)&gt;0,COUNTIF(#REF!,$B154)=0),"SKIP",IF(COUNTIFS(#REF!,$B154,#REF!,$AI154)&gt;0,"OK","ONBEKEND")),IF(AND($BW154=$BT154,$BX154=$BU154+1),IF(OR(COUNTIF(#REF!,$D154)&gt;0,COUNTIF(#REF!,$D154)=0),"SKIP",IF(COUNTIFS(#REF!,$D154,#REF!,$AI154)&gt;0,"OK","ONBEKEND")),"ONZEKER")))))</f>
        <v/>
      </c>
      <c r="AK154" t="str">
        <f t="shared" si="1118"/>
        <v/>
      </c>
      <c r="AL154" t="str">
        <f t="shared" si="1119"/>
        <v/>
      </c>
      <c r="AM154" t="str">
        <f>IF($AL154="","",IF(OR($BZ154="",$CA154=""),"ONZEKER",IF(OR($BW154="",$BX154=""),"ONZEKER",IF(AND($BZ154=$BW154+1,$CA154=$BX154),IF(OR(COUNTIF(#REF!,$B154)&gt;0,COUNTIF(#REF!,$B154)=0),"SKIP",IF(COUNTIFS(#REF!,$B154,#REF!,$AL154)&gt;0,"OK","ONBEKEND")),IF(AND($BZ154=$BW154,$CA154=$BX154+1),IF(OR(COUNTIF(#REF!,$D154)&gt;0,COUNTIF(#REF!,$D154)=0),"SKIP",IF(COUNTIFS(#REF!,$D154,#REF!,$AL154)&gt;0,"OK","ONBEKEND")),"ONZEKER")))))</f>
        <v/>
      </c>
      <c r="AN154" t="str">
        <f t="shared" si="1120"/>
        <v/>
      </c>
      <c r="AO154" t="str">
        <f t="shared" si="1121"/>
        <v/>
      </c>
      <c r="AP154" t="str">
        <f>IF($AO154="","",IF(OR($CC154="",$CD154=""),"ONZEKER",IF(OR($BZ154="",$CA154=""),"ONZEKER",IF(AND($CC154=$BZ154+1,$CD154=$CA154),IF(OR(COUNTIF(#REF!,$B154)&gt;0,COUNTIF(#REF!,$B154)=0),"SKIP",IF(COUNTIFS(#REF!,$B154,#REF!,$AO154)&gt;0,"OK","ONBEKEND")),IF(AND($CC154=$BZ154,$CD154=$CA154+1),IF(OR(COUNTIF(#REF!,$D154)&gt;0,COUNTIF(#REF!,$D154)=0),"SKIP",IF(COUNTIFS(#REF!,$D154,#REF!,$AO154)&gt;0,"OK","ONBEKEND")),"ONZEKER")))))</f>
        <v/>
      </c>
      <c r="AQ154" t="str">
        <f t="shared" si="1122"/>
        <v/>
      </c>
      <c r="AR154" t="str">
        <f t="shared" si="1123"/>
        <v/>
      </c>
      <c r="AS154" t="str">
        <f>IF($AR154="","",IF(OR($CF154="",$CG154=""),"ONZEKER",IF(OR($CC154="",$CD154=""),"ONZEKER",IF(AND($CF154=$CC154+1,$CG154=$CD154),IF(OR(COUNTIF(#REF!,$B154)&gt;0,COUNTIF(#REF!,$B154)=0),"SKIP",IF(COUNTIFS(#REF!,$B154,#REF!,$AR154)&gt;0,"OK","ONBEKEND")),IF(AND($CF154=$CC154,$CG154=$CD154+1),IF(OR(COUNTIF(#REF!,$D154)&gt;0,COUNTIF(#REF!,$D154)=0),"SKIP",IF(COUNTIFS(#REF!,$D154,#REF!,$AR154)&gt;0,"OK","ONBEKEND")),"ONZEKER")))))</f>
        <v/>
      </c>
      <c r="AT154" t="str">
        <f t="shared" si="1124"/>
        <v/>
      </c>
      <c r="AU154" t="str">
        <f t="shared" si="1125"/>
        <v/>
      </c>
      <c r="AV154" t="str">
        <f t="shared" si="1126"/>
        <v/>
      </c>
      <c r="AW154" t="str">
        <f t="shared" si="1127"/>
        <v/>
      </c>
      <c r="AX154" t="str">
        <f t="shared" si="1128"/>
        <v/>
      </c>
      <c r="AY154" t="str">
        <f t="shared" si="1129"/>
        <v/>
      </c>
      <c r="AZ154" t="str">
        <f t="shared" si="1130"/>
        <v/>
      </c>
      <c r="BA154" t="str">
        <f t="shared" si="1131"/>
        <v/>
      </c>
      <c r="BB154" t="str">
        <f t="shared" si="1132"/>
        <v/>
      </c>
      <c r="BC154" t="str">
        <f t="shared" si="1133"/>
        <v/>
      </c>
      <c r="BD154" t="str">
        <f t="shared" si="980"/>
        <v/>
      </c>
      <c r="BE154" t="str">
        <f t="shared" si="981"/>
        <v/>
      </c>
      <c r="BF154" t="str">
        <f t="shared" si="982"/>
        <v/>
      </c>
      <c r="BG154" t="str">
        <f t="shared" si="983"/>
        <v/>
      </c>
      <c r="BH154" t="str">
        <f t="shared" si="984"/>
        <v/>
      </c>
      <c r="BI154" t="str">
        <f t="shared" si="985"/>
        <v/>
      </c>
      <c r="BJ154" t="str">
        <f t="shared" si="986"/>
        <v/>
      </c>
      <c r="BK154" t="str">
        <f t="shared" si="987"/>
        <v/>
      </c>
      <c r="BL154" t="str">
        <f t="shared" si="988"/>
        <v/>
      </c>
      <c r="BM154" t="str">
        <f t="shared" si="989"/>
        <v/>
      </c>
      <c r="BN154" t="str">
        <f t="shared" si="990"/>
        <v/>
      </c>
      <c r="BO154" t="str">
        <f t="shared" si="991"/>
        <v/>
      </c>
      <c r="BP154" t="str">
        <f t="shared" si="992"/>
        <v/>
      </c>
      <c r="BQ154" t="str">
        <f t="shared" si="993"/>
        <v/>
      </c>
      <c r="BR154" t="str">
        <f t="shared" si="994"/>
        <v/>
      </c>
      <c r="BS154" t="str">
        <f t="shared" si="995"/>
        <v/>
      </c>
      <c r="BT154" t="str">
        <f t="shared" si="996"/>
        <v/>
      </c>
      <c r="BU154" t="str">
        <f t="shared" si="997"/>
        <v/>
      </c>
      <c r="BV154" t="str">
        <f t="shared" si="998"/>
        <v/>
      </c>
      <c r="BW154" t="str">
        <f t="shared" si="999"/>
        <v/>
      </c>
      <c r="BX154" t="str">
        <f t="shared" si="1000"/>
        <v/>
      </c>
      <c r="BY154" t="str">
        <f t="shared" si="1001"/>
        <v/>
      </c>
      <c r="BZ154" t="str">
        <f t="shared" si="1002"/>
        <v/>
      </c>
      <c r="CA154" t="str">
        <f t="shared" si="1003"/>
        <v/>
      </c>
      <c r="CB154" t="str">
        <f t="shared" si="1004"/>
        <v/>
      </c>
      <c r="CC154" t="str">
        <f t="shared" si="1005"/>
        <v/>
      </c>
      <c r="CD154" t="str">
        <f t="shared" si="1006"/>
        <v/>
      </c>
      <c r="CE154" t="str">
        <f t="shared" si="1007"/>
        <v/>
      </c>
      <c r="CF154" t="str">
        <f t="shared" si="1008"/>
        <v/>
      </c>
      <c r="CG154" t="str">
        <f t="shared" si="1009"/>
        <v/>
      </c>
      <c r="CH154" t="str">
        <f t="shared" si="1134"/>
        <v/>
      </c>
      <c r="CI154" t="str">
        <f t="shared" si="1135"/>
        <v/>
      </c>
      <c r="CJ154" t="str">
        <f>IF($CI154="","",IF(OR($DW154="",$DX154=""),"ONZEKER",IF(OR($CF154="",$CG154=""),"ONZEKER",IF(AND($DW154=$CF154+1,$DX154=$CG154),IF(OR(COUNTIF(#REF!,$B154)&gt;0,COUNTIF(#REF!,$B154)=0),"SKIP",IF(COUNTIFS(#REF!,$B154,#REF!,$CI154)&gt;0,"OK","ONBEKEND")),IF(AND($DW154=$CF154,$DX154=$CG154+1),IF(OR(COUNTIF(#REF!,$D154)&gt;0,COUNTIF(#REF!,$D154)=0),"SKIP",IF(COUNTIFS(#REF!,$D154,#REF!,$CI154)&gt;0,"OK","ONBEKEND")),"ONZEKER")))))</f>
        <v/>
      </c>
      <c r="CK154" t="str">
        <f t="shared" si="1136"/>
        <v/>
      </c>
      <c r="CL154" t="str">
        <f t="shared" si="1137"/>
        <v/>
      </c>
      <c r="CM154" t="str">
        <f>IF($CL154="","",IF(OR($DZ154="",$EA154=""),"ONZEKER",IF(OR($DW154="",$DX154=""),"ONZEKER",IF(AND($DZ154=$DW154+1,$EA154=$DX154),IF(OR(COUNTIF(#REF!,$B154)&gt;0,COUNTIF(#REF!,$B154)=0),"SKIP",IF(COUNTIFS(#REF!,$B154,#REF!,$CL154)&gt;0,"OK","ONBEKEND")),IF(AND($DZ154=$DW154,$EA154=$DX154+1),IF(OR(COUNTIF(#REF!,$D154)&gt;0,COUNTIF(#REF!,$D154)=0),"SKIP",IF(COUNTIFS(#REF!,$D154,#REF!,$CL154)&gt;0,"OK","ONBEKEND")),"ONZEKER")))))</f>
        <v/>
      </c>
      <c r="CN154" t="str">
        <f t="shared" si="1138"/>
        <v/>
      </c>
      <c r="CO154" t="str">
        <f t="shared" si="1139"/>
        <v/>
      </c>
      <c r="CP154" t="str">
        <f>IF($CO154="","",IF(OR($EC154="",$ED154=""),"ONZEKER",IF(OR($DZ154="",$EA154=""),"ONZEKER",IF(AND($EC154=$DZ154+1,$ED154=$EA154),IF(OR(COUNTIF(#REF!,$B154)&gt;0,COUNTIF(#REF!,$B154)=0),"SKIP",IF(COUNTIFS(#REF!,$B154,#REF!,$CO154)&gt;0,"OK","ONBEKEND")),IF(AND($EC154=$DZ154,$ED154=$EA154+1),IF(OR(COUNTIF(#REF!,$D154)&gt;0,COUNTIF(#REF!,$D154)=0),"SKIP",IF(COUNTIFS(#REF!,$D154,#REF!,$CO154)&gt;0,"OK","ONBEKEND")),"ONZEKER")))))</f>
        <v/>
      </c>
      <c r="CQ154" t="str">
        <f t="shared" si="1140"/>
        <v/>
      </c>
      <c r="CR154" t="str">
        <f t="shared" si="1141"/>
        <v/>
      </c>
      <c r="CS154" t="str">
        <f>IF($CR154="","",IF(OR($EF154="",$EG154=""),"ONZEKER",IF(OR($EC154="",$ED154=""),"ONZEKER",IF(AND($EF154=$EC154+1,$EG154=$ED154),IF(OR(COUNTIF(#REF!,$B154)&gt;0,COUNTIF(#REF!,$B154)=0),"SKIP",IF(COUNTIFS(#REF!,$B154,#REF!,$CR154)&gt;0,"OK","ONBEKEND")),IF(AND($EF154=$EC154,$EG154=$ED154+1),IF(OR(COUNTIF(#REF!,$D154)&gt;0,COUNTIF(#REF!,$D154)=0),"SKIP",IF(COUNTIFS(#REF!,$D154,#REF!,$CR154)&gt;0,"OK","ONBEKEND")),"ONZEKER")))))</f>
        <v/>
      </c>
      <c r="CT154" t="str">
        <f t="shared" si="1142"/>
        <v/>
      </c>
      <c r="CU154" t="str">
        <f t="shared" si="1143"/>
        <v/>
      </c>
      <c r="CV154" t="str">
        <f>IF($CU154="","",IF(OR($EI154="",$EJ154=""),"ONZEKER",IF(OR($EF154="",$EG154=""),"ONZEKER",IF(AND($EI154=$EF154+1,$EJ154=$EG154),IF(OR(COUNTIF(#REF!,$B154)&gt;0,COUNTIF(#REF!,$B154)=0),"SKIP",IF(COUNTIFS(#REF!,$B154,#REF!,$CU154)&gt;0,"OK","ONBEKEND")),IF(AND($EI154=$EF154,$EJ154=$EG154+1),IF(OR(COUNTIF(#REF!,$D154)&gt;0,COUNTIF(#REF!,$D154)=0),"SKIP",IF(COUNTIFS(#REF!,$D154,#REF!,$CU154)&gt;0,"OK","ONBEKEND")),"ONZEKER")))))</f>
        <v/>
      </c>
      <c r="CW154" t="str">
        <f t="shared" si="1144"/>
        <v/>
      </c>
      <c r="CX154" t="str">
        <f t="shared" si="1145"/>
        <v/>
      </c>
      <c r="CY154" t="str">
        <f>IF($CX154="","",IF(OR($EL154="",$EM154=""),"ONZEKER",IF(OR($EI154="",$EJ154=""),"ONZEKER",IF(AND($EL154=$EI154+1,$EM154=$EJ154),IF(OR(COUNTIF(#REF!,$B154)&gt;0,COUNTIF(#REF!,$B154)=0),"SKIP",IF(COUNTIFS(#REF!,$B154,#REF!,$CX154)&gt;0,"OK","ONBEKEND")),IF(AND($EL154=$EI154,$EM154=$EJ154+1),IF(OR(COUNTIF(#REF!,$D154)&gt;0,COUNTIF(#REF!,$D154)=0),"SKIP",IF(COUNTIFS(#REF!,$D154,#REF!,$CX154)&gt;0,"OK","ONBEKEND")),"ONZEKER")))))</f>
        <v/>
      </c>
      <c r="CZ154" t="str">
        <f t="shared" si="1146"/>
        <v/>
      </c>
      <c r="DA154" t="str">
        <f t="shared" si="1147"/>
        <v/>
      </c>
      <c r="DB154" t="str">
        <f>IF($DA154="","",IF(OR($EO154="",$EP154=""),"ONZEKER",IF(OR($EL154="",$EM154=""),"ONZEKER",IF(AND($EO154=$EL154+1,$EP154=$EM154),IF(OR(COUNTIF(#REF!,$B154)&gt;0,COUNTIF(#REF!,$B154)=0),"SKIP",IF(COUNTIFS(#REF!,$B154,#REF!,$DA154)&gt;0,"OK","ONBEKEND")),IF(AND($EO154=$EL154,$EP154=$EM154+1),IF(OR(COUNTIF(#REF!,$D154)&gt;0,COUNTIF(#REF!,$D154)=0),"SKIP",IF(COUNTIFS(#REF!,$D154,#REF!,$DA154)&gt;0,"OK","ONBEKEND")),"ONZEKER")))))</f>
        <v/>
      </c>
      <c r="DC154" t="str">
        <f t="shared" si="1148"/>
        <v/>
      </c>
      <c r="DD154" t="str">
        <f t="shared" si="1149"/>
        <v/>
      </c>
      <c r="DE154" t="str">
        <f>IF($DD154="","",IF(OR($ER154="",$ES154=""),"ONZEKER",IF(OR($EO154="",$EP154=""),"ONZEKER",IF(AND($ER154=$EO154+1,$ES154=$EP154),IF(OR(COUNTIF(#REF!,$B154)&gt;0,COUNTIF(#REF!,$B154)=0),"SKIP",IF(COUNTIFS(#REF!,$B154,#REF!,$DD154)&gt;0,"OK","ONBEKEND")),IF(AND($ER154=$EO154,$ES154=$EP154+1),IF(OR(COUNTIF(#REF!,$D154)&gt;0,COUNTIF(#REF!,$D154)=0),"SKIP",IF(COUNTIFS(#REF!,$D154,#REF!,$DD154)&gt;0,"OK","ONBEKEND")),"ONZEKER")))))</f>
        <v/>
      </c>
      <c r="DF154" t="str">
        <f t="shared" si="1150"/>
        <v/>
      </c>
      <c r="DG154" t="str">
        <f t="shared" si="1151"/>
        <v/>
      </c>
      <c r="DH154" t="str">
        <f>IF($DG154="","",IF(OR($EU154="",$EV154=""),"ONZEKER",IF(OR($ER154="",$ES154=""),"ONZEKER",IF(AND($EU154=$ER154+1,$EV154=$ES154),IF(OR(COUNTIF(#REF!,$B154)&gt;0,COUNTIF(#REF!,$B154)=0),"SKIP",IF(COUNTIFS(#REF!,$B154,#REF!,$DG154)&gt;0,"OK","ONBEKEND")),IF(AND($EU154=$ER154,$EV154=$ES154+1),IF(OR(COUNTIF(#REF!,$D154)&gt;0,COUNTIF(#REF!,$D154)=0),"SKIP",IF(COUNTIFS(#REF!,$D154,#REF!,$DG154)&gt;0,"OK","ONBEKEND")),"ONZEKER")))))</f>
        <v/>
      </c>
      <c r="DI154" t="str">
        <f t="shared" si="1152"/>
        <v/>
      </c>
      <c r="DJ154" t="str">
        <f t="shared" si="1153"/>
        <v/>
      </c>
      <c r="DK154" t="str">
        <f>IF($DJ154="","",IF(OR($EX154="",$EY154=""),"ONZEKER",IF(OR($EU154="",$EV154=""),"ONZEKER",IF(AND($EX154=$EU154+1,$EY154=$EV154),IF(OR(COUNTIF(#REF!,$B154)&gt;0,COUNTIF(#REF!,$B154)=0),"SKIP",IF(COUNTIFS(#REF!,$B154,#REF!,$DJ154)&gt;0,"OK","ONBEKEND")),IF(AND($EX154=$EU154,$EY154=$EV154+1),IF(OR(COUNTIF(#REF!,$D154)&gt;0,COUNTIF(#REF!,$D154)=0),"SKIP",IF(COUNTIFS(#REF!,$D154,#REF!,$DJ154)&gt;0,"OK","ONBEKEND")),"ONZEKER")))))</f>
        <v/>
      </c>
      <c r="DL154" t="str">
        <f t="shared" si="1154"/>
        <v/>
      </c>
      <c r="DM154" t="str">
        <f t="shared" si="1155"/>
        <v/>
      </c>
      <c r="DN154" t="str">
        <f t="shared" si="1156"/>
        <v/>
      </c>
      <c r="DO154" t="str">
        <f t="shared" si="1157"/>
        <v/>
      </c>
      <c r="DP154" t="str">
        <f t="shared" si="1158"/>
        <v/>
      </c>
      <c r="DQ154" t="str">
        <f t="shared" si="1159"/>
        <v/>
      </c>
      <c r="DR154" t="str">
        <f t="shared" si="1160"/>
        <v/>
      </c>
      <c r="DS154" t="str">
        <f t="shared" si="1161"/>
        <v/>
      </c>
      <c r="DT154" t="str">
        <f t="shared" si="1162"/>
        <v/>
      </c>
      <c r="DU154" t="str">
        <f t="shared" si="1163"/>
        <v/>
      </c>
      <c r="DV154" t="str">
        <f t="shared" si="1164"/>
        <v/>
      </c>
      <c r="DW154" t="str">
        <f t="shared" si="1165"/>
        <v/>
      </c>
      <c r="DX154" t="str">
        <f t="shared" si="1166"/>
        <v/>
      </c>
      <c r="DY154" t="str">
        <f t="shared" si="1167"/>
        <v/>
      </c>
      <c r="DZ154" t="str">
        <f t="shared" si="1168"/>
        <v/>
      </c>
      <c r="EA154" t="str">
        <f t="shared" si="1169"/>
        <v/>
      </c>
      <c r="EB154" t="str">
        <f t="shared" si="1170"/>
        <v/>
      </c>
      <c r="EC154" t="str">
        <f t="shared" si="1171"/>
        <v/>
      </c>
      <c r="ED154" t="str">
        <f t="shared" si="1172"/>
        <v/>
      </c>
      <c r="EE154" t="str">
        <f t="shared" si="1173"/>
        <v/>
      </c>
      <c r="EF154" t="str">
        <f t="shared" si="1174"/>
        <v/>
      </c>
      <c r="EG154" t="str">
        <f t="shared" si="1175"/>
        <v/>
      </c>
      <c r="EH154" t="str">
        <f t="shared" si="1176"/>
        <v/>
      </c>
      <c r="EI154" t="str">
        <f t="shared" si="1177"/>
        <v/>
      </c>
      <c r="EJ154" t="str">
        <f t="shared" si="1178"/>
        <v/>
      </c>
      <c r="EK154" t="str">
        <f t="shared" si="1179"/>
        <v/>
      </c>
      <c r="EL154" t="str">
        <f t="shared" si="1180"/>
        <v/>
      </c>
      <c r="EM154" t="str">
        <f t="shared" si="1181"/>
        <v/>
      </c>
      <c r="EN154" t="str">
        <f t="shared" si="1182"/>
        <v/>
      </c>
      <c r="EO154" t="str">
        <f t="shared" si="1183"/>
        <v/>
      </c>
      <c r="EP154" t="str">
        <f t="shared" si="1184"/>
        <v/>
      </c>
      <c r="EQ154" t="str">
        <f t="shared" si="1185"/>
        <v/>
      </c>
      <c r="ER154" t="str">
        <f t="shared" si="1186"/>
        <v/>
      </c>
      <c r="ES154" t="str">
        <f t="shared" si="1187"/>
        <v/>
      </c>
      <c r="ET154" t="str">
        <f t="shared" si="1188"/>
        <v/>
      </c>
      <c r="EU154" t="str">
        <f t="shared" si="1189"/>
        <v/>
      </c>
      <c r="EV154" t="str">
        <f t="shared" si="1190"/>
        <v/>
      </c>
      <c r="EW154" t="str">
        <f t="shared" si="1191"/>
        <v/>
      </c>
      <c r="EX154" t="str">
        <f t="shared" si="1192"/>
        <v/>
      </c>
      <c r="EY154" t="str">
        <f t="shared" si="1193"/>
        <v/>
      </c>
    </row>
    <row r="155" spans="1:155" ht="13.9" customHeight="1" x14ac:dyDescent="0.25">
      <c r="M155" s="3" t="str">
        <f>IF($L155="","",IF($L155="DOELPUNTENMAKERS","",IF(AND(COUNTIF(#REF!,$B155)=0,COUNTIF(#REF!,$D155)=0),"OK",IF($O155&gt;20,"LET OP: meer dan 20 items (controle onvolledig)",IF((COUNTIF($R155:$AS155,"ONZEKER")+COUNTIF($CJ155:$DK155,"ONZEKER"))&gt;0,"LET OP: scoreverloop onduidelijk (controle beperkt)",IF((IF($AT155&lt;&gt;"",$AT155&amp;", ","")&amp;IF($AU155&lt;&gt;"",$AU155&amp;", ","")&amp;IF($AV155&lt;&gt;"",$AV155&amp;", ","")&amp;IF($AW155&lt;&gt;"",$AW155&amp;", ","")&amp;IF($AX155&lt;&gt;"",$AX155&amp;", ","")&amp;IF($AY155&lt;&gt;"",$AY155&amp;", ","")&amp;IF($AZ155&lt;&gt;"",$AZ155&amp;", ","")&amp;IF($BA155&lt;&gt;"",$BA155&amp;", ","")&amp;IF($BB155&lt;&gt;"",$BB155&amp;", ","")&amp;IF($BC155&lt;&gt;"",$BC155&amp;", ","")&amp;IF($DL155&lt;&gt;"",$DL155&amp;", ","")&amp;IF($DM155&lt;&gt;"",$DM155&amp;", ","")&amp;IF($DN155&lt;&gt;"",$DN155&amp;", ","")&amp;IF($DO155&lt;&gt;"",$DO155&amp;", ","")&amp;IF($DP155&lt;&gt;"",$DP155&amp;", ","")&amp;IF($DQ155&lt;&gt;"",$DQ155&amp;", ","")&amp;IF($DR155&lt;&gt;"",$DR155&amp;", ","")&amp;IF($DS155&lt;&gt;"",$DS155&amp;", ","")&amp;IF($DT155&lt;&gt;"",$DT155&amp;", ","")&amp;IF($DU155&lt;&gt;"",$DU155&amp;", ",""))="","OK","Onbekend: "&amp;LEFT((IF($AT155&lt;&gt;"",$AT155&amp;", ","")&amp;IF($AU155&lt;&gt;"",$AU155&amp;", ","")&amp;IF($AV155&lt;&gt;"",$AV155&amp;", ","")&amp;IF($AW155&lt;&gt;"",$AW155&amp;", ","")&amp;IF($AX155&lt;&gt;"",$AX155&amp;", ","")&amp;IF($AY155&lt;&gt;"",$AY155&amp;", ","")&amp;IF($AZ155&lt;&gt;"",$AZ155&amp;", ","")&amp;IF($BA155&lt;&gt;"",$BA155&amp;", ","")&amp;IF($BB155&lt;&gt;"",$BB155&amp;", ","")&amp;IF($BC155&lt;&gt;"",$BC155&amp;", ","")&amp;IF($DL155&lt;&gt;"",$DL155&amp;", ","")&amp;IF($DM155&lt;&gt;"",$DM155&amp;", ","")&amp;IF($DN155&lt;&gt;"",$DN155&amp;", ","")&amp;IF($DO155&lt;&gt;"",$DO155&amp;", ","")&amp;IF($DP155&lt;&gt;"",$DP155&amp;", ","")&amp;IF($DQ155&lt;&gt;"",$DQ155&amp;", ","")&amp;IF($DR155&lt;&gt;"",$DR155&amp;", ","")&amp;IF($DS155&lt;&gt;"",$DS155&amp;", ","")&amp;IF($DT155&lt;&gt;"",$DT155&amp;", ","")&amp;IF($DU155&lt;&gt;"",$DU155&amp;", ","")),LEN((IF($AT155&lt;&gt;"",$AT155&amp;", ","")&amp;IF($AU155&lt;&gt;"",$AU155&amp;", ","")&amp;IF($AV155&lt;&gt;"",$AV155&amp;", ","")&amp;IF($AW155&lt;&gt;"",$AW155&amp;", ","")&amp;IF($AX155&lt;&gt;"",$AX155&amp;", ","")&amp;IF($AY155&lt;&gt;"",$AY155&amp;", ","")&amp;IF($AZ155&lt;&gt;"",$AZ155&amp;", ","")&amp;IF($BA155&lt;&gt;"",$BA155&amp;", ","")&amp;IF($BB155&lt;&gt;"",$BB155&amp;", ","")&amp;IF($BC155&lt;&gt;"",$BC155&amp;", ","")&amp;IF($DL155&lt;&gt;"",$DL155&amp;", ","")&amp;IF($DM155&lt;&gt;"",$DM155&amp;", ","")&amp;IF($DN155&lt;&gt;"",$DN155&amp;", ","")&amp;IF($DO155&lt;&gt;"",$DO155&amp;", ","")&amp;IF($DP155&lt;&gt;"",$DP155&amp;", ","")&amp;IF($DQ155&lt;&gt;"",$DQ155&amp;", ","")&amp;IF($DR155&lt;&gt;"",$DR155&amp;", ","")&amp;IF($DS155&lt;&gt;"",$DS155&amp;", ","")&amp;IF($DT155&lt;&gt;"",$DT155&amp;", ","")&amp;IF($DU155&lt;&gt;"",$DU155&amp;", ","")))-2)))))))</f>
        <v/>
      </c>
      <c r="N155" t="str">
        <f t="shared" si="1102"/>
        <v/>
      </c>
      <c r="O155" t="str">
        <f t="shared" si="1103"/>
        <v/>
      </c>
      <c r="P155" t="str">
        <f t="shared" si="1104"/>
        <v/>
      </c>
      <c r="Q155" t="str">
        <f t="shared" si="1105"/>
        <v/>
      </c>
      <c r="R155" t="str">
        <f>IF($Q155="","",IF(OR($BE155="",$BF155=""),"ONZEKER",IF(AND($BE155=0+1,$BF155=0),IF(OR(COUNTIF(#REF!,$B155)&gt;0,COUNTIF(#REF!,$B155)=0),"SKIP",IF(COUNTIFS(#REF!,$B155,#REF!,$Q155)&gt;0,"OK","ONBEKEND")),IF(AND($BE155=0,$BF155=0+1),IF(OR(COUNTIF(#REF!,$D155)&gt;0,COUNTIF(#REF!,$D155)=0),"SKIP",IF(COUNTIFS(#REF!,$D155,#REF!,$Q155)&gt;0,"OK","ONBEKEND")),"ONZEKER"))))</f>
        <v/>
      </c>
      <c r="S155" t="str">
        <f t="shared" si="1106"/>
        <v/>
      </c>
      <c r="T155" t="str">
        <f t="shared" si="1107"/>
        <v/>
      </c>
      <c r="U155" t="str">
        <f>IF($T155="","",IF(OR($BH155="",$BI155=""),"ONZEKER",IF(OR($BE155="",$BF155=""),"ONZEKER",IF(AND($BH155=$BE155+1,$BI155=$BF155),IF(OR(COUNTIF(#REF!,$B155)&gt;0,COUNTIF(#REF!,$B155)=0),"SKIP",IF(COUNTIFS(#REF!,$B155,#REF!,$T155)&gt;0,"OK","ONBEKEND")),IF(AND($BH155=$BE155,$BI155=$BF155+1),IF(OR(COUNTIF(#REF!,$D155)&gt;0,COUNTIF(#REF!,$D155)=0),"SKIP",IF(COUNTIFS(#REF!,$D155,#REF!,$T155)&gt;0,"OK","ONBEKEND")),"ONZEKER")))))</f>
        <v/>
      </c>
      <c r="V155" t="str">
        <f t="shared" si="1108"/>
        <v/>
      </c>
      <c r="W155" t="str">
        <f t="shared" si="1109"/>
        <v/>
      </c>
      <c r="X155" t="str">
        <f>IF($W155="","",IF(OR($BK155="",$BL155=""),"ONZEKER",IF(OR($BH155="",$BI155=""),"ONZEKER",IF(AND($BK155=$BH155+1,$BL155=$BI155),IF(OR(COUNTIF(#REF!,$B155)&gt;0,COUNTIF(#REF!,$B155)=0),"SKIP",IF(COUNTIFS(#REF!,$B155,#REF!,$W155)&gt;0,"OK","ONBEKEND")),IF(AND($BK155=$BH155,$BL155=$BI155+1),IF(OR(COUNTIF(#REF!,$D155)&gt;0,COUNTIF(#REF!,$D155)=0),"SKIP",IF(COUNTIFS(#REF!,$D155,#REF!,$W155)&gt;0,"OK","ONBEKEND")),"ONZEKER")))))</f>
        <v/>
      </c>
      <c r="Y155" t="str">
        <f t="shared" si="1110"/>
        <v/>
      </c>
      <c r="Z155" t="str">
        <f t="shared" si="1111"/>
        <v/>
      </c>
      <c r="AA155" t="str">
        <f>IF($Z155="","",IF(OR($BN155="",$BO155=""),"ONZEKER",IF(OR($BK155="",$BL155=""),"ONZEKER",IF(AND($BN155=$BK155+1,$BO155=$BL155),IF(OR(COUNTIF(#REF!,$B155)&gt;0,COUNTIF(#REF!,$B155)=0),"SKIP",IF(COUNTIFS(#REF!,$B155,#REF!,$Z155)&gt;0,"OK","ONBEKEND")),IF(AND($BN155=$BK155,$BO155=$BL155+1),IF(OR(COUNTIF(#REF!,$D155)&gt;0,COUNTIF(#REF!,$D155)=0),"SKIP",IF(COUNTIFS(#REF!,$D155,#REF!,$Z155)&gt;0,"OK","ONBEKEND")),"ONZEKER")))))</f>
        <v/>
      </c>
      <c r="AB155" t="str">
        <f t="shared" si="1112"/>
        <v/>
      </c>
      <c r="AC155" t="str">
        <f t="shared" si="1113"/>
        <v/>
      </c>
      <c r="AD155" t="str">
        <f>IF($AC155="","",IF(OR($BQ155="",$BR155=""),"ONZEKER",IF(OR($BN155="",$BO155=""),"ONZEKER",IF(AND($BQ155=$BN155+1,$BR155=$BO155),IF(OR(COUNTIF(#REF!,$B155)&gt;0,COUNTIF(#REF!,$B155)=0),"SKIP",IF(COUNTIFS(#REF!,$B155,#REF!,$AC155)&gt;0,"OK","ONBEKEND")),IF(AND($BQ155=$BN155,$BR155=$BO155+1),IF(OR(COUNTIF(#REF!,$D155)&gt;0,COUNTIF(#REF!,$D155)=0),"SKIP",IF(COUNTIFS(#REF!,$D155,#REF!,$AC155)&gt;0,"OK","ONBEKEND")),"ONZEKER")))))</f>
        <v/>
      </c>
      <c r="AE155" t="str">
        <f t="shared" si="1114"/>
        <v/>
      </c>
      <c r="AF155" t="str">
        <f t="shared" si="1115"/>
        <v/>
      </c>
      <c r="AG155" t="str">
        <f>IF($AF155="","",IF(OR($BT155="",$BU155=""),"ONZEKER",IF(OR($BQ155="",$BR155=""),"ONZEKER",IF(AND($BT155=$BQ155+1,$BU155=$BR155),IF(OR(COUNTIF(#REF!,$B155)&gt;0,COUNTIF(#REF!,$B155)=0),"SKIP",IF(COUNTIFS(#REF!,$B155,#REF!,$AF155)&gt;0,"OK","ONBEKEND")),IF(AND($BT155=$BQ155,$BU155=$BR155+1),IF(OR(COUNTIF(#REF!,$D155)&gt;0,COUNTIF(#REF!,$D155)=0),"SKIP",IF(COUNTIFS(#REF!,$D155,#REF!,$AF155)&gt;0,"OK","ONBEKEND")),"ONZEKER")))))</f>
        <v/>
      </c>
      <c r="AH155" t="str">
        <f t="shared" si="1116"/>
        <v/>
      </c>
      <c r="AI155" t="str">
        <f t="shared" si="1117"/>
        <v/>
      </c>
      <c r="AJ155" t="str">
        <f>IF($AI155="","",IF(OR($BW155="",$BX155=""),"ONZEKER",IF(OR($BT155="",$BU155=""),"ONZEKER",IF(AND($BW155=$BT155+1,$BX155=$BU155),IF(OR(COUNTIF(#REF!,$B155)&gt;0,COUNTIF(#REF!,$B155)=0),"SKIP",IF(COUNTIFS(#REF!,$B155,#REF!,$AI155)&gt;0,"OK","ONBEKEND")),IF(AND($BW155=$BT155,$BX155=$BU155+1),IF(OR(COUNTIF(#REF!,$D155)&gt;0,COUNTIF(#REF!,$D155)=0),"SKIP",IF(COUNTIFS(#REF!,$D155,#REF!,$AI155)&gt;0,"OK","ONBEKEND")),"ONZEKER")))))</f>
        <v/>
      </c>
      <c r="AK155" t="str">
        <f t="shared" si="1118"/>
        <v/>
      </c>
      <c r="AL155" t="str">
        <f t="shared" si="1119"/>
        <v/>
      </c>
      <c r="AM155" t="str">
        <f>IF($AL155="","",IF(OR($BZ155="",$CA155=""),"ONZEKER",IF(OR($BW155="",$BX155=""),"ONZEKER",IF(AND($BZ155=$BW155+1,$CA155=$BX155),IF(OR(COUNTIF(#REF!,$B155)&gt;0,COUNTIF(#REF!,$B155)=0),"SKIP",IF(COUNTIFS(#REF!,$B155,#REF!,$AL155)&gt;0,"OK","ONBEKEND")),IF(AND($BZ155=$BW155,$CA155=$BX155+1),IF(OR(COUNTIF(#REF!,$D155)&gt;0,COUNTIF(#REF!,$D155)=0),"SKIP",IF(COUNTIFS(#REF!,$D155,#REF!,$AL155)&gt;0,"OK","ONBEKEND")),"ONZEKER")))))</f>
        <v/>
      </c>
      <c r="AN155" t="str">
        <f t="shared" si="1120"/>
        <v/>
      </c>
      <c r="AO155" t="str">
        <f t="shared" si="1121"/>
        <v/>
      </c>
      <c r="AP155" t="str">
        <f>IF($AO155="","",IF(OR($CC155="",$CD155=""),"ONZEKER",IF(OR($BZ155="",$CA155=""),"ONZEKER",IF(AND($CC155=$BZ155+1,$CD155=$CA155),IF(OR(COUNTIF(#REF!,$B155)&gt;0,COUNTIF(#REF!,$B155)=0),"SKIP",IF(COUNTIFS(#REF!,$B155,#REF!,$AO155)&gt;0,"OK","ONBEKEND")),IF(AND($CC155=$BZ155,$CD155=$CA155+1),IF(OR(COUNTIF(#REF!,$D155)&gt;0,COUNTIF(#REF!,$D155)=0),"SKIP",IF(COUNTIFS(#REF!,$D155,#REF!,$AO155)&gt;0,"OK","ONBEKEND")),"ONZEKER")))))</f>
        <v/>
      </c>
      <c r="AQ155" t="str">
        <f t="shared" si="1122"/>
        <v/>
      </c>
      <c r="AR155" t="str">
        <f t="shared" si="1123"/>
        <v/>
      </c>
      <c r="AS155" t="str">
        <f>IF($AR155="","",IF(OR($CF155="",$CG155=""),"ONZEKER",IF(OR($CC155="",$CD155=""),"ONZEKER",IF(AND($CF155=$CC155+1,$CG155=$CD155),IF(OR(COUNTIF(#REF!,$B155)&gt;0,COUNTIF(#REF!,$B155)=0),"SKIP",IF(COUNTIFS(#REF!,$B155,#REF!,$AR155)&gt;0,"OK","ONBEKEND")),IF(AND($CF155=$CC155,$CG155=$CD155+1),IF(OR(COUNTIF(#REF!,$D155)&gt;0,COUNTIF(#REF!,$D155)=0),"SKIP",IF(COUNTIFS(#REF!,$D155,#REF!,$AR155)&gt;0,"OK","ONBEKEND")),"ONZEKER")))))</f>
        <v/>
      </c>
      <c r="AT155" t="str">
        <f t="shared" si="1124"/>
        <v/>
      </c>
      <c r="AU155" t="str">
        <f t="shared" si="1125"/>
        <v/>
      </c>
      <c r="AV155" t="str">
        <f t="shared" si="1126"/>
        <v/>
      </c>
      <c r="AW155" t="str">
        <f t="shared" si="1127"/>
        <v/>
      </c>
      <c r="AX155" t="str">
        <f t="shared" si="1128"/>
        <v/>
      </c>
      <c r="AY155" t="str">
        <f t="shared" si="1129"/>
        <v/>
      </c>
      <c r="AZ155" t="str">
        <f t="shared" si="1130"/>
        <v/>
      </c>
      <c r="BA155" t="str">
        <f t="shared" si="1131"/>
        <v/>
      </c>
      <c r="BB155" t="str">
        <f t="shared" si="1132"/>
        <v/>
      </c>
      <c r="BC155" t="str">
        <f t="shared" si="1133"/>
        <v/>
      </c>
      <c r="BD155" t="str">
        <f t="shared" si="980"/>
        <v/>
      </c>
      <c r="BE155" t="str">
        <f t="shared" si="981"/>
        <v/>
      </c>
      <c r="BF155" t="str">
        <f t="shared" si="982"/>
        <v/>
      </c>
      <c r="BG155" t="str">
        <f t="shared" si="983"/>
        <v/>
      </c>
      <c r="BH155" t="str">
        <f t="shared" si="984"/>
        <v/>
      </c>
      <c r="BI155" t="str">
        <f t="shared" si="985"/>
        <v/>
      </c>
      <c r="BJ155" t="str">
        <f t="shared" si="986"/>
        <v/>
      </c>
      <c r="BK155" t="str">
        <f t="shared" si="987"/>
        <v/>
      </c>
      <c r="BL155" t="str">
        <f t="shared" si="988"/>
        <v/>
      </c>
      <c r="BM155" t="str">
        <f t="shared" si="989"/>
        <v/>
      </c>
      <c r="BN155" t="str">
        <f t="shared" si="990"/>
        <v/>
      </c>
      <c r="BO155" t="str">
        <f t="shared" si="991"/>
        <v/>
      </c>
      <c r="BP155" t="str">
        <f t="shared" si="992"/>
        <v/>
      </c>
      <c r="BQ155" t="str">
        <f t="shared" si="993"/>
        <v/>
      </c>
      <c r="BR155" t="str">
        <f t="shared" si="994"/>
        <v/>
      </c>
      <c r="BS155" t="str">
        <f t="shared" si="995"/>
        <v/>
      </c>
      <c r="BT155" t="str">
        <f t="shared" si="996"/>
        <v/>
      </c>
      <c r="BU155" t="str">
        <f t="shared" si="997"/>
        <v/>
      </c>
      <c r="BV155" t="str">
        <f t="shared" si="998"/>
        <v/>
      </c>
      <c r="BW155" t="str">
        <f t="shared" si="999"/>
        <v/>
      </c>
      <c r="BX155" t="str">
        <f t="shared" si="1000"/>
        <v/>
      </c>
      <c r="BY155" t="str">
        <f t="shared" si="1001"/>
        <v/>
      </c>
      <c r="BZ155" t="str">
        <f t="shared" si="1002"/>
        <v/>
      </c>
      <c r="CA155" t="str">
        <f t="shared" si="1003"/>
        <v/>
      </c>
      <c r="CB155" t="str">
        <f t="shared" si="1004"/>
        <v/>
      </c>
      <c r="CC155" t="str">
        <f t="shared" si="1005"/>
        <v/>
      </c>
      <c r="CD155" t="str">
        <f t="shared" si="1006"/>
        <v/>
      </c>
      <c r="CE155" t="str">
        <f t="shared" si="1007"/>
        <v/>
      </c>
      <c r="CF155" t="str">
        <f t="shared" si="1008"/>
        <v/>
      </c>
      <c r="CG155" t="str">
        <f t="shared" si="1009"/>
        <v/>
      </c>
      <c r="CH155" t="str">
        <f t="shared" si="1134"/>
        <v/>
      </c>
      <c r="CI155" t="str">
        <f t="shared" si="1135"/>
        <v/>
      </c>
      <c r="CJ155" t="str">
        <f>IF($CI155="","",IF(OR($DW155="",$DX155=""),"ONZEKER",IF(OR($CF155="",$CG155=""),"ONZEKER",IF(AND($DW155=$CF155+1,$DX155=$CG155),IF(OR(COUNTIF(#REF!,$B155)&gt;0,COUNTIF(#REF!,$B155)=0),"SKIP",IF(COUNTIFS(#REF!,$B155,#REF!,$CI155)&gt;0,"OK","ONBEKEND")),IF(AND($DW155=$CF155,$DX155=$CG155+1),IF(OR(COUNTIF(#REF!,$D155)&gt;0,COUNTIF(#REF!,$D155)=0),"SKIP",IF(COUNTIFS(#REF!,$D155,#REF!,$CI155)&gt;0,"OK","ONBEKEND")),"ONZEKER")))))</f>
        <v/>
      </c>
      <c r="CK155" t="str">
        <f t="shared" si="1136"/>
        <v/>
      </c>
      <c r="CL155" t="str">
        <f t="shared" si="1137"/>
        <v/>
      </c>
      <c r="CM155" t="str">
        <f>IF($CL155="","",IF(OR($DZ155="",$EA155=""),"ONZEKER",IF(OR($DW155="",$DX155=""),"ONZEKER",IF(AND($DZ155=$DW155+1,$EA155=$DX155),IF(OR(COUNTIF(#REF!,$B155)&gt;0,COUNTIF(#REF!,$B155)=0),"SKIP",IF(COUNTIFS(#REF!,$B155,#REF!,$CL155)&gt;0,"OK","ONBEKEND")),IF(AND($DZ155=$DW155,$EA155=$DX155+1),IF(OR(COUNTIF(#REF!,$D155)&gt;0,COUNTIF(#REF!,$D155)=0),"SKIP",IF(COUNTIFS(#REF!,$D155,#REF!,$CL155)&gt;0,"OK","ONBEKEND")),"ONZEKER")))))</f>
        <v/>
      </c>
      <c r="CN155" t="str">
        <f t="shared" si="1138"/>
        <v/>
      </c>
      <c r="CO155" t="str">
        <f t="shared" si="1139"/>
        <v/>
      </c>
      <c r="CP155" t="str">
        <f>IF($CO155="","",IF(OR($EC155="",$ED155=""),"ONZEKER",IF(OR($DZ155="",$EA155=""),"ONZEKER",IF(AND($EC155=$DZ155+1,$ED155=$EA155),IF(OR(COUNTIF(#REF!,$B155)&gt;0,COUNTIF(#REF!,$B155)=0),"SKIP",IF(COUNTIFS(#REF!,$B155,#REF!,$CO155)&gt;0,"OK","ONBEKEND")),IF(AND($EC155=$DZ155,$ED155=$EA155+1),IF(OR(COUNTIF(#REF!,$D155)&gt;0,COUNTIF(#REF!,$D155)=0),"SKIP",IF(COUNTIFS(#REF!,$D155,#REF!,$CO155)&gt;0,"OK","ONBEKEND")),"ONZEKER")))))</f>
        <v/>
      </c>
      <c r="CQ155" t="str">
        <f t="shared" si="1140"/>
        <v/>
      </c>
      <c r="CR155" t="str">
        <f t="shared" si="1141"/>
        <v/>
      </c>
      <c r="CS155" t="str">
        <f>IF($CR155="","",IF(OR($EF155="",$EG155=""),"ONZEKER",IF(OR($EC155="",$ED155=""),"ONZEKER",IF(AND($EF155=$EC155+1,$EG155=$ED155),IF(OR(COUNTIF(#REF!,$B155)&gt;0,COUNTIF(#REF!,$B155)=0),"SKIP",IF(COUNTIFS(#REF!,$B155,#REF!,$CR155)&gt;0,"OK","ONBEKEND")),IF(AND($EF155=$EC155,$EG155=$ED155+1),IF(OR(COUNTIF(#REF!,$D155)&gt;0,COUNTIF(#REF!,$D155)=0),"SKIP",IF(COUNTIFS(#REF!,$D155,#REF!,$CR155)&gt;0,"OK","ONBEKEND")),"ONZEKER")))))</f>
        <v/>
      </c>
      <c r="CT155" t="str">
        <f t="shared" si="1142"/>
        <v/>
      </c>
      <c r="CU155" t="str">
        <f t="shared" si="1143"/>
        <v/>
      </c>
      <c r="CV155" t="str">
        <f>IF($CU155="","",IF(OR($EI155="",$EJ155=""),"ONZEKER",IF(OR($EF155="",$EG155=""),"ONZEKER",IF(AND($EI155=$EF155+1,$EJ155=$EG155),IF(OR(COUNTIF(#REF!,$B155)&gt;0,COUNTIF(#REF!,$B155)=0),"SKIP",IF(COUNTIFS(#REF!,$B155,#REF!,$CU155)&gt;0,"OK","ONBEKEND")),IF(AND($EI155=$EF155,$EJ155=$EG155+1),IF(OR(COUNTIF(#REF!,$D155)&gt;0,COUNTIF(#REF!,$D155)=0),"SKIP",IF(COUNTIFS(#REF!,$D155,#REF!,$CU155)&gt;0,"OK","ONBEKEND")),"ONZEKER")))))</f>
        <v/>
      </c>
      <c r="CW155" t="str">
        <f t="shared" si="1144"/>
        <v/>
      </c>
      <c r="CX155" t="str">
        <f t="shared" si="1145"/>
        <v/>
      </c>
      <c r="CY155" t="str">
        <f>IF($CX155="","",IF(OR($EL155="",$EM155=""),"ONZEKER",IF(OR($EI155="",$EJ155=""),"ONZEKER",IF(AND($EL155=$EI155+1,$EM155=$EJ155),IF(OR(COUNTIF(#REF!,$B155)&gt;0,COUNTIF(#REF!,$B155)=0),"SKIP",IF(COUNTIFS(#REF!,$B155,#REF!,$CX155)&gt;0,"OK","ONBEKEND")),IF(AND($EL155=$EI155,$EM155=$EJ155+1),IF(OR(COUNTIF(#REF!,$D155)&gt;0,COUNTIF(#REF!,$D155)=0),"SKIP",IF(COUNTIFS(#REF!,$D155,#REF!,$CX155)&gt;0,"OK","ONBEKEND")),"ONZEKER")))))</f>
        <v/>
      </c>
      <c r="CZ155" t="str">
        <f t="shared" si="1146"/>
        <v/>
      </c>
      <c r="DA155" t="str">
        <f t="shared" si="1147"/>
        <v/>
      </c>
      <c r="DB155" t="str">
        <f>IF($DA155="","",IF(OR($EO155="",$EP155=""),"ONZEKER",IF(OR($EL155="",$EM155=""),"ONZEKER",IF(AND($EO155=$EL155+1,$EP155=$EM155),IF(OR(COUNTIF(#REF!,$B155)&gt;0,COUNTIF(#REF!,$B155)=0),"SKIP",IF(COUNTIFS(#REF!,$B155,#REF!,$DA155)&gt;0,"OK","ONBEKEND")),IF(AND($EO155=$EL155,$EP155=$EM155+1),IF(OR(COUNTIF(#REF!,$D155)&gt;0,COUNTIF(#REF!,$D155)=0),"SKIP",IF(COUNTIFS(#REF!,$D155,#REF!,$DA155)&gt;0,"OK","ONBEKEND")),"ONZEKER")))))</f>
        <v/>
      </c>
      <c r="DC155" t="str">
        <f t="shared" si="1148"/>
        <v/>
      </c>
      <c r="DD155" t="str">
        <f t="shared" si="1149"/>
        <v/>
      </c>
      <c r="DE155" t="str">
        <f>IF($DD155="","",IF(OR($ER155="",$ES155=""),"ONZEKER",IF(OR($EO155="",$EP155=""),"ONZEKER",IF(AND($ER155=$EO155+1,$ES155=$EP155),IF(OR(COUNTIF(#REF!,$B155)&gt;0,COUNTIF(#REF!,$B155)=0),"SKIP",IF(COUNTIFS(#REF!,$B155,#REF!,$DD155)&gt;0,"OK","ONBEKEND")),IF(AND($ER155=$EO155,$ES155=$EP155+1),IF(OR(COUNTIF(#REF!,$D155)&gt;0,COUNTIF(#REF!,$D155)=0),"SKIP",IF(COUNTIFS(#REF!,$D155,#REF!,$DD155)&gt;0,"OK","ONBEKEND")),"ONZEKER")))))</f>
        <v/>
      </c>
      <c r="DF155" t="str">
        <f t="shared" si="1150"/>
        <v/>
      </c>
      <c r="DG155" t="str">
        <f t="shared" si="1151"/>
        <v/>
      </c>
      <c r="DH155" t="str">
        <f>IF($DG155="","",IF(OR($EU155="",$EV155=""),"ONZEKER",IF(OR($ER155="",$ES155=""),"ONZEKER",IF(AND($EU155=$ER155+1,$EV155=$ES155),IF(OR(COUNTIF(#REF!,$B155)&gt;0,COUNTIF(#REF!,$B155)=0),"SKIP",IF(COUNTIFS(#REF!,$B155,#REF!,$DG155)&gt;0,"OK","ONBEKEND")),IF(AND($EU155=$ER155,$EV155=$ES155+1),IF(OR(COUNTIF(#REF!,$D155)&gt;0,COUNTIF(#REF!,$D155)=0),"SKIP",IF(COUNTIFS(#REF!,$D155,#REF!,$DG155)&gt;0,"OK","ONBEKEND")),"ONZEKER")))))</f>
        <v/>
      </c>
      <c r="DI155" t="str">
        <f t="shared" si="1152"/>
        <v/>
      </c>
      <c r="DJ155" t="str">
        <f t="shared" si="1153"/>
        <v/>
      </c>
      <c r="DK155" t="str">
        <f>IF($DJ155="","",IF(OR($EX155="",$EY155=""),"ONZEKER",IF(OR($EU155="",$EV155=""),"ONZEKER",IF(AND($EX155=$EU155+1,$EY155=$EV155),IF(OR(COUNTIF(#REF!,$B155)&gt;0,COUNTIF(#REF!,$B155)=0),"SKIP",IF(COUNTIFS(#REF!,$B155,#REF!,$DJ155)&gt;0,"OK","ONBEKEND")),IF(AND($EX155=$EU155,$EY155=$EV155+1),IF(OR(COUNTIF(#REF!,$D155)&gt;0,COUNTIF(#REF!,$D155)=0),"SKIP",IF(COUNTIFS(#REF!,$D155,#REF!,$DJ155)&gt;0,"OK","ONBEKEND")),"ONZEKER")))))</f>
        <v/>
      </c>
      <c r="DL155" t="str">
        <f t="shared" si="1154"/>
        <v/>
      </c>
      <c r="DM155" t="str">
        <f t="shared" si="1155"/>
        <v/>
      </c>
      <c r="DN155" t="str">
        <f t="shared" si="1156"/>
        <v/>
      </c>
      <c r="DO155" t="str">
        <f t="shared" si="1157"/>
        <v/>
      </c>
      <c r="DP155" t="str">
        <f t="shared" si="1158"/>
        <v/>
      </c>
      <c r="DQ155" t="str">
        <f t="shared" si="1159"/>
        <v/>
      </c>
      <c r="DR155" t="str">
        <f t="shared" si="1160"/>
        <v/>
      </c>
      <c r="DS155" t="str">
        <f t="shared" si="1161"/>
        <v/>
      </c>
      <c r="DT155" t="str">
        <f t="shared" si="1162"/>
        <v/>
      </c>
      <c r="DU155" t="str">
        <f t="shared" si="1163"/>
        <v/>
      </c>
      <c r="DV155" t="str">
        <f t="shared" si="1164"/>
        <v/>
      </c>
      <c r="DW155" t="str">
        <f t="shared" si="1165"/>
        <v/>
      </c>
      <c r="DX155" t="str">
        <f t="shared" si="1166"/>
        <v/>
      </c>
      <c r="DY155" t="str">
        <f t="shared" si="1167"/>
        <v/>
      </c>
      <c r="DZ155" t="str">
        <f t="shared" si="1168"/>
        <v/>
      </c>
      <c r="EA155" t="str">
        <f t="shared" si="1169"/>
        <v/>
      </c>
      <c r="EB155" t="str">
        <f t="shared" si="1170"/>
        <v/>
      </c>
      <c r="EC155" t="str">
        <f t="shared" si="1171"/>
        <v/>
      </c>
      <c r="ED155" t="str">
        <f t="shared" si="1172"/>
        <v/>
      </c>
      <c r="EE155" t="str">
        <f t="shared" si="1173"/>
        <v/>
      </c>
      <c r="EF155" t="str">
        <f t="shared" si="1174"/>
        <v/>
      </c>
      <c r="EG155" t="str">
        <f t="shared" si="1175"/>
        <v/>
      </c>
      <c r="EH155" t="str">
        <f t="shared" si="1176"/>
        <v/>
      </c>
      <c r="EI155" t="str">
        <f t="shared" si="1177"/>
        <v/>
      </c>
      <c r="EJ155" t="str">
        <f t="shared" si="1178"/>
        <v/>
      </c>
      <c r="EK155" t="str">
        <f t="shared" si="1179"/>
        <v/>
      </c>
      <c r="EL155" t="str">
        <f t="shared" si="1180"/>
        <v/>
      </c>
      <c r="EM155" t="str">
        <f t="shared" si="1181"/>
        <v/>
      </c>
      <c r="EN155" t="str">
        <f t="shared" si="1182"/>
        <v/>
      </c>
      <c r="EO155" t="str">
        <f t="shared" si="1183"/>
        <v/>
      </c>
      <c r="EP155" t="str">
        <f t="shared" si="1184"/>
        <v/>
      </c>
      <c r="EQ155" t="str">
        <f t="shared" si="1185"/>
        <v/>
      </c>
      <c r="ER155" t="str">
        <f t="shared" si="1186"/>
        <v/>
      </c>
      <c r="ES155" t="str">
        <f t="shared" si="1187"/>
        <v/>
      </c>
      <c r="ET155" t="str">
        <f t="shared" si="1188"/>
        <v/>
      </c>
      <c r="EU155" t="str">
        <f t="shared" si="1189"/>
        <v/>
      </c>
      <c r="EV155" t="str">
        <f t="shared" si="1190"/>
        <v/>
      </c>
      <c r="EW155" t="str">
        <f t="shared" si="1191"/>
        <v/>
      </c>
      <c r="EX155" t="str">
        <f t="shared" si="1192"/>
        <v/>
      </c>
      <c r="EY155" t="str">
        <f t="shared" si="1193"/>
        <v/>
      </c>
    </row>
    <row r="156" spans="1:155" ht="13.9" customHeight="1" x14ac:dyDescent="0.25">
      <c r="M156" s="3" t="str">
        <f>IF($L156="","",IF($L156="DOELPUNTENMAKERS","",IF(AND(COUNTIF(#REF!,$B156)=0,COUNTIF(#REF!,$D156)=0),"OK",IF($O156&gt;20,"LET OP: meer dan 20 items (controle onvolledig)",IF((COUNTIF($R156:$AS156,"ONZEKER")+COUNTIF($CJ156:$DK156,"ONZEKER"))&gt;0,"LET OP: scoreverloop onduidelijk (controle beperkt)",IF((IF($AT156&lt;&gt;"",$AT156&amp;", ","")&amp;IF($AU156&lt;&gt;"",$AU156&amp;", ","")&amp;IF($AV156&lt;&gt;"",$AV156&amp;", ","")&amp;IF($AW156&lt;&gt;"",$AW156&amp;", ","")&amp;IF($AX156&lt;&gt;"",$AX156&amp;", ","")&amp;IF($AY156&lt;&gt;"",$AY156&amp;", ","")&amp;IF($AZ156&lt;&gt;"",$AZ156&amp;", ","")&amp;IF($BA156&lt;&gt;"",$BA156&amp;", ","")&amp;IF($BB156&lt;&gt;"",$BB156&amp;", ","")&amp;IF($BC156&lt;&gt;"",$BC156&amp;", ","")&amp;IF($DL156&lt;&gt;"",$DL156&amp;", ","")&amp;IF($DM156&lt;&gt;"",$DM156&amp;", ","")&amp;IF($DN156&lt;&gt;"",$DN156&amp;", ","")&amp;IF($DO156&lt;&gt;"",$DO156&amp;", ","")&amp;IF($DP156&lt;&gt;"",$DP156&amp;", ","")&amp;IF($DQ156&lt;&gt;"",$DQ156&amp;", ","")&amp;IF($DR156&lt;&gt;"",$DR156&amp;", ","")&amp;IF($DS156&lt;&gt;"",$DS156&amp;", ","")&amp;IF($DT156&lt;&gt;"",$DT156&amp;", ","")&amp;IF($DU156&lt;&gt;"",$DU156&amp;", ",""))="","OK","Onbekend: "&amp;LEFT((IF($AT156&lt;&gt;"",$AT156&amp;", ","")&amp;IF($AU156&lt;&gt;"",$AU156&amp;", ","")&amp;IF($AV156&lt;&gt;"",$AV156&amp;", ","")&amp;IF($AW156&lt;&gt;"",$AW156&amp;", ","")&amp;IF($AX156&lt;&gt;"",$AX156&amp;", ","")&amp;IF($AY156&lt;&gt;"",$AY156&amp;", ","")&amp;IF($AZ156&lt;&gt;"",$AZ156&amp;", ","")&amp;IF($BA156&lt;&gt;"",$BA156&amp;", ","")&amp;IF($BB156&lt;&gt;"",$BB156&amp;", ","")&amp;IF($BC156&lt;&gt;"",$BC156&amp;", ","")&amp;IF($DL156&lt;&gt;"",$DL156&amp;", ","")&amp;IF($DM156&lt;&gt;"",$DM156&amp;", ","")&amp;IF($DN156&lt;&gt;"",$DN156&amp;", ","")&amp;IF($DO156&lt;&gt;"",$DO156&amp;", ","")&amp;IF($DP156&lt;&gt;"",$DP156&amp;", ","")&amp;IF($DQ156&lt;&gt;"",$DQ156&amp;", ","")&amp;IF($DR156&lt;&gt;"",$DR156&amp;", ","")&amp;IF($DS156&lt;&gt;"",$DS156&amp;", ","")&amp;IF($DT156&lt;&gt;"",$DT156&amp;", ","")&amp;IF($DU156&lt;&gt;"",$DU156&amp;", ","")),LEN((IF($AT156&lt;&gt;"",$AT156&amp;", ","")&amp;IF($AU156&lt;&gt;"",$AU156&amp;", ","")&amp;IF($AV156&lt;&gt;"",$AV156&amp;", ","")&amp;IF($AW156&lt;&gt;"",$AW156&amp;", ","")&amp;IF($AX156&lt;&gt;"",$AX156&amp;", ","")&amp;IF($AY156&lt;&gt;"",$AY156&amp;", ","")&amp;IF($AZ156&lt;&gt;"",$AZ156&amp;", ","")&amp;IF($BA156&lt;&gt;"",$BA156&amp;", ","")&amp;IF($BB156&lt;&gt;"",$BB156&amp;", ","")&amp;IF($BC156&lt;&gt;"",$BC156&amp;", ","")&amp;IF($DL156&lt;&gt;"",$DL156&amp;", ","")&amp;IF($DM156&lt;&gt;"",$DM156&amp;", ","")&amp;IF($DN156&lt;&gt;"",$DN156&amp;", ","")&amp;IF($DO156&lt;&gt;"",$DO156&amp;", ","")&amp;IF($DP156&lt;&gt;"",$DP156&amp;", ","")&amp;IF($DQ156&lt;&gt;"",$DQ156&amp;", ","")&amp;IF($DR156&lt;&gt;"",$DR156&amp;", ","")&amp;IF($DS156&lt;&gt;"",$DS156&amp;", ","")&amp;IF($DT156&lt;&gt;"",$DT156&amp;", ","")&amp;IF($DU156&lt;&gt;"",$DU156&amp;", ","")))-2)))))))</f>
        <v/>
      </c>
      <c r="N156" t="str">
        <f t="shared" si="1102"/>
        <v/>
      </c>
      <c r="O156" t="str">
        <f t="shared" si="1103"/>
        <v/>
      </c>
      <c r="P156" t="str">
        <f t="shared" si="1104"/>
        <v/>
      </c>
      <c r="Q156" t="str">
        <f t="shared" si="1105"/>
        <v/>
      </c>
      <c r="R156" t="str">
        <f>IF($Q156="","",IF(OR($BE156="",$BF156=""),"ONZEKER",IF(AND($BE156=0+1,$BF156=0),IF(OR(COUNTIF(#REF!,$B156)&gt;0,COUNTIF(#REF!,$B156)=0),"SKIP",IF(COUNTIFS(#REF!,$B156,#REF!,$Q156)&gt;0,"OK","ONBEKEND")),IF(AND($BE156=0,$BF156=0+1),IF(OR(COUNTIF(#REF!,$D156)&gt;0,COUNTIF(#REF!,$D156)=0),"SKIP",IF(COUNTIFS(#REF!,$D156,#REF!,$Q156)&gt;0,"OK","ONBEKEND")),"ONZEKER"))))</f>
        <v/>
      </c>
      <c r="S156" t="str">
        <f t="shared" si="1106"/>
        <v/>
      </c>
      <c r="T156" t="str">
        <f t="shared" si="1107"/>
        <v/>
      </c>
      <c r="U156" t="str">
        <f>IF($T156="","",IF(OR($BH156="",$BI156=""),"ONZEKER",IF(OR($BE156="",$BF156=""),"ONZEKER",IF(AND($BH156=$BE156+1,$BI156=$BF156),IF(OR(COUNTIF(#REF!,$B156)&gt;0,COUNTIF(#REF!,$B156)=0),"SKIP",IF(COUNTIFS(#REF!,$B156,#REF!,$T156)&gt;0,"OK","ONBEKEND")),IF(AND($BH156=$BE156,$BI156=$BF156+1),IF(OR(COUNTIF(#REF!,$D156)&gt;0,COUNTIF(#REF!,$D156)=0),"SKIP",IF(COUNTIFS(#REF!,$D156,#REF!,$T156)&gt;0,"OK","ONBEKEND")),"ONZEKER")))))</f>
        <v/>
      </c>
      <c r="V156" t="str">
        <f t="shared" si="1108"/>
        <v/>
      </c>
      <c r="W156" t="str">
        <f t="shared" si="1109"/>
        <v/>
      </c>
      <c r="X156" t="str">
        <f>IF($W156="","",IF(OR($BK156="",$BL156=""),"ONZEKER",IF(OR($BH156="",$BI156=""),"ONZEKER",IF(AND($BK156=$BH156+1,$BL156=$BI156),IF(OR(COUNTIF(#REF!,$B156)&gt;0,COUNTIF(#REF!,$B156)=0),"SKIP",IF(COUNTIFS(#REF!,$B156,#REF!,$W156)&gt;0,"OK","ONBEKEND")),IF(AND($BK156=$BH156,$BL156=$BI156+1),IF(OR(COUNTIF(#REF!,$D156)&gt;0,COUNTIF(#REF!,$D156)=0),"SKIP",IF(COUNTIFS(#REF!,$D156,#REF!,$W156)&gt;0,"OK","ONBEKEND")),"ONZEKER")))))</f>
        <v/>
      </c>
      <c r="Y156" t="str">
        <f t="shared" si="1110"/>
        <v/>
      </c>
      <c r="Z156" t="str">
        <f t="shared" si="1111"/>
        <v/>
      </c>
      <c r="AA156" t="str">
        <f>IF($Z156="","",IF(OR($BN156="",$BO156=""),"ONZEKER",IF(OR($BK156="",$BL156=""),"ONZEKER",IF(AND($BN156=$BK156+1,$BO156=$BL156),IF(OR(COUNTIF(#REF!,$B156)&gt;0,COUNTIF(#REF!,$B156)=0),"SKIP",IF(COUNTIFS(#REF!,$B156,#REF!,$Z156)&gt;0,"OK","ONBEKEND")),IF(AND($BN156=$BK156,$BO156=$BL156+1),IF(OR(COUNTIF(#REF!,$D156)&gt;0,COUNTIF(#REF!,$D156)=0),"SKIP",IF(COUNTIFS(#REF!,$D156,#REF!,$Z156)&gt;0,"OK","ONBEKEND")),"ONZEKER")))))</f>
        <v/>
      </c>
      <c r="AB156" t="str">
        <f t="shared" si="1112"/>
        <v/>
      </c>
      <c r="AC156" t="str">
        <f t="shared" si="1113"/>
        <v/>
      </c>
      <c r="AD156" t="str">
        <f>IF($AC156="","",IF(OR($BQ156="",$BR156=""),"ONZEKER",IF(OR($BN156="",$BO156=""),"ONZEKER",IF(AND($BQ156=$BN156+1,$BR156=$BO156),IF(OR(COUNTIF(#REF!,$B156)&gt;0,COUNTIF(#REF!,$B156)=0),"SKIP",IF(COUNTIFS(#REF!,$B156,#REF!,$AC156)&gt;0,"OK","ONBEKEND")),IF(AND($BQ156=$BN156,$BR156=$BO156+1),IF(OR(COUNTIF(#REF!,$D156)&gt;0,COUNTIF(#REF!,$D156)=0),"SKIP",IF(COUNTIFS(#REF!,$D156,#REF!,$AC156)&gt;0,"OK","ONBEKEND")),"ONZEKER")))))</f>
        <v/>
      </c>
      <c r="AE156" t="str">
        <f t="shared" si="1114"/>
        <v/>
      </c>
      <c r="AF156" t="str">
        <f t="shared" si="1115"/>
        <v/>
      </c>
      <c r="AG156" t="str">
        <f>IF($AF156="","",IF(OR($BT156="",$BU156=""),"ONZEKER",IF(OR($BQ156="",$BR156=""),"ONZEKER",IF(AND($BT156=$BQ156+1,$BU156=$BR156),IF(OR(COUNTIF(#REF!,$B156)&gt;0,COUNTIF(#REF!,$B156)=0),"SKIP",IF(COUNTIFS(#REF!,$B156,#REF!,$AF156)&gt;0,"OK","ONBEKEND")),IF(AND($BT156=$BQ156,$BU156=$BR156+1),IF(OR(COUNTIF(#REF!,$D156)&gt;0,COUNTIF(#REF!,$D156)=0),"SKIP",IF(COUNTIFS(#REF!,$D156,#REF!,$AF156)&gt;0,"OK","ONBEKEND")),"ONZEKER")))))</f>
        <v/>
      </c>
      <c r="AH156" t="str">
        <f t="shared" si="1116"/>
        <v/>
      </c>
      <c r="AI156" t="str">
        <f t="shared" si="1117"/>
        <v/>
      </c>
      <c r="AJ156" t="str">
        <f>IF($AI156="","",IF(OR($BW156="",$BX156=""),"ONZEKER",IF(OR($BT156="",$BU156=""),"ONZEKER",IF(AND($BW156=$BT156+1,$BX156=$BU156),IF(OR(COUNTIF(#REF!,$B156)&gt;0,COUNTIF(#REF!,$B156)=0),"SKIP",IF(COUNTIFS(#REF!,$B156,#REF!,$AI156)&gt;0,"OK","ONBEKEND")),IF(AND($BW156=$BT156,$BX156=$BU156+1),IF(OR(COUNTIF(#REF!,$D156)&gt;0,COUNTIF(#REF!,$D156)=0),"SKIP",IF(COUNTIFS(#REF!,$D156,#REF!,$AI156)&gt;0,"OK","ONBEKEND")),"ONZEKER")))))</f>
        <v/>
      </c>
      <c r="AK156" t="str">
        <f t="shared" si="1118"/>
        <v/>
      </c>
      <c r="AL156" t="str">
        <f t="shared" si="1119"/>
        <v/>
      </c>
      <c r="AM156" t="str">
        <f>IF($AL156="","",IF(OR($BZ156="",$CA156=""),"ONZEKER",IF(OR($BW156="",$BX156=""),"ONZEKER",IF(AND($BZ156=$BW156+1,$CA156=$BX156),IF(OR(COUNTIF(#REF!,$B156)&gt;0,COUNTIF(#REF!,$B156)=0),"SKIP",IF(COUNTIFS(#REF!,$B156,#REF!,$AL156)&gt;0,"OK","ONBEKEND")),IF(AND($BZ156=$BW156,$CA156=$BX156+1),IF(OR(COUNTIF(#REF!,$D156)&gt;0,COUNTIF(#REF!,$D156)=0),"SKIP",IF(COUNTIFS(#REF!,$D156,#REF!,$AL156)&gt;0,"OK","ONBEKEND")),"ONZEKER")))))</f>
        <v/>
      </c>
      <c r="AN156" t="str">
        <f t="shared" si="1120"/>
        <v/>
      </c>
      <c r="AO156" t="str">
        <f t="shared" si="1121"/>
        <v/>
      </c>
      <c r="AP156" t="str">
        <f>IF($AO156="","",IF(OR($CC156="",$CD156=""),"ONZEKER",IF(OR($BZ156="",$CA156=""),"ONZEKER",IF(AND($CC156=$BZ156+1,$CD156=$CA156),IF(OR(COUNTIF(#REF!,$B156)&gt;0,COUNTIF(#REF!,$B156)=0),"SKIP",IF(COUNTIFS(#REF!,$B156,#REF!,$AO156)&gt;0,"OK","ONBEKEND")),IF(AND($CC156=$BZ156,$CD156=$CA156+1),IF(OR(COUNTIF(#REF!,$D156)&gt;0,COUNTIF(#REF!,$D156)=0),"SKIP",IF(COUNTIFS(#REF!,$D156,#REF!,$AO156)&gt;0,"OK","ONBEKEND")),"ONZEKER")))))</f>
        <v/>
      </c>
      <c r="AQ156" t="str">
        <f t="shared" si="1122"/>
        <v/>
      </c>
      <c r="AR156" t="str">
        <f t="shared" si="1123"/>
        <v/>
      </c>
      <c r="AS156" t="str">
        <f>IF($AR156="","",IF(OR($CF156="",$CG156=""),"ONZEKER",IF(OR($CC156="",$CD156=""),"ONZEKER",IF(AND($CF156=$CC156+1,$CG156=$CD156),IF(OR(COUNTIF(#REF!,$B156)&gt;0,COUNTIF(#REF!,$B156)=0),"SKIP",IF(COUNTIFS(#REF!,$B156,#REF!,$AR156)&gt;0,"OK","ONBEKEND")),IF(AND($CF156=$CC156,$CG156=$CD156+1),IF(OR(COUNTIF(#REF!,$D156)&gt;0,COUNTIF(#REF!,$D156)=0),"SKIP",IF(COUNTIFS(#REF!,$D156,#REF!,$AR156)&gt;0,"OK","ONBEKEND")),"ONZEKER")))))</f>
        <v/>
      </c>
      <c r="AT156" t="str">
        <f t="shared" si="1124"/>
        <v/>
      </c>
      <c r="AU156" t="str">
        <f t="shared" si="1125"/>
        <v/>
      </c>
      <c r="AV156" t="str">
        <f t="shared" si="1126"/>
        <v/>
      </c>
      <c r="AW156" t="str">
        <f t="shared" si="1127"/>
        <v/>
      </c>
      <c r="AX156" t="str">
        <f t="shared" si="1128"/>
        <v/>
      </c>
      <c r="AY156" t="str">
        <f t="shared" si="1129"/>
        <v/>
      </c>
      <c r="AZ156" t="str">
        <f t="shared" si="1130"/>
        <v/>
      </c>
      <c r="BA156" t="str">
        <f t="shared" si="1131"/>
        <v/>
      </c>
      <c r="BB156" t="str">
        <f t="shared" si="1132"/>
        <v/>
      </c>
      <c r="BC156" t="str">
        <f t="shared" si="1133"/>
        <v/>
      </c>
      <c r="BD156" t="str">
        <f t="shared" si="980"/>
        <v/>
      </c>
      <c r="BE156" t="str">
        <f t="shared" si="981"/>
        <v/>
      </c>
      <c r="BF156" t="str">
        <f t="shared" si="982"/>
        <v/>
      </c>
      <c r="BG156" t="str">
        <f t="shared" si="983"/>
        <v/>
      </c>
      <c r="BH156" t="str">
        <f t="shared" si="984"/>
        <v/>
      </c>
      <c r="BI156" t="str">
        <f t="shared" si="985"/>
        <v/>
      </c>
      <c r="BJ156" t="str">
        <f t="shared" si="986"/>
        <v/>
      </c>
      <c r="BK156" t="str">
        <f t="shared" si="987"/>
        <v/>
      </c>
      <c r="BL156" t="str">
        <f t="shared" si="988"/>
        <v/>
      </c>
      <c r="BM156" t="str">
        <f t="shared" si="989"/>
        <v/>
      </c>
      <c r="BN156" t="str">
        <f t="shared" si="990"/>
        <v/>
      </c>
      <c r="BO156" t="str">
        <f t="shared" si="991"/>
        <v/>
      </c>
      <c r="BP156" t="str">
        <f t="shared" si="992"/>
        <v/>
      </c>
      <c r="BQ156" t="str">
        <f t="shared" si="993"/>
        <v/>
      </c>
      <c r="BR156" t="str">
        <f t="shared" si="994"/>
        <v/>
      </c>
      <c r="BS156" t="str">
        <f t="shared" si="995"/>
        <v/>
      </c>
      <c r="BT156" t="str">
        <f t="shared" si="996"/>
        <v/>
      </c>
      <c r="BU156" t="str">
        <f t="shared" si="997"/>
        <v/>
      </c>
      <c r="BV156" t="str">
        <f t="shared" si="998"/>
        <v/>
      </c>
      <c r="BW156" t="str">
        <f t="shared" si="999"/>
        <v/>
      </c>
      <c r="BX156" t="str">
        <f t="shared" si="1000"/>
        <v/>
      </c>
      <c r="BY156" t="str">
        <f t="shared" si="1001"/>
        <v/>
      </c>
      <c r="BZ156" t="str">
        <f t="shared" si="1002"/>
        <v/>
      </c>
      <c r="CA156" t="str">
        <f t="shared" si="1003"/>
        <v/>
      </c>
      <c r="CB156" t="str">
        <f t="shared" si="1004"/>
        <v/>
      </c>
      <c r="CC156" t="str">
        <f t="shared" si="1005"/>
        <v/>
      </c>
      <c r="CD156" t="str">
        <f t="shared" si="1006"/>
        <v/>
      </c>
      <c r="CE156" t="str">
        <f t="shared" si="1007"/>
        <v/>
      </c>
      <c r="CF156" t="str">
        <f t="shared" si="1008"/>
        <v/>
      </c>
      <c r="CG156" t="str">
        <f t="shared" si="1009"/>
        <v/>
      </c>
      <c r="CH156" t="str">
        <f t="shared" si="1134"/>
        <v/>
      </c>
      <c r="CI156" t="str">
        <f t="shared" si="1135"/>
        <v/>
      </c>
      <c r="CJ156" t="str">
        <f>IF($CI156="","",IF(OR($DW156="",$DX156=""),"ONZEKER",IF(OR($CF156="",$CG156=""),"ONZEKER",IF(AND($DW156=$CF156+1,$DX156=$CG156),IF(OR(COUNTIF(#REF!,$B156)&gt;0,COUNTIF(#REF!,$B156)=0),"SKIP",IF(COUNTIFS(#REF!,$B156,#REF!,$CI156)&gt;0,"OK","ONBEKEND")),IF(AND($DW156=$CF156,$DX156=$CG156+1),IF(OR(COUNTIF(#REF!,$D156)&gt;0,COUNTIF(#REF!,$D156)=0),"SKIP",IF(COUNTIFS(#REF!,$D156,#REF!,$CI156)&gt;0,"OK","ONBEKEND")),"ONZEKER")))))</f>
        <v/>
      </c>
      <c r="CK156" t="str">
        <f t="shared" si="1136"/>
        <v/>
      </c>
      <c r="CL156" t="str">
        <f t="shared" si="1137"/>
        <v/>
      </c>
      <c r="CM156" t="str">
        <f>IF($CL156="","",IF(OR($DZ156="",$EA156=""),"ONZEKER",IF(OR($DW156="",$DX156=""),"ONZEKER",IF(AND($DZ156=$DW156+1,$EA156=$DX156),IF(OR(COUNTIF(#REF!,$B156)&gt;0,COUNTIF(#REF!,$B156)=0),"SKIP",IF(COUNTIFS(#REF!,$B156,#REF!,$CL156)&gt;0,"OK","ONBEKEND")),IF(AND($DZ156=$DW156,$EA156=$DX156+1),IF(OR(COUNTIF(#REF!,$D156)&gt;0,COUNTIF(#REF!,$D156)=0),"SKIP",IF(COUNTIFS(#REF!,$D156,#REF!,$CL156)&gt;0,"OK","ONBEKEND")),"ONZEKER")))))</f>
        <v/>
      </c>
      <c r="CN156" t="str">
        <f t="shared" si="1138"/>
        <v/>
      </c>
      <c r="CO156" t="str">
        <f t="shared" si="1139"/>
        <v/>
      </c>
      <c r="CP156" t="str">
        <f>IF($CO156="","",IF(OR($EC156="",$ED156=""),"ONZEKER",IF(OR($DZ156="",$EA156=""),"ONZEKER",IF(AND($EC156=$DZ156+1,$ED156=$EA156),IF(OR(COUNTIF(#REF!,$B156)&gt;0,COUNTIF(#REF!,$B156)=0),"SKIP",IF(COUNTIFS(#REF!,$B156,#REF!,$CO156)&gt;0,"OK","ONBEKEND")),IF(AND($EC156=$DZ156,$ED156=$EA156+1),IF(OR(COUNTIF(#REF!,$D156)&gt;0,COUNTIF(#REF!,$D156)=0),"SKIP",IF(COUNTIFS(#REF!,$D156,#REF!,$CO156)&gt;0,"OK","ONBEKEND")),"ONZEKER")))))</f>
        <v/>
      </c>
      <c r="CQ156" t="str">
        <f t="shared" si="1140"/>
        <v/>
      </c>
      <c r="CR156" t="str">
        <f t="shared" si="1141"/>
        <v/>
      </c>
      <c r="CS156" t="str">
        <f>IF($CR156="","",IF(OR($EF156="",$EG156=""),"ONZEKER",IF(OR($EC156="",$ED156=""),"ONZEKER",IF(AND($EF156=$EC156+1,$EG156=$ED156),IF(OR(COUNTIF(#REF!,$B156)&gt;0,COUNTIF(#REF!,$B156)=0),"SKIP",IF(COUNTIFS(#REF!,$B156,#REF!,$CR156)&gt;0,"OK","ONBEKEND")),IF(AND($EF156=$EC156,$EG156=$ED156+1),IF(OR(COUNTIF(#REF!,$D156)&gt;0,COUNTIF(#REF!,$D156)=0),"SKIP",IF(COUNTIFS(#REF!,$D156,#REF!,$CR156)&gt;0,"OK","ONBEKEND")),"ONZEKER")))))</f>
        <v/>
      </c>
      <c r="CT156" t="str">
        <f t="shared" si="1142"/>
        <v/>
      </c>
      <c r="CU156" t="str">
        <f t="shared" si="1143"/>
        <v/>
      </c>
      <c r="CV156" t="str">
        <f>IF($CU156="","",IF(OR($EI156="",$EJ156=""),"ONZEKER",IF(OR($EF156="",$EG156=""),"ONZEKER",IF(AND($EI156=$EF156+1,$EJ156=$EG156),IF(OR(COUNTIF(#REF!,$B156)&gt;0,COUNTIF(#REF!,$B156)=0),"SKIP",IF(COUNTIFS(#REF!,$B156,#REF!,$CU156)&gt;0,"OK","ONBEKEND")),IF(AND($EI156=$EF156,$EJ156=$EG156+1),IF(OR(COUNTIF(#REF!,$D156)&gt;0,COUNTIF(#REF!,$D156)=0),"SKIP",IF(COUNTIFS(#REF!,$D156,#REF!,$CU156)&gt;0,"OK","ONBEKEND")),"ONZEKER")))))</f>
        <v/>
      </c>
      <c r="CW156" t="str">
        <f t="shared" si="1144"/>
        <v/>
      </c>
      <c r="CX156" t="str">
        <f t="shared" si="1145"/>
        <v/>
      </c>
      <c r="CY156" t="str">
        <f>IF($CX156="","",IF(OR($EL156="",$EM156=""),"ONZEKER",IF(OR($EI156="",$EJ156=""),"ONZEKER",IF(AND($EL156=$EI156+1,$EM156=$EJ156),IF(OR(COUNTIF(#REF!,$B156)&gt;0,COUNTIF(#REF!,$B156)=0),"SKIP",IF(COUNTIFS(#REF!,$B156,#REF!,$CX156)&gt;0,"OK","ONBEKEND")),IF(AND($EL156=$EI156,$EM156=$EJ156+1),IF(OR(COUNTIF(#REF!,$D156)&gt;0,COUNTIF(#REF!,$D156)=0),"SKIP",IF(COUNTIFS(#REF!,$D156,#REF!,$CX156)&gt;0,"OK","ONBEKEND")),"ONZEKER")))))</f>
        <v/>
      </c>
      <c r="CZ156" t="str">
        <f t="shared" si="1146"/>
        <v/>
      </c>
      <c r="DA156" t="str">
        <f t="shared" si="1147"/>
        <v/>
      </c>
      <c r="DB156" t="str">
        <f>IF($DA156="","",IF(OR($EO156="",$EP156=""),"ONZEKER",IF(OR($EL156="",$EM156=""),"ONZEKER",IF(AND($EO156=$EL156+1,$EP156=$EM156),IF(OR(COUNTIF(#REF!,$B156)&gt;0,COUNTIF(#REF!,$B156)=0),"SKIP",IF(COUNTIFS(#REF!,$B156,#REF!,$DA156)&gt;0,"OK","ONBEKEND")),IF(AND($EO156=$EL156,$EP156=$EM156+1),IF(OR(COUNTIF(#REF!,$D156)&gt;0,COUNTIF(#REF!,$D156)=0),"SKIP",IF(COUNTIFS(#REF!,$D156,#REF!,$DA156)&gt;0,"OK","ONBEKEND")),"ONZEKER")))))</f>
        <v/>
      </c>
      <c r="DC156" t="str">
        <f t="shared" si="1148"/>
        <v/>
      </c>
      <c r="DD156" t="str">
        <f t="shared" si="1149"/>
        <v/>
      </c>
      <c r="DE156" t="str">
        <f>IF($DD156="","",IF(OR($ER156="",$ES156=""),"ONZEKER",IF(OR($EO156="",$EP156=""),"ONZEKER",IF(AND($ER156=$EO156+1,$ES156=$EP156),IF(OR(COUNTIF(#REF!,$B156)&gt;0,COUNTIF(#REF!,$B156)=0),"SKIP",IF(COUNTIFS(#REF!,$B156,#REF!,$DD156)&gt;0,"OK","ONBEKEND")),IF(AND($ER156=$EO156,$ES156=$EP156+1),IF(OR(COUNTIF(#REF!,$D156)&gt;0,COUNTIF(#REF!,$D156)=0),"SKIP",IF(COUNTIFS(#REF!,$D156,#REF!,$DD156)&gt;0,"OK","ONBEKEND")),"ONZEKER")))))</f>
        <v/>
      </c>
      <c r="DF156" t="str">
        <f t="shared" si="1150"/>
        <v/>
      </c>
      <c r="DG156" t="str">
        <f t="shared" si="1151"/>
        <v/>
      </c>
      <c r="DH156" t="str">
        <f>IF($DG156="","",IF(OR($EU156="",$EV156=""),"ONZEKER",IF(OR($ER156="",$ES156=""),"ONZEKER",IF(AND($EU156=$ER156+1,$EV156=$ES156),IF(OR(COUNTIF(#REF!,$B156)&gt;0,COUNTIF(#REF!,$B156)=0),"SKIP",IF(COUNTIFS(#REF!,$B156,#REF!,$DG156)&gt;0,"OK","ONBEKEND")),IF(AND($EU156=$ER156,$EV156=$ES156+1),IF(OR(COUNTIF(#REF!,$D156)&gt;0,COUNTIF(#REF!,$D156)=0),"SKIP",IF(COUNTIFS(#REF!,$D156,#REF!,$DG156)&gt;0,"OK","ONBEKEND")),"ONZEKER")))))</f>
        <v/>
      </c>
      <c r="DI156" t="str">
        <f t="shared" si="1152"/>
        <v/>
      </c>
      <c r="DJ156" t="str">
        <f t="shared" si="1153"/>
        <v/>
      </c>
      <c r="DK156" t="str">
        <f>IF($DJ156="","",IF(OR($EX156="",$EY156=""),"ONZEKER",IF(OR($EU156="",$EV156=""),"ONZEKER",IF(AND($EX156=$EU156+1,$EY156=$EV156),IF(OR(COUNTIF(#REF!,$B156)&gt;0,COUNTIF(#REF!,$B156)=0),"SKIP",IF(COUNTIFS(#REF!,$B156,#REF!,$DJ156)&gt;0,"OK","ONBEKEND")),IF(AND($EX156=$EU156,$EY156=$EV156+1),IF(OR(COUNTIF(#REF!,$D156)&gt;0,COUNTIF(#REF!,$D156)=0),"SKIP",IF(COUNTIFS(#REF!,$D156,#REF!,$DJ156)&gt;0,"OK","ONBEKEND")),"ONZEKER")))))</f>
        <v/>
      </c>
      <c r="DL156" t="str">
        <f t="shared" si="1154"/>
        <v/>
      </c>
      <c r="DM156" t="str">
        <f t="shared" si="1155"/>
        <v/>
      </c>
      <c r="DN156" t="str">
        <f t="shared" si="1156"/>
        <v/>
      </c>
      <c r="DO156" t="str">
        <f t="shared" si="1157"/>
        <v/>
      </c>
      <c r="DP156" t="str">
        <f t="shared" si="1158"/>
        <v/>
      </c>
      <c r="DQ156" t="str">
        <f t="shared" si="1159"/>
        <v/>
      </c>
      <c r="DR156" t="str">
        <f t="shared" si="1160"/>
        <v/>
      </c>
      <c r="DS156" t="str">
        <f t="shared" si="1161"/>
        <v/>
      </c>
      <c r="DT156" t="str">
        <f t="shared" si="1162"/>
        <v/>
      </c>
      <c r="DU156" t="str">
        <f t="shared" si="1163"/>
        <v/>
      </c>
      <c r="DV156" t="str">
        <f t="shared" si="1164"/>
        <v/>
      </c>
      <c r="DW156" t="str">
        <f t="shared" si="1165"/>
        <v/>
      </c>
      <c r="DX156" t="str">
        <f t="shared" si="1166"/>
        <v/>
      </c>
      <c r="DY156" t="str">
        <f t="shared" si="1167"/>
        <v/>
      </c>
      <c r="DZ156" t="str">
        <f t="shared" si="1168"/>
        <v/>
      </c>
      <c r="EA156" t="str">
        <f t="shared" si="1169"/>
        <v/>
      </c>
      <c r="EB156" t="str">
        <f t="shared" si="1170"/>
        <v/>
      </c>
      <c r="EC156" t="str">
        <f t="shared" si="1171"/>
        <v/>
      </c>
      <c r="ED156" t="str">
        <f t="shared" si="1172"/>
        <v/>
      </c>
      <c r="EE156" t="str">
        <f t="shared" si="1173"/>
        <v/>
      </c>
      <c r="EF156" t="str">
        <f t="shared" si="1174"/>
        <v/>
      </c>
      <c r="EG156" t="str">
        <f t="shared" si="1175"/>
        <v/>
      </c>
      <c r="EH156" t="str">
        <f t="shared" si="1176"/>
        <v/>
      </c>
      <c r="EI156" t="str">
        <f t="shared" si="1177"/>
        <v/>
      </c>
      <c r="EJ156" t="str">
        <f t="shared" si="1178"/>
        <v/>
      </c>
      <c r="EK156" t="str">
        <f t="shared" si="1179"/>
        <v/>
      </c>
      <c r="EL156" t="str">
        <f t="shared" si="1180"/>
        <v/>
      </c>
      <c r="EM156" t="str">
        <f t="shared" si="1181"/>
        <v/>
      </c>
      <c r="EN156" t="str">
        <f t="shared" si="1182"/>
        <v/>
      </c>
      <c r="EO156" t="str">
        <f t="shared" si="1183"/>
        <v/>
      </c>
      <c r="EP156" t="str">
        <f t="shared" si="1184"/>
        <v/>
      </c>
      <c r="EQ156" t="str">
        <f t="shared" si="1185"/>
        <v/>
      </c>
      <c r="ER156" t="str">
        <f t="shared" si="1186"/>
        <v/>
      </c>
      <c r="ES156" t="str">
        <f t="shared" si="1187"/>
        <v/>
      </c>
      <c r="ET156" t="str">
        <f t="shared" si="1188"/>
        <v/>
      </c>
      <c r="EU156" t="str">
        <f t="shared" si="1189"/>
        <v/>
      </c>
      <c r="EV156" t="str">
        <f t="shared" si="1190"/>
        <v/>
      </c>
      <c r="EW156" t="str">
        <f t="shared" si="1191"/>
        <v/>
      </c>
      <c r="EX156" t="str">
        <f t="shared" si="1192"/>
        <v/>
      </c>
      <c r="EY156" t="str">
        <f t="shared" si="1193"/>
        <v/>
      </c>
    </row>
    <row r="157" spans="1:155" ht="13.9" customHeight="1" x14ac:dyDescent="0.25">
      <c r="A157" s="14"/>
      <c r="B157" s="15" t="s">
        <v>155</v>
      </c>
      <c r="C157" s="16"/>
      <c r="D157" s="16"/>
      <c r="E157" s="16"/>
      <c r="F157" s="31" t="s">
        <v>1</v>
      </c>
      <c r="G157" s="33"/>
      <c r="H157" s="33"/>
      <c r="I157" s="32" t="s">
        <v>2</v>
      </c>
      <c r="J157" s="33"/>
      <c r="K157" s="33"/>
      <c r="L157" s="6" t="s">
        <v>3</v>
      </c>
      <c r="M157" s="2" t="s">
        <v>4</v>
      </c>
      <c r="N157" s="2" t="s">
        <v>5</v>
      </c>
      <c r="O157" s="2" t="s">
        <v>6</v>
      </c>
      <c r="P157" s="2" t="s">
        <v>7</v>
      </c>
      <c r="Q157" s="2" t="s">
        <v>8</v>
      </c>
      <c r="R157" s="2" t="str">
        <f>IF($Q157="","",IF(OR($BE157="",$BF157=""),"ONZEKER",IF(AND($BE157=0+1,$BF157=0),IF(OR(COUNTIF(#REF!,$B157)&gt;0,COUNTIF(#REF!,$B157)=0),"SKIP",IF(COUNTIFS(#REF!,$B157,#REF!,$Q157)&gt;0,"OK","ONBEKEND")),IF(AND($BE157=0,$BF157=0+1),IF(OR(COUNTIF(#REF!,$D157)&gt;0,COUNTIF(#REF!,$D157)=0),"SKIP",IF(COUNTIFS(#REF!,$D157,#REF!,$Q157)&gt;0,"OK","ONBEKEND")),"ONZEKER"))))</f>
        <v>ONZEKER</v>
      </c>
      <c r="S157" s="2" t="s">
        <v>10</v>
      </c>
      <c r="T157" s="2" t="s">
        <v>11</v>
      </c>
      <c r="U157" s="2" t="str">
        <f>IF($T157="","",IF(OR($BH157="",$BI157=""),"ONZEKER",IF(OR($BE157="",$BF157=""),"ONZEKER",IF(AND($BH157=$BE157+1,$BI157=$BF157),IF(OR(COUNTIF(#REF!,$B157)&gt;0,COUNTIF(#REF!,$B157)=0),"SKIP",IF(COUNTIFS(#REF!,$B157,#REF!,$T157)&gt;0,"OK","ONBEKEND")),IF(AND($BH157=$BE157,$BI157=$BF157+1),IF(OR(COUNTIF(#REF!,$D157)&gt;0,COUNTIF(#REF!,$D157)=0),"SKIP",IF(COUNTIFS(#REF!,$D157,#REF!,$T157)&gt;0,"OK","ONBEKEND")),"ONZEKER")))))</f>
        <v>ONZEKER</v>
      </c>
      <c r="V157" s="2" t="s">
        <v>13</v>
      </c>
      <c r="W157" s="2" t="s">
        <v>14</v>
      </c>
      <c r="X157" s="2" t="str">
        <f>IF($W157="","",IF(OR($BK157="",$BL157=""),"ONZEKER",IF(OR($BH157="",$BI157=""),"ONZEKER",IF(AND($BK157=$BH157+1,$BL157=$BI157),IF(OR(COUNTIF(#REF!,$B157)&gt;0,COUNTIF(#REF!,$B157)=0),"SKIP",IF(COUNTIFS(#REF!,$B157,#REF!,$W157)&gt;0,"OK","ONBEKEND")),IF(AND($BK157=$BH157,$BL157=$BI157+1),IF(OR(COUNTIF(#REF!,$D157)&gt;0,COUNTIF(#REF!,$D157)=0),"SKIP",IF(COUNTIFS(#REF!,$D157,#REF!,$W157)&gt;0,"OK","ONBEKEND")),"ONZEKER")))))</f>
        <v>ONZEKER</v>
      </c>
      <c r="Y157" s="2" t="s">
        <v>16</v>
      </c>
      <c r="Z157" s="2" t="s">
        <v>17</v>
      </c>
      <c r="AA157" s="2" t="str">
        <f>IF($Z157="","",IF(OR($BN157="",$BO157=""),"ONZEKER",IF(OR($BK157="",$BL157=""),"ONZEKER",IF(AND($BN157=$BK157+1,$BO157=$BL157),IF(OR(COUNTIF(#REF!,$B157)&gt;0,COUNTIF(#REF!,$B157)=0),"SKIP",IF(COUNTIFS(#REF!,$B157,#REF!,$Z157)&gt;0,"OK","ONBEKEND")),IF(AND($BN157=$BK157,$BO157=$BL157+1),IF(OR(COUNTIF(#REF!,$D157)&gt;0,COUNTIF(#REF!,$D157)=0),"SKIP",IF(COUNTIFS(#REF!,$D157,#REF!,$Z157)&gt;0,"OK","ONBEKEND")),"ONZEKER")))))</f>
        <v>ONZEKER</v>
      </c>
      <c r="AB157" s="2" t="s">
        <v>19</v>
      </c>
      <c r="AC157" s="2" t="s">
        <v>20</v>
      </c>
      <c r="AD157" s="2" t="str">
        <f>IF($AC157="","",IF(OR($BQ157="",$BR157=""),"ONZEKER",IF(OR($BN157="",$BO157=""),"ONZEKER",IF(AND($BQ157=$BN157+1,$BR157=$BO157),IF(OR(COUNTIF(#REF!,$B157)&gt;0,COUNTIF(#REF!,$B157)=0),"SKIP",IF(COUNTIFS(#REF!,$B157,#REF!,$AC157)&gt;0,"OK","ONBEKEND")),IF(AND($BQ157=$BN157,$BR157=$BO157+1),IF(OR(COUNTIF(#REF!,$D157)&gt;0,COUNTIF(#REF!,$D157)=0),"SKIP",IF(COUNTIFS(#REF!,$D157,#REF!,$AC157)&gt;0,"OK","ONBEKEND")),"ONZEKER")))))</f>
        <v>ONZEKER</v>
      </c>
      <c r="AE157" s="2" t="s">
        <v>22</v>
      </c>
      <c r="AF157" s="2" t="s">
        <v>23</v>
      </c>
      <c r="AG157" s="2" t="str">
        <f>IF($AF157="","",IF(OR($BT157="",$BU157=""),"ONZEKER",IF(OR($BQ157="",$BR157=""),"ONZEKER",IF(AND($BT157=$BQ157+1,$BU157=$BR157),IF(OR(COUNTIF(#REF!,$B157)&gt;0,COUNTIF(#REF!,$B157)=0),"SKIP",IF(COUNTIFS(#REF!,$B157,#REF!,$AF157)&gt;0,"OK","ONBEKEND")),IF(AND($BT157=$BQ157,$BU157=$BR157+1),IF(OR(COUNTIF(#REF!,$D157)&gt;0,COUNTIF(#REF!,$D157)=0),"SKIP",IF(COUNTIFS(#REF!,$D157,#REF!,$AF157)&gt;0,"OK","ONBEKEND")),"ONZEKER")))))</f>
        <v>ONZEKER</v>
      </c>
      <c r="AH157" s="2" t="s">
        <v>25</v>
      </c>
      <c r="AI157" s="2" t="s">
        <v>26</v>
      </c>
      <c r="AJ157" s="2" t="str">
        <f>IF($AI157="","",IF(OR($BW157="",$BX157=""),"ONZEKER",IF(OR($BT157="",$BU157=""),"ONZEKER",IF(AND($BW157=$BT157+1,$BX157=$BU157),IF(OR(COUNTIF(#REF!,$B157)&gt;0,COUNTIF(#REF!,$B157)=0),"SKIP",IF(COUNTIFS(#REF!,$B157,#REF!,$AI157)&gt;0,"OK","ONBEKEND")),IF(AND($BW157=$BT157,$BX157=$BU157+1),IF(OR(COUNTIF(#REF!,$D157)&gt;0,COUNTIF(#REF!,$D157)=0),"SKIP",IF(COUNTIFS(#REF!,$D157,#REF!,$AI157)&gt;0,"OK","ONBEKEND")),"ONZEKER")))))</f>
        <v>ONZEKER</v>
      </c>
      <c r="AK157" s="2" t="s">
        <v>28</v>
      </c>
      <c r="AL157" s="2" t="s">
        <v>29</v>
      </c>
      <c r="AM157" s="2" t="str">
        <f>IF($AL157="","",IF(OR($BZ157="",$CA157=""),"ONZEKER",IF(OR($BW157="",$BX157=""),"ONZEKER",IF(AND($BZ157=$BW157+1,$CA157=$BX157),IF(OR(COUNTIF(#REF!,$B157)&gt;0,COUNTIF(#REF!,$B157)=0),"SKIP",IF(COUNTIFS(#REF!,$B157,#REF!,$AL157)&gt;0,"OK","ONBEKEND")),IF(AND($BZ157=$BW157,$CA157=$BX157+1),IF(OR(COUNTIF(#REF!,$D157)&gt;0,COUNTIF(#REF!,$D157)=0),"SKIP",IF(COUNTIFS(#REF!,$D157,#REF!,$AL157)&gt;0,"OK","ONBEKEND")),"ONZEKER")))))</f>
        <v>ONZEKER</v>
      </c>
      <c r="AN157" s="2" t="s">
        <v>31</v>
      </c>
      <c r="AO157" s="2" t="s">
        <v>32</v>
      </c>
      <c r="AP157" s="2" t="str">
        <f>IF($AO157="","",IF(OR($CC157="",$CD157=""),"ONZEKER",IF(OR($BZ157="",$CA157=""),"ONZEKER",IF(AND($CC157=$BZ157+1,$CD157=$CA157),IF(OR(COUNTIF(#REF!,$B157)&gt;0,COUNTIF(#REF!,$B157)=0),"SKIP",IF(COUNTIFS(#REF!,$B157,#REF!,$AO157)&gt;0,"OK","ONBEKEND")),IF(AND($CC157=$BZ157,$CD157=$CA157+1),IF(OR(COUNTIF(#REF!,$D157)&gt;0,COUNTIF(#REF!,$D157)=0),"SKIP",IF(COUNTIFS(#REF!,$D157,#REF!,$AO157)&gt;0,"OK","ONBEKEND")),"ONZEKER")))))</f>
        <v>ONZEKER</v>
      </c>
      <c r="AQ157" s="2" t="s">
        <v>34</v>
      </c>
      <c r="AR157" s="2" t="s">
        <v>35</v>
      </c>
      <c r="AS157" s="2" t="str">
        <f>IF($AR157="","",IF(OR($CF157="",$CG157=""),"ONZEKER",IF(OR($CC157="",$CD157=""),"ONZEKER",IF(AND($CF157=$CC157+1,$CG157=$CD157),IF(OR(COUNTIF(#REF!,$B157)&gt;0,COUNTIF(#REF!,$B157)=0),"SKIP",IF(COUNTIFS(#REF!,$B157,#REF!,$AR157)&gt;0,"OK","ONBEKEND")),IF(AND($CF157=$CC157,$CG157=$CD157+1),IF(OR(COUNTIF(#REF!,$D157)&gt;0,COUNTIF(#REF!,$D157)=0),"SKIP",IF(COUNTIFS(#REF!,$D157,#REF!,$AR157)&gt;0,"OK","ONBEKEND")),"ONZEKER")))))</f>
        <v>ONZEKER</v>
      </c>
      <c r="AT157" s="2" t="s">
        <v>37</v>
      </c>
      <c r="AU157" s="2" t="s">
        <v>38</v>
      </c>
      <c r="AV157" s="2" t="s">
        <v>39</v>
      </c>
      <c r="AW157" s="2" t="s">
        <v>40</v>
      </c>
      <c r="AX157" s="2" t="s">
        <v>41</v>
      </c>
      <c r="AY157" s="2" t="s">
        <v>42</v>
      </c>
      <c r="AZ157" s="2" t="s">
        <v>43</v>
      </c>
      <c r="BA157" s="2" t="s">
        <v>44</v>
      </c>
      <c r="BB157" s="2" t="s">
        <v>45</v>
      </c>
      <c r="BC157" s="2" t="s">
        <v>46</v>
      </c>
      <c r="BD157" t="str">
        <f t="shared" si="980"/>
        <v/>
      </c>
      <c r="BE157" t="str">
        <f t="shared" si="981"/>
        <v/>
      </c>
      <c r="BF157" t="str">
        <f t="shared" si="982"/>
        <v/>
      </c>
      <c r="BG157" t="str">
        <f t="shared" si="983"/>
        <v/>
      </c>
      <c r="BH157" t="str">
        <f t="shared" si="984"/>
        <v/>
      </c>
      <c r="BI157" t="str">
        <f t="shared" si="985"/>
        <v/>
      </c>
      <c r="BJ157" t="str">
        <f t="shared" si="986"/>
        <v/>
      </c>
      <c r="BK157" t="str">
        <f t="shared" si="987"/>
        <v/>
      </c>
      <c r="BL157" t="str">
        <f t="shared" si="988"/>
        <v/>
      </c>
      <c r="BM157" t="str">
        <f t="shared" si="989"/>
        <v/>
      </c>
      <c r="BN157" t="str">
        <f t="shared" si="990"/>
        <v/>
      </c>
      <c r="BO157" t="str">
        <f t="shared" si="991"/>
        <v/>
      </c>
      <c r="BP157" t="str">
        <f t="shared" si="992"/>
        <v/>
      </c>
      <c r="BQ157" t="str">
        <f t="shared" si="993"/>
        <v/>
      </c>
      <c r="BR157" t="str">
        <f t="shared" si="994"/>
        <v/>
      </c>
      <c r="BS157" t="str">
        <f t="shared" si="995"/>
        <v/>
      </c>
      <c r="BT157" t="str">
        <f t="shared" si="996"/>
        <v/>
      </c>
      <c r="BU157" t="str">
        <f t="shared" si="997"/>
        <v/>
      </c>
      <c r="BV157" t="str">
        <f t="shared" si="998"/>
        <v/>
      </c>
      <c r="BW157" t="str">
        <f t="shared" si="999"/>
        <v/>
      </c>
      <c r="BX157" t="str">
        <f t="shared" si="1000"/>
        <v/>
      </c>
      <c r="BY157" t="str">
        <f t="shared" si="1001"/>
        <v/>
      </c>
      <c r="BZ157" t="str">
        <f t="shared" si="1002"/>
        <v/>
      </c>
      <c r="CA157" t="str">
        <f t="shared" si="1003"/>
        <v/>
      </c>
      <c r="CB157" t="str">
        <f t="shared" si="1004"/>
        <v/>
      </c>
      <c r="CC157" t="str">
        <f t="shared" si="1005"/>
        <v/>
      </c>
      <c r="CD157" t="str">
        <f t="shared" si="1006"/>
        <v/>
      </c>
      <c r="CE157" t="str">
        <f t="shared" si="1007"/>
        <v/>
      </c>
      <c r="CF157" t="str">
        <f t="shared" si="1008"/>
        <v/>
      </c>
      <c r="CG157" t="str">
        <f t="shared" si="1009"/>
        <v/>
      </c>
      <c r="CH157" s="2" t="s">
        <v>77</v>
      </c>
      <c r="CI157" s="2" t="s">
        <v>78</v>
      </c>
      <c r="CJ157" s="2" t="s">
        <v>79</v>
      </c>
      <c r="CK157" s="2" t="s">
        <v>80</v>
      </c>
      <c r="CL157" s="2" t="s">
        <v>81</v>
      </c>
      <c r="CM157" s="2" t="s">
        <v>82</v>
      </c>
      <c r="CN157" s="2" t="s">
        <v>83</v>
      </c>
      <c r="CO157" s="2" t="s">
        <v>84</v>
      </c>
      <c r="CP157" s="2" t="s">
        <v>85</v>
      </c>
      <c r="CQ157" s="2" t="s">
        <v>86</v>
      </c>
      <c r="CR157" s="2" t="s">
        <v>87</v>
      </c>
      <c r="CS157" s="2" t="s">
        <v>88</v>
      </c>
      <c r="CT157" s="2" t="s">
        <v>89</v>
      </c>
      <c r="CU157" s="2" t="s">
        <v>90</v>
      </c>
      <c r="CV157" s="2" t="s">
        <v>91</v>
      </c>
      <c r="CW157" s="2" t="s">
        <v>92</v>
      </c>
      <c r="CX157" s="2" t="s">
        <v>93</v>
      </c>
      <c r="CY157" s="2" t="s">
        <v>94</v>
      </c>
      <c r="CZ157" s="2" t="s">
        <v>95</v>
      </c>
      <c r="DA157" s="2" t="s">
        <v>96</v>
      </c>
      <c r="DB157" s="2" t="s">
        <v>97</v>
      </c>
      <c r="DC157" s="2" t="s">
        <v>98</v>
      </c>
      <c r="DD157" s="2" t="s">
        <v>99</v>
      </c>
      <c r="DE157" s="2" t="s">
        <v>100</v>
      </c>
      <c r="DF157" s="2" t="s">
        <v>101</v>
      </c>
      <c r="DG157" s="2" t="s">
        <v>102</v>
      </c>
      <c r="DH157" s="2" t="s">
        <v>103</v>
      </c>
      <c r="DI157" s="2" t="s">
        <v>104</v>
      </c>
      <c r="DJ157" s="2" t="s">
        <v>105</v>
      </c>
      <c r="DK157" s="2" t="s">
        <v>106</v>
      </c>
      <c r="DL157" s="2" t="s">
        <v>107</v>
      </c>
      <c r="DM157" s="2" t="s">
        <v>108</v>
      </c>
      <c r="DN157" s="2" t="s">
        <v>109</v>
      </c>
      <c r="DO157" s="2" t="s">
        <v>110</v>
      </c>
      <c r="DP157" s="2" t="s">
        <v>111</v>
      </c>
      <c r="DQ157" s="2" t="s">
        <v>112</v>
      </c>
      <c r="DR157" s="2" t="s">
        <v>113</v>
      </c>
      <c r="DS157" s="2" t="s">
        <v>114</v>
      </c>
      <c r="DT157" s="2" t="s">
        <v>115</v>
      </c>
      <c r="DU157" s="2" t="s">
        <v>116</v>
      </c>
      <c r="DV157" s="2" t="s">
        <v>117</v>
      </c>
      <c r="DW157" s="2" t="s">
        <v>118</v>
      </c>
      <c r="DX157" s="2" t="s">
        <v>119</v>
      </c>
      <c r="DY157" s="2" t="s">
        <v>120</v>
      </c>
      <c r="DZ157" s="2" t="s">
        <v>121</v>
      </c>
      <c r="EA157" s="2" t="s">
        <v>122</v>
      </c>
      <c r="EB157" s="2" t="s">
        <v>123</v>
      </c>
      <c r="EC157" s="2" t="s">
        <v>124</v>
      </c>
      <c r="ED157" s="2" t="s">
        <v>125</v>
      </c>
      <c r="EE157" s="2" t="s">
        <v>126</v>
      </c>
      <c r="EF157" s="2" t="s">
        <v>127</v>
      </c>
      <c r="EG157" s="2" t="s">
        <v>128</v>
      </c>
      <c r="EH157" s="2" t="s">
        <v>129</v>
      </c>
      <c r="EI157" s="2" t="s">
        <v>130</v>
      </c>
      <c r="EJ157" s="2" t="s">
        <v>131</v>
      </c>
      <c r="EK157" s="2" t="s">
        <v>132</v>
      </c>
      <c r="EL157" s="2" t="s">
        <v>133</v>
      </c>
      <c r="EM157" s="2" t="s">
        <v>134</v>
      </c>
      <c r="EN157" s="2" t="s">
        <v>135</v>
      </c>
      <c r="EO157" s="2" t="s">
        <v>136</v>
      </c>
      <c r="EP157" s="2" t="s">
        <v>137</v>
      </c>
      <c r="EQ157" s="2" t="s">
        <v>138</v>
      </c>
      <c r="ER157" s="2" t="s">
        <v>139</v>
      </c>
      <c r="ES157" s="2" t="s">
        <v>140</v>
      </c>
      <c r="ET157" s="2" t="s">
        <v>141</v>
      </c>
      <c r="EU157" s="2" t="s">
        <v>142</v>
      </c>
      <c r="EV157" s="2" t="s">
        <v>143</v>
      </c>
      <c r="EW157" s="2" t="s">
        <v>144</v>
      </c>
      <c r="EX157" s="2" t="s">
        <v>145</v>
      </c>
      <c r="EY157" s="2" t="s">
        <v>146</v>
      </c>
    </row>
    <row r="158" spans="1:155" ht="13.9" customHeight="1" x14ac:dyDescent="0.25">
      <c r="A158" s="7"/>
      <c r="B158" s="17"/>
      <c r="C158" s="8"/>
      <c r="D158" s="17"/>
      <c r="E158" s="8"/>
      <c r="F158" s="18">
        <v>0</v>
      </c>
      <c r="G158" s="7" t="s">
        <v>147</v>
      </c>
      <c r="H158" s="18">
        <v>0</v>
      </c>
      <c r="I158" s="19">
        <v>0</v>
      </c>
      <c r="J158" s="7" t="s">
        <v>147</v>
      </c>
      <c r="K158" s="19">
        <v>0</v>
      </c>
      <c r="L158" s="9"/>
      <c r="M158" s="3" t="str">
        <f>IF($L158="","",IF($L158="DOELPUNTENMAKERS","",IF(AND(COUNTIF(#REF!,$B158)=0,COUNTIF(#REF!,$D158)=0),"OK",IF($O158&gt;20,"LET OP: meer dan 20 items (controle onvolledig)",IF((COUNTIF($R158:$AS158,"ONZEKER")+COUNTIF($CJ158:$DK158,"ONZEKER"))&gt;0,"LET OP: scoreverloop onduidelijk (controle beperkt)",IF((IF($AT158&lt;&gt;"",$AT158&amp;", ","")&amp;IF($AU158&lt;&gt;"",$AU158&amp;", ","")&amp;IF($AV158&lt;&gt;"",$AV158&amp;", ","")&amp;IF($AW158&lt;&gt;"",$AW158&amp;", ","")&amp;IF($AX158&lt;&gt;"",$AX158&amp;", ","")&amp;IF($AY158&lt;&gt;"",$AY158&amp;", ","")&amp;IF($AZ158&lt;&gt;"",$AZ158&amp;", ","")&amp;IF($BA158&lt;&gt;"",$BA158&amp;", ","")&amp;IF($BB158&lt;&gt;"",$BB158&amp;", ","")&amp;IF($BC158&lt;&gt;"",$BC158&amp;", ","")&amp;IF($DL158&lt;&gt;"",$DL158&amp;", ","")&amp;IF($DM158&lt;&gt;"",$DM158&amp;", ","")&amp;IF($DN158&lt;&gt;"",$DN158&amp;", ","")&amp;IF($DO158&lt;&gt;"",$DO158&amp;", ","")&amp;IF($DP158&lt;&gt;"",$DP158&amp;", ","")&amp;IF($DQ158&lt;&gt;"",$DQ158&amp;", ","")&amp;IF($DR158&lt;&gt;"",$DR158&amp;", ","")&amp;IF($DS158&lt;&gt;"",$DS158&amp;", ","")&amp;IF($DT158&lt;&gt;"",$DT158&amp;", ","")&amp;IF($DU158&lt;&gt;"",$DU158&amp;", ",""))="","OK","Onbekend: "&amp;LEFT((IF($AT158&lt;&gt;"",$AT158&amp;", ","")&amp;IF($AU158&lt;&gt;"",$AU158&amp;", ","")&amp;IF($AV158&lt;&gt;"",$AV158&amp;", ","")&amp;IF($AW158&lt;&gt;"",$AW158&amp;", ","")&amp;IF($AX158&lt;&gt;"",$AX158&amp;", ","")&amp;IF($AY158&lt;&gt;"",$AY158&amp;", ","")&amp;IF($AZ158&lt;&gt;"",$AZ158&amp;", ","")&amp;IF($BA158&lt;&gt;"",$BA158&amp;", ","")&amp;IF($BB158&lt;&gt;"",$BB158&amp;", ","")&amp;IF($BC158&lt;&gt;"",$BC158&amp;", ","")&amp;IF($DL158&lt;&gt;"",$DL158&amp;", ","")&amp;IF($DM158&lt;&gt;"",$DM158&amp;", ","")&amp;IF($DN158&lt;&gt;"",$DN158&amp;", ","")&amp;IF($DO158&lt;&gt;"",$DO158&amp;", ","")&amp;IF($DP158&lt;&gt;"",$DP158&amp;", ","")&amp;IF($DQ158&lt;&gt;"",$DQ158&amp;", ","")&amp;IF($DR158&lt;&gt;"",$DR158&amp;", ","")&amp;IF($DS158&lt;&gt;"",$DS158&amp;", ","")&amp;IF($DT158&lt;&gt;"",$DT158&amp;", ","")&amp;IF($DU158&lt;&gt;"",$DU158&amp;", ","")),LEN((IF($AT158&lt;&gt;"",$AT158&amp;", ","")&amp;IF($AU158&lt;&gt;"",$AU158&amp;", ","")&amp;IF($AV158&lt;&gt;"",$AV158&amp;", ","")&amp;IF($AW158&lt;&gt;"",$AW158&amp;", ","")&amp;IF($AX158&lt;&gt;"",$AX158&amp;", ","")&amp;IF($AY158&lt;&gt;"",$AY158&amp;", ","")&amp;IF($AZ158&lt;&gt;"",$AZ158&amp;", ","")&amp;IF($BA158&lt;&gt;"",$BA158&amp;", ","")&amp;IF($BB158&lt;&gt;"",$BB158&amp;", ","")&amp;IF($BC158&lt;&gt;"",$BC158&amp;", ","")&amp;IF($DL158&lt;&gt;"",$DL158&amp;", ","")&amp;IF($DM158&lt;&gt;"",$DM158&amp;", ","")&amp;IF($DN158&lt;&gt;"",$DN158&amp;", ","")&amp;IF($DO158&lt;&gt;"",$DO158&amp;", ","")&amp;IF($DP158&lt;&gt;"",$DP158&amp;", ","")&amp;IF($DQ158&lt;&gt;"",$DQ158&amp;", ","")&amp;IF($DR158&lt;&gt;"",$DR158&amp;", ","")&amp;IF($DS158&lt;&gt;"",$DS158&amp;", ","")&amp;IF($DT158&lt;&gt;"",$DT158&amp;", ","")&amp;IF($DU158&lt;&gt;"",$DU158&amp;", ","")))-2)))))))</f>
        <v/>
      </c>
      <c r="N158" t="str">
        <f t="shared" ref="N158:N169" si="1194">IF($L158="","",TRIM(IF(RIGHT(SUBSTITUTE($L158,CHAR(160)," "),1)=".",LEFT(SUBSTITUTE($L158,CHAR(160)," "),LEN(SUBSTITUTE($L158,CHAR(160)," "))-1),SUBSTITUTE($L158,CHAR(160)," "))))</f>
        <v/>
      </c>
      <c r="O158" t="str">
        <f t="shared" ref="O158:O169" si="1195">IF($N158="","",LEN($N158)-LEN(SUBSTITUTE($N158,",",""))+1)</f>
        <v/>
      </c>
      <c r="P158" t="str">
        <f t="shared" ref="P158:P169" si="1196">IF($N158="","",TRIM(MID(SUBSTITUTE($N158,",",REPT(" ",200)),1,200)))</f>
        <v/>
      </c>
      <c r="Q158" t="str">
        <f t="shared" ref="Q158:Q169" si="1197">IF(P158="","",TRIM(IFERROR(LEFT(P158,FIND("§",SUBSTITUTE(P158," ","§",LEN(P158)-LEN(SUBSTITUTE(P158," ",""))))-1),P158)))</f>
        <v/>
      </c>
      <c r="R158" t="str">
        <f>IF($Q158="","",IF(OR($BE158="",$BF158=""),"ONZEKER",IF(AND($BE158=0+1,$BF158=0),IF(OR(COUNTIF(#REF!,$B158)&gt;0,COUNTIF(#REF!,$B158)=0),"SKIP",IF(COUNTIFS(#REF!,$B158,#REF!,$Q158)&gt;0,"OK","ONBEKEND")),IF(AND($BE158=0,$BF158=0+1),IF(OR(COUNTIF(#REF!,$D158)&gt;0,COUNTIF(#REF!,$D158)=0),"SKIP",IF(COUNTIFS(#REF!,$D158,#REF!,$Q158)&gt;0,"OK","ONBEKEND")),"ONZEKER"))))</f>
        <v/>
      </c>
      <c r="S158" t="str">
        <f t="shared" ref="S158:S169" si="1198">IF($N158="","",TRIM(MID(SUBSTITUTE($N158,",",REPT(" ",200)),201,200)))</f>
        <v/>
      </c>
      <c r="T158" t="str">
        <f t="shared" ref="T158:T169" si="1199">IF(S158="","",TRIM(IFERROR(LEFT(S158,FIND("§",SUBSTITUTE(S158," ","§",LEN(S158)-LEN(SUBSTITUTE(S158," ",""))))-1),S158)))</f>
        <v/>
      </c>
      <c r="U158" t="str">
        <f>IF($T158="","",IF(OR($BH158="",$BI158=""),"ONZEKER",IF(OR($BE158="",$BF158=""),"ONZEKER",IF(AND($BH158=$BE158+1,$BI158=$BF158),IF(OR(COUNTIF(#REF!,$B158)&gt;0,COUNTIF(#REF!,$B158)=0),"SKIP",IF(COUNTIFS(#REF!,$B158,#REF!,$T158)&gt;0,"OK","ONBEKEND")),IF(AND($BH158=$BE158,$BI158=$BF158+1),IF(OR(COUNTIF(#REF!,$D158)&gt;0,COUNTIF(#REF!,$D158)=0),"SKIP",IF(COUNTIFS(#REF!,$D158,#REF!,$T158)&gt;0,"OK","ONBEKEND")),"ONZEKER")))))</f>
        <v/>
      </c>
      <c r="V158" t="str">
        <f t="shared" ref="V158:V169" si="1200">IF($N158="","",TRIM(MID(SUBSTITUTE($N158,",",REPT(" ",200)),401,200)))</f>
        <v/>
      </c>
      <c r="W158" t="str">
        <f t="shared" ref="W158:W169" si="1201">IF(V158="","",TRIM(IFERROR(LEFT(V158,FIND("§",SUBSTITUTE(V158," ","§",LEN(V158)-LEN(SUBSTITUTE(V158," ",""))))-1),V158)))</f>
        <v/>
      </c>
      <c r="X158" t="str">
        <f>IF($W158="","",IF(OR($BK158="",$BL158=""),"ONZEKER",IF(OR($BH158="",$BI158=""),"ONZEKER",IF(AND($BK158=$BH158+1,$BL158=$BI158),IF(OR(COUNTIF(#REF!,$B158)&gt;0,COUNTIF(#REF!,$B158)=0),"SKIP",IF(COUNTIFS(#REF!,$B158,#REF!,$W158)&gt;0,"OK","ONBEKEND")),IF(AND($BK158=$BH158,$BL158=$BI158+1),IF(OR(COUNTIF(#REF!,$D158)&gt;0,COUNTIF(#REF!,$D158)=0),"SKIP",IF(COUNTIFS(#REF!,$D158,#REF!,$W158)&gt;0,"OK","ONBEKEND")),"ONZEKER")))))</f>
        <v/>
      </c>
      <c r="Y158" t="str">
        <f t="shared" ref="Y158:Y169" si="1202">IF($N158="","",TRIM(MID(SUBSTITUTE($N158,",",REPT(" ",200)),601,200)))</f>
        <v/>
      </c>
      <c r="Z158" t="str">
        <f t="shared" ref="Z158:Z169" si="1203">IF(Y158="","",TRIM(IFERROR(LEFT(Y158,FIND("§",SUBSTITUTE(Y158," ","§",LEN(Y158)-LEN(SUBSTITUTE(Y158," ",""))))-1),Y158)))</f>
        <v/>
      </c>
      <c r="AA158" t="str">
        <f>IF($Z158="","",IF(OR($BN158="",$BO158=""),"ONZEKER",IF(OR($BK158="",$BL158=""),"ONZEKER",IF(AND($BN158=$BK158+1,$BO158=$BL158),IF(OR(COUNTIF(#REF!,$B158)&gt;0,COUNTIF(#REF!,$B158)=0),"SKIP",IF(COUNTIFS(#REF!,$B158,#REF!,$Z158)&gt;0,"OK","ONBEKEND")),IF(AND($BN158=$BK158,$BO158=$BL158+1),IF(OR(COUNTIF(#REF!,$D158)&gt;0,COUNTIF(#REF!,$D158)=0),"SKIP",IF(COUNTIFS(#REF!,$D158,#REF!,$Z158)&gt;0,"OK","ONBEKEND")),"ONZEKER")))))</f>
        <v/>
      </c>
      <c r="AB158" t="str">
        <f t="shared" ref="AB158:AB169" si="1204">IF($N158="","",TRIM(MID(SUBSTITUTE($N158,",",REPT(" ",200)),801,200)))</f>
        <v/>
      </c>
      <c r="AC158" t="str">
        <f t="shared" ref="AC158:AC169" si="1205">IF(AB158="","",TRIM(IFERROR(LEFT(AB158,FIND("§",SUBSTITUTE(AB158," ","§",LEN(AB158)-LEN(SUBSTITUTE(AB158," ",""))))-1),AB158)))</f>
        <v/>
      </c>
      <c r="AD158" t="str">
        <f>IF($AC158="","",IF(OR($BQ158="",$BR158=""),"ONZEKER",IF(OR($BN158="",$BO158=""),"ONZEKER",IF(AND($BQ158=$BN158+1,$BR158=$BO158),IF(OR(COUNTIF(#REF!,$B158)&gt;0,COUNTIF(#REF!,$B158)=0),"SKIP",IF(COUNTIFS(#REF!,$B158,#REF!,$AC158)&gt;0,"OK","ONBEKEND")),IF(AND($BQ158=$BN158,$BR158=$BO158+1),IF(OR(COUNTIF(#REF!,$D158)&gt;0,COUNTIF(#REF!,$D158)=0),"SKIP",IF(COUNTIFS(#REF!,$D158,#REF!,$AC158)&gt;0,"OK","ONBEKEND")),"ONZEKER")))))</f>
        <v/>
      </c>
      <c r="AE158" t="str">
        <f t="shared" ref="AE158:AE169" si="1206">IF($N158="","",TRIM(MID(SUBSTITUTE($N158,",",REPT(" ",200)),1001,200)))</f>
        <v/>
      </c>
      <c r="AF158" t="str">
        <f t="shared" ref="AF158:AF169" si="1207">IF(AE158="","",TRIM(IFERROR(LEFT(AE158,FIND("§",SUBSTITUTE(AE158," ","§",LEN(AE158)-LEN(SUBSTITUTE(AE158," ",""))))-1),AE158)))</f>
        <v/>
      </c>
      <c r="AG158" t="str">
        <f>IF($AF158="","",IF(OR($BT158="",$BU158=""),"ONZEKER",IF(OR($BQ158="",$BR158=""),"ONZEKER",IF(AND($BT158=$BQ158+1,$BU158=$BR158),IF(OR(COUNTIF(#REF!,$B158)&gt;0,COUNTIF(#REF!,$B158)=0),"SKIP",IF(COUNTIFS(#REF!,$B158,#REF!,$AF158)&gt;0,"OK","ONBEKEND")),IF(AND($BT158=$BQ158,$BU158=$BR158+1),IF(OR(COUNTIF(#REF!,$D158)&gt;0,COUNTIF(#REF!,$D158)=0),"SKIP",IF(COUNTIFS(#REF!,$D158,#REF!,$AF158)&gt;0,"OK","ONBEKEND")),"ONZEKER")))))</f>
        <v/>
      </c>
      <c r="AH158" t="str">
        <f t="shared" ref="AH158:AH169" si="1208">IF($N158="","",TRIM(MID(SUBSTITUTE($N158,",",REPT(" ",200)),1201,200)))</f>
        <v/>
      </c>
      <c r="AI158" t="str">
        <f t="shared" ref="AI158:AI169" si="1209">IF(AH158="","",TRIM(IFERROR(LEFT(AH158,FIND("§",SUBSTITUTE(AH158," ","§",LEN(AH158)-LEN(SUBSTITUTE(AH158," ",""))))-1),AH158)))</f>
        <v/>
      </c>
      <c r="AJ158" t="str">
        <f>IF($AI158="","",IF(OR($BW158="",$BX158=""),"ONZEKER",IF(OR($BT158="",$BU158=""),"ONZEKER",IF(AND($BW158=$BT158+1,$BX158=$BU158),IF(OR(COUNTIF(#REF!,$B158)&gt;0,COUNTIF(#REF!,$B158)=0),"SKIP",IF(COUNTIFS(#REF!,$B158,#REF!,$AI158)&gt;0,"OK","ONBEKEND")),IF(AND($BW158=$BT158,$BX158=$BU158+1),IF(OR(COUNTIF(#REF!,$D158)&gt;0,COUNTIF(#REF!,$D158)=0),"SKIP",IF(COUNTIFS(#REF!,$D158,#REF!,$AI158)&gt;0,"OK","ONBEKEND")),"ONZEKER")))))</f>
        <v/>
      </c>
      <c r="AK158" t="str">
        <f t="shared" ref="AK158:AK169" si="1210">IF($N158="","",TRIM(MID(SUBSTITUTE($N158,",",REPT(" ",200)),1401,200)))</f>
        <v/>
      </c>
      <c r="AL158" t="str">
        <f t="shared" ref="AL158:AL169" si="1211">IF(AK158="","",TRIM(IFERROR(LEFT(AK158,FIND("§",SUBSTITUTE(AK158," ","§",LEN(AK158)-LEN(SUBSTITUTE(AK158," ",""))))-1),AK158)))</f>
        <v/>
      </c>
      <c r="AM158" t="str">
        <f>IF($AL158="","",IF(OR($BZ158="",$CA158=""),"ONZEKER",IF(OR($BW158="",$BX158=""),"ONZEKER",IF(AND($BZ158=$BW158+1,$CA158=$BX158),IF(OR(COUNTIF(#REF!,$B158)&gt;0,COUNTIF(#REF!,$B158)=0),"SKIP",IF(COUNTIFS(#REF!,$B158,#REF!,$AL158)&gt;0,"OK","ONBEKEND")),IF(AND($BZ158=$BW158,$CA158=$BX158+1),IF(OR(COUNTIF(#REF!,$D158)&gt;0,COUNTIF(#REF!,$D158)=0),"SKIP",IF(COUNTIFS(#REF!,$D158,#REF!,$AL158)&gt;0,"OK","ONBEKEND")),"ONZEKER")))))</f>
        <v/>
      </c>
      <c r="AN158" t="str">
        <f t="shared" ref="AN158:AN169" si="1212">IF($N158="","",TRIM(MID(SUBSTITUTE($N158,",",REPT(" ",200)),1601,200)))</f>
        <v/>
      </c>
      <c r="AO158" t="str">
        <f t="shared" ref="AO158:AO169" si="1213">IF(AN158="","",TRIM(IFERROR(LEFT(AN158,FIND("§",SUBSTITUTE(AN158," ","§",LEN(AN158)-LEN(SUBSTITUTE(AN158," ",""))))-1),AN158)))</f>
        <v/>
      </c>
      <c r="AP158" t="str">
        <f>IF($AO158="","",IF(OR($CC158="",$CD158=""),"ONZEKER",IF(OR($BZ158="",$CA158=""),"ONZEKER",IF(AND($CC158=$BZ158+1,$CD158=$CA158),IF(OR(COUNTIF(#REF!,$B158)&gt;0,COUNTIF(#REF!,$B158)=0),"SKIP",IF(COUNTIFS(#REF!,$B158,#REF!,$AO158)&gt;0,"OK","ONBEKEND")),IF(AND($CC158=$BZ158,$CD158=$CA158+1),IF(OR(COUNTIF(#REF!,$D158)&gt;0,COUNTIF(#REF!,$D158)=0),"SKIP",IF(COUNTIFS(#REF!,$D158,#REF!,$AO158)&gt;0,"OK","ONBEKEND")),"ONZEKER")))))</f>
        <v/>
      </c>
      <c r="AQ158" t="str">
        <f t="shared" ref="AQ158:AQ169" si="1214">IF($N158="","",TRIM(MID(SUBSTITUTE($N158,",",REPT(" ",200)),1801,200)))</f>
        <v/>
      </c>
      <c r="AR158" t="str">
        <f t="shared" ref="AR158:AR169" si="1215">IF(AQ158="","",TRIM(IFERROR(LEFT(AQ158,FIND("§",SUBSTITUTE(AQ158," ","§",LEN(AQ158)-LEN(SUBSTITUTE(AQ158," ",""))))-1),AQ158)))</f>
        <v/>
      </c>
      <c r="AS158" t="str">
        <f>IF($AR158="","",IF(OR($CF158="",$CG158=""),"ONZEKER",IF(OR($CC158="",$CD158=""),"ONZEKER",IF(AND($CF158=$CC158+1,$CG158=$CD158),IF(OR(COUNTIF(#REF!,$B158)&gt;0,COUNTIF(#REF!,$B158)=0),"SKIP",IF(COUNTIFS(#REF!,$B158,#REF!,$AR158)&gt;0,"OK","ONBEKEND")),IF(AND($CF158=$CC158,$CG158=$CD158+1),IF(OR(COUNTIF(#REF!,$D158)&gt;0,COUNTIF(#REF!,$D158)=0),"SKIP",IF(COUNTIFS(#REF!,$D158,#REF!,$AR158)&gt;0,"OK","ONBEKEND")),"ONZEKER")))))</f>
        <v/>
      </c>
      <c r="AT158" t="str">
        <f t="shared" ref="AT158:AT169" si="1216">IF(R158="ONBEKEND",Q158,"")</f>
        <v/>
      </c>
      <c r="AU158" t="str">
        <f t="shared" ref="AU158:AU169" si="1217">IF(U158="ONBEKEND",T158,"")</f>
        <v/>
      </c>
      <c r="AV158" t="str">
        <f t="shared" ref="AV158:AV169" si="1218">IF(X158="ONBEKEND",W158,"")</f>
        <v/>
      </c>
      <c r="AW158" t="str">
        <f t="shared" ref="AW158:AW169" si="1219">IF(AA158="ONBEKEND",Z158,"")</f>
        <v/>
      </c>
      <c r="AX158" t="str">
        <f t="shared" ref="AX158:AX169" si="1220">IF(AD158="ONBEKEND",AC158,"")</f>
        <v/>
      </c>
      <c r="AY158" t="str">
        <f t="shared" ref="AY158:AY169" si="1221">IF(AG158="ONBEKEND",AF158,"")</f>
        <v/>
      </c>
      <c r="AZ158" t="str">
        <f t="shared" ref="AZ158:AZ169" si="1222">IF(AJ158="ONBEKEND",AI158,"")</f>
        <v/>
      </c>
      <c r="BA158" t="str">
        <f t="shared" ref="BA158:BA169" si="1223">IF(AM158="ONBEKEND",AL158,"")</f>
        <v/>
      </c>
      <c r="BB158" t="str">
        <f t="shared" ref="BB158:BB169" si="1224">IF(AP158="ONBEKEND",AO158,"")</f>
        <v/>
      </c>
      <c r="BC158" t="str">
        <f t="shared" ref="BC158:BC169" si="1225">IF(AS158="ONBEKEND",AR158,"")</f>
        <v/>
      </c>
      <c r="BD158" t="str">
        <f t="shared" si="980"/>
        <v/>
      </c>
      <c r="BE158" t="str">
        <f t="shared" si="981"/>
        <v/>
      </c>
      <c r="BF158" t="str">
        <f t="shared" si="982"/>
        <v/>
      </c>
      <c r="BG158" t="str">
        <f t="shared" si="983"/>
        <v/>
      </c>
      <c r="BH158" t="str">
        <f t="shared" si="984"/>
        <v/>
      </c>
      <c r="BI158" t="str">
        <f t="shared" si="985"/>
        <v/>
      </c>
      <c r="BJ158" t="str">
        <f t="shared" si="986"/>
        <v/>
      </c>
      <c r="BK158" t="str">
        <f t="shared" si="987"/>
        <v/>
      </c>
      <c r="BL158" t="str">
        <f t="shared" si="988"/>
        <v/>
      </c>
      <c r="BM158" t="str">
        <f t="shared" si="989"/>
        <v/>
      </c>
      <c r="BN158" t="str">
        <f t="shared" si="990"/>
        <v/>
      </c>
      <c r="BO158" t="str">
        <f t="shared" si="991"/>
        <v/>
      </c>
      <c r="BP158" t="str">
        <f t="shared" si="992"/>
        <v/>
      </c>
      <c r="BQ158" t="str">
        <f t="shared" si="993"/>
        <v/>
      </c>
      <c r="BR158" t="str">
        <f t="shared" si="994"/>
        <v/>
      </c>
      <c r="BS158" t="str">
        <f t="shared" si="995"/>
        <v/>
      </c>
      <c r="BT158" t="str">
        <f t="shared" si="996"/>
        <v/>
      </c>
      <c r="BU158" t="str">
        <f t="shared" si="997"/>
        <v/>
      </c>
      <c r="BV158" t="str">
        <f t="shared" si="998"/>
        <v/>
      </c>
      <c r="BW158" t="str">
        <f t="shared" si="999"/>
        <v/>
      </c>
      <c r="BX158" t="str">
        <f t="shared" si="1000"/>
        <v/>
      </c>
      <c r="BY158" t="str">
        <f t="shared" si="1001"/>
        <v/>
      </c>
      <c r="BZ158" t="str">
        <f t="shared" si="1002"/>
        <v/>
      </c>
      <c r="CA158" t="str">
        <f t="shared" si="1003"/>
        <v/>
      </c>
      <c r="CB158" t="str">
        <f t="shared" si="1004"/>
        <v/>
      </c>
      <c r="CC158" t="str">
        <f t="shared" si="1005"/>
        <v/>
      </c>
      <c r="CD158" t="str">
        <f t="shared" si="1006"/>
        <v/>
      </c>
      <c r="CE158" t="str">
        <f t="shared" si="1007"/>
        <v/>
      </c>
      <c r="CF158" t="str">
        <f t="shared" si="1008"/>
        <v/>
      </c>
      <c r="CG158" t="str">
        <f t="shared" si="1009"/>
        <v/>
      </c>
      <c r="CH158" t="str">
        <f t="shared" ref="CH158:CH169" si="1226">IF($N158="","",TRIM(MID(SUBSTITUTE($N158,",",REPT(" ",200)),2001,200)))</f>
        <v/>
      </c>
      <c r="CI158" t="str">
        <f t="shared" ref="CI158:CI169" si="1227">IF(CH158="","",TRIM(IFERROR(LEFT(CH158,FIND("§",SUBSTITUTE(CH158," ","§",LEN(CH158)-LEN(SUBSTITUTE(CH158," ",""))))-1),CH158)))</f>
        <v/>
      </c>
      <c r="CJ158" t="str">
        <f>IF($CI158="","",IF(OR($DW158="",$DX158=""),"ONZEKER",IF(OR($CF158="",$CG158=""),"ONZEKER",IF(AND($DW158=$CF158+1,$DX158=$CG158),IF(OR(COUNTIF(#REF!,$B158)&gt;0,COUNTIF(#REF!,$B158)=0),"SKIP",IF(COUNTIFS(#REF!,$B158,#REF!,$CI158)&gt;0,"OK","ONBEKEND")),IF(AND($DW158=$CF158,$DX158=$CG158+1),IF(OR(COUNTIF(#REF!,$D158)&gt;0,COUNTIF(#REF!,$D158)=0),"SKIP",IF(COUNTIFS(#REF!,$D158,#REF!,$CI158)&gt;0,"OK","ONBEKEND")),"ONZEKER")))))</f>
        <v/>
      </c>
      <c r="CK158" t="str">
        <f t="shared" ref="CK158:CK169" si="1228">IF($N158="","",TRIM(MID(SUBSTITUTE($N158,",",REPT(" ",200)),2201,200)))</f>
        <v/>
      </c>
      <c r="CL158" t="str">
        <f t="shared" ref="CL158:CL169" si="1229">IF(CK158="","",TRIM(IFERROR(LEFT(CK158,FIND("§",SUBSTITUTE(CK158," ","§",LEN(CK158)-LEN(SUBSTITUTE(CK158," ",""))))-1),CK158)))</f>
        <v/>
      </c>
      <c r="CM158" t="str">
        <f>IF($CL158="","",IF(OR($DZ158="",$EA158=""),"ONZEKER",IF(OR($DW158="",$DX158=""),"ONZEKER",IF(AND($DZ158=$DW158+1,$EA158=$DX158),IF(OR(COUNTIF(#REF!,$B158)&gt;0,COUNTIF(#REF!,$B158)=0),"SKIP",IF(COUNTIFS(#REF!,$B158,#REF!,$CL158)&gt;0,"OK","ONBEKEND")),IF(AND($DZ158=$DW158,$EA158=$DX158+1),IF(OR(COUNTIF(#REF!,$D158)&gt;0,COUNTIF(#REF!,$D158)=0),"SKIP",IF(COUNTIFS(#REF!,$D158,#REF!,$CL158)&gt;0,"OK","ONBEKEND")),"ONZEKER")))))</f>
        <v/>
      </c>
      <c r="CN158" t="str">
        <f t="shared" ref="CN158:CN169" si="1230">IF($N158="","",TRIM(MID(SUBSTITUTE($N158,",",REPT(" ",200)),2401,200)))</f>
        <v/>
      </c>
      <c r="CO158" t="str">
        <f t="shared" ref="CO158:CO169" si="1231">IF(CN158="","",TRIM(IFERROR(LEFT(CN158,FIND("§",SUBSTITUTE(CN158," ","§",LEN(CN158)-LEN(SUBSTITUTE(CN158," ",""))))-1),CN158)))</f>
        <v/>
      </c>
      <c r="CP158" t="str">
        <f>IF($CO158="","",IF(OR($EC158="",$ED158=""),"ONZEKER",IF(OR($DZ158="",$EA158=""),"ONZEKER",IF(AND($EC158=$DZ158+1,$ED158=$EA158),IF(OR(COUNTIF(#REF!,$B158)&gt;0,COUNTIF(#REF!,$B158)=0),"SKIP",IF(COUNTIFS(#REF!,$B158,#REF!,$CO158)&gt;0,"OK","ONBEKEND")),IF(AND($EC158=$DZ158,$ED158=$EA158+1),IF(OR(COUNTIF(#REF!,$D158)&gt;0,COUNTIF(#REF!,$D158)=0),"SKIP",IF(COUNTIFS(#REF!,$D158,#REF!,$CO158)&gt;0,"OK","ONBEKEND")),"ONZEKER")))))</f>
        <v/>
      </c>
      <c r="CQ158" t="str">
        <f t="shared" ref="CQ158:CQ169" si="1232">IF($N158="","",TRIM(MID(SUBSTITUTE($N158,",",REPT(" ",200)),2601,200)))</f>
        <v/>
      </c>
      <c r="CR158" t="str">
        <f t="shared" ref="CR158:CR169" si="1233">IF(CQ158="","",TRIM(IFERROR(LEFT(CQ158,FIND("§",SUBSTITUTE(CQ158," ","§",LEN(CQ158)-LEN(SUBSTITUTE(CQ158," ",""))))-1),CQ158)))</f>
        <v/>
      </c>
      <c r="CS158" t="str">
        <f>IF($CR158="","",IF(OR($EF158="",$EG158=""),"ONZEKER",IF(OR($EC158="",$ED158=""),"ONZEKER",IF(AND($EF158=$EC158+1,$EG158=$ED158),IF(OR(COUNTIF(#REF!,$B158)&gt;0,COUNTIF(#REF!,$B158)=0),"SKIP",IF(COUNTIFS(#REF!,$B158,#REF!,$CR158)&gt;0,"OK","ONBEKEND")),IF(AND($EF158=$EC158,$EG158=$ED158+1),IF(OR(COUNTIF(#REF!,$D158)&gt;0,COUNTIF(#REF!,$D158)=0),"SKIP",IF(COUNTIFS(#REF!,$D158,#REF!,$CR158)&gt;0,"OK","ONBEKEND")),"ONZEKER")))))</f>
        <v/>
      </c>
      <c r="CT158" t="str">
        <f t="shared" ref="CT158:CT169" si="1234">IF($N158="","",TRIM(MID(SUBSTITUTE($N158,",",REPT(" ",200)),2801,200)))</f>
        <v/>
      </c>
      <c r="CU158" t="str">
        <f t="shared" ref="CU158:CU169" si="1235">IF(CT158="","",TRIM(IFERROR(LEFT(CT158,FIND("§",SUBSTITUTE(CT158," ","§",LEN(CT158)-LEN(SUBSTITUTE(CT158," ",""))))-1),CT158)))</f>
        <v/>
      </c>
      <c r="CV158" t="str">
        <f>IF($CU158="","",IF(OR($EI158="",$EJ158=""),"ONZEKER",IF(OR($EF158="",$EG158=""),"ONZEKER",IF(AND($EI158=$EF158+1,$EJ158=$EG158),IF(OR(COUNTIF(#REF!,$B158)&gt;0,COUNTIF(#REF!,$B158)=0),"SKIP",IF(COUNTIFS(#REF!,$B158,#REF!,$CU158)&gt;0,"OK","ONBEKEND")),IF(AND($EI158=$EF158,$EJ158=$EG158+1),IF(OR(COUNTIF(#REF!,$D158)&gt;0,COUNTIF(#REF!,$D158)=0),"SKIP",IF(COUNTIFS(#REF!,$D158,#REF!,$CU158)&gt;0,"OK","ONBEKEND")),"ONZEKER")))))</f>
        <v/>
      </c>
      <c r="CW158" t="str">
        <f t="shared" ref="CW158:CW169" si="1236">IF($N158="","",TRIM(MID(SUBSTITUTE($N158,",",REPT(" ",200)),3001,200)))</f>
        <v/>
      </c>
      <c r="CX158" t="str">
        <f t="shared" ref="CX158:CX169" si="1237">IF(CW158="","",TRIM(IFERROR(LEFT(CW158,FIND("§",SUBSTITUTE(CW158," ","§",LEN(CW158)-LEN(SUBSTITUTE(CW158," ",""))))-1),CW158)))</f>
        <v/>
      </c>
      <c r="CY158" t="str">
        <f>IF($CX158="","",IF(OR($EL158="",$EM158=""),"ONZEKER",IF(OR($EI158="",$EJ158=""),"ONZEKER",IF(AND($EL158=$EI158+1,$EM158=$EJ158),IF(OR(COUNTIF(#REF!,$B158)&gt;0,COUNTIF(#REF!,$B158)=0),"SKIP",IF(COUNTIFS(#REF!,$B158,#REF!,$CX158)&gt;0,"OK","ONBEKEND")),IF(AND($EL158=$EI158,$EM158=$EJ158+1),IF(OR(COUNTIF(#REF!,$D158)&gt;0,COUNTIF(#REF!,$D158)=0),"SKIP",IF(COUNTIFS(#REF!,$D158,#REF!,$CX158)&gt;0,"OK","ONBEKEND")),"ONZEKER")))))</f>
        <v/>
      </c>
      <c r="CZ158" t="str">
        <f t="shared" ref="CZ158:CZ169" si="1238">IF($N158="","",TRIM(MID(SUBSTITUTE($N158,",",REPT(" ",200)),3201,200)))</f>
        <v/>
      </c>
      <c r="DA158" t="str">
        <f t="shared" ref="DA158:DA169" si="1239">IF(CZ158="","",TRIM(IFERROR(LEFT(CZ158,FIND("§",SUBSTITUTE(CZ158," ","§",LEN(CZ158)-LEN(SUBSTITUTE(CZ158," ",""))))-1),CZ158)))</f>
        <v/>
      </c>
      <c r="DB158" t="str">
        <f>IF($DA158="","",IF(OR($EO158="",$EP158=""),"ONZEKER",IF(OR($EL158="",$EM158=""),"ONZEKER",IF(AND($EO158=$EL158+1,$EP158=$EM158),IF(OR(COUNTIF(#REF!,$B158)&gt;0,COUNTIF(#REF!,$B158)=0),"SKIP",IF(COUNTIFS(#REF!,$B158,#REF!,$DA158)&gt;0,"OK","ONBEKEND")),IF(AND($EO158=$EL158,$EP158=$EM158+1),IF(OR(COUNTIF(#REF!,$D158)&gt;0,COUNTIF(#REF!,$D158)=0),"SKIP",IF(COUNTIFS(#REF!,$D158,#REF!,$DA158)&gt;0,"OK","ONBEKEND")),"ONZEKER")))))</f>
        <v/>
      </c>
      <c r="DC158" t="str">
        <f t="shared" ref="DC158:DC169" si="1240">IF($N158="","",TRIM(MID(SUBSTITUTE($N158,",",REPT(" ",200)),3401,200)))</f>
        <v/>
      </c>
      <c r="DD158" t="str">
        <f t="shared" ref="DD158:DD169" si="1241">IF(DC158="","",TRIM(IFERROR(LEFT(DC158,FIND("§",SUBSTITUTE(DC158," ","§",LEN(DC158)-LEN(SUBSTITUTE(DC158," ",""))))-1),DC158)))</f>
        <v/>
      </c>
      <c r="DE158" t="str">
        <f>IF($DD158="","",IF(OR($ER158="",$ES158=""),"ONZEKER",IF(OR($EO158="",$EP158=""),"ONZEKER",IF(AND($ER158=$EO158+1,$ES158=$EP158),IF(OR(COUNTIF(#REF!,$B158)&gt;0,COUNTIF(#REF!,$B158)=0),"SKIP",IF(COUNTIFS(#REF!,$B158,#REF!,$DD158)&gt;0,"OK","ONBEKEND")),IF(AND($ER158=$EO158,$ES158=$EP158+1),IF(OR(COUNTIF(#REF!,$D158)&gt;0,COUNTIF(#REF!,$D158)=0),"SKIP",IF(COUNTIFS(#REF!,$D158,#REF!,$DD158)&gt;0,"OK","ONBEKEND")),"ONZEKER")))))</f>
        <v/>
      </c>
      <c r="DF158" t="str">
        <f t="shared" ref="DF158:DF169" si="1242">IF($N158="","",TRIM(MID(SUBSTITUTE($N158,",",REPT(" ",200)),3601,200)))</f>
        <v/>
      </c>
      <c r="DG158" t="str">
        <f t="shared" ref="DG158:DG169" si="1243">IF(DF158="","",TRIM(IFERROR(LEFT(DF158,FIND("§",SUBSTITUTE(DF158," ","§",LEN(DF158)-LEN(SUBSTITUTE(DF158," ",""))))-1),DF158)))</f>
        <v/>
      </c>
      <c r="DH158" t="str">
        <f>IF($DG158="","",IF(OR($EU158="",$EV158=""),"ONZEKER",IF(OR($ER158="",$ES158=""),"ONZEKER",IF(AND($EU158=$ER158+1,$EV158=$ES158),IF(OR(COUNTIF(#REF!,$B158)&gt;0,COUNTIF(#REF!,$B158)=0),"SKIP",IF(COUNTIFS(#REF!,$B158,#REF!,$DG158)&gt;0,"OK","ONBEKEND")),IF(AND($EU158=$ER158,$EV158=$ES158+1),IF(OR(COUNTIF(#REF!,$D158)&gt;0,COUNTIF(#REF!,$D158)=0),"SKIP",IF(COUNTIFS(#REF!,$D158,#REF!,$DG158)&gt;0,"OK","ONBEKEND")),"ONZEKER")))))</f>
        <v/>
      </c>
      <c r="DI158" t="str">
        <f t="shared" ref="DI158:DI169" si="1244">IF($N158="","",TRIM(MID(SUBSTITUTE($N158,",",REPT(" ",200)),3801,200)))</f>
        <v/>
      </c>
      <c r="DJ158" t="str">
        <f t="shared" ref="DJ158:DJ169" si="1245">IF(DI158="","",TRIM(IFERROR(LEFT(DI158,FIND("§",SUBSTITUTE(DI158," ","§",LEN(DI158)-LEN(SUBSTITUTE(DI158," ",""))))-1),DI158)))</f>
        <v/>
      </c>
      <c r="DK158" t="str">
        <f>IF($DJ158="","",IF(OR($EX158="",$EY158=""),"ONZEKER",IF(OR($EU158="",$EV158=""),"ONZEKER",IF(AND($EX158=$EU158+1,$EY158=$EV158),IF(OR(COUNTIF(#REF!,$B158)&gt;0,COUNTIF(#REF!,$B158)=0),"SKIP",IF(COUNTIFS(#REF!,$B158,#REF!,$DJ158)&gt;0,"OK","ONBEKEND")),IF(AND($EX158=$EU158,$EY158=$EV158+1),IF(OR(COUNTIF(#REF!,$D158)&gt;0,COUNTIF(#REF!,$D158)=0),"SKIP",IF(COUNTIFS(#REF!,$D158,#REF!,$DJ158)&gt;0,"OK","ONBEKEND")),"ONZEKER")))))</f>
        <v/>
      </c>
      <c r="DL158" t="str">
        <f t="shared" ref="DL158:DL169" si="1246">IF($CJ158="ONBEKEND",$CI158,"")</f>
        <v/>
      </c>
      <c r="DM158" t="str">
        <f t="shared" ref="DM158:DM169" si="1247">IF($CM158="ONBEKEND",$CL158,"")</f>
        <v/>
      </c>
      <c r="DN158" t="str">
        <f t="shared" ref="DN158:DN169" si="1248">IF($CP158="ONBEKEND",$CO158,"")</f>
        <v/>
      </c>
      <c r="DO158" t="str">
        <f t="shared" ref="DO158:DO169" si="1249">IF($CS158="ONBEKEND",$CR158,"")</f>
        <v/>
      </c>
      <c r="DP158" t="str">
        <f t="shared" ref="DP158:DP169" si="1250">IF($CV158="ONBEKEND",$CU158,"")</f>
        <v/>
      </c>
      <c r="DQ158" t="str">
        <f t="shared" ref="DQ158:DQ169" si="1251">IF($CY158="ONBEKEND",$CX158,"")</f>
        <v/>
      </c>
      <c r="DR158" t="str">
        <f t="shared" ref="DR158:DR169" si="1252">IF($DB158="ONBEKEND",$DA158,"")</f>
        <v/>
      </c>
      <c r="DS158" t="str">
        <f t="shared" ref="DS158:DS169" si="1253">IF($DE158="ONBEKEND",$DD158,"")</f>
        <v/>
      </c>
      <c r="DT158" t="str">
        <f t="shared" ref="DT158:DT169" si="1254">IF($DH158="ONBEKEND",$DG158,"")</f>
        <v/>
      </c>
      <c r="DU158" t="str">
        <f t="shared" ref="DU158:DU169" si="1255">IF($DK158="ONBEKEND",$DJ158,"")</f>
        <v/>
      </c>
      <c r="DV158" t="str">
        <f t="shared" ref="DV158:DV169" si="1256">IF($CH158="","",TRIM(IFERROR(RIGHT($CH158,LEN($CH158)-FIND("§",SUBSTITUTE($CH158," ","§",LEN($CH158)-LEN(SUBSTITUTE($CH158," ",""))))),"")))</f>
        <v/>
      </c>
      <c r="DW158" t="str">
        <f t="shared" ref="DW158:DW169" si="1257">IF($DV158="","",IFERROR(VALUE(LEFT($DV158,FIND("-",$DV158)-1)),""))</f>
        <v/>
      </c>
      <c r="DX158" t="str">
        <f t="shared" ref="DX158:DX169" si="1258">IF($DV158="","",IFERROR(VALUE(MID($DV158,FIND("-",$DV158)+1,99)),""))</f>
        <v/>
      </c>
      <c r="DY158" t="str">
        <f t="shared" ref="DY158:DY169" si="1259">IF($CK158="","",TRIM(IFERROR(RIGHT($CK158,LEN($CK158)-FIND("§",SUBSTITUTE($CK158," ","§",LEN($CK158)-LEN(SUBSTITUTE($CK158," ",""))))),"")))</f>
        <v/>
      </c>
      <c r="DZ158" t="str">
        <f t="shared" ref="DZ158:DZ169" si="1260">IF($DY158="","",IFERROR(VALUE(LEFT($DY158,FIND("-",$DY158)-1)),""))</f>
        <v/>
      </c>
      <c r="EA158" t="str">
        <f t="shared" ref="EA158:EA169" si="1261">IF($DY158="","",IFERROR(VALUE(MID($DY158,FIND("-",$DY158)+1,99)),""))</f>
        <v/>
      </c>
      <c r="EB158" t="str">
        <f t="shared" ref="EB158:EB169" si="1262">IF($CN158="","",TRIM(IFERROR(RIGHT($CN158,LEN($CN158)-FIND("§",SUBSTITUTE($CN158," ","§",LEN($CN158)-LEN(SUBSTITUTE($CN158," ",""))))),"")))</f>
        <v/>
      </c>
      <c r="EC158" t="str">
        <f t="shared" ref="EC158:EC169" si="1263">IF($EB158="","",IFERROR(VALUE(LEFT($EB158,FIND("-",$EB158)-1)),""))</f>
        <v/>
      </c>
      <c r="ED158" t="str">
        <f t="shared" ref="ED158:ED169" si="1264">IF($EB158="","",IFERROR(VALUE(MID($EB158,FIND("-",$EB158)+1,99)),""))</f>
        <v/>
      </c>
      <c r="EE158" t="str">
        <f t="shared" ref="EE158:EE169" si="1265">IF($CQ158="","",TRIM(IFERROR(RIGHT($CQ158,LEN($CQ158)-FIND("§",SUBSTITUTE($CQ158," ","§",LEN($CQ158)-LEN(SUBSTITUTE($CQ158," ",""))))),"")))</f>
        <v/>
      </c>
      <c r="EF158" t="str">
        <f t="shared" ref="EF158:EF169" si="1266">IF($EE158="","",IFERROR(VALUE(LEFT($EE158,FIND("-",$EE158)-1)),""))</f>
        <v/>
      </c>
      <c r="EG158" t="str">
        <f t="shared" ref="EG158:EG169" si="1267">IF($EE158="","",IFERROR(VALUE(MID($EE158,FIND("-",$EE158)+1,99)),""))</f>
        <v/>
      </c>
      <c r="EH158" t="str">
        <f t="shared" ref="EH158:EH169" si="1268">IF($CT158="","",TRIM(IFERROR(RIGHT($CT158,LEN($CT158)-FIND("§",SUBSTITUTE($CT158," ","§",LEN($CT158)-LEN(SUBSTITUTE($CT158," ",""))))),"")))</f>
        <v/>
      </c>
      <c r="EI158" t="str">
        <f t="shared" ref="EI158:EI169" si="1269">IF($EH158="","",IFERROR(VALUE(LEFT($EH158,FIND("-",$EH158)-1)),""))</f>
        <v/>
      </c>
      <c r="EJ158" t="str">
        <f t="shared" ref="EJ158:EJ169" si="1270">IF($EH158="","",IFERROR(VALUE(MID($EH158,FIND("-",$EH158)+1,99)),""))</f>
        <v/>
      </c>
      <c r="EK158" t="str">
        <f t="shared" ref="EK158:EK169" si="1271">IF($CW158="","",TRIM(IFERROR(RIGHT($CW158,LEN($CW158)-FIND("§",SUBSTITUTE($CW158," ","§",LEN($CW158)-LEN(SUBSTITUTE($CW158," ",""))))),"")))</f>
        <v/>
      </c>
      <c r="EL158" t="str">
        <f t="shared" ref="EL158:EL169" si="1272">IF($EK158="","",IFERROR(VALUE(LEFT($EK158,FIND("-",$EK158)-1)),""))</f>
        <v/>
      </c>
      <c r="EM158" t="str">
        <f t="shared" ref="EM158:EM169" si="1273">IF($EK158="","",IFERROR(VALUE(MID($EK158,FIND("-",$EK158)+1,99)),""))</f>
        <v/>
      </c>
      <c r="EN158" t="str">
        <f t="shared" ref="EN158:EN169" si="1274">IF($CZ158="","",TRIM(IFERROR(RIGHT($CZ158,LEN($CZ158)-FIND("§",SUBSTITUTE($CZ158," ","§",LEN($CZ158)-LEN(SUBSTITUTE($CZ158," ",""))))),"")))</f>
        <v/>
      </c>
      <c r="EO158" t="str">
        <f t="shared" ref="EO158:EO169" si="1275">IF($EN158="","",IFERROR(VALUE(LEFT($EN158,FIND("-",$EN158)-1)),""))</f>
        <v/>
      </c>
      <c r="EP158" t="str">
        <f t="shared" ref="EP158:EP169" si="1276">IF($EN158="","",IFERROR(VALUE(MID($EN158,FIND("-",$EN158)+1,99)),""))</f>
        <v/>
      </c>
      <c r="EQ158" t="str">
        <f t="shared" ref="EQ158:EQ169" si="1277">IF($DC158="","",TRIM(IFERROR(RIGHT($DC158,LEN($DC158)-FIND("§",SUBSTITUTE($DC158," ","§",LEN($DC158)-LEN(SUBSTITUTE($DC158," ",""))))),"")))</f>
        <v/>
      </c>
      <c r="ER158" t="str">
        <f t="shared" ref="ER158:ER169" si="1278">IF($EQ158="","",IFERROR(VALUE(LEFT($EQ158,FIND("-",$EQ158)-1)),""))</f>
        <v/>
      </c>
      <c r="ES158" t="str">
        <f t="shared" ref="ES158:ES169" si="1279">IF($EQ158="","",IFERROR(VALUE(MID($EQ158,FIND("-",$EQ158)+1,99)),""))</f>
        <v/>
      </c>
      <c r="ET158" t="str">
        <f t="shared" ref="ET158:ET169" si="1280">IF($DF158="","",TRIM(IFERROR(RIGHT($DF158,LEN($DF158)-FIND("§",SUBSTITUTE($DF158," ","§",LEN($DF158)-LEN(SUBSTITUTE($DF158," ",""))))),"")))</f>
        <v/>
      </c>
      <c r="EU158" t="str">
        <f t="shared" ref="EU158:EU169" si="1281">IF($ET158="","",IFERROR(VALUE(LEFT($ET158,FIND("-",$ET158)-1)),""))</f>
        <v/>
      </c>
      <c r="EV158" t="str">
        <f t="shared" ref="EV158:EV169" si="1282">IF($ET158="","",IFERROR(VALUE(MID($ET158,FIND("-",$ET158)+1,99)),""))</f>
        <v/>
      </c>
      <c r="EW158" t="str">
        <f t="shared" ref="EW158:EW169" si="1283">IF($DI158="","",TRIM(IFERROR(RIGHT($DI158,LEN($DI158)-FIND("§",SUBSTITUTE($DI158," ","§",LEN($DI158)-LEN(SUBSTITUTE($DI158," ",""))))),"")))</f>
        <v/>
      </c>
      <c r="EX158" t="str">
        <f t="shared" ref="EX158:EX169" si="1284">IF($EW158="","",IFERROR(VALUE(LEFT($EW158,FIND("-",$EW158)-1)),""))</f>
        <v/>
      </c>
      <c r="EY158" t="str">
        <f t="shared" ref="EY158:EY169" si="1285">IF($EW158="","",IFERROR(VALUE(MID($EW158,FIND("-",$EW158)+1,99)),""))</f>
        <v/>
      </c>
    </row>
    <row r="159" spans="1:155" ht="13.9" customHeight="1" x14ac:dyDescent="0.25">
      <c r="A159" s="7"/>
      <c r="B159" s="17"/>
      <c r="C159" s="8"/>
      <c r="D159" s="17"/>
      <c r="E159" s="8"/>
      <c r="F159" s="18">
        <v>0</v>
      </c>
      <c r="G159" s="7" t="s">
        <v>147</v>
      </c>
      <c r="H159" s="18">
        <v>0</v>
      </c>
      <c r="I159" s="19">
        <v>0</v>
      </c>
      <c r="J159" s="7" t="s">
        <v>147</v>
      </c>
      <c r="K159" s="19">
        <v>0</v>
      </c>
      <c r="L159" s="9"/>
      <c r="M159" s="3" t="str">
        <f>IF($L159="","",IF($L159="DOELPUNTENMAKERS","",IF(AND(COUNTIF(#REF!,$B159)=0,COUNTIF(#REF!,$D159)=0),"OK",IF($O159&gt;20,"LET OP: meer dan 20 items (controle onvolledig)",IF((COUNTIF($R159:$AS159,"ONZEKER")+COUNTIF($CJ159:$DK159,"ONZEKER"))&gt;0,"LET OP: scoreverloop onduidelijk (controle beperkt)",IF((IF($AT159&lt;&gt;"",$AT159&amp;", ","")&amp;IF($AU159&lt;&gt;"",$AU159&amp;", ","")&amp;IF($AV159&lt;&gt;"",$AV159&amp;", ","")&amp;IF($AW159&lt;&gt;"",$AW159&amp;", ","")&amp;IF($AX159&lt;&gt;"",$AX159&amp;", ","")&amp;IF($AY159&lt;&gt;"",$AY159&amp;", ","")&amp;IF($AZ159&lt;&gt;"",$AZ159&amp;", ","")&amp;IF($BA159&lt;&gt;"",$BA159&amp;", ","")&amp;IF($BB159&lt;&gt;"",$BB159&amp;", ","")&amp;IF($BC159&lt;&gt;"",$BC159&amp;", ","")&amp;IF($DL159&lt;&gt;"",$DL159&amp;", ","")&amp;IF($DM159&lt;&gt;"",$DM159&amp;", ","")&amp;IF($DN159&lt;&gt;"",$DN159&amp;", ","")&amp;IF($DO159&lt;&gt;"",$DO159&amp;", ","")&amp;IF($DP159&lt;&gt;"",$DP159&amp;", ","")&amp;IF($DQ159&lt;&gt;"",$DQ159&amp;", ","")&amp;IF($DR159&lt;&gt;"",$DR159&amp;", ","")&amp;IF($DS159&lt;&gt;"",$DS159&amp;", ","")&amp;IF($DT159&lt;&gt;"",$DT159&amp;", ","")&amp;IF($DU159&lt;&gt;"",$DU159&amp;", ",""))="","OK","Onbekend: "&amp;LEFT((IF($AT159&lt;&gt;"",$AT159&amp;", ","")&amp;IF($AU159&lt;&gt;"",$AU159&amp;", ","")&amp;IF($AV159&lt;&gt;"",$AV159&amp;", ","")&amp;IF($AW159&lt;&gt;"",$AW159&amp;", ","")&amp;IF($AX159&lt;&gt;"",$AX159&amp;", ","")&amp;IF($AY159&lt;&gt;"",$AY159&amp;", ","")&amp;IF($AZ159&lt;&gt;"",$AZ159&amp;", ","")&amp;IF($BA159&lt;&gt;"",$BA159&amp;", ","")&amp;IF($BB159&lt;&gt;"",$BB159&amp;", ","")&amp;IF($BC159&lt;&gt;"",$BC159&amp;", ","")&amp;IF($DL159&lt;&gt;"",$DL159&amp;", ","")&amp;IF($DM159&lt;&gt;"",$DM159&amp;", ","")&amp;IF($DN159&lt;&gt;"",$DN159&amp;", ","")&amp;IF($DO159&lt;&gt;"",$DO159&amp;", ","")&amp;IF($DP159&lt;&gt;"",$DP159&amp;", ","")&amp;IF($DQ159&lt;&gt;"",$DQ159&amp;", ","")&amp;IF($DR159&lt;&gt;"",$DR159&amp;", ","")&amp;IF($DS159&lt;&gt;"",$DS159&amp;", ","")&amp;IF($DT159&lt;&gt;"",$DT159&amp;", ","")&amp;IF($DU159&lt;&gt;"",$DU159&amp;", ","")),LEN((IF($AT159&lt;&gt;"",$AT159&amp;", ","")&amp;IF($AU159&lt;&gt;"",$AU159&amp;", ","")&amp;IF($AV159&lt;&gt;"",$AV159&amp;", ","")&amp;IF($AW159&lt;&gt;"",$AW159&amp;", ","")&amp;IF($AX159&lt;&gt;"",$AX159&amp;", ","")&amp;IF($AY159&lt;&gt;"",$AY159&amp;", ","")&amp;IF($AZ159&lt;&gt;"",$AZ159&amp;", ","")&amp;IF($BA159&lt;&gt;"",$BA159&amp;", ","")&amp;IF($BB159&lt;&gt;"",$BB159&amp;", ","")&amp;IF($BC159&lt;&gt;"",$BC159&amp;", ","")&amp;IF($DL159&lt;&gt;"",$DL159&amp;", ","")&amp;IF($DM159&lt;&gt;"",$DM159&amp;", ","")&amp;IF($DN159&lt;&gt;"",$DN159&amp;", ","")&amp;IF($DO159&lt;&gt;"",$DO159&amp;", ","")&amp;IF($DP159&lt;&gt;"",$DP159&amp;", ","")&amp;IF($DQ159&lt;&gt;"",$DQ159&amp;", ","")&amp;IF($DR159&lt;&gt;"",$DR159&amp;", ","")&amp;IF($DS159&lt;&gt;"",$DS159&amp;", ","")&amp;IF($DT159&lt;&gt;"",$DT159&amp;", ","")&amp;IF($DU159&lt;&gt;"",$DU159&amp;", ","")))-2)))))))</f>
        <v/>
      </c>
      <c r="N159" t="str">
        <f t="shared" si="1194"/>
        <v/>
      </c>
      <c r="O159" t="str">
        <f t="shared" si="1195"/>
        <v/>
      </c>
      <c r="P159" t="str">
        <f t="shared" si="1196"/>
        <v/>
      </c>
      <c r="Q159" t="str">
        <f t="shared" si="1197"/>
        <v/>
      </c>
      <c r="R159" t="str">
        <f>IF($Q159="","",IF(OR($BE159="",$BF159=""),"ONZEKER",IF(AND($BE159=0+1,$BF159=0),IF(OR(COUNTIF(#REF!,$B159)&gt;0,COUNTIF(#REF!,$B159)=0),"SKIP",IF(COUNTIFS(#REF!,$B159,#REF!,$Q159)&gt;0,"OK","ONBEKEND")),IF(AND($BE159=0,$BF159=0+1),IF(OR(COUNTIF(#REF!,$D159)&gt;0,COUNTIF(#REF!,$D159)=0),"SKIP",IF(COUNTIFS(#REF!,$D159,#REF!,$Q159)&gt;0,"OK","ONBEKEND")),"ONZEKER"))))</f>
        <v/>
      </c>
      <c r="S159" t="str">
        <f t="shared" si="1198"/>
        <v/>
      </c>
      <c r="T159" t="str">
        <f t="shared" si="1199"/>
        <v/>
      </c>
      <c r="U159" t="str">
        <f>IF($T159="","",IF(OR($BH159="",$BI159=""),"ONZEKER",IF(OR($BE159="",$BF159=""),"ONZEKER",IF(AND($BH159=$BE159+1,$BI159=$BF159),IF(OR(COUNTIF(#REF!,$B159)&gt;0,COUNTIF(#REF!,$B159)=0),"SKIP",IF(COUNTIFS(#REF!,$B159,#REF!,$T159)&gt;0,"OK","ONBEKEND")),IF(AND($BH159=$BE159,$BI159=$BF159+1),IF(OR(COUNTIF(#REF!,$D159)&gt;0,COUNTIF(#REF!,$D159)=0),"SKIP",IF(COUNTIFS(#REF!,$D159,#REF!,$T159)&gt;0,"OK","ONBEKEND")),"ONZEKER")))))</f>
        <v/>
      </c>
      <c r="V159" t="str">
        <f t="shared" si="1200"/>
        <v/>
      </c>
      <c r="W159" t="str">
        <f t="shared" si="1201"/>
        <v/>
      </c>
      <c r="X159" t="str">
        <f>IF($W159="","",IF(OR($BK159="",$BL159=""),"ONZEKER",IF(OR($BH159="",$BI159=""),"ONZEKER",IF(AND($BK159=$BH159+1,$BL159=$BI159),IF(OR(COUNTIF(#REF!,$B159)&gt;0,COUNTIF(#REF!,$B159)=0),"SKIP",IF(COUNTIFS(#REF!,$B159,#REF!,$W159)&gt;0,"OK","ONBEKEND")),IF(AND($BK159=$BH159,$BL159=$BI159+1),IF(OR(COUNTIF(#REF!,$D159)&gt;0,COUNTIF(#REF!,$D159)=0),"SKIP",IF(COUNTIFS(#REF!,$D159,#REF!,$W159)&gt;0,"OK","ONBEKEND")),"ONZEKER")))))</f>
        <v/>
      </c>
      <c r="Y159" t="str">
        <f t="shared" si="1202"/>
        <v/>
      </c>
      <c r="Z159" t="str">
        <f t="shared" si="1203"/>
        <v/>
      </c>
      <c r="AA159" t="str">
        <f>IF($Z159="","",IF(OR($BN159="",$BO159=""),"ONZEKER",IF(OR($BK159="",$BL159=""),"ONZEKER",IF(AND($BN159=$BK159+1,$BO159=$BL159),IF(OR(COUNTIF(#REF!,$B159)&gt;0,COUNTIF(#REF!,$B159)=0),"SKIP",IF(COUNTIFS(#REF!,$B159,#REF!,$Z159)&gt;0,"OK","ONBEKEND")),IF(AND($BN159=$BK159,$BO159=$BL159+1),IF(OR(COUNTIF(#REF!,$D159)&gt;0,COUNTIF(#REF!,$D159)=0),"SKIP",IF(COUNTIFS(#REF!,$D159,#REF!,$Z159)&gt;0,"OK","ONBEKEND")),"ONZEKER")))))</f>
        <v/>
      </c>
      <c r="AB159" t="str">
        <f t="shared" si="1204"/>
        <v/>
      </c>
      <c r="AC159" t="str">
        <f t="shared" si="1205"/>
        <v/>
      </c>
      <c r="AD159" t="str">
        <f>IF($AC159="","",IF(OR($BQ159="",$BR159=""),"ONZEKER",IF(OR($BN159="",$BO159=""),"ONZEKER",IF(AND($BQ159=$BN159+1,$BR159=$BO159),IF(OR(COUNTIF(#REF!,$B159)&gt;0,COUNTIF(#REF!,$B159)=0),"SKIP",IF(COUNTIFS(#REF!,$B159,#REF!,$AC159)&gt;0,"OK","ONBEKEND")),IF(AND($BQ159=$BN159,$BR159=$BO159+1),IF(OR(COUNTIF(#REF!,$D159)&gt;0,COUNTIF(#REF!,$D159)=0),"SKIP",IF(COUNTIFS(#REF!,$D159,#REF!,$AC159)&gt;0,"OK","ONBEKEND")),"ONZEKER")))))</f>
        <v/>
      </c>
      <c r="AE159" t="str">
        <f t="shared" si="1206"/>
        <v/>
      </c>
      <c r="AF159" t="str">
        <f t="shared" si="1207"/>
        <v/>
      </c>
      <c r="AG159" t="str">
        <f>IF($AF159="","",IF(OR($BT159="",$BU159=""),"ONZEKER",IF(OR($BQ159="",$BR159=""),"ONZEKER",IF(AND($BT159=$BQ159+1,$BU159=$BR159),IF(OR(COUNTIF(#REF!,$B159)&gt;0,COUNTIF(#REF!,$B159)=0),"SKIP",IF(COUNTIFS(#REF!,$B159,#REF!,$AF159)&gt;0,"OK","ONBEKEND")),IF(AND($BT159=$BQ159,$BU159=$BR159+1),IF(OR(COUNTIF(#REF!,$D159)&gt;0,COUNTIF(#REF!,$D159)=0),"SKIP",IF(COUNTIFS(#REF!,$D159,#REF!,$AF159)&gt;0,"OK","ONBEKEND")),"ONZEKER")))))</f>
        <v/>
      </c>
      <c r="AH159" t="str">
        <f t="shared" si="1208"/>
        <v/>
      </c>
      <c r="AI159" t="str">
        <f t="shared" si="1209"/>
        <v/>
      </c>
      <c r="AJ159" t="str">
        <f>IF($AI159="","",IF(OR($BW159="",$BX159=""),"ONZEKER",IF(OR($BT159="",$BU159=""),"ONZEKER",IF(AND($BW159=$BT159+1,$BX159=$BU159),IF(OR(COUNTIF(#REF!,$B159)&gt;0,COUNTIF(#REF!,$B159)=0),"SKIP",IF(COUNTIFS(#REF!,$B159,#REF!,$AI159)&gt;0,"OK","ONBEKEND")),IF(AND($BW159=$BT159,$BX159=$BU159+1),IF(OR(COUNTIF(#REF!,$D159)&gt;0,COUNTIF(#REF!,$D159)=0),"SKIP",IF(COUNTIFS(#REF!,$D159,#REF!,$AI159)&gt;0,"OK","ONBEKEND")),"ONZEKER")))))</f>
        <v/>
      </c>
      <c r="AK159" t="str">
        <f t="shared" si="1210"/>
        <v/>
      </c>
      <c r="AL159" t="str">
        <f t="shared" si="1211"/>
        <v/>
      </c>
      <c r="AM159" t="str">
        <f>IF($AL159="","",IF(OR($BZ159="",$CA159=""),"ONZEKER",IF(OR($BW159="",$BX159=""),"ONZEKER",IF(AND($BZ159=$BW159+1,$CA159=$BX159),IF(OR(COUNTIF(#REF!,$B159)&gt;0,COUNTIF(#REF!,$B159)=0),"SKIP",IF(COUNTIFS(#REF!,$B159,#REF!,$AL159)&gt;0,"OK","ONBEKEND")),IF(AND($BZ159=$BW159,$CA159=$BX159+1),IF(OR(COUNTIF(#REF!,$D159)&gt;0,COUNTIF(#REF!,$D159)=0),"SKIP",IF(COUNTIFS(#REF!,$D159,#REF!,$AL159)&gt;0,"OK","ONBEKEND")),"ONZEKER")))))</f>
        <v/>
      </c>
      <c r="AN159" t="str">
        <f t="shared" si="1212"/>
        <v/>
      </c>
      <c r="AO159" t="str">
        <f t="shared" si="1213"/>
        <v/>
      </c>
      <c r="AP159" t="str">
        <f>IF($AO159="","",IF(OR($CC159="",$CD159=""),"ONZEKER",IF(OR($BZ159="",$CA159=""),"ONZEKER",IF(AND($CC159=$BZ159+1,$CD159=$CA159),IF(OR(COUNTIF(#REF!,$B159)&gt;0,COUNTIF(#REF!,$B159)=0),"SKIP",IF(COUNTIFS(#REF!,$B159,#REF!,$AO159)&gt;0,"OK","ONBEKEND")),IF(AND($CC159=$BZ159,$CD159=$CA159+1),IF(OR(COUNTIF(#REF!,$D159)&gt;0,COUNTIF(#REF!,$D159)=0),"SKIP",IF(COUNTIFS(#REF!,$D159,#REF!,$AO159)&gt;0,"OK","ONBEKEND")),"ONZEKER")))))</f>
        <v/>
      </c>
      <c r="AQ159" t="str">
        <f t="shared" si="1214"/>
        <v/>
      </c>
      <c r="AR159" t="str">
        <f t="shared" si="1215"/>
        <v/>
      </c>
      <c r="AS159" t="str">
        <f>IF($AR159="","",IF(OR($CF159="",$CG159=""),"ONZEKER",IF(OR($CC159="",$CD159=""),"ONZEKER",IF(AND($CF159=$CC159+1,$CG159=$CD159),IF(OR(COUNTIF(#REF!,$B159)&gt;0,COUNTIF(#REF!,$B159)=0),"SKIP",IF(COUNTIFS(#REF!,$B159,#REF!,$AR159)&gt;0,"OK","ONBEKEND")),IF(AND($CF159=$CC159,$CG159=$CD159+1),IF(OR(COUNTIF(#REF!,$D159)&gt;0,COUNTIF(#REF!,$D159)=0),"SKIP",IF(COUNTIFS(#REF!,$D159,#REF!,$AR159)&gt;0,"OK","ONBEKEND")),"ONZEKER")))))</f>
        <v/>
      </c>
      <c r="AT159" t="str">
        <f t="shared" si="1216"/>
        <v/>
      </c>
      <c r="AU159" t="str">
        <f t="shared" si="1217"/>
        <v/>
      </c>
      <c r="AV159" t="str">
        <f t="shared" si="1218"/>
        <v/>
      </c>
      <c r="AW159" t="str">
        <f t="shared" si="1219"/>
        <v/>
      </c>
      <c r="AX159" t="str">
        <f t="shared" si="1220"/>
        <v/>
      </c>
      <c r="AY159" t="str">
        <f t="shared" si="1221"/>
        <v/>
      </c>
      <c r="AZ159" t="str">
        <f t="shared" si="1222"/>
        <v/>
      </c>
      <c r="BA159" t="str">
        <f t="shared" si="1223"/>
        <v/>
      </c>
      <c r="BB159" t="str">
        <f t="shared" si="1224"/>
        <v/>
      </c>
      <c r="BC159" t="str">
        <f t="shared" si="1225"/>
        <v/>
      </c>
      <c r="BD159" t="str">
        <f t="shared" si="980"/>
        <v/>
      </c>
      <c r="BE159" t="str">
        <f t="shared" si="981"/>
        <v/>
      </c>
      <c r="BF159" t="str">
        <f t="shared" si="982"/>
        <v/>
      </c>
      <c r="BG159" t="str">
        <f t="shared" si="983"/>
        <v/>
      </c>
      <c r="BH159" t="str">
        <f t="shared" si="984"/>
        <v/>
      </c>
      <c r="BI159" t="str">
        <f t="shared" si="985"/>
        <v/>
      </c>
      <c r="BJ159" t="str">
        <f t="shared" si="986"/>
        <v/>
      </c>
      <c r="BK159" t="str">
        <f t="shared" si="987"/>
        <v/>
      </c>
      <c r="BL159" t="str">
        <f t="shared" si="988"/>
        <v/>
      </c>
      <c r="BM159" t="str">
        <f t="shared" si="989"/>
        <v/>
      </c>
      <c r="BN159" t="str">
        <f t="shared" si="990"/>
        <v/>
      </c>
      <c r="BO159" t="str">
        <f t="shared" si="991"/>
        <v/>
      </c>
      <c r="BP159" t="str">
        <f t="shared" si="992"/>
        <v/>
      </c>
      <c r="BQ159" t="str">
        <f t="shared" si="993"/>
        <v/>
      </c>
      <c r="BR159" t="str">
        <f t="shared" si="994"/>
        <v/>
      </c>
      <c r="BS159" t="str">
        <f t="shared" si="995"/>
        <v/>
      </c>
      <c r="BT159" t="str">
        <f t="shared" si="996"/>
        <v/>
      </c>
      <c r="BU159" t="str">
        <f t="shared" si="997"/>
        <v/>
      </c>
      <c r="BV159" t="str">
        <f t="shared" si="998"/>
        <v/>
      </c>
      <c r="BW159" t="str">
        <f t="shared" si="999"/>
        <v/>
      </c>
      <c r="BX159" t="str">
        <f t="shared" si="1000"/>
        <v/>
      </c>
      <c r="BY159" t="str">
        <f t="shared" si="1001"/>
        <v/>
      </c>
      <c r="BZ159" t="str">
        <f t="shared" si="1002"/>
        <v/>
      </c>
      <c r="CA159" t="str">
        <f t="shared" si="1003"/>
        <v/>
      </c>
      <c r="CB159" t="str">
        <f t="shared" si="1004"/>
        <v/>
      </c>
      <c r="CC159" t="str">
        <f t="shared" si="1005"/>
        <v/>
      </c>
      <c r="CD159" t="str">
        <f t="shared" si="1006"/>
        <v/>
      </c>
      <c r="CE159" t="str">
        <f t="shared" si="1007"/>
        <v/>
      </c>
      <c r="CF159" t="str">
        <f t="shared" si="1008"/>
        <v/>
      </c>
      <c r="CG159" t="str">
        <f t="shared" si="1009"/>
        <v/>
      </c>
      <c r="CH159" t="str">
        <f t="shared" si="1226"/>
        <v/>
      </c>
      <c r="CI159" t="str">
        <f t="shared" si="1227"/>
        <v/>
      </c>
      <c r="CJ159" t="str">
        <f>IF($CI159="","",IF(OR($DW159="",$DX159=""),"ONZEKER",IF(OR($CF159="",$CG159=""),"ONZEKER",IF(AND($DW159=$CF159+1,$DX159=$CG159),IF(OR(COUNTIF(#REF!,$B159)&gt;0,COUNTIF(#REF!,$B159)=0),"SKIP",IF(COUNTIFS(#REF!,$B159,#REF!,$CI159)&gt;0,"OK","ONBEKEND")),IF(AND($DW159=$CF159,$DX159=$CG159+1),IF(OR(COUNTIF(#REF!,$D159)&gt;0,COUNTIF(#REF!,$D159)=0),"SKIP",IF(COUNTIFS(#REF!,$D159,#REF!,$CI159)&gt;0,"OK","ONBEKEND")),"ONZEKER")))))</f>
        <v/>
      </c>
      <c r="CK159" t="str">
        <f t="shared" si="1228"/>
        <v/>
      </c>
      <c r="CL159" t="str">
        <f t="shared" si="1229"/>
        <v/>
      </c>
      <c r="CM159" t="str">
        <f>IF($CL159="","",IF(OR($DZ159="",$EA159=""),"ONZEKER",IF(OR($DW159="",$DX159=""),"ONZEKER",IF(AND($DZ159=$DW159+1,$EA159=$DX159),IF(OR(COUNTIF(#REF!,$B159)&gt;0,COUNTIF(#REF!,$B159)=0),"SKIP",IF(COUNTIFS(#REF!,$B159,#REF!,$CL159)&gt;0,"OK","ONBEKEND")),IF(AND($DZ159=$DW159,$EA159=$DX159+1),IF(OR(COUNTIF(#REF!,$D159)&gt;0,COUNTIF(#REF!,$D159)=0),"SKIP",IF(COUNTIFS(#REF!,$D159,#REF!,$CL159)&gt;0,"OK","ONBEKEND")),"ONZEKER")))))</f>
        <v/>
      </c>
      <c r="CN159" t="str">
        <f t="shared" si="1230"/>
        <v/>
      </c>
      <c r="CO159" t="str">
        <f t="shared" si="1231"/>
        <v/>
      </c>
      <c r="CP159" t="str">
        <f>IF($CO159="","",IF(OR($EC159="",$ED159=""),"ONZEKER",IF(OR($DZ159="",$EA159=""),"ONZEKER",IF(AND($EC159=$DZ159+1,$ED159=$EA159),IF(OR(COUNTIF(#REF!,$B159)&gt;0,COUNTIF(#REF!,$B159)=0),"SKIP",IF(COUNTIFS(#REF!,$B159,#REF!,$CO159)&gt;0,"OK","ONBEKEND")),IF(AND($EC159=$DZ159,$ED159=$EA159+1),IF(OR(COUNTIF(#REF!,$D159)&gt;0,COUNTIF(#REF!,$D159)=0),"SKIP",IF(COUNTIFS(#REF!,$D159,#REF!,$CO159)&gt;0,"OK","ONBEKEND")),"ONZEKER")))))</f>
        <v/>
      </c>
      <c r="CQ159" t="str">
        <f t="shared" si="1232"/>
        <v/>
      </c>
      <c r="CR159" t="str">
        <f t="shared" si="1233"/>
        <v/>
      </c>
      <c r="CS159" t="str">
        <f>IF($CR159="","",IF(OR($EF159="",$EG159=""),"ONZEKER",IF(OR($EC159="",$ED159=""),"ONZEKER",IF(AND($EF159=$EC159+1,$EG159=$ED159),IF(OR(COUNTIF(#REF!,$B159)&gt;0,COUNTIF(#REF!,$B159)=0),"SKIP",IF(COUNTIFS(#REF!,$B159,#REF!,$CR159)&gt;0,"OK","ONBEKEND")),IF(AND($EF159=$EC159,$EG159=$ED159+1),IF(OR(COUNTIF(#REF!,$D159)&gt;0,COUNTIF(#REF!,$D159)=0),"SKIP",IF(COUNTIFS(#REF!,$D159,#REF!,$CR159)&gt;0,"OK","ONBEKEND")),"ONZEKER")))))</f>
        <v/>
      </c>
      <c r="CT159" t="str">
        <f t="shared" si="1234"/>
        <v/>
      </c>
      <c r="CU159" t="str">
        <f t="shared" si="1235"/>
        <v/>
      </c>
      <c r="CV159" t="str">
        <f>IF($CU159="","",IF(OR($EI159="",$EJ159=""),"ONZEKER",IF(OR($EF159="",$EG159=""),"ONZEKER",IF(AND($EI159=$EF159+1,$EJ159=$EG159),IF(OR(COUNTIF(#REF!,$B159)&gt;0,COUNTIF(#REF!,$B159)=0),"SKIP",IF(COUNTIFS(#REF!,$B159,#REF!,$CU159)&gt;0,"OK","ONBEKEND")),IF(AND($EI159=$EF159,$EJ159=$EG159+1),IF(OR(COUNTIF(#REF!,$D159)&gt;0,COUNTIF(#REF!,$D159)=0),"SKIP",IF(COUNTIFS(#REF!,$D159,#REF!,$CU159)&gt;0,"OK","ONBEKEND")),"ONZEKER")))))</f>
        <v/>
      </c>
      <c r="CW159" t="str">
        <f t="shared" si="1236"/>
        <v/>
      </c>
      <c r="CX159" t="str">
        <f t="shared" si="1237"/>
        <v/>
      </c>
      <c r="CY159" t="str">
        <f>IF($CX159="","",IF(OR($EL159="",$EM159=""),"ONZEKER",IF(OR($EI159="",$EJ159=""),"ONZEKER",IF(AND($EL159=$EI159+1,$EM159=$EJ159),IF(OR(COUNTIF(#REF!,$B159)&gt;0,COUNTIF(#REF!,$B159)=0),"SKIP",IF(COUNTIFS(#REF!,$B159,#REF!,$CX159)&gt;0,"OK","ONBEKEND")),IF(AND($EL159=$EI159,$EM159=$EJ159+1),IF(OR(COUNTIF(#REF!,$D159)&gt;0,COUNTIF(#REF!,$D159)=0),"SKIP",IF(COUNTIFS(#REF!,$D159,#REF!,$CX159)&gt;0,"OK","ONBEKEND")),"ONZEKER")))))</f>
        <v/>
      </c>
      <c r="CZ159" t="str">
        <f t="shared" si="1238"/>
        <v/>
      </c>
      <c r="DA159" t="str">
        <f t="shared" si="1239"/>
        <v/>
      </c>
      <c r="DB159" t="str">
        <f>IF($DA159="","",IF(OR($EO159="",$EP159=""),"ONZEKER",IF(OR($EL159="",$EM159=""),"ONZEKER",IF(AND($EO159=$EL159+1,$EP159=$EM159),IF(OR(COUNTIF(#REF!,$B159)&gt;0,COUNTIF(#REF!,$B159)=0),"SKIP",IF(COUNTIFS(#REF!,$B159,#REF!,$DA159)&gt;0,"OK","ONBEKEND")),IF(AND($EO159=$EL159,$EP159=$EM159+1),IF(OR(COUNTIF(#REF!,$D159)&gt;0,COUNTIF(#REF!,$D159)=0),"SKIP",IF(COUNTIFS(#REF!,$D159,#REF!,$DA159)&gt;0,"OK","ONBEKEND")),"ONZEKER")))))</f>
        <v/>
      </c>
      <c r="DC159" t="str">
        <f t="shared" si="1240"/>
        <v/>
      </c>
      <c r="DD159" t="str">
        <f t="shared" si="1241"/>
        <v/>
      </c>
      <c r="DE159" t="str">
        <f>IF($DD159="","",IF(OR($ER159="",$ES159=""),"ONZEKER",IF(OR($EO159="",$EP159=""),"ONZEKER",IF(AND($ER159=$EO159+1,$ES159=$EP159),IF(OR(COUNTIF(#REF!,$B159)&gt;0,COUNTIF(#REF!,$B159)=0),"SKIP",IF(COUNTIFS(#REF!,$B159,#REF!,$DD159)&gt;0,"OK","ONBEKEND")),IF(AND($ER159=$EO159,$ES159=$EP159+1),IF(OR(COUNTIF(#REF!,$D159)&gt;0,COUNTIF(#REF!,$D159)=0),"SKIP",IF(COUNTIFS(#REF!,$D159,#REF!,$DD159)&gt;0,"OK","ONBEKEND")),"ONZEKER")))))</f>
        <v/>
      </c>
      <c r="DF159" t="str">
        <f t="shared" si="1242"/>
        <v/>
      </c>
      <c r="DG159" t="str">
        <f t="shared" si="1243"/>
        <v/>
      </c>
      <c r="DH159" t="str">
        <f>IF($DG159="","",IF(OR($EU159="",$EV159=""),"ONZEKER",IF(OR($ER159="",$ES159=""),"ONZEKER",IF(AND($EU159=$ER159+1,$EV159=$ES159),IF(OR(COUNTIF(#REF!,$B159)&gt;0,COUNTIF(#REF!,$B159)=0),"SKIP",IF(COUNTIFS(#REF!,$B159,#REF!,$DG159)&gt;0,"OK","ONBEKEND")),IF(AND($EU159=$ER159,$EV159=$ES159+1),IF(OR(COUNTIF(#REF!,$D159)&gt;0,COUNTIF(#REF!,$D159)=0),"SKIP",IF(COUNTIFS(#REF!,$D159,#REF!,$DG159)&gt;0,"OK","ONBEKEND")),"ONZEKER")))))</f>
        <v/>
      </c>
      <c r="DI159" t="str">
        <f t="shared" si="1244"/>
        <v/>
      </c>
      <c r="DJ159" t="str">
        <f t="shared" si="1245"/>
        <v/>
      </c>
      <c r="DK159" t="str">
        <f>IF($DJ159="","",IF(OR($EX159="",$EY159=""),"ONZEKER",IF(OR($EU159="",$EV159=""),"ONZEKER",IF(AND($EX159=$EU159+1,$EY159=$EV159),IF(OR(COUNTIF(#REF!,$B159)&gt;0,COUNTIF(#REF!,$B159)=0),"SKIP",IF(COUNTIFS(#REF!,$B159,#REF!,$DJ159)&gt;0,"OK","ONBEKEND")),IF(AND($EX159=$EU159,$EY159=$EV159+1),IF(OR(COUNTIF(#REF!,$D159)&gt;0,COUNTIF(#REF!,$D159)=0),"SKIP",IF(COUNTIFS(#REF!,$D159,#REF!,$DJ159)&gt;0,"OK","ONBEKEND")),"ONZEKER")))))</f>
        <v/>
      </c>
      <c r="DL159" t="str">
        <f t="shared" si="1246"/>
        <v/>
      </c>
      <c r="DM159" t="str">
        <f t="shared" si="1247"/>
        <v/>
      </c>
      <c r="DN159" t="str">
        <f t="shared" si="1248"/>
        <v/>
      </c>
      <c r="DO159" t="str">
        <f t="shared" si="1249"/>
        <v/>
      </c>
      <c r="DP159" t="str">
        <f t="shared" si="1250"/>
        <v/>
      </c>
      <c r="DQ159" t="str">
        <f t="shared" si="1251"/>
        <v/>
      </c>
      <c r="DR159" t="str">
        <f t="shared" si="1252"/>
        <v/>
      </c>
      <c r="DS159" t="str">
        <f t="shared" si="1253"/>
        <v/>
      </c>
      <c r="DT159" t="str">
        <f t="shared" si="1254"/>
        <v/>
      </c>
      <c r="DU159" t="str">
        <f t="shared" si="1255"/>
        <v/>
      </c>
      <c r="DV159" t="str">
        <f t="shared" si="1256"/>
        <v/>
      </c>
      <c r="DW159" t="str">
        <f t="shared" si="1257"/>
        <v/>
      </c>
      <c r="DX159" t="str">
        <f t="shared" si="1258"/>
        <v/>
      </c>
      <c r="DY159" t="str">
        <f t="shared" si="1259"/>
        <v/>
      </c>
      <c r="DZ159" t="str">
        <f t="shared" si="1260"/>
        <v/>
      </c>
      <c r="EA159" t="str">
        <f t="shared" si="1261"/>
        <v/>
      </c>
      <c r="EB159" t="str">
        <f t="shared" si="1262"/>
        <v/>
      </c>
      <c r="EC159" t="str">
        <f t="shared" si="1263"/>
        <v/>
      </c>
      <c r="ED159" t="str">
        <f t="shared" si="1264"/>
        <v/>
      </c>
      <c r="EE159" t="str">
        <f t="shared" si="1265"/>
        <v/>
      </c>
      <c r="EF159" t="str">
        <f t="shared" si="1266"/>
        <v/>
      </c>
      <c r="EG159" t="str">
        <f t="shared" si="1267"/>
        <v/>
      </c>
      <c r="EH159" t="str">
        <f t="shared" si="1268"/>
        <v/>
      </c>
      <c r="EI159" t="str">
        <f t="shared" si="1269"/>
        <v/>
      </c>
      <c r="EJ159" t="str">
        <f t="shared" si="1270"/>
        <v/>
      </c>
      <c r="EK159" t="str">
        <f t="shared" si="1271"/>
        <v/>
      </c>
      <c r="EL159" t="str">
        <f t="shared" si="1272"/>
        <v/>
      </c>
      <c r="EM159" t="str">
        <f t="shared" si="1273"/>
        <v/>
      </c>
      <c r="EN159" t="str">
        <f t="shared" si="1274"/>
        <v/>
      </c>
      <c r="EO159" t="str">
        <f t="shared" si="1275"/>
        <v/>
      </c>
      <c r="EP159" t="str">
        <f t="shared" si="1276"/>
        <v/>
      </c>
      <c r="EQ159" t="str">
        <f t="shared" si="1277"/>
        <v/>
      </c>
      <c r="ER159" t="str">
        <f t="shared" si="1278"/>
        <v/>
      </c>
      <c r="ES159" t="str">
        <f t="shared" si="1279"/>
        <v/>
      </c>
      <c r="ET159" t="str">
        <f t="shared" si="1280"/>
        <v/>
      </c>
      <c r="EU159" t="str">
        <f t="shared" si="1281"/>
        <v/>
      </c>
      <c r="EV159" t="str">
        <f t="shared" si="1282"/>
        <v/>
      </c>
      <c r="EW159" t="str">
        <f t="shared" si="1283"/>
        <v/>
      </c>
      <c r="EX159" t="str">
        <f t="shared" si="1284"/>
        <v/>
      </c>
      <c r="EY159" t="str">
        <f t="shared" si="1285"/>
        <v/>
      </c>
    </row>
    <row r="160" spans="1:155" ht="13.9" customHeight="1" x14ac:dyDescent="0.25">
      <c r="A160" s="7"/>
      <c r="B160" s="17"/>
      <c r="C160" s="8"/>
      <c r="D160" s="17"/>
      <c r="E160" s="8"/>
      <c r="F160" s="18">
        <v>0</v>
      </c>
      <c r="G160" s="7" t="s">
        <v>147</v>
      </c>
      <c r="H160" s="18">
        <v>0</v>
      </c>
      <c r="I160" s="19">
        <v>0</v>
      </c>
      <c r="J160" s="7" t="s">
        <v>147</v>
      </c>
      <c r="K160" s="19">
        <v>0</v>
      </c>
      <c r="L160" s="9"/>
      <c r="M160" s="3" t="str">
        <f>IF($L160="","",IF($L160="DOELPUNTENMAKERS","",IF(AND(COUNTIF(#REF!,$B160)=0,COUNTIF(#REF!,$D160)=0),"OK",IF($O160&gt;20,"LET OP: meer dan 20 items (controle onvolledig)",IF((COUNTIF($R160:$AS160,"ONZEKER")+COUNTIF($CJ160:$DK160,"ONZEKER"))&gt;0,"LET OP: scoreverloop onduidelijk (controle beperkt)",IF((IF($AT160&lt;&gt;"",$AT160&amp;", ","")&amp;IF($AU160&lt;&gt;"",$AU160&amp;", ","")&amp;IF($AV160&lt;&gt;"",$AV160&amp;", ","")&amp;IF($AW160&lt;&gt;"",$AW160&amp;", ","")&amp;IF($AX160&lt;&gt;"",$AX160&amp;", ","")&amp;IF($AY160&lt;&gt;"",$AY160&amp;", ","")&amp;IF($AZ160&lt;&gt;"",$AZ160&amp;", ","")&amp;IF($BA160&lt;&gt;"",$BA160&amp;", ","")&amp;IF($BB160&lt;&gt;"",$BB160&amp;", ","")&amp;IF($BC160&lt;&gt;"",$BC160&amp;", ","")&amp;IF($DL160&lt;&gt;"",$DL160&amp;", ","")&amp;IF($DM160&lt;&gt;"",$DM160&amp;", ","")&amp;IF($DN160&lt;&gt;"",$DN160&amp;", ","")&amp;IF($DO160&lt;&gt;"",$DO160&amp;", ","")&amp;IF($DP160&lt;&gt;"",$DP160&amp;", ","")&amp;IF($DQ160&lt;&gt;"",$DQ160&amp;", ","")&amp;IF($DR160&lt;&gt;"",$DR160&amp;", ","")&amp;IF($DS160&lt;&gt;"",$DS160&amp;", ","")&amp;IF($DT160&lt;&gt;"",$DT160&amp;", ","")&amp;IF($DU160&lt;&gt;"",$DU160&amp;", ",""))="","OK","Onbekend: "&amp;LEFT((IF($AT160&lt;&gt;"",$AT160&amp;", ","")&amp;IF($AU160&lt;&gt;"",$AU160&amp;", ","")&amp;IF($AV160&lt;&gt;"",$AV160&amp;", ","")&amp;IF($AW160&lt;&gt;"",$AW160&amp;", ","")&amp;IF($AX160&lt;&gt;"",$AX160&amp;", ","")&amp;IF($AY160&lt;&gt;"",$AY160&amp;", ","")&amp;IF($AZ160&lt;&gt;"",$AZ160&amp;", ","")&amp;IF($BA160&lt;&gt;"",$BA160&amp;", ","")&amp;IF($BB160&lt;&gt;"",$BB160&amp;", ","")&amp;IF($BC160&lt;&gt;"",$BC160&amp;", ","")&amp;IF($DL160&lt;&gt;"",$DL160&amp;", ","")&amp;IF($DM160&lt;&gt;"",$DM160&amp;", ","")&amp;IF($DN160&lt;&gt;"",$DN160&amp;", ","")&amp;IF($DO160&lt;&gt;"",$DO160&amp;", ","")&amp;IF($DP160&lt;&gt;"",$DP160&amp;", ","")&amp;IF($DQ160&lt;&gt;"",$DQ160&amp;", ","")&amp;IF($DR160&lt;&gt;"",$DR160&amp;", ","")&amp;IF($DS160&lt;&gt;"",$DS160&amp;", ","")&amp;IF($DT160&lt;&gt;"",$DT160&amp;", ","")&amp;IF($DU160&lt;&gt;"",$DU160&amp;", ","")),LEN((IF($AT160&lt;&gt;"",$AT160&amp;", ","")&amp;IF($AU160&lt;&gt;"",$AU160&amp;", ","")&amp;IF($AV160&lt;&gt;"",$AV160&amp;", ","")&amp;IF($AW160&lt;&gt;"",$AW160&amp;", ","")&amp;IF($AX160&lt;&gt;"",$AX160&amp;", ","")&amp;IF($AY160&lt;&gt;"",$AY160&amp;", ","")&amp;IF($AZ160&lt;&gt;"",$AZ160&amp;", ","")&amp;IF($BA160&lt;&gt;"",$BA160&amp;", ","")&amp;IF($BB160&lt;&gt;"",$BB160&amp;", ","")&amp;IF($BC160&lt;&gt;"",$BC160&amp;", ","")&amp;IF($DL160&lt;&gt;"",$DL160&amp;", ","")&amp;IF($DM160&lt;&gt;"",$DM160&amp;", ","")&amp;IF($DN160&lt;&gt;"",$DN160&amp;", ","")&amp;IF($DO160&lt;&gt;"",$DO160&amp;", ","")&amp;IF($DP160&lt;&gt;"",$DP160&amp;", ","")&amp;IF($DQ160&lt;&gt;"",$DQ160&amp;", ","")&amp;IF($DR160&lt;&gt;"",$DR160&amp;", ","")&amp;IF($DS160&lt;&gt;"",$DS160&amp;", ","")&amp;IF($DT160&lt;&gt;"",$DT160&amp;", ","")&amp;IF($DU160&lt;&gt;"",$DU160&amp;", ","")))-2)))))))</f>
        <v/>
      </c>
      <c r="N160" t="str">
        <f t="shared" si="1194"/>
        <v/>
      </c>
      <c r="O160" t="str">
        <f t="shared" si="1195"/>
        <v/>
      </c>
      <c r="P160" t="str">
        <f t="shared" si="1196"/>
        <v/>
      </c>
      <c r="Q160" t="str">
        <f t="shared" si="1197"/>
        <v/>
      </c>
      <c r="R160" t="str">
        <f>IF($Q160="","",IF(OR($BE160="",$BF160=""),"ONZEKER",IF(AND($BE160=0+1,$BF160=0),IF(OR(COUNTIF(#REF!,$B160)&gt;0,COUNTIF(#REF!,$B160)=0),"SKIP",IF(COUNTIFS(#REF!,$B160,#REF!,$Q160)&gt;0,"OK","ONBEKEND")),IF(AND($BE160=0,$BF160=0+1),IF(OR(COUNTIF(#REF!,$D160)&gt;0,COUNTIF(#REF!,$D160)=0),"SKIP",IF(COUNTIFS(#REF!,$D160,#REF!,$Q160)&gt;0,"OK","ONBEKEND")),"ONZEKER"))))</f>
        <v/>
      </c>
      <c r="S160" t="str">
        <f t="shared" si="1198"/>
        <v/>
      </c>
      <c r="T160" t="str">
        <f t="shared" si="1199"/>
        <v/>
      </c>
      <c r="U160" t="str">
        <f>IF($T160="","",IF(OR($BH160="",$BI160=""),"ONZEKER",IF(OR($BE160="",$BF160=""),"ONZEKER",IF(AND($BH160=$BE160+1,$BI160=$BF160),IF(OR(COUNTIF(#REF!,$B160)&gt;0,COUNTIF(#REF!,$B160)=0),"SKIP",IF(COUNTIFS(#REF!,$B160,#REF!,$T160)&gt;0,"OK","ONBEKEND")),IF(AND($BH160=$BE160,$BI160=$BF160+1),IF(OR(COUNTIF(#REF!,$D160)&gt;0,COUNTIF(#REF!,$D160)=0),"SKIP",IF(COUNTIFS(#REF!,$D160,#REF!,$T160)&gt;0,"OK","ONBEKEND")),"ONZEKER")))))</f>
        <v/>
      </c>
      <c r="V160" t="str">
        <f t="shared" si="1200"/>
        <v/>
      </c>
      <c r="W160" t="str">
        <f t="shared" si="1201"/>
        <v/>
      </c>
      <c r="X160" t="str">
        <f>IF($W160="","",IF(OR($BK160="",$BL160=""),"ONZEKER",IF(OR($BH160="",$BI160=""),"ONZEKER",IF(AND($BK160=$BH160+1,$BL160=$BI160),IF(OR(COUNTIF(#REF!,$B160)&gt;0,COUNTIF(#REF!,$B160)=0),"SKIP",IF(COUNTIFS(#REF!,$B160,#REF!,$W160)&gt;0,"OK","ONBEKEND")),IF(AND($BK160=$BH160,$BL160=$BI160+1),IF(OR(COUNTIF(#REF!,$D160)&gt;0,COUNTIF(#REF!,$D160)=0),"SKIP",IF(COUNTIFS(#REF!,$D160,#REF!,$W160)&gt;0,"OK","ONBEKEND")),"ONZEKER")))))</f>
        <v/>
      </c>
      <c r="Y160" t="str">
        <f t="shared" si="1202"/>
        <v/>
      </c>
      <c r="Z160" t="str">
        <f t="shared" si="1203"/>
        <v/>
      </c>
      <c r="AA160" t="str">
        <f>IF($Z160="","",IF(OR($BN160="",$BO160=""),"ONZEKER",IF(OR($BK160="",$BL160=""),"ONZEKER",IF(AND($BN160=$BK160+1,$BO160=$BL160),IF(OR(COUNTIF(#REF!,$B160)&gt;0,COUNTIF(#REF!,$B160)=0),"SKIP",IF(COUNTIFS(#REF!,$B160,#REF!,$Z160)&gt;0,"OK","ONBEKEND")),IF(AND($BN160=$BK160,$BO160=$BL160+1),IF(OR(COUNTIF(#REF!,$D160)&gt;0,COUNTIF(#REF!,$D160)=0),"SKIP",IF(COUNTIFS(#REF!,$D160,#REF!,$Z160)&gt;0,"OK","ONBEKEND")),"ONZEKER")))))</f>
        <v/>
      </c>
      <c r="AB160" t="str">
        <f t="shared" si="1204"/>
        <v/>
      </c>
      <c r="AC160" t="str">
        <f t="shared" si="1205"/>
        <v/>
      </c>
      <c r="AD160" t="str">
        <f>IF($AC160="","",IF(OR($BQ160="",$BR160=""),"ONZEKER",IF(OR($BN160="",$BO160=""),"ONZEKER",IF(AND($BQ160=$BN160+1,$BR160=$BO160),IF(OR(COUNTIF(#REF!,$B160)&gt;0,COUNTIF(#REF!,$B160)=0),"SKIP",IF(COUNTIFS(#REF!,$B160,#REF!,$AC160)&gt;0,"OK","ONBEKEND")),IF(AND($BQ160=$BN160,$BR160=$BO160+1),IF(OR(COUNTIF(#REF!,$D160)&gt;0,COUNTIF(#REF!,$D160)=0),"SKIP",IF(COUNTIFS(#REF!,$D160,#REF!,$AC160)&gt;0,"OK","ONBEKEND")),"ONZEKER")))))</f>
        <v/>
      </c>
      <c r="AE160" t="str">
        <f t="shared" si="1206"/>
        <v/>
      </c>
      <c r="AF160" t="str">
        <f t="shared" si="1207"/>
        <v/>
      </c>
      <c r="AG160" t="str">
        <f>IF($AF160="","",IF(OR($BT160="",$BU160=""),"ONZEKER",IF(OR($BQ160="",$BR160=""),"ONZEKER",IF(AND($BT160=$BQ160+1,$BU160=$BR160),IF(OR(COUNTIF(#REF!,$B160)&gt;0,COUNTIF(#REF!,$B160)=0),"SKIP",IF(COUNTIFS(#REF!,$B160,#REF!,$AF160)&gt;0,"OK","ONBEKEND")),IF(AND($BT160=$BQ160,$BU160=$BR160+1),IF(OR(COUNTIF(#REF!,$D160)&gt;0,COUNTIF(#REF!,$D160)=0),"SKIP",IF(COUNTIFS(#REF!,$D160,#REF!,$AF160)&gt;0,"OK","ONBEKEND")),"ONZEKER")))))</f>
        <v/>
      </c>
      <c r="AH160" t="str">
        <f t="shared" si="1208"/>
        <v/>
      </c>
      <c r="AI160" t="str">
        <f t="shared" si="1209"/>
        <v/>
      </c>
      <c r="AJ160" t="str">
        <f>IF($AI160="","",IF(OR($BW160="",$BX160=""),"ONZEKER",IF(OR($BT160="",$BU160=""),"ONZEKER",IF(AND($BW160=$BT160+1,$BX160=$BU160),IF(OR(COUNTIF(#REF!,$B160)&gt;0,COUNTIF(#REF!,$B160)=0),"SKIP",IF(COUNTIFS(#REF!,$B160,#REF!,$AI160)&gt;0,"OK","ONBEKEND")),IF(AND($BW160=$BT160,$BX160=$BU160+1),IF(OR(COUNTIF(#REF!,$D160)&gt;0,COUNTIF(#REF!,$D160)=0),"SKIP",IF(COUNTIFS(#REF!,$D160,#REF!,$AI160)&gt;0,"OK","ONBEKEND")),"ONZEKER")))))</f>
        <v/>
      </c>
      <c r="AK160" t="str">
        <f t="shared" si="1210"/>
        <v/>
      </c>
      <c r="AL160" t="str">
        <f t="shared" si="1211"/>
        <v/>
      </c>
      <c r="AM160" t="str">
        <f>IF($AL160="","",IF(OR($BZ160="",$CA160=""),"ONZEKER",IF(OR($BW160="",$BX160=""),"ONZEKER",IF(AND($BZ160=$BW160+1,$CA160=$BX160),IF(OR(COUNTIF(#REF!,$B160)&gt;0,COUNTIF(#REF!,$B160)=0),"SKIP",IF(COUNTIFS(#REF!,$B160,#REF!,$AL160)&gt;0,"OK","ONBEKEND")),IF(AND($BZ160=$BW160,$CA160=$BX160+1),IF(OR(COUNTIF(#REF!,$D160)&gt;0,COUNTIF(#REF!,$D160)=0),"SKIP",IF(COUNTIFS(#REF!,$D160,#REF!,$AL160)&gt;0,"OK","ONBEKEND")),"ONZEKER")))))</f>
        <v/>
      </c>
      <c r="AN160" t="str">
        <f t="shared" si="1212"/>
        <v/>
      </c>
      <c r="AO160" t="str">
        <f t="shared" si="1213"/>
        <v/>
      </c>
      <c r="AP160" t="str">
        <f>IF($AO160="","",IF(OR($CC160="",$CD160=""),"ONZEKER",IF(OR($BZ160="",$CA160=""),"ONZEKER",IF(AND($CC160=$BZ160+1,$CD160=$CA160),IF(OR(COUNTIF(#REF!,$B160)&gt;0,COUNTIF(#REF!,$B160)=0),"SKIP",IF(COUNTIFS(#REF!,$B160,#REF!,$AO160)&gt;0,"OK","ONBEKEND")),IF(AND($CC160=$BZ160,$CD160=$CA160+1),IF(OR(COUNTIF(#REF!,$D160)&gt;0,COUNTIF(#REF!,$D160)=0),"SKIP",IF(COUNTIFS(#REF!,$D160,#REF!,$AO160)&gt;0,"OK","ONBEKEND")),"ONZEKER")))))</f>
        <v/>
      </c>
      <c r="AQ160" t="str">
        <f t="shared" si="1214"/>
        <v/>
      </c>
      <c r="AR160" t="str">
        <f t="shared" si="1215"/>
        <v/>
      </c>
      <c r="AS160" t="str">
        <f>IF($AR160="","",IF(OR($CF160="",$CG160=""),"ONZEKER",IF(OR($CC160="",$CD160=""),"ONZEKER",IF(AND($CF160=$CC160+1,$CG160=$CD160),IF(OR(COUNTIF(#REF!,$B160)&gt;0,COUNTIF(#REF!,$B160)=0),"SKIP",IF(COUNTIFS(#REF!,$B160,#REF!,$AR160)&gt;0,"OK","ONBEKEND")),IF(AND($CF160=$CC160,$CG160=$CD160+1),IF(OR(COUNTIF(#REF!,$D160)&gt;0,COUNTIF(#REF!,$D160)=0),"SKIP",IF(COUNTIFS(#REF!,$D160,#REF!,$AR160)&gt;0,"OK","ONBEKEND")),"ONZEKER")))))</f>
        <v/>
      </c>
      <c r="AT160" t="str">
        <f t="shared" si="1216"/>
        <v/>
      </c>
      <c r="AU160" t="str">
        <f t="shared" si="1217"/>
        <v/>
      </c>
      <c r="AV160" t="str">
        <f t="shared" si="1218"/>
        <v/>
      </c>
      <c r="AW160" t="str">
        <f t="shared" si="1219"/>
        <v/>
      </c>
      <c r="AX160" t="str">
        <f t="shared" si="1220"/>
        <v/>
      </c>
      <c r="AY160" t="str">
        <f t="shared" si="1221"/>
        <v/>
      </c>
      <c r="AZ160" t="str">
        <f t="shared" si="1222"/>
        <v/>
      </c>
      <c r="BA160" t="str">
        <f t="shared" si="1223"/>
        <v/>
      </c>
      <c r="BB160" t="str">
        <f t="shared" si="1224"/>
        <v/>
      </c>
      <c r="BC160" t="str">
        <f t="shared" si="1225"/>
        <v/>
      </c>
      <c r="BD160" t="str">
        <f t="shared" si="980"/>
        <v/>
      </c>
      <c r="BE160" t="str">
        <f t="shared" si="981"/>
        <v/>
      </c>
      <c r="BF160" t="str">
        <f t="shared" si="982"/>
        <v/>
      </c>
      <c r="BG160" t="str">
        <f t="shared" si="983"/>
        <v/>
      </c>
      <c r="BH160" t="str">
        <f t="shared" si="984"/>
        <v/>
      </c>
      <c r="BI160" t="str">
        <f t="shared" si="985"/>
        <v/>
      </c>
      <c r="BJ160" t="str">
        <f t="shared" si="986"/>
        <v/>
      </c>
      <c r="BK160" t="str">
        <f t="shared" si="987"/>
        <v/>
      </c>
      <c r="BL160" t="str">
        <f t="shared" si="988"/>
        <v/>
      </c>
      <c r="BM160" t="str">
        <f t="shared" si="989"/>
        <v/>
      </c>
      <c r="BN160" t="str">
        <f t="shared" si="990"/>
        <v/>
      </c>
      <c r="BO160" t="str">
        <f t="shared" si="991"/>
        <v/>
      </c>
      <c r="BP160" t="str">
        <f t="shared" si="992"/>
        <v/>
      </c>
      <c r="BQ160" t="str">
        <f t="shared" si="993"/>
        <v/>
      </c>
      <c r="BR160" t="str">
        <f t="shared" si="994"/>
        <v/>
      </c>
      <c r="BS160" t="str">
        <f t="shared" si="995"/>
        <v/>
      </c>
      <c r="BT160" t="str">
        <f t="shared" si="996"/>
        <v/>
      </c>
      <c r="BU160" t="str">
        <f t="shared" si="997"/>
        <v/>
      </c>
      <c r="BV160" t="str">
        <f t="shared" si="998"/>
        <v/>
      </c>
      <c r="BW160" t="str">
        <f t="shared" si="999"/>
        <v/>
      </c>
      <c r="BX160" t="str">
        <f t="shared" si="1000"/>
        <v/>
      </c>
      <c r="BY160" t="str">
        <f t="shared" si="1001"/>
        <v/>
      </c>
      <c r="BZ160" t="str">
        <f t="shared" si="1002"/>
        <v/>
      </c>
      <c r="CA160" t="str">
        <f t="shared" si="1003"/>
        <v/>
      </c>
      <c r="CB160" t="str">
        <f t="shared" si="1004"/>
        <v/>
      </c>
      <c r="CC160" t="str">
        <f t="shared" si="1005"/>
        <v/>
      </c>
      <c r="CD160" t="str">
        <f t="shared" si="1006"/>
        <v/>
      </c>
      <c r="CE160" t="str">
        <f t="shared" si="1007"/>
        <v/>
      </c>
      <c r="CF160" t="str">
        <f t="shared" si="1008"/>
        <v/>
      </c>
      <c r="CG160" t="str">
        <f t="shared" si="1009"/>
        <v/>
      </c>
      <c r="CH160" t="str">
        <f t="shared" si="1226"/>
        <v/>
      </c>
      <c r="CI160" t="str">
        <f t="shared" si="1227"/>
        <v/>
      </c>
      <c r="CJ160" t="str">
        <f>IF($CI160="","",IF(OR($DW160="",$DX160=""),"ONZEKER",IF(OR($CF160="",$CG160=""),"ONZEKER",IF(AND($DW160=$CF160+1,$DX160=$CG160),IF(OR(COUNTIF(#REF!,$B160)&gt;0,COUNTIF(#REF!,$B160)=0),"SKIP",IF(COUNTIFS(#REF!,$B160,#REF!,$CI160)&gt;0,"OK","ONBEKEND")),IF(AND($DW160=$CF160,$DX160=$CG160+1),IF(OR(COUNTIF(#REF!,$D160)&gt;0,COUNTIF(#REF!,$D160)=0),"SKIP",IF(COUNTIFS(#REF!,$D160,#REF!,$CI160)&gt;0,"OK","ONBEKEND")),"ONZEKER")))))</f>
        <v/>
      </c>
      <c r="CK160" t="str">
        <f t="shared" si="1228"/>
        <v/>
      </c>
      <c r="CL160" t="str">
        <f t="shared" si="1229"/>
        <v/>
      </c>
      <c r="CM160" t="str">
        <f>IF($CL160="","",IF(OR($DZ160="",$EA160=""),"ONZEKER",IF(OR($DW160="",$DX160=""),"ONZEKER",IF(AND($DZ160=$DW160+1,$EA160=$DX160),IF(OR(COUNTIF(#REF!,$B160)&gt;0,COUNTIF(#REF!,$B160)=0),"SKIP",IF(COUNTIFS(#REF!,$B160,#REF!,$CL160)&gt;0,"OK","ONBEKEND")),IF(AND($DZ160=$DW160,$EA160=$DX160+1),IF(OR(COUNTIF(#REF!,$D160)&gt;0,COUNTIF(#REF!,$D160)=0),"SKIP",IF(COUNTIFS(#REF!,$D160,#REF!,$CL160)&gt;0,"OK","ONBEKEND")),"ONZEKER")))))</f>
        <v/>
      </c>
      <c r="CN160" t="str">
        <f t="shared" si="1230"/>
        <v/>
      </c>
      <c r="CO160" t="str">
        <f t="shared" si="1231"/>
        <v/>
      </c>
      <c r="CP160" t="str">
        <f>IF($CO160="","",IF(OR($EC160="",$ED160=""),"ONZEKER",IF(OR($DZ160="",$EA160=""),"ONZEKER",IF(AND($EC160=$DZ160+1,$ED160=$EA160),IF(OR(COUNTIF(#REF!,$B160)&gt;0,COUNTIF(#REF!,$B160)=0),"SKIP",IF(COUNTIFS(#REF!,$B160,#REF!,$CO160)&gt;0,"OK","ONBEKEND")),IF(AND($EC160=$DZ160,$ED160=$EA160+1),IF(OR(COUNTIF(#REF!,$D160)&gt;0,COUNTIF(#REF!,$D160)=0),"SKIP",IF(COUNTIFS(#REF!,$D160,#REF!,$CO160)&gt;0,"OK","ONBEKEND")),"ONZEKER")))))</f>
        <v/>
      </c>
      <c r="CQ160" t="str">
        <f t="shared" si="1232"/>
        <v/>
      </c>
      <c r="CR160" t="str">
        <f t="shared" si="1233"/>
        <v/>
      </c>
      <c r="CS160" t="str">
        <f>IF($CR160="","",IF(OR($EF160="",$EG160=""),"ONZEKER",IF(OR($EC160="",$ED160=""),"ONZEKER",IF(AND($EF160=$EC160+1,$EG160=$ED160),IF(OR(COUNTIF(#REF!,$B160)&gt;0,COUNTIF(#REF!,$B160)=0),"SKIP",IF(COUNTIFS(#REF!,$B160,#REF!,$CR160)&gt;0,"OK","ONBEKEND")),IF(AND($EF160=$EC160,$EG160=$ED160+1),IF(OR(COUNTIF(#REF!,$D160)&gt;0,COUNTIF(#REF!,$D160)=0),"SKIP",IF(COUNTIFS(#REF!,$D160,#REF!,$CR160)&gt;0,"OK","ONBEKEND")),"ONZEKER")))))</f>
        <v/>
      </c>
      <c r="CT160" t="str">
        <f t="shared" si="1234"/>
        <v/>
      </c>
      <c r="CU160" t="str">
        <f t="shared" si="1235"/>
        <v/>
      </c>
      <c r="CV160" t="str">
        <f>IF($CU160="","",IF(OR($EI160="",$EJ160=""),"ONZEKER",IF(OR($EF160="",$EG160=""),"ONZEKER",IF(AND($EI160=$EF160+1,$EJ160=$EG160),IF(OR(COUNTIF(#REF!,$B160)&gt;0,COUNTIF(#REF!,$B160)=0),"SKIP",IF(COUNTIFS(#REF!,$B160,#REF!,$CU160)&gt;0,"OK","ONBEKEND")),IF(AND($EI160=$EF160,$EJ160=$EG160+1),IF(OR(COUNTIF(#REF!,$D160)&gt;0,COUNTIF(#REF!,$D160)=0),"SKIP",IF(COUNTIFS(#REF!,$D160,#REF!,$CU160)&gt;0,"OK","ONBEKEND")),"ONZEKER")))))</f>
        <v/>
      </c>
      <c r="CW160" t="str">
        <f t="shared" si="1236"/>
        <v/>
      </c>
      <c r="CX160" t="str">
        <f t="shared" si="1237"/>
        <v/>
      </c>
      <c r="CY160" t="str">
        <f>IF($CX160="","",IF(OR($EL160="",$EM160=""),"ONZEKER",IF(OR($EI160="",$EJ160=""),"ONZEKER",IF(AND($EL160=$EI160+1,$EM160=$EJ160),IF(OR(COUNTIF(#REF!,$B160)&gt;0,COUNTIF(#REF!,$B160)=0),"SKIP",IF(COUNTIFS(#REF!,$B160,#REF!,$CX160)&gt;0,"OK","ONBEKEND")),IF(AND($EL160=$EI160,$EM160=$EJ160+1),IF(OR(COUNTIF(#REF!,$D160)&gt;0,COUNTIF(#REF!,$D160)=0),"SKIP",IF(COUNTIFS(#REF!,$D160,#REF!,$CX160)&gt;0,"OK","ONBEKEND")),"ONZEKER")))))</f>
        <v/>
      </c>
      <c r="CZ160" t="str">
        <f t="shared" si="1238"/>
        <v/>
      </c>
      <c r="DA160" t="str">
        <f t="shared" si="1239"/>
        <v/>
      </c>
      <c r="DB160" t="str">
        <f>IF($DA160="","",IF(OR($EO160="",$EP160=""),"ONZEKER",IF(OR($EL160="",$EM160=""),"ONZEKER",IF(AND($EO160=$EL160+1,$EP160=$EM160),IF(OR(COUNTIF(#REF!,$B160)&gt;0,COUNTIF(#REF!,$B160)=0),"SKIP",IF(COUNTIFS(#REF!,$B160,#REF!,$DA160)&gt;0,"OK","ONBEKEND")),IF(AND($EO160=$EL160,$EP160=$EM160+1),IF(OR(COUNTIF(#REF!,$D160)&gt;0,COUNTIF(#REF!,$D160)=0),"SKIP",IF(COUNTIFS(#REF!,$D160,#REF!,$DA160)&gt;0,"OK","ONBEKEND")),"ONZEKER")))))</f>
        <v/>
      </c>
      <c r="DC160" t="str">
        <f t="shared" si="1240"/>
        <v/>
      </c>
      <c r="DD160" t="str">
        <f t="shared" si="1241"/>
        <v/>
      </c>
      <c r="DE160" t="str">
        <f>IF($DD160="","",IF(OR($ER160="",$ES160=""),"ONZEKER",IF(OR($EO160="",$EP160=""),"ONZEKER",IF(AND($ER160=$EO160+1,$ES160=$EP160),IF(OR(COUNTIF(#REF!,$B160)&gt;0,COUNTIF(#REF!,$B160)=0),"SKIP",IF(COUNTIFS(#REF!,$B160,#REF!,$DD160)&gt;0,"OK","ONBEKEND")),IF(AND($ER160=$EO160,$ES160=$EP160+1),IF(OR(COUNTIF(#REF!,$D160)&gt;0,COUNTIF(#REF!,$D160)=0),"SKIP",IF(COUNTIFS(#REF!,$D160,#REF!,$DD160)&gt;0,"OK","ONBEKEND")),"ONZEKER")))))</f>
        <v/>
      </c>
      <c r="DF160" t="str">
        <f t="shared" si="1242"/>
        <v/>
      </c>
      <c r="DG160" t="str">
        <f t="shared" si="1243"/>
        <v/>
      </c>
      <c r="DH160" t="str">
        <f>IF($DG160="","",IF(OR($EU160="",$EV160=""),"ONZEKER",IF(OR($ER160="",$ES160=""),"ONZEKER",IF(AND($EU160=$ER160+1,$EV160=$ES160),IF(OR(COUNTIF(#REF!,$B160)&gt;0,COUNTIF(#REF!,$B160)=0),"SKIP",IF(COUNTIFS(#REF!,$B160,#REF!,$DG160)&gt;0,"OK","ONBEKEND")),IF(AND($EU160=$ER160,$EV160=$ES160+1),IF(OR(COUNTIF(#REF!,$D160)&gt;0,COUNTIF(#REF!,$D160)=0),"SKIP",IF(COUNTIFS(#REF!,$D160,#REF!,$DG160)&gt;0,"OK","ONBEKEND")),"ONZEKER")))))</f>
        <v/>
      </c>
      <c r="DI160" t="str">
        <f t="shared" si="1244"/>
        <v/>
      </c>
      <c r="DJ160" t="str">
        <f t="shared" si="1245"/>
        <v/>
      </c>
      <c r="DK160" t="str">
        <f>IF($DJ160="","",IF(OR($EX160="",$EY160=""),"ONZEKER",IF(OR($EU160="",$EV160=""),"ONZEKER",IF(AND($EX160=$EU160+1,$EY160=$EV160),IF(OR(COUNTIF(#REF!,$B160)&gt;0,COUNTIF(#REF!,$B160)=0),"SKIP",IF(COUNTIFS(#REF!,$B160,#REF!,$DJ160)&gt;0,"OK","ONBEKEND")),IF(AND($EX160=$EU160,$EY160=$EV160+1),IF(OR(COUNTIF(#REF!,$D160)&gt;0,COUNTIF(#REF!,$D160)=0),"SKIP",IF(COUNTIFS(#REF!,$D160,#REF!,$DJ160)&gt;0,"OK","ONBEKEND")),"ONZEKER")))))</f>
        <v/>
      </c>
      <c r="DL160" t="str">
        <f t="shared" si="1246"/>
        <v/>
      </c>
      <c r="DM160" t="str">
        <f t="shared" si="1247"/>
        <v/>
      </c>
      <c r="DN160" t="str">
        <f t="shared" si="1248"/>
        <v/>
      </c>
      <c r="DO160" t="str">
        <f t="shared" si="1249"/>
        <v/>
      </c>
      <c r="DP160" t="str">
        <f t="shared" si="1250"/>
        <v/>
      </c>
      <c r="DQ160" t="str">
        <f t="shared" si="1251"/>
        <v/>
      </c>
      <c r="DR160" t="str">
        <f t="shared" si="1252"/>
        <v/>
      </c>
      <c r="DS160" t="str">
        <f t="shared" si="1253"/>
        <v/>
      </c>
      <c r="DT160" t="str">
        <f t="shared" si="1254"/>
        <v/>
      </c>
      <c r="DU160" t="str">
        <f t="shared" si="1255"/>
        <v/>
      </c>
      <c r="DV160" t="str">
        <f t="shared" si="1256"/>
        <v/>
      </c>
      <c r="DW160" t="str">
        <f t="shared" si="1257"/>
        <v/>
      </c>
      <c r="DX160" t="str">
        <f t="shared" si="1258"/>
        <v/>
      </c>
      <c r="DY160" t="str">
        <f t="shared" si="1259"/>
        <v/>
      </c>
      <c r="DZ160" t="str">
        <f t="shared" si="1260"/>
        <v/>
      </c>
      <c r="EA160" t="str">
        <f t="shared" si="1261"/>
        <v/>
      </c>
      <c r="EB160" t="str">
        <f t="shared" si="1262"/>
        <v/>
      </c>
      <c r="EC160" t="str">
        <f t="shared" si="1263"/>
        <v/>
      </c>
      <c r="ED160" t="str">
        <f t="shared" si="1264"/>
        <v/>
      </c>
      <c r="EE160" t="str">
        <f t="shared" si="1265"/>
        <v/>
      </c>
      <c r="EF160" t="str">
        <f t="shared" si="1266"/>
        <v/>
      </c>
      <c r="EG160" t="str">
        <f t="shared" si="1267"/>
        <v/>
      </c>
      <c r="EH160" t="str">
        <f t="shared" si="1268"/>
        <v/>
      </c>
      <c r="EI160" t="str">
        <f t="shared" si="1269"/>
        <v/>
      </c>
      <c r="EJ160" t="str">
        <f t="shared" si="1270"/>
        <v/>
      </c>
      <c r="EK160" t="str">
        <f t="shared" si="1271"/>
        <v/>
      </c>
      <c r="EL160" t="str">
        <f t="shared" si="1272"/>
        <v/>
      </c>
      <c r="EM160" t="str">
        <f t="shared" si="1273"/>
        <v/>
      </c>
      <c r="EN160" t="str">
        <f t="shared" si="1274"/>
        <v/>
      </c>
      <c r="EO160" t="str">
        <f t="shared" si="1275"/>
        <v/>
      </c>
      <c r="EP160" t="str">
        <f t="shared" si="1276"/>
        <v/>
      </c>
      <c r="EQ160" t="str">
        <f t="shared" si="1277"/>
        <v/>
      </c>
      <c r="ER160" t="str">
        <f t="shared" si="1278"/>
        <v/>
      </c>
      <c r="ES160" t="str">
        <f t="shared" si="1279"/>
        <v/>
      </c>
      <c r="ET160" t="str">
        <f t="shared" si="1280"/>
        <v/>
      </c>
      <c r="EU160" t="str">
        <f t="shared" si="1281"/>
        <v/>
      </c>
      <c r="EV160" t="str">
        <f t="shared" si="1282"/>
        <v/>
      </c>
      <c r="EW160" t="str">
        <f t="shared" si="1283"/>
        <v/>
      </c>
      <c r="EX160" t="str">
        <f t="shared" si="1284"/>
        <v/>
      </c>
      <c r="EY160" t="str">
        <f t="shared" si="1285"/>
        <v/>
      </c>
    </row>
    <row r="161" spans="1:155" ht="13.9" customHeight="1" x14ac:dyDescent="0.25">
      <c r="A161" s="7"/>
      <c r="B161" s="17"/>
      <c r="C161" s="8"/>
      <c r="D161" s="17"/>
      <c r="E161" s="8"/>
      <c r="F161" s="18">
        <v>0</v>
      </c>
      <c r="G161" s="7" t="s">
        <v>147</v>
      </c>
      <c r="H161" s="18">
        <v>0</v>
      </c>
      <c r="I161" s="19">
        <v>0</v>
      </c>
      <c r="J161" s="7" t="s">
        <v>147</v>
      </c>
      <c r="K161" s="19">
        <v>0</v>
      </c>
      <c r="L161" s="9"/>
      <c r="M161" s="3" t="str">
        <f>IF($L161="","",IF($L161="DOELPUNTENMAKERS","",IF(AND(COUNTIF(#REF!,$B161)=0,COUNTIF(#REF!,$D161)=0),"OK",IF($O161&gt;20,"LET OP: meer dan 20 items (controle onvolledig)",IF((COUNTIF($R161:$AS161,"ONZEKER")+COUNTIF($CJ161:$DK161,"ONZEKER"))&gt;0,"LET OP: scoreverloop onduidelijk (controle beperkt)",IF((IF($AT161&lt;&gt;"",$AT161&amp;", ","")&amp;IF($AU161&lt;&gt;"",$AU161&amp;", ","")&amp;IF($AV161&lt;&gt;"",$AV161&amp;", ","")&amp;IF($AW161&lt;&gt;"",$AW161&amp;", ","")&amp;IF($AX161&lt;&gt;"",$AX161&amp;", ","")&amp;IF($AY161&lt;&gt;"",$AY161&amp;", ","")&amp;IF($AZ161&lt;&gt;"",$AZ161&amp;", ","")&amp;IF($BA161&lt;&gt;"",$BA161&amp;", ","")&amp;IF($BB161&lt;&gt;"",$BB161&amp;", ","")&amp;IF($BC161&lt;&gt;"",$BC161&amp;", ","")&amp;IF($DL161&lt;&gt;"",$DL161&amp;", ","")&amp;IF($DM161&lt;&gt;"",$DM161&amp;", ","")&amp;IF($DN161&lt;&gt;"",$DN161&amp;", ","")&amp;IF($DO161&lt;&gt;"",$DO161&amp;", ","")&amp;IF($DP161&lt;&gt;"",$DP161&amp;", ","")&amp;IF($DQ161&lt;&gt;"",$DQ161&amp;", ","")&amp;IF($DR161&lt;&gt;"",$DR161&amp;", ","")&amp;IF($DS161&lt;&gt;"",$DS161&amp;", ","")&amp;IF($DT161&lt;&gt;"",$DT161&amp;", ","")&amp;IF($DU161&lt;&gt;"",$DU161&amp;", ",""))="","OK","Onbekend: "&amp;LEFT((IF($AT161&lt;&gt;"",$AT161&amp;", ","")&amp;IF($AU161&lt;&gt;"",$AU161&amp;", ","")&amp;IF($AV161&lt;&gt;"",$AV161&amp;", ","")&amp;IF($AW161&lt;&gt;"",$AW161&amp;", ","")&amp;IF($AX161&lt;&gt;"",$AX161&amp;", ","")&amp;IF($AY161&lt;&gt;"",$AY161&amp;", ","")&amp;IF($AZ161&lt;&gt;"",$AZ161&amp;", ","")&amp;IF($BA161&lt;&gt;"",$BA161&amp;", ","")&amp;IF($BB161&lt;&gt;"",$BB161&amp;", ","")&amp;IF($BC161&lt;&gt;"",$BC161&amp;", ","")&amp;IF($DL161&lt;&gt;"",$DL161&amp;", ","")&amp;IF($DM161&lt;&gt;"",$DM161&amp;", ","")&amp;IF($DN161&lt;&gt;"",$DN161&amp;", ","")&amp;IF($DO161&lt;&gt;"",$DO161&amp;", ","")&amp;IF($DP161&lt;&gt;"",$DP161&amp;", ","")&amp;IF($DQ161&lt;&gt;"",$DQ161&amp;", ","")&amp;IF($DR161&lt;&gt;"",$DR161&amp;", ","")&amp;IF($DS161&lt;&gt;"",$DS161&amp;", ","")&amp;IF($DT161&lt;&gt;"",$DT161&amp;", ","")&amp;IF($DU161&lt;&gt;"",$DU161&amp;", ","")),LEN((IF($AT161&lt;&gt;"",$AT161&amp;", ","")&amp;IF($AU161&lt;&gt;"",$AU161&amp;", ","")&amp;IF($AV161&lt;&gt;"",$AV161&amp;", ","")&amp;IF($AW161&lt;&gt;"",$AW161&amp;", ","")&amp;IF($AX161&lt;&gt;"",$AX161&amp;", ","")&amp;IF($AY161&lt;&gt;"",$AY161&amp;", ","")&amp;IF($AZ161&lt;&gt;"",$AZ161&amp;", ","")&amp;IF($BA161&lt;&gt;"",$BA161&amp;", ","")&amp;IF($BB161&lt;&gt;"",$BB161&amp;", ","")&amp;IF($BC161&lt;&gt;"",$BC161&amp;", ","")&amp;IF($DL161&lt;&gt;"",$DL161&amp;", ","")&amp;IF($DM161&lt;&gt;"",$DM161&amp;", ","")&amp;IF($DN161&lt;&gt;"",$DN161&amp;", ","")&amp;IF($DO161&lt;&gt;"",$DO161&amp;", ","")&amp;IF($DP161&lt;&gt;"",$DP161&amp;", ","")&amp;IF($DQ161&lt;&gt;"",$DQ161&amp;", ","")&amp;IF($DR161&lt;&gt;"",$DR161&amp;", ","")&amp;IF($DS161&lt;&gt;"",$DS161&amp;", ","")&amp;IF($DT161&lt;&gt;"",$DT161&amp;", ","")&amp;IF($DU161&lt;&gt;"",$DU161&amp;", ","")))-2)))))))</f>
        <v/>
      </c>
      <c r="N161" t="str">
        <f t="shared" si="1194"/>
        <v/>
      </c>
      <c r="O161" t="str">
        <f t="shared" si="1195"/>
        <v/>
      </c>
      <c r="P161" t="str">
        <f t="shared" si="1196"/>
        <v/>
      </c>
      <c r="Q161" t="str">
        <f t="shared" si="1197"/>
        <v/>
      </c>
      <c r="R161" t="str">
        <f>IF($Q161="","",IF(OR($BE161="",$BF161=""),"ONZEKER",IF(AND($BE161=0+1,$BF161=0),IF(OR(COUNTIF(#REF!,$B161)&gt;0,COUNTIF(#REF!,$B161)=0),"SKIP",IF(COUNTIFS(#REF!,$B161,#REF!,$Q161)&gt;0,"OK","ONBEKEND")),IF(AND($BE161=0,$BF161=0+1),IF(OR(COUNTIF(#REF!,$D161)&gt;0,COUNTIF(#REF!,$D161)=0),"SKIP",IF(COUNTIFS(#REF!,$D161,#REF!,$Q161)&gt;0,"OK","ONBEKEND")),"ONZEKER"))))</f>
        <v/>
      </c>
      <c r="S161" t="str">
        <f t="shared" si="1198"/>
        <v/>
      </c>
      <c r="T161" t="str">
        <f t="shared" si="1199"/>
        <v/>
      </c>
      <c r="U161" t="str">
        <f>IF($T161="","",IF(OR($BH161="",$BI161=""),"ONZEKER",IF(OR($BE161="",$BF161=""),"ONZEKER",IF(AND($BH161=$BE161+1,$BI161=$BF161),IF(OR(COUNTIF(#REF!,$B161)&gt;0,COUNTIF(#REF!,$B161)=0),"SKIP",IF(COUNTIFS(#REF!,$B161,#REF!,$T161)&gt;0,"OK","ONBEKEND")),IF(AND($BH161=$BE161,$BI161=$BF161+1),IF(OR(COUNTIF(#REF!,$D161)&gt;0,COUNTIF(#REF!,$D161)=0),"SKIP",IF(COUNTIFS(#REF!,$D161,#REF!,$T161)&gt;0,"OK","ONBEKEND")),"ONZEKER")))))</f>
        <v/>
      </c>
      <c r="V161" t="str">
        <f t="shared" si="1200"/>
        <v/>
      </c>
      <c r="W161" t="str">
        <f t="shared" si="1201"/>
        <v/>
      </c>
      <c r="X161" t="str">
        <f>IF($W161="","",IF(OR($BK161="",$BL161=""),"ONZEKER",IF(OR($BH161="",$BI161=""),"ONZEKER",IF(AND($BK161=$BH161+1,$BL161=$BI161),IF(OR(COUNTIF(#REF!,$B161)&gt;0,COUNTIF(#REF!,$B161)=0),"SKIP",IF(COUNTIFS(#REF!,$B161,#REF!,$W161)&gt;0,"OK","ONBEKEND")),IF(AND($BK161=$BH161,$BL161=$BI161+1),IF(OR(COUNTIF(#REF!,$D161)&gt;0,COUNTIF(#REF!,$D161)=0),"SKIP",IF(COUNTIFS(#REF!,$D161,#REF!,$W161)&gt;0,"OK","ONBEKEND")),"ONZEKER")))))</f>
        <v/>
      </c>
      <c r="Y161" t="str">
        <f t="shared" si="1202"/>
        <v/>
      </c>
      <c r="Z161" t="str">
        <f t="shared" si="1203"/>
        <v/>
      </c>
      <c r="AA161" t="str">
        <f>IF($Z161="","",IF(OR($BN161="",$BO161=""),"ONZEKER",IF(OR($BK161="",$BL161=""),"ONZEKER",IF(AND($BN161=$BK161+1,$BO161=$BL161),IF(OR(COUNTIF(#REF!,$B161)&gt;0,COUNTIF(#REF!,$B161)=0),"SKIP",IF(COUNTIFS(#REF!,$B161,#REF!,$Z161)&gt;0,"OK","ONBEKEND")),IF(AND($BN161=$BK161,$BO161=$BL161+1),IF(OR(COUNTIF(#REF!,$D161)&gt;0,COUNTIF(#REF!,$D161)=0),"SKIP",IF(COUNTIFS(#REF!,$D161,#REF!,$Z161)&gt;0,"OK","ONBEKEND")),"ONZEKER")))))</f>
        <v/>
      </c>
      <c r="AB161" t="str">
        <f t="shared" si="1204"/>
        <v/>
      </c>
      <c r="AC161" t="str">
        <f t="shared" si="1205"/>
        <v/>
      </c>
      <c r="AD161" t="str">
        <f>IF($AC161="","",IF(OR($BQ161="",$BR161=""),"ONZEKER",IF(OR($BN161="",$BO161=""),"ONZEKER",IF(AND($BQ161=$BN161+1,$BR161=$BO161),IF(OR(COUNTIF(#REF!,$B161)&gt;0,COUNTIF(#REF!,$B161)=0),"SKIP",IF(COUNTIFS(#REF!,$B161,#REF!,$AC161)&gt;0,"OK","ONBEKEND")),IF(AND($BQ161=$BN161,$BR161=$BO161+1),IF(OR(COUNTIF(#REF!,$D161)&gt;0,COUNTIF(#REF!,$D161)=0),"SKIP",IF(COUNTIFS(#REF!,$D161,#REF!,$AC161)&gt;0,"OK","ONBEKEND")),"ONZEKER")))))</f>
        <v/>
      </c>
      <c r="AE161" t="str">
        <f t="shared" si="1206"/>
        <v/>
      </c>
      <c r="AF161" t="str">
        <f t="shared" si="1207"/>
        <v/>
      </c>
      <c r="AG161" t="str">
        <f>IF($AF161="","",IF(OR($BT161="",$BU161=""),"ONZEKER",IF(OR($BQ161="",$BR161=""),"ONZEKER",IF(AND($BT161=$BQ161+1,$BU161=$BR161),IF(OR(COUNTIF(#REF!,$B161)&gt;0,COUNTIF(#REF!,$B161)=0),"SKIP",IF(COUNTIFS(#REF!,$B161,#REF!,$AF161)&gt;0,"OK","ONBEKEND")),IF(AND($BT161=$BQ161,$BU161=$BR161+1),IF(OR(COUNTIF(#REF!,$D161)&gt;0,COUNTIF(#REF!,$D161)=0),"SKIP",IF(COUNTIFS(#REF!,$D161,#REF!,$AF161)&gt;0,"OK","ONBEKEND")),"ONZEKER")))))</f>
        <v/>
      </c>
      <c r="AH161" t="str">
        <f t="shared" si="1208"/>
        <v/>
      </c>
      <c r="AI161" t="str">
        <f t="shared" si="1209"/>
        <v/>
      </c>
      <c r="AJ161" t="str">
        <f>IF($AI161="","",IF(OR($BW161="",$BX161=""),"ONZEKER",IF(OR($BT161="",$BU161=""),"ONZEKER",IF(AND($BW161=$BT161+1,$BX161=$BU161),IF(OR(COUNTIF(#REF!,$B161)&gt;0,COUNTIF(#REF!,$B161)=0),"SKIP",IF(COUNTIFS(#REF!,$B161,#REF!,$AI161)&gt;0,"OK","ONBEKEND")),IF(AND($BW161=$BT161,$BX161=$BU161+1),IF(OR(COUNTIF(#REF!,$D161)&gt;0,COUNTIF(#REF!,$D161)=0),"SKIP",IF(COUNTIFS(#REF!,$D161,#REF!,$AI161)&gt;0,"OK","ONBEKEND")),"ONZEKER")))))</f>
        <v/>
      </c>
      <c r="AK161" t="str">
        <f t="shared" si="1210"/>
        <v/>
      </c>
      <c r="AL161" t="str">
        <f t="shared" si="1211"/>
        <v/>
      </c>
      <c r="AM161" t="str">
        <f>IF($AL161="","",IF(OR($BZ161="",$CA161=""),"ONZEKER",IF(OR($BW161="",$BX161=""),"ONZEKER",IF(AND($BZ161=$BW161+1,$CA161=$BX161),IF(OR(COUNTIF(#REF!,$B161)&gt;0,COUNTIF(#REF!,$B161)=0),"SKIP",IF(COUNTIFS(#REF!,$B161,#REF!,$AL161)&gt;0,"OK","ONBEKEND")),IF(AND($BZ161=$BW161,$CA161=$BX161+1),IF(OR(COUNTIF(#REF!,$D161)&gt;0,COUNTIF(#REF!,$D161)=0),"SKIP",IF(COUNTIFS(#REF!,$D161,#REF!,$AL161)&gt;0,"OK","ONBEKEND")),"ONZEKER")))))</f>
        <v/>
      </c>
      <c r="AN161" t="str">
        <f t="shared" si="1212"/>
        <v/>
      </c>
      <c r="AO161" t="str">
        <f t="shared" si="1213"/>
        <v/>
      </c>
      <c r="AP161" t="str">
        <f>IF($AO161="","",IF(OR($CC161="",$CD161=""),"ONZEKER",IF(OR($BZ161="",$CA161=""),"ONZEKER",IF(AND($CC161=$BZ161+1,$CD161=$CA161),IF(OR(COUNTIF(#REF!,$B161)&gt;0,COUNTIF(#REF!,$B161)=0),"SKIP",IF(COUNTIFS(#REF!,$B161,#REF!,$AO161)&gt;0,"OK","ONBEKEND")),IF(AND($CC161=$BZ161,$CD161=$CA161+1),IF(OR(COUNTIF(#REF!,$D161)&gt;0,COUNTIF(#REF!,$D161)=0),"SKIP",IF(COUNTIFS(#REF!,$D161,#REF!,$AO161)&gt;0,"OK","ONBEKEND")),"ONZEKER")))))</f>
        <v/>
      </c>
      <c r="AQ161" t="str">
        <f t="shared" si="1214"/>
        <v/>
      </c>
      <c r="AR161" t="str">
        <f t="shared" si="1215"/>
        <v/>
      </c>
      <c r="AS161" t="str">
        <f>IF($AR161="","",IF(OR($CF161="",$CG161=""),"ONZEKER",IF(OR($CC161="",$CD161=""),"ONZEKER",IF(AND($CF161=$CC161+1,$CG161=$CD161),IF(OR(COUNTIF(#REF!,$B161)&gt;0,COUNTIF(#REF!,$B161)=0),"SKIP",IF(COUNTIFS(#REF!,$B161,#REF!,$AR161)&gt;0,"OK","ONBEKEND")),IF(AND($CF161=$CC161,$CG161=$CD161+1),IF(OR(COUNTIF(#REF!,$D161)&gt;0,COUNTIF(#REF!,$D161)=0),"SKIP",IF(COUNTIFS(#REF!,$D161,#REF!,$AR161)&gt;0,"OK","ONBEKEND")),"ONZEKER")))))</f>
        <v/>
      </c>
      <c r="AT161" t="str">
        <f t="shared" si="1216"/>
        <v/>
      </c>
      <c r="AU161" t="str">
        <f t="shared" si="1217"/>
        <v/>
      </c>
      <c r="AV161" t="str">
        <f t="shared" si="1218"/>
        <v/>
      </c>
      <c r="AW161" t="str">
        <f t="shared" si="1219"/>
        <v/>
      </c>
      <c r="AX161" t="str">
        <f t="shared" si="1220"/>
        <v/>
      </c>
      <c r="AY161" t="str">
        <f t="shared" si="1221"/>
        <v/>
      </c>
      <c r="AZ161" t="str">
        <f t="shared" si="1222"/>
        <v/>
      </c>
      <c r="BA161" t="str">
        <f t="shared" si="1223"/>
        <v/>
      </c>
      <c r="BB161" t="str">
        <f t="shared" si="1224"/>
        <v/>
      </c>
      <c r="BC161" t="str">
        <f t="shared" si="1225"/>
        <v/>
      </c>
      <c r="BD161" t="str">
        <f t="shared" si="980"/>
        <v/>
      </c>
      <c r="BE161" t="str">
        <f t="shared" si="981"/>
        <v/>
      </c>
      <c r="BF161" t="str">
        <f t="shared" si="982"/>
        <v/>
      </c>
      <c r="BG161" t="str">
        <f t="shared" si="983"/>
        <v/>
      </c>
      <c r="BH161" t="str">
        <f t="shared" si="984"/>
        <v/>
      </c>
      <c r="BI161" t="str">
        <f t="shared" si="985"/>
        <v/>
      </c>
      <c r="BJ161" t="str">
        <f t="shared" si="986"/>
        <v/>
      </c>
      <c r="BK161" t="str">
        <f t="shared" si="987"/>
        <v/>
      </c>
      <c r="BL161" t="str">
        <f t="shared" si="988"/>
        <v/>
      </c>
      <c r="BM161" t="str">
        <f t="shared" si="989"/>
        <v/>
      </c>
      <c r="BN161" t="str">
        <f t="shared" si="990"/>
        <v/>
      </c>
      <c r="BO161" t="str">
        <f t="shared" si="991"/>
        <v/>
      </c>
      <c r="BP161" t="str">
        <f t="shared" si="992"/>
        <v/>
      </c>
      <c r="BQ161" t="str">
        <f t="shared" si="993"/>
        <v/>
      </c>
      <c r="BR161" t="str">
        <f t="shared" si="994"/>
        <v/>
      </c>
      <c r="BS161" t="str">
        <f t="shared" si="995"/>
        <v/>
      </c>
      <c r="BT161" t="str">
        <f t="shared" si="996"/>
        <v/>
      </c>
      <c r="BU161" t="str">
        <f t="shared" si="997"/>
        <v/>
      </c>
      <c r="BV161" t="str">
        <f t="shared" si="998"/>
        <v/>
      </c>
      <c r="BW161" t="str">
        <f t="shared" si="999"/>
        <v/>
      </c>
      <c r="BX161" t="str">
        <f t="shared" si="1000"/>
        <v/>
      </c>
      <c r="BY161" t="str">
        <f t="shared" si="1001"/>
        <v/>
      </c>
      <c r="BZ161" t="str">
        <f t="shared" si="1002"/>
        <v/>
      </c>
      <c r="CA161" t="str">
        <f t="shared" si="1003"/>
        <v/>
      </c>
      <c r="CB161" t="str">
        <f t="shared" si="1004"/>
        <v/>
      </c>
      <c r="CC161" t="str">
        <f t="shared" si="1005"/>
        <v/>
      </c>
      <c r="CD161" t="str">
        <f t="shared" si="1006"/>
        <v/>
      </c>
      <c r="CE161" t="str">
        <f t="shared" si="1007"/>
        <v/>
      </c>
      <c r="CF161" t="str">
        <f t="shared" si="1008"/>
        <v/>
      </c>
      <c r="CG161" t="str">
        <f t="shared" si="1009"/>
        <v/>
      </c>
      <c r="CH161" t="str">
        <f t="shared" si="1226"/>
        <v/>
      </c>
      <c r="CI161" t="str">
        <f t="shared" si="1227"/>
        <v/>
      </c>
      <c r="CJ161" t="str">
        <f>IF($CI161="","",IF(OR($DW161="",$DX161=""),"ONZEKER",IF(OR($CF161="",$CG161=""),"ONZEKER",IF(AND($DW161=$CF161+1,$DX161=$CG161),IF(OR(COUNTIF(#REF!,$B161)&gt;0,COUNTIF(#REF!,$B161)=0),"SKIP",IF(COUNTIFS(#REF!,$B161,#REF!,$CI161)&gt;0,"OK","ONBEKEND")),IF(AND($DW161=$CF161,$DX161=$CG161+1),IF(OR(COUNTIF(#REF!,$D161)&gt;0,COUNTIF(#REF!,$D161)=0),"SKIP",IF(COUNTIFS(#REF!,$D161,#REF!,$CI161)&gt;0,"OK","ONBEKEND")),"ONZEKER")))))</f>
        <v/>
      </c>
      <c r="CK161" t="str">
        <f t="shared" si="1228"/>
        <v/>
      </c>
      <c r="CL161" t="str">
        <f t="shared" si="1229"/>
        <v/>
      </c>
      <c r="CM161" t="str">
        <f>IF($CL161="","",IF(OR($DZ161="",$EA161=""),"ONZEKER",IF(OR($DW161="",$DX161=""),"ONZEKER",IF(AND($DZ161=$DW161+1,$EA161=$DX161),IF(OR(COUNTIF(#REF!,$B161)&gt;0,COUNTIF(#REF!,$B161)=0),"SKIP",IF(COUNTIFS(#REF!,$B161,#REF!,$CL161)&gt;0,"OK","ONBEKEND")),IF(AND($DZ161=$DW161,$EA161=$DX161+1),IF(OR(COUNTIF(#REF!,$D161)&gt;0,COUNTIF(#REF!,$D161)=0),"SKIP",IF(COUNTIFS(#REF!,$D161,#REF!,$CL161)&gt;0,"OK","ONBEKEND")),"ONZEKER")))))</f>
        <v/>
      </c>
      <c r="CN161" t="str">
        <f t="shared" si="1230"/>
        <v/>
      </c>
      <c r="CO161" t="str">
        <f t="shared" si="1231"/>
        <v/>
      </c>
      <c r="CP161" t="str">
        <f>IF($CO161="","",IF(OR($EC161="",$ED161=""),"ONZEKER",IF(OR($DZ161="",$EA161=""),"ONZEKER",IF(AND($EC161=$DZ161+1,$ED161=$EA161),IF(OR(COUNTIF(#REF!,$B161)&gt;0,COUNTIF(#REF!,$B161)=0),"SKIP",IF(COUNTIFS(#REF!,$B161,#REF!,$CO161)&gt;0,"OK","ONBEKEND")),IF(AND($EC161=$DZ161,$ED161=$EA161+1),IF(OR(COUNTIF(#REF!,$D161)&gt;0,COUNTIF(#REF!,$D161)=0),"SKIP",IF(COUNTIFS(#REF!,$D161,#REF!,$CO161)&gt;0,"OK","ONBEKEND")),"ONZEKER")))))</f>
        <v/>
      </c>
      <c r="CQ161" t="str">
        <f t="shared" si="1232"/>
        <v/>
      </c>
      <c r="CR161" t="str">
        <f t="shared" si="1233"/>
        <v/>
      </c>
      <c r="CS161" t="str">
        <f>IF($CR161="","",IF(OR($EF161="",$EG161=""),"ONZEKER",IF(OR($EC161="",$ED161=""),"ONZEKER",IF(AND($EF161=$EC161+1,$EG161=$ED161),IF(OR(COUNTIF(#REF!,$B161)&gt;0,COUNTIF(#REF!,$B161)=0),"SKIP",IF(COUNTIFS(#REF!,$B161,#REF!,$CR161)&gt;0,"OK","ONBEKEND")),IF(AND($EF161=$EC161,$EG161=$ED161+1),IF(OR(COUNTIF(#REF!,$D161)&gt;0,COUNTIF(#REF!,$D161)=0),"SKIP",IF(COUNTIFS(#REF!,$D161,#REF!,$CR161)&gt;0,"OK","ONBEKEND")),"ONZEKER")))))</f>
        <v/>
      </c>
      <c r="CT161" t="str">
        <f t="shared" si="1234"/>
        <v/>
      </c>
      <c r="CU161" t="str">
        <f t="shared" si="1235"/>
        <v/>
      </c>
      <c r="CV161" t="str">
        <f>IF($CU161="","",IF(OR($EI161="",$EJ161=""),"ONZEKER",IF(OR($EF161="",$EG161=""),"ONZEKER",IF(AND($EI161=$EF161+1,$EJ161=$EG161),IF(OR(COUNTIF(#REF!,$B161)&gt;0,COUNTIF(#REF!,$B161)=0),"SKIP",IF(COUNTIFS(#REF!,$B161,#REF!,$CU161)&gt;0,"OK","ONBEKEND")),IF(AND($EI161=$EF161,$EJ161=$EG161+1),IF(OR(COUNTIF(#REF!,$D161)&gt;0,COUNTIF(#REF!,$D161)=0),"SKIP",IF(COUNTIFS(#REF!,$D161,#REF!,$CU161)&gt;0,"OK","ONBEKEND")),"ONZEKER")))))</f>
        <v/>
      </c>
      <c r="CW161" t="str">
        <f t="shared" si="1236"/>
        <v/>
      </c>
      <c r="CX161" t="str">
        <f t="shared" si="1237"/>
        <v/>
      </c>
      <c r="CY161" t="str">
        <f>IF($CX161="","",IF(OR($EL161="",$EM161=""),"ONZEKER",IF(OR($EI161="",$EJ161=""),"ONZEKER",IF(AND($EL161=$EI161+1,$EM161=$EJ161),IF(OR(COUNTIF(#REF!,$B161)&gt;0,COUNTIF(#REF!,$B161)=0),"SKIP",IF(COUNTIFS(#REF!,$B161,#REF!,$CX161)&gt;0,"OK","ONBEKEND")),IF(AND($EL161=$EI161,$EM161=$EJ161+1),IF(OR(COUNTIF(#REF!,$D161)&gt;0,COUNTIF(#REF!,$D161)=0),"SKIP",IF(COUNTIFS(#REF!,$D161,#REF!,$CX161)&gt;0,"OK","ONBEKEND")),"ONZEKER")))))</f>
        <v/>
      </c>
      <c r="CZ161" t="str">
        <f t="shared" si="1238"/>
        <v/>
      </c>
      <c r="DA161" t="str">
        <f t="shared" si="1239"/>
        <v/>
      </c>
      <c r="DB161" t="str">
        <f>IF($DA161="","",IF(OR($EO161="",$EP161=""),"ONZEKER",IF(OR($EL161="",$EM161=""),"ONZEKER",IF(AND($EO161=$EL161+1,$EP161=$EM161),IF(OR(COUNTIF(#REF!,$B161)&gt;0,COUNTIF(#REF!,$B161)=0),"SKIP",IF(COUNTIFS(#REF!,$B161,#REF!,$DA161)&gt;0,"OK","ONBEKEND")),IF(AND($EO161=$EL161,$EP161=$EM161+1),IF(OR(COUNTIF(#REF!,$D161)&gt;0,COUNTIF(#REF!,$D161)=0),"SKIP",IF(COUNTIFS(#REF!,$D161,#REF!,$DA161)&gt;0,"OK","ONBEKEND")),"ONZEKER")))))</f>
        <v/>
      </c>
      <c r="DC161" t="str">
        <f t="shared" si="1240"/>
        <v/>
      </c>
      <c r="DD161" t="str">
        <f t="shared" si="1241"/>
        <v/>
      </c>
      <c r="DE161" t="str">
        <f>IF($DD161="","",IF(OR($ER161="",$ES161=""),"ONZEKER",IF(OR($EO161="",$EP161=""),"ONZEKER",IF(AND($ER161=$EO161+1,$ES161=$EP161),IF(OR(COUNTIF(#REF!,$B161)&gt;0,COUNTIF(#REF!,$B161)=0),"SKIP",IF(COUNTIFS(#REF!,$B161,#REF!,$DD161)&gt;0,"OK","ONBEKEND")),IF(AND($ER161=$EO161,$ES161=$EP161+1),IF(OR(COUNTIF(#REF!,$D161)&gt;0,COUNTIF(#REF!,$D161)=0),"SKIP",IF(COUNTIFS(#REF!,$D161,#REF!,$DD161)&gt;0,"OK","ONBEKEND")),"ONZEKER")))))</f>
        <v/>
      </c>
      <c r="DF161" t="str">
        <f t="shared" si="1242"/>
        <v/>
      </c>
      <c r="DG161" t="str">
        <f t="shared" si="1243"/>
        <v/>
      </c>
      <c r="DH161" t="str">
        <f>IF($DG161="","",IF(OR($EU161="",$EV161=""),"ONZEKER",IF(OR($ER161="",$ES161=""),"ONZEKER",IF(AND($EU161=$ER161+1,$EV161=$ES161),IF(OR(COUNTIF(#REF!,$B161)&gt;0,COUNTIF(#REF!,$B161)=0),"SKIP",IF(COUNTIFS(#REF!,$B161,#REF!,$DG161)&gt;0,"OK","ONBEKEND")),IF(AND($EU161=$ER161,$EV161=$ES161+1),IF(OR(COUNTIF(#REF!,$D161)&gt;0,COUNTIF(#REF!,$D161)=0),"SKIP",IF(COUNTIFS(#REF!,$D161,#REF!,$DG161)&gt;0,"OK","ONBEKEND")),"ONZEKER")))))</f>
        <v/>
      </c>
      <c r="DI161" t="str">
        <f t="shared" si="1244"/>
        <v/>
      </c>
      <c r="DJ161" t="str">
        <f t="shared" si="1245"/>
        <v/>
      </c>
      <c r="DK161" t="str">
        <f>IF($DJ161="","",IF(OR($EX161="",$EY161=""),"ONZEKER",IF(OR($EU161="",$EV161=""),"ONZEKER",IF(AND($EX161=$EU161+1,$EY161=$EV161),IF(OR(COUNTIF(#REF!,$B161)&gt;0,COUNTIF(#REF!,$B161)=0),"SKIP",IF(COUNTIFS(#REF!,$B161,#REF!,$DJ161)&gt;0,"OK","ONBEKEND")),IF(AND($EX161=$EU161,$EY161=$EV161+1),IF(OR(COUNTIF(#REF!,$D161)&gt;0,COUNTIF(#REF!,$D161)=0),"SKIP",IF(COUNTIFS(#REF!,$D161,#REF!,$DJ161)&gt;0,"OK","ONBEKEND")),"ONZEKER")))))</f>
        <v/>
      </c>
      <c r="DL161" t="str">
        <f t="shared" si="1246"/>
        <v/>
      </c>
      <c r="DM161" t="str">
        <f t="shared" si="1247"/>
        <v/>
      </c>
      <c r="DN161" t="str">
        <f t="shared" si="1248"/>
        <v/>
      </c>
      <c r="DO161" t="str">
        <f t="shared" si="1249"/>
        <v/>
      </c>
      <c r="DP161" t="str">
        <f t="shared" si="1250"/>
        <v/>
      </c>
      <c r="DQ161" t="str">
        <f t="shared" si="1251"/>
        <v/>
      </c>
      <c r="DR161" t="str">
        <f t="shared" si="1252"/>
        <v/>
      </c>
      <c r="DS161" t="str">
        <f t="shared" si="1253"/>
        <v/>
      </c>
      <c r="DT161" t="str">
        <f t="shared" si="1254"/>
        <v/>
      </c>
      <c r="DU161" t="str">
        <f t="shared" si="1255"/>
        <v/>
      </c>
      <c r="DV161" t="str">
        <f t="shared" si="1256"/>
        <v/>
      </c>
      <c r="DW161" t="str">
        <f t="shared" si="1257"/>
        <v/>
      </c>
      <c r="DX161" t="str">
        <f t="shared" si="1258"/>
        <v/>
      </c>
      <c r="DY161" t="str">
        <f t="shared" si="1259"/>
        <v/>
      </c>
      <c r="DZ161" t="str">
        <f t="shared" si="1260"/>
        <v/>
      </c>
      <c r="EA161" t="str">
        <f t="shared" si="1261"/>
        <v/>
      </c>
      <c r="EB161" t="str">
        <f t="shared" si="1262"/>
        <v/>
      </c>
      <c r="EC161" t="str">
        <f t="shared" si="1263"/>
        <v/>
      </c>
      <c r="ED161" t="str">
        <f t="shared" si="1264"/>
        <v/>
      </c>
      <c r="EE161" t="str">
        <f t="shared" si="1265"/>
        <v/>
      </c>
      <c r="EF161" t="str">
        <f t="shared" si="1266"/>
        <v/>
      </c>
      <c r="EG161" t="str">
        <f t="shared" si="1267"/>
        <v/>
      </c>
      <c r="EH161" t="str">
        <f t="shared" si="1268"/>
        <v/>
      </c>
      <c r="EI161" t="str">
        <f t="shared" si="1269"/>
        <v/>
      </c>
      <c r="EJ161" t="str">
        <f t="shared" si="1270"/>
        <v/>
      </c>
      <c r="EK161" t="str">
        <f t="shared" si="1271"/>
        <v/>
      </c>
      <c r="EL161" t="str">
        <f t="shared" si="1272"/>
        <v/>
      </c>
      <c r="EM161" t="str">
        <f t="shared" si="1273"/>
        <v/>
      </c>
      <c r="EN161" t="str">
        <f t="shared" si="1274"/>
        <v/>
      </c>
      <c r="EO161" t="str">
        <f t="shared" si="1275"/>
        <v/>
      </c>
      <c r="EP161" t="str">
        <f t="shared" si="1276"/>
        <v/>
      </c>
      <c r="EQ161" t="str">
        <f t="shared" si="1277"/>
        <v/>
      </c>
      <c r="ER161" t="str">
        <f t="shared" si="1278"/>
        <v/>
      </c>
      <c r="ES161" t="str">
        <f t="shared" si="1279"/>
        <v/>
      </c>
      <c r="ET161" t="str">
        <f t="shared" si="1280"/>
        <v/>
      </c>
      <c r="EU161" t="str">
        <f t="shared" si="1281"/>
        <v/>
      </c>
      <c r="EV161" t="str">
        <f t="shared" si="1282"/>
        <v/>
      </c>
      <c r="EW161" t="str">
        <f t="shared" si="1283"/>
        <v/>
      </c>
      <c r="EX161" t="str">
        <f t="shared" si="1284"/>
        <v/>
      </c>
      <c r="EY161" t="str">
        <f t="shared" si="1285"/>
        <v/>
      </c>
    </row>
    <row r="162" spans="1:155" ht="13.9" customHeight="1" x14ac:dyDescent="0.25">
      <c r="A162" s="7"/>
      <c r="B162" s="17"/>
      <c r="C162" s="8"/>
      <c r="D162" s="17"/>
      <c r="E162" s="8"/>
      <c r="F162" s="18">
        <v>0</v>
      </c>
      <c r="G162" s="7" t="s">
        <v>147</v>
      </c>
      <c r="H162" s="18">
        <v>0</v>
      </c>
      <c r="I162" s="19">
        <v>0</v>
      </c>
      <c r="J162" s="7" t="s">
        <v>147</v>
      </c>
      <c r="K162" s="19">
        <v>0</v>
      </c>
      <c r="L162" s="9"/>
      <c r="M162" s="3" t="str">
        <f>IF($L162="","",IF($L162="DOELPUNTENMAKERS","",IF(AND(COUNTIF(#REF!,$B162)=0,COUNTIF(#REF!,$D162)=0),"OK",IF($O162&gt;20,"LET OP: meer dan 20 items (controle onvolledig)",IF((COUNTIF($R162:$AS162,"ONZEKER")+COUNTIF($CJ162:$DK162,"ONZEKER"))&gt;0,"LET OP: scoreverloop onduidelijk (controle beperkt)",IF((IF($AT162&lt;&gt;"",$AT162&amp;", ","")&amp;IF($AU162&lt;&gt;"",$AU162&amp;", ","")&amp;IF($AV162&lt;&gt;"",$AV162&amp;", ","")&amp;IF($AW162&lt;&gt;"",$AW162&amp;", ","")&amp;IF($AX162&lt;&gt;"",$AX162&amp;", ","")&amp;IF($AY162&lt;&gt;"",$AY162&amp;", ","")&amp;IF($AZ162&lt;&gt;"",$AZ162&amp;", ","")&amp;IF($BA162&lt;&gt;"",$BA162&amp;", ","")&amp;IF($BB162&lt;&gt;"",$BB162&amp;", ","")&amp;IF($BC162&lt;&gt;"",$BC162&amp;", ","")&amp;IF($DL162&lt;&gt;"",$DL162&amp;", ","")&amp;IF($DM162&lt;&gt;"",$DM162&amp;", ","")&amp;IF($DN162&lt;&gt;"",$DN162&amp;", ","")&amp;IF($DO162&lt;&gt;"",$DO162&amp;", ","")&amp;IF($DP162&lt;&gt;"",$DP162&amp;", ","")&amp;IF($DQ162&lt;&gt;"",$DQ162&amp;", ","")&amp;IF($DR162&lt;&gt;"",$DR162&amp;", ","")&amp;IF($DS162&lt;&gt;"",$DS162&amp;", ","")&amp;IF($DT162&lt;&gt;"",$DT162&amp;", ","")&amp;IF($DU162&lt;&gt;"",$DU162&amp;", ",""))="","OK","Onbekend: "&amp;LEFT((IF($AT162&lt;&gt;"",$AT162&amp;", ","")&amp;IF($AU162&lt;&gt;"",$AU162&amp;", ","")&amp;IF($AV162&lt;&gt;"",$AV162&amp;", ","")&amp;IF($AW162&lt;&gt;"",$AW162&amp;", ","")&amp;IF($AX162&lt;&gt;"",$AX162&amp;", ","")&amp;IF($AY162&lt;&gt;"",$AY162&amp;", ","")&amp;IF($AZ162&lt;&gt;"",$AZ162&amp;", ","")&amp;IF($BA162&lt;&gt;"",$BA162&amp;", ","")&amp;IF($BB162&lt;&gt;"",$BB162&amp;", ","")&amp;IF($BC162&lt;&gt;"",$BC162&amp;", ","")&amp;IF($DL162&lt;&gt;"",$DL162&amp;", ","")&amp;IF($DM162&lt;&gt;"",$DM162&amp;", ","")&amp;IF($DN162&lt;&gt;"",$DN162&amp;", ","")&amp;IF($DO162&lt;&gt;"",$DO162&amp;", ","")&amp;IF($DP162&lt;&gt;"",$DP162&amp;", ","")&amp;IF($DQ162&lt;&gt;"",$DQ162&amp;", ","")&amp;IF($DR162&lt;&gt;"",$DR162&amp;", ","")&amp;IF($DS162&lt;&gt;"",$DS162&amp;", ","")&amp;IF($DT162&lt;&gt;"",$DT162&amp;", ","")&amp;IF($DU162&lt;&gt;"",$DU162&amp;", ","")),LEN((IF($AT162&lt;&gt;"",$AT162&amp;", ","")&amp;IF($AU162&lt;&gt;"",$AU162&amp;", ","")&amp;IF($AV162&lt;&gt;"",$AV162&amp;", ","")&amp;IF($AW162&lt;&gt;"",$AW162&amp;", ","")&amp;IF($AX162&lt;&gt;"",$AX162&amp;", ","")&amp;IF($AY162&lt;&gt;"",$AY162&amp;", ","")&amp;IF($AZ162&lt;&gt;"",$AZ162&amp;", ","")&amp;IF($BA162&lt;&gt;"",$BA162&amp;", ","")&amp;IF($BB162&lt;&gt;"",$BB162&amp;", ","")&amp;IF($BC162&lt;&gt;"",$BC162&amp;", ","")&amp;IF($DL162&lt;&gt;"",$DL162&amp;", ","")&amp;IF($DM162&lt;&gt;"",$DM162&amp;", ","")&amp;IF($DN162&lt;&gt;"",$DN162&amp;", ","")&amp;IF($DO162&lt;&gt;"",$DO162&amp;", ","")&amp;IF($DP162&lt;&gt;"",$DP162&amp;", ","")&amp;IF($DQ162&lt;&gt;"",$DQ162&amp;", ","")&amp;IF($DR162&lt;&gt;"",$DR162&amp;", ","")&amp;IF($DS162&lt;&gt;"",$DS162&amp;", ","")&amp;IF($DT162&lt;&gt;"",$DT162&amp;", ","")&amp;IF($DU162&lt;&gt;"",$DU162&amp;", ","")))-2)))))))</f>
        <v/>
      </c>
      <c r="N162" t="str">
        <f t="shared" si="1194"/>
        <v/>
      </c>
      <c r="O162" t="str">
        <f t="shared" si="1195"/>
        <v/>
      </c>
      <c r="P162" t="str">
        <f t="shared" si="1196"/>
        <v/>
      </c>
      <c r="Q162" t="str">
        <f t="shared" si="1197"/>
        <v/>
      </c>
      <c r="R162" t="str">
        <f>IF($Q162="","",IF(OR($BE162="",$BF162=""),"ONZEKER",IF(AND($BE162=0+1,$BF162=0),IF(OR(COUNTIF(#REF!,$B162)&gt;0,COUNTIF(#REF!,$B162)=0),"SKIP",IF(COUNTIFS(#REF!,$B162,#REF!,$Q162)&gt;0,"OK","ONBEKEND")),IF(AND($BE162=0,$BF162=0+1),IF(OR(COUNTIF(#REF!,$D162)&gt;0,COUNTIF(#REF!,$D162)=0),"SKIP",IF(COUNTIFS(#REF!,$D162,#REF!,$Q162)&gt;0,"OK","ONBEKEND")),"ONZEKER"))))</f>
        <v/>
      </c>
      <c r="S162" t="str">
        <f t="shared" si="1198"/>
        <v/>
      </c>
      <c r="T162" t="str">
        <f t="shared" si="1199"/>
        <v/>
      </c>
      <c r="U162" t="str">
        <f>IF($T162="","",IF(OR($BH162="",$BI162=""),"ONZEKER",IF(OR($BE162="",$BF162=""),"ONZEKER",IF(AND($BH162=$BE162+1,$BI162=$BF162),IF(OR(COUNTIF(#REF!,$B162)&gt;0,COUNTIF(#REF!,$B162)=0),"SKIP",IF(COUNTIFS(#REF!,$B162,#REF!,$T162)&gt;0,"OK","ONBEKEND")),IF(AND($BH162=$BE162,$BI162=$BF162+1),IF(OR(COUNTIF(#REF!,$D162)&gt;0,COUNTIF(#REF!,$D162)=0),"SKIP",IF(COUNTIFS(#REF!,$D162,#REF!,$T162)&gt;0,"OK","ONBEKEND")),"ONZEKER")))))</f>
        <v/>
      </c>
      <c r="V162" t="str">
        <f t="shared" si="1200"/>
        <v/>
      </c>
      <c r="W162" t="str">
        <f t="shared" si="1201"/>
        <v/>
      </c>
      <c r="X162" t="str">
        <f>IF($W162="","",IF(OR($BK162="",$BL162=""),"ONZEKER",IF(OR($BH162="",$BI162=""),"ONZEKER",IF(AND($BK162=$BH162+1,$BL162=$BI162),IF(OR(COUNTIF(#REF!,$B162)&gt;0,COUNTIF(#REF!,$B162)=0),"SKIP",IF(COUNTIFS(#REF!,$B162,#REF!,$W162)&gt;0,"OK","ONBEKEND")),IF(AND($BK162=$BH162,$BL162=$BI162+1),IF(OR(COUNTIF(#REF!,$D162)&gt;0,COUNTIF(#REF!,$D162)=0),"SKIP",IF(COUNTIFS(#REF!,$D162,#REF!,$W162)&gt;0,"OK","ONBEKEND")),"ONZEKER")))))</f>
        <v/>
      </c>
      <c r="Y162" t="str">
        <f t="shared" si="1202"/>
        <v/>
      </c>
      <c r="Z162" t="str">
        <f t="shared" si="1203"/>
        <v/>
      </c>
      <c r="AA162" t="str">
        <f>IF($Z162="","",IF(OR($BN162="",$BO162=""),"ONZEKER",IF(OR($BK162="",$BL162=""),"ONZEKER",IF(AND($BN162=$BK162+1,$BO162=$BL162),IF(OR(COUNTIF(#REF!,$B162)&gt;0,COUNTIF(#REF!,$B162)=0),"SKIP",IF(COUNTIFS(#REF!,$B162,#REF!,$Z162)&gt;0,"OK","ONBEKEND")),IF(AND($BN162=$BK162,$BO162=$BL162+1),IF(OR(COUNTIF(#REF!,$D162)&gt;0,COUNTIF(#REF!,$D162)=0),"SKIP",IF(COUNTIFS(#REF!,$D162,#REF!,$Z162)&gt;0,"OK","ONBEKEND")),"ONZEKER")))))</f>
        <v/>
      </c>
      <c r="AB162" t="str">
        <f t="shared" si="1204"/>
        <v/>
      </c>
      <c r="AC162" t="str">
        <f t="shared" si="1205"/>
        <v/>
      </c>
      <c r="AD162" t="str">
        <f>IF($AC162="","",IF(OR($BQ162="",$BR162=""),"ONZEKER",IF(OR($BN162="",$BO162=""),"ONZEKER",IF(AND($BQ162=$BN162+1,$BR162=$BO162),IF(OR(COUNTIF(#REF!,$B162)&gt;0,COUNTIF(#REF!,$B162)=0),"SKIP",IF(COUNTIFS(#REF!,$B162,#REF!,$AC162)&gt;0,"OK","ONBEKEND")),IF(AND($BQ162=$BN162,$BR162=$BO162+1),IF(OR(COUNTIF(#REF!,$D162)&gt;0,COUNTIF(#REF!,$D162)=0),"SKIP",IF(COUNTIFS(#REF!,$D162,#REF!,$AC162)&gt;0,"OK","ONBEKEND")),"ONZEKER")))))</f>
        <v/>
      </c>
      <c r="AE162" t="str">
        <f t="shared" si="1206"/>
        <v/>
      </c>
      <c r="AF162" t="str">
        <f t="shared" si="1207"/>
        <v/>
      </c>
      <c r="AG162" t="str">
        <f>IF($AF162="","",IF(OR($BT162="",$BU162=""),"ONZEKER",IF(OR($BQ162="",$BR162=""),"ONZEKER",IF(AND($BT162=$BQ162+1,$BU162=$BR162),IF(OR(COUNTIF(#REF!,$B162)&gt;0,COUNTIF(#REF!,$B162)=0),"SKIP",IF(COUNTIFS(#REF!,$B162,#REF!,$AF162)&gt;0,"OK","ONBEKEND")),IF(AND($BT162=$BQ162,$BU162=$BR162+1),IF(OR(COUNTIF(#REF!,$D162)&gt;0,COUNTIF(#REF!,$D162)=0),"SKIP",IF(COUNTIFS(#REF!,$D162,#REF!,$AF162)&gt;0,"OK","ONBEKEND")),"ONZEKER")))))</f>
        <v/>
      </c>
      <c r="AH162" t="str">
        <f t="shared" si="1208"/>
        <v/>
      </c>
      <c r="AI162" t="str">
        <f t="shared" si="1209"/>
        <v/>
      </c>
      <c r="AJ162" t="str">
        <f>IF($AI162="","",IF(OR($BW162="",$BX162=""),"ONZEKER",IF(OR($BT162="",$BU162=""),"ONZEKER",IF(AND($BW162=$BT162+1,$BX162=$BU162),IF(OR(COUNTIF(#REF!,$B162)&gt;0,COUNTIF(#REF!,$B162)=0),"SKIP",IF(COUNTIFS(#REF!,$B162,#REF!,$AI162)&gt;0,"OK","ONBEKEND")),IF(AND($BW162=$BT162,$BX162=$BU162+1),IF(OR(COUNTIF(#REF!,$D162)&gt;0,COUNTIF(#REF!,$D162)=0),"SKIP",IF(COUNTIFS(#REF!,$D162,#REF!,$AI162)&gt;0,"OK","ONBEKEND")),"ONZEKER")))))</f>
        <v/>
      </c>
      <c r="AK162" t="str">
        <f t="shared" si="1210"/>
        <v/>
      </c>
      <c r="AL162" t="str">
        <f t="shared" si="1211"/>
        <v/>
      </c>
      <c r="AM162" t="str">
        <f>IF($AL162="","",IF(OR($BZ162="",$CA162=""),"ONZEKER",IF(OR($BW162="",$BX162=""),"ONZEKER",IF(AND($BZ162=$BW162+1,$CA162=$BX162),IF(OR(COUNTIF(#REF!,$B162)&gt;0,COUNTIF(#REF!,$B162)=0),"SKIP",IF(COUNTIFS(#REF!,$B162,#REF!,$AL162)&gt;0,"OK","ONBEKEND")),IF(AND($BZ162=$BW162,$CA162=$BX162+1),IF(OR(COUNTIF(#REF!,$D162)&gt;0,COUNTIF(#REF!,$D162)=0),"SKIP",IF(COUNTIFS(#REF!,$D162,#REF!,$AL162)&gt;0,"OK","ONBEKEND")),"ONZEKER")))))</f>
        <v/>
      </c>
      <c r="AN162" t="str">
        <f t="shared" si="1212"/>
        <v/>
      </c>
      <c r="AO162" t="str">
        <f t="shared" si="1213"/>
        <v/>
      </c>
      <c r="AP162" t="str">
        <f>IF($AO162="","",IF(OR($CC162="",$CD162=""),"ONZEKER",IF(OR($BZ162="",$CA162=""),"ONZEKER",IF(AND($CC162=$BZ162+1,$CD162=$CA162),IF(OR(COUNTIF(#REF!,$B162)&gt;0,COUNTIF(#REF!,$B162)=0),"SKIP",IF(COUNTIFS(#REF!,$B162,#REF!,$AO162)&gt;0,"OK","ONBEKEND")),IF(AND($CC162=$BZ162,$CD162=$CA162+1),IF(OR(COUNTIF(#REF!,$D162)&gt;0,COUNTIF(#REF!,$D162)=0),"SKIP",IF(COUNTIFS(#REF!,$D162,#REF!,$AO162)&gt;0,"OK","ONBEKEND")),"ONZEKER")))))</f>
        <v/>
      </c>
      <c r="AQ162" t="str">
        <f t="shared" si="1214"/>
        <v/>
      </c>
      <c r="AR162" t="str">
        <f t="shared" si="1215"/>
        <v/>
      </c>
      <c r="AS162" t="str">
        <f>IF($AR162="","",IF(OR($CF162="",$CG162=""),"ONZEKER",IF(OR($CC162="",$CD162=""),"ONZEKER",IF(AND($CF162=$CC162+1,$CG162=$CD162),IF(OR(COUNTIF(#REF!,$B162)&gt;0,COUNTIF(#REF!,$B162)=0),"SKIP",IF(COUNTIFS(#REF!,$B162,#REF!,$AR162)&gt;0,"OK","ONBEKEND")),IF(AND($CF162=$CC162,$CG162=$CD162+1),IF(OR(COUNTIF(#REF!,$D162)&gt;0,COUNTIF(#REF!,$D162)=0),"SKIP",IF(COUNTIFS(#REF!,$D162,#REF!,$AR162)&gt;0,"OK","ONBEKEND")),"ONZEKER")))))</f>
        <v/>
      </c>
      <c r="AT162" t="str">
        <f t="shared" si="1216"/>
        <v/>
      </c>
      <c r="AU162" t="str">
        <f t="shared" si="1217"/>
        <v/>
      </c>
      <c r="AV162" t="str">
        <f t="shared" si="1218"/>
        <v/>
      </c>
      <c r="AW162" t="str">
        <f t="shared" si="1219"/>
        <v/>
      </c>
      <c r="AX162" t="str">
        <f t="shared" si="1220"/>
        <v/>
      </c>
      <c r="AY162" t="str">
        <f t="shared" si="1221"/>
        <v/>
      </c>
      <c r="AZ162" t="str">
        <f t="shared" si="1222"/>
        <v/>
      </c>
      <c r="BA162" t="str">
        <f t="shared" si="1223"/>
        <v/>
      </c>
      <c r="BB162" t="str">
        <f t="shared" si="1224"/>
        <v/>
      </c>
      <c r="BC162" t="str">
        <f t="shared" si="1225"/>
        <v/>
      </c>
      <c r="BD162" t="str">
        <f t="shared" si="980"/>
        <v/>
      </c>
      <c r="BE162" t="str">
        <f t="shared" si="981"/>
        <v/>
      </c>
      <c r="BF162" t="str">
        <f t="shared" si="982"/>
        <v/>
      </c>
      <c r="BG162" t="str">
        <f t="shared" si="983"/>
        <v/>
      </c>
      <c r="BH162" t="str">
        <f t="shared" si="984"/>
        <v/>
      </c>
      <c r="BI162" t="str">
        <f t="shared" si="985"/>
        <v/>
      </c>
      <c r="BJ162" t="str">
        <f t="shared" si="986"/>
        <v/>
      </c>
      <c r="BK162" t="str">
        <f t="shared" si="987"/>
        <v/>
      </c>
      <c r="BL162" t="str">
        <f t="shared" si="988"/>
        <v/>
      </c>
      <c r="BM162" t="str">
        <f t="shared" si="989"/>
        <v/>
      </c>
      <c r="BN162" t="str">
        <f t="shared" si="990"/>
        <v/>
      </c>
      <c r="BO162" t="str">
        <f t="shared" si="991"/>
        <v/>
      </c>
      <c r="BP162" t="str">
        <f t="shared" si="992"/>
        <v/>
      </c>
      <c r="BQ162" t="str">
        <f t="shared" si="993"/>
        <v/>
      </c>
      <c r="BR162" t="str">
        <f t="shared" si="994"/>
        <v/>
      </c>
      <c r="BS162" t="str">
        <f t="shared" si="995"/>
        <v/>
      </c>
      <c r="BT162" t="str">
        <f t="shared" si="996"/>
        <v/>
      </c>
      <c r="BU162" t="str">
        <f t="shared" si="997"/>
        <v/>
      </c>
      <c r="BV162" t="str">
        <f t="shared" si="998"/>
        <v/>
      </c>
      <c r="BW162" t="str">
        <f t="shared" si="999"/>
        <v/>
      </c>
      <c r="BX162" t="str">
        <f t="shared" si="1000"/>
        <v/>
      </c>
      <c r="BY162" t="str">
        <f t="shared" si="1001"/>
        <v/>
      </c>
      <c r="BZ162" t="str">
        <f t="shared" si="1002"/>
        <v/>
      </c>
      <c r="CA162" t="str">
        <f t="shared" si="1003"/>
        <v/>
      </c>
      <c r="CB162" t="str">
        <f t="shared" si="1004"/>
        <v/>
      </c>
      <c r="CC162" t="str">
        <f t="shared" si="1005"/>
        <v/>
      </c>
      <c r="CD162" t="str">
        <f t="shared" si="1006"/>
        <v/>
      </c>
      <c r="CE162" t="str">
        <f t="shared" si="1007"/>
        <v/>
      </c>
      <c r="CF162" t="str">
        <f t="shared" si="1008"/>
        <v/>
      </c>
      <c r="CG162" t="str">
        <f t="shared" si="1009"/>
        <v/>
      </c>
      <c r="CH162" t="str">
        <f t="shared" si="1226"/>
        <v/>
      </c>
      <c r="CI162" t="str">
        <f t="shared" si="1227"/>
        <v/>
      </c>
      <c r="CJ162" t="str">
        <f>IF($CI162="","",IF(OR($DW162="",$DX162=""),"ONZEKER",IF(OR($CF162="",$CG162=""),"ONZEKER",IF(AND($DW162=$CF162+1,$DX162=$CG162),IF(OR(COUNTIF(#REF!,$B162)&gt;0,COUNTIF(#REF!,$B162)=0),"SKIP",IF(COUNTIFS(#REF!,$B162,#REF!,$CI162)&gt;0,"OK","ONBEKEND")),IF(AND($DW162=$CF162,$DX162=$CG162+1),IF(OR(COUNTIF(#REF!,$D162)&gt;0,COUNTIF(#REF!,$D162)=0),"SKIP",IF(COUNTIFS(#REF!,$D162,#REF!,$CI162)&gt;0,"OK","ONBEKEND")),"ONZEKER")))))</f>
        <v/>
      </c>
      <c r="CK162" t="str">
        <f t="shared" si="1228"/>
        <v/>
      </c>
      <c r="CL162" t="str">
        <f t="shared" si="1229"/>
        <v/>
      </c>
      <c r="CM162" t="str">
        <f>IF($CL162="","",IF(OR($DZ162="",$EA162=""),"ONZEKER",IF(OR($DW162="",$DX162=""),"ONZEKER",IF(AND($DZ162=$DW162+1,$EA162=$DX162),IF(OR(COUNTIF(#REF!,$B162)&gt;0,COUNTIF(#REF!,$B162)=0),"SKIP",IF(COUNTIFS(#REF!,$B162,#REF!,$CL162)&gt;0,"OK","ONBEKEND")),IF(AND($DZ162=$DW162,$EA162=$DX162+1),IF(OR(COUNTIF(#REF!,$D162)&gt;0,COUNTIF(#REF!,$D162)=0),"SKIP",IF(COUNTIFS(#REF!,$D162,#REF!,$CL162)&gt;0,"OK","ONBEKEND")),"ONZEKER")))))</f>
        <v/>
      </c>
      <c r="CN162" t="str">
        <f t="shared" si="1230"/>
        <v/>
      </c>
      <c r="CO162" t="str">
        <f t="shared" si="1231"/>
        <v/>
      </c>
      <c r="CP162" t="str">
        <f>IF($CO162="","",IF(OR($EC162="",$ED162=""),"ONZEKER",IF(OR($DZ162="",$EA162=""),"ONZEKER",IF(AND($EC162=$DZ162+1,$ED162=$EA162),IF(OR(COUNTIF(#REF!,$B162)&gt;0,COUNTIF(#REF!,$B162)=0),"SKIP",IF(COUNTIFS(#REF!,$B162,#REF!,$CO162)&gt;0,"OK","ONBEKEND")),IF(AND($EC162=$DZ162,$ED162=$EA162+1),IF(OR(COUNTIF(#REF!,$D162)&gt;0,COUNTIF(#REF!,$D162)=0),"SKIP",IF(COUNTIFS(#REF!,$D162,#REF!,$CO162)&gt;0,"OK","ONBEKEND")),"ONZEKER")))))</f>
        <v/>
      </c>
      <c r="CQ162" t="str">
        <f t="shared" si="1232"/>
        <v/>
      </c>
      <c r="CR162" t="str">
        <f t="shared" si="1233"/>
        <v/>
      </c>
      <c r="CS162" t="str">
        <f>IF($CR162="","",IF(OR($EF162="",$EG162=""),"ONZEKER",IF(OR($EC162="",$ED162=""),"ONZEKER",IF(AND($EF162=$EC162+1,$EG162=$ED162),IF(OR(COUNTIF(#REF!,$B162)&gt;0,COUNTIF(#REF!,$B162)=0),"SKIP",IF(COUNTIFS(#REF!,$B162,#REF!,$CR162)&gt;0,"OK","ONBEKEND")),IF(AND($EF162=$EC162,$EG162=$ED162+1),IF(OR(COUNTIF(#REF!,$D162)&gt;0,COUNTIF(#REF!,$D162)=0),"SKIP",IF(COUNTIFS(#REF!,$D162,#REF!,$CR162)&gt;0,"OK","ONBEKEND")),"ONZEKER")))))</f>
        <v/>
      </c>
      <c r="CT162" t="str">
        <f t="shared" si="1234"/>
        <v/>
      </c>
      <c r="CU162" t="str">
        <f t="shared" si="1235"/>
        <v/>
      </c>
      <c r="CV162" t="str">
        <f>IF($CU162="","",IF(OR($EI162="",$EJ162=""),"ONZEKER",IF(OR($EF162="",$EG162=""),"ONZEKER",IF(AND($EI162=$EF162+1,$EJ162=$EG162),IF(OR(COUNTIF(#REF!,$B162)&gt;0,COUNTIF(#REF!,$B162)=0),"SKIP",IF(COUNTIFS(#REF!,$B162,#REF!,$CU162)&gt;0,"OK","ONBEKEND")),IF(AND($EI162=$EF162,$EJ162=$EG162+1),IF(OR(COUNTIF(#REF!,$D162)&gt;0,COUNTIF(#REF!,$D162)=0),"SKIP",IF(COUNTIFS(#REF!,$D162,#REF!,$CU162)&gt;0,"OK","ONBEKEND")),"ONZEKER")))))</f>
        <v/>
      </c>
      <c r="CW162" t="str">
        <f t="shared" si="1236"/>
        <v/>
      </c>
      <c r="CX162" t="str">
        <f t="shared" si="1237"/>
        <v/>
      </c>
      <c r="CY162" t="str">
        <f>IF($CX162="","",IF(OR($EL162="",$EM162=""),"ONZEKER",IF(OR($EI162="",$EJ162=""),"ONZEKER",IF(AND($EL162=$EI162+1,$EM162=$EJ162),IF(OR(COUNTIF(#REF!,$B162)&gt;0,COUNTIF(#REF!,$B162)=0),"SKIP",IF(COUNTIFS(#REF!,$B162,#REF!,$CX162)&gt;0,"OK","ONBEKEND")),IF(AND($EL162=$EI162,$EM162=$EJ162+1),IF(OR(COUNTIF(#REF!,$D162)&gt;0,COUNTIF(#REF!,$D162)=0),"SKIP",IF(COUNTIFS(#REF!,$D162,#REF!,$CX162)&gt;0,"OK","ONBEKEND")),"ONZEKER")))))</f>
        <v/>
      </c>
      <c r="CZ162" t="str">
        <f t="shared" si="1238"/>
        <v/>
      </c>
      <c r="DA162" t="str">
        <f t="shared" si="1239"/>
        <v/>
      </c>
      <c r="DB162" t="str">
        <f>IF($DA162="","",IF(OR($EO162="",$EP162=""),"ONZEKER",IF(OR($EL162="",$EM162=""),"ONZEKER",IF(AND($EO162=$EL162+1,$EP162=$EM162),IF(OR(COUNTIF(#REF!,$B162)&gt;0,COUNTIF(#REF!,$B162)=0),"SKIP",IF(COUNTIFS(#REF!,$B162,#REF!,$DA162)&gt;0,"OK","ONBEKEND")),IF(AND($EO162=$EL162,$EP162=$EM162+1),IF(OR(COUNTIF(#REF!,$D162)&gt;0,COUNTIF(#REF!,$D162)=0),"SKIP",IF(COUNTIFS(#REF!,$D162,#REF!,$DA162)&gt;0,"OK","ONBEKEND")),"ONZEKER")))))</f>
        <v/>
      </c>
      <c r="DC162" t="str">
        <f t="shared" si="1240"/>
        <v/>
      </c>
      <c r="DD162" t="str">
        <f t="shared" si="1241"/>
        <v/>
      </c>
      <c r="DE162" t="str">
        <f>IF($DD162="","",IF(OR($ER162="",$ES162=""),"ONZEKER",IF(OR($EO162="",$EP162=""),"ONZEKER",IF(AND($ER162=$EO162+1,$ES162=$EP162),IF(OR(COUNTIF(#REF!,$B162)&gt;0,COUNTIF(#REF!,$B162)=0),"SKIP",IF(COUNTIFS(#REF!,$B162,#REF!,$DD162)&gt;0,"OK","ONBEKEND")),IF(AND($ER162=$EO162,$ES162=$EP162+1),IF(OR(COUNTIF(#REF!,$D162)&gt;0,COUNTIF(#REF!,$D162)=0),"SKIP",IF(COUNTIFS(#REF!,$D162,#REF!,$DD162)&gt;0,"OK","ONBEKEND")),"ONZEKER")))))</f>
        <v/>
      </c>
      <c r="DF162" t="str">
        <f t="shared" si="1242"/>
        <v/>
      </c>
      <c r="DG162" t="str">
        <f t="shared" si="1243"/>
        <v/>
      </c>
      <c r="DH162" t="str">
        <f>IF($DG162="","",IF(OR($EU162="",$EV162=""),"ONZEKER",IF(OR($ER162="",$ES162=""),"ONZEKER",IF(AND($EU162=$ER162+1,$EV162=$ES162),IF(OR(COUNTIF(#REF!,$B162)&gt;0,COUNTIF(#REF!,$B162)=0),"SKIP",IF(COUNTIFS(#REF!,$B162,#REF!,$DG162)&gt;0,"OK","ONBEKEND")),IF(AND($EU162=$ER162,$EV162=$ES162+1),IF(OR(COUNTIF(#REF!,$D162)&gt;0,COUNTIF(#REF!,$D162)=0),"SKIP",IF(COUNTIFS(#REF!,$D162,#REF!,$DG162)&gt;0,"OK","ONBEKEND")),"ONZEKER")))))</f>
        <v/>
      </c>
      <c r="DI162" t="str">
        <f t="shared" si="1244"/>
        <v/>
      </c>
      <c r="DJ162" t="str">
        <f t="shared" si="1245"/>
        <v/>
      </c>
      <c r="DK162" t="str">
        <f>IF($DJ162="","",IF(OR($EX162="",$EY162=""),"ONZEKER",IF(OR($EU162="",$EV162=""),"ONZEKER",IF(AND($EX162=$EU162+1,$EY162=$EV162),IF(OR(COUNTIF(#REF!,$B162)&gt;0,COUNTIF(#REF!,$B162)=0),"SKIP",IF(COUNTIFS(#REF!,$B162,#REF!,$DJ162)&gt;0,"OK","ONBEKEND")),IF(AND($EX162=$EU162,$EY162=$EV162+1),IF(OR(COUNTIF(#REF!,$D162)&gt;0,COUNTIF(#REF!,$D162)=0),"SKIP",IF(COUNTIFS(#REF!,$D162,#REF!,$DJ162)&gt;0,"OK","ONBEKEND")),"ONZEKER")))))</f>
        <v/>
      </c>
      <c r="DL162" t="str">
        <f t="shared" si="1246"/>
        <v/>
      </c>
      <c r="DM162" t="str">
        <f t="shared" si="1247"/>
        <v/>
      </c>
      <c r="DN162" t="str">
        <f t="shared" si="1248"/>
        <v/>
      </c>
      <c r="DO162" t="str">
        <f t="shared" si="1249"/>
        <v/>
      </c>
      <c r="DP162" t="str">
        <f t="shared" si="1250"/>
        <v/>
      </c>
      <c r="DQ162" t="str">
        <f t="shared" si="1251"/>
        <v/>
      </c>
      <c r="DR162" t="str">
        <f t="shared" si="1252"/>
        <v/>
      </c>
      <c r="DS162" t="str">
        <f t="shared" si="1253"/>
        <v/>
      </c>
      <c r="DT162" t="str">
        <f t="shared" si="1254"/>
        <v/>
      </c>
      <c r="DU162" t="str">
        <f t="shared" si="1255"/>
        <v/>
      </c>
      <c r="DV162" t="str">
        <f t="shared" si="1256"/>
        <v/>
      </c>
      <c r="DW162" t="str">
        <f t="shared" si="1257"/>
        <v/>
      </c>
      <c r="DX162" t="str">
        <f t="shared" si="1258"/>
        <v/>
      </c>
      <c r="DY162" t="str">
        <f t="shared" si="1259"/>
        <v/>
      </c>
      <c r="DZ162" t="str">
        <f t="shared" si="1260"/>
        <v/>
      </c>
      <c r="EA162" t="str">
        <f t="shared" si="1261"/>
        <v/>
      </c>
      <c r="EB162" t="str">
        <f t="shared" si="1262"/>
        <v/>
      </c>
      <c r="EC162" t="str">
        <f t="shared" si="1263"/>
        <v/>
      </c>
      <c r="ED162" t="str">
        <f t="shared" si="1264"/>
        <v/>
      </c>
      <c r="EE162" t="str">
        <f t="shared" si="1265"/>
        <v/>
      </c>
      <c r="EF162" t="str">
        <f t="shared" si="1266"/>
        <v/>
      </c>
      <c r="EG162" t="str">
        <f t="shared" si="1267"/>
        <v/>
      </c>
      <c r="EH162" t="str">
        <f t="shared" si="1268"/>
        <v/>
      </c>
      <c r="EI162" t="str">
        <f t="shared" si="1269"/>
        <v/>
      </c>
      <c r="EJ162" t="str">
        <f t="shared" si="1270"/>
        <v/>
      </c>
      <c r="EK162" t="str">
        <f t="shared" si="1271"/>
        <v/>
      </c>
      <c r="EL162" t="str">
        <f t="shared" si="1272"/>
        <v/>
      </c>
      <c r="EM162" t="str">
        <f t="shared" si="1273"/>
        <v/>
      </c>
      <c r="EN162" t="str">
        <f t="shared" si="1274"/>
        <v/>
      </c>
      <c r="EO162" t="str">
        <f t="shared" si="1275"/>
        <v/>
      </c>
      <c r="EP162" t="str">
        <f t="shared" si="1276"/>
        <v/>
      </c>
      <c r="EQ162" t="str">
        <f t="shared" si="1277"/>
        <v/>
      </c>
      <c r="ER162" t="str">
        <f t="shared" si="1278"/>
        <v/>
      </c>
      <c r="ES162" t="str">
        <f t="shared" si="1279"/>
        <v/>
      </c>
      <c r="ET162" t="str">
        <f t="shared" si="1280"/>
        <v/>
      </c>
      <c r="EU162" t="str">
        <f t="shared" si="1281"/>
        <v/>
      </c>
      <c r="EV162" t="str">
        <f t="shared" si="1282"/>
        <v/>
      </c>
      <c r="EW162" t="str">
        <f t="shared" si="1283"/>
        <v/>
      </c>
      <c r="EX162" t="str">
        <f t="shared" si="1284"/>
        <v/>
      </c>
      <c r="EY162" t="str">
        <f t="shared" si="1285"/>
        <v/>
      </c>
    </row>
    <row r="163" spans="1:155" ht="13.9" customHeight="1" x14ac:dyDescent="0.25">
      <c r="A163" s="7"/>
      <c r="B163" s="17"/>
      <c r="C163" s="8"/>
      <c r="D163" s="17"/>
      <c r="E163" s="8"/>
      <c r="F163" s="18">
        <v>0</v>
      </c>
      <c r="G163" s="7" t="s">
        <v>147</v>
      </c>
      <c r="H163" s="18">
        <v>0</v>
      </c>
      <c r="I163" s="19">
        <v>0</v>
      </c>
      <c r="J163" s="7" t="s">
        <v>147</v>
      </c>
      <c r="K163" s="19">
        <v>0</v>
      </c>
      <c r="L163" s="9"/>
      <c r="M163" s="3" t="str">
        <f>IF($L163="","",IF($L163="DOELPUNTENMAKERS","",IF(AND(COUNTIF(#REF!,$B163)=0,COUNTIF(#REF!,$D163)=0),"OK",IF($O163&gt;20,"LET OP: meer dan 20 items (controle onvolledig)",IF((COUNTIF($R163:$AS163,"ONZEKER")+COUNTIF($CJ163:$DK163,"ONZEKER"))&gt;0,"LET OP: scoreverloop onduidelijk (controle beperkt)",IF((IF($AT163&lt;&gt;"",$AT163&amp;", ","")&amp;IF($AU163&lt;&gt;"",$AU163&amp;", ","")&amp;IF($AV163&lt;&gt;"",$AV163&amp;", ","")&amp;IF($AW163&lt;&gt;"",$AW163&amp;", ","")&amp;IF($AX163&lt;&gt;"",$AX163&amp;", ","")&amp;IF($AY163&lt;&gt;"",$AY163&amp;", ","")&amp;IF($AZ163&lt;&gt;"",$AZ163&amp;", ","")&amp;IF($BA163&lt;&gt;"",$BA163&amp;", ","")&amp;IF($BB163&lt;&gt;"",$BB163&amp;", ","")&amp;IF($BC163&lt;&gt;"",$BC163&amp;", ","")&amp;IF($DL163&lt;&gt;"",$DL163&amp;", ","")&amp;IF($DM163&lt;&gt;"",$DM163&amp;", ","")&amp;IF($DN163&lt;&gt;"",$DN163&amp;", ","")&amp;IF($DO163&lt;&gt;"",$DO163&amp;", ","")&amp;IF($DP163&lt;&gt;"",$DP163&amp;", ","")&amp;IF($DQ163&lt;&gt;"",$DQ163&amp;", ","")&amp;IF($DR163&lt;&gt;"",$DR163&amp;", ","")&amp;IF($DS163&lt;&gt;"",$DS163&amp;", ","")&amp;IF($DT163&lt;&gt;"",$DT163&amp;", ","")&amp;IF($DU163&lt;&gt;"",$DU163&amp;", ",""))="","OK","Onbekend: "&amp;LEFT((IF($AT163&lt;&gt;"",$AT163&amp;", ","")&amp;IF($AU163&lt;&gt;"",$AU163&amp;", ","")&amp;IF($AV163&lt;&gt;"",$AV163&amp;", ","")&amp;IF($AW163&lt;&gt;"",$AW163&amp;", ","")&amp;IF($AX163&lt;&gt;"",$AX163&amp;", ","")&amp;IF($AY163&lt;&gt;"",$AY163&amp;", ","")&amp;IF($AZ163&lt;&gt;"",$AZ163&amp;", ","")&amp;IF($BA163&lt;&gt;"",$BA163&amp;", ","")&amp;IF($BB163&lt;&gt;"",$BB163&amp;", ","")&amp;IF($BC163&lt;&gt;"",$BC163&amp;", ","")&amp;IF($DL163&lt;&gt;"",$DL163&amp;", ","")&amp;IF($DM163&lt;&gt;"",$DM163&amp;", ","")&amp;IF($DN163&lt;&gt;"",$DN163&amp;", ","")&amp;IF($DO163&lt;&gt;"",$DO163&amp;", ","")&amp;IF($DP163&lt;&gt;"",$DP163&amp;", ","")&amp;IF($DQ163&lt;&gt;"",$DQ163&amp;", ","")&amp;IF($DR163&lt;&gt;"",$DR163&amp;", ","")&amp;IF($DS163&lt;&gt;"",$DS163&amp;", ","")&amp;IF($DT163&lt;&gt;"",$DT163&amp;", ","")&amp;IF($DU163&lt;&gt;"",$DU163&amp;", ","")),LEN((IF($AT163&lt;&gt;"",$AT163&amp;", ","")&amp;IF($AU163&lt;&gt;"",$AU163&amp;", ","")&amp;IF($AV163&lt;&gt;"",$AV163&amp;", ","")&amp;IF($AW163&lt;&gt;"",$AW163&amp;", ","")&amp;IF($AX163&lt;&gt;"",$AX163&amp;", ","")&amp;IF($AY163&lt;&gt;"",$AY163&amp;", ","")&amp;IF($AZ163&lt;&gt;"",$AZ163&amp;", ","")&amp;IF($BA163&lt;&gt;"",$BA163&amp;", ","")&amp;IF($BB163&lt;&gt;"",$BB163&amp;", ","")&amp;IF($BC163&lt;&gt;"",$BC163&amp;", ","")&amp;IF($DL163&lt;&gt;"",$DL163&amp;", ","")&amp;IF($DM163&lt;&gt;"",$DM163&amp;", ","")&amp;IF($DN163&lt;&gt;"",$DN163&amp;", ","")&amp;IF($DO163&lt;&gt;"",$DO163&amp;", ","")&amp;IF($DP163&lt;&gt;"",$DP163&amp;", ","")&amp;IF($DQ163&lt;&gt;"",$DQ163&amp;", ","")&amp;IF($DR163&lt;&gt;"",$DR163&amp;", ","")&amp;IF($DS163&lt;&gt;"",$DS163&amp;", ","")&amp;IF($DT163&lt;&gt;"",$DT163&amp;", ","")&amp;IF($DU163&lt;&gt;"",$DU163&amp;", ","")))-2)))))))</f>
        <v/>
      </c>
      <c r="N163" t="str">
        <f t="shared" si="1194"/>
        <v/>
      </c>
      <c r="O163" t="str">
        <f t="shared" si="1195"/>
        <v/>
      </c>
      <c r="P163" t="str">
        <f t="shared" si="1196"/>
        <v/>
      </c>
      <c r="Q163" t="str">
        <f t="shared" si="1197"/>
        <v/>
      </c>
      <c r="R163" t="str">
        <f>IF($Q163="","",IF(OR($BE163="",$BF163=""),"ONZEKER",IF(AND($BE163=0+1,$BF163=0),IF(OR(COUNTIF(#REF!,$B163)&gt;0,COUNTIF(#REF!,$B163)=0),"SKIP",IF(COUNTIFS(#REF!,$B163,#REF!,$Q163)&gt;0,"OK","ONBEKEND")),IF(AND($BE163=0,$BF163=0+1),IF(OR(COUNTIF(#REF!,$D163)&gt;0,COUNTIF(#REF!,$D163)=0),"SKIP",IF(COUNTIFS(#REF!,$D163,#REF!,$Q163)&gt;0,"OK","ONBEKEND")),"ONZEKER"))))</f>
        <v/>
      </c>
      <c r="S163" t="str">
        <f t="shared" si="1198"/>
        <v/>
      </c>
      <c r="T163" t="str">
        <f t="shared" si="1199"/>
        <v/>
      </c>
      <c r="U163" t="str">
        <f>IF($T163="","",IF(OR($BH163="",$BI163=""),"ONZEKER",IF(OR($BE163="",$BF163=""),"ONZEKER",IF(AND($BH163=$BE163+1,$BI163=$BF163),IF(OR(COUNTIF(#REF!,$B163)&gt;0,COUNTIF(#REF!,$B163)=0),"SKIP",IF(COUNTIFS(#REF!,$B163,#REF!,$T163)&gt;0,"OK","ONBEKEND")),IF(AND($BH163=$BE163,$BI163=$BF163+1),IF(OR(COUNTIF(#REF!,$D163)&gt;0,COUNTIF(#REF!,$D163)=0),"SKIP",IF(COUNTIFS(#REF!,$D163,#REF!,$T163)&gt;0,"OK","ONBEKEND")),"ONZEKER")))))</f>
        <v/>
      </c>
      <c r="V163" t="str">
        <f t="shared" si="1200"/>
        <v/>
      </c>
      <c r="W163" t="str">
        <f t="shared" si="1201"/>
        <v/>
      </c>
      <c r="X163" t="str">
        <f>IF($W163="","",IF(OR($BK163="",$BL163=""),"ONZEKER",IF(OR($BH163="",$BI163=""),"ONZEKER",IF(AND($BK163=$BH163+1,$BL163=$BI163),IF(OR(COUNTIF(#REF!,$B163)&gt;0,COUNTIF(#REF!,$B163)=0),"SKIP",IF(COUNTIFS(#REF!,$B163,#REF!,$W163)&gt;0,"OK","ONBEKEND")),IF(AND($BK163=$BH163,$BL163=$BI163+1),IF(OR(COUNTIF(#REF!,$D163)&gt;0,COUNTIF(#REF!,$D163)=0),"SKIP",IF(COUNTIFS(#REF!,$D163,#REF!,$W163)&gt;0,"OK","ONBEKEND")),"ONZEKER")))))</f>
        <v/>
      </c>
      <c r="Y163" t="str">
        <f t="shared" si="1202"/>
        <v/>
      </c>
      <c r="Z163" t="str">
        <f t="shared" si="1203"/>
        <v/>
      </c>
      <c r="AA163" t="str">
        <f>IF($Z163="","",IF(OR($BN163="",$BO163=""),"ONZEKER",IF(OR($BK163="",$BL163=""),"ONZEKER",IF(AND($BN163=$BK163+1,$BO163=$BL163),IF(OR(COUNTIF(#REF!,$B163)&gt;0,COUNTIF(#REF!,$B163)=0),"SKIP",IF(COUNTIFS(#REF!,$B163,#REF!,$Z163)&gt;0,"OK","ONBEKEND")),IF(AND($BN163=$BK163,$BO163=$BL163+1),IF(OR(COUNTIF(#REF!,$D163)&gt;0,COUNTIF(#REF!,$D163)=0),"SKIP",IF(COUNTIFS(#REF!,$D163,#REF!,$Z163)&gt;0,"OK","ONBEKEND")),"ONZEKER")))))</f>
        <v/>
      </c>
      <c r="AB163" t="str">
        <f t="shared" si="1204"/>
        <v/>
      </c>
      <c r="AC163" t="str">
        <f t="shared" si="1205"/>
        <v/>
      </c>
      <c r="AD163" t="str">
        <f>IF($AC163="","",IF(OR($BQ163="",$BR163=""),"ONZEKER",IF(OR($BN163="",$BO163=""),"ONZEKER",IF(AND($BQ163=$BN163+1,$BR163=$BO163),IF(OR(COUNTIF(#REF!,$B163)&gt;0,COUNTIF(#REF!,$B163)=0),"SKIP",IF(COUNTIFS(#REF!,$B163,#REF!,$AC163)&gt;0,"OK","ONBEKEND")),IF(AND($BQ163=$BN163,$BR163=$BO163+1),IF(OR(COUNTIF(#REF!,$D163)&gt;0,COUNTIF(#REF!,$D163)=0),"SKIP",IF(COUNTIFS(#REF!,$D163,#REF!,$AC163)&gt;0,"OK","ONBEKEND")),"ONZEKER")))))</f>
        <v/>
      </c>
      <c r="AE163" t="str">
        <f t="shared" si="1206"/>
        <v/>
      </c>
      <c r="AF163" t="str">
        <f t="shared" si="1207"/>
        <v/>
      </c>
      <c r="AG163" t="str">
        <f>IF($AF163="","",IF(OR($BT163="",$BU163=""),"ONZEKER",IF(OR($BQ163="",$BR163=""),"ONZEKER",IF(AND($BT163=$BQ163+1,$BU163=$BR163),IF(OR(COUNTIF(#REF!,$B163)&gt;0,COUNTIF(#REF!,$B163)=0),"SKIP",IF(COUNTIFS(#REF!,$B163,#REF!,$AF163)&gt;0,"OK","ONBEKEND")),IF(AND($BT163=$BQ163,$BU163=$BR163+1),IF(OR(COUNTIF(#REF!,$D163)&gt;0,COUNTIF(#REF!,$D163)=0),"SKIP",IF(COUNTIFS(#REF!,$D163,#REF!,$AF163)&gt;0,"OK","ONBEKEND")),"ONZEKER")))))</f>
        <v/>
      </c>
      <c r="AH163" t="str">
        <f t="shared" si="1208"/>
        <v/>
      </c>
      <c r="AI163" t="str">
        <f t="shared" si="1209"/>
        <v/>
      </c>
      <c r="AJ163" t="str">
        <f>IF($AI163="","",IF(OR($BW163="",$BX163=""),"ONZEKER",IF(OR($BT163="",$BU163=""),"ONZEKER",IF(AND($BW163=$BT163+1,$BX163=$BU163),IF(OR(COUNTIF(#REF!,$B163)&gt;0,COUNTIF(#REF!,$B163)=0),"SKIP",IF(COUNTIFS(#REF!,$B163,#REF!,$AI163)&gt;0,"OK","ONBEKEND")),IF(AND($BW163=$BT163,$BX163=$BU163+1),IF(OR(COUNTIF(#REF!,$D163)&gt;0,COUNTIF(#REF!,$D163)=0),"SKIP",IF(COUNTIFS(#REF!,$D163,#REF!,$AI163)&gt;0,"OK","ONBEKEND")),"ONZEKER")))))</f>
        <v/>
      </c>
      <c r="AK163" t="str">
        <f t="shared" si="1210"/>
        <v/>
      </c>
      <c r="AL163" t="str">
        <f t="shared" si="1211"/>
        <v/>
      </c>
      <c r="AM163" t="str">
        <f>IF($AL163="","",IF(OR($BZ163="",$CA163=""),"ONZEKER",IF(OR($BW163="",$BX163=""),"ONZEKER",IF(AND($BZ163=$BW163+1,$CA163=$BX163),IF(OR(COUNTIF(#REF!,$B163)&gt;0,COUNTIF(#REF!,$B163)=0),"SKIP",IF(COUNTIFS(#REF!,$B163,#REF!,$AL163)&gt;0,"OK","ONBEKEND")),IF(AND($BZ163=$BW163,$CA163=$BX163+1),IF(OR(COUNTIF(#REF!,$D163)&gt;0,COUNTIF(#REF!,$D163)=0),"SKIP",IF(COUNTIFS(#REF!,$D163,#REF!,$AL163)&gt;0,"OK","ONBEKEND")),"ONZEKER")))))</f>
        <v/>
      </c>
      <c r="AN163" t="str">
        <f t="shared" si="1212"/>
        <v/>
      </c>
      <c r="AO163" t="str">
        <f t="shared" si="1213"/>
        <v/>
      </c>
      <c r="AP163" t="str">
        <f>IF($AO163="","",IF(OR($CC163="",$CD163=""),"ONZEKER",IF(OR($BZ163="",$CA163=""),"ONZEKER",IF(AND($CC163=$BZ163+1,$CD163=$CA163),IF(OR(COUNTIF(#REF!,$B163)&gt;0,COUNTIF(#REF!,$B163)=0),"SKIP",IF(COUNTIFS(#REF!,$B163,#REF!,$AO163)&gt;0,"OK","ONBEKEND")),IF(AND($CC163=$BZ163,$CD163=$CA163+1),IF(OR(COUNTIF(#REF!,$D163)&gt;0,COUNTIF(#REF!,$D163)=0),"SKIP",IF(COUNTIFS(#REF!,$D163,#REF!,$AO163)&gt;0,"OK","ONBEKEND")),"ONZEKER")))))</f>
        <v/>
      </c>
      <c r="AQ163" t="str">
        <f t="shared" si="1214"/>
        <v/>
      </c>
      <c r="AR163" t="str">
        <f t="shared" si="1215"/>
        <v/>
      </c>
      <c r="AS163" t="str">
        <f>IF($AR163="","",IF(OR($CF163="",$CG163=""),"ONZEKER",IF(OR($CC163="",$CD163=""),"ONZEKER",IF(AND($CF163=$CC163+1,$CG163=$CD163),IF(OR(COUNTIF(#REF!,$B163)&gt;0,COUNTIF(#REF!,$B163)=0),"SKIP",IF(COUNTIFS(#REF!,$B163,#REF!,$AR163)&gt;0,"OK","ONBEKEND")),IF(AND($CF163=$CC163,$CG163=$CD163+1),IF(OR(COUNTIF(#REF!,$D163)&gt;0,COUNTIF(#REF!,$D163)=0),"SKIP",IF(COUNTIFS(#REF!,$D163,#REF!,$AR163)&gt;0,"OK","ONBEKEND")),"ONZEKER")))))</f>
        <v/>
      </c>
      <c r="AT163" t="str">
        <f t="shared" si="1216"/>
        <v/>
      </c>
      <c r="AU163" t="str">
        <f t="shared" si="1217"/>
        <v/>
      </c>
      <c r="AV163" t="str">
        <f t="shared" si="1218"/>
        <v/>
      </c>
      <c r="AW163" t="str">
        <f t="shared" si="1219"/>
        <v/>
      </c>
      <c r="AX163" t="str">
        <f t="shared" si="1220"/>
        <v/>
      </c>
      <c r="AY163" t="str">
        <f t="shared" si="1221"/>
        <v/>
      </c>
      <c r="AZ163" t="str">
        <f t="shared" si="1222"/>
        <v/>
      </c>
      <c r="BA163" t="str">
        <f t="shared" si="1223"/>
        <v/>
      </c>
      <c r="BB163" t="str">
        <f t="shared" si="1224"/>
        <v/>
      </c>
      <c r="BC163" t="str">
        <f t="shared" si="1225"/>
        <v/>
      </c>
      <c r="BD163" t="str">
        <f t="shared" si="980"/>
        <v/>
      </c>
      <c r="BE163" t="str">
        <f t="shared" si="981"/>
        <v/>
      </c>
      <c r="BF163" t="str">
        <f t="shared" si="982"/>
        <v/>
      </c>
      <c r="BG163" t="str">
        <f t="shared" si="983"/>
        <v/>
      </c>
      <c r="BH163" t="str">
        <f t="shared" si="984"/>
        <v/>
      </c>
      <c r="BI163" t="str">
        <f t="shared" si="985"/>
        <v/>
      </c>
      <c r="BJ163" t="str">
        <f t="shared" si="986"/>
        <v/>
      </c>
      <c r="BK163" t="str">
        <f t="shared" si="987"/>
        <v/>
      </c>
      <c r="BL163" t="str">
        <f t="shared" si="988"/>
        <v/>
      </c>
      <c r="BM163" t="str">
        <f t="shared" si="989"/>
        <v/>
      </c>
      <c r="BN163" t="str">
        <f t="shared" si="990"/>
        <v/>
      </c>
      <c r="BO163" t="str">
        <f t="shared" si="991"/>
        <v/>
      </c>
      <c r="BP163" t="str">
        <f t="shared" si="992"/>
        <v/>
      </c>
      <c r="BQ163" t="str">
        <f t="shared" si="993"/>
        <v/>
      </c>
      <c r="BR163" t="str">
        <f t="shared" si="994"/>
        <v/>
      </c>
      <c r="BS163" t="str">
        <f t="shared" si="995"/>
        <v/>
      </c>
      <c r="BT163" t="str">
        <f t="shared" si="996"/>
        <v/>
      </c>
      <c r="BU163" t="str">
        <f t="shared" si="997"/>
        <v/>
      </c>
      <c r="BV163" t="str">
        <f t="shared" si="998"/>
        <v/>
      </c>
      <c r="BW163" t="str">
        <f t="shared" si="999"/>
        <v/>
      </c>
      <c r="BX163" t="str">
        <f t="shared" si="1000"/>
        <v/>
      </c>
      <c r="BY163" t="str">
        <f t="shared" si="1001"/>
        <v/>
      </c>
      <c r="BZ163" t="str">
        <f t="shared" si="1002"/>
        <v/>
      </c>
      <c r="CA163" t="str">
        <f t="shared" si="1003"/>
        <v/>
      </c>
      <c r="CB163" t="str">
        <f t="shared" si="1004"/>
        <v/>
      </c>
      <c r="CC163" t="str">
        <f t="shared" si="1005"/>
        <v/>
      </c>
      <c r="CD163" t="str">
        <f t="shared" si="1006"/>
        <v/>
      </c>
      <c r="CE163" t="str">
        <f t="shared" si="1007"/>
        <v/>
      </c>
      <c r="CF163" t="str">
        <f t="shared" si="1008"/>
        <v/>
      </c>
      <c r="CG163" t="str">
        <f t="shared" si="1009"/>
        <v/>
      </c>
      <c r="CH163" t="str">
        <f t="shared" si="1226"/>
        <v/>
      </c>
      <c r="CI163" t="str">
        <f t="shared" si="1227"/>
        <v/>
      </c>
      <c r="CJ163" t="str">
        <f>IF($CI163="","",IF(OR($DW163="",$DX163=""),"ONZEKER",IF(OR($CF163="",$CG163=""),"ONZEKER",IF(AND($DW163=$CF163+1,$DX163=$CG163),IF(OR(COUNTIF(#REF!,$B163)&gt;0,COUNTIF(#REF!,$B163)=0),"SKIP",IF(COUNTIFS(#REF!,$B163,#REF!,$CI163)&gt;0,"OK","ONBEKEND")),IF(AND($DW163=$CF163,$DX163=$CG163+1),IF(OR(COUNTIF(#REF!,$D163)&gt;0,COUNTIF(#REF!,$D163)=0),"SKIP",IF(COUNTIFS(#REF!,$D163,#REF!,$CI163)&gt;0,"OK","ONBEKEND")),"ONZEKER")))))</f>
        <v/>
      </c>
      <c r="CK163" t="str">
        <f t="shared" si="1228"/>
        <v/>
      </c>
      <c r="CL163" t="str">
        <f t="shared" si="1229"/>
        <v/>
      </c>
      <c r="CM163" t="str">
        <f>IF($CL163="","",IF(OR($DZ163="",$EA163=""),"ONZEKER",IF(OR($DW163="",$DX163=""),"ONZEKER",IF(AND($DZ163=$DW163+1,$EA163=$DX163),IF(OR(COUNTIF(#REF!,$B163)&gt;0,COUNTIF(#REF!,$B163)=0),"SKIP",IF(COUNTIFS(#REF!,$B163,#REF!,$CL163)&gt;0,"OK","ONBEKEND")),IF(AND($DZ163=$DW163,$EA163=$DX163+1),IF(OR(COUNTIF(#REF!,$D163)&gt;0,COUNTIF(#REF!,$D163)=0),"SKIP",IF(COUNTIFS(#REF!,$D163,#REF!,$CL163)&gt;0,"OK","ONBEKEND")),"ONZEKER")))))</f>
        <v/>
      </c>
      <c r="CN163" t="str">
        <f t="shared" si="1230"/>
        <v/>
      </c>
      <c r="CO163" t="str">
        <f t="shared" si="1231"/>
        <v/>
      </c>
      <c r="CP163" t="str">
        <f>IF($CO163="","",IF(OR($EC163="",$ED163=""),"ONZEKER",IF(OR($DZ163="",$EA163=""),"ONZEKER",IF(AND($EC163=$DZ163+1,$ED163=$EA163),IF(OR(COUNTIF(#REF!,$B163)&gt;0,COUNTIF(#REF!,$B163)=0),"SKIP",IF(COUNTIFS(#REF!,$B163,#REF!,$CO163)&gt;0,"OK","ONBEKEND")),IF(AND($EC163=$DZ163,$ED163=$EA163+1),IF(OR(COUNTIF(#REF!,$D163)&gt;0,COUNTIF(#REF!,$D163)=0),"SKIP",IF(COUNTIFS(#REF!,$D163,#REF!,$CO163)&gt;0,"OK","ONBEKEND")),"ONZEKER")))))</f>
        <v/>
      </c>
      <c r="CQ163" t="str">
        <f t="shared" si="1232"/>
        <v/>
      </c>
      <c r="CR163" t="str">
        <f t="shared" si="1233"/>
        <v/>
      </c>
      <c r="CS163" t="str">
        <f>IF($CR163="","",IF(OR($EF163="",$EG163=""),"ONZEKER",IF(OR($EC163="",$ED163=""),"ONZEKER",IF(AND($EF163=$EC163+1,$EG163=$ED163),IF(OR(COUNTIF(#REF!,$B163)&gt;0,COUNTIF(#REF!,$B163)=0),"SKIP",IF(COUNTIFS(#REF!,$B163,#REF!,$CR163)&gt;0,"OK","ONBEKEND")),IF(AND($EF163=$EC163,$EG163=$ED163+1),IF(OR(COUNTIF(#REF!,$D163)&gt;0,COUNTIF(#REF!,$D163)=0),"SKIP",IF(COUNTIFS(#REF!,$D163,#REF!,$CR163)&gt;0,"OK","ONBEKEND")),"ONZEKER")))))</f>
        <v/>
      </c>
      <c r="CT163" t="str">
        <f t="shared" si="1234"/>
        <v/>
      </c>
      <c r="CU163" t="str">
        <f t="shared" si="1235"/>
        <v/>
      </c>
      <c r="CV163" t="str">
        <f>IF($CU163="","",IF(OR($EI163="",$EJ163=""),"ONZEKER",IF(OR($EF163="",$EG163=""),"ONZEKER",IF(AND($EI163=$EF163+1,$EJ163=$EG163),IF(OR(COUNTIF(#REF!,$B163)&gt;0,COUNTIF(#REF!,$B163)=0),"SKIP",IF(COUNTIFS(#REF!,$B163,#REF!,$CU163)&gt;0,"OK","ONBEKEND")),IF(AND($EI163=$EF163,$EJ163=$EG163+1),IF(OR(COUNTIF(#REF!,$D163)&gt;0,COUNTIF(#REF!,$D163)=0),"SKIP",IF(COUNTIFS(#REF!,$D163,#REF!,$CU163)&gt;0,"OK","ONBEKEND")),"ONZEKER")))))</f>
        <v/>
      </c>
      <c r="CW163" t="str">
        <f t="shared" si="1236"/>
        <v/>
      </c>
      <c r="CX163" t="str">
        <f t="shared" si="1237"/>
        <v/>
      </c>
      <c r="CY163" t="str">
        <f>IF($CX163="","",IF(OR($EL163="",$EM163=""),"ONZEKER",IF(OR($EI163="",$EJ163=""),"ONZEKER",IF(AND($EL163=$EI163+1,$EM163=$EJ163),IF(OR(COUNTIF(#REF!,$B163)&gt;0,COUNTIF(#REF!,$B163)=0),"SKIP",IF(COUNTIFS(#REF!,$B163,#REF!,$CX163)&gt;0,"OK","ONBEKEND")),IF(AND($EL163=$EI163,$EM163=$EJ163+1),IF(OR(COUNTIF(#REF!,$D163)&gt;0,COUNTIF(#REF!,$D163)=0),"SKIP",IF(COUNTIFS(#REF!,$D163,#REF!,$CX163)&gt;0,"OK","ONBEKEND")),"ONZEKER")))))</f>
        <v/>
      </c>
      <c r="CZ163" t="str">
        <f t="shared" si="1238"/>
        <v/>
      </c>
      <c r="DA163" t="str">
        <f t="shared" si="1239"/>
        <v/>
      </c>
      <c r="DB163" t="str">
        <f>IF($DA163="","",IF(OR($EO163="",$EP163=""),"ONZEKER",IF(OR($EL163="",$EM163=""),"ONZEKER",IF(AND($EO163=$EL163+1,$EP163=$EM163),IF(OR(COUNTIF(#REF!,$B163)&gt;0,COUNTIF(#REF!,$B163)=0),"SKIP",IF(COUNTIFS(#REF!,$B163,#REF!,$DA163)&gt;0,"OK","ONBEKEND")),IF(AND($EO163=$EL163,$EP163=$EM163+1),IF(OR(COUNTIF(#REF!,$D163)&gt;0,COUNTIF(#REF!,$D163)=0),"SKIP",IF(COUNTIFS(#REF!,$D163,#REF!,$DA163)&gt;0,"OK","ONBEKEND")),"ONZEKER")))))</f>
        <v/>
      </c>
      <c r="DC163" t="str">
        <f t="shared" si="1240"/>
        <v/>
      </c>
      <c r="DD163" t="str">
        <f t="shared" si="1241"/>
        <v/>
      </c>
      <c r="DE163" t="str">
        <f>IF($DD163="","",IF(OR($ER163="",$ES163=""),"ONZEKER",IF(OR($EO163="",$EP163=""),"ONZEKER",IF(AND($ER163=$EO163+1,$ES163=$EP163),IF(OR(COUNTIF(#REF!,$B163)&gt;0,COUNTIF(#REF!,$B163)=0),"SKIP",IF(COUNTIFS(#REF!,$B163,#REF!,$DD163)&gt;0,"OK","ONBEKEND")),IF(AND($ER163=$EO163,$ES163=$EP163+1),IF(OR(COUNTIF(#REF!,$D163)&gt;0,COUNTIF(#REF!,$D163)=0),"SKIP",IF(COUNTIFS(#REF!,$D163,#REF!,$DD163)&gt;0,"OK","ONBEKEND")),"ONZEKER")))))</f>
        <v/>
      </c>
      <c r="DF163" t="str">
        <f t="shared" si="1242"/>
        <v/>
      </c>
      <c r="DG163" t="str">
        <f t="shared" si="1243"/>
        <v/>
      </c>
      <c r="DH163" t="str">
        <f>IF($DG163="","",IF(OR($EU163="",$EV163=""),"ONZEKER",IF(OR($ER163="",$ES163=""),"ONZEKER",IF(AND($EU163=$ER163+1,$EV163=$ES163),IF(OR(COUNTIF(#REF!,$B163)&gt;0,COUNTIF(#REF!,$B163)=0),"SKIP",IF(COUNTIFS(#REF!,$B163,#REF!,$DG163)&gt;0,"OK","ONBEKEND")),IF(AND($EU163=$ER163,$EV163=$ES163+1),IF(OR(COUNTIF(#REF!,$D163)&gt;0,COUNTIF(#REF!,$D163)=0),"SKIP",IF(COUNTIFS(#REF!,$D163,#REF!,$DG163)&gt;0,"OK","ONBEKEND")),"ONZEKER")))))</f>
        <v/>
      </c>
      <c r="DI163" t="str">
        <f t="shared" si="1244"/>
        <v/>
      </c>
      <c r="DJ163" t="str">
        <f t="shared" si="1245"/>
        <v/>
      </c>
      <c r="DK163" t="str">
        <f>IF($DJ163="","",IF(OR($EX163="",$EY163=""),"ONZEKER",IF(OR($EU163="",$EV163=""),"ONZEKER",IF(AND($EX163=$EU163+1,$EY163=$EV163),IF(OR(COUNTIF(#REF!,$B163)&gt;0,COUNTIF(#REF!,$B163)=0),"SKIP",IF(COUNTIFS(#REF!,$B163,#REF!,$DJ163)&gt;0,"OK","ONBEKEND")),IF(AND($EX163=$EU163,$EY163=$EV163+1),IF(OR(COUNTIF(#REF!,$D163)&gt;0,COUNTIF(#REF!,$D163)=0),"SKIP",IF(COUNTIFS(#REF!,$D163,#REF!,$DJ163)&gt;0,"OK","ONBEKEND")),"ONZEKER")))))</f>
        <v/>
      </c>
      <c r="DL163" t="str">
        <f t="shared" si="1246"/>
        <v/>
      </c>
      <c r="DM163" t="str">
        <f t="shared" si="1247"/>
        <v/>
      </c>
      <c r="DN163" t="str">
        <f t="shared" si="1248"/>
        <v/>
      </c>
      <c r="DO163" t="str">
        <f t="shared" si="1249"/>
        <v/>
      </c>
      <c r="DP163" t="str">
        <f t="shared" si="1250"/>
        <v/>
      </c>
      <c r="DQ163" t="str">
        <f t="shared" si="1251"/>
        <v/>
      </c>
      <c r="DR163" t="str">
        <f t="shared" si="1252"/>
        <v/>
      </c>
      <c r="DS163" t="str">
        <f t="shared" si="1253"/>
        <v/>
      </c>
      <c r="DT163" t="str">
        <f t="shared" si="1254"/>
        <v/>
      </c>
      <c r="DU163" t="str">
        <f t="shared" si="1255"/>
        <v/>
      </c>
      <c r="DV163" t="str">
        <f t="shared" si="1256"/>
        <v/>
      </c>
      <c r="DW163" t="str">
        <f t="shared" si="1257"/>
        <v/>
      </c>
      <c r="DX163" t="str">
        <f t="shared" si="1258"/>
        <v/>
      </c>
      <c r="DY163" t="str">
        <f t="shared" si="1259"/>
        <v/>
      </c>
      <c r="DZ163" t="str">
        <f t="shared" si="1260"/>
        <v/>
      </c>
      <c r="EA163" t="str">
        <f t="shared" si="1261"/>
        <v/>
      </c>
      <c r="EB163" t="str">
        <f t="shared" si="1262"/>
        <v/>
      </c>
      <c r="EC163" t="str">
        <f t="shared" si="1263"/>
        <v/>
      </c>
      <c r="ED163" t="str">
        <f t="shared" si="1264"/>
        <v/>
      </c>
      <c r="EE163" t="str">
        <f t="shared" si="1265"/>
        <v/>
      </c>
      <c r="EF163" t="str">
        <f t="shared" si="1266"/>
        <v/>
      </c>
      <c r="EG163" t="str">
        <f t="shared" si="1267"/>
        <v/>
      </c>
      <c r="EH163" t="str">
        <f t="shared" si="1268"/>
        <v/>
      </c>
      <c r="EI163" t="str">
        <f t="shared" si="1269"/>
        <v/>
      </c>
      <c r="EJ163" t="str">
        <f t="shared" si="1270"/>
        <v/>
      </c>
      <c r="EK163" t="str">
        <f t="shared" si="1271"/>
        <v/>
      </c>
      <c r="EL163" t="str">
        <f t="shared" si="1272"/>
        <v/>
      </c>
      <c r="EM163" t="str">
        <f t="shared" si="1273"/>
        <v/>
      </c>
      <c r="EN163" t="str">
        <f t="shared" si="1274"/>
        <v/>
      </c>
      <c r="EO163" t="str">
        <f t="shared" si="1275"/>
        <v/>
      </c>
      <c r="EP163" t="str">
        <f t="shared" si="1276"/>
        <v/>
      </c>
      <c r="EQ163" t="str">
        <f t="shared" si="1277"/>
        <v/>
      </c>
      <c r="ER163" t="str">
        <f t="shared" si="1278"/>
        <v/>
      </c>
      <c r="ES163" t="str">
        <f t="shared" si="1279"/>
        <v/>
      </c>
      <c r="ET163" t="str">
        <f t="shared" si="1280"/>
        <v/>
      </c>
      <c r="EU163" t="str">
        <f t="shared" si="1281"/>
        <v/>
      </c>
      <c r="EV163" t="str">
        <f t="shared" si="1282"/>
        <v/>
      </c>
      <c r="EW163" t="str">
        <f t="shared" si="1283"/>
        <v/>
      </c>
      <c r="EX163" t="str">
        <f t="shared" si="1284"/>
        <v/>
      </c>
      <c r="EY163" t="str">
        <f t="shared" si="1285"/>
        <v/>
      </c>
    </row>
    <row r="164" spans="1:155" ht="13.9" customHeight="1" x14ac:dyDescent="0.25">
      <c r="A164" s="7"/>
      <c r="B164" s="17"/>
      <c r="C164" s="8"/>
      <c r="D164" s="17"/>
      <c r="E164" s="8"/>
      <c r="F164" s="18">
        <v>0</v>
      </c>
      <c r="G164" s="7" t="s">
        <v>147</v>
      </c>
      <c r="H164" s="18">
        <v>0</v>
      </c>
      <c r="I164" s="19">
        <v>0</v>
      </c>
      <c r="J164" s="7" t="s">
        <v>147</v>
      </c>
      <c r="K164" s="19">
        <v>0</v>
      </c>
      <c r="L164" s="9"/>
      <c r="M164" s="3" t="str">
        <f>IF($L164="","",IF($L164="DOELPUNTENMAKERS","",IF(AND(COUNTIF(#REF!,$B164)=0,COUNTIF(#REF!,$D164)=0),"OK",IF($O164&gt;20,"LET OP: meer dan 20 items (controle onvolledig)",IF((COUNTIF($R164:$AS164,"ONZEKER")+COUNTIF($CJ164:$DK164,"ONZEKER"))&gt;0,"LET OP: scoreverloop onduidelijk (controle beperkt)",IF((IF($AT164&lt;&gt;"",$AT164&amp;", ","")&amp;IF($AU164&lt;&gt;"",$AU164&amp;", ","")&amp;IF($AV164&lt;&gt;"",$AV164&amp;", ","")&amp;IF($AW164&lt;&gt;"",$AW164&amp;", ","")&amp;IF($AX164&lt;&gt;"",$AX164&amp;", ","")&amp;IF($AY164&lt;&gt;"",$AY164&amp;", ","")&amp;IF($AZ164&lt;&gt;"",$AZ164&amp;", ","")&amp;IF($BA164&lt;&gt;"",$BA164&amp;", ","")&amp;IF($BB164&lt;&gt;"",$BB164&amp;", ","")&amp;IF($BC164&lt;&gt;"",$BC164&amp;", ","")&amp;IF($DL164&lt;&gt;"",$DL164&amp;", ","")&amp;IF($DM164&lt;&gt;"",$DM164&amp;", ","")&amp;IF($DN164&lt;&gt;"",$DN164&amp;", ","")&amp;IF($DO164&lt;&gt;"",$DO164&amp;", ","")&amp;IF($DP164&lt;&gt;"",$DP164&amp;", ","")&amp;IF($DQ164&lt;&gt;"",$DQ164&amp;", ","")&amp;IF($DR164&lt;&gt;"",$DR164&amp;", ","")&amp;IF($DS164&lt;&gt;"",$DS164&amp;", ","")&amp;IF($DT164&lt;&gt;"",$DT164&amp;", ","")&amp;IF($DU164&lt;&gt;"",$DU164&amp;", ",""))="","OK","Onbekend: "&amp;LEFT((IF($AT164&lt;&gt;"",$AT164&amp;", ","")&amp;IF($AU164&lt;&gt;"",$AU164&amp;", ","")&amp;IF($AV164&lt;&gt;"",$AV164&amp;", ","")&amp;IF($AW164&lt;&gt;"",$AW164&amp;", ","")&amp;IF($AX164&lt;&gt;"",$AX164&amp;", ","")&amp;IF($AY164&lt;&gt;"",$AY164&amp;", ","")&amp;IF($AZ164&lt;&gt;"",$AZ164&amp;", ","")&amp;IF($BA164&lt;&gt;"",$BA164&amp;", ","")&amp;IF($BB164&lt;&gt;"",$BB164&amp;", ","")&amp;IF($BC164&lt;&gt;"",$BC164&amp;", ","")&amp;IF($DL164&lt;&gt;"",$DL164&amp;", ","")&amp;IF($DM164&lt;&gt;"",$DM164&amp;", ","")&amp;IF($DN164&lt;&gt;"",$DN164&amp;", ","")&amp;IF($DO164&lt;&gt;"",$DO164&amp;", ","")&amp;IF($DP164&lt;&gt;"",$DP164&amp;", ","")&amp;IF($DQ164&lt;&gt;"",$DQ164&amp;", ","")&amp;IF($DR164&lt;&gt;"",$DR164&amp;", ","")&amp;IF($DS164&lt;&gt;"",$DS164&amp;", ","")&amp;IF($DT164&lt;&gt;"",$DT164&amp;", ","")&amp;IF($DU164&lt;&gt;"",$DU164&amp;", ","")),LEN((IF($AT164&lt;&gt;"",$AT164&amp;", ","")&amp;IF($AU164&lt;&gt;"",$AU164&amp;", ","")&amp;IF($AV164&lt;&gt;"",$AV164&amp;", ","")&amp;IF($AW164&lt;&gt;"",$AW164&amp;", ","")&amp;IF($AX164&lt;&gt;"",$AX164&amp;", ","")&amp;IF($AY164&lt;&gt;"",$AY164&amp;", ","")&amp;IF($AZ164&lt;&gt;"",$AZ164&amp;", ","")&amp;IF($BA164&lt;&gt;"",$BA164&amp;", ","")&amp;IF($BB164&lt;&gt;"",$BB164&amp;", ","")&amp;IF($BC164&lt;&gt;"",$BC164&amp;", ","")&amp;IF($DL164&lt;&gt;"",$DL164&amp;", ","")&amp;IF($DM164&lt;&gt;"",$DM164&amp;", ","")&amp;IF($DN164&lt;&gt;"",$DN164&amp;", ","")&amp;IF($DO164&lt;&gt;"",$DO164&amp;", ","")&amp;IF($DP164&lt;&gt;"",$DP164&amp;", ","")&amp;IF($DQ164&lt;&gt;"",$DQ164&amp;", ","")&amp;IF($DR164&lt;&gt;"",$DR164&amp;", ","")&amp;IF($DS164&lt;&gt;"",$DS164&amp;", ","")&amp;IF($DT164&lt;&gt;"",$DT164&amp;", ","")&amp;IF($DU164&lt;&gt;"",$DU164&amp;", ","")))-2)))))))</f>
        <v/>
      </c>
      <c r="N164" t="str">
        <f t="shared" si="1194"/>
        <v/>
      </c>
      <c r="O164" t="str">
        <f t="shared" si="1195"/>
        <v/>
      </c>
      <c r="P164" t="str">
        <f t="shared" si="1196"/>
        <v/>
      </c>
      <c r="Q164" t="str">
        <f t="shared" si="1197"/>
        <v/>
      </c>
      <c r="R164" t="str">
        <f>IF($Q164="","",IF(OR($BE164="",$BF164=""),"ONZEKER",IF(AND($BE164=0+1,$BF164=0),IF(OR(COUNTIF(#REF!,$B164)&gt;0,COUNTIF(#REF!,$B164)=0),"SKIP",IF(COUNTIFS(#REF!,$B164,#REF!,$Q164)&gt;0,"OK","ONBEKEND")),IF(AND($BE164=0,$BF164=0+1),IF(OR(COUNTIF(#REF!,$D164)&gt;0,COUNTIF(#REF!,$D164)=0),"SKIP",IF(COUNTIFS(#REF!,$D164,#REF!,$Q164)&gt;0,"OK","ONBEKEND")),"ONZEKER"))))</f>
        <v/>
      </c>
      <c r="S164" t="str">
        <f t="shared" si="1198"/>
        <v/>
      </c>
      <c r="T164" t="str">
        <f t="shared" si="1199"/>
        <v/>
      </c>
      <c r="U164" t="str">
        <f>IF($T164="","",IF(OR($BH164="",$BI164=""),"ONZEKER",IF(OR($BE164="",$BF164=""),"ONZEKER",IF(AND($BH164=$BE164+1,$BI164=$BF164),IF(OR(COUNTIF(#REF!,$B164)&gt;0,COUNTIF(#REF!,$B164)=0),"SKIP",IF(COUNTIFS(#REF!,$B164,#REF!,$T164)&gt;0,"OK","ONBEKEND")),IF(AND($BH164=$BE164,$BI164=$BF164+1),IF(OR(COUNTIF(#REF!,$D164)&gt;0,COUNTIF(#REF!,$D164)=0),"SKIP",IF(COUNTIFS(#REF!,$D164,#REF!,$T164)&gt;0,"OK","ONBEKEND")),"ONZEKER")))))</f>
        <v/>
      </c>
      <c r="V164" t="str">
        <f t="shared" si="1200"/>
        <v/>
      </c>
      <c r="W164" t="str">
        <f t="shared" si="1201"/>
        <v/>
      </c>
      <c r="X164" t="str">
        <f>IF($W164="","",IF(OR($BK164="",$BL164=""),"ONZEKER",IF(OR($BH164="",$BI164=""),"ONZEKER",IF(AND($BK164=$BH164+1,$BL164=$BI164),IF(OR(COUNTIF(#REF!,$B164)&gt;0,COUNTIF(#REF!,$B164)=0),"SKIP",IF(COUNTIFS(#REF!,$B164,#REF!,$W164)&gt;0,"OK","ONBEKEND")),IF(AND($BK164=$BH164,$BL164=$BI164+1),IF(OR(COUNTIF(#REF!,$D164)&gt;0,COUNTIF(#REF!,$D164)=0),"SKIP",IF(COUNTIFS(#REF!,$D164,#REF!,$W164)&gt;0,"OK","ONBEKEND")),"ONZEKER")))))</f>
        <v/>
      </c>
      <c r="Y164" t="str">
        <f t="shared" si="1202"/>
        <v/>
      </c>
      <c r="Z164" t="str">
        <f t="shared" si="1203"/>
        <v/>
      </c>
      <c r="AA164" t="str">
        <f>IF($Z164="","",IF(OR($BN164="",$BO164=""),"ONZEKER",IF(OR($BK164="",$BL164=""),"ONZEKER",IF(AND($BN164=$BK164+1,$BO164=$BL164),IF(OR(COUNTIF(#REF!,$B164)&gt;0,COUNTIF(#REF!,$B164)=0),"SKIP",IF(COUNTIFS(#REF!,$B164,#REF!,$Z164)&gt;0,"OK","ONBEKEND")),IF(AND($BN164=$BK164,$BO164=$BL164+1),IF(OR(COUNTIF(#REF!,$D164)&gt;0,COUNTIF(#REF!,$D164)=0),"SKIP",IF(COUNTIFS(#REF!,$D164,#REF!,$Z164)&gt;0,"OK","ONBEKEND")),"ONZEKER")))))</f>
        <v/>
      </c>
      <c r="AB164" t="str">
        <f t="shared" si="1204"/>
        <v/>
      </c>
      <c r="AC164" t="str">
        <f t="shared" si="1205"/>
        <v/>
      </c>
      <c r="AD164" t="str">
        <f>IF($AC164="","",IF(OR($BQ164="",$BR164=""),"ONZEKER",IF(OR($BN164="",$BO164=""),"ONZEKER",IF(AND($BQ164=$BN164+1,$BR164=$BO164),IF(OR(COUNTIF(#REF!,$B164)&gt;0,COUNTIF(#REF!,$B164)=0),"SKIP",IF(COUNTIFS(#REF!,$B164,#REF!,$AC164)&gt;0,"OK","ONBEKEND")),IF(AND($BQ164=$BN164,$BR164=$BO164+1),IF(OR(COUNTIF(#REF!,$D164)&gt;0,COUNTIF(#REF!,$D164)=0),"SKIP",IF(COUNTIFS(#REF!,$D164,#REF!,$AC164)&gt;0,"OK","ONBEKEND")),"ONZEKER")))))</f>
        <v/>
      </c>
      <c r="AE164" t="str">
        <f t="shared" si="1206"/>
        <v/>
      </c>
      <c r="AF164" t="str">
        <f t="shared" si="1207"/>
        <v/>
      </c>
      <c r="AG164" t="str">
        <f>IF($AF164="","",IF(OR($BT164="",$BU164=""),"ONZEKER",IF(OR($BQ164="",$BR164=""),"ONZEKER",IF(AND($BT164=$BQ164+1,$BU164=$BR164),IF(OR(COUNTIF(#REF!,$B164)&gt;0,COUNTIF(#REF!,$B164)=0),"SKIP",IF(COUNTIFS(#REF!,$B164,#REF!,$AF164)&gt;0,"OK","ONBEKEND")),IF(AND($BT164=$BQ164,$BU164=$BR164+1),IF(OR(COUNTIF(#REF!,$D164)&gt;0,COUNTIF(#REF!,$D164)=0),"SKIP",IF(COUNTIFS(#REF!,$D164,#REF!,$AF164)&gt;0,"OK","ONBEKEND")),"ONZEKER")))))</f>
        <v/>
      </c>
      <c r="AH164" t="str">
        <f t="shared" si="1208"/>
        <v/>
      </c>
      <c r="AI164" t="str">
        <f t="shared" si="1209"/>
        <v/>
      </c>
      <c r="AJ164" t="str">
        <f>IF($AI164="","",IF(OR($BW164="",$BX164=""),"ONZEKER",IF(OR($BT164="",$BU164=""),"ONZEKER",IF(AND($BW164=$BT164+1,$BX164=$BU164),IF(OR(COUNTIF(#REF!,$B164)&gt;0,COUNTIF(#REF!,$B164)=0),"SKIP",IF(COUNTIFS(#REF!,$B164,#REF!,$AI164)&gt;0,"OK","ONBEKEND")),IF(AND($BW164=$BT164,$BX164=$BU164+1),IF(OR(COUNTIF(#REF!,$D164)&gt;0,COUNTIF(#REF!,$D164)=0),"SKIP",IF(COUNTIFS(#REF!,$D164,#REF!,$AI164)&gt;0,"OK","ONBEKEND")),"ONZEKER")))))</f>
        <v/>
      </c>
      <c r="AK164" t="str">
        <f t="shared" si="1210"/>
        <v/>
      </c>
      <c r="AL164" t="str">
        <f t="shared" si="1211"/>
        <v/>
      </c>
      <c r="AM164" t="str">
        <f>IF($AL164="","",IF(OR($BZ164="",$CA164=""),"ONZEKER",IF(OR($BW164="",$BX164=""),"ONZEKER",IF(AND($BZ164=$BW164+1,$CA164=$BX164),IF(OR(COUNTIF(#REF!,$B164)&gt;0,COUNTIF(#REF!,$B164)=0),"SKIP",IF(COUNTIFS(#REF!,$B164,#REF!,$AL164)&gt;0,"OK","ONBEKEND")),IF(AND($BZ164=$BW164,$CA164=$BX164+1),IF(OR(COUNTIF(#REF!,$D164)&gt;0,COUNTIF(#REF!,$D164)=0),"SKIP",IF(COUNTIFS(#REF!,$D164,#REF!,$AL164)&gt;0,"OK","ONBEKEND")),"ONZEKER")))))</f>
        <v/>
      </c>
      <c r="AN164" t="str">
        <f t="shared" si="1212"/>
        <v/>
      </c>
      <c r="AO164" t="str">
        <f t="shared" si="1213"/>
        <v/>
      </c>
      <c r="AP164" t="str">
        <f>IF($AO164="","",IF(OR($CC164="",$CD164=""),"ONZEKER",IF(OR($BZ164="",$CA164=""),"ONZEKER",IF(AND($CC164=$BZ164+1,$CD164=$CA164),IF(OR(COUNTIF(#REF!,$B164)&gt;0,COUNTIF(#REF!,$B164)=0),"SKIP",IF(COUNTIFS(#REF!,$B164,#REF!,$AO164)&gt;0,"OK","ONBEKEND")),IF(AND($CC164=$BZ164,$CD164=$CA164+1),IF(OR(COUNTIF(#REF!,$D164)&gt;0,COUNTIF(#REF!,$D164)=0),"SKIP",IF(COUNTIFS(#REF!,$D164,#REF!,$AO164)&gt;0,"OK","ONBEKEND")),"ONZEKER")))))</f>
        <v/>
      </c>
      <c r="AQ164" t="str">
        <f t="shared" si="1214"/>
        <v/>
      </c>
      <c r="AR164" t="str">
        <f t="shared" si="1215"/>
        <v/>
      </c>
      <c r="AS164" t="str">
        <f>IF($AR164="","",IF(OR($CF164="",$CG164=""),"ONZEKER",IF(OR($CC164="",$CD164=""),"ONZEKER",IF(AND($CF164=$CC164+1,$CG164=$CD164),IF(OR(COUNTIF(#REF!,$B164)&gt;0,COUNTIF(#REF!,$B164)=0),"SKIP",IF(COUNTIFS(#REF!,$B164,#REF!,$AR164)&gt;0,"OK","ONBEKEND")),IF(AND($CF164=$CC164,$CG164=$CD164+1),IF(OR(COUNTIF(#REF!,$D164)&gt;0,COUNTIF(#REF!,$D164)=0),"SKIP",IF(COUNTIFS(#REF!,$D164,#REF!,$AR164)&gt;0,"OK","ONBEKEND")),"ONZEKER")))))</f>
        <v/>
      </c>
      <c r="AT164" t="str">
        <f t="shared" si="1216"/>
        <v/>
      </c>
      <c r="AU164" t="str">
        <f t="shared" si="1217"/>
        <v/>
      </c>
      <c r="AV164" t="str">
        <f t="shared" si="1218"/>
        <v/>
      </c>
      <c r="AW164" t="str">
        <f t="shared" si="1219"/>
        <v/>
      </c>
      <c r="AX164" t="str">
        <f t="shared" si="1220"/>
        <v/>
      </c>
      <c r="AY164" t="str">
        <f t="shared" si="1221"/>
        <v/>
      </c>
      <c r="AZ164" t="str">
        <f t="shared" si="1222"/>
        <v/>
      </c>
      <c r="BA164" t="str">
        <f t="shared" si="1223"/>
        <v/>
      </c>
      <c r="BB164" t="str">
        <f t="shared" si="1224"/>
        <v/>
      </c>
      <c r="BC164" t="str">
        <f t="shared" si="1225"/>
        <v/>
      </c>
      <c r="BD164" t="str">
        <f t="shared" si="980"/>
        <v/>
      </c>
      <c r="BE164" t="str">
        <f t="shared" si="981"/>
        <v/>
      </c>
      <c r="BF164" t="str">
        <f t="shared" si="982"/>
        <v/>
      </c>
      <c r="BG164" t="str">
        <f t="shared" si="983"/>
        <v/>
      </c>
      <c r="BH164" t="str">
        <f t="shared" si="984"/>
        <v/>
      </c>
      <c r="BI164" t="str">
        <f t="shared" si="985"/>
        <v/>
      </c>
      <c r="BJ164" t="str">
        <f t="shared" si="986"/>
        <v/>
      </c>
      <c r="BK164" t="str">
        <f t="shared" si="987"/>
        <v/>
      </c>
      <c r="BL164" t="str">
        <f t="shared" si="988"/>
        <v/>
      </c>
      <c r="BM164" t="str">
        <f t="shared" si="989"/>
        <v/>
      </c>
      <c r="BN164" t="str">
        <f t="shared" si="990"/>
        <v/>
      </c>
      <c r="BO164" t="str">
        <f t="shared" si="991"/>
        <v/>
      </c>
      <c r="BP164" t="str">
        <f t="shared" si="992"/>
        <v/>
      </c>
      <c r="BQ164" t="str">
        <f t="shared" si="993"/>
        <v/>
      </c>
      <c r="BR164" t="str">
        <f t="shared" si="994"/>
        <v/>
      </c>
      <c r="BS164" t="str">
        <f t="shared" si="995"/>
        <v/>
      </c>
      <c r="BT164" t="str">
        <f t="shared" si="996"/>
        <v/>
      </c>
      <c r="BU164" t="str">
        <f t="shared" si="997"/>
        <v/>
      </c>
      <c r="BV164" t="str">
        <f t="shared" si="998"/>
        <v/>
      </c>
      <c r="BW164" t="str">
        <f t="shared" si="999"/>
        <v/>
      </c>
      <c r="BX164" t="str">
        <f t="shared" si="1000"/>
        <v/>
      </c>
      <c r="BY164" t="str">
        <f t="shared" si="1001"/>
        <v/>
      </c>
      <c r="BZ164" t="str">
        <f t="shared" si="1002"/>
        <v/>
      </c>
      <c r="CA164" t="str">
        <f t="shared" si="1003"/>
        <v/>
      </c>
      <c r="CB164" t="str">
        <f t="shared" si="1004"/>
        <v/>
      </c>
      <c r="CC164" t="str">
        <f t="shared" si="1005"/>
        <v/>
      </c>
      <c r="CD164" t="str">
        <f t="shared" si="1006"/>
        <v/>
      </c>
      <c r="CE164" t="str">
        <f t="shared" si="1007"/>
        <v/>
      </c>
      <c r="CF164" t="str">
        <f t="shared" si="1008"/>
        <v/>
      </c>
      <c r="CG164" t="str">
        <f t="shared" si="1009"/>
        <v/>
      </c>
      <c r="CH164" t="str">
        <f t="shared" si="1226"/>
        <v/>
      </c>
      <c r="CI164" t="str">
        <f t="shared" si="1227"/>
        <v/>
      </c>
      <c r="CJ164" t="str">
        <f>IF($CI164="","",IF(OR($DW164="",$DX164=""),"ONZEKER",IF(OR($CF164="",$CG164=""),"ONZEKER",IF(AND($DW164=$CF164+1,$DX164=$CG164),IF(OR(COUNTIF(#REF!,$B164)&gt;0,COUNTIF(#REF!,$B164)=0),"SKIP",IF(COUNTIFS(#REF!,$B164,#REF!,$CI164)&gt;0,"OK","ONBEKEND")),IF(AND($DW164=$CF164,$DX164=$CG164+1),IF(OR(COUNTIF(#REF!,$D164)&gt;0,COUNTIF(#REF!,$D164)=0),"SKIP",IF(COUNTIFS(#REF!,$D164,#REF!,$CI164)&gt;0,"OK","ONBEKEND")),"ONZEKER")))))</f>
        <v/>
      </c>
      <c r="CK164" t="str">
        <f t="shared" si="1228"/>
        <v/>
      </c>
      <c r="CL164" t="str">
        <f t="shared" si="1229"/>
        <v/>
      </c>
      <c r="CM164" t="str">
        <f>IF($CL164="","",IF(OR($DZ164="",$EA164=""),"ONZEKER",IF(OR($DW164="",$DX164=""),"ONZEKER",IF(AND($DZ164=$DW164+1,$EA164=$DX164),IF(OR(COUNTIF(#REF!,$B164)&gt;0,COUNTIF(#REF!,$B164)=0),"SKIP",IF(COUNTIFS(#REF!,$B164,#REF!,$CL164)&gt;0,"OK","ONBEKEND")),IF(AND($DZ164=$DW164,$EA164=$DX164+1),IF(OR(COUNTIF(#REF!,$D164)&gt;0,COUNTIF(#REF!,$D164)=0),"SKIP",IF(COUNTIFS(#REF!,$D164,#REF!,$CL164)&gt;0,"OK","ONBEKEND")),"ONZEKER")))))</f>
        <v/>
      </c>
      <c r="CN164" t="str">
        <f t="shared" si="1230"/>
        <v/>
      </c>
      <c r="CO164" t="str">
        <f t="shared" si="1231"/>
        <v/>
      </c>
      <c r="CP164" t="str">
        <f>IF($CO164="","",IF(OR($EC164="",$ED164=""),"ONZEKER",IF(OR($DZ164="",$EA164=""),"ONZEKER",IF(AND($EC164=$DZ164+1,$ED164=$EA164),IF(OR(COUNTIF(#REF!,$B164)&gt;0,COUNTIF(#REF!,$B164)=0),"SKIP",IF(COUNTIFS(#REF!,$B164,#REF!,$CO164)&gt;0,"OK","ONBEKEND")),IF(AND($EC164=$DZ164,$ED164=$EA164+1),IF(OR(COUNTIF(#REF!,$D164)&gt;0,COUNTIF(#REF!,$D164)=0),"SKIP",IF(COUNTIFS(#REF!,$D164,#REF!,$CO164)&gt;0,"OK","ONBEKEND")),"ONZEKER")))))</f>
        <v/>
      </c>
      <c r="CQ164" t="str">
        <f t="shared" si="1232"/>
        <v/>
      </c>
      <c r="CR164" t="str">
        <f t="shared" si="1233"/>
        <v/>
      </c>
      <c r="CS164" t="str">
        <f>IF($CR164="","",IF(OR($EF164="",$EG164=""),"ONZEKER",IF(OR($EC164="",$ED164=""),"ONZEKER",IF(AND($EF164=$EC164+1,$EG164=$ED164),IF(OR(COUNTIF(#REF!,$B164)&gt;0,COUNTIF(#REF!,$B164)=0),"SKIP",IF(COUNTIFS(#REF!,$B164,#REF!,$CR164)&gt;0,"OK","ONBEKEND")),IF(AND($EF164=$EC164,$EG164=$ED164+1),IF(OR(COUNTIF(#REF!,$D164)&gt;0,COUNTIF(#REF!,$D164)=0),"SKIP",IF(COUNTIFS(#REF!,$D164,#REF!,$CR164)&gt;0,"OK","ONBEKEND")),"ONZEKER")))))</f>
        <v/>
      </c>
      <c r="CT164" t="str">
        <f t="shared" si="1234"/>
        <v/>
      </c>
      <c r="CU164" t="str">
        <f t="shared" si="1235"/>
        <v/>
      </c>
      <c r="CV164" t="str">
        <f>IF($CU164="","",IF(OR($EI164="",$EJ164=""),"ONZEKER",IF(OR($EF164="",$EG164=""),"ONZEKER",IF(AND($EI164=$EF164+1,$EJ164=$EG164),IF(OR(COUNTIF(#REF!,$B164)&gt;0,COUNTIF(#REF!,$B164)=0),"SKIP",IF(COUNTIFS(#REF!,$B164,#REF!,$CU164)&gt;0,"OK","ONBEKEND")),IF(AND($EI164=$EF164,$EJ164=$EG164+1),IF(OR(COUNTIF(#REF!,$D164)&gt;0,COUNTIF(#REF!,$D164)=0),"SKIP",IF(COUNTIFS(#REF!,$D164,#REF!,$CU164)&gt;0,"OK","ONBEKEND")),"ONZEKER")))))</f>
        <v/>
      </c>
      <c r="CW164" t="str">
        <f t="shared" si="1236"/>
        <v/>
      </c>
      <c r="CX164" t="str">
        <f t="shared" si="1237"/>
        <v/>
      </c>
      <c r="CY164" t="str">
        <f>IF($CX164="","",IF(OR($EL164="",$EM164=""),"ONZEKER",IF(OR($EI164="",$EJ164=""),"ONZEKER",IF(AND($EL164=$EI164+1,$EM164=$EJ164),IF(OR(COUNTIF(#REF!,$B164)&gt;0,COUNTIF(#REF!,$B164)=0),"SKIP",IF(COUNTIFS(#REF!,$B164,#REF!,$CX164)&gt;0,"OK","ONBEKEND")),IF(AND($EL164=$EI164,$EM164=$EJ164+1),IF(OR(COUNTIF(#REF!,$D164)&gt;0,COUNTIF(#REF!,$D164)=0),"SKIP",IF(COUNTIFS(#REF!,$D164,#REF!,$CX164)&gt;0,"OK","ONBEKEND")),"ONZEKER")))))</f>
        <v/>
      </c>
      <c r="CZ164" t="str">
        <f t="shared" si="1238"/>
        <v/>
      </c>
      <c r="DA164" t="str">
        <f t="shared" si="1239"/>
        <v/>
      </c>
      <c r="DB164" t="str">
        <f>IF($DA164="","",IF(OR($EO164="",$EP164=""),"ONZEKER",IF(OR($EL164="",$EM164=""),"ONZEKER",IF(AND($EO164=$EL164+1,$EP164=$EM164),IF(OR(COUNTIF(#REF!,$B164)&gt;0,COUNTIF(#REF!,$B164)=0),"SKIP",IF(COUNTIFS(#REF!,$B164,#REF!,$DA164)&gt;0,"OK","ONBEKEND")),IF(AND($EO164=$EL164,$EP164=$EM164+1),IF(OR(COUNTIF(#REF!,$D164)&gt;0,COUNTIF(#REF!,$D164)=0),"SKIP",IF(COUNTIFS(#REF!,$D164,#REF!,$DA164)&gt;0,"OK","ONBEKEND")),"ONZEKER")))))</f>
        <v/>
      </c>
      <c r="DC164" t="str">
        <f t="shared" si="1240"/>
        <v/>
      </c>
      <c r="DD164" t="str">
        <f t="shared" si="1241"/>
        <v/>
      </c>
      <c r="DE164" t="str">
        <f>IF($DD164="","",IF(OR($ER164="",$ES164=""),"ONZEKER",IF(OR($EO164="",$EP164=""),"ONZEKER",IF(AND($ER164=$EO164+1,$ES164=$EP164),IF(OR(COUNTIF(#REF!,$B164)&gt;0,COUNTIF(#REF!,$B164)=0),"SKIP",IF(COUNTIFS(#REF!,$B164,#REF!,$DD164)&gt;0,"OK","ONBEKEND")),IF(AND($ER164=$EO164,$ES164=$EP164+1),IF(OR(COUNTIF(#REF!,$D164)&gt;0,COUNTIF(#REF!,$D164)=0),"SKIP",IF(COUNTIFS(#REF!,$D164,#REF!,$DD164)&gt;0,"OK","ONBEKEND")),"ONZEKER")))))</f>
        <v/>
      </c>
      <c r="DF164" t="str">
        <f t="shared" si="1242"/>
        <v/>
      </c>
      <c r="DG164" t="str">
        <f t="shared" si="1243"/>
        <v/>
      </c>
      <c r="DH164" t="str">
        <f>IF($DG164="","",IF(OR($EU164="",$EV164=""),"ONZEKER",IF(OR($ER164="",$ES164=""),"ONZEKER",IF(AND($EU164=$ER164+1,$EV164=$ES164),IF(OR(COUNTIF(#REF!,$B164)&gt;0,COUNTIF(#REF!,$B164)=0),"SKIP",IF(COUNTIFS(#REF!,$B164,#REF!,$DG164)&gt;0,"OK","ONBEKEND")),IF(AND($EU164=$ER164,$EV164=$ES164+1),IF(OR(COUNTIF(#REF!,$D164)&gt;0,COUNTIF(#REF!,$D164)=0),"SKIP",IF(COUNTIFS(#REF!,$D164,#REF!,$DG164)&gt;0,"OK","ONBEKEND")),"ONZEKER")))))</f>
        <v/>
      </c>
      <c r="DI164" t="str">
        <f t="shared" si="1244"/>
        <v/>
      </c>
      <c r="DJ164" t="str">
        <f t="shared" si="1245"/>
        <v/>
      </c>
      <c r="DK164" t="str">
        <f>IF($DJ164="","",IF(OR($EX164="",$EY164=""),"ONZEKER",IF(OR($EU164="",$EV164=""),"ONZEKER",IF(AND($EX164=$EU164+1,$EY164=$EV164),IF(OR(COUNTIF(#REF!,$B164)&gt;0,COUNTIF(#REF!,$B164)=0),"SKIP",IF(COUNTIFS(#REF!,$B164,#REF!,$DJ164)&gt;0,"OK","ONBEKEND")),IF(AND($EX164=$EU164,$EY164=$EV164+1),IF(OR(COUNTIF(#REF!,$D164)&gt;0,COUNTIF(#REF!,$D164)=0),"SKIP",IF(COUNTIFS(#REF!,$D164,#REF!,$DJ164)&gt;0,"OK","ONBEKEND")),"ONZEKER")))))</f>
        <v/>
      </c>
      <c r="DL164" t="str">
        <f t="shared" si="1246"/>
        <v/>
      </c>
      <c r="DM164" t="str">
        <f t="shared" si="1247"/>
        <v/>
      </c>
      <c r="DN164" t="str">
        <f t="shared" si="1248"/>
        <v/>
      </c>
      <c r="DO164" t="str">
        <f t="shared" si="1249"/>
        <v/>
      </c>
      <c r="DP164" t="str">
        <f t="shared" si="1250"/>
        <v/>
      </c>
      <c r="DQ164" t="str">
        <f t="shared" si="1251"/>
        <v/>
      </c>
      <c r="DR164" t="str">
        <f t="shared" si="1252"/>
        <v/>
      </c>
      <c r="DS164" t="str">
        <f t="shared" si="1253"/>
        <v/>
      </c>
      <c r="DT164" t="str">
        <f t="shared" si="1254"/>
        <v/>
      </c>
      <c r="DU164" t="str">
        <f t="shared" si="1255"/>
        <v/>
      </c>
      <c r="DV164" t="str">
        <f t="shared" si="1256"/>
        <v/>
      </c>
      <c r="DW164" t="str">
        <f t="shared" si="1257"/>
        <v/>
      </c>
      <c r="DX164" t="str">
        <f t="shared" si="1258"/>
        <v/>
      </c>
      <c r="DY164" t="str">
        <f t="shared" si="1259"/>
        <v/>
      </c>
      <c r="DZ164" t="str">
        <f t="shared" si="1260"/>
        <v/>
      </c>
      <c r="EA164" t="str">
        <f t="shared" si="1261"/>
        <v/>
      </c>
      <c r="EB164" t="str">
        <f t="shared" si="1262"/>
        <v/>
      </c>
      <c r="EC164" t="str">
        <f t="shared" si="1263"/>
        <v/>
      </c>
      <c r="ED164" t="str">
        <f t="shared" si="1264"/>
        <v/>
      </c>
      <c r="EE164" t="str">
        <f t="shared" si="1265"/>
        <v/>
      </c>
      <c r="EF164" t="str">
        <f t="shared" si="1266"/>
        <v/>
      </c>
      <c r="EG164" t="str">
        <f t="shared" si="1267"/>
        <v/>
      </c>
      <c r="EH164" t="str">
        <f t="shared" si="1268"/>
        <v/>
      </c>
      <c r="EI164" t="str">
        <f t="shared" si="1269"/>
        <v/>
      </c>
      <c r="EJ164" t="str">
        <f t="shared" si="1270"/>
        <v/>
      </c>
      <c r="EK164" t="str">
        <f t="shared" si="1271"/>
        <v/>
      </c>
      <c r="EL164" t="str">
        <f t="shared" si="1272"/>
        <v/>
      </c>
      <c r="EM164" t="str">
        <f t="shared" si="1273"/>
        <v/>
      </c>
      <c r="EN164" t="str">
        <f t="shared" si="1274"/>
        <v/>
      </c>
      <c r="EO164" t="str">
        <f t="shared" si="1275"/>
        <v/>
      </c>
      <c r="EP164" t="str">
        <f t="shared" si="1276"/>
        <v/>
      </c>
      <c r="EQ164" t="str">
        <f t="shared" si="1277"/>
        <v/>
      </c>
      <c r="ER164" t="str">
        <f t="shared" si="1278"/>
        <v/>
      </c>
      <c r="ES164" t="str">
        <f t="shared" si="1279"/>
        <v/>
      </c>
      <c r="ET164" t="str">
        <f t="shared" si="1280"/>
        <v/>
      </c>
      <c r="EU164" t="str">
        <f t="shared" si="1281"/>
        <v/>
      </c>
      <c r="EV164" t="str">
        <f t="shared" si="1282"/>
        <v/>
      </c>
      <c r="EW164" t="str">
        <f t="shared" si="1283"/>
        <v/>
      </c>
      <c r="EX164" t="str">
        <f t="shared" si="1284"/>
        <v/>
      </c>
      <c r="EY164" t="str">
        <f t="shared" si="1285"/>
        <v/>
      </c>
    </row>
    <row r="165" spans="1:155" ht="13.9" customHeight="1" x14ac:dyDescent="0.25">
      <c r="A165" s="7"/>
      <c r="B165" s="17"/>
      <c r="C165" s="8"/>
      <c r="D165" s="17"/>
      <c r="E165" s="8"/>
      <c r="F165" s="18">
        <v>0</v>
      </c>
      <c r="G165" s="7" t="s">
        <v>147</v>
      </c>
      <c r="H165" s="18">
        <v>0</v>
      </c>
      <c r="I165" s="19">
        <v>0</v>
      </c>
      <c r="J165" s="7" t="s">
        <v>147</v>
      </c>
      <c r="K165" s="19">
        <v>0</v>
      </c>
      <c r="L165" s="9"/>
      <c r="M165" s="3" t="str">
        <f>IF($L165="","",IF($L165="DOELPUNTENMAKERS","",IF(AND(COUNTIF(#REF!,$B165)=0,COUNTIF(#REF!,$D165)=0),"OK",IF($O165&gt;20,"LET OP: meer dan 20 items (controle onvolledig)",IF((COUNTIF($R165:$AS165,"ONZEKER")+COUNTIF($CJ165:$DK165,"ONZEKER"))&gt;0,"LET OP: scoreverloop onduidelijk (controle beperkt)",IF((IF($AT165&lt;&gt;"",$AT165&amp;", ","")&amp;IF($AU165&lt;&gt;"",$AU165&amp;", ","")&amp;IF($AV165&lt;&gt;"",$AV165&amp;", ","")&amp;IF($AW165&lt;&gt;"",$AW165&amp;", ","")&amp;IF($AX165&lt;&gt;"",$AX165&amp;", ","")&amp;IF($AY165&lt;&gt;"",$AY165&amp;", ","")&amp;IF($AZ165&lt;&gt;"",$AZ165&amp;", ","")&amp;IF($BA165&lt;&gt;"",$BA165&amp;", ","")&amp;IF($BB165&lt;&gt;"",$BB165&amp;", ","")&amp;IF($BC165&lt;&gt;"",$BC165&amp;", ","")&amp;IF($DL165&lt;&gt;"",$DL165&amp;", ","")&amp;IF($DM165&lt;&gt;"",$DM165&amp;", ","")&amp;IF($DN165&lt;&gt;"",$DN165&amp;", ","")&amp;IF($DO165&lt;&gt;"",$DO165&amp;", ","")&amp;IF($DP165&lt;&gt;"",$DP165&amp;", ","")&amp;IF($DQ165&lt;&gt;"",$DQ165&amp;", ","")&amp;IF($DR165&lt;&gt;"",$DR165&amp;", ","")&amp;IF($DS165&lt;&gt;"",$DS165&amp;", ","")&amp;IF($DT165&lt;&gt;"",$DT165&amp;", ","")&amp;IF($DU165&lt;&gt;"",$DU165&amp;", ",""))="","OK","Onbekend: "&amp;LEFT((IF($AT165&lt;&gt;"",$AT165&amp;", ","")&amp;IF($AU165&lt;&gt;"",$AU165&amp;", ","")&amp;IF($AV165&lt;&gt;"",$AV165&amp;", ","")&amp;IF($AW165&lt;&gt;"",$AW165&amp;", ","")&amp;IF($AX165&lt;&gt;"",$AX165&amp;", ","")&amp;IF($AY165&lt;&gt;"",$AY165&amp;", ","")&amp;IF($AZ165&lt;&gt;"",$AZ165&amp;", ","")&amp;IF($BA165&lt;&gt;"",$BA165&amp;", ","")&amp;IF($BB165&lt;&gt;"",$BB165&amp;", ","")&amp;IF($BC165&lt;&gt;"",$BC165&amp;", ","")&amp;IF($DL165&lt;&gt;"",$DL165&amp;", ","")&amp;IF($DM165&lt;&gt;"",$DM165&amp;", ","")&amp;IF($DN165&lt;&gt;"",$DN165&amp;", ","")&amp;IF($DO165&lt;&gt;"",$DO165&amp;", ","")&amp;IF($DP165&lt;&gt;"",$DP165&amp;", ","")&amp;IF($DQ165&lt;&gt;"",$DQ165&amp;", ","")&amp;IF($DR165&lt;&gt;"",$DR165&amp;", ","")&amp;IF($DS165&lt;&gt;"",$DS165&amp;", ","")&amp;IF($DT165&lt;&gt;"",$DT165&amp;", ","")&amp;IF($DU165&lt;&gt;"",$DU165&amp;", ","")),LEN((IF($AT165&lt;&gt;"",$AT165&amp;", ","")&amp;IF($AU165&lt;&gt;"",$AU165&amp;", ","")&amp;IF($AV165&lt;&gt;"",$AV165&amp;", ","")&amp;IF($AW165&lt;&gt;"",$AW165&amp;", ","")&amp;IF($AX165&lt;&gt;"",$AX165&amp;", ","")&amp;IF($AY165&lt;&gt;"",$AY165&amp;", ","")&amp;IF($AZ165&lt;&gt;"",$AZ165&amp;", ","")&amp;IF($BA165&lt;&gt;"",$BA165&amp;", ","")&amp;IF($BB165&lt;&gt;"",$BB165&amp;", ","")&amp;IF($BC165&lt;&gt;"",$BC165&amp;", ","")&amp;IF($DL165&lt;&gt;"",$DL165&amp;", ","")&amp;IF($DM165&lt;&gt;"",$DM165&amp;", ","")&amp;IF($DN165&lt;&gt;"",$DN165&amp;", ","")&amp;IF($DO165&lt;&gt;"",$DO165&amp;", ","")&amp;IF($DP165&lt;&gt;"",$DP165&amp;", ","")&amp;IF($DQ165&lt;&gt;"",$DQ165&amp;", ","")&amp;IF($DR165&lt;&gt;"",$DR165&amp;", ","")&amp;IF($DS165&lt;&gt;"",$DS165&amp;", ","")&amp;IF($DT165&lt;&gt;"",$DT165&amp;", ","")&amp;IF($DU165&lt;&gt;"",$DU165&amp;", ","")))-2)))))))</f>
        <v/>
      </c>
      <c r="N165" t="str">
        <f t="shared" si="1194"/>
        <v/>
      </c>
      <c r="O165" t="str">
        <f t="shared" si="1195"/>
        <v/>
      </c>
      <c r="P165" t="str">
        <f t="shared" si="1196"/>
        <v/>
      </c>
      <c r="Q165" t="str">
        <f t="shared" si="1197"/>
        <v/>
      </c>
      <c r="R165" t="str">
        <f>IF($Q165="","",IF(OR($BE165="",$BF165=""),"ONZEKER",IF(AND($BE165=0+1,$BF165=0),IF(OR(COUNTIF(#REF!,$B165)&gt;0,COUNTIF(#REF!,$B165)=0),"SKIP",IF(COUNTIFS(#REF!,$B165,#REF!,$Q165)&gt;0,"OK","ONBEKEND")),IF(AND($BE165=0,$BF165=0+1),IF(OR(COUNTIF(#REF!,$D165)&gt;0,COUNTIF(#REF!,$D165)=0),"SKIP",IF(COUNTIFS(#REF!,$D165,#REF!,$Q165)&gt;0,"OK","ONBEKEND")),"ONZEKER"))))</f>
        <v/>
      </c>
      <c r="S165" t="str">
        <f t="shared" si="1198"/>
        <v/>
      </c>
      <c r="T165" t="str">
        <f t="shared" si="1199"/>
        <v/>
      </c>
      <c r="U165" t="str">
        <f>IF($T165="","",IF(OR($BH165="",$BI165=""),"ONZEKER",IF(OR($BE165="",$BF165=""),"ONZEKER",IF(AND($BH165=$BE165+1,$BI165=$BF165),IF(OR(COUNTIF(#REF!,$B165)&gt;0,COUNTIF(#REF!,$B165)=0),"SKIP",IF(COUNTIFS(#REF!,$B165,#REF!,$T165)&gt;0,"OK","ONBEKEND")),IF(AND($BH165=$BE165,$BI165=$BF165+1),IF(OR(COUNTIF(#REF!,$D165)&gt;0,COUNTIF(#REF!,$D165)=0),"SKIP",IF(COUNTIFS(#REF!,$D165,#REF!,$T165)&gt;0,"OK","ONBEKEND")),"ONZEKER")))))</f>
        <v/>
      </c>
      <c r="V165" t="str">
        <f t="shared" si="1200"/>
        <v/>
      </c>
      <c r="W165" t="str">
        <f t="shared" si="1201"/>
        <v/>
      </c>
      <c r="X165" t="str">
        <f>IF($W165="","",IF(OR($BK165="",$BL165=""),"ONZEKER",IF(OR($BH165="",$BI165=""),"ONZEKER",IF(AND($BK165=$BH165+1,$BL165=$BI165),IF(OR(COUNTIF(#REF!,$B165)&gt;0,COUNTIF(#REF!,$B165)=0),"SKIP",IF(COUNTIFS(#REF!,$B165,#REF!,$W165)&gt;0,"OK","ONBEKEND")),IF(AND($BK165=$BH165,$BL165=$BI165+1),IF(OR(COUNTIF(#REF!,$D165)&gt;0,COUNTIF(#REF!,$D165)=0),"SKIP",IF(COUNTIFS(#REF!,$D165,#REF!,$W165)&gt;0,"OK","ONBEKEND")),"ONZEKER")))))</f>
        <v/>
      </c>
      <c r="Y165" t="str">
        <f t="shared" si="1202"/>
        <v/>
      </c>
      <c r="Z165" t="str">
        <f t="shared" si="1203"/>
        <v/>
      </c>
      <c r="AA165" t="str">
        <f>IF($Z165="","",IF(OR($BN165="",$BO165=""),"ONZEKER",IF(OR($BK165="",$BL165=""),"ONZEKER",IF(AND($BN165=$BK165+1,$BO165=$BL165),IF(OR(COUNTIF(#REF!,$B165)&gt;0,COUNTIF(#REF!,$B165)=0),"SKIP",IF(COUNTIFS(#REF!,$B165,#REF!,$Z165)&gt;0,"OK","ONBEKEND")),IF(AND($BN165=$BK165,$BO165=$BL165+1),IF(OR(COUNTIF(#REF!,$D165)&gt;0,COUNTIF(#REF!,$D165)=0),"SKIP",IF(COUNTIFS(#REF!,$D165,#REF!,$Z165)&gt;0,"OK","ONBEKEND")),"ONZEKER")))))</f>
        <v/>
      </c>
      <c r="AB165" t="str">
        <f t="shared" si="1204"/>
        <v/>
      </c>
      <c r="AC165" t="str">
        <f t="shared" si="1205"/>
        <v/>
      </c>
      <c r="AD165" t="str">
        <f>IF($AC165="","",IF(OR($BQ165="",$BR165=""),"ONZEKER",IF(OR($BN165="",$BO165=""),"ONZEKER",IF(AND($BQ165=$BN165+1,$BR165=$BO165),IF(OR(COUNTIF(#REF!,$B165)&gt;0,COUNTIF(#REF!,$B165)=0),"SKIP",IF(COUNTIFS(#REF!,$B165,#REF!,$AC165)&gt;0,"OK","ONBEKEND")),IF(AND($BQ165=$BN165,$BR165=$BO165+1),IF(OR(COUNTIF(#REF!,$D165)&gt;0,COUNTIF(#REF!,$D165)=0),"SKIP",IF(COUNTIFS(#REF!,$D165,#REF!,$AC165)&gt;0,"OK","ONBEKEND")),"ONZEKER")))))</f>
        <v/>
      </c>
      <c r="AE165" t="str">
        <f t="shared" si="1206"/>
        <v/>
      </c>
      <c r="AF165" t="str">
        <f t="shared" si="1207"/>
        <v/>
      </c>
      <c r="AG165" t="str">
        <f>IF($AF165="","",IF(OR($BT165="",$BU165=""),"ONZEKER",IF(OR($BQ165="",$BR165=""),"ONZEKER",IF(AND($BT165=$BQ165+1,$BU165=$BR165),IF(OR(COUNTIF(#REF!,$B165)&gt;0,COUNTIF(#REF!,$B165)=0),"SKIP",IF(COUNTIFS(#REF!,$B165,#REF!,$AF165)&gt;0,"OK","ONBEKEND")),IF(AND($BT165=$BQ165,$BU165=$BR165+1),IF(OR(COUNTIF(#REF!,$D165)&gt;0,COUNTIF(#REF!,$D165)=0),"SKIP",IF(COUNTIFS(#REF!,$D165,#REF!,$AF165)&gt;0,"OK","ONBEKEND")),"ONZEKER")))))</f>
        <v/>
      </c>
      <c r="AH165" t="str">
        <f t="shared" si="1208"/>
        <v/>
      </c>
      <c r="AI165" t="str">
        <f t="shared" si="1209"/>
        <v/>
      </c>
      <c r="AJ165" t="str">
        <f>IF($AI165="","",IF(OR($BW165="",$BX165=""),"ONZEKER",IF(OR($BT165="",$BU165=""),"ONZEKER",IF(AND($BW165=$BT165+1,$BX165=$BU165),IF(OR(COUNTIF(#REF!,$B165)&gt;0,COUNTIF(#REF!,$B165)=0),"SKIP",IF(COUNTIFS(#REF!,$B165,#REF!,$AI165)&gt;0,"OK","ONBEKEND")),IF(AND($BW165=$BT165,$BX165=$BU165+1),IF(OR(COUNTIF(#REF!,$D165)&gt;0,COUNTIF(#REF!,$D165)=0),"SKIP",IF(COUNTIFS(#REF!,$D165,#REF!,$AI165)&gt;0,"OK","ONBEKEND")),"ONZEKER")))))</f>
        <v/>
      </c>
      <c r="AK165" t="str">
        <f t="shared" si="1210"/>
        <v/>
      </c>
      <c r="AL165" t="str">
        <f t="shared" si="1211"/>
        <v/>
      </c>
      <c r="AM165" t="str">
        <f>IF($AL165="","",IF(OR($BZ165="",$CA165=""),"ONZEKER",IF(OR($BW165="",$BX165=""),"ONZEKER",IF(AND($BZ165=$BW165+1,$CA165=$BX165),IF(OR(COUNTIF(#REF!,$B165)&gt;0,COUNTIF(#REF!,$B165)=0),"SKIP",IF(COUNTIFS(#REF!,$B165,#REF!,$AL165)&gt;0,"OK","ONBEKEND")),IF(AND($BZ165=$BW165,$CA165=$BX165+1),IF(OR(COUNTIF(#REF!,$D165)&gt;0,COUNTIF(#REF!,$D165)=0),"SKIP",IF(COUNTIFS(#REF!,$D165,#REF!,$AL165)&gt;0,"OK","ONBEKEND")),"ONZEKER")))))</f>
        <v/>
      </c>
      <c r="AN165" t="str">
        <f t="shared" si="1212"/>
        <v/>
      </c>
      <c r="AO165" t="str">
        <f t="shared" si="1213"/>
        <v/>
      </c>
      <c r="AP165" t="str">
        <f>IF($AO165="","",IF(OR($CC165="",$CD165=""),"ONZEKER",IF(OR($BZ165="",$CA165=""),"ONZEKER",IF(AND($CC165=$BZ165+1,$CD165=$CA165),IF(OR(COUNTIF(#REF!,$B165)&gt;0,COUNTIF(#REF!,$B165)=0),"SKIP",IF(COUNTIFS(#REF!,$B165,#REF!,$AO165)&gt;0,"OK","ONBEKEND")),IF(AND($CC165=$BZ165,$CD165=$CA165+1),IF(OR(COUNTIF(#REF!,$D165)&gt;0,COUNTIF(#REF!,$D165)=0),"SKIP",IF(COUNTIFS(#REF!,$D165,#REF!,$AO165)&gt;0,"OK","ONBEKEND")),"ONZEKER")))))</f>
        <v/>
      </c>
      <c r="AQ165" t="str">
        <f t="shared" si="1214"/>
        <v/>
      </c>
      <c r="AR165" t="str">
        <f t="shared" si="1215"/>
        <v/>
      </c>
      <c r="AS165" t="str">
        <f>IF($AR165="","",IF(OR($CF165="",$CG165=""),"ONZEKER",IF(OR($CC165="",$CD165=""),"ONZEKER",IF(AND($CF165=$CC165+1,$CG165=$CD165),IF(OR(COUNTIF(#REF!,$B165)&gt;0,COUNTIF(#REF!,$B165)=0),"SKIP",IF(COUNTIFS(#REF!,$B165,#REF!,$AR165)&gt;0,"OK","ONBEKEND")),IF(AND($CF165=$CC165,$CG165=$CD165+1),IF(OR(COUNTIF(#REF!,$D165)&gt;0,COUNTIF(#REF!,$D165)=0),"SKIP",IF(COUNTIFS(#REF!,$D165,#REF!,$AR165)&gt;0,"OK","ONBEKEND")),"ONZEKER")))))</f>
        <v/>
      </c>
      <c r="AT165" t="str">
        <f t="shared" si="1216"/>
        <v/>
      </c>
      <c r="AU165" t="str">
        <f t="shared" si="1217"/>
        <v/>
      </c>
      <c r="AV165" t="str">
        <f t="shared" si="1218"/>
        <v/>
      </c>
      <c r="AW165" t="str">
        <f t="shared" si="1219"/>
        <v/>
      </c>
      <c r="AX165" t="str">
        <f t="shared" si="1220"/>
        <v/>
      </c>
      <c r="AY165" t="str">
        <f t="shared" si="1221"/>
        <v/>
      </c>
      <c r="AZ165" t="str">
        <f t="shared" si="1222"/>
        <v/>
      </c>
      <c r="BA165" t="str">
        <f t="shared" si="1223"/>
        <v/>
      </c>
      <c r="BB165" t="str">
        <f t="shared" si="1224"/>
        <v/>
      </c>
      <c r="BC165" t="str">
        <f t="shared" si="1225"/>
        <v/>
      </c>
      <c r="BD165" t="str">
        <f t="shared" si="980"/>
        <v/>
      </c>
      <c r="BE165" t="str">
        <f t="shared" si="981"/>
        <v/>
      </c>
      <c r="BF165" t="str">
        <f t="shared" si="982"/>
        <v/>
      </c>
      <c r="BG165" t="str">
        <f t="shared" si="983"/>
        <v/>
      </c>
      <c r="BH165" t="str">
        <f t="shared" si="984"/>
        <v/>
      </c>
      <c r="BI165" t="str">
        <f t="shared" si="985"/>
        <v/>
      </c>
      <c r="BJ165" t="str">
        <f t="shared" si="986"/>
        <v/>
      </c>
      <c r="BK165" t="str">
        <f t="shared" si="987"/>
        <v/>
      </c>
      <c r="BL165" t="str">
        <f t="shared" si="988"/>
        <v/>
      </c>
      <c r="BM165" t="str">
        <f t="shared" si="989"/>
        <v/>
      </c>
      <c r="BN165" t="str">
        <f t="shared" si="990"/>
        <v/>
      </c>
      <c r="BO165" t="str">
        <f t="shared" si="991"/>
        <v/>
      </c>
      <c r="BP165" t="str">
        <f t="shared" si="992"/>
        <v/>
      </c>
      <c r="BQ165" t="str">
        <f t="shared" si="993"/>
        <v/>
      </c>
      <c r="BR165" t="str">
        <f t="shared" si="994"/>
        <v/>
      </c>
      <c r="BS165" t="str">
        <f t="shared" si="995"/>
        <v/>
      </c>
      <c r="BT165" t="str">
        <f t="shared" si="996"/>
        <v/>
      </c>
      <c r="BU165" t="str">
        <f t="shared" si="997"/>
        <v/>
      </c>
      <c r="BV165" t="str">
        <f t="shared" si="998"/>
        <v/>
      </c>
      <c r="BW165" t="str">
        <f t="shared" si="999"/>
        <v/>
      </c>
      <c r="BX165" t="str">
        <f t="shared" si="1000"/>
        <v/>
      </c>
      <c r="BY165" t="str">
        <f t="shared" si="1001"/>
        <v/>
      </c>
      <c r="BZ165" t="str">
        <f t="shared" si="1002"/>
        <v/>
      </c>
      <c r="CA165" t="str">
        <f t="shared" si="1003"/>
        <v/>
      </c>
      <c r="CB165" t="str">
        <f t="shared" si="1004"/>
        <v/>
      </c>
      <c r="CC165" t="str">
        <f t="shared" si="1005"/>
        <v/>
      </c>
      <c r="CD165" t="str">
        <f t="shared" si="1006"/>
        <v/>
      </c>
      <c r="CE165" t="str">
        <f t="shared" si="1007"/>
        <v/>
      </c>
      <c r="CF165" t="str">
        <f t="shared" si="1008"/>
        <v/>
      </c>
      <c r="CG165" t="str">
        <f t="shared" si="1009"/>
        <v/>
      </c>
      <c r="CH165" t="str">
        <f t="shared" si="1226"/>
        <v/>
      </c>
      <c r="CI165" t="str">
        <f t="shared" si="1227"/>
        <v/>
      </c>
      <c r="CJ165" t="str">
        <f>IF($CI165="","",IF(OR($DW165="",$DX165=""),"ONZEKER",IF(OR($CF165="",$CG165=""),"ONZEKER",IF(AND($DW165=$CF165+1,$DX165=$CG165),IF(OR(COUNTIF(#REF!,$B165)&gt;0,COUNTIF(#REF!,$B165)=0),"SKIP",IF(COUNTIFS(#REF!,$B165,#REF!,$CI165)&gt;0,"OK","ONBEKEND")),IF(AND($DW165=$CF165,$DX165=$CG165+1),IF(OR(COUNTIF(#REF!,$D165)&gt;0,COUNTIF(#REF!,$D165)=0),"SKIP",IF(COUNTIFS(#REF!,$D165,#REF!,$CI165)&gt;0,"OK","ONBEKEND")),"ONZEKER")))))</f>
        <v/>
      </c>
      <c r="CK165" t="str">
        <f t="shared" si="1228"/>
        <v/>
      </c>
      <c r="CL165" t="str">
        <f t="shared" si="1229"/>
        <v/>
      </c>
      <c r="CM165" t="str">
        <f>IF($CL165="","",IF(OR($DZ165="",$EA165=""),"ONZEKER",IF(OR($DW165="",$DX165=""),"ONZEKER",IF(AND($DZ165=$DW165+1,$EA165=$DX165),IF(OR(COUNTIF(#REF!,$B165)&gt;0,COUNTIF(#REF!,$B165)=0),"SKIP",IF(COUNTIFS(#REF!,$B165,#REF!,$CL165)&gt;0,"OK","ONBEKEND")),IF(AND($DZ165=$DW165,$EA165=$DX165+1),IF(OR(COUNTIF(#REF!,$D165)&gt;0,COUNTIF(#REF!,$D165)=0),"SKIP",IF(COUNTIFS(#REF!,$D165,#REF!,$CL165)&gt;0,"OK","ONBEKEND")),"ONZEKER")))))</f>
        <v/>
      </c>
      <c r="CN165" t="str">
        <f t="shared" si="1230"/>
        <v/>
      </c>
      <c r="CO165" t="str">
        <f t="shared" si="1231"/>
        <v/>
      </c>
      <c r="CP165" t="str">
        <f>IF($CO165="","",IF(OR($EC165="",$ED165=""),"ONZEKER",IF(OR($DZ165="",$EA165=""),"ONZEKER",IF(AND($EC165=$DZ165+1,$ED165=$EA165),IF(OR(COUNTIF(#REF!,$B165)&gt;0,COUNTIF(#REF!,$B165)=0),"SKIP",IF(COUNTIFS(#REF!,$B165,#REF!,$CO165)&gt;0,"OK","ONBEKEND")),IF(AND($EC165=$DZ165,$ED165=$EA165+1),IF(OR(COUNTIF(#REF!,$D165)&gt;0,COUNTIF(#REF!,$D165)=0),"SKIP",IF(COUNTIFS(#REF!,$D165,#REF!,$CO165)&gt;0,"OK","ONBEKEND")),"ONZEKER")))))</f>
        <v/>
      </c>
      <c r="CQ165" t="str">
        <f t="shared" si="1232"/>
        <v/>
      </c>
      <c r="CR165" t="str">
        <f t="shared" si="1233"/>
        <v/>
      </c>
      <c r="CS165" t="str">
        <f>IF($CR165="","",IF(OR($EF165="",$EG165=""),"ONZEKER",IF(OR($EC165="",$ED165=""),"ONZEKER",IF(AND($EF165=$EC165+1,$EG165=$ED165),IF(OR(COUNTIF(#REF!,$B165)&gt;0,COUNTIF(#REF!,$B165)=0),"SKIP",IF(COUNTIFS(#REF!,$B165,#REF!,$CR165)&gt;0,"OK","ONBEKEND")),IF(AND($EF165=$EC165,$EG165=$ED165+1),IF(OR(COUNTIF(#REF!,$D165)&gt;0,COUNTIF(#REF!,$D165)=0),"SKIP",IF(COUNTIFS(#REF!,$D165,#REF!,$CR165)&gt;0,"OK","ONBEKEND")),"ONZEKER")))))</f>
        <v/>
      </c>
      <c r="CT165" t="str">
        <f t="shared" si="1234"/>
        <v/>
      </c>
      <c r="CU165" t="str">
        <f t="shared" si="1235"/>
        <v/>
      </c>
      <c r="CV165" t="str">
        <f>IF($CU165="","",IF(OR($EI165="",$EJ165=""),"ONZEKER",IF(OR($EF165="",$EG165=""),"ONZEKER",IF(AND($EI165=$EF165+1,$EJ165=$EG165),IF(OR(COUNTIF(#REF!,$B165)&gt;0,COUNTIF(#REF!,$B165)=0),"SKIP",IF(COUNTIFS(#REF!,$B165,#REF!,$CU165)&gt;0,"OK","ONBEKEND")),IF(AND($EI165=$EF165,$EJ165=$EG165+1),IF(OR(COUNTIF(#REF!,$D165)&gt;0,COUNTIF(#REF!,$D165)=0),"SKIP",IF(COUNTIFS(#REF!,$D165,#REF!,$CU165)&gt;0,"OK","ONBEKEND")),"ONZEKER")))))</f>
        <v/>
      </c>
      <c r="CW165" t="str">
        <f t="shared" si="1236"/>
        <v/>
      </c>
      <c r="CX165" t="str">
        <f t="shared" si="1237"/>
        <v/>
      </c>
      <c r="CY165" t="str">
        <f>IF($CX165="","",IF(OR($EL165="",$EM165=""),"ONZEKER",IF(OR($EI165="",$EJ165=""),"ONZEKER",IF(AND($EL165=$EI165+1,$EM165=$EJ165),IF(OR(COUNTIF(#REF!,$B165)&gt;0,COUNTIF(#REF!,$B165)=0),"SKIP",IF(COUNTIFS(#REF!,$B165,#REF!,$CX165)&gt;0,"OK","ONBEKEND")),IF(AND($EL165=$EI165,$EM165=$EJ165+1),IF(OR(COUNTIF(#REF!,$D165)&gt;0,COUNTIF(#REF!,$D165)=0),"SKIP",IF(COUNTIFS(#REF!,$D165,#REF!,$CX165)&gt;0,"OK","ONBEKEND")),"ONZEKER")))))</f>
        <v/>
      </c>
      <c r="CZ165" t="str">
        <f t="shared" si="1238"/>
        <v/>
      </c>
      <c r="DA165" t="str">
        <f t="shared" si="1239"/>
        <v/>
      </c>
      <c r="DB165" t="str">
        <f>IF($DA165="","",IF(OR($EO165="",$EP165=""),"ONZEKER",IF(OR($EL165="",$EM165=""),"ONZEKER",IF(AND($EO165=$EL165+1,$EP165=$EM165),IF(OR(COUNTIF(#REF!,$B165)&gt;0,COUNTIF(#REF!,$B165)=0),"SKIP",IF(COUNTIFS(#REF!,$B165,#REF!,$DA165)&gt;0,"OK","ONBEKEND")),IF(AND($EO165=$EL165,$EP165=$EM165+1),IF(OR(COUNTIF(#REF!,$D165)&gt;0,COUNTIF(#REF!,$D165)=0),"SKIP",IF(COUNTIFS(#REF!,$D165,#REF!,$DA165)&gt;0,"OK","ONBEKEND")),"ONZEKER")))))</f>
        <v/>
      </c>
      <c r="DC165" t="str">
        <f t="shared" si="1240"/>
        <v/>
      </c>
      <c r="DD165" t="str">
        <f t="shared" si="1241"/>
        <v/>
      </c>
      <c r="DE165" t="str">
        <f>IF($DD165="","",IF(OR($ER165="",$ES165=""),"ONZEKER",IF(OR($EO165="",$EP165=""),"ONZEKER",IF(AND($ER165=$EO165+1,$ES165=$EP165),IF(OR(COUNTIF(#REF!,$B165)&gt;0,COUNTIF(#REF!,$B165)=0),"SKIP",IF(COUNTIFS(#REF!,$B165,#REF!,$DD165)&gt;0,"OK","ONBEKEND")),IF(AND($ER165=$EO165,$ES165=$EP165+1),IF(OR(COUNTIF(#REF!,$D165)&gt;0,COUNTIF(#REF!,$D165)=0),"SKIP",IF(COUNTIFS(#REF!,$D165,#REF!,$DD165)&gt;0,"OK","ONBEKEND")),"ONZEKER")))))</f>
        <v/>
      </c>
      <c r="DF165" t="str">
        <f t="shared" si="1242"/>
        <v/>
      </c>
      <c r="DG165" t="str">
        <f t="shared" si="1243"/>
        <v/>
      </c>
      <c r="DH165" t="str">
        <f>IF($DG165="","",IF(OR($EU165="",$EV165=""),"ONZEKER",IF(OR($ER165="",$ES165=""),"ONZEKER",IF(AND($EU165=$ER165+1,$EV165=$ES165),IF(OR(COUNTIF(#REF!,$B165)&gt;0,COUNTIF(#REF!,$B165)=0),"SKIP",IF(COUNTIFS(#REF!,$B165,#REF!,$DG165)&gt;0,"OK","ONBEKEND")),IF(AND($EU165=$ER165,$EV165=$ES165+1),IF(OR(COUNTIF(#REF!,$D165)&gt;0,COUNTIF(#REF!,$D165)=0),"SKIP",IF(COUNTIFS(#REF!,$D165,#REF!,$DG165)&gt;0,"OK","ONBEKEND")),"ONZEKER")))))</f>
        <v/>
      </c>
      <c r="DI165" t="str">
        <f t="shared" si="1244"/>
        <v/>
      </c>
      <c r="DJ165" t="str">
        <f t="shared" si="1245"/>
        <v/>
      </c>
      <c r="DK165" t="str">
        <f>IF($DJ165="","",IF(OR($EX165="",$EY165=""),"ONZEKER",IF(OR($EU165="",$EV165=""),"ONZEKER",IF(AND($EX165=$EU165+1,$EY165=$EV165),IF(OR(COUNTIF(#REF!,$B165)&gt;0,COUNTIF(#REF!,$B165)=0),"SKIP",IF(COUNTIFS(#REF!,$B165,#REF!,$DJ165)&gt;0,"OK","ONBEKEND")),IF(AND($EX165=$EU165,$EY165=$EV165+1),IF(OR(COUNTIF(#REF!,$D165)&gt;0,COUNTIF(#REF!,$D165)=0),"SKIP",IF(COUNTIFS(#REF!,$D165,#REF!,$DJ165)&gt;0,"OK","ONBEKEND")),"ONZEKER")))))</f>
        <v/>
      </c>
      <c r="DL165" t="str">
        <f t="shared" si="1246"/>
        <v/>
      </c>
      <c r="DM165" t="str">
        <f t="shared" si="1247"/>
        <v/>
      </c>
      <c r="DN165" t="str">
        <f t="shared" si="1248"/>
        <v/>
      </c>
      <c r="DO165" t="str">
        <f t="shared" si="1249"/>
        <v/>
      </c>
      <c r="DP165" t="str">
        <f t="shared" si="1250"/>
        <v/>
      </c>
      <c r="DQ165" t="str">
        <f t="shared" si="1251"/>
        <v/>
      </c>
      <c r="DR165" t="str">
        <f t="shared" si="1252"/>
        <v/>
      </c>
      <c r="DS165" t="str">
        <f t="shared" si="1253"/>
        <v/>
      </c>
      <c r="DT165" t="str">
        <f t="shared" si="1254"/>
        <v/>
      </c>
      <c r="DU165" t="str">
        <f t="shared" si="1255"/>
        <v/>
      </c>
      <c r="DV165" t="str">
        <f t="shared" si="1256"/>
        <v/>
      </c>
      <c r="DW165" t="str">
        <f t="shared" si="1257"/>
        <v/>
      </c>
      <c r="DX165" t="str">
        <f t="shared" si="1258"/>
        <v/>
      </c>
      <c r="DY165" t="str">
        <f t="shared" si="1259"/>
        <v/>
      </c>
      <c r="DZ165" t="str">
        <f t="shared" si="1260"/>
        <v/>
      </c>
      <c r="EA165" t="str">
        <f t="shared" si="1261"/>
        <v/>
      </c>
      <c r="EB165" t="str">
        <f t="shared" si="1262"/>
        <v/>
      </c>
      <c r="EC165" t="str">
        <f t="shared" si="1263"/>
        <v/>
      </c>
      <c r="ED165" t="str">
        <f t="shared" si="1264"/>
        <v/>
      </c>
      <c r="EE165" t="str">
        <f t="shared" si="1265"/>
        <v/>
      </c>
      <c r="EF165" t="str">
        <f t="shared" si="1266"/>
        <v/>
      </c>
      <c r="EG165" t="str">
        <f t="shared" si="1267"/>
        <v/>
      </c>
      <c r="EH165" t="str">
        <f t="shared" si="1268"/>
        <v/>
      </c>
      <c r="EI165" t="str">
        <f t="shared" si="1269"/>
        <v/>
      </c>
      <c r="EJ165" t="str">
        <f t="shared" si="1270"/>
        <v/>
      </c>
      <c r="EK165" t="str">
        <f t="shared" si="1271"/>
        <v/>
      </c>
      <c r="EL165" t="str">
        <f t="shared" si="1272"/>
        <v/>
      </c>
      <c r="EM165" t="str">
        <f t="shared" si="1273"/>
        <v/>
      </c>
      <c r="EN165" t="str">
        <f t="shared" si="1274"/>
        <v/>
      </c>
      <c r="EO165" t="str">
        <f t="shared" si="1275"/>
        <v/>
      </c>
      <c r="EP165" t="str">
        <f t="shared" si="1276"/>
        <v/>
      </c>
      <c r="EQ165" t="str">
        <f t="shared" si="1277"/>
        <v/>
      </c>
      <c r="ER165" t="str">
        <f t="shared" si="1278"/>
        <v/>
      </c>
      <c r="ES165" t="str">
        <f t="shared" si="1279"/>
        <v/>
      </c>
      <c r="ET165" t="str">
        <f t="shared" si="1280"/>
        <v/>
      </c>
      <c r="EU165" t="str">
        <f t="shared" si="1281"/>
        <v/>
      </c>
      <c r="EV165" t="str">
        <f t="shared" si="1282"/>
        <v/>
      </c>
      <c r="EW165" t="str">
        <f t="shared" si="1283"/>
        <v/>
      </c>
      <c r="EX165" t="str">
        <f t="shared" si="1284"/>
        <v/>
      </c>
      <c r="EY165" t="str">
        <f t="shared" si="1285"/>
        <v/>
      </c>
    </row>
    <row r="166" spans="1:155" ht="13.9" customHeight="1" x14ac:dyDescent="0.25">
      <c r="A166" s="7"/>
      <c r="B166" s="17"/>
      <c r="C166" s="8"/>
      <c r="D166" s="17"/>
      <c r="E166" s="8"/>
      <c r="F166" s="18">
        <v>0</v>
      </c>
      <c r="G166" s="7" t="s">
        <v>147</v>
      </c>
      <c r="H166" s="18">
        <v>0</v>
      </c>
      <c r="I166" s="19">
        <v>0</v>
      </c>
      <c r="J166" s="7" t="s">
        <v>147</v>
      </c>
      <c r="K166" s="19">
        <v>0</v>
      </c>
      <c r="L166" s="9"/>
      <c r="M166" s="3" t="str">
        <f>IF($L166="","",IF($L166="DOELPUNTENMAKERS","",IF(AND(COUNTIF(#REF!,$B166)=0,COUNTIF(#REF!,$D166)=0),"OK",IF($O166&gt;20,"LET OP: meer dan 20 items (controle onvolledig)",IF((COUNTIF($R166:$AS166,"ONZEKER")+COUNTIF($CJ166:$DK166,"ONZEKER"))&gt;0,"LET OP: scoreverloop onduidelijk (controle beperkt)",IF((IF($AT166&lt;&gt;"",$AT166&amp;", ","")&amp;IF($AU166&lt;&gt;"",$AU166&amp;", ","")&amp;IF($AV166&lt;&gt;"",$AV166&amp;", ","")&amp;IF($AW166&lt;&gt;"",$AW166&amp;", ","")&amp;IF($AX166&lt;&gt;"",$AX166&amp;", ","")&amp;IF($AY166&lt;&gt;"",$AY166&amp;", ","")&amp;IF($AZ166&lt;&gt;"",$AZ166&amp;", ","")&amp;IF($BA166&lt;&gt;"",$BA166&amp;", ","")&amp;IF($BB166&lt;&gt;"",$BB166&amp;", ","")&amp;IF($BC166&lt;&gt;"",$BC166&amp;", ","")&amp;IF($DL166&lt;&gt;"",$DL166&amp;", ","")&amp;IF($DM166&lt;&gt;"",$DM166&amp;", ","")&amp;IF($DN166&lt;&gt;"",$DN166&amp;", ","")&amp;IF($DO166&lt;&gt;"",$DO166&amp;", ","")&amp;IF($DP166&lt;&gt;"",$DP166&amp;", ","")&amp;IF($DQ166&lt;&gt;"",$DQ166&amp;", ","")&amp;IF($DR166&lt;&gt;"",$DR166&amp;", ","")&amp;IF($DS166&lt;&gt;"",$DS166&amp;", ","")&amp;IF($DT166&lt;&gt;"",$DT166&amp;", ","")&amp;IF($DU166&lt;&gt;"",$DU166&amp;", ",""))="","OK","Onbekend: "&amp;LEFT((IF($AT166&lt;&gt;"",$AT166&amp;", ","")&amp;IF($AU166&lt;&gt;"",$AU166&amp;", ","")&amp;IF($AV166&lt;&gt;"",$AV166&amp;", ","")&amp;IF($AW166&lt;&gt;"",$AW166&amp;", ","")&amp;IF($AX166&lt;&gt;"",$AX166&amp;", ","")&amp;IF($AY166&lt;&gt;"",$AY166&amp;", ","")&amp;IF($AZ166&lt;&gt;"",$AZ166&amp;", ","")&amp;IF($BA166&lt;&gt;"",$BA166&amp;", ","")&amp;IF($BB166&lt;&gt;"",$BB166&amp;", ","")&amp;IF($BC166&lt;&gt;"",$BC166&amp;", ","")&amp;IF($DL166&lt;&gt;"",$DL166&amp;", ","")&amp;IF($DM166&lt;&gt;"",$DM166&amp;", ","")&amp;IF($DN166&lt;&gt;"",$DN166&amp;", ","")&amp;IF($DO166&lt;&gt;"",$DO166&amp;", ","")&amp;IF($DP166&lt;&gt;"",$DP166&amp;", ","")&amp;IF($DQ166&lt;&gt;"",$DQ166&amp;", ","")&amp;IF($DR166&lt;&gt;"",$DR166&amp;", ","")&amp;IF($DS166&lt;&gt;"",$DS166&amp;", ","")&amp;IF($DT166&lt;&gt;"",$DT166&amp;", ","")&amp;IF($DU166&lt;&gt;"",$DU166&amp;", ","")),LEN((IF($AT166&lt;&gt;"",$AT166&amp;", ","")&amp;IF($AU166&lt;&gt;"",$AU166&amp;", ","")&amp;IF($AV166&lt;&gt;"",$AV166&amp;", ","")&amp;IF($AW166&lt;&gt;"",$AW166&amp;", ","")&amp;IF($AX166&lt;&gt;"",$AX166&amp;", ","")&amp;IF($AY166&lt;&gt;"",$AY166&amp;", ","")&amp;IF($AZ166&lt;&gt;"",$AZ166&amp;", ","")&amp;IF($BA166&lt;&gt;"",$BA166&amp;", ","")&amp;IF($BB166&lt;&gt;"",$BB166&amp;", ","")&amp;IF($BC166&lt;&gt;"",$BC166&amp;", ","")&amp;IF($DL166&lt;&gt;"",$DL166&amp;", ","")&amp;IF($DM166&lt;&gt;"",$DM166&amp;", ","")&amp;IF($DN166&lt;&gt;"",$DN166&amp;", ","")&amp;IF($DO166&lt;&gt;"",$DO166&amp;", ","")&amp;IF($DP166&lt;&gt;"",$DP166&amp;", ","")&amp;IF($DQ166&lt;&gt;"",$DQ166&amp;", ","")&amp;IF($DR166&lt;&gt;"",$DR166&amp;", ","")&amp;IF($DS166&lt;&gt;"",$DS166&amp;", ","")&amp;IF($DT166&lt;&gt;"",$DT166&amp;", ","")&amp;IF($DU166&lt;&gt;"",$DU166&amp;", ","")))-2)))))))</f>
        <v/>
      </c>
      <c r="N166" t="str">
        <f t="shared" si="1194"/>
        <v/>
      </c>
      <c r="O166" t="str">
        <f t="shared" si="1195"/>
        <v/>
      </c>
      <c r="P166" t="str">
        <f t="shared" si="1196"/>
        <v/>
      </c>
      <c r="Q166" t="str">
        <f t="shared" si="1197"/>
        <v/>
      </c>
      <c r="R166" t="str">
        <f>IF($Q166="","",IF(OR($BE166="",$BF166=""),"ONZEKER",IF(AND($BE166=0+1,$BF166=0),IF(OR(COUNTIF(#REF!,$B166)&gt;0,COUNTIF(#REF!,$B166)=0),"SKIP",IF(COUNTIFS(#REF!,$B166,#REF!,$Q166)&gt;0,"OK","ONBEKEND")),IF(AND($BE166=0,$BF166=0+1),IF(OR(COUNTIF(#REF!,$D166)&gt;0,COUNTIF(#REF!,$D166)=0),"SKIP",IF(COUNTIFS(#REF!,$D166,#REF!,$Q166)&gt;0,"OK","ONBEKEND")),"ONZEKER"))))</f>
        <v/>
      </c>
      <c r="S166" t="str">
        <f t="shared" si="1198"/>
        <v/>
      </c>
      <c r="T166" t="str">
        <f t="shared" si="1199"/>
        <v/>
      </c>
      <c r="U166" t="str">
        <f>IF($T166="","",IF(OR($BH166="",$BI166=""),"ONZEKER",IF(OR($BE166="",$BF166=""),"ONZEKER",IF(AND($BH166=$BE166+1,$BI166=$BF166),IF(OR(COUNTIF(#REF!,$B166)&gt;0,COUNTIF(#REF!,$B166)=0),"SKIP",IF(COUNTIFS(#REF!,$B166,#REF!,$T166)&gt;0,"OK","ONBEKEND")),IF(AND($BH166=$BE166,$BI166=$BF166+1),IF(OR(COUNTIF(#REF!,$D166)&gt;0,COUNTIF(#REF!,$D166)=0),"SKIP",IF(COUNTIFS(#REF!,$D166,#REF!,$T166)&gt;0,"OK","ONBEKEND")),"ONZEKER")))))</f>
        <v/>
      </c>
      <c r="V166" t="str">
        <f t="shared" si="1200"/>
        <v/>
      </c>
      <c r="W166" t="str">
        <f t="shared" si="1201"/>
        <v/>
      </c>
      <c r="X166" t="str">
        <f>IF($W166="","",IF(OR($BK166="",$BL166=""),"ONZEKER",IF(OR($BH166="",$BI166=""),"ONZEKER",IF(AND($BK166=$BH166+1,$BL166=$BI166),IF(OR(COUNTIF(#REF!,$B166)&gt;0,COUNTIF(#REF!,$B166)=0),"SKIP",IF(COUNTIFS(#REF!,$B166,#REF!,$W166)&gt;0,"OK","ONBEKEND")),IF(AND($BK166=$BH166,$BL166=$BI166+1),IF(OR(COUNTIF(#REF!,$D166)&gt;0,COUNTIF(#REF!,$D166)=0),"SKIP",IF(COUNTIFS(#REF!,$D166,#REF!,$W166)&gt;0,"OK","ONBEKEND")),"ONZEKER")))))</f>
        <v/>
      </c>
      <c r="Y166" t="str">
        <f t="shared" si="1202"/>
        <v/>
      </c>
      <c r="Z166" t="str">
        <f t="shared" si="1203"/>
        <v/>
      </c>
      <c r="AA166" t="str">
        <f>IF($Z166="","",IF(OR($BN166="",$BO166=""),"ONZEKER",IF(OR($BK166="",$BL166=""),"ONZEKER",IF(AND($BN166=$BK166+1,$BO166=$BL166),IF(OR(COUNTIF(#REF!,$B166)&gt;0,COUNTIF(#REF!,$B166)=0),"SKIP",IF(COUNTIFS(#REF!,$B166,#REF!,$Z166)&gt;0,"OK","ONBEKEND")),IF(AND($BN166=$BK166,$BO166=$BL166+1),IF(OR(COUNTIF(#REF!,$D166)&gt;0,COUNTIF(#REF!,$D166)=0),"SKIP",IF(COUNTIFS(#REF!,$D166,#REF!,$Z166)&gt;0,"OK","ONBEKEND")),"ONZEKER")))))</f>
        <v/>
      </c>
      <c r="AB166" t="str">
        <f t="shared" si="1204"/>
        <v/>
      </c>
      <c r="AC166" t="str">
        <f t="shared" si="1205"/>
        <v/>
      </c>
      <c r="AD166" t="str">
        <f>IF($AC166="","",IF(OR($BQ166="",$BR166=""),"ONZEKER",IF(OR($BN166="",$BO166=""),"ONZEKER",IF(AND($BQ166=$BN166+1,$BR166=$BO166),IF(OR(COUNTIF(#REF!,$B166)&gt;0,COUNTIF(#REF!,$B166)=0),"SKIP",IF(COUNTIFS(#REF!,$B166,#REF!,$AC166)&gt;0,"OK","ONBEKEND")),IF(AND($BQ166=$BN166,$BR166=$BO166+1),IF(OR(COUNTIF(#REF!,$D166)&gt;0,COUNTIF(#REF!,$D166)=0),"SKIP",IF(COUNTIFS(#REF!,$D166,#REF!,$AC166)&gt;0,"OK","ONBEKEND")),"ONZEKER")))))</f>
        <v/>
      </c>
      <c r="AE166" t="str">
        <f t="shared" si="1206"/>
        <v/>
      </c>
      <c r="AF166" t="str">
        <f t="shared" si="1207"/>
        <v/>
      </c>
      <c r="AG166" t="str">
        <f>IF($AF166="","",IF(OR($BT166="",$BU166=""),"ONZEKER",IF(OR($BQ166="",$BR166=""),"ONZEKER",IF(AND($BT166=$BQ166+1,$BU166=$BR166),IF(OR(COUNTIF(#REF!,$B166)&gt;0,COUNTIF(#REF!,$B166)=0),"SKIP",IF(COUNTIFS(#REF!,$B166,#REF!,$AF166)&gt;0,"OK","ONBEKEND")),IF(AND($BT166=$BQ166,$BU166=$BR166+1),IF(OR(COUNTIF(#REF!,$D166)&gt;0,COUNTIF(#REF!,$D166)=0),"SKIP",IF(COUNTIFS(#REF!,$D166,#REF!,$AF166)&gt;0,"OK","ONBEKEND")),"ONZEKER")))))</f>
        <v/>
      </c>
      <c r="AH166" t="str">
        <f t="shared" si="1208"/>
        <v/>
      </c>
      <c r="AI166" t="str">
        <f t="shared" si="1209"/>
        <v/>
      </c>
      <c r="AJ166" t="str">
        <f>IF($AI166="","",IF(OR($BW166="",$BX166=""),"ONZEKER",IF(OR($BT166="",$BU166=""),"ONZEKER",IF(AND($BW166=$BT166+1,$BX166=$BU166),IF(OR(COUNTIF(#REF!,$B166)&gt;0,COUNTIF(#REF!,$B166)=0),"SKIP",IF(COUNTIFS(#REF!,$B166,#REF!,$AI166)&gt;0,"OK","ONBEKEND")),IF(AND($BW166=$BT166,$BX166=$BU166+1),IF(OR(COUNTIF(#REF!,$D166)&gt;0,COUNTIF(#REF!,$D166)=0),"SKIP",IF(COUNTIFS(#REF!,$D166,#REF!,$AI166)&gt;0,"OK","ONBEKEND")),"ONZEKER")))))</f>
        <v/>
      </c>
      <c r="AK166" t="str">
        <f t="shared" si="1210"/>
        <v/>
      </c>
      <c r="AL166" t="str">
        <f t="shared" si="1211"/>
        <v/>
      </c>
      <c r="AM166" t="str">
        <f>IF($AL166="","",IF(OR($BZ166="",$CA166=""),"ONZEKER",IF(OR($BW166="",$BX166=""),"ONZEKER",IF(AND($BZ166=$BW166+1,$CA166=$BX166),IF(OR(COUNTIF(#REF!,$B166)&gt;0,COUNTIF(#REF!,$B166)=0),"SKIP",IF(COUNTIFS(#REF!,$B166,#REF!,$AL166)&gt;0,"OK","ONBEKEND")),IF(AND($BZ166=$BW166,$CA166=$BX166+1),IF(OR(COUNTIF(#REF!,$D166)&gt;0,COUNTIF(#REF!,$D166)=0),"SKIP",IF(COUNTIFS(#REF!,$D166,#REF!,$AL166)&gt;0,"OK","ONBEKEND")),"ONZEKER")))))</f>
        <v/>
      </c>
      <c r="AN166" t="str">
        <f t="shared" si="1212"/>
        <v/>
      </c>
      <c r="AO166" t="str">
        <f t="shared" si="1213"/>
        <v/>
      </c>
      <c r="AP166" t="str">
        <f>IF($AO166="","",IF(OR($CC166="",$CD166=""),"ONZEKER",IF(OR($BZ166="",$CA166=""),"ONZEKER",IF(AND($CC166=$BZ166+1,$CD166=$CA166),IF(OR(COUNTIF(#REF!,$B166)&gt;0,COUNTIF(#REF!,$B166)=0),"SKIP",IF(COUNTIFS(#REF!,$B166,#REF!,$AO166)&gt;0,"OK","ONBEKEND")),IF(AND($CC166=$BZ166,$CD166=$CA166+1),IF(OR(COUNTIF(#REF!,$D166)&gt;0,COUNTIF(#REF!,$D166)=0),"SKIP",IF(COUNTIFS(#REF!,$D166,#REF!,$AO166)&gt;0,"OK","ONBEKEND")),"ONZEKER")))))</f>
        <v/>
      </c>
      <c r="AQ166" t="str">
        <f t="shared" si="1214"/>
        <v/>
      </c>
      <c r="AR166" t="str">
        <f t="shared" si="1215"/>
        <v/>
      </c>
      <c r="AS166" t="str">
        <f>IF($AR166="","",IF(OR($CF166="",$CG166=""),"ONZEKER",IF(OR($CC166="",$CD166=""),"ONZEKER",IF(AND($CF166=$CC166+1,$CG166=$CD166),IF(OR(COUNTIF(#REF!,$B166)&gt;0,COUNTIF(#REF!,$B166)=0),"SKIP",IF(COUNTIFS(#REF!,$B166,#REF!,$AR166)&gt;0,"OK","ONBEKEND")),IF(AND($CF166=$CC166,$CG166=$CD166+1),IF(OR(COUNTIF(#REF!,$D166)&gt;0,COUNTIF(#REF!,$D166)=0),"SKIP",IF(COUNTIFS(#REF!,$D166,#REF!,$AR166)&gt;0,"OK","ONBEKEND")),"ONZEKER")))))</f>
        <v/>
      </c>
      <c r="AT166" t="str">
        <f t="shared" si="1216"/>
        <v/>
      </c>
      <c r="AU166" t="str">
        <f t="shared" si="1217"/>
        <v/>
      </c>
      <c r="AV166" t="str">
        <f t="shared" si="1218"/>
        <v/>
      </c>
      <c r="AW166" t="str">
        <f t="shared" si="1219"/>
        <v/>
      </c>
      <c r="AX166" t="str">
        <f t="shared" si="1220"/>
        <v/>
      </c>
      <c r="AY166" t="str">
        <f t="shared" si="1221"/>
        <v/>
      </c>
      <c r="AZ166" t="str">
        <f t="shared" si="1222"/>
        <v/>
      </c>
      <c r="BA166" t="str">
        <f t="shared" si="1223"/>
        <v/>
      </c>
      <c r="BB166" t="str">
        <f t="shared" si="1224"/>
        <v/>
      </c>
      <c r="BC166" t="str">
        <f t="shared" si="1225"/>
        <v/>
      </c>
      <c r="BD166" t="str">
        <f t="shared" si="980"/>
        <v/>
      </c>
      <c r="BE166" t="str">
        <f t="shared" si="981"/>
        <v/>
      </c>
      <c r="BF166" t="str">
        <f t="shared" si="982"/>
        <v/>
      </c>
      <c r="BG166" t="str">
        <f t="shared" si="983"/>
        <v/>
      </c>
      <c r="BH166" t="str">
        <f t="shared" si="984"/>
        <v/>
      </c>
      <c r="BI166" t="str">
        <f t="shared" si="985"/>
        <v/>
      </c>
      <c r="BJ166" t="str">
        <f t="shared" si="986"/>
        <v/>
      </c>
      <c r="BK166" t="str">
        <f t="shared" si="987"/>
        <v/>
      </c>
      <c r="BL166" t="str">
        <f t="shared" si="988"/>
        <v/>
      </c>
      <c r="BM166" t="str">
        <f t="shared" si="989"/>
        <v/>
      </c>
      <c r="BN166" t="str">
        <f t="shared" si="990"/>
        <v/>
      </c>
      <c r="BO166" t="str">
        <f t="shared" si="991"/>
        <v/>
      </c>
      <c r="BP166" t="str">
        <f t="shared" si="992"/>
        <v/>
      </c>
      <c r="BQ166" t="str">
        <f t="shared" si="993"/>
        <v/>
      </c>
      <c r="BR166" t="str">
        <f t="shared" si="994"/>
        <v/>
      </c>
      <c r="BS166" t="str">
        <f t="shared" si="995"/>
        <v/>
      </c>
      <c r="BT166" t="str">
        <f t="shared" si="996"/>
        <v/>
      </c>
      <c r="BU166" t="str">
        <f t="shared" si="997"/>
        <v/>
      </c>
      <c r="BV166" t="str">
        <f t="shared" si="998"/>
        <v/>
      </c>
      <c r="BW166" t="str">
        <f t="shared" si="999"/>
        <v/>
      </c>
      <c r="BX166" t="str">
        <f t="shared" si="1000"/>
        <v/>
      </c>
      <c r="BY166" t="str">
        <f t="shared" si="1001"/>
        <v/>
      </c>
      <c r="BZ166" t="str">
        <f t="shared" si="1002"/>
        <v/>
      </c>
      <c r="CA166" t="str">
        <f t="shared" si="1003"/>
        <v/>
      </c>
      <c r="CB166" t="str">
        <f t="shared" si="1004"/>
        <v/>
      </c>
      <c r="CC166" t="str">
        <f t="shared" si="1005"/>
        <v/>
      </c>
      <c r="CD166" t="str">
        <f t="shared" si="1006"/>
        <v/>
      </c>
      <c r="CE166" t="str">
        <f t="shared" si="1007"/>
        <v/>
      </c>
      <c r="CF166" t="str">
        <f t="shared" si="1008"/>
        <v/>
      </c>
      <c r="CG166" t="str">
        <f t="shared" si="1009"/>
        <v/>
      </c>
      <c r="CH166" t="str">
        <f t="shared" si="1226"/>
        <v/>
      </c>
      <c r="CI166" t="str">
        <f t="shared" si="1227"/>
        <v/>
      </c>
      <c r="CJ166" t="str">
        <f>IF($CI166="","",IF(OR($DW166="",$DX166=""),"ONZEKER",IF(OR($CF166="",$CG166=""),"ONZEKER",IF(AND($DW166=$CF166+1,$DX166=$CG166),IF(OR(COUNTIF(#REF!,$B166)&gt;0,COUNTIF(#REF!,$B166)=0),"SKIP",IF(COUNTIFS(#REF!,$B166,#REF!,$CI166)&gt;0,"OK","ONBEKEND")),IF(AND($DW166=$CF166,$DX166=$CG166+1),IF(OR(COUNTIF(#REF!,$D166)&gt;0,COUNTIF(#REF!,$D166)=0),"SKIP",IF(COUNTIFS(#REF!,$D166,#REF!,$CI166)&gt;0,"OK","ONBEKEND")),"ONZEKER")))))</f>
        <v/>
      </c>
      <c r="CK166" t="str">
        <f t="shared" si="1228"/>
        <v/>
      </c>
      <c r="CL166" t="str">
        <f t="shared" si="1229"/>
        <v/>
      </c>
      <c r="CM166" t="str">
        <f>IF($CL166="","",IF(OR($DZ166="",$EA166=""),"ONZEKER",IF(OR($DW166="",$DX166=""),"ONZEKER",IF(AND($DZ166=$DW166+1,$EA166=$DX166),IF(OR(COUNTIF(#REF!,$B166)&gt;0,COUNTIF(#REF!,$B166)=0),"SKIP",IF(COUNTIFS(#REF!,$B166,#REF!,$CL166)&gt;0,"OK","ONBEKEND")),IF(AND($DZ166=$DW166,$EA166=$DX166+1),IF(OR(COUNTIF(#REF!,$D166)&gt;0,COUNTIF(#REF!,$D166)=0),"SKIP",IF(COUNTIFS(#REF!,$D166,#REF!,$CL166)&gt;0,"OK","ONBEKEND")),"ONZEKER")))))</f>
        <v/>
      </c>
      <c r="CN166" t="str">
        <f t="shared" si="1230"/>
        <v/>
      </c>
      <c r="CO166" t="str">
        <f t="shared" si="1231"/>
        <v/>
      </c>
      <c r="CP166" t="str">
        <f>IF($CO166="","",IF(OR($EC166="",$ED166=""),"ONZEKER",IF(OR($DZ166="",$EA166=""),"ONZEKER",IF(AND($EC166=$DZ166+1,$ED166=$EA166),IF(OR(COUNTIF(#REF!,$B166)&gt;0,COUNTIF(#REF!,$B166)=0),"SKIP",IF(COUNTIFS(#REF!,$B166,#REF!,$CO166)&gt;0,"OK","ONBEKEND")),IF(AND($EC166=$DZ166,$ED166=$EA166+1),IF(OR(COUNTIF(#REF!,$D166)&gt;0,COUNTIF(#REF!,$D166)=0),"SKIP",IF(COUNTIFS(#REF!,$D166,#REF!,$CO166)&gt;0,"OK","ONBEKEND")),"ONZEKER")))))</f>
        <v/>
      </c>
      <c r="CQ166" t="str">
        <f t="shared" si="1232"/>
        <v/>
      </c>
      <c r="CR166" t="str">
        <f t="shared" si="1233"/>
        <v/>
      </c>
      <c r="CS166" t="str">
        <f>IF($CR166="","",IF(OR($EF166="",$EG166=""),"ONZEKER",IF(OR($EC166="",$ED166=""),"ONZEKER",IF(AND($EF166=$EC166+1,$EG166=$ED166),IF(OR(COUNTIF(#REF!,$B166)&gt;0,COUNTIF(#REF!,$B166)=0),"SKIP",IF(COUNTIFS(#REF!,$B166,#REF!,$CR166)&gt;0,"OK","ONBEKEND")),IF(AND($EF166=$EC166,$EG166=$ED166+1),IF(OR(COUNTIF(#REF!,$D166)&gt;0,COUNTIF(#REF!,$D166)=0),"SKIP",IF(COUNTIFS(#REF!,$D166,#REF!,$CR166)&gt;0,"OK","ONBEKEND")),"ONZEKER")))))</f>
        <v/>
      </c>
      <c r="CT166" t="str">
        <f t="shared" si="1234"/>
        <v/>
      </c>
      <c r="CU166" t="str">
        <f t="shared" si="1235"/>
        <v/>
      </c>
      <c r="CV166" t="str">
        <f>IF($CU166="","",IF(OR($EI166="",$EJ166=""),"ONZEKER",IF(OR($EF166="",$EG166=""),"ONZEKER",IF(AND($EI166=$EF166+1,$EJ166=$EG166),IF(OR(COUNTIF(#REF!,$B166)&gt;0,COUNTIF(#REF!,$B166)=0),"SKIP",IF(COUNTIFS(#REF!,$B166,#REF!,$CU166)&gt;0,"OK","ONBEKEND")),IF(AND($EI166=$EF166,$EJ166=$EG166+1),IF(OR(COUNTIF(#REF!,$D166)&gt;0,COUNTIF(#REF!,$D166)=0),"SKIP",IF(COUNTIFS(#REF!,$D166,#REF!,$CU166)&gt;0,"OK","ONBEKEND")),"ONZEKER")))))</f>
        <v/>
      </c>
      <c r="CW166" t="str">
        <f t="shared" si="1236"/>
        <v/>
      </c>
      <c r="CX166" t="str">
        <f t="shared" si="1237"/>
        <v/>
      </c>
      <c r="CY166" t="str">
        <f>IF($CX166="","",IF(OR($EL166="",$EM166=""),"ONZEKER",IF(OR($EI166="",$EJ166=""),"ONZEKER",IF(AND($EL166=$EI166+1,$EM166=$EJ166),IF(OR(COUNTIF(#REF!,$B166)&gt;0,COUNTIF(#REF!,$B166)=0),"SKIP",IF(COUNTIFS(#REF!,$B166,#REF!,$CX166)&gt;0,"OK","ONBEKEND")),IF(AND($EL166=$EI166,$EM166=$EJ166+1),IF(OR(COUNTIF(#REF!,$D166)&gt;0,COUNTIF(#REF!,$D166)=0),"SKIP",IF(COUNTIFS(#REF!,$D166,#REF!,$CX166)&gt;0,"OK","ONBEKEND")),"ONZEKER")))))</f>
        <v/>
      </c>
      <c r="CZ166" t="str">
        <f t="shared" si="1238"/>
        <v/>
      </c>
      <c r="DA166" t="str">
        <f t="shared" si="1239"/>
        <v/>
      </c>
      <c r="DB166" t="str">
        <f>IF($DA166="","",IF(OR($EO166="",$EP166=""),"ONZEKER",IF(OR($EL166="",$EM166=""),"ONZEKER",IF(AND($EO166=$EL166+1,$EP166=$EM166),IF(OR(COUNTIF(#REF!,$B166)&gt;0,COUNTIF(#REF!,$B166)=0),"SKIP",IF(COUNTIFS(#REF!,$B166,#REF!,$DA166)&gt;0,"OK","ONBEKEND")),IF(AND($EO166=$EL166,$EP166=$EM166+1),IF(OR(COUNTIF(#REF!,$D166)&gt;0,COUNTIF(#REF!,$D166)=0),"SKIP",IF(COUNTIFS(#REF!,$D166,#REF!,$DA166)&gt;0,"OK","ONBEKEND")),"ONZEKER")))))</f>
        <v/>
      </c>
      <c r="DC166" t="str">
        <f t="shared" si="1240"/>
        <v/>
      </c>
      <c r="DD166" t="str">
        <f t="shared" si="1241"/>
        <v/>
      </c>
      <c r="DE166" t="str">
        <f>IF($DD166="","",IF(OR($ER166="",$ES166=""),"ONZEKER",IF(OR($EO166="",$EP166=""),"ONZEKER",IF(AND($ER166=$EO166+1,$ES166=$EP166),IF(OR(COUNTIF(#REF!,$B166)&gt;0,COUNTIF(#REF!,$B166)=0),"SKIP",IF(COUNTIFS(#REF!,$B166,#REF!,$DD166)&gt;0,"OK","ONBEKEND")),IF(AND($ER166=$EO166,$ES166=$EP166+1),IF(OR(COUNTIF(#REF!,$D166)&gt;0,COUNTIF(#REF!,$D166)=0),"SKIP",IF(COUNTIFS(#REF!,$D166,#REF!,$DD166)&gt;0,"OK","ONBEKEND")),"ONZEKER")))))</f>
        <v/>
      </c>
      <c r="DF166" t="str">
        <f t="shared" si="1242"/>
        <v/>
      </c>
      <c r="DG166" t="str">
        <f t="shared" si="1243"/>
        <v/>
      </c>
      <c r="DH166" t="str">
        <f>IF($DG166="","",IF(OR($EU166="",$EV166=""),"ONZEKER",IF(OR($ER166="",$ES166=""),"ONZEKER",IF(AND($EU166=$ER166+1,$EV166=$ES166),IF(OR(COUNTIF(#REF!,$B166)&gt;0,COUNTIF(#REF!,$B166)=0),"SKIP",IF(COUNTIFS(#REF!,$B166,#REF!,$DG166)&gt;0,"OK","ONBEKEND")),IF(AND($EU166=$ER166,$EV166=$ES166+1),IF(OR(COUNTIF(#REF!,$D166)&gt;0,COUNTIF(#REF!,$D166)=0),"SKIP",IF(COUNTIFS(#REF!,$D166,#REF!,$DG166)&gt;0,"OK","ONBEKEND")),"ONZEKER")))))</f>
        <v/>
      </c>
      <c r="DI166" t="str">
        <f t="shared" si="1244"/>
        <v/>
      </c>
      <c r="DJ166" t="str">
        <f t="shared" si="1245"/>
        <v/>
      </c>
      <c r="DK166" t="str">
        <f>IF($DJ166="","",IF(OR($EX166="",$EY166=""),"ONZEKER",IF(OR($EU166="",$EV166=""),"ONZEKER",IF(AND($EX166=$EU166+1,$EY166=$EV166),IF(OR(COUNTIF(#REF!,$B166)&gt;0,COUNTIF(#REF!,$B166)=0),"SKIP",IF(COUNTIFS(#REF!,$B166,#REF!,$DJ166)&gt;0,"OK","ONBEKEND")),IF(AND($EX166=$EU166,$EY166=$EV166+1),IF(OR(COUNTIF(#REF!,$D166)&gt;0,COUNTIF(#REF!,$D166)=0),"SKIP",IF(COUNTIFS(#REF!,$D166,#REF!,$DJ166)&gt;0,"OK","ONBEKEND")),"ONZEKER")))))</f>
        <v/>
      </c>
      <c r="DL166" t="str">
        <f t="shared" si="1246"/>
        <v/>
      </c>
      <c r="DM166" t="str">
        <f t="shared" si="1247"/>
        <v/>
      </c>
      <c r="DN166" t="str">
        <f t="shared" si="1248"/>
        <v/>
      </c>
      <c r="DO166" t="str">
        <f t="shared" si="1249"/>
        <v/>
      </c>
      <c r="DP166" t="str">
        <f t="shared" si="1250"/>
        <v/>
      </c>
      <c r="DQ166" t="str">
        <f t="shared" si="1251"/>
        <v/>
      </c>
      <c r="DR166" t="str">
        <f t="shared" si="1252"/>
        <v/>
      </c>
      <c r="DS166" t="str">
        <f t="shared" si="1253"/>
        <v/>
      </c>
      <c r="DT166" t="str">
        <f t="shared" si="1254"/>
        <v/>
      </c>
      <c r="DU166" t="str">
        <f t="shared" si="1255"/>
        <v/>
      </c>
      <c r="DV166" t="str">
        <f t="shared" si="1256"/>
        <v/>
      </c>
      <c r="DW166" t="str">
        <f t="shared" si="1257"/>
        <v/>
      </c>
      <c r="DX166" t="str">
        <f t="shared" si="1258"/>
        <v/>
      </c>
      <c r="DY166" t="str">
        <f t="shared" si="1259"/>
        <v/>
      </c>
      <c r="DZ166" t="str">
        <f t="shared" si="1260"/>
        <v/>
      </c>
      <c r="EA166" t="str">
        <f t="shared" si="1261"/>
        <v/>
      </c>
      <c r="EB166" t="str">
        <f t="shared" si="1262"/>
        <v/>
      </c>
      <c r="EC166" t="str">
        <f t="shared" si="1263"/>
        <v/>
      </c>
      <c r="ED166" t="str">
        <f t="shared" si="1264"/>
        <v/>
      </c>
      <c r="EE166" t="str">
        <f t="shared" si="1265"/>
        <v/>
      </c>
      <c r="EF166" t="str">
        <f t="shared" si="1266"/>
        <v/>
      </c>
      <c r="EG166" t="str">
        <f t="shared" si="1267"/>
        <v/>
      </c>
      <c r="EH166" t="str">
        <f t="shared" si="1268"/>
        <v/>
      </c>
      <c r="EI166" t="str">
        <f t="shared" si="1269"/>
        <v/>
      </c>
      <c r="EJ166" t="str">
        <f t="shared" si="1270"/>
        <v/>
      </c>
      <c r="EK166" t="str">
        <f t="shared" si="1271"/>
        <v/>
      </c>
      <c r="EL166" t="str">
        <f t="shared" si="1272"/>
        <v/>
      </c>
      <c r="EM166" t="str">
        <f t="shared" si="1273"/>
        <v/>
      </c>
      <c r="EN166" t="str">
        <f t="shared" si="1274"/>
        <v/>
      </c>
      <c r="EO166" t="str">
        <f t="shared" si="1275"/>
        <v/>
      </c>
      <c r="EP166" t="str">
        <f t="shared" si="1276"/>
        <v/>
      </c>
      <c r="EQ166" t="str">
        <f t="shared" si="1277"/>
        <v/>
      </c>
      <c r="ER166" t="str">
        <f t="shared" si="1278"/>
        <v/>
      </c>
      <c r="ES166" t="str">
        <f t="shared" si="1279"/>
        <v/>
      </c>
      <c r="ET166" t="str">
        <f t="shared" si="1280"/>
        <v/>
      </c>
      <c r="EU166" t="str">
        <f t="shared" si="1281"/>
        <v/>
      </c>
      <c r="EV166" t="str">
        <f t="shared" si="1282"/>
        <v/>
      </c>
      <c r="EW166" t="str">
        <f t="shared" si="1283"/>
        <v/>
      </c>
      <c r="EX166" t="str">
        <f t="shared" si="1284"/>
        <v/>
      </c>
      <c r="EY166" t="str">
        <f t="shared" si="1285"/>
        <v/>
      </c>
    </row>
    <row r="167" spans="1:155" ht="13.9" customHeight="1" x14ac:dyDescent="0.25">
      <c r="A167" s="7"/>
      <c r="B167" s="17"/>
      <c r="C167" s="8"/>
      <c r="D167" s="17"/>
      <c r="E167" s="8"/>
      <c r="F167" s="18">
        <v>0</v>
      </c>
      <c r="G167" s="7" t="s">
        <v>147</v>
      </c>
      <c r="H167" s="18">
        <v>0</v>
      </c>
      <c r="I167" s="19">
        <v>0</v>
      </c>
      <c r="J167" s="7" t="s">
        <v>147</v>
      </c>
      <c r="K167" s="19">
        <v>0</v>
      </c>
      <c r="L167" s="9"/>
      <c r="M167" s="3" t="str">
        <f>IF($L167="","",IF($L167="DOELPUNTENMAKERS","",IF(AND(COUNTIF(#REF!,$B167)=0,COUNTIF(#REF!,$D167)=0),"OK",IF($O167&gt;20,"LET OP: meer dan 20 items (controle onvolledig)",IF((COUNTIF($R167:$AS167,"ONZEKER")+COUNTIF($CJ167:$DK167,"ONZEKER"))&gt;0,"LET OP: scoreverloop onduidelijk (controle beperkt)",IF((IF($AT167&lt;&gt;"",$AT167&amp;", ","")&amp;IF($AU167&lt;&gt;"",$AU167&amp;", ","")&amp;IF($AV167&lt;&gt;"",$AV167&amp;", ","")&amp;IF($AW167&lt;&gt;"",$AW167&amp;", ","")&amp;IF($AX167&lt;&gt;"",$AX167&amp;", ","")&amp;IF($AY167&lt;&gt;"",$AY167&amp;", ","")&amp;IF($AZ167&lt;&gt;"",$AZ167&amp;", ","")&amp;IF($BA167&lt;&gt;"",$BA167&amp;", ","")&amp;IF($BB167&lt;&gt;"",$BB167&amp;", ","")&amp;IF($BC167&lt;&gt;"",$BC167&amp;", ","")&amp;IF($DL167&lt;&gt;"",$DL167&amp;", ","")&amp;IF($DM167&lt;&gt;"",$DM167&amp;", ","")&amp;IF($DN167&lt;&gt;"",$DN167&amp;", ","")&amp;IF($DO167&lt;&gt;"",$DO167&amp;", ","")&amp;IF($DP167&lt;&gt;"",$DP167&amp;", ","")&amp;IF($DQ167&lt;&gt;"",$DQ167&amp;", ","")&amp;IF($DR167&lt;&gt;"",$DR167&amp;", ","")&amp;IF($DS167&lt;&gt;"",$DS167&amp;", ","")&amp;IF($DT167&lt;&gt;"",$DT167&amp;", ","")&amp;IF($DU167&lt;&gt;"",$DU167&amp;", ",""))="","OK","Onbekend: "&amp;LEFT((IF($AT167&lt;&gt;"",$AT167&amp;", ","")&amp;IF($AU167&lt;&gt;"",$AU167&amp;", ","")&amp;IF($AV167&lt;&gt;"",$AV167&amp;", ","")&amp;IF($AW167&lt;&gt;"",$AW167&amp;", ","")&amp;IF($AX167&lt;&gt;"",$AX167&amp;", ","")&amp;IF($AY167&lt;&gt;"",$AY167&amp;", ","")&amp;IF($AZ167&lt;&gt;"",$AZ167&amp;", ","")&amp;IF($BA167&lt;&gt;"",$BA167&amp;", ","")&amp;IF($BB167&lt;&gt;"",$BB167&amp;", ","")&amp;IF($BC167&lt;&gt;"",$BC167&amp;", ","")&amp;IF($DL167&lt;&gt;"",$DL167&amp;", ","")&amp;IF($DM167&lt;&gt;"",$DM167&amp;", ","")&amp;IF($DN167&lt;&gt;"",$DN167&amp;", ","")&amp;IF($DO167&lt;&gt;"",$DO167&amp;", ","")&amp;IF($DP167&lt;&gt;"",$DP167&amp;", ","")&amp;IF($DQ167&lt;&gt;"",$DQ167&amp;", ","")&amp;IF($DR167&lt;&gt;"",$DR167&amp;", ","")&amp;IF($DS167&lt;&gt;"",$DS167&amp;", ","")&amp;IF($DT167&lt;&gt;"",$DT167&amp;", ","")&amp;IF($DU167&lt;&gt;"",$DU167&amp;", ","")),LEN((IF($AT167&lt;&gt;"",$AT167&amp;", ","")&amp;IF($AU167&lt;&gt;"",$AU167&amp;", ","")&amp;IF($AV167&lt;&gt;"",$AV167&amp;", ","")&amp;IF($AW167&lt;&gt;"",$AW167&amp;", ","")&amp;IF($AX167&lt;&gt;"",$AX167&amp;", ","")&amp;IF($AY167&lt;&gt;"",$AY167&amp;", ","")&amp;IF($AZ167&lt;&gt;"",$AZ167&amp;", ","")&amp;IF($BA167&lt;&gt;"",$BA167&amp;", ","")&amp;IF($BB167&lt;&gt;"",$BB167&amp;", ","")&amp;IF($BC167&lt;&gt;"",$BC167&amp;", ","")&amp;IF($DL167&lt;&gt;"",$DL167&amp;", ","")&amp;IF($DM167&lt;&gt;"",$DM167&amp;", ","")&amp;IF($DN167&lt;&gt;"",$DN167&amp;", ","")&amp;IF($DO167&lt;&gt;"",$DO167&amp;", ","")&amp;IF($DP167&lt;&gt;"",$DP167&amp;", ","")&amp;IF($DQ167&lt;&gt;"",$DQ167&amp;", ","")&amp;IF($DR167&lt;&gt;"",$DR167&amp;", ","")&amp;IF($DS167&lt;&gt;"",$DS167&amp;", ","")&amp;IF($DT167&lt;&gt;"",$DT167&amp;", ","")&amp;IF($DU167&lt;&gt;"",$DU167&amp;", ","")))-2)))))))</f>
        <v/>
      </c>
      <c r="N167" t="str">
        <f t="shared" si="1194"/>
        <v/>
      </c>
      <c r="O167" t="str">
        <f t="shared" si="1195"/>
        <v/>
      </c>
      <c r="P167" t="str">
        <f t="shared" si="1196"/>
        <v/>
      </c>
      <c r="Q167" t="str">
        <f t="shared" si="1197"/>
        <v/>
      </c>
      <c r="R167" t="str">
        <f>IF($Q167="","",IF(OR($BE167="",$BF167=""),"ONZEKER",IF(AND($BE167=0+1,$BF167=0),IF(OR(COUNTIF(#REF!,$B167)&gt;0,COUNTIF(#REF!,$B167)=0),"SKIP",IF(COUNTIFS(#REF!,$B167,#REF!,$Q167)&gt;0,"OK","ONBEKEND")),IF(AND($BE167=0,$BF167=0+1),IF(OR(COUNTIF(#REF!,$D167)&gt;0,COUNTIF(#REF!,$D167)=0),"SKIP",IF(COUNTIFS(#REF!,$D167,#REF!,$Q167)&gt;0,"OK","ONBEKEND")),"ONZEKER"))))</f>
        <v/>
      </c>
      <c r="S167" t="str">
        <f t="shared" si="1198"/>
        <v/>
      </c>
      <c r="T167" t="str">
        <f t="shared" si="1199"/>
        <v/>
      </c>
      <c r="U167" t="str">
        <f>IF($T167="","",IF(OR($BH167="",$BI167=""),"ONZEKER",IF(OR($BE167="",$BF167=""),"ONZEKER",IF(AND($BH167=$BE167+1,$BI167=$BF167),IF(OR(COUNTIF(#REF!,$B167)&gt;0,COUNTIF(#REF!,$B167)=0),"SKIP",IF(COUNTIFS(#REF!,$B167,#REF!,$T167)&gt;0,"OK","ONBEKEND")),IF(AND($BH167=$BE167,$BI167=$BF167+1),IF(OR(COUNTIF(#REF!,$D167)&gt;0,COUNTIF(#REF!,$D167)=0),"SKIP",IF(COUNTIFS(#REF!,$D167,#REF!,$T167)&gt;0,"OK","ONBEKEND")),"ONZEKER")))))</f>
        <v/>
      </c>
      <c r="V167" t="str">
        <f t="shared" si="1200"/>
        <v/>
      </c>
      <c r="W167" t="str">
        <f t="shared" si="1201"/>
        <v/>
      </c>
      <c r="X167" t="str">
        <f>IF($W167="","",IF(OR($BK167="",$BL167=""),"ONZEKER",IF(OR($BH167="",$BI167=""),"ONZEKER",IF(AND($BK167=$BH167+1,$BL167=$BI167),IF(OR(COUNTIF(#REF!,$B167)&gt;0,COUNTIF(#REF!,$B167)=0),"SKIP",IF(COUNTIFS(#REF!,$B167,#REF!,$W167)&gt;0,"OK","ONBEKEND")),IF(AND($BK167=$BH167,$BL167=$BI167+1),IF(OR(COUNTIF(#REF!,$D167)&gt;0,COUNTIF(#REF!,$D167)=0),"SKIP",IF(COUNTIFS(#REF!,$D167,#REF!,$W167)&gt;0,"OK","ONBEKEND")),"ONZEKER")))))</f>
        <v/>
      </c>
      <c r="Y167" t="str">
        <f t="shared" si="1202"/>
        <v/>
      </c>
      <c r="Z167" t="str">
        <f t="shared" si="1203"/>
        <v/>
      </c>
      <c r="AA167" t="str">
        <f>IF($Z167="","",IF(OR($BN167="",$BO167=""),"ONZEKER",IF(OR($BK167="",$BL167=""),"ONZEKER",IF(AND($BN167=$BK167+1,$BO167=$BL167),IF(OR(COUNTIF(#REF!,$B167)&gt;0,COUNTIF(#REF!,$B167)=0),"SKIP",IF(COUNTIFS(#REF!,$B167,#REF!,$Z167)&gt;0,"OK","ONBEKEND")),IF(AND($BN167=$BK167,$BO167=$BL167+1),IF(OR(COUNTIF(#REF!,$D167)&gt;0,COUNTIF(#REF!,$D167)=0),"SKIP",IF(COUNTIFS(#REF!,$D167,#REF!,$Z167)&gt;0,"OK","ONBEKEND")),"ONZEKER")))))</f>
        <v/>
      </c>
      <c r="AB167" t="str">
        <f t="shared" si="1204"/>
        <v/>
      </c>
      <c r="AC167" t="str">
        <f t="shared" si="1205"/>
        <v/>
      </c>
      <c r="AD167" t="str">
        <f>IF($AC167="","",IF(OR($BQ167="",$BR167=""),"ONZEKER",IF(OR($BN167="",$BO167=""),"ONZEKER",IF(AND($BQ167=$BN167+1,$BR167=$BO167),IF(OR(COUNTIF(#REF!,$B167)&gt;0,COUNTIF(#REF!,$B167)=0),"SKIP",IF(COUNTIFS(#REF!,$B167,#REF!,$AC167)&gt;0,"OK","ONBEKEND")),IF(AND($BQ167=$BN167,$BR167=$BO167+1),IF(OR(COUNTIF(#REF!,$D167)&gt;0,COUNTIF(#REF!,$D167)=0),"SKIP",IF(COUNTIFS(#REF!,$D167,#REF!,$AC167)&gt;0,"OK","ONBEKEND")),"ONZEKER")))))</f>
        <v/>
      </c>
      <c r="AE167" t="str">
        <f t="shared" si="1206"/>
        <v/>
      </c>
      <c r="AF167" t="str">
        <f t="shared" si="1207"/>
        <v/>
      </c>
      <c r="AG167" t="str">
        <f>IF($AF167="","",IF(OR($BT167="",$BU167=""),"ONZEKER",IF(OR($BQ167="",$BR167=""),"ONZEKER",IF(AND($BT167=$BQ167+1,$BU167=$BR167),IF(OR(COUNTIF(#REF!,$B167)&gt;0,COUNTIF(#REF!,$B167)=0),"SKIP",IF(COUNTIFS(#REF!,$B167,#REF!,$AF167)&gt;0,"OK","ONBEKEND")),IF(AND($BT167=$BQ167,$BU167=$BR167+1),IF(OR(COUNTIF(#REF!,$D167)&gt;0,COUNTIF(#REF!,$D167)=0),"SKIP",IF(COUNTIFS(#REF!,$D167,#REF!,$AF167)&gt;0,"OK","ONBEKEND")),"ONZEKER")))))</f>
        <v/>
      </c>
      <c r="AH167" t="str">
        <f t="shared" si="1208"/>
        <v/>
      </c>
      <c r="AI167" t="str">
        <f t="shared" si="1209"/>
        <v/>
      </c>
      <c r="AJ167" t="str">
        <f>IF($AI167="","",IF(OR($BW167="",$BX167=""),"ONZEKER",IF(OR($BT167="",$BU167=""),"ONZEKER",IF(AND($BW167=$BT167+1,$BX167=$BU167),IF(OR(COUNTIF(#REF!,$B167)&gt;0,COUNTIF(#REF!,$B167)=0),"SKIP",IF(COUNTIFS(#REF!,$B167,#REF!,$AI167)&gt;0,"OK","ONBEKEND")),IF(AND($BW167=$BT167,$BX167=$BU167+1),IF(OR(COUNTIF(#REF!,$D167)&gt;0,COUNTIF(#REF!,$D167)=0),"SKIP",IF(COUNTIFS(#REF!,$D167,#REF!,$AI167)&gt;0,"OK","ONBEKEND")),"ONZEKER")))))</f>
        <v/>
      </c>
      <c r="AK167" t="str">
        <f t="shared" si="1210"/>
        <v/>
      </c>
      <c r="AL167" t="str">
        <f t="shared" si="1211"/>
        <v/>
      </c>
      <c r="AM167" t="str">
        <f>IF($AL167="","",IF(OR($BZ167="",$CA167=""),"ONZEKER",IF(OR($BW167="",$BX167=""),"ONZEKER",IF(AND($BZ167=$BW167+1,$CA167=$BX167),IF(OR(COUNTIF(#REF!,$B167)&gt;0,COUNTIF(#REF!,$B167)=0),"SKIP",IF(COUNTIFS(#REF!,$B167,#REF!,$AL167)&gt;0,"OK","ONBEKEND")),IF(AND($BZ167=$BW167,$CA167=$BX167+1),IF(OR(COUNTIF(#REF!,$D167)&gt;0,COUNTIF(#REF!,$D167)=0),"SKIP",IF(COUNTIFS(#REF!,$D167,#REF!,$AL167)&gt;0,"OK","ONBEKEND")),"ONZEKER")))))</f>
        <v/>
      </c>
      <c r="AN167" t="str">
        <f t="shared" si="1212"/>
        <v/>
      </c>
      <c r="AO167" t="str">
        <f t="shared" si="1213"/>
        <v/>
      </c>
      <c r="AP167" t="str">
        <f>IF($AO167="","",IF(OR($CC167="",$CD167=""),"ONZEKER",IF(OR($BZ167="",$CA167=""),"ONZEKER",IF(AND($CC167=$BZ167+1,$CD167=$CA167),IF(OR(COUNTIF(#REF!,$B167)&gt;0,COUNTIF(#REF!,$B167)=0),"SKIP",IF(COUNTIFS(#REF!,$B167,#REF!,$AO167)&gt;0,"OK","ONBEKEND")),IF(AND($CC167=$BZ167,$CD167=$CA167+1),IF(OR(COUNTIF(#REF!,$D167)&gt;0,COUNTIF(#REF!,$D167)=0),"SKIP",IF(COUNTIFS(#REF!,$D167,#REF!,$AO167)&gt;0,"OK","ONBEKEND")),"ONZEKER")))))</f>
        <v/>
      </c>
      <c r="AQ167" t="str">
        <f t="shared" si="1214"/>
        <v/>
      </c>
      <c r="AR167" t="str">
        <f t="shared" si="1215"/>
        <v/>
      </c>
      <c r="AS167" t="str">
        <f>IF($AR167="","",IF(OR($CF167="",$CG167=""),"ONZEKER",IF(OR($CC167="",$CD167=""),"ONZEKER",IF(AND($CF167=$CC167+1,$CG167=$CD167),IF(OR(COUNTIF(#REF!,$B167)&gt;0,COUNTIF(#REF!,$B167)=0),"SKIP",IF(COUNTIFS(#REF!,$B167,#REF!,$AR167)&gt;0,"OK","ONBEKEND")),IF(AND($CF167=$CC167,$CG167=$CD167+1),IF(OR(COUNTIF(#REF!,$D167)&gt;0,COUNTIF(#REF!,$D167)=0),"SKIP",IF(COUNTIFS(#REF!,$D167,#REF!,$AR167)&gt;0,"OK","ONBEKEND")),"ONZEKER")))))</f>
        <v/>
      </c>
      <c r="AT167" t="str">
        <f t="shared" si="1216"/>
        <v/>
      </c>
      <c r="AU167" t="str">
        <f t="shared" si="1217"/>
        <v/>
      </c>
      <c r="AV167" t="str">
        <f t="shared" si="1218"/>
        <v/>
      </c>
      <c r="AW167" t="str">
        <f t="shared" si="1219"/>
        <v/>
      </c>
      <c r="AX167" t="str">
        <f t="shared" si="1220"/>
        <v/>
      </c>
      <c r="AY167" t="str">
        <f t="shared" si="1221"/>
        <v/>
      </c>
      <c r="AZ167" t="str">
        <f t="shared" si="1222"/>
        <v/>
      </c>
      <c r="BA167" t="str">
        <f t="shared" si="1223"/>
        <v/>
      </c>
      <c r="BB167" t="str">
        <f t="shared" si="1224"/>
        <v/>
      </c>
      <c r="BC167" t="str">
        <f t="shared" si="1225"/>
        <v/>
      </c>
      <c r="BD167" t="str">
        <f t="shared" si="980"/>
        <v/>
      </c>
      <c r="BE167" t="str">
        <f t="shared" si="981"/>
        <v/>
      </c>
      <c r="BF167" t="str">
        <f t="shared" si="982"/>
        <v/>
      </c>
      <c r="BG167" t="str">
        <f t="shared" si="983"/>
        <v/>
      </c>
      <c r="BH167" t="str">
        <f t="shared" si="984"/>
        <v/>
      </c>
      <c r="BI167" t="str">
        <f t="shared" si="985"/>
        <v/>
      </c>
      <c r="BJ167" t="str">
        <f t="shared" si="986"/>
        <v/>
      </c>
      <c r="BK167" t="str">
        <f t="shared" si="987"/>
        <v/>
      </c>
      <c r="BL167" t="str">
        <f t="shared" si="988"/>
        <v/>
      </c>
      <c r="BM167" t="str">
        <f t="shared" si="989"/>
        <v/>
      </c>
      <c r="BN167" t="str">
        <f t="shared" si="990"/>
        <v/>
      </c>
      <c r="BO167" t="str">
        <f t="shared" si="991"/>
        <v/>
      </c>
      <c r="BP167" t="str">
        <f t="shared" si="992"/>
        <v/>
      </c>
      <c r="BQ167" t="str">
        <f t="shared" si="993"/>
        <v/>
      </c>
      <c r="BR167" t="str">
        <f t="shared" si="994"/>
        <v/>
      </c>
      <c r="BS167" t="str">
        <f t="shared" si="995"/>
        <v/>
      </c>
      <c r="BT167" t="str">
        <f t="shared" si="996"/>
        <v/>
      </c>
      <c r="BU167" t="str">
        <f t="shared" si="997"/>
        <v/>
      </c>
      <c r="BV167" t="str">
        <f t="shared" si="998"/>
        <v/>
      </c>
      <c r="BW167" t="str">
        <f t="shared" si="999"/>
        <v/>
      </c>
      <c r="BX167" t="str">
        <f t="shared" si="1000"/>
        <v/>
      </c>
      <c r="BY167" t="str">
        <f t="shared" si="1001"/>
        <v/>
      </c>
      <c r="BZ167" t="str">
        <f t="shared" si="1002"/>
        <v/>
      </c>
      <c r="CA167" t="str">
        <f t="shared" si="1003"/>
        <v/>
      </c>
      <c r="CB167" t="str">
        <f t="shared" si="1004"/>
        <v/>
      </c>
      <c r="CC167" t="str">
        <f t="shared" si="1005"/>
        <v/>
      </c>
      <c r="CD167" t="str">
        <f t="shared" si="1006"/>
        <v/>
      </c>
      <c r="CE167" t="str">
        <f t="shared" si="1007"/>
        <v/>
      </c>
      <c r="CF167" t="str">
        <f t="shared" si="1008"/>
        <v/>
      </c>
      <c r="CG167" t="str">
        <f t="shared" si="1009"/>
        <v/>
      </c>
      <c r="CH167" t="str">
        <f t="shared" si="1226"/>
        <v/>
      </c>
      <c r="CI167" t="str">
        <f t="shared" si="1227"/>
        <v/>
      </c>
      <c r="CJ167" t="str">
        <f>IF($CI167="","",IF(OR($DW167="",$DX167=""),"ONZEKER",IF(OR($CF167="",$CG167=""),"ONZEKER",IF(AND($DW167=$CF167+1,$DX167=$CG167),IF(OR(COUNTIF(#REF!,$B167)&gt;0,COUNTIF(#REF!,$B167)=0),"SKIP",IF(COUNTIFS(#REF!,$B167,#REF!,$CI167)&gt;0,"OK","ONBEKEND")),IF(AND($DW167=$CF167,$DX167=$CG167+1),IF(OR(COUNTIF(#REF!,$D167)&gt;0,COUNTIF(#REF!,$D167)=0),"SKIP",IF(COUNTIFS(#REF!,$D167,#REF!,$CI167)&gt;0,"OK","ONBEKEND")),"ONZEKER")))))</f>
        <v/>
      </c>
      <c r="CK167" t="str">
        <f t="shared" si="1228"/>
        <v/>
      </c>
      <c r="CL167" t="str">
        <f t="shared" si="1229"/>
        <v/>
      </c>
      <c r="CM167" t="str">
        <f>IF($CL167="","",IF(OR($DZ167="",$EA167=""),"ONZEKER",IF(OR($DW167="",$DX167=""),"ONZEKER",IF(AND($DZ167=$DW167+1,$EA167=$DX167),IF(OR(COUNTIF(#REF!,$B167)&gt;0,COUNTIF(#REF!,$B167)=0),"SKIP",IF(COUNTIFS(#REF!,$B167,#REF!,$CL167)&gt;0,"OK","ONBEKEND")),IF(AND($DZ167=$DW167,$EA167=$DX167+1),IF(OR(COUNTIF(#REF!,$D167)&gt;0,COUNTIF(#REF!,$D167)=0),"SKIP",IF(COUNTIFS(#REF!,$D167,#REF!,$CL167)&gt;0,"OK","ONBEKEND")),"ONZEKER")))))</f>
        <v/>
      </c>
      <c r="CN167" t="str">
        <f t="shared" si="1230"/>
        <v/>
      </c>
      <c r="CO167" t="str">
        <f t="shared" si="1231"/>
        <v/>
      </c>
      <c r="CP167" t="str">
        <f>IF($CO167="","",IF(OR($EC167="",$ED167=""),"ONZEKER",IF(OR($DZ167="",$EA167=""),"ONZEKER",IF(AND($EC167=$DZ167+1,$ED167=$EA167),IF(OR(COUNTIF(#REF!,$B167)&gt;0,COUNTIF(#REF!,$B167)=0),"SKIP",IF(COUNTIFS(#REF!,$B167,#REF!,$CO167)&gt;0,"OK","ONBEKEND")),IF(AND($EC167=$DZ167,$ED167=$EA167+1),IF(OR(COUNTIF(#REF!,$D167)&gt;0,COUNTIF(#REF!,$D167)=0),"SKIP",IF(COUNTIFS(#REF!,$D167,#REF!,$CO167)&gt;0,"OK","ONBEKEND")),"ONZEKER")))))</f>
        <v/>
      </c>
      <c r="CQ167" t="str">
        <f t="shared" si="1232"/>
        <v/>
      </c>
      <c r="CR167" t="str">
        <f t="shared" si="1233"/>
        <v/>
      </c>
      <c r="CS167" t="str">
        <f>IF($CR167="","",IF(OR($EF167="",$EG167=""),"ONZEKER",IF(OR($EC167="",$ED167=""),"ONZEKER",IF(AND($EF167=$EC167+1,$EG167=$ED167),IF(OR(COUNTIF(#REF!,$B167)&gt;0,COUNTIF(#REF!,$B167)=0),"SKIP",IF(COUNTIFS(#REF!,$B167,#REF!,$CR167)&gt;0,"OK","ONBEKEND")),IF(AND($EF167=$EC167,$EG167=$ED167+1),IF(OR(COUNTIF(#REF!,$D167)&gt;0,COUNTIF(#REF!,$D167)=0),"SKIP",IF(COUNTIFS(#REF!,$D167,#REF!,$CR167)&gt;0,"OK","ONBEKEND")),"ONZEKER")))))</f>
        <v/>
      </c>
      <c r="CT167" t="str">
        <f t="shared" si="1234"/>
        <v/>
      </c>
      <c r="CU167" t="str">
        <f t="shared" si="1235"/>
        <v/>
      </c>
      <c r="CV167" t="str">
        <f>IF($CU167="","",IF(OR($EI167="",$EJ167=""),"ONZEKER",IF(OR($EF167="",$EG167=""),"ONZEKER",IF(AND($EI167=$EF167+1,$EJ167=$EG167),IF(OR(COUNTIF(#REF!,$B167)&gt;0,COUNTIF(#REF!,$B167)=0),"SKIP",IF(COUNTIFS(#REF!,$B167,#REF!,$CU167)&gt;0,"OK","ONBEKEND")),IF(AND($EI167=$EF167,$EJ167=$EG167+1),IF(OR(COUNTIF(#REF!,$D167)&gt;0,COUNTIF(#REF!,$D167)=0),"SKIP",IF(COUNTIFS(#REF!,$D167,#REF!,$CU167)&gt;0,"OK","ONBEKEND")),"ONZEKER")))))</f>
        <v/>
      </c>
      <c r="CW167" t="str">
        <f t="shared" si="1236"/>
        <v/>
      </c>
      <c r="CX167" t="str">
        <f t="shared" si="1237"/>
        <v/>
      </c>
      <c r="CY167" t="str">
        <f>IF($CX167="","",IF(OR($EL167="",$EM167=""),"ONZEKER",IF(OR($EI167="",$EJ167=""),"ONZEKER",IF(AND($EL167=$EI167+1,$EM167=$EJ167),IF(OR(COUNTIF(#REF!,$B167)&gt;0,COUNTIF(#REF!,$B167)=0),"SKIP",IF(COUNTIFS(#REF!,$B167,#REF!,$CX167)&gt;0,"OK","ONBEKEND")),IF(AND($EL167=$EI167,$EM167=$EJ167+1),IF(OR(COUNTIF(#REF!,$D167)&gt;0,COUNTIF(#REF!,$D167)=0),"SKIP",IF(COUNTIFS(#REF!,$D167,#REF!,$CX167)&gt;0,"OK","ONBEKEND")),"ONZEKER")))))</f>
        <v/>
      </c>
      <c r="CZ167" t="str">
        <f t="shared" si="1238"/>
        <v/>
      </c>
      <c r="DA167" t="str">
        <f t="shared" si="1239"/>
        <v/>
      </c>
      <c r="DB167" t="str">
        <f>IF($DA167="","",IF(OR($EO167="",$EP167=""),"ONZEKER",IF(OR($EL167="",$EM167=""),"ONZEKER",IF(AND($EO167=$EL167+1,$EP167=$EM167),IF(OR(COUNTIF(#REF!,$B167)&gt;0,COUNTIF(#REF!,$B167)=0),"SKIP",IF(COUNTIFS(#REF!,$B167,#REF!,$DA167)&gt;0,"OK","ONBEKEND")),IF(AND($EO167=$EL167,$EP167=$EM167+1),IF(OR(COUNTIF(#REF!,$D167)&gt;0,COUNTIF(#REF!,$D167)=0),"SKIP",IF(COUNTIFS(#REF!,$D167,#REF!,$DA167)&gt;0,"OK","ONBEKEND")),"ONZEKER")))))</f>
        <v/>
      </c>
      <c r="DC167" t="str">
        <f t="shared" si="1240"/>
        <v/>
      </c>
      <c r="DD167" t="str">
        <f t="shared" si="1241"/>
        <v/>
      </c>
      <c r="DE167" t="str">
        <f>IF($DD167="","",IF(OR($ER167="",$ES167=""),"ONZEKER",IF(OR($EO167="",$EP167=""),"ONZEKER",IF(AND($ER167=$EO167+1,$ES167=$EP167),IF(OR(COUNTIF(#REF!,$B167)&gt;0,COUNTIF(#REF!,$B167)=0),"SKIP",IF(COUNTIFS(#REF!,$B167,#REF!,$DD167)&gt;0,"OK","ONBEKEND")),IF(AND($ER167=$EO167,$ES167=$EP167+1),IF(OR(COUNTIF(#REF!,$D167)&gt;0,COUNTIF(#REF!,$D167)=0),"SKIP",IF(COUNTIFS(#REF!,$D167,#REF!,$DD167)&gt;0,"OK","ONBEKEND")),"ONZEKER")))))</f>
        <v/>
      </c>
      <c r="DF167" t="str">
        <f t="shared" si="1242"/>
        <v/>
      </c>
      <c r="DG167" t="str">
        <f t="shared" si="1243"/>
        <v/>
      </c>
      <c r="DH167" t="str">
        <f>IF($DG167="","",IF(OR($EU167="",$EV167=""),"ONZEKER",IF(OR($ER167="",$ES167=""),"ONZEKER",IF(AND($EU167=$ER167+1,$EV167=$ES167),IF(OR(COUNTIF(#REF!,$B167)&gt;0,COUNTIF(#REF!,$B167)=0),"SKIP",IF(COUNTIFS(#REF!,$B167,#REF!,$DG167)&gt;0,"OK","ONBEKEND")),IF(AND($EU167=$ER167,$EV167=$ES167+1),IF(OR(COUNTIF(#REF!,$D167)&gt;0,COUNTIF(#REF!,$D167)=0),"SKIP",IF(COUNTIFS(#REF!,$D167,#REF!,$DG167)&gt;0,"OK","ONBEKEND")),"ONZEKER")))))</f>
        <v/>
      </c>
      <c r="DI167" t="str">
        <f t="shared" si="1244"/>
        <v/>
      </c>
      <c r="DJ167" t="str">
        <f t="shared" si="1245"/>
        <v/>
      </c>
      <c r="DK167" t="str">
        <f>IF($DJ167="","",IF(OR($EX167="",$EY167=""),"ONZEKER",IF(OR($EU167="",$EV167=""),"ONZEKER",IF(AND($EX167=$EU167+1,$EY167=$EV167),IF(OR(COUNTIF(#REF!,$B167)&gt;0,COUNTIF(#REF!,$B167)=0),"SKIP",IF(COUNTIFS(#REF!,$B167,#REF!,$DJ167)&gt;0,"OK","ONBEKEND")),IF(AND($EX167=$EU167,$EY167=$EV167+1),IF(OR(COUNTIF(#REF!,$D167)&gt;0,COUNTIF(#REF!,$D167)=0),"SKIP",IF(COUNTIFS(#REF!,$D167,#REF!,$DJ167)&gt;0,"OK","ONBEKEND")),"ONZEKER")))))</f>
        <v/>
      </c>
      <c r="DL167" t="str">
        <f t="shared" si="1246"/>
        <v/>
      </c>
      <c r="DM167" t="str">
        <f t="shared" si="1247"/>
        <v/>
      </c>
      <c r="DN167" t="str">
        <f t="shared" si="1248"/>
        <v/>
      </c>
      <c r="DO167" t="str">
        <f t="shared" si="1249"/>
        <v/>
      </c>
      <c r="DP167" t="str">
        <f t="shared" si="1250"/>
        <v/>
      </c>
      <c r="DQ167" t="str">
        <f t="shared" si="1251"/>
        <v/>
      </c>
      <c r="DR167" t="str">
        <f t="shared" si="1252"/>
        <v/>
      </c>
      <c r="DS167" t="str">
        <f t="shared" si="1253"/>
        <v/>
      </c>
      <c r="DT167" t="str">
        <f t="shared" si="1254"/>
        <v/>
      </c>
      <c r="DU167" t="str">
        <f t="shared" si="1255"/>
        <v/>
      </c>
      <c r="DV167" t="str">
        <f t="shared" si="1256"/>
        <v/>
      </c>
      <c r="DW167" t="str">
        <f t="shared" si="1257"/>
        <v/>
      </c>
      <c r="DX167" t="str">
        <f t="shared" si="1258"/>
        <v/>
      </c>
      <c r="DY167" t="str">
        <f t="shared" si="1259"/>
        <v/>
      </c>
      <c r="DZ167" t="str">
        <f t="shared" si="1260"/>
        <v/>
      </c>
      <c r="EA167" t="str">
        <f t="shared" si="1261"/>
        <v/>
      </c>
      <c r="EB167" t="str">
        <f t="shared" si="1262"/>
        <v/>
      </c>
      <c r="EC167" t="str">
        <f t="shared" si="1263"/>
        <v/>
      </c>
      <c r="ED167" t="str">
        <f t="shared" si="1264"/>
        <v/>
      </c>
      <c r="EE167" t="str">
        <f t="shared" si="1265"/>
        <v/>
      </c>
      <c r="EF167" t="str">
        <f t="shared" si="1266"/>
        <v/>
      </c>
      <c r="EG167" t="str">
        <f t="shared" si="1267"/>
        <v/>
      </c>
      <c r="EH167" t="str">
        <f t="shared" si="1268"/>
        <v/>
      </c>
      <c r="EI167" t="str">
        <f t="shared" si="1269"/>
        <v/>
      </c>
      <c r="EJ167" t="str">
        <f t="shared" si="1270"/>
        <v/>
      </c>
      <c r="EK167" t="str">
        <f t="shared" si="1271"/>
        <v/>
      </c>
      <c r="EL167" t="str">
        <f t="shared" si="1272"/>
        <v/>
      </c>
      <c r="EM167" t="str">
        <f t="shared" si="1273"/>
        <v/>
      </c>
      <c r="EN167" t="str">
        <f t="shared" si="1274"/>
        <v/>
      </c>
      <c r="EO167" t="str">
        <f t="shared" si="1275"/>
        <v/>
      </c>
      <c r="EP167" t="str">
        <f t="shared" si="1276"/>
        <v/>
      </c>
      <c r="EQ167" t="str">
        <f t="shared" si="1277"/>
        <v/>
      </c>
      <c r="ER167" t="str">
        <f t="shared" si="1278"/>
        <v/>
      </c>
      <c r="ES167" t="str">
        <f t="shared" si="1279"/>
        <v/>
      </c>
      <c r="ET167" t="str">
        <f t="shared" si="1280"/>
        <v/>
      </c>
      <c r="EU167" t="str">
        <f t="shared" si="1281"/>
        <v/>
      </c>
      <c r="EV167" t="str">
        <f t="shared" si="1282"/>
        <v/>
      </c>
      <c r="EW167" t="str">
        <f t="shared" si="1283"/>
        <v/>
      </c>
      <c r="EX167" t="str">
        <f t="shared" si="1284"/>
        <v/>
      </c>
      <c r="EY167" t="str">
        <f t="shared" si="1285"/>
        <v/>
      </c>
    </row>
    <row r="168" spans="1:155" ht="13.9" customHeight="1" x14ac:dyDescent="0.25">
      <c r="M168" s="3" t="str">
        <f>IF($L168="","",IF($L168="DOELPUNTENMAKERS","",IF(AND(COUNTIF(#REF!,$B168)=0,COUNTIF(#REF!,$D168)=0),"OK",IF($O168&gt;20,"LET OP: meer dan 20 items (controle onvolledig)",IF((COUNTIF($R168:$AS168,"ONZEKER")+COUNTIF($CJ168:$DK168,"ONZEKER"))&gt;0,"LET OP: scoreverloop onduidelijk (controle beperkt)",IF((IF($AT168&lt;&gt;"",$AT168&amp;", ","")&amp;IF($AU168&lt;&gt;"",$AU168&amp;", ","")&amp;IF($AV168&lt;&gt;"",$AV168&amp;", ","")&amp;IF($AW168&lt;&gt;"",$AW168&amp;", ","")&amp;IF($AX168&lt;&gt;"",$AX168&amp;", ","")&amp;IF($AY168&lt;&gt;"",$AY168&amp;", ","")&amp;IF($AZ168&lt;&gt;"",$AZ168&amp;", ","")&amp;IF($BA168&lt;&gt;"",$BA168&amp;", ","")&amp;IF($BB168&lt;&gt;"",$BB168&amp;", ","")&amp;IF($BC168&lt;&gt;"",$BC168&amp;", ","")&amp;IF($DL168&lt;&gt;"",$DL168&amp;", ","")&amp;IF($DM168&lt;&gt;"",$DM168&amp;", ","")&amp;IF($DN168&lt;&gt;"",$DN168&amp;", ","")&amp;IF($DO168&lt;&gt;"",$DO168&amp;", ","")&amp;IF($DP168&lt;&gt;"",$DP168&amp;", ","")&amp;IF($DQ168&lt;&gt;"",$DQ168&amp;", ","")&amp;IF($DR168&lt;&gt;"",$DR168&amp;", ","")&amp;IF($DS168&lt;&gt;"",$DS168&amp;", ","")&amp;IF($DT168&lt;&gt;"",$DT168&amp;", ","")&amp;IF($DU168&lt;&gt;"",$DU168&amp;", ",""))="","OK","Onbekend: "&amp;LEFT((IF($AT168&lt;&gt;"",$AT168&amp;", ","")&amp;IF($AU168&lt;&gt;"",$AU168&amp;", ","")&amp;IF($AV168&lt;&gt;"",$AV168&amp;", ","")&amp;IF($AW168&lt;&gt;"",$AW168&amp;", ","")&amp;IF($AX168&lt;&gt;"",$AX168&amp;", ","")&amp;IF($AY168&lt;&gt;"",$AY168&amp;", ","")&amp;IF($AZ168&lt;&gt;"",$AZ168&amp;", ","")&amp;IF($BA168&lt;&gt;"",$BA168&amp;", ","")&amp;IF($BB168&lt;&gt;"",$BB168&amp;", ","")&amp;IF($BC168&lt;&gt;"",$BC168&amp;", ","")&amp;IF($DL168&lt;&gt;"",$DL168&amp;", ","")&amp;IF($DM168&lt;&gt;"",$DM168&amp;", ","")&amp;IF($DN168&lt;&gt;"",$DN168&amp;", ","")&amp;IF($DO168&lt;&gt;"",$DO168&amp;", ","")&amp;IF($DP168&lt;&gt;"",$DP168&amp;", ","")&amp;IF($DQ168&lt;&gt;"",$DQ168&amp;", ","")&amp;IF($DR168&lt;&gt;"",$DR168&amp;", ","")&amp;IF($DS168&lt;&gt;"",$DS168&amp;", ","")&amp;IF($DT168&lt;&gt;"",$DT168&amp;", ","")&amp;IF($DU168&lt;&gt;"",$DU168&amp;", ","")),LEN((IF($AT168&lt;&gt;"",$AT168&amp;", ","")&amp;IF($AU168&lt;&gt;"",$AU168&amp;", ","")&amp;IF($AV168&lt;&gt;"",$AV168&amp;", ","")&amp;IF($AW168&lt;&gt;"",$AW168&amp;", ","")&amp;IF($AX168&lt;&gt;"",$AX168&amp;", ","")&amp;IF($AY168&lt;&gt;"",$AY168&amp;", ","")&amp;IF($AZ168&lt;&gt;"",$AZ168&amp;", ","")&amp;IF($BA168&lt;&gt;"",$BA168&amp;", ","")&amp;IF($BB168&lt;&gt;"",$BB168&amp;", ","")&amp;IF($BC168&lt;&gt;"",$BC168&amp;", ","")&amp;IF($DL168&lt;&gt;"",$DL168&amp;", ","")&amp;IF($DM168&lt;&gt;"",$DM168&amp;", ","")&amp;IF($DN168&lt;&gt;"",$DN168&amp;", ","")&amp;IF($DO168&lt;&gt;"",$DO168&amp;", ","")&amp;IF($DP168&lt;&gt;"",$DP168&amp;", ","")&amp;IF($DQ168&lt;&gt;"",$DQ168&amp;", ","")&amp;IF($DR168&lt;&gt;"",$DR168&amp;", ","")&amp;IF($DS168&lt;&gt;"",$DS168&amp;", ","")&amp;IF($DT168&lt;&gt;"",$DT168&amp;", ","")&amp;IF($DU168&lt;&gt;"",$DU168&amp;", ","")))-2)))))))</f>
        <v/>
      </c>
      <c r="N168" t="str">
        <f t="shared" si="1194"/>
        <v/>
      </c>
      <c r="O168" t="str">
        <f t="shared" si="1195"/>
        <v/>
      </c>
      <c r="P168" t="str">
        <f t="shared" si="1196"/>
        <v/>
      </c>
      <c r="Q168" t="str">
        <f t="shared" si="1197"/>
        <v/>
      </c>
      <c r="R168" t="str">
        <f>IF($Q168="","",IF(OR($BE168="",$BF168=""),"ONZEKER",IF(AND($BE168=0+1,$BF168=0),IF(OR(COUNTIF(#REF!,$B168)&gt;0,COUNTIF(#REF!,$B168)=0),"SKIP",IF(COUNTIFS(#REF!,$B168,#REF!,$Q168)&gt;0,"OK","ONBEKEND")),IF(AND($BE168=0,$BF168=0+1),IF(OR(COUNTIF(#REF!,$D168)&gt;0,COUNTIF(#REF!,$D168)=0),"SKIP",IF(COUNTIFS(#REF!,$D168,#REF!,$Q168)&gt;0,"OK","ONBEKEND")),"ONZEKER"))))</f>
        <v/>
      </c>
      <c r="S168" t="str">
        <f t="shared" si="1198"/>
        <v/>
      </c>
      <c r="T168" t="str">
        <f t="shared" si="1199"/>
        <v/>
      </c>
      <c r="U168" t="str">
        <f>IF($T168="","",IF(OR($BH168="",$BI168=""),"ONZEKER",IF(OR($BE168="",$BF168=""),"ONZEKER",IF(AND($BH168=$BE168+1,$BI168=$BF168),IF(OR(COUNTIF(#REF!,$B168)&gt;0,COUNTIF(#REF!,$B168)=0),"SKIP",IF(COUNTIFS(#REF!,$B168,#REF!,$T168)&gt;0,"OK","ONBEKEND")),IF(AND($BH168=$BE168,$BI168=$BF168+1),IF(OR(COUNTIF(#REF!,$D168)&gt;0,COUNTIF(#REF!,$D168)=0),"SKIP",IF(COUNTIFS(#REF!,$D168,#REF!,$T168)&gt;0,"OK","ONBEKEND")),"ONZEKER")))))</f>
        <v/>
      </c>
      <c r="V168" t="str">
        <f t="shared" si="1200"/>
        <v/>
      </c>
      <c r="W168" t="str">
        <f t="shared" si="1201"/>
        <v/>
      </c>
      <c r="X168" t="str">
        <f>IF($W168="","",IF(OR($BK168="",$BL168=""),"ONZEKER",IF(OR($BH168="",$BI168=""),"ONZEKER",IF(AND($BK168=$BH168+1,$BL168=$BI168),IF(OR(COUNTIF(#REF!,$B168)&gt;0,COUNTIF(#REF!,$B168)=0),"SKIP",IF(COUNTIFS(#REF!,$B168,#REF!,$W168)&gt;0,"OK","ONBEKEND")),IF(AND($BK168=$BH168,$BL168=$BI168+1),IF(OR(COUNTIF(#REF!,$D168)&gt;0,COUNTIF(#REF!,$D168)=0),"SKIP",IF(COUNTIFS(#REF!,$D168,#REF!,$W168)&gt;0,"OK","ONBEKEND")),"ONZEKER")))))</f>
        <v/>
      </c>
      <c r="Y168" t="str">
        <f t="shared" si="1202"/>
        <v/>
      </c>
      <c r="Z168" t="str">
        <f t="shared" si="1203"/>
        <v/>
      </c>
      <c r="AA168" t="str">
        <f>IF($Z168="","",IF(OR($BN168="",$BO168=""),"ONZEKER",IF(OR($BK168="",$BL168=""),"ONZEKER",IF(AND($BN168=$BK168+1,$BO168=$BL168),IF(OR(COUNTIF(#REF!,$B168)&gt;0,COUNTIF(#REF!,$B168)=0),"SKIP",IF(COUNTIFS(#REF!,$B168,#REF!,$Z168)&gt;0,"OK","ONBEKEND")),IF(AND($BN168=$BK168,$BO168=$BL168+1),IF(OR(COUNTIF(#REF!,$D168)&gt;0,COUNTIF(#REF!,$D168)=0),"SKIP",IF(COUNTIFS(#REF!,$D168,#REF!,$Z168)&gt;0,"OK","ONBEKEND")),"ONZEKER")))))</f>
        <v/>
      </c>
      <c r="AB168" t="str">
        <f t="shared" si="1204"/>
        <v/>
      </c>
      <c r="AC168" t="str">
        <f t="shared" si="1205"/>
        <v/>
      </c>
      <c r="AD168" t="str">
        <f>IF($AC168="","",IF(OR($BQ168="",$BR168=""),"ONZEKER",IF(OR($BN168="",$BO168=""),"ONZEKER",IF(AND($BQ168=$BN168+1,$BR168=$BO168),IF(OR(COUNTIF(#REF!,$B168)&gt;0,COUNTIF(#REF!,$B168)=0),"SKIP",IF(COUNTIFS(#REF!,$B168,#REF!,$AC168)&gt;0,"OK","ONBEKEND")),IF(AND($BQ168=$BN168,$BR168=$BO168+1),IF(OR(COUNTIF(#REF!,$D168)&gt;0,COUNTIF(#REF!,$D168)=0),"SKIP",IF(COUNTIFS(#REF!,$D168,#REF!,$AC168)&gt;0,"OK","ONBEKEND")),"ONZEKER")))))</f>
        <v/>
      </c>
      <c r="AE168" t="str">
        <f t="shared" si="1206"/>
        <v/>
      </c>
      <c r="AF168" t="str">
        <f t="shared" si="1207"/>
        <v/>
      </c>
      <c r="AG168" t="str">
        <f>IF($AF168="","",IF(OR($BT168="",$BU168=""),"ONZEKER",IF(OR($BQ168="",$BR168=""),"ONZEKER",IF(AND($BT168=$BQ168+1,$BU168=$BR168),IF(OR(COUNTIF(#REF!,$B168)&gt;0,COUNTIF(#REF!,$B168)=0),"SKIP",IF(COUNTIFS(#REF!,$B168,#REF!,$AF168)&gt;0,"OK","ONBEKEND")),IF(AND($BT168=$BQ168,$BU168=$BR168+1),IF(OR(COUNTIF(#REF!,$D168)&gt;0,COUNTIF(#REF!,$D168)=0),"SKIP",IF(COUNTIFS(#REF!,$D168,#REF!,$AF168)&gt;0,"OK","ONBEKEND")),"ONZEKER")))))</f>
        <v/>
      </c>
      <c r="AH168" t="str">
        <f t="shared" si="1208"/>
        <v/>
      </c>
      <c r="AI168" t="str">
        <f t="shared" si="1209"/>
        <v/>
      </c>
      <c r="AJ168" t="str">
        <f>IF($AI168="","",IF(OR($BW168="",$BX168=""),"ONZEKER",IF(OR($BT168="",$BU168=""),"ONZEKER",IF(AND($BW168=$BT168+1,$BX168=$BU168),IF(OR(COUNTIF(#REF!,$B168)&gt;0,COUNTIF(#REF!,$B168)=0),"SKIP",IF(COUNTIFS(#REF!,$B168,#REF!,$AI168)&gt;0,"OK","ONBEKEND")),IF(AND($BW168=$BT168,$BX168=$BU168+1),IF(OR(COUNTIF(#REF!,$D168)&gt;0,COUNTIF(#REF!,$D168)=0),"SKIP",IF(COUNTIFS(#REF!,$D168,#REF!,$AI168)&gt;0,"OK","ONBEKEND")),"ONZEKER")))))</f>
        <v/>
      </c>
      <c r="AK168" t="str">
        <f t="shared" si="1210"/>
        <v/>
      </c>
      <c r="AL168" t="str">
        <f t="shared" si="1211"/>
        <v/>
      </c>
      <c r="AM168" t="str">
        <f>IF($AL168="","",IF(OR($BZ168="",$CA168=""),"ONZEKER",IF(OR($BW168="",$BX168=""),"ONZEKER",IF(AND($BZ168=$BW168+1,$CA168=$BX168),IF(OR(COUNTIF(#REF!,$B168)&gt;0,COUNTIF(#REF!,$B168)=0),"SKIP",IF(COUNTIFS(#REF!,$B168,#REF!,$AL168)&gt;0,"OK","ONBEKEND")),IF(AND($BZ168=$BW168,$CA168=$BX168+1),IF(OR(COUNTIF(#REF!,$D168)&gt;0,COUNTIF(#REF!,$D168)=0),"SKIP",IF(COUNTIFS(#REF!,$D168,#REF!,$AL168)&gt;0,"OK","ONBEKEND")),"ONZEKER")))))</f>
        <v/>
      </c>
      <c r="AN168" t="str">
        <f t="shared" si="1212"/>
        <v/>
      </c>
      <c r="AO168" t="str">
        <f t="shared" si="1213"/>
        <v/>
      </c>
      <c r="AP168" t="str">
        <f>IF($AO168="","",IF(OR($CC168="",$CD168=""),"ONZEKER",IF(OR($BZ168="",$CA168=""),"ONZEKER",IF(AND($CC168=$BZ168+1,$CD168=$CA168),IF(OR(COUNTIF(#REF!,$B168)&gt;0,COUNTIF(#REF!,$B168)=0),"SKIP",IF(COUNTIFS(#REF!,$B168,#REF!,$AO168)&gt;0,"OK","ONBEKEND")),IF(AND($CC168=$BZ168,$CD168=$CA168+1),IF(OR(COUNTIF(#REF!,$D168)&gt;0,COUNTIF(#REF!,$D168)=0),"SKIP",IF(COUNTIFS(#REF!,$D168,#REF!,$AO168)&gt;0,"OK","ONBEKEND")),"ONZEKER")))))</f>
        <v/>
      </c>
      <c r="AQ168" t="str">
        <f t="shared" si="1214"/>
        <v/>
      </c>
      <c r="AR168" t="str">
        <f t="shared" si="1215"/>
        <v/>
      </c>
      <c r="AS168" t="str">
        <f>IF($AR168="","",IF(OR($CF168="",$CG168=""),"ONZEKER",IF(OR($CC168="",$CD168=""),"ONZEKER",IF(AND($CF168=$CC168+1,$CG168=$CD168),IF(OR(COUNTIF(#REF!,$B168)&gt;0,COUNTIF(#REF!,$B168)=0),"SKIP",IF(COUNTIFS(#REF!,$B168,#REF!,$AR168)&gt;0,"OK","ONBEKEND")),IF(AND($CF168=$CC168,$CG168=$CD168+1),IF(OR(COUNTIF(#REF!,$D168)&gt;0,COUNTIF(#REF!,$D168)=0),"SKIP",IF(COUNTIFS(#REF!,$D168,#REF!,$AR168)&gt;0,"OK","ONBEKEND")),"ONZEKER")))))</f>
        <v/>
      </c>
      <c r="AT168" t="str">
        <f t="shared" si="1216"/>
        <v/>
      </c>
      <c r="AU168" t="str">
        <f t="shared" si="1217"/>
        <v/>
      </c>
      <c r="AV168" t="str">
        <f t="shared" si="1218"/>
        <v/>
      </c>
      <c r="AW168" t="str">
        <f t="shared" si="1219"/>
        <v/>
      </c>
      <c r="AX168" t="str">
        <f t="shared" si="1220"/>
        <v/>
      </c>
      <c r="AY168" t="str">
        <f t="shared" si="1221"/>
        <v/>
      </c>
      <c r="AZ168" t="str">
        <f t="shared" si="1222"/>
        <v/>
      </c>
      <c r="BA168" t="str">
        <f t="shared" si="1223"/>
        <v/>
      </c>
      <c r="BB168" t="str">
        <f t="shared" si="1224"/>
        <v/>
      </c>
      <c r="BC168" t="str">
        <f t="shared" si="1225"/>
        <v/>
      </c>
      <c r="BD168" t="str">
        <f t="shared" si="980"/>
        <v/>
      </c>
      <c r="BE168" t="str">
        <f t="shared" si="981"/>
        <v/>
      </c>
      <c r="BF168" t="str">
        <f t="shared" si="982"/>
        <v/>
      </c>
      <c r="BG168" t="str">
        <f t="shared" si="983"/>
        <v/>
      </c>
      <c r="BH168" t="str">
        <f t="shared" si="984"/>
        <v/>
      </c>
      <c r="BI168" t="str">
        <f t="shared" si="985"/>
        <v/>
      </c>
      <c r="BJ168" t="str">
        <f t="shared" si="986"/>
        <v/>
      </c>
      <c r="BK168" t="str">
        <f t="shared" si="987"/>
        <v/>
      </c>
      <c r="BL168" t="str">
        <f t="shared" si="988"/>
        <v/>
      </c>
      <c r="BM168" t="str">
        <f t="shared" si="989"/>
        <v/>
      </c>
      <c r="BN168" t="str">
        <f t="shared" si="990"/>
        <v/>
      </c>
      <c r="BO168" t="str">
        <f t="shared" si="991"/>
        <v/>
      </c>
      <c r="BP168" t="str">
        <f t="shared" si="992"/>
        <v/>
      </c>
      <c r="BQ168" t="str">
        <f t="shared" si="993"/>
        <v/>
      </c>
      <c r="BR168" t="str">
        <f t="shared" si="994"/>
        <v/>
      </c>
      <c r="BS168" t="str">
        <f t="shared" si="995"/>
        <v/>
      </c>
      <c r="BT168" t="str">
        <f t="shared" si="996"/>
        <v/>
      </c>
      <c r="BU168" t="str">
        <f t="shared" si="997"/>
        <v/>
      </c>
      <c r="BV168" t="str">
        <f t="shared" si="998"/>
        <v/>
      </c>
      <c r="BW168" t="str">
        <f t="shared" si="999"/>
        <v/>
      </c>
      <c r="BX168" t="str">
        <f t="shared" si="1000"/>
        <v/>
      </c>
      <c r="BY168" t="str">
        <f t="shared" si="1001"/>
        <v/>
      </c>
      <c r="BZ168" t="str">
        <f t="shared" si="1002"/>
        <v/>
      </c>
      <c r="CA168" t="str">
        <f t="shared" si="1003"/>
        <v/>
      </c>
      <c r="CB168" t="str">
        <f t="shared" si="1004"/>
        <v/>
      </c>
      <c r="CC168" t="str">
        <f t="shared" si="1005"/>
        <v/>
      </c>
      <c r="CD168" t="str">
        <f t="shared" si="1006"/>
        <v/>
      </c>
      <c r="CE168" t="str">
        <f t="shared" si="1007"/>
        <v/>
      </c>
      <c r="CF168" t="str">
        <f t="shared" si="1008"/>
        <v/>
      </c>
      <c r="CG168" t="str">
        <f t="shared" si="1009"/>
        <v/>
      </c>
      <c r="CH168" t="str">
        <f t="shared" si="1226"/>
        <v/>
      </c>
      <c r="CI168" t="str">
        <f t="shared" si="1227"/>
        <v/>
      </c>
      <c r="CJ168" t="str">
        <f>IF($CI168="","",IF(OR($DW168="",$DX168=""),"ONZEKER",IF(OR($CF168="",$CG168=""),"ONZEKER",IF(AND($DW168=$CF168+1,$DX168=$CG168),IF(OR(COUNTIF(#REF!,$B168)&gt;0,COUNTIF(#REF!,$B168)=0),"SKIP",IF(COUNTIFS(#REF!,$B168,#REF!,$CI168)&gt;0,"OK","ONBEKEND")),IF(AND($DW168=$CF168,$DX168=$CG168+1),IF(OR(COUNTIF(#REF!,$D168)&gt;0,COUNTIF(#REF!,$D168)=0),"SKIP",IF(COUNTIFS(#REF!,$D168,#REF!,$CI168)&gt;0,"OK","ONBEKEND")),"ONZEKER")))))</f>
        <v/>
      </c>
      <c r="CK168" t="str">
        <f t="shared" si="1228"/>
        <v/>
      </c>
      <c r="CL168" t="str">
        <f t="shared" si="1229"/>
        <v/>
      </c>
      <c r="CM168" t="str">
        <f>IF($CL168="","",IF(OR($DZ168="",$EA168=""),"ONZEKER",IF(OR($DW168="",$DX168=""),"ONZEKER",IF(AND($DZ168=$DW168+1,$EA168=$DX168),IF(OR(COUNTIF(#REF!,$B168)&gt;0,COUNTIF(#REF!,$B168)=0),"SKIP",IF(COUNTIFS(#REF!,$B168,#REF!,$CL168)&gt;0,"OK","ONBEKEND")),IF(AND($DZ168=$DW168,$EA168=$DX168+1),IF(OR(COUNTIF(#REF!,$D168)&gt;0,COUNTIF(#REF!,$D168)=0),"SKIP",IF(COUNTIFS(#REF!,$D168,#REF!,$CL168)&gt;0,"OK","ONBEKEND")),"ONZEKER")))))</f>
        <v/>
      </c>
      <c r="CN168" t="str">
        <f t="shared" si="1230"/>
        <v/>
      </c>
      <c r="CO168" t="str">
        <f t="shared" si="1231"/>
        <v/>
      </c>
      <c r="CP168" t="str">
        <f>IF($CO168="","",IF(OR($EC168="",$ED168=""),"ONZEKER",IF(OR($DZ168="",$EA168=""),"ONZEKER",IF(AND($EC168=$DZ168+1,$ED168=$EA168),IF(OR(COUNTIF(#REF!,$B168)&gt;0,COUNTIF(#REF!,$B168)=0),"SKIP",IF(COUNTIFS(#REF!,$B168,#REF!,$CO168)&gt;0,"OK","ONBEKEND")),IF(AND($EC168=$DZ168,$ED168=$EA168+1),IF(OR(COUNTIF(#REF!,$D168)&gt;0,COUNTIF(#REF!,$D168)=0),"SKIP",IF(COUNTIFS(#REF!,$D168,#REF!,$CO168)&gt;0,"OK","ONBEKEND")),"ONZEKER")))))</f>
        <v/>
      </c>
      <c r="CQ168" t="str">
        <f t="shared" si="1232"/>
        <v/>
      </c>
      <c r="CR168" t="str">
        <f t="shared" si="1233"/>
        <v/>
      </c>
      <c r="CS168" t="str">
        <f>IF($CR168="","",IF(OR($EF168="",$EG168=""),"ONZEKER",IF(OR($EC168="",$ED168=""),"ONZEKER",IF(AND($EF168=$EC168+1,$EG168=$ED168),IF(OR(COUNTIF(#REF!,$B168)&gt;0,COUNTIF(#REF!,$B168)=0),"SKIP",IF(COUNTIFS(#REF!,$B168,#REF!,$CR168)&gt;0,"OK","ONBEKEND")),IF(AND($EF168=$EC168,$EG168=$ED168+1),IF(OR(COUNTIF(#REF!,$D168)&gt;0,COUNTIF(#REF!,$D168)=0),"SKIP",IF(COUNTIFS(#REF!,$D168,#REF!,$CR168)&gt;0,"OK","ONBEKEND")),"ONZEKER")))))</f>
        <v/>
      </c>
      <c r="CT168" t="str">
        <f t="shared" si="1234"/>
        <v/>
      </c>
      <c r="CU168" t="str">
        <f t="shared" si="1235"/>
        <v/>
      </c>
      <c r="CV168" t="str">
        <f>IF($CU168="","",IF(OR($EI168="",$EJ168=""),"ONZEKER",IF(OR($EF168="",$EG168=""),"ONZEKER",IF(AND($EI168=$EF168+1,$EJ168=$EG168),IF(OR(COUNTIF(#REF!,$B168)&gt;0,COUNTIF(#REF!,$B168)=0),"SKIP",IF(COUNTIFS(#REF!,$B168,#REF!,$CU168)&gt;0,"OK","ONBEKEND")),IF(AND($EI168=$EF168,$EJ168=$EG168+1),IF(OR(COUNTIF(#REF!,$D168)&gt;0,COUNTIF(#REF!,$D168)=0),"SKIP",IF(COUNTIFS(#REF!,$D168,#REF!,$CU168)&gt;0,"OK","ONBEKEND")),"ONZEKER")))))</f>
        <v/>
      </c>
      <c r="CW168" t="str">
        <f t="shared" si="1236"/>
        <v/>
      </c>
      <c r="CX168" t="str">
        <f t="shared" si="1237"/>
        <v/>
      </c>
      <c r="CY168" t="str">
        <f>IF($CX168="","",IF(OR($EL168="",$EM168=""),"ONZEKER",IF(OR($EI168="",$EJ168=""),"ONZEKER",IF(AND($EL168=$EI168+1,$EM168=$EJ168),IF(OR(COUNTIF(#REF!,$B168)&gt;0,COUNTIF(#REF!,$B168)=0),"SKIP",IF(COUNTIFS(#REF!,$B168,#REF!,$CX168)&gt;0,"OK","ONBEKEND")),IF(AND($EL168=$EI168,$EM168=$EJ168+1),IF(OR(COUNTIF(#REF!,$D168)&gt;0,COUNTIF(#REF!,$D168)=0),"SKIP",IF(COUNTIFS(#REF!,$D168,#REF!,$CX168)&gt;0,"OK","ONBEKEND")),"ONZEKER")))))</f>
        <v/>
      </c>
      <c r="CZ168" t="str">
        <f t="shared" si="1238"/>
        <v/>
      </c>
      <c r="DA168" t="str">
        <f t="shared" si="1239"/>
        <v/>
      </c>
      <c r="DB168" t="str">
        <f>IF($DA168="","",IF(OR($EO168="",$EP168=""),"ONZEKER",IF(OR($EL168="",$EM168=""),"ONZEKER",IF(AND($EO168=$EL168+1,$EP168=$EM168),IF(OR(COUNTIF(#REF!,$B168)&gt;0,COUNTIF(#REF!,$B168)=0),"SKIP",IF(COUNTIFS(#REF!,$B168,#REF!,$DA168)&gt;0,"OK","ONBEKEND")),IF(AND($EO168=$EL168,$EP168=$EM168+1),IF(OR(COUNTIF(#REF!,$D168)&gt;0,COUNTIF(#REF!,$D168)=0),"SKIP",IF(COUNTIFS(#REF!,$D168,#REF!,$DA168)&gt;0,"OK","ONBEKEND")),"ONZEKER")))))</f>
        <v/>
      </c>
      <c r="DC168" t="str">
        <f t="shared" si="1240"/>
        <v/>
      </c>
      <c r="DD168" t="str">
        <f t="shared" si="1241"/>
        <v/>
      </c>
      <c r="DE168" t="str">
        <f>IF($DD168="","",IF(OR($ER168="",$ES168=""),"ONZEKER",IF(OR($EO168="",$EP168=""),"ONZEKER",IF(AND($ER168=$EO168+1,$ES168=$EP168),IF(OR(COUNTIF(#REF!,$B168)&gt;0,COUNTIF(#REF!,$B168)=0),"SKIP",IF(COUNTIFS(#REF!,$B168,#REF!,$DD168)&gt;0,"OK","ONBEKEND")),IF(AND($ER168=$EO168,$ES168=$EP168+1),IF(OR(COUNTIF(#REF!,$D168)&gt;0,COUNTIF(#REF!,$D168)=0),"SKIP",IF(COUNTIFS(#REF!,$D168,#REF!,$DD168)&gt;0,"OK","ONBEKEND")),"ONZEKER")))))</f>
        <v/>
      </c>
      <c r="DF168" t="str">
        <f t="shared" si="1242"/>
        <v/>
      </c>
      <c r="DG168" t="str">
        <f t="shared" si="1243"/>
        <v/>
      </c>
      <c r="DH168" t="str">
        <f>IF($DG168="","",IF(OR($EU168="",$EV168=""),"ONZEKER",IF(OR($ER168="",$ES168=""),"ONZEKER",IF(AND($EU168=$ER168+1,$EV168=$ES168),IF(OR(COUNTIF(#REF!,$B168)&gt;0,COUNTIF(#REF!,$B168)=0),"SKIP",IF(COUNTIFS(#REF!,$B168,#REF!,$DG168)&gt;0,"OK","ONBEKEND")),IF(AND($EU168=$ER168,$EV168=$ES168+1),IF(OR(COUNTIF(#REF!,$D168)&gt;0,COUNTIF(#REF!,$D168)=0),"SKIP",IF(COUNTIFS(#REF!,$D168,#REF!,$DG168)&gt;0,"OK","ONBEKEND")),"ONZEKER")))))</f>
        <v/>
      </c>
      <c r="DI168" t="str">
        <f t="shared" si="1244"/>
        <v/>
      </c>
      <c r="DJ168" t="str">
        <f t="shared" si="1245"/>
        <v/>
      </c>
      <c r="DK168" t="str">
        <f>IF($DJ168="","",IF(OR($EX168="",$EY168=""),"ONZEKER",IF(OR($EU168="",$EV168=""),"ONZEKER",IF(AND($EX168=$EU168+1,$EY168=$EV168),IF(OR(COUNTIF(#REF!,$B168)&gt;0,COUNTIF(#REF!,$B168)=0),"SKIP",IF(COUNTIFS(#REF!,$B168,#REF!,$DJ168)&gt;0,"OK","ONBEKEND")),IF(AND($EX168=$EU168,$EY168=$EV168+1),IF(OR(COUNTIF(#REF!,$D168)&gt;0,COUNTIF(#REF!,$D168)=0),"SKIP",IF(COUNTIFS(#REF!,$D168,#REF!,$DJ168)&gt;0,"OK","ONBEKEND")),"ONZEKER")))))</f>
        <v/>
      </c>
      <c r="DL168" t="str">
        <f t="shared" si="1246"/>
        <v/>
      </c>
      <c r="DM168" t="str">
        <f t="shared" si="1247"/>
        <v/>
      </c>
      <c r="DN168" t="str">
        <f t="shared" si="1248"/>
        <v/>
      </c>
      <c r="DO168" t="str">
        <f t="shared" si="1249"/>
        <v/>
      </c>
      <c r="DP168" t="str">
        <f t="shared" si="1250"/>
        <v/>
      </c>
      <c r="DQ168" t="str">
        <f t="shared" si="1251"/>
        <v/>
      </c>
      <c r="DR168" t="str">
        <f t="shared" si="1252"/>
        <v/>
      </c>
      <c r="DS168" t="str">
        <f t="shared" si="1253"/>
        <v/>
      </c>
      <c r="DT168" t="str">
        <f t="shared" si="1254"/>
        <v/>
      </c>
      <c r="DU168" t="str">
        <f t="shared" si="1255"/>
        <v/>
      </c>
      <c r="DV168" t="str">
        <f t="shared" si="1256"/>
        <v/>
      </c>
      <c r="DW168" t="str">
        <f t="shared" si="1257"/>
        <v/>
      </c>
      <c r="DX168" t="str">
        <f t="shared" si="1258"/>
        <v/>
      </c>
      <c r="DY168" t="str">
        <f t="shared" si="1259"/>
        <v/>
      </c>
      <c r="DZ168" t="str">
        <f t="shared" si="1260"/>
        <v/>
      </c>
      <c r="EA168" t="str">
        <f t="shared" si="1261"/>
        <v/>
      </c>
      <c r="EB168" t="str">
        <f t="shared" si="1262"/>
        <v/>
      </c>
      <c r="EC168" t="str">
        <f t="shared" si="1263"/>
        <v/>
      </c>
      <c r="ED168" t="str">
        <f t="shared" si="1264"/>
        <v/>
      </c>
      <c r="EE168" t="str">
        <f t="shared" si="1265"/>
        <v/>
      </c>
      <c r="EF168" t="str">
        <f t="shared" si="1266"/>
        <v/>
      </c>
      <c r="EG168" t="str">
        <f t="shared" si="1267"/>
        <v/>
      </c>
      <c r="EH168" t="str">
        <f t="shared" si="1268"/>
        <v/>
      </c>
      <c r="EI168" t="str">
        <f t="shared" si="1269"/>
        <v/>
      </c>
      <c r="EJ168" t="str">
        <f t="shared" si="1270"/>
        <v/>
      </c>
      <c r="EK168" t="str">
        <f t="shared" si="1271"/>
        <v/>
      </c>
      <c r="EL168" t="str">
        <f t="shared" si="1272"/>
        <v/>
      </c>
      <c r="EM168" t="str">
        <f t="shared" si="1273"/>
        <v/>
      </c>
      <c r="EN168" t="str">
        <f t="shared" si="1274"/>
        <v/>
      </c>
      <c r="EO168" t="str">
        <f t="shared" si="1275"/>
        <v/>
      </c>
      <c r="EP168" t="str">
        <f t="shared" si="1276"/>
        <v/>
      </c>
      <c r="EQ168" t="str">
        <f t="shared" si="1277"/>
        <v/>
      </c>
      <c r="ER168" t="str">
        <f t="shared" si="1278"/>
        <v/>
      </c>
      <c r="ES168" t="str">
        <f t="shared" si="1279"/>
        <v/>
      </c>
      <c r="ET168" t="str">
        <f t="shared" si="1280"/>
        <v/>
      </c>
      <c r="EU168" t="str">
        <f t="shared" si="1281"/>
        <v/>
      </c>
      <c r="EV168" t="str">
        <f t="shared" si="1282"/>
        <v/>
      </c>
      <c r="EW168" t="str">
        <f t="shared" si="1283"/>
        <v/>
      </c>
      <c r="EX168" t="str">
        <f t="shared" si="1284"/>
        <v/>
      </c>
      <c r="EY168" t="str">
        <f t="shared" si="1285"/>
        <v/>
      </c>
    </row>
    <row r="169" spans="1:155" ht="13.9" customHeight="1" x14ac:dyDescent="0.25">
      <c r="M169" s="3" t="str">
        <f>IF($L169="","",IF($L169="DOELPUNTENMAKERS","",IF(AND(COUNTIF(#REF!,$B169)=0,COUNTIF(#REF!,$D169)=0),"OK",IF($O169&gt;20,"LET OP: meer dan 20 items (controle onvolledig)",IF((COUNTIF($R169:$AS169,"ONZEKER")+COUNTIF($CJ169:$DK169,"ONZEKER"))&gt;0,"LET OP: scoreverloop onduidelijk (controle beperkt)",IF((IF($AT169&lt;&gt;"",$AT169&amp;", ","")&amp;IF($AU169&lt;&gt;"",$AU169&amp;", ","")&amp;IF($AV169&lt;&gt;"",$AV169&amp;", ","")&amp;IF($AW169&lt;&gt;"",$AW169&amp;", ","")&amp;IF($AX169&lt;&gt;"",$AX169&amp;", ","")&amp;IF($AY169&lt;&gt;"",$AY169&amp;", ","")&amp;IF($AZ169&lt;&gt;"",$AZ169&amp;", ","")&amp;IF($BA169&lt;&gt;"",$BA169&amp;", ","")&amp;IF($BB169&lt;&gt;"",$BB169&amp;", ","")&amp;IF($BC169&lt;&gt;"",$BC169&amp;", ","")&amp;IF($DL169&lt;&gt;"",$DL169&amp;", ","")&amp;IF($DM169&lt;&gt;"",$DM169&amp;", ","")&amp;IF($DN169&lt;&gt;"",$DN169&amp;", ","")&amp;IF($DO169&lt;&gt;"",$DO169&amp;", ","")&amp;IF($DP169&lt;&gt;"",$DP169&amp;", ","")&amp;IF($DQ169&lt;&gt;"",$DQ169&amp;", ","")&amp;IF($DR169&lt;&gt;"",$DR169&amp;", ","")&amp;IF($DS169&lt;&gt;"",$DS169&amp;", ","")&amp;IF($DT169&lt;&gt;"",$DT169&amp;", ","")&amp;IF($DU169&lt;&gt;"",$DU169&amp;", ",""))="","OK","Onbekend: "&amp;LEFT((IF($AT169&lt;&gt;"",$AT169&amp;", ","")&amp;IF($AU169&lt;&gt;"",$AU169&amp;", ","")&amp;IF($AV169&lt;&gt;"",$AV169&amp;", ","")&amp;IF($AW169&lt;&gt;"",$AW169&amp;", ","")&amp;IF($AX169&lt;&gt;"",$AX169&amp;", ","")&amp;IF($AY169&lt;&gt;"",$AY169&amp;", ","")&amp;IF($AZ169&lt;&gt;"",$AZ169&amp;", ","")&amp;IF($BA169&lt;&gt;"",$BA169&amp;", ","")&amp;IF($BB169&lt;&gt;"",$BB169&amp;", ","")&amp;IF($BC169&lt;&gt;"",$BC169&amp;", ","")&amp;IF($DL169&lt;&gt;"",$DL169&amp;", ","")&amp;IF($DM169&lt;&gt;"",$DM169&amp;", ","")&amp;IF($DN169&lt;&gt;"",$DN169&amp;", ","")&amp;IF($DO169&lt;&gt;"",$DO169&amp;", ","")&amp;IF($DP169&lt;&gt;"",$DP169&amp;", ","")&amp;IF($DQ169&lt;&gt;"",$DQ169&amp;", ","")&amp;IF($DR169&lt;&gt;"",$DR169&amp;", ","")&amp;IF($DS169&lt;&gt;"",$DS169&amp;", ","")&amp;IF($DT169&lt;&gt;"",$DT169&amp;", ","")&amp;IF($DU169&lt;&gt;"",$DU169&amp;", ","")),LEN((IF($AT169&lt;&gt;"",$AT169&amp;", ","")&amp;IF($AU169&lt;&gt;"",$AU169&amp;", ","")&amp;IF($AV169&lt;&gt;"",$AV169&amp;", ","")&amp;IF($AW169&lt;&gt;"",$AW169&amp;", ","")&amp;IF($AX169&lt;&gt;"",$AX169&amp;", ","")&amp;IF($AY169&lt;&gt;"",$AY169&amp;", ","")&amp;IF($AZ169&lt;&gt;"",$AZ169&amp;", ","")&amp;IF($BA169&lt;&gt;"",$BA169&amp;", ","")&amp;IF($BB169&lt;&gt;"",$BB169&amp;", ","")&amp;IF($BC169&lt;&gt;"",$BC169&amp;", ","")&amp;IF($DL169&lt;&gt;"",$DL169&amp;", ","")&amp;IF($DM169&lt;&gt;"",$DM169&amp;", ","")&amp;IF($DN169&lt;&gt;"",$DN169&amp;", ","")&amp;IF($DO169&lt;&gt;"",$DO169&amp;", ","")&amp;IF($DP169&lt;&gt;"",$DP169&amp;", ","")&amp;IF($DQ169&lt;&gt;"",$DQ169&amp;", ","")&amp;IF($DR169&lt;&gt;"",$DR169&amp;", ","")&amp;IF($DS169&lt;&gt;"",$DS169&amp;", ","")&amp;IF($DT169&lt;&gt;"",$DT169&amp;", ","")&amp;IF($DU169&lt;&gt;"",$DU169&amp;", ","")))-2)))))))</f>
        <v/>
      </c>
      <c r="N169" t="str">
        <f t="shared" si="1194"/>
        <v/>
      </c>
      <c r="O169" t="str">
        <f t="shared" si="1195"/>
        <v/>
      </c>
      <c r="P169" t="str">
        <f t="shared" si="1196"/>
        <v/>
      </c>
      <c r="Q169" t="str">
        <f t="shared" si="1197"/>
        <v/>
      </c>
      <c r="R169" t="str">
        <f>IF($Q169="","",IF(OR($BE169="",$BF169=""),"ONZEKER",IF(AND($BE169=0+1,$BF169=0),IF(OR(COUNTIF(#REF!,$B169)&gt;0,COUNTIF(#REF!,$B169)=0),"SKIP",IF(COUNTIFS(#REF!,$B169,#REF!,$Q169)&gt;0,"OK","ONBEKEND")),IF(AND($BE169=0,$BF169=0+1),IF(OR(COUNTIF(#REF!,$D169)&gt;0,COUNTIF(#REF!,$D169)=0),"SKIP",IF(COUNTIFS(#REF!,$D169,#REF!,$Q169)&gt;0,"OK","ONBEKEND")),"ONZEKER"))))</f>
        <v/>
      </c>
      <c r="S169" t="str">
        <f t="shared" si="1198"/>
        <v/>
      </c>
      <c r="T169" t="str">
        <f t="shared" si="1199"/>
        <v/>
      </c>
      <c r="U169" t="str">
        <f>IF($T169="","",IF(OR($BH169="",$BI169=""),"ONZEKER",IF(OR($BE169="",$BF169=""),"ONZEKER",IF(AND($BH169=$BE169+1,$BI169=$BF169),IF(OR(COUNTIF(#REF!,$B169)&gt;0,COUNTIF(#REF!,$B169)=0),"SKIP",IF(COUNTIFS(#REF!,$B169,#REF!,$T169)&gt;0,"OK","ONBEKEND")),IF(AND($BH169=$BE169,$BI169=$BF169+1),IF(OR(COUNTIF(#REF!,$D169)&gt;0,COUNTIF(#REF!,$D169)=0),"SKIP",IF(COUNTIFS(#REF!,$D169,#REF!,$T169)&gt;0,"OK","ONBEKEND")),"ONZEKER")))))</f>
        <v/>
      </c>
      <c r="V169" t="str">
        <f t="shared" si="1200"/>
        <v/>
      </c>
      <c r="W169" t="str">
        <f t="shared" si="1201"/>
        <v/>
      </c>
      <c r="X169" t="str">
        <f>IF($W169="","",IF(OR($BK169="",$BL169=""),"ONZEKER",IF(OR($BH169="",$BI169=""),"ONZEKER",IF(AND($BK169=$BH169+1,$BL169=$BI169),IF(OR(COUNTIF(#REF!,$B169)&gt;0,COUNTIF(#REF!,$B169)=0),"SKIP",IF(COUNTIFS(#REF!,$B169,#REF!,$W169)&gt;0,"OK","ONBEKEND")),IF(AND($BK169=$BH169,$BL169=$BI169+1),IF(OR(COUNTIF(#REF!,$D169)&gt;0,COUNTIF(#REF!,$D169)=0),"SKIP",IF(COUNTIFS(#REF!,$D169,#REF!,$W169)&gt;0,"OK","ONBEKEND")),"ONZEKER")))))</f>
        <v/>
      </c>
      <c r="Y169" t="str">
        <f t="shared" si="1202"/>
        <v/>
      </c>
      <c r="Z169" t="str">
        <f t="shared" si="1203"/>
        <v/>
      </c>
      <c r="AA169" t="str">
        <f>IF($Z169="","",IF(OR($BN169="",$BO169=""),"ONZEKER",IF(OR($BK169="",$BL169=""),"ONZEKER",IF(AND($BN169=$BK169+1,$BO169=$BL169),IF(OR(COUNTIF(#REF!,$B169)&gt;0,COUNTIF(#REF!,$B169)=0),"SKIP",IF(COUNTIFS(#REF!,$B169,#REF!,$Z169)&gt;0,"OK","ONBEKEND")),IF(AND($BN169=$BK169,$BO169=$BL169+1),IF(OR(COUNTIF(#REF!,$D169)&gt;0,COUNTIF(#REF!,$D169)=0),"SKIP",IF(COUNTIFS(#REF!,$D169,#REF!,$Z169)&gt;0,"OK","ONBEKEND")),"ONZEKER")))))</f>
        <v/>
      </c>
      <c r="AB169" t="str">
        <f t="shared" si="1204"/>
        <v/>
      </c>
      <c r="AC169" t="str">
        <f t="shared" si="1205"/>
        <v/>
      </c>
      <c r="AD169" t="str">
        <f>IF($AC169="","",IF(OR($BQ169="",$BR169=""),"ONZEKER",IF(OR($BN169="",$BO169=""),"ONZEKER",IF(AND($BQ169=$BN169+1,$BR169=$BO169),IF(OR(COUNTIF(#REF!,$B169)&gt;0,COUNTIF(#REF!,$B169)=0),"SKIP",IF(COUNTIFS(#REF!,$B169,#REF!,$AC169)&gt;0,"OK","ONBEKEND")),IF(AND($BQ169=$BN169,$BR169=$BO169+1),IF(OR(COUNTIF(#REF!,$D169)&gt;0,COUNTIF(#REF!,$D169)=0),"SKIP",IF(COUNTIFS(#REF!,$D169,#REF!,$AC169)&gt;0,"OK","ONBEKEND")),"ONZEKER")))))</f>
        <v/>
      </c>
      <c r="AE169" t="str">
        <f t="shared" si="1206"/>
        <v/>
      </c>
      <c r="AF169" t="str">
        <f t="shared" si="1207"/>
        <v/>
      </c>
      <c r="AG169" t="str">
        <f>IF($AF169="","",IF(OR($BT169="",$BU169=""),"ONZEKER",IF(OR($BQ169="",$BR169=""),"ONZEKER",IF(AND($BT169=$BQ169+1,$BU169=$BR169),IF(OR(COUNTIF(#REF!,$B169)&gt;0,COUNTIF(#REF!,$B169)=0),"SKIP",IF(COUNTIFS(#REF!,$B169,#REF!,$AF169)&gt;0,"OK","ONBEKEND")),IF(AND($BT169=$BQ169,$BU169=$BR169+1),IF(OR(COUNTIF(#REF!,$D169)&gt;0,COUNTIF(#REF!,$D169)=0),"SKIP",IF(COUNTIFS(#REF!,$D169,#REF!,$AF169)&gt;0,"OK","ONBEKEND")),"ONZEKER")))))</f>
        <v/>
      </c>
      <c r="AH169" t="str">
        <f t="shared" si="1208"/>
        <v/>
      </c>
      <c r="AI169" t="str">
        <f t="shared" si="1209"/>
        <v/>
      </c>
      <c r="AJ169" t="str">
        <f>IF($AI169="","",IF(OR($BW169="",$BX169=""),"ONZEKER",IF(OR($BT169="",$BU169=""),"ONZEKER",IF(AND($BW169=$BT169+1,$BX169=$BU169),IF(OR(COUNTIF(#REF!,$B169)&gt;0,COUNTIF(#REF!,$B169)=0),"SKIP",IF(COUNTIFS(#REF!,$B169,#REF!,$AI169)&gt;0,"OK","ONBEKEND")),IF(AND($BW169=$BT169,$BX169=$BU169+1),IF(OR(COUNTIF(#REF!,$D169)&gt;0,COUNTIF(#REF!,$D169)=0),"SKIP",IF(COUNTIFS(#REF!,$D169,#REF!,$AI169)&gt;0,"OK","ONBEKEND")),"ONZEKER")))))</f>
        <v/>
      </c>
      <c r="AK169" t="str">
        <f t="shared" si="1210"/>
        <v/>
      </c>
      <c r="AL169" t="str">
        <f t="shared" si="1211"/>
        <v/>
      </c>
      <c r="AM169" t="str">
        <f>IF($AL169="","",IF(OR($BZ169="",$CA169=""),"ONZEKER",IF(OR($BW169="",$BX169=""),"ONZEKER",IF(AND($BZ169=$BW169+1,$CA169=$BX169),IF(OR(COUNTIF(#REF!,$B169)&gt;0,COUNTIF(#REF!,$B169)=0),"SKIP",IF(COUNTIFS(#REF!,$B169,#REF!,$AL169)&gt;0,"OK","ONBEKEND")),IF(AND($BZ169=$BW169,$CA169=$BX169+1),IF(OR(COUNTIF(#REF!,$D169)&gt;0,COUNTIF(#REF!,$D169)=0),"SKIP",IF(COUNTIFS(#REF!,$D169,#REF!,$AL169)&gt;0,"OK","ONBEKEND")),"ONZEKER")))))</f>
        <v/>
      </c>
      <c r="AN169" t="str">
        <f t="shared" si="1212"/>
        <v/>
      </c>
      <c r="AO169" t="str">
        <f t="shared" si="1213"/>
        <v/>
      </c>
      <c r="AP169" t="str">
        <f>IF($AO169="","",IF(OR($CC169="",$CD169=""),"ONZEKER",IF(OR($BZ169="",$CA169=""),"ONZEKER",IF(AND($CC169=$BZ169+1,$CD169=$CA169),IF(OR(COUNTIF(#REF!,$B169)&gt;0,COUNTIF(#REF!,$B169)=0),"SKIP",IF(COUNTIFS(#REF!,$B169,#REF!,$AO169)&gt;0,"OK","ONBEKEND")),IF(AND($CC169=$BZ169,$CD169=$CA169+1),IF(OR(COUNTIF(#REF!,$D169)&gt;0,COUNTIF(#REF!,$D169)=0),"SKIP",IF(COUNTIFS(#REF!,$D169,#REF!,$AO169)&gt;0,"OK","ONBEKEND")),"ONZEKER")))))</f>
        <v/>
      </c>
      <c r="AQ169" t="str">
        <f t="shared" si="1214"/>
        <v/>
      </c>
      <c r="AR169" t="str">
        <f t="shared" si="1215"/>
        <v/>
      </c>
      <c r="AS169" t="str">
        <f>IF($AR169="","",IF(OR($CF169="",$CG169=""),"ONZEKER",IF(OR($CC169="",$CD169=""),"ONZEKER",IF(AND($CF169=$CC169+1,$CG169=$CD169),IF(OR(COUNTIF(#REF!,$B169)&gt;0,COUNTIF(#REF!,$B169)=0),"SKIP",IF(COUNTIFS(#REF!,$B169,#REF!,$AR169)&gt;0,"OK","ONBEKEND")),IF(AND($CF169=$CC169,$CG169=$CD169+1),IF(OR(COUNTIF(#REF!,$D169)&gt;0,COUNTIF(#REF!,$D169)=0),"SKIP",IF(COUNTIFS(#REF!,$D169,#REF!,$AR169)&gt;0,"OK","ONBEKEND")),"ONZEKER")))))</f>
        <v/>
      </c>
      <c r="AT169" t="str">
        <f t="shared" si="1216"/>
        <v/>
      </c>
      <c r="AU169" t="str">
        <f t="shared" si="1217"/>
        <v/>
      </c>
      <c r="AV169" t="str">
        <f t="shared" si="1218"/>
        <v/>
      </c>
      <c r="AW169" t="str">
        <f t="shared" si="1219"/>
        <v/>
      </c>
      <c r="AX169" t="str">
        <f t="shared" si="1220"/>
        <v/>
      </c>
      <c r="AY169" t="str">
        <f t="shared" si="1221"/>
        <v/>
      </c>
      <c r="AZ169" t="str">
        <f t="shared" si="1222"/>
        <v/>
      </c>
      <c r="BA169" t="str">
        <f t="shared" si="1223"/>
        <v/>
      </c>
      <c r="BB169" t="str">
        <f t="shared" si="1224"/>
        <v/>
      </c>
      <c r="BC169" t="str">
        <f t="shared" si="1225"/>
        <v/>
      </c>
      <c r="BD169" t="str">
        <f t="shared" si="980"/>
        <v/>
      </c>
      <c r="BE169" t="str">
        <f t="shared" si="981"/>
        <v/>
      </c>
      <c r="BF169" t="str">
        <f t="shared" si="982"/>
        <v/>
      </c>
      <c r="BG169" t="str">
        <f t="shared" si="983"/>
        <v/>
      </c>
      <c r="BH169" t="str">
        <f t="shared" si="984"/>
        <v/>
      </c>
      <c r="BI169" t="str">
        <f t="shared" si="985"/>
        <v/>
      </c>
      <c r="BJ169" t="str">
        <f t="shared" si="986"/>
        <v/>
      </c>
      <c r="BK169" t="str">
        <f t="shared" si="987"/>
        <v/>
      </c>
      <c r="BL169" t="str">
        <f t="shared" si="988"/>
        <v/>
      </c>
      <c r="BM169" t="str">
        <f t="shared" si="989"/>
        <v/>
      </c>
      <c r="BN169" t="str">
        <f t="shared" si="990"/>
        <v/>
      </c>
      <c r="BO169" t="str">
        <f t="shared" si="991"/>
        <v/>
      </c>
      <c r="BP169" t="str">
        <f t="shared" si="992"/>
        <v/>
      </c>
      <c r="BQ169" t="str">
        <f t="shared" si="993"/>
        <v/>
      </c>
      <c r="BR169" t="str">
        <f t="shared" si="994"/>
        <v/>
      </c>
      <c r="BS169" t="str">
        <f t="shared" si="995"/>
        <v/>
      </c>
      <c r="BT169" t="str">
        <f t="shared" si="996"/>
        <v/>
      </c>
      <c r="BU169" t="str">
        <f t="shared" si="997"/>
        <v/>
      </c>
      <c r="BV169" t="str">
        <f t="shared" si="998"/>
        <v/>
      </c>
      <c r="BW169" t="str">
        <f t="shared" si="999"/>
        <v/>
      </c>
      <c r="BX169" t="str">
        <f t="shared" si="1000"/>
        <v/>
      </c>
      <c r="BY169" t="str">
        <f t="shared" si="1001"/>
        <v/>
      </c>
      <c r="BZ169" t="str">
        <f t="shared" si="1002"/>
        <v/>
      </c>
      <c r="CA169" t="str">
        <f t="shared" si="1003"/>
        <v/>
      </c>
      <c r="CB169" t="str">
        <f t="shared" si="1004"/>
        <v/>
      </c>
      <c r="CC169" t="str">
        <f t="shared" si="1005"/>
        <v/>
      </c>
      <c r="CD169" t="str">
        <f t="shared" si="1006"/>
        <v/>
      </c>
      <c r="CE169" t="str">
        <f t="shared" si="1007"/>
        <v/>
      </c>
      <c r="CF169" t="str">
        <f t="shared" si="1008"/>
        <v/>
      </c>
      <c r="CG169" t="str">
        <f t="shared" si="1009"/>
        <v/>
      </c>
      <c r="CH169" t="str">
        <f t="shared" si="1226"/>
        <v/>
      </c>
      <c r="CI169" t="str">
        <f t="shared" si="1227"/>
        <v/>
      </c>
      <c r="CJ169" t="str">
        <f>IF($CI169="","",IF(OR($DW169="",$DX169=""),"ONZEKER",IF(OR($CF169="",$CG169=""),"ONZEKER",IF(AND($DW169=$CF169+1,$DX169=$CG169),IF(OR(COUNTIF(#REF!,$B169)&gt;0,COUNTIF(#REF!,$B169)=0),"SKIP",IF(COUNTIFS(#REF!,$B169,#REF!,$CI169)&gt;0,"OK","ONBEKEND")),IF(AND($DW169=$CF169,$DX169=$CG169+1),IF(OR(COUNTIF(#REF!,$D169)&gt;0,COUNTIF(#REF!,$D169)=0),"SKIP",IF(COUNTIFS(#REF!,$D169,#REF!,$CI169)&gt;0,"OK","ONBEKEND")),"ONZEKER")))))</f>
        <v/>
      </c>
      <c r="CK169" t="str">
        <f t="shared" si="1228"/>
        <v/>
      </c>
      <c r="CL169" t="str">
        <f t="shared" si="1229"/>
        <v/>
      </c>
      <c r="CM169" t="str">
        <f>IF($CL169="","",IF(OR($DZ169="",$EA169=""),"ONZEKER",IF(OR($DW169="",$DX169=""),"ONZEKER",IF(AND($DZ169=$DW169+1,$EA169=$DX169),IF(OR(COUNTIF(#REF!,$B169)&gt;0,COUNTIF(#REF!,$B169)=0),"SKIP",IF(COUNTIFS(#REF!,$B169,#REF!,$CL169)&gt;0,"OK","ONBEKEND")),IF(AND($DZ169=$DW169,$EA169=$DX169+1),IF(OR(COUNTIF(#REF!,$D169)&gt;0,COUNTIF(#REF!,$D169)=0),"SKIP",IF(COUNTIFS(#REF!,$D169,#REF!,$CL169)&gt;0,"OK","ONBEKEND")),"ONZEKER")))))</f>
        <v/>
      </c>
      <c r="CN169" t="str">
        <f t="shared" si="1230"/>
        <v/>
      </c>
      <c r="CO169" t="str">
        <f t="shared" si="1231"/>
        <v/>
      </c>
      <c r="CP169" t="str">
        <f>IF($CO169="","",IF(OR($EC169="",$ED169=""),"ONZEKER",IF(OR($DZ169="",$EA169=""),"ONZEKER",IF(AND($EC169=$DZ169+1,$ED169=$EA169),IF(OR(COUNTIF(#REF!,$B169)&gt;0,COUNTIF(#REF!,$B169)=0),"SKIP",IF(COUNTIFS(#REF!,$B169,#REF!,$CO169)&gt;0,"OK","ONBEKEND")),IF(AND($EC169=$DZ169,$ED169=$EA169+1),IF(OR(COUNTIF(#REF!,$D169)&gt;0,COUNTIF(#REF!,$D169)=0),"SKIP",IF(COUNTIFS(#REF!,$D169,#REF!,$CO169)&gt;0,"OK","ONBEKEND")),"ONZEKER")))))</f>
        <v/>
      </c>
      <c r="CQ169" t="str">
        <f t="shared" si="1232"/>
        <v/>
      </c>
      <c r="CR169" t="str">
        <f t="shared" si="1233"/>
        <v/>
      </c>
      <c r="CS169" t="str">
        <f>IF($CR169="","",IF(OR($EF169="",$EG169=""),"ONZEKER",IF(OR($EC169="",$ED169=""),"ONZEKER",IF(AND($EF169=$EC169+1,$EG169=$ED169),IF(OR(COUNTIF(#REF!,$B169)&gt;0,COUNTIF(#REF!,$B169)=0),"SKIP",IF(COUNTIFS(#REF!,$B169,#REF!,$CR169)&gt;0,"OK","ONBEKEND")),IF(AND($EF169=$EC169,$EG169=$ED169+1),IF(OR(COUNTIF(#REF!,$D169)&gt;0,COUNTIF(#REF!,$D169)=0),"SKIP",IF(COUNTIFS(#REF!,$D169,#REF!,$CR169)&gt;0,"OK","ONBEKEND")),"ONZEKER")))))</f>
        <v/>
      </c>
      <c r="CT169" t="str">
        <f t="shared" si="1234"/>
        <v/>
      </c>
      <c r="CU169" t="str">
        <f t="shared" si="1235"/>
        <v/>
      </c>
      <c r="CV169" t="str">
        <f>IF($CU169="","",IF(OR($EI169="",$EJ169=""),"ONZEKER",IF(OR($EF169="",$EG169=""),"ONZEKER",IF(AND($EI169=$EF169+1,$EJ169=$EG169),IF(OR(COUNTIF(#REF!,$B169)&gt;0,COUNTIF(#REF!,$B169)=0),"SKIP",IF(COUNTIFS(#REF!,$B169,#REF!,$CU169)&gt;0,"OK","ONBEKEND")),IF(AND($EI169=$EF169,$EJ169=$EG169+1),IF(OR(COUNTIF(#REF!,$D169)&gt;0,COUNTIF(#REF!,$D169)=0),"SKIP",IF(COUNTIFS(#REF!,$D169,#REF!,$CU169)&gt;0,"OK","ONBEKEND")),"ONZEKER")))))</f>
        <v/>
      </c>
      <c r="CW169" t="str">
        <f t="shared" si="1236"/>
        <v/>
      </c>
      <c r="CX169" t="str">
        <f t="shared" si="1237"/>
        <v/>
      </c>
      <c r="CY169" t="str">
        <f>IF($CX169="","",IF(OR($EL169="",$EM169=""),"ONZEKER",IF(OR($EI169="",$EJ169=""),"ONZEKER",IF(AND($EL169=$EI169+1,$EM169=$EJ169),IF(OR(COUNTIF(#REF!,$B169)&gt;0,COUNTIF(#REF!,$B169)=0),"SKIP",IF(COUNTIFS(#REF!,$B169,#REF!,$CX169)&gt;0,"OK","ONBEKEND")),IF(AND($EL169=$EI169,$EM169=$EJ169+1),IF(OR(COUNTIF(#REF!,$D169)&gt;0,COUNTIF(#REF!,$D169)=0),"SKIP",IF(COUNTIFS(#REF!,$D169,#REF!,$CX169)&gt;0,"OK","ONBEKEND")),"ONZEKER")))))</f>
        <v/>
      </c>
      <c r="CZ169" t="str">
        <f t="shared" si="1238"/>
        <v/>
      </c>
      <c r="DA169" t="str">
        <f t="shared" si="1239"/>
        <v/>
      </c>
      <c r="DB169" t="str">
        <f>IF($DA169="","",IF(OR($EO169="",$EP169=""),"ONZEKER",IF(OR($EL169="",$EM169=""),"ONZEKER",IF(AND($EO169=$EL169+1,$EP169=$EM169),IF(OR(COUNTIF(#REF!,$B169)&gt;0,COUNTIF(#REF!,$B169)=0),"SKIP",IF(COUNTIFS(#REF!,$B169,#REF!,$DA169)&gt;0,"OK","ONBEKEND")),IF(AND($EO169=$EL169,$EP169=$EM169+1),IF(OR(COUNTIF(#REF!,$D169)&gt;0,COUNTIF(#REF!,$D169)=0),"SKIP",IF(COUNTIFS(#REF!,$D169,#REF!,$DA169)&gt;0,"OK","ONBEKEND")),"ONZEKER")))))</f>
        <v/>
      </c>
      <c r="DC169" t="str">
        <f t="shared" si="1240"/>
        <v/>
      </c>
      <c r="DD169" t="str">
        <f t="shared" si="1241"/>
        <v/>
      </c>
      <c r="DE169" t="str">
        <f>IF($DD169="","",IF(OR($ER169="",$ES169=""),"ONZEKER",IF(OR($EO169="",$EP169=""),"ONZEKER",IF(AND($ER169=$EO169+1,$ES169=$EP169),IF(OR(COUNTIF(#REF!,$B169)&gt;0,COUNTIF(#REF!,$B169)=0),"SKIP",IF(COUNTIFS(#REF!,$B169,#REF!,$DD169)&gt;0,"OK","ONBEKEND")),IF(AND($ER169=$EO169,$ES169=$EP169+1),IF(OR(COUNTIF(#REF!,$D169)&gt;0,COUNTIF(#REF!,$D169)=0),"SKIP",IF(COUNTIFS(#REF!,$D169,#REF!,$DD169)&gt;0,"OK","ONBEKEND")),"ONZEKER")))))</f>
        <v/>
      </c>
      <c r="DF169" t="str">
        <f t="shared" si="1242"/>
        <v/>
      </c>
      <c r="DG169" t="str">
        <f t="shared" si="1243"/>
        <v/>
      </c>
      <c r="DH169" t="str">
        <f>IF($DG169="","",IF(OR($EU169="",$EV169=""),"ONZEKER",IF(OR($ER169="",$ES169=""),"ONZEKER",IF(AND($EU169=$ER169+1,$EV169=$ES169),IF(OR(COUNTIF(#REF!,$B169)&gt;0,COUNTIF(#REF!,$B169)=0),"SKIP",IF(COUNTIFS(#REF!,$B169,#REF!,$DG169)&gt;0,"OK","ONBEKEND")),IF(AND($EU169=$ER169,$EV169=$ES169+1),IF(OR(COUNTIF(#REF!,$D169)&gt;0,COUNTIF(#REF!,$D169)=0),"SKIP",IF(COUNTIFS(#REF!,$D169,#REF!,$DG169)&gt;0,"OK","ONBEKEND")),"ONZEKER")))))</f>
        <v/>
      </c>
      <c r="DI169" t="str">
        <f t="shared" si="1244"/>
        <v/>
      </c>
      <c r="DJ169" t="str">
        <f t="shared" si="1245"/>
        <v/>
      </c>
      <c r="DK169" t="str">
        <f>IF($DJ169="","",IF(OR($EX169="",$EY169=""),"ONZEKER",IF(OR($EU169="",$EV169=""),"ONZEKER",IF(AND($EX169=$EU169+1,$EY169=$EV169),IF(OR(COUNTIF(#REF!,$B169)&gt;0,COUNTIF(#REF!,$B169)=0),"SKIP",IF(COUNTIFS(#REF!,$B169,#REF!,$DJ169)&gt;0,"OK","ONBEKEND")),IF(AND($EX169=$EU169,$EY169=$EV169+1),IF(OR(COUNTIF(#REF!,$D169)&gt;0,COUNTIF(#REF!,$D169)=0),"SKIP",IF(COUNTIFS(#REF!,$D169,#REF!,$DJ169)&gt;0,"OK","ONBEKEND")),"ONZEKER")))))</f>
        <v/>
      </c>
      <c r="DL169" t="str">
        <f t="shared" si="1246"/>
        <v/>
      </c>
      <c r="DM169" t="str">
        <f t="shared" si="1247"/>
        <v/>
      </c>
      <c r="DN169" t="str">
        <f t="shared" si="1248"/>
        <v/>
      </c>
      <c r="DO169" t="str">
        <f t="shared" si="1249"/>
        <v/>
      </c>
      <c r="DP169" t="str">
        <f t="shared" si="1250"/>
        <v/>
      </c>
      <c r="DQ169" t="str">
        <f t="shared" si="1251"/>
        <v/>
      </c>
      <c r="DR169" t="str">
        <f t="shared" si="1252"/>
        <v/>
      </c>
      <c r="DS169" t="str">
        <f t="shared" si="1253"/>
        <v/>
      </c>
      <c r="DT169" t="str">
        <f t="shared" si="1254"/>
        <v/>
      </c>
      <c r="DU169" t="str">
        <f t="shared" si="1255"/>
        <v/>
      </c>
      <c r="DV169" t="str">
        <f t="shared" si="1256"/>
        <v/>
      </c>
      <c r="DW169" t="str">
        <f t="shared" si="1257"/>
        <v/>
      </c>
      <c r="DX169" t="str">
        <f t="shared" si="1258"/>
        <v/>
      </c>
      <c r="DY169" t="str">
        <f t="shared" si="1259"/>
        <v/>
      </c>
      <c r="DZ169" t="str">
        <f t="shared" si="1260"/>
        <v/>
      </c>
      <c r="EA169" t="str">
        <f t="shared" si="1261"/>
        <v/>
      </c>
      <c r="EB169" t="str">
        <f t="shared" si="1262"/>
        <v/>
      </c>
      <c r="EC169" t="str">
        <f t="shared" si="1263"/>
        <v/>
      </c>
      <c r="ED169" t="str">
        <f t="shared" si="1264"/>
        <v/>
      </c>
      <c r="EE169" t="str">
        <f t="shared" si="1265"/>
        <v/>
      </c>
      <c r="EF169" t="str">
        <f t="shared" si="1266"/>
        <v/>
      </c>
      <c r="EG169" t="str">
        <f t="shared" si="1267"/>
        <v/>
      </c>
      <c r="EH169" t="str">
        <f t="shared" si="1268"/>
        <v/>
      </c>
      <c r="EI169" t="str">
        <f t="shared" si="1269"/>
        <v/>
      </c>
      <c r="EJ169" t="str">
        <f t="shared" si="1270"/>
        <v/>
      </c>
      <c r="EK169" t="str">
        <f t="shared" si="1271"/>
        <v/>
      </c>
      <c r="EL169" t="str">
        <f t="shared" si="1272"/>
        <v/>
      </c>
      <c r="EM169" t="str">
        <f t="shared" si="1273"/>
        <v/>
      </c>
      <c r="EN169" t="str">
        <f t="shared" si="1274"/>
        <v/>
      </c>
      <c r="EO169" t="str">
        <f t="shared" si="1275"/>
        <v/>
      </c>
      <c r="EP169" t="str">
        <f t="shared" si="1276"/>
        <v/>
      </c>
      <c r="EQ169" t="str">
        <f t="shared" si="1277"/>
        <v/>
      </c>
      <c r="ER169" t="str">
        <f t="shared" si="1278"/>
        <v/>
      </c>
      <c r="ES169" t="str">
        <f t="shared" si="1279"/>
        <v/>
      </c>
      <c r="ET169" t="str">
        <f t="shared" si="1280"/>
        <v/>
      </c>
      <c r="EU169" t="str">
        <f t="shared" si="1281"/>
        <v/>
      </c>
      <c r="EV169" t="str">
        <f t="shared" si="1282"/>
        <v/>
      </c>
      <c r="EW169" t="str">
        <f t="shared" si="1283"/>
        <v/>
      </c>
      <c r="EX169" t="str">
        <f t="shared" si="1284"/>
        <v/>
      </c>
      <c r="EY169" t="str">
        <f t="shared" si="1285"/>
        <v/>
      </c>
    </row>
    <row r="170" spans="1:155" ht="13.9" customHeight="1" x14ac:dyDescent="0.25">
      <c r="A170" s="14"/>
      <c r="B170" s="15" t="s">
        <v>156</v>
      </c>
      <c r="C170" s="16"/>
      <c r="D170" s="16"/>
      <c r="E170" s="16"/>
      <c r="F170" s="31" t="s">
        <v>1</v>
      </c>
      <c r="G170" s="33"/>
      <c r="H170" s="33"/>
      <c r="I170" s="32" t="s">
        <v>2</v>
      </c>
      <c r="J170" s="33"/>
      <c r="K170" s="33"/>
      <c r="L170" s="6" t="s">
        <v>3</v>
      </c>
      <c r="M170" s="2" t="s">
        <v>4</v>
      </c>
      <c r="N170" s="2" t="s">
        <v>5</v>
      </c>
      <c r="O170" s="2" t="s">
        <v>6</v>
      </c>
      <c r="P170" s="2" t="s">
        <v>7</v>
      </c>
      <c r="Q170" s="2" t="s">
        <v>8</v>
      </c>
      <c r="R170" s="2" t="str">
        <f>IF($Q170="","",IF(OR($BE170="",$BF170=""),"ONZEKER",IF(AND($BE170=0+1,$BF170=0),IF(OR(COUNTIF(#REF!,$B170)&gt;0,COUNTIF(#REF!,$B170)=0),"SKIP",IF(COUNTIFS(#REF!,$B170,#REF!,$Q170)&gt;0,"OK","ONBEKEND")),IF(AND($BE170=0,$BF170=0+1),IF(OR(COUNTIF(#REF!,$D170)&gt;0,COUNTIF(#REF!,$D170)=0),"SKIP",IF(COUNTIFS(#REF!,$D170,#REF!,$Q170)&gt;0,"OK","ONBEKEND")),"ONZEKER"))))</f>
        <v>ONZEKER</v>
      </c>
      <c r="S170" s="2" t="s">
        <v>10</v>
      </c>
      <c r="T170" s="2" t="s">
        <v>11</v>
      </c>
      <c r="U170" s="2" t="str">
        <f>IF($T170="","",IF(OR($BH170="",$BI170=""),"ONZEKER",IF(OR($BE170="",$BF170=""),"ONZEKER",IF(AND($BH170=$BE170+1,$BI170=$BF170),IF(OR(COUNTIF(#REF!,$B170)&gt;0,COUNTIF(#REF!,$B170)=0),"SKIP",IF(COUNTIFS(#REF!,$B170,#REF!,$T170)&gt;0,"OK","ONBEKEND")),IF(AND($BH170=$BE170,$BI170=$BF170+1),IF(OR(COUNTIF(#REF!,$D170)&gt;0,COUNTIF(#REF!,$D170)=0),"SKIP",IF(COUNTIFS(#REF!,$D170,#REF!,$T170)&gt;0,"OK","ONBEKEND")),"ONZEKER")))))</f>
        <v>ONZEKER</v>
      </c>
      <c r="V170" s="2" t="s">
        <v>13</v>
      </c>
      <c r="W170" s="2" t="s">
        <v>14</v>
      </c>
      <c r="X170" s="2" t="str">
        <f>IF($W170="","",IF(OR($BK170="",$BL170=""),"ONZEKER",IF(OR($BH170="",$BI170=""),"ONZEKER",IF(AND($BK170=$BH170+1,$BL170=$BI170),IF(OR(COUNTIF(#REF!,$B170)&gt;0,COUNTIF(#REF!,$B170)=0),"SKIP",IF(COUNTIFS(#REF!,$B170,#REF!,$W170)&gt;0,"OK","ONBEKEND")),IF(AND($BK170=$BH170,$BL170=$BI170+1),IF(OR(COUNTIF(#REF!,$D170)&gt;0,COUNTIF(#REF!,$D170)=0),"SKIP",IF(COUNTIFS(#REF!,$D170,#REF!,$W170)&gt;0,"OK","ONBEKEND")),"ONZEKER")))))</f>
        <v>ONZEKER</v>
      </c>
      <c r="Y170" s="2" t="s">
        <v>16</v>
      </c>
      <c r="Z170" s="2" t="s">
        <v>17</v>
      </c>
      <c r="AA170" s="2" t="str">
        <f>IF($Z170="","",IF(OR($BN170="",$BO170=""),"ONZEKER",IF(OR($BK170="",$BL170=""),"ONZEKER",IF(AND($BN170=$BK170+1,$BO170=$BL170),IF(OR(COUNTIF(#REF!,$B170)&gt;0,COUNTIF(#REF!,$B170)=0),"SKIP",IF(COUNTIFS(#REF!,$B170,#REF!,$Z170)&gt;0,"OK","ONBEKEND")),IF(AND($BN170=$BK170,$BO170=$BL170+1),IF(OR(COUNTIF(#REF!,$D170)&gt;0,COUNTIF(#REF!,$D170)=0),"SKIP",IF(COUNTIFS(#REF!,$D170,#REF!,$Z170)&gt;0,"OK","ONBEKEND")),"ONZEKER")))))</f>
        <v>ONZEKER</v>
      </c>
      <c r="AB170" s="2" t="s">
        <v>19</v>
      </c>
      <c r="AC170" s="2" t="s">
        <v>20</v>
      </c>
      <c r="AD170" s="2" t="str">
        <f>IF($AC170="","",IF(OR($BQ170="",$BR170=""),"ONZEKER",IF(OR($BN170="",$BO170=""),"ONZEKER",IF(AND($BQ170=$BN170+1,$BR170=$BO170),IF(OR(COUNTIF(#REF!,$B170)&gt;0,COUNTIF(#REF!,$B170)=0),"SKIP",IF(COUNTIFS(#REF!,$B170,#REF!,$AC170)&gt;0,"OK","ONBEKEND")),IF(AND($BQ170=$BN170,$BR170=$BO170+1),IF(OR(COUNTIF(#REF!,$D170)&gt;0,COUNTIF(#REF!,$D170)=0),"SKIP",IF(COUNTIFS(#REF!,$D170,#REF!,$AC170)&gt;0,"OK","ONBEKEND")),"ONZEKER")))))</f>
        <v>ONZEKER</v>
      </c>
      <c r="AE170" s="2" t="s">
        <v>22</v>
      </c>
      <c r="AF170" s="2" t="s">
        <v>23</v>
      </c>
      <c r="AG170" s="2" t="str">
        <f>IF($AF170="","",IF(OR($BT170="",$BU170=""),"ONZEKER",IF(OR($BQ170="",$BR170=""),"ONZEKER",IF(AND($BT170=$BQ170+1,$BU170=$BR170),IF(OR(COUNTIF(#REF!,$B170)&gt;0,COUNTIF(#REF!,$B170)=0),"SKIP",IF(COUNTIFS(#REF!,$B170,#REF!,$AF170)&gt;0,"OK","ONBEKEND")),IF(AND($BT170=$BQ170,$BU170=$BR170+1),IF(OR(COUNTIF(#REF!,$D170)&gt;0,COUNTIF(#REF!,$D170)=0),"SKIP",IF(COUNTIFS(#REF!,$D170,#REF!,$AF170)&gt;0,"OK","ONBEKEND")),"ONZEKER")))))</f>
        <v>ONZEKER</v>
      </c>
      <c r="AH170" s="2" t="s">
        <v>25</v>
      </c>
      <c r="AI170" s="2" t="s">
        <v>26</v>
      </c>
      <c r="AJ170" s="2" t="str">
        <f>IF($AI170="","",IF(OR($BW170="",$BX170=""),"ONZEKER",IF(OR($BT170="",$BU170=""),"ONZEKER",IF(AND($BW170=$BT170+1,$BX170=$BU170),IF(OR(COUNTIF(#REF!,$B170)&gt;0,COUNTIF(#REF!,$B170)=0),"SKIP",IF(COUNTIFS(#REF!,$B170,#REF!,$AI170)&gt;0,"OK","ONBEKEND")),IF(AND($BW170=$BT170,$BX170=$BU170+1),IF(OR(COUNTIF(#REF!,$D170)&gt;0,COUNTIF(#REF!,$D170)=0),"SKIP",IF(COUNTIFS(#REF!,$D170,#REF!,$AI170)&gt;0,"OK","ONBEKEND")),"ONZEKER")))))</f>
        <v>ONZEKER</v>
      </c>
      <c r="AK170" s="2" t="s">
        <v>28</v>
      </c>
      <c r="AL170" s="2" t="s">
        <v>29</v>
      </c>
      <c r="AM170" s="2" t="str">
        <f>IF($AL170="","",IF(OR($BZ170="",$CA170=""),"ONZEKER",IF(OR($BW170="",$BX170=""),"ONZEKER",IF(AND($BZ170=$BW170+1,$CA170=$BX170),IF(OR(COUNTIF(#REF!,$B170)&gt;0,COUNTIF(#REF!,$B170)=0),"SKIP",IF(COUNTIFS(#REF!,$B170,#REF!,$AL170)&gt;0,"OK","ONBEKEND")),IF(AND($BZ170=$BW170,$CA170=$BX170+1),IF(OR(COUNTIF(#REF!,$D170)&gt;0,COUNTIF(#REF!,$D170)=0),"SKIP",IF(COUNTIFS(#REF!,$D170,#REF!,$AL170)&gt;0,"OK","ONBEKEND")),"ONZEKER")))))</f>
        <v>ONZEKER</v>
      </c>
      <c r="AN170" s="2" t="s">
        <v>31</v>
      </c>
      <c r="AO170" s="2" t="s">
        <v>32</v>
      </c>
      <c r="AP170" s="2" t="str">
        <f>IF($AO170="","",IF(OR($CC170="",$CD170=""),"ONZEKER",IF(OR($BZ170="",$CA170=""),"ONZEKER",IF(AND($CC170=$BZ170+1,$CD170=$CA170),IF(OR(COUNTIF(#REF!,$B170)&gt;0,COUNTIF(#REF!,$B170)=0),"SKIP",IF(COUNTIFS(#REF!,$B170,#REF!,$AO170)&gt;0,"OK","ONBEKEND")),IF(AND($CC170=$BZ170,$CD170=$CA170+1),IF(OR(COUNTIF(#REF!,$D170)&gt;0,COUNTIF(#REF!,$D170)=0),"SKIP",IF(COUNTIFS(#REF!,$D170,#REF!,$AO170)&gt;0,"OK","ONBEKEND")),"ONZEKER")))))</f>
        <v>ONZEKER</v>
      </c>
      <c r="AQ170" s="2" t="s">
        <v>34</v>
      </c>
      <c r="AR170" s="2" t="s">
        <v>35</v>
      </c>
      <c r="AS170" s="2" t="str">
        <f>IF($AR170="","",IF(OR($CF170="",$CG170=""),"ONZEKER",IF(OR($CC170="",$CD170=""),"ONZEKER",IF(AND($CF170=$CC170+1,$CG170=$CD170),IF(OR(COUNTIF(#REF!,$B170)&gt;0,COUNTIF(#REF!,$B170)=0),"SKIP",IF(COUNTIFS(#REF!,$B170,#REF!,$AR170)&gt;0,"OK","ONBEKEND")),IF(AND($CF170=$CC170,$CG170=$CD170+1),IF(OR(COUNTIF(#REF!,$D170)&gt;0,COUNTIF(#REF!,$D170)=0),"SKIP",IF(COUNTIFS(#REF!,$D170,#REF!,$AR170)&gt;0,"OK","ONBEKEND")),"ONZEKER")))))</f>
        <v>ONZEKER</v>
      </c>
      <c r="AT170" s="2" t="s">
        <v>37</v>
      </c>
      <c r="AU170" s="2" t="s">
        <v>38</v>
      </c>
      <c r="AV170" s="2" t="s">
        <v>39</v>
      </c>
      <c r="AW170" s="2" t="s">
        <v>40</v>
      </c>
      <c r="AX170" s="2" t="s">
        <v>41</v>
      </c>
      <c r="AY170" s="2" t="s">
        <v>42</v>
      </c>
      <c r="AZ170" s="2" t="s">
        <v>43</v>
      </c>
      <c r="BA170" s="2" t="s">
        <v>44</v>
      </c>
      <c r="BB170" s="2" t="s">
        <v>45</v>
      </c>
      <c r="BC170" s="2" t="s">
        <v>46</v>
      </c>
      <c r="BD170" t="str">
        <f t="shared" si="980"/>
        <v/>
      </c>
      <c r="BE170" t="str">
        <f t="shared" si="981"/>
        <v/>
      </c>
      <c r="BF170" t="str">
        <f t="shared" si="982"/>
        <v/>
      </c>
      <c r="BG170" t="str">
        <f t="shared" si="983"/>
        <v/>
      </c>
      <c r="BH170" t="str">
        <f t="shared" si="984"/>
        <v/>
      </c>
      <c r="BI170" t="str">
        <f t="shared" si="985"/>
        <v/>
      </c>
      <c r="BJ170" t="str">
        <f t="shared" si="986"/>
        <v/>
      </c>
      <c r="BK170" t="str">
        <f t="shared" si="987"/>
        <v/>
      </c>
      <c r="BL170" t="str">
        <f t="shared" si="988"/>
        <v/>
      </c>
      <c r="BM170" t="str">
        <f t="shared" si="989"/>
        <v/>
      </c>
      <c r="BN170" t="str">
        <f t="shared" si="990"/>
        <v/>
      </c>
      <c r="BO170" t="str">
        <f t="shared" si="991"/>
        <v/>
      </c>
      <c r="BP170" t="str">
        <f t="shared" si="992"/>
        <v/>
      </c>
      <c r="BQ170" t="str">
        <f t="shared" si="993"/>
        <v/>
      </c>
      <c r="BR170" t="str">
        <f t="shared" si="994"/>
        <v/>
      </c>
      <c r="BS170" t="str">
        <f t="shared" si="995"/>
        <v/>
      </c>
      <c r="BT170" t="str">
        <f t="shared" si="996"/>
        <v/>
      </c>
      <c r="BU170" t="str">
        <f t="shared" si="997"/>
        <v/>
      </c>
      <c r="BV170" t="str">
        <f t="shared" si="998"/>
        <v/>
      </c>
      <c r="BW170" t="str">
        <f t="shared" si="999"/>
        <v/>
      </c>
      <c r="BX170" t="str">
        <f t="shared" si="1000"/>
        <v/>
      </c>
      <c r="BY170" t="str">
        <f t="shared" si="1001"/>
        <v/>
      </c>
      <c r="BZ170" t="str">
        <f t="shared" si="1002"/>
        <v/>
      </c>
      <c r="CA170" t="str">
        <f t="shared" si="1003"/>
        <v/>
      </c>
      <c r="CB170" t="str">
        <f t="shared" si="1004"/>
        <v/>
      </c>
      <c r="CC170" t="str">
        <f t="shared" si="1005"/>
        <v/>
      </c>
      <c r="CD170" t="str">
        <f t="shared" si="1006"/>
        <v/>
      </c>
      <c r="CE170" t="str">
        <f t="shared" si="1007"/>
        <v/>
      </c>
      <c r="CF170" t="str">
        <f t="shared" si="1008"/>
        <v/>
      </c>
      <c r="CG170" t="str">
        <f t="shared" si="1009"/>
        <v/>
      </c>
      <c r="CH170" s="2" t="s">
        <v>77</v>
      </c>
      <c r="CI170" s="2" t="s">
        <v>78</v>
      </c>
      <c r="CJ170" s="2" t="s">
        <v>79</v>
      </c>
      <c r="CK170" s="2" t="s">
        <v>80</v>
      </c>
      <c r="CL170" s="2" t="s">
        <v>81</v>
      </c>
      <c r="CM170" s="2" t="s">
        <v>82</v>
      </c>
      <c r="CN170" s="2" t="s">
        <v>83</v>
      </c>
      <c r="CO170" s="2" t="s">
        <v>84</v>
      </c>
      <c r="CP170" s="2" t="s">
        <v>85</v>
      </c>
      <c r="CQ170" s="2" t="s">
        <v>86</v>
      </c>
      <c r="CR170" s="2" t="s">
        <v>87</v>
      </c>
      <c r="CS170" s="2" t="s">
        <v>88</v>
      </c>
      <c r="CT170" s="2" t="s">
        <v>89</v>
      </c>
      <c r="CU170" s="2" t="s">
        <v>90</v>
      </c>
      <c r="CV170" s="2" t="s">
        <v>91</v>
      </c>
      <c r="CW170" s="2" t="s">
        <v>92</v>
      </c>
      <c r="CX170" s="2" t="s">
        <v>93</v>
      </c>
      <c r="CY170" s="2" t="s">
        <v>94</v>
      </c>
      <c r="CZ170" s="2" t="s">
        <v>95</v>
      </c>
      <c r="DA170" s="2" t="s">
        <v>96</v>
      </c>
      <c r="DB170" s="2" t="s">
        <v>97</v>
      </c>
      <c r="DC170" s="2" t="s">
        <v>98</v>
      </c>
      <c r="DD170" s="2" t="s">
        <v>99</v>
      </c>
      <c r="DE170" s="2" t="s">
        <v>100</v>
      </c>
      <c r="DF170" s="2" t="s">
        <v>101</v>
      </c>
      <c r="DG170" s="2" t="s">
        <v>102</v>
      </c>
      <c r="DH170" s="2" t="s">
        <v>103</v>
      </c>
      <c r="DI170" s="2" t="s">
        <v>104</v>
      </c>
      <c r="DJ170" s="2" t="s">
        <v>105</v>
      </c>
      <c r="DK170" s="2" t="s">
        <v>106</v>
      </c>
      <c r="DL170" s="2" t="s">
        <v>107</v>
      </c>
      <c r="DM170" s="2" t="s">
        <v>108</v>
      </c>
      <c r="DN170" s="2" t="s">
        <v>109</v>
      </c>
      <c r="DO170" s="2" t="s">
        <v>110</v>
      </c>
      <c r="DP170" s="2" t="s">
        <v>111</v>
      </c>
      <c r="DQ170" s="2" t="s">
        <v>112</v>
      </c>
      <c r="DR170" s="2" t="s">
        <v>113</v>
      </c>
      <c r="DS170" s="2" t="s">
        <v>114</v>
      </c>
      <c r="DT170" s="2" t="s">
        <v>115</v>
      </c>
      <c r="DU170" s="2" t="s">
        <v>116</v>
      </c>
      <c r="DV170" s="2" t="s">
        <v>117</v>
      </c>
      <c r="DW170" s="2" t="s">
        <v>118</v>
      </c>
      <c r="DX170" s="2" t="s">
        <v>119</v>
      </c>
      <c r="DY170" s="2" t="s">
        <v>120</v>
      </c>
      <c r="DZ170" s="2" t="s">
        <v>121</v>
      </c>
      <c r="EA170" s="2" t="s">
        <v>122</v>
      </c>
      <c r="EB170" s="2" t="s">
        <v>123</v>
      </c>
      <c r="EC170" s="2" t="s">
        <v>124</v>
      </c>
      <c r="ED170" s="2" t="s">
        <v>125</v>
      </c>
      <c r="EE170" s="2" t="s">
        <v>126</v>
      </c>
      <c r="EF170" s="2" t="s">
        <v>127</v>
      </c>
      <c r="EG170" s="2" t="s">
        <v>128</v>
      </c>
      <c r="EH170" s="2" t="s">
        <v>129</v>
      </c>
      <c r="EI170" s="2" t="s">
        <v>130</v>
      </c>
      <c r="EJ170" s="2" t="s">
        <v>131</v>
      </c>
      <c r="EK170" s="2" t="s">
        <v>132</v>
      </c>
      <c r="EL170" s="2" t="s">
        <v>133</v>
      </c>
      <c r="EM170" s="2" t="s">
        <v>134</v>
      </c>
      <c r="EN170" s="2" t="s">
        <v>135</v>
      </c>
      <c r="EO170" s="2" t="s">
        <v>136</v>
      </c>
      <c r="EP170" s="2" t="s">
        <v>137</v>
      </c>
      <c r="EQ170" s="2" t="s">
        <v>138</v>
      </c>
      <c r="ER170" s="2" t="s">
        <v>139</v>
      </c>
      <c r="ES170" s="2" t="s">
        <v>140</v>
      </c>
      <c r="ET170" s="2" t="s">
        <v>141</v>
      </c>
      <c r="EU170" s="2" t="s">
        <v>142</v>
      </c>
      <c r="EV170" s="2" t="s">
        <v>143</v>
      </c>
      <c r="EW170" s="2" t="s">
        <v>144</v>
      </c>
      <c r="EX170" s="2" t="s">
        <v>145</v>
      </c>
      <c r="EY170" s="2" t="s">
        <v>146</v>
      </c>
    </row>
    <row r="171" spans="1:155" ht="13.9" customHeight="1" x14ac:dyDescent="0.25">
      <c r="A171" s="7"/>
      <c r="B171" s="17"/>
      <c r="C171" s="8"/>
      <c r="D171" s="17"/>
      <c r="E171" s="8"/>
      <c r="F171" s="18">
        <v>0</v>
      </c>
      <c r="G171" s="7" t="s">
        <v>147</v>
      </c>
      <c r="H171" s="18">
        <v>0</v>
      </c>
      <c r="I171" s="19">
        <v>0</v>
      </c>
      <c r="J171" s="7" t="s">
        <v>147</v>
      </c>
      <c r="K171" s="19">
        <v>0</v>
      </c>
      <c r="L171" s="9"/>
      <c r="M171" s="3" t="str">
        <f>IF($L171="","",IF($L171="DOELPUNTENMAKERS","",IF(AND(COUNTIF(#REF!,$B171)=0,COUNTIF(#REF!,$D171)=0),"OK",IF($O171&gt;20,"LET OP: meer dan 20 items (controle onvolledig)",IF((COUNTIF($R171:$AS171,"ONZEKER")+COUNTIF($CJ171:$DK171,"ONZEKER"))&gt;0,"LET OP: scoreverloop onduidelijk (controle beperkt)",IF((IF($AT171&lt;&gt;"",$AT171&amp;", ","")&amp;IF($AU171&lt;&gt;"",$AU171&amp;", ","")&amp;IF($AV171&lt;&gt;"",$AV171&amp;", ","")&amp;IF($AW171&lt;&gt;"",$AW171&amp;", ","")&amp;IF($AX171&lt;&gt;"",$AX171&amp;", ","")&amp;IF($AY171&lt;&gt;"",$AY171&amp;", ","")&amp;IF($AZ171&lt;&gt;"",$AZ171&amp;", ","")&amp;IF($BA171&lt;&gt;"",$BA171&amp;", ","")&amp;IF($BB171&lt;&gt;"",$BB171&amp;", ","")&amp;IF($BC171&lt;&gt;"",$BC171&amp;", ","")&amp;IF($DL171&lt;&gt;"",$DL171&amp;", ","")&amp;IF($DM171&lt;&gt;"",$DM171&amp;", ","")&amp;IF($DN171&lt;&gt;"",$DN171&amp;", ","")&amp;IF($DO171&lt;&gt;"",$DO171&amp;", ","")&amp;IF($DP171&lt;&gt;"",$DP171&amp;", ","")&amp;IF($DQ171&lt;&gt;"",$DQ171&amp;", ","")&amp;IF($DR171&lt;&gt;"",$DR171&amp;", ","")&amp;IF($DS171&lt;&gt;"",$DS171&amp;", ","")&amp;IF($DT171&lt;&gt;"",$DT171&amp;", ","")&amp;IF($DU171&lt;&gt;"",$DU171&amp;", ",""))="","OK","Onbekend: "&amp;LEFT((IF($AT171&lt;&gt;"",$AT171&amp;", ","")&amp;IF($AU171&lt;&gt;"",$AU171&amp;", ","")&amp;IF($AV171&lt;&gt;"",$AV171&amp;", ","")&amp;IF($AW171&lt;&gt;"",$AW171&amp;", ","")&amp;IF($AX171&lt;&gt;"",$AX171&amp;", ","")&amp;IF($AY171&lt;&gt;"",$AY171&amp;", ","")&amp;IF($AZ171&lt;&gt;"",$AZ171&amp;", ","")&amp;IF($BA171&lt;&gt;"",$BA171&amp;", ","")&amp;IF($BB171&lt;&gt;"",$BB171&amp;", ","")&amp;IF($BC171&lt;&gt;"",$BC171&amp;", ","")&amp;IF($DL171&lt;&gt;"",$DL171&amp;", ","")&amp;IF($DM171&lt;&gt;"",$DM171&amp;", ","")&amp;IF($DN171&lt;&gt;"",$DN171&amp;", ","")&amp;IF($DO171&lt;&gt;"",$DO171&amp;", ","")&amp;IF($DP171&lt;&gt;"",$DP171&amp;", ","")&amp;IF($DQ171&lt;&gt;"",$DQ171&amp;", ","")&amp;IF($DR171&lt;&gt;"",$DR171&amp;", ","")&amp;IF($DS171&lt;&gt;"",$DS171&amp;", ","")&amp;IF($DT171&lt;&gt;"",$DT171&amp;", ","")&amp;IF($DU171&lt;&gt;"",$DU171&amp;", ","")),LEN((IF($AT171&lt;&gt;"",$AT171&amp;", ","")&amp;IF($AU171&lt;&gt;"",$AU171&amp;", ","")&amp;IF($AV171&lt;&gt;"",$AV171&amp;", ","")&amp;IF($AW171&lt;&gt;"",$AW171&amp;", ","")&amp;IF($AX171&lt;&gt;"",$AX171&amp;", ","")&amp;IF($AY171&lt;&gt;"",$AY171&amp;", ","")&amp;IF($AZ171&lt;&gt;"",$AZ171&amp;", ","")&amp;IF($BA171&lt;&gt;"",$BA171&amp;", ","")&amp;IF($BB171&lt;&gt;"",$BB171&amp;", ","")&amp;IF($BC171&lt;&gt;"",$BC171&amp;", ","")&amp;IF($DL171&lt;&gt;"",$DL171&amp;", ","")&amp;IF($DM171&lt;&gt;"",$DM171&amp;", ","")&amp;IF($DN171&lt;&gt;"",$DN171&amp;", ","")&amp;IF($DO171&lt;&gt;"",$DO171&amp;", ","")&amp;IF($DP171&lt;&gt;"",$DP171&amp;", ","")&amp;IF($DQ171&lt;&gt;"",$DQ171&amp;", ","")&amp;IF($DR171&lt;&gt;"",$DR171&amp;", ","")&amp;IF($DS171&lt;&gt;"",$DS171&amp;", ","")&amp;IF($DT171&lt;&gt;"",$DT171&amp;", ","")&amp;IF($DU171&lt;&gt;"",$DU171&amp;", ","")))-2)))))))</f>
        <v/>
      </c>
      <c r="N171" t="str">
        <f t="shared" ref="N171:N182" si="1286">IF($L171="","",TRIM(IF(RIGHT(SUBSTITUTE($L171,CHAR(160)," "),1)=".",LEFT(SUBSTITUTE($L171,CHAR(160)," "),LEN(SUBSTITUTE($L171,CHAR(160)," "))-1),SUBSTITUTE($L171,CHAR(160)," "))))</f>
        <v/>
      </c>
      <c r="O171" t="str">
        <f t="shared" ref="O171:O182" si="1287">IF($N171="","",LEN($N171)-LEN(SUBSTITUTE($N171,",",""))+1)</f>
        <v/>
      </c>
      <c r="P171" t="str">
        <f t="shared" ref="P171:P182" si="1288">IF($N171="","",TRIM(MID(SUBSTITUTE($N171,",",REPT(" ",200)),1,200)))</f>
        <v/>
      </c>
      <c r="Q171" t="str">
        <f t="shared" ref="Q171:Q182" si="1289">IF(P171="","",TRIM(IFERROR(LEFT(P171,FIND("§",SUBSTITUTE(P171," ","§",LEN(P171)-LEN(SUBSTITUTE(P171," ",""))))-1),P171)))</f>
        <v/>
      </c>
      <c r="R171" t="str">
        <f>IF($Q171="","",IF(OR($BE171="",$BF171=""),"ONZEKER",IF(AND($BE171=0+1,$BF171=0),IF(OR(COUNTIF(#REF!,$B171)&gt;0,COUNTIF(#REF!,$B171)=0),"SKIP",IF(COUNTIFS(#REF!,$B171,#REF!,$Q171)&gt;0,"OK","ONBEKEND")),IF(AND($BE171=0,$BF171=0+1),IF(OR(COUNTIF(#REF!,$D171)&gt;0,COUNTIF(#REF!,$D171)=0),"SKIP",IF(COUNTIFS(#REF!,$D171,#REF!,$Q171)&gt;0,"OK","ONBEKEND")),"ONZEKER"))))</f>
        <v/>
      </c>
      <c r="S171" t="str">
        <f t="shared" ref="S171:S182" si="1290">IF($N171="","",TRIM(MID(SUBSTITUTE($N171,",",REPT(" ",200)),201,200)))</f>
        <v/>
      </c>
      <c r="T171" t="str">
        <f t="shared" ref="T171:T182" si="1291">IF(S171="","",TRIM(IFERROR(LEFT(S171,FIND("§",SUBSTITUTE(S171," ","§",LEN(S171)-LEN(SUBSTITUTE(S171," ",""))))-1),S171)))</f>
        <v/>
      </c>
      <c r="U171" t="str">
        <f>IF($T171="","",IF(OR($BH171="",$BI171=""),"ONZEKER",IF(OR($BE171="",$BF171=""),"ONZEKER",IF(AND($BH171=$BE171+1,$BI171=$BF171),IF(OR(COUNTIF(#REF!,$B171)&gt;0,COUNTIF(#REF!,$B171)=0),"SKIP",IF(COUNTIFS(#REF!,$B171,#REF!,$T171)&gt;0,"OK","ONBEKEND")),IF(AND($BH171=$BE171,$BI171=$BF171+1),IF(OR(COUNTIF(#REF!,$D171)&gt;0,COUNTIF(#REF!,$D171)=0),"SKIP",IF(COUNTIFS(#REF!,$D171,#REF!,$T171)&gt;0,"OK","ONBEKEND")),"ONZEKER")))))</f>
        <v/>
      </c>
      <c r="V171" t="str">
        <f t="shared" ref="V171:V182" si="1292">IF($N171="","",TRIM(MID(SUBSTITUTE($N171,",",REPT(" ",200)),401,200)))</f>
        <v/>
      </c>
      <c r="W171" t="str">
        <f t="shared" ref="W171:W182" si="1293">IF(V171="","",TRIM(IFERROR(LEFT(V171,FIND("§",SUBSTITUTE(V171," ","§",LEN(V171)-LEN(SUBSTITUTE(V171," ",""))))-1),V171)))</f>
        <v/>
      </c>
      <c r="X171" t="str">
        <f>IF($W171="","",IF(OR($BK171="",$BL171=""),"ONZEKER",IF(OR($BH171="",$BI171=""),"ONZEKER",IF(AND($BK171=$BH171+1,$BL171=$BI171),IF(OR(COUNTIF(#REF!,$B171)&gt;0,COUNTIF(#REF!,$B171)=0),"SKIP",IF(COUNTIFS(#REF!,$B171,#REF!,$W171)&gt;0,"OK","ONBEKEND")),IF(AND($BK171=$BH171,$BL171=$BI171+1),IF(OR(COUNTIF(#REF!,$D171)&gt;0,COUNTIF(#REF!,$D171)=0),"SKIP",IF(COUNTIFS(#REF!,$D171,#REF!,$W171)&gt;0,"OK","ONBEKEND")),"ONZEKER")))))</f>
        <v/>
      </c>
      <c r="Y171" t="str">
        <f t="shared" ref="Y171:Y182" si="1294">IF($N171="","",TRIM(MID(SUBSTITUTE($N171,",",REPT(" ",200)),601,200)))</f>
        <v/>
      </c>
      <c r="Z171" t="str">
        <f t="shared" ref="Z171:Z182" si="1295">IF(Y171="","",TRIM(IFERROR(LEFT(Y171,FIND("§",SUBSTITUTE(Y171," ","§",LEN(Y171)-LEN(SUBSTITUTE(Y171," ",""))))-1),Y171)))</f>
        <v/>
      </c>
      <c r="AA171" t="str">
        <f>IF($Z171="","",IF(OR($BN171="",$BO171=""),"ONZEKER",IF(OR($BK171="",$BL171=""),"ONZEKER",IF(AND($BN171=$BK171+1,$BO171=$BL171),IF(OR(COUNTIF(#REF!,$B171)&gt;0,COUNTIF(#REF!,$B171)=0),"SKIP",IF(COUNTIFS(#REF!,$B171,#REF!,$Z171)&gt;0,"OK","ONBEKEND")),IF(AND($BN171=$BK171,$BO171=$BL171+1),IF(OR(COUNTIF(#REF!,$D171)&gt;0,COUNTIF(#REF!,$D171)=0),"SKIP",IF(COUNTIFS(#REF!,$D171,#REF!,$Z171)&gt;0,"OK","ONBEKEND")),"ONZEKER")))))</f>
        <v/>
      </c>
      <c r="AB171" t="str">
        <f t="shared" ref="AB171:AB182" si="1296">IF($N171="","",TRIM(MID(SUBSTITUTE($N171,",",REPT(" ",200)),801,200)))</f>
        <v/>
      </c>
      <c r="AC171" t="str">
        <f t="shared" ref="AC171:AC182" si="1297">IF(AB171="","",TRIM(IFERROR(LEFT(AB171,FIND("§",SUBSTITUTE(AB171," ","§",LEN(AB171)-LEN(SUBSTITUTE(AB171," ",""))))-1),AB171)))</f>
        <v/>
      </c>
      <c r="AD171" t="str">
        <f>IF($AC171="","",IF(OR($BQ171="",$BR171=""),"ONZEKER",IF(OR($BN171="",$BO171=""),"ONZEKER",IF(AND($BQ171=$BN171+1,$BR171=$BO171),IF(OR(COUNTIF(#REF!,$B171)&gt;0,COUNTIF(#REF!,$B171)=0),"SKIP",IF(COUNTIFS(#REF!,$B171,#REF!,$AC171)&gt;0,"OK","ONBEKEND")),IF(AND($BQ171=$BN171,$BR171=$BO171+1),IF(OR(COUNTIF(#REF!,$D171)&gt;0,COUNTIF(#REF!,$D171)=0),"SKIP",IF(COUNTIFS(#REF!,$D171,#REF!,$AC171)&gt;0,"OK","ONBEKEND")),"ONZEKER")))))</f>
        <v/>
      </c>
      <c r="AE171" t="str">
        <f t="shared" ref="AE171:AE182" si="1298">IF($N171="","",TRIM(MID(SUBSTITUTE($N171,",",REPT(" ",200)),1001,200)))</f>
        <v/>
      </c>
      <c r="AF171" t="str">
        <f t="shared" ref="AF171:AF182" si="1299">IF(AE171="","",TRIM(IFERROR(LEFT(AE171,FIND("§",SUBSTITUTE(AE171," ","§",LEN(AE171)-LEN(SUBSTITUTE(AE171," ",""))))-1),AE171)))</f>
        <v/>
      </c>
      <c r="AG171" t="str">
        <f>IF($AF171="","",IF(OR($BT171="",$BU171=""),"ONZEKER",IF(OR($BQ171="",$BR171=""),"ONZEKER",IF(AND($BT171=$BQ171+1,$BU171=$BR171),IF(OR(COUNTIF(#REF!,$B171)&gt;0,COUNTIF(#REF!,$B171)=0),"SKIP",IF(COUNTIFS(#REF!,$B171,#REF!,$AF171)&gt;0,"OK","ONBEKEND")),IF(AND($BT171=$BQ171,$BU171=$BR171+1),IF(OR(COUNTIF(#REF!,$D171)&gt;0,COUNTIF(#REF!,$D171)=0),"SKIP",IF(COUNTIFS(#REF!,$D171,#REF!,$AF171)&gt;0,"OK","ONBEKEND")),"ONZEKER")))))</f>
        <v/>
      </c>
      <c r="AH171" t="str">
        <f t="shared" ref="AH171:AH182" si="1300">IF($N171="","",TRIM(MID(SUBSTITUTE($N171,",",REPT(" ",200)),1201,200)))</f>
        <v/>
      </c>
      <c r="AI171" t="str">
        <f t="shared" ref="AI171:AI182" si="1301">IF(AH171="","",TRIM(IFERROR(LEFT(AH171,FIND("§",SUBSTITUTE(AH171," ","§",LEN(AH171)-LEN(SUBSTITUTE(AH171," ",""))))-1),AH171)))</f>
        <v/>
      </c>
      <c r="AJ171" t="str">
        <f>IF($AI171="","",IF(OR($BW171="",$BX171=""),"ONZEKER",IF(OR($BT171="",$BU171=""),"ONZEKER",IF(AND($BW171=$BT171+1,$BX171=$BU171),IF(OR(COUNTIF(#REF!,$B171)&gt;0,COUNTIF(#REF!,$B171)=0),"SKIP",IF(COUNTIFS(#REF!,$B171,#REF!,$AI171)&gt;0,"OK","ONBEKEND")),IF(AND($BW171=$BT171,$BX171=$BU171+1),IF(OR(COUNTIF(#REF!,$D171)&gt;0,COUNTIF(#REF!,$D171)=0),"SKIP",IF(COUNTIFS(#REF!,$D171,#REF!,$AI171)&gt;0,"OK","ONBEKEND")),"ONZEKER")))))</f>
        <v/>
      </c>
      <c r="AK171" t="str">
        <f t="shared" ref="AK171:AK182" si="1302">IF($N171="","",TRIM(MID(SUBSTITUTE($N171,",",REPT(" ",200)),1401,200)))</f>
        <v/>
      </c>
      <c r="AL171" t="str">
        <f t="shared" ref="AL171:AL182" si="1303">IF(AK171="","",TRIM(IFERROR(LEFT(AK171,FIND("§",SUBSTITUTE(AK171," ","§",LEN(AK171)-LEN(SUBSTITUTE(AK171," ",""))))-1),AK171)))</f>
        <v/>
      </c>
      <c r="AM171" t="str">
        <f>IF($AL171="","",IF(OR($BZ171="",$CA171=""),"ONZEKER",IF(OR($BW171="",$BX171=""),"ONZEKER",IF(AND($BZ171=$BW171+1,$CA171=$BX171),IF(OR(COUNTIF(#REF!,$B171)&gt;0,COUNTIF(#REF!,$B171)=0),"SKIP",IF(COUNTIFS(#REF!,$B171,#REF!,$AL171)&gt;0,"OK","ONBEKEND")),IF(AND($BZ171=$BW171,$CA171=$BX171+1),IF(OR(COUNTIF(#REF!,$D171)&gt;0,COUNTIF(#REF!,$D171)=0),"SKIP",IF(COUNTIFS(#REF!,$D171,#REF!,$AL171)&gt;0,"OK","ONBEKEND")),"ONZEKER")))))</f>
        <v/>
      </c>
      <c r="AN171" t="str">
        <f t="shared" ref="AN171:AN182" si="1304">IF($N171="","",TRIM(MID(SUBSTITUTE($N171,",",REPT(" ",200)),1601,200)))</f>
        <v/>
      </c>
      <c r="AO171" t="str">
        <f t="shared" ref="AO171:AO182" si="1305">IF(AN171="","",TRIM(IFERROR(LEFT(AN171,FIND("§",SUBSTITUTE(AN171," ","§",LEN(AN171)-LEN(SUBSTITUTE(AN171," ",""))))-1),AN171)))</f>
        <v/>
      </c>
      <c r="AP171" t="str">
        <f>IF($AO171="","",IF(OR($CC171="",$CD171=""),"ONZEKER",IF(OR($BZ171="",$CA171=""),"ONZEKER",IF(AND($CC171=$BZ171+1,$CD171=$CA171),IF(OR(COUNTIF(#REF!,$B171)&gt;0,COUNTIF(#REF!,$B171)=0),"SKIP",IF(COUNTIFS(#REF!,$B171,#REF!,$AO171)&gt;0,"OK","ONBEKEND")),IF(AND($CC171=$BZ171,$CD171=$CA171+1),IF(OR(COUNTIF(#REF!,$D171)&gt;0,COUNTIF(#REF!,$D171)=0),"SKIP",IF(COUNTIFS(#REF!,$D171,#REF!,$AO171)&gt;0,"OK","ONBEKEND")),"ONZEKER")))))</f>
        <v/>
      </c>
      <c r="AQ171" t="str">
        <f t="shared" ref="AQ171:AQ182" si="1306">IF($N171="","",TRIM(MID(SUBSTITUTE($N171,",",REPT(" ",200)),1801,200)))</f>
        <v/>
      </c>
      <c r="AR171" t="str">
        <f t="shared" ref="AR171:AR182" si="1307">IF(AQ171="","",TRIM(IFERROR(LEFT(AQ171,FIND("§",SUBSTITUTE(AQ171," ","§",LEN(AQ171)-LEN(SUBSTITUTE(AQ171," ",""))))-1),AQ171)))</f>
        <v/>
      </c>
      <c r="AS171" t="str">
        <f>IF($AR171="","",IF(OR($CF171="",$CG171=""),"ONZEKER",IF(OR($CC171="",$CD171=""),"ONZEKER",IF(AND($CF171=$CC171+1,$CG171=$CD171),IF(OR(COUNTIF(#REF!,$B171)&gt;0,COUNTIF(#REF!,$B171)=0),"SKIP",IF(COUNTIFS(#REF!,$B171,#REF!,$AR171)&gt;0,"OK","ONBEKEND")),IF(AND($CF171=$CC171,$CG171=$CD171+1),IF(OR(COUNTIF(#REF!,$D171)&gt;0,COUNTIF(#REF!,$D171)=0),"SKIP",IF(COUNTIFS(#REF!,$D171,#REF!,$AR171)&gt;0,"OK","ONBEKEND")),"ONZEKER")))))</f>
        <v/>
      </c>
      <c r="AT171" t="str">
        <f t="shared" ref="AT171:AT182" si="1308">IF(R171="ONBEKEND",Q171,"")</f>
        <v/>
      </c>
      <c r="AU171" t="str">
        <f t="shared" ref="AU171:AU182" si="1309">IF(U171="ONBEKEND",T171,"")</f>
        <v/>
      </c>
      <c r="AV171" t="str">
        <f t="shared" ref="AV171:AV182" si="1310">IF(X171="ONBEKEND",W171,"")</f>
        <v/>
      </c>
      <c r="AW171" t="str">
        <f t="shared" ref="AW171:AW182" si="1311">IF(AA171="ONBEKEND",Z171,"")</f>
        <v/>
      </c>
      <c r="AX171" t="str">
        <f t="shared" ref="AX171:AX182" si="1312">IF(AD171="ONBEKEND",AC171,"")</f>
        <v/>
      </c>
      <c r="AY171" t="str">
        <f t="shared" ref="AY171:AY182" si="1313">IF(AG171="ONBEKEND",AF171,"")</f>
        <v/>
      </c>
      <c r="AZ171" t="str">
        <f t="shared" ref="AZ171:AZ182" si="1314">IF(AJ171="ONBEKEND",AI171,"")</f>
        <v/>
      </c>
      <c r="BA171" t="str">
        <f t="shared" ref="BA171:BA182" si="1315">IF(AM171="ONBEKEND",AL171,"")</f>
        <v/>
      </c>
      <c r="BB171" t="str">
        <f t="shared" ref="BB171:BB182" si="1316">IF(AP171="ONBEKEND",AO171,"")</f>
        <v/>
      </c>
      <c r="BC171" t="str">
        <f t="shared" ref="BC171:BC182" si="1317">IF(AS171="ONBEKEND",AR171,"")</f>
        <v/>
      </c>
      <c r="BD171" t="str">
        <f t="shared" si="980"/>
        <v/>
      </c>
      <c r="BE171" t="str">
        <f t="shared" si="981"/>
        <v/>
      </c>
      <c r="BF171" t="str">
        <f t="shared" si="982"/>
        <v/>
      </c>
      <c r="BG171" t="str">
        <f t="shared" si="983"/>
        <v/>
      </c>
      <c r="BH171" t="str">
        <f t="shared" si="984"/>
        <v/>
      </c>
      <c r="BI171" t="str">
        <f t="shared" si="985"/>
        <v/>
      </c>
      <c r="BJ171" t="str">
        <f t="shared" si="986"/>
        <v/>
      </c>
      <c r="BK171" t="str">
        <f t="shared" si="987"/>
        <v/>
      </c>
      <c r="BL171" t="str">
        <f t="shared" si="988"/>
        <v/>
      </c>
      <c r="BM171" t="str">
        <f t="shared" si="989"/>
        <v/>
      </c>
      <c r="BN171" t="str">
        <f t="shared" si="990"/>
        <v/>
      </c>
      <c r="BO171" t="str">
        <f t="shared" si="991"/>
        <v/>
      </c>
      <c r="BP171" t="str">
        <f t="shared" si="992"/>
        <v/>
      </c>
      <c r="BQ171" t="str">
        <f t="shared" si="993"/>
        <v/>
      </c>
      <c r="BR171" t="str">
        <f t="shared" si="994"/>
        <v/>
      </c>
      <c r="BS171" t="str">
        <f t="shared" si="995"/>
        <v/>
      </c>
      <c r="BT171" t="str">
        <f t="shared" si="996"/>
        <v/>
      </c>
      <c r="BU171" t="str">
        <f t="shared" si="997"/>
        <v/>
      </c>
      <c r="BV171" t="str">
        <f t="shared" si="998"/>
        <v/>
      </c>
      <c r="BW171" t="str">
        <f t="shared" si="999"/>
        <v/>
      </c>
      <c r="BX171" t="str">
        <f t="shared" si="1000"/>
        <v/>
      </c>
      <c r="BY171" t="str">
        <f t="shared" si="1001"/>
        <v/>
      </c>
      <c r="BZ171" t="str">
        <f t="shared" si="1002"/>
        <v/>
      </c>
      <c r="CA171" t="str">
        <f t="shared" si="1003"/>
        <v/>
      </c>
      <c r="CB171" t="str">
        <f t="shared" si="1004"/>
        <v/>
      </c>
      <c r="CC171" t="str">
        <f t="shared" si="1005"/>
        <v/>
      </c>
      <c r="CD171" t="str">
        <f t="shared" si="1006"/>
        <v/>
      </c>
      <c r="CE171" t="str">
        <f t="shared" si="1007"/>
        <v/>
      </c>
      <c r="CF171" t="str">
        <f t="shared" si="1008"/>
        <v/>
      </c>
      <c r="CG171" t="str">
        <f t="shared" si="1009"/>
        <v/>
      </c>
      <c r="CH171" t="str">
        <f t="shared" ref="CH171:CH182" si="1318">IF($N171="","",TRIM(MID(SUBSTITUTE($N171,",",REPT(" ",200)),2001,200)))</f>
        <v/>
      </c>
      <c r="CI171" t="str">
        <f t="shared" ref="CI171:CI182" si="1319">IF(CH171="","",TRIM(IFERROR(LEFT(CH171,FIND("§",SUBSTITUTE(CH171," ","§",LEN(CH171)-LEN(SUBSTITUTE(CH171," ",""))))-1),CH171)))</f>
        <v/>
      </c>
      <c r="CJ171" t="str">
        <f>IF($CI171="","",IF(OR($DW171="",$DX171=""),"ONZEKER",IF(OR($CF171="",$CG171=""),"ONZEKER",IF(AND($DW171=$CF171+1,$DX171=$CG171),IF(OR(COUNTIF(#REF!,$B171)&gt;0,COUNTIF(#REF!,$B171)=0),"SKIP",IF(COUNTIFS(#REF!,$B171,#REF!,$CI171)&gt;0,"OK","ONBEKEND")),IF(AND($DW171=$CF171,$DX171=$CG171+1),IF(OR(COUNTIF(#REF!,$D171)&gt;0,COUNTIF(#REF!,$D171)=0),"SKIP",IF(COUNTIFS(#REF!,$D171,#REF!,$CI171)&gt;0,"OK","ONBEKEND")),"ONZEKER")))))</f>
        <v/>
      </c>
      <c r="CK171" t="str">
        <f t="shared" ref="CK171:CK182" si="1320">IF($N171="","",TRIM(MID(SUBSTITUTE($N171,",",REPT(" ",200)),2201,200)))</f>
        <v/>
      </c>
      <c r="CL171" t="str">
        <f t="shared" ref="CL171:CL182" si="1321">IF(CK171="","",TRIM(IFERROR(LEFT(CK171,FIND("§",SUBSTITUTE(CK171," ","§",LEN(CK171)-LEN(SUBSTITUTE(CK171," ",""))))-1),CK171)))</f>
        <v/>
      </c>
      <c r="CM171" t="str">
        <f>IF($CL171="","",IF(OR($DZ171="",$EA171=""),"ONZEKER",IF(OR($DW171="",$DX171=""),"ONZEKER",IF(AND($DZ171=$DW171+1,$EA171=$DX171),IF(OR(COUNTIF(#REF!,$B171)&gt;0,COUNTIF(#REF!,$B171)=0),"SKIP",IF(COUNTIFS(#REF!,$B171,#REF!,$CL171)&gt;0,"OK","ONBEKEND")),IF(AND($DZ171=$DW171,$EA171=$DX171+1),IF(OR(COUNTIF(#REF!,$D171)&gt;0,COUNTIF(#REF!,$D171)=0),"SKIP",IF(COUNTIFS(#REF!,$D171,#REF!,$CL171)&gt;0,"OK","ONBEKEND")),"ONZEKER")))))</f>
        <v/>
      </c>
      <c r="CN171" t="str">
        <f t="shared" ref="CN171:CN182" si="1322">IF($N171="","",TRIM(MID(SUBSTITUTE($N171,",",REPT(" ",200)),2401,200)))</f>
        <v/>
      </c>
      <c r="CO171" t="str">
        <f t="shared" ref="CO171:CO182" si="1323">IF(CN171="","",TRIM(IFERROR(LEFT(CN171,FIND("§",SUBSTITUTE(CN171," ","§",LEN(CN171)-LEN(SUBSTITUTE(CN171," ",""))))-1),CN171)))</f>
        <v/>
      </c>
      <c r="CP171" t="str">
        <f>IF($CO171="","",IF(OR($EC171="",$ED171=""),"ONZEKER",IF(OR($DZ171="",$EA171=""),"ONZEKER",IF(AND($EC171=$DZ171+1,$ED171=$EA171),IF(OR(COUNTIF(#REF!,$B171)&gt;0,COUNTIF(#REF!,$B171)=0),"SKIP",IF(COUNTIFS(#REF!,$B171,#REF!,$CO171)&gt;0,"OK","ONBEKEND")),IF(AND($EC171=$DZ171,$ED171=$EA171+1),IF(OR(COUNTIF(#REF!,$D171)&gt;0,COUNTIF(#REF!,$D171)=0),"SKIP",IF(COUNTIFS(#REF!,$D171,#REF!,$CO171)&gt;0,"OK","ONBEKEND")),"ONZEKER")))))</f>
        <v/>
      </c>
      <c r="CQ171" t="str">
        <f t="shared" ref="CQ171:CQ182" si="1324">IF($N171="","",TRIM(MID(SUBSTITUTE($N171,",",REPT(" ",200)),2601,200)))</f>
        <v/>
      </c>
      <c r="CR171" t="str">
        <f t="shared" ref="CR171:CR182" si="1325">IF(CQ171="","",TRIM(IFERROR(LEFT(CQ171,FIND("§",SUBSTITUTE(CQ171," ","§",LEN(CQ171)-LEN(SUBSTITUTE(CQ171," ",""))))-1),CQ171)))</f>
        <v/>
      </c>
      <c r="CS171" t="str">
        <f>IF($CR171="","",IF(OR($EF171="",$EG171=""),"ONZEKER",IF(OR($EC171="",$ED171=""),"ONZEKER",IF(AND($EF171=$EC171+1,$EG171=$ED171),IF(OR(COUNTIF(#REF!,$B171)&gt;0,COUNTIF(#REF!,$B171)=0),"SKIP",IF(COUNTIFS(#REF!,$B171,#REF!,$CR171)&gt;0,"OK","ONBEKEND")),IF(AND($EF171=$EC171,$EG171=$ED171+1),IF(OR(COUNTIF(#REF!,$D171)&gt;0,COUNTIF(#REF!,$D171)=0),"SKIP",IF(COUNTIFS(#REF!,$D171,#REF!,$CR171)&gt;0,"OK","ONBEKEND")),"ONZEKER")))))</f>
        <v/>
      </c>
      <c r="CT171" t="str">
        <f t="shared" ref="CT171:CT182" si="1326">IF($N171="","",TRIM(MID(SUBSTITUTE($N171,",",REPT(" ",200)),2801,200)))</f>
        <v/>
      </c>
      <c r="CU171" t="str">
        <f t="shared" ref="CU171:CU182" si="1327">IF(CT171="","",TRIM(IFERROR(LEFT(CT171,FIND("§",SUBSTITUTE(CT171," ","§",LEN(CT171)-LEN(SUBSTITUTE(CT171," ",""))))-1),CT171)))</f>
        <v/>
      </c>
      <c r="CV171" t="str">
        <f>IF($CU171="","",IF(OR($EI171="",$EJ171=""),"ONZEKER",IF(OR($EF171="",$EG171=""),"ONZEKER",IF(AND($EI171=$EF171+1,$EJ171=$EG171),IF(OR(COUNTIF(#REF!,$B171)&gt;0,COUNTIF(#REF!,$B171)=0),"SKIP",IF(COUNTIFS(#REF!,$B171,#REF!,$CU171)&gt;0,"OK","ONBEKEND")),IF(AND($EI171=$EF171,$EJ171=$EG171+1),IF(OR(COUNTIF(#REF!,$D171)&gt;0,COUNTIF(#REF!,$D171)=0),"SKIP",IF(COUNTIFS(#REF!,$D171,#REF!,$CU171)&gt;0,"OK","ONBEKEND")),"ONZEKER")))))</f>
        <v/>
      </c>
      <c r="CW171" t="str">
        <f t="shared" ref="CW171:CW182" si="1328">IF($N171="","",TRIM(MID(SUBSTITUTE($N171,",",REPT(" ",200)),3001,200)))</f>
        <v/>
      </c>
      <c r="CX171" t="str">
        <f t="shared" ref="CX171:CX182" si="1329">IF(CW171="","",TRIM(IFERROR(LEFT(CW171,FIND("§",SUBSTITUTE(CW171," ","§",LEN(CW171)-LEN(SUBSTITUTE(CW171," ",""))))-1),CW171)))</f>
        <v/>
      </c>
      <c r="CY171" t="str">
        <f>IF($CX171="","",IF(OR($EL171="",$EM171=""),"ONZEKER",IF(OR($EI171="",$EJ171=""),"ONZEKER",IF(AND($EL171=$EI171+1,$EM171=$EJ171),IF(OR(COUNTIF(#REF!,$B171)&gt;0,COUNTIF(#REF!,$B171)=0),"SKIP",IF(COUNTIFS(#REF!,$B171,#REF!,$CX171)&gt;0,"OK","ONBEKEND")),IF(AND($EL171=$EI171,$EM171=$EJ171+1),IF(OR(COUNTIF(#REF!,$D171)&gt;0,COUNTIF(#REF!,$D171)=0),"SKIP",IF(COUNTIFS(#REF!,$D171,#REF!,$CX171)&gt;0,"OK","ONBEKEND")),"ONZEKER")))))</f>
        <v/>
      </c>
      <c r="CZ171" t="str">
        <f t="shared" ref="CZ171:CZ182" si="1330">IF($N171="","",TRIM(MID(SUBSTITUTE($N171,",",REPT(" ",200)),3201,200)))</f>
        <v/>
      </c>
      <c r="DA171" t="str">
        <f t="shared" ref="DA171:DA182" si="1331">IF(CZ171="","",TRIM(IFERROR(LEFT(CZ171,FIND("§",SUBSTITUTE(CZ171," ","§",LEN(CZ171)-LEN(SUBSTITUTE(CZ171," ",""))))-1),CZ171)))</f>
        <v/>
      </c>
      <c r="DB171" t="str">
        <f>IF($DA171="","",IF(OR($EO171="",$EP171=""),"ONZEKER",IF(OR($EL171="",$EM171=""),"ONZEKER",IF(AND($EO171=$EL171+1,$EP171=$EM171),IF(OR(COUNTIF(#REF!,$B171)&gt;0,COUNTIF(#REF!,$B171)=0),"SKIP",IF(COUNTIFS(#REF!,$B171,#REF!,$DA171)&gt;0,"OK","ONBEKEND")),IF(AND($EO171=$EL171,$EP171=$EM171+1),IF(OR(COUNTIF(#REF!,$D171)&gt;0,COUNTIF(#REF!,$D171)=0),"SKIP",IF(COUNTIFS(#REF!,$D171,#REF!,$DA171)&gt;0,"OK","ONBEKEND")),"ONZEKER")))))</f>
        <v/>
      </c>
      <c r="DC171" t="str">
        <f t="shared" ref="DC171:DC182" si="1332">IF($N171="","",TRIM(MID(SUBSTITUTE($N171,",",REPT(" ",200)),3401,200)))</f>
        <v/>
      </c>
      <c r="DD171" t="str">
        <f t="shared" ref="DD171:DD182" si="1333">IF(DC171="","",TRIM(IFERROR(LEFT(DC171,FIND("§",SUBSTITUTE(DC171," ","§",LEN(DC171)-LEN(SUBSTITUTE(DC171," ",""))))-1),DC171)))</f>
        <v/>
      </c>
      <c r="DE171" t="str">
        <f>IF($DD171="","",IF(OR($ER171="",$ES171=""),"ONZEKER",IF(OR($EO171="",$EP171=""),"ONZEKER",IF(AND($ER171=$EO171+1,$ES171=$EP171),IF(OR(COUNTIF(#REF!,$B171)&gt;0,COUNTIF(#REF!,$B171)=0),"SKIP",IF(COUNTIFS(#REF!,$B171,#REF!,$DD171)&gt;0,"OK","ONBEKEND")),IF(AND($ER171=$EO171,$ES171=$EP171+1),IF(OR(COUNTIF(#REF!,$D171)&gt;0,COUNTIF(#REF!,$D171)=0),"SKIP",IF(COUNTIFS(#REF!,$D171,#REF!,$DD171)&gt;0,"OK","ONBEKEND")),"ONZEKER")))))</f>
        <v/>
      </c>
      <c r="DF171" t="str">
        <f t="shared" ref="DF171:DF182" si="1334">IF($N171="","",TRIM(MID(SUBSTITUTE($N171,",",REPT(" ",200)),3601,200)))</f>
        <v/>
      </c>
      <c r="DG171" t="str">
        <f t="shared" ref="DG171:DG182" si="1335">IF(DF171="","",TRIM(IFERROR(LEFT(DF171,FIND("§",SUBSTITUTE(DF171," ","§",LEN(DF171)-LEN(SUBSTITUTE(DF171," ",""))))-1),DF171)))</f>
        <v/>
      </c>
      <c r="DH171" t="str">
        <f>IF($DG171="","",IF(OR($EU171="",$EV171=""),"ONZEKER",IF(OR($ER171="",$ES171=""),"ONZEKER",IF(AND($EU171=$ER171+1,$EV171=$ES171),IF(OR(COUNTIF(#REF!,$B171)&gt;0,COUNTIF(#REF!,$B171)=0),"SKIP",IF(COUNTIFS(#REF!,$B171,#REF!,$DG171)&gt;0,"OK","ONBEKEND")),IF(AND($EU171=$ER171,$EV171=$ES171+1),IF(OR(COUNTIF(#REF!,$D171)&gt;0,COUNTIF(#REF!,$D171)=0),"SKIP",IF(COUNTIFS(#REF!,$D171,#REF!,$DG171)&gt;0,"OK","ONBEKEND")),"ONZEKER")))))</f>
        <v/>
      </c>
      <c r="DI171" t="str">
        <f t="shared" ref="DI171:DI182" si="1336">IF($N171="","",TRIM(MID(SUBSTITUTE($N171,",",REPT(" ",200)),3801,200)))</f>
        <v/>
      </c>
      <c r="DJ171" t="str">
        <f t="shared" ref="DJ171:DJ182" si="1337">IF(DI171="","",TRIM(IFERROR(LEFT(DI171,FIND("§",SUBSTITUTE(DI171," ","§",LEN(DI171)-LEN(SUBSTITUTE(DI171," ",""))))-1),DI171)))</f>
        <v/>
      </c>
      <c r="DK171" t="str">
        <f>IF($DJ171="","",IF(OR($EX171="",$EY171=""),"ONZEKER",IF(OR($EU171="",$EV171=""),"ONZEKER",IF(AND($EX171=$EU171+1,$EY171=$EV171),IF(OR(COUNTIF(#REF!,$B171)&gt;0,COUNTIF(#REF!,$B171)=0),"SKIP",IF(COUNTIFS(#REF!,$B171,#REF!,$DJ171)&gt;0,"OK","ONBEKEND")),IF(AND($EX171=$EU171,$EY171=$EV171+1),IF(OR(COUNTIF(#REF!,$D171)&gt;0,COUNTIF(#REF!,$D171)=0),"SKIP",IF(COUNTIFS(#REF!,$D171,#REF!,$DJ171)&gt;0,"OK","ONBEKEND")),"ONZEKER")))))</f>
        <v/>
      </c>
      <c r="DL171" t="str">
        <f t="shared" ref="DL171:DL182" si="1338">IF($CJ171="ONBEKEND",$CI171,"")</f>
        <v/>
      </c>
      <c r="DM171" t="str">
        <f t="shared" ref="DM171:DM182" si="1339">IF($CM171="ONBEKEND",$CL171,"")</f>
        <v/>
      </c>
      <c r="DN171" t="str">
        <f t="shared" ref="DN171:DN182" si="1340">IF($CP171="ONBEKEND",$CO171,"")</f>
        <v/>
      </c>
      <c r="DO171" t="str">
        <f t="shared" ref="DO171:DO182" si="1341">IF($CS171="ONBEKEND",$CR171,"")</f>
        <v/>
      </c>
      <c r="DP171" t="str">
        <f t="shared" ref="DP171:DP182" si="1342">IF($CV171="ONBEKEND",$CU171,"")</f>
        <v/>
      </c>
      <c r="DQ171" t="str">
        <f t="shared" ref="DQ171:DQ182" si="1343">IF($CY171="ONBEKEND",$CX171,"")</f>
        <v/>
      </c>
      <c r="DR171" t="str">
        <f t="shared" ref="DR171:DR182" si="1344">IF($DB171="ONBEKEND",$DA171,"")</f>
        <v/>
      </c>
      <c r="DS171" t="str">
        <f t="shared" ref="DS171:DS182" si="1345">IF($DE171="ONBEKEND",$DD171,"")</f>
        <v/>
      </c>
      <c r="DT171" t="str">
        <f t="shared" ref="DT171:DT182" si="1346">IF($DH171="ONBEKEND",$DG171,"")</f>
        <v/>
      </c>
      <c r="DU171" t="str">
        <f t="shared" ref="DU171:DU182" si="1347">IF($DK171="ONBEKEND",$DJ171,"")</f>
        <v/>
      </c>
      <c r="DV171" t="str">
        <f t="shared" ref="DV171:DV182" si="1348">IF($CH171="","",TRIM(IFERROR(RIGHT($CH171,LEN($CH171)-FIND("§",SUBSTITUTE($CH171," ","§",LEN($CH171)-LEN(SUBSTITUTE($CH171," ",""))))),"")))</f>
        <v/>
      </c>
      <c r="DW171" t="str">
        <f t="shared" ref="DW171:DW182" si="1349">IF($DV171="","",IFERROR(VALUE(LEFT($DV171,FIND("-",$DV171)-1)),""))</f>
        <v/>
      </c>
      <c r="DX171" t="str">
        <f t="shared" ref="DX171:DX182" si="1350">IF($DV171="","",IFERROR(VALUE(MID($DV171,FIND("-",$DV171)+1,99)),""))</f>
        <v/>
      </c>
      <c r="DY171" t="str">
        <f t="shared" ref="DY171:DY182" si="1351">IF($CK171="","",TRIM(IFERROR(RIGHT($CK171,LEN($CK171)-FIND("§",SUBSTITUTE($CK171," ","§",LEN($CK171)-LEN(SUBSTITUTE($CK171," ",""))))),"")))</f>
        <v/>
      </c>
      <c r="DZ171" t="str">
        <f t="shared" ref="DZ171:DZ182" si="1352">IF($DY171="","",IFERROR(VALUE(LEFT($DY171,FIND("-",$DY171)-1)),""))</f>
        <v/>
      </c>
      <c r="EA171" t="str">
        <f t="shared" ref="EA171:EA182" si="1353">IF($DY171="","",IFERROR(VALUE(MID($DY171,FIND("-",$DY171)+1,99)),""))</f>
        <v/>
      </c>
      <c r="EB171" t="str">
        <f t="shared" ref="EB171:EB182" si="1354">IF($CN171="","",TRIM(IFERROR(RIGHT($CN171,LEN($CN171)-FIND("§",SUBSTITUTE($CN171," ","§",LEN($CN171)-LEN(SUBSTITUTE($CN171," ",""))))),"")))</f>
        <v/>
      </c>
      <c r="EC171" t="str">
        <f t="shared" ref="EC171:EC182" si="1355">IF($EB171="","",IFERROR(VALUE(LEFT($EB171,FIND("-",$EB171)-1)),""))</f>
        <v/>
      </c>
      <c r="ED171" t="str">
        <f t="shared" ref="ED171:ED182" si="1356">IF($EB171="","",IFERROR(VALUE(MID($EB171,FIND("-",$EB171)+1,99)),""))</f>
        <v/>
      </c>
      <c r="EE171" t="str">
        <f t="shared" ref="EE171:EE182" si="1357">IF($CQ171="","",TRIM(IFERROR(RIGHT($CQ171,LEN($CQ171)-FIND("§",SUBSTITUTE($CQ171," ","§",LEN($CQ171)-LEN(SUBSTITUTE($CQ171," ",""))))),"")))</f>
        <v/>
      </c>
      <c r="EF171" t="str">
        <f t="shared" ref="EF171:EF182" si="1358">IF($EE171="","",IFERROR(VALUE(LEFT($EE171,FIND("-",$EE171)-1)),""))</f>
        <v/>
      </c>
      <c r="EG171" t="str">
        <f t="shared" ref="EG171:EG182" si="1359">IF($EE171="","",IFERROR(VALUE(MID($EE171,FIND("-",$EE171)+1,99)),""))</f>
        <v/>
      </c>
      <c r="EH171" t="str">
        <f t="shared" ref="EH171:EH182" si="1360">IF($CT171="","",TRIM(IFERROR(RIGHT($CT171,LEN($CT171)-FIND("§",SUBSTITUTE($CT171," ","§",LEN($CT171)-LEN(SUBSTITUTE($CT171," ",""))))),"")))</f>
        <v/>
      </c>
      <c r="EI171" t="str">
        <f t="shared" ref="EI171:EI182" si="1361">IF($EH171="","",IFERROR(VALUE(LEFT($EH171,FIND("-",$EH171)-1)),""))</f>
        <v/>
      </c>
      <c r="EJ171" t="str">
        <f t="shared" ref="EJ171:EJ182" si="1362">IF($EH171="","",IFERROR(VALUE(MID($EH171,FIND("-",$EH171)+1,99)),""))</f>
        <v/>
      </c>
      <c r="EK171" t="str">
        <f t="shared" ref="EK171:EK182" si="1363">IF($CW171="","",TRIM(IFERROR(RIGHT($CW171,LEN($CW171)-FIND("§",SUBSTITUTE($CW171," ","§",LEN($CW171)-LEN(SUBSTITUTE($CW171," ",""))))),"")))</f>
        <v/>
      </c>
      <c r="EL171" t="str">
        <f t="shared" ref="EL171:EL182" si="1364">IF($EK171="","",IFERROR(VALUE(LEFT($EK171,FIND("-",$EK171)-1)),""))</f>
        <v/>
      </c>
      <c r="EM171" t="str">
        <f t="shared" ref="EM171:EM182" si="1365">IF($EK171="","",IFERROR(VALUE(MID($EK171,FIND("-",$EK171)+1,99)),""))</f>
        <v/>
      </c>
      <c r="EN171" t="str">
        <f t="shared" ref="EN171:EN182" si="1366">IF($CZ171="","",TRIM(IFERROR(RIGHT($CZ171,LEN($CZ171)-FIND("§",SUBSTITUTE($CZ171," ","§",LEN($CZ171)-LEN(SUBSTITUTE($CZ171," ",""))))),"")))</f>
        <v/>
      </c>
      <c r="EO171" t="str">
        <f t="shared" ref="EO171:EO182" si="1367">IF($EN171="","",IFERROR(VALUE(LEFT($EN171,FIND("-",$EN171)-1)),""))</f>
        <v/>
      </c>
      <c r="EP171" t="str">
        <f t="shared" ref="EP171:EP182" si="1368">IF($EN171="","",IFERROR(VALUE(MID($EN171,FIND("-",$EN171)+1,99)),""))</f>
        <v/>
      </c>
      <c r="EQ171" t="str">
        <f t="shared" ref="EQ171:EQ182" si="1369">IF($DC171="","",TRIM(IFERROR(RIGHT($DC171,LEN($DC171)-FIND("§",SUBSTITUTE($DC171," ","§",LEN($DC171)-LEN(SUBSTITUTE($DC171," ",""))))),"")))</f>
        <v/>
      </c>
      <c r="ER171" t="str">
        <f t="shared" ref="ER171:ER182" si="1370">IF($EQ171="","",IFERROR(VALUE(LEFT($EQ171,FIND("-",$EQ171)-1)),""))</f>
        <v/>
      </c>
      <c r="ES171" t="str">
        <f t="shared" ref="ES171:ES182" si="1371">IF($EQ171="","",IFERROR(VALUE(MID($EQ171,FIND("-",$EQ171)+1,99)),""))</f>
        <v/>
      </c>
      <c r="ET171" t="str">
        <f t="shared" ref="ET171:ET182" si="1372">IF($DF171="","",TRIM(IFERROR(RIGHT($DF171,LEN($DF171)-FIND("§",SUBSTITUTE($DF171," ","§",LEN($DF171)-LEN(SUBSTITUTE($DF171," ",""))))),"")))</f>
        <v/>
      </c>
      <c r="EU171" t="str">
        <f t="shared" ref="EU171:EU182" si="1373">IF($ET171="","",IFERROR(VALUE(LEFT($ET171,FIND("-",$ET171)-1)),""))</f>
        <v/>
      </c>
      <c r="EV171" t="str">
        <f t="shared" ref="EV171:EV182" si="1374">IF($ET171="","",IFERROR(VALUE(MID($ET171,FIND("-",$ET171)+1,99)),""))</f>
        <v/>
      </c>
      <c r="EW171" t="str">
        <f t="shared" ref="EW171:EW182" si="1375">IF($DI171="","",TRIM(IFERROR(RIGHT($DI171,LEN($DI171)-FIND("§",SUBSTITUTE($DI171," ","§",LEN($DI171)-LEN(SUBSTITUTE($DI171," ",""))))),"")))</f>
        <v/>
      </c>
      <c r="EX171" t="str">
        <f t="shared" ref="EX171:EX182" si="1376">IF($EW171="","",IFERROR(VALUE(LEFT($EW171,FIND("-",$EW171)-1)),""))</f>
        <v/>
      </c>
      <c r="EY171" t="str">
        <f t="shared" ref="EY171:EY182" si="1377">IF($EW171="","",IFERROR(VALUE(MID($EW171,FIND("-",$EW171)+1,99)),""))</f>
        <v/>
      </c>
    </row>
    <row r="172" spans="1:155" ht="13.9" customHeight="1" x14ac:dyDescent="0.25">
      <c r="A172" s="7"/>
      <c r="B172" s="17"/>
      <c r="C172" s="8"/>
      <c r="D172" s="17"/>
      <c r="E172" s="8"/>
      <c r="F172" s="18">
        <v>0</v>
      </c>
      <c r="G172" s="7" t="s">
        <v>147</v>
      </c>
      <c r="H172" s="18">
        <v>0</v>
      </c>
      <c r="I172" s="19">
        <v>0</v>
      </c>
      <c r="J172" s="7" t="s">
        <v>147</v>
      </c>
      <c r="K172" s="19">
        <v>0</v>
      </c>
      <c r="L172" s="9"/>
      <c r="M172" s="3" t="str">
        <f>IF($L172="","",IF($L172="DOELPUNTENMAKERS","",IF(AND(COUNTIF(#REF!,$B172)=0,COUNTIF(#REF!,$D172)=0),"OK",IF($O172&gt;20,"LET OP: meer dan 20 items (controle onvolledig)",IF((COUNTIF($R172:$AS172,"ONZEKER")+COUNTIF($CJ172:$DK172,"ONZEKER"))&gt;0,"LET OP: scoreverloop onduidelijk (controle beperkt)",IF((IF($AT172&lt;&gt;"",$AT172&amp;", ","")&amp;IF($AU172&lt;&gt;"",$AU172&amp;", ","")&amp;IF($AV172&lt;&gt;"",$AV172&amp;", ","")&amp;IF($AW172&lt;&gt;"",$AW172&amp;", ","")&amp;IF($AX172&lt;&gt;"",$AX172&amp;", ","")&amp;IF($AY172&lt;&gt;"",$AY172&amp;", ","")&amp;IF($AZ172&lt;&gt;"",$AZ172&amp;", ","")&amp;IF($BA172&lt;&gt;"",$BA172&amp;", ","")&amp;IF($BB172&lt;&gt;"",$BB172&amp;", ","")&amp;IF($BC172&lt;&gt;"",$BC172&amp;", ","")&amp;IF($DL172&lt;&gt;"",$DL172&amp;", ","")&amp;IF($DM172&lt;&gt;"",$DM172&amp;", ","")&amp;IF($DN172&lt;&gt;"",$DN172&amp;", ","")&amp;IF($DO172&lt;&gt;"",$DO172&amp;", ","")&amp;IF($DP172&lt;&gt;"",$DP172&amp;", ","")&amp;IF($DQ172&lt;&gt;"",$DQ172&amp;", ","")&amp;IF($DR172&lt;&gt;"",$DR172&amp;", ","")&amp;IF($DS172&lt;&gt;"",$DS172&amp;", ","")&amp;IF($DT172&lt;&gt;"",$DT172&amp;", ","")&amp;IF($DU172&lt;&gt;"",$DU172&amp;", ",""))="","OK","Onbekend: "&amp;LEFT((IF($AT172&lt;&gt;"",$AT172&amp;", ","")&amp;IF($AU172&lt;&gt;"",$AU172&amp;", ","")&amp;IF($AV172&lt;&gt;"",$AV172&amp;", ","")&amp;IF($AW172&lt;&gt;"",$AW172&amp;", ","")&amp;IF($AX172&lt;&gt;"",$AX172&amp;", ","")&amp;IF($AY172&lt;&gt;"",$AY172&amp;", ","")&amp;IF($AZ172&lt;&gt;"",$AZ172&amp;", ","")&amp;IF($BA172&lt;&gt;"",$BA172&amp;", ","")&amp;IF($BB172&lt;&gt;"",$BB172&amp;", ","")&amp;IF($BC172&lt;&gt;"",$BC172&amp;", ","")&amp;IF($DL172&lt;&gt;"",$DL172&amp;", ","")&amp;IF($DM172&lt;&gt;"",$DM172&amp;", ","")&amp;IF($DN172&lt;&gt;"",$DN172&amp;", ","")&amp;IF($DO172&lt;&gt;"",$DO172&amp;", ","")&amp;IF($DP172&lt;&gt;"",$DP172&amp;", ","")&amp;IF($DQ172&lt;&gt;"",$DQ172&amp;", ","")&amp;IF($DR172&lt;&gt;"",$DR172&amp;", ","")&amp;IF($DS172&lt;&gt;"",$DS172&amp;", ","")&amp;IF($DT172&lt;&gt;"",$DT172&amp;", ","")&amp;IF($DU172&lt;&gt;"",$DU172&amp;", ","")),LEN((IF($AT172&lt;&gt;"",$AT172&amp;", ","")&amp;IF($AU172&lt;&gt;"",$AU172&amp;", ","")&amp;IF($AV172&lt;&gt;"",$AV172&amp;", ","")&amp;IF($AW172&lt;&gt;"",$AW172&amp;", ","")&amp;IF($AX172&lt;&gt;"",$AX172&amp;", ","")&amp;IF($AY172&lt;&gt;"",$AY172&amp;", ","")&amp;IF($AZ172&lt;&gt;"",$AZ172&amp;", ","")&amp;IF($BA172&lt;&gt;"",$BA172&amp;", ","")&amp;IF($BB172&lt;&gt;"",$BB172&amp;", ","")&amp;IF($BC172&lt;&gt;"",$BC172&amp;", ","")&amp;IF($DL172&lt;&gt;"",$DL172&amp;", ","")&amp;IF($DM172&lt;&gt;"",$DM172&amp;", ","")&amp;IF($DN172&lt;&gt;"",$DN172&amp;", ","")&amp;IF($DO172&lt;&gt;"",$DO172&amp;", ","")&amp;IF($DP172&lt;&gt;"",$DP172&amp;", ","")&amp;IF($DQ172&lt;&gt;"",$DQ172&amp;", ","")&amp;IF($DR172&lt;&gt;"",$DR172&amp;", ","")&amp;IF($DS172&lt;&gt;"",$DS172&amp;", ","")&amp;IF($DT172&lt;&gt;"",$DT172&amp;", ","")&amp;IF($DU172&lt;&gt;"",$DU172&amp;", ","")))-2)))))))</f>
        <v/>
      </c>
      <c r="N172" t="str">
        <f t="shared" si="1286"/>
        <v/>
      </c>
      <c r="O172" t="str">
        <f t="shared" si="1287"/>
        <v/>
      </c>
      <c r="P172" t="str">
        <f t="shared" si="1288"/>
        <v/>
      </c>
      <c r="Q172" t="str">
        <f t="shared" si="1289"/>
        <v/>
      </c>
      <c r="R172" t="str">
        <f>IF($Q172="","",IF(OR($BE172="",$BF172=""),"ONZEKER",IF(AND($BE172=0+1,$BF172=0),IF(OR(COUNTIF(#REF!,$B172)&gt;0,COUNTIF(#REF!,$B172)=0),"SKIP",IF(COUNTIFS(#REF!,$B172,#REF!,$Q172)&gt;0,"OK","ONBEKEND")),IF(AND($BE172=0,$BF172=0+1),IF(OR(COUNTIF(#REF!,$D172)&gt;0,COUNTIF(#REF!,$D172)=0),"SKIP",IF(COUNTIFS(#REF!,$D172,#REF!,$Q172)&gt;0,"OK","ONBEKEND")),"ONZEKER"))))</f>
        <v/>
      </c>
      <c r="S172" t="str">
        <f t="shared" si="1290"/>
        <v/>
      </c>
      <c r="T172" t="str">
        <f t="shared" si="1291"/>
        <v/>
      </c>
      <c r="U172" t="str">
        <f>IF($T172="","",IF(OR($BH172="",$BI172=""),"ONZEKER",IF(OR($BE172="",$BF172=""),"ONZEKER",IF(AND($BH172=$BE172+1,$BI172=$BF172),IF(OR(COUNTIF(#REF!,$B172)&gt;0,COUNTIF(#REF!,$B172)=0),"SKIP",IF(COUNTIFS(#REF!,$B172,#REF!,$T172)&gt;0,"OK","ONBEKEND")),IF(AND($BH172=$BE172,$BI172=$BF172+1),IF(OR(COUNTIF(#REF!,$D172)&gt;0,COUNTIF(#REF!,$D172)=0),"SKIP",IF(COUNTIFS(#REF!,$D172,#REF!,$T172)&gt;0,"OK","ONBEKEND")),"ONZEKER")))))</f>
        <v/>
      </c>
      <c r="V172" t="str">
        <f t="shared" si="1292"/>
        <v/>
      </c>
      <c r="W172" t="str">
        <f t="shared" si="1293"/>
        <v/>
      </c>
      <c r="X172" t="str">
        <f>IF($W172="","",IF(OR($BK172="",$BL172=""),"ONZEKER",IF(OR($BH172="",$BI172=""),"ONZEKER",IF(AND($BK172=$BH172+1,$BL172=$BI172),IF(OR(COUNTIF(#REF!,$B172)&gt;0,COUNTIF(#REF!,$B172)=0),"SKIP",IF(COUNTIFS(#REF!,$B172,#REF!,$W172)&gt;0,"OK","ONBEKEND")),IF(AND($BK172=$BH172,$BL172=$BI172+1),IF(OR(COUNTIF(#REF!,$D172)&gt;0,COUNTIF(#REF!,$D172)=0),"SKIP",IF(COUNTIFS(#REF!,$D172,#REF!,$W172)&gt;0,"OK","ONBEKEND")),"ONZEKER")))))</f>
        <v/>
      </c>
      <c r="Y172" t="str">
        <f t="shared" si="1294"/>
        <v/>
      </c>
      <c r="Z172" t="str">
        <f t="shared" si="1295"/>
        <v/>
      </c>
      <c r="AA172" t="str">
        <f>IF($Z172="","",IF(OR($BN172="",$BO172=""),"ONZEKER",IF(OR($BK172="",$BL172=""),"ONZEKER",IF(AND($BN172=$BK172+1,$BO172=$BL172),IF(OR(COUNTIF(#REF!,$B172)&gt;0,COUNTIF(#REF!,$B172)=0),"SKIP",IF(COUNTIFS(#REF!,$B172,#REF!,$Z172)&gt;0,"OK","ONBEKEND")),IF(AND($BN172=$BK172,$BO172=$BL172+1),IF(OR(COUNTIF(#REF!,$D172)&gt;0,COUNTIF(#REF!,$D172)=0),"SKIP",IF(COUNTIFS(#REF!,$D172,#REF!,$Z172)&gt;0,"OK","ONBEKEND")),"ONZEKER")))))</f>
        <v/>
      </c>
      <c r="AB172" t="str">
        <f t="shared" si="1296"/>
        <v/>
      </c>
      <c r="AC172" t="str">
        <f t="shared" si="1297"/>
        <v/>
      </c>
      <c r="AD172" t="str">
        <f>IF($AC172="","",IF(OR($BQ172="",$BR172=""),"ONZEKER",IF(OR($BN172="",$BO172=""),"ONZEKER",IF(AND($BQ172=$BN172+1,$BR172=$BO172),IF(OR(COUNTIF(#REF!,$B172)&gt;0,COUNTIF(#REF!,$B172)=0),"SKIP",IF(COUNTIFS(#REF!,$B172,#REF!,$AC172)&gt;0,"OK","ONBEKEND")),IF(AND($BQ172=$BN172,$BR172=$BO172+1),IF(OR(COUNTIF(#REF!,$D172)&gt;0,COUNTIF(#REF!,$D172)=0),"SKIP",IF(COUNTIFS(#REF!,$D172,#REF!,$AC172)&gt;0,"OK","ONBEKEND")),"ONZEKER")))))</f>
        <v/>
      </c>
      <c r="AE172" t="str">
        <f t="shared" si="1298"/>
        <v/>
      </c>
      <c r="AF172" t="str">
        <f t="shared" si="1299"/>
        <v/>
      </c>
      <c r="AG172" t="str">
        <f>IF($AF172="","",IF(OR($BT172="",$BU172=""),"ONZEKER",IF(OR($BQ172="",$BR172=""),"ONZEKER",IF(AND($BT172=$BQ172+1,$BU172=$BR172),IF(OR(COUNTIF(#REF!,$B172)&gt;0,COUNTIF(#REF!,$B172)=0),"SKIP",IF(COUNTIFS(#REF!,$B172,#REF!,$AF172)&gt;0,"OK","ONBEKEND")),IF(AND($BT172=$BQ172,$BU172=$BR172+1),IF(OR(COUNTIF(#REF!,$D172)&gt;0,COUNTIF(#REF!,$D172)=0),"SKIP",IF(COUNTIFS(#REF!,$D172,#REF!,$AF172)&gt;0,"OK","ONBEKEND")),"ONZEKER")))))</f>
        <v/>
      </c>
      <c r="AH172" t="str">
        <f t="shared" si="1300"/>
        <v/>
      </c>
      <c r="AI172" t="str">
        <f t="shared" si="1301"/>
        <v/>
      </c>
      <c r="AJ172" t="str">
        <f>IF($AI172="","",IF(OR($BW172="",$BX172=""),"ONZEKER",IF(OR($BT172="",$BU172=""),"ONZEKER",IF(AND($BW172=$BT172+1,$BX172=$BU172),IF(OR(COUNTIF(#REF!,$B172)&gt;0,COUNTIF(#REF!,$B172)=0),"SKIP",IF(COUNTIFS(#REF!,$B172,#REF!,$AI172)&gt;0,"OK","ONBEKEND")),IF(AND($BW172=$BT172,$BX172=$BU172+1),IF(OR(COUNTIF(#REF!,$D172)&gt;0,COUNTIF(#REF!,$D172)=0),"SKIP",IF(COUNTIFS(#REF!,$D172,#REF!,$AI172)&gt;0,"OK","ONBEKEND")),"ONZEKER")))))</f>
        <v/>
      </c>
      <c r="AK172" t="str">
        <f t="shared" si="1302"/>
        <v/>
      </c>
      <c r="AL172" t="str">
        <f t="shared" si="1303"/>
        <v/>
      </c>
      <c r="AM172" t="str">
        <f>IF($AL172="","",IF(OR($BZ172="",$CA172=""),"ONZEKER",IF(OR($BW172="",$BX172=""),"ONZEKER",IF(AND($BZ172=$BW172+1,$CA172=$BX172),IF(OR(COUNTIF(#REF!,$B172)&gt;0,COUNTIF(#REF!,$B172)=0),"SKIP",IF(COUNTIFS(#REF!,$B172,#REF!,$AL172)&gt;0,"OK","ONBEKEND")),IF(AND($BZ172=$BW172,$CA172=$BX172+1),IF(OR(COUNTIF(#REF!,$D172)&gt;0,COUNTIF(#REF!,$D172)=0),"SKIP",IF(COUNTIFS(#REF!,$D172,#REF!,$AL172)&gt;0,"OK","ONBEKEND")),"ONZEKER")))))</f>
        <v/>
      </c>
      <c r="AN172" t="str">
        <f t="shared" si="1304"/>
        <v/>
      </c>
      <c r="AO172" t="str">
        <f t="shared" si="1305"/>
        <v/>
      </c>
      <c r="AP172" t="str">
        <f>IF($AO172="","",IF(OR($CC172="",$CD172=""),"ONZEKER",IF(OR($BZ172="",$CA172=""),"ONZEKER",IF(AND($CC172=$BZ172+1,$CD172=$CA172),IF(OR(COUNTIF(#REF!,$B172)&gt;0,COUNTIF(#REF!,$B172)=0),"SKIP",IF(COUNTIFS(#REF!,$B172,#REF!,$AO172)&gt;0,"OK","ONBEKEND")),IF(AND($CC172=$BZ172,$CD172=$CA172+1),IF(OR(COUNTIF(#REF!,$D172)&gt;0,COUNTIF(#REF!,$D172)=0),"SKIP",IF(COUNTIFS(#REF!,$D172,#REF!,$AO172)&gt;0,"OK","ONBEKEND")),"ONZEKER")))))</f>
        <v/>
      </c>
      <c r="AQ172" t="str">
        <f t="shared" si="1306"/>
        <v/>
      </c>
      <c r="AR172" t="str">
        <f t="shared" si="1307"/>
        <v/>
      </c>
      <c r="AS172" t="str">
        <f>IF($AR172="","",IF(OR($CF172="",$CG172=""),"ONZEKER",IF(OR($CC172="",$CD172=""),"ONZEKER",IF(AND($CF172=$CC172+1,$CG172=$CD172),IF(OR(COUNTIF(#REF!,$B172)&gt;0,COUNTIF(#REF!,$B172)=0),"SKIP",IF(COUNTIFS(#REF!,$B172,#REF!,$AR172)&gt;0,"OK","ONBEKEND")),IF(AND($CF172=$CC172,$CG172=$CD172+1),IF(OR(COUNTIF(#REF!,$D172)&gt;0,COUNTIF(#REF!,$D172)=0),"SKIP",IF(COUNTIFS(#REF!,$D172,#REF!,$AR172)&gt;0,"OK","ONBEKEND")),"ONZEKER")))))</f>
        <v/>
      </c>
      <c r="AT172" t="str">
        <f t="shared" si="1308"/>
        <v/>
      </c>
      <c r="AU172" t="str">
        <f t="shared" si="1309"/>
        <v/>
      </c>
      <c r="AV172" t="str">
        <f t="shared" si="1310"/>
        <v/>
      </c>
      <c r="AW172" t="str">
        <f t="shared" si="1311"/>
        <v/>
      </c>
      <c r="AX172" t="str">
        <f t="shared" si="1312"/>
        <v/>
      </c>
      <c r="AY172" t="str">
        <f t="shared" si="1313"/>
        <v/>
      </c>
      <c r="AZ172" t="str">
        <f t="shared" si="1314"/>
        <v/>
      </c>
      <c r="BA172" t="str">
        <f t="shared" si="1315"/>
        <v/>
      </c>
      <c r="BB172" t="str">
        <f t="shared" si="1316"/>
        <v/>
      </c>
      <c r="BC172" t="str">
        <f t="shared" si="1317"/>
        <v/>
      </c>
      <c r="BD172" t="str">
        <f t="shared" si="980"/>
        <v/>
      </c>
      <c r="BE172" t="str">
        <f t="shared" si="981"/>
        <v/>
      </c>
      <c r="BF172" t="str">
        <f t="shared" si="982"/>
        <v/>
      </c>
      <c r="BG172" t="str">
        <f t="shared" si="983"/>
        <v/>
      </c>
      <c r="BH172" t="str">
        <f t="shared" si="984"/>
        <v/>
      </c>
      <c r="BI172" t="str">
        <f t="shared" si="985"/>
        <v/>
      </c>
      <c r="BJ172" t="str">
        <f t="shared" si="986"/>
        <v/>
      </c>
      <c r="BK172" t="str">
        <f t="shared" si="987"/>
        <v/>
      </c>
      <c r="BL172" t="str">
        <f t="shared" si="988"/>
        <v/>
      </c>
      <c r="BM172" t="str">
        <f t="shared" si="989"/>
        <v/>
      </c>
      <c r="BN172" t="str">
        <f t="shared" si="990"/>
        <v/>
      </c>
      <c r="BO172" t="str">
        <f t="shared" si="991"/>
        <v/>
      </c>
      <c r="BP172" t="str">
        <f t="shared" si="992"/>
        <v/>
      </c>
      <c r="BQ172" t="str">
        <f t="shared" si="993"/>
        <v/>
      </c>
      <c r="BR172" t="str">
        <f t="shared" si="994"/>
        <v/>
      </c>
      <c r="BS172" t="str">
        <f t="shared" si="995"/>
        <v/>
      </c>
      <c r="BT172" t="str">
        <f t="shared" si="996"/>
        <v/>
      </c>
      <c r="BU172" t="str">
        <f t="shared" si="997"/>
        <v/>
      </c>
      <c r="BV172" t="str">
        <f t="shared" si="998"/>
        <v/>
      </c>
      <c r="BW172" t="str">
        <f t="shared" si="999"/>
        <v/>
      </c>
      <c r="BX172" t="str">
        <f t="shared" si="1000"/>
        <v/>
      </c>
      <c r="BY172" t="str">
        <f t="shared" si="1001"/>
        <v/>
      </c>
      <c r="BZ172" t="str">
        <f t="shared" si="1002"/>
        <v/>
      </c>
      <c r="CA172" t="str">
        <f t="shared" si="1003"/>
        <v/>
      </c>
      <c r="CB172" t="str">
        <f t="shared" si="1004"/>
        <v/>
      </c>
      <c r="CC172" t="str">
        <f t="shared" si="1005"/>
        <v/>
      </c>
      <c r="CD172" t="str">
        <f t="shared" si="1006"/>
        <v/>
      </c>
      <c r="CE172" t="str">
        <f t="shared" si="1007"/>
        <v/>
      </c>
      <c r="CF172" t="str">
        <f t="shared" si="1008"/>
        <v/>
      </c>
      <c r="CG172" t="str">
        <f t="shared" si="1009"/>
        <v/>
      </c>
      <c r="CH172" t="str">
        <f t="shared" si="1318"/>
        <v/>
      </c>
      <c r="CI172" t="str">
        <f t="shared" si="1319"/>
        <v/>
      </c>
      <c r="CJ172" t="str">
        <f>IF($CI172="","",IF(OR($DW172="",$DX172=""),"ONZEKER",IF(OR($CF172="",$CG172=""),"ONZEKER",IF(AND($DW172=$CF172+1,$DX172=$CG172),IF(OR(COUNTIF(#REF!,$B172)&gt;0,COUNTIF(#REF!,$B172)=0),"SKIP",IF(COUNTIFS(#REF!,$B172,#REF!,$CI172)&gt;0,"OK","ONBEKEND")),IF(AND($DW172=$CF172,$DX172=$CG172+1),IF(OR(COUNTIF(#REF!,$D172)&gt;0,COUNTIF(#REF!,$D172)=0),"SKIP",IF(COUNTIFS(#REF!,$D172,#REF!,$CI172)&gt;0,"OK","ONBEKEND")),"ONZEKER")))))</f>
        <v/>
      </c>
      <c r="CK172" t="str">
        <f t="shared" si="1320"/>
        <v/>
      </c>
      <c r="CL172" t="str">
        <f t="shared" si="1321"/>
        <v/>
      </c>
      <c r="CM172" t="str">
        <f>IF($CL172="","",IF(OR($DZ172="",$EA172=""),"ONZEKER",IF(OR($DW172="",$DX172=""),"ONZEKER",IF(AND($DZ172=$DW172+1,$EA172=$DX172),IF(OR(COUNTIF(#REF!,$B172)&gt;0,COUNTIF(#REF!,$B172)=0),"SKIP",IF(COUNTIFS(#REF!,$B172,#REF!,$CL172)&gt;0,"OK","ONBEKEND")),IF(AND($DZ172=$DW172,$EA172=$DX172+1),IF(OR(COUNTIF(#REF!,$D172)&gt;0,COUNTIF(#REF!,$D172)=0),"SKIP",IF(COUNTIFS(#REF!,$D172,#REF!,$CL172)&gt;0,"OK","ONBEKEND")),"ONZEKER")))))</f>
        <v/>
      </c>
      <c r="CN172" t="str">
        <f t="shared" si="1322"/>
        <v/>
      </c>
      <c r="CO172" t="str">
        <f t="shared" si="1323"/>
        <v/>
      </c>
      <c r="CP172" t="str">
        <f>IF($CO172="","",IF(OR($EC172="",$ED172=""),"ONZEKER",IF(OR($DZ172="",$EA172=""),"ONZEKER",IF(AND($EC172=$DZ172+1,$ED172=$EA172),IF(OR(COUNTIF(#REF!,$B172)&gt;0,COUNTIF(#REF!,$B172)=0),"SKIP",IF(COUNTIFS(#REF!,$B172,#REF!,$CO172)&gt;0,"OK","ONBEKEND")),IF(AND($EC172=$DZ172,$ED172=$EA172+1),IF(OR(COUNTIF(#REF!,$D172)&gt;0,COUNTIF(#REF!,$D172)=0),"SKIP",IF(COUNTIFS(#REF!,$D172,#REF!,$CO172)&gt;0,"OK","ONBEKEND")),"ONZEKER")))))</f>
        <v/>
      </c>
      <c r="CQ172" t="str">
        <f t="shared" si="1324"/>
        <v/>
      </c>
      <c r="CR172" t="str">
        <f t="shared" si="1325"/>
        <v/>
      </c>
      <c r="CS172" t="str">
        <f>IF($CR172="","",IF(OR($EF172="",$EG172=""),"ONZEKER",IF(OR($EC172="",$ED172=""),"ONZEKER",IF(AND($EF172=$EC172+1,$EG172=$ED172),IF(OR(COUNTIF(#REF!,$B172)&gt;0,COUNTIF(#REF!,$B172)=0),"SKIP",IF(COUNTIFS(#REF!,$B172,#REF!,$CR172)&gt;0,"OK","ONBEKEND")),IF(AND($EF172=$EC172,$EG172=$ED172+1),IF(OR(COUNTIF(#REF!,$D172)&gt;0,COUNTIF(#REF!,$D172)=0),"SKIP",IF(COUNTIFS(#REF!,$D172,#REF!,$CR172)&gt;0,"OK","ONBEKEND")),"ONZEKER")))))</f>
        <v/>
      </c>
      <c r="CT172" t="str">
        <f t="shared" si="1326"/>
        <v/>
      </c>
      <c r="CU172" t="str">
        <f t="shared" si="1327"/>
        <v/>
      </c>
      <c r="CV172" t="str">
        <f>IF($CU172="","",IF(OR($EI172="",$EJ172=""),"ONZEKER",IF(OR($EF172="",$EG172=""),"ONZEKER",IF(AND($EI172=$EF172+1,$EJ172=$EG172),IF(OR(COUNTIF(#REF!,$B172)&gt;0,COUNTIF(#REF!,$B172)=0),"SKIP",IF(COUNTIFS(#REF!,$B172,#REF!,$CU172)&gt;0,"OK","ONBEKEND")),IF(AND($EI172=$EF172,$EJ172=$EG172+1),IF(OR(COUNTIF(#REF!,$D172)&gt;0,COUNTIF(#REF!,$D172)=0),"SKIP",IF(COUNTIFS(#REF!,$D172,#REF!,$CU172)&gt;0,"OK","ONBEKEND")),"ONZEKER")))))</f>
        <v/>
      </c>
      <c r="CW172" t="str">
        <f t="shared" si="1328"/>
        <v/>
      </c>
      <c r="CX172" t="str">
        <f t="shared" si="1329"/>
        <v/>
      </c>
      <c r="CY172" t="str">
        <f>IF($CX172="","",IF(OR($EL172="",$EM172=""),"ONZEKER",IF(OR($EI172="",$EJ172=""),"ONZEKER",IF(AND($EL172=$EI172+1,$EM172=$EJ172),IF(OR(COUNTIF(#REF!,$B172)&gt;0,COUNTIF(#REF!,$B172)=0),"SKIP",IF(COUNTIFS(#REF!,$B172,#REF!,$CX172)&gt;0,"OK","ONBEKEND")),IF(AND($EL172=$EI172,$EM172=$EJ172+1),IF(OR(COUNTIF(#REF!,$D172)&gt;0,COUNTIF(#REF!,$D172)=0),"SKIP",IF(COUNTIFS(#REF!,$D172,#REF!,$CX172)&gt;0,"OK","ONBEKEND")),"ONZEKER")))))</f>
        <v/>
      </c>
      <c r="CZ172" t="str">
        <f t="shared" si="1330"/>
        <v/>
      </c>
      <c r="DA172" t="str">
        <f t="shared" si="1331"/>
        <v/>
      </c>
      <c r="DB172" t="str">
        <f>IF($DA172="","",IF(OR($EO172="",$EP172=""),"ONZEKER",IF(OR($EL172="",$EM172=""),"ONZEKER",IF(AND($EO172=$EL172+1,$EP172=$EM172),IF(OR(COUNTIF(#REF!,$B172)&gt;0,COUNTIF(#REF!,$B172)=0),"SKIP",IF(COUNTIFS(#REF!,$B172,#REF!,$DA172)&gt;0,"OK","ONBEKEND")),IF(AND($EO172=$EL172,$EP172=$EM172+1),IF(OR(COUNTIF(#REF!,$D172)&gt;0,COUNTIF(#REF!,$D172)=0),"SKIP",IF(COUNTIFS(#REF!,$D172,#REF!,$DA172)&gt;0,"OK","ONBEKEND")),"ONZEKER")))))</f>
        <v/>
      </c>
      <c r="DC172" t="str">
        <f t="shared" si="1332"/>
        <v/>
      </c>
      <c r="DD172" t="str">
        <f t="shared" si="1333"/>
        <v/>
      </c>
      <c r="DE172" t="str">
        <f>IF($DD172="","",IF(OR($ER172="",$ES172=""),"ONZEKER",IF(OR($EO172="",$EP172=""),"ONZEKER",IF(AND($ER172=$EO172+1,$ES172=$EP172),IF(OR(COUNTIF(#REF!,$B172)&gt;0,COUNTIF(#REF!,$B172)=0),"SKIP",IF(COUNTIFS(#REF!,$B172,#REF!,$DD172)&gt;0,"OK","ONBEKEND")),IF(AND($ER172=$EO172,$ES172=$EP172+1),IF(OR(COUNTIF(#REF!,$D172)&gt;0,COUNTIF(#REF!,$D172)=0),"SKIP",IF(COUNTIFS(#REF!,$D172,#REF!,$DD172)&gt;0,"OK","ONBEKEND")),"ONZEKER")))))</f>
        <v/>
      </c>
      <c r="DF172" t="str">
        <f t="shared" si="1334"/>
        <v/>
      </c>
      <c r="DG172" t="str">
        <f t="shared" si="1335"/>
        <v/>
      </c>
      <c r="DH172" t="str">
        <f>IF($DG172="","",IF(OR($EU172="",$EV172=""),"ONZEKER",IF(OR($ER172="",$ES172=""),"ONZEKER",IF(AND($EU172=$ER172+1,$EV172=$ES172),IF(OR(COUNTIF(#REF!,$B172)&gt;0,COUNTIF(#REF!,$B172)=0),"SKIP",IF(COUNTIFS(#REF!,$B172,#REF!,$DG172)&gt;0,"OK","ONBEKEND")),IF(AND($EU172=$ER172,$EV172=$ES172+1),IF(OR(COUNTIF(#REF!,$D172)&gt;0,COUNTIF(#REF!,$D172)=0),"SKIP",IF(COUNTIFS(#REF!,$D172,#REF!,$DG172)&gt;0,"OK","ONBEKEND")),"ONZEKER")))))</f>
        <v/>
      </c>
      <c r="DI172" t="str">
        <f t="shared" si="1336"/>
        <v/>
      </c>
      <c r="DJ172" t="str">
        <f t="shared" si="1337"/>
        <v/>
      </c>
      <c r="DK172" t="str">
        <f>IF($DJ172="","",IF(OR($EX172="",$EY172=""),"ONZEKER",IF(OR($EU172="",$EV172=""),"ONZEKER",IF(AND($EX172=$EU172+1,$EY172=$EV172),IF(OR(COUNTIF(#REF!,$B172)&gt;0,COUNTIF(#REF!,$B172)=0),"SKIP",IF(COUNTIFS(#REF!,$B172,#REF!,$DJ172)&gt;0,"OK","ONBEKEND")),IF(AND($EX172=$EU172,$EY172=$EV172+1),IF(OR(COUNTIF(#REF!,$D172)&gt;0,COUNTIF(#REF!,$D172)=0),"SKIP",IF(COUNTIFS(#REF!,$D172,#REF!,$DJ172)&gt;0,"OK","ONBEKEND")),"ONZEKER")))))</f>
        <v/>
      </c>
      <c r="DL172" t="str">
        <f t="shared" si="1338"/>
        <v/>
      </c>
      <c r="DM172" t="str">
        <f t="shared" si="1339"/>
        <v/>
      </c>
      <c r="DN172" t="str">
        <f t="shared" si="1340"/>
        <v/>
      </c>
      <c r="DO172" t="str">
        <f t="shared" si="1341"/>
        <v/>
      </c>
      <c r="DP172" t="str">
        <f t="shared" si="1342"/>
        <v/>
      </c>
      <c r="DQ172" t="str">
        <f t="shared" si="1343"/>
        <v/>
      </c>
      <c r="DR172" t="str">
        <f t="shared" si="1344"/>
        <v/>
      </c>
      <c r="DS172" t="str">
        <f t="shared" si="1345"/>
        <v/>
      </c>
      <c r="DT172" t="str">
        <f t="shared" si="1346"/>
        <v/>
      </c>
      <c r="DU172" t="str">
        <f t="shared" si="1347"/>
        <v/>
      </c>
      <c r="DV172" t="str">
        <f t="shared" si="1348"/>
        <v/>
      </c>
      <c r="DW172" t="str">
        <f t="shared" si="1349"/>
        <v/>
      </c>
      <c r="DX172" t="str">
        <f t="shared" si="1350"/>
        <v/>
      </c>
      <c r="DY172" t="str">
        <f t="shared" si="1351"/>
        <v/>
      </c>
      <c r="DZ172" t="str">
        <f t="shared" si="1352"/>
        <v/>
      </c>
      <c r="EA172" t="str">
        <f t="shared" si="1353"/>
        <v/>
      </c>
      <c r="EB172" t="str">
        <f t="shared" si="1354"/>
        <v/>
      </c>
      <c r="EC172" t="str">
        <f t="shared" si="1355"/>
        <v/>
      </c>
      <c r="ED172" t="str">
        <f t="shared" si="1356"/>
        <v/>
      </c>
      <c r="EE172" t="str">
        <f t="shared" si="1357"/>
        <v/>
      </c>
      <c r="EF172" t="str">
        <f t="shared" si="1358"/>
        <v/>
      </c>
      <c r="EG172" t="str">
        <f t="shared" si="1359"/>
        <v/>
      </c>
      <c r="EH172" t="str">
        <f t="shared" si="1360"/>
        <v/>
      </c>
      <c r="EI172" t="str">
        <f t="shared" si="1361"/>
        <v/>
      </c>
      <c r="EJ172" t="str">
        <f t="shared" si="1362"/>
        <v/>
      </c>
      <c r="EK172" t="str">
        <f t="shared" si="1363"/>
        <v/>
      </c>
      <c r="EL172" t="str">
        <f t="shared" si="1364"/>
        <v/>
      </c>
      <c r="EM172" t="str">
        <f t="shared" si="1365"/>
        <v/>
      </c>
      <c r="EN172" t="str">
        <f t="shared" si="1366"/>
        <v/>
      </c>
      <c r="EO172" t="str">
        <f t="shared" si="1367"/>
        <v/>
      </c>
      <c r="EP172" t="str">
        <f t="shared" si="1368"/>
        <v/>
      </c>
      <c r="EQ172" t="str">
        <f t="shared" si="1369"/>
        <v/>
      </c>
      <c r="ER172" t="str">
        <f t="shared" si="1370"/>
        <v/>
      </c>
      <c r="ES172" t="str">
        <f t="shared" si="1371"/>
        <v/>
      </c>
      <c r="ET172" t="str">
        <f t="shared" si="1372"/>
        <v/>
      </c>
      <c r="EU172" t="str">
        <f t="shared" si="1373"/>
        <v/>
      </c>
      <c r="EV172" t="str">
        <f t="shared" si="1374"/>
        <v/>
      </c>
      <c r="EW172" t="str">
        <f t="shared" si="1375"/>
        <v/>
      </c>
      <c r="EX172" t="str">
        <f t="shared" si="1376"/>
        <v/>
      </c>
      <c r="EY172" t="str">
        <f t="shared" si="1377"/>
        <v/>
      </c>
    </row>
    <row r="173" spans="1:155" ht="13.9" customHeight="1" x14ac:dyDescent="0.25">
      <c r="A173" s="7"/>
      <c r="B173" s="17"/>
      <c r="C173" s="8"/>
      <c r="D173" s="17"/>
      <c r="E173" s="8"/>
      <c r="F173" s="18">
        <v>0</v>
      </c>
      <c r="G173" s="7" t="s">
        <v>147</v>
      </c>
      <c r="H173" s="18">
        <v>0</v>
      </c>
      <c r="I173" s="19">
        <v>0</v>
      </c>
      <c r="J173" s="7" t="s">
        <v>147</v>
      </c>
      <c r="K173" s="19">
        <v>0</v>
      </c>
      <c r="L173" s="9"/>
      <c r="M173" s="3" t="str">
        <f>IF($L173="","",IF($L173="DOELPUNTENMAKERS","",IF(AND(COUNTIF(#REF!,$B173)=0,COUNTIF(#REF!,$D173)=0),"OK",IF($O173&gt;20,"LET OP: meer dan 20 items (controle onvolledig)",IF((COUNTIF($R173:$AS173,"ONZEKER")+COUNTIF($CJ173:$DK173,"ONZEKER"))&gt;0,"LET OP: scoreverloop onduidelijk (controle beperkt)",IF((IF($AT173&lt;&gt;"",$AT173&amp;", ","")&amp;IF($AU173&lt;&gt;"",$AU173&amp;", ","")&amp;IF($AV173&lt;&gt;"",$AV173&amp;", ","")&amp;IF($AW173&lt;&gt;"",$AW173&amp;", ","")&amp;IF($AX173&lt;&gt;"",$AX173&amp;", ","")&amp;IF($AY173&lt;&gt;"",$AY173&amp;", ","")&amp;IF($AZ173&lt;&gt;"",$AZ173&amp;", ","")&amp;IF($BA173&lt;&gt;"",$BA173&amp;", ","")&amp;IF($BB173&lt;&gt;"",$BB173&amp;", ","")&amp;IF($BC173&lt;&gt;"",$BC173&amp;", ","")&amp;IF($DL173&lt;&gt;"",$DL173&amp;", ","")&amp;IF($DM173&lt;&gt;"",$DM173&amp;", ","")&amp;IF($DN173&lt;&gt;"",$DN173&amp;", ","")&amp;IF($DO173&lt;&gt;"",$DO173&amp;", ","")&amp;IF($DP173&lt;&gt;"",$DP173&amp;", ","")&amp;IF($DQ173&lt;&gt;"",$DQ173&amp;", ","")&amp;IF($DR173&lt;&gt;"",$DR173&amp;", ","")&amp;IF($DS173&lt;&gt;"",$DS173&amp;", ","")&amp;IF($DT173&lt;&gt;"",$DT173&amp;", ","")&amp;IF($DU173&lt;&gt;"",$DU173&amp;", ",""))="","OK","Onbekend: "&amp;LEFT((IF($AT173&lt;&gt;"",$AT173&amp;", ","")&amp;IF($AU173&lt;&gt;"",$AU173&amp;", ","")&amp;IF($AV173&lt;&gt;"",$AV173&amp;", ","")&amp;IF($AW173&lt;&gt;"",$AW173&amp;", ","")&amp;IF($AX173&lt;&gt;"",$AX173&amp;", ","")&amp;IF($AY173&lt;&gt;"",$AY173&amp;", ","")&amp;IF($AZ173&lt;&gt;"",$AZ173&amp;", ","")&amp;IF($BA173&lt;&gt;"",$BA173&amp;", ","")&amp;IF($BB173&lt;&gt;"",$BB173&amp;", ","")&amp;IF($BC173&lt;&gt;"",$BC173&amp;", ","")&amp;IF($DL173&lt;&gt;"",$DL173&amp;", ","")&amp;IF($DM173&lt;&gt;"",$DM173&amp;", ","")&amp;IF($DN173&lt;&gt;"",$DN173&amp;", ","")&amp;IF($DO173&lt;&gt;"",$DO173&amp;", ","")&amp;IF($DP173&lt;&gt;"",$DP173&amp;", ","")&amp;IF($DQ173&lt;&gt;"",$DQ173&amp;", ","")&amp;IF($DR173&lt;&gt;"",$DR173&amp;", ","")&amp;IF($DS173&lt;&gt;"",$DS173&amp;", ","")&amp;IF($DT173&lt;&gt;"",$DT173&amp;", ","")&amp;IF($DU173&lt;&gt;"",$DU173&amp;", ","")),LEN((IF($AT173&lt;&gt;"",$AT173&amp;", ","")&amp;IF($AU173&lt;&gt;"",$AU173&amp;", ","")&amp;IF($AV173&lt;&gt;"",$AV173&amp;", ","")&amp;IF($AW173&lt;&gt;"",$AW173&amp;", ","")&amp;IF($AX173&lt;&gt;"",$AX173&amp;", ","")&amp;IF($AY173&lt;&gt;"",$AY173&amp;", ","")&amp;IF($AZ173&lt;&gt;"",$AZ173&amp;", ","")&amp;IF($BA173&lt;&gt;"",$BA173&amp;", ","")&amp;IF($BB173&lt;&gt;"",$BB173&amp;", ","")&amp;IF($BC173&lt;&gt;"",$BC173&amp;", ","")&amp;IF($DL173&lt;&gt;"",$DL173&amp;", ","")&amp;IF($DM173&lt;&gt;"",$DM173&amp;", ","")&amp;IF($DN173&lt;&gt;"",$DN173&amp;", ","")&amp;IF($DO173&lt;&gt;"",$DO173&amp;", ","")&amp;IF($DP173&lt;&gt;"",$DP173&amp;", ","")&amp;IF($DQ173&lt;&gt;"",$DQ173&amp;", ","")&amp;IF($DR173&lt;&gt;"",$DR173&amp;", ","")&amp;IF($DS173&lt;&gt;"",$DS173&amp;", ","")&amp;IF($DT173&lt;&gt;"",$DT173&amp;", ","")&amp;IF($DU173&lt;&gt;"",$DU173&amp;", ","")))-2)))))))</f>
        <v/>
      </c>
      <c r="N173" t="str">
        <f t="shared" si="1286"/>
        <v/>
      </c>
      <c r="O173" t="str">
        <f t="shared" si="1287"/>
        <v/>
      </c>
      <c r="P173" t="str">
        <f t="shared" si="1288"/>
        <v/>
      </c>
      <c r="Q173" t="str">
        <f t="shared" si="1289"/>
        <v/>
      </c>
      <c r="R173" t="str">
        <f>IF($Q173="","",IF(OR($BE173="",$BF173=""),"ONZEKER",IF(AND($BE173=0+1,$BF173=0),IF(OR(COUNTIF(#REF!,$B173)&gt;0,COUNTIF(#REF!,$B173)=0),"SKIP",IF(COUNTIFS(#REF!,$B173,#REF!,$Q173)&gt;0,"OK","ONBEKEND")),IF(AND($BE173=0,$BF173=0+1),IF(OR(COUNTIF(#REF!,$D173)&gt;0,COUNTIF(#REF!,$D173)=0),"SKIP",IF(COUNTIFS(#REF!,$D173,#REF!,$Q173)&gt;0,"OK","ONBEKEND")),"ONZEKER"))))</f>
        <v/>
      </c>
      <c r="S173" t="str">
        <f t="shared" si="1290"/>
        <v/>
      </c>
      <c r="T173" t="str">
        <f t="shared" si="1291"/>
        <v/>
      </c>
      <c r="U173" t="str">
        <f>IF($T173="","",IF(OR($BH173="",$BI173=""),"ONZEKER",IF(OR($BE173="",$BF173=""),"ONZEKER",IF(AND($BH173=$BE173+1,$BI173=$BF173),IF(OR(COUNTIF(#REF!,$B173)&gt;0,COUNTIF(#REF!,$B173)=0),"SKIP",IF(COUNTIFS(#REF!,$B173,#REF!,$T173)&gt;0,"OK","ONBEKEND")),IF(AND($BH173=$BE173,$BI173=$BF173+1),IF(OR(COUNTIF(#REF!,$D173)&gt;0,COUNTIF(#REF!,$D173)=0),"SKIP",IF(COUNTIFS(#REF!,$D173,#REF!,$T173)&gt;0,"OK","ONBEKEND")),"ONZEKER")))))</f>
        <v/>
      </c>
      <c r="V173" t="str">
        <f t="shared" si="1292"/>
        <v/>
      </c>
      <c r="W173" t="str">
        <f t="shared" si="1293"/>
        <v/>
      </c>
      <c r="X173" t="str">
        <f>IF($W173="","",IF(OR($BK173="",$BL173=""),"ONZEKER",IF(OR($BH173="",$BI173=""),"ONZEKER",IF(AND($BK173=$BH173+1,$BL173=$BI173),IF(OR(COUNTIF(#REF!,$B173)&gt;0,COUNTIF(#REF!,$B173)=0),"SKIP",IF(COUNTIFS(#REF!,$B173,#REF!,$W173)&gt;0,"OK","ONBEKEND")),IF(AND($BK173=$BH173,$BL173=$BI173+1),IF(OR(COUNTIF(#REF!,$D173)&gt;0,COUNTIF(#REF!,$D173)=0),"SKIP",IF(COUNTIFS(#REF!,$D173,#REF!,$W173)&gt;0,"OK","ONBEKEND")),"ONZEKER")))))</f>
        <v/>
      </c>
      <c r="Y173" t="str">
        <f t="shared" si="1294"/>
        <v/>
      </c>
      <c r="Z173" t="str">
        <f t="shared" si="1295"/>
        <v/>
      </c>
      <c r="AA173" t="str">
        <f>IF($Z173="","",IF(OR($BN173="",$BO173=""),"ONZEKER",IF(OR($BK173="",$BL173=""),"ONZEKER",IF(AND($BN173=$BK173+1,$BO173=$BL173),IF(OR(COUNTIF(#REF!,$B173)&gt;0,COUNTIF(#REF!,$B173)=0),"SKIP",IF(COUNTIFS(#REF!,$B173,#REF!,$Z173)&gt;0,"OK","ONBEKEND")),IF(AND($BN173=$BK173,$BO173=$BL173+1),IF(OR(COUNTIF(#REF!,$D173)&gt;0,COUNTIF(#REF!,$D173)=0),"SKIP",IF(COUNTIFS(#REF!,$D173,#REF!,$Z173)&gt;0,"OK","ONBEKEND")),"ONZEKER")))))</f>
        <v/>
      </c>
      <c r="AB173" t="str">
        <f t="shared" si="1296"/>
        <v/>
      </c>
      <c r="AC173" t="str">
        <f t="shared" si="1297"/>
        <v/>
      </c>
      <c r="AD173" t="str">
        <f>IF($AC173="","",IF(OR($BQ173="",$BR173=""),"ONZEKER",IF(OR($BN173="",$BO173=""),"ONZEKER",IF(AND($BQ173=$BN173+1,$BR173=$BO173),IF(OR(COUNTIF(#REF!,$B173)&gt;0,COUNTIF(#REF!,$B173)=0),"SKIP",IF(COUNTIFS(#REF!,$B173,#REF!,$AC173)&gt;0,"OK","ONBEKEND")),IF(AND($BQ173=$BN173,$BR173=$BO173+1),IF(OR(COUNTIF(#REF!,$D173)&gt;0,COUNTIF(#REF!,$D173)=0),"SKIP",IF(COUNTIFS(#REF!,$D173,#REF!,$AC173)&gt;0,"OK","ONBEKEND")),"ONZEKER")))))</f>
        <v/>
      </c>
      <c r="AE173" t="str">
        <f t="shared" si="1298"/>
        <v/>
      </c>
      <c r="AF173" t="str">
        <f t="shared" si="1299"/>
        <v/>
      </c>
      <c r="AG173" t="str">
        <f>IF($AF173="","",IF(OR($BT173="",$BU173=""),"ONZEKER",IF(OR($BQ173="",$BR173=""),"ONZEKER",IF(AND($BT173=$BQ173+1,$BU173=$BR173),IF(OR(COUNTIF(#REF!,$B173)&gt;0,COUNTIF(#REF!,$B173)=0),"SKIP",IF(COUNTIFS(#REF!,$B173,#REF!,$AF173)&gt;0,"OK","ONBEKEND")),IF(AND($BT173=$BQ173,$BU173=$BR173+1),IF(OR(COUNTIF(#REF!,$D173)&gt;0,COUNTIF(#REF!,$D173)=0),"SKIP",IF(COUNTIFS(#REF!,$D173,#REF!,$AF173)&gt;0,"OK","ONBEKEND")),"ONZEKER")))))</f>
        <v/>
      </c>
      <c r="AH173" t="str">
        <f t="shared" si="1300"/>
        <v/>
      </c>
      <c r="AI173" t="str">
        <f t="shared" si="1301"/>
        <v/>
      </c>
      <c r="AJ173" t="str">
        <f>IF($AI173="","",IF(OR($BW173="",$BX173=""),"ONZEKER",IF(OR($BT173="",$BU173=""),"ONZEKER",IF(AND($BW173=$BT173+1,$BX173=$BU173),IF(OR(COUNTIF(#REF!,$B173)&gt;0,COUNTIF(#REF!,$B173)=0),"SKIP",IF(COUNTIFS(#REF!,$B173,#REF!,$AI173)&gt;0,"OK","ONBEKEND")),IF(AND($BW173=$BT173,$BX173=$BU173+1),IF(OR(COUNTIF(#REF!,$D173)&gt;0,COUNTIF(#REF!,$D173)=0),"SKIP",IF(COUNTIFS(#REF!,$D173,#REF!,$AI173)&gt;0,"OK","ONBEKEND")),"ONZEKER")))))</f>
        <v/>
      </c>
      <c r="AK173" t="str">
        <f t="shared" si="1302"/>
        <v/>
      </c>
      <c r="AL173" t="str">
        <f t="shared" si="1303"/>
        <v/>
      </c>
      <c r="AM173" t="str">
        <f>IF($AL173="","",IF(OR($BZ173="",$CA173=""),"ONZEKER",IF(OR($BW173="",$BX173=""),"ONZEKER",IF(AND($BZ173=$BW173+1,$CA173=$BX173),IF(OR(COUNTIF(#REF!,$B173)&gt;0,COUNTIF(#REF!,$B173)=0),"SKIP",IF(COUNTIFS(#REF!,$B173,#REF!,$AL173)&gt;0,"OK","ONBEKEND")),IF(AND($BZ173=$BW173,$CA173=$BX173+1),IF(OR(COUNTIF(#REF!,$D173)&gt;0,COUNTIF(#REF!,$D173)=0),"SKIP",IF(COUNTIFS(#REF!,$D173,#REF!,$AL173)&gt;0,"OK","ONBEKEND")),"ONZEKER")))))</f>
        <v/>
      </c>
      <c r="AN173" t="str">
        <f t="shared" si="1304"/>
        <v/>
      </c>
      <c r="AO173" t="str">
        <f t="shared" si="1305"/>
        <v/>
      </c>
      <c r="AP173" t="str">
        <f>IF($AO173="","",IF(OR($CC173="",$CD173=""),"ONZEKER",IF(OR($BZ173="",$CA173=""),"ONZEKER",IF(AND($CC173=$BZ173+1,$CD173=$CA173),IF(OR(COUNTIF(#REF!,$B173)&gt;0,COUNTIF(#REF!,$B173)=0),"SKIP",IF(COUNTIFS(#REF!,$B173,#REF!,$AO173)&gt;0,"OK","ONBEKEND")),IF(AND($CC173=$BZ173,$CD173=$CA173+1),IF(OR(COUNTIF(#REF!,$D173)&gt;0,COUNTIF(#REF!,$D173)=0),"SKIP",IF(COUNTIFS(#REF!,$D173,#REF!,$AO173)&gt;0,"OK","ONBEKEND")),"ONZEKER")))))</f>
        <v/>
      </c>
      <c r="AQ173" t="str">
        <f t="shared" si="1306"/>
        <v/>
      </c>
      <c r="AR173" t="str">
        <f t="shared" si="1307"/>
        <v/>
      </c>
      <c r="AS173" t="str">
        <f>IF($AR173="","",IF(OR($CF173="",$CG173=""),"ONZEKER",IF(OR($CC173="",$CD173=""),"ONZEKER",IF(AND($CF173=$CC173+1,$CG173=$CD173),IF(OR(COUNTIF(#REF!,$B173)&gt;0,COUNTIF(#REF!,$B173)=0),"SKIP",IF(COUNTIFS(#REF!,$B173,#REF!,$AR173)&gt;0,"OK","ONBEKEND")),IF(AND($CF173=$CC173,$CG173=$CD173+1),IF(OR(COUNTIF(#REF!,$D173)&gt;0,COUNTIF(#REF!,$D173)=0),"SKIP",IF(COUNTIFS(#REF!,$D173,#REF!,$AR173)&gt;0,"OK","ONBEKEND")),"ONZEKER")))))</f>
        <v/>
      </c>
      <c r="AT173" t="str">
        <f t="shared" si="1308"/>
        <v/>
      </c>
      <c r="AU173" t="str">
        <f t="shared" si="1309"/>
        <v/>
      </c>
      <c r="AV173" t="str">
        <f t="shared" si="1310"/>
        <v/>
      </c>
      <c r="AW173" t="str">
        <f t="shared" si="1311"/>
        <v/>
      </c>
      <c r="AX173" t="str">
        <f t="shared" si="1312"/>
        <v/>
      </c>
      <c r="AY173" t="str">
        <f t="shared" si="1313"/>
        <v/>
      </c>
      <c r="AZ173" t="str">
        <f t="shared" si="1314"/>
        <v/>
      </c>
      <c r="BA173" t="str">
        <f t="shared" si="1315"/>
        <v/>
      </c>
      <c r="BB173" t="str">
        <f t="shared" si="1316"/>
        <v/>
      </c>
      <c r="BC173" t="str">
        <f t="shared" si="1317"/>
        <v/>
      </c>
      <c r="BD173" t="str">
        <f t="shared" si="980"/>
        <v/>
      </c>
      <c r="BE173" t="str">
        <f t="shared" si="981"/>
        <v/>
      </c>
      <c r="BF173" t="str">
        <f t="shared" si="982"/>
        <v/>
      </c>
      <c r="BG173" t="str">
        <f t="shared" si="983"/>
        <v/>
      </c>
      <c r="BH173" t="str">
        <f t="shared" si="984"/>
        <v/>
      </c>
      <c r="BI173" t="str">
        <f t="shared" si="985"/>
        <v/>
      </c>
      <c r="BJ173" t="str">
        <f t="shared" si="986"/>
        <v/>
      </c>
      <c r="BK173" t="str">
        <f t="shared" si="987"/>
        <v/>
      </c>
      <c r="BL173" t="str">
        <f t="shared" si="988"/>
        <v/>
      </c>
      <c r="BM173" t="str">
        <f t="shared" si="989"/>
        <v/>
      </c>
      <c r="BN173" t="str">
        <f t="shared" si="990"/>
        <v/>
      </c>
      <c r="BO173" t="str">
        <f t="shared" si="991"/>
        <v/>
      </c>
      <c r="BP173" t="str">
        <f t="shared" si="992"/>
        <v/>
      </c>
      <c r="BQ173" t="str">
        <f t="shared" si="993"/>
        <v/>
      </c>
      <c r="BR173" t="str">
        <f t="shared" si="994"/>
        <v/>
      </c>
      <c r="BS173" t="str">
        <f t="shared" si="995"/>
        <v/>
      </c>
      <c r="BT173" t="str">
        <f t="shared" si="996"/>
        <v/>
      </c>
      <c r="BU173" t="str">
        <f t="shared" si="997"/>
        <v/>
      </c>
      <c r="BV173" t="str">
        <f t="shared" si="998"/>
        <v/>
      </c>
      <c r="BW173" t="str">
        <f t="shared" si="999"/>
        <v/>
      </c>
      <c r="BX173" t="str">
        <f t="shared" si="1000"/>
        <v/>
      </c>
      <c r="BY173" t="str">
        <f t="shared" si="1001"/>
        <v/>
      </c>
      <c r="BZ173" t="str">
        <f t="shared" si="1002"/>
        <v/>
      </c>
      <c r="CA173" t="str">
        <f t="shared" si="1003"/>
        <v/>
      </c>
      <c r="CB173" t="str">
        <f t="shared" si="1004"/>
        <v/>
      </c>
      <c r="CC173" t="str">
        <f t="shared" si="1005"/>
        <v/>
      </c>
      <c r="CD173" t="str">
        <f t="shared" si="1006"/>
        <v/>
      </c>
      <c r="CE173" t="str">
        <f t="shared" si="1007"/>
        <v/>
      </c>
      <c r="CF173" t="str">
        <f t="shared" si="1008"/>
        <v/>
      </c>
      <c r="CG173" t="str">
        <f t="shared" si="1009"/>
        <v/>
      </c>
      <c r="CH173" t="str">
        <f t="shared" si="1318"/>
        <v/>
      </c>
      <c r="CI173" t="str">
        <f t="shared" si="1319"/>
        <v/>
      </c>
      <c r="CJ173" t="str">
        <f>IF($CI173="","",IF(OR($DW173="",$DX173=""),"ONZEKER",IF(OR($CF173="",$CG173=""),"ONZEKER",IF(AND($DW173=$CF173+1,$DX173=$CG173),IF(OR(COUNTIF(#REF!,$B173)&gt;0,COUNTIF(#REF!,$B173)=0),"SKIP",IF(COUNTIFS(#REF!,$B173,#REF!,$CI173)&gt;0,"OK","ONBEKEND")),IF(AND($DW173=$CF173,$DX173=$CG173+1),IF(OR(COUNTIF(#REF!,$D173)&gt;0,COUNTIF(#REF!,$D173)=0),"SKIP",IF(COUNTIFS(#REF!,$D173,#REF!,$CI173)&gt;0,"OK","ONBEKEND")),"ONZEKER")))))</f>
        <v/>
      </c>
      <c r="CK173" t="str">
        <f t="shared" si="1320"/>
        <v/>
      </c>
      <c r="CL173" t="str">
        <f t="shared" si="1321"/>
        <v/>
      </c>
      <c r="CM173" t="str">
        <f>IF($CL173="","",IF(OR($DZ173="",$EA173=""),"ONZEKER",IF(OR($DW173="",$DX173=""),"ONZEKER",IF(AND($DZ173=$DW173+1,$EA173=$DX173),IF(OR(COUNTIF(#REF!,$B173)&gt;0,COUNTIF(#REF!,$B173)=0),"SKIP",IF(COUNTIFS(#REF!,$B173,#REF!,$CL173)&gt;0,"OK","ONBEKEND")),IF(AND($DZ173=$DW173,$EA173=$DX173+1),IF(OR(COUNTIF(#REF!,$D173)&gt;0,COUNTIF(#REF!,$D173)=0),"SKIP",IF(COUNTIFS(#REF!,$D173,#REF!,$CL173)&gt;0,"OK","ONBEKEND")),"ONZEKER")))))</f>
        <v/>
      </c>
      <c r="CN173" t="str">
        <f t="shared" si="1322"/>
        <v/>
      </c>
      <c r="CO173" t="str">
        <f t="shared" si="1323"/>
        <v/>
      </c>
      <c r="CP173" t="str">
        <f>IF($CO173="","",IF(OR($EC173="",$ED173=""),"ONZEKER",IF(OR($DZ173="",$EA173=""),"ONZEKER",IF(AND($EC173=$DZ173+1,$ED173=$EA173),IF(OR(COUNTIF(#REF!,$B173)&gt;0,COUNTIF(#REF!,$B173)=0),"SKIP",IF(COUNTIFS(#REF!,$B173,#REF!,$CO173)&gt;0,"OK","ONBEKEND")),IF(AND($EC173=$DZ173,$ED173=$EA173+1),IF(OR(COUNTIF(#REF!,$D173)&gt;0,COUNTIF(#REF!,$D173)=0),"SKIP",IF(COUNTIFS(#REF!,$D173,#REF!,$CO173)&gt;0,"OK","ONBEKEND")),"ONZEKER")))))</f>
        <v/>
      </c>
      <c r="CQ173" t="str">
        <f t="shared" si="1324"/>
        <v/>
      </c>
      <c r="CR173" t="str">
        <f t="shared" si="1325"/>
        <v/>
      </c>
      <c r="CS173" t="str">
        <f>IF($CR173="","",IF(OR($EF173="",$EG173=""),"ONZEKER",IF(OR($EC173="",$ED173=""),"ONZEKER",IF(AND($EF173=$EC173+1,$EG173=$ED173),IF(OR(COUNTIF(#REF!,$B173)&gt;0,COUNTIF(#REF!,$B173)=0),"SKIP",IF(COUNTIFS(#REF!,$B173,#REF!,$CR173)&gt;0,"OK","ONBEKEND")),IF(AND($EF173=$EC173,$EG173=$ED173+1),IF(OR(COUNTIF(#REF!,$D173)&gt;0,COUNTIF(#REF!,$D173)=0),"SKIP",IF(COUNTIFS(#REF!,$D173,#REF!,$CR173)&gt;0,"OK","ONBEKEND")),"ONZEKER")))))</f>
        <v/>
      </c>
      <c r="CT173" t="str">
        <f t="shared" si="1326"/>
        <v/>
      </c>
      <c r="CU173" t="str">
        <f t="shared" si="1327"/>
        <v/>
      </c>
      <c r="CV173" t="str">
        <f>IF($CU173="","",IF(OR($EI173="",$EJ173=""),"ONZEKER",IF(OR($EF173="",$EG173=""),"ONZEKER",IF(AND($EI173=$EF173+1,$EJ173=$EG173),IF(OR(COUNTIF(#REF!,$B173)&gt;0,COUNTIF(#REF!,$B173)=0),"SKIP",IF(COUNTIFS(#REF!,$B173,#REF!,$CU173)&gt;0,"OK","ONBEKEND")),IF(AND($EI173=$EF173,$EJ173=$EG173+1),IF(OR(COUNTIF(#REF!,$D173)&gt;0,COUNTIF(#REF!,$D173)=0),"SKIP",IF(COUNTIFS(#REF!,$D173,#REF!,$CU173)&gt;0,"OK","ONBEKEND")),"ONZEKER")))))</f>
        <v/>
      </c>
      <c r="CW173" t="str">
        <f t="shared" si="1328"/>
        <v/>
      </c>
      <c r="CX173" t="str">
        <f t="shared" si="1329"/>
        <v/>
      </c>
      <c r="CY173" t="str">
        <f>IF($CX173="","",IF(OR($EL173="",$EM173=""),"ONZEKER",IF(OR($EI173="",$EJ173=""),"ONZEKER",IF(AND($EL173=$EI173+1,$EM173=$EJ173),IF(OR(COUNTIF(#REF!,$B173)&gt;0,COUNTIF(#REF!,$B173)=0),"SKIP",IF(COUNTIFS(#REF!,$B173,#REF!,$CX173)&gt;0,"OK","ONBEKEND")),IF(AND($EL173=$EI173,$EM173=$EJ173+1),IF(OR(COUNTIF(#REF!,$D173)&gt;0,COUNTIF(#REF!,$D173)=0),"SKIP",IF(COUNTIFS(#REF!,$D173,#REF!,$CX173)&gt;0,"OK","ONBEKEND")),"ONZEKER")))))</f>
        <v/>
      </c>
      <c r="CZ173" t="str">
        <f t="shared" si="1330"/>
        <v/>
      </c>
      <c r="DA173" t="str">
        <f t="shared" si="1331"/>
        <v/>
      </c>
      <c r="DB173" t="str">
        <f>IF($DA173="","",IF(OR($EO173="",$EP173=""),"ONZEKER",IF(OR($EL173="",$EM173=""),"ONZEKER",IF(AND($EO173=$EL173+1,$EP173=$EM173),IF(OR(COUNTIF(#REF!,$B173)&gt;0,COUNTIF(#REF!,$B173)=0),"SKIP",IF(COUNTIFS(#REF!,$B173,#REF!,$DA173)&gt;0,"OK","ONBEKEND")),IF(AND($EO173=$EL173,$EP173=$EM173+1),IF(OR(COUNTIF(#REF!,$D173)&gt;0,COUNTIF(#REF!,$D173)=0),"SKIP",IF(COUNTIFS(#REF!,$D173,#REF!,$DA173)&gt;0,"OK","ONBEKEND")),"ONZEKER")))))</f>
        <v/>
      </c>
      <c r="DC173" t="str">
        <f t="shared" si="1332"/>
        <v/>
      </c>
      <c r="DD173" t="str">
        <f t="shared" si="1333"/>
        <v/>
      </c>
      <c r="DE173" t="str">
        <f>IF($DD173="","",IF(OR($ER173="",$ES173=""),"ONZEKER",IF(OR($EO173="",$EP173=""),"ONZEKER",IF(AND($ER173=$EO173+1,$ES173=$EP173),IF(OR(COUNTIF(#REF!,$B173)&gt;0,COUNTIF(#REF!,$B173)=0),"SKIP",IF(COUNTIFS(#REF!,$B173,#REF!,$DD173)&gt;0,"OK","ONBEKEND")),IF(AND($ER173=$EO173,$ES173=$EP173+1),IF(OR(COUNTIF(#REF!,$D173)&gt;0,COUNTIF(#REF!,$D173)=0),"SKIP",IF(COUNTIFS(#REF!,$D173,#REF!,$DD173)&gt;0,"OK","ONBEKEND")),"ONZEKER")))))</f>
        <v/>
      </c>
      <c r="DF173" t="str">
        <f t="shared" si="1334"/>
        <v/>
      </c>
      <c r="DG173" t="str">
        <f t="shared" si="1335"/>
        <v/>
      </c>
      <c r="DH173" t="str">
        <f>IF($DG173="","",IF(OR($EU173="",$EV173=""),"ONZEKER",IF(OR($ER173="",$ES173=""),"ONZEKER",IF(AND($EU173=$ER173+1,$EV173=$ES173),IF(OR(COUNTIF(#REF!,$B173)&gt;0,COUNTIF(#REF!,$B173)=0),"SKIP",IF(COUNTIFS(#REF!,$B173,#REF!,$DG173)&gt;0,"OK","ONBEKEND")),IF(AND($EU173=$ER173,$EV173=$ES173+1),IF(OR(COUNTIF(#REF!,$D173)&gt;0,COUNTIF(#REF!,$D173)=0),"SKIP",IF(COUNTIFS(#REF!,$D173,#REF!,$DG173)&gt;0,"OK","ONBEKEND")),"ONZEKER")))))</f>
        <v/>
      </c>
      <c r="DI173" t="str">
        <f t="shared" si="1336"/>
        <v/>
      </c>
      <c r="DJ173" t="str">
        <f t="shared" si="1337"/>
        <v/>
      </c>
      <c r="DK173" t="str">
        <f>IF($DJ173="","",IF(OR($EX173="",$EY173=""),"ONZEKER",IF(OR($EU173="",$EV173=""),"ONZEKER",IF(AND($EX173=$EU173+1,$EY173=$EV173),IF(OR(COUNTIF(#REF!,$B173)&gt;0,COUNTIF(#REF!,$B173)=0),"SKIP",IF(COUNTIFS(#REF!,$B173,#REF!,$DJ173)&gt;0,"OK","ONBEKEND")),IF(AND($EX173=$EU173,$EY173=$EV173+1),IF(OR(COUNTIF(#REF!,$D173)&gt;0,COUNTIF(#REF!,$D173)=0),"SKIP",IF(COUNTIFS(#REF!,$D173,#REF!,$DJ173)&gt;0,"OK","ONBEKEND")),"ONZEKER")))))</f>
        <v/>
      </c>
      <c r="DL173" t="str">
        <f t="shared" si="1338"/>
        <v/>
      </c>
      <c r="DM173" t="str">
        <f t="shared" si="1339"/>
        <v/>
      </c>
      <c r="DN173" t="str">
        <f t="shared" si="1340"/>
        <v/>
      </c>
      <c r="DO173" t="str">
        <f t="shared" si="1341"/>
        <v/>
      </c>
      <c r="DP173" t="str">
        <f t="shared" si="1342"/>
        <v/>
      </c>
      <c r="DQ173" t="str">
        <f t="shared" si="1343"/>
        <v/>
      </c>
      <c r="DR173" t="str">
        <f t="shared" si="1344"/>
        <v/>
      </c>
      <c r="DS173" t="str">
        <f t="shared" si="1345"/>
        <v/>
      </c>
      <c r="DT173" t="str">
        <f t="shared" si="1346"/>
        <v/>
      </c>
      <c r="DU173" t="str">
        <f t="shared" si="1347"/>
        <v/>
      </c>
      <c r="DV173" t="str">
        <f t="shared" si="1348"/>
        <v/>
      </c>
      <c r="DW173" t="str">
        <f t="shared" si="1349"/>
        <v/>
      </c>
      <c r="DX173" t="str">
        <f t="shared" si="1350"/>
        <v/>
      </c>
      <c r="DY173" t="str">
        <f t="shared" si="1351"/>
        <v/>
      </c>
      <c r="DZ173" t="str">
        <f t="shared" si="1352"/>
        <v/>
      </c>
      <c r="EA173" t="str">
        <f t="shared" si="1353"/>
        <v/>
      </c>
      <c r="EB173" t="str">
        <f t="shared" si="1354"/>
        <v/>
      </c>
      <c r="EC173" t="str">
        <f t="shared" si="1355"/>
        <v/>
      </c>
      <c r="ED173" t="str">
        <f t="shared" si="1356"/>
        <v/>
      </c>
      <c r="EE173" t="str">
        <f t="shared" si="1357"/>
        <v/>
      </c>
      <c r="EF173" t="str">
        <f t="shared" si="1358"/>
        <v/>
      </c>
      <c r="EG173" t="str">
        <f t="shared" si="1359"/>
        <v/>
      </c>
      <c r="EH173" t="str">
        <f t="shared" si="1360"/>
        <v/>
      </c>
      <c r="EI173" t="str">
        <f t="shared" si="1361"/>
        <v/>
      </c>
      <c r="EJ173" t="str">
        <f t="shared" si="1362"/>
        <v/>
      </c>
      <c r="EK173" t="str">
        <f t="shared" si="1363"/>
        <v/>
      </c>
      <c r="EL173" t="str">
        <f t="shared" si="1364"/>
        <v/>
      </c>
      <c r="EM173" t="str">
        <f t="shared" si="1365"/>
        <v/>
      </c>
      <c r="EN173" t="str">
        <f t="shared" si="1366"/>
        <v/>
      </c>
      <c r="EO173" t="str">
        <f t="shared" si="1367"/>
        <v/>
      </c>
      <c r="EP173" t="str">
        <f t="shared" si="1368"/>
        <v/>
      </c>
      <c r="EQ173" t="str">
        <f t="shared" si="1369"/>
        <v/>
      </c>
      <c r="ER173" t="str">
        <f t="shared" si="1370"/>
        <v/>
      </c>
      <c r="ES173" t="str">
        <f t="shared" si="1371"/>
        <v/>
      </c>
      <c r="ET173" t="str">
        <f t="shared" si="1372"/>
        <v/>
      </c>
      <c r="EU173" t="str">
        <f t="shared" si="1373"/>
        <v/>
      </c>
      <c r="EV173" t="str">
        <f t="shared" si="1374"/>
        <v/>
      </c>
      <c r="EW173" t="str">
        <f t="shared" si="1375"/>
        <v/>
      </c>
      <c r="EX173" t="str">
        <f t="shared" si="1376"/>
        <v/>
      </c>
      <c r="EY173" t="str">
        <f t="shared" si="1377"/>
        <v/>
      </c>
    </row>
    <row r="174" spans="1:155" ht="13.9" customHeight="1" x14ac:dyDescent="0.25">
      <c r="A174" s="7"/>
      <c r="B174" s="17"/>
      <c r="C174" s="8"/>
      <c r="D174" s="17"/>
      <c r="E174" s="8"/>
      <c r="F174" s="18">
        <v>0</v>
      </c>
      <c r="G174" s="7" t="s">
        <v>147</v>
      </c>
      <c r="H174" s="18">
        <v>0</v>
      </c>
      <c r="I174" s="19">
        <v>0</v>
      </c>
      <c r="J174" s="7" t="s">
        <v>147</v>
      </c>
      <c r="K174" s="19">
        <v>0</v>
      </c>
      <c r="L174" s="9"/>
      <c r="M174" s="3" t="str">
        <f>IF($L174="","",IF($L174="DOELPUNTENMAKERS","",IF(AND(COUNTIF(#REF!,$B174)=0,COUNTIF(#REF!,$D174)=0),"OK",IF($O174&gt;20,"LET OP: meer dan 20 items (controle onvolledig)",IF((COUNTIF($R174:$AS174,"ONZEKER")+COUNTIF($CJ174:$DK174,"ONZEKER"))&gt;0,"LET OP: scoreverloop onduidelijk (controle beperkt)",IF((IF($AT174&lt;&gt;"",$AT174&amp;", ","")&amp;IF($AU174&lt;&gt;"",$AU174&amp;", ","")&amp;IF($AV174&lt;&gt;"",$AV174&amp;", ","")&amp;IF($AW174&lt;&gt;"",$AW174&amp;", ","")&amp;IF($AX174&lt;&gt;"",$AX174&amp;", ","")&amp;IF($AY174&lt;&gt;"",$AY174&amp;", ","")&amp;IF($AZ174&lt;&gt;"",$AZ174&amp;", ","")&amp;IF($BA174&lt;&gt;"",$BA174&amp;", ","")&amp;IF($BB174&lt;&gt;"",$BB174&amp;", ","")&amp;IF($BC174&lt;&gt;"",$BC174&amp;", ","")&amp;IF($DL174&lt;&gt;"",$DL174&amp;", ","")&amp;IF($DM174&lt;&gt;"",$DM174&amp;", ","")&amp;IF($DN174&lt;&gt;"",$DN174&amp;", ","")&amp;IF($DO174&lt;&gt;"",$DO174&amp;", ","")&amp;IF($DP174&lt;&gt;"",$DP174&amp;", ","")&amp;IF($DQ174&lt;&gt;"",$DQ174&amp;", ","")&amp;IF($DR174&lt;&gt;"",$DR174&amp;", ","")&amp;IF($DS174&lt;&gt;"",$DS174&amp;", ","")&amp;IF($DT174&lt;&gt;"",$DT174&amp;", ","")&amp;IF($DU174&lt;&gt;"",$DU174&amp;", ",""))="","OK","Onbekend: "&amp;LEFT((IF($AT174&lt;&gt;"",$AT174&amp;", ","")&amp;IF($AU174&lt;&gt;"",$AU174&amp;", ","")&amp;IF($AV174&lt;&gt;"",$AV174&amp;", ","")&amp;IF($AW174&lt;&gt;"",$AW174&amp;", ","")&amp;IF($AX174&lt;&gt;"",$AX174&amp;", ","")&amp;IF($AY174&lt;&gt;"",$AY174&amp;", ","")&amp;IF($AZ174&lt;&gt;"",$AZ174&amp;", ","")&amp;IF($BA174&lt;&gt;"",$BA174&amp;", ","")&amp;IF($BB174&lt;&gt;"",$BB174&amp;", ","")&amp;IF($BC174&lt;&gt;"",$BC174&amp;", ","")&amp;IF($DL174&lt;&gt;"",$DL174&amp;", ","")&amp;IF($DM174&lt;&gt;"",$DM174&amp;", ","")&amp;IF($DN174&lt;&gt;"",$DN174&amp;", ","")&amp;IF($DO174&lt;&gt;"",$DO174&amp;", ","")&amp;IF($DP174&lt;&gt;"",$DP174&amp;", ","")&amp;IF($DQ174&lt;&gt;"",$DQ174&amp;", ","")&amp;IF($DR174&lt;&gt;"",$DR174&amp;", ","")&amp;IF($DS174&lt;&gt;"",$DS174&amp;", ","")&amp;IF($DT174&lt;&gt;"",$DT174&amp;", ","")&amp;IF($DU174&lt;&gt;"",$DU174&amp;", ","")),LEN((IF($AT174&lt;&gt;"",$AT174&amp;", ","")&amp;IF($AU174&lt;&gt;"",$AU174&amp;", ","")&amp;IF($AV174&lt;&gt;"",$AV174&amp;", ","")&amp;IF($AW174&lt;&gt;"",$AW174&amp;", ","")&amp;IF($AX174&lt;&gt;"",$AX174&amp;", ","")&amp;IF($AY174&lt;&gt;"",$AY174&amp;", ","")&amp;IF($AZ174&lt;&gt;"",$AZ174&amp;", ","")&amp;IF($BA174&lt;&gt;"",$BA174&amp;", ","")&amp;IF($BB174&lt;&gt;"",$BB174&amp;", ","")&amp;IF($BC174&lt;&gt;"",$BC174&amp;", ","")&amp;IF($DL174&lt;&gt;"",$DL174&amp;", ","")&amp;IF($DM174&lt;&gt;"",$DM174&amp;", ","")&amp;IF($DN174&lt;&gt;"",$DN174&amp;", ","")&amp;IF($DO174&lt;&gt;"",$DO174&amp;", ","")&amp;IF($DP174&lt;&gt;"",$DP174&amp;", ","")&amp;IF($DQ174&lt;&gt;"",$DQ174&amp;", ","")&amp;IF($DR174&lt;&gt;"",$DR174&amp;", ","")&amp;IF($DS174&lt;&gt;"",$DS174&amp;", ","")&amp;IF($DT174&lt;&gt;"",$DT174&amp;", ","")&amp;IF($DU174&lt;&gt;"",$DU174&amp;", ","")))-2)))))))</f>
        <v/>
      </c>
      <c r="N174" t="str">
        <f t="shared" si="1286"/>
        <v/>
      </c>
      <c r="O174" t="str">
        <f t="shared" si="1287"/>
        <v/>
      </c>
      <c r="P174" t="str">
        <f t="shared" si="1288"/>
        <v/>
      </c>
      <c r="Q174" t="str">
        <f t="shared" si="1289"/>
        <v/>
      </c>
      <c r="R174" t="str">
        <f>IF($Q174="","",IF(OR($BE174="",$BF174=""),"ONZEKER",IF(AND($BE174=0+1,$BF174=0),IF(OR(COUNTIF(#REF!,$B174)&gt;0,COUNTIF(#REF!,$B174)=0),"SKIP",IF(COUNTIFS(#REF!,$B174,#REF!,$Q174)&gt;0,"OK","ONBEKEND")),IF(AND($BE174=0,$BF174=0+1),IF(OR(COUNTIF(#REF!,$D174)&gt;0,COUNTIF(#REF!,$D174)=0),"SKIP",IF(COUNTIFS(#REF!,$D174,#REF!,$Q174)&gt;0,"OK","ONBEKEND")),"ONZEKER"))))</f>
        <v/>
      </c>
      <c r="S174" t="str">
        <f t="shared" si="1290"/>
        <v/>
      </c>
      <c r="T174" t="str">
        <f t="shared" si="1291"/>
        <v/>
      </c>
      <c r="U174" t="str">
        <f>IF($T174="","",IF(OR($BH174="",$BI174=""),"ONZEKER",IF(OR($BE174="",$BF174=""),"ONZEKER",IF(AND($BH174=$BE174+1,$BI174=$BF174),IF(OR(COUNTIF(#REF!,$B174)&gt;0,COUNTIF(#REF!,$B174)=0),"SKIP",IF(COUNTIFS(#REF!,$B174,#REF!,$T174)&gt;0,"OK","ONBEKEND")),IF(AND($BH174=$BE174,$BI174=$BF174+1),IF(OR(COUNTIF(#REF!,$D174)&gt;0,COUNTIF(#REF!,$D174)=0),"SKIP",IF(COUNTIFS(#REF!,$D174,#REF!,$T174)&gt;0,"OK","ONBEKEND")),"ONZEKER")))))</f>
        <v/>
      </c>
      <c r="V174" t="str">
        <f t="shared" si="1292"/>
        <v/>
      </c>
      <c r="W174" t="str">
        <f t="shared" si="1293"/>
        <v/>
      </c>
      <c r="X174" t="str">
        <f>IF($W174="","",IF(OR($BK174="",$BL174=""),"ONZEKER",IF(OR($BH174="",$BI174=""),"ONZEKER",IF(AND($BK174=$BH174+1,$BL174=$BI174),IF(OR(COUNTIF(#REF!,$B174)&gt;0,COUNTIF(#REF!,$B174)=0),"SKIP",IF(COUNTIFS(#REF!,$B174,#REF!,$W174)&gt;0,"OK","ONBEKEND")),IF(AND($BK174=$BH174,$BL174=$BI174+1),IF(OR(COUNTIF(#REF!,$D174)&gt;0,COUNTIF(#REF!,$D174)=0),"SKIP",IF(COUNTIFS(#REF!,$D174,#REF!,$W174)&gt;0,"OK","ONBEKEND")),"ONZEKER")))))</f>
        <v/>
      </c>
      <c r="Y174" t="str">
        <f t="shared" si="1294"/>
        <v/>
      </c>
      <c r="Z174" t="str">
        <f t="shared" si="1295"/>
        <v/>
      </c>
      <c r="AA174" t="str">
        <f>IF($Z174="","",IF(OR($BN174="",$BO174=""),"ONZEKER",IF(OR($BK174="",$BL174=""),"ONZEKER",IF(AND($BN174=$BK174+1,$BO174=$BL174),IF(OR(COUNTIF(#REF!,$B174)&gt;0,COUNTIF(#REF!,$B174)=0),"SKIP",IF(COUNTIFS(#REF!,$B174,#REF!,$Z174)&gt;0,"OK","ONBEKEND")),IF(AND($BN174=$BK174,$BO174=$BL174+1),IF(OR(COUNTIF(#REF!,$D174)&gt;0,COUNTIF(#REF!,$D174)=0),"SKIP",IF(COUNTIFS(#REF!,$D174,#REF!,$Z174)&gt;0,"OK","ONBEKEND")),"ONZEKER")))))</f>
        <v/>
      </c>
      <c r="AB174" t="str">
        <f t="shared" si="1296"/>
        <v/>
      </c>
      <c r="AC174" t="str">
        <f t="shared" si="1297"/>
        <v/>
      </c>
      <c r="AD174" t="str">
        <f>IF($AC174="","",IF(OR($BQ174="",$BR174=""),"ONZEKER",IF(OR($BN174="",$BO174=""),"ONZEKER",IF(AND($BQ174=$BN174+1,$BR174=$BO174),IF(OR(COUNTIF(#REF!,$B174)&gt;0,COUNTIF(#REF!,$B174)=0),"SKIP",IF(COUNTIFS(#REF!,$B174,#REF!,$AC174)&gt;0,"OK","ONBEKEND")),IF(AND($BQ174=$BN174,$BR174=$BO174+1),IF(OR(COUNTIF(#REF!,$D174)&gt;0,COUNTIF(#REF!,$D174)=0),"SKIP",IF(COUNTIFS(#REF!,$D174,#REF!,$AC174)&gt;0,"OK","ONBEKEND")),"ONZEKER")))))</f>
        <v/>
      </c>
      <c r="AE174" t="str">
        <f t="shared" si="1298"/>
        <v/>
      </c>
      <c r="AF174" t="str">
        <f t="shared" si="1299"/>
        <v/>
      </c>
      <c r="AG174" t="str">
        <f>IF($AF174="","",IF(OR($BT174="",$BU174=""),"ONZEKER",IF(OR($BQ174="",$BR174=""),"ONZEKER",IF(AND($BT174=$BQ174+1,$BU174=$BR174),IF(OR(COUNTIF(#REF!,$B174)&gt;0,COUNTIF(#REF!,$B174)=0),"SKIP",IF(COUNTIFS(#REF!,$B174,#REF!,$AF174)&gt;0,"OK","ONBEKEND")),IF(AND($BT174=$BQ174,$BU174=$BR174+1),IF(OR(COUNTIF(#REF!,$D174)&gt;0,COUNTIF(#REF!,$D174)=0),"SKIP",IF(COUNTIFS(#REF!,$D174,#REF!,$AF174)&gt;0,"OK","ONBEKEND")),"ONZEKER")))))</f>
        <v/>
      </c>
      <c r="AH174" t="str">
        <f t="shared" si="1300"/>
        <v/>
      </c>
      <c r="AI174" t="str">
        <f t="shared" si="1301"/>
        <v/>
      </c>
      <c r="AJ174" t="str">
        <f>IF($AI174="","",IF(OR($BW174="",$BX174=""),"ONZEKER",IF(OR($BT174="",$BU174=""),"ONZEKER",IF(AND($BW174=$BT174+1,$BX174=$BU174),IF(OR(COUNTIF(#REF!,$B174)&gt;0,COUNTIF(#REF!,$B174)=0),"SKIP",IF(COUNTIFS(#REF!,$B174,#REF!,$AI174)&gt;0,"OK","ONBEKEND")),IF(AND($BW174=$BT174,$BX174=$BU174+1),IF(OR(COUNTIF(#REF!,$D174)&gt;0,COUNTIF(#REF!,$D174)=0),"SKIP",IF(COUNTIFS(#REF!,$D174,#REF!,$AI174)&gt;0,"OK","ONBEKEND")),"ONZEKER")))))</f>
        <v/>
      </c>
      <c r="AK174" t="str">
        <f t="shared" si="1302"/>
        <v/>
      </c>
      <c r="AL174" t="str">
        <f t="shared" si="1303"/>
        <v/>
      </c>
      <c r="AM174" t="str">
        <f>IF($AL174="","",IF(OR($BZ174="",$CA174=""),"ONZEKER",IF(OR($BW174="",$BX174=""),"ONZEKER",IF(AND($BZ174=$BW174+1,$CA174=$BX174),IF(OR(COUNTIF(#REF!,$B174)&gt;0,COUNTIF(#REF!,$B174)=0),"SKIP",IF(COUNTIFS(#REF!,$B174,#REF!,$AL174)&gt;0,"OK","ONBEKEND")),IF(AND($BZ174=$BW174,$CA174=$BX174+1),IF(OR(COUNTIF(#REF!,$D174)&gt;0,COUNTIF(#REF!,$D174)=0),"SKIP",IF(COUNTIFS(#REF!,$D174,#REF!,$AL174)&gt;0,"OK","ONBEKEND")),"ONZEKER")))))</f>
        <v/>
      </c>
      <c r="AN174" t="str">
        <f t="shared" si="1304"/>
        <v/>
      </c>
      <c r="AO174" t="str">
        <f t="shared" si="1305"/>
        <v/>
      </c>
      <c r="AP174" t="str">
        <f>IF($AO174="","",IF(OR($CC174="",$CD174=""),"ONZEKER",IF(OR($BZ174="",$CA174=""),"ONZEKER",IF(AND($CC174=$BZ174+1,$CD174=$CA174),IF(OR(COUNTIF(#REF!,$B174)&gt;0,COUNTIF(#REF!,$B174)=0),"SKIP",IF(COUNTIFS(#REF!,$B174,#REF!,$AO174)&gt;0,"OK","ONBEKEND")),IF(AND($CC174=$BZ174,$CD174=$CA174+1),IF(OR(COUNTIF(#REF!,$D174)&gt;0,COUNTIF(#REF!,$D174)=0),"SKIP",IF(COUNTIFS(#REF!,$D174,#REF!,$AO174)&gt;0,"OK","ONBEKEND")),"ONZEKER")))))</f>
        <v/>
      </c>
      <c r="AQ174" t="str">
        <f t="shared" si="1306"/>
        <v/>
      </c>
      <c r="AR174" t="str">
        <f t="shared" si="1307"/>
        <v/>
      </c>
      <c r="AS174" t="str">
        <f>IF($AR174="","",IF(OR($CF174="",$CG174=""),"ONZEKER",IF(OR($CC174="",$CD174=""),"ONZEKER",IF(AND($CF174=$CC174+1,$CG174=$CD174),IF(OR(COUNTIF(#REF!,$B174)&gt;0,COUNTIF(#REF!,$B174)=0),"SKIP",IF(COUNTIFS(#REF!,$B174,#REF!,$AR174)&gt;0,"OK","ONBEKEND")),IF(AND($CF174=$CC174,$CG174=$CD174+1),IF(OR(COUNTIF(#REF!,$D174)&gt;0,COUNTIF(#REF!,$D174)=0),"SKIP",IF(COUNTIFS(#REF!,$D174,#REF!,$AR174)&gt;0,"OK","ONBEKEND")),"ONZEKER")))))</f>
        <v/>
      </c>
      <c r="AT174" t="str">
        <f t="shared" si="1308"/>
        <v/>
      </c>
      <c r="AU174" t="str">
        <f t="shared" si="1309"/>
        <v/>
      </c>
      <c r="AV174" t="str">
        <f t="shared" si="1310"/>
        <v/>
      </c>
      <c r="AW174" t="str">
        <f t="shared" si="1311"/>
        <v/>
      </c>
      <c r="AX174" t="str">
        <f t="shared" si="1312"/>
        <v/>
      </c>
      <c r="AY174" t="str">
        <f t="shared" si="1313"/>
        <v/>
      </c>
      <c r="AZ174" t="str">
        <f t="shared" si="1314"/>
        <v/>
      </c>
      <c r="BA174" t="str">
        <f t="shared" si="1315"/>
        <v/>
      </c>
      <c r="BB174" t="str">
        <f t="shared" si="1316"/>
        <v/>
      </c>
      <c r="BC174" t="str">
        <f t="shared" si="1317"/>
        <v/>
      </c>
      <c r="BD174" t="str">
        <f t="shared" si="980"/>
        <v/>
      </c>
      <c r="BE174" t="str">
        <f t="shared" si="981"/>
        <v/>
      </c>
      <c r="BF174" t="str">
        <f t="shared" si="982"/>
        <v/>
      </c>
      <c r="BG174" t="str">
        <f t="shared" si="983"/>
        <v/>
      </c>
      <c r="BH174" t="str">
        <f t="shared" si="984"/>
        <v/>
      </c>
      <c r="BI174" t="str">
        <f t="shared" si="985"/>
        <v/>
      </c>
      <c r="BJ174" t="str">
        <f t="shared" si="986"/>
        <v/>
      </c>
      <c r="BK174" t="str">
        <f t="shared" si="987"/>
        <v/>
      </c>
      <c r="BL174" t="str">
        <f t="shared" si="988"/>
        <v/>
      </c>
      <c r="BM174" t="str">
        <f t="shared" si="989"/>
        <v/>
      </c>
      <c r="BN174" t="str">
        <f t="shared" si="990"/>
        <v/>
      </c>
      <c r="BO174" t="str">
        <f t="shared" si="991"/>
        <v/>
      </c>
      <c r="BP174" t="str">
        <f t="shared" si="992"/>
        <v/>
      </c>
      <c r="BQ174" t="str">
        <f t="shared" si="993"/>
        <v/>
      </c>
      <c r="BR174" t="str">
        <f t="shared" si="994"/>
        <v/>
      </c>
      <c r="BS174" t="str">
        <f t="shared" si="995"/>
        <v/>
      </c>
      <c r="BT174" t="str">
        <f t="shared" si="996"/>
        <v/>
      </c>
      <c r="BU174" t="str">
        <f t="shared" si="997"/>
        <v/>
      </c>
      <c r="BV174" t="str">
        <f t="shared" si="998"/>
        <v/>
      </c>
      <c r="BW174" t="str">
        <f t="shared" si="999"/>
        <v/>
      </c>
      <c r="BX174" t="str">
        <f t="shared" si="1000"/>
        <v/>
      </c>
      <c r="BY174" t="str">
        <f t="shared" si="1001"/>
        <v/>
      </c>
      <c r="BZ174" t="str">
        <f t="shared" si="1002"/>
        <v/>
      </c>
      <c r="CA174" t="str">
        <f t="shared" si="1003"/>
        <v/>
      </c>
      <c r="CB174" t="str">
        <f t="shared" si="1004"/>
        <v/>
      </c>
      <c r="CC174" t="str">
        <f t="shared" si="1005"/>
        <v/>
      </c>
      <c r="CD174" t="str">
        <f t="shared" si="1006"/>
        <v/>
      </c>
      <c r="CE174" t="str">
        <f t="shared" si="1007"/>
        <v/>
      </c>
      <c r="CF174" t="str">
        <f t="shared" si="1008"/>
        <v/>
      </c>
      <c r="CG174" t="str">
        <f t="shared" si="1009"/>
        <v/>
      </c>
      <c r="CH174" t="str">
        <f t="shared" si="1318"/>
        <v/>
      </c>
      <c r="CI174" t="str">
        <f t="shared" si="1319"/>
        <v/>
      </c>
      <c r="CJ174" t="str">
        <f>IF($CI174="","",IF(OR($DW174="",$DX174=""),"ONZEKER",IF(OR($CF174="",$CG174=""),"ONZEKER",IF(AND($DW174=$CF174+1,$DX174=$CG174),IF(OR(COUNTIF(#REF!,$B174)&gt;0,COUNTIF(#REF!,$B174)=0),"SKIP",IF(COUNTIFS(#REF!,$B174,#REF!,$CI174)&gt;0,"OK","ONBEKEND")),IF(AND($DW174=$CF174,$DX174=$CG174+1),IF(OR(COUNTIF(#REF!,$D174)&gt;0,COUNTIF(#REF!,$D174)=0),"SKIP",IF(COUNTIFS(#REF!,$D174,#REF!,$CI174)&gt;0,"OK","ONBEKEND")),"ONZEKER")))))</f>
        <v/>
      </c>
      <c r="CK174" t="str">
        <f t="shared" si="1320"/>
        <v/>
      </c>
      <c r="CL174" t="str">
        <f t="shared" si="1321"/>
        <v/>
      </c>
      <c r="CM174" t="str">
        <f>IF($CL174="","",IF(OR($DZ174="",$EA174=""),"ONZEKER",IF(OR($DW174="",$DX174=""),"ONZEKER",IF(AND($DZ174=$DW174+1,$EA174=$DX174),IF(OR(COUNTIF(#REF!,$B174)&gt;0,COUNTIF(#REF!,$B174)=0),"SKIP",IF(COUNTIFS(#REF!,$B174,#REF!,$CL174)&gt;0,"OK","ONBEKEND")),IF(AND($DZ174=$DW174,$EA174=$DX174+1),IF(OR(COUNTIF(#REF!,$D174)&gt;0,COUNTIF(#REF!,$D174)=0),"SKIP",IF(COUNTIFS(#REF!,$D174,#REF!,$CL174)&gt;0,"OK","ONBEKEND")),"ONZEKER")))))</f>
        <v/>
      </c>
      <c r="CN174" t="str">
        <f t="shared" si="1322"/>
        <v/>
      </c>
      <c r="CO174" t="str">
        <f t="shared" si="1323"/>
        <v/>
      </c>
      <c r="CP174" t="str">
        <f>IF($CO174="","",IF(OR($EC174="",$ED174=""),"ONZEKER",IF(OR($DZ174="",$EA174=""),"ONZEKER",IF(AND($EC174=$DZ174+1,$ED174=$EA174),IF(OR(COUNTIF(#REF!,$B174)&gt;0,COUNTIF(#REF!,$B174)=0),"SKIP",IF(COUNTIFS(#REF!,$B174,#REF!,$CO174)&gt;0,"OK","ONBEKEND")),IF(AND($EC174=$DZ174,$ED174=$EA174+1),IF(OR(COUNTIF(#REF!,$D174)&gt;0,COUNTIF(#REF!,$D174)=0),"SKIP",IF(COUNTIFS(#REF!,$D174,#REF!,$CO174)&gt;0,"OK","ONBEKEND")),"ONZEKER")))))</f>
        <v/>
      </c>
      <c r="CQ174" t="str">
        <f t="shared" si="1324"/>
        <v/>
      </c>
      <c r="CR174" t="str">
        <f t="shared" si="1325"/>
        <v/>
      </c>
      <c r="CS174" t="str">
        <f>IF($CR174="","",IF(OR($EF174="",$EG174=""),"ONZEKER",IF(OR($EC174="",$ED174=""),"ONZEKER",IF(AND($EF174=$EC174+1,$EG174=$ED174),IF(OR(COUNTIF(#REF!,$B174)&gt;0,COUNTIF(#REF!,$B174)=0),"SKIP",IF(COUNTIFS(#REF!,$B174,#REF!,$CR174)&gt;0,"OK","ONBEKEND")),IF(AND($EF174=$EC174,$EG174=$ED174+1),IF(OR(COUNTIF(#REF!,$D174)&gt;0,COUNTIF(#REF!,$D174)=0),"SKIP",IF(COUNTIFS(#REF!,$D174,#REF!,$CR174)&gt;0,"OK","ONBEKEND")),"ONZEKER")))))</f>
        <v/>
      </c>
      <c r="CT174" t="str">
        <f t="shared" si="1326"/>
        <v/>
      </c>
      <c r="CU174" t="str">
        <f t="shared" si="1327"/>
        <v/>
      </c>
      <c r="CV174" t="str">
        <f>IF($CU174="","",IF(OR($EI174="",$EJ174=""),"ONZEKER",IF(OR($EF174="",$EG174=""),"ONZEKER",IF(AND($EI174=$EF174+1,$EJ174=$EG174),IF(OR(COUNTIF(#REF!,$B174)&gt;0,COUNTIF(#REF!,$B174)=0),"SKIP",IF(COUNTIFS(#REF!,$B174,#REF!,$CU174)&gt;0,"OK","ONBEKEND")),IF(AND($EI174=$EF174,$EJ174=$EG174+1),IF(OR(COUNTIF(#REF!,$D174)&gt;0,COUNTIF(#REF!,$D174)=0),"SKIP",IF(COUNTIFS(#REF!,$D174,#REF!,$CU174)&gt;0,"OK","ONBEKEND")),"ONZEKER")))))</f>
        <v/>
      </c>
      <c r="CW174" t="str">
        <f t="shared" si="1328"/>
        <v/>
      </c>
      <c r="CX174" t="str">
        <f t="shared" si="1329"/>
        <v/>
      </c>
      <c r="CY174" t="str">
        <f>IF($CX174="","",IF(OR($EL174="",$EM174=""),"ONZEKER",IF(OR($EI174="",$EJ174=""),"ONZEKER",IF(AND($EL174=$EI174+1,$EM174=$EJ174),IF(OR(COUNTIF(#REF!,$B174)&gt;0,COUNTIF(#REF!,$B174)=0),"SKIP",IF(COUNTIFS(#REF!,$B174,#REF!,$CX174)&gt;0,"OK","ONBEKEND")),IF(AND($EL174=$EI174,$EM174=$EJ174+1),IF(OR(COUNTIF(#REF!,$D174)&gt;0,COUNTIF(#REF!,$D174)=0),"SKIP",IF(COUNTIFS(#REF!,$D174,#REF!,$CX174)&gt;0,"OK","ONBEKEND")),"ONZEKER")))))</f>
        <v/>
      </c>
      <c r="CZ174" t="str">
        <f t="shared" si="1330"/>
        <v/>
      </c>
      <c r="DA174" t="str">
        <f t="shared" si="1331"/>
        <v/>
      </c>
      <c r="DB174" t="str">
        <f>IF($DA174="","",IF(OR($EO174="",$EP174=""),"ONZEKER",IF(OR($EL174="",$EM174=""),"ONZEKER",IF(AND($EO174=$EL174+1,$EP174=$EM174),IF(OR(COUNTIF(#REF!,$B174)&gt;0,COUNTIF(#REF!,$B174)=0),"SKIP",IF(COUNTIFS(#REF!,$B174,#REF!,$DA174)&gt;0,"OK","ONBEKEND")),IF(AND($EO174=$EL174,$EP174=$EM174+1),IF(OR(COUNTIF(#REF!,$D174)&gt;0,COUNTIF(#REF!,$D174)=0),"SKIP",IF(COUNTIFS(#REF!,$D174,#REF!,$DA174)&gt;0,"OK","ONBEKEND")),"ONZEKER")))))</f>
        <v/>
      </c>
      <c r="DC174" t="str">
        <f t="shared" si="1332"/>
        <v/>
      </c>
      <c r="DD174" t="str">
        <f t="shared" si="1333"/>
        <v/>
      </c>
      <c r="DE174" t="str">
        <f>IF($DD174="","",IF(OR($ER174="",$ES174=""),"ONZEKER",IF(OR($EO174="",$EP174=""),"ONZEKER",IF(AND($ER174=$EO174+1,$ES174=$EP174),IF(OR(COUNTIF(#REF!,$B174)&gt;0,COUNTIF(#REF!,$B174)=0),"SKIP",IF(COUNTIFS(#REF!,$B174,#REF!,$DD174)&gt;0,"OK","ONBEKEND")),IF(AND($ER174=$EO174,$ES174=$EP174+1),IF(OR(COUNTIF(#REF!,$D174)&gt;0,COUNTIF(#REF!,$D174)=0),"SKIP",IF(COUNTIFS(#REF!,$D174,#REF!,$DD174)&gt;0,"OK","ONBEKEND")),"ONZEKER")))))</f>
        <v/>
      </c>
      <c r="DF174" t="str">
        <f t="shared" si="1334"/>
        <v/>
      </c>
      <c r="DG174" t="str">
        <f t="shared" si="1335"/>
        <v/>
      </c>
      <c r="DH174" t="str">
        <f>IF($DG174="","",IF(OR($EU174="",$EV174=""),"ONZEKER",IF(OR($ER174="",$ES174=""),"ONZEKER",IF(AND($EU174=$ER174+1,$EV174=$ES174),IF(OR(COUNTIF(#REF!,$B174)&gt;0,COUNTIF(#REF!,$B174)=0),"SKIP",IF(COUNTIFS(#REF!,$B174,#REF!,$DG174)&gt;0,"OK","ONBEKEND")),IF(AND($EU174=$ER174,$EV174=$ES174+1),IF(OR(COUNTIF(#REF!,$D174)&gt;0,COUNTIF(#REF!,$D174)=0),"SKIP",IF(COUNTIFS(#REF!,$D174,#REF!,$DG174)&gt;0,"OK","ONBEKEND")),"ONZEKER")))))</f>
        <v/>
      </c>
      <c r="DI174" t="str">
        <f t="shared" si="1336"/>
        <v/>
      </c>
      <c r="DJ174" t="str">
        <f t="shared" si="1337"/>
        <v/>
      </c>
      <c r="DK174" t="str">
        <f>IF($DJ174="","",IF(OR($EX174="",$EY174=""),"ONZEKER",IF(OR($EU174="",$EV174=""),"ONZEKER",IF(AND($EX174=$EU174+1,$EY174=$EV174),IF(OR(COUNTIF(#REF!,$B174)&gt;0,COUNTIF(#REF!,$B174)=0),"SKIP",IF(COUNTIFS(#REF!,$B174,#REF!,$DJ174)&gt;0,"OK","ONBEKEND")),IF(AND($EX174=$EU174,$EY174=$EV174+1),IF(OR(COUNTIF(#REF!,$D174)&gt;0,COUNTIF(#REF!,$D174)=0),"SKIP",IF(COUNTIFS(#REF!,$D174,#REF!,$DJ174)&gt;0,"OK","ONBEKEND")),"ONZEKER")))))</f>
        <v/>
      </c>
      <c r="DL174" t="str">
        <f t="shared" si="1338"/>
        <v/>
      </c>
      <c r="DM174" t="str">
        <f t="shared" si="1339"/>
        <v/>
      </c>
      <c r="DN174" t="str">
        <f t="shared" si="1340"/>
        <v/>
      </c>
      <c r="DO174" t="str">
        <f t="shared" si="1341"/>
        <v/>
      </c>
      <c r="DP174" t="str">
        <f t="shared" si="1342"/>
        <v/>
      </c>
      <c r="DQ174" t="str">
        <f t="shared" si="1343"/>
        <v/>
      </c>
      <c r="DR174" t="str">
        <f t="shared" si="1344"/>
        <v/>
      </c>
      <c r="DS174" t="str">
        <f t="shared" si="1345"/>
        <v/>
      </c>
      <c r="DT174" t="str">
        <f t="shared" si="1346"/>
        <v/>
      </c>
      <c r="DU174" t="str">
        <f t="shared" si="1347"/>
        <v/>
      </c>
      <c r="DV174" t="str">
        <f t="shared" si="1348"/>
        <v/>
      </c>
      <c r="DW174" t="str">
        <f t="shared" si="1349"/>
        <v/>
      </c>
      <c r="DX174" t="str">
        <f t="shared" si="1350"/>
        <v/>
      </c>
      <c r="DY174" t="str">
        <f t="shared" si="1351"/>
        <v/>
      </c>
      <c r="DZ174" t="str">
        <f t="shared" si="1352"/>
        <v/>
      </c>
      <c r="EA174" t="str">
        <f t="shared" si="1353"/>
        <v/>
      </c>
      <c r="EB174" t="str">
        <f t="shared" si="1354"/>
        <v/>
      </c>
      <c r="EC174" t="str">
        <f t="shared" si="1355"/>
        <v/>
      </c>
      <c r="ED174" t="str">
        <f t="shared" si="1356"/>
        <v/>
      </c>
      <c r="EE174" t="str">
        <f t="shared" si="1357"/>
        <v/>
      </c>
      <c r="EF174" t="str">
        <f t="shared" si="1358"/>
        <v/>
      </c>
      <c r="EG174" t="str">
        <f t="shared" si="1359"/>
        <v/>
      </c>
      <c r="EH174" t="str">
        <f t="shared" si="1360"/>
        <v/>
      </c>
      <c r="EI174" t="str">
        <f t="shared" si="1361"/>
        <v/>
      </c>
      <c r="EJ174" t="str">
        <f t="shared" si="1362"/>
        <v/>
      </c>
      <c r="EK174" t="str">
        <f t="shared" si="1363"/>
        <v/>
      </c>
      <c r="EL174" t="str">
        <f t="shared" si="1364"/>
        <v/>
      </c>
      <c r="EM174" t="str">
        <f t="shared" si="1365"/>
        <v/>
      </c>
      <c r="EN174" t="str">
        <f t="shared" si="1366"/>
        <v/>
      </c>
      <c r="EO174" t="str">
        <f t="shared" si="1367"/>
        <v/>
      </c>
      <c r="EP174" t="str">
        <f t="shared" si="1368"/>
        <v/>
      </c>
      <c r="EQ174" t="str">
        <f t="shared" si="1369"/>
        <v/>
      </c>
      <c r="ER174" t="str">
        <f t="shared" si="1370"/>
        <v/>
      </c>
      <c r="ES174" t="str">
        <f t="shared" si="1371"/>
        <v/>
      </c>
      <c r="ET174" t="str">
        <f t="shared" si="1372"/>
        <v/>
      </c>
      <c r="EU174" t="str">
        <f t="shared" si="1373"/>
        <v/>
      </c>
      <c r="EV174" t="str">
        <f t="shared" si="1374"/>
        <v/>
      </c>
      <c r="EW174" t="str">
        <f t="shared" si="1375"/>
        <v/>
      </c>
      <c r="EX174" t="str">
        <f t="shared" si="1376"/>
        <v/>
      </c>
      <c r="EY174" t="str">
        <f t="shared" si="1377"/>
        <v/>
      </c>
    </row>
    <row r="175" spans="1:155" ht="13.9" customHeight="1" x14ac:dyDescent="0.25">
      <c r="A175" s="7"/>
      <c r="B175" s="17"/>
      <c r="C175" s="8"/>
      <c r="D175" s="17"/>
      <c r="E175" s="8"/>
      <c r="F175" s="18">
        <v>0</v>
      </c>
      <c r="G175" s="7" t="s">
        <v>147</v>
      </c>
      <c r="H175" s="18">
        <v>0</v>
      </c>
      <c r="I175" s="19">
        <v>0</v>
      </c>
      <c r="J175" s="7" t="s">
        <v>147</v>
      </c>
      <c r="K175" s="19">
        <v>0</v>
      </c>
      <c r="L175" s="9"/>
      <c r="M175" s="3" t="str">
        <f>IF($L175="","",IF($L175="DOELPUNTENMAKERS","",IF(AND(COUNTIF(#REF!,$B175)=0,COUNTIF(#REF!,$D175)=0),"OK",IF($O175&gt;20,"LET OP: meer dan 20 items (controle onvolledig)",IF((COUNTIF($R175:$AS175,"ONZEKER")+COUNTIF($CJ175:$DK175,"ONZEKER"))&gt;0,"LET OP: scoreverloop onduidelijk (controle beperkt)",IF((IF($AT175&lt;&gt;"",$AT175&amp;", ","")&amp;IF($AU175&lt;&gt;"",$AU175&amp;", ","")&amp;IF($AV175&lt;&gt;"",$AV175&amp;", ","")&amp;IF($AW175&lt;&gt;"",$AW175&amp;", ","")&amp;IF($AX175&lt;&gt;"",$AX175&amp;", ","")&amp;IF($AY175&lt;&gt;"",$AY175&amp;", ","")&amp;IF($AZ175&lt;&gt;"",$AZ175&amp;", ","")&amp;IF($BA175&lt;&gt;"",$BA175&amp;", ","")&amp;IF($BB175&lt;&gt;"",$BB175&amp;", ","")&amp;IF($BC175&lt;&gt;"",$BC175&amp;", ","")&amp;IF($DL175&lt;&gt;"",$DL175&amp;", ","")&amp;IF($DM175&lt;&gt;"",$DM175&amp;", ","")&amp;IF($DN175&lt;&gt;"",$DN175&amp;", ","")&amp;IF($DO175&lt;&gt;"",$DO175&amp;", ","")&amp;IF($DP175&lt;&gt;"",$DP175&amp;", ","")&amp;IF($DQ175&lt;&gt;"",$DQ175&amp;", ","")&amp;IF($DR175&lt;&gt;"",$DR175&amp;", ","")&amp;IF($DS175&lt;&gt;"",$DS175&amp;", ","")&amp;IF($DT175&lt;&gt;"",$DT175&amp;", ","")&amp;IF($DU175&lt;&gt;"",$DU175&amp;", ",""))="","OK","Onbekend: "&amp;LEFT((IF($AT175&lt;&gt;"",$AT175&amp;", ","")&amp;IF($AU175&lt;&gt;"",$AU175&amp;", ","")&amp;IF($AV175&lt;&gt;"",$AV175&amp;", ","")&amp;IF($AW175&lt;&gt;"",$AW175&amp;", ","")&amp;IF($AX175&lt;&gt;"",$AX175&amp;", ","")&amp;IF($AY175&lt;&gt;"",$AY175&amp;", ","")&amp;IF($AZ175&lt;&gt;"",$AZ175&amp;", ","")&amp;IF($BA175&lt;&gt;"",$BA175&amp;", ","")&amp;IF($BB175&lt;&gt;"",$BB175&amp;", ","")&amp;IF($BC175&lt;&gt;"",$BC175&amp;", ","")&amp;IF($DL175&lt;&gt;"",$DL175&amp;", ","")&amp;IF($DM175&lt;&gt;"",$DM175&amp;", ","")&amp;IF($DN175&lt;&gt;"",$DN175&amp;", ","")&amp;IF($DO175&lt;&gt;"",$DO175&amp;", ","")&amp;IF($DP175&lt;&gt;"",$DP175&amp;", ","")&amp;IF($DQ175&lt;&gt;"",$DQ175&amp;", ","")&amp;IF($DR175&lt;&gt;"",$DR175&amp;", ","")&amp;IF($DS175&lt;&gt;"",$DS175&amp;", ","")&amp;IF($DT175&lt;&gt;"",$DT175&amp;", ","")&amp;IF($DU175&lt;&gt;"",$DU175&amp;", ","")),LEN((IF($AT175&lt;&gt;"",$AT175&amp;", ","")&amp;IF($AU175&lt;&gt;"",$AU175&amp;", ","")&amp;IF($AV175&lt;&gt;"",$AV175&amp;", ","")&amp;IF($AW175&lt;&gt;"",$AW175&amp;", ","")&amp;IF($AX175&lt;&gt;"",$AX175&amp;", ","")&amp;IF($AY175&lt;&gt;"",$AY175&amp;", ","")&amp;IF($AZ175&lt;&gt;"",$AZ175&amp;", ","")&amp;IF($BA175&lt;&gt;"",$BA175&amp;", ","")&amp;IF($BB175&lt;&gt;"",$BB175&amp;", ","")&amp;IF($BC175&lt;&gt;"",$BC175&amp;", ","")&amp;IF($DL175&lt;&gt;"",$DL175&amp;", ","")&amp;IF($DM175&lt;&gt;"",$DM175&amp;", ","")&amp;IF($DN175&lt;&gt;"",$DN175&amp;", ","")&amp;IF($DO175&lt;&gt;"",$DO175&amp;", ","")&amp;IF($DP175&lt;&gt;"",$DP175&amp;", ","")&amp;IF($DQ175&lt;&gt;"",$DQ175&amp;", ","")&amp;IF($DR175&lt;&gt;"",$DR175&amp;", ","")&amp;IF($DS175&lt;&gt;"",$DS175&amp;", ","")&amp;IF($DT175&lt;&gt;"",$DT175&amp;", ","")&amp;IF($DU175&lt;&gt;"",$DU175&amp;", ","")))-2)))))))</f>
        <v/>
      </c>
      <c r="N175" t="str">
        <f t="shared" si="1286"/>
        <v/>
      </c>
      <c r="O175" t="str">
        <f t="shared" si="1287"/>
        <v/>
      </c>
      <c r="P175" t="str">
        <f t="shared" si="1288"/>
        <v/>
      </c>
      <c r="Q175" t="str">
        <f t="shared" si="1289"/>
        <v/>
      </c>
      <c r="R175" t="str">
        <f>IF($Q175="","",IF(OR($BE175="",$BF175=""),"ONZEKER",IF(AND($BE175=0+1,$BF175=0),IF(OR(COUNTIF(#REF!,$B175)&gt;0,COUNTIF(#REF!,$B175)=0),"SKIP",IF(COUNTIFS(#REF!,$B175,#REF!,$Q175)&gt;0,"OK","ONBEKEND")),IF(AND($BE175=0,$BF175=0+1),IF(OR(COUNTIF(#REF!,$D175)&gt;0,COUNTIF(#REF!,$D175)=0),"SKIP",IF(COUNTIFS(#REF!,$D175,#REF!,$Q175)&gt;0,"OK","ONBEKEND")),"ONZEKER"))))</f>
        <v/>
      </c>
      <c r="S175" t="str">
        <f t="shared" si="1290"/>
        <v/>
      </c>
      <c r="T175" t="str">
        <f t="shared" si="1291"/>
        <v/>
      </c>
      <c r="U175" t="str">
        <f>IF($T175="","",IF(OR($BH175="",$BI175=""),"ONZEKER",IF(OR($BE175="",$BF175=""),"ONZEKER",IF(AND($BH175=$BE175+1,$BI175=$BF175),IF(OR(COUNTIF(#REF!,$B175)&gt;0,COUNTIF(#REF!,$B175)=0),"SKIP",IF(COUNTIFS(#REF!,$B175,#REF!,$T175)&gt;0,"OK","ONBEKEND")),IF(AND($BH175=$BE175,$BI175=$BF175+1),IF(OR(COUNTIF(#REF!,$D175)&gt;0,COUNTIF(#REF!,$D175)=0),"SKIP",IF(COUNTIFS(#REF!,$D175,#REF!,$T175)&gt;0,"OK","ONBEKEND")),"ONZEKER")))))</f>
        <v/>
      </c>
      <c r="V175" t="str">
        <f t="shared" si="1292"/>
        <v/>
      </c>
      <c r="W175" t="str">
        <f t="shared" si="1293"/>
        <v/>
      </c>
      <c r="X175" t="str">
        <f>IF($W175="","",IF(OR($BK175="",$BL175=""),"ONZEKER",IF(OR($BH175="",$BI175=""),"ONZEKER",IF(AND($BK175=$BH175+1,$BL175=$BI175),IF(OR(COUNTIF(#REF!,$B175)&gt;0,COUNTIF(#REF!,$B175)=0),"SKIP",IF(COUNTIFS(#REF!,$B175,#REF!,$W175)&gt;0,"OK","ONBEKEND")),IF(AND($BK175=$BH175,$BL175=$BI175+1),IF(OR(COUNTIF(#REF!,$D175)&gt;0,COUNTIF(#REF!,$D175)=0),"SKIP",IF(COUNTIFS(#REF!,$D175,#REF!,$W175)&gt;0,"OK","ONBEKEND")),"ONZEKER")))))</f>
        <v/>
      </c>
      <c r="Y175" t="str">
        <f t="shared" si="1294"/>
        <v/>
      </c>
      <c r="Z175" t="str">
        <f t="shared" si="1295"/>
        <v/>
      </c>
      <c r="AA175" t="str">
        <f>IF($Z175="","",IF(OR($BN175="",$BO175=""),"ONZEKER",IF(OR($BK175="",$BL175=""),"ONZEKER",IF(AND($BN175=$BK175+1,$BO175=$BL175),IF(OR(COUNTIF(#REF!,$B175)&gt;0,COUNTIF(#REF!,$B175)=0),"SKIP",IF(COUNTIFS(#REF!,$B175,#REF!,$Z175)&gt;0,"OK","ONBEKEND")),IF(AND($BN175=$BK175,$BO175=$BL175+1),IF(OR(COUNTIF(#REF!,$D175)&gt;0,COUNTIF(#REF!,$D175)=0),"SKIP",IF(COUNTIFS(#REF!,$D175,#REF!,$Z175)&gt;0,"OK","ONBEKEND")),"ONZEKER")))))</f>
        <v/>
      </c>
      <c r="AB175" t="str">
        <f t="shared" si="1296"/>
        <v/>
      </c>
      <c r="AC175" t="str">
        <f t="shared" si="1297"/>
        <v/>
      </c>
      <c r="AD175" t="str">
        <f>IF($AC175="","",IF(OR($BQ175="",$BR175=""),"ONZEKER",IF(OR($BN175="",$BO175=""),"ONZEKER",IF(AND($BQ175=$BN175+1,$BR175=$BO175),IF(OR(COUNTIF(#REF!,$B175)&gt;0,COUNTIF(#REF!,$B175)=0),"SKIP",IF(COUNTIFS(#REF!,$B175,#REF!,$AC175)&gt;0,"OK","ONBEKEND")),IF(AND($BQ175=$BN175,$BR175=$BO175+1),IF(OR(COUNTIF(#REF!,$D175)&gt;0,COUNTIF(#REF!,$D175)=0),"SKIP",IF(COUNTIFS(#REF!,$D175,#REF!,$AC175)&gt;0,"OK","ONBEKEND")),"ONZEKER")))))</f>
        <v/>
      </c>
      <c r="AE175" t="str">
        <f t="shared" si="1298"/>
        <v/>
      </c>
      <c r="AF175" t="str">
        <f t="shared" si="1299"/>
        <v/>
      </c>
      <c r="AG175" t="str">
        <f>IF($AF175="","",IF(OR($BT175="",$BU175=""),"ONZEKER",IF(OR($BQ175="",$BR175=""),"ONZEKER",IF(AND($BT175=$BQ175+1,$BU175=$BR175),IF(OR(COUNTIF(#REF!,$B175)&gt;0,COUNTIF(#REF!,$B175)=0),"SKIP",IF(COUNTIFS(#REF!,$B175,#REF!,$AF175)&gt;0,"OK","ONBEKEND")),IF(AND($BT175=$BQ175,$BU175=$BR175+1),IF(OR(COUNTIF(#REF!,$D175)&gt;0,COUNTIF(#REF!,$D175)=0),"SKIP",IF(COUNTIFS(#REF!,$D175,#REF!,$AF175)&gt;0,"OK","ONBEKEND")),"ONZEKER")))))</f>
        <v/>
      </c>
      <c r="AH175" t="str">
        <f t="shared" si="1300"/>
        <v/>
      </c>
      <c r="AI175" t="str">
        <f t="shared" si="1301"/>
        <v/>
      </c>
      <c r="AJ175" t="str">
        <f>IF($AI175="","",IF(OR($BW175="",$BX175=""),"ONZEKER",IF(OR($BT175="",$BU175=""),"ONZEKER",IF(AND($BW175=$BT175+1,$BX175=$BU175),IF(OR(COUNTIF(#REF!,$B175)&gt;0,COUNTIF(#REF!,$B175)=0),"SKIP",IF(COUNTIFS(#REF!,$B175,#REF!,$AI175)&gt;0,"OK","ONBEKEND")),IF(AND($BW175=$BT175,$BX175=$BU175+1),IF(OR(COUNTIF(#REF!,$D175)&gt;0,COUNTIF(#REF!,$D175)=0),"SKIP",IF(COUNTIFS(#REF!,$D175,#REF!,$AI175)&gt;0,"OK","ONBEKEND")),"ONZEKER")))))</f>
        <v/>
      </c>
      <c r="AK175" t="str">
        <f t="shared" si="1302"/>
        <v/>
      </c>
      <c r="AL175" t="str">
        <f t="shared" si="1303"/>
        <v/>
      </c>
      <c r="AM175" t="str">
        <f>IF($AL175="","",IF(OR($BZ175="",$CA175=""),"ONZEKER",IF(OR($BW175="",$BX175=""),"ONZEKER",IF(AND($BZ175=$BW175+1,$CA175=$BX175),IF(OR(COUNTIF(#REF!,$B175)&gt;0,COUNTIF(#REF!,$B175)=0),"SKIP",IF(COUNTIFS(#REF!,$B175,#REF!,$AL175)&gt;0,"OK","ONBEKEND")),IF(AND($BZ175=$BW175,$CA175=$BX175+1),IF(OR(COUNTIF(#REF!,$D175)&gt;0,COUNTIF(#REF!,$D175)=0),"SKIP",IF(COUNTIFS(#REF!,$D175,#REF!,$AL175)&gt;0,"OK","ONBEKEND")),"ONZEKER")))))</f>
        <v/>
      </c>
      <c r="AN175" t="str">
        <f t="shared" si="1304"/>
        <v/>
      </c>
      <c r="AO175" t="str">
        <f t="shared" si="1305"/>
        <v/>
      </c>
      <c r="AP175" t="str">
        <f>IF($AO175="","",IF(OR($CC175="",$CD175=""),"ONZEKER",IF(OR($BZ175="",$CA175=""),"ONZEKER",IF(AND($CC175=$BZ175+1,$CD175=$CA175),IF(OR(COUNTIF(#REF!,$B175)&gt;0,COUNTIF(#REF!,$B175)=0),"SKIP",IF(COUNTIFS(#REF!,$B175,#REF!,$AO175)&gt;0,"OK","ONBEKEND")),IF(AND($CC175=$BZ175,$CD175=$CA175+1),IF(OR(COUNTIF(#REF!,$D175)&gt;0,COUNTIF(#REF!,$D175)=0),"SKIP",IF(COUNTIFS(#REF!,$D175,#REF!,$AO175)&gt;0,"OK","ONBEKEND")),"ONZEKER")))))</f>
        <v/>
      </c>
      <c r="AQ175" t="str">
        <f t="shared" si="1306"/>
        <v/>
      </c>
      <c r="AR175" t="str">
        <f t="shared" si="1307"/>
        <v/>
      </c>
      <c r="AS175" t="str">
        <f>IF($AR175="","",IF(OR($CF175="",$CG175=""),"ONZEKER",IF(OR($CC175="",$CD175=""),"ONZEKER",IF(AND($CF175=$CC175+1,$CG175=$CD175),IF(OR(COUNTIF(#REF!,$B175)&gt;0,COUNTIF(#REF!,$B175)=0),"SKIP",IF(COUNTIFS(#REF!,$B175,#REF!,$AR175)&gt;0,"OK","ONBEKEND")),IF(AND($CF175=$CC175,$CG175=$CD175+1),IF(OR(COUNTIF(#REF!,$D175)&gt;0,COUNTIF(#REF!,$D175)=0),"SKIP",IF(COUNTIFS(#REF!,$D175,#REF!,$AR175)&gt;0,"OK","ONBEKEND")),"ONZEKER")))))</f>
        <v/>
      </c>
      <c r="AT175" t="str">
        <f t="shared" si="1308"/>
        <v/>
      </c>
      <c r="AU175" t="str">
        <f t="shared" si="1309"/>
        <v/>
      </c>
      <c r="AV175" t="str">
        <f t="shared" si="1310"/>
        <v/>
      </c>
      <c r="AW175" t="str">
        <f t="shared" si="1311"/>
        <v/>
      </c>
      <c r="AX175" t="str">
        <f t="shared" si="1312"/>
        <v/>
      </c>
      <c r="AY175" t="str">
        <f t="shared" si="1313"/>
        <v/>
      </c>
      <c r="AZ175" t="str">
        <f t="shared" si="1314"/>
        <v/>
      </c>
      <c r="BA175" t="str">
        <f t="shared" si="1315"/>
        <v/>
      </c>
      <c r="BB175" t="str">
        <f t="shared" si="1316"/>
        <v/>
      </c>
      <c r="BC175" t="str">
        <f t="shared" si="1317"/>
        <v/>
      </c>
      <c r="BD175" t="str">
        <f t="shared" si="980"/>
        <v/>
      </c>
      <c r="BE175" t="str">
        <f t="shared" si="981"/>
        <v/>
      </c>
      <c r="BF175" t="str">
        <f t="shared" si="982"/>
        <v/>
      </c>
      <c r="BG175" t="str">
        <f t="shared" si="983"/>
        <v/>
      </c>
      <c r="BH175" t="str">
        <f t="shared" si="984"/>
        <v/>
      </c>
      <c r="BI175" t="str">
        <f t="shared" si="985"/>
        <v/>
      </c>
      <c r="BJ175" t="str">
        <f t="shared" si="986"/>
        <v/>
      </c>
      <c r="BK175" t="str">
        <f t="shared" si="987"/>
        <v/>
      </c>
      <c r="BL175" t="str">
        <f t="shared" si="988"/>
        <v/>
      </c>
      <c r="BM175" t="str">
        <f t="shared" si="989"/>
        <v/>
      </c>
      <c r="BN175" t="str">
        <f t="shared" si="990"/>
        <v/>
      </c>
      <c r="BO175" t="str">
        <f t="shared" si="991"/>
        <v/>
      </c>
      <c r="BP175" t="str">
        <f t="shared" si="992"/>
        <v/>
      </c>
      <c r="BQ175" t="str">
        <f t="shared" si="993"/>
        <v/>
      </c>
      <c r="BR175" t="str">
        <f t="shared" si="994"/>
        <v/>
      </c>
      <c r="BS175" t="str">
        <f t="shared" si="995"/>
        <v/>
      </c>
      <c r="BT175" t="str">
        <f t="shared" si="996"/>
        <v/>
      </c>
      <c r="BU175" t="str">
        <f t="shared" si="997"/>
        <v/>
      </c>
      <c r="BV175" t="str">
        <f t="shared" si="998"/>
        <v/>
      </c>
      <c r="BW175" t="str">
        <f t="shared" si="999"/>
        <v/>
      </c>
      <c r="BX175" t="str">
        <f t="shared" si="1000"/>
        <v/>
      </c>
      <c r="BY175" t="str">
        <f t="shared" si="1001"/>
        <v/>
      </c>
      <c r="BZ175" t="str">
        <f t="shared" si="1002"/>
        <v/>
      </c>
      <c r="CA175" t="str">
        <f t="shared" si="1003"/>
        <v/>
      </c>
      <c r="CB175" t="str">
        <f t="shared" si="1004"/>
        <v/>
      </c>
      <c r="CC175" t="str">
        <f t="shared" si="1005"/>
        <v/>
      </c>
      <c r="CD175" t="str">
        <f t="shared" si="1006"/>
        <v/>
      </c>
      <c r="CE175" t="str">
        <f t="shared" si="1007"/>
        <v/>
      </c>
      <c r="CF175" t="str">
        <f t="shared" si="1008"/>
        <v/>
      </c>
      <c r="CG175" t="str">
        <f t="shared" si="1009"/>
        <v/>
      </c>
      <c r="CH175" t="str">
        <f t="shared" si="1318"/>
        <v/>
      </c>
      <c r="CI175" t="str">
        <f t="shared" si="1319"/>
        <v/>
      </c>
      <c r="CJ175" t="str">
        <f>IF($CI175="","",IF(OR($DW175="",$DX175=""),"ONZEKER",IF(OR($CF175="",$CG175=""),"ONZEKER",IF(AND($DW175=$CF175+1,$DX175=$CG175),IF(OR(COUNTIF(#REF!,$B175)&gt;0,COUNTIF(#REF!,$B175)=0),"SKIP",IF(COUNTIFS(#REF!,$B175,#REF!,$CI175)&gt;0,"OK","ONBEKEND")),IF(AND($DW175=$CF175,$DX175=$CG175+1),IF(OR(COUNTIF(#REF!,$D175)&gt;0,COUNTIF(#REF!,$D175)=0),"SKIP",IF(COUNTIFS(#REF!,$D175,#REF!,$CI175)&gt;0,"OK","ONBEKEND")),"ONZEKER")))))</f>
        <v/>
      </c>
      <c r="CK175" t="str">
        <f t="shared" si="1320"/>
        <v/>
      </c>
      <c r="CL175" t="str">
        <f t="shared" si="1321"/>
        <v/>
      </c>
      <c r="CM175" t="str">
        <f>IF($CL175="","",IF(OR($DZ175="",$EA175=""),"ONZEKER",IF(OR($DW175="",$DX175=""),"ONZEKER",IF(AND($DZ175=$DW175+1,$EA175=$DX175),IF(OR(COUNTIF(#REF!,$B175)&gt;0,COUNTIF(#REF!,$B175)=0),"SKIP",IF(COUNTIFS(#REF!,$B175,#REF!,$CL175)&gt;0,"OK","ONBEKEND")),IF(AND($DZ175=$DW175,$EA175=$DX175+1),IF(OR(COUNTIF(#REF!,$D175)&gt;0,COUNTIF(#REF!,$D175)=0),"SKIP",IF(COUNTIFS(#REF!,$D175,#REF!,$CL175)&gt;0,"OK","ONBEKEND")),"ONZEKER")))))</f>
        <v/>
      </c>
      <c r="CN175" t="str">
        <f t="shared" si="1322"/>
        <v/>
      </c>
      <c r="CO175" t="str">
        <f t="shared" si="1323"/>
        <v/>
      </c>
      <c r="CP175" t="str">
        <f>IF($CO175="","",IF(OR($EC175="",$ED175=""),"ONZEKER",IF(OR($DZ175="",$EA175=""),"ONZEKER",IF(AND($EC175=$DZ175+1,$ED175=$EA175),IF(OR(COUNTIF(#REF!,$B175)&gt;0,COUNTIF(#REF!,$B175)=0),"SKIP",IF(COUNTIFS(#REF!,$B175,#REF!,$CO175)&gt;0,"OK","ONBEKEND")),IF(AND($EC175=$DZ175,$ED175=$EA175+1),IF(OR(COUNTIF(#REF!,$D175)&gt;0,COUNTIF(#REF!,$D175)=0),"SKIP",IF(COUNTIFS(#REF!,$D175,#REF!,$CO175)&gt;0,"OK","ONBEKEND")),"ONZEKER")))))</f>
        <v/>
      </c>
      <c r="CQ175" t="str">
        <f t="shared" si="1324"/>
        <v/>
      </c>
      <c r="CR175" t="str">
        <f t="shared" si="1325"/>
        <v/>
      </c>
      <c r="CS175" t="str">
        <f>IF($CR175="","",IF(OR($EF175="",$EG175=""),"ONZEKER",IF(OR($EC175="",$ED175=""),"ONZEKER",IF(AND($EF175=$EC175+1,$EG175=$ED175),IF(OR(COUNTIF(#REF!,$B175)&gt;0,COUNTIF(#REF!,$B175)=0),"SKIP",IF(COUNTIFS(#REF!,$B175,#REF!,$CR175)&gt;0,"OK","ONBEKEND")),IF(AND($EF175=$EC175,$EG175=$ED175+1),IF(OR(COUNTIF(#REF!,$D175)&gt;0,COUNTIF(#REF!,$D175)=0),"SKIP",IF(COUNTIFS(#REF!,$D175,#REF!,$CR175)&gt;0,"OK","ONBEKEND")),"ONZEKER")))))</f>
        <v/>
      </c>
      <c r="CT175" t="str">
        <f t="shared" si="1326"/>
        <v/>
      </c>
      <c r="CU175" t="str">
        <f t="shared" si="1327"/>
        <v/>
      </c>
      <c r="CV175" t="str">
        <f>IF($CU175="","",IF(OR($EI175="",$EJ175=""),"ONZEKER",IF(OR($EF175="",$EG175=""),"ONZEKER",IF(AND($EI175=$EF175+1,$EJ175=$EG175),IF(OR(COUNTIF(#REF!,$B175)&gt;0,COUNTIF(#REF!,$B175)=0),"SKIP",IF(COUNTIFS(#REF!,$B175,#REF!,$CU175)&gt;0,"OK","ONBEKEND")),IF(AND($EI175=$EF175,$EJ175=$EG175+1),IF(OR(COUNTIF(#REF!,$D175)&gt;0,COUNTIF(#REF!,$D175)=0),"SKIP",IF(COUNTIFS(#REF!,$D175,#REF!,$CU175)&gt;0,"OK","ONBEKEND")),"ONZEKER")))))</f>
        <v/>
      </c>
      <c r="CW175" t="str">
        <f t="shared" si="1328"/>
        <v/>
      </c>
      <c r="CX175" t="str">
        <f t="shared" si="1329"/>
        <v/>
      </c>
      <c r="CY175" t="str">
        <f>IF($CX175="","",IF(OR($EL175="",$EM175=""),"ONZEKER",IF(OR($EI175="",$EJ175=""),"ONZEKER",IF(AND($EL175=$EI175+1,$EM175=$EJ175),IF(OR(COUNTIF(#REF!,$B175)&gt;0,COUNTIF(#REF!,$B175)=0),"SKIP",IF(COUNTIFS(#REF!,$B175,#REF!,$CX175)&gt;0,"OK","ONBEKEND")),IF(AND($EL175=$EI175,$EM175=$EJ175+1),IF(OR(COUNTIF(#REF!,$D175)&gt;0,COUNTIF(#REF!,$D175)=0),"SKIP",IF(COUNTIFS(#REF!,$D175,#REF!,$CX175)&gt;0,"OK","ONBEKEND")),"ONZEKER")))))</f>
        <v/>
      </c>
      <c r="CZ175" t="str">
        <f t="shared" si="1330"/>
        <v/>
      </c>
      <c r="DA175" t="str">
        <f t="shared" si="1331"/>
        <v/>
      </c>
      <c r="DB175" t="str">
        <f>IF($DA175="","",IF(OR($EO175="",$EP175=""),"ONZEKER",IF(OR($EL175="",$EM175=""),"ONZEKER",IF(AND($EO175=$EL175+1,$EP175=$EM175),IF(OR(COUNTIF(#REF!,$B175)&gt;0,COUNTIF(#REF!,$B175)=0),"SKIP",IF(COUNTIFS(#REF!,$B175,#REF!,$DA175)&gt;0,"OK","ONBEKEND")),IF(AND($EO175=$EL175,$EP175=$EM175+1),IF(OR(COUNTIF(#REF!,$D175)&gt;0,COUNTIF(#REF!,$D175)=0),"SKIP",IF(COUNTIFS(#REF!,$D175,#REF!,$DA175)&gt;0,"OK","ONBEKEND")),"ONZEKER")))))</f>
        <v/>
      </c>
      <c r="DC175" t="str">
        <f t="shared" si="1332"/>
        <v/>
      </c>
      <c r="DD175" t="str">
        <f t="shared" si="1333"/>
        <v/>
      </c>
      <c r="DE175" t="str">
        <f>IF($DD175="","",IF(OR($ER175="",$ES175=""),"ONZEKER",IF(OR($EO175="",$EP175=""),"ONZEKER",IF(AND($ER175=$EO175+1,$ES175=$EP175),IF(OR(COUNTIF(#REF!,$B175)&gt;0,COUNTIF(#REF!,$B175)=0),"SKIP",IF(COUNTIFS(#REF!,$B175,#REF!,$DD175)&gt;0,"OK","ONBEKEND")),IF(AND($ER175=$EO175,$ES175=$EP175+1),IF(OR(COUNTIF(#REF!,$D175)&gt;0,COUNTIF(#REF!,$D175)=0),"SKIP",IF(COUNTIFS(#REF!,$D175,#REF!,$DD175)&gt;0,"OK","ONBEKEND")),"ONZEKER")))))</f>
        <v/>
      </c>
      <c r="DF175" t="str">
        <f t="shared" si="1334"/>
        <v/>
      </c>
      <c r="DG175" t="str">
        <f t="shared" si="1335"/>
        <v/>
      </c>
      <c r="DH175" t="str">
        <f>IF($DG175="","",IF(OR($EU175="",$EV175=""),"ONZEKER",IF(OR($ER175="",$ES175=""),"ONZEKER",IF(AND($EU175=$ER175+1,$EV175=$ES175),IF(OR(COUNTIF(#REF!,$B175)&gt;0,COUNTIF(#REF!,$B175)=0),"SKIP",IF(COUNTIFS(#REF!,$B175,#REF!,$DG175)&gt;0,"OK","ONBEKEND")),IF(AND($EU175=$ER175,$EV175=$ES175+1),IF(OR(COUNTIF(#REF!,$D175)&gt;0,COUNTIF(#REF!,$D175)=0),"SKIP",IF(COUNTIFS(#REF!,$D175,#REF!,$DG175)&gt;0,"OK","ONBEKEND")),"ONZEKER")))))</f>
        <v/>
      </c>
      <c r="DI175" t="str">
        <f t="shared" si="1336"/>
        <v/>
      </c>
      <c r="DJ175" t="str">
        <f t="shared" si="1337"/>
        <v/>
      </c>
      <c r="DK175" t="str">
        <f>IF($DJ175="","",IF(OR($EX175="",$EY175=""),"ONZEKER",IF(OR($EU175="",$EV175=""),"ONZEKER",IF(AND($EX175=$EU175+1,$EY175=$EV175),IF(OR(COUNTIF(#REF!,$B175)&gt;0,COUNTIF(#REF!,$B175)=0),"SKIP",IF(COUNTIFS(#REF!,$B175,#REF!,$DJ175)&gt;0,"OK","ONBEKEND")),IF(AND($EX175=$EU175,$EY175=$EV175+1),IF(OR(COUNTIF(#REF!,$D175)&gt;0,COUNTIF(#REF!,$D175)=0),"SKIP",IF(COUNTIFS(#REF!,$D175,#REF!,$DJ175)&gt;0,"OK","ONBEKEND")),"ONZEKER")))))</f>
        <v/>
      </c>
      <c r="DL175" t="str">
        <f t="shared" si="1338"/>
        <v/>
      </c>
      <c r="DM175" t="str">
        <f t="shared" si="1339"/>
        <v/>
      </c>
      <c r="DN175" t="str">
        <f t="shared" si="1340"/>
        <v/>
      </c>
      <c r="DO175" t="str">
        <f t="shared" si="1341"/>
        <v/>
      </c>
      <c r="DP175" t="str">
        <f t="shared" si="1342"/>
        <v/>
      </c>
      <c r="DQ175" t="str">
        <f t="shared" si="1343"/>
        <v/>
      </c>
      <c r="DR175" t="str">
        <f t="shared" si="1344"/>
        <v/>
      </c>
      <c r="DS175" t="str">
        <f t="shared" si="1345"/>
        <v/>
      </c>
      <c r="DT175" t="str">
        <f t="shared" si="1346"/>
        <v/>
      </c>
      <c r="DU175" t="str">
        <f t="shared" si="1347"/>
        <v/>
      </c>
      <c r="DV175" t="str">
        <f t="shared" si="1348"/>
        <v/>
      </c>
      <c r="DW175" t="str">
        <f t="shared" si="1349"/>
        <v/>
      </c>
      <c r="DX175" t="str">
        <f t="shared" si="1350"/>
        <v/>
      </c>
      <c r="DY175" t="str">
        <f t="shared" si="1351"/>
        <v/>
      </c>
      <c r="DZ175" t="str">
        <f t="shared" si="1352"/>
        <v/>
      </c>
      <c r="EA175" t="str">
        <f t="shared" si="1353"/>
        <v/>
      </c>
      <c r="EB175" t="str">
        <f t="shared" si="1354"/>
        <v/>
      </c>
      <c r="EC175" t="str">
        <f t="shared" si="1355"/>
        <v/>
      </c>
      <c r="ED175" t="str">
        <f t="shared" si="1356"/>
        <v/>
      </c>
      <c r="EE175" t="str">
        <f t="shared" si="1357"/>
        <v/>
      </c>
      <c r="EF175" t="str">
        <f t="shared" si="1358"/>
        <v/>
      </c>
      <c r="EG175" t="str">
        <f t="shared" si="1359"/>
        <v/>
      </c>
      <c r="EH175" t="str">
        <f t="shared" si="1360"/>
        <v/>
      </c>
      <c r="EI175" t="str">
        <f t="shared" si="1361"/>
        <v/>
      </c>
      <c r="EJ175" t="str">
        <f t="shared" si="1362"/>
        <v/>
      </c>
      <c r="EK175" t="str">
        <f t="shared" si="1363"/>
        <v/>
      </c>
      <c r="EL175" t="str">
        <f t="shared" si="1364"/>
        <v/>
      </c>
      <c r="EM175" t="str">
        <f t="shared" si="1365"/>
        <v/>
      </c>
      <c r="EN175" t="str">
        <f t="shared" si="1366"/>
        <v/>
      </c>
      <c r="EO175" t="str">
        <f t="shared" si="1367"/>
        <v/>
      </c>
      <c r="EP175" t="str">
        <f t="shared" si="1368"/>
        <v/>
      </c>
      <c r="EQ175" t="str">
        <f t="shared" si="1369"/>
        <v/>
      </c>
      <c r="ER175" t="str">
        <f t="shared" si="1370"/>
        <v/>
      </c>
      <c r="ES175" t="str">
        <f t="shared" si="1371"/>
        <v/>
      </c>
      <c r="ET175" t="str">
        <f t="shared" si="1372"/>
        <v/>
      </c>
      <c r="EU175" t="str">
        <f t="shared" si="1373"/>
        <v/>
      </c>
      <c r="EV175" t="str">
        <f t="shared" si="1374"/>
        <v/>
      </c>
      <c r="EW175" t="str">
        <f t="shared" si="1375"/>
        <v/>
      </c>
      <c r="EX175" t="str">
        <f t="shared" si="1376"/>
        <v/>
      </c>
      <c r="EY175" t="str">
        <f t="shared" si="1377"/>
        <v/>
      </c>
    </row>
    <row r="176" spans="1:155" ht="13.9" customHeight="1" x14ac:dyDescent="0.25">
      <c r="A176" s="7"/>
      <c r="B176" s="17"/>
      <c r="C176" s="8"/>
      <c r="D176" s="17"/>
      <c r="E176" s="8"/>
      <c r="F176" s="18">
        <v>0</v>
      </c>
      <c r="G176" s="7" t="s">
        <v>147</v>
      </c>
      <c r="H176" s="18">
        <v>0</v>
      </c>
      <c r="I176" s="19">
        <v>0</v>
      </c>
      <c r="J176" s="7" t="s">
        <v>147</v>
      </c>
      <c r="K176" s="19">
        <v>0</v>
      </c>
      <c r="L176" s="9"/>
      <c r="M176" s="3" t="str">
        <f>IF($L176="","",IF($L176="DOELPUNTENMAKERS","",IF(AND(COUNTIF(#REF!,$B176)=0,COUNTIF(#REF!,$D176)=0),"OK",IF($O176&gt;20,"LET OP: meer dan 20 items (controle onvolledig)",IF((COUNTIF($R176:$AS176,"ONZEKER")+COUNTIF($CJ176:$DK176,"ONZEKER"))&gt;0,"LET OP: scoreverloop onduidelijk (controle beperkt)",IF((IF($AT176&lt;&gt;"",$AT176&amp;", ","")&amp;IF($AU176&lt;&gt;"",$AU176&amp;", ","")&amp;IF($AV176&lt;&gt;"",$AV176&amp;", ","")&amp;IF($AW176&lt;&gt;"",$AW176&amp;", ","")&amp;IF($AX176&lt;&gt;"",$AX176&amp;", ","")&amp;IF($AY176&lt;&gt;"",$AY176&amp;", ","")&amp;IF($AZ176&lt;&gt;"",$AZ176&amp;", ","")&amp;IF($BA176&lt;&gt;"",$BA176&amp;", ","")&amp;IF($BB176&lt;&gt;"",$BB176&amp;", ","")&amp;IF($BC176&lt;&gt;"",$BC176&amp;", ","")&amp;IF($DL176&lt;&gt;"",$DL176&amp;", ","")&amp;IF($DM176&lt;&gt;"",$DM176&amp;", ","")&amp;IF($DN176&lt;&gt;"",$DN176&amp;", ","")&amp;IF($DO176&lt;&gt;"",$DO176&amp;", ","")&amp;IF($DP176&lt;&gt;"",$DP176&amp;", ","")&amp;IF($DQ176&lt;&gt;"",$DQ176&amp;", ","")&amp;IF($DR176&lt;&gt;"",$DR176&amp;", ","")&amp;IF($DS176&lt;&gt;"",$DS176&amp;", ","")&amp;IF($DT176&lt;&gt;"",$DT176&amp;", ","")&amp;IF($DU176&lt;&gt;"",$DU176&amp;", ",""))="","OK","Onbekend: "&amp;LEFT((IF($AT176&lt;&gt;"",$AT176&amp;", ","")&amp;IF($AU176&lt;&gt;"",$AU176&amp;", ","")&amp;IF($AV176&lt;&gt;"",$AV176&amp;", ","")&amp;IF($AW176&lt;&gt;"",$AW176&amp;", ","")&amp;IF($AX176&lt;&gt;"",$AX176&amp;", ","")&amp;IF($AY176&lt;&gt;"",$AY176&amp;", ","")&amp;IF($AZ176&lt;&gt;"",$AZ176&amp;", ","")&amp;IF($BA176&lt;&gt;"",$BA176&amp;", ","")&amp;IF($BB176&lt;&gt;"",$BB176&amp;", ","")&amp;IF($BC176&lt;&gt;"",$BC176&amp;", ","")&amp;IF($DL176&lt;&gt;"",$DL176&amp;", ","")&amp;IF($DM176&lt;&gt;"",$DM176&amp;", ","")&amp;IF($DN176&lt;&gt;"",$DN176&amp;", ","")&amp;IF($DO176&lt;&gt;"",$DO176&amp;", ","")&amp;IF($DP176&lt;&gt;"",$DP176&amp;", ","")&amp;IF($DQ176&lt;&gt;"",$DQ176&amp;", ","")&amp;IF($DR176&lt;&gt;"",$DR176&amp;", ","")&amp;IF($DS176&lt;&gt;"",$DS176&amp;", ","")&amp;IF($DT176&lt;&gt;"",$DT176&amp;", ","")&amp;IF($DU176&lt;&gt;"",$DU176&amp;", ","")),LEN((IF($AT176&lt;&gt;"",$AT176&amp;", ","")&amp;IF($AU176&lt;&gt;"",$AU176&amp;", ","")&amp;IF($AV176&lt;&gt;"",$AV176&amp;", ","")&amp;IF($AW176&lt;&gt;"",$AW176&amp;", ","")&amp;IF($AX176&lt;&gt;"",$AX176&amp;", ","")&amp;IF($AY176&lt;&gt;"",$AY176&amp;", ","")&amp;IF($AZ176&lt;&gt;"",$AZ176&amp;", ","")&amp;IF($BA176&lt;&gt;"",$BA176&amp;", ","")&amp;IF($BB176&lt;&gt;"",$BB176&amp;", ","")&amp;IF($BC176&lt;&gt;"",$BC176&amp;", ","")&amp;IF($DL176&lt;&gt;"",$DL176&amp;", ","")&amp;IF($DM176&lt;&gt;"",$DM176&amp;", ","")&amp;IF($DN176&lt;&gt;"",$DN176&amp;", ","")&amp;IF($DO176&lt;&gt;"",$DO176&amp;", ","")&amp;IF($DP176&lt;&gt;"",$DP176&amp;", ","")&amp;IF($DQ176&lt;&gt;"",$DQ176&amp;", ","")&amp;IF($DR176&lt;&gt;"",$DR176&amp;", ","")&amp;IF($DS176&lt;&gt;"",$DS176&amp;", ","")&amp;IF($DT176&lt;&gt;"",$DT176&amp;", ","")&amp;IF($DU176&lt;&gt;"",$DU176&amp;", ","")))-2)))))))</f>
        <v/>
      </c>
      <c r="N176" t="str">
        <f t="shared" si="1286"/>
        <v/>
      </c>
      <c r="O176" t="str">
        <f t="shared" si="1287"/>
        <v/>
      </c>
      <c r="P176" t="str">
        <f t="shared" si="1288"/>
        <v/>
      </c>
      <c r="Q176" t="str">
        <f t="shared" si="1289"/>
        <v/>
      </c>
      <c r="R176" t="str">
        <f>IF($Q176="","",IF(OR($BE176="",$BF176=""),"ONZEKER",IF(AND($BE176=0+1,$BF176=0),IF(OR(COUNTIF(#REF!,$B176)&gt;0,COUNTIF(#REF!,$B176)=0),"SKIP",IF(COUNTIFS(#REF!,$B176,#REF!,$Q176)&gt;0,"OK","ONBEKEND")),IF(AND($BE176=0,$BF176=0+1),IF(OR(COUNTIF(#REF!,$D176)&gt;0,COUNTIF(#REF!,$D176)=0),"SKIP",IF(COUNTIFS(#REF!,$D176,#REF!,$Q176)&gt;0,"OK","ONBEKEND")),"ONZEKER"))))</f>
        <v/>
      </c>
      <c r="S176" t="str">
        <f t="shared" si="1290"/>
        <v/>
      </c>
      <c r="T176" t="str">
        <f t="shared" si="1291"/>
        <v/>
      </c>
      <c r="U176" t="str">
        <f>IF($T176="","",IF(OR($BH176="",$BI176=""),"ONZEKER",IF(OR($BE176="",$BF176=""),"ONZEKER",IF(AND($BH176=$BE176+1,$BI176=$BF176),IF(OR(COUNTIF(#REF!,$B176)&gt;0,COUNTIF(#REF!,$B176)=0),"SKIP",IF(COUNTIFS(#REF!,$B176,#REF!,$T176)&gt;0,"OK","ONBEKEND")),IF(AND($BH176=$BE176,$BI176=$BF176+1),IF(OR(COUNTIF(#REF!,$D176)&gt;0,COUNTIF(#REF!,$D176)=0),"SKIP",IF(COUNTIFS(#REF!,$D176,#REF!,$T176)&gt;0,"OK","ONBEKEND")),"ONZEKER")))))</f>
        <v/>
      </c>
      <c r="V176" t="str">
        <f t="shared" si="1292"/>
        <v/>
      </c>
      <c r="W176" t="str">
        <f t="shared" si="1293"/>
        <v/>
      </c>
      <c r="X176" t="str">
        <f>IF($W176="","",IF(OR($BK176="",$BL176=""),"ONZEKER",IF(OR($BH176="",$BI176=""),"ONZEKER",IF(AND($BK176=$BH176+1,$BL176=$BI176),IF(OR(COUNTIF(#REF!,$B176)&gt;0,COUNTIF(#REF!,$B176)=0),"SKIP",IF(COUNTIFS(#REF!,$B176,#REF!,$W176)&gt;0,"OK","ONBEKEND")),IF(AND($BK176=$BH176,$BL176=$BI176+1),IF(OR(COUNTIF(#REF!,$D176)&gt;0,COUNTIF(#REF!,$D176)=0),"SKIP",IF(COUNTIFS(#REF!,$D176,#REF!,$W176)&gt;0,"OK","ONBEKEND")),"ONZEKER")))))</f>
        <v/>
      </c>
      <c r="Y176" t="str">
        <f t="shared" si="1294"/>
        <v/>
      </c>
      <c r="Z176" t="str">
        <f t="shared" si="1295"/>
        <v/>
      </c>
      <c r="AA176" t="str">
        <f>IF($Z176="","",IF(OR($BN176="",$BO176=""),"ONZEKER",IF(OR($BK176="",$BL176=""),"ONZEKER",IF(AND($BN176=$BK176+1,$BO176=$BL176),IF(OR(COUNTIF(#REF!,$B176)&gt;0,COUNTIF(#REF!,$B176)=0),"SKIP",IF(COUNTIFS(#REF!,$B176,#REF!,$Z176)&gt;0,"OK","ONBEKEND")),IF(AND($BN176=$BK176,$BO176=$BL176+1),IF(OR(COUNTIF(#REF!,$D176)&gt;0,COUNTIF(#REF!,$D176)=0),"SKIP",IF(COUNTIFS(#REF!,$D176,#REF!,$Z176)&gt;0,"OK","ONBEKEND")),"ONZEKER")))))</f>
        <v/>
      </c>
      <c r="AB176" t="str">
        <f t="shared" si="1296"/>
        <v/>
      </c>
      <c r="AC176" t="str">
        <f t="shared" si="1297"/>
        <v/>
      </c>
      <c r="AD176" t="str">
        <f>IF($AC176="","",IF(OR($BQ176="",$BR176=""),"ONZEKER",IF(OR($BN176="",$BO176=""),"ONZEKER",IF(AND($BQ176=$BN176+1,$BR176=$BO176),IF(OR(COUNTIF(#REF!,$B176)&gt;0,COUNTIF(#REF!,$B176)=0),"SKIP",IF(COUNTIFS(#REF!,$B176,#REF!,$AC176)&gt;0,"OK","ONBEKEND")),IF(AND($BQ176=$BN176,$BR176=$BO176+1),IF(OR(COUNTIF(#REF!,$D176)&gt;0,COUNTIF(#REF!,$D176)=0),"SKIP",IF(COUNTIFS(#REF!,$D176,#REF!,$AC176)&gt;0,"OK","ONBEKEND")),"ONZEKER")))))</f>
        <v/>
      </c>
      <c r="AE176" t="str">
        <f t="shared" si="1298"/>
        <v/>
      </c>
      <c r="AF176" t="str">
        <f t="shared" si="1299"/>
        <v/>
      </c>
      <c r="AG176" t="str">
        <f>IF($AF176="","",IF(OR($BT176="",$BU176=""),"ONZEKER",IF(OR($BQ176="",$BR176=""),"ONZEKER",IF(AND($BT176=$BQ176+1,$BU176=$BR176),IF(OR(COUNTIF(#REF!,$B176)&gt;0,COUNTIF(#REF!,$B176)=0),"SKIP",IF(COUNTIFS(#REF!,$B176,#REF!,$AF176)&gt;0,"OK","ONBEKEND")),IF(AND($BT176=$BQ176,$BU176=$BR176+1),IF(OR(COUNTIF(#REF!,$D176)&gt;0,COUNTIF(#REF!,$D176)=0),"SKIP",IF(COUNTIFS(#REF!,$D176,#REF!,$AF176)&gt;0,"OK","ONBEKEND")),"ONZEKER")))))</f>
        <v/>
      </c>
      <c r="AH176" t="str">
        <f t="shared" si="1300"/>
        <v/>
      </c>
      <c r="AI176" t="str">
        <f t="shared" si="1301"/>
        <v/>
      </c>
      <c r="AJ176" t="str">
        <f>IF($AI176="","",IF(OR($BW176="",$BX176=""),"ONZEKER",IF(OR($BT176="",$BU176=""),"ONZEKER",IF(AND($BW176=$BT176+1,$BX176=$BU176),IF(OR(COUNTIF(#REF!,$B176)&gt;0,COUNTIF(#REF!,$B176)=0),"SKIP",IF(COUNTIFS(#REF!,$B176,#REF!,$AI176)&gt;0,"OK","ONBEKEND")),IF(AND($BW176=$BT176,$BX176=$BU176+1),IF(OR(COUNTIF(#REF!,$D176)&gt;0,COUNTIF(#REF!,$D176)=0),"SKIP",IF(COUNTIFS(#REF!,$D176,#REF!,$AI176)&gt;0,"OK","ONBEKEND")),"ONZEKER")))))</f>
        <v/>
      </c>
      <c r="AK176" t="str">
        <f t="shared" si="1302"/>
        <v/>
      </c>
      <c r="AL176" t="str">
        <f t="shared" si="1303"/>
        <v/>
      </c>
      <c r="AM176" t="str">
        <f>IF($AL176="","",IF(OR($BZ176="",$CA176=""),"ONZEKER",IF(OR($BW176="",$BX176=""),"ONZEKER",IF(AND($BZ176=$BW176+1,$CA176=$BX176),IF(OR(COUNTIF(#REF!,$B176)&gt;0,COUNTIF(#REF!,$B176)=0),"SKIP",IF(COUNTIFS(#REF!,$B176,#REF!,$AL176)&gt;0,"OK","ONBEKEND")),IF(AND($BZ176=$BW176,$CA176=$BX176+1),IF(OR(COUNTIF(#REF!,$D176)&gt;0,COUNTIF(#REF!,$D176)=0),"SKIP",IF(COUNTIFS(#REF!,$D176,#REF!,$AL176)&gt;0,"OK","ONBEKEND")),"ONZEKER")))))</f>
        <v/>
      </c>
      <c r="AN176" t="str">
        <f t="shared" si="1304"/>
        <v/>
      </c>
      <c r="AO176" t="str">
        <f t="shared" si="1305"/>
        <v/>
      </c>
      <c r="AP176" t="str">
        <f>IF($AO176="","",IF(OR($CC176="",$CD176=""),"ONZEKER",IF(OR($BZ176="",$CA176=""),"ONZEKER",IF(AND($CC176=$BZ176+1,$CD176=$CA176),IF(OR(COUNTIF(#REF!,$B176)&gt;0,COUNTIF(#REF!,$B176)=0),"SKIP",IF(COUNTIFS(#REF!,$B176,#REF!,$AO176)&gt;0,"OK","ONBEKEND")),IF(AND($CC176=$BZ176,$CD176=$CA176+1),IF(OR(COUNTIF(#REF!,$D176)&gt;0,COUNTIF(#REF!,$D176)=0),"SKIP",IF(COUNTIFS(#REF!,$D176,#REF!,$AO176)&gt;0,"OK","ONBEKEND")),"ONZEKER")))))</f>
        <v/>
      </c>
      <c r="AQ176" t="str">
        <f t="shared" si="1306"/>
        <v/>
      </c>
      <c r="AR176" t="str">
        <f t="shared" si="1307"/>
        <v/>
      </c>
      <c r="AS176" t="str">
        <f>IF($AR176="","",IF(OR($CF176="",$CG176=""),"ONZEKER",IF(OR($CC176="",$CD176=""),"ONZEKER",IF(AND($CF176=$CC176+1,$CG176=$CD176),IF(OR(COUNTIF(#REF!,$B176)&gt;0,COUNTIF(#REF!,$B176)=0),"SKIP",IF(COUNTIFS(#REF!,$B176,#REF!,$AR176)&gt;0,"OK","ONBEKEND")),IF(AND($CF176=$CC176,$CG176=$CD176+1),IF(OR(COUNTIF(#REF!,$D176)&gt;0,COUNTIF(#REF!,$D176)=0),"SKIP",IF(COUNTIFS(#REF!,$D176,#REF!,$AR176)&gt;0,"OK","ONBEKEND")),"ONZEKER")))))</f>
        <v/>
      </c>
      <c r="AT176" t="str">
        <f t="shared" si="1308"/>
        <v/>
      </c>
      <c r="AU176" t="str">
        <f t="shared" si="1309"/>
        <v/>
      </c>
      <c r="AV176" t="str">
        <f t="shared" si="1310"/>
        <v/>
      </c>
      <c r="AW176" t="str">
        <f t="shared" si="1311"/>
        <v/>
      </c>
      <c r="AX176" t="str">
        <f t="shared" si="1312"/>
        <v/>
      </c>
      <c r="AY176" t="str">
        <f t="shared" si="1313"/>
        <v/>
      </c>
      <c r="AZ176" t="str">
        <f t="shared" si="1314"/>
        <v/>
      </c>
      <c r="BA176" t="str">
        <f t="shared" si="1315"/>
        <v/>
      </c>
      <c r="BB176" t="str">
        <f t="shared" si="1316"/>
        <v/>
      </c>
      <c r="BC176" t="str">
        <f t="shared" si="1317"/>
        <v/>
      </c>
      <c r="BD176" t="str">
        <f t="shared" si="980"/>
        <v/>
      </c>
      <c r="BE176" t="str">
        <f t="shared" si="981"/>
        <v/>
      </c>
      <c r="BF176" t="str">
        <f t="shared" si="982"/>
        <v/>
      </c>
      <c r="BG176" t="str">
        <f t="shared" si="983"/>
        <v/>
      </c>
      <c r="BH176" t="str">
        <f t="shared" si="984"/>
        <v/>
      </c>
      <c r="BI176" t="str">
        <f t="shared" si="985"/>
        <v/>
      </c>
      <c r="BJ176" t="str">
        <f t="shared" si="986"/>
        <v/>
      </c>
      <c r="BK176" t="str">
        <f t="shared" si="987"/>
        <v/>
      </c>
      <c r="BL176" t="str">
        <f t="shared" si="988"/>
        <v/>
      </c>
      <c r="BM176" t="str">
        <f t="shared" si="989"/>
        <v/>
      </c>
      <c r="BN176" t="str">
        <f t="shared" si="990"/>
        <v/>
      </c>
      <c r="BO176" t="str">
        <f t="shared" si="991"/>
        <v/>
      </c>
      <c r="BP176" t="str">
        <f t="shared" si="992"/>
        <v/>
      </c>
      <c r="BQ176" t="str">
        <f t="shared" si="993"/>
        <v/>
      </c>
      <c r="BR176" t="str">
        <f t="shared" si="994"/>
        <v/>
      </c>
      <c r="BS176" t="str">
        <f t="shared" si="995"/>
        <v/>
      </c>
      <c r="BT176" t="str">
        <f t="shared" si="996"/>
        <v/>
      </c>
      <c r="BU176" t="str">
        <f t="shared" si="997"/>
        <v/>
      </c>
      <c r="BV176" t="str">
        <f t="shared" si="998"/>
        <v/>
      </c>
      <c r="BW176" t="str">
        <f t="shared" si="999"/>
        <v/>
      </c>
      <c r="BX176" t="str">
        <f t="shared" si="1000"/>
        <v/>
      </c>
      <c r="BY176" t="str">
        <f t="shared" si="1001"/>
        <v/>
      </c>
      <c r="BZ176" t="str">
        <f t="shared" si="1002"/>
        <v/>
      </c>
      <c r="CA176" t="str">
        <f t="shared" si="1003"/>
        <v/>
      </c>
      <c r="CB176" t="str">
        <f t="shared" si="1004"/>
        <v/>
      </c>
      <c r="CC176" t="str">
        <f t="shared" si="1005"/>
        <v/>
      </c>
      <c r="CD176" t="str">
        <f t="shared" si="1006"/>
        <v/>
      </c>
      <c r="CE176" t="str">
        <f t="shared" si="1007"/>
        <v/>
      </c>
      <c r="CF176" t="str">
        <f t="shared" si="1008"/>
        <v/>
      </c>
      <c r="CG176" t="str">
        <f t="shared" si="1009"/>
        <v/>
      </c>
      <c r="CH176" t="str">
        <f t="shared" si="1318"/>
        <v/>
      </c>
      <c r="CI176" t="str">
        <f t="shared" si="1319"/>
        <v/>
      </c>
      <c r="CJ176" t="str">
        <f>IF($CI176="","",IF(OR($DW176="",$DX176=""),"ONZEKER",IF(OR($CF176="",$CG176=""),"ONZEKER",IF(AND($DW176=$CF176+1,$DX176=$CG176),IF(OR(COUNTIF(#REF!,$B176)&gt;0,COUNTIF(#REF!,$B176)=0),"SKIP",IF(COUNTIFS(#REF!,$B176,#REF!,$CI176)&gt;0,"OK","ONBEKEND")),IF(AND($DW176=$CF176,$DX176=$CG176+1),IF(OR(COUNTIF(#REF!,$D176)&gt;0,COUNTIF(#REF!,$D176)=0),"SKIP",IF(COUNTIFS(#REF!,$D176,#REF!,$CI176)&gt;0,"OK","ONBEKEND")),"ONZEKER")))))</f>
        <v/>
      </c>
      <c r="CK176" t="str">
        <f t="shared" si="1320"/>
        <v/>
      </c>
      <c r="CL176" t="str">
        <f t="shared" si="1321"/>
        <v/>
      </c>
      <c r="CM176" t="str">
        <f>IF($CL176="","",IF(OR($DZ176="",$EA176=""),"ONZEKER",IF(OR($DW176="",$DX176=""),"ONZEKER",IF(AND($DZ176=$DW176+1,$EA176=$DX176),IF(OR(COUNTIF(#REF!,$B176)&gt;0,COUNTIF(#REF!,$B176)=0),"SKIP",IF(COUNTIFS(#REF!,$B176,#REF!,$CL176)&gt;0,"OK","ONBEKEND")),IF(AND($DZ176=$DW176,$EA176=$DX176+1),IF(OR(COUNTIF(#REF!,$D176)&gt;0,COUNTIF(#REF!,$D176)=0),"SKIP",IF(COUNTIFS(#REF!,$D176,#REF!,$CL176)&gt;0,"OK","ONBEKEND")),"ONZEKER")))))</f>
        <v/>
      </c>
      <c r="CN176" t="str">
        <f t="shared" si="1322"/>
        <v/>
      </c>
      <c r="CO176" t="str">
        <f t="shared" si="1323"/>
        <v/>
      </c>
      <c r="CP176" t="str">
        <f>IF($CO176="","",IF(OR($EC176="",$ED176=""),"ONZEKER",IF(OR($DZ176="",$EA176=""),"ONZEKER",IF(AND($EC176=$DZ176+1,$ED176=$EA176),IF(OR(COUNTIF(#REF!,$B176)&gt;0,COUNTIF(#REF!,$B176)=0),"SKIP",IF(COUNTIFS(#REF!,$B176,#REF!,$CO176)&gt;0,"OK","ONBEKEND")),IF(AND($EC176=$DZ176,$ED176=$EA176+1),IF(OR(COUNTIF(#REF!,$D176)&gt;0,COUNTIF(#REF!,$D176)=0),"SKIP",IF(COUNTIFS(#REF!,$D176,#REF!,$CO176)&gt;0,"OK","ONBEKEND")),"ONZEKER")))))</f>
        <v/>
      </c>
      <c r="CQ176" t="str">
        <f t="shared" si="1324"/>
        <v/>
      </c>
      <c r="CR176" t="str">
        <f t="shared" si="1325"/>
        <v/>
      </c>
      <c r="CS176" t="str">
        <f>IF($CR176="","",IF(OR($EF176="",$EG176=""),"ONZEKER",IF(OR($EC176="",$ED176=""),"ONZEKER",IF(AND($EF176=$EC176+1,$EG176=$ED176),IF(OR(COUNTIF(#REF!,$B176)&gt;0,COUNTIF(#REF!,$B176)=0),"SKIP",IF(COUNTIFS(#REF!,$B176,#REF!,$CR176)&gt;0,"OK","ONBEKEND")),IF(AND($EF176=$EC176,$EG176=$ED176+1),IF(OR(COUNTIF(#REF!,$D176)&gt;0,COUNTIF(#REF!,$D176)=0),"SKIP",IF(COUNTIFS(#REF!,$D176,#REF!,$CR176)&gt;0,"OK","ONBEKEND")),"ONZEKER")))))</f>
        <v/>
      </c>
      <c r="CT176" t="str">
        <f t="shared" si="1326"/>
        <v/>
      </c>
      <c r="CU176" t="str">
        <f t="shared" si="1327"/>
        <v/>
      </c>
      <c r="CV176" t="str">
        <f>IF($CU176="","",IF(OR($EI176="",$EJ176=""),"ONZEKER",IF(OR($EF176="",$EG176=""),"ONZEKER",IF(AND($EI176=$EF176+1,$EJ176=$EG176),IF(OR(COUNTIF(#REF!,$B176)&gt;0,COUNTIF(#REF!,$B176)=0),"SKIP",IF(COUNTIFS(#REF!,$B176,#REF!,$CU176)&gt;0,"OK","ONBEKEND")),IF(AND($EI176=$EF176,$EJ176=$EG176+1),IF(OR(COUNTIF(#REF!,$D176)&gt;0,COUNTIF(#REF!,$D176)=0),"SKIP",IF(COUNTIFS(#REF!,$D176,#REF!,$CU176)&gt;0,"OK","ONBEKEND")),"ONZEKER")))))</f>
        <v/>
      </c>
      <c r="CW176" t="str">
        <f t="shared" si="1328"/>
        <v/>
      </c>
      <c r="CX176" t="str">
        <f t="shared" si="1329"/>
        <v/>
      </c>
      <c r="CY176" t="str">
        <f>IF($CX176="","",IF(OR($EL176="",$EM176=""),"ONZEKER",IF(OR($EI176="",$EJ176=""),"ONZEKER",IF(AND($EL176=$EI176+1,$EM176=$EJ176),IF(OR(COUNTIF(#REF!,$B176)&gt;0,COUNTIF(#REF!,$B176)=0),"SKIP",IF(COUNTIFS(#REF!,$B176,#REF!,$CX176)&gt;0,"OK","ONBEKEND")),IF(AND($EL176=$EI176,$EM176=$EJ176+1),IF(OR(COUNTIF(#REF!,$D176)&gt;0,COUNTIF(#REF!,$D176)=0),"SKIP",IF(COUNTIFS(#REF!,$D176,#REF!,$CX176)&gt;0,"OK","ONBEKEND")),"ONZEKER")))))</f>
        <v/>
      </c>
      <c r="CZ176" t="str">
        <f t="shared" si="1330"/>
        <v/>
      </c>
      <c r="DA176" t="str">
        <f t="shared" si="1331"/>
        <v/>
      </c>
      <c r="DB176" t="str">
        <f>IF($DA176="","",IF(OR($EO176="",$EP176=""),"ONZEKER",IF(OR($EL176="",$EM176=""),"ONZEKER",IF(AND($EO176=$EL176+1,$EP176=$EM176),IF(OR(COUNTIF(#REF!,$B176)&gt;0,COUNTIF(#REF!,$B176)=0),"SKIP",IF(COUNTIFS(#REF!,$B176,#REF!,$DA176)&gt;0,"OK","ONBEKEND")),IF(AND($EO176=$EL176,$EP176=$EM176+1),IF(OR(COUNTIF(#REF!,$D176)&gt;0,COUNTIF(#REF!,$D176)=0),"SKIP",IF(COUNTIFS(#REF!,$D176,#REF!,$DA176)&gt;0,"OK","ONBEKEND")),"ONZEKER")))))</f>
        <v/>
      </c>
      <c r="DC176" t="str">
        <f t="shared" si="1332"/>
        <v/>
      </c>
      <c r="DD176" t="str">
        <f t="shared" si="1333"/>
        <v/>
      </c>
      <c r="DE176" t="str">
        <f>IF($DD176="","",IF(OR($ER176="",$ES176=""),"ONZEKER",IF(OR($EO176="",$EP176=""),"ONZEKER",IF(AND($ER176=$EO176+1,$ES176=$EP176),IF(OR(COUNTIF(#REF!,$B176)&gt;0,COUNTIF(#REF!,$B176)=0),"SKIP",IF(COUNTIFS(#REF!,$B176,#REF!,$DD176)&gt;0,"OK","ONBEKEND")),IF(AND($ER176=$EO176,$ES176=$EP176+1),IF(OR(COUNTIF(#REF!,$D176)&gt;0,COUNTIF(#REF!,$D176)=0),"SKIP",IF(COUNTIFS(#REF!,$D176,#REF!,$DD176)&gt;0,"OK","ONBEKEND")),"ONZEKER")))))</f>
        <v/>
      </c>
      <c r="DF176" t="str">
        <f t="shared" si="1334"/>
        <v/>
      </c>
      <c r="DG176" t="str">
        <f t="shared" si="1335"/>
        <v/>
      </c>
      <c r="DH176" t="str">
        <f>IF($DG176="","",IF(OR($EU176="",$EV176=""),"ONZEKER",IF(OR($ER176="",$ES176=""),"ONZEKER",IF(AND($EU176=$ER176+1,$EV176=$ES176),IF(OR(COUNTIF(#REF!,$B176)&gt;0,COUNTIF(#REF!,$B176)=0),"SKIP",IF(COUNTIFS(#REF!,$B176,#REF!,$DG176)&gt;0,"OK","ONBEKEND")),IF(AND($EU176=$ER176,$EV176=$ES176+1),IF(OR(COUNTIF(#REF!,$D176)&gt;0,COUNTIF(#REF!,$D176)=0),"SKIP",IF(COUNTIFS(#REF!,$D176,#REF!,$DG176)&gt;0,"OK","ONBEKEND")),"ONZEKER")))))</f>
        <v/>
      </c>
      <c r="DI176" t="str">
        <f t="shared" si="1336"/>
        <v/>
      </c>
      <c r="DJ176" t="str">
        <f t="shared" si="1337"/>
        <v/>
      </c>
      <c r="DK176" t="str">
        <f>IF($DJ176="","",IF(OR($EX176="",$EY176=""),"ONZEKER",IF(OR($EU176="",$EV176=""),"ONZEKER",IF(AND($EX176=$EU176+1,$EY176=$EV176),IF(OR(COUNTIF(#REF!,$B176)&gt;0,COUNTIF(#REF!,$B176)=0),"SKIP",IF(COUNTIFS(#REF!,$B176,#REF!,$DJ176)&gt;0,"OK","ONBEKEND")),IF(AND($EX176=$EU176,$EY176=$EV176+1),IF(OR(COUNTIF(#REF!,$D176)&gt;0,COUNTIF(#REF!,$D176)=0),"SKIP",IF(COUNTIFS(#REF!,$D176,#REF!,$DJ176)&gt;0,"OK","ONBEKEND")),"ONZEKER")))))</f>
        <v/>
      </c>
      <c r="DL176" t="str">
        <f t="shared" si="1338"/>
        <v/>
      </c>
      <c r="DM176" t="str">
        <f t="shared" si="1339"/>
        <v/>
      </c>
      <c r="DN176" t="str">
        <f t="shared" si="1340"/>
        <v/>
      </c>
      <c r="DO176" t="str">
        <f t="shared" si="1341"/>
        <v/>
      </c>
      <c r="DP176" t="str">
        <f t="shared" si="1342"/>
        <v/>
      </c>
      <c r="DQ176" t="str">
        <f t="shared" si="1343"/>
        <v/>
      </c>
      <c r="DR176" t="str">
        <f t="shared" si="1344"/>
        <v/>
      </c>
      <c r="DS176" t="str">
        <f t="shared" si="1345"/>
        <v/>
      </c>
      <c r="DT176" t="str">
        <f t="shared" si="1346"/>
        <v/>
      </c>
      <c r="DU176" t="str">
        <f t="shared" si="1347"/>
        <v/>
      </c>
      <c r="DV176" t="str">
        <f t="shared" si="1348"/>
        <v/>
      </c>
      <c r="DW176" t="str">
        <f t="shared" si="1349"/>
        <v/>
      </c>
      <c r="DX176" t="str">
        <f t="shared" si="1350"/>
        <v/>
      </c>
      <c r="DY176" t="str">
        <f t="shared" si="1351"/>
        <v/>
      </c>
      <c r="DZ176" t="str">
        <f t="shared" si="1352"/>
        <v/>
      </c>
      <c r="EA176" t="str">
        <f t="shared" si="1353"/>
        <v/>
      </c>
      <c r="EB176" t="str">
        <f t="shared" si="1354"/>
        <v/>
      </c>
      <c r="EC176" t="str">
        <f t="shared" si="1355"/>
        <v/>
      </c>
      <c r="ED176" t="str">
        <f t="shared" si="1356"/>
        <v/>
      </c>
      <c r="EE176" t="str">
        <f t="shared" si="1357"/>
        <v/>
      </c>
      <c r="EF176" t="str">
        <f t="shared" si="1358"/>
        <v/>
      </c>
      <c r="EG176" t="str">
        <f t="shared" si="1359"/>
        <v/>
      </c>
      <c r="EH176" t="str">
        <f t="shared" si="1360"/>
        <v/>
      </c>
      <c r="EI176" t="str">
        <f t="shared" si="1361"/>
        <v/>
      </c>
      <c r="EJ176" t="str">
        <f t="shared" si="1362"/>
        <v/>
      </c>
      <c r="EK176" t="str">
        <f t="shared" si="1363"/>
        <v/>
      </c>
      <c r="EL176" t="str">
        <f t="shared" si="1364"/>
        <v/>
      </c>
      <c r="EM176" t="str">
        <f t="shared" si="1365"/>
        <v/>
      </c>
      <c r="EN176" t="str">
        <f t="shared" si="1366"/>
        <v/>
      </c>
      <c r="EO176" t="str">
        <f t="shared" si="1367"/>
        <v/>
      </c>
      <c r="EP176" t="str">
        <f t="shared" si="1368"/>
        <v/>
      </c>
      <c r="EQ176" t="str">
        <f t="shared" si="1369"/>
        <v/>
      </c>
      <c r="ER176" t="str">
        <f t="shared" si="1370"/>
        <v/>
      </c>
      <c r="ES176" t="str">
        <f t="shared" si="1371"/>
        <v/>
      </c>
      <c r="ET176" t="str">
        <f t="shared" si="1372"/>
        <v/>
      </c>
      <c r="EU176" t="str">
        <f t="shared" si="1373"/>
        <v/>
      </c>
      <c r="EV176" t="str">
        <f t="shared" si="1374"/>
        <v/>
      </c>
      <c r="EW176" t="str">
        <f t="shared" si="1375"/>
        <v/>
      </c>
      <c r="EX176" t="str">
        <f t="shared" si="1376"/>
        <v/>
      </c>
      <c r="EY176" t="str">
        <f t="shared" si="1377"/>
        <v/>
      </c>
    </row>
    <row r="177" spans="1:155" ht="13.9" customHeight="1" x14ac:dyDescent="0.25">
      <c r="A177" s="7"/>
      <c r="B177" s="17"/>
      <c r="C177" s="8"/>
      <c r="D177" s="17"/>
      <c r="E177" s="8"/>
      <c r="F177" s="18">
        <v>0</v>
      </c>
      <c r="G177" s="7" t="s">
        <v>147</v>
      </c>
      <c r="H177" s="18">
        <v>0</v>
      </c>
      <c r="I177" s="19">
        <v>0</v>
      </c>
      <c r="J177" s="7" t="s">
        <v>147</v>
      </c>
      <c r="K177" s="19">
        <v>0</v>
      </c>
      <c r="L177" s="9"/>
      <c r="M177" s="3" t="str">
        <f>IF($L177="","",IF($L177="DOELPUNTENMAKERS","",IF(AND(COUNTIF(#REF!,$B177)=0,COUNTIF(#REF!,$D177)=0),"OK",IF($O177&gt;20,"LET OP: meer dan 20 items (controle onvolledig)",IF((COUNTIF($R177:$AS177,"ONZEKER")+COUNTIF($CJ177:$DK177,"ONZEKER"))&gt;0,"LET OP: scoreverloop onduidelijk (controle beperkt)",IF((IF($AT177&lt;&gt;"",$AT177&amp;", ","")&amp;IF($AU177&lt;&gt;"",$AU177&amp;", ","")&amp;IF($AV177&lt;&gt;"",$AV177&amp;", ","")&amp;IF($AW177&lt;&gt;"",$AW177&amp;", ","")&amp;IF($AX177&lt;&gt;"",$AX177&amp;", ","")&amp;IF($AY177&lt;&gt;"",$AY177&amp;", ","")&amp;IF($AZ177&lt;&gt;"",$AZ177&amp;", ","")&amp;IF($BA177&lt;&gt;"",$BA177&amp;", ","")&amp;IF($BB177&lt;&gt;"",$BB177&amp;", ","")&amp;IF($BC177&lt;&gt;"",$BC177&amp;", ","")&amp;IF($DL177&lt;&gt;"",$DL177&amp;", ","")&amp;IF($DM177&lt;&gt;"",$DM177&amp;", ","")&amp;IF($DN177&lt;&gt;"",$DN177&amp;", ","")&amp;IF($DO177&lt;&gt;"",$DO177&amp;", ","")&amp;IF($DP177&lt;&gt;"",$DP177&amp;", ","")&amp;IF($DQ177&lt;&gt;"",$DQ177&amp;", ","")&amp;IF($DR177&lt;&gt;"",$DR177&amp;", ","")&amp;IF($DS177&lt;&gt;"",$DS177&amp;", ","")&amp;IF($DT177&lt;&gt;"",$DT177&amp;", ","")&amp;IF($DU177&lt;&gt;"",$DU177&amp;", ",""))="","OK","Onbekend: "&amp;LEFT((IF($AT177&lt;&gt;"",$AT177&amp;", ","")&amp;IF($AU177&lt;&gt;"",$AU177&amp;", ","")&amp;IF($AV177&lt;&gt;"",$AV177&amp;", ","")&amp;IF($AW177&lt;&gt;"",$AW177&amp;", ","")&amp;IF($AX177&lt;&gt;"",$AX177&amp;", ","")&amp;IF($AY177&lt;&gt;"",$AY177&amp;", ","")&amp;IF($AZ177&lt;&gt;"",$AZ177&amp;", ","")&amp;IF($BA177&lt;&gt;"",$BA177&amp;", ","")&amp;IF($BB177&lt;&gt;"",$BB177&amp;", ","")&amp;IF($BC177&lt;&gt;"",$BC177&amp;", ","")&amp;IF($DL177&lt;&gt;"",$DL177&amp;", ","")&amp;IF($DM177&lt;&gt;"",$DM177&amp;", ","")&amp;IF($DN177&lt;&gt;"",$DN177&amp;", ","")&amp;IF($DO177&lt;&gt;"",$DO177&amp;", ","")&amp;IF($DP177&lt;&gt;"",$DP177&amp;", ","")&amp;IF($DQ177&lt;&gt;"",$DQ177&amp;", ","")&amp;IF($DR177&lt;&gt;"",$DR177&amp;", ","")&amp;IF($DS177&lt;&gt;"",$DS177&amp;", ","")&amp;IF($DT177&lt;&gt;"",$DT177&amp;", ","")&amp;IF($DU177&lt;&gt;"",$DU177&amp;", ","")),LEN((IF($AT177&lt;&gt;"",$AT177&amp;", ","")&amp;IF($AU177&lt;&gt;"",$AU177&amp;", ","")&amp;IF($AV177&lt;&gt;"",$AV177&amp;", ","")&amp;IF($AW177&lt;&gt;"",$AW177&amp;", ","")&amp;IF($AX177&lt;&gt;"",$AX177&amp;", ","")&amp;IF($AY177&lt;&gt;"",$AY177&amp;", ","")&amp;IF($AZ177&lt;&gt;"",$AZ177&amp;", ","")&amp;IF($BA177&lt;&gt;"",$BA177&amp;", ","")&amp;IF($BB177&lt;&gt;"",$BB177&amp;", ","")&amp;IF($BC177&lt;&gt;"",$BC177&amp;", ","")&amp;IF($DL177&lt;&gt;"",$DL177&amp;", ","")&amp;IF($DM177&lt;&gt;"",$DM177&amp;", ","")&amp;IF($DN177&lt;&gt;"",$DN177&amp;", ","")&amp;IF($DO177&lt;&gt;"",$DO177&amp;", ","")&amp;IF($DP177&lt;&gt;"",$DP177&amp;", ","")&amp;IF($DQ177&lt;&gt;"",$DQ177&amp;", ","")&amp;IF($DR177&lt;&gt;"",$DR177&amp;", ","")&amp;IF($DS177&lt;&gt;"",$DS177&amp;", ","")&amp;IF($DT177&lt;&gt;"",$DT177&amp;", ","")&amp;IF($DU177&lt;&gt;"",$DU177&amp;", ","")))-2)))))))</f>
        <v/>
      </c>
      <c r="N177" t="str">
        <f t="shared" si="1286"/>
        <v/>
      </c>
      <c r="O177" t="str">
        <f t="shared" si="1287"/>
        <v/>
      </c>
      <c r="P177" t="str">
        <f t="shared" si="1288"/>
        <v/>
      </c>
      <c r="Q177" t="str">
        <f t="shared" si="1289"/>
        <v/>
      </c>
      <c r="R177" t="str">
        <f>IF($Q177="","",IF(OR($BE177="",$BF177=""),"ONZEKER",IF(AND($BE177=0+1,$BF177=0),IF(OR(COUNTIF(#REF!,$B177)&gt;0,COUNTIF(#REF!,$B177)=0),"SKIP",IF(COUNTIFS(#REF!,$B177,#REF!,$Q177)&gt;0,"OK","ONBEKEND")),IF(AND($BE177=0,$BF177=0+1),IF(OR(COUNTIF(#REF!,$D177)&gt;0,COUNTIF(#REF!,$D177)=0),"SKIP",IF(COUNTIFS(#REF!,$D177,#REF!,$Q177)&gt;0,"OK","ONBEKEND")),"ONZEKER"))))</f>
        <v/>
      </c>
      <c r="S177" t="str">
        <f t="shared" si="1290"/>
        <v/>
      </c>
      <c r="T177" t="str">
        <f t="shared" si="1291"/>
        <v/>
      </c>
      <c r="U177" t="str">
        <f>IF($T177="","",IF(OR($BH177="",$BI177=""),"ONZEKER",IF(OR($BE177="",$BF177=""),"ONZEKER",IF(AND($BH177=$BE177+1,$BI177=$BF177),IF(OR(COUNTIF(#REF!,$B177)&gt;0,COUNTIF(#REF!,$B177)=0),"SKIP",IF(COUNTIFS(#REF!,$B177,#REF!,$T177)&gt;0,"OK","ONBEKEND")),IF(AND($BH177=$BE177,$BI177=$BF177+1),IF(OR(COUNTIF(#REF!,$D177)&gt;0,COUNTIF(#REF!,$D177)=0),"SKIP",IF(COUNTIFS(#REF!,$D177,#REF!,$T177)&gt;0,"OK","ONBEKEND")),"ONZEKER")))))</f>
        <v/>
      </c>
      <c r="V177" t="str">
        <f t="shared" si="1292"/>
        <v/>
      </c>
      <c r="W177" t="str">
        <f t="shared" si="1293"/>
        <v/>
      </c>
      <c r="X177" t="str">
        <f>IF($W177="","",IF(OR($BK177="",$BL177=""),"ONZEKER",IF(OR($BH177="",$BI177=""),"ONZEKER",IF(AND($BK177=$BH177+1,$BL177=$BI177),IF(OR(COUNTIF(#REF!,$B177)&gt;0,COUNTIF(#REF!,$B177)=0),"SKIP",IF(COUNTIFS(#REF!,$B177,#REF!,$W177)&gt;0,"OK","ONBEKEND")),IF(AND($BK177=$BH177,$BL177=$BI177+1),IF(OR(COUNTIF(#REF!,$D177)&gt;0,COUNTIF(#REF!,$D177)=0),"SKIP",IF(COUNTIFS(#REF!,$D177,#REF!,$W177)&gt;0,"OK","ONBEKEND")),"ONZEKER")))))</f>
        <v/>
      </c>
      <c r="Y177" t="str">
        <f t="shared" si="1294"/>
        <v/>
      </c>
      <c r="Z177" t="str">
        <f t="shared" si="1295"/>
        <v/>
      </c>
      <c r="AA177" t="str">
        <f>IF($Z177="","",IF(OR($BN177="",$BO177=""),"ONZEKER",IF(OR($BK177="",$BL177=""),"ONZEKER",IF(AND($BN177=$BK177+1,$BO177=$BL177),IF(OR(COUNTIF(#REF!,$B177)&gt;0,COUNTIF(#REF!,$B177)=0),"SKIP",IF(COUNTIFS(#REF!,$B177,#REF!,$Z177)&gt;0,"OK","ONBEKEND")),IF(AND($BN177=$BK177,$BO177=$BL177+1),IF(OR(COUNTIF(#REF!,$D177)&gt;0,COUNTIF(#REF!,$D177)=0),"SKIP",IF(COUNTIFS(#REF!,$D177,#REF!,$Z177)&gt;0,"OK","ONBEKEND")),"ONZEKER")))))</f>
        <v/>
      </c>
      <c r="AB177" t="str">
        <f t="shared" si="1296"/>
        <v/>
      </c>
      <c r="AC177" t="str">
        <f t="shared" si="1297"/>
        <v/>
      </c>
      <c r="AD177" t="str">
        <f>IF($AC177="","",IF(OR($BQ177="",$BR177=""),"ONZEKER",IF(OR($BN177="",$BO177=""),"ONZEKER",IF(AND($BQ177=$BN177+1,$BR177=$BO177),IF(OR(COUNTIF(#REF!,$B177)&gt;0,COUNTIF(#REF!,$B177)=0),"SKIP",IF(COUNTIFS(#REF!,$B177,#REF!,$AC177)&gt;0,"OK","ONBEKEND")),IF(AND($BQ177=$BN177,$BR177=$BO177+1),IF(OR(COUNTIF(#REF!,$D177)&gt;0,COUNTIF(#REF!,$D177)=0),"SKIP",IF(COUNTIFS(#REF!,$D177,#REF!,$AC177)&gt;0,"OK","ONBEKEND")),"ONZEKER")))))</f>
        <v/>
      </c>
      <c r="AE177" t="str">
        <f t="shared" si="1298"/>
        <v/>
      </c>
      <c r="AF177" t="str">
        <f t="shared" si="1299"/>
        <v/>
      </c>
      <c r="AG177" t="str">
        <f>IF($AF177="","",IF(OR($BT177="",$BU177=""),"ONZEKER",IF(OR($BQ177="",$BR177=""),"ONZEKER",IF(AND($BT177=$BQ177+1,$BU177=$BR177),IF(OR(COUNTIF(#REF!,$B177)&gt;0,COUNTIF(#REF!,$B177)=0),"SKIP",IF(COUNTIFS(#REF!,$B177,#REF!,$AF177)&gt;0,"OK","ONBEKEND")),IF(AND($BT177=$BQ177,$BU177=$BR177+1),IF(OR(COUNTIF(#REF!,$D177)&gt;0,COUNTIF(#REF!,$D177)=0),"SKIP",IF(COUNTIFS(#REF!,$D177,#REF!,$AF177)&gt;0,"OK","ONBEKEND")),"ONZEKER")))))</f>
        <v/>
      </c>
      <c r="AH177" t="str">
        <f t="shared" si="1300"/>
        <v/>
      </c>
      <c r="AI177" t="str">
        <f t="shared" si="1301"/>
        <v/>
      </c>
      <c r="AJ177" t="str">
        <f>IF($AI177="","",IF(OR($BW177="",$BX177=""),"ONZEKER",IF(OR($BT177="",$BU177=""),"ONZEKER",IF(AND($BW177=$BT177+1,$BX177=$BU177),IF(OR(COUNTIF(#REF!,$B177)&gt;0,COUNTIF(#REF!,$B177)=0),"SKIP",IF(COUNTIFS(#REF!,$B177,#REF!,$AI177)&gt;0,"OK","ONBEKEND")),IF(AND($BW177=$BT177,$BX177=$BU177+1),IF(OR(COUNTIF(#REF!,$D177)&gt;0,COUNTIF(#REF!,$D177)=0),"SKIP",IF(COUNTIFS(#REF!,$D177,#REF!,$AI177)&gt;0,"OK","ONBEKEND")),"ONZEKER")))))</f>
        <v/>
      </c>
      <c r="AK177" t="str">
        <f t="shared" si="1302"/>
        <v/>
      </c>
      <c r="AL177" t="str">
        <f t="shared" si="1303"/>
        <v/>
      </c>
      <c r="AM177" t="str">
        <f>IF($AL177="","",IF(OR($BZ177="",$CA177=""),"ONZEKER",IF(OR($BW177="",$BX177=""),"ONZEKER",IF(AND($BZ177=$BW177+1,$CA177=$BX177),IF(OR(COUNTIF(#REF!,$B177)&gt;0,COUNTIF(#REF!,$B177)=0),"SKIP",IF(COUNTIFS(#REF!,$B177,#REF!,$AL177)&gt;0,"OK","ONBEKEND")),IF(AND($BZ177=$BW177,$CA177=$BX177+1),IF(OR(COUNTIF(#REF!,$D177)&gt;0,COUNTIF(#REF!,$D177)=0),"SKIP",IF(COUNTIFS(#REF!,$D177,#REF!,$AL177)&gt;0,"OK","ONBEKEND")),"ONZEKER")))))</f>
        <v/>
      </c>
      <c r="AN177" t="str">
        <f t="shared" si="1304"/>
        <v/>
      </c>
      <c r="AO177" t="str">
        <f t="shared" si="1305"/>
        <v/>
      </c>
      <c r="AP177" t="str">
        <f>IF($AO177="","",IF(OR($CC177="",$CD177=""),"ONZEKER",IF(OR($BZ177="",$CA177=""),"ONZEKER",IF(AND($CC177=$BZ177+1,$CD177=$CA177),IF(OR(COUNTIF(#REF!,$B177)&gt;0,COUNTIF(#REF!,$B177)=0),"SKIP",IF(COUNTIFS(#REF!,$B177,#REF!,$AO177)&gt;0,"OK","ONBEKEND")),IF(AND($CC177=$BZ177,$CD177=$CA177+1),IF(OR(COUNTIF(#REF!,$D177)&gt;0,COUNTIF(#REF!,$D177)=0),"SKIP",IF(COUNTIFS(#REF!,$D177,#REF!,$AO177)&gt;0,"OK","ONBEKEND")),"ONZEKER")))))</f>
        <v/>
      </c>
      <c r="AQ177" t="str">
        <f t="shared" si="1306"/>
        <v/>
      </c>
      <c r="AR177" t="str">
        <f t="shared" si="1307"/>
        <v/>
      </c>
      <c r="AS177" t="str">
        <f>IF($AR177="","",IF(OR($CF177="",$CG177=""),"ONZEKER",IF(OR($CC177="",$CD177=""),"ONZEKER",IF(AND($CF177=$CC177+1,$CG177=$CD177),IF(OR(COUNTIF(#REF!,$B177)&gt;0,COUNTIF(#REF!,$B177)=0),"SKIP",IF(COUNTIFS(#REF!,$B177,#REF!,$AR177)&gt;0,"OK","ONBEKEND")),IF(AND($CF177=$CC177,$CG177=$CD177+1),IF(OR(COUNTIF(#REF!,$D177)&gt;0,COUNTIF(#REF!,$D177)=0),"SKIP",IF(COUNTIFS(#REF!,$D177,#REF!,$AR177)&gt;0,"OK","ONBEKEND")),"ONZEKER")))))</f>
        <v/>
      </c>
      <c r="AT177" t="str">
        <f t="shared" si="1308"/>
        <v/>
      </c>
      <c r="AU177" t="str">
        <f t="shared" si="1309"/>
        <v/>
      </c>
      <c r="AV177" t="str">
        <f t="shared" si="1310"/>
        <v/>
      </c>
      <c r="AW177" t="str">
        <f t="shared" si="1311"/>
        <v/>
      </c>
      <c r="AX177" t="str">
        <f t="shared" si="1312"/>
        <v/>
      </c>
      <c r="AY177" t="str">
        <f t="shared" si="1313"/>
        <v/>
      </c>
      <c r="AZ177" t="str">
        <f t="shared" si="1314"/>
        <v/>
      </c>
      <c r="BA177" t="str">
        <f t="shared" si="1315"/>
        <v/>
      </c>
      <c r="BB177" t="str">
        <f t="shared" si="1316"/>
        <v/>
      </c>
      <c r="BC177" t="str">
        <f t="shared" si="1317"/>
        <v/>
      </c>
      <c r="BD177" t="str">
        <f t="shared" si="980"/>
        <v/>
      </c>
      <c r="BE177" t="str">
        <f t="shared" si="981"/>
        <v/>
      </c>
      <c r="BF177" t="str">
        <f t="shared" si="982"/>
        <v/>
      </c>
      <c r="BG177" t="str">
        <f t="shared" si="983"/>
        <v/>
      </c>
      <c r="BH177" t="str">
        <f t="shared" si="984"/>
        <v/>
      </c>
      <c r="BI177" t="str">
        <f t="shared" si="985"/>
        <v/>
      </c>
      <c r="BJ177" t="str">
        <f t="shared" si="986"/>
        <v/>
      </c>
      <c r="BK177" t="str">
        <f t="shared" si="987"/>
        <v/>
      </c>
      <c r="BL177" t="str">
        <f t="shared" si="988"/>
        <v/>
      </c>
      <c r="BM177" t="str">
        <f t="shared" si="989"/>
        <v/>
      </c>
      <c r="BN177" t="str">
        <f t="shared" si="990"/>
        <v/>
      </c>
      <c r="BO177" t="str">
        <f t="shared" si="991"/>
        <v/>
      </c>
      <c r="BP177" t="str">
        <f t="shared" si="992"/>
        <v/>
      </c>
      <c r="BQ177" t="str">
        <f t="shared" si="993"/>
        <v/>
      </c>
      <c r="BR177" t="str">
        <f t="shared" si="994"/>
        <v/>
      </c>
      <c r="BS177" t="str">
        <f t="shared" si="995"/>
        <v/>
      </c>
      <c r="BT177" t="str">
        <f t="shared" si="996"/>
        <v/>
      </c>
      <c r="BU177" t="str">
        <f t="shared" si="997"/>
        <v/>
      </c>
      <c r="BV177" t="str">
        <f t="shared" si="998"/>
        <v/>
      </c>
      <c r="BW177" t="str">
        <f t="shared" si="999"/>
        <v/>
      </c>
      <c r="BX177" t="str">
        <f t="shared" si="1000"/>
        <v/>
      </c>
      <c r="BY177" t="str">
        <f t="shared" si="1001"/>
        <v/>
      </c>
      <c r="BZ177" t="str">
        <f t="shared" si="1002"/>
        <v/>
      </c>
      <c r="CA177" t="str">
        <f t="shared" si="1003"/>
        <v/>
      </c>
      <c r="CB177" t="str">
        <f t="shared" si="1004"/>
        <v/>
      </c>
      <c r="CC177" t="str">
        <f t="shared" si="1005"/>
        <v/>
      </c>
      <c r="CD177" t="str">
        <f t="shared" si="1006"/>
        <v/>
      </c>
      <c r="CE177" t="str">
        <f t="shared" si="1007"/>
        <v/>
      </c>
      <c r="CF177" t="str">
        <f t="shared" si="1008"/>
        <v/>
      </c>
      <c r="CG177" t="str">
        <f t="shared" si="1009"/>
        <v/>
      </c>
      <c r="CH177" t="str">
        <f t="shared" si="1318"/>
        <v/>
      </c>
      <c r="CI177" t="str">
        <f t="shared" si="1319"/>
        <v/>
      </c>
      <c r="CJ177" t="str">
        <f>IF($CI177="","",IF(OR($DW177="",$DX177=""),"ONZEKER",IF(OR($CF177="",$CG177=""),"ONZEKER",IF(AND($DW177=$CF177+1,$DX177=$CG177),IF(OR(COUNTIF(#REF!,$B177)&gt;0,COUNTIF(#REF!,$B177)=0),"SKIP",IF(COUNTIFS(#REF!,$B177,#REF!,$CI177)&gt;0,"OK","ONBEKEND")),IF(AND($DW177=$CF177,$DX177=$CG177+1),IF(OR(COUNTIF(#REF!,$D177)&gt;0,COUNTIF(#REF!,$D177)=0),"SKIP",IF(COUNTIFS(#REF!,$D177,#REF!,$CI177)&gt;0,"OK","ONBEKEND")),"ONZEKER")))))</f>
        <v/>
      </c>
      <c r="CK177" t="str">
        <f t="shared" si="1320"/>
        <v/>
      </c>
      <c r="CL177" t="str">
        <f t="shared" si="1321"/>
        <v/>
      </c>
      <c r="CM177" t="str">
        <f>IF($CL177="","",IF(OR($DZ177="",$EA177=""),"ONZEKER",IF(OR($DW177="",$DX177=""),"ONZEKER",IF(AND($DZ177=$DW177+1,$EA177=$DX177),IF(OR(COUNTIF(#REF!,$B177)&gt;0,COUNTIF(#REF!,$B177)=0),"SKIP",IF(COUNTIFS(#REF!,$B177,#REF!,$CL177)&gt;0,"OK","ONBEKEND")),IF(AND($DZ177=$DW177,$EA177=$DX177+1),IF(OR(COUNTIF(#REF!,$D177)&gt;0,COUNTIF(#REF!,$D177)=0),"SKIP",IF(COUNTIFS(#REF!,$D177,#REF!,$CL177)&gt;0,"OK","ONBEKEND")),"ONZEKER")))))</f>
        <v/>
      </c>
      <c r="CN177" t="str">
        <f t="shared" si="1322"/>
        <v/>
      </c>
      <c r="CO177" t="str">
        <f t="shared" si="1323"/>
        <v/>
      </c>
      <c r="CP177" t="str">
        <f>IF($CO177="","",IF(OR($EC177="",$ED177=""),"ONZEKER",IF(OR($DZ177="",$EA177=""),"ONZEKER",IF(AND($EC177=$DZ177+1,$ED177=$EA177),IF(OR(COUNTIF(#REF!,$B177)&gt;0,COUNTIF(#REF!,$B177)=0),"SKIP",IF(COUNTIFS(#REF!,$B177,#REF!,$CO177)&gt;0,"OK","ONBEKEND")),IF(AND($EC177=$DZ177,$ED177=$EA177+1),IF(OR(COUNTIF(#REF!,$D177)&gt;0,COUNTIF(#REF!,$D177)=0),"SKIP",IF(COUNTIFS(#REF!,$D177,#REF!,$CO177)&gt;0,"OK","ONBEKEND")),"ONZEKER")))))</f>
        <v/>
      </c>
      <c r="CQ177" t="str">
        <f t="shared" si="1324"/>
        <v/>
      </c>
      <c r="CR177" t="str">
        <f t="shared" si="1325"/>
        <v/>
      </c>
      <c r="CS177" t="str">
        <f>IF($CR177="","",IF(OR($EF177="",$EG177=""),"ONZEKER",IF(OR($EC177="",$ED177=""),"ONZEKER",IF(AND($EF177=$EC177+1,$EG177=$ED177),IF(OR(COUNTIF(#REF!,$B177)&gt;0,COUNTIF(#REF!,$B177)=0),"SKIP",IF(COUNTIFS(#REF!,$B177,#REF!,$CR177)&gt;0,"OK","ONBEKEND")),IF(AND($EF177=$EC177,$EG177=$ED177+1),IF(OR(COUNTIF(#REF!,$D177)&gt;0,COUNTIF(#REF!,$D177)=0),"SKIP",IF(COUNTIFS(#REF!,$D177,#REF!,$CR177)&gt;0,"OK","ONBEKEND")),"ONZEKER")))))</f>
        <v/>
      </c>
      <c r="CT177" t="str">
        <f t="shared" si="1326"/>
        <v/>
      </c>
      <c r="CU177" t="str">
        <f t="shared" si="1327"/>
        <v/>
      </c>
      <c r="CV177" t="str">
        <f>IF($CU177="","",IF(OR($EI177="",$EJ177=""),"ONZEKER",IF(OR($EF177="",$EG177=""),"ONZEKER",IF(AND($EI177=$EF177+1,$EJ177=$EG177),IF(OR(COUNTIF(#REF!,$B177)&gt;0,COUNTIF(#REF!,$B177)=0),"SKIP",IF(COUNTIFS(#REF!,$B177,#REF!,$CU177)&gt;0,"OK","ONBEKEND")),IF(AND($EI177=$EF177,$EJ177=$EG177+1),IF(OR(COUNTIF(#REF!,$D177)&gt;0,COUNTIF(#REF!,$D177)=0),"SKIP",IF(COUNTIFS(#REF!,$D177,#REF!,$CU177)&gt;0,"OK","ONBEKEND")),"ONZEKER")))))</f>
        <v/>
      </c>
      <c r="CW177" t="str">
        <f t="shared" si="1328"/>
        <v/>
      </c>
      <c r="CX177" t="str">
        <f t="shared" si="1329"/>
        <v/>
      </c>
      <c r="CY177" t="str">
        <f>IF($CX177="","",IF(OR($EL177="",$EM177=""),"ONZEKER",IF(OR($EI177="",$EJ177=""),"ONZEKER",IF(AND($EL177=$EI177+1,$EM177=$EJ177),IF(OR(COUNTIF(#REF!,$B177)&gt;0,COUNTIF(#REF!,$B177)=0),"SKIP",IF(COUNTIFS(#REF!,$B177,#REF!,$CX177)&gt;0,"OK","ONBEKEND")),IF(AND($EL177=$EI177,$EM177=$EJ177+1),IF(OR(COUNTIF(#REF!,$D177)&gt;0,COUNTIF(#REF!,$D177)=0),"SKIP",IF(COUNTIFS(#REF!,$D177,#REF!,$CX177)&gt;0,"OK","ONBEKEND")),"ONZEKER")))))</f>
        <v/>
      </c>
      <c r="CZ177" t="str">
        <f t="shared" si="1330"/>
        <v/>
      </c>
      <c r="DA177" t="str">
        <f t="shared" si="1331"/>
        <v/>
      </c>
      <c r="DB177" t="str">
        <f>IF($DA177="","",IF(OR($EO177="",$EP177=""),"ONZEKER",IF(OR($EL177="",$EM177=""),"ONZEKER",IF(AND($EO177=$EL177+1,$EP177=$EM177),IF(OR(COUNTIF(#REF!,$B177)&gt;0,COUNTIF(#REF!,$B177)=0),"SKIP",IF(COUNTIFS(#REF!,$B177,#REF!,$DA177)&gt;0,"OK","ONBEKEND")),IF(AND($EO177=$EL177,$EP177=$EM177+1),IF(OR(COUNTIF(#REF!,$D177)&gt;0,COUNTIF(#REF!,$D177)=0),"SKIP",IF(COUNTIFS(#REF!,$D177,#REF!,$DA177)&gt;0,"OK","ONBEKEND")),"ONZEKER")))))</f>
        <v/>
      </c>
      <c r="DC177" t="str">
        <f t="shared" si="1332"/>
        <v/>
      </c>
      <c r="DD177" t="str">
        <f t="shared" si="1333"/>
        <v/>
      </c>
      <c r="DE177" t="str">
        <f>IF($DD177="","",IF(OR($ER177="",$ES177=""),"ONZEKER",IF(OR($EO177="",$EP177=""),"ONZEKER",IF(AND($ER177=$EO177+1,$ES177=$EP177),IF(OR(COUNTIF(#REF!,$B177)&gt;0,COUNTIF(#REF!,$B177)=0),"SKIP",IF(COUNTIFS(#REF!,$B177,#REF!,$DD177)&gt;0,"OK","ONBEKEND")),IF(AND($ER177=$EO177,$ES177=$EP177+1),IF(OR(COUNTIF(#REF!,$D177)&gt;0,COUNTIF(#REF!,$D177)=0),"SKIP",IF(COUNTIFS(#REF!,$D177,#REF!,$DD177)&gt;0,"OK","ONBEKEND")),"ONZEKER")))))</f>
        <v/>
      </c>
      <c r="DF177" t="str">
        <f t="shared" si="1334"/>
        <v/>
      </c>
      <c r="DG177" t="str">
        <f t="shared" si="1335"/>
        <v/>
      </c>
      <c r="DH177" t="str">
        <f>IF($DG177="","",IF(OR($EU177="",$EV177=""),"ONZEKER",IF(OR($ER177="",$ES177=""),"ONZEKER",IF(AND($EU177=$ER177+1,$EV177=$ES177),IF(OR(COUNTIF(#REF!,$B177)&gt;0,COUNTIF(#REF!,$B177)=0),"SKIP",IF(COUNTIFS(#REF!,$B177,#REF!,$DG177)&gt;0,"OK","ONBEKEND")),IF(AND($EU177=$ER177,$EV177=$ES177+1),IF(OR(COUNTIF(#REF!,$D177)&gt;0,COUNTIF(#REF!,$D177)=0),"SKIP",IF(COUNTIFS(#REF!,$D177,#REF!,$DG177)&gt;0,"OK","ONBEKEND")),"ONZEKER")))))</f>
        <v/>
      </c>
      <c r="DI177" t="str">
        <f t="shared" si="1336"/>
        <v/>
      </c>
      <c r="DJ177" t="str">
        <f t="shared" si="1337"/>
        <v/>
      </c>
      <c r="DK177" t="str">
        <f>IF($DJ177="","",IF(OR($EX177="",$EY177=""),"ONZEKER",IF(OR($EU177="",$EV177=""),"ONZEKER",IF(AND($EX177=$EU177+1,$EY177=$EV177),IF(OR(COUNTIF(#REF!,$B177)&gt;0,COUNTIF(#REF!,$B177)=0),"SKIP",IF(COUNTIFS(#REF!,$B177,#REF!,$DJ177)&gt;0,"OK","ONBEKEND")),IF(AND($EX177=$EU177,$EY177=$EV177+1),IF(OR(COUNTIF(#REF!,$D177)&gt;0,COUNTIF(#REF!,$D177)=0),"SKIP",IF(COUNTIFS(#REF!,$D177,#REF!,$DJ177)&gt;0,"OK","ONBEKEND")),"ONZEKER")))))</f>
        <v/>
      </c>
      <c r="DL177" t="str">
        <f t="shared" si="1338"/>
        <v/>
      </c>
      <c r="DM177" t="str">
        <f t="shared" si="1339"/>
        <v/>
      </c>
      <c r="DN177" t="str">
        <f t="shared" si="1340"/>
        <v/>
      </c>
      <c r="DO177" t="str">
        <f t="shared" si="1341"/>
        <v/>
      </c>
      <c r="DP177" t="str">
        <f t="shared" si="1342"/>
        <v/>
      </c>
      <c r="DQ177" t="str">
        <f t="shared" si="1343"/>
        <v/>
      </c>
      <c r="DR177" t="str">
        <f t="shared" si="1344"/>
        <v/>
      </c>
      <c r="DS177" t="str">
        <f t="shared" si="1345"/>
        <v/>
      </c>
      <c r="DT177" t="str">
        <f t="shared" si="1346"/>
        <v/>
      </c>
      <c r="DU177" t="str">
        <f t="shared" si="1347"/>
        <v/>
      </c>
      <c r="DV177" t="str">
        <f t="shared" si="1348"/>
        <v/>
      </c>
      <c r="DW177" t="str">
        <f t="shared" si="1349"/>
        <v/>
      </c>
      <c r="DX177" t="str">
        <f t="shared" si="1350"/>
        <v/>
      </c>
      <c r="DY177" t="str">
        <f t="shared" si="1351"/>
        <v/>
      </c>
      <c r="DZ177" t="str">
        <f t="shared" si="1352"/>
        <v/>
      </c>
      <c r="EA177" t="str">
        <f t="shared" si="1353"/>
        <v/>
      </c>
      <c r="EB177" t="str">
        <f t="shared" si="1354"/>
        <v/>
      </c>
      <c r="EC177" t="str">
        <f t="shared" si="1355"/>
        <v/>
      </c>
      <c r="ED177" t="str">
        <f t="shared" si="1356"/>
        <v/>
      </c>
      <c r="EE177" t="str">
        <f t="shared" si="1357"/>
        <v/>
      </c>
      <c r="EF177" t="str">
        <f t="shared" si="1358"/>
        <v/>
      </c>
      <c r="EG177" t="str">
        <f t="shared" si="1359"/>
        <v/>
      </c>
      <c r="EH177" t="str">
        <f t="shared" si="1360"/>
        <v/>
      </c>
      <c r="EI177" t="str">
        <f t="shared" si="1361"/>
        <v/>
      </c>
      <c r="EJ177" t="str">
        <f t="shared" si="1362"/>
        <v/>
      </c>
      <c r="EK177" t="str">
        <f t="shared" si="1363"/>
        <v/>
      </c>
      <c r="EL177" t="str">
        <f t="shared" si="1364"/>
        <v/>
      </c>
      <c r="EM177" t="str">
        <f t="shared" si="1365"/>
        <v/>
      </c>
      <c r="EN177" t="str">
        <f t="shared" si="1366"/>
        <v/>
      </c>
      <c r="EO177" t="str">
        <f t="shared" si="1367"/>
        <v/>
      </c>
      <c r="EP177" t="str">
        <f t="shared" si="1368"/>
        <v/>
      </c>
      <c r="EQ177" t="str">
        <f t="shared" si="1369"/>
        <v/>
      </c>
      <c r="ER177" t="str">
        <f t="shared" si="1370"/>
        <v/>
      </c>
      <c r="ES177" t="str">
        <f t="shared" si="1371"/>
        <v/>
      </c>
      <c r="ET177" t="str">
        <f t="shared" si="1372"/>
        <v/>
      </c>
      <c r="EU177" t="str">
        <f t="shared" si="1373"/>
        <v/>
      </c>
      <c r="EV177" t="str">
        <f t="shared" si="1374"/>
        <v/>
      </c>
      <c r="EW177" t="str">
        <f t="shared" si="1375"/>
        <v/>
      </c>
      <c r="EX177" t="str">
        <f t="shared" si="1376"/>
        <v/>
      </c>
      <c r="EY177" t="str">
        <f t="shared" si="1377"/>
        <v/>
      </c>
    </row>
    <row r="178" spans="1:155" ht="13.9" customHeight="1" x14ac:dyDescent="0.25">
      <c r="A178" s="7"/>
      <c r="B178" s="17"/>
      <c r="C178" s="8"/>
      <c r="D178" s="17"/>
      <c r="E178" s="8"/>
      <c r="F178" s="18">
        <v>0</v>
      </c>
      <c r="G178" s="7" t="s">
        <v>147</v>
      </c>
      <c r="H178" s="18">
        <v>0</v>
      </c>
      <c r="I178" s="19">
        <v>0</v>
      </c>
      <c r="J178" s="7" t="s">
        <v>147</v>
      </c>
      <c r="K178" s="19">
        <v>0</v>
      </c>
      <c r="L178" s="9"/>
      <c r="M178" s="3" t="str">
        <f>IF($L178="","",IF($L178="DOELPUNTENMAKERS","",IF(AND(COUNTIF(#REF!,$B178)=0,COUNTIF(#REF!,$D178)=0),"OK",IF($O178&gt;20,"LET OP: meer dan 20 items (controle onvolledig)",IF((COUNTIF($R178:$AS178,"ONZEKER")+COUNTIF($CJ178:$DK178,"ONZEKER"))&gt;0,"LET OP: scoreverloop onduidelijk (controle beperkt)",IF((IF($AT178&lt;&gt;"",$AT178&amp;", ","")&amp;IF($AU178&lt;&gt;"",$AU178&amp;", ","")&amp;IF($AV178&lt;&gt;"",$AV178&amp;", ","")&amp;IF($AW178&lt;&gt;"",$AW178&amp;", ","")&amp;IF($AX178&lt;&gt;"",$AX178&amp;", ","")&amp;IF($AY178&lt;&gt;"",$AY178&amp;", ","")&amp;IF($AZ178&lt;&gt;"",$AZ178&amp;", ","")&amp;IF($BA178&lt;&gt;"",$BA178&amp;", ","")&amp;IF($BB178&lt;&gt;"",$BB178&amp;", ","")&amp;IF($BC178&lt;&gt;"",$BC178&amp;", ","")&amp;IF($DL178&lt;&gt;"",$DL178&amp;", ","")&amp;IF($DM178&lt;&gt;"",$DM178&amp;", ","")&amp;IF($DN178&lt;&gt;"",$DN178&amp;", ","")&amp;IF($DO178&lt;&gt;"",$DO178&amp;", ","")&amp;IF($DP178&lt;&gt;"",$DP178&amp;", ","")&amp;IF($DQ178&lt;&gt;"",$DQ178&amp;", ","")&amp;IF($DR178&lt;&gt;"",$DR178&amp;", ","")&amp;IF($DS178&lt;&gt;"",$DS178&amp;", ","")&amp;IF($DT178&lt;&gt;"",$DT178&amp;", ","")&amp;IF($DU178&lt;&gt;"",$DU178&amp;", ",""))="","OK","Onbekend: "&amp;LEFT((IF($AT178&lt;&gt;"",$AT178&amp;", ","")&amp;IF($AU178&lt;&gt;"",$AU178&amp;", ","")&amp;IF($AV178&lt;&gt;"",$AV178&amp;", ","")&amp;IF($AW178&lt;&gt;"",$AW178&amp;", ","")&amp;IF($AX178&lt;&gt;"",$AX178&amp;", ","")&amp;IF($AY178&lt;&gt;"",$AY178&amp;", ","")&amp;IF($AZ178&lt;&gt;"",$AZ178&amp;", ","")&amp;IF($BA178&lt;&gt;"",$BA178&amp;", ","")&amp;IF($BB178&lt;&gt;"",$BB178&amp;", ","")&amp;IF($BC178&lt;&gt;"",$BC178&amp;", ","")&amp;IF($DL178&lt;&gt;"",$DL178&amp;", ","")&amp;IF($DM178&lt;&gt;"",$DM178&amp;", ","")&amp;IF($DN178&lt;&gt;"",$DN178&amp;", ","")&amp;IF($DO178&lt;&gt;"",$DO178&amp;", ","")&amp;IF($DP178&lt;&gt;"",$DP178&amp;", ","")&amp;IF($DQ178&lt;&gt;"",$DQ178&amp;", ","")&amp;IF($DR178&lt;&gt;"",$DR178&amp;", ","")&amp;IF($DS178&lt;&gt;"",$DS178&amp;", ","")&amp;IF($DT178&lt;&gt;"",$DT178&amp;", ","")&amp;IF($DU178&lt;&gt;"",$DU178&amp;", ","")),LEN((IF($AT178&lt;&gt;"",$AT178&amp;", ","")&amp;IF($AU178&lt;&gt;"",$AU178&amp;", ","")&amp;IF($AV178&lt;&gt;"",$AV178&amp;", ","")&amp;IF($AW178&lt;&gt;"",$AW178&amp;", ","")&amp;IF($AX178&lt;&gt;"",$AX178&amp;", ","")&amp;IF($AY178&lt;&gt;"",$AY178&amp;", ","")&amp;IF($AZ178&lt;&gt;"",$AZ178&amp;", ","")&amp;IF($BA178&lt;&gt;"",$BA178&amp;", ","")&amp;IF($BB178&lt;&gt;"",$BB178&amp;", ","")&amp;IF($BC178&lt;&gt;"",$BC178&amp;", ","")&amp;IF($DL178&lt;&gt;"",$DL178&amp;", ","")&amp;IF($DM178&lt;&gt;"",$DM178&amp;", ","")&amp;IF($DN178&lt;&gt;"",$DN178&amp;", ","")&amp;IF($DO178&lt;&gt;"",$DO178&amp;", ","")&amp;IF($DP178&lt;&gt;"",$DP178&amp;", ","")&amp;IF($DQ178&lt;&gt;"",$DQ178&amp;", ","")&amp;IF($DR178&lt;&gt;"",$DR178&amp;", ","")&amp;IF($DS178&lt;&gt;"",$DS178&amp;", ","")&amp;IF($DT178&lt;&gt;"",$DT178&amp;", ","")&amp;IF($DU178&lt;&gt;"",$DU178&amp;", ","")))-2)))))))</f>
        <v/>
      </c>
      <c r="N178" t="str">
        <f t="shared" si="1286"/>
        <v/>
      </c>
      <c r="O178" t="str">
        <f t="shared" si="1287"/>
        <v/>
      </c>
      <c r="P178" t="str">
        <f t="shared" si="1288"/>
        <v/>
      </c>
      <c r="Q178" t="str">
        <f t="shared" si="1289"/>
        <v/>
      </c>
      <c r="R178" t="str">
        <f>IF($Q178="","",IF(OR($BE178="",$BF178=""),"ONZEKER",IF(AND($BE178=0+1,$BF178=0),IF(OR(COUNTIF(#REF!,$B178)&gt;0,COUNTIF(#REF!,$B178)=0),"SKIP",IF(COUNTIFS(#REF!,$B178,#REF!,$Q178)&gt;0,"OK","ONBEKEND")),IF(AND($BE178=0,$BF178=0+1),IF(OR(COUNTIF(#REF!,$D178)&gt;0,COUNTIF(#REF!,$D178)=0),"SKIP",IF(COUNTIFS(#REF!,$D178,#REF!,$Q178)&gt;0,"OK","ONBEKEND")),"ONZEKER"))))</f>
        <v/>
      </c>
      <c r="S178" t="str">
        <f t="shared" si="1290"/>
        <v/>
      </c>
      <c r="T178" t="str">
        <f t="shared" si="1291"/>
        <v/>
      </c>
      <c r="U178" t="str">
        <f>IF($T178="","",IF(OR($BH178="",$BI178=""),"ONZEKER",IF(OR($BE178="",$BF178=""),"ONZEKER",IF(AND($BH178=$BE178+1,$BI178=$BF178),IF(OR(COUNTIF(#REF!,$B178)&gt;0,COUNTIF(#REF!,$B178)=0),"SKIP",IF(COUNTIFS(#REF!,$B178,#REF!,$T178)&gt;0,"OK","ONBEKEND")),IF(AND($BH178=$BE178,$BI178=$BF178+1),IF(OR(COUNTIF(#REF!,$D178)&gt;0,COUNTIF(#REF!,$D178)=0),"SKIP",IF(COUNTIFS(#REF!,$D178,#REF!,$T178)&gt;0,"OK","ONBEKEND")),"ONZEKER")))))</f>
        <v/>
      </c>
      <c r="V178" t="str">
        <f t="shared" si="1292"/>
        <v/>
      </c>
      <c r="W178" t="str">
        <f t="shared" si="1293"/>
        <v/>
      </c>
      <c r="X178" t="str">
        <f>IF($W178="","",IF(OR($BK178="",$BL178=""),"ONZEKER",IF(OR($BH178="",$BI178=""),"ONZEKER",IF(AND($BK178=$BH178+1,$BL178=$BI178),IF(OR(COUNTIF(#REF!,$B178)&gt;0,COUNTIF(#REF!,$B178)=0),"SKIP",IF(COUNTIFS(#REF!,$B178,#REF!,$W178)&gt;0,"OK","ONBEKEND")),IF(AND($BK178=$BH178,$BL178=$BI178+1),IF(OR(COUNTIF(#REF!,$D178)&gt;0,COUNTIF(#REF!,$D178)=0),"SKIP",IF(COUNTIFS(#REF!,$D178,#REF!,$W178)&gt;0,"OK","ONBEKEND")),"ONZEKER")))))</f>
        <v/>
      </c>
      <c r="Y178" t="str">
        <f t="shared" si="1294"/>
        <v/>
      </c>
      <c r="Z178" t="str">
        <f t="shared" si="1295"/>
        <v/>
      </c>
      <c r="AA178" t="str">
        <f>IF($Z178="","",IF(OR($BN178="",$BO178=""),"ONZEKER",IF(OR($BK178="",$BL178=""),"ONZEKER",IF(AND($BN178=$BK178+1,$BO178=$BL178),IF(OR(COUNTIF(#REF!,$B178)&gt;0,COUNTIF(#REF!,$B178)=0),"SKIP",IF(COUNTIFS(#REF!,$B178,#REF!,$Z178)&gt;0,"OK","ONBEKEND")),IF(AND($BN178=$BK178,$BO178=$BL178+1),IF(OR(COUNTIF(#REF!,$D178)&gt;0,COUNTIF(#REF!,$D178)=0),"SKIP",IF(COUNTIFS(#REF!,$D178,#REF!,$Z178)&gt;0,"OK","ONBEKEND")),"ONZEKER")))))</f>
        <v/>
      </c>
      <c r="AB178" t="str">
        <f t="shared" si="1296"/>
        <v/>
      </c>
      <c r="AC178" t="str">
        <f t="shared" si="1297"/>
        <v/>
      </c>
      <c r="AD178" t="str">
        <f>IF($AC178="","",IF(OR($BQ178="",$BR178=""),"ONZEKER",IF(OR($BN178="",$BO178=""),"ONZEKER",IF(AND($BQ178=$BN178+1,$BR178=$BO178),IF(OR(COUNTIF(#REF!,$B178)&gt;0,COUNTIF(#REF!,$B178)=0),"SKIP",IF(COUNTIFS(#REF!,$B178,#REF!,$AC178)&gt;0,"OK","ONBEKEND")),IF(AND($BQ178=$BN178,$BR178=$BO178+1),IF(OR(COUNTIF(#REF!,$D178)&gt;0,COUNTIF(#REF!,$D178)=0),"SKIP",IF(COUNTIFS(#REF!,$D178,#REF!,$AC178)&gt;0,"OK","ONBEKEND")),"ONZEKER")))))</f>
        <v/>
      </c>
      <c r="AE178" t="str">
        <f t="shared" si="1298"/>
        <v/>
      </c>
      <c r="AF178" t="str">
        <f t="shared" si="1299"/>
        <v/>
      </c>
      <c r="AG178" t="str">
        <f>IF($AF178="","",IF(OR($BT178="",$BU178=""),"ONZEKER",IF(OR($BQ178="",$BR178=""),"ONZEKER",IF(AND($BT178=$BQ178+1,$BU178=$BR178),IF(OR(COUNTIF(#REF!,$B178)&gt;0,COUNTIF(#REF!,$B178)=0),"SKIP",IF(COUNTIFS(#REF!,$B178,#REF!,$AF178)&gt;0,"OK","ONBEKEND")),IF(AND($BT178=$BQ178,$BU178=$BR178+1),IF(OR(COUNTIF(#REF!,$D178)&gt;0,COUNTIF(#REF!,$D178)=0),"SKIP",IF(COUNTIFS(#REF!,$D178,#REF!,$AF178)&gt;0,"OK","ONBEKEND")),"ONZEKER")))))</f>
        <v/>
      </c>
      <c r="AH178" t="str">
        <f t="shared" si="1300"/>
        <v/>
      </c>
      <c r="AI178" t="str">
        <f t="shared" si="1301"/>
        <v/>
      </c>
      <c r="AJ178" t="str">
        <f>IF($AI178="","",IF(OR($BW178="",$BX178=""),"ONZEKER",IF(OR($BT178="",$BU178=""),"ONZEKER",IF(AND($BW178=$BT178+1,$BX178=$BU178),IF(OR(COUNTIF(#REF!,$B178)&gt;0,COUNTIF(#REF!,$B178)=0),"SKIP",IF(COUNTIFS(#REF!,$B178,#REF!,$AI178)&gt;0,"OK","ONBEKEND")),IF(AND($BW178=$BT178,$BX178=$BU178+1),IF(OR(COUNTIF(#REF!,$D178)&gt;0,COUNTIF(#REF!,$D178)=0),"SKIP",IF(COUNTIFS(#REF!,$D178,#REF!,$AI178)&gt;0,"OK","ONBEKEND")),"ONZEKER")))))</f>
        <v/>
      </c>
      <c r="AK178" t="str">
        <f t="shared" si="1302"/>
        <v/>
      </c>
      <c r="AL178" t="str">
        <f t="shared" si="1303"/>
        <v/>
      </c>
      <c r="AM178" t="str">
        <f>IF($AL178="","",IF(OR($BZ178="",$CA178=""),"ONZEKER",IF(OR($BW178="",$BX178=""),"ONZEKER",IF(AND($BZ178=$BW178+1,$CA178=$BX178),IF(OR(COUNTIF(#REF!,$B178)&gt;0,COUNTIF(#REF!,$B178)=0),"SKIP",IF(COUNTIFS(#REF!,$B178,#REF!,$AL178)&gt;0,"OK","ONBEKEND")),IF(AND($BZ178=$BW178,$CA178=$BX178+1),IF(OR(COUNTIF(#REF!,$D178)&gt;0,COUNTIF(#REF!,$D178)=0),"SKIP",IF(COUNTIFS(#REF!,$D178,#REF!,$AL178)&gt;0,"OK","ONBEKEND")),"ONZEKER")))))</f>
        <v/>
      </c>
      <c r="AN178" t="str">
        <f t="shared" si="1304"/>
        <v/>
      </c>
      <c r="AO178" t="str">
        <f t="shared" si="1305"/>
        <v/>
      </c>
      <c r="AP178" t="str">
        <f>IF($AO178="","",IF(OR($CC178="",$CD178=""),"ONZEKER",IF(OR($BZ178="",$CA178=""),"ONZEKER",IF(AND($CC178=$BZ178+1,$CD178=$CA178),IF(OR(COUNTIF(#REF!,$B178)&gt;0,COUNTIF(#REF!,$B178)=0),"SKIP",IF(COUNTIFS(#REF!,$B178,#REF!,$AO178)&gt;0,"OK","ONBEKEND")),IF(AND($CC178=$BZ178,$CD178=$CA178+1),IF(OR(COUNTIF(#REF!,$D178)&gt;0,COUNTIF(#REF!,$D178)=0),"SKIP",IF(COUNTIFS(#REF!,$D178,#REF!,$AO178)&gt;0,"OK","ONBEKEND")),"ONZEKER")))))</f>
        <v/>
      </c>
      <c r="AQ178" t="str">
        <f t="shared" si="1306"/>
        <v/>
      </c>
      <c r="AR178" t="str">
        <f t="shared" si="1307"/>
        <v/>
      </c>
      <c r="AS178" t="str">
        <f>IF($AR178="","",IF(OR($CF178="",$CG178=""),"ONZEKER",IF(OR($CC178="",$CD178=""),"ONZEKER",IF(AND($CF178=$CC178+1,$CG178=$CD178),IF(OR(COUNTIF(#REF!,$B178)&gt;0,COUNTIF(#REF!,$B178)=0),"SKIP",IF(COUNTIFS(#REF!,$B178,#REF!,$AR178)&gt;0,"OK","ONBEKEND")),IF(AND($CF178=$CC178,$CG178=$CD178+1),IF(OR(COUNTIF(#REF!,$D178)&gt;0,COUNTIF(#REF!,$D178)=0),"SKIP",IF(COUNTIFS(#REF!,$D178,#REF!,$AR178)&gt;0,"OK","ONBEKEND")),"ONZEKER")))))</f>
        <v/>
      </c>
      <c r="AT178" t="str">
        <f t="shared" si="1308"/>
        <v/>
      </c>
      <c r="AU178" t="str">
        <f t="shared" si="1309"/>
        <v/>
      </c>
      <c r="AV178" t="str">
        <f t="shared" si="1310"/>
        <v/>
      </c>
      <c r="AW178" t="str">
        <f t="shared" si="1311"/>
        <v/>
      </c>
      <c r="AX178" t="str">
        <f t="shared" si="1312"/>
        <v/>
      </c>
      <c r="AY178" t="str">
        <f t="shared" si="1313"/>
        <v/>
      </c>
      <c r="AZ178" t="str">
        <f t="shared" si="1314"/>
        <v/>
      </c>
      <c r="BA178" t="str">
        <f t="shared" si="1315"/>
        <v/>
      </c>
      <c r="BB178" t="str">
        <f t="shared" si="1316"/>
        <v/>
      </c>
      <c r="BC178" t="str">
        <f t="shared" si="1317"/>
        <v/>
      </c>
      <c r="BD178" t="str">
        <f t="shared" si="980"/>
        <v/>
      </c>
      <c r="BE178" t="str">
        <f t="shared" si="981"/>
        <v/>
      </c>
      <c r="BF178" t="str">
        <f t="shared" si="982"/>
        <v/>
      </c>
      <c r="BG178" t="str">
        <f t="shared" si="983"/>
        <v/>
      </c>
      <c r="BH178" t="str">
        <f t="shared" si="984"/>
        <v/>
      </c>
      <c r="BI178" t="str">
        <f t="shared" si="985"/>
        <v/>
      </c>
      <c r="BJ178" t="str">
        <f t="shared" si="986"/>
        <v/>
      </c>
      <c r="BK178" t="str">
        <f t="shared" si="987"/>
        <v/>
      </c>
      <c r="BL178" t="str">
        <f t="shared" si="988"/>
        <v/>
      </c>
      <c r="BM178" t="str">
        <f t="shared" si="989"/>
        <v/>
      </c>
      <c r="BN178" t="str">
        <f t="shared" si="990"/>
        <v/>
      </c>
      <c r="BO178" t="str">
        <f t="shared" si="991"/>
        <v/>
      </c>
      <c r="BP178" t="str">
        <f t="shared" si="992"/>
        <v/>
      </c>
      <c r="BQ178" t="str">
        <f t="shared" si="993"/>
        <v/>
      </c>
      <c r="BR178" t="str">
        <f t="shared" si="994"/>
        <v/>
      </c>
      <c r="BS178" t="str">
        <f t="shared" si="995"/>
        <v/>
      </c>
      <c r="BT178" t="str">
        <f t="shared" si="996"/>
        <v/>
      </c>
      <c r="BU178" t="str">
        <f t="shared" si="997"/>
        <v/>
      </c>
      <c r="BV178" t="str">
        <f t="shared" si="998"/>
        <v/>
      </c>
      <c r="BW178" t="str">
        <f t="shared" si="999"/>
        <v/>
      </c>
      <c r="BX178" t="str">
        <f t="shared" si="1000"/>
        <v/>
      </c>
      <c r="BY178" t="str">
        <f t="shared" si="1001"/>
        <v/>
      </c>
      <c r="BZ178" t="str">
        <f t="shared" si="1002"/>
        <v/>
      </c>
      <c r="CA178" t="str">
        <f t="shared" si="1003"/>
        <v/>
      </c>
      <c r="CB178" t="str">
        <f t="shared" si="1004"/>
        <v/>
      </c>
      <c r="CC178" t="str">
        <f t="shared" si="1005"/>
        <v/>
      </c>
      <c r="CD178" t="str">
        <f t="shared" si="1006"/>
        <v/>
      </c>
      <c r="CE178" t="str">
        <f t="shared" si="1007"/>
        <v/>
      </c>
      <c r="CF178" t="str">
        <f t="shared" si="1008"/>
        <v/>
      </c>
      <c r="CG178" t="str">
        <f t="shared" si="1009"/>
        <v/>
      </c>
      <c r="CH178" t="str">
        <f t="shared" si="1318"/>
        <v/>
      </c>
      <c r="CI178" t="str">
        <f t="shared" si="1319"/>
        <v/>
      </c>
      <c r="CJ178" t="str">
        <f>IF($CI178="","",IF(OR($DW178="",$DX178=""),"ONZEKER",IF(OR($CF178="",$CG178=""),"ONZEKER",IF(AND($DW178=$CF178+1,$DX178=$CG178),IF(OR(COUNTIF(#REF!,$B178)&gt;0,COUNTIF(#REF!,$B178)=0),"SKIP",IF(COUNTIFS(#REF!,$B178,#REF!,$CI178)&gt;0,"OK","ONBEKEND")),IF(AND($DW178=$CF178,$DX178=$CG178+1),IF(OR(COUNTIF(#REF!,$D178)&gt;0,COUNTIF(#REF!,$D178)=0),"SKIP",IF(COUNTIFS(#REF!,$D178,#REF!,$CI178)&gt;0,"OK","ONBEKEND")),"ONZEKER")))))</f>
        <v/>
      </c>
      <c r="CK178" t="str">
        <f t="shared" si="1320"/>
        <v/>
      </c>
      <c r="CL178" t="str">
        <f t="shared" si="1321"/>
        <v/>
      </c>
      <c r="CM178" t="str">
        <f>IF($CL178="","",IF(OR($DZ178="",$EA178=""),"ONZEKER",IF(OR($DW178="",$DX178=""),"ONZEKER",IF(AND($DZ178=$DW178+1,$EA178=$DX178),IF(OR(COUNTIF(#REF!,$B178)&gt;0,COUNTIF(#REF!,$B178)=0),"SKIP",IF(COUNTIFS(#REF!,$B178,#REF!,$CL178)&gt;0,"OK","ONBEKEND")),IF(AND($DZ178=$DW178,$EA178=$DX178+1),IF(OR(COUNTIF(#REF!,$D178)&gt;0,COUNTIF(#REF!,$D178)=0),"SKIP",IF(COUNTIFS(#REF!,$D178,#REF!,$CL178)&gt;0,"OK","ONBEKEND")),"ONZEKER")))))</f>
        <v/>
      </c>
      <c r="CN178" t="str">
        <f t="shared" si="1322"/>
        <v/>
      </c>
      <c r="CO178" t="str">
        <f t="shared" si="1323"/>
        <v/>
      </c>
      <c r="CP178" t="str">
        <f>IF($CO178="","",IF(OR($EC178="",$ED178=""),"ONZEKER",IF(OR($DZ178="",$EA178=""),"ONZEKER",IF(AND($EC178=$DZ178+1,$ED178=$EA178),IF(OR(COUNTIF(#REF!,$B178)&gt;0,COUNTIF(#REF!,$B178)=0),"SKIP",IF(COUNTIFS(#REF!,$B178,#REF!,$CO178)&gt;0,"OK","ONBEKEND")),IF(AND($EC178=$DZ178,$ED178=$EA178+1),IF(OR(COUNTIF(#REF!,$D178)&gt;0,COUNTIF(#REF!,$D178)=0),"SKIP",IF(COUNTIFS(#REF!,$D178,#REF!,$CO178)&gt;0,"OK","ONBEKEND")),"ONZEKER")))))</f>
        <v/>
      </c>
      <c r="CQ178" t="str">
        <f t="shared" si="1324"/>
        <v/>
      </c>
      <c r="CR178" t="str">
        <f t="shared" si="1325"/>
        <v/>
      </c>
      <c r="CS178" t="str">
        <f>IF($CR178="","",IF(OR($EF178="",$EG178=""),"ONZEKER",IF(OR($EC178="",$ED178=""),"ONZEKER",IF(AND($EF178=$EC178+1,$EG178=$ED178),IF(OR(COUNTIF(#REF!,$B178)&gt;0,COUNTIF(#REF!,$B178)=0),"SKIP",IF(COUNTIFS(#REF!,$B178,#REF!,$CR178)&gt;0,"OK","ONBEKEND")),IF(AND($EF178=$EC178,$EG178=$ED178+1),IF(OR(COUNTIF(#REF!,$D178)&gt;0,COUNTIF(#REF!,$D178)=0),"SKIP",IF(COUNTIFS(#REF!,$D178,#REF!,$CR178)&gt;0,"OK","ONBEKEND")),"ONZEKER")))))</f>
        <v/>
      </c>
      <c r="CT178" t="str">
        <f t="shared" si="1326"/>
        <v/>
      </c>
      <c r="CU178" t="str">
        <f t="shared" si="1327"/>
        <v/>
      </c>
      <c r="CV178" t="str">
        <f>IF($CU178="","",IF(OR($EI178="",$EJ178=""),"ONZEKER",IF(OR($EF178="",$EG178=""),"ONZEKER",IF(AND($EI178=$EF178+1,$EJ178=$EG178),IF(OR(COUNTIF(#REF!,$B178)&gt;0,COUNTIF(#REF!,$B178)=0),"SKIP",IF(COUNTIFS(#REF!,$B178,#REF!,$CU178)&gt;0,"OK","ONBEKEND")),IF(AND($EI178=$EF178,$EJ178=$EG178+1),IF(OR(COUNTIF(#REF!,$D178)&gt;0,COUNTIF(#REF!,$D178)=0),"SKIP",IF(COUNTIFS(#REF!,$D178,#REF!,$CU178)&gt;0,"OK","ONBEKEND")),"ONZEKER")))))</f>
        <v/>
      </c>
      <c r="CW178" t="str">
        <f t="shared" si="1328"/>
        <v/>
      </c>
      <c r="CX178" t="str">
        <f t="shared" si="1329"/>
        <v/>
      </c>
      <c r="CY178" t="str">
        <f>IF($CX178="","",IF(OR($EL178="",$EM178=""),"ONZEKER",IF(OR($EI178="",$EJ178=""),"ONZEKER",IF(AND($EL178=$EI178+1,$EM178=$EJ178),IF(OR(COUNTIF(#REF!,$B178)&gt;0,COUNTIF(#REF!,$B178)=0),"SKIP",IF(COUNTIFS(#REF!,$B178,#REF!,$CX178)&gt;0,"OK","ONBEKEND")),IF(AND($EL178=$EI178,$EM178=$EJ178+1),IF(OR(COUNTIF(#REF!,$D178)&gt;0,COUNTIF(#REF!,$D178)=0),"SKIP",IF(COUNTIFS(#REF!,$D178,#REF!,$CX178)&gt;0,"OK","ONBEKEND")),"ONZEKER")))))</f>
        <v/>
      </c>
      <c r="CZ178" t="str">
        <f t="shared" si="1330"/>
        <v/>
      </c>
      <c r="DA178" t="str">
        <f t="shared" si="1331"/>
        <v/>
      </c>
      <c r="DB178" t="str">
        <f>IF($DA178="","",IF(OR($EO178="",$EP178=""),"ONZEKER",IF(OR($EL178="",$EM178=""),"ONZEKER",IF(AND($EO178=$EL178+1,$EP178=$EM178),IF(OR(COUNTIF(#REF!,$B178)&gt;0,COUNTIF(#REF!,$B178)=0),"SKIP",IF(COUNTIFS(#REF!,$B178,#REF!,$DA178)&gt;0,"OK","ONBEKEND")),IF(AND($EO178=$EL178,$EP178=$EM178+1),IF(OR(COUNTIF(#REF!,$D178)&gt;0,COUNTIF(#REF!,$D178)=0),"SKIP",IF(COUNTIFS(#REF!,$D178,#REF!,$DA178)&gt;0,"OK","ONBEKEND")),"ONZEKER")))))</f>
        <v/>
      </c>
      <c r="DC178" t="str">
        <f t="shared" si="1332"/>
        <v/>
      </c>
      <c r="DD178" t="str">
        <f t="shared" si="1333"/>
        <v/>
      </c>
      <c r="DE178" t="str">
        <f>IF($DD178="","",IF(OR($ER178="",$ES178=""),"ONZEKER",IF(OR($EO178="",$EP178=""),"ONZEKER",IF(AND($ER178=$EO178+1,$ES178=$EP178),IF(OR(COUNTIF(#REF!,$B178)&gt;0,COUNTIF(#REF!,$B178)=0),"SKIP",IF(COUNTIFS(#REF!,$B178,#REF!,$DD178)&gt;0,"OK","ONBEKEND")),IF(AND($ER178=$EO178,$ES178=$EP178+1),IF(OR(COUNTIF(#REF!,$D178)&gt;0,COUNTIF(#REF!,$D178)=0),"SKIP",IF(COUNTIFS(#REF!,$D178,#REF!,$DD178)&gt;0,"OK","ONBEKEND")),"ONZEKER")))))</f>
        <v/>
      </c>
      <c r="DF178" t="str">
        <f t="shared" si="1334"/>
        <v/>
      </c>
      <c r="DG178" t="str">
        <f t="shared" si="1335"/>
        <v/>
      </c>
      <c r="DH178" t="str">
        <f>IF($DG178="","",IF(OR($EU178="",$EV178=""),"ONZEKER",IF(OR($ER178="",$ES178=""),"ONZEKER",IF(AND($EU178=$ER178+1,$EV178=$ES178),IF(OR(COUNTIF(#REF!,$B178)&gt;0,COUNTIF(#REF!,$B178)=0),"SKIP",IF(COUNTIFS(#REF!,$B178,#REF!,$DG178)&gt;0,"OK","ONBEKEND")),IF(AND($EU178=$ER178,$EV178=$ES178+1),IF(OR(COUNTIF(#REF!,$D178)&gt;0,COUNTIF(#REF!,$D178)=0),"SKIP",IF(COUNTIFS(#REF!,$D178,#REF!,$DG178)&gt;0,"OK","ONBEKEND")),"ONZEKER")))))</f>
        <v/>
      </c>
      <c r="DI178" t="str">
        <f t="shared" si="1336"/>
        <v/>
      </c>
      <c r="DJ178" t="str">
        <f t="shared" si="1337"/>
        <v/>
      </c>
      <c r="DK178" t="str">
        <f>IF($DJ178="","",IF(OR($EX178="",$EY178=""),"ONZEKER",IF(OR($EU178="",$EV178=""),"ONZEKER",IF(AND($EX178=$EU178+1,$EY178=$EV178),IF(OR(COUNTIF(#REF!,$B178)&gt;0,COUNTIF(#REF!,$B178)=0),"SKIP",IF(COUNTIFS(#REF!,$B178,#REF!,$DJ178)&gt;0,"OK","ONBEKEND")),IF(AND($EX178=$EU178,$EY178=$EV178+1),IF(OR(COUNTIF(#REF!,$D178)&gt;0,COUNTIF(#REF!,$D178)=0),"SKIP",IF(COUNTIFS(#REF!,$D178,#REF!,$DJ178)&gt;0,"OK","ONBEKEND")),"ONZEKER")))))</f>
        <v/>
      </c>
      <c r="DL178" t="str">
        <f t="shared" si="1338"/>
        <v/>
      </c>
      <c r="DM178" t="str">
        <f t="shared" si="1339"/>
        <v/>
      </c>
      <c r="DN178" t="str">
        <f t="shared" si="1340"/>
        <v/>
      </c>
      <c r="DO178" t="str">
        <f t="shared" si="1341"/>
        <v/>
      </c>
      <c r="DP178" t="str">
        <f t="shared" si="1342"/>
        <v/>
      </c>
      <c r="DQ178" t="str">
        <f t="shared" si="1343"/>
        <v/>
      </c>
      <c r="DR178" t="str">
        <f t="shared" si="1344"/>
        <v/>
      </c>
      <c r="DS178" t="str">
        <f t="shared" si="1345"/>
        <v/>
      </c>
      <c r="DT178" t="str">
        <f t="shared" si="1346"/>
        <v/>
      </c>
      <c r="DU178" t="str">
        <f t="shared" si="1347"/>
        <v/>
      </c>
      <c r="DV178" t="str">
        <f t="shared" si="1348"/>
        <v/>
      </c>
      <c r="DW178" t="str">
        <f t="shared" si="1349"/>
        <v/>
      </c>
      <c r="DX178" t="str">
        <f t="shared" si="1350"/>
        <v/>
      </c>
      <c r="DY178" t="str">
        <f t="shared" si="1351"/>
        <v/>
      </c>
      <c r="DZ178" t="str">
        <f t="shared" si="1352"/>
        <v/>
      </c>
      <c r="EA178" t="str">
        <f t="shared" si="1353"/>
        <v/>
      </c>
      <c r="EB178" t="str">
        <f t="shared" si="1354"/>
        <v/>
      </c>
      <c r="EC178" t="str">
        <f t="shared" si="1355"/>
        <v/>
      </c>
      <c r="ED178" t="str">
        <f t="shared" si="1356"/>
        <v/>
      </c>
      <c r="EE178" t="str">
        <f t="shared" si="1357"/>
        <v/>
      </c>
      <c r="EF178" t="str">
        <f t="shared" si="1358"/>
        <v/>
      </c>
      <c r="EG178" t="str">
        <f t="shared" si="1359"/>
        <v/>
      </c>
      <c r="EH178" t="str">
        <f t="shared" si="1360"/>
        <v/>
      </c>
      <c r="EI178" t="str">
        <f t="shared" si="1361"/>
        <v/>
      </c>
      <c r="EJ178" t="str">
        <f t="shared" si="1362"/>
        <v/>
      </c>
      <c r="EK178" t="str">
        <f t="shared" si="1363"/>
        <v/>
      </c>
      <c r="EL178" t="str">
        <f t="shared" si="1364"/>
        <v/>
      </c>
      <c r="EM178" t="str">
        <f t="shared" si="1365"/>
        <v/>
      </c>
      <c r="EN178" t="str">
        <f t="shared" si="1366"/>
        <v/>
      </c>
      <c r="EO178" t="str">
        <f t="shared" si="1367"/>
        <v/>
      </c>
      <c r="EP178" t="str">
        <f t="shared" si="1368"/>
        <v/>
      </c>
      <c r="EQ178" t="str">
        <f t="shared" si="1369"/>
        <v/>
      </c>
      <c r="ER178" t="str">
        <f t="shared" si="1370"/>
        <v/>
      </c>
      <c r="ES178" t="str">
        <f t="shared" si="1371"/>
        <v/>
      </c>
      <c r="ET178" t="str">
        <f t="shared" si="1372"/>
        <v/>
      </c>
      <c r="EU178" t="str">
        <f t="shared" si="1373"/>
        <v/>
      </c>
      <c r="EV178" t="str">
        <f t="shared" si="1374"/>
        <v/>
      </c>
      <c r="EW178" t="str">
        <f t="shared" si="1375"/>
        <v/>
      </c>
      <c r="EX178" t="str">
        <f t="shared" si="1376"/>
        <v/>
      </c>
      <c r="EY178" t="str">
        <f t="shared" si="1377"/>
        <v/>
      </c>
    </row>
    <row r="179" spans="1:155" ht="13.9" customHeight="1" x14ac:dyDescent="0.25">
      <c r="A179" s="7"/>
      <c r="B179" s="17"/>
      <c r="C179" s="8"/>
      <c r="D179" s="17"/>
      <c r="E179" s="8"/>
      <c r="F179" s="18">
        <v>0</v>
      </c>
      <c r="G179" s="7" t="s">
        <v>147</v>
      </c>
      <c r="H179" s="18">
        <v>0</v>
      </c>
      <c r="I179" s="19">
        <v>0</v>
      </c>
      <c r="J179" s="7" t="s">
        <v>147</v>
      </c>
      <c r="K179" s="19">
        <v>0</v>
      </c>
      <c r="L179" s="9"/>
      <c r="M179" s="3" t="str">
        <f>IF($L179="","",IF($L179="DOELPUNTENMAKERS","",IF(AND(COUNTIF(#REF!,$B179)=0,COUNTIF(#REF!,$D179)=0),"OK",IF($O179&gt;20,"LET OP: meer dan 20 items (controle onvolledig)",IF((COUNTIF($R179:$AS179,"ONZEKER")+COUNTIF($CJ179:$DK179,"ONZEKER"))&gt;0,"LET OP: scoreverloop onduidelijk (controle beperkt)",IF((IF($AT179&lt;&gt;"",$AT179&amp;", ","")&amp;IF($AU179&lt;&gt;"",$AU179&amp;", ","")&amp;IF($AV179&lt;&gt;"",$AV179&amp;", ","")&amp;IF($AW179&lt;&gt;"",$AW179&amp;", ","")&amp;IF($AX179&lt;&gt;"",$AX179&amp;", ","")&amp;IF($AY179&lt;&gt;"",$AY179&amp;", ","")&amp;IF($AZ179&lt;&gt;"",$AZ179&amp;", ","")&amp;IF($BA179&lt;&gt;"",$BA179&amp;", ","")&amp;IF($BB179&lt;&gt;"",$BB179&amp;", ","")&amp;IF($BC179&lt;&gt;"",$BC179&amp;", ","")&amp;IF($DL179&lt;&gt;"",$DL179&amp;", ","")&amp;IF($DM179&lt;&gt;"",$DM179&amp;", ","")&amp;IF($DN179&lt;&gt;"",$DN179&amp;", ","")&amp;IF($DO179&lt;&gt;"",$DO179&amp;", ","")&amp;IF($DP179&lt;&gt;"",$DP179&amp;", ","")&amp;IF($DQ179&lt;&gt;"",$DQ179&amp;", ","")&amp;IF($DR179&lt;&gt;"",$DR179&amp;", ","")&amp;IF($DS179&lt;&gt;"",$DS179&amp;", ","")&amp;IF($DT179&lt;&gt;"",$DT179&amp;", ","")&amp;IF($DU179&lt;&gt;"",$DU179&amp;", ",""))="","OK","Onbekend: "&amp;LEFT((IF($AT179&lt;&gt;"",$AT179&amp;", ","")&amp;IF($AU179&lt;&gt;"",$AU179&amp;", ","")&amp;IF($AV179&lt;&gt;"",$AV179&amp;", ","")&amp;IF($AW179&lt;&gt;"",$AW179&amp;", ","")&amp;IF($AX179&lt;&gt;"",$AX179&amp;", ","")&amp;IF($AY179&lt;&gt;"",$AY179&amp;", ","")&amp;IF($AZ179&lt;&gt;"",$AZ179&amp;", ","")&amp;IF($BA179&lt;&gt;"",$BA179&amp;", ","")&amp;IF($BB179&lt;&gt;"",$BB179&amp;", ","")&amp;IF($BC179&lt;&gt;"",$BC179&amp;", ","")&amp;IF($DL179&lt;&gt;"",$DL179&amp;", ","")&amp;IF($DM179&lt;&gt;"",$DM179&amp;", ","")&amp;IF($DN179&lt;&gt;"",$DN179&amp;", ","")&amp;IF($DO179&lt;&gt;"",$DO179&amp;", ","")&amp;IF($DP179&lt;&gt;"",$DP179&amp;", ","")&amp;IF($DQ179&lt;&gt;"",$DQ179&amp;", ","")&amp;IF($DR179&lt;&gt;"",$DR179&amp;", ","")&amp;IF($DS179&lt;&gt;"",$DS179&amp;", ","")&amp;IF($DT179&lt;&gt;"",$DT179&amp;", ","")&amp;IF($DU179&lt;&gt;"",$DU179&amp;", ","")),LEN((IF($AT179&lt;&gt;"",$AT179&amp;", ","")&amp;IF($AU179&lt;&gt;"",$AU179&amp;", ","")&amp;IF($AV179&lt;&gt;"",$AV179&amp;", ","")&amp;IF($AW179&lt;&gt;"",$AW179&amp;", ","")&amp;IF($AX179&lt;&gt;"",$AX179&amp;", ","")&amp;IF($AY179&lt;&gt;"",$AY179&amp;", ","")&amp;IF($AZ179&lt;&gt;"",$AZ179&amp;", ","")&amp;IF($BA179&lt;&gt;"",$BA179&amp;", ","")&amp;IF($BB179&lt;&gt;"",$BB179&amp;", ","")&amp;IF($BC179&lt;&gt;"",$BC179&amp;", ","")&amp;IF($DL179&lt;&gt;"",$DL179&amp;", ","")&amp;IF($DM179&lt;&gt;"",$DM179&amp;", ","")&amp;IF($DN179&lt;&gt;"",$DN179&amp;", ","")&amp;IF($DO179&lt;&gt;"",$DO179&amp;", ","")&amp;IF($DP179&lt;&gt;"",$DP179&amp;", ","")&amp;IF($DQ179&lt;&gt;"",$DQ179&amp;", ","")&amp;IF($DR179&lt;&gt;"",$DR179&amp;", ","")&amp;IF($DS179&lt;&gt;"",$DS179&amp;", ","")&amp;IF($DT179&lt;&gt;"",$DT179&amp;", ","")&amp;IF($DU179&lt;&gt;"",$DU179&amp;", ","")))-2)))))))</f>
        <v/>
      </c>
      <c r="N179" t="str">
        <f t="shared" si="1286"/>
        <v/>
      </c>
      <c r="O179" t="str">
        <f t="shared" si="1287"/>
        <v/>
      </c>
      <c r="P179" t="str">
        <f t="shared" si="1288"/>
        <v/>
      </c>
      <c r="Q179" t="str">
        <f t="shared" si="1289"/>
        <v/>
      </c>
      <c r="R179" t="str">
        <f>IF($Q179="","",IF(OR($BE179="",$BF179=""),"ONZEKER",IF(AND($BE179=0+1,$BF179=0),IF(OR(COUNTIF(#REF!,$B179)&gt;0,COUNTIF(#REF!,$B179)=0),"SKIP",IF(COUNTIFS(#REF!,$B179,#REF!,$Q179)&gt;0,"OK","ONBEKEND")),IF(AND($BE179=0,$BF179=0+1),IF(OR(COUNTIF(#REF!,$D179)&gt;0,COUNTIF(#REF!,$D179)=0),"SKIP",IF(COUNTIFS(#REF!,$D179,#REF!,$Q179)&gt;0,"OK","ONBEKEND")),"ONZEKER"))))</f>
        <v/>
      </c>
      <c r="S179" t="str">
        <f t="shared" si="1290"/>
        <v/>
      </c>
      <c r="T179" t="str">
        <f t="shared" si="1291"/>
        <v/>
      </c>
      <c r="U179" t="str">
        <f>IF($T179="","",IF(OR($BH179="",$BI179=""),"ONZEKER",IF(OR($BE179="",$BF179=""),"ONZEKER",IF(AND($BH179=$BE179+1,$BI179=$BF179),IF(OR(COUNTIF(#REF!,$B179)&gt;0,COUNTIF(#REF!,$B179)=0),"SKIP",IF(COUNTIFS(#REF!,$B179,#REF!,$T179)&gt;0,"OK","ONBEKEND")),IF(AND($BH179=$BE179,$BI179=$BF179+1),IF(OR(COUNTIF(#REF!,$D179)&gt;0,COUNTIF(#REF!,$D179)=0),"SKIP",IF(COUNTIFS(#REF!,$D179,#REF!,$T179)&gt;0,"OK","ONBEKEND")),"ONZEKER")))))</f>
        <v/>
      </c>
      <c r="V179" t="str">
        <f t="shared" si="1292"/>
        <v/>
      </c>
      <c r="W179" t="str">
        <f t="shared" si="1293"/>
        <v/>
      </c>
      <c r="X179" t="str">
        <f>IF($W179="","",IF(OR($BK179="",$BL179=""),"ONZEKER",IF(OR($BH179="",$BI179=""),"ONZEKER",IF(AND($BK179=$BH179+1,$BL179=$BI179),IF(OR(COUNTIF(#REF!,$B179)&gt;0,COUNTIF(#REF!,$B179)=0),"SKIP",IF(COUNTIFS(#REF!,$B179,#REF!,$W179)&gt;0,"OK","ONBEKEND")),IF(AND($BK179=$BH179,$BL179=$BI179+1),IF(OR(COUNTIF(#REF!,$D179)&gt;0,COUNTIF(#REF!,$D179)=0),"SKIP",IF(COUNTIFS(#REF!,$D179,#REF!,$W179)&gt;0,"OK","ONBEKEND")),"ONZEKER")))))</f>
        <v/>
      </c>
      <c r="Y179" t="str">
        <f t="shared" si="1294"/>
        <v/>
      </c>
      <c r="Z179" t="str">
        <f t="shared" si="1295"/>
        <v/>
      </c>
      <c r="AA179" t="str">
        <f>IF($Z179="","",IF(OR($BN179="",$BO179=""),"ONZEKER",IF(OR($BK179="",$BL179=""),"ONZEKER",IF(AND($BN179=$BK179+1,$BO179=$BL179),IF(OR(COUNTIF(#REF!,$B179)&gt;0,COUNTIF(#REF!,$B179)=0),"SKIP",IF(COUNTIFS(#REF!,$B179,#REF!,$Z179)&gt;0,"OK","ONBEKEND")),IF(AND($BN179=$BK179,$BO179=$BL179+1),IF(OR(COUNTIF(#REF!,$D179)&gt;0,COUNTIF(#REF!,$D179)=0),"SKIP",IF(COUNTIFS(#REF!,$D179,#REF!,$Z179)&gt;0,"OK","ONBEKEND")),"ONZEKER")))))</f>
        <v/>
      </c>
      <c r="AB179" t="str">
        <f t="shared" si="1296"/>
        <v/>
      </c>
      <c r="AC179" t="str">
        <f t="shared" si="1297"/>
        <v/>
      </c>
      <c r="AD179" t="str">
        <f>IF($AC179="","",IF(OR($BQ179="",$BR179=""),"ONZEKER",IF(OR($BN179="",$BO179=""),"ONZEKER",IF(AND($BQ179=$BN179+1,$BR179=$BO179),IF(OR(COUNTIF(#REF!,$B179)&gt;0,COUNTIF(#REF!,$B179)=0),"SKIP",IF(COUNTIFS(#REF!,$B179,#REF!,$AC179)&gt;0,"OK","ONBEKEND")),IF(AND($BQ179=$BN179,$BR179=$BO179+1),IF(OR(COUNTIF(#REF!,$D179)&gt;0,COUNTIF(#REF!,$D179)=0),"SKIP",IF(COUNTIFS(#REF!,$D179,#REF!,$AC179)&gt;0,"OK","ONBEKEND")),"ONZEKER")))))</f>
        <v/>
      </c>
      <c r="AE179" t="str">
        <f t="shared" si="1298"/>
        <v/>
      </c>
      <c r="AF179" t="str">
        <f t="shared" si="1299"/>
        <v/>
      </c>
      <c r="AG179" t="str">
        <f>IF($AF179="","",IF(OR($BT179="",$BU179=""),"ONZEKER",IF(OR($BQ179="",$BR179=""),"ONZEKER",IF(AND($BT179=$BQ179+1,$BU179=$BR179),IF(OR(COUNTIF(#REF!,$B179)&gt;0,COUNTIF(#REF!,$B179)=0),"SKIP",IF(COUNTIFS(#REF!,$B179,#REF!,$AF179)&gt;0,"OK","ONBEKEND")),IF(AND($BT179=$BQ179,$BU179=$BR179+1),IF(OR(COUNTIF(#REF!,$D179)&gt;0,COUNTIF(#REF!,$D179)=0),"SKIP",IF(COUNTIFS(#REF!,$D179,#REF!,$AF179)&gt;0,"OK","ONBEKEND")),"ONZEKER")))))</f>
        <v/>
      </c>
      <c r="AH179" t="str">
        <f t="shared" si="1300"/>
        <v/>
      </c>
      <c r="AI179" t="str">
        <f t="shared" si="1301"/>
        <v/>
      </c>
      <c r="AJ179" t="str">
        <f>IF($AI179="","",IF(OR($BW179="",$BX179=""),"ONZEKER",IF(OR($BT179="",$BU179=""),"ONZEKER",IF(AND($BW179=$BT179+1,$BX179=$BU179),IF(OR(COUNTIF(#REF!,$B179)&gt;0,COUNTIF(#REF!,$B179)=0),"SKIP",IF(COUNTIFS(#REF!,$B179,#REF!,$AI179)&gt;0,"OK","ONBEKEND")),IF(AND($BW179=$BT179,$BX179=$BU179+1),IF(OR(COUNTIF(#REF!,$D179)&gt;0,COUNTIF(#REF!,$D179)=0),"SKIP",IF(COUNTIFS(#REF!,$D179,#REF!,$AI179)&gt;0,"OK","ONBEKEND")),"ONZEKER")))))</f>
        <v/>
      </c>
      <c r="AK179" t="str">
        <f t="shared" si="1302"/>
        <v/>
      </c>
      <c r="AL179" t="str">
        <f t="shared" si="1303"/>
        <v/>
      </c>
      <c r="AM179" t="str">
        <f>IF($AL179="","",IF(OR($BZ179="",$CA179=""),"ONZEKER",IF(OR($BW179="",$BX179=""),"ONZEKER",IF(AND($BZ179=$BW179+1,$CA179=$BX179),IF(OR(COUNTIF(#REF!,$B179)&gt;0,COUNTIF(#REF!,$B179)=0),"SKIP",IF(COUNTIFS(#REF!,$B179,#REF!,$AL179)&gt;0,"OK","ONBEKEND")),IF(AND($BZ179=$BW179,$CA179=$BX179+1),IF(OR(COUNTIF(#REF!,$D179)&gt;0,COUNTIF(#REF!,$D179)=0),"SKIP",IF(COUNTIFS(#REF!,$D179,#REF!,$AL179)&gt;0,"OK","ONBEKEND")),"ONZEKER")))))</f>
        <v/>
      </c>
      <c r="AN179" t="str">
        <f t="shared" si="1304"/>
        <v/>
      </c>
      <c r="AO179" t="str">
        <f t="shared" si="1305"/>
        <v/>
      </c>
      <c r="AP179" t="str">
        <f>IF($AO179="","",IF(OR($CC179="",$CD179=""),"ONZEKER",IF(OR($BZ179="",$CA179=""),"ONZEKER",IF(AND($CC179=$BZ179+1,$CD179=$CA179),IF(OR(COUNTIF(#REF!,$B179)&gt;0,COUNTIF(#REF!,$B179)=0),"SKIP",IF(COUNTIFS(#REF!,$B179,#REF!,$AO179)&gt;0,"OK","ONBEKEND")),IF(AND($CC179=$BZ179,$CD179=$CA179+1),IF(OR(COUNTIF(#REF!,$D179)&gt;0,COUNTIF(#REF!,$D179)=0),"SKIP",IF(COUNTIFS(#REF!,$D179,#REF!,$AO179)&gt;0,"OK","ONBEKEND")),"ONZEKER")))))</f>
        <v/>
      </c>
      <c r="AQ179" t="str">
        <f t="shared" si="1306"/>
        <v/>
      </c>
      <c r="AR179" t="str">
        <f t="shared" si="1307"/>
        <v/>
      </c>
      <c r="AS179" t="str">
        <f>IF($AR179="","",IF(OR($CF179="",$CG179=""),"ONZEKER",IF(OR($CC179="",$CD179=""),"ONZEKER",IF(AND($CF179=$CC179+1,$CG179=$CD179),IF(OR(COUNTIF(#REF!,$B179)&gt;0,COUNTIF(#REF!,$B179)=0),"SKIP",IF(COUNTIFS(#REF!,$B179,#REF!,$AR179)&gt;0,"OK","ONBEKEND")),IF(AND($CF179=$CC179,$CG179=$CD179+1),IF(OR(COUNTIF(#REF!,$D179)&gt;0,COUNTIF(#REF!,$D179)=0),"SKIP",IF(COUNTIFS(#REF!,$D179,#REF!,$AR179)&gt;0,"OK","ONBEKEND")),"ONZEKER")))))</f>
        <v/>
      </c>
      <c r="AT179" t="str">
        <f t="shared" si="1308"/>
        <v/>
      </c>
      <c r="AU179" t="str">
        <f t="shared" si="1309"/>
        <v/>
      </c>
      <c r="AV179" t="str">
        <f t="shared" si="1310"/>
        <v/>
      </c>
      <c r="AW179" t="str">
        <f t="shared" si="1311"/>
        <v/>
      </c>
      <c r="AX179" t="str">
        <f t="shared" si="1312"/>
        <v/>
      </c>
      <c r="AY179" t="str">
        <f t="shared" si="1313"/>
        <v/>
      </c>
      <c r="AZ179" t="str">
        <f t="shared" si="1314"/>
        <v/>
      </c>
      <c r="BA179" t="str">
        <f t="shared" si="1315"/>
        <v/>
      </c>
      <c r="BB179" t="str">
        <f t="shared" si="1316"/>
        <v/>
      </c>
      <c r="BC179" t="str">
        <f t="shared" si="1317"/>
        <v/>
      </c>
      <c r="BD179" t="str">
        <f t="shared" si="980"/>
        <v/>
      </c>
      <c r="BE179" t="str">
        <f t="shared" si="981"/>
        <v/>
      </c>
      <c r="BF179" t="str">
        <f t="shared" si="982"/>
        <v/>
      </c>
      <c r="BG179" t="str">
        <f t="shared" si="983"/>
        <v/>
      </c>
      <c r="BH179" t="str">
        <f t="shared" si="984"/>
        <v/>
      </c>
      <c r="BI179" t="str">
        <f t="shared" si="985"/>
        <v/>
      </c>
      <c r="BJ179" t="str">
        <f t="shared" si="986"/>
        <v/>
      </c>
      <c r="BK179" t="str">
        <f t="shared" si="987"/>
        <v/>
      </c>
      <c r="BL179" t="str">
        <f t="shared" si="988"/>
        <v/>
      </c>
      <c r="BM179" t="str">
        <f t="shared" si="989"/>
        <v/>
      </c>
      <c r="BN179" t="str">
        <f t="shared" si="990"/>
        <v/>
      </c>
      <c r="BO179" t="str">
        <f t="shared" si="991"/>
        <v/>
      </c>
      <c r="BP179" t="str">
        <f t="shared" si="992"/>
        <v/>
      </c>
      <c r="BQ179" t="str">
        <f t="shared" si="993"/>
        <v/>
      </c>
      <c r="BR179" t="str">
        <f t="shared" si="994"/>
        <v/>
      </c>
      <c r="BS179" t="str">
        <f t="shared" si="995"/>
        <v/>
      </c>
      <c r="BT179" t="str">
        <f t="shared" si="996"/>
        <v/>
      </c>
      <c r="BU179" t="str">
        <f t="shared" si="997"/>
        <v/>
      </c>
      <c r="BV179" t="str">
        <f t="shared" si="998"/>
        <v/>
      </c>
      <c r="BW179" t="str">
        <f t="shared" si="999"/>
        <v/>
      </c>
      <c r="BX179" t="str">
        <f t="shared" si="1000"/>
        <v/>
      </c>
      <c r="BY179" t="str">
        <f t="shared" si="1001"/>
        <v/>
      </c>
      <c r="BZ179" t="str">
        <f t="shared" si="1002"/>
        <v/>
      </c>
      <c r="CA179" t="str">
        <f t="shared" si="1003"/>
        <v/>
      </c>
      <c r="CB179" t="str">
        <f t="shared" si="1004"/>
        <v/>
      </c>
      <c r="CC179" t="str">
        <f t="shared" si="1005"/>
        <v/>
      </c>
      <c r="CD179" t="str">
        <f t="shared" si="1006"/>
        <v/>
      </c>
      <c r="CE179" t="str">
        <f t="shared" si="1007"/>
        <v/>
      </c>
      <c r="CF179" t="str">
        <f t="shared" si="1008"/>
        <v/>
      </c>
      <c r="CG179" t="str">
        <f t="shared" si="1009"/>
        <v/>
      </c>
      <c r="CH179" t="str">
        <f t="shared" si="1318"/>
        <v/>
      </c>
      <c r="CI179" t="str">
        <f t="shared" si="1319"/>
        <v/>
      </c>
      <c r="CJ179" t="str">
        <f>IF($CI179="","",IF(OR($DW179="",$DX179=""),"ONZEKER",IF(OR($CF179="",$CG179=""),"ONZEKER",IF(AND($DW179=$CF179+1,$DX179=$CG179),IF(OR(COUNTIF(#REF!,$B179)&gt;0,COUNTIF(#REF!,$B179)=0),"SKIP",IF(COUNTIFS(#REF!,$B179,#REF!,$CI179)&gt;0,"OK","ONBEKEND")),IF(AND($DW179=$CF179,$DX179=$CG179+1),IF(OR(COUNTIF(#REF!,$D179)&gt;0,COUNTIF(#REF!,$D179)=0),"SKIP",IF(COUNTIFS(#REF!,$D179,#REF!,$CI179)&gt;0,"OK","ONBEKEND")),"ONZEKER")))))</f>
        <v/>
      </c>
      <c r="CK179" t="str">
        <f t="shared" si="1320"/>
        <v/>
      </c>
      <c r="CL179" t="str">
        <f t="shared" si="1321"/>
        <v/>
      </c>
      <c r="CM179" t="str">
        <f>IF($CL179="","",IF(OR($DZ179="",$EA179=""),"ONZEKER",IF(OR($DW179="",$DX179=""),"ONZEKER",IF(AND($DZ179=$DW179+1,$EA179=$DX179),IF(OR(COUNTIF(#REF!,$B179)&gt;0,COUNTIF(#REF!,$B179)=0),"SKIP",IF(COUNTIFS(#REF!,$B179,#REF!,$CL179)&gt;0,"OK","ONBEKEND")),IF(AND($DZ179=$DW179,$EA179=$DX179+1),IF(OR(COUNTIF(#REF!,$D179)&gt;0,COUNTIF(#REF!,$D179)=0),"SKIP",IF(COUNTIFS(#REF!,$D179,#REF!,$CL179)&gt;0,"OK","ONBEKEND")),"ONZEKER")))))</f>
        <v/>
      </c>
      <c r="CN179" t="str">
        <f t="shared" si="1322"/>
        <v/>
      </c>
      <c r="CO179" t="str">
        <f t="shared" si="1323"/>
        <v/>
      </c>
      <c r="CP179" t="str">
        <f>IF($CO179="","",IF(OR($EC179="",$ED179=""),"ONZEKER",IF(OR($DZ179="",$EA179=""),"ONZEKER",IF(AND($EC179=$DZ179+1,$ED179=$EA179),IF(OR(COUNTIF(#REF!,$B179)&gt;0,COUNTIF(#REF!,$B179)=0),"SKIP",IF(COUNTIFS(#REF!,$B179,#REF!,$CO179)&gt;0,"OK","ONBEKEND")),IF(AND($EC179=$DZ179,$ED179=$EA179+1),IF(OR(COUNTIF(#REF!,$D179)&gt;0,COUNTIF(#REF!,$D179)=0),"SKIP",IF(COUNTIFS(#REF!,$D179,#REF!,$CO179)&gt;0,"OK","ONBEKEND")),"ONZEKER")))))</f>
        <v/>
      </c>
      <c r="CQ179" t="str">
        <f t="shared" si="1324"/>
        <v/>
      </c>
      <c r="CR179" t="str">
        <f t="shared" si="1325"/>
        <v/>
      </c>
      <c r="CS179" t="str">
        <f>IF($CR179="","",IF(OR($EF179="",$EG179=""),"ONZEKER",IF(OR($EC179="",$ED179=""),"ONZEKER",IF(AND($EF179=$EC179+1,$EG179=$ED179),IF(OR(COUNTIF(#REF!,$B179)&gt;0,COUNTIF(#REF!,$B179)=0),"SKIP",IF(COUNTIFS(#REF!,$B179,#REF!,$CR179)&gt;0,"OK","ONBEKEND")),IF(AND($EF179=$EC179,$EG179=$ED179+1),IF(OR(COUNTIF(#REF!,$D179)&gt;0,COUNTIF(#REF!,$D179)=0),"SKIP",IF(COUNTIFS(#REF!,$D179,#REF!,$CR179)&gt;0,"OK","ONBEKEND")),"ONZEKER")))))</f>
        <v/>
      </c>
      <c r="CT179" t="str">
        <f t="shared" si="1326"/>
        <v/>
      </c>
      <c r="CU179" t="str">
        <f t="shared" si="1327"/>
        <v/>
      </c>
      <c r="CV179" t="str">
        <f>IF($CU179="","",IF(OR($EI179="",$EJ179=""),"ONZEKER",IF(OR($EF179="",$EG179=""),"ONZEKER",IF(AND($EI179=$EF179+1,$EJ179=$EG179),IF(OR(COUNTIF(#REF!,$B179)&gt;0,COUNTIF(#REF!,$B179)=0),"SKIP",IF(COUNTIFS(#REF!,$B179,#REF!,$CU179)&gt;0,"OK","ONBEKEND")),IF(AND($EI179=$EF179,$EJ179=$EG179+1),IF(OR(COUNTIF(#REF!,$D179)&gt;0,COUNTIF(#REF!,$D179)=0),"SKIP",IF(COUNTIFS(#REF!,$D179,#REF!,$CU179)&gt;0,"OK","ONBEKEND")),"ONZEKER")))))</f>
        <v/>
      </c>
      <c r="CW179" t="str">
        <f t="shared" si="1328"/>
        <v/>
      </c>
      <c r="CX179" t="str">
        <f t="shared" si="1329"/>
        <v/>
      </c>
      <c r="CY179" t="str">
        <f>IF($CX179="","",IF(OR($EL179="",$EM179=""),"ONZEKER",IF(OR($EI179="",$EJ179=""),"ONZEKER",IF(AND($EL179=$EI179+1,$EM179=$EJ179),IF(OR(COUNTIF(#REF!,$B179)&gt;0,COUNTIF(#REF!,$B179)=0),"SKIP",IF(COUNTIFS(#REF!,$B179,#REF!,$CX179)&gt;0,"OK","ONBEKEND")),IF(AND($EL179=$EI179,$EM179=$EJ179+1),IF(OR(COUNTIF(#REF!,$D179)&gt;0,COUNTIF(#REF!,$D179)=0),"SKIP",IF(COUNTIFS(#REF!,$D179,#REF!,$CX179)&gt;0,"OK","ONBEKEND")),"ONZEKER")))))</f>
        <v/>
      </c>
      <c r="CZ179" t="str">
        <f t="shared" si="1330"/>
        <v/>
      </c>
      <c r="DA179" t="str">
        <f t="shared" si="1331"/>
        <v/>
      </c>
      <c r="DB179" t="str">
        <f>IF($DA179="","",IF(OR($EO179="",$EP179=""),"ONZEKER",IF(OR($EL179="",$EM179=""),"ONZEKER",IF(AND($EO179=$EL179+1,$EP179=$EM179),IF(OR(COUNTIF(#REF!,$B179)&gt;0,COUNTIF(#REF!,$B179)=0),"SKIP",IF(COUNTIFS(#REF!,$B179,#REF!,$DA179)&gt;0,"OK","ONBEKEND")),IF(AND($EO179=$EL179,$EP179=$EM179+1),IF(OR(COUNTIF(#REF!,$D179)&gt;0,COUNTIF(#REF!,$D179)=0),"SKIP",IF(COUNTIFS(#REF!,$D179,#REF!,$DA179)&gt;0,"OK","ONBEKEND")),"ONZEKER")))))</f>
        <v/>
      </c>
      <c r="DC179" t="str">
        <f t="shared" si="1332"/>
        <v/>
      </c>
      <c r="DD179" t="str">
        <f t="shared" si="1333"/>
        <v/>
      </c>
      <c r="DE179" t="str">
        <f>IF($DD179="","",IF(OR($ER179="",$ES179=""),"ONZEKER",IF(OR($EO179="",$EP179=""),"ONZEKER",IF(AND($ER179=$EO179+1,$ES179=$EP179),IF(OR(COUNTIF(#REF!,$B179)&gt;0,COUNTIF(#REF!,$B179)=0),"SKIP",IF(COUNTIFS(#REF!,$B179,#REF!,$DD179)&gt;0,"OK","ONBEKEND")),IF(AND($ER179=$EO179,$ES179=$EP179+1),IF(OR(COUNTIF(#REF!,$D179)&gt;0,COUNTIF(#REF!,$D179)=0),"SKIP",IF(COUNTIFS(#REF!,$D179,#REF!,$DD179)&gt;0,"OK","ONBEKEND")),"ONZEKER")))))</f>
        <v/>
      </c>
      <c r="DF179" t="str">
        <f t="shared" si="1334"/>
        <v/>
      </c>
      <c r="DG179" t="str">
        <f t="shared" si="1335"/>
        <v/>
      </c>
      <c r="DH179" t="str">
        <f>IF($DG179="","",IF(OR($EU179="",$EV179=""),"ONZEKER",IF(OR($ER179="",$ES179=""),"ONZEKER",IF(AND($EU179=$ER179+1,$EV179=$ES179),IF(OR(COUNTIF(#REF!,$B179)&gt;0,COUNTIF(#REF!,$B179)=0),"SKIP",IF(COUNTIFS(#REF!,$B179,#REF!,$DG179)&gt;0,"OK","ONBEKEND")),IF(AND($EU179=$ER179,$EV179=$ES179+1),IF(OR(COUNTIF(#REF!,$D179)&gt;0,COUNTIF(#REF!,$D179)=0),"SKIP",IF(COUNTIFS(#REF!,$D179,#REF!,$DG179)&gt;0,"OK","ONBEKEND")),"ONZEKER")))))</f>
        <v/>
      </c>
      <c r="DI179" t="str">
        <f t="shared" si="1336"/>
        <v/>
      </c>
      <c r="DJ179" t="str">
        <f t="shared" si="1337"/>
        <v/>
      </c>
      <c r="DK179" t="str">
        <f>IF($DJ179="","",IF(OR($EX179="",$EY179=""),"ONZEKER",IF(OR($EU179="",$EV179=""),"ONZEKER",IF(AND($EX179=$EU179+1,$EY179=$EV179),IF(OR(COUNTIF(#REF!,$B179)&gt;0,COUNTIF(#REF!,$B179)=0),"SKIP",IF(COUNTIFS(#REF!,$B179,#REF!,$DJ179)&gt;0,"OK","ONBEKEND")),IF(AND($EX179=$EU179,$EY179=$EV179+1),IF(OR(COUNTIF(#REF!,$D179)&gt;0,COUNTIF(#REF!,$D179)=0),"SKIP",IF(COUNTIFS(#REF!,$D179,#REF!,$DJ179)&gt;0,"OK","ONBEKEND")),"ONZEKER")))))</f>
        <v/>
      </c>
      <c r="DL179" t="str">
        <f t="shared" si="1338"/>
        <v/>
      </c>
      <c r="DM179" t="str">
        <f t="shared" si="1339"/>
        <v/>
      </c>
      <c r="DN179" t="str">
        <f t="shared" si="1340"/>
        <v/>
      </c>
      <c r="DO179" t="str">
        <f t="shared" si="1341"/>
        <v/>
      </c>
      <c r="DP179" t="str">
        <f t="shared" si="1342"/>
        <v/>
      </c>
      <c r="DQ179" t="str">
        <f t="shared" si="1343"/>
        <v/>
      </c>
      <c r="DR179" t="str">
        <f t="shared" si="1344"/>
        <v/>
      </c>
      <c r="DS179" t="str">
        <f t="shared" si="1345"/>
        <v/>
      </c>
      <c r="DT179" t="str">
        <f t="shared" si="1346"/>
        <v/>
      </c>
      <c r="DU179" t="str">
        <f t="shared" si="1347"/>
        <v/>
      </c>
      <c r="DV179" t="str">
        <f t="shared" si="1348"/>
        <v/>
      </c>
      <c r="DW179" t="str">
        <f t="shared" si="1349"/>
        <v/>
      </c>
      <c r="DX179" t="str">
        <f t="shared" si="1350"/>
        <v/>
      </c>
      <c r="DY179" t="str">
        <f t="shared" si="1351"/>
        <v/>
      </c>
      <c r="DZ179" t="str">
        <f t="shared" si="1352"/>
        <v/>
      </c>
      <c r="EA179" t="str">
        <f t="shared" si="1353"/>
        <v/>
      </c>
      <c r="EB179" t="str">
        <f t="shared" si="1354"/>
        <v/>
      </c>
      <c r="EC179" t="str">
        <f t="shared" si="1355"/>
        <v/>
      </c>
      <c r="ED179" t="str">
        <f t="shared" si="1356"/>
        <v/>
      </c>
      <c r="EE179" t="str">
        <f t="shared" si="1357"/>
        <v/>
      </c>
      <c r="EF179" t="str">
        <f t="shared" si="1358"/>
        <v/>
      </c>
      <c r="EG179" t="str">
        <f t="shared" si="1359"/>
        <v/>
      </c>
      <c r="EH179" t="str">
        <f t="shared" si="1360"/>
        <v/>
      </c>
      <c r="EI179" t="str">
        <f t="shared" si="1361"/>
        <v/>
      </c>
      <c r="EJ179" t="str">
        <f t="shared" si="1362"/>
        <v/>
      </c>
      <c r="EK179" t="str">
        <f t="shared" si="1363"/>
        <v/>
      </c>
      <c r="EL179" t="str">
        <f t="shared" si="1364"/>
        <v/>
      </c>
      <c r="EM179" t="str">
        <f t="shared" si="1365"/>
        <v/>
      </c>
      <c r="EN179" t="str">
        <f t="shared" si="1366"/>
        <v/>
      </c>
      <c r="EO179" t="str">
        <f t="shared" si="1367"/>
        <v/>
      </c>
      <c r="EP179" t="str">
        <f t="shared" si="1368"/>
        <v/>
      </c>
      <c r="EQ179" t="str">
        <f t="shared" si="1369"/>
        <v/>
      </c>
      <c r="ER179" t="str">
        <f t="shared" si="1370"/>
        <v/>
      </c>
      <c r="ES179" t="str">
        <f t="shared" si="1371"/>
        <v/>
      </c>
      <c r="ET179" t="str">
        <f t="shared" si="1372"/>
        <v/>
      </c>
      <c r="EU179" t="str">
        <f t="shared" si="1373"/>
        <v/>
      </c>
      <c r="EV179" t="str">
        <f t="shared" si="1374"/>
        <v/>
      </c>
      <c r="EW179" t="str">
        <f t="shared" si="1375"/>
        <v/>
      </c>
      <c r="EX179" t="str">
        <f t="shared" si="1376"/>
        <v/>
      </c>
      <c r="EY179" t="str">
        <f t="shared" si="1377"/>
        <v/>
      </c>
    </row>
    <row r="180" spans="1:155" ht="13.9" customHeight="1" x14ac:dyDescent="0.25">
      <c r="A180" s="7"/>
      <c r="B180" s="17"/>
      <c r="C180" s="8"/>
      <c r="D180" s="17"/>
      <c r="E180" s="8"/>
      <c r="F180" s="18">
        <v>0</v>
      </c>
      <c r="G180" s="7" t="s">
        <v>147</v>
      </c>
      <c r="H180" s="18">
        <v>0</v>
      </c>
      <c r="I180" s="19">
        <v>0</v>
      </c>
      <c r="J180" s="7" t="s">
        <v>147</v>
      </c>
      <c r="K180" s="19">
        <v>0</v>
      </c>
      <c r="L180" s="9"/>
      <c r="M180" s="3" t="str">
        <f>IF($L180="","",IF($L180="DOELPUNTENMAKERS","",IF(AND(COUNTIF(#REF!,$B180)=0,COUNTIF(#REF!,$D180)=0),"OK",IF($O180&gt;20,"LET OP: meer dan 20 items (controle onvolledig)",IF((COUNTIF($R180:$AS180,"ONZEKER")+COUNTIF($CJ180:$DK180,"ONZEKER"))&gt;0,"LET OP: scoreverloop onduidelijk (controle beperkt)",IF((IF($AT180&lt;&gt;"",$AT180&amp;", ","")&amp;IF($AU180&lt;&gt;"",$AU180&amp;", ","")&amp;IF($AV180&lt;&gt;"",$AV180&amp;", ","")&amp;IF($AW180&lt;&gt;"",$AW180&amp;", ","")&amp;IF($AX180&lt;&gt;"",$AX180&amp;", ","")&amp;IF($AY180&lt;&gt;"",$AY180&amp;", ","")&amp;IF($AZ180&lt;&gt;"",$AZ180&amp;", ","")&amp;IF($BA180&lt;&gt;"",$BA180&amp;", ","")&amp;IF($BB180&lt;&gt;"",$BB180&amp;", ","")&amp;IF($BC180&lt;&gt;"",$BC180&amp;", ","")&amp;IF($DL180&lt;&gt;"",$DL180&amp;", ","")&amp;IF($DM180&lt;&gt;"",$DM180&amp;", ","")&amp;IF($DN180&lt;&gt;"",$DN180&amp;", ","")&amp;IF($DO180&lt;&gt;"",$DO180&amp;", ","")&amp;IF($DP180&lt;&gt;"",$DP180&amp;", ","")&amp;IF($DQ180&lt;&gt;"",$DQ180&amp;", ","")&amp;IF($DR180&lt;&gt;"",$DR180&amp;", ","")&amp;IF($DS180&lt;&gt;"",$DS180&amp;", ","")&amp;IF($DT180&lt;&gt;"",$DT180&amp;", ","")&amp;IF($DU180&lt;&gt;"",$DU180&amp;", ",""))="","OK","Onbekend: "&amp;LEFT((IF($AT180&lt;&gt;"",$AT180&amp;", ","")&amp;IF($AU180&lt;&gt;"",$AU180&amp;", ","")&amp;IF($AV180&lt;&gt;"",$AV180&amp;", ","")&amp;IF($AW180&lt;&gt;"",$AW180&amp;", ","")&amp;IF($AX180&lt;&gt;"",$AX180&amp;", ","")&amp;IF($AY180&lt;&gt;"",$AY180&amp;", ","")&amp;IF($AZ180&lt;&gt;"",$AZ180&amp;", ","")&amp;IF($BA180&lt;&gt;"",$BA180&amp;", ","")&amp;IF($BB180&lt;&gt;"",$BB180&amp;", ","")&amp;IF($BC180&lt;&gt;"",$BC180&amp;", ","")&amp;IF($DL180&lt;&gt;"",$DL180&amp;", ","")&amp;IF($DM180&lt;&gt;"",$DM180&amp;", ","")&amp;IF($DN180&lt;&gt;"",$DN180&amp;", ","")&amp;IF($DO180&lt;&gt;"",$DO180&amp;", ","")&amp;IF($DP180&lt;&gt;"",$DP180&amp;", ","")&amp;IF($DQ180&lt;&gt;"",$DQ180&amp;", ","")&amp;IF($DR180&lt;&gt;"",$DR180&amp;", ","")&amp;IF($DS180&lt;&gt;"",$DS180&amp;", ","")&amp;IF($DT180&lt;&gt;"",$DT180&amp;", ","")&amp;IF($DU180&lt;&gt;"",$DU180&amp;", ","")),LEN((IF($AT180&lt;&gt;"",$AT180&amp;", ","")&amp;IF($AU180&lt;&gt;"",$AU180&amp;", ","")&amp;IF($AV180&lt;&gt;"",$AV180&amp;", ","")&amp;IF($AW180&lt;&gt;"",$AW180&amp;", ","")&amp;IF($AX180&lt;&gt;"",$AX180&amp;", ","")&amp;IF($AY180&lt;&gt;"",$AY180&amp;", ","")&amp;IF($AZ180&lt;&gt;"",$AZ180&amp;", ","")&amp;IF($BA180&lt;&gt;"",$BA180&amp;", ","")&amp;IF($BB180&lt;&gt;"",$BB180&amp;", ","")&amp;IF($BC180&lt;&gt;"",$BC180&amp;", ","")&amp;IF($DL180&lt;&gt;"",$DL180&amp;", ","")&amp;IF($DM180&lt;&gt;"",$DM180&amp;", ","")&amp;IF($DN180&lt;&gt;"",$DN180&amp;", ","")&amp;IF($DO180&lt;&gt;"",$DO180&amp;", ","")&amp;IF($DP180&lt;&gt;"",$DP180&amp;", ","")&amp;IF($DQ180&lt;&gt;"",$DQ180&amp;", ","")&amp;IF($DR180&lt;&gt;"",$DR180&amp;", ","")&amp;IF($DS180&lt;&gt;"",$DS180&amp;", ","")&amp;IF($DT180&lt;&gt;"",$DT180&amp;", ","")&amp;IF($DU180&lt;&gt;"",$DU180&amp;", ","")))-2)))))))</f>
        <v/>
      </c>
      <c r="N180" t="str">
        <f t="shared" si="1286"/>
        <v/>
      </c>
      <c r="O180" t="str">
        <f t="shared" si="1287"/>
        <v/>
      </c>
      <c r="P180" t="str">
        <f t="shared" si="1288"/>
        <v/>
      </c>
      <c r="Q180" t="str">
        <f t="shared" si="1289"/>
        <v/>
      </c>
      <c r="R180" t="str">
        <f>IF($Q180="","",IF(OR($BE180="",$BF180=""),"ONZEKER",IF(AND($BE180=0+1,$BF180=0),IF(OR(COUNTIF(#REF!,$B180)&gt;0,COUNTIF(#REF!,$B180)=0),"SKIP",IF(COUNTIFS(#REF!,$B180,#REF!,$Q180)&gt;0,"OK","ONBEKEND")),IF(AND($BE180=0,$BF180=0+1),IF(OR(COUNTIF(#REF!,$D180)&gt;0,COUNTIF(#REF!,$D180)=0),"SKIP",IF(COUNTIFS(#REF!,$D180,#REF!,$Q180)&gt;0,"OK","ONBEKEND")),"ONZEKER"))))</f>
        <v/>
      </c>
      <c r="S180" t="str">
        <f t="shared" si="1290"/>
        <v/>
      </c>
      <c r="T180" t="str">
        <f t="shared" si="1291"/>
        <v/>
      </c>
      <c r="U180" t="str">
        <f>IF($T180="","",IF(OR($BH180="",$BI180=""),"ONZEKER",IF(OR($BE180="",$BF180=""),"ONZEKER",IF(AND($BH180=$BE180+1,$BI180=$BF180),IF(OR(COUNTIF(#REF!,$B180)&gt;0,COUNTIF(#REF!,$B180)=0),"SKIP",IF(COUNTIFS(#REF!,$B180,#REF!,$T180)&gt;0,"OK","ONBEKEND")),IF(AND($BH180=$BE180,$BI180=$BF180+1),IF(OR(COUNTIF(#REF!,$D180)&gt;0,COUNTIF(#REF!,$D180)=0),"SKIP",IF(COUNTIFS(#REF!,$D180,#REF!,$T180)&gt;0,"OK","ONBEKEND")),"ONZEKER")))))</f>
        <v/>
      </c>
      <c r="V180" t="str">
        <f t="shared" si="1292"/>
        <v/>
      </c>
      <c r="W180" t="str">
        <f t="shared" si="1293"/>
        <v/>
      </c>
      <c r="X180" t="str">
        <f>IF($W180="","",IF(OR($BK180="",$BL180=""),"ONZEKER",IF(OR($BH180="",$BI180=""),"ONZEKER",IF(AND($BK180=$BH180+1,$BL180=$BI180),IF(OR(COUNTIF(#REF!,$B180)&gt;0,COUNTIF(#REF!,$B180)=0),"SKIP",IF(COUNTIFS(#REF!,$B180,#REF!,$W180)&gt;0,"OK","ONBEKEND")),IF(AND($BK180=$BH180,$BL180=$BI180+1),IF(OR(COUNTIF(#REF!,$D180)&gt;0,COUNTIF(#REF!,$D180)=0),"SKIP",IF(COUNTIFS(#REF!,$D180,#REF!,$W180)&gt;0,"OK","ONBEKEND")),"ONZEKER")))))</f>
        <v/>
      </c>
      <c r="Y180" t="str">
        <f t="shared" si="1294"/>
        <v/>
      </c>
      <c r="Z180" t="str">
        <f t="shared" si="1295"/>
        <v/>
      </c>
      <c r="AA180" t="str">
        <f>IF($Z180="","",IF(OR($BN180="",$BO180=""),"ONZEKER",IF(OR($BK180="",$BL180=""),"ONZEKER",IF(AND($BN180=$BK180+1,$BO180=$BL180),IF(OR(COUNTIF(#REF!,$B180)&gt;0,COUNTIF(#REF!,$B180)=0),"SKIP",IF(COUNTIFS(#REF!,$B180,#REF!,$Z180)&gt;0,"OK","ONBEKEND")),IF(AND($BN180=$BK180,$BO180=$BL180+1),IF(OR(COUNTIF(#REF!,$D180)&gt;0,COUNTIF(#REF!,$D180)=0),"SKIP",IF(COUNTIFS(#REF!,$D180,#REF!,$Z180)&gt;0,"OK","ONBEKEND")),"ONZEKER")))))</f>
        <v/>
      </c>
      <c r="AB180" t="str">
        <f t="shared" si="1296"/>
        <v/>
      </c>
      <c r="AC180" t="str">
        <f t="shared" si="1297"/>
        <v/>
      </c>
      <c r="AD180" t="str">
        <f>IF($AC180="","",IF(OR($BQ180="",$BR180=""),"ONZEKER",IF(OR($BN180="",$BO180=""),"ONZEKER",IF(AND($BQ180=$BN180+1,$BR180=$BO180),IF(OR(COUNTIF(#REF!,$B180)&gt;0,COUNTIF(#REF!,$B180)=0),"SKIP",IF(COUNTIFS(#REF!,$B180,#REF!,$AC180)&gt;0,"OK","ONBEKEND")),IF(AND($BQ180=$BN180,$BR180=$BO180+1),IF(OR(COUNTIF(#REF!,$D180)&gt;0,COUNTIF(#REF!,$D180)=0),"SKIP",IF(COUNTIFS(#REF!,$D180,#REF!,$AC180)&gt;0,"OK","ONBEKEND")),"ONZEKER")))))</f>
        <v/>
      </c>
      <c r="AE180" t="str">
        <f t="shared" si="1298"/>
        <v/>
      </c>
      <c r="AF180" t="str">
        <f t="shared" si="1299"/>
        <v/>
      </c>
      <c r="AG180" t="str">
        <f>IF($AF180="","",IF(OR($BT180="",$BU180=""),"ONZEKER",IF(OR($BQ180="",$BR180=""),"ONZEKER",IF(AND($BT180=$BQ180+1,$BU180=$BR180),IF(OR(COUNTIF(#REF!,$B180)&gt;0,COUNTIF(#REF!,$B180)=0),"SKIP",IF(COUNTIFS(#REF!,$B180,#REF!,$AF180)&gt;0,"OK","ONBEKEND")),IF(AND($BT180=$BQ180,$BU180=$BR180+1),IF(OR(COUNTIF(#REF!,$D180)&gt;0,COUNTIF(#REF!,$D180)=0),"SKIP",IF(COUNTIFS(#REF!,$D180,#REF!,$AF180)&gt;0,"OK","ONBEKEND")),"ONZEKER")))))</f>
        <v/>
      </c>
      <c r="AH180" t="str">
        <f t="shared" si="1300"/>
        <v/>
      </c>
      <c r="AI180" t="str">
        <f t="shared" si="1301"/>
        <v/>
      </c>
      <c r="AJ180" t="str">
        <f>IF($AI180="","",IF(OR($BW180="",$BX180=""),"ONZEKER",IF(OR($BT180="",$BU180=""),"ONZEKER",IF(AND($BW180=$BT180+1,$BX180=$BU180),IF(OR(COUNTIF(#REF!,$B180)&gt;0,COUNTIF(#REF!,$B180)=0),"SKIP",IF(COUNTIFS(#REF!,$B180,#REF!,$AI180)&gt;0,"OK","ONBEKEND")),IF(AND($BW180=$BT180,$BX180=$BU180+1),IF(OR(COUNTIF(#REF!,$D180)&gt;0,COUNTIF(#REF!,$D180)=0),"SKIP",IF(COUNTIFS(#REF!,$D180,#REF!,$AI180)&gt;0,"OK","ONBEKEND")),"ONZEKER")))))</f>
        <v/>
      </c>
      <c r="AK180" t="str">
        <f t="shared" si="1302"/>
        <v/>
      </c>
      <c r="AL180" t="str">
        <f t="shared" si="1303"/>
        <v/>
      </c>
      <c r="AM180" t="str">
        <f>IF($AL180="","",IF(OR($BZ180="",$CA180=""),"ONZEKER",IF(OR($BW180="",$BX180=""),"ONZEKER",IF(AND($BZ180=$BW180+1,$CA180=$BX180),IF(OR(COUNTIF(#REF!,$B180)&gt;0,COUNTIF(#REF!,$B180)=0),"SKIP",IF(COUNTIFS(#REF!,$B180,#REF!,$AL180)&gt;0,"OK","ONBEKEND")),IF(AND($BZ180=$BW180,$CA180=$BX180+1),IF(OR(COUNTIF(#REF!,$D180)&gt;0,COUNTIF(#REF!,$D180)=0),"SKIP",IF(COUNTIFS(#REF!,$D180,#REF!,$AL180)&gt;0,"OK","ONBEKEND")),"ONZEKER")))))</f>
        <v/>
      </c>
      <c r="AN180" t="str">
        <f t="shared" si="1304"/>
        <v/>
      </c>
      <c r="AO180" t="str">
        <f t="shared" si="1305"/>
        <v/>
      </c>
      <c r="AP180" t="str">
        <f>IF($AO180="","",IF(OR($CC180="",$CD180=""),"ONZEKER",IF(OR($BZ180="",$CA180=""),"ONZEKER",IF(AND($CC180=$BZ180+1,$CD180=$CA180),IF(OR(COUNTIF(#REF!,$B180)&gt;0,COUNTIF(#REF!,$B180)=0),"SKIP",IF(COUNTIFS(#REF!,$B180,#REF!,$AO180)&gt;0,"OK","ONBEKEND")),IF(AND($CC180=$BZ180,$CD180=$CA180+1),IF(OR(COUNTIF(#REF!,$D180)&gt;0,COUNTIF(#REF!,$D180)=0),"SKIP",IF(COUNTIFS(#REF!,$D180,#REF!,$AO180)&gt;0,"OK","ONBEKEND")),"ONZEKER")))))</f>
        <v/>
      </c>
      <c r="AQ180" t="str">
        <f t="shared" si="1306"/>
        <v/>
      </c>
      <c r="AR180" t="str">
        <f t="shared" si="1307"/>
        <v/>
      </c>
      <c r="AS180" t="str">
        <f>IF($AR180="","",IF(OR($CF180="",$CG180=""),"ONZEKER",IF(OR($CC180="",$CD180=""),"ONZEKER",IF(AND($CF180=$CC180+1,$CG180=$CD180),IF(OR(COUNTIF(#REF!,$B180)&gt;0,COUNTIF(#REF!,$B180)=0),"SKIP",IF(COUNTIFS(#REF!,$B180,#REF!,$AR180)&gt;0,"OK","ONBEKEND")),IF(AND($CF180=$CC180,$CG180=$CD180+1),IF(OR(COUNTIF(#REF!,$D180)&gt;0,COUNTIF(#REF!,$D180)=0),"SKIP",IF(COUNTIFS(#REF!,$D180,#REF!,$AR180)&gt;0,"OK","ONBEKEND")),"ONZEKER")))))</f>
        <v/>
      </c>
      <c r="AT180" t="str">
        <f t="shared" si="1308"/>
        <v/>
      </c>
      <c r="AU180" t="str">
        <f t="shared" si="1309"/>
        <v/>
      </c>
      <c r="AV180" t="str">
        <f t="shared" si="1310"/>
        <v/>
      </c>
      <c r="AW180" t="str">
        <f t="shared" si="1311"/>
        <v/>
      </c>
      <c r="AX180" t="str">
        <f t="shared" si="1312"/>
        <v/>
      </c>
      <c r="AY180" t="str">
        <f t="shared" si="1313"/>
        <v/>
      </c>
      <c r="AZ180" t="str">
        <f t="shared" si="1314"/>
        <v/>
      </c>
      <c r="BA180" t="str">
        <f t="shared" si="1315"/>
        <v/>
      </c>
      <c r="BB180" t="str">
        <f t="shared" si="1316"/>
        <v/>
      </c>
      <c r="BC180" t="str">
        <f t="shared" si="1317"/>
        <v/>
      </c>
      <c r="BD180" t="str">
        <f t="shared" si="980"/>
        <v/>
      </c>
      <c r="BE180" t="str">
        <f t="shared" si="981"/>
        <v/>
      </c>
      <c r="BF180" t="str">
        <f t="shared" si="982"/>
        <v/>
      </c>
      <c r="BG180" t="str">
        <f t="shared" si="983"/>
        <v/>
      </c>
      <c r="BH180" t="str">
        <f t="shared" si="984"/>
        <v/>
      </c>
      <c r="BI180" t="str">
        <f t="shared" si="985"/>
        <v/>
      </c>
      <c r="BJ180" t="str">
        <f t="shared" si="986"/>
        <v/>
      </c>
      <c r="BK180" t="str">
        <f t="shared" si="987"/>
        <v/>
      </c>
      <c r="BL180" t="str">
        <f t="shared" si="988"/>
        <v/>
      </c>
      <c r="BM180" t="str">
        <f t="shared" si="989"/>
        <v/>
      </c>
      <c r="BN180" t="str">
        <f t="shared" si="990"/>
        <v/>
      </c>
      <c r="BO180" t="str">
        <f t="shared" si="991"/>
        <v/>
      </c>
      <c r="BP180" t="str">
        <f t="shared" si="992"/>
        <v/>
      </c>
      <c r="BQ180" t="str">
        <f t="shared" si="993"/>
        <v/>
      </c>
      <c r="BR180" t="str">
        <f t="shared" si="994"/>
        <v/>
      </c>
      <c r="BS180" t="str">
        <f t="shared" si="995"/>
        <v/>
      </c>
      <c r="BT180" t="str">
        <f t="shared" si="996"/>
        <v/>
      </c>
      <c r="BU180" t="str">
        <f t="shared" si="997"/>
        <v/>
      </c>
      <c r="BV180" t="str">
        <f t="shared" si="998"/>
        <v/>
      </c>
      <c r="BW180" t="str">
        <f t="shared" si="999"/>
        <v/>
      </c>
      <c r="BX180" t="str">
        <f t="shared" si="1000"/>
        <v/>
      </c>
      <c r="BY180" t="str">
        <f t="shared" si="1001"/>
        <v/>
      </c>
      <c r="BZ180" t="str">
        <f t="shared" si="1002"/>
        <v/>
      </c>
      <c r="CA180" t="str">
        <f t="shared" si="1003"/>
        <v/>
      </c>
      <c r="CB180" t="str">
        <f t="shared" si="1004"/>
        <v/>
      </c>
      <c r="CC180" t="str">
        <f t="shared" si="1005"/>
        <v/>
      </c>
      <c r="CD180" t="str">
        <f t="shared" si="1006"/>
        <v/>
      </c>
      <c r="CE180" t="str">
        <f t="shared" si="1007"/>
        <v/>
      </c>
      <c r="CF180" t="str">
        <f t="shared" si="1008"/>
        <v/>
      </c>
      <c r="CG180" t="str">
        <f t="shared" si="1009"/>
        <v/>
      </c>
      <c r="CH180" t="str">
        <f t="shared" si="1318"/>
        <v/>
      </c>
      <c r="CI180" t="str">
        <f t="shared" si="1319"/>
        <v/>
      </c>
      <c r="CJ180" t="str">
        <f>IF($CI180="","",IF(OR($DW180="",$DX180=""),"ONZEKER",IF(OR($CF180="",$CG180=""),"ONZEKER",IF(AND($DW180=$CF180+1,$DX180=$CG180),IF(OR(COUNTIF(#REF!,$B180)&gt;0,COUNTIF(#REF!,$B180)=0),"SKIP",IF(COUNTIFS(#REF!,$B180,#REF!,$CI180)&gt;0,"OK","ONBEKEND")),IF(AND($DW180=$CF180,$DX180=$CG180+1),IF(OR(COUNTIF(#REF!,$D180)&gt;0,COUNTIF(#REF!,$D180)=0),"SKIP",IF(COUNTIFS(#REF!,$D180,#REF!,$CI180)&gt;0,"OK","ONBEKEND")),"ONZEKER")))))</f>
        <v/>
      </c>
      <c r="CK180" t="str">
        <f t="shared" si="1320"/>
        <v/>
      </c>
      <c r="CL180" t="str">
        <f t="shared" si="1321"/>
        <v/>
      </c>
      <c r="CM180" t="str">
        <f>IF($CL180="","",IF(OR($DZ180="",$EA180=""),"ONZEKER",IF(OR($DW180="",$DX180=""),"ONZEKER",IF(AND($DZ180=$DW180+1,$EA180=$DX180),IF(OR(COUNTIF(#REF!,$B180)&gt;0,COUNTIF(#REF!,$B180)=0),"SKIP",IF(COUNTIFS(#REF!,$B180,#REF!,$CL180)&gt;0,"OK","ONBEKEND")),IF(AND($DZ180=$DW180,$EA180=$DX180+1),IF(OR(COUNTIF(#REF!,$D180)&gt;0,COUNTIF(#REF!,$D180)=0),"SKIP",IF(COUNTIFS(#REF!,$D180,#REF!,$CL180)&gt;0,"OK","ONBEKEND")),"ONZEKER")))))</f>
        <v/>
      </c>
      <c r="CN180" t="str">
        <f t="shared" si="1322"/>
        <v/>
      </c>
      <c r="CO180" t="str">
        <f t="shared" si="1323"/>
        <v/>
      </c>
      <c r="CP180" t="str">
        <f>IF($CO180="","",IF(OR($EC180="",$ED180=""),"ONZEKER",IF(OR($DZ180="",$EA180=""),"ONZEKER",IF(AND($EC180=$DZ180+1,$ED180=$EA180),IF(OR(COUNTIF(#REF!,$B180)&gt;0,COUNTIF(#REF!,$B180)=0),"SKIP",IF(COUNTIFS(#REF!,$B180,#REF!,$CO180)&gt;0,"OK","ONBEKEND")),IF(AND($EC180=$DZ180,$ED180=$EA180+1),IF(OR(COUNTIF(#REF!,$D180)&gt;0,COUNTIF(#REF!,$D180)=0),"SKIP",IF(COUNTIFS(#REF!,$D180,#REF!,$CO180)&gt;0,"OK","ONBEKEND")),"ONZEKER")))))</f>
        <v/>
      </c>
      <c r="CQ180" t="str">
        <f t="shared" si="1324"/>
        <v/>
      </c>
      <c r="CR180" t="str">
        <f t="shared" si="1325"/>
        <v/>
      </c>
      <c r="CS180" t="str">
        <f>IF($CR180="","",IF(OR($EF180="",$EG180=""),"ONZEKER",IF(OR($EC180="",$ED180=""),"ONZEKER",IF(AND($EF180=$EC180+1,$EG180=$ED180),IF(OR(COUNTIF(#REF!,$B180)&gt;0,COUNTIF(#REF!,$B180)=0),"SKIP",IF(COUNTIFS(#REF!,$B180,#REF!,$CR180)&gt;0,"OK","ONBEKEND")),IF(AND($EF180=$EC180,$EG180=$ED180+1),IF(OR(COUNTIF(#REF!,$D180)&gt;0,COUNTIF(#REF!,$D180)=0),"SKIP",IF(COUNTIFS(#REF!,$D180,#REF!,$CR180)&gt;0,"OK","ONBEKEND")),"ONZEKER")))))</f>
        <v/>
      </c>
      <c r="CT180" t="str">
        <f t="shared" si="1326"/>
        <v/>
      </c>
      <c r="CU180" t="str">
        <f t="shared" si="1327"/>
        <v/>
      </c>
      <c r="CV180" t="str">
        <f>IF($CU180="","",IF(OR($EI180="",$EJ180=""),"ONZEKER",IF(OR($EF180="",$EG180=""),"ONZEKER",IF(AND($EI180=$EF180+1,$EJ180=$EG180),IF(OR(COUNTIF(#REF!,$B180)&gt;0,COUNTIF(#REF!,$B180)=0),"SKIP",IF(COUNTIFS(#REF!,$B180,#REF!,$CU180)&gt;0,"OK","ONBEKEND")),IF(AND($EI180=$EF180,$EJ180=$EG180+1),IF(OR(COUNTIF(#REF!,$D180)&gt;0,COUNTIF(#REF!,$D180)=0),"SKIP",IF(COUNTIFS(#REF!,$D180,#REF!,$CU180)&gt;0,"OK","ONBEKEND")),"ONZEKER")))))</f>
        <v/>
      </c>
      <c r="CW180" t="str">
        <f t="shared" si="1328"/>
        <v/>
      </c>
      <c r="CX180" t="str">
        <f t="shared" si="1329"/>
        <v/>
      </c>
      <c r="CY180" t="str">
        <f>IF($CX180="","",IF(OR($EL180="",$EM180=""),"ONZEKER",IF(OR($EI180="",$EJ180=""),"ONZEKER",IF(AND($EL180=$EI180+1,$EM180=$EJ180),IF(OR(COUNTIF(#REF!,$B180)&gt;0,COUNTIF(#REF!,$B180)=0),"SKIP",IF(COUNTIFS(#REF!,$B180,#REF!,$CX180)&gt;0,"OK","ONBEKEND")),IF(AND($EL180=$EI180,$EM180=$EJ180+1),IF(OR(COUNTIF(#REF!,$D180)&gt;0,COUNTIF(#REF!,$D180)=0),"SKIP",IF(COUNTIFS(#REF!,$D180,#REF!,$CX180)&gt;0,"OK","ONBEKEND")),"ONZEKER")))))</f>
        <v/>
      </c>
      <c r="CZ180" t="str">
        <f t="shared" si="1330"/>
        <v/>
      </c>
      <c r="DA180" t="str">
        <f t="shared" si="1331"/>
        <v/>
      </c>
      <c r="DB180" t="str">
        <f>IF($DA180="","",IF(OR($EO180="",$EP180=""),"ONZEKER",IF(OR($EL180="",$EM180=""),"ONZEKER",IF(AND($EO180=$EL180+1,$EP180=$EM180),IF(OR(COUNTIF(#REF!,$B180)&gt;0,COUNTIF(#REF!,$B180)=0),"SKIP",IF(COUNTIFS(#REF!,$B180,#REF!,$DA180)&gt;0,"OK","ONBEKEND")),IF(AND($EO180=$EL180,$EP180=$EM180+1),IF(OR(COUNTIF(#REF!,$D180)&gt;0,COUNTIF(#REF!,$D180)=0),"SKIP",IF(COUNTIFS(#REF!,$D180,#REF!,$DA180)&gt;0,"OK","ONBEKEND")),"ONZEKER")))))</f>
        <v/>
      </c>
      <c r="DC180" t="str">
        <f t="shared" si="1332"/>
        <v/>
      </c>
      <c r="DD180" t="str">
        <f t="shared" si="1333"/>
        <v/>
      </c>
      <c r="DE180" t="str">
        <f>IF($DD180="","",IF(OR($ER180="",$ES180=""),"ONZEKER",IF(OR($EO180="",$EP180=""),"ONZEKER",IF(AND($ER180=$EO180+1,$ES180=$EP180),IF(OR(COUNTIF(#REF!,$B180)&gt;0,COUNTIF(#REF!,$B180)=0),"SKIP",IF(COUNTIFS(#REF!,$B180,#REF!,$DD180)&gt;0,"OK","ONBEKEND")),IF(AND($ER180=$EO180,$ES180=$EP180+1),IF(OR(COUNTIF(#REF!,$D180)&gt;0,COUNTIF(#REF!,$D180)=0),"SKIP",IF(COUNTIFS(#REF!,$D180,#REF!,$DD180)&gt;0,"OK","ONBEKEND")),"ONZEKER")))))</f>
        <v/>
      </c>
      <c r="DF180" t="str">
        <f t="shared" si="1334"/>
        <v/>
      </c>
      <c r="DG180" t="str">
        <f t="shared" si="1335"/>
        <v/>
      </c>
      <c r="DH180" t="str">
        <f>IF($DG180="","",IF(OR($EU180="",$EV180=""),"ONZEKER",IF(OR($ER180="",$ES180=""),"ONZEKER",IF(AND($EU180=$ER180+1,$EV180=$ES180),IF(OR(COUNTIF(#REF!,$B180)&gt;0,COUNTIF(#REF!,$B180)=0),"SKIP",IF(COUNTIFS(#REF!,$B180,#REF!,$DG180)&gt;0,"OK","ONBEKEND")),IF(AND($EU180=$ER180,$EV180=$ES180+1),IF(OR(COUNTIF(#REF!,$D180)&gt;0,COUNTIF(#REF!,$D180)=0),"SKIP",IF(COUNTIFS(#REF!,$D180,#REF!,$DG180)&gt;0,"OK","ONBEKEND")),"ONZEKER")))))</f>
        <v/>
      </c>
      <c r="DI180" t="str">
        <f t="shared" si="1336"/>
        <v/>
      </c>
      <c r="DJ180" t="str">
        <f t="shared" si="1337"/>
        <v/>
      </c>
      <c r="DK180" t="str">
        <f>IF($DJ180="","",IF(OR($EX180="",$EY180=""),"ONZEKER",IF(OR($EU180="",$EV180=""),"ONZEKER",IF(AND($EX180=$EU180+1,$EY180=$EV180),IF(OR(COUNTIF(#REF!,$B180)&gt;0,COUNTIF(#REF!,$B180)=0),"SKIP",IF(COUNTIFS(#REF!,$B180,#REF!,$DJ180)&gt;0,"OK","ONBEKEND")),IF(AND($EX180=$EU180,$EY180=$EV180+1),IF(OR(COUNTIF(#REF!,$D180)&gt;0,COUNTIF(#REF!,$D180)=0),"SKIP",IF(COUNTIFS(#REF!,$D180,#REF!,$DJ180)&gt;0,"OK","ONBEKEND")),"ONZEKER")))))</f>
        <v/>
      </c>
      <c r="DL180" t="str">
        <f t="shared" si="1338"/>
        <v/>
      </c>
      <c r="DM180" t="str">
        <f t="shared" si="1339"/>
        <v/>
      </c>
      <c r="DN180" t="str">
        <f t="shared" si="1340"/>
        <v/>
      </c>
      <c r="DO180" t="str">
        <f t="shared" si="1341"/>
        <v/>
      </c>
      <c r="DP180" t="str">
        <f t="shared" si="1342"/>
        <v/>
      </c>
      <c r="DQ180" t="str">
        <f t="shared" si="1343"/>
        <v/>
      </c>
      <c r="DR180" t="str">
        <f t="shared" si="1344"/>
        <v/>
      </c>
      <c r="DS180" t="str">
        <f t="shared" si="1345"/>
        <v/>
      </c>
      <c r="DT180" t="str">
        <f t="shared" si="1346"/>
        <v/>
      </c>
      <c r="DU180" t="str">
        <f t="shared" si="1347"/>
        <v/>
      </c>
      <c r="DV180" t="str">
        <f t="shared" si="1348"/>
        <v/>
      </c>
      <c r="DW180" t="str">
        <f t="shared" si="1349"/>
        <v/>
      </c>
      <c r="DX180" t="str">
        <f t="shared" si="1350"/>
        <v/>
      </c>
      <c r="DY180" t="str">
        <f t="shared" si="1351"/>
        <v/>
      </c>
      <c r="DZ180" t="str">
        <f t="shared" si="1352"/>
        <v/>
      </c>
      <c r="EA180" t="str">
        <f t="shared" si="1353"/>
        <v/>
      </c>
      <c r="EB180" t="str">
        <f t="shared" si="1354"/>
        <v/>
      </c>
      <c r="EC180" t="str">
        <f t="shared" si="1355"/>
        <v/>
      </c>
      <c r="ED180" t="str">
        <f t="shared" si="1356"/>
        <v/>
      </c>
      <c r="EE180" t="str">
        <f t="shared" si="1357"/>
        <v/>
      </c>
      <c r="EF180" t="str">
        <f t="shared" si="1358"/>
        <v/>
      </c>
      <c r="EG180" t="str">
        <f t="shared" si="1359"/>
        <v/>
      </c>
      <c r="EH180" t="str">
        <f t="shared" si="1360"/>
        <v/>
      </c>
      <c r="EI180" t="str">
        <f t="shared" si="1361"/>
        <v/>
      </c>
      <c r="EJ180" t="str">
        <f t="shared" si="1362"/>
        <v/>
      </c>
      <c r="EK180" t="str">
        <f t="shared" si="1363"/>
        <v/>
      </c>
      <c r="EL180" t="str">
        <f t="shared" si="1364"/>
        <v/>
      </c>
      <c r="EM180" t="str">
        <f t="shared" si="1365"/>
        <v/>
      </c>
      <c r="EN180" t="str">
        <f t="shared" si="1366"/>
        <v/>
      </c>
      <c r="EO180" t="str">
        <f t="shared" si="1367"/>
        <v/>
      </c>
      <c r="EP180" t="str">
        <f t="shared" si="1368"/>
        <v/>
      </c>
      <c r="EQ180" t="str">
        <f t="shared" si="1369"/>
        <v/>
      </c>
      <c r="ER180" t="str">
        <f t="shared" si="1370"/>
        <v/>
      </c>
      <c r="ES180" t="str">
        <f t="shared" si="1371"/>
        <v/>
      </c>
      <c r="ET180" t="str">
        <f t="shared" si="1372"/>
        <v/>
      </c>
      <c r="EU180" t="str">
        <f t="shared" si="1373"/>
        <v/>
      </c>
      <c r="EV180" t="str">
        <f t="shared" si="1374"/>
        <v/>
      </c>
      <c r="EW180" t="str">
        <f t="shared" si="1375"/>
        <v/>
      </c>
      <c r="EX180" t="str">
        <f t="shared" si="1376"/>
        <v/>
      </c>
      <c r="EY180" t="str">
        <f t="shared" si="1377"/>
        <v/>
      </c>
    </row>
    <row r="181" spans="1:155" ht="13.9" customHeight="1" x14ac:dyDescent="0.25">
      <c r="M181" s="3" t="str">
        <f>IF($L181="","",IF($L181="DOELPUNTENMAKERS","",IF(AND(COUNTIF(#REF!,$B181)=0,COUNTIF(#REF!,$D181)=0),"OK",IF($O181&gt;20,"LET OP: meer dan 20 items (controle onvolledig)",IF((COUNTIF($R181:$AS181,"ONZEKER")+COUNTIF($CJ181:$DK181,"ONZEKER"))&gt;0,"LET OP: scoreverloop onduidelijk (controle beperkt)",IF((IF($AT181&lt;&gt;"",$AT181&amp;", ","")&amp;IF($AU181&lt;&gt;"",$AU181&amp;", ","")&amp;IF($AV181&lt;&gt;"",$AV181&amp;", ","")&amp;IF($AW181&lt;&gt;"",$AW181&amp;", ","")&amp;IF($AX181&lt;&gt;"",$AX181&amp;", ","")&amp;IF($AY181&lt;&gt;"",$AY181&amp;", ","")&amp;IF($AZ181&lt;&gt;"",$AZ181&amp;", ","")&amp;IF($BA181&lt;&gt;"",$BA181&amp;", ","")&amp;IF($BB181&lt;&gt;"",$BB181&amp;", ","")&amp;IF($BC181&lt;&gt;"",$BC181&amp;", ","")&amp;IF($DL181&lt;&gt;"",$DL181&amp;", ","")&amp;IF($DM181&lt;&gt;"",$DM181&amp;", ","")&amp;IF($DN181&lt;&gt;"",$DN181&amp;", ","")&amp;IF($DO181&lt;&gt;"",$DO181&amp;", ","")&amp;IF($DP181&lt;&gt;"",$DP181&amp;", ","")&amp;IF($DQ181&lt;&gt;"",$DQ181&amp;", ","")&amp;IF($DR181&lt;&gt;"",$DR181&amp;", ","")&amp;IF($DS181&lt;&gt;"",$DS181&amp;", ","")&amp;IF($DT181&lt;&gt;"",$DT181&amp;", ","")&amp;IF($DU181&lt;&gt;"",$DU181&amp;", ",""))="","OK","Onbekend: "&amp;LEFT((IF($AT181&lt;&gt;"",$AT181&amp;", ","")&amp;IF($AU181&lt;&gt;"",$AU181&amp;", ","")&amp;IF($AV181&lt;&gt;"",$AV181&amp;", ","")&amp;IF($AW181&lt;&gt;"",$AW181&amp;", ","")&amp;IF($AX181&lt;&gt;"",$AX181&amp;", ","")&amp;IF($AY181&lt;&gt;"",$AY181&amp;", ","")&amp;IF($AZ181&lt;&gt;"",$AZ181&amp;", ","")&amp;IF($BA181&lt;&gt;"",$BA181&amp;", ","")&amp;IF($BB181&lt;&gt;"",$BB181&amp;", ","")&amp;IF($BC181&lt;&gt;"",$BC181&amp;", ","")&amp;IF($DL181&lt;&gt;"",$DL181&amp;", ","")&amp;IF($DM181&lt;&gt;"",$DM181&amp;", ","")&amp;IF($DN181&lt;&gt;"",$DN181&amp;", ","")&amp;IF($DO181&lt;&gt;"",$DO181&amp;", ","")&amp;IF($DP181&lt;&gt;"",$DP181&amp;", ","")&amp;IF($DQ181&lt;&gt;"",$DQ181&amp;", ","")&amp;IF($DR181&lt;&gt;"",$DR181&amp;", ","")&amp;IF($DS181&lt;&gt;"",$DS181&amp;", ","")&amp;IF($DT181&lt;&gt;"",$DT181&amp;", ","")&amp;IF($DU181&lt;&gt;"",$DU181&amp;", ","")),LEN((IF($AT181&lt;&gt;"",$AT181&amp;", ","")&amp;IF($AU181&lt;&gt;"",$AU181&amp;", ","")&amp;IF($AV181&lt;&gt;"",$AV181&amp;", ","")&amp;IF($AW181&lt;&gt;"",$AW181&amp;", ","")&amp;IF($AX181&lt;&gt;"",$AX181&amp;", ","")&amp;IF($AY181&lt;&gt;"",$AY181&amp;", ","")&amp;IF($AZ181&lt;&gt;"",$AZ181&amp;", ","")&amp;IF($BA181&lt;&gt;"",$BA181&amp;", ","")&amp;IF($BB181&lt;&gt;"",$BB181&amp;", ","")&amp;IF($BC181&lt;&gt;"",$BC181&amp;", ","")&amp;IF($DL181&lt;&gt;"",$DL181&amp;", ","")&amp;IF($DM181&lt;&gt;"",$DM181&amp;", ","")&amp;IF($DN181&lt;&gt;"",$DN181&amp;", ","")&amp;IF($DO181&lt;&gt;"",$DO181&amp;", ","")&amp;IF($DP181&lt;&gt;"",$DP181&amp;", ","")&amp;IF($DQ181&lt;&gt;"",$DQ181&amp;", ","")&amp;IF($DR181&lt;&gt;"",$DR181&amp;", ","")&amp;IF($DS181&lt;&gt;"",$DS181&amp;", ","")&amp;IF($DT181&lt;&gt;"",$DT181&amp;", ","")&amp;IF($DU181&lt;&gt;"",$DU181&amp;", ","")))-2)))))))</f>
        <v/>
      </c>
      <c r="N181" t="str">
        <f t="shared" si="1286"/>
        <v/>
      </c>
      <c r="O181" t="str">
        <f t="shared" si="1287"/>
        <v/>
      </c>
      <c r="P181" t="str">
        <f t="shared" si="1288"/>
        <v/>
      </c>
      <c r="Q181" t="str">
        <f t="shared" si="1289"/>
        <v/>
      </c>
      <c r="R181" t="str">
        <f>IF($Q181="","",IF(OR($BE181="",$BF181=""),"ONZEKER",IF(AND($BE181=0+1,$BF181=0),IF(OR(COUNTIF(#REF!,$B181)&gt;0,COUNTIF(#REF!,$B181)=0),"SKIP",IF(COUNTIFS(#REF!,$B181,#REF!,$Q181)&gt;0,"OK","ONBEKEND")),IF(AND($BE181=0,$BF181=0+1),IF(OR(COUNTIF(#REF!,$D181)&gt;0,COUNTIF(#REF!,$D181)=0),"SKIP",IF(COUNTIFS(#REF!,$D181,#REF!,$Q181)&gt;0,"OK","ONBEKEND")),"ONZEKER"))))</f>
        <v/>
      </c>
      <c r="S181" t="str">
        <f t="shared" si="1290"/>
        <v/>
      </c>
      <c r="T181" t="str">
        <f t="shared" si="1291"/>
        <v/>
      </c>
      <c r="U181" t="str">
        <f>IF($T181="","",IF(OR($BH181="",$BI181=""),"ONZEKER",IF(OR($BE181="",$BF181=""),"ONZEKER",IF(AND($BH181=$BE181+1,$BI181=$BF181),IF(OR(COUNTIF(#REF!,$B181)&gt;0,COUNTIF(#REF!,$B181)=0),"SKIP",IF(COUNTIFS(#REF!,$B181,#REF!,$T181)&gt;0,"OK","ONBEKEND")),IF(AND($BH181=$BE181,$BI181=$BF181+1),IF(OR(COUNTIF(#REF!,$D181)&gt;0,COUNTIF(#REF!,$D181)=0),"SKIP",IF(COUNTIFS(#REF!,$D181,#REF!,$T181)&gt;0,"OK","ONBEKEND")),"ONZEKER")))))</f>
        <v/>
      </c>
      <c r="V181" t="str">
        <f t="shared" si="1292"/>
        <v/>
      </c>
      <c r="W181" t="str">
        <f t="shared" si="1293"/>
        <v/>
      </c>
      <c r="X181" t="str">
        <f>IF($W181="","",IF(OR($BK181="",$BL181=""),"ONZEKER",IF(OR($BH181="",$BI181=""),"ONZEKER",IF(AND($BK181=$BH181+1,$BL181=$BI181),IF(OR(COUNTIF(#REF!,$B181)&gt;0,COUNTIF(#REF!,$B181)=0),"SKIP",IF(COUNTIFS(#REF!,$B181,#REF!,$W181)&gt;0,"OK","ONBEKEND")),IF(AND($BK181=$BH181,$BL181=$BI181+1),IF(OR(COUNTIF(#REF!,$D181)&gt;0,COUNTIF(#REF!,$D181)=0),"SKIP",IF(COUNTIFS(#REF!,$D181,#REF!,$W181)&gt;0,"OK","ONBEKEND")),"ONZEKER")))))</f>
        <v/>
      </c>
      <c r="Y181" t="str">
        <f t="shared" si="1294"/>
        <v/>
      </c>
      <c r="Z181" t="str">
        <f t="shared" si="1295"/>
        <v/>
      </c>
      <c r="AA181" t="str">
        <f>IF($Z181="","",IF(OR($BN181="",$BO181=""),"ONZEKER",IF(OR($BK181="",$BL181=""),"ONZEKER",IF(AND($BN181=$BK181+1,$BO181=$BL181),IF(OR(COUNTIF(#REF!,$B181)&gt;0,COUNTIF(#REF!,$B181)=0),"SKIP",IF(COUNTIFS(#REF!,$B181,#REF!,$Z181)&gt;0,"OK","ONBEKEND")),IF(AND($BN181=$BK181,$BO181=$BL181+1),IF(OR(COUNTIF(#REF!,$D181)&gt;0,COUNTIF(#REF!,$D181)=0),"SKIP",IF(COUNTIFS(#REF!,$D181,#REF!,$Z181)&gt;0,"OK","ONBEKEND")),"ONZEKER")))))</f>
        <v/>
      </c>
      <c r="AB181" t="str">
        <f t="shared" si="1296"/>
        <v/>
      </c>
      <c r="AC181" t="str">
        <f t="shared" si="1297"/>
        <v/>
      </c>
      <c r="AD181" t="str">
        <f>IF($AC181="","",IF(OR($BQ181="",$BR181=""),"ONZEKER",IF(OR($BN181="",$BO181=""),"ONZEKER",IF(AND($BQ181=$BN181+1,$BR181=$BO181),IF(OR(COUNTIF(#REF!,$B181)&gt;0,COUNTIF(#REF!,$B181)=0),"SKIP",IF(COUNTIFS(#REF!,$B181,#REF!,$AC181)&gt;0,"OK","ONBEKEND")),IF(AND($BQ181=$BN181,$BR181=$BO181+1),IF(OR(COUNTIF(#REF!,$D181)&gt;0,COUNTIF(#REF!,$D181)=0),"SKIP",IF(COUNTIFS(#REF!,$D181,#REF!,$AC181)&gt;0,"OK","ONBEKEND")),"ONZEKER")))))</f>
        <v/>
      </c>
      <c r="AE181" t="str">
        <f t="shared" si="1298"/>
        <v/>
      </c>
      <c r="AF181" t="str">
        <f t="shared" si="1299"/>
        <v/>
      </c>
      <c r="AG181" t="str">
        <f>IF($AF181="","",IF(OR($BT181="",$BU181=""),"ONZEKER",IF(OR($BQ181="",$BR181=""),"ONZEKER",IF(AND($BT181=$BQ181+1,$BU181=$BR181),IF(OR(COUNTIF(#REF!,$B181)&gt;0,COUNTIF(#REF!,$B181)=0),"SKIP",IF(COUNTIFS(#REF!,$B181,#REF!,$AF181)&gt;0,"OK","ONBEKEND")),IF(AND($BT181=$BQ181,$BU181=$BR181+1),IF(OR(COUNTIF(#REF!,$D181)&gt;0,COUNTIF(#REF!,$D181)=0),"SKIP",IF(COUNTIFS(#REF!,$D181,#REF!,$AF181)&gt;0,"OK","ONBEKEND")),"ONZEKER")))))</f>
        <v/>
      </c>
      <c r="AH181" t="str">
        <f t="shared" si="1300"/>
        <v/>
      </c>
      <c r="AI181" t="str">
        <f t="shared" si="1301"/>
        <v/>
      </c>
      <c r="AJ181" t="str">
        <f>IF($AI181="","",IF(OR($BW181="",$BX181=""),"ONZEKER",IF(OR($BT181="",$BU181=""),"ONZEKER",IF(AND($BW181=$BT181+1,$BX181=$BU181),IF(OR(COUNTIF(#REF!,$B181)&gt;0,COUNTIF(#REF!,$B181)=0),"SKIP",IF(COUNTIFS(#REF!,$B181,#REF!,$AI181)&gt;0,"OK","ONBEKEND")),IF(AND($BW181=$BT181,$BX181=$BU181+1),IF(OR(COUNTIF(#REF!,$D181)&gt;0,COUNTIF(#REF!,$D181)=0),"SKIP",IF(COUNTIFS(#REF!,$D181,#REF!,$AI181)&gt;0,"OK","ONBEKEND")),"ONZEKER")))))</f>
        <v/>
      </c>
      <c r="AK181" t="str">
        <f t="shared" si="1302"/>
        <v/>
      </c>
      <c r="AL181" t="str">
        <f t="shared" si="1303"/>
        <v/>
      </c>
      <c r="AM181" t="str">
        <f>IF($AL181="","",IF(OR($BZ181="",$CA181=""),"ONZEKER",IF(OR($BW181="",$BX181=""),"ONZEKER",IF(AND($BZ181=$BW181+1,$CA181=$BX181),IF(OR(COUNTIF(#REF!,$B181)&gt;0,COUNTIF(#REF!,$B181)=0),"SKIP",IF(COUNTIFS(#REF!,$B181,#REF!,$AL181)&gt;0,"OK","ONBEKEND")),IF(AND($BZ181=$BW181,$CA181=$BX181+1),IF(OR(COUNTIF(#REF!,$D181)&gt;0,COUNTIF(#REF!,$D181)=0),"SKIP",IF(COUNTIFS(#REF!,$D181,#REF!,$AL181)&gt;0,"OK","ONBEKEND")),"ONZEKER")))))</f>
        <v/>
      </c>
      <c r="AN181" t="str">
        <f t="shared" si="1304"/>
        <v/>
      </c>
      <c r="AO181" t="str">
        <f t="shared" si="1305"/>
        <v/>
      </c>
      <c r="AP181" t="str">
        <f>IF($AO181="","",IF(OR($CC181="",$CD181=""),"ONZEKER",IF(OR($BZ181="",$CA181=""),"ONZEKER",IF(AND($CC181=$BZ181+1,$CD181=$CA181),IF(OR(COUNTIF(#REF!,$B181)&gt;0,COUNTIF(#REF!,$B181)=0),"SKIP",IF(COUNTIFS(#REF!,$B181,#REF!,$AO181)&gt;0,"OK","ONBEKEND")),IF(AND($CC181=$BZ181,$CD181=$CA181+1),IF(OR(COUNTIF(#REF!,$D181)&gt;0,COUNTIF(#REF!,$D181)=0),"SKIP",IF(COUNTIFS(#REF!,$D181,#REF!,$AO181)&gt;0,"OK","ONBEKEND")),"ONZEKER")))))</f>
        <v/>
      </c>
      <c r="AQ181" t="str">
        <f t="shared" si="1306"/>
        <v/>
      </c>
      <c r="AR181" t="str">
        <f t="shared" si="1307"/>
        <v/>
      </c>
      <c r="AS181" t="str">
        <f>IF($AR181="","",IF(OR($CF181="",$CG181=""),"ONZEKER",IF(OR($CC181="",$CD181=""),"ONZEKER",IF(AND($CF181=$CC181+1,$CG181=$CD181),IF(OR(COUNTIF(#REF!,$B181)&gt;0,COUNTIF(#REF!,$B181)=0),"SKIP",IF(COUNTIFS(#REF!,$B181,#REF!,$AR181)&gt;0,"OK","ONBEKEND")),IF(AND($CF181=$CC181,$CG181=$CD181+1),IF(OR(COUNTIF(#REF!,$D181)&gt;0,COUNTIF(#REF!,$D181)=0),"SKIP",IF(COUNTIFS(#REF!,$D181,#REF!,$AR181)&gt;0,"OK","ONBEKEND")),"ONZEKER")))))</f>
        <v/>
      </c>
      <c r="AT181" t="str">
        <f t="shared" si="1308"/>
        <v/>
      </c>
      <c r="AU181" t="str">
        <f t="shared" si="1309"/>
        <v/>
      </c>
      <c r="AV181" t="str">
        <f t="shared" si="1310"/>
        <v/>
      </c>
      <c r="AW181" t="str">
        <f t="shared" si="1311"/>
        <v/>
      </c>
      <c r="AX181" t="str">
        <f t="shared" si="1312"/>
        <v/>
      </c>
      <c r="AY181" t="str">
        <f t="shared" si="1313"/>
        <v/>
      </c>
      <c r="AZ181" t="str">
        <f t="shared" si="1314"/>
        <v/>
      </c>
      <c r="BA181" t="str">
        <f t="shared" si="1315"/>
        <v/>
      </c>
      <c r="BB181" t="str">
        <f t="shared" si="1316"/>
        <v/>
      </c>
      <c r="BC181" t="str">
        <f t="shared" si="1317"/>
        <v/>
      </c>
      <c r="BD181" t="str">
        <f t="shared" si="980"/>
        <v/>
      </c>
      <c r="BE181" t="str">
        <f t="shared" si="981"/>
        <v/>
      </c>
      <c r="BF181" t="str">
        <f t="shared" si="982"/>
        <v/>
      </c>
      <c r="BG181" t="str">
        <f t="shared" si="983"/>
        <v/>
      </c>
      <c r="BH181" t="str">
        <f t="shared" si="984"/>
        <v/>
      </c>
      <c r="BI181" t="str">
        <f t="shared" si="985"/>
        <v/>
      </c>
      <c r="BJ181" t="str">
        <f t="shared" si="986"/>
        <v/>
      </c>
      <c r="BK181" t="str">
        <f t="shared" si="987"/>
        <v/>
      </c>
      <c r="BL181" t="str">
        <f t="shared" si="988"/>
        <v/>
      </c>
      <c r="BM181" t="str">
        <f t="shared" si="989"/>
        <v/>
      </c>
      <c r="BN181" t="str">
        <f t="shared" si="990"/>
        <v/>
      </c>
      <c r="BO181" t="str">
        <f t="shared" si="991"/>
        <v/>
      </c>
      <c r="BP181" t="str">
        <f t="shared" si="992"/>
        <v/>
      </c>
      <c r="BQ181" t="str">
        <f t="shared" si="993"/>
        <v/>
      </c>
      <c r="BR181" t="str">
        <f t="shared" si="994"/>
        <v/>
      </c>
      <c r="BS181" t="str">
        <f t="shared" si="995"/>
        <v/>
      </c>
      <c r="BT181" t="str">
        <f t="shared" si="996"/>
        <v/>
      </c>
      <c r="BU181" t="str">
        <f t="shared" si="997"/>
        <v/>
      </c>
      <c r="BV181" t="str">
        <f t="shared" si="998"/>
        <v/>
      </c>
      <c r="BW181" t="str">
        <f t="shared" si="999"/>
        <v/>
      </c>
      <c r="BX181" t="str">
        <f t="shared" si="1000"/>
        <v/>
      </c>
      <c r="BY181" t="str">
        <f t="shared" si="1001"/>
        <v/>
      </c>
      <c r="BZ181" t="str">
        <f t="shared" si="1002"/>
        <v/>
      </c>
      <c r="CA181" t="str">
        <f t="shared" si="1003"/>
        <v/>
      </c>
      <c r="CB181" t="str">
        <f t="shared" si="1004"/>
        <v/>
      </c>
      <c r="CC181" t="str">
        <f t="shared" si="1005"/>
        <v/>
      </c>
      <c r="CD181" t="str">
        <f t="shared" si="1006"/>
        <v/>
      </c>
      <c r="CE181" t="str">
        <f t="shared" si="1007"/>
        <v/>
      </c>
      <c r="CF181" t="str">
        <f t="shared" si="1008"/>
        <v/>
      </c>
      <c r="CG181" t="str">
        <f t="shared" si="1009"/>
        <v/>
      </c>
      <c r="CH181" t="str">
        <f t="shared" si="1318"/>
        <v/>
      </c>
      <c r="CI181" t="str">
        <f t="shared" si="1319"/>
        <v/>
      </c>
      <c r="CJ181" t="str">
        <f>IF($CI181="","",IF(OR($DW181="",$DX181=""),"ONZEKER",IF(OR($CF181="",$CG181=""),"ONZEKER",IF(AND($DW181=$CF181+1,$DX181=$CG181),IF(OR(COUNTIF(#REF!,$B181)&gt;0,COUNTIF(#REF!,$B181)=0),"SKIP",IF(COUNTIFS(#REF!,$B181,#REF!,$CI181)&gt;0,"OK","ONBEKEND")),IF(AND($DW181=$CF181,$DX181=$CG181+1),IF(OR(COUNTIF(#REF!,$D181)&gt;0,COUNTIF(#REF!,$D181)=0),"SKIP",IF(COUNTIFS(#REF!,$D181,#REF!,$CI181)&gt;0,"OK","ONBEKEND")),"ONZEKER")))))</f>
        <v/>
      </c>
      <c r="CK181" t="str">
        <f t="shared" si="1320"/>
        <v/>
      </c>
      <c r="CL181" t="str">
        <f t="shared" si="1321"/>
        <v/>
      </c>
      <c r="CM181" t="str">
        <f>IF($CL181="","",IF(OR($DZ181="",$EA181=""),"ONZEKER",IF(OR($DW181="",$DX181=""),"ONZEKER",IF(AND($DZ181=$DW181+1,$EA181=$DX181),IF(OR(COUNTIF(#REF!,$B181)&gt;0,COUNTIF(#REF!,$B181)=0),"SKIP",IF(COUNTIFS(#REF!,$B181,#REF!,$CL181)&gt;0,"OK","ONBEKEND")),IF(AND($DZ181=$DW181,$EA181=$DX181+1),IF(OR(COUNTIF(#REF!,$D181)&gt;0,COUNTIF(#REF!,$D181)=0),"SKIP",IF(COUNTIFS(#REF!,$D181,#REF!,$CL181)&gt;0,"OK","ONBEKEND")),"ONZEKER")))))</f>
        <v/>
      </c>
      <c r="CN181" t="str">
        <f t="shared" si="1322"/>
        <v/>
      </c>
      <c r="CO181" t="str">
        <f t="shared" si="1323"/>
        <v/>
      </c>
      <c r="CP181" t="str">
        <f>IF($CO181="","",IF(OR($EC181="",$ED181=""),"ONZEKER",IF(OR($DZ181="",$EA181=""),"ONZEKER",IF(AND($EC181=$DZ181+1,$ED181=$EA181),IF(OR(COUNTIF(#REF!,$B181)&gt;0,COUNTIF(#REF!,$B181)=0),"SKIP",IF(COUNTIFS(#REF!,$B181,#REF!,$CO181)&gt;0,"OK","ONBEKEND")),IF(AND($EC181=$DZ181,$ED181=$EA181+1),IF(OR(COUNTIF(#REF!,$D181)&gt;0,COUNTIF(#REF!,$D181)=0),"SKIP",IF(COUNTIFS(#REF!,$D181,#REF!,$CO181)&gt;0,"OK","ONBEKEND")),"ONZEKER")))))</f>
        <v/>
      </c>
      <c r="CQ181" t="str">
        <f t="shared" si="1324"/>
        <v/>
      </c>
      <c r="CR181" t="str">
        <f t="shared" si="1325"/>
        <v/>
      </c>
      <c r="CS181" t="str">
        <f>IF($CR181="","",IF(OR($EF181="",$EG181=""),"ONZEKER",IF(OR($EC181="",$ED181=""),"ONZEKER",IF(AND($EF181=$EC181+1,$EG181=$ED181),IF(OR(COUNTIF(#REF!,$B181)&gt;0,COUNTIF(#REF!,$B181)=0),"SKIP",IF(COUNTIFS(#REF!,$B181,#REF!,$CR181)&gt;0,"OK","ONBEKEND")),IF(AND($EF181=$EC181,$EG181=$ED181+1),IF(OR(COUNTIF(#REF!,$D181)&gt;0,COUNTIF(#REF!,$D181)=0),"SKIP",IF(COUNTIFS(#REF!,$D181,#REF!,$CR181)&gt;0,"OK","ONBEKEND")),"ONZEKER")))))</f>
        <v/>
      </c>
      <c r="CT181" t="str">
        <f t="shared" si="1326"/>
        <v/>
      </c>
      <c r="CU181" t="str">
        <f t="shared" si="1327"/>
        <v/>
      </c>
      <c r="CV181" t="str">
        <f>IF($CU181="","",IF(OR($EI181="",$EJ181=""),"ONZEKER",IF(OR($EF181="",$EG181=""),"ONZEKER",IF(AND($EI181=$EF181+1,$EJ181=$EG181),IF(OR(COUNTIF(#REF!,$B181)&gt;0,COUNTIF(#REF!,$B181)=0),"SKIP",IF(COUNTIFS(#REF!,$B181,#REF!,$CU181)&gt;0,"OK","ONBEKEND")),IF(AND($EI181=$EF181,$EJ181=$EG181+1),IF(OR(COUNTIF(#REF!,$D181)&gt;0,COUNTIF(#REF!,$D181)=0),"SKIP",IF(COUNTIFS(#REF!,$D181,#REF!,$CU181)&gt;0,"OK","ONBEKEND")),"ONZEKER")))))</f>
        <v/>
      </c>
      <c r="CW181" t="str">
        <f t="shared" si="1328"/>
        <v/>
      </c>
      <c r="CX181" t="str">
        <f t="shared" si="1329"/>
        <v/>
      </c>
      <c r="CY181" t="str">
        <f>IF($CX181="","",IF(OR($EL181="",$EM181=""),"ONZEKER",IF(OR($EI181="",$EJ181=""),"ONZEKER",IF(AND($EL181=$EI181+1,$EM181=$EJ181),IF(OR(COUNTIF(#REF!,$B181)&gt;0,COUNTIF(#REF!,$B181)=0),"SKIP",IF(COUNTIFS(#REF!,$B181,#REF!,$CX181)&gt;0,"OK","ONBEKEND")),IF(AND($EL181=$EI181,$EM181=$EJ181+1),IF(OR(COUNTIF(#REF!,$D181)&gt;0,COUNTIF(#REF!,$D181)=0),"SKIP",IF(COUNTIFS(#REF!,$D181,#REF!,$CX181)&gt;0,"OK","ONBEKEND")),"ONZEKER")))))</f>
        <v/>
      </c>
      <c r="CZ181" t="str">
        <f t="shared" si="1330"/>
        <v/>
      </c>
      <c r="DA181" t="str">
        <f t="shared" si="1331"/>
        <v/>
      </c>
      <c r="DB181" t="str">
        <f>IF($DA181="","",IF(OR($EO181="",$EP181=""),"ONZEKER",IF(OR($EL181="",$EM181=""),"ONZEKER",IF(AND($EO181=$EL181+1,$EP181=$EM181),IF(OR(COUNTIF(#REF!,$B181)&gt;0,COUNTIF(#REF!,$B181)=0),"SKIP",IF(COUNTIFS(#REF!,$B181,#REF!,$DA181)&gt;0,"OK","ONBEKEND")),IF(AND($EO181=$EL181,$EP181=$EM181+1),IF(OR(COUNTIF(#REF!,$D181)&gt;0,COUNTIF(#REF!,$D181)=0),"SKIP",IF(COUNTIFS(#REF!,$D181,#REF!,$DA181)&gt;0,"OK","ONBEKEND")),"ONZEKER")))))</f>
        <v/>
      </c>
      <c r="DC181" t="str">
        <f t="shared" si="1332"/>
        <v/>
      </c>
      <c r="DD181" t="str">
        <f t="shared" si="1333"/>
        <v/>
      </c>
      <c r="DE181" t="str">
        <f>IF($DD181="","",IF(OR($ER181="",$ES181=""),"ONZEKER",IF(OR($EO181="",$EP181=""),"ONZEKER",IF(AND($ER181=$EO181+1,$ES181=$EP181),IF(OR(COUNTIF(#REF!,$B181)&gt;0,COUNTIF(#REF!,$B181)=0),"SKIP",IF(COUNTIFS(#REF!,$B181,#REF!,$DD181)&gt;0,"OK","ONBEKEND")),IF(AND($ER181=$EO181,$ES181=$EP181+1),IF(OR(COUNTIF(#REF!,$D181)&gt;0,COUNTIF(#REF!,$D181)=0),"SKIP",IF(COUNTIFS(#REF!,$D181,#REF!,$DD181)&gt;0,"OK","ONBEKEND")),"ONZEKER")))))</f>
        <v/>
      </c>
      <c r="DF181" t="str">
        <f t="shared" si="1334"/>
        <v/>
      </c>
      <c r="DG181" t="str">
        <f t="shared" si="1335"/>
        <v/>
      </c>
      <c r="DH181" t="str">
        <f>IF($DG181="","",IF(OR($EU181="",$EV181=""),"ONZEKER",IF(OR($ER181="",$ES181=""),"ONZEKER",IF(AND($EU181=$ER181+1,$EV181=$ES181),IF(OR(COUNTIF(#REF!,$B181)&gt;0,COUNTIF(#REF!,$B181)=0),"SKIP",IF(COUNTIFS(#REF!,$B181,#REF!,$DG181)&gt;0,"OK","ONBEKEND")),IF(AND($EU181=$ER181,$EV181=$ES181+1),IF(OR(COUNTIF(#REF!,$D181)&gt;0,COUNTIF(#REF!,$D181)=0),"SKIP",IF(COUNTIFS(#REF!,$D181,#REF!,$DG181)&gt;0,"OK","ONBEKEND")),"ONZEKER")))))</f>
        <v/>
      </c>
      <c r="DI181" t="str">
        <f t="shared" si="1336"/>
        <v/>
      </c>
      <c r="DJ181" t="str">
        <f t="shared" si="1337"/>
        <v/>
      </c>
      <c r="DK181" t="str">
        <f>IF($DJ181="","",IF(OR($EX181="",$EY181=""),"ONZEKER",IF(OR($EU181="",$EV181=""),"ONZEKER",IF(AND($EX181=$EU181+1,$EY181=$EV181),IF(OR(COUNTIF(#REF!,$B181)&gt;0,COUNTIF(#REF!,$B181)=0),"SKIP",IF(COUNTIFS(#REF!,$B181,#REF!,$DJ181)&gt;0,"OK","ONBEKEND")),IF(AND($EX181=$EU181,$EY181=$EV181+1),IF(OR(COUNTIF(#REF!,$D181)&gt;0,COUNTIF(#REF!,$D181)=0),"SKIP",IF(COUNTIFS(#REF!,$D181,#REF!,$DJ181)&gt;0,"OK","ONBEKEND")),"ONZEKER")))))</f>
        <v/>
      </c>
      <c r="DL181" t="str">
        <f t="shared" si="1338"/>
        <v/>
      </c>
      <c r="DM181" t="str">
        <f t="shared" si="1339"/>
        <v/>
      </c>
      <c r="DN181" t="str">
        <f t="shared" si="1340"/>
        <v/>
      </c>
      <c r="DO181" t="str">
        <f t="shared" si="1341"/>
        <v/>
      </c>
      <c r="DP181" t="str">
        <f t="shared" si="1342"/>
        <v/>
      </c>
      <c r="DQ181" t="str">
        <f t="shared" si="1343"/>
        <v/>
      </c>
      <c r="DR181" t="str">
        <f t="shared" si="1344"/>
        <v/>
      </c>
      <c r="DS181" t="str">
        <f t="shared" si="1345"/>
        <v/>
      </c>
      <c r="DT181" t="str">
        <f t="shared" si="1346"/>
        <v/>
      </c>
      <c r="DU181" t="str">
        <f t="shared" si="1347"/>
        <v/>
      </c>
      <c r="DV181" t="str">
        <f t="shared" si="1348"/>
        <v/>
      </c>
      <c r="DW181" t="str">
        <f t="shared" si="1349"/>
        <v/>
      </c>
      <c r="DX181" t="str">
        <f t="shared" si="1350"/>
        <v/>
      </c>
      <c r="DY181" t="str">
        <f t="shared" si="1351"/>
        <v/>
      </c>
      <c r="DZ181" t="str">
        <f t="shared" si="1352"/>
        <v/>
      </c>
      <c r="EA181" t="str">
        <f t="shared" si="1353"/>
        <v/>
      </c>
      <c r="EB181" t="str">
        <f t="shared" si="1354"/>
        <v/>
      </c>
      <c r="EC181" t="str">
        <f t="shared" si="1355"/>
        <v/>
      </c>
      <c r="ED181" t="str">
        <f t="shared" si="1356"/>
        <v/>
      </c>
      <c r="EE181" t="str">
        <f t="shared" si="1357"/>
        <v/>
      </c>
      <c r="EF181" t="str">
        <f t="shared" si="1358"/>
        <v/>
      </c>
      <c r="EG181" t="str">
        <f t="shared" si="1359"/>
        <v/>
      </c>
      <c r="EH181" t="str">
        <f t="shared" si="1360"/>
        <v/>
      </c>
      <c r="EI181" t="str">
        <f t="shared" si="1361"/>
        <v/>
      </c>
      <c r="EJ181" t="str">
        <f t="shared" si="1362"/>
        <v/>
      </c>
      <c r="EK181" t="str">
        <f t="shared" si="1363"/>
        <v/>
      </c>
      <c r="EL181" t="str">
        <f t="shared" si="1364"/>
        <v/>
      </c>
      <c r="EM181" t="str">
        <f t="shared" si="1365"/>
        <v/>
      </c>
      <c r="EN181" t="str">
        <f t="shared" si="1366"/>
        <v/>
      </c>
      <c r="EO181" t="str">
        <f t="shared" si="1367"/>
        <v/>
      </c>
      <c r="EP181" t="str">
        <f t="shared" si="1368"/>
        <v/>
      </c>
      <c r="EQ181" t="str">
        <f t="shared" si="1369"/>
        <v/>
      </c>
      <c r="ER181" t="str">
        <f t="shared" si="1370"/>
        <v/>
      </c>
      <c r="ES181" t="str">
        <f t="shared" si="1371"/>
        <v/>
      </c>
      <c r="ET181" t="str">
        <f t="shared" si="1372"/>
        <v/>
      </c>
      <c r="EU181" t="str">
        <f t="shared" si="1373"/>
        <v/>
      </c>
      <c r="EV181" t="str">
        <f t="shared" si="1374"/>
        <v/>
      </c>
      <c r="EW181" t="str">
        <f t="shared" si="1375"/>
        <v/>
      </c>
      <c r="EX181" t="str">
        <f t="shared" si="1376"/>
        <v/>
      </c>
      <c r="EY181" t="str">
        <f t="shared" si="1377"/>
        <v/>
      </c>
    </row>
    <row r="182" spans="1:155" ht="13.9" customHeight="1" x14ac:dyDescent="0.25">
      <c r="M182" s="3" t="str">
        <f>IF($L182="","",IF($L182="DOELPUNTENMAKERS","",IF(AND(COUNTIF(#REF!,$B182)=0,COUNTIF(#REF!,$D182)=0),"OK",IF($O182&gt;20,"LET OP: meer dan 20 items (controle onvolledig)",IF((COUNTIF($R182:$AS182,"ONZEKER")+COUNTIF($CJ182:$DK182,"ONZEKER"))&gt;0,"LET OP: scoreverloop onduidelijk (controle beperkt)",IF((IF($AT182&lt;&gt;"",$AT182&amp;", ","")&amp;IF($AU182&lt;&gt;"",$AU182&amp;", ","")&amp;IF($AV182&lt;&gt;"",$AV182&amp;", ","")&amp;IF($AW182&lt;&gt;"",$AW182&amp;", ","")&amp;IF($AX182&lt;&gt;"",$AX182&amp;", ","")&amp;IF($AY182&lt;&gt;"",$AY182&amp;", ","")&amp;IF($AZ182&lt;&gt;"",$AZ182&amp;", ","")&amp;IF($BA182&lt;&gt;"",$BA182&amp;", ","")&amp;IF($BB182&lt;&gt;"",$BB182&amp;", ","")&amp;IF($BC182&lt;&gt;"",$BC182&amp;", ","")&amp;IF($DL182&lt;&gt;"",$DL182&amp;", ","")&amp;IF($DM182&lt;&gt;"",$DM182&amp;", ","")&amp;IF($DN182&lt;&gt;"",$DN182&amp;", ","")&amp;IF($DO182&lt;&gt;"",$DO182&amp;", ","")&amp;IF($DP182&lt;&gt;"",$DP182&amp;", ","")&amp;IF($DQ182&lt;&gt;"",$DQ182&amp;", ","")&amp;IF($DR182&lt;&gt;"",$DR182&amp;", ","")&amp;IF($DS182&lt;&gt;"",$DS182&amp;", ","")&amp;IF($DT182&lt;&gt;"",$DT182&amp;", ","")&amp;IF($DU182&lt;&gt;"",$DU182&amp;", ",""))="","OK","Onbekend: "&amp;LEFT((IF($AT182&lt;&gt;"",$AT182&amp;", ","")&amp;IF($AU182&lt;&gt;"",$AU182&amp;", ","")&amp;IF($AV182&lt;&gt;"",$AV182&amp;", ","")&amp;IF($AW182&lt;&gt;"",$AW182&amp;", ","")&amp;IF($AX182&lt;&gt;"",$AX182&amp;", ","")&amp;IF($AY182&lt;&gt;"",$AY182&amp;", ","")&amp;IF($AZ182&lt;&gt;"",$AZ182&amp;", ","")&amp;IF($BA182&lt;&gt;"",$BA182&amp;", ","")&amp;IF($BB182&lt;&gt;"",$BB182&amp;", ","")&amp;IF($BC182&lt;&gt;"",$BC182&amp;", ","")&amp;IF($DL182&lt;&gt;"",$DL182&amp;", ","")&amp;IF($DM182&lt;&gt;"",$DM182&amp;", ","")&amp;IF($DN182&lt;&gt;"",$DN182&amp;", ","")&amp;IF($DO182&lt;&gt;"",$DO182&amp;", ","")&amp;IF($DP182&lt;&gt;"",$DP182&amp;", ","")&amp;IF($DQ182&lt;&gt;"",$DQ182&amp;", ","")&amp;IF($DR182&lt;&gt;"",$DR182&amp;", ","")&amp;IF($DS182&lt;&gt;"",$DS182&amp;", ","")&amp;IF($DT182&lt;&gt;"",$DT182&amp;", ","")&amp;IF($DU182&lt;&gt;"",$DU182&amp;", ","")),LEN((IF($AT182&lt;&gt;"",$AT182&amp;", ","")&amp;IF($AU182&lt;&gt;"",$AU182&amp;", ","")&amp;IF($AV182&lt;&gt;"",$AV182&amp;", ","")&amp;IF($AW182&lt;&gt;"",$AW182&amp;", ","")&amp;IF($AX182&lt;&gt;"",$AX182&amp;", ","")&amp;IF($AY182&lt;&gt;"",$AY182&amp;", ","")&amp;IF($AZ182&lt;&gt;"",$AZ182&amp;", ","")&amp;IF($BA182&lt;&gt;"",$BA182&amp;", ","")&amp;IF($BB182&lt;&gt;"",$BB182&amp;", ","")&amp;IF($BC182&lt;&gt;"",$BC182&amp;", ","")&amp;IF($DL182&lt;&gt;"",$DL182&amp;", ","")&amp;IF($DM182&lt;&gt;"",$DM182&amp;", ","")&amp;IF($DN182&lt;&gt;"",$DN182&amp;", ","")&amp;IF($DO182&lt;&gt;"",$DO182&amp;", ","")&amp;IF($DP182&lt;&gt;"",$DP182&amp;", ","")&amp;IF($DQ182&lt;&gt;"",$DQ182&amp;", ","")&amp;IF($DR182&lt;&gt;"",$DR182&amp;", ","")&amp;IF($DS182&lt;&gt;"",$DS182&amp;", ","")&amp;IF($DT182&lt;&gt;"",$DT182&amp;", ","")&amp;IF($DU182&lt;&gt;"",$DU182&amp;", ","")))-2)))))))</f>
        <v/>
      </c>
      <c r="N182" t="str">
        <f t="shared" si="1286"/>
        <v/>
      </c>
      <c r="O182" t="str">
        <f t="shared" si="1287"/>
        <v/>
      </c>
      <c r="P182" t="str">
        <f t="shared" si="1288"/>
        <v/>
      </c>
      <c r="Q182" t="str">
        <f t="shared" si="1289"/>
        <v/>
      </c>
      <c r="R182" t="str">
        <f>IF($Q182="","",IF(OR($BE182="",$BF182=""),"ONZEKER",IF(AND($BE182=0+1,$BF182=0),IF(OR(COUNTIF(#REF!,$B182)&gt;0,COUNTIF(#REF!,$B182)=0),"SKIP",IF(COUNTIFS(#REF!,$B182,#REF!,$Q182)&gt;0,"OK","ONBEKEND")),IF(AND($BE182=0,$BF182=0+1),IF(OR(COUNTIF(#REF!,$D182)&gt;0,COUNTIF(#REF!,$D182)=0),"SKIP",IF(COUNTIFS(#REF!,$D182,#REF!,$Q182)&gt;0,"OK","ONBEKEND")),"ONZEKER"))))</f>
        <v/>
      </c>
      <c r="S182" t="str">
        <f t="shared" si="1290"/>
        <v/>
      </c>
      <c r="T182" t="str">
        <f t="shared" si="1291"/>
        <v/>
      </c>
      <c r="U182" t="str">
        <f>IF($T182="","",IF(OR($BH182="",$BI182=""),"ONZEKER",IF(OR($BE182="",$BF182=""),"ONZEKER",IF(AND($BH182=$BE182+1,$BI182=$BF182),IF(OR(COUNTIF(#REF!,$B182)&gt;0,COUNTIF(#REF!,$B182)=0),"SKIP",IF(COUNTIFS(#REF!,$B182,#REF!,$T182)&gt;0,"OK","ONBEKEND")),IF(AND($BH182=$BE182,$BI182=$BF182+1),IF(OR(COUNTIF(#REF!,$D182)&gt;0,COUNTIF(#REF!,$D182)=0),"SKIP",IF(COUNTIFS(#REF!,$D182,#REF!,$T182)&gt;0,"OK","ONBEKEND")),"ONZEKER")))))</f>
        <v/>
      </c>
      <c r="V182" t="str">
        <f t="shared" si="1292"/>
        <v/>
      </c>
      <c r="W182" t="str">
        <f t="shared" si="1293"/>
        <v/>
      </c>
      <c r="X182" t="str">
        <f>IF($W182="","",IF(OR($BK182="",$BL182=""),"ONZEKER",IF(OR($BH182="",$BI182=""),"ONZEKER",IF(AND($BK182=$BH182+1,$BL182=$BI182),IF(OR(COUNTIF(#REF!,$B182)&gt;0,COUNTIF(#REF!,$B182)=0),"SKIP",IF(COUNTIFS(#REF!,$B182,#REF!,$W182)&gt;0,"OK","ONBEKEND")),IF(AND($BK182=$BH182,$BL182=$BI182+1),IF(OR(COUNTIF(#REF!,$D182)&gt;0,COUNTIF(#REF!,$D182)=0),"SKIP",IF(COUNTIFS(#REF!,$D182,#REF!,$W182)&gt;0,"OK","ONBEKEND")),"ONZEKER")))))</f>
        <v/>
      </c>
      <c r="Y182" t="str">
        <f t="shared" si="1294"/>
        <v/>
      </c>
      <c r="Z182" t="str">
        <f t="shared" si="1295"/>
        <v/>
      </c>
      <c r="AA182" t="str">
        <f>IF($Z182="","",IF(OR($BN182="",$BO182=""),"ONZEKER",IF(OR($BK182="",$BL182=""),"ONZEKER",IF(AND($BN182=$BK182+1,$BO182=$BL182),IF(OR(COUNTIF(#REF!,$B182)&gt;0,COUNTIF(#REF!,$B182)=0),"SKIP",IF(COUNTIFS(#REF!,$B182,#REF!,$Z182)&gt;0,"OK","ONBEKEND")),IF(AND($BN182=$BK182,$BO182=$BL182+1),IF(OR(COUNTIF(#REF!,$D182)&gt;0,COUNTIF(#REF!,$D182)=0),"SKIP",IF(COUNTIFS(#REF!,$D182,#REF!,$Z182)&gt;0,"OK","ONBEKEND")),"ONZEKER")))))</f>
        <v/>
      </c>
      <c r="AB182" t="str">
        <f t="shared" si="1296"/>
        <v/>
      </c>
      <c r="AC182" t="str">
        <f t="shared" si="1297"/>
        <v/>
      </c>
      <c r="AD182" t="str">
        <f>IF($AC182="","",IF(OR($BQ182="",$BR182=""),"ONZEKER",IF(OR($BN182="",$BO182=""),"ONZEKER",IF(AND($BQ182=$BN182+1,$BR182=$BO182),IF(OR(COUNTIF(#REF!,$B182)&gt;0,COUNTIF(#REF!,$B182)=0),"SKIP",IF(COUNTIFS(#REF!,$B182,#REF!,$AC182)&gt;0,"OK","ONBEKEND")),IF(AND($BQ182=$BN182,$BR182=$BO182+1),IF(OR(COUNTIF(#REF!,$D182)&gt;0,COUNTIF(#REF!,$D182)=0),"SKIP",IF(COUNTIFS(#REF!,$D182,#REF!,$AC182)&gt;0,"OK","ONBEKEND")),"ONZEKER")))))</f>
        <v/>
      </c>
      <c r="AE182" t="str">
        <f t="shared" si="1298"/>
        <v/>
      </c>
      <c r="AF182" t="str">
        <f t="shared" si="1299"/>
        <v/>
      </c>
      <c r="AG182" t="str">
        <f>IF($AF182="","",IF(OR($BT182="",$BU182=""),"ONZEKER",IF(OR($BQ182="",$BR182=""),"ONZEKER",IF(AND($BT182=$BQ182+1,$BU182=$BR182),IF(OR(COUNTIF(#REF!,$B182)&gt;0,COUNTIF(#REF!,$B182)=0),"SKIP",IF(COUNTIFS(#REF!,$B182,#REF!,$AF182)&gt;0,"OK","ONBEKEND")),IF(AND($BT182=$BQ182,$BU182=$BR182+1),IF(OR(COUNTIF(#REF!,$D182)&gt;0,COUNTIF(#REF!,$D182)=0),"SKIP",IF(COUNTIFS(#REF!,$D182,#REF!,$AF182)&gt;0,"OK","ONBEKEND")),"ONZEKER")))))</f>
        <v/>
      </c>
      <c r="AH182" t="str">
        <f t="shared" si="1300"/>
        <v/>
      </c>
      <c r="AI182" t="str">
        <f t="shared" si="1301"/>
        <v/>
      </c>
      <c r="AJ182" t="str">
        <f>IF($AI182="","",IF(OR($BW182="",$BX182=""),"ONZEKER",IF(OR($BT182="",$BU182=""),"ONZEKER",IF(AND($BW182=$BT182+1,$BX182=$BU182),IF(OR(COUNTIF(#REF!,$B182)&gt;0,COUNTIF(#REF!,$B182)=0),"SKIP",IF(COUNTIFS(#REF!,$B182,#REF!,$AI182)&gt;0,"OK","ONBEKEND")),IF(AND($BW182=$BT182,$BX182=$BU182+1),IF(OR(COUNTIF(#REF!,$D182)&gt;0,COUNTIF(#REF!,$D182)=0),"SKIP",IF(COUNTIFS(#REF!,$D182,#REF!,$AI182)&gt;0,"OK","ONBEKEND")),"ONZEKER")))))</f>
        <v/>
      </c>
      <c r="AK182" t="str">
        <f t="shared" si="1302"/>
        <v/>
      </c>
      <c r="AL182" t="str">
        <f t="shared" si="1303"/>
        <v/>
      </c>
      <c r="AM182" t="str">
        <f>IF($AL182="","",IF(OR($BZ182="",$CA182=""),"ONZEKER",IF(OR($BW182="",$BX182=""),"ONZEKER",IF(AND($BZ182=$BW182+1,$CA182=$BX182),IF(OR(COUNTIF(#REF!,$B182)&gt;0,COUNTIF(#REF!,$B182)=0),"SKIP",IF(COUNTIFS(#REF!,$B182,#REF!,$AL182)&gt;0,"OK","ONBEKEND")),IF(AND($BZ182=$BW182,$CA182=$BX182+1),IF(OR(COUNTIF(#REF!,$D182)&gt;0,COUNTIF(#REF!,$D182)=0),"SKIP",IF(COUNTIFS(#REF!,$D182,#REF!,$AL182)&gt;0,"OK","ONBEKEND")),"ONZEKER")))))</f>
        <v/>
      </c>
      <c r="AN182" t="str">
        <f t="shared" si="1304"/>
        <v/>
      </c>
      <c r="AO182" t="str">
        <f t="shared" si="1305"/>
        <v/>
      </c>
      <c r="AP182" t="str">
        <f>IF($AO182="","",IF(OR($CC182="",$CD182=""),"ONZEKER",IF(OR($BZ182="",$CA182=""),"ONZEKER",IF(AND($CC182=$BZ182+1,$CD182=$CA182),IF(OR(COUNTIF(#REF!,$B182)&gt;0,COUNTIF(#REF!,$B182)=0),"SKIP",IF(COUNTIFS(#REF!,$B182,#REF!,$AO182)&gt;0,"OK","ONBEKEND")),IF(AND($CC182=$BZ182,$CD182=$CA182+1),IF(OR(COUNTIF(#REF!,$D182)&gt;0,COUNTIF(#REF!,$D182)=0),"SKIP",IF(COUNTIFS(#REF!,$D182,#REF!,$AO182)&gt;0,"OK","ONBEKEND")),"ONZEKER")))))</f>
        <v/>
      </c>
      <c r="AQ182" t="str">
        <f t="shared" si="1306"/>
        <v/>
      </c>
      <c r="AR182" t="str">
        <f t="shared" si="1307"/>
        <v/>
      </c>
      <c r="AS182" t="str">
        <f>IF($AR182="","",IF(OR($CF182="",$CG182=""),"ONZEKER",IF(OR($CC182="",$CD182=""),"ONZEKER",IF(AND($CF182=$CC182+1,$CG182=$CD182),IF(OR(COUNTIF(#REF!,$B182)&gt;0,COUNTIF(#REF!,$B182)=0),"SKIP",IF(COUNTIFS(#REF!,$B182,#REF!,$AR182)&gt;0,"OK","ONBEKEND")),IF(AND($CF182=$CC182,$CG182=$CD182+1),IF(OR(COUNTIF(#REF!,$D182)&gt;0,COUNTIF(#REF!,$D182)=0),"SKIP",IF(COUNTIFS(#REF!,$D182,#REF!,$AR182)&gt;0,"OK","ONBEKEND")),"ONZEKER")))))</f>
        <v/>
      </c>
      <c r="AT182" t="str">
        <f t="shared" si="1308"/>
        <v/>
      </c>
      <c r="AU182" t="str">
        <f t="shared" si="1309"/>
        <v/>
      </c>
      <c r="AV182" t="str">
        <f t="shared" si="1310"/>
        <v/>
      </c>
      <c r="AW182" t="str">
        <f t="shared" si="1311"/>
        <v/>
      </c>
      <c r="AX182" t="str">
        <f t="shared" si="1312"/>
        <v/>
      </c>
      <c r="AY182" t="str">
        <f t="shared" si="1313"/>
        <v/>
      </c>
      <c r="AZ182" t="str">
        <f t="shared" si="1314"/>
        <v/>
      </c>
      <c r="BA182" t="str">
        <f t="shared" si="1315"/>
        <v/>
      </c>
      <c r="BB182" t="str">
        <f t="shared" si="1316"/>
        <v/>
      </c>
      <c r="BC182" t="str">
        <f t="shared" si="1317"/>
        <v/>
      </c>
      <c r="BD182" t="str">
        <f t="shared" si="980"/>
        <v/>
      </c>
      <c r="BE182" t="str">
        <f t="shared" si="981"/>
        <v/>
      </c>
      <c r="BF182" t="str">
        <f t="shared" si="982"/>
        <v/>
      </c>
      <c r="BG182" t="str">
        <f t="shared" si="983"/>
        <v/>
      </c>
      <c r="BH182" t="str">
        <f t="shared" si="984"/>
        <v/>
      </c>
      <c r="BI182" t="str">
        <f t="shared" si="985"/>
        <v/>
      </c>
      <c r="BJ182" t="str">
        <f t="shared" si="986"/>
        <v/>
      </c>
      <c r="BK182" t="str">
        <f t="shared" si="987"/>
        <v/>
      </c>
      <c r="BL182" t="str">
        <f t="shared" si="988"/>
        <v/>
      </c>
      <c r="BM182" t="str">
        <f t="shared" si="989"/>
        <v/>
      </c>
      <c r="BN182" t="str">
        <f t="shared" si="990"/>
        <v/>
      </c>
      <c r="BO182" t="str">
        <f t="shared" si="991"/>
        <v/>
      </c>
      <c r="BP182" t="str">
        <f t="shared" si="992"/>
        <v/>
      </c>
      <c r="BQ182" t="str">
        <f t="shared" si="993"/>
        <v/>
      </c>
      <c r="BR182" t="str">
        <f t="shared" si="994"/>
        <v/>
      </c>
      <c r="BS182" t="str">
        <f t="shared" si="995"/>
        <v/>
      </c>
      <c r="BT182" t="str">
        <f t="shared" si="996"/>
        <v/>
      </c>
      <c r="BU182" t="str">
        <f t="shared" si="997"/>
        <v/>
      </c>
      <c r="BV182" t="str">
        <f t="shared" si="998"/>
        <v/>
      </c>
      <c r="BW182" t="str">
        <f t="shared" si="999"/>
        <v/>
      </c>
      <c r="BX182" t="str">
        <f t="shared" si="1000"/>
        <v/>
      </c>
      <c r="BY182" t="str">
        <f t="shared" si="1001"/>
        <v/>
      </c>
      <c r="BZ182" t="str">
        <f t="shared" si="1002"/>
        <v/>
      </c>
      <c r="CA182" t="str">
        <f t="shared" si="1003"/>
        <v/>
      </c>
      <c r="CB182" t="str">
        <f t="shared" si="1004"/>
        <v/>
      </c>
      <c r="CC182" t="str">
        <f t="shared" si="1005"/>
        <v/>
      </c>
      <c r="CD182" t="str">
        <f t="shared" si="1006"/>
        <v/>
      </c>
      <c r="CE182" t="str">
        <f t="shared" si="1007"/>
        <v/>
      </c>
      <c r="CF182" t="str">
        <f t="shared" si="1008"/>
        <v/>
      </c>
      <c r="CG182" t="str">
        <f t="shared" si="1009"/>
        <v/>
      </c>
      <c r="CH182" t="str">
        <f t="shared" si="1318"/>
        <v/>
      </c>
      <c r="CI182" t="str">
        <f t="shared" si="1319"/>
        <v/>
      </c>
      <c r="CJ182" t="str">
        <f>IF($CI182="","",IF(OR($DW182="",$DX182=""),"ONZEKER",IF(OR($CF182="",$CG182=""),"ONZEKER",IF(AND($DW182=$CF182+1,$DX182=$CG182),IF(OR(COUNTIF(#REF!,$B182)&gt;0,COUNTIF(#REF!,$B182)=0),"SKIP",IF(COUNTIFS(#REF!,$B182,#REF!,$CI182)&gt;0,"OK","ONBEKEND")),IF(AND($DW182=$CF182,$DX182=$CG182+1),IF(OR(COUNTIF(#REF!,$D182)&gt;0,COUNTIF(#REF!,$D182)=0),"SKIP",IF(COUNTIFS(#REF!,$D182,#REF!,$CI182)&gt;0,"OK","ONBEKEND")),"ONZEKER")))))</f>
        <v/>
      </c>
      <c r="CK182" t="str">
        <f t="shared" si="1320"/>
        <v/>
      </c>
      <c r="CL182" t="str">
        <f t="shared" si="1321"/>
        <v/>
      </c>
      <c r="CM182" t="str">
        <f>IF($CL182="","",IF(OR($DZ182="",$EA182=""),"ONZEKER",IF(OR($DW182="",$DX182=""),"ONZEKER",IF(AND($DZ182=$DW182+1,$EA182=$DX182),IF(OR(COUNTIF(#REF!,$B182)&gt;0,COUNTIF(#REF!,$B182)=0),"SKIP",IF(COUNTIFS(#REF!,$B182,#REF!,$CL182)&gt;0,"OK","ONBEKEND")),IF(AND($DZ182=$DW182,$EA182=$DX182+1),IF(OR(COUNTIF(#REF!,$D182)&gt;0,COUNTIF(#REF!,$D182)=0),"SKIP",IF(COUNTIFS(#REF!,$D182,#REF!,$CL182)&gt;0,"OK","ONBEKEND")),"ONZEKER")))))</f>
        <v/>
      </c>
      <c r="CN182" t="str">
        <f t="shared" si="1322"/>
        <v/>
      </c>
      <c r="CO182" t="str">
        <f t="shared" si="1323"/>
        <v/>
      </c>
      <c r="CP182" t="str">
        <f>IF($CO182="","",IF(OR($EC182="",$ED182=""),"ONZEKER",IF(OR($DZ182="",$EA182=""),"ONZEKER",IF(AND($EC182=$DZ182+1,$ED182=$EA182),IF(OR(COUNTIF(#REF!,$B182)&gt;0,COUNTIF(#REF!,$B182)=0),"SKIP",IF(COUNTIFS(#REF!,$B182,#REF!,$CO182)&gt;0,"OK","ONBEKEND")),IF(AND($EC182=$DZ182,$ED182=$EA182+1),IF(OR(COUNTIF(#REF!,$D182)&gt;0,COUNTIF(#REF!,$D182)=0),"SKIP",IF(COUNTIFS(#REF!,$D182,#REF!,$CO182)&gt;0,"OK","ONBEKEND")),"ONZEKER")))))</f>
        <v/>
      </c>
      <c r="CQ182" t="str">
        <f t="shared" si="1324"/>
        <v/>
      </c>
      <c r="CR182" t="str">
        <f t="shared" si="1325"/>
        <v/>
      </c>
      <c r="CS182" t="str">
        <f>IF($CR182="","",IF(OR($EF182="",$EG182=""),"ONZEKER",IF(OR($EC182="",$ED182=""),"ONZEKER",IF(AND($EF182=$EC182+1,$EG182=$ED182),IF(OR(COUNTIF(#REF!,$B182)&gt;0,COUNTIF(#REF!,$B182)=0),"SKIP",IF(COUNTIFS(#REF!,$B182,#REF!,$CR182)&gt;0,"OK","ONBEKEND")),IF(AND($EF182=$EC182,$EG182=$ED182+1),IF(OR(COUNTIF(#REF!,$D182)&gt;0,COUNTIF(#REF!,$D182)=0),"SKIP",IF(COUNTIFS(#REF!,$D182,#REF!,$CR182)&gt;0,"OK","ONBEKEND")),"ONZEKER")))))</f>
        <v/>
      </c>
      <c r="CT182" t="str">
        <f t="shared" si="1326"/>
        <v/>
      </c>
      <c r="CU182" t="str">
        <f t="shared" si="1327"/>
        <v/>
      </c>
      <c r="CV182" t="str">
        <f>IF($CU182="","",IF(OR($EI182="",$EJ182=""),"ONZEKER",IF(OR($EF182="",$EG182=""),"ONZEKER",IF(AND($EI182=$EF182+1,$EJ182=$EG182),IF(OR(COUNTIF(#REF!,$B182)&gt;0,COUNTIF(#REF!,$B182)=0),"SKIP",IF(COUNTIFS(#REF!,$B182,#REF!,$CU182)&gt;0,"OK","ONBEKEND")),IF(AND($EI182=$EF182,$EJ182=$EG182+1),IF(OR(COUNTIF(#REF!,$D182)&gt;0,COUNTIF(#REF!,$D182)=0),"SKIP",IF(COUNTIFS(#REF!,$D182,#REF!,$CU182)&gt;0,"OK","ONBEKEND")),"ONZEKER")))))</f>
        <v/>
      </c>
      <c r="CW182" t="str">
        <f t="shared" si="1328"/>
        <v/>
      </c>
      <c r="CX182" t="str">
        <f t="shared" si="1329"/>
        <v/>
      </c>
      <c r="CY182" t="str">
        <f>IF($CX182="","",IF(OR($EL182="",$EM182=""),"ONZEKER",IF(OR($EI182="",$EJ182=""),"ONZEKER",IF(AND($EL182=$EI182+1,$EM182=$EJ182),IF(OR(COUNTIF(#REF!,$B182)&gt;0,COUNTIF(#REF!,$B182)=0),"SKIP",IF(COUNTIFS(#REF!,$B182,#REF!,$CX182)&gt;0,"OK","ONBEKEND")),IF(AND($EL182=$EI182,$EM182=$EJ182+1),IF(OR(COUNTIF(#REF!,$D182)&gt;0,COUNTIF(#REF!,$D182)=0),"SKIP",IF(COUNTIFS(#REF!,$D182,#REF!,$CX182)&gt;0,"OK","ONBEKEND")),"ONZEKER")))))</f>
        <v/>
      </c>
      <c r="CZ182" t="str">
        <f t="shared" si="1330"/>
        <v/>
      </c>
      <c r="DA182" t="str">
        <f t="shared" si="1331"/>
        <v/>
      </c>
      <c r="DB182" t="str">
        <f>IF($DA182="","",IF(OR($EO182="",$EP182=""),"ONZEKER",IF(OR($EL182="",$EM182=""),"ONZEKER",IF(AND($EO182=$EL182+1,$EP182=$EM182),IF(OR(COUNTIF(#REF!,$B182)&gt;0,COUNTIF(#REF!,$B182)=0),"SKIP",IF(COUNTIFS(#REF!,$B182,#REF!,$DA182)&gt;0,"OK","ONBEKEND")),IF(AND($EO182=$EL182,$EP182=$EM182+1),IF(OR(COUNTIF(#REF!,$D182)&gt;0,COUNTIF(#REF!,$D182)=0),"SKIP",IF(COUNTIFS(#REF!,$D182,#REF!,$DA182)&gt;0,"OK","ONBEKEND")),"ONZEKER")))))</f>
        <v/>
      </c>
      <c r="DC182" t="str">
        <f t="shared" si="1332"/>
        <v/>
      </c>
      <c r="DD182" t="str">
        <f t="shared" si="1333"/>
        <v/>
      </c>
      <c r="DE182" t="str">
        <f>IF($DD182="","",IF(OR($ER182="",$ES182=""),"ONZEKER",IF(OR($EO182="",$EP182=""),"ONZEKER",IF(AND($ER182=$EO182+1,$ES182=$EP182),IF(OR(COUNTIF(#REF!,$B182)&gt;0,COUNTIF(#REF!,$B182)=0),"SKIP",IF(COUNTIFS(#REF!,$B182,#REF!,$DD182)&gt;0,"OK","ONBEKEND")),IF(AND($ER182=$EO182,$ES182=$EP182+1),IF(OR(COUNTIF(#REF!,$D182)&gt;0,COUNTIF(#REF!,$D182)=0),"SKIP",IF(COUNTIFS(#REF!,$D182,#REF!,$DD182)&gt;0,"OK","ONBEKEND")),"ONZEKER")))))</f>
        <v/>
      </c>
      <c r="DF182" t="str">
        <f t="shared" si="1334"/>
        <v/>
      </c>
      <c r="DG182" t="str">
        <f t="shared" si="1335"/>
        <v/>
      </c>
      <c r="DH182" t="str">
        <f>IF($DG182="","",IF(OR($EU182="",$EV182=""),"ONZEKER",IF(OR($ER182="",$ES182=""),"ONZEKER",IF(AND($EU182=$ER182+1,$EV182=$ES182),IF(OR(COUNTIF(#REF!,$B182)&gt;0,COUNTIF(#REF!,$B182)=0),"SKIP",IF(COUNTIFS(#REF!,$B182,#REF!,$DG182)&gt;0,"OK","ONBEKEND")),IF(AND($EU182=$ER182,$EV182=$ES182+1),IF(OR(COUNTIF(#REF!,$D182)&gt;0,COUNTIF(#REF!,$D182)=0),"SKIP",IF(COUNTIFS(#REF!,$D182,#REF!,$DG182)&gt;0,"OK","ONBEKEND")),"ONZEKER")))))</f>
        <v/>
      </c>
      <c r="DI182" t="str">
        <f t="shared" si="1336"/>
        <v/>
      </c>
      <c r="DJ182" t="str">
        <f t="shared" si="1337"/>
        <v/>
      </c>
      <c r="DK182" t="str">
        <f>IF($DJ182="","",IF(OR($EX182="",$EY182=""),"ONZEKER",IF(OR($EU182="",$EV182=""),"ONZEKER",IF(AND($EX182=$EU182+1,$EY182=$EV182),IF(OR(COUNTIF(#REF!,$B182)&gt;0,COUNTIF(#REF!,$B182)=0),"SKIP",IF(COUNTIFS(#REF!,$B182,#REF!,$DJ182)&gt;0,"OK","ONBEKEND")),IF(AND($EX182=$EU182,$EY182=$EV182+1),IF(OR(COUNTIF(#REF!,$D182)&gt;0,COUNTIF(#REF!,$D182)=0),"SKIP",IF(COUNTIFS(#REF!,$D182,#REF!,$DJ182)&gt;0,"OK","ONBEKEND")),"ONZEKER")))))</f>
        <v/>
      </c>
      <c r="DL182" t="str">
        <f t="shared" si="1338"/>
        <v/>
      </c>
      <c r="DM182" t="str">
        <f t="shared" si="1339"/>
        <v/>
      </c>
      <c r="DN182" t="str">
        <f t="shared" si="1340"/>
        <v/>
      </c>
      <c r="DO182" t="str">
        <f t="shared" si="1341"/>
        <v/>
      </c>
      <c r="DP182" t="str">
        <f t="shared" si="1342"/>
        <v/>
      </c>
      <c r="DQ182" t="str">
        <f t="shared" si="1343"/>
        <v/>
      </c>
      <c r="DR182" t="str">
        <f t="shared" si="1344"/>
        <v/>
      </c>
      <c r="DS182" t="str">
        <f t="shared" si="1345"/>
        <v/>
      </c>
      <c r="DT182" t="str">
        <f t="shared" si="1346"/>
        <v/>
      </c>
      <c r="DU182" t="str">
        <f t="shared" si="1347"/>
        <v/>
      </c>
      <c r="DV182" t="str">
        <f t="shared" si="1348"/>
        <v/>
      </c>
      <c r="DW182" t="str">
        <f t="shared" si="1349"/>
        <v/>
      </c>
      <c r="DX182" t="str">
        <f t="shared" si="1350"/>
        <v/>
      </c>
      <c r="DY182" t="str">
        <f t="shared" si="1351"/>
        <v/>
      </c>
      <c r="DZ182" t="str">
        <f t="shared" si="1352"/>
        <v/>
      </c>
      <c r="EA182" t="str">
        <f t="shared" si="1353"/>
        <v/>
      </c>
      <c r="EB182" t="str">
        <f t="shared" si="1354"/>
        <v/>
      </c>
      <c r="EC182" t="str">
        <f t="shared" si="1355"/>
        <v/>
      </c>
      <c r="ED182" t="str">
        <f t="shared" si="1356"/>
        <v/>
      </c>
      <c r="EE182" t="str">
        <f t="shared" si="1357"/>
        <v/>
      </c>
      <c r="EF182" t="str">
        <f t="shared" si="1358"/>
        <v/>
      </c>
      <c r="EG182" t="str">
        <f t="shared" si="1359"/>
        <v/>
      </c>
      <c r="EH182" t="str">
        <f t="shared" si="1360"/>
        <v/>
      </c>
      <c r="EI182" t="str">
        <f t="shared" si="1361"/>
        <v/>
      </c>
      <c r="EJ182" t="str">
        <f t="shared" si="1362"/>
        <v/>
      </c>
      <c r="EK182" t="str">
        <f t="shared" si="1363"/>
        <v/>
      </c>
      <c r="EL182" t="str">
        <f t="shared" si="1364"/>
        <v/>
      </c>
      <c r="EM182" t="str">
        <f t="shared" si="1365"/>
        <v/>
      </c>
      <c r="EN182" t="str">
        <f t="shared" si="1366"/>
        <v/>
      </c>
      <c r="EO182" t="str">
        <f t="shared" si="1367"/>
        <v/>
      </c>
      <c r="EP182" t="str">
        <f t="shared" si="1368"/>
        <v/>
      </c>
      <c r="EQ182" t="str">
        <f t="shared" si="1369"/>
        <v/>
      </c>
      <c r="ER182" t="str">
        <f t="shared" si="1370"/>
        <v/>
      </c>
      <c r="ES182" t="str">
        <f t="shared" si="1371"/>
        <v/>
      </c>
      <c r="ET182" t="str">
        <f t="shared" si="1372"/>
        <v/>
      </c>
      <c r="EU182" t="str">
        <f t="shared" si="1373"/>
        <v/>
      </c>
      <c r="EV182" t="str">
        <f t="shared" si="1374"/>
        <v/>
      </c>
      <c r="EW182" t="str">
        <f t="shared" si="1375"/>
        <v/>
      </c>
      <c r="EX182" t="str">
        <f t="shared" si="1376"/>
        <v/>
      </c>
      <c r="EY182" t="str">
        <f t="shared" si="1377"/>
        <v/>
      </c>
    </row>
    <row r="183" spans="1:155" ht="13.9" customHeight="1" x14ac:dyDescent="0.25">
      <c r="A183" s="14"/>
      <c r="B183" s="15" t="s">
        <v>157</v>
      </c>
      <c r="C183" s="16"/>
      <c r="D183" s="16"/>
      <c r="E183" s="16"/>
      <c r="F183" s="31" t="s">
        <v>1</v>
      </c>
      <c r="G183" s="33"/>
      <c r="H183" s="33"/>
      <c r="I183" s="32" t="s">
        <v>2</v>
      </c>
      <c r="J183" s="33"/>
      <c r="K183" s="33"/>
      <c r="L183" s="6" t="s">
        <v>3</v>
      </c>
      <c r="M183" s="2" t="s">
        <v>4</v>
      </c>
      <c r="N183" s="2" t="s">
        <v>5</v>
      </c>
      <c r="O183" s="2" t="s">
        <v>6</v>
      </c>
      <c r="P183" s="2" t="s">
        <v>7</v>
      </c>
      <c r="Q183" s="2" t="s">
        <v>8</v>
      </c>
      <c r="R183" s="2" t="str">
        <f>IF($Q183="","",IF(OR($BE183="",$BF183=""),"ONZEKER",IF(AND($BE183=0+1,$BF183=0),IF(OR(COUNTIF(#REF!,$B183)&gt;0,COUNTIF(#REF!,$B183)=0),"SKIP",IF(COUNTIFS(#REF!,$B183,#REF!,$Q183)&gt;0,"OK","ONBEKEND")),IF(AND($BE183=0,$BF183=0+1),IF(OR(COUNTIF(#REF!,$D183)&gt;0,COUNTIF(#REF!,$D183)=0),"SKIP",IF(COUNTIFS(#REF!,$D183,#REF!,$Q183)&gt;0,"OK","ONBEKEND")),"ONZEKER"))))</f>
        <v>ONZEKER</v>
      </c>
      <c r="S183" s="2" t="s">
        <v>10</v>
      </c>
      <c r="T183" s="2" t="s">
        <v>11</v>
      </c>
      <c r="U183" s="2" t="str">
        <f>IF($T183="","",IF(OR($BH183="",$BI183=""),"ONZEKER",IF(OR($BE183="",$BF183=""),"ONZEKER",IF(AND($BH183=$BE183+1,$BI183=$BF183),IF(OR(COUNTIF(#REF!,$B183)&gt;0,COUNTIF(#REF!,$B183)=0),"SKIP",IF(COUNTIFS(#REF!,$B183,#REF!,$T183)&gt;0,"OK","ONBEKEND")),IF(AND($BH183=$BE183,$BI183=$BF183+1),IF(OR(COUNTIF(#REF!,$D183)&gt;0,COUNTIF(#REF!,$D183)=0),"SKIP",IF(COUNTIFS(#REF!,$D183,#REF!,$T183)&gt;0,"OK","ONBEKEND")),"ONZEKER")))))</f>
        <v>ONZEKER</v>
      </c>
      <c r="V183" s="2" t="s">
        <v>13</v>
      </c>
      <c r="W183" s="2" t="s">
        <v>14</v>
      </c>
      <c r="X183" s="2" t="str">
        <f>IF($W183="","",IF(OR($BK183="",$BL183=""),"ONZEKER",IF(OR($BH183="",$BI183=""),"ONZEKER",IF(AND($BK183=$BH183+1,$BL183=$BI183),IF(OR(COUNTIF(#REF!,$B183)&gt;0,COUNTIF(#REF!,$B183)=0),"SKIP",IF(COUNTIFS(#REF!,$B183,#REF!,$W183)&gt;0,"OK","ONBEKEND")),IF(AND($BK183=$BH183,$BL183=$BI183+1),IF(OR(COUNTIF(#REF!,$D183)&gt;0,COUNTIF(#REF!,$D183)=0),"SKIP",IF(COUNTIFS(#REF!,$D183,#REF!,$W183)&gt;0,"OK","ONBEKEND")),"ONZEKER")))))</f>
        <v>ONZEKER</v>
      </c>
      <c r="Y183" s="2" t="s">
        <v>16</v>
      </c>
      <c r="Z183" s="2" t="s">
        <v>17</v>
      </c>
      <c r="AA183" s="2" t="str">
        <f>IF($Z183="","",IF(OR($BN183="",$BO183=""),"ONZEKER",IF(OR($BK183="",$BL183=""),"ONZEKER",IF(AND($BN183=$BK183+1,$BO183=$BL183),IF(OR(COUNTIF(#REF!,$B183)&gt;0,COUNTIF(#REF!,$B183)=0),"SKIP",IF(COUNTIFS(#REF!,$B183,#REF!,$Z183)&gt;0,"OK","ONBEKEND")),IF(AND($BN183=$BK183,$BO183=$BL183+1),IF(OR(COUNTIF(#REF!,$D183)&gt;0,COUNTIF(#REF!,$D183)=0),"SKIP",IF(COUNTIFS(#REF!,$D183,#REF!,$Z183)&gt;0,"OK","ONBEKEND")),"ONZEKER")))))</f>
        <v>ONZEKER</v>
      </c>
      <c r="AB183" s="2" t="s">
        <v>19</v>
      </c>
      <c r="AC183" s="2" t="s">
        <v>20</v>
      </c>
      <c r="AD183" s="2" t="str">
        <f>IF($AC183="","",IF(OR($BQ183="",$BR183=""),"ONZEKER",IF(OR($BN183="",$BO183=""),"ONZEKER",IF(AND($BQ183=$BN183+1,$BR183=$BO183),IF(OR(COUNTIF(#REF!,$B183)&gt;0,COUNTIF(#REF!,$B183)=0),"SKIP",IF(COUNTIFS(#REF!,$B183,#REF!,$AC183)&gt;0,"OK","ONBEKEND")),IF(AND($BQ183=$BN183,$BR183=$BO183+1),IF(OR(COUNTIF(#REF!,$D183)&gt;0,COUNTIF(#REF!,$D183)=0),"SKIP",IF(COUNTIFS(#REF!,$D183,#REF!,$AC183)&gt;0,"OK","ONBEKEND")),"ONZEKER")))))</f>
        <v>ONZEKER</v>
      </c>
      <c r="AE183" s="2" t="s">
        <v>22</v>
      </c>
      <c r="AF183" s="2" t="s">
        <v>23</v>
      </c>
      <c r="AG183" s="2" t="str">
        <f>IF($AF183="","",IF(OR($BT183="",$BU183=""),"ONZEKER",IF(OR($BQ183="",$BR183=""),"ONZEKER",IF(AND($BT183=$BQ183+1,$BU183=$BR183),IF(OR(COUNTIF(#REF!,$B183)&gt;0,COUNTIF(#REF!,$B183)=0),"SKIP",IF(COUNTIFS(#REF!,$B183,#REF!,$AF183)&gt;0,"OK","ONBEKEND")),IF(AND($BT183=$BQ183,$BU183=$BR183+1),IF(OR(COUNTIF(#REF!,$D183)&gt;0,COUNTIF(#REF!,$D183)=0),"SKIP",IF(COUNTIFS(#REF!,$D183,#REF!,$AF183)&gt;0,"OK","ONBEKEND")),"ONZEKER")))))</f>
        <v>ONZEKER</v>
      </c>
      <c r="AH183" s="2" t="s">
        <v>25</v>
      </c>
      <c r="AI183" s="2" t="s">
        <v>26</v>
      </c>
      <c r="AJ183" s="2" t="str">
        <f>IF($AI183="","",IF(OR($BW183="",$BX183=""),"ONZEKER",IF(OR($BT183="",$BU183=""),"ONZEKER",IF(AND($BW183=$BT183+1,$BX183=$BU183),IF(OR(COUNTIF(#REF!,$B183)&gt;0,COUNTIF(#REF!,$B183)=0),"SKIP",IF(COUNTIFS(#REF!,$B183,#REF!,$AI183)&gt;0,"OK","ONBEKEND")),IF(AND($BW183=$BT183,$BX183=$BU183+1),IF(OR(COUNTIF(#REF!,$D183)&gt;0,COUNTIF(#REF!,$D183)=0),"SKIP",IF(COUNTIFS(#REF!,$D183,#REF!,$AI183)&gt;0,"OK","ONBEKEND")),"ONZEKER")))))</f>
        <v>ONZEKER</v>
      </c>
      <c r="AK183" s="2" t="s">
        <v>28</v>
      </c>
      <c r="AL183" s="2" t="s">
        <v>29</v>
      </c>
      <c r="AM183" s="2" t="str">
        <f>IF($AL183="","",IF(OR($BZ183="",$CA183=""),"ONZEKER",IF(OR($BW183="",$BX183=""),"ONZEKER",IF(AND($BZ183=$BW183+1,$CA183=$BX183),IF(OR(COUNTIF(#REF!,$B183)&gt;0,COUNTIF(#REF!,$B183)=0),"SKIP",IF(COUNTIFS(#REF!,$B183,#REF!,$AL183)&gt;0,"OK","ONBEKEND")),IF(AND($BZ183=$BW183,$CA183=$BX183+1),IF(OR(COUNTIF(#REF!,$D183)&gt;0,COUNTIF(#REF!,$D183)=0),"SKIP",IF(COUNTIFS(#REF!,$D183,#REF!,$AL183)&gt;0,"OK","ONBEKEND")),"ONZEKER")))))</f>
        <v>ONZEKER</v>
      </c>
      <c r="AN183" s="2" t="s">
        <v>31</v>
      </c>
      <c r="AO183" s="2" t="s">
        <v>32</v>
      </c>
      <c r="AP183" s="2" t="str">
        <f>IF($AO183="","",IF(OR($CC183="",$CD183=""),"ONZEKER",IF(OR($BZ183="",$CA183=""),"ONZEKER",IF(AND($CC183=$BZ183+1,$CD183=$CA183),IF(OR(COUNTIF(#REF!,$B183)&gt;0,COUNTIF(#REF!,$B183)=0),"SKIP",IF(COUNTIFS(#REF!,$B183,#REF!,$AO183)&gt;0,"OK","ONBEKEND")),IF(AND($CC183=$BZ183,$CD183=$CA183+1),IF(OR(COUNTIF(#REF!,$D183)&gt;0,COUNTIF(#REF!,$D183)=0),"SKIP",IF(COUNTIFS(#REF!,$D183,#REF!,$AO183)&gt;0,"OK","ONBEKEND")),"ONZEKER")))))</f>
        <v>ONZEKER</v>
      </c>
      <c r="AQ183" s="2" t="s">
        <v>34</v>
      </c>
      <c r="AR183" s="2" t="s">
        <v>35</v>
      </c>
      <c r="AS183" s="2" t="str">
        <f>IF($AR183="","",IF(OR($CF183="",$CG183=""),"ONZEKER",IF(OR($CC183="",$CD183=""),"ONZEKER",IF(AND($CF183=$CC183+1,$CG183=$CD183),IF(OR(COUNTIF(#REF!,$B183)&gt;0,COUNTIF(#REF!,$B183)=0),"SKIP",IF(COUNTIFS(#REF!,$B183,#REF!,$AR183)&gt;0,"OK","ONBEKEND")),IF(AND($CF183=$CC183,$CG183=$CD183+1),IF(OR(COUNTIF(#REF!,$D183)&gt;0,COUNTIF(#REF!,$D183)=0),"SKIP",IF(COUNTIFS(#REF!,$D183,#REF!,$AR183)&gt;0,"OK","ONBEKEND")),"ONZEKER")))))</f>
        <v>ONZEKER</v>
      </c>
      <c r="AT183" s="2" t="s">
        <v>37</v>
      </c>
      <c r="AU183" s="2" t="s">
        <v>38</v>
      </c>
      <c r="AV183" s="2" t="s">
        <v>39</v>
      </c>
      <c r="AW183" s="2" t="s">
        <v>40</v>
      </c>
      <c r="AX183" s="2" t="s">
        <v>41</v>
      </c>
      <c r="AY183" s="2" t="s">
        <v>42</v>
      </c>
      <c r="AZ183" s="2" t="s">
        <v>43</v>
      </c>
      <c r="BA183" s="2" t="s">
        <v>44</v>
      </c>
      <c r="BB183" s="2" t="s">
        <v>45</v>
      </c>
      <c r="BC183" s="2" t="s">
        <v>46</v>
      </c>
      <c r="BD183" t="str">
        <f t="shared" si="980"/>
        <v/>
      </c>
      <c r="BE183" t="str">
        <f t="shared" si="981"/>
        <v/>
      </c>
      <c r="BF183" t="str">
        <f t="shared" si="982"/>
        <v/>
      </c>
      <c r="BG183" t="str">
        <f t="shared" si="983"/>
        <v/>
      </c>
      <c r="BH183" t="str">
        <f t="shared" si="984"/>
        <v/>
      </c>
      <c r="BI183" t="str">
        <f t="shared" si="985"/>
        <v/>
      </c>
      <c r="BJ183" t="str">
        <f t="shared" si="986"/>
        <v/>
      </c>
      <c r="BK183" t="str">
        <f t="shared" si="987"/>
        <v/>
      </c>
      <c r="BL183" t="str">
        <f t="shared" si="988"/>
        <v/>
      </c>
      <c r="BM183" t="str">
        <f t="shared" si="989"/>
        <v/>
      </c>
      <c r="BN183" t="str">
        <f t="shared" si="990"/>
        <v/>
      </c>
      <c r="BO183" t="str">
        <f t="shared" si="991"/>
        <v/>
      </c>
      <c r="BP183" t="str">
        <f t="shared" si="992"/>
        <v/>
      </c>
      <c r="BQ183" t="str">
        <f t="shared" si="993"/>
        <v/>
      </c>
      <c r="BR183" t="str">
        <f t="shared" si="994"/>
        <v/>
      </c>
      <c r="BS183" t="str">
        <f t="shared" si="995"/>
        <v/>
      </c>
      <c r="BT183" t="str">
        <f t="shared" si="996"/>
        <v/>
      </c>
      <c r="BU183" t="str">
        <f t="shared" si="997"/>
        <v/>
      </c>
      <c r="BV183" t="str">
        <f t="shared" si="998"/>
        <v/>
      </c>
      <c r="BW183" t="str">
        <f t="shared" si="999"/>
        <v/>
      </c>
      <c r="BX183" t="str">
        <f t="shared" si="1000"/>
        <v/>
      </c>
      <c r="BY183" t="str">
        <f t="shared" si="1001"/>
        <v/>
      </c>
      <c r="BZ183" t="str">
        <f t="shared" si="1002"/>
        <v/>
      </c>
      <c r="CA183" t="str">
        <f t="shared" si="1003"/>
        <v/>
      </c>
      <c r="CB183" t="str">
        <f t="shared" si="1004"/>
        <v/>
      </c>
      <c r="CC183" t="str">
        <f t="shared" si="1005"/>
        <v/>
      </c>
      <c r="CD183" t="str">
        <f t="shared" si="1006"/>
        <v/>
      </c>
      <c r="CE183" t="str">
        <f t="shared" si="1007"/>
        <v/>
      </c>
      <c r="CF183" t="str">
        <f t="shared" si="1008"/>
        <v/>
      </c>
      <c r="CG183" t="str">
        <f t="shared" si="1009"/>
        <v/>
      </c>
      <c r="CH183" s="2" t="s">
        <v>77</v>
      </c>
      <c r="CI183" s="2" t="s">
        <v>78</v>
      </c>
      <c r="CJ183" s="2" t="s">
        <v>79</v>
      </c>
      <c r="CK183" s="2" t="s">
        <v>80</v>
      </c>
      <c r="CL183" s="2" t="s">
        <v>81</v>
      </c>
      <c r="CM183" s="2" t="s">
        <v>82</v>
      </c>
      <c r="CN183" s="2" t="s">
        <v>83</v>
      </c>
      <c r="CO183" s="2" t="s">
        <v>84</v>
      </c>
      <c r="CP183" s="2" t="s">
        <v>85</v>
      </c>
      <c r="CQ183" s="2" t="s">
        <v>86</v>
      </c>
      <c r="CR183" s="2" t="s">
        <v>87</v>
      </c>
      <c r="CS183" s="2" t="s">
        <v>88</v>
      </c>
      <c r="CT183" s="2" t="s">
        <v>89</v>
      </c>
      <c r="CU183" s="2" t="s">
        <v>90</v>
      </c>
      <c r="CV183" s="2" t="s">
        <v>91</v>
      </c>
      <c r="CW183" s="2" t="s">
        <v>92</v>
      </c>
      <c r="CX183" s="2" t="s">
        <v>93</v>
      </c>
      <c r="CY183" s="2" t="s">
        <v>94</v>
      </c>
      <c r="CZ183" s="2" t="s">
        <v>95</v>
      </c>
      <c r="DA183" s="2" t="s">
        <v>96</v>
      </c>
      <c r="DB183" s="2" t="s">
        <v>97</v>
      </c>
      <c r="DC183" s="2" t="s">
        <v>98</v>
      </c>
      <c r="DD183" s="2" t="s">
        <v>99</v>
      </c>
      <c r="DE183" s="2" t="s">
        <v>100</v>
      </c>
      <c r="DF183" s="2" t="s">
        <v>101</v>
      </c>
      <c r="DG183" s="2" t="s">
        <v>102</v>
      </c>
      <c r="DH183" s="2" t="s">
        <v>103</v>
      </c>
      <c r="DI183" s="2" t="s">
        <v>104</v>
      </c>
      <c r="DJ183" s="2" t="s">
        <v>105</v>
      </c>
      <c r="DK183" s="2" t="s">
        <v>106</v>
      </c>
      <c r="DL183" s="2" t="s">
        <v>107</v>
      </c>
      <c r="DM183" s="2" t="s">
        <v>108</v>
      </c>
      <c r="DN183" s="2" t="s">
        <v>109</v>
      </c>
      <c r="DO183" s="2" t="s">
        <v>110</v>
      </c>
      <c r="DP183" s="2" t="s">
        <v>111</v>
      </c>
      <c r="DQ183" s="2" t="s">
        <v>112</v>
      </c>
      <c r="DR183" s="2" t="s">
        <v>113</v>
      </c>
      <c r="DS183" s="2" t="s">
        <v>114</v>
      </c>
      <c r="DT183" s="2" t="s">
        <v>115</v>
      </c>
      <c r="DU183" s="2" t="s">
        <v>116</v>
      </c>
      <c r="DV183" s="2" t="s">
        <v>117</v>
      </c>
      <c r="DW183" s="2" t="s">
        <v>118</v>
      </c>
      <c r="DX183" s="2" t="s">
        <v>119</v>
      </c>
      <c r="DY183" s="2" t="s">
        <v>120</v>
      </c>
      <c r="DZ183" s="2" t="s">
        <v>121</v>
      </c>
      <c r="EA183" s="2" t="s">
        <v>122</v>
      </c>
      <c r="EB183" s="2" t="s">
        <v>123</v>
      </c>
      <c r="EC183" s="2" t="s">
        <v>124</v>
      </c>
      <c r="ED183" s="2" t="s">
        <v>125</v>
      </c>
      <c r="EE183" s="2" t="s">
        <v>126</v>
      </c>
      <c r="EF183" s="2" t="s">
        <v>127</v>
      </c>
      <c r="EG183" s="2" t="s">
        <v>128</v>
      </c>
      <c r="EH183" s="2" t="s">
        <v>129</v>
      </c>
      <c r="EI183" s="2" t="s">
        <v>130</v>
      </c>
      <c r="EJ183" s="2" t="s">
        <v>131</v>
      </c>
      <c r="EK183" s="2" t="s">
        <v>132</v>
      </c>
      <c r="EL183" s="2" t="s">
        <v>133</v>
      </c>
      <c r="EM183" s="2" t="s">
        <v>134</v>
      </c>
      <c r="EN183" s="2" t="s">
        <v>135</v>
      </c>
      <c r="EO183" s="2" t="s">
        <v>136</v>
      </c>
      <c r="EP183" s="2" t="s">
        <v>137</v>
      </c>
      <c r="EQ183" s="2" t="s">
        <v>138</v>
      </c>
      <c r="ER183" s="2" t="s">
        <v>139</v>
      </c>
      <c r="ES183" s="2" t="s">
        <v>140</v>
      </c>
      <c r="ET183" s="2" t="s">
        <v>141</v>
      </c>
      <c r="EU183" s="2" t="s">
        <v>142</v>
      </c>
      <c r="EV183" s="2" t="s">
        <v>143</v>
      </c>
      <c r="EW183" s="2" t="s">
        <v>144</v>
      </c>
      <c r="EX183" s="2" t="s">
        <v>145</v>
      </c>
      <c r="EY183" s="2" t="s">
        <v>146</v>
      </c>
    </row>
    <row r="184" spans="1:155" ht="13.9" customHeight="1" x14ac:dyDescent="0.25">
      <c r="A184" s="7"/>
      <c r="B184" s="17"/>
      <c r="C184" s="8"/>
      <c r="D184" s="17"/>
      <c r="E184" s="8"/>
      <c r="F184" s="18">
        <v>0</v>
      </c>
      <c r="G184" s="7" t="s">
        <v>147</v>
      </c>
      <c r="H184" s="18">
        <v>0</v>
      </c>
      <c r="I184" s="19">
        <v>0</v>
      </c>
      <c r="J184" s="7" t="s">
        <v>147</v>
      </c>
      <c r="K184" s="19">
        <v>0</v>
      </c>
      <c r="L184" s="9"/>
      <c r="M184" s="3" t="str">
        <f>IF($L184="","",IF($L184="DOELPUNTENMAKERS","",IF(AND(COUNTIF(#REF!,$B184)=0,COUNTIF(#REF!,$D184)=0),"OK",IF($O184&gt;20,"LET OP: meer dan 20 items (controle onvolledig)",IF((COUNTIF($R184:$AS184,"ONZEKER")+COUNTIF($CJ184:$DK184,"ONZEKER"))&gt;0,"LET OP: scoreverloop onduidelijk (controle beperkt)",IF((IF($AT184&lt;&gt;"",$AT184&amp;", ","")&amp;IF($AU184&lt;&gt;"",$AU184&amp;", ","")&amp;IF($AV184&lt;&gt;"",$AV184&amp;", ","")&amp;IF($AW184&lt;&gt;"",$AW184&amp;", ","")&amp;IF($AX184&lt;&gt;"",$AX184&amp;", ","")&amp;IF($AY184&lt;&gt;"",$AY184&amp;", ","")&amp;IF($AZ184&lt;&gt;"",$AZ184&amp;", ","")&amp;IF($BA184&lt;&gt;"",$BA184&amp;", ","")&amp;IF($BB184&lt;&gt;"",$BB184&amp;", ","")&amp;IF($BC184&lt;&gt;"",$BC184&amp;", ","")&amp;IF($DL184&lt;&gt;"",$DL184&amp;", ","")&amp;IF($DM184&lt;&gt;"",$DM184&amp;", ","")&amp;IF($DN184&lt;&gt;"",$DN184&amp;", ","")&amp;IF($DO184&lt;&gt;"",$DO184&amp;", ","")&amp;IF($DP184&lt;&gt;"",$DP184&amp;", ","")&amp;IF($DQ184&lt;&gt;"",$DQ184&amp;", ","")&amp;IF($DR184&lt;&gt;"",$DR184&amp;", ","")&amp;IF($DS184&lt;&gt;"",$DS184&amp;", ","")&amp;IF($DT184&lt;&gt;"",$DT184&amp;", ","")&amp;IF($DU184&lt;&gt;"",$DU184&amp;", ",""))="","OK","Onbekend: "&amp;LEFT((IF($AT184&lt;&gt;"",$AT184&amp;", ","")&amp;IF($AU184&lt;&gt;"",$AU184&amp;", ","")&amp;IF($AV184&lt;&gt;"",$AV184&amp;", ","")&amp;IF($AW184&lt;&gt;"",$AW184&amp;", ","")&amp;IF($AX184&lt;&gt;"",$AX184&amp;", ","")&amp;IF($AY184&lt;&gt;"",$AY184&amp;", ","")&amp;IF($AZ184&lt;&gt;"",$AZ184&amp;", ","")&amp;IF($BA184&lt;&gt;"",$BA184&amp;", ","")&amp;IF($BB184&lt;&gt;"",$BB184&amp;", ","")&amp;IF($BC184&lt;&gt;"",$BC184&amp;", ","")&amp;IF($DL184&lt;&gt;"",$DL184&amp;", ","")&amp;IF($DM184&lt;&gt;"",$DM184&amp;", ","")&amp;IF($DN184&lt;&gt;"",$DN184&amp;", ","")&amp;IF($DO184&lt;&gt;"",$DO184&amp;", ","")&amp;IF($DP184&lt;&gt;"",$DP184&amp;", ","")&amp;IF($DQ184&lt;&gt;"",$DQ184&amp;", ","")&amp;IF($DR184&lt;&gt;"",$DR184&amp;", ","")&amp;IF($DS184&lt;&gt;"",$DS184&amp;", ","")&amp;IF($DT184&lt;&gt;"",$DT184&amp;", ","")&amp;IF($DU184&lt;&gt;"",$DU184&amp;", ","")),LEN((IF($AT184&lt;&gt;"",$AT184&amp;", ","")&amp;IF($AU184&lt;&gt;"",$AU184&amp;", ","")&amp;IF($AV184&lt;&gt;"",$AV184&amp;", ","")&amp;IF($AW184&lt;&gt;"",$AW184&amp;", ","")&amp;IF($AX184&lt;&gt;"",$AX184&amp;", ","")&amp;IF($AY184&lt;&gt;"",$AY184&amp;", ","")&amp;IF($AZ184&lt;&gt;"",$AZ184&amp;", ","")&amp;IF($BA184&lt;&gt;"",$BA184&amp;", ","")&amp;IF($BB184&lt;&gt;"",$BB184&amp;", ","")&amp;IF($BC184&lt;&gt;"",$BC184&amp;", ","")&amp;IF($DL184&lt;&gt;"",$DL184&amp;", ","")&amp;IF($DM184&lt;&gt;"",$DM184&amp;", ","")&amp;IF($DN184&lt;&gt;"",$DN184&amp;", ","")&amp;IF($DO184&lt;&gt;"",$DO184&amp;", ","")&amp;IF($DP184&lt;&gt;"",$DP184&amp;", ","")&amp;IF($DQ184&lt;&gt;"",$DQ184&amp;", ","")&amp;IF($DR184&lt;&gt;"",$DR184&amp;", ","")&amp;IF($DS184&lt;&gt;"",$DS184&amp;", ","")&amp;IF($DT184&lt;&gt;"",$DT184&amp;", ","")&amp;IF($DU184&lt;&gt;"",$DU184&amp;", ","")))-2)))))))</f>
        <v/>
      </c>
      <c r="N184" t="str">
        <f t="shared" ref="N184:N195" si="1378">IF($L184="","",TRIM(IF(RIGHT(SUBSTITUTE($L184,CHAR(160)," "),1)=".",LEFT(SUBSTITUTE($L184,CHAR(160)," "),LEN(SUBSTITUTE($L184,CHAR(160)," "))-1),SUBSTITUTE($L184,CHAR(160)," "))))</f>
        <v/>
      </c>
      <c r="O184" t="str">
        <f t="shared" ref="O184:O195" si="1379">IF($N184="","",LEN($N184)-LEN(SUBSTITUTE($N184,",",""))+1)</f>
        <v/>
      </c>
      <c r="P184" t="str">
        <f t="shared" ref="P184:P195" si="1380">IF($N184="","",TRIM(MID(SUBSTITUTE($N184,",",REPT(" ",200)),1,200)))</f>
        <v/>
      </c>
      <c r="Q184" t="str">
        <f t="shared" ref="Q184:Q195" si="1381">IF(P184="","",TRIM(IFERROR(LEFT(P184,FIND("§",SUBSTITUTE(P184," ","§",LEN(P184)-LEN(SUBSTITUTE(P184," ",""))))-1),P184)))</f>
        <v/>
      </c>
      <c r="R184" t="str">
        <f>IF($Q184="","",IF(OR($BE184="",$BF184=""),"ONZEKER",IF(AND($BE184=0+1,$BF184=0),IF(OR(COUNTIF(#REF!,$B184)&gt;0,COUNTIF(#REF!,$B184)=0),"SKIP",IF(COUNTIFS(#REF!,$B184,#REF!,$Q184)&gt;0,"OK","ONBEKEND")),IF(AND($BE184=0,$BF184=0+1),IF(OR(COUNTIF(#REF!,$D184)&gt;0,COUNTIF(#REF!,$D184)=0),"SKIP",IF(COUNTIFS(#REF!,$D184,#REF!,$Q184)&gt;0,"OK","ONBEKEND")),"ONZEKER"))))</f>
        <v/>
      </c>
      <c r="S184" t="str">
        <f t="shared" ref="S184:S195" si="1382">IF($N184="","",TRIM(MID(SUBSTITUTE($N184,",",REPT(" ",200)),201,200)))</f>
        <v/>
      </c>
      <c r="T184" t="str">
        <f t="shared" ref="T184:T195" si="1383">IF(S184="","",TRIM(IFERROR(LEFT(S184,FIND("§",SUBSTITUTE(S184," ","§",LEN(S184)-LEN(SUBSTITUTE(S184," ",""))))-1),S184)))</f>
        <v/>
      </c>
      <c r="U184" t="str">
        <f>IF($T184="","",IF(OR($BH184="",$BI184=""),"ONZEKER",IF(OR($BE184="",$BF184=""),"ONZEKER",IF(AND($BH184=$BE184+1,$BI184=$BF184),IF(OR(COUNTIF(#REF!,$B184)&gt;0,COUNTIF(#REF!,$B184)=0),"SKIP",IF(COUNTIFS(#REF!,$B184,#REF!,$T184)&gt;0,"OK","ONBEKEND")),IF(AND($BH184=$BE184,$BI184=$BF184+1),IF(OR(COUNTIF(#REF!,$D184)&gt;0,COUNTIF(#REF!,$D184)=0),"SKIP",IF(COUNTIFS(#REF!,$D184,#REF!,$T184)&gt;0,"OK","ONBEKEND")),"ONZEKER")))))</f>
        <v/>
      </c>
      <c r="V184" t="str">
        <f t="shared" ref="V184:V195" si="1384">IF($N184="","",TRIM(MID(SUBSTITUTE($N184,",",REPT(" ",200)),401,200)))</f>
        <v/>
      </c>
      <c r="W184" t="str">
        <f t="shared" ref="W184:W195" si="1385">IF(V184="","",TRIM(IFERROR(LEFT(V184,FIND("§",SUBSTITUTE(V184," ","§",LEN(V184)-LEN(SUBSTITUTE(V184," ",""))))-1),V184)))</f>
        <v/>
      </c>
      <c r="X184" t="str">
        <f>IF($W184="","",IF(OR($BK184="",$BL184=""),"ONZEKER",IF(OR($BH184="",$BI184=""),"ONZEKER",IF(AND($BK184=$BH184+1,$BL184=$BI184),IF(OR(COUNTIF(#REF!,$B184)&gt;0,COUNTIF(#REF!,$B184)=0),"SKIP",IF(COUNTIFS(#REF!,$B184,#REF!,$W184)&gt;0,"OK","ONBEKEND")),IF(AND($BK184=$BH184,$BL184=$BI184+1),IF(OR(COUNTIF(#REF!,$D184)&gt;0,COUNTIF(#REF!,$D184)=0),"SKIP",IF(COUNTIFS(#REF!,$D184,#REF!,$W184)&gt;0,"OK","ONBEKEND")),"ONZEKER")))))</f>
        <v/>
      </c>
      <c r="Y184" t="str">
        <f t="shared" ref="Y184:Y195" si="1386">IF($N184="","",TRIM(MID(SUBSTITUTE($N184,",",REPT(" ",200)),601,200)))</f>
        <v/>
      </c>
      <c r="Z184" t="str">
        <f t="shared" ref="Z184:Z195" si="1387">IF(Y184="","",TRIM(IFERROR(LEFT(Y184,FIND("§",SUBSTITUTE(Y184," ","§",LEN(Y184)-LEN(SUBSTITUTE(Y184," ",""))))-1),Y184)))</f>
        <v/>
      </c>
      <c r="AA184" t="str">
        <f>IF($Z184="","",IF(OR($BN184="",$BO184=""),"ONZEKER",IF(OR($BK184="",$BL184=""),"ONZEKER",IF(AND($BN184=$BK184+1,$BO184=$BL184),IF(OR(COUNTIF(#REF!,$B184)&gt;0,COUNTIF(#REF!,$B184)=0),"SKIP",IF(COUNTIFS(#REF!,$B184,#REF!,$Z184)&gt;0,"OK","ONBEKEND")),IF(AND($BN184=$BK184,$BO184=$BL184+1),IF(OR(COUNTIF(#REF!,$D184)&gt;0,COUNTIF(#REF!,$D184)=0),"SKIP",IF(COUNTIFS(#REF!,$D184,#REF!,$Z184)&gt;0,"OK","ONBEKEND")),"ONZEKER")))))</f>
        <v/>
      </c>
      <c r="AB184" t="str">
        <f t="shared" ref="AB184:AB195" si="1388">IF($N184="","",TRIM(MID(SUBSTITUTE($N184,",",REPT(" ",200)),801,200)))</f>
        <v/>
      </c>
      <c r="AC184" t="str">
        <f t="shared" ref="AC184:AC195" si="1389">IF(AB184="","",TRIM(IFERROR(LEFT(AB184,FIND("§",SUBSTITUTE(AB184," ","§",LEN(AB184)-LEN(SUBSTITUTE(AB184," ",""))))-1),AB184)))</f>
        <v/>
      </c>
      <c r="AD184" t="str">
        <f>IF($AC184="","",IF(OR($BQ184="",$BR184=""),"ONZEKER",IF(OR($BN184="",$BO184=""),"ONZEKER",IF(AND($BQ184=$BN184+1,$BR184=$BO184),IF(OR(COUNTIF(#REF!,$B184)&gt;0,COUNTIF(#REF!,$B184)=0),"SKIP",IF(COUNTIFS(#REF!,$B184,#REF!,$AC184)&gt;0,"OK","ONBEKEND")),IF(AND($BQ184=$BN184,$BR184=$BO184+1),IF(OR(COUNTIF(#REF!,$D184)&gt;0,COUNTIF(#REF!,$D184)=0),"SKIP",IF(COUNTIFS(#REF!,$D184,#REF!,$AC184)&gt;0,"OK","ONBEKEND")),"ONZEKER")))))</f>
        <v/>
      </c>
      <c r="AE184" t="str">
        <f t="shared" ref="AE184:AE195" si="1390">IF($N184="","",TRIM(MID(SUBSTITUTE($N184,",",REPT(" ",200)),1001,200)))</f>
        <v/>
      </c>
      <c r="AF184" t="str">
        <f t="shared" ref="AF184:AF195" si="1391">IF(AE184="","",TRIM(IFERROR(LEFT(AE184,FIND("§",SUBSTITUTE(AE184," ","§",LEN(AE184)-LEN(SUBSTITUTE(AE184," ",""))))-1),AE184)))</f>
        <v/>
      </c>
      <c r="AG184" t="str">
        <f>IF($AF184="","",IF(OR($BT184="",$BU184=""),"ONZEKER",IF(OR($BQ184="",$BR184=""),"ONZEKER",IF(AND($BT184=$BQ184+1,$BU184=$BR184),IF(OR(COUNTIF(#REF!,$B184)&gt;0,COUNTIF(#REF!,$B184)=0),"SKIP",IF(COUNTIFS(#REF!,$B184,#REF!,$AF184)&gt;0,"OK","ONBEKEND")),IF(AND($BT184=$BQ184,$BU184=$BR184+1),IF(OR(COUNTIF(#REF!,$D184)&gt;0,COUNTIF(#REF!,$D184)=0),"SKIP",IF(COUNTIFS(#REF!,$D184,#REF!,$AF184)&gt;0,"OK","ONBEKEND")),"ONZEKER")))))</f>
        <v/>
      </c>
      <c r="AH184" t="str">
        <f t="shared" ref="AH184:AH195" si="1392">IF($N184="","",TRIM(MID(SUBSTITUTE($N184,",",REPT(" ",200)),1201,200)))</f>
        <v/>
      </c>
      <c r="AI184" t="str">
        <f t="shared" ref="AI184:AI195" si="1393">IF(AH184="","",TRIM(IFERROR(LEFT(AH184,FIND("§",SUBSTITUTE(AH184," ","§",LEN(AH184)-LEN(SUBSTITUTE(AH184," ",""))))-1),AH184)))</f>
        <v/>
      </c>
      <c r="AJ184" t="str">
        <f>IF($AI184="","",IF(OR($BW184="",$BX184=""),"ONZEKER",IF(OR($BT184="",$BU184=""),"ONZEKER",IF(AND($BW184=$BT184+1,$BX184=$BU184),IF(OR(COUNTIF(#REF!,$B184)&gt;0,COUNTIF(#REF!,$B184)=0),"SKIP",IF(COUNTIFS(#REF!,$B184,#REF!,$AI184)&gt;0,"OK","ONBEKEND")),IF(AND($BW184=$BT184,$BX184=$BU184+1),IF(OR(COUNTIF(#REF!,$D184)&gt;0,COUNTIF(#REF!,$D184)=0),"SKIP",IF(COUNTIFS(#REF!,$D184,#REF!,$AI184)&gt;0,"OK","ONBEKEND")),"ONZEKER")))))</f>
        <v/>
      </c>
      <c r="AK184" t="str">
        <f t="shared" ref="AK184:AK195" si="1394">IF($N184="","",TRIM(MID(SUBSTITUTE($N184,",",REPT(" ",200)),1401,200)))</f>
        <v/>
      </c>
      <c r="AL184" t="str">
        <f t="shared" ref="AL184:AL195" si="1395">IF(AK184="","",TRIM(IFERROR(LEFT(AK184,FIND("§",SUBSTITUTE(AK184," ","§",LEN(AK184)-LEN(SUBSTITUTE(AK184," ",""))))-1),AK184)))</f>
        <v/>
      </c>
      <c r="AM184" t="str">
        <f>IF($AL184="","",IF(OR($BZ184="",$CA184=""),"ONZEKER",IF(OR($BW184="",$BX184=""),"ONZEKER",IF(AND($BZ184=$BW184+1,$CA184=$BX184),IF(OR(COUNTIF(#REF!,$B184)&gt;0,COUNTIF(#REF!,$B184)=0),"SKIP",IF(COUNTIFS(#REF!,$B184,#REF!,$AL184)&gt;0,"OK","ONBEKEND")),IF(AND($BZ184=$BW184,$CA184=$BX184+1),IF(OR(COUNTIF(#REF!,$D184)&gt;0,COUNTIF(#REF!,$D184)=0),"SKIP",IF(COUNTIFS(#REF!,$D184,#REF!,$AL184)&gt;0,"OK","ONBEKEND")),"ONZEKER")))))</f>
        <v/>
      </c>
      <c r="AN184" t="str">
        <f t="shared" ref="AN184:AN195" si="1396">IF($N184="","",TRIM(MID(SUBSTITUTE($N184,",",REPT(" ",200)),1601,200)))</f>
        <v/>
      </c>
      <c r="AO184" t="str">
        <f t="shared" ref="AO184:AO195" si="1397">IF(AN184="","",TRIM(IFERROR(LEFT(AN184,FIND("§",SUBSTITUTE(AN184," ","§",LEN(AN184)-LEN(SUBSTITUTE(AN184," ",""))))-1),AN184)))</f>
        <v/>
      </c>
      <c r="AP184" t="str">
        <f>IF($AO184="","",IF(OR($CC184="",$CD184=""),"ONZEKER",IF(OR($BZ184="",$CA184=""),"ONZEKER",IF(AND($CC184=$BZ184+1,$CD184=$CA184),IF(OR(COUNTIF(#REF!,$B184)&gt;0,COUNTIF(#REF!,$B184)=0),"SKIP",IF(COUNTIFS(#REF!,$B184,#REF!,$AO184)&gt;0,"OK","ONBEKEND")),IF(AND($CC184=$BZ184,$CD184=$CA184+1),IF(OR(COUNTIF(#REF!,$D184)&gt;0,COUNTIF(#REF!,$D184)=0),"SKIP",IF(COUNTIFS(#REF!,$D184,#REF!,$AO184)&gt;0,"OK","ONBEKEND")),"ONZEKER")))))</f>
        <v/>
      </c>
      <c r="AQ184" t="str">
        <f t="shared" ref="AQ184:AQ195" si="1398">IF($N184="","",TRIM(MID(SUBSTITUTE($N184,",",REPT(" ",200)),1801,200)))</f>
        <v/>
      </c>
      <c r="AR184" t="str">
        <f t="shared" ref="AR184:AR195" si="1399">IF(AQ184="","",TRIM(IFERROR(LEFT(AQ184,FIND("§",SUBSTITUTE(AQ184," ","§",LEN(AQ184)-LEN(SUBSTITUTE(AQ184," ",""))))-1),AQ184)))</f>
        <v/>
      </c>
      <c r="AS184" t="str">
        <f>IF($AR184="","",IF(OR($CF184="",$CG184=""),"ONZEKER",IF(OR($CC184="",$CD184=""),"ONZEKER",IF(AND($CF184=$CC184+1,$CG184=$CD184),IF(OR(COUNTIF(#REF!,$B184)&gt;0,COUNTIF(#REF!,$B184)=0),"SKIP",IF(COUNTIFS(#REF!,$B184,#REF!,$AR184)&gt;0,"OK","ONBEKEND")),IF(AND($CF184=$CC184,$CG184=$CD184+1),IF(OR(COUNTIF(#REF!,$D184)&gt;0,COUNTIF(#REF!,$D184)=0),"SKIP",IF(COUNTIFS(#REF!,$D184,#REF!,$AR184)&gt;0,"OK","ONBEKEND")),"ONZEKER")))))</f>
        <v/>
      </c>
      <c r="AT184" t="str">
        <f t="shared" ref="AT184:AT195" si="1400">IF(R184="ONBEKEND",Q184,"")</f>
        <v/>
      </c>
      <c r="AU184" t="str">
        <f t="shared" ref="AU184:AU195" si="1401">IF(U184="ONBEKEND",T184,"")</f>
        <v/>
      </c>
      <c r="AV184" t="str">
        <f t="shared" ref="AV184:AV195" si="1402">IF(X184="ONBEKEND",W184,"")</f>
        <v/>
      </c>
      <c r="AW184" t="str">
        <f t="shared" ref="AW184:AW195" si="1403">IF(AA184="ONBEKEND",Z184,"")</f>
        <v/>
      </c>
      <c r="AX184" t="str">
        <f t="shared" ref="AX184:AX195" si="1404">IF(AD184="ONBEKEND",AC184,"")</f>
        <v/>
      </c>
      <c r="AY184" t="str">
        <f t="shared" ref="AY184:AY195" si="1405">IF(AG184="ONBEKEND",AF184,"")</f>
        <v/>
      </c>
      <c r="AZ184" t="str">
        <f t="shared" ref="AZ184:AZ195" si="1406">IF(AJ184="ONBEKEND",AI184,"")</f>
        <v/>
      </c>
      <c r="BA184" t="str">
        <f t="shared" ref="BA184:BA195" si="1407">IF(AM184="ONBEKEND",AL184,"")</f>
        <v/>
      </c>
      <c r="BB184" t="str">
        <f t="shared" ref="BB184:BB195" si="1408">IF(AP184="ONBEKEND",AO184,"")</f>
        <v/>
      </c>
      <c r="BC184" t="str">
        <f t="shared" ref="BC184:BC195" si="1409">IF(AS184="ONBEKEND",AR184,"")</f>
        <v/>
      </c>
      <c r="BD184" t="str">
        <f t="shared" si="980"/>
        <v/>
      </c>
      <c r="BE184" t="str">
        <f t="shared" si="981"/>
        <v/>
      </c>
      <c r="BF184" t="str">
        <f t="shared" si="982"/>
        <v/>
      </c>
      <c r="BG184" t="str">
        <f t="shared" si="983"/>
        <v/>
      </c>
      <c r="BH184" t="str">
        <f t="shared" si="984"/>
        <v/>
      </c>
      <c r="BI184" t="str">
        <f t="shared" si="985"/>
        <v/>
      </c>
      <c r="BJ184" t="str">
        <f t="shared" si="986"/>
        <v/>
      </c>
      <c r="BK184" t="str">
        <f t="shared" si="987"/>
        <v/>
      </c>
      <c r="BL184" t="str">
        <f t="shared" si="988"/>
        <v/>
      </c>
      <c r="BM184" t="str">
        <f t="shared" si="989"/>
        <v/>
      </c>
      <c r="BN184" t="str">
        <f t="shared" si="990"/>
        <v/>
      </c>
      <c r="BO184" t="str">
        <f t="shared" si="991"/>
        <v/>
      </c>
      <c r="BP184" t="str">
        <f t="shared" si="992"/>
        <v/>
      </c>
      <c r="BQ184" t="str">
        <f t="shared" si="993"/>
        <v/>
      </c>
      <c r="BR184" t="str">
        <f t="shared" si="994"/>
        <v/>
      </c>
      <c r="BS184" t="str">
        <f t="shared" si="995"/>
        <v/>
      </c>
      <c r="BT184" t="str">
        <f t="shared" si="996"/>
        <v/>
      </c>
      <c r="BU184" t="str">
        <f t="shared" si="997"/>
        <v/>
      </c>
      <c r="BV184" t="str">
        <f t="shared" si="998"/>
        <v/>
      </c>
      <c r="BW184" t="str">
        <f t="shared" si="999"/>
        <v/>
      </c>
      <c r="BX184" t="str">
        <f t="shared" si="1000"/>
        <v/>
      </c>
      <c r="BY184" t="str">
        <f t="shared" si="1001"/>
        <v/>
      </c>
      <c r="BZ184" t="str">
        <f t="shared" si="1002"/>
        <v/>
      </c>
      <c r="CA184" t="str">
        <f t="shared" si="1003"/>
        <v/>
      </c>
      <c r="CB184" t="str">
        <f t="shared" si="1004"/>
        <v/>
      </c>
      <c r="CC184" t="str">
        <f t="shared" si="1005"/>
        <v/>
      </c>
      <c r="CD184" t="str">
        <f t="shared" si="1006"/>
        <v/>
      </c>
      <c r="CE184" t="str">
        <f t="shared" si="1007"/>
        <v/>
      </c>
      <c r="CF184" t="str">
        <f t="shared" si="1008"/>
        <v/>
      </c>
      <c r="CG184" t="str">
        <f t="shared" si="1009"/>
        <v/>
      </c>
      <c r="CH184" t="str">
        <f t="shared" ref="CH184:CH195" si="1410">IF($N184="","",TRIM(MID(SUBSTITUTE($N184,",",REPT(" ",200)),2001,200)))</f>
        <v/>
      </c>
      <c r="CI184" t="str">
        <f t="shared" ref="CI184:CI195" si="1411">IF(CH184="","",TRIM(IFERROR(LEFT(CH184,FIND("§",SUBSTITUTE(CH184," ","§",LEN(CH184)-LEN(SUBSTITUTE(CH184," ",""))))-1),CH184)))</f>
        <v/>
      </c>
      <c r="CJ184" t="str">
        <f>IF($CI184="","",IF(OR($DW184="",$DX184=""),"ONZEKER",IF(OR($CF184="",$CG184=""),"ONZEKER",IF(AND($DW184=$CF184+1,$DX184=$CG184),IF(OR(COUNTIF(#REF!,$B184)&gt;0,COUNTIF(#REF!,$B184)=0),"SKIP",IF(COUNTIFS(#REF!,$B184,#REF!,$CI184)&gt;0,"OK","ONBEKEND")),IF(AND($DW184=$CF184,$DX184=$CG184+1),IF(OR(COUNTIF(#REF!,$D184)&gt;0,COUNTIF(#REF!,$D184)=0),"SKIP",IF(COUNTIFS(#REF!,$D184,#REF!,$CI184)&gt;0,"OK","ONBEKEND")),"ONZEKER")))))</f>
        <v/>
      </c>
      <c r="CK184" t="str">
        <f t="shared" ref="CK184:CK195" si="1412">IF($N184="","",TRIM(MID(SUBSTITUTE($N184,",",REPT(" ",200)),2201,200)))</f>
        <v/>
      </c>
      <c r="CL184" t="str">
        <f t="shared" ref="CL184:CL195" si="1413">IF(CK184="","",TRIM(IFERROR(LEFT(CK184,FIND("§",SUBSTITUTE(CK184," ","§",LEN(CK184)-LEN(SUBSTITUTE(CK184," ",""))))-1),CK184)))</f>
        <v/>
      </c>
      <c r="CM184" t="str">
        <f>IF($CL184="","",IF(OR($DZ184="",$EA184=""),"ONZEKER",IF(OR($DW184="",$DX184=""),"ONZEKER",IF(AND($DZ184=$DW184+1,$EA184=$DX184),IF(OR(COUNTIF(#REF!,$B184)&gt;0,COUNTIF(#REF!,$B184)=0),"SKIP",IF(COUNTIFS(#REF!,$B184,#REF!,$CL184)&gt;0,"OK","ONBEKEND")),IF(AND($DZ184=$DW184,$EA184=$DX184+1),IF(OR(COUNTIF(#REF!,$D184)&gt;0,COUNTIF(#REF!,$D184)=0),"SKIP",IF(COUNTIFS(#REF!,$D184,#REF!,$CL184)&gt;0,"OK","ONBEKEND")),"ONZEKER")))))</f>
        <v/>
      </c>
      <c r="CN184" t="str">
        <f t="shared" ref="CN184:CN195" si="1414">IF($N184="","",TRIM(MID(SUBSTITUTE($N184,",",REPT(" ",200)),2401,200)))</f>
        <v/>
      </c>
      <c r="CO184" t="str">
        <f t="shared" ref="CO184:CO195" si="1415">IF(CN184="","",TRIM(IFERROR(LEFT(CN184,FIND("§",SUBSTITUTE(CN184," ","§",LEN(CN184)-LEN(SUBSTITUTE(CN184," ",""))))-1),CN184)))</f>
        <v/>
      </c>
      <c r="CP184" t="str">
        <f>IF($CO184="","",IF(OR($EC184="",$ED184=""),"ONZEKER",IF(OR($DZ184="",$EA184=""),"ONZEKER",IF(AND($EC184=$DZ184+1,$ED184=$EA184),IF(OR(COUNTIF(#REF!,$B184)&gt;0,COUNTIF(#REF!,$B184)=0),"SKIP",IF(COUNTIFS(#REF!,$B184,#REF!,$CO184)&gt;0,"OK","ONBEKEND")),IF(AND($EC184=$DZ184,$ED184=$EA184+1),IF(OR(COUNTIF(#REF!,$D184)&gt;0,COUNTIF(#REF!,$D184)=0),"SKIP",IF(COUNTIFS(#REF!,$D184,#REF!,$CO184)&gt;0,"OK","ONBEKEND")),"ONZEKER")))))</f>
        <v/>
      </c>
      <c r="CQ184" t="str">
        <f t="shared" ref="CQ184:CQ195" si="1416">IF($N184="","",TRIM(MID(SUBSTITUTE($N184,",",REPT(" ",200)),2601,200)))</f>
        <v/>
      </c>
      <c r="CR184" t="str">
        <f t="shared" ref="CR184:CR195" si="1417">IF(CQ184="","",TRIM(IFERROR(LEFT(CQ184,FIND("§",SUBSTITUTE(CQ184," ","§",LEN(CQ184)-LEN(SUBSTITUTE(CQ184," ",""))))-1),CQ184)))</f>
        <v/>
      </c>
      <c r="CS184" t="str">
        <f>IF($CR184="","",IF(OR($EF184="",$EG184=""),"ONZEKER",IF(OR($EC184="",$ED184=""),"ONZEKER",IF(AND($EF184=$EC184+1,$EG184=$ED184),IF(OR(COUNTIF(#REF!,$B184)&gt;0,COUNTIF(#REF!,$B184)=0),"SKIP",IF(COUNTIFS(#REF!,$B184,#REF!,$CR184)&gt;0,"OK","ONBEKEND")),IF(AND($EF184=$EC184,$EG184=$ED184+1),IF(OR(COUNTIF(#REF!,$D184)&gt;0,COUNTIF(#REF!,$D184)=0),"SKIP",IF(COUNTIFS(#REF!,$D184,#REF!,$CR184)&gt;0,"OK","ONBEKEND")),"ONZEKER")))))</f>
        <v/>
      </c>
      <c r="CT184" t="str">
        <f t="shared" ref="CT184:CT195" si="1418">IF($N184="","",TRIM(MID(SUBSTITUTE($N184,",",REPT(" ",200)),2801,200)))</f>
        <v/>
      </c>
      <c r="CU184" t="str">
        <f t="shared" ref="CU184:CU195" si="1419">IF(CT184="","",TRIM(IFERROR(LEFT(CT184,FIND("§",SUBSTITUTE(CT184," ","§",LEN(CT184)-LEN(SUBSTITUTE(CT184," ",""))))-1),CT184)))</f>
        <v/>
      </c>
      <c r="CV184" t="str">
        <f>IF($CU184="","",IF(OR($EI184="",$EJ184=""),"ONZEKER",IF(OR($EF184="",$EG184=""),"ONZEKER",IF(AND($EI184=$EF184+1,$EJ184=$EG184),IF(OR(COUNTIF(#REF!,$B184)&gt;0,COUNTIF(#REF!,$B184)=0),"SKIP",IF(COUNTIFS(#REF!,$B184,#REF!,$CU184)&gt;0,"OK","ONBEKEND")),IF(AND($EI184=$EF184,$EJ184=$EG184+1),IF(OR(COUNTIF(#REF!,$D184)&gt;0,COUNTIF(#REF!,$D184)=0),"SKIP",IF(COUNTIFS(#REF!,$D184,#REF!,$CU184)&gt;0,"OK","ONBEKEND")),"ONZEKER")))))</f>
        <v/>
      </c>
      <c r="CW184" t="str">
        <f t="shared" ref="CW184:CW195" si="1420">IF($N184="","",TRIM(MID(SUBSTITUTE($N184,",",REPT(" ",200)),3001,200)))</f>
        <v/>
      </c>
      <c r="CX184" t="str">
        <f t="shared" ref="CX184:CX195" si="1421">IF(CW184="","",TRIM(IFERROR(LEFT(CW184,FIND("§",SUBSTITUTE(CW184," ","§",LEN(CW184)-LEN(SUBSTITUTE(CW184," ",""))))-1),CW184)))</f>
        <v/>
      </c>
      <c r="CY184" t="str">
        <f>IF($CX184="","",IF(OR($EL184="",$EM184=""),"ONZEKER",IF(OR($EI184="",$EJ184=""),"ONZEKER",IF(AND($EL184=$EI184+1,$EM184=$EJ184),IF(OR(COUNTIF(#REF!,$B184)&gt;0,COUNTIF(#REF!,$B184)=0),"SKIP",IF(COUNTIFS(#REF!,$B184,#REF!,$CX184)&gt;0,"OK","ONBEKEND")),IF(AND($EL184=$EI184,$EM184=$EJ184+1),IF(OR(COUNTIF(#REF!,$D184)&gt;0,COUNTIF(#REF!,$D184)=0),"SKIP",IF(COUNTIFS(#REF!,$D184,#REF!,$CX184)&gt;0,"OK","ONBEKEND")),"ONZEKER")))))</f>
        <v/>
      </c>
      <c r="CZ184" t="str">
        <f t="shared" ref="CZ184:CZ195" si="1422">IF($N184="","",TRIM(MID(SUBSTITUTE($N184,",",REPT(" ",200)),3201,200)))</f>
        <v/>
      </c>
      <c r="DA184" t="str">
        <f t="shared" ref="DA184:DA195" si="1423">IF(CZ184="","",TRIM(IFERROR(LEFT(CZ184,FIND("§",SUBSTITUTE(CZ184," ","§",LEN(CZ184)-LEN(SUBSTITUTE(CZ184," ",""))))-1),CZ184)))</f>
        <v/>
      </c>
      <c r="DB184" t="str">
        <f>IF($DA184="","",IF(OR($EO184="",$EP184=""),"ONZEKER",IF(OR($EL184="",$EM184=""),"ONZEKER",IF(AND($EO184=$EL184+1,$EP184=$EM184),IF(OR(COUNTIF(#REF!,$B184)&gt;0,COUNTIF(#REF!,$B184)=0),"SKIP",IF(COUNTIFS(#REF!,$B184,#REF!,$DA184)&gt;0,"OK","ONBEKEND")),IF(AND($EO184=$EL184,$EP184=$EM184+1),IF(OR(COUNTIF(#REF!,$D184)&gt;0,COUNTIF(#REF!,$D184)=0),"SKIP",IF(COUNTIFS(#REF!,$D184,#REF!,$DA184)&gt;0,"OK","ONBEKEND")),"ONZEKER")))))</f>
        <v/>
      </c>
      <c r="DC184" t="str">
        <f t="shared" ref="DC184:DC195" si="1424">IF($N184="","",TRIM(MID(SUBSTITUTE($N184,",",REPT(" ",200)),3401,200)))</f>
        <v/>
      </c>
      <c r="DD184" t="str">
        <f t="shared" ref="DD184:DD195" si="1425">IF(DC184="","",TRIM(IFERROR(LEFT(DC184,FIND("§",SUBSTITUTE(DC184," ","§",LEN(DC184)-LEN(SUBSTITUTE(DC184," ",""))))-1),DC184)))</f>
        <v/>
      </c>
      <c r="DE184" t="str">
        <f>IF($DD184="","",IF(OR($ER184="",$ES184=""),"ONZEKER",IF(OR($EO184="",$EP184=""),"ONZEKER",IF(AND($ER184=$EO184+1,$ES184=$EP184),IF(OR(COUNTIF(#REF!,$B184)&gt;0,COUNTIF(#REF!,$B184)=0),"SKIP",IF(COUNTIFS(#REF!,$B184,#REF!,$DD184)&gt;0,"OK","ONBEKEND")),IF(AND($ER184=$EO184,$ES184=$EP184+1),IF(OR(COUNTIF(#REF!,$D184)&gt;0,COUNTIF(#REF!,$D184)=0),"SKIP",IF(COUNTIFS(#REF!,$D184,#REF!,$DD184)&gt;0,"OK","ONBEKEND")),"ONZEKER")))))</f>
        <v/>
      </c>
      <c r="DF184" t="str">
        <f t="shared" ref="DF184:DF195" si="1426">IF($N184="","",TRIM(MID(SUBSTITUTE($N184,",",REPT(" ",200)),3601,200)))</f>
        <v/>
      </c>
      <c r="DG184" t="str">
        <f t="shared" ref="DG184:DG195" si="1427">IF(DF184="","",TRIM(IFERROR(LEFT(DF184,FIND("§",SUBSTITUTE(DF184," ","§",LEN(DF184)-LEN(SUBSTITUTE(DF184," ",""))))-1),DF184)))</f>
        <v/>
      </c>
      <c r="DH184" t="str">
        <f>IF($DG184="","",IF(OR($EU184="",$EV184=""),"ONZEKER",IF(OR($ER184="",$ES184=""),"ONZEKER",IF(AND($EU184=$ER184+1,$EV184=$ES184),IF(OR(COUNTIF(#REF!,$B184)&gt;0,COUNTIF(#REF!,$B184)=0),"SKIP",IF(COUNTIFS(#REF!,$B184,#REF!,$DG184)&gt;0,"OK","ONBEKEND")),IF(AND($EU184=$ER184,$EV184=$ES184+1),IF(OR(COUNTIF(#REF!,$D184)&gt;0,COUNTIF(#REF!,$D184)=0),"SKIP",IF(COUNTIFS(#REF!,$D184,#REF!,$DG184)&gt;0,"OK","ONBEKEND")),"ONZEKER")))))</f>
        <v/>
      </c>
      <c r="DI184" t="str">
        <f t="shared" ref="DI184:DI195" si="1428">IF($N184="","",TRIM(MID(SUBSTITUTE($N184,",",REPT(" ",200)),3801,200)))</f>
        <v/>
      </c>
      <c r="DJ184" t="str">
        <f t="shared" ref="DJ184:DJ195" si="1429">IF(DI184="","",TRIM(IFERROR(LEFT(DI184,FIND("§",SUBSTITUTE(DI184," ","§",LEN(DI184)-LEN(SUBSTITUTE(DI184," ",""))))-1),DI184)))</f>
        <v/>
      </c>
      <c r="DK184" t="str">
        <f>IF($DJ184="","",IF(OR($EX184="",$EY184=""),"ONZEKER",IF(OR($EU184="",$EV184=""),"ONZEKER",IF(AND($EX184=$EU184+1,$EY184=$EV184),IF(OR(COUNTIF(#REF!,$B184)&gt;0,COUNTIF(#REF!,$B184)=0),"SKIP",IF(COUNTIFS(#REF!,$B184,#REF!,$DJ184)&gt;0,"OK","ONBEKEND")),IF(AND($EX184=$EU184,$EY184=$EV184+1),IF(OR(COUNTIF(#REF!,$D184)&gt;0,COUNTIF(#REF!,$D184)=0),"SKIP",IF(COUNTIFS(#REF!,$D184,#REF!,$DJ184)&gt;0,"OK","ONBEKEND")),"ONZEKER")))))</f>
        <v/>
      </c>
      <c r="DL184" t="str">
        <f t="shared" ref="DL184:DL195" si="1430">IF($CJ184="ONBEKEND",$CI184,"")</f>
        <v/>
      </c>
      <c r="DM184" t="str">
        <f t="shared" ref="DM184:DM195" si="1431">IF($CM184="ONBEKEND",$CL184,"")</f>
        <v/>
      </c>
      <c r="DN184" t="str">
        <f t="shared" ref="DN184:DN195" si="1432">IF($CP184="ONBEKEND",$CO184,"")</f>
        <v/>
      </c>
      <c r="DO184" t="str">
        <f t="shared" ref="DO184:DO195" si="1433">IF($CS184="ONBEKEND",$CR184,"")</f>
        <v/>
      </c>
      <c r="DP184" t="str">
        <f t="shared" ref="DP184:DP195" si="1434">IF($CV184="ONBEKEND",$CU184,"")</f>
        <v/>
      </c>
      <c r="DQ184" t="str">
        <f t="shared" ref="DQ184:DQ195" si="1435">IF($CY184="ONBEKEND",$CX184,"")</f>
        <v/>
      </c>
      <c r="DR184" t="str">
        <f t="shared" ref="DR184:DR195" si="1436">IF($DB184="ONBEKEND",$DA184,"")</f>
        <v/>
      </c>
      <c r="DS184" t="str">
        <f t="shared" ref="DS184:DS195" si="1437">IF($DE184="ONBEKEND",$DD184,"")</f>
        <v/>
      </c>
      <c r="DT184" t="str">
        <f t="shared" ref="DT184:DT195" si="1438">IF($DH184="ONBEKEND",$DG184,"")</f>
        <v/>
      </c>
      <c r="DU184" t="str">
        <f t="shared" ref="DU184:DU195" si="1439">IF($DK184="ONBEKEND",$DJ184,"")</f>
        <v/>
      </c>
      <c r="DV184" t="str">
        <f t="shared" ref="DV184:DV195" si="1440">IF($CH184="","",TRIM(IFERROR(RIGHT($CH184,LEN($CH184)-FIND("§",SUBSTITUTE($CH184," ","§",LEN($CH184)-LEN(SUBSTITUTE($CH184," ",""))))),"")))</f>
        <v/>
      </c>
      <c r="DW184" t="str">
        <f t="shared" ref="DW184:DW195" si="1441">IF($DV184="","",IFERROR(VALUE(LEFT($DV184,FIND("-",$DV184)-1)),""))</f>
        <v/>
      </c>
      <c r="DX184" t="str">
        <f t="shared" ref="DX184:DX195" si="1442">IF($DV184="","",IFERROR(VALUE(MID($DV184,FIND("-",$DV184)+1,99)),""))</f>
        <v/>
      </c>
      <c r="DY184" t="str">
        <f t="shared" ref="DY184:DY195" si="1443">IF($CK184="","",TRIM(IFERROR(RIGHT($CK184,LEN($CK184)-FIND("§",SUBSTITUTE($CK184," ","§",LEN($CK184)-LEN(SUBSTITUTE($CK184," ",""))))),"")))</f>
        <v/>
      </c>
      <c r="DZ184" t="str">
        <f t="shared" ref="DZ184:DZ195" si="1444">IF($DY184="","",IFERROR(VALUE(LEFT($DY184,FIND("-",$DY184)-1)),""))</f>
        <v/>
      </c>
      <c r="EA184" t="str">
        <f t="shared" ref="EA184:EA195" si="1445">IF($DY184="","",IFERROR(VALUE(MID($DY184,FIND("-",$DY184)+1,99)),""))</f>
        <v/>
      </c>
      <c r="EB184" t="str">
        <f t="shared" ref="EB184:EB195" si="1446">IF($CN184="","",TRIM(IFERROR(RIGHT($CN184,LEN($CN184)-FIND("§",SUBSTITUTE($CN184," ","§",LEN($CN184)-LEN(SUBSTITUTE($CN184," ",""))))),"")))</f>
        <v/>
      </c>
      <c r="EC184" t="str">
        <f t="shared" ref="EC184:EC195" si="1447">IF($EB184="","",IFERROR(VALUE(LEFT($EB184,FIND("-",$EB184)-1)),""))</f>
        <v/>
      </c>
      <c r="ED184" t="str">
        <f t="shared" ref="ED184:ED195" si="1448">IF($EB184="","",IFERROR(VALUE(MID($EB184,FIND("-",$EB184)+1,99)),""))</f>
        <v/>
      </c>
      <c r="EE184" t="str">
        <f t="shared" ref="EE184:EE195" si="1449">IF($CQ184="","",TRIM(IFERROR(RIGHT($CQ184,LEN($CQ184)-FIND("§",SUBSTITUTE($CQ184," ","§",LEN($CQ184)-LEN(SUBSTITUTE($CQ184," ",""))))),"")))</f>
        <v/>
      </c>
      <c r="EF184" t="str">
        <f t="shared" ref="EF184:EF195" si="1450">IF($EE184="","",IFERROR(VALUE(LEFT($EE184,FIND("-",$EE184)-1)),""))</f>
        <v/>
      </c>
      <c r="EG184" t="str">
        <f t="shared" ref="EG184:EG195" si="1451">IF($EE184="","",IFERROR(VALUE(MID($EE184,FIND("-",$EE184)+1,99)),""))</f>
        <v/>
      </c>
      <c r="EH184" t="str">
        <f t="shared" ref="EH184:EH195" si="1452">IF($CT184="","",TRIM(IFERROR(RIGHT($CT184,LEN($CT184)-FIND("§",SUBSTITUTE($CT184," ","§",LEN($CT184)-LEN(SUBSTITUTE($CT184," ",""))))),"")))</f>
        <v/>
      </c>
      <c r="EI184" t="str">
        <f t="shared" ref="EI184:EI195" si="1453">IF($EH184="","",IFERROR(VALUE(LEFT($EH184,FIND("-",$EH184)-1)),""))</f>
        <v/>
      </c>
      <c r="EJ184" t="str">
        <f t="shared" ref="EJ184:EJ195" si="1454">IF($EH184="","",IFERROR(VALUE(MID($EH184,FIND("-",$EH184)+1,99)),""))</f>
        <v/>
      </c>
      <c r="EK184" t="str">
        <f t="shared" ref="EK184:EK195" si="1455">IF($CW184="","",TRIM(IFERROR(RIGHT($CW184,LEN($CW184)-FIND("§",SUBSTITUTE($CW184," ","§",LEN($CW184)-LEN(SUBSTITUTE($CW184," ",""))))),"")))</f>
        <v/>
      </c>
      <c r="EL184" t="str">
        <f t="shared" ref="EL184:EL195" si="1456">IF($EK184="","",IFERROR(VALUE(LEFT($EK184,FIND("-",$EK184)-1)),""))</f>
        <v/>
      </c>
      <c r="EM184" t="str">
        <f t="shared" ref="EM184:EM195" si="1457">IF($EK184="","",IFERROR(VALUE(MID($EK184,FIND("-",$EK184)+1,99)),""))</f>
        <v/>
      </c>
      <c r="EN184" t="str">
        <f t="shared" ref="EN184:EN195" si="1458">IF($CZ184="","",TRIM(IFERROR(RIGHT($CZ184,LEN($CZ184)-FIND("§",SUBSTITUTE($CZ184," ","§",LEN($CZ184)-LEN(SUBSTITUTE($CZ184," ",""))))),"")))</f>
        <v/>
      </c>
      <c r="EO184" t="str">
        <f t="shared" ref="EO184:EO195" si="1459">IF($EN184="","",IFERROR(VALUE(LEFT($EN184,FIND("-",$EN184)-1)),""))</f>
        <v/>
      </c>
      <c r="EP184" t="str">
        <f t="shared" ref="EP184:EP195" si="1460">IF($EN184="","",IFERROR(VALUE(MID($EN184,FIND("-",$EN184)+1,99)),""))</f>
        <v/>
      </c>
      <c r="EQ184" t="str">
        <f t="shared" ref="EQ184:EQ195" si="1461">IF($DC184="","",TRIM(IFERROR(RIGHT($DC184,LEN($DC184)-FIND("§",SUBSTITUTE($DC184," ","§",LEN($DC184)-LEN(SUBSTITUTE($DC184," ",""))))),"")))</f>
        <v/>
      </c>
      <c r="ER184" t="str">
        <f t="shared" ref="ER184:ER195" si="1462">IF($EQ184="","",IFERROR(VALUE(LEFT($EQ184,FIND("-",$EQ184)-1)),""))</f>
        <v/>
      </c>
      <c r="ES184" t="str">
        <f t="shared" ref="ES184:ES195" si="1463">IF($EQ184="","",IFERROR(VALUE(MID($EQ184,FIND("-",$EQ184)+1,99)),""))</f>
        <v/>
      </c>
      <c r="ET184" t="str">
        <f t="shared" ref="ET184:ET195" si="1464">IF($DF184="","",TRIM(IFERROR(RIGHT($DF184,LEN($DF184)-FIND("§",SUBSTITUTE($DF184," ","§",LEN($DF184)-LEN(SUBSTITUTE($DF184," ",""))))),"")))</f>
        <v/>
      </c>
      <c r="EU184" t="str">
        <f t="shared" ref="EU184:EU195" si="1465">IF($ET184="","",IFERROR(VALUE(LEFT($ET184,FIND("-",$ET184)-1)),""))</f>
        <v/>
      </c>
      <c r="EV184" t="str">
        <f t="shared" ref="EV184:EV195" si="1466">IF($ET184="","",IFERROR(VALUE(MID($ET184,FIND("-",$ET184)+1,99)),""))</f>
        <v/>
      </c>
      <c r="EW184" t="str">
        <f t="shared" ref="EW184:EW195" si="1467">IF($DI184="","",TRIM(IFERROR(RIGHT($DI184,LEN($DI184)-FIND("§",SUBSTITUTE($DI184," ","§",LEN($DI184)-LEN(SUBSTITUTE($DI184," ",""))))),"")))</f>
        <v/>
      </c>
      <c r="EX184" t="str">
        <f t="shared" ref="EX184:EX195" si="1468">IF($EW184="","",IFERROR(VALUE(LEFT($EW184,FIND("-",$EW184)-1)),""))</f>
        <v/>
      </c>
      <c r="EY184" t="str">
        <f t="shared" ref="EY184:EY195" si="1469">IF($EW184="","",IFERROR(VALUE(MID($EW184,FIND("-",$EW184)+1,99)),""))</f>
        <v/>
      </c>
    </row>
    <row r="185" spans="1:155" ht="13.9" customHeight="1" x14ac:dyDescent="0.25">
      <c r="A185" s="7"/>
      <c r="B185" s="17"/>
      <c r="C185" s="8"/>
      <c r="D185" s="17"/>
      <c r="E185" s="8"/>
      <c r="F185" s="18">
        <v>0</v>
      </c>
      <c r="G185" s="7" t="s">
        <v>147</v>
      </c>
      <c r="H185" s="18">
        <v>0</v>
      </c>
      <c r="I185" s="19">
        <v>0</v>
      </c>
      <c r="J185" s="7" t="s">
        <v>147</v>
      </c>
      <c r="K185" s="19">
        <v>0</v>
      </c>
      <c r="L185" s="9"/>
      <c r="M185" s="3" t="str">
        <f>IF($L185="","",IF($L185="DOELPUNTENMAKERS","",IF(AND(COUNTIF(#REF!,$B185)=0,COUNTIF(#REF!,$D185)=0),"OK",IF($O185&gt;20,"LET OP: meer dan 20 items (controle onvolledig)",IF((COUNTIF($R185:$AS185,"ONZEKER")+COUNTIF($CJ185:$DK185,"ONZEKER"))&gt;0,"LET OP: scoreverloop onduidelijk (controle beperkt)",IF((IF($AT185&lt;&gt;"",$AT185&amp;", ","")&amp;IF($AU185&lt;&gt;"",$AU185&amp;", ","")&amp;IF($AV185&lt;&gt;"",$AV185&amp;", ","")&amp;IF($AW185&lt;&gt;"",$AW185&amp;", ","")&amp;IF($AX185&lt;&gt;"",$AX185&amp;", ","")&amp;IF($AY185&lt;&gt;"",$AY185&amp;", ","")&amp;IF($AZ185&lt;&gt;"",$AZ185&amp;", ","")&amp;IF($BA185&lt;&gt;"",$BA185&amp;", ","")&amp;IF($BB185&lt;&gt;"",$BB185&amp;", ","")&amp;IF($BC185&lt;&gt;"",$BC185&amp;", ","")&amp;IF($DL185&lt;&gt;"",$DL185&amp;", ","")&amp;IF($DM185&lt;&gt;"",$DM185&amp;", ","")&amp;IF($DN185&lt;&gt;"",$DN185&amp;", ","")&amp;IF($DO185&lt;&gt;"",$DO185&amp;", ","")&amp;IF($DP185&lt;&gt;"",$DP185&amp;", ","")&amp;IF($DQ185&lt;&gt;"",$DQ185&amp;", ","")&amp;IF($DR185&lt;&gt;"",$DR185&amp;", ","")&amp;IF($DS185&lt;&gt;"",$DS185&amp;", ","")&amp;IF($DT185&lt;&gt;"",$DT185&amp;", ","")&amp;IF($DU185&lt;&gt;"",$DU185&amp;", ",""))="","OK","Onbekend: "&amp;LEFT((IF($AT185&lt;&gt;"",$AT185&amp;", ","")&amp;IF($AU185&lt;&gt;"",$AU185&amp;", ","")&amp;IF($AV185&lt;&gt;"",$AV185&amp;", ","")&amp;IF($AW185&lt;&gt;"",$AW185&amp;", ","")&amp;IF($AX185&lt;&gt;"",$AX185&amp;", ","")&amp;IF($AY185&lt;&gt;"",$AY185&amp;", ","")&amp;IF($AZ185&lt;&gt;"",$AZ185&amp;", ","")&amp;IF($BA185&lt;&gt;"",$BA185&amp;", ","")&amp;IF($BB185&lt;&gt;"",$BB185&amp;", ","")&amp;IF($BC185&lt;&gt;"",$BC185&amp;", ","")&amp;IF($DL185&lt;&gt;"",$DL185&amp;", ","")&amp;IF($DM185&lt;&gt;"",$DM185&amp;", ","")&amp;IF($DN185&lt;&gt;"",$DN185&amp;", ","")&amp;IF($DO185&lt;&gt;"",$DO185&amp;", ","")&amp;IF($DP185&lt;&gt;"",$DP185&amp;", ","")&amp;IF($DQ185&lt;&gt;"",$DQ185&amp;", ","")&amp;IF($DR185&lt;&gt;"",$DR185&amp;", ","")&amp;IF($DS185&lt;&gt;"",$DS185&amp;", ","")&amp;IF($DT185&lt;&gt;"",$DT185&amp;", ","")&amp;IF($DU185&lt;&gt;"",$DU185&amp;", ","")),LEN((IF($AT185&lt;&gt;"",$AT185&amp;", ","")&amp;IF($AU185&lt;&gt;"",$AU185&amp;", ","")&amp;IF($AV185&lt;&gt;"",$AV185&amp;", ","")&amp;IF($AW185&lt;&gt;"",$AW185&amp;", ","")&amp;IF($AX185&lt;&gt;"",$AX185&amp;", ","")&amp;IF($AY185&lt;&gt;"",$AY185&amp;", ","")&amp;IF($AZ185&lt;&gt;"",$AZ185&amp;", ","")&amp;IF($BA185&lt;&gt;"",$BA185&amp;", ","")&amp;IF($BB185&lt;&gt;"",$BB185&amp;", ","")&amp;IF($BC185&lt;&gt;"",$BC185&amp;", ","")&amp;IF($DL185&lt;&gt;"",$DL185&amp;", ","")&amp;IF($DM185&lt;&gt;"",$DM185&amp;", ","")&amp;IF($DN185&lt;&gt;"",$DN185&amp;", ","")&amp;IF($DO185&lt;&gt;"",$DO185&amp;", ","")&amp;IF($DP185&lt;&gt;"",$DP185&amp;", ","")&amp;IF($DQ185&lt;&gt;"",$DQ185&amp;", ","")&amp;IF($DR185&lt;&gt;"",$DR185&amp;", ","")&amp;IF($DS185&lt;&gt;"",$DS185&amp;", ","")&amp;IF($DT185&lt;&gt;"",$DT185&amp;", ","")&amp;IF($DU185&lt;&gt;"",$DU185&amp;", ","")))-2)))))))</f>
        <v/>
      </c>
      <c r="N185" t="str">
        <f t="shared" si="1378"/>
        <v/>
      </c>
      <c r="O185" t="str">
        <f t="shared" si="1379"/>
        <v/>
      </c>
      <c r="P185" t="str">
        <f t="shared" si="1380"/>
        <v/>
      </c>
      <c r="Q185" t="str">
        <f t="shared" si="1381"/>
        <v/>
      </c>
      <c r="R185" t="str">
        <f>IF($Q185="","",IF(OR($BE185="",$BF185=""),"ONZEKER",IF(AND($BE185=0+1,$BF185=0),IF(OR(COUNTIF(#REF!,$B185)&gt;0,COUNTIF(#REF!,$B185)=0),"SKIP",IF(COUNTIFS(#REF!,$B185,#REF!,$Q185)&gt;0,"OK","ONBEKEND")),IF(AND($BE185=0,$BF185=0+1),IF(OR(COUNTIF(#REF!,$D185)&gt;0,COUNTIF(#REF!,$D185)=0),"SKIP",IF(COUNTIFS(#REF!,$D185,#REF!,$Q185)&gt;0,"OK","ONBEKEND")),"ONZEKER"))))</f>
        <v/>
      </c>
      <c r="S185" t="str">
        <f t="shared" si="1382"/>
        <v/>
      </c>
      <c r="T185" t="str">
        <f t="shared" si="1383"/>
        <v/>
      </c>
      <c r="U185" t="str">
        <f>IF($T185="","",IF(OR($BH185="",$BI185=""),"ONZEKER",IF(OR($BE185="",$BF185=""),"ONZEKER",IF(AND($BH185=$BE185+1,$BI185=$BF185),IF(OR(COUNTIF(#REF!,$B185)&gt;0,COUNTIF(#REF!,$B185)=0),"SKIP",IF(COUNTIFS(#REF!,$B185,#REF!,$T185)&gt;0,"OK","ONBEKEND")),IF(AND($BH185=$BE185,$BI185=$BF185+1),IF(OR(COUNTIF(#REF!,$D185)&gt;0,COUNTIF(#REF!,$D185)=0),"SKIP",IF(COUNTIFS(#REF!,$D185,#REF!,$T185)&gt;0,"OK","ONBEKEND")),"ONZEKER")))))</f>
        <v/>
      </c>
      <c r="V185" t="str">
        <f t="shared" si="1384"/>
        <v/>
      </c>
      <c r="W185" t="str">
        <f t="shared" si="1385"/>
        <v/>
      </c>
      <c r="X185" t="str">
        <f>IF($W185="","",IF(OR($BK185="",$BL185=""),"ONZEKER",IF(OR($BH185="",$BI185=""),"ONZEKER",IF(AND($BK185=$BH185+1,$BL185=$BI185),IF(OR(COUNTIF(#REF!,$B185)&gt;0,COUNTIF(#REF!,$B185)=0),"SKIP",IF(COUNTIFS(#REF!,$B185,#REF!,$W185)&gt;0,"OK","ONBEKEND")),IF(AND($BK185=$BH185,$BL185=$BI185+1),IF(OR(COUNTIF(#REF!,$D185)&gt;0,COUNTIF(#REF!,$D185)=0),"SKIP",IF(COUNTIFS(#REF!,$D185,#REF!,$W185)&gt;0,"OK","ONBEKEND")),"ONZEKER")))))</f>
        <v/>
      </c>
      <c r="Y185" t="str">
        <f t="shared" si="1386"/>
        <v/>
      </c>
      <c r="Z185" t="str">
        <f t="shared" si="1387"/>
        <v/>
      </c>
      <c r="AA185" t="str">
        <f>IF($Z185="","",IF(OR($BN185="",$BO185=""),"ONZEKER",IF(OR($BK185="",$BL185=""),"ONZEKER",IF(AND($BN185=$BK185+1,$BO185=$BL185),IF(OR(COUNTIF(#REF!,$B185)&gt;0,COUNTIF(#REF!,$B185)=0),"SKIP",IF(COUNTIFS(#REF!,$B185,#REF!,$Z185)&gt;0,"OK","ONBEKEND")),IF(AND($BN185=$BK185,$BO185=$BL185+1),IF(OR(COUNTIF(#REF!,$D185)&gt;0,COUNTIF(#REF!,$D185)=0),"SKIP",IF(COUNTIFS(#REF!,$D185,#REF!,$Z185)&gt;0,"OK","ONBEKEND")),"ONZEKER")))))</f>
        <v/>
      </c>
      <c r="AB185" t="str">
        <f t="shared" si="1388"/>
        <v/>
      </c>
      <c r="AC185" t="str">
        <f t="shared" si="1389"/>
        <v/>
      </c>
      <c r="AD185" t="str">
        <f>IF($AC185="","",IF(OR($BQ185="",$BR185=""),"ONZEKER",IF(OR($BN185="",$BO185=""),"ONZEKER",IF(AND($BQ185=$BN185+1,$BR185=$BO185),IF(OR(COUNTIF(#REF!,$B185)&gt;0,COUNTIF(#REF!,$B185)=0),"SKIP",IF(COUNTIFS(#REF!,$B185,#REF!,$AC185)&gt;0,"OK","ONBEKEND")),IF(AND($BQ185=$BN185,$BR185=$BO185+1),IF(OR(COUNTIF(#REF!,$D185)&gt;0,COUNTIF(#REF!,$D185)=0),"SKIP",IF(COUNTIFS(#REF!,$D185,#REF!,$AC185)&gt;0,"OK","ONBEKEND")),"ONZEKER")))))</f>
        <v/>
      </c>
      <c r="AE185" t="str">
        <f t="shared" si="1390"/>
        <v/>
      </c>
      <c r="AF185" t="str">
        <f t="shared" si="1391"/>
        <v/>
      </c>
      <c r="AG185" t="str">
        <f>IF($AF185="","",IF(OR($BT185="",$BU185=""),"ONZEKER",IF(OR($BQ185="",$BR185=""),"ONZEKER",IF(AND($BT185=$BQ185+1,$BU185=$BR185),IF(OR(COUNTIF(#REF!,$B185)&gt;0,COUNTIF(#REF!,$B185)=0),"SKIP",IF(COUNTIFS(#REF!,$B185,#REF!,$AF185)&gt;0,"OK","ONBEKEND")),IF(AND($BT185=$BQ185,$BU185=$BR185+1),IF(OR(COUNTIF(#REF!,$D185)&gt;0,COUNTIF(#REF!,$D185)=0),"SKIP",IF(COUNTIFS(#REF!,$D185,#REF!,$AF185)&gt;0,"OK","ONBEKEND")),"ONZEKER")))))</f>
        <v/>
      </c>
      <c r="AH185" t="str">
        <f t="shared" si="1392"/>
        <v/>
      </c>
      <c r="AI185" t="str">
        <f t="shared" si="1393"/>
        <v/>
      </c>
      <c r="AJ185" t="str">
        <f>IF($AI185="","",IF(OR($BW185="",$BX185=""),"ONZEKER",IF(OR($BT185="",$BU185=""),"ONZEKER",IF(AND($BW185=$BT185+1,$BX185=$BU185),IF(OR(COUNTIF(#REF!,$B185)&gt;0,COUNTIF(#REF!,$B185)=0),"SKIP",IF(COUNTIFS(#REF!,$B185,#REF!,$AI185)&gt;0,"OK","ONBEKEND")),IF(AND($BW185=$BT185,$BX185=$BU185+1),IF(OR(COUNTIF(#REF!,$D185)&gt;0,COUNTIF(#REF!,$D185)=0),"SKIP",IF(COUNTIFS(#REF!,$D185,#REF!,$AI185)&gt;0,"OK","ONBEKEND")),"ONZEKER")))))</f>
        <v/>
      </c>
      <c r="AK185" t="str">
        <f t="shared" si="1394"/>
        <v/>
      </c>
      <c r="AL185" t="str">
        <f t="shared" si="1395"/>
        <v/>
      </c>
      <c r="AM185" t="str">
        <f>IF($AL185="","",IF(OR($BZ185="",$CA185=""),"ONZEKER",IF(OR($BW185="",$BX185=""),"ONZEKER",IF(AND($BZ185=$BW185+1,$CA185=$BX185),IF(OR(COUNTIF(#REF!,$B185)&gt;0,COUNTIF(#REF!,$B185)=0),"SKIP",IF(COUNTIFS(#REF!,$B185,#REF!,$AL185)&gt;0,"OK","ONBEKEND")),IF(AND($BZ185=$BW185,$CA185=$BX185+1),IF(OR(COUNTIF(#REF!,$D185)&gt;0,COUNTIF(#REF!,$D185)=0),"SKIP",IF(COUNTIFS(#REF!,$D185,#REF!,$AL185)&gt;0,"OK","ONBEKEND")),"ONZEKER")))))</f>
        <v/>
      </c>
      <c r="AN185" t="str">
        <f t="shared" si="1396"/>
        <v/>
      </c>
      <c r="AO185" t="str">
        <f t="shared" si="1397"/>
        <v/>
      </c>
      <c r="AP185" t="str">
        <f>IF($AO185="","",IF(OR($CC185="",$CD185=""),"ONZEKER",IF(OR($BZ185="",$CA185=""),"ONZEKER",IF(AND($CC185=$BZ185+1,$CD185=$CA185),IF(OR(COUNTIF(#REF!,$B185)&gt;0,COUNTIF(#REF!,$B185)=0),"SKIP",IF(COUNTIFS(#REF!,$B185,#REF!,$AO185)&gt;0,"OK","ONBEKEND")),IF(AND($CC185=$BZ185,$CD185=$CA185+1),IF(OR(COUNTIF(#REF!,$D185)&gt;0,COUNTIF(#REF!,$D185)=0),"SKIP",IF(COUNTIFS(#REF!,$D185,#REF!,$AO185)&gt;0,"OK","ONBEKEND")),"ONZEKER")))))</f>
        <v/>
      </c>
      <c r="AQ185" t="str">
        <f t="shared" si="1398"/>
        <v/>
      </c>
      <c r="AR185" t="str">
        <f t="shared" si="1399"/>
        <v/>
      </c>
      <c r="AS185" t="str">
        <f>IF($AR185="","",IF(OR($CF185="",$CG185=""),"ONZEKER",IF(OR($CC185="",$CD185=""),"ONZEKER",IF(AND($CF185=$CC185+1,$CG185=$CD185),IF(OR(COUNTIF(#REF!,$B185)&gt;0,COUNTIF(#REF!,$B185)=0),"SKIP",IF(COUNTIFS(#REF!,$B185,#REF!,$AR185)&gt;0,"OK","ONBEKEND")),IF(AND($CF185=$CC185,$CG185=$CD185+1),IF(OR(COUNTIF(#REF!,$D185)&gt;0,COUNTIF(#REF!,$D185)=0),"SKIP",IF(COUNTIFS(#REF!,$D185,#REF!,$AR185)&gt;0,"OK","ONBEKEND")),"ONZEKER")))))</f>
        <v/>
      </c>
      <c r="AT185" t="str">
        <f t="shared" si="1400"/>
        <v/>
      </c>
      <c r="AU185" t="str">
        <f t="shared" si="1401"/>
        <v/>
      </c>
      <c r="AV185" t="str">
        <f t="shared" si="1402"/>
        <v/>
      </c>
      <c r="AW185" t="str">
        <f t="shared" si="1403"/>
        <v/>
      </c>
      <c r="AX185" t="str">
        <f t="shared" si="1404"/>
        <v/>
      </c>
      <c r="AY185" t="str">
        <f t="shared" si="1405"/>
        <v/>
      </c>
      <c r="AZ185" t="str">
        <f t="shared" si="1406"/>
        <v/>
      </c>
      <c r="BA185" t="str">
        <f t="shared" si="1407"/>
        <v/>
      </c>
      <c r="BB185" t="str">
        <f t="shared" si="1408"/>
        <v/>
      </c>
      <c r="BC185" t="str">
        <f t="shared" si="1409"/>
        <v/>
      </c>
      <c r="BD185" t="str">
        <f t="shared" si="980"/>
        <v/>
      </c>
      <c r="BE185" t="str">
        <f t="shared" si="981"/>
        <v/>
      </c>
      <c r="BF185" t="str">
        <f t="shared" si="982"/>
        <v/>
      </c>
      <c r="BG185" t="str">
        <f t="shared" si="983"/>
        <v/>
      </c>
      <c r="BH185" t="str">
        <f t="shared" si="984"/>
        <v/>
      </c>
      <c r="BI185" t="str">
        <f t="shared" si="985"/>
        <v/>
      </c>
      <c r="BJ185" t="str">
        <f t="shared" si="986"/>
        <v/>
      </c>
      <c r="BK185" t="str">
        <f t="shared" si="987"/>
        <v/>
      </c>
      <c r="BL185" t="str">
        <f t="shared" si="988"/>
        <v/>
      </c>
      <c r="BM185" t="str">
        <f t="shared" si="989"/>
        <v/>
      </c>
      <c r="BN185" t="str">
        <f t="shared" si="990"/>
        <v/>
      </c>
      <c r="BO185" t="str">
        <f t="shared" si="991"/>
        <v/>
      </c>
      <c r="BP185" t="str">
        <f t="shared" si="992"/>
        <v/>
      </c>
      <c r="BQ185" t="str">
        <f t="shared" si="993"/>
        <v/>
      </c>
      <c r="BR185" t="str">
        <f t="shared" si="994"/>
        <v/>
      </c>
      <c r="BS185" t="str">
        <f t="shared" si="995"/>
        <v/>
      </c>
      <c r="BT185" t="str">
        <f t="shared" si="996"/>
        <v/>
      </c>
      <c r="BU185" t="str">
        <f t="shared" si="997"/>
        <v/>
      </c>
      <c r="BV185" t="str">
        <f t="shared" si="998"/>
        <v/>
      </c>
      <c r="BW185" t="str">
        <f t="shared" si="999"/>
        <v/>
      </c>
      <c r="BX185" t="str">
        <f t="shared" si="1000"/>
        <v/>
      </c>
      <c r="BY185" t="str">
        <f t="shared" si="1001"/>
        <v/>
      </c>
      <c r="BZ185" t="str">
        <f t="shared" si="1002"/>
        <v/>
      </c>
      <c r="CA185" t="str">
        <f t="shared" si="1003"/>
        <v/>
      </c>
      <c r="CB185" t="str">
        <f t="shared" si="1004"/>
        <v/>
      </c>
      <c r="CC185" t="str">
        <f t="shared" si="1005"/>
        <v/>
      </c>
      <c r="CD185" t="str">
        <f t="shared" si="1006"/>
        <v/>
      </c>
      <c r="CE185" t="str">
        <f t="shared" si="1007"/>
        <v/>
      </c>
      <c r="CF185" t="str">
        <f t="shared" si="1008"/>
        <v/>
      </c>
      <c r="CG185" t="str">
        <f t="shared" si="1009"/>
        <v/>
      </c>
      <c r="CH185" t="str">
        <f t="shared" si="1410"/>
        <v/>
      </c>
      <c r="CI185" t="str">
        <f t="shared" si="1411"/>
        <v/>
      </c>
      <c r="CJ185" t="str">
        <f>IF($CI185="","",IF(OR($DW185="",$DX185=""),"ONZEKER",IF(OR($CF185="",$CG185=""),"ONZEKER",IF(AND($DW185=$CF185+1,$DX185=$CG185),IF(OR(COUNTIF(#REF!,$B185)&gt;0,COUNTIF(#REF!,$B185)=0),"SKIP",IF(COUNTIFS(#REF!,$B185,#REF!,$CI185)&gt;0,"OK","ONBEKEND")),IF(AND($DW185=$CF185,$DX185=$CG185+1),IF(OR(COUNTIF(#REF!,$D185)&gt;0,COUNTIF(#REF!,$D185)=0),"SKIP",IF(COUNTIFS(#REF!,$D185,#REF!,$CI185)&gt;0,"OK","ONBEKEND")),"ONZEKER")))))</f>
        <v/>
      </c>
      <c r="CK185" t="str">
        <f t="shared" si="1412"/>
        <v/>
      </c>
      <c r="CL185" t="str">
        <f t="shared" si="1413"/>
        <v/>
      </c>
      <c r="CM185" t="str">
        <f>IF($CL185="","",IF(OR($DZ185="",$EA185=""),"ONZEKER",IF(OR($DW185="",$DX185=""),"ONZEKER",IF(AND($DZ185=$DW185+1,$EA185=$DX185),IF(OR(COUNTIF(#REF!,$B185)&gt;0,COUNTIF(#REF!,$B185)=0),"SKIP",IF(COUNTIFS(#REF!,$B185,#REF!,$CL185)&gt;0,"OK","ONBEKEND")),IF(AND($DZ185=$DW185,$EA185=$DX185+1),IF(OR(COUNTIF(#REF!,$D185)&gt;0,COUNTIF(#REF!,$D185)=0),"SKIP",IF(COUNTIFS(#REF!,$D185,#REF!,$CL185)&gt;0,"OK","ONBEKEND")),"ONZEKER")))))</f>
        <v/>
      </c>
      <c r="CN185" t="str">
        <f t="shared" si="1414"/>
        <v/>
      </c>
      <c r="CO185" t="str">
        <f t="shared" si="1415"/>
        <v/>
      </c>
      <c r="CP185" t="str">
        <f>IF($CO185="","",IF(OR($EC185="",$ED185=""),"ONZEKER",IF(OR($DZ185="",$EA185=""),"ONZEKER",IF(AND($EC185=$DZ185+1,$ED185=$EA185),IF(OR(COUNTIF(#REF!,$B185)&gt;0,COUNTIF(#REF!,$B185)=0),"SKIP",IF(COUNTIFS(#REF!,$B185,#REF!,$CO185)&gt;0,"OK","ONBEKEND")),IF(AND($EC185=$DZ185,$ED185=$EA185+1),IF(OR(COUNTIF(#REF!,$D185)&gt;0,COUNTIF(#REF!,$D185)=0),"SKIP",IF(COUNTIFS(#REF!,$D185,#REF!,$CO185)&gt;0,"OK","ONBEKEND")),"ONZEKER")))))</f>
        <v/>
      </c>
      <c r="CQ185" t="str">
        <f t="shared" si="1416"/>
        <v/>
      </c>
      <c r="CR185" t="str">
        <f t="shared" si="1417"/>
        <v/>
      </c>
      <c r="CS185" t="str">
        <f>IF($CR185="","",IF(OR($EF185="",$EG185=""),"ONZEKER",IF(OR($EC185="",$ED185=""),"ONZEKER",IF(AND($EF185=$EC185+1,$EG185=$ED185),IF(OR(COUNTIF(#REF!,$B185)&gt;0,COUNTIF(#REF!,$B185)=0),"SKIP",IF(COUNTIFS(#REF!,$B185,#REF!,$CR185)&gt;0,"OK","ONBEKEND")),IF(AND($EF185=$EC185,$EG185=$ED185+1),IF(OR(COUNTIF(#REF!,$D185)&gt;0,COUNTIF(#REF!,$D185)=0),"SKIP",IF(COUNTIFS(#REF!,$D185,#REF!,$CR185)&gt;0,"OK","ONBEKEND")),"ONZEKER")))))</f>
        <v/>
      </c>
      <c r="CT185" t="str">
        <f t="shared" si="1418"/>
        <v/>
      </c>
      <c r="CU185" t="str">
        <f t="shared" si="1419"/>
        <v/>
      </c>
      <c r="CV185" t="str">
        <f>IF($CU185="","",IF(OR($EI185="",$EJ185=""),"ONZEKER",IF(OR($EF185="",$EG185=""),"ONZEKER",IF(AND($EI185=$EF185+1,$EJ185=$EG185),IF(OR(COUNTIF(#REF!,$B185)&gt;0,COUNTIF(#REF!,$B185)=0),"SKIP",IF(COUNTIFS(#REF!,$B185,#REF!,$CU185)&gt;0,"OK","ONBEKEND")),IF(AND($EI185=$EF185,$EJ185=$EG185+1),IF(OR(COUNTIF(#REF!,$D185)&gt;0,COUNTIF(#REF!,$D185)=0),"SKIP",IF(COUNTIFS(#REF!,$D185,#REF!,$CU185)&gt;0,"OK","ONBEKEND")),"ONZEKER")))))</f>
        <v/>
      </c>
      <c r="CW185" t="str">
        <f t="shared" si="1420"/>
        <v/>
      </c>
      <c r="CX185" t="str">
        <f t="shared" si="1421"/>
        <v/>
      </c>
      <c r="CY185" t="str">
        <f>IF($CX185="","",IF(OR($EL185="",$EM185=""),"ONZEKER",IF(OR($EI185="",$EJ185=""),"ONZEKER",IF(AND($EL185=$EI185+1,$EM185=$EJ185),IF(OR(COUNTIF(#REF!,$B185)&gt;0,COUNTIF(#REF!,$B185)=0),"SKIP",IF(COUNTIFS(#REF!,$B185,#REF!,$CX185)&gt;0,"OK","ONBEKEND")),IF(AND($EL185=$EI185,$EM185=$EJ185+1),IF(OR(COUNTIF(#REF!,$D185)&gt;0,COUNTIF(#REF!,$D185)=0),"SKIP",IF(COUNTIFS(#REF!,$D185,#REF!,$CX185)&gt;0,"OK","ONBEKEND")),"ONZEKER")))))</f>
        <v/>
      </c>
      <c r="CZ185" t="str">
        <f t="shared" si="1422"/>
        <v/>
      </c>
      <c r="DA185" t="str">
        <f t="shared" si="1423"/>
        <v/>
      </c>
      <c r="DB185" t="str">
        <f>IF($DA185="","",IF(OR($EO185="",$EP185=""),"ONZEKER",IF(OR($EL185="",$EM185=""),"ONZEKER",IF(AND($EO185=$EL185+1,$EP185=$EM185),IF(OR(COUNTIF(#REF!,$B185)&gt;0,COUNTIF(#REF!,$B185)=0),"SKIP",IF(COUNTIFS(#REF!,$B185,#REF!,$DA185)&gt;0,"OK","ONBEKEND")),IF(AND($EO185=$EL185,$EP185=$EM185+1),IF(OR(COUNTIF(#REF!,$D185)&gt;0,COUNTIF(#REF!,$D185)=0),"SKIP",IF(COUNTIFS(#REF!,$D185,#REF!,$DA185)&gt;0,"OK","ONBEKEND")),"ONZEKER")))))</f>
        <v/>
      </c>
      <c r="DC185" t="str">
        <f t="shared" si="1424"/>
        <v/>
      </c>
      <c r="DD185" t="str">
        <f t="shared" si="1425"/>
        <v/>
      </c>
      <c r="DE185" t="str">
        <f>IF($DD185="","",IF(OR($ER185="",$ES185=""),"ONZEKER",IF(OR($EO185="",$EP185=""),"ONZEKER",IF(AND($ER185=$EO185+1,$ES185=$EP185),IF(OR(COUNTIF(#REF!,$B185)&gt;0,COUNTIF(#REF!,$B185)=0),"SKIP",IF(COUNTIFS(#REF!,$B185,#REF!,$DD185)&gt;0,"OK","ONBEKEND")),IF(AND($ER185=$EO185,$ES185=$EP185+1),IF(OR(COUNTIF(#REF!,$D185)&gt;0,COUNTIF(#REF!,$D185)=0),"SKIP",IF(COUNTIFS(#REF!,$D185,#REF!,$DD185)&gt;0,"OK","ONBEKEND")),"ONZEKER")))))</f>
        <v/>
      </c>
      <c r="DF185" t="str">
        <f t="shared" si="1426"/>
        <v/>
      </c>
      <c r="DG185" t="str">
        <f t="shared" si="1427"/>
        <v/>
      </c>
      <c r="DH185" t="str">
        <f>IF($DG185="","",IF(OR($EU185="",$EV185=""),"ONZEKER",IF(OR($ER185="",$ES185=""),"ONZEKER",IF(AND($EU185=$ER185+1,$EV185=$ES185),IF(OR(COUNTIF(#REF!,$B185)&gt;0,COUNTIF(#REF!,$B185)=0),"SKIP",IF(COUNTIFS(#REF!,$B185,#REF!,$DG185)&gt;0,"OK","ONBEKEND")),IF(AND($EU185=$ER185,$EV185=$ES185+1),IF(OR(COUNTIF(#REF!,$D185)&gt;0,COUNTIF(#REF!,$D185)=0),"SKIP",IF(COUNTIFS(#REF!,$D185,#REF!,$DG185)&gt;0,"OK","ONBEKEND")),"ONZEKER")))))</f>
        <v/>
      </c>
      <c r="DI185" t="str">
        <f t="shared" si="1428"/>
        <v/>
      </c>
      <c r="DJ185" t="str">
        <f t="shared" si="1429"/>
        <v/>
      </c>
      <c r="DK185" t="str">
        <f>IF($DJ185="","",IF(OR($EX185="",$EY185=""),"ONZEKER",IF(OR($EU185="",$EV185=""),"ONZEKER",IF(AND($EX185=$EU185+1,$EY185=$EV185),IF(OR(COUNTIF(#REF!,$B185)&gt;0,COUNTIF(#REF!,$B185)=0),"SKIP",IF(COUNTIFS(#REF!,$B185,#REF!,$DJ185)&gt;0,"OK","ONBEKEND")),IF(AND($EX185=$EU185,$EY185=$EV185+1),IF(OR(COUNTIF(#REF!,$D185)&gt;0,COUNTIF(#REF!,$D185)=0),"SKIP",IF(COUNTIFS(#REF!,$D185,#REF!,$DJ185)&gt;0,"OK","ONBEKEND")),"ONZEKER")))))</f>
        <v/>
      </c>
      <c r="DL185" t="str">
        <f t="shared" si="1430"/>
        <v/>
      </c>
      <c r="DM185" t="str">
        <f t="shared" si="1431"/>
        <v/>
      </c>
      <c r="DN185" t="str">
        <f t="shared" si="1432"/>
        <v/>
      </c>
      <c r="DO185" t="str">
        <f t="shared" si="1433"/>
        <v/>
      </c>
      <c r="DP185" t="str">
        <f t="shared" si="1434"/>
        <v/>
      </c>
      <c r="DQ185" t="str">
        <f t="shared" si="1435"/>
        <v/>
      </c>
      <c r="DR185" t="str">
        <f t="shared" si="1436"/>
        <v/>
      </c>
      <c r="DS185" t="str">
        <f t="shared" si="1437"/>
        <v/>
      </c>
      <c r="DT185" t="str">
        <f t="shared" si="1438"/>
        <v/>
      </c>
      <c r="DU185" t="str">
        <f t="shared" si="1439"/>
        <v/>
      </c>
      <c r="DV185" t="str">
        <f t="shared" si="1440"/>
        <v/>
      </c>
      <c r="DW185" t="str">
        <f t="shared" si="1441"/>
        <v/>
      </c>
      <c r="DX185" t="str">
        <f t="shared" si="1442"/>
        <v/>
      </c>
      <c r="DY185" t="str">
        <f t="shared" si="1443"/>
        <v/>
      </c>
      <c r="DZ185" t="str">
        <f t="shared" si="1444"/>
        <v/>
      </c>
      <c r="EA185" t="str">
        <f t="shared" si="1445"/>
        <v/>
      </c>
      <c r="EB185" t="str">
        <f t="shared" si="1446"/>
        <v/>
      </c>
      <c r="EC185" t="str">
        <f t="shared" si="1447"/>
        <v/>
      </c>
      <c r="ED185" t="str">
        <f t="shared" si="1448"/>
        <v/>
      </c>
      <c r="EE185" t="str">
        <f t="shared" si="1449"/>
        <v/>
      </c>
      <c r="EF185" t="str">
        <f t="shared" si="1450"/>
        <v/>
      </c>
      <c r="EG185" t="str">
        <f t="shared" si="1451"/>
        <v/>
      </c>
      <c r="EH185" t="str">
        <f t="shared" si="1452"/>
        <v/>
      </c>
      <c r="EI185" t="str">
        <f t="shared" si="1453"/>
        <v/>
      </c>
      <c r="EJ185" t="str">
        <f t="shared" si="1454"/>
        <v/>
      </c>
      <c r="EK185" t="str">
        <f t="shared" si="1455"/>
        <v/>
      </c>
      <c r="EL185" t="str">
        <f t="shared" si="1456"/>
        <v/>
      </c>
      <c r="EM185" t="str">
        <f t="shared" si="1457"/>
        <v/>
      </c>
      <c r="EN185" t="str">
        <f t="shared" si="1458"/>
        <v/>
      </c>
      <c r="EO185" t="str">
        <f t="shared" si="1459"/>
        <v/>
      </c>
      <c r="EP185" t="str">
        <f t="shared" si="1460"/>
        <v/>
      </c>
      <c r="EQ185" t="str">
        <f t="shared" si="1461"/>
        <v/>
      </c>
      <c r="ER185" t="str">
        <f t="shared" si="1462"/>
        <v/>
      </c>
      <c r="ES185" t="str">
        <f t="shared" si="1463"/>
        <v/>
      </c>
      <c r="ET185" t="str">
        <f t="shared" si="1464"/>
        <v/>
      </c>
      <c r="EU185" t="str">
        <f t="shared" si="1465"/>
        <v/>
      </c>
      <c r="EV185" t="str">
        <f t="shared" si="1466"/>
        <v/>
      </c>
      <c r="EW185" t="str">
        <f t="shared" si="1467"/>
        <v/>
      </c>
      <c r="EX185" t="str">
        <f t="shared" si="1468"/>
        <v/>
      </c>
      <c r="EY185" t="str">
        <f t="shared" si="1469"/>
        <v/>
      </c>
    </row>
    <row r="186" spans="1:155" ht="13.9" customHeight="1" x14ac:dyDescent="0.25">
      <c r="A186" s="7"/>
      <c r="B186" s="17"/>
      <c r="C186" s="8"/>
      <c r="D186" s="17"/>
      <c r="E186" s="8"/>
      <c r="F186" s="18">
        <v>0</v>
      </c>
      <c r="G186" s="7" t="s">
        <v>147</v>
      </c>
      <c r="H186" s="18">
        <v>0</v>
      </c>
      <c r="I186" s="19">
        <v>0</v>
      </c>
      <c r="J186" s="7" t="s">
        <v>147</v>
      </c>
      <c r="K186" s="19">
        <v>0</v>
      </c>
      <c r="L186" s="9"/>
      <c r="M186" s="3" t="str">
        <f>IF($L186="","",IF($L186="DOELPUNTENMAKERS","",IF(AND(COUNTIF(#REF!,$B186)=0,COUNTIF(#REF!,$D186)=0),"OK",IF($O186&gt;20,"LET OP: meer dan 20 items (controle onvolledig)",IF((COUNTIF($R186:$AS186,"ONZEKER")+COUNTIF($CJ186:$DK186,"ONZEKER"))&gt;0,"LET OP: scoreverloop onduidelijk (controle beperkt)",IF((IF($AT186&lt;&gt;"",$AT186&amp;", ","")&amp;IF($AU186&lt;&gt;"",$AU186&amp;", ","")&amp;IF($AV186&lt;&gt;"",$AV186&amp;", ","")&amp;IF($AW186&lt;&gt;"",$AW186&amp;", ","")&amp;IF($AX186&lt;&gt;"",$AX186&amp;", ","")&amp;IF($AY186&lt;&gt;"",$AY186&amp;", ","")&amp;IF($AZ186&lt;&gt;"",$AZ186&amp;", ","")&amp;IF($BA186&lt;&gt;"",$BA186&amp;", ","")&amp;IF($BB186&lt;&gt;"",$BB186&amp;", ","")&amp;IF($BC186&lt;&gt;"",$BC186&amp;", ","")&amp;IF($DL186&lt;&gt;"",$DL186&amp;", ","")&amp;IF($DM186&lt;&gt;"",$DM186&amp;", ","")&amp;IF($DN186&lt;&gt;"",$DN186&amp;", ","")&amp;IF($DO186&lt;&gt;"",$DO186&amp;", ","")&amp;IF($DP186&lt;&gt;"",$DP186&amp;", ","")&amp;IF($DQ186&lt;&gt;"",$DQ186&amp;", ","")&amp;IF($DR186&lt;&gt;"",$DR186&amp;", ","")&amp;IF($DS186&lt;&gt;"",$DS186&amp;", ","")&amp;IF($DT186&lt;&gt;"",$DT186&amp;", ","")&amp;IF($DU186&lt;&gt;"",$DU186&amp;", ",""))="","OK","Onbekend: "&amp;LEFT((IF($AT186&lt;&gt;"",$AT186&amp;", ","")&amp;IF($AU186&lt;&gt;"",$AU186&amp;", ","")&amp;IF($AV186&lt;&gt;"",$AV186&amp;", ","")&amp;IF($AW186&lt;&gt;"",$AW186&amp;", ","")&amp;IF($AX186&lt;&gt;"",$AX186&amp;", ","")&amp;IF($AY186&lt;&gt;"",$AY186&amp;", ","")&amp;IF($AZ186&lt;&gt;"",$AZ186&amp;", ","")&amp;IF($BA186&lt;&gt;"",$BA186&amp;", ","")&amp;IF($BB186&lt;&gt;"",$BB186&amp;", ","")&amp;IF($BC186&lt;&gt;"",$BC186&amp;", ","")&amp;IF($DL186&lt;&gt;"",$DL186&amp;", ","")&amp;IF($DM186&lt;&gt;"",$DM186&amp;", ","")&amp;IF($DN186&lt;&gt;"",$DN186&amp;", ","")&amp;IF($DO186&lt;&gt;"",$DO186&amp;", ","")&amp;IF($DP186&lt;&gt;"",$DP186&amp;", ","")&amp;IF($DQ186&lt;&gt;"",$DQ186&amp;", ","")&amp;IF($DR186&lt;&gt;"",$DR186&amp;", ","")&amp;IF($DS186&lt;&gt;"",$DS186&amp;", ","")&amp;IF($DT186&lt;&gt;"",$DT186&amp;", ","")&amp;IF($DU186&lt;&gt;"",$DU186&amp;", ","")),LEN((IF($AT186&lt;&gt;"",$AT186&amp;", ","")&amp;IF($AU186&lt;&gt;"",$AU186&amp;", ","")&amp;IF($AV186&lt;&gt;"",$AV186&amp;", ","")&amp;IF($AW186&lt;&gt;"",$AW186&amp;", ","")&amp;IF($AX186&lt;&gt;"",$AX186&amp;", ","")&amp;IF($AY186&lt;&gt;"",$AY186&amp;", ","")&amp;IF($AZ186&lt;&gt;"",$AZ186&amp;", ","")&amp;IF($BA186&lt;&gt;"",$BA186&amp;", ","")&amp;IF($BB186&lt;&gt;"",$BB186&amp;", ","")&amp;IF($BC186&lt;&gt;"",$BC186&amp;", ","")&amp;IF($DL186&lt;&gt;"",$DL186&amp;", ","")&amp;IF($DM186&lt;&gt;"",$DM186&amp;", ","")&amp;IF($DN186&lt;&gt;"",$DN186&amp;", ","")&amp;IF($DO186&lt;&gt;"",$DO186&amp;", ","")&amp;IF($DP186&lt;&gt;"",$DP186&amp;", ","")&amp;IF($DQ186&lt;&gt;"",$DQ186&amp;", ","")&amp;IF($DR186&lt;&gt;"",$DR186&amp;", ","")&amp;IF($DS186&lt;&gt;"",$DS186&amp;", ","")&amp;IF($DT186&lt;&gt;"",$DT186&amp;", ","")&amp;IF($DU186&lt;&gt;"",$DU186&amp;", ","")))-2)))))))</f>
        <v/>
      </c>
      <c r="N186" t="str">
        <f t="shared" si="1378"/>
        <v/>
      </c>
      <c r="O186" t="str">
        <f t="shared" si="1379"/>
        <v/>
      </c>
      <c r="P186" t="str">
        <f t="shared" si="1380"/>
        <v/>
      </c>
      <c r="Q186" t="str">
        <f t="shared" si="1381"/>
        <v/>
      </c>
      <c r="R186" t="str">
        <f>IF($Q186="","",IF(OR($BE186="",$BF186=""),"ONZEKER",IF(AND($BE186=0+1,$BF186=0),IF(OR(COUNTIF(#REF!,$B186)&gt;0,COUNTIF(#REF!,$B186)=0),"SKIP",IF(COUNTIFS(#REF!,$B186,#REF!,$Q186)&gt;0,"OK","ONBEKEND")),IF(AND($BE186=0,$BF186=0+1),IF(OR(COUNTIF(#REF!,$D186)&gt;0,COUNTIF(#REF!,$D186)=0),"SKIP",IF(COUNTIFS(#REF!,$D186,#REF!,$Q186)&gt;0,"OK","ONBEKEND")),"ONZEKER"))))</f>
        <v/>
      </c>
      <c r="S186" t="str">
        <f t="shared" si="1382"/>
        <v/>
      </c>
      <c r="T186" t="str">
        <f t="shared" si="1383"/>
        <v/>
      </c>
      <c r="U186" t="str">
        <f>IF($T186="","",IF(OR($BH186="",$BI186=""),"ONZEKER",IF(OR($BE186="",$BF186=""),"ONZEKER",IF(AND($BH186=$BE186+1,$BI186=$BF186),IF(OR(COUNTIF(#REF!,$B186)&gt;0,COUNTIF(#REF!,$B186)=0),"SKIP",IF(COUNTIFS(#REF!,$B186,#REF!,$T186)&gt;0,"OK","ONBEKEND")),IF(AND($BH186=$BE186,$BI186=$BF186+1),IF(OR(COUNTIF(#REF!,$D186)&gt;0,COUNTIF(#REF!,$D186)=0),"SKIP",IF(COUNTIFS(#REF!,$D186,#REF!,$T186)&gt;0,"OK","ONBEKEND")),"ONZEKER")))))</f>
        <v/>
      </c>
      <c r="V186" t="str">
        <f t="shared" si="1384"/>
        <v/>
      </c>
      <c r="W186" t="str">
        <f t="shared" si="1385"/>
        <v/>
      </c>
      <c r="X186" t="str">
        <f>IF($W186="","",IF(OR($BK186="",$BL186=""),"ONZEKER",IF(OR($BH186="",$BI186=""),"ONZEKER",IF(AND($BK186=$BH186+1,$BL186=$BI186),IF(OR(COUNTIF(#REF!,$B186)&gt;0,COUNTIF(#REF!,$B186)=0),"SKIP",IF(COUNTIFS(#REF!,$B186,#REF!,$W186)&gt;0,"OK","ONBEKEND")),IF(AND($BK186=$BH186,$BL186=$BI186+1),IF(OR(COUNTIF(#REF!,$D186)&gt;0,COUNTIF(#REF!,$D186)=0),"SKIP",IF(COUNTIFS(#REF!,$D186,#REF!,$W186)&gt;0,"OK","ONBEKEND")),"ONZEKER")))))</f>
        <v/>
      </c>
      <c r="Y186" t="str">
        <f t="shared" si="1386"/>
        <v/>
      </c>
      <c r="Z186" t="str">
        <f t="shared" si="1387"/>
        <v/>
      </c>
      <c r="AA186" t="str">
        <f>IF($Z186="","",IF(OR($BN186="",$BO186=""),"ONZEKER",IF(OR($BK186="",$BL186=""),"ONZEKER",IF(AND($BN186=$BK186+1,$BO186=$BL186),IF(OR(COUNTIF(#REF!,$B186)&gt;0,COUNTIF(#REF!,$B186)=0),"SKIP",IF(COUNTIFS(#REF!,$B186,#REF!,$Z186)&gt;0,"OK","ONBEKEND")),IF(AND($BN186=$BK186,$BO186=$BL186+1),IF(OR(COUNTIF(#REF!,$D186)&gt;0,COUNTIF(#REF!,$D186)=0),"SKIP",IF(COUNTIFS(#REF!,$D186,#REF!,$Z186)&gt;0,"OK","ONBEKEND")),"ONZEKER")))))</f>
        <v/>
      </c>
      <c r="AB186" t="str">
        <f t="shared" si="1388"/>
        <v/>
      </c>
      <c r="AC186" t="str">
        <f t="shared" si="1389"/>
        <v/>
      </c>
      <c r="AD186" t="str">
        <f>IF($AC186="","",IF(OR($BQ186="",$BR186=""),"ONZEKER",IF(OR($BN186="",$BO186=""),"ONZEKER",IF(AND($BQ186=$BN186+1,$BR186=$BO186),IF(OR(COUNTIF(#REF!,$B186)&gt;0,COUNTIF(#REF!,$B186)=0),"SKIP",IF(COUNTIFS(#REF!,$B186,#REF!,$AC186)&gt;0,"OK","ONBEKEND")),IF(AND($BQ186=$BN186,$BR186=$BO186+1),IF(OR(COUNTIF(#REF!,$D186)&gt;0,COUNTIF(#REF!,$D186)=0),"SKIP",IF(COUNTIFS(#REF!,$D186,#REF!,$AC186)&gt;0,"OK","ONBEKEND")),"ONZEKER")))))</f>
        <v/>
      </c>
      <c r="AE186" t="str">
        <f t="shared" si="1390"/>
        <v/>
      </c>
      <c r="AF186" t="str">
        <f t="shared" si="1391"/>
        <v/>
      </c>
      <c r="AG186" t="str">
        <f>IF($AF186="","",IF(OR($BT186="",$BU186=""),"ONZEKER",IF(OR($BQ186="",$BR186=""),"ONZEKER",IF(AND($BT186=$BQ186+1,$BU186=$BR186),IF(OR(COUNTIF(#REF!,$B186)&gt;0,COUNTIF(#REF!,$B186)=0),"SKIP",IF(COUNTIFS(#REF!,$B186,#REF!,$AF186)&gt;0,"OK","ONBEKEND")),IF(AND($BT186=$BQ186,$BU186=$BR186+1),IF(OR(COUNTIF(#REF!,$D186)&gt;0,COUNTIF(#REF!,$D186)=0),"SKIP",IF(COUNTIFS(#REF!,$D186,#REF!,$AF186)&gt;0,"OK","ONBEKEND")),"ONZEKER")))))</f>
        <v/>
      </c>
      <c r="AH186" t="str">
        <f t="shared" si="1392"/>
        <v/>
      </c>
      <c r="AI186" t="str">
        <f t="shared" si="1393"/>
        <v/>
      </c>
      <c r="AJ186" t="str">
        <f>IF($AI186="","",IF(OR($BW186="",$BX186=""),"ONZEKER",IF(OR($BT186="",$BU186=""),"ONZEKER",IF(AND($BW186=$BT186+1,$BX186=$BU186),IF(OR(COUNTIF(#REF!,$B186)&gt;0,COUNTIF(#REF!,$B186)=0),"SKIP",IF(COUNTIFS(#REF!,$B186,#REF!,$AI186)&gt;0,"OK","ONBEKEND")),IF(AND($BW186=$BT186,$BX186=$BU186+1),IF(OR(COUNTIF(#REF!,$D186)&gt;0,COUNTIF(#REF!,$D186)=0),"SKIP",IF(COUNTIFS(#REF!,$D186,#REF!,$AI186)&gt;0,"OK","ONBEKEND")),"ONZEKER")))))</f>
        <v/>
      </c>
      <c r="AK186" t="str">
        <f t="shared" si="1394"/>
        <v/>
      </c>
      <c r="AL186" t="str">
        <f t="shared" si="1395"/>
        <v/>
      </c>
      <c r="AM186" t="str">
        <f>IF($AL186="","",IF(OR($BZ186="",$CA186=""),"ONZEKER",IF(OR($BW186="",$BX186=""),"ONZEKER",IF(AND($BZ186=$BW186+1,$CA186=$BX186),IF(OR(COUNTIF(#REF!,$B186)&gt;0,COUNTIF(#REF!,$B186)=0),"SKIP",IF(COUNTIFS(#REF!,$B186,#REF!,$AL186)&gt;0,"OK","ONBEKEND")),IF(AND($BZ186=$BW186,$CA186=$BX186+1),IF(OR(COUNTIF(#REF!,$D186)&gt;0,COUNTIF(#REF!,$D186)=0),"SKIP",IF(COUNTIFS(#REF!,$D186,#REF!,$AL186)&gt;0,"OK","ONBEKEND")),"ONZEKER")))))</f>
        <v/>
      </c>
      <c r="AN186" t="str">
        <f t="shared" si="1396"/>
        <v/>
      </c>
      <c r="AO186" t="str">
        <f t="shared" si="1397"/>
        <v/>
      </c>
      <c r="AP186" t="str">
        <f>IF($AO186="","",IF(OR($CC186="",$CD186=""),"ONZEKER",IF(OR($BZ186="",$CA186=""),"ONZEKER",IF(AND($CC186=$BZ186+1,$CD186=$CA186),IF(OR(COUNTIF(#REF!,$B186)&gt;0,COUNTIF(#REF!,$B186)=0),"SKIP",IF(COUNTIFS(#REF!,$B186,#REF!,$AO186)&gt;0,"OK","ONBEKEND")),IF(AND($CC186=$BZ186,$CD186=$CA186+1),IF(OR(COUNTIF(#REF!,$D186)&gt;0,COUNTIF(#REF!,$D186)=0),"SKIP",IF(COUNTIFS(#REF!,$D186,#REF!,$AO186)&gt;0,"OK","ONBEKEND")),"ONZEKER")))))</f>
        <v/>
      </c>
      <c r="AQ186" t="str">
        <f t="shared" si="1398"/>
        <v/>
      </c>
      <c r="AR186" t="str">
        <f t="shared" si="1399"/>
        <v/>
      </c>
      <c r="AS186" t="str">
        <f>IF($AR186="","",IF(OR($CF186="",$CG186=""),"ONZEKER",IF(OR($CC186="",$CD186=""),"ONZEKER",IF(AND($CF186=$CC186+1,$CG186=$CD186),IF(OR(COUNTIF(#REF!,$B186)&gt;0,COUNTIF(#REF!,$B186)=0),"SKIP",IF(COUNTIFS(#REF!,$B186,#REF!,$AR186)&gt;0,"OK","ONBEKEND")),IF(AND($CF186=$CC186,$CG186=$CD186+1),IF(OR(COUNTIF(#REF!,$D186)&gt;0,COUNTIF(#REF!,$D186)=0),"SKIP",IF(COUNTIFS(#REF!,$D186,#REF!,$AR186)&gt;0,"OK","ONBEKEND")),"ONZEKER")))))</f>
        <v/>
      </c>
      <c r="AT186" t="str">
        <f t="shared" si="1400"/>
        <v/>
      </c>
      <c r="AU186" t="str">
        <f t="shared" si="1401"/>
        <v/>
      </c>
      <c r="AV186" t="str">
        <f t="shared" si="1402"/>
        <v/>
      </c>
      <c r="AW186" t="str">
        <f t="shared" si="1403"/>
        <v/>
      </c>
      <c r="AX186" t="str">
        <f t="shared" si="1404"/>
        <v/>
      </c>
      <c r="AY186" t="str">
        <f t="shared" si="1405"/>
        <v/>
      </c>
      <c r="AZ186" t="str">
        <f t="shared" si="1406"/>
        <v/>
      </c>
      <c r="BA186" t="str">
        <f t="shared" si="1407"/>
        <v/>
      </c>
      <c r="BB186" t="str">
        <f t="shared" si="1408"/>
        <v/>
      </c>
      <c r="BC186" t="str">
        <f t="shared" si="1409"/>
        <v/>
      </c>
      <c r="BD186" t="str">
        <f t="shared" si="980"/>
        <v/>
      </c>
      <c r="BE186" t="str">
        <f t="shared" si="981"/>
        <v/>
      </c>
      <c r="BF186" t="str">
        <f t="shared" si="982"/>
        <v/>
      </c>
      <c r="BG186" t="str">
        <f t="shared" si="983"/>
        <v/>
      </c>
      <c r="BH186" t="str">
        <f t="shared" si="984"/>
        <v/>
      </c>
      <c r="BI186" t="str">
        <f t="shared" si="985"/>
        <v/>
      </c>
      <c r="BJ186" t="str">
        <f t="shared" si="986"/>
        <v/>
      </c>
      <c r="BK186" t="str">
        <f t="shared" si="987"/>
        <v/>
      </c>
      <c r="BL186" t="str">
        <f t="shared" si="988"/>
        <v/>
      </c>
      <c r="BM186" t="str">
        <f t="shared" si="989"/>
        <v/>
      </c>
      <c r="BN186" t="str">
        <f t="shared" si="990"/>
        <v/>
      </c>
      <c r="BO186" t="str">
        <f t="shared" si="991"/>
        <v/>
      </c>
      <c r="BP186" t="str">
        <f t="shared" si="992"/>
        <v/>
      </c>
      <c r="BQ186" t="str">
        <f t="shared" si="993"/>
        <v/>
      </c>
      <c r="BR186" t="str">
        <f t="shared" si="994"/>
        <v/>
      </c>
      <c r="BS186" t="str">
        <f t="shared" si="995"/>
        <v/>
      </c>
      <c r="BT186" t="str">
        <f t="shared" si="996"/>
        <v/>
      </c>
      <c r="BU186" t="str">
        <f t="shared" si="997"/>
        <v/>
      </c>
      <c r="BV186" t="str">
        <f t="shared" si="998"/>
        <v/>
      </c>
      <c r="BW186" t="str">
        <f t="shared" si="999"/>
        <v/>
      </c>
      <c r="BX186" t="str">
        <f t="shared" si="1000"/>
        <v/>
      </c>
      <c r="BY186" t="str">
        <f t="shared" si="1001"/>
        <v/>
      </c>
      <c r="BZ186" t="str">
        <f t="shared" si="1002"/>
        <v/>
      </c>
      <c r="CA186" t="str">
        <f t="shared" si="1003"/>
        <v/>
      </c>
      <c r="CB186" t="str">
        <f t="shared" si="1004"/>
        <v/>
      </c>
      <c r="CC186" t="str">
        <f t="shared" si="1005"/>
        <v/>
      </c>
      <c r="CD186" t="str">
        <f t="shared" si="1006"/>
        <v/>
      </c>
      <c r="CE186" t="str">
        <f t="shared" si="1007"/>
        <v/>
      </c>
      <c r="CF186" t="str">
        <f t="shared" si="1008"/>
        <v/>
      </c>
      <c r="CG186" t="str">
        <f t="shared" si="1009"/>
        <v/>
      </c>
      <c r="CH186" t="str">
        <f t="shared" si="1410"/>
        <v/>
      </c>
      <c r="CI186" t="str">
        <f t="shared" si="1411"/>
        <v/>
      </c>
      <c r="CJ186" t="str">
        <f>IF($CI186="","",IF(OR($DW186="",$DX186=""),"ONZEKER",IF(OR($CF186="",$CG186=""),"ONZEKER",IF(AND($DW186=$CF186+1,$DX186=$CG186),IF(OR(COUNTIF(#REF!,$B186)&gt;0,COUNTIF(#REF!,$B186)=0),"SKIP",IF(COUNTIFS(#REF!,$B186,#REF!,$CI186)&gt;0,"OK","ONBEKEND")),IF(AND($DW186=$CF186,$DX186=$CG186+1),IF(OR(COUNTIF(#REF!,$D186)&gt;0,COUNTIF(#REF!,$D186)=0),"SKIP",IF(COUNTIFS(#REF!,$D186,#REF!,$CI186)&gt;0,"OK","ONBEKEND")),"ONZEKER")))))</f>
        <v/>
      </c>
      <c r="CK186" t="str">
        <f t="shared" si="1412"/>
        <v/>
      </c>
      <c r="CL186" t="str">
        <f t="shared" si="1413"/>
        <v/>
      </c>
      <c r="CM186" t="str">
        <f>IF($CL186="","",IF(OR($DZ186="",$EA186=""),"ONZEKER",IF(OR($DW186="",$DX186=""),"ONZEKER",IF(AND($DZ186=$DW186+1,$EA186=$DX186),IF(OR(COUNTIF(#REF!,$B186)&gt;0,COUNTIF(#REF!,$B186)=0),"SKIP",IF(COUNTIFS(#REF!,$B186,#REF!,$CL186)&gt;0,"OK","ONBEKEND")),IF(AND($DZ186=$DW186,$EA186=$DX186+1),IF(OR(COUNTIF(#REF!,$D186)&gt;0,COUNTIF(#REF!,$D186)=0),"SKIP",IF(COUNTIFS(#REF!,$D186,#REF!,$CL186)&gt;0,"OK","ONBEKEND")),"ONZEKER")))))</f>
        <v/>
      </c>
      <c r="CN186" t="str">
        <f t="shared" si="1414"/>
        <v/>
      </c>
      <c r="CO186" t="str">
        <f t="shared" si="1415"/>
        <v/>
      </c>
      <c r="CP186" t="str">
        <f>IF($CO186="","",IF(OR($EC186="",$ED186=""),"ONZEKER",IF(OR($DZ186="",$EA186=""),"ONZEKER",IF(AND($EC186=$DZ186+1,$ED186=$EA186),IF(OR(COUNTIF(#REF!,$B186)&gt;0,COUNTIF(#REF!,$B186)=0),"SKIP",IF(COUNTIFS(#REF!,$B186,#REF!,$CO186)&gt;0,"OK","ONBEKEND")),IF(AND($EC186=$DZ186,$ED186=$EA186+1),IF(OR(COUNTIF(#REF!,$D186)&gt;0,COUNTIF(#REF!,$D186)=0),"SKIP",IF(COUNTIFS(#REF!,$D186,#REF!,$CO186)&gt;0,"OK","ONBEKEND")),"ONZEKER")))))</f>
        <v/>
      </c>
      <c r="CQ186" t="str">
        <f t="shared" si="1416"/>
        <v/>
      </c>
      <c r="CR186" t="str">
        <f t="shared" si="1417"/>
        <v/>
      </c>
      <c r="CS186" t="str">
        <f>IF($CR186="","",IF(OR($EF186="",$EG186=""),"ONZEKER",IF(OR($EC186="",$ED186=""),"ONZEKER",IF(AND($EF186=$EC186+1,$EG186=$ED186),IF(OR(COUNTIF(#REF!,$B186)&gt;0,COUNTIF(#REF!,$B186)=0),"SKIP",IF(COUNTIFS(#REF!,$B186,#REF!,$CR186)&gt;0,"OK","ONBEKEND")),IF(AND($EF186=$EC186,$EG186=$ED186+1),IF(OR(COUNTIF(#REF!,$D186)&gt;0,COUNTIF(#REF!,$D186)=0),"SKIP",IF(COUNTIFS(#REF!,$D186,#REF!,$CR186)&gt;0,"OK","ONBEKEND")),"ONZEKER")))))</f>
        <v/>
      </c>
      <c r="CT186" t="str">
        <f t="shared" si="1418"/>
        <v/>
      </c>
      <c r="CU186" t="str">
        <f t="shared" si="1419"/>
        <v/>
      </c>
      <c r="CV186" t="str">
        <f>IF($CU186="","",IF(OR($EI186="",$EJ186=""),"ONZEKER",IF(OR($EF186="",$EG186=""),"ONZEKER",IF(AND($EI186=$EF186+1,$EJ186=$EG186),IF(OR(COUNTIF(#REF!,$B186)&gt;0,COUNTIF(#REF!,$B186)=0),"SKIP",IF(COUNTIFS(#REF!,$B186,#REF!,$CU186)&gt;0,"OK","ONBEKEND")),IF(AND($EI186=$EF186,$EJ186=$EG186+1),IF(OR(COUNTIF(#REF!,$D186)&gt;0,COUNTIF(#REF!,$D186)=0),"SKIP",IF(COUNTIFS(#REF!,$D186,#REF!,$CU186)&gt;0,"OK","ONBEKEND")),"ONZEKER")))))</f>
        <v/>
      </c>
      <c r="CW186" t="str">
        <f t="shared" si="1420"/>
        <v/>
      </c>
      <c r="CX186" t="str">
        <f t="shared" si="1421"/>
        <v/>
      </c>
      <c r="CY186" t="str">
        <f>IF($CX186="","",IF(OR($EL186="",$EM186=""),"ONZEKER",IF(OR($EI186="",$EJ186=""),"ONZEKER",IF(AND($EL186=$EI186+1,$EM186=$EJ186),IF(OR(COUNTIF(#REF!,$B186)&gt;0,COUNTIF(#REF!,$B186)=0),"SKIP",IF(COUNTIFS(#REF!,$B186,#REF!,$CX186)&gt;0,"OK","ONBEKEND")),IF(AND($EL186=$EI186,$EM186=$EJ186+1),IF(OR(COUNTIF(#REF!,$D186)&gt;0,COUNTIF(#REF!,$D186)=0),"SKIP",IF(COUNTIFS(#REF!,$D186,#REF!,$CX186)&gt;0,"OK","ONBEKEND")),"ONZEKER")))))</f>
        <v/>
      </c>
      <c r="CZ186" t="str">
        <f t="shared" si="1422"/>
        <v/>
      </c>
      <c r="DA186" t="str">
        <f t="shared" si="1423"/>
        <v/>
      </c>
      <c r="DB186" t="str">
        <f>IF($DA186="","",IF(OR($EO186="",$EP186=""),"ONZEKER",IF(OR($EL186="",$EM186=""),"ONZEKER",IF(AND($EO186=$EL186+1,$EP186=$EM186),IF(OR(COUNTIF(#REF!,$B186)&gt;0,COUNTIF(#REF!,$B186)=0),"SKIP",IF(COUNTIFS(#REF!,$B186,#REF!,$DA186)&gt;0,"OK","ONBEKEND")),IF(AND($EO186=$EL186,$EP186=$EM186+1),IF(OR(COUNTIF(#REF!,$D186)&gt;0,COUNTIF(#REF!,$D186)=0),"SKIP",IF(COUNTIFS(#REF!,$D186,#REF!,$DA186)&gt;0,"OK","ONBEKEND")),"ONZEKER")))))</f>
        <v/>
      </c>
      <c r="DC186" t="str">
        <f t="shared" si="1424"/>
        <v/>
      </c>
      <c r="DD186" t="str">
        <f t="shared" si="1425"/>
        <v/>
      </c>
      <c r="DE186" t="str">
        <f>IF($DD186="","",IF(OR($ER186="",$ES186=""),"ONZEKER",IF(OR($EO186="",$EP186=""),"ONZEKER",IF(AND($ER186=$EO186+1,$ES186=$EP186),IF(OR(COUNTIF(#REF!,$B186)&gt;0,COUNTIF(#REF!,$B186)=0),"SKIP",IF(COUNTIFS(#REF!,$B186,#REF!,$DD186)&gt;0,"OK","ONBEKEND")),IF(AND($ER186=$EO186,$ES186=$EP186+1),IF(OR(COUNTIF(#REF!,$D186)&gt;0,COUNTIF(#REF!,$D186)=0),"SKIP",IF(COUNTIFS(#REF!,$D186,#REF!,$DD186)&gt;0,"OK","ONBEKEND")),"ONZEKER")))))</f>
        <v/>
      </c>
      <c r="DF186" t="str">
        <f t="shared" si="1426"/>
        <v/>
      </c>
      <c r="DG186" t="str">
        <f t="shared" si="1427"/>
        <v/>
      </c>
      <c r="DH186" t="str">
        <f>IF($DG186="","",IF(OR($EU186="",$EV186=""),"ONZEKER",IF(OR($ER186="",$ES186=""),"ONZEKER",IF(AND($EU186=$ER186+1,$EV186=$ES186),IF(OR(COUNTIF(#REF!,$B186)&gt;0,COUNTIF(#REF!,$B186)=0),"SKIP",IF(COUNTIFS(#REF!,$B186,#REF!,$DG186)&gt;0,"OK","ONBEKEND")),IF(AND($EU186=$ER186,$EV186=$ES186+1),IF(OR(COUNTIF(#REF!,$D186)&gt;0,COUNTIF(#REF!,$D186)=0),"SKIP",IF(COUNTIFS(#REF!,$D186,#REF!,$DG186)&gt;0,"OK","ONBEKEND")),"ONZEKER")))))</f>
        <v/>
      </c>
      <c r="DI186" t="str">
        <f t="shared" si="1428"/>
        <v/>
      </c>
      <c r="DJ186" t="str">
        <f t="shared" si="1429"/>
        <v/>
      </c>
      <c r="DK186" t="str">
        <f>IF($DJ186="","",IF(OR($EX186="",$EY186=""),"ONZEKER",IF(OR($EU186="",$EV186=""),"ONZEKER",IF(AND($EX186=$EU186+1,$EY186=$EV186),IF(OR(COUNTIF(#REF!,$B186)&gt;0,COUNTIF(#REF!,$B186)=0),"SKIP",IF(COUNTIFS(#REF!,$B186,#REF!,$DJ186)&gt;0,"OK","ONBEKEND")),IF(AND($EX186=$EU186,$EY186=$EV186+1),IF(OR(COUNTIF(#REF!,$D186)&gt;0,COUNTIF(#REF!,$D186)=0),"SKIP",IF(COUNTIFS(#REF!,$D186,#REF!,$DJ186)&gt;0,"OK","ONBEKEND")),"ONZEKER")))))</f>
        <v/>
      </c>
      <c r="DL186" t="str">
        <f t="shared" si="1430"/>
        <v/>
      </c>
      <c r="DM186" t="str">
        <f t="shared" si="1431"/>
        <v/>
      </c>
      <c r="DN186" t="str">
        <f t="shared" si="1432"/>
        <v/>
      </c>
      <c r="DO186" t="str">
        <f t="shared" si="1433"/>
        <v/>
      </c>
      <c r="DP186" t="str">
        <f t="shared" si="1434"/>
        <v/>
      </c>
      <c r="DQ186" t="str">
        <f t="shared" si="1435"/>
        <v/>
      </c>
      <c r="DR186" t="str">
        <f t="shared" si="1436"/>
        <v/>
      </c>
      <c r="DS186" t="str">
        <f t="shared" si="1437"/>
        <v/>
      </c>
      <c r="DT186" t="str">
        <f t="shared" si="1438"/>
        <v/>
      </c>
      <c r="DU186" t="str">
        <f t="shared" si="1439"/>
        <v/>
      </c>
      <c r="DV186" t="str">
        <f t="shared" si="1440"/>
        <v/>
      </c>
      <c r="DW186" t="str">
        <f t="shared" si="1441"/>
        <v/>
      </c>
      <c r="DX186" t="str">
        <f t="shared" si="1442"/>
        <v/>
      </c>
      <c r="DY186" t="str">
        <f t="shared" si="1443"/>
        <v/>
      </c>
      <c r="DZ186" t="str">
        <f t="shared" si="1444"/>
        <v/>
      </c>
      <c r="EA186" t="str">
        <f t="shared" si="1445"/>
        <v/>
      </c>
      <c r="EB186" t="str">
        <f t="shared" si="1446"/>
        <v/>
      </c>
      <c r="EC186" t="str">
        <f t="shared" si="1447"/>
        <v/>
      </c>
      <c r="ED186" t="str">
        <f t="shared" si="1448"/>
        <v/>
      </c>
      <c r="EE186" t="str">
        <f t="shared" si="1449"/>
        <v/>
      </c>
      <c r="EF186" t="str">
        <f t="shared" si="1450"/>
        <v/>
      </c>
      <c r="EG186" t="str">
        <f t="shared" si="1451"/>
        <v/>
      </c>
      <c r="EH186" t="str">
        <f t="shared" si="1452"/>
        <v/>
      </c>
      <c r="EI186" t="str">
        <f t="shared" si="1453"/>
        <v/>
      </c>
      <c r="EJ186" t="str">
        <f t="shared" si="1454"/>
        <v/>
      </c>
      <c r="EK186" t="str">
        <f t="shared" si="1455"/>
        <v/>
      </c>
      <c r="EL186" t="str">
        <f t="shared" si="1456"/>
        <v/>
      </c>
      <c r="EM186" t="str">
        <f t="shared" si="1457"/>
        <v/>
      </c>
      <c r="EN186" t="str">
        <f t="shared" si="1458"/>
        <v/>
      </c>
      <c r="EO186" t="str">
        <f t="shared" si="1459"/>
        <v/>
      </c>
      <c r="EP186" t="str">
        <f t="shared" si="1460"/>
        <v/>
      </c>
      <c r="EQ186" t="str">
        <f t="shared" si="1461"/>
        <v/>
      </c>
      <c r="ER186" t="str">
        <f t="shared" si="1462"/>
        <v/>
      </c>
      <c r="ES186" t="str">
        <f t="shared" si="1463"/>
        <v/>
      </c>
      <c r="ET186" t="str">
        <f t="shared" si="1464"/>
        <v/>
      </c>
      <c r="EU186" t="str">
        <f t="shared" si="1465"/>
        <v/>
      </c>
      <c r="EV186" t="str">
        <f t="shared" si="1466"/>
        <v/>
      </c>
      <c r="EW186" t="str">
        <f t="shared" si="1467"/>
        <v/>
      </c>
      <c r="EX186" t="str">
        <f t="shared" si="1468"/>
        <v/>
      </c>
      <c r="EY186" t="str">
        <f t="shared" si="1469"/>
        <v/>
      </c>
    </row>
    <row r="187" spans="1:155" ht="13.9" customHeight="1" x14ac:dyDescent="0.25">
      <c r="A187" s="7"/>
      <c r="B187" s="17"/>
      <c r="C187" s="8"/>
      <c r="D187" s="17"/>
      <c r="E187" s="8"/>
      <c r="F187" s="18">
        <v>0</v>
      </c>
      <c r="G187" s="7" t="s">
        <v>147</v>
      </c>
      <c r="H187" s="18">
        <v>0</v>
      </c>
      <c r="I187" s="19">
        <v>0</v>
      </c>
      <c r="J187" s="7" t="s">
        <v>147</v>
      </c>
      <c r="K187" s="19">
        <v>0</v>
      </c>
      <c r="L187" s="9"/>
      <c r="M187" s="3" t="str">
        <f>IF($L187="","",IF($L187="DOELPUNTENMAKERS","",IF(AND(COUNTIF(#REF!,$B187)=0,COUNTIF(#REF!,$D187)=0),"OK",IF($O187&gt;20,"LET OP: meer dan 20 items (controle onvolledig)",IF((COUNTIF($R187:$AS187,"ONZEKER")+COUNTIF($CJ187:$DK187,"ONZEKER"))&gt;0,"LET OP: scoreverloop onduidelijk (controle beperkt)",IF((IF($AT187&lt;&gt;"",$AT187&amp;", ","")&amp;IF($AU187&lt;&gt;"",$AU187&amp;", ","")&amp;IF($AV187&lt;&gt;"",$AV187&amp;", ","")&amp;IF($AW187&lt;&gt;"",$AW187&amp;", ","")&amp;IF($AX187&lt;&gt;"",$AX187&amp;", ","")&amp;IF($AY187&lt;&gt;"",$AY187&amp;", ","")&amp;IF($AZ187&lt;&gt;"",$AZ187&amp;", ","")&amp;IF($BA187&lt;&gt;"",$BA187&amp;", ","")&amp;IF($BB187&lt;&gt;"",$BB187&amp;", ","")&amp;IF($BC187&lt;&gt;"",$BC187&amp;", ","")&amp;IF($DL187&lt;&gt;"",$DL187&amp;", ","")&amp;IF($DM187&lt;&gt;"",$DM187&amp;", ","")&amp;IF($DN187&lt;&gt;"",$DN187&amp;", ","")&amp;IF($DO187&lt;&gt;"",$DO187&amp;", ","")&amp;IF($DP187&lt;&gt;"",$DP187&amp;", ","")&amp;IF($DQ187&lt;&gt;"",$DQ187&amp;", ","")&amp;IF($DR187&lt;&gt;"",$DR187&amp;", ","")&amp;IF($DS187&lt;&gt;"",$DS187&amp;", ","")&amp;IF($DT187&lt;&gt;"",$DT187&amp;", ","")&amp;IF($DU187&lt;&gt;"",$DU187&amp;", ",""))="","OK","Onbekend: "&amp;LEFT((IF($AT187&lt;&gt;"",$AT187&amp;", ","")&amp;IF($AU187&lt;&gt;"",$AU187&amp;", ","")&amp;IF($AV187&lt;&gt;"",$AV187&amp;", ","")&amp;IF($AW187&lt;&gt;"",$AW187&amp;", ","")&amp;IF($AX187&lt;&gt;"",$AX187&amp;", ","")&amp;IF($AY187&lt;&gt;"",$AY187&amp;", ","")&amp;IF($AZ187&lt;&gt;"",$AZ187&amp;", ","")&amp;IF($BA187&lt;&gt;"",$BA187&amp;", ","")&amp;IF($BB187&lt;&gt;"",$BB187&amp;", ","")&amp;IF($BC187&lt;&gt;"",$BC187&amp;", ","")&amp;IF($DL187&lt;&gt;"",$DL187&amp;", ","")&amp;IF($DM187&lt;&gt;"",$DM187&amp;", ","")&amp;IF($DN187&lt;&gt;"",$DN187&amp;", ","")&amp;IF($DO187&lt;&gt;"",$DO187&amp;", ","")&amp;IF($DP187&lt;&gt;"",$DP187&amp;", ","")&amp;IF($DQ187&lt;&gt;"",$DQ187&amp;", ","")&amp;IF($DR187&lt;&gt;"",$DR187&amp;", ","")&amp;IF($DS187&lt;&gt;"",$DS187&amp;", ","")&amp;IF($DT187&lt;&gt;"",$DT187&amp;", ","")&amp;IF($DU187&lt;&gt;"",$DU187&amp;", ","")),LEN((IF($AT187&lt;&gt;"",$AT187&amp;", ","")&amp;IF($AU187&lt;&gt;"",$AU187&amp;", ","")&amp;IF($AV187&lt;&gt;"",$AV187&amp;", ","")&amp;IF($AW187&lt;&gt;"",$AW187&amp;", ","")&amp;IF($AX187&lt;&gt;"",$AX187&amp;", ","")&amp;IF($AY187&lt;&gt;"",$AY187&amp;", ","")&amp;IF($AZ187&lt;&gt;"",$AZ187&amp;", ","")&amp;IF($BA187&lt;&gt;"",$BA187&amp;", ","")&amp;IF($BB187&lt;&gt;"",$BB187&amp;", ","")&amp;IF($BC187&lt;&gt;"",$BC187&amp;", ","")&amp;IF($DL187&lt;&gt;"",$DL187&amp;", ","")&amp;IF($DM187&lt;&gt;"",$DM187&amp;", ","")&amp;IF($DN187&lt;&gt;"",$DN187&amp;", ","")&amp;IF($DO187&lt;&gt;"",$DO187&amp;", ","")&amp;IF($DP187&lt;&gt;"",$DP187&amp;", ","")&amp;IF($DQ187&lt;&gt;"",$DQ187&amp;", ","")&amp;IF($DR187&lt;&gt;"",$DR187&amp;", ","")&amp;IF($DS187&lt;&gt;"",$DS187&amp;", ","")&amp;IF($DT187&lt;&gt;"",$DT187&amp;", ","")&amp;IF($DU187&lt;&gt;"",$DU187&amp;", ","")))-2)))))))</f>
        <v/>
      </c>
      <c r="N187" t="str">
        <f t="shared" si="1378"/>
        <v/>
      </c>
      <c r="O187" t="str">
        <f t="shared" si="1379"/>
        <v/>
      </c>
      <c r="P187" t="str">
        <f t="shared" si="1380"/>
        <v/>
      </c>
      <c r="Q187" t="str">
        <f t="shared" si="1381"/>
        <v/>
      </c>
      <c r="R187" t="str">
        <f>IF($Q187="","",IF(OR($BE187="",$BF187=""),"ONZEKER",IF(AND($BE187=0+1,$BF187=0),IF(OR(COUNTIF(#REF!,$B187)&gt;0,COUNTIF(#REF!,$B187)=0),"SKIP",IF(COUNTIFS(#REF!,$B187,#REF!,$Q187)&gt;0,"OK","ONBEKEND")),IF(AND($BE187=0,$BF187=0+1),IF(OR(COUNTIF(#REF!,$D187)&gt;0,COUNTIF(#REF!,$D187)=0),"SKIP",IF(COUNTIFS(#REF!,$D187,#REF!,$Q187)&gt;0,"OK","ONBEKEND")),"ONZEKER"))))</f>
        <v/>
      </c>
      <c r="S187" t="str">
        <f t="shared" si="1382"/>
        <v/>
      </c>
      <c r="T187" t="str">
        <f t="shared" si="1383"/>
        <v/>
      </c>
      <c r="U187" t="str">
        <f>IF($T187="","",IF(OR($BH187="",$BI187=""),"ONZEKER",IF(OR($BE187="",$BF187=""),"ONZEKER",IF(AND($BH187=$BE187+1,$BI187=$BF187),IF(OR(COUNTIF(#REF!,$B187)&gt;0,COUNTIF(#REF!,$B187)=0),"SKIP",IF(COUNTIFS(#REF!,$B187,#REF!,$T187)&gt;0,"OK","ONBEKEND")),IF(AND($BH187=$BE187,$BI187=$BF187+1),IF(OR(COUNTIF(#REF!,$D187)&gt;0,COUNTIF(#REF!,$D187)=0),"SKIP",IF(COUNTIFS(#REF!,$D187,#REF!,$T187)&gt;0,"OK","ONBEKEND")),"ONZEKER")))))</f>
        <v/>
      </c>
      <c r="V187" t="str">
        <f t="shared" si="1384"/>
        <v/>
      </c>
      <c r="W187" t="str">
        <f t="shared" si="1385"/>
        <v/>
      </c>
      <c r="X187" t="str">
        <f>IF($W187="","",IF(OR($BK187="",$BL187=""),"ONZEKER",IF(OR($BH187="",$BI187=""),"ONZEKER",IF(AND($BK187=$BH187+1,$BL187=$BI187),IF(OR(COUNTIF(#REF!,$B187)&gt;0,COUNTIF(#REF!,$B187)=0),"SKIP",IF(COUNTIFS(#REF!,$B187,#REF!,$W187)&gt;0,"OK","ONBEKEND")),IF(AND($BK187=$BH187,$BL187=$BI187+1),IF(OR(COUNTIF(#REF!,$D187)&gt;0,COUNTIF(#REF!,$D187)=0),"SKIP",IF(COUNTIFS(#REF!,$D187,#REF!,$W187)&gt;0,"OK","ONBEKEND")),"ONZEKER")))))</f>
        <v/>
      </c>
      <c r="Y187" t="str">
        <f t="shared" si="1386"/>
        <v/>
      </c>
      <c r="Z187" t="str">
        <f t="shared" si="1387"/>
        <v/>
      </c>
      <c r="AA187" t="str">
        <f>IF($Z187="","",IF(OR($BN187="",$BO187=""),"ONZEKER",IF(OR($BK187="",$BL187=""),"ONZEKER",IF(AND($BN187=$BK187+1,$BO187=$BL187),IF(OR(COUNTIF(#REF!,$B187)&gt;0,COUNTIF(#REF!,$B187)=0),"SKIP",IF(COUNTIFS(#REF!,$B187,#REF!,$Z187)&gt;0,"OK","ONBEKEND")),IF(AND($BN187=$BK187,$BO187=$BL187+1),IF(OR(COUNTIF(#REF!,$D187)&gt;0,COUNTIF(#REF!,$D187)=0),"SKIP",IF(COUNTIFS(#REF!,$D187,#REF!,$Z187)&gt;0,"OK","ONBEKEND")),"ONZEKER")))))</f>
        <v/>
      </c>
      <c r="AB187" t="str">
        <f t="shared" si="1388"/>
        <v/>
      </c>
      <c r="AC187" t="str">
        <f t="shared" si="1389"/>
        <v/>
      </c>
      <c r="AD187" t="str">
        <f>IF($AC187="","",IF(OR($BQ187="",$BR187=""),"ONZEKER",IF(OR($BN187="",$BO187=""),"ONZEKER",IF(AND($BQ187=$BN187+1,$BR187=$BO187),IF(OR(COUNTIF(#REF!,$B187)&gt;0,COUNTIF(#REF!,$B187)=0),"SKIP",IF(COUNTIFS(#REF!,$B187,#REF!,$AC187)&gt;0,"OK","ONBEKEND")),IF(AND($BQ187=$BN187,$BR187=$BO187+1),IF(OR(COUNTIF(#REF!,$D187)&gt;0,COUNTIF(#REF!,$D187)=0),"SKIP",IF(COUNTIFS(#REF!,$D187,#REF!,$AC187)&gt;0,"OK","ONBEKEND")),"ONZEKER")))))</f>
        <v/>
      </c>
      <c r="AE187" t="str">
        <f t="shared" si="1390"/>
        <v/>
      </c>
      <c r="AF187" t="str">
        <f t="shared" si="1391"/>
        <v/>
      </c>
      <c r="AG187" t="str">
        <f>IF($AF187="","",IF(OR($BT187="",$BU187=""),"ONZEKER",IF(OR($BQ187="",$BR187=""),"ONZEKER",IF(AND($BT187=$BQ187+1,$BU187=$BR187),IF(OR(COUNTIF(#REF!,$B187)&gt;0,COUNTIF(#REF!,$B187)=0),"SKIP",IF(COUNTIFS(#REF!,$B187,#REF!,$AF187)&gt;0,"OK","ONBEKEND")),IF(AND($BT187=$BQ187,$BU187=$BR187+1),IF(OR(COUNTIF(#REF!,$D187)&gt;0,COUNTIF(#REF!,$D187)=0),"SKIP",IF(COUNTIFS(#REF!,$D187,#REF!,$AF187)&gt;0,"OK","ONBEKEND")),"ONZEKER")))))</f>
        <v/>
      </c>
      <c r="AH187" t="str">
        <f t="shared" si="1392"/>
        <v/>
      </c>
      <c r="AI187" t="str">
        <f t="shared" si="1393"/>
        <v/>
      </c>
      <c r="AJ187" t="str">
        <f>IF($AI187="","",IF(OR($BW187="",$BX187=""),"ONZEKER",IF(OR($BT187="",$BU187=""),"ONZEKER",IF(AND($BW187=$BT187+1,$BX187=$BU187),IF(OR(COUNTIF(#REF!,$B187)&gt;0,COUNTIF(#REF!,$B187)=0),"SKIP",IF(COUNTIFS(#REF!,$B187,#REF!,$AI187)&gt;0,"OK","ONBEKEND")),IF(AND($BW187=$BT187,$BX187=$BU187+1),IF(OR(COUNTIF(#REF!,$D187)&gt;0,COUNTIF(#REF!,$D187)=0),"SKIP",IF(COUNTIFS(#REF!,$D187,#REF!,$AI187)&gt;0,"OK","ONBEKEND")),"ONZEKER")))))</f>
        <v/>
      </c>
      <c r="AK187" t="str">
        <f t="shared" si="1394"/>
        <v/>
      </c>
      <c r="AL187" t="str">
        <f t="shared" si="1395"/>
        <v/>
      </c>
      <c r="AM187" t="str">
        <f>IF($AL187="","",IF(OR($BZ187="",$CA187=""),"ONZEKER",IF(OR($BW187="",$BX187=""),"ONZEKER",IF(AND($BZ187=$BW187+1,$CA187=$BX187),IF(OR(COUNTIF(#REF!,$B187)&gt;0,COUNTIF(#REF!,$B187)=0),"SKIP",IF(COUNTIFS(#REF!,$B187,#REF!,$AL187)&gt;0,"OK","ONBEKEND")),IF(AND($BZ187=$BW187,$CA187=$BX187+1),IF(OR(COUNTIF(#REF!,$D187)&gt;0,COUNTIF(#REF!,$D187)=0),"SKIP",IF(COUNTIFS(#REF!,$D187,#REF!,$AL187)&gt;0,"OK","ONBEKEND")),"ONZEKER")))))</f>
        <v/>
      </c>
      <c r="AN187" t="str">
        <f t="shared" si="1396"/>
        <v/>
      </c>
      <c r="AO187" t="str">
        <f t="shared" si="1397"/>
        <v/>
      </c>
      <c r="AP187" t="str">
        <f>IF($AO187="","",IF(OR($CC187="",$CD187=""),"ONZEKER",IF(OR($BZ187="",$CA187=""),"ONZEKER",IF(AND($CC187=$BZ187+1,$CD187=$CA187),IF(OR(COUNTIF(#REF!,$B187)&gt;0,COUNTIF(#REF!,$B187)=0),"SKIP",IF(COUNTIFS(#REF!,$B187,#REF!,$AO187)&gt;0,"OK","ONBEKEND")),IF(AND($CC187=$BZ187,$CD187=$CA187+1),IF(OR(COUNTIF(#REF!,$D187)&gt;0,COUNTIF(#REF!,$D187)=0),"SKIP",IF(COUNTIFS(#REF!,$D187,#REF!,$AO187)&gt;0,"OK","ONBEKEND")),"ONZEKER")))))</f>
        <v/>
      </c>
      <c r="AQ187" t="str">
        <f t="shared" si="1398"/>
        <v/>
      </c>
      <c r="AR187" t="str">
        <f t="shared" si="1399"/>
        <v/>
      </c>
      <c r="AS187" t="str">
        <f>IF($AR187="","",IF(OR($CF187="",$CG187=""),"ONZEKER",IF(OR($CC187="",$CD187=""),"ONZEKER",IF(AND($CF187=$CC187+1,$CG187=$CD187),IF(OR(COUNTIF(#REF!,$B187)&gt;0,COUNTIF(#REF!,$B187)=0),"SKIP",IF(COUNTIFS(#REF!,$B187,#REF!,$AR187)&gt;0,"OK","ONBEKEND")),IF(AND($CF187=$CC187,$CG187=$CD187+1),IF(OR(COUNTIF(#REF!,$D187)&gt;0,COUNTIF(#REF!,$D187)=0),"SKIP",IF(COUNTIFS(#REF!,$D187,#REF!,$AR187)&gt;0,"OK","ONBEKEND")),"ONZEKER")))))</f>
        <v/>
      </c>
      <c r="AT187" t="str">
        <f t="shared" si="1400"/>
        <v/>
      </c>
      <c r="AU187" t="str">
        <f t="shared" si="1401"/>
        <v/>
      </c>
      <c r="AV187" t="str">
        <f t="shared" si="1402"/>
        <v/>
      </c>
      <c r="AW187" t="str">
        <f t="shared" si="1403"/>
        <v/>
      </c>
      <c r="AX187" t="str">
        <f t="shared" si="1404"/>
        <v/>
      </c>
      <c r="AY187" t="str">
        <f t="shared" si="1405"/>
        <v/>
      </c>
      <c r="AZ187" t="str">
        <f t="shared" si="1406"/>
        <v/>
      </c>
      <c r="BA187" t="str">
        <f t="shared" si="1407"/>
        <v/>
      </c>
      <c r="BB187" t="str">
        <f t="shared" si="1408"/>
        <v/>
      </c>
      <c r="BC187" t="str">
        <f t="shared" si="1409"/>
        <v/>
      </c>
      <c r="BD187" t="str">
        <f t="shared" si="980"/>
        <v/>
      </c>
      <c r="BE187" t="str">
        <f t="shared" si="981"/>
        <v/>
      </c>
      <c r="BF187" t="str">
        <f t="shared" si="982"/>
        <v/>
      </c>
      <c r="BG187" t="str">
        <f t="shared" si="983"/>
        <v/>
      </c>
      <c r="BH187" t="str">
        <f t="shared" si="984"/>
        <v/>
      </c>
      <c r="BI187" t="str">
        <f t="shared" si="985"/>
        <v/>
      </c>
      <c r="BJ187" t="str">
        <f t="shared" si="986"/>
        <v/>
      </c>
      <c r="BK187" t="str">
        <f t="shared" si="987"/>
        <v/>
      </c>
      <c r="BL187" t="str">
        <f t="shared" si="988"/>
        <v/>
      </c>
      <c r="BM187" t="str">
        <f t="shared" si="989"/>
        <v/>
      </c>
      <c r="BN187" t="str">
        <f t="shared" si="990"/>
        <v/>
      </c>
      <c r="BO187" t="str">
        <f t="shared" si="991"/>
        <v/>
      </c>
      <c r="BP187" t="str">
        <f t="shared" si="992"/>
        <v/>
      </c>
      <c r="BQ187" t="str">
        <f t="shared" si="993"/>
        <v/>
      </c>
      <c r="BR187" t="str">
        <f t="shared" si="994"/>
        <v/>
      </c>
      <c r="BS187" t="str">
        <f t="shared" si="995"/>
        <v/>
      </c>
      <c r="BT187" t="str">
        <f t="shared" si="996"/>
        <v/>
      </c>
      <c r="BU187" t="str">
        <f t="shared" si="997"/>
        <v/>
      </c>
      <c r="BV187" t="str">
        <f t="shared" si="998"/>
        <v/>
      </c>
      <c r="BW187" t="str">
        <f t="shared" si="999"/>
        <v/>
      </c>
      <c r="BX187" t="str">
        <f t="shared" si="1000"/>
        <v/>
      </c>
      <c r="BY187" t="str">
        <f t="shared" si="1001"/>
        <v/>
      </c>
      <c r="BZ187" t="str">
        <f t="shared" si="1002"/>
        <v/>
      </c>
      <c r="CA187" t="str">
        <f t="shared" si="1003"/>
        <v/>
      </c>
      <c r="CB187" t="str">
        <f t="shared" si="1004"/>
        <v/>
      </c>
      <c r="CC187" t="str">
        <f t="shared" si="1005"/>
        <v/>
      </c>
      <c r="CD187" t="str">
        <f t="shared" si="1006"/>
        <v/>
      </c>
      <c r="CE187" t="str">
        <f t="shared" si="1007"/>
        <v/>
      </c>
      <c r="CF187" t="str">
        <f t="shared" si="1008"/>
        <v/>
      </c>
      <c r="CG187" t="str">
        <f t="shared" si="1009"/>
        <v/>
      </c>
      <c r="CH187" t="str">
        <f t="shared" si="1410"/>
        <v/>
      </c>
      <c r="CI187" t="str">
        <f t="shared" si="1411"/>
        <v/>
      </c>
      <c r="CJ187" t="str">
        <f>IF($CI187="","",IF(OR($DW187="",$DX187=""),"ONZEKER",IF(OR($CF187="",$CG187=""),"ONZEKER",IF(AND($DW187=$CF187+1,$DX187=$CG187),IF(OR(COUNTIF(#REF!,$B187)&gt;0,COUNTIF(#REF!,$B187)=0),"SKIP",IF(COUNTIFS(#REF!,$B187,#REF!,$CI187)&gt;0,"OK","ONBEKEND")),IF(AND($DW187=$CF187,$DX187=$CG187+1),IF(OR(COUNTIF(#REF!,$D187)&gt;0,COUNTIF(#REF!,$D187)=0),"SKIP",IF(COUNTIFS(#REF!,$D187,#REF!,$CI187)&gt;0,"OK","ONBEKEND")),"ONZEKER")))))</f>
        <v/>
      </c>
      <c r="CK187" t="str">
        <f t="shared" si="1412"/>
        <v/>
      </c>
      <c r="CL187" t="str">
        <f t="shared" si="1413"/>
        <v/>
      </c>
      <c r="CM187" t="str">
        <f>IF($CL187="","",IF(OR($DZ187="",$EA187=""),"ONZEKER",IF(OR($DW187="",$DX187=""),"ONZEKER",IF(AND($DZ187=$DW187+1,$EA187=$DX187),IF(OR(COUNTIF(#REF!,$B187)&gt;0,COUNTIF(#REF!,$B187)=0),"SKIP",IF(COUNTIFS(#REF!,$B187,#REF!,$CL187)&gt;0,"OK","ONBEKEND")),IF(AND($DZ187=$DW187,$EA187=$DX187+1),IF(OR(COUNTIF(#REF!,$D187)&gt;0,COUNTIF(#REF!,$D187)=0),"SKIP",IF(COUNTIFS(#REF!,$D187,#REF!,$CL187)&gt;0,"OK","ONBEKEND")),"ONZEKER")))))</f>
        <v/>
      </c>
      <c r="CN187" t="str">
        <f t="shared" si="1414"/>
        <v/>
      </c>
      <c r="CO187" t="str">
        <f t="shared" si="1415"/>
        <v/>
      </c>
      <c r="CP187" t="str">
        <f>IF($CO187="","",IF(OR($EC187="",$ED187=""),"ONZEKER",IF(OR($DZ187="",$EA187=""),"ONZEKER",IF(AND($EC187=$DZ187+1,$ED187=$EA187),IF(OR(COUNTIF(#REF!,$B187)&gt;0,COUNTIF(#REF!,$B187)=0),"SKIP",IF(COUNTIFS(#REF!,$B187,#REF!,$CO187)&gt;0,"OK","ONBEKEND")),IF(AND($EC187=$DZ187,$ED187=$EA187+1),IF(OR(COUNTIF(#REF!,$D187)&gt;0,COUNTIF(#REF!,$D187)=0),"SKIP",IF(COUNTIFS(#REF!,$D187,#REF!,$CO187)&gt;0,"OK","ONBEKEND")),"ONZEKER")))))</f>
        <v/>
      </c>
      <c r="CQ187" t="str">
        <f t="shared" si="1416"/>
        <v/>
      </c>
      <c r="CR187" t="str">
        <f t="shared" si="1417"/>
        <v/>
      </c>
      <c r="CS187" t="str">
        <f>IF($CR187="","",IF(OR($EF187="",$EG187=""),"ONZEKER",IF(OR($EC187="",$ED187=""),"ONZEKER",IF(AND($EF187=$EC187+1,$EG187=$ED187),IF(OR(COUNTIF(#REF!,$B187)&gt;0,COUNTIF(#REF!,$B187)=0),"SKIP",IF(COUNTIFS(#REF!,$B187,#REF!,$CR187)&gt;0,"OK","ONBEKEND")),IF(AND($EF187=$EC187,$EG187=$ED187+1),IF(OR(COUNTIF(#REF!,$D187)&gt;0,COUNTIF(#REF!,$D187)=0),"SKIP",IF(COUNTIFS(#REF!,$D187,#REF!,$CR187)&gt;0,"OK","ONBEKEND")),"ONZEKER")))))</f>
        <v/>
      </c>
      <c r="CT187" t="str">
        <f t="shared" si="1418"/>
        <v/>
      </c>
      <c r="CU187" t="str">
        <f t="shared" si="1419"/>
        <v/>
      </c>
      <c r="CV187" t="str">
        <f>IF($CU187="","",IF(OR($EI187="",$EJ187=""),"ONZEKER",IF(OR($EF187="",$EG187=""),"ONZEKER",IF(AND($EI187=$EF187+1,$EJ187=$EG187),IF(OR(COUNTIF(#REF!,$B187)&gt;0,COUNTIF(#REF!,$B187)=0),"SKIP",IF(COUNTIFS(#REF!,$B187,#REF!,$CU187)&gt;0,"OK","ONBEKEND")),IF(AND($EI187=$EF187,$EJ187=$EG187+1),IF(OR(COUNTIF(#REF!,$D187)&gt;0,COUNTIF(#REF!,$D187)=0),"SKIP",IF(COUNTIFS(#REF!,$D187,#REF!,$CU187)&gt;0,"OK","ONBEKEND")),"ONZEKER")))))</f>
        <v/>
      </c>
      <c r="CW187" t="str">
        <f t="shared" si="1420"/>
        <v/>
      </c>
      <c r="CX187" t="str">
        <f t="shared" si="1421"/>
        <v/>
      </c>
      <c r="CY187" t="str">
        <f>IF($CX187="","",IF(OR($EL187="",$EM187=""),"ONZEKER",IF(OR($EI187="",$EJ187=""),"ONZEKER",IF(AND($EL187=$EI187+1,$EM187=$EJ187),IF(OR(COUNTIF(#REF!,$B187)&gt;0,COUNTIF(#REF!,$B187)=0),"SKIP",IF(COUNTIFS(#REF!,$B187,#REF!,$CX187)&gt;0,"OK","ONBEKEND")),IF(AND($EL187=$EI187,$EM187=$EJ187+1),IF(OR(COUNTIF(#REF!,$D187)&gt;0,COUNTIF(#REF!,$D187)=0),"SKIP",IF(COUNTIFS(#REF!,$D187,#REF!,$CX187)&gt;0,"OK","ONBEKEND")),"ONZEKER")))))</f>
        <v/>
      </c>
      <c r="CZ187" t="str">
        <f t="shared" si="1422"/>
        <v/>
      </c>
      <c r="DA187" t="str">
        <f t="shared" si="1423"/>
        <v/>
      </c>
      <c r="DB187" t="str">
        <f>IF($DA187="","",IF(OR($EO187="",$EP187=""),"ONZEKER",IF(OR($EL187="",$EM187=""),"ONZEKER",IF(AND($EO187=$EL187+1,$EP187=$EM187),IF(OR(COUNTIF(#REF!,$B187)&gt;0,COUNTIF(#REF!,$B187)=0),"SKIP",IF(COUNTIFS(#REF!,$B187,#REF!,$DA187)&gt;0,"OK","ONBEKEND")),IF(AND($EO187=$EL187,$EP187=$EM187+1),IF(OR(COUNTIF(#REF!,$D187)&gt;0,COUNTIF(#REF!,$D187)=0),"SKIP",IF(COUNTIFS(#REF!,$D187,#REF!,$DA187)&gt;0,"OK","ONBEKEND")),"ONZEKER")))))</f>
        <v/>
      </c>
      <c r="DC187" t="str">
        <f t="shared" si="1424"/>
        <v/>
      </c>
      <c r="DD187" t="str">
        <f t="shared" si="1425"/>
        <v/>
      </c>
      <c r="DE187" t="str">
        <f>IF($DD187="","",IF(OR($ER187="",$ES187=""),"ONZEKER",IF(OR($EO187="",$EP187=""),"ONZEKER",IF(AND($ER187=$EO187+1,$ES187=$EP187),IF(OR(COUNTIF(#REF!,$B187)&gt;0,COUNTIF(#REF!,$B187)=0),"SKIP",IF(COUNTIFS(#REF!,$B187,#REF!,$DD187)&gt;0,"OK","ONBEKEND")),IF(AND($ER187=$EO187,$ES187=$EP187+1),IF(OR(COUNTIF(#REF!,$D187)&gt;0,COUNTIF(#REF!,$D187)=0),"SKIP",IF(COUNTIFS(#REF!,$D187,#REF!,$DD187)&gt;0,"OK","ONBEKEND")),"ONZEKER")))))</f>
        <v/>
      </c>
      <c r="DF187" t="str">
        <f t="shared" si="1426"/>
        <v/>
      </c>
      <c r="DG187" t="str">
        <f t="shared" si="1427"/>
        <v/>
      </c>
      <c r="DH187" t="str">
        <f>IF($DG187="","",IF(OR($EU187="",$EV187=""),"ONZEKER",IF(OR($ER187="",$ES187=""),"ONZEKER",IF(AND($EU187=$ER187+1,$EV187=$ES187),IF(OR(COUNTIF(#REF!,$B187)&gt;0,COUNTIF(#REF!,$B187)=0),"SKIP",IF(COUNTIFS(#REF!,$B187,#REF!,$DG187)&gt;0,"OK","ONBEKEND")),IF(AND($EU187=$ER187,$EV187=$ES187+1),IF(OR(COUNTIF(#REF!,$D187)&gt;0,COUNTIF(#REF!,$D187)=0),"SKIP",IF(COUNTIFS(#REF!,$D187,#REF!,$DG187)&gt;0,"OK","ONBEKEND")),"ONZEKER")))))</f>
        <v/>
      </c>
      <c r="DI187" t="str">
        <f t="shared" si="1428"/>
        <v/>
      </c>
      <c r="DJ187" t="str">
        <f t="shared" si="1429"/>
        <v/>
      </c>
      <c r="DK187" t="str">
        <f>IF($DJ187="","",IF(OR($EX187="",$EY187=""),"ONZEKER",IF(OR($EU187="",$EV187=""),"ONZEKER",IF(AND($EX187=$EU187+1,$EY187=$EV187),IF(OR(COUNTIF(#REF!,$B187)&gt;0,COUNTIF(#REF!,$B187)=0),"SKIP",IF(COUNTIFS(#REF!,$B187,#REF!,$DJ187)&gt;0,"OK","ONBEKEND")),IF(AND($EX187=$EU187,$EY187=$EV187+1),IF(OR(COUNTIF(#REF!,$D187)&gt;0,COUNTIF(#REF!,$D187)=0),"SKIP",IF(COUNTIFS(#REF!,$D187,#REF!,$DJ187)&gt;0,"OK","ONBEKEND")),"ONZEKER")))))</f>
        <v/>
      </c>
      <c r="DL187" t="str">
        <f t="shared" si="1430"/>
        <v/>
      </c>
      <c r="DM187" t="str">
        <f t="shared" si="1431"/>
        <v/>
      </c>
      <c r="DN187" t="str">
        <f t="shared" si="1432"/>
        <v/>
      </c>
      <c r="DO187" t="str">
        <f t="shared" si="1433"/>
        <v/>
      </c>
      <c r="DP187" t="str">
        <f t="shared" si="1434"/>
        <v/>
      </c>
      <c r="DQ187" t="str">
        <f t="shared" si="1435"/>
        <v/>
      </c>
      <c r="DR187" t="str">
        <f t="shared" si="1436"/>
        <v/>
      </c>
      <c r="DS187" t="str">
        <f t="shared" si="1437"/>
        <v/>
      </c>
      <c r="DT187" t="str">
        <f t="shared" si="1438"/>
        <v/>
      </c>
      <c r="DU187" t="str">
        <f t="shared" si="1439"/>
        <v/>
      </c>
      <c r="DV187" t="str">
        <f t="shared" si="1440"/>
        <v/>
      </c>
      <c r="DW187" t="str">
        <f t="shared" si="1441"/>
        <v/>
      </c>
      <c r="DX187" t="str">
        <f t="shared" si="1442"/>
        <v/>
      </c>
      <c r="DY187" t="str">
        <f t="shared" si="1443"/>
        <v/>
      </c>
      <c r="DZ187" t="str">
        <f t="shared" si="1444"/>
        <v/>
      </c>
      <c r="EA187" t="str">
        <f t="shared" si="1445"/>
        <v/>
      </c>
      <c r="EB187" t="str">
        <f t="shared" si="1446"/>
        <v/>
      </c>
      <c r="EC187" t="str">
        <f t="shared" si="1447"/>
        <v/>
      </c>
      <c r="ED187" t="str">
        <f t="shared" si="1448"/>
        <v/>
      </c>
      <c r="EE187" t="str">
        <f t="shared" si="1449"/>
        <v/>
      </c>
      <c r="EF187" t="str">
        <f t="shared" si="1450"/>
        <v/>
      </c>
      <c r="EG187" t="str">
        <f t="shared" si="1451"/>
        <v/>
      </c>
      <c r="EH187" t="str">
        <f t="shared" si="1452"/>
        <v/>
      </c>
      <c r="EI187" t="str">
        <f t="shared" si="1453"/>
        <v/>
      </c>
      <c r="EJ187" t="str">
        <f t="shared" si="1454"/>
        <v/>
      </c>
      <c r="EK187" t="str">
        <f t="shared" si="1455"/>
        <v/>
      </c>
      <c r="EL187" t="str">
        <f t="shared" si="1456"/>
        <v/>
      </c>
      <c r="EM187" t="str">
        <f t="shared" si="1457"/>
        <v/>
      </c>
      <c r="EN187" t="str">
        <f t="shared" si="1458"/>
        <v/>
      </c>
      <c r="EO187" t="str">
        <f t="shared" si="1459"/>
        <v/>
      </c>
      <c r="EP187" t="str">
        <f t="shared" si="1460"/>
        <v/>
      </c>
      <c r="EQ187" t="str">
        <f t="shared" si="1461"/>
        <v/>
      </c>
      <c r="ER187" t="str">
        <f t="shared" si="1462"/>
        <v/>
      </c>
      <c r="ES187" t="str">
        <f t="shared" si="1463"/>
        <v/>
      </c>
      <c r="ET187" t="str">
        <f t="shared" si="1464"/>
        <v/>
      </c>
      <c r="EU187" t="str">
        <f t="shared" si="1465"/>
        <v/>
      </c>
      <c r="EV187" t="str">
        <f t="shared" si="1466"/>
        <v/>
      </c>
      <c r="EW187" t="str">
        <f t="shared" si="1467"/>
        <v/>
      </c>
      <c r="EX187" t="str">
        <f t="shared" si="1468"/>
        <v/>
      </c>
      <c r="EY187" t="str">
        <f t="shared" si="1469"/>
        <v/>
      </c>
    </row>
    <row r="188" spans="1:155" ht="13.9" customHeight="1" x14ac:dyDescent="0.25">
      <c r="A188" s="7"/>
      <c r="B188" s="17"/>
      <c r="C188" s="8"/>
      <c r="D188" s="17"/>
      <c r="E188" s="8"/>
      <c r="F188" s="18">
        <v>0</v>
      </c>
      <c r="G188" s="7" t="s">
        <v>147</v>
      </c>
      <c r="H188" s="18">
        <v>0</v>
      </c>
      <c r="I188" s="19">
        <v>0</v>
      </c>
      <c r="J188" s="7" t="s">
        <v>147</v>
      </c>
      <c r="K188" s="19">
        <v>0</v>
      </c>
      <c r="L188" s="9"/>
      <c r="M188" s="3" t="str">
        <f>IF($L188="","",IF($L188="DOELPUNTENMAKERS","",IF(AND(COUNTIF(#REF!,$B188)=0,COUNTIF(#REF!,$D188)=0),"OK",IF($O188&gt;20,"LET OP: meer dan 20 items (controle onvolledig)",IF((COUNTIF($R188:$AS188,"ONZEKER")+COUNTIF($CJ188:$DK188,"ONZEKER"))&gt;0,"LET OP: scoreverloop onduidelijk (controle beperkt)",IF((IF($AT188&lt;&gt;"",$AT188&amp;", ","")&amp;IF($AU188&lt;&gt;"",$AU188&amp;", ","")&amp;IF($AV188&lt;&gt;"",$AV188&amp;", ","")&amp;IF($AW188&lt;&gt;"",$AW188&amp;", ","")&amp;IF($AX188&lt;&gt;"",$AX188&amp;", ","")&amp;IF($AY188&lt;&gt;"",$AY188&amp;", ","")&amp;IF($AZ188&lt;&gt;"",$AZ188&amp;", ","")&amp;IF($BA188&lt;&gt;"",$BA188&amp;", ","")&amp;IF($BB188&lt;&gt;"",$BB188&amp;", ","")&amp;IF($BC188&lt;&gt;"",$BC188&amp;", ","")&amp;IF($DL188&lt;&gt;"",$DL188&amp;", ","")&amp;IF($DM188&lt;&gt;"",$DM188&amp;", ","")&amp;IF($DN188&lt;&gt;"",$DN188&amp;", ","")&amp;IF($DO188&lt;&gt;"",$DO188&amp;", ","")&amp;IF($DP188&lt;&gt;"",$DP188&amp;", ","")&amp;IF($DQ188&lt;&gt;"",$DQ188&amp;", ","")&amp;IF($DR188&lt;&gt;"",$DR188&amp;", ","")&amp;IF($DS188&lt;&gt;"",$DS188&amp;", ","")&amp;IF($DT188&lt;&gt;"",$DT188&amp;", ","")&amp;IF($DU188&lt;&gt;"",$DU188&amp;", ",""))="","OK","Onbekend: "&amp;LEFT((IF($AT188&lt;&gt;"",$AT188&amp;", ","")&amp;IF($AU188&lt;&gt;"",$AU188&amp;", ","")&amp;IF($AV188&lt;&gt;"",$AV188&amp;", ","")&amp;IF($AW188&lt;&gt;"",$AW188&amp;", ","")&amp;IF($AX188&lt;&gt;"",$AX188&amp;", ","")&amp;IF($AY188&lt;&gt;"",$AY188&amp;", ","")&amp;IF($AZ188&lt;&gt;"",$AZ188&amp;", ","")&amp;IF($BA188&lt;&gt;"",$BA188&amp;", ","")&amp;IF($BB188&lt;&gt;"",$BB188&amp;", ","")&amp;IF($BC188&lt;&gt;"",$BC188&amp;", ","")&amp;IF($DL188&lt;&gt;"",$DL188&amp;", ","")&amp;IF($DM188&lt;&gt;"",$DM188&amp;", ","")&amp;IF($DN188&lt;&gt;"",$DN188&amp;", ","")&amp;IF($DO188&lt;&gt;"",$DO188&amp;", ","")&amp;IF($DP188&lt;&gt;"",$DP188&amp;", ","")&amp;IF($DQ188&lt;&gt;"",$DQ188&amp;", ","")&amp;IF($DR188&lt;&gt;"",$DR188&amp;", ","")&amp;IF($DS188&lt;&gt;"",$DS188&amp;", ","")&amp;IF($DT188&lt;&gt;"",$DT188&amp;", ","")&amp;IF($DU188&lt;&gt;"",$DU188&amp;", ","")),LEN((IF($AT188&lt;&gt;"",$AT188&amp;", ","")&amp;IF($AU188&lt;&gt;"",$AU188&amp;", ","")&amp;IF($AV188&lt;&gt;"",$AV188&amp;", ","")&amp;IF($AW188&lt;&gt;"",$AW188&amp;", ","")&amp;IF($AX188&lt;&gt;"",$AX188&amp;", ","")&amp;IF($AY188&lt;&gt;"",$AY188&amp;", ","")&amp;IF($AZ188&lt;&gt;"",$AZ188&amp;", ","")&amp;IF($BA188&lt;&gt;"",$BA188&amp;", ","")&amp;IF($BB188&lt;&gt;"",$BB188&amp;", ","")&amp;IF($BC188&lt;&gt;"",$BC188&amp;", ","")&amp;IF($DL188&lt;&gt;"",$DL188&amp;", ","")&amp;IF($DM188&lt;&gt;"",$DM188&amp;", ","")&amp;IF($DN188&lt;&gt;"",$DN188&amp;", ","")&amp;IF($DO188&lt;&gt;"",$DO188&amp;", ","")&amp;IF($DP188&lt;&gt;"",$DP188&amp;", ","")&amp;IF($DQ188&lt;&gt;"",$DQ188&amp;", ","")&amp;IF($DR188&lt;&gt;"",$DR188&amp;", ","")&amp;IF($DS188&lt;&gt;"",$DS188&amp;", ","")&amp;IF($DT188&lt;&gt;"",$DT188&amp;", ","")&amp;IF($DU188&lt;&gt;"",$DU188&amp;", ","")))-2)))))))</f>
        <v/>
      </c>
      <c r="N188" t="str">
        <f t="shared" si="1378"/>
        <v/>
      </c>
      <c r="O188" t="str">
        <f t="shared" si="1379"/>
        <v/>
      </c>
      <c r="P188" t="str">
        <f t="shared" si="1380"/>
        <v/>
      </c>
      <c r="Q188" t="str">
        <f t="shared" si="1381"/>
        <v/>
      </c>
      <c r="R188" t="str">
        <f>IF($Q188="","",IF(OR($BE188="",$BF188=""),"ONZEKER",IF(AND($BE188=0+1,$BF188=0),IF(OR(COUNTIF(#REF!,$B188)&gt;0,COUNTIF(#REF!,$B188)=0),"SKIP",IF(COUNTIFS(#REF!,$B188,#REF!,$Q188)&gt;0,"OK","ONBEKEND")),IF(AND($BE188=0,$BF188=0+1),IF(OR(COUNTIF(#REF!,$D188)&gt;0,COUNTIF(#REF!,$D188)=0),"SKIP",IF(COUNTIFS(#REF!,$D188,#REF!,$Q188)&gt;0,"OK","ONBEKEND")),"ONZEKER"))))</f>
        <v/>
      </c>
      <c r="S188" t="str">
        <f t="shared" si="1382"/>
        <v/>
      </c>
      <c r="T188" t="str">
        <f t="shared" si="1383"/>
        <v/>
      </c>
      <c r="U188" t="str">
        <f>IF($T188="","",IF(OR($BH188="",$BI188=""),"ONZEKER",IF(OR($BE188="",$BF188=""),"ONZEKER",IF(AND($BH188=$BE188+1,$BI188=$BF188),IF(OR(COUNTIF(#REF!,$B188)&gt;0,COUNTIF(#REF!,$B188)=0),"SKIP",IF(COUNTIFS(#REF!,$B188,#REF!,$T188)&gt;0,"OK","ONBEKEND")),IF(AND($BH188=$BE188,$BI188=$BF188+1),IF(OR(COUNTIF(#REF!,$D188)&gt;0,COUNTIF(#REF!,$D188)=0),"SKIP",IF(COUNTIFS(#REF!,$D188,#REF!,$T188)&gt;0,"OK","ONBEKEND")),"ONZEKER")))))</f>
        <v/>
      </c>
      <c r="V188" t="str">
        <f t="shared" si="1384"/>
        <v/>
      </c>
      <c r="W188" t="str">
        <f t="shared" si="1385"/>
        <v/>
      </c>
      <c r="X188" t="str">
        <f>IF($W188="","",IF(OR($BK188="",$BL188=""),"ONZEKER",IF(OR($BH188="",$BI188=""),"ONZEKER",IF(AND($BK188=$BH188+1,$BL188=$BI188),IF(OR(COUNTIF(#REF!,$B188)&gt;0,COUNTIF(#REF!,$B188)=0),"SKIP",IF(COUNTIFS(#REF!,$B188,#REF!,$W188)&gt;0,"OK","ONBEKEND")),IF(AND($BK188=$BH188,$BL188=$BI188+1),IF(OR(COUNTIF(#REF!,$D188)&gt;0,COUNTIF(#REF!,$D188)=0),"SKIP",IF(COUNTIFS(#REF!,$D188,#REF!,$W188)&gt;0,"OK","ONBEKEND")),"ONZEKER")))))</f>
        <v/>
      </c>
      <c r="Y188" t="str">
        <f t="shared" si="1386"/>
        <v/>
      </c>
      <c r="Z188" t="str">
        <f t="shared" si="1387"/>
        <v/>
      </c>
      <c r="AA188" t="str">
        <f>IF($Z188="","",IF(OR($BN188="",$BO188=""),"ONZEKER",IF(OR($BK188="",$BL188=""),"ONZEKER",IF(AND($BN188=$BK188+1,$BO188=$BL188),IF(OR(COUNTIF(#REF!,$B188)&gt;0,COUNTIF(#REF!,$B188)=0),"SKIP",IF(COUNTIFS(#REF!,$B188,#REF!,$Z188)&gt;0,"OK","ONBEKEND")),IF(AND($BN188=$BK188,$BO188=$BL188+1),IF(OR(COUNTIF(#REF!,$D188)&gt;0,COUNTIF(#REF!,$D188)=0),"SKIP",IF(COUNTIFS(#REF!,$D188,#REF!,$Z188)&gt;0,"OK","ONBEKEND")),"ONZEKER")))))</f>
        <v/>
      </c>
      <c r="AB188" t="str">
        <f t="shared" si="1388"/>
        <v/>
      </c>
      <c r="AC188" t="str">
        <f t="shared" si="1389"/>
        <v/>
      </c>
      <c r="AD188" t="str">
        <f>IF($AC188="","",IF(OR($BQ188="",$BR188=""),"ONZEKER",IF(OR($BN188="",$BO188=""),"ONZEKER",IF(AND($BQ188=$BN188+1,$BR188=$BO188),IF(OR(COUNTIF(#REF!,$B188)&gt;0,COUNTIF(#REF!,$B188)=0),"SKIP",IF(COUNTIFS(#REF!,$B188,#REF!,$AC188)&gt;0,"OK","ONBEKEND")),IF(AND($BQ188=$BN188,$BR188=$BO188+1),IF(OR(COUNTIF(#REF!,$D188)&gt;0,COUNTIF(#REF!,$D188)=0),"SKIP",IF(COUNTIFS(#REF!,$D188,#REF!,$AC188)&gt;0,"OK","ONBEKEND")),"ONZEKER")))))</f>
        <v/>
      </c>
      <c r="AE188" t="str">
        <f t="shared" si="1390"/>
        <v/>
      </c>
      <c r="AF188" t="str">
        <f t="shared" si="1391"/>
        <v/>
      </c>
      <c r="AG188" t="str">
        <f>IF($AF188="","",IF(OR($BT188="",$BU188=""),"ONZEKER",IF(OR($BQ188="",$BR188=""),"ONZEKER",IF(AND($BT188=$BQ188+1,$BU188=$BR188),IF(OR(COUNTIF(#REF!,$B188)&gt;0,COUNTIF(#REF!,$B188)=0),"SKIP",IF(COUNTIFS(#REF!,$B188,#REF!,$AF188)&gt;0,"OK","ONBEKEND")),IF(AND($BT188=$BQ188,$BU188=$BR188+1),IF(OR(COUNTIF(#REF!,$D188)&gt;0,COUNTIF(#REF!,$D188)=0),"SKIP",IF(COUNTIFS(#REF!,$D188,#REF!,$AF188)&gt;0,"OK","ONBEKEND")),"ONZEKER")))))</f>
        <v/>
      </c>
      <c r="AH188" t="str">
        <f t="shared" si="1392"/>
        <v/>
      </c>
      <c r="AI188" t="str">
        <f t="shared" si="1393"/>
        <v/>
      </c>
      <c r="AJ188" t="str">
        <f>IF($AI188="","",IF(OR($BW188="",$BX188=""),"ONZEKER",IF(OR($BT188="",$BU188=""),"ONZEKER",IF(AND($BW188=$BT188+1,$BX188=$BU188),IF(OR(COUNTIF(#REF!,$B188)&gt;0,COUNTIF(#REF!,$B188)=0),"SKIP",IF(COUNTIFS(#REF!,$B188,#REF!,$AI188)&gt;0,"OK","ONBEKEND")),IF(AND($BW188=$BT188,$BX188=$BU188+1),IF(OR(COUNTIF(#REF!,$D188)&gt;0,COUNTIF(#REF!,$D188)=0),"SKIP",IF(COUNTIFS(#REF!,$D188,#REF!,$AI188)&gt;0,"OK","ONBEKEND")),"ONZEKER")))))</f>
        <v/>
      </c>
      <c r="AK188" t="str">
        <f t="shared" si="1394"/>
        <v/>
      </c>
      <c r="AL188" t="str">
        <f t="shared" si="1395"/>
        <v/>
      </c>
      <c r="AM188" t="str">
        <f>IF($AL188="","",IF(OR($BZ188="",$CA188=""),"ONZEKER",IF(OR($BW188="",$BX188=""),"ONZEKER",IF(AND($BZ188=$BW188+1,$CA188=$BX188),IF(OR(COUNTIF(#REF!,$B188)&gt;0,COUNTIF(#REF!,$B188)=0),"SKIP",IF(COUNTIFS(#REF!,$B188,#REF!,$AL188)&gt;0,"OK","ONBEKEND")),IF(AND($BZ188=$BW188,$CA188=$BX188+1),IF(OR(COUNTIF(#REF!,$D188)&gt;0,COUNTIF(#REF!,$D188)=0),"SKIP",IF(COUNTIFS(#REF!,$D188,#REF!,$AL188)&gt;0,"OK","ONBEKEND")),"ONZEKER")))))</f>
        <v/>
      </c>
      <c r="AN188" t="str">
        <f t="shared" si="1396"/>
        <v/>
      </c>
      <c r="AO188" t="str">
        <f t="shared" si="1397"/>
        <v/>
      </c>
      <c r="AP188" t="str">
        <f>IF($AO188="","",IF(OR($CC188="",$CD188=""),"ONZEKER",IF(OR($BZ188="",$CA188=""),"ONZEKER",IF(AND($CC188=$BZ188+1,$CD188=$CA188),IF(OR(COUNTIF(#REF!,$B188)&gt;0,COUNTIF(#REF!,$B188)=0),"SKIP",IF(COUNTIFS(#REF!,$B188,#REF!,$AO188)&gt;0,"OK","ONBEKEND")),IF(AND($CC188=$BZ188,$CD188=$CA188+1),IF(OR(COUNTIF(#REF!,$D188)&gt;0,COUNTIF(#REF!,$D188)=0),"SKIP",IF(COUNTIFS(#REF!,$D188,#REF!,$AO188)&gt;0,"OK","ONBEKEND")),"ONZEKER")))))</f>
        <v/>
      </c>
      <c r="AQ188" t="str">
        <f t="shared" si="1398"/>
        <v/>
      </c>
      <c r="AR188" t="str">
        <f t="shared" si="1399"/>
        <v/>
      </c>
      <c r="AS188" t="str">
        <f>IF($AR188="","",IF(OR($CF188="",$CG188=""),"ONZEKER",IF(OR($CC188="",$CD188=""),"ONZEKER",IF(AND($CF188=$CC188+1,$CG188=$CD188),IF(OR(COUNTIF(#REF!,$B188)&gt;0,COUNTIF(#REF!,$B188)=0),"SKIP",IF(COUNTIFS(#REF!,$B188,#REF!,$AR188)&gt;0,"OK","ONBEKEND")),IF(AND($CF188=$CC188,$CG188=$CD188+1),IF(OR(COUNTIF(#REF!,$D188)&gt;0,COUNTIF(#REF!,$D188)=0),"SKIP",IF(COUNTIFS(#REF!,$D188,#REF!,$AR188)&gt;0,"OK","ONBEKEND")),"ONZEKER")))))</f>
        <v/>
      </c>
      <c r="AT188" t="str">
        <f t="shared" si="1400"/>
        <v/>
      </c>
      <c r="AU188" t="str">
        <f t="shared" si="1401"/>
        <v/>
      </c>
      <c r="AV188" t="str">
        <f t="shared" si="1402"/>
        <v/>
      </c>
      <c r="AW188" t="str">
        <f t="shared" si="1403"/>
        <v/>
      </c>
      <c r="AX188" t="str">
        <f t="shared" si="1404"/>
        <v/>
      </c>
      <c r="AY188" t="str">
        <f t="shared" si="1405"/>
        <v/>
      </c>
      <c r="AZ188" t="str">
        <f t="shared" si="1406"/>
        <v/>
      </c>
      <c r="BA188" t="str">
        <f t="shared" si="1407"/>
        <v/>
      </c>
      <c r="BB188" t="str">
        <f t="shared" si="1408"/>
        <v/>
      </c>
      <c r="BC188" t="str">
        <f t="shared" si="1409"/>
        <v/>
      </c>
      <c r="BD188" t="str">
        <f t="shared" si="980"/>
        <v/>
      </c>
      <c r="BE188" t="str">
        <f t="shared" si="981"/>
        <v/>
      </c>
      <c r="BF188" t="str">
        <f t="shared" si="982"/>
        <v/>
      </c>
      <c r="BG188" t="str">
        <f t="shared" si="983"/>
        <v/>
      </c>
      <c r="BH188" t="str">
        <f t="shared" si="984"/>
        <v/>
      </c>
      <c r="BI188" t="str">
        <f t="shared" si="985"/>
        <v/>
      </c>
      <c r="BJ188" t="str">
        <f t="shared" si="986"/>
        <v/>
      </c>
      <c r="BK188" t="str">
        <f t="shared" si="987"/>
        <v/>
      </c>
      <c r="BL188" t="str">
        <f t="shared" si="988"/>
        <v/>
      </c>
      <c r="BM188" t="str">
        <f t="shared" si="989"/>
        <v/>
      </c>
      <c r="BN188" t="str">
        <f t="shared" si="990"/>
        <v/>
      </c>
      <c r="BO188" t="str">
        <f t="shared" si="991"/>
        <v/>
      </c>
      <c r="BP188" t="str">
        <f t="shared" si="992"/>
        <v/>
      </c>
      <c r="BQ188" t="str">
        <f t="shared" si="993"/>
        <v/>
      </c>
      <c r="BR188" t="str">
        <f t="shared" si="994"/>
        <v/>
      </c>
      <c r="BS188" t="str">
        <f t="shared" si="995"/>
        <v/>
      </c>
      <c r="BT188" t="str">
        <f t="shared" si="996"/>
        <v/>
      </c>
      <c r="BU188" t="str">
        <f t="shared" si="997"/>
        <v/>
      </c>
      <c r="BV188" t="str">
        <f t="shared" si="998"/>
        <v/>
      </c>
      <c r="BW188" t="str">
        <f t="shared" si="999"/>
        <v/>
      </c>
      <c r="BX188" t="str">
        <f t="shared" si="1000"/>
        <v/>
      </c>
      <c r="BY188" t="str">
        <f t="shared" si="1001"/>
        <v/>
      </c>
      <c r="BZ188" t="str">
        <f t="shared" si="1002"/>
        <v/>
      </c>
      <c r="CA188" t="str">
        <f t="shared" si="1003"/>
        <v/>
      </c>
      <c r="CB188" t="str">
        <f t="shared" si="1004"/>
        <v/>
      </c>
      <c r="CC188" t="str">
        <f t="shared" si="1005"/>
        <v/>
      </c>
      <c r="CD188" t="str">
        <f t="shared" si="1006"/>
        <v/>
      </c>
      <c r="CE188" t="str">
        <f t="shared" si="1007"/>
        <v/>
      </c>
      <c r="CF188" t="str">
        <f t="shared" si="1008"/>
        <v/>
      </c>
      <c r="CG188" t="str">
        <f t="shared" si="1009"/>
        <v/>
      </c>
      <c r="CH188" t="str">
        <f t="shared" si="1410"/>
        <v/>
      </c>
      <c r="CI188" t="str">
        <f t="shared" si="1411"/>
        <v/>
      </c>
      <c r="CJ188" t="str">
        <f>IF($CI188="","",IF(OR($DW188="",$DX188=""),"ONZEKER",IF(OR($CF188="",$CG188=""),"ONZEKER",IF(AND($DW188=$CF188+1,$DX188=$CG188),IF(OR(COUNTIF(#REF!,$B188)&gt;0,COUNTIF(#REF!,$B188)=0),"SKIP",IF(COUNTIFS(#REF!,$B188,#REF!,$CI188)&gt;0,"OK","ONBEKEND")),IF(AND($DW188=$CF188,$DX188=$CG188+1),IF(OR(COUNTIF(#REF!,$D188)&gt;0,COUNTIF(#REF!,$D188)=0),"SKIP",IF(COUNTIFS(#REF!,$D188,#REF!,$CI188)&gt;0,"OK","ONBEKEND")),"ONZEKER")))))</f>
        <v/>
      </c>
      <c r="CK188" t="str">
        <f t="shared" si="1412"/>
        <v/>
      </c>
      <c r="CL188" t="str">
        <f t="shared" si="1413"/>
        <v/>
      </c>
      <c r="CM188" t="str">
        <f>IF($CL188="","",IF(OR($DZ188="",$EA188=""),"ONZEKER",IF(OR($DW188="",$DX188=""),"ONZEKER",IF(AND($DZ188=$DW188+1,$EA188=$DX188),IF(OR(COUNTIF(#REF!,$B188)&gt;0,COUNTIF(#REF!,$B188)=0),"SKIP",IF(COUNTIFS(#REF!,$B188,#REF!,$CL188)&gt;0,"OK","ONBEKEND")),IF(AND($DZ188=$DW188,$EA188=$DX188+1),IF(OR(COUNTIF(#REF!,$D188)&gt;0,COUNTIF(#REF!,$D188)=0),"SKIP",IF(COUNTIFS(#REF!,$D188,#REF!,$CL188)&gt;0,"OK","ONBEKEND")),"ONZEKER")))))</f>
        <v/>
      </c>
      <c r="CN188" t="str">
        <f t="shared" si="1414"/>
        <v/>
      </c>
      <c r="CO188" t="str">
        <f t="shared" si="1415"/>
        <v/>
      </c>
      <c r="CP188" t="str">
        <f>IF($CO188="","",IF(OR($EC188="",$ED188=""),"ONZEKER",IF(OR($DZ188="",$EA188=""),"ONZEKER",IF(AND($EC188=$DZ188+1,$ED188=$EA188),IF(OR(COUNTIF(#REF!,$B188)&gt;0,COUNTIF(#REF!,$B188)=0),"SKIP",IF(COUNTIFS(#REF!,$B188,#REF!,$CO188)&gt;0,"OK","ONBEKEND")),IF(AND($EC188=$DZ188,$ED188=$EA188+1),IF(OR(COUNTIF(#REF!,$D188)&gt;0,COUNTIF(#REF!,$D188)=0),"SKIP",IF(COUNTIFS(#REF!,$D188,#REF!,$CO188)&gt;0,"OK","ONBEKEND")),"ONZEKER")))))</f>
        <v/>
      </c>
      <c r="CQ188" t="str">
        <f t="shared" si="1416"/>
        <v/>
      </c>
      <c r="CR188" t="str">
        <f t="shared" si="1417"/>
        <v/>
      </c>
      <c r="CS188" t="str">
        <f>IF($CR188="","",IF(OR($EF188="",$EG188=""),"ONZEKER",IF(OR($EC188="",$ED188=""),"ONZEKER",IF(AND($EF188=$EC188+1,$EG188=$ED188),IF(OR(COUNTIF(#REF!,$B188)&gt;0,COUNTIF(#REF!,$B188)=0),"SKIP",IF(COUNTIFS(#REF!,$B188,#REF!,$CR188)&gt;0,"OK","ONBEKEND")),IF(AND($EF188=$EC188,$EG188=$ED188+1),IF(OR(COUNTIF(#REF!,$D188)&gt;0,COUNTIF(#REF!,$D188)=0),"SKIP",IF(COUNTIFS(#REF!,$D188,#REF!,$CR188)&gt;0,"OK","ONBEKEND")),"ONZEKER")))))</f>
        <v/>
      </c>
      <c r="CT188" t="str">
        <f t="shared" si="1418"/>
        <v/>
      </c>
      <c r="CU188" t="str">
        <f t="shared" si="1419"/>
        <v/>
      </c>
      <c r="CV188" t="str">
        <f>IF($CU188="","",IF(OR($EI188="",$EJ188=""),"ONZEKER",IF(OR($EF188="",$EG188=""),"ONZEKER",IF(AND($EI188=$EF188+1,$EJ188=$EG188),IF(OR(COUNTIF(#REF!,$B188)&gt;0,COUNTIF(#REF!,$B188)=0),"SKIP",IF(COUNTIFS(#REF!,$B188,#REF!,$CU188)&gt;0,"OK","ONBEKEND")),IF(AND($EI188=$EF188,$EJ188=$EG188+1),IF(OR(COUNTIF(#REF!,$D188)&gt;0,COUNTIF(#REF!,$D188)=0),"SKIP",IF(COUNTIFS(#REF!,$D188,#REF!,$CU188)&gt;0,"OK","ONBEKEND")),"ONZEKER")))))</f>
        <v/>
      </c>
      <c r="CW188" t="str">
        <f t="shared" si="1420"/>
        <v/>
      </c>
      <c r="CX188" t="str">
        <f t="shared" si="1421"/>
        <v/>
      </c>
      <c r="CY188" t="str">
        <f>IF($CX188="","",IF(OR($EL188="",$EM188=""),"ONZEKER",IF(OR($EI188="",$EJ188=""),"ONZEKER",IF(AND($EL188=$EI188+1,$EM188=$EJ188),IF(OR(COUNTIF(#REF!,$B188)&gt;0,COUNTIF(#REF!,$B188)=0),"SKIP",IF(COUNTIFS(#REF!,$B188,#REF!,$CX188)&gt;0,"OK","ONBEKEND")),IF(AND($EL188=$EI188,$EM188=$EJ188+1),IF(OR(COUNTIF(#REF!,$D188)&gt;0,COUNTIF(#REF!,$D188)=0),"SKIP",IF(COUNTIFS(#REF!,$D188,#REF!,$CX188)&gt;0,"OK","ONBEKEND")),"ONZEKER")))))</f>
        <v/>
      </c>
      <c r="CZ188" t="str">
        <f t="shared" si="1422"/>
        <v/>
      </c>
      <c r="DA188" t="str">
        <f t="shared" si="1423"/>
        <v/>
      </c>
      <c r="DB188" t="str">
        <f>IF($DA188="","",IF(OR($EO188="",$EP188=""),"ONZEKER",IF(OR($EL188="",$EM188=""),"ONZEKER",IF(AND($EO188=$EL188+1,$EP188=$EM188),IF(OR(COUNTIF(#REF!,$B188)&gt;0,COUNTIF(#REF!,$B188)=0),"SKIP",IF(COUNTIFS(#REF!,$B188,#REF!,$DA188)&gt;0,"OK","ONBEKEND")),IF(AND($EO188=$EL188,$EP188=$EM188+1),IF(OR(COUNTIF(#REF!,$D188)&gt;0,COUNTIF(#REF!,$D188)=0),"SKIP",IF(COUNTIFS(#REF!,$D188,#REF!,$DA188)&gt;0,"OK","ONBEKEND")),"ONZEKER")))))</f>
        <v/>
      </c>
      <c r="DC188" t="str">
        <f t="shared" si="1424"/>
        <v/>
      </c>
      <c r="DD188" t="str">
        <f t="shared" si="1425"/>
        <v/>
      </c>
      <c r="DE188" t="str">
        <f>IF($DD188="","",IF(OR($ER188="",$ES188=""),"ONZEKER",IF(OR($EO188="",$EP188=""),"ONZEKER",IF(AND($ER188=$EO188+1,$ES188=$EP188),IF(OR(COUNTIF(#REF!,$B188)&gt;0,COUNTIF(#REF!,$B188)=0),"SKIP",IF(COUNTIFS(#REF!,$B188,#REF!,$DD188)&gt;0,"OK","ONBEKEND")),IF(AND($ER188=$EO188,$ES188=$EP188+1),IF(OR(COUNTIF(#REF!,$D188)&gt;0,COUNTIF(#REF!,$D188)=0),"SKIP",IF(COUNTIFS(#REF!,$D188,#REF!,$DD188)&gt;0,"OK","ONBEKEND")),"ONZEKER")))))</f>
        <v/>
      </c>
      <c r="DF188" t="str">
        <f t="shared" si="1426"/>
        <v/>
      </c>
      <c r="DG188" t="str">
        <f t="shared" si="1427"/>
        <v/>
      </c>
      <c r="DH188" t="str">
        <f>IF($DG188="","",IF(OR($EU188="",$EV188=""),"ONZEKER",IF(OR($ER188="",$ES188=""),"ONZEKER",IF(AND($EU188=$ER188+1,$EV188=$ES188),IF(OR(COUNTIF(#REF!,$B188)&gt;0,COUNTIF(#REF!,$B188)=0),"SKIP",IF(COUNTIFS(#REF!,$B188,#REF!,$DG188)&gt;0,"OK","ONBEKEND")),IF(AND($EU188=$ER188,$EV188=$ES188+1),IF(OR(COUNTIF(#REF!,$D188)&gt;0,COUNTIF(#REF!,$D188)=0),"SKIP",IF(COUNTIFS(#REF!,$D188,#REF!,$DG188)&gt;0,"OK","ONBEKEND")),"ONZEKER")))))</f>
        <v/>
      </c>
      <c r="DI188" t="str">
        <f t="shared" si="1428"/>
        <v/>
      </c>
      <c r="DJ188" t="str">
        <f t="shared" si="1429"/>
        <v/>
      </c>
      <c r="DK188" t="str">
        <f>IF($DJ188="","",IF(OR($EX188="",$EY188=""),"ONZEKER",IF(OR($EU188="",$EV188=""),"ONZEKER",IF(AND($EX188=$EU188+1,$EY188=$EV188),IF(OR(COUNTIF(#REF!,$B188)&gt;0,COUNTIF(#REF!,$B188)=0),"SKIP",IF(COUNTIFS(#REF!,$B188,#REF!,$DJ188)&gt;0,"OK","ONBEKEND")),IF(AND($EX188=$EU188,$EY188=$EV188+1),IF(OR(COUNTIF(#REF!,$D188)&gt;0,COUNTIF(#REF!,$D188)=0),"SKIP",IF(COUNTIFS(#REF!,$D188,#REF!,$DJ188)&gt;0,"OK","ONBEKEND")),"ONZEKER")))))</f>
        <v/>
      </c>
      <c r="DL188" t="str">
        <f t="shared" si="1430"/>
        <v/>
      </c>
      <c r="DM188" t="str">
        <f t="shared" si="1431"/>
        <v/>
      </c>
      <c r="DN188" t="str">
        <f t="shared" si="1432"/>
        <v/>
      </c>
      <c r="DO188" t="str">
        <f t="shared" si="1433"/>
        <v/>
      </c>
      <c r="DP188" t="str">
        <f t="shared" si="1434"/>
        <v/>
      </c>
      <c r="DQ188" t="str">
        <f t="shared" si="1435"/>
        <v/>
      </c>
      <c r="DR188" t="str">
        <f t="shared" si="1436"/>
        <v/>
      </c>
      <c r="DS188" t="str">
        <f t="shared" si="1437"/>
        <v/>
      </c>
      <c r="DT188" t="str">
        <f t="shared" si="1438"/>
        <v/>
      </c>
      <c r="DU188" t="str">
        <f t="shared" si="1439"/>
        <v/>
      </c>
      <c r="DV188" t="str">
        <f t="shared" si="1440"/>
        <v/>
      </c>
      <c r="DW188" t="str">
        <f t="shared" si="1441"/>
        <v/>
      </c>
      <c r="DX188" t="str">
        <f t="shared" si="1442"/>
        <v/>
      </c>
      <c r="DY188" t="str">
        <f t="shared" si="1443"/>
        <v/>
      </c>
      <c r="DZ188" t="str">
        <f t="shared" si="1444"/>
        <v/>
      </c>
      <c r="EA188" t="str">
        <f t="shared" si="1445"/>
        <v/>
      </c>
      <c r="EB188" t="str">
        <f t="shared" si="1446"/>
        <v/>
      </c>
      <c r="EC188" t="str">
        <f t="shared" si="1447"/>
        <v/>
      </c>
      <c r="ED188" t="str">
        <f t="shared" si="1448"/>
        <v/>
      </c>
      <c r="EE188" t="str">
        <f t="shared" si="1449"/>
        <v/>
      </c>
      <c r="EF188" t="str">
        <f t="shared" si="1450"/>
        <v/>
      </c>
      <c r="EG188" t="str">
        <f t="shared" si="1451"/>
        <v/>
      </c>
      <c r="EH188" t="str">
        <f t="shared" si="1452"/>
        <v/>
      </c>
      <c r="EI188" t="str">
        <f t="shared" si="1453"/>
        <v/>
      </c>
      <c r="EJ188" t="str">
        <f t="shared" si="1454"/>
        <v/>
      </c>
      <c r="EK188" t="str">
        <f t="shared" si="1455"/>
        <v/>
      </c>
      <c r="EL188" t="str">
        <f t="shared" si="1456"/>
        <v/>
      </c>
      <c r="EM188" t="str">
        <f t="shared" si="1457"/>
        <v/>
      </c>
      <c r="EN188" t="str">
        <f t="shared" si="1458"/>
        <v/>
      </c>
      <c r="EO188" t="str">
        <f t="shared" si="1459"/>
        <v/>
      </c>
      <c r="EP188" t="str">
        <f t="shared" si="1460"/>
        <v/>
      </c>
      <c r="EQ188" t="str">
        <f t="shared" si="1461"/>
        <v/>
      </c>
      <c r="ER188" t="str">
        <f t="shared" si="1462"/>
        <v/>
      </c>
      <c r="ES188" t="str">
        <f t="shared" si="1463"/>
        <v/>
      </c>
      <c r="ET188" t="str">
        <f t="shared" si="1464"/>
        <v/>
      </c>
      <c r="EU188" t="str">
        <f t="shared" si="1465"/>
        <v/>
      </c>
      <c r="EV188" t="str">
        <f t="shared" si="1466"/>
        <v/>
      </c>
      <c r="EW188" t="str">
        <f t="shared" si="1467"/>
        <v/>
      </c>
      <c r="EX188" t="str">
        <f t="shared" si="1468"/>
        <v/>
      </c>
      <c r="EY188" t="str">
        <f t="shared" si="1469"/>
        <v/>
      </c>
    </row>
    <row r="189" spans="1:155" ht="13.9" customHeight="1" x14ac:dyDescent="0.25">
      <c r="A189" s="7"/>
      <c r="B189" s="17"/>
      <c r="C189" s="8"/>
      <c r="D189" s="17"/>
      <c r="E189" s="8"/>
      <c r="F189" s="18">
        <v>0</v>
      </c>
      <c r="G189" s="7" t="s">
        <v>147</v>
      </c>
      <c r="H189" s="18">
        <v>0</v>
      </c>
      <c r="I189" s="19">
        <v>0</v>
      </c>
      <c r="J189" s="7" t="s">
        <v>147</v>
      </c>
      <c r="K189" s="19">
        <v>0</v>
      </c>
      <c r="L189" s="9"/>
      <c r="M189" s="3" t="str">
        <f>IF($L189="","",IF($L189="DOELPUNTENMAKERS","",IF(AND(COUNTIF(#REF!,$B189)=0,COUNTIF(#REF!,$D189)=0),"OK",IF($O189&gt;20,"LET OP: meer dan 20 items (controle onvolledig)",IF((COUNTIF($R189:$AS189,"ONZEKER")+COUNTIF($CJ189:$DK189,"ONZEKER"))&gt;0,"LET OP: scoreverloop onduidelijk (controle beperkt)",IF((IF($AT189&lt;&gt;"",$AT189&amp;", ","")&amp;IF($AU189&lt;&gt;"",$AU189&amp;", ","")&amp;IF($AV189&lt;&gt;"",$AV189&amp;", ","")&amp;IF($AW189&lt;&gt;"",$AW189&amp;", ","")&amp;IF($AX189&lt;&gt;"",$AX189&amp;", ","")&amp;IF($AY189&lt;&gt;"",$AY189&amp;", ","")&amp;IF($AZ189&lt;&gt;"",$AZ189&amp;", ","")&amp;IF($BA189&lt;&gt;"",$BA189&amp;", ","")&amp;IF($BB189&lt;&gt;"",$BB189&amp;", ","")&amp;IF($BC189&lt;&gt;"",$BC189&amp;", ","")&amp;IF($DL189&lt;&gt;"",$DL189&amp;", ","")&amp;IF($DM189&lt;&gt;"",$DM189&amp;", ","")&amp;IF($DN189&lt;&gt;"",$DN189&amp;", ","")&amp;IF($DO189&lt;&gt;"",$DO189&amp;", ","")&amp;IF($DP189&lt;&gt;"",$DP189&amp;", ","")&amp;IF($DQ189&lt;&gt;"",$DQ189&amp;", ","")&amp;IF($DR189&lt;&gt;"",$DR189&amp;", ","")&amp;IF($DS189&lt;&gt;"",$DS189&amp;", ","")&amp;IF($DT189&lt;&gt;"",$DT189&amp;", ","")&amp;IF($DU189&lt;&gt;"",$DU189&amp;", ",""))="","OK","Onbekend: "&amp;LEFT((IF($AT189&lt;&gt;"",$AT189&amp;", ","")&amp;IF($AU189&lt;&gt;"",$AU189&amp;", ","")&amp;IF($AV189&lt;&gt;"",$AV189&amp;", ","")&amp;IF($AW189&lt;&gt;"",$AW189&amp;", ","")&amp;IF($AX189&lt;&gt;"",$AX189&amp;", ","")&amp;IF($AY189&lt;&gt;"",$AY189&amp;", ","")&amp;IF($AZ189&lt;&gt;"",$AZ189&amp;", ","")&amp;IF($BA189&lt;&gt;"",$BA189&amp;", ","")&amp;IF($BB189&lt;&gt;"",$BB189&amp;", ","")&amp;IF($BC189&lt;&gt;"",$BC189&amp;", ","")&amp;IF($DL189&lt;&gt;"",$DL189&amp;", ","")&amp;IF($DM189&lt;&gt;"",$DM189&amp;", ","")&amp;IF($DN189&lt;&gt;"",$DN189&amp;", ","")&amp;IF($DO189&lt;&gt;"",$DO189&amp;", ","")&amp;IF($DP189&lt;&gt;"",$DP189&amp;", ","")&amp;IF($DQ189&lt;&gt;"",$DQ189&amp;", ","")&amp;IF($DR189&lt;&gt;"",$DR189&amp;", ","")&amp;IF($DS189&lt;&gt;"",$DS189&amp;", ","")&amp;IF($DT189&lt;&gt;"",$DT189&amp;", ","")&amp;IF($DU189&lt;&gt;"",$DU189&amp;", ","")),LEN((IF($AT189&lt;&gt;"",$AT189&amp;", ","")&amp;IF($AU189&lt;&gt;"",$AU189&amp;", ","")&amp;IF($AV189&lt;&gt;"",$AV189&amp;", ","")&amp;IF($AW189&lt;&gt;"",$AW189&amp;", ","")&amp;IF($AX189&lt;&gt;"",$AX189&amp;", ","")&amp;IF($AY189&lt;&gt;"",$AY189&amp;", ","")&amp;IF($AZ189&lt;&gt;"",$AZ189&amp;", ","")&amp;IF($BA189&lt;&gt;"",$BA189&amp;", ","")&amp;IF($BB189&lt;&gt;"",$BB189&amp;", ","")&amp;IF($BC189&lt;&gt;"",$BC189&amp;", ","")&amp;IF($DL189&lt;&gt;"",$DL189&amp;", ","")&amp;IF($DM189&lt;&gt;"",$DM189&amp;", ","")&amp;IF($DN189&lt;&gt;"",$DN189&amp;", ","")&amp;IF($DO189&lt;&gt;"",$DO189&amp;", ","")&amp;IF($DP189&lt;&gt;"",$DP189&amp;", ","")&amp;IF($DQ189&lt;&gt;"",$DQ189&amp;", ","")&amp;IF($DR189&lt;&gt;"",$DR189&amp;", ","")&amp;IF($DS189&lt;&gt;"",$DS189&amp;", ","")&amp;IF($DT189&lt;&gt;"",$DT189&amp;", ","")&amp;IF($DU189&lt;&gt;"",$DU189&amp;", ","")))-2)))))))</f>
        <v/>
      </c>
      <c r="N189" t="str">
        <f t="shared" si="1378"/>
        <v/>
      </c>
      <c r="O189" t="str">
        <f t="shared" si="1379"/>
        <v/>
      </c>
      <c r="P189" t="str">
        <f t="shared" si="1380"/>
        <v/>
      </c>
      <c r="Q189" t="str">
        <f t="shared" si="1381"/>
        <v/>
      </c>
      <c r="R189" t="str">
        <f>IF($Q189="","",IF(OR($BE189="",$BF189=""),"ONZEKER",IF(AND($BE189=0+1,$BF189=0),IF(OR(COUNTIF(#REF!,$B189)&gt;0,COUNTIF(#REF!,$B189)=0),"SKIP",IF(COUNTIFS(#REF!,$B189,#REF!,$Q189)&gt;0,"OK","ONBEKEND")),IF(AND($BE189=0,$BF189=0+1),IF(OR(COUNTIF(#REF!,$D189)&gt;0,COUNTIF(#REF!,$D189)=0),"SKIP",IF(COUNTIFS(#REF!,$D189,#REF!,$Q189)&gt;0,"OK","ONBEKEND")),"ONZEKER"))))</f>
        <v/>
      </c>
      <c r="S189" t="str">
        <f t="shared" si="1382"/>
        <v/>
      </c>
      <c r="T189" t="str">
        <f t="shared" si="1383"/>
        <v/>
      </c>
      <c r="U189" t="str">
        <f>IF($T189="","",IF(OR($BH189="",$BI189=""),"ONZEKER",IF(OR($BE189="",$BF189=""),"ONZEKER",IF(AND($BH189=$BE189+1,$BI189=$BF189),IF(OR(COUNTIF(#REF!,$B189)&gt;0,COUNTIF(#REF!,$B189)=0),"SKIP",IF(COUNTIFS(#REF!,$B189,#REF!,$T189)&gt;0,"OK","ONBEKEND")),IF(AND($BH189=$BE189,$BI189=$BF189+1),IF(OR(COUNTIF(#REF!,$D189)&gt;0,COUNTIF(#REF!,$D189)=0),"SKIP",IF(COUNTIFS(#REF!,$D189,#REF!,$T189)&gt;0,"OK","ONBEKEND")),"ONZEKER")))))</f>
        <v/>
      </c>
      <c r="V189" t="str">
        <f t="shared" si="1384"/>
        <v/>
      </c>
      <c r="W189" t="str">
        <f t="shared" si="1385"/>
        <v/>
      </c>
      <c r="X189" t="str">
        <f>IF($W189="","",IF(OR($BK189="",$BL189=""),"ONZEKER",IF(OR($BH189="",$BI189=""),"ONZEKER",IF(AND($BK189=$BH189+1,$BL189=$BI189),IF(OR(COUNTIF(#REF!,$B189)&gt;0,COUNTIF(#REF!,$B189)=0),"SKIP",IF(COUNTIFS(#REF!,$B189,#REF!,$W189)&gt;0,"OK","ONBEKEND")),IF(AND($BK189=$BH189,$BL189=$BI189+1),IF(OR(COUNTIF(#REF!,$D189)&gt;0,COUNTIF(#REF!,$D189)=0),"SKIP",IF(COUNTIFS(#REF!,$D189,#REF!,$W189)&gt;0,"OK","ONBEKEND")),"ONZEKER")))))</f>
        <v/>
      </c>
      <c r="Y189" t="str">
        <f t="shared" si="1386"/>
        <v/>
      </c>
      <c r="Z189" t="str">
        <f t="shared" si="1387"/>
        <v/>
      </c>
      <c r="AA189" t="str">
        <f>IF($Z189="","",IF(OR($BN189="",$BO189=""),"ONZEKER",IF(OR($BK189="",$BL189=""),"ONZEKER",IF(AND($BN189=$BK189+1,$BO189=$BL189),IF(OR(COUNTIF(#REF!,$B189)&gt;0,COUNTIF(#REF!,$B189)=0),"SKIP",IF(COUNTIFS(#REF!,$B189,#REF!,$Z189)&gt;0,"OK","ONBEKEND")),IF(AND($BN189=$BK189,$BO189=$BL189+1),IF(OR(COUNTIF(#REF!,$D189)&gt;0,COUNTIF(#REF!,$D189)=0),"SKIP",IF(COUNTIFS(#REF!,$D189,#REF!,$Z189)&gt;0,"OK","ONBEKEND")),"ONZEKER")))))</f>
        <v/>
      </c>
      <c r="AB189" t="str">
        <f t="shared" si="1388"/>
        <v/>
      </c>
      <c r="AC189" t="str">
        <f t="shared" si="1389"/>
        <v/>
      </c>
      <c r="AD189" t="str">
        <f>IF($AC189="","",IF(OR($BQ189="",$BR189=""),"ONZEKER",IF(OR($BN189="",$BO189=""),"ONZEKER",IF(AND($BQ189=$BN189+1,$BR189=$BO189),IF(OR(COUNTIF(#REF!,$B189)&gt;0,COUNTIF(#REF!,$B189)=0),"SKIP",IF(COUNTIFS(#REF!,$B189,#REF!,$AC189)&gt;0,"OK","ONBEKEND")),IF(AND($BQ189=$BN189,$BR189=$BO189+1),IF(OR(COUNTIF(#REF!,$D189)&gt;0,COUNTIF(#REF!,$D189)=0),"SKIP",IF(COUNTIFS(#REF!,$D189,#REF!,$AC189)&gt;0,"OK","ONBEKEND")),"ONZEKER")))))</f>
        <v/>
      </c>
      <c r="AE189" t="str">
        <f t="shared" si="1390"/>
        <v/>
      </c>
      <c r="AF189" t="str">
        <f t="shared" si="1391"/>
        <v/>
      </c>
      <c r="AG189" t="str">
        <f>IF($AF189="","",IF(OR($BT189="",$BU189=""),"ONZEKER",IF(OR($BQ189="",$BR189=""),"ONZEKER",IF(AND($BT189=$BQ189+1,$BU189=$BR189),IF(OR(COUNTIF(#REF!,$B189)&gt;0,COUNTIF(#REF!,$B189)=0),"SKIP",IF(COUNTIFS(#REF!,$B189,#REF!,$AF189)&gt;0,"OK","ONBEKEND")),IF(AND($BT189=$BQ189,$BU189=$BR189+1),IF(OR(COUNTIF(#REF!,$D189)&gt;0,COUNTIF(#REF!,$D189)=0),"SKIP",IF(COUNTIFS(#REF!,$D189,#REF!,$AF189)&gt;0,"OK","ONBEKEND")),"ONZEKER")))))</f>
        <v/>
      </c>
      <c r="AH189" t="str">
        <f t="shared" si="1392"/>
        <v/>
      </c>
      <c r="AI189" t="str">
        <f t="shared" si="1393"/>
        <v/>
      </c>
      <c r="AJ189" t="str">
        <f>IF($AI189="","",IF(OR($BW189="",$BX189=""),"ONZEKER",IF(OR($BT189="",$BU189=""),"ONZEKER",IF(AND($BW189=$BT189+1,$BX189=$BU189),IF(OR(COUNTIF(#REF!,$B189)&gt;0,COUNTIF(#REF!,$B189)=0),"SKIP",IF(COUNTIFS(#REF!,$B189,#REF!,$AI189)&gt;0,"OK","ONBEKEND")),IF(AND($BW189=$BT189,$BX189=$BU189+1),IF(OR(COUNTIF(#REF!,$D189)&gt;0,COUNTIF(#REF!,$D189)=0),"SKIP",IF(COUNTIFS(#REF!,$D189,#REF!,$AI189)&gt;0,"OK","ONBEKEND")),"ONZEKER")))))</f>
        <v/>
      </c>
      <c r="AK189" t="str">
        <f t="shared" si="1394"/>
        <v/>
      </c>
      <c r="AL189" t="str">
        <f t="shared" si="1395"/>
        <v/>
      </c>
      <c r="AM189" t="str">
        <f>IF($AL189="","",IF(OR($BZ189="",$CA189=""),"ONZEKER",IF(OR($BW189="",$BX189=""),"ONZEKER",IF(AND($BZ189=$BW189+1,$CA189=$BX189),IF(OR(COUNTIF(#REF!,$B189)&gt;0,COUNTIF(#REF!,$B189)=0),"SKIP",IF(COUNTIFS(#REF!,$B189,#REF!,$AL189)&gt;0,"OK","ONBEKEND")),IF(AND($BZ189=$BW189,$CA189=$BX189+1),IF(OR(COUNTIF(#REF!,$D189)&gt;0,COUNTIF(#REF!,$D189)=0),"SKIP",IF(COUNTIFS(#REF!,$D189,#REF!,$AL189)&gt;0,"OK","ONBEKEND")),"ONZEKER")))))</f>
        <v/>
      </c>
      <c r="AN189" t="str">
        <f t="shared" si="1396"/>
        <v/>
      </c>
      <c r="AO189" t="str">
        <f t="shared" si="1397"/>
        <v/>
      </c>
      <c r="AP189" t="str">
        <f>IF($AO189="","",IF(OR($CC189="",$CD189=""),"ONZEKER",IF(OR($BZ189="",$CA189=""),"ONZEKER",IF(AND($CC189=$BZ189+1,$CD189=$CA189),IF(OR(COUNTIF(#REF!,$B189)&gt;0,COUNTIF(#REF!,$B189)=0),"SKIP",IF(COUNTIFS(#REF!,$B189,#REF!,$AO189)&gt;0,"OK","ONBEKEND")),IF(AND($CC189=$BZ189,$CD189=$CA189+1),IF(OR(COUNTIF(#REF!,$D189)&gt;0,COUNTIF(#REF!,$D189)=0),"SKIP",IF(COUNTIFS(#REF!,$D189,#REF!,$AO189)&gt;0,"OK","ONBEKEND")),"ONZEKER")))))</f>
        <v/>
      </c>
      <c r="AQ189" t="str">
        <f t="shared" si="1398"/>
        <v/>
      </c>
      <c r="AR189" t="str">
        <f t="shared" si="1399"/>
        <v/>
      </c>
      <c r="AS189" t="str">
        <f>IF($AR189="","",IF(OR($CF189="",$CG189=""),"ONZEKER",IF(OR($CC189="",$CD189=""),"ONZEKER",IF(AND($CF189=$CC189+1,$CG189=$CD189),IF(OR(COUNTIF(#REF!,$B189)&gt;0,COUNTIF(#REF!,$B189)=0),"SKIP",IF(COUNTIFS(#REF!,$B189,#REF!,$AR189)&gt;0,"OK","ONBEKEND")),IF(AND($CF189=$CC189,$CG189=$CD189+1),IF(OR(COUNTIF(#REF!,$D189)&gt;0,COUNTIF(#REF!,$D189)=0),"SKIP",IF(COUNTIFS(#REF!,$D189,#REF!,$AR189)&gt;0,"OK","ONBEKEND")),"ONZEKER")))))</f>
        <v/>
      </c>
      <c r="AT189" t="str">
        <f t="shared" si="1400"/>
        <v/>
      </c>
      <c r="AU189" t="str">
        <f t="shared" si="1401"/>
        <v/>
      </c>
      <c r="AV189" t="str">
        <f t="shared" si="1402"/>
        <v/>
      </c>
      <c r="AW189" t="str">
        <f t="shared" si="1403"/>
        <v/>
      </c>
      <c r="AX189" t="str">
        <f t="shared" si="1404"/>
        <v/>
      </c>
      <c r="AY189" t="str">
        <f t="shared" si="1405"/>
        <v/>
      </c>
      <c r="AZ189" t="str">
        <f t="shared" si="1406"/>
        <v/>
      </c>
      <c r="BA189" t="str">
        <f t="shared" si="1407"/>
        <v/>
      </c>
      <c r="BB189" t="str">
        <f t="shared" si="1408"/>
        <v/>
      </c>
      <c r="BC189" t="str">
        <f t="shared" si="1409"/>
        <v/>
      </c>
      <c r="BD189" t="str">
        <f t="shared" si="980"/>
        <v/>
      </c>
      <c r="BE189" t="str">
        <f t="shared" si="981"/>
        <v/>
      </c>
      <c r="BF189" t="str">
        <f t="shared" si="982"/>
        <v/>
      </c>
      <c r="BG189" t="str">
        <f t="shared" si="983"/>
        <v/>
      </c>
      <c r="BH189" t="str">
        <f t="shared" si="984"/>
        <v/>
      </c>
      <c r="BI189" t="str">
        <f t="shared" si="985"/>
        <v/>
      </c>
      <c r="BJ189" t="str">
        <f t="shared" si="986"/>
        <v/>
      </c>
      <c r="BK189" t="str">
        <f t="shared" si="987"/>
        <v/>
      </c>
      <c r="BL189" t="str">
        <f t="shared" si="988"/>
        <v/>
      </c>
      <c r="BM189" t="str">
        <f t="shared" si="989"/>
        <v/>
      </c>
      <c r="BN189" t="str">
        <f t="shared" si="990"/>
        <v/>
      </c>
      <c r="BO189" t="str">
        <f t="shared" si="991"/>
        <v/>
      </c>
      <c r="BP189" t="str">
        <f t="shared" si="992"/>
        <v/>
      </c>
      <c r="BQ189" t="str">
        <f t="shared" si="993"/>
        <v/>
      </c>
      <c r="BR189" t="str">
        <f t="shared" si="994"/>
        <v/>
      </c>
      <c r="BS189" t="str">
        <f t="shared" si="995"/>
        <v/>
      </c>
      <c r="BT189" t="str">
        <f t="shared" si="996"/>
        <v/>
      </c>
      <c r="BU189" t="str">
        <f t="shared" si="997"/>
        <v/>
      </c>
      <c r="BV189" t="str">
        <f t="shared" si="998"/>
        <v/>
      </c>
      <c r="BW189" t="str">
        <f t="shared" si="999"/>
        <v/>
      </c>
      <c r="BX189" t="str">
        <f t="shared" si="1000"/>
        <v/>
      </c>
      <c r="BY189" t="str">
        <f t="shared" si="1001"/>
        <v/>
      </c>
      <c r="BZ189" t="str">
        <f t="shared" si="1002"/>
        <v/>
      </c>
      <c r="CA189" t="str">
        <f t="shared" si="1003"/>
        <v/>
      </c>
      <c r="CB189" t="str">
        <f t="shared" si="1004"/>
        <v/>
      </c>
      <c r="CC189" t="str">
        <f t="shared" si="1005"/>
        <v/>
      </c>
      <c r="CD189" t="str">
        <f t="shared" si="1006"/>
        <v/>
      </c>
      <c r="CE189" t="str">
        <f t="shared" si="1007"/>
        <v/>
      </c>
      <c r="CF189" t="str">
        <f t="shared" si="1008"/>
        <v/>
      </c>
      <c r="CG189" t="str">
        <f t="shared" si="1009"/>
        <v/>
      </c>
      <c r="CH189" t="str">
        <f t="shared" si="1410"/>
        <v/>
      </c>
      <c r="CI189" t="str">
        <f t="shared" si="1411"/>
        <v/>
      </c>
      <c r="CJ189" t="str">
        <f>IF($CI189="","",IF(OR($DW189="",$DX189=""),"ONZEKER",IF(OR($CF189="",$CG189=""),"ONZEKER",IF(AND($DW189=$CF189+1,$DX189=$CG189),IF(OR(COUNTIF(#REF!,$B189)&gt;0,COUNTIF(#REF!,$B189)=0),"SKIP",IF(COUNTIFS(#REF!,$B189,#REF!,$CI189)&gt;0,"OK","ONBEKEND")),IF(AND($DW189=$CF189,$DX189=$CG189+1),IF(OR(COUNTIF(#REF!,$D189)&gt;0,COUNTIF(#REF!,$D189)=0),"SKIP",IF(COUNTIFS(#REF!,$D189,#REF!,$CI189)&gt;0,"OK","ONBEKEND")),"ONZEKER")))))</f>
        <v/>
      </c>
      <c r="CK189" t="str">
        <f t="shared" si="1412"/>
        <v/>
      </c>
      <c r="CL189" t="str">
        <f t="shared" si="1413"/>
        <v/>
      </c>
      <c r="CM189" t="str">
        <f>IF($CL189="","",IF(OR($DZ189="",$EA189=""),"ONZEKER",IF(OR($DW189="",$DX189=""),"ONZEKER",IF(AND($DZ189=$DW189+1,$EA189=$DX189),IF(OR(COUNTIF(#REF!,$B189)&gt;0,COUNTIF(#REF!,$B189)=0),"SKIP",IF(COUNTIFS(#REF!,$B189,#REF!,$CL189)&gt;0,"OK","ONBEKEND")),IF(AND($DZ189=$DW189,$EA189=$DX189+1),IF(OR(COUNTIF(#REF!,$D189)&gt;0,COUNTIF(#REF!,$D189)=0),"SKIP",IF(COUNTIFS(#REF!,$D189,#REF!,$CL189)&gt;0,"OK","ONBEKEND")),"ONZEKER")))))</f>
        <v/>
      </c>
      <c r="CN189" t="str">
        <f t="shared" si="1414"/>
        <v/>
      </c>
      <c r="CO189" t="str">
        <f t="shared" si="1415"/>
        <v/>
      </c>
      <c r="CP189" t="str">
        <f>IF($CO189="","",IF(OR($EC189="",$ED189=""),"ONZEKER",IF(OR($DZ189="",$EA189=""),"ONZEKER",IF(AND($EC189=$DZ189+1,$ED189=$EA189),IF(OR(COUNTIF(#REF!,$B189)&gt;0,COUNTIF(#REF!,$B189)=0),"SKIP",IF(COUNTIFS(#REF!,$B189,#REF!,$CO189)&gt;0,"OK","ONBEKEND")),IF(AND($EC189=$DZ189,$ED189=$EA189+1),IF(OR(COUNTIF(#REF!,$D189)&gt;0,COUNTIF(#REF!,$D189)=0),"SKIP",IF(COUNTIFS(#REF!,$D189,#REF!,$CO189)&gt;0,"OK","ONBEKEND")),"ONZEKER")))))</f>
        <v/>
      </c>
      <c r="CQ189" t="str">
        <f t="shared" si="1416"/>
        <v/>
      </c>
      <c r="CR189" t="str">
        <f t="shared" si="1417"/>
        <v/>
      </c>
      <c r="CS189" t="str">
        <f>IF($CR189="","",IF(OR($EF189="",$EG189=""),"ONZEKER",IF(OR($EC189="",$ED189=""),"ONZEKER",IF(AND($EF189=$EC189+1,$EG189=$ED189),IF(OR(COUNTIF(#REF!,$B189)&gt;0,COUNTIF(#REF!,$B189)=0),"SKIP",IF(COUNTIFS(#REF!,$B189,#REF!,$CR189)&gt;0,"OK","ONBEKEND")),IF(AND($EF189=$EC189,$EG189=$ED189+1),IF(OR(COUNTIF(#REF!,$D189)&gt;0,COUNTIF(#REF!,$D189)=0),"SKIP",IF(COUNTIFS(#REF!,$D189,#REF!,$CR189)&gt;0,"OK","ONBEKEND")),"ONZEKER")))))</f>
        <v/>
      </c>
      <c r="CT189" t="str">
        <f t="shared" si="1418"/>
        <v/>
      </c>
      <c r="CU189" t="str">
        <f t="shared" si="1419"/>
        <v/>
      </c>
      <c r="CV189" t="str">
        <f>IF($CU189="","",IF(OR($EI189="",$EJ189=""),"ONZEKER",IF(OR($EF189="",$EG189=""),"ONZEKER",IF(AND($EI189=$EF189+1,$EJ189=$EG189),IF(OR(COUNTIF(#REF!,$B189)&gt;0,COUNTIF(#REF!,$B189)=0),"SKIP",IF(COUNTIFS(#REF!,$B189,#REF!,$CU189)&gt;0,"OK","ONBEKEND")),IF(AND($EI189=$EF189,$EJ189=$EG189+1),IF(OR(COUNTIF(#REF!,$D189)&gt;0,COUNTIF(#REF!,$D189)=0),"SKIP",IF(COUNTIFS(#REF!,$D189,#REF!,$CU189)&gt;0,"OK","ONBEKEND")),"ONZEKER")))))</f>
        <v/>
      </c>
      <c r="CW189" t="str">
        <f t="shared" si="1420"/>
        <v/>
      </c>
      <c r="CX189" t="str">
        <f t="shared" si="1421"/>
        <v/>
      </c>
      <c r="CY189" t="str">
        <f>IF($CX189="","",IF(OR($EL189="",$EM189=""),"ONZEKER",IF(OR($EI189="",$EJ189=""),"ONZEKER",IF(AND($EL189=$EI189+1,$EM189=$EJ189),IF(OR(COUNTIF(#REF!,$B189)&gt;0,COUNTIF(#REF!,$B189)=0),"SKIP",IF(COUNTIFS(#REF!,$B189,#REF!,$CX189)&gt;0,"OK","ONBEKEND")),IF(AND($EL189=$EI189,$EM189=$EJ189+1),IF(OR(COUNTIF(#REF!,$D189)&gt;0,COUNTIF(#REF!,$D189)=0),"SKIP",IF(COUNTIFS(#REF!,$D189,#REF!,$CX189)&gt;0,"OK","ONBEKEND")),"ONZEKER")))))</f>
        <v/>
      </c>
      <c r="CZ189" t="str">
        <f t="shared" si="1422"/>
        <v/>
      </c>
      <c r="DA189" t="str">
        <f t="shared" si="1423"/>
        <v/>
      </c>
      <c r="DB189" t="str">
        <f>IF($DA189="","",IF(OR($EO189="",$EP189=""),"ONZEKER",IF(OR($EL189="",$EM189=""),"ONZEKER",IF(AND($EO189=$EL189+1,$EP189=$EM189),IF(OR(COUNTIF(#REF!,$B189)&gt;0,COUNTIF(#REF!,$B189)=0),"SKIP",IF(COUNTIFS(#REF!,$B189,#REF!,$DA189)&gt;0,"OK","ONBEKEND")),IF(AND($EO189=$EL189,$EP189=$EM189+1),IF(OR(COUNTIF(#REF!,$D189)&gt;0,COUNTIF(#REF!,$D189)=0),"SKIP",IF(COUNTIFS(#REF!,$D189,#REF!,$DA189)&gt;0,"OK","ONBEKEND")),"ONZEKER")))))</f>
        <v/>
      </c>
      <c r="DC189" t="str">
        <f t="shared" si="1424"/>
        <v/>
      </c>
      <c r="DD189" t="str">
        <f t="shared" si="1425"/>
        <v/>
      </c>
      <c r="DE189" t="str">
        <f>IF($DD189="","",IF(OR($ER189="",$ES189=""),"ONZEKER",IF(OR($EO189="",$EP189=""),"ONZEKER",IF(AND($ER189=$EO189+1,$ES189=$EP189),IF(OR(COUNTIF(#REF!,$B189)&gt;0,COUNTIF(#REF!,$B189)=0),"SKIP",IF(COUNTIFS(#REF!,$B189,#REF!,$DD189)&gt;0,"OK","ONBEKEND")),IF(AND($ER189=$EO189,$ES189=$EP189+1),IF(OR(COUNTIF(#REF!,$D189)&gt;0,COUNTIF(#REF!,$D189)=0),"SKIP",IF(COUNTIFS(#REF!,$D189,#REF!,$DD189)&gt;0,"OK","ONBEKEND")),"ONZEKER")))))</f>
        <v/>
      </c>
      <c r="DF189" t="str">
        <f t="shared" si="1426"/>
        <v/>
      </c>
      <c r="DG189" t="str">
        <f t="shared" si="1427"/>
        <v/>
      </c>
      <c r="DH189" t="str">
        <f>IF($DG189="","",IF(OR($EU189="",$EV189=""),"ONZEKER",IF(OR($ER189="",$ES189=""),"ONZEKER",IF(AND($EU189=$ER189+1,$EV189=$ES189),IF(OR(COUNTIF(#REF!,$B189)&gt;0,COUNTIF(#REF!,$B189)=0),"SKIP",IF(COUNTIFS(#REF!,$B189,#REF!,$DG189)&gt;0,"OK","ONBEKEND")),IF(AND($EU189=$ER189,$EV189=$ES189+1),IF(OR(COUNTIF(#REF!,$D189)&gt;0,COUNTIF(#REF!,$D189)=0),"SKIP",IF(COUNTIFS(#REF!,$D189,#REF!,$DG189)&gt;0,"OK","ONBEKEND")),"ONZEKER")))))</f>
        <v/>
      </c>
      <c r="DI189" t="str">
        <f t="shared" si="1428"/>
        <v/>
      </c>
      <c r="DJ189" t="str">
        <f t="shared" si="1429"/>
        <v/>
      </c>
      <c r="DK189" t="str">
        <f>IF($DJ189="","",IF(OR($EX189="",$EY189=""),"ONZEKER",IF(OR($EU189="",$EV189=""),"ONZEKER",IF(AND($EX189=$EU189+1,$EY189=$EV189),IF(OR(COUNTIF(#REF!,$B189)&gt;0,COUNTIF(#REF!,$B189)=0),"SKIP",IF(COUNTIFS(#REF!,$B189,#REF!,$DJ189)&gt;0,"OK","ONBEKEND")),IF(AND($EX189=$EU189,$EY189=$EV189+1),IF(OR(COUNTIF(#REF!,$D189)&gt;0,COUNTIF(#REF!,$D189)=0),"SKIP",IF(COUNTIFS(#REF!,$D189,#REF!,$DJ189)&gt;0,"OK","ONBEKEND")),"ONZEKER")))))</f>
        <v/>
      </c>
      <c r="DL189" t="str">
        <f t="shared" si="1430"/>
        <v/>
      </c>
      <c r="DM189" t="str">
        <f t="shared" si="1431"/>
        <v/>
      </c>
      <c r="DN189" t="str">
        <f t="shared" si="1432"/>
        <v/>
      </c>
      <c r="DO189" t="str">
        <f t="shared" si="1433"/>
        <v/>
      </c>
      <c r="DP189" t="str">
        <f t="shared" si="1434"/>
        <v/>
      </c>
      <c r="DQ189" t="str">
        <f t="shared" si="1435"/>
        <v/>
      </c>
      <c r="DR189" t="str">
        <f t="shared" si="1436"/>
        <v/>
      </c>
      <c r="DS189" t="str">
        <f t="shared" si="1437"/>
        <v/>
      </c>
      <c r="DT189" t="str">
        <f t="shared" si="1438"/>
        <v/>
      </c>
      <c r="DU189" t="str">
        <f t="shared" si="1439"/>
        <v/>
      </c>
      <c r="DV189" t="str">
        <f t="shared" si="1440"/>
        <v/>
      </c>
      <c r="DW189" t="str">
        <f t="shared" si="1441"/>
        <v/>
      </c>
      <c r="DX189" t="str">
        <f t="shared" si="1442"/>
        <v/>
      </c>
      <c r="DY189" t="str">
        <f t="shared" si="1443"/>
        <v/>
      </c>
      <c r="DZ189" t="str">
        <f t="shared" si="1444"/>
        <v/>
      </c>
      <c r="EA189" t="str">
        <f t="shared" si="1445"/>
        <v/>
      </c>
      <c r="EB189" t="str">
        <f t="shared" si="1446"/>
        <v/>
      </c>
      <c r="EC189" t="str">
        <f t="shared" si="1447"/>
        <v/>
      </c>
      <c r="ED189" t="str">
        <f t="shared" si="1448"/>
        <v/>
      </c>
      <c r="EE189" t="str">
        <f t="shared" si="1449"/>
        <v/>
      </c>
      <c r="EF189" t="str">
        <f t="shared" si="1450"/>
        <v/>
      </c>
      <c r="EG189" t="str">
        <f t="shared" si="1451"/>
        <v/>
      </c>
      <c r="EH189" t="str">
        <f t="shared" si="1452"/>
        <v/>
      </c>
      <c r="EI189" t="str">
        <f t="shared" si="1453"/>
        <v/>
      </c>
      <c r="EJ189" t="str">
        <f t="shared" si="1454"/>
        <v/>
      </c>
      <c r="EK189" t="str">
        <f t="shared" si="1455"/>
        <v/>
      </c>
      <c r="EL189" t="str">
        <f t="shared" si="1456"/>
        <v/>
      </c>
      <c r="EM189" t="str">
        <f t="shared" si="1457"/>
        <v/>
      </c>
      <c r="EN189" t="str">
        <f t="shared" si="1458"/>
        <v/>
      </c>
      <c r="EO189" t="str">
        <f t="shared" si="1459"/>
        <v/>
      </c>
      <c r="EP189" t="str">
        <f t="shared" si="1460"/>
        <v/>
      </c>
      <c r="EQ189" t="str">
        <f t="shared" si="1461"/>
        <v/>
      </c>
      <c r="ER189" t="str">
        <f t="shared" si="1462"/>
        <v/>
      </c>
      <c r="ES189" t="str">
        <f t="shared" si="1463"/>
        <v/>
      </c>
      <c r="ET189" t="str">
        <f t="shared" si="1464"/>
        <v/>
      </c>
      <c r="EU189" t="str">
        <f t="shared" si="1465"/>
        <v/>
      </c>
      <c r="EV189" t="str">
        <f t="shared" si="1466"/>
        <v/>
      </c>
      <c r="EW189" t="str">
        <f t="shared" si="1467"/>
        <v/>
      </c>
      <c r="EX189" t="str">
        <f t="shared" si="1468"/>
        <v/>
      </c>
      <c r="EY189" t="str">
        <f t="shared" si="1469"/>
        <v/>
      </c>
    </row>
    <row r="190" spans="1:155" ht="13.9" customHeight="1" x14ac:dyDescent="0.25">
      <c r="A190" s="7"/>
      <c r="B190" s="17"/>
      <c r="C190" s="8"/>
      <c r="D190" s="17"/>
      <c r="E190" s="8"/>
      <c r="F190" s="18">
        <v>0</v>
      </c>
      <c r="G190" s="7" t="s">
        <v>147</v>
      </c>
      <c r="H190" s="18">
        <v>0</v>
      </c>
      <c r="I190" s="19">
        <v>0</v>
      </c>
      <c r="J190" s="7" t="s">
        <v>147</v>
      </c>
      <c r="K190" s="19">
        <v>0</v>
      </c>
      <c r="L190" s="9"/>
      <c r="M190" s="3" t="str">
        <f>IF($L190="","",IF($L190="DOELPUNTENMAKERS","",IF(AND(COUNTIF(#REF!,$B190)=0,COUNTIF(#REF!,$D190)=0),"OK",IF($O190&gt;20,"LET OP: meer dan 20 items (controle onvolledig)",IF((COUNTIF($R190:$AS190,"ONZEKER")+COUNTIF($CJ190:$DK190,"ONZEKER"))&gt;0,"LET OP: scoreverloop onduidelijk (controle beperkt)",IF((IF($AT190&lt;&gt;"",$AT190&amp;", ","")&amp;IF($AU190&lt;&gt;"",$AU190&amp;", ","")&amp;IF($AV190&lt;&gt;"",$AV190&amp;", ","")&amp;IF($AW190&lt;&gt;"",$AW190&amp;", ","")&amp;IF($AX190&lt;&gt;"",$AX190&amp;", ","")&amp;IF($AY190&lt;&gt;"",$AY190&amp;", ","")&amp;IF($AZ190&lt;&gt;"",$AZ190&amp;", ","")&amp;IF($BA190&lt;&gt;"",$BA190&amp;", ","")&amp;IF($BB190&lt;&gt;"",$BB190&amp;", ","")&amp;IF($BC190&lt;&gt;"",$BC190&amp;", ","")&amp;IF($DL190&lt;&gt;"",$DL190&amp;", ","")&amp;IF($DM190&lt;&gt;"",$DM190&amp;", ","")&amp;IF($DN190&lt;&gt;"",$DN190&amp;", ","")&amp;IF($DO190&lt;&gt;"",$DO190&amp;", ","")&amp;IF($DP190&lt;&gt;"",$DP190&amp;", ","")&amp;IF($DQ190&lt;&gt;"",$DQ190&amp;", ","")&amp;IF($DR190&lt;&gt;"",$DR190&amp;", ","")&amp;IF($DS190&lt;&gt;"",$DS190&amp;", ","")&amp;IF($DT190&lt;&gt;"",$DT190&amp;", ","")&amp;IF($DU190&lt;&gt;"",$DU190&amp;", ",""))="","OK","Onbekend: "&amp;LEFT((IF($AT190&lt;&gt;"",$AT190&amp;", ","")&amp;IF($AU190&lt;&gt;"",$AU190&amp;", ","")&amp;IF($AV190&lt;&gt;"",$AV190&amp;", ","")&amp;IF($AW190&lt;&gt;"",$AW190&amp;", ","")&amp;IF($AX190&lt;&gt;"",$AX190&amp;", ","")&amp;IF($AY190&lt;&gt;"",$AY190&amp;", ","")&amp;IF($AZ190&lt;&gt;"",$AZ190&amp;", ","")&amp;IF($BA190&lt;&gt;"",$BA190&amp;", ","")&amp;IF($BB190&lt;&gt;"",$BB190&amp;", ","")&amp;IF($BC190&lt;&gt;"",$BC190&amp;", ","")&amp;IF($DL190&lt;&gt;"",$DL190&amp;", ","")&amp;IF($DM190&lt;&gt;"",$DM190&amp;", ","")&amp;IF($DN190&lt;&gt;"",$DN190&amp;", ","")&amp;IF($DO190&lt;&gt;"",$DO190&amp;", ","")&amp;IF($DP190&lt;&gt;"",$DP190&amp;", ","")&amp;IF($DQ190&lt;&gt;"",$DQ190&amp;", ","")&amp;IF($DR190&lt;&gt;"",$DR190&amp;", ","")&amp;IF($DS190&lt;&gt;"",$DS190&amp;", ","")&amp;IF($DT190&lt;&gt;"",$DT190&amp;", ","")&amp;IF($DU190&lt;&gt;"",$DU190&amp;", ","")),LEN((IF($AT190&lt;&gt;"",$AT190&amp;", ","")&amp;IF($AU190&lt;&gt;"",$AU190&amp;", ","")&amp;IF($AV190&lt;&gt;"",$AV190&amp;", ","")&amp;IF($AW190&lt;&gt;"",$AW190&amp;", ","")&amp;IF($AX190&lt;&gt;"",$AX190&amp;", ","")&amp;IF($AY190&lt;&gt;"",$AY190&amp;", ","")&amp;IF($AZ190&lt;&gt;"",$AZ190&amp;", ","")&amp;IF($BA190&lt;&gt;"",$BA190&amp;", ","")&amp;IF($BB190&lt;&gt;"",$BB190&amp;", ","")&amp;IF($BC190&lt;&gt;"",$BC190&amp;", ","")&amp;IF($DL190&lt;&gt;"",$DL190&amp;", ","")&amp;IF($DM190&lt;&gt;"",$DM190&amp;", ","")&amp;IF($DN190&lt;&gt;"",$DN190&amp;", ","")&amp;IF($DO190&lt;&gt;"",$DO190&amp;", ","")&amp;IF($DP190&lt;&gt;"",$DP190&amp;", ","")&amp;IF($DQ190&lt;&gt;"",$DQ190&amp;", ","")&amp;IF($DR190&lt;&gt;"",$DR190&amp;", ","")&amp;IF($DS190&lt;&gt;"",$DS190&amp;", ","")&amp;IF($DT190&lt;&gt;"",$DT190&amp;", ","")&amp;IF($DU190&lt;&gt;"",$DU190&amp;", ","")))-2)))))))</f>
        <v/>
      </c>
      <c r="N190" t="str">
        <f t="shared" si="1378"/>
        <v/>
      </c>
      <c r="O190" t="str">
        <f t="shared" si="1379"/>
        <v/>
      </c>
      <c r="P190" t="str">
        <f t="shared" si="1380"/>
        <v/>
      </c>
      <c r="Q190" t="str">
        <f t="shared" si="1381"/>
        <v/>
      </c>
      <c r="R190" t="str">
        <f>IF($Q190="","",IF(OR($BE190="",$BF190=""),"ONZEKER",IF(AND($BE190=0+1,$BF190=0),IF(OR(COUNTIF(#REF!,$B190)&gt;0,COUNTIF(#REF!,$B190)=0),"SKIP",IF(COUNTIFS(#REF!,$B190,#REF!,$Q190)&gt;0,"OK","ONBEKEND")),IF(AND($BE190=0,$BF190=0+1),IF(OR(COUNTIF(#REF!,$D190)&gt;0,COUNTIF(#REF!,$D190)=0),"SKIP",IF(COUNTIFS(#REF!,$D190,#REF!,$Q190)&gt;0,"OK","ONBEKEND")),"ONZEKER"))))</f>
        <v/>
      </c>
      <c r="S190" t="str">
        <f t="shared" si="1382"/>
        <v/>
      </c>
      <c r="T190" t="str">
        <f t="shared" si="1383"/>
        <v/>
      </c>
      <c r="U190" t="str">
        <f>IF($T190="","",IF(OR($BH190="",$BI190=""),"ONZEKER",IF(OR($BE190="",$BF190=""),"ONZEKER",IF(AND($BH190=$BE190+1,$BI190=$BF190),IF(OR(COUNTIF(#REF!,$B190)&gt;0,COUNTIF(#REF!,$B190)=0),"SKIP",IF(COUNTIFS(#REF!,$B190,#REF!,$T190)&gt;0,"OK","ONBEKEND")),IF(AND($BH190=$BE190,$BI190=$BF190+1),IF(OR(COUNTIF(#REF!,$D190)&gt;0,COUNTIF(#REF!,$D190)=0),"SKIP",IF(COUNTIFS(#REF!,$D190,#REF!,$T190)&gt;0,"OK","ONBEKEND")),"ONZEKER")))))</f>
        <v/>
      </c>
      <c r="V190" t="str">
        <f t="shared" si="1384"/>
        <v/>
      </c>
      <c r="W190" t="str">
        <f t="shared" si="1385"/>
        <v/>
      </c>
      <c r="X190" t="str">
        <f>IF($W190="","",IF(OR($BK190="",$BL190=""),"ONZEKER",IF(OR($BH190="",$BI190=""),"ONZEKER",IF(AND($BK190=$BH190+1,$BL190=$BI190),IF(OR(COUNTIF(#REF!,$B190)&gt;0,COUNTIF(#REF!,$B190)=0),"SKIP",IF(COUNTIFS(#REF!,$B190,#REF!,$W190)&gt;0,"OK","ONBEKEND")),IF(AND($BK190=$BH190,$BL190=$BI190+1),IF(OR(COUNTIF(#REF!,$D190)&gt;0,COUNTIF(#REF!,$D190)=0),"SKIP",IF(COUNTIFS(#REF!,$D190,#REF!,$W190)&gt;0,"OK","ONBEKEND")),"ONZEKER")))))</f>
        <v/>
      </c>
      <c r="Y190" t="str">
        <f t="shared" si="1386"/>
        <v/>
      </c>
      <c r="Z190" t="str">
        <f t="shared" si="1387"/>
        <v/>
      </c>
      <c r="AA190" t="str">
        <f>IF($Z190="","",IF(OR($BN190="",$BO190=""),"ONZEKER",IF(OR($BK190="",$BL190=""),"ONZEKER",IF(AND($BN190=$BK190+1,$BO190=$BL190),IF(OR(COUNTIF(#REF!,$B190)&gt;0,COUNTIF(#REF!,$B190)=0),"SKIP",IF(COUNTIFS(#REF!,$B190,#REF!,$Z190)&gt;0,"OK","ONBEKEND")),IF(AND($BN190=$BK190,$BO190=$BL190+1),IF(OR(COUNTIF(#REF!,$D190)&gt;0,COUNTIF(#REF!,$D190)=0),"SKIP",IF(COUNTIFS(#REF!,$D190,#REF!,$Z190)&gt;0,"OK","ONBEKEND")),"ONZEKER")))))</f>
        <v/>
      </c>
      <c r="AB190" t="str">
        <f t="shared" si="1388"/>
        <v/>
      </c>
      <c r="AC190" t="str">
        <f t="shared" si="1389"/>
        <v/>
      </c>
      <c r="AD190" t="str">
        <f>IF($AC190="","",IF(OR($BQ190="",$BR190=""),"ONZEKER",IF(OR($BN190="",$BO190=""),"ONZEKER",IF(AND($BQ190=$BN190+1,$BR190=$BO190),IF(OR(COUNTIF(#REF!,$B190)&gt;0,COUNTIF(#REF!,$B190)=0),"SKIP",IF(COUNTIFS(#REF!,$B190,#REF!,$AC190)&gt;0,"OK","ONBEKEND")),IF(AND($BQ190=$BN190,$BR190=$BO190+1),IF(OR(COUNTIF(#REF!,$D190)&gt;0,COUNTIF(#REF!,$D190)=0),"SKIP",IF(COUNTIFS(#REF!,$D190,#REF!,$AC190)&gt;0,"OK","ONBEKEND")),"ONZEKER")))))</f>
        <v/>
      </c>
      <c r="AE190" t="str">
        <f t="shared" si="1390"/>
        <v/>
      </c>
      <c r="AF190" t="str">
        <f t="shared" si="1391"/>
        <v/>
      </c>
      <c r="AG190" t="str">
        <f>IF($AF190="","",IF(OR($BT190="",$BU190=""),"ONZEKER",IF(OR($BQ190="",$BR190=""),"ONZEKER",IF(AND($BT190=$BQ190+1,$BU190=$BR190),IF(OR(COUNTIF(#REF!,$B190)&gt;0,COUNTIF(#REF!,$B190)=0),"SKIP",IF(COUNTIFS(#REF!,$B190,#REF!,$AF190)&gt;0,"OK","ONBEKEND")),IF(AND($BT190=$BQ190,$BU190=$BR190+1),IF(OR(COUNTIF(#REF!,$D190)&gt;0,COUNTIF(#REF!,$D190)=0),"SKIP",IF(COUNTIFS(#REF!,$D190,#REF!,$AF190)&gt;0,"OK","ONBEKEND")),"ONZEKER")))))</f>
        <v/>
      </c>
      <c r="AH190" t="str">
        <f t="shared" si="1392"/>
        <v/>
      </c>
      <c r="AI190" t="str">
        <f t="shared" si="1393"/>
        <v/>
      </c>
      <c r="AJ190" t="str">
        <f>IF($AI190="","",IF(OR($BW190="",$BX190=""),"ONZEKER",IF(OR($BT190="",$BU190=""),"ONZEKER",IF(AND($BW190=$BT190+1,$BX190=$BU190),IF(OR(COUNTIF(#REF!,$B190)&gt;0,COUNTIF(#REF!,$B190)=0),"SKIP",IF(COUNTIFS(#REF!,$B190,#REF!,$AI190)&gt;0,"OK","ONBEKEND")),IF(AND($BW190=$BT190,$BX190=$BU190+1),IF(OR(COUNTIF(#REF!,$D190)&gt;0,COUNTIF(#REF!,$D190)=0),"SKIP",IF(COUNTIFS(#REF!,$D190,#REF!,$AI190)&gt;0,"OK","ONBEKEND")),"ONZEKER")))))</f>
        <v/>
      </c>
      <c r="AK190" t="str">
        <f t="shared" si="1394"/>
        <v/>
      </c>
      <c r="AL190" t="str">
        <f t="shared" si="1395"/>
        <v/>
      </c>
      <c r="AM190" t="str">
        <f>IF($AL190="","",IF(OR($BZ190="",$CA190=""),"ONZEKER",IF(OR($BW190="",$BX190=""),"ONZEKER",IF(AND($BZ190=$BW190+1,$CA190=$BX190),IF(OR(COUNTIF(#REF!,$B190)&gt;0,COUNTIF(#REF!,$B190)=0),"SKIP",IF(COUNTIFS(#REF!,$B190,#REF!,$AL190)&gt;0,"OK","ONBEKEND")),IF(AND($BZ190=$BW190,$CA190=$BX190+1),IF(OR(COUNTIF(#REF!,$D190)&gt;0,COUNTIF(#REF!,$D190)=0),"SKIP",IF(COUNTIFS(#REF!,$D190,#REF!,$AL190)&gt;0,"OK","ONBEKEND")),"ONZEKER")))))</f>
        <v/>
      </c>
      <c r="AN190" t="str">
        <f t="shared" si="1396"/>
        <v/>
      </c>
      <c r="AO190" t="str">
        <f t="shared" si="1397"/>
        <v/>
      </c>
      <c r="AP190" t="str">
        <f>IF($AO190="","",IF(OR($CC190="",$CD190=""),"ONZEKER",IF(OR($BZ190="",$CA190=""),"ONZEKER",IF(AND($CC190=$BZ190+1,$CD190=$CA190),IF(OR(COUNTIF(#REF!,$B190)&gt;0,COUNTIF(#REF!,$B190)=0),"SKIP",IF(COUNTIFS(#REF!,$B190,#REF!,$AO190)&gt;0,"OK","ONBEKEND")),IF(AND($CC190=$BZ190,$CD190=$CA190+1),IF(OR(COUNTIF(#REF!,$D190)&gt;0,COUNTIF(#REF!,$D190)=0),"SKIP",IF(COUNTIFS(#REF!,$D190,#REF!,$AO190)&gt;0,"OK","ONBEKEND")),"ONZEKER")))))</f>
        <v/>
      </c>
      <c r="AQ190" t="str">
        <f t="shared" si="1398"/>
        <v/>
      </c>
      <c r="AR190" t="str">
        <f t="shared" si="1399"/>
        <v/>
      </c>
      <c r="AS190" t="str">
        <f>IF($AR190="","",IF(OR($CF190="",$CG190=""),"ONZEKER",IF(OR($CC190="",$CD190=""),"ONZEKER",IF(AND($CF190=$CC190+1,$CG190=$CD190),IF(OR(COUNTIF(#REF!,$B190)&gt;0,COUNTIF(#REF!,$B190)=0),"SKIP",IF(COUNTIFS(#REF!,$B190,#REF!,$AR190)&gt;0,"OK","ONBEKEND")),IF(AND($CF190=$CC190,$CG190=$CD190+1),IF(OR(COUNTIF(#REF!,$D190)&gt;0,COUNTIF(#REF!,$D190)=0),"SKIP",IF(COUNTIFS(#REF!,$D190,#REF!,$AR190)&gt;0,"OK","ONBEKEND")),"ONZEKER")))))</f>
        <v/>
      </c>
      <c r="AT190" t="str">
        <f t="shared" si="1400"/>
        <v/>
      </c>
      <c r="AU190" t="str">
        <f t="shared" si="1401"/>
        <v/>
      </c>
      <c r="AV190" t="str">
        <f t="shared" si="1402"/>
        <v/>
      </c>
      <c r="AW190" t="str">
        <f t="shared" si="1403"/>
        <v/>
      </c>
      <c r="AX190" t="str">
        <f t="shared" si="1404"/>
        <v/>
      </c>
      <c r="AY190" t="str">
        <f t="shared" si="1405"/>
        <v/>
      </c>
      <c r="AZ190" t="str">
        <f t="shared" si="1406"/>
        <v/>
      </c>
      <c r="BA190" t="str">
        <f t="shared" si="1407"/>
        <v/>
      </c>
      <c r="BB190" t="str">
        <f t="shared" si="1408"/>
        <v/>
      </c>
      <c r="BC190" t="str">
        <f t="shared" si="1409"/>
        <v/>
      </c>
      <c r="BD190" t="str">
        <f t="shared" si="980"/>
        <v/>
      </c>
      <c r="BE190" t="str">
        <f t="shared" si="981"/>
        <v/>
      </c>
      <c r="BF190" t="str">
        <f t="shared" si="982"/>
        <v/>
      </c>
      <c r="BG190" t="str">
        <f t="shared" si="983"/>
        <v/>
      </c>
      <c r="BH190" t="str">
        <f t="shared" si="984"/>
        <v/>
      </c>
      <c r="BI190" t="str">
        <f t="shared" si="985"/>
        <v/>
      </c>
      <c r="BJ190" t="str">
        <f t="shared" si="986"/>
        <v/>
      </c>
      <c r="BK190" t="str">
        <f t="shared" si="987"/>
        <v/>
      </c>
      <c r="BL190" t="str">
        <f t="shared" si="988"/>
        <v/>
      </c>
      <c r="BM190" t="str">
        <f t="shared" si="989"/>
        <v/>
      </c>
      <c r="BN190" t="str">
        <f t="shared" si="990"/>
        <v/>
      </c>
      <c r="BO190" t="str">
        <f t="shared" si="991"/>
        <v/>
      </c>
      <c r="BP190" t="str">
        <f t="shared" si="992"/>
        <v/>
      </c>
      <c r="BQ190" t="str">
        <f t="shared" si="993"/>
        <v/>
      </c>
      <c r="BR190" t="str">
        <f t="shared" si="994"/>
        <v/>
      </c>
      <c r="BS190" t="str">
        <f t="shared" si="995"/>
        <v/>
      </c>
      <c r="BT190" t="str">
        <f t="shared" si="996"/>
        <v/>
      </c>
      <c r="BU190" t="str">
        <f t="shared" si="997"/>
        <v/>
      </c>
      <c r="BV190" t="str">
        <f t="shared" si="998"/>
        <v/>
      </c>
      <c r="BW190" t="str">
        <f t="shared" si="999"/>
        <v/>
      </c>
      <c r="BX190" t="str">
        <f t="shared" si="1000"/>
        <v/>
      </c>
      <c r="BY190" t="str">
        <f t="shared" si="1001"/>
        <v/>
      </c>
      <c r="BZ190" t="str">
        <f t="shared" si="1002"/>
        <v/>
      </c>
      <c r="CA190" t="str">
        <f t="shared" si="1003"/>
        <v/>
      </c>
      <c r="CB190" t="str">
        <f t="shared" si="1004"/>
        <v/>
      </c>
      <c r="CC190" t="str">
        <f t="shared" si="1005"/>
        <v/>
      </c>
      <c r="CD190" t="str">
        <f t="shared" si="1006"/>
        <v/>
      </c>
      <c r="CE190" t="str">
        <f t="shared" si="1007"/>
        <v/>
      </c>
      <c r="CF190" t="str">
        <f t="shared" si="1008"/>
        <v/>
      </c>
      <c r="CG190" t="str">
        <f t="shared" si="1009"/>
        <v/>
      </c>
      <c r="CH190" t="str">
        <f t="shared" si="1410"/>
        <v/>
      </c>
      <c r="CI190" t="str">
        <f t="shared" si="1411"/>
        <v/>
      </c>
      <c r="CJ190" t="str">
        <f>IF($CI190="","",IF(OR($DW190="",$DX190=""),"ONZEKER",IF(OR($CF190="",$CG190=""),"ONZEKER",IF(AND($DW190=$CF190+1,$DX190=$CG190),IF(OR(COUNTIF(#REF!,$B190)&gt;0,COUNTIF(#REF!,$B190)=0),"SKIP",IF(COUNTIFS(#REF!,$B190,#REF!,$CI190)&gt;0,"OK","ONBEKEND")),IF(AND($DW190=$CF190,$DX190=$CG190+1),IF(OR(COUNTIF(#REF!,$D190)&gt;0,COUNTIF(#REF!,$D190)=0),"SKIP",IF(COUNTIFS(#REF!,$D190,#REF!,$CI190)&gt;0,"OK","ONBEKEND")),"ONZEKER")))))</f>
        <v/>
      </c>
      <c r="CK190" t="str">
        <f t="shared" si="1412"/>
        <v/>
      </c>
      <c r="CL190" t="str">
        <f t="shared" si="1413"/>
        <v/>
      </c>
      <c r="CM190" t="str">
        <f>IF($CL190="","",IF(OR($DZ190="",$EA190=""),"ONZEKER",IF(OR($DW190="",$DX190=""),"ONZEKER",IF(AND($DZ190=$DW190+1,$EA190=$DX190),IF(OR(COUNTIF(#REF!,$B190)&gt;0,COUNTIF(#REF!,$B190)=0),"SKIP",IF(COUNTIFS(#REF!,$B190,#REF!,$CL190)&gt;0,"OK","ONBEKEND")),IF(AND($DZ190=$DW190,$EA190=$DX190+1),IF(OR(COUNTIF(#REF!,$D190)&gt;0,COUNTIF(#REF!,$D190)=0),"SKIP",IF(COUNTIFS(#REF!,$D190,#REF!,$CL190)&gt;0,"OK","ONBEKEND")),"ONZEKER")))))</f>
        <v/>
      </c>
      <c r="CN190" t="str">
        <f t="shared" si="1414"/>
        <v/>
      </c>
      <c r="CO190" t="str">
        <f t="shared" si="1415"/>
        <v/>
      </c>
      <c r="CP190" t="str">
        <f>IF($CO190="","",IF(OR($EC190="",$ED190=""),"ONZEKER",IF(OR($DZ190="",$EA190=""),"ONZEKER",IF(AND($EC190=$DZ190+1,$ED190=$EA190),IF(OR(COUNTIF(#REF!,$B190)&gt;0,COUNTIF(#REF!,$B190)=0),"SKIP",IF(COUNTIFS(#REF!,$B190,#REF!,$CO190)&gt;0,"OK","ONBEKEND")),IF(AND($EC190=$DZ190,$ED190=$EA190+1),IF(OR(COUNTIF(#REF!,$D190)&gt;0,COUNTIF(#REF!,$D190)=0),"SKIP",IF(COUNTIFS(#REF!,$D190,#REF!,$CO190)&gt;0,"OK","ONBEKEND")),"ONZEKER")))))</f>
        <v/>
      </c>
      <c r="CQ190" t="str">
        <f t="shared" si="1416"/>
        <v/>
      </c>
      <c r="CR190" t="str">
        <f t="shared" si="1417"/>
        <v/>
      </c>
      <c r="CS190" t="str">
        <f>IF($CR190="","",IF(OR($EF190="",$EG190=""),"ONZEKER",IF(OR($EC190="",$ED190=""),"ONZEKER",IF(AND($EF190=$EC190+1,$EG190=$ED190),IF(OR(COUNTIF(#REF!,$B190)&gt;0,COUNTIF(#REF!,$B190)=0),"SKIP",IF(COUNTIFS(#REF!,$B190,#REF!,$CR190)&gt;0,"OK","ONBEKEND")),IF(AND($EF190=$EC190,$EG190=$ED190+1),IF(OR(COUNTIF(#REF!,$D190)&gt;0,COUNTIF(#REF!,$D190)=0),"SKIP",IF(COUNTIFS(#REF!,$D190,#REF!,$CR190)&gt;0,"OK","ONBEKEND")),"ONZEKER")))))</f>
        <v/>
      </c>
      <c r="CT190" t="str">
        <f t="shared" si="1418"/>
        <v/>
      </c>
      <c r="CU190" t="str">
        <f t="shared" si="1419"/>
        <v/>
      </c>
      <c r="CV190" t="str">
        <f>IF($CU190="","",IF(OR($EI190="",$EJ190=""),"ONZEKER",IF(OR($EF190="",$EG190=""),"ONZEKER",IF(AND($EI190=$EF190+1,$EJ190=$EG190),IF(OR(COUNTIF(#REF!,$B190)&gt;0,COUNTIF(#REF!,$B190)=0),"SKIP",IF(COUNTIFS(#REF!,$B190,#REF!,$CU190)&gt;0,"OK","ONBEKEND")),IF(AND($EI190=$EF190,$EJ190=$EG190+1),IF(OR(COUNTIF(#REF!,$D190)&gt;0,COUNTIF(#REF!,$D190)=0),"SKIP",IF(COUNTIFS(#REF!,$D190,#REF!,$CU190)&gt;0,"OK","ONBEKEND")),"ONZEKER")))))</f>
        <v/>
      </c>
      <c r="CW190" t="str">
        <f t="shared" si="1420"/>
        <v/>
      </c>
      <c r="CX190" t="str">
        <f t="shared" si="1421"/>
        <v/>
      </c>
      <c r="CY190" t="str">
        <f>IF($CX190="","",IF(OR($EL190="",$EM190=""),"ONZEKER",IF(OR($EI190="",$EJ190=""),"ONZEKER",IF(AND($EL190=$EI190+1,$EM190=$EJ190),IF(OR(COUNTIF(#REF!,$B190)&gt;0,COUNTIF(#REF!,$B190)=0),"SKIP",IF(COUNTIFS(#REF!,$B190,#REF!,$CX190)&gt;0,"OK","ONBEKEND")),IF(AND($EL190=$EI190,$EM190=$EJ190+1),IF(OR(COUNTIF(#REF!,$D190)&gt;0,COUNTIF(#REF!,$D190)=0),"SKIP",IF(COUNTIFS(#REF!,$D190,#REF!,$CX190)&gt;0,"OK","ONBEKEND")),"ONZEKER")))))</f>
        <v/>
      </c>
      <c r="CZ190" t="str">
        <f t="shared" si="1422"/>
        <v/>
      </c>
      <c r="DA190" t="str">
        <f t="shared" si="1423"/>
        <v/>
      </c>
      <c r="DB190" t="str">
        <f>IF($DA190="","",IF(OR($EO190="",$EP190=""),"ONZEKER",IF(OR($EL190="",$EM190=""),"ONZEKER",IF(AND($EO190=$EL190+1,$EP190=$EM190),IF(OR(COUNTIF(#REF!,$B190)&gt;0,COUNTIF(#REF!,$B190)=0),"SKIP",IF(COUNTIFS(#REF!,$B190,#REF!,$DA190)&gt;0,"OK","ONBEKEND")),IF(AND($EO190=$EL190,$EP190=$EM190+1),IF(OR(COUNTIF(#REF!,$D190)&gt;0,COUNTIF(#REF!,$D190)=0),"SKIP",IF(COUNTIFS(#REF!,$D190,#REF!,$DA190)&gt;0,"OK","ONBEKEND")),"ONZEKER")))))</f>
        <v/>
      </c>
      <c r="DC190" t="str">
        <f t="shared" si="1424"/>
        <v/>
      </c>
      <c r="DD190" t="str">
        <f t="shared" si="1425"/>
        <v/>
      </c>
      <c r="DE190" t="str">
        <f>IF($DD190="","",IF(OR($ER190="",$ES190=""),"ONZEKER",IF(OR($EO190="",$EP190=""),"ONZEKER",IF(AND($ER190=$EO190+1,$ES190=$EP190),IF(OR(COUNTIF(#REF!,$B190)&gt;0,COUNTIF(#REF!,$B190)=0),"SKIP",IF(COUNTIFS(#REF!,$B190,#REF!,$DD190)&gt;0,"OK","ONBEKEND")),IF(AND($ER190=$EO190,$ES190=$EP190+1),IF(OR(COUNTIF(#REF!,$D190)&gt;0,COUNTIF(#REF!,$D190)=0),"SKIP",IF(COUNTIFS(#REF!,$D190,#REF!,$DD190)&gt;0,"OK","ONBEKEND")),"ONZEKER")))))</f>
        <v/>
      </c>
      <c r="DF190" t="str">
        <f t="shared" si="1426"/>
        <v/>
      </c>
      <c r="DG190" t="str">
        <f t="shared" si="1427"/>
        <v/>
      </c>
      <c r="DH190" t="str">
        <f>IF($DG190="","",IF(OR($EU190="",$EV190=""),"ONZEKER",IF(OR($ER190="",$ES190=""),"ONZEKER",IF(AND($EU190=$ER190+1,$EV190=$ES190),IF(OR(COUNTIF(#REF!,$B190)&gt;0,COUNTIF(#REF!,$B190)=0),"SKIP",IF(COUNTIFS(#REF!,$B190,#REF!,$DG190)&gt;0,"OK","ONBEKEND")),IF(AND($EU190=$ER190,$EV190=$ES190+1),IF(OR(COUNTIF(#REF!,$D190)&gt;0,COUNTIF(#REF!,$D190)=0),"SKIP",IF(COUNTIFS(#REF!,$D190,#REF!,$DG190)&gt;0,"OK","ONBEKEND")),"ONZEKER")))))</f>
        <v/>
      </c>
      <c r="DI190" t="str">
        <f t="shared" si="1428"/>
        <v/>
      </c>
      <c r="DJ190" t="str">
        <f t="shared" si="1429"/>
        <v/>
      </c>
      <c r="DK190" t="str">
        <f>IF($DJ190="","",IF(OR($EX190="",$EY190=""),"ONZEKER",IF(OR($EU190="",$EV190=""),"ONZEKER",IF(AND($EX190=$EU190+1,$EY190=$EV190),IF(OR(COUNTIF(#REF!,$B190)&gt;0,COUNTIF(#REF!,$B190)=0),"SKIP",IF(COUNTIFS(#REF!,$B190,#REF!,$DJ190)&gt;0,"OK","ONBEKEND")),IF(AND($EX190=$EU190,$EY190=$EV190+1),IF(OR(COUNTIF(#REF!,$D190)&gt;0,COUNTIF(#REF!,$D190)=0),"SKIP",IF(COUNTIFS(#REF!,$D190,#REF!,$DJ190)&gt;0,"OK","ONBEKEND")),"ONZEKER")))))</f>
        <v/>
      </c>
      <c r="DL190" t="str">
        <f t="shared" si="1430"/>
        <v/>
      </c>
      <c r="DM190" t="str">
        <f t="shared" si="1431"/>
        <v/>
      </c>
      <c r="DN190" t="str">
        <f t="shared" si="1432"/>
        <v/>
      </c>
      <c r="DO190" t="str">
        <f t="shared" si="1433"/>
        <v/>
      </c>
      <c r="DP190" t="str">
        <f t="shared" si="1434"/>
        <v/>
      </c>
      <c r="DQ190" t="str">
        <f t="shared" si="1435"/>
        <v/>
      </c>
      <c r="DR190" t="str">
        <f t="shared" si="1436"/>
        <v/>
      </c>
      <c r="DS190" t="str">
        <f t="shared" si="1437"/>
        <v/>
      </c>
      <c r="DT190" t="str">
        <f t="shared" si="1438"/>
        <v/>
      </c>
      <c r="DU190" t="str">
        <f t="shared" si="1439"/>
        <v/>
      </c>
      <c r="DV190" t="str">
        <f t="shared" si="1440"/>
        <v/>
      </c>
      <c r="DW190" t="str">
        <f t="shared" si="1441"/>
        <v/>
      </c>
      <c r="DX190" t="str">
        <f t="shared" si="1442"/>
        <v/>
      </c>
      <c r="DY190" t="str">
        <f t="shared" si="1443"/>
        <v/>
      </c>
      <c r="DZ190" t="str">
        <f t="shared" si="1444"/>
        <v/>
      </c>
      <c r="EA190" t="str">
        <f t="shared" si="1445"/>
        <v/>
      </c>
      <c r="EB190" t="str">
        <f t="shared" si="1446"/>
        <v/>
      </c>
      <c r="EC190" t="str">
        <f t="shared" si="1447"/>
        <v/>
      </c>
      <c r="ED190" t="str">
        <f t="shared" si="1448"/>
        <v/>
      </c>
      <c r="EE190" t="str">
        <f t="shared" si="1449"/>
        <v/>
      </c>
      <c r="EF190" t="str">
        <f t="shared" si="1450"/>
        <v/>
      </c>
      <c r="EG190" t="str">
        <f t="shared" si="1451"/>
        <v/>
      </c>
      <c r="EH190" t="str">
        <f t="shared" si="1452"/>
        <v/>
      </c>
      <c r="EI190" t="str">
        <f t="shared" si="1453"/>
        <v/>
      </c>
      <c r="EJ190" t="str">
        <f t="shared" si="1454"/>
        <v/>
      </c>
      <c r="EK190" t="str">
        <f t="shared" si="1455"/>
        <v/>
      </c>
      <c r="EL190" t="str">
        <f t="shared" si="1456"/>
        <v/>
      </c>
      <c r="EM190" t="str">
        <f t="shared" si="1457"/>
        <v/>
      </c>
      <c r="EN190" t="str">
        <f t="shared" si="1458"/>
        <v/>
      </c>
      <c r="EO190" t="str">
        <f t="shared" si="1459"/>
        <v/>
      </c>
      <c r="EP190" t="str">
        <f t="shared" si="1460"/>
        <v/>
      </c>
      <c r="EQ190" t="str">
        <f t="shared" si="1461"/>
        <v/>
      </c>
      <c r="ER190" t="str">
        <f t="shared" si="1462"/>
        <v/>
      </c>
      <c r="ES190" t="str">
        <f t="shared" si="1463"/>
        <v/>
      </c>
      <c r="ET190" t="str">
        <f t="shared" si="1464"/>
        <v/>
      </c>
      <c r="EU190" t="str">
        <f t="shared" si="1465"/>
        <v/>
      </c>
      <c r="EV190" t="str">
        <f t="shared" si="1466"/>
        <v/>
      </c>
      <c r="EW190" t="str">
        <f t="shared" si="1467"/>
        <v/>
      </c>
      <c r="EX190" t="str">
        <f t="shared" si="1468"/>
        <v/>
      </c>
      <c r="EY190" t="str">
        <f t="shared" si="1469"/>
        <v/>
      </c>
    </row>
    <row r="191" spans="1:155" ht="13.9" customHeight="1" x14ac:dyDescent="0.25">
      <c r="A191" s="7"/>
      <c r="B191" s="17"/>
      <c r="C191" s="8"/>
      <c r="D191" s="17"/>
      <c r="E191" s="8"/>
      <c r="F191" s="18">
        <v>0</v>
      </c>
      <c r="G191" s="7" t="s">
        <v>147</v>
      </c>
      <c r="H191" s="18">
        <v>0</v>
      </c>
      <c r="I191" s="19">
        <v>0</v>
      </c>
      <c r="J191" s="7" t="s">
        <v>147</v>
      </c>
      <c r="K191" s="19">
        <v>0</v>
      </c>
      <c r="L191" s="9"/>
      <c r="M191" s="3" t="str">
        <f>IF($L191="","",IF($L191="DOELPUNTENMAKERS","",IF(AND(COUNTIF(#REF!,$B191)=0,COUNTIF(#REF!,$D191)=0),"OK",IF($O191&gt;20,"LET OP: meer dan 20 items (controle onvolledig)",IF((COUNTIF($R191:$AS191,"ONZEKER")+COUNTIF($CJ191:$DK191,"ONZEKER"))&gt;0,"LET OP: scoreverloop onduidelijk (controle beperkt)",IF((IF($AT191&lt;&gt;"",$AT191&amp;", ","")&amp;IF($AU191&lt;&gt;"",$AU191&amp;", ","")&amp;IF($AV191&lt;&gt;"",$AV191&amp;", ","")&amp;IF($AW191&lt;&gt;"",$AW191&amp;", ","")&amp;IF($AX191&lt;&gt;"",$AX191&amp;", ","")&amp;IF($AY191&lt;&gt;"",$AY191&amp;", ","")&amp;IF($AZ191&lt;&gt;"",$AZ191&amp;", ","")&amp;IF($BA191&lt;&gt;"",$BA191&amp;", ","")&amp;IF($BB191&lt;&gt;"",$BB191&amp;", ","")&amp;IF($BC191&lt;&gt;"",$BC191&amp;", ","")&amp;IF($DL191&lt;&gt;"",$DL191&amp;", ","")&amp;IF($DM191&lt;&gt;"",$DM191&amp;", ","")&amp;IF($DN191&lt;&gt;"",$DN191&amp;", ","")&amp;IF($DO191&lt;&gt;"",$DO191&amp;", ","")&amp;IF($DP191&lt;&gt;"",$DP191&amp;", ","")&amp;IF($DQ191&lt;&gt;"",$DQ191&amp;", ","")&amp;IF($DR191&lt;&gt;"",$DR191&amp;", ","")&amp;IF($DS191&lt;&gt;"",$DS191&amp;", ","")&amp;IF($DT191&lt;&gt;"",$DT191&amp;", ","")&amp;IF($DU191&lt;&gt;"",$DU191&amp;", ",""))="","OK","Onbekend: "&amp;LEFT((IF($AT191&lt;&gt;"",$AT191&amp;", ","")&amp;IF($AU191&lt;&gt;"",$AU191&amp;", ","")&amp;IF($AV191&lt;&gt;"",$AV191&amp;", ","")&amp;IF($AW191&lt;&gt;"",$AW191&amp;", ","")&amp;IF($AX191&lt;&gt;"",$AX191&amp;", ","")&amp;IF($AY191&lt;&gt;"",$AY191&amp;", ","")&amp;IF($AZ191&lt;&gt;"",$AZ191&amp;", ","")&amp;IF($BA191&lt;&gt;"",$BA191&amp;", ","")&amp;IF($BB191&lt;&gt;"",$BB191&amp;", ","")&amp;IF($BC191&lt;&gt;"",$BC191&amp;", ","")&amp;IF($DL191&lt;&gt;"",$DL191&amp;", ","")&amp;IF($DM191&lt;&gt;"",$DM191&amp;", ","")&amp;IF($DN191&lt;&gt;"",$DN191&amp;", ","")&amp;IF($DO191&lt;&gt;"",$DO191&amp;", ","")&amp;IF($DP191&lt;&gt;"",$DP191&amp;", ","")&amp;IF($DQ191&lt;&gt;"",$DQ191&amp;", ","")&amp;IF($DR191&lt;&gt;"",$DR191&amp;", ","")&amp;IF($DS191&lt;&gt;"",$DS191&amp;", ","")&amp;IF($DT191&lt;&gt;"",$DT191&amp;", ","")&amp;IF($DU191&lt;&gt;"",$DU191&amp;", ","")),LEN((IF($AT191&lt;&gt;"",$AT191&amp;", ","")&amp;IF($AU191&lt;&gt;"",$AU191&amp;", ","")&amp;IF($AV191&lt;&gt;"",$AV191&amp;", ","")&amp;IF($AW191&lt;&gt;"",$AW191&amp;", ","")&amp;IF($AX191&lt;&gt;"",$AX191&amp;", ","")&amp;IF($AY191&lt;&gt;"",$AY191&amp;", ","")&amp;IF($AZ191&lt;&gt;"",$AZ191&amp;", ","")&amp;IF($BA191&lt;&gt;"",$BA191&amp;", ","")&amp;IF($BB191&lt;&gt;"",$BB191&amp;", ","")&amp;IF($BC191&lt;&gt;"",$BC191&amp;", ","")&amp;IF($DL191&lt;&gt;"",$DL191&amp;", ","")&amp;IF($DM191&lt;&gt;"",$DM191&amp;", ","")&amp;IF($DN191&lt;&gt;"",$DN191&amp;", ","")&amp;IF($DO191&lt;&gt;"",$DO191&amp;", ","")&amp;IF($DP191&lt;&gt;"",$DP191&amp;", ","")&amp;IF($DQ191&lt;&gt;"",$DQ191&amp;", ","")&amp;IF($DR191&lt;&gt;"",$DR191&amp;", ","")&amp;IF($DS191&lt;&gt;"",$DS191&amp;", ","")&amp;IF($DT191&lt;&gt;"",$DT191&amp;", ","")&amp;IF($DU191&lt;&gt;"",$DU191&amp;", ","")))-2)))))))</f>
        <v/>
      </c>
      <c r="N191" t="str">
        <f t="shared" si="1378"/>
        <v/>
      </c>
      <c r="O191" t="str">
        <f t="shared" si="1379"/>
        <v/>
      </c>
      <c r="P191" t="str">
        <f t="shared" si="1380"/>
        <v/>
      </c>
      <c r="Q191" t="str">
        <f t="shared" si="1381"/>
        <v/>
      </c>
      <c r="R191" t="str">
        <f>IF($Q191="","",IF(OR($BE191="",$BF191=""),"ONZEKER",IF(AND($BE191=0+1,$BF191=0),IF(OR(COUNTIF(#REF!,$B191)&gt;0,COUNTIF(#REF!,$B191)=0),"SKIP",IF(COUNTIFS(#REF!,$B191,#REF!,$Q191)&gt;0,"OK","ONBEKEND")),IF(AND($BE191=0,$BF191=0+1),IF(OR(COUNTIF(#REF!,$D191)&gt;0,COUNTIF(#REF!,$D191)=0),"SKIP",IF(COUNTIFS(#REF!,$D191,#REF!,$Q191)&gt;0,"OK","ONBEKEND")),"ONZEKER"))))</f>
        <v/>
      </c>
      <c r="S191" t="str">
        <f t="shared" si="1382"/>
        <v/>
      </c>
      <c r="T191" t="str">
        <f t="shared" si="1383"/>
        <v/>
      </c>
      <c r="U191" t="str">
        <f>IF($T191="","",IF(OR($BH191="",$BI191=""),"ONZEKER",IF(OR($BE191="",$BF191=""),"ONZEKER",IF(AND($BH191=$BE191+1,$BI191=$BF191),IF(OR(COUNTIF(#REF!,$B191)&gt;0,COUNTIF(#REF!,$B191)=0),"SKIP",IF(COUNTIFS(#REF!,$B191,#REF!,$T191)&gt;0,"OK","ONBEKEND")),IF(AND($BH191=$BE191,$BI191=$BF191+1),IF(OR(COUNTIF(#REF!,$D191)&gt;0,COUNTIF(#REF!,$D191)=0),"SKIP",IF(COUNTIFS(#REF!,$D191,#REF!,$T191)&gt;0,"OK","ONBEKEND")),"ONZEKER")))))</f>
        <v/>
      </c>
      <c r="V191" t="str">
        <f t="shared" si="1384"/>
        <v/>
      </c>
      <c r="W191" t="str">
        <f t="shared" si="1385"/>
        <v/>
      </c>
      <c r="X191" t="str">
        <f>IF($W191="","",IF(OR($BK191="",$BL191=""),"ONZEKER",IF(OR($BH191="",$BI191=""),"ONZEKER",IF(AND($BK191=$BH191+1,$BL191=$BI191),IF(OR(COUNTIF(#REF!,$B191)&gt;0,COUNTIF(#REF!,$B191)=0),"SKIP",IF(COUNTIFS(#REF!,$B191,#REF!,$W191)&gt;0,"OK","ONBEKEND")),IF(AND($BK191=$BH191,$BL191=$BI191+1),IF(OR(COUNTIF(#REF!,$D191)&gt;0,COUNTIF(#REF!,$D191)=0),"SKIP",IF(COUNTIFS(#REF!,$D191,#REF!,$W191)&gt;0,"OK","ONBEKEND")),"ONZEKER")))))</f>
        <v/>
      </c>
      <c r="Y191" t="str">
        <f t="shared" si="1386"/>
        <v/>
      </c>
      <c r="Z191" t="str">
        <f t="shared" si="1387"/>
        <v/>
      </c>
      <c r="AA191" t="str">
        <f>IF($Z191="","",IF(OR($BN191="",$BO191=""),"ONZEKER",IF(OR($BK191="",$BL191=""),"ONZEKER",IF(AND($BN191=$BK191+1,$BO191=$BL191),IF(OR(COUNTIF(#REF!,$B191)&gt;0,COUNTIF(#REF!,$B191)=0),"SKIP",IF(COUNTIFS(#REF!,$B191,#REF!,$Z191)&gt;0,"OK","ONBEKEND")),IF(AND($BN191=$BK191,$BO191=$BL191+1),IF(OR(COUNTIF(#REF!,$D191)&gt;0,COUNTIF(#REF!,$D191)=0),"SKIP",IF(COUNTIFS(#REF!,$D191,#REF!,$Z191)&gt;0,"OK","ONBEKEND")),"ONZEKER")))))</f>
        <v/>
      </c>
      <c r="AB191" t="str">
        <f t="shared" si="1388"/>
        <v/>
      </c>
      <c r="AC191" t="str">
        <f t="shared" si="1389"/>
        <v/>
      </c>
      <c r="AD191" t="str">
        <f>IF($AC191="","",IF(OR($BQ191="",$BR191=""),"ONZEKER",IF(OR($BN191="",$BO191=""),"ONZEKER",IF(AND($BQ191=$BN191+1,$BR191=$BO191),IF(OR(COUNTIF(#REF!,$B191)&gt;0,COUNTIF(#REF!,$B191)=0),"SKIP",IF(COUNTIFS(#REF!,$B191,#REF!,$AC191)&gt;0,"OK","ONBEKEND")),IF(AND($BQ191=$BN191,$BR191=$BO191+1),IF(OR(COUNTIF(#REF!,$D191)&gt;0,COUNTIF(#REF!,$D191)=0),"SKIP",IF(COUNTIFS(#REF!,$D191,#REF!,$AC191)&gt;0,"OK","ONBEKEND")),"ONZEKER")))))</f>
        <v/>
      </c>
      <c r="AE191" t="str">
        <f t="shared" si="1390"/>
        <v/>
      </c>
      <c r="AF191" t="str">
        <f t="shared" si="1391"/>
        <v/>
      </c>
      <c r="AG191" t="str">
        <f>IF($AF191="","",IF(OR($BT191="",$BU191=""),"ONZEKER",IF(OR($BQ191="",$BR191=""),"ONZEKER",IF(AND($BT191=$BQ191+1,$BU191=$BR191),IF(OR(COUNTIF(#REF!,$B191)&gt;0,COUNTIF(#REF!,$B191)=0),"SKIP",IF(COUNTIFS(#REF!,$B191,#REF!,$AF191)&gt;0,"OK","ONBEKEND")),IF(AND($BT191=$BQ191,$BU191=$BR191+1),IF(OR(COUNTIF(#REF!,$D191)&gt;0,COUNTIF(#REF!,$D191)=0),"SKIP",IF(COUNTIFS(#REF!,$D191,#REF!,$AF191)&gt;0,"OK","ONBEKEND")),"ONZEKER")))))</f>
        <v/>
      </c>
      <c r="AH191" t="str">
        <f t="shared" si="1392"/>
        <v/>
      </c>
      <c r="AI191" t="str">
        <f t="shared" si="1393"/>
        <v/>
      </c>
      <c r="AJ191" t="str">
        <f>IF($AI191="","",IF(OR($BW191="",$BX191=""),"ONZEKER",IF(OR($BT191="",$BU191=""),"ONZEKER",IF(AND($BW191=$BT191+1,$BX191=$BU191),IF(OR(COUNTIF(#REF!,$B191)&gt;0,COUNTIF(#REF!,$B191)=0),"SKIP",IF(COUNTIFS(#REF!,$B191,#REF!,$AI191)&gt;0,"OK","ONBEKEND")),IF(AND($BW191=$BT191,$BX191=$BU191+1),IF(OR(COUNTIF(#REF!,$D191)&gt;0,COUNTIF(#REF!,$D191)=0),"SKIP",IF(COUNTIFS(#REF!,$D191,#REF!,$AI191)&gt;0,"OK","ONBEKEND")),"ONZEKER")))))</f>
        <v/>
      </c>
      <c r="AK191" t="str">
        <f t="shared" si="1394"/>
        <v/>
      </c>
      <c r="AL191" t="str">
        <f t="shared" si="1395"/>
        <v/>
      </c>
      <c r="AM191" t="str">
        <f>IF($AL191="","",IF(OR($BZ191="",$CA191=""),"ONZEKER",IF(OR($BW191="",$BX191=""),"ONZEKER",IF(AND($BZ191=$BW191+1,$CA191=$BX191),IF(OR(COUNTIF(#REF!,$B191)&gt;0,COUNTIF(#REF!,$B191)=0),"SKIP",IF(COUNTIFS(#REF!,$B191,#REF!,$AL191)&gt;0,"OK","ONBEKEND")),IF(AND($BZ191=$BW191,$CA191=$BX191+1),IF(OR(COUNTIF(#REF!,$D191)&gt;0,COUNTIF(#REF!,$D191)=0),"SKIP",IF(COUNTIFS(#REF!,$D191,#REF!,$AL191)&gt;0,"OK","ONBEKEND")),"ONZEKER")))))</f>
        <v/>
      </c>
      <c r="AN191" t="str">
        <f t="shared" si="1396"/>
        <v/>
      </c>
      <c r="AO191" t="str">
        <f t="shared" si="1397"/>
        <v/>
      </c>
      <c r="AP191" t="str">
        <f>IF($AO191="","",IF(OR($CC191="",$CD191=""),"ONZEKER",IF(OR($BZ191="",$CA191=""),"ONZEKER",IF(AND($CC191=$BZ191+1,$CD191=$CA191),IF(OR(COUNTIF(#REF!,$B191)&gt;0,COUNTIF(#REF!,$B191)=0),"SKIP",IF(COUNTIFS(#REF!,$B191,#REF!,$AO191)&gt;0,"OK","ONBEKEND")),IF(AND($CC191=$BZ191,$CD191=$CA191+1),IF(OR(COUNTIF(#REF!,$D191)&gt;0,COUNTIF(#REF!,$D191)=0),"SKIP",IF(COUNTIFS(#REF!,$D191,#REF!,$AO191)&gt;0,"OK","ONBEKEND")),"ONZEKER")))))</f>
        <v/>
      </c>
      <c r="AQ191" t="str">
        <f t="shared" si="1398"/>
        <v/>
      </c>
      <c r="AR191" t="str">
        <f t="shared" si="1399"/>
        <v/>
      </c>
      <c r="AS191" t="str">
        <f>IF($AR191="","",IF(OR($CF191="",$CG191=""),"ONZEKER",IF(OR($CC191="",$CD191=""),"ONZEKER",IF(AND($CF191=$CC191+1,$CG191=$CD191),IF(OR(COUNTIF(#REF!,$B191)&gt;0,COUNTIF(#REF!,$B191)=0),"SKIP",IF(COUNTIFS(#REF!,$B191,#REF!,$AR191)&gt;0,"OK","ONBEKEND")),IF(AND($CF191=$CC191,$CG191=$CD191+1),IF(OR(COUNTIF(#REF!,$D191)&gt;0,COUNTIF(#REF!,$D191)=0),"SKIP",IF(COUNTIFS(#REF!,$D191,#REF!,$AR191)&gt;0,"OK","ONBEKEND")),"ONZEKER")))))</f>
        <v/>
      </c>
      <c r="AT191" t="str">
        <f t="shared" si="1400"/>
        <v/>
      </c>
      <c r="AU191" t="str">
        <f t="shared" si="1401"/>
        <v/>
      </c>
      <c r="AV191" t="str">
        <f t="shared" si="1402"/>
        <v/>
      </c>
      <c r="AW191" t="str">
        <f t="shared" si="1403"/>
        <v/>
      </c>
      <c r="AX191" t="str">
        <f t="shared" si="1404"/>
        <v/>
      </c>
      <c r="AY191" t="str">
        <f t="shared" si="1405"/>
        <v/>
      </c>
      <c r="AZ191" t="str">
        <f t="shared" si="1406"/>
        <v/>
      </c>
      <c r="BA191" t="str">
        <f t="shared" si="1407"/>
        <v/>
      </c>
      <c r="BB191" t="str">
        <f t="shared" si="1408"/>
        <v/>
      </c>
      <c r="BC191" t="str">
        <f t="shared" si="1409"/>
        <v/>
      </c>
      <c r="BD191" t="str">
        <f t="shared" si="980"/>
        <v/>
      </c>
      <c r="BE191" t="str">
        <f t="shared" si="981"/>
        <v/>
      </c>
      <c r="BF191" t="str">
        <f t="shared" si="982"/>
        <v/>
      </c>
      <c r="BG191" t="str">
        <f t="shared" si="983"/>
        <v/>
      </c>
      <c r="BH191" t="str">
        <f t="shared" si="984"/>
        <v/>
      </c>
      <c r="BI191" t="str">
        <f t="shared" si="985"/>
        <v/>
      </c>
      <c r="BJ191" t="str">
        <f t="shared" si="986"/>
        <v/>
      </c>
      <c r="BK191" t="str">
        <f t="shared" si="987"/>
        <v/>
      </c>
      <c r="BL191" t="str">
        <f t="shared" si="988"/>
        <v/>
      </c>
      <c r="BM191" t="str">
        <f t="shared" si="989"/>
        <v/>
      </c>
      <c r="BN191" t="str">
        <f t="shared" si="990"/>
        <v/>
      </c>
      <c r="BO191" t="str">
        <f t="shared" si="991"/>
        <v/>
      </c>
      <c r="BP191" t="str">
        <f t="shared" si="992"/>
        <v/>
      </c>
      <c r="BQ191" t="str">
        <f t="shared" si="993"/>
        <v/>
      </c>
      <c r="BR191" t="str">
        <f t="shared" si="994"/>
        <v/>
      </c>
      <c r="BS191" t="str">
        <f t="shared" si="995"/>
        <v/>
      </c>
      <c r="BT191" t="str">
        <f t="shared" si="996"/>
        <v/>
      </c>
      <c r="BU191" t="str">
        <f t="shared" si="997"/>
        <v/>
      </c>
      <c r="BV191" t="str">
        <f t="shared" si="998"/>
        <v/>
      </c>
      <c r="BW191" t="str">
        <f t="shared" si="999"/>
        <v/>
      </c>
      <c r="BX191" t="str">
        <f t="shared" si="1000"/>
        <v/>
      </c>
      <c r="BY191" t="str">
        <f t="shared" si="1001"/>
        <v/>
      </c>
      <c r="BZ191" t="str">
        <f t="shared" si="1002"/>
        <v/>
      </c>
      <c r="CA191" t="str">
        <f t="shared" si="1003"/>
        <v/>
      </c>
      <c r="CB191" t="str">
        <f t="shared" si="1004"/>
        <v/>
      </c>
      <c r="CC191" t="str">
        <f t="shared" si="1005"/>
        <v/>
      </c>
      <c r="CD191" t="str">
        <f t="shared" si="1006"/>
        <v/>
      </c>
      <c r="CE191" t="str">
        <f t="shared" si="1007"/>
        <v/>
      </c>
      <c r="CF191" t="str">
        <f t="shared" si="1008"/>
        <v/>
      </c>
      <c r="CG191" t="str">
        <f t="shared" si="1009"/>
        <v/>
      </c>
      <c r="CH191" t="str">
        <f t="shared" si="1410"/>
        <v/>
      </c>
      <c r="CI191" t="str">
        <f t="shared" si="1411"/>
        <v/>
      </c>
      <c r="CJ191" t="str">
        <f>IF($CI191="","",IF(OR($DW191="",$DX191=""),"ONZEKER",IF(OR($CF191="",$CG191=""),"ONZEKER",IF(AND($DW191=$CF191+1,$DX191=$CG191),IF(OR(COUNTIF(#REF!,$B191)&gt;0,COUNTIF(#REF!,$B191)=0),"SKIP",IF(COUNTIFS(#REF!,$B191,#REF!,$CI191)&gt;0,"OK","ONBEKEND")),IF(AND($DW191=$CF191,$DX191=$CG191+1),IF(OR(COUNTIF(#REF!,$D191)&gt;0,COUNTIF(#REF!,$D191)=0),"SKIP",IF(COUNTIFS(#REF!,$D191,#REF!,$CI191)&gt;0,"OK","ONBEKEND")),"ONZEKER")))))</f>
        <v/>
      </c>
      <c r="CK191" t="str">
        <f t="shared" si="1412"/>
        <v/>
      </c>
      <c r="CL191" t="str">
        <f t="shared" si="1413"/>
        <v/>
      </c>
      <c r="CM191" t="str">
        <f>IF($CL191="","",IF(OR($DZ191="",$EA191=""),"ONZEKER",IF(OR($DW191="",$DX191=""),"ONZEKER",IF(AND($DZ191=$DW191+1,$EA191=$DX191),IF(OR(COUNTIF(#REF!,$B191)&gt;0,COUNTIF(#REF!,$B191)=0),"SKIP",IF(COUNTIFS(#REF!,$B191,#REF!,$CL191)&gt;0,"OK","ONBEKEND")),IF(AND($DZ191=$DW191,$EA191=$DX191+1),IF(OR(COUNTIF(#REF!,$D191)&gt;0,COUNTIF(#REF!,$D191)=0),"SKIP",IF(COUNTIFS(#REF!,$D191,#REF!,$CL191)&gt;0,"OK","ONBEKEND")),"ONZEKER")))))</f>
        <v/>
      </c>
      <c r="CN191" t="str">
        <f t="shared" si="1414"/>
        <v/>
      </c>
      <c r="CO191" t="str">
        <f t="shared" si="1415"/>
        <v/>
      </c>
      <c r="CP191" t="str">
        <f>IF($CO191="","",IF(OR($EC191="",$ED191=""),"ONZEKER",IF(OR($DZ191="",$EA191=""),"ONZEKER",IF(AND($EC191=$DZ191+1,$ED191=$EA191),IF(OR(COUNTIF(#REF!,$B191)&gt;0,COUNTIF(#REF!,$B191)=0),"SKIP",IF(COUNTIFS(#REF!,$B191,#REF!,$CO191)&gt;0,"OK","ONBEKEND")),IF(AND($EC191=$DZ191,$ED191=$EA191+1),IF(OR(COUNTIF(#REF!,$D191)&gt;0,COUNTIF(#REF!,$D191)=0),"SKIP",IF(COUNTIFS(#REF!,$D191,#REF!,$CO191)&gt;0,"OK","ONBEKEND")),"ONZEKER")))))</f>
        <v/>
      </c>
      <c r="CQ191" t="str">
        <f t="shared" si="1416"/>
        <v/>
      </c>
      <c r="CR191" t="str">
        <f t="shared" si="1417"/>
        <v/>
      </c>
      <c r="CS191" t="str">
        <f>IF($CR191="","",IF(OR($EF191="",$EG191=""),"ONZEKER",IF(OR($EC191="",$ED191=""),"ONZEKER",IF(AND($EF191=$EC191+1,$EG191=$ED191),IF(OR(COUNTIF(#REF!,$B191)&gt;0,COUNTIF(#REF!,$B191)=0),"SKIP",IF(COUNTIFS(#REF!,$B191,#REF!,$CR191)&gt;0,"OK","ONBEKEND")),IF(AND($EF191=$EC191,$EG191=$ED191+1),IF(OR(COUNTIF(#REF!,$D191)&gt;0,COUNTIF(#REF!,$D191)=0),"SKIP",IF(COUNTIFS(#REF!,$D191,#REF!,$CR191)&gt;0,"OK","ONBEKEND")),"ONZEKER")))))</f>
        <v/>
      </c>
      <c r="CT191" t="str">
        <f t="shared" si="1418"/>
        <v/>
      </c>
      <c r="CU191" t="str">
        <f t="shared" si="1419"/>
        <v/>
      </c>
      <c r="CV191" t="str">
        <f>IF($CU191="","",IF(OR($EI191="",$EJ191=""),"ONZEKER",IF(OR($EF191="",$EG191=""),"ONZEKER",IF(AND($EI191=$EF191+1,$EJ191=$EG191),IF(OR(COUNTIF(#REF!,$B191)&gt;0,COUNTIF(#REF!,$B191)=0),"SKIP",IF(COUNTIFS(#REF!,$B191,#REF!,$CU191)&gt;0,"OK","ONBEKEND")),IF(AND($EI191=$EF191,$EJ191=$EG191+1),IF(OR(COUNTIF(#REF!,$D191)&gt;0,COUNTIF(#REF!,$D191)=0),"SKIP",IF(COUNTIFS(#REF!,$D191,#REF!,$CU191)&gt;0,"OK","ONBEKEND")),"ONZEKER")))))</f>
        <v/>
      </c>
      <c r="CW191" t="str">
        <f t="shared" si="1420"/>
        <v/>
      </c>
      <c r="CX191" t="str">
        <f t="shared" si="1421"/>
        <v/>
      </c>
      <c r="CY191" t="str">
        <f>IF($CX191="","",IF(OR($EL191="",$EM191=""),"ONZEKER",IF(OR($EI191="",$EJ191=""),"ONZEKER",IF(AND($EL191=$EI191+1,$EM191=$EJ191),IF(OR(COUNTIF(#REF!,$B191)&gt;0,COUNTIF(#REF!,$B191)=0),"SKIP",IF(COUNTIFS(#REF!,$B191,#REF!,$CX191)&gt;0,"OK","ONBEKEND")),IF(AND($EL191=$EI191,$EM191=$EJ191+1),IF(OR(COUNTIF(#REF!,$D191)&gt;0,COUNTIF(#REF!,$D191)=0),"SKIP",IF(COUNTIFS(#REF!,$D191,#REF!,$CX191)&gt;0,"OK","ONBEKEND")),"ONZEKER")))))</f>
        <v/>
      </c>
      <c r="CZ191" t="str">
        <f t="shared" si="1422"/>
        <v/>
      </c>
      <c r="DA191" t="str">
        <f t="shared" si="1423"/>
        <v/>
      </c>
      <c r="DB191" t="str">
        <f>IF($DA191="","",IF(OR($EO191="",$EP191=""),"ONZEKER",IF(OR($EL191="",$EM191=""),"ONZEKER",IF(AND($EO191=$EL191+1,$EP191=$EM191),IF(OR(COUNTIF(#REF!,$B191)&gt;0,COUNTIF(#REF!,$B191)=0),"SKIP",IF(COUNTIFS(#REF!,$B191,#REF!,$DA191)&gt;0,"OK","ONBEKEND")),IF(AND($EO191=$EL191,$EP191=$EM191+1),IF(OR(COUNTIF(#REF!,$D191)&gt;0,COUNTIF(#REF!,$D191)=0),"SKIP",IF(COUNTIFS(#REF!,$D191,#REF!,$DA191)&gt;0,"OK","ONBEKEND")),"ONZEKER")))))</f>
        <v/>
      </c>
      <c r="DC191" t="str">
        <f t="shared" si="1424"/>
        <v/>
      </c>
      <c r="DD191" t="str">
        <f t="shared" si="1425"/>
        <v/>
      </c>
      <c r="DE191" t="str">
        <f>IF($DD191="","",IF(OR($ER191="",$ES191=""),"ONZEKER",IF(OR($EO191="",$EP191=""),"ONZEKER",IF(AND($ER191=$EO191+1,$ES191=$EP191),IF(OR(COUNTIF(#REF!,$B191)&gt;0,COUNTIF(#REF!,$B191)=0),"SKIP",IF(COUNTIFS(#REF!,$B191,#REF!,$DD191)&gt;0,"OK","ONBEKEND")),IF(AND($ER191=$EO191,$ES191=$EP191+1),IF(OR(COUNTIF(#REF!,$D191)&gt;0,COUNTIF(#REF!,$D191)=0),"SKIP",IF(COUNTIFS(#REF!,$D191,#REF!,$DD191)&gt;0,"OK","ONBEKEND")),"ONZEKER")))))</f>
        <v/>
      </c>
      <c r="DF191" t="str">
        <f t="shared" si="1426"/>
        <v/>
      </c>
      <c r="DG191" t="str">
        <f t="shared" si="1427"/>
        <v/>
      </c>
      <c r="DH191" t="str">
        <f>IF($DG191="","",IF(OR($EU191="",$EV191=""),"ONZEKER",IF(OR($ER191="",$ES191=""),"ONZEKER",IF(AND($EU191=$ER191+1,$EV191=$ES191),IF(OR(COUNTIF(#REF!,$B191)&gt;0,COUNTIF(#REF!,$B191)=0),"SKIP",IF(COUNTIFS(#REF!,$B191,#REF!,$DG191)&gt;0,"OK","ONBEKEND")),IF(AND($EU191=$ER191,$EV191=$ES191+1),IF(OR(COUNTIF(#REF!,$D191)&gt;0,COUNTIF(#REF!,$D191)=0),"SKIP",IF(COUNTIFS(#REF!,$D191,#REF!,$DG191)&gt;0,"OK","ONBEKEND")),"ONZEKER")))))</f>
        <v/>
      </c>
      <c r="DI191" t="str">
        <f t="shared" si="1428"/>
        <v/>
      </c>
      <c r="DJ191" t="str">
        <f t="shared" si="1429"/>
        <v/>
      </c>
      <c r="DK191" t="str">
        <f>IF($DJ191="","",IF(OR($EX191="",$EY191=""),"ONZEKER",IF(OR($EU191="",$EV191=""),"ONZEKER",IF(AND($EX191=$EU191+1,$EY191=$EV191),IF(OR(COUNTIF(#REF!,$B191)&gt;0,COUNTIF(#REF!,$B191)=0),"SKIP",IF(COUNTIFS(#REF!,$B191,#REF!,$DJ191)&gt;0,"OK","ONBEKEND")),IF(AND($EX191=$EU191,$EY191=$EV191+1),IF(OR(COUNTIF(#REF!,$D191)&gt;0,COUNTIF(#REF!,$D191)=0),"SKIP",IF(COUNTIFS(#REF!,$D191,#REF!,$DJ191)&gt;0,"OK","ONBEKEND")),"ONZEKER")))))</f>
        <v/>
      </c>
      <c r="DL191" t="str">
        <f t="shared" si="1430"/>
        <v/>
      </c>
      <c r="DM191" t="str">
        <f t="shared" si="1431"/>
        <v/>
      </c>
      <c r="DN191" t="str">
        <f t="shared" si="1432"/>
        <v/>
      </c>
      <c r="DO191" t="str">
        <f t="shared" si="1433"/>
        <v/>
      </c>
      <c r="DP191" t="str">
        <f t="shared" si="1434"/>
        <v/>
      </c>
      <c r="DQ191" t="str">
        <f t="shared" si="1435"/>
        <v/>
      </c>
      <c r="DR191" t="str">
        <f t="shared" si="1436"/>
        <v/>
      </c>
      <c r="DS191" t="str">
        <f t="shared" si="1437"/>
        <v/>
      </c>
      <c r="DT191" t="str">
        <f t="shared" si="1438"/>
        <v/>
      </c>
      <c r="DU191" t="str">
        <f t="shared" si="1439"/>
        <v/>
      </c>
      <c r="DV191" t="str">
        <f t="shared" si="1440"/>
        <v/>
      </c>
      <c r="DW191" t="str">
        <f t="shared" si="1441"/>
        <v/>
      </c>
      <c r="DX191" t="str">
        <f t="shared" si="1442"/>
        <v/>
      </c>
      <c r="DY191" t="str">
        <f t="shared" si="1443"/>
        <v/>
      </c>
      <c r="DZ191" t="str">
        <f t="shared" si="1444"/>
        <v/>
      </c>
      <c r="EA191" t="str">
        <f t="shared" si="1445"/>
        <v/>
      </c>
      <c r="EB191" t="str">
        <f t="shared" si="1446"/>
        <v/>
      </c>
      <c r="EC191" t="str">
        <f t="shared" si="1447"/>
        <v/>
      </c>
      <c r="ED191" t="str">
        <f t="shared" si="1448"/>
        <v/>
      </c>
      <c r="EE191" t="str">
        <f t="shared" si="1449"/>
        <v/>
      </c>
      <c r="EF191" t="str">
        <f t="shared" si="1450"/>
        <v/>
      </c>
      <c r="EG191" t="str">
        <f t="shared" si="1451"/>
        <v/>
      </c>
      <c r="EH191" t="str">
        <f t="shared" si="1452"/>
        <v/>
      </c>
      <c r="EI191" t="str">
        <f t="shared" si="1453"/>
        <v/>
      </c>
      <c r="EJ191" t="str">
        <f t="shared" si="1454"/>
        <v/>
      </c>
      <c r="EK191" t="str">
        <f t="shared" si="1455"/>
        <v/>
      </c>
      <c r="EL191" t="str">
        <f t="shared" si="1456"/>
        <v/>
      </c>
      <c r="EM191" t="str">
        <f t="shared" si="1457"/>
        <v/>
      </c>
      <c r="EN191" t="str">
        <f t="shared" si="1458"/>
        <v/>
      </c>
      <c r="EO191" t="str">
        <f t="shared" si="1459"/>
        <v/>
      </c>
      <c r="EP191" t="str">
        <f t="shared" si="1460"/>
        <v/>
      </c>
      <c r="EQ191" t="str">
        <f t="shared" si="1461"/>
        <v/>
      </c>
      <c r="ER191" t="str">
        <f t="shared" si="1462"/>
        <v/>
      </c>
      <c r="ES191" t="str">
        <f t="shared" si="1463"/>
        <v/>
      </c>
      <c r="ET191" t="str">
        <f t="shared" si="1464"/>
        <v/>
      </c>
      <c r="EU191" t="str">
        <f t="shared" si="1465"/>
        <v/>
      </c>
      <c r="EV191" t="str">
        <f t="shared" si="1466"/>
        <v/>
      </c>
      <c r="EW191" t="str">
        <f t="shared" si="1467"/>
        <v/>
      </c>
      <c r="EX191" t="str">
        <f t="shared" si="1468"/>
        <v/>
      </c>
      <c r="EY191" t="str">
        <f t="shared" si="1469"/>
        <v/>
      </c>
    </row>
    <row r="192" spans="1:155" ht="13.9" customHeight="1" x14ac:dyDescent="0.25">
      <c r="A192" s="7"/>
      <c r="B192" s="17"/>
      <c r="C192" s="8"/>
      <c r="D192" s="17"/>
      <c r="E192" s="8"/>
      <c r="F192" s="18">
        <v>0</v>
      </c>
      <c r="G192" s="7" t="s">
        <v>147</v>
      </c>
      <c r="H192" s="18">
        <v>0</v>
      </c>
      <c r="I192" s="19">
        <v>0</v>
      </c>
      <c r="J192" s="7" t="s">
        <v>147</v>
      </c>
      <c r="K192" s="19">
        <v>0</v>
      </c>
      <c r="L192" s="9"/>
      <c r="M192" s="3" t="str">
        <f>IF($L192="","",IF($L192="DOELPUNTENMAKERS","",IF(AND(COUNTIF(#REF!,$B192)=0,COUNTIF(#REF!,$D192)=0),"OK",IF($O192&gt;20,"LET OP: meer dan 20 items (controle onvolledig)",IF((COUNTIF($R192:$AS192,"ONZEKER")+COUNTIF($CJ192:$DK192,"ONZEKER"))&gt;0,"LET OP: scoreverloop onduidelijk (controle beperkt)",IF((IF($AT192&lt;&gt;"",$AT192&amp;", ","")&amp;IF($AU192&lt;&gt;"",$AU192&amp;", ","")&amp;IF($AV192&lt;&gt;"",$AV192&amp;", ","")&amp;IF($AW192&lt;&gt;"",$AW192&amp;", ","")&amp;IF($AX192&lt;&gt;"",$AX192&amp;", ","")&amp;IF($AY192&lt;&gt;"",$AY192&amp;", ","")&amp;IF($AZ192&lt;&gt;"",$AZ192&amp;", ","")&amp;IF($BA192&lt;&gt;"",$BA192&amp;", ","")&amp;IF($BB192&lt;&gt;"",$BB192&amp;", ","")&amp;IF($BC192&lt;&gt;"",$BC192&amp;", ","")&amp;IF($DL192&lt;&gt;"",$DL192&amp;", ","")&amp;IF($DM192&lt;&gt;"",$DM192&amp;", ","")&amp;IF($DN192&lt;&gt;"",$DN192&amp;", ","")&amp;IF($DO192&lt;&gt;"",$DO192&amp;", ","")&amp;IF($DP192&lt;&gt;"",$DP192&amp;", ","")&amp;IF($DQ192&lt;&gt;"",$DQ192&amp;", ","")&amp;IF($DR192&lt;&gt;"",$DR192&amp;", ","")&amp;IF($DS192&lt;&gt;"",$DS192&amp;", ","")&amp;IF($DT192&lt;&gt;"",$DT192&amp;", ","")&amp;IF($DU192&lt;&gt;"",$DU192&amp;", ",""))="","OK","Onbekend: "&amp;LEFT((IF($AT192&lt;&gt;"",$AT192&amp;", ","")&amp;IF($AU192&lt;&gt;"",$AU192&amp;", ","")&amp;IF($AV192&lt;&gt;"",$AV192&amp;", ","")&amp;IF($AW192&lt;&gt;"",$AW192&amp;", ","")&amp;IF($AX192&lt;&gt;"",$AX192&amp;", ","")&amp;IF($AY192&lt;&gt;"",$AY192&amp;", ","")&amp;IF($AZ192&lt;&gt;"",$AZ192&amp;", ","")&amp;IF($BA192&lt;&gt;"",$BA192&amp;", ","")&amp;IF($BB192&lt;&gt;"",$BB192&amp;", ","")&amp;IF($BC192&lt;&gt;"",$BC192&amp;", ","")&amp;IF($DL192&lt;&gt;"",$DL192&amp;", ","")&amp;IF($DM192&lt;&gt;"",$DM192&amp;", ","")&amp;IF($DN192&lt;&gt;"",$DN192&amp;", ","")&amp;IF($DO192&lt;&gt;"",$DO192&amp;", ","")&amp;IF($DP192&lt;&gt;"",$DP192&amp;", ","")&amp;IF($DQ192&lt;&gt;"",$DQ192&amp;", ","")&amp;IF($DR192&lt;&gt;"",$DR192&amp;", ","")&amp;IF($DS192&lt;&gt;"",$DS192&amp;", ","")&amp;IF($DT192&lt;&gt;"",$DT192&amp;", ","")&amp;IF($DU192&lt;&gt;"",$DU192&amp;", ","")),LEN((IF($AT192&lt;&gt;"",$AT192&amp;", ","")&amp;IF($AU192&lt;&gt;"",$AU192&amp;", ","")&amp;IF($AV192&lt;&gt;"",$AV192&amp;", ","")&amp;IF($AW192&lt;&gt;"",$AW192&amp;", ","")&amp;IF($AX192&lt;&gt;"",$AX192&amp;", ","")&amp;IF($AY192&lt;&gt;"",$AY192&amp;", ","")&amp;IF($AZ192&lt;&gt;"",$AZ192&amp;", ","")&amp;IF($BA192&lt;&gt;"",$BA192&amp;", ","")&amp;IF($BB192&lt;&gt;"",$BB192&amp;", ","")&amp;IF($BC192&lt;&gt;"",$BC192&amp;", ","")&amp;IF($DL192&lt;&gt;"",$DL192&amp;", ","")&amp;IF($DM192&lt;&gt;"",$DM192&amp;", ","")&amp;IF($DN192&lt;&gt;"",$DN192&amp;", ","")&amp;IF($DO192&lt;&gt;"",$DO192&amp;", ","")&amp;IF($DP192&lt;&gt;"",$DP192&amp;", ","")&amp;IF($DQ192&lt;&gt;"",$DQ192&amp;", ","")&amp;IF($DR192&lt;&gt;"",$DR192&amp;", ","")&amp;IF($DS192&lt;&gt;"",$DS192&amp;", ","")&amp;IF($DT192&lt;&gt;"",$DT192&amp;", ","")&amp;IF($DU192&lt;&gt;"",$DU192&amp;", ","")))-2)))))))</f>
        <v/>
      </c>
      <c r="N192" t="str">
        <f t="shared" si="1378"/>
        <v/>
      </c>
      <c r="O192" t="str">
        <f t="shared" si="1379"/>
        <v/>
      </c>
      <c r="P192" t="str">
        <f t="shared" si="1380"/>
        <v/>
      </c>
      <c r="Q192" t="str">
        <f t="shared" si="1381"/>
        <v/>
      </c>
      <c r="R192" t="str">
        <f>IF($Q192="","",IF(OR($BE192="",$BF192=""),"ONZEKER",IF(AND($BE192=0+1,$BF192=0),IF(OR(COUNTIF(#REF!,$B192)&gt;0,COUNTIF(#REF!,$B192)=0),"SKIP",IF(COUNTIFS(#REF!,$B192,#REF!,$Q192)&gt;0,"OK","ONBEKEND")),IF(AND($BE192=0,$BF192=0+1),IF(OR(COUNTIF(#REF!,$D192)&gt;0,COUNTIF(#REF!,$D192)=0),"SKIP",IF(COUNTIFS(#REF!,$D192,#REF!,$Q192)&gt;0,"OK","ONBEKEND")),"ONZEKER"))))</f>
        <v/>
      </c>
      <c r="S192" t="str">
        <f t="shared" si="1382"/>
        <v/>
      </c>
      <c r="T192" t="str">
        <f t="shared" si="1383"/>
        <v/>
      </c>
      <c r="U192" t="str">
        <f>IF($T192="","",IF(OR($BH192="",$BI192=""),"ONZEKER",IF(OR($BE192="",$BF192=""),"ONZEKER",IF(AND($BH192=$BE192+1,$BI192=$BF192),IF(OR(COUNTIF(#REF!,$B192)&gt;0,COUNTIF(#REF!,$B192)=0),"SKIP",IF(COUNTIFS(#REF!,$B192,#REF!,$T192)&gt;0,"OK","ONBEKEND")),IF(AND($BH192=$BE192,$BI192=$BF192+1),IF(OR(COUNTIF(#REF!,$D192)&gt;0,COUNTIF(#REF!,$D192)=0),"SKIP",IF(COUNTIFS(#REF!,$D192,#REF!,$T192)&gt;0,"OK","ONBEKEND")),"ONZEKER")))))</f>
        <v/>
      </c>
      <c r="V192" t="str">
        <f t="shared" si="1384"/>
        <v/>
      </c>
      <c r="W192" t="str">
        <f t="shared" si="1385"/>
        <v/>
      </c>
      <c r="X192" t="str">
        <f>IF($W192="","",IF(OR($BK192="",$BL192=""),"ONZEKER",IF(OR($BH192="",$BI192=""),"ONZEKER",IF(AND($BK192=$BH192+1,$BL192=$BI192),IF(OR(COUNTIF(#REF!,$B192)&gt;0,COUNTIF(#REF!,$B192)=0),"SKIP",IF(COUNTIFS(#REF!,$B192,#REF!,$W192)&gt;0,"OK","ONBEKEND")),IF(AND($BK192=$BH192,$BL192=$BI192+1),IF(OR(COUNTIF(#REF!,$D192)&gt;0,COUNTIF(#REF!,$D192)=0),"SKIP",IF(COUNTIFS(#REF!,$D192,#REF!,$W192)&gt;0,"OK","ONBEKEND")),"ONZEKER")))))</f>
        <v/>
      </c>
      <c r="Y192" t="str">
        <f t="shared" si="1386"/>
        <v/>
      </c>
      <c r="Z192" t="str">
        <f t="shared" si="1387"/>
        <v/>
      </c>
      <c r="AA192" t="str">
        <f>IF($Z192="","",IF(OR($BN192="",$BO192=""),"ONZEKER",IF(OR($BK192="",$BL192=""),"ONZEKER",IF(AND($BN192=$BK192+1,$BO192=$BL192),IF(OR(COUNTIF(#REF!,$B192)&gt;0,COUNTIF(#REF!,$B192)=0),"SKIP",IF(COUNTIFS(#REF!,$B192,#REF!,$Z192)&gt;0,"OK","ONBEKEND")),IF(AND($BN192=$BK192,$BO192=$BL192+1),IF(OR(COUNTIF(#REF!,$D192)&gt;0,COUNTIF(#REF!,$D192)=0),"SKIP",IF(COUNTIFS(#REF!,$D192,#REF!,$Z192)&gt;0,"OK","ONBEKEND")),"ONZEKER")))))</f>
        <v/>
      </c>
      <c r="AB192" t="str">
        <f t="shared" si="1388"/>
        <v/>
      </c>
      <c r="AC192" t="str">
        <f t="shared" si="1389"/>
        <v/>
      </c>
      <c r="AD192" t="str">
        <f>IF($AC192="","",IF(OR($BQ192="",$BR192=""),"ONZEKER",IF(OR($BN192="",$BO192=""),"ONZEKER",IF(AND($BQ192=$BN192+1,$BR192=$BO192),IF(OR(COUNTIF(#REF!,$B192)&gt;0,COUNTIF(#REF!,$B192)=0),"SKIP",IF(COUNTIFS(#REF!,$B192,#REF!,$AC192)&gt;0,"OK","ONBEKEND")),IF(AND($BQ192=$BN192,$BR192=$BO192+1),IF(OR(COUNTIF(#REF!,$D192)&gt;0,COUNTIF(#REF!,$D192)=0),"SKIP",IF(COUNTIFS(#REF!,$D192,#REF!,$AC192)&gt;0,"OK","ONBEKEND")),"ONZEKER")))))</f>
        <v/>
      </c>
      <c r="AE192" t="str">
        <f t="shared" si="1390"/>
        <v/>
      </c>
      <c r="AF192" t="str">
        <f t="shared" si="1391"/>
        <v/>
      </c>
      <c r="AG192" t="str">
        <f>IF($AF192="","",IF(OR($BT192="",$BU192=""),"ONZEKER",IF(OR($BQ192="",$BR192=""),"ONZEKER",IF(AND($BT192=$BQ192+1,$BU192=$BR192),IF(OR(COUNTIF(#REF!,$B192)&gt;0,COUNTIF(#REF!,$B192)=0),"SKIP",IF(COUNTIFS(#REF!,$B192,#REF!,$AF192)&gt;0,"OK","ONBEKEND")),IF(AND($BT192=$BQ192,$BU192=$BR192+1),IF(OR(COUNTIF(#REF!,$D192)&gt;0,COUNTIF(#REF!,$D192)=0),"SKIP",IF(COUNTIFS(#REF!,$D192,#REF!,$AF192)&gt;0,"OK","ONBEKEND")),"ONZEKER")))))</f>
        <v/>
      </c>
      <c r="AH192" t="str">
        <f t="shared" si="1392"/>
        <v/>
      </c>
      <c r="AI192" t="str">
        <f t="shared" si="1393"/>
        <v/>
      </c>
      <c r="AJ192" t="str">
        <f>IF($AI192="","",IF(OR($BW192="",$BX192=""),"ONZEKER",IF(OR($BT192="",$BU192=""),"ONZEKER",IF(AND($BW192=$BT192+1,$BX192=$BU192),IF(OR(COUNTIF(#REF!,$B192)&gt;0,COUNTIF(#REF!,$B192)=0),"SKIP",IF(COUNTIFS(#REF!,$B192,#REF!,$AI192)&gt;0,"OK","ONBEKEND")),IF(AND($BW192=$BT192,$BX192=$BU192+1),IF(OR(COUNTIF(#REF!,$D192)&gt;0,COUNTIF(#REF!,$D192)=0),"SKIP",IF(COUNTIFS(#REF!,$D192,#REF!,$AI192)&gt;0,"OK","ONBEKEND")),"ONZEKER")))))</f>
        <v/>
      </c>
      <c r="AK192" t="str">
        <f t="shared" si="1394"/>
        <v/>
      </c>
      <c r="AL192" t="str">
        <f t="shared" si="1395"/>
        <v/>
      </c>
      <c r="AM192" t="str">
        <f>IF($AL192="","",IF(OR($BZ192="",$CA192=""),"ONZEKER",IF(OR($BW192="",$BX192=""),"ONZEKER",IF(AND($BZ192=$BW192+1,$CA192=$BX192),IF(OR(COUNTIF(#REF!,$B192)&gt;0,COUNTIF(#REF!,$B192)=0),"SKIP",IF(COUNTIFS(#REF!,$B192,#REF!,$AL192)&gt;0,"OK","ONBEKEND")),IF(AND($BZ192=$BW192,$CA192=$BX192+1),IF(OR(COUNTIF(#REF!,$D192)&gt;0,COUNTIF(#REF!,$D192)=0),"SKIP",IF(COUNTIFS(#REF!,$D192,#REF!,$AL192)&gt;0,"OK","ONBEKEND")),"ONZEKER")))))</f>
        <v/>
      </c>
      <c r="AN192" t="str">
        <f t="shared" si="1396"/>
        <v/>
      </c>
      <c r="AO192" t="str">
        <f t="shared" si="1397"/>
        <v/>
      </c>
      <c r="AP192" t="str">
        <f>IF($AO192="","",IF(OR($CC192="",$CD192=""),"ONZEKER",IF(OR($BZ192="",$CA192=""),"ONZEKER",IF(AND($CC192=$BZ192+1,$CD192=$CA192),IF(OR(COUNTIF(#REF!,$B192)&gt;0,COUNTIF(#REF!,$B192)=0),"SKIP",IF(COUNTIFS(#REF!,$B192,#REF!,$AO192)&gt;0,"OK","ONBEKEND")),IF(AND($CC192=$BZ192,$CD192=$CA192+1),IF(OR(COUNTIF(#REF!,$D192)&gt;0,COUNTIF(#REF!,$D192)=0),"SKIP",IF(COUNTIFS(#REF!,$D192,#REF!,$AO192)&gt;0,"OK","ONBEKEND")),"ONZEKER")))))</f>
        <v/>
      </c>
      <c r="AQ192" t="str">
        <f t="shared" si="1398"/>
        <v/>
      </c>
      <c r="AR192" t="str">
        <f t="shared" si="1399"/>
        <v/>
      </c>
      <c r="AS192" t="str">
        <f>IF($AR192="","",IF(OR($CF192="",$CG192=""),"ONZEKER",IF(OR($CC192="",$CD192=""),"ONZEKER",IF(AND($CF192=$CC192+1,$CG192=$CD192),IF(OR(COUNTIF(#REF!,$B192)&gt;0,COUNTIF(#REF!,$B192)=0),"SKIP",IF(COUNTIFS(#REF!,$B192,#REF!,$AR192)&gt;0,"OK","ONBEKEND")),IF(AND($CF192=$CC192,$CG192=$CD192+1),IF(OR(COUNTIF(#REF!,$D192)&gt;0,COUNTIF(#REF!,$D192)=0),"SKIP",IF(COUNTIFS(#REF!,$D192,#REF!,$AR192)&gt;0,"OK","ONBEKEND")),"ONZEKER")))))</f>
        <v/>
      </c>
      <c r="AT192" t="str">
        <f t="shared" si="1400"/>
        <v/>
      </c>
      <c r="AU192" t="str">
        <f t="shared" si="1401"/>
        <v/>
      </c>
      <c r="AV192" t="str">
        <f t="shared" si="1402"/>
        <v/>
      </c>
      <c r="AW192" t="str">
        <f t="shared" si="1403"/>
        <v/>
      </c>
      <c r="AX192" t="str">
        <f t="shared" si="1404"/>
        <v/>
      </c>
      <c r="AY192" t="str">
        <f t="shared" si="1405"/>
        <v/>
      </c>
      <c r="AZ192" t="str">
        <f t="shared" si="1406"/>
        <v/>
      </c>
      <c r="BA192" t="str">
        <f t="shared" si="1407"/>
        <v/>
      </c>
      <c r="BB192" t="str">
        <f t="shared" si="1408"/>
        <v/>
      </c>
      <c r="BC192" t="str">
        <f t="shared" si="1409"/>
        <v/>
      </c>
      <c r="BD192" t="str">
        <f t="shared" si="980"/>
        <v/>
      </c>
      <c r="BE192" t="str">
        <f t="shared" si="981"/>
        <v/>
      </c>
      <c r="BF192" t="str">
        <f t="shared" si="982"/>
        <v/>
      </c>
      <c r="BG192" t="str">
        <f t="shared" si="983"/>
        <v/>
      </c>
      <c r="BH192" t="str">
        <f t="shared" si="984"/>
        <v/>
      </c>
      <c r="BI192" t="str">
        <f t="shared" si="985"/>
        <v/>
      </c>
      <c r="BJ192" t="str">
        <f t="shared" si="986"/>
        <v/>
      </c>
      <c r="BK192" t="str">
        <f t="shared" si="987"/>
        <v/>
      </c>
      <c r="BL192" t="str">
        <f t="shared" si="988"/>
        <v/>
      </c>
      <c r="BM192" t="str">
        <f t="shared" si="989"/>
        <v/>
      </c>
      <c r="BN192" t="str">
        <f t="shared" si="990"/>
        <v/>
      </c>
      <c r="BO192" t="str">
        <f t="shared" si="991"/>
        <v/>
      </c>
      <c r="BP192" t="str">
        <f t="shared" si="992"/>
        <v/>
      </c>
      <c r="BQ192" t="str">
        <f t="shared" si="993"/>
        <v/>
      </c>
      <c r="BR192" t="str">
        <f t="shared" si="994"/>
        <v/>
      </c>
      <c r="BS192" t="str">
        <f t="shared" si="995"/>
        <v/>
      </c>
      <c r="BT192" t="str">
        <f t="shared" si="996"/>
        <v/>
      </c>
      <c r="BU192" t="str">
        <f t="shared" si="997"/>
        <v/>
      </c>
      <c r="BV192" t="str">
        <f t="shared" si="998"/>
        <v/>
      </c>
      <c r="BW192" t="str">
        <f t="shared" si="999"/>
        <v/>
      </c>
      <c r="BX192" t="str">
        <f t="shared" si="1000"/>
        <v/>
      </c>
      <c r="BY192" t="str">
        <f t="shared" si="1001"/>
        <v/>
      </c>
      <c r="BZ192" t="str">
        <f t="shared" si="1002"/>
        <v/>
      </c>
      <c r="CA192" t="str">
        <f t="shared" si="1003"/>
        <v/>
      </c>
      <c r="CB192" t="str">
        <f t="shared" si="1004"/>
        <v/>
      </c>
      <c r="CC192" t="str">
        <f t="shared" si="1005"/>
        <v/>
      </c>
      <c r="CD192" t="str">
        <f t="shared" si="1006"/>
        <v/>
      </c>
      <c r="CE192" t="str">
        <f t="shared" si="1007"/>
        <v/>
      </c>
      <c r="CF192" t="str">
        <f t="shared" si="1008"/>
        <v/>
      </c>
      <c r="CG192" t="str">
        <f t="shared" si="1009"/>
        <v/>
      </c>
      <c r="CH192" t="str">
        <f t="shared" si="1410"/>
        <v/>
      </c>
      <c r="CI192" t="str">
        <f t="shared" si="1411"/>
        <v/>
      </c>
      <c r="CJ192" t="str">
        <f>IF($CI192="","",IF(OR($DW192="",$DX192=""),"ONZEKER",IF(OR($CF192="",$CG192=""),"ONZEKER",IF(AND($DW192=$CF192+1,$DX192=$CG192),IF(OR(COUNTIF(#REF!,$B192)&gt;0,COUNTIF(#REF!,$B192)=0),"SKIP",IF(COUNTIFS(#REF!,$B192,#REF!,$CI192)&gt;0,"OK","ONBEKEND")),IF(AND($DW192=$CF192,$DX192=$CG192+1),IF(OR(COUNTIF(#REF!,$D192)&gt;0,COUNTIF(#REF!,$D192)=0),"SKIP",IF(COUNTIFS(#REF!,$D192,#REF!,$CI192)&gt;0,"OK","ONBEKEND")),"ONZEKER")))))</f>
        <v/>
      </c>
      <c r="CK192" t="str">
        <f t="shared" si="1412"/>
        <v/>
      </c>
      <c r="CL192" t="str">
        <f t="shared" si="1413"/>
        <v/>
      </c>
      <c r="CM192" t="str">
        <f>IF($CL192="","",IF(OR($DZ192="",$EA192=""),"ONZEKER",IF(OR($DW192="",$DX192=""),"ONZEKER",IF(AND($DZ192=$DW192+1,$EA192=$DX192),IF(OR(COUNTIF(#REF!,$B192)&gt;0,COUNTIF(#REF!,$B192)=0),"SKIP",IF(COUNTIFS(#REF!,$B192,#REF!,$CL192)&gt;0,"OK","ONBEKEND")),IF(AND($DZ192=$DW192,$EA192=$DX192+1),IF(OR(COUNTIF(#REF!,$D192)&gt;0,COUNTIF(#REF!,$D192)=0),"SKIP",IF(COUNTIFS(#REF!,$D192,#REF!,$CL192)&gt;0,"OK","ONBEKEND")),"ONZEKER")))))</f>
        <v/>
      </c>
      <c r="CN192" t="str">
        <f t="shared" si="1414"/>
        <v/>
      </c>
      <c r="CO192" t="str">
        <f t="shared" si="1415"/>
        <v/>
      </c>
      <c r="CP192" t="str">
        <f>IF($CO192="","",IF(OR($EC192="",$ED192=""),"ONZEKER",IF(OR($DZ192="",$EA192=""),"ONZEKER",IF(AND($EC192=$DZ192+1,$ED192=$EA192),IF(OR(COUNTIF(#REF!,$B192)&gt;0,COUNTIF(#REF!,$B192)=0),"SKIP",IF(COUNTIFS(#REF!,$B192,#REF!,$CO192)&gt;0,"OK","ONBEKEND")),IF(AND($EC192=$DZ192,$ED192=$EA192+1),IF(OR(COUNTIF(#REF!,$D192)&gt;0,COUNTIF(#REF!,$D192)=0),"SKIP",IF(COUNTIFS(#REF!,$D192,#REF!,$CO192)&gt;0,"OK","ONBEKEND")),"ONZEKER")))))</f>
        <v/>
      </c>
      <c r="CQ192" t="str">
        <f t="shared" si="1416"/>
        <v/>
      </c>
      <c r="CR192" t="str">
        <f t="shared" si="1417"/>
        <v/>
      </c>
      <c r="CS192" t="str">
        <f>IF($CR192="","",IF(OR($EF192="",$EG192=""),"ONZEKER",IF(OR($EC192="",$ED192=""),"ONZEKER",IF(AND($EF192=$EC192+1,$EG192=$ED192),IF(OR(COUNTIF(#REF!,$B192)&gt;0,COUNTIF(#REF!,$B192)=0),"SKIP",IF(COUNTIFS(#REF!,$B192,#REF!,$CR192)&gt;0,"OK","ONBEKEND")),IF(AND($EF192=$EC192,$EG192=$ED192+1),IF(OR(COUNTIF(#REF!,$D192)&gt;0,COUNTIF(#REF!,$D192)=0),"SKIP",IF(COUNTIFS(#REF!,$D192,#REF!,$CR192)&gt;0,"OK","ONBEKEND")),"ONZEKER")))))</f>
        <v/>
      </c>
      <c r="CT192" t="str">
        <f t="shared" si="1418"/>
        <v/>
      </c>
      <c r="CU192" t="str">
        <f t="shared" si="1419"/>
        <v/>
      </c>
      <c r="CV192" t="str">
        <f>IF($CU192="","",IF(OR($EI192="",$EJ192=""),"ONZEKER",IF(OR($EF192="",$EG192=""),"ONZEKER",IF(AND($EI192=$EF192+1,$EJ192=$EG192),IF(OR(COUNTIF(#REF!,$B192)&gt;0,COUNTIF(#REF!,$B192)=0),"SKIP",IF(COUNTIFS(#REF!,$B192,#REF!,$CU192)&gt;0,"OK","ONBEKEND")),IF(AND($EI192=$EF192,$EJ192=$EG192+1),IF(OR(COUNTIF(#REF!,$D192)&gt;0,COUNTIF(#REF!,$D192)=0),"SKIP",IF(COUNTIFS(#REF!,$D192,#REF!,$CU192)&gt;0,"OK","ONBEKEND")),"ONZEKER")))))</f>
        <v/>
      </c>
      <c r="CW192" t="str">
        <f t="shared" si="1420"/>
        <v/>
      </c>
      <c r="CX192" t="str">
        <f t="shared" si="1421"/>
        <v/>
      </c>
      <c r="CY192" t="str">
        <f>IF($CX192="","",IF(OR($EL192="",$EM192=""),"ONZEKER",IF(OR($EI192="",$EJ192=""),"ONZEKER",IF(AND($EL192=$EI192+1,$EM192=$EJ192),IF(OR(COUNTIF(#REF!,$B192)&gt;0,COUNTIF(#REF!,$B192)=0),"SKIP",IF(COUNTIFS(#REF!,$B192,#REF!,$CX192)&gt;0,"OK","ONBEKEND")),IF(AND($EL192=$EI192,$EM192=$EJ192+1),IF(OR(COUNTIF(#REF!,$D192)&gt;0,COUNTIF(#REF!,$D192)=0),"SKIP",IF(COUNTIFS(#REF!,$D192,#REF!,$CX192)&gt;0,"OK","ONBEKEND")),"ONZEKER")))))</f>
        <v/>
      </c>
      <c r="CZ192" t="str">
        <f t="shared" si="1422"/>
        <v/>
      </c>
      <c r="DA192" t="str">
        <f t="shared" si="1423"/>
        <v/>
      </c>
      <c r="DB192" t="str">
        <f>IF($DA192="","",IF(OR($EO192="",$EP192=""),"ONZEKER",IF(OR($EL192="",$EM192=""),"ONZEKER",IF(AND($EO192=$EL192+1,$EP192=$EM192),IF(OR(COUNTIF(#REF!,$B192)&gt;0,COUNTIF(#REF!,$B192)=0),"SKIP",IF(COUNTIFS(#REF!,$B192,#REF!,$DA192)&gt;0,"OK","ONBEKEND")),IF(AND($EO192=$EL192,$EP192=$EM192+1),IF(OR(COUNTIF(#REF!,$D192)&gt;0,COUNTIF(#REF!,$D192)=0),"SKIP",IF(COUNTIFS(#REF!,$D192,#REF!,$DA192)&gt;0,"OK","ONBEKEND")),"ONZEKER")))))</f>
        <v/>
      </c>
      <c r="DC192" t="str">
        <f t="shared" si="1424"/>
        <v/>
      </c>
      <c r="DD192" t="str">
        <f t="shared" si="1425"/>
        <v/>
      </c>
      <c r="DE192" t="str">
        <f>IF($DD192="","",IF(OR($ER192="",$ES192=""),"ONZEKER",IF(OR($EO192="",$EP192=""),"ONZEKER",IF(AND($ER192=$EO192+1,$ES192=$EP192),IF(OR(COUNTIF(#REF!,$B192)&gt;0,COUNTIF(#REF!,$B192)=0),"SKIP",IF(COUNTIFS(#REF!,$B192,#REF!,$DD192)&gt;0,"OK","ONBEKEND")),IF(AND($ER192=$EO192,$ES192=$EP192+1),IF(OR(COUNTIF(#REF!,$D192)&gt;0,COUNTIF(#REF!,$D192)=0),"SKIP",IF(COUNTIFS(#REF!,$D192,#REF!,$DD192)&gt;0,"OK","ONBEKEND")),"ONZEKER")))))</f>
        <v/>
      </c>
      <c r="DF192" t="str">
        <f t="shared" si="1426"/>
        <v/>
      </c>
      <c r="DG192" t="str">
        <f t="shared" si="1427"/>
        <v/>
      </c>
      <c r="DH192" t="str">
        <f>IF($DG192="","",IF(OR($EU192="",$EV192=""),"ONZEKER",IF(OR($ER192="",$ES192=""),"ONZEKER",IF(AND($EU192=$ER192+1,$EV192=$ES192),IF(OR(COUNTIF(#REF!,$B192)&gt;0,COUNTIF(#REF!,$B192)=0),"SKIP",IF(COUNTIFS(#REF!,$B192,#REF!,$DG192)&gt;0,"OK","ONBEKEND")),IF(AND($EU192=$ER192,$EV192=$ES192+1),IF(OR(COUNTIF(#REF!,$D192)&gt;0,COUNTIF(#REF!,$D192)=0),"SKIP",IF(COUNTIFS(#REF!,$D192,#REF!,$DG192)&gt;0,"OK","ONBEKEND")),"ONZEKER")))))</f>
        <v/>
      </c>
      <c r="DI192" t="str">
        <f t="shared" si="1428"/>
        <v/>
      </c>
      <c r="DJ192" t="str">
        <f t="shared" si="1429"/>
        <v/>
      </c>
      <c r="DK192" t="str">
        <f>IF($DJ192="","",IF(OR($EX192="",$EY192=""),"ONZEKER",IF(OR($EU192="",$EV192=""),"ONZEKER",IF(AND($EX192=$EU192+1,$EY192=$EV192),IF(OR(COUNTIF(#REF!,$B192)&gt;0,COUNTIF(#REF!,$B192)=0),"SKIP",IF(COUNTIFS(#REF!,$B192,#REF!,$DJ192)&gt;0,"OK","ONBEKEND")),IF(AND($EX192=$EU192,$EY192=$EV192+1),IF(OR(COUNTIF(#REF!,$D192)&gt;0,COUNTIF(#REF!,$D192)=0),"SKIP",IF(COUNTIFS(#REF!,$D192,#REF!,$DJ192)&gt;0,"OK","ONBEKEND")),"ONZEKER")))))</f>
        <v/>
      </c>
      <c r="DL192" t="str">
        <f t="shared" si="1430"/>
        <v/>
      </c>
      <c r="DM192" t="str">
        <f t="shared" si="1431"/>
        <v/>
      </c>
      <c r="DN192" t="str">
        <f t="shared" si="1432"/>
        <v/>
      </c>
      <c r="DO192" t="str">
        <f t="shared" si="1433"/>
        <v/>
      </c>
      <c r="DP192" t="str">
        <f t="shared" si="1434"/>
        <v/>
      </c>
      <c r="DQ192" t="str">
        <f t="shared" si="1435"/>
        <v/>
      </c>
      <c r="DR192" t="str">
        <f t="shared" si="1436"/>
        <v/>
      </c>
      <c r="DS192" t="str">
        <f t="shared" si="1437"/>
        <v/>
      </c>
      <c r="DT192" t="str">
        <f t="shared" si="1438"/>
        <v/>
      </c>
      <c r="DU192" t="str">
        <f t="shared" si="1439"/>
        <v/>
      </c>
      <c r="DV192" t="str">
        <f t="shared" si="1440"/>
        <v/>
      </c>
      <c r="DW192" t="str">
        <f t="shared" si="1441"/>
        <v/>
      </c>
      <c r="DX192" t="str">
        <f t="shared" si="1442"/>
        <v/>
      </c>
      <c r="DY192" t="str">
        <f t="shared" si="1443"/>
        <v/>
      </c>
      <c r="DZ192" t="str">
        <f t="shared" si="1444"/>
        <v/>
      </c>
      <c r="EA192" t="str">
        <f t="shared" si="1445"/>
        <v/>
      </c>
      <c r="EB192" t="str">
        <f t="shared" si="1446"/>
        <v/>
      </c>
      <c r="EC192" t="str">
        <f t="shared" si="1447"/>
        <v/>
      </c>
      <c r="ED192" t="str">
        <f t="shared" si="1448"/>
        <v/>
      </c>
      <c r="EE192" t="str">
        <f t="shared" si="1449"/>
        <v/>
      </c>
      <c r="EF192" t="str">
        <f t="shared" si="1450"/>
        <v/>
      </c>
      <c r="EG192" t="str">
        <f t="shared" si="1451"/>
        <v/>
      </c>
      <c r="EH192" t="str">
        <f t="shared" si="1452"/>
        <v/>
      </c>
      <c r="EI192" t="str">
        <f t="shared" si="1453"/>
        <v/>
      </c>
      <c r="EJ192" t="str">
        <f t="shared" si="1454"/>
        <v/>
      </c>
      <c r="EK192" t="str">
        <f t="shared" si="1455"/>
        <v/>
      </c>
      <c r="EL192" t="str">
        <f t="shared" si="1456"/>
        <v/>
      </c>
      <c r="EM192" t="str">
        <f t="shared" si="1457"/>
        <v/>
      </c>
      <c r="EN192" t="str">
        <f t="shared" si="1458"/>
        <v/>
      </c>
      <c r="EO192" t="str">
        <f t="shared" si="1459"/>
        <v/>
      </c>
      <c r="EP192" t="str">
        <f t="shared" si="1460"/>
        <v/>
      </c>
      <c r="EQ192" t="str">
        <f t="shared" si="1461"/>
        <v/>
      </c>
      <c r="ER192" t="str">
        <f t="shared" si="1462"/>
        <v/>
      </c>
      <c r="ES192" t="str">
        <f t="shared" si="1463"/>
        <v/>
      </c>
      <c r="ET192" t="str">
        <f t="shared" si="1464"/>
        <v/>
      </c>
      <c r="EU192" t="str">
        <f t="shared" si="1465"/>
        <v/>
      </c>
      <c r="EV192" t="str">
        <f t="shared" si="1466"/>
        <v/>
      </c>
      <c r="EW192" t="str">
        <f t="shared" si="1467"/>
        <v/>
      </c>
      <c r="EX192" t="str">
        <f t="shared" si="1468"/>
        <v/>
      </c>
      <c r="EY192" t="str">
        <f t="shared" si="1469"/>
        <v/>
      </c>
    </row>
    <row r="193" spans="1:155" ht="13.9" customHeight="1" x14ac:dyDescent="0.25">
      <c r="A193" s="7"/>
      <c r="B193" s="17"/>
      <c r="C193" s="8"/>
      <c r="D193" s="17"/>
      <c r="E193" s="8"/>
      <c r="F193" s="18">
        <v>0</v>
      </c>
      <c r="G193" s="7" t="s">
        <v>147</v>
      </c>
      <c r="H193" s="18">
        <v>0</v>
      </c>
      <c r="I193" s="19">
        <v>0</v>
      </c>
      <c r="J193" s="7" t="s">
        <v>147</v>
      </c>
      <c r="K193" s="19">
        <v>0</v>
      </c>
      <c r="L193" s="9"/>
      <c r="M193" s="3" t="str">
        <f>IF($L193="","",IF($L193="DOELPUNTENMAKERS","",IF(AND(COUNTIF(#REF!,$B193)=0,COUNTIF(#REF!,$D193)=0),"OK",IF($O193&gt;20,"LET OP: meer dan 20 items (controle onvolledig)",IF((COUNTIF($R193:$AS193,"ONZEKER")+COUNTIF($CJ193:$DK193,"ONZEKER"))&gt;0,"LET OP: scoreverloop onduidelijk (controle beperkt)",IF((IF($AT193&lt;&gt;"",$AT193&amp;", ","")&amp;IF($AU193&lt;&gt;"",$AU193&amp;", ","")&amp;IF($AV193&lt;&gt;"",$AV193&amp;", ","")&amp;IF($AW193&lt;&gt;"",$AW193&amp;", ","")&amp;IF($AX193&lt;&gt;"",$AX193&amp;", ","")&amp;IF($AY193&lt;&gt;"",$AY193&amp;", ","")&amp;IF($AZ193&lt;&gt;"",$AZ193&amp;", ","")&amp;IF($BA193&lt;&gt;"",$BA193&amp;", ","")&amp;IF($BB193&lt;&gt;"",$BB193&amp;", ","")&amp;IF($BC193&lt;&gt;"",$BC193&amp;", ","")&amp;IF($DL193&lt;&gt;"",$DL193&amp;", ","")&amp;IF($DM193&lt;&gt;"",$DM193&amp;", ","")&amp;IF($DN193&lt;&gt;"",$DN193&amp;", ","")&amp;IF($DO193&lt;&gt;"",$DO193&amp;", ","")&amp;IF($DP193&lt;&gt;"",$DP193&amp;", ","")&amp;IF($DQ193&lt;&gt;"",$DQ193&amp;", ","")&amp;IF($DR193&lt;&gt;"",$DR193&amp;", ","")&amp;IF($DS193&lt;&gt;"",$DS193&amp;", ","")&amp;IF($DT193&lt;&gt;"",$DT193&amp;", ","")&amp;IF($DU193&lt;&gt;"",$DU193&amp;", ",""))="","OK","Onbekend: "&amp;LEFT((IF($AT193&lt;&gt;"",$AT193&amp;", ","")&amp;IF($AU193&lt;&gt;"",$AU193&amp;", ","")&amp;IF($AV193&lt;&gt;"",$AV193&amp;", ","")&amp;IF($AW193&lt;&gt;"",$AW193&amp;", ","")&amp;IF($AX193&lt;&gt;"",$AX193&amp;", ","")&amp;IF($AY193&lt;&gt;"",$AY193&amp;", ","")&amp;IF($AZ193&lt;&gt;"",$AZ193&amp;", ","")&amp;IF($BA193&lt;&gt;"",$BA193&amp;", ","")&amp;IF($BB193&lt;&gt;"",$BB193&amp;", ","")&amp;IF($BC193&lt;&gt;"",$BC193&amp;", ","")&amp;IF($DL193&lt;&gt;"",$DL193&amp;", ","")&amp;IF($DM193&lt;&gt;"",$DM193&amp;", ","")&amp;IF($DN193&lt;&gt;"",$DN193&amp;", ","")&amp;IF($DO193&lt;&gt;"",$DO193&amp;", ","")&amp;IF($DP193&lt;&gt;"",$DP193&amp;", ","")&amp;IF($DQ193&lt;&gt;"",$DQ193&amp;", ","")&amp;IF($DR193&lt;&gt;"",$DR193&amp;", ","")&amp;IF($DS193&lt;&gt;"",$DS193&amp;", ","")&amp;IF($DT193&lt;&gt;"",$DT193&amp;", ","")&amp;IF($DU193&lt;&gt;"",$DU193&amp;", ","")),LEN((IF($AT193&lt;&gt;"",$AT193&amp;", ","")&amp;IF($AU193&lt;&gt;"",$AU193&amp;", ","")&amp;IF($AV193&lt;&gt;"",$AV193&amp;", ","")&amp;IF($AW193&lt;&gt;"",$AW193&amp;", ","")&amp;IF($AX193&lt;&gt;"",$AX193&amp;", ","")&amp;IF($AY193&lt;&gt;"",$AY193&amp;", ","")&amp;IF($AZ193&lt;&gt;"",$AZ193&amp;", ","")&amp;IF($BA193&lt;&gt;"",$BA193&amp;", ","")&amp;IF($BB193&lt;&gt;"",$BB193&amp;", ","")&amp;IF($BC193&lt;&gt;"",$BC193&amp;", ","")&amp;IF($DL193&lt;&gt;"",$DL193&amp;", ","")&amp;IF($DM193&lt;&gt;"",$DM193&amp;", ","")&amp;IF($DN193&lt;&gt;"",$DN193&amp;", ","")&amp;IF($DO193&lt;&gt;"",$DO193&amp;", ","")&amp;IF($DP193&lt;&gt;"",$DP193&amp;", ","")&amp;IF($DQ193&lt;&gt;"",$DQ193&amp;", ","")&amp;IF($DR193&lt;&gt;"",$DR193&amp;", ","")&amp;IF($DS193&lt;&gt;"",$DS193&amp;", ","")&amp;IF($DT193&lt;&gt;"",$DT193&amp;", ","")&amp;IF($DU193&lt;&gt;"",$DU193&amp;", ","")))-2)))))))</f>
        <v/>
      </c>
      <c r="N193" t="str">
        <f t="shared" si="1378"/>
        <v/>
      </c>
      <c r="O193" t="str">
        <f t="shared" si="1379"/>
        <v/>
      </c>
      <c r="P193" t="str">
        <f t="shared" si="1380"/>
        <v/>
      </c>
      <c r="Q193" t="str">
        <f t="shared" si="1381"/>
        <v/>
      </c>
      <c r="R193" t="str">
        <f>IF($Q193="","",IF(OR($BE193="",$BF193=""),"ONZEKER",IF(AND($BE193=0+1,$BF193=0),IF(OR(COUNTIF(#REF!,$B193)&gt;0,COUNTIF(#REF!,$B193)=0),"SKIP",IF(COUNTIFS(#REF!,$B193,#REF!,$Q193)&gt;0,"OK","ONBEKEND")),IF(AND($BE193=0,$BF193=0+1),IF(OR(COUNTIF(#REF!,$D193)&gt;0,COUNTIF(#REF!,$D193)=0),"SKIP",IF(COUNTIFS(#REF!,$D193,#REF!,$Q193)&gt;0,"OK","ONBEKEND")),"ONZEKER"))))</f>
        <v/>
      </c>
      <c r="S193" t="str">
        <f t="shared" si="1382"/>
        <v/>
      </c>
      <c r="T193" t="str">
        <f t="shared" si="1383"/>
        <v/>
      </c>
      <c r="U193" t="str">
        <f>IF($T193="","",IF(OR($BH193="",$BI193=""),"ONZEKER",IF(OR($BE193="",$BF193=""),"ONZEKER",IF(AND($BH193=$BE193+1,$BI193=$BF193),IF(OR(COUNTIF(#REF!,$B193)&gt;0,COUNTIF(#REF!,$B193)=0),"SKIP",IF(COUNTIFS(#REF!,$B193,#REF!,$T193)&gt;0,"OK","ONBEKEND")),IF(AND($BH193=$BE193,$BI193=$BF193+1),IF(OR(COUNTIF(#REF!,$D193)&gt;0,COUNTIF(#REF!,$D193)=0),"SKIP",IF(COUNTIFS(#REF!,$D193,#REF!,$T193)&gt;0,"OK","ONBEKEND")),"ONZEKER")))))</f>
        <v/>
      </c>
      <c r="V193" t="str">
        <f t="shared" si="1384"/>
        <v/>
      </c>
      <c r="W193" t="str">
        <f t="shared" si="1385"/>
        <v/>
      </c>
      <c r="X193" t="str">
        <f>IF($W193="","",IF(OR($BK193="",$BL193=""),"ONZEKER",IF(OR($BH193="",$BI193=""),"ONZEKER",IF(AND($BK193=$BH193+1,$BL193=$BI193),IF(OR(COUNTIF(#REF!,$B193)&gt;0,COUNTIF(#REF!,$B193)=0),"SKIP",IF(COUNTIFS(#REF!,$B193,#REF!,$W193)&gt;0,"OK","ONBEKEND")),IF(AND($BK193=$BH193,$BL193=$BI193+1),IF(OR(COUNTIF(#REF!,$D193)&gt;0,COUNTIF(#REF!,$D193)=0),"SKIP",IF(COUNTIFS(#REF!,$D193,#REF!,$W193)&gt;0,"OK","ONBEKEND")),"ONZEKER")))))</f>
        <v/>
      </c>
      <c r="Y193" t="str">
        <f t="shared" si="1386"/>
        <v/>
      </c>
      <c r="Z193" t="str">
        <f t="shared" si="1387"/>
        <v/>
      </c>
      <c r="AA193" t="str">
        <f>IF($Z193="","",IF(OR($BN193="",$BO193=""),"ONZEKER",IF(OR($BK193="",$BL193=""),"ONZEKER",IF(AND($BN193=$BK193+1,$BO193=$BL193),IF(OR(COUNTIF(#REF!,$B193)&gt;0,COUNTIF(#REF!,$B193)=0),"SKIP",IF(COUNTIFS(#REF!,$B193,#REF!,$Z193)&gt;0,"OK","ONBEKEND")),IF(AND($BN193=$BK193,$BO193=$BL193+1),IF(OR(COUNTIF(#REF!,$D193)&gt;0,COUNTIF(#REF!,$D193)=0),"SKIP",IF(COUNTIFS(#REF!,$D193,#REF!,$Z193)&gt;0,"OK","ONBEKEND")),"ONZEKER")))))</f>
        <v/>
      </c>
      <c r="AB193" t="str">
        <f t="shared" si="1388"/>
        <v/>
      </c>
      <c r="AC193" t="str">
        <f t="shared" si="1389"/>
        <v/>
      </c>
      <c r="AD193" t="str">
        <f>IF($AC193="","",IF(OR($BQ193="",$BR193=""),"ONZEKER",IF(OR($BN193="",$BO193=""),"ONZEKER",IF(AND($BQ193=$BN193+1,$BR193=$BO193),IF(OR(COUNTIF(#REF!,$B193)&gt;0,COUNTIF(#REF!,$B193)=0),"SKIP",IF(COUNTIFS(#REF!,$B193,#REF!,$AC193)&gt;0,"OK","ONBEKEND")),IF(AND($BQ193=$BN193,$BR193=$BO193+1),IF(OR(COUNTIF(#REF!,$D193)&gt;0,COUNTIF(#REF!,$D193)=0),"SKIP",IF(COUNTIFS(#REF!,$D193,#REF!,$AC193)&gt;0,"OK","ONBEKEND")),"ONZEKER")))))</f>
        <v/>
      </c>
      <c r="AE193" t="str">
        <f t="shared" si="1390"/>
        <v/>
      </c>
      <c r="AF193" t="str">
        <f t="shared" si="1391"/>
        <v/>
      </c>
      <c r="AG193" t="str">
        <f>IF($AF193="","",IF(OR($BT193="",$BU193=""),"ONZEKER",IF(OR($BQ193="",$BR193=""),"ONZEKER",IF(AND($BT193=$BQ193+1,$BU193=$BR193),IF(OR(COUNTIF(#REF!,$B193)&gt;0,COUNTIF(#REF!,$B193)=0),"SKIP",IF(COUNTIFS(#REF!,$B193,#REF!,$AF193)&gt;0,"OK","ONBEKEND")),IF(AND($BT193=$BQ193,$BU193=$BR193+1),IF(OR(COUNTIF(#REF!,$D193)&gt;0,COUNTIF(#REF!,$D193)=0),"SKIP",IF(COUNTIFS(#REF!,$D193,#REF!,$AF193)&gt;0,"OK","ONBEKEND")),"ONZEKER")))))</f>
        <v/>
      </c>
      <c r="AH193" t="str">
        <f t="shared" si="1392"/>
        <v/>
      </c>
      <c r="AI193" t="str">
        <f t="shared" si="1393"/>
        <v/>
      </c>
      <c r="AJ193" t="str">
        <f>IF($AI193="","",IF(OR($BW193="",$BX193=""),"ONZEKER",IF(OR($BT193="",$BU193=""),"ONZEKER",IF(AND($BW193=$BT193+1,$BX193=$BU193),IF(OR(COUNTIF(#REF!,$B193)&gt;0,COUNTIF(#REF!,$B193)=0),"SKIP",IF(COUNTIFS(#REF!,$B193,#REF!,$AI193)&gt;0,"OK","ONBEKEND")),IF(AND($BW193=$BT193,$BX193=$BU193+1),IF(OR(COUNTIF(#REF!,$D193)&gt;0,COUNTIF(#REF!,$D193)=0),"SKIP",IF(COUNTIFS(#REF!,$D193,#REF!,$AI193)&gt;0,"OK","ONBEKEND")),"ONZEKER")))))</f>
        <v/>
      </c>
      <c r="AK193" t="str">
        <f t="shared" si="1394"/>
        <v/>
      </c>
      <c r="AL193" t="str">
        <f t="shared" si="1395"/>
        <v/>
      </c>
      <c r="AM193" t="str">
        <f>IF($AL193="","",IF(OR($BZ193="",$CA193=""),"ONZEKER",IF(OR($BW193="",$BX193=""),"ONZEKER",IF(AND($BZ193=$BW193+1,$CA193=$BX193),IF(OR(COUNTIF(#REF!,$B193)&gt;0,COUNTIF(#REF!,$B193)=0),"SKIP",IF(COUNTIFS(#REF!,$B193,#REF!,$AL193)&gt;0,"OK","ONBEKEND")),IF(AND($BZ193=$BW193,$CA193=$BX193+1),IF(OR(COUNTIF(#REF!,$D193)&gt;0,COUNTIF(#REF!,$D193)=0),"SKIP",IF(COUNTIFS(#REF!,$D193,#REF!,$AL193)&gt;0,"OK","ONBEKEND")),"ONZEKER")))))</f>
        <v/>
      </c>
      <c r="AN193" t="str">
        <f t="shared" si="1396"/>
        <v/>
      </c>
      <c r="AO193" t="str">
        <f t="shared" si="1397"/>
        <v/>
      </c>
      <c r="AP193" t="str">
        <f>IF($AO193="","",IF(OR($CC193="",$CD193=""),"ONZEKER",IF(OR($BZ193="",$CA193=""),"ONZEKER",IF(AND($CC193=$BZ193+1,$CD193=$CA193),IF(OR(COUNTIF(#REF!,$B193)&gt;0,COUNTIF(#REF!,$B193)=0),"SKIP",IF(COUNTIFS(#REF!,$B193,#REF!,$AO193)&gt;0,"OK","ONBEKEND")),IF(AND($CC193=$BZ193,$CD193=$CA193+1),IF(OR(COUNTIF(#REF!,$D193)&gt;0,COUNTIF(#REF!,$D193)=0),"SKIP",IF(COUNTIFS(#REF!,$D193,#REF!,$AO193)&gt;0,"OK","ONBEKEND")),"ONZEKER")))))</f>
        <v/>
      </c>
      <c r="AQ193" t="str">
        <f t="shared" si="1398"/>
        <v/>
      </c>
      <c r="AR193" t="str">
        <f t="shared" si="1399"/>
        <v/>
      </c>
      <c r="AS193" t="str">
        <f>IF($AR193="","",IF(OR($CF193="",$CG193=""),"ONZEKER",IF(OR($CC193="",$CD193=""),"ONZEKER",IF(AND($CF193=$CC193+1,$CG193=$CD193),IF(OR(COUNTIF(#REF!,$B193)&gt;0,COUNTIF(#REF!,$B193)=0),"SKIP",IF(COUNTIFS(#REF!,$B193,#REF!,$AR193)&gt;0,"OK","ONBEKEND")),IF(AND($CF193=$CC193,$CG193=$CD193+1),IF(OR(COUNTIF(#REF!,$D193)&gt;0,COUNTIF(#REF!,$D193)=0),"SKIP",IF(COUNTIFS(#REF!,$D193,#REF!,$AR193)&gt;0,"OK","ONBEKEND")),"ONZEKER")))))</f>
        <v/>
      </c>
      <c r="AT193" t="str">
        <f t="shared" si="1400"/>
        <v/>
      </c>
      <c r="AU193" t="str">
        <f t="shared" si="1401"/>
        <v/>
      </c>
      <c r="AV193" t="str">
        <f t="shared" si="1402"/>
        <v/>
      </c>
      <c r="AW193" t="str">
        <f t="shared" si="1403"/>
        <v/>
      </c>
      <c r="AX193" t="str">
        <f t="shared" si="1404"/>
        <v/>
      </c>
      <c r="AY193" t="str">
        <f t="shared" si="1405"/>
        <v/>
      </c>
      <c r="AZ193" t="str">
        <f t="shared" si="1406"/>
        <v/>
      </c>
      <c r="BA193" t="str">
        <f t="shared" si="1407"/>
        <v/>
      </c>
      <c r="BB193" t="str">
        <f t="shared" si="1408"/>
        <v/>
      </c>
      <c r="BC193" t="str">
        <f t="shared" si="1409"/>
        <v/>
      </c>
      <c r="BD193" t="str">
        <f t="shared" si="980"/>
        <v/>
      </c>
      <c r="BE193" t="str">
        <f t="shared" si="981"/>
        <v/>
      </c>
      <c r="BF193" t="str">
        <f t="shared" si="982"/>
        <v/>
      </c>
      <c r="BG193" t="str">
        <f t="shared" si="983"/>
        <v/>
      </c>
      <c r="BH193" t="str">
        <f t="shared" si="984"/>
        <v/>
      </c>
      <c r="BI193" t="str">
        <f t="shared" si="985"/>
        <v/>
      </c>
      <c r="BJ193" t="str">
        <f t="shared" si="986"/>
        <v/>
      </c>
      <c r="BK193" t="str">
        <f t="shared" si="987"/>
        <v/>
      </c>
      <c r="BL193" t="str">
        <f t="shared" si="988"/>
        <v/>
      </c>
      <c r="BM193" t="str">
        <f t="shared" si="989"/>
        <v/>
      </c>
      <c r="BN193" t="str">
        <f t="shared" si="990"/>
        <v/>
      </c>
      <c r="BO193" t="str">
        <f t="shared" si="991"/>
        <v/>
      </c>
      <c r="BP193" t="str">
        <f t="shared" si="992"/>
        <v/>
      </c>
      <c r="BQ193" t="str">
        <f t="shared" si="993"/>
        <v/>
      </c>
      <c r="BR193" t="str">
        <f t="shared" si="994"/>
        <v/>
      </c>
      <c r="BS193" t="str">
        <f t="shared" si="995"/>
        <v/>
      </c>
      <c r="BT193" t="str">
        <f t="shared" si="996"/>
        <v/>
      </c>
      <c r="BU193" t="str">
        <f t="shared" si="997"/>
        <v/>
      </c>
      <c r="BV193" t="str">
        <f t="shared" si="998"/>
        <v/>
      </c>
      <c r="BW193" t="str">
        <f t="shared" si="999"/>
        <v/>
      </c>
      <c r="BX193" t="str">
        <f t="shared" si="1000"/>
        <v/>
      </c>
      <c r="BY193" t="str">
        <f t="shared" si="1001"/>
        <v/>
      </c>
      <c r="BZ193" t="str">
        <f t="shared" si="1002"/>
        <v/>
      </c>
      <c r="CA193" t="str">
        <f t="shared" si="1003"/>
        <v/>
      </c>
      <c r="CB193" t="str">
        <f t="shared" si="1004"/>
        <v/>
      </c>
      <c r="CC193" t="str">
        <f t="shared" si="1005"/>
        <v/>
      </c>
      <c r="CD193" t="str">
        <f t="shared" si="1006"/>
        <v/>
      </c>
      <c r="CE193" t="str">
        <f t="shared" si="1007"/>
        <v/>
      </c>
      <c r="CF193" t="str">
        <f t="shared" si="1008"/>
        <v/>
      </c>
      <c r="CG193" t="str">
        <f t="shared" si="1009"/>
        <v/>
      </c>
      <c r="CH193" t="str">
        <f t="shared" si="1410"/>
        <v/>
      </c>
      <c r="CI193" t="str">
        <f t="shared" si="1411"/>
        <v/>
      </c>
      <c r="CJ193" t="str">
        <f>IF($CI193="","",IF(OR($DW193="",$DX193=""),"ONZEKER",IF(OR($CF193="",$CG193=""),"ONZEKER",IF(AND($DW193=$CF193+1,$DX193=$CG193),IF(OR(COUNTIF(#REF!,$B193)&gt;0,COUNTIF(#REF!,$B193)=0),"SKIP",IF(COUNTIFS(#REF!,$B193,#REF!,$CI193)&gt;0,"OK","ONBEKEND")),IF(AND($DW193=$CF193,$DX193=$CG193+1),IF(OR(COUNTIF(#REF!,$D193)&gt;0,COUNTIF(#REF!,$D193)=0),"SKIP",IF(COUNTIFS(#REF!,$D193,#REF!,$CI193)&gt;0,"OK","ONBEKEND")),"ONZEKER")))))</f>
        <v/>
      </c>
      <c r="CK193" t="str">
        <f t="shared" si="1412"/>
        <v/>
      </c>
      <c r="CL193" t="str">
        <f t="shared" si="1413"/>
        <v/>
      </c>
      <c r="CM193" t="str">
        <f>IF($CL193="","",IF(OR($DZ193="",$EA193=""),"ONZEKER",IF(OR($DW193="",$DX193=""),"ONZEKER",IF(AND($DZ193=$DW193+1,$EA193=$DX193),IF(OR(COUNTIF(#REF!,$B193)&gt;0,COUNTIF(#REF!,$B193)=0),"SKIP",IF(COUNTIFS(#REF!,$B193,#REF!,$CL193)&gt;0,"OK","ONBEKEND")),IF(AND($DZ193=$DW193,$EA193=$DX193+1),IF(OR(COUNTIF(#REF!,$D193)&gt;0,COUNTIF(#REF!,$D193)=0),"SKIP",IF(COUNTIFS(#REF!,$D193,#REF!,$CL193)&gt;0,"OK","ONBEKEND")),"ONZEKER")))))</f>
        <v/>
      </c>
      <c r="CN193" t="str">
        <f t="shared" si="1414"/>
        <v/>
      </c>
      <c r="CO193" t="str">
        <f t="shared" si="1415"/>
        <v/>
      </c>
      <c r="CP193" t="str">
        <f>IF($CO193="","",IF(OR($EC193="",$ED193=""),"ONZEKER",IF(OR($DZ193="",$EA193=""),"ONZEKER",IF(AND($EC193=$DZ193+1,$ED193=$EA193),IF(OR(COUNTIF(#REF!,$B193)&gt;0,COUNTIF(#REF!,$B193)=0),"SKIP",IF(COUNTIFS(#REF!,$B193,#REF!,$CO193)&gt;0,"OK","ONBEKEND")),IF(AND($EC193=$DZ193,$ED193=$EA193+1),IF(OR(COUNTIF(#REF!,$D193)&gt;0,COUNTIF(#REF!,$D193)=0),"SKIP",IF(COUNTIFS(#REF!,$D193,#REF!,$CO193)&gt;0,"OK","ONBEKEND")),"ONZEKER")))))</f>
        <v/>
      </c>
      <c r="CQ193" t="str">
        <f t="shared" si="1416"/>
        <v/>
      </c>
      <c r="CR193" t="str">
        <f t="shared" si="1417"/>
        <v/>
      </c>
      <c r="CS193" t="str">
        <f>IF($CR193="","",IF(OR($EF193="",$EG193=""),"ONZEKER",IF(OR($EC193="",$ED193=""),"ONZEKER",IF(AND($EF193=$EC193+1,$EG193=$ED193),IF(OR(COUNTIF(#REF!,$B193)&gt;0,COUNTIF(#REF!,$B193)=0),"SKIP",IF(COUNTIFS(#REF!,$B193,#REF!,$CR193)&gt;0,"OK","ONBEKEND")),IF(AND($EF193=$EC193,$EG193=$ED193+1),IF(OR(COUNTIF(#REF!,$D193)&gt;0,COUNTIF(#REF!,$D193)=0),"SKIP",IF(COUNTIFS(#REF!,$D193,#REF!,$CR193)&gt;0,"OK","ONBEKEND")),"ONZEKER")))))</f>
        <v/>
      </c>
      <c r="CT193" t="str">
        <f t="shared" si="1418"/>
        <v/>
      </c>
      <c r="CU193" t="str">
        <f t="shared" si="1419"/>
        <v/>
      </c>
      <c r="CV193" t="str">
        <f>IF($CU193="","",IF(OR($EI193="",$EJ193=""),"ONZEKER",IF(OR($EF193="",$EG193=""),"ONZEKER",IF(AND($EI193=$EF193+1,$EJ193=$EG193),IF(OR(COUNTIF(#REF!,$B193)&gt;0,COUNTIF(#REF!,$B193)=0),"SKIP",IF(COUNTIFS(#REF!,$B193,#REF!,$CU193)&gt;0,"OK","ONBEKEND")),IF(AND($EI193=$EF193,$EJ193=$EG193+1),IF(OR(COUNTIF(#REF!,$D193)&gt;0,COUNTIF(#REF!,$D193)=0),"SKIP",IF(COUNTIFS(#REF!,$D193,#REF!,$CU193)&gt;0,"OK","ONBEKEND")),"ONZEKER")))))</f>
        <v/>
      </c>
      <c r="CW193" t="str">
        <f t="shared" si="1420"/>
        <v/>
      </c>
      <c r="CX193" t="str">
        <f t="shared" si="1421"/>
        <v/>
      </c>
      <c r="CY193" t="str">
        <f>IF($CX193="","",IF(OR($EL193="",$EM193=""),"ONZEKER",IF(OR($EI193="",$EJ193=""),"ONZEKER",IF(AND($EL193=$EI193+1,$EM193=$EJ193),IF(OR(COUNTIF(#REF!,$B193)&gt;0,COUNTIF(#REF!,$B193)=0),"SKIP",IF(COUNTIFS(#REF!,$B193,#REF!,$CX193)&gt;0,"OK","ONBEKEND")),IF(AND($EL193=$EI193,$EM193=$EJ193+1),IF(OR(COUNTIF(#REF!,$D193)&gt;0,COUNTIF(#REF!,$D193)=0),"SKIP",IF(COUNTIFS(#REF!,$D193,#REF!,$CX193)&gt;0,"OK","ONBEKEND")),"ONZEKER")))))</f>
        <v/>
      </c>
      <c r="CZ193" t="str">
        <f t="shared" si="1422"/>
        <v/>
      </c>
      <c r="DA193" t="str">
        <f t="shared" si="1423"/>
        <v/>
      </c>
      <c r="DB193" t="str">
        <f>IF($DA193="","",IF(OR($EO193="",$EP193=""),"ONZEKER",IF(OR($EL193="",$EM193=""),"ONZEKER",IF(AND($EO193=$EL193+1,$EP193=$EM193),IF(OR(COUNTIF(#REF!,$B193)&gt;0,COUNTIF(#REF!,$B193)=0),"SKIP",IF(COUNTIFS(#REF!,$B193,#REF!,$DA193)&gt;0,"OK","ONBEKEND")),IF(AND($EO193=$EL193,$EP193=$EM193+1),IF(OR(COUNTIF(#REF!,$D193)&gt;0,COUNTIF(#REF!,$D193)=0),"SKIP",IF(COUNTIFS(#REF!,$D193,#REF!,$DA193)&gt;0,"OK","ONBEKEND")),"ONZEKER")))))</f>
        <v/>
      </c>
      <c r="DC193" t="str">
        <f t="shared" si="1424"/>
        <v/>
      </c>
      <c r="DD193" t="str">
        <f t="shared" si="1425"/>
        <v/>
      </c>
      <c r="DE193" t="str">
        <f>IF($DD193="","",IF(OR($ER193="",$ES193=""),"ONZEKER",IF(OR($EO193="",$EP193=""),"ONZEKER",IF(AND($ER193=$EO193+1,$ES193=$EP193),IF(OR(COUNTIF(#REF!,$B193)&gt;0,COUNTIF(#REF!,$B193)=0),"SKIP",IF(COUNTIFS(#REF!,$B193,#REF!,$DD193)&gt;0,"OK","ONBEKEND")),IF(AND($ER193=$EO193,$ES193=$EP193+1),IF(OR(COUNTIF(#REF!,$D193)&gt;0,COUNTIF(#REF!,$D193)=0),"SKIP",IF(COUNTIFS(#REF!,$D193,#REF!,$DD193)&gt;0,"OK","ONBEKEND")),"ONZEKER")))))</f>
        <v/>
      </c>
      <c r="DF193" t="str">
        <f t="shared" si="1426"/>
        <v/>
      </c>
      <c r="DG193" t="str">
        <f t="shared" si="1427"/>
        <v/>
      </c>
      <c r="DH193" t="str">
        <f>IF($DG193="","",IF(OR($EU193="",$EV193=""),"ONZEKER",IF(OR($ER193="",$ES193=""),"ONZEKER",IF(AND($EU193=$ER193+1,$EV193=$ES193),IF(OR(COUNTIF(#REF!,$B193)&gt;0,COUNTIF(#REF!,$B193)=0),"SKIP",IF(COUNTIFS(#REF!,$B193,#REF!,$DG193)&gt;0,"OK","ONBEKEND")),IF(AND($EU193=$ER193,$EV193=$ES193+1),IF(OR(COUNTIF(#REF!,$D193)&gt;0,COUNTIF(#REF!,$D193)=0),"SKIP",IF(COUNTIFS(#REF!,$D193,#REF!,$DG193)&gt;0,"OK","ONBEKEND")),"ONZEKER")))))</f>
        <v/>
      </c>
      <c r="DI193" t="str">
        <f t="shared" si="1428"/>
        <v/>
      </c>
      <c r="DJ193" t="str">
        <f t="shared" si="1429"/>
        <v/>
      </c>
      <c r="DK193" t="str">
        <f>IF($DJ193="","",IF(OR($EX193="",$EY193=""),"ONZEKER",IF(OR($EU193="",$EV193=""),"ONZEKER",IF(AND($EX193=$EU193+1,$EY193=$EV193),IF(OR(COUNTIF(#REF!,$B193)&gt;0,COUNTIF(#REF!,$B193)=0),"SKIP",IF(COUNTIFS(#REF!,$B193,#REF!,$DJ193)&gt;0,"OK","ONBEKEND")),IF(AND($EX193=$EU193,$EY193=$EV193+1),IF(OR(COUNTIF(#REF!,$D193)&gt;0,COUNTIF(#REF!,$D193)=0),"SKIP",IF(COUNTIFS(#REF!,$D193,#REF!,$DJ193)&gt;0,"OK","ONBEKEND")),"ONZEKER")))))</f>
        <v/>
      </c>
      <c r="DL193" t="str">
        <f t="shared" si="1430"/>
        <v/>
      </c>
      <c r="DM193" t="str">
        <f t="shared" si="1431"/>
        <v/>
      </c>
      <c r="DN193" t="str">
        <f t="shared" si="1432"/>
        <v/>
      </c>
      <c r="DO193" t="str">
        <f t="shared" si="1433"/>
        <v/>
      </c>
      <c r="DP193" t="str">
        <f t="shared" si="1434"/>
        <v/>
      </c>
      <c r="DQ193" t="str">
        <f t="shared" si="1435"/>
        <v/>
      </c>
      <c r="DR193" t="str">
        <f t="shared" si="1436"/>
        <v/>
      </c>
      <c r="DS193" t="str">
        <f t="shared" si="1437"/>
        <v/>
      </c>
      <c r="DT193" t="str">
        <f t="shared" si="1438"/>
        <v/>
      </c>
      <c r="DU193" t="str">
        <f t="shared" si="1439"/>
        <v/>
      </c>
      <c r="DV193" t="str">
        <f t="shared" si="1440"/>
        <v/>
      </c>
      <c r="DW193" t="str">
        <f t="shared" si="1441"/>
        <v/>
      </c>
      <c r="DX193" t="str">
        <f t="shared" si="1442"/>
        <v/>
      </c>
      <c r="DY193" t="str">
        <f t="shared" si="1443"/>
        <v/>
      </c>
      <c r="DZ193" t="str">
        <f t="shared" si="1444"/>
        <v/>
      </c>
      <c r="EA193" t="str">
        <f t="shared" si="1445"/>
        <v/>
      </c>
      <c r="EB193" t="str">
        <f t="shared" si="1446"/>
        <v/>
      </c>
      <c r="EC193" t="str">
        <f t="shared" si="1447"/>
        <v/>
      </c>
      <c r="ED193" t="str">
        <f t="shared" si="1448"/>
        <v/>
      </c>
      <c r="EE193" t="str">
        <f t="shared" si="1449"/>
        <v/>
      </c>
      <c r="EF193" t="str">
        <f t="shared" si="1450"/>
        <v/>
      </c>
      <c r="EG193" t="str">
        <f t="shared" si="1451"/>
        <v/>
      </c>
      <c r="EH193" t="str">
        <f t="shared" si="1452"/>
        <v/>
      </c>
      <c r="EI193" t="str">
        <f t="shared" si="1453"/>
        <v/>
      </c>
      <c r="EJ193" t="str">
        <f t="shared" si="1454"/>
        <v/>
      </c>
      <c r="EK193" t="str">
        <f t="shared" si="1455"/>
        <v/>
      </c>
      <c r="EL193" t="str">
        <f t="shared" si="1456"/>
        <v/>
      </c>
      <c r="EM193" t="str">
        <f t="shared" si="1457"/>
        <v/>
      </c>
      <c r="EN193" t="str">
        <f t="shared" si="1458"/>
        <v/>
      </c>
      <c r="EO193" t="str">
        <f t="shared" si="1459"/>
        <v/>
      </c>
      <c r="EP193" t="str">
        <f t="shared" si="1460"/>
        <v/>
      </c>
      <c r="EQ193" t="str">
        <f t="shared" si="1461"/>
        <v/>
      </c>
      <c r="ER193" t="str">
        <f t="shared" si="1462"/>
        <v/>
      </c>
      <c r="ES193" t="str">
        <f t="shared" si="1463"/>
        <v/>
      </c>
      <c r="ET193" t="str">
        <f t="shared" si="1464"/>
        <v/>
      </c>
      <c r="EU193" t="str">
        <f t="shared" si="1465"/>
        <v/>
      </c>
      <c r="EV193" t="str">
        <f t="shared" si="1466"/>
        <v/>
      </c>
      <c r="EW193" t="str">
        <f t="shared" si="1467"/>
        <v/>
      </c>
      <c r="EX193" t="str">
        <f t="shared" si="1468"/>
        <v/>
      </c>
      <c r="EY193" t="str">
        <f t="shared" si="1469"/>
        <v/>
      </c>
    </row>
    <row r="194" spans="1:155" ht="13.9" customHeight="1" x14ac:dyDescent="0.25">
      <c r="M194" s="3" t="str">
        <f>IF($L194="","",IF($L194="DOELPUNTENMAKERS","",IF(AND(COUNTIF(#REF!,$B194)=0,COUNTIF(#REF!,$D194)=0),"OK",IF($O194&gt;20,"LET OP: meer dan 20 items (controle onvolledig)",IF((COUNTIF($R194:$AS194,"ONZEKER")+COUNTIF($CJ194:$DK194,"ONZEKER"))&gt;0,"LET OP: scoreverloop onduidelijk (controle beperkt)",IF((IF($AT194&lt;&gt;"",$AT194&amp;", ","")&amp;IF($AU194&lt;&gt;"",$AU194&amp;", ","")&amp;IF($AV194&lt;&gt;"",$AV194&amp;", ","")&amp;IF($AW194&lt;&gt;"",$AW194&amp;", ","")&amp;IF($AX194&lt;&gt;"",$AX194&amp;", ","")&amp;IF($AY194&lt;&gt;"",$AY194&amp;", ","")&amp;IF($AZ194&lt;&gt;"",$AZ194&amp;", ","")&amp;IF($BA194&lt;&gt;"",$BA194&amp;", ","")&amp;IF($BB194&lt;&gt;"",$BB194&amp;", ","")&amp;IF($BC194&lt;&gt;"",$BC194&amp;", ","")&amp;IF($DL194&lt;&gt;"",$DL194&amp;", ","")&amp;IF($DM194&lt;&gt;"",$DM194&amp;", ","")&amp;IF($DN194&lt;&gt;"",$DN194&amp;", ","")&amp;IF($DO194&lt;&gt;"",$DO194&amp;", ","")&amp;IF($DP194&lt;&gt;"",$DP194&amp;", ","")&amp;IF($DQ194&lt;&gt;"",$DQ194&amp;", ","")&amp;IF($DR194&lt;&gt;"",$DR194&amp;", ","")&amp;IF($DS194&lt;&gt;"",$DS194&amp;", ","")&amp;IF($DT194&lt;&gt;"",$DT194&amp;", ","")&amp;IF($DU194&lt;&gt;"",$DU194&amp;", ",""))="","OK","Onbekend: "&amp;LEFT((IF($AT194&lt;&gt;"",$AT194&amp;", ","")&amp;IF($AU194&lt;&gt;"",$AU194&amp;", ","")&amp;IF($AV194&lt;&gt;"",$AV194&amp;", ","")&amp;IF($AW194&lt;&gt;"",$AW194&amp;", ","")&amp;IF($AX194&lt;&gt;"",$AX194&amp;", ","")&amp;IF($AY194&lt;&gt;"",$AY194&amp;", ","")&amp;IF($AZ194&lt;&gt;"",$AZ194&amp;", ","")&amp;IF($BA194&lt;&gt;"",$BA194&amp;", ","")&amp;IF($BB194&lt;&gt;"",$BB194&amp;", ","")&amp;IF($BC194&lt;&gt;"",$BC194&amp;", ","")&amp;IF($DL194&lt;&gt;"",$DL194&amp;", ","")&amp;IF($DM194&lt;&gt;"",$DM194&amp;", ","")&amp;IF($DN194&lt;&gt;"",$DN194&amp;", ","")&amp;IF($DO194&lt;&gt;"",$DO194&amp;", ","")&amp;IF($DP194&lt;&gt;"",$DP194&amp;", ","")&amp;IF($DQ194&lt;&gt;"",$DQ194&amp;", ","")&amp;IF($DR194&lt;&gt;"",$DR194&amp;", ","")&amp;IF($DS194&lt;&gt;"",$DS194&amp;", ","")&amp;IF($DT194&lt;&gt;"",$DT194&amp;", ","")&amp;IF($DU194&lt;&gt;"",$DU194&amp;", ","")),LEN((IF($AT194&lt;&gt;"",$AT194&amp;", ","")&amp;IF($AU194&lt;&gt;"",$AU194&amp;", ","")&amp;IF($AV194&lt;&gt;"",$AV194&amp;", ","")&amp;IF($AW194&lt;&gt;"",$AW194&amp;", ","")&amp;IF($AX194&lt;&gt;"",$AX194&amp;", ","")&amp;IF($AY194&lt;&gt;"",$AY194&amp;", ","")&amp;IF($AZ194&lt;&gt;"",$AZ194&amp;", ","")&amp;IF($BA194&lt;&gt;"",$BA194&amp;", ","")&amp;IF($BB194&lt;&gt;"",$BB194&amp;", ","")&amp;IF($BC194&lt;&gt;"",$BC194&amp;", ","")&amp;IF($DL194&lt;&gt;"",$DL194&amp;", ","")&amp;IF($DM194&lt;&gt;"",$DM194&amp;", ","")&amp;IF($DN194&lt;&gt;"",$DN194&amp;", ","")&amp;IF($DO194&lt;&gt;"",$DO194&amp;", ","")&amp;IF($DP194&lt;&gt;"",$DP194&amp;", ","")&amp;IF($DQ194&lt;&gt;"",$DQ194&amp;", ","")&amp;IF($DR194&lt;&gt;"",$DR194&amp;", ","")&amp;IF($DS194&lt;&gt;"",$DS194&amp;", ","")&amp;IF($DT194&lt;&gt;"",$DT194&amp;", ","")&amp;IF($DU194&lt;&gt;"",$DU194&amp;", ","")))-2)))))))</f>
        <v/>
      </c>
      <c r="N194" t="str">
        <f t="shared" si="1378"/>
        <v/>
      </c>
      <c r="O194" t="str">
        <f t="shared" si="1379"/>
        <v/>
      </c>
      <c r="P194" t="str">
        <f t="shared" si="1380"/>
        <v/>
      </c>
      <c r="Q194" t="str">
        <f t="shared" si="1381"/>
        <v/>
      </c>
      <c r="R194" t="str">
        <f>IF($Q194="","",IF(OR($BE194="",$BF194=""),"ONZEKER",IF(AND($BE194=0+1,$BF194=0),IF(OR(COUNTIF(#REF!,$B194)&gt;0,COUNTIF(#REF!,$B194)=0),"SKIP",IF(COUNTIFS(#REF!,$B194,#REF!,$Q194)&gt;0,"OK","ONBEKEND")),IF(AND($BE194=0,$BF194=0+1),IF(OR(COUNTIF(#REF!,$D194)&gt;0,COUNTIF(#REF!,$D194)=0),"SKIP",IF(COUNTIFS(#REF!,$D194,#REF!,$Q194)&gt;0,"OK","ONBEKEND")),"ONZEKER"))))</f>
        <v/>
      </c>
      <c r="S194" t="str">
        <f t="shared" si="1382"/>
        <v/>
      </c>
      <c r="T194" t="str">
        <f t="shared" si="1383"/>
        <v/>
      </c>
      <c r="U194" t="str">
        <f>IF($T194="","",IF(OR($BH194="",$BI194=""),"ONZEKER",IF(OR($BE194="",$BF194=""),"ONZEKER",IF(AND($BH194=$BE194+1,$BI194=$BF194),IF(OR(COUNTIF(#REF!,$B194)&gt;0,COUNTIF(#REF!,$B194)=0),"SKIP",IF(COUNTIFS(#REF!,$B194,#REF!,$T194)&gt;0,"OK","ONBEKEND")),IF(AND($BH194=$BE194,$BI194=$BF194+1),IF(OR(COUNTIF(#REF!,$D194)&gt;0,COUNTIF(#REF!,$D194)=0),"SKIP",IF(COUNTIFS(#REF!,$D194,#REF!,$T194)&gt;0,"OK","ONBEKEND")),"ONZEKER")))))</f>
        <v/>
      </c>
      <c r="V194" t="str">
        <f t="shared" si="1384"/>
        <v/>
      </c>
      <c r="W194" t="str">
        <f t="shared" si="1385"/>
        <v/>
      </c>
      <c r="X194" t="str">
        <f>IF($W194="","",IF(OR($BK194="",$BL194=""),"ONZEKER",IF(OR($BH194="",$BI194=""),"ONZEKER",IF(AND($BK194=$BH194+1,$BL194=$BI194),IF(OR(COUNTIF(#REF!,$B194)&gt;0,COUNTIF(#REF!,$B194)=0),"SKIP",IF(COUNTIFS(#REF!,$B194,#REF!,$W194)&gt;0,"OK","ONBEKEND")),IF(AND($BK194=$BH194,$BL194=$BI194+1),IF(OR(COUNTIF(#REF!,$D194)&gt;0,COUNTIF(#REF!,$D194)=0),"SKIP",IF(COUNTIFS(#REF!,$D194,#REF!,$W194)&gt;0,"OK","ONBEKEND")),"ONZEKER")))))</f>
        <v/>
      </c>
      <c r="Y194" t="str">
        <f t="shared" si="1386"/>
        <v/>
      </c>
      <c r="Z194" t="str">
        <f t="shared" si="1387"/>
        <v/>
      </c>
      <c r="AA194" t="str">
        <f>IF($Z194="","",IF(OR($BN194="",$BO194=""),"ONZEKER",IF(OR($BK194="",$BL194=""),"ONZEKER",IF(AND($BN194=$BK194+1,$BO194=$BL194),IF(OR(COUNTIF(#REF!,$B194)&gt;0,COUNTIF(#REF!,$B194)=0),"SKIP",IF(COUNTIFS(#REF!,$B194,#REF!,$Z194)&gt;0,"OK","ONBEKEND")),IF(AND($BN194=$BK194,$BO194=$BL194+1),IF(OR(COUNTIF(#REF!,$D194)&gt;0,COUNTIF(#REF!,$D194)=0),"SKIP",IF(COUNTIFS(#REF!,$D194,#REF!,$Z194)&gt;0,"OK","ONBEKEND")),"ONZEKER")))))</f>
        <v/>
      </c>
      <c r="AB194" t="str">
        <f t="shared" si="1388"/>
        <v/>
      </c>
      <c r="AC194" t="str">
        <f t="shared" si="1389"/>
        <v/>
      </c>
      <c r="AD194" t="str">
        <f>IF($AC194="","",IF(OR($BQ194="",$BR194=""),"ONZEKER",IF(OR($BN194="",$BO194=""),"ONZEKER",IF(AND($BQ194=$BN194+1,$BR194=$BO194),IF(OR(COUNTIF(#REF!,$B194)&gt;0,COUNTIF(#REF!,$B194)=0),"SKIP",IF(COUNTIFS(#REF!,$B194,#REF!,$AC194)&gt;0,"OK","ONBEKEND")),IF(AND($BQ194=$BN194,$BR194=$BO194+1),IF(OR(COUNTIF(#REF!,$D194)&gt;0,COUNTIF(#REF!,$D194)=0),"SKIP",IF(COUNTIFS(#REF!,$D194,#REF!,$AC194)&gt;0,"OK","ONBEKEND")),"ONZEKER")))))</f>
        <v/>
      </c>
      <c r="AE194" t="str">
        <f t="shared" si="1390"/>
        <v/>
      </c>
      <c r="AF194" t="str">
        <f t="shared" si="1391"/>
        <v/>
      </c>
      <c r="AG194" t="str">
        <f>IF($AF194="","",IF(OR($BT194="",$BU194=""),"ONZEKER",IF(OR($BQ194="",$BR194=""),"ONZEKER",IF(AND($BT194=$BQ194+1,$BU194=$BR194),IF(OR(COUNTIF(#REF!,$B194)&gt;0,COUNTIF(#REF!,$B194)=0),"SKIP",IF(COUNTIFS(#REF!,$B194,#REF!,$AF194)&gt;0,"OK","ONBEKEND")),IF(AND($BT194=$BQ194,$BU194=$BR194+1),IF(OR(COUNTIF(#REF!,$D194)&gt;0,COUNTIF(#REF!,$D194)=0),"SKIP",IF(COUNTIFS(#REF!,$D194,#REF!,$AF194)&gt;0,"OK","ONBEKEND")),"ONZEKER")))))</f>
        <v/>
      </c>
      <c r="AH194" t="str">
        <f t="shared" si="1392"/>
        <v/>
      </c>
      <c r="AI194" t="str">
        <f t="shared" si="1393"/>
        <v/>
      </c>
      <c r="AJ194" t="str">
        <f>IF($AI194="","",IF(OR($BW194="",$BX194=""),"ONZEKER",IF(OR($BT194="",$BU194=""),"ONZEKER",IF(AND($BW194=$BT194+1,$BX194=$BU194),IF(OR(COUNTIF(#REF!,$B194)&gt;0,COUNTIF(#REF!,$B194)=0),"SKIP",IF(COUNTIFS(#REF!,$B194,#REF!,$AI194)&gt;0,"OK","ONBEKEND")),IF(AND($BW194=$BT194,$BX194=$BU194+1),IF(OR(COUNTIF(#REF!,$D194)&gt;0,COUNTIF(#REF!,$D194)=0),"SKIP",IF(COUNTIFS(#REF!,$D194,#REF!,$AI194)&gt;0,"OK","ONBEKEND")),"ONZEKER")))))</f>
        <v/>
      </c>
      <c r="AK194" t="str">
        <f t="shared" si="1394"/>
        <v/>
      </c>
      <c r="AL194" t="str">
        <f t="shared" si="1395"/>
        <v/>
      </c>
      <c r="AM194" t="str">
        <f>IF($AL194="","",IF(OR($BZ194="",$CA194=""),"ONZEKER",IF(OR($BW194="",$BX194=""),"ONZEKER",IF(AND($BZ194=$BW194+1,$CA194=$BX194),IF(OR(COUNTIF(#REF!,$B194)&gt;0,COUNTIF(#REF!,$B194)=0),"SKIP",IF(COUNTIFS(#REF!,$B194,#REF!,$AL194)&gt;0,"OK","ONBEKEND")),IF(AND($BZ194=$BW194,$CA194=$BX194+1),IF(OR(COUNTIF(#REF!,$D194)&gt;0,COUNTIF(#REF!,$D194)=0),"SKIP",IF(COUNTIFS(#REF!,$D194,#REF!,$AL194)&gt;0,"OK","ONBEKEND")),"ONZEKER")))))</f>
        <v/>
      </c>
      <c r="AN194" t="str">
        <f t="shared" si="1396"/>
        <v/>
      </c>
      <c r="AO194" t="str">
        <f t="shared" si="1397"/>
        <v/>
      </c>
      <c r="AP194" t="str">
        <f>IF($AO194="","",IF(OR($CC194="",$CD194=""),"ONZEKER",IF(OR($BZ194="",$CA194=""),"ONZEKER",IF(AND($CC194=$BZ194+1,$CD194=$CA194),IF(OR(COUNTIF(#REF!,$B194)&gt;0,COUNTIF(#REF!,$B194)=0),"SKIP",IF(COUNTIFS(#REF!,$B194,#REF!,$AO194)&gt;0,"OK","ONBEKEND")),IF(AND($CC194=$BZ194,$CD194=$CA194+1),IF(OR(COUNTIF(#REF!,$D194)&gt;0,COUNTIF(#REF!,$D194)=0),"SKIP",IF(COUNTIFS(#REF!,$D194,#REF!,$AO194)&gt;0,"OK","ONBEKEND")),"ONZEKER")))))</f>
        <v/>
      </c>
      <c r="AQ194" t="str">
        <f t="shared" si="1398"/>
        <v/>
      </c>
      <c r="AR194" t="str">
        <f t="shared" si="1399"/>
        <v/>
      </c>
      <c r="AS194" t="str">
        <f>IF($AR194="","",IF(OR($CF194="",$CG194=""),"ONZEKER",IF(OR($CC194="",$CD194=""),"ONZEKER",IF(AND($CF194=$CC194+1,$CG194=$CD194),IF(OR(COUNTIF(#REF!,$B194)&gt;0,COUNTIF(#REF!,$B194)=0),"SKIP",IF(COUNTIFS(#REF!,$B194,#REF!,$AR194)&gt;0,"OK","ONBEKEND")),IF(AND($CF194=$CC194,$CG194=$CD194+1),IF(OR(COUNTIF(#REF!,$D194)&gt;0,COUNTIF(#REF!,$D194)=0),"SKIP",IF(COUNTIFS(#REF!,$D194,#REF!,$AR194)&gt;0,"OK","ONBEKEND")),"ONZEKER")))))</f>
        <v/>
      </c>
      <c r="AT194" t="str">
        <f t="shared" si="1400"/>
        <v/>
      </c>
      <c r="AU194" t="str">
        <f t="shared" si="1401"/>
        <v/>
      </c>
      <c r="AV194" t="str">
        <f t="shared" si="1402"/>
        <v/>
      </c>
      <c r="AW194" t="str">
        <f t="shared" si="1403"/>
        <v/>
      </c>
      <c r="AX194" t="str">
        <f t="shared" si="1404"/>
        <v/>
      </c>
      <c r="AY194" t="str">
        <f t="shared" si="1405"/>
        <v/>
      </c>
      <c r="AZ194" t="str">
        <f t="shared" si="1406"/>
        <v/>
      </c>
      <c r="BA194" t="str">
        <f t="shared" si="1407"/>
        <v/>
      </c>
      <c r="BB194" t="str">
        <f t="shared" si="1408"/>
        <v/>
      </c>
      <c r="BC194" t="str">
        <f t="shared" si="1409"/>
        <v/>
      </c>
      <c r="BD194" t="str">
        <f t="shared" ref="BD194:BD257" si="1470">IF($P194="","",TRIM(IFERROR(RIGHT($P194,LEN($P194)-FIND("§",SUBSTITUTE($P194," ","§",LEN($P194)-LEN(SUBSTITUTE($P194," ",""))))),"")))</f>
        <v/>
      </c>
      <c r="BE194" t="str">
        <f t="shared" ref="BE194:BE257" si="1471">IF($BD194="","",IFERROR(VALUE(LEFT($BD194,FIND("-",$BD194)-1)),""))</f>
        <v/>
      </c>
      <c r="BF194" t="str">
        <f t="shared" ref="BF194:BF257" si="1472">IF($BD194="","",IFERROR(VALUE(MID($BD194,FIND("-",$BD194)+1,99)),""))</f>
        <v/>
      </c>
      <c r="BG194" t="str">
        <f t="shared" ref="BG194:BG257" si="1473">IF($S194="","",TRIM(IFERROR(RIGHT($S194,LEN($S194)-FIND("§",SUBSTITUTE($S194," ","§",LEN($S194)-LEN(SUBSTITUTE($S194," ",""))))),"")))</f>
        <v/>
      </c>
      <c r="BH194" t="str">
        <f t="shared" ref="BH194:BH257" si="1474">IF($BG194="","",IFERROR(VALUE(LEFT($BG194,FIND("-",$BG194)-1)),""))</f>
        <v/>
      </c>
      <c r="BI194" t="str">
        <f t="shared" ref="BI194:BI257" si="1475">IF($BG194="","",IFERROR(VALUE(MID($BG194,FIND("-",$BG194)+1,99)),""))</f>
        <v/>
      </c>
      <c r="BJ194" t="str">
        <f t="shared" ref="BJ194:BJ257" si="1476">IF($V194="","",TRIM(IFERROR(RIGHT($V194,LEN($V194)-FIND("§",SUBSTITUTE($V194," ","§",LEN($V194)-LEN(SUBSTITUTE($V194," ",""))))),"")))</f>
        <v/>
      </c>
      <c r="BK194" t="str">
        <f t="shared" ref="BK194:BK257" si="1477">IF($BJ194="","",IFERROR(VALUE(LEFT($BJ194,FIND("-",$BJ194)-1)),""))</f>
        <v/>
      </c>
      <c r="BL194" t="str">
        <f t="shared" ref="BL194:BL257" si="1478">IF($BJ194="","",IFERROR(VALUE(MID($BJ194,FIND("-",$BJ194)+1,99)),""))</f>
        <v/>
      </c>
      <c r="BM194" t="str">
        <f t="shared" ref="BM194:BM257" si="1479">IF($Y194="","",TRIM(IFERROR(RIGHT($Y194,LEN($Y194)-FIND("§",SUBSTITUTE($Y194," ","§",LEN($Y194)-LEN(SUBSTITUTE($Y194," ",""))))),"")))</f>
        <v/>
      </c>
      <c r="BN194" t="str">
        <f t="shared" ref="BN194:BN257" si="1480">IF($BM194="","",IFERROR(VALUE(LEFT($BM194,FIND("-",$BM194)-1)),""))</f>
        <v/>
      </c>
      <c r="BO194" t="str">
        <f t="shared" ref="BO194:BO257" si="1481">IF($BM194="","",IFERROR(VALUE(MID($BM194,FIND("-",$BM194)+1,99)),""))</f>
        <v/>
      </c>
      <c r="BP194" t="str">
        <f t="shared" ref="BP194:BP257" si="1482">IF($AB194="","",TRIM(IFERROR(RIGHT($AB194,LEN($AB194)-FIND("§",SUBSTITUTE($AB194," ","§",LEN($AB194)-LEN(SUBSTITUTE($AB194," ",""))))),"")))</f>
        <v/>
      </c>
      <c r="BQ194" t="str">
        <f t="shared" ref="BQ194:BQ257" si="1483">IF($BP194="","",IFERROR(VALUE(LEFT($BP194,FIND("-",$BP194)-1)),""))</f>
        <v/>
      </c>
      <c r="BR194" t="str">
        <f t="shared" ref="BR194:BR257" si="1484">IF($BP194="","",IFERROR(VALUE(MID($BP194,FIND("-",$BP194)+1,99)),""))</f>
        <v/>
      </c>
      <c r="BS194" t="str">
        <f t="shared" ref="BS194:BS257" si="1485">IF($AE194="","",TRIM(IFERROR(RIGHT($AE194,LEN($AE194)-FIND("§",SUBSTITUTE($AE194," ","§",LEN($AE194)-LEN(SUBSTITUTE($AE194," ",""))))),"")))</f>
        <v/>
      </c>
      <c r="BT194" t="str">
        <f t="shared" ref="BT194:BT257" si="1486">IF($BS194="","",IFERROR(VALUE(LEFT($BS194,FIND("-",$BS194)-1)),""))</f>
        <v/>
      </c>
      <c r="BU194" t="str">
        <f t="shared" ref="BU194:BU257" si="1487">IF($BS194="","",IFERROR(VALUE(MID($BS194,FIND("-",$BS194)+1,99)),""))</f>
        <v/>
      </c>
      <c r="BV194" t="str">
        <f t="shared" ref="BV194:BV257" si="1488">IF($AH194="","",TRIM(IFERROR(RIGHT($AH194,LEN($AH194)-FIND("§",SUBSTITUTE($AH194," ","§",LEN($AH194)-LEN(SUBSTITUTE($AH194," ",""))))),"")))</f>
        <v/>
      </c>
      <c r="BW194" t="str">
        <f t="shared" ref="BW194:BW257" si="1489">IF($BV194="","",IFERROR(VALUE(LEFT($BV194,FIND("-",$BV194)-1)),""))</f>
        <v/>
      </c>
      <c r="BX194" t="str">
        <f t="shared" ref="BX194:BX257" si="1490">IF($BV194="","",IFERROR(VALUE(MID($BV194,FIND("-",$BV194)+1,99)),""))</f>
        <v/>
      </c>
      <c r="BY194" t="str">
        <f t="shared" ref="BY194:BY257" si="1491">IF($AK194="","",TRIM(IFERROR(RIGHT($AK194,LEN($AK194)-FIND("§",SUBSTITUTE($AK194," ","§",LEN($AK194)-LEN(SUBSTITUTE($AK194," ",""))))),"")))</f>
        <v/>
      </c>
      <c r="BZ194" t="str">
        <f t="shared" ref="BZ194:BZ257" si="1492">IF($BY194="","",IFERROR(VALUE(LEFT($BY194,FIND("-",$BY194)-1)),""))</f>
        <v/>
      </c>
      <c r="CA194" t="str">
        <f t="shared" ref="CA194:CA257" si="1493">IF($BY194="","",IFERROR(VALUE(MID($BY194,FIND("-",$BY194)+1,99)),""))</f>
        <v/>
      </c>
      <c r="CB194" t="str">
        <f t="shared" ref="CB194:CB257" si="1494">IF($AN194="","",TRIM(IFERROR(RIGHT($AN194,LEN($AN194)-FIND("§",SUBSTITUTE($AN194," ","§",LEN($AN194)-LEN(SUBSTITUTE($AN194," ",""))))),"")))</f>
        <v/>
      </c>
      <c r="CC194" t="str">
        <f t="shared" ref="CC194:CC257" si="1495">IF($CB194="","",IFERROR(VALUE(LEFT($CB194,FIND("-",$CB194)-1)),""))</f>
        <v/>
      </c>
      <c r="CD194" t="str">
        <f t="shared" ref="CD194:CD257" si="1496">IF($CB194="","",IFERROR(VALUE(MID($CB194,FIND("-",$CB194)+1,99)),""))</f>
        <v/>
      </c>
      <c r="CE194" t="str">
        <f t="shared" ref="CE194:CE257" si="1497">IF($AQ194="","",TRIM(IFERROR(RIGHT($AQ194,LEN($AQ194)-FIND("§",SUBSTITUTE($AQ194," ","§",LEN($AQ194)-LEN(SUBSTITUTE($AQ194," ",""))))),"")))</f>
        <v/>
      </c>
      <c r="CF194" t="str">
        <f t="shared" ref="CF194:CF257" si="1498">IF($CE194="","",IFERROR(VALUE(LEFT($CE194,FIND("-",$CE194)-1)),""))</f>
        <v/>
      </c>
      <c r="CG194" t="str">
        <f t="shared" ref="CG194:CG257" si="1499">IF($CE194="","",IFERROR(VALUE(MID($CE194,FIND("-",$CE194)+1,99)),""))</f>
        <v/>
      </c>
      <c r="CH194" t="str">
        <f t="shared" si="1410"/>
        <v/>
      </c>
      <c r="CI194" t="str">
        <f t="shared" si="1411"/>
        <v/>
      </c>
      <c r="CJ194" t="str">
        <f>IF($CI194="","",IF(OR($DW194="",$DX194=""),"ONZEKER",IF(OR($CF194="",$CG194=""),"ONZEKER",IF(AND($DW194=$CF194+1,$DX194=$CG194),IF(OR(COUNTIF(#REF!,$B194)&gt;0,COUNTIF(#REF!,$B194)=0),"SKIP",IF(COUNTIFS(#REF!,$B194,#REF!,$CI194)&gt;0,"OK","ONBEKEND")),IF(AND($DW194=$CF194,$DX194=$CG194+1),IF(OR(COUNTIF(#REF!,$D194)&gt;0,COUNTIF(#REF!,$D194)=0),"SKIP",IF(COUNTIFS(#REF!,$D194,#REF!,$CI194)&gt;0,"OK","ONBEKEND")),"ONZEKER")))))</f>
        <v/>
      </c>
      <c r="CK194" t="str">
        <f t="shared" si="1412"/>
        <v/>
      </c>
      <c r="CL194" t="str">
        <f t="shared" si="1413"/>
        <v/>
      </c>
      <c r="CM194" t="str">
        <f>IF($CL194="","",IF(OR($DZ194="",$EA194=""),"ONZEKER",IF(OR($DW194="",$DX194=""),"ONZEKER",IF(AND($DZ194=$DW194+1,$EA194=$DX194),IF(OR(COUNTIF(#REF!,$B194)&gt;0,COUNTIF(#REF!,$B194)=0),"SKIP",IF(COUNTIFS(#REF!,$B194,#REF!,$CL194)&gt;0,"OK","ONBEKEND")),IF(AND($DZ194=$DW194,$EA194=$DX194+1),IF(OR(COUNTIF(#REF!,$D194)&gt;0,COUNTIF(#REF!,$D194)=0),"SKIP",IF(COUNTIFS(#REF!,$D194,#REF!,$CL194)&gt;0,"OK","ONBEKEND")),"ONZEKER")))))</f>
        <v/>
      </c>
      <c r="CN194" t="str">
        <f t="shared" si="1414"/>
        <v/>
      </c>
      <c r="CO194" t="str">
        <f t="shared" si="1415"/>
        <v/>
      </c>
      <c r="CP194" t="str">
        <f>IF($CO194="","",IF(OR($EC194="",$ED194=""),"ONZEKER",IF(OR($DZ194="",$EA194=""),"ONZEKER",IF(AND($EC194=$DZ194+1,$ED194=$EA194),IF(OR(COUNTIF(#REF!,$B194)&gt;0,COUNTIF(#REF!,$B194)=0),"SKIP",IF(COUNTIFS(#REF!,$B194,#REF!,$CO194)&gt;0,"OK","ONBEKEND")),IF(AND($EC194=$DZ194,$ED194=$EA194+1),IF(OR(COUNTIF(#REF!,$D194)&gt;0,COUNTIF(#REF!,$D194)=0),"SKIP",IF(COUNTIFS(#REF!,$D194,#REF!,$CO194)&gt;0,"OK","ONBEKEND")),"ONZEKER")))))</f>
        <v/>
      </c>
      <c r="CQ194" t="str">
        <f t="shared" si="1416"/>
        <v/>
      </c>
      <c r="CR194" t="str">
        <f t="shared" si="1417"/>
        <v/>
      </c>
      <c r="CS194" t="str">
        <f>IF($CR194="","",IF(OR($EF194="",$EG194=""),"ONZEKER",IF(OR($EC194="",$ED194=""),"ONZEKER",IF(AND($EF194=$EC194+1,$EG194=$ED194),IF(OR(COUNTIF(#REF!,$B194)&gt;0,COUNTIF(#REF!,$B194)=0),"SKIP",IF(COUNTIFS(#REF!,$B194,#REF!,$CR194)&gt;0,"OK","ONBEKEND")),IF(AND($EF194=$EC194,$EG194=$ED194+1),IF(OR(COUNTIF(#REF!,$D194)&gt;0,COUNTIF(#REF!,$D194)=0),"SKIP",IF(COUNTIFS(#REF!,$D194,#REF!,$CR194)&gt;0,"OK","ONBEKEND")),"ONZEKER")))))</f>
        <v/>
      </c>
      <c r="CT194" t="str">
        <f t="shared" si="1418"/>
        <v/>
      </c>
      <c r="CU194" t="str">
        <f t="shared" si="1419"/>
        <v/>
      </c>
      <c r="CV194" t="str">
        <f>IF($CU194="","",IF(OR($EI194="",$EJ194=""),"ONZEKER",IF(OR($EF194="",$EG194=""),"ONZEKER",IF(AND($EI194=$EF194+1,$EJ194=$EG194),IF(OR(COUNTIF(#REF!,$B194)&gt;0,COUNTIF(#REF!,$B194)=0),"SKIP",IF(COUNTIFS(#REF!,$B194,#REF!,$CU194)&gt;0,"OK","ONBEKEND")),IF(AND($EI194=$EF194,$EJ194=$EG194+1),IF(OR(COUNTIF(#REF!,$D194)&gt;0,COUNTIF(#REF!,$D194)=0),"SKIP",IF(COUNTIFS(#REF!,$D194,#REF!,$CU194)&gt;0,"OK","ONBEKEND")),"ONZEKER")))))</f>
        <v/>
      </c>
      <c r="CW194" t="str">
        <f t="shared" si="1420"/>
        <v/>
      </c>
      <c r="CX194" t="str">
        <f t="shared" si="1421"/>
        <v/>
      </c>
      <c r="CY194" t="str">
        <f>IF($CX194="","",IF(OR($EL194="",$EM194=""),"ONZEKER",IF(OR($EI194="",$EJ194=""),"ONZEKER",IF(AND($EL194=$EI194+1,$EM194=$EJ194),IF(OR(COUNTIF(#REF!,$B194)&gt;0,COUNTIF(#REF!,$B194)=0),"SKIP",IF(COUNTIFS(#REF!,$B194,#REF!,$CX194)&gt;0,"OK","ONBEKEND")),IF(AND($EL194=$EI194,$EM194=$EJ194+1),IF(OR(COUNTIF(#REF!,$D194)&gt;0,COUNTIF(#REF!,$D194)=0),"SKIP",IF(COUNTIFS(#REF!,$D194,#REF!,$CX194)&gt;0,"OK","ONBEKEND")),"ONZEKER")))))</f>
        <v/>
      </c>
      <c r="CZ194" t="str">
        <f t="shared" si="1422"/>
        <v/>
      </c>
      <c r="DA194" t="str">
        <f t="shared" si="1423"/>
        <v/>
      </c>
      <c r="DB194" t="str">
        <f>IF($DA194="","",IF(OR($EO194="",$EP194=""),"ONZEKER",IF(OR($EL194="",$EM194=""),"ONZEKER",IF(AND($EO194=$EL194+1,$EP194=$EM194),IF(OR(COUNTIF(#REF!,$B194)&gt;0,COUNTIF(#REF!,$B194)=0),"SKIP",IF(COUNTIFS(#REF!,$B194,#REF!,$DA194)&gt;0,"OK","ONBEKEND")),IF(AND($EO194=$EL194,$EP194=$EM194+1),IF(OR(COUNTIF(#REF!,$D194)&gt;0,COUNTIF(#REF!,$D194)=0),"SKIP",IF(COUNTIFS(#REF!,$D194,#REF!,$DA194)&gt;0,"OK","ONBEKEND")),"ONZEKER")))))</f>
        <v/>
      </c>
      <c r="DC194" t="str">
        <f t="shared" si="1424"/>
        <v/>
      </c>
      <c r="DD194" t="str">
        <f t="shared" si="1425"/>
        <v/>
      </c>
      <c r="DE194" t="str">
        <f>IF($DD194="","",IF(OR($ER194="",$ES194=""),"ONZEKER",IF(OR($EO194="",$EP194=""),"ONZEKER",IF(AND($ER194=$EO194+1,$ES194=$EP194),IF(OR(COUNTIF(#REF!,$B194)&gt;0,COUNTIF(#REF!,$B194)=0),"SKIP",IF(COUNTIFS(#REF!,$B194,#REF!,$DD194)&gt;0,"OK","ONBEKEND")),IF(AND($ER194=$EO194,$ES194=$EP194+1),IF(OR(COUNTIF(#REF!,$D194)&gt;0,COUNTIF(#REF!,$D194)=0),"SKIP",IF(COUNTIFS(#REF!,$D194,#REF!,$DD194)&gt;0,"OK","ONBEKEND")),"ONZEKER")))))</f>
        <v/>
      </c>
      <c r="DF194" t="str">
        <f t="shared" si="1426"/>
        <v/>
      </c>
      <c r="DG194" t="str">
        <f t="shared" si="1427"/>
        <v/>
      </c>
      <c r="DH194" t="str">
        <f>IF($DG194="","",IF(OR($EU194="",$EV194=""),"ONZEKER",IF(OR($ER194="",$ES194=""),"ONZEKER",IF(AND($EU194=$ER194+1,$EV194=$ES194),IF(OR(COUNTIF(#REF!,$B194)&gt;0,COUNTIF(#REF!,$B194)=0),"SKIP",IF(COUNTIFS(#REF!,$B194,#REF!,$DG194)&gt;0,"OK","ONBEKEND")),IF(AND($EU194=$ER194,$EV194=$ES194+1),IF(OR(COUNTIF(#REF!,$D194)&gt;0,COUNTIF(#REF!,$D194)=0),"SKIP",IF(COUNTIFS(#REF!,$D194,#REF!,$DG194)&gt;0,"OK","ONBEKEND")),"ONZEKER")))))</f>
        <v/>
      </c>
      <c r="DI194" t="str">
        <f t="shared" si="1428"/>
        <v/>
      </c>
      <c r="DJ194" t="str">
        <f t="shared" si="1429"/>
        <v/>
      </c>
      <c r="DK194" t="str">
        <f>IF($DJ194="","",IF(OR($EX194="",$EY194=""),"ONZEKER",IF(OR($EU194="",$EV194=""),"ONZEKER",IF(AND($EX194=$EU194+1,$EY194=$EV194),IF(OR(COUNTIF(#REF!,$B194)&gt;0,COUNTIF(#REF!,$B194)=0),"SKIP",IF(COUNTIFS(#REF!,$B194,#REF!,$DJ194)&gt;0,"OK","ONBEKEND")),IF(AND($EX194=$EU194,$EY194=$EV194+1),IF(OR(COUNTIF(#REF!,$D194)&gt;0,COUNTIF(#REF!,$D194)=0),"SKIP",IF(COUNTIFS(#REF!,$D194,#REF!,$DJ194)&gt;0,"OK","ONBEKEND")),"ONZEKER")))))</f>
        <v/>
      </c>
      <c r="DL194" t="str">
        <f t="shared" si="1430"/>
        <v/>
      </c>
      <c r="DM194" t="str">
        <f t="shared" si="1431"/>
        <v/>
      </c>
      <c r="DN194" t="str">
        <f t="shared" si="1432"/>
        <v/>
      </c>
      <c r="DO194" t="str">
        <f t="shared" si="1433"/>
        <v/>
      </c>
      <c r="DP194" t="str">
        <f t="shared" si="1434"/>
        <v/>
      </c>
      <c r="DQ194" t="str">
        <f t="shared" si="1435"/>
        <v/>
      </c>
      <c r="DR194" t="str">
        <f t="shared" si="1436"/>
        <v/>
      </c>
      <c r="DS194" t="str">
        <f t="shared" si="1437"/>
        <v/>
      </c>
      <c r="DT194" t="str">
        <f t="shared" si="1438"/>
        <v/>
      </c>
      <c r="DU194" t="str">
        <f t="shared" si="1439"/>
        <v/>
      </c>
      <c r="DV194" t="str">
        <f t="shared" si="1440"/>
        <v/>
      </c>
      <c r="DW194" t="str">
        <f t="shared" si="1441"/>
        <v/>
      </c>
      <c r="DX194" t="str">
        <f t="shared" si="1442"/>
        <v/>
      </c>
      <c r="DY194" t="str">
        <f t="shared" si="1443"/>
        <v/>
      </c>
      <c r="DZ194" t="str">
        <f t="shared" si="1444"/>
        <v/>
      </c>
      <c r="EA194" t="str">
        <f t="shared" si="1445"/>
        <v/>
      </c>
      <c r="EB194" t="str">
        <f t="shared" si="1446"/>
        <v/>
      </c>
      <c r="EC194" t="str">
        <f t="shared" si="1447"/>
        <v/>
      </c>
      <c r="ED194" t="str">
        <f t="shared" si="1448"/>
        <v/>
      </c>
      <c r="EE194" t="str">
        <f t="shared" si="1449"/>
        <v/>
      </c>
      <c r="EF194" t="str">
        <f t="shared" si="1450"/>
        <v/>
      </c>
      <c r="EG194" t="str">
        <f t="shared" si="1451"/>
        <v/>
      </c>
      <c r="EH194" t="str">
        <f t="shared" si="1452"/>
        <v/>
      </c>
      <c r="EI194" t="str">
        <f t="shared" si="1453"/>
        <v/>
      </c>
      <c r="EJ194" t="str">
        <f t="shared" si="1454"/>
        <v/>
      </c>
      <c r="EK194" t="str">
        <f t="shared" si="1455"/>
        <v/>
      </c>
      <c r="EL194" t="str">
        <f t="shared" si="1456"/>
        <v/>
      </c>
      <c r="EM194" t="str">
        <f t="shared" si="1457"/>
        <v/>
      </c>
      <c r="EN194" t="str">
        <f t="shared" si="1458"/>
        <v/>
      </c>
      <c r="EO194" t="str">
        <f t="shared" si="1459"/>
        <v/>
      </c>
      <c r="EP194" t="str">
        <f t="shared" si="1460"/>
        <v/>
      </c>
      <c r="EQ194" t="str">
        <f t="shared" si="1461"/>
        <v/>
      </c>
      <c r="ER194" t="str">
        <f t="shared" si="1462"/>
        <v/>
      </c>
      <c r="ES194" t="str">
        <f t="shared" si="1463"/>
        <v/>
      </c>
      <c r="ET194" t="str">
        <f t="shared" si="1464"/>
        <v/>
      </c>
      <c r="EU194" t="str">
        <f t="shared" si="1465"/>
        <v/>
      </c>
      <c r="EV194" t="str">
        <f t="shared" si="1466"/>
        <v/>
      </c>
      <c r="EW194" t="str">
        <f t="shared" si="1467"/>
        <v/>
      </c>
      <c r="EX194" t="str">
        <f t="shared" si="1468"/>
        <v/>
      </c>
      <c r="EY194" t="str">
        <f t="shared" si="1469"/>
        <v/>
      </c>
    </row>
    <row r="195" spans="1:155" ht="13.9" customHeight="1" x14ac:dyDescent="0.25">
      <c r="M195" s="3" t="str">
        <f>IF($L195="","",IF($L195="DOELPUNTENMAKERS","",IF(AND(COUNTIF(#REF!,$B195)=0,COUNTIF(#REF!,$D195)=0),"OK",IF($O195&gt;20,"LET OP: meer dan 20 items (controle onvolledig)",IF((COUNTIF($R195:$AS195,"ONZEKER")+COUNTIF($CJ195:$DK195,"ONZEKER"))&gt;0,"LET OP: scoreverloop onduidelijk (controle beperkt)",IF((IF($AT195&lt;&gt;"",$AT195&amp;", ","")&amp;IF($AU195&lt;&gt;"",$AU195&amp;", ","")&amp;IF($AV195&lt;&gt;"",$AV195&amp;", ","")&amp;IF($AW195&lt;&gt;"",$AW195&amp;", ","")&amp;IF($AX195&lt;&gt;"",$AX195&amp;", ","")&amp;IF($AY195&lt;&gt;"",$AY195&amp;", ","")&amp;IF($AZ195&lt;&gt;"",$AZ195&amp;", ","")&amp;IF($BA195&lt;&gt;"",$BA195&amp;", ","")&amp;IF($BB195&lt;&gt;"",$BB195&amp;", ","")&amp;IF($BC195&lt;&gt;"",$BC195&amp;", ","")&amp;IF($DL195&lt;&gt;"",$DL195&amp;", ","")&amp;IF($DM195&lt;&gt;"",$DM195&amp;", ","")&amp;IF($DN195&lt;&gt;"",$DN195&amp;", ","")&amp;IF($DO195&lt;&gt;"",$DO195&amp;", ","")&amp;IF($DP195&lt;&gt;"",$DP195&amp;", ","")&amp;IF($DQ195&lt;&gt;"",$DQ195&amp;", ","")&amp;IF($DR195&lt;&gt;"",$DR195&amp;", ","")&amp;IF($DS195&lt;&gt;"",$DS195&amp;", ","")&amp;IF($DT195&lt;&gt;"",$DT195&amp;", ","")&amp;IF($DU195&lt;&gt;"",$DU195&amp;", ",""))="","OK","Onbekend: "&amp;LEFT((IF($AT195&lt;&gt;"",$AT195&amp;", ","")&amp;IF($AU195&lt;&gt;"",$AU195&amp;", ","")&amp;IF($AV195&lt;&gt;"",$AV195&amp;", ","")&amp;IF($AW195&lt;&gt;"",$AW195&amp;", ","")&amp;IF($AX195&lt;&gt;"",$AX195&amp;", ","")&amp;IF($AY195&lt;&gt;"",$AY195&amp;", ","")&amp;IF($AZ195&lt;&gt;"",$AZ195&amp;", ","")&amp;IF($BA195&lt;&gt;"",$BA195&amp;", ","")&amp;IF($BB195&lt;&gt;"",$BB195&amp;", ","")&amp;IF($BC195&lt;&gt;"",$BC195&amp;", ","")&amp;IF($DL195&lt;&gt;"",$DL195&amp;", ","")&amp;IF($DM195&lt;&gt;"",$DM195&amp;", ","")&amp;IF($DN195&lt;&gt;"",$DN195&amp;", ","")&amp;IF($DO195&lt;&gt;"",$DO195&amp;", ","")&amp;IF($DP195&lt;&gt;"",$DP195&amp;", ","")&amp;IF($DQ195&lt;&gt;"",$DQ195&amp;", ","")&amp;IF($DR195&lt;&gt;"",$DR195&amp;", ","")&amp;IF($DS195&lt;&gt;"",$DS195&amp;", ","")&amp;IF($DT195&lt;&gt;"",$DT195&amp;", ","")&amp;IF($DU195&lt;&gt;"",$DU195&amp;", ","")),LEN((IF($AT195&lt;&gt;"",$AT195&amp;", ","")&amp;IF($AU195&lt;&gt;"",$AU195&amp;", ","")&amp;IF($AV195&lt;&gt;"",$AV195&amp;", ","")&amp;IF($AW195&lt;&gt;"",$AW195&amp;", ","")&amp;IF($AX195&lt;&gt;"",$AX195&amp;", ","")&amp;IF($AY195&lt;&gt;"",$AY195&amp;", ","")&amp;IF($AZ195&lt;&gt;"",$AZ195&amp;", ","")&amp;IF($BA195&lt;&gt;"",$BA195&amp;", ","")&amp;IF($BB195&lt;&gt;"",$BB195&amp;", ","")&amp;IF($BC195&lt;&gt;"",$BC195&amp;", ","")&amp;IF($DL195&lt;&gt;"",$DL195&amp;", ","")&amp;IF($DM195&lt;&gt;"",$DM195&amp;", ","")&amp;IF($DN195&lt;&gt;"",$DN195&amp;", ","")&amp;IF($DO195&lt;&gt;"",$DO195&amp;", ","")&amp;IF($DP195&lt;&gt;"",$DP195&amp;", ","")&amp;IF($DQ195&lt;&gt;"",$DQ195&amp;", ","")&amp;IF($DR195&lt;&gt;"",$DR195&amp;", ","")&amp;IF($DS195&lt;&gt;"",$DS195&amp;", ","")&amp;IF($DT195&lt;&gt;"",$DT195&amp;", ","")&amp;IF($DU195&lt;&gt;"",$DU195&amp;", ","")))-2)))))))</f>
        <v/>
      </c>
      <c r="N195" t="str">
        <f t="shared" si="1378"/>
        <v/>
      </c>
      <c r="O195" t="str">
        <f t="shared" si="1379"/>
        <v/>
      </c>
      <c r="P195" t="str">
        <f t="shared" si="1380"/>
        <v/>
      </c>
      <c r="Q195" t="str">
        <f t="shared" si="1381"/>
        <v/>
      </c>
      <c r="R195" t="str">
        <f>IF($Q195="","",IF(OR($BE195="",$BF195=""),"ONZEKER",IF(AND($BE195=0+1,$BF195=0),IF(OR(COUNTIF(#REF!,$B195)&gt;0,COUNTIF(#REF!,$B195)=0),"SKIP",IF(COUNTIFS(#REF!,$B195,#REF!,$Q195)&gt;0,"OK","ONBEKEND")),IF(AND($BE195=0,$BF195=0+1),IF(OR(COUNTIF(#REF!,$D195)&gt;0,COUNTIF(#REF!,$D195)=0),"SKIP",IF(COUNTIFS(#REF!,$D195,#REF!,$Q195)&gt;0,"OK","ONBEKEND")),"ONZEKER"))))</f>
        <v/>
      </c>
      <c r="S195" t="str">
        <f t="shared" si="1382"/>
        <v/>
      </c>
      <c r="T195" t="str">
        <f t="shared" si="1383"/>
        <v/>
      </c>
      <c r="U195" t="str">
        <f>IF($T195="","",IF(OR($BH195="",$BI195=""),"ONZEKER",IF(OR($BE195="",$BF195=""),"ONZEKER",IF(AND($BH195=$BE195+1,$BI195=$BF195),IF(OR(COUNTIF(#REF!,$B195)&gt;0,COUNTIF(#REF!,$B195)=0),"SKIP",IF(COUNTIFS(#REF!,$B195,#REF!,$T195)&gt;0,"OK","ONBEKEND")),IF(AND($BH195=$BE195,$BI195=$BF195+1),IF(OR(COUNTIF(#REF!,$D195)&gt;0,COUNTIF(#REF!,$D195)=0),"SKIP",IF(COUNTIFS(#REF!,$D195,#REF!,$T195)&gt;0,"OK","ONBEKEND")),"ONZEKER")))))</f>
        <v/>
      </c>
      <c r="V195" t="str">
        <f t="shared" si="1384"/>
        <v/>
      </c>
      <c r="W195" t="str">
        <f t="shared" si="1385"/>
        <v/>
      </c>
      <c r="X195" t="str">
        <f>IF($W195="","",IF(OR($BK195="",$BL195=""),"ONZEKER",IF(OR($BH195="",$BI195=""),"ONZEKER",IF(AND($BK195=$BH195+1,$BL195=$BI195),IF(OR(COUNTIF(#REF!,$B195)&gt;0,COUNTIF(#REF!,$B195)=0),"SKIP",IF(COUNTIFS(#REF!,$B195,#REF!,$W195)&gt;0,"OK","ONBEKEND")),IF(AND($BK195=$BH195,$BL195=$BI195+1),IF(OR(COUNTIF(#REF!,$D195)&gt;0,COUNTIF(#REF!,$D195)=0),"SKIP",IF(COUNTIFS(#REF!,$D195,#REF!,$W195)&gt;0,"OK","ONBEKEND")),"ONZEKER")))))</f>
        <v/>
      </c>
      <c r="Y195" t="str">
        <f t="shared" si="1386"/>
        <v/>
      </c>
      <c r="Z195" t="str">
        <f t="shared" si="1387"/>
        <v/>
      </c>
      <c r="AA195" t="str">
        <f>IF($Z195="","",IF(OR($BN195="",$BO195=""),"ONZEKER",IF(OR($BK195="",$BL195=""),"ONZEKER",IF(AND($BN195=$BK195+1,$BO195=$BL195),IF(OR(COUNTIF(#REF!,$B195)&gt;0,COUNTIF(#REF!,$B195)=0),"SKIP",IF(COUNTIFS(#REF!,$B195,#REF!,$Z195)&gt;0,"OK","ONBEKEND")),IF(AND($BN195=$BK195,$BO195=$BL195+1),IF(OR(COUNTIF(#REF!,$D195)&gt;0,COUNTIF(#REF!,$D195)=0),"SKIP",IF(COUNTIFS(#REF!,$D195,#REF!,$Z195)&gt;0,"OK","ONBEKEND")),"ONZEKER")))))</f>
        <v/>
      </c>
      <c r="AB195" t="str">
        <f t="shared" si="1388"/>
        <v/>
      </c>
      <c r="AC195" t="str">
        <f t="shared" si="1389"/>
        <v/>
      </c>
      <c r="AD195" t="str">
        <f>IF($AC195="","",IF(OR($BQ195="",$BR195=""),"ONZEKER",IF(OR($BN195="",$BO195=""),"ONZEKER",IF(AND($BQ195=$BN195+1,$BR195=$BO195),IF(OR(COUNTIF(#REF!,$B195)&gt;0,COUNTIF(#REF!,$B195)=0),"SKIP",IF(COUNTIFS(#REF!,$B195,#REF!,$AC195)&gt;0,"OK","ONBEKEND")),IF(AND($BQ195=$BN195,$BR195=$BO195+1),IF(OR(COUNTIF(#REF!,$D195)&gt;0,COUNTIF(#REF!,$D195)=0),"SKIP",IF(COUNTIFS(#REF!,$D195,#REF!,$AC195)&gt;0,"OK","ONBEKEND")),"ONZEKER")))))</f>
        <v/>
      </c>
      <c r="AE195" t="str">
        <f t="shared" si="1390"/>
        <v/>
      </c>
      <c r="AF195" t="str">
        <f t="shared" si="1391"/>
        <v/>
      </c>
      <c r="AG195" t="str">
        <f>IF($AF195="","",IF(OR($BT195="",$BU195=""),"ONZEKER",IF(OR($BQ195="",$BR195=""),"ONZEKER",IF(AND($BT195=$BQ195+1,$BU195=$BR195),IF(OR(COUNTIF(#REF!,$B195)&gt;0,COUNTIF(#REF!,$B195)=0),"SKIP",IF(COUNTIFS(#REF!,$B195,#REF!,$AF195)&gt;0,"OK","ONBEKEND")),IF(AND($BT195=$BQ195,$BU195=$BR195+1),IF(OR(COUNTIF(#REF!,$D195)&gt;0,COUNTIF(#REF!,$D195)=0),"SKIP",IF(COUNTIFS(#REF!,$D195,#REF!,$AF195)&gt;0,"OK","ONBEKEND")),"ONZEKER")))))</f>
        <v/>
      </c>
      <c r="AH195" t="str">
        <f t="shared" si="1392"/>
        <v/>
      </c>
      <c r="AI195" t="str">
        <f t="shared" si="1393"/>
        <v/>
      </c>
      <c r="AJ195" t="str">
        <f>IF($AI195="","",IF(OR($BW195="",$BX195=""),"ONZEKER",IF(OR($BT195="",$BU195=""),"ONZEKER",IF(AND($BW195=$BT195+1,$BX195=$BU195),IF(OR(COUNTIF(#REF!,$B195)&gt;0,COUNTIF(#REF!,$B195)=0),"SKIP",IF(COUNTIFS(#REF!,$B195,#REF!,$AI195)&gt;0,"OK","ONBEKEND")),IF(AND($BW195=$BT195,$BX195=$BU195+1),IF(OR(COUNTIF(#REF!,$D195)&gt;0,COUNTIF(#REF!,$D195)=0),"SKIP",IF(COUNTIFS(#REF!,$D195,#REF!,$AI195)&gt;0,"OK","ONBEKEND")),"ONZEKER")))))</f>
        <v/>
      </c>
      <c r="AK195" t="str">
        <f t="shared" si="1394"/>
        <v/>
      </c>
      <c r="AL195" t="str">
        <f t="shared" si="1395"/>
        <v/>
      </c>
      <c r="AM195" t="str">
        <f>IF($AL195="","",IF(OR($BZ195="",$CA195=""),"ONZEKER",IF(OR($BW195="",$BX195=""),"ONZEKER",IF(AND($BZ195=$BW195+1,$CA195=$BX195),IF(OR(COUNTIF(#REF!,$B195)&gt;0,COUNTIF(#REF!,$B195)=0),"SKIP",IF(COUNTIFS(#REF!,$B195,#REF!,$AL195)&gt;0,"OK","ONBEKEND")),IF(AND($BZ195=$BW195,$CA195=$BX195+1),IF(OR(COUNTIF(#REF!,$D195)&gt;0,COUNTIF(#REF!,$D195)=0),"SKIP",IF(COUNTIFS(#REF!,$D195,#REF!,$AL195)&gt;0,"OK","ONBEKEND")),"ONZEKER")))))</f>
        <v/>
      </c>
      <c r="AN195" t="str">
        <f t="shared" si="1396"/>
        <v/>
      </c>
      <c r="AO195" t="str">
        <f t="shared" si="1397"/>
        <v/>
      </c>
      <c r="AP195" t="str">
        <f>IF($AO195="","",IF(OR($CC195="",$CD195=""),"ONZEKER",IF(OR($BZ195="",$CA195=""),"ONZEKER",IF(AND($CC195=$BZ195+1,$CD195=$CA195),IF(OR(COUNTIF(#REF!,$B195)&gt;0,COUNTIF(#REF!,$B195)=0),"SKIP",IF(COUNTIFS(#REF!,$B195,#REF!,$AO195)&gt;0,"OK","ONBEKEND")),IF(AND($CC195=$BZ195,$CD195=$CA195+1),IF(OR(COUNTIF(#REF!,$D195)&gt;0,COUNTIF(#REF!,$D195)=0),"SKIP",IF(COUNTIFS(#REF!,$D195,#REF!,$AO195)&gt;0,"OK","ONBEKEND")),"ONZEKER")))))</f>
        <v/>
      </c>
      <c r="AQ195" t="str">
        <f t="shared" si="1398"/>
        <v/>
      </c>
      <c r="AR195" t="str">
        <f t="shared" si="1399"/>
        <v/>
      </c>
      <c r="AS195" t="str">
        <f>IF($AR195="","",IF(OR($CF195="",$CG195=""),"ONZEKER",IF(OR($CC195="",$CD195=""),"ONZEKER",IF(AND($CF195=$CC195+1,$CG195=$CD195),IF(OR(COUNTIF(#REF!,$B195)&gt;0,COUNTIF(#REF!,$B195)=0),"SKIP",IF(COUNTIFS(#REF!,$B195,#REF!,$AR195)&gt;0,"OK","ONBEKEND")),IF(AND($CF195=$CC195,$CG195=$CD195+1),IF(OR(COUNTIF(#REF!,$D195)&gt;0,COUNTIF(#REF!,$D195)=0),"SKIP",IF(COUNTIFS(#REF!,$D195,#REF!,$AR195)&gt;0,"OK","ONBEKEND")),"ONZEKER")))))</f>
        <v/>
      </c>
      <c r="AT195" t="str">
        <f t="shared" si="1400"/>
        <v/>
      </c>
      <c r="AU195" t="str">
        <f t="shared" si="1401"/>
        <v/>
      </c>
      <c r="AV195" t="str">
        <f t="shared" si="1402"/>
        <v/>
      </c>
      <c r="AW195" t="str">
        <f t="shared" si="1403"/>
        <v/>
      </c>
      <c r="AX195" t="str">
        <f t="shared" si="1404"/>
        <v/>
      </c>
      <c r="AY195" t="str">
        <f t="shared" si="1405"/>
        <v/>
      </c>
      <c r="AZ195" t="str">
        <f t="shared" si="1406"/>
        <v/>
      </c>
      <c r="BA195" t="str">
        <f t="shared" si="1407"/>
        <v/>
      </c>
      <c r="BB195" t="str">
        <f t="shared" si="1408"/>
        <v/>
      </c>
      <c r="BC195" t="str">
        <f t="shared" si="1409"/>
        <v/>
      </c>
      <c r="BD195" t="str">
        <f t="shared" si="1470"/>
        <v/>
      </c>
      <c r="BE195" t="str">
        <f t="shared" si="1471"/>
        <v/>
      </c>
      <c r="BF195" t="str">
        <f t="shared" si="1472"/>
        <v/>
      </c>
      <c r="BG195" t="str">
        <f t="shared" si="1473"/>
        <v/>
      </c>
      <c r="BH195" t="str">
        <f t="shared" si="1474"/>
        <v/>
      </c>
      <c r="BI195" t="str">
        <f t="shared" si="1475"/>
        <v/>
      </c>
      <c r="BJ195" t="str">
        <f t="shared" si="1476"/>
        <v/>
      </c>
      <c r="BK195" t="str">
        <f t="shared" si="1477"/>
        <v/>
      </c>
      <c r="BL195" t="str">
        <f t="shared" si="1478"/>
        <v/>
      </c>
      <c r="BM195" t="str">
        <f t="shared" si="1479"/>
        <v/>
      </c>
      <c r="BN195" t="str">
        <f t="shared" si="1480"/>
        <v/>
      </c>
      <c r="BO195" t="str">
        <f t="shared" si="1481"/>
        <v/>
      </c>
      <c r="BP195" t="str">
        <f t="shared" si="1482"/>
        <v/>
      </c>
      <c r="BQ195" t="str">
        <f t="shared" si="1483"/>
        <v/>
      </c>
      <c r="BR195" t="str">
        <f t="shared" si="1484"/>
        <v/>
      </c>
      <c r="BS195" t="str">
        <f t="shared" si="1485"/>
        <v/>
      </c>
      <c r="BT195" t="str">
        <f t="shared" si="1486"/>
        <v/>
      </c>
      <c r="BU195" t="str">
        <f t="shared" si="1487"/>
        <v/>
      </c>
      <c r="BV195" t="str">
        <f t="shared" si="1488"/>
        <v/>
      </c>
      <c r="BW195" t="str">
        <f t="shared" si="1489"/>
        <v/>
      </c>
      <c r="BX195" t="str">
        <f t="shared" si="1490"/>
        <v/>
      </c>
      <c r="BY195" t="str">
        <f t="shared" si="1491"/>
        <v/>
      </c>
      <c r="BZ195" t="str">
        <f t="shared" si="1492"/>
        <v/>
      </c>
      <c r="CA195" t="str">
        <f t="shared" si="1493"/>
        <v/>
      </c>
      <c r="CB195" t="str">
        <f t="shared" si="1494"/>
        <v/>
      </c>
      <c r="CC195" t="str">
        <f t="shared" si="1495"/>
        <v/>
      </c>
      <c r="CD195" t="str">
        <f t="shared" si="1496"/>
        <v/>
      </c>
      <c r="CE195" t="str">
        <f t="shared" si="1497"/>
        <v/>
      </c>
      <c r="CF195" t="str">
        <f t="shared" si="1498"/>
        <v/>
      </c>
      <c r="CG195" t="str">
        <f t="shared" si="1499"/>
        <v/>
      </c>
      <c r="CH195" t="str">
        <f t="shared" si="1410"/>
        <v/>
      </c>
      <c r="CI195" t="str">
        <f t="shared" si="1411"/>
        <v/>
      </c>
      <c r="CJ195" t="str">
        <f>IF($CI195="","",IF(OR($DW195="",$DX195=""),"ONZEKER",IF(OR($CF195="",$CG195=""),"ONZEKER",IF(AND($DW195=$CF195+1,$DX195=$CG195),IF(OR(COUNTIF(#REF!,$B195)&gt;0,COUNTIF(#REF!,$B195)=0),"SKIP",IF(COUNTIFS(#REF!,$B195,#REF!,$CI195)&gt;0,"OK","ONBEKEND")),IF(AND($DW195=$CF195,$DX195=$CG195+1),IF(OR(COUNTIF(#REF!,$D195)&gt;0,COUNTIF(#REF!,$D195)=0),"SKIP",IF(COUNTIFS(#REF!,$D195,#REF!,$CI195)&gt;0,"OK","ONBEKEND")),"ONZEKER")))))</f>
        <v/>
      </c>
      <c r="CK195" t="str">
        <f t="shared" si="1412"/>
        <v/>
      </c>
      <c r="CL195" t="str">
        <f t="shared" si="1413"/>
        <v/>
      </c>
      <c r="CM195" t="str">
        <f>IF($CL195="","",IF(OR($DZ195="",$EA195=""),"ONZEKER",IF(OR($DW195="",$DX195=""),"ONZEKER",IF(AND($DZ195=$DW195+1,$EA195=$DX195),IF(OR(COUNTIF(#REF!,$B195)&gt;0,COUNTIF(#REF!,$B195)=0),"SKIP",IF(COUNTIFS(#REF!,$B195,#REF!,$CL195)&gt;0,"OK","ONBEKEND")),IF(AND($DZ195=$DW195,$EA195=$DX195+1),IF(OR(COUNTIF(#REF!,$D195)&gt;0,COUNTIF(#REF!,$D195)=0),"SKIP",IF(COUNTIFS(#REF!,$D195,#REF!,$CL195)&gt;0,"OK","ONBEKEND")),"ONZEKER")))))</f>
        <v/>
      </c>
      <c r="CN195" t="str">
        <f t="shared" si="1414"/>
        <v/>
      </c>
      <c r="CO195" t="str">
        <f t="shared" si="1415"/>
        <v/>
      </c>
      <c r="CP195" t="str">
        <f>IF($CO195="","",IF(OR($EC195="",$ED195=""),"ONZEKER",IF(OR($DZ195="",$EA195=""),"ONZEKER",IF(AND($EC195=$DZ195+1,$ED195=$EA195),IF(OR(COUNTIF(#REF!,$B195)&gt;0,COUNTIF(#REF!,$B195)=0),"SKIP",IF(COUNTIFS(#REF!,$B195,#REF!,$CO195)&gt;0,"OK","ONBEKEND")),IF(AND($EC195=$DZ195,$ED195=$EA195+1),IF(OR(COUNTIF(#REF!,$D195)&gt;0,COUNTIF(#REF!,$D195)=0),"SKIP",IF(COUNTIFS(#REF!,$D195,#REF!,$CO195)&gt;0,"OK","ONBEKEND")),"ONZEKER")))))</f>
        <v/>
      </c>
      <c r="CQ195" t="str">
        <f t="shared" si="1416"/>
        <v/>
      </c>
      <c r="CR195" t="str">
        <f t="shared" si="1417"/>
        <v/>
      </c>
      <c r="CS195" t="str">
        <f>IF($CR195="","",IF(OR($EF195="",$EG195=""),"ONZEKER",IF(OR($EC195="",$ED195=""),"ONZEKER",IF(AND($EF195=$EC195+1,$EG195=$ED195),IF(OR(COUNTIF(#REF!,$B195)&gt;0,COUNTIF(#REF!,$B195)=0),"SKIP",IF(COUNTIFS(#REF!,$B195,#REF!,$CR195)&gt;0,"OK","ONBEKEND")),IF(AND($EF195=$EC195,$EG195=$ED195+1),IF(OR(COUNTIF(#REF!,$D195)&gt;0,COUNTIF(#REF!,$D195)=0),"SKIP",IF(COUNTIFS(#REF!,$D195,#REF!,$CR195)&gt;0,"OK","ONBEKEND")),"ONZEKER")))))</f>
        <v/>
      </c>
      <c r="CT195" t="str">
        <f t="shared" si="1418"/>
        <v/>
      </c>
      <c r="CU195" t="str">
        <f t="shared" si="1419"/>
        <v/>
      </c>
      <c r="CV195" t="str">
        <f>IF($CU195="","",IF(OR($EI195="",$EJ195=""),"ONZEKER",IF(OR($EF195="",$EG195=""),"ONZEKER",IF(AND($EI195=$EF195+1,$EJ195=$EG195),IF(OR(COUNTIF(#REF!,$B195)&gt;0,COUNTIF(#REF!,$B195)=0),"SKIP",IF(COUNTIFS(#REF!,$B195,#REF!,$CU195)&gt;0,"OK","ONBEKEND")),IF(AND($EI195=$EF195,$EJ195=$EG195+1),IF(OR(COUNTIF(#REF!,$D195)&gt;0,COUNTIF(#REF!,$D195)=0),"SKIP",IF(COUNTIFS(#REF!,$D195,#REF!,$CU195)&gt;0,"OK","ONBEKEND")),"ONZEKER")))))</f>
        <v/>
      </c>
      <c r="CW195" t="str">
        <f t="shared" si="1420"/>
        <v/>
      </c>
      <c r="CX195" t="str">
        <f t="shared" si="1421"/>
        <v/>
      </c>
      <c r="CY195" t="str">
        <f>IF($CX195="","",IF(OR($EL195="",$EM195=""),"ONZEKER",IF(OR($EI195="",$EJ195=""),"ONZEKER",IF(AND($EL195=$EI195+1,$EM195=$EJ195),IF(OR(COUNTIF(#REF!,$B195)&gt;0,COUNTIF(#REF!,$B195)=0),"SKIP",IF(COUNTIFS(#REF!,$B195,#REF!,$CX195)&gt;0,"OK","ONBEKEND")),IF(AND($EL195=$EI195,$EM195=$EJ195+1),IF(OR(COUNTIF(#REF!,$D195)&gt;0,COUNTIF(#REF!,$D195)=0),"SKIP",IF(COUNTIFS(#REF!,$D195,#REF!,$CX195)&gt;0,"OK","ONBEKEND")),"ONZEKER")))))</f>
        <v/>
      </c>
      <c r="CZ195" t="str">
        <f t="shared" si="1422"/>
        <v/>
      </c>
      <c r="DA195" t="str">
        <f t="shared" si="1423"/>
        <v/>
      </c>
      <c r="DB195" t="str">
        <f>IF($DA195="","",IF(OR($EO195="",$EP195=""),"ONZEKER",IF(OR($EL195="",$EM195=""),"ONZEKER",IF(AND($EO195=$EL195+1,$EP195=$EM195),IF(OR(COUNTIF(#REF!,$B195)&gt;0,COUNTIF(#REF!,$B195)=0),"SKIP",IF(COUNTIFS(#REF!,$B195,#REF!,$DA195)&gt;0,"OK","ONBEKEND")),IF(AND($EO195=$EL195,$EP195=$EM195+1),IF(OR(COUNTIF(#REF!,$D195)&gt;0,COUNTIF(#REF!,$D195)=0),"SKIP",IF(COUNTIFS(#REF!,$D195,#REF!,$DA195)&gt;0,"OK","ONBEKEND")),"ONZEKER")))))</f>
        <v/>
      </c>
      <c r="DC195" t="str">
        <f t="shared" si="1424"/>
        <v/>
      </c>
      <c r="DD195" t="str">
        <f t="shared" si="1425"/>
        <v/>
      </c>
      <c r="DE195" t="str">
        <f>IF($DD195="","",IF(OR($ER195="",$ES195=""),"ONZEKER",IF(OR($EO195="",$EP195=""),"ONZEKER",IF(AND($ER195=$EO195+1,$ES195=$EP195),IF(OR(COUNTIF(#REF!,$B195)&gt;0,COUNTIF(#REF!,$B195)=0),"SKIP",IF(COUNTIFS(#REF!,$B195,#REF!,$DD195)&gt;0,"OK","ONBEKEND")),IF(AND($ER195=$EO195,$ES195=$EP195+1),IF(OR(COUNTIF(#REF!,$D195)&gt;0,COUNTIF(#REF!,$D195)=0),"SKIP",IF(COUNTIFS(#REF!,$D195,#REF!,$DD195)&gt;0,"OK","ONBEKEND")),"ONZEKER")))))</f>
        <v/>
      </c>
      <c r="DF195" t="str">
        <f t="shared" si="1426"/>
        <v/>
      </c>
      <c r="DG195" t="str">
        <f t="shared" si="1427"/>
        <v/>
      </c>
      <c r="DH195" t="str">
        <f>IF($DG195="","",IF(OR($EU195="",$EV195=""),"ONZEKER",IF(OR($ER195="",$ES195=""),"ONZEKER",IF(AND($EU195=$ER195+1,$EV195=$ES195),IF(OR(COUNTIF(#REF!,$B195)&gt;0,COUNTIF(#REF!,$B195)=0),"SKIP",IF(COUNTIFS(#REF!,$B195,#REF!,$DG195)&gt;0,"OK","ONBEKEND")),IF(AND($EU195=$ER195,$EV195=$ES195+1),IF(OR(COUNTIF(#REF!,$D195)&gt;0,COUNTIF(#REF!,$D195)=0),"SKIP",IF(COUNTIFS(#REF!,$D195,#REF!,$DG195)&gt;0,"OK","ONBEKEND")),"ONZEKER")))))</f>
        <v/>
      </c>
      <c r="DI195" t="str">
        <f t="shared" si="1428"/>
        <v/>
      </c>
      <c r="DJ195" t="str">
        <f t="shared" si="1429"/>
        <v/>
      </c>
      <c r="DK195" t="str">
        <f>IF($DJ195="","",IF(OR($EX195="",$EY195=""),"ONZEKER",IF(OR($EU195="",$EV195=""),"ONZEKER",IF(AND($EX195=$EU195+1,$EY195=$EV195),IF(OR(COUNTIF(#REF!,$B195)&gt;0,COUNTIF(#REF!,$B195)=0),"SKIP",IF(COUNTIFS(#REF!,$B195,#REF!,$DJ195)&gt;0,"OK","ONBEKEND")),IF(AND($EX195=$EU195,$EY195=$EV195+1),IF(OR(COUNTIF(#REF!,$D195)&gt;0,COUNTIF(#REF!,$D195)=0),"SKIP",IF(COUNTIFS(#REF!,$D195,#REF!,$DJ195)&gt;0,"OK","ONBEKEND")),"ONZEKER")))))</f>
        <v/>
      </c>
      <c r="DL195" t="str">
        <f t="shared" si="1430"/>
        <v/>
      </c>
      <c r="DM195" t="str">
        <f t="shared" si="1431"/>
        <v/>
      </c>
      <c r="DN195" t="str">
        <f t="shared" si="1432"/>
        <v/>
      </c>
      <c r="DO195" t="str">
        <f t="shared" si="1433"/>
        <v/>
      </c>
      <c r="DP195" t="str">
        <f t="shared" si="1434"/>
        <v/>
      </c>
      <c r="DQ195" t="str">
        <f t="shared" si="1435"/>
        <v/>
      </c>
      <c r="DR195" t="str">
        <f t="shared" si="1436"/>
        <v/>
      </c>
      <c r="DS195" t="str">
        <f t="shared" si="1437"/>
        <v/>
      </c>
      <c r="DT195" t="str">
        <f t="shared" si="1438"/>
        <v/>
      </c>
      <c r="DU195" t="str">
        <f t="shared" si="1439"/>
        <v/>
      </c>
      <c r="DV195" t="str">
        <f t="shared" si="1440"/>
        <v/>
      </c>
      <c r="DW195" t="str">
        <f t="shared" si="1441"/>
        <v/>
      </c>
      <c r="DX195" t="str">
        <f t="shared" si="1442"/>
        <v/>
      </c>
      <c r="DY195" t="str">
        <f t="shared" si="1443"/>
        <v/>
      </c>
      <c r="DZ195" t="str">
        <f t="shared" si="1444"/>
        <v/>
      </c>
      <c r="EA195" t="str">
        <f t="shared" si="1445"/>
        <v/>
      </c>
      <c r="EB195" t="str">
        <f t="shared" si="1446"/>
        <v/>
      </c>
      <c r="EC195" t="str">
        <f t="shared" si="1447"/>
        <v/>
      </c>
      <c r="ED195" t="str">
        <f t="shared" si="1448"/>
        <v/>
      </c>
      <c r="EE195" t="str">
        <f t="shared" si="1449"/>
        <v/>
      </c>
      <c r="EF195" t="str">
        <f t="shared" si="1450"/>
        <v/>
      </c>
      <c r="EG195" t="str">
        <f t="shared" si="1451"/>
        <v/>
      </c>
      <c r="EH195" t="str">
        <f t="shared" si="1452"/>
        <v/>
      </c>
      <c r="EI195" t="str">
        <f t="shared" si="1453"/>
        <v/>
      </c>
      <c r="EJ195" t="str">
        <f t="shared" si="1454"/>
        <v/>
      </c>
      <c r="EK195" t="str">
        <f t="shared" si="1455"/>
        <v/>
      </c>
      <c r="EL195" t="str">
        <f t="shared" si="1456"/>
        <v/>
      </c>
      <c r="EM195" t="str">
        <f t="shared" si="1457"/>
        <v/>
      </c>
      <c r="EN195" t="str">
        <f t="shared" si="1458"/>
        <v/>
      </c>
      <c r="EO195" t="str">
        <f t="shared" si="1459"/>
        <v/>
      </c>
      <c r="EP195" t="str">
        <f t="shared" si="1460"/>
        <v/>
      </c>
      <c r="EQ195" t="str">
        <f t="shared" si="1461"/>
        <v/>
      </c>
      <c r="ER195" t="str">
        <f t="shared" si="1462"/>
        <v/>
      </c>
      <c r="ES195" t="str">
        <f t="shared" si="1463"/>
        <v/>
      </c>
      <c r="ET195" t="str">
        <f t="shared" si="1464"/>
        <v/>
      </c>
      <c r="EU195" t="str">
        <f t="shared" si="1465"/>
        <v/>
      </c>
      <c r="EV195" t="str">
        <f t="shared" si="1466"/>
        <v/>
      </c>
      <c r="EW195" t="str">
        <f t="shared" si="1467"/>
        <v/>
      </c>
      <c r="EX195" t="str">
        <f t="shared" si="1468"/>
        <v/>
      </c>
      <c r="EY195" t="str">
        <f t="shared" si="1469"/>
        <v/>
      </c>
    </row>
    <row r="196" spans="1:155" ht="13.9" customHeight="1" x14ac:dyDescent="0.25">
      <c r="A196" s="14"/>
      <c r="B196" s="15" t="s">
        <v>158</v>
      </c>
      <c r="C196" s="16"/>
      <c r="D196" s="16"/>
      <c r="E196" s="16"/>
      <c r="F196" s="31" t="s">
        <v>1</v>
      </c>
      <c r="G196" s="33"/>
      <c r="H196" s="33"/>
      <c r="I196" s="32" t="s">
        <v>2</v>
      </c>
      <c r="J196" s="33"/>
      <c r="K196" s="33"/>
      <c r="L196" s="6" t="s">
        <v>3</v>
      </c>
      <c r="M196" s="2" t="s">
        <v>4</v>
      </c>
      <c r="N196" s="2" t="s">
        <v>5</v>
      </c>
      <c r="O196" s="2" t="s">
        <v>6</v>
      </c>
      <c r="P196" s="2" t="s">
        <v>7</v>
      </c>
      <c r="Q196" s="2" t="s">
        <v>8</v>
      </c>
      <c r="R196" s="2" t="str">
        <f>IF($Q196="","",IF(OR($BE196="",$BF196=""),"ONZEKER",IF(AND($BE196=0+1,$BF196=0),IF(OR(COUNTIF(#REF!,$B196)&gt;0,COUNTIF(#REF!,$B196)=0),"SKIP",IF(COUNTIFS(#REF!,$B196,#REF!,$Q196)&gt;0,"OK","ONBEKEND")),IF(AND($BE196=0,$BF196=0+1),IF(OR(COUNTIF(#REF!,$D196)&gt;0,COUNTIF(#REF!,$D196)=0),"SKIP",IF(COUNTIFS(#REF!,$D196,#REF!,$Q196)&gt;0,"OK","ONBEKEND")),"ONZEKER"))))</f>
        <v>ONZEKER</v>
      </c>
      <c r="S196" s="2" t="s">
        <v>10</v>
      </c>
      <c r="T196" s="2" t="s">
        <v>11</v>
      </c>
      <c r="U196" s="2" t="str">
        <f>IF($T196="","",IF(OR($BH196="",$BI196=""),"ONZEKER",IF(OR($BE196="",$BF196=""),"ONZEKER",IF(AND($BH196=$BE196+1,$BI196=$BF196),IF(OR(COUNTIF(#REF!,$B196)&gt;0,COUNTIF(#REF!,$B196)=0),"SKIP",IF(COUNTIFS(#REF!,$B196,#REF!,$T196)&gt;0,"OK","ONBEKEND")),IF(AND($BH196=$BE196,$BI196=$BF196+1),IF(OR(COUNTIF(#REF!,$D196)&gt;0,COUNTIF(#REF!,$D196)=0),"SKIP",IF(COUNTIFS(#REF!,$D196,#REF!,$T196)&gt;0,"OK","ONBEKEND")),"ONZEKER")))))</f>
        <v>ONZEKER</v>
      </c>
      <c r="V196" s="2" t="s">
        <v>13</v>
      </c>
      <c r="W196" s="2" t="s">
        <v>14</v>
      </c>
      <c r="X196" s="2" t="str">
        <f>IF($W196="","",IF(OR($BK196="",$BL196=""),"ONZEKER",IF(OR($BH196="",$BI196=""),"ONZEKER",IF(AND($BK196=$BH196+1,$BL196=$BI196),IF(OR(COUNTIF(#REF!,$B196)&gt;0,COUNTIF(#REF!,$B196)=0),"SKIP",IF(COUNTIFS(#REF!,$B196,#REF!,$W196)&gt;0,"OK","ONBEKEND")),IF(AND($BK196=$BH196,$BL196=$BI196+1),IF(OR(COUNTIF(#REF!,$D196)&gt;0,COUNTIF(#REF!,$D196)=0),"SKIP",IF(COUNTIFS(#REF!,$D196,#REF!,$W196)&gt;0,"OK","ONBEKEND")),"ONZEKER")))))</f>
        <v>ONZEKER</v>
      </c>
      <c r="Y196" s="2" t="s">
        <v>16</v>
      </c>
      <c r="Z196" s="2" t="s">
        <v>17</v>
      </c>
      <c r="AA196" s="2" t="str">
        <f>IF($Z196="","",IF(OR($BN196="",$BO196=""),"ONZEKER",IF(OR($BK196="",$BL196=""),"ONZEKER",IF(AND($BN196=$BK196+1,$BO196=$BL196),IF(OR(COUNTIF(#REF!,$B196)&gt;0,COUNTIF(#REF!,$B196)=0),"SKIP",IF(COUNTIFS(#REF!,$B196,#REF!,$Z196)&gt;0,"OK","ONBEKEND")),IF(AND($BN196=$BK196,$BO196=$BL196+1),IF(OR(COUNTIF(#REF!,$D196)&gt;0,COUNTIF(#REF!,$D196)=0),"SKIP",IF(COUNTIFS(#REF!,$D196,#REF!,$Z196)&gt;0,"OK","ONBEKEND")),"ONZEKER")))))</f>
        <v>ONZEKER</v>
      </c>
      <c r="AB196" s="2" t="s">
        <v>19</v>
      </c>
      <c r="AC196" s="2" t="s">
        <v>20</v>
      </c>
      <c r="AD196" s="2" t="str">
        <f>IF($AC196="","",IF(OR($BQ196="",$BR196=""),"ONZEKER",IF(OR($BN196="",$BO196=""),"ONZEKER",IF(AND($BQ196=$BN196+1,$BR196=$BO196),IF(OR(COUNTIF(#REF!,$B196)&gt;0,COUNTIF(#REF!,$B196)=0),"SKIP",IF(COUNTIFS(#REF!,$B196,#REF!,$AC196)&gt;0,"OK","ONBEKEND")),IF(AND($BQ196=$BN196,$BR196=$BO196+1),IF(OR(COUNTIF(#REF!,$D196)&gt;0,COUNTIF(#REF!,$D196)=0),"SKIP",IF(COUNTIFS(#REF!,$D196,#REF!,$AC196)&gt;0,"OK","ONBEKEND")),"ONZEKER")))))</f>
        <v>ONZEKER</v>
      </c>
      <c r="AE196" s="2" t="s">
        <v>22</v>
      </c>
      <c r="AF196" s="2" t="s">
        <v>23</v>
      </c>
      <c r="AG196" s="2" t="str">
        <f>IF($AF196="","",IF(OR($BT196="",$BU196=""),"ONZEKER",IF(OR($BQ196="",$BR196=""),"ONZEKER",IF(AND($BT196=$BQ196+1,$BU196=$BR196),IF(OR(COUNTIF(#REF!,$B196)&gt;0,COUNTIF(#REF!,$B196)=0),"SKIP",IF(COUNTIFS(#REF!,$B196,#REF!,$AF196)&gt;0,"OK","ONBEKEND")),IF(AND($BT196=$BQ196,$BU196=$BR196+1),IF(OR(COUNTIF(#REF!,$D196)&gt;0,COUNTIF(#REF!,$D196)=0),"SKIP",IF(COUNTIFS(#REF!,$D196,#REF!,$AF196)&gt;0,"OK","ONBEKEND")),"ONZEKER")))))</f>
        <v>ONZEKER</v>
      </c>
      <c r="AH196" s="2" t="s">
        <v>25</v>
      </c>
      <c r="AI196" s="2" t="s">
        <v>26</v>
      </c>
      <c r="AJ196" s="2" t="str">
        <f>IF($AI196="","",IF(OR($BW196="",$BX196=""),"ONZEKER",IF(OR($BT196="",$BU196=""),"ONZEKER",IF(AND($BW196=$BT196+1,$BX196=$BU196),IF(OR(COUNTIF(#REF!,$B196)&gt;0,COUNTIF(#REF!,$B196)=0),"SKIP",IF(COUNTIFS(#REF!,$B196,#REF!,$AI196)&gt;0,"OK","ONBEKEND")),IF(AND($BW196=$BT196,$BX196=$BU196+1),IF(OR(COUNTIF(#REF!,$D196)&gt;0,COUNTIF(#REF!,$D196)=0),"SKIP",IF(COUNTIFS(#REF!,$D196,#REF!,$AI196)&gt;0,"OK","ONBEKEND")),"ONZEKER")))))</f>
        <v>ONZEKER</v>
      </c>
      <c r="AK196" s="2" t="s">
        <v>28</v>
      </c>
      <c r="AL196" s="2" t="s">
        <v>29</v>
      </c>
      <c r="AM196" s="2" t="str">
        <f>IF($AL196="","",IF(OR($BZ196="",$CA196=""),"ONZEKER",IF(OR($BW196="",$BX196=""),"ONZEKER",IF(AND($BZ196=$BW196+1,$CA196=$BX196),IF(OR(COUNTIF(#REF!,$B196)&gt;0,COUNTIF(#REF!,$B196)=0),"SKIP",IF(COUNTIFS(#REF!,$B196,#REF!,$AL196)&gt;0,"OK","ONBEKEND")),IF(AND($BZ196=$BW196,$CA196=$BX196+1),IF(OR(COUNTIF(#REF!,$D196)&gt;0,COUNTIF(#REF!,$D196)=0),"SKIP",IF(COUNTIFS(#REF!,$D196,#REF!,$AL196)&gt;0,"OK","ONBEKEND")),"ONZEKER")))))</f>
        <v>ONZEKER</v>
      </c>
      <c r="AN196" s="2" t="s">
        <v>31</v>
      </c>
      <c r="AO196" s="2" t="s">
        <v>32</v>
      </c>
      <c r="AP196" s="2" t="str">
        <f>IF($AO196="","",IF(OR($CC196="",$CD196=""),"ONZEKER",IF(OR($BZ196="",$CA196=""),"ONZEKER",IF(AND($CC196=$BZ196+1,$CD196=$CA196),IF(OR(COUNTIF(#REF!,$B196)&gt;0,COUNTIF(#REF!,$B196)=0),"SKIP",IF(COUNTIFS(#REF!,$B196,#REF!,$AO196)&gt;0,"OK","ONBEKEND")),IF(AND($CC196=$BZ196,$CD196=$CA196+1),IF(OR(COUNTIF(#REF!,$D196)&gt;0,COUNTIF(#REF!,$D196)=0),"SKIP",IF(COUNTIFS(#REF!,$D196,#REF!,$AO196)&gt;0,"OK","ONBEKEND")),"ONZEKER")))))</f>
        <v>ONZEKER</v>
      </c>
      <c r="AQ196" s="2" t="s">
        <v>34</v>
      </c>
      <c r="AR196" s="2" t="s">
        <v>35</v>
      </c>
      <c r="AS196" s="2" t="str">
        <f>IF($AR196="","",IF(OR($CF196="",$CG196=""),"ONZEKER",IF(OR($CC196="",$CD196=""),"ONZEKER",IF(AND($CF196=$CC196+1,$CG196=$CD196),IF(OR(COUNTIF(#REF!,$B196)&gt;0,COUNTIF(#REF!,$B196)=0),"SKIP",IF(COUNTIFS(#REF!,$B196,#REF!,$AR196)&gt;0,"OK","ONBEKEND")),IF(AND($CF196=$CC196,$CG196=$CD196+1),IF(OR(COUNTIF(#REF!,$D196)&gt;0,COUNTIF(#REF!,$D196)=0),"SKIP",IF(COUNTIFS(#REF!,$D196,#REF!,$AR196)&gt;0,"OK","ONBEKEND")),"ONZEKER")))))</f>
        <v>ONZEKER</v>
      </c>
      <c r="AT196" s="2" t="s">
        <v>37</v>
      </c>
      <c r="AU196" s="2" t="s">
        <v>38</v>
      </c>
      <c r="AV196" s="2" t="s">
        <v>39</v>
      </c>
      <c r="AW196" s="2" t="s">
        <v>40</v>
      </c>
      <c r="AX196" s="2" t="s">
        <v>41</v>
      </c>
      <c r="AY196" s="2" t="s">
        <v>42</v>
      </c>
      <c r="AZ196" s="2" t="s">
        <v>43</v>
      </c>
      <c r="BA196" s="2" t="s">
        <v>44</v>
      </c>
      <c r="BB196" s="2" t="s">
        <v>45</v>
      </c>
      <c r="BC196" s="2" t="s">
        <v>46</v>
      </c>
      <c r="BD196" t="str">
        <f t="shared" si="1470"/>
        <v/>
      </c>
      <c r="BE196" t="str">
        <f t="shared" si="1471"/>
        <v/>
      </c>
      <c r="BF196" t="str">
        <f t="shared" si="1472"/>
        <v/>
      </c>
      <c r="BG196" t="str">
        <f t="shared" si="1473"/>
        <v/>
      </c>
      <c r="BH196" t="str">
        <f t="shared" si="1474"/>
        <v/>
      </c>
      <c r="BI196" t="str">
        <f t="shared" si="1475"/>
        <v/>
      </c>
      <c r="BJ196" t="str">
        <f t="shared" si="1476"/>
        <v/>
      </c>
      <c r="BK196" t="str">
        <f t="shared" si="1477"/>
        <v/>
      </c>
      <c r="BL196" t="str">
        <f t="shared" si="1478"/>
        <v/>
      </c>
      <c r="BM196" t="str">
        <f t="shared" si="1479"/>
        <v/>
      </c>
      <c r="BN196" t="str">
        <f t="shared" si="1480"/>
        <v/>
      </c>
      <c r="BO196" t="str">
        <f t="shared" si="1481"/>
        <v/>
      </c>
      <c r="BP196" t="str">
        <f t="shared" si="1482"/>
        <v/>
      </c>
      <c r="BQ196" t="str">
        <f t="shared" si="1483"/>
        <v/>
      </c>
      <c r="BR196" t="str">
        <f t="shared" si="1484"/>
        <v/>
      </c>
      <c r="BS196" t="str">
        <f t="shared" si="1485"/>
        <v/>
      </c>
      <c r="BT196" t="str">
        <f t="shared" si="1486"/>
        <v/>
      </c>
      <c r="BU196" t="str">
        <f t="shared" si="1487"/>
        <v/>
      </c>
      <c r="BV196" t="str">
        <f t="shared" si="1488"/>
        <v/>
      </c>
      <c r="BW196" t="str">
        <f t="shared" si="1489"/>
        <v/>
      </c>
      <c r="BX196" t="str">
        <f t="shared" si="1490"/>
        <v/>
      </c>
      <c r="BY196" t="str">
        <f t="shared" si="1491"/>
        <v/>
      </c>
      <c r="BZ196" t="str">
        <f t="shared" si="1492"/>
        <v/>
      </c>
      <c r="CA196" t="str">
        <f t="shared" si="1493"/>
        <v/>
      </c>
      <c r="CB196" t="str">
        <f t="shared" si="1494"/>
        <v/>
      </c>
      <c r="CC196" t="str">
        <f t="shared" si="1495"/>
        <v/>
      </c>
      <c r="CD196" t="str">
        <f t="shared" si="1496"/>
        <v/>
      </c>
      <c r="CE196" t="str">
        <f t="shared" si="1497"/>
        <v/>
      </c>
      <c r="CF196" t="str">
        <f t="shared" si="1498"/>
        <v/>
      </c>
      <c r="CG196" t="str">
        <f t="shared" si="1499"/>
        <v/>
      </c>
      <c r="CH196" s="2" t="s">
        <v>77</v>
      </c>
      <c r="CI196" s="2" t="s">
        <v>78</v>
      </c>
      <c r="CJ196" s="2" t="s">
        <v>79</v>
      </c>
      <c r="CK196" s="2" t="s">
        <v>80</v>
      </c>
      <c r="CL196" s="2" t="s">
        <v>81</v>
      </c>
      <c r="CM196" s="2" t="s">
        <v>82</v>
      </c>
      <c r="CN196" s="2" t="s">
        <v>83</v>
      </c>
      <c r="CO196" s="2" t="s">
        <v>84</v>
      </c>
      <c r="CP196" s="2" t="s">
        <v>85</v>
      </c>
      <c r="CQ196" s="2" t="s">
        <v>86</v>
      </c>
      <c r="CR196" s="2" t="s">
        <v>87</v>
      </c>
      <c r="CS196" s="2" t="s">
        <v>88</v>
      </c>
      <c r="CT196" s="2" t="s">
        <v>89</v>
      </c>
      <c r="CU196" s="2" t="s">
        <v>90</v>
      </c>
      <c r="CV196" s="2" t="s">
        <v>91</v>
      </c>
      <c r="CW196" s="2" t="s">
        <v>92</v>
      </c>
      <c r="CX196" s="2" t="s">
        <v>93</v>
      </c>
      <c r="CY196" s="2" t="s">
        <v>94</v>
      </c>
      <c r="CZ196" s="2" t="s">
        <v>95</v>
      </c>
      <c r="DA196" s="2" t="s">
        <v>96</v>
      </c>
      <c r="DB196" s="2" t="s">
        <v>97</v>
      </c>
      <c r="DC196" s="2" t="s">
        <v>98</v>
      </c>
      <c r="DD196" s="2" t="s">
        <v>99</v>
      </c>
      <c r="DE196" s="2" t="s">
        <v>100</v>
      </c>
      <c r="DF196" s="2" t="s">
        <v>101</v>
      </c>
      <c r="DG196" s="2" t="s">
        <v>102</v>
      </c>
      <c r="DH196" s="2" t="s">
        <v>103</v>
      </c>
      <c r="DI196" s="2" t="s">
        <v>104</v>
      </c>
      <c r="DJ196" s="2" t="s">
        <v>105</v>
      </c>
      <c r="DK196" s="2" t="s">
        <v>106</v>
      </c>
      <c r="DL196" s="2" t="s">
        <v>107</v>
      </c>
      <c r="DM196" s="2" t="s">
        <v>108</v>
      </c>
      <c r="DN196" s="2" t="s">
        <v>109</v>
      </c>
      <c r="DO196" s="2" t="s">
        <v>110</v>
      </c>
      <c r="DP196" s="2" t="s">
        <v>111</v>
      </c>
      <c r="DQ196" s="2" t="s">
        <v>112</v>
      </c>
      <c r="DR196" s="2" t="s">
        <v>113</v>
      </c>
      <c r="DS196" s="2" t="s">
        <v>114</v>
      </c>
      <c r="DT196" s="2" t="s">
        <v>115</v>
      </c>
      <c r="DU196" s="2" t="s">
        <v>116</v>
      </c>
      <c r="DV196" s="2" t="s">
        <v>117</v>
      </c>
      <c r="DW196" s="2" t="s">
        <v>118</v>
      </c>
      <c r="DX196" s="2" t="s">
        <v>119</v>
      </c>
      <c r="DY196" s="2" t="s">
        <v>120</v>
      </c>
      <c r="DZ196" s="2" t="s">
        <v>121</v>
      </c>
      <c r="EA196" s="2" t="s">
        <v>122</v>
      </c>
      <c r="EB196" s="2" t="s">
        <v>123</v>
      </c>
      <c r="EC196" s="2" t="s">
        <v>124</v>
      </c>
      <c r="ED196" s="2" t="s">
        <v>125</v>
      </c>
      <c r="EE196" s="2" t="s">
        <v>126</v>
      </c>
      <c r="EF196" s="2" t="s">
        <v>127</v>
      </c>
      <c r="EG196" s="2" t="s">
        <v>128</v>
      </c>
      <c r="EH196" s="2" t="s">
        <v>129</v>
      </c>
      <c r="EI196" s="2" t="s">
        <v>130</v>
      </c>
      <c r="EJ196" s="2" t="s">
        <v>131</v>
      </c>
      <c r="EK196" s="2" t="s">
        <v>132</v>
      </c>
      <c r="EL196" s="2" t="s">
        <v>133</v>
      </c>
      <c r="EM196" s="2" t="s">
        <v>134</v>
      </c>
      <c r="EN196" s="2" t="s">
        <v>135</v>
      </c>
      <c r="EO196" s="2" t="s">
        <v>136</v>
      </c>
      <c r="EP196" s="2" t="s">
        <v>137</v>
      </c>
      <c r="EQ196" s="2" t="s">
        <v>138</v>
      </c>
      <c r="ER196" s="2" t="s">
        <v>139</v>
      </c>
      <c r="ES196" s="2" t="s">
        <v>140</v>
      </c>
      <c r="ET196" s="2" t="s">
        <v>141</v>
      </c>
      <c r="EU196" s="2" t="s">
        <v>142</v>
      </c>
      <c r="EV196" s="2" t="s">
        <v>143</v>
      </c>
      <c r="EW196" s="2" t="s">
        <v>144</v>
      </c>
      <c r="EX196" s="2" t="s">
        <v>145</v>
      </c>
      <c r="EY196" s="2" t="s">
        <v>146</v>
      </c>
    </row>
    <row r="197" spans="1:155" ht="13.9" customHeight="1" x14ac:dyDescent="0.25">
      <c r="A197" s="7"/>
      <c r="B197" s="17"/>
      <c r="C197" s="8"/>
      <c r="D197" s="17"/>
      <c r="E197" s="8"/>
      <c r="F197" s="18">
        <v>0</v>
      </c>
      <c r="G197" s="7" t="s">
        <v>147</v>
      </c>
      <c r="H197" s="18">
        <v>0</v>
      </c>
      <c r="I197" s="19">
        <v>0</v>
      </c>
      <c r="J197" s="7" t="s">
        <v>147</v>
      </c>
      <c r="K197" s="19">
        <v>0</v>
      </c>
      <c r="L197" s="9"/>
      <c r="M197" s="3" t="str">
        <f>IF($L197="","",IF($L197="DOELPUNTENMAKERS","",IF(AND(COUNTIF(#REF!,$B197)=0,COUNTIF(#REF!,$D197)=0),"OK",IF($O197&gt;20,"LET OP: meer dan 20 items (controle onvolledig)",IF((COUNTIF($R197:$AS197,"ONZEKER")+COUNTIF($CJ197:$DK197,"ONZEKER"))&gt;0,"LET OP: scoreverloop onduidelijk (controle beperkt)",IF((IF($AT197&lt;&gt;"",$AT197&amp;", ","")&amp;IF($AU197&lt;&gt;"",$AU197&amp;", ","")&amp;IF($AV197&lt;&gt;"",$AV197&amp;", ","")&amp;IF($AW197&lt;&gt;"",$AW197&amp;", ","")&amp;IF($AX197&lt;&gt;"",$AX197&amp;", ","")&amp;IF($AY197&lt;&gt;"",$AY197&amp;", ","")&amp;IF($AZ197&lt;&gt;"",$AZ197&amp;", ","")&amp;IF($BA197&lt;&gt;"",$BA197&amp;", ","")&amp;IF($BB197&lt;&gt;"",$BB197&amp;", ","")&amp;IF($BC197&lt;&gt;"",$BC197&amp;", ","")&amp;IF($DL197&lt;&gt;"",$DL197&amp;", ","")&amp;IF($DM197&lt;&gt;"",$DM197&amp;", ","")&amp;IF($DN197&lt;&gt;"",$DN197&amp;", ","")&amp;IF($DO197&lt;&gt;"",$DO197&amp;", ","")&amp;IF($DP197&lt;&gt;"",$DP197&amp;", ","")&amp;IF($DQ197&lt;&gt;"",$DQ197&amp;", ","")&amp;IF($DR197&lt;&gt;"",$DR197&amp;", ","")&amp;IF($DS197&lt;&gt;"",$DS197&amp;", ","")&amp;IF($DT197&lt;&gt;"",$DT197&amp;", ","")&amp;IF($DU197&lt;&gt;"",$DU197&amp;", ",""))="","OK","Onbekend: "&amp;LEFT((IF($AT197&lt;&gt;"",$AT197&amp;", ","")&amp;IF($AU197&lt;&gt;"",$AU197&amp;", ","")&amp;IF($AV197&lt;&gt;"",$AV197&amp;", ","")&amp;IF($AW197&lt;&gt;"",$AW197&amp;", ","")&amp;IF($AX197&lt;&gt;"",$AX197&amp;", ","")&amp;IF($AY197&lt;&gt;"",$AY197&amp;", ","")&amp;IF($AZ197&lt;&gt;"",$AZ197&amp;", ","")&amp;IF($BA197&lt;&gt;"",$BA197&amp;", ","")&amp;IF($BB197&lt;&gt;"",$BB197&amp;", ","")&amp;IF($BC197&lt;&gt;"",$BC197&amp;", ","")&amp;IF($DL197&lt;&gt;"",$DL197&amp;", ","")&amp;IF($DM197&lt;&gt;"",$DM197&amp;", ","")&amp;IF($DN197&lt;&gt;"",$DN197&amp;", ","")&amp;IF($DO197&lt;&gt;"",$DO197&amp;", ","")&amp;IF($DP197&lt;&gt;"",$DP197&amp;", ","")&amp;IF($DQ197&lt;&gt;"",$DQ197&amp;", ","")&amp;IF($DR197&lt;&gt;"",$DR197&amp;", ","")&amp;IF($DS197&lt;&gt;"",$DS197&amp;", ","")&amp;IF($DT197&lt;&gt;"",$DT197&amp;", ","")&amp;IF($DU197&lt;&gt;"",$DU197&amp;", ","")),LEN((IF($AT197&lt;&gt;"",$AT197&amp;", ","")&amp;IF($AU197&lt;&gt;"",$AU197&amp;", ","")&amp;IF($AV197&lt;&gt;"",$AV197&amp;", ","")&amp;IF($AW197&lt;&gt;"",$AW197&amp;", ","")&amp;IF($AX197&lt;&gt;"",$AX197&amp;", ","")&amp;IF($AY197&lt;&gt;"",$AY197&amp;", ","")&amp;IF($AZ197&lt;&gt;"",$AZ197&amp;", ","")&amp;IF($BA197&lt;&gt;"",$BA197&amp;", ","")&amp;IF($BB197&lt;&gt;"",$BB197&amp;", ","")&amp;IF($BC197&lt;&gt;"",$BC197&amp;", ","")&amp;IF($DL197&lt;&gt;"",$DL197&amp;", ","")&amp;IF($DM197&lt;&gt;"",$DM197&amp;", ","")&amp;IF($DN197&lt;&gt;"",$DN197&amp;", ","")&amp;IF($DO197&lt;&gt;"",$DO197&amp;", ","")&amp;IF($DP197&lt;&gt;"",$DP197&amp;", ","")&amp;IF($DQ197&lt;&gt;"",$DQ197&amp;", ","")&amp;IF($DR197&lt;&gt;"",$DR197&amp;", ","")&amp;IF($DS197&lt;&gt;"",$DS197&amp;", ","")&amp;IF($DT197&lt;&gt;"",$DT197&amp;", ","")&amp;IF($DU197&lt;&gt;"",$DU197&amp;", ","")))-2)))))))</f>
        <v/>
      </c>
      <c r="N197" t="str">
        <f t="shared" ref="N197:N208" si="1500">IF($L197="","",TRIM(IF(RIGHT(SUBSTITUTE($L197,CHAR(160)," "),1)=".",LEFT(SUBSTITUTE($L197,CHAR(160)," "),LEN(SUBSTITUTE($L197,CHAR(160)," "))-1),SUBSTITUTE($L197,CHAR(160)," "))))</f>
        <v/>
      </c>
      <c r="O197" t="str">
        <f t="shared" ref="O197:O208" si="1501">IF($N197="","",LEN($N197)-LEN(SUBSTITUTE($N197,",",""))+1)</f>
        <v/>
      </c>
      <c r="P197" t="str">
        <f t="shared" ref="P197:P208" si="1502">IF($N197="","",TRIM(MID(SUBSTITUTE($N197,",",REPT(" ",200)),1,200)))</f>
        <v/>
      </c>
      <c r="Q197" t="str">
        <f t="shared" ref="Q197:Q208" si="1503">IF(P197="","",TRIM(IFERROR(LEFT(P197,FIND("§",SUBSTITUTE(P197," ","§",LEN(P197)-LEN(SUBSTITUTE(P197," ",""))))-1),P197)))</f>
        <v/>
      </c>
      <c r="R197" t="str">
        <f>IF($Q197="","",IF(OR($BE197="",$BF197=""),"ONZEKER",IF(AND($BE197=0+1,$BF197=0),IF(OR(COUNTIF(#REF!,$B197)&gt;0,COUNTIF(#REF!,$B197)=0),"SKIP",IF(COUNTIFS(#REF!,$B197,#REF!,$Q197)&gt;0,"OK","ONBEKEND")),IF(AND($BE197=0,$BF197=0+1),IF(OR(COUNTIF(#REF!,$D197)&gt;0,COUNTIF(#REF!,$D197)=0),"SKIP",IF(COUNTIFS(#REF!,$D197,#REF!,$Q197)&gt;0,"OK","ONBEKEND")),"ONZEKER"))))</f>
        <v/>
      </c>
      <c r="S197" t="str">
        <f t="shared" ref="S197:S208" si="1504">IF($N197="","",TRIM(MID(SUBSTITUTE($N197,",",REPT(" ",200)),201,200)))</f>
        <v/>
      </c>
      <c r="T197" t="str">
        <f t="shared" ref="T197:T208" si="1505">IF(S197="","",TRIM(IFERROR(LEFT(S197,FIND("§",SUBSTITUTE(S197," ","§",LEN(S197)-LEN(SUBSTITUTE(S197," ",""))))-1),S197)))</f>
        <v/>
      </c>
      <c r="U197" t="str">
        <f>IF($T197="","",IF(OR($BH197="",$BI197=""),"ONZEKER",IF(OR($BE197="",$BF197=""),"ONZEKER",IF(AND($BH197=$BE197+1,$BI197=$BF197),IF(OR(COUNTIF(#REF!,$B197)&gt;0,COUNTIF(#REF!,$B197)=0),"SKIP",IF(COUNTIFS(#REF!,$B197,#REF!,$T197)&gt;0,"OK","ONBEKEND")),IF(AND($BH197=$BE197,$BI197=$BF197+1),IF(OR(COUNTIF(#REF!,$D197)&gt;0,COUNTIF(#REF!,$D197)=0),"SKIP",IF(COUNTIFS(#REF!,$D197,#REF!,$T197)&gt;0,"OK","ONBEKEND")),"ONZEKER")))))</f>
        <v/>
      </c>
      <c r="V197" t="str">
        <f t="shared" ref="V197:V208" si="1506">IF($N197="","",TRIM(MID(SUBSTITUTE($N197,",",REPT(" ",200)),401,200)))</f>
        <v/>
      </c>
      <c r="W197" t="str">
        <f t="shared" ref="W197:W208" si="1507">IF(V197="","",TRIM(IFERROR(LEFT(V197,FIND("§",SUBSTITUTE(V197," ","§",LEN(V197)-LEN(SUBSTITUTE(V197," ",""))))-1),V197)))</f>
        <v/>
      </c>
      <c r="X197" t="str">
        <f>IF($W197="","",IF(OR($BK197="",$BL197=""),"ONZEKER",IF(OR($BH197="",$BI197=""),"ONZEKER",IF(AND($BK197=$BH197+1,$BL197=$BI197),IF(OR(COUNTIF(#REF!,$B197)&gt;0,COUNTIF(#REF!,$B197)=0),"SKIP",IF(COUNTIFS(#REF!,$B197,#REF!,$W197)&gt;0,"OK","ONBEKEND")),IF(AND($BK197=$BH197,$BL197=$BI197+1),IF(OR(COUNTIF(#REF!,$D197)&gt;0,COUNTIF(#REF!,$D197)=0),"SKIP",IF(COUNTIFS(#REF!,$D197,#REF!,$W197)&gt;0,"OK","ONBEKEND")),"ONZEKER")))))</f>
        <v/>
      </c>
      <c r="Y197" t="str">
        <f t="shared" ref="Y197:Y208" si="1508">IF($N197="","",TRIM(MID(SUBSTITUTE($N197,",",REPT(" ",200)),601,200)))</f>
        <v/>
      </c>
      <c r="Z197" t="str">
        <f t="shared" ref="Z197:Z208" si="1509">IF(Y197="","",TRIM(IFERROR(LEFT(Y197,FIND("§",SUBSTITUTE(Y197," ","§",LEN(Y197)-LEN(SUBSTITUTE(Y197," ",""))))-1),Y197)))</f>
        <v/>
      </c>
      <c r="AA197" t="str">
        <f>IF($Z197="","",IF(OR($BN197="",$BO197=""),"ONZEKER",IF(OR($BK197="",$BL197=""),"ONZEKER",IF(AND($BN197=$BK197+1,$BO197=$BL197),IF(OR(COUNTIF(#REF!,$B197)&gt;0,COUNTIF(#REF!,$B197)=0),"SKIP",IF(COUNTIFS(#REF!,$B197,#REF!,$Z197)&gt;0,"OK","ONBEKEND")),IF(AND($BN197=$BK197,$BO197=$BL197+1),IF(OR(COUNTIF(#REF!,$D197)&gt;0,COUNTIF(#REF!,$D197)=0),"SKIP",IF(COUNTIFS(#REF!,$D197,#REF!,$Z197)&gt;0,"OK","ONBEKEND")),"ONZEKER")))))</f>
        <v/>
      </c>
      <c r="AB197" t="str">
        <f t="shared" ref="AB197:AB208" si="1510">IF($N197="","",TRIM(MID(SUBSTITUTE($N197,",",REPT(" ",200)),801,200)))</f>
        <v/>
      </c>
      <c r="AC197" t="str">
        <f t="shared" ref="AC197:AC208" si="1511">IF(AB197="","",TRIM(IFERROR(LEFT(AB197,FIND("§",SUBSTITUTE(AB197," ","§",LEN(AB197)-LEN(SUBSTITUTE(AB197," ",""))))-1),AB197)))</f>
        <v/>
      </c>
      <c r="AD197" t="str">
        <f>IF($AC197="","",IF(OR($BQ197="",$BR197=""),"ONZEKER",IF(OR($BN197="",$BO197=""),"ONZEKER",IF(AND($BQ197=$BN197+1,$BR197=$BO197),IF(OR(COUNTIF(#REF!,$B197)&gt;0,COUNTIF(#REF!,$B197)=0),"SKIP",IF(COUNTIFS(#REF!,$B197,#REF!,$AC197)&gt;0,"OK","ONBEKEND")),IF(AND($BQ197=$BN197,$BR197=$BO197+1),IF(OR(COUNTIF(#REF!,$D197)&gt;0,COUNTIF(#REF!,$D197)=0),"SKIP",IF(COUNTIFS(#REF!,$D197,#REF!,$AC197)&gt;0,"OK","ONBEKEND")),"ONZEKER")))))</f>
        <v/>
      </c>
      <c r="AE197" t="str">
        <f t="shared" ref="AE197:AE208" si="1512">IF($N197="","",TRIM(MID(SUBSTITUTE($N197,",",REPT(" ",200)),1001,200)))</f>
        <v/>
      </c>
      <c r="AF197" t="str">
        <f t="shared" ref="AF197:AF208" si="1513">IF(AE197="","",TRIM(IFERROR(LEFT(AE197,FIND("§",SUBSTITUTE(AE197," ","§",LEN(AE197)-LEN(SUBSTITUTE(AE197," ",""))))-1),AE197)))</f>
        <v/>
      </c>
      <c r="AG197" t="str">
        <f>IF($AF197="","",IF(OR($BT197="",$BU197=""),"ONZEKER",IF(OR($BQ197="",$BR197=""),"ONZEKER",IF(AND($BT197=$BQ197+1,$BU197=$BR197),IF(OR(COUNTIF(#REF!,$B197)&gt;0,COUNTIF(#REF!,$B197)=0),"SKIP",IF(COUNTIFS(#REF!,$B197,#REF!,$AF197)&gt;0,"OK","ONBEKEND")),IF(AND($BT197=$BQ197,$BU197=$BR197+1),IF(OR(COUNTIF(#REF!,$D197)&gt;0,COUNTIF(#REF!,$D197)=0),"SKIP",IF(COUNTIFS(#REF!,$D197,#REF!,$AF197)&gt;0,"OK","ONBEKEND")),"ONZEKER")))))</f>
        <v/>
      </c>
      <c r="AH197" t="str">
        <f t="shared" ref="AH197:AH208" si="1514">IF($N197="","",TRIM(MID(SUBSTITUTE($N197,",",REPT(" ",200)),1201,200)))</f>
        <v/>
      </c>
      <c r="AI197" t="str">
        <f t="shared" ref="AI197:AI208" si="1515">IF(AH197="","",TRIM(IFERROR(LEFT(AH197,FIND("§",SUBSTITUTE(AH197," ","§",LEN(AH197)-LEN(SUBSTITUTE(AH197," ",""))))-1),AH197)))</f>
        <v/>
      </c>
      <c r="AJ197" t="str">
        <f>IF($AI197="","",IF(OR($BW197="",$BX197=""),"ONZEKER",IF(OR($BT197="",$BU197=""),"ONZEKER",IF(AND($BW197=$BT197+1,$BX197=$BU197),IF(OR(COUNTIF(#REF!,$B197)&gt;0,COUNTIF(#REF!,$B197)=0),"SKIP",IF(COUNTIFS(#REF!,$B197,#REF!,$AI197)&gt;0,"OK","ONBEKEND")),IF(AND($BW197=$BT197,$BX197=$BU197+1),IF(OR(COUNTIF(#REF!,$D197)&gt;0,COUNTIF(#REF!,$D197)=0),"SKIP",IF(COUNTIFS(#REF!,$D197,#REF!,$AI197)&gt;0,"OK","ONBEKEND")),"ONZEKER")))))</f>
        <v/>
      </c>
      <c r="AK197" t="str">
        <f t="shared" ref="AK197:AK208" si="1516">IF($N197="","",TRIM(MID(SUBSTITUTE($N197,",",REPT(" ",200)),1401,200)))</f>
        <v/>
      </c>
      <c r="AL197" t="str">
        <f t="shared" ref="AL197:AL208" si="1517">IF(AK197="","",TRIM(IFERROR(LEFT(AK197,FIND("§",SUBSTITUTE(AK197," ","§",LEN(AK197)-LEN(SUBSTITUTE(AK197," ",""))))-1),AK197)))</f>
        <v/>
      </c>
      <c r="AM197" t="str">
        <f>IF($AL197="","",IF(OR($BZ197="",$CA197=""),"ONZEKER",IF(OR($BW197="",$BX197=""),"ONZEKER",IF(AND($BZ197=$BW197+1,$CA197=$BX197),IF(OR(COUNTIF(#REF!,$B197)&gt;0,COUNTIF(#REF!,$B197)=0),"SKIP",IF(COUNTIFS(#REF!,$B197,#REF!,$AL197)&gt;0,"OK","ONBEKEND")),IF(AND($BZ197=$BW197,$CA197=$BX197+1),IF(OR(COUNTIF(#REF!,$D197)&gt;0,COUNTIF(#REF!,$D197)=0),"SKIP",IF(COUNTIFS(#REF!,$D197,#REF!,$AL197)&gt;0,"OK","ONBEKEND")),"ONZEKER")))))</f>
        <v/>
      </c>
      <c r="AN197" t="str">
        <f t="shared" ref="AN197:AN208" si="1518">IF($N197="","",TRIM(MID(SUBSTITUTE($N197,",",REPT(" ",200)),1601,200)))</f>
        <v/>
      </c>
      <c r="AO197" t="str">
        <f t="shared" ref="AO197:AO208" si="1519">IF(AN197="","",TRIM(IFERROR(LEFT(AN197,FIND("§",SUBSTITUTE(AN197," ","§",LEN(AN197)-LEN(SUBSTITUTE(AN197," ",""))))-1),AN197)))</f>
        <v/>
      </c>
      <c r="AP197" t="str">
        <f>IF($AO197="","",IF(OR($CC197="",$CD197=""),"ONZEKER",IF(OR($BZ197="",$CA197=""),"ONZEKER",IF(AND($CC197=$BZ197+1,$CD197=$CA197),IF(OR(COUNTIF(#REF!,$B197)&gt;0,COUNTIF(#REF!,$B197)=0),"SKIP",IF(COUNTIFS(#REF!,$B197,#REF!,$AO197)&gt;0,"OK","ONBEKEND")),IF(AND($CC197=$BZ197,$CD197=$CA197+1),IF(OR(COUNTIF(#REF!,$D197)&gt;0,COUNTIF(#REF!,$D197)=0),"SKIP",IF(COUNTIFS(#REF!,$D197,#REF!,$AO197)&gt;0,"OK","ONBEKEND")),"ONZEKER")))))</f>
        <v/>
      </c>
      <c r="AQ197" t="str">
        <f t="shared" ref="AQ197:AQ208" si="1520">IF($N197="","",TRIM(MID(SUBSTITUTE($N197,",",REPT(" ",200)),1801,200)))</f>
        <v/>
      </c>
      <c r="AR197" t="str">
        <f t="shared" ref="AR197:AR208" si="1521">IF(AQ197="","",TRIM(IFERROR(LEFT(AQ197,FIND("§",SUBSTITUTE(AQ197," ","§",LEN(AQ197)-LEN(SUBSTITUTE(AQ197," ",""))))-1),AQ197)))</f>
        <v/>
      </c>
      <c r="AS197" t="str">
        <f>IF($AR197="","",IF(OR($CF197="",$CG197=""),"ONZEKER",IF(OR($CC197="",$CD197=""),"ONZEKER",IF(AND($CF197=$CC197+1,$CG197=$CD197),IF(OR(COUNTIF(#REF!,$B197)&gt;0,COUNTIF(#REF!,$B197)=0),"SKIP",IF(COUNTIFS(#REF!,$B197,#REF!,$AR197)&gt;0,"OK","ONBEKEND")),IF(AND($CF197=$CC197,$CG197=$CD197+1),IF(OR(COUNTIF(#REF!,$D197)&gt;0,COUNTIF(#REF!,$D197)=0),"SKIP",IF(COUNTIFS(#REF!,$D197,#REF!,$AR197)&gt;0,"OK","ONBEKEND")),"ONZEKER")))))</f>
        <v/>
      </c>
      <c r="AT197" t="str">
        <f t="shared" ref="AT197:AT208" si="1522">IF(R197="ONBEKEND",Q197,"")</f>
        <v/>
      </c>
      <c r="AU197" t="str">
        <f t="shared" ref="AU197:AU208" si="1523">IF(U197="ONBEKEND",T197,"")</f>
        <v/>
      </c>
      <c r="AV197" t="str">
        <f t="shared" ref="AV197:AV208" si="1524">IF(X197="ONBEKEND",W197,"")</f>
        <v/>
      </c>
      <c r="AW197" t="str">
        <f t="shared" ref="AW197:AW208" si="1525">IF(AA197="ONBEKEND",Z197,"")</f>
        <v/>
      </c>
      <c r="AX197" t="str">
        <f t="shared" ref="AX197:AX208" si="1526">IF(AD197="ONBEKEND",AC197,"")</f>
        <v/>
      </c>
      <c r="AY197" t="str">
        <f t="shared" ref="AY197:AY208" si="1527">IF(AG197="ONBEKEND",AF197,"")</f>
        <v/>
      </c>
      <c r="AZ197" t="str">
        <f t="shared" ref="AZ197:AZ208" si="1528">IF(AJ197="ONBEKEND",AI197,"")</f>
        <v/>
      </c>
      <c r="BA197" t="str">
        <f t="shared" ref="BA197:BA208" si="1529">IF(AM197="ONBEKEND",AL197,"")</f>
        <v/>
      </c>
      <c r="BB197" t="str">
        <f t="shared" ref="BB197:BB208" si="1530">IF(AP197="ONBEKEND",AO197,"")</f>
        <v/>
      </c>
      <c r="BC197" t="str">
        <f t="shared" ref="BC197:BC208" si="1531">IF(AS197="ONBEKEND",AR197,"")</f>
        <v/>
      </c>
      <c r="BD197" t="str">
        <f t="shared" si="1470"/>
        <v/>
      </c>
      <c r="BE197" t="str">
        <f t="shared" si="1471"/>
        <v/>
      </c>
      <c r="BF197" t="str">
        <f t="shared" si="1472"/>
        <v/>
      </c>
      <c r="BG197" t="str">
        <f t="shared" si="1473"/>
        <v/>
      </c>
      <c r="BH197" t="str">
        <f t="shared" si="1474"/>
        <v/>
      </c>
      <c r="BI197" t="str">
        <f t="shared" si="1475"/>
        <v/>
      </c>
      <c r="BJ197" t="str">
        <f t="shared" si="1476"/>
        <v/>
      </c>
      <c r="BK197" t="str">
        <f t="shared" si="1477"/>
        <v/>
      </c>
      <c r="BL197" t="str">
        <f t="shared" si="1478"/>
        <v/>
      </c>
      <c r="BM197" t="str">
        <f t="shared" si="1479"/>
        <v/>
      </c>
      <c r="BN197" t="str">
        <f t="shared" si="1480"/>
        <v/>
      </c>
      <c r="BO197" t="str">
        <f t="shared" si="1481"/>
        <v/>
      </c>
      <c r="BP197" t="str">
        <f t="shared" si="1482"/>
        <v/>
      </c>
      <c r="BQ197" t="str">
        <f t="shared" si="1483"/>
        <v/>
      </c>
      <c r="BR197" t="str">
        <f t="shared" si="1484"/>
        <v/>
      </c>
      <c r="BS197" t="str">
        <f t="shared" si="1485"/>
        <v/>
      </c>
      <c r="BT197" t="str">
        <f t="shared" si="1486"/>
        <v/>
      </c>
      <c r="BU197" t="str">
        <f t="shared" si="1487"/>
        <v/>
      </c>
      <c r="BV197" t="str">
        <f t="shared" si="1488"/>
        <v/>
      </c>
      <c r="BW197" t="str">
        <f t="shared" si="1489"/>
        <v/>
      </c>
      <c r="BX197" t="str">
        <f t="shared" si="1490"/>
        <v/>
      </c>
      <c r="BY197" t="str">
        <f t="shared" si="1491"/>
        <v/>
      </c>
      <c r="BZ197" t="str">
        <f t="shared" si="1492"/>
        <v/>
      </c>
      <c r="CA197" t="str">
        <f t="shared" si="1493"/>
        <v/>
      </c>
      <c r="CB197" t="str">
        <f t="shared" si="1494"/>
        <v/>
      </c>
      <c r="CC197" t="str">
        <f t="shared" si="1495"/>
        <v/>
      </c>
      <c r="CD197" t="str">
        <f t="shared" si="1496"/>
        <v/>
      </c>
      <c r="CE197" t="str">
        <f t="shared" si="1497"/>
        <v/>
      </c>
      <c r="CF197" t="str">
        <f t="shared" si="1498"/>
        <v/>
      </c>
      <c r="CG197" t="str">
        <f t="shared" si="1499"/>
        <v/>
      </c>
      <c r="CH197" t="str">
        <f t="shared" ref="CH197:CH208" si="1532">IF($N197="","",TRIM(MID(SUBSTITUTE($N197,",",REPT(" ",200)),2001,200)))</f>
        <v/>
      </c>
      <c r="CI197" t="str">
        <f t="shared" ref="CI197:CI208" si="1533">IF(CH197="","",TRIM(IFERROR(LEFT(CH197,FIND("§",SUBSTITUTE(CH197," ","§",LEN(CH197)-LEN(SUBSTITUTE(CH197," ",""))))-1),CH197)))</f>
        <v/>
      </c>
      <c r="CJ197" t="str">
        <f>IF($CI197="","",IF(OR($DW197="",$DX197=""),"ONZEKER",IF(OR($CF197="",$CG197=""),"ONZEKER",IF(AND($DW197=$CF197+1,$DX197=$CG197),IF(OR(COUNTIF(#REF!,$B197)&gt;0,COUNTIF(#REF!,$B197)=0),"SKIP",IF(COUNTIFS(#REF!,$B197,#REF!,$CI197)&gt;0,"OK","ONBEKEND")),IF(AND($DW197=$CF197,$DX197=$CG197+1),IF(OR(COUNTIF(#REF!,$D197)&gt;0,COUNTIF(#REF!,$D197)=0),"SKIP",IF(COUNTIFS(#REF!,$D197,#REF!,$CI197)&gt;0,"OK","ONBEKEND")),"ONZEKER")))))</f>
        <v/>
      </c>
      <c r="CK197" t="str">
        <f t="shared" ref="CK197:CK208" si="1534">IF($N197="","",TRIM(MID(SUBSTITUTE($N197,",",REPT(" ",200)),2201,200)))</f>
        <v/>
      </c>
      <c r="CL197" t="str">
        <f t="shared" ref="CL197:CL208" si="1535">IF(CK197="","",TRIM(IFERROR(LEFT(CK197,FIND("§",SUBSTITUTE(CK197," ","§",LEN(CK197)-LEN(SUBSTITUTE(CK197," ",""))))-1),CK197)))</f>
        <v/>
      </c>
      <c r="CM197" t="str">
        <f>IF($CL197="","",IF(OR($DZ197="",$EA197=""),"ONZEKER",IF(OR($DW197="",$DX197=""),"ONZEKER",IF(AND($DZ197=$DW197+1,$EA197=$DX197),IF(OR(COUNTIF(#REF!,$B197)&gt;0,COUNTIF(#REF!,$B197)=0),"SKIP",IF(COUNTIFS(#REF!,$B197,#REF!,$CL197)&gt;0,"OK","ONBEKEND")),IF(AND($DZ197=$DW197,$EA197=$DX197+1),IF(OR(COUNTIF(#REF!,$D197)&gt;0,COUNTIF(#REF!,$D197)=0),"SKIP",IF(COUNTIFS(#REF!,$D197,#REF!,$CL197)&gt;0,"OK","ONBEKEND")),"ONZEKER")))))</f>
        <v/>
      </c>
      <c r="CN197" t="str">
        <f t="shared" ref="CN197:CN208" si="1536">IF($N197="","",TRIM(MID(SUBSTITUTE($N197,",",REPT(" ",200)),2401,200)))</f>
        <v/>
      </c>
      <c r="CO197" t="str">
        <f t="shared" ref="CO197:CO208" si="1537">IF(CN197="","",TRIM(IFERROR(LEFT(CN197,FIND("§",SUBSTITUTE(CN197," ","§",LEN(CN197)-LEN(SUBSTITUTE(CN197," ",""))))-1),CN197)))</f>
        <v/>
      </c>
      <c r="CP197" t="str">
        <f>IF($CO197="","",IF(OR($EC197="",$ED197=""),"ONZEKER",IF(OR($DZ197="",$EA197=""),"ONZEKER",IF(AND($EC197=$DZ197+1,$ED197=$EA197),IF(OR(COUNTIF(#REF!,$B197)&gt;0,COUNTIF(#REF!,$B197)=0),"SKIP",IF(COUNTIFS(#REF!,$B197,#REF!,$CO197)&gt;0,"OK","ONBEKEND")),IF(AND($EC197=$DZ197,$ED197=$EA197+1),IF(OR(COUNTIF(#REF!,$D197)&gt;0,COUNTIF(#REF!,$D197)=0),"SKIP",IF(COUNTIFS(#REF!,$D197,#REF!,$CO197)&gt;0,"OK","ONBEKEND")),"ONZEKER")))))</f>
        <v/>
      </c>
      <c r="CQ197" t="str">
        <f t="shared" ref="CQ197:CQ208" si="1538">IF($N197="","",TRIM(MID(SUBSTITUTE($N197,",",REPT(" ",200)),2601,200)))</f>
        <v/>
      </c>
      <c r="CR197" t="str">
        <f t="shared" ref="CR197:CR208" si="1539">IF(CQ197="","",TRIM(IFERROR(LEFT(CQ197,FIND("§",SUBSTITUTE(CQ197," ","§",LEN(CQ197)-LEN(SUBSTITUTE(CQ197," ",""))))-1),CQ197)))</f>
        <v/>
      </c>
      <c r="CS197" t="str">
        <f>IF($CR197="","",IF(OR($EF197="",$EG197=""),"ONZEKER",IF(OR($EC197="",$ED197=""),"ONZEKER",IF(AND($EF197=$EC197+1,$EG197=$ED197),IF(OR(COUNTIF(#REF!,$B197)&gt;0,COUNTIF(#REF!,$B197)=0),"SKIP",IF(COUNTIFS(#REF!,$B197,#REF!,$CR197)&gt;0,"OK","ONBEKEND")),IF(AND($EF197=$EC197,$EG197=$ED197+1),IF(OR(COUNTIF(#REF!,$D197)&gt;0,COUNTIF(#REF!,$D197)=0),"SKIP",IF(COUNTIFS(#REF!,$D197,#REF!,$CR197)&gt;0,"OK","ONBEKEND")),"ONZEKER")))))</f>
        <v/>
      </c>
      <c r="CT197" t="str">
        <f t="shared" ref="CT197:CT208" si="1540">IF($N197="","",TRIM(MID(SUBSTITUTE($N197,",",REPT(" ",200)),2801,200)))</f>
        <v/>
      </c>
      <c r="CU197" t="str">
        <f t="shared" ref="CU197:CU208" si="1541">IF(CT197="","",TRIM(IFERROR(LEFT(CT197,FIND("§",SUBSTITUTE(CT197," ","§",LEN(CT197)-LEN(SUBSTITUTE(CT197," ",""))))-1),CT197)))</f>
        <v/>
      </c>
      <c r="CV197" t="str">
        <f>IF($CU197="","",IF(OR($EI197="",$EJ197=""),"ONZEKER",IF(OR($EF197="",$EG197=""),"ONZEKER",IF(AND($EI197=$EF197+1,$EJ197=$EG197),IF(OR(COUNTIF(#REF!,$B197)&gt;0,COUNTIF(#REF!,$B197)=0),"SKIP",IF(COUNTIFS(#REF!,$B197,#REF!,$CU197)&gt;0,"OK","ONBEKEND")),IF(AND($EI197=$EF197,$EJ197=$EG197+1),IF(OR(COUNTIF(#REF!,$D197)&gt;0,COUNTIF(#REF!,$D197)=0),"SKIP",IF(COUNTIFS(#REF!,$D197,#REF!,$CU197)&gt;0,"OK","ONBEKEND")),"ONZEKER")))))</f>
        <v/>
      </c>
      <c r="CW197" t="str">
        <f t="shared" ref="CW197:CW208" si="1542">IF($N197="","",TRIM(MID(SUBSTITUTE($N197,",",REPT(" ",200)),3001,200)))</f>
        <v/>
      </c>
      <c r="CX197" t="str">
        <f t="shared" ref="CX197:CX208" si="1543">IF(CW197="","",TRIM(IFERROR(LEFT(CW197,FIND("§",SUBSTITUTE(CW197," ","§",LEN(CW197)-LEN(SUBSTITUTE(CW197," ",""))))-1),CW197)))</f>
        <v/>
      </c>
      <c r="CY197" t="str">
        <f>IF($CX197="","",IF(OR($EL197="",$EM197=""),"ONZEKER",IF(OR($EI197="",$EJ197=""),"ONZEKER",IF(AND($EL197=$EI197+1,$EM197=$EJ197),IF(OR(COUNTIF(#REF!,$B197)&gt;0,COUNTIF(#REF!,$B197)=0),"SKIP",IF(COUNTIFS(#REF!,$B197,#REF!,$CX197)&gt;0,"OK","ONBEKEND")),IF(AND($EL197=$EI197,$EM197=$EJ197+1),IF(OR(COUNTIF(#REF!,$D197)&gt;0,COUNTIF(#REF!,$D197)=0),"SKIP",IF(COUNTIFS(#REF!,$D197,#REF!,$CX197)&gt;0,"OK","ONBEKEND")),"ONZEKER")))))</f>
        <v/>
      </c>
      <c r="CZ197" t="str">
        <f t="shared" ref="CZ197:CZ208" si="1544">IF($N197="","",TRIM(MID(SUBSTITUTE($N197,",",REPT(" ",200)),3201,200)))</f>
        <v/>
      </c>
      <c r="DA197" t="str">
        <f t="shared" ref="DA197:DA208" si="1545">IF(CZ197="","",TRIM(IFERROR(LEFT(CZ197,FIND("§",SUBSTITUTE(CZ197," ","§",LEN(CZ197)-LEN(SUBSTITUTE(CZ197," ",""))))-1),CZ197)))</f>
        <v/>
      </c>
      <c r="DB197" t="str">
        <f>IF($DA197="","",IF(OR($EO197="",$EP197=""),"ONZEKER",IF(OR($EL197="",$EM197=""),"ONZEKER",IF(AND($EO197=$EL197+1,$EP197=$EM197),IF(OR(COUNTIF(#REF!,$B197)&gt;0,COUNTIF(#REF!,$B197)=0),"SKIP",IF(COUNTIFS(#REF!,$B197,#REF!,$DA197)&gt;0,"OK","ONBEKEND")),IF(AND($EO197=$EL197,$EP197=$EM197+1),IF(OR(COUNTIF(#REF!,$D197)&gt;0,COUNTIF(#REF!,$D197)=0),"SKIP",IF(COUNTIFS(#REF!,$D197,#REF!,$DA197)&gt;0,"OK","ONBEKEND")),"ONZEKER")))))</f>
        <v/>
      </c>
      <c r="DC197" t="str">
        <f t="shared" ref="DC197:DC208" si="1546">IF($N197="","",TRIM(MID(SUBSTITUTE($N197,",",REPT(" ",200)),3401,200)))</f>
        <v/>
      </c>
      <c r="DD197" t="str">
        <f t="shared" ref="DD197:DD208" si="1547">IF(DC197="","",TRIM(IFERROR(LEFT(DC197,FIND("§",SUBSTITUTE(DC197," ","§",LEN(DC197)-LEN(SUBSTITUTE(DC197," ",""))))-1),DC197)))</f>
        <v/>
      </c>
      <c r="DE197" t="str">
        <f>IF($DD197="","",IF(OR($ER197="",$ES197=""),"ONZEKER",IF(OR($EO197="",$EP197=""),"ONZEKER",IF(AND($ER197=$EO197+1,$ES197=$EP197),IF(OR(COUNTIF(#REF!,$B197)&gt;0,COUNTIF(#REF!,$B197)=0),"SKIP",IF(COUNTIFS(#REF!,$B197,#REF!,$DD197)&gt;0,"OK","ONBEKEND")),IF(AND($ER197=$EO197,$ES197=$EP197+1),IF(OR(COUNTIF(#REF!,$D197)&gt;0,COUNTIF(#REF!,$D197)=0),"SKIP",IF(COUNTIFS(#REF!,$D197,#REF!,$DD197)&gt;0,"OK","ONBEKEND")),"ONZEKER")))))</f>
        <v/>
      </c>
      <c r="DF197" t="str">
        <f t="shared" ref="DF197:DF208" si="1548">IF($N197="","",TRIM(MID(SUBSTITUTE($N197,",",REPT(" ",200)),3601,200)))</f>
        <v/>
      </c>
      <c r="DG197" t="str">
        <f t="shared" ref="DG197:DG208" si="1549">IF(DF197="","",TRIM(IFERROR(LEFT(DF197,FIND("§",SUBSTITUTE(DF197," ","§",LEN(DF197)-LEN(SUBSTITUTE(DF197," ",""))))-1),DF197)))</f>
        <v/>
      </c>
      <c r="DH197" t="str">
        <f>IF($DG197="","",IF(OR($EU197="",$EV197=""),"ONZEKER",IF(OR($ER197="",$ES197=""),"ONZEKER",IF(AND($EU197=$ER197+1,$EV197=$ES197),IF(OR(COUNTIF(#REF!,$B197)&gt;0,COUNTIF(#REF!,$B197)=0),"SKIP",IF(COUNTIFS(#REF!,$B197,#REF!,$DG197)&gt;0,"OK","ONBEKEND")),IF(AND($EU197=$ER197,$EV197=$ES197+1),IF(OR(COUNTIF(#REF!,$D197)&gt;0,COUNTIF(#REF!,$D197)=0),"SKIP",IF(COUNTIFS(#REF!,$D197,#REF!,$DG197)&gt;0,"OK","ONBEKEND")),"ONZEKER")))))</f>
        <v/>
      </c>
      <c r="DI197" t="str">
        <f t="shared" ref="DI197:DI208" si="1550">IF($N197="","",TRIM(MID(SUBSTITUTE($N197,",",REPT(" ",200)),3801,200)))</f>
        <v/>
      </c>
      <c r="DJ197" t="str">
        <f t="shared" ref="DJ197:DJ208" si="1551">IF(DI197="","",TRIM(IFERROR(LEFT(DI197,FIND("§",SUBSTITUTE(DI197," ","§",LEN(DI197)-LEN(SUBSTITUTE(DI197," ",""))))-1),DI197)))</f>
        <v/>
      </c>
      <c r="DK197" t="str">
        <f>IF($DJ197="","",IF(OR($EX197="",$EY197=""),"ONZEKER",IF(OR($EU197="",$EV197=""),"ONZEKER",IF(AND($EX197=$EU197+1,$EY197=$EV197),IF(OR(COUNTIF(#REF!,$B197)&gt;0,COUNTIF(#REF!,$B197)=0),"SKIP",IF(COUNTIFS(#REF!,$B197,#REF!,$DJ197)&gt;0,"OK","ONBEKEND")),IF(AND($EX197=$EU197,$EY197=$EV197+1),IF(OR(COUNTIF(#REF!,$D197)&gt;0,COUNTIF(#REF!,$D197)=0),"SKIP",IF(COUNTIFS(#REF!,$D197,#REF!,$DJ197)&gt;0,"OK","ONBEKEND")),"ONZEKER")))))</f>
        <v/>
      </c>
      <c r="DL197" t="str">
        <f t="shared" ref="DL197:DL208" si="1552">IF($CJ197="ONBEKEND",$CI197,"")</f>
        <v/>
      </c>
      <c r="DM197" t="str">
        <f t="shared" ref="DM197:DM208" si="1553">IF($CM197="ONBEKEND",$CL197,"")</f>
        <v/>
      </c>
      <c r="DN197" t="str">
        <f t="shared" ref="DN197:DN208" si="1554">IF($CP197="ONBEKEND",$CO197,"")</f>
        <v/>
      </c>
      <c r="DO197" t="str">
        <f t="shared" ref="DO197:DO208" si="1555">IF($CS197="ONBEKEND",$CR197,"")</f>
        <v/>
      </c>
      <c r="DP197" t="str">
        <f t="shared" ref="DP197:DP208" si="1556">IF($CV197="ONBEKEND",$CU197,"")</f>
        <v/>
      </c>
      <c r="DQ197" t="str">
        <f t="shared" ref="DQ197:DQ208" si="1557">IF($CY197="ONBEKEND",$CX197,"")</f>
        <v/>
      </c>
      <c r="DR197" t="str">
        <f t="shared" ref="DR197:DR208" si="1558">IF($DB197="ONBEKEND",$DA197,"")</f>
        <v/>
      </c>
      <c r="DS197" t="str">
        <f t="shared" ref="DS197:DS208" si="1559">IF($DE197="ONBEKEND",$DD197,"")</f>
        <v/>
      </c>
      <c r="DT197" t="str">
        <f t="shared" ref="DT197:DT208" si="1560">IF($DH197="ONBEKEND",$DG197,"")</f>
        <v/>
      </c>
      <c r="DU197" t="str">
        <f t="shared" ref="DU197:DU208" si="1561">IF($DK197="ONBEKEND",$DJ197,"")</f>
        <v/>
      </c>
      <c r="DV197" t="str">
        <f t="shared" ref="DV197:DV208" si="1562">IF($CH197="","",TRIM(IFERROR(RIGHT($CH197,LEN($CH197)-FIND("§",SUBSTITUTE($CH197," ","§",LEN($CH197)-LEN(SUBSTITUTE($CH197," ",""))))),"")))</f>
        <v/>
      </c>
      <c r="DW197" t="str">
        <f t="shared" ref="DW197:DW208" si="1563">IF($DV197="","",IFERROR(VALUE(LEFT($DV197,FIND("-",$DV197)-1)),""))</f>
        <v/>
      </c>
      <c r="DX197" t="str">
        <f t="shared" ref="DX197:DX208" si="1564">IF($DV197="","",IFERROR(VALUE(MID($DV197,FIND("-",$DV197)+1,99)),""))</f>
        <v/>
      </c>
      <c r="DY197" t="str">
        <f t="shared" ref="DY197:DY208" si="1565">IF($CK197="","",TRIM(IFERROR(RIGHT($CK197,LEN($CK197)-FIND("§",SUBSTITUTE($CK197," ","§",LEN($CK197)-LEN(SUBSTITUTE($CK197," ",""))))),"")))</f>
        <v/>
      </c>
      <c r="DZ197" t="str">
        <f t="shared" ref="DZ197:DZ208" si="1566">IF($DY197="","",IFERROR(VALUE(LEFT($DY197,FIND("-",$DY197)-1)),""))</f>
        <v/>
      </c>
      <c r="EA197" t="str">
        <f t="shared" ref="EA197:EA208" si="1567">IF($DY197="","",IFERROR(VALUE(MID($DY197,FIND("-",$DY197)+1,99)),""))</f>
        <v/>
      </c>
      <c r="EB197" t="str">
        <f t="shared" ref="EB197:EB208" si="1568">IF($CN197="","",TRIM(IFERROR(RIGHT($CN197,LEN($CN197)-FIND("§",SUBSTITUTE($CN197," ","§",LEN($CN197)-LEN(SUBSTITUTE($CN197," ",""))))),"")))</f>
        <v/>
      </c>
      <c r="EC197" t="str">
        <f t="shared" ref="EC197:EC208" si="1569">IF($EB197="","",IFERROR(VALUE(LEFT($EB197,FIND("-",$EB197)-1)),""))</f>
        <v/>
      </c>
      <c r="ED197" t="str">
        <f t="shared" ref="ED197:ED208" si="1570">IF($EB197="","",IFERROR(VALUE(MID($EB197,FIND("-",$EB197)+1,99)),""))</f>
        <v/>
      </c>
      <c r="EE197" t="str">
        <f t="shared" ref="EE197:EE208" si="1571">IF($CQ197="","",TRIM(IFERROR(RIGHT($CQ197,LEN($CQ197)-FIND("§",SUBSTITUTE($CQ197," ","§",LEN($CQ197)-LEN(SUBSTITUTE($CQ197," ",""))))),"")))</f>
        <v/>
      </c>
      <c r="EF197" t="str">
        <f t="shared" ref="EF197:EF208" si="1572">IF($EE197="","",IFERROR(VALUE(LEFT($EE197,FIND("-",$EE197)-1)),""))</f>
        <v/>
      </c>
      <c r="EG197" t="str">
        <f t="shared" ref="EG197:EG208" si="1573">IF($EE197="","",IFERROR(VALUE(MID($EE197,FIND("-",$EE197)+1,99)),""))</f>
        <v/>
      </c>
      <c r="EH197" t="str">
        <f t="shared" ref="EH197:EH208" si="1574">IF($CT197="","",TRIM(IFERROR(RIGHT($CT197,LEN($CT197)-FIND("§",SUBSTITUTE($CT197," ","§",LEN($CT197)-LEN(SUBSTITUTE($CT197," ",""))))),"")))</f>
        <v/>
      </c>
      <c r="EI197" t="str">
        <f t="shared" ref="EI197:EI208" si="1575">IF($EH197="","",IFERROR(VALUE(LEFT($EH197,FIND("-",$EH197)-1)),""))</f>
        <v/>
      </c>
      <c r="EJ197" t="str">
        <f t="shared" ref="EJ197:EJ208" si="1576">IF($EH197="","",IFERROR(VALUE(MID($EH197,FIND("-",$EH197)+1,99)),""))</f>
        <v/>
      </c>
      <c r="EK197" t="str">
        <f t="shared" ref="EK197:EK208" si="1577">IF($CW197="","",TRIM(IFERROR(RIGHT($CW197,LEN($CW197)-FIND("§",SUBSTITUTE($CW197," ","§",LEN($CW197)-LEN(SUBSTITUTE($CW197," ",""))))),"")))</f>
        <v/>
      </c>
      <c r="EL197" t="str">
        <f t="shared" ref="EL197:EL208" si="1578">IF($EK197="","",IFERROR(VALUE(LEFT($EK197,FIND("-",$EK197)-1)),""))</f>
        <v/>
      </c>
      <c r="EM197" t="str">
        <f t="shared" ref="EM197:EM208" si="1579">IF($EK197="","",IFERROR(VALUE(MID($EK197,FIND("-",$EK197)+1,99)),""))</f>
        <v/>
      </c>
      <c r="EN197" t="str">
        <f t="shared" ref="EN197:EN208" si="1580">IF($CZ197="","",TRIM(IFERROR(RIGHT($CZ197,LEN($CZ197)-FIND("§",SUBSTITUTE($CZ197," ","§",LEN($CZ197)-LEN(SUBSTITUTE($CZ197," ",""))))),"")))</f>
        <v/>
      </c>
      <c r="EO197" t="str">
        <f t="shared" ref="EO197:EO208" si="1581">IF($EN197="","",IFERROR(VALUE(LEFT($EN197,FIND("-",$EN197)-1)),""))</f>
        <v/>
      </c>
      <c r="EP197" t="str">
        <f t="shared" ref="EP197:EP208" si="1582">IF($EN197="","",IFERROR(VALUE(MID($EN197,FIND("-",$EN197)+1,99)),""))</f>
        <v/>
      </c>
      <c r="EQ197" t="str">
        <f t="shared" ref="EQ197:EQ208" si="1583">IF($DC197="","",TRIM(IFERROR(RIGHT($DC197,LEN($DC197)-FIND("§",SUBSTITUTE($DC197," ","§",LEN($DC197)-LEN(SUBSTITUTE($DC197," ",""))))),"")))</f>
        <v/>
      </c>
      <c r="ER197" t="str">
        <f t="shared" ref="ER197:ER208" si="1584">IF($EQ197="","",IFERROR(VALUE(LEFT($EQ197,FIND("-",$EQ197)-1)),""))</f>
        <v/>
      </c>
      <c r="ES197" t="str">
        <f t="shared" ref="ES197:ES208" si="1585">IF($EQ197="","",IFERROR(VALUE(MID($EQ197,FIND("-",$EQ197)+1,99)),""))</f>
        <v/>
      </c>
      <c r="ET197" t="str">
        <f t="shared" ref="ET197:ET208" si="1586">IF($DF197="","",TRIM(IFERROR(RIGHT($DF197,LEN($DF197)-FIND("§",SUBSTITUTE($DF197," ","§",LEN($DF197)-LEN(SUBSTITUTE($DF197," ",""))))),"")))</f>
        <v/>
      </c>
      <c r="EU197" t="str">
        <f t="shared" ref="EU197:EU208" si="1587">IF($ET197="","",IFERROR(VALUE(LEFT($ET197,FIND("-",$ET197)-1)),""))</f>
        <v/>
      </c>
      <c r="EV197" t="str">
        <f t="shared" ref="EV197:EV208" si="1588">IF($ET197="","",IFERROR(VALUE(MID($ET197,FIND("-",$ET197)+1,99)),""))</f>
        <v/>
      </c>
      <c r="EW197" t="str">
        <f t="shared" ref="EW197:EW208" si="1589">IF($DI197="","",TRIM(IFERROR(RIGHT($DI197,LEN($DI197)-FIND("§",SUBSTITUTE($DI197," ","§",LEN($DI197)-LEN(SUBSTITUTE($DI197," ",""))))),"")))</f>
        <v/>
      </c>
      <c r="EX197" t="str">
        <f t="shared" ref="EX197:EX208" si="1590">IF($EW197="","",IFERROR(VALUE(LEFT($EW197,FIND("-",$EW197)-1)),""))</f>
        <v/>
      </c>
      <c r="EY197" t="str">
        <f t="shared" ref="EY197:EY208" si="1591">IF($EW197="","",IFERROR(VALUE(MID($EW197,FIND("-",$EW197)+1,99)),""))</f>
        <v/>
      </c>
    </row>
    <row r="198" spans="1:155" ht="13.9" customHeight="1" x14ac:dyDescent="0.25">
      <c r="A198" s="7"/>
      <c r="B198" s="17"/>
      <c r="C198" s="8"/>
      <c r="D198" s="17"/>
      <c r="E198" s="8"/>
      <c r="F198" s="18">
        <v>0</v>
      </c>
      <c r="G198" s="7" t="s">
        <v>147</v>
      </c>
      <c r="H198" s="18">
        <v>0</v>
      </c>
      <c r="I198" s="19">
        <v>0</v>
      </c>
      <c r="J198" s="7" t="s">
        <v>147</v>
      </c>
      <c r="K198" s="19">
        <v>0</v>
      </c>
      <c r="L198" s="9"/>
      <c r="M198" s="3" t="str">
        <f>IF($L198="","",IF($L198="DOELPUNTENMAKERS","",IF(AND(COUNTIF(#REF!,$B198)=0,COUNTIF(#REF!,$D198)=0),"OK",IF($O198&gt;20,"LET OP: meer dan 20 items (controle onvolledig)",IF((COUNTIF($R198:$AS198,"ONZEKER")+COUNTIF($CJ198:$DK198,"ONZEKER"))&gt;0,"LET OP: scoreverloop onduidelijk (controle beperkt)",IF((IF($AT198&lt;&gt;"",$AT198&amp;", ","")&amp;IF($AU198&lt;&gt;"",$AU198&amp;", ","")&amp;IF($AV198&lt;&gt;"",$AV198&amp;", ","")&amp;IF($AW198&lt;&gt;"",$AW198&amp;", ","")&amp;IF($AX198&lt;&gt;"",$AX198&amp;", ","")&amp;IF($AY198&lt;&gt;"",$AY198&amp;", ","")&amp;IF($AZ198&lt;&gt;"",$AZ198&amp;", ","")&amp;IF($BA198&lt;&gt;"",$BA198&amp;", ","")&amp;IF($BB198&lt;&gt;"",$BB198&amp;", ","")&amp;IF($BC198&lt;&gt;"",$BC198&amp;", ","")&amp;IF($DL198&lt;&gt;"",$DL198&amp;", ","")&amp;IF($DM198&lt;&gt;"",$DM198&amp;", ","")&amp;IF($DN198&lt;&gt;"",$DN198&amp;", ","")&amp;IF($DO198&lt;&gt;"",$DO198&amp;", ","")&amp;IF($DP198&lt;&gt;"",$DP198&amp;", ","")&amp;IF($DQ198&lt;&gt;"",$DQ198&amp;", ","")&amp;IF($DR198&lt;&gt;"",$DR198&amp;", ","")&amp;IF($DS198&lt;&gt;"",$DS198&amp;", ","")&amp;IF($DT198&lt;&gt;"",$DT198&amp;", ","")&amp;IF($DU198&lt;&gt;"",$DU198&amp;", ",""))="","OK","Onbekend: "&amp;LEFT((IF($AT198&lt;&gt;"",$AT198&amp;", ","")&amp;IF($AU198&lt;&gt;"",$AU198&amp;", ","")&amp;IF($AV198&lt;&gt;"",$AV198&amp;", ","")&amp;IF($AW198&lt;&gt;"",$AW198&amp;", ","")&amp;IF($AX198&lt;&gt;"",$AX198&amp;", ","")&amp;IF($AY198&lt;&gt;"",$AY198&amp;", ","")&amp;IF($AZ198&lt;&gt;"",$AZ198&amp;", ","")&amp;IF($BA198&lt;&gt;"",$BA198&amp;", ","")&amp;IF($BB198&lt;&gt;"",$BB198&amp;", ","")&amp;IF($BC198&lt;&gt;"",$BC198&amp;", ","")&amp;IF($DL198&lt;&gt;"",$DL198&amp;", ","")&amp;IF($DM198&lt;&gt;"",$DM198&amp;", ","")&amp;IF($DN198&lt;&gt;"",$DN198&amp;", ","")&amp;IF($DO198&lt;&gt;"",$DO198&amp;", ","")&amp;IF($DP198&lt;&gt;"",$DP198&amp;", ","")&amp;IF($DQ198&lt;&gt;"",$DQ198&amp;", ","")&amp;IF($DR198&lt;&gt;"",$DR198&amp;", ","")&amp;IF($DS198&lt;&gt;"",$DS198&amp;", ","")&amp;IF($DT198&lt;&gt;"",$DT198&amp;", ","")&amp;IF($DU198&lt;&gt;"",$DU198&amp;", ","")),LEN((IF($AT198&lt;&gt;"",$AT198&amp;", ","")&amp;IF($AU198&lt;&gt;"",$AU198&amp;", ","")&amp;IF($AV198&lt;&gt;"",$AV198&amp;", ","")&amp;IF($AW198&lt;&gt;"",$AW198&amp;", ","")&amp;IF($AX198&lt;&gt;"",$AX198&amp;", ","")&amp;IF($AY198&lt;&gt;"",$AY198&amp;", ","")&amp;IF($AZ198&lt;&gt;"",$AZ198&amp;", ","")&amp;IF($BA198&lt;&gt;"",$BA198&amp;", ","")&amp;IF($BB198&lt;&gt;"",$BB198&amp;", ","")&amp;IF($BC198&lt;&gt;"",$BC198&amp;", ","")&amp;IF($DL198&lt;&gt;"",$DL198&amp;", ","")&amp;IF($DM198&lt;&gt;"",$DM198&amp;", ","")&amp;IF($DN198&lt;&gt;"",$DN198&amp;", ","")&amp;IF($DO198&lt;&gt;"",$DO198&amp;", ","")&amp;IF($DP198&lt;&gt;"",$DP198&amp;", ","")&amp;IF($DQ198&lt;&gt;"",$DQ198&amp;", ","")&amp;IF($DR198&lt;&gt;"",$DR198&amp;", ","")&amp;IF($DS198&lt;&gt;"",$DS198&amp;", ","")&amp;IF($DT198&lt;&gt;"",$DT198&amp;", ","")&amp;IF($DU198&lt;&gt;"",$DU198&amp;", ","")))-2)))))))</f>
        <v/>
      </c>
      <c r="N198" t="str">
        <f t="shared" si="1500"/>
        <v/>
      </c>
      <c r="O198" t="str">
        <f t="shared" si="1501"/>
        <v/>
      </c>
      <c r="P198" t="str">
        <f t="shared" si="1502"/>
        <v/>
      </c>
      <c r="Q198" t="str">
        <f t="shared" si="1503"/>
        <v/>
      </c>
      <c r="R198" t="str">
        <f>IF($Q198="","",IF(OR($BE198="",$BF198=""),"ONZEKER",IF(AND($BE198=0+1,$BF198=0),IF(OR(COUNTIF(#REF!,$B198)&gt;0,COUNTIF(#REF!,$B198)=0),"SKIP",IF(COUNTIFS(#REF!,$B198,#REF!,$Q198)&gt;0,"OK","ONBEKEND")),IF(AND($BE198=0,$BF198=0+1),IF(OR(COUNTIF(#REF!,$D198)&gt;0,COUNTIF(#REF!,$D198)=0),"SKIP",IF(COUNTIFS(#REF!,$D198,#REF!,$Q198)&gt;0,"OK","ONBEKEND")),"ONZEKER"))))</f>
        <v/>
      </c>
      <c r="S198" t="str">
        <f t="shared" si="1504"/>
        <v/>
      </c>
      <c r="T198" t="str">
        <f t="shared" si="1505"/>
        <v/>
      </c>
      <c r="U198" t="str">
        <f>IF($T198="","",IF(OR($BH198="",$BI198=""),"ONZEKER",IF(OR($BE198="",$BF198=""),"ONZEKER",IF(AND($BH198=$BE198+1,$BI198=$BF198),IF(OR(COUNTIF(#REF!,$B198)&gt;0,COUNTIF(#REF!,$B198)=0),"SKIP",IF(COUNTIFS(#REF!,$B198,#REF!,$T198)&gt;0,"OK","ONBEKEND")),IF(AND($BH198=$BE198,$BI198=$BF198+1),IF(OR(COUNTIF(#REF!,$D198)&gt;0,COUNTIF(#REF!,$D198)=0),"SKIP",IF(COUNTIFS(#REF!,$D198,#REF!,$T198)&gt;0,"OK","ONBEKEND")),"ONZEKER")))))</f>
        <v/>
      </c>
      <c r="V198" t="str">
        <f t="shared" si="1506"/>
        <v/>
      </c>
      <c r="W198" t="str">
        <f t="shared" si="1507"/>
        <v/>
      </c>
      <c r="X198" t="str">
        <f>IF($W198="","",IF(OR($BK198="",$BL198=""),"ONZEKER",IF(OR($BH198="",$BI198=""),"ONZEKER",IF(AND($BK198=$BH198+1,$BL198=$BI198),IF(OR(COUNTIF(#REF!,$B198)&gt;0,COUNTIF(#REF!,$B198)=0),"SKIP",IF(COUNTIFS(#REF!,$B198,#REF!,$W198)&gt;0,"OK","ONBEKEND")),IF(AND($BK198=$BH198,$BL198=$BI198+1),IF(OR(COUNTIF(#REF!,$D198)&gt;0,COUNTIF(#REF!,$D198)=0),"SKIP",IF(COUNTIFS(#REF!,$D198,#REF!,$W198)&gt;0,"OK","ONBEKEND")),"ONZEKER")))))</f>
        <v/>
      </c>
      <c r="Y198" t="str">
        <f t="shared" si="1508"/>
        <v/>
      </c>
      <c r="Z198" t="str">
        <f t="shared" si="1509"/>
        <v/>
      </c>
      <c r="AA198" t="str">
        <f>IF($Z198="","",IF(OR($BN198="",$BO198=""),"ONZEKER",IF(OR($BK198="",$BL198=""),"ONZEKER",IF(AND($BN198=$BK198+1,$BO198=$BL198),IF(OR(COUNTIF(#REF!,$B198)&gt;0,COUNTIF(#REF!,$B198)=0),"SKIP",IF(COUNTIFS(#REF!,$B198,#REF!,$Z198)&gt;0,"OK","ONBEKEND")),IF(AND($BN198=$BK198,$BO198=$BL198+1),IF(OR(COUNTIF(#REF!,$D198)&gt;0,COUNTIF(#REF!,$D198)=0),"SKIP",IF(COUNTIFS(#REF!,$D198,#REF!,$Z198)&gt;0,"OK","ONBEKEND")),"ONZEKER")))))</f>
        <v/>
      </c>
      <c r="AB198" t="str">
        <f t="shared" si="1510"/>
        <v/>
      </c>
      <c r="AC198" t="str">
        <f t="shared" si="1511"/>
        <v/>
      </c>
      <c r="AD198" t="str">
        <f>IF($AC198="","",IF(OR($BQ198="",$BR198=""),"ONZEKER",IF(OR($BN198="",$BO198=""),"ONZEKER",IF(AND($BQ198=$BN198+1,$BR198=$BO198),IF(OR(COUNTIF(#REF!,$B198)&gt;0,COUNTIF(#REF!,$B198)=0),"SKIP",IF(COUNTIFS(#REF!,$B198,#REF!,$AC198)&gt;0,"OK","ONBEKEND")),IF(AND($BQ198=$BN198,$BR198=$BO198+1),IF(OR(COUNTIF(#REF!,$D198)&gt;0,COUNTIF(#REF!,$D198)=0),"SKIP",IF(COUNTIFS(#REF!,$D198,#REF!,$AC198)&gt;0,"OK","ONBEKEND")),"ONZEKER")))))</f>
        <v/>
      </c>
      <c r="AE198" t="str">
        <f t="shared" si="1512"/>
        <v/>
      </c>
      <c r="AF198" t="str">
        <f t="shared" si="1513"/>
        <v/>
      </c>
      <c r="AG198" t="str">
        <f>IF($AF198="","",IF(OR($BT198="",$BU198=""),"ONZEKER",IF(OR($BQ198="",$BR198=""),"ONZEKER",IF(AND($BT198=$BQ198+1,$BU198=$BR198),IF(OR(COUNTIF(#REF!,$B198)&gt;0,COUNTIF(#REF!,$B198)=0),"SKIP",IF(COUNTIFS(#REF!,$B198,#REF!,$AF198)&gt;0,"OK","ONBEKEND")),IF(AND($BT198=$BQ198,$BU198=$BR198+1),IF(OR(COUNTIF(#REF!,$D198)&gt;0,COUNTIF(#REF!,$D198)=0),"SKIP",IF(COUNTIFS(#REF!,$D198,#REF!,$AF198)&gt;0,"OK","ONBEKEND")),"ONZEKER")))))</f>
        <v/>
      </c>
      <c r="AH198" t="str">
        <f t="shared" si="1514"/>
        <v/>
      </c>
      <c r="AI198" t="str">
        <f t="shared" si="1515"/>
        <v/>
      </c>
      <c r="AJ198" t="str">
        <f>IF($AI198="","",IF(OR($BW198="",$BX198=""),"ONZEKER",IF(OR($BT198="",$BU198=""),"ONZEKER",IF(AND($BW198=$BT198+1,$BX198=$BU198),IF(OR(COUNTIF(#REF!,$B198)&gt;0,COUNTIF(#REF!,$B198)=0),"SKIP",IF(COUNTIFS(#REF!,$B198,#REF!,$AI198)&gt;0,"OK","ONBEKEND")),IF(AND($BW198=$BT198,$BX198=$BU198+1),IF(OR(COUNTIF(#REF!,$D198)&gt;0,COUNTIF(#REF!,$D198)=0),"SKIP",IF(COUNTIFS(#REF!,$D198,#REF!,$AI198)&gt;0,"OK","ONBEKEND")),"ONZEKER")))))</f>
        <v/>
      </c>
      <c r="AK198" t="str">
        <f t="shared" si="1516"/>
        <v/>
      </c>
      <c r="AL198" t="str">
        <f t="shared" si="1517"/>
        <v/>
      </c>
      <c r="AM198" t="str">
        <f>IF($AL198="","",IF(OR($BZ198="",$CA198=""),"ONZEKER",IF(OR($BW198="",$BX198=""),"ONZEKER",IF(AND($BZ198=$BW198+1,$CA198=$BX198),IF(OR(COUNTIF(#REF!,$B198)&gt;0,COUNTIF(#REF!,$B198)=0),"SKIP",IF(COUNTIFS(#REF!,$B198,#REF!,$AL198)&gt;0,"OK","ONBEKEND")),IF(AND($BZ198=$BW198,$CA198=$BX198+1),IF(OR(COUNTIF(#REF!,$D198)&gt;0,COUNTIF(#REF!,$D198)=0),"SKIP",IF(COUNTIFS(#REF!,$D198,#REF!,$AL198)&gt;0,"OK","ONBEKEND")),"ONZEKER")))))</f>
        <v/>
      </c>
      <c r="AN198" t="str">
        <f t="shared" si="1518"/>
        <v/>
      </c>
      <c r="AO198" t="str">
        <f t="shared" si="1519"/>
        <v/>
      </c>
      <c r="AP198" t="str">
        <f>IF($AO198="","",IF(OR($CC198="",$CD198=""),"ONZEKER",IF(OR($BZ198="",$CA198=""),"ONZEKER",IF(AND($CC198=$BZ198+1,$CD198=$CA198),IF(OR(COUNTIF(#REF!,$B198)&gt;0,COUNTIF(#REF!,$B198)=0),"SKIP",IF(COUNTIFS(#REF!,$B198,#REF!,$AO198)&gt;0,"OK","ONBEKEND")),IF(AND($CC198=$BZ198,$CD198=$CA198+1),IF(OR(COUNTIF(#REF!,$D198)&gt;0,COUNTIF(#REF!,$D198)=0),"SKIP",IF(COUNTIFS(#REF!,$D198,#REF!,$AO198)&gt;0,"OK","ONBEKEND")),"ONZEKER")))))</f>
        <v/>
      </c>
      <c r="AQ198" t="str">
        <f t="shared" si="1520"/>
        <v/>
      </c>
      <c r="AR198" t="str">
        <f t="shared" si="1521"/>
        <v/>
      </c>
      <c r="AS198" t="str">
        <f>IF($AR198="","",IF(OR($CF198="",$CG198=""),"ONZEKER",IF(OR($CC198="",$CD198=""),"ONZEKER",IF(AND($CF198=$CC198+1,$CG198=$CD198),IF(OR(COUNTIF(#REF!,$B198)&gt;0,COUNTIF(#REF!,$B198)=0),"SKIP",IF(COUNTIFS(#REF!,$B198,#REF!,$AR198)&gt;0,"OK","ONBEKEND")),IF(AND($CF198=$CC198,$CG198=$CD198+1),IF(OR(COUNTIF(#REF!,$D198)&gt;0,COUNTIF(#REF!,$D198)=0),"SKIP",IF(COUNTIFS(#REF!,$D198,#REF!,$AR198)&gt;0,"OK","ONBEKEND")),"ONZEKER")))))</f>
        <v/>
      </c>
      <c r="AT198" t="str">
        <f t="shared" si="1522"/>
        <v/>
      </c>
      <c r="AU198" t="str">
        <f t="shared" si="1523"/>
        <v/>
      </c>
      <c r="AV198" t="str">
        <f t="shared" si="1524"/>
        <v/>
      </c>
      <c r="AW198" t="str">
        <f t="shared" si="1525"/>
        <v/>
      </c>
      <c r="AX198" t="str">
        <f t="shared" si="1526"/>
        <v/>
      </c>
      <c r="AY198" t="str">
        <f t="shared" si="1527"/>
        <v/>
      </c>
      <c r="AZ198" t="str">
        <f t="shared" si="1528"/>
        <v/>
      </c>
      <c r="BA198" t="str">
        <f t="shared" si="1529"/>
        <v/>
      </c>
      <c r="BB198" t="str">
        <f t="shared" si="1530"/>
        <v/>
      </c>
      <c r="BC198" t="str">
        <f t="shared" si="1531"/>
        <v/>
      </c>
      <c r="BD198" t="str">
        <f t="shared" si="1470"/>
        <v/>
      </c>
      <c r="BE198" t="str">
        <f t="shared" si="1471"/>
        <v/>
      </c>
      <c r="BF198" t="str">
        <f t="shared" si="1472"/>
        <v/>
      </c>
      <c r="BG198" t="str">
        <f t="shared" si="1473"/>
        <v/>
      </c>
      <c r="BH198" t="str">
        <f t="shared" si="1474"/>
        <v/>
      </c>
      <c r="BI198" t="str">
        <f t="shared" si="1475"/>
        <v/>
      </c>
      <c r="BJ198" t="str">
        <f t="shared" si="1476"/>
        <v/>
      </c>
      <c r="BK198" t="str">
        <f t="shared" si="1477"/>
        <v/>
      </c>
      <c r="BL198" t="str">
        <f t="shared" si="1478"/>
        <v/>
      </c>
      <c r="BM198" t="str">
        <f t="shared" si="1479"/>
        <v/>
      </c>
      <c r="BN198" t="str">
        <f t="shared" si="1480"/>
        <v/>
      </c>
      <c r="BO198" t="str">
        <f t="shared" si="1481"/>
        <v/>
      </c>
      <c r="BP198" t="str">
        <f t="shared" si="1482"/>
        <v/>
      </c>
      <c r="BQ198" t="str">
        <f t="shared" si="1483"/>
        <v/>
      </c>
      <c r="BR198" t="str">
        <f t="shared" si="1484"/>
        <v/>
      </c>
      <c r="BS198" t="str">
        <f t="shared" si="1485"/>
        <v/>
      </c>
      <c r="BT198" t="str">
        <f t="shared" si="1486"/>
        <v/>
      </c>
      <c r="BU198" t="str">
        <f t="shared" si="1487"/>
        <v/>
      </c>
      <c r="BV198" t="str">
        <f t="shared" si="1488"/>
        <v/>
      </c>
      <c r="BW198" t="str">
        <f t="shared" si="1489"/>
        <v/>
      </c>
      <c r="BX198" t="str">
        <f t="shared" si="1490"/>
        <v/>
      </c>
      <c r="BY198" t="str">
        <f t="shared" si="1491"/>
        <v/>
      </c>
      <c r="BZ198" t="str">
        <f t="shared" si="1492"/>
        <v/>
      </c>
      <c r="CA198" t="str">
        <f t="shared" si="1493"/>
        <v/>
      </c>
      <c r="CB198" t="str">
        <f t="shared" si="1494"/>
        <v/>
      </c>
      <c r="CC198" t="str">
        <f t="shared" si="1495"/>
        <v/>
      </c>
      <c r="CD198" t="str">
        <f t="shared" si="1496"/>
        <v/>
      </c>
      <c r="CE198" t="str">
        <f t="shared" si="1497"/>
        <v/>
      </c>
      <c r="CF198" t="str">
        <f t="shared" si="1498"/>
        <v/>
      </c>
      <c r="CG198" t="str">
        <f t="shared" si="1499"/>
        <v/>
      </c>
      <c r="CH198" t="str">
        <f t="shared" si="1532"/>
        <v/>
      </c>
      <c r="CI198" t="str">
        <f t="shared" si="1533"/>
        <v/>
      </c>
      <c r="CJ198" t="str">
        <f>IF($CI198="","",IF(OR($DW198="",$DX198=""),"ONZEKER",IF(OR($CF198="",$CG198=""),"ONZEKER",IF(AND($DW198=$CF198+1,$DX198=$CG198),IF(OR(COUNTIF(#REF!,$B198)&gt;0,COUNTIF(#REF!,$B198)=0),"SKIP",IF(COUNTIFS(#REF!,$B198,#REF!,$CI198)&gt;0,"OK","ONBEKEND")),IF(AND($DW198=$CF198,$DX198=$CG198+1),IF(OR(COUNTIF(#REF!,$D198)&gt;0,COUNTIF(#REF!,$D198)=0),"SKIP",IF(COUNTIFS(#REF!,$D198,#REF!,$CI198)&gt;0,"OK","ONBEKEND")),"ONZEKER")))))</f>
        <v/>
      </c>
      <c r="CK198" t="str">
        <f t="shared" si="1534"/>
        <v/>
      </c>
      <c r="CL198" t="str">
        <f t="shared" si="1535"/>
        <v/>
      </c>
      <c r="CM198" t="str">
        <f>IF($CL198="","",IF(OR($DZ198="",$EA198=""),"ONZEKER",IF(OR($DW198="",$DX198=""),"ONZEKER",IF(AND($DZ198=$DW198+1,$EA198=$DX198),IF(OR(COUNTIF(#REF!,$B198)&gt;0,COUNTIF(#REF!,$B198)=0),"SKIP",IF(COUNTIFS(#REF!,$B198,#REF!,$CL198)&gt;0,"OK","ONBEKEND")),IF(AND($DZ198=$DW198,$EA198=$DX198+1),IF(OR(COUNTIF(#REF!,$D198)&gt;0,COUNTIF(#REF!,$D198)=0),"SKIP",IF(COUNTIFS(#REF!,$D198,#REF!,$CL198)&gt;0,"OK","ONBEKEND")),"ONZEKER")))))</f>
        <v/>
      </c>
      <c r="CN198" t="str">
        <f t="shared" si="1536"/>
        <v/>
      </c>
      <c r="CO198" t="str">
        <f t="shared" si="1537"/>
        <v/>
      </c>
      <c r="CP198" t="str">
        <f>IF($CO198="","",IF(OR($EC198="",$ED198=""),"ONZEKER",IF(OR($DZ198="",$EA198=""),"ONZEKER",IF(AND($EC198=$DZ198+1,$ED198=$EA198),IF(OR(COUNTIF(#REF!,$B198)&gt;0,COUNTIF(#REF!,$B198)=0),"SKIP",IF(COUNTIFS(#REF!,$B198,#REF!,$CO198)&gt;0,"OK","ONBEKEND")),IF(AND($EC198=$DZ198,$ED198=$EA198+1),IF(OR(COUNTIF(#REF!,$D198)&gt;0,COUNTIF(#REF!,$D198)=0),"SKIP",IF(COUNTIFS(#REF!,$D198,#REF!,$CO198)&gt;0,"OK","ONBEKEND")),"ONZEKER")))))</f>
        <v/>
      </c>
      <c r="CQ198" t="str">
        <f t="shared" si="1538"/>
        <v/>
      </c>
      <c r="CR198" t="str">
        <f t="shared" si="1539"/>
        <v/>
      </c>
      <c r="CS198" t="str">
        <f>IF($CR198="","",IF(OR($EF198="",$EG198=""),"ONZEKER",IF(OR($EC198="",$ED198=""),"ONZEKER",IF(AND($EF198=$EC198+1,$EG198=$ED198),IF(OR(COUNTIF(#REF!,$B198)&gt;0,COUNTIF(#REF!,$B198)=0),"SKIP",IF(COUNTIFS(#REF!,$B198,#REF!,$CR198)&gt;0,"OK","ONBEKEND")),IF(AND($EF198=$EC198,$EG198=$ED198+1),IF(OR(COUNTIF(#REF!,$D198)&gt;0,COUNTIF(#REF!,$D198)=0),"SKIP",IF(COUNTIFS(#REF!,$D198,#REF!,$CR198)&gt;0,"OK","ONBEKEND")),"ONZEKER")))))</f>
        <v/>
      </c>
      <c r="CT198" t="str">
        <f t="shared" si="1540"/>
        <v/>
      </c>
      <c r="CU198" t="str">
        <f t="shared" si="1541"/>
        <v/>
      </c>
      <c r="CV198" t="str">
        <f>IF($CU198="","",IF(OR($EI198="",$EJ198=""),"ONZEKER",IF(OR($EF198="",$EG198=""),"ONZEKER",IF(AND($EI198=$EF198+1,$EJ198=$EG198),IF(OR(COUNTIF(#REF!,$B198)&gt;0,COUNTIF(#REF!,$B198)=0),"SKIP",IF(COUNTIFS(#REF!,$B198,#REF!,$CU198)&gt;0,"OK","ONBEKEND")),IF(AND($EI198=$EF198,$EJ198=$EG198+1),IF(OR(COUNTIF(#REF!,$D198)&gt;0,COUNTIF(#REF!,$D198)=0),"SKIP",IF(COUNTIFS(#REF!,$D198,#REF!,$CU198)&gt;0,"OK","ONBEKEND")),"ONZEKER")))))</f>
        <v/>
      </c>
      <c r="CW198" t="str">
        <f t="shared" si="1542"/>
        <v/>
      </c>
      <c r="CX198" t="str">
        <f t="shared" si="1543"/>
        <v/>
      </c>
      <c r="CY198" t="str">
        <f>IF($CX198="","",IF(OR($EL198="",$EM198=""),"ONZEKER",IF(OR($EI198="",$EJ198=""),"ONZEKER",IF(AND($EL198=$EI198+1,$EM198=$EJ198),IF(OR(COUNTIF(#REF!,$B198)&gt;0,COUNTIF(#REF!,$B198)=0),"SKIP",IF(COUNTIFS(#REF!,$B198,#REF!,$CX198)&gt;0,"OK","ONBEKEND")),IF(AND($EL198=$EI198,$EM198=$EJ198+1),IF(OR(COUNTIF(#REF!,$D198)&gt;0,COUNTIF(#REF!,$D198)=0),"SKIP",IF(COUNTIFS(#REF!,$D198,#REF!,$CX198)&gt;0,"OK","ONBEKEND")),"ONZEKER")))))</f>
        <v/>
      </c>
      <c r="CZ198" t="str">
        <f t="shared" si="1544"/>
        <v/>
      </c>
      <c r="DA198" t="str">
        <f t="shared" si="1545"/>
        <v/>
      </c>
      <c r="DB198" t="str">
        <f>IF($DA198="","",IF(OR($EO198="",$EP198=""),"ONZEKER",IF(OR($EL198="",$EM198=""),"ONZEKER",IF(AND($EO198=$EL198+1,$EP198=$EM198),IF(OR(COUNTIF(#REF!,$B198)&gt;0,COUNTIF(#REF!,$B198)=0),"SKIP",IF(COUNTIFS(#REF!,$B198,#REF!,$DA198)&gt;0,"OK","ONBEKEND")),IF(AND($EO198=$EL198,$EP198=$EM198+1),IF(OR(COUNTIF(#REF!,$D198)&gt;0,COUNTIF(#REF!,$D198)=0),"SKIP",IF(COUNTIFS(#REF!,$D198,#REF!,$DA198)&gt;0,"OK","ONBEKEND")),"ONZEKER")))))</f>
        <v/>
      </c>
      <c r="DC198" t="str">
        <f t="shared" si="1546"/>
        <v/>
      </c>
      <c r="DD198" t="str">
        <f t="shared" si="1547"/>
        <v/>
      </c>
      <c r="DE198" t="str">
        <f>IF($DD198="","",IF(OR($ER198="",$ES198=""),"ONZEKER",IF(OR($EO198="",$EP198=""),"ONZEKER",IF(AND($ER198=$EO198+1,$ES198=$EP198),IF(OR(COUNTIF(#REF!,$B198)&gt;0,COUNTIF(#REF!,$B198)=0),"SKIP",IF(COUNTIFS(#REF!,$B198,#REF!,$DD198)&gt;0,"OK","ONBEKEND")),IF(AND($ER198=$EO198,$ES198=$EP198+1),IF(OR(COUNTIF(#REF!,$D198)&gt;0,COUNTIF(#REF!,$D198)=0),"SKIP",IF(COUNTIFS(#REF!,$D198,#REF!,$DD198)&gt;0,"OK","ONBEKEND")),"ONZEKER")))))</f>
        <v/>
      </c>
      <c r="DF198" t="str">
        <f t="shared" si="1548"/>
        <v/>
      </c>
      <c r="DG198" t="str">
        <f t="shared" si="1549"/>
        <v/>
      </c>
      <c r="DH198" t="str">
        <f>IF($DG198="","",IF(OR($EU198="",$EV198=""),"ONZEKER",IF(OR($ER198="",$ES198=""),"ONZEKER",IF(AND($EU198=$ER198+1,$EV198=$ES198),IF(OR(COUNTIF(#REF!,$B198)&gt;0,COUNTIF(#REF!,$B198)=0),"SKIP",IF(COUNTIFS(#REF!,$B198,#REF!,$DG198)&gt;0,"OK","ONBEKEND")),IF(AND($EU198=$ER198,$EV198=$ES198+1),IF(OR(COUNTIF(#REF!,$D198)&gt;0,COUNTIF(#REF!,$D198)=0),"SKIP",IF(COUNTIFS(#REF!,$D198,#REF!,$DG198)&gt;0,"OK","ONBEKEND")),"ONZEKER")))))</f>
        <v/>
      </c>
      <c r="DI198" t="str">
        <f t="shared" si="1550"/>
        <v/>
      </c>
      <c r="DJ198" t="str">
        <f t="shared" si="1551"/>
        <v/>
      </c>
      <c r="DK198" t="str">
        <f>IF($DJ198="","",IF(OR($EX198="",$EY198=""),"ONZEKER",IF(OR($EU198="",$EV198=""),"ONZEKER",IF(AND($EX198=$EU198+1,$EY198=$EV198),IF(OR(COUNTIF(#REF!,$B198)&gt;0,COUNTIF(#REF!,$B198)=0),"SKIP",IF(COUNTIFS(#REF!,$B198,#REF!,$DJ198)&gt;0,"OK","ONBEKEND")),IF(AND($EX198=$EU198,$EY198=$EV198+1),IF(OR(COUNTIF(#REF!,$D198)&gt;0,COUNTIF(#REF!,$D198)=0),"SKIP",IF(COUNTIFS(#REF!,$D198,#REF!,$DJ198)&gt;0,"OK","ONBEKEND")),"ONZEKER")))))</f>
        <v/>
      </c>
      <c r="DL198" t="str">
        <f t="shared" si="1552"/>
        <v/>
      </c>
      <c r="DM198" t="str">
        <f t="shared" si="1553"/>
        <v/>
      </c>
      <c r="DN198" t="str">
        <f t="shared" si="1554"/>
        <v/>
      </c>
      <c r="DO198" t="str">
        <f t="shared" si="1555"/>
        <v/>
      </c>
      <c r="DP198" t="str">
        <f t="shared" si="1556"/>
        <v/>
      </c>
      <c r="DQ198" t="str">
        <f t="shared" si="1557"/>
        <v/>
      </c>
      <c r="DR198" t="str">
        <f t="shared" si="1558"/>
        <v/>
      </c>
      <c r="DS198" t="str">
        <f t="shared" si="1559"/>
        <v/>
      </c>
      <c r="DT198" t="str">
        <f t="shared" si="1560"/>
        <v/>
      </c>
      <c r="DU198" t="str">
        <f t="shared" si="1561"/>
        <v/>
      </c>
      <c r="DV198" t="str">
        <f t="shared" si="1562"/>
        <v/>
      </c>
      <c r="DW198" t="str">
        <f t="shared" si="1563"/>
        <v/>
      </c>
      <c r="DX198" t="str">
        <f t="shared" si="1564"/>
        <v/>
      </c>
      <c r="DY198" t="str">
        <f t="shared" si="1565"/>
        <v/>
      </c>
      <c r="DZ198" t="str">
        <f t="shared" si="1566"/>
        <v/>
      </c>
      <c r="EA198" t="str">
        <f t="shared" si="1567"/>
        <v/>
      </c>
      <c r="EB198" t="str">
        <f t="shared" si="1568"/>
        <v/>
      </c>
      <c r="EC198" t="str">
        <f t="shared" si="1569"/>
        <v/>
      </c>
      <c r="ED198" t="str">
        <f t="shared" si="1570"/>
        <v/>
      </c>
      <c r="EE198" t="str">
        <f t="shared" si="1571"/>
        <v/>
      </c>
      <c r="EF198" t="str">
        <f t="shared" si="1572"/>
        <v/>
      </c>
      <c r="EG198" t="str">
        <f t="shared" si="1573"/>
        <v/>
      </c>
      <c r="EH198" t="str">
        <f t="shared" si="1574"/>
        <v/>
      </c>
      <c r="EI198" t="str">
        <f t="shared" si="1575"/>
        <v/>
      </c>
      <c r="EJ198" t="str">
        <f t="shared" si="1576"/>
        <v/>
      </c>
      <c r="EK198" t="str">
        <f t="shared" si="1577"/>
        <v/>
      </c>
      <c r="EL198" t="str">
        <f t="shared" si="1578"/>
        <v/>
      </c>
      <c r="EM198" t="str">
        <f t="shared" si="1579"/>
        <v/>
      </c>
      <c r="EN198" t="str">
        <f t="shared" si="1580"/>
        <v/>
      </c>
      <c r="EO198" t="str">
        <f t="shared" si="1581"/>
        <v/>
      </c>
      <c r="EP198" t="str">
        <f t="shared" si="1582"/>
        <v/>
      </c>
      <c r="EQ198" t="str">
        <f t="shared" si="1583"/>
        <v/>
      </c>
      <c r="ER198" t="str">
        <f t="shared" si="1584"/>
        <v/>
      </c>
      <c r="ES198" t="str">
        <f t="shared" si="1585"/>
        <v/>
      </c>
      <c r="ET198" t="str">
        <f t="shared" si="1586"/>
        <v/>
      </c>
      <c r="EU198" t="str">
        <f t="shared" si="1587"/>
        <v/>
      </c>
      <c r="EV198" t="str">
        <f t="shared" si="1588"/>
        <v/>
      </c>
      <c r="EW198" t="str">
        <f t="shared" si="1589"/>
        <v/>
      </c>
      <c r="EX198" t="str">
        <f t="shared" si="1590"/>
        <v/>
      </c>
      <c r="EY198" t="str">
        <f t="shared" si="1591"/>
        <v/>
      </c>
    </row>
    <row r="199" spans="1:155" ht="13.9" customHeight="1" x14ac:dyDescent="0.25">
      <c r="A199" s="7"/>
      <c r="B199" s="17"/>
      <c r="C199" s="8"/>
      <c r="D199" s="17"/>
      <c r="E199" s="8"/>
      <c r="F199" s="18">
        <v>0</v>
      </c>
      <c r="G199" s="7" t="s">
        <v>147</v>
      </c>
      <c r="H199" s="18">
        <v>0</v>
      </c>
      <c r="I199" s="19">
        <v>0</v>
      </c>
      <c r="J199" s="7" t="s">
        <v>147</v>
      </c>
      <c r="K199" s="19">
        <v>0</v>
      </c>
      <c r="L199" s="9"/>
      <c r="M199" s="3" t="str">
        <f>IF($L199="","",IF($L199="DOELPUNTENMAKERS","",IF(AND(COUNTIF(#REF!,$B199)=0,COUNTIF(#REF!,$D199)=0),"OK",IF($O199&gt;20,"LET OP: meer dan 20 items (controle onvolledig)",IF((COUNTIF($R199:$AS199,"ONZEKER")+COUNTIF($CJ199:$DK199,"ONZEKER"))&gt;0,"LET OP: scoreverloop onduidelijk (controle beperkt)",IF((IF($AT199&lt;&gt;"",$AT199&amp;", ","")&amp;IF($AU199&lt;&gt;"",$AU199&amp;", ","")&amp;IF($AV199&lt;&gt;"",$AV199&amp;", ","")&amp;IF($AW199&lt;&gt;"",$AW199&amp;", ","")&amp;IF($AX199&lt;&gt;"",$AX199&amp;", ","")&amp;IF($AY199&lt;&gt;"",$AY199&amp;", ","")&amp;IF($AZ199&lt;&gt;"",$AZ199&amp;", ","")&amp;IF($BA199&lt;&gt;"",$BA199&amp;", ","")&amp;IF($BB199&lt;&gt;"",$BB199&amp;", ","")&amp;IF($BC199&lt;&gt;"",$BC199&amp;", ","")&amp;IF($DL199&lt;&gt;"",$DL199&amp;", ","")&amp;IF($DM199&lt;&gt;"",$DM199&amp;", ","")&amp;IF($DN199&lt;&gt;"",$DN199&amp;", ","")&amp;IF($DO199&lt;&gt;"",$DO199&amp;", ","")&amp;IF($DP199&lt;&gt;"",$DP199&amp;", ","")&amp;IF($DQ199&lt;&gt;"",$DQ199&amp;", ","")&amp;IF($DR199&lt;&gt;"",$DR199&amp;", ","")&amp;IF($DS199&lt;&gt;"",$DS199&amp;", ","")&amp;IF($DT199&lt;&gt;"",$DT199&amp;", ","")&amp;IF($DU199&lt;&gt;"",$DU199&amp;", ",""))="","OK","Onbekend: "&amp;LEFT((IF($AT199&lt;&gt;"",$AT199&amp;", ","")&amp;IF($AU199&lt;&gt;"",$AU199&amp;", ","")&amp;IF($AV199&lt;&gt;"",$AV199&amp;", ","")&amp;IF($AW199&lt;&gt;"",$AW199&amp;", ","")&amp;IF($AX199&lt;&gt;"",$AX199&amp;", ","")&amp;IF($AY199&lt;&gt;"",$AY199&amp;", ","")&amp;IF($AZ199&lt;&gt;"",$AZ199&amp;", ","")&amp;IF($BA199&lt;&gt;"",$BA199&amp;", ","")&amp;IF($BB199&lt;&gt;"",$BB199&amp;", ","")&amp;IF($BC199&lt;&gt;"",$BC199&amp;", ","")&amp;IF($DL199&lt;&gt;"",$DL199&amp;", ","")&amp;IF($DM199&lt;&gt;"",$DM199&amp;", ","")&amp;IF($DN199&lt;&gt;"",$DN199&amp;", ","")&amp;IF($DO199&lt;&gt;"",$DO199&amp;", ","")&amp;IF($DP199&lt;&gt;"",$DP199&amp;", ","")&amp;IF($DQ199&lt;&gt;"",$DQ199&amp;", ","")&amp;IF($DR199&lt;&gt;"",$DR199&amp;", ","")&amp;IF($DS199&lt;&gt;"",$DS199&amp;", ","")&amp;IF($DT199&lt;&gt;"",$DT199&amp;", ","")&amp;IF($DU199&lt;&gt;"",$DU199&amp;", ","")),LEN((IF($AT199&lt;&gt;"",$AT199&amp;", ","")&amp;IF($AU199&lt;&gt;"",$AU199&amp;", ","")&amp;IF($AV199&lt;&gt;"",$AV199&amp;", ","")&amp;IF($AW199&lt;&gt;"",$AW199&amp;", ","")&amp;IF($AX199&lt;&gt;"",$AX199&amp;", ","")&amp;IF($AY199&lt;&gt;"",$AY199&amp;", ","")&amp;IF($AZ199&lt;&gt;"",$AZ199&amp;", ","")&amp;IF($BA199&lt;&gt;"",$BA199&amp;", ","")&amp;IF($BB199&lt;&gt;"",$BB199&amp;", ","")&amp;IF($BC199&lt;&gt;"",$BC199&amp;", ","")&amp;IF($DL199&lt;&gt;"",$DL199&amp;", ","")&amp;IF($DM199&lt;&gt;"",$DM199&amp;", ","")&amp;IF($DN199&lt;&gt;"",$DN199&amp;", ","")&amp;IF($DO199&lt;&gt;"",$DO199&amp;", ","")&amp;IF($DP199&lt;&gt;"",$DP199&amp;", ","")&amp;IF($DQ199&lt;&gt;"",$DQ199&amp;", ","")&amp;IF($DR199&lt;&gt;"",$DR199&amp;", ","")&amp;IF($DS199&lt;&gt;"",$DS199&amp;", ","")&amp;IF($DT199&lt;&gt;"",$DT199&amp;", ","")&amp;IF($DU199&lt;&gt;"",$DU199&amp;", ","")))-2)))))))</f>
        <v/>
      </c>
      <c r="N199" t="str">
        <f t="shared" si="1500"/>
        <v/>
      </c>
      <c r="O199" t="str">
        <f t="shared" si="1501"/>
        <v/>
      </c>
      <c r="P199" t="str">
        <f t="shared" si="1502"/>
        <v/>
      </c>
      <c r="Q199" t="str">
        <f t="shared" si="1503"/>
        <v/>
      </c>
      <c r="R199" t="str">
        <f>IF($Q199="","",IF(OR($BE199="",$BF199=""),"ONZEKER",IF(AND($BE199=0+1,$BF199=0),IF(OR(COUNTIF(#REF!,$B199)&gt;0,COUNTIF(#REF!,$B199)=0),"SKIP",IF(COUNTIFS(#REF!,$B199,#REF!,$Q199)&gt;0,"OK","ONBEKEND")),IF(AND($BE199=0,$BF199=0+1),IF(OR(COUNTIF(#REF!,$D199)&gt;0,COUNTIF(#REF!,$D199)=0),"SKIP",IF(COUNTIFS(#REF!,$D199,#REF!,$Q199)&gt;0,"OK","ONBEKEND")),"ONZEKER"))))</f>
        <v/>
      </c>
      <c r="S199" t="str">
        <f t="shared" si="1504"/>
        <v/>
      </c>
      <c r="T199" t="str">
        <f t="shared" si="1505"/>
        <v/>
      </c>
      <c r="U199" t="str">
        <f>IF($T199="","",IF(OR($BH199="",$BI199=""),"ONZEKER",IF(OR($BE199="",$BF199=""),"ONZEKER",IF(AND($BH199=$BE199+1,$BI199=$BF199),IF(OR(COUNTIF(#REF!,$B199)&gt;0,COUNTIF(#REF!,$B199)=0),"SKIP",IF(COUNTIFS(#REF!,$B199,#REF!,$T199)&gt;0,"OK","ONBEKEND")),IF(AND($BH199=$BE199,$BI199=$BF199+1),IF(OR(COUNTIF(#REF!,$D199)&gt;0,COUNTIF(#REF!,$D199)=0),"SKIP",IF(COUNTIFS(#REF!,$D199,#REF!,$T199)&gt;0,"OK","ONBEKEND")),"ONZEKER")))))</f>
        <v/>
      </c>
      <c r="V199" t="str">
        <f t="shared" si="1506"/>
        <v/>
      </c>
      <c r="W199" t="str">
        <f t="shared" si="1507"/>
        <v/>
      </c>
      <c r="X199" t="str">
        <f>IF($W199="","",IF(OR($BK199="",$BL199=""),"ONZEKER",IF(OR($BH199="",$BI199=""),"ONZEKER",IF(AND($BK199=$BH199+1,$BL199=$BI199),IF(OR(COUNTIF(#REF!,$B199)&gt;0,COUNTIF(#REF!,$B199)=0),"SKIP",IF(COUNTIFS(#REF!,$B199,#REF!,$W199)&gt;0,"OK","ONBEKEND")),IF(AND($BK199=$BH199,$BL199=$BI199+1),IF(OR(COUNTIF(#REF!,$D199)&gt;0,COUNTIF(#REF!,$D199)=0),"SKIP",IF(COUNTIFS(#REF!,$D199,#REF!,$W199)&gt;0,"OK","ONBEKEND")),"ONZEKER")))))</f>
        <v/>
      </c>
      <c r="Y199" t="str">
        <f t="shared" si="1508"/>
        <v/>
      </c>
      <c r="Z199" t="str">
        <f t="shared" si="1509"/>
        <v/>
      </c>
      <c r="AA199" t="str">
        <f>IF($Z199="","",IF(OR($BN199="",$BO199=""),"ONZEKER",IF(OR($BK199="",$BL199=""),"ONZEKER",IF(AND($BN199=$BK199+1,$BO199=$BL199),IF(OR(COUNTIF(#REF!,$B199)&gt;0,COUNTIF(#REF!,$B199)=0),"SKIP",IF(COUNTIFS(#REF!,$B199,#REF!,$Z199)&gt;0,"OK","ONBEKEND")),IF(AND($BN199=$BK199,$BO199=$BL199+1),IF(OR(COUNTIF(#REF!,$D199)&gt;0,COUNTIF(#REF!,$D199)=0),"SKIP",IF(COUNTIFS(#REF!,$D199,#REF!,$Z199)&gt;0,"OK","ONBEKEND")),"ONZEKER")))))</f>
        <v/>
      </c>
      <c r="AB199" t="str">
        <f t="shared" si="1510"/>
        <v/>
      </c>
      <c r="AC199" t="str">
        <f t="shared" si="1511"/>
        <v/>
      </c>
      <c r="AD199" t="str">
        <f>IF($AC199="","",IF(OR($BQ199="",$BR199=""),"ONZEKER",IF(OR($BN199="",$BO199=""),"ONZEKER",IF(AND($BQ199=$BN199+1,$BR199=$BO199),IF(OR(COUNTIF(#REF!,$B199)&gt;0,COUNTIF(#REF!,$B199)=0),"SKIP",IF(COUNTIFS(#REF!,$B199,#REF!,$AC199)&gt;0,"OK","ONBEKEND")),IF(AND($BQ199=$BN199,$BR199=$BO199+1),IF(OR(COUNTIF(#REF!,$D199)&gt;0,COUNTIF(#REF!,$D199)=0),"SKIP",IF(COUNTIFS(#REF!,$D199,#REF!,$AC199)&gt;0,"OK","ONBEKEND")),"ONZEKER")))))</f>
        <v/>
      </c>
      <c r="AE199" t="str">
        <f t="shared" si="1512"/>
        <v/>
      </c>
      <c r="AF199" t="str">
        <f t="shared" si="1513"/>
        <v/>
      </c>
      <c r="AG199" t="str">
        <f>IF($AF199="","",IF(OR($BT199="",$BU199=""),"ONZEKER",IF(OR($BQ199="",$BR199=""),"ONZEKER",IF(AND($BT199=$BQ199+1,$BU199=$BR199),IF(OR(COUNTIF(#REF!,$B199)&gt;0,COUNTIF(#REF!,$B199)=0),"SKIP",IF(COUNTIFS(#REF!,$B199,#REF!,$AF199)&gt;0,"OK","ONBEKEND")),IF(AND($BT199=$BQ199,$BU199=$BR199+1),IF(OR(COUNTIF(#REF!,$D199)&gt;0,COUNTIF(#REF!,$D199)=0),"SKIP",IF(COUNTIFS(#REF!,$D199,#REF!,$AF199)&gt;0,"OK","ONBEKEND")),"ONZEKER")))))</f>
        <v/>
      </c>
      <c r="AH199" t="str">
        <f t="shared" si="1514"/>
        <v/>
      </c>
      <c r="AI199" t="str">
        <f t="shared" si="1515"/>
        <v/>
      </c>
      <c r="AJ199" t="str">
        <f>IF($AI199="","",IF(OR($BW199="",$BX199=""),"ONZEKER",IF(OR($BT199="",$BU199=""),"ONZEKER",IF(AND($BW199=$BT199+1,$BX199=$BU199),IF(OR(COUNTIF(#REF!,$B199)&gt;0,COUNTIF(#REF!,$B199)=0),"SKIP",IF(COUNTIFS(#REF!,$B199,#REF!,$AI199)&gt;0,"OK","ONBEKEND")),IF(AND($BW199=$BT199,$BX199=$BU199+1),IF(OR(COUNTIF(#REF!,$D199)&gt;0,COUNTIF(#REF!,$D199)=0),"SKIP",IF(COUNTIFS(#REF!,$D199,#REF!,$AI199)&gt;0,"OK","ONBEKEND")),"ONZEKER")))))</f>
        <v/>
      </c>
      <c r="AK199" t="str">
        <f t="shared" si="1516"/>
        <v/>
      </c>
      <c r="AL199" t="str">
        <f t="shared" si="1517"/>
        <v/>
      </c>
      <c r="AM199" t="str">
        <f>IF($AL199="","",IF(OR($BZ199="",$CA199=""),"ONZEKER",IF(OR($BW199="",$BX199=""),"ONZEKER",IF(AND($BZ199=$BW199+1,$CA199=$BX199),IF(OR(COUNTIF(#REF!,$B199)&gt;0,COUNTIF(#REF!,$B199)=0),"SKIP",IF(COUNTIFS(#REF!,$B199,#REF!,$AL199)&gt;0,"OK","ONBEKEND")),IF(AND($BZ199=$BW199,$CA199=$BX199+1),IF(OR(COUNTIF(#REF!,$D199)&gt;0,COUNTIF(#REF!,$D199)=0),"SKIP",IF(COUNTIFS(#REF!,$D199,#REF!,$AL199)&gt;0,"OK","ONBEKEND")),"ONZEKER")))))</f>
        <v/>
      </c>
      <c r="AN199" t="str">
        <f t="shared" si="1518"/>
        <v/>
      </c>
      <c r="AO199" t="str">
        <f t="shared" si="1519"/>
        <v/>
      </c>
      <c r="AP199" t="str">
        <f>IF($AO199="","",IF(OR($CC199="",$CD199=""),"ONZEKER",IF(OR($BZ199="",$CA199=""),"ONZEKER",IF(AND($CC199=$BZ199+1,$CD199=$CA199),IF(OR(COUNTIF(#REF!,$B199)&gt;0,COUNTIF(#REF!,$B199)=0),"SKIP",IF(COUNTIFS(#REF!,$B199,#REF!,$AO199)&gt;0,"OK","ONBEKEND")),IF(AND($CC199=$BZ199,$CD199=$CA199+1),IF(OR(COUNTIF(#REF!,$D199)&gt;0,COUNTIF(#REF!,$D199)=0),"SKIP",IF(COUNTIFS(#REF!,$D199,#REF!,$AO199)&gt;0,"OK","ONBEKEND")),"ONZEKER")))))</f>
        <v/>
      </c>
      <c r="AQ199" t="str">
        <f t="shared" si="1520"/>
        <v/>
      </c>
      <c r="AR199" t="str">
        <f t="shared" si="1521"/>
        <v/>
      </c>
      <c r="AS199" t="str">
        <f>IF($AR199="","",IF(OR($CF199="",$CG199=""),"ONZEKER",IF(OR($CC199="",$CD199=""),"ONZEKER",IF(AND($CF199=$CC199+1,$CG199=$CD199),IF(OR(COUNTIF(#REF!,$B199)&gt;0,COUNTIF(#REF!,$B199)=0),"SKIP",IF(COUNTIFS(#REF!,$B199,#REF!,$AR199)&gt;0,"OK","ONBEKEND")),IF(AND($CF199=$CC199,$CG199=$CD199+1),IF(OR(COUNTIF(#REF!,$D199)&gt;0,COUNTIF(#REF!,$D199)=0),"SKIP",IF(COUNTIFS(#REF!,$D199,#REF!,$AR199)&gt;0,"OK","ONBEKEND")),"ONZEKER")))))</f>
        <v/>
      </c>
      <c r="AT199" t="str">
        <f t="shared" si="1522"/>
        <v/>
      </c>
      <c r="AU199" t="str">
        <f t="shared" si="1523"/>
        <v/>
      </c>
      <c r="AV199" t="str">
        <f t="shared" si="1524"/>
        <v/>
      </c>
      <c r="AW199" t="str">
        <f t="shared" si="1525"/>
        <v/>
      </c>
      <c r="AX199" t="str">
        <f t="shared" si="1526"/>
        <v/>
      </c>
      <c r="AY199" t="str">
        <f t="shared" si="1527"/>
        <v/>
      </c>
      <c r="AZ199" t="str">
        <f t="shared" si="1528"/>
        <v/>
      </c>
      <c r="BA199" t="str">
        <f t="shared" si="1529"/>
        <v/>
      </c>
      <c r="BB199" t="str">
        <f t="shared" si="1530"/>
        <v/>
      </c>
      <c r="BC199" t="str">
        <f t="shared" si="1531"/>
        <v/>
      </c>
      <c r="BD199" t="str">
        <f t="shared" si="1470"/>
        <v/>
      </c>
      <c r="BE199" t="str">
        <f t="shared" si="1471"/>
        <v/>
      </c>
      <c r="BF199" t="str">
        <f t="shared" si="1472"/>
        <v/>
      </c>
      <c r="BG199" t="str">
        <f t="shared" si="1473"/>
        <v/>
      </c>
      <c r="BH199" t="str">
        <f t="shared" si="1474"/>
        <v/>
      </c>
      <c r="BI199" t="str">
        <f t="shared" si="1475"/>
        <v/>
      </c>
      <c r="BJ199" t="str">
        <f t="shared" si="1476"/>
        <v/>
      </c>
      <c r="BK199" t="str">
        <f t="shared" si="1477"/>
        <v/>
      </c>
      <c r="BL199" t="str">
        <f t="shared" si="1478"/>
        <v/>
      </c>
      <c r="BM199" t="str">
        <f t="shared" si="1479"/>
        <v/>
      </c>
      <c r="BN199" t="str">
        <f t="shared" si="1480"/>
        <v/>
      </c>
      <c r="BO199" t="str">
        <f t="shared" si="1481"/>
        <v/>
      </c>
      <c r="BP199" t="str">
        <f t="shared" si="1482"/>
        <v/>
      </c>
      <c r="BQ199" t="str">
        <f t="shared" si="1483"/>
        <v/>
      </c>
      <c r="BR199" t="str">
        <f t="shared" si="1484"/>
        <v/>
      </c>
      <c r="BS199" t="str">
        <f t="shared" si="1485"/>
        <v/>
      </c>
      <c r="BT199" t="str">
        <f t="shared" si="1486"/>
        <v/>
      </c>
      <c r="BU199" t="str">
        <f t="shared" si="1487"/>
        <v/>
      </c>
      <c r="BV199" t="str">
        <f t="shared" si="1488"/>
        <v/>
      </c>
      <c r="BW199" t="str">
        <f t="shared" si="1489"/>
        <v/>
      </c>
      <c r="BX199" t="str">
        <f t="shared" si="1490"/>
        <v/>
      </c>
      <c r="BY199" t="str">
        <f t="shared" si="1491"/>
        <v/>
      </c>
      <c r="BZ199" t="str">
        <f t="shared" si="1492"/>
        <v/>
      </c>
      <c r="CA199" t="str">
        <f t="shared" si="1493"/>
        <v/>
      </c>
      <c r="CB199" t="str">
        <f t="shared" si="1494"/>
        <v/>
      </c>
      <c r="CC199" t="str">
        <f t="shared" si="1495"/>
        <v/>
      </c>
      <c r="CD199" t="str">
        <f t="shared" si="1496"/>
        <v/>
      </c>
      <c r="CE199" t="str">
        <f t="shared" si="1497"/>
        <v/>
      </c>
      <c r="CF199" t="str">
        <f t="shared" si="1498"/>
        <v/>
      </c>
      <c r="CG199" t="str">
        <f t="shared" si="1499"/>
        <v/>
      </c>
      <c r="CH199" t="str">
        <f t="shared" si="1532"/>
        <v/>
      </c>
      <c r="CI199" t="str">
        <f t="shared" si="1533"/>
        <v/>
      </c>
      <c r="CJ199" t="str">
        <f>IF($CI199="","",IF(OR($DW199="",$DX199=""),"ONZEKER",IF(OR($CF199="",$CG199=""),"ONZEKER",IF(AND($DW199=$CF199+1,$DX199=$CG199),IF(OR(COUNTIF(#REF!,$B199)&gt;0,COUNTIF(#REF!,$B199)=0),"SKIP",IF(COUNTIFS(#REF!,$B199,#REF!,$CI199)&gt;0,"OK","ONBEKEND")),IF(AND($DW199=$CF199,$DX199=$CG199+1),IF(OR(COUNTIF(#REF!,$D199)&gt;0,COUNTIF(#REF!,$D199)=0),"SKIP",IF(COUNTIFS(#REF!,$D199,#REF!,$CI199)&gt;0,"OK","ONBEKEND")),"ONZEKER")))))</f>
        <v/>
      </c>
      <c r="CK199" t="str">
        <f t="shared" si="1534"/>
        <v/>
      </c>
      <c r="CL199" t="str">
        <f t="shared" si="1535"/>
        <v/>
      </c>
      <c r="CM199" t="str">
        <f>IF($CL199="","",IF(OR($DZ199="",$EA199=""),"ONZEKER",IF(OR($DW199="",$DX199=""),"ONZEKER",IF(AND($DZ199=$DW199+1,$EA199=$DX199),IF(OR(COUNTIF(#REF!,$B199)&gt;0,COUNTIF(#REF!,$B199)=0),"SKIP",IF(COUNTIFS(#REF!,$B199,#REF!,$CL199)&gt;0,"OK","ONBEKEND")),IF(AND($DZ199=$DW199,$EA199=$DX199+1),IF(OR(COUNTIF(#REF!,$D199)&gt;0,COUNTIF(#REF!,$D199)=0),"SKIP",IF(COUNTIFS(#REF!,$D199,#REF!,$CL199)&gt;0,"OK","ONBEKEND")),"ONZEKER")))))</f>
        <v/>
      </c>
      <c r="CN199" t="str">
        <f t="shared" si="1536"/>
        <v/>
      </c>
      <c r="CO199" t="str">
        <f t="shared" si="1537"/>
        <v/>
      </c>
      <c r="CP199" t="str">
        <f>IF($CO199="","",IF(OR($EC199="",$ED199=""),"ONZEKER",IF(OR($DZ199="",$EA199=""),"ONZEKER",IF(AND($EC199=$DZ199+1,$ED199=$EA199),IF(OR(COUNTIF(#REF!,$B199)&gt;0,COUNTIF(#REF!,$B199)=0),"SKIP",IF(COUNTIFS(#REF!,$B199,#REF!,$CO199)&gt;0,"OK","ONBEKEND")),IF(AND($EC199=$DZ199,$ED199=$EA199+1),IF(OR(COUNTIF(#REF!,$D199)&gt;0,COUNTIF(#REF!,$D199)=0),"SKIP",IF(COUNTIFS(#REF!,$D199,#REF!,$CO199)&gt;0,"OK","ONBEKEND")),"ONZEKER")))))</f>
        <v/>
      </c>
      <c r="CQ199" t="str">
        <f t="shared" si="1538"/>
        <v/>
      </c>
      <c r="CR199" t="str">
        <f t="shared" si="1539"/>
        <v/>
      </c>
      <c r="CS199" t="str">
        <f>IF($CR199="","",IF(OR($EF199="",$EG199=""),"ONZEKER",IF(OR($EC199="",$ED199=""),"ONZEKER",IF(AND($EF199=$EC199+1,$EG199=$ED199),IF(OR(COUNTIF(#REF!,$B199)&gt;0,COUNTIF(#REF!,$B199)=0),"SKIP",IF(COUNTIFS(#REF!,$B199,#REF!,$CR199)&gt;0,"OK","ONBEKEND")),IF(AND($EF199=$EC199,$EG199=$ED199+1),IF(OR(COUNTIF(#REF!,$D199)&gt;0,COUNTIF(#REF!,$D199)=0),"SKIP",IF(COUNTIFS(#REF!,$D199,#REF!,$CR199)&gt;0,"OK","ONBEKEND")),"ONZEKER")))))</f>
        <v/>
      </c>
      <c r="CT199" t="str">
        <f t="shared" si="1540"/>
        <v/>
      </c>
      <c r="CU199" t="str">
        <f t="shared" si="1541"/>
        <v/>
      </c>
      <c r="CV199" t="str">
        <f>IF($CU199="","",IF(OR($EI199="",$EJ199=""),"ONZEKER",IF(OR($EF199="",$EG199=""),"ONZEKER",IF(AND($EI199=$EF199+1,$EJ199=$EG199),IF(OR(COUNTIF(#REF!,$B199)&gt;0,COUNTIF(#REF!,$B199)=0),"SKIP",IF(COUNTIFS(#REF!,$B199,#REF!,$CU199)&gt;0,"OK","ONBEKEND")),IF(AND($EI199=$EF199,$EJ199=$EG199+1),IF(OR(COUNTIF(#REF!,$D199)&gt;0,COUNTIF(#REF!,$D199)=0),"SKIP",IF(COUNTIFS(#REF!,$D199,#REF!,$CU199)&gt;0,"OK","ONBEKEND")),"ONZEKER")))))</f>
        <v/>
      </c>
      <c r="CW199" t="str">
        <f t="shared" si="1542"/>
        <v/>
      </c>
      <c r="CX199" t="str">
        <f t="shared" si="1543"/>
        <v/>
      </c>
      <c r="CY199" t="str">
        <f>IF($CX199="","",IF(OR($EL199="",$EM199=""),"ONZEKER",IF(OR($EI199="",$EJ199=""),"ONZEKER",IF(AND($EL199=$EI199+1,$EM199=$EJ199),IF(OR(COUNTIF(#REF!,$B199)&gt;0,COUNTIF(#REF!,$B199)=0),"SKIP",IF(COUNTIFS(#REF!,$B199,#REF!,$CX199)&gt;0,"OK","ONBEKEND")),IF(AND($EL199=$EI199,$EM199=$EJ199+1),IF(OR(COUNTIF(#REF!,$D199)&gt;0,COUNTIF(#REF!,$D199)=0),"SKIP",IF(COUNTIFS(#REF!,$D199,#REF!,$CX199)&gt;0,"OK","ONBEKEND")),"ONZEKER")))))</f>
        <v/>
      </c>
      <c r="CZ199" t="str">
        <f t="shared" si="1544"/>
        <v/>
      </c>
      <c r="DA199" t="str">
        <f t="shared" si="1545"/>
        <v/>
      </c>
      <c r="DB199" t="str">
        <f>IF($DA199="","",IF(OR($EO199="",$EP199=""),"ONZEKER",IF(OR($EL199="",$EM199=""),"ONZEKER",IF(AND($EO199=$EL199+1,$EP199=$EM199),IF(OR(COUNTIF(#REF!,$B199)&gt;0,COUNTIF(#REF!,$B199)=0),"SKIP",IF(COUNTIFS(#REF!,$B199,#REF!,$DA199)&gt;0,"OK","ONBEKEND")),IF(AND($EO199=$EL199,$EP199=$EM199+1),IF(OR(COUNTIF(#REF!,$D199)&gt;0,COUNTIF(#REF!,$D199)=0),"SKIP",IF(COUNTIFS(#REF!,$D199,#REF!,$DA199)&gt;0,"OK","ONBEKEND")),"ONZEKER")))))</f>
        <v/>
      </c>
      <c r="DC199" t="str">
        <f t="shared" si="1546"/>
        <v/>
      </c>
      <c r="DD199" t="str">
        <f t="shared" si="1547"/>
        <v/>
      </c>
      <c r="DE199" t="str">
        <f>IF($DD199="","",IF(OR($ER199="",$ES199=""),"ONZEKER",IF(OR($EO199="",$EP199=""),"ONZEKER",IF(AND($ER199=$EO199+1,$ES199=$EP199),IF(OR(COUNTIF(#REF!,$B199)&gt;0,COUNTIF(#REF!,$B199)=0),"SKIP",IF(COUNTIFS(#REF!,$B199,#REF!,$DD199)&gt;0,"OK","ONBEKEND")),IF(AND($ER199=$EO199,$ES199=$EP199+1),IF(OR(COUNTIF(#REF!,$D199)&gt;0,COUNTIF(#REF!,$D199)=0),"SKIP",IF(COUNTIFS(#REF!,$D199,#REF!,$DD199)&gt;0,"OK","ONBEKEND")),"ONZEKER")))))</f>
        <v/>
      </c>
      <c r="DF199" t="str">
        <f t="shared" si="1548"/>
        <v/>
      </c>
      <c r="DG199" t="str">
        <f t="shared" si="1549"/>
        <v/>
      </c>
      <c r="DH199" t="str">
        <f>IF($DG199="","",IF(OR($EU199="",$EV199=""),"ONZEKER",IF(OR($ER199="",$ES199=""),"ONZEKER",IF(AND($EU199=$ER199+1,$EV199=$ES199),IF(OR(COUNTIF(#REF!,$B199)&gt;0,COUNTIF(#REF!,$B199)=0),"SKIP",IF(COUNTIFS(#REF!,$B199,#REF!,$DG199)&gt;0,"OK","ONBEKEND")),IF(AND($EU199=$ER199,$EV199=$ES199+1),IF(OR(COUNTIF(#REF!,$D199)&gt;0,COUNTIF(#REF!,$D199)=0),"SKIP",IF(COUNTIFS(#REF!,$D199,#REF!,$DG199)&gt;0,"OK","ONBEKEND")),"ONZEKER")))))</f>
        <v/>
      </c>
      <c r="DI199" t="str">
        <f t="shared" si="1550"/>
        <v/>
      </c>
      <c r="DJ199" t="str">
        <f t="shared" si="1551"/>
        <v/>
      </c>
      <c r="DK199" t="str">
        <f>IF($DJ199="","",IF(OR($EX199="",$EY199=""),"ONZEKER",IF(OR($EU199="",$EV199=""),"ONZEKER",IF(AND($EX199=$EU199+1,$EY199=$EV199),IF(OR(COUNTIF(#REF!,$B199)&gt;0,COUNTIF(#REF!,$B199)=0),"SKIP",IF(COUNTIFS(#REF!,$B199,#REF!,$DJ199)&gt;0,"OK","ONBEKEND")),IF(AND($EX199=$EU199,$EY199=$EV199+1),IF(OR(COUNTIF(#REF!,$D199)&gt;0,COUNTIF(#REF!,$D199)=0),"SKIP",IF(COUNTIFS(#REF!,$D199,#REF!,$DJ199)&gt;0,"OK","ONBEKEND")),"ONZEKER")))))</f>
        <v/>
      </c>
      <c r="DL199" t="str">
        <f t="shared" si="1552"/>
        <v/>
      </c>
      <c r="DM199" t="str">
        <f t="shared" si="1553"/>
        <v/>
      </c>
      <c r="DN199" t="str">
        <f t="shared" si="1554"/>
        <v/>
      </c>
      <c r="DO199" t="str">
        <f t="shared" si="1555"/>
        <v/>
      </c>
      <c r="DP199" t="str">
        <f t="shared" si="1556"/>
        <v/>
      </c>
      <c r="DQ199" t="str">
        <f t="shared" si="1557"/>
        <v/>
      </c>
      <c r="DR199" t="str">
        <f t="shared" si="1558"/>
        <v/>
      </c>
      <c r="DS199" t="str">
        <f t="shared" si="1559"/>
        <v/>
      </c>
      <c r="DT199" t="str">
        <f t="shared" si="1560"/>
        <v/>
      </c>
      <c r="DU199" t="str">
        <f t="shared" si="1561"/>
        <v/>
      </c>
      <c r="DV199" t="str">
        <f t="shared" si="1562"/>
        <v/>
      </c>
      <c r="DW199" t="str">
        <f t="shared" si="1563"/>
        <v/>
      </c>
      <c r="DX199" t="str">
        <f t="shared" si="1564"/>
        <v/>
      </c>
      <c r="DY199" t="str">
        <f t="shared" si="1565"/>
        <v/>
      </c>
      <c r="DZ199" t="str">
        <f t="shared" si="1566"/>
        <v/>
      </c>
      <c r="EA199" t="str">
        <f t="shared" si="1567"/>
        <v/>
      </c>
      <c r="EB199" t="str">
        <f t="shared" si="1568"/>
        <v/>
      </c>
      <c r="EC199" t="str">
        <f t="shared" si="1569"/>
        <v/>
      </c>
      <c r="ED199" t="str">
        <f t="shared" si="1570"/>
        <v/>
      </c>
      <c r="EE199" t="str">
        <f t="shared" si="1571"/>
        <v/>
      </c>
      <c r="EF199" t="str">
        <f t="shared" si="1572"/>
        <v/>
      </c>
      <c r="EG199" t="str">
        <f t="shared" si="1573"/>
        <v/>
      </c>
      <c r="EH199" t="str">
        <f t="shared" si="1574"/>
        <v/>
      </c>
      <c r="EI199" t="str">
        <f t="shared" si="1575"/>
        <v/>
      </c>
      <c r="EJ199" t="str">
        <f t="shared" si="1576"/>
        <v/>
      </c>
      <c r="EK199" t="str">
        <f t="shared" si="1577"/>
        <v/>
      </c>
      <c r="EL199" t="str">
        <f t="shared" si="1578"/>
        <v/>
      </c>
      <c r="EM199" t="str">
        <f t="shared" si="1579"/>
        <v/>
      </c>
      <c r="EN199" t="str">
        <f t="shared" si="1580"/>
        <v/>
      </c>
      <c r="EO199" t="str">
        <f t="shared" si="1581"/>
        <v/>
      </c>
      <c r="EP199" t="str">
        <f t="shared" si="1582"/>
        <v/>
      </c>
      <c r="EQ199" t="str">
        <f t="shared" si="1583"/>
        <v/>
      </c>
      <c r="ER199" t="str">
        <f t="shared" si="1584"/>
        <v/>
      </c>
      <c r="ES199" t="str">
        <f t="shared" si="1585"/>
        <v/>
      </c>
      <c r="ET199" t="str">
        <f t="shared" si="1586"/>
        <v/>
      </c>
      <c r="EU199" t="str">
        <f t="shared" si="1587"/>
        <v/>
      </c>
      <c r="EV199" t="str">
        <f t="shared" si="1588"/>
        <v/>
      </c>
      <c r="EW199" t="str">
        <f t="shared" si="1589"/>
        <v/>
      </c>
      <c r="EX199" t="str">
        <f t="shared" si="1590"/>
        <v/>
      </c>
      <c r="EY199" t="str">
        <f t="shared" si="1591"/>
        <v/>
      </c>
    </row>
    <row r="200" spans="1:155" ht="13.9" customHeight="1" x14ac:dyDescent="0.25">
      <c r="A200" s="7"/>
      <c r="B200" s="17"/>
      <c r="C200" s="8"/>
      <c r="D200" s="17"/>
      <c r="E200" s="8"/>
      <c r="F200" s="18">
        <v>0</v>
      </c>
      <c r="G200" s="7" t="s">
        <v>147</v>
      </c>
      <c r="H200" s="18">
        <v>0</v>
      </c>
      <c r="I200" s="19">
        <v>0</v>
      </c>
      <c r="J200" s="7" t="s">
        <v>147</v>
      </c>
      <c r="K200" s="19">
        <v>0</v>
      </c>
      <c r="L200" s="9"/>
      <c r="M200" s="3" t="str">
        <f>IF($L200="","",IF($L200="DOELPUNTENMAKERS","",IF(AND(COUNTIF(#REF!,$B200)=0,COUNTIF(#REF!,$D200)=0),"OK",IF($O200&gt;20,"LET OP: meer dan 20 items (controle onvolledig)",IF((COUNTIF($R200:$AS200,"ONZEKER")+COUNTIF($CJ200:$DK200,"ONZEKER"))&gt;0,"LET OP: scoreverloop onduidelijk (controle beperkt)",IF((IF($AT200&lt;&gt;"",$AT200&amp;", ","")&amp;IF($AU200&lt;&gt;"",$AU200&amp;", ","")&amp;IF($AV200&lt;&gt;"",$AV200&amp;", ","")&amp;IF($AW200&lt;&gt;"",$AW200&amp;", ","")&amp;IF($AX200&lt;&gt;"",$AX200&amp;", ","")&amp;IF($AY200&lt;&gt;"",$AY200&amp;", ","")&amp;IF($AZ200&lt;&gt;"",$AZ200&amp;", ","")&amp;IF($BA200&lt;&gt;"",$BA200&amp;", ","")&amp;IF($BB200&lt;&gt;"",$BB200&amp;", ","")&amp;IF($BC200&lt;&gt;"",$BC200&amp;", ","")&amp;IF($DL200&lt;&gt;"",$DL200&amp;", ","")&amp;IF($DM200&lt;&gt;"",$DM200&amp;", ","")&amp;IF($DN200&lt;&gt;"",$DN200&amp;", ","")&amp;IF($DO200&lt;&gt;"",$DO200&amp;", ","")&amp;IF($DP200&lt;&gt;"",$DP200&amp;", ","")&amp;IF($DQ200&lt;&gt;"",$DQ200&amp;", ","")&amp;IF($DR200&lt;&gt;"",$DR200&amp;", ","")&amp;IF($DS200&lt;&gt;"",$DS200&amp;", ","")&amp;IF($DT200&lt;&gt;"",$DT200&amp;", ","")&amp;IF($DU200&lt;&gt;"",$DU200&amp;", ",""))="","OK","Onbekend: "&amp;LEFT((IF($AT200&lt;&gt;"",$AT200&amp;", ","")&amp;IF($AU200&lt;&gt;"",$AU200&amp;", ","")&amp;IF($AV200&lt;&gt;"",$AV200&amp;", ","")&amp;IF($AW200&lt;&gt;"",$AW200&amp;", ","")&amp;IF($AX200&lt;&gt;"",$AX200&amp;", ","")&amp;IF($AY200&lt;&gt;"",$AY200&amp;", ","")&amp;IF($AZ200&lt;&gt;"",$AZ200&amp;", ","")&amp;IF($BA200&lt;&gt;"",$BA200&amp;", ","")&amp;IF($BB200&lt;&gt;"",$BB200&amp;", ","")&amp;IF($BC200&lt;&gt;"",$BC200&amp;", ","")&amp;IF($DL200&lt;&gt;"",$DL200&amp;", ","")&amp;IF($DM200&lt;&gt;"",$DM200&amp;", ","")&amp;IF($DN200&lt;&gt;"",$DN200&amp;", ","")&amp;IF($DO200&lt;&gt;"",$DO200&amp;", ","")&amp;IF($DP200&lt;&gt;"",$DP200&amp;", ","")&amp;IF($DQ200&lt;&gt;"",$DQ200&amp;", ","")&amp;IF($DR200&lt;&gt;"",$DR200&amp;", ","")&amp;IF($DS200&lt;&gt;"",$DS200&amp;", ","")&amp;IF($DT200&lt;&gt;"",$DT200&amp;", ","")&amp;IF($DU200&lt;&gt;"",$DU200&amp;", ","")),LEN((IF($AT200&lt;&gt;"",$AT200&amp;", ","")&amp;IF($AU200&lt;&gt;"",$AU200&amp;", ","")&amp;IF($AV200&lt;&gt;"",$AV200&amp;", ","")&amp;IF($AW200&lt;&gt;"",$AW200&amp;", ","")&amp;IF($AX200&lt;&gt;"",$AX200&amp;", ","")&amp;IF($AY200&lt;&gt;"",$AY200&amp;", ","")&amp;IF($AZ200&lt;&gt;"",$AZ200&amp;", ","")&amp;IF($BA200&lt;&gt;"",$BA200&amp;", ","")&amp;IF($BB200&lt;&gt;"",$BB200&amp;", ","")&amp;IF($BC200&lt;&gt;"",$BC200&amp;", ","")&amp;IF($DL200&lt;&gt;"",$DL200&amp;", ","")&amp;IF($DM200&lt;&gt;"",$DM200&amp;", ","")&amp;IF($DN200&lt;&gt;"",$DN200&amp;", ","")&amp;IF($DO200&lt;&gt;"",$DO200&amp;", ","")&amp;IF($DP200&lt;&gt;"",$DP200&amp;", ","")&amp;IF($DQ200&lt;&gt;"",$DQ200&amp;", ","")&amp;IF($DR200&lt;&gt;"",$DR200&amp;", ","")&amp;IF($DS200&lt;&gt;"",$DS200&amp;", ","")&amp;IF($DT200&lt;&gt;"",$DT200&amp;", ","")&amp;IF($DU200&lt;&gt;"",$DU200&amp;", ","")))-2)))))))</f>
        <v/>
      </c>
      <c r="N200" t="str">
        <f t="shared" si="1500"/>
        <v/>
      </c>
      <c r="O200" t="str">
        <f t="shared" si="1501"/>
        <v/>
      </c>
      <c r="P200" t="str">
        <f t="shared" si="1502"/>
        <v/>
      </c>
      <c r="Q200" t="str">
        <f t="shared" si="1503"/>
        <v/>
      </c>
      <c r="R200" t="str">
        <f>IF($Q200="","",IF(OR($BE200="",$BF200=""),"ONZEKER",IF(AND($BE200=0+1,$BF200=0),IF(OR(COUNTIF(#REF!,$B200)&gt;0,COUNTIF(#REF!,$B200)=0),"SKIP",IF(COUNTIFS(#REF!,$B200,#REF!,$Q200)&gt;0,"OK","ONBEKEND")),IF(AND($BE200=0,$BF200=0+1),IF(OR(COUNTIF(#REF!,$D200)&gt;0,COUNTIF(#REF!,$D200)=0),"SKIP",IF(COUNTIFS(#REF!,$D200,#REF!,$Q200)&gt;0,"OK","ONBEKEND")),"ONZEKER"))))</f>
        <v/>
      </c>
      <c r="S200" t="str">
        <f t="shared" si="1504"/>
        <v/>
      </c>
      <c r="T200" t="str">
        <f t="shared" si="1505"/>
        <v/>
      </c>
      <c r="U200" t="str">
        <f>IF($T200="","",IF(OR($BH200="",$BI200=""),"ONZEKER",IF(OR($BE200="",$BF200=""),"ONZEKER",IF(AND($BH200=$BE200+1,$BI200=$BF200),IF(OR(COUNTIF(#REF!,$B200)&gt;0,COUNTIF(#REF!,$B200)=0),"SKIP",IF(COUNTIFS(#REF!,$B200,#REF!,$T200)&gt;0,"OK","ONBEKEND")),IF(AND($BH200=$BE200,$BI200=$BF200+1),IF(OR(COUNTIF(#REF!,$D200)&gt;0,COUNTIF(#REF!,$D200)=0),"SKIP",IF(COUNTIFS(#REF!,$D200,#REF!,$T200)&gt;0,"OK","ONBEKEND")),"ONZEKER")))))</f>
        <v/>
      </c>
      <c r="V200" t="str">
        <f t="shared" si="1506"/>
        <v/>
      </c>
      <c r="W200" t="str">
        <f t="shared" si="1507"/>
        <v/>
      </c>
      <c r="X200" t="str">
        <f>IF($W200="","",IF(OR($BK200="",$BL200=""),"ONZEKER",IF(OR($BH200="",$BI200=""),"ONZEKER",IF(AND($BK200=$BH200+1,$BL200=$BI200),IF(OR(COUNTIF(#REF!,$B200)&gt;0,COUNTIF(#REF!,$B200)=0),"SKIP",IF(COUNTIFS(#REF!,$B200,#REF!,$W200)&gt;0,"OK","ONBEKEND")),IF(AND($BK200=$BH200,$BL200=$BI200+1),IF(OR(COUNTIF(#REF!,$D200)&gt;0,COUNTIF(#REF!,$D200)=0),"SKIP",IF(COUNTIFS(#REF!,$D200,#REF!,$W200)&gt;0,"OK","ONBEKEND")),"ONZEKER")))))</f>
        <v/>
      </c>
      <c r="Y200" t="str">
        <f t="shared" si="1508"/>
        <v/>
      </c>
      <c r="Z200" t="str">
        <f t="shared" si="1509"/>
        <v/>
      </c>
      <c r="AA200" t="str">
        <f>IF($Z200="","",IF(OR($BN200="",$BO200=""),"ONZEKER",IF(OR($BK200="",$BL200=""),"ONZEKER",IF(AND($BN200=$BK200+1,$BO200=$BL200),IF(OR(COUNTIF(#REF!,$B200)&gt;0,COUNTIF(#REF!,$B200)=0),"SKIP",IF(COUNTIFS(#REF!,$B200,#REF!,$Z200)&gt;0,"OK","ONBEKEND")),IF(AND($BN200=$BK200,$BO200=$BL200+1),IF(OR(COUNTIF(#REF!,$D200)&gt;0,COUNTIF(#REF!,$D200)=0),"SKIP",IF(COUNTIFS(#REF!,$D200,#REF!,$Z200)&gt;0,"OK","ONBEKEND")),"ONZEKER")))))</f>
        <v/>
      </c>
      <c r="AB200" t="str">
        <f t="shared" si="1510"/>
        <v/>
      </c>
      <c r="AC200" t="str">
        <f t="shared" si="1511"/>
        <v/>
      </c>
      <c r="AD200" t="str">
        <f>IF($AC200="","",IF(OR($BQ200="",$BR200=""),"ONZEKER",IF(OR($BN200="",$BO200=""),"ONZEKER",IF(AND($BQ200=$BN200+1,$BR200=$BO200),IF(OR(COUNTIF(#REF!,$B200)&gt;0,COUNTIF(#REF!,$B200)=0),"SKIP",IF(COUNTIFS(#REF!,$B200,#REF!,$AC200)&gt;0,"OK","ONBEKEND")),IF(AND($BQ200=$BN200,$BR200=$BO200+1),IF(OR(COUNTIF(#REF!,$D200)&gt;0,COUNTIF(#REF!,$D200)=0),"SKIP",IF(COUNTIFS(#REF!,$D200,#REF!,$AC200)&gt;0,"OK","ONBEKEND")),"ONZEKER")))))</f>
        <v/>
      </c>
      <c r="AE200" t="str">
        <f t="shared" si="1512"/>
        <v/>
      </c>
      <c r="AF200" t="str">
        <f t="shared" si="1513"/>
        <v/>
      </c>
      <c r="AG200" t="str">
        <f>IF($AF200="","",IF(OR($BT200="",$BU200=""),"ONZEKER",IF(OR($BQ200="",$BR200=""),"ONZEKER",IF(AND($BT200=$BQ200+1,$BU200=$BR200),IF(OR(COUNTIF(#REF!,$B200)&gt;0,COUNTIF(#REF!,$B200)=0),"SKIP",IF(COUNTIFS(#REF!,$B200,#REF!,$AF200)&gt;0,"OK","ONBEKEND")),IF(AND($BT200=$BQ200,$BU200=$BR200+1),IF(OR(COUNTIF(#REF!,$D200)&gt;0,COUNTIF(#REF!,$D200)=0),"SKIP",IF(COUNTIFS(#REF!,$D200,#REF!,$AF200)&gt;0,"OK","ONBEKEND")),"ONZEKER")))))</f>
        <v/>
      </c>
      <c r="AH200" t="str">
        <f t="shared" si="1514"/>
        <v/>
      </c>
      <c r="AI200" t="str">
        <f t="shared" si="1515"/>
        <v/>
      </c>
      <c r="AJ200" t="str">
        <f>IF($AI200="","",IF(OR($BW200="",$BX200=""),"ONZEKER",IF(OR($BT200="",$BU200=""),"ONZEKER",IF(AND($BW200=$BT200+1,$BX200=$BU200),IF(OR(COUNTIF(#REF!,$B200)&gt;0,COUNTIF(#REF!,$B200)=0),"SKIP",IF(COUNTIFS(#REF!,$B200,#REF!,$AI200)&gt;0,"OK","ONBEKEND")),IF(AND($BW200=$BT200,$BX200=$BU200+1),IF(OR(COUNTIF(#REF!,$D200)&gt;0,COUNTIF(#REF!,$D200)=0),"SKIP",IF(COUNTIFS(#REF!,$D200,#REF!,$AI200)&gt;0,"OK","ONBEKEND")),"ONZEKER")))))</f>
        <v/>
      </c>
      <c r="AK200" t="str">
        <f t="shared" si="1516"/>
        <v/>
      </c>
      <c r="AL200" t="str">
        <f t="shared" si="1517"/>
        <v/>
      </c>
      <c r="AM200" t="str">
        <f>IF($AL200="","",IF(OR($BZ200="",$CA200=""),"ONZEKER",IF(OR($BW200="",$BX200=""),"ONZEKER",IF(AND($BZ200=$BW200+1,$CA200=$BX200),IF(OR(COUNTIF(#REF!,$B200)&gt;0,COUNTIF(#REF!,$B200)=0),"SKIP",IF(COUNTIFS(#REF!,$B200,#REF!,$AL200)&gt;0,"OK","ONBEKEND")),IF(AND($BZ200=$BW200,$CA200=$BX200+1),IF(OR(COUNTIF(#REF!,$D200)&gt;0,COUNTIF(#REF!,$D200)=0),"SKIP",IF(COUNTIFS(#REF!,$D200,#REF!,$AL200)&gt;0,"OK","ONBEKEND")),"ONZEKER")))))</f>
        <v/>
      </c>
      <c r="AN200" t="str">
        <f t="shared" si="1518"/>
        <v/>
      </c>
      <c r="AO200" t="str">
        <f t="shared" si="1519"/>
        <v/>
      </c>
      <c r="AP200" t="str">
        <f>IF($AO200="","",IF(OR($CC200="",$CD200=""),"ONZEKER",IF(OR($BZ200="",$CA200=""),"ONZEKER",IF(AND($CC200=$BZ200+1,$CD200=$CA200),IF(OR(COUNTIF(#REF!,$B200)&gt;0,COUNTIF(#REF!,$B200)=0),"SKIP",IF(COUNTIFS(#REF!,$B200,#REF!,$AO200)&gt;0,"OK","ONBEKEND")),IF(AND($CC200=$BZ200,$CD200=$CA200+1),IF(OR(COUNTIF(#REF!,$D200)&gt;0,COUNTIF(#REF!,$D200)=0),"SKIP",IF(COUNTIFS(#REF!,$D200,#REF!,$AO200)&gt;0,"OK","ONBEKEND")),"ONZEKER")))))</f>
        <v/>
      </c>
      <c r="AQ200" t="str">
        <f t="shared" si="1520"/>
        <v/>
      </c>
      <c r="AR200" t="str">
        <f t="shared" si="1521"/>
        <v/>
      </c>
      <c r="AS200" t="str">
        <f>IF($AR200="","",IF(OR($CF200="",$CG200=""),"ONZEKER",IF(OR($CC200="",$CD200=""),"ONZEKER",IF(AND($CF200=$CC200+1,$CG200=$CD200),IF(OR(COUNTIF(#REF!,$B200)&gt;0,COUNTIF(#REF!,$B200)=0),"SKIP",IF(COUNTIFS(#REF!,$B200,#REF!,$AR200)&gt;0,"OK","ONBEKEND")),IF(AND($CF200=$CC200,$CG200=$CD200+1),IF(OR(COUNTIF(#REF!,$D200)&gt;0,COUNTIF(#REF!,$D200)=0),"SKIP",IF(COUNTIFS(#REF!,$D200,#REF!,$AR200)&gt;0,"OK","ONBEKEND")),"ONZEKER")))))</f>
        <v/>
      </c>
      <c r="AT200" t="str">
        <f t="shared" si="1522"/>
        <v/>
      </c>
      <c r="AU200" t="str">
        <f t="shared" si="1523"/>
        <v/>
      </c>
      <c r="AV200" t="str">
        <f t="shared" si="1524"/>
        <v/>
      </c>
      <c r="AW200" t="str">
        <f t="shared" si="1525"/>
        <v/>
      </c>
      <c r="AX200" t="str">
        <f t="shared" si="1526"/>
        <v/>
      </c>
      <c r="AY200" t="str">
        <f t="shared" si="1527"/>
        <v/>
      </c>
      <c r="AZ200" t="str">
        <f t="shared" si="1528"/>
        <v/>
      </c>
      <c r="BA200" t="str">
        <f t="shared" si="1529"/>
        <v/>
      </c>
      <c r="BB200" t="str">
        <f t="shared" si="1530"/>
        <v/>
      </c>
      <c r="BC200" t="str">
        <f t="shared" si="1531"/>
        <v/>
      </c>
      <c r="BD200" t="str">
        <f t="shared" si="1470"/>
        <v/>
      </c>
      <c r="BE200" t="str">
        <f t="shared" si="1471"/>
        <v/>
      </c>
      <c r="BF200" t="str">
        <f t="shared" si="1472"/>
        <v/>
      </c>
      <c r="BG200" t="str">
        <f t="shared" si="1473"/>
        <v/>
      </c>
      <c r="BH200" t="str">
        <f t="shared" si="1474"/>
        <v/>
      </c>
      <c r="BI200" t="str">
        <f t="shared" si="1475"/>
        <v/>
      </c>
      <c r="BJ200" t="str">
        <f t="shared" si="1476"/>
        <v/>
      </c>
      <c r="BK200" t="str">
        <f t="shared" si="1477"/>
        <v/>
      </c>
      <c r="BL200" t="str">
        <f t="shared" si="1478"/>
        <v/>
      </c>
      <c r="BM200" t="str">
        <f t="shared" si="1479"/>
        <v/>
      </c>
      <c r="BN200" t="str">
        <f t="shared" si="1480"/>
        <v/>
      </c>
      <c r="BO200" t="str">
        <f t="shared" si="1481"/>
        <v/>
      </c>
      <c r="BP200" t="str">
        <f t="shared" si="1482"/>
        <v/>
      </c>
      <c r="BQ200" t="str">
        <f t="shared" si="1483"/>
        <v/>
      </c>
      <c r="BR200" t="str">
        <f t="shared" si="1484"/>
        <v/>
      </c>
      <c r="BS200" t="str">
        <f t="shared" si="1485"/>
        <v/>
      </c>
      <c r="BT200" t="str">
        <f t="shared" si="1486"/>
        <v/>
      </c>
      <c r="BU200" t="str">
        <f t="shared" si="1487"/>
        <v/>
      </c>
      <c r="BV200" t="str">
        <f t="shared" si="1488"/>
        <v/>
      </c>
      <c r="BW200" t="str">
        <f t="shared" si="1489"/>
        <v/>
      </c>
      <c r="BX200" t="str">
        <f t="shared" si="1490"/>
        <v/>
      </c>
      <c r="BY200" t="str">
        <f t="shared" si="1491"/>
        <v/>
      </c>
      <c r="BZ200" t="str">
        <f t="shared" si="1492"/>
        <v/>
      </c>
      <c r="CA200" t="str">
        <f t="shared" si="1493"/>
        <v/>
      </c>
      <c r="CB200" t="str">
        <f t="shared" si="1494"/>
        <v/>
      </c>
      <c r="CC200" t="str">
        <f t="shared" si="1495"/>
        <v/>
      </c>
      <c r="CD200" t="str">
        <f t="shared" si="1496"/>
        <v/>
      </c>
      <c r="CE200" t="str">
        <f t="shared" si="1497"/>
        <v/>
      </c>
      <c r="CF200" t="str">
        <f t="shared" si="1498"/>
        <v/>
      </c>
      <c r="CG200" t="str">
        <f t="shared" si="1499"/>
        <v/>
      </c>
      <c r="CH200" t="str">
        <f t="shared" si="1532"/>
        <v/>
      </c>
      <c r="CI200" t="str">
        <f t="shared" si="1533"/>
        <v/>
      </c>
      <c r="CJ200" t="str">
        <f>IF($CI200="","",IF(OR($DW200="",$DX200=""),"ONZEKER",IF(OR($CF200="",$CG200=""),"ONZEKER",IF(AND($DW200=$CF200+1,$DX200=$CG200),IF(OR(COUNTIF(#REF!,$B200)&gt;0,COUNTIF(#REF!,$B200)=0),"SKIP",IF(COUNTIFS(#REF!,$B200,#REF!,$CI200)&gt;0,"OK","ONBEKEND")),IF(AND($DW200=$CF200,$DX200=$CG200+1),IF(OR(COUNTIF(#REF!,$D200)&gt;0,COUNTIF(#REF!,$D200)=0),"SKIP",IF(COUNTIFS(#REF!,$D200,#REF!,$CI200)&gt;0,"OK","ONBEKEND")),"ONZEKER")))))</f>
        <v/>
      </c>
      <c r="CK200" t="str">
        <f t="shared" si="1534"/>
        <v/>
      </c>
      <c r="CL200" t="str">
        <f t="shared" si="1535"/>
        <v/>
      </c>
      <c r="CM200" t="str">
        <f>IF($CL200="","",IF(OR($DZ200="",$EA200=""),"ONZEKER",IF(OR($DW200="",$DX200=""),"ONZEKER",IF(AND($DZ200=$DW200+1,$EA200=$DX200),IF(OR(COUNTIF(#REF!,$B200)&gt;0,COUNTIF(#REF!,$B200)=0),"SKIP",IF(COUNTIFS(#REF!,$B200,#REF!,$CL200)&gt;0,"OK","ONBEKEND")),IF(AND($DZ200=$DW200,$EA200=$DX200+1),IF(OR(COUNTIF(#REF!,$D200)&gt;0,COUNTIF(#REF!,$D200)=0),"SKIP",IF(COUNTIFS(#REF!,$D200,#REF!,$CL200)&gt;0,"OK","ONBEKEND")),"ONZEKER")))))</f>
        <v/>
      </c>
      <c r="CN200" t="str">
        <f t="shared" si="1536"/>
        <v/>
      </c>
      <c r="CO200" t="str">
        <f t="shared" si="1537"/>
        <v/>
      </c>
      <c r="CP200" t="str">
        <f>IF($CO200="","",IF(OR($EC200="",$ED200=""),"ONZEKER",IF(OR($DZ200="",$EA200=""),"ONZEKER",IF(AND($EC200=$DZ200+1,$ED200=$EA200),IF(OR(COUNTIF(#REF!,$B200)&gt;0,COUNTIF(#REF!,$B200)=0),"SKIP",IF(COUNTIFS(#REF!,$B200,#REF!,$CO200)&gt;0,"OK","ONBEKEND")),IF(AND($EC200=$DZ200,$ED200=$EA200+1),IF(OR(COUNTIF(#REF!,$D200)&gt;0,COUNTIF(#REF!,$D200)=0),"SKIP",IF(COUNTIFS(#REF!,$D200,#REF!,$CO200)&gt;0,"OK","ONBEKEND")),"ONZEKER")))))</f>
        <v/>
      </c>
      <c r="CQ200" t="str">
        <f t="shared" si="1538"/>
        <v/>
      </c>
      <c r="CR200" t="str">
        <f t="shared" si="1539"/>
        <v/>
      </c>
      <c r="CS200" t="str">
        <f>IF($CR200="","",IF(OR($EF200="",$EG200=""),"ONZEKER",IF(OR($EC200="",$ED200=""),"ONZEKER",IF(AND($EF200=$EC200+1,$EG200=$ED200),IF(OR(COUNTIF(#REF!,$B200)&gt;0,COUNTIF(#REF!,$B200)=0),"SKIP",IF(COUNTIFS(#REF!,$B200,#REF!,$CR200)&gt;0,"OK","ONBEKEND")),IF(AND($EF200=$EC200,$EG200=$ED200+1),IF(OR(COUNTIF(#REF!,$D200)&gt;0,COUNTIF(#REF!,$D200)=0),"SKIP",IF(COUNTIFS(#REF!,$D200,#REF!,$CR200)&gt;0,"OK","ONBEKEND")),"ONZEKER")))))</f>
        <v/>
      </c>
      <c r="CT200" t="str">
        <f t="shared" si="1540"/>
        <v/>
      </c>
      <c r="CU200" t="str">
        <f t="shared" si="1541"/>
        <v/>
      </c>
      <c r="CV200" t="str">
        <f>IF($CU200="","",IF(OR($EI200="",$EJ200=""),"ONZEKER",IF(OR($EF200="",$EG200=""),"ONZEKER",IF(AND($EI200=$EF200+1,$EJ200=$EG200),IF(OR(COUNTIF(#REF!,$B200)&gt;0,COUNTIF(#REF!,$B200)=0),"SKIP",IF(COUNTIFS(#REF!,$B200,#REF!,$CU200)&gt;0,"OK","ONBEKEND")),IF(AND($EI200=$EF200,$EJ200=$EG200+1),IF(OR(COUNTIF(#REF!,$D200)&gt;0,COUNTIF(#REF!,$D200)=0),"SKIP",IF(COUNTIFS(#REF!,$D200,#REF!,$CU200)&gt;0,"OK","ONBEKEND")),"ONZEKER")))))</f>
        <v/>
      </c>
      <c r="CW200" t="str">
        <f t="shared" si="1542"/>
        <v/>
      </c>
      <c r="CX200" t="str">
        <f t="shared" si="1543"/>
        <v/>
      </c>
      <c r="CY200" t="str">
        <f>IF($CX200="","",IF(OR($EL200="",$EM200=""),"ONZEKER",IF(OR($EI200="",$EJ200=""),"ONZEKER",IF(AND($EL200=$EI200+1,$EM200=$EJ200),IF(OR(COUNTIF(#REF!,$B200)&gt;0,COUNTIF(#REF!,$B200)=0),"SKIP",IF(COUNTIFS(#REF!,$B200,#REF!,$CX200)&gt;0,"OK","ONBEKEND")),IF(AND($EL200=$EI200,$EM200=$EJ200+1),IF(OR(COUNTIF(#REF!,$D200)&gt;0,COUNTIF(#REF!,$D200)=0),"SKIP",IF(COUNTIFS(#REF!,$D200,#REF!,$CX200)&gt;0,"OK","ONBEKEND")),"ONZEKER")))))</f>
        <v/>
      </c>
      <c r="CZ200" t="str">
        <f t="shared" si="1544"/>
        <v/>
      </c>
      <c r="DA200" t="str">
        <f t="shared" si="1545"/>
        <v/>
      </c>
      <c r="DB200" t="str">
        <f>IF($DA200="","",IF(OR($EO200="",$EP200=""),"ONZEKER",IF(OR($EL200="",$EM200=""),"ONZEKER",IF(AND($EO200=$EL200+1,$EP200=$EM200),IF(OR(COUNTIF(#REF!,$B200)&gt;0,COUNTIF(#REF!,$B200)=0),"SKIP",IF(COUNTIFS(#REF!,$B200,#REF!,$DA200)&gt;0,"OK","ONBEKEND")),IF(AND($EO200=$EL200,$EP200=$EM200+1),IF(OR(COUNTIF(#REF!,$D200)&gt;0,COUNTIF(#REF!,$D200)=0),"SKIP",IF(COUNTIFS(#REF!,$D200,#REF!,$DA200)&gt;0,"OK","ONBEKEND")),"ONZEKER")))))</f>
        <v/>
      </c>
      <c r="DC200" t="str">
        <f t="shared" si="1546"/>
        <v/>
      </c>
      <c r="DD200" t="str">
        <f t="shared" si="1547"/>
        <v/>
      </c>
      <c r="DE200" t="str">
        <f>IF($DD200="","",IF(OR($ER200="",$ES200=""),"ONZEKER",IF(OR($EO200="",$EP200=""),"ONZEKER",IF(AND($ER200=$EO200+1,$ES200=$EP200),IF(OR(COUNTIF(#REF!,$B200)&gt;0,COUNTIF(#REF!,$B200)=0),"SKIP",IF(COUNTIFS(#REF!,$B200,#REF!,$DD200)&gt;0,"OK","ONBEKEND")),IF(AND($ER200=$EO200,$ES200=$EP200+1),IF(OR(COUNTIF(#REF!,$D200)&gt;0,COUNTIF(#REF!,$D200)=0),"SKIP",IF(COUNTIFS(#REF!,$D200,#REF!,$DD200)&gt;0,"OK","ONBEKEND")),"ONZEKER")))))</f>
        <v/>
      </c>
      <c r="DF200" t="str">
        <f t="shared" si="1548"/>
        <v/>
      </c>
      <c r="DG200" t="str">
        <f t="shared" si="1549"/>
        <v/>
      </c>
      <c r="DH200" t="str">
        <f>IF($DG200="","",IF(OR($EU200="",$EV200=""),"ONZEKER",IF(OR($ER200="",$ES200=""),"ONZEKER",IF(AND($EU200=$ER200+1,$EV200=$ES200),IF(OR(COUNTIF(#REF!,$B200)&gt;0,COUNTIF(#REF!,$B200)=0),"SKIP",IF(COUNTIFS(#REF!,$B200,#REF!,$DG200)&gt;0,"OK","ONBEKEND")),IF(AND($EU200=$ER200,$EV200=$ES200+1),IF(OR(COUNTIF(#REF!,$D200)&gt;0,COUNTIF(#REF!,$D200)=0),"SKIP",IF(COUNTIFS(#REF!,$D200,#REF!,$DG200)&gt;0,"OK","ONBEKEND")),"ONZEKER")))))</f>
        <v/>
      </c>
      <c r="DI200" t="str">
        <f t="shared" si="1550"/>
        <v/>
      </c>
      <c r="DJ200" t="str">
        <f t="shared" si="1551"/>
        <v/>
      </c>
      <c r="DK200" t="str">
        <f>IF($DJ200="","",IF(OR($EX200="",$EY200=""),"ONZEKER",IF(OR($EU200="",$EV200=""),"ONZEKER",IF(AND($EX200=$EU200+1,$EY200=$EV200),IF(OR(COUNTIF(#REF!,$B200)&gt;0,COUNTIF(#REF!,$B200)=0),"SKIP",IF(COUNTIFS(#REF!,$B200,#REF!,$DJ200)&gt;0,"OK","ONBEKEND")),IF(AND($EX200=$EU200,$EY200=$EV200+1),IF(OR(COUNTIF(#REF!,$D200)&gt;0,COUNTIF(#REF!,$D200)=0),"SKIP",IF(COUNTIFS(#REF!,$D200,#REF!,$DJ200)&gt;0,"OK","ONBEKEND")),"ONZEKER")))))</f>
        <v/>
      </c>
      <c r="DL200" t="str">
        <f t="shared" si="1552"/>
        <v/>
      </c>
      <c r="DM200" t="str">
        <f t="shared" si="1553"/>
        <v/>
      </c>
      <c r="DN200" t="str">
        <f t="shared" si="1554"/>
        <v/>
      </c>
      <c r="DO200" t="str">
        <f t="shared" si="1555"/>
        <v/>
      </c>
      <c r="DP200" t="str">
        <f t="shared" si="1556"/>
        <v/>
      </c>
      <c r="DQ200" t="str">
        <f t="shared" si="1557"/>
        <v/>
      </c>
      <c r="DR200" t="str">
        <f t="shared" si="1558"/>
        <v/>
      </c>
      <c r="DS200" t="str">
        <f t="shared" si="1559"/>
        <v/>
      </c>
      <c r="DT200" t="str">
        <f t="shared" si="1560"/>
        <v/>
      </c>
      <c r="DU200" t="str">
        <f t="shared" si="1561"/>
        <v/>
      </c>
      <c r="DV200" t="str">
        <f t="shared" si="1562"/>
        <v/>
      </c>
      <c r="DW200" t="str">
        <f t="shared" si="1563"/>
        <v/>
      </c>
      <c r="DX200" t="str">
        <f t="shared" si="1564"/>
        <v/>
      </c>
      <c r="DY200" t="str">
        <f t="shared" si="1565"/>
        <v/>
      </c>
      <c r="DZ200" t="str">
        <f t="shared" si="1566"/>
        <v/>
      </c>
      <c r="EA200" t="str">
        <f t="shared" si="1567"/>
        <v/>
      </c>
      <c r="EB200" t="str">
        <f t="shared" si="1568"/>
        <v/>
      </c>
      <c r="EC200" t="str">
        <f t="shared" si="1569"/>
        <v/>
      </c>
      <c r="ED200" t="str">
        <f t="shared" si="1570"/>
        <v/>
      </c>
      <c r="EE200" t="str">
        <f t="shared" si="1571"/>
        <v/>
      </c>
      <c r="EF200" t="str">
        <f t="shared" si="1572"/>
        <v/>
      </c>
      <c r="EG200" t="str">
        <f t="shared" si="1573"/>
        <v/>
      </c>
      <c r="EH200" t="str">
        <f t="shared" si="1574"/>
        <v/>
      </c>
      <c r="EI200" t="str">
        <f t="shared" si="1575"/>
        <v/>
      </c>
      <c r="EJ200" t="str">
        <f t="shared" si="1576"/>
        <v/>
      </c>
      <c r="EK200" t="str">
        <f t="shared" si="1577"/>
        <v/>
      </c>
      <c r="EL200" t="str">
        <f t="shared" si="1578"/>
        <v/>
      </c>
      <c r="EM200" t="str">
        <f t="shared" si="1579"/>
        <v/>
      </c>
      <c r="EN200" t="str">
        <f t="shared" si="1580"/>
        <v/>
      </c>
      <c r="EO200" t="str">
        <f t="shared" si="1581"/>
        <v/>
      </c>
      <c r="EP200" t="str">
        <f t="shared" si="1582"/>
        <v/>
      </c>
      <c r="EQ200" t="str">
        <f t="shared" si="1583"/>
        <v/>
      </c>
      <c r="ER200" t="str">
        <f t="shared" si="1584"/>
        <v/>
      </c>
      <c r="ES200" t="str">
        <f t="shared" si="1585"/>
        <v/>
      </c>
      <c r="ET200" t="str">
        <f t="shared" si="1586"/>
        <v/>
      </c>
      <c r="EU200" t="str">
        <f t="shared" si="1587"/>
        <v/>
      </c>
      <c r="EV200" t="str">
        <f t="shared" si="1588"/>
        <v/>
      </c>
      <c r="EW200" t="str">
        <f t="shared" si="1589"/>
        <v/>
      </c>
      <c r="EX200" t="str">
        <f t="shared" si="1590"/>
        <v/>
      </c>
      <c r="EY200" t="str">
        <f t="shared" si="1591"/>
        <v/>
      </c>
    </row>
    <row r="201" spans="1:155" ht="13.9" customHeight="1" x14ac:dyDescent="0.25">
      <c r="A201" s="7"/>
      <c r="B201" s="17"/>
      <c r="C201" s="8"/>
      <c r="D201" s="17"/>
      <c r="E201" s="8"/>
      <c r="F201" s="18">
        <v>0</v>
      </c>
      <c r="G201" s="7" t="s">
        <v>147</v>
      </c>
      <c r="H201" s="18">
        <v>0</v>
      </c>
      <c r="I201" s="19">
        <v>0</v>
      </c>
      <c r="J201" s="7" t="s">
        <v>147</v>
      </c>
      <c r="K201" s="19">
        <v>0</v>
      </c>
      <c r="L201" s="9"/>
      <c r="M201" s="3" t="str">
        <f>IF($L201="","",IF($L201="DOELPUNTENMAKERS","",IF(AND(COUNTIF(#REF!,$B201)=0,COUNTIF(#REF!,$D201)=0),"OK",IF($O201&gt;20,"LET OP: meer dan 20 items (controle onvolledig)",IF((COUNTIF($R201:$AS201,"ONZEKER")+COUNTIF($CJ201:$DK201,"ONZEKER"))&gt;0,"LET OP: scoreverloop onduidelijk (controle beperkt)",IF((IF($AT201&lt;&gt;"",$AT201&amp;", ","")&amp;IF($AU201&lt;&gt;"",$AU201&amp;", ","")&amp;IF($AV201&lt;&gt;"",$AV201&amp;", ","")&amp;IF($AW201&lt;&gt;"",$AW201&amp;", ","")&amp;IF($AX201&lt;&gt;"",$AX201&amp;", ","")&amp;IF($AY201&lt;&gt;"",$AY201&amp;", ","")&amp;IF($AZ201&lt;&gt;"",$AZ201&amp;", ","")&amp;IF($BA201&lt;&gt;"",$BA201&amp;", ","")&amp;IF($BB201&lt;&gt;"",$BB201&amp;", ","")&amp;IF($BC201&lt;&gt;"",$BC201&amp;", ","")&amp;IF($DL201&lt;&gt;"",$DL201&amp;", ","")&amp;IF($DM201&lt;&gt;"",$DM201&amp;", ","")&amp;IF($DN201&lt;&gt;"",$DN201&amp;", ","")&amp;IF($DO201&lt;&gt;"",$DO201&amp;", ","")&amp;IF($DP201&lt;&gt;"",$DP201&amp;", ","")&amp;IF($DQ201&lt;&gt;"",$DQ201&amp;", ","")&amp;IF($DR201&lt;&gt;"",$DR201&amp;", ","")&amp;IF($DS201&lt;&gt;"",$DS201&amp;", ","")&amp;IF($DT201&lt;&gt;"",$DT201&amp;", ","")&amp;IF($DU201&lt;&gt;"",$DU201&amp;", ",""))="","OK","Onbekend: "&amp;LEFT((IF($AT201&lt;&gt;"",$AT201&amp;", ","")&amp;IF($AU201&lt;&gt;"",$AU201&amp;", ","")&amp;IF($AV201&lt;&gt;"",$AV201&amp;", ","")&amp;IF($AW201&lt;&gt;"",$AW201&amp;", ","")&amp;IF($AX201&lt;&gt;"",$AX201&amp;", ","")&amp;IF($AY201&lt;&gt;"",$AY201&amp;", ","")&amp;IF($AZ201&lt;&gt;"",$AZ201&amp;", ","")&amp;IF($BA201&lt;&gt;"",$BA201&amp;", ","")&amp;IF($BB201&lt;&gt;"",$BB201&amp;", ","")&amp;IF($BC201&lt;&gt;"",$BC201&amp;", ","")&amp;IF($DL201&lt;&gt;"",$DL201&amp;", ","")&amp;IF($DM201&lt;&gt;"",$DM201&amp;", ","")&amp;IF($DN201&lt;&gt;"",$DN201&amp;", ","")&amp;IF($DO201&lt;&gt;"",$DO201&amp;", ","")&amp;IF($DP201&lt;&gt;"",$DP201&amp;", ","")&amp;IF($DQ201&lt;&gt;"",$DQ201&amp;", ","")&amp;IF($DR201&lt;&gt;"",$DR201&amp;", ","")&amp;IF($DS201&lt;&gt;"",$DS201&amp;", ","")&amp;IF($DT201&lt;&gt;"",$DT201&amp;", ","")&amp;IF($DU201&lt;&gt;"",$DU201&amp;", ","")),LEN((IF($AT201&lt;&gt;"",$AT201&amp;", ","")&amp;IF($AU201&lt;&gt;"",$AU201&amp;", ","")&amp;IF($AV201&lt;&gt;"",$AV201&amp;", ","")&amp;IF($AW201&lt;&gt;"",$AW201&amp;", ","")&amp;IF($AX201&lt;&gt;"",$AX201&amp;", ","")&amp;IF($AY201&lt;&gt;"",$AY201&amp;", ","")&amp;IF($AZ201&lt;&gt;"",$AZ201&amp;", ","")&amp;IF($BA201&lt;&gt;"",$BA201&amp;", ","")&amp;IF($BB201&lt;&gt;"",$BB201&amp;", ","")&amp;IF($BC201&lt;&gt;"",$BC201&amp;", ","")&amp;IF($DL201&lt;&gt;"",$DL201&amp;", ","")&amp;IF($DM201&lt;&gt;"",$DM201&amp;", ","")&amp;IF($DN201&lt;&gt;"",$DN201&amp;", ","")&amp;IF($DO201&lt;&gt;"",$DO201&amp;", ","")&amp;IF($DP201&lt;&gt;"",$DP201&amp;", ","")&amp;IF($DQ201&lt;&gt;"",$DQ201&amp;", ","")&amp;IF($DR201&lt;&gt;"",$DR201&amp;", ","")&amp;IF($DS201&lt;&gt;"",$DS201&amp;", ","")&amp;IF($DT201&lt;&gt;"",$DT201&amp;", ","")&amp;IF($DU201&lt;&gt;"",$DU201&amp;", ","")))-2)))))))</f>
        <v/>
      </c>
      <c r="N201" t="str">
        <f t="shared" si="1500"/>
        <v/>
      </c>
      <c r="O201" t="str">
        <f t="shared" si="1501"/>
        <v/>
      </c>
      <c r="P201" t="str">
        <f t="shared" si="1502"/>
        <v/>
      </c>
      <c r="Q201" t="str">
        <f t="shared" si="1503"/>
        <v/>
      </c>
      <c r="R201" t="str">
        <f>IF($Q201="","",IF(OR($BE201="",$BF201=""),"ONZEKER",IF(AND($BE201=0+1,$BF201=0),IF(OR(COUNTIF(#REF!,$B201)&gt;0,COUNTIF(#REF!,$B201)=0),"SKIP",IF(COUNTIFS(#REF!,$B201,#REF!,$Q201)&gt;0,"OK","ONBEKEND")),IF(AND($BE201=0,$BF201=0+1),IF(OR(COUNTIF(#REF!,$D201)&gt;0,COUNTIF(#REF!,$D201)=0),"SKIP",IF(COUNTIFS(#REF!,$D201,#REF!,$Q201)&gt;0,"OK","ONBEKEND")),"ONZEKER"))))</f>
        <v/>
      </c>
      <c r="S201" t="str">
        <f t="shared" si="1504"/>
        <v/>
      </c>
      <c r="T201" t="str">
        <f t="shared" si="1505"/>
        <v/>
      </c>
      <c r="U201" t="str">
        <f>IF($T201="","",IF(OR($BH201="",$BI201=""),"ONZEKER",IF(OR($BE201="",$BF201=""),"ONZEKER",IF(AND($BH201=$BE201+1,$BI201=$BF201),IF(OR(COUNTIF(#REF!,$B201)&gt;0,COUNTIF(#REF!,$B201)=0),"SKIP",IF(COUNTIFS(#REF!,$B201,#REF!,$T201)&gt;0,"OK","ONBEKEND")),IF(AND($BH201=$BE201,$BI201=$BF201+1),IF(OR(COUNTIF(#REF!,$D201)&gt;0,COUNTIF(#REF!,$D201)=0),"SKIP",IF(COUNTIFS(#REF!,$D201,#REF!,$T201)&gt;0,"OK","ONBEKEND")),"ONZEKER")))))</f>
        <v/>
      </c>
      <c r="V201" t="str">
        <f t="shared" si="1506"/>
        <v/>
      </c>
      <c r="W201" t="str">
        <f t="shared" si="1507"/>
        <v/>
      </c>
      <c r="X201" t="str">
        <f>IF($W201="","",IF(OR($BK201="",$BL201=""),"ONZEKER",IF(OR($BH201="",$BI201=""),"ONZEKER",IF(AND($BK201=$BH201+1,$BL201=$BI201),IF(OR(COUNTIF(#REF!,$B201)&gt;0,COUNTIF(#REF!,$B201)=0),"SKIP",IF(COUNTIFS(#REF!,$B201,#REF!,$W201)&gt;0,"OK","ONBEKEND")),IF(AND($BK201=$BH201,$BL201=$BI201+1),IF(OR(COUNTIF(#REF!,$D201)&gt;0,COUNTIF(#REF!,$D201)=0),"SKIP",IF(COUNTIFS(#REF!,$D201,#REF!,$W201)&gt;0,"OK","ONBEKEND")),"ONZEKER")))))</f>
        <v/>
      </c>
      <c r="Y201" t="str">
        <f t="shared" si="1508"/>
        <v/>
      </c>
      <c r="Z201" t="str">
        <f t="shared" si="1509"/>
        <v/>
      </c>
      <c r="AA201" t="str">
        <f>IF($Z201="","",IF(OR($BN201="",$BO201=""),"ONZEKER",IF(OR($BK201="",$BL201=""),"ONZEKER",IF(AND($BN201=$BK201+1,$BO201=$BL201),IF(OR(COUNTIF(#REF!,$B201)&gt;0,COUNTIF(#REF!,$B201)=0),"SKIP",IF(COUNTIFS(#REF!,$B201,#REF!,$Z201)&gt;0,"OK","ONBEKEND")),IF(AND($BN201=$BK201,$BO201=$BL201+1),IF(OR(COUNTIF(#REF!,$D201)&gt;0,COUNTIF(#REF!,$D201)=0),"SKIP",IF(COUNTIFS(#REF!,$D201,#REF!,$Z201)&gt;0,"OK","ONBEKEND")),"ONZEKER")))))</f>
        <v/>
      </c>
      <c r="AB201" t="str">
        <f t="shared" si="1510"/>
        <v/>
      </c>
      <c r="AC201" t="str">
        <f t="shared" si="1511"/>
        <v/>
      </c>
      <c r="AD201" t="str">
        <f>IF($AC201="","",IF(OR($BQ201="",$BR201=""),"ONZEKER",IF(OR($BN201="",$BO201=""),"ONZEKER",IF(AND($BQ201=$BN201+1,$BR201=$BO201),IF(OR(COUNTIF(#REF!,$B201)&gt;0,COUNTIF(#REF!,$B201)=0),"SKIP",IF(COUNTIFS(#REF!,$B201,#REF!,$AC201)&gt;0,"OK","ONBEKEND")),IF(AND($BQ201=$BN201,$BR201=$BO201+1),IF(OR(COUNTIF(#REF!,$D201)&gt;0,COUNTIF(#REF!,$D201)=0),"SKIP",IF(COUNTIFS(#REF!,$D201,#REF!,$AC201)&gt;0,"OK","ONBEKEND")),"ONZEKER")))))</f>
        <v/>
      </c>
      <c r="AE201" t="str">
        <f t="shared" si="1512"/>
        <v/>
      </c>
      <c r="AF201" t="str">
        <f t="shared" si="1513"/>
        <v/>
      </c>
      <c r="AG201" t="str">
        <f>IF($AF201="","",IF(OR($BT201="",$BU201=""),"ONZEKER",IF(OR($BQ201="",$BR201=""),"ONZEKER",IF(AND($BT201=$BQ201+1,$BU201=$BR201),IF(OR(COUNTIF(#REF!,$B201)&gt;0,COUNTIF(#REF!,$B201)=0),"SKIP",IF(COUNTIFS(#REF!,$B201,#REF!,$AF201)&gt;0,"OK","ONBEKEND")),IF(AND($BT201=$BQ201,$BU201=$BR201+1),IF(OR(COUNTIF(#REF!,$D201)&gt;0,COUNTIF(#REF!,$D201)=0),"SKIP",IF(COUNTIFS(#REF!,$D201,#REF!,$AF201)&gt;0,"OK","ONBEKEND")),"ONZEKER")))))</f>
        <v/>
      </c>
      <c r="AH201" t="str">
        <f t="shared" si="1514"/>
        <v/>
      </c>
      <c r="AI201" t="str">
        <f t="shared" si="1515"/>
        <v/>
      </c>
      <c r="AJ201" t="str">
        <f>IF($AI201="","",IF(OR($BW201="",$BX201=""),"ONZEKER",IF(OR($BT201="",$BU201=""),"ONZEKER",IF(AND($BW201=$BT201+1,$BX201=$BU201),IF(OR(COUNTIF(#REF!,$B201)&gt;0,COUNTIF(#REF!,$B201)=0),"SKIP",IF(COUNTIFS(#REF!,$B201,#REF!,$AI201)&gt;0,"OK","ONBEKEND")),IF(AND($BW201=$BT201,$BX201=$BU201+1),IF(OR(COUNTIF(#REF!,$D201)&gt;0,COUNTIF(#REF!,$D201)=0),"SKIP",IF(COUNTIFS(#REF!,$D201,#REF!,$AI201)&gt;0,"OK","ONBEKEND")),"ONZEKER")))))</f>
        <v/>
      </c>
      <c r="AK201" t="str">
        <f t="shared" si="1516"/>
        <v/>
      </c>
      <c r="AL201" t="str">
        <f t="shared" si="1517"/>
        <v/>
      </c>
      <c r="AM201" t="str">
        <f>IF($AL201="","",IF(OR($BZ201="",$CA201=""),"ONZEKER",IF(OR($BW201="",$BX201=""),"ONZEKER",IF(AND($BZ201=$BW201+1,$CA201=$BX201),IF(OR(COUNTIF(#REF!,$B201)&gt;0,COUNTIF(#REF!,$B201)=0),"SKIP",IF(COUNTIFS(#REF!,$B201,#REF!,$AL201)&gt;0,"OK","ONBEKEND")),IF(AND($BZ201=$BW201,$CA201=$BX201+1),IF(OR(COUNTIF(#REF!,$D201)&gt;0,COUNTIF(#REF!,$D201)=0),"SKIP",IF(COUNTIFS(#REF!,$D201,#REF!,$AL201)&gt;0,"OK","ONBEKEND")),"ONZEKER")))))</f>
        <v/>
      </c>
      <c r="AN201" t="str">
        <f t="shared" si="1518"/>
        <v/>
      </c>
      <c r="AO201" t="str">
        <f t="shared" si="1519"/>
        <v/>
      </c>
      <c r="AP201" t="str">
        <f>IF($AO201="","",IF(OR($CC201="",$CD201=""),"ONZEKER",IF(OR($BZ201="",$CA201=""),"ONZEKER",IF(AND($CC201=$BZ201+1,$CD201=$CA201),IF(OR(COUNTIF(#REF!,$B201)&gt;0,COUNTIF(#REF!,$B201)=0),"SKIP",IF(COUNTIFS(#REF!,$B201,#REF!,$AO201)&gt;0,"OK","ONBEKEND")),IF(AND($CC201=$BZ201,$CD201=$CA201+1),IF(OR(COUNTIF(#REF!,$D201)&gt;0,COUNTIF(#REF!,$D201)=0),"SKIP",IF(COUNTIFS(#REF!,$D201,#REF!,$AO201)&gt;0,"OK","ONBEKEND")),"ONZEKER")))))</f>
        <v/>
      </c>
      <c r="AQ201" t="str">
        <f t="shared" si="1520"/>
        <v/>
      </c>
      <c r="AR201" t="str">
        <f t="shared" si="1521"/>
        <v/>
      </c>
      <c r="AS201" t="str">
        <f>IF($AR201="","",IF(OR($CF201="",$CG201=""),"ONZEKER",IF(OR($CC201="",$CD201=""),"ONZEKER",IF(AND($CF201=$CC201+1,$CG201=$CD201),IF(OR(COUNTIF(#REF!,$B201)&gt;0,COUNTIF(#REF!,$B201)=0),"SKIP",IF(COUNTIFS(#REF!,$B201,#REF!,$AR201)&gt;0,"OK","ONBEKEND")),IF(AND($CF201=$CC201,$CG201=$CD201+1),IF(OR(COUNTIF(#REF!,$D201)&gt;0,COUNTIF(#REF!,$D201)=0),"SKIP",IF(COUNTIFS(#REF!,$D201,#REF!,$AR201)&gt;0,"OK","ONBEKEND")),"ONZEKER")))))</f>
        <v/>
      </c>
      <c r="AT201" t="str">
        <f t="shared" si="1522"/>
        <v/>
      </c>
      <c r="AU201" t="str">
        <f t="shared" si="1523"/>
        <v/>
      </c>
      <c r="AV201" t="str">
        <f t="shared" si="1524"/>
        <v/>
      </c>
      <c r="AW201" t="str">
        <f t="shared" si="1525"/>
        <v/>
      </c>
      <c r="AX201" t="str">
        <f t="shared" si="1526"/>
        <v/>
      </c>
      <c r="AY201" t="str">
        <f t="shared" si="1527"/>
        <v/>
      </c>
      <c r="AZ201" t="str">
        <f t="shared" si="1528"/>
        <v/>
      </c>
      <c r="BA201" t="str">
        <f t="shared" si="1529"/>
        <v/>
      </c>
      <c r="BB201" t="str">
        <f t="shared" si="1530"/>
        <v/>
      </c>
      <c r="BC201" t="str">
        <f t="shared" si="1531"/>
        <v/>
      </c>
      <c r="BD201" t="str">
        <f t="shared" si="1470"/>
        <v/>
      </c>
      <c r="BE201" t="str">
        <f t="shared" si="1471"/>
        <v/>
      </c>
      <c r="BF201" t="str">
        <f t="shared" si="1472"/>
        <v/>
      </c>
      <c r="BG201" t="str">
        <f t="shared" si="1473"/>
        <v/>
      </c>
      <c r="BH201" t="str">
        <f t="shared" si="1474"/>
        <v/>
      </c>
      <c r="BI201" t="str">
        <f t="shared" si="1475"/>
        <v/>
      </c>
      <c r="BJ201" t="str">
        <f t="shared" si="1476"/>
        <v/>
      </c>
      <c r="BK201" t="str">
        <f t="shared" si="1477"/>
        <v/>
      </c>
      <c r="BL201" t="str">
        <f t="shared" si="1478"/>
        <v/>
      </c>
      <c r="BM201" t="str">
        <f t="shared" si="1479"/>
        <v/>
      </c>
      <c r="BN201" t="str">
        <f t="shared" si="1480"/>
        <v/>
      </c>
      <c r="BO201" t="str">
        <f t="shared" si="1481"/>
        <v/>
      </c>
      <c r="BP201" t="str">
        <f t="shared" si="1482"/>
        <v/>
      </c>
      <c r="BQ201" t="str">
        <f t="shared" si="1483"/>
        <v/>
      </c>
      <c r="BR201" t="str">
        <f t="shared" si="1484"/>
        <v/>
      </c>
      <c r="BS201" t="str">
        <f t="shared" si="1485"/>
        <v/>
      </c>
      <c r="BT201" t="str">
        <f t="shared" si="1486"/>
        <v/>
      </c>
      <c r="BU201" t="str">
        <f t="shared" si="1487"/>
        <v/>
      </c>
      <c r="BV201" t="str">
        <f t="shared" si="1488"/>
        <v/>
      </c>
      <c r="BW201" t="str">
        <f t="shared" si="1489"/>
        <v/>
      </c>
      <c r="BX201" t="str">
        <f t="shared" si="1490"/>
        <v/>
      </c>
      <c r="BY201" t="str">
        <f t="shared" si="1491"/>
        <v/>
      </c>
      <c r="BZ201" t="str">
        <f t="shared" si="1492"/>
        <v/>
      </c>
      <c r="CA201" t="str">
        <f t="shared" si="1493"/>
        <v/>
      </c>
      <c r="CB201" t="str">
        <f t="shared" si="1494"/>
        <v/>
      </c>
      <c r="CC201" t="str">
        <f t="shared" si="1495"/>
        <v/>
      </c>
      <c r="CD201" t="str">
        <f t="shared" si="1496"/>
        <v/>
      </c>
      <c r="CE201" t="str">
        <f t="shared" si="1497"/>
        <v/>
      </c>
      <c r="CF201" t="str">
        <f t="shared" si="1498"/>
        <v/>
      </c>
      <c r="CG201" t="str">
        <f t="shared" si="1499"/>
        <v/>
      </c>
      <c r="CH201" t="str">
        <f t="shared" si="1532"/>
        <v/>
      </c>
      <c r="CI201" t="str">
        <f t="shared" si="1533"/>
        <v/>
      </c>
      <c r="CJ201" t="str">
        <f>IF($CI201="","",IF(OR($DW201="",$DX201=""),"ONZEKER",IF(OR($CF201="",$CG201=""),"ONZEKER",IF(AND($DW201=$CF201+1,$DX201=$CG201),IF(OR(COUNTIF(#REF!,$B201)&gt;0,COUNTIF(#REF!,$B201)=0),"SKIP",IF(COUNTIFS(#REF!,$B201,#REF!,$CI201)&gt;0,"OK","ONBEKEND")),IF(AND($DW201=$CF201,$DX201=$CG201+1),IF(OR(COUNTIF(#REF!,$D201)&gt;0,COUNTIF(#REF!,$D201)=0),"SKIP",IF(COUNTIFS(#REF!,$D201,#REF!,$CI201)&gt;0,"OK","ONBEKEND")),"ONZEKER")))))</f>
        <v/>
      </c>
      <c r="CK201" t="str">
        <f t="shared" si="1534"/>
        <v/>
      </c>
      <c r="CL201" t="str">
        <f t="shared" si="1535"/>
        <v/>
      </c>
      <c r="CM201" t="str">
        <f>IF($CL201="","",IF(OR($DZ201="",$EA201=""),"ONZEKER",IF(OR($DW201="",$DX201=""),"ONZEKER",IF(AND($DZ201=$DW201+1,$EA201=$DX201),IF(OR(COUNTIF(#REF!,$B201)&gt;0,COUNTIF(#REF!,$B201)=0),"SKIP",IF(COUNTIFS(#REF!,$B201,#REF!,$CL201)&gt;0,"OK","ONBEKEND")),IF(AND($DZ201=$DW201,$EA201=$DX201+1),IF(OR(COUNTIF(#REF!,$D201)&gt;0,COUNTIF(#REF!,$D201)=0),"SKIP",IF(COUNTIFS(#REF!,$D201,#REF!,$CL201)&gt;0,"OK","ONBEKEND")),"ONZEKER")))))</f>
        <v/>
      </c>
      <c r="CN201" t="str">
        <f t="shared" si="1536"/>
        <v/>
      </c>
      <c r="CO201" t="str">
        <f t="shared" si="1537"/>
        <v/>
      </c>
      <c r="CP201" t="str">
        <f>IF($CO201="","",IF(OR($EC201="",$ED201=""),"ONZEKER",IF(OR($DZ201="",$EA201=""),"ONZEKER",IF(AND($EC201=$DZ201+1,$ED201=$EA201),IF(OR(COUNTIF(#REF!,$B201)&gt;0,COUNTIF(#REF!,$B201)=0),"SKIP",IF(COUNTIFS(#REF!,$B201,#REF!,$CO201)&gt;0,"OK","ONBEKEND")),IF(AND($EC201=$DZ201,$ED201=$EA201+1),IF(OR(COUNTIF(#REF!,$D201)&gt;0,COUNTIF(#REF!,$D201)=0),"SKIP",IF(COUNTIFS(#REF!,$D201,#REF!,$CO201)&gt;0,"OK","ONBEKEND")),"ONZEKER")))))</f>
        <v/>
      </c>
      <c r="CQ201" t="str">
        <f t="shared" si="1538"/>
        <v/>
      </c>
      <c r="CR201" t="str">
        <f t="shared" si="1539"/>
        <v/>
      </c>
      <c r="CS201" t="str">
        <f>IF($CR201="","",IF(OR($EF201="",$EG201=""),"ONZEKER",IF(OR($EC201="",$ED201=""),"ONZEKER",IF(AND($EF201=$EC201+1,$EG201=$ED201),IF(OR(COUNTIF(#REF!,$B201)&gt;0,COUNTIF(#REF!,$B201)=0),"SKIP",IF(COUNTIFS(#REF!,$B201,#REF!,$CR201)&gt;0,"OK","ONBEKEND")),IF(AND($EF201=$EC201,$EG201=$ED201+1),IF(OR(COUNTIF(#REF!,$D201)&gt;0,COUNTIF(#REF!,$D201)=0),"SKIP",IF(COUNTIFS(#REF!,$D201,#REF!,$CR201)&gt;0,"OK","ONBEKEND")),"ONZEKER")))))</f>
        <v/>
      </c>
      <c r="CT201" t="str">
        <f t="shared" si="1540"/>
        <v/>
      </c>
      <c r="CU201" t="str">
        <f t="shared" si="1541"/>
        <v/>
      </c>
      <c r="CV201" t="str">
        <f>IF($CU201="","",IF(OR($EI201="",$EJ201=""),"ONZEKER",IF(OR($EF201="",$EG201=""),"ONZEKER",IF(AND($EI201=$EF201+1,$EJ201=$EG201),IF(OR(COUNTIF(#REF!,$B201)&gt;0,COUNTIF(#REF!,$B201)=0),"SKIP",IF(COUNTIFS(#REF!,$B201,#REF!,$CU201)&gt;0,"OK","ONBEKEND")),IF(AND($EI201=$EF201,$EJ201=$EG201+1),IF(OR(COUNTIF(#REF!,$D201)&gt;0,COUNTIF(#REF!,$D201)=0),"SKIP",IF(COUNTIFS(#REF!,$D201,#REF!,$CU201)&gt;0,"OK","ONBEKEND")),"ONZEKER")))))</f>
        <v/>
      </c>
      <c r="CW201" t="str">
        <f t="shared" si="1542"/>
        <v/>
      </c>
      <c r="CX201" t="str">
        <f t="shared" si="1543"/>
        <v/>
      </c>
      <c r="CY201" t="str">
        <f>IF($CX201="","",IF(OR($EL201="",$EM201=""),"ONZEKER",IF(OR($EI201="",$EJ201=""),"ONZEKER",IF(AND($EL201=$EI201+1,$EM201=$EJ201),IF(OR(COUNTIF(#REF!,$B201)&gt;0,COUNTIF(#REF!,$B201)=0),"SKIP",IF(COUNTIFS(#REF!,$B201,#REF!,$CX201)&gt;0,"OK","ONBEKEND")),IF(AND($EL201=$EI201,$EM201=$EJ201+1),IF(OR(COUNTIF(#REF!,$D201)&gt;0,COUNTIF(#REF!,$D201)=0),"SKIP",IF(COUNTIFS(#REF!,$D201,#REF!,$CX201)&gt;0,"OK","ONBEKEND")),"ONZEKER")))))</f>
        <v/>
      </c>
      <c r="CZ201" t="str">
        <f t="shared" si="1544"/>
        <v/>
      </c>
      <c r="DA201" t="str">
        <f t="shared" si="1545"/>
        <v/>
      </c>
      <c r="DB201" t="str">
        <f>IF($DA201="","",IF(OR($EO201="",$EP201=""),"ONZEKER",IF(OR($EL201="",$EM201=""),"ONZEKER",IF(AND($EO201=$EL201+1,$EP201=$EM201),IF(OR(COUNTIF(#REF!,$B201)&gt;0,COUNTIF(#REF!,$B201)=0),"SKIP",IF(COUNTIFS(#REF!,$B201,#REF!,$DA201)&gt;0,"OK","ONBEKEND")),IF(AND($EO201=$EL201,$EP201=$EM201+1),IF(OR(COUNTIF(#REF!,$D201)&gt;0,COUNTIF(#REF!,$D201)=0),"SKIP",IF(COUNTIFS(#REF!,$D201,#REF!,$DA201)&gt;0,"OK","ONBEKEND")),"ONZEKER")))))</f>
        <v/>
      </c>
      <c r="DC201" t="str">
        <f t="shared" si="1546"/>
        <v/>
      </c>
      <c r="DD201" t="str">
        <f t="shared" si="1547"/>
        <v/>
      </c>
      <c r="DE201" t="str">
        <f>IF($DD201="","",IF(OR($ER201="",$ES201=""),"ONZEKER",IF(OR($EO201="",$EP201=""),"ONZEKER",IF(AND($ER201=$EO201+1,$ES201=$EP201),IF(OR(COUNTIF(#REF!,$B201)&gt;0,COUNTIF(#REF!,$B201)=0),"SKIP",IF(COUNTIFS(#REF!,$B201,#REF!,$DD201)&gt;0,"OK","ONBEKEND")),IF(AND($ER201=$EO201,$ES201=$EP201+1),IF(OR(COUNTIF(#REF!,$D201)&gt;0,COUNTIF(#REF!,$D201)=0),"SKIP",IF(COUNTIFS(#REF!,$D201,#REF!,$DD201)&gt;0,"OK","ONBEKEND")),"ONZEKER")))))</f>
        <v/>
      </c>
      <c r="DF201" t="str">
        <f t="shared" si="1548"/>
        <v/>
      </c>
      <c r="DG201" t="str">
        <f t="shared" si="1549"/>
        <v/>
      </c>
      <c r="DH201" t="str">
        <f>IF($DG201="","",IF(OR($EU201="",$EV201=""),"ONZEKER",IF(OR($ER201="",$ES201=""),"ONZEKER",IF(AND($EU201=$ER201+1,$EV201=$ES201),IF(OR(COUNTIF(#REF!,$B201)&gt;0,COUNTIF(#REF!,$B201)=0),"SKIP",IF(COUNTIFS(#REF!,$B201,#REF!,$DG201)&gt;0,"OK","ONBEKEND")),IF(AND($EU201=$ER201,$EV201=$ES201+1),IF(OR(COUNTIF(#REF!,$D201)&gt;0,COUNTIF(#REF!,$D201)=0),"SKIP",IF(COUNTIFS(#REF!,$D201,#REF!,$DG201)&gt;0,"OK","ONBEKEND")),"ONZEKER")))))</f>
        <v/>
      </c>
      <c r="DI201" t="str">
        <f t="shared" si="1550"/>
        <v/>
      </c>
      <c r="DJ201" t="str">
        <f t="shared" si="1551"/>
        <v/>
      </c>
      <c r="DK201" t="str">
        <f>IF($DJ201="","",IF(OR($EX201="",$EY201=""),"ONZEKER",IF(OR($EU201="",$EV201=""),"ONZEKER",IF(AND($EX201=$EU201+1,$EY201=$EV201),IF(OR(COUNTIF(#REF!,$B201)&gt;0,COUNTIF(#REF!,$B201)=0),"SKIP",IF(COUNTIFS(#REF!,$B201,#REF!,$DJ201)&gt;0,"OK","ONBEKEND")),IF(AND($EX201=$EU201,$EY201=$EV201+1),IF(OR(COUNTIF(#REF!,$D201)&gt;0,COUNTIF(#REF!,$D201)=0),"SKIP",IF(COUNTIFS(#REF!,$D201,#REF!,$DJ201)&gt;0,"OK","ONBEKEND")),"ONZEKER")))))</f>
        <v/>
      </c>
      <c r="DL201" t="str">
        <f t="shared" si="1552"/>
        <v/>
      </c>
      <c r="DM201" t="str">
        <f t="shared" si="1553"/>
        <v/>
      </c>
      <c r="DN201" t="str">
        <f t="shared" si="1554"/>
        <v/>
      </c>
      <c r="DO201" t="str">
        <f t="shared" si="1555"/>
        <v/>
      </c>
      <c r="DP201" t="str">
        <f t="shared" si="1556"/>
        <v/>
      </c>
      <c r="DQ201" t="str">
        <f t="shared" si="1557"/>
        <v/>
      </c>
      <c r="DR201" t="str">
        <f t="shared" si="1558"/>
        <v/>
      </c>
      <c r="DS201" t="str">
        <f t="shared" si="1559"/>
        <v/>
      </c>
      <c r="DT201" t="str">
        <f t="shared" si="1560"/>
        <v/>
      </c>
      <c r="DU201" t="str">
        <f t="shared" si="1561"/>
        <v/>
      </c>
      <c r="DV201" t="str">
        <f t="shared" si="1562"/>
        <v/>
      </c>
      <c r="DW201" t="str">
        <f t="shared" si="1563"/>
        <v/>
      </c>
      <c r="DX201" t="str">
        <f t="shared" si="1564"/>
        <v/>
      </c>
      <c r="DY201" t="str">
        <f t="shared" si="1565"/>
        <v/>
      </c>
      <c r="DZ201" t="str">
        <f t="shared" si="1566"/>
        <v/>
      </c>
      <c r="EA201" t="str">
        <f t="shared" si="1567"/>
        <v/>
      </c>
      <c r="EB201" t="str">
        <f t="shared" si="1568"/>
        <v/>
      </c>
      <c r="EC201" t="str">
        <f t="shared" si="1569"/>
        <v/>
      </c>
      <c r="ED201" t="str">
        <f t="shared" si="1570"/>
        <v/>
      </c>
      <c r="EE201" t="str">
        <f t="shared" si="1571"/>
        <v/>
      </c>
      <c r="EF201" t="str">
        <f t="shared" si="1572"/>
        <v/>
      </c>
      <c r="EG201" t="str">
        <f t="shared" si="1573"/>
        <v/>
      </c>
      <c r="EH201" t="str">
        <f t="shared" si="1574"/>
        <v/>
      </c>
      <c r="EI201" t="str">
        <f t="shared" si="1575"/>
        <v/>
      </c>
      <c r="EJ201" t="str">
        <f t="shared" si="1576"/>
        <v/>
      </c>
      <c r="EK201" t="str">
        <f t="shared" si="1577"/>
        <v/>
      </c>
      <c r="EL201" t="str">
        <f t="shared" si="1578"/>
        <v/>
      </c>
      <c r="EM201" t="str">
        <f t="shared" si="1579"/>
        <v/>
      </c>
      <c r="EN201" t="str">
        <f t="shared" si="1580"/>
        <v/>
      </c>
      <c r="EO201" t="str">
        <f t="shared" si="1581"/>
        <v/>
      </c>
      <c r="EP201" t="str">
        <f t="shared" si="1582"/>
        <v/>
      </c>
      <c r="EQ201" t="str">
        <f t="shared" si="1583"/>
        <v/>
      </c>
      <c r="ER201" t="str">
        <f t="shared" si="1584"/>
        <v/>
      </c>
      <c r="ES201" t="str">
        <f t="shared" si="1585"/>
        <v/>
      </c>
      <c r="ET201" t="str">
        <f t="shared" si="1586"/>
        <v/>
      </c>
      <c r="EU201" t="str">
        <f t="shared" si="1587"/>
        <v/>
      </c>
      <c r="EV201" t="str">
        <f t="shared" si="1588"/>
        <v/>
      </c>
      <c r="EW201" t="str">
        <f t="shared" si="1589"/>
        <v/>
      </c>
      <c r="EX201" t="str">
        <f t="shared" si="1590"/>
        <v/>
      </c>
      <c r="EY201" t="str">
        <f t="shared" si="1591"/>
        <v/>
      </c>
    </row>
    <row r="202" spans="1:155" ht="13.9" customHeight="1" x14ac:dyDescent="0.25">
      <c r="A202" s="7"/>
      <c r="B202" s="17"/>
      <c r="C202" s="8"/>
      <c r="D202" s="17"/>
      <c r="E202" s="8"/>
      <c r="F202" s="18">
        <v>0</v>
      </c>
      <c r="G202" s="7" t="s">
        <v>147</v>
      </c>
      <c r="H202" s="18">
        <v>0</v>
      </c>
      <c r="I202" s="19">
        <v>0</v>
      </c>
      <c r="J202" s="7" t="s">
        <v>147</v>
      </c>
      <c r="K202" s="19">
        <v>0</v>
      </c>
      <c r="L202" s="9"/>
      <c r="M202" s="3" t="str">
        <f>IF($L202="","",IF($L202="DOELPUNTENMAKERS","",IF(AND(COUNTIF(#REF!,$B202)=0,COUNTIF(#REF!,$D202)=0),"OK",IF($O202&gt;20,"LET OP: meer dan 20 items (controle onvolledig)",IF((COUNTIF($R202:$AS202,"ONZEKER")+COUNTIF($CJ202:$DK202,"ONZEKER"))&gt;0,"LET OP: scoreverloop onduidelijk (controle beperkt)",IF((IF($AT202&lt;&gt;"",$AT202&amp;", ","")&amp;IF($AU202&lt;&gt;"",$AU202&amp;", ","")&amp;IF($AV202&lt;&gt;"",$AV202&amp;", ","")&amp;IF($AW202&lt;&gt;"",$AW202&amp;", ","")&amp;IF($AX202&lt;&gt;"",$AX202&amp;", ","")&amp;IF($AY202&lt;&gt;"",$AY202&amp;", ","")&amp;IF($AZ202&lt;&gt;"",$AZ202&amp;", ","")&amp;IF($BA202&lt;&gt;"",$BA202&amp;", ","")&amp;IF($BB202&lt;&gt;"",$BB202&amp;", ","")&amp;IF($BC202&lt;&gt;"",$BC202&amp;", ","")&amp;IF($DL202&lt;&gt;"",$DL202&amp;", ","")&amp;IF($DM202&lt;&gt;"",$DM202&amp;", ","")&amp;IF($DN202&lt;&gt;"",$DN202&amp;", ","")&amp;IF($DO202&lt;&gt;"",$DO202&amp;", ","")&amp;IF($DP202&lt;&gt;"",$DP202&amp;", ","")&amp;IF($DQ202&lt;&gt;"",$DQ202&amp;", ","")&amp;IF($DR202&lt;&gt;"",$DR202&amp;", ","")&amp;IF($DS202&lt;&gt;"",$DS202&amp;", ","")&amp;IF($DT202&lt;&gt;"",$DT202&amp;", ","")&amp;IF($DU202&lt;&gt;"",$DU202&amp;", ",""))="","OK","Onbekend: "&amp;LEFT((IF($AT202&lt;&gt;"",$AT202&amp;", ","")&amp;IF($AU202&lt;&gt;"",$AU202&amp;", ","")&amp;IF($AV202&lt;&gt;"",$AV202&amp;", ","")&amp;IF($AW202&lt;&gt;"",$AW202&amp;", ","")&amp;IF($AX202&lt;&gt;"",$AX202&amp;", ","")&amp;IF($AY202&lt;&gt;"",$AY202&amp;", ","")&amp;IF($AZ202&lt;&gt;"",$AZ202&amp;", ","")&amp;IF($BA202&lt;&gt;"",$BA202&amp;", ","")&amp;IF($BB202&lt;&gt;"",$BB202&amp;", ","")&amp;IF($BC202&lt;&gt;"",$BC202&amp;", ","")&amp;IF($DL202&lt;&gt;"",$DL202&amp;", ","")&amp;IF($DM202&lt;&gt;"",$DM202&amp;", ","")&amp;IF($DN202&lt;&gt;"",$DN202&amp;", ","")&amp;IF($DO202&lt;&gt;"",$DO202&amp;", ","")&amp;IF($DP202&lt;&gt;"",$DP202&amp;", ","")&amp;IF($DQ202&lt;&gt;"",$DQ202&amp;", ","")&amp;IF($DR202&lt;&gt;"",$DR202&amp;", ","")&amp;IF($DS202&lt;&gt;"",$DS202&amp;", ","")&amp;IF($DT202&lt;&gt;"",$DT202&amp;", ","")&amp;IF($DU202&lt;&gt;"",$DU202&amp;", ","")),LEN((IF($AT202&lt;&gt;"",$AT202&amp;", ","")&amp;IF($AU202&lt;&gt;"",$AU202&amp;", ","")&amp;IF($AV202&lt;&gt;"",$AV202&amp;", ","")&amp;IF($AW202&lt;&gt;"",$AW202&amp;", ","")&amp;IF($AX202&lt;&gt;"",$AX202&amp;", ","")&amp;IF($AY202&lt;&gt;"",$AY202&amp;", ","")&amp;IF($AZ202&lt;&gt;"",$AZ202&amp;", ","")&amp;IF($BA202&lt;&gt;"",$BA202&amp;", ","")&amp;IF($BB202&lt;&gt;"",$BB202&amp;", ","")&amp;IF($BC202&lt;&gt;"",$BC202&amp;", ","")&amp;IF($DL202&lt;&gt;"",$DL202&amp;", ","")&amp;IF($DM202&lt;&gt;"",$DM202&amp;", ","")&amp;IF($DN202&lt;&gt;"",$DN202&amp;", ","")&amp;IF($DO202&lt;&gt;"",$DO202&amp;", ","")&amp;IF($DP202&lt;&gt;"",$DP202&amp;", ","")&amp;IF($DQ202&lt;&gt;"",$DQ202&amp;", ","")&amp;IF($DR202&lt;&gt;"",$DR202&amp;", ","")&amp;IF($DS202&lt;&gt;"",$DS202&amp;", ","")&amp;IF($DT202&lt;&gt;"",$DT202&amp;", ","")&amp;IF($DU202&lt;&gt;"",$DU202&amp;", ","")))-2)))))))</f>
        <v/>
      </c>
      <c r="N202" t="str">
        <f t="shared" si="1500"/>
        <v/>
      </c>
      <c r="O202" t="str">
        <f t="shared" si="1501"/>
        <v/>
      </c>
      <c r="P202" t="str">
        <f t="shared" si="1502"/>
        <v/>
      </c>
      <c r="Q202" t="str">
        <f t="shared" si="1503"/>
        <v/>
      </c>
      <c r="R202" t="str">
        <f>IF($Q202="","",IF(OR($BE202="",$BF202=""),"ONZEKER",IF(AND($BE202=0+1,$BF202=0),IF(OR(COUNTIF(#REF!,$B202)&gt;0,COUNTIF(#REF!,$B202)=0),"SKIP",IF(COUNTIFS(#REF!,$B202,#REF!,$Q202)&gt;0,"OK","ONBEKEND")),IF(AND($BE202=0,$BF202=0+1),IF(OR(COUNTIF(#REF!,$D202)&gt;0,COUNTIF(#REF!,$D202)=0),"SKIP",IF(COUNTIFS(#REF!,$D202,#REF!,$Q202)&gt;0,"OK","ONBEKEND")),"ONZEKER"))))</f>
        <v/>
      </c>
      <c r="S202" t="str">
        <f t="shared" si="1504"/>
        <v/>
      </c>
      <c r="T202" t="str">
        <f t="shared" si="1505"/>
        <v/>
      </c>
      <c r="U202" t="str">
        <f>IF($T202="","",IF(OR($BH202="",$BI202=""),"ONZEKER",IF(OR($BE202="",$BF202=""),"ONZEKER",IF(AND($BH202=$BE202+1,$BI202=$BF202),IF(OR(COUNTIF(#REF!,$B202)&gt;0,COUNTIF(#REF!,$B202)=0),"SKIP",IF(COUNTIFS(#REF!,$B202,#REF!,$T202)&gt;0,"OK","ONBEKEND")),IF(AND($BH202=$BE202,$BI202=$BF202+1),IF(OR(COUNTIF(#REF!,$D202)&gt;0,COUNTIF(#REF!,$D202)=0),"SKIP",IF(COUNTIFS(#REF!,$D202,#REF!,$T202)&gt;0,"OK","ONBEKEND")),"ONZEKER")))))</f>
        <v/>
      </c>
      <c r="V202" t="str">
        <f t="shared" si="1506"/>
        <v/>
      </c>
      <c r="W202" t="str">
        <f t="shared" si="1507"/>
        <v/>
      </c>
      <c r="X202" t="str">
        <f>IF($W202="","",IF(OR($BK202="",$BL202=""),"ONZEKER",IF(OR($BH202="",$BI202=""),"ONZEKER",IF(AND($BK202=$BH202+1,$BL202=$BI202),IF(OR(COUNTIF(#REF!,$B202)&gt;0,COUNTIF(#REF!,$B202)=0),"SKIP",IF(COUNTIFS(#REF!,$B202,#REF!,$W202)&gt;0,"OK","ONBEKEND")),IF(AND($BK202=$BH202,$BL202=$BI202+1),IF(OR(COUNTIF(#REF!,$D202)&gt;0,COUNTIF(#REF!,$D202)=0),"SKIP",IF(COUNTIFS(#REF!,$D202,#REF!,$W202)&gt;0,"OK","ONBEKEND")),"ONZEKER")))))</f>
        <v/>
      </c>
      <c r="Y202" t="str">
        <f t="shared" si="1508"/>
        <v/>
      </c>
      <c r="Z202" t="str">
        <f t="shared" si="1509"/>
        <v/>
      </c>
      <c r="AA202" t="str">
        <f>IF($Z202="","",IF(OR($BN202="",$BO202=""),"ONZEKER",IF(OR($BK202="",$BL202=""),"ONZEKER",IF(AND($BN202=$BK202+1,$BO202=$BL202),IF(OR(COUNTIF(#REF!,$B202)&gt;0,COUNTIF(#REF!,$B202)=0),"SKIP",IF(COUNTIFS(#REF!,$B202,#REF!,$Z202)&gt;0,"OK","ONBEKEND")),IF(AND($BN202=$BK202,$BO202=$BL202+1),IF(OR(COUNTIF(#REF!,$D202)&gt;0,COUNTIF(#REF!,$D202)=0),"SKIP",IF(COUNTIFS(#REF!,$D202,#REF!,$Z202)&gt;0,"OK","ONBEKEND")),"ONZEKER")))))</f>
        <v/>
      </c>
      <c r="AB202" t="str">
        <f t="shared" si="1510"/>
        <v/>
      </c>
      <c r="AC202" t="str">
        <f t="shared" si="1511"/>
        <v/>
      </c>
      <c r="AD202" t="str">
        <f>IF($AC202="","",IF(OR($BQ202="",$BR202=""),"ONZEKER",IF(OR($BN202="",$BO202=""),"ONZEKER",IF(AND($BQ202=$BN202+1,$BR202=$BO202),IF(OR(COUNTIF(#REF!,$B202)&gt;0,COUNTIF(#REF!,$B202)=0),"SKIP",IF(COUNTIFS(#REF!,$B202,#REF!,$AC202)&gt;0,"OK","ONBEKEND")),IF(AND($BQ202=$BN202,$BR202=$BO202+1),IF(OR(COUNTIF(#REF!,$D202)&gt;0,COUNTIF(#REF!,$D202)=0),"SKIP",IF(COUNTIFS(#REF!,$D202,#REF!,$AC202)&gt;0,"OK","ONBEKEND")),"ONZEKER")))))</f>
        <v/>
      </c>
      <c r="AE202" t="str">
        <f t="shared" si="1512"/>
        <v/>
      </c>
      <c r="AF202" t="str">
        <f t="shared" si="1513"/>
        <v/>
      </c>
      <c r="AG202" t="str">
        <f>IF($AF202="","",IF(OR($BT202="",$BU202=""),"ONZEKER",IF(OR($BQ202="",$BR202=""),"ONZEKER",IF(AND($BT202=$BQ202+1,$BU202=$BR202),IF(OR(COUNTIF(#REF!,$B202)&gt;0,COUNTIF(#REF!,$B202)=0),"SKIP",IF(COUNTIFS(#REF!,$B202,#REF!,$AF202)&gt;0,"OK","ONBEKEND")),IF(AND($BT202=$BQ202,$BU202=$BR202+1),IF(OR(COUNTIF(#REF!,$D202)&gt;0,COUNTIF(#REF!,$D202)=0),"SKIP",IF(COUNTIFS(#REF!,$D202,#REF!,$AF202)&gt;0,"OK","ONBEKEND")),"ONZEKER")))))</f>
        <v/>
      </c>
      <c r="AH202" t="str">
        <f t="shared" si="1514"/>
        <v/>
      </c>
      <c r="AI202" t="str">
        <f t="shared" si="1515"/>
        <v/>
      </c>
      <c r="AJ202" t="str">
        <f>IF($AI202="","",IF(OR($BW202="",$BX202=""),"ONZEKER",IF(OR($BT202="",$BU202=""),"ONZEKER",IF(AND($BW202=$BT202+1,$BX202=$BU202),IF(OR(COUNTIF(#REF!,$B202)&gt;0,COUNTIF(#REF!,$B202)=0),"SKIP",IF(COUNTIFS(#REF!,$B202,#REF!,$AI202)&gt;0,"OK","ONBEKEND")),IF(AND($BW202=$BT202,$BX202=$BU202+1),IF(OR(COUNTIF(#REF!,$D202)&gt;0,COUNTIF(#REF!,$D202)=0),"SKIP",IF(COUNTIFS(#REF!,$D202,#REF!,$AI202)&gt;0,"OK","ONBEKEND")),"ONZEKER")))))</f>
        <v/>
      </c>
      <c r="AK202" t="str">
        <f t="shared" si="1516"/>
        <v/>
      </c>
      <c r="AL202" t="str">
        <f t="shared" si="1517"/>
        <v/>
      </c>
      <c r="AM202" t="str">
        <f>IF($AL202="","",IF(OR($BZ202="",$CA202=""),"ONZEKER",IF(OR($BW202="",$BX202=""),"ONZEKER",IF(AND($BZ202=$BW202+1,$CA202=$BX202),IF(OR(COUNTIF(#REF!,$B202)&gt;0,COUNTIF(#REF!,$B202)=0),"SKIP",IF(COUNTIFS(#REF!,$B202,#REF!,$AL202)&gt;0,"OK","ONBEKEND")),IF(AND($BZ202=$BW202,$CA202=$BX202+1),IF(OR(COUNTIF(#REF!,$D202)&gt;0,COUNTIF(#REF!,$D202)=0),"SKIP",IF(COUNTIFS(#REF!,$D202,#REF!,$AL202)&gt;0,"OK","ONBEKEND")),"ONZEKER")))))</f>
        <v/>
      </c>
      <c r="AN202" t="str">
        <f t="shared" si="1518"/>
        <v/>
      </c>
      <c r="AO202" t="str">
        <f t="shared" si="1519"/>
        <v/>
      </c>
      <c r="AP202" t="str">
        <f>IF($AO202="","",IF(OR($CC202="",$CD202=""),"ONZEKER",IF(OR($BZ202="",$CA202=""),"ONZEKER",IF(AND($CC202=$BZ202+1,$CD202=$CA202),IF(OR(COUNTIF(#REF!,$B202)&gt;0,COUNTIF(#REF!,$B202)=0),"SKIP",IF(COUNTIFS(#REF!,$B202,#REF!,$AO202)&gt;0,"OK","ONBEKEND")),IF(AND($CC202=$BZ202,$CD202=$CA202+1),IF(OR(COUNTIF(#REF!,$D202)&gt;0,COUNTIF(#REF!,$D202)=0),"SKIP",IF(COUNTIFS(#REF!,$D202,#REF!,$AO202)&gt;0,"OK","ONBEKEND")),"ONZEKER")))))</f>
        <v/>
      </c>
      <c r="AQ202" t="str">
        <f t="shared" si="1520"/>
        <v/>
      </c>
      <c r="AR202" t="str">
        <f t="shared" si="1521"/>
        <v/>
      </c>
      <c r="AS202" t="str">
        <f>IF($AR202="","",IF(OR($CF202="",$CG202=""),"ONZEKER",IF(OR($CC202="",$CD202=""),"ONZEKER",IF(AND($CF202=$CC202+1,$CG202=$CD202),IF(OR(COUNTIF(#REF!,$B202)&gt;0,COUNTIF(#REF!,$B202)=0),"SKIP",IF(COUNTIFS(#REF!,$B202,#REF!,$AR202)&gt;0,"OK","ONBEKEND")),IF(AND($CF202=$CC202,$CG202=$CD202+1),IF(OR(COUNTIF(#REF!,$D202)&gt;0,COUNTIF(#REF!,$D202)=0),"SKIP",IF(COUNTIFS(#REF!,$D202,#REF!,$AR202)&gt;0,"OK","ONBEKEND")),"ONZEKER")))))</f>
        <v/>
      </c>
      <c r="AT202" t="str">
        <f t="shared" si="1522"/>
        <v/>
      </c>
      <c r="AU202" t="str">
        <f t="shared" si="1523"/>
        <v/>
      </c>
      <c r="AV202" t="str">
        <f t="shared" si="1524"/>
        <v/>
      </c>
      <c r="AW202" t="str">
        <f t="shared" si="1525"/>
        <v/>
      </c>
      <c r="AX202" t="str">
        <f t="shared" si="1526"/>
        <v/>
      </c>
      <c r="AY202" t="str">
        <f t="shared" si="1527"/>
        <v/>
      </c>
      <c r="AZ202" t="str">
        <f t="shared" si="1528"/>
        <v/>
      </c>
      <c r="BA202" t="str">
        <f t="shared" si="1529"/>
        <v/>
      </c>
      <c r="BB202" t="str">
        <f t="shared" si="1530"/>
        <v/>
      </c>
      <c r="BC202" t="str">
        <f t="shared" si="1531"/>
        <v/>
      </c>
      <c r="BD202" t="str">
        <f t="shared" si="1470"/>
        <v/>
      </c>
      <c r="BE202" t="str">
        <f t="shared" si="1471"/>
        <v/>
      </c>
      <c r="BF202" t="str">
        <f t="shared" si="1472"/>
        <v/>
      </c>
      <c r="BG202" t="str">
        <f t="shared" si="1473"/>
        <v/>
      </c>
      <c r="BH202" t="str">
        <f t="shared" si="1474"/>
        <v/>
      </c>
      <c r="BI202" t="str">
        <f t="shared" si="1475"/>
        <v/>
      </c>
      <c r="BJ202" t="str">
        <f t="shared" si="1476"/>
        <v/>
      </c>
      <c r="BK202" t="str">
        <f t="shared" si="1477"/>
        <v/>
      </c>
      <c r="BL202" t="str">
        <f t="shared" si="1478"/>
        <v/>
      </c>
      <c r="BM202" t="str">
        <f t="shared" si="1479"/>
        <v/>
      </c>
      <c r="BN202" t="str">
        <f t="shared" si="1480"/>
        <v/>
      </c>
      <c r="BO202" t="str">
        <f t="shared" si="1481"/>
        <v/>
      </c>
      <c r="BP202" t="str">
        <f t="shared" si="1482"/>
        <v/>
      </c>
      <c r="BQ202" t="str">
        <f t="shared" si="1483"/>
        <v/>
      </c>
      <c r="BR202" t="str">
        <f t="shared" si="1484"/>
        <v/>
      </c>
      <c r="BS202" t="str">
        <f t="shared" si="1485"/>
        <v/>
      </c>
      <c r="BT202" t="str">
        <f t="shared" si="1486"/>
        <v/>
      </c>
      <c r="BU202" t="str">
        <f t="shared" si="1487"/>
        <v/>
      </c>
      <c r="BV202" t="str">
        <f t="shared" si="1488"/>
        <v/>
      </c>
      <c r="BW202" t="str">
        <f t="shared" si="1489"/>
        <v/>
      </c>
      <c r="BX202" t="str">
        <f t="shared" si="1490"/>
        <v/>
      </c>
      <c r="BY202" t="str">
        <f t="shared" si="1491"/>
        <v/>
      </c>
      <c r="BZ202" t="str">
        <f t="shared" si="1492"/>
        <v/>
      </c>
      <c r="CA202" t="str">
        <f t="shared" si="1493"/>
        <v/>
      </c>
      <c r="CB202" t="str">
        <f t="shared" si="1494"/>
        <v/>
      </c>
      <c r="CC202" t="str">
        <f t="shared" si="1495"/>
        <v/>
      </c>
      <c r="CD202" t="str">
        <f t="shared" si="1496"/>
        <v/>
      </c>
      <c r="CE202" t="str">
        <f t="shared" si="1497"/>
        <v/>
      </c>
      <c r="CF202" t="str">
        <f t="shared" si="1498"/>
        <v/>
      </c>
      <c r="CG202" t="str">
        <f t="shared" si="1499"/>
        <v/>
      </c>
      <c r="CH202" t="str">
        <f t="shared" si="1532"/>
        <v/>
      </c>
      <c r="CI202" t="str">
        <f t="shared" si="1533"/>
        <v/>
      </c>
      <c r="CJ202" t="str">
        <f>IF($CI202="","",IF(OR($DW202="",$DX202=""),"ONZEKER",IF(OR($CF202="",$CG202=""),"ONZEKER",IF(AND($DW202=$CF202+1,$DX202=$CG202),IF(OR(COUNTIF(#REF!,$B202)&gt;0,COUNTIF(#REF!,$B202)=0),"SKIP",IF(COUNTIFS(#REF!,$B202,#REF!,$CI202)&gt;0,"OK","ONBEKEND")),IF(AND($DW202=$CF202,$DX202=$CG202+1),IF(OR(COUNTIF(#REF!,$D202)&gt;0,COUNTIF(#REF!,$D202)=0),"SKIP",IF(COUNTIFS(#REF!,$D202,#REF!,$CI202)&gt;0,"OK","ONBEKEND")),"ONZEKER")))))</f>
        <v/>
      </c>
      <c r="CK202" t="str">
        <f t="shared" si="1534"/>
        <v/>
      </c>
      <c r="CL202" t="str">
        <f t="shared" si="1535"/>
        <v/>
      </c>
      <c r="CM202" t="str">
        <f>IF($CL202="","",IF(OR($DZ202="",$EA202=""),"ONZEKER",IF(OR($DW202="",$DX202=""),"ONZEKER",IF(AND($DZ202=$DW202+1,$EA202=$DX202),IF(OR(COUNTIF(#REF!,$B202)&gt;0,COUNTIF(#REF!,$B202)=0),"SKIP",IF(COUNTIFS(#REF!,$B202,#REF!,$CL202)&gt;0,"OK","ONBEKEND")),IF(AND($DZ202=$DW202,$EA202=$DX202+1),IF(OR(COUNTIF(#REF!,$D202)&gt;0,COUNTIF(#REF!,$D202)=0),"SKIP",IF(COUNTIFS(#REF!,$D202,#REF!,$CL202)&gt;0,"OK","ONBEKEND")),"ONZEKER")))))</f>
        <v/>
      </c>
      <c r="CN202" t="str">
        <f t="shared" si="1536"/>
        <v/>
      </c>
      <c r="CO202" t="str">
        <f t="shared" si="1537"/>
        <v/>
      </c>
      <c r="CP202" t="str">
        <f>IF($CO202="","",IF(OR($EC202="",$ED202=""),"ONZEKER",IF(OR($DZ202="",$EA202=""),"ONZEKER",IF(AND($EC202=$DZ202+1,$ED202=$EA202),IF(OR(COUNTIF(#REF!,$B202)&gt;0,COUNTIF(#REF!,$B202)=0),"SKIP",IF(COUNTIFS(#REF!,$B202,#REF!,$CO202)&gt;0,"OK","ONBEKEND")),IF(AND($EC202=$DZ202,$ED202=$EA202+1),IF(OR(COUNTIF(#REF!,$D202)&gt;0,COUNTIF(#REF!,$D202)=0),"SKIP",IF(COUNTIFS(#REF!,$D202,#REF!,$CO202)&gt;0,"OK","ONBEKEND")),"ONZEKER")))))</f>
        <v/>
      </c>
      <c r="CQ202" t="str">
        <f t="shared" si="1538"/>
        <v/>
      </c>
      <c r="CR202" t="str">
        <f t="shared" si="1539"/>
        <v/>
      </c>
      <c r="CS202" t="str">
        <f>IF($CR202="","",IF(OR($EF202="",$EG202=""),"ONZEKER",IF(OR($EC202="",$ED202=""),"ONZEKER",IF(AND($EF202=$EC202+1,$EG202=$ED202),IF(OR(COUNTIF(#REF!,$B202)&gt;0,COUNTIF(#REF!,$B202)=0),"SKIP",IF(COUNTIFS(#REF!,$B202,#REF!,$CR202)&gt;0,"OK","ONBEKEND")),IF(AND($EF202=$EC202,$EG202=$ED202+1),IF(OR(COUNTIF(#REF!,$D202)&gt;0,COUNTIF(#REF!,$D202)=0),"SKIP",IF(COUNTIFS(#REF!,$D202,#REF!,$CR202)&gt;0,"OK","ONBEKEND")),"ONZEKER")))))</f>
        <v/>
      </c>
      <c r="CT202" t="str">
        <f t="shared" si="1540"/>
        <v/>
      </c>
      <c r="CU202" t="str">
        <f t="shared" si="1541"/>
        <v/>
      </c>
      <c r="CV202" t="str">
        <f>IF($CU202="","",IF(OR($EI202="",$EJ202=""),"ONZEKER",IF(OR($EF202="",$EG202=""),"ONZEKER",IF(AND($EI202=$EF202+1,$EJ202=$EG202),IF(OR(COUNTIF(#REF!,$B202)&gt;0,COUNTIF(#REF!,$B202)=0),"SKIP",IF(COUNTIFS(#REF!,$B202,#REF!,$CU202)&gt;0,"OK","ONBEKEND")),IF(AND($EI202=$EF202,$EJ202=$EG202+1),IF(OR(COUNTIF(#REF!,$D202)&gt;0,COUNTIF(#REF!,$D202)=0),"SKIP",IF(COUNTIFS(#REF!,$D202,#REF!,$CU202)&gt;0,"OK","ONBEKEND")),"ONZEKER")))))</f>
        <v/>
      </c>
      <c r="CW202" t="str">
        <f t="shared" si="1542"/>
        <v/>
      </c>
      <c r="CX202" t="str">
        <f t="shared" si="1543"/>
        <v/>
      </c>
      <c r="CY202" t="str">
        <f>IF($CX202="","",IF(OR($EL202="",$EM202=""),"ONZEKER",IF(OR($EI202="",$EJ202=""),"ONZEKER",IF(AND($EL202=$EI202+1,$EM202=$EJ202),IF(OR(COUNTIF(#REF!,$B202)&gt;0,COUNTIF(#REF!,$B202)=0),"SKIP",IF(COUNTIFS(#REF!,$B202,#REF!,$CX202)&gt;0,"OK","ONBEKEND")),IF(AND($EL202=$EI202,$EM202=$EJ202+1),IF(OR(COUNTIF(#REF!,$D202)&gt;0,COUNTIF(#REF!,$D202)=0),"SKIP",IF(COUNTIFS(#REF!,$D202,#REF!,$CX202)&gt;0,"OK","ONBEKEND")),"ONZEKER")))))</f>
        <v/>
      </c>
      <c r="CZ202" t="str">
        <f t="shared" si="1544"/>
        <v/>
      </c>
      <c r="DA202" t="str">
        <f t="shared" si="1545"/>
        <v/>
      </c>
      <c r="DB202" t="str">
        <f>IF($DA202="","",IF(OR($EO202="",$EP202=""),"ONZEKER",IF(OR($EL202="",$EM202=""),"ONZEKER",IF(AND($EO202=$EL202+1,$EP202=$EM202),IF(OR(COUNTIF(#REF!,$B202)&gt;0,COUNTIF(#REF!,$B202)=0),"SKIP",IF(COUNTIFS(#REF!,$B202,#REF!,$DA202)&gt;0,"OK","ONBEKEND")),IF(AND($EO202=$EL202,$EP202=$EM202+1),IF(OR(COUNTIF(#REF!,$D202)&gt;0,COUNTIF(#REF!,$D202)=0),"SKIP",IF(COUNTIFS(#REF!,$D202,#REF!,$DA202)&gt;0,"OK","ONBEKEND")),"ONZEKER")))))</f>
        <v/>
      </c>
      <c r="DC202" t="str">
        <f t="shared" si="1546"/>
        <v/>
      </c>
      <c r="DD202" t="str">
        <f t="shared" si="1547"/>
        <v/>
      </c>
      <c r="DE202" t="str">
        <f>IF($DD202="","",IF(OR($ER202="",$ES202=""),"ONZEKER",IF(OR($EO202="",$EP202=""),"ONZEKER",IF(AND($ER202=$EO202+1,$ES202=$EP202),IF(OR(COUNTIF(#REF!,$B202)&gt;0,COUNTIF(#REF!,$B202)=0),"SKIP",IF(COUNTIFS(#REF!,$B202,#REF!,$DD202)&gt;0,"OK","ONBEKEND")),IF(AND($ER202=$EO202,$ES202=$EP202+1),IF(OR(COUNTIF(#REF!,$D202)&gt;0,COUNTIF(#REF!,$D202)=0),"SKIP",IF(COUNTIFS(#REF!,$D202,#REF!,$DD202)&gt;0,"OK","ONBEKEND")),"ONZEKER")))))</f>
        <v/>
      </c>
      <c r="DF202" t="str">
        <f t="shared" si="1548"/>
        <v/>
      </c>
      <c r="DG202" t="str">
        <f t="shared" si="1549"/>
        <v/>
      </c>
      <c r="DH202" t="str">
        <f>IF($DG202="","",IF(OR($EU202="",$EV202=""),"ONZEKER",IF(OR($ER202="",$ES202=""),"ONZEKER",IF(AND($EU202=$ER202+1,$EV202=$ES202),IF(OR(COUNTIF(#REF!,$B202)&gt;0,COUNTIF(#REF!,$B202)=0),"SKIP",IF(COUNTIFS(#REF!,$B202,#REF!,$DG202)&gt;0,"OK","ONBEKEND")),IF(AND($EU202=$ER202,$EV202=$ES202+1),IF(OR(COUNTIF(#REF!,$D202)&gt;0,COUNTIF(#REF!,$D202)=0),"SKIP",IF(COUNTIFS(#REF!,$D202,#REF!,$DG202)&gt;0,"OK","ONBEKEND")),"ONZEKER")))))</f>
        <v/>
      </c>
      <c r="DI202" t="str">
        <f t="shared" si="1550"/>
        <v/>
      </c>
      <c r="DJ202" t="str">
        <f t="shared" si="1551"/>
        <v/>
      </c>
      <c r="DK202" t="str">
        <f>IF($DJ202="","",IF(OR($EX202="",$EY202=""),"ONZEKER",IF(OR($EU202="",$EV202=""),"ONZEKER",IF(AND($EX202=$EU202+1,$EY202=$EV202),IF(OR(COUNTIF(#REF!,$B202)&gt;0,COUNTIF(#REF!,$B202)=0),"SKIP",IF(COUNTIFS(#REF!,$B202,#REF!,$DJ202)&gt;0,"OK","ONBEKEND")),IF(AND($EX202=$EU202,$EY202=$EV202+1),IF(OR(COUNTIF(#REF!,$D202)&gt;0,COUNTIF(#REF!,$D202)=0),"SKIP",IF(COUNTIFS(#REF!,$D202,#REF!,$DJ202)&gt;0,"OK","ONBEKEND")),"ONZEKER")))))</f>
        <v/>
      </c>
      <c r="DL202" t="str">
        <f t="shared" si="1552"/>
        <v/>
      </c>
      <c r="DM202" t="str">
        <f t="shared" si="1553"/>
        <v/>
      </c>
      <c r="DN202" t="str">
        <f t="shared" si="1554"/>
        <v/>
      </c>
      <c r="DO202" t="str">
        <f t="shared" si="1555"/>
        <v/>
      </c>
      <c r="DP202" t="str">
        <f t="shared" si="1556"/>
        <v/>
      </c>
      <c r="DQ202" t="str">
        <f t="shared" si="1557"/>
        <v/>
      </c>
      <c r="DR202" t="str">
        <f t="shared" si="1558"/>
        <v/>
      </c>
      <c r="DS202" t="str">
        <f t="shared" si="1559"/>
        <v/>
      </c>
      <c r="DT202" t="str">
        <f t="shared" si="1560"/>
        <v/>
      </c>
      <c r="DU202" t="str">
        <f t="shared" si="1561"/>
        <v/>
      </c>
      <c r="DV202" t="str">
        <f t="shared" si="1562"/>
        <v/>
      </c>
      <c r="DW202" t="str">
        <f t="shared" si="1563"/>
        <v/>
      </c>
      <c r="DX202" t="str">
        <f t="shared" si="1564"/>
        <v/>
      </c>
      <c r="DY202" t="str">
        <f t="shared" si="1565"/>
        <v/>
      </c>
      <c r="DZ202" t="str">
        <f t="shared" si="1566"/>
        <v/>
      </c>
      <c r="EA202" t="str">
        <f t="shared" si="1567"/>
        <v/>
      </c>
      <c r="EB202" t="str">
        <f t="shared" si="1568"/>
        <v/>
      </c>
      <c r="EC202" t="str">
        <f t="shared" si="1569"/>
        <v/>
      </c>
      <c r="ED202" t="str">
        <f t="shared" si="1570"/>
        <v/>
      </c>
      <c r="EE202" t="str">
        <f t="shared" si="1571"/>
        <v/>
      </c>
      <c r="EF202" t="str">
        <f t="shared" si="1572"/>
        <v/>
      </c>
      <c r="EG202" t="str">
        <f t="shared" si="1573"/>
        <v/>
      </c>
      <c r="EH202" t="str">
        <f t="shared" si="1574"/>
        <v/>
      </c>
      <c r="EI202" t="str">
        <f t="shared" si="1575"/>
        <v/>
      </c>
      <c r="EJ202" t="str">
        <f t="shared" si="1576"/>
        <v/>
      </c>
      <c r="EK202" t="str">
        <f t="shared" si="1577"/>
        <v/>
      </c>
      <c r="EL202" t="str">
        <f t="shared" si="1578"/>
        <v/>
      </c>
      <c r="EM202" t="str">
        <f t="shared" si="1579"/>
        <v/>
      </c>
      <c r="EN202" t="str">
        <f t="shared" si="1580"/>
        <v/>
      </c>
      <c r="EO202" t="str">
        <f t="shared" si="1581"/>
        <v/>
      </c>
      <c r="EP202" t="str">
        <f t="shared" si="1582"/>
        <v/>
      </c>
      <c r="EQ202" t="str">
        <f t="shared" si="1583"/>
        <v/>
      </c>
      <c r="ER202" t="str">
        <f t="shared" si="1584"/>
        <v/>
      </c>
      <c r="ES202" t="str">
        <f t="shared" si="1585"/>
        <v/>
      </c>
      <c r="ET202" t="str">
        <f t="shared" si="1586"/>
        <v/>
      </c>
      <c r="EU202" t="str">
        <f t="shared" si="1587"/>
        <v/>
      </c>
      <c r="EV202" t="str">
        <f t="shared" si="1588"/>
        <v/>
      </c>
      <c r="EW202" t="str">
        <f t="shared" si="1589"/>
        <v/>
      </c>
      <c r="EX202" t="str">
        <f t="shared" si="1590"/>
        <v/>
      </c>
      <c r="EY202" t="str">
        <f t="shared" si="1591"/>
        <v/>
      </c>
    </row>
    <row r="203" spans="1:155" ht="13.9" customHeight="1" x14ac:dyDescent="0.25">
      <c r="A203" s="7"/>
      <c r="B203" s="17"/>
      <c r="C203" s="8"/>
      <c r="D203" s="17"/>
      <c r="E203" s="8"/>
      <c r="F203" s="18">
        <v>0</v>
      </c>
      <c r="G203" s="7" t="s">
        <v>147</v>
      </c>
      <c r="H203" s="18">
        <v>0</v>
      </c>
      <c r="I203" s="19">
        <v>0</v>
      </c>
      <c r="J203" s="7" t="s">
        <v>147</v>
      </c>
      <c r="K203" s="19">
        <v>0</v>
      </c>
      <c r="L203" s="9"/>
      <c r="M203" s="3" t="str">
        <f>IF($L203="","",IF($L203="DOELPUNTENMAKERS","",IF(AND(COUNTIF(#REF!,$B203)=0,COUNTIF(#REF!,$D203)=0),"OK",IF($O203&gt;20,"LET OP: meer dan 20 items (controle onvolledig)",IF((COUNTIF($R203:$AS203,"ONZEKER")+COUNTIF($CJ203:$DK203,"ONZEKER"))&gt;0,"LET OP: scoreverloop onduidelijk (controle beperkt)",IF((IF($AT203&lt;&gt;"",$AT203&amp;", ","")&amp;IF($AU203&lt;&gt;"",$AU203&amp;", ","")&amp;IF($AV203&lt;&gt;"",$AV203&amp;", ","")&amp;IF($AW203&lt;&gt;"",$AW203&amp;", ","")&amp;IF($AX203&lt;&gt;"",$AX203&amp;", ","")&amp;IF($AY203&lt;&gt;"",$AY203&amp;", ","")&amp;IF($AZ203&lt;&gt;"",$AZ203&amp;", ","")&amp;IF($BA203&lt;&gt;"",$BA203&amp;", ","")&amp;IF($BB203&lt;&gt;"",$BB203&amp;", ","")&amp;IF($BC203&lt;&gt;"",$BC203&amp;", ","")&amp;IF($DL203&lt;&gt;"",$DL203&amp;", ","")&amp;IF($DM203&lt;&gt;"",$DM203&amp;", ","")&amp;IF($DN203&lt;&gt;"",$DN203&amp;", ","")&amp;IF($DO203&lt;&gt;"",$DO203&amp;", ","")&amp;IF($DP203&lt;&gt;"",$DP203&amp;", ","")&amp;IF($DQ203&lt;&gt;"",$DQ203&amp;", ","")&amp;IF($DR203&lt;&gt;"",$DR203&amp;", ","")&amp;IF($DS203&lt;&gt;"",$DS203&amp;", ","")&amp;IF($DT203&lt;&gt;"",$DT203&amp;", ","")&amp;IF($DU203&lt;&gt;"",$DU203&amp;", ",""))="","OK","Onbekend: "&amp;LEFT((IF($AT203&lt;&gt;"",$AT203&amp;", ","")&amp;IF($AU203&lt;&gt;"",$AU203&amp;", ","")&amp;IF($AV203&lt;&gt;"",$AV203&amp;", ","")&amp;IF($AW203&lt;&gt;"",$AW203&amp;", ","")&amp;IF($AX203&lt;&gt;"",$AX203&amp;", ","")&amp;IF($AY203&lt;&gt;"",$AY203&amp;", ","")&amp;IF($AZ203&lt;&gt;"",$AZ203&amp;", ","")&amp;IF($BA203&lt;&gt;"",$BA203&amp;", ","")&amp;IF($BB203&lt;&gt;"",$BB203&amp;", ","")&amp;IF($BC203&lt;&gt;"",$BC203&amp;", ","")&amp;IF($DL203&lt;&gt;"",$DL203&amp;", ","")&amp;IF($DM203&lt;&gt;"",$DM203&amp;", ","")&amp;IF($DN203&lt;&gt;"",$DN203&amp;", ","")&amp;IF($DO203&lt;&gt;"",$DO203&amp;", ","")&amp;IF($DP203&lt;&gt;"",$DP203&amp;", ","")&amp;IF($DQ203&lt;&gt;"",$DQ203&amp;", ","")&amp;IF($DR203&lt;&gt;"",$DR203&amp;", ","")&amp;IF($DS203&lt;&gt;"",$DS203&amp;", ","")&amp;IF($DT203&lt;&gt;"",$DT203&amp;", ","")&amp;IF($DU203&lt;&gt;"",$DU203&amp;", ","")),LEN((IF($AT203&lt;&gt;"",$AT203&amp;", ","")&amp;IF($AU203&lt;&gt;"",$AU203&amp;", ","")&amp;IF($AV203&lt;&gt;"",$AV203&amp;", ","")&amp;IF($AW203&lt;&gt;"",$AW203&amp;", ","")&amp;IF($AX203&lt;&gt;"",$AX203&amp;", ","")&amp;IF($AY203&lt;&gt;"",$AY203&amp;", ","")&amp;IF($AZ203&lt;&gt;"",$AZ203&amp;", ","")&amp;IF($BA203&lt;&gt;"",$BA203&amp;", ","")&amp;IF($BB203&lt;&gt;"",$BB203&amp;", ","")&amp;IF($BC203&lt;&gt;"",$BC203&amp;", ","")&amp;IF($DL203&lt;&gt;"",$DL203&amp;", ","")&amp;IF($DM203&lt;&gt;"",$DM203&amp;", ","")&amp;IF($DN203&lt;&gt;"",$DN203&amp;", ","")&amp;IF($DO203&lt;&gt;"",$DO203&amp;", ","")&amp;IF($DP203&lt;&gt;"",$DP203&amp;", ","")&amp;IF($DQ203&lt;&gt;"",$DQ203&amp;", ","")&amp;IF($DR203&lt;&gt;"",$DR203&amp;", ","")&amp;IF($DS203&lt;&gt;"",$DS203&amp;", ","")&amp;IF($DT203&lt;&gt;"",$DT203&amp;", ","")&amp;IF($DU203&lt;&gt;"",$DU203&amp;", ","")))-2)))))))</f>
        <v/>
      </c>
      <c r="N203" t="str">
        <f t="shared" si="1500"/>
        <v/>
      </c>
      <c r="O203" t="str">
        <f t="shared" si="1501"/>
        <v/>
      </c>
      <c r="P203" t="str">
        <f t="shared" si="1502"/>
        <v/>
      </c>
      <c r="Q203" t="str">
        <f t="shared" si="1503"/>
        <v/>
      </c>
      <c r="R203" t="str">
        <f>IF($Q203="","",IF(OR($BE203="",$BF203=""),"ONZEKER",IF(AND($BE203=0+1,$BF203=0),IF(OR(COUNTIF(#REF!,$B203)&gt;0,COUNTIF(#REF!,$B203)=0),"SKIP",IF(COUNTIFS(#REF!,$B203,#REF!,$Q203)&gt;0,"OK","ONBEKEND")),IF(AND($BE203=0,$BF203=0+1),IF(OR(COUNTIF(#REF!,$D203)&gt;0,COUNTIF(#REF!,$D203)=0),"SKIP",IF(COUNTIFS(#REF!,$D203,#REF!,$Q203)&gt;0,"OK","ONBEKEND")),"ONZEKER"))))</f>
        <v/>
      </c>
      <c r="S203" t="str">
        <f t="shared" si="1504"/>
        <v/>
      </c>
      <c r="T203" t="str">
        <f t="shared" si="1505"/>
        <v/>
      </c>
      <c r="U203" t="str">
        <f>IF($T203="","",IF(OR($BH203="",$BI203=""),"ONZEKER",IF(OR($BE203="",$BF203=""),"ONZEKER",IF(AND($BH203=$BE203+1,$BI203=$BF203),IF(OR(COUNTIF(#REF!,$B203)&gt;0,COUNTIF(#REF!,$B203)=0),"SKIP",IF(COUNTIFS(#REF!,$B203,#REF!,$T203)&gt;0,"OK","ONBEKEND")),IF(AND($BH203=$BE203,$BI203=$BF203+1),IF(OR(COUNTIF(#REF!,$D203)&gt;0,COUNTIF(#REF!,$D203)=0),"SKIP",IF(COUNTIFS(#REF!,$D203,#REF!,$T203)&gt;0,"OK","ONBEKEND")),"ONZEKER")))))</f>
        <v/>
      </c>
      <c r="V203" t="str">
        <f t="shared" si="1506"/>
        <v/>
      </c>
      <c r="W203" t="str">
        <f t="shared" si="1507"/>
        <v/>
      </c>
      <c r="X203" t="str">
        <f>IF($W203="","",IF(OR($BK203="",$BL203=""),"ONZEKER",IF(OR($BH203="",$BI203=""),"ONZEKER",IF(AND($BK203=$BH203+1,$BL203=$BI203),IF(OR(COUNTIF(#REF!,$B203)&gt;0,COUNTIF(#REF!,$B203)=0),"SKIP",IF(COUNTIFS(#REF!,$B203,#REF!,$W203)&gt;0,"OK","ONBEKEND")),IF(AND($BK203=$BH203,$BL203=$BI203+1),IF(OR(COUNTIF(#REF!,$D203)&gt;0,COUNTIF(#REF!,$D203)=0),"SKIP",IF(COUNTIFS(#REF!,$D203,#REF!,$W203)&gt;0,"OK","ONBEKEND")),"ONZEKER")))))</f>
        <v/>
      </c>
      <c r="Y203" t="str">
        <f t="shared" si="1508"/>
        <v/>
      </c>
      <c r="Z203" t="str">
        <f t="shared" si="1509"/>
        <v/>
      </c>
      <c r="AA203" t="str">
        <f>IF($Z203="","",IF(OR($BN203="",$BO203=""),"ONZEKER",IF(OR($BK203="",$BL203=""),"ONZEKER",IF(AND($BN203=$BK203+1,$BO203=$BL203),IF(OR(COUNTIF(#REF!,$B203)&gt;0,COUNTIF(#REF!,$B203)=0),"SKIP",IF(COUNTIFS(#REF!,$B203,#REF!,$Z203)&gt;0,"OK","ONBEKEND")),IF(AND($BN203=$BK203,$BO203=$BL203+1),IF(OR(COUNTIF(#REF!,$D203)&gt;0,COUNTIF(#REF!,$D203)=0),"SKIP",IF(COUNTIFS(#REF!,$D203,#REF!,$Z203)&gt;0,"OK","ONBEKEND")),"ONZEKER")))))</f>
        <v/>
      </c>
      <c r="AB203" t="str">
        <f t="shared" si="1510"/>
        <v/>
      </c>
      <c r="AC203" t="str">
        <f t="shared" si="1511"/>
        <v/>
      </c>
      <c r="AD203" t="str">
        <f>IF($AC203="","",IF(OR($BQ203="",$BR203=""),"ONZEKER",IF(OR($BN203="",$BO203=""),"ONZEKER",IF(AND($BQ203=$BN203+1,$BR203=$BO203),IF(OR(COUNTIF(#REF!,$B203)&gt;0,COUNTIF(#REF!,$B203)=0),"SKIP",IF(COUNTIFS(#REF!,$B203,#REF!,$AC203)&gt;0,"OK","ONBEKEND")),IF(AND($BQ203=$BN203,$BR203=$BO203+1),IF(OR(COUNTIF(#REF!,$D203)&gt;0,COUNTIF(#REF!,$D203)=0),"SKIP",IF(COUNTIFS(#REF!,$D203,#REF!,$AC203)&gt;0,"OK","ONBEKEND")),"ONZEKER")))))</f>
        <v/>
      </c>
      <c r="AE203" t="str">
        <f t="shared" si="1512"/>
        <v/>
      </c>
      <c r="AF203" t="str">
        <f t="shared" si="1513"/>
        <v/>
      </c>
      <c r="AG203" t="str">
        <f>IF($AF203="","",IF(OR($BT203="",$BU203=""),"ONZEKER",IF(OR($BQ203="",$BR203=""),"ONZEKER",IF(AND($BT203=$BQ203+1,$BU203=$BR203),IF(OR(COUNTIF(#REF!,$B203)&gt;0,COUNTIF(#REF!,$B203)=0),"SKIP",IF(COUNTIFS(#REF!,$B203,#REF!,$AF203)&gt;0,"OK","ONBEKEND")),IF(AND($BT203=$BQ203,$BU203=$BR203+1),IF(OR(COUNTIF(#REF!,$D203)&gt;0,COUNTIF(#REF!,$D203)=0),"SKIP",IF(COUNTIFS(#REF!,$D203,#REF!,$AF203)&gt;0,"OK","ONBEKEND")),"ONZEKER")))))</f>
        <v/>
      </c>
      <c r="AH203" t="str">
        <f t="shared" si="1514"/>
        <v/>
      </c>
      <c r="AI203" t="str">
        <f t="shared" si="1515"/>
        <v/>
      </c>
      <c r="AJ203" t="str">
        <f>IF($AI203="","",IF(OR($BW203="",$BX203=""),"ONZEKER",IF(OR($BT203="",$BU203=""),"ONZEKER",IF(AND($BW203=$BT203+1,$BX203=$BU203),IF(OR(COUNTIF(#REF!,$B203)&gt;0,COUNTIF(#REF!,$B203)=0),"SKIP",IF(COUNTIFS(#REF!,$B203,#REF!,$AI203)&gt;0,"OK","ONBEKEND")),IF(AND($BW203=$BT203,$BX203=$BU203+1),IF(OR(COUNTIF(#REF!,$D203)&gt;0,COUNTIF(#REF!,$D203)=0),"SKIP",IF(COUNTIFS(#REF!,$D203,#REF!,$AI203)&gt;0,"OK","ONBEKEND")),"ONZEKER")))))</f>
        <v/>
      </c>
      <c r="AK203" t="str">
        <f t="shared" si="1516"/>
        <v/>
      </c>
      <c r="AL203" t="str">
        <f t="shared" si="1517"/>
        <v/>
      </c>
      <c r="AM203" t="str">
        <f>IF($AL203="","",IF(OR($BZ203="",$CA203=""),"ONZEKER",IF(OR($BW203="",$BX203=""),"ONZEKER",IF(AND($BZ203=$BW203+1,$CA203=$BX203),IF(OR(COUNTIF(#REF!,$B203)&gt;0,COUNTIF(#REF!,$B203)=0),"SKIP",IF(COUNTIFS(#REF!,$B203,#REF!,$AL203)&gt;0,"OK","ONBEKEND")),IF(AND($BZ203=$BW203,$CA203=$BX203+1),IF(OR(COUNTIF(#REF!,$D203)&gt;0,COUNTIF(#REF!,$D203)=0),"SKIP",IF(COUNTIFS(#REF!,$D203,#REF!,$AL203)&gt;0,"OK","ONBEKEND")),"ONZEKER")))))</f>
        <v/>
      </c>
      <c r="AN203" t="str">
        <f t="shared" si="1518"/>
        <v/>
      </c>
      <c r="AO203" t="str">
        <f t="shared" si="1519"/>
        <v/>
      </c>
      <c r="AP203" t="str">
        <f>IF($AO203="","",IF(OR($CC203="",$CD203=""),"ONZEKER",IF(OR($BZ203="",$CA203=""),"ONZEKER",IF(AND($CC203=$BZ203+1,$CD203=$CA203),IF(OR(COUNTIF(#REF!,$B203)&gt;0,COUNTIF(#REF!,$B203)=0),"SKIP",IF(COUNTIFS(#REF!,$B203,#REF!,$AO203)&gt;0,"OK","ONBEKEND")),IF(AND($CC203=$BZ203,$CD203=$CA203+1),IF(OR(COUNTIF(#REF!,$D203)&gt;0,COUNTIF(#REF!,$D203)=0),"SKIP",IF(COUNTIFS(#REF!,$D203,#REF!,$AO203)&gt;0,"OK","ONBEKEND")),"ONZEKER")))))</f>
        <v/>
      </c>
      <c r="AQ203" t="str">
        <f t="shared" si="1520"/>
        <v/>
      </c>
      <c r="AR203" t="str">
        <f t="shared" si="1521"/>
        <v/>
      </c>
      <c r="AS203" t="str">
        <f>IF($AR203="","",IF(OR($CF203="",$CG203=""),"ONZEKER",IF(OR($CC203="",$CD203=""),"ONZEKER",IF(AND($CF203=$CC203+1,$CG203=$CD203),IF(OR(COUNTIF(#REF!,$B203)&gt;0,COUNTIF(#REF!,$B203)=0),"SKIP",IF(COUNTIFS(#REF!,$B203,#REF!,$AR203)&gt;0,"OK","ONBEKEND")),IF(AND($CF203=$CC203,$CG203=$CD203+1),IF(OR(COUNTIF(#REF!,$D203)&gt;0,COUNTIF(#REF!,$D203)=0),"SKIP",IF(COUNTIFS(#REF!,$D203,#REF!,$AR203)&gt;0,"OK","ONBEKEND")),"ONZEKER")))))</f>
        <v/>
      </c>
      <c r="AT203" t="str">
        <f t="shared" si="1522"/>
        <v/>
      </c>
      <c r="AU203" t="str">
        <f t="shared" si="1523"/>
        <v/>
      </c>
      <c r="AV203" t="str">
        <f t="shared" si="1524"/>
        <v/>
      </c>
      <c r="AW203" t="str">
        <f t="shared" si="1525"/>
        <v/>
      </c>
      <c r="AX203" t="str">
        <f t="shared" si="1526"/>
        <v/>
      </c>
      <c r="AY203" t="str">
        <f t="shared" si="1527"/>
        <v/>
      </c>
      <c r="AZ203" t="str">
        <f t="shared" si="1528"/>
        <v/>
      </c>
      <c r="BA203" t="str">
        <f t="shared" si="1529"/>
        <v/>
      </c>
      <c r="BB203" t="str">
        <f t="shared" si="1530"/>
        <v/>
      </c>
      <c r="BC203" t="str">
        <f t="shared" si="1531"/>
        <v/>
      </c>
      <c r="BD203" t="str">
        <f t="shared" si="1470"/>
        <v/>
      </c>
      <c r="BE203" t="str">
        <f t="shared" si="1471"/>
        <v/>
      </c>
      <c r="BF203" t="str">
        <f t="shared" si="1472"/>
        <v/>
      </c>
      <c r="BG203" t="str">
        <f t="shared" si="1473"/>
        <v/>
      </c>
      <c r="BH203" t="str">
        <f t="shared" si="1474"/>
        <v/>
      </c>
      <c r="BI203" t="str">
        <f t="shared" si="1475"/>
        <v/>
      </c>
      <c r="BJ203" t="str">
        <f t="shared" si="1476"/>
        <v/>
      </c>
      <c r="BK203" t="str">
        <f t="shared" si="1477"/>
        <v/>
      </c>
      <c r="BL203" t="str">
        <f t="shared" si="1478"/>
        <v/>
      </c>
      <c r="BM203" t="str">
        <f t="shared" si="1479"/>
        <v/>
      </c>
      <c r="BN203" t="str">
        <f t="shared" si="1480"/>
        <v/>
      </c>
      <c r="BO203" t="str">
        <f t="shared" si="1481"/>
        <v/>
      </c>
      <c r="BP203" t="str">
        <f t="shared" si="1482"/>
        <v/>
      </c>
      <c r="BQ203" t="str">
        <f t="shared" si="1483"/>
        <v/>
      </c>
      <c r="BR203" t="str">
        <f t="shared" si="1484"/>
        <v/>
      </c>
      <c r="BS203" t="str">
        <f t="shared" si="1485"/>
        <v/>
      </c>
      <c r="BT203" t="str">
        <f t="shared" si="1486"/>
        <v/>
      </c>
      <c r="BU203" t="str">
        <f t="shared" si="1487"/>
        <v/>
      </c>
      <c r="BV203" t="str">
        <f t="shared" si="1488"/>
        <v/>
      </c>
      <c r="BW203" t="str">
        <f t="shared" si="1489"/>
        <v/>
      </c>
      <c r="BX203" t="str">
        <f t="shared" si="1490"/>
        <v/>
      </c>
      <c r="BY203" t="str">
        <f t="shared" si="1491"/>
        <v/>
      </c>
      <c r="BZ203" t="str">
        <f t="shared" si="1492"/>
        <v/>
      </c>
      <c r="CA203" t="str">
        <f t="shared" si="1493"/>
        <v/>
      </c>
      <c r="CB203" t="str">
        <f t="shared" si="1494"/>
        <v/>
      </c>
      <c r="CC203" t="str">
        <f t="shared" si="1495"/>
        <v/>
      </c>
      <c r="CD203" t="str">
        <f t="shared" si="1496"/>
        <v/>
      </c>
      <c r="CE203" t="str">
        <f t="shared" si="1497"/>
        <v/>
      </c>
      <c r="CF203" t="str">
        <f t="shared" si="1498"/>
        <v/>
      </c>
      <c r="CG203" t="str">
        <f t="shared" si="1499"/>
        <v/>
      </c>
      <c r="CH203" t="str">
        <f t="shared" si="1532"/>
        <v/>
      </c>
      <c r="CI203" t="str">
        <f t="shared" si="1533"/>
        <v/>
      </c>
      <c r="CJ203" t="str">
        <f>IF($CI203="","",IF(OR($DW203="",$DX203=""),"ONZEKER",IF(OR($CF203="",$CG203=""),"ONZEKER",IF(AND($DW203=$CF203+1,$DX203=$CG203),IF(OR(COUNTIF(#REF!,$B203)&gt;0,COUNTIF(#REF!,$B203)=0),"SKIP",IF(COUNTIFS(#REF!,$B203,#REF!,$CI203)&gt;0,"OK","ONBEKEND")),IF(AND($DW203=$CF203,$DX203=$CG203+1),IF(OR(COUNTIF(#REF!,$D203)&gt;0,COUNTIF(#REF!,$D203)=0),"SKIP",IF(COUNTIFS(#REF!,$D203,#REF!,$CI203)&gt;0,"OK","ONBEKEND")),"ONZEKER")))))</f>
        <v/>
      </c>
      <c r="CK203" t="str">
        <f t="shared" si="1534"/>
        <v/>
      </c>
      <c r="CL203" t="str">
        <f t="shared" si="1535"/>
        <v/>
      </c>
      <c r="CM203" t="str">
        <f>IF($CL203="","",IF(OR($DZ203="",$EA203=""),"ONZEKER",IF(OR($DW203="",$DX203=""),"ONZEKER",IF(AND($DZ203=$DW203+1,$EA203=$DX203),IF(OR(COUNTIF(#REF!,$B203)&gt;0,COUNTIF(#REF!,$B203)=0),"SKIP",IF(COUNTIFS(#REF!,$B203,#REF!,$CL203)&gt;0,"OK","ONBEKEND")),IF(AND($DZ203=$DW203,$EA203=$DX203+1),IF(OR(COUNTIF(#REF!,$D203)&gt;0,COUNTIF(#REF!,$D203)=0),"SKIP",IF(COUNTIFS(#REF!,$D203,#REF!,$CL203)&gt;0,"OK","ONBEKEND")),"ONZEKER")))))</f>
        <v/>
      </c>
      <c r="CN203" t="str">
        <f t="shared" si="1536"/>
        <v/>
      </c>
      <c r="CO203" t="str">
        <f t="shared" si="1537"/>
        <v/>
      </c>
      <c r="CP203" t="str">
        <f>IF($CO203="","",IF(OR($EC203="",$ED203=""),"ONZEKER",IF(OR($DZ203="",$EA203=""),"ONZEKER",IF(AND($EC203=$DZ203+1,$ED203=$EA203),IF(OR(COUNTIF(#REF!,$B203)&gt;0,COUNTIF(#REF!,$B203)=0),"SKIP",IF(COUNTIFS(#REF!,$B203,#REF!,$CO203)&gt;0,"OK","ONBEKEND")),IF(AND($EC203=$DZ203,$ED203=$EA203+1),IF(OR(COUNTIF(#REF!,$D203)&gt;0,COUNTIF(#REF!,$D203)=0),"SKIP",IF(COUNTIFS(#REF!,$D203,#REF!,$CO203)&gt;0,"OK","ONBEKEND")),"ONZEKER")))))</f>
        <v/>
      </c>
      <c r="CQ203" t="str">
        <f t="shared" si="1538"/>
        <v/>
      </c>
      <c r="CR203" t="str">
        <f t="shared" si="1539"/>
        <v/>
      </c>
      <c r="CS203" t="str">
        <f>IF($CR203="","",IF(OR($EF203="",$EG203=""),"ONZEKER",IF(OR($EC203="",$ED203=""),"ONZEKER",IF(AND($EF203=$EC203+1,$EG203=$ED203),IF(OR(COUNTIF(#REF!,$B203)&gt;0,COUNTIF(#REF!,$B203)=0),"SKIP",IF(COUNTIFS(#REF!,$B203,#REF!,$CR203)&gt;0,"OK","ONBEKEND")),IF(AND($EF203=$EC203,$EG203=$ED203+1),IF(OR(COUNTIF(#REF!,$D203)&gt;0,COUNTIF(#REF!,$D203)=0),"SKIP",IF(COUNTIFS(#REF!,$D203,#REF!,$CR203)&gt;0,"OK","ONBEKEND")),"ONZEKER")))))</f>
        <v/>
      </c>
      <c r="CT203" t="str">
        <f t="shared" si="1540"/>
        <v/>
      </c>
      <c r="CU203" t="str">
        <f t="shared" si="1541"/>
        <v/>
      </c>
      <c r="CV203" t="str">
        <f>IF($CU203="","",IF(OR($EI203="",$EJ203=""),"ONZEKER",IF(OR($EF203="",$EG203=""),"ONZEKER",IF(AND($EI203=$EF203+1,$EJ203=$EG203),IF(OR(COUNTIF(#REF!,$B203)&gt;0,COUNTIF(#REF!,$B203)=0),"SKIP",IF(COUNTIFS(#REF!,$B203,#REF!,$CU203)&gt;0,"OK","ONBEKEND")),IF(AND($EI203=$EF203,$EJ203=$EG203+1),IF(OR(COUNTIF(#REF!,$D203)&gt;0,COUNTIF(#REF!,$D203)=0),"SKIP",IF(COUNTIFS(#REF!,$D203,#REF!,$CU203)&gt;0,"OK","ONBEKEND")),"ONZEKER")))))</f>
        <v/>
      </c>
      <c r="CW203" t="str">
        <f t="shared" si="1542"/>
        <v/>
      </c>
      <c r="CX203" t="str">
        <f t="shared" si="1543"/>
        <v/>
      </c>
      <c r="CY203" t="str">
        <f>IF($CX203="","",IF(OR($EL203="",$EM203=""),"ONZEKER",IF(OR($EI203="",$EJ203=""),"ONZEKER",IF(AND($EL203=$EI203+1,$EM203=$EJ203),IF(OR(COUNTIF(#REF!,$B203)&gt;0,COUNTIF(#REF!,$B203)=0),"SKIP",IF(COUNTIFS(#REF!,$B203,#REF!,$CX203)&gt;0,"OK","ONBEKEND")),IF(AND($EL203=$EI203,$EM203=$EJ203+1),IF(OR(COUNTIF(#REF!,$D203)&gt;0,COUNTIF(#REF!,$D203)=0),"SKIP",IF(COUNTIFS(#REF!,$D203,#REF!,$CX203)&gt;0,"OK","ONBEKEND")),"ONZEKER")))))</f>
        <v/>
      </c>
      <c r="CZ203" t="str">
        <f t="shared" si="1544"/>
        <v/>
      </c>
      <c r="DA203" t="str">
        <f t="shared" si="1545"/>
        <v/>
      </c>
      <c r="DB203" t="str">
        <f>IF($DA203="","",IF(OR($EO203="",$EP203=""),"ONZEKER",IF(OR($EL203="",$EM203=""),"ONZEKER",IF(AND($EO203=$EL203+1,$EP203=$EM203),IF(OR(COUNTIF(#REF!,$B203)&gt;0,COUNTIF(#REF!,$B203)=0),"SKIP",IF(COUNTIFS(#REF!,$B203,#REF!,$DA203)&gt;0,"OK","ONBEKEND")),IF(AND($EO203=$EL203,$EP203=$EM203+1),IF(OR(COUNTIF(#REF!,$D203)&gt;0,COUNTIF(#REF!,$D203)=0),"SKIP",IF(COUNTIFS(#REF!,$D203,#REF!,$DA203)&gt;0,"OK","ONBEKEND")),"ONZEKER")))))</f>
        <v/>
      </c>
      <c r="DC203" t="str">
        <f t="shared" si="1546"/>
        <v/>
      </c>
      <c r="DD203" t="str">
        <f t="shared" si="1547"/>
        <v/>
      </c>
      <c r="DE203" t="str">
        <f>IF($DD203="","",IF(OR($ER203="",$ES203=""),"ONZEKER",IF(OR($EO203="",$EP203=""),"ONZEKER",IF(AND($ER203=$EO203+1,$ES203=$EP203),IF(OR(COUNTIF(#REF!,$B203)&gt;0,COUNTIF(#REF!,$B203)=0),"SKIP",IF(COUNTIFS(#REF!,$B203,#REF!,$DD203)&gt;0,"OK","ONBEKEND")),IF(AND($ER203=$EO203,$ES203=$EP203+1),IF(OR(COUNTIF(#REF!,$D203)&gt;0,COUNTIF(#REF!,$D203)=0),"SKIP",IF(COUNTIFS(#REF!,$D203,#REF!,$DD203)&gt;0,"OK","ONBEKEND")),"ONZEKER")))))</f>
        <v/>
      </c>
      <c r="DF203" t="str">
        <f t="shared" si="1548"/>
        <v/>
      </c>
      <c r="DG203" t="str">
        <f t="shared" si="1549"/>
        <v/>
      </c>
      <c r="DH203" t="str">
        <f>IF($DG203="","",IF(OR($EU203="",$EV203=""),"ONZEKER",IF(OR($ER203="",$ES203=""),"ONZEKER",IF(AND($EU203=$ER203+1,$EV203=$ES203),IF(OR(COUNTIF(#REF!,$B203)&gt;0,COUNTIF(#REF!,$B203)=0),"SKIP",IF(COUNTIFS(#REF!,$B203,#REF!,$DG203)&gt;0,"OK","ONBEKEND")),IF(AND($EU203=$ER203,$EV203=$ES203+1),IF(OR(COUNTIF(#REF!,$D203)&gt;0,COUNTIF(#REF!,$D203)=0),"SKIP",IF(COUNTIFS(#REF!,$D203,#REF!,$DG203)&gt;0,"OK","ONBEKEND")),"ONZEKER")))))</f>
        <v/>
      </c>
      <c r="DI203" t="str">
        <f t="shared" si="1550"/>
        <v/>
      </c>
      <c r="DJ203" t="str">
        <f t="shared" si="1551"/>
        <v/>
      </c>
      <c r="DK203" t="str">
        <f>IF($DJ203="","",IF(OR($EX203="",$EY203=""),"ONZEKER",IF(OR($EU203="",$EV203=""),"ONZEKER",IF(AND($EX203=$EU203+1,$EY203=$EV203),IF(OR(COUNTIF(#REF!,$B203)&gt;0,COUNTIF(#REF!,$B203)=0),"SKIP",IF(COUNTIFS(#REF!,$B203,#REF!,$DJ203)&gt;0,"OK","ONBEKEND")),IF(AND($EX203=$EU203,$EY203=$EV203+1),IF(OR(COUNTIF(#REF!,$D203)&gt;0,COUNTIF(#REF!,$D203)=0),"SKIP",IF(COUNTIFS(#REF!,$D203,#REF!,$DJ203)&gt;0,"OK","ONBEKEND")),"ONZEKER")))))</f>
        <v/>
      </c>
      <c r="DL203" t="str">
        <f t="shared" si="1552"/>
        <v/>
      </c>
      <c r="DM203" t="str">
        <f t="shared" si="1553"/>
        <v/>
      </c>
      <c r="DN203" t="str">
        <f t="shared" si="1554"/>
        <v/>
      </c>
      <c r="DO203" t="str">
        <f t="shared" si="1555"/>
        <v/>
      </c>
      <c r="DP203" t="str">
        <f t="shared" si="1556"/>
        <v/>
      </c>
      <c r="DQ203" t="str">
        <f t="shared" si="1557"/>
        <v/>
      </c>
      <c r="DR203" t="str">
        <f t="shared" si="1558"/>
        <v/>
      </c>
      <c r="DS203" t="str">
        <f t="shared" si="1559"/>
        <v/>
      </c>
      <c r="DT203" t="str">
        <f t="shared" si="1560"/>
        <v/>
      </c>
      <c r="DU203" t="str">
        <f t="shared" si="1561"/>
        <v/>
      </c>
      <c r="DV203" t="str">
        <f t="shared" si="1562"/>
        <v/>
      </c>
      <c r="DW203" t="str">
        <f t="shared" si="1563"/>
        <v/>
      </c>
      <c r="DX203" t="str">
        <f t="shared" si="1564"/>
        <v/>
      </c>
      <c r="DY203" t="str">
        <f t="shared" si="1565"/>
        <v/>
      </c>
      <c r="DZ203" t="str">
        <f t="shared" si="1566"/>
        <v/>
      </c>
      <c r="EA203" t="str">
        <f t="shared" si="1567"/>
        <v/>
      </c>
      <c r="EB203" t="str">
        <f t="shared" si="1568"/>
        <v/>
      </c>
      <c r="EC203" t="str">
        <f t="shared" si="1569"/>
        <v/>
      </c>
      <c r="ED203" t="str">
        <f t="shared" si="1570"/>
        <v/>
      </c>
      <c r="EE203" t="str">
        <f t="shared" si="1571"/>
        <v/>
      </c>
      <c r="EF203" t="str">
        <f t="shared" si="1572"/>
        <v/>
      </c>
      <c r="EG203" t="str">
        <f t="shared" si="1573"/>
        <v/>
      </c>
      <c r="EH203" t="str">
        <f t="shared" si="1574"/>
        <v/>
      </c>
      <c r="EI203" t="str">
        <f t="shared" si="1575"/>
        <v/>
      </c>
      <c r="EJ203" t="str">
        <f t="shared" si="1576"/>
        <v/>
      </c>
      <c r="EK203" t="str">
        <f t="shared" si="1577"/>
        <v/>
      </c>
      <c r="EL203" t="str">
        <f t="shared" si="1578"/>
        <v/>
      </c>
      <c r="EM203" t="str">
        <f t="shared" si="1579"/>
        <v/>
      </c>
      <c r="EN203" t="str">
        <f t="shared" si="1580"/>
        <v/>
      </c>
      <c r="EO203" t="str">
        <f t="shared" si="1581"/>
        <v/>
      </c>
      <c r="EP203" t="str">
        <f t="shared" si="1582"/>
        <v/>
      </c>
      <c r="EQ203" t="str">
        <f t="shared" si="1583"/>
        <v/>
      </c>
      <c r="ER203" t="str">
        <f t="shared" si="1584"/>
        <v/>
      </c>
      <c r="ES203" t="str">
        <f t="shared" si="1585"/>
        <v/>
      </c>
      <c r="ET203" t="str">
        <f t="shared" si="1586"/>
        <v/>
      </c>
      <c r="EU203" t="str">
        <f t="shared" si="1587"/>
        <v/>
      </c>
      <c r="EV203" t="str">
        <f t="shared" si="1588"/>
        <v/>
      </c>
      <c r="EW203" t="str">
        <f t="shared" si="1589"/>
        <v/>
      </c>
      <c r="EX203" t="str">
        <f t="shared" si="1590"/>
        <v/>
      </c>
      <c r="EY203" t="str">
        <f t="shared" si="1591"/>
        <v/>
      </c>
    </row>
    <row r="204" spans="1:155" ht="13.9" customHeight="1" x14ac:dyDescent="0.25">
      <c r="A204" s="7"/>
      <c r="B204" s="17"/>
      <c r="C204" s="8"/>
      <c r="D204" s="17"/>
      <c r="E204" s="8"/>
      <c r="F204" s="18">
        <v>0</v>
      </c>
      <c r="G204" s="7" t="s">
        <v>147</v>
      </c>
      <c r="H204" s="18">
        <v>0</v>
      </c>
      <c r="I204" s="19">
        <v>0</v>
      </c>
      <c r="J204" s="7" t="s">
        <v>147</v>
      </c>
      <c r="K204" s="19">
        <v>0</v>
      </c>
      <c r="L204" s="9"/>
      <c r="M204" s="3" t="str">
        <f>IF($L204="","",IF($L204="DOELPUNTENMAKERS","",IF(AND(COUNTIF(#REF!,$B204)=0,COUNTIF(#REF!,$D204)=0),"OK",IF($O204&gt;20,"LET OP: meer dan 20 items (controle onvolledig)",IF((COUNTIF($R204:$AS204,"ONZEKER")+COUNTIF($CJ204:$DK204,"ONZEKER"))&gt;0,"LET OP: scoreverloop onduidelijk (controle beperkt)",IF((IF($AT204&lt;&gt;"",$AT204&amp;", ","")&amp;IF($AU204&lt;&gt;"",$AU204&amp;", ","")&amp;IF($AV204&lt;&gt;"",$AV204&amp;", ","")&amp;IF($AW204&lt;&gt;"",$AW204&amp;", ","")&amp;IF($AX204&lt;&gt;"",$AX204&amp;", ","")&amp;IF($AY204&lt;&gt;"",$AY204&amp;", ","")&amp;IF($AZ204&lt;&gt;"",$AZ204&amp;", ","")&amp;IF($BA204&lt;&gt;"",$BA204&amp;", ","")&amp;IF($BB204&lt;&gt;"",$BB204&amp;", ","")&amp;IF($BC204&lt;&gt;"",$BC204&amp;", ","")&amp;IF($DL204&lt;&gt;"",$DL204&amp;", ","")&amp;IF($DM204&lt;&gt;"",$DM204&amp;", ","")&amp;IF($DN204&lt;&gt;"",$DN204&amp;", ","")&amp;IF($DO204&lt;&gt;"",$DO204&amp;", ","")&amp;IF($DP204&lt;&gt;"",$DP204&amp;", ","")&amp;IF($DQ204&lt;&gt;"",$DQ204&amp;", ","")&amp;IF($DR204&lt;&gt;"",$DR204&amp;", ","")&amp;IF($DS204&lt;&gt;"",$DS204&amp;", ","")&amp;IF($DT204&lt;&gt;"",$DT204&amp;", ","")&amp;IF($DU204&lt;&gt;"",$DU204&amp;", ",""))="","OK","Onbekend: "&amp;LEFT((IF($AT204&lt;&gt;"",$AT204&amp;", ","")&amp;IF($AU204&lt;&gt;"",$AU204&amp;", ","")&amp;IF($AV204&lt;&gt;"",$AV204&amp;", ","")&amp;IF($AW204&lt;&gt;"",$AW204&amp;", ","")&amp;IF($AX204&lt;&gt;"",$AX204&amp;", ","")&amp;IF($AY204&lt;&gt;"",$AY204&amp;", ","")&amp;IF($AZ204&lt;&gt;"",$AZ204&amp;", ","")&amp;IF($BA204&lt;&gt;"",$BA204&amp;", ","")&amp;IF($BB204&lt;&gt;"",$BB204&amp;", ","")&amp;IF($BC204&lt;&gt;"",$BC204&amp;", ","")&amp;IF($DL204&lt;&gt;"",$DL204&amp;", ","")&amp;IF($DM204&lt;&gt;"",$DM204&amp;", ","")&amp;IF($DN204&lt;&gt;"",$DN204&amp;", ","")&amp;IF($DO204&lt;&gt;"",$DO204&amp;", ","")&amp;IF($DP204&lt;&gt;"",$DP204&amp;", ","")&amp;IF($DQ204&lt;&gt;"",$DQ204&amp;", ","")&amp;IF($DR204&lt;&gt;"",$DR204&amp;", ","")&amp;IF($DS204&lt;&gt;"",$DS204&amp;", ","")&amp;IF($DT204&lt;&gt;"",$DT204&amp;", ","")&amp;IF($DU204&lt;&gt;"",$DU204&amp;", ","")),LEN((IF($AT204&lt;&gt;"",$AT204&amp;", ","")&amp;IF($AU204&lt;&gt;"",$AU204&amp;", ","")&amp;IF($AV204&lt;&gt;"",$AV204&amp;", ","")&amp;IF($AW204&lt;&gt;"",$AW204&amp;", ","")&amp;IF($AX204&lt;&gt;"",$AX204&amp;", ","")&amp;IF($AY204&lt;&gt;"",$AY204&amp;", ","")&amp;IF($AZ204&lt;&gt;"",$AZ204&amp;", ","")&amp;IF($BA204&lt;&gt;"",$BA204&amp;", ","")&amp;IF($BB204&lt;&gt;"",$BB204&amp;", ","")&amp;IF($BC204&lt;&gt;"",$BC204&amp;", ","")&amp;IF($DL204&lt;&gt;"",$DL204&amp;", ","")&amp;IF($DM204&lt;&gt;"",$DM204&amp;", ","")&amp;IF($DN204&lt;&gt;"",$DN204&amp;", ","")&amp;IF($DO204&lt;&gt;"",$DO204&amp;", ","")&amp;IF($DP204&lt;&gt;"",$DP204&amp;", ","")&amp;IF($DQ204&lt;&gt;"",$DQ204&amp;", ","")&amp;IF($DR204&lt;&gt;"",$DR204&amp;", ","")&amp;IF($DS204&lt;&gt;"",$DS204&amp;", ","")&amp;IF($DT204&lt;&gt;"",$DT204&amp;", ","")&amp;IF($DU204&lt;&gt;"",$DU204&amp;", ","")))-2)))))))</f>
        <v/>
      </c>
      <c r="N204" t="str">
        <f t="shared" si="1500"/>
        <v/>
      </c>
      <c r="O204" t="str">
        <f t="shared" si="1501"/>
        <v/>
      </c>
      <c r="P204" t="str">
        <f t="shared" si="1502"/>
        <v/>
      </c>
      <c r="Q204" t="str">
        <f t="shared" si="1503"/>
        <v/>
      </c>
      <c r="R204" t="str">
        <f>IF($Q204="","",IF(OR($BE204="",$BF204=""),"ONZEKER",IF(AND($BE204=0+1,$BF204=0),IF(OR(COUNTIF(#REF!,$B204)&gt;0,COUNTIF(#REF!,$B204)=0),"SKIP",IF(COUNTIFS(#REF!,$B204,#REF!,$Q204)&gt;0,"OK","ONBEKEND")),IF(AND($BE204=0,$BF204=0+1),IF(OR(COUNTIF(#REF!,$D204)&gt;0,COUNTIF(#REF!,$D204)=0),"SKIP",IF(COUNTIFS(#REF!,$D204,#REF!,$Q204)&gt;0,"OK","ONBEKEND")),"ONZEKER"))))</f>
        <v/>
      </c>
      <c r="S204" t="str">
        <f t="shared" si="1504"/>
        <v/>
      </c>
      <c r="T204" t="str">
        <f t="shared" si="1505"/>
        <v/>
      </c>
      <c r="U204" t="str">
        <f>IF($T204="","",IF(OR($BH204="",$BI204=""),"ONZEKER",IF(OR($BE204="",$BF204=""),"ONZEKER",IF(AND($BH204=$BE204+1,$BI204=$BF204),IF(OR(COUNTIF(#REF!,$B204)&gt;0,COUNTIF(#REF!,$B204)=0),"SKIP",IF(COUNTIFS(#REF!,$B204,#REF!,$T204)&gt;0,"OK","ONBEKEND")),IF(AND($BH204=$BE204,$BI204=$BF204+1),IF(OR(COUNTIF(#REF!,$D204)&gt;0,COUNTIF(#REF!,$D204)=0),"SKIP",IF(COUNTIFS(#REF!,$D204,#REF!,$T204)&gt;0,"OK","ONBEKEND")),"ONZEKER")))))</f>
        <v/>
      </c>
      <c r="V204" t="str">
        <f t="shared" si="1506"/>
        <v/>
      </c>
      <c r="W204" t="str">
        <f t="shared" si="1507"/>
        <v/>
      </c>
      <c r="X204" t="str">
        <f>IF($W204="","",IF(OR($BK204="",$BL204=""),"ONZEKER",IF(OR($BH204="",$BI204=""),"ONZEKER",IF(AND($BK204=$BH204+1,$BL204=$BI204),IF(OR(COUNTIF(#REF!,$B204)&gt;0,COUNTIF(#REF!,$B204)=0),"SKIP",IF(COUNTIFS(#REF!,$B204,#REF!,$W204)&gt;0,"OK","ONBEKEND")),IF(AND($BK204=$BH204,$BL204=$BI204+1),IF(OR(COUNTIF(#REF!,$D204)&gt;0,COUNTIF(#REF!,$D204)=0),"SKIP",IF(COUNTIFS(#REF!,$D204,#REF!,$W204)&gt;0,"OK","ONBEKEND")),"ONZEKER")))))</f>
        <v/>
      </c>
      <c r="Y204" t="str">
        <f t="shared" si="1508"/>
        <v/>
      </c>
      <c r="Z204" t="str">
        <f t="shared" si="1509"/>
        <v/>
      </c>
      <c r="AA204" t="str">
        <f>IF($Z204="","",IF(OR($BN204="",$BO204=""),"ONZEKER",IF(OR($BK204="",$BL204=""),"ONZEKER",IF(AND($BN204=$BK204+1,$BO204=$BL204),IF(OR(COUNTIF(#REF!,$B204)&gt;0,COUNTIF(#REF!,$B204)=0),"SKIP",IF(COUNTIFS(#REF!,$B204,#REF!,$Z204)&gt;0,"OK","ONBEKEND")),IF(AND($BN204=$BK204,$BO204=$BL204+1),IF(OR(COUNTIF(#REF!,$D204)&gt;0,COUNTIF(#REF!,$D204)=0),"SKIP",IF(COUNTIFS(#REF!,$D204,#REF!,$Z204)&gt;0,"OK","ONBEKEND")),"ONZEKER")))))</f>
        <v/>
      </c>
      <c r="AB204" t="str">
        <f t="shared" si="1510"/>
        <v/>
      </c>
      <c r="AC204" t="str">
        <f t="shared" si="1511"/>
        <v/>
      </c>
      <c r="AD204" t="str">
        <f>IF($AC204="","",IF(OR($BQ204="",$BR204=""),"ONZEKER",IF(OR($BN204="",$BO204=""),"ONZEKER",IF(AND($BQ204=$BN204+1,$BR204=$BO204),IF(OR(COUNTIF(#REF!,$B204)&gt;0,COUNTIF(#REF!,$B204)=0),"SKIP",IF(COUNTIFS(#REF!,$B204,#REF!,$AC204)&gt;0,"OK","ONBEKEND")),IF(AND($BQ204=$BN204,$BR204=$BO204+1),IF(OR(COUNTIF(#REF!,$D204)&gt;0,COUNTIF(#REF!,$D204)=0),"SKIP",IF(COUNTIFS(#REF!,$D204,#REF!,$AC204)&gt;0,"OK","ONBEKEND")),"ONZEKER")))))</f>
        <v/>
      </c>
      <c r="AE204" t="str">
        <f t="shared" si="1512"/>
        <v/>
      </c>
      <c r="AF204" t="str">
        <f t="shared" si="1513"/>
        <v/>
      </c>
      <c r="AG204" t="str">
        <f>IF($AF204="","",IF(OR($BT204="",$BU204=""),"ONZEKER",IF(OR($BQ204="",$BR204=""),"ONZEKER",IF(AND($BT204=$BQ204+1,$BU204=$BR204),IF(OR(COUNTIF(#REF!,$B204)&gt;0,COUNTIF(#REF!,$B204)=0),"SKIP",IF(COUNTIFS(#REF!,$B204,#REF!,$AF204)&gt;0,"OK","ONBEKEND")),IF(AND($BT204=$BQ204,$BU204=$BR204+1),IF(OR(COUNTIF(#REF!,$D204)&gt;0,COUNTIF(#REF!,$D204)=0),"SKIP",IF(COUNTIFS(#REF!,$D204,#REF!,$AF204)&gt;0,"OK","ONBEKEND")),"ONZEKER")))))</f>
        <v/>
      </c>
      <c r="AH204" t="str">
        <f t="shared" si="1514"/>
        <v/>
      </c>
      <c r="AI204" t="str">
        <f t="shared" si="1515"/>
        <v/>
      </c>
      <c r="AJ204" t="str">
        <f>IF($AI204="","",IF(OR($BW204="",$BX204=""),"ONZEKER",IF(OR($BT204="",$BU204=""),"ONZEKER",IF(AND($BW204=$BT204+1,$BX204=$BU204),IF(OR(COUNTIF(#REF!,$B204)&gt;0,COUNTIF(#REF!,$B204)=0),"SKIP",IF(COUNTIFS(#REF!,$B204,#REF!,$AI204)&gt;0,"OK","ONBEKEND")),IF(AND($BW204=$BT204,$BX204=$BU204+1),IF(OR(COUNTIF(#REF!,$D204)&gt;0,COUNTIF(#REF!,$D204)=0),"SKIP",IF(COUNTIFS(#REF!,$D204,#REF!,$AI204)&gt;0,"OK","ONBEKEND")),"ONZEKER")))))</f>
        <v/>
      </c>
      <c r="AK204" t="str">
        <f t="shared" si="1516"/>
        <v/>
      </c>
      <c r="AL204" t="str">
        <f t="shared" si="1517"/>
        <v/>
      </c>
      <c r="AM204" t="str">
        <f>IF($AL204="","",IF(OR($BZ204="",$CA204=""),"ONZEKER",IF(OR($BW204="",$BX204=""),"ONZEKER",IF(AND($BZ204=$BW204+1,$CA204=$BX204),IF(OR(COUNTIF(#REF!,$B204)&gt;0,COUNTIF(#REF!,$B204)=0),"SKIP",IF(COUNTIFS(#REF!,$B204,#REF!,$AL204)&gt;0,"OK","ONBEKEND")),IF(AND($BZ204=$BW204,$CA204=$BX204+1),IF(OR(COUNTIF(#REF!,$D204)&gt;0,COUNTIF(#REF!,$D204)=0),"SKIP",IF(COUNTIFS(#REF!,$D204,#REF!,$AL204)&gt;0,"OK","ONBEKEND")),"ONZEKER")))))</f>
        <v/>
      </c>
      <c r="AN204" t="str">
        <f t="shared" si="1518"/>
        <v/>
      </c>
      <c r="AO204" t="str">
        <f t="shared" si="1519"/>
        <v/>
      </c>
      <c r="AP204" t="str">
        <f>IF($AO204="","",IF(OR($CC204="",$CD204=""),"ONZEKER",IF(OR($BZ204="",$CA204=""),"ONZEKER",IF(AND($CC204=$BZ204+1,$CD204=$CA204),IF(OR(COUNTIF(#REF!,$B204)&gt;0,COUNTIF(#REF!,$B204)=0),"SKIP",IF(COUNTIFS(#REF!,$B204,#REF!,$AO204)&gt;0,"OK","ONBEKEND")),IF(AND($CC204=$BZ204,$CD204=$CA204+1),IF(OR(COUNTIF(#REF!,$D204)&gt;0,COUNTIF(#REF!,$D204)=0),"SKIP",IF(COUNTIFS(#REF!,$D204,#REF!,$AO204)&gt;0,"OK","ONBEKEND")),"ONZEKER")))))</f>
        <v/>
      </c>
      <c r="AQ204" t="str">
        <f t="shared" si="1520"/>
        <v/>
      </c>
      <c r="AR204" t="str">
        <f t="shared" si="1521"/>
        <v/>
      </c>
      <c r="AS204" t="str">
        <f>IF($AR204="","",IF(OR($CF204="",$CG204=""),"ONZEKER",IF(OR($CC204="",$CD204=""),"ONZEKER",IF(AND($CF204=$CC204+1,$CG204=$CD204),IF(OR(COUNTIF(#REF!,$B204)&gt;0,COUNTIF(#REF!,$B204)=0),"SKIP",IF(COUNTIFS(#REF!,$B204,#REF!,$AR204)&gt;0,"OK","ONBEKEND")),IF(AND($CF204=$CC204,$CG204=$CD204+1),IF(OR(COUNTIF(#REF!,$D204)&gt;0,COUNTIF(#REF!,$D204)=0),"SKIP",IF(COUNTIFS(#REF!,$D204,#REF!,$AR204)&gt;0,"OK","ONBEKEND")),"ONZEKER")))))</f>
        <v/>
      </c>
      <c r="AT204" t="str">
        <f t="shared" si="1522"/>
        <v/>
      </c>
      <c r="AU204" t="str">
        <f t="shared" si="1523"/>
        <v/>
      </c>
      <c r="AV204" t="str">
        <f t="shared" si="1524"/>
        <v/>
      </c>
      <c r="AW204" t="str">
        <f t="shared" si="1525"/>
        <v/>
      </c>
      <c r="AX204" t="str">
        <f t="shared" si="1526"/>
        <v/>
      </c>
      <c r="AY204" t="str">
        <f t="shared" si="1527"/>
        <v/>
      </c>
      <c r="AZ204" t="str">
        <f t="shared" si="1528"/>
        <v/>
      </c>
      <c r="BA204" t="str">
        <f t="shared" si="1529"/>
        <v/>
      </c>
      <c r="BB204" t="str">
        <f t="shared" si="1530"/>
        <v/>
      </c>
      <c r="BC204" t="str">
        <f t="shared" si="1531"/>
        <v/>
      </c>
      <c r="BD204" t="str">
        <f t="shared" si="1470"/>
        <v/>
      </c>
      <c r="BE204" t="str">
        <f t="shared" si="1471"/>
        <v/>
      </c>
      <c r="BF204" t="str">
        <f t="shared" si="1472"/>
        <v/>
      </c>
      <c r="BG204" t="str">
        <f t="shared" si="1473"/>
        <v/>
      </c>
      <c r="BH204" t="str">
        <f t="shared" si="1474"/>
        <v/>
      </c>
      <c r="BI204" t="str">
        <f t="shared" si="1475"/>
        <v/>
      </c>
      <c r="BJ204" t="str">
        <f t="shared" si="1476"/>
        <v/>
      </c>
      <c r="BK204" t="str">
        <f t="shared" si="1477"/>
        <v/>
      </c>
      <c r="BL204" t="str">
        <f t="shared" si="1478"/>
        <v/>
      </c>
      <c r="BM204" t="str">
        <f t="shared" si="1479"/>
        <v/>
      </c>
      <c r="BN204" t="str">
        <f t="shared" si="1480"/>
        <v/>
      </c>
      <c r="BO204" t="str">
        <f t="shared" si="1481"/>
        <v/>
      </c>
      <c r="BP204" t="str">
        <f t="shared" si="1482"/>
        <v/>
      </c>
      <c r="BQ204" t="str">
        <f t="shared" si="1483"/>
        <v/>
      </c>
      <c r="BR204" t="str">
        <f t="shared" si="1484"/>
        <v/>
      </c>
      <c r="BS204" t="str">
        <f t="shared" si="1485"/>
        <v/>
      </c>
      <c r="BT204" t="str">
        <f t="shared" si="1486"/>
        <v/>
      </c>
      <c r="BU204" t="str">
        <f t="shared" si="1487"/>
        <v/>
      </c>
      <c r="BV204" t="str">
        <f t="shared" si="1488"/>
        <v/>
      </c>
      <c r="BW204" t="str">
        <f t="shared" si="1489"/>
        <v/>
      </c>
      <c r="BX204" t="str">
        <f t="shared" si="1490"/>
        <v/>
      </c>
      <c r="BY204" t="str">
        <f t="shared" si="1491"/>
        <v/>
      </c>
      <c r="BZ204" t="str">
        <f t="shared" si="1492"/>
        <v/>
      </c>
      <c r="CA204" t="str">
        <f t="shared" si="1493"/>
        <v/>
      </c>
      <c r="CB204" t="str">
        <f t="shared" si="1494"/>
        <v/>
      </c>
      <c r="CC204" t="str">
        <f t="shared" si="1495"/>
        <v/>
      </c>
      <c r="CD204" t="str">
        <f t="shared" si="1496"/>
        <v/>
      </c>
      <c r="CE204" t="str">
        <f t="shared" si="1497"/>
        <v/>
      </c>
      <c r="CF204" t="str">
        <f t="shared" si="1498"/>
        <v/>
      </c>
      <c r="CG204" t="str">
        <f t="shared" si="1499"/>
        <v/>
      </c>
      <c r="CH204" t="str">
        <f t="shared" si="1532"/>
        <v/>
      </c>
      <c r="CI204" t="str">
        <f t="shared" si="1533"/>
        <v/>
      </c>
      <c r="CJ204" t="str">
        <f>IF($CI204="","",IF(OR($DW204="",$DX204=""),"ONZEKER",IF(OR($CF204="",$CG204=""),"ONZEKER",IF(AND($DW204=$CF204+1,$DX204=$CG204),IF(OR(COUNTIF(#REF!,$B204)&gt;0,COUNTIF(#REF!,$B204)=0),"SKIP",IF(COUNTIFS(#REF!,$B204,#REF!,$CI204)&gt;0,"OK","ONBEKEND")),IF(AND($DW204=$CF204,$DX204=$CG204+1),IF(OR(COUNTIF(#REF!,$D204)&gt;0,COUNTIF(#REF!,$D204)=0),"SKIP",IF(COUNTIFS(#REF!,$D204,#REF!,$CI204)&gt;0,"OK","ONBEKEND")),"ONZEKER")))))</f>
        <v/>
      </c>
      <c r="CK204" t="str">
        <f t="shared" si="1534"/>
        <v/>
      </c>
      <c r="CL204" t="str">
        <f t="shared" si="1535"/>
        <v/>
      </c>
      <c r="CM204" t="str">
        <f>IF($CL204="","",IF(OR($DZ204="",$EA204=""),"ONZEKER",IF(OR($DW204="",$DX204=""),"ONZEKER",IF(AND($DZ204=$DW204+1,$EA204=$DX204),IF(OR(COUNTIF(#REF!,$B204)&gt;0,COUNTIF(#REF!,$B204)=0),"SKIP",IF(COUNTIFS(#REF!,$B204,#REF!,$CL204)&gt;0,"OK","ONBEKEND")),IF(AND($DZ204=$DW204,$EA204=$DX204+1),IF(OR(COUNTIF(#REF!,$D204)&gt;0,COUNTIF(#REF!,$D204)=0),"SKIP",IF(COUNTIFS(#REF!,$D204,#REF!,$CL204)&gt;0,"OK","ONBEKEND")),"ONZEKER")))))</f>
        <v/>
      </c>
      <c r="CN204" t="str">
        <f t="shared" si="1536"/>
        <v/>
      </c>
      <c r="CO204" t="str">
        <f t="shared" si="1537"/>
        <v/>
      </c>
      <c r="CP204" t="str">
        <f>IF($CO204="","",IF(OR($EC204="",$ED204=""),"ONZEKER",IF(OR($DZ204="",$EA204=""),"ONZEKER",IF(AND($EC204=$DZ204+1,$ED204=$EA204),IF(OR(COUNTIF(#REF!,$B204)&gt;0,COUNTIF(#REF!,$B204)=0),"SKIP",IF(COUNTIFS(#REF!,$B204,#REF!,$CO204)&gt;0,"OK","ONBEKEND")),IF(AND($EC204=$DZ204,$ED204=$EA204+1),IF(OR(COUNTIF(#REF!,$D204)&gt;0,COUNTIF(#REF!,$D204)=0),"SKIP",IF(COUNTIFS(#REF!,$D204,#REF!,$CO204)&gt;0,"OK","ONBEKEND")),"ONZEKER")))))</f>
        <v/>
      </c>
      <c r="CQ204" t="str">
        <f t="shared" si="1538"/>
        <v/>
      </c>
      <c r="CR204" t="str">
        <f t="shared" si="1539"/>
        <v/>
      </c>
      <c r="CS204" t="str">
        <f>IF($CR204="","",IF(OR($EF204="",$EG204=""),"ONZEKER",IF(OR($EC204="",$ED204=""),"ONZEKER",IF(AND($EF204=$EC204+1,$EG204=$ED204),IF(OR(COUNTIF(#REF!,$B204)&gt;0,COUNTIF(#REF!,$B204)=0),"SKIP",IF(COUNTIFS(#REF!,$B204,#REF!,$CR204)&gt;0,"OK","ONBEKEND")),IF(AND($EF204=$EC204,$EG204=$ED204+1),IF(OR(COUNTIF(#REF!,$D204)&gt;0,COUNTIF(#REF!,$D204)=0),"SKIP",IF(COUNTIFS(#REF!,$D204,#REF!,$CR204)&gt;0,"OK","ONBEKEND")),"ONZEKER")))))</f>
        <v/>
      </c>
      <c r="CT204" t="str">
        <f t="shared" si="1540"/>
        <v/>
      </c>
      <c r="CU204" t="str">
        <f t="shared" si="1541"/>
        <v/>
      </c>
      <c r="CV204" t="str">
        <f>IF($CU204="","",IF(OR($EI204="",$EJ204=""),"ONZEKER",IF(OR($EF204="",$EG204=""),"ONZEKER",IF(AND($EI204=$EF204+1,$EJ204=$EG204),IF(OR(COUNTIF(#REF!,$B204)&gt;0,COUNTIF(#REF!,$B204)=0),"SKIP",IF(COUNTIFS(#REF!,$B204,#REF!,$CU204)&gt;0,"OK","ONBEKEND")),IF(AND($EI204=$EF204,$EJ204=$EG204+1),IF(OR(COUNTIF(#REF!,$D204)&gt;0,COUNTIF(#REF!,$D204)=0),"SKIP",IF(COUNTIFS(#REF!,$D204,#REF!,$CU204)&gt;0,"OK","ONBEKEND")),"ONZEKER")))))</f>
        <v/>
      </c>
      <c r="CW204" t="str">
        <f t="shared" si="1542"/>
        <v/>
      </c>
      <c r="CX204" t="str">
        <f t="shared" si="1543"/>
        <v/>
      </c>
      <c r="CY204" t="str">
        <f>IF($CX204="","",IF(OR($EL204="",$EM204=""),"ONZEKER",IF(OR($EI204="",$EJ204=""),"ONZEKER",IF(AND($EL204=$EI204+1,$EM204=$EJ204),IF(OR(COUNTIF(#REF!,$B204)&gt;0,COUNTIF(#REF!,$B204)=0),"SKIP",IF(COUNTIFS(#REF!,$B204,#REF!,$CX204)&gt;0,"OK","ONBEKEND")),IF(AND($EL204=$EI204,$EM204=$EJ204+1),IF(OR(COUNTIF(#REF!,$D204)&gt;0,COUNTIF(#REF!,$D204)=0),"SKIP",IF(COUNTIFS(#REF!,$D204,#REF!,$CX204)&gt;0,"OK","ONBEKEND")),"ONZEKER")))))</f>
        <v/>
      </c>
      <c r="CZ204" t="str">
        <f t="shared" si="1544"/>
        <v/>
      </c>
      <c r="DA204" t="str">
        <f t="shared" si="1545"/>
        <v/>
      </c>
      <c r="DB204" t="str">
        <f>IF($DA204="","",IF(OR($EO204="",$EP204=""),"ONZEKER",IF(OR($EL204="",$EM204=""),"ONZEKER",IF(AND($EO204=$EL204+1,$EP204=$EM204),IF(OR(COUNTIF(#REF!,$B204)&gt;0,COUNTIF(#REF!,$B204)=0),"SKIP",IF(COUNTIFS(#REF!,$B204,#REF!,$DA204)&gt;0,"OK","ONBEKEND")),IF(AND($EO204=$EL204,$EP204=$EM204+1),IF(OR(COUNTIF(#REF!,$D204)&gt;0,COUNTIF(#REF!,$D204)=0),"SKIP",IF(COUNTIFS(#REF!,$D204,#REF!,$DA204)&gt;0,"OK","ONBEKEND")),"ONZEKER")))))</f>
        <v/>
      </c>
      <c r="DC204" t="str">
        <f t="shared" si="1546"/>
        <v/>
      </c>
      <c r="DD204" t="str">
        <f t="shared" si="1547"/>
        <v/>
      </c>
      <c r="DE204" t="str">
        <f>IF($DD204="","",IF(OR($ER204="",$ES204=""),"ONZEKER",IF(OR($EO204="",$EP204=""),"ONZEKER",IF(AND($ER204=$EO204+1,$ES204=$EP204),IF(OR(COUNTIF(#REF!,$B204)&gt;0,COUNTIF(#REF!,$B204)=0),"SKIP",IF(COUNTIFS(#REF!,$B204,#REF!,$DD204)&gt;0,"OK","ONBEKEND")),IF(AND($ER204=$EO204,$ES204=$EP204+1),IF(OR(COUNTIF(#REF!,$D204)&gt;0,COUNTIF(#REF!,$D204)=0),"SKIP",IF(COUNTIFS(#REF!,$D204,#REF!,$DD204)&gt;0,"OK","ONBEKEND")),"ONZEKER")))))</f>
        <v/>
      </c>
      <c r="DF204" t="str">
        <f t="shared" si="1548"/>
        <v/>
      </c>
      <c r="DG204" t="str">
        <f t="shared" si="1549"/>
        <v/>
      </c>
      <c r="DH204" t="str">
        <f>IF($DG204="","",IF(OR($EU204="",$EV204=""),"ONZEKER",IF(OR($ER204="",$ES204=""),"ONZEKER",IF(AND($EU204=$ER204+1,$EV204=$ES204),IF(OR(COUNTIF(#REF!,$B204)&gt;0,COUNTIF(#REF!,$B204)=0),"SKIP",IF(COUNTIFS(#REF!,$B204,#REF!,$DG204)&gt;0,"OK","ONBEKEND")),IF(AND($EU204=$ER204,$EV204=$ES204+1),IF(OR(COUNTIF(#REF!,$D204)&gt;0,COUNTIF(#REF!,$D204)=0),"SKIP",IF(COUNTIFS(#REF!,$D204,#REF!,$DG204)&gt;0,"OK","ONBEKEND")),"ONZEKER")))))</f>
        <v/>
      </c>
      <c r="DI204" t="str">
        <f t="shared" si="1550"/>
        <v/>
      </c>
      <c r="DJ204" t="str">
        <f t="shared" si="1551"/>
        <v/>
      </c>
      <c r="DK204" t="str">
        <f>IF($DJ204="","",IF(OR($EX204="",$EY204=""),"ONZEKER",IF(OR($EU204="",$EV204=""),"ONZEKER",IF(AND($EX204=$EU204+1,$EY204=$EV204),IF(OR(COUNTIF(#REF!,$B204)&gt;0,COUNTIF(#REF!,$B204)=0),"SKIP",IF(COUNTIFS(#REF!,$B204,#REF!,$DJ204)&gt;0,"OK","ONBEKEND")),IF(AND($EX204=$EU204,$EY204=$EV204+1),IF(OR(COUNTIF(#REF!,$D204)&gt;0,COUNTIF(#REF!,$D204)=0),"SKIP",IF(COUNTIFS(#REF!,$D204,#REF!,$DJ204)&gt;0,"OK","ONBEKEND")),"ONZEKER")))))</f>
        <v/>
      </c>
      <c r="DL204" t="str">
        <f t="shared" si="1552"/>
        <v/>
      </c>
      <c r="DM204" t="str">
        <f t="shared" si="1553"/>
        <v/>
      </c>
      <c r="DN204" t="str">
        <f t="shared" si="1554"/>
        <v/>
      </c>
      <c r="DO204" t="str">
        <f t="shared" si="1555"/>
        <v/>
      </c>
      <c r="DP204" t="str">
        <f t="shared" si="1556"/>
        <v/>
      </c>
      <c r="DQ204" t="str">
        <f t="shared" si="1557"/>
        <v/>
      </c>
      <c r="DR204" t="str">
        <f t="shared" si="1558"/>
        <v/>
      </c>
      <c r="DS204" t="str">
        <f t="shared" si="1559"/>
        <v/>
      </c>
      <c r="DT204" t="str">
        <f t="shared" si="1560"/>
        <v/>
      </c>
      <c r="DU204" t="str">
        <f t="shared" si="1561"/>
        <v/>
      </c>
      <c r="DV204" t="str">
        <f t="shared" si="1562"/>
        <v/>
      </c>
      <c r="DW204" t="str">
        <f t="shared" si="1563"/>
        <v/>
      </c>
      <c r="DX204" t="str">
        <f t="shared" si="1564"/>
        <v/>
      </c>
      <c r="DY204" t="str">
        <f t="shared" si="1565"/>
        <v/>
      </c>
      <c r="DZ204" t="str">
        <f t="shared" si="1566"/>
        <v/>
      </c>
      <c r="EA204" t="str">
        <f t="shared" si="1567"/>
        <v/>
      </c>
      <c r="EB204" t="str">
        <f t="shared" si="1568"/>
        <v/>
      </c>
      <c r="EC204" t="str">
        <f t="shared" si="1569"/>
        <v/>
      </c>
      <c r="ED204" t="str">
        <f t="shared" si="1570"/>
        <v/>
      </c>
      <c r="EE204" t="str">
        <f t="shared" si="1571"/>
        <v/>
      </c>
      <c r="EF204" t="str">
        <f t="shared" si="1572"/>
        <v/>
      </c>
      <c r="EG204" t="str">
        <f t="shared" si="1573"/>
        <v/>
      </c>
      <c r="EH204" t="str">
        <f t="shared" si="1574"/>
        <v/>
      </c>
      <c r="EI204" t="str">
        <f t="shared" si="1575"/>
        <v/>
      </c>
      <c r="EJ204" t="str">
        <f t="shared" si="1576"/>
        <v/>
      </c>
      <c r="EK204" t="str">
        <f t="shared" si="1577"/>
        <v/>
      </c>
      <c r="EL204" t="str">
        <f t="shared" si="1578"/>
        <v/>
      </c>
      <c r="EM204" t="str">
        <f t="shared" si="1579"/>
        <v/>
      </c>
      <c r="EN204" t="str">
        <f t="shared" si="1580"/>
        <v/>
      </c>
      <c r="EO204" t="str">
        <f t="shared" si="1581"/>
        <v/>
      </c>
      <c r="EP204" t="str">
        <f t="shared" si="1582"/>
        <v/>
      </c>
      <c r="EQ204" t="str">
        <f t="shared" si="1583"/>
        <v/>
      </c>
      <c r="ER204" t="str">
        <f t="shared" si="1584"/>
        <v/>
      </c>
      <c r="ES204" t="str">
        <f t="shared" si="1585"/>
        <v/>
      </c>
      <c r="ET204" t="str">
        <f t="shared" si="1586"/>
        <v/>
      </c>
      <c r="EU204" t="str">
        <f t="shared" si="1587"/>
        <v/>
      </c>
      <c r="EV204" t="str">
        <f t="shared" si="1588"/>
        <v/>
      </c>
      <c r="EW204" t="str">
        <f t="shared" si="1589"/>
        <v/>
      </c>
      <c r="EX204" t="str">
        <f t="shared" si="1590"/>
        <v/>
      </c>
      <c r="EY204" t="str">
        <f t="shared" si="1591"/>
        <v/>
      </c>
    </row>
    <row r="205" spans="1:155" ht="13.9" customHeight="1" x14ac:dyDescent="0.25">
      <c r="A205" s="7"/>
      <c r="B205" s="17"/>
      <c r="C205" s="8"/>
      <c r="D205" s="17"/>
      <c r="E205" s="8"/>
      <c r="F205" s="18">
        <v>0</v>
      </c>
      <c r="G205" s="7" t="s">
        <v>147</v>
      </c>
      <c r="H205" s="18">
        <v>0</v>
      </c>
      <c r="I205" s="19">
        <v>0</v>
      </c>
      <c r="J205" s="7" t="s">
        <v>147</v>
      </c>
      <c r="K205" s="19">
        <v>0</v>
      </c>
      <c r="L205" s="9"/>
      <c r="M205" s="3" t="str">
        <f>IF($L205="","",IF($L205="DOELPUNTENMAKERS","",IF(AND(COUNTIF(#REF!,$B205)=0,COUNTIF(#REF!,$D205)=0),"OK",IF($O205&gt;20,"LET OP: meer dan 20 items (controle onvolledig)",IF((COUNTIF($R205:$AS205,"ONZEKER")+COUNTIF($CJ205:$DK205,"ONZEKER"))&gt;0,"LET OP: scoreverloop onduidelijk (controle beperkt)",IF((IF($AT205&lt;&gt;"",$AT205&amp;", ","")&amp;IF($AU205&lt;&gt;"",$AU205&amp;", ","")&amp;IF($AV205&lt;&gt;"",$AV205&amp;", ","")&amp;IF($AW205&lt;&gt;"",$AW205&amp;", ","")&amp;IF($AX205&lt;&gt;"",$AX205&amp;", ","")&amp;IF($AY205&lt;&gt;"",$AY205&amp;", ","")&amp;IF($AZ205&lt;&gt;"",$AZ205&amp;", ","")&amp;IF($BA205&lt;&gt;"",$BA205&amp;", ","")&amp;IF($BB205&lt;&gt;"",$BB205&amp;", ","")&amp;IF($BC205&lt;&gt;"",$BC205&amp;", ","")&amp;IF($DL205&lt;&gt;"",$DL205&amp;", ","")&amp;IF($DM205&lt;&gt;"",$DM205&amp;", ","")&amp;IF($DN205&lt;&gt;"",$DN205&amp;", ","")&amp;IF($DO205&lt;&gt;"",$DO205&amp;", ","")&amp;IF($DP205&lt;&gt;"",$DP205&amp;", ","")&amp;IF($DQ205&lt;&gt;"",$DQ205&amp;", ","")&amp;IF($DR205&lt;&gt;"",$DR205&amp;", ","")&amp;IF($DS205&lt;&gt;"",$DS205&amp;", ","")&amp;IF($DT205&lt;&gt;"",$DT205&amp;", ","")&amp;IF($DU205&lt;&gt;"",$DU205&amp;", ",""))="","OK","Onbekend: "&amp;LEFT((IF($AT205&lt;&gt;"",$AT205&amp;", ","")&amp;IF($AU205&lt;&gt;"",$AU205&amp;", ","")&amp;IF($AV205&lt;&gt;"",$AV205&amp;", ","")&amp;IF($AW205&lt;&gt;"",$AW205&amp;", ","")&amp;IF($AX205&lt;&gt;"",$AX205&amp;", ","")&amp;IF($AY205&lt;&gt;"",$AY205&amp;", ","")&amp;IF($AZ205&lt;&gt;"",$AZ205&amp;", ","")&amp;IF($BA205&lt;&gt;"",$BA205&amp;", ","")&amp;IF($BB205&lt;&gt;"",$BB205&amp;", ","")&amp;IF($BC205&lt;&gt;"",$BC205&amp;", ","")&amp;IF($DL205&lt;&gt;"",$DL205&amp;", ","")&amp;IF($DM205&lt;&gt;"",$DM205&amp;", ","")&amp;IF($DN205&lt;&gt;"",$DN205&amp;", ","")&amp;IF($DO205&lt;&gt;"",$DO205&amp;", ","")&amp;IF($DP205&lt;&gt;"",$DP205&amp;", ","")&amp;IF($DQ205&lt;&gt;"",$DQ205&amp;", ","")&amp;IF($DR205&lt;&gt;"",$DR205&amp;", ","")&amp;IF($DS205&lt;&gt;"",$DS205&amp;", ","")&amp;IF($DT205&lt;&gt;"",$DT205&amp;", ","")&amp;IF($DU205&lt;&gt;"",$DU205&amp;", ","")),LEN((IF($AT205&lt;&gt;"",$AT205&amp;", ","")&amp;IF($AU205&lt;&gt;"",$AU205&amp;", ","")&amp;IF($AV205&lt;&gt;"",$AV205&amp;", ","")&amp;IF($AW205&lt;&gt;"",$AW205&amp;", ","")&amp;IF($AX205&lt;&gt;"",$AX205&amp;", ","")&amp;IF($AY205&lt;&gt;"",$AY205&amp;", ","")&amp;IF($AZ205&lt;&gt;"",$AZ205&amp;", ","")&amp;IF($BA205&lt;&gt;"",$BA205&amp;", ","")&amp;IF($BB205&lt;&gt;"",$BB205&amp;", ","")&amp;IF($BC205&lt;&gt;"",$BC205&amp;", ","")&amp;IF($DL205&lt;&gt;"",$DL205&amp;", ","")&amp;IF($DM205&lt;&gt;"",$DM205&amp;", ","")&amp;IF($DN205&lt;&gt;"",$DN205&amp;", ","")&amp;IF($DO205&lt;&gt;"",$DO205&amp;", ","")&amp;IF($DP205&lt;&gt;"",$DP205&amp;", ","")&amp;IF($DQ205&lt;&gt;"",$DQ205&amp;", ","")&amp;IF($DR205&lt;&gt;"",$DR205&amp;", ","")&amp;IF($DS205&lt;&gt;"",$DS205&amp;", ","")&amp;IF($DT205&lt;&gt;"",$DT205&amp;", ","")&amp;IF($DU205&lt;&gt;"",$DU205&amp;", ","")))-2)))))))</f>
        <v/>
      </c>
      <c r="N205" t="str">
        <f t="shared" si="1500"/>
        <v/>
      </c>
      <c r="O205" t="str">
        <f t="shared" si="1501"/>
        <v/>
      </c>
      <c r="P205" t="str">
        <f t="shared" si="1502"/>
        <v/>
      </c>
      <c r="Q205" t="str">
        <f t="shared" si="1503"/>
        <v/>
      </c>
      <c r="R205" t="str">
        <f>IF($Q205="","",IF(OR($BE205="",$BF205=""),"ONZEKER",IF(AND($BE205=0+1,$BF205=0),IF(OR(COUNTIF(#REF!,$B205)&gt;0,COUNTIF(#REF!,$B205)=0),"SKIP",IF(COUNTIFS(#REF!,$B205,#REF!,$Q205)&gt;0,"OK","ONBEKEND")),IF(AND($BE205=0,$BF205=0+1),IF(OR(COUNTIF(#REF!,$D205)&gt;0,COUNTIF(#REF!,$D205)=0),"SKIP",IF(COUNTIFS(#REF!,$D205,#REF!,$Q205)&gt;0,"OK","ONBEKEND")),"ONZEKER"))))</f>
        <v/>
      </c>
      <c r="S205" t="str">
        <f t="shared" si="1504"/>
        <v/>
      </c>
      <c r="T205" t="str">
        <f t="shared" si="1505"/>
        <v/>
      </c>
      <c r="U205" t="str">
        <f>IF($T205="","",IF(OR($BH205="",$BI205=""),"ONZEKER",IF(OR($BE205="",$BF205=""),"ONZEKER",IF(AND($BH205=$BE205+1,$BI205=$BF205),IF(OR(COUNTIF(#REF!,$B205)&gt;0,COUNTIF(#REF!,$B205)=0),"SKIP",IF(COUNTIFS(#REF!,$B205,#REF!,$T205)&gt;0,"OK","ONBEKEND")),IF(AND($BH205=$BE205,$BI205=$BF205+1),IF(OR(COUNTIF(#REF!,$D205)&gt;0,COUNTIF(#REF!,$D205)=0),"SKIP",IF(COUNTIFS(#REF!,$D205,#REF!,$T205)&gt;0,"OK","ONBEKEND")),"ONZEKER")))))</f>
        <v/>
      </c>
      <c r="V205" t="str">
        <f t="shared" si="1506"/>
        <v/>
      </c>
      <c r="W205" t="str">
        <f t="shared" si="1507"/>
        <v/>
      </c>
      <c r="X205" t="str">
        <f>IF($W205="","",IF(OR($BK205="",$BL205=""),"ONZEKER",IF(OR($BH205="",$BI205=""),"ONZEKER",IF(AND($BK205=$BH205+1,$BL205=$BI205),IF(OR(COUNTIF(#REF!,$B205)&gt;0,COUNTIF(#REF!,$B205)=0),"SKIP",IF(COUNTIFS(#REF!,$B205,#REF!,$W205)&gt;0,"OK","ONBEKEND")),IF(AND($BK205=$BH205,$BL205=$BI205+1),IF(OR(COUNTIF(#REF!,$D205)&gt;0,COUNTIF(#REF!,$D205)=0),"SKIP",IF(COUNTIFS(#REF!,$D205,#REF!,$W205)&gt;0,"OK","ONBEKEND")),"ONZEKER")))))</f>
        <v/>
      </c>
      <c r="Y205" t="str">
        <f t="shared" si="1508"/>
        <v/>
      </c>
      <c r="Z205" t="str">
        <f t="shared" si="1509"/>
        <v/>
      </c>
      <c r="AA205" t="str">
        <f>IF($Z205="","",IF(OR($BN205="",$BO205=""),"ONZEKER",IF(OR($BK205="",$BL205=""),"ONZEKER",IF(AND($BN205=$BK205+1,$BO205=$BL205),IF(OR(COUNTIF(#REF!,$B205)&gt;0,COUNTIF(#REF!,$B205)=0),"SKIP",IF(COUNTIFS(#REF!,$B205,#REF!,$Z205)&gt;0,"OK","ONBEKEND")),IF(AND($BN205=$BK205,$BO205=$BL205+1),IF(OR(COUNTIF(#REF!,$D205)&gt;0,COUNTIF(#REF!,$D205)=0),"SKIP",IF(COUNTIFS(#REF!,$D205,#REF!,$Z205)&gt;0,"OK","ONBEKEND")),"ONZEKER")))))</f>
        <v/>
      </c>
      <c r="AB205" t="str">
        <f t="shared" si="1510"/>
        <v/>
      </c>
      <c r="AC205" t="str">
        <f t="shared" si="1511"/>
        <v/>
      </c>
      <c r="AD205" t="str">
        <f>IF($AC205="","",IF(OR($BQ205="",$BR205=""),"ONZEKER",IF(OR($BN205="",$BO205=""),"ONZEKER",IF(AND($BQ205=$BN205+1,$BR205=$BO205),IF(OR(COUNTIF(#REF!,$B205)&gt;0,COUNTIF(#REF!,$B205)=0),"SKIP",IF(COUNTIFS(#REF!,$B205,#REF!,$AC205)&gt;0,"OK","ONBEKEND")),IF(AND($BQ205=$BN205,$BR205=$BO205+1),IF(OR(COUNTIF(#REF!,$D205)&gt;0,COUNTIF(#REF!,$D205)=0),"SKIP",IF(COUNTIFS(#REF!,$D205,#REF!,$AC205)&gt;0,"OK","ONBEKEND")),"ONZEKER")))))</f>
        <v/>
      </c>
      <c r="AE205" t="str">
        <f t="shared" si="1512"/>
        <v/>
      </c>
      <c r="AF205" t="str">
        <f t="shared" si="1513"/>
        <v/>
      </c>
      <c r="AG205" t="str">
        <f>IF($AF205="","",IF(OR($BT205="",$BU205=""),"ONZEKER",IF(OR($BQ205="",$BR205=""),"ONZEKER",IF(AND($BT205=$BQ205+1,$BU205=$BR205),IF(OR(COUNTIF(#REF!,$B205)&gt;0,COUNTIF(#REF!,$B205)=0),"SKIP",IF(COUNTIFS(#REF!,$B205,#REF!,$AF205)&gt;0,"OK","ONBEKEND")),IF(AND($BT205=$BQ205,$BU205=$BR205+1),IF(OR(COUNTIF(#REF!,$D205)&gt;0,COUNTIF(#REF!,$D205)=0),"SKIP",IF(COUNTIFS(#REF!,$D205,#REF!,$AF205)&gt;0,"OK","ONBEKEND")),"ONZEKER")))))</f>
        <v/>
      </c>
      <c r="AH205" t="str">
        <f t="shared" si="1514"/>
        <v/>
      </c>
      <c r="AI205" t="str">
        <f t="shared" si="1515"/>
        <v/>
      </c>
      <c r="AJ205" t="str">
        <f>IF($AI205="","",IF(OR($BW205="",$BX205=""),"ONZEKER",IF(OR($BT205="",$BU205=""),"ONZEKER",IF(AND($BW205=$BT205+1,$BX205=$BU205),IF(OR(COUNTIF(#REF!,$B205)&gt;0,COUNTIF(#REF!,$B205)=0),"SKIP",IF(COUNTIFS(#REF!,$B205,#REF!,$AI205)&gt;0,"OK","ONBEKEND")),IF(AND($BW205=$BT205,$BX205=$BU205+1),IF(OR(COUNTIF(#REF!,$D205)&gt;0,COUNTIF(#REF!,$D205)=0),"SKIP",IF(COUNTIFS(#REF!,$D205,#REF!,$AI205)&gt;0,"OK","ONBEKEND")),"ONZEKER")))))</f>
        <v/>
      </c>
      <c r="AK205" t="str">
        <f t="shared" si="1516"/>
        <v/>
      </c>
      <c r="AL205" t="str">
        <f t="shared" si="1517"/>
        <v/>
      </c>
      <c r="AM205" t="str">
        <f>IF($AL205="","",IF(OR($BZ205="",$CA205=""),"ONZEKER",IF(OR($BW205="",$BX205=""),"ONZEKER",IF(AND($BZ205=$BW205+1,$CA205=$BX205),IF(OR(COUNTIF(#REF!,$B205)&gt;0,COUNTIF(#REF!,$B205)=0),"SKIP",IF(COUNTIFS(#REF!,$B205,#REF!,$AL205)&gt;0,"OK","ONBEKEND")),IF(AND($BZ205=$BW205,$CA205=$BX205+1),IF(OR(COUNTIF(#REF!,$D205)&gt;0,COUNTIF(#REF!,$D205)=0),"SKIP",IF(COUNTIFS(#REF!,$D205,#REF!,$AL205)&gt;0,"OK","ONBEKEND")),"ONZEKER")))))</f>
        <v/>
      </c>
      <c r="AN205" t="str">
        <f t="shared" si="1518"/>
        <v/>
      </c>
      <c r="AO205" t="str">
        <f t="shared" si="1519"/>
        <v/>
      </c>
      <c r="AP205" t="str">
        <f>IF($AO205="","",IF(OR($CC205="",$CD205=""),"ONZEKER",IF(OR($BZ205="",$CA205=""),"ONZEKER",IF(AND($CC205=$BZ205+1,$CD205=$CA205),IF(OR(COUNTIF(#REF!,$B205)&gt;0,COUNTIF(#REF!,$B205)=0),"SKIP",IF(COUNTIFS(#REF!,$B205,#REF!,$AO205)&gt;0,"OK","ONBEKEND")),IF(AND($CC205=$BZ205,$CD205=$CA205+1),IF(OR(COUNTIF(#REF!,$D205)&gt;0,COUNTIF(#REF!,$D205)=0),"SKIP",IF(COUNTIFS(#REF!,$D205,#REF!,$AO205)&gt;0,"OK","ONBEKEND")),"ONZEKER")))))</f>
        <v/>
      </c>
      <c r="AQ205" t="str">
        <f t="shared" si="1520"/>
        <v/>
      </c>
      <c r="AR205" t="str">
        <f t="shared" si="1521"/>
        <v/>
      </c>
      <c r="AS205" t="str">
        <f>IF($AR205="","",IF(OR($CF205="",$CG205=""),"ONZEKER",IF(OR($CC205="",$CD205=""),"ONZEKER",IF(AND($CF205=$CC205+1,$CG205=$CD205),IF(OR(COUNTIF(#REF!,$B205)&gt;0,COUNTIF(#REF!,$B205)=0),"SKIP",IF(COUNTIFS(#REF!,$B205,#REF!,$AR205)&gt;0,"OK","ONBEKEND")),IF(AND($CF205=$CC205,$CG205=$CD205+1),IF(OR(COUNTIF(#REF!,$D205)&gt;0,COUNTIF(#REF!,$D205)=0),"SKIP",IF(COUNTIFS(#REF!,$D205,#REF!,$AR205)&gt;0,"OK","ONBEKEND")),"ONZEKER")))))</f>
        <v/>
      </c>
      <c r="AT205" t="str">
        <f t="shared" si="1522"/>
        <v/>
      </c>
      <c r="AU205" t="str">
        <f t="shared" si="1523"/>
        <v/>
      </c>
      <c r="AV205" t="str">
        <f t="shared" si="1524"/>
        <v/>
      </c>
      <c r="AW205" t="str">
        <f t="shared" si="1525"/>
        <v/>
      </c>
      <c r="AX205" t="str">
        <f t="shared" si="1526"/>
        <v/>
      </c>
      <c r="AY205" t="str">
        <f t="shared" si="1527"/>
        <v/>
      </c>
      <c r="AZ205" t="str">
        <f t="shared" si="1528"/>
        <v/>
      </c>
      <c r="BA205" t="str">
        <f t="shared" si="1529"/>
        <v/>
      </c>
      <c r="BB205" t="str">
        <f t="shared" si="1530"/>
        <v/>
      </c>
      <c r="BC205" t="str">
        <f t="shared" si="1531"/>
        <v/>
      </c>
      <c r="BD205" t="str">
        <f t="shared" si="1470"/>
        <v/>
      </c>
      <c r="BE205" t="str">
        <f t="shared" si="1471"/>
        <v/>
      </c>
      <c r="BF205" t="str">
        <f t="shared" si="1472"/>
        <v/>
      </c>
      <c r="BG205" t="str">
        <f t="shared" si="1473"/>
        <v/>
      </c>
      <c r="BH205" t="str">
        <f t="shared" si="1474"/>
        <v/>
      </c>
      <c r="BI205" t="str">
        <f t="shared" si="1475"/>
        <v/>
      </c>
      <c r="BJ205" t="str">
        <f t="shared" si="1476"/>
        <v/>
      </c>
      <c r="BK205" t="str">
        <f t="shared" si="1477"/>
        <v/>
      </c>
      <c r="BL205" t="str">
        <f t="shared" si="1478"/>
        <v/>
      </c>
      <c r="BM205" t="str">
        <f t="shared" si="1479"/>
        <v/>
      </c>
      <c r="BN205" t="str">
        <f t="shared" si="1480"/>
        <v/>
      </c>
      <c r="BO205" t="str">
        <f t="shared" si="1481"/>
        <v/>
      </c>
      <c r="BP205" t="str">
        <f t="shared" si="1482"/>
        <v/>
      </c>
      <c r="BQ205" t="str">
        <f t="shared" si="1483"/>
        <v/>
      </c>
      <c r="BR205" t="str">
        <f t="shared" si="1484"/>
        <v/>
      </c>
      <c r="BS205" t="str">
        <f t="shared" si="1485"/>
        <v/>
      </c>
      <c r="BT205" t="str">
        <f t="shared" si="1486"/>
        <v/>
      </c>
      <c r="BU205" t="str">
        <f t="shared" si="1487"/>
        <v/>
      </c>
      <c r="BV205" t="str">
        <f t="shared" si="1488"/>
        <v/>
      </c>
      <c r="BW205" t="str">
        <f t="shared" si="1489"/>
        <v/>
      </c>
      <c r="BX205" t="str">
        <f t="shared" si="1490"/>
        <v/>
      </c>
      <c r="BY205" t="str">
        <f t="shared" si="1491"/>
        <v/>
      </c>
      <c r="BZ205" t="str">
        <f t="shared" si="1492"/>
        <v/>
      </c>
      <c r="CA205" t="str">
        <f t="shared" si="1493"/>
        <v/>
      </c>
      <c r="CB205" t="str">
        <f t="shared" si="1494"/>
        <v/>
      </c>
      <c r="CC205" t="str">
        <f t="shared" si="1495"/>
        <v/>
      </c>
      <c r="CD205" t="str">
        <f t="shared" si="1496"/>
        <v/>
      </c>
      <c r="CE205" t="str">
        <f t="shared" si="1497"/>
        <v/>
      </c>
      <c r="CF205" t="str">
        <f t="shared" si="1498"/>
        <v/>
      </c>
      <c r="CG205" t="str">
        <f t="shared" si="1499"/>
        <v/>
      </c>
      <c r="CH205" t="str">
        <f t="shared" si="1532"/>
        <v/>
      </c>
      <c r="CI205" t="str">
        <f t="shared" si="1533"/>
        <v/>
      </c>
      <c r="CJ205" t="str">
        <f>IF($CI205="","",IF(OR($DW205="",$DX205=""),"ONZEKER",IF(OR($CF205="",$CG205=""),"ONZEKER",IF(AND($DW205=$CF205+1,$DX205=$CG205),IF(OR(COUNTIF(#REF!,$B205)&gt;0,COUNTIF(#REF!,$B205)=0),"SKIP",IF(COUNTIFS(#REF!,$B205,#REF!,$CI205)&gt;0,"OK","ONBEKEND")),IF(AND($DW205=$CF205,$DX205=$CG205+1),IF(OR(COUNTIF(#REF!,$D205)&gt;0,COUNTIF(#REF!,$D205)=0),"SKIP",IF(COUNTIFS(#REF!,$D205,#REF!,$CI205)&gt;0,"OK","ONBEKEND")),"ONZEKER")))))</f>
        <v/>
      </c>
      <c r="CK205" t="str">
        <f t="shared" si="1534"/>
        <v/>
      </c>
      <c r="CL205" t="str">
        <f t="shared" si="1535"/>
        <v/>
      </c>
      <c r="CM205" t="str">
        <f>IF($CL205="","",IF(OR($DZ205="",$EA205=""),"ONZEKER",IF(OR($DW205="",$DX205=""),"ONZEKER",IF(AND($DZ205=$DW205+1,$EA205=$DX205),IF(OR(COUNTIF(#REF!,$B205)&gt;0,COUNTIF(#REF!,$B205)=0),"SKIP",IF(COUNTIFS(#REF!,$B205,#REF!,$CL205)&gt;0,"OK","ONBEKEND")),IF(AND($DZ205=$DW205,$EA205=$DX205+1),IF(OR(COUNTIF(#REF!,$D205)&gt;0,COUNTIF(#REF!,$D205)=0),"SKIP",IF(COUNTIFS(#REF!,$D205,#REF!,$CL205)&gt;0,"OK","ONBEKEND")),"ONZEKER")))))</f>
        <v/>
      </c>
      <c r="CN205" t="str">
        <f t="shared" si="1536"/>
        <v/>
      </c>
      <c r="CO205" t="str">
        <f t="shared" si="1537"/>
        <v/>
      </c>
      <c r="CP205" t="str">
        <f>IF($CO205="","",IF(OR($EC205="",$ED205=""),"ONZEKER",IF(OR($DZ205="",$EA205=""),"ONZEKER",IF(AND($EC205=$DZ205+1,$ED205=$EA205),IF(OR(COUNTIF(#REF!,$B205)&gt;0,COUNTIF(#REF!,$B205)=0),"SKIP",IF(COUNTIFS(#REF!,$B205,#REF!,$CO205)&gt;0,"OK","ONBEKEND")),IF(AND($EC205=$DZ205,$ED205=$EA205+1),IF(OR(COUNTIF(#REF!,$D205)&gt;0,COUNTIF(#REF!,$D205)=0),"SKIP",IF(COUNTIFS(#REF!,$D205,#REF!,$CO205)&gt;0,"OK","ONBEKEND")),"ONZEKER")))))</f>
        <v/>
      </c>
      <c r="CQ205" t="str">
        <f t="shared" si="1538"/>
        <v/>
      </c>
      <c r="CR205" t="str">
        <f t="shared" si="1539"/>
        <v/>
      </c>
      <c r="CS205" t="str">
        <f>IF($CR205="","",IF(OR($EF205="",$EG205=""),"ONZEKER",IF(OR($EC205="",$ED205=""),"ONZEKER",IF(AND($EF205=$EC205+1,$EG205=$ED205),IF(OR(COUNTIF(#REF!,$B205)&gt;0,COUNTIF(#REF!,$B205)=0),"SKIP",IF(COUNTIFS(#REF!,$B205,#REF!,$CR205)&gt;0,"OK","ONBEKEND")),IF(AND($EF205=$EC205,$EG205=$ED205+1),IF(OR(COUNTIF(#REF!,$D205)&gt;0,COUNTIF(#REF!,$D205)=0),"SKIP",IF(COUNTIFS(#REF!,$D205,#REF!,$CR205)&gt;0,"OK","ONBEKEND")),"ONZEKER")))))</f>
        <v/>
      </c>
      <c r="CT205" t="str">
        <f t="shared" si="1540"/>
        <v/>
      </c>
      <c r="CU205" t="str">
        <f t="shared" si="1541"/>
        <v/>
      </c>
      <c r="CV205" t="str">
        <f>IF($CU205="","",IF(OR($EI205="",$EJ205=""),"ONZEKER",IF(OR($EF205="",$EG205=""),"ONZEKER",IF(AND($EI205=$EF205+1,$EJ205=$EG205),IF(OR(COUNTIF(#REF!,$B205)&gt;0,COUNTIF(#REF!,$B205)=0),"SKIP",IF(COUNTIFS(#REF!,$B205,#REF!,$CU205)&gt;0,"OK","ONBEKEND")),IF(AND($EI205=$EF205,$EJ205=$EG205+1),IF(OR(COUNTIF(#REF!,$D205)&gt;0,COUNTIF(#REF!,$D205)=0),"SKIP",IF(COUNTIFS(#REF!,$D205,#REF!,$CU205)&gt;0,"OK","ONBEKEND")),"ONZEKER")))))</f>
        <v/>
      </c>
      <c r="CW205" t="str">
        <f t="shared" si="1542"/>
        <v/>
      </c>
      <c r="CX205" t="str">
        <f t="shared" si="1543"/>
        <v/>
      </c>
      <c r="CY205" t="str">
        <f>IF($CX205="","",IF(OR($EL205="",$EM205=""),"ONZEKER",IF(OR($EI205="",$EJ205=""),"ONZEKER",IF(AND($EL205=$EI205+1,$EM205=$EJ205),IF(OR(COUNTIF(#REF!,$B205)&gt;0,COUNTIF(#REF!,$B205)=0),"SKIP",IF(COUNTIFS(#REF!,$B205,#REF!,$CX205)&gt;0,"OK","ONBEKEND")),IF(AND($EL205=$EI205,$EM205=$EJ205+1),IF(OR(COUNTIF(#REF!,$D205)&gt;0,COUNTIF(#REF!,$D205)=0),"SKIP",IF(COUNTIFS(#REF!,$D205,#REF!,$CX205)&gt;0,"OK","ONBEKEND")),"ONZEKER")))))</f>
        <v/>
      </c>
      <c r="CZ205" t="str">
        <f t="shared" si="1544"/>
        <v/>
      </c>
      <c r="DA205" t="str">
        <f t="shared" si="1545"/>
        <v/>
      </c>
      <c r="DB205" t="str">
        <f>IF($DA205="","",IF(OR($EO205="",$EP205=""),"ONZEKER",IF(OR($EL205="",$EM205=""),"ONZEKER",IF(AND($EO205=$EL205+1,$EP205=$EM205),IF(OR(COUNTIF(#REF!,$B205)&gt;0,COUNTIF(#REF!,$B205)=0),"SKIP",IF(COUNTIFS(#REF!,$B205,#REF!,$DA205)&gt;0,"OK","ONBEKEND")),IF(AND($EO205=$EL205,$EP205=$EM205+1),IF(OR(COUNTIF(#REF!,$D205)&gt;0,COUNTIF(#REF!,$D205)=0),"SKIP",IF(COUNTIFS(#REF!,$D205,#REF!,$DA205)&gt;0,"OK","ONBEKEND")),"ONZEKER")))))</f>
        <v/>
      </c>
      <c r="DC205" t="str">
        <f t="shared" si="1546"/>
        <v/>
      </c>
      <c r="DD205" t="str">
        <f t="shared" si="1547"/>
        <v/>
      </c>
      <c r="DE205" t="str">
        <f>IF($DD205="","",IF(OR($ER205="",$ES205=""),"ONZEKER",IF(OR($EO205="",$EP205=""),"ONZEKER",IF(AND($ER205=$EO205+1,$ES205=$EP205),IF(OR(COUNTIF(#REF!,$B205)&gt;0,COUNTIF(#REF!,$B205)=0),"SKIP",IF(COUNTIFS(#REF!,$B205,#REF!,$DD205)&gt;0,"OK","ONBEKEND")),IF(AND($ER205=$EO205,$ES205=$EP205+1),IF(OR(COUNTIF(#REF!,$D205)&gt;0,COUNTIF(#REF!,$D205)=0),"SKIP",IF(COUNTIFS(#REF!,$D205,#REF!,$DD205)&gt;0,"OK","ONBEKEND")),"ONZEKER")))))</f>
        <v/>
      </c>
      <c r="DF205" t="str">
        <f t="shared" si="1548"/>
        <v/>
      </c>
      <c r="DG205" t="str">
        <f t="shared" si="1549"/>
        <v/>
      </c>
      <c r="DH205" t="str">
        <f>IF($DG205="","",IF(OR($EU205="",$EV205=""),"ONZEKER",IF(OR($ER205="",$ES205=""),"ONZEKER",IF(AND($EU205=$ER205+1,$EV205=$ES205),IF(OR(COUNTIF(#REF!,$B205)&gt;0,COUNTIF(#REF!,$B205)=0),"SKIP",IF(COUNTIFS(#REF!,$B205,#REF!,$DG205)&gt;0,"OK","ONBEKEND")),IF(AND($EU205=$ER205,$EV205=$ES205+1),IF(OR(COUNTIF(#REF!,$D205)&gt;0,COUNTIF(#REF!,$D205)=0),"SKIP",IF(COUNTIFS(#REF!,$D205,#REF!,$DG205)&gt;0,"OK","ONBEKEND")),"ONZEKER")))))</f>
        <v/>
      </c>
      <c r="DI205" t="str">
        <f t="shared" si="1550"/>
        <v/>
      </c>
      <c r="DJ205" t="str">
        <f t="shared" si="1551"/>
        <v/>
      </c>
      <c r="DK205" t="str">
        <f>IF($DJ205="","",IF(OR($EX205="",$EY205=""),"ONZEKER",IF(OR($EU205="",$EV205=""),"ONZEKER",IF(AND($EX205=$EU205+1,$EY205=$EV205),IF(OR(COUNTIF(#REF!,$B205)&gt;0,COUNTIF(#REF!,$B205)=0),"SKIP",IF(COUNTIFS(#REF!,$B205,#REF!,$DJ205)&gt;0,"OK","ONBEKEND")),IF(AND($EX205=$EU205,$EY205=$EV205+1),IF(OR(COUNTIF(#REF!,$D205)&gt;0,COUNTIF(#REF!,$D205)=0),"SKIP",IF(COUNTIFS(#REF!,$D205,#REF!,$DJ205)&gt;0,"OK","ONBEKEND")),"ONZEKER")))))</f>
        <v/>
      </c>
      <c r="DL205" t="str">
        <f t="shared" si="1552"/>
        <v/>
      </c>
      <c r="DM205" t="str">
        <f t="shared" si="1553"/>
        <v/>
      </c>
      <c r="DN205" t="str">
        <f t="shared" si="1554"/>
        <v/>
      </c>
      <c r="DO205" t="str">
        <f t="shared" si="1555"/>
        <v/>
      </c>
      <c r="DP205" t="str">
        <f t="shared" si="1556"/>
        <v/>
      </c>
      <c r="DQ205" t="str">
        <f t="shared" si="1557"/>
        <v/>
      </c>
      <c r="DR205" t="str">
        <f t="shared" si="1558"/>
        <v/>
      </c>
      <c r="DS205" t="str">
        <f t="shared" si="1559"/>
        <v/>
      </c>
      <c r="DT205" t="str">
        <f t="shared" si="1560"/>
        <v/>
      </c>
      <c r="DU205" t="str">
        <f t="shared" si="1561"/>
        <v/>
      </c>
      <c r="DV205" t="str">
        <f t="shared" si="1562"/>
        <v/>
      </c>
      <c r="DW205" t="str">
        <f t="shared" si="1563"/>
        <v/>
      </c>
      <c r="DX205" t="str">
        <f t="shared" si="1564"/>
        <v/>
      </c>
      <c r="DY205" t="str">
        <f t="shared" si="1565"/>
        <v/>
      </c>
      <c r="DZ205" t="str">
        <f t="shared" si="1566"/>
        <v/>
      </c>
      <c r="EA205" t="str">
        <f t="shared" si="1567"/>
        <v/>
      </c>
      <c r="EB205" t="str">
        <f t="shared" si="1568"/>
        <v/>
      </c>
      <c r="EC205" t="str">
        <f t="shared" si="1569"/>
        <v/>
      </c>
      <c r="ED205" t="str">
        <f t="shared" si="1570"/>
        <v/>
      </c>
      <c r="EE205" t="str">
        <f t="shared" si="1571"/>
        <v/>
      </c>
      <c r="EF205" t="str">
        <f t="shared" si="1572"/>
        <v/>
      </c>
      <c r="EG205" t="str">
        <f t="shared" si="1573"/>
        <v/>
      </c>
      <c r="EH205" t="str">
        <f t="shared" si="1574"/>
        <v/>
      </c>
      <c r="EI205" t="str">
        <f t="shared" si="1575"/>
        <v/>
      </c>
      <c r="EJ205" t="str">
        <f t="shared" si="1576"/>
        <v/>
      </c>
      <c r="EK205" t="str">
        <f t="shared" si="1577"/>
        <v/>
      </c>
      <c r="EL205" t="str">
        <f t="shared" si="1578"/>
        <v/>
      </c>
      <c r="EM205" t="str">
        <f t="shared" si="1579"/>
        <v/>
      </c>
      <c r="EN205" t="str">
        <f t="shared" si="1580"/>
        <v/>
      </c>
      <c r="EO205" t="str">
        <f t="shared" si="1581"/>
        <v/>
      </c>
      <c r="EP205" t="str">
        <f t="shared" si="1582"/>
        <v/>
      </c>
      <c r="EQ205" t="str">
        <f t="shared" si="1583"/>
        <v/>
      </c>
      <c r="ER205" t="str">
        <f t="shared" si="1584"/>
        <v/>
      </c>
      <c r="ES205" t="str">
        <f t="shared" si="1585"/>
        <v/>
      </c>
      <c r="ET205" t="str">
        <f t="shared" si="1586"/>
        <v/>
      </c>
      <c r="EU205" t="str">
        <f t="shared" si="1587"/>
        <v/>
      </c>
      <c r="EV205" t="str">
        <f t="shared" si="1588"/>
        <v/>
      </c>
      <c r="EW205" t="str">
        <f t="shared" si="1589"/>
        <v/>
      </c>
      <c r="EX205" t="str">
        <f t="shared" si="1590"/>
        <v/>
      </c>
      <c r="EY205" t="str">
        <f t="shared" si="1591"/>
        <v/>
      </c>
    </row>
    <row r="206" spans="1:155" ht="13.9" customHeight="1" x14ac:dyDescent="0.25">
      <c r="A206" s="7"/>
      <c r="B206" s="17"/>
      <c r="C206" s="8"/>
      <c r="D206" s="17"/>
      <c r="E206" s="8"/>
      <c r="F206" s="18">
        <v>0</v>
      </c>
      <c r="G206" s="7" t="s">
        <v>147</v>
      </c>
      <c r="H206" s="18">
        <v>0</v>
      </c>
      <c r="I206" s="19">
        <v>0</v>
      </c>
      <c r="J206" s="7" t="s">
        <v>147</v>
      </c>
      <c r="K206" s="19">
        <v>0</v>
      </c>
      <c r="L206" s="9"/>
      <c r="M206" s="3" t="str">
        <f>IF($L206="","",IF($L206="DOELPUNTENMAKERS","",IF(AND(COUNTIF(#REF!,$B206)=0,COUNTIF(#REF!,$D206)=0),"OK",IF($O206&gt;20,"LET OP: meer dan 20 items (controle onvolledig)",IF((COUNTIF($R206:$AS206,"ONZEKER")+COUNTIF($CJ206:$DK206,"ONZEKER"))&gt;0,"LET OP: scoreverloop onduidelijk (controle beperkt)",IF((IF($AT206&lt;&gt;"",$AT206&amp;", ","")&amp;IF($AU206&lt;&gt;"",$AU206&amp;", ","")&amp;IF($AV206&lt;&gt;"",$AV206&amp;", ","")&amp;IF($AW206&lt;&gt;"",$AW206&amp;", ","")&amp;IF($AX206&lt;&gt;"",$AX206&amp;", ","")&amp;IF($AY206&lt;&gt;"",$AY206&amp;", ","")&amp;IF($AZ206&lt;&gt;"",$AZ206&amp;", ","")&amp;IF($BA206&lt;&gt;"",$BA206&amp;", ","")&amp;IF($BB206&lt;&gt;"",$BB206&amp;", ","")&amp;IF($BC206&lt;&gt;"",$BC206&amp;", ","")&amp;IF($DL206&lt;&gt;"",$DL206&amp;", ","")&amp;IF($DM206&lt;&gt;"",$DM206&amp;", ","")&amp;IF($DN206&lt;&gt;"",$DN206&amp;", ","")&amp;IF($DO206&lt;&gt;"",$DO206&amp;", ","")&amp;IF($DP206&lt;&gt;"",$DP206&amp;", ","")&amp;IF($DQ206&lt;&gt;"",$DQ206&amp;", ","")&amp;IF($DR206&lt;&gt;"",$DR206&amp;", ","")&amp;IF($DS206&lt;&gt;"",$DS206&amp;", ","")&amp;IF($DT206&lt;&gt;"",$DT206&amp;", ","")&amp;IF($DU206&lt;&gt;"",$DU206&amp;", ",""))="","OK","Onbekend: "&amp;LEFT((IF($AT206&lt;&gt;"",$AT206&amp;", ","")&amp;IF($AU206&lt;&gt;"",$AU206&amp;", ","")&amp;IF($AV206&lt;&gt;"",$AV206&amp;", ","")&amp;IF($AW206&lt;&gt;"",$AW206&amp;", ","")&amp;IF($AX206&lt;&gt;"",$AX206&amp;", ","")&amp;IF($AY206&lt;&gt;"",$AY206&amp;", ","")&amp;IF($AZ206&lt;&gt;"",$AZ206&amp;", ","")&amp;IF($BA206&lt;&gt;"",$BA206&amp;", ","")&amp;IF($BB206&lt;&gt;"",$BB206&amp;", ","")&amp;IF($BC206&lt;&gt;"",$BC206&amp;", ","")&amp;IF($DL206&lt;&gt;"",$DL206&amp;", ","")&amp;IF($DM206&lt;&gt;"",$DM206&amp;", ","")&amp;IF($DN206&lt;&gt;"",$DN206&amp;", ","")&amp;IF($DO206&lt;&gt;"",$DO206&amp;", ","")&amp;IF($DP206&lt;&gt;"",$DP206&amp;", ","")&amp;IF($DQ206&lt;&gt;"",$DQ206&amp;", ","")&amp;IF($DR206&lt;&gt;"",$DR206&amp;", ","")&amp;IF($DS206&lt;&gt;"",$DS206&amp;", ","")&amp;IF($DT206&lt;&gt;"",$DT206&amp;", ","")&amp;IF($DU206&lt;&gt;"",$DU206&amp;", ","")),LEN((IF($AT206&lt;&gt;"",$AT206&amp;", ","")&amp;IF($AU206&lt;&gt;"",$AU206&amp;", ","")&amp;IF($AV206&lt;&gt;"",$AV206&amp;", ","")&amp;IF($AW206&lt;&gt;"",$AW206&amp;", ","")&amp;IF($AX206&lt;&gt;"",$AX206&amp;", ","")&amp;IF($AY206&lt;&gt;"",$AY206&amp;", ","")&amp;IF($AZ206&lt;&gt;"",$AZ206&amp;", ","")&amp;IF($BA206&lt;&gt;"",$BA206&amp;", ","")&amp;IF($BB206&lt;&gt;"",$BB206&amp;", ","")&amp;IF($BC206&lt;&gt;"",$BC206&amp;", ","")&amp;IF($DL206&lt;&gt;"",$DL206&amp;", ","")&amp;IF($DM206&lt;&gt;"",$DM206&amp;", ","")&amp;IF($DN206&lt;&gt;"",$DN206&amp;", ","")&amp;IF($DO206&lt;&gt;"",$DO206&amp;", ","")&amp;IF($DP206&lt;&gt;"",$DP206&amp;", ","")&amp;IF($DQ206&lt;&gt;"",$DQ206&amp;", ","")&amp;IF($DR206&lt;&gt;"",$DR206&amp;", ","")&amp;IF($DS206&lt;&gt;"",$DS206&amp;", ","")&amp;IF($DT206&lt;&gt;"",$DT206&amp;", ","")&amp;IF($DU206&lt;&gt;"",$DU206&amp;", ","")))-2)))))))</f>
        <v/>
      </c>
      <c r="N206" t="str">
        <f t="shared" si="1500"/>
        <v/>
      </c>
      <c r="O206" t="str">
        <f t="shared" si="1501"/>
        <v/>
      </c>
      <c r="P206" t="str">
        <f t="shared" si="1502"/>
        <v/>
      </c>
      <c r="Q206" t="str">
        <f t="shared" si="1503"/>
        <v/>
      </c>
      <c r="R206" t="str">
        <f>IF($Q206="","",IF(OR($BE206="",$BF206=""),"ONZEKER",IF(AND($BE206=0+1,$BF206=0),IF(OR(COUNTIF(#REF!,$B206)&gt;0,COUNTIF(#REF!,$B206)=0),"SKIP",IF(COUNTIFS(#REF!,$B206,#REF!,$Q206)&gt;0,"OK","ONBEKEND")),IF(AND($BE206=0,$BF206=0+1),IF(OR(COUNTIF(#REF!,$D206)&gt;0,COUNTIF(#REF!,$D206)=0),"SKIP",IF(COUNTIFS(#REF!,$D206,#REF!,$Q206)&gt;0,"OK","ONBEKEND")),"ONZEKER"))))</f>
        <v/>
      </c>
      <c r="S206" t="str">
        <f t="shared" si="1504"/>
        <v/>
      </c>
      <c r="T206" t="str">
        <f t="shared" si="1505"/>
        <v/>
      </c>
      <c r="U206" t="str">
        <f>IF($T206="","",IF(OR($BH206="",$BI206=""),"ONZEKER",IF(OR($BE206="",$BF206=""),"ONZEKER",IF(AND($BH206=$BE206+1,$BI206=$BF206),IF(OR(COUNTIF(#REF!,$B206)&gt;0,COUNTIF(#REF!,$B206)=0),"SKIP",IF(COUNTIFS(#REF!,$B206,#REF!,$T206)&gt;0,"OK","ONBEKEND")),IF(AND($BH206=$BE206,$BI206=$BF206+1),IF(OR(COUNTIF(#REF!,$D206)&gt;0,COUNTIF(#REF!,$D206)=0),"SKIP",IF(COUNTIFS(#REF!,$D206,#REF!,$T206)&gt;0,"OK","ONBEKEND")),"ONZEKER")))))</f>
        <v/>
      </c>
      <c r="V206" t="str">
        <f t="shared" si="1506"/>
        <v/>
      </c>
      <c r="W206" t="str">
        <f t="shared" si="1507"/>
        <v/>
      </c>
      <c r="X206" t="str">
        <f>IF($W206="","",IF(OR($BK206="",$BL206=""),"ONZEKER",IF(OR($BH206="",$BI206=""),"ONZEKER",IF(AND($BK206=$BH206+1,$BL206=$BI206),IF(OR(COUNTIF(#REF!,$B206)&gt;0,COUNTIF(#REF!,$B206)=0),"SKIP",IF(COUNTIFS(#REF!,$B206,#REF!,$W206)&gt;0,"OK","ONBEKEND")),IF(AND($BK206=$BH206,$BL206=$BI206+1),IF(OR(COUNTIF(#REF!,$D206)&gt;0,COUNTIF(#REF!,$D206)=0),"SKIP",IF(COUNTIFS(#REF!,$D206,#REF!,$W206)&gt;0,"OK","ONBEKEND")),"ONZEKER")))))</f>
        <v/>
      </c>
      <c r="Y206" t="str">
        <f t="shared" si="1508"/>
        <v/>
      </c>
      <c r="Z206" t="str">
        <f t="shared" si="1509"/>
        <v/>
      </c>
      <c r="AA206" t="str">
        <f>IF($Z206="","",IF(OR($BN206="",$BO206=""),"ONZEKER",IF(OR($BK206="",$BL206=""),"ONZEKER",IF(AND($BN206=$BK206+1,$BO206=$BL206),IF(OR(COUNTIF(#REF!,$B206)&gt;0,COUNTIF(#REF!,$B206)=0),"SKIP",IF(COUNTIFS(#REF!,$B206,#REF!,$Z206)&gt;0,"OK","ONBEKEND")),IF(AND($BN206=$BK206,$BO206=$BL206+1),IF(OR(COUNTIF(#REF!,$D206)&gt;0,COUNTIF(#REF!,$D206)=0),"SKIP",IF(COUNTIFS(#REF!,$D206,#REF!,$Z206)&gt;0,"OK","ONBEKEND")),"ONZEKER")))))</f>
        <v/>
      </c>
      <c r="AB206" t="str">
        <f t="shared" si="1510"/>
        <v/>
      </c>
      <c r="AC206" t="str">
        <f t="shared" si="1511"/>
        <v/>
      </c>
      <c r="AD206" t="str">
        <f>IF($AC206="","",IF(OR($BQ206="",$BR206=""),"ONZEKER",IF(OR($BN206="",$BO206=""),"ONZEKER",IF(AND($BQ206=$BN206+1,$BR206=$BO206),IF(OR(COUNTIF(#REF!,$B206)&gt;0,COUNTIF(#REF!,$B206)=0),"SKIP",IF(COUNTIFS(#REF!,$B206,#REF!,$AC206)&gt;0,"OK","ONBEKEND")),IF(AND($BQ206=$BN206,$BR206=$BO206+1),IF(OR(COUNTIF(#REF!,$D206)&gt;0,COUNTIF(#REF!,$D206)=0),"SKIP",IF(COUNTIFS(#REF!,$D206,#REF!,$AC206)&gt;0,"OK","ONBEKEND")),"ONZEKER")))))</f>
        <v/>
      </c>
      <c r="AE206" t="str">
        <f t="shared" si="1512"/>
        <v/>
      </c>
      <c r="AF206" t="str">
        <f t="shared" si="1513"/>
        <v/>
      </c>
      <c r="AG206" t="str">
        <f>IF($AF206="","",IF(OR($BT206="",$BU206=""),"ONZEKER",IF(OR($BQ206="",$BR206=""),"ONZEKER",IF(AND($BT206=$BQ206+1,$BU206=$BR206),IF(OR(COUNTIF(#REF!,$B206)&gt;0,COUNTIF(#REF!,$B206)=0),"SKIP",IF(COUNTIFS(#REF!,$B206,#REF!,$AF206)&gt;0,"OK","ONBEKEND")),IF(AND($BT206=$BQ206,$BU206=$BR206+1),IF(OR(COUNTIF(#REF!,$D206)&gt;0,COUNTIF(#REF!,$D206)=0),"SKIP",IF(COUNTIFS(#REF!,$D206,#REF!,$AF206)&gt;0,"OK","ONBEKEND")),"ONZEKER")))))</f>
        <v/>
      </c>
      <c r="AH206" t="str">
        <f t="shared" si="1514"/>
        <v/>
      </c>
      <c r="AI206" t="str">
        <f t="shared" si="1515"/>
        <v/>
      </c>
      <c r="AJ206" t="str">
        <f>IF($AI206="","",IF(OR($BW206="",$BX206=""),"ONZEKER",IF(OR($BT206="",$BU206=""),"ONZEKER",IF(AND($BW206=$BT206+1,$BX206=$BU206),IF(OR(COUNTIF(#REF!,$B206)&gt;0,COUNTIF(#REF!,$B206)=0),"SKIP",IF(COUNTIFS(#REF!,$B206,#REF!,$AI206)&gt;0,"OK","ONBEKEND")),IF(AND($BW206=$BT206,$BX206=$BU206+1),IF(OR(COUNTIF(#REF!,$D206)&gt;0,COUNTIF(#REF!,$D206)=0),"SKIP",IF(COUNTIFS(#REF!,$D206,#REF!,$AI206)&gt;0,"OK","ONBEKEND")),"ONZEKER")))))</f>
        <v/>
      </c>
      <c r="AK206" t="str">
        <f t="shared" si="1516"/>
        <v/>
      </c>
      <c r="AL206" t="str">
        <f t="shared" si="1517"/>
        <v/>
      </c>
      <c r="AM206" t="str">
        <f>IF($AL206="","",IF(OR($BZ206="",$CA206=""),"ONZEKER",IF(OR($BW206="",$BX206=""),"ONZEKER",IF(AND($BZ206=$BW206+1,$CA206=$BX206),IF(OR(COUNTIF(#REF!,$B206)&gt;0,COUNTIF(#REF!,$B206)=0),"SKIP",IF(COUNTIFS(#REF!,$B206,#REF!,$AL206)&gt;0,"OK","ONBEKEND")),IF(AND($BZ206=$BW206,$CA206=$BX206+1),IF(OR(COUNTIF(#REF!,$D206)&gt;0,COUNTIF(#REF!,$D206)=0),"SKIP",IF(COUNTIFS(#REF!,$D206,#REF!,$AL206)&gt;0,"OK","ONBEKEND")),"ONZEKER")))))</f>
        <v/>
      </c>
      <c r="AN206" t="str">
        <f t="shared" si="1518"/>
        <v/>
      </c>
      <c r="AO206" t="str">
        <f t="shared" si="1519"/>
        <v/>
      </c>
      <c r="AP206" t="str">
        <f>IF($AO206="","",IF(OR($CC206="",$CD206=""),"ONZEKER",IF(OR($BZ206="",$CA206=""),"ONZEKER",IF(AND($CC206=$BZ206+1,$CD206=$CA206),IF(OR(COUNTIF(#REF!,$B206)&gt;0,COUNTIF(#REF!,$B206)=0),"SKIP",IF(COUNTIFS(#REF!,$B206,#REF!,$AO206)&gt;0,"OK","ONBEKEND")),IF(AND($CC206=$BZ206,$CD206=$CA206+1),IF(OR(COUNTIF(#REF!,$D206)&gt;0,COUNTIF(#REF!,$D206)=0),"SKIP",IF(COUNTIFS(#REF!,$D206,#REF!,$AO206)&gt;0,"OK","ONBEKEND")),"ONZEKER")))))</f>
        <v/>
      </c>
      <c r="AQ206" t="str">
        <f t="shared" si="1520"/>
        <v/>
      </c>
      <c r="AR206" t="str">
        <f t="shared" si="1521"/>
        <v/>
      </c>
      <c r="AS206" t="str">
        <f>IF($AR206="","",IF(OR($CF206="",$CG206=""),"ONZEKER",IF(OR($CC206="",$CD206=""),"ONZEKER",IF(AND($CF206=$CC206+1,$CG206=$CD206),IF(OR(COUNTIF(#REF!,$B206)&gt;0,COUNTIF(#REF!,$B206)=0),"SKIP",IF(COUNTIFS(#REF!,$B206,#REF!,$AR206)&gt;0,"OK","ONBEKEND")),IF(AND($CF206=$CC206,$CG206=$CD206+1),IF(OR(COUNTIF(#REF!,$D206)&gt;0,COUNTIF(#REF!,$D206)=0),"SKIP",IF(COUNTIFS(#REF!,$D206,#REF!,$AR206)&gt;0,"OK","ONBEKEND")),"ONZEKER")))))</f>
        <v/>
      </c>
      <c r="AT206" t="str">
        <f t="shared" si="1522"/>
        <v/>
      </c>
      <c r="AU206" t="str">
        <f t="shared" si="1523"/>
        <v/>
      </c>
      <c r="AV206" t="str">
        <f t="shared" si="1524"/>
        <v/>
      </c>
      <c r="AW206" t="str">
        <f t="shared" si="1525"/>
        <v/>
      </c>
      <c r="AX206" t="str">
        <f t="shared" si="1526"/>
        <v/>
      </c>
      <c r="AY206" t="str">
        <f t="shared" si="1527"/>
        <v/>
      </c>
      <c r="AZ206" t="str">
        <f t="shared" si="1528"/>
        <v/>
      </c>
      <c r="BA206" t="str">
        <f t="shared" si="1529"/>
        <v/>
      </c>
      <c r="BB206" t="str">
        <f t="shared" si="1530"/>
        <v/>
      </c>
      <c r="BC206" t="str">
        <f t="shared" si="1531"/>
        <v/>
      </c>
      <c r="BD206" t="str">
        <f t="shared" si="1470"/>
        <v/>
      </c>
      <c r="BE206" t="str">
        <f t="shared" si="1471"/>
        <v/>
      </c>
      <c r="BF206" t="str">
        <f t="shared" si="1472"/>
        <v/>
      </c>
      <c r="BG206" t="str">
        <f t="shared" si="1473"/>
        <v/>
      </c>
      <c r="BH206" t="str">
        <f t="shared" si="1474"/>
        <v/>
      </c>
      <c r="BI206" t="str">
        <f t="shared" si="1475"/>
        <v/>
      </c>
      <c r="BJ206" t="str">
        <f t="shared" si="1476"/>
        <v/>
      </c>
      <c r="BK206" t="str">
        <f t="shared" si="1477"/>
        <v/>
      </c>
      <c r="BL206" t="str">
        <f t="shared" si="1478"/>
        <v/>
      </c>
      <c r="BM206" t="str">
        <f t="shared" si="1479"/>
        <v/>
      </c>
      <c r="BN206" t="str">
        <f t="shared" si="1480"/>
        <v/>
      </c>
      <c r="BO206" t="str">
        <f t="shared" si="1481"/>
        <v/>
      </c>
      <c r="BP206" t="str">
        <f t="shared" si="1482"/>
        <v/>
      </c>
      <c r="BQ206" t="str">
        <f t="shared" si="1483"/>
        <v/>
      </c>
      <c r="BR206" t="str">
        <f t="shared" si="1484"/>
        <v/>
      </c>
      <c r="BS206" t="str">
        <f t="shared" si="1485"/>
        <v/>
      </c>
      <c r="BT206" t="str">
        <f t="shared" si="1486"/>
        <v/>
      </c>
      <c r="BU206" t="str">
        <f t="shared" si="1487"/>
        <v/>
      </c>
      <c r="BV206" t="str">
        <f t="shared" si="1488"/>
        <v/>
      </c>
      <c r="BW206" t="str">
        <f t="shared" si="1489"/>
        <v/>
      </c>
      <c r="BX206" t="str">
        <f t="shared" si="1490"/>
        <v/>
      </c>
      <c r="BY206" t="str">
        <f t="shared" si="1491"/>
        <v/>
      </c>
      <c r="BZ206" t="str">
        <f t="shared" si="1492"/>
        <v/>
      </c>
      <c r="CA206" t="str">
        <f t="shared" si="1493"/>
        <v/>
      </c>
      <c r="CB206" t="str">
        <f t="shared" si="1494"/>
        <v/>
      </c>
      <c r="CC206" t="str">
        <f t="shared" si="1495"/>
        <v/>
      </c>
      <c r="CD206" t="str">
        <f t="shared" si="1496"/>
        <v/>
      </c>
      <c r="CE206" t="str">
        <f t="shared" si="1497"/>
        <v/>
      </c>
      <c r="CF206" t="str">
        <f t="shared" si="1498"/>
        <v/>
      </c>
      <c r="CG206" t="str">
        <f t="shared" si="1499"/>
        <v/>
      </c>
      <c r="CH206" t="str">
        <f t="shared" si="1532"/>
        <v/>
      </c>
      <c r="CI206" t="str">
        <f t="shared" si="1533"/>
        <v/>
      </c>
      <c r="CJ206" t="str">
        <f>IF($CI206="","",IF(OR($DW206="",$DX206=""),"ONZEKER",IF(OR($CF206="",$CG206=""),"ONZEKER",IF(AND($DW206=$CF206+1,$DX206=$CG206),IF(OR(COUNTIF(#REF!,$B206)&gt;0,COUNTIF(#REF!,$B206)=0),"SKIP",IF(COUNTIFS(#REF!,$B206,#REF!,$CI206)&gt;0,"OK","ONBEKEND")),IF(AND($DW206=$CF206,$DX206=$CG206+1),IF(OR(COUNTIF(#REF!,$D206)&gt;0,COUNTIF(#REF!,$D206)=0),"SKIP",IF(COUNTIFS(#REF!,$D206,#REF!,$CI206)&gt;0,"OK","ONBEKEND")),"ONZEKER")))))</f>
        <v/>
      </c>
      <c r="CK206" t="str">
        <f t="shared" si="1534"/>
        <v/>
      </c>
      <c r="CL206" t="str">
        <f t="shared" si="1535"/>
        <v/>
      </c>
      <c r="CM206" t="str">
        <f>IF($CL206="","",IF(OR($DZ206="",$EA206=""),"ONZEKER",IF(OR($DW206="",$DX206=""),"ONZEKER",IF(AND($DZ206=$DW206+1,$EA206=$DX206),IF(OR(COUNTIF(#REF!,$B206)&gt;0,COUNTIF(#REF!,$B206)=0),"SKIP",IF(COUNTIFS(#REF!,$B206,#REF!,$CL206)&gt;0,"OK","ONBEKEND")),IF(AND($DZ206=$DW206,$EA206=$DX206+1),IF(OR(COUNTIF(#REF!,$D206)&gt;0,COUNTIF(#REF!,$D206)=0),"SKIP",IF(COUNTIFS(#REF!,$D206,#REF!,$CL206)&gt;0,"OK","ONBEKEND")),"ONZEKER")))))</f>
        <v/>
      </c>
      <c r="CN206" t="str">
        <f t="shared" si="1536"/>
        <v/>
      </c>
      <c r="CO206" t="str">
        <f t="shared" si="1537"/>
        <v/>
      </c>
      <c r="CP206" t="str">
        <f>IF($CO206="","",IF(OR($EC206="",$ED206=""),"ONZEKER",IF(OR($DZ206="",$EA206=""),"ONZEKER",IF(AND($EC206=$DZ206+1,$ED206=$EA206),IF(OR(COUNTIF(#REF!,$B206)&gt;0,COUNTIF(#REF!,$B206)=0),"SKIP",IF(COUNTIFS(#REF!,$B206,#REF!,$CO206)&gt;0,"OK","ONBEKEND")),IF(AND($EC206=$DZ206,$ED206=$EA206+1),IF(OR(COUNTIF(#REF!,$D206)&gt;0,COUNTIF(#REF!,$D206)=0),"SKIP",IF(COUNTIFS(#REF!,$D206,#REF!,$CO206)&gt;0,"OK","ONBEKEND")),"ONZEKER")))))</f>
        <v/>
      </c>
      <c r="CQ206" t="str">
        <f t="shared" si="1538"/>
        <v/>
      </c>
      <c r="CR206" t="str">
        <f t="shared" si="1539"/>
        <v/>
      </c>
      <c r="CS206" t="str">
        <f>IF($CR206="","",IF(OR($EF206="",$EG206=""),"ONZEKER",IF(OR($EC206="",$ED206=""),"ONZEKER",IF(AND($EF206=$EC206+1,$EG206=$ED206),IF(OR(COUNTIF(#REF!,$B206)&gt;0,COUNTIF(#REF!,$B206)=0),"SKIP",IF(COUNTIFS(#REF!,$B206,#REF!,$CR206)&gt;0,"OK","ONBEKEND")),IF(AND($EF206=$EC206,$EG206=$ED206+1),IF(OR(COUNTIF(#REF!,$D206)&gt;0,COUNTIF(#REF!,$D206)=0),"SKIP",IF(COUNTIFS(#REF!,$D206,#REF!,$CR206)&gt;0,"OK","ONBEKEND")),"ONZEKER")))))</f>
        <v/>
      </c>
      <c r="CT206" t="str">
        <f t="shared" si="1540"/>
        <v/>
      </c>
      <c r="CU206" t="str">
        <f t="shared" si="1541"/>
        <v/>
      </c>
      <c r="CV206" t="str">
        <f>IF($CU206="","",IF(OR($EI206="",$EJ206=""),"ONZEKER",IF(OR($EF206="",$EG206=""),"ONZEKER",IF(AND($EI206=$EF206+1,$EJ206=$EG206),IF(OR(COUNTIF(#REF!,$B206)&gt;0,COUNTIF(#REF!,$B206)=0),"SKIP",IF(COUNTIFS(#REF!,$B206,#REF!,$CU206)&gt;0,"OK","ONBEKEND")),IF(AND($EI206=$EF206,$EJ206=$EG206+1),IF(OR(COUNTIF(#REF!,$D206)&gt;0,COUNTIF(#REF!,$D206)=0),"SKIP",IF(COUNTIFS(#REF!,$D206,#REF!,$CU206)&gt;0,"OK","ONBEKEND")),"ONZEKER")))))</f>
        <v/>
      </c>
      <c r="CW206" t="str">
        <f t="shared" si="1542"/>
        <v/>
      </c>
      <c r="CX206" t="str">
        <f t="shared" si="1543"/>
        <v/>
      </c>
      <c r="CY206" t="str">
        <f>IF($CX206="","",IF(OR($EL206="",$EM206=""),"ONZEKER",IF(OR($EI206="",$EJ206=""),"ONZEKER",IF(AND($EL206=$EI206+1,$EM206=$EJ206),IF(OR(COUNTIF(#REF!,$B206)&gt;0,COUNTIF(#REF!,$B206)=0),"SKIP",IF(COUNTIFS(#REF!,$B206,#REF!,$CX206)&gt;0,"OK","ONBEKEND")),IF(AND($EL206=$EI206,$EM206=$EJ206+1),IF(OR(COUNTIF(#REF!,$D206)&gt;0,COUNTIF(#REF!,$D206)=0),"SKIP",IF(COUNTIFS(#REF!,$D206,#REF!,$CX206)&gt;0,"OK","ONBEKEND")),"ONZEKER")))))</f>
        <v/>
      </c>
      <c r="CZ206" t="str">
        <f t="shared" si="1544"/>
        <v/>
      </c>
      <c r="DA206" t="str">
        <f t="shared" si="1545"/>
        <v/>
      </c>
      <c r="DB206" t="str">
        <f>IF($DA206="","",IF(OR($EO206="",$EP206=""),"ONZEKER",IF(OR($EL206="",$EM206=""),"ONZEKER",IF(AND($EO206=$EL206+1,$EP206=$EM206),IF(OR(COUNTIF(#REF!,$B206)&gt;0,COUNTIF(#REF!,$B206)=0),"SKIP",IF(COUNTIFS(#REF!,$B206,#REF!,$DA206)&gt;0,"OK","ONBEKEND")),IF(AND($EO206=$EL206,$EP206=$EM206+1),IF(OR(COUNTIF(#REF!,$D206)&gt;0,COUNTIF(#REF!,$D206)=0),"SKIP",IF(COUNTIFS(#REF!,$D206,#REF!,$DA206)&gt;0,"OK","ONBEKEND")),"ONZEKER")))))</f>
        <v/>
      </c>
      <c r="DC206" t="str">
        <f t="shared" si="1546"/>
        <v/>
      </c>
      <c r="DD206" t="str">
        <f t="shared" si="1547"/>
        <v/>
      </c>
      <c r="DE206" t="str">
        <f>IF($DD206="","",IF(OR($ER206="",$ES206=""),"ONZEKER",IF(OR($EO206="",$EP206=""),"ONZEKER",IF(AND($ER206=$EO206+1,$ES206=$EP206),IF(OR(COUNTIF(#REF!,$B206)&gt;0,COUNTIF(#REF!,$B206)=0),"SKIP",IF(COUNTIFS(#REF!,$B206,#REF!,$DD206)&gt;0,"OK","ONBEKEND")),IF(AND($ER206=$EO206,$ES206=$EP206+1),IF(OR(COUNTIF(#REF!,$D206)&gt;0,COUNTIF(#REF!,$D206)=0),"SKIP",IF(COUNTIFS(#REF!,$D206,#REF!,$DD206)&gt;0,"OK","ONBEKEND")),"ONZEKER")))))</f>
        <v/>
      </c>
      <c r="DF206" t="str">
        <f t="shared" si="1548"/>
        <v/>
      </c>
      <c r="DG206" t="str">
        <f t="shared" si="1549"/>
        <v/>
      </c>
      <c r="DH206" t="str">
        <f>IF($DG206="","",IF(OR($EU206="",$EV206=""),"ONZEKER",IF(OR($ER206="",$ES206=""),"ONZEKER",IF(AND($EU206=$ER206+1,$EV206=$ES206),IF(OR(COUNTIF(#REF!,$B206)&gt;0,COUNTIF(#REF!,$B206)=0),"SKIP",IF(COUNTIFS(#REF!,$B206,#REF!,$DG206)&gt;0,"OK","ONBEKEND")),IF(AND($EU206=$ER206,$EV206=$ES206+1),IF(OR(COUNTIF(#REF!,$D206)&gt;0,COUNTIF(#REF!,$D206)=0),"SKIP",IF(COUNTIFS(#REF!,$D206,#REF!,$DG206)&gt;0,"OK","ONBEKEND")),"ONZEKER")))))</f>
        <v/>
      </c>
      <c r="DI206" t="str">
        <f t="shared" si="1550"/>
        <v/>
      </c>
      <c r="DJ206" t="str">
        <f t="shared" si="1551"/>
        <v/>
      </c>
      <c r="DK206" t="str">
        <f>IF($DJ206="","",IF(OR($EX206="",$EY206=""),"ONZEKER",IF(OR($EU206="",$EV206=""),"ONZEKER",IF(AND($EX206=$EU206+1,$EY206=$EV206),IF(OR(COUNTIF(#REF!,$B206)&gt;0,COUNTIF(#REF!,$B206)=0),"SKIP",IF(COUNTIFS(#REF!,$B206,#REF!,$DJ206)&gt;0,"OK","ONBEKEND")),IF(AND($EX206=$EU206,$EY206=$EV206+1),IF(OR(COUNTIF(#REF!,$D206)&gt;0,COUNTIF(#REF!,$D206)=0),"SKIP",IF(COUNTIFS(#REF!,$D206,#REF!,$DJ206)&gt;0,"OK","ONBEKEND")),"ONZEKER")))))</f>
        <v/>
      </c>
      <c r="DL206" t="str">
        <f t="shared" si="1552"/>
        <v/>
      </c>
      <c r="DM206" t="str">
        <f t="shared" si="1553"/>
        <v/>
      </c>
      <c r="DN206" t="str">
        <f t="shared" si="1554"/>
        <v/>
      </c>
      <c r="DO206" t="str">
        <f t="shared" si="1555"/>
        <v/>
      </c>
      <c r="DP206" t="str">
        <f t="shared" si="1556"/>
        <v/>
      </c>
      <c r="DQ206" t="str">
        <f t="shared" si="1557"/>
        <v/>
      </c>
      <c r="DR206" t="str">
        <f t="shared" si="1558"/>
        <v/>
      </c>
      <c r="DS206" t="str">
        <f t="shared" si="1559"/>
        <v/>
      </c>
      <c r="DT206" t="str">
        <f t="shared" si="1560"/>
        <v/>
      </c>
      <c r="DU206" t="str">
        <f t="shared" si="1561"/>
        <v/>
      </c>
      <c r="DV206" t="str">
        <f t="shared" si="1562"/>
        <v/>
      </c>
      <c r="DW206" t="str">
        <f t="shared" si="1563"/>
        <v/>
      </c>
      <c r="DX206" t="str">
        <f t="shared" si="1564"/>
        <v/>
      </c>
      <c r="DY206" t="str">
        <f t="shared" si="1565"/>
        <v/>
      </c>
      <c r="DZ206" t="str">
        <f t="shared" si="1566"/>
        <v/>
      </c>
      <c r="EA206" t="str">
        <f t="shared" si="1567"/>
        <v/>
      </c>
      <c r="EB206" t="str">
        <f t="shared" si="1568"/>
        <v/>
      </c>
      <c r="EC206" t="str">
        <f t="shared" si="1569"/>
        <v/>
      </c>
      <c r="ED206" t="str">
        <f t="shared" si="1570"/>
        <v/>
      </c>
      <c r="EE206" t="str">
        <f t="shared" si="1571"/>
        <v/>
      </c>
      <c r="EF206" t="str">
        <f t="shared" si="1572"/>
        <v/>
      </c>
      <c r="EG206" t="str">
        <f t="shared" si="1573"/>
        <v/>
      </c>
      <c r="EH206" t="str">
        <f t="shared" si="1574"/>
        <v/>
      </c>
      <c r="EI206" t="str">
        <f t="shared" si="1575"/>
        <v/>
      </c>
      <c r="EJ206" t="str">
        <f t="shared" si="1576"/>
        <v/>
      </c>
      <c r="EK206" t="str">
        <f t="shared" si="1577"/>
        <v/>
      </c>
      <c r="EL206" t="str">
        <f t="shared" si="1578"/>
        <v/>
      </c>
      <c r="EM206" t="str">
        <f t="shared" si="1579"/>
        <v/>
      </c>
      <c r="EN206" t="str">
        <f t="shared" si="1580"/>
        <v/>
      </c>
      <c r="EO206" t="str">
        <f t="shared" si="1581"/>
        <v/>
      </c>
      <c r="EP206" t="str">
        <f t="shared" si="1582"/>
        <v/>
      </c>
      <c r="EQ206" t="str">
        <f t="shared" si="1583"/>
        <v/>
      </c>
      <c r="ER206" t="str">
        <f t="shared" si="1584"/>
        <v/>
      </c>
      <c r="ES206" t="str">
        <f t="shared" si="1585"/>
        <v/>
      </c>
      <c r="ET206" t="str">
        <f t="shared" si="1586"/>
        <v/>
      </c>
      <c r="EU206" t="str">
        <f t="shared" si="1587"/>
        <v/>
      </c>
      <c r="EV206" t="str">
        <f t="shared" si="1588"/>
        <v/>
      </c>
      <c r="EW206" t="str">
        <f t="shared" si="1589"/>
        <v/>
      </c>
      <c r="EX206" t="str">
        <f t="shared" si="1590"/>
        <v/>
      </c>
      <c r="EY206" t="str">
        <f t="shared" si="1591"/>
        <v/>
      </c>
    </row>
    <row r="207" spans="1:155" ht="13.9" customHeight="1" x14ac:dyDescent="0.25">
      <c r="M207" s="3" t="str">
        <f>IF($L207="","",IF($L207="DOELPUNTENMAKERS","",IF(AND(COUNTIF(#REF!,$B207)=0,COUNTIF(#REF!,$D207)=0),"OK",IF($O207&gt;20,"LET OP: meer dan 20 items (controle onvolledig)",IF((COUNTIF($R207:$AS207,"ONZEKER")+COUNTIF($CJ207:$DK207,"ONZEKER"))&gt;0,"LET OP: scoreverloop onduidelijk (controle beperkt)",IF((IF($AT207&lt;&gt;"",$AT207&amp;", ","")&amp;IF($AU207&lt;&gt;"",$AU207&amp;", ","")&amp;IF($AV207&lt;&gt;"",$AV207&amp;", ","")&amp;IF($AW207&lt;&gt;"",$AW207&amp;", ","")&amp;IF($AX207&lt;&gt;"",$AX207&amp;", ","")&amp;IF($AY207&lt;&gt;"",$AY207&amp;", ","")&amp;IF($AZ207&lt;&gt;"",$AZ207&amp;", ","")&amp;IF($BA207&lt;&gt;"",$BA207&amp;", ","")&amp;IF($BB207&lt;&gt;"",$BB207&amp;", ","")&amp;IF($BC207&lt;&gt;"",$BC207&amp;", ","")&amp;IF($DL207&lt;&gt;"",$DL207&amp;", ","")&amp;IF($DM207&lt;&gt;"",$DM207&amp;", ","")&amp;IF($DN207&lt;&gt;"",$DN207&amp;", ","")&amp;IF($DO207&lt;&gt;"",$DO207&amp;", ","")&amp;IF($DP207&lt;&gt;"",$DP207&amp;", ","")&amp;IF($DQ207&lt;&gt;"",$DQ207&amp;", ","")&amp;IF($DR207&lt;&gt;"",$DR207&amp;", ","")&amp;IF($DS207&lt;&gt;"",$DS207&amp;", ","")&amp;IF($DT207&lt;&gt;"",$DT207&amp;", ","")&amp;IF($DU207&lt;&gt;"",$DU207&amp;", ",""))="","OK","Onbekend: "&amp;LEFT((IF($AT207&lt;&gt;"",$AT207&amp;", ","")&amp;IF($AU207&lt;&gt;"",$AU207&amp;", ","")&amp;IF($AV207&lt;&gt;"",$AV207&amp;", ","")&amp;IF($AW207&lt;&gt;"",$AW207&amp;", ","")&amp;IF($AX207&lt;&gt;"",$AX207&amp;", ","")&amp;IF($AY207&lt;&gt;"",$AY207&amp;", ","")&amp;IF($AZ207&lt;&gt;"",$AZ207&amp;", ","")&amp;IF($BA207&lt;&gt;"",$BA207&amp;", ","")&amp;IF($BB207&lt;&gt;"",$BB207&amp;", ","")&amp;IF($BC207&lt;&gt;"",$BC207&amp;", ","")&amp;IF($DL207&lt;&gt;"",$DL207&amp;", ","")&amp;IF($DM207&lt;&gt;"",$DM207&amp;", ","")&amp;IF($DN207&lt;&gt;"",$DN207&amp;", ","")&amp;IF($DO207&lt;&gt;"",$DO207&amp;", ","")&amp;IF($DP207&lt;&gt;"",$DP207&amp;", ","")&amp;IF($DQ207&lt;&gt;"",$DQ207&amp;", ","")&amp;IF($DR207&lt;&gt;"",$DR207&amp;", ","")&amp;IF($DS207&lt;&gt;"",$DS207&amp;", ","")&amp;IF($DT207&lt;&gt;"",$DT207&amp;", ","")&amp;IF($DU207&lt;&gt;"",$DU207&amp;", ","")),LEN((IF($AT207&lt;&gt;"",$AT207&amp;", ","")&amp;IF($AU207&lt;&gt;"",$AU207&amp;", ","")&amp;IF($AV207&lt;&gt;"",$AV207&amp;", ","")&amp;IF($AW207&lt;&gt;"",$AW207&amp;", ","")&amp;IF($AX207&lt;&gt;"",$AX207&amp;", ","")&amp;IF($AY207&lt;&gt;"",$AY207&amp;", ","")&amp;IF($AZ207&lt;&gt;"",$AZ207&amp;", ","")&amp;IF($BA207&lt;&gt;"",$BA207&amp;", ","")&amp;IF($BB207&lt;&gt;"",$BB207&amp;", ","")&amp;IF($BC207&lt;&gt;"",$BC207&amp;", ","")&amp;IF($DL207&lt;&gt;"",$DL207&amp;", ","")&amp;IF($DM207&lt;&gt;"",$DM207&amp;", ","")&amp;IF($DN207&lt;&gt;"",$DN207&amp;", ","")&amp;IF($DO207&lt;&gt;"",$DO207&amp;", ","")&amp;IF($DP207&lt;&gt;"",$DP207&amp;", ","")&amp;IF($DQ207&lt;&gt;"",$DQ207&amp;", ","")&amp;IF($DR207&lt;&gt;"",$DR207&amp;", ","")&amp;IF($DS207&lt;&gt;"",$DS207&amp;", ","")&amp;IF($DT207&lt;&gt;"",$DT207&amp;", ","")&amp;IF($DU207&lt;&gt;"",$DU207&amp;", ","")))-2)))))))</f>
        <v/>
      </c>
      <c r="N207" t="str">
        <f t="shared" si="1500"/>
        <v/>
      </c>
      <c r="O207" t="str">
        <f t="shared" si="1501"/>
        <v/>
      </c>
      <c r="P207" t="str">
        <f t="shared" si="1502"/>
        <v/>
      </c>
      <c r="Q207" t="str">
        <f t="shared" si="1503"/>
        <v/>
      </c>
      <c r="R207" t="str">
        <f>IF($Q207="","",IF(OR($BE207="",$BF207=""),"ONZEKER",IF(AND($BE207=0+1,$BF207=0),IF(OR(COUNTIF(#REF!,$B207)&gt;0,COUNTIF(#REF!,$B207)=0),"SKIP",IF(COUNTIFS(#REF!,$B207,#REF!,$Q207)&gt;0,"OK","ONBEKEND")),IF(AND($BE207=0,$BF207=0+1),IF(OR(COUNTIF(#REF!,$D207)&gt;0,COUNTIF(#REF!,$D207)=0),"SKIP",IF(COUNTIFS(#REF!,$D207,#REF!,$Q207)&gt;0,"OK","ONBEKEND")),"ONZEKER"))))</f>
        <v/>
      </c>
      <c r="S207" t="str">
        <f t="shared" si="1504"/>
        <v/>
      </c>
      <c r="T207" t="str">
        <f t="shared" si="1505"/>
        <v/>
      </c>
      <c r="U207" t="str">
        <f>IF($T207="","",IF(OR($BH207="",$BI207=""),"ONZEKER",IF(OR($BE207="",$BF207=""),"ONZEKER",IF(AND($BH207=$BE207+1,$BI207=$BF207),IF(OR(COUNTIF(#REF!,$B207)&gt;0,COUNTIF(#REF!,$B207)=0),"SKIP",IF(COUNTIFS(#REF!,$B207,#REF!,$T207)&gt;0,"OK","ONBEKEND")),IF(AND($BH207=$BE207,$BI207=$BF207+1),IF(OR(COUNTIF(#REF!,$D207)&gt;0,COUNTIF(#REF!,$D207)=0),"SKIP",IF(COUNTIFS(#REF!,$D207,#REF!,$T207)&gt;0,"OK","ONBEKEND")),"ONZEKER")))))</f>
        <v/>
      </c>
      <c r="V207" t="str">
        <f t="shared" si="1506"/>
        <v/>
      </c>
      <c r="W207" t="str">
        <f t="shared" si="1507"/>
        <v/>
      </c>
      <c r="X207" t="str">
        <f>IF($W207="","",IF(OR($BK207="",$BL207=""),"ONZEKER",IF(OR($BH207="",$BI207=""),"ONZEKER",IF(AND($BK207=$BH207+1,$BL207=$BI207),IF(OR(COUNTIF(#REF!,$B207)&gt;0,COUNTIF(#REF!,$B207)=0),"SKIP",IF(COUNTIFS(#REF!,$B207,#REF!,$W207)&gt;0,"OK","ONBEKEND")),IF(AND($BK207=$BH207,$BL207=$BI207+1),IF(OR(COUNTIF(#REF!,$D207)&gt;0,COUNTIF(#REF!,$D207)=0),"SKIP",IF(COUNTIFS(#REF!,$D207,#REF!,$W207)&gt;0,"OK","ONBEKEND")),"ONZEKER")))))</f>
        <v/>
      </c>
      <c r="Y207" t="str">
        <f t="shared" si="1508"/>
        <v/>
      </c>
      <c r="Z207" t="str">
        <f t="shared" si="1509"/>
        <v/>
      </c>
      <c r="AA207" t="str">
        <f>IF($Z207="","",IF(OR($BN207="",$BO207=""),"ONZEKER",IF(OR($BK207="",$BL207=""),"ONZEKER",IF(AND($BN207=$BK207+1,$BO207=$BL207),IF(OR(COUNTIF(#REF!,$B207)&gt;0,COUNTIF(#REF!,$B207)=0),"SKIP",IF(COUNTIFS(#REF!,$B207,#REF!,$Z207)&gt;0,"OK","ONBEKEND")),IF(AND($BN207=$BK207,$BO207=$BL207+1),IF(OR(COUNTIF(#REF!,$D207)&gt;0,COUNTIF(#REF!,$D207)=0),"SKIP",IF(COUNTIFS(#REF!,$D207,#REF!,$Z207)&gt;0,"OK","ONBEKEND")),"ONZEKER")))))</f>
        <v/>
      </c>
      <c r="AB207" t="str">
        <f t="shared" si="1510"/>
        <v/>
      </c>
      <c r="AC207" t="str">
        <f t="shared" si="1511"/>
        <v/>
      </c>
      <c r="AD207" t="str">
        <f>IF($AC207="","",IF(OR($BQ207="",$BR207=""),"ONZEKER",IF(OR($BN207="",$BO207=""),"ONZEKER",IF(AND($BQ207=$BN207+1,$BR207=$BO207),IF(OR(COUNTIF(#REF!,$B207)&gt;0,COUNTIF(#REF!,$B207)=0),"SKIP",IF(COUNTIFS(#REF!,$B207,#REF!,$AC207)&gt;0,"OK","ONBEKEND")),IF(AND($BQ207=$BN207,$BR207=$BO207+1),IF(OR(COUNTIF(#REF!,$D207)&gt;0,COUNTIF(#REF!,$D207)=0),"SKIP",IF(COUNTIFS(#REF!,$D207,#REF!,$AC207)&gt;0,"OK","ONBEKEND")),"ONZEKER")))))</f>
        <v/>
      </c>
      <c r="AE207" t="str">
        <f t="shared" si="1512"/>
        <v/>
      </c>
      <c r="AF207" t="str">
        <f t="shared" si="1513"/>
        <v/>
      </c>
      <c r="AG207" t="str">
        <f>IF($AF207="","",IF(OR($BT207="",$BU207=""),"ONZEKER",IF(OR($BQ207="",$BR207=""),"ONZEKER",IF(AND($BT207=$BQ207+1,$BU207=$BR207),IF(OR(COUNTIF(#REF!,$B207)&gt;0,COUNTIF(#REF!,$B207)=0),"SKIP",IF(COUNTIFS(#REF!,$B207,#REF!,$AF207)&gt;0,"OK","ONBEKEND")),IF(AND($BT207=$BQ207,$BU207=$BR207+1),IF(OR(COUNTIF(#REF!,$D207)&gt;0,COUNTIF(#REF!,$D207)=0),"SKIP",IF(COUNTIFS(#REF!,$D207,#REF!,$AF207)&gt;0,"OK","ONBEKEND")),"ONZEKER")))))</f>
        <v/>
      </c>
      <c r="AH207" t="str">
        <f t="shared" si="1514"/>
        <v/>
      </c>
      <c r="AI207" t="str">
        <f t="shared" si="1515"/>
        <v/>
      </c>
      <c r="AJ207" t="str">
        <f>IF($AI207="","",IF(OR($BW207="",$BX207=""),"ONZEKER",IF(OR($BT207="",$BU207=""),"ONZEKER",IF(AND($BW207=$BT207+1,$BX207=$BU207),IF(OR(COUNTIF(#REF!,$B207)&gt;0,COUNTIF(#REF!,$B207)=0),"SKIP",IF(COUNTIFS(#REF!,$B207,#REF!,$AI207)&gt;0,"OK","ONBEKEND")),IF(AND($BW207=$BT207,$BX207=$BU207+1),IF(OR(COUNTIF(#REF!,$D207)&gt;0,COUNTIF(#REF!,$D207)=0),"SKIP",IF(COUNTIFS(#REF!,$D207,#REF!,$AI207)&gt;0,"OK","ONBEKEND")),"ONZEKER")))))</f>
        <v/>
      </c>
      <c r="AK207" t="str">
        <f t="shared" si="1516"/>
        <v/>
      </c>
      <c r="AL207" t="str">
        <f t="shared" si="1517"/>
        <v/>
      </c>
      <c r="AM207" t="str">
        <f>IF($AL207="","",IF(OR($BZ207="",$CA207=""),"ONZEKER",IF(OR($BW207="",$BX207=""),"ONZEKER",IF(AND($BZ207=$BW207+1,$CA207=$BX207),IF(OR(COUNTIF(#REF!,$B207)&gt;0,COUNTIF(#REF!,$B207)=0),"SKIP",IF(COUNTIFS(#REF!,$B207,#REF!,$AL207)&gt;0,"OK","ONBEKEND")),IF(AND($BZ207=$BW207,$CA207=$BX207+1),IF(OR(COUNTIF(#REF!,$D207)&gt;0,COUNTIF(#REF!,$D207)=0),"SKIP",IF(COUNTIFS(#REF!,$D207,#REF!,$AL207)&gt;0,"OK","ONBEKEND")),"ONZEKER")))))</f>
        <v/>
      </c>
      <c r="AN207" t="str">
        <f t="shared" si="1518"/>
        <v/>
      </c>
      <c r="AO207" t="str">
        <f t="shared" si="1519"/>
        <v/>
      </c>
      <c r="AP207" t="str">
        <f>IF($AO207="","",IF(OR($CC207="",$CD207=""),"ONZEKER",IF(OR($BZ207="",$CA207=""),"ONZEKER",IF(AND($CC207=$BZ207+1,$CD207=$CA207),IF(OR(COUNTIF(#REF!,$B207)&gt;0,COUNTIF(#REF!,$B207)=0),"SKIP",IF(COUNTIFS(#REF!,$B207,#REF!,$AO207)&gt;0,"OK","ONBEKEND")),IF(AND($CC207=$BZ207,$CD207=$CA207+1),IF(OR(COUNTIF(#REF!,$D207)&gt;0,COUNTIF(#REF!,$D207)=0),"SKIP",IF(COUNTIFS(#REF!,$D207,#REF!,$AO207)&gt;0,"OK","ONBEKEND")),"ONZEKER")))))</f>
        <v/>
      </c>
      <c r="AQ207" t="str">
        <f t="shared" si="1520"/>
        <v/>
      </c>
      <c r="AR207" t="str">
        <f t="shared" si="1521"/>
        <v/>
      </c>
      <c r="AS207" t="str">
        <f>IF($AR207="","",IF(OR($CF207="",$CG207=""),"ONZEKER",IF(OR($CC207="",$CD207=""),"ONZEKER",IF(AND($CF207=$CC207+1,$CG207=$CD207),IF(OR(COUNTIF(#REF!,$B207)&gt;0,COUNTIF(#REF!,$B207)=0),"SKIP",IF(COUNTIFS(#REF!,$B207,#REF!,$AR207)&gt;0,"OK","ONBEKEND")),IF(AND($CF207=$CC207,$CG207=$CD207+1),IF(OR(COUNTIF(#REF!,$D207)&gt;0,COUNTIF(#REF!,$D207)=0),"SKIP",IF(COUNTIFS(#REF!,$D207,#REF!,$AR207)&gt;0,"OK","ONBEKEND")),"ONZEKER")))))</f>
        <v/>
      </c>
      <c r="AT207" t="str">
        <f t="shared" si="1522"/>
        <v/>
      </c>
      <c r="AU207" t="str">
        <f t="shared" si="1523"/>
        <v/>
      </c>
      <c r="AV207" t="str">
        <f t="shared" si="1524"/>
        <v/>
      </c>
      <c r="AW207" t="str">
        <f t="shared" si="1525"/>
        <v/>
      </c>
      <c r="AX207" t="str">
        <f t="shared" si="1526"/>
        <v/>
      </c>
      <c r="AY207" t="str">
        <f t="shared" si="1527"/>
        <v/>
      </c>
      <c r="AZ207" t="str">
        <f t="shared" si="1528"/>
        <v/>
      </c>
      <c r="BA207" t="str">
        <f t="shared" si="1529"/>
        <v/>
      </c>
      <c r="BB207" t="str">
        <f t="shared" si="1530"/>
        <v/>
      </c>
      <c r="BC207" t="str">
        <f t="shared" si="1531"/>
        <v/>
      </c>
      <c r="BD207" t="str">
        <f t="shared" si="1470"/>
        <v/>
      </c>
      <c r="BE207" t="str">
        <f t="shared" si="1471"/>
        <v/>
      </c>
      <c r="BF207" t="str">
        <f t="shared" si="1472"/>
        <v/>
      </c>
      <c r="BG207" t="str">
        <f t="shared" si="1473"/>
        <v/>
      </c>
      <c r="BH207" t="str">
        <f t="shared" si="1474"/>
        <v/>
      </c>
      <c r="BI207" t="str">
        <f t="shared" si="1475"/>
        <v/>
      </c>
      <c r="BJ207" t="str">
        <f t="shared" si="1476"/>
        <v/>
      </c>
      <c r="BK207" t="str">
        <f t="shared" si="1477"/>
        <v/>
      </c>
      <c r="BL207" t="str">
        <f t="shared" si="1478"/>
        <v/>
      </c>
      <c r="BM207" t="str">
        <f t="shared" si="1479"/>
        <v/>
      </c>
      <c r="BN207" t="str">
        <f t="shared" si="1480"/>
        <v/>
      </c>
      <c r="BO207" t="str">
        <f t="shared" si="1481"/>
        <v/>
      </c>
      <c r="BP207" t="str">
        <f t="shared" si="1482"/>
        <v/>
      </c>
      <c r="BQ207" t="str">
        <f t="shared" si="1483"/>
        <v/>
      </c>
      <c r="BR207" t="str">
        <f t="shared" si="1484"/>
        <v/>
      </c>
      <c r="BS207" t="str">
        <f t="shared" si="1485"/>
        <v/>
      </c>
      <c r="BT207" t="str">
        <f t="shared" si="1486"/>
        <v/>
      </c>
      <c r="BU207" t="str">
        <f t="shared" si="1487"/>
        <v/>
      </c>
      <c r="BV207" t="str">
        <f t="shared" si="1488"/>
        <v/>
      </c>
      <c r="BW207" t="str">
        <f t="shared" si="1489"/>
        <v/>
      </c>
      <c r="BX207" t="str">
        <f t="shared" si="1490"/>
        <v/>
      </c>
      <c r="BY207" t="str">
        <f t="shared" si="1491"/>
        <v/>
      </c>
      <c r="BZ207" t="str">
        <f t="shared" si="1492"/>
        <v/>
      </c>
      <c r="CA207" t="str">
        <f t="shared" si="1493"/>
        <v/>
      </c>
      <c r="CB207" t="str">
        <f t="shared" si="1494"/>
        <v/>
      </c>
      <c r="CC207" t="str">
        <f t="shared" si="1495"/>
        <v/>
      </c>
      <c r="CD207" t="str">
        <f t="shared" si="1496"/>
        <v/>
      </c>
      <c r="CE207" t="str">
        <f t="shared" si="1497"/>
        <v/>
      </c>
      <c r="CF207" t="str">
        <f t="shared" si="1498"/>
        <v/>
      </c>
      <c r="CG207" t="str">
        <f t="shared" si="1499"/>
        <v/>
      </c>
      <c r="CH207" t="str">
        <f t="shared" si="1532"/>
        <v/>
      </c>
      <c r="CI207" t="str">
        <f t="shared" si="1533"/>
        <v/>
      </c>
      <c r="CJ207" t="str">
        <f>IF($CI207="","",IF(OR($DW207="",$DX207=""),"ONZEKER",IF(OR($CF207="",$CG207=""),"ONZEKER",IF(AND($DW207=$CF207+1,$DX207=$CG207),IF(OR(COUNTIF(#REF!,$B207)&gt;0,COUNTIF(#REF!,$B207)=0),"SKIP",IF(COUNTIFS(#REF!,$B207,#REF!,$CI207)&gt;0,"OK","ONBEKEND")),IF(AND($DW207=$CF207,$DX207=$CG207+1),IF(OR(COUNTIF(#REF!,$D207)&gt;0,COUNTIF(#REF!,$D207)=0),"SKIP",IF(COUNTIFS(#REF!,$D207,#REF!,$CI207)&gt;0,"OK","ONBEKEND")),"ONZEKER")))))</f>
        <v/>
      </c>
      <c r="CK207" t="str">
        <f t="shared" si="1534"/>
        <v/>
      </c>
      <c r="CL207" t="str">
        <f t="shared" si="1535"/>
        <v/>
      </c>
      <c r="CM207" t="str">
        <f>IF($CL207="","",IF(OR($DZ207="",$EA207=""),"ONZEKER",IF(OR($DW207="",$DX207=""),"ONZEKER",IF(AND($DZ207=$DW207+1,$EA207=$DX207),IF(OR(COUNTIF(#REF!,$B207)&gt;0,COUNTIF(#REF!,$B207)=0),"SKIP",IF(COUNTIFS(#REF!,$B207,#REF!,$CL207)&gt;0,"OK","ONBEKEND")),IF(AND($DZ207=$DW207,$EA207=$DX207+1),IF(OR(COUNTIF(#REF!,$D207)&gt;0,COUNTIF(#REF!,$D207)=0),"SKIP",IF(COUNTIFS(#REF!,$D207,#REF!,$CL207)&gt;0,"OK","ONBEKEND")),"ONZEKER")))))</f>
        <v/>
      </c>
      <c r="CN207" t="str">
        <f t="shared" si="1536"/>
        <v/>
      </c>
      <c r="CO207" t="str">
        <f t="shared" si="1537"/>
        <v/>
      </c>
      <c r="CP207" t="str">
        <f>IF($CO207="","",IF(OR($EC207="",$ED207=""),"ONZEKER",IF(OR($DZ207="",$EA207=""),"ONZEKER",IF(AND($EC207=$DZ207+1,$ED207=$EA207),IF(OR(COUNTIF(#REF!,$B207)&gt;0,COUNTIF(#REF!,$B207)=0),"SKIP",IF(COUNTIFS(#REF!,$B207,#REF!,$CO207)&gt;0,"OK","ONBEKEND")),IF(AND($EC207=$DZ207,$ED207=$EA207+1),IF(OR(COUNTIF(#REF!,$D207)&gt;0,COUNTIF(#REF!,$D207)=0),"SKIP",IF(COUNTIFS(#REF!,$D207,#REF!,$CO207)&gt;0,"OK","ONBEKEND")),"ONZEKER")))))</f>
        <v/>
      </c>
      <c r="CQ207" t="str">
        <f t="shared" si="1538"/>
        <v/>
      </c>
      <c r="CR207" t="str">
        <f t="shared" si="1539"/>
        <v/>
      </c>
      <c r="CS207" t="str">
        <f>IF($CR207="","",IF(OR($EF207="",$EG207=""),"ONZEKER",IF(OR($EC207="",$ED207=""),"ONZEKER",IF(AND($EF207=$EC207+1,$EG207=$ED207),IF(OR(COUNTIF(#REF!,$B207)&gt;0,COUNTIF(#REF!,$B207)=0),"SKIP",IF(COUNTIFS(#REF!,$B207,#REF!,$CR207)&gt;0,"OK","ONBEKEND")),IF(AND($EF207=$EC207,$EG207=$ED207+1),IF(OR(COUNTIF(#REF!,$D207)&gt;0,COUNTIF(#REF!,$D207)=0),"SKIP",IF(COUNTIFS(#REF!,$D207,#REF!,$CR207)&gt;0,"OK","ONBEKEND")),"ONZEKER")))))</f>
        <v/>
      </c>
      <c r="CT207" t="str">
        <f t="shared" si="1540"/>
        <v/>
      </c>
      <c r="CU207" t="str">
        <f t="shared" si="1541"/>
        <v/>
      </c>
      <c r="CV207" t="str">
        <f>IF($CU207="","",IF(OR($EI207="",$EJ207=""),"ONZEKER",IF(OR($EF207="",$EG207=""),"ONZEKER",IF(AND($EI207=$EF207+1,$EJ207=$EG207),IF(OR(COUNTIF(#REF!,$B207)&gt;0,COUNTIF(#REF!,$B207)=0),"SKIP",IF(COUNTIFS(#REF!,$B207,#REF!,$CU207)&gt;0,"OK","ONBEKEND")),IF(AND($EI207=$EF207,$EJ207=$EG207+1),IF(OR(COUNTIF(#REF!,$D207)&gt;0,COUNTIF(#REF!,$D207)=0),"SKIP",IF(COUNTIFS(#REF!,$D207,#REF!,$CU207)&gt;0,"OK","ONBEKEND")),"ONZEKER")))))</f>
        <v/>
      </c>
      <c r="CW207" t="str">
        <f t="shared" si="1542"/>
        <v/>
      </c>
      <c r="CX207" t="str">
        <f t="shared" si="1543"/>
        <v/>
      </c>
      <c r="CY207" t="str">
        <f>IF($CX207="","",IF(OR($EL207="",$EM207=""),"ONZEKER",IF(OR($EI207="",$EJ207=""),"ONZEKER",IF(AND($EL207=$EI207+1,$EM207=$EJ207),IF(OR(COUNTIF(#REF!,$B207)&gt;0,COUNTIF(#REF!,$B207)=0),"SKIP",IF(COUNTIFS(#REF!,$B207,#REF!,$CX207)&gt;0,"OK","ONBEKEND")),IF(AND($EL207=$EI207,$EM207=$EJ207+1),IF(OR(COUNTIF(#REF!,$D207)&gt;0,COUNTIF(#REF!,$D207)=0),"SKIP",IF(COUNTIFS(#REF!,$D207,#REF!,$CX207)&gt;0,"OK","ONBEKEND")),"ONZEKER")))))</f>
        <v/>
      </c>
      <c r="CZ207" t="str">
        <f t="shared" si="1544"/>
        <v/>
      </c>
      <c r="DA207" t="str">
        <f t="shared" si="1545"/>
        <v/>
      </c>
      <c r="DB207" t="str">
        <f>IF($DA207="","",IF(OR($EO207="",$EP207=""),"ONZEKER",IF(OR($EL207="",$EM207=""),"ONZEKER",IF(AND($EO207=$EL207+1,$EP207=$EM207),IF(OR(COUNTIF(#REF!,$B207)&gt;0,COUNTIF(#REF!,$B207)=0),"SKIP",IF(COUNTIFS(#REF!,$B207,#REF!,$DA207)&gt;0,"OK","ONBEKEND")),IF(AND($EO207=$EL207,$EP207=$EM207+1),IF(OR(COUNTIF(#REF!,$D207)&gt;0,COUNTIF(#REF!,$D207)=0),"SKIP",IF(COUNTIFS(#REF!,$D207,#REF!,$DA207)&gt;0,"OK","ONBEKEND")),"ONZEKER")))))</f>
        <v/>
      </c>
      <c r="DC207" t="str">
        <f t="shared" si="1546"/>
        <v/>
      </c>
      <c r="DD207" t="str">
        <f t="shared" si="1547"/>
        <v/>
      </c>
      <c r="DE207" t="str">
        <f>IF($DD207="","",IF(OR($ER207="",$ES207=""),"ONZEKER",IF(OR($EO207="",$EP207=""),"ONZEKER",IF(AND($ER207=$EO207+1,$ES207=$EP207),IF(OR(COUNTIF(#REF!,$B207)&gt;0,COUNTIF(#REF!,$B207)=0),"SKIP",IF(COUNTIFS(#REF!,$B207,#REF!,$DD207)&gt;0,"OK","ONBEKEND")),IF(AND($ER207=$EO207,$ES207=$EP207+1),IF(OR(COUNTIF(#REF!,$D207)&gt;0,COUNTIF(#REF!,$D207)=0),"SKIP",IF(COUNTIFS(#REF!,$D207,#REF!,$DD207)&gt;0,"OK","ONBEKEND")),"ONZEKER")))))</f>
        <v/>
      </c>
      <c r="DF207" t="str">
        <f t="shared" si="1548"/>
        <v/>
      </c>
      <c r="DG207" t="str">
        <f t="shared" si="1549"/>
        <v/>
      </c>
      <c r="DH207" t="str">
        <f>IF($DG207="","",IF(OR($EU207="",$EV207=""),"ONZEKER",IF(OR($ER207="",$ES207=""),"ONZEKER",IF(AND($EU207=$ER207+1,$EV207=$ES207),IF(OR(COUNTIF(#REF!,$B207)&gt;0,COUNTIF(#REF!,$B207)=0),"SKIP",IF(COUNTIFS(#REF!,$B207,#REF!,$DG207)&gt;0,"OK","ONBEKEND")),IF(AND($EU207=$ER207,$EV207=$ES207+1),IF(OR(COUNTIF(#REF!,$D207)&gt;0,COUNTIF(#REF!,$D207)=0),"SKIP",IF(COUNTIFS(#REF!,$D207,#REF!,$DG207)&gt;0,"OK","ONBEKEND")),"ONZEKER")))))</f>
        <v/>
      </c>
      <c r="DI207" t="str">
        <f t="shared" si="1550"/>
        <v/>
      </c>
      <c r="DJ207" t="str">
        <f t="shared" si="1551"/>
        <v/>
      </c>
      <c r="DK207" t="str">
        <f>IF($DJ207="","",IF(OR($EX207="",$EY207=""),"ONZEKER",IF(OR($EU207="",$EV207=""),"ONZEKER",IF(AND($EX207=$EU207+1,$EY207=$EV207),IF(OR(COUNTIF(#REF!,$B207)&gt;0,COUNTIF(#REF!,$B207)=0),"SKIP",IF(COUNTIFS(#REF!,$B207,#REF!,$DJ207)&gt;0,"OK","ONBEKEND")),IF(AND($EX207=$EU207,$EY207=$EV207+1),IF(OR(COUNTIF(#REF!,$D207)&gt;0,COUNTIF(#REF!,$D207)=0),"SKIP",IF(COUNTIFS(#REF!,$D207,#REF!,$DJ207)&gt;0,"OK","ONBEKEND")),"ONZEKER")))))</f>
        <v/>
      </c>
      <c r="DL207" t="str">
        <f t="shared" si="1552"/>
        <v/>
      </c>
      <c r="DM207" t="str">
        <f t="shared" si="1553"/>
        <v/>
      </c>
      <c r="DN207" t="str">
        <f t="shared" si="1554"/>
        <v/>
      </c>
      <c r="DO207" t="str">
        <f t="shared" si="1555"/>
        <v/>
      </c>
      <c r="DP207" t="str">
        <f t="shared" si="1556"/>
        <v/>
      </c>
      <c r="DQ207" t="str">
        <f t="shared" si="1557"/>
        <v/>
      </c>
      <c r="DR207" t="str">
        <f t="shared" si="1558"/>
        <v/>
      </c>
      <c r="DS207" t="str">
        <f t="shared" si="1559"/>
        <v/>
      </c>
      <c r="DT207" t="str">
        <f t="shared" si="1560"/>
        <v/>
      </c>
      <c r="DU207" t="str">
        <f t="shared" si="1561"/>
        <v/>
      </c>
      <c r="DV207" t="str">
        <f t="shared" si="1562"/>
        <v/>
      </c>
      <c r="DW207" t="str">
        <f t="shared" si="1563"/>
        <v/>
      </c>
      <c r="DX207" t="str">
        <f t="shared" si="1564"/>
        <v/>
      </c>
      <c r="DY207" t="str">
        <f t="shared" si="1565"/>
        <v/>
      </c>
      <c r="DZ207" t="str">
        <f t="shared" si="1566"/>
        <v/>
      </c>
      <c r="EA207" t="str">
        <f t="shared" si="1567"/>
        <v/>
      </c>
      <c r="EB207" t="str">
        <f t="shared" si="1568"/>
        <v/>
      </c>
      <c r="EC207" t="str">
        <f t="shared" si="1569"/>
        <v/>
      </c>
      <c r="ED207" t="str">
        <f t="shared" si="1570"/>
        <v/>
      </c>
      <c r="EE207" t="str">
        <f t="shared" si="1571"/>
        <v/>
      </c>
      <c r="EF207" t="str">
        <f t="shared" si="1572"/>
        <v/>
      </c>
      <c r="EG207" t="str">
        <f t="shared" si="1573"/>
        <v/>
      </c>
      <c r="EH207" t="str">
        <f t="shared" si="1574"/>
        <v/>
      </c>
      <c r="EI207" t="str">
        <f t="shared" si="1575"/>
        <v/>
      </c>
      <c r="EJ207" t="str">
        <f t="shared" si="1576"/>
        <v/>
      </c>
      <c r="EK207" t="str">
        <f t="shared" si="1577"/>
        <v/>
      </c>
      <c r="EL207" t="str">
        <f t="shared" si="1578"/>
        <v/>
      </c>
      <c r="EM207" t="str">
        <f t="shared" si="1579"/>
        <v/>
      </c>
      <c r="EN207" t="str">
        <f t="shared" si="1580"/>
        <v/>
      </c>
      <c r="EO207" t="str">
        <f t="shared" si="1581"/>
        <v/>
      </c>
      <c r="EP207" t="str">
        <f t="shared" si="1582"/>
        <v/>
      </c>
      <c r="EQ207" t="str">
        <f t="shared" si="1583"/>
        <v/>
      </c>
      <c r="ER207" t="str">
        <f t="shared" si="1584"/>
        <v/>
      </c>
      <c r="ES207" t="str">
        <f t="shared" si="1585"/>
        <v/>
      </c>
      <c r="ET207" t="str">
        <f t="shared" si="1586"/>
        <v/>
      </c>
      <c r="EU207" t="str">
        <f t="shared" si="1587"/>
        <v/>
      </c>
      <c r="EV207" t="str">
        <f t="shared" si="1588"/>
        <v/>
      </c>
      <c r="EW207" t="str">
        <f t="shared" si="1589"/>
        <v/>
      </c>
      <c r="EX207" t="str">
        <f t="shared" si="1590"/>
        <v/>
      </c>
      <c r="EY207" t="str">
        <f t="shared" si="1591"/>
        <v/>
      </c>
    </row>
    <row r="208" spans="1:155" ht="13.9" customHeight="1" x14ac:dyDescent="0.25">
      <c r="M208" s="3" t="str">
        <f>IF($L208="","",IF($L208="DOELPUNTENMAKERS","",IF(AND(COUNTIF(#REF!,$B208)=0,COUNTIF(#REF!,$D208)=0),"OK",IF($O208&gt;20,"LET OP: meer dan 20 items (controle onvolledig)",IF((COUNTIF($R208:$AS208,"ONZEKER")+COUNTIF($CJ208:$DK208,"ONZEKER"))&gt;0,"LET OP: scoreverloop onduidelijk (controle beperkt)",IF((IF($AT208&lt;&gt;"",$AT208&amp;", ","")&amp;IF($AU208&lt;&gt;"",$AU208&amp;", ","")&amp;IF($AV208&lt;&gt;"",$AV208&amp;", ","")&amp;IF($AW208&lt;&gt;"",$AW208&amp;", ","")&amp;IF($AX208&lt;&gt;"",$AX208&amp;", ","")&amp;IF($AY208&lt;&gt;"",$AY208&amp;", ","")&amp;IF($AZ208&lt;&gt;"",$AZ208&amp;", ","")&amp;IF($BA208&lt;&gt;"",$BA208&amp;", ","")&amp;IF($BB208&lt;&gt;"",$BB208&amp;", ","")&amp;IF($BC208&lt;&gt;"",$BC208&amp;", ","")&amp;IF($DL208&lt;&gt;"",$DL208&amp;", ","")&amp;IF($DM208&lt;&gt;"",$DM208&amp;", ","")&amp;IF($DN208&lt;&gt;"",$DN208&amp;", ","")&amp;IF($DO208&lt;&gt;"",$DO208&amp;", ","")&amp;IF($DP208&lt;&gt;"",$DP208&amp;", ","")&amp;IF($DQ208&lt;&gt;"",$DQ208&amp;", ","")&amp;IF($DR208&lt;&gt;"",$DR208&amp;", ","")&amp;IF($DS208&lt;&gt;"",$DS208&amp;", ","")&amp;IF($DT208&lt;&gt;"",$DT208&amp;", ","")&amp;IF($DU208&lt;&gt;"",$DU208&amp;", ",""))="","OK","Onbekend: "&amp;LEFT((IF($AT208&lt;&gt;"",$AT208&amp;", ","")&amp;IF($AU208&lt;&gt;"",$AU208&amp;", ","")&amp;IF($AV208&lt;&gt;"",$AV208&amp;", ","")&amp;IF($AW208&lt;&gt;"",$AW208&amp;", ","")&amp;IF($AX208&lt;&gt;"",$AX208&amp;", ","")&amp;IF($AY208&lt;&gt;"",$AY208&amp;", ","")&amp;IF($AZ208&lt;&gt;"",$AZ208&amp;", ","")&amp;IF($BA208&lt;&gt;"",$BA208&amp;", ","")&amp;IF($BB208&lt;&gt;"",$BB208&amp;", ","")&amp;IF($BC208&lt;&gt;"",$BC208&amp;", ","")&amp;IF($DL208&lt;&gt;"",$DL208&amp;", ","")&amp;IF($DM208&lt;&gt;"",$DM208&amp;", ","")&amp;IF($DN208&lt;&gt;"",$DN208&amp;", ","")&amp;IF($DO208&lt;&gt;"",$DO208&amp;", ","")&amp;IF($DP208&lt;&gt;"",$DP208&amp;", ","")&amp;IF($DQ208&lt;&gt;"",$DQ208&amp;", ","")&amp;IF($DR208&lt;&gt;"",$DR208&amp;", ","")&amp;IF($DS208&lt;&gt;"",$DS208&amp;", ","")&amp;IF($DT208&lt;&gt;"",$DT208&amp;", ","")&amp;IF($DU208&lt;&gt;"",$DU208&amp;", ","")),LEN((IF($AT208&lt;&gt;"",$AT208&amp;", ","")&amp;IF($AU208&lt;&gt;"",$AU208&amp;", ","")&amp;IF($AV208&lt;&gt;"",$AV208&amp;", ","")&amp;IF($AW208&lt;&gt;"",$AW208&amp;", ","")&amp;IF($AX208&lt;&gt;"",$AX208&amp;", ","")&amp;IF($AY208&lt;&gt;"",$AY208&amp;", ","")&amp;IF($AZ208&lt;&gt;"",$AZ208&amp;", ","")&amp;IF($BA208&lt;&gt;"",$BA208&amp;", ","")&amp;IF($BB208&lt;&gt;"",$BB208&amp;", ","")&amp;IF($BC208&lt;&gt;"",$BC208&amp;", ","")&amp;IF($DL208&lt;&gt;"",$DL208&amp;", ","")&amp;IF($DM208&lt;&gt;"",$DM208&amp;", ","")&amp;IF($DN208&lt;&gt;"",$DN208&amp;", ","")&amp;IF($DO208&lt;&gt;"",$DO208&amp;", ","")&amp;IF($DP208&lt;&gt;"",$DP208&amp;", ","")&amp;IF($DQ208&lt;&gt;"",$DQ208&amp;", ","")&amp;IF($DR208&lt;&gt;"",$DR208&amp;", ","")&amp;IF($DS208&lt;&gt;"",$DS208&amp;", ","")&amp;IF($DT208&lt;&gt;"",$DT208&amp;", ","")&amp;IF($DU208&lt;&gt;"",$DU208&amp;", ","")))-2)))))))</f>
        <v/>
      </c>
      <c r="N208" t="str">
        <f t="shared" si="1500"/>
        <v/>
      </c>
      <c r="O208" t="str">
        <f t="shared" si="1501"/>
        <v/>
      </c>
      <c r="P208" t="str">
        <f t="shared" si="1502"/>
        <v/>
      </c>
      <c r="Q208" t="str">
        <f t="shared" si="1503"/>
        <v/>
      </c>
      <c r="R208" t="str">
        <f>IF($Q208="","",IF(OR($BE208="",$BF208=""),"ONZEKER",IF(AND($BE208=0+1,$BF208=0),IF(OR(COUNTIF(#REF!,$B208)&gt;0,COUNTIF(#REF!,$B208)=0),"SKIP",IF(COUNTIFS(#REF!,$B208,#REF!,$Q208)&gt;0,"OK","ONBEKEND")),IF(AND($BE208=0,$BF208=0+1),IF(OR(COUNTIF(#REF!,$D208)&gt;0,COUNTIF(#REF!,$D208)=0),"SKIP",IF(COUNTIFS(#REF!,$D208,#REF!,$Q208)&gt;0,"OK","ONBEKEND")),"ONZEKER"))))</f>
        <v/>
      </c>
      <c r="S208" t="str">
        <f t="shared" si="1504"/>
        <v/>
      </c>
      <c r="T208" t="str">
        <f t="shared" si="1505"/>
        <v/>
      </c>
      <c r="U208" t="str">
        <f>IF($T208="","",IF(OR($BH208="",$BI208=""),"ONZEKER",IF(OR($BE208="",$BF208=""),"ONZEKER",IF(AND($BH208=$BE208+1,$BI208=$BF208),IF(OR(COUNTIF(#REF!,$B208)&gt;0,COUNTIF(#REF!,$B208)=0),"SKIP",IF(COUNTIFS(#REF!,$B208,#REF!,$T208)&gt;0,"OK","ONBEKEND")),IF(AND($BH208=$BE208,$BI208=$BF208+1),IF(OR(COUNTIF(#REF!,$D208)&gt;0,COUNTIF(#REF!,$D208)=0),"SKIP",IF(COUNTIFS(#REF!,$D208,#REF!,$T208)&gt;0,"OK","ONBEKEND")),"ONZEKER")))))</f>
        <v/>
      </c>
      <c r="V208" t="str">
        <f t="shared" si="1506"/>
        <v/>
      </c>
      <c r="W208" t="str">
        <f t="shared" si="1507"/>
        <v/>
      </c>
      <c r="X208" t="str">
        <f>IF($W208="","",IF(OR($BK208="",$BL208=""),"ONZEKER",IF(OR($BH208="",$BI208=""),"ONZEKER",IF(AND($BK208=$BH208+1,$BL208=$BI208),IF(OR(COUNTIF(#REF!,$B208)&gt;0,COUNTIF(#REF!,$B208)=0),"SKIP",IF(COUNTIFS(#REF!,$B208,#REF!,$W208)&gt;0,"OK","ONBEKEND")),IF(AND($BK208=$BH208,$BL208=$BI208+1),IF(OR(COUNTIF(#REF!,$D208)&gt;0,COUNTIF(#REF!,$D208)=0),"SKIP",IF(COUNTIFS(#REF!,$D208,#REF!,$W208)&gt;0,"OK","ONBEKEND")),"ONZEKER")))))</f>
        <v/>
      </c>
      <c r="Y208" t="str">
        <f t="shared" si="1508"/>
        <v/>
      </c>
      <c r="Z208" t="str">
        <f t="shared" si="1509"/>
        <v/>
      </c>
      <c r="AA208" t="str">
        <f>IF($Z208="","",IF(OR($BN208="",$BO208=""),"ONZEKER",IF(OR($BK208="",$BL208=""),"ONZEKER",IF(AND($BN208=$BK208+1,$BO208=$BL208),IF(OR(COUNTIF(#REF!,$B208)&gt;0,COUNTIF(#REF!,$B208)=0),"SKIP",IF(COUNTIFS(#REF!,$B208,#REF!,$Z208)&gt;0,"OK","ONBEKEND")),IF(AND($BN208=$BK208,$BO208=$BL208+1),IF(OR(COUNTIF(#REF!,$D208)&gt;0,COUNTIF(#REF!,$D208)=0),"SKIP",IF(COUNTIFS(#REF!,$D208,#REF!,$Z208)&gt;0,"OK","ONBEKEND")),"ONZEKER")))))</f>
        <v/>
      </c>
      <c r="AB208" t="str">
        <f t="shared" si="1510"/>
        <v/>
      </c>
      <c r="AC208" t="str">
        <f t="shared" si="1511"/>
        <v/>
      </c>
      <c r="AD208" t="str">
        <f>IF($AC208="","",IF(OR($BQ208="",$BR208=""),"ONZEKER",IF(OR($BN208="",$BO208=""),"ONZEKER",IF(AND($BQ208=$BN208+1,$BR208=$BO208),IF(OR(COUNTIF(#REF!,$B208)&gt;0,COUNTIF(#REF!,$B208)=0),"SKIP",IF(COUNTIFS(#REF!,$B208,#REF!,$AC208)&gt;0,"OK","ONBEKEND")),IF(AND($BQ208=$BN208,$BR208=$BO208+1),IF(OR(COUNTIF(#REF!,$D208)&gt;0,COUNTIF(#REF!,$D208)=0),"SKIP",IF(COUNTIFS(#REF!,$D208,#REF!,$AC208)&gt;0,"OK","ONBEKEND")),"ONZEKER")))))</f>
        <v/>
      </c>
      <c r="AE208" t="str">
        <f t="shared" si="1512"/>
        <v/>
      </c>
      <c r="AF208" t="str">
        <f t="shared" si="1513"/>
        <v/>
      </c>
      <c r="AG208" t="str">
        <f>IF($AF208="","",IF(OR($BT208="",$BU208=""),"ONZEKER",IF(OR($BQ208="",$BR208=""),"ONZEKER",IF(AND($BT208=$BQ208+1,$BU208=$BR208),IF(OR(COUNTIF(#REF!,$B208)&gt;0,COUNTIF(#REF!,$B208)=0),"SKIP",IF(COUNTIFS(#REF!,$B208,#REF!,$AF208)&gt;0,"OK","ONBEKEND")),IF(AND($BT208=$BQ208,$BU208=$BR208+1),IF(OR(COUNTIF(#REF!,$D208)&gt;0,COUNTIF(#REF!,$D208)=0),"SKIP",IF(COUNTIFS(#REF!,$D208,#REF!,$AF208)&gt;0,"OK","ONBEKEND")),"ONZEKER")))))</f>
        <v/>
      </c>
      <c r="AH208" t="str">
        <f t="shared" si="1514"/>
        <v/>
      </c>
      <c r="AI208" t="str">
        <f t="shared" si="1515"/>
        <v/>
      </c>
      <c r="AJ208" t="str">
        <f>IF($AI208="","",IF(OR($BW208="",$BX208=""),"ONZEKER",IF(OR($BT208="",$BU208=""),"ONZEKER",IF(AND($BW208=$BT208+1,$BX208=$BU208),IF(OR(COUNTIF(#REF!,$B208)&gt;0,COUNTIF(#REF!,$B208)=0),"SKIP",IF(COUNTIFS(#REF!,$B208,#REF!,$AI208)&gt;0,"OK","ONBEKEND")),IF(AND($BW208=$BT208,$BX208=$BU208+1),IF(OR(COUNTIF(#REF!,$D208)&gt;0,COUNTIF(#REF!,$D208)=0),"SKIP",IF(COUNTIFS(#REF!,$D208,#REF!,$AI208)&gt;0,"OK","ONBEKEND")),"ONZEKER")))))</f>
        <v/>
      </c>
      <c r="AK208" t="str">
        <f t="shared" si="1516"/>
        <v/>
      </c>
      <c r="AL208" t="str">
        <f t="shared" si="1517"/>
        <v/>
      </c>
      <c r="AM208" t="str">
        <f>IF($AL208="","",IF(OR($BZ208="",$CA208=""),"ONZEKER",IF(OR($BW208="",$BX208=""),"ONZEKER",IF(AND($BZ208=$BW208+1,$CA208=$BX208),IF(OR(COUNTIF(#REF!,$B208)&gt;0,COUNTIF(#REF!,$B208)=0),"SKIP",IF(COUNTIFS(#REF!,$B208,#REF!,$AL208)&gt;0,"OK","ONBEKEND")),IF(AND($BZ208=$BW208,$CA208=$BX208+1),IF(OR(COUNTIF(#REF!,$D208)&gt;0,COUNTIF(#REF!,$D208)=0),"SKIP",IF(COUNTIFS(#REF!,$D208,#REF!,$AL208)&gt;0,"OK","ONBEKEND")),"ONZEKER")))))</f>
        <v/>
      </c>
      <c r="AN208" t="str">
        <f t="shared" si="1518"/>
        <v/>
      </c>
      <c r="AO208" t="str">
        <f t="shared" si="1519"/>
        <v/>
      </c>
      <c r="AP208" t="str">
        <f>IF($AO208="","",IF(OR($CC208="",$CD208=""),"ONZEKER",IF(OR($BZ208="",$CA208=""),"ONZEKER",IF(AND($CC208=$BZ208+1,$CD208=$CA208),IF(OR(COUNTIF(#REF!,$B208)&gt;0,COUNTIF(#REF!,$B208)=0),"SKIP",IF(COUNTIFS(#REF!,$B208,#REF!,$AO208)&gt;0,"OK","ONBEKEND")),IF(AND($CC208=$BZ208,$CD208=$CA208+1),IF(OR(COUNTIF(#REF!,$D208)&gt;0,COUNTIF(#REF!,$D208)=0),"SKIP",IF(COUNTIFS(#REF!,$D208,#REF!,$AO208)&gt;0,"OK","ONBEKEND")),"ONZEKER")))))</f>
        <v/>
      </c>
      <c r="AQ208" t="str">
        <f t="shared" si="1520"/>
        <v/>
      </c>
      <c r="AR208" t="str">
        <f t="shared" si="1521"/>
        <v/>
      </c>
      <c r="AS208" t="str">
        <f>IF($AR208="","",IF(OR($CF208="",$CG208=""),"ONZEKER",IF(OR($CC208="",$CD208=""),"ONZEKER",IF(AND($CF208=$CC208+1,$CG208=$CD208),IF(OR(COUNTIF(#REF!,$B208)&gt;0,COUNTIF(#REF!,$B208)=0),"SKIP",IF(COUNTIFS(#REF!,$B208,#REF!,$AR208)&gt;0,"OK","ONBEKEND")),IF(AND($CF208=$CC208,$CG208=$CD208+1),IF(OR(COUNTIF(#REF!,$D208)&gt;0,COUNTIF(#REF!,$D208)=0),"SKIP",IF(COUNTIFS(#REF!,$D208,#REF!,$AR208)&gt;0,"OK","ONBEKEND")),"ONZEKER")))))</f>
        <v/>
      </c>
      <c r="AT208" t="str">
        <f t="shared" si="1522"/>
        <v/>
      </c>
      <c r="AU208" t="str">
        <f t="shared" si="1523"/>
        <v/>
      </c>
      <c r="AV208" t="str">
        <f t="shared" si="1524"/>
        <v/>
      </c>
      <c r="AW208" t="str">
        <f t="shared" si="1525"/>
        <v/>
      </c>
      <c r="AX208" t="str">
        <f t="shared" si="1526"/>
        <v/>
      </c>
      <c r="AY208" t="str">
        <f t="shared" si="1527"/>
        <v/>
      </c>
      <c r="AZ208" t="str">
        <f t="shared" si="1528"/>
        <v/>
      </c>
      <c r="BA208" t="str">
        <f t="shared" si="1529"/>
        <v/>
      </c>
      <c r="BB208" t="str">
        <f t="shared" si="1530"/>
        <v/>
      </c>
      <c r="BC208" t="str">
        <f t="shared" si="1531"/>
        <v/>
      </c>
      <c r="BD208" t="str">
        <f t="shared" si="1470"/>
        <v/>
      </c>
      <c r="BE208" t="str">
        <f t="shared" si="1471"/>
        <v/>
      </c>
      <c r="BF208" t="str">
        <f t="shared" si="1472"/>
        <v/>
      </c>
      <c r="BG208" t="str">
        <f t="shared" si="1473"/>
        <v/>
      </c>
      <c r="BH208" t="str">
        <f t="shared" si="1474"/>
        <v/>
      </c>
      <c r="BI208" t="str">
        <f t="shared" si="1475"/>
        <v/>
      </c>
      <c r="BJ208" t="str">
        <f t="shared" si="1476"/>
        <v/>
      </c>
      <c r="BK208" t="str">
        <f t="shared" si="1477"/>
        <v/>
      </c>
      <c r="BL208" t="str">
        <f t="shared" si="1478"/>
        <v/>
      </c>
      <c r="BM208" t="str">
        <f t="shared" si="1479"/>
        <v/>
      </c>
      <c r="BN208" t="str">
        <f t="shared" si="1480"/>
        <v/>
      </c>
      <c r="BO208" t="str">
        <f t="shared" si="1481"/>
        <v/>
      </c>
      <c r="BP208" t="str">
        <f t="shared" si="1482"/>
        <v/>
      </c>
      <c r="BQ208" t="str">
        <f t="shared" si="1483"/>
        <v/>
      </c>
      <c r="BR208" t="str">
        <f t="shared" si="1484"/>
        <v/>
      </c>
      <c r="BS208" t="str">
        <f t="shared" si="1485"/>
        <v/>
      </c>
      <c r="BT208" t="str">
        <f t="shared" si="1486"/>
        <v/>
      </c>
      <c r="BU208" t="str">
        <f t="shared" si="1487"/>
        <v/>
      </c>
      <c r="BV208" t="str">
        <f t="shared" si="1488"/>
        <v/>
      </c>
      <c r="BW208" t="str">
        <f t="shared" si="1489"/>
        <v/>
      </c>
      <c r="BX208" t="str">
        <f t="shared" si="1490"/>
        <v/>
      </c>
      <c r="BY208" t="str">
        <f t="shared" si="1491"/>
        <v/>
      </c>
      <c r="BZ208" t="str">
        <f t="shared" si="1492"/>
        <v/>
      </c>
      <c r="CA208" t="str">
        <f t="shared" si="1493"/>
        <v/>
      </c>
      <c r="CB208" t="str">
        <f t="shared" si="1494"/>
        <v/>
      </c>
      <c r="CC208" t="str">
        <f t="shared" si="1495"/>
        <v/>
      </c>
      <c r="CD208" t="str">
        <f t="shared" si="1496"/>
        <v/>
      </c>
      <c r="CE208" t="str">
        <f t="shared" si="1497"/>
        <v/>
      </c>
      <c r="CF208" t="str">
        <f t="shared" si="1498"/>
        <v/>
      </c>
      <c r="CG208" t="str">
        <f t="shared" si="1499"/>
        <v/>
      </c>
      <c r="CH208" t="str">
        <f t="shared" si="1532"/>
        <v/>
      </c>
      <c r="CI208" t="str">
        <f t="shared" si="1533"/>
        <v/>
      </c>
      <c r="CJ208" t="str">
        <f>IF($CI208="","",IF(OR($DW208="",$DX208=""),"ONZEKER",IF(OR($CF208="",$CG208=""),"ONZEKER",IF(AND($DW208=$CF208+1,$DX208=$CG208),IF(OR(COUNTIF(#REF!,$B208)&gt;0,COUNTIF(#REF!,$B208)=0),"SKIP",IF(COUNTIFS(#REF!,$B208,#REF!,$CI208)&gt;0,"OK","ONBEKEND")),IF(AND($DW208=$CF208,$DX208=$CG208+1),IF(OR(COUNTIF(#REF!,$D208)&gt;0,COUNTIF(#REF!,$D208)=0),"SKIP",IF(COUNTIFS(#REF!,$D208,#REF!,$CI208)&gt;0,"OK","ONBEKEND")),"ONZEKER")))))</f>
        <v/>
      </c>
      <c r="CK208" t="str">
        <f t="shared" si="1534"/>
        <v/>
      </c>
      <c r="CL208" t="str">
        <f t="shared" si="1535"/>
        <v/>
      </c>
      <c r="CM208" t="str">
        <f>IF($CL208="","",IF(OR($DZ208="",$EA208=""),"ONZEKER",IF(OR($DW208="",$DX208=""),"ONZEKER",IF(AND($DZ208=$DW208+1,$EA208=$DX208),IF(OR(COUNTIF(#REF!,$B208)&gt;0,COUNTIF(#REF!,$B208)=0),"SKIP",IF(COUNTIFS(#REF!,$B208,#REF!,$CL208)&gt;0,"OK","ONBEKEND")),IF(AND($DZ208=$DW208,$EA208=$DX208+1),IF(OR(COUNTIF(#REF!,$D208)&gt;0,COUNTIF(#REF!,$D208)=0),"SKIP",IF(COUNTIFS(#REF!,$D208,#REF!,$CL208)&gt;0,"OK","ONBEKEND")),"ONZEKER")))))</f>
        <v/>
      </c>
      <c r="CN208" t="str">
        <f t="shared" si="1536"/>
        <v/>
      </c>
      <c r="CO208" t="str">
        <f t="shared" si="1537"/>
        <v/>
      </c>
      <c r="CP208" t="str">
        <f>IF($CO208="","",IF(OR($EC208="",$ED208=""),"ONZEKER",IF(OR($DZ208="",$EA208=""),"ONZEKER",IF(AND($EC208=$DZ208+1,$ED208=$EA208),IF(OR(COUNTIF(#REF!,$B208)&gt;0,COUNTIF(#REF!,$B208)=0),"SKIP",IF(COUNTIFS(#REF!,$B208,#REF!,$CO208)&gt;0,"OK","ONBEKEND")),IF(AND($EC208=$DZ208,$ED208=$EA208+1),IF(OR(COUNTIF(#REF!,$D208)&gt;0,COUNTIF(#REF!,$D208)=0),"SKIP",IF(COUNTIFS(#REF!,$D208,#REF!,$CO208)&gt;0,"OK","ONBEKEND")),"ONZEKER")))))</f>
        <v/>
      </c>
      <c r="CQ208" t="str">
        <f t="shared" si="1538"/>
        <v/>
      </c>
      <c r="CR208" t="str">
        <f t="shared" si="1539"/>
        <v/>
      </c>
      <c r="CS208" t="str">
        <f>IF($CR208="","",IF(OR($EF208="",$EG208=""),"ONZEKER",IF(OR($EC208="",$ED208=""),"ONZEKER",IF(AND($EF208=$EC208+1,$EG208=$ED208),IF(OR(COUNTIF(#REF!,$B208)&gt;0,COUNTIF(#REF!,$B208)=0),"SKIP",IF(COUNTIFS(#REF!,$B208,#REF!,$CR208)&gt;0,"OK","ONBEKEND")),IF(AND($EF208=$EC208,$EG208=$ED208+1),IF(OR(COUNTIF(#REF!,$D208)&gt;0,COUNTIF(#REF!,$D208)=0),"SKIP",IF(COUNTIFS(#REF!,$D208,#REF!,$CR208)&gt;0,"OK","ONBEKEND")),"ONZEKER")))))</f>
        <v/>
      </c>
      <c r="CT208" t="str">
        <f t="shared" si="1540"/>
        <v/>
      </c>
      <c r="CU208" t="str">
        <f t="shared" si="1541"/>
        <v/>
      </c>
      <c r="CV208" t="str">
        <f>IF($CU208="","",IF(OR($EI208="",$EJ208=""),"ONZEKER",IF(OR($EF208="",$EG208=""),"ONZEKER",IF(AND($EI208=$EF208+1,$EJ208=$EG208),IF(OR(COUNTIF(#REF!,$B208)&gt;0,COUNTIF(#REF!,$B208)=0),"SKIP",IF(COUNTIFS(#REF!,$B208,#REF!,$CU208)&gt;0,"OK","ONBEKEND")),IF(AND($EI208=$EF208,$EJ208=$EG208+1),IF(OR(COUNTIF(#REF!,$D208)&gt;0,COUNTIF(#REF!,$D208)=0),"SKIP",IF(COUNTIFS(#REF!,$D208,#REF!,$CU208)&gt;0,"OK","ONBEKEND")),"ONZEKER")))))</f>
        <v/>
      </c>
      <c r="CW208" t="str">
        <f t="shared" si="1542"/>
        <v/>
      </c>
      <c r="CX208" t="str">
        <f t="shared" si="1543"/>
        <v/>
      </c>
      <c r="CY208" t="str">
        <f>IF($CX208="","",IF(OR($EL208="",$EM208=""),"ONZEKER",IF(OR($EI208="",$EJ208=""),"ONZEKER",IF(AND($EL208=$EI208+1,$EM208=$EJ208),IF(OR(COUNTIF(#REF!,$B208)&gt;0,COUNTIF(#REF!,$B208)=0),"SKIP",IF(COUNTIFS(#REF!,$B208,#REF!,$CX208)&gt;0,"OK","ONBEKEND")),IF(AND($EL208=$EI208,$EM208=$EJ208+1),IF(OR(COUNTIF(#REF!,$D208)&gt;0,COUNTIF(#REF!,$D208)=0),"SKIP",IF(COUNTIFS(#REF!,$D208,#REF!,$CX208)&gt;0,"OK","ONBEKEND")),"ONZEKER")))))</f>
        <v/>
      </c>
      <c r="CZ208" t="str">
        <f t="shared" si="1544"/>
        <v/>
      </c>
      <c r="DA208" t="str">
        <f t="shared" si="1545"/>
        <v/>
      </c>
      <c r="DB208" t="str">
        <f>IF($DA208="","",IF(OR($EO208="",$EP208=""),"ONZEKER",IF(OR($EL208="",$EM208=""),"ONZEKER",IF(AND($EO208=$EL208+1,$EP208=$EM208),IF(OR(COUNTIF(#REF!,$B208)&gt;0,COUNTIF(#REF!,$B208)=0),"SKIP",IF(COUNTIFS(#REF!,$B208,#REF!,$DA208)&gt;0,"OK","ONBEKEND")),IF(AND($EO208=$EL208,$EP208=$EM208+1),IF(OR(COUNTIF(#REF!,$D208)&gt;0,COUNTIF(#REF!,$D208)=0),"SKIP",IF(COUNTIFS(#REF!,$D208,#REF!,$DA208)&gt;0,"OK","ONBEKEND")),"ONZEKER")))))</f>
        <v/>
      </c>
      <c r="DC208" t="str">
        <f t="shared" si="1546"/>
        <v/>
      </c>
      <c r="DD208" t="str">
        <f t="shared" si="1547"/>
        <v/>
      </c>
      <c r="DE208" t="str">
        <f>IF($DD208="","",IF(OR($ER208="",$ES208=""),"ONZEKER",IF(OR($EO208="",$EP208=""),"ONZEKER",IF(AND($ER208=$EO208+1,$ES208=$EP208),IF(OR(COUNTIF(#REF!,$B208)&gt;0,COUNTIF(#REF!,$B208)=0),"SKIP",IF(COUNTIFS(#REF!,$B208,#REF!,$DD208)&gt;0,"OK","ONBEKEND")),IF(AND($ER208=$EO208,$ES208=$EP208+1),IF(OR(COUNTIF(#REF!,$D208)&gt;0,COUNTIF(#REF!,$D208)=0),"SKIP",IF(COUNTIFS(#REF!,$D208,#REF!,$DD208)&gt;0,"OK","ONBEKEND")),"ONZEKER")))))</f>
        <v/>
      </c>
      <c r="DF208" t="str">
        <f t="shared" si="1548"/>
        <v/>
      </c>
      <c r="DG208" t="str">
        <f t="shared" si="1549"/>
        <v/>
      </c>
      <c r="DH208" t="str">
        <f>IF($DG208="","",IF(OR($EU208="",$EV208=""),"ONZEKER",IF(OR($ER208="",$ES208=""),"ONZEKER",IF(AND($EU208=$ER208+1,$EV208=$ES208),IF(OR(COUNTIF(#REF!,$B208)&gt;0,COUNTIF(#REF!,$B208)=0),"SKIP",IF(COUNTIFS(#REF!,$B208,#REF!,$DG208)&gt;0,"OK","ONBEKEND")),IF(AND($EU208=$ER208,$EV208=$ES208+1),IF(OR(COUNTIF(#REF!,$D208)&gt;0,COUNTIF(#REF!,$D208)=0),"SKIP",IF(COUNTIFS(#REF!,$D208,#REF!,$DG208)&gt;0,"OK","ONBEKEND")),"ONZEKER")))))</f>
        <v/>
      </c>
      <c r="DI208" t="str">
        <f t="shared" si="1550"/>
        <v/>
      </c>
      <c r="DJ208" t="str">
        <f t="shared" si="1551"/>
        <v/>
      </c>
      <c r="DK208" t="str">
        <f>IF($DJ208="","",IF(OR($EX208="",$EY208=""),"ONZEKER",IF(OR($EU208="",$EV208=""),"ONZEKER",IF(AND($EX208=$EU208+1,$EY208=$EV208),IF(OR(COUNTIF(#REF!,$B208)&gt;0,COUNTIF(#REF!,$B208)=0),"SKIP",IF(COUNTIFS(#REF!,$B208,#REF!,$DJ208)&gt;0,"OK","ONBEKEND")),IF(AND($EX208=$EU208,$EY208=$EV208+1),IF(OR(COUNTIF(#REF!,$D208)&gt;0,COUNTIF(#REF!,$D208)=0),"SKIP",IF(COUNTIFS(#REF!,$D208,#REF!,$DJ208)&gt;0,"OK","ONBEKEND")),"ONZEKER")))))</f>
        <v/>
      </c>
      <c r="DL208" t="str">
        <f t="shared" si="1552"/>
        <v/>
      </c>
      <c r="DM208" t="str">
        <f t="shared" si="1553"/>
        <v/>
      </c>
      <c r="DN208" t="str">
        <f t="shared" si="1554"/>
        <v/>
      </c>
      <c r="DO208" t="str">
        <f t="shared" si="1555"/>
        <v/>
      </c>
      <c r="DP208" t="str">
        <f t="shared" si="1556"/>
        <v/>
      </c>
      <c r="DQ208" t="str">
        <f t="shared" si="1557"/>
        <v/>
      </c>
      <c r="DR208" t="str">
        <f t="shared" si="1558"/>
        <v/>
      </c>
      <c r="DS208" t="str">
        <f t="shared" si="1559"/>
        <v/>
      </c>
      <c r="DT208" t="str">
        <f t="shared" si="1560"/>
        <v/>
      </c>
      <c r="DU208" t="str">
        <f t="shared" si="1561"/>
        <v/>
      </c>
      <c r="DV208" t="str">
        <f t="shared" si="1562"/>
        <v/>
      </c>
      <c r="DW208" t="str">
        <f t="shared" si="1563"/>
        <v/>
      </c>
      <c r="DX208" t="str">
        <f t="shared" si="1564"/>
        <v/>
      </c>
      <c r="DY208" t="str">
        <f t="shared" si="1565"/>
        <v/>
      </c>
      <c r="DZ208" t="str">
        <f t="shared" si="1566"/>
        <v/>
      </c>
      <c r="EA208" t="str">
        <f t="shared" si="1567"/>
        <v/>
      </c>
      <c r="EB208" t="str">
        <f t="shared" si="1568"/>
        <v/>
      </c>
      <c r="EC208" t="str">
        <f t="shared" si="1569"/>
        <v/>
      </c>
      <c r="ED208" t="str">
        <f t="shared" si="1570"/>
        <v/>
      </c>
      <c r="EE208" t="str">
        <f t="shared" si="1571"/>
        <v/>
      </c>
      <c r="EF208" t="str">
        <f t="shared" si="1572"/>
        <v/>
      </c>
      <c r="EG208" t="str">
        <f t="shared" si="1573"/>
        <v/>
      </c>
      <c r="EH208" t="str">
        <f t="shared" si="1574"/>
        <v/>
      </c>
      <c r="EI208" t="str">
        <f t="shared" si="1575"/>
        <v/>
      </c>
      <c r="EJ208" t="str">
        <f t="shared" si="1576"/>
        <v/>
      </c>
      <c r="EK208" t="str">
        <f t="shared" si="1577"/>
        <v/>
      </c>
      <c r="EL208" t="str">
        <f t="shared" si="1578"/>
        <v/>
      </c>
      <c r="EM208" t="str">
        <f t="shared" si="1579"/>
        <v/>
      </c>
      <c r="EN208" t="str">
        <f t="shared" si="1580"/>
        <v/>
      </c>
      <c r="EO208" t="str">
        <f t="shared" si="1581"/>
        <v/>
      </c>
      <c r="EP208" t="str">
        <f t="shared" si="1582"/>
        <v/>
      </c>
      <c r="EQ208" t="str">
        <f t="shared" si="1583"/>
        <v/>
      </c>
      <c r="ER208" t="str">
        <f t="shared" si="1584"/>
        <v/>
      </c>
      <c r="ES208" t="str">
        <f t="shared" si="1585"/>
        <v/>
      </c>
      <c r="ET208" t="str">
        <f t="shared" si="1586"/>
        <v/>
      </c>
      <c r="EU208" t="str">
        <f t="shared" si="1587"/>
        <v/>
      </c>
      <c r="EV208" t="str">
        <f t="shared" si="1588"/>
        <v/>
      </c>
      <c r="EW208" t="str">
        <f t="shared" si="1589"/>
        <v/>
      </c>
      <c r="EX208" t="str">
        <f t="shared" si="1590"/>
        <v/>
      </c>
      <c r="EY208" t="str">
        <f t="shared" si="1591"/>
        <v/>
      </c>
    </row>
    <row r="209" spans="1:155" ht="13.9" customHeight="1" x14ac:dyDescent="0.25">
      <c r="A209" s="14"/>
      <c r="B209" s="15" t="s">
        <v>159</v>
      </c>
      <c r="C209" s="16"/>
      <c r="D209" s="16"/>
      <c r="E209" s="16"/>
      <c r="F209" s="31" t="s">
        <v>1</v>
      </c>
      <c r="G209" s="33"/>
      <c r="H209" s="33"/>
      <c r="I209" s="32" t="s">
        <v>2</v>
      </c>
      <c r="J209" s="33"/>
      <c r="K209" s="33"/>
      <c r="L209" s="6" t="s">
        <v>3</v>
      </c>
      <c r="M209" s="2" t="s">
        <v>4</v>
      </c>
      <c r="N209" s="2" t="s">
        <v>5</v>
      </c>
      <c r="O209" s="2" t="s">
        <v>6</v>
      </c>
      <c r="P209" s="2" t="s">
        <v>7</v>
      </c>
      <c r="Q209" s="2" t="s">
        <v>8</v>
      </c>
      <c r="R209" s="2" t="str">
        <f>IF($Q209="","",IF(OR($BE209="",$BF209=""),"ONZEKER",IF(AND($BE209=0+1,$BF209=0),IF(OR(COUNTIF(#REF!,$B209)&gt;0,COUNTIF(#REF!,$B209)=0),"SKIP",IF(COUNTIFS(#REF!,$B209,#REF!,$Q209)&gt;0,"OK","ONBEKEND")),IF(AND($BE209=0,$BF209=0+1),IF(OR(COUNTIF(#REF!,$D209)&gt;0,COUNTIF(#REF!,$D209)=0),"SKIP",IF(COUNTIFS(#REF!,$D209,#REF!,$Q209)&gt;0,"OK","ONBEKEND")),"ONZEKER"))))</f>
        <v>ONZEKER</v>
      </c>
      <c r="S209" s="2" t="s">
        <v>10</v>
      </c>
      <c r="T209" s="2" t="s">
        <v>11</v>
      </c>
      <c r="U209" s="2" t="str">
        <f>IF($T209="","",IF(OR($BH209="",$BI209=""),"ONZEKER",IF(OR($BE209="",$BF209=""),"ONZEKER",IF(AND($BH209=$BE209+1,$BI209=$BF209),IF(OR(COUNTIF(#REF!,$B209)&gt;0,COUNTIF(#REF!,$B209)=0),"SKIP",IF(COUNTIFS(#REF!,$B209,#REF!,$T209)&gt;0,"OK","ONBEKEND")),IF(AND($BH209=$BE209,$BI209=$BF209+1),IF(OR(COUNTIF(#REF!,$D209)&gt;0,COUNTIF(#REF!,$D209)=0),"SKIP",IF(COUNTIFS(#REF!,$D209,#REF!,$T209)&gt;0,"OK","ONBEKEND")),"ONZEKER")))))</f>
        <v>ONZEKER</v>
      </c>
      <c r="V209" s="2" t="s">
        <v>13</v>
      </c>
      <c r="W209" s="2" t="s">
        <v>14</v>
      </c>
      <c r="X209" s="2" t="str">
        <f>IF($W209="","",IF(OR($BK209="",$BL209=""),"ONZEKER",IF(OR($BH209="",$BI209=""),"ONZEKER",IF(AND($BK209=$BH209+1,$BL209=$BI209),IF(OR(COUNTIF(#REF!,$B209)&gt;0,COUNTIF(#REF!,$B209)=0),"SKIP",IF(COUNTIFS(#REF!,$B209,#REF!,$W209)&gt;0,"OK","ONBEKEND")),IF(AND($BK209=$BH209,$BL209=$BI209+1),IF(OR(COUNTIF(#REF!,$D209)&gt;0,COUNTIF(#REF!,$D209)=0),"SKIP",IF(COUNTIFS(#REF!,$D209,#REF!,$W209)&gt;0,"OK","ONBEKEND")),"ONZEKER")))))</f>
        <v>ONZEKER</v>
      </c>
      <c r="Y209" s="2" t="s">
        <v>16</v>
      </c>
      <c r="Z209" s="2" t="s">
        <v>17</v>
      </c>
      <c r="AA209" s="2" t="str">
        <f>IF($Z209="","",IF(OR($BN209="",$BO209=""),"ONZEKER",IF(OR($BK209="",$BL209=""),"ONZEKER",IF(AND($BN209=$BK209+1,$BO209=$BL209),IF(OR(COUNTIF(#REF!,$B209)&gt;0,COUNTIF(#REF!,$B209)=0),"SKIP",IF(COUNTIFS(#REF!,$B209,#REF!,$Z209)&gt;0,"OK","ONBEKEND")),IF(AND($BN209=$BK209,$BO209=$BL209+1),IF(OR(COUNTIF(#REF!,$D209)&gt;0,COUNTIF(#REF!,$D209)=0),"SKIP",IF(COUNTIFS(#REF!,$D209,#REF!,$Z209)&gt;0,"OK","ONBEKEND")),"ONZEKER")))))</f>
        <v>ONZEKER</v>
      </c>
      <c r="AB209" s="2" t="s">
        <v>19</v>
      </c>
      <c r="AC209" s="2" t="s">
        <v>20</v>
      </c>
      <c r="AD209" s="2" t="str">
        <f>IF($AC209="","",IF(OR($BQ209="",$BR209=""),"ONZEKER",IF(OR($BN209="",$BO209=""),"ONZEKER",IF(AND($BQ209=$BN209+1,$BR209=$BO209),IF(OR(COUNTIF(#REF!,$B209)&gt;0,COUNTIF(#REF!,$B209)=0),"SKIP",IF(COUNTIFS(#REF!,$B209,#REF!,$AC209)&gt;0,"OK","ONBEKEND")),IF(AND($BQ209=$BN209,$BR209=$BO209+1),IF(OR(COUNTIF(#REF!,$D209)&gt;0,COUNTIF(#REF!,$D209)=0),"SKIP",IF(COUNTIFS(#REF!,$D209,#REF!,$AC209)&gt;0,"OK","ONBEKEND")),"ONZEKER")))))</f>
        <v>ONZEKER</v>
      </c>
      <c r="AE209" s="2" t="s">
        <v>22</v>
      </c>
      <c r="AF209" s="2" t="s">
        <v>23</v>
      </c>
      <c r="AG209" s="2" t="str">
        <f>IF($AF209="","",IF(OR($BT209="",$BU209=""),"ONZEKER",IF(OR($BQ209="",$BR209=""),"ONZEKER",IF(AND($BT209=$BQ209+1,$BU209=$BR209),IF(OR(COUNTIF(#REF!,$B209)&gt;0,COUNTIF(#REF!,$B209)=0),"SKIP",IF(COUNTIFS(#REF!,$B209,#REF!,$AF209)&gt;0,"OK","ONBEKEND")),IF(AND($BT209=$BQ209,$BU209=$BR209+1),IF(OR(COUNTIF(#REF!,$D209)&gt;0,COUNTIF(#REF!,$D209)=0),"SKIP",IF(COUNTIFS(#REF!,$D209,#REF!,$AF209)&gt;0,"OK","ONBEKEND")),"ONZEKER")))))</f>
        <v>ONZEKER</v>
      </c>
      <c r="AH209" s="2" t="s">
        <v>25</v>
      </c>
      <c r="AI209" s="2" t="s">
        <v>26</v>
      </c>
      <c r="AJ209" s="2" t="str">
        <f>IF($AI209="","",IF(OR($BW209="",$BX209=""),"ONZEKER",IF(OR($BT209="",$BU209=""),"ONZEKER",IF(AND($BW209=$BT209+1,$BX209=$BU209),IF(OR(COUNTIF(#REF!,$B209)&gt;0,COUNTIF(#REF!,$B209)=0),"SKIP",IF(COUNTIFS(#REF!,$B209,#REF!,$AI209)&gt;0,"OK","ONBEKEND")),IF(AND($BW209=$BT209,$BX209=$BU209+1),IF(OR(COUNTIF(#REF!,$D209)&gt;0,COUNTIF(#REF!,$D209)=0),"SKIP",IF(COUNTIFS(#REF!,$D209,#REF!,$AI209)&gt;0,"OK","ONBEKEND")),"ONZEKER")))))</f>
        <v>ONZEKER</v>
      </c>
      <c r="AK209" s="2" t="s">
        <v>28</v>
      </c>
      <c r="AL209" s="2" t="s">
        <v>29</v>
      </c>
      <c r="AM209" s="2" t="str">
        <f>IF($AL209="","",IF(OR($BZ209="",$CA209=""),"ONZEKER",IF(OR($BW209="",$BX209=""),"ONZEKER",IF(AND($BZ209=$BW209+1,$CA209=$BX209),IF(OR(COUNTIF(#REF!,$B209)&gt;0,COUNTIF(#REF!,$B209)=0),"SKIP",IF(COUNTIFS(#REF!,$B209,#REF!,$AL209)&gt;0,"OK","ONBEKEND")),IF(AND($BZ209=$BW209,$CA209=$BX209+1),IF(OR(COUNTIF(#REF!,$D209)&gt;0,COUNTIF(#REF!,$D209)=0),"SKIP",IF(COUNTIFS(#REF!,$D209,#REF!,$AL209)&gt;0,"OK","ONBEKEND")),"ONZEKER")))))</f>
        <v>ONZEKER</v>
      </c>
      <c r="AN209" s="2" t="s">
        <v>31</v>
      </c>
      <c r="AO209" s="2" t="s">
        <v>32</v>
      </c>
      <c r="AP209" s="2" t="str">
        <f>IF($AO209="","",IF(OR($CC209="",$CD209=""),"ONZEKER",IF(OR($BZ209="",$CA209=""),"ONZEKER",IF(AND($CC209=$BZ209+1,$CD209=$CA209),IF(OR(COUNTIF(#REF!,$B209)&gt;0,COUNTIF(#REF!,$B209)=0),"SKIP",IF(COUNTIFS(#REF!,$B209,#REF!,$AO209)&gt;0,"OK","ONBEKEND")),IF(AND($CC209=$BZ209,$CD209=$CA209+1),IF(OR(COUNTIF(#REF!,$D209)&gt;0,COUNTIF(#REF!,$D209)=0),"SKIP",IF(COUNTIFS(#REF!,$D209,#REF!,$AO209)&gt;0,"OK","ONBEKEND")),"ONZEKER")))))</f>
        <v>ONZEKER</v>
      </c>
      <c r="AQ209" s="2" t="s">
        <v>34</v>
      </c>
      <c r="AR209" s="2" t="s">
        <v>35</v>
      </c>
      <c r="AS209" s="2" t="str">
        <f>IF($AR209="","",IF(OR($CF209="",$CG209=""),"ONZEKER",IF(OR($CC209="",$CD209=""),"ONZEKER",IF(AND($CF209=$CC209+1,$CG209=$CD209),IF(OR(COUNTIF(#REF!,$B209)&gt;0,COUNTIF(#REF!,$B209)=0),"SKIP",IF(COUNTIFS(#REF!,$B209,#REF!,$AR209)&gt;0,"OK","ONBEKEND")),IF(AND($CF209=$CC209,$CG209=$CD209+1),IF(OR(COUNTIF(#REF!,$D209)&gt;0,COUNTIF(#REF!,$D209)=0),"SKIP",IF(COUNTIFS(#REF!,$D209,#REF!,$AR209)&gt;0,"OK","ONBEKEND")),"ONZEKER")))))</f>
        <v>ONZEKER</v>
      </c>
      <c r="AT209" s="2" t="s">
        <v>37</v>
      </c>
      <c r="AU209" s="2" t="s">
        <v>38</v>
      </c>
      <c r="AV209" s="2" t="s">
        <v>39</v>
      </c>
      <c r="AW209" s="2" t="s">
        <v>40</v>
      </c>
      <c r="AX209" s="2" t="s">
        <v>41</v>
      </c>
      <c r="AY209" s="2" t="s">
        <v>42</v>
      </c>
      <c r="AZ209" s="2" t="s">
        <v>43</v>
      </c>
      <c r="BA209" s="2" t="s">
        <v>44</v>
      </c>
      <c r="BB209" s="2" t="s">
        <v>45</v>
      </c>
      <c r="BC209" s="2" t="s">
        <v>46</v>
      </c>
      <c r="BD209" t="str">
        <f t="shared" si="1470"/>
        <v/>
      </c>
      <c r="BE209" t="str">
        <f t="shared" si="1471"/>
        <v/>
      </c>
      <c r="BF209" t="str">
        <f t="shared" si="1472"/>
        <v/>
      </c>
      <c r="BG209" t="str">
        <f t="shared" si="1473"/>
        <v/>
      </c>
      <c r="BH209" t="str">
        <f t="shared" si="1474"/>
        <v/>
      </c>
      <c r="BI209" t="str">
        <f t="shared" si="1475"/>
        <v/>
      </c>
      <c r="BJ209" t="str">
        <f t="shared" si="1476"/>
        <v/>
      </c>
      <c r="BK209" t="str">
        <f t="shared" si="1477"/>
        <v/>
      </c>
      <c r="BL209" t="str">
        <f t="shared" si="1478"/>
        <v/>
      </c>
      <c r="BM209" t="str">
        <f t="shared" si="1479"/>
        <v/>
      </c>
      <c r="BN209" t="str">
        <f t="shared" si="1480"/>
        <v/>
      </c>
      <c r="BO209" t="str">
        <f t="shared" si="1481"/>
        <v/>
      </c>
      <c r="BP209" t="str">
        <f t="shared" si="1482"/>
        <v/>
      </c>
      <c r="BQ209" t="str">
        <f t="shared" si="1483"/>
        <v/>
      </c>
      <c r="BR209" t="str">
        <f t="shared" si="1484"/>
        <v/>
      </c>
      <c r="BS209" t="str">
        <f t="shared" si="1485"/>
        <v/>
      </c>
      <c r="BT209" t="str">
        <f t="shared" si="1486"/>
        <v/>
      </c>
      <c r="BU209" t="str">
        <f t="shared" si="1487"/>
        <v/>
      </c>
      <c r="BV209" t="str">
        <f t="shared" si="1488"/>
        <v/>
      </c>
      <c r="BW209" t="str">
        <f t="shared" si="1489"/>
        <v/>
      </c>
      <c r="BX209" t="str">
        <f t="shared" si="1490"/>
        <v/>
      </c>
      <c r="BY209" t="str">
        <f t="shared" si="1491"/>
        <v/>
      </c>
      <c r="BZ209" t="str">
        <f t="shared" si="1492"/>
        <v/>
      </c>
      <c r="CA209" t="str">
        <f t="shared" si="1493"/>
        <v/>
      </c>
      <c r="CB209" t="str">
        <f t="shared" si="1494"/>
        <v/>
      </c>
      <c r="CC209" t="str">
        <f t="shared" si="1495"/>
        <v/>
      </c>
      <c r="CD209" t="str">
        <f t="shared" si="1496"/>
        <v/>
      </c>
      <c r="CE209" t="str">
        <f t="shared" si="1497"/>
        <v/>
      </c>
      <c r="CF209" t="str">
        <f t="shared" si="1498"/>
        <v/>
      </c>
      <c r="CG209" t="str">
        <f t="shared" si="1499"/>
        <v/>
      </c>
      <c r="CH209" s="2" t="s">
        <v>77</v>
      </c>
      <c r="CI209" s="2" t="s">
        <v>78</v>
      </c>
      <c r="CJ209" s="2" t="s">
        <v>79</v>
      </c>
      <c r="CK209" s="2" t="s">
        <v>80</v>
      </c>
      <c r="CL209" s="2" t="s">
        <v>81</v>
      </c>
      <c r="CM209" s="2" t="s">
        <v>82</v>
      </c>
      <c r="CN209" s="2" t="s">
        <v>83</v>
      </c>
      <c r="CO209" s="2" t="s">
        <v>84</v>
      </c>
      <c r="CP209" s="2" t="s">
        <v>85</v>
      </c>
      <c r="CQ209" s="2" t="s">
        <v>86</v>
      </c>
      <c r="CR209" s="2" t="s">
        <v>87</v>
      </c>
      <c r="CS209" s="2" t="s">
        <v>88</v>
      </c>
      <c r="CT209" s="2" t="s">
        <v>89</v>
      </c>
      <c r="CU209" s="2" t="s">
        <v>90</v>
      </c>
      <c r="CV209" s="2" t="s">
        <v>91</v>
      </c>
      <c r="CW209" s="2" t="s">
        <v>92</v>
      </c>
      <c r="CX209" s="2" t="s">
        <v>93</v>
      </c>
      <c r="CY209" s="2" t="s">
        <v>94</v>
      </c>
      <c r="CZ209" s="2" t="s">
        <v>95</v>
      </c>
      <c r="DA209" s="2" t="s">
        <v>96</v>
      </c>
      <c r="DB209" s="2" t="s">
        <v>97</v>
      </c>
      <c r="DC209" s="2" t="s">
        <v>98</v>
      </c>
      <c r="DD209" s="2" t="s">
        <v>99</v>
      </c>
      <c r="DE209" s="2" t="s">
        <v>100</v>
      </c>
      <c r="DF209" s="2" t="s">
        <v>101</v>
      </c>
      <c r="DG209" s="2" t="s">
        <v>102</v>
      </c>
      <c r="DH209" s="2" t="s">
        <v>103</v>
      </c>
      <c r="DI209" s="2" t="s">
        <v>104</v>
      </c>
      <c r="DJ209" s="2" t="s">
        <v>105</v>
      </c>
      <c r="DK209" s="2" t="s">
        <v>106</v>
      </c>
      <c r="DL209" s="2" t="s">
        <v>107</v>
      </c>
      <c r="DM209" s="2" t="s">
        <v>108</v>
      </c>
      <c r="DN209" s="2" t="s">
        <v>109</v>
      </c>
      <c r="DO209" s="2" t="s">
        <v>110</v>
      </c>
      <c r="DP209" s="2" t="s">
        <v>111</v>
      </c>
      <c r="DQ209" s="2" t="s">
        <v>112</v>
      </c>
      <c r="DR209" s="2" t="s">
        <v>113</v>
      </c>
      <c r="DS209" s="2" t="s">
        <v>114</v>
      </c>
      <c r="DT209" s="2" t="s">
        <v>115</v>
      </c>
      <c r="DU209" s="2" t="s">
        <v>116</v>
      </c>
      <c r="DV209" s="2" t="s">
        <v>117</v>
      </c>
      <c r="DW209" s="2" t="s">
        <v>118</v>
      </c>
      <c r="DX209" s="2" t="s">
        <v>119</v>
      </c>
      <c r="DY209" s="2" t="s">
        <v>120</v>
      </c>
      <c r="DZ209" s="2" t="s">
        <v>121</v>
      </c>
      <c r="EA209" s="2" t="s">
        <v>122</v>
      </c>
      <c r="EB209" s="2" t="s">
        <v>123</v>
      </c>
      <c r="EC209" s="2" t="s">
        <v>124</v>
      </c>
      <c r="ED209" s="2" t="s">
        <v>125</v>
      </c>
      <c r="EE209" s="2" t="s">
        <v>126</v>
      </c>
      <c r="EF209" s="2" t="s">
        <v>127</v>
      </c>
      <c r="EG209" s="2" t="s">
        <v>128</v>
      </c>
      <c r="EH209" s="2" t="s">
        <v>129</v>
      </c>
      <c r="EI209" s="2" t="s">
        <v>130</v>
      </c>
      <c r="EJ209" s="2" t="s">
        <v>131</v>
      </c>
      <c r="EK209" s="2" t="s">
        <v>132</v>
      </c>
      <c r="EL209" s="2" t="s">
        <v>133</v>
      </c>
      <c r="EM209" s="2" t="s">
        <v>134</v>
      </c>
      <c r="EN209" s="2" t="s">
        <v>135</v>
      </c>
      <c r="EO209" s="2" t="s">
        <v>136</v>
      </c>
      <c r="EP209" s="2" t="s">
        <v>137</v>
      </c>
      <c r="EQ209" s="2" t="s">
        <v>138</v>
      </c>
      <c r="ER209" s="2" t="s">
        <v>139</v>
      </c>
      <c r="ES209" s="2" t="s">
        <v>140</v>
      </c>
      <c r="ET209" s="2" t="s">
        <v>141</v>
      </c>
      <c r="EU209" s="2" t="s">
        <v>142</v>
      </c>
      <c r="EV209" s="2" t="s">
        <v>143</v>
      </c>
      <c r="EW209" s="2" t="s">
        <v>144</v>
      </c>
      <c r="EX209" s="2" t="s">
        <v>145</v>
      </c>
      <c r="EY209" s="2" t="s">
        <v>146</v>
      </c>
    </row>
    <row r="210" spans="1:155" ht="13.9" customHeight="1" x14ac:dyDescent="0.25">
      <c r="A210" s="7"/>
      <c r="B210" s="17"/>
      <c r="C210" s="8"/>
      <c r="D210" s="17"/>
      <c r="E210" s="8"/>
      <c r="F210" s="18">
        <v>0</v>
      </c>
      <c r="G210" s="7" t="s">
        <v>147</v>
      </c>
      <c r="H210" s="18">
        <v>0</v>
      </c>
      <c r="I210" s="19">
        <v>0</v>
      </c>
      <c r="J210" s="7" t="s">
        <v>147</v>
      </c>
      <c r="K210" s="19">
        <v>0</v>
      </c>
      <c r="L210" s="9"/>
      <c r="M210" s="3" t="str">
        <f>IF($L210="","",IF($L210="DOELPUNTENMAKERS","",IF(AND(COUNTIF(#REF!,$B210)=0,COUNTIF(#REF!,$D210)=0),"OK",IF($O210&gt;20,"LET OP: meer dan 20 items (controle onvolledig)",IF((COUNTIF($R210:$AS210,"ONZEKER")+COUNTIF($CJ210:$DK210,"ONZEKER"))&gt;0,"LET OP: scoreverloop onduidelijk (controle beperkt)",IF((IF($AT210&lt;&gt;"",$AT210&amp;", ","")&amp;IF($AU210&lt;&gt;"",$AU210&amp;", ","")&amp;IF($AV210&lt;&gt;"",$AV210&amp;", ","")&amp;IF($AW210&lt;&gt;"",$AW210&amp;", ","")&amp;IF($AX210&lt;&gt;"",$AX210&amp;", ","")&amp;IF($AY210&lt;&gt;"",$AY210&amp;", ","")&amp;IF($AZ210&lt;&gt;"",$AZ210&amp;", ","")&amp;IF($BA210&lt;&gt;"",$BA210&amp;", ","")&amp;IF($BB210&lt;&gt;"",$BB210&amp;", ","")&amp;IF($BC210&lt;&gt;"",$BC210&amp;", ","")&amp;IF($DL210&lt;&gt;"",$DL210&amp;", ","")&amp;IF($DM210&lt;&gt;"",$DM210&amp;", ","")&amp;IF($DN210&lt;&gt;"",$DN210&amp;", ","")&amp;IF($DO210&lt;&gt;"",$DO210&amp;", ","")&amp;IF($DP210&lt;&gt;"",$DP210&amp;", ","")&amp;IF($DQ210&lt;&gt;"",$DQ210&amp;", ","")&amp;IF($DR210&lt;&gt;"",$DR210&amp;", ","")&amp;IF($DS210&lt;&gt;"",$DS210&amp;", ","")&amp;IF($DT210&lt;&gt;"",$DT210&amp;", ","")&amp;IF($DU210&lt;&gt;"",$DU210&amp;", ",""))="","OK","Onbekend: "&amp;LEFT((IF($AT210&lt;&gt;"",$AT210&amp;", ","")&amp;IF($AU210&lt;&gt;"",$AU210&amp;", ","")&amp;IF($AV210&lt;&gt;"",$AV210&amp;", ","")&amp;IF($AW210&lt;&gt;"",$AW210&amp;", ","")&amp;IF($AX210&lt;&gt;"",$AX210&amp;", ","")&amp;IF($AY210&lt;&gt;"",$AY210&amp;", ","")&amp;IF($AZ210&lt;&gt;"",$AZ210&amp;", ","")&amp;IF($BA210&lt;&gt;"",$BA210&amp;", ","")&amp;IF($BB210&lt;&gt;"",$BB210&amp;", ","")&amp;IF($BC210&lt;&gt;"",$BC210&amp;", ","")&amp;IF($DL210&lt;&gt;"",$DL210&amp;", ","")&amp;IF($DM210&lt;&gt;"",$DM210&amp;", ","")&amp;IF($DN210&lt;&gt;"",$DN210&amp;", ","")&amp;IF($DO210&lt;&gt;"",$DO210&amp;", ","")&amp;IF($DP210&lt;&gt;"",$DP210&amp;", ","")&amp;IF($DQ210&lt;&gt;"",$DQ210&amp;", ","")&amp;IF($DR210&lt;&gt;"",$DR210&amp;", ","")&amp;IF($DS210&lt;&gt;"",$DS210&amp;", ","")&amp;IF($DT210&lt;&gt;"",$DT210&amp;", ","")&amp;IF($DU210&lt;&gt;"",$DU210&amp;", ","")),LEN((IF($AT210&lt;&gt;"",$AT210&amp;", ","")&amp;IF($AU210&lt;&gt;"",$AU210&amp;", ","")&amp;IF($AV210&lt;&gt;"",$AV210&amp;", ","")&amp;IF($AW210&lt;&gt;"",$AW210&amp;", ","")&amp;IF($AX210&lt;&gt;"",$AX210&amp;", ","")&amp;IF($AY210&lt;&gt;"",$AY210&amp;", ","")&amp;IF($AZ210&lt;&gt;"",$AZ210&amp;", ","")&amp;IF($BA210&lt;&gt;"",$BA210&amp;", ","")&amp;IF($BB210&lt;&gt;"",$BB210&amp;", ","")&amp;IF($BC210&lt;&gt;"",$BC210&amp;", ","")&amp;IF($DL210&lt;&gt;"",$DL210&amp;", ","")&amp;IF($DM210&lt;&gt;"",$DM210&amp;", ","")&amp;IF($DN210&lt;&gt;"",$DN210&amp;", ","")&amp;IF($DO210&lt;&gt;"",$DO210&amp;", ","")&amp;IF($DP210&lt;&gt;"",$DP210&amp;", ","")&amp;IF($DQ210&lt;&gt;"",$DQ210&amp;", ","")&amp;IF($DR210&lt;&gt;"",$DR210&amp;", ","")&amp;IF($DS210&lt;&gt;"",$DS210&amp;", ","")&amp;IF($DT210&lt;&gt;"",$DT210&amp;", ","")&amp;IF($DU210&lt;&gt;"",$DU210&amp;", ","")))-2)))))))</f>
        <v/>
      </c>
      <c r="N210" t="str">
        <f t="shared" ref="N210:N221" si="1592">IF($L210="","",TRIM(IF(RIGHT(SUBSTITUTE($L210,CHAR(160)," "),1)=".",LEFT(SUBSTITUTE($L210,CHAR(160)," "),LEN(SUBSTITUTE($L210,CHAR(160)," "))-1),SUBSTITUTE($L210,CHAR(160)," "))))</f>
        <v/>
      </c>
      <c r="O210" t="str">
        <f t="shared" ref="O210:O221" si="1593">IF($N210="","",LEN($N210)-LEN(SUBSTITUTE($N210,",",""))+1)</f>
        <v/>
      </c>
      <c r="P210" t="str">
        <f t="shared" ref="P210:P221" si="1594">IF($N210="","",TRIM(MID(SUBSTITUTE($N210,",",REPT(" ",200)),1,200)))</f>
        <v/>
      </c>
      <c r="Q210" t="str">
        <f t="shared" ref="Q210:Q221" si="1595">IF(P210="","",TRIM(IFERROR(LEFT(P210,FIND("§",SUBSTITUTE(P210," ","§",LEN(P210)-LEN(SUBSTITUTE(P210," ",""))))-1),P210)))</f>
        <v/>
      </c>
      <c r="R210" t="str">
        <f>IF($Q210="","",IF(OR($BE210="",$BF210=""),"ONZEKER",IF(AND($BE210=0+1,$BF210=0),IF(OR(COUNTIF(#REF!,$B210)&gt;0,COUNTIF(#REF!,$B210)=0),"SKIP",IF(COUNTIFS(#REF!,$B210,#REF!,$Q210)&gt;0,"OK","ONBEKEND")),IF(AND($BE210=0,$BF210=0+1),IF(OR(COUNTIF(#REF!,$D210)&gt;0,COUNTIF(#REF!,$D210)=0),"SKIP",IF(COUNTIFS(#REF!,$D210,#REF!,$Q210)&gt;0,"OK","ONBEKEND")),"ONZEKER"))))</f>
        <v/>
      </c>
      <c r="S210" t="str">
        <f t="shared" ref="S210:S221" si="1596">IF($N210="","",TRIM(MID(SUBSTITUTE($N210,",",REPT(" ",200)),201,200)))</f>
        <v/>
      </c>
      <c r="T210" t="str">
        <f t="shared" ref="T210:T221" si="1597">IF(S210="","",TRIM(IFERROR(LEFT(S210,FIND("§",SUBSTITUTE(S210," ","§",LEN(S210)-LEN(SUBSTITUTE(S210," ",""))))-1),S210)))</f>
        <v/>
      </c>
      <c r="U210" t="str">
        <f>IF($T210="","",IF(OR($BH210="",$BI210=""),"ONZEKER",IF(OR($BE210="",$BF210=""),"ONZEKER",IF(AND($BH210=$BE210+1,$BI210=$BF210),IF(OR(COUNTIF(#REF!,$B210)&gt;0,COUNTIF(#REF!,$B210)=0),"SKIP",IF(COUNTIFS(#REF!,$B210,#REF!,$T210)&gt;0,"OK","ONBEKEND")),IF(AND($BH210=$BE210,$BI210=$BF210+1),IF(OR(COUNTIF(#REF!,$D210)&gt;0,COUNTIF(#REF!,$D210)=0),"SKIP",IF(COUNTIFS(#REF!,$D210,#REF!,$T210)&gt;0,"OK","ONBEKEND")),"ONZEKER")))))</f>
        <v/>
      </c>
      <c r="V210" t="str">
        <f t="shared" ref="V210:V221" si="1598">IF($N210="","",TRIM(MID(SUBSTITUTE($N210,",",REPT(" ",200)),401,200)))</f>
        <v/>
      </c>
      <c r="W210" t="str">
        <f t="shared" ref="W210:W221" si="1599">IF(V210="","",TRIM(IFERROR(LEFT(V210,FIND("§",SUBSTITUTE(V210," ","§",LEN(V210)-LEN(SUBSTITUTE(V210," ",""))))-1),V210)))</f>
        <v/>
      </c>
      <c r="X210" t="str">
        <f>IF($W210="","",IF(OR($BK210="",$BL210=""),"ONZEKER",IF(OR($BH210="",$BI210=""),"ONZEKER",IF(AND($BK210=$BH210+1,$BL210=$BI210),IF(OR(COUNTIF(#REF!,$B210)&gt;0,COUNTIF(#REF!,$B210)=0),"SKIP",IF(COUNTIFS(#REF!,$B210,#REF!,$W210)&gt;0,"OK","ONBEKEND")),IF(AND($BK210=$BH210,$BL210=$BI210+1),IF(OR(COUNTIF(#REF!,$D210)&gt;0,COUNTIF(#REF!,$D210)=0),"SKIP",IF(COUNTIFS(#REF!,$D210,#REF!,$W210)&gt;0,"OK","ONBEKEND")),"ONZEKER")))))</f>
        <v/>
      </c>
      <c r="Y210" t="str">
        <f t="shared" ref="Y210:Y221" si="1600">IF($N210="","",TRIM(MID(SUBSTITUTE($N210,",",REPT(" ",200)),601,200)))</f>
        <v/>
      </c>
      <c r="Z210" t="str">
        <f t="shared" ref="Z210:Z221" si="1601">IF(Y210="","",TRIM(IFERROR(LEFT(Y210,FIND("§",SUBSTITUTE(Y210," ","§",LEN(Y210)-LEN(SUBSTITUTE(Y210," ",""))))-1),Y210)))</f>
        <v/>
      </c>
      <c r="AA210" t="str">
        <f>IF($Z210="","",IF(OR($BN210="",$BO210=""),"ONZEKER",IF(OR($BK210="",$BL210=""),"ONZEKER",IF(AND($BN210=$BK210+1,$BO210=$BL210),IF(OR(COUNTIF(#REF!,$B210)&gt;0,COUNTIF(#REF!,$B210)=0),"SKIP",IF(COUNTIFS(#REF!,$B210,#REF!,$Z210)&gt;0,"OK","ONBEKEND")),IF(AND($BN210=$BK210,$BO210=$BL210+1),IF(OR(COUNTIF(#REF!,$D210)&gt;0,COUNTIF(#REF!,$D210)=0),"SKIP",IF(COUNTIFS(#REF!,$D210,#REF!,$Z210)&gt;0,"OK","ONBEKEND")),"ONZEKER")))))</f>
        <v/>
      </c>
      <c r="AB210" t="str">
        <f t="shared" ref="AB210:AB221" si="1602">IF($N210="","",TRIM(MID(SUBSTITUTE($N210,",",REPT(" ",200)),801,200)))</f>
        <v/>
      </c>
      <c r="AC210" t="str">
        <f t="shared" ref="AC210:AC221" si="1603">IF(AB210="","",TRIM(IFERROR(LEFT(AB210,FIND("§",SUBSTITUTE(AB210," ","§",LEN(AB210)-LEN(SUBSTITUTE(AB210," ",""))))-1),AB210)))</f>
        <v/>
      </c>
      <c r="AD210" t="str">
        <f>IF($AC210="","",IF(OR($BQ210="",$BR210=""),"ONZEKER",IF(OR($BN210="",$BO210=""),"ONZEKER",IF(AND($BQ210=$BN210+1,$BR210=$BO210),IF(OR(COUNTIF(#REF!,$B210)&gt;0,COUNTIF(#REF!,$B210)=0),"SKIP",IF(COUNTIFS(#REF!,$B210,#REF!,$AC210)&gt;0,"OK","ONBEKEND")),IF(AND($BQ210=$BN210,$BR210=$BO210+1),IF(OR(COUNTIF(#REF!,$D210)&gt;0,COUNTIF(#REF!,$D210)=0),"SKIP",IF(COUNTIFS(#REF!,$D210,#REF!,$AC210)&gt;0,"OK","ONBEKEND")),"ONZEKER")))))</f>
        <v/>
      </c>
      <c r="AE210" t="str">
        <f t="shared" ref="AE210:AE221" si="1604">IF($N210="","",TRIM(MID(SUBSTITUTE($N210,",",REPT(" ",200)),1001,200)))</f>
        <v/>
      </c>
      <c r="AF210" t="str">
        <f t="shared" ref="AF210:AF221" si="1605">IF(AE210="","",TRIM(IFERROR(LEFT(AE210,FIND("§",SUBSTITUTE(AE210," ","§",LEN(AE210)-LEN(SUBSTITUTE(AE210," ",""))))-1),AE210)))</f>
        <v/>
      </c>
      <c r="AG210" t="str">
        <f>IF($AF210="","",IF(OR($BT210="",$BU210=""),"ONZEKER",IF(OR($BQ210="",$BR210=""),"ONZEKER",IF(AND($BT210=$BQ210+1,$BU210=$BR210),IF(OR(COUNTIF(#REF!,$B210)&gt;0,COUNTIF(#REF!,$B210)=0),"SKIP",IF(COUNTIFS(#REF!,$B210,#REF!,$AF210)&gt;0,"OK","ONBEKEND")),IF(AND($BT210=$BQ210,$BU210=$BR210+1),IF(OR(COUNTIF(#REF!,$D210)&gt;0,COUNTIF(#REF!,$D210)=0),"SKIP",IF(COUNTIFS(#REF!,$D210,#REF!,$AF210)&gt;0,"OK","ONBEKEND")),"ONZEKER")))))</f>
        <v/>
      </c>
      <c r="AH210" t="str">
        <f t="shared" ref="AH210:AH221" si="1606">IF($N210="","",TRIM(MID(SUBSTITUTE($N210,",",REPT(" ",200)),1201,200)))</f>
        <v/>
      </c>
      <c r="AI210" t="str">
        <f t="shared" ref="AI210:AI221" si="1607">IF(AH210="","",TRIM(IFERROR(LEFT(AH210,FIND("§",SUBSTITUTE(AH210," ","§",LEN(AH210)-LEN(SUBSTITUTE(AH210," ",""))))-1),AH210)))</f>
        <v/>
      </c>
      <c r="AJ210" t="str">
        <f>IF($AI210="","",IF(OR($BW210="",$BX210=""),"ONZEKER",IF(OR($BT210="",$BU210=""),"ONZEKER",IF(AND($BW210=$BT210+1,$BX210=$BU210),IF(OR(COUNTIF(#REF!,$B210)&gt;0,COUNTIF(#REF!,$B210)=0),"SKIP",IF(COUNTIFS(#REF!,$B210,#REF!,$AI210)&gt;0,"OK","ONBEKEND")),IF(AND($BW210=$BT210,$BX210=$BU210+1),IF(OR(COUNTIF(#REF!,$D210)&gt;0,COUNTIF(#REF!,$D210)=0),"SKIP",IF(COUNTIFS(#REF!,$D210,#REF!,$AI210)&gt;0,"OK","ONBEKEND")),"ONZEKER")))))</f>
        <v/>
      </c>
      <c r="AK210" t="str">
        <f t="shared" ref="AK210:AK221" si="1608">IF($N210="","",TRIM(MID(SUBSTITUTE($N210,",",REPT(" ",200)),1401,200)))</f>
        <v/>
      </c>
      <c r="AL210" t="str">
        <f t="shared" ref="AL210:AL221" si="1609">IF(AK210="","",TRIM(IFERROR(LEFT(AK210,FIND("§",SUBSTITUTE(AK210," ","§",LEN(AK210)-LEN(SUBSTITUTE(AK210," ",""))))-1),AK210)))</f>
        <v/>
      </c>
      <c r="AM210" t="str">
        <f>IF($AL210="","",IF(OR($BZ210="",$CA210=""),"ONZEKER",IF(OR($BW210="",$BX210=""),"ONZEKER",IF(AND($BZ210=$BW210+1,$CA210=$BX210),IF(OR(COUNTIF(#REF!,$B210)&gt;0,COUNTIF(#REF!,$B210)=0),"SKIP",IF(COUNTIFS(#REF!,$B210,#REF!,$AL210)&gt;0,"OK","ONBEKEND")),IF(AND($BZ210=$BW210,$CA210=$BX210+1),IF(OR(COUNTIF(#REF!,$D210)&gt;0,COUNTIF(#REF!,$D210)=0),"SKIP",IF(COUNTIFS(#REF!,$D210,#REF!,$AL210)&gt;0,"OK","ONBEKEND")),"ONZEKER")))))</f>
        <v/>
      </c>
      <c r="AN210" t="str">
        <f t="shared" ref="AN210:AN221" si="1610">IF($N210="","",TRIM(MID(SUBSTITUTE($N210,",",REPT(" ",200)),1601,200)))</f>
        <v/>
      </c>
      <c r="AO210" t="str">
        <f t="shared" ref="AO210:AO221" si="1611">IF(AN210="","",TRIM(IFERROR(LEFT(AN210,FIND("§",SUBSTITUTE(AN210," ","§",LEN(AN210)-LEN(SUBSTITUTE(AN210," ",""))))-1),AN210)))</f>
        <v/>
      </c>
      <c r="AP210" t="str">
        <f>IF($AO210="","",IF(OR($CC210="",$CD210=""),"ONZEKER",IF(OR($BZ210="",$CA210=""),"ONZEKER",IF(AND($CC210=$BZ210+1,$CD210=$CA210),IF(OR(COUNTIF(#REF!,$B210)&gt;0,COUNTIF(#REF!,$B210)=0),"SKIP",IF(COUNTIFS(#REF!,$B210,#REF!,$AO210)&gt;0,"OK","ONBEKEND")),IF(AND($CC210=$BZ210,$CD210=$CA210+1),IF(OR(COUNTIF(#REF!,$D210)&gt;0,COUNTIF(#REF!,$D210)=0),"SKIP",IF(COUNTIFS(#REF!,$D210,#REF!,$AO210)&gt;0,"OK","ONBEKEND")),"ONZEKER")))))</f>
        <v/>
      </c>
      <c r="AQ210" t="str">
        <f t="shared" ref="AQ210:AQ221" si="1612">IF($N210="","",TRIM(MID(SUBSTITUTE($N210,",",REPT(" ",200)),1801,200)))</f>
        <v/>
      </c>
      <c r="AR210" t="str">
        <f t="shared" ref="AR210:AR221" si="1613">IF(AQ210="","",TRIM(IFERROR(LEFT(AQ210,FIND("§",SUBSTITUTE(AQ210," ","§",LEN(AQ210)-LEN(SUBSTITUTE(AQ210," ",""))))-1),AQ210)))</f>
        <v/>
      </c>
      <c r="AS210" t="str">
        <f>IF($AR210="","",IF(OR($CF210="",$CG210=""),"ONZEKER",IF(OR($CC210="",$CD210=""),"ONZEKER",IF(AND($CF210=$CC210+1,$CG210=$CD210),IF(OR(COUNTIF(#REF!,$B210)&gt;0,COUNTIF(#REF!,$B210)=0),"SKIP",IF(COUNTIFS(#REF!,$B210,#REF!,$AR210)&gt;0,"OK","ONBEKEND")),IF(AND($CF210=$CC210,$CG210=$CD210+1),IF(OR(COUNTIF(#REF!,$D210)&gt;0,COUNTIF(#REF!,$D210)=0),"SKIP",IF(COUNTIFS(#REF!,$D210,#REF!,$AR210)&gt;0,"OK","ONBEKEND")),"ONZEKER")))))</f>
        <v/>
      </c>
      <c r="AT210" t="str">
        <f t="shared" ref="AT210:AT221" si="1614">IF(R210="ONBEKEND",Q210,"")</f>
        <v/>
      </c>
      <c r="AU210" t="str">
        <f t="shared" ref="AU210:AU221" si="1615">IF(U210="ONBEKEND",T210,"")</f>
        <v/>
      </c>
      <c r="AV210" t="str">
        <f t="shared" ref="AV210:AV221" si="1616">IF(X210="ONBEKEND",W210,"")</f>
        <v/>
      </c>
      <c r="AW210" t="str">
        <f t="shared" ref="AW210:AW221" si="1617">IF(AA210="ONBEKEND",Z210,"")</f>
        <v/>
      </c>
      <c r="AX210" t="str">
        <f t="shared" ref="AX210:AX221" si="1618">IF(AD210="ONBEKEND",AC210,"")</f>
        <v/>
      </c>
      <c r="AY210" t="str">
        <f t="shared" ref="AY210:AY221" si="1619">IF(AG210="ONBEKEND",AF210,"")</f>
        <v/>
      </c>
      <c r="AZ210" t="str">
        <f t="shared" ref="AZ210:AZ221" si="1620">IF(AJ210="ONBEKEND",AI210,"")</f>
        <v/>
      </c>
      <c r="BA210" t="str">
        <f t="shared" ref="BA210:BA221" si="1621">IF(AM210="ONBEKEND",AL210,"")</f>
        <v/>
      </c>
      <c r="BB210" t="str">
        <f t="shared" ref="BB210:BB221" si="1622">IF(AP210="ONBEKEND",AO210,"")</f>
        <v/>
      </c>
      <c r="BC210" t="str">
        <f t="shared" ref="BC210:BC221" si="1623">IF(AS210="ONBEKEND",AR210,"")</f>
        <v/>
      </c>
      <c r="BD210" t="str">
        <f t="shared" si="1470"/>
        <v/>
      </c>
      <c r="BE210" t="str">
        <f t="shared" si="1471"/>
        <v/>
      </c>
      <c r="BF210" t="str">
        <f t="shared" si="1472"/>
        <v/>
      </c>
      <c r="BG210" t="str">
        <f t="shared" si="1473"/>
        <v/>
      </c>
      <c r="BH210" t="str">
        <f t="shared" si="1474"/>
        <v/>
      </c>
      <c r="BI210" t="str">
        <f t="shared" si="1475"/>
        <v/>
      </c>
      <c r="BJ210" t="str">
        <f t="shared" si="1476"/>
        <v/>
      </c>
      <c r="BK210" t="str">
        <f t="shared" si="1477"/>
        <v/>
      </c>
      <c r="BL210" t="str">
        <f t="shared" si="1478"/>
        <v/>
      </c>
      <c r="BM210" t="str">
        <f t="shared" si="1479"/>
        <v/>
      </c>
      <c r="BN210" t="str">
        <f t="shared" si="1480"/>
        <v/>
      </c>
      <c r="BO210" t="str">
        <f t="shared" si="1481"/>
        <v/>
      </c>
      <c r="BP210" t="str">
        <f t="shared" si="1482"/>
        <v/>
      </c>
      <c r="BQ210" t="str">
        <f t="shared" si="1483"/>
        <v/>
      </c>
      <c r="BR210" t="str">
        <f t="shared" si="1484"/>
        <v/>
      </c>
      <c r="BS210" t="str">
        <f t="shared" si="1485"/>
        <v/>
      </c>
      <c r="BT210" t="str">
        <f t="shared" si="1486"/>
        <v/>
      </c>
      <c r="BU210" t="str">
        <f t="shared" si="1487"/>
        <v/>
      </c>
      <c r="BV210" t="str">
        <f t="shared" si="1488"/>
        <v/>
      </c>
      <c r="BW210" t="str">
        <f t="shared" si="1489"/>
        <v/>
      </c>
      <c r="BX210" t="str">
        <f t="shared" si="1490"/>
        <v/>
      </c>
      <c r="BY210" t="str">
        <f t="shared" si="1491"/>
        <v/>
      </c>
      <c r="BZ210" t="str">
        <f t="shared" si="1492"/>
        <v/>
      </c>
      <c r="CA210" t="str">
        <f t="shared" si="1493"/>
        <v/>
      </c>
      <c r="CB210" t="str">
        <f t="shared" si="1494"/>
        <v/>
      </c>
      <c r="CC210" t="str">
        <f t="shared" si="1495"/>
        <v/>
      </c>
      <c r="CD210" t="str">
        <f t="shared" si="1496"/>
        <v/>
      </c>
      <c r="CE210" t="str">
        <f t="shared" si="1497"/>
        <v/>
      </c>
      <c r="CF210" t="str">
        <f t="shared" si="1498"/>
        <v/>
      </c>
      <c r="CG210" t="str">
        <f t="shared" si="1499"/>
        <v/>
      </c>
      <c r="CH210" t="str">
        <f t="shared" ref="CH210:CH221" si="1624">IF($N210="","",TRIM(MID(SUBSTITUTE($N210,",",REPT(" ",200)),2001,200)))</f>
        <v/>
      </c>
      <c r="CI210" t="str">
        <f t="shared" ref="CI210:CI221" si="1625">IF(CH210="","",TRIM(IFERROR(LEFT(CH210,FIND("§",SUBSTITUTE(CH210," ","§",LEN(CH210)-LEN(SUBSTITUTE(CH210," ",""))))-1),CH210)))</f>
        <v/>
      </c>
      <c r="CJ210" t="str">
        <f>IF($CI210="","",IF(OR($DW210="",$DX210=""),"ONZEKER",IF(OR($CF210="",$CG210=""),"ONZEKER",IF(AND($DW210=$CF210+1,$DX210=$CG210),IF(OR(COUNTIF(#REF!,$B210)&gt;0,COUNTIF(#REF!,$B210)=0),"SKIP",IF(COUNTIFS(#REF!,$B210,#REF!,$CI210)&gt;0,"OK","ONBEKEND")),IF(AND($DW210=$CF210,$DX210=$CG210+1),IF(OR(COUNTIF(#REF!,$D210)&gt;0,COUNTIF(#REF!,$D210)=0),"SKIP",IF(COUNTIFS(#REF!,$D210,#REF!,$CI210)&gt;0,"OK","ONBEKEND")),"ONZEKER")))))</f>
        <v/>
      </c>
      <c r="CK210" t="str">
        <f t="shared" ref="CK210:CK221" si="1626">IF($N210="","",TRIM(MID(SUBSTITUTE($N210,",",REPT(" ",200)),2201,200)))</f>
        <v/>
      </c>
      <c r="CL210" t="str">
        <f t="shared" ref="CL210:CL221" si="1627">IF(CK210="","",TRIM(IFERROR(LEFT(CK210,FIND("§",SUBSTITUTE(CK210," ","§",LEN(CK210)-LEN(SUBSTITUTE(CK210," ",""))))-1),CK210)))</f>
        <v/>
      </c>
      <c r="CM210" t="str">
        <f>IF($CL210="","",IF(OR($DZ210="",$EA210=""),"ONZEKER",IF(OR($DW210="",$DX210=""),"ONZEKER",IF(AND($DZ210=$DW210+1,$EA210=$DX210),IF(OR(COUNTIF(#REF!,$B210)&gt;0,COUNTIF(#REF!,$B210)=0),"SKIP",IF(COUNTIFS(#REF!,$B210,#REF!,$CL210)&gt;0,"OK","ONBEKEND")),IF(AND($DZ210=$DW210,$EA210=$DX210+1),IF(OR(COUNTIF(#REF!,$D210)&gt;0,COUNTIF(#REF!,$D210)=0),"SKIP",IF(COUNTIFS(#REF!,$D210,#REF!,$CL210)&gt;0,"OK","ONBEKEND")),"ONZEKER")))))</f>
        <v/>
      </c>
      <c r="CN210" t="str">
        <f t="shared" ref="CN210:CN221" si="1628">IF($N210="","",TRIM(MID(SUBSTITUTE($N210,",",REPT(" ",200)),2401,200)))</f>
        <v/>
      </c>
      <c r="CO210" t="str">
        <f t="shared" ref="CO210:CO221" si="1629">IF(CN210="","",TRIM(IFERROR(LEFT(CN210,FIND("§",SUBSTITUTE(CN210," ","§",LEN(CN210)-LEN(SUBSTITUTE(CN210," ",""))))-1),CN210)))</f>
        <v/>
      </c>
      <c r="CP210" t="str">
        <f>IF($CO210="","",IF(OR($EC210="",$ED210=""),"ONZEKER",IF(OR($DZ210="",$EA210=""),"ONZEKER",IF(AND($EC210=$DZ210+1,$ED210=$EA210),IF(OR(COUNTIF(#REF!,$B210)&gt;0,COUNTIF(#REF!,$B210)=0),"SKIP",IF(COUNTIFS(#REF!,$B210,#REF!,$CO210)&gt;0,"OK","ONBEKEND")),IF(AND($EC210=$DZ210,$ED210=$EA210+1),IF(OR(COUNTIF(#REF!,$D210)&gt;0,COUNTIF(#REF!,$D210)=0),"SKIP",IF(COUNTIFS(#REF!,$D210,#REF!,$CO210)&gt;0,"OK","ONBEKEND")),"ONZEKER")))))</f>
        <v/>
      </c>
      <c r="CQ210" t="str">
        <f t="shared" ref="CQ210:CQ221" si="1630">IF($N210="","",TRIM(MID(SUBSTITUTE($N210,",",REPT(" ",200)),2601,200)))</f>
        <v/>
      </c>
      <c r="CR210" t="str">
        <f t="shared" ref="CR210:CR221" si="1631">IF(CQ210="","",TRIM(IFERROR(LEFT(CQ210,FIND("§",SUBSTITUTE(CQ210," ","§",LEN(CQ210)-LEN(SUBSTITUTE(CQ210," ",""))))-1),CQ210)))</f>
        <v/>
      </c>
      <c r="CS210" t="str">
        <f>IF($CR210="","",IF(OR($EF210="",$EG210=""),"ONZEKER",IF(OR($EC210="",$ED210=""),"ONZEKER",IF(AND($EF210=$EC210+1,$EG210=$ED210),IF(OR(COUNTIF(#REF!,$B210)&gt;0,COUNTIF(#REF!,$B210)=0),"SKIP",IF(COUNTIFS(#REF!,$B210,#REF!,$CR210)&gt;0,"OK","ONBEKEND")),IF(AND($EF210=$EC210,$EG210=$ED210+1),IF(OR(COUNTIF(#REF!,$D210)&gt;0,COUNTIF(#REF!,$D210)=0),"SKIP",IF(COUNTIFS(#REF!,$D210,#REF!,$CR210)&gt;0,"OK","ONBEKEND")),"ONZEKER")))))</f>
        <v/>
      </c>
      <c r="CT210" t="str">
        <f t="shared" ref="CT210:CT221" si="1632">IF($N210="","",TRIM(MID(SUBSTITUTE($N210,",",REPT(" ",200)),2801,200)))</f>
        <v/>
      </c>
      <c r="CU210" t="str">
        <f t="shared" ref="CU210:CU221" si="1633">IF(CT210="","",TRIM(IFERROR(LEFT(CT210,FIND("§",SUBSTITUTE(CT210," ","§",LEN(CT210)-LEN(SUBSTITUTE(CT210," ",""))))-1),CT210)))</f>
        <v/>
      </c>
      <c r="CV210" t="str">
        <f>IF($CU210="","",IF(OR($EI210="",$EJ210=""),"ONZEKER",IF(OR($EF210="",$EG210=""),"ONZEKER",IF(AND($EI210=$EF210+1,$EJ210=$EG210),IF(OR(COUNTIF(#REF!,$B210)&gt;0,COUNTIF(#REF!,$B210)=0),"SKIP",IF(COUNTIFS(#REF!,$B210,#REF!,$CU210)&gt;0,"OK","ONBEKEND")),IF(AND($EI210=$EF210,$EJ210=$EG210+1),IF(OR(COUNTIF(#REF!,$D210)&gt;0,COUNTIF(#REF!,$D210)=0),"SKIP",IF(COUNTIFS(#REF!,$D210,#REF!,$CU210)&gt;0,"OK","ONBEKEND")),"ONZEKER")))))</f>
        <v/>
      </c>
      <c r="CW210" t="str">
        <f t="shared" ref="CW210:CW221" si="1634">IF($N210="","",TRIM(MID(SUBSTITUTE($N210,",",REPT(" ",200)),3001,200)))</f>
        <v/>
      </c>
      <c r="CX210" t="str">
        <f t="shared" ref="CX210:CX221" si="1635">IF(CW210="","",TRIM(IFERROR(LEFT(CW210,FIND("§",SUBSTITUTE(CW210," ","§",LEN(CW210)-LEN(SUBSTITUTE(CW210," ",""))))-1),CW210)))</f>
        <v/>
      </c>
      <c r="CY210" t="str">
        <f>IF($CX210="","",IF(OR($EL210="",$EM210=""),"ONZEKER",IF(OR($EI210="",$EJ210=""),"ONZEKER",IF(AND($EL210=$EI210+1,$EM210=$EJ210),IF(OR(COUNTIF(#REF!,$B210)&gt;0,COUNTIF(#REF!,$B210)=0),"SKIP",IF(COUNTIFS(#REF!,$B210,#REF!,$CX210)&gt;0,"OK","ONBEKEND")),IF(AND($EL210=$EI210,$EM210=$EJ210+1),IF(OR(COUNTIF(#REF!,$D210)&gt;0,COUNTIF(#REF!,$D210)=0),"SKIP",IF(COUNTIFS(#REF!,$D210,#REF!,$CX210)&gt;0,"OK","ONBEKEND")),"ONZEKER")))))</f>
        <v/>
      </c>
      <c r="CZ210" t="str">
        <f t="shared" ref="CZ210:CZ221" si="1636">IF($N210="","",TRIM(MID(SUBSTITUTE($N210,",",REPT(" ",200)),3201,200)))</f>
        <v/>
      </c>
      <c r="DA210" t="str">
        <f t="shared" ref="DA210:DA221" si="1637">IF(CZ210="","",TRIM(IFERROR(LEFT(CZ210,FIND("§",SUBSTITUTE(CZ210," ","§",LEN(CZ210)-LEN(SUBSTITUTE(CZ210," ",""))))-1),CZ210)))</f>
        <v/>
      </c>
      <c r="DB210" t="str">
        <f>IF($DA210="","",IF(OR($EO210="",$EP210=""),"ONZEKER",IF(OR($EL210="",$EM210=""),"ONZEKER",IF(AND($EO210=$EL210+1,$EP210=$EM210),IF(OR(COUNTIF(#REF!,$B210)&gt;0,COUNTIF(#REF!,$B210)=0),"SKIP",IF(COUNTIFS(#REF!,$B210,#REF!,$DA210)&gt;0,"OK","ONBEKEND")),IF(AND($EO210=$EL210,$EP210=$EM210+1),IF(OR(COUNTIF(#REF!,$D210)&gt;0,COUNTIF(#REF!,$D210)=0),"SKIP",IF(COUNTIFS(#REF!,$D210,#REF!,$DA210)&gt;0,"OK","ONBEKEND")),"ONZEKER")))))</f>
        <v/>
      </c>
      <c r="DC210" t="str">
        <f t="shared" ref="DC210:DC221" si="1638">IF($N210="","",TRIM(MID(SUBSTITUTE($N210,",",REPT(" ",200)),3401,200)))</f>
        <v/>
      </c>
      <c r="DD210" t="str">
        <f t="shared" ref="DD210:DD221" si="1639">IF(DC210="","",TRIM(IFERROR(LEFT(DC210,FIND("§",SUBSTITUTE(DC210," ","§",LEN(DC210)-LEN(SUBSTITUTE(DC210," ",""))))-1),DC210)))</f>
        <v/>
      </c>
      <c r="DE210" t="str">
        <f>IF($DD210="","",IF(OR($ER210="",$ES210=""),"ONZEKER",IF(OR($EO210="",$EP210=""),"ONZEKER",IF(AND($ER210=$EO210+1,$ES210=$EP210),IF(OR(COUNTIF(#REF!,$B210)&gt;0,COUNTIF(#REF!,$B210)=0),"SKIP",IF(COUNTIFS(#REF!,$B210,#REF!,$DD210)&gt;0,"OK","ONBEKEND")),IF(AND($ER210=$EO210,$ES210=$EP210+1),IF(OR(COUNTIF(#REF!,$D210)&gt;0,COUNTIF(#REF!,$D210)=0),"SKIP",IF(COUNTIFS(#REF!,$D210,#REF!,$DD210)&gt;0,"OK","ONBEKEND")),"ONZEKER")))))</f>
        <v/>
      </c>
      <c r="DF210" t="str">
        <f t="shared" ref="DF210:DF221" si="1640">IF($N210="","",TRIM(MID(SUBSTITUTE($N210,",",REPT(" ",200)),3601,200)))</f>
        <v/>
      </c>
      <c r="DG210" t="str">
        <f t="shared" ref="DG210:DG221" si="1641">IF(DF210="","",TRIM(IFERROR(LEFT(DF210,FIND("§",SUBSTITUTE(DF210," ","§",LEN(DF210)-LEN(SUBSTITUTE(DF210," ",""))))-1),DF210)))</f>
        <v/>
      </c>
      <c r="DH210" t="str">
        <f>IF($DG210="","",IF(OR($EU210="",$EV210=""),"ONZEKER",IF(OR($ER210="",$ES210=""),"ONZEKER",IF(AND($EU210=$ER210+1,$EV210=$ES210),IF(OR(COUNTIF(#REF!,$B210)&gt;0,COUNTIF(#REF!,$B210)=0),"SKIP",IF(COUNTIFS(#REF!,$B210,#REF!,$DG210)&gt;0,"OK","ONBEKEND")),IF(AND($EU210=$ER210,$EV210=$ES210+1),IF(OR(COUNTIF(#REF!,$D210)&gt;0,COUNTIF(#REF!,$D210)=0),"SKIP",IF(COUNTIFS(#REF!,$D210,#REF!,$DG210)&gt;0,"OK","ONBEKEND")),"ONZEKER")))))</f>
        <v/>
      </c>
      <c r="DI210" t="str">
        <f t="shared" ref="DI210:DI221" si="1642">IF($N210="","",TRIM(MID(SUBSTITUTE($N210,",",REPT(" ",200)),3801,200)))</f>
        <v/>
      </c>
      <c r="DJ210" t="str">
        <f t="shared" ref="DJ210:DJ221" si="1643">IF(DI210="","",TRIM(IFERROR(LEFT(DI210,FIND("§",SUBSTITUTE(DI210," ","§",LEN(DI210)-LEN(SUBSTITUTE(DI210," ",""))))-1),DI210)))</f>
        <v/>
      </c>
      <c r="DK210" t="str">
        <f>IF($DJ210="","",IF(OR($EX210="",$EY210=""),"ONZEKER",IF(OR($EU210="",$EV210=""),"ONZEKER",IF(AND($EX210=$EU210+1,$EY210=$EV210),IF(OR(COUNTIF(#REF!,$B210)&gt;0,COUNTIF(#REF!,$B210)=0),"SKIP",IF(COUNTIFS(#REF!,$B210,#REF!,$DJ210)&gt;0,"OK","ONBEKEND")),IF(AND($EX210=$EU210,$EY210=$EV210+1),IF(OR(COUNTIF(#REF!,$D210)&gt;0,COUNTIF(#REF!,$D210)=0),"SKIP",IF(COUNTIFS(#REF!,$D210,#REF!,$DJ210)&gt;0,"OK","ONBEKEND")),"ONZEKER")))))</f>
        <v/>
      </c>
      <c r="DL210" t="str">
        <f t="shared" ref="DL210:DL221" si="1644">IF($CJ210="ONBEKEND",$CI210,"")</f>
        <v/>
      </c>
      <c r="DM210" t="str">
        <f t="shared" ref="DM210:DM221" si="1645">IF($CM210="ONBEKEND",$CL210,"")</f>
        <v/>
      </c>
      <c r="DN210" t="str">
        <f t="shared" ref="DN210:DN221" si="1646">IF($CP210="ONBEKEND",$CO210,"")</f>
        <v/>
      </c>
      <c r="DO210" t="str">
        <f t="shared" ref="DO210:DO221" si="1647">IF($CS210="ONBEKEND",$CR210,"")</f>
        <v/>
      </c>
      <c r="DP210" t="str">
        <f t="shared" ref="DP210:DP221" si="1648">IF($CV210="ONBEKEND",$CU210,"")</f>
        <v/>
      </c>
      <c r="DQ210" t="str">
        <f t="shared" ref="DQ210:DQ221" si="1649">IF($CY210="ONBEKEND",$CX210,"")</f>
        <v/>
      </c>
      <c r="DR210" t="str">
        <f t="shared" ref="DR210:DR221" si="1650">IF($DB210="ONBEKEND",$DA210,"")</f>
        <v/>
      </c>
      <c r="DS210" t="str">
        <f t="shared" ref="DS210:DS221" si="1651">IF($DE210="ONBEKEND",$DD210,"")</f>
        <v/>
      </c>
      <c r="DT210" t="str">
        <f t="shared" ref="DT210:DT221" si="1652">IF($DH210="ONBEKEND",$DG210,"")</f>
        <v/>
      </c>
      <c r="DU210" t="str">
        <f t="shared" ref="DU210:DU221" si="1653">IF($DK210="ONBEKEND",$DJ210,"")</f>
        <v/>
      </c>
      <c r="DV210" t="str">
        <f t="shared" ref="DV210:DV221" si="1654">IF($CH210="","",TRIM(IFERROR(RIGHT($CH210,LEN($CH210)-FIND("§",SUBSTITUTE($CH210," ","§",LEN($CH210)-LEN(SUBSTITUTE($CH210," ",""))))),"")))</f>
        <v/>
      </c>
      <c r="DW210" t="str">
        <f t="shared" ref="DW210:DW221" si="1655">IF($DV210="","",IFERROR(VALUE(LEFT($DV210,FIND("-",$DV210)-1)),""))</f>
        <v/>
      </c>
      <c r="DX210" t="str">
        <f t="shared" ref="DX210:DX221" si="1656">IF($DV210="","",IFERROR(VALUE(MID($DV210,FIND("-",$DV210)+1,99)),""))</f>
        <v/>
      </c>
      <c r="DY210" t="str">
        <f t="shared" ref="DY210:DY221" si="1657">IF($CK210="","",TRIM(IFERROR(RIGHT($CK210,LEN($CK210)-FIND("§",SUBSTITUTE($CK210," ","§",LEN($CK210)-LEN(SUBSTITUTE($CK210," ",""))))),"")))</f>
        <v/>
      </c>
      <c r="DZ210" t="str">
        <f t="shared" ref="DZ210:DZ221" si="1658">IF($DY210="","",IFERROR(VALUE(LEFT($DY210,FIND("-",$DY210)-1)),""))</f>
        <v/>
      </c>
      <c r="EA210" t="str">
        <f t="shared" ref="EA210:EA221" si="1659">IF($DY210="","",IFERROR(VALUE(MID($DY210,FIND("-",$DY210)+1,99)),""))</f>
        <v/>
      </c>
      <c r="EB210" t="str">
        <f t="shared" ref="EB210:EB221" si="1660">IF($CN210="","",TRIM(IFERROR(RIGHT($CN210,LEN($CN210)-FIND("§",SUBSTITUTE($CN210," ","§",LEN($CN210)-LEN(SUBSTITUTE($CN210," ",""))))),"")))</f>
        <v/>
      </c>
      <c r="EC210" t="str">
        <f t="shared" ref="EC210:EC221" si="1661">IF($EB210="","",IFERROR(VALUE(LEFT($EB210,FIND("-",$EB210)-1)),""))</f>
        <v/>
      </c>
      <c r="ED210" t="str">
        <f t="shared" ref="ED210:ED221" si="1662">IF($EB210="","",IFERROR(VALUE(MID($EB210,FIND("-",$EB210)+1,99)),""))</f>
        <v/>
      </c>
      <c r="EE210" t="str">
        <f t="shared" ref="EE210:EE221" si="1663">IF($CQ210="","",TRIM(IFERROR(RIGHT($CQ210,LEN($CQ210)-FIND("§",SUBSTITUTE($CQ210," ","§",LEN($CQ210)-LEN(SUBSTITUTE($CQ210," ",""))))),"")))</f>
        <v/>
      </c>
      <c r="EF210" t="str">
        <f t="shared" ref="EF210:EF221" si="1664">IF($EE210="","",IFERROR(VALUE(LEFT($EE210,FIND("-",$EE210)-1)),""))</f>
        <v/>
      </c>
      <c r="EG210" t="str">
        <f t="shared" ref="EG210:EG221" si="1665">IF($EE210="","",IFERROR(VALUE(MID($EE210,FIND("-",$EE210)+1,99)),""))</f>
        <v/>
      </c>
      <c r="EH210" t="str">
        <f t="shared" ref="EH210:EH221" si="1666">IF($CT210="","",TRIM(IFERROR(RIGHT($CT210,LEN($CT210)-FIND("§",SUBSTITUTE($CT210," ","§",LEN($CT210)-LEN(SUBSTITUTE($CT210," ",""))))),"")))</f>
        <v/>
      </c>
      <c r="EI210" t="str">
        <f t="shared" ref="EI210:EI221" si="1667">IF($EH210="","",IFERROR(VALUE(LEFT($EH210,FIND("-",$EH210)-1)),""))</f>
        <v/>
      </c>
      <c r="EJ210" t="str">
        <f t="shared" ref="EJ210:EJ221" si="1668">IF($EH210="","",IFERROR(VALUE(MID($EH210,FIND("-",$EH210)+1,99)),""))</f>
        <v/>
      </c>
      <c r="EK210" t="str">
        <f t="shared" ref="EK210:EK221" si="1669">IF($CW210="","",TRIM(IFERROR(RIGHT($CW210,LEN($CW210)-FIND("§",SUBSTITUTE($CW210," ","§",LEN($CW210)-LEN(SUBSTITUTE($CW210," ",""))))),"")))</f>
        <v/>
      </c>
      <c r="EL210" t="str">
        <f t="shared" ref="EL210:EL221" si="1670">IF($EK210="","",IFERROR(VALUE(LEFT($EK210,FIND("-",$EK210)-1)),""))</f>
        <v/>
      </c>
      <c r="EM210" t="str">
        <f t="shared" ref="EM210:EM221" si="1671">IF($EK210="","",IFERROR(VALUE(MID($EK210,FIND("-",$EK210)+1,99)),""))</f>
        <v/>
      </c>
      <c r="EN210" t="str">
        <f t="shared" ref="EN210:EN221" si="1672">IF($CZ210="","",TRIM(IFERROR(RIGHT($CZ210,LEN($CZ210)-FIND("§",SUBSTITUTE($CZ210," ","§",LEN($CZ210)-LEN(SUBSTITUTE($CZ210," ",""))))),"")))</f>
        <v/>
      </c>
      <c r="EO210" t="str">
        <f t="shared" ref="EO210:EO221" si="1673">IF($EN210="","",IFERROR(VALUE(LEFT($EN210,FIND("-",$EN210)-1)),""))</f>
        <v/>
      </c>
      <c r="EP210" t="str">
        <f t="shared" ref="EP210:EP221" si="1674">IF($EN210="","",IFERROR(VALUE(MID($EN210,FIND("-",$EN210)+1,99)),""))</f>
        <v/>
      </c>
      <c r="EQ210" t="str">
        <f t="shared" ref="EQ210:EQ221" si="1675">IF($DC210="","",TRIM(IFERROR(RIGHT($DC210,LEN($DC210)-FIND("§",SUBSTITUTE($DC210," ","§",LEN($DC210)-LEN(SUBSTITUTE($DC210," ",""))))),"")))</f>
        <v/>
      </c>
      <c r="ER210" t="str">
        <f t="shared" ref="ER210:ER221" si="1676">IF($EQ210="","",IFERROR(VALUE(LEFT($EQ210,FIND("-",$EQ210)-1)),""))</f>
        <v/>
      </c>
      <c r="ES210" t="str">
        <f t="shared" ref="ES210:ES221" si="1677">IF($EQ210="","",IFERROR(VALUE(MID($EQ210,FIND("-",$EQ210)+1,99)),""))</f>
        <v/>
      </c>
      <c r="ET210" t="str">
        <f t="shared" ref="ET210:ET221" si="1678">IF($DF210="","",TRIM(IFERROR(RIGHT($DF210,LEN($DF210)-FIND("§",SUBSTITUTE($DF210," ","§",LEN($DF210)-LEN(SUBSTITUTE($DF210," ",""))))),"")))</f>
        <v/>
      </c>
      <c r="EU210" t="str">
        <f t="shared" ref="EU210:EU221" si="1679">IF($ET210="","",IFERROR(VALUE(LEFT($ET210,FIND("-",$ET210)-1)),""))</f>
        <v/>
      </c>
      <c r="EV210" t="str">
        <f t="shared" ref="EV210:EV221" si="1680">IF($ET210="","",IFERROR(VALUE(MID($ET210,FIND("-",$ET210)+1,99)),""))</f>
        <v/>
      </c>
      <c r="EW210" t="str">
        <f t="shared" ref="EW210:EW221" si="1681">IF($DI210="","",TRIM(IFERROR(RIGHT($DI210,LEN($DI210)-FIND("§",SUBSTITUTE($DI210," ","§",LEN($DI210)-LEN(SUBSTITUTE($DI210," ",""))))),"")))</f>
        <v/>
      </c>
      <c r="EX210" t="str">
        <f t="shared" ref="EX210:EX221" si="1682">IF($EW210="","",IFERROR(VALUE(LEFT($EW210,FIND("-",$EW210)-1)),""))</f>
        <v/>
      </c>
      <c r="EY210" t="str">
        <f t="shared" ref="EY210:EY221" si="1683">IF($EW210="","",IFERROR(VALUE(MID($EW210,FIND("-",$EW210)+1,99)),""))</f>
        <v/>
      </c>
    </row>
    <row r="211" spans="1:155" ht="13.9" customHeight="1" x14ac:dyDescent="0.25">
      <c r="A211" s="7"/>
      <c r="B211" s="17"/>
      <c r="C211" s="8"/>
      <c r="D211" s="17"/>
      <c r="E211" s="8"/>
      <c r="F211" s="18">
        <v>0</v>
      </c>
      <c r="G211" s="7" t="s">
        <v>147</v>
      </c>
      <c r="H211" s="18">
        <v>0</v>
      </c>
      <c r="I211" s="19">
        <v>0</v>
      </c>
      <c r="J211" s="7" t="s">
        <v>147</v>
      </c>
      <c r="K211" s="19">
        <v>0</v>
      </c>
      <c r="L211" s="9"/>
      <c r="M211" s="3" t="str">
        <f>IF($L211="","",IF($L211="DOELPUNTENMAKERS","",IF(AND(COUNTIF(#REF!,$B211)=0,COUNTIF(#REF!,$D211)=0),"OK",IF($O211&gt;20,"LET OP: meer dan 20 items (controle onvolledig)",IF((COUNTIF($R211:$AS211,"ONZEKER")+COUNTIF($CJ211:$DK211,"ONZEKER"))&gt;0,"LET OP: scoreverloop onduidelijk (controle beperkt)",IF((IF($AT211&lt;&gt;"",$AT211&amp;", ","")&amp;IF($AU211&lt;&gt;"",$AU211&amp;", ","")&amp;IF($AV211&lt;&gt;"",$AV211&amp;", ","")&amp;IF($AW211&lt;&gt;"",$AW211&amp;", ","")&amp;IF($AX211&lt;&gt;"",$AX211&amp;", ","")&amp;IF($AY211&lt;&gt;"",$AY211&amp;", ","")&amp;IF($AZ211&lt;&gt;"",$AZ211&amp;", ","")&amp;IF($BA211&lt;&gt;"",$BA211&amp;", ","")&amp;IF($BB211&lt;&gt;"",$BB211&amp;", ","")&amp;IF($BC211&lt;&gt;"",$BC211&amp;", ","")&amp;IF($DL211&lt;&gt;"",$DL211&amp;", ","")&amp;IF($DM211&lt;&gt;"",$DM211&amp;", ","")&amp;IF($DN211&lt;&gt;"",$DN211&amp;", ","")&amp;IF($DO211&lt;&gt;"",$DO211&amp;", ","")&amp;IF($DP211&lt;&gt;"",$DP211&amp;", ","")&amp;IF($DQ211&lt;&gt;"",$DQ211&amp;", ","")&amp;IF($DR211&lt;&gt;"",$DR211&amp;", ","")&amp;IF($DS211&lt;&gt;"",$DS211&amp;", ","")&amp;IF($DT211&lt;&gt;"",$DT211&amp;", ","")&amp;IF($DU211&lt;&gt;"",$DU211&amp;", ",""))="","OK","Onbekend: "&amp;LEFT((IF($AT211&lt;&gt;"",$AT211&amp;", ","")&amp;IF($AU211&lt;&gt;"",$AU211&amp;", ","")&amp;IF($AV211&lt;&gt;"",$AV211&amp;", ","")&amp;IF($AW211&lt;&gt;"",$AW211&amp;", ","")&amp;IF($AX211&lt;&gt;"",$AX211&amp;", ","")&amp;IF($AY211&lt;&gt;"",$AY211&amp;", ","")&amp;IF($AZ211&lt;&gt;"",$AZ211&amp;", ","")&amp;IF($BA211&lt;&gt;"",$BA211&amp;", ","")&amp;IF($BB211&lt;&gt;"",$BB211&amp;", ","")&amp;IF($BC211&lt;&gt;"",$BC211&amp;", ","")&amp;IF($DL211&lt;&gt;"",$DL211&amp;", ","")&amp;IF($DM211&lt;&gt;"",$DM211&amp;", ","")&amp;IF($DN211&lt;&gt;"",$DN211&amp;", ","")&amp;IF($DO211&lt;&gt;"",$DO211&amp;", ","")&amp;IF($DP211&lt;&gt;"",$DP211&amp;", ","")&amp;IF($DQ211&lt;&gt;"",$DQ211&amp;", ","")&amp;IF($DR211&lt;&gt;"",$DR211&amp;", ","")&amp;IF($DS211&lt;&gt;"",$DS211&amp;", ","")&amp;IF($DT211&lt;&gt;"",$DT211&amp;", ","")&amp;IF($DU211&lt;&gt;"",$DU211&amp;", ","")),LEN((IF($AT211&lt;&gt;"",$AT211&amp;", ","")&amp;IF($AU211&lt;&gt;"",$AU211&amp;", ","")&amp;IF($AV211&lt;&gt;"",$AV211&amp;", ","")&amp;IF($AW211&lt;&gt;"",$AW211&amp;", ","")&amp;IF($AX211&lt;&gt;"",$AX211&amp;", ","")&amp;IF($AY211&lt;&gt;"",$AY211&amp;", ","")&amp;IF($AZ211&lt;&gt;"",$AZ211&amp;", ","")&amp;IF($BA211&lt;&gt;"",$BA211&amp;", ","")&amp;IF($BB211&lt;&gt;"",$BB211&amp;", ","")&amp;IF($BC211&lt;&gt;"",$BC211&amp;", ","")&amp;IF($DL211&lt;&gt;"",$DL211&amp;", ","")&amp;IF($DM211&lt;&gt;"",$DM211&amp;", ","")&amp;IF($DN211&lt;&gt;"",$DN211&amp;", ","")&amp;IF($DO211&lt;&gt;"",$DO211&amp;", ","")&amp;IF($DP211&lt;&gt;"",$DP211&amp;", ","")&amp;IF($DQ211&lt;&gt;"",$DQ211&amp;", ","")&amp;IF($DR211&lt;&gt;"",$DR211&amp;", ","")&amp;IF($DS211&lt;&gt;"",$DS211&amp;", ","")&amp;IF($DT211&lt;&gt;"",$DT211&amp;", ","")&amp;IF($DU211&lt;&gt;"",$DU211&amp;", ","")))-2)))))))</f>
        <v/>
      </c>
      <c r="N211" t="str">
        <f t="shared" si="1592"/>
        <v/>
      </c>
      <c r="O211" t="str">
        <f t="shared" si="1593"/>
        <v/>
      </c>
      <c r="P211" t="str">
        <f t="shared" si="1594"/>
        <v/>
      </c>
      <c r="Q211" t="str">
        <f t="shared" si="1595"/>
        <v/>
      </c>
      <c r="R211" t="str">
        <f>IF($Q211="","",IF(OR($BE211="",$BF211=""),"ONZEKER",IF(AND($BE211=0+1,$BF211=0),IF(OR(COUNTIF(#REF!,$B211)&gt;0,COUNTIF(#REF!,$B211)=0),"SKIP",IF(COUNTIFS(#REF!,$B211,#REF!,$Q211)&gt;0,"OK","ONBEKEND")),IF(AND($BE211=0,$BF211=0+1),IF(OR(COUNTIF(#REF!,$D211)&gt;0,COUNTIF(#REF!,$D211)=0),"SKIP",IF(COUNTIFS(#REF!,$D211,#REF!,$Q211)&gt;0,"OK","ONBEKEND")),"ONZEKER"))))</f>
        <v/>
      </c>
      <c r="S211" t="str">
        <f t="shared" si="1596"/>
        <v/>
      </c>
      <c r="T211" t="str">
        <f t="shared" si="1597"/>
        <v/>
      </c>
      <c r="U211" t="str">
        <f>IF($T211="","",IF(OR($BH211="",$BI211=""),"ONZEKER",IF(OR($BE211="",$BF211=""),"ONZEKER",IF(AND($BH211=$BE211+1,$BI211=$BF211),IF(OR(COUNTIF(#REF!,$B211)&gt;0,COUNTIF(#REF!,$B211)=0),"SKIP",IF(COUNTIFS(#REF!,$B211,#REF!,$T211)&gt;0,"OK","ONBEKEND")),IF(AND($BH211=$BE211,$BI211=$BF211+1),IF(OR(COUNTIF(#REF!,$D211)&gt;0,COUNTIF(#REF!,$D211)=0),"SKIP",IF(COUNTIFS(#REF!,$D211,#REF!,$T211)&gt;0,"OK","ONBEKEND")),"ONZEKER")))))</f>
        <v/>
      </c>
      <c r="V211" t="str">
        <f t="shared" si="1598"/>
        <v/>
      </c>
      <c r="W211" t="str">
        <f t="shared" si="1599"/>
        <v/>
      </c>
      <c r="X211" t="str">
        <f>IF($W211="","",IF(OR($BK211="",$BL211=""),"ONZEKER",IF(OR($BH211="",$BI211=""),"ONZEKER",IF(AND($BK211=$BH211+1,$BL211=$BI211),IF(OR(COUNTIF(#REF!,$B211)&gt;0,COUNTIF(#REF!,$B211)=0),"SKIP",IF(COUNTIFS(#REF!,$B211,#REF!,$W211)&gt;0,"OK","ONBEKEND")),IF(AND($BK211=$BH211,$BL211=$BI211+1),IF(OR(COUNTIF(#REF!,$D211)&gt;0,COUNTIF(#REF!,$D211)=0),"SKIP",IF(COUNTIFS(#REF!,$D211,#REF!,$W211)&gt;0,"OK","ONBEKEND")),"ONZEKER")))))</f>
        <v/>
      </c>
      <c r="Y211" t="str">
        <f t="shared" si="1600"/>
        <v/>
      </c>
      <c r="Z211" t="str">
        <f t="shared" si="1601"/>
        <v/>
      </c>
      <c r="AA211" t="str">
        <f>IF($Z211="","",IF(OR($BN211="",$BO211=""),"ONZEKER",IF(OR($BK211="",$BL211=""),"ONZEKER",IF(AND($BN211=$BK211+1,$BO211=$BL211),IF(OR(COUNTIF(#REF!,$B211)&gt;0,COUNTIF(#REF!,$B211)=0),"SKIP",IF(COUNTIFS(#REF!,$B211,#REF!,$Z211)&gt;0,"OK","ONBEKEND")),IF(AND($BN211=$BK211,$BO211=$BL211+1),IF(OR(COUNTIF(#REF!,$D211)&gt;0,COUNTIF(#REF!,$D211)=0),"SKIP",IF(COUNTIFS(#REF!,$D211,#REF!,$Z211)&gt;0,"OK","ONBEKEND")),"ONZEKER")))))</f>
        <v/>
      </c>
      <c r="AB211" t="str">
        <f t="shared" si="1602"/>
        <v/>
      </c>
      <c r="AC211" t="str">
        <f t="shared" si="1603"/>
        <v/>
      </c>
      <c r="AD211" t="str">
        <f>IF($AC211="","",IF(OR($BQ211="",$BR211=""),"ONZEKER",IF(OR($BN211="",$BO211=""),"ONZEKER",IF(AND($BQ211=$BN211+1,$BR211=$BO211),IF(OR(COUNTIF(#REF!,$B211)&gt;0,COUNTIF(#REF!,$B211)=0),"SKIP",IF(COUNTIFS(#REF!,$B211,#REF!,$AC211)&gt;0,"OK","ONBEKEND")),IF(AND($BQ211=$BN211,$BR211=$BO211+1),IF(OR(COUNTIF(#REF!,$D211)&gt;0,COUNTIF(#REF!,$D211)=0),"SKIP",IF(COUNTIFS(#REF!,$D211,#REF!,$AC211)&gt;0,"OK","ONBEKEND")),"ONZEKER")))))</f>
        <v/>
      </c>
      <c r="AE211" t="str">
        <f t="shared" si="1604"/>
        <v/>
      </c>
      <c r="AF211" t="str">
        <f t="shared" si="1605"/>
        <v/>
      </c>
      <c r="AG211" t="str">
        <f>IF($AF211="","",IF(OR($BT211="",$BU211=""),"ONZEKER",IF(OR($BQ211="",$BR211=""),"ONZEKER",IF(AND($BT211=$BQ211+1,$BU211=$BR211),IF(OR(COUNTIF(#REF!,$B211)&gt;0,COUNTIF(#REF!,$B211)=0),"SKIP",IF(COUNTIFS(#REF!,$B211,#REF!,$AF211)&gt;0,"OK","ONBEKEND")),IF(AND($BT211=$BQ211,$BU211=$BR211+1),IF(OR(COUNTIF(#REF!,$D211)&gt;0,COUNTIF(#REF!,$D211)=0),"SKIP",IF(COUNTIFS(#REF!,$D211,#REF!,$AF211)&gt;0,"OK","ONBEKEND")),"ONZEKER")))))</f>
        <v/>
      </c>
      <c r="AH211" t="str">
        <f t="shared" si="1606"/>
        <v/>
      </c>
      <c r="AI211" t="str">
        <f t="shared" si="1607"/>
        <v/>
      </c>
      <c r="AJ211" t="str">
        <f>IF($AI211="","",IF(OR($BW211="",$BX211=""),"ONZEKER",IF(OR($BT211="",$BU211=""),"ONZEKER",IF(AND($BW211=$BT211+1,$BX211=$BU211),IF(OR(COUNTIF(#REF!,$B211)&gt;0,COUNTIF(#REF!,$B211)=0),"SKIP",IF(COUNTIFS(#REF!,$B211,#REF!,$AI211)&gt;0,"OK","ONBEKEND")),IF(AND($BW211=$BT211,$BX211=$BU211+1),IF(OR(COUNTIF(#REF!,$D211)&gt;0,COUNTIF(#REF!,$D211)=0),"SKIP",IF(COUNTIFS(#REF!,$D211,#REF!,$AI211)&gt;0,"OK","ONBEKEND")),"ONZEKER")))))</f>
        <v/>
      </c>
      <c r="AK211" t="str">
        <f t="shared" si="1608"/>
        <v/>
      </c>
      <c r="AL211" t="str">
        <f t="shared" si="1609"/>
        <v/>
      </c>
      <c r="AM211" t="str">
        <f>IF($AL211="","",IF(OR($BZ211="",$CA211=""),"ONZEKER",IF(OR($BW211="",$BX211=""),"ONZEKER",IF(AND($BZ211=$BW211+1,$CA211=$BX211),IF(OR(COUNTIF(#REF!,$B211)&gt;0,COUNTIF(#REF!,$B211)=0),"SKIP",IF(COUNTIFS(#REF!,$B211,#REF!,$AL211)&gt;0,"OK","ONBEKEND")),IF(AND($BZ211=$BW211,$CA211=$BX211+1),IF(OR(COUNTIF(#REF!,$D211)&gt;0,COUNTIF(#REF!,$D211)=0),"SKIP",IF(COUNTIFS(#REF!,$D211,#REF!,$AL211)&gt;0,"OK","ONBEKEND")),"ONZEKER")))))</f>
        <v/>
      </c>
      <c r="AN211" t="str">
        <f t="shared" si="1610"/>
        <v/>
      </c>
      <c r="AO211" t="str">
        <f t="shared" si="1611"/>
        <v/>
      </c>
      <c r="AP211" t="str">
        <f>IF($AO211="","",IF(OR($CC211="",$CD211=""),"ONZEKER",IF(OR($BZ211="",$CA211=""),"ONZEKER",IF(AND($CC211=$BZ211+1,$CD211=$CA211),IF(OR(COUNTIF(#REF!,$B211)&gt;0,COUNTIF(#REF!,$B211)=0),"SKIP",IF(COUNTIFS(#REF!,$B211,#REF!,$AO211)&gt;0,"OK","ONBEKEND")),IF(AND($CC211=$BZ211,$CD211=$CA211+1),IF(OR(COUNTIF(#REF!,$D211)&gt;0,COUNTIF(#REF!,$D211)=0),"SKIP",IF(COUNTIFS(#REF!,$D211,#REF!,$AO211)&gt;0,"OK","ONBEKEND")),"ONZEKER")))))</f>
        <v/>
      </c>
      <c r="AQ211" t="str">
        <f t="shared" si="1612"/>
        <v/>
      </c>
      <c r="AR211" t="str">
        <f t="shared" si="1613"/>
        <v/>
      </c>
      <c r="AS211" t="str">
        <f>IF($AR211="","",IF(OR($CF211="",$CG211=""),"ONZEKER",IF(OR($CC211="",$CD211=""),"ONZEKER",IF(AND($CF211=$CC211+1,$CG211=$CD211),IF(OR(COUNTIF(#REF!,$B211)&gt;0,COUNTIF(#REF!,$B211)=0),"SKIP",IF(COUNTIFS(#REF!,$B211,#REF!,$AR211)&gt;0,"OK","ONBEKEND")),IF(AND($CF211=$CC211,$CG211=$CD211+1),IF(OR(COUNTIF(#REF!,$D211)&gt;0,COUNTIF(#REF!,$D211)=0),"SKIP",IF(COUNTIFS(#REF!,$D211,#REF!,$AR211)&gt;0,"OK","ONBEKEND")),"ONZEKER")))))</f>
        <v/>
      </c>
      <c r="AT211" t="str">
        <f t="shared" si="1614"/>
        <v/>
      </c>
      <c r="AU211" t="str">
        <f t="shared" si="1615"/>
        <v/>
      </c>
      <c r="AV211" t="str">
        <f t="shared" si="1616"/>
        <v/>
      </c>
      <c r="AW211" t="str">
        <f t="shared" si="1617"/>
        <v/>
      </c>
      <c r="AX211" t="str">
        <f t="shared" si="1618"/>
        <v/>
      </c>
      <c r="AY211" t="str">
        <f t="shared" si="1619"/>
        <v/>
      </c>
      <c r="AZ211" t="str">
        <f t="shared" si="1620"/>
        <v/>
      </c>
      <c r="BA211" t="str">
        <f t="shared" si="1621"/>
        <v/>
      </c>
      <c r="BB211" t="str">
        <f t="shared" si="1622"/>
        <v/>
      </c>
      <c r="BC211" t="str">
        <f t="shared" si="1623"/>
        <v/>
      </c>
      <c r="BD211" t="str">
        <f t="shared" si="1470"/>
        <v/>
      </c>
      <c r="BE211" t="str">
        <f t="shared" si="1471"/>
        <v/>
      </c>
      <c r="BF211" t="str">
        <f t="shared" si="1472"/>
        <v/>
      </c>
      <c r="BG211" t="str">
        <f t="shared" si="1473"/>
        <v/>
      </c>
      <c r="BH211" t="str">
        <f t="shared" si="1474"/>
        <v/>
      </c>
      <c r="BI211" t="str">
        <f t="shared" si="1475"/>
        <v/>
      </c>
      <c r="BJ211" t="str">
        <f t="shared" si="1476"/>
        <v/>
      </c>
      <c r="BK211" t="str">
        <f t="shared" si="1477"/>
        <v/>
      </c>
      <c r="BL211" t="str">
        <f t="shared" si="1478"/>
        <v/>
      </c>
      <c r="BM211" t="str">
        <f t="shared" si="1479"/>
        <v/>
      </c>
      <c r="BN211" t="str">
        <f t="shared" si="1480"/>
        <v/>
      </c>
      <c r="BO211" t="str">
        <f t="shared" si="1481"/>
        <v/>
      </c>
      <c r="BP211" t="str">
        <f t="shared" si="1482"/>
        <v/>
      </c>
      <c r="BQ211" t="str">
        <f t="shared" si="1483"/>
        <v/>
      </c>
      <c r="BR211" t="str">
        <f t="shared" si="1484"/>
        <v/>
      </c>
      <c r="BS211" t="str">
        <f t="shared" si="1485"/>
        <v/>
      </c>
      <c r="BT211" t="str">
        <f t="shared" si="1486"/>
        <v/>
      </c>
      <c r="BU211" t="str">
        <f t="shared" si="1487"/>
        <v/>
      </c>
      <c r="BV211" t="str">
        <f t="shared" si="1488"/>
        <v/>
      </c>
      <c r="BW211" t="str">
        <f t="shared" si="1489"/>
        <v/>
      </c>
      <c r="BX211" t="str">
        <f t="shared" si="1490"/>
        <v/>
      </c>
      <c r="BY211" t="str">
        <f t="shared" si="1491"/>
        <v/>
      </c>
      <c r="BZ211" t="str">
        <f t="shared" si="1492"/>
        <v/>
      </c>
      <c r="CA211" t="str">
        <f t="shared" si="1493"/>
        <v/>
      </c>
      <c r="CB211" t="str">
        <f t="shared" si="1494"/>
        <v/>
      </c>
      <c r="CC211" t="str">
        <f t="shared" si="1495"/>
        <v/>
      </c>
      <c r="CD211" t="str">
        <f t="shared" si="1496"/>
        <v/>
      </c>
      <c r="CE211" t="str">
        <f t="shared" si="1497"/>
        <v/>
      </c>
      <c r="CF211" t="str">
        <f t="shared" si="1498"/>
        <v/>
      </c>
      <c r="CG211" t="str">
        <f t="shared" si="1499"/>
        <v/>
      </c>
      <c r="CH211" t="str">
        <f t="shared" si="1624"/>
        <v/>
      </c>
      <c r="CI211" t="str">
        <f t="shared" si="1625"/>
        <v/>
      </c>
      <c r="CJ211" t="str">
        <f>IF($CI211="","",IF(OR($DW211="",$DX211=""),"ONZEKER",IF(OR($CF211="",$CG211=""),"ONZEKER",IF(AND($DW211=$CF211+1,$DX211=$CG211),IF(OR(COUNTIF(#REF!,$B211)&gt;0,COUNTIF(#REF!,$B211)=0),"SKIP",IF(COUNTIFS(#REF!,$B211,#REF!,$CI211)&gt;0,"OK","ONBEKEND")),IF(AND($DW211=$CF211,$DX211=$CG211+1),IF(OR(COUNTIF(#REF!,$D211)&gt;0,COUNTIF(#REF!,$D211)=0),"SKIP",IF(COUNTIFS(#REF!,$D211,#REF!,$CI211)&gt;0,"OK","ONBEKEND")),"ONZEKER")))))</f>
        <v/>
      </c>
      <c r="CK211" t="str">
        <f t="shared" si="1626"/>
        <v/>
      </c>
      <c r="CL211" t="str">
        <f t="shared" si="1627"/>
        <v/>
      </c>
      <c r="CM211" t="str">
        <f>IF($CL211="","",IF(OR($DZ211="",$EA211=""),"ONZEKER",IF(OR($DW211="",$DX211=""),"ONZEKER",IF(AND($DZ211=$DW211+1,$EA211=$DX211),IF(OR(COUNTIF(#REF!,$B211)&gt;0,COUNTIF(#REF!,$B211)=0),"SKIP",IF(COUNTIFS(#REF!,$B211,#REF!,$CL211)&gt;0,"OK","ONBEKEND")),IF(AND($DZ211=$DW211,$EA211=$DX211+1),IF(OR(COUNTIF(#REF!,$D211)&gt;0,COUNTIF(#REF!,$D211)=0),"SKIP",IF(COUNTIFS(#REF!,$D211,#REF!,$CL211)&gt;0,"OK","ONBEKEND")),"ONZEKER")))))</f>
        <v/>
      </c>
      <c r="CN211" t="str">
        <f t="shared" si="1628"/>
        <v/>
      </c>
      <c r="CO211" t="str">
        <f t="shared" si="1629"/>
        <v/>
      </c>
      <c r="CP211" t="str">
        <f>IF($CO211="","",IF(OR($EC211="",$ED211=""),"ONZEKER",IF(OR($DZ211="",$EA211=""),"ONZEKER",IF(AND($EC211=$DZ211+1,$ED211=$EA211),IF(OR(COUNTIF(#REF!,$B211)&gt;0,COUNTIF(#REF!,$B211)=0),"SKIP",IF(COUNTIFS(#REF!,$B211,#REF!,$CO211)&gt;0,"OK","ONBEKEND")),IF(AND($EC211=$DZ211,$ED211=$EA211+1),IF(OR(COUNTIF(#REF!,$D211)&gt;0,COUNTIF(#REF!,$D211)=0),"SKIP",IF(COUNTIFS(#REF!,$D211,#REF!,$CO211)&gt;0,"OK","ONBEKEND")),"ONZEKER")))))</f>
        <v/>
      </c>
      <c r="CQ211" t="str">
        <f t="shared" si="1630"/>
        <v/>
      </c>
      <c r="CR211" t="str">
        <f t="shared" si="1631"/>
        <v/>
      </c>
      <c r="CS211" t="str">
        <f>IF($CR211="","",IF(OR($EF211="",$EG211=""),"ONZEKER",IF(OR($EC211="",$ED211=""),"ONZEKER",IF(AND($EF211=$EC211+1,$EG211=$ED211),IF(OR(COUNTIF(#REF!,$B211)&gt;0,COUNTIF(#REF!,$B211)=0),"SKIP",IF(COUNTIFS(#REF!,$B211,#REF!,$CR211)&gt;0,"OK","ONBEKEND")),IF(AND($EF211=$EC211,$EG211=$ED211+1),IF(OR(COUNTIF(#REF!,$D211)&gt;0,COUNTIF(#REF!,$D211)=0),"SKIP",IF(COUNTIFS(#REF!,$D211,#REF!,$CR211)&gt;0,"OK","ONBEKEND")),"ONZEKER")))))</f>
        <v/>
      </c>
      <c r="CT211" t="str">
        <f t="shared" si="1632"/>
        <v/>
      </c>
      <c r="CU211" t="str">
        <f t="shared" si="1633"/>
        <v/>
      </c>
      <c r="CV211" t="str">
        <f>IF($CU211="","",IF(OR($EI211="",$EJ211=""),"ONZEKER",IF(OR($EF211="",$EG211=""),"ONZEKER",IF(AND($EI211=$EF211+1,$EJ211=$EG211),IF(OR(COUNTIF(#REF!,$B211)&gt;0,COUNTIF(#REF!,$B211)=0),"SKIP",IF(COUNTIFS(#REF!,$B211,#REF!,$CU211)&gt;0,"OK","ONBEKEND")),IF(AND($EI211=$EF211,$EJ211=$EG211+1),IF(OR(COUNTIF(#REF!,$D211)&gt;0,COUNTIF(#REF!,$D211)=0),"SKIP",IF(COUNTIFS(#REF!,$D211,#REF!,$CU211)&gt;0,"OK","ONBEKEND")),"ONZEKER")))))</f>
        <v/>
      </c>
      <c r="CW211" t="str">
        <f t="shared" si="1634"/>
        <v/>
      </c>
      <c r="CX211" t="str">
        <f t="shared" si="1635"/>
        <v/>
      </c>
      <c r="CY211" t="str">
        <f>IF($CX211="","",IF(OR($EL211="",$EM211=""),"ONZEKER",IF(OR($EI211="",$EJ211=""),"ONZEKER",IF(AND($EL211=$EI211+1,$EM211=$EJ211),IF(OR(COUNTIF(#REF!,$B211)&gt;0,COUNTIF(#REF!,$B211)=0),"SKIP",IF(COUNTIFS(#REF!,$B211,#REF!,$CX211)&gt;0,"OK","ONBEKEND")),IF(AND($EL211=$EI211,$EM211=$EJ211+1),IF(OR(COUNTIF(#REF!,$D211)&gt;0,COUNTIF(#REF!,$D211)=0),"SKIP",IF(COUNTIFS(#REF!,$D211,#REF!,$CX211)&gt;0,"OK","ONBEKEND")),"ONZEKER")))))</f>
        <v/>
      </c>
      <c r="CZ211" t="str">
        <f t="shared" si="1636"/>
        <v/>
      </c>
      <c r="DA211" t="str">
        <f t="shared" si="1637"/>
        <v/>
      </c>
      <c r="DB211" t="str">
        <f>IF($DA211="","",IF(OR($EO211="",$EP211=""),"ONZEKER",IF(OR($EL211="",$EM211=""),"ONZEKER",IF(AND($EO211=$EL211+1,$EP211=$EM211),IF(OR(COUNTIF(#REF!,$B211)&gt;0,COUNTIF(#REF!,$B211)=0),"SKIP",IF(COUNTIFS(#REF!,$B211,#REF!,$DA211)&gt;0,"OK","ONBEKEND")),IF(AND($EO211=$EL211,$EP211=$EM211+1),IF(OR(COUNTIF(#REF!,$D211)&gt;0,COUNTIF(#REF!,$D211)=0),"SKIP",IF(COUNTIFS(#REF!,$D211,#REF!,$DA211)&gt;0,"OK","ONBEKEND")),"ONZEKER")))))</f>
        <v/>
      </c>
      <c r="DC211" t="str">
        <f t="shared" si="1638"/>
        <v/>
      </c>
      <c r="DD211" t="str">
        <f t="shared" si="1639"/>
        <v/>
      </c>
      <c r="DE211" t="str">
        <f>IF($DD211="","",IF(OR($ER211="",$ES211=""),"ONZEKER",IF(OR($EO211="",$EP211=""),"ONZEKER",IF(AND($ER211=$EO211+1,$ES211=$EP211),IF(OR(COUNTIF(#REF!,$B211)&gt;0,COUNTIF(#REF!,$B211)=0),"SKIP",IF(COUNTIFS(#REF!,$B211,#REF!,$DD211)&gt;0,"OK","ONBEKEND")),IF(AND($ER211=$EO211,$ES211=$EP211+1),IF(OR(COUNTIF(#REF!,$D211)&gt;0,COUNTIF(#REF!,$D211)=0),"SKIP",IF(COUNTIFS(#REF!,$D211,#REF!,$DD211)&gt;0,"OK","ONBEKEND")),"ONZEKER")))))</f>
        <v/>
      </c>
      <c r="DF211" t="str">
        <f t="shared" si="1640"/>
        <v/>
      </c>
      <c r="DG211" t="str">
        <f t="shared" si="1641"/>
        <v/>
      </c>
      <c r="DH211" t="str">
        <f>IF($DG211="","",IF(OR($EU211="",$EV211=""),"ONZEKER",IF(OR($ER211="",$ES211=""),"ONZEKER",IF(AND($EU211=$ER211+1,$EV211=$ES211),IF(OR(COUNTIF(#REF!,$B211)&gt;0,COUNTIF(#REF!,$B211)=0),"SKIP",IF(COUNTIFS(#REF!,$B211,#REF!,$DG211)&gt;0,"OK","ONBEKEND")),IF(AND($EU211=$ER211,$EV211=$ES211+1),IF(OR(COUNTIF(#REF!,$D211)&gt;0,COUNTIF(#REF!,$D211)=0),"SKIP",IF(COUNTIFS(#REF!,$D211,#REF!,$DG211)&gt;0,"OK","ONBEKEND")),"ONZEKER")))))</f>
        <v/>
      </c>
      <c r="DI211" t="str">
        <f t="shared" si="1642"/>
        <v/>
      </c>
      <c r="DJ211" t="str">
        <f t="shared" si="1643"/>
        <v/>
      </c>
      <c r="DK211" t="str">
        <f>IF($DJ211="","",IF(OR($EX211="",$EY211=""),"ONZEKER",IF(OR($EU211="",$EV211=""),"ONZEKER",IF(AND($EX211=$EU211+1,$EY211=$EV211),IF(OR(COUNTIF(#REF!,$B211)&gt;0,COUNTIF(#REF!,$B211)=0),"SKIP",IF(COUNTIFS(#REF!,$B211,#REF!,$DJ211)&gt;0,"OK","ONBEKEND")),IF(AND($EX211=$EU211,$EY211=$EV211+1),IF(OR(COUNTIF(#REF!,$D211)&gt;0,COUNTIF(#REF!,$D211)=0),"SKIP",IF(COUNTIFS(#REF!,$D211,#REF!,$DJ211)&gt;0,"OK","ONBEKEND")),"ONZEKER")))))</f>
        <v/>
      </c>
      <c r="DL211" t="str">
        <f t="shared" si="1644"/>
        <v/>
      </c>
      <c r="DM211" t="str">
        <f t="shared" si="1645"/>
        <v/>
      </c>
      <c r="DN211" t="str">
        <f t="shared" si="1646"/>
        <v/>
      </c>
      <c r="DO211" t="str">
        <f t="shared" si="1647"/>
        <v/>
      </c>
      <c r="DP211" t="str">
        <f t="shared" si="1648"/>
        <v/>
      </c>
      <c r="DQ211" t="str">
        <f t="shared" si="1649"/>
        <v/>
      </c>
      <c r="DR211" t="str">
        <f t="shared" si="1650"/>
        <v/>
      </c>
      <c r="DS211" t="str">
        <f t="shared" si="1651"/>
        <v/>
      </c>
      <c r="DT211" t="str">
        <f t="shared" si="1652"/>
        <v/>
      </c>
      <c r="DU211" t="str">
        <f t="shared" si="1653"/>
        <v/>
      </c>
      <c r="DV211" t="str">
        <f t="shared" si="1654"/>
        <v/>
      </c>
      <c r="DW211" t="str">
        <f t="shared" si="1655"/>
        <v/>
      </c>
      <c r="DX211" t="str">
        <f t="shared" si="1656"/>
        <v/>
      </c>
      <c r="DY211" t="str">
        <f t="shared" si="1657"/>
        <v/>
      </c>
      <c r="DZ211" t="str">
        <f t="shared" si="1658"/>
        <v/>
      </c>
      <c r="EA211" t="str">
        <f t="shared" si="1659"/>
        <v/>
      </c>
      <c r="EB211" t="str">
        <f t="shared" si="1660"/>
        <v/>
      </c>
      <c r="EC211" t="str">
        <f t="shared" si="1661"/>
        <v/>
      </c>
      <c r="ED211" t="str">
        <f t="shared" si="1662"/>
        <v/>
      </c>
      <c r="EE211" t="str">
        <f t="shared" si="1663"/>
        <v/>
      </c>
      <c r="EF211" t="str">
        <f t="shared" si="1664"/>
        <v/>
      </c>
      <c r="EG211" t="str">
        <f t="shared" si="1665"/>
        <v/>
      </c>
      <c r="EH211" t="str">
        <f t="shared" si="1666"/>
        <v/>
      </c>
      <c r="EI211" t="str">
        <f t="shared" si="1667"/>
        <v/>
      </c>
      <c r="EJ211" t="str">
        <f t="shared" si="1668"/>
        <v/>
      </c>
      <c r="EK211" t="str">
        <f t="shared" si="1669"/>
        <v/>
      </c>
      <c r="EL211" t="str">
        <f t="shared" si="1670"/>
        <v/>
      </c>
      <c r="EM211" t="str">
        <f t="shared" si="1671"/>
        <v/>
      </c>
      <c r="EN211" t="str">
        <f t="shared" si="1672"/>
        <v/>
      </c>
      <c r="EO211" t="str">
        <f t="shared" si="1673"/>
        <v/>
      </c>
      <c r="EP211" t="str">
        <f t="shared" si="1674"/>
        <v/>
      </c>
      <c r="EQ211" t="str">
        <f t="shared" si="1675"/>
        <v/>
      </c>
      <c r="ER211" t="str">
        <f t="shared" si="1676"/>
        <v/>
      </c>
      <c r="ES211" t="str">
        <f t="shared" si="1677"/>
        <v/>
      </c>
      <c r="ET211" t="str">
        <f t="shared" si="1678"/>
        <v/>
      </c>
      <c r="EU211" t="str">
        <f t="shared" si="1679"/>
        <v/>
      </c>
      <c r="EV211" t="str">
        <f t="shared" si="1680"/>
        <v/>
      </c>
      <c r="EW211" t="str">
        <f t="shared" si="1681"/>
        <v/>
      </c>
      <c r="EX211" t="str">
        <f t="shared" si="1682"/>
        <v/>
      </c>
      <c r="EY211" t="str">
        <f t="shared" si="1683"/>
        <v/>
      </c>
    </row>
    <row r="212" spans="1:155" ht="13.9" customHeight="1" x14ac:dyDescent="0.25">
      <c r="A212" s="7"/>
      <c r="B212" s="17"/>
      <c r="C212" s="8"/>
      <c r="D212" s="17"/>
      <c r="E212" s="8"/>
      <c r="F212" s="18">
        <v>0</v>
      </c>
      <c r="G212" s="7" t="s">
        <v>147</v>
      </c>
      <c r="H212" s="18">
        <v>0</v>
      </c>
      <c r="I212" s="19">
        <v>0</v>
      </c>
      <c r="J212" s="7" t="s">
        <v>147</v>
      </c>
      <c r="K212" s="19">
        <v>0</v>
      </c>
      <c r="L212" s="9"/>
      <c r="M212" s="3" t="str">
        <f>IF($L212="","",IF($L212="DOELPUNTENMAKERS","",IF(AND(COUNTIF(#REF!,$B212)=0,COUNTIF(#REF!,$D212)=0),"OK",IF($O212&gt;20,"LET OP: meer dan 20 items (controle onvolledig)",IF((COUNTIF($R212:$AS212,"ONZEKER")+COUNTIF($CJ212:$DK212,"ONZEKER"))&gt;0,"LET OP: scoreverloop onduidelijk (controle beperkt)",IF((IF($AT212&lt;&gt;"",$AT212&amp;", ","")&amp;IF($AU212&lt;&gt;"",$AU212&amp;", ","")&amp;IF($AV212&lt;&gt;"",$AV212&amp;", ","")&amp;IF($AW212&lt;&gt;"",$AW212&amp;", ","")&amp;IF($AX212&lt;&gt;"",$AX212&amp;", ","")&amp;IF($AY212&lt;&gt;"",$AY212&amp;", ","")&amp;IF($AZ212&lt;&gt;"",$AZ212&amp;", ","")&amp;IF($BA212&lt;&gt;"",$BA212&amp;", ","")&amp;IF($BB212&lt;&gt;"",$BB212&amp;", ","")&amp;IF($BC212&lt;&gt;"",$BC212&amp;", ","")&amp;IF($DL212&lt;&gt;"",$DL212&amp;", ","")&amp;IF($DM212&lt;&gt;"",$DM212&amp;", ","")&amp;IF($DN212&lt;&gt;"",$DN212&amp;", ","")&amp;IF($DO212&lt;&gt;"",$DO212&amp;", ","")&amp;IF($DP212&lt;&gt;"",$DP212&amp;", ","")&amp;IF($DQ212&lt;&gt;"",$DQ212&amp;", ","")&amp;IF($DR212&lt;&gt;"",$DR212&amp;", ","")&amp;IF($DS212&lt;&gt;"",$DS212&amp;", ","")&amp;IF($DT212&lt;&gt;"",$DT212&amp;", ","")&amp;IF($DU212&lt;&gt;"",$DU212&amp;", ",""))="","OK","Onbekend: "&amp;LEFT((IF($AT212&lt;&gt;"",$AT212&amp;", ","")&amp;IF($AU212&lt;&gt;"",$AU212&amp;", ","")&amp;IF($AV212&lt;&gt;"",$AV212&amp;", ","")&amp;IF($AW212&lt;&gt;"",$AW212&amp;", ","")&amp;IF($AX212&lt;&gt;"",$AX212&amp;", ","")&amp;IF($AY212&lt;&gt;"",$AY212&amp;", ","")&amp;IF($AZ212&lt;&gt;"",$AZ212&amp;", ","")&amp;IF($BA212&lt;&gt;"",$BA212&amp;", ","")&amp;IF($BB212&lt;&gt;"",$BB212&amp;", ","")&amp;IF($BC212&lt;&gt;"",$BC212&amp;", ","")&amp;IF($DL212&lt;&gt;"",$DL212&amp;", ","")&amp;IF($DM212&lt;&gt;"",$DM212&amp;", ","")&amp;IF($DN212&lt;&gt;"",$DN212&amp;", ","")&amp;IF($DO212&lt;&gt;"",$DO212&amp;", ","")&amp;IF($DP212&lt;&gt;"",$DP212&amp;", ","")&amp;IF($DQ212&lt;&gt;"",$DQ212&amp;", ","")&amp;IF($DR212&lt;&gt;"",$DR212&amp;", ","")&amp;IF($DS212&lt;&gt;"",$DS212&amp;", ","")&amp;IF($DT212&lt;&gt;"",$DT212&amp;", ","")&amp;IF($DU212&lt;&gt;"",$DU212&amp;", ","")),LEN((IF($AT212&lt;&gt;"",$AT212&amp;", ","")&amp;IF($AU212&lt;&gt;"",$AU212&amp;", ","")&amp;IF($AV212&lt;&gt;"",$AV212&amp;", ","")&amp;IF($AW212&lt;&gt;"",$AW212&amp;", ","")&amp;IF($AX212&lt;&gt;"",$AX212&amp;", ","")&amp;IF($AY212&lt;&gt;"",$AY212&amp;", ","")&amp;IF($AZ212&lt;&gt;"",$AZ212&amp;", ","")&amp;IF($BA212&lt;&gt;"",$BA212&amp;", ","")&amp;IF($BB212&lt;&gt;"",$BB212&amp;", ","")&amp;IF($BC212&lt;&gt;"",$BC212&amp;", ","")&amp;IF($DL212&lt;&gt;"",$DL212&amp;", ","")&amp;IF($DM212&lt;&gt;"",$DM212&amp;", ","")&amp;IF($DN212&lt;&gt;"",$DN212&amp;", ","")&amp;IF($DO212&lt;&gt;"",$DO212&amp;", ","")&amp;IF($DP212&lt;&gt;"",$DP212&amp;", ","")&amp;IF($DQ212&lt;&gt;"",$DQ212&amp;", ","")&amp;IF($DR212&lt;&gt;"",$DR212&amp;", ","")&amp;IF($DS212&lt;&gt;"",$DS212&amp;", ","")&amp;IF($DT212&lt;&gt;"",$DT212&amp;", ","")&amp;IF($DU212&lt;&gt;"",$DU212&amp;", ","")))-2)))))))</f>
        <v/>
      </c>
      <c r="N212" t="str">
        <f t="shared" si="1592"/>
        <v/>
      </c>
      <c r="O212" t="str">
        <f t="shared" si="1593"/>
        <v/>
      </c>
      <c r="P212" t="str">
        <f t="shared" si="1594"/>
        <v/>
      </c>
      <c r="Q212" t="str">
        <f t="shared" si="1595"/>
        <v/>
      </c>
      <c r="R212" t="str">
        <f>IF($Q212="","",IF(OR($BE212="",$BF212=""),"ONZEKER",IF(AND($BE212=0+1,$BF212=0),IF(OR(COUNTIF(#REF!,$B212)&gt;0,COUNTIF(#REF!,$B212)=0),"SKIP",IF(COUNTIFS(#REF!,$B212,#REF!,$Q212)&gt;0,"OK","ONBEKEND")),IF(AND($BE212=0,$BF212=0+1),IF(OR(COUNTIF(#REF!,$D212)&gt;0,COUNTIF(#REF!,$D212)=0),"SKIP",IF(COUNTIFS(#REF!,$D212,#REF!,$Q212)&gt;0,"OK","ONBEKEND")),"ONZEKER"))))</f>
        <v/>
      </c>
      <c r="S212" t="str">
        <f t="shared" si="1596"/>
        <v/>
      </c>
      <c r="T212" t="str">
        <f t="shared" si="1597"/>
        <v/>
      </c>
      <c r="U212" t="str">
        <f>IF($T212="","",IF(OR($BH212="",$BI212=""),"ONZEKER",IF(OR($BE212="",$BF212=""),"ONZEKER",IF(AND($BH212=$BE212+1,$BI212=$BF212),IF(OR(COUNTIF(#REF!,$B212)&gt;0,COUNTIF(#REF!,$B212)=0),"SKIP",IF(COUNTIFS(#REF!,$B212,#REF!,$T212)&gt;0,"OK","ONBEKEND")),IF(AND($BH212=$BE212,$BI212=$BF212+1),IF(OR(COUNTIF(#REF!,$D212)&gt;0,COUNTIF(#REF!,$D212)=0),"SKIP",IF(COUNTIFS(#REF!,$D212,#REF!,$T212)&gt;0,"OK","ONBEKEND")),"ONZEKER")))))</f>
        <v/>
      </c>
      <c r="V212" t="str">
        <f t="shared" si="1598"/>
        <v/>
      </c>
      <c r="W212" t="str">
        <f t="shared" si="1599"/>
        <v/>
      </c>
      <c r="X212" t="str">
        <f>IF($W212="","",IF(OR($BK212="",$BL212=""),"ONZEKER",IF(OR($BH212="",$BI212=""),"ONZEKER",IF(AND($BK212=$BH212+1,$BL212=$BI212),IF(OR(COUNTIF(#REF!,$B212)&gt;0,COUNTIF(#REF!,$B212)=0),"SKIP",IF(COUNTIFS(#REF!,$B212,#REF!,$W212)&gt;0,"OK","ONBEKEND")),IF(AND($BK212=$BH212,$BL212=$BI212+1),IF(OR(COUNTIF(#REF!,$D212)&gt;0,COUNTIF(#REF!,$D212)=0),"SKIP",IF(COUNTIFS(#REF!,$D212,#REF!,$W212)&gt;0,"OK","ONBEKEND")),"ONZEKER")))))</f>
        <v/>
      </c>
      <c r="Y212" t="str">
        <f t="shared" si="1600"/>
        <v/>
      </c>
      <c r="Z212" t="str">
        <f t="shared" si="1601"/>
        <v/>
      </c>
      <c r="AA212" t="str">
        <f>IF($Z212="","",IF(OR($BN212="",$BO212=""),"ONZEKER",IF(OR($BK212="",$BL212=""),"ONZEKER",IF(AND($BN212=$BK212+1,$BO212=$BL212),IF(OR(COUNTIF(#REF!,$B212)&gt;0,COUNTIF(#REF!,$B212)=0),"SKIP",IF(COUNTIFS(#REF!,$B212,#REF!,$Z212)&gt;0,"OK","ONBEKEND")),IF(AND($BN212=$BK212,$BO212=$BL212+1),IF(OR(COUNTIF(#REF!,$D212)&gt;0,COUNTIF(#REF!,$D212)=0),"SKIP",IF(COUNTIFS(#REF!,$D212,#REF!,$Z212)&gt;0,"OK","ONBEKEND")),"ONZEKER")))))</f>
        <v/>
      </c>
      <c r="AB212" t="str">
        <f t="shared" si="1602"/>
        <v/>
      </c>
      <c r="AC212" t="str">
        <f t="shared" si="1603"/>
        <v/>
      </c>
      <c r="AD212" t="str">
        <f>IF($AC212="","",IF(OR($BQ212="",$BR212=""),"ONZEKER",IF(OR($BN212="",$BO212=""),"ONZEKER",IF(AND($BQ212=$BN212+1,$BR212=$BO212),IF(OR(COUNTIF(#REF!,$B212)&gt;0,COUNTIF(#REF!,$B212)=0),"SKIP",IF(COUNTIFS(#REF!,$B212,#REF!,$AC212)&gt;0,"OK","ONBEKEND")),IF(AND($BQ212=$BN212,$BR212=$BO212+1),IF(OR(COUNTIF(#REF!,$D212)&gt;0,COUNTIF(#REF!,$D212)=0),"SKIP",IF(COUNTIFS(#REF!,$D212,#REF!,$AC212)&gt;0,"OK","ONBEKEND")),"ONZEKER")))))</f>
        <v/>
      </c>
      <c r="AE212" t="str">
        <f t="shared" si="1604"/>
        <v/>
      </c>
      <c r="AF212" t="str">
        <f t="shared" si="1605"/>
        <v/>
      </c>
      <c r="AG212" t="str">
        <f>IF($AF212="","",IF(OR($BT212="",$BU212=""),"ONZEKER",IF(OR($BQ212="",$BR212=""),"ONZEKER",IF(AND($BT212=$BQ212+1,$BU212=$BR212),IF(OR(COUNTIF(#REF!,$B212)&gt;0,COUNTIF(#REF!,$B212)=0),"SKIP",IF(COUNTIFS(#REF!,$B212,#REF!,$AF212)&gt;0,"OK","ONBEKEND")),IF(AND($BT212=$BQ212,$BU212=$BR212+1),IF(OR(COUNTIF(#REF!,$D212)&gt;0,COUNTIF(#REF!,$D212)=0),"SKIP",IF(COUNTIFS(#REF!,$D212,#REF!,$AF212)&gt;0,"OK","ONBEKEND")),"ONZEKER")))))</f>
        <v/>
      </c>
      <c r="AH212" t="str">
        <f t="shared" si="1606"/>
        <v/>
      </c>
      <c r="AI212" t="str">
        <f t="shared" si="1607"/>
        <v/>
      </c>
      <c r="AJ212" t="str">
        <f>IF($AI212="","",IF(OR($BW212="",$BX212=""),"ONZEKER",IF(OR($BT212="",$BU212=""),"ONZEKER",IF(AND($BW212=$BT212+1,$BX212=$BU212),IF(OR(COUNTIF(#REF!,$B212)&gt;0,COUNTIF(#REF!,$B212)=0),"SKIP",IF(COUNTIFS(#REF!,$B212,#REF!,$AI212)&gt;0,"OK","ONBEKEND")),IF(AND($BW212=$BT212,$BX212=$BU212+1),IF(OR(COUNTIF(#REF!,$D212)&gt;0,COUNTIF(#REF!,$D212)=0),"SKIP",IF(COUNTIFS(#REF!,$D212,#REF!,$AI212)&gt;0,"OK","ONBEKEND")),"ONZEKER")))))</f>
        <v/>
      </c>
      <c r="AK212" t="str">
        <f t="shared" si="1608"/>
        <v/>
      </c>
      <c r="AL212" t="str">
        <f t="shared" si="1609"/>
        <v/>
      </c>
      <c r="AM212" t="str">
        <f>IF($AL212="","",IF(OR($BZ212="",$CA212=""),"ONZEKER",IF(OR($BW212="",$BX212=""),"ONZEKER",IF(AND($BZ212=$BW212+1,$CA212=$BX212),IF(OR(COUNTIF(#REF!,$B212)&gt;0,COUNTIF(#REF!,$B212)=0),"SKIP",IF(COUNTIFS(#REF!,$B212,#REF!,$AL212)&gt;0,"OK","ONBEKEND")),IF(AND($BZ212=$BW212,$CA212=$BX212+1),IF(OR(COUNTIF(#REF!,$D212)&gt;0,COUNTIF(#REF!,$D212)=0),"SKIP",IF(COUNTIFS(#REF!,$D212,#REF!,$AL212)&gt;0,"OK","ONBEKEND")),"ONZEKER")))))</f>
        <v/>
      </c>
      <c r="AN212" t="str">
        <f t="shared" si="1610"/>
        <v/>
      </c>
      <c r="AO212" t="str">
        <f t="shared" si="1611"/>
        <v/>
      </c>
      <c r="AP212" t="str">
        <f>IF($AO212="","",IF(OR($CC212="",$CD212=""),"ONZEKER",IF(OR($BZ212="",$CA212=""),"ONZEKER",IF(AND($CC212=$BZ212+1,$CD212=$CA212),IF(OR(COUNTIF(#REF!,$B212)&gt;0,COUNTIF(#REF!,$B212)=0),"SKIP",IF(COUNTIFS(#REF!,$B212,#REF!,$AO212)&gt;0,"OK","ONBEKEND")),IF(AND($CC212=$BZ212,$CD212=$CA212+1),IF(OR(COUNTIF(#REF!,$D212)&gt;0,COUNTIF(#REF!,$D212)=0),"SKIP",IF(COUNTIFS(#REF!,$D212,#REF!,$AO212)&gt;0,"OK","ONBEKEND")),"ONZEKER")))))</f>
        <v/>
      </c>
      <c r="AQ212" t="str">
        <f t="shared" si="1612"/>
        <v/>
      </c>
      <c r="AR212" t="str">
        <f t="shared" si="1613"/>
        <v/>
      </c>
      <c r="AS212" t="str">
        <f>IF($AR212="","",IF(OR($CF212="",$CG212=""),"ONZEKER",IF(OR($CC212="",$CD212=""),"ONZEKER",IF(AND($CF212=$CC212+1,$CG212=$CD212),IF(OR(COUNTIF(#REF!,$B212)&gt;0,COUNTIF(#REF!,$B212)=0),"SKIP",IF(COUNTIFS(#REF!,$B212,#REF!,$AR212)&gt;0,"OK","ONBEKEND")),IF(AND($CF212=$CC212,$CG212=$CD212+1),IF(OR(COUNTIF(#REF!,$D212)&gt;0,COUNTIF(#REF!,$D212)=0),"SKIP",IF(COUNTIFS(#REF!,$D212,#REF!,$AR212)&gt;0,"OK","ONBEKEND")),"ONZEKER")))))</f>
        <v/>
      </c>
      <c r="AT212" t="str">
        <f t="shared" si="1614"/>
        <v/>
      </c>
      <c r="AU212" t="str">
        <f t="shared" si="1615"/>
        <v/>
      </c>
      <c r="AV212" t="str">
        <f t="shared" si="1616"/>
        <v/>
      </c>
      <c r="AW212" t="str">
        <f t="shared" si="1617"/>
        <v/>
      </c>
      <c r="AX212" t="str">
        <f t="shared" si="1618"/>
        <v/>
      </c>
      <c r="AY212" t="str">
        <f t="shared" si="1619"/>
        <v/>
      </c>
      <c r="AZ212" t="str">
        <f t="shared" si="1620"/>
        <v/>
      </c>
      <c r="BA212" t="str">
        <f t="shared" si="1621"/>
        <v/>
      </c>
      <c r="BB212" t="str">
        <f t="shared" si="1622"/>
        <v/>
      </c>
      <c r="BC212" t="str">
        <f t="shared" si="1623"/>
        <v/>
      </c>
      <c r="BD212" t="str">
        <f t="shared" si="1470"/>
        <v/>
      </c>
      <c r="BE212" t="str">
        <f t="shared" si="1471"/>
        <v/>
      </c>
      <c r="BF212" t="str">
        <f t="shared" si="1472"/>
        <v/>
      </c>
      <c r="BG212" t="str">
        <f t="shared" si="1473"/>
        <v/>
      </c>
      <c r="BH212" t="str">
        <f t="shared" si="1474"/>
        <v/>
      </c>
      <c r="BI212" t="str">
        <f t="shared" si="1475"/>
        <v/>
      </c>
      <c r="BJ212" t="str">
        <f t="shared" si="1476"/>
        <v/>
      </c>
      <c r="BK212" t="str">
        <f t="shared" si="1477"/>
        <v/>
      </c>
      <c r="BL212" t="str">
        <f t="shared" si="1478"/>
        <v/>
      </c>
      <c r="BM212" t="str">
        <f t="shared" si="1479"/>
        <v/>
      </c>
      <c r="BN212" t="str">
        <f t="shared" si="1480"/>
        <v/>
      </c>
      <c r="BO212" t="str">
        <f t="shared" si="1481"/>
        <v/>
      </c>
      <c r="BP212" t="str">
        <f t="shared" si="1482"/>
        <v/>
      </c>
      <c r="BQ212" t="str">
        <f t="shared" si="1483"/>
        <v/>
      </c>
      <c r="BR212" t="str">
        <f t="shared" si="1484"/>
        <v/>
      </c>
      <c r="BS212" t="str">
        <f t="shared" si="1485"/>
        <v/>
      </c>
      <c r="BT212" t="str">
        <f t="shared" si="1486"/>
        <v/>
      </c>
      <c r="BU212" t="str">
        <f t="shared" si="1487"/>
        <v/>
      </c>
      <c r="BV212" t="str">
        <f t="shared" si="1488"/>
        <v/>
      </c>
      <c r="BW212" t="str">
        <f t="shared" si="1489"/>
        <v/>
      </c>
      <c r="BX212" t="str">
        <f t="shared" si="1490"/>
        <v/>
      </c>
      <c r="BY212" t="str">
        <f t="shared" si="1491"/>
        <v/>
      </c>
      <c r="BZ212" t="str">
        <f t="shared" si="1492"/>
        <v/>
      </c>
      <c r="CA212" t="str">
        <f t="shared" si="1493"/>
        <v/>
      </c>
      <c r="CB212" t="str">
        <f t="shared" si="1494"/>
        <v/>
      </c>
      <c r="CC212" t="str">
        <f t="shared" si="1495"/>
        <v/>
      </c>
      <c r="CD212" t="str">
        <f t="shared" si="1496"/>
        <v/>
      </c>
      <c r="CE212" t="str">
        <f t="shared" si="1497"/>
        <v/>
      </c>
      <c r="CF212" t="str">
        <f t="shared" si="1498"/>
        <v/>
      </c>
      <c r="CG212" t="str">
        <f t="shared" si="1499"/>
        <v/>
      </c>
      <c r="CH212" t="str">
        <f t="shared" si="1624"/>
        <v/>
      </c>
      <c r="CI212" t="str">
        <f t="shared" si="1625"/>
        <v/>
      </c>
      <c r="CJ212" t="str">
        <f>IF($CI212="","",IF(OR($DW212="",$DX212=""),"ONZEKER",IF(OR($CF212="",$CG212=""),"ONZEKER",IF(AND($DW212=$CF212+1,$DX212=$CG212),IF(OR(COUNTIF(#REF!,$B212)&gt;0,COUNTIF(#REF!,$B212)=0),"SKIP",IF(COUNTIFS(#REF!,$B212,#REF!,$CI212)&gt;0,"OK","ONBEKEND")),IF(AND($DW212=$CF212,$DX212=$CG212+1),IF(OR(COUNTIF(#REF!,$D212)&gt;0,COUNTIF(#REF!,$D212)=0),"SKIP",IF(COUNTIFS(#REF!,$D212,#REF!,$CI212)&gt;0,"OK","ONBEKEND")),"ONZEKER")))))</f>
        <v/>
      </c>
      <c r="CK212" t="str">
        <f t="shared" si="1626"/>
        <v/>
      </c>
      <c r="CL212" t="str">
        <f t="shared" si="1627"/>
        <v/>
      </c>
      <c r="CM212" t="str">
        <f>IF($CL212="","",IF(OR($DZ212="",$EA212=""),"ONZEKER",IF(OR($DW212="",$DX212=""),"ONZEKER",IF(AND($DZ212=$DW212+1,$EA212=$DX212),IF(OR(COUNTIF(#REF!,$B212)&gt;0,COUNTIF(#REF!,$B212)=0),"SKIP",IF(COUNTIFS(#REF!,$B212,#REF!,$CL212)&gt;0,"OK","ONBEKEND")),IF(AND($DZ212=$DW212,$EA212=$DX212+1),IF(OR(COUNTIF(#REF!,$D212)&gt;0,COUNTIF(#REF!,$D212)=0),"SKIP",IF(COUNTIFS(#REF!,$D212,#REF!,$CL212)&gt;0,"OK","ONBEKEND")),"ONZEKER")))))</f>
        <v/>
      </c>
      <c r="CN212" t="str">
        <f t="shared" si="1628"/>
        <v/>
      </c>
      <c r="CO212" t="str">
        <f t="shared" si="1629"/>
        <v/>
      </c>
      <c r="CP212" t="str">
        <f>IF($CO212="","",IF(OR($EC212="",$ED212=""),"ONZEKER",IF(OR($DZ212="",$EA212=""),"ONZEKER",IF(AND($EC212=$DZ212+1,$ED212=$EA212),IF(OR(COUNTIF(#REF!,$B212)&gt;0,COUNTIF(#REF!,$B212)=0),"SKIP",IF(COUNTIFS(#REF!,$B212,#REF!,$CO212)&gt;0,"OK","ONBEKEND")),IF(AND($EC212=$DZ212,$ED212=$EA212+1),IF(OR(COUNTIF(#REF!,$D212)&gt;0,COUNTIF(#REF!,$D212)=0),"SKIP",IF(COUNTIFS(#REF!,$D212,#REF!,$CO212)&gt;0,"OK","ONBEKEND")),"ONZEKER")))))</f>
        <v/>
      </c>
      <c r="CQ212" t="str">
        <f t="shared" si="1630"/>
        <v/>
      </c>
      <c r="CR212" t="str">
        <f t="shared" si="1631"/>
        <v/>
      </c>
      <c r="CS212" t="str">
        <f>IF($CR212="","",IF(OR($EF212="",$EG212=""),"ONZEKER",IF(OR($EC212="",$ED212=""),"ONZEKER",IF(AND($EF212=$EC212+1,$EG212=$ED212),IF(OR(COUNTIF(#REF!,$B212)&gt;0,COUNTIF(#REF!,$B212)=0),"SKIP",IF(COUNTIFS(#REF!,$B212,#REF!,$CR212)&gt;0,"OK","ONBEKEND")),IF(AND($EF212=$EC212,$EG212=$ED212+1),IF(OR(COUNTIF(#REF!,$D212)&gt;0,COUNTIF(#REF!,$D212)=0),"SKIP",IF(COUNTIFS(#REF!,$D212,#REF!,$CR212)&gt;0,"OK","ONBEKEND")),"ONZEKER")))))</f>
        <v/>
      </c>
      <c r="CT212" t="str">
        <f t="shared" si="1632"/>
        <v/>
      </c>
      <c r="CU212" t="str">
        <f t="shared" si="1633"/>
        <v/>
      </c>
      <c r="CV212" t="str">
        <f>IF($CU212="","",IF(OR($EI212="",$EJ212=""),"ONZEKER",IF(OR($EF212="",$EG212=""),"ONZEKER",IF(AND($EI212=$EF212+1,$EJ212=$EG212),IF(OR(COUNTIF(#REF!,$B212)&gt;0,COUNTIF(#REF!,$B212)=0),"SKIP",IF(COUNTIFS(#REF!,$B212,#REF!,$CU212)&gt;0,"OK","ONBEKEND")),IF(AND($EI212=$EF212,$EJ212=$EG212+1),IF(OR(COUNTIF(#REF!,$D212)&gt;0,COUNTIF(#REF!,$D212)=0),"SKIP",IF(COUNTIFS(#REF!,$D212,#REF!,$CU212)&gt;0,"OK","ONBEKEND")),"ONZEKER")))))</f>
        <v/>
      </c>
      <c r="CW212" t="str">
        <f t="shared" si="1634"/>
        <v/>
      </c>
      <c r="CX212" t="str">
        <f t="shared" si="1635"/>
        <v/>
      </c>
      <c r="CY212" t="str">
        <f>IF($CX212="","",IF(OR($EL212="",$EM212=""),"ONZEKER",IF(OR($EI212="",$EJ212=""),"ONZEKER",IF(AND($EL212=$EI212+1,$EM212=$EJ212),IF(OR(COUNTIF(#REF!,$B212)&gt;0,COUNTIF(#REF!,$B212)=0),"SKIP",IF(COUNTIFS(#REF!,$B212,#REF!,$CX212)&gt;0,"OK","ONBEKEND")),IF(AND($EL212=$EI212,$EM212=$EJ212+1),IF(OR(COUNTIF(#REF!,$D212)&gt;0,COUNTIF(#REF!,$D212)=0),"SKIP",IF(COUNTIFS(#REF!,$D212,#REF!,$CX212)&gt;0,"OK","ONBEKEND")),"ONZEKER")))))</f>
        <v/>
      </c>
      <c r="CZ212" t="str">
        <f t="shared" si="1636"/>
        <v/>
      </c>
      <c r="DA212" t="str">
        <f t="shared" si="1637"/>
        <v/>
      </c>
      <c r="DB212" t="str">
        <f>IF($DA212="","",IF(OR($EO212="",$EP212=""),"ONZEKER",IF(OR($EL212="",$EM212=""),"ONZEKER",IF(AND($EO212=$EL212+1,$EP212=$EM212),IF(OR(COUNTIF(#REF!,$B212)&gt;0,COUNTIF(#REF!,$B212)=0),"SKIP",IF(COUNTIFS(#REF!,$B212,#REF!,$DA212)&gt;0,"OK","ONBEKEND")),IF(AND($EO212=$EL212,$EP212=$EM212+1),IF(OR(COUNTIF(#REF!,$D212)&gt;0,COUNTIF(#REF!,$D212)=0),"SKIP",IF(COUNTIFS(#REF!,$D212,#REF!,$DA212)&gt;0,"OK","ONBEKEND")),"ONZEKER")))))</f>
        <v/>
      </c>
      <c r="DC212" t="str">
        <f t="shared" si="1638"/>
        <v/>
      </c>
      <c r="DD212" t="str">
        <f t="shared" si="1639"/>
        <v/>
      </c>
      <c r="DE212" t="str">
        <f>IF($DD212="","",IF(OR($ER212="",$ES212=""),"ONZEKER",IF(OR($EO212="",$EP212=""),"ONZEKER",IF(AND($ER212=$EO212+1,$ES212=$EP212),IF(OR(COUNTIF(#REF!,$B212)&gt;0,COUNTIF(#REF!,$B212)=0),"SKIP",IF(COUNTIFS(#REF!,$B212,#REF!,$DD212)&gt;0,"OK","ONBEKEND")),IF(AND($ER212=$EO212,$ES212=$EP212+1),IF(OR(COUNTIF(#REF!,$D212)&gt;0,COUNTIF(#REF!,$D212)=0),"SKIP",IF(COUNTIFS(#REF!,$D212,#REF!,$DD212)&gt;0,"OK","ONBEKEND")),"ONZEKER")))))</f>
        <v/>
      </c>
      <c r="DF212" t="str">
        <f t="shared" si="1640"/>
        <v/>
      </c>
      <c r="DG212" t="str">
        <f t="shared" si="1641"/>
        <v/>
      </c>
      <c r="DH212" t="str">
        <f>IF($DG212="","",IF(OR($EU212="",$EV212=""),"ONZEKER",IF(OR($ER212="",$ES212=""),"ONZEKER",IF(AND($EU212=$ER212+1,$EV212=$ES212),IF(OR(COUNTIF(#REF!,$B212)&gt;0,COUNTIF(#REF!,$B212)=0),"SKIP",IF(COUNTIFS(#REF!,$B212,#REF!,$DG212)&gt;0,"OK","ONBEKEND")),IF(AND($EU212=$ER212,$EV212=$ES212+1),IF(OR(COUNTIF(#REF!,$D212)&gt;0,COUNTIF(#REF!,$D212)=0),"SKIP",IF(COUNTIFS(#REF!,$D212,#REF!,$DG212)&gt;0,"OK","ONBEKEND")),"ONZEKER")))))</f>
        <v/>
      </c>
      <c r="DI212" t="str">
        <f t="shared" si="1642"/>
        <v/>
      </c>
      <c r="DJ212" t="str">
        <f t="shared" si="1643"/>
        <v/>
      </c>
      <c r="DK212" t="str">
        <f>IF($DJ212="","",IF(OR($EX212="",$EY212=""),"ONZEKER",IF(OR($EU212="",$EV212=""),"ONZEKER",IF(AND($EX212=$EU212+1,$EY212=$EV212),IF(OR(COUNTIF(#REF!,$B212)&gt;0,COUNTIF(#REF!,$B212)=0),"SKIP",IF(COUNTIFS(#REF!,$B212,#REF!,$DJ212)&gt;0,"OK","ONBEKEND")),IF(AND($EX212=$EU212,$EY212=$EV212+1),IF(OR(COUNTIF(#REF!,$D212)&gt;0,COUNTIF(#REF!,$D212)=0),"SKIP",IF(COUNTIFS(#REF!,$D212,#REF!,$DJ212)&gt;0,"OK","ONBEKEND")),"ONZEKER")))))</f>
        <v/>
      </c>
      <c r="DL212" t="str">
        <f t="shared" si="1644"/>
        <v/>
      </c>
      <c r="DM212" t="str">
        <f t="shared" si="1645"/>
        <v/>
      </c>
      <c r="DN212" t="str">
        <f t="shared" si="1646"/>
        <v/>
      </c>
      <c r="DO212" t="str">
        <f t="shared" si="1647"/>
        <v/>
      </c>
      <c r="DP212" t="str">
        <f t="shared" si="1648"/>
        <v/>
      </c>
      <c r="DQ212" t="str">
        <f t="shared" si="1649"/>
        <v/>
      </c>
      <c r="DR212" t="str">
        <f t="shared" si="1650"/>
        <v/>
      </c>
      <c r="DS212" t="str">
        <f t="shared" si="1651"/>
        <v/>
      </c>
      <c r="DT212" t="str">
        <f t="shared" si="1652"/>
        <v/>
      </c>
      <c r="DU212" t="str">
        <f t="shared" si="1653"/>
        <v/>
      </c>
      <c r="DV212" t="str">
        <f t="shared" si="1654"/>
        <v/>
      </c>
      <c r="DW212" t="str">
        <f t="shared" si="1655"/>
        <v/>
      </c>
      <c r="DX212" t="str">
        <f t="shared" si="1656"/>
        <v/>
      </c>
      <c r="DY212" t="str">
        <f t="shared" si="1657"/>
        <v/>
      </c>
      <c r="DZ212" t="str">
        <f t="shared" si="1658"/>
        <v/>
      </c>
      <c r="EA212" t="str">
        <f t="shared" si="1659"/>
        <v/>
      </c>
      <c r="EB212" t="str">
        <f t="shared" si="1660"/>
        <v/>
      </c>
      <c r="EC212" t="str">
        <f t="shared" si="1661"/>
        <v/>
      </c>
      <c r="ED212" t="str">
        <f t="shared" si="1662"/>
        <v/>
      </c>
      <c r="EE212" t="str">
        <f t="shared" si="1663"/>
        <v/>
      </c>
      <c r="EF212" t="str">
        <f t="shared" si="1664"/>
        <v/>
      </c>
      <c r="EG212" t="str">
        <f t="shared" si="1665"/>
        <v/>
      </c>
      <c r="EH212" t="str">
        <f t="shared" si="1666"/>
        <v/>
      </c>
      <c r="EI212" t="str">
        <f t="shared" si="1667"/>
        <v/>
      </c>
      <c r="EJ212" t="str">
        <f t="shared" si="1668"/>
        <v/>
      </c>
      <c r="EK212" t="str">
        <f t="shared" si="1669"/>
        <v/>
      </c>
      <c r="EL212" t="str">
        <f t="shared" si="1670"/>
        <v/>
      </c>
      <c r="EM212" t="str">
        <f t="shared" si="1671"/>
        <v/>
      </c>
      <c r="EN212" t="str">
        <f t="shared" si="1672"/>
        <v/>
      </c>
      <c r="EO212" t="str">
        <f t="shared" si="1673"/>
        <v/>
      </c>
      <c r="EP212" t="str">
        <f t="shared" si="1674"/>
        <v/>
      </c>
      <c r="EQ212" t="str">
        <f t="shared" si="1675"/>
        <v/>
      </c>
      <c r="ER212" t="str">
        <f t="shared" si="1676"/>
        <v/>
      </c>
      <c r="ES212" t="str">
        <f t="shared" si="1677"/>
        <v/>
      </c>
      <c r="ET212" t="str">
        <f t="shared" si="1678"/>
        <v/>
      </c>
      <c r="EU212" t="str">
        <f t="shared" si="1679"/>
        <v/>
      </c>
      <c r="EV212" t="str">
        <f t="shared" si="1680"/>
        <v/>
      </c>
      <c r="EW212" t="str">
        <f t="shared" si="1681"/>
        <v/>
      </c>
      <c r="EX212" t="str">
        <f t="shared" si="1682"/>
        <v/>
      </c>
      <c r="EY212" t="str">
        <f t="shared" si="1683"/>
        <v/>
      </c>
    </row>
    <row r="213" spans="1:155" ht="13.9" customHeight="1" x14ac:dyDescent="0.25">
      <c r="A213" s="7"/>
      <c r="B213" s="17"/>
      <c r="C213" s="8"/>
      <c r="D213" s="17"/>
      <c r="E213" s="8"/>
      <c r="F213" s="18">
        <v>0</v>
      </c>
      <c r="G213" s="7" t="s">
        <v>147</v>
      </c>
      <c r="H213" s="18">
        <v>0</v>
      </c>
      <c r="I213" s="19">
        <v>0</v>
      </c>
      <c r="J213" s="7" t="s">
        <v>147</v>
      </c>
      <c r="K213" s="19">
        <v>0</v>
      </c>
      <c r="L213" s="9"/>
      <c r="M213" s="3" t="str">
        <f>IF($L213="","",IF($L213="DOELPUNTENMAKERS","",IF(AND(COUNTIF(#REF!,$B213)=0,COUNTIF(#REF!,$D213)=0),"OK",IF($O213&gt;20,"LET OP: meer dan 20 items (controle onvolledig)",IF((COUNTIF($R213:$AS213,"ONZEKER")+COUNTIF($CJ213:$DK213,"ONZEKER"))&gt;0,"LET OP: scoreverloop onduidelijk (controle beperkt)",IF((IF($AT213&lt;&gt;"",$AT213&amp;", ","")&amp;IF($AU213&lt;&gt;"",$AU213&amp;", ","")&amp;IF($AV213&lt;&gt;"",$AV213&amp;", ","")&amp;IF($AW213&lt;&gt;"",$AW213&amp;", ","")&amp;IF($AX213&lt;&gt;"",$AX213&amp;", ","")&amp;IF($AY213&lt;&gt;"",$AY213&amp;", ","")&amp;IF($AZ213&lt;&gt;"",$AZ213&amp;", ","")&amp;IF($BA213&lt;&gt;"",$BA213&amp;", ","")&amp;IF($BB213&lt;&gt;"",$BB213&amp;", ","")&amp;IF($BC213&lt;&gt;"",$BC213&amp;", ","")&amp;IF($DL213&lt;&gt;"",$DL213&amp;", ","")&amp;IF($DM213&lt;&gt;"",$DM213&amp;", ","")&amp;IF($DN213&lt;&gt;"",$DN213&amp;", ","")&amp;IF($DO213&lt;&gt;"",$DO213&amp;", ","")&amp;IF($DP213&lt;&gt;"",$DP213&amp;", ","")&amp;IF($DQ213&lt;&gt;"",$DQ213&amp;", ","")&amp;IF($DR213&lt;&gt;"",$DR213&amp;", ","")&amp;IF($DS213&lt;&gt;"",$DS213&amp;", ","")&amp;IF($DT213&lt;&gt;"",$DT213&amp;", ","")&amp;IF($DU213&lt;&gt;"",$DU213&amp;", ",""))="","OK","Onbekend: "&amp;LEFT((IF($AT213&lt;&gt;"",$AT213&amp;", ","")&amp;IF($AU213&lt;&gt;"",$AU213&amp;", ","")&amp;IF($AV213&lt;&gt;"",$AV213&amp;", ","")&amp;IF($AW213&lt;&gt;"",$AW213&amp;", ","")&amp;IF($AX213&lt;&gt;"",$AX213&amp;", ","")&amp;IF($AY213&lt;&gt;"",$AY213&amp;", ","")&amp;IF($AZ213&lt;&gt;"",$AZ213&amp;", ","")&amp;IF($BA213&lt;&gt;"",$BA213&amp;", ","")&amp;IF($BB213&lt;&gt;"",$BB213&amp;", ","")&amp;IF($BC213&lt;&gt;"",$BC213&amp;", ","")&amp;IF($DL213&lt;&gt;"",$DL213&amp;", ","")&amp;IF($DM213&lt;&gt;"",$DM213&amp;", ","")&amp;IF($DN213&lt;&gt;"",$DN213&amp;", ","")&amp;IF($DO213&lt;&gt;"",$DO213&amp;", ","")&amp;IF($DP213&lt;&gt;"",$DP213&amp;", ","")&amp;IF($DQ213&lt;&gt;"",$DQ213&amp;", ","")&amp;IF($DR213&lt;&gt;"",$DR213&amp;", ","")&amp;IF($DS213&lt;&gt;"",$DS213&amp;", ","")&amp;IF($DT213&lt;&gt;"",$DT213&amp;", ","")&amp;IF($DU213&lt;&gt;"",$DU213&amp;", ","")),LEN((IF($AT213&lt;&gt;"",$AT213&amp;", ","")&amp;IF($AU213&lt;&gt;"",$AU213&amp;", ","")&amp;IF($AV213&lt;&gt;"",$AV213&amp;", ","")&amp;IF($AW213&lt;&gt;"",$AW213&amp;", ","")&amp;IF($AX213&lt;&gt;"",$AX213&amp;", ","")&amp;IF($AY213&lt;&gt;"",$AY213&amp;", ","")&amp;IF($AZ213&lt;&gt;"",$AZ213&amp;", ","")&amp;IF($BA213&lt;&gt;"",$BA213&amp;", ","")&amp;IF($BB213&lt;&gt;"",$BB213&amp;", ","")&amp;IF($BC213&lt;&gt;"",$BC213&amp;", ","")&amp;IF($DL213&lt;&gt;"",$DL213&amp;", ","")&amp;IF($DM213&lt;&gt;"",$DM213&amp;", ","")&amp;IF($DN213&lt;&gt;"",$DN213&amp;", ","")&amp;IF($DO213&lt;&gt;"",$DO213&amp;", ","")&amp;IF($DP213&lt;&gt;"",$DP213&amp;", ","")&amp;IF($DQ213&lt;&gt;"",$DQ213&amp;", ","")&amp;IF($DR213&lt;&gt;"",$DR213&amp;", ","")&amp;IF($DS213&lt;&gt;"",$DS213&amp;", ","")&amp;IF($DT213&lt;&gt;"",$DT213&amp;", ","")&amp;IF($DU213&lt;&gt;"",$DU213&amp;", ","")))-2)))))))</f>
        <v/>
      </c>
      <c r="N213" t="str">
        <f t="shared" si="1592"/>
        <v/>
      </c>
      <c r="O213" t="str">
        <f t="shared" si="1593"/>
        <v/>
      </c>
      <c r="P213" t="str">
        <f t="shared" si="1594"/>
        <v/>
      </c>
      <c r="Q213" t="str">
        <f t="shared" si="1595"/>
        <v/>
      </c>
      <c r="R213" t="str">
        <f>IF($Q213="","",IF(OR($BE213="",$BF213=""),"ONZEKER",IF(AND($BE213=0+1,$BF213=0),IF(OR(COUNTIF(#REF!,$B213)&gt;0,COUNTIF(#REF!,$B213)=0),"SKIP",IF(COUNTIFS(#REF!,$B213,#REF!,$Q213)&gt;0,"OK","ONBEKEND")),IF(AND($BE213=0,$BF213=0+1),IF(OR(COUNTIF(#REF!,$D213)&gt;0,COUNTIF(#REF!,$D213)=0),"SKIP",IF(COUNTIFS(#REF!,$D213,#REF!,$Q213)&gt;0,"OK","ONBEKEND")),"ONZEKER"))))</f>
        <v/>
      </c>
      <c r="S213" t="str">
        <f t="shared" si="1596"/>
        <v/>
      </c>
      <c r="T213" t="str">
        <f t="shared" si="1597"/>
        <v/>
      </c>
      <c r="U213" t="str">
        <f>IF($T213="","",IF(OR($BH213="",$BI213=""),"ONZEKER",IF(OR($BE213="",$BF213=""),"ONZEKER",IF(AND($BH213=$BE213+1,$BI213=$BF213),IF(OR(COUNTIF(#REF!,$B213)&gt;0,COUNTIF(#REF!,$B213)=0),"SKIP",IF(COUNTIFS(#REF!,$B213,#REF!,$T213)&gt;0,"OK","ONBEKEND")),IF(AND($BH213=$BE213,$BI213=$BF213+1),IF(OR(COUNTIF(#REF!,$D213)&gt;0,COUNTIF(#REF!,$D213)=0),"SKIP",IF(COUNTIFS(#REF!,$D213,#REF!,$T213)&gt;0,"OK","ONBEKEND")),"ONZEKER")))))</f>
        <v/>
      </c>
      <c r="V213" t="str">
        <f t="shared" si="1598"/>
        <v/>
      </c>
      <c r="W213" t="str">
        <f t="shared" si="1599"/>
        <v/>
      </c>
      <c r="X213" t="str">
        <f>IF($W213="","",IF(OR($BK213="",$BL213=""),"ONZEKER",IF(OR($BH213="",$BI213=""),"ONZEKER",IF(AND($BK213=$BH213+1,$BL213=$BI213),IF(OR(COUNTIF(#REF!,$B213)&gt;0,COUNTIF(#REF!,$B213)=0),"SKIP",IF(COUNTIFS(#REF!,$B213,#REF!,$W213)&gt;0,"OK","ONBEKEND")),IF(AND($BK213=$BH213,$BL213=$BI213+1),IF(OR(COUNTIF(#REF!,$D213)&gt;0,COUNTIF(#REF!,$D213)=0),"SKIP",IF(COUNTIFS(#REF!,$D213,#REF!,$W213)&gt;0,"OK","ONBEKEND")),"ONZEKER")))))</f>
        <v/>
      </c>
      <c r="Y213" t="str">
        <f t="shared" si="1600"/>
        <v/>
      </c>
      <c r="Z213" t="str">
        <f t="shared" si="1601"/>
        <v/>
      </c>
      <c r="AA213" t="str">
        <f>IF($Z213="","",IF(OR($BN213="",$BO213=""),"ONZEKER",IF(OR($BK213="",$BL213=""),"ONZEKER",IF(AND($BN213=$BK213+1,$BO213=$BL213),IF(OR(COUNTIF(#REF!,$B213)&gt;0,COUNTIF(#REF!,$B213)=0),"SKIP",IF(COUNTIFS(#REF!,$B213,#REF!,$Z213)&gt;0,"OK","ONBEKEND")),IF(AND($BN213=$BK213,$BO213=$BL213+1),IF(OR(COUNTIF(#REF!,$D213)&gt;0,COUNTIF(#REF!,$D213)=0),"SKIP",IF(COUNTIFS(#REF!,$D213,#REF!,$Z213)&gt;0,"OK","ONBEKEND")),"ONZEKER")))))</f>
        <v/>
      </c>
      <c r="AB213" t="str">
        <f t="shared" si="1602"/>
        <v/>
      </c>
      <c r="AC213" t="str">
        <f t="shared" si="1603"/>
        <v/>
      </c>
      <c r="AD213" t="str">
        <f>IF($AC213="","",IF(OR($BQ213="",$BR213=""),"ONZEKER",IF(OR($BN213="",$BO213=""),"ONZEKER",IF(AND($BQ213=$BN213+1,$BR213=$BO213),IF(OR(COUNTIF(#REF!,$B213)&gt;0,COUNTIF(#REF!,$B213)=0),"SKIP",IF(COUNTIFS(#REF!,$B213,#REF!,$AC213)&gt;0,"OK","ONBEKEND")),IF(AND($BQ213=$BN213,$BR213=$BO213+1),IF(OR(COUNTIF(#REF!,$D213)&gt;0,COUNTIF(#REF!,$D213)=0),"SKIP",IF(COUNTIFS(#REF!,$D213,#REF!,$AC213)&gt;0,"OK","ONBEKEND")),"ONZEKER")))))</f>
        <v/>
      </c>
      <c r="AE213" t="str">
        <f t="shared" si="1604"/>
        <v/>
      </c>
      <c r="AF213" t="str">
        <f t="shared" si="1605"/>
        <v/>
      </c>
      <c r="AG213" t="str">
        <f>IF($AF213="","",IF(OR($BT213="",$BU213=""),"ONZEKER",IF(OR($BQ213="",$BR213=""),"ONZEKER",IF(AND($BT213=$BQ213+1,$BU213=$BR213),IF(OR(COUNTIF(#REF!,$B213)&gt;0,COUNTIF(#REF!,$B213)=0),"SKIP",IF(COUNTIFS(#REF!,$B213,#REF!,$AF213)&gt;0,"OK","ONBEKEND")),IF(AND($BT213=$BQ213,$BU213=$BR213+1),IF(OR(COUNTIF(#REF!,$D213)&gt;0,COUNTIF(#REF!,$D213)=0),"SKIP",IF(COUNTIFS(#REF!,$D213,#REF!,$AF213)&gt;0,"OK","ONBEKEND")),"ONZEKER")))))</f>
        <v/>
      </c>
      <c r="AH213" t="str">
        <f t="shared" si="1606"/>
        <v/>
      </c>
      <c r="AI213" t="str">
        <f t="shared" si="1607"/>
        <v/>
      </c>
      <c r="AJ213" t="str">
        <f>IF($AI213="","",IF(OR($BW213="",$BX213=""),"ONZEKER",IF(OR($BT213="",$BU213=""),"ONZEKER",IF(AND($BW213=$BT213+1,$BX213=$BU213),IF(OR(COUNTIF(#REF!,$B213)&gt;0,COUNTIF(#REF!,$B213)=0),"SKIP",IF(COUNTIFS(#REF!,$B213,#REF!,$AI213)&gt;0,"OK","ONBEKEND")),IF(AND($BW213=$BT213,$BX213=$BU213+1),IF(OR(COUNTIF(#REF!,$D213)&gt;0,COUNTIF(#REF!,$D213)=0),"SKIP",IF(COUNTIFS(#REF!,$D213,#REF!,$AI213)&gt;0,"OK","ONBEKEND")),"ONZEKER")))))</f>
        <v/>
      </c>
      <c r="AK213" t="str">
        <f t="shared" si="1608"/>
        <v/>
      </c>
      <c r="AL213" t="str">
        <f t="shared" si="1609"/>
        <v/>
      </c>
      <c r="AM213" t="str">
        <f>IF($AL213="","",IF(OR($BZ213="",$CA213=""),"ONZEKER",IF(OR($BW213="",$BX213=""),"ONZEKER",IF(AND($BZ213=$BW213+1,$CA213=$BX213),IF(OR(COUNTIF(#REF!,$B213)&gt;0,COUNTIF(#REF!,$B213)=0),"SKIP",IF(COUNTIFS(#REF!,$B213,#REF!,$AL213)&gt;0,"OK","ONBEKEND")),IF(AND($BZ213=$BW213,$CA213=$BX213+1),IF(OR(COUNTIF(#REF!,$D213)&gt;0,COUNTIF(#REF!,$D213)=0),"SKIP",IF(COUNTIFS(#REF!,$D213,#REF!,$AL213)&gt;0,"OK","ONBEKEND")),"ONZEKER")))))</f>
        <v/>
      </c>
      <c r="AN213" t="str">
        <f t="shared" si="1610"/>
        <v/>
      </c>
      <c r="AO213" t="str">
        <f t="shared" si="1611"/>
        <v/>
      </c>
      <c r="AP213" t="str">
        <f>IF($AO213="","",IF(OR($CC213="",$CD213=""),"ONZEKER",IF(OR($BZ213="",$CA213=""),"ONZEKER",IF(AND($CC213=$BZ213+1,$CD213=$CA213),IF(OR(COUNTIF(#REF!,$B213)&gt;0,COUNTIF(#REF!,$B213)=0),"SKIP",IF(COUNTIFS(#REF!,$B213,#REF!,$AO213)&gt;0,"OK","ONBEKEND")),IF(AND($CC213=$BZ213,$CD213=$CA213+1),IF(OR(COUNTIF(#REF!,$D213)&gt;0,COUNTIF(#REF!,$D213)=0),"SKIP",IF(COUNTIFS(#REF!,$D213,#REF!,$AO213)&gt;0,"OK","ONBEKEND")),"ONZEKER")))))</f>
        <v/>
      </c>
      <c r="AQ213" t="str">
        <f t="shared" si="1612"/>
        <v/>
      </c>
      <c r="AR213" t="str">
        <f t="shared" si="1613"/>
        <v/>
      </c>
      <c r="AS213" t="str">
        <f>IF($AR213="","",IF(OR($CF213="",$CG213=""),"ONZEKER",IF(OR($CC213="",$CD213=""),"ONZEKER",IF(AND($CF213=$CC213+1,$CG213=$CD213),IF(OR(COUNTIF(#REF!,$B213)&gt;0,COUNTIF(#REF!,$B213)=0),"SKIP",IF(COUNTIFS(#REF!,$B213,#REF!,$AR213)&gt;0,"OK","ONBEKEND")),IF(AND($CF213=$CC213,$CG213=$CD213+1),IF(OR(COUNTIF(#REF!,$D213)&gt;0,COUNTIF(#REF!,$D213)=0),"SKIP",IF(COUNTIFS(#REF!,$D213,#REF!,$AR213)&gt;0,"OK","ONBEKEND")),"ONZEKER")))))</f>
        <v/>
      </c>
      <c r="AT213" t="str">
        <f t="shared" si="1614"/>
        <v/>
      </c>
      <c r="AU213" t="str">
        <f t="shared" si="1615"/>
        <v/>
      </c>
      <c r="AV213" t="str">
        <f t="shared" si="1616"/>
        <v/>
      </c>
      <c r="AW213" t="str">
        <f t="shared" si="1617"/>
        <v/>
      </c>
      <c r="AX213" t="str">
        <f t="shared" si="1618"/>
        <v/>
      </c>
      <c r="AY213" t="str">
        <f t="shared" si="1619"/>
        <v/>
      </c>
      <c r="AZ213" t="str">
        <f t="shared" si="1620"/>
        <v/>
      </c>
      <c r="BA213" t="str">
        <f t="shared" si="1621"/>
        <v/>
      </c>
      <c r="BB213" t="str">
        <f t="shared" si="1622"/>
        <v/>
      </c>
      <c r="BC213" t="str">
        <f t="shared" si="1623"/>
        <v/>
      </c>
      <c r="BD213" t="str">
        <f t="shared" si="1470"/>
        <v/>
      </c>
      <c r="BE213" t="str">
        <f t="shared" si="1471"/>
        <v/>
      </c>
      <c r="BF213" t="str">
        <f t="shared" si="1472"/>
        <v/>
      </c>
      <c r="BG213" t="str">
        <f t="shared" si="1473"/>
        <v/>
      </c>
      <c r="BH213" t="str">
        <f t="shared" si="1474"/>
        <v/>
      </c>
      <c r="BI213" t="str">
        <f t="shared" si="1475"/>
        <v/>
      </c>
      <c r="BJ213" t="str">
        <f t="shared" si="1476"/>
        <v/>
      </c>
      <c r="BK213" t="str">
        <f t="shared" si="1477"/>
        <v/>
      </c>
      <c r="BL213" t="str">
        <f t="shared" si="1478"/>
        <v/>
      </c>
      <c r="BM213" t="str">
        <f t="shared" si="1479"/>
        <v/>
      </c>
      <c r="BN213" t="str">
        <f t="shared" si="1480"/>
        <v/>
      </c>
      <c r="BO213" t="str">
        <f t="shared" si="1481"/>
        <v/>
      </c>
      <c r="BP213" t="str">
        <f t="shared" si="1482"/>
        <v/>
      </c>
      <c r="BQ213" t="str">
        <f t="shared" si="1483"/>
        <v/>
      </c>
      <c r="BR213" t="str">
        <f t="shared" si="1484"/>
        <v/>
      </c>
      <c r="BS213" t="str">
        <f t="shared" si="1485"/>
        <v/>
      </c>
      <c r="BT213" t="str">
        <f t="shared" si="1486"/>
        <v/>
      </c>
      <c r="BU213" t="str">
        <f t="shared" si="1487"/>
        <v/>
      </c>
      <c r="BV213" t="str">
        <f t="shared" si="1488"/>
        <v/>
      </c>
      <c r="BW213" t="str">
        <f t="shared" si="1489"/>
        <v/>
      </c>
      <c r="BX213" t="str">
        <f t="shared" si="1490"/>
        <v/>
      </c>
      <c r="BY213" t="str">
        <f t="shared" si="1491"/>
        <v/>
      </c>
      <c r="BZ213" t="str">
        <f t="shared" si="1492"/>
        <v/>
      </c>
      <c r="CA213" t="str">
        <f t="shared" si="1493"/>
        <v/>
      </c>
      <c r="CB213" t="str">
        <f t="shared" si="1494"/>
        <v/>
      </c>
      <c r="CC213" t="str">
        <f t="shared" si="1495"/>
        <v/>
      </c>
      <c r="CD213" t="str">
        <f t="shared" si="1496"/>
        <v/>
      </c>
      <c r="CE213" t="str">
        <f t="shared" si="1497"/>
        <v/>
      </c>
      <c r="CF213" t="str">
        <f t="shared" si="1498"/>
        <v/>
      </c>
      <c r="CG213" t="str">
        <f t="shared" si="1499"/>
        <v/>
      </c>
      <c r="CH213" t="str">
        <f t="shared" si="1624"/>
        <v/>
      </c>
      <c r="CI213" t="str">
        <f t="shared" si="1625"/>
        <v/>
      </c>
      <c r="CJ213" t="str">
        <f>IF($CI213="","",IF(OR($DW213="",$DX213=""),"ONZEKER",IF(OR($CF213="",$CG213=""),"ONZEKER",IF(AND($DW213=$CF213+1,$DX213=$CG213),IF(OR(COUNTIF(#REF!,$B213)&gt;0,COUNTIF(#REF!,$B213)=0),"SKIP",IF(COUNTIFS(#REF!,$B213,#REF!,$CI213)&gt;0,"OK","ONBEKEND")),IF(AND($DW213=$CF213,$DX213=$CG213+1),IF(OR(COUNTIF(#REF!,$D213)&gt;0,COUNTIF(#REF!,$D213)=0),"SKIP",IF(COUNTIFS(#REF!,$D213,#REF!,$CI213)&gt;0,"OK","ONBEKEND")),"ONZEKER")))))</f>
        <v/>
      </c>
      <c r="CK213" t="str">
        <f t="shared" si="1626"/>
        <v/>
      </c>
      <c r="CL213" t="str">
        <f t="shared" si="1627"/>
        <v/>
      </c>
      <c r="CM213" t="str">
        <f>IF($CL213="","",IF(OR($DZ213="",$EA213=""),"ONZEKER",IF(OR($DW213="",$DX213=""),"ONZEKER",IF(AND($DZ213=$DW213+1,$EA213=$DX213),IF(OR(COUNTIF(#REF!,$B213)&gt;0,COUNTIF(#REF!,$B213)=0),"SKIP",IF(COUNTIFS(#REF!,$B213,#REF!,$CL213)&gt;0,"OK","ONBEKEND")),IF(AND($DZ213=$DW213,$EA213=$DX213+1),IF(OR(COUNTIF(#REF!,$D213)&gt;0,COUNTIF(#REF!,$D213)=0),"SKIP",IF(COUNTIFS(#REF!,$D213,#REF!,$CL213)&gt;0,"OK","ONBEKEND")),"ONZEKER")))))</f>
        <v/>
      </c>
      <c r="CN213" t="str">
        <f t="shared" si="1628"/>
        <v/>
      </c>
      <c r="CO213" t="str">
        <f t="shared" si="1629"/>
        <v/>
      </c>
      <c r="CP213" t="str">
        <f>IF($CO213="","",IF(OR($EC213="",$ED213=""),"ONZEKER",IF(OR($DZ213="",$EA213=""),"ONZEKER",IF(AND($EC213=$DZ213+1,$ED213=$EA213),IF(OR(COUNTIF(#REF!,$B213)&gt;0,COUNTIF(#REF!,$B213)=0),"SKIP",IF(COUNTIFS(#REF!,$B213,#REF!,$CO213)&gt;0,"OK","ONBEKEND")),IF(AND($EC213=$DZ213,$ED213=$EA213+1),IF(OR(COUNTIF(#REF!,$D213)&gt;0,COUNTIF(#REF!,$D213)=0),"SKIP",IF(COUNTIFS(#REF!,$D213,#REF!,$CO213)&gt;0,"OK","ONBEKEND")),"ONZEKER")))))</f>
        <v/>
      </c>
      <c r="CQ213" t="str">
        <f t="shared" si="1630"/>
        <v/>
      </c>
      <c r="CR213" t="str">
        <f t="shared" si="1631"/>
        <v/>
      </c>
      <c r="CS213" t="str">
        <f>IF($CR213="","",IF(OR($EF213="",$EG213=""),"ONZEKER",IF(OR($EC213="",$ED213=""),"ONZEKER",IF(AND($EF213=$EC213+1,$EG213=$ED213),IF(OR(COUNTIF(#REF!,$B213)&gt;0,COUNTIF(#REF!,$B213)=0),"SKIP",IF(COUNTIFS(#REF!,$B213,#REF!,$CR213)&gt;0,"OK","ONBEKEND")),IF(AND($EF213=$EC213,$EG213=$ED213+1),IF(OR(COUNTIF(#REF!,$D213)&gt;0,COUNTIF(#REF!,$D213)=0),"SKIP",IF(COUNTIFS(#REF!,$D213,#REF!,$CR213)&gt;0,"OK","ONBEKEND")),"ONZEKER")))))</f>
        <v/>
      </c>
      <c r="CT213" t="str">
        <f t="shared" si="1632"/>
        <v/>
      </c>
      <c r="CU213" t="str">
        <f t="shared" si="1633"/>
        <v/>
      </c>
      <c r="CV213" t="str">
        <f>IF($CU213="","",IF(OR($EI213="",$EJ213=""),"ONZEKER",IF(OR($EF213="",$EG213=""),"ONZEKER",IF(AND($EI213=$EF213+1,$EJ213=$EG213),IF(OR(COUNTIF(#REF!,$B213)&gt;0,COUNTIF(#REF!,$B213)=0),"SKIP",IF(COUNTIFS(#REF!,$B213,#REF!,$CU213)&gt;0,"OK","ONBEKEND")),IF(AND($EI213=$EF213,$EJ213=$EG213+1),IF(OR(COUNTIF(#REF!,$D213)&gt;0,COUNTIF(#REF!,$D213)=0),"SKIP",IF(COUNTIFS(#REF!,$D213,#REF!,$CU213)&gt;0,"OK","ONBEKEND")),"ONZEKER")))))</f>
        <v/>
      </c>
      <c r="CW213" t="str">
        <f t="shared" si="1634"/>
        <v/>
      </c>
      <c r="CX213" t="str">
        <f t="shared" si="1635"/>
        <v/>
      </c>
      <c r="CY213" t="str">
        <f>IF($CX213="","",IF(OR($EL213="",$EM213=""),"ONZEKER",IF(OR($EI213="",$EJ213=""),"ONZEKER",IF(AND($EL213=$EI213+1,$EM213=$EJ213),IF(OR(COUNTIF(#REF!,$B213)&gt;0,COUNTIF(#REF!,$B213)=0),"SKIP",IF(COUNTIFS(#REF!,$B213,#REF!,$CX213)&gt;0,"OK","ONBEKEND")),IF(AND($EL213=$EI213,$EM213=$EJ213+1),IF(OR(COUNTIF(#REF!,$D213)&gt;0,COUNTIF(#REF!,$D213)=0),"SKIP",IF(COUNTIFS(#REF!,$D213,#REF!,$CX213)&gt;0,"OK","ONBEKEND")),"ONZEKER")))))</f>
        <v/>
      </c>
      <c r="CZ213" t="str">
        <f t="shared" si="1636"/>
        <v/>
      </c>
      <c r="DA213" t="str">
        <f t="shared" si="1637"/>
        <v/>
      </c>
      <c r="DB213" t="str">
        <f>IF($DA213="","",IF(OR($EO213="",$EP213=""),"ONZEKER",IF(OR($EL213="",$EM213=""),"ONZEKER",IF(AND($EO213=$EL213+1,$EP213=$EM213),IF(OR(COUNTIF(#REF!,$B213)&gt;0,COUNTIF(#REF!,$B213)=0),"SKIP",IF(COUNTIFS(#REF!,$B213,#REF!,$DA213)&gt;0,"OK","ONBEKEND")),IF(AND($EO213=$EL213,$EP213=$EM213+1),IF(OR(COUNTIF(#REF!,$D213)&gt;0,COUNTIF(#REF!,$D213)=0),"SKIP",IF(COUNTIFS(#REF!,$D213,#REF!,$DA213)&gt;0,"OK","ONBEKEND")),"ONZEKER")))))</f>
        <v/>
      </c>
      <c r="DC213" t="str">
        <f t="shared" si="1638"/>
        <v/>
      </c>
      <c r="DD213" t="str">
        <f t="shared" si="1639"/>
        <v/>
      </c>
      <c r="DE213" t="str">
        <f>IF($DD213="","",IF(OR($ER213="",$ES213=""),"ONZEKER",IF(OR($EO213="",$EP213=""),"ONZEKER",IF(AND($ER213=$EO213+1,$ES213=$EP213),IF(OR(COUNTIF(#REF!,$B213)&gt;0,COUNTIF(#REF!,$B213)=0),"SKIP",IF(COUNTIFS(#REF!,$B213,#REF!,$DD213)&gt;0,"OK","ONBEKEND")),IF(AND($ER213=$EO213,$ES213=$EP213+1),IF(OR(COUNTIF(#REF!,$D213)&gt;0,COUNTIF(#REF!,$D213)=0),"SKIP",IF(COUNTIFS(#REF!,$D213,#REF!,$DD213)&gt;0,"OK","ONBEKEND")),"ONZEKER")))))</f>
        <v/>
      </c>
      <c r="DF213" t="str">
        <f t="shared" si="1640"/>
        <v/>
      </c>
      <c r="DG213" t="str">
        <f t="shared" si="1641"/>
        <v/>
      </c>
      <c r="DH213" t="str">
        <f>IF($DG213="","",IF(OR($EU213="",$EV213=""),"ONZEKER",IF(OR($ER213="",$ES213=""),"ONZEKER",IF(AND($EU213=$ER213+1,$EV213=$ES213),IF(OR(COUNTIF(#REF!,$B213)&gt;0,COUNTIF(#REF!,$B213)=0),"SKIP",IF(COUNTIFS(#REF!,$B213,#REF!,$DG213)&gt;0,"OK","ONBEKEND")),IF(AND($EU213=$ER213,$EV213=$ES213+1),IF(OR(COUNTIF(#REF!,$D213)&gt;0,COUNTIF(#REF!,$D213)=0),"SKIP",IF(COUNTIFS(#REF!,$D213,#REF!,$DG213)&gt;0,"OK","ONBEKEND")),"ONZEKER")))))</f>
        <v/>
      </c>
      <c r="DI213" t="str">
        <f t="shared" si="1642"/>
        <v/>
      </c>
      <c r="DJ213" t="str">
        <f t="shared" si="1643"/>
        <v/>
      </c>
      <c r="DK213" t="str">
        <f>IF($DJ213="","",IF(OR($EX213="",$EY213=""),"ONZEKER",IF(OR($EU213="",$EV213=""),"ONZEKER",IF(AND($EX213=$EU213+1,$EY213=$EV213),IF(OR(COUNTIF(#REF!,$B213)&gt;0,COUNTIF(#REF!,$B213)=0),"SKIP",IF(COUNTIFS(#REF!,$B213,#REF!,$DJ213)&gt;0,"OK","ONBEKEND")),IF(AND($EX213=$EU213,$EY213=$EV213+1),IF(OR(COUNTIF(#REF!,$D213)&gt;0,COUNTIF(#REF!,$D213)=0),"SKIP",IF(COUNTIFS(#REF!,$D213,#REF!,$DJ213)&gt;0,"OK","ONBEKEND")),"ONZEKER")))))</f>
        <v/>
      </c>
      <c r="DL213" t="str">
        <f t="shared" si="1644"/>
        <v/>
      </c>
      <c r="DM213" t="str">
        <f t="shared" si="1645"/>
        <v/>
      </c>
      <c r="DN213" t="str">
        <f t="shared" si="1646"/>
        <v/>
      </c>
      <c r="DO213" t="str">
        <f t="shared" si="1647"/>
        <v/>
      </c>
      <c r="DP213" t="str">
        <f t="shared" si="1648"/>
        <v/>
      </c>
      <c r="DQ213" t="str">
        <f t="shared" si="1649"/>
        <v/>
      </c>
      <c r="DR213" t="str">
        <f t="shared" si="1650"/>
        <v/>
      </c>
      <c r="DS213" t="str">
        <f t="shared" si="1651"/>
        <v/>
      </c>
      <c r="DT213" t="str">
        <f t="shared" si="1652"/>
        <v/>
      </c>
      <c r="DU213" t="str">
        <f t="shared" si="1653"/>
        <v/>
      </c>
      <c r="DV213" t="str">
        <f t="shared" si="1654"/>
        <v/>
      </c>
      <c r="DW213" t="str">
        <f t="shared" si="1655"/>
        <v/>
      </c>
      <c r="DX213" t="str">
        <f t="shared" si="1656"/>
        <v/>
      </c>
      <c r="DY213" t="str">
        <f t="shared" si="1657"/>
        <v/>
      </c>
      <c r="DZ213" t="str">
        <f t="shared" si="1658"/>
        <v/>
      </c>
      <c r="EA213" t="str">
        <f t="shared" si="1659"/>
        <v/>
      </c>
      <c r="EB213" t="str">
        <f t="shared" si="1660"/>
        <v/>
      </c>
      <c r="EC213" t="str">
        <f t="shared" si="1661"/>
        <v/>
      </c>
      <c r="ED213" t="str">
        <f t="shared" si="1662"/>
        <v/>
      </c>
      <c r="EE213" t="str">
        <f t="shared" si="1663"/>
        <v/>
      </c>
      <c r="EF213" t="str">
        <f t="shared" si="1664"/>
        <v/>
      </c>
      <c r="EG213" t="str">
        <f t="shared" si="1665"/>
        <v/>
      </c>
      <c r="EH213" t="str">
        <f t="shared" si="1666"/>
        <v/>
      </c>
      <c r="EI213" t="str">
        <f t="shared" si="1667"/>
        <v/>
      </c>
      <c r="EJ213" t="str">
        <f t="shared" si="1668"/>
        <v/>
      </c>
      <c r="EK213" t="str">
        <f t="shared" si="1669"/>
        <v/>
      </c>
      <c r="EL213" t="str">
        <f t="shared" si="1670"/>
        <v/>
      </c>
      <c r="EM213" t="str">
        <f t="shared" si="1671"/>
        <v/>
      </c>
      <c r="EN213" t="str">
        <f t="shared" si="1672"/>
        <v/>
      </c>
      <c r="EO213" t="str">
        <f t="shared" si="1673"/>
        <v/>
      </c>
      <c r="EP213" t="str">
        <f t="shared" si="1674"/>
        <v/>
      </c>
      <c r="EQ213" t="str">
        <f t="shared" si="1675"/>
        <v/>
      </c>
      <c r="ER213" t="str">
        <f t="shared" si="1676"/>
        <v/>
      </c>
      <c r="ES213" t="str">
        <f t="shared" si="1677"/>
        <v/>
      </c>
      <c r="ET213" t="str">
        <f t="shared" si="1678"/>
        <v/>
      </c>
      <c r="EU213" t="str">
        <f t="shared" si="1679"/>
        <v/>
      </c>
      <c r="EV213" t="str">
        <f t="shared" si="1680"/>
        <v/>
      </c>
      <c r="EW213" t="str">
        <f t="shared" si="1681"/>
        <v/>
      </c>
      <c r="EX213" t="str">
        <f t="shared" si="1682"/>
        <v/>
      </c>
      <c r="EY213" t="str">
        <f t="shared" si="1683"/>
        <v/>
      </c>
    </row>
    <row r="214" spans="1:155" ht="13.9" customHeight="1" x14ac:dyDescent="0.25">
      <c r="A214" s="7"/>
      <c r="B214" s="17"/>
      <c r="C214" s="8"/>
      <c r="D214" s="17"/>
      <c r="E214" s="8"/>
      <c r="F214" s="18">
        <v>0</v>
      </c>
      <c r="G214" s="7" t="s">
        <v>147</v>
      </c>
      <c r="H214" s="18">
        <v>0</v>
      </c>
      <c r="I214" s="19">
        <v>0</v>
      </c>
      <c r="J214" s="7" t="s">
        <v>147</v>
      </c>
      <c r="K214" s="19">
        <v>0</v>
      </c>
      <c r="L214" s="9"/>
      <c r="M214" s="3" t="str">
        <f>IF($L214="","",IF($L214="DOELPUNTENMAKERS","",IF(AND(COUNTIF(#REF!,$B214)=0,COUNTIF(#REF!,$D214)=0),"OK",IF($O214&gt;20,"LET OP: meer dan 20 items (controle onvolledig)",IF((COUNTIF($R214:$AS214,"ONZEKER")+COUNTIF($CJ214:$DK214,"ONZEKER"))&gt;0,"LET OP: scoreverloop onduidelijk (controle beperkt)",IF((IF($AT214&lt;&gt;"",$AT214&amp;", ","")&amp;IF($AU214&lt;&gt;"",$AU214&amp;", ","")&amp;IF($AV214&lt;&gt;"",$AV214&amp;", ","")&amp;IF($AW214&lt;&gt;"",$AW214&amp;", ","")&amp;IF($AX214&lt;&gt;"",$AX214&amp;", ","")&amp;IF($AY214&lt;&gt;"",$AY214&amp;", ","")&amp;IF($AZ214&lt;&gt;"",$AZ214&amp;", ","")&amp;IF($BA214&lt;&gt;"",$BA214&amp;", ","")&amp;IF($BB214&lt;&gt;"",$BB214&amp;", ","")&amp;IF($BC214&lt;&gt;"",$BC214&amp;", ","")&amp;IF($DL214&lt;&gt;"",$DL214&amp;", ","")&amp;IF($DM214&lt;&gt;"",$DM214&amp;", ","")&amp;IF($DN214&lt;&gt;"",$DN214&amp;", ","")&amp;IF($DO214&lt;&gt;"",$DO214&amp;", ","")&amp;IF($DP214&lt;&gt;"",$DP214&amp;", ","")&amp;IF($DQ214&lt;&gt;"",$DQ214&amp;", ","")&amp;IF($DR214&lt;&gt;"",$DR214&amp;", ","")&amp;IF($DS214&lt;&gt;"",$DS214&amp;", ","")&amp;IF($DT214&lt;&gt;"",$DT214&amp;", ","")&amp;IF($DU214&lt;&gt;"",$DU214&amp;", ",""))="","OK","Onbekend: "&amp;LEFT((IF($AT214&lt;&gt;"",$AT214&amp;", ","")&amp;IF($AU214&lt;&gt;"",$AU214&amp;", ","")&amp;IF($AV214&lt;&gt;"",$AV214&amp;", ","")&amp;IF($AW214&lt;&gt;"",$AW214&amp;", ","")&amp;IF($AX214&lt;&gt;"",$AX214&amp;", ","")&amp;IF($AY214&lt;&gt;"",$AY214&amp;", ","")&amp;IF($AZ214&lt;&gt;"",$AZ214&amp;", ","")&amp;IF($BA214&lt;&gt;"",$BA214&amp;", ","")&amp;IF($BB214&lt;&gt;"",$BB214&amp;", ","")&amp;IF($BC214&lt;&gt;"",$BC214&amp;", ","")&amp;IF($DL214&lt;&gt;"",$DL214&amp;", ","")&amp;IF($DM214&lt;&gt;"",$DM214&amp;", ","")&amp;IF($DN214&lt;&gt;"",$DN214&amp;", ","")&amp;IF($DO214&lt;&gt;"",$DO214&amp;", ","")&amp;IF($DP214&lt;&gt;"",$DP214&amp;", ","")&amp;IF($DQ214&lt;&gt;"",$DQ214&amp;", ","")&amp;IF($DR214&lt;&gt;"",$DR214&amp;", ","")&amp;IF($DS214&lt;&gt;"",$DS214&amp;", ","")&amp;IF($DT214&lt;&gt;"",$DT214&amp;", ","")&amp;IF($DU214&lt;&gt;"",$DU214&amp;", ","")),LEN((IF($AT214&lt;&gt;"",$AT214&amp;", ","")&amp;IF($AU214&lt;&gt;"",$AU214&amp;", ","")&amp;IF($AV214&lt;&gt;"",$AV214&amp;", ","")&amp;IF($AW214&lt;&gt;"",$AW214&amp;", ","")&amp;IF($AX214&lt;&gt;"",$AX214&amp;", ","")&amp;IF($AY214&lt;&gt;"",$AY214&amp;", ","")&amp;IF($AZ214&lt;&gt;"",$AZ214&amp;", ","")&amp;IF($BA214&lt;&gt;"",$BA214&amp;", ","")&amp;IF($BB214&lt;&gt;"",$BB214&amp;", ","")&amp;IF($BC214&lt;&gt;"",$BC214&amp;", ","")&amp;IF($DL214&lt;&gt;"",$DL214&amp;", ","")&amp;IF($DM214&lt;&gt;"",$DM214&amp;", ","")&amp;IF($DN214&lt;&gt;"",$DN214&amp;", ","")&amp;IF($DO214&lt;&gt;"",$DO214&amp;", ","")&amp;IF($DP214&lt;&gt;"",$DP214&amp;", ","")&amp;IF($DQ214&lt;&gt;"",$DQ214&amp;", ","")&amp;IF($DR214&lt;&gt;"",$DR214&amp;", ","")&amp;IF($DS214&lt;&gt;"",$DS214&amp;", ","")&amp;IF($DT214&lt;&gt;"",$DT214&amp;", ","")&amp;IF($DU214&lt;&gt;"",$DU214&amp;", ","")))-2)))))))</f>
        <v/>
      </c>
      <c r="N214" t="str">
        <f t="shared" si="1592"/>
        <v/>
      </c>
      <c r="O214" t="str">
        <f t="shared" si="1593"/>
        <v/>
      </c>
      <c r="P214" t="str">
        <f t="shared" si="1594"/>
        <v/>
      </c>
      <c r="Q214" t="str">
        <f t="shared" si="1595"/>
        <v/>
      </c>
      <c r="R214" t="str">
        <f>IF($Q214="","",IF(OR($BE214="",$BF214=""),"ONZEKER",IF(AND($BE214=0+1,$BF214=0),IF(OR(COUNTIF(#REF!,$B214)&gt;0,COUNTIF(#REF!,$B214)=0),"SKIP",IF(COUNTIFS(#REF!,$B214,#REF!,$Q214)&gt;0,"OK","ONBEKEND")),IF(AND($BE214=0,$BF214=0+1),IF(OR(COUNTIF(#REF!,$D214)&gt;0,COUNTIF(#REF!,$D214)=0),"SKIP",IF(COUNTIFS(#REF!,$D214,#REF!,$Q214)&gt;0,"OK","ONBEKEND")),"ONZEKER"))))</f>
        <v/>
      </c>
      <c r="S214" t="str">
        <f t="shared" si="1596"/>
        <v/>
      </c>
      <c r="T214" t="str">
        <f t="shared" si="1597"/>
        <v/>
      </c>
      <c r="U214" t="str">
        <f>IF($T214="","",IF(OR($BH214="",$BI214=""),"ONZEKER",IF(OR($BE214="",$BF214=""),"ONZEKER",IF(AND($BH214=$BE214+1,$BI214=$BF214),IF(OR(COUNTIF(#REF!,$B214)&gt;0,COUNTIF(#REF!,$B214)=0),"SKIP",IF(COUNTIFS(#REF!,$B214,#REF!,$T214)&gt;0,"OK","ONBEKEND")),IF(AND($BH214=$BE214,$BI214=$BF214+1),IF(OR(COUNTIF(#REF!,$D214)&gt;0,COUNTIF(#REF!,$D214)=0),"SKIP",IF(COUNTIFS(#REF!,$D214,#REF!,$T214)&gt;0,"OK","ONBEKEND")),"ONZEKER")))))</f>
        <v/>
      </c>
      <c r="V214" t="str">
        <f t="shared" si="1598"/>
        <v/>
      </c>
      <c r="W214" t="str">
        <f t="shared" si="1599"/>
        <v/>
      </c>
      <c r="X214" t="str">
        <f>IF($W214="","",IF(OR($BK214="",$BL214=""),"ONZEKER",IF(OR($BH214="",$BI214=""),"ONZEKER",IF(AND($BK214=$BH214+1,$BL214=$BI214),IF(OR(COUNTIF(#REF!,$B214)&gt;0,COUNTIF(#REF!,$B214)=0),"SKIP",IF(COUNTIFS(#REF!,$B214,#REF!,$W214)&gt;0,"OK","ONBEKEND")),IF(AND($BK214=$BH214,$BL214=$BI214+1),IF(OR(COUNTIF(#REF!,$D214)&gt;0,COUNTIF(#REF!,$D214)=0),"SKIP",IF(COUNTIFS(#REF!,$D214,#REF!,$W214)&gt;0,"OK","ONBEKEND")),"ONZEKER")))))</f>
        <v/>
      </c>
      <c r="Y214" t="str">
        <f t="shared" si="1600"/>
        <v/>
      </c>
      <c r="Z214" t="str">
        <f t="shared" si="1601"/>
        <v/>
      </c>
      <c r="AA214" t="str">
        <f>IF($Z214="","",IF(OR($BN214="",$BO214=""),"ONZEKER",IF(OR($BK214="",$BL214=""),"ONZEKER",IF(AND($BN214=$BK214+1,$BO214=$BL214),IF(OR(COUNTIF(#REF!,$B214)&gt;0,COUNTIF(#REF!,$B214)=0),"SKIP",IF(COUNTIFS(#REF!,$B214,#REF!,$Z214)&gt;0,"OK","ONBEKEND")),IF(AND($BN214=$BK214,$BO214=$BL214+1),IF(OR(COUNTIF(#REF!,$D214)&gt;0,COUNTIF(#REF!,$D214)=0),"SKIP",IF(COUNTIFS(#REF!,$D214,#REF!,$Z214)&gt;0,"OK","ONBEKEND")),"ONZEKER")))))</f>
        <v/>
      </c>
      <c r="AB214" t="str">
        <f t="shared" si="1602"/>
        <v/>
      </c>
      <c r="AC214" t="str">
        <f t="shared" si="1603"/>
        <v/>
      </c>
      <c r="AD214" t="str">
        <f>IF($AC214="","",IF(OR($BQ214="",$BR214=""),"ONZEKER",IF(OR($BN214="",$BO214=""),"ONZEKER",IF(AND($BQ214=$BN214+1,$BR214=$BO214),IF(OR(COUNTIF(#REF!,$B214)&gt;0,COUNTIF(#REF!,$B214)=0),"SKIP",IF(COUNTIFS(#REF!,$B214,#REF!,$AC214)&gt;0,"OK","ONBEKEND")),IF(AND($BQ214=$BN214,$BR214=$BO214+1),IF(OR(COUNTIF(#REF!,$D214)&gt;0,COUNTIF(#REF!,$D214)=0),"SKIP",IF(COUNTIFS(#REF!,$D214,#REF!,$AC214)&gt;0,"OK","ONBEKEND")),"ONZEKER")))))</f>
        <v/>
      </c>
      <c r="AE214" t="str">
        <f t="shared" si="1604"/>
        <v/>
      </c>
      <c r="AF214" t="str">
        <f t="shared" si="1605"/>
        <v/>
      </c>
      <c r="AG214" t="str">
        <f>IF($AF214="","",IF(OR($BT214="",$BU214=""),"ONZEKER",IF(OR($BQ214="",$BR214=""),"ONZEKER",IF(AND($BT214=$BQ214+1,$BU214=$BR214),IF(OR(COUNTIF(#REF!,$B214)&gt;0,COUNTIF(#REF!,$B214)=0),"SKIP",IF(COUNTIFS(#REF!,$B214,#REF!,$AF214)&gt;0,"OK","ONBEKEND")),IF(AND($BT214=$BQ214,$BU214=$BR214+1),IF(OR(COUNTIF(#REF!,$D214)&gt;0,COUNTIF(#REF!,$D214)=0),"SKIP",IF(COUNTIFS(#REF!,$D214,#REF!,$AF214)&gt;0,"OK","ONBEKEND")),"ONZEKER")))))</f>
        <v/>
      </c>
      <c r="AH214" t="str">
        <f t="shared" si="1606"/>
        <v/>
      </c>
      <c r="AI214" t="str">
        <f t="shared" si="1607"/>
        <v/>
      </c>
      <c r="AJ214" t="str">
        <f>IF($AI214="","",IF(OR($BW214="",$BX214=""),"ONZEKER",IF(OR($BT214="",$BU214=""),"ONZEKER",IF(AND($BW214=$BT214+1,$BX214=$BU214),IF(OR(COUNTIF(#REF!,$B214)&gt;0,COUNTIF(#REF!,$B214)=0),"SKIP",IF(COUNTIFS(#REF!,$B214,#REF!,$AI214)&gt;0,"OK","ONBEKEND")),IF(AND($BW214=$BT214,$BX214=$BU214+1),IF(OR(COUNTIF(#REF!,$D214)&gt;0,COUNTIF(#REF!,$D214)=0),"SKIP",IF(COUNTIFS(#REF!,$D214,#REF!,$AI214)&gt;0,"OK","ONBEKEND")),"ONZEKER")))))</f>
        <v/>
      </c>
      <c r="AK214" t="str">
        <f t="shared" si="1608"/>
        <v/>
      </c>
      <c r="AL214" t="str">
        <f t="shared" si="1609"/>
        <v/>
      </c>
      <c r="AM214" t="str">
        <f>IF($AL214="","",IF(OR($BZ214="",$CA214=""),"ONZEKER",IF(OR($BW214="",$BX214=""),"ONZEKER",IF(AND($BZ214=$BW214+1,$CA214=$BX214),IF(OR(COUNTIF(#REF!,$B214)&gt;0,COUNTIF(#REF!,$B214)=0),"SKIP",IF(COUNTIFS(#REF!,$B214,#REF!,$AL214)&gt;0,"OK","ONBEKEND")),IF(AND($BZ214=$BW214,$CA214=$BX214+1),IF(OR(COUNTIF(#REF!,$D214)&gt;0,COUNTIF(#REF!,$D214)=0),"SKIP",IF(COUNTIFS(#REF!,$D214,#REF!,$AL214)&gt;0,"OK","ONBEKEND")),"ONZEKER")))))</f>
        <v/>
      </c>
      <c r="AN214" t="str">
        <f t="shared" si="1610"/>
        <v/>
      </c>
      <c r="AO214" t="str">
        <f t="shared" si="1611"/>
        <v/>
      </c>
      <c r="AP214" t="str">
        <f>IF($AO214="","",IF(OR($CC214="",$CD214=""),"ONZEKER",IF(OR($BZ214="",$CA214=""),"ONZEKER",IF(AND($CC214=$BZ214+1,$CD214=$CA214),IF(OR(COUNTIF(#REF!,$B214)&gt;0,COUNTIF(#REF!,$B214)=0),"SKIP",IF(COUNTIFS(#REF!,$B214,#REF!,$AO214)&gt;0,"OK","ONBEKEND")),IF(AND($CC214=$BZ214,$CD214=$CA214+1),IF(OR(COUNTIF(#REF!,$D214)&gt;0,COUNTIF(#REF!,$D214)=0),"SKIP",IF(COUNTIFS(#REF!,$D214,#REF!,$AO214)&gt;0,"OK","ONBEKEND")),"ONZEKER")))))</f>
        <v/>
      </c>
      <c r="AQ214" t="str">
        <f t="shared" si="1612"/>
        <v/>
      </c>
      <c r="AR214" t="str">
        <f t="shared" si="1613"/>
        <v/>
      </c>
      <c r="AS214" t="str">
        <f>IF($AR214="","",IF(OR($CF214="",$CG214=""),"ONZEKER",IF(OR($CC214="",$CD214=""),"ONZEKER",IF(AND($CF214=$CC214+1,$CG214=$CD214),IF(OR(COUNTIF(#REF!,$B214)&gt;0,COUNTIF(#REF!,$B214)=0),"SKIP",IF(COUNTIFS(#REF!,$B214,#REF!,$AR214)&gt;0,"OK","ONBEKEND")),IF(AND($CF214=$CC214,$CG214=$CD214+1),IF(OR(COUNTIF(#REF!,$D214)&gt;0,COUNTIF(#REF!,$D214)=0),"SKIP",IF(COUNTIFS(#REF!,$D214,#REF!,$AR214)&gt;0,"OK","ONBEKEND")),"ONZEKER")))))</f>
        <v/>
      </c>
      <c r="AT214" t="str">
        <f t="shared" si="1614"/>
        <v/>
      </c>
      <c r="AU214" t="str">
        <f t="shared" si="1615"/>
        <v/>
      </c>
      <c r="AV214" t="str">
        <f t="shared" si="1616"/>
        <v/>
      </c>
      <c r="AW214" t="str">
        <f t="shared" si="1617"/>
        <v/>
      </c>
      <c r="AX214" t="str">
        <f t="shared" si="1618"/>
        <v/>
      </c>
      <c r="AY214" t="str">
        <f t="shared" si="1619"/>
        <v/>
      </c>
      <c r="AZ214" t="str">
        <f t="shared" si="1620"/>
        <v/>
      </c>
      <c r="BA214" t="str">
        <f t="shared" si="1621"/>
        <v/>
      </c>
      <c r="BB214" t="str">
        <f t="shared" si="1622"/>
        <v/>
      </c>
      <c r="BC214" t="str">
        <f t="shared" si="1623"/>
        <v/>
      </c>
      <c r="BD214" t="str">
        <f t="shared" si="1470"/>
        <v/>
      </c>
      <c r="BE214" t="str">
        <f t="shared" si="1471"/>
        <v/>
      </c>
      <c r="BF214" t="str">
        <f t="shared" si="1472"/>
        <v/>
      </c>
      <c r="BG214" t="str">
        <f t="shared" si="1473"/>
        <v/>
      </c>
      <c r="BH214" t="str">
        <f t="shared" si="1474"/>
        <v/>
      </c>
      <c r="BI214" t="str">
        <f t="shared" si="1475"/>
        <v/>
      </c>
      <c r="BJ214" t="str">
        <f t="shared" si="1476"/>
        <v/>
      </c>
      <c r="BK214" t="str">
        <f t="shared" si="1477"/>
        <v/>
      </c>
      <c r="BL214" t="str">
        <f t="shared" si="1478"/>
        <v/>
      </c>
      <c r="BM214" t="str">
        <f t="shared" si="1479"/>
        <v/>
      </c>
      <c r="BN214" t="str">
        <f t="shared" si="1480"/>
        <v/>
      </c>
      <c r="BO214" t="str">
        <f t="shared" si="1481"/>
        <v/>
      </c>
      <c r="BP214" t="str">
        <f t="shared" si="1482"/>
        <v/>
      </c>
      <c r="BQ214" t="str">
        <f t="shared" si="1483"/>
        <v/>
      </c>
      <c r="BR214" t="str">
        <f t="shared" si="1484"/>
        <v/>
      </c>
      <c r="BS214" t="str">
        <f t="shared" si="1485"/>
        <v/>
      </c>
      <c r="BT214" t="str">
        <f t="shared" si="1486"/>
        <v/>
      </c>
      <c r="BU214" t="str">
        <f t="shared" si="1487"/>
        <v/>
      </c>
      <c r="BV214" t="str">
        <f t="shared" si="1488"/>
        <v/>
      </c>
      <c r="BW214" t="str">
        <f t="shared" si="1489"/>
        <v/>
      </c>
      <c r="BX214" t="str">
        <f t="shared" si="1490"/>
        <v/>
      </c>
      <c r="BY214" t="str">
        <f t="shared" si="1491"/>
        <v/>
      </c>
      <c r="BZ214" t="str">
        <f t="shared" si="1492"/>
        <v/>
      </c>
      <c r="CA214" t="str">
        <f t="shared" si="1493"/>
        <v/>
      </c>
      <c r="CB214" t="str">
        <f t="shared" si="1494"/>
        <v/>
      </c>
      <c r="CC214" t="str">
        <f t="shared" si="1495"/>
        <v/>
      </c>
      <c r="CD214" t="str">
        <f t="shared" si="1496"/>
        <v/>
      </c>
      <c r="CE214" t="str">
        <f t="shared" si="1497"/>
        <v/>
      </c>
      <c r="CF214" t="str">
        <f t="shared" si="1498"/>
        <v/>
      </c>
      <c r="CG214" t="str">
        <f t="shared" si="1499"/>
        <v/>
      </c>
      <c r="CH214" t="str">
        <f t="shared" si="1624"/>
        <v/>
      </c>
      <c r="CI214" t="str">
        <f t="shared" si="1625"/>
        <v/>
      </c>
      <c r="CJ214" t="str">
        <f>IF($CI214="","",IF(OR($DW214="",$DX214=""),"ONZEKER",IF(OR($CF214="",$CG214=""),"ONZEKER",IF(AND($DW214=$CF214+1,$DX214=$CG214),IF(OR(COUNTIF(#REF!,$B214)&gt;0,COUNTIF(#REF!,$B214)=0),"SKIP",IF(COUNTIFS(#REF!,$B214,#REF!,$CI214)&gt;0,"OK","ONBEKEND")),IF(AND($DW214=$CF214,$DX214=$CG214+1),IF(OR(COUNTIF(#REF!,$D214)&gt;0,COUNTIF(#REF!,$D214)=0),"SKIP",IF(COUNTIFS(#REF!,$D214,#REF!,$CI214)&gt;0,"OK","ONBEKEND")),"ONZEKER")))))</f>
        <v/>
      </c>
      <c r="CK214" t="str">
        <f t="shared" si="1626"/>
        <v/>
      </c>
      <c r="CL214" t="str">
        <f t="shared" si="1627"/>
        <v/>
      </c>
      <c r="CM214" t="str">
        <f>IF($CL214="","",IF(OR($DZ214="",$EA214=""),"ONZEKER",IF(OR($DW214="",$DX214=""),"ONZEKER",IF(AND($DZ214=$DW214+1,$EA214=$DX214),IF(OR(COUNTIF(#REF!,$B214)&gt;0,COUNTIF(#REF!,$B214)=0),"SKIP",IF(COUNTIFS(#REF!,$B214,#REF!,$CL214)&gt;0,"OK","ONBEKEND")),IF(AND($DZ214=$DW214,$EA214=$DX214+1),IF(OR(COUNTIF(#REF!,$D214)&gt;0,COUNTIF(#REF!,$D214)=0),"SKIP",IF(COUNTIFS(#REF!,$D214,#REF!,$CL214)&gt;0,"OK","ONBEKEND")),"ONZEKER")))))</f>
        <v/>
      </c>
      <c r="CN214" t="str">
        <f t="shared" si="1628"/>
        <v/>
      </c>
      <c r="CO214" t="str">
        <f t="shared" si="1629"/>
        <v/>
      </c>
      <c r="CP214" t="str">
        <f>IF($CO214="","",IF(OR($EC214="",$ED214=""),"ONZEKER",IF(OR($DZ214="",$EA214=""),"ONZEKER",IF(AND($EC214=$DZ214+1,$ED214=$EA214),IF(OR(COUNTIF(#REF!,$B214)&gt;0,COUNTIF(#REF!,$B214)=0),"SKIP",IF(COUNTIFS(#REF!,$B214,#REF!,$CO214)&gt;0,"OK","ONBEKEND")),IF(AND($EC214=$DZ214,$ED214=$EA214+1),IF(OR(COUNTIF(#REF!,$D214)&gt;0,COUNTIF(#REF!,$D214)=0),"SKIP",IF(COUNTIFS(#REF!,$D214,#REF!,$CO214)&gt;0,"OK","ONBEKEND")),"ONZEKER")))))</f>
        <v/>
      </c>
      <c r="CQ214" t="str">
        <f t="shared" si="1630"/>
        <v/>
      </c>
      <c r="CR214" t="str">
        <f t="shared" si="1631"/>
        <v/>
      </c>
      <c r="CS214" t="str">
        <f>IF($CR214="","",IF(OR($EF214="",$EG214=""),"ONZEKER",IF(OR($EC214="",$ED214=""),"ONZEKER",IF(AND($EF214=$EC214+1,$EG214=$ED214),IF(OR(COUNTIF(#REF!,$B214)&gt;0,COUNTIF(#REF!,$B214)=0),"SKIP",IF(COUNTIFS(#REF!,$B214,#REF!,$CR214)&gt;0,"OK","ONBEKEND")),IF(AND($EF214=$EC214,$EG214=$ED214+1),IF(OR(COUNTIF(#REF!,$D214)&gt;0,COUNTIF(#REF!,$D214)=0),"SKIP",IF(COUNTIFS(#REF!,$D214,#REF!,$CR214)&gt;0,"OK","ONBEKEND")),"ONZEKER")))))</f>
        <v/>
      </c>
      <c r="CT214" t="str">
        <f t="shared" si="1632"/>
        <v/>
      </c>
      <c r="CU214" t="str">
        <f t="shared" si="1633"/>
        <v/>
      </c>
      <c r="CV214" t="str">
        <f>IF($CU214="","",IF(OR($EI214="",$EJ214=""),"ONZEKER",IF(OR($EF214="",$EG214=""),"ONZEKER",IF(AND($EI214=$EF214+1,$EJ214=$EG214),IF(OR(COUNTIF(#REF!,$B214)&gt;0,COUNTIF(#REF!,$B214)=0),"SKIP",IF(COUNTIFS(#REF!,$B214,#REF!,$CU214)&gt;0,"OK","ONBEKEND")),IF(AND($EI214=$EF214,$EJ214=$EG214+1),IF(OR(COUNTIF(#REF!,$D214)&gt;0,COUNTIF(#REF!,$D214)=0),"SKIP",IF(COUNTIFS(#REF!,$D214,#REF!,$CU214)&gt;0,"OK","ONBEKEND")),"ONZEKER")))))</f>
        <v/>
      </c>
      <c r="CW214" t="str">
        <f t="shared" si="1634"/>
        <v/>
      </c>
      <c r="CX214" t="str">
        <f t="shared" si="1635"/>
        <v/>
      </c>
      <c r="CY214" t="str">
        <f>IF($CX214="","",IF(OR($EL214="",$EM214=""),"ONZEKER",IF(OR($EI214="",$EJ214=""),"ONZEKER",IF(AND($EL214=$EI214+1,$EM214=$EJ214),IF(OR(COUNTIF(#REF!,$B214)&gt;0,COUNTIF(#REF!,$B214)=0),"SKIP",IF(COUNTIFS(#REF!,$B214,#REF!,$CX214)&gt;0,"OK","ONBEKEND")),IF(AND($EL214=$EI214,$EM214=$EJ214+1),IF(OR(COUNTIF(#REF!,$D214)&gt;0,COUNTIF(#REF!,$D214)=0),"SKIP",IF(COUNTIFS(#REF!,$D214,#REF!,$CX214)&gt;0,"OK","ONBEKEND")),"ONZEKER")))))</f>
        <v/>
      </c>
      <c r="CZ214" t="str">
        <f t="shared" si="1636"/>
        <v/>
      </c>
      <c r="DA214" t="str">
        <f t="shared" si="1637"/>
        <v/>
      </c>
      <c r="DB214" t="str">
        <f>IF($DA214="","",IF(OR($EO214="",$EP214=""),"ONZEKER",IF(OR($EL214="",$EM214=""),"ONZEKER",IF(AND($EO214=$EL214+1,$EP214=$EM214),IF(OR(COUNTIF(#REF!,$B214)&gt;0,COUNTIF(#REF!,$B214)=0),"SKIP",IF(COUNTIFS(#REF!,$B214,#REF!,$DA214)&gt;0,"OK","ONBEKEND")),IF(AND($EO214=$EL214,$EP214=$EM214+1),IF(OR(COUNTIF(#REF!,$D214)&gt;0,COUNTIF(#REF!,$D214)=0),"SKIP",IF(COUNTIFS(#REF!,$D214,#REF!,$DA214)&gt;0,"OK","ONBEKEND")),"ONZEKER")))))</f>
        <v/>
      </c>
      <c r="DC214" t="str">
        <f t="shared" si="1638"/>
        <v/>
      </c>
      <c r="DD214" t="str">
        <f t="shared" si="1639"/>
        <v/>
      </c>
      <c r="DE214" t="str">
        <f>IF($DD214="","",IF(OR($ER214="",$ES214=""),"ONZEKER",IF(OR($EO214="",$EP214=""),"ONZEKER",IF(AND($ER214=$EO214+1,$ES214=$EP214),IF(OR(COUNTIF(#REF!,$B214)&gt;0,COUNTIF(#REF!,$B214)=0),"SKIP",IF(COUNTIFS(#REF!,$B214,#REF!,$DD214)&gt;0,"OK","ONBEKEND")),IF(AND($ER214=$EO214,$ES214=$EP214+1),IF(OR(COUNTIF(#REF!,$D214)&gt;0,COUNTIF(#REF!,$D214)=0),"SKIP",IF(COUNTIFS(#REF!,$D214,#REF!,$DD214)&gt;0,"OK","ONBEKEND")),"ONZEKER")))))</f>
        <v/>
      </c>
      <c r="DF214" t="str">
        <f t="shared" si="1640"/>
        <v/>
      </c>
      <c r="DG214" t="str">
        <f t="shared" si="1641"/>
        <v/>
      </c>
      <c r="DH214" t="str">
        <f>IF($DG214="","",IF(OR($EU214="",$EV214=""),"ONZEKER",IF(OR($ER214="",$ES214=""),"ONZEKER",IF(AND($EU214=$ER214+1,$EV214=$ES214),IF(OR(COUNTIF(#REF!,$B214)&gt;0,COUNTIF(#REF!,$B214)=0),"SKIP",IF(COUNTIFS(#REF!,$B214,#REF!,$DG214)&gt;0,"OK","ONBEKEND")),IF(AND($EU214=$ER214,$EV214=$ES214+1),IF(OR(COUNTIF(#REF!,$D214)&gt;0,COUNTIF(#REF!,$D214)=0),"SKIP",IF(COUNTIFS(#REF!,$D214,#REF!,$DG214)&gt;0,"OK","ONBEKEND")),"ONZEKER")))))</f>
        <v/>
      </c>
      <c r="DI214" t="str">
        <f t="shared" si="1642"/>
        <v/>
      </c>
      <c r="DJ214" t="str">
        <f t="shared" si="1643"/>
        <v/>
      </c>
      <c r="DK214" t="str">
        <f>IF($DJ214="","",IF(OR($EX214="",$EY214=""),"ONZEKER",IF(OR($EU214="",$EV214=""),"ONZEKER",IF(AND($EX214=$EU214+1,$EY214=$EV214),IF(OR(COUNTIF(#REF!,$B214)&gt;0,COUNTIF(#REF!,$B214)=0),"SKIP",IF(COUNTIFS(#REF!,$B214,#REF!,$DJ214)&gt;0,"OK","ONBEKEND")),IF(AND($EX214=$EU214,$EY214=$EV214+1),IF(OR(COUNTIF(#REF!,$D214)&gt;0,COUNTIF(#REF!,$D214)=0),"SKIP",IF(COUNTIFS(#REF!,$D214,#REF!,$DJ214)&gt;0,"OK","ONBEKEND")),"ONZEKER")))))</f>
        <v/>
      </c>
      <c r="DL214" t="str">
        <f t="shared" si="1644"/>
        <v/>
      </c>
      <c r="DM214" t="str">
        <f t="shared" si="1645"/>
        <v/>
      </c>
      <c r="DN214" t="str">
        <f t="shared" si="1646"/>
        <v/>
      </c>
      <c r="DO214" t="str">
        <f t="shared" si="1647"/>
        <v/>
      </c>
      <c r="DP214" t="str">
        <f t="shared" si="1648"/>
        <v/>
      </c>
      <c r="DQ214" t="str">
        <f t="shared" si="1649"/>
        <v/>
      </c>
      <c r="DR214" t="str">
        <f t="shared" si="1650"/>
        <v/>
      </c>
      <c r="DS214" t="str">
        <f t="shared" si="1651"/>
        <v/>
      </c>
      <c r="DT214" t="str">
        <f t="shared" si="1652"/>
        <v/>
      </c>
      <c r="DU214" t="str">
        <f t="shared" si="1653"/>
        <v/>
      </c>
      <c r="DV214" t="str">
        <f t="shared" si="1654"/>
        <v/>
      </c>
      <c r="DW214" t="str">
        <f t="shared" si="1655"/>
        <v/>
      </c>
      <c r="DX214" t="str">
        <f t="shared" si="1656"/>
        <v/>
      </c>
      <c r="DY214" t="str">
        <f t="shared" si="1657"/>
        <v/>
      </c>
      <c r="DZ214" t="str">
        <f t="shared" si="1658"/>
        <v/>
      </c>
      <c r="EA214" t="str">
        <f t="shared" si="1659"/>
        <v/>
      </c>
      <c r="EB214" t="str">
        <f t="shared" si="1660"/>
        <v/>
      </c>
      <c r="EC214" t="str">
        <f t="shared" si="1661"/>
        <v/>
      </c>
      <c r="ED214" t="str">
        <f t="shared" si="1662"/>
        <v/>
      </c>
      <c r="EE214" t="str">
        <f t="shared" si="1663"/>
        <v/>
      </c>
      <c r="EF214" t="str">
        <f t="shared" si="1664"/>
        <v/>
      </c>
      <c r="EG214" t="str">
        <f t="shared" si="1665"/>
        <v/>
      </c>
      <c r="EH214" t="str">
        <f t="shared" si="1666"/>
        <v/>
      </c>
      <c r="EI214" t="str">
        <f t="shared" si="1667"/>
        <v/>
      </c>
      <c r="EJ214" t="str">
        <f t="shared" si="1668"/>
        <v/>
      </c>
      <c r="EK214" t="str">
        <f t="shared" si="1669"/>
        <v/>
      </c>
      <c r="EL214" t="str">
        <f t="shared" si="1670"/>
        <v/>
      </c>
      <c r="EM214" t="str">
        <f t="shared" si="1671"/>
        <v/>
      </c>
      <c r="EN214" t="str">
        <f t="shared" si="1672"/>
        <v/>
      </c>
      <c r="EO214" t="str">
        <f t="shared" si="1673"/>
        <v/>
      </c>
      <c r="EP214" t="str">
        <f t="shared" si="1674"/>
        <v/>
      </c>
      <c r="EQ214" t="str">
        <f t="shared" si="1675"/>
        <v/>
      </c>
      <c r="ER214" t="str">
        <f t="shared" si="1676"/>
        <v/>
      </c>
      <c r="ES214" t="str">
        <f t="shared" si="1677"/>
        <v/>
      </c>
      <c r="ET214" t="str">
        <f t="shared" si="1678"/>
        <v/>
      </c>
      <c r="EU214" t="str">
        <f t="shared" si="1679"/>
        <v/>
      </c>
      <c r="EV214" t="str">
        <f t="shared" si="1680"/>
        <v/>
      </c>
      <c r="EW214" t="str">
        <f t="shared" si="1681"/>
        <v/>
      </c>
      <c r="EX214" t="str">
        <f t="shared" si="1682"/>
        <v/>
      </c>
      <c r="EY214" t="str">
        <f t="shared" si="1683"/>
        <v/>
      </c>
    </row>
    <row r="215" spans="1:155" ht="13.9" customHeight="1" x14ac:dyDescent="0.25">
      <c r="A215" s="7"/>
      <c r="B215" s="17"/>
      <c r="C215" s="8"/>
      <c r="D215" s="17"/>
      <c r="E215" s="8"/>
      <c r="F215" s="18">
        <v>0</v>
      </c>
      <c r="G215" s="7" t="s">
        <v>147</v>
      </c>
      <c r="H215" s="18">
        <v>0</v>
      </c>
      <c r="I215" s="19">
        <v>0</v>
      </c>
      <c r="J215" s="7" t="s">
        <v>147</v>
      </c>
      <c r="K215" s="19">
        <v>0</v>
      </c>
      <c r="L215" s="9"/>
      <c r="M215" s="3" t="str">
        <f>IF($L215="","",IF($L215="DOELPUNTENMAKERS","",IF(AND(COUNTIF(#REF!,$B215)=0,COUNTIF(#REF!,$D215)=0),"OK",IF($O215&gt;20,"LET OP: meer dan 20 items (controle onvolledig)",IF((COUNTIF($R215:$AS215,"ONZEKER")+COUNTIF($CJ215:$DK215,"ONZEKER"))&gt;0,"LET OP: scoreverloop onduidelijk (controle beperkt)",IF((IF($AT215&lt;&gt;"",$AT215&amp;", ","")&amp;IF($AU215&lt;&gt;"",$AU215&amp;", ","")&amp;IF($AV215&lt;&gt;"",$AV215&amp;", ","")&amp;IF($AW215&lt;&gt;"",$AW215&amp;", ","")&amp;IF($AX215&lt;&gt;"",$AX215&amp;", ","")&amp;IF($AY215&lt;&gt;"",$AY215&amp;", ","")&amp;IF($AZ215&lt;&gt;"",$AZ215&amp;", ","")&amp;IF($BA215&lt;&gt;"",$BA215&amp;", ","")&amp;IF($BB215&lt;&gt;"",$BB215&amp;", ","")&amp;IF($BC215&lt;&gt;"",$BC215&amp;", ","")&amp;IF($DL215&lt;&gt;"",$DL215&amp;", ","")&amp;IF($DM215&lt;&gt;"",$DM215&amp;", ","")&amp;IF($DN215&lt;&gt;"",$DN215&amp;", ","")&amp;IF($DO215&lt;&gt;"",$DO215&amp;", ","")&amp;IF($DP215&lt;&gt;"",$DP215&amp;", ","")&amp;IF($DQ215&lt;&gt;"",$DQ215&amp;", ","")&amp;IF($DR215&lt;&gt;"",$DR215&amp;", ","")&amp;IF($DS215&lt;&gt;"",$DS215&amp;", ","")&amp;IF($DT215&lt;&gt;"",$DT215&amp;", ","")&amp;IF($DU215&lt;&gt;"",$DU215&amp;", ",""))="","OK","Onbekend: "&amp;LEFT((IF($AT215&lt;&gt;"",$AT215&amp;", ","")&amp;IF($AU215&lt;&gt;"",$AU215&amp;", ","")&amp;IF($AV215&lt;&gt;"",$AV215&amp;", ","")&amp;IF($AW215&lt;&gt;"",$AW215&amp;", ","")&amp;IF($AX215&lt;&gt;"",$AX215&amp;", ","")&amp;IF($AY215&lt;&gt;"",$AY215&amp;", ","")&amp;IF($AZ215&lt;&gt;"",$AZ215&amp;", ","")&amp;IF($BA215&lt;&gt;"",$BA215&amp;", ","")&amp;IF($BB215&lt;&gt;"",$BB215&amp;", ","")&amp;IF($BC215&lt;&gt;"",$BC215&amp;", ","")&amp;IF($DL215&lt;&gt;"",$DL215&amp;", ","")&amp;IF($DM215&lt;&gt;"",$DM215&amp;", ","")&amp;IF($DN215&lt;&gt;"",$DN215&amp;", ","")&amp;IF($DO215&lt;&gt;"",$DO215&amp;", ","")&amp;IF($DP215&lt;&gt;"",$DP215&amp;", ","")&amp;IF($DQ215&lt;&gt;"",$DQ215&amp;", ","")&amp;IF($DR215&lt;&gt;"",$DR215&amp;", ","")&amp;IF($DS215&lt;&gt;"",$DS215&amp;", ","")&amp;IF($DT215&lt;&gt;"",$DT215&amp;", ","")&amp;IF($DU215&lt;&gt;"",$DU215&amp;", ","")),LEN((IF($AT215&lt;&gt;"",$AT215&amp;", ","")&amp;IF($AU215&lt;&gt;"",$AU215&amp;", ","")&amp;IF($AV215&lt;&gt;"",$AV215&amp;", ","")&amp;IF($AW215&lt;&gt;"",$AW215&amp;", ","")&amp;IF($AX215&lt;&gt;"",$AX215&amp;", ","")&amp;IF($AY215&lt;&gt;"",$AY215&amp;", ","")&amp;IF($AZ215&lt;&gt;"",$AZ215&amp;", ","")&amp;IF($BA215&lt;&gt;"",$BA215&amp;", ","")&amp;IF($BB215&lt;&gt;"",$BB215&amp;", ","")&amp;IF($BC215&lt;&gt;"",$BC215&amp;", ","")&amp;IF($DL215&lt;&gt;"",$DL215&amp;", ","")&amp;IF($DM215&lt;&gt;"",$DM215&amp;", ","")&amp;IF($DN215&lt;&gt;"",$DN215&amp;", ","")&amp;IF($DO215&lt;&gt;"",$DO215&amp;", ","")&amp;IF($DP215&lt;&gt;"",$DP215&amp;", ","")&amp;IF($DQ215&lt;&gt;"",$DQ215&amp;", ","")&amp;IF($DR215&lt;&gt;"",$DR215&amp;", ","")&amp;IF($DS215&lt;&gt;"",$DS215&amp;", ","")&amp;IF($DT215&lt;&gt;"",$DT215&amp;", ","")&amp;IF($DU215&lt;&gt;"",$DU215&amp;", ","")))-2)))))))</f>
        <v/>
      </c>
      <c r="N215" t="str">
        <f t="shared" si="1592"/>
        <v/>
      </c>
      <c r="O215" t="str">
        <f t="shared" si="1593"/>
        <v/>
      </c>
      <c r="P215" t="str">
        <f t="shared" si="1594"/>
        <v/>
      </c>
      <c r="Q215" t="str">
        <f t="shared" si="1595"/>
        <v/>
      </c>
      <c r="R215" t="str">
        <f>IF($Q215="","",IF(OR($BE215="",$BF215=""),"ONZEKER",IF(AND($BE215=0+1,$BF215=0),IF(OR(COUNTIF(#REF!,$B215)&gt;0,COUNTIF(#REF!,$B215)=0),"SKIP",IF(COUNTIFS(#REF!,$B215,#REF!,$Q215)&gt;0,"OK","ONBEKEND")),IF(AND($BE215=0,$BF215=0+1),IF(OR(COUNTIF(#REF!,$D215)&gt;0,COUNTIF(#REF!,$D215)=0),"SKIP",IF(COUNTIFS(#REF!,$D215,#REF!,$Q215)&gt;0,"OK","ONBEKEND")),"ONZEKER"))))</f>
        <v/>
      </c>
      <c r="S215" t="str">
        <f t="shared" si="1596"/>
        <v/>
      </c>
      <c r="T215" t="str">
        <f t="shared" si="1597"/>
        <v/>
      </c>
      <c r="U215" t="str">
        <f>IF($T215="","",IF(OR($BH215="",$BI215=""),"ONZEKER",IF(OR($BE215="",$BF215=""),"ONZEKER",IF(AND($BH215=$BE215+1,$BI215=$BF215),IF(OR(COUNTIF(#REF!,$B215)&gt;0,COUNTIF(#REF!,$B215)=0),"SKIP",IF(COUNTIFS(#REF!,$B215,#REF!,$T215)&gt;0,"OK","ONBEKEND")),IF(AND($BH215=$BE215,$BI215=$BF215+1),IF(OR(COUNTIF(#REF!,$D215)&gt;0,COUNTIF(#REF!,$D215)=0),"SKIP",IF(COUNTIFS(#REF!,$D215,#REF!,$T215)&gt;0,"OK","ONBEKEND")),"ONZEKER")))))</f>
        <v/>
      </c>
      <c r="V215" t="str">
        <f t="shared" si="1598"/>
        <v/>
      </c>
      <c r="W215" t="str">
        <f t="shared" si="1599"/>
        <v/>
      </c>
      <c r="X215" t="str">
        <f>IF($W215="","",IF(OR($BK215="",$BL215=""),"ONZEKER",IF(OR($BH215="",$BI215=""),"ONZEKER",IF(AND($BK215=$BH215+1,$BL215=$BI215),IF(OR(COUNTIF(#REF!,$B215)&gt;0,COUNTIF(#REF!,$B215)=0),"SKIP",IF(COUNTIFS(#REF!,$B215,#REF!,$W215)&gt;0,"OK","ONBEKEND")),IF(AND($BK215=$BH215,$BL215=$BI215+1),IF(OR(COUNTIF(#REF!,$D215)&gt;0,COUNTIF(#REF!,$D215)=0),"SKIP",IF(COUNTIFS(#REF!,$D215,#REF!,$W215)&gt;0,"OK","ONBEKEND")),"ONZEKER")))))</f>
        <v/>
      </c>
      <c r="Y215" t="str">
        <f t="shared" si="1600"/>
        <v/>
      </c>
      <c r="Z215" t="str">
        <f t="shared" si="1601"/>
        <v/>
      </c>
      <c r="AA215" t="str">
        <f>IF($Z215="","",IF(OR($BN215="",$BO215=""),"ONZEKER",IF(OR($BK215="",$BL215=""),"ONZEKER",IF(AND($BN215=$BK215+1,$BO215=$BL215),IF(OR(COUNTIF(#REF!,$B215)&gt;0,COUNTIF(#REF!,$B215)=0),"SKIP",IF(COUNTIFS(#REF!,$B215,#REF!,$Z215)&gt;0,"OK","ONBEKEND")),IF(AND($BN215=$BK215,$BO215=$BL215+1),IF(OR(COUNTIF(#REF!,$D215)&gt;0,COUNTIF(#REF!,$D215)=0),"SKIP",IF(COUNTIFS(#REF!,$D215,#REF!,$Z215)&gt;0,"OK","ONBEKEND")),"ONZEKER")))))</f>
        <v/>
      </c>
      <c r="AB215" t="str">
        <f t="shared" si="1602"/>
        <v/>
      </c>
      <c r="AC215" t="str">
        <f t="shared" si="1603"/>
        <v/>
      </c>
      <c r="AD215" t="str">
        <f>IF($AC215="","",IF(OR($BQ215="",$BR215=""),"ONZEKER",IF(OR($BN215="",$BO215=""),"ONZEKER",IF(AND($BQ215=$BN215+1,$BR215=$BO215),IF(OR(COUNTIF(#REF!,$B215)&gt;0,COUNTIF(#REF!,$B215)=0),"SKIP",IF(COUNTIFS(#REF!,$B215,#REF!,$AC215)&gt;0,"OK","ONBEKEND")),IF(AND($BQ215=$BN215,$BR215=$BO215+1),IF(OR(COUNTIF(#REF!,$D215)&gt;0,COUNTIF(#REF!,$D215)=0),"SKIP",IF(COUNTIFS(#REF!,$D215,#REF!,$AC215)&gt;0,"OK","ONBEKEND")),"ONZEKER")))))</f>
        <v/>
      </c>
      <c r="AE215" t="str">
        <f t="shared" si="1604"/>
        <v/>
      </c>
      <c r="AF215" t="str">
        <f t="shared" si="1605"/>
        <v/>
      </c>
      <c r="AG215" t="str">
        <f>IF($AF215="","",IF(OR($BT215="",$BU215=""),"ONZEKER",IF(OR($BQ215="",$BR215=""),"ONZEKER",IF(AND($BT215=$BQ215+1,$BU215=$BR215),IF(OR(COUNTIF(#REF!,$B215)&gt;0,COUNTIF(#REF!,$B215)=0),"SKIP",IF(COUNTIFS(#REF!,$B215,#REF!,$AF215)&gt;0,"OK","ONBEKEND")),IF(AND($BT215=$BQ215,$BU215=$BR215+1),IF(OR(COUNTIF(#REF!,$D215)&gt;0,COUNTIF(#REF!,$D215)=0),"SKIP",IF(COUNTIFS(#REF!,$D215,#REF!,$AF215)&gt;0,"OK","ONBEKEND")),"ONZEKER")))))</f>
        <v/>
      </c>
      <c r="AH215" t="str">
        <f t="shared" si="1606"/>
        <v/>
      </c>
      <c r="AI215" t="str">
        <f t="shared" si="1607"/>
        <v/>
      </c>
      <c r="AJ215" t="str">
        <f>IF($AI215="","",IF(OR($BW215="",$BX215=""),"ONZEKER",IF(OR($BT215="",$BU215=""),"ONZEKER",IF(AND($BW215=$BT215+1,$BX215=$BU215),IF(OR(COUNTIF(#REF!,$B215)&gt;0,COUNTIF(#REF!,$B215)=0),"SKIP",IF(COUNTIFS(#REF!,$B215,#REF!,$AI215)&gt;0,"OK","ONBEKEND")),IF(AND($BW215=$BT215,$BX215=$BU215+1),IF(OR(COUNTIF(#REF!,$D215)&gt;0,COUNTIF(#REF!,$D215)=0),"SKIP",IF(COUNTIFS(#REF!,$D215,#REF!,$AI215)&gt;0,"OK","ONBEKEND")),"ONZEKER")))))</f>
        <v/>
      </c>
      <c r="AK215" t="str">
        <f t="shared" si="1608"/>
        <v/>
      </c>
      <c r="AL215" t="str">
        <f t="shared" si="1609"/>
        <v/>
      </c>
      <c r="AM215" t="str">
        <f>IF($AL215="","",IF(OR($BZ215="",$CA215=""),"ONZEKER",IF(OR($BW215="",$BX215=""),"ONZEKER",IF(AND($BZ215=$BW215+1,$CA215=$BX215),IF(OR(COUNTIF(#REF!,$B215)&gt;0,COUNTIF(#REF!,$B215)=0),"SKIP",IF(COUNTIFS(#REF!,$B215,#REF!,$AL215)&gt;0,"OK","ONBEKEND")),IF(AND($BZ215=$BW215,$CA215=$BX215+1),IF(OR(COUNTIF(#REF!,$D215)&gt;0,COUNTIF(#REF!,$D215)=0),"SKIP",IF(COUNTIFS(#REF!,$D215,#REF!,$AL215)&gt;0,"OK","ONBEKEND")),"ONZEKER")))))</f>
        <v/>
      </c>
      <c r="AN215" t="str">
        <f t="shared" si="1610"/>
        <v/>
      </c>
      <c r="AO215" t="str">
        <f t="shared" si="1611"/>
        <v/>
      </c>
      <c r="AP215" t="str">
        <f>IF($AO215="","",IF(OR($CC215="",$CD215=""),"ONZEKER",IF(OR($BZ215="",$CA215=""),"ONZEKER",IF(AND($CC215=$BZ215+1,$CD215=$CA215),IF(OR(COUNTIF(#REF!,$B215)&gt;0,COUNTIF(#REF!,$B215)=0),"SKIP",IF(COUNTIFS(#REF!,$B215,#REF!,$AO215)&gt;0,"OK","ONBEKEND")),IF(AND($CC215=$BZ215,$CD215=$CA215+1),IF(OR(COUNTIF(#REF!,$D215)&gt;0,COUNTIF(#REF!,$D215)=0),"SKIP",IF(COUNTIFS(#REF!,$D215,#REF!,$AO215)&gt;0,"OK","ONBEKEND")),"ONZEKER")))))</f>
        <v/>
      </c>
      <c r="AQ215" t="str">
        <f t="shared" si="1612"/>
        <v/>
      </c>
      <c r="AR215" t="str">
        <f t="shared" si="1613"/>
        <v/>
      </c>
      <c r="AS215" t="str">
        <f>IF($AR215="","",IF(OR($CF215="",$CG215=""),"ONZEKER",IF(OR($CC215="",$CD215=""),"ONZEKER",IF(AND($CF215=$CC215+1,$CG215=$CD215),IF(OR(COUNTIF(#REF!,$B215)&gt;0,COUNTIF(#REF!,$B215)=0),"SKIP",IF(COUNTIFS(#REF!,$B215,#REF!,$AR215)&gt;0,"OK","ONBEKEND")),IF(AND($CF215=$CC215,$CG215=$CD215+1),IF(OR(COUNTIF(#REF!,$D215)&gt;0,COUNTIF(#REF!,$D215)=0),"SKIP",IF(COUNTIFS(#REF!,$D215,#REF!,$AR215)&gt;0,"OK","ONBEKEND")),"ONZEKER")))))</f>
        <v/>
      </c>
      <c r="AT215" t="str">
        <f t="shared" si="1614"/>
        <v/>
      </c>
      <c r="AU215" t="str">
        <f t="shared" si="1615"/>
        <v/>
      </c>
      <c r="AV215" t="str">
        <f t="shared" si="1616"/>
        <v/>
      </c>
      <c r="AW215" t="str">
        <f t="shared" si="1617"/>
        <v/>
      </c>
      <c r="AX215" t="str">
        <f t="shared" si="1618"/>
        <v/>
      </c>
      <c r="AY215" t="str">
        <f t="shared" si="1619"/>
        <v/>
      </c>
      <c r="AZ215" t="str">
        <f t="shared" si="1620"/>
        <v/>
      </c>
      <c r="BA215" t="str">
        <f t="shared" si="1621"/>
        <v/>
      </c>
      <c r="BB215" t="str">
        <f t="shared" si="1622"/>
        <v/>
      </c>
      <c r="BC215" t="str">
        <f t="shared" si="1623"/>
        <v/>
      </c>
      <c r="BD215" t="str">
        <f t="shared" si="1470"/>
        <v/>
      </c>
      <c r="BE215" t="str">
        <f t="shared" si="1471"/>
        <v/>
      </c>
      <c r="BF215" t="str">
        <f t="shared" si="1472"/>
        <v/>
      </c>
      <c r="BG215" t="str">
        <f t="shared" si="1473"/>
        <v/>
      </c>
      <c r="BH215" t="str">
        <f t="shared" si="1474"/>
        <v/>
      </c>
      <c r="BI215" t="str">
        <f t="shared" si="1475"/>
        <v/>
      </c>
      <c r="BJ215" t="str">
        <f t="shared" si="1476"/>
        <v/>
      </c>
      <c r="BK215" t="str">
        <f t="shared" si="1477"/>
        <v/>
      </c>
      <c r="BL215" t="str">
        <f t="shared" si="1478"/>
        <v/>
      </c>
      <c r="BM215" t="str">
        <f t="shared" si="1479"/>
        <v/>
      </c>
      <c r="BN215" t="str">
        <f t="shared" si="1480"/>
        <v/>
      </c>
      <c r="BO215" t="str">
        <f t="shared" si="1481"/>
        <v/>
      </c>
      <c r="BP215" t="str">
        <f t="shared" si="1482"/>
        <v/>
      </c>
      <c r="BQ215" t="str">
        <f t="shared" si="1483"/>
        <v/>
      </c>
      <c r="BR215" t="str">
        <f t="shared" si="1484"/>
        <v/>
      </c>
      <c r="BS215" t="str">
        <f t="shared" si="1485"/>
        <v/>
      </c>
      <c r="BT215" t="str">
        <f t="shared" si="1486"/>
        <v/>
      </c>
      <c r="BU215" t="str">
        <f t="shared" si="1487"/>
        <v/>
      </c>
      <c r="BV215" t="str">
        <f t="shared" si="1488"/>
        <v/>
      </c>
      <c r="BW215" t="str">
        <f t="shared" si="1489"/>
        <v/>
      </c>
      <c r="BX215" t="str">
        <f t="shared" si="1490"/>
        <v/>
      </c>
      <c r="BY215" t="str">
        <f t="shared" si="1491"/>
        <v/>
      </c>
      <c r="BZ215" t="str">
        <f t="shared" si="1492"/>
        <v/>
      </c>
      <c r="CA215" t="str">
        <f t="shared" si="1493"/>
        <v/>
      </c>
      <c r="CB215" t="str">
        <f t="shared" si="1494"/>
        <v/>
      </c>
      <c r="CC215" t="str">
        <f t="shared" si="1495"/>
        <v/>
      </c>
      <c r="CD215" t="str">
        <f t="shared" si="1496"/>
        <v/>
      </c>
      <c r="CE215" t="str">
        <f t="shared" si="1497"/>
        <v/>
      </c>
      <c r="CF215" t="str">
        <f t="shared" si="1498"/>
        <v/>
      </c>
      <c r="CG215" t="str">
        <f t="shared" si="1499"/>
        <v/>
      </c>
      <c r="CH215" t="str">
        <f t="shared" si="1624"/>
        <v/>
      </c>
      <c r="CI215" t="str">
        <f t="shared" si="1625"/>
        <v/>
      </c>
      <c r="CJ215" t="str">
        <f>IF($CI215="","",IF(OR($DW215="",$DX215=""),"ONZEKER",IF(OR($CF215="",$CG215=""),"ONZEKER",IF(AND($DW215=$CF215+1,$DX215=$CG215),IF(OR(COUNTIF(#REF!,$B215)&gt;0,COUNTIF(#REF!,$B215)=0),"SKIP",IF(COUNTIFS(#REF!,$B215,#REF!,$CI215)&gt;0,"OK","ONBEKEND")),IF(AND($DW215=$CF215,$DX215=$CG215+1),IF(OR(COUNTIF(#REF!,$D215)&gt;0,COUNTIF(#REF!,$D215)=0),"SKIP",IF(COUNTIFS(#REF!,$D215,#REF!,$CI215)&gt;0,"OK","ONBEKEND")),"ONZEKER")))))</f>
        <v/>
      </c>
      <c r="CK215" t="str">
        <f t="shared" si="1626"/>
        <v/>
      </c>
      <c r="CL215" t="str">
        <f t="shared" si="1627"/>
        <v/>
      </c>
      <c r="CM215" t="str">
        <f>IF($CL215="","",IF(OR($DZ215="",$EA215=""),"ONZEKER",IF(OR($DW215="",$DX215=""),"ONZEKER",IF(AND($DZ215=$DW215+1,$EA215=$DX215),IF(OR(COUNTIF(#REF!,$B215)&gt;0,COUNTIF(#REF!,$B215)=0),"SKIP",IF(COUNTIFS(#REF!,$B215,#REF!,$CL215)&gt;0,"OK","ONBEKEND")),IF(AND($DZ215=$DW215,$EA215=$DX215+1),IF(OR(COUNTIF(#REF!,$D215)&gt;0,COUNTIF(#REF!,$D215)=0),"SKIP",IF(COUNTIFS(#REF!,$D215,#REF!,$CL215)&gt;0,"OK","ONBEKEND")),"ONZEKER")))))</f>
        <v/>
      </c>
      <c r="CN215" t="str">
        <f t="shared" si="1628"/>
        <v/>
      </c>
      <c r="CO215" t="str">
        <f t="shared" si="1629"/>
        <v/>
      </c>
      <c r="CP215" t="str">
        <f>IF($CO215="","",IF(OR($EC215="",$ED215=""),"ONZEKER",IF(OR($DZ215="",$EA215=""),"ONZEKER",IF(AND($EC215=$DZ215+1,$ED215=$EA215),IF(OR(COUNTIF(#REF!,$B215)&gt;0,COUNTIF(#REF!,$B215)=0),"SKIP",IF(COUNTIFS(#REF!,$B215,#REF!,$CO215)&gt;0,"OK","ONBEKEND")),IF(AND($EC215=$DZ215,$ED215=$EA215+1),IF(OR(COUNTIF(#REF!,$D215)&gt;0,COUNTIF(#REF!,$D215)=0),"SKIP",IF(COUNTIFS(#REF!,$D215,#REF!,$CO215)&gt;0,"OK","ONBEKEND")),"ONZEKER")))))</f>
        <v/>
      </c>
      <c r="CQ215" t="str">
        <f t="shared" si="1630"/>
        <v/>
      </c>
      <c r="CR215" t="str">
        <f t="shared" si="1631"/>
        <v/>
      </c>
      <c r="CS215" t="str">
        <f>IF($CR215="","",IF(OR($EF215="",$EG215=""),"ONZEKER",IF(OR($EC215="",$ED215=""),"ONZEKER",IF(AND($EF215=$EC215+1,$EG215=$ED215),IF(OR(COUNTIF(#REF!,$B215)&gt;0,COUNTIF(#REF!,$B215)=0),"SKIP",IF(COUNTIFS(#REF!,$B215,#REF!,$CR215)&gt;0,"OK","ONBEKEND")),IF(AND($EF215=$EC215,$EG215=$ED215+1),IF(OR(COUNTIF(#REF!,$D215)&gt;0,COUNTIF(#REF!,$D215)=0),"SKIP",IF(COUNTIFS(#REF!,$D215,#REF!,$CR215)&gt;0,"OK","ONBEKEND")),"ONZEKER")))))</f>
        <v/>
      </c>
      <c r="CT215" t="str">
        <f t="shared" si="1632"/>
        <v/>
      </c>
      <c r="CU215" t="str">
        <f t="shared" si="1633"/>
        <v/>
      </c>
      <c r="CV215" t="str">
        <f>IF($CU215="","",IF(OR($EI215="",$EJ215=""),"ONZEKER",IF(OR($EF215="",$EG215=""),"ONZEKER",IF(AND($EI215=$EF215+1,$EJ215=$EG215),IF(OR(COUNTIF(#REF!,$B215)&gt;0,COUNTIF(#REF!,$B215)=0),"SKIP",IF(COUNTIFS(#REF!,$B215,#REF!,$CU215)&gt;0,"OK","ONBEKEND")),IF(AND($EI215=$EF215,$EJ215=$EG215+1),IF(OR(COUNTIF(#REF!,$D215)&gt;0,COUNTIF(#REF!,$D215)=0),"SKIP",IF(COUNTIFS(#REF!,$D215,#REF!,$CU215)&gt;0,"OK","ONBEKEND")),"ONZEKER")))))</f>
        <v/>
      </c>
      <c r="CW215" t="str">
        <f t="shared" si="1634"/>
        <v/>
      </c>
      <c r="CX215" t="str">
        <f t="shared" si="1635"/>
        <v/>
      </c>
      <c r="CY215" t="str">
        <f>IF($CX215="","",IF(OR($EL215="",$EM215=""),"ONZEKER",IF(OR($EI215="",$EJ215=""),"ONZEKER",IF(AND($EL215=$EI215+1,$EM215=$EJ215),IF(OR(COUNTIF(#REF!,$B215)&gt;0,COUNTIF(#REF!,$B215)=0),"SKIP",IF(COUNTIFS(#REF!,$B215,#REF!,$CX215)&gt;0,"OK","ONBEKEND")),IF(AND($EL215=$EI215,$EM215=$EJ215+1),IF(OR(COUNTIF(#REF!,$D215)&gt;0,COUNTIF(#REF!,$D215)=0),"SKIP",IF(COUNTIFS(#REF!,$D215,#REF!,$CX215)&gt;0,"OK","ONBEKEND")),"ONZEKER")))))</f>
        <v/>
      </c>
      <c r="CZ215" t="str">
        <f t="shared" si="1636"/>
        <v/>
      </c>
      <c r="DA215" t="str">
        <f t="shared" si="1637"/>
        <v/>
      </c>
      <c r="DB215" t="str">
        <f>IF($DA215="","",IF(OR($EO215="",$EP215=""),"ONZEKER",IF(OR($EL215="",$EM215=""),"ONZEKER",IF(AND($EO215=$EL215+1,$EP215=$EM215),IF(OR(COUNTIF(#REF!,$B215)&gt;0,COUNTIF(#REF!,$B215)=0),"SKIP",IF(COUNTIFS(#REF!,$B215,#REF!,$DA215)&gt;0,"OK","ONBEKEND")),IF(AND($EO215=$EL215,$EP215=$EM215+1),IF(OR(COUNTIF(#REF!,$D215)&gt;0,COUNTIF(#REF!,$D215)=0),"SKIP",IF(COUNTIFS(#REF!,$D215,#REF!,$DA215)&gt;0,"OK","ONBEKEND")),"ONZEKER")))))</f>
        <v/>
      </c>
      <c r="DC215" t="str">
        <f t="shared" si="1638"/>
        <v/>
      </c>
      <c r="DD215" t="str">
        <f t="shared" si="1639"/>
        <v/>
      </c>
      <c r="DE215" t="str">
        <f>IF($DD215="","",IF(OR($ER215="",$ES215=""),"ONZEKER",IF(OR($EO215="",$EP215=""),"ONZEKER",IF(AND($ER215=$EO215+1,$ES215=$EP215),IF(OR(COUNTIF(#REF!,$B215)&gt;0,COUNTIF(#REF!,$B215)=0),"SKIP",IF(COUNTIFS(#REF!,$B215,#REF!,$DD215)&gt;0,"OK","ONBEKEND")),IF(AND($ER215=$EO215,$ES215=$EP215+1),IF(OR(COUNTIF(#REF!,$D215)&gt;0,COUNTIF(#REF!,$D215)=0),"SKIP",IF(COUNTIFS(#REF!,$D215,#REF!,$DD215)&gt;0,"OK","ONBEKEND")),"ONZEKER")))))</f>
        <v/>
      </c>
      <c r="DF215" t="str">
        <f t="shared" si="1640"/>
        <v/>
      </c>
      <c r="DG215" t="str">
        <f t="shared" si="1641"/>
        <v/>
      </c>
      <c r="DH215" t="str">
        <f>IF($DG215="","",IF(OR($EU215="",$EV215=""),"ONZEKER",IF(OR($ER215="",$ES215=""),"ONZEKER",IF(AND($EU215=$ER215+1,$EV215=$ES215),IF(OR(COUNTIF(#REF!,$B215)&gt;0,COUNTIF(#REF!,$B215)=0),"SKIP",IF(COUNTIFS(#REF!,$B215,#REF!,$DG215)&gt;0,"OK","ONBEKEND")),IF(AND($EU215=$ER215,$EV215=$ES215+1),IF(OR(COUNTIF(#REF!,$D215)&gt;0,COUNTIF(#REF!,$D215)=0),"SKIP",IF(COUNTIFS(#REF!,$D215,#REF!,$DG215)&gt;0,"OK","ONBEKEND")),"ONZEKER")))))</f>
        <v/>
      </c>
      <c r="DI215" t="str">
        <f t="shared" si="1642"/>
        <v/>
      </c>
      <c r="DJ215" t="str">
        <f t="shared" si="1643"/>
        <v/>
      </c>
      <c r="DK215" t="str">
        <f>IF($DJ215="","",IF(OR($EX215="",$EY215=""),"ONZEKER",IF(OR($EU215="",$EV215=""),"ONZEKER",IF(AND($EX215=$EU215+1,$EY215=$EV215),IF(OR(COUNTIF(#REF!,$B215)&gt;0,COUNTIF(#REF!,$B215)=0),"SKIP",IF(COUNTIFS(#REF!,$B215,#REF!,$DJ215)&gt;0,"OK","ONBEKEND")),IF(AND($EX215=$EU215,$EY215=$EV215+1),IF(OR(COUNTIF(#REF!,$D215)&gt;0,COUNTIF(#REF!,$D215)=0),"SKIP",IF(COUNTIFS(#REF!,$D215,#REF!,$DJ215)&gt;0,"OK","ONBEKEND")),"ONZEKER")))))</f>
        <v/>
      </c>
      <c r="DL215" t="str">
        <f t="shared" si="1644"/>
        <v/>
      </c>
      <c r="DM215" t="str">
        <f t="shared" si="1645"/>
        <v/>
      </c>
      <c r="DN215" t="str">
        <f t="shared" si="1646"/>
        <v/>
      </c>
      <c r="DO215" t="str">
        <f t="shared" si="1647"/>
        <v/>
      </c>
      <c r="DP215" t="str">
        <f t="shared" si="1648"/>
        <v/>
      </c>
      <c r="DQ215" t="str">
        <f t="shared" si="1649"/>
        <v/>
      </c>
      <c r="DR215" t="str">
        <f t="shared" si="1650"/>
        <v/>
      </c>
      <c r="DS215" t="str">
        <f t="shared" si="1651"/>
        <v/>
      </c>
      <c r="DT215" t="str">
        <f t="shared" si="1652"/>
        <v/>
      </c>
      <c r="DU215" t="str">
        <f t="shared" si="1653"/>
        <v/>
      </c>
      <c r="DV215" t="str">
        <f t="shared" si="1654"/>
        <v/>
      </c>
      <c r="DW215" t="str">
        <f t="shared" si="1655"/>
        <v/>
      </c>
      <c r="DX215" t="str">
        <f t="shared" si="1656"/>
        <v/>
      </c>
      <c r="DY215" t="str">
        <f t="shared" si="1657"/>
        <v/>
      </c>
      <c r="DZ215" t="str">
        <f t="shared" si="1658"/>
        <v/>
      </c>
      <c r="EA215" t="str">
        <f t="shared" si="1659"/>
        <v/>
      </c>
      <c r="EB215" t="str">
        <f t="shared" si="1660"/>
        <v/>
      </c>
      <c r="EC215" t="str">
        <f t="shared" si="1661"/>
        <v/>
      </c>
      <c r="ED215" t="str">
        <f t="shared" si="1662"/>
        <v/>
      </c>
      <c r="EE215" t="str">
        <f t="shared" si="1663"/>
        <v/>
      </c>
      <c r="EF215" t="str">
        <f t="shared" si="1664"/>
        <v/>
      </c>
      <c r="EG215" t="str">
        <f t="shared" si="1665"/>
        <v/>
      </c>
      <c r="EH215" t="str">
        <f t="shared" si="1666"/>
        <v/>
      </c>
      <c r="EI215" t="str">
        <f t="shared" si="1667"/>
        <v/>
      </c>
      <c r="EJ215" t="str">
        <f t="shared" si="1668"/>
        <v/>
      </c>
      <c r="EK215" t="str">
        <f t="shared" si="1669"/>
        <v/>
      </c>
      <c r="EL215" t="str">
        <f t="shared" si="1670"/>
        <v/>
      </c>
      <c r="EM215" t="str">
        <f t="shared" si="1671"/>
        <v/>
      </c>
      <c r="EN215" t="str">
        <f t="shared" si="1672"/>
        <v/>
      </c>
      <c r="EO215" t="str">
        <f t="shared" si="1673"/>
        <v/>
      </c>
      <c r="EP215" t="str">
        <f t="shared" si="1674"/>
        <v/>
      </c>
      <c r="EQ215" t="str">
        <f t="shared" si="1675"/>
        <v/>
      </c>
      <c r="ER215" t="str">
        <f t="shared" si="1676"/>
        <v/>
      </c>
      <c r="ES215" t="str">
        <f t="shared" si="1677"/>
        <v/>
      </c>
      <c r="ET215" t="str">
        <f t="shared" si="1678"/>
        <v/>
      </c>
      <c r="EU215" t="str">
        <f t="shared" si="1679"/>
        <v/>
      </c>
      <c r="EV215" t="str">
        <f t="shared" si="1680"/>
        <v/>
      </c>
      <c r="EW215" t="str">
        <f t="shared" si="1681"/>
        <v/>
      </c>
      <c r="EX215" t="str">
        <f t="shared" si="1682"/>
        <v/>
      </c>
      <c r="EY215" t="str">
        <f t="shared" si="1683"/>
        <v/>
      </c>
    </row>
    <row r="216" spans="1:155" ht="13.9" customHeight="1" x14ac:dyDescent="0.25">
      <c r="A216" s="7"/>
      <c r="B216" s="17"/>
      <c r="C216" s="8"/>
      <c r="D216" s="17"/>
      <c r="E216" s="8"/>
      <c r="F216" s="18">
        <v>0</v>
      </c>
      <c r="G216" s="7" t="s">
        <v>147</v>
      </c>
      <c r="H216" s="18">
        <v>0</v>
      </c>
      <c r="I216" s="19">
        <v>0</v>
      </c>
      <c r="J216" s="7" t="s">
        <v>147</v>
      </c>
      <c r="K216" s="19">
        <v>0</v>
      </c>
      <c r="L216" s="9"/>
      <c r="M216" s="3" t="str">
        <f>IF($L216="","",IF($L216="DOELPUNTENMAKERS","",IF(AND(COUNTIF(#REF!,$B216)=0,COUNTIF(#REF!,$D216)=0),"OK",IF($O216&gt;20,"LET OP: meer dan 20 items (controle onvolledig)",IF((COUNTIF($R216:$AS216,"ONZEKER")+COUNTIF($CJ216:$DK216,"ONZEKER"))&gt;0,"LET OP: scoreverloop onduidelijk (controle beperkt)",IF((IF($AT216&lt;&gt;"",$AT216&amp;", ","")&amp;IF($AU216&lt;&gt;"",$AU216&amp;", ","")&amp;IF($AV216&lt;&gt;"",$AV216&amp;", ","")&amp;IF($AW216&lt;&gt;"",$AW216&amp;", ","")&amp;IF($AX216&lt;&gt;"",$AX216&amp;", ","")&amp;IF($AY216&lt;&gt;"",$AY216&amp;", ","")&amp;IF($AZ216&lt;&gt;"",$AZ216&amp;", ","")&amp;IF($BA216&lt;&gt;"",$BA216&amp;", ","")&amp;IF($BB216&lt;&gt;"",$BB216&amp;", ","")&amp;IF($BC216&lt;&gt;"",$BC216&amp;", ","")&amp;IF($DL216&lt;&gt;"",$DL216&amp;", ","")&amp;IF($DM216&lt;&gt;"",$DM216&amp;", ","")&amp;IF($DN216&lt;&gt;"",$DN216&amp;", ","")&amp;IF($DO216&lt;&gt;"",$DO216&amp;", ","")&amp;IF($DP216&lt;&gt;"",$DP216&amp;", ","")&amp;IF($DQ216&lt;&gt;"",$DQ216&amp;", ","")&amp;IF($DR216&lt;&gt;"",$DR216&amp;", ","")&amp;IF($DS216&lt;&gt;"",$DS216&amp;", ","")&amp;IF($DT216&lt;&gt;"",$DT216&amp;", ","")&amp;IF($DU216&lt;&gt;"",$DU216&amp;", ",""))="","OK","Onbekend: "&amp;LEFT((IF($AT216&lt;&gt;"",$AT216&amp;", ","")&amp;IF($AU216&lt;&gt;"",$AU216&amp;", ","")&amp;IF($AV216&lt;&gt;"",$AV216&amp;", ","")&amp;IF($AW216&lt;&gt;"",$AW216&amp;", ","")&amp;IF($AX216&lt;&gt;"",$AX216&amp;", ","")&amp;IF($AY216&lt;&gt;"",$AY216&amp;", ","")&amp;IF($AZ216&lt;&gt;"",$AZ216&amp;", ","")&amp;IF($BA216&lt;&gt;"",$BA216&amp;", ","")&amp;IF($BB216&lt;&gt;"",$BB216&amp;", ","")&amp;IF($BC216&lt;&gt;"",$BC216&amp;", ","")&amp;IF($DL216&lt;&gt;"",$DL216&amp;", ","")&amp;IF($DM216&lt;&gt;"",$DM216&amp;", ","")&amp;IF($DN216&lt;&gt;"",$DN216&amp;", ","")&amp;IF($DO216&lt;&gt;"",$DO216&amp;", ","")&amp;IF($DP216&lt;&gt;"",$DP216&amp;", ","")&amp;IF($DQ216&lt;&gt;"",$DQ216&amp;", ","")&amp;IF($DR216&lt;&gt;"",$DR216&amp;", ","")&amp;IF($DS216&lt;&gt;"",$DS216&amp;", ","")&amp;IF($DT216&lt;&gt;"",$DT216&amp;", ","")&amp;IF($DU216&lt;&gt;"",$DU216&amp;", ","")),LEN((IF($AT216&lt;&gt;"",$AT216&amp;", ","")&amp;IF($AU216&lt;&gt;"",$AU216&amp;", ","")&amp;IF($AV216&lt;&gt;"",$AV216&amp;", ","")&amp;IF($AW216&lt;&gt;"",$AW216&amp;", ","")&amp;IF($AX216&lt;&gt;"",$AX216&amp;", ","")&amp;IF($AY216&lt;&gt;"",$AY216&amp;", ","")&amp;IF($AZ216&lt;&gt;"",$AZ216&amp;", ","")&amp;IF($BA216&lt;&gt;"",$BA216&amp;", ","")&amp;IF($BB216&lt;&gt;"",$BB216&amp;", ","")&amp;IF($BC216&lt;&gt;"",$BC216&amp;", ","")&amp;IF($DL216&lt;&gt;"",$DL216&amp;", ","")&amp;IF($DM216&lt;&gt;"",$DM216&amp;", ","")&amp;IF($DN216&lt;&gt;"",$DN216&amp;", ","")&amp;IF($DO216&lt;&gt;"",$DO216&amp;", ","")&amp;IF($DP216&lt;&gt;"",$DP216&amp;", ","")&amp;IF($DQ216&lt;&gt;"",$DQ216&amp;", ","")&amp;IF($DR216&lt;&gt;"",$DR216&amp;", ","")&amp;IF($DS216&lt;&gt;"",$DS216&amp;", ","")&amp;IF($DT216&lt;&gt;"",$DT216&amp;", ","")&amp;IF($DU216&lt;&gt;"",$DU216&amp;", ","")))-2)))))))</f>
        <v/>
      </c>
      <c r="N216" t="str">
        <f t="shared" si="1592"/>
        <v/>
      </c>
      <c r="O216" t="str">
        <f t="shared" si="1593"/>
        <v/>
      </c>
      <c r="P216" t="str">
        <f t="shared" si="1594"/>
        <v/>
      </c>
      <c r="Q216" t="str">
        <f t="shared" si="1595"/>
        <v/>
      </c>
      <c r="R216" t="str">
        <f>IF($Q216="","",IF(OR($BE216="",$BF216=""),"ONZEKER",IF(AND($BE216=0+1,$BF216=0),IF(OR(COUNTIF(#REF!,$B216)&gt;0,COUNTIF(#REF!,$B216)=0),"SKIP",IF(COUNTIFS(#REF!,$B216,#REF!,$Q216)&gt;0,"OK","ONBEKEND")),IF(AND($BE216=0,$BF216=0+1),IF(OR(COUNTIF(#REF!,$D216)&gt;0,COUNTIF(#REF!,$D216)=0),"SKIP",IF(COUNTIFS(#REF!,$D216,#REF!,$Q216)&gt;0,"OK","ONBEKEND")),"ONZEKER"))))</f>
        <v/>
      </c>
      <c r="S216" t="str">
        <f t="shared" si="1596"/>
        <v/>
      </c>
      <c r="T216" t="str">
        <f t="shared" si="1597"/>
        <v/>
      </c>
      <c r="U216" t="str">
        <f>IF($T216="","",IF(OR($BH216="",$BI216=""),"ONZEKER",IF(OR($BE216="",$BF216=""),"ONZEKER",IF(AND($BH216=$BE216+1,$BI216=$BF216),IF(OR(COUNTIF(#REF!,$B216)&gt;0,COUNTIF(#REF!,$B216)=0),"SKIP",IF(COUNTIFS(#REF!,$B216,#REF!,$T216)&gt;0,"OK","ONBEKEND")),IF(AND($BH216=$BE216,$BI216=$BF216+1),IF(OR(COUNTIF(#REF!,$D216)&gt;0,COUNTIF(#REF!,$D216)=0),"SKIP",IF(COUNTIFS(#REF!,$D216,#REF!,$T216)&gt;0,"OK","ONBEKEND")),"ONZEKER")))))</f>
        <v/>
      </c>
      <c r="V216" t="str">
        <f t="shared" si="1598"/>
        <v/>
      </c>
      <c r="W216" t="str">
        <f t="shared" si="1599"/>
        <v/>
      </c>
      <c r="X216" t="str">
        <f>IF($W216="","",IF(OR($BK216="",$BL216=""),"ONZEKER",IF(OR($BH216="",$BI216=""),"ONZEKER",IF(AND($BK216=$BH216+1,$BL216=$BI216),IF(OR(COUNTIF(#REF!,$B216)&gt;0,COUNTIF(#REF!,$B216)=0),"SKIP",IF(COUNTIFS(#REF!,$B216,#REF!,$W216)&gt;0,"OK","ONBEKEND")),IF(AND($BK216=$BH216,$BL216=$BI216+1),IF(OR(COUNTIF(#REF!,$D216)&gt;0,COUNTIF(#REF!,$D216)=0),"SKIP",IF(COUNTIFS(#REF!,$D216,#REF!,$W216)&gt;0,"OK","ONBEKEND")),"ONZEKER")))))</f>
        <v/>
      </c>
      <c r="Y216" t="str">
        <f t="shared" si="1600"/>
        <v/>
      </c>
      <c r="Z216" t="str">
        <f t="shared" si="1601"/>
        <v/>
      </c>
      <c r="AA216" t="str">
        <f>IF($Z216="","",IF(OR($BN216="",$BO216=""),"ONZEKER",IF(OR($BK216="",$BL216=""),"ONZEKER",IF(AND($BN216=$BK216+1,$BO216=$BL216),IF(OR(COUNTIF(#REF!,$B216)&gt;0,COUNTIF(#REF!,$B216)=0),"SKIP",IF(COUNTIFS(#REF!,$B216,#REF!,$Z216)&gt;0,"OK","ONBEKEND")),IF(AND($BN216=$BK216,$BO216=$BL216+1),IF(OR(COUNTIF(#REF!,$D216)&gt;0,COUNTIF(#REF!,$D216)=0),"SKIP",IF(COUNTIFS(#REF!,$D216,#REF!,$Z216)&gt;0,"OK","ONBEKEND")),"ONZEKER")))))</f>
        <v/>
      </c>
      <c r="AB216" t="str">
        <f t="shared" si="1602"/>
        <v/>
      </c>
      <c r="AC216" t="str">
        <f t="shared" si="1603"/>
        <v/>
      </c>
      <c r="AD216" t="str">
        <f>IF($AC216="","",IF(OR($BQ216="",$BR216=""),"ONZEKER",IF(OR($BN216="",$BO216=""),"ONZEKER",IF(AND($BQ216=$BN216+1,$BR216=$BO216),IF(OR(COUNTIF(#REF!,$B216)&gt;0,COUNTIF(#REF!,$B216)=0),"SKIP",IF(COUNTIFS(#REF!,$B216,#REF!,$AC216)&gt;0,"OK","ONBEKEND")),IF(AND($BQ216=$BN216,$BR216=$BO216+1),IF(OR(COUNTIF(#REF!,$D216)&gt;0,COUNTIF(#REF!,$D216)=0),"SKIP",IF(COUNTIFS(#REF!,$D216,#REF!,$AC216)&gt;0,"OK","ONBEKEND")),"ONZEKER")))))</f>
        <v/>
      </c>
      <c r="AE216" t="str">
        <f t="shared" si="1604"/>
        <v/>
      </c>
      <c r="AF216" t="str">
        <f t="shared" si="1605"/>
        <v/>
      </c>
      <c r="AG216" t="str">
        <f>IF($AF216="","",IF(OR($BT216="",$BU216=""),"ONZEKER",IF(OR($BQ216="",$BR216=""),"ONZEKER",IF(AND($BT216=$BQ216+1,$BU216=$BR216),IF(OR(COUNTIF(#REF!,$B216)&gt;0,COUNTIF(#REF!,$B216)=0),"SKIP",IF(COUNTIFS(#REF!,$B216,#REF!,$AF216)&gt;0,"OK","ONBEKEND")),IF(AND($BT216=$BQ216,$BU216=$BR216+1),IF(OR(COUNTIF(#REF!,$D216)&gt;0,COUNTIF(#REF!,$D216)=0),"SKIP",IF(COUNTIFS(#REF!,$D216,#REF!,$AF216)&gt;0,"OK","ONBEKEND")),"ONZEKER")))))</f>
        <v/>
      </c>
      <c r="AH216" t="str">
        <f t="shared" si="1606"/>
        <v/>
      </c>
      <c r="AI216" t="str">
        <f t="shared" si="1607"/>
        <v/>
      </c>
      <c r="AJ216" t="str">
        <f>IF($AI216="","",IF(OR($BW216="",$BX216=""),"ONZEKER",IF(OR($BT216="",$BU216=""),"ONZEKER",IF(AND($BW216=$BT216+1,$BX216=$BU216),IF(OR(COUNTIF(#REF!,$B216)&gt;0,COUNTIF(#REF!,$B216)=0),"SKIP",IF(COUNTIFS(#REF!,$B216,#REF!,$AI216)&gt;0,"OK","ONBEKEND")),IF(AND($BW216=$BT216,$BX216=$BU216+1),IF(OR(COUNTIF(#REF!,$D216)&gt;0,COUNTIF(#REF!,$D216)=0),"SKIP",IF(COUNTIFS(#REF!,$D216,#REF!,$AI216)&gt;0,"OK","ONBEKEND")),"ONZEKER")))))</f>
        <v/>
      </c>
      <c r="AK216" t="str">
        <f t="shared" si="1608"/>
        <v/>
      </c>
      <c r="AL216" t="str">
        <f t="shared" si="1609"/>
        <v/>
      </c>
      <c r="AM216" t="str">
        <f>IF($AL216="","",IF(OR($BZ216="",$CA216=""),"ONZEKER",IF(OR($BW216="",$BX216=""),"ONZEKER",IF(AND($BZ216=$BW216+1,$CA216=$BX216),IF(OR(COUNTIF(#REF!,$B216)&gt;0,COUNTIF(#REF!,$B216)=0),"SKIP",IF(COUNTIFS(#REF!,$B216,#REF!,$AL216)&gt;0,"OK","ONBEKEND")),IF(AND($BZ216=$BW216,$CA216=$BX216+1),IF(OR(COUNTIF(#REF!,$D216)&gt;0,COUNTIF(#REF!,$D216)=0),"SKIP",IF(COUNTIFS(#REF!,$D216,#REF!,$AL216)&gt;0,"OK","ONBEKEND")),"ONZEKER")))))</f>
        <v/>
      </c>
      <c r="AN216" t="str">
        <f t="shared" si="1610"/>
        <v/>
      </c>
      <c r="AO216" t="str">
        <f t="shared" si="1611"/>
        <v/>
      </c>
      <c r="AP216" t="str">
        <f>IF($AO216="","",IF(OR($CC216="",$CD216=""),"ONZEKER",IF(OR($BZ216="",$CA216=""),"ONZEKER",IF(AND($CC216=$BZ216+1,$CD216=$CA216),IF(OR(COUNTIF(#REF!,$B216)&gt;0,COUNTIF(#REF!,$B216)=0),"SKIP",IF(COUNTIFS(#REF!,$B216,#REF!,$AO216)&gt;0,"OK","ONBEKEND")),IF(AND($CC216=$BZ216,$CD216=$CA216+1),IF(OR(COUNTIF(#REF!,$D216)&gt;0,COUNTIF(#REF!,$D216)=0),"SKIP",IF(COUNTIFS(#REF!,$D216,#REF!,$AO216)&gt;0,"OK","ONBEKEND")),"ONZEKER")))))</f>
        <v/>
      </c>
      <c r="AQ216" t="str">
        <f t="shared" si="1612"/>
        <v/>
      </c>
      <c r="AR216" t="str">
        <f t="shared" si="1613"/>
        <v/>
      </c>
      <c r="AS216" t="str">
        <f>IF($AR216="","",IF(OR($CF216="",$CG216=""),"ONZEKER",IF(OR($CC216="",$CD216=""),"ONZEKER",IF(AND($CF216=$CC216+1,$CG216=$CD216),IF(OR(COUNTIF(#REF!,$B216)&gt;0,COUNTIF(#REF!,$B216)=0),"SKIP",IF(COUNTIFS(#REF!,$B216,#REF!,$AR216)&gt;0,"OK","ONBEKEND")),IF(AND($CF216=$CC216,$CG216=$CD216+1),IF(OR(COUNTIF(#REF!,$D216)&gt;0,COUNTIF(#REF!,$D216)=0),"SKIP",IF(COUNTIFS(#REF!,$D216,#REF!,$AR216)&gt;0,"OK","ONBEKEND")),"ONZEKER")))))</f>
        <v/>
      </c>
      <c r="AT216" t="str">
        <f t="shared" si="1614"/>
        <v/>
      </c>
      <c r="AU216" t="str">
        <f t="shared" si="1615"/>
        <v/>
      </c>
      <c r="AV216" t="str">
        <f t="shared" si="1616"/>
        <v/>
      </c>
      <c r="AW216" t="str">
        <f t="shared" si="1617"/>
        <v/>
      </c>
      <c r="AX216" t="str">
        <f t="shared" si="1618"/>
        <v/>
      </c>
      <c r="AY216" t="str">
        <f t="shared" si="1619"/>
        <v/>
      </c>
      <c r="AZ216" t="str">
        <f t="shared" si="1620"/>
        <v/>
      </c>
      <c r="BA216" t="str">
        <f t="shared" si="1621"/>
        <v/>
      </c>
      <c r="BB216" t="str">
        <f t="shared" si="1622"/>
        <v/>
      </c>
      <c r="BC216" t="str">
        <f t="shared" si="1623"/>
        <v/>
      </c>
      <c r="BD216" t="str">
        <f t="shared" si="1470"/>
        <v/>
      </c>
      <c r="BE216" t="str">
        <f t="shared" si="1471"/>
        <v/>
      </c>
      <c r="BF216" t="str">
        <f t="shared" si="1472"/>
        <v/>
      </c>
      <c r="BG216" t="str">
        <f t="shared" si="1473"/>
        <v/>
      </c>
      <c r="BH216" t="str">
        <f t="shared" si="1474"/>
        <v/>
      </c>
      <c r="BI216" t="str">
        <f t="shared" si="1475"/>
        <v/>
      </c>
      <c r="BJ216" t="str">
        <f t="shared" si="1476"/>
        <v/>
      </c>
      <c r="BK216" t="str">
        <f t="shared" si="1477"/>
        <v/>
      </c>
      <c r="BL216" t="str">
        <f t="shared" si="1478"/>
        <v/>
      </c>
      <c r="BM216" t="str">
        <f t="shared" si="1479"/>
        <v/>
      </c>
      <c r="BN216" t="str">
        <f t="shared" si="1480"/>
        <v/>
      </c>
      <c r="BO216" t="str">
        <f t="shared" si="1481"/>
        <v/>
      </c>
      <c r="BP216" t="str">
        <f t="shared" si="1482"/>
        <v/>
      </c>
      <c r="BQ216" t="str">
        <f t="shared" si="1483"/>
        <v/>
      </c>
      <c r="BR216" t="str">
        <f t="shared" si="1484"/>
        <v/>
      </c>
      <c r="BS216" t="str">
        <f t="shared" si="1485"/>
        <v/>
      </c>
      <c r="BT216" t="str">
        <f t="shared" si="1486"/>
        <v/>
      </c>
      <c r="BU216" t="str">
        <f t="shared" si="1487"/>
        <v/>
      </c>
      <c r="BV216" t="str">
        <f t="shared" si="1488"/>
        <v/>
      </c>
      <c r="BW216" t="str">
        <f t="shared" si="1489"/>
        <v/>
      </c>
      <c r="BX216" t="str">
        <f t="shared" si="1490"/>
        <v/>
      </c>
      <c r="BY216" t="str">
        <f t="shared" si="1491"/>
        <v/>
      </c>
      <c r="BZ216" t="str">
        <f t="shared" si="1492"/>
        <v/>
      </c>
      <c r="CA216" t="str">
        <f t="shared" si="1493"/>
        <v/>
      </c>
      <c r="CB216" t="str">
        <f t="shared" si="1494"/>
        <v/>
      </c>
      <c r="CC216" t="str">
        <f t="shared" si="1495"/>
        <v/>
      </c>
      <c r="CD216" t="str">
        <f t="shared" si="1496"/>
        <v/>
      </c>
      <c r="CE216" t="str">
        <f t="shared" si="1497"/>
        <v/>
      </c>
      <c r="CF216" t="str">
        <f t="shared" si="1498"/>
        <v/>
      </c>
      <c r="CG216" t="str">
        <f t="shared" si="1499"/>
        <v/>
      </c>
      <c r="CH216" t="str">
        <f t="shared" si="1624"/>
        <v/>
      </c>
      <c r="CI216" t="str">
        <f t="shared" si="1625"/>
        <v/>
      </c>
      <c r="CJ216" t="str">
        <f>IF($CI216="","",IF(OR($DW216="",$DX216=""),"ONZEKER",IF(OR($CF216="",$CG216=""),"ONZEKER",IF(AND($DW216=$CF216+1,$DX216=$CG216),IF(OR(COUNTIF(#REF!,$B216)&gt;0,COUNTIF(#REF!,$B216)=0),"SKIP",IF(COUNTIFS(#REF!,$B216,#REF!,$CI216)&gt;0,"OK","ONBEKEND")),IF(AND($DW216=$CF216,$DX216=$CG216+1),IF(OR(COUNTIF(#REF!,$D216)&gt;0,COUNTIF(#REF!,$D216)=0),"SKIP",IF(COUNTIFS(#REF!,$D216,#REF!,$CI216)&gt;0,"OK","ONBEKEND")),"ONZEKER")))))</f>
        <v/>
      </c>
      <c r="CK216" t="str">
        <f t="shared" si="1626"/>
        <v/>
      </c>
      <c r="CL216" t="str">
        <f t="shared" si="1627"/>
        <v/>
      </c>
      <c r="CM216" t="str">
        <f>IF($CL216="","",IF(OR($DZ216="",$EA216=""),"ONZEKER",IF(OR($DW216="",$DX216=""),"ONZEKER",IF(AND($DZ216=$DW216+1,$EA216=$DX216),IF(OR(COUNTIF(#REF!,$B216)&gt;0,COUNTIF(#REF!,$B216)=0),"SKIP",IF(COUNTIFS(#REF!,$B216,#REF!,$CL216)&gt;0,"OK","ONBEKEND")),IF(AND($DZ216=$DW216,$EA216=$DX216+1),IF(OR(COUNTIF(#REF!,$D216)&gt;0,COUNTIF(#REF!,$D216)=0),"SKIP",IF(COUNTIFS(#REF!,$D216,#REF!,$CL216)&gt;0,"OK","ONBEKEND")),"ONZEKER")))))</f>
        <v/>
      </c>
      <c r="CN216" t="str">
        <f t="shared" si="1628"/>
        <v/>
      </c>
      <c r="CO216" t="str">
        <f t="shared" si="1629"/>
        <v/>
      </c>
      <c r="CP216" t="str">
        <f>IF($CO216="","",IF(OR($EC216="",$ED216=""),"ONZEKER",IF(OR($DZ216="",$EA216=""),"ONZEKER",IF(AND($EC216=$DZ216+1,$ED216=$EA216),IF(OR(COUNTIF(#REF!,$B216)&gt;0,COUNTIF(#REF!,$B216)=0),"SKIP",IF(COUNTIFS(#REF!,$B216,#REF!,$CO216)&gt;0,"OK","ONBEKEND")),IF(AND($EC216=$DZ216,$ED216=$EA216+1),IF(OR(COUNTIF(#REF!,$D216)&gt;0,COUNTIF(#REF!,$D216)=0),"SKIP",IF(COUNTIFS(#REF!,$D216,#REF!,$CO216)&gt;0,"OK","ONBEKEND")),"ONZEKER")))))</f>
        <v/>
      </c>
      <c r="CQ216" t="str">
        <f t="shared" si="1630"/>
        <v/>
      </c>
      <c r="CR216" t="str">
        <f t="shared" si="1631"/>
        <v/>
      </c>
      <c r="CS216" t="str">
        <f>IF($CR216="","",IF(OR($EF216="",$EG216=""),"ONZEKER",IF(OR($EC216="",$ED216=""),"ONZEKER",IF(AND($EF216=$EC216+1,$EG216=$ED216),IF(OR(COUNTIF(#REF!,$B216)&gt;0,COUNTIF(#REF!,$B216)=0),"SKIP",IF(COUNTIFS(#REF!,$B216,#REF!,$CR216)&gt;0,"OK","ONBEKEND")),IF(AND($EF216=$EC216,$EG216=$ED216+1),IF(OR(COUNTIF(#REF!,$D216)&gt;0,COUNTIF(#REF!,$D216)=0),"SKIP",IF(COUNTIFS(#REF!,$D216,#REF!,$CR216)&gt;0,"OK","ONBEKEND")),"ONZEKER")))))</f>
        <v/>
      </c>
      <c r="CT216" t="str">
        <f t="shared" si="1632"/>
        <v/>
      </c>
      <c r="CU216" t="str">
        <f t="shared" si="1633"/>
        <v/>
      </c>
      <c r="CV216" t="str">
        <f>IF($CU216="","",IF(OR($EI216="",$EJ216=""),"ONZEKER",IF(OR($EF216="",$EG216=""),"ONZEKER",IF(AND($EI216=$EF216+1,$EJ216=$EG216),IF(OR(COUNTIF(#REF!,$B216)&gt;0,COUNTIF(#REF!,$B216)=0),"SKIP",IF(COUNTIFS(#REF!,$B216,#REF!,$CU216)&gt;0,"OK","ONBEKEND")),IF(AND($EI216=$EF216,$EJ216=$EG216+1),IF(OR(COUNTIF(#REF!,$D216)&gt;0,COUNTIF(#REF!,$D216)=0),"SKIP",IF(COUNTIFS(#REF!,$D216,#REF!,$CU216)&gt;0,"OK","ONBEKEND")),"ONZEKER")))))</f>
        <v/>
      </c>
      <c r="CW216" t="str">
        <f t="shared" si="1634"/>
        <v/>
      </c>
      <c r="CX216" t="str">
        <f t="shared" si="1635"/>
        <v/>
      </c>
      <c r="CY216" t="str">
        <f>IF($CX216="","",IF(OR($EL216="",$EM216=""),"ONZEKER",IF(OR($EI216="",$EJ216=""),"ONZEKER",IF(AND($EL216=$EI216+1,$EM216=$EJ216),IF(OR(COUNTIF(#REF!,$B216)&gt;0,COUNTIF(#REF!,$B216)=0),"SKIP",IF(COUNTIFS(#REF!,$B216,#REF!,$CX216)&gt;0,"OK","ONBEKEND")),IF(AND($EL216=$EI216,$EM216=$EJ216+1),IF(OR(COUNTIF(#REF!,$D216)&gt;0,COUNTIF(#REF!,$D216)=0),"SKIP",IF(COUNTIFS(#REF!,$D216,#REF!,$CX216)&gt;0,"OK","ONBEKEND")),"ONZEKER")))))</f>
        <v/>
      </c>
      <c r="CZ216" t="str">
        <f t="shared" si="1636"/>
        <v/>
      </c>
      <c r="DA216" t="str">
        <f t="shared" si="1637"/>
        <v/>
      </c>
      <c r="DB216" t="str">
        <f>IF($DA216="","",IF(OR($EO216="",$EP216=""),"ONZEKER",IF(OR($EL216="",$EM216=""),"ONZEKER",IF(AND($EO216=$EL216+1,$EP216=$EM216),IF(OR(COUNTIF(#REF!,$B216)&gt;0,COUNTIF(#REF!,$B216)=0),"SKIP",IF(COUNTIFS(#REF!,$B216,#REF!,$DA216)&gt;0,"OK","ONBEKEND")),IF(AND($EO216=$EL216,$EP216=$EM216+1),IF(OR(COUNTIF(#REF!,$D216)&gt;0,COUNTIF(#REF!,$D216)=0),"SKIP",IF(COUNTIFS(#REF!,$D216,#REF!,$DA216)&gt;0,"OK","ONBEKEND")),"ONZEKER")))))</f>
        <v/>
      </c>
      <c r="DC216" t="str">
        <f t="shared" si="1638"/>
        <v/>
      </c>
      <c r="DD216" t="str">
        <f t="shared" si="1639"/>
        <v/>
      </c>
      <c r="DE216" t="str">
        <f>IF($DD216="","",IF(OR($ER216="",$ES216=""),"ONZEKER",IF(OR($EO216="",$EP216=""),"ONZEKER",IF(AND($ER216=$EO216+1,$ES216=$EP216),IF(OR(COUNTIF(#REF!,$B216)&gt;0,COUNTIF(#REF!,$B216)=0),"SKIP",IF(COUNTIFS(#REF!,$B216,#REF!,$DD216)&gt;0,"OK","ONBEKEND")),IF(AND($ER216=$EO216,$ES216=$EP216+1),IF(OR(COUNTIF(#REF!,$D216)&gt;0,COUNTIF(#REF!,$D216)=0),"SKIP",IF(COUNTIFS(#REF!,$D216,#REF!,$DD216)&gt;0,"OK","ONBEKEND")),"ONZEKER")))))</f>
        <v/>
      </c>
      <c r="DF216" t="str">
        <f t="shared" si="1640"/>
        <v/>
      </c>
      <c r="DG216" t="str">
        <f t="shared" si="1641"/>
        <v/>
      </c>
      <c r="DH216" t="str">
        <f>IF($DG216="","",IF(OR($EU216="",$EV216=""),"ONZEKER",IF(OR($ER216="",$ES216=""),"ONZEKER",IF(AND($EU216=$ER216+1,$EV216=$ES216),IF(OR(COUNTIF(#REF!,$B216)&gt;0,COUNTIF(#REF!,$B216)=0),"SKIP",IF(COUNTIFS(#REF!,$B216,#REF!,$DG216)&gt;0,"OK","ONBEKEND")),IF(AND($EU216=$ER216,$EV216=$ES216+1),IF(OR(COUNTIF(#REF!,$D216)&gt;0,COUNTIF(#REF!,$D216)=0),"SKIP",IF(COUNTIFS(#REF!,$D216,#REF!,$DG216)&gt;0,"OK","ONBEKEND")),"ONZEKER")))))</f>
        <v/>
      </c>
      <c r="DI216" t="str">
        <f t="shared" si="1642"/>
        <v/>
      </c>
      <c r="DJ216" t="str">
        <f t="shared" si="1643"/>
        <v/>
      </c>
      <c r="DK216" t="str">
        <f>IF($DJ216="","",IF(OR($EX216="",$EY216=""),"ONZEKER",IF(OR($EU216="",$EV216=""),"ONZEKER",IF(AND($EX216=$EU216+1,$EY216=$EV216),IF(OR(COUNTIF(#REF!,$B216)&gt;0,COUNTIF(#REF!,$B216)=0),"SKIP",IF(COUNTIFS(#REF!,$B216,#REF!,$DJ216)&gt;0,"OK","ONBEKEND")),IF(AND($EX216=$EU216,$EY216=$EV216+1),IF(OR(COUNTIF(#REF!,$D216)&gt;0,COUNTIF(#REF!,$D216)=0),"SKIP",IF(COUNTIFS(#REF!,$D216,#REF!,$DJ216)&gt;0,"OK","ONBEKEND")),"ONZEKER")))))</f>
        <v/>
      </c>
      <c r="DL216" t="str">
        <f t="shared" si="1644"/>
        <v/>
      </c>
      <c r="DM216" t="str">
        <f t="shared" si="1645"/>
        <v/>
      </c>
      <c r="DN216" t="str">
        <f t="shared" si="1646"/>
        <v/>
      </c>
      <c r="DO216" t="str">
        <f t="shared" si="1647"/>
        <v/>
      </c>
      <c r="DP216" t="str">
        <f t="shared" si="1648"/>
        <v/>
      </c>
      <c r="DQ216" t="str">
        <f t="shared" si="1649"/>
        <v/>
      </c>
      <c r="DR216" t="str">
        <f t="shared" si="1650"/>
        <v/>
      </c>
      <c r="DS216" t="str">
        <f t="shared" si="1651"/>
        <v/>
      </c>
      <c r="DT216" t="str">
        <f t="shared" si="1652"/>
        <v/>
      </c>
      <c r="DU216" t="str">
        <f t="shared" si="1653"/>
        <v/>
      </c>
      <c r="DV216" t="str">
        <f t="shared" si="1654"/>
        <v/>
      </c>
      <c r="DW216" t="str">
        <f t="shared" si="1655"/>
        <v/>
      </c>
      <c r="DX216" t="str">
        <f t="shared" si="1656"/>
        <v/>
      </c>
      <c r="DY216" t="str">
        <f t="shared" si="1657"/>
        <v/>
      </c>
      <c r="DZ216" t="str">
        <f t="shared" si="1658"/>
        <v/>
      </c>
      <c r="EA216" t="str">
        <f t="shared" si="1659"/>
        <v/>
      </c>
      <c r="EB216" t="str">
        <f t="shared" si="1660"/>
        <v/>
      </c>
      <c r="EC216" t="str">
        <f t="shared" si="1661"/>
        <v/>
      </c>
      <c r="ED216" t="str">
        <f t="shared" si="1662"/>
        <v/>
      </c>
      <c r="EE216" t="str">
        <f t="shared" si="1663"/>
        <v/>
      </c>
      <c r="EF216" t="str">
        <f t="shared" si="1664"/>
        <v/>
      </c>
      <c r="EG216" t="str">
        <f t="shared" si="1665"/>
        <v/>
      </c>
      <c r="EH216" t="str">
        <f t="shared" si="1666"/>
        <v/>
      </c>
      <c r="EI216" t="str">
        <f t="shared" si="1667"/>
        <v/>
      </c>
      <c r="EJ216" t="str">
        <f t="shared" si="1668"/>
        <v/>
      </c>
      <c r="EK216" t="str">
        <f t="shared" si="1669"/>
        <v/>
      </c>
      <c r="EL216" t="str">
        <f t="shared" si="1670"/>
        <v/>
      </c>
      <c r="EM216" t="str">
        <f t="shared" si="1671"/>
        <v/>
      </c>
      <c r="EN216" t="str">
        <f t="shared" si="1672"/>
        <v/>
      </c>
      <c r="EO216" t="str">
        <f t="shared" si="1673"/>
        <v/>
      </c>
      <c r="EP216" t="str">
        <f t="shared" si="1674"/>
        <v/>
      </c>
      <c r="EQ216" t="str">
        <f t="shared" si="1675"/>
        <v/>
      </c>
      <c r="ER216" t="str">
        <f t="shared" si="1676"/>
        <v/>
      </c>
      <c r="ES216" t="str">
        <f t="shared" si="1677"/>
        <v/>
      </c>
      <c r="ET216" t="str">
        <f t="shared" si="1678"/>
        <v/>
      </c>
      <c r="EU216" t="str">
        <f t="shared" si="1679"/>
        <v/>
      </c>
      <c r="EV216" t="str">
        <f t="shared" si="1680"/>
        <v/>
      </c>
      <c r="EW216" t="str">
        <f t="shared" si="1681"/>
        <v/>
      </c>
      <c r="EX216" t="str">
        <f t="shared" si="1682"/>
        <v/>
      </c>
      <c r="EY216" t="str">
        <f t="shared" si="1683"/>
        <v/>
      </c>
    </row>
    <row r="217" spans="1:155" ht="13.9" customHeight="1" x14ac:dyDescent="0.25">
      <c r="A217" s="7"/>
      <c r="B217" s="17"/>
      <c r="C217" s="8"/>
      <c r="D217" s="17"/>
      <c r="E217" s="8"/>
      <c r="F217" s="18">
        <v>0</v>
      </c>
      <c r="G217" s="7" t="s">
        <v>147</v>
      </c>
      <c r="H217" s="18">
        <v>0</v>
      </c>
      <c r="I217" s="19">
        <v>0</v>
      </c>
      <c r="J217" s="7" t="s">
        <v>147</v>
      </c>
      <c r="K217" s="19">
        <v>0</v>
      </c>
      <c r="L217" s="9"/>
      <c r="M217" s="3" t="str">
        <f>IF($L217="","",IF($L217="DOELPUNTENMAKERS","",IF(AND(COUNTIF(#REF!,$B217)=0,COUNTIF(#REF!,$D217)=0),"OK",IF($O217&gt;20,"LET OP: meer dan 20 items (controle onvolledig)",IF((COUNTIF($R217:$AS217,"ONZEKER")+COUNTIF($CJ217:$DK217,"ONZEKER"))&gt;0,"LET OP: scoreverloop onduidelijk (controle beperkt)",IF((IF($AT217&lt;&gt;"",$AT217&amp;", ","")&amp;IF($AU217&lt;&gt;"",$AU217&amp;", ","")&amp;IF($AV217&lt;&gt;"",$AV217&amp;", ","")&amp;IF($AW217&lt;&gt;"",$AW217&amp;", ","")&amp;IF($AX217&lt;&gt;"",$AX217&amp;", ","")&amp;IF($AY217&lt;&gt;"",$AY217&amp;", ","")&amp;IF($AZ217&lt;&gt;"",$AZ217&amp;", ","")&amp;IF($BA217&lt;&gt;"",$BA217&amp;", ","")&amp;IF($BB217&lt;&gt;"",$BB217&amp;", ","")&amp;IF($BC217&lt;&gt;"",$BC217&amp;", ","")&amp;IF($DL217&lt;&gt;"",$DL217&amp;", ","")&amp;IF($DM217&lt;&gt;"",$DM217&amp;", ","")&amp;IF($DN217&lt;&gt;"",$DN217&amp;", ","")&amp;IF($DO217&lt;&gt;"",$DO217&amp;", ","")&amp;IF($DP217&lt;&gt;"",$DP217&amp;", ","")&amp;IF($DQ217&lt;&gt;"",$DQ217&amp;", ","")&amp;IF($DR217&lt;&gt;"",$DR217&amp;", ","")&amp;IF($DS217&lt;&gt;"",$DS217&amp;", ","")&amp;IF($DT217&lt;&gt;"",$DT217&amp;", ","")&amp;IF($DU217&lt;&gt;"",$DU217&amp;", ",""))="","OK","Onbekend: "&amp;LEFT((IF($AT217&lt;&gt;"",$AT217&amp;", ","")&amp;IF($AU217&lt;&gt;"",$AU217&amp;", ","")&amp;IF($AV217&lt;&gt;"",$AV217&amp;", ","")&amp;IF($AW217&lt;&gt;"",$AW217&amp;", ","")&amp;IF($AX217&lt;&gt;"",$AX217&amp;", ","")&amp;IF($AY217&lt;&gt;"",$AY217&amp;", ","")&amp;IF($AZ217&lt;&gt;"",$AZ217&amp;", ","")&amp;IF($BA217&lt;&gt;"",$BA217&amp;", ","")&amp;IF($BB217&lt;&gt;"",$BB217&amp;", ","")&amp;IF($BC217&lt;&gt;"",$BC217&amp;", ","")&amp;IF($DL217&lt;&gt;"",$DL217&amp;", ","")&amp;IF($DM217&lt;&gt;"",$DM217&amp;", ","")&amp;IF($DN217&lt;&gt;"",$DN217&amp;", ","")&amp;IF($DO217&lt;&gt;"",$DO217&amp;", ","")&amp;IF($DP217&lt;&gt;"",$DP217&amp;", ","")&amp;IF($DQ217&lt;&gt;"",$DQ217&amp;", ","")&amp;IF($DR217&lt;&gt;"",$DR217&amp;", ","")&amp;IF($DS217&lt;&gt;"",$DS217&amp;", ","")&amp;IF($DT217&lt;&gt;"",$DT217&amp;", ","")&amp;IF($DU217&lt;&gt;"",$DU217&amp;", ","")),LEN((IF($AT217&lt;&gt;"",$AT217&amp;", ","")&amp;IF($AU217&lt;&gt;"",$AU217&amp;", ","")&amp;IF($AV217&lt;&gt;"",$AV217&amp;", ","")&amp;IF($AW217&lt;&gt;"",$AW217&amp;", ","")&amp;IF($AX217&lt;&gt;"",$AX217&amp;", ","")&amp;IF($AY217&lt;&gt;"",$AY217&amp;", ","")&amp;IF($AZ217&lt;&gt;"",$AZ217&amp;", ","")&amp;IF($BA217&lt;&gt;"",$BA217&amp;", ","")&amp;IF($BB217&lt;&gt;"",$BB217&amp;", ","")&amp;IF($BC217&lt;&gt;"",$BC217&amp;", ","")&amp;IF($DL217&lt;&gt;"",$DL217&amp;", ","")&amp;IF($DM217&lt;&gt;"",$DM217&amp;", ","")&amp;IF($DN217&lt;&gt;"",$DN217&amp;", ","")&amp;IF($DO217&lt;&gt;"",$DO217&amp;", ","")&amp;IF($DP217&lt;&gt;"",$DP217&amp;", ","")&amp;IF($DQ217&lt;&gt;"",$DQ217&amp;", ","")&amp;IF($DR217&lt;&gt;"",$DR217&amp;", ","")&amp;IF($DS217&lt;&gt;"",$DS217&amp;", ","")&amp;IF($DT217&lt;&gt;"",$DT217&amp;", ","")&amp;IF($DU217&lt;&gt;"",$DU217&amp;", ","")))-2)))))))</f>
        <v/>
      </c>
      <c r="N217" t="str">
        <f t="shared" si="1592"/>
        <v/>
      </c>
      <c r="O217" t="str">
        <f t="shared" si="1593"/>
        <v/>
      </c>
      <c r="P217" t="str">
        <f t="shared" si="1594"/>
        <v/>
      </c>
      <c r="Q217" t="str">
        <f t="shared" si="1595"/>
        <v/>
      </c>
      <c r="R217" t="str">
        <f>IF($Q217="","",IF(OR($BE217="",$BF217=""),"ONZEKER",IF(AND($BE217=0+1,$BF217=0),IF(OR(COUNTIF(#REF!,$B217)&gt;0,COUNTIF(#REF!,$B217)=0),"SKIP",IF(COUNTIFS(#REF!,$B217,#REF!,$Q217)&gt;0,"OK","ONBEKEND")),IF(AND($BE217=0,$BF217=0+1),IF(OR(COUNTIF(#REF!,$D217)&gt;0,COUNTIF(#REF!,$D217)=0),"SKIP",IF(COUNTIFS(#REF!,$D217,#REF!,$Q217)&gt;0,"OK","ONBEKEND")),"ONZEKER"))))</f>
        <v/>
      </c>
      <c r="S217" t="str">
        <f t="shared" si="1596"/>
        <v/>
      </c>
      <c r="T217" t="str">
        <f t="shared" si="1597"/>
        <v/>
      </c>
      <c r="U217" t="str">
        <f>IF($T217="","",IF(OR($BH217="",$BI217=""),"ONZEKER",IF(OR($BE217="",$BF217=""),"ONZEKER",IF(AND($BH217=$BE217+1,$BI217=$BF217),IF(OR(COUNTIF(#REF!,$B217)&gt;0,COUNTIF(#REF!,$B217)=0),"SKIP",IF(COUNTIFS(#REF!,$B217,#REF!,$T217)&gt;0,"OK","ONBEKEND")),IF(AND($BH217=$BE217,$BI217=$BF217+1),IF(OR(COUNTIF(#REF!,$D217)&gt;0,COUNTIF(#REF!,$D217)=0),"SKIP",IF(COUNTIFS(#REF!,$D217,#REF!,$T217)&gt;0,"OK","ONBEKEND")),"ONZEKER")))))</f>
        <v/>
      </c>
      <c r="V217" t="str">
        <f t="shared" si="1598"/>
        <v/>
      </c>
      <c r="W217" t="str">
        <f t="shared" si="1599"/>
        <v/>
      </c>
      <c r="X217" t="str">
        <f>IF($W217="","",IF(OR($BK217="",$BL217=""),"ONZEKER",IF(OR($BH217="",$BI217=""),"ONZEKER",IF(AND($BK217=$BH217+1,$BL217=$BI217),IF(OR(COUNTIF(#REF!,$B217)&gt;0,COUNTIF(#REF!,$B217)=0),"SKIP",IF(COUNTIFS(#REF!,$B217,#REF!,$W217)&gt;0,"OK","ONBEKEND")),IF(AND($BK217=$BH217,$BL217=$BI217+1),IF(OR(COUNTIF(#REF!,$D217)&gt;0,COUNTIF(#REF!,$D217)=0),"SKIP",IF(COUNTIFS(#REF!,$D217,#REF!,$W217)&gt;0,"OK","ONBEKEND")),"ONZEKER")))))</f>
        <v/>
      </c>
      <c r="Y217" t="str">
        <f t="shared" si="1600"/>
        <v/>
      </c>
      <c r="Z217" t="str">
        <f t="shared" si="1601"/>
        <v/>
      </c>
      <c r="AA217" t="str">
        <f>IF($Z217="","",IF(OR($BN217="",$BO217=""),"ONZEKER",IF(OR($BK217="",$BL217=""),"ONZEKER",IF(AND($BN217=$BK217+1,$BO217=$BL217),IF(OR(COUNTIF(#REF!,$B217)&gt;0,COUNTIF(#REF!,$B217)=0),"SKIP",IF(COUNTIFS(#REF!,$B217,#REF!,$Z217)&gt;0,"OK","ONBEKEND")),IF(AND($BN217=$BK217,$BO217=$BL217+1),IF(OR(COUNTIF(#REF!,$D217)&gt;0,COUNTIF(#REF!,$D217)=0),"SKIP",IF(COUNTIFS(#REF!,$D217,#REF!,$Z217)&gt;0,"OK","ONBEKEND")),"ONZEKER")))))</f>
        <v/>
      </c>
      <c r="AB217" t="str">
        <f t="shared" si="1602"/>
        <v/>
      </c>
      <c r="AC217" t="str">
        <f t="shared" si="1603"/>
        <v/>
      </c>
      <c r="AD217" t="str">
        <f>IF($AC217="","",IF(OR($BQ217="",$BR217=""),"ONZEKER",IF(OR($BN217="",$BO217=""),"ONZEKER",IF(AND($BQ217=$BN217+1,$BR217=$BO217),IF(OR(COUNTIF(#REF!,$B217)&gt;0,COUNTIF(#REF!,$B217)=0),"SKIP",IF(COUNTIFS(#REF!,$B217,#REF!,$AC217)&gt;0,"OK","ONBEKEND")),IF(AND($BQ217=$BN217,$BR217=$BO217+1),IF(OR(COUNTIF(#REF!,$D217)&gt;0,COUNTIF(#REF!,$D217)=0),"SKIP",IF(COUNTIFS(#REF!,$D217,#REF!,$AC217)&gt;0,"OK","ONBEKEND")),"ONZEKER")))))</f>
        <v/>
      </c>
      <c r="AE217" t="str">
        <f t="shared" si="1604"/>
        <v/>
      </c>
      <c r="AF217" t="str">
        <f t="shared" si="1605"/>
        <v/>
      </c>
      <c r="AG217" t="str">
        <f>IF($AF217="","",IF(OR($BT217="",$BU217=""),"ONZEKER",IF(OR($BQ217="",$BR217=""),"ONZEKER",IF(AND($BT217=$BQ217+1,$BU217=$BR217),IF(OR(COUNTIF(#REF!,$B217)&gt;0,COUNTIF(#REF!,$B217)=0),"SKIP",IF(COUNTIFS(#REF!,$B217,#REF!,$AF217)&gt;0,"OK","ONBEKEND")),IF(AND($BT217=$BQ217,$BU217=$BR217+1),IF(OR(COUNTIF(#REF!,$D217)&gt;0,COUNTIF(#REF!,$D217)=0),"SKIP",IF(COUNTIFS(#REF!,$D217,#REF!,$AF217)&gt;0,"OK","ONBEKEND")),"ONZEKER")))))</f>
        <v/>
      </c>
      <c r="AH217" t="str">
        <f t="shared" si="1606"/>
        <v/>
      </c>
      <c r="AI217" t="str">
        <f t="shared" si="1607"/>
        <v/>
      </c>
      <c r="AJ217" t="str">
        <f>IF($AI217="","",IF(OR($BW217="",$BX217=""),"ONZEKER",IF(OR($BT217="",$BU217=""),"ONZEKER",IF(AND($BW217=$BT217+1,$BX217=$BU217),IF(OR(COUNTIF(#REF!,$B217)&gt;0,COUNTIF(#REF!,$B217)=0),"SKIP",IF(COUNTIFS(#REF!,$B217,#REF!,$AI217)&gt;0,"OK","ONBEKEND")),IF(AND($BW217=$BT217,$BX217=$BU217+1),IF(OR(COUNTIF(#REF!,$D217)&gt;0,COUNTIF(#REF!,$D217)=0),"SKIP",IF(COUNTIFS(#REF!,$D217,#REF!,$AI217)&gt;0,"OK","ONBEKEND")),"ONZEKER")))))</f>
        <v/>
      </c>
      <c r="AK217" t="str">
        <f t="shared" si="1608"/>
        <v/>
      </c>
      <c r="AL217" t="str">
        <f t="shared" si="1609"/>
        <v/>
      </c>
      <c r="AM217" t="str">
        <f>IF($AL217="","",IF(OR($BZ217="",$CA217=""),"ONZEKER",IF(OR($BW217="",$BX217=""),"ONZEKER",IF(AND($BZ217=$BW217+1,$CA217=$BX217),IF(OR(COUNTIF(#REF!,$B217)&gt;0,COUNTIF(#REF!,$B217)=0),"SKIP",IF(COUNTIFS(#REF!,$B217,#REF!,$AL217)&gt;0,"OK","ONBEKEND")),IF(AND($BZ217=$BW217,$CA217=$BX217+1),IF(OR(COUNTIF(#REF!,$D217)&gt;0,COUNTIF(#REF!,$D217)=0),"SKIP",IF(COUNTIFS(#REF!,$D217,#REF!,$AL217)&gt;0,"OK","ONBEKEND")),"ONZEKER")))))</f>
        <v/>
      </c>
      <c r="AN217" t="str">
        <f t="shared" si="1610"/>
        <v/>
      </c>
      <c r="AO217" t="str">
        <f t="shared" si="1611"/>
        <v/>
      </c>
      <c r="AP217" t="str">
        <f>IF($AO217="","",IF(OR($CC217="",$CD217=""),"ONZEKER",IF(OR($BZ217="",$CA217=""),"ONZEKER",IF(AND($CC217=$BZ217+1,$CD217=$CA217),IF(OR(COUNTIF(#REF!,$B217)&gt;0,COUNTIF(#REF!,$B217)=0),"SKIP",IF(COUNTIFS(#REF!,$B217,#REF!,$AO217)&gt;0,"OK","ONBEKEND")),IF(AND($CC217=$BZ217,$CD217=$CA217+1),IF(OR(COUNTIF(#REF!,$D217)&gt;0,COUNTIF(#REF!,$D217)=0),"SKIP",IF(COUNTIFS(#REF!,$D217,#REF!,$AO217)&gt;0,"OK","ONBEKEND")),"ONZEKER")))))</f>
        <v/>
      </c>
      <c r="AQ217" t="str">
        <f t="shared" si="1612"/>
        <v/>
      </c>
      <c r="AR217" t="str">
        <f t="shared" si="1613"/>
        <v/>
      </c>
      <c r="AS217" t="str">
        <f>IF($AR217="","",IF(OR($CF217="",$CG217=""),"ONZEKER",IF(OR($CC217="",$CD217=""),"ONZEKER",IF(AND($CF217=$CC217+1,$CG217=$CD217),IF(OR(COUNTIF(#REF!,$B217)&gt;0,COUNTIF(#REF!,$B217)=0),"SKIP",IF(COUNTIFS(#REF!,$B217,#REF!,$AR217)&gt;0,"OK","ONBEKEND")),IF(AND($CF217=$CC217,$CG217=$CD217+1),IF(OR(COUNTIF(#REF!,$D217)&gt;0,COUNTIF(#REF!,$D217)=0),"SKIP",IF(COUNTIFS(#REF!,$D217,#REF!,$AR217)&gt;0,"OK","ONBEKEND")),"ONZEKER")))))</f>
        <v/>
      </c>
      <c r="AT217" t="str">
        <f t="shared" si="1614"/>
        <v/>
      </c>
      <c r="AU217" t="str">
        <f t="shared" si="1615"/>
        <v/>
      </c>
      <c r="AV217" t="str">
        <f t="shared" si="1616"/>
        <v/>
      </c>
      <c r="AW217" t="str">
        <f t="shared" si="1617"/>
        <v/>
      </c>
      <c r="AX217" t="str">
        <f t="shared" si="1618"/>
        <v/>
      </c>
      <c r="AY217" t="str">
        <f t="shared" si="1619"/>
        <v/>
      </c>
      <c r="AZ217" t="str">
        <f t="shared" si="1620"/>
        <v/>
      </c>
      <c r="BA217" t="str">
        <f t="shared" si="1621"/>
        <v/>
      </c>
      <c r="BB217" t="str">
        <f t="shared" si="1622"/>
        <v/>
      </c>
      <c r="BC217" t="str">
        <f t="shared" si="1623"/>
        <v/>
      </c>
      <c r="BD217" t="str">
        <f t="shared" si="1470"/>
        <v/>
      </c>
      <c r="BE217" t="str">
        <f t="shared" si="1471"/>
        <v/>
      </c>
      <c r="BF217" t="str">
        <f t="shared" si="1472"/>
        <v/>
      </c>
      <c r="BG217" t="str">
        <f t="shared" si="1473"/>
        <v/>
      </c>
      <c r="BH217" t="str">
        <f t="shared" si="1474"/>
        <v/>
      </c>
      <c r="BI217" t="str">
        <f t="shared" si="1475"/>
        <v/>
      </c>
      <c r="BJ217" t="str">
        <f t="shared" si="1476"/>
        <v/>
      </c>
      <c r="BK217" t="str">
        <f t="shared" si="1477"/>
        <v/>
      </c>
      <c r="BL217" t="str">
        <f t="shared" si="1478"/>
        <v/>
      </c>
      <c r="BM217" t="str">
        <f t="shared" si="1479"/>
        <v/>
      </c>
      <c r="BN217" t="str">
        <f t="shared" si="1480"/>
        <v/>
      </c>
      <c r="BO217" t="str">
        <f t="shared" si="1481"/>
        <v/>
      </c>
      <c r="BP217" t="str">
        <f t="shared" si="1482"/>
        <v/>
      </c>
      <c r="BQ217" t="str">
        <f t="shared" si="1483"/>
        <v/>
      </c>
      <c r="BR217" t="str">
        <f t="shared" si="1484"/>
        <v/>
      </c>
      <c r="BS217" t="str">
        <f t="shared" si="1485"/>
        <v/>
      </c>
      <c r="BT217" t="str">
        <f t="shared" si="1486"/>
        <v/>
      </c>
      <c r="BU217" t="str">
        <f t="shared" si="1487"/>
        <v/>
      </c>
      <c r="BV217" t="str">
        <f t="shared" si="1488"/>
        <v/>
      </c>
      <c r="BW217" t="str">
        <f t="shared" si="1489"/>
        <v/>
      </c>
      <c r="BX217" t="str">
        <f t="shared" si="1490"/>
        <v/>
      </c>
      <c r="BY217" t="str">
        <f t="shared" si="1491"/>
        <v/>
      </c>
      <c r="BZ217" t="str">
        <f t="shared" si="1492"/>
        <v/>
      </c>
      <c r="CA217" t="str">
        <f t="shared" si="1493"/>
        <v/>
      </c>
      <c r="CB217" t="str">
        <f t="shared" si="1494"/>
        <v/>
      </c>
      <c r="CC217" t="str">
        <f t="shared" si="1495"/>
        <v/>
      </c>
      <c r="CD217" t="str">
        <f t="shared" si="1496"/>
        <v/>
      </c>
      <c r="CE217" t="str">
        <f t="shared" si="1497"/>
        <v/>
      </c>
      <c r="CF217" t="str">
        <f t="shared" si="1498"/>
        <v/>
      </c>
      <c r="CG217" t="str">
        <f t="shared" si="1499"/>
        <v/>
      </c>
      <c r="CH217" t="str">
        <f t="shared" si="1624"/>
        <v/>
      </c>
      <c r="CI217" t="str">
        <f t="shared" si="1625"/>
        <v/>
      </c>
      <c r="CJ217" t="str">
        <f>IF($CI217="","",IF(OR($DW217="",$DX217=""),"ONZEKER",IF(OR($CF217="",$CG217=""),"ONZEKER",IF(AND($DW217=$CF217+1,$DX217=$CG217),IF(OR(COUNTIF(#REF!,$B217)&gt;0,COUNTIF(#REF!,$B217)=0),"SKIP",IF(COUNTIFS(#REF!,$B217,#REF!,$CI217)&gt;0,"OK","ONBEKEND")),IF(AND($DW217=$CF217,$DX217=$CG217+1),IF(OR(COUNTIF(#REF!,$D217)&gt;0,COUNTIF(#REF!,$D217)=0),"SKIP",IF(COUNTIFS(#REF!,$D217,#REF!,$CI217)&gt;0,"OK","ONBEKEND")),"ONZEKER")))))</f>
        <v/>
      </c>
      <c r="CK217" t="str">
        <f t="shared" si="1626"/>
        <v/>
      </c>
      <c r="CL217" t="str">
        <f t="shared" si="1627"/>
        <v/>
      </c>
      <c r="CM217" t="str">
        <f>IF($CL217="","",IF(OR($DZ217="",$EA217=""),"ONZEKER",IF(OR($DW217="",$DX217=""),"ONZEKER",IF(AND($DZ217=$DW217+1,$EA217=$DX217),IF(OR(COUNTIF(#REF!,$B217)&gt;0,COUNTIF(#REF!,$B217)=0),"SKIP",IF(COUNTIFS(#REF!,$B217,#REF!,$CL217)&gt;0,"OK","ONBEKEND")),IF(AND($DZ217=$DW217,$EA217=$DX217+1),IF(OR(COUNTIF(#REF!,$D217)&gt;0,COUNTIF(#REF!,$D217)=0),"SKIP",IF(COUNTIFS(#REF!,$D217,#REF!,$CL217)&gt;0,"OK","ONBEKEND")),"ONZEKER")))))</f>
        <v/>
      </c>
      <c r="CN217" t="str">
        <f t="shared" si="1628"/>
        <v/>
      </c>
      <c r="CO217" t="str">
        <f t="shared" si="1629"/>
        <v/>
      </c>
      <c r="CP217" t="str">
        <f>IF($CO217="","",IF(OR($EC217="",$ED217=""),"ONZEKER",IF(OR($DZ217="",$EA217=""),"ONZEKER",IF(AND($EC217=$DZ217+1,$ED217=$EA217),IF(OR(COUNTIF(#REF!,$B217)&gt;0,COUNTIF(#REF!,$B217)=0),"SKIP",IF(COUNTIFS(#REF!,$B217,#REF!,$CO217)&gt;0,"OK","ONBEKEND")),IF(AND($EC217=$DZ217,$ED217=$EA217+1),IF(OR(COUNTIF(#REF!,$D217)&gt;0,COUNTIF(#REF!,$D217)=0),"SKIP",IF(COUNTIFS(#REF!,$D217,#REF!,$CO217)&gt;0,"OK","ONBEKEND")),"ONZEKER")))))</f>
        <v/>
      </c>
      <c r="CQ217" t="str">
        <f t="shared" si="1630"/>
        <v/>
      </c>
      <c r="CR217" t="str">
        <f t="shared" si="1631"/>
        <v/>
      </c>
      <c r="CS217" t="str">
        <f>IF($CR217="","",IF(OR($EF217="",$EG217=""),"ONZEKER",IF(OR($EC217="",$ED217=""),"ONZEKER",IF(AND($EF217=$EC217+1,$EG217=$ED217),IF(OR(COUNTIF(#REF!,$B217)&gt;0,COUNTIF(#REF!,$B217)=0),"SKIP",IF(COUNTIFS(#REF!,$B217,#REF!,$CR217)&gt;0,"OK","ONBEKEND")),IF(AND($EF217=$EC217,$EG217=$ED217+1),IF(OR(COUNTIF(#REF!,$D217)&gt;0,COUNTIF(#REF!,$D217)=0),"SKIP",IF(COUNTIFS(#REF!,$D217,#REF!,$CR217)&gt;0,"OK","ONBEKEND")),"ONZEKER")))))</f>
        <v/>
      </c>
      <c r="CT217" t="str">
        <f t="shared" si="1632"/>
        <v/>
      </c>
      <c r="CU217" t="str">
        <f t="shared" si="1633"/>
        <v/>
      </c>
      <c r="CV217" t="str">
        <f>IF($CU217="","",IF(OR($EI217="",$EJ217=""),"ONZEKER",IF(OR($EF217="",$EG217=""),"ONZEKER",IF(AND($EI217=$EF217+1,$EJ217=$EG217),IF(OR(COUNTIF(#REF!,$B217)&gt;0,COUNTIF(#REF!,$B217)=0),"SKIP",IF(COUNTIFS(#REF!,$B217,#REF!,$CU217)&gt;0,"OK","ONBEKEND")),IF(AND($EI217=$EF217,$EJ217=$EG217+1),IF(OR(COUNTIF(#REF!,$D217)&gt;0,COUNTIF(#REF!,$D217)=0),"SKIP",IF(COUNTIFS(#REF!,$D217,#REF!,$CU217)&gt;0,"OK","ONBEKEND")),"ONZEKER")))))</f>
        <v/>
      </c>
      <c r="CW217" t="str">
        <f t="shared" si="1634"/>
        <v/>
      </c>
      <c r="CX217" t="str">
        <f t="shared" si="1635"/>
        <v/>
      </c>
      <c r="CY217" t="str">
        <f>IF($CX217="","",IF(OR($EL217="",$EM217=""),"ONZEKER",IF(OR($EI217="",$EJ217=""),"ONZEKER",IF(AND($EL217=$EI217+1,$EM217=$EJ217),IF(OR(COUNTIF(#REF!,$B217)&gt;0,COUNTIF(#REF!,$B217)=0),"SKIP",IF(COUNTIFS(#REF!,$B217,#REF!,$CX217)&gt;0,"OK","ONBEKEND")),IF(AND($EL217=$EI217,$EM217=$EJ217+1),IF(OR(COUNTIF(#REF!,$D217)&gt;0,COUNTIF(#REF!,$D217)=0),"SKIP",IF(COUNTIFS(#REF!,$D217,#REF!,$CX217)&gt;0,"OK","ONBEKEND")),"ONZEKER")))))</f>
        <v/>
      </c>
      <c r="CZ217" t="str">
        <f t="shared" si="1636"/>
        <v/>
      </c>
      <c r="DA217" t="str">
        <f t="shared" si="1637"/>
        <v/>
      </c>
      <c r="DB217" t="str">
        <f>IF($DA217="","",IF(OR($EO217="",$EP217=""),"ONZEKER",IF(OR($EL217="",$EM217=""),"ONZEKER",IF(AND($EO217=$EL217+1,$EP217=$EM217),IF(OR(COUNTIF(#REF!,$B217)&gt;0,COUNTIF(#REF!,$B217)=0),"SKIP",IF(COUNTIFS(#REF!,$B217,#REF!,$DA217)&gt;0,"OK","ONBEKEND")),IF(AND($EO217=$EL217,$EP217=$EM217+1),IF(OR(COUNTIF(#REF!,$D217)&gt;0,COUNTIF(#REF!,$D217)=0),"SKIP",IF(COUNTIFS(#REF!,$D217,#REF!,$DA217)&gt;0,"OK","ONBEKEND")),"ONZEKER")))))</f>
        <v/>
      </c>
      <c r="DC217" t="str">
        <f t="shared" si="1638"/>
        <v/>
      </c>
      <c r="DD217" t="str">
        <f t="shared" si="1639"/>
        <v/>
      </c>
      <c r="DE217" t="str">
        <f>IF($DD217="","",IF(OR($ER217="",$ES217=""),"ONZEKER",IF(OR($EO217="",$EP217=""),"ONZEKER",IF(AND($ER217=$EO217+1,$ES217=$EP217),IF(OR(COUNTIF(#REF!,$B217)&gt;0,COUNTIF(#REF!,$B217)=0),"SKIP",IF(COUNTIFS(#REF!,$B217,#REF!,$DD217)&gt;0,"OK","ONBEKEND")),IF(AND($ER217=$EO217,$ES217=$EP217+1),IF(OR(COUNTIF(#REF!,$D217)&gt;0,COUNTIF(#REF!,$D217)=0),"SKIP",IF(COUNTIFS(#REF!,$D217,#REF!,$DD217)&gt;0,"OK","ONBEKEND")),"ONZEKER")))))</f>
        <v/>
      </c>
      <c r="DF217" t="str">
        <f t="shared" si="1640"/>
        <v/>
      </c>
      <c r="DG217" t="str">
        <f t="shared" si="1641"/>
        <v/>
      </c>
      <c r="DH217" t="str">
        <f>IF($DG217="","",IF(OR($EU217="",$EV217=""),"ONZEKER",IF(OR($ER217="",$ES217=""),"ONZEKER",IF(AND($EU217=$ER217+1,$EV217=$ES217),IF(OR(COUNTIF(#REF!,$B217)&gt;0,COUNTIF(#REF!,$B217)=0),"SKIP",IF(COUNTIFS(#REF!,$B217,#REF!,$DG217)&gt;0,"OK","ONBEKEND")),IF(AND($EU217=$ER217,$EV217=$ES217+1),IF(OR(COUNTIF(#REF!,$D217)&gt;0,COUNTIF(#REF!,$D217)=0),"SKIP",IF(COUNTIFS(#REF!,$D217,#REF!,$DG217)&gt;0,"OK","ONBEKEND")),"ONZEKER")))))</f>
        <v/>
      </c>
      <c r="DI217" t="str">
        <f t="shared" si="1642"/>
        <v/>
      </c>
      <c r="DJ217" t="str">
        <f t="shared" si="1643"/>
        <v/>
      </c>
      <c r="DK217" t="str">
        <f>IF($DJ217="","",IF(OR($EX217="",$EY217=""),"ONZEKER",IF(OR($EU217="",$EV217=""),"ONZEKER",IF(AND($EX217=$EU217+1,$EY217=$EV217),IF(OR(COUNTIF(#REF!,$B217)&gt;0,COUNTIF(#REF!,$B217)=0),"SKIP",IF(COUNTIFS(#REF!,$B217,#REF!,$DJ217)&gt;0,"OK","ONBEKEND")),IF(AND($EX217=$EU217,$EY217=$EV217+1),IF(OR(COUNTIF(#REF!,$D217)&gt;0,COUNTIF(#REF!,$D217)=0),"SKIP",IF(COUNTIFS(#REF!,$D217,#REF!,$DJ217)&gt;0,"OK","ONBEKEND")),"ONZEKER")))))</f>
        <v/>
      </c>
      <c r="DL217" t="str">
        <f t="shared" si="1644"/>
        <v/>
      </c>
      <c r="DM217" t="str">
        <f t="shared" si="1645"/>
        <v/>
      </c>
      <c r="DN217" t="str">
        <f t="shared" si="1646"/>
        <v/>
      </c>
      <c r="DO217" t="str">
        <f t="shared" si="1647"/>
        <v/>
      </c>
      <c r="DP217" t="str">
        <f t="shared" si="1648"/>
        <v/>
      </c>
      <c r="DQ217" t="str">
        <f t="shared" si="1649"/>
        <v/>
      </c>
      <c r="DR217" t="str">
        <f t="shared" si="1650"/>
        <v/>
      </c>
      <c r="DS217" t="str">
        <f t="shared" si="1651"/>
        <v/>
      </c>
      <c r="DT217" t="str">
        <f t="shared" si="1652"/>
        <v/>
      </c>
      <c r="DU217" t="str">
        <f t="shared" si="1653"/>
        <v/>
      </c>
      <c r="DV217" t="str">
        <f t="shared" si="1654"/>
        <v/>
      </c>
      <c r="DW217" t="str">
        <f t="shared" si="1655"/>
        <v/>
      </c>
      <c r="DX217" t="str">
        <f t="shared" si="1656"/>
        <v/>
      </c>
      <c r="DY217" t="str">
        <f t="shared" si="1657"/>
        <v/>
      </c>
      <c r="DZ217" t="str">
        <f t="shared" si="1658"/>
        <v/>
      </c>
      <c r="EA217" t="str">
        <f t="shared" si="1659"/>
        <v/>
      </c>
      <c r="EB217" t="str">
        <f t="shared" si="1660"/>
        <v/>
      </c>
      <c r="EC217" t="str">
        <f t="shared" si="1661"/>
        <v/>
      </c>
      <c r="ED217" t="str">
        <f t="shared" si="1662"/>
        <v/>
      </c>
      <c r="EE217" t="str">
        <f t="shared" si="1663"/>
        <v/>
      </c>
      <c r="EF217" t="str">
        <f t="shared" si="1664"/>
        <v/>
      </c>
      <c r="EG217" t="str">
        <f t="shared" si="1665"/>
        <v/>
      </c>
      <c r="EH217" t="str">
        <f t="shared" si="1666"/>
        <v/>
      </c>
      <c r="EI217" t="str">
        <f t="shared" si="1667"/>
        <v/>
      </c>
      <c r="EJ217" t="str">
        <f t="shared" si="1668"/>
        <v/>
      </c>
      <c r="EK217" t="str">
        <f t="shared" si="1669"/>
        <v/>
      </c>
      <c r="EL217" t="str">
        <f t="shared" si="1670"/>
        <v/>
      </c>
      <c r="EM217" t="str">
        <f t="shared" si="1671"/>
        <v/>
      </c>
      <c r="EN217" t="str">
        <f t="shared" si="1672"/>
        <v/>
      </c>
      <c r="EO217" t="str">
        <f t="shared" si="1673"/>
        <v/>
      </c>
      <c r="EP217" t="str">
        <f t="shared" si="1674"/>
        <v/>
      </c>
      <c r="EQ217" t="str">
        <f t="shared" si="1675"/>
        <v/>
      </c>
      <c r="ER217" t="str">
        <f t="shared" si="1676"/>
        <v/>
      </c>
      <c r="ES217" t="str">
        <f t="shared" si="1677"/>
        <v/>
      </c>
      <c r="ET217" t="str">
        <f t="shared" si="1678"/>
        <v/>
      </c>
      <c r="EU217" t="str">
        <f t="shared" si="1679"/>
        <v/>
      </c>
      <c r="EV217" t="str">
        <f t="shared" si="1680"/>
        <v/>
      </c>
      <c r="EW217" t="str">
        <f t="shared" si="1681"/>
        <v/>
      </c>
      <c r="EX217" t="str">
        <f t="shared" si="1682"/>
        <v/>
      </c>
      <c r="EY217" t="str">
        <f t="shared" si="1683"/>
        <v/>
      </c>
    </row>
    <row r="218" spans="1:155" ht="13.9" customHeight="1" x14ac:dyDescent="0.25">
      <c r="A218" s="7"/>
      <c r="B218" s="17"/>
      <c r="C218" s="8"/>
      <c r="D218" s="17"/>
      <c r="E218" s="8"/>
      <c r="F218" s="18">
        <v>0</v>
      </c>
      <c r="G218" s="7" t="s">
        <v>147</v>
      </c>
      <c r="H218" s="18">
        <v>0</v>
      </c>
      <c r="I218" s="19">
        <v>0</v>
      </c>
      <c r="J218" s="7" t="s">
        <v>147</v>
      </c>
      <c r="K218" s="19">
        <v>0</v>
      </c>
      <c r="L218" s="9"/>
      <c r="M218" s="3" t="str">
        <f>IF($L218="","",IF($L218="DOELPUNTENMAKERS","",IF(AND(COUNTIF(#REF!,$B218)=0,COUNTIF(#REF!,$D218)=0),"OK",IF($O218&gt;20,"LET OP: meer dan 20 items (controle onvolledig)",IF((COUNTIF($R218:$AS218,"ONZEKER")+COUNTIF($CJ218:$DK218,"ONZEKER"))&gt;0,"LET OP: scoreverloop onduidelijk (controle beperkt)",IF((IF($AT218&lt;&gt;"",$AT218&amp;", ","")&amp;IF($AU218&lt;&gt;"",$AU218&amp;", ","")&amp;IF($AV218&lt;&gt;"",$AV218&amp;", ","")&amp;IF($AW218&lt;&gt;"",$AW218&amp;", ","")&amp;IF($AX218&lt;&gt;"",$AX218&amp;", ","")&amp;IF($AY218&lt;&gt;"",$AY218&amp;", ","")&amp;IF($AZ218&lt;&gt;"",$AZ218&amp;", ","")&amp;IF($BA218&lt;&gt;"",$BA218&amp;", ","")&amp;IF($BB218&lt;&gt;"",$BB218&amp;", ","")&amp;IF($BC218&lt;&gt;"",$BC218&amp;", ","")&amp;IF($DL218&lt;&gt;"",$DL218&amp;", ","")&amp;IF($DM218&lt;&gt;"",$DM218&amp;", ","")&amp;IF($DN218&lt;&gt;"",$DN218&amp;", ","")&amp;IF($DO218&lt;&gt;"",$DO218&amp;", ","")&amp;IF($DP218&lt;&gt;"",$DP218&amp;", ","")&amp;IF($DQ218&lt;&gt;"",$DQ218&amp;", ","")&amp;IF($DR218&lt;&gt;"",$DR218&amp;", ","")&amp;IF($DS218&lt;&gt;"",$DS218&amp;", ","")&amp;IF($DT218&lt;&gt;"",$DT218&amp;", ","")&amp;IF($DU218&lt;&gt;"",$DU218&amp;", ",""))="","OK","Onbekend: "&amp;LEFT((IF($AT218&lt;&gt;"",$AT218&amp;", ","")&amp;IF($AU218&lt;&gt;"",$AU218&amp;", ","")&amp;IF($AV218&lt;&gt;"",$AV218&amp;", ","")&amp;IF($AW218&lt;&gt;"",$AW218&amp;", ","")&amp;IF($AX218&lt;&gt;"",$AX218&amp;", ","")&amp;IF($AY218&lt;&gt;"",$AY218&amp;", ","")&amp;IF($AZ218&lt;&gt;"",$AZ218&amp;", ","")&amp;IF($BA218&lt;&gt;"",$BA218&amp;", ","")&amp;IF($BB218&lt;&gt;"",$BB218&amp;", ","")&amp;IF($BC218&lt;&gt;"",$BC218&amp;", ","")&amp;IF($DL218&lt;&gt;"",$DL218&amp;", ","")&amp;IF($DM218&lt;&gt;"",$DM218&amp;", ","")&amp;IF($DN218&lt;&gt;"",$DN218&amp;", ","")&amp;IF($DO218&lt;&gt;"",$DO218&amp;", ","")&amp;IF($DP218&lt;&gt;"",$DP218&amp;", ","")&amp;IF($DQ218&lt;&gt;"",$DQ218&amp;", ","")&amp;IF($DR218&lt;&gt;"",$DR218&amp;", ","")&amp;IF($DS218&lt;&gt;"",$DS218&amp;", ","")&amp;IF($DT218&lt;&gt;"",$DT218&amp;", ","")&amp;IF($DU218&lt;&gt;"",$DU218&amp;", ","")),LEN((IF($AT218&lt;&gt;"",$AT218&amp;", ","")&amp;IF($AU218&lt;&gt;"",$AU218&amp;", ","")&amp;IF($AV218&lt;&gt;"",$AV218&amp;", ","")&amp;IF($AW218&lt;&gt;"",$AW218&amp;", ","")&amp;IF($AX218&lt;&gt;"",$AX218&amp;", ","")&amp;IF($AY218&lt;&gt;"",$AY218&amp;", ","")&amp;IF($AZ218&lt;&gt;"",$AZ218&amp;", ","")&amp;IF($BA218&lt;&gt;"",$BA218&amp;", ","")&amp;IF($BB218&lt;&gt;"",$BB218&amp;", ","")&amp;IF($BC218&lt;&gt;"",$BC218&amp;", ","")&amp;IF($DL218&lt;&gt;"",$DL218&amp;", ","")&amp;IF($DM218&lt;&gt;"",$DM218&amp;", ","")&amp;IF($DN218&lt;&gt;"",$DN218&amp;", ","")&amp;IF($DO218&lt;&gt;"",$DO218&amp;", ","")&amp;IF($DP218&lt;&gt;"",$DP218&amp;", ","")&amp;IF($DQ218&lt;&gt;"",$DQ218&amp;", ","")&amp;IF($DR218&lt;&gt;"",$DR218&amp;", ","")&amp;IF($DS218&lt;&gt;"",$DS218&amp;", ","")&amp;IF($DT218&lt;&gt;"",$DT218&amp;", ","")&amp;IF($DU218&lt;&gt;"",$DU218&amp;", ","")))-2)))))))</f>
        <v/>
      </c>
      <c r="N218" t="str">
        <f t="shared" si="1592"/>
        <v/>
      </c>
      <c r="O218" t="str">
        <f t="shared" si="1593"/>
        <v/>
      </c>
      <c r="P218" t="str">
        <f t="shared" si="1594"/>
        <v/>
      </c>
      <c r="Q218" t="str">
        <f t="shared" si="1595"/>
        <v/>
      </c>
      <c r="R218" t="str">
        <f>IF($Q218="","",IF(OR($BE218="",$BF218=""),"ONZEKER",IF(AND($BE218=0+1,$BF218=0),IF(OR(COUNTIF(#REF!,$B218)&gt;0,COUNTIF(#REF!,$B218)=0),"SKIP",IF(COUNTIFS(#REF!,$B218,#REF!,$Q218)&gt;0,"OK","ONBEKEND")),IF(AND($BE218=0,$BF218=0+1),IF(OR(COUNTIF(#REF!,$D218)&gt;0,COUNTIF(#REF!,$D218)=0),"SKIP",IF(COUNTIFS(#REF!,$D218,#REF!,$Q218)&gt;0,"OK","ONBEKEND")),"ONZEKER"))))</f>
        <v/>
      </c>
      <c r="S218" t="str">
        <f t="shared" si="1596"/>
        <v/>
      </c>
      <c r="T218" t="str">
        <f t="shared" si="1597"/>
        <v/>
      </c>
      <c r="U218" t="str">
        <f>IF($T218="","",IF(OR($BH218="",$BI218=""),"ONZEKER",IF(OR($BE218="",$BF218=""),"ONZEKER",IF(AND($BH218=$BE218+1,$BI218=$BF218),IF(OR(COUNTIF(#REF!,$B218)&gt;0,COUNTIF(#REF!,$B218)=0),"SKIP",IF(COUNTIFS(#REF!,$B218,#REF!,$T218)&gt;0,"OK","ONBEKEND")),IF(AND($BH218=$BE218,$BI218=$BF218+1),IF(OR(COUNTIF(#REF!,$D218)&gt;0,COUNTIF(#REF!,$D218)=0),"SKIP",IF(COUNTIFS(#REF!,$D218,#REF!,$T218)&gt;0,"OK","ONBEKEND")),"ONZEKER")))))</f>
        <v/>
      </c>
      <c r="V218" t="str">
        <f t="shared" si="1598"/>
        <v/>
      </c>
      <c r="W218" t="str">
        <f t="shared" si="1599"/>
        <v/>
      </c>
      <c r="X218" t="str">
        <f>IF($W218="","",IF(OR($BK218="",$BL218=""),"ONZEKER",IF(OR($BH218="",$BI218=""),"ONZEKER",IF(AND($BK218=$BH218+1,$BL218=$BI218),IF(OR(COUNTIF(#REF!,$B218)&gt;0,COUNTIF(#REF!,$B218)=0),"SKIP",IF(COUNTIFS(#REF!,$B218,#REF!,$W218)&gt;0,"OK","ONBEKEND")),IF(AND($BK218=$BH218,$BL218=$BI218+1),IF(OR(COUNTIF(#REF!,$D218)&gt;0,COUNTIF(#REF!,$D218)=0),"SKIP",IF(COUNTIFS(#REF!,$D218,#REF!,$W218)&gt;0,"OK","ONBEKEND")),"ONZEKER")))))</f>
        <v/>
      </c>
      <c r="Y218" t="str">
        <f t="shared" si="1600"/>
        <v/>
      </c>
      <c r="Z218" t="str">
        <f t="shared" si="1601"/>
        <v/>
      </c>
      <c r="AA218" t="str">
        <f>IF($Z218="","",IF(OR($BN218="",$BO218=""),"ONZEKER",IF(OR($BK218="",$BL218=""),"ONZEKER",IF(AND($BN218=$BK218+1,$BO218=$BL218),IF(OR(COUNTIF(#REF!,$B218)&gt;0,COUNTIF(#REF!,$B218)=0),"SKIP",IF(COUNTIFS(#REF!,$B218,#REF!,$Z218)&gt;0,"OK","ONBEKEND")),IF(AND($BN218=$BK218,$BO218=$BL218+1),IF(OR(COUNTIF(#REF!,$D218)&gt;0,COUNTIF(#REF!,$D218)=0),"SKIP",IF(COUNTIFS(#REF!,$D218,#REF!,$Z218)&gt;0,"OK","ONBEKEND")),"ONZEKER")))))</f>
        <v/>
      </c>
      <c r="AB218" t="str">
        <f t="shared" si="1602"/>
        <v/>
      </c>
      <c r="AC218" t="str">
        <f t="shared" si="1603"/>
        <v/>
      </c>
      <c r="AD218" t="str">
        <f>IF($AC218="","",IF(OR($BQ218="",$BR218=""),"ONZEKER",IF(OR($BN218="",$BO218=""),"ONZEKER",IF(AND($BQ218=$BN218+1,$BR218=$BO218),IF(OR(COUNTIF(#REF!,$B218)&gt;0,COUNTIF(#REF!,$B218)=0),"SKIP",IF(COUNTIFS(#REF!,$B218,#REF!,$AC218)&gt;0,"OK","ONBEKEND")),IF(AND($BQ218=$BN218,$BR218=$BO218+1),IF(OR(COUNTIF(#REF!,$D218)&gt;0,COUNTIF(#REF!,$D218)=0),"SKIP",IF(COUNTIFS(#REF!,$D218,#REF!,$AC218)&gt;0,"OK","ONBEKEND")),"ONZEKER")))))</f>
        <v/>
      </c>
      <c r="AE218" t="str">
        <f t="shared" si="1604"/>
        <v/>
      </c>
      <c r="AF218" t="str">
        <f t="shared" si="1605"/>
        <v/>
      </c>
      <c r="AG218" t="str">
        <f>IF($AF218="","",IF(OR($BT218="",$BU218=""),"ONZEKER",IF(OR($BQ218="",$BR218=""),"ONZEKER",IF(AND($BT218=$BQ218+1,$BU218=$BR218),IF(OR(COUNTIF(#REF!,$B218)&gt;0,COUNTIF(#REF!,$B218)=0),"SKIP",IF(COUNTIFS(#REF!,$B218,#REF!,$AF218)&gt;0,"OK","ONBEKEND")),IF(AND($BT218=$BQ218,$BU218=$BR218+1),IF(OR(COUNTIF(#REF!,$D218)&gt;0,COUNTIF(#REF!,$D218)=0),"SKIP",IF(COUNTIFS(#REF!,$D218,#REF!,$AF218)&gt;0,"OK","ONBEKEND")),"ONZEKER")))))</f>
        <v/>
      </c>
      <c r="AH218" t="str">
        <f t="shared" si="1606"/>
        <v/>
      </c>
      <c r="AI218" t="str">
        <f t="shared" si="1607"/>
        <v/>
      </c>
      <c r="AJ218" t="str">
        <f>IF($AI218="","",IF(OR($BW218="",$BX218=""),"ONZEKER",IF(OR($BT218="",$BU218=""),"ONZEKER",IF(AND($BW218=$BT218+1,$BX218=$BU218),IF(OR(COUNTIF(#REF!,$B218)&gt;0,COUNTIF(#REF!,$B218)=0),"SKIP",IF(COUNTIFS(#REF!,$B218,#REF!,$AI218)&gt;0,"OK","ONBEKEND")),IF(AND($BW218=$BT218,$BX218=$BU218+1),IF(OR(COUNTIF(#REF!,$D218)&gt;0,COUNTIF(#REF!,$D218)=0),"SKIP",IF(COUNTIFS(#REF!,$D218,#REF!,$AI218)&gt;0,"OK","ONBEKEND")),"ONZEKER")))))</f>
        <v/>
      </c>
      <c r="AK218" t="str">
        <f t="shared" si="1608"/>
        <v/>
      </c>
      <c r="AL218" t="str">
        <f t="shared" si="1609"/>
        <v/>
      </c>
      <c r="AM218" t="str">
        <f>IF($AL218="","",IF(OR($BZ218="",$CA218=""),"ONZEKER",IF(OR($BW218="",$BX218=""),"ONZEKER",IF(AND($BZ218=$BW218+1,$CA218=$BX218),IF(OR(COUNTIF(#REF!,$B218)&gt;0,COUNTIF(#REF!,$B218)=0),"SKIP",IF(COUNTIFS(#REF!,$B218,#REF!,$AL218)&gt;0,"OK","ONBEKEND")),IF(AND($BZ218=$BW218,$CA218=$BX218+1),IF(OR(COUNTIF(#REF!,$D218)&gt;0,COUNTIF(#REF!,$D218)=0),"SKIP",IF(COUNTIFS(#REF!,$D218,#REF!,$AL218)&gt;0,"OK","ONBEKEND")),"ONZEKER")))))</f>
        <v/>
      </c>
      <c r="AN218" t="str">
        <f t="shared" si="1610"/>
        <v/>
      </c>
      <c r="AO218" t="str">
        <f t="shared" si="1611"/>
        <v/>
      </c>
      <c r="AP218" t="str">
        <f>IF($AO218="","",IF(OR($CC218="",$CD218=""),"ONZEKER",IF(OR($BZ218="",$CA218=""),"ONZEKER",IF(AND($CC218=$BZ218+1,$CD218=$CA218),IF(OR(COUNTIF(#REF!,$B218)&gt;0,COUNTIF(#REF!,$B218)=0),"SKIP",IF(COUNTIFS(#REF!,$B218,#REF!,$AO218)&gt;0,"OK","ONBEKEND")),IF(AND($CC218=$BZ218,$CD218=$CA218+1),IF(OR(COUNTIF(#REF!,$D218)&gt;0,COUNTIF(#REF!,$D218)=0),"SKIP",IF(COUNTIFS(#REF!,$D218,#REF!,$AO218)&gt;0,"OK","ONBEKEND")),"ONZEKER")))))</f>
        <v/>
      </c>
      <c r="AQ218" t="str">
        <f t="shared" si="1612"/>
        <v/>
      </c>
      <c r="AR218" t="str">
        <f t="shared" si="1613"/>
        <v/>
      </c>
      <c r="AS218" t="str">
        <f>IF($AR218="","",IF(OR($CF218="",$CG218=""),"ONZEKER",IF(OR($CC218="",$CD218=""),"ONZEKER",IF(AND($CF218=$CC218+1,$CG218=$CD218),IF(OR(COUNTIF(#REF!,$B218)&gt;0,COUNTIF(#REF!,$B218)=0),"SKIP",IF(COUNTIFS(#REF!,$B218,#REF!,$AR218)&gt;0,"OK","ONBEKEND")),IF(AND($CF218=$CC218,$CG218=$CD218+1),IF(OR(COUNTIF(#REF!,$D218)&gt;0,COUNTIF(#REF!,$D218)=0),"SKIP",IF(COUNTIFS(#REF!,$D218,#REF!,$AR218)&gt;0,"OK","ONBEKEND")),"ONZEKER")))))</f>
        <v/>
      </c>
      <c r="AT218" t="str">
        <f t="shared" si="1614"/>
        <v/>
      </c>
      <c r="AU218" t="str">
        <f t="shared" si="1615"/>
        <v/>
      </c>
      <c r="AV218" t="str">
        <f t="shared" si="1616"/>
        <v/>
      </c>
      <c r="AW218" t="str">
        <f t="shared" si="1617"/>
        <v/>
      </c>
      <c r="AX218" t="str">
        <f t="shared" si="1618"/>
        <v/>
      </c>
      <c r="AY218" t="str">
        <f t="shared" si="1619"/>
        <v/>
      </c>
      <c r="AZ218" t="str">
        <f t="shared" si="1620"/>
        <v/>
      </c>
      <c r="BA218" t="str">
        <f t="shared" si="1621"/>
        <v/>
      </c>
      <c r="BB218" t="str">
        <f t="shared" si="1622"/>
        <v/>
      </c>
      <c r="BC218" t="str">
        <f t="shared" si="1623"/>
        <v/>
      </c>
      <c r="BD218" t="str">
        <f t="shared" si="1470"/>
        <v/>
      </c>
      <c r="BE218" t="str">
        <f t="shared" si="1471"/>
        <v/>
      </c>
      <c r="BF218" t="str">
        <f t="shared" si="1472"/>
        <v/>
      </c>
      <c r="BG218" t="str">
        <f t="shared" si="1473"/>
        <v/>
      </c>
      <c r="BH218" t="str">
        <f t="shared" si="1474"/>
        <v/>
      </c>
      <c r="BI218" t="str">
        <f t="shared" si="1475"/>
        <v/>
      </c>
      <c r="BJ218" t="str">
        <f t="shared" si="1476"/>
        <v/>
      </c>
      <c r="BK218" t="str">
        <f t="shared" si="1477"/>
        <v/>
      </c>
      <c r="BL218" t="str">
        <f t="shared" si="1478"/>
        <v/>
      </c>
      <c r="BM218" t="str">
        <f t="shared" si="1479"/>
        <v/>
      </c>
      <c r="BN218" t="str">
        <f t="shared" si="1480"/>
        <v/>
      </c>
      <c r="BO218" t="str">
        <f t="shared" si="1481"/>
        <v/>
      </c>
      <c r="BP218" t="str">
        <f t="shared" si="1482"/>
        <v/>
      </c>
      <c r="BQ218" t="str">
        <f t="shared" si="1483"/>
        <v/>
      </c>
      <c r="BR218" t="str">
        <f t="shared" si="1484"/>
        <v/>
      </c>
      <c r="BS218" t="str">
        <f t="shared" si="1485"/>
        <v/>
      </c>
      <c r="BT218" t="str">
        <f t="shared" si="1486"/>
        <v/>
      </c>
      <c r="BU218" t="str">
        <f t="shared" si="1487"/>
        <v/>
      </c>
      <c r="BV218" t="str">
        <f t="shared" si="1488"/>
        <v/>
      </c>
      <c r="BW218" t="str">
        <f t="shared" si="1489"/>
        <v/>
      </c>
      <c r="BX218" t="str">
        <f t="shared" si="1490"/>
        <v/>
      </c>
      <c r="BY218" t="str">
        <f t="shared" si="1491"/>
        <v/>
      </c>
      <c r="BZ218" t="str">
        <f t="shared" si="1492"/>
        <v/>
      </c>
      <c r="CA218" t="str">
        <f t="shared" si="1493"/>
        <v/>
      </c>
      <c r="CB218" t="str">
        <f t="shared" si="1494"/>
        <v/>
      </c>
      <c r="CC218" t="str">
        <f t="shared" si="1495"/>
        <v/>
      </c>
      <c r="CD218" t="str">
        <f t="shared" si="1496"/>
        <v/>
      </c>
      <c r="CE218" t="str">
        <f t="shared" si="1497"/>
        <v/>
      </c>
      <c r="CF218" t="str">
        <f t="shared" si="1498"/>
        <v/>
      </c>
      <c r="CG218" t="str">
        <f t="shared" si="1499"/>
        <v/>
      </c>
      <c r="CH218" t="str">
        <f t="shared" si="1624"/>
        <v/>
      </c>
      <c r="CI218" t="str">
        <f t="shared" si="1625"/>
        <v/>
      </c>
      <c r="CJ218" t="str">
        <f>IF($CI218="","",IF(OR($DW218="",$DX218=""),"ONZEKER",IF(OR($CF218="",$CG218=""),"ONZEKER",IF(AND($DW218=$CF218+1,$DX218=$CG218),IF(OR(COUNTIF(#REF!,$B218)&gt;0,COUNTIF(#REF!,$B218)=0),"SKIP",IF(COUNTIFS(#REF!,$B218,#REF!,$CI218)&gt;0,"OK","ONBEKEND")),IF(AND($DW218=$CF218,$DX218=$CG218+1),IF(OR(COUNTIF(#REF!,$D218)&gt;0,COUNTIF(#REF!,$D218)=0),"SKIP",IF(COUNTIFS(#REF!,$D218,#REF!,$CI218)&gt;0,"OK","ONBEKEND")),"ONZEKER")))))</f>
        <v/>
      </c>
      <c r="CK218" t="str">
        <f t="shared" si="1626"/>
        <v/>
      </c>
      <c r="CL218" t="str">
        <f t="shared" si="1627"/>
        <v/>
      </c>
      <c r="CM218" t="str">
        <f>IF($CL218="","",IF(OR($DZ218="",$EA218=""),"ONZEKER",IF(OR($DW218="",$DX218=""),"ONZEKER",IF(AND($DZ218=$DW218+1,$EA218=$DX218),IF(OR(COUNTIF(#REF!,$B218)&gt;0,COUNTIF(#REF!,$B218)=0),"SKIP",IF(COUNTIFS(#REF!,$B218,#REF!,$CL218)&gt;0,"OK","ONBEKEND")),IF(AND($DZ218=$DW218,$EA218=$DX218+1),IF(OR(COUNTIF(#REF!,$D218)&gt;0,COUNTIF(#REF!,$D218)=0),"SKIP",IF(COUNTIFS(#REF!,$D218,#REF!,$CL218)&gt;0,"OK","ONBEKEND")),"ONZEKER")))))</f>
        <v/>
      </c>
      <c r="CN218" t="str">
        <f t="shared" si="1628"/>
        <v/>
      </c>
      <c r="CO218" t="str">
        <f t="shared" si="1629"/>
        <v/>
      </c>
      <c r="CP218" t="str">
        <f>IF($CO218="","",IF(OR($EC218="",$ED218=""),"ONZEKER",IF(OR($DZ218="",$EA218=""),"ONZEKER",IF(AND($EC218=$DZ218+1,$ED218=$EA218),IF(OR(COUNTIF(#REF!,$B218)&gt;0,COUNTIF(#REF!,$B218)=0),"SKIP",IF(COUNTIFS(#REF!,$B218,#REF!,$CO218)&gt;0,"OK","ONBEKEND")),IF(AND($EC218=$DZ218,$ED218=$EA218+1),IF(OR(COUNTIF(#REF!,$D218)&gt;0,COUNTIF(#REF!,$D218)=0),"SKIP",IF(COUNTIFS(#REF!,$D218,#REF!,$CO218)&gt;0,"OK","ONBEKEND")),"ONZEKER")))))</f>
        <v/>
      </c>
      <c r="CQ218" t="str">
        <f t="shared" si="1630"/>
        <v/>
      </c>
      <c r="CR218" t="str">
        <f t="shared" si="1631"/>
        <v/>
      </c>
      <c r="CS218" t="str">
        <f>IF($CR218="","",IF(OR($EF218="",$EG218=""),"ONZEKER",IF(OR($EC218="",$ED218=""),"ONZEKER",IF(AND($EF218=$EC218+1,$EG218=$ED218),IF(OR(COUNTIF(#REF!,$B218)&gt;0,COUNTIF(#REF!,$B218)=0),"SKIP",IF(COUNTIFS(#REF!,$B218,#REF!,$CR218)&gt;0,"OK","ONBEKEND")),IF(AND($EF218=$EC218,$EG218=$ED218+1),IF(OR(COUNTIF(#REF!,$D218)&gt;0,COUNTIF(#REF!,$D218)=0),"SKIP",IF(COUNTIFS(#REF!,$D218,#REF!,$CR218)&gt;0,"OK","ONBEKEND")),"ONZEKER")))))</f>
        <v/>
      </c>
      <c r="CT218" t="str">
        <f t="shared" si="1632"/>
        <v/>
      </c>
      <c r="CU218" t="str">
        <f t="shared" si="1633"/>
        <v/>
      </c>
      <c r="CV218" t="str">
        <f>IF($CU218="","",IF(OR($EI218="",$EJ218=""),"ONZEKER",IF(OR($EF218="",$EG218=""),"ONZEKER",IF(AND($EI218=$EF218+1,$EJ218=$EG218),IF(OR(COUNTIF(#REF!,$B218)&gt;0,COUNTIF(#REF!,$B218)=0),"SKIP",IF(COUNTIFS(#REF!,$B218,#REF!,$CU218)&gt;0,"OK","ONBEKEND")),IF(AND($EI218=$EF218,$EJ218=$EG218+1),IF(OR(COUNTIF(#REF!,$D218)&gt;0,COUNTIF(#REF!,$D218)=0),"SKIP",IF(COUNTIFS(#REF!,$D218,#REF!,$CU218)&gt;0,"OK","ONBEKEND")),"ONZEKER")))))</f>
        <v/>
      </c>
      <c r="CW218" t="str">
        <f t="shared" si="1634"/>
        <v/>
      </c>
      <c r="CX218" t="str">
        <f t="shared" si="1635"/>
        <v/>
      </c>
      <c r="CY218" t="str">
        <f>IF($CX218="","",IF(OR($EL218="",$EM218=""),"ONZEKER",IF(OR($EI218="",$EJ218=""),"ONZEKER",IF(AND($EL218=$EI218+1,$EM218=$EJ218),IF(OR(COUNTIF(#REF!,$B218)&gt;0,COUNTIF(#REF!,$B218)=0),"SKIP",IF(COUNTIFS(#REF!,$B218,#REF!,$CX218)&gt;0,"OK","ONBEKEND")),IF(AND($EL218=$EI218,$EM218=$EJ218+1),IF(OR(COUNTIF(#REF!,$D218)&gt;0,COUNTIF(#REF!,$D218)=0),"SKIP",IF(COUNTIFS(#REF!,$D218,#REF!,$CX218)&gt;0,"OK","ONBEKEND")),"ONZEKER")))))</f>
        <v/>
      </c>
      <c r="CZ218" t="str">
        <f t="shared" si="1636"/>
        <v/>
      </c>
      <c r="DA218" t="str">
        <f t="shared" si="1637"/>
        <v/>
      </c>
      <c r="DB218" t="str">
        <f>IF($DA218="","",IF(OR($EO218="",$EP218=""),"ONZEKER",IF(OR($EL218="",$EM218=""),"ONZEKER",IF(AND($EO218=$EL218+1,$EP218=$EM218),IF(OR(COUNTIF(#REF!,$B218)&gt;0,COUNTIF(#REF!,$B218)=0),"SKIP",IF(COUNTIFS(#REF!,$B218,#REF!,$DA218)&gt;0,"OK","ONBEKEND")),IF(AND($EO218=$EL218,$EP218=$EM218+1),IF(OR(COUNTIF(#REF!,$D218)&gt;0,COUNTIF(#REF!,$D218)=0),"SKIP",IF(COUNTIFS(#REF!,$D218,#REF!,$DA218)&gt;0,"OK","ONBEKEND")),"ONZEKER")))))</f>
        <v/>
      </c>
      <c r="DC218" t="str">
        <f t="shared" si="1638"/>
        <v/>
      </c>
      <c r="DD218" t="str">
        <f t="shared" si="1639"/>
        <v/>
      </c>
      <c r="DE218" t="str">
        <f>IF($DD218="","",IF(OR($ER218="",$ES218=""),"ONZEKER",IF(OR($EO218="",$EP218=""),"ONZEKER",IF(AND($ER218=$EO218+1,$ES218=$EP218),IF(OR(COUNTIF(#REF!,$B218)&gt;0,COUNTIF(#REF!,$B218)=0),"SKIP",IF(COUNTIFS(#REF!,$B218,#REF!,$DD218)&gt;0,"OK","ONBEKEND")),IF(AND($ER218=$EO218,$ES218=$EP218+1),IF(OR(COUNTIF(#REF!,$D218)&gt;0,COUNTIF(#REF!,$D218)=0),"SKIP",IF(COUNTIFS(#REF!,$D218,#REF!,$DD218)&gt;0,"OK","ONBEKEND")),"ONZEKER")))))</f>
        <v/>
      </c>
      <c r="DF218" t="str">
        <f t="shared" si="1640"/>
        <v/>
      </c>
      <c r="DG218" t="str">
        <f t="shared" si="1641"/>
        <v/>
      </c>
      <c r="DH218" t="str">
        <f>IF($DG218="","",IF(OR($EU218="",$EV218=""),"ONZEKER",IF(OR($ER218="",$ES218=""),"ONZEKER",IF(AND($EU218=$ER218+1,$EV218=$ES218),IF(OR(COUNTIF(#REF!,$B218)&gt;0,COUNTIF(#REF!,$B218)=0),"SKIP",IF(COUNTIFS(#REF!,$B218,#REF!,$DG218)&gt;0,"OK","ONBEKEND")),IF(AND($EU218=$ER218,$EV218=$ES218+1),IF(OR(COUNTIF(#REF!,$D218)&gt;0,COUNTIF(#REF!,$D218)=0),"SKIP",IF(COUNTIFS(#REF!,$D218,#REF!,$DG218)&gt;0,"OK","ONBEKEND")),"ONZEKER")))))</f>
        <v/>
      </c>
      <c r="DI218" t="str">
        <f t="shared" si="1642"/>
        <v/>
      </c>
      <c r="DJ218" t="str">
        <f t="shared" si="1643"/>
        <v/>
      </c>
      <c r="DK218" t="str">
        <f>IF($DJ218="","",IF(OR($EX218="",$EY218=""),"ONZEKER",IF(OR($EU218="",$EV218=""),"ONZEKER",IF(AND($EX218=$EU218+1,$EY218=$EV218),IF(OR(COUNTIF(#REF!,$B218)&gt;0,COUNTIF(#REF!,$B218)=0),"SKIP",IF(COUNTIFS(#REF!,$B218,#REF!,$DJ218)&gt;0,"OK","ONBEKEND")),IF(AND($EX218=$EU218,$EY218=$EV218+1),IF(OR(COUNTIF(#REF!,$D218)&gt;0,COUNTIF(#REF!,$D218)=0),"SKIP",IF(COUNTIFS(#REF!,$D218,#REF!,$DJ218)&gt;0,"OK","ONBEKEND")),"ONZEKER")))))</f>
        <v/>
      </c>
      <c r="DL218" t="str">
        <f t="shared" si="1644"/>
        <v/>
      </c>
      <c r="DM218" t="str">
        <f t="shared" si="1645"/>
        <v/>
      </c>
      <c r="DN218" t="str">
        <f t="shared" si="1646"/>
        <v/>
      </c>
      <c r="DO218" t="str">
        <f t="shared" si="1647"/>
        <v/>
      </c>
      <c r="DP218" t="str">
        <f t="shared" si="1648"/>
        <v/>
      </c>
      <c r="DQ218" t="str">
        <f t="shared" si="1649"/>
        <v/>
      </c>
      <c r="DR218" t="str">
        <f t="shared" si="1650"/>
        <v/>
      </c>
      <c r="DS218" t="str">
        <f t="shared" si="1651"/>
        <v/>
      </c>
      <c r="DT218" t="str">
        <f t="shared" si="1652"/>
        <v/>
      </c>
      <c r="DU218" t="str">
        <f t="shared" si="1653"/>
        <v/>
      </c>
      <c r="DV218" t="str">
        <f t="shared" si="1654"/>
        <v/>
      </c>
      <c r="DW218" t="str">
        <f t="shared" si="1655"/>
        <v/>
      </c>
      <c r="DX218" t="str">
        <f t="shared" si="1656"/>
        <v/>
      </c>
      <c r="DY218" t="str">
        <f t="shared" si="1657"/>
        <v/>
      </c>
      <c r="DZ218" t="str">
        <f t="shared" si="1658"/>
        <v/>
      </c>
      <c r="EA218" t="str">
        <f t="shared" si="1659"/>
        <v/>
      </c>
      <c r="EB218" t="str">
        <f t="shared" si="1660"/>
        <v/>
      </c>
      <c r="EC218" t="str">
        <f t="shared" si="1661"/>
        <v/>
      </c>
      <c r="ED218" t="str">
        <f t="shared" si="1662"/>
        <v/>
      </c>
      <c r="EE218" t="str">
        <f t="shared" si="1663"/>
        <v/>
      </c>
      <c r="EF218" t="str">
        <f t="shared" si="1664"/>
        <v/>
      </c>
      <c r="EG218" t="str">
        <f t="shared" si="1665"/>
        <v/>
      </c>
      <c r="EH218" t="str">
        <f t="shared" si="1666"/>
        <v/>
      </c>
      <c r="EI218" t="str">
        <f t="shared" si="1667"/>
        <v/>
      </c>
      <c r="EJ218" t="str">
        <f t="shared" si="1668"/>
        <v/>
      </c>
      <c r="EK218" t="str">
        <f t="shared" si="1669"/>
        <v/>
      </c>
      <c r="EL218" t="str">
        <f t="shared" si="1670"/>
        <v/>
      </c>
      <c r="EM218" t="str">
        <f t="shared" si="1671"/>
        <v/>
      </c>
      <c r="EN218" t="str">
        <f t="shared" si="1672"/>
        <v/>
      </c>
      <c r="EO218" t="str">
        <f t="shared" si="1673"/>
        <v/>
      </c>
      <c r="EP218" t="str">
        <f t="shared" si="1674"/>
        <v/>
      </c>
      <c r="EQ218" t="str">
        <f t="shared" si="1675"/>
        <v/>
      </c>
      <c r="ER218" t="str">
        <f t="shared" si="1676"/>
        <v/>
      </c>
      <c r="ES218" t="str">
        <f t="shared" si="1677"/>
        <v/>
      </c>
      <c r="ET218" t="str">
        <f t="shared" si="1678"/>
        <v/>
      </c>
      <c r="EU218" t="str">
        <f t="shared" si="1679"/>
        <v/>
      </c>
      <c r="EV218" t="str">
        <f t="shared" si="1680"/>
        <v/>
      </c>
      <c r="EW218" t="str">
        <f t="shared" si="1681"/>
        <v/>
      </c>
      <c r="EX218" t="str">
        <f t="shared" si="1682"/>
        <v/>
      </c>
      <c r="EY218" t="str">
        <f t="shared" si="1683"/>
        <v/>
      </c>
    </row>
    <row r="219" spans="1:155" ht="13.9" customHeight="1" x14ac:dyDescent="0.25">
      <c r="A219" s="7"/>
      <c r="B219" s="17"/>
      <c r="C219" s="8"/>
      <c r="D219" s="17"/>
      <c r="E219" s="8"/>
      <c r="F219" s="18">
        <v>0</v>
      </c>
      <c r="G219" s="7" t="s">
        <v>147</v>
      </c>
      <c r="H219" s="18">
        <v>0</v>
      </c>
      <c r="I219" s="19">
        <v>0</v>
      </c>
      <c r="J219" s="7" t="s">
        <v>147</v>
      </c>
      <c r="K219" s="19">
        <v>0</v>
      </c>
      <c r="L219" s="9"/>
      <c r="M219" s="3" t="str">
        <f>IF($L219="","",IF($L219="DOELPUNTENMAKERS","",IF(AND(COUNTIF(#REF!,$B219)=0,COUNTIF(#REF!,$D219)=0),"OK",IF($O219&gt;20,"LET OP: meer dan 20 items (controle onvolledig)",IF((COUNTIF($R219:$AS219,"ONZEKER")+COUNTIF($CJ219:$DK219,"ONZEKER"))&gt;0,"LET OP: scoreverloop onduidelijk (controle beperkt)",IF((IF($AT219&lt;&gt;"",$AT219&amp;", ","")&amp;IF($AU219&lt;&gt;"",$AU219&amp;", ","")&amp;IF($AV219&lt;&gt;"",$AV219&amp;", ","")&amp;IF($AW219&lt;&gt;"",$AW219&amp;", ","")&amp;IF($AX219&lt;&gt;"",$AX219&amp;", ","")&amp;IF($AY219&lt;&gt;"",$AY219&amp;", ","")&amp;IF($AZ219&lt;&gt;"",$AZ219&amp;", ","")&amp;IF($BA219&lt;&gt;"",$BA219&amp;", ","")&amp;IF($BB219&lt;&gt;"",$BB219&amp;", ","")&amp;IF($BC219&lt;&gt;"",$BC219&amp;", ","")&amp;IF($DL219&lt;&gt;"",$DL219&amp;", ","")&amp;IF($DM219&lt;&gt;"",$DM219&amp;", ","")&amp;IF($DN219&lt;&gt;"",$DN219&amp;", ","")&amp;IF($DO219&lt;&gt;"",$DO219&amp;", ","")&amp;IF($DP219&lt;&gt;"",$DP219&amp;", ","")&amp;IF($DQ219&lt;&gt;"",$DQ219&amp;", ","")&amp;IF($DR219&lt;&gt;"",$DR219&amp;", ","")&amp;IF($DS219&lt;&gt;"",$DS219&amp;", ","")&amp;IF($DT219&lt;&gt;"",$DT219&amp;", ","")&amp;IF($DU219&lt;&gt;"",$DU219&amp;", ",""))="","OK","Onbekend: "&amp;LEFT((IF($AT219&lt;&gt;"",$AT219&amp;", ","")&amp;IF($AU219&lt;&gt;"",$AU219&amp;", ","")&amp;IF($AV219&lt;&gt;"",$AV219&amp;", ","")&amp;IF($AW219&lt;&gt;"",$AW219&amp;", ","")&amp;IF($AX219&lt;&gt;"",$AX219&amp;", ","")&amp;IF($AY219&lt;&gt;"",$AY219&amp;", ","")&amp;IF($AZ219&lt;&gt;"",$AZ219&amp;", ","")&amp;IF($BA219&lt;&gt;"",$BA219&amp;", ","")&amp;IF($BB219&lt;&gt;"",$BB219&amp;", ","")&amp;IF($BC219&lt;&gt;"",$BC219&amp;", ","")&amp;IF($DL219&lt;&gt;"",$DL219&amp;", ","")&amp;IF($DM219&lt;&gt;"",$DM219&amp;", ","")&amp;IF($DN219&lt;&gt;"",$DN219&amp;", ","")&amp;IF($DO219&lt;&gt;"",$DO219&amp;", ","")&amp;IF($DP219&lt;&gt;"",$DP219&amp;", ","")&amp;IF($DQ219&lt;&gt;"",$DQ219&amp;", ","")&amp;IF($DR219&lt;&gt;"",$DR219&amp;", ","")&amp;IF($DS219&lt;&gt;"",$DS219&amp;", ","")&amp;IF($DT219&lt;&gt;"",$DT219&amp;", ","")&amp;IF($DU219&lt;&gt;"",$DU219&amp;", ","")),LEN((IF($AT219&lt;&gt;"",$AT219&amp;", ","")&amp;IF($AU219&lt;&gt;"",$AU219&amp;", ","")&amp;IF($AV219&lt;&gt;"",$AV219&amp;", ","")&amp;IF($AW219&lt;&gt;"",$AW219&amp;", ","")&amp;IF($AX219&lt;&gt;"",$AX219&amp;", ","")&amp;IF($AY219&lt;&gt;"",$AY219&amp;", ","")&amp;IF($AZ219&lt;&gt;"",$AZ219&amp;", ","")&amp;IF($BA219&lt;&gt;"",$BA219&amp;", ","")&amp;IF($BB219&lt;&gt;"",$BB219&amp;", ","")&amp;IF($BC219&lt;&gt;"",$BC219&amp;", ","")&amp;IF($DL219&lt;&gt;"",$DL219&amp;", ","")&amp;IF($DM219&lt;&gt;"",$DM219&amp;", ","")&amp;IF($DN219&lt;&gt;"",$DN219&amp;", ","")&amp;IF($DO219&lt;&gt;"",$DO219&amp;", ","")&amp;IF($DP219&lt;&gt;"",$DP219&amp;", ","")&amp;IF($DQ219&lt;&gt;"",$DQ219&amp;", ","")&amp;IF($DR219&lt;&gt;"",$DR219&amp;", ","")&amp;IF($DS219&lt;&gt;"",$DS219&amp;", ","")&amp;IF($DT219&lt;&gt;"",$DT219&amp;", ","")&amp;IF($DU219&lt;&gt;"",$DU219&amp;", ","")))-2)))))))</f>
        <v/>
      </c>
      <c r="N219" t="str">
        <f t="shared" si="1592"/>
        <v/>
      </c>
      <c r="O219" t="str">
        <f t="shared" si="1593"/>
        <v/>
      </c>
      <c r="P219" t="str">
        <f t="shared" si="1594"/>
        <v/>
      </c>
      <c r="Q219" t="str">
        <f t="shared" si="1595"/>
        <v/>
      </c>
      <c r="R219" t="str">
        <f>IF($Q219="","",IF(OR($BE219="",$BF219=""),"ONZEKER",IF(AND($BE219=0+1,$BF219=0),IF(OR(COUNTIF(#REF!,$B219)&gt;0,COUNTIF(#REF!,$B219)=0),"SKIP",IF(COUNTIFS(#REF!,$B219,#REF!,$Q219)&gt;0,"OK","ONBEKEND")),IF(AND($BE219=0,$BF219=0+1),IF(OR(COUNTIF(#REF!,$D219)&gt;0,COUNTIF(#REF!,$D219)=0),"SKIP",IF(COUNTIFS(#REF!,$D219,#REF!,$Q219)&gt;0,"OK","ONBEKEND")),"ONZEKER"))))</f>
        <v/>
      </c>
      <c r="S219" t="str">
        <f t="shared" si="1596"/>
        <v/>
      </c>
      <c r="T219" t="str">
        <f t="shared" si="1597"/>
        <v/>
      </c>
      <c r="U219" t="str">
        <f>IF($T219="","",IF(OR($BH219="",$BI219=""),"ONZEKER",IF(OR($BE219="",$BF219=""),"ONZEKER",IF(AND($BH219=$BE219+1,$BI219=$BF219),IF(OR(COUNTIF(#REF!,$B219)&gt;0,COUNTIF(#REF!,$B219)=0),"SKIP",IF(COUNTIFS(#REF!,$B219,#REF!,$T219)&gt;0,"OK","ONBEKEND")),IF(AND($BH219=$BE219,$BI219=$BF219+1),IF(OR(COUNTIF(#REF!,$D219)&gt;0,COUNTIF(#REF!,$D219)=0),"SKIP",IF(COUNTIFS(#REF!,$D219,#REF!,$T219)&gt;0,"OK","ONBEKEND")),"ONZEKER")))))</f>
        <v/>
      </c>
      <c r="V219" t="str">
        <f t="shared" si="1598"/>
        <v/>
      </c>
      <c r="W219" t="str">
        <f t="shared" si="1599"/>
        <v/>
      </c>
      <c r="X219" t="str">
        <f>IF($W219="","",IF(OR($BK219="",$BL219=""),"ONZEKER",IF(OR($BH219="",$BI219=""),"ONZEKER",IF(AND($BK219=$BH219+1,$BL219=$BI219),IF(OR(COUNTIF(#REF!,$B219)&gt;0,COUNTIF(#REF!,$B219)=0),"SKIP",IF(COUNTIFS(#REF!,$B219,#REF!,$W219)&gt;0,"OK","ONBEKEND")),IF(AND($BK219=$BH219,$BL219=$BI219+1),IF(OR(COUNTIF(#REF!,$D219)&gt;0,COUNTIF(#REF!,$D219)=0),"SKIP",IF(COUNTIFS(#REF!,$D219,#REF!,$W219)&gt;0,"OK","ONBEKEND")),"ONZEKER")))))</f>
        <v/>
      </c>
      <c r="Y219" t="str">
        <f t="shared" si="1600"/>
        <v/>
      </c>
      <c r="Z219" t="str">
        <f t="shared" si="1601"/>
        <v/>
      </c>
      <c r="AA219" t="str">
        <f>IF($Z219="","",IF(OR($BN219="",$BO219=""),"ONZEKER",IF(OR($BK219="",$BL219=""),"ONZEKER",IF(AND($BN219=$BK219+1,$BO219=$BL219),IF(OR(COUNTIF(#REF!,$B219)&gt;0,COUNTIF(#REF!,$B219)=0),"SKIP",IF(COUNTIFS(#REF!,$B219,#REF!,$Z219)&gt;0,"OK","ONBEKEND")),IF(AND($BN219=$BK219,$BO219=$BL219+1),IF(OR(COUNTIF(#REF!,$D219)&gt;0,COUNTIF(#REF!,$D219)=0),"SKIP",IF(COUNTIFS(#REF!,$D219,#REF!,$Z219)&gt;0,"OK","ONBEKEND")),"ONZEKER")))))</f>
        <v/>
      </c>
      <c r="AB219" t="str">
        <f t="shared" si="1602"/>
        <v/>
      </c>
      <c r="AC219" t="str">
        <f t="shared" si="1603"/>
        <v/>
      </c>
      <c r="AD219" t="str">
        <f>IF($AC219="","",IF(OR($BQ219="",$BR219=""),"ONZEKER",IF(OR($BN219="",$BO219=""),"ONZEKER",IF(AND($BQ219=$BN219+1,$BR219=$BO219),IF(OR(COUNTIF(#REF!,$B219)&gt;0,COUNTIF(#REF!,$B219)=0),"SKIP",IF(COUNTIFS(#REF!,$B219,#REF!,$AC219)&gt;0,"OK","ONBEKEND")),IF(AND($BQ219=$BN219,$BR219=$BO219+1),IF(OR(COUNTIF(#REF!,$D219)&gt;0,COUNTIF(#REF!,$D219)=0),"SKIP",IF(COUNTIFS(#REF!,$D219,#REF!,$AC219)&gt;0,"OK","ONBEKEND")),"ONZEKER")))))</f>
        <v/>
      </c>
      <c r="AE219" t="str">
        <f t="shared" si="1604"/>
        <v/>
      </c>
      <c r="AF219" t="str">
        <f t="shared" si="1605"/>
        <v/>
      </c>
      <c r="AG219" t="str">
        <f>IF($AF219="","",IF(OR($BT219="",$BU219=""),"ONZEKER",IF(OR($BQ219="",$BR219=""),"ONZEKER",IF(AND($BT219=$BQ219+1,$BU219=$BR219),IF(OR(COUNTIF(#REF!,$B219)&gt;0,COUNTIF(#REF!,$B219)=0),"SKIP",IF(COUNTIFS(#REF!,$B219,#REF!,$AF219)&gt;0,"OK","ONBEKEND")),IF(AND($BT219=$BQ219,$BU219=$BR219+1),IF(OR(COUNTIF(#REF!,$D219)&gt;0,COUNTIF(#REF!,$D219)=0),"SKIP",IF(COUNTIFS(#REF!,$D219,#REF!,$AF219)&gt;0,"OK","ONBEKEND")),"ONZEKER")))))</f>
        <v/>
      </c>
      <c r="AH219" t="str">
        <f t="shared" si="1606"/>
        <v/>
      </c>
      <c r="AI219" t="str">
        <f t="shared" si="1607"/>
        <v/>
      </c>
      <c r="AJ219" t="str">
        <f>IF($AI219="","",IF(OR($BW219="",$BX219=""),"ONZEKER",IF(OR($BT219="",$BU219=""),"ONZEKER",IF(AND($BW219=$BT219+1,$BX219=$BU219),IF(OR(COUNTIF(#REF!,$B219)&gt;0,COUNTIF(#REF!,$B219)=0),"SKIP",IF(COUNTIFS(#REF!,$B219,#REF!,$AI219)&gt;0,"OK","ONBEKEND")),IF(AND($BW219=$BT219,$BX219=$BU219+1),IF(OR(COUNTIF(#REF!,$D219)&gt;0,COUNTIF(#REF!,$D219)=0),"SKIP",IF(COUNTIFS(#REF!,$D219,#REF!,$AI219)&gt;0,"OK","ONBEKEND")),"ONZEKER")))))</f>
        <v/>
      </c>
      <c r="AK219" t="str">
        <f t="shared" si="1608"/>
        <v/>
      </c>
      <c r="AL219" t="str">
        <f t="shared" si="1609"/>
        <v/>
      </c>
      <c r="AM219" t="str">
        <f>IF($AL219="","",IF(OR($BZ219="",$CA219=""),"ONZEKER",IF(OR($BW219="",$BX219=""),"ONZEKER",IF(AND($BZ219=$BW219+1,$CA219=$BX219),IF(OR(COUNTIF(#REF!,$B219)&gt;0,COUNTIF(#REF!,$B219)=0),"SKIP",IF(COUNTIFS(#REF!,$B219,#REF!,$AL219)&gt;0,"OK","ONBEKEND")),IF(AND($BZ219=$BW219,$CA219=$BX219+1),IF(OR(COUNTIF(#REF!,$D219)&gt;0,COUNTIF(#REF!,$D219)=0),"SKIP",IF(COUNTIFS(#REF!,$D219,#REF!,$AL219)&gt;0,"OK","ONBEKEND")),"ONZEKER")))))</f>
        <v/>
      </c>
      <c r="AN219" t="str">
        <f t="shared" si="1610"/>
        <v/>
      </c>
      <c r="AO219" t="str">
        <f t="shared" si="1611"/>
        <v/>
      </c>
      <c r="AP219" t="str">
        <f>IF($AO219="","",IF(OR($CC219="",$CD219=""),"ONZEKER",IF(OR($BZ219="",$CA219=""),"ONZEKER",IF(AND($CC219=$BZ219+1,$CD219=$CA219),IF(OR(COUNTIF(#REF!,$B219)&gt;0,COUNTIF(#REF!,$B219)=0),"SKIP",IF(COUNTIFS(#REF!,$B219,#REF!,$AO219)&gt;0,"OK","ONBEKEND")),IF(AND($CC219=$BZ219,$CD219=$CA219+1),IF(OR(COUNTIF(#REF!,$D219)&gt;0,COUNTIF(#REF!,$D219)=0),"SKIP",IF(COUNTIFS(#REF!,$D219,#REF!,$AO219)&gt;0,"OK","ONBEKEND")),"ONZEKER")))))</f>
        <v/>
      </c>
      <c r="AQ219" t="str">
        <f t="shared" si="1612"/>
        <v/>
      </c>
      <c r="AR219" t="str">
        <f t="shared" si="1613"/>
        <v/>
      </c>
      <c r="AS219" t="str">
        <f>IF($AR219="","",IF(OR($CF219="",$CG219=""),"ONZEKER",IF(OR($CC219="",$CD219=""),"ONZEKER",IF(AND($CF219=$CC219+1,$CG219=$CD219),IF(OR(COUNTIF(#REF!,$B219)&gt;0,COUNTIF(#REF!,$B219)=0),"SKIP",IF(COUNTIFS(#REF!,$B219,#REF!,$AR219)&gt;0,"OK","ONBEKEND")),IF(AND($CF219=$CC219,$CG219=$CD219+1),IF(OR(COUNTIF(#REF!,$D219)&gt;0,COUNTIF(#REF!,$D219)=0),"SKIP",IF(COUNTIFS(#REF!,$D219,#REF!,$AR219)&gt;0,"OK","ONBEKEND")),"ONZEKER")))))</f>
        <v/>
      </c>
      <c r="AT219" t="str">
        <f t="shared" si="1614"/>
        <v/>
      </c>
      <c r="AU219" t="str">
        <f t="shared" si="1615"/>
        <v/>
      </c>
      <c r="AV219" t="str">
        <f t="shared" si="1616"/>
        <v/>
      </c>
      <c r="AW219" t="str">
        <f t="shared" si="1617"/>
        <v/>
      </c>
      <c r="AX219" t="str">
        <f t="shared" si="1618"/>
        <v/>
      </c>
      <c r="AY219" t="str">
        <f t="shared" si="1619"/>
        <v/>
      </c>
      <c r="AZ219" t="str">
        <f t="shared" si="1620"/>
        <v/>
      </c>
      <c r="BA219" t="str">
        <f t="shared" si="1621"/>
        <v/>
      </c>
      <c r="BB219" t="str">
        <f t="shared" si="1622"/>
        <v/>
      </c>
      <c r="BC219" t="str">
        <f t="shared" si="1623"/>
        <v/>
      </c>
      <c r="BD219" t="str">
        <f t="shared" si="1470"/>
        <v/>
      </c>
      <c r="BE219" t="str">
        <f t="shared" si="1471"/>
        <v/>
      </c>
      <c r="BF219" t="str">
        <f t="shared" si="1472"/>
        <v/>
      </c>
      <c r="BG219" t="str">
        <f t="shared" si="1473"/>
        <v/>
      </c>
      <c r="BH219" t="str">
        <f t="shared" si="1474"/>
        <v/>
      </c>
      <c r="BI219" t="str">
        <f t="shared" si="1475"/>
        <v/>
      </c>
      <c r="BJ219" t="str">
        <f t="shared" si="1476"/>
        <v/>
      </c>
      <c r="BK219" t="str">
        <f t="shared" si="1477"/>
        <v/>
      </c>
      <c r="BL219" t="str">
        <f t="shared" si="1478"/>
        <v/>
      </c>
      <c r="BM219" t="str">
        <f t="shared" si="1479"/>
        <v/>
      </c>
      <c r="BN219" t="str">
        <f t="shared" si="1480"/>
        <v/>
      </c>
      <c r="BO219" t="str">
        <f t="shared" si="1481"/>
        <v/>
      </c>
      <c r="BP219" t="str">
        <f t="shared" si="1482"/>
        <v/>
      </c>
      <c r="BQ219" t="str">
        <f t="shared" si="1483"/>
        <v/>
      </c>
      <c r="BR219" t="str">
        <f t="shared" si="1484"/>
        <v/>
      </c>
      <c r="BS219" t="str">
        <f t="shared" si="1485"/>
        <v/>
      </c>
      <c r="BT219" t="str">
        <f t="shared" si="1486"/>
        <v/>
      </c>
      <c r="BU219" t="str">
        <f t="shared" si="1487"/>
        <v/>
      </c>
      <c r="BV219" t="str">
        <f t="shared" si="1488"/>
        <v/>
      </c>
      <c r="BW219" t="str">
        <f t="shared" si="1489"/>
        <v/>
      </c>
      <c r="BX219" t="str">
        <f t="shared" si="1490"/>
        <v/>
      </c>
      <c r="BY219" t="str">
        <f t="shared" si="1491"/>
        <v/>
      </c>
      <c r="BZ219" t="str">
        <f t="shared" si="1492"/>
        <v/>
      </c>
      <c r="CA219" t="str">
        <f t="shared" si="1493"/>
        <v/>
      </c>
      <c r="CB219" t="str">
        <f t="shared" si="1494"/>
        <v/>
      </c>
      <c r="CC219" t="str">
        <f t="shared" si="1495"/>
        <v/>
      </c>
      <c r="CD219" t="str">
        <f t="shared" si="1496"/>
        <v/>
      </c>
      <c r="CE219" t="str">
        <f t="shared" si="1497"/>
        <v/>
      </c>
      <c r="CF219" t="str">
        <f t="shared" si="1498"/>
        <v/>
      </c>
      <c r="CG219" t="str">
        <f t="shared" si="1499"/>
        <v/>
      </c>
      <c r="CH219" t="str">
        <f t="shared" si="1624"/>
        <v/>
      </c>
      <c r="CI219" t="str">
        <f t="shared" si="1625"/>
        <v/>
      </c>
      <c r="CJ219" t="str">
        <f>IF($CI219="","",IF(OR($DW219="",$DX219=""),"ONZEKER",IF(OR($CF219="",$CG219=""),"ONZEKER",IF(AND($DW219=$CF219+1,$DX219=$CG219),IF(OR(COUNTIF(#REF!,$B219)&gt;0,COUNTIF(#REF!,$B219)=0),"SKIP",IF(COUNTIFS(#REF!,$B219,#REF!,$CI219)&gt;0,"OK","ONBEKEND")),IF(AND($DW219=$CF219,$DX219=$CG219+1),IF(OR(COUNTIF(#REF!,$D219)&gt;0,COUNTIF(#REF!,$D219)=0),"SKIP",IF(COUNTIFS(#REF!,$D219,#REF!,$CI219)&gt;0,"OK","ONBEKEND")),"ONZEKER")))))</f>
        <v/>
      </c>
      <c r="CK219" t="str">
        <f t="shared" si="1626"/>
        <v/>
      </c>
      <c r="CL219" t="str">
        <f t="shared" si="1627"/>
        <v/>
      </c>
      <c r="CM219" t="str">
        <f>IF($CL219="","",IF(OR($DZ219="",$EA219=""),"ONZEKER",IF(OR($DW219="",$DX219=""),"ONZEKER",IF(AND($DZ219=$DW219+1,$EA219=$DX219),IF(OR(COUNTIF(#REF!,$B219)&gt;0,COUNTIF(#REF!,$B219)=0),"SKIP",IF(COUNTIFS(#REF!,$B219,#REF!,$CL219)&gt;0,"OK","ONBEKEND")),IF(AND($DZ219=$DW219,$EA219=$DX219+1),IF(OR(COUNTIF(#REF!,$D219)&gt;0,COUNTIF(#REF!,$D219)=0),"SKIP",IF(COUNTIFS(#REF!,$D219,#REF!,$CL219)&gt;0,"OK","ONBEKEND")),"ONZEKER")))))</f>
        <v/>
      </c>
      <c r="CN219" t="str">
        <f t="shared" si="1628"/>
        <v/>
      </c>
      <c r="CO219" t="str">
        <f t="shared" si="1629"/>
        <v/>
      </c>
      <c r="CP219" t="str">
        <f>IF($CO219="","",IF(OR($EC219="",$ED219=""),"ONZEKER",IF(OR($DZ219="",$EA219=""),"ONZEKER",IF(AND($EC219=$DZ219+1,$ED219=$EA219),IF(OR(COUNTIF(#REF!,$B219)&gt;0,COUNTIF(#REF!,$B219)=0),"SKIP",IF(COUNTIFS(#REF!,$B219,#REF!,$CO219)&gt;0,"OK","ONBEKEND")),IF(AND($EC219=$DZ219,$ED219=$EA219+1),IF(OR(COUNTIF(#REF!,$D219)&gt;0,COUNTIF(#REF!,$D219)=0),"SKIP",IF(COUNTIFS(#REF!,$D219,#REF!,$CO219)&gt;0,"OK","ONBEKEND")),"ONZEKER")))))</f>
        <v/>
      </c>
      <c r="CQ219" t="str">
        <f t="shared" si="1630"/>
        <v/>
      </c>
      <c r="CR219" t="str">
        <f t="shared" si="1631"/>
        <v/>
      </c>
      <c r="CS219" t="str">
        <f>IF($CR219="","",IF(OR($EF219="",$EG219=""),"ONZEKER",IF(OR($EC219="",$ED219=""),"ONZEKER",IF(AND($EF219=$EC219+1,$EG219=$ED219),IF(OR(COUNTIF(#REF!,$B219)&gt;0,COUNTIF(#REF!,$B219)=0),"SKIP",IF(COUNTIFS(#REF!,$B219,#REF!,$CR219)&gt;0,"OK","ONBEKEND")),IF(AND($EF219=$EC219,$EG219=$ED219+1),IF(OR(COUNTIF(#REF!,$D219)&gt;0,COUNTIF(#REF!,$D219)=0),"SKIP",IF(COUNTIFS(#REF!,$D219,#REF!,$CR219)&gt;0,"OK","ONBEKEND")),"ONZEKER")))))</f>
        <v/>
      </c>
      <c r="CT219" t="str">
        <f t="shared" si="1632"/>
        <v/>
      </c>
      <c r="CU219" t="str">
        <f t="shared" si="1633"/>
        <v/>
      </c>
      <c r="CV219" t="str">
        <f>IF($CU219="","",IF(OR($EI219="",$EJ219=""),"ONZEKER",IF(OR($EF219="",$EG219=""),"ONZEKER",IF(AND($EI219=$EF219+1,$EJ219=$EG219),IF(OR(COUNTIF(#REF!,$B219)&gt;0,COUNTIF(#REF!,$B219)=0),"SKIP",IF(COUNTIFS(#REF!,$B219,#REF!,$CU219)&gt;0,"OK","ONBEKEND")),IF(AND($EI219=$EF219,$EJ219=$EG219+1),IF(OR(COUNTIF(#REF!,$D219)&gt;0,COUNTIF(#REF!,$D219)=0),"SKIP",IF(COUNTIFS(#REF!,$D219,#REF!,$CU219)&gt;0,"OK","ONBEKEND")),"ONZEKER")))))</f>
        <v/>
      </c>
      <c r="CW219" t="str">
        <f t="shared" si="1634"/>
        <v/>
      </c>
      <c r="CX219" t="str">
        <f t="shared" si="1635"/>
        <v/>
      </c>
      <c r="CY219" t="str">
        <f>IF($CX219="","",IF(OR($EL219="",$EM219=""),"ONZEKER",IF(OR($EI219="",$EJ219=""),"ONZEKER",IF(AND($EL219=$EI219+1,$EM219=$EJ219),IF(OR(COUNTIF(#REF!,$B219)&gt;0,COUNTIF(#REF!,$B219)=0),"SKIP",IF(COUNTIFS(#REF!,$B219,#REF!,$CX219)&gt;0,"OK","ONBEKEND")),IF(AND($EL219=$EI219,$EM219=$EJ219+1),IF(OR(COUNTIF(#REF!,$D219)&gt;0,COUNTIF(#REF!,$D219)=0),"SKIP",IF(COUNTIFS(#REF!,$D219,#REF!,$CX219)&gt;0,"OK","ONBEKEND")),"ONZEKER")))))</f>
        <v/>
      </c>
      <c r="CZ219" t="str">
        <f t="shared" si="1636"/>
        <v/>
      </c>
      <c r="DA219" t="str">
        <f t="shared" si="1637"/>
        <v/>
      </c>
      <c r="DB219" t="str">
        <f>IF($DA219="","",IF(OR($EO219="",$EP219=""),"ONZEKER",IF(OR($EL219="",$EM219=""),"ONZEKER",IF(AND($EO219=$EL219+1,$EP219=$EM219),IF(OR(COUNTIF(#REF!,$B219)&gt;0,COUNTIF(#REF!,$B219)=0),"SKIP",IF(COUNTIFS(#REF!,$B219,#REF!,$DA219)&gt;0,"OK","ONBEKEND")),IF(AND($EO219=$EL219,$EP219=$EM219+1),IF(OR(COUNTIF(#REF!,$D219)&gt;0,COUNTIF(#REF!,$D219)=0),"SKIP",IF(COUNTIFS(#REF!,$D219,#REF!,$DA219)&gt;0,"OK","ONBEKEND")),"ONZEKER")))))</f>
        <v/>
      </c>
      <c r="DC219" t="str">
        <f t="shared" si="1638"/>
        <v/>
      </c>
      <c r="DD219" t="str">
        <f t="shared" si="1639"/>
        <v/>
      </c>
      <c r="DE219" t="str">
        <f>IF($DD219="","",IF(OR($ER219="",$ES219=""),"ONZEKER",IF(OR($EO219="",$EP219=""),"ONZEKER",IF(AND($ER219=$EO219+1,$ES219=$EP219),IF(OR(COUNTIF(#REF!,$B219)&gt;0,COUNTIF(#REF!,$B219)=0),"SKIP",IF(COUNTIFS(#REF!,$B219,#REF!,$DD219)&gt;0,"OK","ONBEKEND")),IF(AND($ER219=$EO219,$ES219=$EP219+1),IF(OR(COUNTIF(#REF!,$D219)&gt;0,COUNTIF(#REF!,$D219)=0),"SKIP",IF(COUNTIFS(#REF!,$D219,#REF!,$DD219)&gt;0,"OK","ONBEKEND")),"ONZEKER")))))</f>
        <v/>
      </c>
      <c r="DF219" t="str">
        <f t="shared" si="1640"/>
        <v/>
      </c>
      <c r="DG219" t="str">
        <f t="shared" si="1641"/>
        <v/>
      </c>
      <c r="DH219" t="str">
        <f>IF($DG219="","",IF(OR($EU219="",$EV219=""),"ONZEKER",IF(OR($ER219="",$ES219=""),"ONZEKER",IF(AND($EU219=$ER219+1,$EV219=$ES219),IF(OR(COUNTIF(#REF!,$B219)&gt;0,COUNTIF(#REF!,$B219)=0),"SKIP",IF(COUNTIFS(#REF!,$B219,#REF!,$DG219)&gt;0,"OK","ONBEKEND")),IF(AND($EU219=$ER219,$EV219=$ES219+1),IF(OR(COUNTIF(#REF!,$D219)&gt;0,COUNTIF(#REF!,$D219)=0),"SKIP",IF(COUNTIFS(#REF!,$D219,#REF!,$DG219)&gt;0,"OK","ONBEKEND")),"ONZEKER")))))</f>
        <v/>
      </c>
      <c r="DI219" t="str">
        <f t="shared" si="1642"/>
        <v/>
      </c>
      <c r="DJ219" t="str">
        <f t="shared" si="1643"/>
        <v/>
      </c>
      <c r="DK219" t="str">
        <f>IF($DJ219="","",IF(OR($EX219="",$EY219=""),"ONZEKER",IF(OR($EU219="",$EV219=""),"ONZEKER",IF(AND($EX219=$EU219+1,$EY219=$EV219),IF(OR(COUNTIF(#REF!,$B219)&gt;0,COUNTIF(#REF!,$B219)=0),"SKIP",IF(COUNTIFS(#REF!,$B219,#REF!,$DJ219)&gt;0,"OK","ONBEKEND")),IF(AND($EX219=$EU219,$EY219=$EV219+1),IF(OR(COUNTIF(#REF!,$D219)&gt;0,COUNTIF(#REF!,$D219)=0),"SKIP",IF(COUNTIFS(#REF!,$D219,#REF!,$DJ219)&gt;0,"OK","ONBEKEND")),"ONZEKER")))))</f>
        <v/>
      </c>
      <c r="DL219" t="str">
        <f t="shared" si="1644"/>
        <v/>
      </c>
      <c r="DM219" t="str">
        <f t="shared" si="1645"/>
        <v/>
      </c>
      <c r="DN219" t="str">
        <f t="shared" si="1646"/>
        <v/>
      </c>
      <c r="DO219" t="str">
        <f t="shared" si="1647"/>
        <v/>
      </c>
      <c r="DP219" t="str">
        <f t="shared" si="1648"/>
        <v/>
      </c>
      <c r="DQ219" t="str">
        <f t="shared" si="1649"/>
        <v/>
      </c>
      <c r="DR219" t="str">
        <f t="shared" si="1650"/>
        <v/>
      </c>
      <c r="DS219" t="str">
        <f t="shared" si="1651"/>
        <v/>
      </c>
      <c r="DT219" t="str">
        <f t="shared" si="1652"/>
        <v/>
      </c>
      <c r="DU219" t="str">
        <f t="shared" si="1653"/>
        <v/>
      </c>
      <c r="DV219" t="str">
        <f t="shared" si="1654"/>
        <v/>
      </c>
      <c r="DW219" t="str">
        <f t="shared" si="1655"/>
        <v/>
      </c>
      <c r="DX219" t="str">
        <f t="shared" si="1656"/>
        <v/>
      </c>
      <c r="DY219" t="str">
        <f t="shared" si="1657"/>
        <v/>
      </c>
      <c r="DZ219" t="str">
        <f t="shared" si="1658"/>
        <v/>
      </c>
      <c r="EA219" t="str">
        <f t="shared" si="1659"/>
        <v/>
      </c>
      <c r="EB219" t="str">
        <f t="shared" si="1660"/>
        <v/>
      </c>
      <c r="EC219" t="str">
        <f t="shared" si="1661"/>
        <v/>
      </c>
      <c r="ED219" t="str">
        <f t="shared" si="1662"/>
        <v/>
      </c>
      <c r="EE219" t="str">
        <f t="shared" si="1663"/>
        <v/>
      </c>
      <c r="EF219" t="str">
        <f t="shared" si="1664"/>
        <v/>
      </c>
      <c r="EG219" t="str">
        <f t="shared" si="1665"/>
        <v/>
      </c>
      <c r="EH219" t="str">
        <f t="shared" si="1666"/>
        <v/>
      </c>
      <c r="EI219" t="str">
        <f t="shared" si="1667"/>
        <v/>
      </c>
      <c r="EJ219" t="str">
        <f t="shared" si="1668"/>
        <v/>
      </c>
      <c r="EK219" t="str">
        <f t="shared" si="1669"/>
        <v/>
      </c>
      <c r="EL219" t="str">
        <f t="shared" si="1670"/>
        <v/>
      </c>
      <c r="EM219" t="str">
        <f t="shared" si="1671"/>
        <v/>
      </c>
      <c r="EN219" t="str">
        <f t="shared" si="1672"/>
        <v/>
      </c>
      <c r="EO219" t="str">
        <f t="shared" si="1673"/>
        <v/>
      </c>
      <c r="EP219" t="str">
        <f t="shared" si="1674"/>
        <v/>
      </c>
      <c r="EQ219" t="str">
        <f t="shared" si="1675"/>
        <v/>
      </c>
      <c r="ER219" t="str">
        <f t="shared" si="1676"/>
        <v/>
      </c>
      <c r="ES219" t="str">
        <f t="shared" si="1677"/>
        <v/>
      </c>
      <c r="ET219" t="str">
        <f t="shared" si="1678"/>
        <v/>
      </c>
      <c r="EU219" t="str">
        <f t="shared" si="1679"/>
        <v/>
      </c>
      <c r="EV219" t="str">
        <f t="shared" si="1680"/>
        <v/>
      </c>
      <c r="EW219" t="str">
        <f t="shared" si="1681"/>
        <v/>
      </c>
      <c r="EX219" t="str">
        <f t="shared" si="1682"/>
        <v/>
      </c>
      <c r="EY219" t="str">
        <f t="shared" si="1683"/>
        <v/>
      </c>
    </row>
    <row r="220" spans="1:155" ht="13.9" customHeight="1" x14ac:dyDescent="0.25">
      <c r="M220" s="3" t="str">
        <f>IF($L220="","",IF($L220="DOELPUNTENMAKERS","",IF(AND(COUNTIF(#REF!,$B220)=0,COUNTIF(#REF!,$D220)=0),"OK",IF($O220&gt;20,"LET OP: meer dan 20 items (controle onvolledig)",IF((COUNTIF($R220:$AS220,"ONZEKER")+COUNTIF($CJ220:$DK220,"ONZEKER"))&gt;0,"LET OP: scoreverloop onduidelijk (controle beperkt)",IF((IF($AT220&lt;&gt;"",$AT220&amp;", ","")&amp;IF($AU220&lt;&gt;"",$AU220&amp;", ","")&amp;IF($AV220&lt;&gt;"",$AV220&amp;", ","")&amp;IF($AW220&lt;&gt;"",$AW220&amp;", ","")&amp;IF($AX220&lt;&gt;"",$AX220&amp;", ","")&amp;IF($AY220&lt;&gt;"",$AY220&amp;", ","")&amp;IF($AZ220&lt;&gt;"",$AZ220&amp;", ","")&amp;IF($BA220&lt;&gt;"",$BA220&amp;", ","")&amp;IF($BB220&lt;&gt;"",$BB220&amp;", ","")&amp;IF($BC220&lt;&gt;"",$BC220&amp;", ","")&amp;IF($DL220&lt;&gt;"",$DL220&amp;", ","")&amp;IF($DM220&lt;&gt;"",$DM220&amp;", ","")&amp;IF($DN220&lt;&gt;"",$DN220&amp;", ","")&amp;IF($DO220&lt;&gt;"",$DO220&amp;", ","")&amp;IF($DP220&lt;&gt;"",$DP220&amp;", ","")&amp;IF($DQ220&lt;&gt;"",$DQ220&amp;", ","")&amp;IF($DR220&lt;&gt;"",$DR220&amp;", ","")&amp;IF($DS220&lt;&gt;"",$DS220&amp;", ","")&amp;IF($DT220&lt;&gt;"",$DT220&amp;", ","")&amp;IF($DU220&lt;&gt;"",$DU220&amp;", ",""))="","OK","Onbekend: "&amp;LEFT((IF($AT220&lt;&gt;"",$AT220&amp;", ","")&amp;IF($AU220&lt;&gt;"",$AU220&amp;", ","")&amp;IF($AV220&lt;&gt;"",$AV220&amp;", ","")&amp;IF($AW220&lt;&gt;"",$AW220&amp;", ","")&amp;IF($AX220&lt;&gt;"",$AX220&amp;", ","")&amp;IF($AY220&lt;&gt;"",$AY220&amp;", ","")&amp;IF($AZ220&lt;&gt;"",$AZ220&amp;", ","")&amp;IF($BA220&lt;&gt;"",$BA220&amp;", ","")&amp;IF($BB220&lt;&gt;"",$BB220&amp;", ","")&amp;IF($BC220&lt;&gt;"",$BC220&amp;", ","")&amp;IF($DL220&lt;&gt;"",$DL220&amp;", ","")&amp;IF($DM220&lt;&gt;"",$DM220&amp;", ","")&amp;IF($DN220&lt;&gt;"",$DN220&amp;", ","")&amp;IF($DO220&lt;&gt;"",$DO220&amp;", ","")&amp;IF($DP220&lt;&gt;"",$DP220&amp;", ","")&amp;IF($DQ220&lt;&gt;"",$DQ220&amp;", ","")&amp;IF($DR220&lt;&gt;"",$DR220&amp;", ","")&amp;IF($DS220&lt;&gt;"",$DS220&amp;", ","")&amp;IF($DT220&lt;&gt;"",$DT220&amp;", ","")&amp;IF($DU220&lt;&gt;"",$DU220&amp;", ","")),LEN((IF($AT220&lt;&gt;"",$AT220&amp;", ","")&amp;IF($AU220&lt;&gt;"",$AU220&amp;", ","")&amp;IF($AV220&lt;&gt;"",$AV220&amp;", ","")&amp;IF($AW220&lt;&gt;"",$AW220&amp;", ","")&amp;IF($AX220&lt;&gt;"",$AX220&amp;", ","")&amp;IF($AY220&lt;&gt;"",$AY220&amp;", ","")&amp;IF($AZ220&lt;&gt;"",$AZ220&amp;", ","")&amp;IF($BA220&lt;&gt;"",$BA220&amp;", ","")&amp;IF($BB220&lt;&gt;"",$BB220&amp;", ","")&amp;IF($BC220&lt;&gt;"",$BC220&amp;", ","")&amp;IF($DL220&lt;&gt;"",$DL220&amp;", ","")&amp;IF($DM220&lt;&gt;"",$DM220&amp;", ","")&amp;IF($DN220&lt;&gt;"",$DN220&amp;", ","")&amp;IF($DO220&lt;&gt;"",$DO220&amp;", ","")&amp;IF($DP220&lt;&gt;"",$DP220&amp;", ","")&amp;IF($DQ220&lt;&gt;"",$DQ220&amp;", ","")&amp;IF($DR220&lt;&gt;"",$DR220&amp;", ","")&amp;IF($DS220&lt;&gt;"",$DS220&amp;", ","")&amp;IF($DT220&lt;&gt;"",$DT220&amp;", ","")&amp;IF($DU220&lt;&gt;"",$DU220&amp;", ","")))-2)))))))</f>
        <v/>
      </c>
      <c r="N220" t="str">
        <f t="shared" si="1592"/>
        <v/>
      </c>
      <c r="O220" t="str">
        <f t="shared" si="1593"/>
        <v/>
      </c>
      <c r="P220" t="str">
        <f t="shared" si="1594"/>
        <v/>
      </c>
      <c r="Q220" t="str">
        <f t="shared" si="1595"/>
        <v/>
      </c>
      <c r="R220" t="str">
        <f>IF($Q220="","",IF(OR($BE220="",$BF220=""),"ONZEKER",IF(AND($BE220=0+1,$BF220=0),IF(OR(COUNTIF(#REF!,$B220)&gt;0,COUNTIF(#REF!,$B220)=0),"SKIP",IF(COUNTIFS(#REF!,$B220,#REF!,$Q220)&gt;0,"OK","ONBEKEND")),IF(AND($BE220=0,$BF220=0+1),IF(OR(COUNTIF(#REF!,$D220)&gt;0,COUNTIF(#REF!,$D220)=0),"SKIP",IF(COUNTIFS(#REF!,$D220,#REF!,$Q220)&gt;0,"OK","ONBEKEND")),"ONZEKER"))))</f>
        <v/>
      </c>
      <c r="S220" t="str">
        <f t="shared" si="1596"/>
        <v/>
      </c>
      <c r="T220" t="str">
        <f t="shared" si="1597"/>
        <v/>
      </c>
      <c r="U220" t="str">
        <f>IF($T220="","",IF(OR($BH220="",$BI220=""),"ONZEKER",IF(OR($BE220="",$BF220=""),"ONZEKER",IF(AND($BH220=$BE220+1,$BI220=$BF220),IF(OR(COUNTIF(#REF!,$B220)&gt;0,COUNTIF(#REF!,$B220)=0),"SKIP",IF(COUNTIFS(#REF!,$B220,#REF!,$T220)&gt;0,"OK","ONBEKEND")),IF(AND($BH220=$BE220,$BI220=$BF220+1),IF(OR(COUNTIF(#REF!,$D220)&gt;0,COUNTIF(#REF!,$D220)=0),"SKIP",IF(COUNTIFS(#REF!,$D220,#REF!,$T220)&gt;0,"OK","ONBEKEND")),"ONZEKER")))))</f>
        <v/>
      </c>
      <c r="V220" t="str">
        <f t="shared" si="1598"/>
        <v/>
      </c>
      <c r="W220" t="str">
        <f t="shared" si="1599"/>
        <v/>
      </c>
      <c r="X220" t="str">
        <f>IF($W220="","",IF(OR($BK220="",$BL220=""),"ONZEKER",IF(OR($BH220="",$BI220=""),"ONZEKER",IF(AND($BK220=$BH220+1,$BL220=$BI220),IF(OR(COUNTIF(#REF!,$B220)&gt;0,COUNTIF(#REF!,$B220)=0),"SKIP",IF(COUNTIFS(#REF!,$B220,#REF!,$W220)&gt;0,"OK","ONBEKEND")),IF(AND($BK220=$BH220,$BL220=$BI220+1),IF(OR(COUNTIF(#REF!,$D220)&gt;0,COUNTIF(#REF!,$D220)=0),"SKIP",IF(COUNTIFS(#REF!,$D220,#REF!,$W220)&gt;0,"OK","ONBEKEND")),"ONZEKER")))))</f>
        <v/>
      </c>
      <c r="Y220" t="str">
        <f t="shared" si="1600"/>
        <v/>
      </c>
      <c r="Z220" t="str">
        <f t="shared" si="1601"/>
        <v/>
      </c>
      <c r="AA220" t="str">
        <f>IF($Z220="","",IF(OR($BN220="",$BO220=""),"ONZEKER",IF(OR($BK220="",$BL220=""),"ONZEKER",IF(AND($BN220=$BK220+1,$BO220=$BL220),IF(OR(COUNTIF(#REF!,$B220)&gt;0,COUNTIF(#REF!,$B220)=0),"SKIP",IF(COUNTIFS(#REF!,$B220,#REF!,$Z220)&gt;0,"OK","ONBEKEND")),IF(AND($BN220=$BK220,$BO220=$BL220+1),IF(OR(COUNTIF(#REF!,$D220)&gt;0,COUNTIF(#REF!,$D220)=0),"SKIP",IF(COUNTIFS(#REF!,$D220,#REF!,$Z220)&gt;0,"OK","ONBEKEND")),"ONZEKER")))))</f>
        <v/>
      </c>
      <c r="AB220" t="str">
        <f t="shared" si="1602"/>
        <v/>
      </c>
      <c r="AC220" t="str">
        <f t="shared" si="1603"/>
        <v/>
      </c>
      <c r="AD220" t="str">
        <f>IF($AC220="","",IF(OR($BQ220="",$BR220=""),"ONZEKER",IF(OR($BN220="",$BO220=""),"ONZEKER",IF(AND($BQ220=$BN220+1,$BR220=$BO220),IF(OR(COUNTIF(#REF!,$B220)&gt;0,COUNTIF(#REF!,$B220)=0),"SKIP",IF(COUNTIFS(#REF!,$B220,#REF!,$AC220)&gt;0,"OK","ONBEKEND")),IF(AND($BQ220=$BN220,$BR220=$BO220+1),IF(OR(COUNTIF(#REF!,$D220)&gt;0,COUNTIF(#REF!,$D220)=0),"SKIP",IF(COUNTIFS(#REF!,$D220,#REF!,$AC220)&gt;0,"OK","ONBEKEND")),"ONZEKER")))))</f>
        <v/>
      </c>
      <c r="AE220" t="str">
        <f t="shared" si="1604"/>
        <v/>
      </c>
      <c r="AF220" t="str">
        <f t="shared" si="1605"/>
        <v/>
      </c>
      <c r="AG220" t="str">
        <f>IF($AF220="","",IF(OR($BT220="",$BU220=""),"ONZEKER",IF(OR($BQ220="",$BR220=""),"ONZEKER",IF(AND($BT220=$BQ220+1,$BU220=$BR220),IF(OR(COUNTIF(#REF!,$B220)&gt;0,COUNTIF(#REF!,$B220)=0),"SKIP",IF(COUNTIFS(#REF!,$B220,#REF!,$AF220)&gt;0,"OK","ONBEKEND")),IF(AND($BT220=$BQ220,$BU220=$BR220+1),IF(OR(COUNTIF(#REF!,$D220)&gt;0,COUNTIF(#REF!,$D220)=0),"SKIP",IF(COUNTIFS(#REF!,$D220,#REF!,$AF220)&gt;0,"OK","ONBEKEND")),"ONZEKER")))))</f>
        <v/>
      </c>
      <c r="AH220" t="str">
        <f t="shared" si="1606"/>
        <v/>
      </c>
      <c r="AI220" t="str">
        <f t="shared" si="1607"/>
        <v/>
      </c>
      <c r="AJ220" t="str">
        <f>IF($AI220="","",IF(OR($BW220="",$BX220=""),"ONZEKER",IF(OR($BT220="",$BU220=""),"ONZEKER",IF(AND($BW220=$BT220+1,$BX220=$BU220),IF(OR(COUNTIF(#REF!,$B220)&gt;0,COUNTIF(#REF!,$B220)=0),"SKIP",IF(COUNTIFS(#REF!,$B220,#REF!,$AI220)&gt;0,"OK","ONBEKEND")),IF(AND($BW220=$BT220,$BX220=$BU220+1),IF(OR(COUNTIF(#REF!,$D220)&gt;0,COUNTIF(#REF!,$D220)=0),"SKIP",IF(COUNTIFS(#REF!,$D220,#REF!,$AI220)&gt;0,"OK","ONBEKEND")),"ONZEKER")))))</f>
        <v/>
      </c>
      <c r="AK220" t="str">
        <f t="shared" si="1608"/>
        <v/>
      </c>
      <c r="AL220" t="str">
        <f t="shared" si="1609"/>
        <v/>
      </c>
      <c r="AM220" t="str">
        <f>IF($AL220="","",IF(OR($BZ220="",$CA220=""),"ONZEKER",IF(OR($BW220="",$BX220=""),"ONZEKER",IF(AND($BZ220=$BW220+1,$CA220=$BX220),IF(OR(COUNTIF(#REF!,$B220)&gt;0,COUNTIF(#REF!,$B220)=0),"SKIP",IF(COUNTIFS(#REF!,$B220,#REF!,$AL220)&gt;0,"OK","ONBEKEND")),IF(AND($BZ220=$BW220,$CA220=$BX220+1),IF(OR(COUNTIF(#REF!,$D220)&gt;0,COUNTIF(#REF!,$D220)=0),"SKIP",IF(COUNTIFS(#REF!,$D220,#REF!,$AL220)&gt;0,"OK","ONBEKEND")),"ONZEKER")))))</f>
        <v/>
      </c>
      <c r="AN220" t="str">
        <f t="shared" si="1610"/>
        <v/>
      </c>
      <c r="AO220" t="str">
        <f t="shared" si="1611"/>
        <v/>
      </c>
      <c r="AP220" t="str">
        <f>IF($AO220="","",IF(OR($CC220="",$CD220=""),"ONZEKER",IF(OR($BZ220="",$CA220=""),"ONZEKER",IF(AND($CC220=$BZ220+1,$CD220=$CA220),IF(OR(COUNTIF(#REF!,$B220)&gt;0,COUNTIF(#REF!,$B220)=0),"SKIP",IF(COUNTIFS(#REF!,$B220,#REF!,$AO220)&gt;0,"OK","ONBEKEND")),IF(AND($CC220=$BZ220,$CD220=$CA220+1),IF(OR(COUNTIF(#REF!,$D220)&gt;0,COUNTIF(#REF!,$D220)=0),"SKIP",IF(COUNTIFS(#REF!,$D220,#REF!,$AO220)&gt;0,"OK","ONBEKEND")),"ONZEKER")))))</f>
        <v/>
      </c>
      <c r="AQ220" t="str">
        <f t="shared" si="1612"/>
        <v/>
      </c>
      <c r="AR220" t="str">
        <f t="shared" si="1613"/>
        <v/>
      </c>
      <c r="AS220" t="str">
        <f>IF($AR220="","",IF(OR($CF220="",$CG220=""),"ONZEKER",IF(OR($CC220="",$CD220=""),"ONZEKER",IF(AND($CF220=$CC220+1,$CG220=$CD220),IF(OR(COUNTIF(#REF!,$B220)&gt;0,COUNTIF(#REF!,$B220)=0),"SKIP",IF(COUNTIFS(#REF!,$B220,#REF!,$AR220)&gt;0,"OK","ONBEKEND")),IF(AND($CF220=$CC220,$CG220=$CD220+1),IF(OR(COUNTIF(#REF!,$D220)&gt;0,COUNTIF(#REF!,$D220)=0),"SKIP",IF(COUNTIFS(#REF!,$D220,#REF!,$AR220)&gt;0,"OK","ONBEKEND")),"ONZEKER")))))</f>
        <v/>
      </c>
      <c r="AT220" t="str">
        <f t="shared" si="1614"/>
        <v/>
      </c>
      <c r="AU220" t="str">
        <f t="shared" si="1615"/>
        <v/>
      </c>
      <c r="AV220" t="str">
        <f t="shared" si="1616"/>
        <v/>
      </c>
      <c r="AW220" t="str">
        <f t="shared" si="1617"/>
        <v/>
      </c>
      <c r="AX220" t="str">
        <f t="shared" si="1618"/>
        <v/>
      </c>
      <c r="AY220" t="str">
        <f t="shared" si="1619"/>
        <v/>
      </c>
      <c r="AZ220" t="str">
        <f t="shared" si="1620"/>
        <v/>
      </c>
      <c r="BA220" t="str">
        <f t="shared" si="1621"/>
        <v/>
      </c>
      <c r="BB220" t="str">
        <f t="shared" si="1622"/>
        <v/>
      </c>
      <c r="BC220" t="str">
        <f t="shared" si="1623"/>
        <v/>
      </c>
      <c r="BD220" t="str">
        <f t="shared" si="1470"/>
        <v/>
      </c>
      <c r="BE220" t="str">
        <f t="shared" si="1471"/>
        <v/>
      </c>
      <c r="BF220" t="str">
        <f t="shared" si="1472"/>
        <v/>
      </c>
      <c r="BG220" t="str">
        <f t="shared" si="1473"/>
        <v/>
      </c>
      <c r="BH220" t="str">
        <f t="shared" si="1474"/>
        <v/>
      </c>
      <c r="BI220" t="str">
        <f t="shared" si="1475"/>
        <v/>
      </c>
      <c r="BJ220" t="str">
        <f t="shared" si="1476"/>
        <v/>
      </c>
      <c r="BK220" t="str">
        <f t="shared" si="1477"/>
        <v/>
      </c>
      <c r="BL220" t="str">
        <f t="shared" si="1478"/>
        <v/>
      </c>
      <c r="BM220" t="str">
        <f t="shared" si="1479"/>
        <v/>
      </c>
      <c r="BN220" t="str">
        <f t="shared" si="1480"/>
        <v/>
      </c>
      <c r="BO220" t="str">
        <f t="shared" si="1481"/>
        <v/>
      </c>
      <c r="BP220" t="str">
        <f t="shared" si="1482"/>
        <v/>
      </c>
      <c r="BQ220" t="str">
        <f t="shared" si="1483"/>
        <v/>
      </c>
      <c r="BR220" t="str">
        <f t="shared" si="1484"/>
        <v/>
      </c>
      <c r="BS220" t="str">
        <f t="shared" si="1485"/>
        <v/>
      </c>
      <c r="BT220" t="str">
        <f t="shared" si="1486"/>
        <v/>
      </c>
      <c r="BU220" t="str">
        <f t="shared" si="1487"/>
        <v/>
      </c>
      <c r="BV220" t="str">
        <f t="shared" si="1488"/>
        <v/>
      </c>
      <c r="BW220" t="str">
        <f t="shared" si="1489"/>
        <v/>
      </c>
      <c r="BX220" t="str">
        <f t="shared" si="1490"/>
        <v/>
      </c>
      <c r="BY220" t="str">
        <f t="shared" si="1491"/>
        <v/>
      </c>
      <c r="BZ220" t="str">
        <f t="shared" si="1492"/>
        <v/>
      </c>
      <c r="CA220" t="str">
        <f t="shared" si="1493"/>
        <v/>
      </c>
      <c r="CB220" t="str">
        <f t="shared" si="1494"/>
        <v/>
      </c>
      <c r="CC220" t="str">
        <f t="shared" si="1495"/>
        <v/>
      </c>
      <c r="CD220" t="str">
        <f t="shared" si="1496"/>
        <v/>
      </c>
      <c r="CE220" t="str">
        <f t="shared" si="1497"/>
        <v/>
      </c>
      <c r="CF220" t="str">
        <f t="shared" si="1498"/>
        <v/>
      </c>
      <c r="CG220" t="str">
        <f t="shared" si="1499"/>
        <v/>
      </c>
      <c r="CH220" t="str">
        <f t="shared" si="1624"/>
        <v/>
      </c>
      <c r="CI220" t="str">
        <f t="shared" si="1625"/>
        <v/>
      </c>
      <c r="CJ220" t="str">
        <f>IF($CI220="","",IF(OR($DW220="",$DX220=""),"ONZEKER",IF(OR($CF220="",$CG220=""),"ONZEKER",IF(AND($DW220=$CF220+1,$DX220=$CG220),IF(OR(COUNTIF(#REF!,$B220)&gt;0,COUNTIF(#REF!,$B220)=0),"SKIP",IF(COUNTIFS(#REF!,$B220,#REF!,$CI220)&gt;0,"OK","ONBEKEND")),IF(AND($DW220=$CF220,$DX220=$CG220+1),IF(OR(COUNTIF(#REF!,$D220)&gt;0,COUNTIF(#REF!,$D220)=0),"SKIP",IF(COUNTIFS(#REF!,$D220,#REF!,$CI220)&gt;0,"OK","ONBEKEND")),"ONZEKER")))))</f>
        <v/>
      </c>
      <c r="CK220" t="str">
        <f t="shared" si="1626"/>
        <v/>
      </c>
      <c r="CL220" t="str">
        <f t="shared" si="1627"/>
        <v/>
      </c>
      <c r="CM220" t="str">
        <f>IF($CL220="","",IF(OR($DZ220="",$EA220=""),"ONZEKER",IF(OR($DW220="",$DX220=""),"ONZEKER",IF(AND($DZ220=$DW220+1,$EA220=$DX220),IF(OR(COUNTIF(#REF!,$B220)&gt;0,COUNTIF(#REF!,$B220)=0),"SKIP",IF(COUNTIFS(#REF!,$B220,#REF!,$CL220)&gt;0,"OK","ONBEKEND")),IF(AND($DZ220=$DW220,$EA220=$DX220+1),IF(OR(COUNTIF(#REF!,$D220)&gt;0,COUNTIF(#REF!,$D220)=0),"SKIP",IF(COUNTIFS(#REF!,$D220,#REF!,$CL220)&gt;0,"OK","ONBEKEND")),"ONZEKER")))))</f>
        <v/>
      </c>
      <c r="CN220" t="str">
        <f t="shared" si="1628"/>
        <v/>
      </c>
      <c r="CO220" t="str">
        <f t="shared" si="1629"/>
        <v/>
      </c>
      <c r="CP220" t="str">
        <f>IF($CO220="","",IF(OR($EC220="",$ED220=""),"ONZEKER",IF(OR($DZ220="",$EA220=""),"ONZEKER",IF(AND($EC220=$DZ220+1,$ED220=$EA220),IF(OR(COUNTIF(#REF!,$B220)&gt;0,COUNTIF(#REF!,$B220)=0),"SKIP",IF(COUNTIFS(#REF!,$B220,#REF!,$CO220)&gt;0,"OK","ONBEKEND")),IF(AND($EC220=$DZ220,$ED220=$EA220+1),IF(OR(COUNTIF(#REF!,$D220)&gt;0,COUNTIF(#REF!,$D220)=0),"SKIP",IF(COUNTIFS(#REF!,$D220,#REF!,$CO220)&gt;0,"OK","ONBEKEND")),"ONZEKER")))))</f>
        <v/>
      </c>
      <c r="CQ220" t="str">
        <f t="shared" si="1630"/>
        <v/>
      </c>
      <c r="CR220" t="str">
        <f t="shared" si="1631"/>
        <v/>
      </c>
      <c r="CS220" t="str">
        <f>IF($CR220="","",IF(OR($EF220="",$EG220=""),"ONZEKER",IF(OR($EC220="",$ED220=""),"ONZEKER",IF(AND($EF220=$EC220+1,$EG220=$ED220),IF(OR(COUNTIF(#REF!,$B220)&gt;0,COUNTIF(#REF!,$B220)=0),"SKIP",IF(COUNTIFS(#REF!,$B220,#REF!,$CR220)&gt;0,"OK","ONBEKEND")),IF(AND($EF220=$EC220,$EG220=$ED220+1),IF(OR(COUNTIF(#REF!,$D220)&gt;0,COUNTIF(#REF!,$D220)=0),"SKIP",IF(COUNTIFS(#REF!,$D220,#REF!,$CR220)&gt;0,"OK","ONBEKEND")),"ONZEKER")))))</f>
        <v/>
      </c>
      <c r="CT220" t="str">
        <f t="shared" si="1632"/>
        <v/>
      </c>
      <c r="CU220" t="str">
        <f t="shared" si="1633"/>
        <v/>
      </c>
      <c r="CV220" t="str">
        <f>IF($CU220="","",IF(OR($EI220="",$EJ220=""),"ONZEKER",IF(OR($EF220="",$EG220=""),"ONZEKER",IF(AND($EI220=$EF220+1,$EJ220=$EG220),IF(OR(COUNTIF(#REF!,$B220)&gt;0,COUNTIF(#REF!,$B220)=0),"SKIP",IF(COUNTIFS(#REF!,$B220,#REF!,$CU220)&gt;0,"OK","ONBEKEND")),IF(AND($EI220=$EF220,$EJ220=$EG220+1),IF(OR(COUNTIF(#REF!,$D220)&gt;0,COUNTIF(#REF!,$D220)=0),"SKIP",IF(COUNTIFS(#REF!,$D220,#REF!,$CU220)&gt;0,"OK","ONBEKEND")),"ONZEKER")))))</f>
        <v/>
      </c>
      <c r="CW220" t="str">
        <f t="shared" si="1634"/>
        <v/>
      </c>
      <c r="CX220" t="str">
        <f t="shared" si="1635"/>
        <v/>
      </c>
      <c r="CY220" t="str">
        <f>IF($CX220="","",IF(OR($EL220="",$EM220=""),"ONZEKER",IF(OR($EI220="",$EJ220=""),"ONZEKER",IF(AND($EL220=$EI220+1,$EM220=$EJ220),IF(OR(COUNTIF(#REF!,$B220)&gt;0,COUNTIF(#REF!,$B220)=0),"SKIP",IF(COUNTIFS(#REF!,$B220,#REF!,$CX220)&gt;0,"OK","ONBEKEND")),IF(AND($EL220=$EI220,$EM220=$EJ220+1),IF(OR(COUNTIF(#REF!,$D220)&gt;0,COUNTIF(#REF!,$D220)=0),"SKIP",IF(COUNTIFS(#REF!,$D220,#REF!,$CX220)&gt;0,"OK","ONBEKEND")),"ONZEKER")))))</f>
        <v/>
      </c>
      <c r="CZ220" t="str">
        <f t="shared" si="1636"/>
        <v/>
      </c>
      <c r="DA220" t="str">
        <f t="shared" si="1637"/>
        <v/>
      </c>
      <c r="DB220" t="str">
        <f>IF($DA220="","",IF(OR($EO220="",$EP220=""),"ONZEKER",IF(OR($EL220="",$EM220=""),"ONZEKER",IF(AND($EO220=$EL220+1,$EP220=$EM220),IF(OR(COUNTIF(#REF!,$B220)&gt;0,COUNTIF(#REF!,$B220)=0),"SKIP",IF(COUNTIFS(#REF!,$B220,#REF!,$DA220)&gt;0,"OK","ONBEKEND")),IF(AND($EO220=$EL220,$EP220=$EM220+1),IF(OR(COUNTIF(#REF!,$D220)&gt;0,COUNTIF(#REF!,$D220)=0),"SKIP",IF(COUNTIFS(#REF!,$D220,#REF!,$DA220)&gt;0,"OK","ONBEKEND")),"ONZEKER")))))</f>
        <v/>
      </c>
      <c r="DC220" t="str">
        <f t="shared" si="1638"/>
        <v/>
      </c>
      <c r="DD220" t="str">
        <f t="shared" si="1639"/>
        <v/>
      </c>
      <c r="DE220" t="str">
        <f>IF($DD220="","",IF(OR($ER220="",$ES220=""),"ONZEKER",IF(OR($EO220="",$EP220=""),"ONZEKER",IF(AND($ER220=$EO220+1,$ES220=$EP220),IF(OR(COUNTIF(#REF!,$B220)&gt;0,COUNTIF(#REF!,$B220)=0),"SKIP",IF(COUNTIFS(#REF!,$B220,#REF!,$DD220)&gt;0,"OK","ONBEKEND")),IF(AND($ER220=$EO220,$ES220=$EP220+1),IF(OR(COUNTIF(#REF!,$D220)&gt;0,COUNTIF(#REF!,$D220)=0),"SKIP",IF(COUNTIFS(#REF!,$D220,#REF!,$DD220)&gt;0,"OK","ONBEKEND")),"ONZEKER")))))</f>
        <v/>
      </c>
      <c r="DF220" t="str">
        <f t="shared" si="1640"/>
        <v/>
      </c>
      <c r="DG220" t="str">
        <f t="shared" si="1641"/>
        <v/>
      </c>
      <c r="DH220" t="str">
        <f>IF($DG220="","",IF(OR($EU220="",$EV220=""),"ONZEKER",IF(OR($ER220="",$ES220=""),"ONZEKER",IF(AND($EU220=$ER220+1,$EV220=$ES220),IF(OR(COUNTIF(#REF!,$B220)&gt;0,COUNTIF(#REF!,$B220)=0),"SKIP",IF(COUNTIFS(#REF!,$B220,#REF!,$DG220)&gt;0,"OK","ONBEKEND")),IF(AND($EU220=$ER220,$EV220=$ES220+1),IF(OR(COUNTIF(#REF!,$D220)&gt;0,COUNTIF(#REF!,$D220)=0),"SKIP",IF(COUNTIFS(#REF!,$D220,#REF!,$DG220)&gt;0,"OK","ONBEKEND")),"ONZEKER")))))</f>
        <v/>
      </c>
      <c r="DI220" t="str">
        <f t="shared" si="1642"/>
        <v/>
      </c>
      <c r="DJ220" t="str">
        <f t="shared" si="1643"/>
        <v/>
      </c>
      <c r="DK220" t="str">
        <f>IF($DJ220="","",IF(OR($EX220="",$EY220=""),"ONZEKER",IF(OR($EU220="",$EV220=""),"ONZEKER",IF(AND($EX220=$EU220+1,$EY220=$EV220),IF(OR(COUNTIF(#REF!,$B220)&gt;0,COUNTIF(#REF!,$B220)=0),"SKIP",IF(COUNTIFS(#REF!,$B220,#REF!,$DJ220)&gt;0,"OK","ONBEKEND")),IF(AND($EX220=$EU220,$EY220=$EV220+1),IF(OR(COUNTIF(#REF!,$D220)&gt;0,COUNTIF(#REF!,$D220)=0),"SKIP",IF(COUNTIFS(#REF!,$D220,#REF!,$DJ220)&gt;0,"OK","ONBEKEND")),"ONZEKER")))))</f>
        <v/>
      </c>
      <c r="DL220" t="str">
        <f t="shared" si="1644"/>
        <v/>
      </c>
      <c r="DM220" t="str">
        <f t="shared" si="1645"/>
        <v/>
      </c>
      <c r="DN220" t="str">
        <f t="shared" si="1646"/>
        <v/>
      </c>
      <c r="DO220" t="str">
        <f t="shared" si="1647"/>
        <v/>
      </c>
      <c r="DP220" t="str">
        <f t="shared" si="1648"/>
        <v/>
      </c>
      <c r="DQ220" t="str">
        <f t="shared" si="1649"/>
        <v/>
      </c>
      <c r="DR220" t="str">
        <f t="shared" si="1650"/>
        <v/>
      </c>
      <c r="DS220" t="str">
        <f t="shared" si="1651"/>
        <v/>
      </c>
      <c r="DT220" t="str">
        <f t="shared" si="1652"/>
        <v/>
      </c>
      <c r="DU220" t="str">
        <f t="shared" si="1653"/>
        <v/>
      </c>
      <c r="DV220" t="str">
        <f t="shared" si="1654"/>
        <v/>
      </c>
      <c r="DW220" t="str">
        <f t="shared" si="1655"/>
        <v/>
      </c>
      <c r="DX220" t="str">
        <f t="shared" si="1656"/>
        <v/>
      </c>
      <c r="DY220" t="str">
        <f t="shared" si="1657"/>
        <v/>
      </c>
      <c r="DZ220" t="str">
        <f t="shared" si="1658"/>
        <v/>
      </c>
      <c r="EA220" t="str">
        <f t="shared" si="1659"/>
        <v/>
      </c>
      <c r="EB220" t="str">
        <f t="shared" si="1660"/>
        <v/>
      </c>
      <c r="EC220" t="str">
        <f t="shared" si="1661"/>
        <v/>
      </c>
      <c r="ED220" t="str">
        <f t="shared" si="1662"/>
        <v/>
      </c>
      <c r="EE220" t="str">
        <f t="shared" si="1663"/>
        <v/>
      </c>
      <c r="EF220" t="str">
        <f t="shared" si="1664"/>
        <v/>
      </c>
      <c r="EG220" t="str">
        <f t="shared" si="1665"/>
        <v/>
      </c>
      <c r="EH220" t="str">
        <f t="shared" si="1666"/>
        <v/>
      </c>
      <c r="EI220" t="str">
        <f t="shared" si="1667"/>
        <v/>
      </c>
      <c r="EJ220" t="str">
        <f t="shared" si="1668"/>
        <v/>
      </c>
      <c r="EK220" t="str">
        <f t="shared" si="1669"/>
        <v/>
      </c>
      <c r="EL220" t="str">
        <f t="shared" si="1670"/>
        <v/>
      </c>
      <c r="EM220" t="str">
        <f t="shared" si="1671"/>
        <v/>
      </c>
      <c r="EN220" t="str">
        <f t="shared" si="1672"/>
        <v/>
      </c>
      <c r="EO220" t="str">
        <f t="shared" si="1673"/>
        <v/>
      </c>
      <c r="EP220" t="str">
        <f t="shared" si="1674"/>
        <v/>
      </c>
      <c r="EQ220" t="str">
        <f t="shared" si="1675"/>
        <v/>
      </c>
      <c r="ER220" t="str">
        <f t="shared" si="1676"/>
        <v/>
      </c>
      <c r="ES220" t="str">
        <f t="shared" si="1677"/>
        <v/>
      </c>
      <c r="ET220" t="str">
        <f t="shared" si="1678"/>
        <v/>
      </c>
      <c r="EU220" t="str">
        <f t="shared" si="1679"/>
        <v/>
      </c>
      <c r="EV220" t="str">
        <f t="shared" si="1680"/>
        <v/>
      </c>
      <c r="EW220" t="str">
        <f t="shared" si="1681"/>
        <v/>
      </c>
      <c r="EX220" t="str">
        <f t="shared" si="1682"/>
        <v/>
      </c>
      <c r="EY220" t="str">
        <f t="shared" si="1683"/>
        <v/>
      </c>
    </row>
    <row r="221" spans="1:155" ht="13.9" customHeight="1" x14ac:dyDescent="0.25">
      <c r="M221" s="3" t="str">
        <f>IF($L221="","",IF($L221="DOELPUNTENMAKERS","",IF(AND(COUNTIF(#REF!,$B221)=0,COUNTIF(#REF!,$D221)=0),"OK",IF($O221&gt;20,"LET OP: meer dan 20 items (controle onvolledig)",IF((COUNTIF($R221:$AS221,"ONZEKER")+COUNTIF($CJ221:$DK221,"ONZEKER"))&gt;0,"LET OP: scoreverloop onduidelijk (controle beperkt)",IF((IF($AT221&lt;&gt;"",$AT221&amp;", ","")&amp;IF($AU221&lt;&gt;"",$AU221&amp;", ","")&amp;IF($AV221&lt;&gt;"",$AV221&amp;", ","")&amp;IF($AW221&lt;&gt;"",$AW221&amp;", ","")&amp;IF($AX221&lt;&gt;"",$AX221&amp;", ","")&amp;IF($AY221&lt;&gt;"",$AY221&amp;", ","")&amp;IF($AZ221&lt;&gt;"",$AZ221&amp;", ","")&amp;IF($BA221&lt;&gt;"",$BA221&amp;", ","")&amp;IF($BB221&lt;&gt;"",$BB221&amp;", ","")&amp;IF($BC221&lt;&gt;"",$BC221&amp;", ","")&amp;IF($DL221&lt;&gt;"",$DL221&amp;", ","")&amp;IF($DM221&lt;&gt;"",$DM221&amp;", ","")&amp;IF($DN221&lt;&gt;"",$DN221&amp;", ","")&amp;IF($DO221&lt;&gt;"",$DO221&amp;", ","")&amp;IF($DP221&lt;&gt;"",$DP221&amp;", ","")&amp;IF($DQ221&lt;&gt;"",$DQ221&amp;", ","")&amp;IF($DR221&lt;&gt;"",$DR221&amp;", ","")&amp;IF($DS221&lt;&gt;"",$DS221&amp;", ","")&amp;IF($DT221&lt;&gt;"",$DT221&amp;", ","")&amp;IF($DU221&lt;&gt;"",$DU221&amp;", ",""))="","OK","Onbekend: "&amp;LEFT((IF($AT221&lt;&gt;"",$AT221&amp;", ","")&amp;IF($AU221&lt;&gt;"",$AU221&amp;", ","")&amp;IF($AV221&lt;&gt;"",$AV221&amp;", ","")&amp;IF($AW221&lt;&gt;"",$AW221&amp;", ","")&amp;IF($AX221&lt;&gt;"",$AX221&amp;", ","")&amp;IF($AY221&lt;&gt;"",$AY221&amp;", ","")&amp;IF($AZ221&lt;&gt;"",$AZ221&amp;", ","")&amp;IF($BA221&lt;&gt;"",$BA221&amp;", ","")&amp;IF($BB221&lt;&gt;"",$BB221&amp;", ","")&amp;IF($BC221&lt;&gt;"",$BC221&amp;", ","")&amp;IF($DL221&lt;&gt;"",$DL221&amp;", ","")&amp;IF($DM221&lt;&gt;"",$DM221&amp;", ","")&amp;IF($DN221&lt;&gt;"",$DN221&amp;", ","")&amp;IF($DO221&lt;&gt;"",$DO221&amp;", ","")&amp;IF($DP221&lt;&gt;"",$DP221&amp;", ","")&amp;IF($DQ221&lt;&gt;"",$DQ221&amp;", ","")&amp;IF($DR221&lt;&gt;"",$DR221&amp;", ","")&amp;IF($DS221&lt;&gt;"",$DS221&amp;", ","")&amp;IF($DT221&lt;&gt;"",$DT221&amp;", ","")&amp;IF($DU221&lt;&gt;"",$DU221&amp;", ","")),LEN((IF($AT221&lt;&gt;"",$AT221&amp;", ","")&amp;IF($AU221&lt;&gt;"",$AU221&amp;", ","")&amp;IF($AV221&lt;&gt;"",$AV221&amp;", ","")&amp;IF($AW221&lt;&gt;"",$AW221&amp;", ","")&amp;IF($AX221&lt;&gt;"",$AX221&amp;", ","")&amp;IF($AY221&lt;&gt;"",$AY221&amp;", ","")&amp;IF($AZ221&lt;&gt;"",$AZ221&amp;", ","")&amp;IF($BA221&lt;&gt;"",$BA221&amp;", ","")&amp;IF($BB221&lt;&gt;"",$BB221&amp;", ","")&amp;IF($BC221&lt;&gt;"",$BC221&amp;", ","")&amp;IF($DL221&lt;&gt;"",$DL221&amp;", ","")&amp;IF($DM221&lt;&gt;"",$DM221&amp;", ","")&amp;IF($DN221&lt;&gt;"",$DN221&amp;", ","")&amp;IF($DO221&lt;&gt;"",$DO221&amp;", ","")&amp;IF($DP221&lt;&gt;"",$DP221&amp;", ","")&amp;IF($DQ221&lt;&gt;"",$DQ221&amp;", ","")&amp;IF($DR221&lt;&gt;"",$DR221&amp;", ","")&amp;IF($DS221&lt;&gt;"",$DS221&amp;", ","")&amp;IF($DT221&lt;&gt;"",$DT221&amp;", ","")&amp;IF($DU221&lt;&gt;"",$DU221&amp;", ","")))-2)))))))</f>
        <v/>
      </c>
      <c r="N221" t="str">
        <f t="shared" si="1592"/>
        <v/>
      </c>
      <c r="O221" t="str">
        <f t="shared" si="1593"/>
        <v/>
      </c>
      <c r="P221" t="str">
        <f t="shared" si="1594"/>
        <v/>
      </c>
      <c r="Q221" t="str">
        <f t="shared" si="1595"/>
        <v/>
      </c>
      <c r="R221" t="str">
        <f>IF($Q221="","",IF(OR($BE221="",$BF221=""),"ONZEKER",IF(AND($BE221=0+1,$BF221=0),IF(OR(COUNTIF(#REF!,$B221)&gt;0,COUNTIF(#REF!,$B221)=0),"SKIP",IF(COUNTIFS(#REF!,$B221,#REF!,$Q221)&gt;0,"OK","ONBEKEND")),IF(AND($BE221=0,$BF221=0+1),IF(OR(COUNTIF(#REF!,$D221)&gt;0,COUNTIF(#REF!,$D221)=0),"SKIP",IF(COUNTIFS(#REF!,$D221,#REF!,$Q221)&gt;0,"OK","ONBEKEND")),"ONZEKER"))))</f>
        <v/>
      </c>
      <c r="S221" t="str">
        <f t="shared" si="1596"/>
        <v/>
      </c>
      <c r="T221" t="str">
        <f t="shared" si="1597"/>
        <v/>
      </c>
      <c r="U221" t="str">
        <f>IF($T221="","",IF(OR($BH221="",$BI221=""),"ONZEKER",IF(OR($BE221="",$BF221=""),"ONZEKER",IF(AND($BH221=$BE221+1,$BI221=$BF221),IF(OR(COUNTIF(#REF!,$B221)&gt;0,COUNTIF(#REF!,$B221)=0),"SKIP",IF(COUNTIFS(#REF!,$B221,#REF!,$T221)&gt;0,"OK","ONBEKEND")),IF(AND($BH221=$BE221,$BI221=$BF221+1),IF(OR(COUNTIF(#REF!,$D221)&gt;0,COUNTIF(#REF!,$D221)=0),"SKIP",IF(COUNTIFS(#REF!,$D221,#REF!,$T221)&gt;0,"OK","ONBEKEND")),"ONZEKER")))))</f>
        <v/>
      </c>
      <c r="V221" t="str">
        <f t="shared" si="1598"/>
        <v/>
      </c>
      <c r="W221" t="str">
        <f t="shared" si="1599"/>
        <v/>
      </c>
      <c r="X221" t="str">
        <f>IF($W221="","",IF(OR($BK221="",$BL221=""),"ONZEKER",IF(OR($BH221="",$BI221=""),"ONZEKER",IF(AND($BK221=$BH221+1,$BL221=$BI221),IF(OR(COUNTIF(#REF!,$B221)&gt;0,COUNTIF(#REF!,$B221)=0),"SKIP",IF(COUNTIFS(#REF!,$B221,#REF!,$W221)&gt;0,"OK","ONBEKEND")),IF(AND($BK221=$BH221,$BL221=$BI221+1),IF(OR(COUNTIF(#REF!,$D221)&gt;0,COUNTIF(#REF!,$D221)=0),"SKIP",IF(COUNTIFS(#REF!,$D221,#REF!,$W221)&gt;0,"OK","ONBEKEND")),"ONZEKER")))))</f>
        <v/>
      </c>
      <c r="Y221" t="str">
        <f t="shared" si="1600"/>
        <v/>
      </c>
      <c r="Z221" t="str">
        <f t="shared" si="1601"/>
        <v/>
      </c>
      <c r="AA221" t="str">
        <f>IF($Z221="","",IF(OR($BN221="",$BO221=""),"ONZEKER",IF(OR($BK221="",$BL221=""),"ONZEKER",IF(AND($BN221=$BK221+1,$BO221=$BL221),IF(OR(COUNTIF(#REF!,$B221)&gt;0,COUNTIF(#REF!,$B221)=0),"SKIP",IF(COUNTIFS(#REF!,$B221,#REF!,$Z221)&gt;0,"OK","ONBEKEND")),IF(AND($BN221=$BK221,$BO221=$BL221+1),IF(OR(COUNTIF(#REF!,$D221)&gt;0,COUNTIF(#REF!,$D221)=0),"SKIP",IF(COUNTIFS(#REF!,$D221,#REF!,$Z221)&gt;0,"OK","ONBEKEND")),"ONZEKER")))))</f>
        <v/>
      </c>
      <c r="AB221" t="str">
        <f t="shared" si="1602"/>
        <v/>
      </c>
      <c r="AC221" t="str">
        <f t="shared" si="1603"/>
        <v/>
      </c>
      <c r="AD221" t="str">
        <f>IF($AC221="","",IF(OR($BQ221="",$BR221=""),"ONZEKER",IF(OR($BN221="",$BO221=""),"ONZEKER",IF(AND($BQ221=$BN221+1,$BR221=$BO221),IF(OR(COUNTIF(#REF!,$B221)&gt;0,COUNTIF(#REF!,$B221)=0),"SKIP",IF(COUNTIFS(#REF!,$B221,#REF!,$AC221)&gt;0,"OK","ONBEKEND")),IF(AND($BQ221=$BN221,$BR221=$BO221+1),IF(OR(COUNTIF(#REF!,$D221)&gt;0,COUNTIF(#REF!,$D221)=0),"SKIP",IF(COUNTIFS(#REF!,$D221,#REF!,$AC221)&gt;0,"OK","ONBEKEND")),"ONZEKER")))))</f>
        <v/>
      </c>
      <c r="AE221" t="str">
        <f t="shared" si="1604"/>
        <v/>
      </c>
      <c r="AF221" t="str">
        <f t="shared" si="1605"/>
        <v/>
      </c>
      <c r="AG221" t="str">
        <f>IF($AF221="","",IF(OR($BT221="",$BU221=""),"ONZEKER",IF(OR($BQ221="",$BR221=""),"ONZEKER",IF(AND($BT221=$BQ221+1,$BU221=$BR221),IF(OR(COUNTIF(#REF!,$B221)&gt;0,COUNTIF(#REF!,$B221)=0),"SKIP",IF(COUNTIFS(#REF!,$B221,#REF!,$AF221)&gt;0,"OK","ONBEKEND")),IF(AND($BT221=$BQ221,$BU221=$BR221+1),IF(OR(COUNTIF(#REF!,$D221)&gt;0,COUNTIF(#REF!,$D221)=0),"SKIP",IF(COUNTIFS(#REF!,$D221,#REF!,$AF221)&gt;0,"OK","ONBEKEND")),"ONZEKER")))))</f>
        <v/>
      </c>
      <c r="AH221" t="str">
        <f t="shared" si="1606"/>
        <v/>
      </c>
      <c r="AI221" t="str">
        <f t="shared" si="1607"/>
        <v/>
      </c>
      <c r="AJ221" t="str">
        <f>IF($AI221="","",IF(OR($BW221="",$BX221=""),"ONZEKER",IF(OR($BT221="",$BU221=""),"ONZEKER",IF(AND($BW221=$BT221+1,$BX221=$BU221),IF(OR(COUNTIF(#REF!,$B221)&gt;0,COUNTIF(#REF!,$B221)=0),"SKIP",IF(COUNTIFS(#REF!,$B221,#REF!,$AI221)&gt;0,"OK","ONBEKEND")),IF(AND($BW221=$BT221,$BX221=$BU221+1),IF(OR(COUNTIF(#REF!,$D221)&gt;0,COUNTIF(#REF!,$D221)=0),"SKIP",IF(COUNTIFS(#REF!,$D221,#REF!,$AI221)&gt;0,"OK","ONBEKEND")),"ONZEKER")))))</f>
        <v/>
      </c>
      <c r="AK221" t="str">
        <f t="shared" si="1608"/>
        <v/>
      </c>
      <c r="AL221" t="str">
        <f t="shared" si="1609"/>
        <v/>
      </c>
      <c r="AM221" t="str">
        <f>IF($AL221="","",IF(OR($BZ221="",$CA221=""),"ONZEKER",IF(OR($BW221="",$BX221=""),"ONZEKER",IF(AND($BZ221=$BW221+1,$CA221=$BX221),IF(OR(COUNTIF(#REF!,$B221)&gt;0,COUNTIF(#REF!,$B221)=0),"SKIP",IF(COUNTIFS(#REF!,$B221,#REF!,$AL221)&gt;0,"OK","ONBEKEND")),IF(AND($BZ221=$BW221,$CA221=$BX221+1),IF(OR(COUNTIF(#REF!,$D221)&gt;0,COUNTIF(#REF!,$D221)=0),"SKIP",IF(COUNTIFS(#REF!,$D221,#REF!,$AL221)&gt;0,"OK","ONBEKEND")),"ONZEKER")))))</f>
        <v/>
      </c>
      <c r="AN221" t="str">
        <f t="shared" si="1610"/>
        <v/>
      </c>
      <c r="AO221" t="str">
        <f t="shared" si="1611"/>
        <v/>
      </c>
      <c r="AP221" t="str">
        <f>IF($AO221="","",IF(OR($CC221="",$CD221=""),"ONZEKER",IF(OR($BZ221="",$CA221=""),"ONZEKER",IF(AND($CC221=$BZ221+1,$CD221=$CA221),IF(OR(COUNTIF(#REF!,$B221)&gt;0,COUNTIF(#REF!,$B221)=0),"SKIP",IF(COUNTIFS(#REF!,$B221,#REF!,$AO221)&gt;0,"OK","ONBEKEND")),IF(AND($CC221=$BZ221,$CD221=$CA221+1),IF(OR(COUNTIF(#REF!,$D221)&gt;0,COUNTIF(#REF!,$D221)=0),"SKIP",IF(COUNTIFS(#REF!,$D221,#REF!,$AO221)&gt;0,"OK","ONBEKEND")),"ONZEKER")))))</f>
        <v/>
      </c>
      <c r="AQ221" t="str">
        <f t="shared" si="1612"/>
        <v/>
      </c>
      <c r="AR221" t="str">
        <f t="shared" si="1613"/>
        <v/>
      </c>
      <c r="AS221" t="str">
        <f>IF($AR221="","",IF(OR($CF221="",$CG221=""),"ONZEKER",IF(OR($CC221="",$CD221=""),"ONZEKER",IF(AND($CF221=$CC221+1,$CG221=$CD221),IF(OR(COUNTIF(#REF!,$B221)&gt;0,COUNTIF(#REF!,$B221)=0),"SKIP",IF(COUNTIFS(#REF!,$B221,#REF!,$AR221)&gt;0,"OK","ONBEKEND")),IF(AND($CF221=$CC221,$CG221=$CD221+1),IF(OR(COUNTIF(#REF!,$D221)&gt;0,COUNTIF(#REF!,$D221)=0),"SKIP",IF(COUNTIFS(#REF!,$D221,#REF!,$AR221)&gt;0,"OK","ONBEKEND")),"ONZEKER")))))</f>
        <v/>
      </c>
      <c r="AT221" t="str">
        <f t="shared" si="1614"/>
        <v/>
      </c>
      <c r="AU221" t="str">
        <f t="shared" si="1615"/>
        <v/>
      </c>
      <c r="AV221" t="str">
        <f t="shared" si="1616"/>
        <v/>
      </c>
      <c r="AW221" t="str">
        <f t="shared" si="1617"/>
        <v/>
      </c>
      <c r="AX221" t="str">
        <f t="shared" si="1618"/>
        <v/>
      </c>
      <c r="AY221" t="str">
        <f t="shared" si="1619"/>
        <v/>
      </c>
      <c r="AZ221" t="str">
        <f t="shared" si="1620"/>
        <v/>
      </c>
      <c r="BA221" t="str">
        <f t="shared" si="1621"/>
        <v/>
      </c>
      <c r="BB221" t="str">
        <f t="shared" si="1622"/>
        <v/>
      </c>
      <c r="BC221" t="str">
        <f t="shared" si="1623"/>
        <v/>
      </c>
      <c r="BD221" t="str">
        <f t="shared" si="1470"/>
        <v/>
      </c>
      <c r="BE221" t="str">
        <f t="shared" si="1471"/>
        <v/>
      </c>
      <c r="BF221" t="str">
        <f t="shared" si="1472"/>
        <v/>
      </c>
      <c r="BG221" t="str">
        <f t="shared" si="1473"/>
        <v/>
      </c>
      <c r="BH221" t="str">
        <f t="shared" si="1474"/>
        <v/>
      </c>
      <c r="BI221" t="str">
        <f t="shared" si="1475"/>
        <v/>
      </c>
      <c r="BJ221" t="str">
        <f t="shared" si="1476"/>
        <v/>
      </c>
      <c r="BK221" t="str">
        <f t="shared" si="1477"/>
        <v/>
      </c>
      <c r="BL221" t="str">
        <f t="shared" si="1478"/>
        <v/>
      </c>
      <c r="BM221" t="str">
        <f t="shared" si="1479"/>
        <v/>
      </c>
      <c r="BN221" t="str">
        <f t="shared" si="1480"/>
        <v/>
      </c>
      <c r="BO221" t="str">
        <f t="shared" si="1481"/>
        <v/>
      </c>
      <c r="BP221" t="str">
        <f t="shared" si="1482"/>
        <v/>
      </c>
      <c r="BQ221" t="str">
        <f t="shared" si="1483"/>
        <v/>
      </c>
      <c r="BR221" t="str">
        <f t="shared" si="1484"/>
        <v/>
      </c>
      <c r="BS221" t="str">
        <f t="shared" si="1485"/>
        <v/>
      </c>
      <c r="BT221" t="str">
        <f t="shared" si="1486"/>
        <v/>
      </c>
      <c r="BU221" t="str">
        <f t="shared" si="1487"/>
        <v/>
      </c>
      <c r="BV221" t="str">
        <f t="shared" si="1488"/>
        <v/>
      </c>
      <c r="BW221" t="str">
        <f t="shared" si="1489"/>
        <v/>
      </c>
      <c r="BX221" t="str">
        <f t="shared" si="1490"/>
        <v/>
      </c>
      <c r="BY221" t="str">
        <f t="shared" si="1491"/>
        <v/>
      </c>
      <c r="BZ221" t="str">
        <f t="shared" si="1492"/>
        <v/>
      </c>
      <c r="CA221" t="str">
        <f t="shared" si="1493"/>
        <v/>
      </c>
      <c r="CB221" t="str">
        <f t="shared" si="1494"/>
        <v/>
      </c>
      <c r="CC221" t="str">
        <f t="shared" si="1495"/>
        <v/>
      </c>
      <c r="CD221" t="str">
        <f t="shared" si="1496"/>
        <v/>
      </c>
      <c r="CE221" t="str">
        <f t="shared" si="1497"/>
        <v/>
      </c>
      <c r="CF221" t="str">
        <f t="shared" si="1498"/>
        <v/>
      </c>
      <c r="CG221" t="str">
        <f t="shared" si="1499"/>
        <v/>
      </c>
      <c r="CH221" t="str">
        <f t="shared" si="1624"/>
        <v/>
      </c>
      <c r="CI221" t="str">
        <f t="shared" si="1625"/>
        <v/>
      </c>
      <c r="CJ221" t="str">
        <f>IF($CI221="","",IF(OR($DW221="",$DX221=""),"ONZEKER",IF(OR($CF221="",$CG221=""),"ONZEKER",IF(AND($DW221=$CF221+1,$DX221=$CG221),IF(OR(COUNTIF(#REF!,$B221)&gt;0,COUNTIF(#REF!,$B221)=0),"SKIP",IF(COUNTIFS(#REF!,$B221,#REF!,$CI221)&gt;0,"OK","ONBEKEND")),IF(AND($DW221=$CF221,$DX221=$CG221+1),IF(OR(COUNTIF(#REF!,$D221)&gt;0,COUNTIF(#REF!,$D221)=0),"SKIP",IF(COUNTIFS(#REF!,$D221,#REF!,$CI221)&gt;0,"OK","ONBEKEND")),"ONZEKER")))))</f>
        <v/>
      </c>
      <c r="CK221" t="str">
        <f t="shared" si="1626"/>
        <v/>
      </c>
      <c r="CL221" t="str">
        <f t="shared" si="1627"/>
        <v/>
      </c>
      <c r="CM221" t="str">
        <f>IF($CL221="","",IF(OR($DZ221="",$EA221=""),"ONZEKER",IF(OR($DW221="",$DX221=""),"ONZEKER",IF(AND($DZ221=$DW221+1,$EA221=$DX221),IF(OR(COUNTIF(#REF!,$B221)&gt;0,COUNTIF(#REF!,$B221)=0),"SKIP",IF(COUNTIFS(#REF!,$B221,#REF!,$CL221)&gt;0,"OK","ONBEKEND")),IF(AND($DZ221=$DW221,$EA221=$DX221+1),IF(OR(COUNTIF(#REF!,$D221)&gt;0,COUNTIF(#REF!,$D221)=0),"SKIP",IF(COUNTIFS(#REF!,$D221,#REF!,$CL221)&gt;0,"OK","ONBEKEND")),"ONZEKER")))))</f>
        <v/>
      </c>
      <c r="CN221" t="str">
        <f t="shared" si="1628"/>
        <v/>
      </c>
      <c r="CO221" t="str">
        <f t="shared" si="1629"/>
        <v/>
      </c>
      <c r="CP221" t="str">
        <f>IF($CO221="","",IF(OR($EC221="",$ED221=""),"ONZEKER",IF(OR($DZ221="",$EA221=""),"ONZEKER",IF(AND($EC221=$DZ221+1,$ED221=$EA221),IF(OR(COUNTIF(#REF!,$B221)&gt;0,COUNTIF(#REF!,$B221)=0),"SKIP",IF(COUNTIFS(#REF!,$B221,#REF!,$CO221)&gt;0,"OK","ONBEKEND")),IF(AND($EC221=$DZ221,$ED221=$EA221+1),IF(OR(COUNTIF(#REF!,$D221)&gt;0,COUNTIF(#REF!,$D221)=0),"SKIP",IF(COUNTIFS(#REF!,$D221,#REF!,$CO221)&gt;0,"OK","ONBEKEND")),"ONZEKER")))))</f>
        <v/>
      </c>
      <c r="CQ221" t="str">
        <f t="shared" si="1630"/>
        <v/>
      </c>
      <c r="CR221" t="str">
        <f t="shared" si="1631"/>
        <v/>
      </c>
      <c r="CS221" t="str">
        <f>IF($CR221="","",IF(OR($EF221="",$EG221=""),"ONZEKER",IF(OR($EC221="",$ED221=""),"ONZEKER",IF(AND($EF221=$EC221+1,$EG221=$ED221),IF(OR(COUNTIF(#REF!,$B221)&gt;0,COUNTIF(#REF!,$B221)=0),"SKIP",IF(COUNTIFS(#REF!,$B221,#REF!,$CR221)&gt;0,"OK","ONBEKEND")),IF(AND($EF221=$EC221,$EG221=$ED221+1),IF(OR(COUNTIF(#REF!,$D221)&gt;0,COUNTIF(#REF!,$D221)=0),"SKIP",IF(COUNTIFS(#REF!,$D221,#REF!,$CR221)&gt;0,"OK","ONBEKEND")),"ONZEKER")))))</f>
        <v/>
      </c>
      <c r="CT221" t="str">
        <f t="shared" si="1632"/>
        <v/>
      </c>
      <c r="CU221" t="str">
        <f t="shared" si="1633"/>
        <v/>
      </c>
      <c r="CV221" t="str">
        <f>IF($CU221="","",IF(OR($EI221="",$EJ221=""),"ONZEKER",IF(OR($EF221="",$EG221=""),"ONZEKER",IF(AND($EI221=$EF221+1,$EJ221=$EG221),IF(OR(COUNTIF(#REF!,$B221)&gt;0,COUNTIF(#REF!,$B221)=0),"SKIP",IF(COUNTIFS(#REF!,$B221,#REF!,$CU221)&gt;0,"OK","ONBEKEND")),IF(AND($EI221=$EF221,$EJ221=$EG221+1),IF(OR(COUNTIF(#REF!,$D221)&gt;0,COUNTIF(#REF!,$D221)=0),"SKIP",IF(COUNTIFS(#REF!,$D221,#REF!,$CU221)&gt;0,"OK","ONBEKEND")),"ONZEKER")))))</f>
        <v/>
      </c>
      <c r="CW221" t="str">
        <f t="shared" si="1634"/>
        <v/>
      </c>
      <c r="CX221" t="str">
        <f t="shared" si="1635"/>
        <v/>
      </c>
      <c r="CY221" t="str">
        <f>IF($CX221="","",IF(OR($EL221="",$EM221=""),"ONZEKER",IF(OR($EI221="",$EJ221=""),"ONZEKER",IF(AND($EL221=$EI221+1,$EM221=$EJ221),IF(OR(COUNTIF(#REF!,$B221)&gt;0,COUNTIF(#REF!,$B221)=0),"SKIP",IF(COUNTIFS(#REF!,$B221,#REF!,$CX221)&gt;0,"OK","ONBEKEND")),IF(AND($EL221=$EI221,$EM221=$EJ221+1),IF(OR(COUNTIF(#REF!,$D221)&gt;0,COUNTIF(#REF!,$D221)=0),"SKIP",IF(COUNTIFS(#REF!,$D221,#REF!,$CX221)&gt;0,"OK","ONBEKEND")),"ONZEKER")))))</f>
        <v/>
      </c>
      <c r="CZ221" t="str">
        <f t="shared" si="1636"/>
        <v/>
      </c>
      <c r="DA221" t="str">
        <f t="shared" si="1637"/>
        <v/>
      </c>
      <c r="DB221" t="str">
        <f>IF($DA221="","",IF(OR($EO221="",$EP221=""),"ONZEKER",IF(OR($EL221="",$EM221=""),"ONZEKER",IF(AND($EO221=$EL221+1,$EP221=$EM221),IF(OR(COUNTIF(#REF!,$B221)&gt;0,COUNTIF(#REF!,$B221)=0),"SKIP",IF(COUNTIFS(#REF!,$B221,#REF!,$DA221)&gt;0,"OK","ONBEKEND")),IF(AND($EO221=$EL221,$EP221=$EM221+1),IF(OR(COUNTIF(#REF!,$D221)&gt;0,COUNTIF(#REF!,$D221)=0),"SKIP",IF(COUNTIFS(#REF!,$D221,#REF!,$DA221)&gt;0,"OK","ONBEKEND")),"ONZEKER")))))</f>
        <v/>
      </c>
      <c r="DC221" t="str">
        <f t="shared" si="1638"/>
        <v/>
      </c>
      <c r="DD221" t="str">
        <f t="shared" si="1639"/>
        <v/>
      </c>
      <c r="DE221" t="str">
        <f>IF($DD221="","",IF(OR($ER221="",$ES221=""),"ONZEKER",IF(OR($EO221="",$EP221=""),"ONZEKER",IF(AND($ER221=$EO221+1,$ES221=$EP221),IF(OR(COUNTIF(#REF!,$B221)&gt;0,COUNTIF(#REF!,$B221)=0),"SKIP",IF(COUNTIFS(#REF!,$B221,#REF!,$DD221)&gt;0,"OK","ONBEKEND")),IF(AND($ER221=$EO221,$ES221=$EP221+1),IF(OR(COUNTIF(#REF!,$D221)&gt;0,COUNTIF(#REF!,$D221)=0),"SKIP",IF(COUNTIFS(#REF!,$D221,#REF!,$DD221)&gt;0,"OK","ONBEKEND")),"ONZEKER")))))</f>
        <v/>
      </c>
      <c r="DF221" t="str">
        <f t="shared" si="1640"/>
        <v/>
      </c>
      <c r="DG221" t="str">
        <f t="shared" si="1641"/>
        <v/>
      </c>
      <c r="DH221" t="str">
        <f>IF($DG221="","",IF(OR($EU221="",$EV221=""),"ONZEKER",IF(OR($ER221="",$ES221=""),"ONZEKER",IF(AND($EU221=$ER221+1,$EV221=$ES221),IF(OR(COUNTIF(#REF!,$B221)&gt;0,COUNTIF(#REF!,$B221)=0),"SKIP",IF(COUNTIFS(#REF!,$B221,#REF!,$DG221)&gt;0,"OK","ONBEKEND")),IF(AND($EU221=$ER221,$EV221=$ES221+1),IF(OR(COUNTIF(#REF!,$D221)&gt;0,COUNTIF(#REF!,$D221)=0),"SKIP",IF(COUNTIFS(#REF!,$D221,#REF!,$DG221)&gt;0,"OK","ONBEKEND")),"ONZEKER")))))</f>
        <v/>
      </c>
      <c r="DI221" t="str">
        <f t="shared" si="1642"/>
        <v/>
      </c>
      <c r="DJ221" t="str">
        <f t="shared" si="1643"/>
        <v/>
      </c>
      <c r="DK221" t="str">
        <f>IF($DJ221="","",IF(OR($EX221="",$EY221=""),"ONZEKER",IF(OR($EU221="",$EV221=""),"ONZEKER",IF(AND($EX221=$EU221+1,$EY221=$EV221),IF(OR(COUNTIF(#REF!,$B221)&gt;0,COUNTIF(#REF!,$B221)=0),"SKIP",IF(COUNTIFS(#REF!,$B221,#REF!,$DJ221)&gt;0,"OK","ONBEKEND")),IF(AND($EX221=$EU221,$EY221=$EV221+1),IF(OR(COUNTIF(#REF!,$D221)&gt;0,COUNTIF(#REF!,$D221)=0),"SKIP",IF(COUNTIFS(#REF!,$D221,#REF!,$DJ221)&gt;0,"OK","ONBEKEND")),"ONZEKER")))))</f>
        <v/>
      </c>
      <c r="DL221" t="str">
        <f t="shared" si="1644"/>
        <v/>
      </c>
      <c r="DM221" t="str">
        <f t="shared" si="1645"/>
        <v/>
      </c>
      <c r="DN221" t="str">
        <f t="shared" si="1646"/>
        <v/>
      </c>
      <c r="DO221" t="str">
        <f t="shared" si="1647"/>
        <v/>
      </c>
      <c r="DP221" t="str">
        <f t="shared" si="1648"/>
        <v/>
      </c>
      <c r="DQ221" t="str">
        <f t="shared" si="1649"/>
        <v/>
      </c>
      <c r="DR221" t="str">
        <f t="shared" si="1650"/>
        <v/>
      </c>
      <c r="DS221" t="str">
        <f t="shared" si="1651"/>
        <v/>
      </c>
      <c r="DT221" t="str">
        <f t="shared" si="1652"/>
        <v/>
      </c>
      <c r="DU221" t="str">
        <f t="shared" si="1653"/>
        <v/>
      </c>
      <c r="DV221" t="str">
        <f t="shared" si="1654"/>
        <v/>
      </c>
      <c r="DW221" t="str">
        <f t="shared" si="1655"/>
        <v/>
      </c>
      <c r="DX221" t="str">
        <f t="shared" si="1656"/>
        <v/>
      </c>
      <c r="DY221" t="str">
        <f t="shared" si="1657"/>
        <v/>
      </c>
      <c r="DZ221" t="str">
        <f t="shared" si="1658"/>
        <v/>
      </c>
      <c r="EA221" t="str">
        <f t="shared" si="1659"/>
        <v/>
      </c>
      <c r="EB221" t="str">
        <f t="shared" si="1660"/>
        <v/>
      </c>
      <c r="EC221" t="str">
        <f t="shared" si="1661"/>
        <v/>
      </c>
      <c r="ED221" t="str">
        <f t="shared" si="1662"/>
        <v/>
      </c>
      <c r="EE221" t="str">
        <f t="shared" si="1663"/>
        <v/>
      </c>
      <c r="EF221" t="str">
        <f t="shared" si="1664"/>
        <v/>
      </c>
      <c r="EG221" t="str">
        <f t="shared" si="1665"/>
        <v/>
      </c>
      <c r="EH221" t="str">
        <f t="shared" si="1666"/>
        <v/>
      </c>
      <c r="EI221" t="str">
        <f t="shared" si="1667"/>
        <v/>
      </c>
      <c r="EJ221" t="str">
        <f t="shared" si="1668"/>
        <v/>
      </c>
      <c r="EK221" t="str">
        <f t="shared" si="1669"/>
        <v/>
      </c>
      <c r="EL221" t="str">
        <f t="shared" si="1670"/>
        <v/>
      </c>
      <c r="EM221" t="str">
        <f t="shared" si="1671"/>
        <v/>
      </c>
      <c r="EN221" t="str">
        <f t="shared" si="1672"/>
        <v/>
      </c>
      <c r="EO221" t="str">
        <f t="shared" si="1673"/>
        <v/>
      </c>
      <c r="EP221" t="str">
        <f t="shared" si="1674"/>
        <v/>
      </c>
      <c r="EQ221" t="str">
        <f t="shared" si="1675"/>
        <v/>
      </c>
      <c r="ER221" t="str">
        <f t="shared" si="1676"/>
        <v/>
      </c>
      <c r="ES221" t="str">
        <f t="shared" si="1677"/>
        <v/>
      </c>
      <c r="ET221" t="str">
        <f t="shared" si="1678"/>
        <v/>
      </c>
      <c r="EU221" t="str">
        <f t="shared" si="1679"/>
        <v/>
      </c>
      <c r="EV221" t="str">
        <f t="shared" si="1680"/>
        <v/>
      </c>
      <c r="EW221" t="str">
        <f t="shared" si="1681"/>
        <v/>
      </c>
      <c r="EX221" t="str">
        <f t="shared" si="1682"/>
        <v/>
      </c>
      <c r="EY221" t="str">
        <f t="shared" si="1683"/>
        <v/>
      </c>
    </row>
    <row r="222" spans="1:155" ht="13.9" customHeight="1" x14ac:dyDescent="0.25">
      <c r="A222" s="14"/>
      <c r="B222" s="15" t="s">
        <v>160</v>
      </c>
      <c r="C222" s="16"/>
      <c r="D222" s="16"/>
      <c r="E222" s="16"/>
      <c r="F222" s="31" t="s">
        <v>1</v>
      </c>
      <c r="G222" s="33"/>
      <c r="H222" s="33"/>
      <c r="I222" s="32" t="s">
        <v>2</v>
      </c>
      <c r="J222" s="33"/>
      <c r="K222" s="33"/>
      <c r="L222" s="6" t="s">
        <v>3</v>
      </c>
      <c r="M222" s="2" t="s">
        <v>4</v>
      </c>
      <c r="N222" s="2" t="s">
        <v>5</v>
      </c>
      <c r="O222" s="2" t="s">
        <v>6</v>
      </c>
      <c r="P222" s="2" t="s">
        <v>7</v>
      </c>
      <c r="Q222" s="2" t="s">
        <v>8</v>
      </c>
      <c r="R222" s="2" t="str">
        <f>IF($Q222="","",IF(OR($BE222="",$BF222=""),"ONZEKER",IF(AND($BE222=0+1,$BF222=0),IF(OR(COUNTIF(#REF!,$B222)&gt;0,COUNTIF(#REF!,$B222)=0),"SKIP",IF(COUNTIFS(#REF!,$B222,#REF!,$Q222)&gt;0,"OK","ONBEKEND")),IF(AND($BE222=0,$BF222=0+1),IF(OR(COUNTIF(#REF!,$D222)&gt;0,COUNTIF(#REF!,$D222)=0),"SKIP",IF(COUNTIFS(#REF!,$D222,#REF!,$Q222)&gt;0,"OK","ONBEKEND")),"ONZEKER"))))</f>
        <v>ONZEKER</v>
      </c>
      <c r="S222" s="2" t="s">
        <v>10</v>
      </c>
      <c r="T222" s="2" t="s">
        <v>11</v>
      </c>
      <c r="U222" s="2" t="str">
        <f>IF($T222="","",IF(OR($BH222="",$BI222=""),"ONZEKER",IF(OR($BE222="",$BF222=""),"ONZEKER",IF(AND($BH222=$BE222+1,$BI222=$BF222),IF(OR(COUNTIF(#REF!,$B222)&gt;0,COUNTIF(#REF!,$B222)=0),"SKIP",IF(COUNTIFS(#REF!,$B222,#REF!,$T222)&gt;0,"OK","ONBEKEND")),IF(AND($BH222=$BE222,$BI222=$BF222+1),IF(OR(COUNTIF(#REF!,$D222)&gt;0,COUNTIF(#REF!,$D222)=0),"SKIP",IF(COUNTIFS(#REF!,$D222,#REF!,$T222)&gt;0,"OK","ONBEKEND")),"ONZEKER")))))</f>
        <v>ONZEKER</v>
      </c>
      <c r="V222" s="2" t="s">
        <v>13</v>
      </c>
      <c r="W222" s="2" t="s">
        <v>14</v>
      </c>
      <c r="X222" s="2" t="str">
        <f>IF($W222="","",IF(OR($BK222="",$BL222=""),"ONZEKER",IF(OR($BH222="",$BI222=""),"ONZEKER",IF(AND($BK222=$BH222+1,$BL222=$BI222),IF(OR(COUNTIF(#REF!,$B222)&gt;0,COUNTIF(#REF!,$B222)=0),"SKIP",IF(COUNTIFS(#REF!,$B222,#REF!,$W222)&gt;0,"OK","ONBEKEND")),IF(AND($BK222=$BH222,$BL222=$BI222+1),IF(OR(COUNTIF(#REF!,$D222)&gt;0,COUNTIF(#REF!,$D222)=0),"SKIP",IF(COUNTIFS(#REF!,$D222,#REF!,$W222)&gt;0,"OK","ONBEKEND")),"ONZEKER")))))</f>
        <v>ONZEKER</v>
      </c>
      <c r="Y222" s="2" t="s">
        <v>16</v>
      </c>
      <c r="Z222" s="2" t="s">
        <v>17</v>
      </c>
      <c r="AA222" s="2" t="str">
        <f>IF($Z222="","",IF(OR($BN222="",$BO222=""),"ONZEKER",IF(OR($BK222="",$BL222=""),"ONZEKER",IF(AND($BN222=$BK222+1,$BO222=$BL222),IF(OR(COUNTIF(#REF!,$B222)&gt;0,COUNTIF(#REF!,$B222)=0),"SKIP",IF(COUNTIFS(#REF!,$B222,#REF!,$Z222)&gt;0,"OK","ONBEKEND")),IF(AND($BN222=$BK222,$BO222=$BL222+1),IF(OR(COUNTIF(#REF!,$D222)&gt;0,COUNTIF(#REF!,$D222)=0),"SKIP",IF(COUNTIFS(#REF!,$D222,#REF!,$Z222)&gt;0,"OK","ONBEKEND")),"ONZEKER")))))</f>
        <v>ONZEKER</v>
      </c>
      <c r="AB222" s="2" t="s">
        <v>19</v>
      </c>
      <c r="AC222" s="2" t="s">
        <v>20</v>
      </c>
      <c r="AD222" s="2" t="str">
        <f>IF($AC222="","",IF(OR($BQ222="",$BR222=""),"ONZEKER",IF(OR($BN222="",$BO222=""),"ONZEKER",IF(AND($BQ222=$BN222+1,$BR222=$BO222),IF(OR(COUNTIF(#REF!,$B222)&gt;0,COUNTIF(#REF!,$B222)=0),"SKIP",IF(COUNTIFS(#REF!,$B222,#REF!,$AC222)&gt;0,"OK","ONBEKEND")),IF(AND($BQ222=$BN222,$BR222=$BO222+1),IF(OR(COUNTIF(#REF!,$D222)&gt;0,COUNTIF(#REF!,$D222)=0),"SKIP",IF(COUNTIFS(#REF!,$D222,#REF!,$AC222)&gt;0,"OK","ONBEKEND")),"ONZEKER")))))</f>
        <v>ONZEKER</v>
      </c>
      <c r="AE222" s="2" t="s">
        <v>22</v>
      </c>
      <c r="AF222" s="2" t="s">
        <v>23</v>
      </c>
      <c r="AG222" s="2" t="str">
        <f>IF($AF222="","",IF(OR($BT222="",$BU222=""),"ONZEKER",IF(OR($BQ222="",$BR222=""),"ONZEKER",IF(AND($BT222=$BQ222+1,$BU222=$BR222),IF(OR(COUNTIF(#REF!,$B222)&gt;0,COUNTIF(#REF!,$B222)=0),"SKIP",IF(COUNTIFS(#REF!,$B222,#REF!,$AF222)&gt;0,"OK","ONBEKEND")),IF(AND($BT222=$BQ222,$BU222=$BR222+1),IF(OR(COUNTIF(#REF!,$D222)&gt;0,COUNTIF(#REF!,$D222)=0),"SKIP",IF(COUNTIFS(#REF!,$D222,#REF!,$AF222)&gt;0,"OK","ONBEKEND")),"ONZEKER")))))</f>
        <v>ONZEKER</v>
      </c>
      <c r="AH222" s="2" t="s">
        <v>25</v>
      </c>
      <c r="AI222" s="2" t="s">
        <v>26</v>
      </c>
      <c r="AJ222" s="2" t="str">
        <f>IF($AI222="","",IF(OR($BW222="",$BX222=""),"ONZEKER",IF(OR($BT222="",$BU222=""),"ONZEKER",IF(AND($BW222=$BT222+1,$BX222=$BU222),IF(OR(COUNTIF(#REF!,$B222)&gt;0,COUNTIF(#REF!,$B222)=0),"SKIP",IF(COUNTIFS(#REF!,$B222,#REF!,$AI222)&gt;0,"OK","ONBEKEND")),IF(AND($BW222=$BT222,$BX222=$BU222+1),IF(OR(COUNTIF(#REF!,$D222)&gt;0,COUNTIF(#REF!,$D222)=0),"SKIP",IF(COUNTIFS(#REF!,$D222,#REF!,$AI222)&gt;0,"OK","ONBEKEND")),"ONZEKER")))))</f>
        <v>ONZEKER</v>
      </c>
      <c r="AK222" s="2" t="s">
        <v>28</v>
      </c>
      <c r="AL222" s="2" t="s">
        <v>29</v>
      </c>
      <c r="AM222" s="2" t="str">
        <f>IF($AL222="","",IF(OR($BZ222="",$CA222=""),"ONZEKER",IF(OR($BW222="",$BX222=""),"ONZEKER",IF(AND($BZ222=$BW222+1,$CA222=$BX222),IF(OR(COUNTIF(#REF!,$B222)&gt;0,COUNTIF(#REF!,$B222)=0),"SKIP",IF(COUNTIFS(#REF!,$B222,#REF!,$AL222)&gt;0,"OK","ONBEKEND")),IF(AND($BZ222=$BW222,$CA222=$BX222+1),IF(OR(COUNTIF(#REF!,$D222)&gt;0,COUNTIF(#REF!,$D222)=0),"SKIP",IF(COUNTIFS(#REF!,$D222,#REF!,$AL222)&gt;0,"OK","ONBEKEND")),"ONZEKER")))))</f>
        <v>ONZEKER</v>
      </c>
      <c r="AN222" s="2" t="s">
        <v>31</v>
      </c>
      <c r="AO222" s="2" t="s">
        <v>32</v>
      </c>
      <c r="AP222" s="2" t="str">
        <f>IF($AO222="","",IF(OR($CC222="",$CD222=""),"ONZEKER",IF(OR($BZ222="",$CA222=""),"ONZEKER",IF(AND($CC222=$BZ222+1,$CD222=$CA222),IF(OR(COUNTIF(#REF!,$B222)&gt;0,COUNTIF(#REF!,$B222)=0),"SKIP",IF(COUNTIFS(#REF!,$B222,#REF!,$AO222)&gt;0,"OK","ONBEKEND")),IF(AND($CC222=$BZ222,$CD222=$CA222+1),IF(OR(COUNTIF(#REF!,$D222)&gt;0,COUNTIF(#REF!,$D222)=0),"SKIP",IF(COUNTIFS(#REF!,$D222,#REF!,$AO222)&gt;0,"OK","ONBEKEND")),"ONZEKER")))))</f>
        <v>ONZEKER</v>
      </c>
      <c r="AQ222" s="2" t="s">
        <v>34</v>
      </c>
      <c r="AR222" s="2" t="s">
        <v>35</v>
      </c>
      <c r="AS222" s="2" t="str">
        <f>IF($AR222="","",IF(OR($CF222="",$CG222=""),"ONZEKER",IF(OR($CC222="",$CD222=""),"ONZEKER",IF(AND($CF222=$CC222+1,$CG222=$CD222),IF(OR(COUNTIF(#REF!,$B222)&gt;0,COUNTIF(#REF!,$B222)=0),"SKIP",IF(COUNTIFS(#REF!,$B222,#REF!,$AR222)&gt;0,"OK","ONBEKEND")),IF(AND($CF222=$CC222,$CG222=$CD222+1),IF(OR(COUNTIF(#REF!,$D222)&gt;0,COUNTIF(#REF!,$D222)=0),"SKIP",IF(COUNTIFS(#REF!,$D222,#REF!,$AR222)&gt;0,"OK","ONBEKEND")),"ONZEKER")))))</f>
        <v>ONZEKER</v>
      </c>
      <c r="AT222" s="2" t="s">
        <v>37</v>
      </c>
      <c r="AU222" s="2" t="s">
        <v>38</v>
      </c>
      <c r="AV222" s="2" t="s">
        <v>39</v>
      </c>
      <c r="AW222" s="2" t="s">
        <v>40</v>
      </c>
      <c r="AX222" s="2" t="s">
        <v>41</v>
      </c>
      <c r="AY222" s="2" t="s">
        <v>42</v>
      </c>
      <c r="AZ222" s="2" t="s">
        <v>43</v>
      </c>
      <c r="BA222" s="2" t="s">
        <v>44</v>
      </c>
      <c r="BB222" s="2" t="s">
        <v>45</v>
      </c>
      <c r="BC222" s="2" t="s">
        <v>46</v>
      </c>
      <c r="BD222" t="str">
        <f t="shared" si="1470"/>
        <v/>
      </c>
      <c r="BE222" t="str">
        <f t="shared" si="1471"/>
        <v/>
      </c>
      <c r="BF222" t="str">
        <f t="shared" si="1472"/>
        <v/>
      </c>
      <c r="BG222" t="str">
        <f t="shared" si="1473"/>
        <v/>
      </c>
      <c r="BH222" t="str">
        <f t="shared" si="1474"/>
        <v/>
      </c>
      <c r="BI222" t="str">
        <f t="shared" si="1475"/>
        <v/>
      </c>
      <c r="BJ222" t="str">
        <f t="shared" si="1476"/>
        <v/>
      </c>
      <c r="BK222" t="str">
        <f t="shared" si="1477"/>
        <v/>
      </c>
      <c r="BL222" t="str">
        <f t="shared" si="1478"/>
        <v/>
      </c>
      <c r="BM222" t="str">
        <f t="shared" si="1479"/>
        <v/>
      </c>
      <c r="BN222" t="str">
        <f t="shared" si="1480"/>
        <v/>
      </c>
      <c r="BO222" t="str">
        <f t="shared" si="1481"/>
        <v/>
      </c>
      <c r="BP222" t="str">
        <f t="shared" si="1482"/>
        <v/>
      </c>
      <c r="BQ222" t="str">
        <f t="shared" si="1483"/>
        <v/>
      </c>
      <c r="BR222" t="str">
        <f t="shared" si="1484"/>
        <v/>
      </c>
      <c r="BS222" t="str">
        <f t="shared" si="1485"/>
        <v/>
      </c>
      <c r="BT222" t="str">
        <f t="shared" si="1486"/>
        <v/>
      </c>
      <c r="BU222" t="str">
        <f t="shared" si="1487"/>
        <v/>
      </c>
      <c r="BV222" t="str">
        <f t="shared" si="1488"/>
        <v/>
      </c>
      <c r="BW222" t="str">
        <f t="shared" si="1489"/>
        <v/>
      </c>
      <c r="BX222" t="str">
        <f t="shared" si="1490"/>
        <v/>
      </c>
      <c r="BY222" t="str">
        <f t="shared" si="1491"/>
        <v/>
      </c>
      <c r="BZ222" t="str">
        <f t="shared" si="1492"/>
        <v/>
      </c>
      <c r="CA222" t="str">
        <f t="shared" si="1493"/>
        <v/>
      </c>
      <c r="CB222" t="str">
        <f t="shared" si="1494"/>
        <v/>
      </c>
      <c r="CC222" t="str">
        <f t="shared" si="1495"/>
        <v/>
      </c>
      <c r="CD222" t="str">
        <f t="shared" si="1496"/>
        <v/>
      </c>
      <c r="CE222" t="str">
        <f t="shared" si="1497"/>
        <v/>
      </c>
      <c r="CF222" t="str">
        <f t="shared" si="1498"/>
        <v/>
      </c>
      <c r="CG222" t="str">
        <f t="shared" si="1499"/>
        <v/>
      </c>
      <c r="CH222" s="2" t="s">
        <v>77</v>
      </c>
      <c r="CI222" s="2" t="s">
        <v>78</v>
      </c>
      <c r="CJ222" s="2" t="s">
        <v>79</v>
      </c>
      <c r="CK222" s="2" t="s">
        <v>80</v>
      </c>
      <c r="CL222" s="2" t="s">
        <v>81</v>
      </c>
      <c r="CM222" s="2" t="s">
        <v>82</v>
      </c>
      <c r="CN222" s="2" t="s">
        <v>83</v>
      </c>
      <c r="CO222" s="2" t="s">
        <v>84</v>
      </c>
      <c r="CP222" s="2" t="s">
        <v>85</v>
      </c>
      <c r="CQ222" s="2" t="s">
        <v>86</v>
      </c>
      <c r="CR222" s="2" t="s">
        <v>87</v>
      </c>
      <c r="CS222" s="2" t="s">
        <v>88</v>
      </c>
      <c r="CT222" s="2" t="s">
        <v>89</v>
      </c>
      <c r="CU222" s="2" t="s">
        <v>90</v>
      </c>
      <c r="CV222" s="2" t="s">
        <v>91</v>
      </c>
      <c r="CW222" s="2" t="s">
        <v>92</v>
      </c>
      <c r="CX222" s="2" t="s">
        <v>93</v>
      </c>
      <c r="CY222" s="2" t="s">
        <v>94</v>
      </c>
      <c r="CZ222" s="2" t="s">
        <v>95</v>
      </c>
      <c r="DA222" s="2" t="s">
        <v>96</v>
      </c>
      <c r="DB222" s="2" t="s">
        <v>97</v>
      </c>
      <c r="DC222" s="2" t="s">
        <v>98</v>
      </c>
      <c r="DD222" s="2" t="s">
        <v>99</v>
      </c>
      <c r="DE222" s="2" t="s">
        <v>100</v>
      </c>
      <c r="DF222" s="2" t="s">
        <v>101</v>
      </c>
      <c r="DG222" s="2" t="s">
        <v>102</v>
      </c>
      <c r="DH222" s="2" t="s">
        <v>103</v>
      </c>
      <c r="DI222" s="2" t="s">
        <v>104</v>
      </c>
      <c r="DJ222" s="2" t="s">
        <v>105</v>
      </c>
      <c r="DK222" s="2" t="s">
        <v>106</v>
      </c>
      <c r="DL222" s="2" t="s">
        <v>107</v>
      </c>
      <c r="DM222" s="2" t="s">
        <v>108</v>
      </c>
      <c r="DN222" s="2" t="s">
        <v>109</v>
      </c>
      <c r="DO222" s="2" t="s">
        <v>110</v>
      </c>
      <c r="DP222" s="2" t="s">
        <v>111</v>
      </c>
      <c r="DQ222" s="2" t="s">
        <v>112</v>
      </c>
      <c r="DR222" s="2" t="s">
        <v>113</v>
      </c>
      <c r="DS222" s="2" t="s">
        <v>114</v>
      </c>
      <c r="DT222" s="2" t="s">
        <v>115</v>
      </c>
      <c r="DU222" s="2" t="s">
        <v>116</v>
      </c>
      <c r="DV222" s="2" t="s">
        <v>117</v>
      </c>
      <c r="DW222" s="2" t="s">
        <v>118</v>
      </c>
      <c r="DX222" s="2" t="s">
        <v>119</v>
      </c>
      <c r="DY222" s="2" t="s">
        <v>120</v>
      </c>
      <c r="DZ222" s="2" t="s">
        <v>121</v>
      </c>
      <c r="EA222" s="2" t="s">
        <v>122</v>
      </c>
      <c r="EB222" s="2" t="s">
        <v>123</v>
      </c>
      <c r="EC222" s="2" t="s">
        <v>124</v>
      </c>
      <c r="ED222" s="2" t="s">
        <v>125</v>
      </c>
      <c r="EE222" s="2" t="s">
        <v>126</v>
      </c>
      <c r="EF222" s="2" t="s">
        <v>127</v>
      </c>
      <c r="EG222" s="2" t="s">
        <v>128</v>
      </c>
      <c r="EH222" s="2" t="s">
        <v>129</v>
      </c>
      <c r="EI222" s="2" t="s">
        <v>130</v>
      </c>
      <c r="EJ222" s="2" t="s">
        <v>131</v>
      </c>
      <c r="EK222" s="2" t="s">
        <v>132</v>
      </c>
      <c r="EL222" s="2" t="s">
        <v>133</v>
      </c>
      <c r="EM222" s="2" t="s">
        <v>134</v>
      </c>
      <c r="EN222" s="2" t="s">
        <v>135</v>
      </c>
      <c r="EO222" s="2" t="s">
        <v>136</v>
      </c>
      <c r="EP222" s="2" t="s">
        <v>137</v>
      </c>
      <c r="EQ222" s="2" t="s">
        <v>138</v>
      </c>
      <c r="ER222" s="2" t="s">
        <v>139</v>
      </c>
      <c r="ES222" s="2" t="s">
        <v>140</v>
      </c>
      <c r="ET222" s="2" t="s">
        <v>141</v>
      </c>
      <c r="EU222" s="2" t="s">
        <v>142</v>
      </c>
      <c r="EV222" s="2" t="s">
        <v>143</v>
      </c>
      <c r="EW222" s="2" t="s">
        <v>144</v>
      </c>
      <c r="EX222" s="2" t="s">
        <v>145</v>
      </c>
      <c r="EY222" s="2" t="s">
        <v>146</v>
      </c>
    </row>
    <row r="223" spans="1:155" ht="13.9" customHeight="1" x14ac:dyDescent="0.25">
      <c r="A223" s="7"/>
      <c r="B223" s="17"/>
      <c r="C223" s="8"/>
      <c r="D223" s="17"/>
      <c r="E223" s="8"/>
      <c r="F223" s="18">
        <v>0</v>
      </c>
      <c r="G223" s="7" t="s">
        <v>147</v>
      </c>
      <c r="H223" s="18">
        <v>0</v>
      </c>
      <c r="I223" s="19">
        <v>0</v>
      </c>
      <c r="J223" s="7" t="s">
        <v>147</v>
      </c>
      <c r="K223" s="19">
        <v>0</v>
      </c>
      <c r="L223" s="9"/>
      <c r="M223" s="3" t="str">
        <f>IF($L223="","",IF($L223="DOELPUNTENMAKERS","",IF(AND(COUNTIF(#REF!,$B223)=0,COUNTIF(#REF!,$D223)=0),"OK",IF($O223&gt;20,"LET OP: meer dan 20 items (controle onvolledig)",IF((COUNTIF($R223:$AS223,"ONZEKER")+COUNTIF($CJ223:$DK223,"ONZEKER"))&gt;0,"LET OP: scoreverloop onduidelijk (controle beperkt)",IF((IF($AT223&lt;&gt;"",$AT223&amp;", ","")&amp;IF($AU223&lt;&gt;"",$AU223&amp;", ","")&amp;IF($AV223&lt;&gt;"",$AV223&amp;", ","")&amp;IF($AW223&lt;&gt;"",$AW223&amp;", ","")&amp;IF($AX223&lt;&gt;"",$AX223&amp;", ","")&amp;IF($AY223&lt;&gt;"",$AY223&amp;", ","")&amp;IF($AZ223&lt;&gt;"",$AZ223&amp;", ","")&amp;IF($BA223&lt;&gt;"",$BA223&amp;", ","")&amp;IF($BB223&lt;&gt;"",$BB223&amp;", ","")&amp;IF($BC223&lt;&gt;"",$BC223&amp;", ","")&amp;IF($DL223&lt;&gt;"",$DL223&amp;", ","")&amp;IF($DM223&lt;&gt;"",$DM223&amp;", ","")&amp;IF($DN223&lt;&gt;"",$DN223&amp;", ","")&amp;IF($DO223&lt;&gt;"",$DO223&amp;", ","")&amp;IF($DP223&lt;&gt;"",$DP223&amp;", ","")&amp;IF($DQ223&lt;&gt;"",$DQ223&amp;", ","")&amp;IF($DR223&lt;&gt;"",$DR223&amp;", ","")&amp;IF($DS223&lt;&gt;"",$DS223&amp;", ","")&amp;IF($DT223&lt;&gt;"",$DT223&amp;", ","")&amp;IF($DU223&lt;&gt;"",$DU223&amp;", ",""))="","OK","Onbekend: "&amp;LEFT((IF($AT223&lt;&gt;"",$AT223&amp;", ","")&amp;IF($AU223&lt;&gt;"",$AU223&amp;", ","")&amp;IF($AV223&lt;&gt;"",$AV223&amp;", ","")&amp;IF($AW223&lt;&gt;"",$AW223&amp;", ","")&amp;IF($AX223&lt;&gt;"",$AX223&amp;", ","")&amp;IF($AY223&lt;&gt;"",$AY223&amp;", ","")&amp;IF($AZ223&lt;&gt;"",$AZ223&amp;", ","")&amp;IF($BA223&lt;&gt;"",$BA223&amp;", ","")&amp;IF($BB223&lt;&gt;"",$BB223&amp;", ","")&amp;IF($BC223&lt;&gt;"",$BC223&amp;", ","")&amp;IF($DL223&lt;&gt;"",$DL223&amp;", ","")&amp;IF($DM223&lt;&gt;"",$DM223&amp;", ","")&amp;IF($DN223&lt;&gt;"",$DN223&amp;", ","")&amp;IF($DO223&lt;&gt;"",$DO223&amp;", ","")&amp;IF($DP223&lt;&gt;"",$DP223&amp;", ","")&amp;IF($DQ223&lt;&gt;"",$DQ223&amp;", ","")&amp;IF($DR223&lt;&gt;"",$DR223&amp;", ","")&amp;IF($DS223&lt;&gt;"",$DS223&amp;", ","")&amp;IF($DT223&lt;&gt;"",$DT223&amp;", ","")&amp;IF($DU223&lt;&gt;"",$DU223&amp;", ","")),LEN((IF($AT223&lt;&gt;"",$AT223&amp;", ","")&amp;IF($AU223&lt;&gt;"",$AU223&amp;", ","")&amp;IF($AV223&lt;&gt;"",$AV223&amp;", ","")&amp;IF($AW223&lt;&gt;"",$AW223&amp;", ","")&amp;IF($AX223&lt;&gt;"",$AX223&amp;", ","")&amp;IF($AY223&lt;&gt;"",$AY223&amp;", ","")&amp;IF($AZ223&lt;&gt;"",$AZ223&amp;", ","")&amp;IF($BA223&lt;&gt;"",$BA223&amp;", ","")&amp;IF($BB223&lt;&gt;"",$BB223&amp;", ","")&amp;IF($BC223&lt;&gt;"",$BC223&amp;", ","")&amp;IF($DL223&lt;&gt;"",$DL223&amp;", ","")&amp;IF($DM223&lt;&gt;"",$DM223&amp;", ","")&amp;IF($DN223&lt;&gt;"",$DN223&amp;", ","")&amp;IF($DO223&lt;&gt;"",$DO223&amp;", ","")&amp;IF($DP223&lt;&gt;"",$DP223&amp;", ","")&amp;IF($DQ223&lt;&gt;"",$DQ223&amp;", ","")&amp;IF($DR223&lt;&gt;"",$DR223&amp;", ","")&amp;IF($DS223&lt;&gt;"",$DS223&amp;", ","")&amp;IF($DT223&lt;&gt;"",$DT223&amp;", ","")&amp;IF($DU223&lt;&gt;"",$DU223&amp;", ","")))-2)))))))</f>
        <v/>
      </c>
      <c r="N223" t="str">
        <f t="shared" ref="N223:N234" si="1684">IF($L223="","",TRIM(IF(RIGHT(SUBSTITUTE($L223,CHAR(160)," "),1)=".",LEFT(SUBSTITUTE($L223,CHAR(160)," "),LEN(SUBSTITUTE($L223,CHAR(160)," "))-1),SUBSTITUTE($L223,CHAR(160)," "))))</f>
        <v/>
      </c>
      <c r="O223" t="str">
        <f t="shared" ref="O223:O234" si="1685">IF($N223="","",LEN($N223)-LEN(SUBSTITUTE($N223,",",""))+1)</f>
        <v/>
      </c>
      <c r="P223" t="str">
        <f t="shared" ref="P223:P234" si="1686">IF($N223="","",TRIM(MID(SUBSTITUTE($N223,",",REPT(" ",200)),1,200)))</f>
        <v/>
      </c>
      <c r="Q223" t="str">
        <f t="shared" ref="Q223:Q234" si="1687">IF(P223="","",TRIM(IFERROR(LEFT(P223,FIND("§",SUBSTITUTE(P223," ","§",LEN(P223)-LEN(SUBSTITUTE(P223," ",""))))-1),P223)))</f>
        <v/>
      </c>
      <c r="R223" t="str">
        <f>IF($Q223="","",IF(OR($BE223="",$BF223=""),"ONZEKER",IF(AND($BE223=0+1,$BF223=0),IF(OR(COUNTIF(#REF!,$B223)&gt;0,COUNTIF(#REF!,$B223)=0),"SKIP",IF(COUNTIFS(#REF!,$B223,#REF!,$Q223)&gt;0,"OK","ONBEKEND")),IF(AND($BE223=0,$BF223=0+1),IF(OR(COUNTIF(#REF!,$D223)&gt;0,COUNTIF(#REF!,$D223)=0),"SKIP",IF(COUNTIFS(#REF!,$D223,#REF!,$Q223)&gt;0,"OK","ONBEKEND")),"ONZEKER"))))</f>
        <v/>
      </c>
      <c r="S223" t="str">
        <f t="shared" ref="S223:S234" si="1688">IF($N223="","",TRIM(MID(SUBSTITUTE($N223,",",REPT(" ",200)),201,200)))</f>
        <v/>
      </c>
      <c r="T223" t="str">
        <f t="shared" ref="T223:T234" si="1689">IF(S223="","",TRIM(IFERROR(LEFT(S223,FIND("§",SUBSTITUTE(S223," ","§",LEN(S223)-LEN(SUBSTITUTE(S223," ",""))))-1),S223)))</f>
        <v/>
      </c>
      <c r="U223" t="str">
        <f>IF($T223="","",IF(OR($BH223="",$BI223=""),"ONZEKER",IF(OR($BE223="",$BF223=""),"ONZEKER",IF(AND($BH223=$BE223+1,$BI223=$BF223),IF(OR(COUNTIF(#REF!,$B223)&gt;0,COUNTIF(#REF!,$B223)=0),"SKIP",IF(COUNTIFS(#REF!,$B223,#REF!,$T223)&gt;0,"OK","ONBEKEND")),IF(AND($BH223=$BE223,$BI223=$BF223+1),IF(OR(COUNTIF(#REF!,$D223)&gt;0,COUNTIF(#REF!,$D223)=0),"SKIP",IF(COUNTIFS(#REF!,$D223,#REF!,$T223)&gt;0,"OK","ONBEKEND")),"ONZEKER")))))</f>
        <v/>
      </c>
      <c r="V223" t="str">
        <f t="shared" ref="V223:V234" si="1690">IF($N223="","",TRIM(MID(SUBSTITUTE($N223,",",REPT(" ",200)),401,200)))</f>
        <v/>
      </c>
      <c r="W223" t="str">
        <f t="shared" ref="W223:W234" si="1691">IF(V223="","",TRIM(IFERROR(LEFT(V223,FIND("§",SUBSTITUTE(V223," ","§",LEN(V223)-LEN(SUBSTITUTE(V223," ",""))))-1),V223)))</f>
        <v/>
      </c>
      <c r="X223" t="str">
        <f>IF($W223="","",IF(OR($BK223="",$BL223=""),"ONZEKER",IF(OR($BH223="",$BI223=""),"ONZEKER",IF(AND($BK223=$BH223+1,$BL223=$BI223),IF(OR(COUNTIF(#REF!,$B223)&gt;0,COUNTIF(#REF!,$B223)=0),"SKIP",IF(COUNTIFS(#REF!,$B223,#REF!,$W223)&gt;0,"OK","ONBEKEND")),IF(AND($BK223=$BH223,$BL223=$BI223+1),IF(OR(COUNTIF(#REF!,$D223)&gt;0,COUNTIF(#REF!,$D223)=0),"SKIP",IF(COUNTIFS(#REF!,$D223,#REF!,$W223)&gt;0,"OK","ONBEKEND")),"ONZEKER")))))</f>
        <v/>
      </c>
      <c r="Y223" t="str">
        <f t="shared" ref="Y223:Y234" si="1692">IF($N223="","",TRIM(MID(SUBSTITUTE($N223,",",REPT(" ",200)),601,200)))</f>
        <v/>
      </c>
      <c r="Z223" t="str">
        <f t="shared" ref="Z223:Z234" si="1693">IF(Y223="","",TRIM(IFERROR(LEFT(Y223,FIND("§",SUBSTITUTE(Y223," ","§",LEN(Y223)-LEN(SUBSTITUTE(Y223," ",""))))-1),Y223)))</f>
        <v/>
      </c>
      <c r="AA223" t="str">
        <f>IF($Z223="","",IF(OR($BN223="",$BO223=""),"ONZEKER",IF(OR($BK223="",$BL223=""),"ONZEKER",IF(AND($BN223=$BK223+1,$BO223=$BL223),IF(OR(COUNTIF(#REF!,$B223)&gt;0,COUNTIF(#REF!,$B223)=0),"SKIP",IF(COUNTIFS(#REF!,$B223,#REF!,$Z223)&gt;0,"OK","ONBEKEND")),IF(AND($BN223=$BK223,$BO223=$BL223+1),IF(OR(COUNTIF(#REF!,$D223)&gt;0,COUNTIF(#REF!,$D223)=0),"SKIP",IF(COUNTIFS(#REF!,$D223,#REF!,$Z223)&gt;0,"OK","ONBEKEND")),"ONZEKER")))))</f>
        <v/>
      </c>
      <c r="AB223" t="str">
        <f t="shared" ref="AB223:AB234" si="1694">IF($N223="","",TRIM(MID(SUBSTITUTE($N223,",",REPT(" ",200)),801,200)))</f>
        <v/>
      </c>
      <c r="AC223" t="str">
        <f t="shared" ref="AC223:AC234" si="1695">IF(AB223="","",TRIM(IFERROR(LEFT(AB223,FIND("§",SUBSTITUTE(AB223," ","§",LEN(AB223)-LEN(SUBSTITUTE(AB223," ",""))))-1),AB223)))</f>
        <v/>
      </c>
      <c r="AD223" t="str">
        <f>IF($AC223="","",IF(OR($BQ223="",$BR223=""),"ONZEKER",IF(OR($BN223="",$BO223=""),"ONZEKER",IF(AND($BQ223=$BN223+1,$BR223=$BO223),IF(OR(COUNTIF(#REF!,$B223)&gt;0,COUNTIF(#REF!,$B223)=0),"SKIP",IF(COUNTIFS(#REF!,$B223,#REF!,$AC223)&gt;0,"OK","ONBEKEND")),IF(AND($BQ223=$BN223,$BR223=$BO223+1),IF(OR(COUNTIF(#REF!,$D223)&gt;0,COUNTIF(#REF!,$D223)=0),"SKIP",IF(COUNTIFS(#REF!,$D223,#REF!,$AC223)&gt;0,"OK","ONBEKEND")),"ONZEKER")))))</f>
        <v/>
      </c>
      <c r="AE223" t="str">
        <f t="shared" ref="AE223:AE234" si="1696">IF($N223="","",TRIM(MID(SUBSTITUTE($N223,",",REPT(" ",200)),1001,200)))</f>
        <v/>
      </c>
      <c r="AF223" t="str">
        <f t="shared" ref="AF223:AF234" si="1697">IF(AE223="","",TRIM(IFERROR(LEFT(AE223,FIND("§",SUBSTITUTE(AE223," ","§",LEN(AE223)-LEN(SUBSTITUTE(AE223," ",""))))-1),AE223)))</f>
        <v/>
      </c>
      <c r="AG223" t="str">
        <f>IF($AF223="","",IF(OR($BT223="",$BU223=""),"ONZEKER",IF(OR($BQ223="",$BR223=""),"ONZEKER",IF(AND($BT223=$BQ223+1,$BU223=$BR223),IF(OR(COUNTIF(#REF!,$B223)&gt;0,COUNTIF(#REF!,$B223)=0),"SKIP",IF(COUNTIFS(#REF!,$B223,#REF!,$AF223)&gt;0,"OK","ONBEKEND")),IF(AND($BT223=$BQ223,$BU223=$BR223+1),IF(OR(COUNTIF(#REF!,$D223)&gt;0,COUNTIF(#REF!,$D223)=0),"SKIP",IF(COUNTIFS(#REF!,$D223,#REF!,$AF223)&gt;0,"OK","ONBEKEND")),"ONZEKER")))))</f>
        <v/>
      </c>
      <c r="AH223" t="str">
        <f t="shared" ref="AH223:AH234" si="1698">IF($N223="","",TRIM(MID(SUBSTITUTE($N223,",",REPT(" ",200)),1201,200)))</f>
        <v/>
      </c>
      <c r="AI223" t="str">
        <f t="shared" ref="AI223:AI234" si="1699">IF(AH223="","",TRIM(IFERROR(LEFT(AH223,FIND("§",SUBSTITUTE(AH223," ","§",LEN(AH223)-LEN(SUBSTITUTE(AH223," ",""))))-1),AH223)))</f>
        <v/>
      </c>
      <c r="AJ223" t="str">
        <f>IF($AI223="","",IF(OR($BW223="",$BX223=""),"ONZEKER",IF(OR($BT223="",$BU223=""),"ONZEKER",IF(AND($BW223=$BT223+1,$BX223=$BU223),IF(OR(COUNTIF(#REF!,$B223)&gt;0,COUNTIF(#REF!,$B223)=0),"SKIP",IF(COUNTIFS(#REF!,$B223,#REF!,$AI223)&gt;0,"OK","ONBEKEND")),IF(AND($BW223=$BT223,$BX223=$BU223+1),IF(OR(COUNTIF(#REF!,$D223)&gt;0,COUNTIF(#REF!,$D223)=0),"SKIP",IF(COUNTIFS(#REF!,$D223,#REF!,$AI223)&gt;0,"OK","ONBEKEND")),"ONZEKER")))))</f>
        <v/>
      </c>
      <c r="AK223" t="str">
        <f t="shared" ref="AK223:AK234" si="1700">IF($N223="","",TRIM(MID(SUBSTITUTE($N223,",",REPT(" ",200)),1401,200)))</f>
        <v/>
      </c>
      <c r="AL223" t="str">
        <f t="shared" ref="AL223:AL234" si="1701">IF(AK223="","",TRIM(IFERROR(LEFT(AK223,FIND("§",SUBSTITUTE(AK223," ","§",LEN(AK223)-LEN(SUBSTITUTE(AK223," ",""))))-1),AK223)))</f>
        <v/>
      </c>
      <c r="AM223" t="str">
        <f>IF($AL223="","",IF(OR($BZ223="",$CA223=""),"ONZEKER",IF(OR($BW223="",$BX223=""),"ONZEKER",IF(AND($BZ223=$BW223+1,$CA223=$BX223),IF(OR(COUNTIF(#REF!,$B223)&gt;0,COUNTIF(#REF!,$B223)=0),"SKIP",IF(COUNTIFS(#REF!,$B223,#REF!,$AL223)&gt;0,"OK","ONBEKEND")),IF(AND($BZ223=$BW223,$CA223=$BX223+1),IF(OR(COUNTIF(#REF!,$D223)&gt;0,COUNTIF(#REF!,$D223)=0),"SKIP",IF(COUNTIFS(#REF!,$D223,#REF!,$AL223)&gt;0,"OK","ONBEKEND")),"ONZEKER")))))</f>
        <v/>
      </c>
      <c r="AN223" t="str">
        <f t="shared" ref="AN223:AN234" si="1702">IF($N223="","",TRIM(MID(SUBSTITUTE($N223,",",REPT(" ",200)),1601,200)))</f>
        <v/>
      </c>
      <c r="AO223" t="str">
        <f t="shared" ref="AO223:AO234" si="1703">IF(AN223="","",TRIM(IFERROR(LEFT(AN223,FIND("§",SUBSTITUTE(AN223," ","§",LEN(AN223)-LEN(SUBSTITUTE(AN223," ",""))))-1),AN223)))</f>
        <v/>
      </c>
      <c r="AP223" t="str">
        <f>IF($AO223="","",IF(OR($CC223="",$CD223=""),"ONZEKER",IF(OR($BZ223="",$CA223=""),"ONZEKER",IF(AND($CC223=$BZ223+1,$CD223=$CA223),IF(OR(COUNTIF(#REF!,$B223)&gt;0,COUNTIF(#REF!,$B223)=0),"SKIP",IF(COUNTIFS(#REF!,$B223,#REF!,$AO223)&gt;0,"OK","ONBEKEND")),IF(AND($CC223=$BZ223,$CD223=$CA223+1),IF(OR(COUNTIF(#REF!,$D223)&gt;0,COUNTIF(#REF!,$D223)=0),"SKIP",IF(COUNTIFS(#REF!,$D223,#REF!,$AO223)&gt;0,"OK","ONBEKEND")),"ONZEKER")))))</f>
        <v/>
      </c>
      <c r="AQ223" t="str">
        <f t="shared" ref="AQ223:AQ234" si="1704">IF($N223="","",TRIM(MID(SUBSTITUTE($N223,",",REPT(" ",200)),1801,200)))</f>
        <v/>
      </c>
      <c r="AR223" t="str">
        <f t="shared" ref="AR223:AR234" si="1705">IF(AQ223="","",TRIM(IFERROR(LEFT(AQ223,FIND("§",SUBSTITUTE(AQ223," ","§",LEN(AQ223)-LEN(SUBSTITUTE(AQ223," ",""))))-1),AQ223)))</f>
        <v/>
      </c>
      <c r="AS223" t="str">
        <f>IF($AR223="","",IF(OR($CF223="",$CG223=""),"ONZEKER",IF(OR($CC223="",$CD223=""),"ONZEKER",IF(AND($CF223=$CC223+1,$CG223=$CD223),IF(OR(COUNTIF(#REF!,$B223)&gt;0,COUNTIF(#REF!,$B223)=0),"SKIP",IF(COUNTIFS(#REF!,$B223,#REF!,$AR223)&gt;0,"OK","ONBEKEND")),IF(AND($CF223=$CC223,$CG223=$CD223+1),IF(OR(COUNTIF(#REF!,$D223)&gt;0,COUNTIF(#REF!,$D223)=0),"SKIP",IF(COUNTIFS(#REF!,$D223,#REF!,$AR223)&gt;0,"OK","ONBEKEND")),"ONZEKER")))))</f>
        <v/>
      </c>
      <c r="AT223" t="str">
        <f t="shared" ref="AT223:AT234" si="1706">IF(R223="ONBEKEND",Q223,"")</f>
        <v/>
      </c>
      <c r="AU223" t="str">
        <f t="shared" ref="AU223:AU234" si="1707">IF(U223="ONBEKEND",T223,"")</f>
        <v/>
      </c>
      <c r="AV223" t="str">
        <f t="shared" ref="AV223:AV234" si="1708">IF(X223="ONBEKEND",W223,"")</f>
        <v/>
      </c>
      <c r="AW223" t="str">
        <f t="shared" ref="AW223:AW234" si="1709">IF(AA223="ONBEKEND",Z223,"")</f>
        <v/>
      </c>
      <c r="AX223" t="str">
        <f t="shared" ref="AX223:AX234" si="1710">IF(AD223="ONBEKEND",AC223,"")</f>
        <v/>
      </c>
      <c r="AY223" t="str">
        <f t="shared" ref="AY223:AY234" si="1711">IF(AG223="ONBEKEND",AF223,"")</f>
        <v/>
      </c>
      <c r="AZ223" t="str">
        <f t="shared" ref="AZ223:AZ234" si="1712">IF(AJ223="ONBEKEND",AI223,"")</f>
        <v/>
      </c>
      <c r="BA223" t="str">
        <f t="shared" ref="BA223:BA234" si="1713">IF(AM223="ONBEKEND",AL223,"")</f>
        <v/>
      </c>
      <c r="BB223" t="str">
        <f t="shared" ref="BB223:BB234" si="1714">IF(AP223="ONBEKEND",AO223,"")</f>
        <v/>
      </c>
      <c r="BC223" t="str">
        <f t="shared" ref="BC223:BC234" si="1715">IF(AS223="ONBEKEND",AR223,"")</f>
        <v/>
      </c>
      <c r="BD223" t="str">
        <f t="shared" si="1470"/>
        <v/>
      </c>
      <c r="BE223" t="str">
        <f t="shared" si="1471"/>
        <v/>
      </c>
      <c r="BF223" t="str">
        <f t="shared" si="1472"/>
        <v/>
      </c>
      <c r="BG223" t="str">
        <f t="shared" si="1473"/>
        <v/>
      </c>
      <c r="BH223" t="str">
        <f t="shared" si="1474"/>
        <v/>
      </c>
      <c r="BI223" t="str">
        <f t="shared" si="1475"/>
        <v/>
      </c>
      <c r="BJ223" t="str">
        <f t="shared" si="1476"/>
        <v/>
      </c>
      <c r="BK223" t="str">
        <f t="shared" si="1477"/>
        <v/>
      </c>
      <c r="BL223" t="str">
        <f t="shared" si="1478"/>
        <v/>
      </c>
      <c r="BM223" t="str">
        <f t="shared" si="1479"/>
        <v/>
      </c>
      <c r="BN223" t="str">
        <f t="shared" si="1480"/>
        <v/>
      </c>
      <c r="BO223" t="str">
        <f t="shared" si="1481"/>
        <v/>
      </c>
      <c r="BP223" t="str">
        <f t="shared" si="1482"/>
        <v/>
      </c>
      <c r="BQ223" t="str">
        <f t="shared" si="1483"/>
        <v/>
      </c>
      <c r="BR223" t="str">
        <f t="shared" si="1484"/>
        <v/>
      </c>
      <c r="BS223" t="str">
        <f t="shared" si="1485"/>
        <v/>
      </c>
      <c r="BT223" t="str">
        <f t="shared" si="1486"/>
        <v/>
      </c>
      <c r="BU223" t="str">
        <f t="shared" si="1487"/>
        <v/>
      </c>
      <c r="BV223" t="str">
        <f t="shared" si="1488"/>
        <v/>
      </c>
      <c r="BW223" t="str">
        <f t="shared" si="1489"/>
        <v/>
      </c>
      <c r="BX223" t="str">
        <f t="shared" si="1490"/>
        <v/>
      </c>
      <c r="BY223" t="str">
        <f t="shared" si="1491"/>
        <v/>
      </c>
      <c r="BZ223" t="str">
        <f t="shared" si="1492"/>
        <v/>
      </c>
      <c r="CA223" t="str">
        <f t="shared" si="1493"/>
        <v/>
      </c>
      <c r="CB223" t="str">
        <f t="shared" si="1494"/>
        <v/>
      </c>
      <c r="CC223" t="str">
        <f t="shared" si="1495"/>
        <v/>
      </c>
      <c r="CD223" t="str">
        <f t="shared" si="1496"/>
        <v/>
      </c>
      <c r="CE223" t="str">
        <f t="shared" si="1497"/>
        <v/>
      </c>
      <c r="CF223" t="str">
        <f t="shared" si="1498"/>
        <v/>
      </c>
      <c r="CG223" t="str">
        <f t="shared" si="1499"/>
        <v/>
      </c>
      <c r="CH223" t="str">
        <f t="shared" ref="CH223:CH234" si="1716">IF($N223="","",TRIM(MID(SUBSTITUTE($N223,",",REPT(" ",200)),2001,200)))</f>
        <v/>
      </c>
      <c r="CI223" t="str">
        <f t="shared" ref="CI223:CI234" si="1717">IF(CH223="","",TRIM(IFERROR(LEFT(CH223,FIND("§",SUBSTITUTE(CH223," ","§",LEN(CH223)-LEN(SUBSTITUTE(CH223," ",""))))-1),CH223)))</f>
        <v/>
      </c>
      <c r="CJ223" t="str">
        <f>IF($CI223="","",IF(OR($DW223="",$DX223=""),"ONZEKER",IF(OR($CF223="",$CG223=""),"ONZEKER",IF(AND($DW223=$CF223+1,$DX223=$CG223),IF(OR(COUNTIF(#REF!,$B223)&gt;0,COUNTIF(#REF!,$B223)=0),"SKIP",IF(COUNTIFS(#REF!,$B223,#REF!,$CI223)&gt;0,"OK","ONBEKEND")),IF(AND($DW223=$CF223,$DX223=$CG223+1),IF(OR(COUNTIF(#REF!,$D223)&gt;0,COUNTIF(#REF!,$D223)=0),"SKIP",IF(COUNTIFS(#REF!,$D223,#REF!,$CI223)&gt;0,"OK","ONBEKEND")),"ONZEKER")))))</f>
        <v/>
      </c>
      <c r="CK223" t="str">
        <f t="shared" ref="CK223:CK234" si="1718">IF($N223="","",TRIM(MID(SUBSTITUTE($N223,",",REPT(" ",200)),2201,200)))</f>
        <v/>
      </c>
      <c r="CL223" t="str">
        <f t="shared" ref="CL223:CL234" si="1719">IF(CK223="","",TRIM(IFERROR(LEFT(CK223,FIND("§",SUBSTITUTE(CK223," ","§",LEN(CK223)-LEN(SUBSTITUTE(CK223," ",""))))-1),CK223)))</f>
        <v/>
      </c>
      <c r="CM223" t="str">
        <f>IF($CL223="","",IF(OR($DZ223="",$EA223=""),"ONZEKER",IF(OR($DW223="",$DX223=""),"ONZEKER",IF(AND($DZ223=$DW223+1,$EA223=$DX223),IF(OR(COUNTIF(#REF!,$B223)&gt;0,COUNTIF(#REF!,$B223)=0),"SKIP",IF(COUNTIFS(#REF!,$B223,#REF!,$CL223)&gt;0,"OK","ONBEKEND")),IF(AND($DZ223=$DW223,$EA223=$DX223+1),IF(OR(COUNTIF(#REF!,$D223)&gt;0,COUNTIF(#REF!,$D223)=0),"SKIP",IF(COUNTIFS(#REF!,$D223,#REF!,$CL223)&gt;0,"OK","ONBEKEND")),"ONZEKER")))))</f>
        <v/>
      </c>
      <c r="CN223" t="str">
        <f t="shared" ref="CN223:CN234" si="1720">IF($N223="","",TRIM(MID(SUBSTITUTE($N223,",",REPT(" ",200)),2401,200)))</f>
        <v/>
      </c>
      <c r="CO223" t="str">
        <f t="shared" ref="CO223:CO234" si="1721">IF(CN223="","",TRIM(IFERROR(LEFT(CN223,FIND("§",SUBSTITUTE(CN223," ","§",LEN(CN223)-LEN(SUBSTITUTE(CN223," ",""))))-1),CN223)))</f>
        <v/>
      </c>
      <c r="CP223" t="str">
        <f>IF($CO223="","",IF(OR($EC223="",$ED223=""),"ONZEKER",IF(OR($DZ223="",$EA223=""),"ONZEKER",IF(AND($EC223=$DZ223+1,$ED223=$EA223),IF(OR(COUNTIF(#REF!,$B223)&gt;0,COUNTIF(#REF!,$B223)=0),"SKIP",IF(COUNTIFS(#REF!,$B223,#REF!,$CO223)&gt;0,"OK","ONBEKEND")),IF(AND($EC223=$DZ223,$ED223=$EA223+1),IF(OR(COUNTIF(#REF!,$D223)&gt;0,COUNTIF(#REF!,$D223)=0),"SKIP",IF(COUNTIFS(#REF!,$D223,#REF!,$CO223)&gt;0,"OK","ONBEKEND")),"ONZEKER")))))</f>
        <v/>
      </c>
      <c r="CQ223" t="str">
        <f t="shared" ref="CQ223:CQ234" si="1722">IF($N223="","",TRIM(MID(SUBSTITUTE($N223,",",REPT(" ",200)),2601,200)))</f>
        <v/>
      </c>
      <c r="CR223" t="str">
        <f t="shared" ref="CR223:CR234" si="1723">IF(CQ223="","",TRIM(IFERROR(LEFT(CQ223,FIND("§",SUBSTITUTE(CQ223," ","§",LEN(CQ223)-LEN(SUBSTITUTE(CQ223," ",""))))-1),CQ223)))</f>
        <v/>
      </c>
      <c r="CS223" t="str">
        <f>IF($CR223="","",IF(OR($EF223="",$EG223=""),"ONZEKER",IF(OR($EC223="",$ED223=""),"ONZEKER",IF(AND($EF223=$EC223+1,$EG223=$ED223),IF(OR(COUNTIF(#REF!,$B223)&gt;0,COUNTIF(#REF!,$B223)=0),"SKIP",IF(COUNTIFS(#REF!,$B223,#REF!,$CR223)&gt;0,"OK","ONBEKEND")),IF(AND($EF223=$EC223,$EG223=$ED223+1),IF(OR(COUNTIF(#REF!,$D223)&gt;0,COUNTIF(#REF!,$D223)=0),"SKIP",IF(COUNTIFS(#REF!,$D223,#REF!,$CR223)&gt;0,"OK","ONBEKEND")),"ONZEKER")))))</f>
        <v/>
      </c>
      <c r="CT223" t="str">
        <f t="shared" ref="CT223:CT234" si="1724">IF($N223="","",TRIM(MID(SUBSTITUTE($N223,",",REPT(" ",200)),2801,200)))</f>
        <v/>
      </c>
      <c r="CU223" t="str">
        <f t="shared" ref="CU223:CU234" si="1725">IF(CT223="","",TRIM(IFERROR(LEFT(CT223,FIND("§",SUBSTITUTE(CT223," ","§",LEN(CT223)-LEN(SUBSTITUTE(CT223," ",""))))-1),CT223)))</f>
        <v/>
      </c>
      <c r="CV223" t="str">
        <f>IF($CU223="","",IF(OR($EI223="",$EJ223=""),"ONZEKER",IF(OR($EF223="",$EG223=""),"ONZEKER",IF(AND($EI223=$EF223+1,$EJ223=$EG223),IF(OR(COUNTIF(#REF!,$B223)&gt;0,COUNTIF(#REF!,$B223)=0),"SKIP",IF(COUNTIFS(#REF!,$B223,#REF!,$CU223)&gt;0,"OK","ONBEKEND")),IF(AND($EI223=$EF223,$EJ223=$EG223+1),IF(OR(COUNTIF(#REF!,$D223)&gt;0,COUNTIF(#REF!,$D223)=0),"SKIP",IF(COUNTIFS(#REF!,$D223,#REF!,$CU223)&gt;0,"OK","ONBEKEND")),"ONZEKER")))))</f>
        <v/>
      </c>
      <c r="CW223" t="str">
        <f t="shared" ref="CW223:CW234" si="1726">IF($N223="","",TRIM(MID(SUBSTITUTE($N223,",",REPT(" ",200)),3001,200)))</f>
        <v/>
      </c>
      <c r="CX223" t="str">
        <f t="shared" ref="CX223:CX234" si="1727">IF(CW223="","",TRIM(IFERROR(LEFT(CW223,FIND("§",SUBSTITUTE(CW223," ","§",LEN(CW223)-LEN(SUBSTITUTE(CW223," ",""))))-1),CW223)))</f>
        <v/>
      </c>
      <c r="CY223" t="str">
        <f>IF($CX223="","",IF(OR($EL223="",$EM223=""),"ONZEKER",IF(OR($EI223="",$EJ223=""),"ONZEKER",IF(AND($EL223=$EI223+1,$EM223=$EJ223),IF(OR(COUNTIF(#REF!,$B223)&gt;0,COUNTIF(#REF!,$B223)=0),"SKIP",IF(COUNTIFS(#REF!,$B223,#REF!,$CX223)&gt;0,"OK","ONBEKEND")),IF(AND($EL223=$EI223,$EM223=$EJ223+1),IF(OR(COUNTIF(#REF!,$D223)&gt;0,COUNTIF(#REF!,$D223)=0),"SKIP",IF(COUNTIFS(#REF!,$D223,#REF!,$CX223)&gt;0,"OK","ONBEKEND")),"ONZEKER")))))</f>
        <v/>
      </c>
      <c r="CZ223" t="str">
        <f t="shared" ref="CZ223:CZ234" si="1728">IF($N223="","",TRIM(MID(SUBSTITUTE($N223,",",REPT(" ",200)),3201,200)))</f>
        <v/>
      </c>
      <c r="DA223" t="str">
        <f t="shared" ref="DA223:DA234" si="1729">IF(CZ223="","",TRIM(IFERROR(LEFT(CZ223,FIND("§",SUBSTITUTE(CZ223," ","§",LEN(CZ223)-LEN(SUBSTITUTE(CZ223," ",""))))-1),CZ223)))</f>
        <v/>
      </c>
      <c r="DB223" t="str">
        <f>IF($DA223="","",IF(OR($EO223="",$EP223=""),"ONZEKER",IF(OR($EL223="",$EM223=""),"ONZEKER",IF(AND($EO223=$EL223+1,$EP223=$EM223),IF(OR(COUNTIF(#REF!,$B223)&gt;0,COUNTIF(#REF!,$B223)=0),"SKIP",IF(COUNTIFS(#REF!,$B223,#REF!,$DA223)&gt;0,"OK","ONBEKEND")),IF(AND($EO223=$EL223,$EP223=$EM223+1),IF(OR(COUNTIF(#REF!,$D223)&gt;0,COUNTIF(#REF!,$D223)=0),"SKIP",IF(COUNTIFS(#REF!,$D223,#REF!,$DA223)&gt;0,"OK","ONBEKEND")),"ONZEKER")))))</f>
        <v/>
      </c>
      <c r="DC223" t="str">
        <f t="shared" ref="DC223:DC234" si="1730">IF($N223="","",TRIM(MID(SUBSTITUTE($N223,",",REPT(" ",200)),3401,200)))</f>
        <v/>
      </c>
      <c r="DD223" t="str">
        <f t="shared" ref="DD223:DD234" si="1731">IF(DC223="","",TRIM(IFERROR(LEFT(DC223,FIND("§",SUBSTITUTE(DC223," ","§",LEN(DC223)-LEN(SUBSTITUTE(DC223," ",""))))-1),DC223)))</f>
        <v/>
      </c>
      <c r="DE223" t="str">
        <f>IF($DD223="","",IF(OR($ER223="",$ES223=""),"ONZEKER",IF(OR($EO223="",$EP223=""),"ONZEKER",IF(AND($ER223=$EO223+1,$ES223=$EP223),IF(OR(COUNTIF(#REF!,$B223)&gt;0,COUNTIF(#REF!,$B223)=0),"SKIP",IF(COUNTIFS(#REF!,$B223,#REF!,$DD223)&gt;0,"OK","ONBEKEND")),IF(AND($ER223=$EO223,$ES223=$EP223+1),IF(OR(COUNTIF(#REF!,$D223)&gt;0,COUNTIF(#REF!,$D223)=0),"SKIP",IF(COUNTIFS(#REF!,$D223,#REF!,$DD223)&gt;0,"OK","ONBEKEND")),"ONZEKER")))))</f>
        <v/>
      </c>
      <c r="DF223" t="str">
        <f t="shared" ref="DF223:DF234" si="1732">IF($N223="","",TRIM(MID(SUBSTITUTE($N223,",",REPT(" ",200)),3601,200)))</f>
        <v/>
      </c>
      <c r="DG223" t="str">
        <f t="shared" ref="DG223:DG234" si="1733">IF(DF223="","",TRIM(IFERROR(LEFT(DF223,FIND("§",SUBSTITUTE(DF223," ","§",LEN(DF223)-LEN(SUBSTITUTE(DF223," ",""))))-1),DF223)))</f>
        <v/>
      </c>
      <c r="DH223" t="str">
        <f>IF($DG223="","",IF(OR($EU223="",$EV223=""),"ONZEKER",IF(OR($ER223="",$ES223=""),"ONZEKER",IF(AND($EU223=$ER223+1,$EV223=$ES223),IF(OR(COUNTIF(#REF!,$B223)&gt;0,COUNTIF(#REF!,$B223)=0),"SKIP",IF(COUNTIFS(#REF!,$B223,#REF!,$DG223)&gt;0,"OK","ONBEKEND")),IF(AND($EU223=$ER223,$EV223=$ES223+1),IF(OR(COUNTIF(#REF!,$D223)&gt;0,COUNTIF(#REF!,$D223)=0),"SKIP",IF(COUNTIFS(#REF!,$D223,#REF!,$DG223)&gt;0,"OK","ONBEKEND")),"ONZEKER")))))</f>
        <v/>
      </c>
      <c r="DI223" t="str">
        <f t="shared" ref="DI223:DI234" si="1734">IF($N223="","",TRIM(MID(SUBSTITUTE($N223,",",REPT(" ",200)),3801,200)))</f>
        <v/>
      </c>
      <c r="DJ223" t="str">
        <f t="shared" ref="DJ223:DJ234" si="1735">IF(DI223="","",TRIM(IFERROR(LEFT(DI223,FIND("§",SUBSTITUTE(DI223," ","§",LEN(DI223)-LEN(SUBSTITUTE(DI223," ",""))))-1),DI223)))</f>
        <v/>
      </c>
      <c r="DK223" t="str">
        <f>IF($DJ223="","",IF(OR($EX223="",$EY223=""),"ONZEKER",IF(OR($EU223="",$EV223=""),"ONZEKER",IF(AND($EX223=$EU223+1,$EY223=$EV223),IF(OR(COUNTIF(#REF!,$B223)&gt;0,COUNTIF(#REF!,$B223)=0),"SKIP",IF(COUNTIFS(#REF!,$B223,#REF!,$DJ223)&gt;0,"OK","ONBEKEND")),IF(AND($EX223=$EU223,$EY223=$EV223+1),IF(OR(COUNTIF(#REF!,$D223)&gt;0,COUNTIF(#REF!,$D223)=0),"SKIP",IF(COUNTIFS(#REF!,$D223,#REF!,$DJ223)&gt;0,"OK","ONBEKEND")),"ONZEKER")))))</f>
        <v/>
      </c>
      <c r="DL223" t="str">
        <f t="shared" ref="DL223:DL234" si="1736">IF($CJ223="ONBEKEND",$CI223,"")</f>
        <v/>
      </c>
      <c r="DM223" t="str">
        <f t="shared" ref="DM223:DM234" si="1737">IF($CM223="ONBEKEND",$CL223,"")</f>
        <v/>
      </c>
      <c r="DN223" t="str">
        <f t="shared" ref="DN223:DN234" si="1738">IF($CP223="ONBEKEND",$CO223,"")</f>
        <v/>
      </c>
      <c r="DO223" t="str">
        <f t="shared" ref="DO223:DO234" si="1739">IF($CS223="ONBEKEND",$CR223,"")</f>
        <v/>
      </c>
      <c r="DP223" t="str">
        <f t="shared" ref="DP223:DP234" si="1740">IF($CV223="ONBEKEND",$CU223,"")</f>
        <v/>
      </c>
      <c r="DQ223" t="str">
        <f t="shared" ref="DQ223:DQ234" si="1741">IF($CY223="ONBEKEND",$CX223,"")</f>
        <v/>
      </c>
      <c r="DR223" t="str">
        <f t="shared" ref="DR223:DR234" si="1742">IF($DB223="ONBEKEND",$DA223,"")</f>
        <v/>
      </c>
      <c r="DS223" t="str">
        <f t="shared" ref="DS223:DS234" si="1743">IF($DE223="ONBEKEND",$DD223,"")</f>
        <v/>
      </c>
      <c r="DT223" t="str">
        <f t="shared" ref="DT223:DT234" si="1744">IF($DH223="ONBEKEND",$DG223,"")</f>
        <v/>
      </c>
      <c r="DU223" t="str">
        <f t="shared" ref="DU223:DU234" si="1745">IF($DK223="ONBEKEND",$DJ223,"")</f>
        <v/>
      </c>
      <c r="DV223" t="str">
        <f t="shared" ref="DV223:DV234" si="1746">IF($CH223="","",TRIM(IFERROR(RIGHT($CH223,LEN($CH223)-FIND("§",SUBSTITUTE($CH223," ","§",LEN($CH223)-LEN(SUBSTITUTE($CH223," ",""))))),"")))</f>
        <v/>
      </c>
      <c r="DW223" t="str">
        <f t="shared" ref="DW223:DW234" si="1747">IF($DV223="","",IFERROR(VALUE(LEFT($DV223,FIND("-",$DV223)-1)),""))</f>
        <v/>
      </c>
      <c r="DX223" t="str">
        <f t="shared" ref="DX223:DX234" si="1748">IF($DV223="","",IFERROR(VALUE(MID($DV223,FIND("-",$DV223)+1,99)),""))</f>
        <v/>
      </c>
      <c r="DY223" t="str">
        <f t="shared" ref="DY223:DY234" si="1749">IF($CK223="","",TRIM(IFERROR(RIGHT($CK223,LEN($CK223)-FIND("§",SUBSTITUTE($CK223," ","§",LEN($CK223)-LEN(SUBSTITUTE($CK223," ",""))))),"")))</f>
        <v/>
      </c>
      <c r="DZ223" t="str">
        <f t="shared" ref="DZ223:DZ234" si="1750">IF($DY223="","",IFERROR(VALUE(LEFT($DY223,FIND("-",$DY223)-1)),""))</f>
        <v/>
      </c>
      <c r="EA223" t="str">
        <f t="shared" ref="EA223:EA234" si="1751">IF($DY223="","",IFERROR(VALUE(MID($DY223,FIND("-",$DY223)+1,99)),""))</f>
        <v/>
      </c>
      <c r="EB223" t="str">
        <f t="shared" ref="EB223:EB234" si="1752">IF($CN223="","",TRIM(IFERROR(RIGHT($CN223,LEN($CN223)-FIND("§",SUBSTITUTE($CN223," ","§",LEN($CN223)-LEN(SUBSTITUTE($CN223," ",""))))),"")))</f>
        <v/>
      </c>
      <c r="EC223" t="str">
        <f t="shared" ref="EC223:EC234" si="1753">IF($EB223="","",IFERROR(VALUE(LEFT($EB223,FIND("-",$EB223)-1)),""))</f>
        <v/>
      </c>
      <c r="ED223" t="str">
        <f t="shared" ref="ED223:ED234" si="1754">IF($EB223="","",IFERROR(VALUE(MID($EB223,FIND("-",$EB223)+1,99)),""))</f>
        <v/>
      </c>
      <c r="EE223" t="str">
        <f t="shared" ref="EE223:EE234" si="1755">IF($CQ223="","",TRIM(IFERROR(RIGHT($CQ223,LEN($CQ223)-FIND("§",SUBSTITUTE($CQ223," ","§",LEN($CQ223)-LEN(SUBSTITUTE($CQ223," ",""))))),"")))</f>
        <v/>
      </c>
      <c r="EF223" t="str">
        <f t="shared" ref="EF223:EF234" si="1756">IF($EE223="","",IFERROR(VALUE(LEFT($EE223,FIND("-",$EE223)-1)),""))</f>
        <v/>
      </c>
      <c r="EG223" t="str">
        <f t="shared" ref="EG223:EG234" si="1757">IF($EE223="","",IFERROR(VALUE(MID($EE223,FIND("-",$EE223)+1,99)),""))</f>
        <v/>
      </c>
      <c r="EH223" t="str">
        <f t="shared" ref="EH223:EH234" si="1758">IF($CT223="","",TRIM(IFERROR(RIGHT($CT223,LEN($CT223)-FIND("§",SUBSTITUTE($CT223," ","§",LEN($CT223)-LEN(SUBSTITUTE($CT223," ",""))))),"")))</f>
        <v/>
      </c>
      <c r="EI223" t="str">
        <f t="shared" ref="EI223:EI234" si="1759">IF($EH223="","",IFERROR(VALUE(LEFT($EH223,FIND("-",$EH223)-1)),""))</f>
        <v/>
      </c>
      <c r="EJ223" t="str">
        <f t="shared" ref="EJ223:EJ234" si="1760">IF($EH223="","",IFERROR(VALUE(MID($EH223,FIND("-",$EH223)+1,99)),""))</f>
        <v/>
      </c>
      <c r="EK223" t="str">
        <f t="shared" ref="EK223:EK234" si="1761">IF($CW223="","",TRIM(IFERROR(RIGHT($CW223,LEN($CW223)-FIND("§",SUBSTITUTE($CW223," ","§",LEN($CW223)-LEN(SUBSTITUTE($CW223," ",""))))),"")))</f>
        <v/>
      </c>
      <c r="EL223" t="str">
        <f t="shared" ref="EL223:EL234" si="1762">IF($EK223="","",IFERROR(VALUE(LEFT($EK223,FIND("-",$EK223)-1)),""))</f>
        <v/>
      </c>
      <c r="EM223" t="str">
        <f t="shared" ref="EM223:EM234" si="1763">IF($EK223="","",IFERROR(VALUE(MID($EK223,FIND("-",$EK223)+1,99)),""))</f>
        <v/>
      </c>
      <c r="EN223" t="str">
        <f t="shared" ref="EN223:EN234" si="1764">IF($CZ223="","",TRIM(IFERROR(RIGHT($CZ223,LEN($CZ223)-FIND("§",SUBSTITUTE($CZ223," ","§",LEN($CZ223)-LEN(SUBSTITUTE($CZ223," ",""))))),"")))</f>
        <v/>
      </c>
      <c r="EO223" t="str">
        <f t="shared" ref="EO223:EO234" si="1765">IF($EN223="","",IFERROR(VALUE(LEFT($EN223,FIND("-",$EN223)-1)),""))</f>
        <v/>
      </c>
      <c r="EP223" t="str">
        <f t="shared" ref="EP223:EP234" si="1766">IF($EN223="","",IFERROR(VALUE(MID($EN223,FIND("-",$EN223)+1,99)),""))</f>
        <v/>
      </c>
      <c r="EQ223" t="str">
        <f t="shared" ref="EQ223:EQ234" si="1767">IF($DC223="","",TRIM(IFERROR(RIGHT($DC223,LEN($DC223)-FIND("§",SUBSTITUTE($DC223," ","§",LEN($DC223)-LEN(SUBSTITUTE($DC223," ",""))))),"")))</f>
        <v/>
      </c>
      <c r="ER223" t="str">
        <f t="shared" ref="ER223:ER234" si="1768">IF($EQ223="","",IFERROR(VALUE(LEFT($EQ223,FIND("-",$EQ223)-1)),""))</f>
        <v/>
      </c>
      <c r="ES223" t="str">
        <f t="shared" ref="ES223:ES234" si="1769">IF($EQ223="","",IFERROR(VALUE(MID($EQ223,FIND("-",$EQ223)+1,99)),""))</f>
        <v/>
      </c>
      <c r="ET223" t="str">
        <f t="shared" ref="ET223:ET234" si="1770">IF($DF223="","",TRIM(IFERROR(RIGHT($DF223,LEN($DF223)-FIND("§",SUBSTITUTE($DF223," ","§",LEN($DF223)-LEN(SUBSTITUTE($DF223," ",""))))),"")))</f>
        <v/>
      </c>
      <c r="EU223" t="str">
        <f t="shared" ref="EU223:EU234" si="1771">IF($ET223="","",IFERROR(VALUE(LEFT($ET223,FIND("-",$ET223)-1)),""))</f>
        <v/>
      </c>
      <c r="EV223" t="str">
        <f t="shared" ref="EV223:EV234" si="1772">IF($ET223="","",IFERROR(VALUE(MID($ET223,FIND("-",$ET223)+1,99)),""))</f>
        <v/>
      </c>
      <c r="EW223" t="str">
        <f t="shared" ref="EW223:EW234" si="1773">IF($DI223="","",TRIM(IFERROR(RIGHT($DI223,LEN($DI223)-FIND("§",SUBSTITUTE($DI223," ","§",LEN($DI223)-LEN(SUBSTITUTE($DI223," ",""))))),"")))</f>
        <v/>
      </c>
      <c r="EX223" t="str">
        <f t="shared" ref="EX223:EX234" si="1774">IF($EW223="","",IFERROR(VALUE(LEFT($EW223,FIND("-",$EW223)-1)),""))</f>
        <v/>
      </c>
      <c r="EY223" t="str">
        <f t="shared" ref="EY223:EY234" si="1775">IF($EW223="","",IFERROR(VALUE(MID($EW223,FIND("-",$EW223)+1,99)),""))</f>
        <v/>
      </c>
    </row>
    <row r="224" spans="1:155" ht="13.9" customHeight="1" x14ac:dyDescent="0.25">
      <c r="A224" s="7"/>
      <c r="B224" s="17"/>
      <c r="C224" s="8"/>
      <c r="D224" s="17"/>
      <c r="E224" s="8"/>
      <c r="F224" s="18">
        <v>0</v>
      </c>
      <c r="G224" s="7" t="s">
        <v>147</v>
      </c>
      <c r="H224" s="18">
        <v>0</v>
      </c>
      <c r="I224" s="19">
        <v>0</v>
      </c>
      <c r="J224" s="7" t="s">
        <v>147</v>
      </c>
      <c r="K224" s="19">
        <v>0</v>
      </c>
      <c r="L224" s="9"/>
      <c r="M224" s="3" t="str">
        <f>IF($L224="","",IF($L224="DOELPUNTENMAKERS","",IF(AND(COUNTIF(#REF!,$B224)=0,COUNTIF(#REF!,$D224)=0),"OK",IF($O224&gt;20,"LET OP: meer dan 20 items (controle onvolledig)",IF((COUNTIF($R224:$AS224,"ONZEKER")+COUNTIF($CJ224:$DK224,"ONZEKER"))&gt;0,"LET OP: scoreverloop onduidelijk (controle beperkt)",IF((IF($AT224&lt;&gt;"",$AT224&amp;", ","")&amp;IF($AU224&lt;&gt;"",$AU224&amp;", ","")&amp;IF($AV224&lt;&gt;"",$AV224&amp;", ","")&amp;IF($AW224&lt;&gt;"",$AW224&amp;", ","")&amp;IF($AX224&lt;&gt;"",$AX224&amp;", ","")&amp;IF($AY224&lt;&gt;"",$AY224&amp;", ","")&amp;IF($AZ224&lt;&gt;"",$AZ224&amp;", ","")&amp;IF($BA224&lt;&gt;"",$BA224&amp;", ","")&amp;IF($BB224&lt;&gt;"",$BB224&amp;", ","")&amp;IF($BC224&lt;&gt;"",$BC224&amp;", ","")&amp;IF($DL224&lt;&gt;"",$DL224&amp;", ","")&amp;IF($DM224&lt;&gt;"",$DM224&amp;", ","")&amp;IF($DN224&lt;&gt;"",$DN224&amp;", ","")&amp;IF($DO224&lt;&gt;"",$DO224&amp;", ","")&amp;IF($DP224&lt;&gt;"",$DP224&amp;", ","")&amp;IF($DQ224&lt;&gt;"",$DQ224&amp;", ","")&amp;IF($DR224&lt;&gt;"",$DR224&amp;", ","")&amp;IF($DS224&lt;&gt;"",$DS224&amp;", ","")&amp;IF($DT224&lt;&gt;"",$DT224&amp;", ","")&amp;IF($DU224&lt;&gt;"",$DU224&amp;", ",""))="","OK","Onbekend: "&amp;LEFT((IF($AT224&lt;&gt;"",$AT224&amp;", ","")&amp;IF($AU224&lt;&gt;"",$AU224&amp;", ","")&amp;IF($AV224&lt;&gt;"",$AV224&amp;", ","")&amp;IF($AW224&lt;&gt;"",$AW224&amp;", ","")&amp;IF($AX224&lt;&gt;"",$AX224&amp;", ","")&amp;IF($AY224&lt;&gt;"",$AY224&amp;", ","")&amp;IF($AZ224&lt;&gt;"",$AZ224&amp;", ","")&amp;IF($BA224&lt;&gt;"",$BA224&amp;", ","")&amp;IF($BB224&lt;&gt;"",$BB224&amp;", ","")&amp;IF($BC224&lt;&gt;"",$BC224&amp;", ","")&amp;IF($DL224&lt;&gt;"",$DL224&amp;", ","")&amp;IF($DM224&lt;&gt;"",$DM224&amp;", ","")&amp;IF($DN224&lt;&gt;"",$DN224&amp;", ","")&amp;IF($DO224&lt;&gt;"",$DO224&amp;", ","")&amp;IF($DP224&lt;&gt;"",$DP224&amp;", ","")&amp;IF($DQ224&lt;&gt;"",$DQ224&amp;", ","")&amp;IF($DR224&lt;&gt;"",$DR224&amp;", ","")&amp;IF($DS224&lt;&gt;"",$DS224&amp;", ","")&amp;IF($DT224&lt;&gt;"",$DT224&amp;", ","")&amp;IF($DU224&lt;&gt;"",$DU224&amp;", ","")),LEN((IF($AT224&lt;&gt;"",$AT224&amp;", ","")&amp;IF($AU224&lt;&gt;"",$AU224&amp;", ","")&amp;IF($AV224&lt;&gt;"",$AV224&amp;", ","")&amp;IF($AW224&lt;&gt;"",$AW224&amp;", ","")&amp;IF($AX224&lt;&gt;"",$AX224&amp;", ","")&amp;IF($AY224&lt;&gt;"",$AY224&amp;", ","")&amp;IF($AZ224&lt;&gt;"",$AZ224&amp;", ","")&amp;IF($BA224&lt;&gt;"",$BA224&amp;", ","")&amp;IF($BB224&lt;&gt;"",$BB224&amp;", ","")&amp;IF($BC224&lt;&gt;"",$BC224&amp;", ","")&amp;IF($DL224&lt;&gt;"",$DL224&amp;", ","")&amp;IF($DM224&lt;&gt;"",$DM224&amp;", ","")&amp;IF($DN224&lt;&gt;"",$DN224&amp;", ","")&amp;IF($DO224&lt;&gt;"",$DO224&amp;", ","")&amp;IF($DP224&lt;&gt;"",$DP224&amp;", ","")&amp;IF($DQ224&lt;&gt;"",$DQ224&amp;", ","")&amp;IF($DR224&lt;&gt;"",$DR224&amp;", ","")&amp;IF($DS224&lt;&gt;"",$DS224&amp;", ","")&amp;IF($DT224&lt;&gt;"",$DT224&amp;", ","")&amp;IF($DU224&lt;&gt;"",$DU224&amp;", ","")))-2)))))))</f>
        <v/>
      </c>
      <c r="N224" t="str">
        <f t="shared" si="1684"/>
        <v/>
      </c>
      <c r="O224" t="str">
        <f t="shared" si="1685"/>
        <v/>
      </c>
      <c r="P224" t="str">
        <f t="shared" si="1686"/>
        <v/>
      </c>
      <c r="Q224" t="str">
        <f t="shared" si="1687"/>
        <v/>
      </c>
      <c r="R224" t="str">
        <f>IF($Q224="","",IF(OR($BE224="",$BF224=""),"ONZEKER",IF(AND($BE224=0+1,$BF224=0),IF(OR(COUNTIF(#REF!,$B224)&gt;0,COUNTIF(#REF!,$B224)=0),"SKIP",IF(COUNTIFS(#REF!,$B224,#REF!,$Q224)&gt;0,"OK","ONBEKEND")),IF(AND($BE224=0,$BF224=0+1),IF(OR(COUNTIF(#REF!,$D224)&gt;0,COUNTIF(#REF!,$D224)=0),"SKIP",IF(COUNTIFS(#REF!,$D224,#REF!,$Q224)&gt;0,"OK","ONBEKEND")),"ONZEKER"))))</f>
        <v/>
      </c>
      <c r="S224" t="str">
        <f t="shared" si="1688"/>
        <v/>
      </c>
      <c r="T224" t="str">
        <f t="shared" si="1689"/>
        <v/>
      </c>
      <c r="U224" t="str">
        <f>IF($T224="","",IF(OR($BH224="",$BI224=""),"ONZEKER",IF(OR($BE224="",$BF224=""),"ONZEKER",IF(AND($BH224=$BE224+1,$BI224=$BF224),IF(OR(COUNTIF(#REF!,$B224)&gt;0,COUNTIF(#REF!,$B224)=0),"SKIP",IF(COUNTIFS(#REF!,$B224,#REF!,$T224)&gt;0,"OK","ONBEKEND")),IF(AND($BH224=$BE224,$BI224=$BF224+1),IF(OR(COUNTIF(#REF!,$D224)&gt;0,COUNTIF(#REF!,$D224)=0),"SKIP",IF(COUNTIFS(#REF!,$D224,#REF!,$T224)&gt;0,"OK","ONBEKEND")),"ONZEKER")))))</f>
        <v/>
      </c>
      <c r="V224" t="str">
        <f t="shared" si="1690"/>
        <v/>
      </c>
      <c r="W224" t="str">
        <f t="shared" si="1691"/>
        <v/>
      </c>
      <c r="X224" t="str">
        <f>IF($W224="","",IF(OR($BK224="",$BL224=""),"ONZEKER",IF(OR($BH224="",$BI224=""),"ONZEKER",IF(AND($BK224=$BH224+1,$BL224=$BI224),IF(OR(COUNTIF(#REF!,$B224)&gt;0,COUNTIF(#REF!,$B224)=0),"SKIP",IF(COUNTIFS(#REF!,$B224,#REF!,$W224)&gt;0,"OK","ONBEKEND")),IF(AND($BK224=$BH224,$BL224=$BI224+1),IF(OR(COUNTIF(#REF!,$D224)&gt;0,COUNTIF(#REF!,$D224)=0),"SKIP",IF(COUNTIFS(#REF!,$D224,#REF!,$W224)&gt;0,"OK","ONBEKEND")),"ONZEKER")))))</f>
        <v/>
      </c>
      <c r="Y224" t="str">
        <f t="shared" si="1692"/>
        <v/>
      </c>
      <c r="Z224" t="str">
        <f t="shared" si="1693"/>
        <v/>
      </c>
      <c r="AA224" t="str">
        <f>IF($Z224="","",IF(OR($BN224="",$BO224=""),"ONZEKER",IF(OR($BK224="",$BL224=""),"ONZEKER",IF(AND($BN224=$BK224+1,$BO224=$BL224),IF(OR(COUNTIF(#REF!,$B224)&gt;0,COUNTIF(#REF!,$B224)=0),"SKIP",IF(COUNTIFS(#REF!,$B224,#REF!,$Z224)&gt;0,"OK","ONBEKEND")),IF(AND($BN224=$BK224,$BO224=$BL224+1),IF(OR(COUNTIF(#REF!,$D224)&gt;0,COUNTIF(#REF!,$D224)=0),"SKIP",IF(COUNTIFS(#REF!,$D224,#REF!,$Z224)&gt;0,"OK","ONBEKEND")),"ONZEKER")))))</f>
        <v/>
      </c>
      <c r="AB224" t="str">
        <f t="shared" si="1694"/>
        <v/>
      </c>
      <c r="AC224" t="str">
        <f t="shared" si="1695"/>
        <v/>
      </c>
      <c r="AD224" t="str">
        <f>IF($AC224="","",IF(OR($BQ224="",$BR224=""),"ONZEKER",IF(OR($BN224="",$BO224=""),"ONZEKER",IF(AND($BQ224=$BN224+1,$BR224=$BO224),IF(OR(COUNTIF(#REF!,$B224)&gt;0,COUNTIF(#REF!,$B224)=0),"SKIP",IF(COUNTIFS(#REF!,$B224,#REF!,$AC224)&gt;0,"OK","ONBEKEND")),IF(AND($BQ224=$BN224,$BR224=$BO224+1),IF(OR(COUNTIF(#REF!,$D224)&gt;0,COUNTIF(#REF!,$D224)=0),"SKIP",IF(COUNTIFS(#REF!,$D224,#REF!,$AC224)&gt;0,"OK","ONBEKEND")),"ONZEKER")))))</f>
        <v/>
      </c>
      <c r="AE224" t="str">
        <f t="shared" si="1696"/>
        <v/>
      </c>
      <c r="AF224" t="str">
        <f t="shared" si="1697"/>
        <v/>
      </c>
      <c r="AG224" t="str">
        <f>IF($AF224="","",IF(OR($BT224="",$BU224=""),"ONZEKER",IF(OR($BQ224="",$BR224=""),"ONZEKER",IF(AND($BT224=$BQ224+1,$BU224=$BR224),IF(OR(COUNTIF(#REF!,$B224)&gt;0,COUNTIF(#REF!,$B224)=0),"SKIP",IF(COUNTIFS(#REF!,$B224,#REF!,$AF224)&gt;0,"OK","ONBEKEND")),IF(AND($BT224=$BQ224,$BU224=$BR224+1),IF(OR(COUNTIF(#REF!,$D224)&gt;0,COUNTIF(#REF!,$D224)=0),"SKIP",IF(COUNTIFS(#REF!,$D224,#REF!,$AF224)&gt;0,"OK","ONBEKEND")),"ONZEKER")))))</f>
        <v/>
      </c>
      <c r="AH224" t="str">
        <f t="shared" si="1698"/>
        <v/>
      </c>
      <c r="AI224" t="str">
        <f t="shared" si="1699"/>
        <v/>
      </c>
      <c r="AJ224" t="str">
        <f>IF($AI224="","",IF(OR($BW224="",$BX224=""),"ONZEKER",IF(OR($BT224="",$BU224=""),"ONZEKER",IF(AND($BW224=$BT224+1,$BX224=$BU224),IF(OR(COUNTIF(#REF!,$B224)&gt;0,COUNTIF(#REF!,$B224)=0),"SKIP",IF(COUNTIFS(#REF!,$B224,#REF!,$AI224)&gt;0,"OK","ONBEKEND")),IF(AND($BW224=$BT224,$BX224=$BU224+1),IF(OR(COUNTIF(#REF!,$D224)&gt;0,COUNTIF(#REF!,$D224)=0),"SKIP",IF(COUNTIFS(#REF!,$D224,#REF!,$AI224)&gt;0,"OK","ONBEKEND")),"ONZEKER")))))</f>
        <v/>
      </c>
      <c r="AK224" t="str">
        <f t="shared" si="1700"/>
        <v/>
      </c>
      <c r="AL224" t="str">
        <f t="shared" si="1701"/>
        <v/>
      </c>
      <c r="AM224" t="str">
        <f>IF($AL224="","",IF(OR($BZ224="",$CA224=""),"ONZEKER",IF(OR($BW224="",$BX224=""),"ONZEKER",IF(AND($BZ224=$BW224+1,$CA224=$BX224),IF(OR(COUNTIF(#REF!,$B224)&gt;0,COUNTIF(#REF!,$B224)=0),"SKIP",IF(COUNTIFS(#REF!,$B224,#REF!,$AL224)&gt;0,"OK","ONBEKEND")),IF(AND($BZ224=$BW224,$CA224=$BX224+1),IF(OR(COUNTIF(#REF!,$D224)&gt;0,COUNTIF(#REF!,$D224)=0),"SKIP",IF(COUNTIFS(#REF!,$D224,#REF!,$AL224)&gt;0,"OK","ONBEKEND")),"ONZEKER")))))</f>
        <v/>
      </c>
      <c r="AN224" t="str">
        <f t="shared" si="1702"/>
        <v/>
      </c>
      <c r="AO224" t="str">
        <f t="shared" si="1703"/>
        <v/>
      </c>
      <c r="AP224" t="str">
        <f>IF($AO224="","",IF(OR($CC224="",$CD224=""),"ONZEKER",IF(OR($BZ224="",$CA224=""),"ONZEKER",IF(AND($CC224=$BZ224+1,$CD224=$CA224),IF(OR(COUNTIF(#REF!,$B224)&gt;0,COUNTIF(#REF!,$B224)=0),"SKIP",IF(COUNTIFS(#REF!,$B224,#REF!,$AO224)&gt;0,"OK","ONBEKEND")),IF(AND($CC224=$BZ224,$CD224=$CA224+1),IF(OR(COUNTIF(#REF!,$D224)&gt;0,COUNTIF(#REF!,$D224)=0),"SKIP",IF(COUNTIFS(#REF!,$D224,#REF!,$AO224)&gt;0,"OK","ONBEKEND")),"ONZEKER")))))</f>
        <v/>
      </c>
      <c r="AQ224" t="str">
        <f t="shared" si="1704"/>
        <v/>
      </c>
      <c r="AR224" t="str">
        <f t="shared" si="1705"/>
        <v/>
      </c>
      <c r="AS224" t="str">
        <f>IF($AR224="","",IF(OR($CF224="",$CG224=""),"ONZEKER",IF(OR($CC224="",$CD224=""),"ONZEKER",IF(AND($CF224=$CC224+1,$CG224=$CD224),IF(OR(COUNTIF(#REF!,$B224)&gt;0,COUNTIF(#REF!,$B224)=0),"SKIP",IF(COUNTIFS(#REF!,$B224,#REF!,$AR224)&gt;0,"OK","ONBEKEND")),IF(AND($CF224=$CC224,$CG224=$CD224+1),IF(OR(COUNTIF(#REF!,$D224)&gt;0,COUNTIF(#REF!,$D224)=0),"SKIP",IF(COUNTIFS(#REF!,$D224,#REF!,$AR224)&gt;0,"OK","ONBEKEND")),"ONZEKER")))))</f>
        <v/>
      </c>
      <c r="AT224" t="str">
        <f t="shared" si="1706"/>
        <v/>
      </c>
      <c r="AU224" t="str">
        <f t="shared" si="1707"/>
        <v/>
      </c>
      <c r="AV224" t="str">
        <f t="shared" si="1708"/>
        <v/>
      </c>
      <c r="AW224" t="str">
        <f t="shared" si="1709"/>
        <v/>
      </c>
      <c r="AX224" t="str">
        <f t="shared" si="1710"/>
        <v/>
      </c>
      <c r="AY224" t="str">
        <f t="shared" si="1711"/>
        <v/>
      </c>
      <c r="AZ224" t="str">
        <f t="shared" si="1712"/>
        <v/>
      </c>
      <c r="BA224" t="str">
        <f t="shared" si="1713"/>
        <v/>
      </c>
      <c r="BB224" t="str">
        <f t="shared" si="1714"/>
        <v/>
      </c>
      <c r="BC224" t="str">
        <f t="shared" si="1715"/>
        <v/>
      </c>
      <c r="BD224" t="str">
        <f t="shared" si="1470"/>
        <v/>
      </c>
      <c r="BE224" t="str">
        <f t="shared" si="1471"/>
        <v/>
      </c>
      <c r="BF224" t="str">
        <f t="shared" si="1472"/>
        <v/>
      </c>
      <c r="BG224" t="str">
        <f t="shared" si="1473"/>
        <v/>
      </c>
      <c r="BH224" t="str">
        <f t="shared" si="1474"/>
        <v/>
      </c>
      <c r="BI224" t="str">
        <f t="shared" si="1475"/>
        <v/>
      </c>
      <c r="BJ224" t="str">
        <f t="shared" si="1476"/>
        <v/>
      </c>
      <c r="BK224" t="str">
        <f t="shared" si="1477"/>
        <v/>
      </c>
      <c r="BL224" t="str">
        <f t="shared" si="1478"/>
        <v/>
      </c>
      <c r="BM224" t="str">
        <f t="shared" si="1479"/>
        <v/>
      </c>
      <c r="BN224" t="str">
        <f t="shared" si="1480"/>
        <v/>
      </c>
      <c r="BO224" t="str">
        <f t="shared" si="1481"/>
        <v/>
      </c>
      <c r="BP224" t="str">
        <f t="shared" si="1482"/>
        <v/>
      </c>
      <c r="BQ224" t="str">
        <f t="shared" si="1483"/>
        <v/>
      </c>
      <c r="BR224" t="str">
        <f t="shared" si="1484"/>
        <v/>
      </c>
      <c r="BS224" t="str">
        <f t="shared" si="1485"/>
        <v/>
      </c>
      <c r="BT224" t="str">
        <f t="shared" si="1486"/>
        <v/>
      </c>
      <c r="BU224" t="str">
        <f t="shared" si="1487"/>
        <v/>
      </c>
      <c r="BV224" t="str">
        <f t="shared" si="1488"/>
        <v/>
      </c>
      <c r="BW224" t="str">
        <f t="shared" si="1489"/>
        <v/>
      </c>
      <c r="BX224" t="str">
        <f t="shared" si="1490"/>
        <v/>
      </c>
      <c r="BY224" t="str">
        <f t="shared" si="1491"/>
        <v/>
      </c>
      <c r="BZ224" t="str">
        <f t="shared" si="1492"/>
        <v/>
      </c>
      <c r="CA224" t="str">
        <f t="shared" si="1493"/>
        <v/>
      </c>
      <c r="CB224" t="str">
        <f t="shared" si="1494"/>
        <v/>
      </c>
      <c r="CC224" t="str">
        <f t="shared" si="1495"/>
        <v/>
      </c>
      <c r="CD224" t="str">
        <f t="shared" si="1496"/>
        <v/>
      </c>
      <c r="CE224" t="str">
        <f t="shared" si="1497"/>
        <v/>
      </c>
      <c r="CF224" t="str">
        <f t="shared" si="1498"/>
        <v/>
      </c>
      <c r="CG224" t="str">
        <f t="shared" si="1499"/>
        <v/>
      </c>
      <c r="CH224" t="str">
        <f t="shared" si="1716"/>
        <v/>
      </c>
      <c r="CI224" t="str">
        <f t="shared" si="1717"/>
        <v/>
      </c>
      <c r="CJ224" t="str">
        <f>IF($CI224="","",IF(OR($DW224="",$DX224=""),"ONZEKER",IF(OR($CF224="",$CG224=""),"ONZEKER",IF(AND($DW224=$CF224+1,$DX224=$CG224),IF(OR(COUNTIF(#REF!,$B224)&gt;0,COUNTIF(#REF!,$B224)=0),"SKIP",IF(COUNTIFS(#REF!,$B224,#REF!,$CI224)&gt;0,"OK","ONBEKEND")),IF(AND($DW224=$CF224,$DX224=$CG224+1),IF(OR(COUNTIF(#REF!,$D224)&gt;0,COUNTIF(#REF!,$D224)=0),"SKIP",IF(COUNTIFS(#REF!,$D224,#REF!,$CI224)&gt;0,"OK","ONBEKEND")),"ONZEKER")))))</f>
        <v/>
      </c>
      <c r="CK224" t="str">
        <f t="shared" si="1718"/>
        <v/>
      </c>
      <c r="CL224" t="str">
        <f t="shared" si="1719"/>
        <v/>
      </c>
      <c r="CM224" t="str">
        <f>IF($CL224="","",IF(OR($DZ224="",$EA224=""),"ONZEKER",IF(OR($DW224="",$DX224=""),"ONZEKER",IF(AND($DZ224=$DW224+1,$EA224=$DX224),IF(OR(COUNTIF(#REF!,$B224)&gt;0,COUNTIF(#REF!,$B224)=0),"SKIP",IF(COUNTIFS(#REF!,$B224,#REF!,$CL224)&gt;0,"OK","ONBEKEND")),IF(AND($DZ224=$DW224,$EA224=$DX224+1),IF(OR(COUNTIF(#REF!,$D224)&gt;0,COUNTIF(#REF!,$D224)=0),"SKIP",IF(COUNTIFS(#REF!,$D224,#REF!,$CL224)&gt;0,"OK","ONBEKEND")),"ONZEKER")))))</f>
        <v/>
      </c>
      <c r="CN224" t="str">
        <f t="shared" si="1720"/>
        <v/>
      </c>
      <c r="CO224" t="str">
        <f t="shared" si="1721"/>
        <v/>
      </c>
      <c r="CP224" t="str">
        <f>IF($CO224="","",IF(OR($EC224="",$ED224=""),"ONZEKER",IF(OR($DZ224="",$EA224=""),"ONZEKER",IF(AND($EC224=$DZ224+1,$ED224=$EA224),IF(OR(COUNTIF(#REF!,$B224)&gt;0,COUNTIF(#REF!,$B224)=0),"SKIP",IF(COUNTIFS(#REF!,$B224,#REF!,$CO224)&gt;0,"OK","ONBEKEND")),IF(AND($EC224=$DZ224,$ED224=$EA224+1),IF(OR(COUNTIF(#REF!,$D224)&gt;0,COUNTIF(#REF!,$D224)=0),"SKIP",IF(COUNTIFS(#REF!,$D224,#REF!,$CO224)&gt;0,"OK","ONBEKEND")),"ONZEKER")))))</f>
        <v/>
      </c>
      <c r="CQ224" t="str">
        <f t="shared" si="1722"/>
        <v/>
      </c>
      <c r="CR224" t="str">
        <f t="shared" si="1723"/>
        <v/>
      </c>
      <c r="CS224" t="str">
        <f>IF($CR224="","",IF(OR($EF224="",$EG224=""),"ONZEKER",IF(OR($EC224="",$ED224=""),"ONZEKER",IF(AND($EF224=$EC224+1,$EG224=$ED224),IF(OR(COUNTIF(#REF!,$B224)&gt;0,COUNTIF(#REF!,$B224)=0),"SKIP",IF(COUNTIFS(#REF!,$B224,#REF!,$CR224)&gt;0,"OK","ONBEKEND")),IF(AND($EF224=$EC224,$EG224=$ED224+1),IF(OR(COUNTIF(#REF!,$D224)&gt;0,COUNTIF(#REF!,$D224)=0),"SKIP",IF(COUNTIFS(#REF!,$D224,#REF!,$CR224)&gt;0,"OK","ONBEKEND")),"ONZEKER")))))</f>
        <v/>
      </c>
      <c r="CT224" t="str">
        <f t="shared" si="1724"/>
        <v/>
      </c>
      <c r="CU224" t="str">
        <f t="shared" si="1725"/>
        <v/>
      </c>
      <c r="CV224" t="str">
        <f>IF($CU224="","",IF(OR($EI224="",$EJ224=""),"ONZEKER",IF(OR($EF224="",$EG224=""),"ONZEKER",IF(AND($EI224=$EF224+1,$EJ224=$EG224),IF(OR(COUNTIF(#REF!,$B224)&gt;0,COUNTIF(#REF!,$B224)=0),"SKIP",IF(COUNTIFS(#REF!,$B224,#REF!,$CU224)&gt;0,"OK","ONBEKEND")),IF(AND($EI224=$EF224,$EJ224=$EG224+1),IF(OR(COUNTIF(#REF!,$D224)&gt;0,COUNTIF(#REF!,$D224)=0),"SKIP",IF(COUNTIFS(#REF!,$D224,#REF!,$CU224)&gt;0,"OK","ONBEKEND")),"ONZEKER")))))</f>
        <v/>
      </c>
      <c r="CW224" t="str">
        <f t="shared" si="1726"/>
        <v/>
      </c>
      <c r="CX224" t="str">
        <f t="shared" si="1727"/>
        <v/>
      </c>
      <c r="CY224" t="str">
        <f>IF($CX224="","",IF(OR($EL224="",$EM224=""),"ONZEKER",IF(OR($EI224="",$EJ224=""),"ONZEKER",IF(AND($EL224=$EI224+1,$EM224=$EJ224),IF(OR(COUNTIF(#REF!,$B224)&gt;0,COUNTIF(#REF!,$B224)=0),"SKIP",IF(COUNTIFS(#REF!,$B224,#REF!,$CX224)&gt;0,"OK","ONBEKEND")),IF(AND($EL224=$EI224,$EM224=$EJ224+1),IF(OR(COUNTIF(#REF!,$D224)&gt;0,COUNTIF(#REF!,$D224)=0),"SKIP",IF(COUNTIFS(#REF!,$D224,#REF!,$CX224)&gt;0,"OK","ONBEKEND")),"ONZEKER")))))</f>
        <v/>
      </c>
      <c r="CZ224" t="str">
        <f t="shared" si="1728"/>
        <v/>
      </c>
      <c r="DA224" t="str">
        <f t="shared" si="1729"/>
        <v/>
      </c>
      <c r="DB224" t="str">
        <f>IF($DA224="","",IF(OR($EO224="",$EP224=""),"ONZEKER",IF(OR($EL224="",$EM224=""),"ONZEKER",IF(AND($EO224=$EL224+1,$EP224=$EM224),IF(OR(COUNTIF(#REF!,$B224)&gt;0,COUNTIF(#REF!,$B224)=0),"SKIP",IF(COUNTIFS(#REF!,$B224,#REF!,$DA224)&gt;0,"OK","ONBEKEND")),IF(AND($EO224=$EL224,$EP224=$EM224+1),IF(OR(COUNTIF(#REF!,$D224)&gt;0,COUNTIF(#REF!,$D224)=0),"SKIP",IF(COUNTIFS(#REF!,$D224,#REF!,$DA224)&gt;0,"OK","ONBEKEND")),"ONZEKER")))))</f>
        <v/>
      </c>
      <c r="DC224" t="str">
        <f t="shared" si="1730"/>
        <v/>
      </c>
      <c r="DD224" t="str">
        <f t="shared" si="1731"/>
        <v/>
      </c>
      <c r="DE224" t="str">
        <f>IF($DD224="","",IF(OR($ER224="",$ES224=""),"ONZEKER",IF(OR($EO224="",$EP224=""),"ONZEKER",IF(AND($ER224=$EO224+1,$ES224=$EP224),IF(OR(COUNTIF(#REF!,$B224)&gt;0,COUNTIF(#REF!,$B224)=0),"SKIP",IF(COUNTIFS(#REF!,$B224,#REF!,$DD224)&gt;0,"OK","ONBEKEND")),IF(AND($ER224=$EO224,$ES224=$EP224+1),IF(OR(COUNTIF(#REF!,$D224)&gt;0,COUNTIF(#REF!,$D224)=0),"SKIP",IF(COUNTIFS(#REF!,$D224,#REF!,$DD224)&gt;0,"OK","ONBEKEND")),"ONZEKER")))))</f>
        <v/>
      </c>
      <c r="DF224" t="str">
        <f t="shared" si="1732"/>
        <v/>
      </c>
      <c r="DG224" t="str">
        <f t="shared" si="1733"/>
        <v/>
      </c>
      <c r="DH224" t="str">
        <f>IF($DG224="","",IF(OR($EU224="",$EV224=""),"ONZEKER",IF(OR($ER224="",$ES224=""),"ONZEKER",IF(AND($EU224=$ER224+1,$EV224=$ES224),IF(OR(COUNTIF(#REF!,$B224)&gt;0,COUNTIF(#REF!,$B224)=0),"SKIP",IF(COUNTIFS(#REF!,$B224,#REF!,$DG224)&gt;0,"OK","ONBEKEND")),IF(AND($EU224=$ER224,$EV224=$ES224+1),IF(OR(COUNTIF(#REF!,$D224)&gt;0,COUNTIF(#REF!,$D224)=0),"SKIP",IF(COUNTIFS(#REF!,$D224,#REF!,$DG224)&gt;0,"OK","ONBEKEND")),"ONZEKER")))))</f>
        <v/>
      </c>
      <c r="DI224" t="str">
        <f t="shared" si="1734"/>
        <v/>
      </c>
      <c r="DJ224" t="str">
        <f t="shared" si="1735"/>
        <v/>
      </c>
      <c r="DK224" t="str">
        <f>IF($DJ224="","",IF(OR($EX224="",$EY224=""),"ONZEKER",IF(OR($EU224="",$EV224=""),"ONZEKER",IF(AND($EX224=$EU224+1,$EY224=$EV224),IF(OR(COUNTIF(#REF!,$B224)&gt;0,COUNTIF(#REF!,$B224)=0),"SKIP",IF(COUNTIFS(#REF!,$B224,#REF!,$DJ224)&gt;0,"OK","ONBEKEND")),IF(AND($EX224=$EU224,$EY224=$EV224+1),IF(OR(COUNTIF(#REF!,$D224)&gt;0,COUNTIF(#REF!,$D224)=0),"SKIP",IF(COUNTIFS(#REF!,$D224,#REF!,$DJ224)&gt;0,"OK","ONBEKEND")),"ONZEKER")))))</f>
        <v/>
      </c>
      <c r="DL224" t="str">
        <f t="shared" si="1736"/>
        <v/>
      </c>
      <c r="DM224" t="str">
        <f t="shared" si="1737"/>
        <v/>
      </c>
      <c r="DN224" t="str">
        <f t="shared" si="1738"/>
        <v/>
      </c>
      <c r="DO224" t="str">
        <f t="shared" si="1739"/>
        <v/>
      </c>
      <c r="DP224" t="str">
        <f t="shared" si="1740"/>
        <v/>
      </c>
      <c r="DQ224" t="str">
        <f t="shared" si="1741"/>
        <v/>
      </c>
      <c r="DR224" t="str">
        <f t="shared" si="1742"/>
        <v/>
      </c>
      <c r="DS224" t="str">
        <f t="shared" si="1743"/>
        <v/>
      </c>
      <c r="DT224" t="str">
        <f t="shared" si="1744"/>
        <v/>
      </c>
      <c r="DU224" t="str">
        <f t="shared" si="1745"/>
        <v/>
      </c>
      <c r="DV224" t="str">
        <f t="shared" si="1746"/>
        <v/>
      </c>
      <c r="DW224" t="str">
        <f t="shared" si="1747"/>
        <v/>
      </c>
      <c r="DX224" t="str">
        <f t="shared" si="1748"/>
        <v/>
      </c>
      <c r="DY224" t="str">
        <f t="shared" si="1749"/>
        <v/>
      </c>
      <c r="DZ224" t="str">
        <f t="shared" si="1750"/>
        <v/>
      </c>
      <c r="EA224" t="str">
        <f t="shared" si="1751"/>
        <v/>
      </c>
      <c r="EB224" t="str">
        <f t="shared" si="1752"/>
        <v/>
      </c>
      <c r="EC224" t="str">
        <f t="shared" si="1753"/>
        <v/>
      </c>
      <c r="ED224" t="str">
        <f t="shared" si="1754"/>
        <v/>
      </c>
      <c r="EE224" t="str">
        <f t="shared" si="1755"/>
        <v/>
      </c>
      <c r="EF224" t="str">
        <f t="shared" si="1756"/>
        <v/>
      </c>
      <c r="EG224" t="str">
        <f t="shared" si="1757"/>
        <v/>
      </c>
      <c r="EH224" t="str">
        <f t="shared" si="1758"/>
        <v/>
      </c>
      <c r="EI224" t="str">
        <f t="shared" si="1759"/>
        <v/>
      </c>
      <c r="EJ224" t="str">
        <f t="shared" si="1760"/>
        <v/>
      </c>
      <c r="EK224" t="str">
        <f t="shared" si="1761"/>
        <v/>
      </c>
      <c r="EL224" t="str">
        <f t="shared" si="1762"/>
        <v/>
      </c>
      <c r="EM224" t="str">
        <f t="shared" si="1763"/>
        <v/>
      </c>
      <c r="EN224" t="str">
        <f t="shared" si="1764"/>
        <v/>
      </c>
      <c r="EO224" t="str">
        <f t="shared" si="1765"/>
        <v/>
      </c>
      <c r="EP224" t="str">
        <f t="shared" si="1766"/>
        <v/>
      </c>
      <c r="EQ224" t="str">
        <f t="shared" si="1767"/>
        <v/>
      </c>
      <c r="ER224" t="str">
        <f t="shared" si="1768"/>
        <v/>
      </c>
      <c r="ES224" t="str">
        <f t="shared" si="1769"/>
        <v/>
      </c>
      <c r="ET224" t="str">
        <f t="shared" si="1770"/>
        <v/>
      </c>
      <c r="EU224" t="str">
        <f t="shared" si="1771"/>
        <v/>
      </c>
      <c r="EV224" t="str">
        <f t="shared" si="1772"/>
        <v/>
      </c>
      <c r="EW224" t="str">
        <f t="shared" si="1773"/>
        <v/>
      </c>
      <c r="EX224" t="str">
        <f t="shared" si="1774"/>
        <v/>
      </c>
      <c r="EY224" t="str">
        <f t="shared" si="1775"/>
        <v/>
      </c>
    </row>
    <row r="225" spans="1:155" ht="13.9" customHeight="1" x14ac:dyDescent="0.25">
      <c r="A225" s="7"/>
      <c r="B225" s="17"/>
      <c r="C225" s="8"/>
      <c r="D225" s="17"/>
      <c r="E225" s="8"/>
      <c r="F225" s="18">
        <v>0</v>
      </c>
      <c r="G225" s="7" t="s">
        <v>147</v>
      </c>
      <c r="H225" s="18">
        <v>0</v>
      </c>
      <c r="I225" s="19">
        <v>0</v>
      </c>
      <c r="J225" s="7" t="s">
        <v>147</v>
      </c>
      <c r="K225" s="19">
        <v>0</v>
      </c>
      <c r="L225" s="9"/>
      <c r="M225" s="3" t="str">
        <f>IF($L225="","",IF($L225="DOELPUNTENMAKERS","",IF(AND(COUNTIF(#REF!,$B225)=0,COUNTIF(#REF!,$D225)=0),"OK",IF($O225&gt;20,"LET OP: meer dan 20 items (controle onvolledig)",IF((COUNTIF($R225:$AS225,"ONZEKER")+COUNTIF($CJ225:$DK225,"ONZEKER"))&gt;0,"LET OP: scoreverloop onduidelijk (controle beperkt)",IF((IF($AT225&lt;&gt;"",$AT225&amp;", ","")&amp;IF($AU225&lt;&gt;"",$AU225&amp;", ","")&amp;IF($AV225&lt;&gt;"",$AV225&amp;", ","")&amp;IF($AW225&lt;&gt;"",$AW225&amp;", ","")&amp;IF($AX225&lt;&gt;"",$AX225&amp;", ","")&amp;IF($AY225&lt;&gt;"",$AY225&amp;", ","")&amp;IF($AZ225&lt;&gt;"",$AZ225&amp;", ","")&amp;IF($BA225&lt;&gt;"",$BA225&amp;", ","")&amp;IF($BB225&lt;&gt;"",$BB225&amp;", ","")&amp;IF($BC225&lt;&gt;"",$BC225&amp;", ","")&amp;IF($DL225&lt;&gt;"",$DL225&amp;", ","")&amp;IF($DM225&lt;&gt;"",$DM225&amp;", ","")&amp;IF($DN225&lt;&gt;"",$DN225&amp;", ","")&amp;IF($DO225&lt;&gt;"",$DO225&amp;", ","")&amp;IF($DP225&lt;&gt;"",$DP225&amp;", ","")&amp;IF($DQ225&lt;&gt;"",$DQ225&amp;", ","")&amp;IF($DR225&lt;&gt;"",$DR225&amp;", ","")&amp;IF($DS225&lt;&gt;"",$DS225&amp;", ","")&amp;IF($DT225&lt;&gt;"",$DT225&amp;", ","")&amp;IF($DU225&lt;&gt;"",$DU225&amp;", ",""))="","OK","Onbekend: "&amp;LEFT((IF($AT225&lt;&gt;"",$AT225&amp;", ","")&amp;IF($AU225&lt;&gt;"",$AU225&amp;", ","")&amp;IF($AV225&lt;&gt;"",$AV225&amp;", ","")&amp;IF($AW225&lt;&gt;"",$AW225&amp;", ","")&amp;IF($AX225&lt;&gt;"",$AX225&amp;", ","")&amp;IF($AY225&lt;&gt;"",$AY225&amp;", ","")&amp;IF($AZ225&lt;&gt;"",$AZ225&amp;", ","")&amp;IF($BA225&lt;&gt;"",$BA225&amp;", ","")&amp;IF($BB225&lt;&gt;"",$BB225&amp;", ","")&amp;IF($BC225&lt;&gt;"",$BC225&amp;", ","")&amp;IF($DL225&lt;&gt;"",$DL225&amp;", ","")&amp;IF($DM225&lt;&gt;"",$DM225&amp;", ","")&amp;IF($DN225&lt;&gt;"",$DN225&amp;", ","")&amp;IF($DO225&lt;&gt;"",$DO225&amp;", ","")&amp;IF($DP225&lt;&gt;"",$DP225&amp;", ","")&amp;IF($DQ225&lt;&gt;"",$DQ225&amp;", ","")&amp;IF($DR225&lt;&gt;"",$DR225&amp;", ","")&amp;IF($DS225&lt;&gt;"",$DS225&amp;", ","")&amp;IF($DT225&lt;&gt;"",$DT225&amp;", ","")&amp;IF($DU225&lt;&gt;"",$DU225&amp;", ","")),LEN((IF($AT225&lt;&gt;"",$AT225&amp;", ","")&amp;IF($AU225&lt;&gt;"",$AU225&amp;", ","")&amp;IF($AV225&lt;&gt;"",$AV225&amp;", ","")&amp;IF($AW225&lt;&gt;"",$AW225&amp;", ","")&amp;IF($AX225&lt;&gt;"",$AX225&amp;", ","")&amp;IF($AY225&lt;&gt;"",$AY225&amp;", ","")&amp;IF($AZ225&lt;&gt;"",$AZ225&amp;", ","")&amp;IF($BA225&lt;&gt;"",$BA225&amp;", ","")&amp;IF($BB225&lt;&gt;"",$BB225&amp;", ","")&amp;IF($BC225&lt;&gt;"",$BC225&amp;", ","")&amp;IF($DL225&lt;&gt;"",$DL225&amp;", ","")&amp;IF($DM225&lt;&gt;"",$DM225&amp;", ","")&amp;IF($DN225&lt;&gt;"",$DN225&amp;", ","")&amp;IF($DO225&lt;&gt;"",$DO225&amp;", ","")&amp;IF($DP225&lt;&gt;"",$DP225&amp;", ","")&amp;IF($DQ225&lt;&gt;"",$DQ225&amp;", ","")&amp;IF($DR225&lt;&gt;"",$DR225&amp;", ","")&amp;IF($DS225&lt;&gt;"",$DS225&amp;", ","")&amp;IF($DT225&lt;&gt;"",$DT225&amp;", ","")&amp;IF($DU225&lt;&gt;"",$DU225&amp;", ","")))-2)))))))</f>
        <v/>
      </c>
      <c r="N225" t="str">
        <f t="shared" si="1684"/>
        <v/>
      </c>
      <c r="O225" t="str">
        <f t="shared" si="1685"/>
        <v/>
      </c>
      <c r="P225" t="str">
        <f t="shared" si="1686"/>
        <v/>
      </c>
      <c r="Q225" t="str">
        <f t="shared" si="1687"/>
        <v/>
      </c>
      <c r="R225" t="str">
        <f>IF($Q225="","",IF(OR($BE225="",$BF225=""),"ONZEKER",IF(AND($BE225=0+1,$BF225=0),IF(OR(COUNTIF(#REF!,$B225)&gt;0,COUNTIF(#REF!,$B225)=0),"SKIP",IF(COUNTIFS(#REF!,$B225,#REF!,$Q225)&gt;0,"OK","ONBEKEND")),IF(AND($BE225=0,$BF225=0+1),IF(OR(COUNTIF(#REF!,$D225)&gt;0,COUNTIF(#REF!,$D225)=0),"SKIP",IF(COUNTIFS(#REF!,$D225,#REF!,$Q225)&gt;0,"OK","ONBEKEND")),"ONZEKER"))))</f>
        <v/>
      </c>
      <c r="S225" t="str">
        <f t="shared" si="1688"/>
        <v/>
      </c>
      <c r="T225" t="str">
        <f t="shared" si="1689"/>
        <v/>
      </c>
      <c r="U225" t="str">
        <f>IF($T225="","",IF(OR($BH225="",$BI225=""),"ONZEKER",IF(OR($BE225="",$BF225=""),"ONZEKER",IF(AND($BH225=$BE225+1,$BI225=$BF225),IF(OR(COUNTIF(#REF!,$B225)&gt;0,COUNTIF(#REF!,$B225)=0),"SKIP",IF(COUNTIFS(#REF!,$B225,#REF!,$T225)&gt;0,"OK","ONBEKEND")),IF(AND($BH225=$BE225,$BI225=$BF225+1),IF(OR(COUNTIF(#REF!,$D225)&gt;0,COUNTIF(#REF!,$D225)=0),"SKIP",IF(COUNTIFS(#REF!,$D225,#REF!,$T225)&gt;0,"OK","ONBEKEND")),"ONZEKER")))))</f>
        <v/>
      </c>
      <c r="V225" t="str">
        <f t="shared" si="1690"/>
        <v/>
      </c>
      <c r="W225" t="str">
        <f t="shared" si="1691"/>
        <v/>
      </c>
      <c r="X225" t="str">
        <f>IF($W225="","",IF(OR($BK225="",$BL225=""),"ONZEKER",IF(OR($BH225="",$BI225=""),"ONZEKER",IF(AND($BK225=$BH225+1,$BL225=$BI225),IF(OR(COUNTIF(#REF!,$B225)&gt;0,COUNTIF(#REF!,$B225)=0),"SKIP",IF(COUNTIFS(#REF!,$B225,#REF!,$W225)&gt;0,"OK","ONBEKEND")),IF(AND($BK225=$BH225,$BL225=$BI225+1),IF(OR(COUNTIF(#REF!,$D225)&gt;0,COUNTIF(#REF!,$D225)=0),"SKIP",IF(COUNTIFS(#REF!,$D225,#REF!,$W225)&gt;0,"OK","ONBEKEND")),"ONZEKER")))))</f>
        <v/>
      </c>
      <c r="Y225" t="str">
        <f t="shared" si="1692"/>
        <v/>
      </c>
      <c r="Z225" t="str">
        <f t="shared" si="1693"/>
        <v/>
      </c>
      <c r="AA225" t="str">
        <f>IF($Z225="","",IF(OR($BN225="",$BO225=""),"ONZEKER",IF(OR($BK225="",$BL225=""),"ONZEKER",IF(AND($BN225=$BK225+1,$BO225=$BL225),IF(OR(COUNTIF(#REF!,$B225)&gt;0,COUNTIF(#REF!,$B225)=0),"SKIP",IF(COUNTIFS(#REF!,$B225,#REF!,$Z225)&gt;0,"OK","ONBEKEND")),IF(AND($BN225=$BK225,$BO225=$BL225+1),IF(OR(COUNTIF(#REF!,$D225)&gt;0,COUNTIF(#REF!,$D225)=0),"SKIP",IF(COUNTIFS(#REF!,$D225,#REF!,$Z225)&gt;0,"OK","ONBEKEND")),"ONZEKER")))))</f>
        <v/>
      </c>
      <c r="AB225" t="str">
        <f t="shared" si="1694"/>
        <v/>
      </c>
      <c r="AC225" t="str">
        <f t="shared" si="1695"/>
        <v/>
      </c>
      <c r="AD225" t="str">
        <f>IF($AC225="","",IF(OR($BQ225="",$BR225=""),"ONZEKER",IF(OR($BN225="",$BO225=""),"ONZEKER",IF(AND($BQ225=$BN225+1,$BR225=$BO225),IF(OR(COUNTIF(#REF!,$B225)&gt;0,COUNTIF(#REF!,$B225)=0),"SKIP",IF(COUNTIFS(#REF!,$B225,#REF!,$AC225)&gt;0,"OK","ONBEKEND")),IF(AND($BQ225=$BN225,$BR225=$BO225+1),IF(OR(COUNTIF(#REF!,$D225)&gt;0,COUNTIF(#REF!,$D225)=0),"SKIP",IF(COUNTIFS(#REF!,$D225,#REF!,$AC225)&gt;0,"OK","ONBEKEND")),"ONZEKER")))))</f>
        <v/>
      </c>
      <c r="AE225" t="str">
        <f t="shared" si="1696"/>
        <v/>
      </c>
      <c r="AF225" t="str">
        <f t="shared" si="1697"/>
        <v/>
      </c>
      <c r="AG225" t="str">
        <f>IF($AF225="","",IF(OR($BT225="",$BU225=""),"ONZEKER",IF(OR($BQ225="",$BR225=""),"ONZEKER",IF(AND($BT225=$BQ225+1,$BU225=$BR225),IF(OR(COUNTIF(#REF!,$B225)&gt;0,COUNTIF(#REF!,$B225)=0),"SKIP",IF(COUNTIFS(#REF!,$B225,#REF!,$AF225)&gt;0,"OK","ONBEKEND")),IF(AND($BT225=$BQ225,$BU225=$BR225+1),IF(OR(COUNTIF(#REF!,$D225)&gt;0,COUNTIF(#REF!,$D225)=0),"SKIP",IF(COUNTIFS(#REF!,$D225,#REF!,$AF225)&gt;0,"OK","ONBEKEND")),"ONZEKER")))))</f>
        <v/>
      </c>
      <c r="AH225" t="str">
        <f t="shared" si="1698"/>
        <v/>
      </c>
      <c r="AI225" t="str">
        <f t="shared" si="1699"/>
        <v/>
      </c>
      <c r="AJ225" t="str">
        <f>IF($AI225="","",IF(OR($BW225="",$BX225=""),"ONZEKER",IF(OR($BT225="",$BU225=""),"ONZEKER",IF(AND($BW225=$BT225+1,$BX225=$BU225),IF(OR(COUNTIF(#REF!,$B225)&gt;0,COUNTIF(#REF!,$B225)=0),"SKIP",IF(COUNTIFS(#REF!,$B225,#REF!,$AI225)&gt;0,"OK","ONBEKEND")),IF(AND($BW225=$BT225,$BX225=$BU225+1),IF(OR(COUNTIF(#REF!,$D225)&gt;0,COUNTIF(#REF!,$D225)=0),"SKIP",IF(COUNTIFS(#REF!,$D225,#REF!,$AI225)&gt;0,"OK","ONBEKEND")),"ONZEKER")))))</f>
        <v/>
      </c>
      <c r="AK225" t="str">
        <f t="shared" si="1700"/>
        <v/>
      </c>
      <c r="AL225" t="str">
        <f t="shared" si="1701"/>
        <v/>
      </c>
      <c r="AM225" t="str">
        <f>IF($AL225="","",IF(OR($BZ225="",$CA225=""),"ONZEKER",IF(OR($BW225="",$BX225=""),"ONZEKER",IF(AND($BZ225=$BW225+1,$CA225=$BX225),IF(OR(COUNTIF(#REF!,$B225)&gt;0,COUNTIF(#REF!,$B225)=0),"SKIP",IF(COUNTIFS(#REF!,$B225,#REF!,$AL225)&gt;0,"OK","ONBEKEND")),IF(AND($BZ225=$BW225,$CA225=$BX225+1),IF(OR(COUNTIF(#REF!,$D225)&gt;0,COUNTIF(#REF!,$D225)=0),"SKIP",IF(COUNTIFS(#REF!,$D225,#REF!,$AL225)&gt;0,"OK","ONBEKEND")),"ONZEKER")))))</f>
        <v/>
      </c>
      <c r="AN225" t="str">
        <f t="shared" si="1702"/>
        <v/>
      </c>
      <c r="AO225" t="str">
        <f t="shared" si="1703"/>
        <v/>
      </c>
      <c r="AP225" t="str">
        <f>IF($AO225="","",IF(OR($CC225="",$CD225=""),"ONZEKER",IF(OR($BZ225="",$CA225=""),"ONZEKER",IF(AND($CC225=$BZ225+1,$CD225=$CA225),IF(OR(COUNTIF(#REF!,$B225)&gt;0,COUNTIF(#REF!,$B225)=0),"SKIP",IF(COUNTIFS(#REF!,$B225,#REF!,$AO225)&gt;0,"OK","ONBEKEND")),IF(AND($CC225=$BZ225,$CD225=$CA225+1),IF(OR(COUNTIF(#REF!,$D225)&gt;0,COUNTIF(#REF!,$D225)=0),"SKIP",IF(COUNTIFS(#REF!,$D225,#REF!,$AO225)&gt;0,"OK","ONBEKEND")),"ONZEKER")))))</f>
        <v/>
      </c>
      <c r="AQ225" t="str">
        <f t="shared" si="1704"/>
        <v/>
      </c>
      <c r="AR225" t="str">
        <f t="shared" si="1705"/>
        <v/>
      </c>
      <c r="AS225" t="str">
        <f>IF($AR225="","",IF(OR($CF225="",$CG225=""),"ONZEKER",IF(OR($CC225="",$CD225=""),"ONZEKER",IF(AND($CF225=$CC225+1,$CG225=$CD225),IF(OR(COUNTIF(#REF!,$B225)&gt;0,COUNTIF(#REF!,$B225)=0),"SKIP",IF(COUNTIFS(#REF!,$B225,#REF!,$AR225)&gt;0,"OK","ONBEKEND")),IF(AND($CF225=$CC225,$CG225=$CD225+1),IF(OR(COUNTIF(#REF!,$D225)&gt;0,COUNTIF(#REF!,$D225)=0),"SKIP",IF(COUNTIFS(#REF!,$D225,#REF!,$AR225)&gt;0,"OK","ONBEKEND")),"ONZEKER")))))</f>
        <v/>
      </c>
      <c r="AT225" t="str">
        <f t="shared" si="1706"/>
        <v/>
      </c>
      <c r="AU225" t="str">
        <f t="shared" si="1707"/>
        <v/>
      </c>
      <c r="AV225" t="str">
        <f t="shared" si="1708"/>
        <v/>
      </c>
      <c r="AW225" t="str">
        <f t="shared" si="1709"/>
        <v/>
      </c>
      <c r="AX225" t="str">
        <f t="shared" si="1710"/>
        <v/>
      </c>
      <c r="AY225" t="str">
        <f t="shared" si="1711"/>
        <v/>
      </c>
      <c r="AZ225" t="str">
        <f t="shared" si="1712"/>
        <v/>
      </c>
      <c r="BA225" t="str">
        <f t="shared" si="1713"/>
        <v/>
      </c>
      <c r="BB225" t="str">
        <f t="shared" si="1714"/>
        <v/>
      </c>
      <c r="BC225" t="str">
        <f t="shared" si="1715"/>
        <v/>
      </c>
      <c r="BD225" t="str">
        <f t="shared" si="1470"/>
        <v/>
      </c>
      <c r="BE225" t="str">
        <f t="shared" si="1471"/>
        <v/>
      </c>
      <c r="BF225" t="str">
        <f t="shared" si="1472"/>
        <v/>
      </c>
      <c r="BG225" t="str">
        <f t="shared" si="1473"/>
        <v/>
      </c>
      <c r="BH225" t="str">
        <f t="shared" si="1474"/>
        <v/>
      </c>
      <c r="BI225" t="str">
        <f t="shared" si="1475"/>
        <v/>
      </c>
      <c r="BJ225" t="str">
        <f t="shared" si="1476"/>
        <v/>
      </c>
      <c r="BK225" t="str">
        <f t="shared" si="1477"/>
        <v/>
      </c>
      <c r="BL225" t="str">
        <f t="shared" si="1478"/>
        <v/>
      </c>
      <c r="BM225" t="str">
        <f t="shared" si="1479"/>
        <v/>
      </c>
      <c r="BN225" t="str">
        <f t="shared" si="1480"/>
        <v/>
      </c>
      <c r="BO225" t="str">
        <f t="shared" si="1481"/>
        <v/>
      </c>
      <c r="BP225" t="str">
        <f t="shared" si="1482"/>
        <v/>
      </c>
      <c r="BQ225" t="str">
        <f t="shared" si="1483"/>
        <v/>
      </c>
      <c r="BR225" t="str">
        <f t="shared" si="1484"/>
        <v/>
      </c>
      <c r="BS225" t="str">
        <f t="shared" si="1485"/>
        <v/>
      </c>
      <c r="BT225" t="str">
        <f t="shared" si="1486"/>
        <v/>
      </c>
      <c r="BU225" t="str">
        <f t="shared" si="1487"/>
        <v/>
      </c>
      <c r="BV225" t="str">
        <f t="shared" si="1488"/>
        <v/>
      </c>
      <c r="BW225" t="str">
        <f t="shared" si="1489"/>
        <v/>
      </c>
      <c r="BX225" t="str">
        <f t="shared" si="1490"/>
        <v/>
      </c>
      <c r="BY225" t="str">
        <f t="shared" si="1491"/>
        <v/>
      </c>
      <c r="BZ225" t="str">
        <f t="shared" si="1492"/>
        <v/>
      </c>
      <c r="CA225" t="str">
        <f t="shared" si="1493"/>
        <v/>
      </c>
      <c r="CB225" t="str">
        <f t="shared" si="1494"/>
        <v/>
      </c>
      <c r="CC225" t="str">
        <f t="shared" si="1495"/>
        <v/>
      </c>
      <c r="CD225" t="str">
        <f t="shared" si="1496"/>
        <v/>
      </c>
      <c r="CE225" t="str">
        <f t="shared" si="1497"/>
        <v/>
      </c>
      <c r="CF225" t="str">
        <f t="shared" si="1498"/>
        <v/>
      </c>
      <c r="CG225" t="str">
        <f t="shared" si="1499"/>
        <v/>
      </c>
      <c r="CH225" t="str">
        <f t="shared" si="1716"/>
        <v/>
      </c>
      <c r="CI225" t="str">
        <f t="shared" si="1717"/>
        <v/>
      </c>
      <c r="CJ225" t="str">
        <f>IF($CI225="","",IF(OR($DW225="",$DX225=""),"ONZEKER",IF(OR($CF225="",$CG225=""),"ONZEKER",IF(AND($DW225=$CF225+1,$DX225=$CG225),IF(OR(COUNTIF(#REF!,$B225)&gt;0,COUNTIF(#REF!,$B225)=0),"SKIP",IF(COUNTIFS(#REF!,$B225,#REF!,$CI225)&gt;0,"OK","ONBEKEND")),IF(AND($DW225=$CF225,$DX225=$CG225+1),IF(OR(COUNTIF(#REF!,$D225)&gt;0,COUNTIF(#REF!,$D225)=0),"SKIP",IF(COUNTIFS(#REF!,$D225,#REF!,$CI225)&gt;0,"OK","ONBEKEND")),"ONZEKER")))))</f>
        <v/>
      </c>
      <c r="CK225" t="str">
        <f t="shared" si="1718"/>
        <v/>
      </c>
      <c r="CL225" t="str">
        <f t="shared" si="1719"/>
        <v/>
      </c>
      <c r="CM225" t="str">
        <f>IF($CL225="","",IF(OR($DZ225="",$EA225=""),"ONZEKER",IF(OR($DW225="",$DX225=""),"ONZEKER",IF(AND($DZ225=$DW225+1,$EA225=$DX225),IF(OR(COUNTIF(#REF!,$B225)&gt;0,COUNTIF(#REF!,$B225)=0),"SKIP",IF(COUNTIFS(#REF!,$B225,#REF!,$CL225)&gt;0,"OK","ONBEKEND")),IF(AND($DZ225=$DW225,$EA225=$DX225+1),IF(OR(COUNTIF(#REF!,$D225)&gt;0,COUNTIF(#REF!,$D225)=0),"SKIP",IF(COUNTIFS(#REF!,$D225,#REF!,$CL225)&gt;0,"OK","ONBEKEND")),"ONZEKER")))))</f>
        <v/>
      </c>
      <c r="CN225" t="str">
        <f t="shared" si="1720"/>
        <v/>
      </c>
      <c r="CO225" t="str">
        <f t="shared" si="1721"/>
        <v/>
      </c>
      <c r="CP225" t="str">
        <f>IF($CO225="","",IF(OR($EC225="",$ED225=""),"ONZEKER",IF(OR($DZ225="",$EA225=""),"ONZEKER",IF(AND($EC225=$DZ225+1,$ED225=$EA225),IF(OR(COUNTIF(#REF!,$B225)&gt;0,COUNTIF(#REF!,$B225)=0),"SKIP",IF(COUNTIFS(#REF!,$B225,#REF!,$CO225)&gt;0,"OK","ONBEKEND")),IF(AND($EC225=$DZ225,$ED225=$EA225+1),IF(OR(COUNTIF(#REF!,$D225)&gt;0,COUNTIF(#REF!,$D225)=0),"SKIP",IF(COUNTIFS(#REF!,$D225,#REF!,$CO225)&gt;0,"OK","ONBEKEND")),"ONZEKER")))))</f>
        <v/>
      </c>
      <c r="CQ225" t="str">
        <f t="shared" si="1722"/>
        <v/>
      </c>
      <c r="CR225" t="str">
        <f t="shared" si="1723"/>
        <v/>
      </c>
      <c r="CS225" t="str">
        <f>IF($CR225="","",IF(OR($EF225="",$EG225=""),"ONZEKER",IF(OR($EC225="",$ED225=""),"ONZEKER",IF(AND($EF225=$EC225+1,$EG225=$ED225),IF(OR(COUNTIF(#REF!,$B225)&gt;0,COUNTIF(#REF!,$B225)=0),"SKIP",IF(COUNTIFS(#REF!,$B225,#REF!,$CR225)&gt;0,"OK","ONBEKEND")),IF(AND($EF225=$EC225,$EG225=$ED225+1),IF(OR(COUNTIF(#REF!,$D225)&gt;0,COUNTIF(#REF!,$D225)=0),"SKIP",IF(COUNTIFS(#REF!,$D225,#REF!,$CR225)&gt;0,"OK","ONBEKEND")),"ONZEKER")))))</f>
        <v/>
      </c>
      <c r="CT225" t="str">
        <f t="shared" si="1724"/>
        <v/>
      </c>
      <c r="CU225" t="str">
        <f t="shared" si="1725"/>
        <v/>
      </c>
      <c r="CV225" t="str">
        <f>IF($CU225="","",IF(OR($EI225="",$EJ225=""),"ONZEKER",IF(OR($EF225="",$EG225=""),"ONZEKER",IF(AND($EI225=$EF225+1,$EJ225=$EG225),IF(OR(COUNTIF(#REF!,$B225)&gt;0,COUNTIF(#REF!,$B225)=0),"SKIP",IF(COUNTIFS(#REF!,$B225,#REF!,$CU225)&gt;0,"OK","ONBEKEND")),IF(AND($EI225=$EF225,$EJ225=$EG225+1),IF(OR(COUNTIF(#REF!,$D225)&gt;0,COUNTIF(#REF!,$D225)=0),"SKIP",IF(COUNTIFS(#REF!,$D225,#REF!,$CU225)&gt;0,"OK","ONBEKEND")),"ONZEKER")))))</f>
        <v/>
      </c>
      <c r="CW225" t="str">
        <f t="shared" si="1726"/>
        <v/>
      </c>
      <c r="CX225" t="str">
        <f t="shared" si="1727"/>
        <v/>
      </c>
      <c r="CY225" t="str">
        <f>IF($CX225="","",IF(OR($EL225="",$EM225=""),"ONZEKER",IF(OR($EI225="",$EJ225=""),"ONZEKER",IF(AND($EL225=$EI225+1,$EM225=$EJ225),IF(OR(COUNTIF(#REF!,$B225)&gt;0,COUNTIF(#REF!,$B225)=0),"SKIP",IF(COUNTIFS(#REF!,$B225,#REF!,$CX225)&gt;0,"OK","ONBEKEND")),IF(AND($EL225=$EI225,$EM225=$EJ225+1),IF(OR(COUNTIF(#REF!,$D225)&gt;0,COUNTIF(#REF!,$D225)=0),"SKIP",IF(COUNTIFS(#REF!,$D225,#REF!,$CX225)&gt;0,"OK","ONBEKEND")),"ONZEKER")))))</f>
        <v/>
      </c>
      <c r="CZ225" t="str">
        <f t="shared" si="1728"/>
        <v/>
      </c>
      <c r="DA225" t="str">
        <f t="shared" si="1729"/>
        <v/>
      </c>
      <c r="DB225" t="str">
        <f>IF($DA225="","",IF(OR($EO225="",$EP225=""),"ONZEKER",IF(OR($EL225="",$EM225=""),"ONZEKER",IF(AND($EO225=$EL225+1,$EP225=$EM225),IF(OR(COUNTIF(#REF!,$B225)&gt;0,COUNTIF(#REF!,$B225)=0),"SKIP",IF(COUNTIFS(#REF!,$B225,#REF!,$DA225)&gt;0,"OK","ONBEKEND")),IF(AND($EO225=$EL225,$EP225=$EM225+1),IF(OR(COUNTIF(#REF!,$D225)&gt;0,COUNTIF(#REF!,$D225)=0),"SKIP",IF(COUNTIFS(#REF!,$D225,#REF!,$DA225)&gt;0,"OK","ONBEKEND")),"ONZEKER")))))</f>
        <v/>
      </c>
      <c r="DC225" t="str">
        <f t="shared" si="1730"/>
        <v/>
      </c>
      <c r="DD225" t="str">
        <f t="shared" si="1731"/>
        <v/>
      </c>
      <c r="DE225" t="str">
        <f>IF($DD225="","",IF(OR($ER225="",$ES225=""),"ONZEKER",IF(OR($EO225="",$EP225=""),"ONZEKER",IF(AND($ER225=$EO225+1,$ES225=$EP225),IF(OR(COUNTIF(#REF!,$B225)&gt;0,COUNTIF(#REF!,$B225)=0),"SKIP",IF(COUNTIFS(#REF!,$B225,#REF!,$DD225)&gt;0,"OK","ONBEKEND")),IF(AND($ER225=$EO225,$ES225=$EP225+1),IF(OR(COUNTIF(#REF!,$D225)&gt;0,COUNTIF(#REF!,$D225)=0),"SKIP",IF(COUNTIFS(#REF!,$D225,#REF!,$DD225)&gt;0,"OK","ONBEKEND")),"ONZEKER")))))</f>
        <v/>
      </c>
      <c r="DF225" t="str">
        <f t="shared" si="1732"/>
        <v/>
      </c>
      <c r="DG225" t="str">
        <f t="shared" si="1733"/>
        <v/>
      </c>
      <c r="DH225" t="str">
        <f>IF($DG225="","",IF(OR($EU225="",$EV225=""),"ONZEKER",IF(OR($ER225="",$ES225=""),"ONZEKER",IF(AND($EU225=$ER225+1,$EV225=$ES225),IF(OR(COUNTIF(#REF!,$B225)&gt;0,COUNTIF(#REF!,$B225)=0),"SKIP",IF(COUNTIFS(#REF!,$B225,#REF!,$DG225)&gt;0,"OK","ONBEKEND")),IF(AND($EU225=$ER225,$EV225=$ES225+1),IF(OR(COUNTIF(#REF!,$D225)&gt;0,COUNTIF(#REF!,$D225)=0),"SKIP",IF(COUNTIFS(#REF!,$D225,#REF!,$DG225)&gt;0,"OK","ONBEKEND")),"ONZEKER")))))</f>
        <v/>
      </c>
      <c r="DI225" t="str">
        <f t="shared" si="1734"/>
        <v/>
      </c>
      <c r="DJ225" t="str">
        <f t="shared" si="1735"/>
        <v/>
      </c>
      <c r="DK225" t="str">
        <f>IF($DJ225="","",IF(OR($EX225="",$EY225=""),"ONZEKER",IF(OR($EU225="",$EV225=""),"ONZEKER",IF(AND($EX225=$EU225+1,$EY225=$EV225),IF(OR(COUNTIF(#REF!,$B225)&gt;0,COUNTIF(#REF!,$B225)=0),"SKIP",IF(COUNTIFS(#REF!,$B225,#REF!,$DJ225)&gt;0,"OK","ONBEKEND")),IF(AND($EX225=$EU225,$EY225=$EV225+1),IF(OR(COUNTIF(#REF!,$D225)&gt;0,COUNTIF(#REF!,$D225)=0),"SKIP",IF(COUNTIFS(#REF!,$D225,#REF!,$DJ225)&gt;0,"OK","ONBEKEND")),"ONZEKER")))))</f>
        <v/>
      </c>
      <c r="DL225" t="str">
        <f t="shared" si="1736"/>
        <v/>
      </c>
      <c r="DM225" t="str">
        <f t="shared" si="1737"/>
        <v/>
      </c>
      <c r="DN225" t="str">
        <f t="shared" si="1738"/>
        <v/>
      </c>
      <c r="DO225" t="str">
        <f t="shared" si="1739"/>
        <v/>
      </c>
      <c r="DP225" t="str">
        <f t="shared" si="1740"/>
        <v/>
      </c>
      <c r="DQ225" t="str">
        <f t="shared" si="1741"/>
        <v/>
      </c>
      <c r="DR225" t="str">
        <f t="shared" si="1742"/>
        <v/>
      </c>
      <c r="DS225" t="str">
        <f t="shared" si="1743"/>
        <v/>
      </c>
      <c r="DT225" t="str">
        <f t="shared" si="1744"/>
        <v/>
      </c>
      <c r="DU225" t="str">
        <f t="shared" si="1745"/>
        <v/>
      </c>
      <c r="DV225" t="str">
        <f t="shared" si="1746"/>
        <v/>
      </c>
      <c r="DW225" t="str">
        <f t="shared" si="1747"/>
        <v/>
      </c>
      <c r="DX225" t="str">
        <f t="shared" si="1748"/>
        <v/>
      </c>
      <c r="DY225" t="str">
        <f t="shared" si="1749"/>
        <v/>
      </c>
      <c r="DZ225" t="str">
        <f t="shared" si="1750"/>
        <v/>
      </c>
      <c r="EA225" t="str">
        <f t="shared" si="1751"/>
        <v/>
      </c>
      <c r="EB225" t="str">
        <f t="shared" si="1752"/>
        <v/>
      </c>
      <c r="EC225" t="str">
        <f t="shared" si="1753"/>
        <v/>
      </c>
      <c r="ED225" t="str">
        <f t="shared" si="1754"/>
        <v/>
      </c>
      <c r="EE225" t="str">
        <f t="shared" si="1755"/>
        <v/>
      </c>
      <c r="EF225" t="str">
        <f t="shared" si="1756"/>
        <v/>
      </c>
      <c r="EG225" t="str">
        <f t="shared" si="1757"/>
        <v/>
      </c>
      <c r="EH225" t="str">
        <f t="shared" si="1758"/>
        <v/>
      </c>
      <c r="EI225" t="str">
        <f t="shared" si="1759"/>
        <v/>
      </c>
      <c r="EJ225" t="str">
        <f t="shared" si="1760"/>
        <v/>
      </c>
      <c r="EK225" t="str">
        <f t="shared" si="1761"/>
        <v/>
      </c>
      <c r="EL225" t="str">
        <f t="shared" si="1762"/>
        <v/>
      </c>
      <c r="EM225" t="str">
        <f t="shared" si="1763"/>
        <v/>
      </c>
      <c r="EN225" t="str">
        <f t="shared" si="1764"/>
        <v/>
      </c>
      <c r="EO225" t="str">
        <f t="shared" si="1765"/>
        <v/>
      </c>
      <c r="EP225" t="str">
        <f t="shared" si="1766"/>
        <v/>
      </c>
      <c r="EQ225" t="str">
        <f t="shared" si="1767"/>
        <v/>
      </c>
      <c r="ER225" t="str">
        <f t="shared" si="1768"/>
        <v/>
      </c>
      <c r="ES225" t="str">
        <f t="shared" si="1769"/>
        <v/>
      </c>
      <c r="ET225" t="str">
        <f t="shared" si="1770"/>
        <v/>
      </c>
      <c r="EU225" t="str">
        <f t="shared" si="1771"/>
        <v/>
      </c>
      <c r="EV225" t="str">
        <f t="shared" si="1772"/>
        <v/>
      </c>
      <c r="EW225" t="str">
        <f t="shared" si="1773"/>
        <v/>
      </c>
      <c r="EX225" t="str">
        <f t="shared" si="1774"/>
        <v/>
      </c>
      <c r="EY225" t="str">
        <f t="shared" si="1775"/>
        <v/>
      </c>
    </row>
    <row r="226" spans="1:155" ht="13.9" customHeight="1" x14ac:dyDescent="0.25">
      <c r="A226" s="7"/>
      <c r="B226" s="17"/>
      <c r="C226" s="8"/>
      <c r="D226" s="17"/>
      <c r="E226" s="8"/>
      <c r="F226" s="18">
        <v>0</v>
      </c>
      <c r="G226" s="7" t="s">
        <v>147</v>
      </c>
      <c r="H226" s="18">
        <v>0</v>
      </c>
      <c r="I226" s="19">
        <v>0</v>
      </c>
      <c r="J226" s="7" t="s">
        <v>147</v>
      </c>
      <c r="K226" s="19">
        <v>0</v>
      </c>
      <c r="L226" s="9"/>
      <c r="M226" s="3" t="str">
        <f>IF($L226="","",IF($L226="DOELPUNTENMAKERS","",IF(AND(COUNTIF(#REF!,$B226)=0,COUNTIF(#REF!,$D226)=0),"OK",IF($O226&gt;20,"LET OP: meer dan 20 items (controle onvolledig)",IF((COUNTIF($R226:$AS226,"ONZEKER")+COUNTIF($CJ226:$DK226,"ONZEKER"))&gt;0,"LET OP: scoreverloop onduidelijk (controle beperkt)",IF((IF($AT226&lt;&gt;"",$AT226&amp;", ","")&amp;IF($AU226&lt;&gt;"",$AU226&amp;", ","")&amp;IF($AV226&lt;&gt;"",$AV226&amp;", ","")&amp;IF($AW226&lt;&gt;"",$AW226&amp;", ","")&amp;IF($AX226&lt;&gt;"",$AX226&amp;", ","")&amp;IF($AY226&lt;&gt;"",$AY226&amp;", ","")&amp;IF($AZ226&lt;&gt;"",$AZ226&amp;", ","")&amp;IF($BA226&lt;&gt;"",$BA226&amp;", ","")&amp;IF($BB226&lt;&gt;"",$BB226&amp;", ","")&amp;IF($BC226&lt;&gt;"",$BC226&amp;", ","")&amp;IF($DL226&lt;&gt;"",$DL226&amp;", ","")&amp;IF($DM226&lt;&gt;"",$DM226&amp;", ","")&amp;IF($DN226&lt;&gt;"",$DN226&amp;", ","")&amp;IF($DO226&lt;&gt;"",$DO226&amp;", ","")&amp;IF($DP226&lt;&gt;"",$DP226&amp;", ","")&amp;IF($DQ226&lt;&gt;"",$DQ226&amp;", ","")&amp;IF($DR226&lt;&gt;"",$DR226&amp;", ","")&amp;IF($DS226&lt;&gt;"",$DS226&amp;", ","")&amp;IF($DT226&lt;&gt;"",$DT226&amp;", ","")&amp;IF($DU226&lt;&gt;"",$DU226&amp;", ",""))="","OK","Onbekend: "&amp;LEFT((IF($AT226&lt;&gt;"",$AT226&amp;", ","")&amp;IF($AU226&lt;&gt;"",$AU226&amp;", ","")&amp;IF($AV226&lt;&gt;"",$AV226&amp;", ","")&amp;IF($AW226&lt;&gt;"",$AW226&amp;", ","")&amp;IF($AX226&lt;&gt;"",$AX226&amp;", ","")&amp;IF($AY226&lt;&gt;"",$AY226&amp;", ","")&amp;IF($AZ226&lt;&gt;"",$AZ226&amp;", ","")&amp;IF($BA226&lt;&gt;"",$BA226&amp;", ","")&amp;IF($BB226&lt;&gt;"",$BB226&amp;", ","")&amp;IF($BC226&lt;&gt;"",$BC226&amp;", ","")&amp;IF($DL226&lt;&gt;"",$DL226&amp;", ","")&amp;IF($DM226&lt;&gt;"",$DM226&amp;", ","")&amp;IF($DN226&lt;&gt;"",$DN226&amp;", ","")&amp;IF($DO226&lt;&gt;"",$DO226&amp;", ","")&amp;IF($DP226&lt;&gt;"",$DP226&amp;", ","")&amp;IF($DQ226&lt;&gt;"",$DQ226&amp;", ","")&amp;IF($DR226&lt;&gt;"",$DR226&amp;", ","")&amp;IF($DS226&lt;&gt;"",$DS226&amp;", ","")&amp;IF($DT226&lt;&gt;"",$DT226&amp;", ","")&amp;IF($DU226&lt;&gt;"",$DU226&amp;", ","")),LEN((IF($AT226&lt;&gt;"",$AT226&amp;", ","")&amp;IF($AU226&lt;&gt;"",$AU226&amp;", ","")&amp;IF($AV226&lt;&gt;"",$AV226&amp;", ","")&amp;IF($AW226&lt;&gt;"",$AW226&amp;", ","")&amp;IF($AX226&lt;&gt;"",$AX226&amp;", ","")&amp;IF($AY226&lt;&gt;"",$AY226&amp;", ","")&amp;IF($AZ226&lt;&gt;"",$AZ226&amp;", ","")&amp;IF($BA226&lt;&gt;"",$BA226&amp;", ","")&amp;IF($BB226&lt;&gt;"",$BB226&amp;", ","")&amp;IF($BC226&lt;&gt;"",$BC226&amp;", ","")&amp;IF($DL226&lt;&gt;"",$DL226&amp;", ","")&amp;IF($DM226&lt;&gt;"",$DM226&amp;", ","")&amp;IF($DN226&lt;&gt;"",$DN226&amp;", ","")&amp;IF($DO226&lt;&gt;"",$DO226&amp;", ","")&amp;IF($DP226&lt;&gt;"",$DP226&amp;", ","")&amp;IF($DQ226&lt;&gt;"",$DQ226&amp;", ","")&amp;IF($DR226&lt;&gt;"",$DR226&amp;", ","")&amp;IF($DS226&lt;&gt;"",$DS226&amp;", ","")&amp;IF($DT226&lt;&gt;"",$DT226&amp;", ","")&amp;IF($DU226&lt;&gt;"",$DU226&amp;", ","")))-2)))))))</f>
        <v/>
      </c>
      <c r="N226" t="str">
        <f t="shared" si="1684"/>
        <v/>
      </c>
      <c r="O226" t="str">
        <f t="shared" si="1685"/>
        <v/>
      </c>
      <c r="P226" t="str">
        <f t="shared" si="1686"/>
        <v/>
      </c>
      <c r="Q226" t="str">
        <f t="shared" si="1687"/>
        <v/>
      </c>
      <c r="R226" t="str">
        <f>IF($Q226="","",IF(OR($BE226="",$BF226=""),"ONZEKER",IF(AND($BE226=0+1,$BF226=0),IF(OR(COUNTIF(#REF!,$B226)&gt;0,COUNTIF(#REF!,$B226)=0),"SKIP",IF(COUNTIFS(#REF!,$B226,#REF!,$Q226)&gt;0,"OK","ONBEKEND")),IF(AND($BE226=0,$BF226=0+1),IF(OR(COUNTIF(#REF!,$D226)&gt;0,COUNTIF(#REF!,$D226)=0),"SKIP",IF(COUNTIFS(#REF!,$D226,#REF!,$Q226)&gt;0,"OK","ONBEKEND")),"ONZEKER"))))</f>
        <v/>
      </c>
      <c r="S226" t="str">
        <f t="shared" si="1688"/>
        <v/>
      </c>
      <c r="T226" t="str">
        <f t="shared" si="1689"/>
        <v/>
      </c>
      <c r="U226" t="str">
        <f>IF($T226="","",IF(OR($BH226="",$BI226=""),"ONZEKER",IF(OR($BE226="",$BF226=""),"ONZEKER",IF(AND($BH226=$BE226+1,$BI226=$BF226),IF(OR(COUNTIF(#REF!,$B226)&gt;0,COUNTIF(#REF!,$B226)=0),"SKIP",IF(COUNTIFS(#REF!,$B226,#REF!,$T226)&gt;0,"OK","ONBEKEND")),IF(AND($BH226=$BE226,$BI226=$BF226+1),IF(OR(COUNTIF(#REF!,$D226)&gt;0,COUNTIF(#REF!,$D226)=0),"SKIP",IF(COUNTIFS(#REF!,$D226,#REF!,$T226)&gt;0,"OK","ONBEKEND")),"ONZEKER")))))</f>
        <v/>
      </c>
      <c r="V226" t="str">
        <f t="shared" si="1690"/>
        <v/>
      </c>
      <c r="W226" t="str">
        <f t="shared" si="1691"/>
        <v/>
      </c>
      <c r="X226" t="str">
        <f>IF($W226="","",IF(OR($BK226="",$BL226=""),"ONZEKER",IF(OR($BH226="",$BI226=""),"ONZEKER",IF(AND($BK226=$BH226+1,$BL226=$BI226),IF(OR(COUNTIF(#REF!,$B226)&gt;0,COUNTIF(#REF!,$B226)=0),"SKIP",IF(COUNTIFS(#REF!,$B226,#REF!,$W226)&gt;0,"OK","ONBEKEND")),IF(AND($BK226=$BH226,$BL226=$BI226+1),IF(OR(COUNTIF(#REF!,$D226)&gt;0,COUNTIF(#REF!,$D226)=0),"SKIP",IF(COUNTIFS(#REF!,$D226,#REF!,$W226)&gt;0,"OK","ONBEKEND")),"ONZEKER")))))</f>
        <v/>
      </c>
      <c r="Y226" t="str">
        <f t="shared" si="1692"/>
        <v/>
      </c>
      <c r="Z226" t="str">
        <f t="shared" si="1693"/>
        <v/>
      </c>
      <c r="AA226" t="str">
        <f>IF($Z226="","",IF(OR($BN226="",$BO226=""),"ONZEKER",IF(OR($BK226="",$BL226=""),"ONZEKER",IF(AND($BN226=$BK226+1,$BO226=$BL226),IF(OR(COUNTIF(#REF!,$B226)&gt;0,COUNTIF(#REF!,$B226)=0),"SKIP",IF(COUNTIFS(#REF!,$B226,#REF!,$Z226)&gt;0,"OK","ONBEKEND")),IF(AND($BN226=$BK226,$BO226=$BL226+1),IF(OR(COUNTIF(#REF!,$D226)&gt;0,COUNTIF(#REF!,$D226)=0),"SKIP",IF(COUNTIFS(#REF!,$D226,#REF!,$Z226)&gt;0,"OK","ONBEKEND")),"ONZEKER")))))</f>
        <v/>
      </c>
      <c r="AB226" t="str">
        <f t="shared" si="1694"/>
        <v/>
      </c>
      <c r="AC226" t="str">
        <f t="shared" si="1695"/>
        <v/>
      </c>
      <c r="AD226" t="str">
        <f>IF($AC226="","",IF(OR($BQ226="",$BR226=""),"ONZEKER",IF(OR($BN226="",$BO226=""),"ONZEKER",IF(AND($BQ226=$BN226+1,$BR226=$BO226),IF(OR(COUNTIF(#REF!,$B226)&gt;0,COUNTIF(#REF!,$B226)=0),"SKIP",IF(COUNTIFS(#REF!,$B226,#REF!,$AC226)&gt;0,"OK","ONBEKEND")),IF(AND($BQ226=$BN226,$BR226=$BO226+1),IF(OR(COUNTIF(#REF!,$D226)&gt;0,COUNTIF(#REF!,$D226)=0),"SKIP",IF(COUNTIFS(#REF!,$D226,#REF!,$AC226)&gt;0,"OK","ONBEKEND")),"ONZEKER")))))</f>
        <v/>
      </c>
      <c r="AE226" t="str">
        <f t="shared" si="1696"/>
        <v/>
      </c>
      <c r="AF226" t="str">
        <f t="shared" si="1697"/>
        <v/>
      </c>
      <c r="AG226" t="str">
        <f>IF($AF226="","",IF(OR($BT226="",$BU226=""),"ONZEKER",IF(OR($BQ226="",$BR226=""),"ONZEKER",IF(AND($BT226=$BQ226+1,$BU226=$BR226),IF(OR(COUNTIF(#REF!,$B226)&gt;0,COUNTIF(#REF!,$B226)=0),"SKIP",IF(COUNTIFS(#REF!,$B226,#REF!,$AF226)&gt;0,"OK","ONBEKEND")),IF(AND($BT226=$BQ226,$BU226=$BR226+1),IF(OR(COUNTIF(#REF!,$D226)&gt;0,COUNTIF(#REF!,$D226)=0),"SKIP",IF(COUNTIFS(#REF!,$D226,#REF!,$AF226)&gt;0,"OK","ONBEKEND")),"ONZEKER")))))</f>
        <v/>
      </c>
      <c r="AH226" t="str">
        <f t="shared" si="1698"/>
        <v/>
      </c>
      <c r="AI226" t="str">
        <f t="shared" si="1699"/>
        <v/>
      </c>
      <c r="AJ226" t="str">
        <f>IF($AI226="","",IF(OR($BW226="",$BX226=""),"ONZEKER",IF(OR($BT226="",$BU226=""),"ONZEKER",IF(AND($BW226=$BT226+1,$BX226=$BU226),IF(OR(COUNTIF(#REF!,$B226)&gt;0,COUNTIF(#REF!,$B226)=0),"SKIP",IF(COUNTIFS(#REF!,$B226,#REF!,$AI226)&gt;0,"OK","ONBEKEND")),IF(AND($BW226=$BT226,$BX226=$BU226+1),IF(OR(COUNTIF(#REF!,$D226)&gt;0,COUNTIF(#REF!,$D226)=0),"SKIP",IF(COUNTIFS(#REF!,$D226,#REF!,$AI226)&gt;0,"OK","ONBEKEND")),"ONZEKER")))))</f>
        <v/>
      </c>
      <c r="AK226" t="str">
        <f t="shared" si="1700"/>
        <v/>
      </c>
      <c r="AL226" t="str">
        <f t="shared" si="1701"/>
        <v/>
      </c>
      <c r="AM226" t="str">
        <f>IF($AL226="","",IF(OR($BZ226="",$CA226=""),"ONZEKER",IF(OR($BW226="",$BX226=""),"ONZEKER",IF(AND($BZ226=$BW226+1,$CA226=$BX226),IF(OR(COUNTIF(#REF!,$B226)&gt;0,COUNTIF(#REF!,$B226)=0),"SKIP",IF(COUNTIFS(#REF!,$B226,#REF!,$AL226)&gt;0,"OK","ONBEKEND")),IF(AND($BZ226=$BW226,$CA226=$BX226+1),IF(OR(COUNTIF(#REF!,$D226)&gt;0,COUNTIF(#REF!,$D226)=0),"SKIP",IF(COUNTIFS(#REF!,$D226,#REF!,$AL226)&gt;0,"OK","ONBEKEND")),"ONZEKER")))))</f>
        <v/>
      </c>
      <c r="AN226" t="str">
        <f t="shared" si="1702"/>
        <v/>
      </c>
      <c r="AO226" t="str">
        <f t="shared" si="1703"/>
        <v/>
      </c>
      <c r="AP226" t="str">
        <f>IF($AO226="","",IF(OR($CC226="",$CD226=""),"ONZEKER",IF(OR($BZ226="",$CA226=""),"ONZEKER",IF(AND($CC226=$BZ226+1,$CD226=$CA226),IF(OR(COUNTIF(#REF!,$B226)&gt;0,COUNTIF(#REF!,$B226)=0),"SKIP",IF(COUNTIFS(#REF!,$B226,#REF!,$AO226)&gt;0,"OK","ONBEKEND")),IF(AND($CC226=$BZ226,$CD226=$CA226+1),IF(OR(COUNTIF(#REF!,$D226)&gt;0,COUNTIF(#REF!,$D226)=0),"SKIP",IF(COUNTIFS(#REF!,$D226,#REF!,$AO226)&gt;0,"OK","ONBEKEND")),"ONZEKER")))))</f>
        <v/>
      </c>
      <c r="AQ226" t="str">
        <f t="shared" si="1704"/>
        <v/>
      </c>
      <c r="AR226" t="str">
        <f t="shared" si="1705"/>
        <v/>
      </c>
      <c r="AS226" t="str">
        <f>IF($AR226="","",IF(OR($CF226="",$CG226=""),"ONZEKER",IF(OR($CC226="",$CD226=""),"ONZEKER",IF(AND($CF226=$CC226+1,$CG226=$CD226),IF(OR(COUNTIF(#REF!,$B226)&gt;0,COUNTIF(#REF!,$B226)=0),"SKIP",IF(COUNTIFS(#REF!,$B226,#REF!,$AR226)&gt;0,"OK","ONBEKEND")),IF(AND($CF226=$CC226,$CG226=$CD226+1),IF(OR(COUNTIF(#REF!,$D226)&gt;0,COUNTIF(#REF!,$D226)=0),"SKIP",IF(COUNTIFS(#REF!,$D226,#REF!,$AR226)&gt;0,"OK","ONBEKEND")),"ONZEKER")))))</f>
        <v/>
      </c>
      <c r="AT226" t="str">
        <f t="shared" si="1706"/>
        <v/>
      </c>
      <c r="AU226" t="str">
        <f t="shared" si="1707"/>
        <v/>
      </c>
      <c r="AV226" t="str">
        <f t="shared" si="1708"/>
        <v/>
      </c>
      <c r="AW226" t="str">
        <f t="shared" si="1709"/>
        <v/>
      </c>
      <c r="AX226" t="str">
        <f t="shared" si="1710"/>
        <v/>
      </c>
      <c r="AY226" t="str">
        <f t="shared" si="1711"/>
        <v/>
      </c>
      <c r="AZ226" t="str">
        <f t="shared" si="1712"/>
        <v/>
      </c>
      <c r="BA226" t="str">
        <f t="shared" si="1713"/>
        <v/>
      </c>
      <c r="BB226" t="str">
        <f t="shared" si="1714"/>
        <v/>
      </c>
      <c r="BC226" t="str">
        <f t="shared" si="1715"/>
        <v/>
      </c>
      <c r="BD226" t="str">
        <f t="shared" si="1470"/>
        <v/>
      </c>
      <c r="BE226" t="str">
        <f t="shared" si="1471"/>
        <v/>
      </c>
      <c r="BF226" t="str">
        <f t="shared" si="1472"/>
        <v/>
      </c>
      <c r="BG226" t="str">
        <f t="shared" si="1473"/>
        <v/>
      </c>
      <c r="BH226" t="str">
        <f t="shared" si="1474"/>
        <v/>
      </c>
      <c r="BI226" t="str">
        <f t="shared" si="1475"/>
        <v/>
      </c>
      <c r="BJ226" t="str">
        <f t="shared" si="1476"/>
        <v/>
      </c>
      <c r="BK226" t="str">
        <f t="shared" si="1477"/>
        <v/>
      </c>
      <c r="BL226" t="str">
        <f t="shared" si="1478"/>
        <v/>
      </c>
      <c r="BM226" t="str">
        <f t="shared" si="1479"/>
        <v/>
      </c>
      <c r="BN226" t="str">
        <f t="shared" si="1480"/>
        <v/>
      </c>
      <c r="BO226" t="str">
        <f t="shared" si="1481"/>
        <v/>
      </c>
      <c r="BP226" t="str">
        <f t="shared" si="1482"/>
        <v/>
      </c>
      <c r="BQ226" t="str">
        <f t="shared" si="1483"/>
        <v/>
      </c>
      <c r="BR226" t="str">
        <f t="shared" si="1484"/>
        <v/>
      </c>
      <c r="BS226" t="str">
        <f t="shared" si="1485"/>
        <v/>
      </c>
      <c r="BT226" t="str">
        <f t="shared" si="1486"/>
        <v/>
      </c>
      <c r="BU226" t="str">
        <f t="shared" si="1487"/>
        <v/>
      </c>
      <c r="BV226" t="str">
        <f t="shared" si="1488"/>
        <v/>
      </c>
      <c r="BW226" t="str">
        <f t="shared" si="1489"/>
        <v/>
      </c>
      <c r="BX226" t="str">
        <f t="shared" si="1490"/>
        <v/>
      </c>
      <c r="BY226" t="str">
        <f t="shared" si="1491"/>
        <v/>
      </c>
      <c r="BZ226" t="str">
        <f t="shared" si="1492"/>
        <v/>
      </c>
      <c r="CA226" t="str">
        <f t="shared" si="1493"/>
        <v/>
      </c>
      <c r="CB226" t="str">
        <f t="shared" si="1494"/>
        <v/>
      </c>
      <c r="CC226" t="str">
        <f t="shared" si="1495"/>
        <v/>
      </c>
      <c r="CD226" t="str">
        <f t="shared" si="1496"/>
        <v/>
      </c>
      <c r="CE226" t="str">
        <f t="shared" si="1497"/>
        <v/>
      </c>
      <c r="CF226" t="str">
        <f t="shared" si="1498"/>
        <v/>
      </c>
      <c r="CG226" t="str">
        <f t="shared" si="1499"/>
        <v/>
      </c>
      <c r="CH226" t="str">
        <f t="shared" si="1716"/>
        <v/>
      </c>
      <c r="CI226" t="str">
        <f t="shared" si="1717"/>
        <v/>
      </c>
      <c r="CJ226" t="str">
        <f>IF($CI226="","",IF(OR($DW226="",$DX226=""),"ONZEKER",IF(OR($CF226="",$CG226=""),"ONZEKER",IF(AND($DW226=$CF226+1,$DX226=$CG226),IF(OR(COUNTIF(#REF!,$B226)&gt;0,COUNTIF(#REF!,$B226)=0),"SKIP",IF(COUNTIFS(#REF!,$B226,#REF!,$CI226)&gt;0,"OK","ONBEKEND")),IF(AND($DW226=$CF226,$DX226=$CG226+1),IF(OR(COUNTIF(#REF!,$D226)&gt;0,COUNTIF(#REF!,$D226)=0),"SKIP",IF(COUNTIFS(#REF!,$D226,#REF!,$CI226)&gt;0,"OK","ONBEKEND")),"ONZEKER")))))</f>
        <v/>
      </c>
      <c r="CK226" t="str">
        <f t="shared" si="1718"/>
        <v/>
      </c>
      <c r="CL226" t="str">
        <f t="shared" si="1719"/>
        <v/>
      </c>
      <c r="CM226" t="str">
        <f>IF($CL226="","",IF(OR($DZ226="",$EA226=""),"ONZEKER",IF(OR($DW226="",$DX226=""),"ONZEKER",IF(AND($DZ226=$DW226+1,$EA226=$DX226),IF(OR(COUNTIF(#REF!,$B226)&gt;0,COUNTIF(#REF!,$B226)=0),"SKIP",IF(COUNTIFS(#REF!,$B226,#REF!,$CL226)&gt;0,"OK","ONBEKEND")),IF(AND($DZ226=$DW226,$EA226=$DX226+1),IF(OR(COUNTIF(#REF!,$D226)&gt;0,COUNTIF(#REF!,$D226)=0),"SKIP",IF(COUNTIFS(#REF!,$D226,#REF!,$CL226)&gt;0,"OK","ONBEKEND")),"ONZEKER")))))</f>
        <v/>
      </c>
      <c r="CN226" t="str">
        <f t="shared" si="1720"/>
        <v/>
      </c>
      <c r="CO226" t="str">
        <f t="shared" si="1721"/>
        <v/>
      </c>
      <c r="CP226" t="str">
        <f>IF($CO226="","",IF(OR($EC226="",$ED226=""),"ONZEKER",IF(OR($DZ226="",$EA226=""),"ONZEKER",IF(AND($EC226=$DZ226+1,$ED226=$EA226),IF(OR(COUNTIF(#REF!,$B226)&gt;0,COUNTIF(#REF!,$B226)=0),"SKIP",IF(COUNTIFS(#REF!,$B226,#REF!,$CO226)&gt;0,"OK","ONBEKEND")),IF(AND($EC226=$DZ226,$ED226=$EA226+1),IF(OR(COUNTIF(#REF!,$D226)&gt;0,COUNTIF(#REF!,$D226)=0),"SKIP",IF(COUNTIFS(#REF!,$D226,#REF!,$CO226)&gt;0,"OK","ONBEKEND")),"ONZEKER")))))</f>
        <v/>
      </c>
      <c r="CQ226" t="str">
        <f t="shared" si="1722"/>
        <v/>
      </c>
      <c r="CR226" t="str">
        <f t="shared" si="1723"/>
        <v/>
      </c>
      <c r="CS226" t="str">
        <f>IF($CR226="","",IF(OR($EF226="",$EG226=""),"ONZEKER",IF(OR($EC226="",$ED226=""),"ONZEKER",IF(AND($EF226=$EC226+1,$EG226=$ED226),IF(OR(COUNTIF(#REF!,$B226)&gt;0,COUNTIF(#REF!,$B226)=0),"SKIP",IF(COUNTIFS(#REF!,$B226,#REF!,$CR226)&gt;0,"OK","ONBEKEND")),IF(AND($EF226=$EC226,$EG226=$ED226+1),IF(OR(COUNTIF(#REF!,$D226)&gt;0,COUNTIF(#REF!,$D226)=0),"SKIP",IF(COUNTIFS(#REF!,$D226,#REF!,$CR226)&gt;0,"OK","ONBEKEND")),"ONZEKER")))))</f>
        <v/>
      </c>
      <c r="CT226" t="str">
        <f t="shared" si="1724"/>
        <v/>
      </c>
      <c r="CU226" t="str">
        <f t="shared" si="1725"/>
        <v/>
      </c>
      <c r="CV226" t="str">
        <f>IF($CU226="","",IF(OR($EI226="",$EJ226=""),"ONZEKER",IF(OR($EF226="",$EG226=""),"ONZEKER",IF(AND($EI226=$EF226+1,$EJ226=$EG226),IF(OR(COUNTIF(#REF!,$B226)&gt;0,COUNTIF(#REF!,$B226)=0),"SKIP",IF(COUNTIFS(#REF!,$B226,#REF!,$CU226)&gt;0,"OK","ONBEKEND")),IF(AND($EI226=$EF226,$EJ226=$EG226+1),IF(OR(COUNTIF(#REF!,$D226)&gt;0,COUNTIF(#REF!,$D226)=0),"SKIP",IF(COUNTIFS(#REF!,$D226,#REF!,$CU226)&gt;0,"OK","ONBEKEND")),"ONZEKER")))))</f>
        <v/>
      </c>
      <c r="CW226" t="str">
        <f t="shared" si="1726"/>
        <v/>
      </c>
      <c r="CX226" t="str">
        <f t="shared" si="1727"/>
        <v/>
      </c>
      <c r="CY226" t="str">
        <f>IF($CX226="","",IF(OR($EL226="",$EM226=""),"ONZEKER",IF(OR($EI226="",$EJ226=""),"ONZEKER",IF(AND($EL226=$EI226+1,$EM226=$EJ226),IF(OR(COUNTIF(#REF!,$B226)&gt;0,COUNTIF(#REF!,$B226)=0),"SKIP",IF(COUNTIFS(#REF!,$B226,#REF!,$CX226)&gt;0,"OK","ONBEKEND")),IF(AND($EL226=$EI226,$EM226=$EJ226+1),IF(OR(COUNTIF(#REF!,$D226)&gt;0,COUNTIF(#REF!,$D226)=0),"SKIP",IF(COUNTIFS(#REF!,$D226,#REF!,$CX226)&gt;0,"OK","ONBEKEND")),"ONZEKER")))))</f>
        <v/>
      </c>
      <c r="CZ226" t="str">
        <f t="shared" si="1728"/>
        <v/>
      </c>
      <c r="DA226" t="str">
        <f t="shared" si="1729"/>
        <v/>
      </c>
      <c r="DB226" t="str">
        <f>IF($DA226="","",IF(OR($EO226="",$EP226=""),"ONZEKER",IF(OR($EL226="",$EM226=""),"ONZEKER",IF(AND($EO226=$EL226+1,$EP226=$EM226),IF(OR(COUNTIF(#REF!,$B226)&gt;0,COUNTIF(#REF!,$B226)=0),"SKIP",IF(COUNTIFS(#REF!,$B226,#REF!,$DA226)&gt;0,"OK","ONBEKEND")),IF(AND($EO226=$EL226,$EP226=$EM226+1),IF(OR(COUNTIF(#REF!,$D226)&gt;0,COUNTIF(#REF!,$D226)=0),"SKIP",IF(COUNTIFS(#REF!,$D226,#REF!,$DA226)&gt;0,"OK","ONBEKEND")),"ONZEKER")))))</f>
        <v/>
      </c>
      <c r="DC226" t="str">
        <f t="shared" si="1730"/>
        <v/>
      </c>
      <c r="DD226" t="str">
        <f t="shared" si="1731"/>
        <v/>
      </c>
      <c r="DE226" t="str">
        <f>IF($DD226="","",IF(OR($ER226="",$ES226=""),"ONZEKER",IF(OR($EO226="",$EP226=""),"ONZEKER",IF(AND($ER226=$EO226+1,$ES226=$EP226),IF(OR(COUNTIF(#REF!,$B226)&gt;0,COUNTIF(#REF!,$B226)=0),"SKIP",IF(COUNTIFS(#REF!,$B226,#REF!,$DD226)&gt;0,"OK","ONBEKEND")),IF(AND($ER226=$EO226,$ES226=$EP226+1),IF(OR(COUNTIF(#REF!,$D226)&gt;0,COUNTIF(#REF!,$D226)=0),"SKIP",IF(COUNTIFS(#REF!,$D226,#REF!,$DD226)&gt;0,"OK","ONBEKEND")),"ONZEKER")))))</f>
        <v/>
      </c>
      <c r="DF226" t="str">
        <f t="shared" si="1732"/>
        <v/>
      </c>
      <c r="DG226" t="str">
        <f t="shared" si="1733"/>
        <v/>
      </c>
      <c r="DH226" t="str">
        <f>IF($DG226="","",IF(OR($EU226="",$EV226=""),"ONZEKER",IF(OR($ER226="",$ES226=""),"ONZEKER",IF(AND($EU226=$ER226+1,$EV226=$ES226),IF(OR(COUNTIF(#REF!,$B226)&gt;0,COUNTIF(#REF!,$B226)=0),"SKIP",IF(COUNTIFS(#REF!,$B226,#REF!,$DG226)&gt;0,"OK","ONBEKEND")),IF(AND($EU226=$ER226,$EV226=$ES226+1),IF(OR(COUNTIF(#REF!,$D226)&gt;0,COUNTIF(#REF!,$D226)=0),"SKIP",IF(COUNTIFS(#REF!,$D226,#REF!,$DG226)&gt;0,"OK","ONBEKEND")),"ONZEKER")))))</f>
        <v/>
      </c>
      <c r="DI226" t="str">
        <f t="shared" si="1734"/>
        <v/>
      </c>
      <c r="DJ226" t="str">
        <f t="shared" si="1735"/>
        <v/>
      </c>
      <c r="DK226" t="str">
        <f>IF($DJ226="","",IF(OR($EX226="",$EY226=""),"ONZEKER",IF(OR($EU226="",$EV226=""),"ONZEKER",IF(AND($EX226=$EU226+1,$EY226=$EV226),IF(OR(COUNTIF(#REF!,$B226)&gt;0,COUNTIF(#REF!,$B226)=0),"SKIP",IF(COUNTIFS(#REF!,$B226,#REF!,$DJ226)&gt;0,"OK","ONBEKEND")),IF(AND($EX226=$EU226,$EY226=$EV226+1),IF(OR(COUNTIF(#REF!,$D226)&gt;0,COUNTIF(#REF!,$D226)=0),"SKIP",IF(COUNTIFS(#REF!,$D226,#REF!,$DJ226)&gt;0,"OK","ONBEKEND")),"ONZEKER")))))</f>
        <v/>
      </c>
      <c r="DL226" t="str">
        <f t="shared" si="1736"/>
        <v/>
      </c>
      <c r="DM226" t="str">
        <f t="shared" si="1737"/>
        <v/>
      </c>
      <c r="DN226" t="str">
        <f t="shared" si="1738"/>
        <v/>
      </c>
      <c r="DO226" t="str">
        <f t="shared" si="1739"/>
        <v/>
      </c>
      <c r="DP226" t="str">
        <f t="shared" si="1740"/>
        <v/>
      </c>
      <c r="DQ226" t="str">
        <f t="shared" si="1741"/>
        <v/>
      </c>
      <c r="DR226" t="str">
        <f t="shared" si="1742"/>
        <v/>
      </c>
      <c r="DS226" t="str">
        <f t="shared" si="1743"/>
        <v/>
      </c>
      <c r="DT226" t="str">
        <f t="shared" si="1744"/>
        <v/>
      </c>
      <c r="DU226" t="str">
        <f t="shared" si="1745"/>
        <v/>
      </c>
      <c r="DV226" t="str">
        <f t="shared" si="1746"/>
        <v/>
      </c>
      <c r="DW226" t="str">
        <f t="shared" si="1747"/>
        <v/>
      </c>
      <c r="DX226" t="str">
        <f t="shared" si="1748"/>
        <v/>
      </c>
      <c r="DY226" t="str">
        <f t="shared" si="1749"/>
        <v/>
      </c>
      <c r="DZ226" t="str">
        <f t="shared" si="1750"/>
        <v/>
      </c>
      <c r="EA226" t="str">
        <f t="shared" si="1751"/>
        <v/>
      </c>
      <c r="EB226" t="str">
        <f t="shared" si="1752"/>
        <v/>
      </c>
      <c r="EC226" t="str">
        <f t="shared" si="1753"/>
        <v/>
      </c>
      <c r="ED226" t="str">
        <f t="shared" si="1754"/>
        <v/>
      </c>
      <c r="EE226" t="str">
        <f t="shared" si="1755"/>
        <v/>
      </c>
      <c r="EF226" t="str">
        <f t="shared" si="1756"/>
        <v/>
      </c>
      <c r="EG226" t="str">
        <f t="shared" si="1757"/>
        <v/>
      </c>
      <c r="EH226" t="str">
        <f t="shared" si="1758"/>
        <v/>
      </c>
      <c r="EI226" t="str">
        <f t="shared" si="1759"/>
        <v/>
      </c>
      <c r="EJ226" t="str">
        <f t="shared" si="1760"/>
        <v/>
      </c>
      <c r="EK226" t="str">
        <f t="shared" si="1761"/>
        <v/>
      </c>
      <c r="EL226" t="str">
        <f t="shared" si="1762"/>
        <v/>
      </c>
      <c r="EM226" t="str">
        <f t="shared" si="1763"/>
        <v/>
      </c>
      <c r="EN226" t="str">
        <f t="shared" si="1764"/>
        <v/>
      </c>
      <c r="EO226" t="str">
        <f t="shared" si="1765"/>
        <v/>
      </c>
      <c r="EP226" t="str">
        <f t="shared" si="1766"/>
        <v/>
      </c>
      <c r="EQ226" t="str">
        <f t="shared" si="1767"/>
        <v/>
      </c>
      <c r="ER226" t="str">
        <f t="shared" si="1768"/>
        <v/>
      </c>
      <c r="ES226" t="str">
        <f t="shared" si="1769"/>
        <v/>
      </c>
      <c r="ET226" t="str">
        <f t="shared" si="1770"/>
        <v/>
      </c>
      <c r="EU226" t="str">
        <f t="shared" si="1771"/>
        <v/>
      </c>
      <c r="EV226" t="str">
        <f t="shared" si="1772"/>
        <v/>
      </c>
      <c r="EW226" t="str">
        <f t="shared" si="1773"/>
        <v/>
      </c>
      <c r="EX226" t="str">
        <f t="shared" si="1774"/>
        <v/>
      </c>
      <c r="EY226" t="str">
        <f t="shared" si="1775"/>
        <v/>
      </c>
    </row>
    <row r="227" spans="1:155" ht="13.9" customHeight="1" x14ac:dyDescent="0.25">
      <c r="A227" s="7"/>
      <c r="B227" s="17"/>
      <c r="C227" s="8"/>
      <c r="D227" s="17"/>
      <c r="E227" s="8"/>
      <c r="F227" s="18">
        <v>0</v>
      </c>
      <c r="G227" s="7" t="s">
        <v>147</v>
      </c>
      <c r="H227" s="18">
        <v>0</v>
      </c>
      <c r="I227" s="19">
        <v>0</v>
      </c>
      <c r="J227" s="7" t="s">
        <v>147</v>
      </c>
      <c r="K227" s="19">
        <v>0</v>
      </c>
      <c r="L227" s="9"/>
      <c r="M227" s="3" t="str">
        <f>IF($L227="","",IF($L227="DOELPUNTENMAKERS","",IF(AND(COUNTIF(#REF!,$B227)=0,COUNTIF(#REF!,$D227)=0),"OK",IF($O227&gt;20,"LET OP: meer dan 20 items (controle onvolledig)",IF((COUNTIF($R227:$AS227,"ONZEKER")+COUNTIF($CJ227:$DK227,"ONZEKER"))&gt;0,"LET OP: scoreverloop onduidelijk (controle beperkt)",IF((IF($AT227&lt;&gt;"",$AT227&amp;", ","")&amp;IF($AU227&lt;&gt;"",$AU227&amp;", ","")&amp;IF($AV227&lt;&gt;"",$AV227&amp;", ","")&amp;IF($AW227&lt;&gt;"",$AW227&amp;", ","")&amp;IF($AX227&lt;&gt;"",$AX227&amp;", ","")&amp;IF($AY227&lt;&gt;"",$AY227&amp;", ","")&amp;IF($AZ227&lt;&gt;"",$AZ227&amp;", ","")&amp;IF($BA227&lt;&gt;"",$BA227&amp;", ","")&amp;IF($BB227&lt;&gt;"",$BB227&amp;", ","")&amp;IF($BC227&lt;&gt;"",$BC227&amp;", ","")&amp;IF($DL227&lt;&gt;"",$DL227&amp;", ","")&amp;IF($DM227&lt;&gt;"",$DM227&amp;", ","")&amp;IF($DN227&lt;&gt;"",$DN227&amp;", ","")&amp;IF($DO227&lt;&gt;"",$DO227&amp;", ","")&amp;IF($DP227&lt;&gt;"",$DP227&amp;", ","")&amp;IF($DQ227&lt;&gt;"",$DQ227&amp;", ","")&amp;IF($DR227&lt;&gt;"",$DR227&amp;", ","")&amp;IF($DS227&lt;&gt;"",$DS227&amp;", ","")&amp;IF($DT227&lt;&gt;"",$DT227&amp;", ","")&amp;IF($DU227&lt;&gt;"",$DU227&amp;", ",""))="","OK","Onbekend: "&amp;LEFT((IF($AT227&lt;&gt;"",$AT227&amp;", ","")&amp;IF($AU227&lt;&gt;"",$AU227&amp;", ","")&amp;IF($AV227&lt;&gt;"",$AV227&amp;", ","")&amp;IF($AW227&lt;&gt;"",$AW227&amp;", ","")&amp;IF($AX227&lt;&gt;"",$AX227&amp;", ","")&amp;IF($AY227&lt;&gt;"",$AY227&amp;", ","")&amp;IF($AZ227&lt;&gt;"",$AZ227&amp;", ","")&amp;IF($BA227&lt;&gt;"",$BA227&amp;", ","")&amp;IF($BB227&lt;&gt;"",$BB227&amp;", ","")&amp;IF($BC227&lt;&gt;"",$BC227&amp;", ","")&amp;IF($DL227&lt;&gt;"",$DL227&amp;", ","")&amp;IF($DM227&lt;&gt;"",$DM227&amp;", ","")&amp;IF($DN227&lt;&gt;"",$DN227&amp;", ","")&amp;IF($DO227&lt;&gt;"",$DO227&amp;", ","")&amp;IF($DP227&lt;&gt;"",$DP227&amp;", ","")&amp;IF($DQ227&lt;&gt;"",$DQ227&amp;", ","")&amp;IF($DR227&lt;&gt;"",$DR227&amp;", ","")&amp;IF($DS227&lt;&gt;"",$DS227&amp;", ","")&amp;IF($DT227&lt;&gt;"",$DT227&amp;", ","")&amp;IF($DU227&lt;&gt;"",$DU227&amp;", ","")),LEN((IF($AT227&lt;&gt;"",$AT227&amp;", ","")&amp;IF($AU227&lt;&gt;"",$AU227&amp;", ","")&amp;IF($AV227&lt;&gt;"",$AV227&amp;", ","")&amp;IF($AW227&lt;&gt;"",$AW227&amp;", ","")&amp;IF($AX227&lt;&gt;"",$AX227&amp;", ","")&amp;IF($AY227&lt;&gt;"",$AY227&amp;", ","")&amp;IF($AZ227&lt;&gt;"",$AZ227&amp;", ","")&amp;IF($BA227&lt;&gt;"",$BA227&amp;", ","")&amp;IF($BB227&lt;&gt;"",$BB227&amp;", ","")&amp;IF($BC227&lt;&gt;"",$BC227&amp;", ","")&amp;IF($DL227&lt;&gt;"",$DL227&amp;", ","")&amp;IF($DM227&lt;&gt;"",$DM227&amp;", ","")&amp;IF($DN227&lt;&gt;"",$DN227&amp;", ","")&amp;IF($DO227&lt;&gt;"",$DO227&amp;", ","")&amp;IF($DP227&lt;&gt;"",$DP227&amp;", ","")&amp;IF($DQ227&lt;&gt;"",$DQ227&amp;", ","")&amp;IF($DR227&lt;&gt;"",$DR227&amp;", ","")&amp;IF($DS227&lt;&gt;"",$DS227&amp;", ","")&amp;IF($DT227&lt;&gt;"",$DT227&amp;", ","")&amp;IF($DU227&lt;&gt;"",$DU227&amp;", ","")))-2)))))))</f>
        <v/>
      </c>
      <c r="N227" t="str">
        <f t="shared" si="1684"/>
        <v/>
      </c>
      <c r="O227" t="str">
        <f t="shared" si="1685"/>
        <v/>
      </c>
      <c r="P227" t="str">
        <f t="shared" si="1686"/>
        <v/>
      </c>
      <c r="Q227" t="str">
        <f t="shared" si="1687"/>
        <v/>
      </c>
      <c r="R227" t="str">
        <f>IF($Q227="","",IF(OR($BE227="",$BF227=""),"ONZEKER",IF(AND($BE227=0+1,$BF227=0),IF(OR(COUNTIF(#REF!,$B227)&gt;0,COUNTIF(#REF!,$B227)=0),"SKIP",IF(COUNTIFS(#REF!,$B227,#REF!,$Q227)&gt;0,"OK","ONBEKEND")),IF(AND($BE227=0,$BF227=0+1),IF(OR(COUNTIF(#REF!,$D227)&gt;0,COUNTIF(#REF!,$D227)=0),"SKIP",IF(COUNTIFS(#REF!,$D227,#REF!,$Q227)&gt;0,"OK","ONBEKEND")),"ONZEKER"))))</f>
        <v/>
      </c>
      <c r="S227" t="str">
        <f t="shared" si="1688"/>
        <v/>
      </c>
      <c r="T227" t="str">
        <f t="shared" si="1689"/>
        <v/>
      </c>
      <c r="U227" t="str">
        <f>IF($T227="","",IF(OR($BH227="",$BI227=""),"ONZEKER",IF(OR($BE227="",$BF227=""),"ONZEKER",IF(AND($BH227=$BE227+1,$BI227=$BF227),IF(OR(COUNTIF(#REF!,$B227)&gt;0,COUNTIF(#REF!,$B227)=0),"SKIP",IF(COUNTIFS(#REF!,$B227,#REF!,$T227)&gt;0,"OK","ONBEKEND")),IF(AND($BH227=$BE227,$BI227=$BF227+1),IF(OR(COUNTIF(#REF!,$D227)&gt;0,COUNTIF(#REF!,$D227)=0),"SKIP",IF(COUNTIFS(#REF!,$D227,#REF!,$T227)&gt;0,"OK","ONBEKEND")),"ONZEKER")))))</f>
        <v/>
      </c>
      <c r="V227" t="str">
        <f t="shared" si="1690"/>
        <v/>
      </c>
      <c r="W227" t="str">
        <f t="shared" si="1691"/>
        <v/>
      </c>
      <c r="X227" t="str">
        <f>IF($W227="","",IF(OR($BK227="",$BL227=""),"ONZEKER",IF(OR($BH227="",$BI227=""),"ONZEKER",IF(AND($BK227=$BH227+1,$BL227=$BI227),IF(OR(COUNTIF(#REF!,$B227)&gt;0,COUNTIF(#REF!,$B227)=0),"SKIP",IF(COUNTIFS(#REF!,$B227,#REF!,$W227)&gt;0,"OK","ONBEKEND")),IF(AND($BK227=$BH227,$BL227=$BI227+1),IF(OR(COUNTIF(#REF!,$D227)&gt;0,COUNTIF(#REF!,$D227)=0),"SKIP",IF(COUNTIFS(#REF!,$D227,#REF!,$W227)&gt;0,"OK","ONBEKEND")),"ONZEKER")))))</f>
        <v/>
      </c>
      <c r="Y227" t="str">
        <f t="shared" si="1692"/>
        <v/>
      </c>
      <c r="Z227" t="str">
        <f t="shared" si="1693"/>
        <v/>
      </c>
      <c r="AA227" t="str">
        <f>IF($Z227="","",IF(OR($BN227="",$BO227=""),"ONZEKER",IF(OR($BK227="",$BL227=""),"ONZEKER",IF(AND($BN227=$BK227+1,$BO227=$BL227),IF(OR(COUNTIF(#REF!,$B227)&gt;0,COUNTIF(#REF!,$B227)=0),"SKIP",IF(COUNTIFS(#REF!,$B227,#REF!,$Z227)&gt;0,"OK","ONBEKEND")),IF(AND($BN227=$BK227,$BO227=$BL227+1),IF(OR(COUNTIF(#REF!,$D227)&gt;0,COUNTIF(#REF!,$D227)=0),"SKIP",IF(COUNTIFS(#REF!,$D227,#REF!,$Z227)&gt;0,"OK","ONBEKEND")),"ONZEKER")))))</f>
        <v/>
      </c>
      <c r="AB227" t="str">
        <f t="shared" si="1694"/>
        <v/>
      </c>
      <c r="AC227" t="str">
        <f t="shared" si="1695"/>
        <v/>
      </c>
      <c r="AD227" t="str">
        <f>IF($AC227="","",IF(OR($BQ227="",$BR227=""),"ONZEKER",IF(OR($BN227="",$BO227=""),"ONZEKER",IF(AND($BQ227=$BN227+1,$BR227=$BO227),IF(OR(COUNTIF(#REF!,$B227)&gt;0,COUNTIF(#REF!,$B227)=0),"SKIP",IF(COUNTIFS(#REF!,$B227,#REF!,$AC227)&gt;0,"OK","ONBEKEND")),IF(AND($BQ227=$BN227,$BR227=$BO227+1),IF(OR(COUNTIF(#REF!,$D227)&gt;0,COUNTIF(#REF!,$D227)=0),"SKIP",IF(COUNTIFS(#REF!,$D227,#REF!,$AC227)&gt;0,"OK","ONBEKEND")),"ONZEKER")))))</f>
        <v/>
      </c>
      <c r="AE227" t="str">
        <f t="shared" si="1696"/>
        <v/>
      </c>
      <c r="AF227" t="str">
        <f t="shared" si="1697"/>
        <v/>
      </c>
      <c r="AG227" t="str">
        <f>IF($AF227="","",IF(OR($BT227="",$BU227=""),"ONZEKER",IF(OR($BQ227="",$BR227=""),"ONZEKER",IF(AND($BT227=$BQ227+1,$BU227=$BR227),IF(OR(COUNTIF(#REF!,$B227)&gt;0,COUNTIF(#REF!,$B227)=0),"SKIP",IF(COUNTIFS(#REF!,$B227,#REF!,$AF227)&gt;0,"OK","ONBEKEND")),IF(AND($BT227=$BQ227,$BU227=$BR227+1),IF(OR(COUNTIF(#REF!,$D227)&gt;0,COUNTIF(#REF!,$D227)=0),"SKIP",IF(COUNTIFS(#REF!,$D227,#REF!,$AF227)&gt;0,"OK","ONBEKEND")),"ONZEKER")))))</f>
        <v/>
      </c>
      <c r="AH227" t="str">
        <f t="shared" si="1698"/>
        <v/>
      </c>
      <c r="AI227" t="str">
        <f t="shared" si="1699"/>
        <v/>
      </c>
      <c r="AJ227" t="str">
        <f>IF($AI227="","",IF(OR($BW227="",$BX227=""),"ONZEKER",IF(OR($BT227="",$BU227=""),"ONZEKER",IF(AND($BW227=$BT227+1,$BX227=$BU227),IF(OR(COUNTIF(#REF!,$B227)&gt;0,COUNTIF(#REF!,$B227)=0),"SKIP",IF(COUNTIFS(#REF!,$B227,#REF!,$AI227)&gt;0,"OK","ONBEKEND")),IF(AND($BW227=$BT227,$BX227=$BU227+1),IF(OR(COUNTIF(#REF!,$D227)&gt;0,COUNTIF(#REF!,$D227)=0),"SKIP",IF(COUNTIFS(#REF!,$D227,#REF!,$AI227)&gt;0,"OK","ONBEKEND")),"ONZEKER")))))</f>
        <v/>
      </c>
      <c r="AK227" t="str">
        <f t="shared" si="1700"/>
        <v/>
      </c>
      <c r="AL227" t="str">
        <f t="shared" si="1701"/>
        <v/>
      </c>
      <c r="AM227" t="str">
        <f>IF($AL227="","",IF(OR($BZ227="",$CA227=""),"ONZEKER",IF(OR($BW227="",$BX227=""),"ONZEKER",IF(AND($BZ227=$BW227+1,$CA227=$BX227),IF(OR(COUNTIF(#REF!,$B227)&gt;0,COUNTIF(#REF!,$B227)=0),"SKIP",IF(COUNTIFS(#REF!,$B227,#REF!,$AL227)&gt;0,"OK","ONBEKEND")),IF(AND($BZ227=$BW227,$CA227=$BX227+1),IF(OR(COUNTIF(#REF!,$D227)&gt;0,COUNTIF(#REF!,$D227)=0),"SKIP",IF(COUNTIFS(#REF!,$D227,#REF!,$AL227)&gt;0,"OK","ONBEKEND")),"ONZEKER")))))</f>
        <v/>
      </c>
      <c r="AN227" t="str">
        <f t="shared" si="1702"/>
        <v/>
      </c>
      <c r="AO227" t="str">
        <f t="shared" si="1703"/>
        <v/>
      </c>
      <c r="AP227" t="str">
        <f>IF($AO227="","",IF(OR($CC227="",$CD227=""),"ONZEKER",IF(OR($BZ227="",$CA227=""),"ONZEKER",IF(AND($CC227=$BZ227+1,$CD227=$CA227),IF(OR(COUNTIF(#REF!,$B227)&gt;0,COUNTIF(#REF!,$B227)=0),"SKIP",IF(COUNTIFS(#REF!,$B227,#REF!,$AO227)&gt;0,"OK","ONBEKEND")),IF(AND($CC227=$BZ227,$CD227=$CA227+1),IF(OR(COUNTIF(#REF!,$D227)&gt;0,COUNTIF(#REF!,$D227)=0),"SKIP",IF(COUNTIFS(#REF!,$D227,#REF!,$AO227)&gt;0,"OK","ONBEKEND")),"ONZEKER")))))</f>
        <v/>
      </c>
      <c r="AQ227" t="str">
        <f t="shared" si="1704"/>
        <v/>
      </c>
      <c r="AR227" t="str">
        <f t="shared" si="1705"/>
        <v/>
      </c>
      <c r="AS227" t="str">
        <f>IF($AR227="","",IF(OR($CF227="",$CG227=""),"ONZEKER",IF(OR($CC227="",$CD227=""),"ONZEKER",IF(AND($CF227=$CC227+1,$CG227=$CD227),IF(OR(COUNTIF(#REF!,$B227)&gt;0,COUNTIF(#REF!,$B227)=0),"SKIP",IF(COUNTIFS(#REF!,$B227,#REF!,$AR227)&gt;0,"OK","ONBEKEND")),IF(AND($CF227=$CC227,$CG227=$CD227+1),IF(OR(COUNTIF(#REF!,$D227)&gt;0,COUNTIF(#REF!,$D227)=0),"SKIP",IF(COUNTIFS(#REF!,$D227,#REF!,$AR227)&gt;0,"OK","ONBEKEND")),"ONZEKER")))))</f>
        <v/>
      </c>
      <c r="AT227" t="str">
        <f t="shared" si="1706"/>
        <v/>
      </c>
      <c r="AU227" t="str">
        <f t="shared" si="1707"/>
        <v/>
      </c>
      <c r="AV227" t="str">
        <f t="shared" si="1708"/>
        <v/>
      </c>
      <c r="AW227" t="str">
        <f t="shared" si="1709"/>
        <v/>
      </c>
      <c r="AX227" t="str">
        <f t="shared" si="1710"/>
        <v/>
      </c>
      <c r="AY227" t="str">
        <f t="shared" si="1711"/>
        <v/>
      </c>
      <c r="AZ227" t="str">
        <f t="shared" si="1712"/>
        <v/>
      </c>
      <c r="BA227" t="str">
        <f t="shared" si="1713"/>
        <v/>
      </c>
      <c r="BB227" t="str">
        <f t="shared" si="1714"/>
        <v/>
      </c>
      <c r="BC227" t="str">
        <f t="shared" si="1715"/>
        <v/>
      </c>
      <c r="BD227" t="str">
        <f t="shared" si="1470"/>
        <v/>
      </c>
      <c r="BE227" t="str">
        <f t="shared" si="1471"/>
        <v/>
      </c>
      <c r="BF227" t="str">
        <f t="shared" si="1472"/>
        <v/>
      </c>
      <c r="BG227" t="str">
        <f t="shared" si="1473"/>
        <v/>
      </c>
      <c r="BH227" t="str">
        <f t="shared" si="1474"/>
        <v/>
      </c>
      <c r="BI227" t="str">
        <f t="shared" si="1475"/>
        <v/>
      </c>
      <c r="BJ227" t="str">
        <f t="shared" si="1476"/>
        <v/>
      </c>
      <c r="BK227" t="str">
        <f t="shared" si="1477"/>
        <v/>
      </c>
      <c r="BL227" t="str">
        <f t="shared" si="1478"/>
        <v/>
      </c>
      <c r="BM227" t="str">
        <f t="shared" si="1479"/>
        <v/>
      </c>
      <c r="BN227" t="str">
        <f t="shared" si="1480"/>
        <v/>
      </c>
      <c r="BO227" t="str">
        <f t="shared" si="1481"/>
        <v/>
      </c>
      <c r="BP227" t="str">
        <f t="shared" si="1482"/>
        <v/>
      </c>
      <c r="BQ227" t="str">
        <f t="shared" si="1483"/>
        <v/>
      </c>
      <c r="BR227" t="str">
        <f t="shared" si="1484"/>
        <v/>
      </c>
      <c r="BS227" t="str">
        <f t="shared" si="1485"/>
        <v/>
      </c>
      <c r="BT227" t="str">
        <f t="shared" si="1486"/>
        <v/>
      </c>
      <c r="BU227" t="str">
        <f t="shared" si="1487"/>
        <v/>
      </c>
      <c r="BV227" t="str">
        <f t="shared" si="1488"/>
        <v/>
      </c>
      <c r="BW227" t="str">
        <f t="shared" si="1489"/>
        <v/>
      </c>
      <c r="BX227" t="str">
        <f t="shared" si="1490"/>
        <v/>
      </c>
      <c r="BY227" t="str">
        <f t="shared" si="1491"/>
        <v/>
      </c>
      <c r="BZ227" t="str">
        <f t="shared" si="1492"/>
        <v/>
      </c>
      <c r="CA227" t="str">
        <f t="shared" si="1493"/>
        <v/>
      </c>
      <c r="CB227" t="str">
        <f t="shared" si="1494"/>
        <v/>
      </c>
      <c r="CC227" t="str">
        <f t="shared" si="1495"/>
        <v/>
      </c>
      <c r="CD227" t="str">
        <f t="shared" si="1496"/>
        <v/>
      </c>
      <c r="CE227" t="str">
        <f t="shared" si="1497"/>
        <v/>
      </c>
      <c r="CF227" t="str">
        <f t="shared" si="1498"/>
        <v/>
      </c>
      <c r="CG227" t="str">
        <f t="shared" si="1499"/>
        <v/>
      </c>
      <c r="CH227" t="str">
        <f t="shared" si="1716"/>
        <v/>
      </c>
      <c r="CI227" t="str">
        <f t="shared" si="1717"/>
        <v/>
      </c>
      <c r="CJ227" t="str">
        <f>IF($CI227="","",IF(OR($DW227="",$DX227=""),"ONZEKER",IF(OR($CF227="",$CG227=""),"ONZEKER",IF(AND($DW227=$CF227+1,$DX227=$CG227),IF(OR(COUNTIF(#REF!,$B227)&gt;0,COUNTIF(#REF!,$B227)=0),"SKIP",IF(COUNTIFS(#REF!,$B227,#REF!,$CI227)&gt;0,"OK","ONBEKEND")),IF(AND($DW227=$CF227,$DX227=$CG227+1),IF(OR(COUNTIF(#REF!,$D227)&gt;0,COUNTIF(#REF!,$D227)=0),"SKIP",IF(COUNTIFS(#REF!,$D227,#REF!,$CI227)&gt;0,"OK","ONBEKEND")),"ONZEKER")))))</f>
        <v/>
      </c>
      <c r="CK227" t="str">
        <f t="shared" si="1718"/>
        <v/>
      </c>
      <c r="CL227" t="str">
        <f t="shared" si="1719"/>
        <v/>
      </c>
      <c r="CM227" t="str">
        <f>IF($CL227="","",IF(OR($DZ227="",$EA227=""),"ONZEKER",IF(OR($DW227="",$DX227=""),"ONZEKER",IF(AND($DZ227=$DW227+1,$EA227=$DX227),IF(OR(COUNTIF(#REF!,$B227)&gt;0,COUNTIF(#REF!,$B227)=0),"SKIP",IF(COUNTIFS(#REF!,$B227,#REF!,$CL227)&gt;0,"OK","ONBEKEND")),IF(AND($DZ227=$DW227,$EA227=$DX227+1),IF(OR(COUNTIF(#REF!,$D227)&gt;0,COUNTIF(#REF!,$D227)=0),"SKIP",IF(COUNTIFS(#REF!,$D227,#REF!,$CL227)&gt;0,"OK","ONBEKEND")),"ONZEKER")))))</f>
        <v/>
      </c>
      <c r="CN227" t="str">
        <f t="shared" si="1720"/>
        <v/>
      </c>
      <c r="CO227" t="str">
        <f t="shared" si="1721"/>
        <v/>
      </c>
      <c r="CP227" t="str">
        <f>IF($CO227="","",IF(OR($EC227="",$ED227=""),"ONZEKER",IF(OR($DZ227="",$EA227=""),"ONZEKER",IF(AND($EC227=$DZ227+1,$ED227=$EA227),IF(OR(COUNTIF(#REF!,$B227)&gt;0,COUNTIF(#REF!,$B227)=0),"SKIP",IF(COUNTIFS(#REF!,$B227,#REF!,$CO227)&gt;0,"OK","ONBEKEND")),IF(AND($EC227=$DZ227,$ED227=$EA227+1),IF(OR(COUNTIF(#REF!,$D227)&gt;0,COUNTIF(#REF!,$D227)=0),"SKIP",IF(COUNTIFS(#REF!,$D227,#REF!,$CO227)&gt;0,"OK","ONBEKEND")),"ONZEKER")))))</f>
        <v/>
      </c>
      <c r="CQ227" t="str">
        <f t="shared" si="1722"/>
        <v/>
      </c>
      <c r="CR227" t="str">
        <f t="shared" si="1723"/>
        <v/>
      </c>
      <c r="CS227" t="str">
        <f>IF($CR227="","",IF(OR($EF227="",$EG227=""),"ONZEKER",IF(OR($EC227="",$ED227=""),"ONZEKER",IF(AND($EF227=$EC227+1,$EG227=$ED227),IF(OR(COUNTIF(#REF!,$B227)&gt;0,COUNTIF(#REF!,$B227)=0),"SKIP",IF(COUNTIFS(#REF!,$B227,#REF!,$CR227)&gt;0,"OK","ONBEKEND")),IF(AND($EF227=$EC227,$EG227=$ED227+1),IF(OR(COUNTIF(#REF!,$D227)&gt;0,COUNTIF(#REF!,$D227)=0),"SKIP",IF(COUNTIFS(#REF!,$D227,#REF!,$CR227)&gt;0,"OK","ONBEKEND")),"ONZEKER")))))</f>
        <v/>
      </c>
      <c r="CT227" t="str">
        <f t="shared" si="1724"/>
        <v/>
      </c>
      <c r="CU227" t="str">
        <f t="shared" si="1725"/>
        <v/>
      </c>
      <c r="CV227" t="str">
        <f>IF($CU227="","",IF(OR($EI227="",$EJ227=""),"ONZEKER",IF(OR($EF227="",$EG227=""),"ONZEKER",IF(AND($EI227=$EF227+1,$EJ227=$EG227),IF(OR(COUNTIF(#REF!,$B227)&gt;0,COUNTIF(#REF!,$B227)=0),"SKIP",IF(COUNTIFS(#REF!,$B227,#REF!,$CU227)&gt;0,"OK","ONBEKEND")),IF(AND($EI227=$EF227,$EJ227=$EG227+1),IF(OR(COUNTIF(#REF!,$D227)&gt;0,COUNTIF(#REF!,$D227)=0),"SKIP",IF(COUNTIFS(#REF!,$D227,#REF!,$CU227)&gt;0,"OK","ONBEKEND")),"ONZEKER")))))</f>
        <v/>
      </c>
      <c r="CW227" t="str">
        <f t="shared" si="1726"/>
        <v/>
      </c>
      <c r="CX227" t="str">
        <f t="shared" si="1727"/>
        <v/>
      </c>
      <c r="CY227" t="str">
        <f>IF($CX227="","",IF(OR($EL227="",$EM227=""),"ONZEKER",IF(OR($EI227="",$EJ227=""),"ONZEKER",IF(AND($EL227=$EI227+1,$EM227=$EJ227),IF(OR(COUNTIF(#REF!,$B227)&gt;0,COUNTIF(#REF!,$B227)=0),"SKIP",IF(COUNTIFS(#REF!,$B227,#REF!,$CX227)&gt;0,"OK","ONBEKEND")),IF(AND($EL227=$EI227,$EM227=$EJ227+1),IF(OR(COUNTIF(#REF!,$D227)&gt;0,COUNTIF(#REF!,$D227)=0),"SKIP",IF(COUNTIFS(#REF!,$D227,#REF!,$CX227)&gt;0,"OK","ONBEKEND")),"ONZEKER")))))</f>
        <v/>
      </c>
      <c r="CZ227" t="str">
        <f t="shared" si="1728"/>
        <v/>
      </c>
      <c r="DA227" t="str">
        <f t="shared" si="1729"/>
        <v/>
      </c>
      <c r="DB227" t="str">
        <f>IF($DA227="","",IF(OR($EO227="",$EP227=""),"ONZEKER",IF(OR($EL227="",$EM227=""),"ONZEKER",IF(AND($EO227=$EL227+1,$EP227=$EM227),IF(OR(COUNTIF(#REF!,$B227)&gt;0,COUNTIF(#REF!,$B227)=0),"SKIP",IF(COUNTIFS(#REF!,$B227,#REF!,$DA227)&gt;0,"OK","ONBEKEND")),IF(AND($EO227=$EL227,$EP227=$EM227+1),IF(OR(COUNTIF(#REF!,$D227)&gt;0,COUNTIF(#REF!,$D227)=0),"SKIP",IF(COUNTIFS(#REF!,$D227,#REF!,$DA227)&gt;0,"OK","ONBEKEND")),"ONZEKER")))))</f>
        <v/>
      </c>
      <c r="DC227" t="str">
        <f t="shared" si="1730"/>
        <v/>
      </c>
      <c r="DD227" t="str">
        <f t="shared" si="1731"/>
        <v/>
      </c>
      <c r="DE227" t="str">
        <f>IF($DD227="","",IF(OR($ER227="",$ES227=""),"ONZEKER",IF(OR($EO227="",$EP227=""),"ONZEKER",IF(AND($ER227=$EO227+1,$ES227=$EP227),IF(OR(COUNTIF(#REF!,$B227)&gt;0,COUNTIF(#REF!,$B227)=0),"SKIP",IF(COUNTIFS(#REF!,$B227,#REF!,$DD227)&gt;0,"OK","ONBEKEND")),IF(AND($ER227=$EO227,$ES227=$EP227+1),IF(OR(COUNTIF(#REF!,$D227)&gt;0,COUNTIF(#REF!,$D227)=0),"SKIP",IF(COUNTIFS(#REF!,$D227,#REF!,$DD227)&gt;0,"OK","ONBEKEND")),"ONZEKER")))))</f>
        <v/>
      </c>
      <c r="DF227" t="str">
        <f t="shared" si="1732"/>
        <v/>
      </c>
      <c r="DG227" t="str">
        <f t="shared" si="1733"/>
        <v/>
      </c>
      <c r="DH227" t="str">
        <f>IF($DG227="","",IF(OR($EU227="",$EV227=""),"ONZEKER",IF(OR($ER227="",$ES227=""),"ONZEKER",IF(AND($EU227=$ER227+1,$EV227=$ES227),IF(OR(COUNTIF(#REF!,$B227)&gt;0,COUNTIF(#REF!,$B227)=0),"SKIP",IF(COUNTIFS(#REF!,$B227,#REF!,$DG227)&gt;0,"OK","ONBEKEND")),IF(AND($EU227=$ER227,$EV227=$ES227+1),IF(OR(COUNTIF(#REF!,$D227)&gt;0,COUNTIF(#REF!,$D227)=0),"SKIP",IF(COUNTIFS(#REF!,$D227,#REF!,$DG227)&gt;0,"OK","ONBEKEND")),"ONZEKER")))))</f>
        <v/>
      </c>
      <c r="DI227" t="str">
        <f t="shared" si="1734"/>
        <v/>
      </c>
      <c r="DJ227" t="str">
        <f t="shared" si="1735"/>
        <v/>
      </c>
      <c r="DK227" t="str">
        <f>IF($DJ227="","",IF(OR($EX227="",$EY227=""),"ONZEKER",IF(OR($EU227="",$EV227=""),"ONZEKER",IF(AND($EX227=$EU227+1,$EY227=$EV227),IF(OR(COUNTIF(#REF!,$B227)&gt;0,COUNTIF(#REF!,$B227)=0),"SKIP",IF(COUNTIFS(#REF!,$B227,#REF!,$DJ227)&gt;0,"OK","ONBEKEND")),IF(AND($EX227=$EU227,$EY227=$EV227+1),IF(OR(COUNTIF(#REF!,$D227)&gt;0,COUNTIF(#REF!,$D227)=0),"SKIP",IF(COUNTIFS(#REF!,$D227,#REF!,$DJ227)&gt;0,"OK","ONBEKEND")),"ONZEKER")))))</f>
        <v/>
      </c>
      <c r="DL227" t="str">
        <f t="shared" si="1736"/>
        <v/>
      </c>
      <c r="DM227" t="str">
        <f t="shared" si="1737"/>
        <v/>
      </c>
      <c r="DN227" t="str">
        <f t="shared" si="1738"/>
        <v/>
      </c>
      <c r="DO227" t="str">
        <f t="shared" si="1739"/>
        <v/>
      </c>
      <c r="DP227" t="str">
        <f t="shared" si="1740"/>
        <v/>
      </c>
      <c r="DQ227" t="str">
        <f t="shared" si="1741"/>
        <v/>
      </c>
      <c r="DR227" t="str">
        <f t="shared" si="1742"/>
        <v/>
      </c>
      <c r="DS227" t="str">
        <f t="shared" si="1743"/>
        <v/>
      </c>
      <c r="DT227" t="str">
        <f t="shared" si="1744"/>
        <v/>
      </c>
      <c r="DU227" t="str">
        <f t="shared" si="1745"/>
        <v/>
      </c>
      <c r="DV227" t="str">
        <f t="shared" si="1746"/>
        <v/>
      </c>
      <c r="DW227" t="str">
        <f t="shared" si="1747"/>
        <v/>
      </c>
      <c r="DX227" t="str">
        <f t="shared" si="1748"/>
        <v/>
      </c>
      <c r="DY227" t="str">
        <f t="shared" si="1749"/>
        <v/>
      </c>
      <c r="DZ227" t="str">
        <f t="shared" si="1750"/>
        <v/>
      </c>
      <c r="EA227" t="str">
        <f t="shared" si="1751"/>
        <v/>
      </c>
      <c r="EB227" t="str">
        <f t="shared" si="1752"/>
        <v/>
      </c>
      <c r="EC227" t="str">
        <f t="shared" si="1753"/>
        <v/>
      </c>
      <c r="ED227" t="str">
        <f t="shared" si="1754"/>
        <v/>
      </c>
      <c r="EE227" t="str">
        <f t="shared" si="1755"/>
        <v/>
      </c>
      <c r="EF227" t="str">
        <f t="shared" si="1756"/>
        <v/>
      </c>
      <c r="EG227" t="str">
        <f t="shared" si="1757"/>
        <v/>
      </c>
      <c r="EH227" t="str">
        <f t="shared" si="1758"/>
        <v/>
      </c>
      <c r="EI227" t="str">
        <f t="shared" si="1759"/>
        <v/>
      </c>
      <c r="EJ227" t="str">
        <f t="shared" si="1760"/>
        <v/>
      </c>
      <c r="EK227" t="str">
        <f t="shared" si="1761"/>
        <v/>
      </c>
      <c r="EL227" t="str">
        <f t="shared" si="1762"/>
        <v/>
      </c>
      <c r="EM227" t="str">
        <f t="shared" si="1763"/>
        <v/>
      </c>
      <c r="EN227" t="str">
        <f t="shared" si="1764"/>
        <v/>
      </c>
      <c r="EO227" t="str">
        <f t="shared" si="1765"/>
        <v/>
      </c>
      <c r="EP227" t="str">
        <f t="shared" si="1766"/>
        <v/>
      </c>
      <c r="EQ227" t="str">
        <f t="shared" si="1767"/>
        <v/>
      </c>
      <c r="ER227" t="str">
        <f t="shared" si="1768"/>
        <v/>
      </c>
      <c r="ES227" t="str">
        <f t="shared" si="1769"/>
        <v/>
      </c>
      <c r="ET227" t="str">
        <f t="shared" si="1770"/>
        <v/>
      </c>
      <c r="EU227" t="str">
        <f t="shared" si="1771"/>
        <v/>
      </c>
      <c r="EV227" t="str">
        <f t="shared" si="1772"/>
        <v/>
      </c>
      <c r="EW227" t="str">
        <f t="shared" si="1773"/>
        <v/>
      </c>
      <c r="EX227" t="str">
        <f t="shared" si="1774"/>
        <v/>
      </c>
      <c r="EY227" t="str">
        <f t="shared" si="1775"/>
        <v/>
      </c>
    </row>
    <row r="228" spans="1:155" ht="13.9" customHeight="1" x14ac:dyDescent="0.25">
      <c r="A228" s="7"/>
      <c r="B228" s="17"/>
      <c r="C228" s="8"/>
      <c r="D228" s="17"/>
      <c r="E228" s="8"/>
      <c r="F228" s="18">
        <v>0</v>
      </c>
      <c r="G228" s="7" t="s">
        <v>147</v>
      </c>
      <c r="H228" s="18">
        <v>0</v>
      </c>
      <c r="I228" s="19">
        <v>0</v>
      </c>
      <c r="J228" s="7" t="s">
        <v>147</v>
      </c>
      <c r="K228" s="19">
        <v>0</v>
      </c>
      <c r="L228" s="9"/>
      <c r="M228" s="3" t="str">
        <f>IF($L228="","",IF($L228="DOELPUNTENMAKERS","",IF(AND(COUNTIF(#REF!,$B228)=0,COUNTIF(#REF!,$D228)=0),"OK",IF($O228&gt;20,"LET OP: meer dan 20 items (controle onvolledig)",IF((COUNTIF($R228:$AS228,"ONZEKER")+COUNTIF($CJ228:$DK228,"ONZEKER"))&gt;0,"LET OP: scoreverloop onduidelijk (controle beperkt)",IF((IF($AT228&lt;&gt;"",$AT228&amp;", ","")&amp;IF($AU228&lt;&gt;"",$AU228&amp;", ","")&amp;IF($AV228&lt;&gt;"",$AV228&amp;", ","")&amp;IF($AW228&lt;&gt;"",$AW228&amp;", ","")&amp;IF($AX228&lt;&gt;"",$AX228&amp;", ","")&amp;IF($AY228&lt;&gt;"",$AY228&amp;", ","")&amp;IF($AZ228&lt;&gt;"",$AZ228&amp;", ","")&amp;IF($BA228&lt;&gt;"",$BA228&amp;", ","")&amp;IF($BB228&lt;&gt;"",$BB228&amp;", ","")&amp;IF($BC228&lt;&gt;"",$BC228&amp;", ","")&amp;IF($DL228&lt;&gt;"",$DL228&amp;", ","")&amp;IF($DM228&lt;&gt;"",$DM228&amp;", ","")&amp;IF($DN228&lt;&gt;"",$DN228&amp;", ","")&amp;IF($DO228&lt;&gt;"",$DO228&amp;", ","")&amp;IF($DP228&lt;&gt;"",$DP228&amp;", ","")&amp;IF($DQ228&lt;&gt;"",$DQ228&amp;", ","")&amp;IF($DR228&lt;&gt;"",$DR228&amp;", ","")&amp;IF($DS228&lt;&gt;"",$DS228&amp;", ","")&amp;IF($DT228&lt;&gt;"",$DT228&amp;", ","")&amp;IF($DU228&lt;&gt;"",$DU228&amp;", ",""))="","OK","Onbekend: "&amp;LEFT((IF($AT228&lt;&gt;"",$AT228&amp;", ","")&amp;IF($AU228&lt;&gt;"",$AU228&amp;", ","")&amp;IF($AV228&lt;&gt;"",$AV228&amp;", ","")&amp;IF($AW228&lt;&gt;"",$AW228&amp;", ","")&amp;IF($AX228&lt;&gt;"",$AX228&amp;", ","")&amp;IF($AY228&lt;&gt;"",$AY228&amp;", ","")&amp;IF($AZ228&lt;&gt;"",$AZ228&amp;", ","")&amp;IF($BA228&lt;&gt;"",$BA228&amp;", ","")&amp;IF($BB228&lt;&gt;"",$BB228&amp;", ","")&amp;IF($BC228&lt;&gt;"",$BC228&amp;", ","")&amp;IF($DL228&lt;&gt;"",$DL228&amp;", ","")&amp;IF($DM228&lt;&gt;"",$DM228&amp;", ","")&amp;IF($DN228&lt;&gt;"",$DN228&amp;", ","")&amp;IF($DO228&lt;&gt;"",$DO228&amp;", ","")&amp;IF($DP228&lt;&gt;"",$DP228&amp;", ","")&amp;IF($DQ228&lt;&gt;"",$DQ228&amp;", ","")&amp;IF($DR228&lt;&gt;"",$DR228&amp;", ","")&amp;IF($DS228&lt;&gt;"",$DS228&amp;", ","")&amp;IF($DT228&lt;&gt;"",$DT228&amp;", ","")&amp;IF($DU228&lt;&gt;"",$DU228&amp;", ","")),LEN((IF($AT228&lt;&gt;"",$AT228&amp;", ","")&amp;IF($AU228&lt;&gt;"",$AU228&amp;", ","")&amp;IF($AV228&lt;&gt;"",$AV228&amp;", ","")&amp;IF($AW228&lt;&gt;"",$AW228&amp;", ","")&amp;IF($AX228&lt;&gt;"",$AX228&amp;", ","")&amp;IF($AY228&lt;&gt;"",$AY228&amp;", ","")&amp;IF($AZ228&lt;&gt;"",$AZ228&amp;", ","")&amp;IF($BA228&lt;&gt;"",$BA228&amp;", ","")&amp;IF($BB228&lt;&gt;"",$BB228&amp;", ","")&amp;IF($BC228&lt;&gt;"",$BC228&amp;", ","")&amp;IF($DL228&lt;&gt;"",$DL228&amp;", ","")&amp;IF($DM228&lt;&gt;"",$DM228&amp;", ","")&amp;IF($DN228&lt;&gt;"",$DN228&amp;", ","")&amp;IF($DO228&lt;&gt;"",$DO228&amp;", ","")&amp;IF($DP228&lt;&gt;"",$DP228&amp;", ","")&amp;IF($DQ228&lt;&gt;"",$DQ228&amp;", ","")&amp;IF($DR228&lt;&gt;"",$DR228&amp;", ","")&amp;IF($DS228&lt;&gt;"",$DS228&amp;", ","")&amp;IF($DT228&lt;&gt;"",$DT228&amp;", ","")&amp;IF($DU228&lt;&gt;"",$DU228&amp;", ","")))-2)))))))</f>
        <v/>
      </c>
      <c r="N228" t="str">
        <f t="shared" si="1684"/>
        <v/>
      </c>
      <c r="O228" t="str">
        <f t="shared" si="1685"/>
        <v/>
      </c>
      <c r="P228" t="str">
        <f t="shared" si="1686"/>
        <v/>
      </c>
      <c r="Q228" t="str">
        <f t="shared" si="1687"/>
        <v/>
      </c>
      <c r="R228" t="str">
        <f>IF($Q228="","",IF(OR($BE228="",$BF228=""),"ONZEKER",IF(AND($BE228=0+1,$BF228=0),IF(OR(COUNTIF(#REF!,$B228)&gt;0,COUNTIF(#REF!,$B228)=0),"SKIP",IF(COUNTIFS(#REF!,$B228,#REF!,$Q228)&gt;0,"OK","ONBEKEND")),IF(AND($BE228=0,$BF228=0+1),IF(OR(COUNTIF(#REF!,$D228)&gt;0,COUNTIF(#REF!,$D228)=0),"SKIP",IF(COUNTIFS(#REF!,$D228,#REF!,$Q228)&gt;0,"OK","ONBEKEND")),"ONZEKER"))))</f>
        <v/>
      </c>
      <c r="S228" t="str">
        <f t="shared" si="1688"/>
        <v/>
      </c>
      <c r="T228" t="str">
        <f t="shared" si="1689"/>
        <v/>
      </c>
      <c r="U228" t="str">
        <f>IF($T228="","",IF(OR($BH228="",$BI228=""),"ONZEKER",IF(OR($BE228="",$BF228=""),"ONZEKER",IF(AND($BH228=$BE228+1,$BI228=$BF228),IF(OR(COUNTIF(#REF!,$B228)&gt;0,COUNTIF(#REF!,$B228)=0),"SKIP",IF(COUNTIFS(#REF!,$B228,#REF!,$T228)&gt;0,"OK","ONBEKEND")),IF(AND($BH228=$BE228,$BI228=$BF228+1),IF(OR(COUNTIF(#REF!,$D228)&gt;0,COUNTIF(#REF!,$D228)=0),"SKIP",IF(COUNTIFS(#REF!,$D228,#REF!,$T228)&gt;0,"OK","ONBEKEND")),"ONZEKER")))))</f>
        <v/>
      </c>
      <c r="V228" t="str">
        <f t="shared" si="1690"/>
        <v/>
      </c>
      <c r="W228" t="str">
        <f t="shared" si="1691"/>
        <v/>
      </c>
      <c r="X228" t="str">
        <f>IF($W228="","",IF(OR($BK228="",$BL228=""),"ONZEKER",IF(OR($BH228="",$BI228=""),"ONZEKER",IF(AND($BK228=$BH228+1,$BL228=$BI228),IF(OR(COUNTIF(#REF!,$B228)&gt;0,COUNTIF(#REF!,$B228)=0),"SKIP",IF(COUNTIFS(#REF!,$B228,#REF!,$W228)&gt;0,"OK","ONBEKEND")),IF(AND($BK228=$BH228,$BL228=$BI228+1),IF(OR(COUNTIF(#REF!,$D228)&gt;0,COUNTIF(#REF!,$D228)=0),"SKIP",IF(COUNTIFS(#REF!,$D228,#REF!,$W228)&gt;0,"OK","ONBEKEND")),"ONZEKER")))))</f>
        <v/>
      </c>
      <c r="Y228" t="str">
        <f t="shared" si="1692"/>
        <v/>
      </c>
      <c r="Z228" t="str">
        <f t="shared" si="1693"/>
        <v/>
      </c>
      <c r="AA228" t="str">
        <f>IF($Z228="","",IF(OR($BN228="",$BO228=""),"ONZEKER",IF(OR($BK228="",$BL228=""),"ONZEKER",IF(AND($BN228=$BK228+1,$BO228=$BL228),IF(OR(COUNTIF(#REF!,$B228)&gt;0,COUNTIF(#REF!,$B228)=0),"SKIP",IF(COUNTIFS(#REF!,$B228,#REF!,$Z228)&gt;0,"OK","ONBEKEND")),IF(AND($BN228=$BK228,$BO228=$BL228+1),IF(OR(COUNTIF(#REF!,$D228)&gt;0,COUNTIF(#REF!,$D228)=0),"SKIP",IF(COUNTIFS(#REF!,$D228,#REF!,$Z228)&gt;0,"OK","ONBEKEND")),"ONZEKER")))))</f>
        <v/>
      </c>
      <c r="AB228" t="str">
        <f t="shared" si="1694"/>
        <v/>
      </c>
      <c r="AC228" t="str">
        <f t="shared" si="1695"/>
        <v/>
      </c>
      <c r="AD228" t="str">
        <f>IF($AC228="","",IF(OR($BQ228="",$BR228=""),"ONZEKER",IF(OR($BN228="",$BO228=""),"ONZEKER",IF(AND($BQ228=$BN228+1,$BR228=$BO228),IF(OR(COUNTIF(#REF!,$B228)&gt;0,COUNTIF(#REF!,$B228)=0),"SKIP",IF(COUNTIFS(#REF!,$B228,#REF!,$AC228)&gt;0,"OK","ONBEKEND")),IF(AND($BQ228=$BN228,$BR228=$BO228+1),IF(OR(COUNTIF(#REF!,$D228)&gt;0,COUNTIF(#REF!,$D228)=0),"SKIP",IF(COUNTIFS(#REF!,$D228,#REF!,$AC228)&gt;0,"OK","ONBEKEND")),"ONZEKER")))))</f>
        <v/>
      </c>
      <c r="AE228" t="str">
        <f t="shared" si="1696"/>
        <v/>
      </c>
      <c r="AF228" t="str">
        <f t="shared" si="1697"/>
        <v/>
      </c>
      <c r="AG228" t="str">
        <f>IF($AF228="","",IF(OR($BT228="",$BU228=""),"ONZEKER",IF(OR($BQ228="",$BR228=""),"ONZEKER",IF(AND($BT228=$BQ228+1,$BU228=$BR228),IF(OR(COUNTIF(#REF!,$B228)&gt;0,COUNTIF(#REF!,$B228)=0),"SKIP",IF(COUNTIFS(#REF!,$B228,#REF!,$AF228)&gt;0,"OK","ONBEKEND")),IF(AND($BT228=$BQ228,$BU228=$BR228+1),IF(OR(COUNTIF(#REF!,$D228)&gt;0,COUNTIF(#REF!,$D228)=0),"SKIP",IF(COUNTIFS(#REF!,$D228,#REF!,$AF228)&gt;0,"OK","ONBEKEND")),"ONZEKER")))))</f>
        <v/>
      </c>
      <c r="AH228" t="str">
        <f t="shared" si="1698"/>
        <v/>
      </c>
      <c r="AI228" t="str">
        <f t="shared" si="1699"/>
        <v/>
      </c>
      <c r="AJ228" t="str">
        <f>IF($AI228="","",IF(OR($BW228="",$BX228=""),"ONZEKER",IF(OR($BT228="",$BU228=""),"ONZEKER",IF(AND($BW228=$BT228+1,$BX228=$BU228),IF(OR(COUNTIF(#REF!,$B228)&gt;0,COUNTIF(#REF!,$B228)=0),"SKIP",IF(COUNTIFS(#REF!,$B228,#REF!,$AI228)&gt;0,"OK","ONBEKEND")),IF(AND($BW228=$BT228,$BX228=$BU228+1),IF(OR(COUNTIF(#REF!,$D228)&gt;0,COUNTIF(#REF!,$D228)=0),"SKIP",IF(COUNTIFS(#REF!,$D228,#REF!,$AI228)&gt;0,"OK","ONBEKEND")),"ONZEKER")))))</f>
        <v/>
      </c>
      <c r="AK228" t="str">
        <f t="shared" si="1700"/>
        <v/>
      </c>
      <c r="AL228" t="str">
        <f t="shared" si="1701"/>
        <v/>
      </c>
      <c r="AM228" t="str">
        <f>IF($AL228="","",IF(OR($BZ228="",$CA228=""),"ONZEKER",IF(OR($BW228="",$BX228=""),"ONZEKER",IF(AND($BZ228=$BW228+1,$CA228=$BX228),IF(OR(COUNTIF(#REF!,$B228)&gt;0,COUNTIF(#REF!,$B228)=0),"SKIP",IF(COUNTIFS(#REF!,$B228,#REF!,$AL228)&gt;0,"OK","ONBEKEND")),IF(AND($BZ228=$BW228,$CA228=$BX228+1),IF(OR(COUNTIF(#REF!,$D228)&gt;0,COUNTIF(#REF!,$D228)=0),"SKIP",IF(COUNTIFS(#REF!,$D228,#REF!,$AL228)&gt;0,"OK","ONBEKEND")),"ONZEKER")))))</f>
        <v/>
      </c>
      <c r="AN228" t="str">
        <f t="shared" si="1702"/>
        <v/>
      </c>
      <c r="AO228" t="str">
        <f t="shared" si="1703"/>
        <v/>
      </c>
      <c r="AP228" t="str">
        <f>IF($AO228="","",IF(OR($CC228="",$CD228=""),"ONZEKER",IF(OR($BZ228="",$CA228=""),"ONZEKER",IF(AND($CC228=$BZ228+1,$CD228=$CA228),IF(OR(COUNTIF(#REF!,$B228)&gt;0,COUNTIF(#REF!,$B228)=0),"SKIP",IF(COUNTIFS(#REF!,$B228,#REF!,$AO228)&gt;0,"OK","ONBEKEND")),IF(AND($CC228=$BZ228,$CD228=$CA228+1),IF(OR(COUNTIF(#REF!,$D228)&gt;0,COUNTIF(#REF!,$D228)=0),"SKIP",IF(COUNTIFS(#REF!,$D228,#REF!,$AO228)&gt;0,"OK","ONBEKEND")),"ONZEKER")))))</f>
        <v/>
      </c>
      <c r="AQ228" t="str">
        <f t="shared" si="1704"/>
        <v/>
      </c>
      <c r="AR228" t="str">
        <f t="shared" si="1705"/>
        <v/>
      </c>
      <c r="AS228" t="str">
        <f>IF($AR228="","",IF(OR($CF228="",$CG228=""),"ONZEKER",IF(OR($CC228="",$CD228=""),"ONZEKER",IF(AND($CF228=$CC228+1,$CG228=$CD228),IF(OR(COUNTIF(#REF!,$B228)&gt;0,COUNTIF(#REF!,$B228)=0),"SKIP",IF(COUNTIFS(#REF!,$B228,#REF!,$AR228)&gt;0,"OK","ONBEKEND")),IF(AND($CF228=$CC228,$CG228=$CD228+1),IF(OR(COUNTIF(#REF!,$D228)&gt;0,COUNTIF(#REF!,$D228)=0),"SKIP",IF(COUNTIFS(#REF!,$D228,#REF!,$AR228)&gt;0,"OK","ONBEKEND")),"ONZEKER")))))</f>
        <v/>
      </c>
      <c r="AT228" t="str">
        <f t="shared" si="1706"/>
        <v/>
      </c>
      <c r="AU228" t="str">
        <f t="shared" si="1707"/>
        <v/>
      </c>
      <c r="AV228" t="str">
        <f t="shared" si="1708"/>
        <v/>
      </c>
      <c r="AW228" t="str">
        <f t="shared" si="1709"/>
        <v/>
      </c>
      <c r="AX228" t="str">
        <f t="shared" si="1710"/>
        <v/>
      </c>
      <c r="AY228" t="str">
        <f t="shared" si="1711"/>
        <v/>
      </c>
      <c r="AZ228" t="str">
        <f t="shared" si="1712"/>
        <v/>
      </c>
      <c r="BA228" t="str">
        <f t="shared" si="1713"/>
        <v/>
      </c>
      <c r="BB228" t="str">
        <f t="shared" si="1714"/>
        <v/>
      </c>
      <c r="BC228" t="str">
        <f t="shared" si="1715"/>
        <v/>
      </c>
      <c r="BD228" t="str">
        <f t="shared" si="1470"/>
        <v/>
      </c>
      <c r="BE228" t="str">
        <f t="shared" si="1471"/>
        <v/>
      </c>
      <c r="BF228" t="str">
        <f t="shared" si="1472"/>
        <v/>
      </c>
      <c r="BG228" t="str">
        <f t="shared" si="1473"/>
        <v/>
      </c>
      <c r="BH228" t="str">
        <f t="shared" si="1474"/>
        <v/>
      </c>
      <c r="BI228" t="str">
        <f t="shared" si="1475"/>
        <v/>
      </c>
      <c r="BJ228" t="str">
        <f t="shared" si="1476"/>
        <v/>
      </c>
      <c r="BK228" t="str">
        <f t="shared" si="1477"/>
        <v/>
      </c>
      <c r="BL228" t="str">
        <f t="shared" si="1478"/>
        <v/>
      </c>
      <c r="BM228" t="str">
        <f t="shared" si="1479"/>
        <v/>
      </c>
      <c r="BN228" t="str">
        <f t="shared" si="1480"/>
        <v/>
      </c>
      <c r="BO228" t="str">
        <f t="shared" si="1481"/>
        <v/>
      </c>
      <c r="BP228" t="str">
        <f t="shared" si="1482"/>
        <v/>
      </c>
      <c r="BQ228" t="str">
        <f t="shared" si="1483"/>
        <v/>
      </c>
      <c r="BR228" t="str">
        <f t="shared" si="1484"/>
        <v/>
      </c>
      <c r="BS228" t="str">
        <f t="shared" si="1485"/>
        <v/>
      </c>
      <c r="BT228" t="str">
        <f t="shared" si="1486"/>
        <v/>
      </c>
      <c r="BU228" t="str">
        <f t="shared" si="1487"/>
        <v/>
      </c>
      <c r="BV228" t="str">
        <f t="shared" si="1488"/>
        <v/>
      </c>
      <c r="BW228" t="str">
        <f t="shared" si="1489"/>
        <v/>
      </c>
      <c r="BX228" t="str">
        <f t="shared" si="1490"/>
        <v/>
      </c>
      <c r="BY228" t="str">
        <f t="shared" si="1491"/>
        <v/>
      </c>
      <c r="BZ228" t="str">
        <f t="shared" si="1492"/>
        <v/>
      </c>
      <c r="CA228" t="str">
        <f t="shared" si="1493"/>
        <v/>
      </c>
      <c r="CB228" t="str">
        <f t="shared" si="1494"/>
        <v/>
      </c>
      <c r="CC228" t="str">
        <f t="shared" si="1495"/>
        <v/>
      </c>
      <c r="CD228" t="str">
        <f t="shared" si="1496"/>
        <v/>
      </c>
      <c r="CE228" t="str">
        <f t="shared" si="1497"/>
        <v/>
      </c>
      <c r="CF228" t="str">
        <f t="shared" si="1498"/>
        <v/>
      </c>
      <c r="CG228" t="str">
        <f t="shared" si="1499"/>
        <v/>
      </c>
      <c r="CH228" t="str">
        <f t="shared" si="1716"/>
        <v/>
      </c>
      <c r="CI228" t="str">
        <f t="shared" si="1717"/>
        <v/>
      </c>
      <c r="CJ228" t="str">
        <f>IF($CI228="","",IF(OR($DW228="",$DX228=""),"ONZEKER",IF(OR($CF228="",$CG228=""),"ONZEKER",IF(AND($DW228=$CF228+1,$DX228=$CG228),IF(OR(COUNTIF(#REF!,$B228)&gt;0,COUNTIF(#REF!,$B228)=0),"SKIP",IF(COUNTIFS(#REF!,$B228,#REF!,$CI228)&gt;0,"OK","ONBEKEND")),IF(AND($DW228=$CF228,$DX228=$CG228+1),IF(OR(COUNTIF(#REF!,$D228)&gt;0,COUNTIF(#REF!,$D228)=0),"SKIP",IF(COUNTIFS(#REF!,$D228,#REF!,$CI228)&gt;0,"OK","ONBEKEND")),"ONZEKER")))))</f>
        <v/>
      </c>
      <c r="CK228" t="str">
        <f t="shared" si="1718"/>
        <v/>
      </c>
      <c r="CL228" t="str">
        <f t="shared" si="1719"/>
        <v/>
      </c>
      <c r="CM228" t="str">
        <f>IF($CL228="","",IF(OR($DZ228="",$EA228=""),"ONZEKER",IF(OR($DW228="",$DX228=""),"ONZEKER",IF(AND($DZ228=$DW228+1,$EA228=$DX228),IF(OR(COUNTIF(#REF!,$B228)&gt;0,COUNTIF(#REF!,$B228)=0),"SKIP",IF(COUNTIFS(#REF!,$B228,#REF!,$CL228)&gt;0,"OK","ONBEKEND")),IF(AND($DZ228=$DW228,$EA228=$DX228+1),IF(OR(COUNTIF(#REF!,$D228)&gt;0,COUNTIF(#REF!,$D228)=0),"SKIP",IF(COUNTIFS(#REF!,$D228,#REF!,$CL228)&gt;0,"OK","ONBEKEND")),"ONZEKER")))))</f>
        <v/>
      </c>
      <c r="CN228" t="str">
        <f t="shared" si="1720"/>
        <v/>
      </c>
      <c r="CO228" t="str">
        <f t="shared" si="1721"/>
        <v/>
      </c>
      <c r="CP228" t="str">
        <f>IF($CO228="","",IF(OR($EC228="",$ED228=""),"ONZEKER",IF(OR($DZ228="",$EA228=""),"ONZEKER",IF(AND($EC228=$DZ228+1,$ED228=$EA228),IF(OR(COUNTIF(#REF!,$B228)&gt;0,COUNTIF(#REF!,$B228)=0),"SKIP",IF(COUNTIFS(#REF!,$B228,#REF!,$CO228)&gt;0,"OK","ONBEKEND")),IF(AND($EC228=$DZ228,$ED228=$EA228+1),IF(OR(COUNTIF(#REF!,$D228)&gt;0,COUNTIF(#REF!,$D228)=0),"SKIP",IF(COUNTIFS(#REF!,$D228,#REF!,$CO228)&gt;0,"OK","ONBEKEND")),"ONZEKER")))))</f>
        <v/>
      </c>
      <c r="CQ228" t="str">
        <f t="shared" si="1722"/>
        <v/>
      </c>
      <c r="CR228" t="str">
        <f t="shared" si="1723"/>
        <v/>
      </c>
      <c r="CS228" t="str">
        <f>IF($CR228="","",IF(OR($EF228="",$EG228=""),"ONZEKER",IF(OR($EC228="",$ED228=""),"ONZEKER",IF(AND($EF228=$EC228+1,$EG228=$ED228),IF(OR(COUNTIF(#REF!,$B228)&gt;0,COUNTIF(#REF!,$B228)=0),"SKIP",IF(COUNTIFS(#REF!,$B228,#REF!,$CR228)&gt;0,"OK","ONBEKEND")),IF(AND($EF228=$EC228,$EG228=$ED228+1),IF(OR(COUNTIF(#REF!,$D228)&gt;0,COUNTIF(#REF!,$D228)=0),"SKIP",IF(COUNTIFS(#REF!,$D228,#REF!,$CR228)&gt;0,"OK","ONBEKEND")),"ONZEKER")))))</f>
        <v/>
      </c>
      <c r="CT228" t="str">
        <f t="shared" si="1724"/>
        <v/>
      </c>
      <c r="CU228" t="str">
        <f t="shared" si="1725"/>
        <v/>
      </c>
      <c r="CV228" t="str">
        <f>IF($CU228="","",IF(OR($EI228="",$EJ228=""),"ONZEKER",IF(OR($EF228="",$EG228=""),"ONZEKER",IF(AND($EI228=$EF228+1,$EJ228=$EG228),IF(OR(COUNTIF(#REF!,$B228)&gt;0,COUNTIF(#REF!,$B228)=0),"SKIP",IF(COUNTIFS(#REF!,$B228,#REF!,$CU228)&gt;0,"OK","ONBEKEND")),IF(AND($EI228=$EF228,$EJ228=$EG228+1),IF(OR(COUNTIF(#REF!,$D228)&gt;0,COUNTIF(#REF!,$D228)=0),"SKIP",IF(COUNTIFS(#REF!,$D228,#REF!,$CU228)&gt;0,"OK","ONBEKEND")),"ONZEKER")))))</f>
        <v/>
      </c>
      <c r="CW228" t="str">
        <f t="shared" si="1726"/>
        <v/>
      </c>
      <c r="CX228" t="str">
        <f t="shared" si="1727"/>
        <v/>
      </c>
      <c r="CY228" t="str">
        <f>IF($CX228="","",IF(OR($EL228="",$EM228=""),"ONZEKER",IF(OR($EI228="",$EJ228=""),"ONZEKER",IF(AND($EL228=$EI228+1,$EM228=$EJ228),IF(OR(COUNTIF(#REF!,$B228)&gt;0,COUNTIF(#REF!,$B228)=0),"SKIP",IF(COUNTIFS(#REF!,$B228,#REF!,$CX228)&gt;0,"OK","ONBEKEND")),IF(AND($EL228=$EI228,$EM228=$EJ228+1),IF(OR(COUNTIF(#REF!,$D228)&gt;0,COUNTIF(#REF!,$D228)=0),"SKIP",IF(COUNTIFS(#REF!,$D228,#REF!,$CX228)&gt;0,"OK","ONBEKEND")),"ONZEKER")))))</f>
        <v/>
      </c>
      <c r="CZ228" t="str">
        <f t="shared" si="1728"/>
        <v/>
      </c>
      <c r="DA228" t="str">
        <f t="shared" si="1729"/>
        <v/>
      </c>
      <c r="DB228" t="str">
        <f>IF($DA228="","",IF(OR($EO228="",$EP228=""),"ONZEKER",IF(OR($EL228="",$EM228=""),"ONZEKER",IF(AND($EO228=$EL228+1,$EP228=$EM228),IF(OR(COUNTIF(#REF!,$B228)&gt;0,COUNTIF(#REF!,$B228)=0),"SKIP",IF(COUNTIFS(#REF!,$B228,#REF!,$DA228)&gt;0,"OK","ONBEKEND")),IF(AND($EO228=$EL228,$EP228=$EM228+1),IF(OR(COUNTIF(#REF!,$D228)&gt;0,COUNTIF(#REF!,$D228)=0),"SKIP",IF(COUNTIFS(#REF!,$D228,#REF!,$DA228)&gt;0,"OK","ONBEKEND")),"ONZEKER")))))</f>
        <v/>
      </c>
      <c r="DC228" t="str">
        <f t="shared" si="1730"/>
        <v/>
      </c>
      <c r="DD228" t="str">
        <f t="shared" si="1731"/>
        <v/>
      </c>
      <c r="DE228" t="str">
        <f>IF($DD228="","",IF(OR($ER228="",$ES228=""),"ONZEKER",IF(OR($EO228="",$EP228=""),"ONZEKER",IF(AND($ER228=$EO228+1,$ES228=$EP228),IF(OR(COUNTIF(#REF!,$B228)&gt;0,COUNTIF(#REF!,$B228)=0),"SKIP",IF(COUNTIFS(#REF!,$B228,#REF!,$DD228)&gt;0,"OK","ONBEKEND")),IF(AND($ER228=$EO228,$ES228=$EP228+1),IF(OR(COUNTIF(#REF!,$D228)&gt;0,COUNTIF(#REF!,$D228)=0),"SKIP",IF(COUNTIFS(#REF!,$D228,#REF!,$DD228)&gt;0,"OK","ONBEKEND")),"ONZEKER")))))</f>
        <v/>
      </c>
      <c r="DF228" t="str">
        <f t="shared" si="1732"/>
        <v/>
      </c>
      <c r="DG228" t="str">
        <f t="shared" si="1733"/>
        <v/>
      </c>
      <c r="DH228" t="str">
        <f>IF($DG228="","",IF(OR($EU228="",$EV228=""),"ONZEKER",IF(OR($ER228="",$ES228=""),"ONZEKER",IF(AND($EU228=$ER228+1,$EV228=$ES228),IF(OR(COUNTIF(#REF!,$B228)&gt;0,COUNTIF(#REF!,$B228)=0),"SKIP",IF(COUNTIFS(#REF!,$B228,#REF!,$DG228)&gt;0,"OK","ONBEKEND")),IF(AND($EU228=$ER228,$EV228=$ES228+1),IF(OR(COUNTIF(#REF!,$D228)&gt;0,COUNTIF(#REF!,$D228)=0),"SKIP",IF(COUNTIFS(#REF!,$D228,#REF!,$DG228)&gt;0,"OK","ONBEKEND")),"ONZEKER")))))</f>
        <v/>
      </c>
      <c r="DI228" t="str">
        <f t="shared" si="1734"/>
        <v/>
      </c>
      <c r="DJ228" t="str">
        <f t="shared" si="1735"/>
        <v/>
      </c>
      <c r="DK228" t="str">
        <f>IF($DJ228="","",IF(OR($EX228="",$EY228=""),"ONZEKER",IF(OR($EU228="",$EV228=""),"ONZEKER",IF(AND($EX228=$EU228+1,$EY228=$EV228),IF(OR(COUNTIF(#REF!,$B228)&gt;0,COUNTIF(#REF!,$B228)=0),"SKIP",IF(COUNTIFS(#REF!,$B228,#REF!,$DJ228)&gt;0,"OK","ONBEKEND")),IF(AND($EX228=$EU228,$EY228=$EV228+1),IF(OR(COUNTIF(#REF!,$D228)&gt;0,COUNTIF(#REF!,$D228)=0),"SKIP",IF(COUNTIFS(#REF!,$D228,#REF!,$DJ228)&gt;0,"OK","ONBEKEND")),"ONZEKER")))))</f>
        <v/>
      </c>
      <c r="DL228" t="str">
        <f t="shared" si="1736"/>
        <v/>
      </c>
      <c r="DM228" t="str">
        <f t="shared" si="1737"/>
        <v/>
      </c>
      <c r="DN228" t="str">
        <f t="shared" si="1738"/>
        <v/>
      </c>
      <c r="DO228" t="str">
        <f t="shared" si="1739"/>
        <v/>
      </c>
      <c r="DP228" t="str">
        <f t="shared" si="1740"/>
        <v/>
      </c>
      <c r="DQ228" t="str">
        <f t="shared" si="1741"/>
        <v/>
      </c>
      <c r="DR228" t="str">
        <f t="shared" si="1742"/>
        <v/>
      </c>
      <c r="DS228" t="str">
        <f t="shared" si="1743"/>
        <v/>
      </c>
      <c r="DT228" t="str">
        <f t="shared" si="1744"/>
        <v/>
      </c>
      <c r="DU228" t="str">
        <f t="shared" si="1745"/>
        <v/>
      </c>
      <c r="DV228" t="str">
        <f t="shared" si="1746"/>
        <v/>
      </c>
      <c r="DW228" t="str">
        <f t="shared" si="1747"/>
        <v/>
      </c>
      <c r="DX228" t="str">
        <f t="shared" si="1748"/>
        <v/>
      </c>
      <c r="DY228" t="str">
        <f t="shared" si="1749"/>
        <v/>
      </c>
      <c r="DZ228" t="str">
        <f t="shared" si="1750"/>
        <v/>
      </c>
      <c r="EA228" t="str">
        <f t="shared" si="1751"/>
        <v/>
      </c>
      <c r="EB228" t="str">
        <f t="shared" si="1752"/>
        <v/>
      </c>
      <c r="EC228" t="str">
        <f t="shared" si="1753"/>
        <v/>
      </c>
      <c r="ED228" t="str">
        <f t="shared" si="1754"/>
        <v/>
      </c>
      <c r="EE228" t="str">
        <f t="shared" si="1755"/>
        <v/>
      </c>
      <c r="EF228" t="str">
        <f t="shared" si="1756"/>
        <v/>
      </c>
      <c r="EG228" t="str">
        <f t="shared" si="1757"/>
        <v/>
      </c>
      <c r="EH228" t="str">
        <f t="shared" si="1758"/>
        <v/>
      </c>
      <c r="EI228" t="str">
        <f t="shared" si="1759"/>
        <v/>
      </c>
      <c r="EJ228" t="str">
        <f t="shared" si="1760"/>
        <v/>
      </c>
      <c r="EK228" t="str">
        <f t="shared" si="1761"/>
        <v/>
      </c>
      <c r="EL228" t="str">
        <f t="shared" si="1762"/>
        <v/>
      </c>
      <c r="EM228" t="str">
        <f t="shared" si="1763"/>
        <v/>
      </c>
      <c r="EN228" t="str">
        <f t="shared" si="1764"/>
        <v/>
      </c>
      <c r="EO228" t="str">
        <f t="shared" si="1765"/>
        <v/>
      </c>
      <c r="EP228" t="str">
        <f t="shared" si="1766"/>
        <v/>
      </c>
      <c r="EQ228" t="str">
        <f t="shared" si="1767"/>
        <v/>
      </c>
      <c r="ER228" t="str">
        <f t="shared" si="1768"/>
        <v/>
      </c>
      <c r="ES228" t="str">
        <f t="shared" si="1769"/>
        <v/>
      </c>
      <c r="ET228" t="str">
        <f t="shared" si="1770"/>
        <v/>
      </c>
      <c r="EU228" t="str">
        <f t="shared" si="1771"/>
        <v/>
      </c>
      <c r="EV228" t="str">
        <f t="shared" si="1772"/>
        <v/>
      </c>
      <c r="EW228" t="str">
        <f t="shared" si="1773"/>
        <v/>
      </c>
      <c r="EX228" t="str">
        <f t="shared" si="1774"/>
        <v/>
      </c>
      <c r="EY228" t="str">
        <f t="shared" si="1775"/>
        <v/>
      </c>
    </row>
    <row r="229" spans="1:155" ht="13.9" customHeight="1" x14ac:dyDescent="0.25">
      <c r="A229" s="7"/>
      <c r="B229" s="17"/>
      <c r="C229" s="8"/>
      <c r="D229" s="17"/>
      <c r="E229" s="8"/>
      <c r="F229" s="18">
        <v>0</v>
      </c>
      <c r="G229" s="7" t="s">
        <v>147</v>
      </c>
      <c r="H229" s="18">
        <v>0</v>
      </c>
      <c r="I229" s="19">
        <v>0</v>
      </c>
      <c r="J229" s="7" t="s">
        <v>147</v>
      </c>
      <c r="K229" s="19">
        <v>0</v>
      </c>
      <c r="L229" s="9"/>
      <c r="M229" s="3" t="str">
        <f>IF($L229="","",IF($L229="DOELPUNTENMAKERS","",IF(AND(COUNTIF(#REF!,$B229)=0,COUNTIF(#REF!,$D229)=0),"OK",IF($O229&gt;20,"LET OP: meer dan 20 items (controle onvolledig)",IF((COUNTIF($R229:$AS229,"ONZEKER")+COUNTIF($CJ229:$DK229,"ONZEKER"))&gt;0,"LET OP: scoreverloop onduidelijk (controle beperkt)",IF((IF($AT229&lt;&gt;"",$AT229&amp;", ","")&amp;IF($AU229&lt;&gt;"",$AU229&amp;", ","")&amp;IF($AV229&lt;&gt;"",$AV229&amp;", ","")&amp;IF($AW229&lt;&gt;"",$AW229&amp;", ","")&amp;IF($AX229&lt;&gt;"",$AX229&amp;", ","")&amp;IF($AY229&lt;&gt;"",$AY229&amp;", ","")&amp;IF($AZ229&lt;&gt;"",$AZ229&amp;", ","")&amp;IF($BA229&lt;&gt;"",$BA229&amp;", ","")&amp;IF($BB229&lt;&gt;"",$BB229&amp;", ","")&amp;IF($BC229&lt;&gt;"",$BC229&amp;", ","")&amp;IF($DL229&lt;&gt;"",$DL229&amp;", ","")&amp;IF($DM229&lt;&gt;"",$DM229&amp;", ","")&amp;IF($DN229&lt;&gt;"",$DN229&amp;", ","")&amp;IF($DO229&lt;&gt;"",$DO229&amp;", ","")&amp;IF($DP229&lt;&gt;"",$DP229&amp;", ","")&amp;IF($DQ229&lt;&gt;"",$DQ229&amp;", ","")&amp;IF($DR229&lt;&gt;"",$DR229&amp;", ","")&amp;IF($DS229&lt;&gt;"",$DS229&amp;", ","")&amp;IF($DT229&lt;&gt;"",$DT229&amp;", ","")&amp;IF($DU229&lt;&gt;"",$DU229&amp;", ",""))="","OK","Onbekend: "&amp;LEFT((IF($AT229&lt;&gt;"",$AT229&amp;", ","")&amp;IF($AU229&lt;&gt;"",$AU229&amp;", ","")&amp;IF($AV229&lt;&gt;"",$AV229&amp;", ","")&amp;IF($AW229&lt;&gt;"",$AW229&amp;", ","")&amp;IF($AX229&lt;&gt;"",$AX229&amp;", ","")&amp;IF($AY229&lt;&gt;"",$AY229&amp;", ","")&amp;IF($AZ229&lt;&gt;"",$AZ229&amp;", ","")&amp;IF($BA229&lt;&gt;"",$BA229&amp;", ","")&amp;IF($BB229&lt;&gt;"",$BB229&amp;", ","")&amp;IF($BC229&lt;&gt;"",$BC229&amp;", ","")&amp;IF($DL229&lt;&gt;"",$DL229&amp;", ","")&amp;IF($DM229&lt;&gt;"",$DM229&amp;", ","")&amp;IF($DN229&lt;&gt;"",$DN229&amp;", ","")&amp;IF($DO229&lt;&gt;"",$DO229&amp;", ","")&amp;IF($DP229&lt;&gt;"",$DP229&amp;", ","")&amp;IF($DQ229&lt;&gt;"",$DQ229&amp;", ","")&amp;IF($DR229&lt;&gt;"",$DR229&amp;", ","")&amp;IF($DS229&lt;&gt;"",$DS229&amp;", ","")&amp;IF($DT229&lt;&gt;"",$DT229&amp;", ","")&amp;IF($DU229&lt;&gt;"",$DU229&amp;", ","")),LEN((IF($AT229&lt;&gt;"",$AT229&amp;", ","")&amp;IF($AU229&lt;&gt;"",$AU229&amp;", ","")&amp;IF($AV229&lt;&gt;"",$AV229&amp;", ","")&amp;IF($AW229&lt;&gt;"",$AW229&amp;", ","")&amp;IF($AX229&lt;&gt;"",$AX229&amp;", ","")&amp;IF($AY229&lt;&gt;"",$AY229&amp;", ","")&amp;IF($AZ229&lt;&gt;"",$AZ229&amp;", ","")&amp;IF($BA229&lt;&gt;"",$BA229&amp;", ","")&amp;IF($BB229&lt;&gt;"",$BB229&amp;", ","")&amp;IF($BC229&lt;&gt;"",$BC229&amp;", ","")&amp;IF($DL229&lt;&gt;"",$DL229&amp;", ","")&amp;IF($DM229&lt;&gt;"",$DM229&amp;", ","")&amp;IF($DN229&lt;&gt;"",$DN229&amp;", ","")&amp;IF($DO229&lt;&gt;"",$DO229&amp;", ","")&amp;IF($DP229&lt;&gt;"",$DP229&amp;", ","")&amp;IF($DQ229&lt;&gt;"",$DQ229&amp;", ","")&amp;IF($DR229&lt;&gt;"",$DR229&amp;", ","")&amp;IF($DS229&lt;&gt;"",$DS229&amp;", ","")&amp;IF($DT229&lt;&gt;"",$DT229&amp;", ","")&amp;IF($DU229&lt;&gt;"",$DU229&amp;", ","")))-2)))))))</f>
        <v/>
      </c>
      <c r="N229" t="str">
        <f t="shared" si="1684"/>
        <v/>
      </c>
      <c r="O229" t="str">
        <f t="shared" si="1685"/>
        <v/>
      </c>
      <c r="P229" t="str">
        <f t="shared" si="1686"/>
        <v/>
      </c>
      <c r="Q229" t="str">
        <f t="shared" si="1687"/>
        <v/>
      </c>
      <c r="R229" t="str">
        <f>IF($Q229="","",IF(OR($BE229="",$BF229=""),"ONZEKER",IF(AND($BE229=0+1,$BF229=0),IF(OR(COUNTIF(#REF!,$B229)&gt;0,COUNTIF(#REF!,$B229)=0),"SKIP",IF(COUNTIFS(#REF!,$B229,#REF!,$Q229)&gt;0,"OK","ONBEKEND")),IF(AND($BE229=0,$BF229=0+1),IF(OR(COUNTIF(#REF!,$D229)&gt;0,COUNTIF(#REF!,$D229)=0),"SKIP",IF(COUNTIFS(#REF!,$D229,#REF!,$Q229)&gt;0,"OK","ONBEKEND")),"ONZEKER"))))</f>
        <v/>
      </c>
      <c r="S229" t="str">
        <f t="shared" si="1688"/>
        <v/>
      </c>
      <c r="T229" t="str">
        <f t="shared" si="1689"/>
        <v/>
      </c>
      <c r="U229" t="str">
        <f>IF($T229="","",IF(OR($BH229="",$BI229=""),"ONZEKER",IF(OR($BE229="",$BF229=""),"ONZEKER",IF(AND($BH229=$BE229+1,$BI229=$BF229),IF(OR(COUNTIF(#REF!,$B229)&gt;0,COUNTIF(#REF!,$B229)=0),"SKIP",IF(COUNTIFS(#REF!,$B229,#REF!,$T229)&gt;0,"OK","ONBEKEND")),IF(AND($BH229=$BE229,$BI229=$BF229+1),IF(OR(COUNTIF(#REF!,$D229)&gt;0,COUNTIF(#REF!,$D229)=0),"SKIP",IF(COUNTIFS(#REF!,$D229,#REF!,$T229)&gt;0,"OK","ONBEKEND")),"ONZEKER")))))</f>
        <v/>
      </c>
      <c r="V229" t="str">
        <f t="shared" si="1690"/>
        <v/>
      </c>
      <c r="W229" t="str">
        <f t="shared" si="1691"/>
        <v/>
      </c>
      <c r="X229" t="str">
        <f>IF($W229="","",IF(OR($BK229="",$BL229=""),"ONZEKER",IF(OR($BH229="",$BI229=""),"ONZEKER",IF(AND($BK229=$BH229+1,$BL229=$BI229),IF(OR(COUNTIF(#REF!,$B229)&gt;0,COUNTIF(#REF!,$B229)=0),"SKIP",IF(COUNTIFS(#REF!,$B229,#REF!,$W229)&gt;0,"OK","ONBEKEND")),IF(AND($BK229=$BH229,$BL229=$BI229+1),IF(OR(COUNTIF(#REF!,$D229)&gt;0,COUNTIF(#REF!,$D229)=0),"SKIP",IF(COUNTIFS(#REF!,$D229,#REF!,$W229)&gt;0,"OK","ONBEKEND")),"ONZEKER")))))</f>
        <v/>
      </c>
      <c r="Y229" t="str">
        <f t="shared" si="1692"/>
        <v/>
      </c>
      <c r="Z229" t="str">
        <f t="shared" si="1693"/>
        <v/>
      </c>
      <c r="AA229" t="str">
        <f>IF($Z229="","",IF(OR($BN229="",$BO229=""),"ONZEKER",IF(OR($BK229="",$BL229=""),"ONZEKER",IF(AND($BN229=$BK229+1,$BO229=$BL229),IF(OR(COUNTIF(#REF!,$B229)&gt;0,COUNTIF(#REF!,$B229)=0),"SKIP",IF(COUNTIFS(#REF!,$B229,#REF!,$Z229)&gt;0,"OK","ONBEKEND")),IF(AND($BN229=$BK229,$BO229=$BL229+1),IF(OR(COUNTIF(#REF!,$D229)&gt;0,COUNTIF(#REF!,$D229)=0),"SKIP",IF(COUNTIFS(#REF!,$D229,#REF!,$Z229)&gt;0,"OK","ONBEKEND")),"ONZEKER")))))</f>
        <v/>
      </c>
      <c r="AB229" t="str">
        <f t="shared" si="1694"/>
        <v/>
      </c>
      <c r="AC229" t="str">
        <f t="shared" si="1695"/>
        <v/>
      </c>
      <c r="AD229" t="str">
        <f>IF($AC229="","",IF(OR($BQ229="",$BR229=""),"ONZEKER",IF(OR($BN229="",$BO229=""),"ONZEKER",IF(AND($BQ229=$BN229+1,$BR229=$BO229),IF(OR(COUNTIF(#REF!,$B229)&gt;0,COUNTIF(#REF!,$B229)=0),"SKIP",IF(COUNTIFS(#REF!,$B229,#REF!,$AC229)&gt;0,"OK","ONBEKEND")),IF(AND($BQ229=$BN229,$BR229=$BO229+1),IF(OR(COUNTIF(#REF!,$D229)&gt;0,COUNTIF(#REF!,$D229)=0),"SKIP",IF(COUNTIFS(#REF!,$D229,#REF!,$AC229)&gt;0,"OK","ONBEKEND")),"ONZEKER")))))</f>
        <v/>
      </c>
      <c r="AE229" t="str">
        <f t="shared" si="1696"/>
        <v/>
      </c>
      <c r="AF229" t="str">
        <f t="shared" si="1697"/>
        <v/>
      </c>
      <c r="AG229" t="str">
        <f>IF($AF229="","",IF(OR($BT229="",$BU229=""),"ONZEKER",IF(OR($BQ229="",$BR229=""),"ONZEKER",IF(AND($BT229=$BQ229+1,$BU229=$BR229),IF(OR(COUNTIF(#REF!,$B229)&gt;0,COUNTIF(#REF!,$B229)=0),"SKIP",IF(COUNTIFS(#REF!,$B229,#REF!,$AF229)&gt;0,"OK","ONBEKEND")),IF(AND($BT229=$BQ229,$BU229=$BR229+1),IF(OR(COUNTIF(#REF!,$D229)&gt;0,COUNTIF(#REF!,$D229)=0),"SKIP",IF(COUNTIFS(#REF!,$D229,#REF!,$AF229)&gt;0,"OK","ONBEKEND")),"ONZEKER")))))</f>
        <v/>
      </c>
      <c r="AH229" t="str">
        <f t="shared" si="1698"/>
        <v/>
      </c>
      <c r="AI229" t="str">
        <f t="shared" si="1699"/>
        <v/>
      </c>
      <c r="AJ229" t="str">
        <f>IF($AI229="","",IF(OR($BW229="",$BX229=""),"ONZEKER",IF(OR($BT229="",$BU229=""),"ONZEKER",IF(AND($BW229=$BT229+1,$BX229=$BU229),IF(OR(COUNTIF(#REF!,$B229)&gt;0,COUNTIF(#REF!,$B229)=0),"SKIP",IF(COUNTIFS(#REF!,$B229,#REF!,$AI229)&gt;0,"OK","ONBEKEND")),IF(AND($BW229=$BT229,$BX229=$BU229+1),IF(OR(COUNTIF(#REF!,$D229)&gt;0,COUNTIF(#REF!,$D229)=0),"SKIP",IF(COUNTIFS(#REF!,$D229,#REF!,$AI229)&gt;0,"OK","ONBEKEND")),"ONZEKER")))))</f>
        <v/>
      </c>
      <c r="AK229" t="str">
        <f t="shared" si="1700"/>
        <v/>
      </c>
      <c r="AL229" t="str">
        <f t="shared" si="1701"/>
        <v/>
      </c>
      <c r="AM229" t="str">
        <f>IF($AL229="","",IF(OR($BZ229="",$CA229=""),"ONZEKER",IF(OR($BW229="",$BX229=""),"ONZEKER",IF(AND($BZ229=$BW229+1,$CA229=$BX229),IF(OR(COUNTIF(#REF!,$B229)&gt;0,COUNTIF(#REF!,$B229)=0),"SKIP",IF(COUNTIFS(#REF!,$B229,#REF!,$AL229)&gt;0,"OK","ONBEKEND")),IF(AND($BZ229=$BW229,$CA229=$BX229+1),IF(OR(COUNTIF(#REF!,$D229)&gt;0,COUNTIF(#REF!,$D229)=0),"SKIP",IF(COUNTIFS(#REF!,$D229,#REF!,$AL229)&gt;0,"OK","ONBEKEND")),"ONZEKER")))))</f>
        <v/>
      </c>
      <c r="AN229" t="str">
        <f t="shared" si="1702"/>
        <v/>
      </c>
      <c r="AO229" t="str">
        <f t="shared" si="1703"/>
        <v/>
      </c>
      <c r="AP229" t="str">
        <f>IF($AO229="","",IF(OR($CC229="",$CD229=""),"ONZEKER",IF(OR($BZ229="",$CA229=""),"ONZEKER",IF(AND($CC229=$BZ229+1,$CD229=$CA229),IF(OR(COUNTIF(#REF!,$B229)&gt;0,COUNTIF(#REF!,$B229)=0),"SKIP",IF(COUNTIFS(#REF!,$B229,#REF!,$AO229)&gt;0,"OK","ONBEKEND")),IF(AND($CC229=$BZ229,$CD229=$CA229+1),IF(OR(COUNTIF(#REF!,$D229)&gt;0,COUNTIF(#REF!,$D229)=0),"SKIP",IF(COUNTIFS(#REF!,$D229,#REF!,$AO229)&gt;0,"OK","ONBEKEND")),"ONZEKER")))))</f>
        <v/>
      </c>
      <c r="AQ229" t="str">
        <f t="shared" si="1704"/>
        <v/>
      </c>
      <c r="AR229" t="str">
        <f t="shared" si="1705"/>
        <v/>
      </c>
      <c r="AS229" t="str">
        <f>IF($AR229="","",IF(OR($CF229="",$CG229=""),"ONZEKER",IF(OR($CC229="",$CD229=""),"ONZEKER",IF(AND($CF229=$CC229+1,$CG229=$CD229),IF(OR(COUNTIF(#REF!,$B229)&gt;0,COUNTIF(#REF!,$B229)=0),"SKIP",IF(COUNTIFS(#REF!,$B229,#REF!,$AR229)&gt;0,"OK","ONBEKEND")),IF(AND($CF229=$CC229,$CG229=$CD229+1),IF(OR(COUNTIF(#REF!,$D229)&gt;0,COUNTIF(#REF!,$D229)=0),"SKIP",IF(COUNTIFS(#REF!,$D229,#REF!,$AR229)&gt;0,"OK","ONBEKEND")),"ONZEKER")))))</f>
        <v/>
      </c>
      <c r="AT229" t="str">
        <f t="shared" si="1706"/>
        <v/>
      </c>
      <c r="AU229" t="str">
        <f t="shared" si="1707"/>
        <v/>
      </c>
      <c r="AV229" t="str">
        <f t="shared" si="1708"/>
        <v/>
      </c>
      <c r="AW229" t="str">
        <f t="shared" si="1709"/>
        <v/>
      </c>
      <c r="AX229" t="str">
        <f t="shared" si="1710"/>
        <v/>
      </c>
      <c r="AY229" t="str">
        <f t="shared" si="1711"/>
        <v/>
      </c>
      <c r="AZ229" t="str">
        <f t="shared" si="1712"/>
        <v/>
      </c>
      <c r="BA229" t="str">
        <f t="shared" si="1713"/>
        <v/>
      </c>
      <c r="BB229" t="str">
        <f t="shared" si="1714"/>
        <v/>
      </c>
      <c r="BC229" t="str">
        <f t="shared" si="1715"/>
        <v/>
      </c>
      <c r="BD229" t="str">
        <f t="shared" si="1470"/>
        <v/>
      </c>
      <c r="BE229" t="str">
        <f t="shared" si="1471"/>
        <v/>
      </c>
      <c r="BF229" t="str">
        <f t="shared" si="1472"/>
        <v/>
      </c>
      <c r="BG229" t="str">
        <f t="shared" si="1473"/>
        <v/>
      </c>
      <c r="BH229" t="str">
        <f t="shared" si="1474"/>
        <v/>
      </c>
      <c r="BI229" t="str">
        <f t="shared" si="1475"/>
        <v/>
      </c>
      <c r="BJ229" t="str">
        <f t="shared" si="1476"/>
        <v/>
      </c>
      <c r="BK229" t="str">
        <f t="shared" si="1477"/>
        <v/>
      </c>
      <c r="BL229" t="str">
        <f t="shared" si="1478"/>
        <v/>
      </c>
      <c r="BM229" t="str">
        <f t="shared" si="1479"/>
        <v/>
      </c>
      <c r="BN229" t="str">
        <f t="shared" si="1480"/>
        <v/>
      </c>
      <c r="BO229" t="str">
        <f t="shared" si="1481"/>
        <v/>
      </c>
      <c r="BP229" t="str">
        <f t="shared" si="1482"/>
        <v/>
      </c>
      <c r="BQ229" t="str">
        <f t="shared" si="1483"/>
        <v/>
      </c>
      <c r="BR229" t="str">
        <f t="shared" si="1484"/>
        <v/>
      </c>
      <c r="BS229" t="str">
        <f t="shared" si="1485"/>
        <v/>
      </c>
      <c r="BT229" t="str">
        <f t="shared" si="1486"/>
        <v/>
      </c>
      <c r="BU229" t="str">
        <f t="shared" si="1487"/>
        <v/>
      </c>
      <c r="BV229" t="str">
        <f t="shared" si="1488"/>
        <v/>
      </c>
      <c r="BW229" t="str">
        <f t="shared" si="1489"/>
        <v/>
      </c>
      <c r="BX229" t="str">
        <f t="shared" si="1490"/>
        <v/>
      </c>
      <c r="BY229" t="str">
        <f t="shared" si="1491"/>
        <v/>
      </c>
      <c r="BZ229" t="str">
        <f t="shared" si="1492"/>
        <v/>
      </c>
      <c r="CA229" t="str">
        <f t="shared" si="1493"/>
        <v/>
      </c>
      <c r="CB229" t="str">
        <f t="shared" si="1494"/>
        <v/>
      </c>
      <c r="CC229" t="str">
        <f t="shared" si="1495"/>
        <v/>
      </c>
      <c r="CD229" t="str">
        <f t="shared" si="1496"/>
        <v/>
      </c>
      <c r="CE229" t="str">
        <f t="shared" si="1497"/>
        <v/>
      </c>
      <c r="CF229" t="str">
        <f t="shared" si="1498"/>
        <v/>
      </c>
      <c r="CG229" t="str">
        <f t="shared" si="1499"/>
        <v/>
      </c>
      <c r="CH229" t="str">
        <f t="shared" si="1716"/>
        <v/>
      </c>
      <c r="CI229" t="str">
        <f t="shared" si="1717"/>
        <v/>
      </c>
      <c r="CJ229" t="str">
        <f>IF($CI229="","",IF(OR($DW229="",$DX229=""),"ONZEKER",IF(OR($CF229="",$CG229=""),"ONZEKER",IF(AND($DW229=$CF229+1,$DX229=$CG229),IF(OR(COUNTIF(#REF!,$B229)&gt;0,COUNTIF(#REF!,$B229)=0),"SKIP",IF(COUNTIFS(#REF!,$B229,#REF!,$CI229)&gt;0,"OK","ONBEKEND")),IF(AND($DW229=$CF229,$DX229=$CG229+1),IF(OR(COUNTIF(#REF!,$D229)&gt;0,COUNTIF(#REF!,$D229)=0),"SKIP",IF(COUNTIFS(#REF!,$D229,#REF!,$CI229)&gt;0,"OK","ONBEKEND")),"ONZEKER")))))</f>
        <v/>
      </c>
      <c r="CK229" t="str">
        <f t="shared" si="1718"/>
        <v/>
      </c>
      <c r="CL229" t="str">
        <f t="shared" si="1719"/>
        <v/>
      </c>
      <c r="CM229" t="str">
        <f>IF($CL229="","",IF(OR($DZ229="",$EA229=""),"ONZEKER",IF(OR($DW229="",$DX229=""),"ONZEKER",IF(AND($DZ229=$DW229+1,$EA229=$DX229),IF(OR(COUNTIF(#REF!,$B229)&gt;0,COUNTIF(#REF!,$B229)=0),"SKIP",IF(COUNTIFS(#REF!,$B229,#REF!,$CL229)&gt;0,"OK","ONBEKEND")),IF(AND($DZ229=$DW229,$EA229=$DX229+1),IF(OR(COUNTIF(#REF!,$D229)&gt;0,COUNTIF(#REF!,$D229)=0),"SKIP",IF(COUNTIFS(#REF!,$D229,#REF!,$CL229)&gt;0,"OK","ONBEKEND")),"ONZEKER")))))</f>
        <v/>
      </c>
      <c r="CN229" t="str">
        <f t="shared" si="1720"/>
        <v/>
      </c>
      <c r="CO229" t="str">
        <f t="shared" si="1721"/>
        <v/>
      </c>
      <c r="CP229" t="str">
        <f>IF($CO229="","",IF(OR($EC229="",$ED229=""),"ONZEKER",IF(OR($DZ229="",$EA229=""),"ONZEKER",IF(AND($EC229=$DZ229+1,$ED229=$EA229),IF(OR(COUNTIF(#REF!,$B229)&gt;0,COUNTIF(#REF!,$B229)=0),"SKIP",IF(COUNTIFS(#REF!,$B229,#REF!,$CO229)&gt;0,"OK","ONBEKEND")),IF(AND($EC229=$DZ229,$ED229=$EA229+1),IF(OR(COUNTIF(#REF!,$D229)&gt;0,COUNTIF(#REF!,$D229)=0),"SKIP",IF(COUNTIFS(#REF!,$D229,#REF!,$CO229)&gt;0,"OK","ONBEKEND")),"ONZEKER")))))</f>
        <v/>
      </c>
      <c r="CQ229" t="str">
        <f t="shared" si="1722"/>
        <v/>
      </c>
      <c r="CR229" t="str">
        <f t="shared" si="1723"/>
        <v/>
      </c>
      <c r="CS229" t="str">
        <f>IF($CR229="","",IF(OR($EF229="",$EG229=""),"ONZEKER",IF(OR($EC229="",$ED229=""),"ONZEKER",IF(AND($EF229=$EC229+1,$EG229=$ED229),IF(OR(COUNTIF(#REF!,$B229)&gt;0,COUNTIF(#REF!,$B229)=0),"SKIP",IF(COUNTIFS(#REF!,$B229,#REF!,$CR229)&gt;0,"OK","ONBEKEND")),IF(AND($EF229=$EC229,$EG229=$ED229+1),IF(OR(COUNTIF(#REF!,$D229)&gt;0,COUNTIF(#REF!,$D229)=0),"SKIP",IF(COUNTIFS(#REF!,$D229,#REF!,$CR229)&gt;0,"OK","ONBEKEND")),"ONZEKER")))))</f>
        <v/>
      </c>
      <c r="CT229" t="str">
        <f t="shared" si="1724"/>
        <v/>
      </c>
      <c r="CU229" t="str">
        <f t="shared" si="1725"/>
        <v/>
      </c>
      <c r="CV229" t="str">
        <f>IF($CU229="","",IF(OR($EI229="",$EJ229=""),"ONZEKER",IF(OR($EF229="",$EG229=""),"ONZEKER",IF(AND($EI229=$EF229+1,$EJ229=$EG229),IF(OR(COUNTIF(#REF!,$B229)&gt;0,COUNTIF(#REF!,$B229)=0),"SKIP",IF(COUNTIFS(#REF!,$B229,#REF!,$CU229)&gt;0,"OK","ONBEKEND")),IF(AND($EI229=$EF229,$EJ229=$EG229+1),IF(OR(COUNTIF(#REF!,$D229)&gt;0,COUNTIF(#REF!,$D229)=0),"SKIP",IF(COUNTIFS(#REF!,$D229,#REF!,$CU229)&gt;0,"OK","ONBEKEND")),"ONZEKER")))))</f>
        <v/>
      </c>
      <c r="CW229" t="str">
        <f t="shared" si="1726"/>
        <v/>
      </c>
      <c r="CX229" t="str">
        <f t="shared" si="1727"/>
        <v/>
      </c>
      <c r="CY229" t="str">
        <f>IF($CX229="","",IF(OR($EL229="",$EM229=""),"ONZEKER",IF(OR($EI229="",$EJ229=""),"ONZEKER",IF(AND($EL229=$EI229+1,$EM229=$EJ229),IF(OR(COUNTIF(#REF!,$B229)&gt;0,COUNTIF(#REF!,$B229)=0),"SKIP",IF(COUNTIFS(#REF!,$B229,#REF!,$CX229)&gt;0,"OK","ONBEKEND")),IF(AND($EL229=$EI229,$EM229=$EJ229+1),IF(OR(COUNTIF(#REF!,$D229)&gt;0,COUNTIF(#REF!,$D229)=0),"SKIP",IF(COUNTIFS(#REF!,$D229,#REF!,$CX229)&gt;0,"OK","ONBEKEND")),"ONZEKER")))))</f>
        <v/>
      </c>
      <c r="CZ229" t="str">
        <f t="shared" si="1728"/>
        <v/>
      </c>
      <c r="DA229" t="str">
        <f t="shared" si="1729"/>
        <v/>
      </c>
      <c r="DB229" t="str">
        <f>IF($DA229="","",IF(OR($EO229="",$EP229=""),"ONZEKER",IF(OR($EL229="",$EM229=""),"ONZEKER",IF(AND($EO229=$EL229+1,$EP229=$EM229),IF(OR(COUNTIF(#REF!,$B229)&gt;0,COUNTIF(#REF!,$B229)=0),"SKIP",IF(COUNTIFS(#REF!,$B229,#REF!,$DA229)&gt;0,"OK","ONBEKEND")),IF(AND($EO229=$EL229,$EP229=$EM229+1),IF(OR(COUNTIF(#REF!,$D229)&gt;0,COUNTIF(#REF!,$D229)=0),"SKIP",IF(COUNTIFS(#REF!,$D229,#REF!,$DA229)&gt;0,"OK","ONBEKEND")),"ONZEKER")))))</f>
        <v/>
      </c>
      <c r="DC229" t="str">
        <f t="shared" si="1730"/>
        <v/>
      </c>
      <c r="DD229" t="str">
        <f t="shared" si="1731"/>
        <v/>
      </c>
      <c r="DE229" t="str">
        <f>IF($DD229="","",IF(OR($ER229="",$ES229=""),"ONZEKER",IF(OR($EO229="",$EP229=""),"ONZEKER",IF(AND($ER229=$EO229+1,$ES229=$EP229),IF(OR(COUNTIF(#REF!,$B229)&gt;0,COUNTIF(#REF!,$B229)=0),"SKIP",IF(COUNTIFS(#REF!,$B229,#REF!,$DD229)&gt;0,"OK","ONBEKEND")),IF(AND($ER229=$EO229,$ES229=$EP229+1),IF(OR(COUNTIF(#REF!,$D229)&gt;0,COUNTIF(#REF!,$D229)=0),"SKIP",IF(COUNTIFS(#REF!,$D229,#REF!,$DD229)&gt;0,"OK","ONBEKEND")),"ONZEKER")))))</f>
        <v/>
      </c>
      <c r="DF229" t="str">
        <f t="shared" si="1732"/>
        <v/>
      </c>
      <c r="DG229" t="str">
        <f t="shared" si="1733"/>
        <v/>
      </c>
      <c r="DH229" t="str">
        <f>IF($DG229="","",IF(OR($EU229="",$EV229=""),"ONZEKER",IF(OR($ER229="",$ES229=""),"ONZEKER",IF(AND($EU229=$ER229+1,$EV229=$ES229),IF(OR(COUNTIF(#REF!,$B229)&gt;0,COUNTIF(#REF!,$B229)=0),"SKIP",IF(COUNTIFS(#REF!,$B229,#REF!,$DG229)&gt;0,"OK","ONBEKEND")),IF(AND($EU229=$ER229,$EV229=$ES229+1),IF(OR(COUNTIF(#REF!,$D229)&gt;0,COUNTIF(#REF!,$D229)=0),"SKIP",IF(COUNTIFS(#REF!,$D229,#REF!,$DG229)&gt;0,"OK","ONBEKEND")),"ONZEKER")))))</f>
        <v/>
      </c>
      <c r="DI229" t="str">
        <f t="shared" si="1734"/>
        <v/>
      </c>
      <c r="DJ229" t="str">
        <f t="shared" si="1735"/>
        <v/>
      </c>
      <c r="DK229" t="str">
        <f>IF($DJ229="","",IF(OR($EX229="",$EY229=""),"ONZEKER",IF(OR($EU229="",$EV229=""),"ONZEKER",IF(AND($EX229=$EU229+1,$EY229=$EV229),IF(OR(COUNTIF(#REF!,$B229)&gt;0,COUNTIF(#REF!,$B229)=0),"SKIP",IF(COUNTIFS(#REF!,$B229,#REF!,$DJ229)&gt;0,"OK","ONBEKEND")),IF(AND($EX229=$EU229,$EY229=$EV229+1),IF(OR(COUNTIF(#REF!,$D229)&gt;0,COUNTIF(#REF!,$D229)=0),"SKIP",IF(COUNTIFS(#REF!,$D229,#REF!,$DJ229)&gt;0,"OK","ONBEKEND")),"ONZEKER")))))</f>
        <v/>
      </c>
      <c r="DL229" t="str">
        <f t="shared" si="1736"/>
        <v/>
      </c>
      <c r="DM229" t="str">
        <f t="shared" si="1737"/>
        <v/>
      </c>
      <c r="DN229" t="str">
        <f t="shared" si="1738"/>
        <v/>
      </c>
      <c r="DO229" t="str">
        <f t="shared" si="1739"/>
        <v/>
      </c>
      <c r="DP229" t="str">
        <f t="shared" si="1740"/>
        <v/>
      </c>
      <c r="DQ229" t="str">
        <f t="shared" si="1741"/>
        <v/>
      </c>
      <c r="DR229" t="str">
        <f t="shared" si="1742"/>
        <v/>
      </c>
      <c r="DS229" t="str">
        <f t="shared" si="1743"/>
        <v/>
      </c>
      <c r="DT229" t="str">
        <f t="shared" si="1744"/>
        <v/>
      </c>
      <c r="DU229" t="str">
        <f t="shared" si="1745"/>
        <v/>
      </c>
      <c r="DV229" t="str">
        <f t="shared" si="1746"/>
        <v/>
      </c>
      <c r="DW229" t="str">
        <f t="shared" si="1747"/>
        <v/>
      </c>
      <c r="DX229" t="str">
        <f t="shared" si="1748"/>
        <v/>
      </c>
      <c r="DY229" t="str">
        <f t="shared" si="1749"/>
        <v/>
      </c>
      <c r="DZ229" t="str">
        <f t="shared" si="1750"/>
        <v/>
      </c>
      <c r="EA229" t="str">
        <f t="shared" si="1751"/>
        <v/>
      </c>
      <c r="EB229" t="str">
        <f t="shared" si="1752"/>
        <v/>
      </c>
      <c r="EC229" t="str">
        <f t="shared" si="1753"/>
        <v/>
      </c>
      <c r="ED229" t="str">
        <f t="shared" si="1754"/>
        <v/>
      </c>
      <c r="EE229" t="str">
        <f t="shared" si="1755"/>
        <v/>
      </c>
      <c r="EF229" t="str">
        <f t="shared" si="1756"/>
        <v/>
      </c>
      <c r="EG229" t="str">
        <f t="shared" si="1757"/>
        <v/>
      </c>
      <c r="EH229" t="str">
        <f t="shared" si="1758"/>
        <v/>
      </c>
      <c r="EI229" t="str">
        <f t="shared" si="1759"/>
        <v/>
      </c>
      <c r="EJ229" t="str">
        <f t="shared" si="1760"/>
        <v/>
      </c>
      <c r="EK229" t="str">
        <f t="shared" si="1761"/>
        <v/>
      </c>
      <c r="EL229" t="str">
        <f t="shared" si="1762"/>
        <v/>
      </c>
      <c r="EM229" t="str">
        <f t="shared" si="1763"/>
        <v/>
      </c>
      <c r="EN229" t="str">
        <f t="shared" si="1764"/>
        <v/>
      </c>
      <c r="EO229" t="str">
        <f t="shared" si="1765"/>
        <v/>
      </c>
      <c r="EP229" t="str">
        <f t="shared" si="1766"/>
        <v/>
      </c>
      <c r="EQ229" t="str">
        <f t="shared" si="1767"/>
        <v/>
      </c>
      <c r="ER229" t="str">
        <f t="shared" si="1768"/>
        <v/>
      </c>
      <c r="ES229" t="str">
        <f t="shared" si="1769"/>
        <v/>
      </c>
      <c r="ET229" t="str">
        <f t="shared" si="1770"/>
        <v/>
      </c>
      <c r="EU229" t="str">
        <f t="shared" si="1771"/>
        <v/>
      </c>
      <c r="EV229" t="str">
        <f t="shared" si="1772"/>
        <v/>
      </c>
      <c r="EW229" t="str">
        <f t="shared" si="1773"/>
        <v/>
      </c>
      <c r="EX229" t="str">
        <f t="shared" si="1774"/>
        <v/>
      </c>
      <c r="EY229" t="str">
        <f t="shared" si="1775"/>
        <v/>
      </c>
    </row>
    <row r="230" spans="1:155" ht="13.9" customHeight="1" x14ac:dyDescent="0.25">
      <c r="A230" s="7"/>
      <c r="B230" s="17"/>
      <c r="C230" s="8"/>
      <c r="D230" s="17"/>
      <c r="E230" s="8"/>
      <c r="F230" s="18">
        <v>0</v>
      </c>
      <c r="G230" s="7" t="s">
        <v>147</v>
      </c>
      <c r="H230" s="18">
        <v>0</v>
      </c>
      <c r="I230" s="19">
        <v>0</v>
      </c>
      <c r="J230" s="7" t="s">
        <v>147</v>
      </c>
      <c r="K230" s="19">
        <v>0</v>
      </c>
      <c r="L230" s="9"/>
      <c r="M230" s="3" t="str">
        <f>IF($L230="","",IF($L230="DOELPUNTENMAKERS","",IF(AND(COUNTIF(#REF!,$B230)=0,COUNTIF(#REF!,$D230)=0),"OK",IF($O230&gt;20,"LET OP: meer dan 20 items (controle onvolledig)",IF((COUNTIF($R230:$AS230,"ONZEKER")+COUNTIF($CJ230:$DK230,"ONZEKER"))&gt;0,"LET OP: scoreverloop onduidelijk (controle beperkt)",IF((IF($AT230&lt;&gt;"",$AT230&amp;", ","")&amp;IF($AU230&lt;&gt;"",$AU230&amp;", ","")&amp;IF($AV230&lt;&gt;"",$AV230&amp;", ","")&amp;IF($AW230&lt;&gt;"",$AW230&amp;", ","")&amp;IF($AX230&lt;&gt;"",$AX230&amp;", ","")&amp;IF($AY230&lt;&gt;"",$AY230&amp;", ","")&amp;IF($AZ230&lt;&gt;"",$AZ230&amp;", ","")&amp;IF($BA230&lt;&gt;"",$BA230&amp;", ","")&amp;IF($BB230&lt;&gt;"",$BB230&amp;", ","")&amp;IF($BC230&lt;&gt;"",$BC230&amp;", ","")&amp;IF($DL230&lt;&gt;"",$DL230&amp;", ","")&amp;IF($DM230&lt;&gt;"",$DM230&amp;", ","")&amp;IF($DN230&lt;&gt;"",$DN230&amp;", ","")&amp;IF($DO230&lt;&gt;"",$DO230&amp;", ","")&amp;IF($DP230&lt;&gt;"",$DP230&amp;", ","")&amp;IF($DQ230&lt;&gt;"",$DQ230&amp;", ","")&amp;IF($DR230&lt;&gt;"",$DR230&amp;", ","")&amp;IF($DS230&lt;&gt;"",$DS230&amp;", ","")&amp;IF($DT230&lt;&gt;"",$DT230&amp;", ","")&amp;IF($DU230&lt;&gt;"",$DU230&amp;", ",""))="","OK","Onbekend: "&amp;LEFT((IF($AT230&lt;&gt;"",$AT230&amp;", ","")&amp;IF($AU230&lt;&gt;"",$AU230&amp;", ","")&amp;IF($AV230&lt;&gt;"",$AV230&amp;", ","")&amp;IF($AW230&lt;&gt;"",$AW230&amp;", ","")&amp;IF($AX230&lt;&gt;"",$AX230&amp;", ","")&amp;IF($AY230&lt;&gt;"",$AY230&amp;", ","")&amp;IF($AZ230&lt;&gt;"",$AZ230&amp;", ","")&amp;IF($BA230&lt;&gt;"",$BA230&amp;", ","")&amp;IF($BB230&lt;&gt;"",$BB230&amp;", ","")&amp;IF($BC230&lt;&gt;"",$BC230&amp;", ","")&amp;IF($DL230&lt;&gt;"",$DL230&amp;", ","")&amp;IF($DM230&lt;&gt;"",$DM230&amp;", ","")&amp;IF($DN230&lt;&gt;"",$DN230&amp;", ","")&amp;IF($DO230&lt;&gt;"",$DO230&amp;", ","")&amp;IF($DP230&lt;&gt;"",$DP230&amp;", ","")&amp;IF($DQ230&lt;&gt;"",$DQ230&amp;", ","")&amp;IF($DR230&lt;&gt;"",$DR230&amp;", ","")&amp;IF($DS230&lt;&gt;"",$DS230&amp;", ","")&amp;IF($DT230&lt;&gt;"",$DT230&amp;", ","")&amp;IF($DU230&lt;&gt;"",$DU230&amp;", ","")),LEN((IF($AT230&lt;&gt;"",$AT230&amp;", ","")&amp;IF($AU230&lt;&gt;"",$AU230&amp;", ","")&amp;IF($AV230&lt;&gt;"",$AV230&amp;", ","")&amp;IF($AW230&lt;&gt;"",$AW230&amp;", ","")&amp;IF($AX230&lt;&gt;"",$AX230&amp;", ","")&amp;IF($AY230&lt;&gt;"",$AY230&amp;", ","")&amp;IF($AZ230&lt;&gt;"",$AZ230&amp;", ","")&amp;IF($BA230&lt;&gt;"",$BA230&amp;", ","")&amp;IF($BB230&lt;&gt;"",$BB230&amp;", ","")&amp;IF($BC230&lt;&gt;"",$BC230&amp;", ","")&amp;IF($DL230&lt;&gt;"",$DL230&amp;", ","")&amp;IF($DM230&lt;&gt;"",$DM230&amp;", ","")&amp;IF($DN230&lt;&gt;"",$DN230&amp;", ","")&amp;IF($DO230&lt;&gt;"",$DO230&amp;", ","")&amp;IF($DP230&lt;&gt;"",$DP230&amp;", ","")&amp;IF($DQ230&lt;&gt;"",$DQ230&amp;", ","")&amp;IF($DR230&lt;&gt;"",$DR230&amp;", ","")&amp;IF($DS230&lt;&gt;"",$DS230&amp;", ","")&amp;IF($DT230&lt;&gt;"",$DT230&amp;", ","")&amp;IF($DU230&lt;&gt;"",$DU230&amp;", ","")))-2)))))))</f>
        <v/>
      </c>
      <c r="N230" t="str">
        <f t="shared" si="1684"/>
        <v/>
      </c>
      <c r="O230" t="str">
        <f t="shared" si="1685"/>
        <v/>
      </c>
      <c r="P230" t="str">
        <f t="shared" si="1686"/>
        <v/>
      </c>
      <c r="Q230" t="str">
        <f t="shared" si="1687"/>
        <v/>
      </c>
      <c r="R230" t="str">
        <f>IF($Q230="","",IF(OR($BE230="",$BF230=""),"ONZEKER",IF(AND($BE230=0+1,$BF230=0),IF(OR(COUNTIF(#REF!,$B230)&gt;0,COUNTIF(#REF!,$B230)=0),"SKIP",IF(COUNTIFS(#REF!,$B230,#REF!,$Q230)&gt;0,"OK","ONBEKEND")),IF(AND($BE230=0,$BF230=0+1),IF(OR(COUNTIF(#REF!,$D230)&gt;0,COUNTIF(#REF!,$D230)=0),"SKIP",IF(COUNTIFS(#REF!,$D230,#REF!,$Q230)&gt;0,"OK","ONBEKEND")),"ONZEKER"))))</f>
        <v/>
      </c>
      <c r="S230" t="str">
        <f t="shared" si="1688"/>
        <v/>
      </c>
      <c r="T230" t="str">
        <f t="shared" si="1689"/>
        <v/>
      </c>
      <c r="U230" t="str">
        <f>IF($T230="","",IF(OR($BH230="",$BI230=""),"ONZEKER",IF(OR($BE230="",$BF230=""),"ONZEKER",IF(AND($BH230=$BE230+1,$BI230=$BF230),IF(OR(COUNTIF(#REF!,$B230)&gt;0,COUNTIF(#REF!,$B230)=0),"SKIP",IF(COUNTIFS(#REF!,$B230,#REF!,$T230)&gt;0,"OK","ONBEKEND")),IF(AND($BH230=$BE230,$BI230=$BF230+1),IF(OR(COUNTIF(#REF!,$D230)&gt;0,COUNTIF(#REF!,$D230)=0),"SKIP",IF(COUNTIFS(#REF!,$D230,#REF!,$T230)&gt;0,"OK","ONBEKEND")),"ONZEKER")))))</f>
        <v/>
      </c>
      <c r="V230" t="str">
        <f t="shared" si="1690"/>
        <v/>
      </c>
      <c r="W230" t="str">
        <f t="shared" si="1691"/>
        <v/>
      </c>
      <c r="X230" t="str">
        <f>IF($W230="","",IF(OR($BK230="",$BL230=""),"ONZEKER",IF(OR($BH230="",$BI230=""),"ONZEKER",IF(AND($BK230=$BH230+1,$BL230=$BI230),IF(OR(COUNTIF(#REF!,$B230)&gt;0,COUNTIF(#REF!,$B230)=0),"SKIP",IF(COUNTIFS(#REF!,$B230,#REF!,$W230)&gt;0,"OK","ONBEKEND")),IF(AND($BK230=$BH230,$BL230=$BI230+1),IF(OR(COUNTIF(#REF!,$D230)&gt;0,COUNTIF(#REF!,$D230)=0),"SKIP",IF(COUNTIFS(#REF!,$D230,#REF!,$W230)&gt;0,"OK","ONBEKEND")),"ONZEKER")))))</f>
        <v/>
      </c>
      <c r="Y230" t="str">
        <f t="shared" si="1692"/>
        <v/>
      </c>
      <c r="Z230" t="str">
        <f t="shared" si="1693"/>
        <v/>
      </c>
      <c r="AA230" t="str">
        <f>IF($Z230="","",IF(OR($BN230="",$BO230=""),"ONZEKER",IF(OR($BK230="",$BL230=""),"ONZEKER",IF(AND($BN230=$BK230+1,$BO230=$BL230),IF(OR(COUNTIF(#REF!,$B230)&gt;0,COUNTIF(#REF!,$B230)=0),"SKIP",IF(COUNTIFS(#REF!,$B230,#REF!,$Z230)&gt;0,"OK","ONBEKEND")),IF(AND($BN230=$BK230,$BO230=$BL230+1),IF(OR(COUNTIF(#REF!,$D230)&gt;0,COUNTIF(#REF!,$D230)=0),"SKIP",IF(COUNTIFS(#REF!,$D230,#REF!,$Z230)&gt;0,"OK","ONBEKEND")),"ONZEKER")))))</f>
        <v/>
      </c>
      <c r="AB230" t="str">
        <f t="shared" si="1694"/>
        <v/>
      </c>
      <c r="AC230" t="str">
        <f t="shared" si="1695"/>
        <v/>
      </c>
      <c r="AD230" t="str">
        <f>IF($AC230="","",IF(OR($BQ230="",$BR230=""),"ONZEKER",IF(OR($BN230="",$BO230=""),"ONZEKER",IF(AND($BQ230=$BN230+1,$BR230=$BO230),IF(OR(COUNTIF(#REF!,$B230)&gt;0,COUNTIF(#REF!,$B230)=0),"SKIP",IF(COUNTIFS(#REF!,$B230,#REF!,$AC230)&gt;0,"OK","ONBEKEND")),IF(AND($BQ230=$BN230,$BR230=$BO230+1),IF(OR(COUNTIF(#REF!,$D230)&gt;0,COUNTIF(#REF!,$D230)=0),"SKIP",IF(COUNTIFS(#REF!,$D230,#REF!,$AC230)&gt;0,"OK","ONBEKEND")),"ONZEKER")))))</f>
        <v/>
      </c>
      <c r="AE230" t="str">
        <f t="shared" si="1696"/>
        <v/>
      </c>
      <c r="AF230" t="str">
        <f t="shared" si="1697"/>
        <v/>
      </c>
      <c r="AG230" t="str">
        <f>IF($AF230="","",IF(OR($BT230="",$BU230=""),"ONZEKER",IF(OR($BQ230="",$BR230=""),"ONZEKER",IF(AND($BT230=$BQ230+1,$BU230=$BR230),IF(OR(COUNTIF(#REF!,$B230)&gt;0,COUNTIF(#REF!,$B230)=0),"SKIP",IF(COUNTIFS(#REF!,$B230,#REF!,$AF230)&gt;0,"OK","ONBEKEND")),IF(AND($BT230=$BQ230,$BU230=$BR230+1),IF(OR(COUNTIF(#REF!,$D230)&gt;0,COUNTIF(#REF!,$D230)=0),"SKIP",IF(COUNTIFS(#REF!,$D230,#REF!,$AF230)&gt;0,"OK","ONBEKEND")),"ONZEKER")))))</f>
        <v/>
      </c>
      <c r="AH230" t="str">
        <f t="shared" si="1698"/>
        <v/>
      </c>
      <c r="AI230" t="str">
        <f t="shared" si="1699"/>
        <v/>
      </c>
      <c r="AJ230" t="str">
        <f>IF($AI230="","",IF(OR($BW230="",$BX230=""),"ONZEKER",IF(OR($BT230="",$BU230=""),"ONZEKER",IF(AND($BW230=$BT230+1,$BX230=$BU230),IF(OR(COUNTIF(#REF!,$B230)&gt;0,COUNTIF(#REF!,$B230)=0),"SKIP",IF(COUNTIFS(#REF!,$B230,#REF!,$AI230)&gt;0,"OK","ONBEKEND")),IF(AND($BW230=$BT230,$BX230=$BU230+1),IF(OR(COUNTIF(#REF!,$D230)&gt;0,COUNTIF(#REF!,$D230)=0),"SKIP",IF(COUNTIFS(#REF!,$D230,#REF!,$AI230)&gt;0,"OK","ONBEKEND")),"ONZEKER")))))</f>
        <v/>
      </c>
      <c r="AK230" t="str">
        <f t="shared" si="1700"/>
        <v/>
      </c>
      <c r="AL230" t="str">
        <f t="shared" si="1701"/>
        <v/>
      </c>
      <c r="AM230" t="str">
        <f>IF($AL230="","",IF(OR($BZ230="",$CA230=""),"ONZEKER",IF(OR($BW230="",$BX230=""),"ONZEKER",IF(AND($BZ230=$BW230+1,$CA230=$BX230),IF(OR(COUNTIF(#REF!,$B230)&gt;0,COUNTIF(#REF!,$B230)=0),"SKIP",IF(COUNTIFS(#REF!,$B230,#REF!,$AL230)&gt;0,"OK","ONBEKEND")),IF(AND($BZ230=$BW230,$CA230=$BX230+1),IF(OR(COUNTIF(#REF!,$D230)&gt;0,COUNTIF(#REF!,$D230)=0),"SKIP",IF(COUNTIFS(#REF!,$D230,#REF!,$AL230)&gt;0,"OK","ONBEKEND")),"ONZEKER")))))</f>
        <v/>
      </c>
      <c r="AN230" t="str">
        <f t="shared" si="1702"/>
        <v/>
      </c>
      <c r="AO230" t="str">
        <f t="shared" si="1703"/>
        <v/>
      </c>
      <c r="AP230" t="str">
        <f>IF($AO230="","",IF(OR($CC230="",$CD230=""),"ONZEKER",IF(OR($BZ230="",$CA230=""),"ONZEKER",IF(AND($CC230=$BZ230+1,$CD230=$CA230),IF(OR(COUNTIF(#REF!,$B230)&gt;0,COUNTIF(#REF!,$B230)=0),"SKIP",IF(COUNTIFS(#REF!,$B230,#REF!,$AO230)&gt;0,"OK","ONBEKEND")),IF(AND($CC230=$BZ230,$CD230=$CA230+1),IF(OR(COUNTIF(#REF!,$D230)&gt;0,COUNTIF(#REF!,$D230)=0),"SKIP",IF(COUNTIFS(#REF!,$D230,#REF!,$AO230)&gt;0,"OK","ONBEKEND")),"ONZEKER")))))</f>
        <v/>
      </c>
      <c r="AQ230" t="str">
        <f t="shared" si="1704"/>
        <v/>
      </c>
      <c r="AR230" t="str">
        <f t="shared" si="1705"/>
        <v/>
      </c>
      <c r="AS230" t="str">
        <f>IF($AR230="","",IF(OR($CF230="",$CG230=""),"ONZEKER",IF(OR($CC230="",$CD230=""),"ONZEKER",IF(AND($CF230=$CC230+1,$CG230=$CD230),IF(OR(COUNTIF(#REF!,$B230)&gt;0,COUNTIF(#REF!,$B230)=0),"SKIP",IF(COUNTIFS(#REF!,$B230,#REF!,$AR230)&gt;0,"OK","ONBEKEND")),IF(AND($CF230=$CC230,$CG230=$CD230+1),IF(OR(COUNTIF(#REF!,$D230)&gt;0,COUNTIF(#REF!,$D230)=0),"SKIP",IF(COUNTIFS(#REF!,$D230,#REF!,$AR230)&gt;0,"OK","ONBEKEND")),"ONZEKER")))))</f>
        <v/>
      </c>
      <c r="AT230" t="str">
        <f t="shared" si="1706"/>
        <v/>
      </c>
      <c r="AU230" t="str">
        <f t="shared" si="1707"/>
        <v/>
      </c>
      <c r="AV230" t="str">
        <f t="shared" si="1708"/>
        <v/>
      </c>
      <c r="AW230" t="str">
        <f t="shared" si="1709"/>
        <v/>
      </c>
      <c r="AX230" t="str">
        <f t="shared" si="1710"/>
        <v/>
      </c>
      <c r="AY230" t="str">
        <f t="shared" si="1711"/>
        <v/>
      </c>
      <c r="AZ230" t="str">
        <f t="shared" si="1712"/>
        <v/>
      </c>
      <c r="BA230" t="str">
        <f t="shared" si="1713"/>
        <v/>
      </c>
      <c r="BB230" t="str">
        <f t="shared" si="1714"/>
        <v/>
      </c>
      <c r="BC230" t="str">
        <f t="shared" si="1715"/>
        <v/>
      </c>
      <c r="BD230" t="str">
        <f t="shared" si="1470"/>
        <v/>
      </c>
      <c r="BE230" t="str">
        <f t="shared" si="1471"/>
        <v/>
      </c>
      <c r="BF230" t="str">
        <f t="shared" si="1472"/>
        <v/>
      </c>
      <c r="BG230" t="str">
        <f t="shared" si="1473"/>
        <v/>
      </c>
      <c r="BH230" t="str">
        <f t="shared" si="1474"/>
        <v/>
      </c>
      <c r="BI230" t="str">
        <f t="shared" si="1475"/>
        <v/>
      </c>
      <c r="BJ230" t="str">
        <f t="shared" si="1476"/>
        <v/>
      </c>
      <c r="BK230" t="str">
        <f t="shared" si="1477"/>
        <v/>
      </c>
      <c r="BL230" t="str">
        <f t="shared" si="1478"/>
        <v/>
      </c>
      <c r="BM230" t="str">
        <f t="shared" si="1479"/>
        <v/>
      </c>
      <c r="BN230" t="str">
        <f t="shared" si="1480"/>
        <v/>
      </c>
      <c r="BO230" t="str">
        <f t="shared" si="1481"/>
        <v/>
      </c>
      <c r="BP230" t="str">
        <f t="shared" si="1482"/>
        <v/>
      </c>
      <c r="BQ230" t="str">
        <f t="shared" si="1483"/>
        <v/>
      </c>
      <c r="BR230" t="str">
        <f t="shared" si="1484"/>
        <v/>
      </c>
      <c r="BS230" t="str">
        <f t="shared" si="1485"/>
        <v/>
      </c>
      <c r="BT230" t="str">
        <f t="shared" si="1486"/>
        <v/>
      </c>
      <c r="BU230" t="str">
        <f t="shared" si="1487"/>
        <v/>
      </c>
      <c r="BV230" t="str">
        <f t="shared" si="1488"/>
        <v/>
      </c>
      <c r="BW230" t="str">
        <f t="shared" si="1489"/>
        <v/>
      </c>
      <c r="BX230" t="str">
        <f t="shared" si="1490"/>
        <v/>
      </c>
      <c r="BY230" t="str">
        <f t="shared" si="1491"/>
        <v/>
      </c>
      <c r="BZ230" t="str">
        <f t="shared" si="1492"/>
        <v/>
      </c>
      <c r="CA230" t="str">
        <f t="shared" si="1493"/>
        <v/>
      </c>
      <c r="CB230" t="str">
        <f t="shared" si="1494"/>
        <v/>
      </c>
      <c r="CC230" t="str">
        <f t="shared" si="1495"/>
        <v/>
      </c>
      <c r="CD230" t="str">
        <f t="shared" si="1496"/>
        <v/>
      </c>
      <c r="CE230" t="str">
        <f t="shared" si="1497"/>
        <v/>
      </c>
      <c r="CF230" t="str">
        <f t="shared" si="1498"/>
        <v/>
      </c>
      <c r="CG230" t="str">
        <f t="shared" si="1499"/>
        <v/>
      </c>
      <c r="CH230" t="str">
        <f t="shared" si="1716"/>
        <v/>
      </c>
      <c r="CI230" t="str">
        <f t="shared" si="1717"/>
        <v/>
      </c>
      <c r="CJ230" t="str">
        <f>IF($CI230="","",IF(OR($DW230="",$DX230=""),"ONZEKER",IF(OR($CF230="",$CG230=""),"ONZEKER",IF(AND($DW230=$CF230+1,$DX230=$CG230),IF(OR(COUNTIF(#REF!,$B230)&gt;0,COUNTIF(#REF!,$B230)=0),"SKIP",IF(COUNTIFS(#REF!,$B230,#REF!,$CI230)&gt;0,"OK","ONBEKEND")),IF(AND($DW230=$CF230,$DX230=$CG230+1),IF(OR(COUNTIF(#REF!,$D230)&gt;0,COUNTIF(#REF!,$D230)=0),"SKIP",IF(COUNTIFS(#REF!,$D230,#REF!,$CI230)&gt;0,"OK","ONBEKEND")),"ONZEKER")))))</f>
        <v/>
      </c>
      <c r="CK230" t="str">
        <f t="shared" si="1718"/>
        <v/>
      </c>
      <c r="CL230" t="str">
        <f t="shared" si="1719"/>
        <v/>
      </c>
      <c r="CM230" t="str">
        <f>IF($CL230="","",IF(OR($DZ230="",$EA230=""),"ONZEKER",IF(OR($DW230="",$DX230=""),"ONZEKER",IF(AND($DZ230=$DW230+1,$EA230=$DX230),IF(OR(COUNTIF(#REF!,$B230)&gt;0,COUNTIF(#REF!,$B230)=0),"SKIP",IF(COUNTIFS(#REF!,$B230,#REF!,$CL230)&gt;0,"OK","ONBEKEND")),IF(AND($DZ230=$DW230,$EA230=$DX230+1),IF(OR(COUNTIF(#REF!,$D230)&gt;0,COUNTIF(#REF!,$D230)=0),"SKIP",IF(COUNTIFS(#REF!,$D230,#REF!,$CL230)&gt;0,"OK","ONBEKEND")),"ONZEKER")))))</f>
        <v/>
      </c>
      <c r="CN230" t="str">
        <f t="shared" si="1720"/>
        <v/>
      </c>
      <c r="CO230" t="str">
        <f t="shared" si="1721"/>
        <v/>
      </c>
      <c r="CP230" t="str">
        <f>IF($CO230="","",IF(OR($EC230="",$ED230=""),"ONZEKER",IF(OR($DZ230="",$EA230=""),"ONZEKER",IF(AND($EC230=$DZ230+1,$ED230=$EA230),IF(OR(COUNTIF(#REF!,$B230)&gt;0,COUNTIF(#REF!,$B230)=0),"SKIP",IF(COUNTIFS(#REF!,$B230,#REF!,$CO230)&gt;0,"OK","ONBEKEND")),IF(AND($EC230=$DZ230,$ED230=$EA230+1),IF(OR(COUNTIF(#REF!,$D230)&gt;0,COUNTIF(#REF!,$D230)=0),"SKIP",IF(COUNTIFS(#REF!,$D230,#REF!,$CO230)&gt;0,"OK","ONBEKEND")),"ONZEKER")))))</f>
        <v/>
      </c>
      <c r="CQ230" t="str">
        <f t="shared" si="1722"/>
        <v/>
      </c>
      <c r="CR230" t="str">
        <f t="shared" si="1723"/>
        <v/>
      </c>
      <c r="CS230" t="str">
        <f>IF($CR230="","",IF(OR($EF230="",$EG230=""),"ONZEKER",IF(OR($EC230="",$ED230=""),"ONZEKER",IF(AND($EF230=$EC230+1,$EG230=$ED230),IF(OR(COUNTIF(#REF!,$B230)&gt;0,COUNTIF(#REF!,$B230)=0),"SKIP",IF(COUNTIFS(#REF!,$B230,#REF!,$CR230)&gt;0,"OK","ONBEKEND")),IF(AND($EF230=$EC230,$EG230=$ED230+1),IF(OR(COUNTIF(#REF!,$D230)&gt;0,COUNTIF(#REF!,$D230)=0),"SKIP",IF(COUNTIFS(#REF!,$D230,#REF!,$CR230)&gt;0,"OK","ONBEKEND")),"ONZEKER")))))</f>
        <v/>
      </c>
      <c r="CT230" t="str">
        <f t="shared" si="1724"/>
        <v/>
      </c>
      <c r="CU230" t="str">
        <f t="shared" si="1725"/>
        <v/>
      </c>
      <c r="CV230" t="str">
        <f>IF($CU230="","",IF(OR($EI230="",$EJ230=""),"ONZEKER",IF(OR($EF230="",$EG230=""),"ONZEKER",IF(AND($EI230=$EF230+1,$EJ230=$EG230),IF(OR(COUNTIF(#REF!,$B230)&gt;0,COUNTIF(#REF!,$B230)=0),"SKIP",IF(COUNTIFS(#REF!,$B230,#REF!,$CU230)&gt;0,"OK","ONBEKEND")),IF(AND($EI230=$EF230,$EJ230=$EG230+1),IF(OR(COUNTIF(#REF!,$D230)&gt;0,COUNTIF(#REF!,$D230)=0),"SKIP",IF(COUNTIFS(#REF!,$D230,#REF!,$CU230)&gt;0,"OK","ONBEKEND")),"ONZEKER")))))</f>
        <v/>
      </c>
      <c r="CW230" t="str">
        <f t="shared" si="1726"/>
        <v/>
      </c>
      <c r="CX230" t="str">
        <f t="shared" si="1727"/>
        <v/>
      </c>
      <c r="CY230" t="str">
        <f>IF($CX230="","",IF(OR($EL230="",$EM230=""),"ONZEKER",IF(OR($EI230="",$EJ230=""),"ONZEKER",IF(AND($EL230=$EI230+1,$EM230=$EJ230),IF(OR(COUNTIF(#REF!,$B230)&gt;0,COUNTIF(#REF!,$B230)=0),"SKIP",IF(COUNTIFS(#REF!,$B230,#REF!,$CX230)&gt;0,"OK","ONBEKEND")),IF(AND($EL230=$EI230,$EM230=$EJ230+1),IF(OR(COUNTIF(#REF!,$D230)&gt;0,COUNTIF(#REF!,$D230)=0),"SKIP",IF(COUNTIFS(#REF!,$D230,#REF!,$CX230)&gt;0,"OK","ONBEKEND")),"ONZEKER")))))</f>
        <v/>
      </c>
      <c r="CZ230" t="str">
        <f t="shared" si="1728"/>
        <v/>
      </c>
      <c r="DA230" t="str">
        <f t="shared" si="1729"/>
        <v/>
      </c>
      <c r="DB230" t="str">
        <f>IF($DA230="","",IF(OR($EO230="",$EP230=""),"ONZEKER",IF(OR($EL230="",$EM230=""),"ONZEKER",IF(AND($EO230=$EL230+1,$EP230=$EM230),IF(OR(COUNTIF(#REF!,$B230)&gt;0,COUNTIF(#REF!,$B230)=0),"SKIP",IF(COUNTIFS(#REF!,$B230,#REF!,$DA230)&gt;0,"OK","ONBEKEND")),IF(AND($EO230=$EL230,$EP230=$EM230+1),IF(OR(COUNTIF(#REF!,$D230)&gt;0,COUNTIF(#REF!,$D230)=0),"SKIP",IF(COUNTIFS(#REF!,$D230,#REF!,$DA230)&gt;0,"OK","ONBEKEND")),"ONZEKER")))))</f>
        <v/>
      </c>
      <c r="DC230" t="str">
        <f t="shared" si="1730"/>
        <v/>
      </c>
      <c r="DD230" t="str">
        <f t="shared" si="1731"/>
        <v/>
      </c>
      <c r="DE230" t="str">
        <f>IF($DD230="","",IF(OR($ER230="",$ES230=""),"ONZEKER",IF(OR($EO230="",$EP230=""),"ONZEKER",IF(AND($ER230=$EO230+1,$ES230=$EP230),IF(OR(COUNTIF(#REF!,$B230)&gt;0,COUNTIF(#REF!,$B230)=0),"SKIP",IF(COUNTIFS(#REF!,$B230,#REF!,$DD230)&gt;0,"OK","ONBEKEND")),IF(AND($ER230=$EO230,$ES230=$EP230+1),IF(OR(COUNTIF(#REF!,$D230)&gt;0,COUNTIF(#REF!,$D230)=0),"SKIP",IF(COUNTIFS(#REF!,$D230,#REF!,$DD230)&gt;0,"OK","ONBEKEND")),"ONZEKER")))))</f>
        <v/>
      </c>
      <c r="DF230" t="str">
        <f t="shared" si="1732"/>
        <v/>
      </c>
      <c r="DG230" t="str">
        <f t="shared" si="1733"/>
        <v/>
      </c>
      <c r="DH230" t="str">
        <f>IF($DG230="","",IF(OR($EU230="",$EV230=""),"ONZEKER",IF(OR($ER230="",$ES230=""),"ONZEKER",IF(AND($EU230=$ER230+1,$EV230=$ES230),IF(OR(COUNTIF(#REF!,$B230)&gt;0,COUNTIF(#REF!,$B230)=0),"SKIP",IF(COUNTIFS(#REF!,$B230,#REF!,$DG230)&gt;0,"OK","ONBEKEND")),IF(AND($EU230=$ER230,$EV230=$ES230+1),IF(OR(COUNTIF(#REF!,$D230)&gt;0,COUNTIF(#REF!,$D230)=0),"SKIP",IF(COUNTIFS(#REF!,$D230,#REF!,$DG230)&gt;0,"OK","ONBEKEND")),"ONZEKER")))))</f>
        <v/>
      </c>
      <c r="DI230" t="str">
        <f t="shared" si="1734"/>
        <v/>
      </c>
      <c r="DJ230" t="str">
        <f t="shared" si="1735"/>
        <v/>
      </c>
      <c r="DK230" t="str">
        <f>IF($DJ230="","",IF(OR($EX230="",$EY230=""),"ONZEKER",IF(OR($EU230="",$EV230=""),"ONZEKER",IF(AND($EX230=$EU230+1,$EY230=$EV230),IF(OR(COUNTIF(#REF!,$B230)&gt;0,COUNTIF(#REF!,$B230)=0),"SKIP",IF(COUNTIFS(#REF!,$B230,#REF!,$DJ230)&gt;0,"OK","ONBEKEND")),IF(AND($EX230=$EU230,$EY230=$EV230+1),IF(OR(COUNTIF(#REF!,$D230)&gt;0,COUNTIF(#REF!,$D230)=0),"SKIP",IF(COUNTIFS(#REF!,$D230,#REF!,$DJ230)&gt;0,"OK","ONBEKEND")),"ONZEKER")))))</f>
        <v/>
      </c>
      <c r="DL230" t="str">
        <f t="shared" si="1736"/>
        <v/>
      </c>
      <c r="DM230" t="str">
        <f t="shared" si="1737"/>
        <v/>
      </c>
      <c r="DN230" t="str">
        <f t="shared" si="1738"/>
        <v/>
      </c>
      <c r="DO230" t="str">
        <f t="shared" si="1739"/>
        <v/>
      </c>
      <c r="DP230" t="str">
        <f t="shared" si="1740"/>
        <v/>
      </c>
      <c r="DQ230" t="str">
        <f t="shared" si="1741"/>
        <v/>
      </c>
      <c r="DR230" t="str">
        <f t="shared" si="1742"/>
        <v/>
      </c>
      <c r="DS230" t="str">
        <f t="shared" si="1743"/>
        <v/>
      </c>
      <c r="DT230" t="str">
        <f t="shared" si="1744"/>
        <v/>
      </c>
      <c r="DU230" t="str">
        <f t="shared" si="1745"/>
        <v/>
      </c>
      <c r="DV230" t="str">
        <f t="shared" si="1746"/>
        <v/>
      </c>
      <c r="DW230" t="str">
        <f t="shared" si="1747"/>
        <v/>
      </c>
      <c r="DX230" t="str">
        <f t="shared" si="1748"/>
        <v/>
      </c>
      <c r="DY230" t="str">
        <f t="shared" si="1749"/>
        <v/>
      </c>
      <c r="DZ230" t="str">
        <f t="shared" si="1750"/>
        <v/>
      </c>
      <c r="EA230" t="str">
        <f t="shared" si="1751"/>
        <v/>
      </c>
      <c r="EB230" t="str">
        <f t="shared" si="1752"/>
        <v/>
      </c>
      <c r="EC230" t="str">
        <f t="shared" si="1753"/>
        <v/>
      </c>
      <c r="ED230" t="str">
        <f t="shared" si="1754"/>
        <v/>
      </c>
      <c r="EE230" t="str">
        <f t="shared" si="1755"/>
        <v/>
      </c>
      <c r="EF230" t="str">
        <f t="shared" si="1756"/>
        <v/>
      </c>
      <c r="EG230" t="str">
        <f t="shared" si="1757"/>
        <v/>
      </c>
      <c r="EH230" t="str">
        <f t="shared" si="1758"/>
        <v/>
      </c>
      <c r="EI230" t="str">
        <f t="shared" si="1759"/>
        <v/>
      </c>
      <c r="EJ230" t="str">
        <f t="shared" si="1760"/>
        <v/>
      </c>
      <c r="EK230" t="str">
        <f t="shared" si="1761"/>
        <v/>
      </c>
      <c r="EL230" t="str">
        <f t="shared" si="1762"/>
        <v/>
      </c>
      <c r="EM230" t="str">
        <f t="shared" si="1763"/>
        <v/>
      </c>
      <c r="EN230" t="str">
        <f t="shared" si="1764"/>
        <v/>
      </c>
      <c r="EO230" t="str">
        <f t="shared" si="1765"/>
        <v/>
      </c>
      <c r="EP230" t="str">
        <f t="shared" si="1766"/>
        <v/>
      </c>
      <c r="EQ230" t="str">
        <f t="shared" si="1767"/>
        <v/>
      </c>
      <c r="ER230" t="str">
        <f t="shared" si="1768"/>
        <v/>
      </c>
      <c r="ES230" t="str">
        <f t="shared" si="1769"/>
        <v/>
      </c>
      <c r="ET230" t="str">
        <f t="shared" si="1770"/>
        <v/>
      </c>
      <c r="EU230" t="str">
        <f t="shared" si="1771"/>
        <v/>
      </c>
      <c r="EV230" t="str">
        <f t="shared" si="1772"/>
        <v/>
      </c>
      <c r="EW230" t="str">
        <f t="shared" si="1773"/>
        <v/>
      </c>
      <c r="EX230" t="str">
        <f t="shared" si="1774"/>
        <v/>
      </c>
      <c r="EY230" t="str">
        <f t="shared" si="1775"/>
        <v/>
      </c>
    </row>
    <row r="231" spans="1:155" ht="13.9" customHeight="1" x14ac:dyDescent="0.25">
      <c r="A231" s="7"/>
      <c r="B231" s="17"/>
      <c r="C231" s="8"/>
      <c r="D231" s="17"/>
      <c r="E231" s="8"/>
      <c r="F231" s="18">
        <v>0</v>
      </c>
      <c r="G231" s="7" t="s">
        <v>147</v>
      </c>
      <c r="H231" s="18">
        <v>0</v>
      </c>
      <c r="I231" s="19">
        <v>0</v>
      </c>
      <c r="J231" s="7" t="s">
        <v>147</v>
      </c>
      <c r="K231" s="19">
        <v>0</v>
      </c>
      <c r="L231" s="9"/>
      <c r="M231" s="3" t="str">
        <f>IF($L231="","",IF($L231="DOELPUNTENMAKERS","",IF(AND(COUNTIF(#REF!,$B231)=0,COUNTIF(#REF!,$D231)=0),"OK",IF($O231&gt;20,"LET OP: meer dan 20 items (controle onvolledig)",IF((COUNTIF($R231:$AS231,"ONZEKER")+COUNTIF($CJ231:$DK231,"ONZEKER"))&gt;0,"LET OP: scoreverloop onduidelijk (controle beperkt)",IF((IF($AT231&lt;&gt;"",$AT231&amp;", ","")&amp;IF($AU231&lt;&gt;"",$AU231&amp;", ","")&amp;IF($AV231&lt;&gt;"",$AV231&amp;", ","")&amp;IF($AW231&lt;&gt;"",$AW231&amp;", ","")&amp;IF($AX231&lt;&gt;"",$AX231&amp;", ","")&amp;IF($AY231&lt;&gt;"",$AY231&amp;", ","")&amp;IF($AZ231&lt;&gt;"",$AZ231&amp;", ","")&amp;IF($BA231&lt;&gt;"",$BA231&amp;", ","")&amp;IF($BB231&lt;&gt;"",$BB231&amp;", ","")&amp;IF($BC231&lt;&gt;"",$BC231&amp;", ","")&amp;IF($DL231&lt;&gt;"",$DL231&amp;", ","")&amp;IF($DM231&lt;&gt;"",$DM231&amp;", ","")&amp;IF($DN231&lt;&gt;"",$DN231&amp;", ","")&amp;IF($DO231&lt;&gt;"",$DO231&amp;", ","")&amp;IF($DP231&lt;&gt;"",$DP231&amp;", ","")&amp;IF($DQ231&lt;&gt;"",$DQ231&amp;", ","")&amp;IF($DR231&lt;&gt;"",$DR231&amp;", ","")&amp;IF($DS231&lt;&gt;"",$DS231&amp;", ","")&amp;IF($DT231&lt;&gt;"",$DT231&amp;", ","")&amp;IF($DU231&lt;&gt;"",$DU231&amp;", ",""))="","OK","Onbekend: "&amp;LEFT((IF($AT231&lt;&gt;"",$AT231&amp;", ","")&amp;IF($AU231&lt;&gt;"",$AU231&amp;", ","")&amp;IF($AV231&lt;&gt;"",$AV231&amp;", ","")&amp;IF($AW231&lt;&gt;"",$AW231&amp;", ","")&amp;IF($AX231&lt;&gt;"",$AX231&amp;", ","")&amp;IF($AY231&lt;&gt;"",$AY231&amp;", ","")&amp;IF($AZ231&lt;&gt;"",$AZ231&amp;", ","")&amp;IF($BA231&lt;&gt;"",$BA231&amp;", ","")&amp;IF($BB231&lt;&gt;"",$BB231&amp;", ","")&amp;IF($BC231&lt;&gt;"",$BC231&amp;", ","")&amp;IF($DL231&lt;&gt;"",$DL231&amp;", ","")&amp;IF($DM231&lt;&gt;"",$DM231&amp;", ","")&amp;IF($DN231&lt;&gt;"",$DN231&amp;", ","")&amp;IF($DO231&lt;&gt;"",$DO231&amp;", ","")&amp;IF($DP231&lt;&gt;"",$DP231&amp;", ","")&amp;IF($DQ231&lt;&gt;"",$DQ231&amp;", ","")&amp;IF($DR231&lt;&gt;"",$DR231&amp;", ","")&amp;IF($DS231&lt;&gt;"",$DS231&amp;", ","")&amp;IF($DT231&lt;&gt;"",$DT231&amp;", ","")&amp;IF($DU231&lt;&gt;"",$DU231&amp;", ","")),LEN((IF($AT231&lt;&gt;"",$AT231&amp;", ","")&amp;IF($AU231&lt;&gt;"",$AU231&amp;", ","")&amp;IF($AV231&lt;&gt;"",$AV231&amp;", ","")&amp;IF($AW231&lt;&gt;"",$AW231&amp;", ","")&amp;IF($AX231&lt;&gt;"",$AX231&amp;", ","")&amp;IF($AY231&lt;&gt;"",$AY231&amp;", ","")&amp;IF($AZ231&lt;&gt;"",$AZ231&amp;", ","")&amp;IF($BA231&lt;&gt;"",$BA231&amp;", ","")&amp;IF($BB231&lt;&gt;"",$BB231&amp;", ","")&amp;IF($BC231&lt;&gt;"",$BC231&amp;", ","")&amp;IF($DL231&lt;&gt;"",$DL231&amp;", ","")&amp;IF($DM231&lt;&gt;"",$DM231&amp;", ","")&amp;IF($DN231&lt;&gt;"",$DN231&amp;", ","")&amp;IF($DO231&lt;&gt;"",$DO231&amp;", ","")&amp;IF($DP231&lt;&gt;"",$DP231&amp;", ","")&amp;IF($DQ231&lt;&gt;"",$DQ231&amp;", ","")&amp;IF($DR231&lt;&gt;"",$DR231&amp;", ","")&amp;IF($DS231&lt;&gt;"",$DS231&amp;", ","")&amp;IF($DT231&lt;&gt;"",$DT231&amp;", ","")&amp;IF($DU231&lt;&gt;"",$DU231&amp;", ","")))-2)))))))</f>
        <v/>
      </c>
      <c r="N231" t="str">
        <f t="shared" si="1684"/>
        <v/>
      </c>
      <c r="O231" t="str">
        <f t="shared" si="1685"/>
        <v/>
      </c>
      <c r="P231" t="str">
        <f t="shared" si="1686"/>
        <v/>
      </c>
      <c r="Q231" t="str">
        <f t="shared" si="1687"/>
        <v/>
      </c>
      <c r="R231" t="str">
        <f>IF($Q231="","",IF(OR($BE231="",$BF231=""),"ONZEKER",IF(AND($BE231=0+1,$BF231=0),IF(OR(COUNTIF(#REF!,$B231)&gt;0,COUNTIF(#REF!,$B231)=0),"SKIP",IF(COUNTIFS(#REF!,$B231,#REF!,$Q231)&gt;0,"OK","ONBEKEND")),IF(AND($BE231=0,$BF231=0+1),IF(OR(COUNTIF(#REF!,$D231)&gt;0,COUNTIF(#REF!,$D231)=0),"SKIP",IF(COUNTIFS(#REF!,$D231,#REF!,$Q231)&gt;0,"OK","ONBEKEND")),"ONZEKER"))))</f>
        <v/>
      </c>
      <c r="S231" t="str">
        <f t="shared" si="1688"/>
        <v/>
      </c>
      <c r="T231" t="str">
        <f t="shared" si="1689"/>
        <v/>
      </c>
      <c r="U231" t="str">
        <f>IF($T231="","",IF(OR($BH231="",$BI231=""),"ONZEKER",IF(OR($BE231="",$BF231=""),"ONZEKER",IF(AND($BH231=$BE231+1,$BI231=$BF231),IF(OR(COUNTIF(#REF!,$B231)&gt;0,COUNTIF(#REF!,$B231)=0),"SKIP",IF(COUNTIFS(#REF!,$B231,#REF!,$T231)&gt;0,"OK","ONBEKEND")),IF(AND($BH231=$BE231,$BI231=$BF231+1),IF(OR(COUNTIF(#REF!,$D231)&gt;0,COUNTIF(#REF!,$D231)=0),"SKIP",IF(COUNTIFS(#REF!,$D231,#REF!,$T231)&gt;0,"OK","ONBEKEND")),"ONZEKER")))))</f>
        <v/>
      </c>
      <c r="V231" t="str">
        <f t="shared" si="1690"/>
        <v/>
      </c>
      <c r="W231" t="str">
        <f t="shared" si="1691"/>
        <v/>
      </c>
      <c r="X231" t="str">
        <f>IF($W231="","",IF(OR($BK231="",$BL231=""),"ONZEKER",IF(OR($BH231="",$BI231=""),"ONZEKER",IF(AND($BK231=$BH231+1,$BL231=$BI231),IF(OR(COUNTIF(#REF!,$B231)&gt;0,COUNTIF(#REF!,$B231)=0),"SKIP",IF(COUNTIFS(#REF!,$B231,#REF!,$W231)&gt;0,"OK","ONBEKEND")),IF(AND($BK231=$BH231,$BL231=$BI231+1),IF(OR(COUNTIF(#REF!,$D231)&gt;0,COUNTIF(#REF!,$D231)=0),"SKIP",IF(COUNTIFS(#REF!,$D231,#REF!,$W231)&gt;0,"OK","ONBEKEND")),"ONZEKER")))))</f>
        <v/>
      </c>
      <c r="Y231" t="str">
        <f t="shared" si="1692"/>
        <v/>
      </c>
      <c r="Z231" t="str">
        <f t="shared" si="1693"/>
        <v/>
      </c>
      <c r="AA231" t="str">
        <f>IF($Z231="","",IF(OR($BN231="",$BO231=""),"ONZEKER",IF(OR($BK231="",$BL231=""),"ONZEKER",IF(AND($BN231=$BK231+1,$BO231=$BL231),IF(OR(COUNTIF(#REF!,$B231)&gt;0,COUNTIF(#REF!,$B231)=0),"SKIP",IF(COUNTIFS(#REF!,$B231,#REF!,$Z231)&gt;0,"OK","ONBEKEND")),IF(AND($BN231=$BK231,$BO231=$BL231+1),IF(OR(COUNTIF(#REF!,$D231)&gt;0,COUNTIF(#REF!,$D231)=0),"SKIP",IF(COUNTIFS(#REF!,$D231,#REF!,$Z231)&gt;0,"OK","ONBEKEND")),"ONZEKER")))))</f>
        <v/>
      </c>
      <c r="AB231" t="str">
        <f t="shared" si="1694"/>
        <v/>
      </c>
      <c r="AC231" t="str">
        <f t="shared" si="1695"/>
        <v/>
      </c>
      <c r="AD231" t="str">
        <f>IF($AC231="","",IF(OR($BQ231="",$BR231=""),"ONZEKER",IF(OR($BN231="",$BO231=""),"ONZEKER",IF(AND($BQ231=$BN231+1,$BR231=$BO231),IF(OR(COUNTIF(#REF!,$B231)&gt;0,COUNTIF(#REF!,$B231)=0),"SKIP",IF(COUNTIFS(#REF!,$B231,#REF!,$AC231)&gt;0,"OK","ONBEKEND")),IF(AND($BQ231=$BN231,$BR231=$BO231+1),IF(OR(COUNTIF(#REF!,$D231)&gt;0,COUNTIF(#REF!,$D231)=0),"SKIP",IF(COUNTIFS(#REF!,$D231,#REF!,$AC231)&gt;0,"OK","ONBEKEND")),"ONZEKER")))))</f>
        <v/>
      </c>
      <c r="AE231" t="str">
        <f t="shared" si="1696"/>
        <v/>
      </c>
      <c r="AF231" t="str">
        <f t="shared" si="1697"/>
        <v/>
      </c>
      <c r="AG231" t="str">
        <f>IF($AF231="","",IF(OR($BT231="",$BU231=""),"ONZEKER",IF(OR($BQ231="",$BR231=""),"ONZEKER",IF(AND($BT231=$BQ231+1,$BU231=$BR231),IF(OR(COUNTIF(#REF!,$B231)&gt;0,COUNTIF(#REF!,$B231)=0),"SKIP",IF(COUNTIFS(#REF!,$B231,#REF!,$AF231)&gt;0,"OK","ONBEKEND")),IF(AND($BT231=$BQ231,$BU231=$BR231+1),IF(OR(COUNTIF(#REF!,$D231)&gt;0,COUNTIF(#REF!,$D231)=0),"SKIP",IF(COUNTIFS(#REF!,$D231,#REF!,$AF231)&gt;0,"OK","ONBEKEND")),"ONZEKER")))))</f>
        <v/>
      </c>
      <c r="AH231" t="str">
        <f t="shared" si="1698"/>
        <v/>
      </c>
      <c r="AI231" t="str">
        <f t="shared" si="1699"/>
        <v/>
      </c>
      <c r="AJ231" t="str">
        <f>IF($AI231="","",IF(OR($BW231="",$BX231=""),"ONZEKER",IF(OR($BT231="",$BU231=""),"ONZEKER",IF(AND($BW231=$BT231+1,$BX231=$BU231),IF(OR(COUNTIF(#REF!,$B231)&gt;0,COUNTIF(#REF!,$B231)=0),"SKIP",IF(COUNTIFS(#REF!,$B231,#REF!,$AI231)&gt;0,"OK","ONBEKEND")),IF(AND($BW231=$BT231,$BX231=$BU231+1),IF(OR(COUNTIF(#REF!,$D231)&gt;0,COUNTIF(#REF!,$D231)=0),"SKIP",IF(COUNTIFS(#REF!,$D231,#REF!,$AI231)&gt;0,"OK","ONBEKEND")),"ONZEKER")))))</f>
        <v/>
      </c>
      <c r="AK231" t="str">
        <f t="shared" si="1700"/>
        <v/>
      </c>
      <c r="AL231" t="str">
        <f t="shared" si="1701"/>
        <v/>
      </c>
      <c r="AM231" t="str">
        <f>IF($AL231="","",IF(OR($BZ231="",$CA231=""),"ONZEKER",IF(OR($BW231="",$BX231=""),"ONZEKER",IF(AND($BZ231=$BW231+1,$CA231=$BX231),IF(OR(COUNTIF(#REF!,$B231)&gt;0,COUNTIF(#REF!,$B231)=0),"SKIP",IF(COUNTIFS(#REF!,$B231,#REF!,$AL231)&gt;0,"OK","ONBEKEND")),IF(AND($BZ231=$BW231,$CA231=$BX231+1),IF(OR(COUNTIF(#REF!,$D231)&gt;0,COUNTIF(#REF!,$D231)=0),"SKIP",IF(COUNTIFS(#REF!,$D231,#REF!,$AL231)&gt;0,"OK","ONBEKEND")),"ONZEKER")))))</f>
        <v/>
      </c>
      <c r="AN231" t="str">
        <f t="shared" si="1702"/>
        <v/>
      </c>
      <c r="AO231" t="str">
        <f t="shared" si="1703"/>
        <v/>
      </c>
      <c r="AP231" t="str">
        <f>IF($AO231="","",IF(OR($CC231="",$CD231=""),"ONZEKER",IF(OR($BZ231="",$CA231=""),"ONZEKER",IF(AND($CC231=$BZ231+1,$CD231=$CA231),IF(OR(COUNTIF(#REF!,$B231)&gt;0,COUNTIF(#REF!,$B231)=0),"SKIP",IF(COUNTIFS(#REF!,$B231,#REF!,$AO231)&gt;0,"OK","ONBEKEND")),IF(AND($CC231=$BZ231,$CD231=$CA231+1),IF(OR(COUNTIF(#REF!,$D231)&gt;0,COUNTIF(#REF!,$D231)=0),"SKIP",IF(COUNTIFS(#REF!,$D231,#REF!,$AO231)&gt;0,"OK","ONBEKEND")),"ONZEKER")))))</f>
        <v/>
      </c>
      <c r="AQ231" t="str">
        <f t="shared" si="1704"/>
        <v/>
      </c>
      <c r="AR231" t="str">
        <f t="shared" si="1705"/>
        <v/>
      </c>
      <c r="AS231" t="str">
        <f>IF($AR231="","",IF(OR($CF231="",$CG231=""),"ONZEKER",IF(OR($CC231="",$CD231=""),"ONZEKER",IF(AND($CF231=$CC231+1,$CG231=$CD231),IF(OR(COUNTIF(#REF!,$B231)&gt;0,COUNTIF(#REF!,$B231)=0),"SKIP",IF(COUNTIFS(#REF!,$B231,#REF!,$AR231)&gt;0,"OK","ONBEKEND")),IF(AND($CF231=$CC231,$CG231=$CD231+1),IF(OR(COUNTIF(#REF!,$D231)&gt;0,COUNTIF(#REF!,$D231)=0),"SKIP",IF(COUNTIFS(#REF!,$D231,#REF!,$AR231)&gt;0,"OK","ONBEKEND")),"ONZEKER")))))</f>
        <v/>
      </c>
      <c r="AT231" t="str">
        <f t="shared" si="1706"/>
        <v/>
      </c>
      <c r="AU231" t="str">
        <f t="shared" si="1707"/>
        <v/>
      </c>
      <c r="AV231" t="str">
        <f t="shared" si="1708"/>
        <v/>
      </c>
      <c r="AW231" t="str">
        <f t="shared" si="1709"/>
        <v/>
      </c>
      <c r="AX231" t="str">
        <f t="shared" si="1710"/>
        <v/>
      </c>
      <c r="AY231" t="str">
        <f t="shared" si="1711"/>
        <v/>
      </c>
      <c r="AZ231" t="str">
        <f t="shared" si="1712"/>
        <v/>
      </c>
      <c r="BA231" t="str">
        <f t="shared" si="1713"/>
        <v/>
      </c>
      <c r="BB231" t="str">
        <f t="shared" si="1714"/>
        <v/>
      </c>
      <c r="BC231" t="str">
        <f t="shared" si="1715"/>
        <v/>
      </c>
      <c r="BD231" t="str">
        <f t="shared" si="1470"/>
        <v/>
      </c>
      <c r="BE231" t="str">
        <f t="shared" si="1471"/>
        <v/>
      </c>
      <c r="BF231" t="str">
        <f t="shared" si="1472"/>
        <v/>
      </c>
      <c r="BG231" t="str">
        <f t="shared" si="1473"/>
        <v/>
      </c>
      <c r="BH231" t="str">
        <f t="shared" si="1474"/>
        <v/>
      </c>
      <c r="BI231" t="str">
        <f t="shared" si="1475"/>
        <v/>
      </c>
      <c r="BJ231" t="str">
        <f t="shared" si="1476"/>
        <v/>
      </c>
      <c r="BK231" t="str">
        <f t="shared" si="1477"/>
        <v/>
      </c>
      <c r="BL231" t="str">
        <f t="shared" si="1478"/>
        <v/>
      </c>
      <c r="BM231" t="str">
        <f t="shared" si="1479"/>
        <v/>
      </c>
      <c r="BN231" t="str">
        <f t="shared" si="1480"/>
        <v/>
      </c>
      <c r="BO231" t="str">
        <f t="shared" si="1481"/>
        <v/>
      </c>
      <c r="BP231" t="str">
        <f t="shared" si="1482"/>
        <v/>
      </c>
      <c r="BQ231" t="str">
        <f t="shared" si="1483"/>
        <v/>
      </c>
      <c r="BR231" t="str">
        <f t="shared" si="1484"/>
        <v/>
      </c>
      <c r="BS231" t="str">
        <f t="shared" si="1485"/>
        <v/>
      </c>
      <c r="BT231" t="str">
        <f t="shared" si="1486"/>
        <v/>
      </c>
      <c r="BU231" t="str">
        <f t="shared" si="1487"/>
        <v/>
      </c>
      <c r="BV231" t="str">
        <f t="shared" si="1488"/>
        <v/>
      </c>
      <c r="BW231" t="str">
        <f t="shared" si="1489"/>
        <v/>
      </c>
      <c r="BX231" t="str">
        <f t="shared" si="1490"/>
        <v/>
      </c>
      <c r="BY231" t="str">
        <f t="shared" si="1491"/>
        <v/>
      </c>
      <c r="BZ231" t="str">
        <f t="shared" si="1492"/>
        <v/>
      </c>
      <c r="CA231" t="str">
        <f t="shared" si="1493"/>
        <v/>
      </c>
      <c r="CB231" t="str">
        <f t="shared" si="1494"/>
        <v/>
      </c>
      <c r="CC231" t="str">
        <f t="shared" si="1495"/>
        <v/>
      </c>
      <c r="CD231" t="str">
        <f t="shared" si="1496"/>
        <v/>
      </c>
      <c r="CE231" t="str">
        <f t="shared" si="1497"/>
        <v/>
      </c>
      <c r="CF231" t="str">
        <f t="shared" si="1498"/>
        <v/>
      </c>
      <c r="CG231" t="str">
        <f t="shared" si="1499"/>
        <v/>
      </c>
      <c r="CH231" t="str">
        <f t="shared" si="1716"/>
        <v/>
      </c>
      <c r="CI231" t="str">
        <f t="shared" si="1717"/>
        <v/>
      </c>
      <c r="CJ231" t="str">
        <f>IF($CI231="","",IF(OR($DW231="",$DX231=""),"ONZEKER",IF(OR($CF231="",$CG231=""),"ONZEKER",IF(AND($DW231=$CF231+1,$DX231=$CG231),IF(OR(COUNTIF(#REF!,$B231)&gt;0,COUNTIF(#REF!,$B231)=0),"SKIP",IF(COUNTIFS(#REF!,$B231,#REF!,$CI231)&gt;0,"OK","ONBEKEND")),IF(AND($DW231=$CF231,$DX231=$CG231+1),IF(OR(COUNTIF(#REF!,$D231)&gt;0,COUNTIF(#REF!,$D231)=0),"SKIP",IF(COUNTIFS(#REF!,$D231,#REF!,$CI231)&gt;0,"OK","ONBEKEND")),"ONZEKER")))))</f>
        <v/>
      </c>
      <c r="CK231" t="str">
        <f t="shared" si="1718"/>
        <v/>
      </c>
      <c r="CL231" t="str">
        <f t="shared" si="1719"/>
        <v/>
      </c>
      <c r="CM231" t="str">
        <f>IF($CL231="","",IF(OR($DZ231="",$EA231=""),"ONZEKER",IF(OR($DW231="",$DX231=""),"ONZEKER",IF(AND($DZ231=$DW231+1,$EA231=$DX231),IF(OR(COUNTIF(#REF!,$B231)&gt;0,COUNTIF(#REF!,$B231)=0),"SKIP",IF(COUNTIFS(#REF!,$B231,#REF!,$CL231)&gt;0,"OK","ONBEKEND")),IF(AND($DZ231=$DW231,$EA231=$DX231+1),IF(OR(COUNTIF(#REF!,$D231)&gt;0,COUNTIF(#REF!,$D231)=0),"SKIP",IF(COUNTIFS(#REF!,$D231,#REF!,$CL231)&gt;0,"OK","ONBEKEND")),"ONZEKER")))))</f>
        <v/>
      </c>
      <c r="CN231" t="str">
        <f t="shared" si="1720"/>
        <v/>
      </c>
      <c r="CO231" t="str">
        <f t="shared" si="1721"/>
        <v/>
      </c>
      <c r="CP231" t="str">
        <f>IF($CO231="","",IF(OR($EC231="",$ED231=""),"ONZEKER",IF(OR($DZ231="",$EA231=""),"ONZEKER",IF(AND($EC231=$DZ231+1,$ED231=$EA231),IF(OR(COUNTIF(#REF!,$B231)&gt;0,COUNTIF(#REF!,$B231)=0),"SKIP",IF(COUNTIFS(#REF!,$B231,#REF!,$CO231)&gt;0,"OK","ONBEKEND")),IF(AND($EC231=$DZ231,$ED231=$EA231+1),IF(OR(COUNTIF(#REF!,$D231)&gt;0,COUNTIF(#REF!,$D231)=0),"SKIP",IF(COUNTIFS(#REF!,$D231,#REF!,$CO231)&gt;0,"OK","ONBEKEND")),"ONZEKER")))))</f>
        <v/>
      </c>
      <c r="CQ231" t="str">
        <f t="shared" si="1722"/>
        <v/>
      </c>
      <c r="CR231" t="str">
        <f t="shared" si="1723"/>
        <v/>
      </c>
      <c r="CS231" t="str">
        <f>IF($CR231="","",IF(OR($EF231="",$EG231=""),"ONZEKER",IF(OR($EC231="",$ED231=""),"ONZEKER",IF(AND($EF231=$EC231+1,$EG231=$ED231),IF(OR(COUNTIF(#REF!,$B231)&gt;0,COUNTIF(#REF!,$B231)=0),"SKIP",IF(COUNTIFS(#REF!,$B231,#REF!,$CR231)&gt;0,"OK","ONBEKEND")),IF(AND($EF231=$EC231,$EG231=$ED231+1),IF(OR(COUNTIF(#REF!,$D231)&gt;0,COUNTIF(#REF!,$D231)=0),"SKIP",IF(COUNTIFS(#REF!,$D231,#REF!,$CR231)&gt;0,"OK","ONBEKEND")),"ONZEKER")))))</f>
        <v/>
      </c>
      <c r="CT231" t="str">
        <f t="shared" si="1724"/>
        <v/>
      </c>
      <c r="CU231" t="str">
        <f t="shared" si="1725"/>
        <v/>
      </c>
      <c r="CV231" t="str">
        <f>IF($CU231="","",IF(OR($EI231="",$EJ231=""),"ONZEKER",IF(OR($EF231="",$EG231=""),"ONZEKER",IF(AND($EI231=$EF231+1,$EJ231=$EG231),IF(OR(COUNTIF(#REF!,$B231)&gt;0,COUNTIF(#REF!,$B231)=0),"SKIP",IF(COUNTIFS(#REF!,$B231,#REF!,$CU231)&gt;0,"OK","ONBEKEND")),IF(AND($EI231=$EF231,$EJ231=$EG231+1),IF(OR(COUNTIF(#REF!,$D231)&gt;0,COUNTIF(#REF!,$D231)=0),"SKIP",IF(COUNTIFS(#REF!,$D231,#REF!,$CU231)&gt;0,"OK","ONBEKEND")),"ONZEKER")))))</f>
        <v/>
      </c>
      <c r="CW231" t="str">
        <f t="shared" si="1726"/>
        <v/>
      </c>
      <c r="CX231" t="str">
        <f t="shared" si="1727"/>
        <v/>
      </c>
      <c r="CY231" t="str">
        <f>IF($CX231="","",IF(OR($EL231="",$EM231=""),"ONZEKER",IF(OR($EI231="",$EJ231=""),"ONZEKER",IF(AND($EL231=$EI231+1,$EM231=$EJ231),IF(OR(COUNTIF(#REF!,$B231)&gt;0,COUNTIF(#REF!,$B231)=0),"SKIP",IF(COUNTIFS(#REF!,$B231,#REF!,$CX231)&gt;0,"OK","ONBEKEND")),IF(AND($EL231=$EI231,$EM231=$EJ231+1),IF(OR(COUNTIF(#REF!,$D231)&gt;0,COUNTIF(#REF!,$D231)=0),"SKIP",IF(COUNTIFS(#REF!,$D231,#REF!,$CX231)&gt;0,"OK","ONBEKEND")),"ONZEKER")))))</f>
        <v/>
      </c>
      <c r="CZ231" t="str">
        <f t="shared" si="1728"/>
        <v/>
      </c>
      <c r="DA231" t="str">
        <f t="shared" si="1729"/>
        <v/>
      </c>
      <c r="DB231" t="str">
        <f>IF($DA231="","",IF(OR($EO231="",$EP231=""),"ONZEKER",IF(OR($EL231="",$EM231=""),"ONZEKER",IF(AND($EO231=$EL231+1,$EP231=$EM231),IF(OR(COUNTIF(#REF!,$B231)&gt;0,COUNTIF(#REF!,$B231)=0),"SKIP",IF(COUNTIFS(#REF!,$B231,#REF!,$DA231)&gt;0,"OK","ONBEKEND")),IF(AND($EO231=$EL231,$EP231=$EM231+1),IF(OR(COUNTIF(#REF!,$D231)&gt;0,COUNTIF(#REF!,$D231)=0),"SKIP",IF(COUNTIFS(#REF!,$D231,#REF!,$DA231)&gt;0,"OK","ONBEKEND")),"ONZEKER")))))</f>
        <v/>
      </c>
      <c r="DC231" t="str">
        <f t="shared" si="1730"/>
        <v/>
      </c>
      <c r="DD231" t="str">
        <f t="shared" si="1731"/>
        <v/>
      </c>
      <c r="DE231" t="str">
        <f>IF($DD231="","",IF(OR($ER231="",$ES231=""),"ONZEKER",IF(OR($EO231="",$EP231=""),"ONZEKER",IF(AND($ER231=$EO231+1,$ES231=$EP231),IF(OR(COUNTIF(#REF!,$B231)&gt;0,COUNTIF(#REF!,$B231)=0),"SKIP",IF(COUNTIFS(#REF!,$B231,#REF!,$DD231)&gt;0,"OK","ONBEKEND")),IF(AND($ER231=$EO231,$ES231=$EP231+1),IF(OR(COUNTIF(#REF!,$D231)&gt;0,COUNTIF(#REF!,$D231)=0),"SKIP",IF(COUNTIFS(#REF!,$D231,#REF!,$DD231)&gt;0,"OK","ONBEKEND")),"ONZEKER")))))</f>
        <v/>
      </c>
      <c r="DF231" t="str">
        <f t="shared" si="1732"/>
        <v/>
      </c>
      <c r="DG231" t="str">
        <f t="shared" si="1733"/>
        <v/>
      </c>
      <c r="DH231" t="str">
        <f>IF($DG231="","",IF(OR($EU231="",$EV231=""),"ONZEKER",IF(OR($ER231="",$ES231=""),"ONZEKER",IF(AND($EU231=$ER231+1,$EV231=$ES231),IF(OR(COUNTIF(#REF!,$B231)&gt;0,COUNTIF(#REF!,$B231)=0),"SKIP",IF(COUNTIFS(#REF!,$B231,#REF!,$DG231)&gt;0,"OK","ONBEKEND")),IF(AND($EU231=$ER231,$EV231=$ES231+1),IF(OR(COUNTIF(#REF!,$D231)&gt;0,COUNTIF(#REF!,$D231)=0),"SKIP",IF(COUNTIFS(#REF!,$D231,#REF!,$DG231)&gt;0,"OK","ONBEKEND")),"ONZEKER")))))</f>
        <v/>
      </c>
      <c r="DI231" t="str">
        <f t="shared" si="1734"/>
        <v/>
      </c>
      <c r="DJ231" t="str">
        <f t="shared" si="1735"/>
        <v/>
      </c>
      <c r="DK231" t="str">
        <f>IF($DJ231="","",IF(OR($EX231="",$EY231=""),"ONZEKER",IF(OR($EU231="",$EV231=""),"ONZEKER",IF(AND($EX231=$EU231+1,$EY231=$EV231),IF(OR(COUNTIF(#REF!,$B231)&gt;0,COUNTIF(#REF!,$B231)=0),"SKIP",IF(COUNTIFS(#REF!,$B231,#REF!,$DJ231)&gt;0,"OK","ONBEKEND")),IF(AND($EX231=$EU231,$EY231=$EV231+1),IF(OR(COUNTIF(#REF!,$D231)&gt;0,COUNTIF(#REF!,$D231)=0),"SKIP",IF(COUNTIFS(#REF!,$D231,#REF!,$DJ231)&gt;0,"OK","ONBEKEND")),"ONZEKER")))))</f>
        <v/>
      </c>
      <c r="DL231" t="str">
        <f t="shared" si="1736"/>
        <v/>
      </c>
      <c r="DM231" t="str">
        <f t="shared" si="1737"/>
        <v/>
      </c>
      <c r="DN231" t="str">
        <f t="shared" si="1738"/>
        <v/>
      </c>
      <c r="DO231" t="str">
        <f t="shared" si="1739"/>
        <v/>
      </c>
      <c r="DP231" t="str">
        <f t="shared" si="1740"/>
        <v/>
      </c>
      <c r="DQ231" t="str">
        <f t="shared" si="1741"/>
        <v/>
      </c>
      <c r="DR231" t="str">
        <f t="shared" si="1742"/>
        <v/>
      </c>
      <c r="DS231" t="str">
        <f t="shared" si="1743"/>
        <v/>
      </c>
      <c r="DT231" t="str">
        <f t="shared" si="1744"/>
        <v/>
      </c>
      <c r="DU231" t="str">
        <f t="shared" si="1745"/>
        <v/>
      </c>
      <c r="DV231" t="str">
        <f t="shared" si="1746"/>
        <v/>
      </c>
      <c r="DW231" t="str">
        <f t="shared" si="1747"/>
        <v/>
      </c>
      <c r="DX231" t="str">
        <f t="shared" si="1748"/>
        <v/>
      </c>
      <c r="DY231" t="str">
        <f t="shared" si="1749"/>
        <v/>
      </c>
      <c r="DZ231" t="str">
        <f t="shared" si="1750"/>
        <v/>
      </c>
      <c r="EA231" t="str">
        <f t="shared" si="1751"/>
        <v/>
      </c>
      <c r="EB231" t="str">
        <f t="shared" si="1752"/>
        <v/>
      </c>
      <c r="EC231" t="str">
        <f t="shared" si="1753"/>
        <v/>
      </c>
      <c r="ED231" t="str">
        <f t="shared" si="1754"/>
        <v/>
      </c>
      <c r="EE231" t="str">
        <f t="shared" si="1755"/>
        <v/>
      </c>
      <c r="EF231" t="str">
        <f t="shared" si="1756"/>
        <v/>
      </c>
      <c r="EG231" t="str">
        <f t="shared" si="1757"/>
        <v/>
      </c>
      <c r="EH231" t="str">
        <f t="shared" si="1758"/>
        <v/>
      </c>
      <c r="EI231" t="str">
        <f t="shared" si="1759"/>
        <v/>
      </c>
      <c r="EJ231" t="str">
        <f t="shared" si="1760"/>
        <v/>
      </c>
      <c r="EK231" t="str">
        <f t="shared" si="1761"/>
        <v/>
      </c>
      <c r="EL231" t="str">
        <f t="shared" si="1762"/>
        <v/>
      </c>
      <c r="EM231" t="str">
        <f t="shared" si="1763"/>
        <v/>
      </c>
      <c r="EN231" t="str">
        <f t="shared" si="1764"/>
        <v/>
      </c>
      <c r="EO231" t="str">
        <f t="shared" si="1765"/>
        <v/>
      </c>
      <c r="EP231" t="str">
        <f t="shared" si="1766"/>
        <v/>
      </c>
      <c r="EQ231" t="str">
        <f t="shared" si="1767"/>
        <v/>
      </c>
      <c r="ER231" t="str">
        <f t="shared" si="1768"/>
        <v/>
      </c>
      <c r="ES231" t="str">
        <f t="shared" si="1769"/>
        <v/>
      </c>
      <c r="ET231" t="str">
        <f t="shared" si="1770"/>
        <v/>
      </c>
      <c r="EU231" t="str">
        <f t="shared" si="1771"/>
        <v/>
      </c>
      <c r="EV231" t="str">
        <f t="shared" si="1772"/>
        <v/>
      </c>
      <c r="EW231" t="str">
        <f t="shared" si="1773"/>
        <v/>
      </c>
      <c r="EX231" t="str">
        <f t="shared" si="1774"/>
        <v/>
      </c>
      <c r="EY231" t="str">
        <f t="shared" si="1775"/>
        <v/>
      </c>
    </row>
    <row r="232" spans="1:155" ht="13.9" customHeight="1" x14ac:dyDescent="0.25">
      <c r="A232" s="7"/>
      <c r="B232" s="17"/>
      <c r="C232" s="8"/>
      <c r="D232" s="17"/>
      <c r="E232" s="8"/>
      <c r="F232" s="18">
        <v>0</v>
      </c>
      <c r="G232" s="7" t="s">
        <v>147</v>
      </c>
      <c r="H232" s="18">
        <v>0</v>
      </c>
      <c r="I232" s="19">
        <v>0</v>
      </c>
      <c r="J232" s="7" t="s">
        <v>147</v>
      </c>
      <c r="K232" s="19">
        <v>0</v>
      </c>
      <c r="L232" s="9"/>
      <c r="M232" s="3" t="str">
        <f>IF($L232="","",IF($L232="DOELPUNTENMAKERS","",IF(AND(COUNTIF(#REF!,$B232)=0,COUNTIF(#REF!,$D232)=0),"OK",IF($O232&gt;20,"LET OP: meer dan 20 items (controle onvolledig)",IF((COUNTIF($R232:$AS232,"ONZEKER")+COUNTIF($CJ232:$DK232,"ONZEKER"))&gt;0,"LET OP: scoreverloop onduidelijk (controle beperkt)",IF((IF($AT232&lt;&gt;"",$AT232&amp;", ","")&amp;IF($AU232&lt;&gt;"",$AU232&amp;", ","")&amp;IF($AV232&lt;&gt;"",$AV232&amp;", ","")&amp;IF($AW232&lt;&gt;"",$AW232&amp;", ","")&amp;IF($AX232&lt;&gt;"",$AX232&amp;", ","")&amp;IF($AY232&lt;&gt;"",$AY232&amp;", ","")&amp;IF($AZ232&lt;&gt;"",$AZ232&amp;", ","")&amp;IF($BA232&lt;&gt;"",$BA232&amp;", ","")&amp;IF($BB232&lt;&gt;"",$BB232&amp;", ","")&amp;IF($BC232&lt;&gt;"",$BC232&amp;", ","")&amp;IF($DL232&lt;&gt;"",$DL232&amp;", ","")&amp;IF($DM232&lt;&gt;"",$DM232&amp;", ","")&amp;IF($DN232&lt;&gt;"",$DN232&amp;", ","")&amp;IF($DO232&lt;&gt;"",$DO232&amp;", ","")&amp;IF($DP232&lt;&gt;"",$DP232&amp;", ","")&amp;IF($DQ232&lt;&gt;"",$DQ232&amp;", ","")&amp;IF($DR232&lt;&gt;"",$DR232&amp;", ","")&amp;IF($DS232&lt;&gt;"",$DS232&amp;", ","")&amp;IF($DT232&lt;&gt;"",$DT232&amp;", ","")&amp;IF($DU232&lt;&gt;"",$DU232&amp;", ",""))="","OK","Onbekend: "&amp;LEFT((IF($AT232&lt;&gt;"",$AT232&amp;", ","")&amp;IF($AU232&lt;&gt;"",$AU232&amp;", ","")&amp;IF($AV232&lt;&gt;"",$AV232&amp;", ","")&amp;IF($AW232&lt;&gt;"",$AW232&amp;", ","")&amp;IF($AX232&lt;&gt;"",$AX232&amp;", ","")&amp;IF($AY232&lt;&gt;"",$AY232&amp;", ","")&amp;IF($AZ232&lt;&gt;"",$AZ232&amp;", ","")&amp;IF($BA232&lt;&gt;"",$BA232&amp;", ","")&amp;IF($BB232&lt;&gt;"",$BB232&amp;", ","")&amp;IF($BC232&lt;&gt;"",$BC232&amp;", ","")&amp;IF($DL232&lt;&gt;"",$DL232&amp;", ","")&amp;IF($DM232&lt;&gt;"",$DM232&amp;", ","")&amp;IF($DN232&lt;&gt;"",$DN232&amp;", ","")&amp;IF($DO232&lt;&gt;"",$DO232&amp;", ","")&amp;IF($DP232&lt;&gt;"",$DP232&amp;", ","")&amp;IF($DQ232&lt;&gt;"",$DQ232&amp;", ","")&amp;IF($DR232&lt;&gt;"",$DR232&amp;", ","")&amp;IF($DS232&lt;&gt;"",$DS232&amp;", ","")&amp;IF($DT232&lt;&gt;"",$DT232&amp;", ","")&amp;IF($DU232&lt;&gt;"",$DU232&amp;", ","")),LEN((IF($AT232&lt;&gt;"",$AT232&amp;", ","")&amp;IF($AU232&lt;&gt;"",$AU232&amp;", ","")&amp;IF($AV232&lt;&gt;"",$AV232&amp;", ","")&amp;IF($AW232&lt;&gt;"",$AW232&amp;", ","")&amp;IF($AX232&lt;&gt;"",$AX232&amp;", ","")&amp;IF($AY232&lt;&gt;"",$AY232&amp;", ","")&amp;IF($AZ232&lt;&gt;"",$AZ232&amp;", ","")&amp;IF($BA232&lt;&gt;"",$BA232&amp;", ","")&amp;IF($BB232&lt;&gt;"",$BB232&amp;", ","")&amp;IF($BC232&lt;&gt;"",$BC232&amp;", ","")&amp;IF($DL232&lt;&gt;"",$DL232&amp;", ","")&amp;IF($DM232&lt;&gt;"",$DM232&amp;", ","")&amp;IF($DN232&lt;&gt;"",$DN232&amp;", ","")&amp;IF($DO232&lt;&gt;"",$DO232&amp;", ","")&amp;IF($DP232&lt;&gt;"",$DP232&amp;", ","")&amp;IF($DQ232&lt;&gt;"",$DQ232&amp;", ","")&amp;IF($DR232&lt;&gt;"",$DR232&amp;", ","")&amp;IF($DS232&lt;&gt;"",$DS232&amp;", ","")&amp;IF($DT232&lt;&gt;"",$DT232&amp;", ","")&amp;IF($DU232&lt;&gt;"",$DU232&amp;", ","")))-2)))))))</f>
        <v/>
      </c>
      <c r="N232" t="str">
        <f t="shared" si="1684"/>
        <v/>
      </c>
      <c r="O232" t="str">
        <f t="shared" si="1685"/>
        <v/>
      </c>
      <c r="P232" t="str">
        <f t="shared" si="1686"/>
        <v/>
      </c>
      <c r="Q232" t="str">
        <f t="shared" si="1687"/>
        <v/>
      </c>
      <c r="R232" t="str">
        <f>IF($Q232="","",IF(OR($BE232="",$BF232=""),"ONZEKER",IF(AND($BE232=0+1,$BF232=0),IF(OR(COUNTIF(#REF!,$B232)&gt;0,COUNTIF(#REF!,$B232)=0),"SKIP",IF(COUNTIFS(#REF!,$B232,#REF!,$Q232)&gt;0,"OK","ONBEKEND")),IF(AND($BE232=0,$BF232=0+1),IF(OR(COUNTIF(#REF!,$D232)&gt;0,COUNTIF(#REF!,$D232)=0),"SKIP",IF(COUNTIFS(#REF!,$D232,#REF!,$Q232)&gt;0,"OK","ONBEKEND")),"ONZEKER"))))</f>
        <v/>
      </c>
      <c r="S232" t="str">
        <f t="shared" si="1688"/>
        <v/>
      </c>
      <c r="T232" t="str">
        <f t="shared" si="1689"/>
        <v/>
      </c>
      <c r="U232" t="str">
        <f>IF($T232="","",IF(OR($BH232="",$BI232=""),"ONZEKER",IF(OR($BE232="",$BF232=""),"ONZEKER",IF(AND($BH232=$BE232+1,$BI232=$BF232),IF(OR(COUNTIF(#REF!,$B232)&gt;0,COUNTIF(#REF!,$B232)=0),"SKIP",IF(COUNTIFS(#REF!,$B232,#REF!,$T232)&gt;0,"OK","ONBEKEND")),IF(AND($BH232=$BE232,$BI232=$BF232+1),IF(OR(COUNTIF(#REF!,$D232)&gt;0,COUNTIF(#REF!,$D232)=0),"SKIP",IF(COUNTIFS(#REF!,$D232,#REF!,$T232)&gt;0,"OK","ONBEKEND")),"ONZEKER")))))</f>
        <v/>
      </c>
      <c r="V232" t="str">
        <f t="shared" si="1690"/>
        <v/>
      </c>
      <c r="W232" t="str">
        <f t="shared" si="1691"/>
        <v/>
      </c>
      <c r="X232" t="str">
        <f>IF($W232="","",IF(OR($BK232="",$BL232=""),"ONZEKER",IF(OR($BH232="",$BI232=""),"ONZEKER",IF(AND($BK232=$BH232+1,$BL232=$BI232),IF(OR(COUNTIF(#REF!,$B232)&gt;0,COUNTIF(#REF!,$B232)=0),"SKIP",IF(COUNTIFS(#REF!,$B232,#REF!,$W232)&gt;0,"OK","ONBEKEND")),IF(AND($BK232=$BH232,$BL232=$BI232+1),IF(OR(COUNTIF(#REF!,$D232)&gt;0,COUNTIF(#REF!,$D232)=0),"SKIP",IF(COUNTIFS(#REF!,$D232,#REF!,$W232)&gt;0,"OK","ONBEKEND")),"ONZEKER")))))</f>
        <v/>
      </c>
      <c r="Y232" t="str">
        <f t="shared" si="1692"/>
        <v/>
      </c>
      <c r="Z232" t="str">
        <f t="shared" si="1693"/>
        <v/>
      </c>
      <c r="AA232" t="str">
        <f>IF($Z232="","",IF(OR($BN232="",$BO232=""),"ONZEKER",IF(OR($BK232="",$BL232=""),"ONZEKER",IF(AND($BN232=$BK232+1,$BO232=$BL232),IF(OR(COUNTIF(#REF!,$B232)&gt;0,COUNTIF(#REF!,$B232)=0),"SKIP",IF(COUNTIFS(#REF!,$B232,#REF!,$Z232)&gt;0,"OK","ONBEKEND")),IF(AND($BN232=$BK232,$BO232=$BL232+1),IF(OR(COUNTIF(#REF!,$D232)&gt;0,COUNTIF(#REF!,$D232)=0),"SKIP",IF(COUNTIFS(#REF!,$D232,#REF!,$Z232)&gt;0,"OK","ONBEKEND")),"ONZEKER")))))</f>
        <v/>
      </c>
      <c r="AB232" t="str">
        <f t="shared" si="1694"/>
        <v/>
      </c>
      <c r="AC232" t="str">
        <f t="shared" si="1695"/>
        <v/>
      </c>
      <c r="AD232" t="str">
        <f>IF($AC232="","",IF(OR($BQ232="",$BR232=""),"ONZEKER",IF(OR($BN232="",$BO232=""),"ONZEKER",IF(AND($BQ232=$BN232+1,$BR232=$BO232),IF(OR(COUNTIF(#REF!,$B232)&gt;0,COUNTIF(#REF!,$B232)=0),"SKIP",IF(COUNTIFS(#REF!,$B232,#REF!,$AC232)&gt;0,"OK","ONBEKEND")),IF(AND($BQ232=$BN232,$BR232=$BO232+1),IF(OR(COUNTIF(#REF!,$D232)&gt;0,COUNTIF(#REF!,$D232)=0),"SKIP",IF(COUNTIFS(#REF!,$D232,#REF!,$AC232)&gt;0,"OK","ONBEKEND")),"ONZEKER")))))</f>
        <v/>
      </c>
      <c r="AE232" t="str">
        <f t="shared" si="1696"/>
        <v/>
      </c>
      <c r="AF232" t="str">
        <f t="shared" si="1697"/>
        <v/>
      </c>
      <c r="AG232" t="str">
        <f>IF($AF232="","",IF(OR($BT232="",$BU232=""),"ONZEKER",IF(OR($BQ232="",$BR232=""),"ONZEKER",IF(AND($BT232=$BQ232+1,$BU232=$BR232),IF(OR(COUNTIF(#REF!,$B232)&gt;0,COUNTIF(#REF!,$B232)=0),"SKIP",IF(COUNTIFS(#REF!,$B232,#REF!,$AF232)&gt;0,"OK","ONBEKEND")),IF(AND($BT232=$BQ232,$BU232=$BR232+1),IF(OR(COUNTIF(#REF!,$D232)&gt;0,COUNTIF(#REF!,$D232)=0),"SKIP",IF(COUNTIFS(#REF!,$D232,#REF!,$AF232)&gt;0,"OK","ONBEKEND")),"ONZEKER")))))</f>
        <v/>
      </c>
      <c r="AH232" t="str">
        <f t="shared" si="1698"/>
        <v/>
      </c>
      <c r="AI232" t="str">
        <f t="shared" si="1699"/>
        <v/>
      </c>
      <c r="AJ232" t="str">
        <f>IF($AI232="","",IF(OR($BW232="",$BX232=""),"ONZEKER",IF(OR($BT232="",$BU232=""),"ONZEKER",IF(AND($BW232=$BT232+1,$BX232=$BU232),IF(OR(COUNTIF(#REF!,$B232)&gt;0,COUNTIF(#REF!,$B232)=0),"SKIP",IF(COUNTIFS(#REF!,$B232,#REF!,$AI232)&gt;0,"OK","ONBEKEND")),IF(AND($BW232=$BT232,$BX232=$BU232+1),IF(OR(COUNTIF(#REF!,$D232)&gt;0,COUNTIF(#REF!,$D232)=0),"SKIP",IF(COUNTIFS(#REF!,$D232,#REF!,$AI232)&gt;0,"OK","ONBEKEND")),"ONZEKER")))))</f>
        <v/>
      </c>
      <c r="AK232" t="str">
        <f t="shared" si="1700"/>
        <v/>
      </c>
      <c r="AL232" t="str">
        <f t="shared" si="1701"/>
        <v/>
      </c>
      <c r="AM232" t="str">
        <f>IF($AL232="","",IF(OR($BZ232="",$CA232=""),"ONZEKER",IF(OR($BW232="",$BX232=""),"ONZEKER",IF(AND($BZ232=$BW232+1,$CA232=$BX232),IF(OR(COUNTIF(#REF!,$B232)&gt;0,COUNTIF(#REF!,$B232)=0),"SKIP",IF(COUNTIFS(#REF!,$B232,#REF!,$AL232)&gt;0,"OK","ONBEKEND")),IF(AND($BZ232=$BW232,$CA232=$BX232+1),IF(OR(COUNTIF(#REF!,$D232)&gt;0,COUNTIF(#REF!,$D232)=0),"SKIP",IF(COUNTIFS(#REF!,$D232,#REF!,$AL232)&gt;0,"OK","ONBEKEND")),"ONZEKER")))))</f>
        <v/>
      </c>
      <c r="AN232" t="str">
        <f t="shared" si="1702"/>
        <v/>
      </c>
      <c r="AO232" t="str">
        <f t="shared" si="1703"/>
        <v/>
      </c>
      <c r="AP232" t="str">
        <f>IF($AO232="","",IF(OR($CC232="",$CD232=""),"ONZEKER",IF(OR($BZ232="",$CA232=""),"ONZEKER",IF(AND($CC232=$BZ232+1,$CD232=$CA232),IF(OR(COUNTIF(#REF!,$B232)&gt;0,COUNTIF(#REF!,$B232)=0),"SKIP",IF(COUNTIFS(#REF!,$B232,#REF!,$AO232)&gt;0,"OK","ONBEKEND")),IF(AND($CC232=$BZ232,$CD232=$CA232+1),IF(OR(COUNTIF(#REF!,$D232)&gt;0,COUNTIF(#REF!,$D232)=0),"SKIP",IF(COUNTIFS(#REF!,$D232,#REF!,$AO232)&gt;0,"OK","ONBEKEND")),"ONZEKER")))))</f>
        <v/>
      </c>
      <c r="AQ232" t="str">
        <f t="shared" si="1704"/>
        <v/>
      </c>
      <c r="AR232" t="str">
        <f t="shared" si="1705"/>
        <v/>
      </c>
      <c r="AS232" t="str">
        <f>IF($AR232="","",IF(OR($CF232="",$CG232=""),"ONZEKER",IF(OR($CC232="",$CD232=""),"ONZEKER",IF(AND($CF232=$CC232+1,$CG232=$CD232),IF(OR(COUNTIF(#REF!,$B232)&gt;0,COUNTIF(#REF!,$B232)=0),"SKIP",IF(COUNTIFS(#REF!,$B232,#REF!,$AR232)&gt;0,"OK","ONBEKEND")),IF(AND($CF232=$CC232,$CG232=$CD232+1),IF(OR(COUNTIF(#REF!,$D232)&gt;0,COUNTIF(#REF!,$D232)=0),"SKIP",IF(COUNTIFS(#REF!,$D232,#REF!,$AR232)&gt;0,"OK","ONBEKEND")),"ONZEKER")))))</f>
        <v/>
      </c>
      <c r="AT232" t="str">
        <f t="shared" si="1706"/>
        <v/>
      </c>
      <c r="AU232" t="str">
        <f t="shared" si="1707"/>
        <v/>
      </c>
      <c r="AV232" t="str">
        <f t="shared" si="1708"/>
        <v/>
      </c>
      <c r="AW232" t="str">
        <f t="shared" si="1709"/>
        <v/>
      </c>
      <c r="AX232" t="str">
        <f t="shared" si="1710"/>
        <v/>
      </c>
      <c r="AY232" t="str">
        <f t="shared" si="1711"/>
        <v/>
      </c>
      <c r="AZ232" t="str">
        <f t="shared" si="1712"/>
        <v/>
      </c>
      <c r="BA232" t="str">
        <f t="shared" si="1713"/>
        <v/>
      </c>
      <c r="BB232" t="str">
        <f t="shared" si="1714"/>
        <v/>
      </c>
      <c r="BC232" t="str">
        <f t="shared" si="1715"/>
        <v/>
      </c>
      <c r="BD232" t="str">
        <f t="shared" si="1470"/>
        <v/>
      </c>
      <c r="BE232" t="str">
        <f t="shared" si="1471"/>
        <v/>
      </c>
      <c r="BF232" t="str">
        <f t="shared" si="1472"/>
        <v/>
      </c>
      <c r="BG232" t="str">
        <f t="shared" si="1473"/>
        <v/>
      </c>
      <c r="BH232" t="str">
        <f t="shared" si="1474"/>
        <v/>
      </c>
      <c r="BI232" t="str">
        <f t="shared" si="1475"/>
        <v/>
      </c>
      <c r="BJ232" t="str">
        <f t="shared" si="1476"/>
        <v/>
      </c>
      <c r="BK232" t="str">
        <f t="shared" si="1477"/>
        <v/>
      </c>
      <c r="BL232" t="str">
        <f t="shared" si="1478"/>
        <v/>
      </c>
      <c r="BM232" t="str">
        <f t="shared" si="1479"/>
        <v/>
      </c>
      <c r="BN232" t="str">
        <f t="shared" si="1480"/>
        <v/>
      </c>
      <c r="BO232" t="str">
        <f t="shared" si="1481"/>
        <v/>
      </c>
      <c r="BP232" t="str">
        <f t="shared" si="1482"/>
        <v/>
      </c>
      <c r="BQ232" t="str">
        <f t="shared" si="1483"/>
        <v/>
      </c>
      <c r="BR232" t="str">
        <f t="shared" si="1484"/>
        <v/>
      </c>
      <c r="BS232" t="str">
        <f t="shared" si="1485"/>
        <v/>
      </c>
      <c r="BT232" t="str">
        <f t="shared" si="1486"/>
        <v/>
      </c>
      <c r="BU232" t="str">
        <f t="shared" si="1487"/>
        <v/>
      </c>
      <c r="BV232" t="str">
        <f t="shared" si="1488"/>
        <v/>
      </c>
      <c r="BW232" t="str">
        <f t="shared" si="1489"/>
        <v/>
      </c>
      <c r="BX232" t="str">
        <f t="shared" si="1490"/>
        <v/>
      </c>
      <c r="BY232" t="str">
        <f t="shared" si="1491"/>
        <v/>
      </c>
      <c r="BZ232" t="str">
        <f t="shared" si="1492"/>
        <v/>
      </c>
      <c r="CA232" t="str">
        <f t="shared" si="1493"/>
        <v/>
      </c>
      <c r="CB232" t="str">
        <f t="shared" si="1494"/>
        <v/>
      </c>
      <c r="CC232" t="str">
        <f t="shared" si="1495"/>
        <v/>
      </c>
      <c r="CD232" t="str">
        <f t="shared" si="1496"/>
        <v/>
      </c>
      <c r="CE232" t="str">
        <f t="shared" si="1497"/>
        <v/>
      </c>
      <c r="CF232" t="str">
        <f t="shared" si="1498"/>
        <v/>
      </c>
      <c r="CG232" t="str">
        <f t="shared" si="1499"/>
        <v/>
      </c>
      <c r="CH232" t="str">
        <f t="shared" si="1716"/>
        <v/>
      </c>
      <c r="CI232" t="str">
        <f t="shared" si="1717"/>
        <v/>
      </c>
      <c r="CJ232" t="str">
        <f>IF($CI232="","",IF(OR($DW232="",$DX232=""),"ONZEKER",IF(OR($CF232="",$CG232=""),"ONZEKER",IF(AND($DW232=$CF232+1,$DX232=$CG232),IF(OR(COUNTIF(#REF!,$B232)&gt;0,COUNTIF(#REF!,$B232)=0),"SKIP",IF(COUNTIFS(#REF!,$B232,#REF!,$CI232)&gt;0,"OK","ONBEKEND")),IF(AND($DW232=$CF232,$DX232=$CG232+1),IF(OR(COUNTIF(#REF!,$D232)&gt;0,COUNTIF(#REF!,$D232)=0),"SKIP",IF(COUNTIFS(#REF!,$D232,#REF!,$CI232)&gt;0,"OK","ONBEKEND")),"ONZEKER")))))</f>
        <v/>
      </c>
      <c r="CK232" t="str">
        <f t="shared" si="1718"/>
        <v/>
      </c>
      <c r="CL232" t="str">
        <f t="shared" si="1719"/>
        <v/>
      </c>
      <c r="CM232" t="str">
        <f>IF($CL232="","",IF(OR($DZ232="",$EA232=""),"ONZEKER",IF(OR($DW232="",$DX232=""),"ONZEKER",IF(AND($DZ232=$DW232+1,$EA232=$DX232),IF(OR(COUNTIF(#REF!,$B232)&gt;0,COUNTIF(#REF!,$B232)=0),"SKIP",IF(COUNTIFS(#REF!,$B232,#REF!,$CL232)&gt;0,"OK","ONBEKEND")),IF(AND($DZ232=$DW232,$EA232=$DX232+1),IF(OR(COUNTIF(#REF!,$D232)&gt;0,COUNTIF(#REF!,$D232)=0),"SKIP",IF(COUNTIFS(#REF!,$D232,#REF!,$CL232)&gt;0,"OK","ONBEKEND")),"ONZEKER")))))</f>
        <v/>
      </c>
      <c r="CN232" t="str">
        <f t="shared" si="1720"/>
        <v/>
      </c>
      <c r="CO232" t="str">
        <f t="shared" si="1721"/>
        <v/>
      </c>
      <c r="CP232" t="str">
        <f>IF($CO232="","",IF(OR($EC232="",$ED232=""),"ONZEKER",IF(OR($DZ232="",$EA232=""),"ONZEKER",IF(AND($EC232=$DZ232+1,$ED232=$EA232),IF(OR(COUNTIF(#REF!,$B232)&gt;0,COUNTIF(#REF!,$B232)=0),"SKIP",IF(COUNTIFS(#REF!,$B232,#REF!,$CO232)&gt;0,"OK","ONBEKEND")),IF(AND($EC232=$DZ232,$ED232=$EA232+1),IF(OR(COUNTIF(#REF!,$D232)&gt;0,COUNTIF(#REF!,$D232)=0),"SKIP",IF(COUNTIFS(#REF!,$D232,#REF!,$CO232)&gt;0,"OK","ONBEKEND")),"ONZEKER")))))</f>
        <v/>
      </c>
      <c r="CQ232" t="str">
        <f t="shared" si="1722"/>
        <v/>
      </c>
      <c r="CR232" t="str">
        <f t="shared" si="1723"/>
        <v/>
      </c>
      <c r="CS232" t="str">
        <f>IF($CR232="","",IF(OR($EF232="",$EG232=""),"ONZEKER",IF(OR($EC232="",$ED232=""),"ONZEKER",IF(AND($EF232=$EC232+1,$EG232=$ED232),IF(OR(COUNTIF(#REF!,$B232)&gt;0,COUNTIF(#REF!,$B232)=0),"SKIP",IF(COUNTIFS(#REF!,$B232,#REF!,$CR232)&gt;0,"OK","ONBEKEND")),IF(AND($EF232=$EC232,$EG232=$ED232+1),IF(OR(COUNTIF(#REF!,$D232)&gt;0,COUNTIF(#REF!,$D232)=0),"SKIP",IF(COUNTIFS(#REF!,$D232,#REF!,$CR232)&gt;0,"OK","ONBEKEND")),"ONZEKER")))))</f>
        <v/>
      </c>
      <c r="CT232" t="str">
        <f t="shared" si="1724"/>
        <v/>
      </c>
      <c r="CU232" t="str">
        <f t="shared" si="1725"/>
        <v/>
      </c>
      <c r="CV232" t="str">
        <f>IF($CU232="","",IF(OR($EI232="",$EJ232=""),"ONZEKER",IF(OR($EF232="",$EG232=""),"ONZEKER",IF(AND($EI232=$EF232+1,$EJ232=$EG232),IF(OR(COUNTIF(#REF!,$B232)&gt;0,COUNTIF(#REF!,$B232)=0),"SKIP",IF(COUNTIFS(#REF!,$B232,#REF!,$CU232)&gt;0,"OK","ONBEKEND")),IF(AND($EI232=$EF232,$EJ232=$EG232+1),IF(OR(COUNTIF(#REF!,$D232)&gt;0,COUNTIF(#REF!,$D232)=0),"SKIP",IF(COUNTIFS(#REF!,$D232,#REF!,$CU232)&gt;0,"OK","ONBEKEND")),"ONZEKER")))))</f>
        <v/>
      </c>
      <c r="CW232" t="str">
        <f t="shared" si="1726"/>
        <v/>
      </c>
      <c r="CX232" t="str">
        <f t="shared" si="1727"/>
        <v/>
      </c>
      <c r="CY232" t="str">
        <f>IF($CX232="","",IF(OR($EL232="",$EM232=""),"ONZEKER",IF(OR($EI232="",$EJ232=""),"ONZEKER",IF(AND($EL232=$EI232+1,$EM232=$EJ232),IF(OR(COUNTIF(#REF!,$B232)&gt;0,COUNTIF(#REF!,$B232)=0),"SKIP",IF(COUNTIFS(#REF!,$B232,#REF!,$CX232)&gt;0,"OK","ONBEKEND")),IF(AND($EL232=$EI232,$EM232=$EJ232+1),IF(OR(COUNTIF(#REF!,$D232)&gt;0,COUNTIF(#REF!,$D232)=0),"SKIP",IF(COUNTIFS(#REF!,$D232,#REF!,$CX232)&gt;0,"OK","ONBEKEND")),"ONZEKER")))))</f>
        <v/>
      </c>
      <c r="CZ232" t="str">
        <f t="shared" si="1728"/>
        <v/>
      </c>
      <c r="DA232" t="str">
        <f t="shared" si="1729"/>
        <v/>
      </c>
      <c r="DB232" t="str">
        <f>IF($DA232="","",IF(OR($EO232="",$EP232=""),"ONZEKER",IF(OR($EL232="",$EM232=""),"ONZEKER",IF(AND($EO232=$EL232+1,$EP232=$EM232),IF(OR(COUNTIF(#REF!,$B232)&gt;0,COUNTIF(#REF!,$B232)=0),"SKIP",IF(COUNTIFS(#REF!,$B232,#REF!,$DA232)&gt;0,"OK","ONBEKEND")),IF(AND($EO232=$EL232,$EP232=$EM232+1),IF(OR(COUNTIF(#REF!,$D232)&gt;0,COUNTIF(#REF!,$D232)=0),"SKIP",IF(COUNTIFS(#REF!,$D232,#REF!,$DA232)&gt;0,"OK","ONBEKEND")),"ONZEKER")))))</f>
        <v/>
      </c>
      <c r="DC232" t="str">
        <f t="shared" si="1730"/>
        <v/>
      </c>
      <c r="DD232" t="str">
        <f t="shared" si="1731"/>
        <v/>
      </c>
      <c r="DE232" t="str">
        <f>IF($DD232="","",IF(OR($ER232="",$ES232=""),"ONZEKER",IF(OR($EO232="",$EP232=""),"ONZEKER",IF(AND($ER232=$EO232+1,$ES232=$EP232),IF(OR(COUNTIF(#REF!,$B232)&gt;0,COUNTIF(#REF!,$B232)=0),"SKIP",IF(COUNTIFS(#REF!,$B232,#REF!,$DD232)&gt;0,"OK","ONBEKEND")),IF(AND($ER232=$EO232,$ES232=$EP232+1),IF(OR(COUNTIF(#REF!,$D232)&gt;0,COUNTIF(#REF!,$D232)=0),"SKIP",IF(COUNTIFS(#REF!,$D232,#REF!,$DD232)&gt;0,"OK","ONBEKEND")),"ONZEKER")))))</f>
        <v/>
      </c>
      <c r="DF232" t="str">
        <f t="shared" si="1732"/>
        <v/>
      </c>
      <c r="DG232" t="str">
        <f t="shared" si="1733"/>
        <v/>
      </c>
      <c r="DH232" t="str">
        <f>IF($DG232="","",IF(OR($EU232="",$EV232=""),"ONZEKER",IF(OR($ER232="",$ES232=""),"ONZEKER",IF(AND($EU232=$ER232+1,$EV232=$ES232),IF(OR(COUNTIF(#REF!,$B232)&gt;0,COUNTIF(#REF!,$B232)=0),"SKIP",IF(COUNTIFS(#REF!,$B232,#REF!,$DG232)&gt;0,"OK","ONBEKEND")),IF(AND($EU232=$ER232,$EV232=$ES232+1),IF(OR(COUNTIF(#REF!,$D232)&gt;0,COUNTIF(#REF!,$D232)=0),"SKIP",IF(COUNTIFS(#REF!,$D232,#REF!,$DG232)&gt;0,"OK","ONBEKEND")),"ONZEKER")))))</f>
        <v/>
      </c>
      <c r="DI232" t="str">
        <f t="shared" si="1734"/>
        <v/>
      </c>
      <c r="DJ232" t="str">
        <f t="shared" si="1735"/>
        <v/>
      </c>
      <c r="DK232" t="str">
        <f>IF($DJ232="","",IF(OR($EX232="",$EY232=""),"ONZEKER",IF(OR($EU232="",$EV232=""),"ONZEKER",IF(AND($EX232=$EU232+1,$EY232=$EV232),IF(OR(COUNTIF(#REF!,$B232)&gt;0,COUNTIF(#REF!,$B232)=0),"SKIP",IF(COUNTIFS(#REF!,$B232,#REF!,$DJ232)&gt;0,"OK","ONBEKEND")),IF(AND($EX232=$EU232,$EY232=$EV232+1),IF(OR(COUNTIF(#REF!,$D232)&gt;0,COUNTIF(#REF!,$D232)=0),"SKIP",IF(COUNTIFS(#REF!,$D232,#REF!,$DJ232)&gt;0,"OK","ONBEKEND")),"ONZEKER")))))</f>
        <v/>
      </c>
      <c r="DL232" t="str">
        <f t="shared" si="1736"/>
        <v/>
      </c>
      <c r="DM232" t="str">
        <f t="shared" si="1737"/>
        <v/>
      </c>
      <c r="DN232" t="str">
        <f t="shared" si="1738"/>
        <v/>
      </c>
      <c r="DO232" t="str">
        <f t="shared" si="1739"/>
        <v/>
      </c>
      <c r="DP232" t="str">
        <f t="shared" si="1740"/>
        <v/>
      </c>
      <c r="DQ232" t="str">
        <f t="shared" si="1741"/>
        <v/>
      </c>
      <c r="DR232" t="str">
        <f t="shared" si="1742"/>
        <v/>
      </c>
      <c r="DS232" t="str">
        <f t="shared" si="1743"/>
        <v/>
      </c>
      <c r="DT232" t="str">
        <f t="shared" si="1744"/>
        <v/>
      </c>
      <c r="DU232" t="str">
        <f t="shared" si="1745"/>
        <v/>
      </c>
      <c r="DV232" t="str">
        <f t="shared" si="1746"/>
        <v/>
      </c>
      <c r="DW232" t="str">
        <f t="shared" si="1747"/>
        <v/>
      </c>
      <c r="DX232" t="str">
        <f t="shared" si="1748"/>
        <v/>
      </c>
      <c r="DY232" t="str">
        <f t="shared" si="1749"/>
        <v/>
      </c>
      <c r="DZ232" t="str">
        <f t="shared" si="1750"/>
        <v/>
      </c>
      <c r="EA232" t="str">
        <f t="shared" si="1751"/>
        <v/>
      </c>
      <c r="EB232" t="str">
        <f t="shared" si="1752"/>
        <v/>
      </c>
      <c r="EC232" t="str">
        <f t="shared" si="1753"/>
        <v/>
      </c>
      <c r="ED232" t="str">
        <f t="shared" si="1754"/>
        <v/>
      </c>
      <c r="EE232" t="str">
        <f t="shared" si="1755"/>
        <v/>
      </c>
      <c r="EF232" t="str">
        <f t="shared" si="1756"/>
        <v/>
      </c>
      <c r="EG232" t="str">
        <f t="shared" si="1757"/>
        <v/>
      </c>
      <c r="EH232" t="str">
        <f t="shared" si="1758"/>
        <v/>
      </c>
      <c r="EI232" t="str">
        <f t="shared" si="1759"/>
        <v/>
      </c>
      <c r="EJ232" t="str">
        <f t="shared" si="1760"/>
        <v/>
      </c>
      <c r="EK232" t="str">
        <f t="shared" si="1761"/>
        <v/>
      </c>
      <c r="EL232" t="str">
        <f t="shared" si="1762"/>
        <v/>
      </c>
      <c r="EM232" t="str">
        <f t="shared" si="1763"/>
        <v/>
      </c>
      <c r="EN232" t="str">
        <f t="shared" si="1764"/>
        <v/>
      </c>
      <c r="EO232" t="str">
        <f t="shared" si="1765"/>
        <v/>
      </c>
      <c r="EP232" t="str">
        <f t="shared" si="1766"/>
        <v/>
      </c>
      <c r="EQ232" t="str">
        <f t="shared" si="1767"/>
        <v/>
      </c>
      <c r="ER232" t="str">
        <f t="shared" si="1768"/>
        <v/>
      </c>
      <c r="ES232" t="str">
        <f t="shared" si="1769"/>
        <v/>
      </c>
      <c r="ET232" t="str">
        <f t="shared" si="1770"/>
        <v/>
      </c>
      <c r="EU232" t="str">
        <f t="shared" si="1771"/>
        <v/>
      </c>
      <c r="EV232" t="str">
        <f t="shared" si="1772"/>
        <v/>
      </c>
      <c r="EW232" t="str">
        <f t="shared" si="1773"/>
        <v/>
      </c>
      <c r="EX232" t="str">
        <f t="shared" si="1774"/>
        <v/>
      </c>
      <c r="EY232" t="str">
        <f t="shared" si="1775"/>
        <v/>
      </c>
    </row>
    <row r="233" spans="1:155" ht="13.9" customHeight="1" x14ac:dyDescent="0.25">
      <c r="M233" s="3" t="str">
        <f>IF($L233="","",IF($L233="DOELPUNTENMAKERS","",IF(AND(COUNTIF(#REF!,$B233)=0,COUNTIF(#REF!,$D233)=0),"OK",IF($O233&gt;20,"LET OP: meer dan 20 items (controle onvolledig)",IF((COUNTIF($R233:$AS233,"ONZEKER")+COUNTIF($CJ233:$DK233,"ONZEKER"))&gt;0,"LET OP: scoreverloop onduidelijk (controle beperkt)",IF((IF($AT233&lt;&gt;"",$AT233&amp;", ","")&amp;IF($AU233&lt;&gt;"",$AU233&amp;", ","")&amp;IF($AV233&lt;&gt;"",$AV233&amp;", ","")&amp;IF($AW233&lt;&gt;"",$AW233&amp;", ","")&amp;IF($AX233&lt;&gt;"",$AX233&amp;", ","")&amp;IF($AY233&lt;&gt;"",$AY233&amp;", ","")&amp;IF($AZ233&lt;&gt;"",$AZ233&amp;", ","")&amp;IF($BA233&lt;&gt;"",$BA233&amp;", ","")&amp;IF($BB233&lt;&gt;"",$BB233&amp;", ","")&amp;IF($BC233&lt;&gt;"",$BC233&amp;", ","")&amp;IF($DL233&lt;&gt;"",$DL233&amp;", ","")&amp;IF($DM233&lt;&gt;"",$DM233&amp;", ","")&amp;IF($DN233&lt;&gt;"",$DN233&amp;", ","")&amp;IF($DO233&lt;&gt;"",$DO233&amp;", ","")&amp;IF($DP233&lt;&gt;"",$DP233&amp;", ","")&amp;IF($DQ233&lt;&gt;"",$DQ233&amp;", ","")&amp;IF($DR233&lt;&gt;"",$DR233&amp;", ","")&amp;IF($DS233&lt;&gt;"",$DS233&amp;", ","")&amp;IF($DT233&lt;&gt;"",$DT233&amp;", ","")&amp;IF($DU233&lt;&gt;"",$DU233&amp;", ",""))="","OK","Onbekend: "&amp;LEFT((IF($AT233&lt;&gt;"",$AT233&amp;", ","")&amp;IF($AU233&lt;&gt;"",$AU233&amp;", ","")&amp;IF($AV233&lt;&gt;"",$AV233&amp;", ","")&amp;IF($AW233&lt;&gt;"",$AW233&amp;", ","")&amp;IF($AX233&lt;&gt;"",$AX233&amp;", ","")&amp;IF($AY233&lt;&gt;"",$AY233&amp;", ","")&amp;IF($AZ233&lt;&gt;"",$AZ233&amp;", ","")&amp;IF($BA233&lt;&gt;"",$BA233&amp;", ","")&amp;IF($BB233&lt;&gt;"",$BB233&amp;", ","")&amp;IF($BC233&lt;&gt;"",$BC233&amp;", ","")&amp;IF($DL233&lt;&gt;"",$DL233&amp;", ","")&amp;IF($DM233&lt;&gt;"",$DM233&amp;", ","")&amp;IF($DN233&lt;&gt;"",$DN233&amp;", ","")&amp;IF($DO233&lt;&gt;"",$DO233&amp;", ","")&amp;IF($DP233&lt;&gt;"",$DP233&amp;", ","")&amp;IF($DQ233&lt;&gt;"",$DQ233&amp;", ","")&amp;IF($DR233&lt;&gt;"",$DR233&amp;", ","")&amp;IF($DS233&lt;&gt;"",$DS233&amp;", ","")&amp;IF($DT233&lt;&gt;"",$DT233&amp;", ","")&amp;IF($DU233&lt;&gt;"",$DU233&amp;", ","")),LEN((IF($AT233&lt;&gt;"",$AT233&amp;", ","")&amp;IF($AU233&lt;&gt;"",$AU233&amp;", ","")&amp;IF($AV233&lt;&gt;"",$AV233&amp;", ","")&amp;IF($AW233&lt;&gt;"",$AW233&amp;", ","")&amp;IF($AX233&lt;&gt;"",$AX233&amp;", ","")&amp;IF($AY233&lt;&gt;"",$AY233&amp;", ","")&amp;IF($AZ233&lt;&gt;"",$AZ233&amp;", ","")&amp;IF($BA233&lt;&gt;"",$BA233&amp;", ","")&amp;IF($BB233&lt;&gt;"",$BB233&amp;", ","")&amp;IF($BC233&lt;&gt;"",$BC233&amp;", ","")&amp;IF($DL233&lt;&gt;"",$DL233&amp;", ","")&amp;IF($DM233&lt;&gt;"",$DM233&amp;", ","")&amp;IF($DN233&lt;&gt;"",$DN233&amp;", ","")&amp;IF($DO233&lt;&gt;"",$DO233&amp;", ","")&amp;IF($DP233&lt;&gt;"",$DP233&amp;", ","")&amp;IF($DQ233&lt;&gt;"",$DQ233&amp;", ","")&amp;IF($DR233&lt;&gt;"",$DR233&amp;", ","")&amp;IF($DS233&lt;&gt;"",$DS233&amp;", ","")&amp;IF($DT233&lt;&gt;"",$DT233&amp;", ","")&amp;IF($DU233&lt;&gt;"",$DU233&amp;", ","")))-2)))))))</f>
        <v/>
      </c>
      <c r="N233" t="str">
        <f t="shared" si="1684"/>
        <v/>
      </c>
      <c r="O233" t="str">
        <f t="shared" si="1685"/>
        <v/>
      </c>
      <c r="P233" t="str">
        <f t="shared" si="1686"/>
        <v/>
      </c>
      <c r="Q233" t="str">
        <f t="shared" si="1687"/>
        <v/>
      </c>
      <c r="R233" t="str">
        <f>IF($Q233="","",IF(OR($BE233="",$BF233=""),"ONZEKER",IF(AND($BE233=0+1,$BF233=0),IF(OR(COUNTIF(#REF!,$B233)&gt;0,COUNTIF(#REF!,$B233)=0),"SKIP",IF(COUNTIFS(#REF!,$B233,#REF!,$Q233)&gt;0,"OK","ONBEKEND")),IF(AND($BE233=0,$BF233=0+1),IF(OR(COUNTIF(#REF!,$D233)&gt;0,COUNTIF(#REF!,$D233)=0),"SKIP",IF(COUNTIFS(#REF!,$D233,#REF!,$Q233)&gt;0,"OK","ONBEKEND")),"ONZEKER"))))</f>
        <v/>
      </c>
      <c r="S233" t="str">
        <f t="shared" si="1688"/>
        <v/>
      </c>
      <c r="T233" t="str">
        <f t="shared" si="1689"/>
        <v/>
      </c>
      <c r="U233" t="str">
        <f>IF($T233="","",IF(OR($BH233="",$BI233=""),"ONZEKER",IF(OR($BE233="",$BF233=""),"ONZEKER",IF(AND($BH233=$BE233+1,$BI233=$BF233),IF(OR(COUNTIF(#REF!,$B233)&gt;0,COUNTIF(#REF!,$B233)=0),"SKIP",IF(COUNTIFS(#REF!,$B233,#REF!,$T233)&gt;0,"OK","ONBEKEND")),IF(AND($BH233=$BE233,$BI233=$BF233+1),IF(OR(COUNTIF(#REF!,$D233)&gt;0,COUNTIF(#REF!,$D233)=0),"SKIP",IF(COUNTIFS(#REF!,$D233,#REF!,$T233)&gt;0,"OK","ONBEKEND")),"ONZEKER")))))</f>
        <v/>
      </c>
      <c r="V233" t="str">
        <f t="shared" si="1690"/>
        <v/>
      </c>
      <c r="W233" t="str">
        <f t="shared" si="1691"/>
        <v/>
      </c>
      <c r="X233" t="str">
        <f>IF($W233="","",IF(OR($BK233="",$BL233=""),"ONZEKER",IF(OR($BH233="",$BI233=""),"ONZEKER",IF(AND($BK233=$BH233+1,$BL233=$BI233),IF(OR(COUNTIF(#REF!,$B233)&gt;0,COUNTIF(#REF!,$B233)=0),"SKIP",IF(COUNTIFS(#REF!,$B233,#REF!,$W233)&gt;0,"OK","ONBEKEND")),IF(AND($BK233=$BH233,$BL233=$BI233+1),IF(OR(COUNTIF(#REF!,$D233)&gt;0,COUNTIF(#REF!,$D233)=0),"SKIP",IF(COUNTIFS(#REF!,$D233,#REF!,$W233)&gt;0,"OK","ONBEKEND")),"ONZEKER")))))</f>
        <v/>
      </c>
      <c r="Y233" t="str">
        <f t="shared" si="1692"/>
        <v/>
      </c>
      <c r="Z233" t="str">
        <f t="shared" si="1693"/>
        <v/>
      </c>
      <c r="AA233" t="str">
        <f>IF($Z233="","",IF(OR($BN233="",$BO233=""),"ONZEKER",IF(OR($BK233="",$BL233=""),"ONZEKER",IF(AND($BN233=$BK233+1,$BO233=$BL233),IF(OR(COUNTIF(#REF!,$B233)&gt;0,COUNTIF(#REF!,$B233)=0),"SKIP",IF(COUNTIFS(#REF!,$B233,#REF!,$Z233)&gt;0,"OK","ONBEKEND")),IF(AND($BN233=$BK233,$BO233=$BL233+1),IF(OR(COUNTIF(#REF!,$D233)&gt;0,COUNTIF(#REF!,$D233)=0),"SKIP",IF(COUNTIFS(#REF!,$D233,#REF!,$Z233)&gt;0,"OK","ONBEKEND")),"ONZEKER")))))</f>
        <v/>
      </c>
      <c r="AB233" t="str">
        <f t="shared" si="1694"/>
        <v/>
      </c>
      <c r="AC233" t="str">
        <f t="shared" si="1695"/>
        <v/>
      </c>
      <c r="AD233" t="str">
        <f>IF($AC233="","",IF(OR($BQ233="",$BR233=""),"ONZEKER",IF(OR($BN233="",$BO233=""),"ONZEKER",IF(AND($BQ233=$BN233+1,$BR233=$BO233),IF(OR(COUNTIF(#REF!,$B233)&gt;0,COUNTIF(#REF!,$B233)=0),"SKIP",IF(COUNTIFS(#REF!,$B233,#REF!,$AC233)&gt;0,"OK","ONBEKEND")),IF(AND($BQ233=$BN233,$BR233=$BO233+1),IF(OR(COUNTIF(#REF!,$D233)&gt;0,COUNTIF(#REF!,$D233)=0),"SKIP",IF(COUNTIFS(#REF!,$D233,#REF!,$AC233)&gt;0,"OK","ONBEKEND")),"ONZEKER")))))</f>
        <v/>
      </c>
      <c r="AE233" t="str">
        <f t="shared" si="1696"/>
        <v/>
      </c>
      <c r="AF233" t="str">
        <f t="shared" si="1697"/>
        <v/>
      </c>
      <c r="AG233" t="str">
        <f>IF($AF233="","",IF(OR($BT233="",$BU233=""),"ONZEKER",IF(OR($BQ233="",$BR233=""),"ONZEKER",IF(AND($BT233=$BQ233+1,$BU233=$BR233),IF(OR(COUNTIF(#REF!,$B233)&gt;0,COUNTIF(#REF!,$B233)=0),"SKIP",IF(COUNTIFS(#REF!,$B233,#REF!,$AF233)&gt;0,"OK","ONBEKEND")),IF(AND($BT233=$BQ233,$BU233=$BR233+1),IF(OR(COUNTIF(#REF!,$D233)&gt;0,COUNTIF(#REF!,$D233)=0),"SKIP",IF(COUNTIFS(#REF!,$D233,#REF!,$AF233)&gt;0,"OK","ONBEKEND")),"ONZEKER")))))</f>
        <v/>
      </c>
      <c r="AH233" t="str">
        <f t="shared" si="1698"/>
        <v/>
      </c>
      <c r="AI233" t="str">
        <f t="shared" si="1699"/>
        <v/>
      </c>
      <c r="AJ233" t="str">
        <f>IF($AI233="","",IF(OR($BW233="",$BX233=""),"ONZEKER",IF(OR($BT233="",$BU233=""),"ONZEKER",IF(AND($BW233=$BT233+1,$BX233=$BU233),IF(OR(COUNTIF(#REF!,$B233)&gt;0,COUNTIF(#REF!,$B233)=0),"SKIP",IF(COUNTIFS(#REF!,$B233,#REF!,$AI233)&gt;0,"OK","ONBEKEND")),IF(AND($BW233=$BT233,$BX233=$BU233+1),IF(OR(COUNTIF(#REF!,$D233)&gt;0,COUNTIF(#REF!,$D233)=0),"SKIP",IF(COUNTIFS(#REF!,$D233,#REF!,$AI233)&gt;0,"OK","ONBEKEND")),"ONZEKER")))))</f>
        <v/>
      </c>
      <c r="AK233" t="str">
        <f t="shared" si="1700"/>
        <v/>
      </c>
      <c r="AL233" t="str">
        <f t="shared" si="1701"/>
        <v/>
      </c>
      <c r="AM233" t="str">
        <f>IF($AL233="","",IF(OR($BZ233="",$CA233=""),"ONZEKER",IF(OR($BW233="",$BX233=""),"ONZEKER",IF(AND($BZ233=$BW233+1,$CA233=$BX233),IF(OR(COUNTIF(#REF!,$B233)&gt;0,COUNTIF(#REF!,$B233)=0),"SKIP",IF(COUNTIFS(#REF!,$B233,#REF!,$AL233)&gt;0,"OK","ONBEKEND")),IF(AND($BZ233=$BW233,$CA233=$BX233+1),IF(OR(COUNTIF(#REF!,$D233)&gt;0,COUNTIF(#REF!,$D233)=0),"SKIP",IF(COUNTIFS(#REF!,$D233,#REF!,$AL233)&gt;0,"OK","ONBEKEND")),"ONZEKER")))))</f>
        <v/>
      </c>
      <c r="AN233" t="str">
        <f t="shared" si="1702"/>
        <v/>
      </c>
      <c r="AO233" t="str">
        <f t="shared" si="1703"/>
        <v/>
      </c>
      <c r="AP233" t="str">
        <f>IF($AO233="","",IF(OR($CC233="",$CD233=""),"ONZEKER",IF(OR($BZ233="",$CA233=""),"ONZEKER",IF(AND($CC233=$BZ233+1,$CD233=$CA233),IF(OR(COUNTIF(#REF!,$B233)&gt;0,COUNTIF(#REF!,$B233)=0),"SKIP",IF(COUNTIFS(#REF!,$B233,#REF!,$AO233)&gt;0,"OK","ONBEKEND")),IF(AND($CC233=$BZ233,$CD233=$CA233+1),IF(OR(COUNTIF(#REF!,$D233)&gt;0,COUNTIF(#REF!,$D233)=0),"SKIP",IF(COUNTIFS(#REF!,$D233,#REF!,$AO233)&gt;0,"OK","ONBEKEND")),"ONZEKER")))))</f>
        <v/>
      </c>
      <c r="AQ233" t="str">
        <f t="shared" si="1704"/>
        <v/>
      </c>
      <c r="AR233" t="str">
        <f t="shared" si="1705"/>
        <v/>
      </c>
      <c r="AS233" t="str">
        <f>IF($AR233="","",IF(OR($CF233="",$CG233=""),"ONZEKER",IF(OR($CC233="",$CD233=""),"ONZEKER",IF(AND($CF233=$CC233+1,$CG233=$CD233),IF(OR(COUNTIF(#REF!,$B233)&gt;0,COUNTIF(#REF!,$B233)=0),"SKIP",IF(COUNTIFS(#REF!,$B233,#REF!,$AR233)&gt;0,"OK","ONBEKEND")),IF(AND($CF233=$CC233,$CG233=$CD233+1),IF(OR(COUNTIF(#REF!,$D233)&gt;0,COUNTIF(#REF!,$D233)=0),"SKIP",IF(COUNTIFS(#REF!,$D233,#REF!,$AR233)&gt;0,"OK","ONBEKEND")),"ONZEKER")))))</f>
        <v/>
      </c>
      <c r="AT233" t="str">
        <f t="shared" si="1706"/>
        <v/>
      </c>
      <c r="AU233" t="str">
        <f t="shared" si="1707"/>
        <v/>
      </c>
      <c r="AV233" t="str">
        <f t="shared" si="1708"/>
        <v/>
      </c>
      <c r="AW233" t="str">
        <f t="shared" si="1709"/>
        <v/>
      </c>
      <c r="AX233" t="str">
        <f t="shared" si="1710"/>
        <v/>
      </c>
      <c r="AY233" t="str">
        <f t="shared" si="1711"/>
        <v/>
      </c>
      <c r="AZ233" t="str">
        <f t="shared" si="1712"/>
        <v/>
      </c>
      <c r="BA233" t="str">
        <f t="shared" si="1713"/>
        <v/>
      </c>
      <c r="BB233" t="str">
        <f t="shared" si="1714"/>
        <v/>
      </c>
      <c r="BC233" t="str">
        <f t="shared" si="1715"/>
        <v/>
      </c>
      <c r="BD233" t="str">
        <f t="shared" si="1470"/>
        <v/>
      </c>
      <c r="BE233" t="str">
        <f t="shared" si="1471"/>
        <v/>
      </c>
      <c r="BF233" t="str">
        <f t="shared" si="1472"/>
        <v/>
      </c>
      <c r="BG233" t="str">
        <f t="shared" si="1473"/>
        <v/>
      </c>
      <c r="BH233" t="str">
        <f t="shared" si="1474"/>
        <v/>
      </c>
      <c r="BI233" t="str">
        <f t="shared" si="1475"/>
        <v/>
      </c>
      <c r="BJ233" t="str">
        <f t="shared" si="1476"/>
        <v/>
      </c>
      <c r="BK233" t="str">
        <f t="shared" si="1477"/>
        <v/>
      </c>
      <c r="BL233" t="str">
        <f t="shared" si="1478"/>
        <v/>
      </c>
      <c r="BM233" t="str">
        <f t="shared" si="1479"/>
        <v/>
      </c>
      <c r="BN233" t="str">
        <f t="shared" si="1480"/>
        <v/>
      </c>
      <c r="BO233" t="str">
        <f t="shared" si="1481"/>
        <v/>
      </c>
      <c r="BP233" t="str">
        <f t="shared" si="1482"/>
        <v/>
      </c>
      <c r="BQ233" t="str">
        <f t="shared" si="1483"/>
        <v/>
      </c>
      <c r="BR233" t="str">
        <f t="shared" si="1484"/>
        <v/>
      </c>
      <c r="BS233" t="str">
        <f t="shared" si="1485"/>
        <v/>
      </c>
      <c r="BT233" t="str">
        <f t="shared" si="1486"/>
        <v/>
      </c>
      <c r="BU233" t="str">
        <f t="shared" si="1487"/>
        <v/>
      </c>
      <c r="BV233" t="str">
        <f t="shared" si="1488"/>
        <v/>
      </c>
      <c r="BW233" t="str">
        <f t="shared" si="1489"/>
        <v/>
      </c>
      <c r="BX233" t="str">
        <f t="shared" si="1490"/>
        <v/>
      </c>
      <c r="BY233" t="str">
        <f t="shared" si="1491"/>
        <v/>
      </c>
      <c r="BZ233" t="str">
        <f t="shared" si="1492"/>
        <v/>
      </c>
      <c r="CA233" t="str">
        <f t="shared" si="1493"/>
        <v/>
      </c>
      <c r="CB233" t="str">
        <f t="shared" si="1494"/>
        <v/>
      </c>
      <c r="CC233" t="str">
        <f t="shared" si="1495"/>
        <v/>
      </c>
      <c r="CD233" t="str">
        <f t="shared" si="1496"/>
        <v/>
      </c>
      <c r="CE233" t="str">
        <f t="shared" si="1497"/>
        <v/>
      </c>
      <c r="CF233" t="str">
        <f t="shared" si="1498"/>
        <v/>
      </c>
      <c r="CG233" t="str">
        <f t="shared" si="1499"/>
        <v/>
      </c>
      <c r="CH233" t="str">
        <f t="shared" si="1716"/>
        <v/>
      </c>
      <c r="CI233" t="str">
        <f t="shared" si="1717"/>
        <v/>
      </c>
      <c r="CJ233" t="str">
        <f>IF($CI233="","",IF(OR($DW233="",$DX233=""),"ONZEKER",IF(OR($CF233="",$CG233=""),"ONZEKER",IF(AND($DW233=$CF233+1,$DX233=$CG233),IF(OR(COUNTIF(#REF!,$B233)&gt;0,COUNTIF(#REF!,$B233)=0),"SKIP",IF(COUNTIFS(#REF!,$B233,#REF!,$CI233)&gt;0,"OK","ONBEKEND")),IF(AND($DW233=$CF233,$DX233=$CG233+1),IF(OR(COUNTIF(#REF!,$D233)&gt;0,COUNTIF(#REF!,$D233)=0),"SKIP",IF(COUNTIFS(#REF!,$D233,#REF!,$CI233)&gt;0,"OK","ONBEKEND")),"ONZEKER")))))</f>
        <v/>
      </c>
      <c r="CK233" t="str">
        <f t="shared" si="1718"/>
        <v/>
      </c>
      <c r="CL233" t="str">
        <f t="shared" si="1719"/>
        <v/>
      </c>
      <c r="CM233" t="str">
        <f>IF($CL233="","",IF(OR($DZ233="",$EA233=""),"ONZEKER",IF(OR($DW233="",$DX233=""),"ONZEKER",IF(AND($DZ233=$DW233+1,$EA233=$DX233),IF(OR(COUNTIF(#REF!,$B233)&gt;0,COUNTIF(#REF!,$B233)=0),"SKIP",IF(COUNTIFS(#REF!,$B233,#REF!,$CL233)&gt;0,"OK","ONBEKEND")),IF(AND($DZ233=$DW233,$EA233=$DX233+1),IF(OR(COUNTIF(#REF!,$D233)&gt;0,COUNTIF(#REF!,$D233)=0),"SKIP",IF(COUNTIFS(#REF!,$D233,#REF!,$CL233)&gt;0,"OK","ONBEKEND")),"ONZEKER")))))</f>
        <v/>
      </c>
      <c r="CN233" t="str">
        <f t="shared" si="1720"/>
        <v/>
      </c>
      <c r="CO233" t="str">
        <f t="shared" si="1721"/>
        <v/>
      </c>
      <c r="CP233" t="str">
        <f>IF($CO233="","",IF(OR($EC233="",$ED233=""),"ONZEKER",IF(OR($DZ233="",$EA233=""),"ONZEKER",IF(AND($EC233=$DZ233+1,$ED233=$EA233),IF(OR(COUNTIF(#REF!,$B233)&gt;0,COUNTIF(#REF!,$B233)=0),"SKIP",IF(COUNTIFS(#REF!,$B233,#REF!,$CO233)&gt;0,"OK","ONBEKEND")),IF(AND($EC233=$DZ233,$ED233=$EA233+1),IF(OR(COUNTIF(#REF!,$D233)&gt;0,COUNTIF(#REF!,$D233)=0),"SKIP",IF(COUNTIFS(#REF!,$D233,#REF!,$CO233)&gt;0,"OK","ONBEKEND")),"ONZEKER")))))</f>
        <v/>
      </c>
      <c r="CQ233" t="str">
        <f t="shared" si="1722"/>
        <v/>
      </c>
      <c r="CR233" t="str">
        <f t="shared" si="1723"/>
        <v/>
      </c>
      <c r="CS233" t="str">
        <f>IF($CR233="","",IF(OR($EF233="",$EG233=""),"ONZEKER",IF(OR($EC233="",$ED233=""),"ONZEKER",IF(AND($EF233=$EC233+1,$EG233=$ED233),IF(OR(COUNTIF(#REF!,$B233)&gt;0,COUNTIF(#REF!,$B233)=0),"SKIP",IF(COUNTIFS(#REF!,$B233,#REF!,$CR233)&gt;0,"OK","ONBEKEND")),IF(AND($EF233=$EC233,$EG233=$ED233+1),IF(OR(COUNTIF(#REF!,$D233)&gt;0,COUNTIF(#REF!,$D233)=0),"SKIP",IF(COUNTIFS(#REF!,$D233,#REF!,$CR233)&gt;0,"OK","ONBEKEND")),"ONZEKER")))))</f>
        <v/>
      </c>
      <c r="CT233" t="str">
        <f t="shared" si="1724"/>
        <v/>
      </c>
      <c r="CU233" t="str">
        <f t="shared" si="1725"/>
        <v/>
      </c>
      <c r="CV233" t="str">
        <f>IF($CU233="","",IF(OR($EI233="",$EJ233=""),"ONZEKER",IF(OR($EF233="",$EG233=""),"ONZEKER",IF(AND($EI233=$EF233+1,$EJ233=$EG233),IF(OR(COUNTIF(#REF!,$B233)&gt;0,COUNTIF(#REF!,$B233)=0),"SKIP",IF(COUNTIFS(#REF!,$B233,#REF!,$CU233)&gt;0,"OK","ONBEKEND")),IF(AND($EI233=$EF233,$EJ233=$EG233+1),IF(OR(COUNTIF(#REF!,$D233)&gt;0,COUNTIF(#REF!,$D233)=0),"SKIP",IF(COUNTIFS(#REF!,$D233,#REF!,$CU233)&gt;0,"OK","ONBEKEND")),"ONZEKER")))))</f>
        <v/>
      </c>
      <c r="CW233" t="str">
        <f t="shared" si="1726"/>
        <v/>
      </c>
      <c r="CX233" t="str">
        <f t="shared" si="1727"/>
        <v/>
      </c>
      <c r="CY233" t="str">
        <f>IF($CX233="","",IF(OR($EL233="",$EM233=""),"ONZEKER",IF(OR($EI233="",$EJ233=""),"ONZEKER",IF(AND($EL233=$EI233+1,$EM233=$EJ233),IF(OR(COUNTIF(#REF!,$B233)&gt;0,COUNTIF(#REF!,$B233)=0),"SKIP",IF(COUNTIFS(#REF!,$B233,#REF!,$CX233)&gt;0,"OK","ONBEKEND")),IF(AND($EL233=$EI233,$EM233=$EJ233+1),IF(OR(COUNTIF(#REF!,$D233)&gt;0,COUNTIF(#REF!,$D233)=0),"SKIP",IF(COUNTIFS(#REF!,$D233,#REF!,$CX233)&gt;0,"OK","ONBEKEND")),"ONZEKER")))))</f>
        <v/>
      </c>
      <c r="CZ233" t="str">
        <f t="shared" si="1728"/>
        <v/>
      </c>
      <c r="DA233" t="str">
        <f t="shared" si="1729"/>
        <v/>
      </c>
      <c r="DB233" t="str">
        <f>IF($DA233="","",IF(OR($EO233="",$EP233=""),"ONZEKER",IF(OR($EL233="",$EM233=""),"ONZEKER",IF(AND($EO233=$EL233+1,$EP233=$EM233),IF(OR(COUNTIF(#REF!,$B233)&gt;0,COUNTIF(#REF!,$B233)=0),"SKIP",IF(COUNTIFS(#REF!,$B233,#REF!,$DA233)&gt;0,"OK","ONBEKEND")),IF(AND($EO233=$EL233,$EP233=$EM233+1),IF(OR(COUNTIF(#REF!,$D233)&gt;0,COUNTIF(#REF!,$D233)=0),"SKIP",IF(COUNTIFS(#REF!,$D233,#REF!,$DA233)&gt;0,"OK","ONBEKEND")),"ONZEKER")))))</f>
        <v/>
      </c>
      <c r="DC233" t="str">
        <f t="shared" si="1730"/>
        <v/>
      </c>
      <c r="DD233" t="str">
        <f t="shared" si="1731"/>
        <v/>
      </c>
      <c r="DE233" t="str">
        <f>IF($DD233="","",IF(OR($ER233="",$ES233=""),"ONZEKER",IF(OR($EO233="",$EP233=""),"ONZEKER",IF(AND($ER233=$EO233+1,$ES233=$EP233),IF(OR(COUNTIF(#REF!,$B233)&gt;0,COUNTIF(#REF!,$B233)=0),"SKIP",IF(COUNTIFS(#REF!,$B233,#REF!,$DD233)&gt;0,"OK","ONBEKEND")),IF(AND($ER233=$EO233,$ES233=$EP233+1),IF(OR(COUNTIF(#REF!,$D233)&gt;0,COUNTIF(#REF!,$D233)=0),"SKIP",IF(COUNTIFS(#REF!,$D233,#REF!,$DD233)&gt;0,"OK","ONBEKEND")),"ONZEKER")))))</f>
        <v/>
      </c>
      <c r="DF233" t="str">
        <f t="shared" si="1732"/>
        <v/>
      </c>
      <c r="DG233" t="str">
        <f t="shared" si="1733"/>
        <v/>
      </c>
      <c r="DH233" t="str">
        <f>IF($DG233="","",IF(OR($EU233="",$EV233=""),"ONZEKER",IF(OR($ER233="",$ES233=""),"ONZEKER",IF(AND($EU233=$ER233+1,$EV233=$ES233),IF(OR(COUNTIF(#REF!,$B233)&gt;0,COUNTIF(#REF!,$B233)=0),"SKIP",IF(COUNTIFS(#REF!,$B233,#REF!,$DG233)&gt;0,"OK","ONBEKEND")),IF(AND($EU233=$ER233,$EV233=$ES233+1),IF(OR(COUNTIF(#REF!,$D233)&gt;0,COUNTIF(#REF!,$D233)=0),"SKIP",IF(COUNTIFS(#REF!,$D233,#REF!,$DG233)&gt;0,"OK","ONBEKEND")),"ONZEKER")))))</f>
        <v/>
      </c>
      <c r="DI233" t="str">
        <f t="shared" si="1734"/>
        <v/>
      </c>
      <c r="DJ233" t="str">
        <f t="shared" si="1735"/>
        <v/>
      </c>
      <c r="DK233" t="str">
        <f>IF($DJ233="","",IF(OR($EX233="",$EY233=""),"ONZEKER",IF(OR($EU233="",$EV233=""),"ONZEKER",IF(AND($EX233=$EU233+1,$EY233=$EV233),IF(OR(COUNTIF(#REF!,$B233)&gt;0,COUNTIF(#REF!,$B233)=0),"SKIP",IF(COUNTIFS(#REF!,$B233,#REF!,$DJ233)&gt;0,"OK","ONBEKEND")),IF(AND($EX233=$EU233,$EY233=$EV233+1),IF(OR(COUNTIF(#REF!,$D233)&gt;0,COUNTIF(#REF!,$D233)=0),"SKIP",IF(COUNTIFS(#REF!,$D233,#REF!,$DJ233)&gt;0,"OK","ONBEKEND")),"ONZEKER")))))</f>
        <v/>
      </c>
      <c r="DL233" t="str">
        <f t="shared" si="1736"/>
        <v/>
      </c>
      <c r="DM233" t="str">
        <f t="shared" si="1737"/>
        <v/>
      </c>
      <c r="DN233" t="str">
        <f t="shared" si="1738"/>
        <v/>
      </c>
      <c r="DO233" t="str">
        <f t="shared" si="1739"/>
        <v/>
      </c>
      <c r="DP233" t="str">
        <f t="shared" si="1740"/>
        <v/>
      </c>
      <c r="DQ233" t="str">
        <f t="shared" si="1741"/>
        <v/>
      </c>
      <c r="DR233" t="str">
        <f t="shared" si="1742"/>
        <v/>
      </c>
      <c r="DS233" t="str">
        <f t="shared" si="1743"/>
        <v/>
      </c>
      <c r="DT233" t="str">
        <f t="shared" si="1744"/>
        <v/>
      </c>
      <c r="DU233" t="str">
        <f t="shared" si="1745"/>
        <v/>
      </c>
      <c r="DV233" t="str">
        <f t="shared" si="1746"/>
        <v/>
      </c>
      <c r="DW233" t="str">
        <f t="shared" si="1747"/>
        <v/>
      </c>
      <c r="DX233" t="str">
        <f t="shared" si="1748"/>
        <v/>
      </c>
      <c r="DY233" t="str">
        <f t="shared" si="1749"/>
        <v/>
      </c>
      <c r="DZ233" t="str">
        <f t="shared" si="1750"/>
        <v/>
      </c>
      <c r="EA233" t="str">
        <f t="shared" si="1751"/>
        <v/>
      </c>
      <c r="EB233" t="str">
        <f t="shared" si="1752"/>
        <v/>
      </c>
      <c r="EC233" t="str">
        <f t="shared" si="1753"/>
        <v/>
      </c>
      <c r="ED233" t="str">
        <f t="shared" si="1754"/>
        <v/>
      </c>
      <c r="EE233" t="str">
        <f t="shared" si="1755"/>
        <v/>
      </c>
      <c r="EF233" t="str">
        <f t="shared" si="1756"/>
        <v/>
      </c>
      <c r="EG233" t="str">
        <f t="shared" si="1757"/>
        <v/>
      </c>
      <c r="EH233" t="str">
        <f t="shared" si="1758"/>
        <v/>
      </c>
      <c r="EI233" t="str">
        <f t="shared" si="1759"/>
        <v/>
      </c>
      <c r="EJ233" t="str">
        <f t="shared" si="1760"/>
        <v/>
      </c>
      <c r="EK233" t="str">
        <f t="shared" si="1761"/>
        <v/>
      </c>
      <c r="EL233" t="str">
        <f t="shared" si="1762"/>
        <v/>
      </c>
      <c r="EM233" t="str">
        <f t="shared" si="1763"/>
        <v/>
      </c>
      <c r="EN233" t="str">
        <f t="shared" si="1764"/>
        <v/>
      </c>
      <c r="EO233" t="str">
        <f t="shared" si="1765"/>
        <v/>
      </c>
      <c r="EP233" t="str">
        <f t="shared" si="1766"/>
        <v/>
      </c>
      <c r="EQ233" t="str">
        <f t="shared" si="1767"/>
        <v/>
      </c>
      <c r="ER233" t="str">
        <f t="shared" si="1768"/>
        <v/>
      </c>
      <c r="ES233" t="str">
        <f t="shared" si="1769"/>
        <v/>
      </c>
      <c r="ET233" t="str">
        <f t="shared" si="1770"/>
        <v/>
      </c>
      <c r="EU233" t="str">
        <f t="shared" si="1771"/>
        <v/>
      </c>
      <c r="EV233" t="str">
        <f t="shared" si="1772"/>
        <v/>
      </c>
      <c r="EW233" t="str">
        <f t="shared" si="1773"/>
        <v/>
      </c>
      <c r="EX233" t="str">
        <f t="shared" si="1774"/>
        <v/>
      </c>
      <c r="EY233" t="str">
        <f t="shared" si="1775"/>
        <v/>
      </c>
    </row>
    <row r="234" spans="1:155" ht="13.9" customHeight="1" x14ac:dyDescent="0.25">
      <c r="M234" s="3" t="str">
        <f>IF($L234="","",IF($L234="DOELPUNTENMAKERS","",IF(AND(COUNTIF(#REF!,$B234)=0,COUNTIF(#REF!,$D234)=0),"OK",IF($O234&gt;20,"LET OP: meer dan 20 items (controle onvolledig)",IF((COUNTIF($R234:$AS234,"ONZEKER")+COUNTIF($CJ234:$DK234,"ONZEKER"))&gt;0,"LET OP: scoreverloop onduidelijk (controle beperkt)",IF((IF($AT234&lt;&gt;"",$AT234&amp;", ","")&amp;IF($AU234&lt;&gt;"",$AU234&amp;", ","")&amp;IF($AV234&lt;&gt;"",$AV234&amp;", ","")&amp;IF($AW234&lt;&gt;"",$AW234&amp;", ","")&amp;IF($AX234&lt;&gt;"",$AX234&amp;", ","")&amp;IF($AY234&lt;&gt;"",$AY234&amp;", ","")&amp;IF($AZ234&lt;&gt;"",$AZ234&amp;", ","")&amp;IF($BA234&lt;&gt;"",$BA234&amp;", ","")&amp;IF($BB234&lt;&gt;"",$BB234&amp;", ","")&amp;IF($BC234&lt;&gt;"",$BC234&amp;", ","")&amp;IF($DL234&lt;&gt;"",$DL234&amp;", ","")&amp;IF($DM234&lt;&gt;"",$DM234&amp;", ","")&amp;IF($DN234&lt;&gt;"",$DN234&amp;", ","")&amp;IF($DO234&lt;&gt;"",$DO234&amp;", ","")&amp;IF($DP234&lt;&gt;"",$DP234&amp;", ","")&amp;IF($DQ234&lt;&gt;"",$DQ234&amp;", ","")&amp;IF($DR234&lt;&gt;"",$DR234&amp;", ","")&amp;IF($DS234&lt;&gt;"",$DS234&amp;", ","")&amp;IF($DT234&lt;&gt;"",$DT234&amp;", ","")&amp;IF($DU234&lt;&gt;"",$DU234&amp;", ",""))="","OK","Onbekend: "&amp;LEFT((IF($AT234&lt;&gt;"",$AT234&amp;", ","")&amp;IF($AU234&lt;&gt;"",$AU234&amp;", ","")&amp;IF($AV234&lt;&gt;"",$AV234&amp;", ","")&amp;IF($AW234&lt;&gt;"",$AW234&amp;", ","")&amp;IF($AX234&lt;&gt;"",$AX234&amp;", ","")&amp;IF($AY234&lt;&gt;"",$AY234&amp;", ","")&amp;IF($AZ234&lt;&gt;"",$AZ234&amp;", ","")&amp;IF($BA234&lt;&gt;"",$BA234&amp;", ","")&amp;IF($BB234&lt;&gt;"",$BB234&amp;", ","")&amp;IF($BC234&lt;&gt;"",$BC234&amp;", ","")&amp;IF($DL234&lt;&gt;"",$DL234&amp;", ","")&amp;IF($DM234&lt;&gt;"",$DM234&amp;", ","")&amp;IF($DN234&lt;&gt;"",$DN234&amp;", ","")&amp;IF($DO234&lt;&gt;"",$DO234&amp;", ","")&amp;IF($DP234&lt;&gt;"",$DP234&amp;", ","")&amp;IF($DQ234&lt;&gt;"",$DQ234&amp;", ","")&amp;IF($DR234&lt;&gt;"",$DR234&amp;", ","")&amp;IF($DS234&lt;&gt;"",$DS234&amp;", ","")&amp;IF($DT234&lt;&gt;"",$DT234&amp;", ","")&amp;IF($DU234&lt;&gt;"",$DU234&amp;", ","")),LEN((IF($AT234&lt;&gt;"",$AT234&amp;", ","")&amp;IF($AU234&lt;&gt;"",$AU234&amp;", ","")&amp;IF($AV234&lt;&gt;"",$AV234&amp;", ","")&amp;IF($AW234&lt;&gt;"",$AW234&amp;", ","")&amp;IF($AX234&lt;&gt;"",$AX234&amp;", ","")&amp;IF($AY234&lt;&gt;"",$AY234&amp;", ","")&amp;IF($AZ234&lt;&gt;"",$AZ234&amp;", ","")&amp;IF($BA234&lt;&gt;"",$BA234&amp;", ","")&amp;IF($BB234&lt;&gt;"",$BB234&amp;", ","")&amp;IF($BC234&lt;&gt;"",$BC234&amp;", ","")&amp;IF($DL234&lt;&gt;"",$DL234&amp;", ","")&amp;IF($DM234&lt;&gt;"",$DM234&amp;", ","")&amp;IF($DN234&lt;&gt;"",$DN234&amp;", ","")&amp;IF($DO234&lt;&gt;"",$DO234&amp;", ","")&amp;IF($DP234&lt;&gt;"",$DP234&amp;", ","")&amp;IF($DQ234&lt;&gt;"",$DQ234&amp;", ","")&amp;IF($DR234&lt;&gt;"",$DR234&amp;", ","")&amp;IF($DS234&lt;&gt;"",$DS234&amp;", ","")&amp;IF($DT234&lt;&gt;"",$DT234&amp;", ","")&amp;IF($DU234&lt;&gt;"",$DU234&amp;", ","")))-2)))))))</f>
        <v/>
      </c>
      <c r="N234" t="str">
        <f t="shared" si="1684"/>
        <v/>
      </c>
      <c r="O234" t="str">
        <f t="shared" si="1685"/>
        <v/>
      </c>
      <c r="P234" t="str">
        <f t="shared" si="1686"/>
        <v/>
      </c>
      <c r="Q234" t="str">
        <f t="shared" si="1687"/>
        <v/>
      </c>
      <c r="R234" t="str">
        <f>IF($Q234="","",IF(OR($BE234="",$BF234=""),"ONZEKER",IF(AND($BE234=0+1,$BF234=0),IF(OR(COUNTIF(#REF!,$B234)&gt;0,COUNTIF(#REF!,$B234)=0),"SKIP",IF(COUNTIFS(#REF!,$B234,#REF!,$Q234)&gt;0,"OK","ONBEKEND")),IF(AND($BE234=0,$BF234=0+1),IF(OR(COUNTIF(#REF!,$D234)&gt;0,COUNTIF(#REF!,$D234)=0),"SKIP",IF(COUNTIFS(#REF!,$D234,#REF!,$Q234)&gt;0,"OK","ONBEKEND")),"ONZEKER"))))</f>
        <v/>
      </c>
      <c r="S234" t="str">
        <f t="shared" si="1688"/>
        <v/>
      </c>
      <c r="T234" t="str">
        <f t="shared" si="1689"/>
        <v/>
      </c>
      <c r="U234" t="str">
        <f>IF($T234="","",IF(OR($BH234="",$BI234=""),"ONZEKER",IF(OR($BE234="",$BF234=""),"ONZEKER",IF(AND($BH234=$BE234+1,$BI234=$BF234),IF(OR(COUNTIF(#REF!,$B234)&gt;0,COUNTIF(#REF!,$B234)=0),"SKIP",IF(COUNTIFS(#REF!,$B234,#REF!,$T234)&gt;0,"OK","ONBEKEND")),IF(AND($BH234=$BE234,$BI234=$BF234+1),IF(OR(COUNTIF(#REF!,$D234)&gt;0,COUNTIF(#REF!,$D234)=0),"SKIP",IF(COUNTIFS(#REF!,$D234,#REF!,$T234)&gt;0,"OK","ONBEKEND")),"ONZEKER")))))</f>
        <v/>
      </c>
      <c r="V234" t="str">
        <f t="shared" si="1690"/>
        <v/>
      </c>
      <c r="W234" t="str">
        <f t="shared" si="1691"/>
        <v/>
      </c>
      <c r="X234" t="str">
        <f>IF($W234="","",IF(OR($BK234="",$BL234=""),"ONZEKER",IF(OR($BH234="",$BI234=""),"ONZEKER",IF(AND($BK234=$BH234+1,$BL234=$BI234),IF(OR(COUNTIF(#REF!,$B234)&gt;0,COUNTIF(#REF!,$B234)=0),"SKIP",IF(COUNTIFS(#REF!,$B234,#REF!,$W234)&gt;0,"OK","ONBEKEND")),IF(AND($BK234=$BH234,$BL234=$BI234+1),IF(OR(COUNTIF(#REF!,$D234)&gt;0,COUNTIF(#REF!,$D234)=0),"SKIP",IF(COUNTIFS(#REF!,$D234,#REF!,$W234)&gt;0,"OK","ONBEKEND")),"ONZEKER")))))</f>
        <v/>
      </c>
      <c r="Y234" t="str">
        <f t="shared" si="1692"/>
        <v/>
      </c>
      <c r="Z234" t="str">
        <f t="shared" si="1693"/>
        <v/>
      </c>
      <c r="AA234" t="str">
        <f>IF($Z234="","",IF(OR($BN234="",$BO234=""),"ONZEKER",IF(OR($BK234="",$BL234=""),"ONZEKER",IF(AND($BN234=$BK234+1,$BO234=$BL234),IF(OR(COUNTIF(#REF!,$B234)&gt;0,COUNTIF(#REF!,$B234)=0),"SKIP",IF(COUNTIFS(#REF!,$B234,#REF!,$Z234)&gt;0,"OK","ONBEKEND")),IF(AND($BN234=$BK234,$BO234=$BL234+1),IF(OR(COUNTIF(#REF!,$D234)&gt;0,COUNTIF(#REF!,$D234)=0),"SKIP",IF(COUNTIFS(#REF!,$D234,#REF!,$Z234)&gt;0,"OK","ONBEKEND")),"ONZEKER")))))</f>
        <v/>
      </c>
      <c r="AB234" t="str">
        <f t="shared" si="1694"/>
        <v/>
      </c>
      <c r="AC234" t="str">
        <f t="shared" si="1695"/>
        <v/>
      </c>
      <c r="AD234" t="str">
        <f>IF($AC234="","",IF(OR($BQ234="",$BR234=""),"ONZEKER",IF(OR($BN234="",$BO234=""),"ONZEKER",IF(AND($BQ234=$BN234+1,$BR234=$BO234),IF(OR(COUNTIF(#REF!,$B234)&gt;0,COUNTIF(#REF!,$B234)=0),"SKIP",IF(COUNTIFS(#REF!,$B234,#REF!,$AC234)&gt;0,"OK","ONBEKEND")),IF(AND($BQ234=$BN234,$BR234=$BO234+1),IF(OR(COUNTIF(#REF!,$D234)&gt;0,COUNTIF(#REF!,$D234)=0),"SKIP",IF(COUNTIFS(#REF!,$D234,#REF!,$AC234)&gt;0,"OK","ONBEKEND")),"ONZEKER")))))</f>
        <v/>
      </c>
      <c r="AE234" t="str">
        <f t="shared" si="1696"/>
        <v/>
      </c>
      <c r="AF234" t="str">
        <f t="shared" si="1697"/>
        <v/>
      </c>
      <c r="AG234" t="str">
        <f>IF($AF234="","",IF(OR($BT234="",$BU234=""),"ONZEKER",IF(OR($BQ234="",$BR234=""),"ONZEKER",IF(AND($BT234=$BQ234+1,$BU234=$BR234),IF(OR(COUNTIF(#REF!,$B234)&gt;0,COUNTIF(#REF!,$B234)=0),"SKIP",IF(COUNTIFS(#REF!,$B234,#REF!,$AF234)&gt;0,"OK","ONBEKEND")),IF(AND($BT234=$BQ234,$BU234=$BR234+1),IF(OR(COUNTIF(#REF!,$D234)&gt;0,COUNTIF(#REF!,$D234)=0),"SKIP",IF(COUNTIFS(#REF!,$D234,#REF!,$AF234)&gt;0,"OK","ONBEKEND")),"ONZEKER")))))</f>
        <v/>
      </c>
      <c r="AH234" t="str">
        <f t="shared" si="1698"/>
        <v/>
      </c>
      <c r="AI234" t="str">
        <f t="shared" si="1699"/>
        <v/>
      </c>
      <c r="AJ234" t="str">
        <f>IF($AI234="","",IF(OR($BW234="",$BX234=""),"ONZEKER",IF(OR($BT234="",$BU234=""),"ONZEKER",IF(AND($BW234=$BT234+1,$BX234=$BU234),IF(OR(COUNTIF(#REF!,$B234)&gt;0,COUNTIF(#REF!,$B234)=0),"SKIP",IF(COUNTIFS(#REF!,$B234,#REF!,$AI234)&gt;0,"OK","ONBEKEND")),IF(AND($BW234=$BT234,$BX234=$BU234+1),IF(OR(COUNTIF(#REF!,$D234)&gt;0,COUNTIF(#REF!,$D234)=0),"SKIP",IF(COUNTIFS(#REF!,$D234,#REF!,$AI234)&gt;0,"OK","ONBEKEND")),"ONZEKER")))))</f>
        <v/>
      </c>
      <c r="AK234" t="str">
        <f t="shared" si="1700"/>
        <v/>
      </c>
      <c r="AL234" t="str">
        <f t="shared" si="1701"/>
        <v/>
      </c>
      <c r="AM234" t="str">
        <f>IF($AL234="","",IF(OR($BZ234="",$CA234=""),"ONZEKER",IF(OR($BW234="",$BX234=""),"ONZEKER",IF(AND($BZ234=$BW234+1,$CA234=$BX234),IF(OR(COUNTIF(#REF!,$B234)&gt;0,COUNTIF(#REF!,$B234)=0),"SKIP",IF(COUNTIFS(#REF!,$B234,#REF!,$AL234)&gt;0,"OK","ONBEKEND")),IF(AND($BZ234=$BW234,$CA234=$BX234+1),IF(OR(COUNTIF(#REF!,$D234)&gt;0,COUNTIF(#REF!,$D234)=0),"SKIP",IF(COUNTIFS(#REF!,$D234,#REF!,$AL234)&gt;0,"OK","ONBEKEND")),"ONZEKER")))))</f>
        <v/>
      </c>
      <c r="AN234" t="str">
        <f t="shared" si="1702"/>
        <v/>
      </c>
      <c r="AO234" t="str">
        <f t="shared" si="1703"/>
        <v/>
      </c>
      <c r="AP234" t="str">
        <f>IF($AO234="","",IF(OR($CC234="",$CD234=""),"ONZEKER",IF(OR($BZ234="",$CA234=""),"ONZEKER",IF(AND($CC234=$BZ234+1,$CD234=$CA234),IF(OR(COUNTIF(#REF!,$B234)&gt;0,COUNTIF(#REF!,$B234)=0),"SKIP",IF(COUNTIFS(#REF!,$B234,#REF!,$AO234)&gt;0,"OK","ONBEKEND")),IF(AND($CC234=$BZ234,$CD234=$CA234+1),IF(OR(COUNTIF(#REF!,$D234)&gt;0,COUNTIF(#REF!,$D234)=0),"SKIP",IF(COUNTIFS(#REF!,$D234,#REF!,$AO234)&gt;0,"OK","ONBEKEND")),"ONZEKER")))))</f>
        <v/>
      </c>
      <c r="AQ234" t="str">
        <f t="shared" si="1704"/>
        <v/>
      </c>
      <c r="AR234" t="str">
        <f t="shared" si="1705"/>
        <v/>
      </c>
      <c r="AS234" t="str">
        <f>IF($AR234="","",IF(OR($CF234="",$CG234=""),"ONZEKER",IF(OR($CC234="",$CD234=""),"ONZEKER",IF(AND($CF234=$CC234+1,$CG234=$CD234),IF(OR(COUNTIF(#REF!,$B234)&gt;0,COUNTIF(#REF!,$B234)=0),"SKIP",IF(COUNTIFS(#REF!,$B234,#REF!,$AR234)&gt;0,"OK","ONBEKEND")),IF(AND($CF234=$CC234,$CG234=$CD234+1),IF(OR(COUNTIF(#REF!,$D234)&gt;0,COUNTIF(#REF!,$D234)=0),"SKIP",IF(COUNTIFS(#REF!,$D234,#REF!,$AR234)&gt;0,"OK","ONBEKEND")),"ONZEKER")))))</f>
        <v/>
      </c>
      <c r="AT234" t="str">
        <f t="shared" si="1706"/>
        <v/>
      </c>
      <c r="AU234" t="str">
        <f t="shared" si="1707"/>
        <v/>
      </c>
      <c r="AV234" t="str">
        <f t="shared" si="1708"/>
        <v/>
      </c>
      <c r="AW234" t="str">
        <f t="shared" si="1709"/>
        <v/>
      </c>
      <c r="AX234" t="str">
        <f t="shared" si="1710"/>
        <v/>
      </c>
      <c r="AY234" t="str">
        <f t="shared" si="1711"/>
        <v/>
      </c>
      <c r="AZ234" t="str">
        <f t="shared" si="1712"/>
        <v/>
      </c>
      <c r="BA234" t="str">
        <f t="shared" si="1713"/>
        <v/>
      </c>
      <c r="BB234" t="str">
        <f t="shared" si="1714"/>
        <v/>
      </c>
      <c r="BC234" t="str">
        <f t="shared" si="1715"/>
        <v/>
      </c>
      <c r="BD234" t="str">
        <f t="shared" si="1470"/>
        <v/>
      </c>
      <c r="BE234" t="str">
        <f t="shared" si="1471"/>
        <v/>
      </c>
      <c r="BF234" t="str">
        <f t="shared" si="1472"/>
        <v/>
      </c>
      <c r="BG234" t="str">
        <f t="shared" si="1473"/>
        <v/>
      </c>
      <c r="BH234" t="str">
        <f t="shared" si="1474"/>
        <v/>
      </c>
      <c r="BI234" t="str">
        <f t="shared" si="1475"/>
        <v/>
      </c>
      <c r="BJ234" t="str">
        <f t="shared" si="1476"/>
        <v/>
      </c>
      <c r="BK234" t="str">
        <f t="shared" si="1477"/>
        <v/>
      </c>
      <c r="BL234" t="str">
        <f t="shared" si="1478"/>
        <v/>
      </c>
      <c r="BM234" t="str">
        <f t="shared" si="1479"/>
        <v/>
      </c>
      <c r="BN234" t="str">
        <f t="shared" si="1480"/>
        <v/>
      </c>
      <c r="BO234" t="str">
        <f t="shared" si="1481"/>
        <v/>
      </c>
      <c r="BP234" t="str">
        <f t="shared" si="1482"/>
        <v/>
      </c>
      <c r="BQ234" t="str">
        <f t="shared" si="1483"/>
        <v/>
      </c>
      <c r="BR234" t="str">
        <f t="shared" si="1484"/>
        <v/>
      </c>
      <c r="BS234" t="str">
        <f t="shared" si="1485"/>
        <v/>
      </c>
      <c r="BT234" t="str">
        <f t="shared" si="1486"/>
        <v/>
      </c>
      <c r="BU234" t="str">
        <f t="shared" si="1487"/>
        <v/>
      </c>
      <c r="BV234" t="str">
        <f t="shared" si="1488"/>
        <v/>
      </c>
      <c r="BW234" t="str">
        <f t="shared" si="1489"/>
        <v/>
      </c>
      <c r="BX234" t="str">
        <f t="shared" si="1490"/>
        <v/>
      </c>
      <c r="BY234" t="str">
        <f t="shared" si="1491"/>
        <v/>
      </c>
      <c r="BZ234" t="str">
        <f t="shared" si="1492"/>
        <v/>
      </c>
      <c r="CA234" t="str">
        <f t="shared" si="1493"/>
        <v/>
      </c>
      <c r="CB234" t="str">
        <f t="shared" si="1494"/>
        <v/>
      </c>
      <c r="CC234" t="str">
        <f t="shared" si="1495"/>
        <v/>
      </c>
      <c r="CD234" t="str">
        <f t="shared" si="1496"/>
        <v/>
      </c>
      <c r="CE234" t="str">
        <f t="shared" si="1497"/>
        <v/>
      </c>
      <c r="CF234" t="str">
        <f t="shared" si="1498"/>
        <v/>
      </c>
      <c r="CG234" t="str">
        <f t="shared" si="1499"/>
        <v/>
      </c>
      <c r="CH234" t="str">
        <f t="shared" si="1716"/>
        <v/>
      </c>
      <c r="CI234" t="str">
        <f t="shared" si="1717"/>
        <v/>
      </c>
      <c r="CJ234" t="str">
        <f>IF($CI234="","",IF(OR($DW234="",$DX234=""),"ONZEKER",IF(OR($CF234="",$CG234=""),"ONZEKER",IF(AND($DW234=$CF234+1,$DX234=$CG234),IF(OR(COUNTIF(#REF!,$B234)&gt;0,COUNTIF(#REF!,$B234)=0),"SKIP",IF(COUNTIFS(#REF!,$B234,#REF!,$CI234)&gt;0,"OK","ONBEKEND")),IF(AND($DW234=$CF234,$DX234=$CG234+1),IF(OR(COUNTIF(#REF!,$D234)&gt;0,COUNTIF(#REF!,$D234)=0),"SKIP",IF(COUNTIFS(#REF!,$D234,#REF!,$CI234)&gt;0,"OK","ONBEKEND")),"ONZEKER")))))</f>
        <v/>
      </c>
      <c r="CK234" t="str">
        <f t="shared" si="1718"/>
        <v/>
      </c>
      <c r="CL234" t="str">
        <f t="shared" si="1719"/>
        <v/>
      </c>
      <c r="CM234" t="str">
        <f>IF($CL234="","",IF(OR($DZ234="",$EA234=""),"ONZEKER",IF(OR($DW234="",$DX234=""),"ONZEKER",IF(AND($DZ234=$DW234+1,$EA234=$DX234),IF(OR(COUNTIF(#REF!,$B234)&gt;0,COUNTIF(#REF!,$B234)=0),"SKIP",IF(COUNTIFS(#REF!,$B234,#REF!,$CL234)&gt;0,"OK","ONBEKEND")),IF(AND($DZ234=$DW234,$EA234=$DX234+1),IF(OR(COUNTIF(#REF!,$D234)&gt;0,COUNTIF(#REF!,$D234)=0),"SKIP",IF(COUNTIFS(#REF!,$D234,#REF!,$CL234)&gt;0,"OK","ONBEKEND")),"ONZEKER")))))</f>
        <v/>
      </c>
      <c r="CN234" t="str">
        <f t="shared" si="1720"/>
        <v/>
      </c>
      <c r="CO234" t="str">
        <f t="shared" si="1721"/>
        <v/>
      </c>
      <c r="CP234" t="str">
        <f>IF($CO234="","",IF(OR($EC234="",$ED234=""),"ONZEKER",IF(OR($DZ234="",$EA234=""),"ONZEKER",IF(AND($EC234=$DZ234+1,$ED234=$EA234),IF(OR(COUNTIF(#REF!,$B234)&gt;0,COUNTIF(#REF!,$B234)=0),"SKIP",IF(COUNTIFS(#REF!,$B234,#REF!,$CO234)&gt;0,"OK","ONBEKEND")),IF(AND($EC234=$DZ234,$ED234=$EA234+1),IF(OR(COUNTIF(#REF!,$D234)&gt;0,COUNTIF(#REF!,$D234)=0),"SKIP",IF(COUNTIFS(#REF!,$D234,#REF!,$CO234)&gt;0,"OK","ONBEKEND")),"ONZEKER")))))</f>
        <v/>
      </c>
      <c r="CQ234" t="str">
        <f t="shared" si="1722"/>
        <v/>
      </c>
      <c r="CR234" t="str">
        <f t="shared" si="1723"/>
        <v/>
      </c>
      <c r="CS234" t="str">
        <f>IF($CR234="","",IF(OR($EF234="",$EG234=""),"ONZEKER",IF(OR($EC234="",$ED234=""),"ONZEKER",IF(AND($EF234=$EC234+1,$EG234=$ED234),IF(OR(COUNTIF(#REF!,$B234)&gt;0,COUNTIF(#REF!,$B234)=0),"SKIP",IF(COUNTIFS(#REF!,$B234,#REF!,$CR234)&gt;0,"OK","ONBEKEND")),IF(AND($EF234=$EC234,$EG234=$ED234+1),IF(OR(COUNTIF(#REF!,$D234)&gt;0,COUNTIF(#REF!,$D234)=0),"SKIP",IF(COUNTIFS(#REF!,$D234,#REF!,$CR234)&gt;0,"OK","ONBEKEND")),"ONZEKER")))))</f>
        <v/>
      </c>
      <c r="CT234" t="str">
        <f t="shared" si="1724"/>
        <v/>
      </c>
      <c r="CU234" t="str">
        <f t="shared" si="1725"/>
        <v/>
      </c>
      <c r="CV234" t="str">
        <f>IF($CU234="","",IF(OR($EI234="",$EJ234=""),"ONZEKER",IF(OR($EF234="",$EG234=""),"ONZEKER",IF(AND($EI234=$EF234+1,$EJ234=$EG234),IF(OR(COUNTIF(#REF!,$B234)&gt;0,COUNTIF(#REF!,$B234)=0),"SKIP",IF(COUNTIFS(#REF!,$B234,#REF!,$CU234)&gt;0,"OK","ONBEKEND")),IF(AND($EI234=$EF234,$EJ234=$EG234+1),IF(OR(COUNTIF(#REF!,$D234)&gt;0,COUNTIF(#REF!,$D234)=0),"SKIP",IF(COUNTIFS(#REF!,$D234,#REF!,$CU234)&gt;0,"OK","ONBEKEND")),"ONZEKER")))))</f>
        <v/>
      </c>
      <c r="CW234" t="str">
        <f t="shared" si="1726"/>
        <v/>
      </c>
      <c r="CX234" t="str">
        <f t="shared" si="1727"/>
        <v/>
      </c>
      <c r="CY234" t="str">
        <f>IF($CX234="","",IF(OR($EL234="",$EM234=""),"ONZEKER",IF(OR($EI234="",$EJ234=""),"ONZEKER",IF(AND($EL234=$EI234+1,$EM234=$EJ234),IF(OR(COUNTIF(#REF!,$B234)&gt;0,COUNTIF(#REF!,$B234)=0),"SKIP",IF(COUNTIFS(#REF!,$B234,#REF!,$CX234)&gt;0,"OK","ONBEKEND")),IF(AND($EL234=$EI234,$EM234=$EJ234+1),IF(OR(COUNTIF(#REF!,$D234)&gt;0,COUNTIF(#REF!,$D234)=0),"SKIP",IF(COUNTIFS(#REF!,$D234,#REF!,$CX234)&gt;0,"OK","ONBEKEND")),"ONZEKER")))))</f>
        <v/>
      </c>
      <c r="CZ234" t="str">
        <f t="shared" si="1728"/>
        <v/>
      </c>
      <c r="DA234" t="str">
        <f t="shared" si="1729"/>
        <v/>
      </c>
      <c r="DB234" t="str">
        <f>IF($DA234="","",IF(OR($EO234="",$EP234=""),"ONZEKER",IF(OR($EL234="",$EM234=""),"ONZEKER",IF(AND($EO234=$EL234+1,$EP234=$EM234),IF(OR(COUNTIF(#REF!,$B234)&gt;0,COUNTIF(#REF!,$B234)=0),"SKIP",IF(COUNTIFS(#REF!,$B234,#REF!,$DA234)&gt;0,"OK","ONBEKEND")),IF(AND($EO234=$EL234,$EP234=$EM234+1),IF(OR(COUNTIF(#REF!,$D234)&gt;0,COUNTIF(#REF!,$D234)=0),"SKIP",IF(COUNTIFS(#REF!,$D234,#REF!,$DA234)&gt;0,"OK","ONBEKEND")),"ONZEKER")))))</f>
        <v/>
      </c>
      <c r="DC234" t="str">
        <f t="shared" si="1730"/>
        <v/>
      </c>
      <c r="DD234" t="str">
        <f t="shared" si="1731"/>
        <v/>
      </c>
      <c r="DE234" t="str">
        <f>IF($DD234="","",IF(OR($ER234="",$ES234=""),"ONZEKER",IF(OR($EO234="",$EP234=""),"ONZEKER",IF(AND($ER234=$EO234+1,$ES234=$EP234),IF(OR(COUNTIF(#REF!,$B234)&gt;0,COUNTIF(#REF!,$B234)=0),"SKIP",IF(COUNTIFS(#REF!,$B234,#REF!,$DD234)&gt;0,"OK","ONBEKEND")),IF(AND($ER234=$EO234,$ES234=$EP234+1),IF(OR(COUNTIF(#REF!,$D234)&gt;0,COUNTIF(#REF!,$D234)=0),"SKIP",IF(COUNTIFS(#REF!,$D234,#REF!,$DD234)&gt;0,"OK","ONBEKEND")),"ONZEKER")))))</f>
        <v/>
      </c>
      <c r="DF234" t="str">
        <f t="shared" si="1732"/>
        <v/>
      </c>
      <c r="DG234" t="str">
        <f t="shared" si="1733"/>
        <v/>
      </c>
      <c r="DH234" t="str">
        <f>IF($DG234="","",IF(OR($EU234="",$EV234=""),"ONZEKER",IF(OR($ER234="",$ES234=""),"ONZEKER",IF(AND($EU234=$ER234+1,$EV234=$ES234),IF(OR(COUNTIF(#REF!,$B234)&gt;0,COUNTIF(#REF!,$B234)=0),"SKIP",IF(COUNTIFS(#REF!,$B234,#REF!,$DG234)&gt;0,"OK","ONBEKEND")),IF(AND($EU234=$ER234,$EV234=$ES234+1),IF(OR(COUNTIF(#REF!,$D234)&gt;0,COUNTIF(#REF!,$D234)=0),"SKIP",IF(COUNTIFS(#REF!,$D234,#REF!,$DG234)&gt;0,"OK","ONBEKEND")),"ONZEKER")))))</f>
        <v/>
      </c>
      <c r="DI234" t="str">
        <f t="shared" si="1734"/>
        <v/>
      </c>
      <c r="DJ234" t="str">
        <f t="shared" si="1735"/>
        <v/>
      </c>
      <c r="DK234" t="str">
        <f>IF($DJ234="","",IF(OR($EX234="",$EY234=""),"ONZEKER",IF(OR($EU234="",$EV234=""),"ONZEKER",IF(AND($EX234=$EU234+1,$EY234=$EV234),IF(OR(COUNTIF(#REF!,$B234)&gt;0,COUNTIF(#REF!,$B234)=0),"SKIP",IF(COUNTIFS(#REF!,$B234,#REF!,$DJ234)&gt;0,"OK","ONBEKEND")),IF(AND($EX234=$EU234,$EY234=$EV234+1),IF(OR(COUNTIF(#REF!,$D234)&gt;0,COUNTIF(#REF!,$D234)=0),"SKIP",IF(COUNTIFS(#REF!,$D234,#REF!,$DJ234)&gt;0,"OK","ONBEKEND")),"ONZEKER")))))</f>
        <v/>
      </c>
      <c r="DL234" t="str">
        <f t="shared" si="1736"/>
        <v/>
      </c>
      <c r="DM234" t="str">
        <f t="shared" si="1737"/>
        <v/>
      </c>
      <c r="DN234" t="str">
        <f t="shared" si="1738"/>
        <v/>
      </c>
      <c r="DO234" t="str">
        <f t="shared" si="1739"/>
        <v/>
      </c>
      <c r="DP234" t="str">
        <f t="shared" si="1740"/>
        <v/>
      </c>
      <c r="DQ234" t="str">
        <f t="shared" si="1741"/>
        <v/>
      </c>
      <c r="DR234" t="str">
        <f t="shared" si="1742"/>
        <v/>
      </c>
      <c r="DS234" t="str">
        <f t="shared" si="1743"/>
        <v/>
      </c>
      <c r="DT234" t="str">
        <f t="shared" si="1744"/>
        <v/>
      </c>
      <c r="DU234" t="str">
        <f t="shared" si="1745"/>
        <v/>
      </c>
      <c r="DV234" t="str">
        <f t="shared" si="1746"/>
        <v/>
      </c>
      <c r="DW234" t="str">
        <f t="shared" si="1747"/>
        <v/>
      </c>
      <c r="DX234" t="str">
        <f t="shared" si="1748"/>
        <v/>
      </c>
      <c r="DY234" t="str">
        <f t="shared" si="1749"/>
        <v/>
      </c>
      <c r="DZ234" t="str">
        <f t="shared" si="1750"/>
        <v/>
      </c>
      <c r="EA234" t="str">
        <f t="shared" si="1751"/>
        <v/>
      </c>
      <c r="EB234" t="str">
        <f t="shared" si="1752"/>
        <v/>
      </c>
      <c r="EC234" t="str">
        <f t="shared" si="1753"/>
        <v/>
      </c>
      <c r="ED234" t="str">
        <f t="shared" si="1754"/>
        <v/>
      </c>
      <c r="EE234" t="str">
        <f t="shared" si="1755"/>
        <v/>
      </c>
      <c r="EF234" t="str">
        <f t="shared" si="1756"/>
        <v/>
      </c>
      <c r="EG234" t="str">
        <f t="shared" si="1757"/>
        <v/>
      </c>
      <c r="EH234" t="str">
        <f t="shared" si="1758"/>
        <v/>
      </c>
      <c r="EI234" t="str">
        <f t="shared" si="1759"/>
        <v/>
      </c>
      <c r="EJ234" t="str">
        <f t="shared" si="1760"/>
        <v/>
      </c>
      <c r="EK234" t="str">
        <f t="shared" si="1761"/>
        <v/>
      </c>
      <c r="EL234" t="str">
        <f t="shared" si="1762"/>
        <v/>
      </c>
      <c r="EM234" t="str">
        <f t="shared" si="1763"/>
        <v/>
      </c>
      <c r="EN234" t="str">
        <f t="shared" si="1764"/>
        <v/>
      </c>
      <c r="EO234" t="str">
        <f t="shared" si="1765"/>
        <v/>
      </c>
      <c r="EP234" t="str">
        <f t="shared" si="1766"/>
        <v/>
      </c>
      <c r="EQ234" t="str">
        <f t="shared" si="1767"/>
        <v/>
      </c>
      <c r="ER234" t="str">
        <f t="shared" si="1768"/>
        <v/>
      </c>
      <c r="ES234" t="str">
        <f t="shared" si="1769"/>
        <v/>
      </c>
      <c r="ET234" t="str">
        <f t="shared" si="1770"/>
        <v/>
      </c>
      <c r="EU234" t="str">
        <f t="shared" si="1771"/>
        <v/>
      </c>
      <c r="EV234" t="str">
        <f t="shared" si="1772"/>
        <v/>
      </c>
      <c r="EW234" t="str">
        <f t="shared" si="1773"/>
        <v/>
      </c>
      <c r="EX234" t="str">
        <f t="shared" si="1774"/>
        <v/>
      </c>
      <c r="EY234" t="str">
        <f t="shared" si="1775"/>
        <v/>
      </c>
    </row>
    <row r="235" spans="1:155" ht="13.9" customHeight="1" x14ac:dyDescent="0.25">
      <c r="A235" s="14"/>
      <c r="B235" s="15" t="s">
        <v>161</v>
      </c>
      <c r="C235" s="16"/>
      <c r="D235" s="16"/>
      <c r="E235" s="16"/>
      <c r="F235" s="31" t="s">
        <v>1</v>
      </c>
      <c r="G235" s="33"/>
      <c r="H235" s="33"/>
      <c r="I235" s="32" t="s">
        <v>2</v>
      </c>
      <c r="J235" s="33"/>
      <c r="K235" s="33"/>
      <c r="L235" s="6" t="s">
        <v>3</v>
      </c>
      <c r="M235" s="2" t="s">
        <v>4</v>
      </c>
      <c r="N235" s="2" t="s">
        <v>5</v>
      </c>
      <c r="O235" s="2" t="s">
        <v>6</v>
      </c>
      <c r="P235" s="2" t="s">
        <v>7</v>
      </c>
      <c r="Q235" s="2" t="s">
        <v>8</v>
      </c>
      <c r="R235" s="2" t="str">
        <f>IF($Q235="","",IF(OR($BE235="",$BF235=""),"ONZEKER",IF(AND($BE235=0+1,$BF235=0),IF(OR(COUNTIF(#REF!,$B235)&gt;0,COUNTIF(#REF!,$B235)=0),"SKIP",IF(COUNTIFS(#REF!,$B235,#REF!,$Q235)&gt;0,"OK","ONBEKEND")),IF(AND($BE235=0,$BF235=0+1),IF(OR(COUNTIF(#REF!,$D235)&gt;0,COUNTIF(#REF!,$D235)=0),"SKIP",IF(COUNTIFS(#REF!,$D235,#REF!,$Q235)&gt;0,"OK","ONBEKEND")),"ONZEKER"))))</f>
        <v>ONZEKER</v>
      </c>
      <c r="S235" s="2" t="s">
        <v>10</v>
      </c>
      <c r="T235" s="2" t="s">
        <v>11</v>
      </c>
      <c r="U235" s="2" t="str">
        <f>IF($T235="","",IF(OR($BH235="",$BI235=""),"ONZEKER",IF(OR($BE235="",$BF235=""),"ONZEKER",IF(AND($BH235=$BE235+1,$BI235=$BF235),IF(OR(COUNTIF(#REF!,$B235)&gt;0,COUNTIF(#REF!,$B235)=0),"SKIP",IF(COUNTIFS(#REF!,$B235,#REF!,$T235)&gt;0,"OK","ONBEKEND")),IF(AND($BH235=$BE235,$BI235=$BF235+1),IF(OR(COUNTIF(#REF!,$D235)&gt;0,COUNTIF(#REF!,$D235)=0),"SKIP",IF(COUNTIFS(#REF!,$D235,#REF!,$T235)&gt;0,"OK","ONBEKEND")),"ONZEKER")))))</f>
        <v>ONZEKER</v>
      </c>
      <c r="V235" s="2" t="s">
        <v>13</v>
      </c>
      <c r="W235" s="2" t="s">
        <v>14</v>
      </c>
      <c r="X235" s="2" t="str">
        <f>IF($W235="","",IF(OR($BK235="",$BL235=""),"ONZEKER",IF(OR($BH235="",$BI235=""),"ONZEKER",IF(AND($BK235=$BH235+1,$BL235=$BI235),IF(OR(COUNTIF(#REF!,$B235)&gt;0,COUNTIF(#REF!,$B235)=0),"SKIP",IF(COUNTIFS(#REF!,$B235,#REF!,$W235)&gt;0,"OK","ONBEKEND")),IF(AND($BK235=$BH235,$BL235=$BI235+1),IF(OR(COUNTIF(#REF!,$D235)&gt;0,COUNTIF(#REF!,$D235)=0),"SKIP",IF(COUNTIFS(#REF!,$D235,#REF!,$W235)&gt;0,"OK","ONBEKEND")),"ONZEKER")))))</f>
        <v>ONZEKER</v>
      </c>
      <c r="Y235" s="2" t="s">
        <v>16</v>
      </c>
      <c r="Z235" s="2" t="s">
        <v>17</v>
      </c>
      <c r="AA235" s="2" t="str">
        <f>IF($Z235="","",IF(OR($BN235="",$BO235=""),"ONZEKER",IF(OR($BK235="",$BL235=""),"ONZEKER",IF(AND($BN235=$BK235+1,$BO235=$BL235),IF(OR(COUNTIF(#REF!,$B235)&gt;0,COUNTIF(#REF!,$B235)=0),"SKIP",IF(COUNTIFS(#REF!,$B235,#REF!,$Z235)&gt;0,"OK","ONBEKEND")),IF(AND($BN235=$BK235,$BO235=$BL235+1),IF(OR(COUNTIF(#REF!,$D235)&gt;0,COUNTIF(#REF!,$D235)=0),"SKIP",IF(COUNTIFS(#REF!,$D235,#REF!,$Z235)&gt;0,"OK","ONBEKEND")),"ONZEKER")))))</f>
        <v>ONZEKER</v>
      </c>
      <c r="AB235" s="2" t="s">
        <v>19</v>
      </c>
      <c r="AC235" s="2" t="s">
        <v>20</v>
      </c>
      <c r="AD235" s="2" t="str">
        <f>IF($AC235="","",IF(OR($BQ235="",$BR235=""),"ONZEKER",IF(OR($BN235="",$BO235=""),"ONZEKER",IF(AND($BQ235=$BN235+1,$BR235=$BO235),IF(OR(COUNTIF(#REF!,$B235)&gt;0,COUNTIF(#REF!,$B235)=0),"SKIP",IF(COUNTIFS(#REF!,$B235,#REF!,$AC235)&gt;0,"OK","ONBEKEND")),IF(AND($BQ235=$BN235,$BR235=$BO235+1),IF(OR(COUNTIF(#REF!,$D235)&gt;0,COUNTIF(#REF!,$D235)=0),"SKIP",IF(COUNTIFS(#REF!,$D235,#REF!,$AC235)&gt;0,"OK","ONBEKEND")),"ONZEKER")))))</f>
        <v>ONZEKER</v>
      </c>
      <c r="AE235" s="2" t="s">
        <v>22</v>
      </c>
      <c r="AF235" s="2" t="s">
        <v>23</v>
      </c>
      <c r="AG235" s="2" t="str">
        <f>IF($AF235="","",IF(OR($BT235="",$BU235=""),"ONZEKER",IF(OR($BQ235="",$BR235=""),"ONZEKER",IF(AND($BT235=$BQ235+1,$BU235=$BR235),IF(OR(COUNTIF(#REF!,$B235)&gt;0,COUNTIF(#REF!,$B235)=0),"SKIP",IF(COUNTIFS(#REF!,$B235,#REF!,$AF235)&gt;0,"OK","ONBEKEND")),IF(AND($BT235=$BQ235,$BU235=$BR235+1),IF(OR(COUNTIF(#REF!,$D235)&gt;0,COUNTIF(#REF!,$D235)=0),"SKIP",IF(COUNTIFS(#REF!,$D235,#REF!,$AF235)&gt;0,"OK","ONBEKEND")),"ONZEKER")))))</f>
        <v>ONZEKER</v>
      </c>
      <c r="AH235" s="2" t="s">
        <v>25</v>
      </c>
      <c r="AI235" s="2" t="s">
        <v>26</v>
      </c>
      <c r="AJ235" s="2" t="str">
        <f>IF($AI235="","",IF(OR($BW235="",$BX235=""),"ONZEKER",IF(OR($BT235="",$BU235=""),"ONZEKER",IF(AND($BW235=$BT235+1,$BX235=$BU235),IF(OR(COUNTIF(#REF!,$B235)&gt;0,COUNTIF(#REF!,$B235)=0),"SKIP",IF(COUNTIFS(#REF!,$B235,#REF!,$AI235)&gt;0,"OK","ONBEKEND")),IF(AND($BW235=$BT235,$BX235=$BU235+1),IF(OR(COUNTIF(#REF!,$D235)&gt;0,COUNTIF(#REF!,$D235)=0),"SKIP",IF(COUNTIFS(#REF!,$D235,#REF!,$AI235)&gt;0,"OK","ONBEKEND")),"ONZEKER")))))</f>
        <v>ONZEKER</v>
      </c>
      <c r="AK235" s="2" t="s">
        <v>28</v>
      </c>
      <c r="AL235" s="2" t="s">
        <v>29</v>
      </c>
      <c r="AM235" s="2" t="str">
        <f>IF($AL235="","",IF(OR($BZ235="",$CA235=""),"ONZEKER",IF(OR($BW235="",$BX235=""),"ONZEKER",IF(AND($BZ235=$BW235+1,$CA235=$BX235),IF(OR(COUNTIF(#REF!,$B235)&gt;0,COUNTIF(#REF!,$B235)=0),"SKIP",IF(COUNTIFS(#REF!,$B235,#REF!,$AL235)&gt;0,"OK","ONBEKEND")),IF(AND($BZ235=$BW235,$CA235=$BX235+1),IF(OR(COUNTIF(#REF!,$D235)&gt;0,COUNTIF(#REF!,$D235)=0),"SKIP",IF(COUNTIFS(#REF!,$D235,#REF!,$AL235)&gt;0,"OK","ONBEKEND")),"ONZEKER")))))</f>
        <v>ONZEKER</v>
      </c>
      <c r="AN235" s="2" t="s">
        <v>31</v>
      </c>
      <c r="AO235" s="2" t="s">
        <v>32</v>
      </c>
      <c r="AP235" s="2" t="str">
        <f>IF($AO235="","",IF(OR($CC235="",$CD235=""),"ONZEKER",IF(OR($BZ235="",$CA235=""),"ONZEKER",IF(AND($CC235=$BZ235+1,$CD235=$CA235),IF(OR(COUNTIF(#REF!,$B235)&gt;0,COUNTIF(#REF!,$B235)=0),"SKIP",IF(COUNTIFS(#REF!,$B235,#REF!,$AO235)&gt;0,"OK","ONBEKEND")),IF(AND($CC235=$BZ235,$CD235=$CA235+1),IF(OR(COUNTIF(#REF!,$D235)&gt;0,COUNTIF(#REF!,$D235)=0),"SKIP",IF(COUNTIFS(#REF!,$D235,#REF!,$AO235)&gt;0,"OK","ONBEKEND")),"ONZEKER")))))</f>
        <v>ONZEKER</v>
      </c>
      <c r="AQ235" s="2" t="s">
        <v>34</v>
      </c>
      <c r="AR235" s="2" t="s">
        <v>35</v>
      </c>
      <c r="AS235" s="2" t="str">
        <f>IF($AR235="","",IF(OR($CF235="",$CG235=""),"ONZEKER",IF(OR($CC235="",$CD235=""),"ONZEKER",IF(AND($CF235=$CC235+1,$CG235=$CD235),IF(OR(COUNTIF(#REF!,$B235)&gt;0,COUNTIF(#REF!,$B235)=0),"SKIP",IF(COUNTIFS(#REF!,$B235,#REF!,$AR235)&gt;0,"OK","ONBEKEND")),IF(AND($CF235=$CC235,$CG235=$CD235+1),IF(OR(COUNTIF(#REF!,$D235)&gt;0,COUNTIF(#REF!,$D235)=0),"SKIP",IF(COUNTIFS(#REF!,$D235,#REF!,$AR235)&gt;0,"OK","ONBEKEND")),"ONZEKER")))))</f>
        <v>ONZEKER</v>
      </c>
      <c r="AT235" s="2" t="s">
        <v>37</v>
      </c>
      <c r="AU235" s="2" t="s">
        <v>38</v>
      </c>
      <c r="AV235" s="2" t="s">
        <v>39</v>
      </c>
      <c r="AW235" s="2" t="s">
        <v>40</v>
      </c>
      <c r="AX235" s="2" t="s">
        <v>41</v>
      </c>
      <c r="AY235" s="2" t="s">
        <v>42</v>
      </c>
      <c r="AZ235" s="2" t="s">
        <v>43</v>
      </c>
      <c r="BA235" s="2" t="s">
        <v>44</v>
      </c>
      <c r="BB235" s="2" t="s">
        <v>45</v>
      </c>
      <c r="BC235" s="2" t="s">
        <v>46</v>
      </c>
      <c r="BD235" t="str">
        <f t="shared" si="1470"/>
        <v/>
      </c>
      <c r="BE235" t="str">
        <f t="shared" si="1471"/>
        <v/>
      </c>
      <c r="BF235" t="str">
        <f t="shared" si="1472"/>
        <v/>
      </c>
      <c r="BG235" t="str">
        <f t="shared" si="1473"/>
        <v/>
      </c>
      <c r="BH235" t="str">
        <f t="shared" si="1474"/>
        <v/>
      </c>
      <c r="BI235" t="str">
        <f t="shared" si="1475"/>
        <v/>
      </c>
      <c r="BJ235" t="str">
        <f t="shared" si="1476"/>
        <v/>
      </c>
      <c r="BK235" t="str">
        <f t="shared" si="1477"/>
        <v/>
      </c>
      <c r="BL235" t="str">
        <f t="shared" si="1478"/>
        <v/>
      </c>
      <c r="BM235" t="str">
        <f t="shared" si="1479"/>
        <v/>
      </c>
      <c r="BN235" t="str">
        <f t="shared" si="1480"/>
        <v/>
      </c>
      <c r="BO235" t="str">
        <f t="shared" si="1481"/>
        <v/>
      </c>
      <c r="BP235" t="str">
        <f t="shared" si="1482"/>
        <v/>
      </c>
      <c r="BQ235" t="str">
        <f t="shared" si="1483"/>
        <v/>
      </c>
      <c r="BR235" t="str">
        <f t="shared" si="1484"/>
        <v/>
      </c>
      <c r="BS235" t="str">
        <f t="shared" si="1485"/>
        <v/>
      </c>
      <c r="BT235" t="str">
        <f t="shared" si="1486"/>
        <v/>
      </c>
      <c r="BU235" t="str">
        <f t="shared" si="1487"/>
        <v/>
      </c>
      <c r="BV235" t="str">
        <f t="shared" si="1488"/>
        <v/>
      </c>
      <c r="BW235" t="str">
        <f t="shared" si="1489"/>
        <v/>
      </c>
      <c r="BX235" t="str">
        <f t="shared" si="1490"/>
        <v/>
      </c>
      <c r="BY235" t="str">
        <f t="shared" si="1491"/>
        <v/>
      </c>
      <c r="BZ235" t="str">
        <f t="shared" si="1492"/>
        <v/>
      </c>
      <c r="CA235" t="str">
        <f t="shared" si="1493"/>
        <v/>
      </c>
      <c r="CB235" t="str">
        <f t="shared" si="1494"/>
        <v/>
      </c>
      <c r="CC235" t="str">
        <f t="shared" si="1495"/>
        <v/>
      </c>
      <c r="CD235" t="str">
        <f t="shared" si="1496"/>
        <v/>
      </c>
      <c r="CE235" t="str">
        <f t="shared" si="1497"/>
        <v/>
      </c>
      <c r="CF235" t="str">
        <f t="shared" si="1498"/>
        <v/>
      </c>
      <c r="CG235" t="str">
        <f t="shared" si="1499"/>
        <v/>
      </c>
      <c r="CH235" s="2" t="s">
        <v>77</v>
      </c>
      <c r="CI235" s="2" t="s">
        <v>78</v>
      </c>
      <c r="CJ235" s="2" t="s">
        <v>79</v>
      </c>
      <c r="CK235" s="2" t="s">
        <v>80</v>
      </c>
      <c r="CL235" s="2" t="s">
        <v>81</v>
      </c>
      <c r="CM235" s="2" t="s">
        <v>82</v>
      </c>
      <c r="CN235" s="2" t="s">
        <v>83</v>
      </c>
      <c r="CO235" s="2" t="s">
        <v>84</v>
      </c>
      <c r="CP235" s="2" t="s">
        <v>85</v>
      </c>
      <c r="CQ235" s="2" t="s">
        <v>86</v>
      </c>
      <c r="CR235" s="2" t="s">
        <v>87</v>
      </c>
      <c r="CS235" s="2" t="s">
        <v>88</v>
      </c>
      <c r="CT235" s="2" t="s">
        <v>89</v>
      </c>
      <c r="CU235" s="2" t="s">
        <v>90</v>
      </c>
      <c r="CV235" s="2" t="s">
        <v>91</v>
      </c>
      <c r="CW235" s="2" t="s">
        <v>92</v>
      </c>
      <c r="CX235" s="2" t="s">
        <v>93</v>
      </c>
      <c r="CY235" s="2" t="s">
        <v>94</v>
      </c>
      <c r="CZ235" s="2" t="s">
        <v>95</v>
      </c>
      <c r="DA235" s="2" t="s">
        <v>96</v>
      </c>
      <c r="DB235" s="2" t="s">
        <v>97</v>
      </c>
      <c r="DC235" s="2" t="s">
        <v>98</v>
      </c>
      <c r="DD235" s="2" t="s">
        <v>99</v>
      </c>
      <c r="DE235" s="2" t="s">
        <v>100</v>
      </c>
      <c r="DF235" s="2" t="s">
        <v>101</v>
      </c>
      <c r="DG235" s="2" t="s">
        <v>102</v>
      </c>
      <c r="DH235" s="2" t="s">
        <v>103</v>
      </c>
      <c r="DI235" s="2" t="s">
        <v>104</v>
      </c>
      <c r="DJ235" s="2" t="s">
        <v>105</v>
      </c>
      <c r="DK235" s="2" t="s">
        <v>106</v>
      </c>
      <c r="DL235" s="2" t="s">
        <v>107</v>
      </c>
      <c r="DM235" s="2" t="s">
        <v>108</v>
      </c>
      <c r="DN235" s="2" t="s">
        <v>109</v>
      </c>
      <c r="DO235" s="2" t="s">
        <v>110</v>
      </c>
      <c r="DP235" s="2" t="s">
        <v>111</v>
      </c>
      <c r="DQ235" s="2" t="s">
        <v>112</v>
      </c>
      <c r="DR235" s="2" t="s">
        <v>113</v>
      </c>
      <c r="DS235" s="2" t="s">
        <v>114</v>
      </c>
      <c r="DT235" s="2" t="s">
        <v>115</v>
      </c>
      <c r="DU235" s="2" t="s">
        <v>116</v>
      </c>
      <c r="DV235" s="2" t="s">
        <v>117</v>
      </c>
      <c r="DW235" s="2" t="s">
        <v>118</v>
      </c>
      <c r="DX235" s="2" t="s">
        <v>119</v>
      </c>
      <c r="DY235" s="2" t="s">
        <v>120</v>
      </c>
      <c r="DZ235" s="2" t="s">
        <v>121</v>
      </c>
      <c r="EA235" s="2" t="s">
        <v>122</v>
      </c>
      <c r="EB235" s="2" t="s">
        <v>123</v>
      </c>
      <c r="EC235" s="2" t="s">
        <v>124</v>
      </c>
      <c r="ED235" s="2" t="s">
        <v>125</v>
      </c>
      <c r="EE235" s="2" t="s">
        <v>126</v>
      </c>
      <c r="EF235" s="2" t="s">
        <v>127</v>
      </c>
      <c r="EG235" s="2" t="s">
        <v>128</v>
      </c>
      <c r="EH235" s="2" t="s">
        <v>129</v>
      </c>
      <c r="EI235" s="2" t="s">
        <v>130</v>
      </c>
      <c r="EJ235" s="2" t="s">
        <v>131</v>
      </c>
      <c r="EK235" s="2" t="s">
        <v>132</v>
      </c>
      <c r="EL235" s="2" t="s">
        <v>133</v>
      </c>
      <c r="EM235" s="2" t="s">
        <v>134</v>
      </c>
      <c r="EN235" s="2" t="s">
        <v>135</v>
      </c>
      <c r="EO235" s="2" t="s">
        <v>136</v>
      </c>
      <c r="EP235" s="2" t="s">
        <v>137</v>
      </c>
      <c r="EQ235" s="2" t="s">
        <v>138</v>
      </c>
      <c r="ER235" s="2" t="s">
        <v>139</v>
      </c>
      <c r="ES235" s="2" t="s">
        <v>140</v>
      </c>
      <c r="ET235" s="2" t="s">
        <v>141</v>
      </c>
      <c r="EU235" s="2" t="s">
        <v>142</v>
      </c>
      <c r="EV235" s="2" t="s">
        <v>143</v>
      </c>
      <c r="EW235" s="2" t="s">
        <v>144</v>
      </c>
      <c r="EX235" s="2" t="s">
        <v>145</v>
      </c>
      <c r="EY235" s="2" t="s">
        <v>146</v>
      </c>
    </row>
    <row r="236" spans="1:155" ht="13.9" customHeight="1" x14ac:dyDescent="0.25">
      <c r="A236" s="7"/>
      <c r="B236" s="17"/>
      <c r="C236" s="8"/>
      <c r="D236" s="17"/>
      <c r="E236" s="8"/>
      <c r="F236" s="18">
        <v>0</v>
      </c>
      <c r="G236" s="7" t="s">
        <v>147</v>
      </c>
      <c r="H236" s="18">
        <v>0</v>
      </c>
      <c r="I236" s="19">
        <v>0</v>
      </c>
      <c r="J236" s="7" t="s">
        <v>147</v>
      </c>
      <c r="K236" s="19">
        <v>0</v>
      </c>
      <c r="L236" s="9"/>
      <c r="M236" s="3" t="str">
        <f>IF($L236="","",IF($L236="DOELPUNTENMAKERS","",IF(AND(COUNTIF(#REF!,$B236)=0,COUNTIF(#REF!,$D236)=0),"OK",IF($O236&gt;20,"LET OP: meer dan 20 items (controle onvolledig)",IF((COUNTIF($R236:$AS236,"ONZEKER")+COUNTIF($CJ236:$DK236,"ONZEKER"))&gt;0,"LET OP: scoreverloop onduidelijk (controle beperkt)",IF((IF($AT236&lt;&gt;"",$AT236&amp;", ","")&amp;IF($AU236&lt;&gt;"",$AU236&amp;", ","")&amp;IF($AV236&lt;&gt;"",$AV236&amp;", ","")&amp;IF($AW236&lt;&gt;"",$AW236&amp;", ","")&amp;IF($AX236&lt;&gt;"",$AX236&amp;", ","")&amp;IF($AY236&lt;&gt;"",$AY236&amp;", ","")&amp;IF($AZ236&lt;&gt;"",$AZ236&amp;", ","")&amp;IF($BA236&lt;&gt;"",$BA236&amp;", ","")&amp;IF($BB236&lt;&gt;"",$BB236&amp;", ","")&amp;IF($BC236&lt;&gt;"",$BC236&amp;", ","")&amp;IF($DL236&lt;&gt;"",$DL236&amp;", ","")&amp;IF($DM236&lt;&gt;"",$DM236&amp;", ","")&amp;IF($DN236&lt;&gt;"",$DN236&amp;", ","")&amp;IF($DO236&lt;&gt;"",$DO236&amp;", ","")&amp;IF($DP236&lt;&gt;"",$DP236&amp;", ","")&amp;IF($DQ236&lt;&gt;"",$DQ236&amp;", ","")&amp;IF($DR236&lt;&gt;"",$DR236&amp;", ","")&amp;IF($DS236&lt;&gt;"",$DS236&amp;", ","")&amp;IF($DT236&lt;&gt;"",$DT236&amp;", ","")&amp;IF($DU236&lt;&gt;"",$DU236&amp;", ",""))="","OK","Onbekend: "&amp;LEFT((IF($AT236&lt;&gt;"",$AT236&amp;", ","")&amp;IF($AU236&lt;&gt;"",$AU236&amp;", ","")&amp;IF($AV236&lt;&gt;"",$AV236&amp;", ","")&amp;IF($AW236&lt;&gt;"",$AW236&amp;", ","")&amp;IF($AX236&lt;&gt;"",$AX236&amp;", ","")&amp;IF($AY236&lt;&gt;"",$AY236&amp;", ","")&amp;IF($AZ236&lt;&gt;"",$AZ236&amp;", ","")&amp;IF($BA236&lt;&gt;"",$BA236&amp;", ","")&amp;IF($BB236&lt;&gt;"",$BB236&amp;", ","")&amp;IF($BC236&lt;&gt;"",$BC236&amp;", ","")&amp;IF($DL236&lt;&gt;"",$DL236&amp;", ","")&amp;IF($DM236&lt;&gt;"",$DM236&amp;", ","")&amp;IF($DN236&lt;&gt;"",$DN236&amp;", ","")&amp;IF($DO236&lt;&gt;"",$DO236&amp;", ","")&amp;IF($DP236&lt;&gt;"",$DP236&amp;", ","")&amp;IF($DQ236&lt;&gt;"",$DQ236&amp;", ","")&amp;IF($DR236&lt;&gt;"",$DR236&amp;", ","")&amp;IF($DS236&lt;&gt;"",$DS236&amp;", ","")&amp;IF($DT236&lt;&gt;"",$DT236&amp;", ","")&amp;IF($DU236&lt;&gt;"",$DU236&amp;", ","")),LEN((IF($AT236&lt;&gt;"",$AT236&amp;", ","")&amp;IF($AU236&lt;&gt;"",$AU236&amp;", ","")&amp;IF($AV236&lt;&gt;"",$AV236&amp;", ","")&amp;IF($AW236&lt;&gt;"",$AW236&amp;", ","")&amp;IF($AX236&lt;&gt;"",$AX236&amp;", ","")&amp;IF($AY236&lt;&gt;"",$AY236&amp;", ","")&amp;IF($AZ236&lt;&gt;"",$AZ236&amp;", ","")&amp;IF($BA236&lt;&gt;"",$BA236&amp;", ","")&amp;IF($BB236&lt;&gt;"",$BB236&amp;", ","")&amp;IF($BC236&lt;&gt;"",$BC236&amp;", ","")&amp;IF($DL236&lt;&gt;"",$DL236&amp;", ","")&amp;IF($DM236&lt;&gt;"",$DM236&amp;", ","")&amp;IF($DN236&lt;&gt;"",$DN236&amp;", ","")&amp;IF($DO236&lt;&gt;"",$DO236&amp;", ","")&amp;IF($DP236&lt;&gt;"",$DP236&amp;", ","")&amp;IF($DQ236&lt;&gt;"",$DQ236&amp;", ","")&amp;IF($DR236&lt;&gt;"",$DR236&amp;", ","")&amp;IF($DS236&lt;&gt;"",$DS236&amp;", ","")&amp;IF($DT236&lt;&gt;"",$DT236&amp;", ","")&amp;IF($DU236&lt;&gt;"",$DU236&amp;", ","")))-2)))))))</f>
        <v/>
      </c>
      <c r="N236" t="str">
        <f t="shared" ref="N236:N247" si="1776">IF($L236="","",TRIM(IF(RIGHT(SUBSTITUTE($L236,CHAR(160)," "),1)=".",LEFT(SUBSTITUTE($L236,CHAR(160)," "),LEN(SUBSTITUTE($L236,CHAR(160)," "))-1),SUBSTITUTE($L236,CHAR(160)," "))))</f>
        <v/>
      </c>
      <c r="O236" t="str">
        <f t="shared" ref="O236:O247" si="1777">IF($N236="","",LEN($N236)-LEN(SUBSTITUTE($N236,",",""))+1)</f>
        <v/>
      </c>
      <c r="P236" t="str">
        <f t="shared" ref="P236:P247" si="1778">IF($N236="","",TRIM(MID(SUBSTITUTE($N236,",",REPT(" ",200)),1,200)))</f>
        <v/>
      </c>
      <c r="Q236" t="str">
        <f t="shared" ref="Q236:Q247" si="1779">IF(P236="","",TRIM(IFERROR(LEFT(P236,FIND("§",SUBSTITUTE(P236," ","§",LEN(P236)-LEN(SUBSTITUTE(P236," ",""))))-1),P236)))</f>
        <v/>
      </c>
      <c r="R236" t="str">
        <f>IF($Q236="","",IF(OR($BE236="",$BF236=""),"ONZEKER",IF(AND($BE236=0+1,$BF236=0),IF(OR(COUNTIF(#REF!,$B236)&gt;0,COUNTIF(#REF!,$B236)=0),"SKIP",IF(COUNTIFS(#REF!,$B236,#REF!,$Q236)&gt;0,"OK","ONBEKEND")),IF(AND($BE236=0,$BF236=0+1),IF(OR(COUNTIF(#REF!,$D236)&gt;0,COUNTIF(#REF!,$D236)=0),"SKIP",IF(COUNTIFS(#REF!,$D236,#REF!,$Q236)&gt;0,"OK","ONBEKEND")),"ONZEKER"))))</f>
        <v/>
      </c>
      <c r="S236" t="str">
        <f t="shared" ref="S236:S247" si="1780">IF($N236="","",TRIM(MID(SUBSTITUTE($N236,",",REPT(" ",200)),201,200)))</f>
        <v/>
      </c>
      <c r="T236" t="str">
        <f t="shared" ref="T236:T247" si="1781">IF(S236="","",TRIM(IFERROR(LEFT(S236,FIND("§",SUBSTITUTE(S236," ","§",LEN(S236)-LEN(SUBSTITUTE(S236," ",""))))-1),S236)))</f>
        <v/>
      </c>
      <c r="U236" t="str">
        <f>IF($T236="","",IF(OR($BH236="",$BI236=""),"ONZEKER",IF(OR($BE236="",$BF236=""),"ONZEKER",IF(AND($BH236=$BE236+1,$BI236=$BF236),IF(OR(COUNTIF(#REF!,$B236)&gt;0,COUNTIF(#REF!,$B236)=0),"SKIP",IF(COUNTIFS(#REF!,$B236,#REF!,$T236)&gt;0,"OK","ONBEKEND")),IF(AND($BH236=$BE236,$BI236=$BF236+1),IF(OR(COUNTIF(#REF!,$D236)&gt;0,COUNTIF(#REF!,$D236)=0),"SKIP",IF(COUNTIFS(#REF!,$D236,#REF!,$T236)&gt;0,"OK","ONBEKEND")),"ONZEKER")))))</f>
        <v/>
      </c>
      <c r="V236" t="str">
        <f t="shared" ref="V236:V247" si="1782">IF($N236="","",TRIM(MID(SUBSTITUTE($N236,",",REPT(" ",200)),401,200)))</f>
        <v/>
      </c>
      <c r="W236" t="str">
        <f t="shared" ref="W236:W247" si="1783">IF(V236="","",TRIM(IFERROR(LEFT(V236,FIND("§",SUBSTITUTE(V236," ","§",LEN(V236)-LEN(SUBSTITUTE(V236," ",""))))-1),V236)))</f>
        <v/>
      </c>
      <c r="X236" t="str">
        <f>IF($W236="","",IF(OR($BK236="",$BL236=""),"ONZEKER",IF(OR($BH236="",$BI236=""),"ONZEKER",IF(AND($BK236=$BH236+1,$BL236=$BI236),IF(OR(COUNTIF(#REF!,$B236)&gt;0,COUNTIF(#REF!,$B236)=0),"SKIP",IF(COUNTIFS(#REF!,$B236,#REF!,$W236)&gt;0,"OK","ONBEKEND")),IF(AND($BK236=$BH236,$BL236=$BI236+1),IF(OR(COUNTIF(#REF!,$D236)&gt;0,COUNTIF(#REF!,$D236)=0),"SKIP",IF(COUNTIFS(#REF!,$D236,#REF!,$W236)&gt;0,"OK","ONBEKEND")),"ONZEKER")))))</f>
        <v/>
      </c>
      <c r="Y236" t="str">
        <f t="shared" ref="Y236:Y247" si="1784">IF($N236="","",TRIM(MID(SUBSTITUTE($N236,",",REPT(" ",200)),601,200)))</f>
        <v/>
      </c>
      <c r="Z236" t="str">
        <f t="shared" ref="Z236:Z247" si="1785">IF(Y236="","",TRIM(IFERROR(LEFT(Y236,FIND("§",SUBSTITUTE(Y236," ","§",LEN(Y236)-LEN(SUBSTITUTE(Y236," ",""))))-1),Y236)))</f>
        <v/>
      </c>
      <c r="AA236" t="str">
        <f>IF($Z236="","",IF(OR($BN236="",$BO236=""),"ONZEKER",IF(OR($BK236="",$BL236=""),"ONZEKER",IF(AND($BN236=$BK236+1,$BO236=$BL236),IF(OR(COUNTIF(#REF!,$B236)&gt;0,COUNTIF(#REF!,$B236)=0),"SKIP",IF(COUNTIFS(#REF!,$B236,#REF!,$Z236)&gt;0,"OK","ONBEKEND")),IF(AND($BN236=$BK236,$BO236=$BL236+1),IF(OR(COUNTIF(#REF!,$D236)&gt;0,COUNTIF(#REF!,$D236)=0),"SKIP",IF(COUNTIFS(#REF!,$D236,#REF!,$Z236)&gt;0,"OK","ONBEKEND")),"ONZEKER")))))</f>
        <v/>
      </c>
      <c r="AB236" t="str">
        <f t="shared" ref="AB236:AB247" si="1786">IF($N236="","",TRIM(MID(SUBSTITUTE($N236,",",REPT(" ",200)),801,200)))</f>
        <v/>
      </c>
      <c r="AC236" t="str">
        <f t="shared" ref="AC236:AC247" si="1787">IF(AB236="","",TRIM(IFERROR(LEFT(AB236,FIND("§",SUBSTITUTE(AB236," ","§",LEN(AB236)-LEN(SUBSTITUTE(AB236," ",""))))-1),AB236)))</f>
        <v/>
      </c>
      <c r="AD236" t="str">
        <f>IF($AC236="","",IF(OR($BQ236="",$BR236=""),"ONZEKER",IF(OR($BN236="",$BO236=""),"ONZEKER",IF(AND($BQ236=$BN236+1,$BR236=$BO236),IF(OR(COUNTIF(#REF!,$B236)&gt;0,COUNTIF(#REF!,$B236)=0),"SKIP",IF(COUNTIFS(#REF!,$B236,#REF!,$AC236)&gt;0,"OK","ONBEKEND")),IF(AND($BQ236=$BN236,$BR236=$BO236+1),IF(OR(COUNTIF(#REF!,$D236)&gt;0,COUNTIF(#REF!,$D236)=0),"SKIP",IF(COUNTIFS(#REF!,$D236,#REF!,$AC236)&gt;0,"OK","ONBEKEND")),"ONZEKER")))))</f>
        <v/>
      </c>
      <c r="AE236" t="str">
        <f t="shared" ref="AE236:AE247" si="1788">IF($N236="","",TRIM(MID(SUBSTITUTE($N236,",",REPT(" ",200)),1001,200)))</f>
        <v/>
      </c>
      <c r="AF236" t="str">
        <f t="shared" ref="AF236:AF247" si="1789">IF(AE236="","",TRIM(IFERROR(LEFT(AE236,FIND("§",SUBSTITUTE(AE236," ","§",LEN(AE236)-LEN(SUBSTITUTE(AE236," ",""))))-1),AE236)))</f>
        <v/>
      </c>
      <c r="AG236" t="str">
        <f>IF($AF236="","",IF(OR($BT236="",$BU236=""),"ONZEKER",IF(OR($BQ236="",$BR236=""),"ONZEKER",IF(AND($BT236=$BQ236+1,$BU236=$BR236),IF(OR(COUNTIF(#REF!,$B236)&gt;0,COUNTIF(#REF!,$B236)=0),"SKIP",IF(COUNTIFS(#REF!,$B236,#REF!,$AF236)&gt;0,"OK","ONBEKEND")),IF(AND($BT236=$BQ236,$BU236=$BR236+1),IF(OR(COUNTIF(#REF!,$D236)&gt;0,COUNTIF(#REF!,$D236)=0),"SKIP",IF(COUNTIFS(#REF!,$D236,#REF!,$AF236)&gt;0,"OK","ONBEKEND")),"ONZEKER")))))</f>
        <v/>
      </c>
      <c r="AH236" t="str">
        <f t="shared" ref="AH236:AH247" si="1790">IF($N236="","",TRIM(MID(SUBSTITUTE($N236,",",REPT(" ",200)),1201,200)))</f>
        <v/>
      </c>
      <c r="AI236" t="str">
        <f t="shared" ref="AI236:AI247" si="1791">IF(AH236="","",TRIM(IFERROR(LEFT(AH236,FIND("§",SUBSTITUTE(AH236," ","§",LEN(AH236)-LEN(SUBSTITUTE(AH236," ",""))))-1),AH236)))</f>
        <v/>
      </c>
      <c r="AJ236" t="str">
        <f>IF($AI236="","",IF(OR($BW236="",$BX236=""),"ONZEKER",IF(OR($BT236="",$BU236=""),"ONZEKER",IF(AND($BW236=$BT236+1,$BX236=$BU236),IF(OR(COUNTIF(#REF!,$B236)&gt;0,COUNTIF(#REF!,$B236)=0),"SKIP",IF(COUNTIFS(#REF!,$B236,#REF!,$AI236)&gt;0,"OK","ONBEKEND")),IF(AND($BW236=$BT236,$BX236=$BU236+1),IF(OR(COUNTIF(#REF!,$D236)&gt;0,COUNTIF(#REF!,$D236)=0),"SKIP",IF(COUNTIFS(#REF!,$D236,#REF!,$AI236)&gt;0,"OK","ONBEKEND")),"ONZEKER")))))</f>
        <v/>
      </c>
      <c r="AK236" t="str">
        <f t="shared" ref="AK236:AK247" si="1792">IF($N236="","",TRIM(MID(SUBSTITUTE($N236,",",REPT(" ",200)),1401,200)))</f>
        <v/>
      </c>
      <c r="AL236" t="str">
        <f t="shared" ref="AL236:AL247" si="1793">IF(AK236="","",TRIM(IFERROR(LEFT(AK236,FIND("§",SUBSTITUTE(AK236," ","§",LEN(AK236)-LEN(SUBSTITUTE(AK236," ",""))))-1),AK236)))</f>
        <v/>
      </c>
      <c r="AM236" t="str">
        <f>IF($AL236="","",IF(OR($BZ236="",$CA236=""),"ONZEKER",IF(OR($BW236="",$BX236=""),"ONZEKER",IF(AND($BZ236=$BW236+1,$CA236=$BX236),IF(OR(COUNTIF(#REF!,$B236)&gt;0,COUNTIF(#REF!,$B236)=0),"SKIP",IF(COUNTIFS(#REF!,$B236,#REF!,$AL236)&gt;0,"OK","ONBEKEND")),IF(AND($BZ236=$BW236,$CA236=$BX236+1),IF(OR(COUNTIF(#REF!,$D236)&gt;0,COUNTIF(#REF!,$D236)=0),"SKIP",IF(COUNTIFS(#REF!,$D236,#REF!,$AL236)&gt;0,"OK","ONBEKEND")),"ONZEKER")))))</f>
        <v/>
      </c>
      <c r="AN236" t="str">
        <f t="shared" ref="AN236:AN247" si="1794">IF($N236="","",TRIM(MID(SUBSTITUTE($N236,",",REPT(" ",200)),1601,200)))</f>
        <v/>
      </c>
      <c r="AO236" t="str">
        <f t="shared" ref="AO236:AO247" si="1795">IF(AN236="","",TRIM(IFERROR(LEFT(AN236,FIND("§",SUBSTITUTE(AN236," ","§",LEN(AN236)-LEN(SUBSTITUTE(AN236," ",""))))-1),AN236)))</f>
        <v/>
      </c>
      <c r="AP236" t="str">
        <f>IF($AO236="","",IF(OR($CC236="",$CD236=""),"ONZEKER",IF(OR($BZ236="",$CA236=""),"ONZEKER",IF(AND($CC236=$BZ236+1,$CD236=$CA236),IF(OR(COUNTIF(#REF!,$B236)&gt;0,COUNTIF(#REF!,$B236)=0),"SKIP",IF(COUNTIFS(#REF!,$B236,#REF!,$AO236)&gt;0,"OK","ONBEKEND")),IF(AND($CC236=$BZ236,$CD236=$CA236+1),IF(OR(COUNTIF(#REF!,$D236)&gt;0,COUNTIF(#REF!,$D236)=0),"SKIP",IF(COUNTIFS(#REF!,$D236,#REF!,$AO236)&gt;0,"OK","ONBEKEND")),"ONZEKER")))))</f>
        <v/>
      </c>
      <c r="AQ236" t="str">
        <f t="shared" ref="AQ236:AQ247" si="1796">IF($N236="","",TRIM(MID(SUBSTITUTE($N236,",",REPT(" ",200)),1801,200)))</f>
        <v/>
      </c>
      <c r="AR236" t="str">
        <f t="shared" ref="AR236:AR247" si="1797">IF(AQ236="","",TRIM(IFERROR(LEFT(AQ236,FIND("§",SUBSTITUTE(AQ236," ","§",LEN(AQ236)-LEN(SUBSTITUTE(AQ236," ",""))))-1),AQ236)))</f>
        <v/>
      </c>
      <c r="AS236" t="str">
        <f>IF($AR236="","",IF(OR($CF236="",$CG236=""),"ONZEKER",IF(OR($CC236="",$CD236=""),"ONZEKER",IF(AND($CF236=$CC236+1,$CG236=$CD236),IF(OR(COUNTIF(#REF!,$B236)&gt;0,COUNTIF(#REF!,$B236)=0),"SKIP",IF(COUNTIFS(#REF!,$B236,#REF!,$AR236)&gt;0,"OK","ONBEKEND")),IF(AND($CF236=$CC236,$CG236=$CD236+1),IF(OR(COUNTIF(#REF!,$D236)&gt;0,COUNTIF(#REF!,$D236)=0),"SKIP",IF(COUNTIFS(#REF!,$D236,#REF!,$AR236)&gt;0,"OK","ONBEKEND")),"ONZEKER")))))</f>
        <v/>
      </c>
      <c r="AT236" t="str">
        <f t="shared" ref="AT236:AT247" si="1798">IF(R236="ONBEKEND",Q236,"")</f>
        <v/>
      </c>
      <c r="AU236" t="str">
        <f t="shared" ref="AU236:AU247" si="1799">IF(U236="ONBEKEND",T236,"")</f>
        <v/>
      </c>
      <c r="AV236" t="str">
        <f t="shared" ref="AV236:AV247" si="1800">IF(X236="ONBEKEND",W236,"")</f>
        <v/>
      </c>
      <c r="AW236" t="str">
        <f t="shared" ref="AW236:AW247" si="1801">IF(AA236="ONBEKEND",Z236,"")</f>
        <v/>
      </c>
      <c r="AX236" t="str">
        <f t="shared" ref="AX236:AX247" si="1802">IF(AD236="ONBEKEND",AC236,"")</f>
        <v/>
      </c>
      <c r="AY236" t="str">
        <f t="shared" ref="AY236:AY247" si="1803">IF(AG236="ONBEKEND",AF236,"")</f>
        <v/>
      </c>
      <c r="AZ236" t="str">
        <f t="shared" ref="AZ236:AZ247" si="1804">IF(AJ236="ONBEKEND",AI236,"")</f>
        <v/>
      </c>
      <c r="BA236" t="str">
        <f t="shared" ref="BA236:BA247" si="1805">IF(AM236="ONBEKEND",AL236,"")</f>
        <v/>
      </c>
      <c r="BB236" t="str">
        <f t="shared" ref="BB236:BB247" si="1806">IF(AP236="ONBEKEND",AO236,"")</f>
        <v/>
      </c>
      <c r="BC236" t="str">
        <f t="shared" ref="BC236:BC247" si="1807">IF(AS236="ONBEKEND",AR236,"")</f>
        <v/>
      </c>
      <c r="BD236" t="str">
        <f t="shared" si="1470"/>
        <v/>
      </c>
      <c r="BE236" t="str">
        <f t="shared" si="1471"/>
        <v/>
      </c>
      <c r="BF236" t="str">
        <f t="shared" si="1472"/>
        <v/>
      </c>
      <c r="BG236" t="str">
        <f t="shared" si="1473"/>
        <v/>
      </c>
      <c r="BH236" t="str">
        <f t="shared" si="1474"/>
        <v/>
      </c>
      <c r="BI236" t="str">
        <f t="shared" si="1475"/>
        <v/>
      </c>
      <c r="BJ236" t="str">
        <f t="shared" si="1476"/>
        <v/>
      </c>
      <c r="BK236" t="str">
        <f t="shared" si="1477"/>
        <v/>
      </c>
      <c r="BL236" t="str">
        <f t="shared" si="1478"/>
        <v/>
      </c>
      <c r="BM236" t="str">
        <f t="shared" si="1479"/>
        <v/>
      </c>
      <c r="BN236" t="str">
        <f t="shared" si="1480"/>
        <v/>
      </c>
      <c r="BO236" t="str">
        <f t="shared" si="1481"/>
        <v/>
      </c>
      <c r="BP236" t="str">
        <f t="shared" si="1482"/>
        <v/>
      </c>
      <c r="BQ236" t="str">
        <f t="shared" si="1483"/>
        <v/>
      </c>
      <c r="BR236" t="str">
        <f t="shared" si="1484"/>
        <v/>
      </c>
      <c r="BS236" t="str">
        <f t="shared" si="1485"/>
        <v/>
      </c>
      <c r="BT236" t="str">
        <f t="shared" si="1486"/>
        <v/>
      </c>
      <c r="BU236" t="str">
        <f t="shared" si="1487"/>
        <v/>
      </c>
      <c r="BV236" t="str">
        <f t="shared" si="1488"/>
        <v/>
      </c>
      <c r="BW236" t="str">
        <f t="shared" si="1489"/>
        <v/>
      </c>
      <c r="BX236" t="str">
        <f t="shared" si="1490"/>
        <v/>
      </c>
      <c r="BY236" t="str">
        <f t="shared" si="1491"/>
        <v/>
      </c>
      <c r="BZ236" t="str">
        <f t="shared" si="1492"/>
        <v/>
      </c>
      <c r="CA236" t="str">
        <f t="shared" si="1493"/>
        <v/>
      </c>
      <c r="CB236" t="str">
        <f t="shared" si="1494"/>
        <v/>
      </c>
      <c r="CC236" t="str">
        <f t="shared" si="1495"/>
        <v/>
      </c>
      <c r="CD236" t="str">
        <f t="shared" si="1496"/>
        <v/>
      </c>
      <c r="CE236" t="str">
        <f t="shared" si="1497"/>
        <v/>
      </c>
      <c r="CF236" t="str">
        <f t="shared" si="1498"/>
        <v/>
      </c>
      <c r="CG236" t="str">
        <f t="shared" si="1499"/>
        <v/>
      </c>
      <c r="CH236" t="str">
        <f t="shared" ref="CH236:CH247" si="1808">IF($N236="","",TRIM(MID(SUBSTITUTE($N236,",",REPT(" ",200)),2001,200)))</f>
        <v/>
      </c>
      <c r="CI236" t="str">
        <f t="shared" ref="CI236:CI247" si="1809">IF(CH236="","",TRIM(IFERROR(LEFT(CH236,FIND("§",SUBSTITUTE(CH236," ","§",LEN(CH236)-LEN(SUBSTITUTE(CH236," ",""))))-1),CH236)))</f>
        <v/>
      </c>
      <c r="CJ236" t="str">
        <f>IF($CI236="","",IF(OR($DW236="",$DX236=""),"ONZEKER",IF(OR($CF236="",$CG236=""),"ONZEKER",IF(AND($DW236=$CF236+1,$DX236=$CG236),IF(OR(COUNTIF(#REF!,$B236)&gt;0,COUNTIF(#REF!,$B236)=0),"SKIP",IF(COUNTIFS(#REF!,$B236,#REF!,$CI236)&gt;0,"OK","ONBEKEND")),IF(AND($DW236=$CF236,$DX236=$CG236+1),IF(OR(COUNTIF(#REF!,$D236)&gt;0,COUNTIF(#REF!,$D236)=0),"SKIP",IF(COUNTIFS(#REF!,$D236,#REF!,$CI236)&gt;0,"OK","ONBEKEND")),"ONZEKER")))))</f>
        <v/>
      </c>
      <c r="CK236" t="str">
        <f t="shared" ref="CK236:CK247" si="1810">IF($N236="","",TRIM(MID(SUBSTITUTE($N236,",",REPT(" ",200)),2201,200)))</f>
        <v/>
      </c>
      <c r="CL236" t="str">
        <f t="shared" ref="CL236:CL247" si="1811">IF(CK236="","",TRIM(IFERROR(LEFT(CK236,FIND("§",SUBSTITUTE(CK236," ","§",LEN(CK236)-LEN(SUBSTITUTE(CK236," ",""))))-1),CK236)))</f>
        <v/>
      </c>
      <c r="CM236" t="str">
        <f>IF($CL236="","",IF(OR($DZ236="",$EA236=""),"ONZEKER",IF(OR($DW236="",$DX236=""),"ONZEKER",IF(AND($DZ236=$DW236+1,$EA236=$DX236),IF(OR(COUNTIF(#REF!,$B236)&gt;0,COUNTIF(#REF!,$B236)=0),"SKIP",IF(COUNTIFS(#REF!,$B236,#REF!,$CL236)&gt;0,"OK","ONBEKEND")),IF(AND($DZ236=$DW236,$EA236=$DX236+1),IF(OR(COUNTIF(#REF!,$D236)&gt;0,COUNTIF(#REF!,$D236)=0),"SKIP",IF(COUNTIFS(#REF!,$D236,#REF!,$CL236)&gt;0,"OK","ONBEKEND")),"ONZEKER")))))</f>
        <v/>
      </c>
      <c r="CN236" t="str">
        <f t="shared" ref="CN236:CN247" si="1812">IF($N236="","",TRIM(MID(SUBSTITUTE($N236,",",REPT(" ",200)),2401,200)))</f>
        <v/>
      </c>
      <c r="CO236" t="str">
        <f t="shared" ref="CO236:CO247" si="1813">IF(CN236="","",TRIM(IFERROR(LEFT(CN236,FIND("§",SUBSTITUTE(CN236," ","§",LEN(CN236)-LEN(SUBSTITUTE(CN236," ",""))))-1),CN236)))</f>
        <v/>
      </c>
      <c r="CP236" t="str">
        <f>IF($CO236="","",IF(OR($EC236="",$ED236=""),"ONZEKER",IF(OR($DZ236="",$EA236=""),"ONZEKER",IF(AND($EC236=$DZ236+1,$ED236=$EA236),IF(OR(COUNTIF(#REF!,$B236)&gt;0,COUNTIF(#REF!,$B236)=0),"SKIP",IF(COUNTIFS(#REF!,$B236,#REF!,$CO236)&gt;0,"OK","ONBEKEND")),IF(AND($EC236=$DZ236,$ED236=$EA236+1),IF(OR(COUNTIF(#REF!,$D236)&gt;0,COUNTIF(#REF!,$D236)=0),"SKIP",IF(COUNTIFS(#REF!,$D236,#REF!,$CO236)&gt;0,"OK","ONBEKEND")),"ONZEKER")))))</f>
        <v/>
      </c>
      <c r="CQ236" t="str">
        <f t="shared" ref="CQ236:CQ247" si="1814">IF($N236="","",TRIM(MID(SUBSTITUTE($N236,",",REPT(" ",200)),2601,200)))</f>
        <v/>
      </c>
      <c r="CR236" t="str">
        <f t="shared" ref="CR236:CR247" si="1815">IF(CQ236="","",TRIM(IFERROR(LEFT(CQ236,FIND("§",SUBSTITUTE(CQ236," ","§",LEN(CQ236)-LEN(SUBSTITUTE(CQ236," ",""))))-1),CQ236)))</f>
        <v/>
      </c>
      <c r="CS236" t="str">
        <f>IF($CR236="","",IF(OR($EF236="",$EG236=""),"ONZEKER",IF(OR($EC236="",$ED236=""),"ONZEKER",IF(AND($EF236=$EC236+1,$EG236=$ED236),IF(OR(COUNTIF(#REF!,$B236)&gt;0,COUNTIF(#REF!,$B236)=0),"SKIP",IF(COUNTIFS(#REF!,$B236,#REF!,$CR236)&gt;0,"OK","ONBEKEND")),IF(AND($EF236=$EC236,$EG236=$ED236+1),IF(OR(COUNTIF(#REF!,$D236)&gt;0,COUNTIF(#REF!,$D236)=0),"SKIP",IF(COUNTIFS(#REF!,$D236,#REF!,$CR236)&gt;0,"OK","ONBEKEND")),"ONZEKER")))))</f>
        <v/>
      </c>
      <c r="CT236" t="str">
        <f t="shared" ref="CT236:CT247" si="1816">IF($N236="","",TRIM(MID(SUBSTITUTE($N236,",",REPT(" ",200)),2801,200)))</f>
        <v/>
      </c>
      <c r="CU236" t="str">
        <f t="shared" ref="CU236:CU247" si="1817">IF(CT236="","",TRIM(IFERROR(LEFT(CT236,FIND("§",SUBSTITUTE(CT236," ","§",LEN(CT236)-LEN(SUBSTITUTE(CT236," ",""))))-1),CT236)))</f>
        <v/>
      </c>
      <c r="CV236" t="str">
        <f>IF($CU236="","",IF(OR($EI236="",$EJ236=""),"ONZEKER",IF(OR($EF236="",$EG236=""),"ONZEKER",IF(AND($EI236=$EF236+1,$EJ236=$EG236),IF(OR(COUNTIF(#REF!,$B236)&gt;0,COUNTIF(#REF!,$B236)=0),"SKIP",IF(COUNTIFS(#REF!,$B236,#REF!,$CU236)&gt;0,"OK","ONBEKEND")),IF(AND($EI236=$EF236,$EJ236=$EG236+1),IF(OR(COUNTIF(#REF!,$D236)&gt;0,COUNTIF(#REF!,$D236)=0),"SKIP",IF(COUNTIFS(#REF!,$D236,#REF!,$CU236)&gt;0,"OK","ONBEKEND")),"ONZEKER")))))</f>
        <v/>
      </c>
      <c r="CW236" t="str">
        <f t="shared" ref="CW236:CW247" si="1818">IF($N236="","",TRIM(MID(SUBSTITUTE($N236,",",REPT(" ",200)),3001,200)))</f>
        <v/>
      </c>
      <c r="CX236" t="str">
        <f t="shared" ref="CX236:CX247" si="1819">IF(CW236="","",TRIM(IFERROR(LEFT(CW236,FIND("§",SUBSTITUTE(CW236," ","§",LEN(CW236)-LEN(SUBSTITUTE(CW236," ",""))))-1),CW236)))</f>
        <v/>
      </c>
      <c r="CY236" t="str">
        <f>IF($CX236="","",IF(OR($EL236="",$EM236=""),"ONZEKER",IF(OR($EI236="",$EJ236=""),"ONZEKER",IF(AND($EL236=$EI236+1,$EM236=$EJ236),IF(OR(COUNTIF(#REF!,$B236)&gt;0,COUNTIF(#REF!,$B236)=0),"SKIP",IF(COUNTIFS(#REF!,$B236,#REF!,$CX236)&gt;0,"OK","ONBEKEND")),IF(AND($EL236=$EI236,$EM236=$EJ236+1),IF(OR(COUNTIF(#REF!,$D236)&gt;0,COUNTIF(#REF!,$D236)=0),"SKIP",IF(COUNTIFS(#REF!,$D236,#REF!,$CX236)&gt;0,"OK","ONBEKEND")),"ONZEKER")))))</f>
        <v/>
      </c>
      <c r="CZ236" t="str">
        <f t="shared" ref="CZ236:CZ247" si="1820">IF($N236="","",TRIM(MID(SUBSTITUTE($N236,",",REPT(" ",200)),3201,200)))</f>
        <v/>
      </c>
      <c r="DA236" t="str">
        <f t="shared" ref="DA236:DA247" si="1821">IF(CZ236="","",TRIM(IFERROR(LEFT(CZ236,FIND("§",SUBSTITUTE(CZ236," ","§",LEN(CZ236)-LEN(SUBSTITUTE(CZ236," ",""))))-1),CZ236)))</f>
        <v/>
      </c>
      <c r="DB236" t="str">
        <f>IF($DA236="","",IF(OR($EO236="",$EP236=""),"ONZEKER",IF(OR($EL236="",$EM236=""),"ONZEKER",IF(AND($EO236=$EL236+1,$EP236=$EM236),IF(OR(COUNTIF(#REF!,$B236)&gt;0,COUNTIF(#REF!,$B236)=0),"SKIP",IF(COUNTIFS(#REF!,$B236,#REF!,$DA236)&gt;0,"OK","ONBEKEND")),IF(AND($EO236=$EL236,$EP236=$EM236+1),IF(OR(COUNTIF(#REF!,$D236)&gt;0,COUNTIF(#REF!,$D236)=0),"SKIP",IF(COUNTIFS(#REF!,$D236,#REF!,$DA236)&gt;0,"OK","ONBEKEND")),"ONZEKER")))))</f>
        <v/>
      </c>
      <c r="DC236" t="str">
        <f t="shared" ref="DC236:DC247" si="1822">IF($N236="","",TRIM(MID(SUBSTITUTE($N236,",",REPT(" ",200)),3401,200)))</f>
        <v/>
      </c>
      <c r="DD236" t="str">
        <f t="shared" ref="DD236:DD247" si="1823">IF(DC236="","",TRIM(IFERROR(LEFT(DC236,FIND("§",SUBSTITUTE(DC236," ","§",LEN(DC236)-LEN(SUBSTITUTE(DC236," ",""))))-1),DC236)))</f>
        <v/>
      </c>
      <c r="DE236" t="str">
        <f>IF($DD236="","",IF(OR($ER236="",$ES236=""),"ONZEKER",IF(OR($EO236="",$EP236=""),"ONZEKER",IF(AND($ER236=$EO236+1,$ES236=$EP236),IF(OR(COUNTIF(#REF!,$B236)&gt;0,COUNTIF(#REF!,$B236)=0),"SKIP",IF(COUNTIFS(#REF!,$B236,#REF!,$DD236)&gt;0,"OK","ONBEKEND")),IF(AND($ER236=$EO236,$ES236=$EP236+1),IF(OR(COUNTIF(#REF!,$D236)&gt;0,COUNTIF(#REF!,$D236)=0),"SKIP",IF(COUNTIFS(#REF!,$D236,#REF!,$DD236)&gt;0,"OK","ONBEKEND")),"ONZEKER")))))</f>
        <v/>
      </c>
      <c r="DF236" t="str">
        <f t="shared" ref="DF236:DF247" si="1824">IF($N236="","",TRIM(MID(SUBSTITUTE($N236,",",REPT(" ",200)),3601,200)))</f>
        <v/>
      </c>
      <c r="DG236" t="str">
        <f t="shared" ref="DG236:DG247" si="1825">IF(DF236="","",TRIM(IFERROR(LEFT(DF236,FIND("§",SUBSTITUTE(DF236," ","§",LEN(DF236)-LEN(SUBSTITUTE(DF236," ",""))))-1),DF236)))</f>
        <v/>
      </c>
      <c r="DH236" t="str">
        <f>IF($DG236="","",IF(OR($EU236="",$EV236=""),"ONZEKER",IF(OR($ER236="",$ES236=""),"ONZEKER",IF(AND($EU236=$ER236+1,$EV236=$ES236),IF(OR(COUNTIF(#REF!,$B236)&gt;0,COUNTIF(#REF!,$B236)=0),"SKIP",IF(COUNTIFS(#REF!,$B236,#REF!,$DG236)&gt;0,"OK","ONBEKEND")),IF(AND($EU236=$ER236,$EV236=$ES236+1),IF(OR(COUNTIF(#REF!,$D236)&gt;0,COUNTIF(#REF!,$D236)=0),"SKIP",IF(COUNTIFS(#REF!,$D236,#REF!,$DG236)&gt;0,"OK","ONBEKEND")),"ONZEKER")))))</f>
        <v/>
      </c>
      <c r="DI236" t="str">
        <f t="shared" ref="DI236:DI247" si="1826">IF($N236="","",TRIM(MID(SUBSTITUTE($N236,",",REPT(" ",200)),3801,200)))</f>
        <v/>
      </c>
      <c r="DJ236" t="str">
        <f t="shared" ref="DJ236:DJ247" si="1827">IF(DI236="","",TRIM(IFERROR(LEFT(DI236,FIND("§",SUBSTITUTE(DI236," ","§",LEN(DI236)-LEN(SUBSTITUTE(DI236," ",""))))-1),DI236)))</f>
        <v/>
      </c>
      <c r="DK236" t="str">
        <f>IF($DJ236="","",IF(OR($EX236="",$EY236=""),"ONZEKER",IF(OR($EU236="",$EV236=""),"ONZEKER",IF(AND($EX236=$EU236+1,$EY236=$EV236),IF(OR(COUNTIF(#REF!,$B236)&gt;0,COUNTIF(#REF!,$B236)=0),"SKIP",IF(COUNTIFS(#REF!,$B236,#REF!,$DJ236)&gt;0,"OK","ONBEKEND")),IF(AND($EX236=$EU236,$EY236=$EV236+1),IF(OR(COUNTIF(#REF!,$D236)&gt;0,COUNTIF(#REF!,$D236)=0),"SKIP",IF(COUNTIFS(#REF!,$D236,#REF!,$DJ236)&gt;0,"OK","ONBEKEND")),"ONZEKER")))))</f>
        <v/>
      </c>
      <c r="DL236" t="str">
        <f t="shared" ref="DL236:DL247" si="1828">IF($CJ236="ONBEKEND",$CI236,"")</f>
        <v/>
      </c>
      <c r="DM236" t="str">
        <f t="shared" ref="DM236:DM247" si="1829">IF($CM236="ONBEKEND",$CL236,"")</f>
        <v/>
      </c>
      <c r="DN236" t="str">
        <f t="shared" ref="DN236:DN247" si="1830">IF($CP236="ONBEKEND",$CO236,"")</f>
        <v/>
      </c>
      <c r="DO236" t="str">
        <f t="shared" ref="DO236:DO247" si="1831">IF($CS236="ONBEKEND",$CR236,"")</f>
        <v/>
      </c>
      <c r="DP236" t="str">
        <f t="shared" ref="DP236:DP247" si="1832">IF($CV236="ONBEKEND",$CU236,"")</f>
        <v/>
      </c>
      <c r="DQ236" t="str">
        <f t="shared" ref="DQ236:DQ247" si="1833">IF($CY236="ONBEKEND",$CX236,"")</f>
        <v/>
      </c>
      <c r="DR236" t="str">
        <f t="shared" ref="DR236:DR247" si="1834">IF($DB236="ONBEKEND",$DA236,"")</f>
        <v/>
      </c>
      <c r="DS236" t="str">
        <f t="shared" ref="DS236:DS247" si="1835">IF($DE236="ONBEKEND",$DD236,"")</f>
        <v/>
      </c>
      <c r="DT236" t="str">
        <f t="shared" ref="DT236:DT247" si="1836">IF($DH236="ONBEKEND",$DG236,"")</f>
        <v/>
      </c>
      <c r="DU236" t="str">
        <f t="shared" ref="DU236:DU247" si="1837">IF($DK236="ONBEKEND",$DJ236,"")</f>
        <v/>
      </c>
      <c r="DV236" t="str">
        <f t="shared" ref="DV236:DV247" si="1838">IF($CH236="","",TRIM(IFERROR(RIGHT($CH236,LEN($CH236)-FIND("§",SUBSTITUTE($CH236," ","§",LEN($CH236)-LEN(SUBSTITUTE($CH236," ",""))))),"")))</f>
        <v/>
      </c>
      <c r="DW236" t="str">
        <f t="shared" ref="DW236:DW247" si="1839">IF($DV236="","",IFERROR(VALUE(LEFT($DV236,FIND("-",$DV236)-1)),""))</f>
        <v/>
      </c>
      <c r="DX236" t="str">
        <f t="shared" ref="DX236:DX247" si="1840">IF($DV236="","",IFERROR(VALUE(MID($DV236,FIND("-",$DV236)+1,99)),""))</f>
        <v/>
      </c>
      <c r="DY236" t="str">
        <f t="shared" ref="DY236:DY247" si="1841">IF($CK236="","",TRIM(IFERROR(RIGHT($CK236,LEN($CK236)-FIND("§",SUBSTITUTE($CK236," ","§",LEN($CK236)-LEN(SUBSTITUTE($CK236," ",""))))),"")))</f>
        <v/>
      </c>
      <c r="DZ236" t="str">
        <f t="shared" ref="DZ236:DZ247" si="1842">IF($DY236="","",IFERROR(VALUE(LEFT($DY236,FIND("-",$DY236)-1)),""))</f>
        <v/>
      </c>
      <c r="EA236" t="str">
        <f t="shared" ref="EA236:EA247" si="1843">IF($DY236="","",IFERROR(VALUE(MID($DY236,FIND("-",$DY236)+1,99)),""))</f>
        <v/>
      </c>
      <c r="EB236" t="str">
        <f t="shared" ref="EB236:EB247" si="1844">IF($CN236="","",TRIM(IFERROR(RIGHT($CN236,LEN($CN236)-FIND("§",SUBSTITUTE($CN236," ","§",LEN($CN236)-LEN(SUBSTITUTE($CN236," ",""))))),"")))</f>
        <v/>
      </c>
      <c r="EC236" t="str">
        <f t="shared" ref="EC236:EC247" si="1845">IF($EB236="","",IFERROR(VALUE(LEFT($EB236,FIND("-",$EB236)-1)),""))</f>
        <v/>
      </c>
      <c r="ED236" t="str">
        <f t="shared" ref="ED236:ED247" si="1846">IF($EB236="","",IFERROR(VALUE(MID($EB236,FIND("-",$EB236)+1,99)),""))</f>
        <v/>
      </c>
      <c r="EE236" t="str">
        <f t="shared" ref="EE236:EE247" si="1847">IF($CQ236="","",TRIM(IFERROR(RIGHT($CQ236,LEN($CQ236)-FIND("§",SUBSTITUTE($CQ236," ","§",LEN($CQ236)-LEN(SUBSTITUTE($CQ236," ",""))))),"")))</f>
        <v/>
      </c>
      <c r="EF236" t="str">
        <f t="shared" ref="EF236:EF247" si="1848">IF($EE236="","",IFERROR(VALUE(LEFT($EE236,FIND("-",$EE236)-1)),""))</f>
        <v/>
      </c>
      <c r="EG236" t="str">
        <f t="shared" ref="EG236:EG247" si="1849">IF($EE236="","",IFERROR(VALUE(MID($EE236,FIND("-",$EE236)+1,99)),""))</f>
        <v/>
      </c>
      <c r="EH236" t="str">
        <f t="shared" ref="EH236:EH247" si="1850">IF($CT236="","",TRIM(IFERROR(RIGHT($CT236,LEN($CT236)-FIND("§",SUBSTITUTE($CT236," ","§",LEN($CT236)-LEN(SUBSTITUTE($CT236," ",""))))),"")))</f>
        <v/>
      </c>
      <c r="EI236" t="str">
        <f t="shared" ref="EI236:EI247" si="1851">IF($EH236="","",IFERROR(VALUE(LEFT($EH236,FIND("-",$EH236)-1)),""))</f>
        <v/>
      </c>
      <c r="EJ236" t="str">
        <f t="shared" ref="EJ236:EJ247" si="1852">IF($EH236="","",IFERROR(VALUE(MID($EH236,FIND("-",$EH236)+1,99)),""))</f>
        <v/>
      </c>
      <c r="EK236" t="str">
        <f t="shared" ref="EK236:EK247" si="1853">IF($CW236="","",TRIM(IFERROR(RIGHT($CW236,LEN($CW236)-FIND("§",SUBSTITUTE($CW236," ","§",LEN($CW236)-LEN(SUBSTITUTE($CW236," ",""))))),"")))</f>
        <v/>
      </c>
      <c r="EL236" t="str">
        <f t="shared" ref="EL236:EL247" si="1854">IF($EK236="","",IFERROR(VALUE(LEFT($EK236,FIND("-",$EK236)-1)),""))</f>
        <v/>
      </c>
      <c r="EM236" t="str">
        <f t="shared" ref="EM236:EM247" si="1855">IF($EK236="","",IFERROR(VALUE(MID($EK236,FIND("-",$EK236)+1,99)),""))</f>
        <v/>
      </c>
      <c r="EN236" t="str">
        <f t="shared" ref="EN236:EN247" si="1856">IF($CZ236="","",TRIM(IFERROR(RIGHT($CZ236,LEN($CZ236)-FIND("§",SUBSTITUTE($CZ236," ","§",LEN($CZ236)-LEN(SUBSTITUTE($CZ236," ",""))))),"")))</f>
        <v/>
      </c>
      <c r="EO236" t="str">
        <f t="shared" ref="EO236:EO247" si="1857">IF($EN236="","",IFERROR(VALUE(LEFT($EN236,FIND("-",$EN236)-1)),""))</f>
        <v/>
      </c>
      <c r="EP236" t="str">
        <f t="shared" ref="EP236:EP247" si="1858">IF($EN236="","",IFERROR(VALUE(MID($EN236,FIND("-",$EN236)+1,99)),""))</f>
        <v/>
      </c>
      <c r="EQ236" t="str">
        <f t="shared" ref="EQ236:EQ247" si="1859">IF($DC236="","",TRIM(IFERROR(RIGHT($DC236,LEN($DC236)-FIND("§",SUBSTITUTE($DC236," ","§",LEN($DC236)-LEN(SUBSTITUTE($DC236," ",""))))),"")))</f>
        <v/>
      </c>
      <c r="ER236" t="str">
        <f t="shared" ref="ER236:ER247" si="1860">IF($EQ236="","",IFERROR(VALUE(LEFT($EQ236,FIND("-",$EQ236)-1)),""))</f>
        <v/>
      </c>
      <c r="ES236" t="str">
        <f t="shared" ref="ES236:ES247" si="1861">IF($EQ236="","",IFERROR(VALUE(MID($EQ236,FIND("-",$EQ236)+1,99)),""))</f>
        <v/>
      </c>
      <c r="ET236" t="str">
        <f t="shared" ref="ET236:ET247" si="1862">IF($DF236="","",TRIM(IFERROR(RIGHT($DF236,LEN($DF236)-FIND("§",SUBSTITUTE($DF236," ","§",LEN($DF236)-LEN(SUBSTITUTE($DF236," ",""))))),"")))</f>
        <v/>
      </c>
      <c r="EU236" t="str">
        <f t="shared" ref="EU236:EU247" si="1863">IF($ET236="","",IFERROR(VALUE(LEFT($ET236,FIND("-",$ET236)-1)),""))</f>
        <v/>
      </c>
      <c r="EV236" t="str">
        <f t="shared" ref="EV236:EV247" si="1864">IF($ET236="","",IFERROR(VALUE(MID($ET236,FIND("-",$ET236)+1,99)),""))</f>
        <v/>
      </c>
      <c r="EW236" t="str">
        <f t="shared" ref="EW236:EW247" si="1865">IF($DI236="","",TRIM(IFERROR(RIGHT($DI236,LEN($DI236)-FIND("§",SUBSTITUTE($DI236," ","§",LEN($DI236)-LEN(SUBSTITUTE($DI236," ",""))))),"")))</f>
        <v/>
      </c>
      <c r="EX236" t="str">
        <f t="shared" ref="EX236:EX247" si="1866">IF($EW236="","",IFERROR(VALUE(LEFT($EW236,FIND("-",$EW236)-1)),""))</f>
        <v/>
      </c>
      <c r="EY236" t="str">
        <f t="shared" ref="EY236:EY247" si="1867">IF($EW236="","",IFERROR(VALUE(MID($EW236,FIND("-",$EW236)+1,99)),""))</f>
        <v/>
      </c>
    </row>
    <row r="237" spans="1:155" ht="13.9" customHeight="1" x14ac:dyDescent="0.25">
      <c r="A237" s="7"/>
      <c r="B237" s="17"/>
      <c r="C237" s="8"/>
      <c r="D237" s="17"/>
      <c r="E237" s="8"/>
      <c r="F237" s="18">
        <v>0</v>
      </c>
      <c r="G237" s="7" t="s">
        <v>147</v>
      </c>
      <c r="H237" s="18">
        <v>0</v>
      </c>
      <c r="I237" s="19">
        <v>0</v>
      </c>
      <c r="J237" s="7" t="s">
        <v>147</v>
      </c>
      <c r="K237" s="19">
        <v>0</v>
      </c>
      <c r="L237" s="9"/>
      <c r="M237" s="3" t="str">
        <f>IF($L237="","",IF($L237="DOELPUNTENMAKERS","",IF(AND(COUNTIF(#REF!,$B237)=0,COUNTIF(#REF!,$D237)=0),"OK",IF($O237&gt;20,"LET OP: meer dan 20 items (controle onvolledig)",IF((COUNTIF($R237:$AS237,"ONZEKER")+COUNTIF($CJ237:$DK237,"ONZEKER"))&gt;0,"LET OP: scoreverloop onduidelijk (controle beperkt)",IF((IF($AT237&lt;&gt;"",$AT237&amp;", ","")&amp;IF($AU237&lt;&gt;"",$AU237&amp;", ","")&amp;IF($AV237&lt;&gt;"",$AV237&amp;", ","")&amp;IF($AW237&lt;&gt;"",$AW237&amp;", ","")&amp;IF($AX237&lt;&gt;"",$AX237&amp;", ","")&amp;IF($AY237&lt;&gt;"",$AY237&amp;", ","")&amp;IF($AZ237&lt;&gt;"",$AZ237&amp;", ","")&amp;IF($BA237&lt;&gt;"",$BA237&amp;", ","")&amp;IF($BB237&lt;&gt;"",$BB237&amp;", ","")&amp;IF($BC237&lt;&gt;"",$BC237&amp;", ","")&amp;IF($DL237&lt;&gt;"",$DL237&amp;", ","")&amp;IF($DM237&lt;&gt;"",$DM237&amp;", ","")&amp;IF($DN237&lt;&gt;"",$DN237&amp;", ","")&amp;IF($DO237&lt;&gt;"",$DO237&amp;", ","")&amp;IF($DP237&lt;&gt;"",$DP237&amp;", ","")&amp;IF($DQ237&lt;&gt;"",$DQ237&amp;", ","")&amp;IF($DR237&lt;&gt;"",$DR237&amp;", ","")&amp;IF($DS237&lt;&gt;"",$DS237&amp;", ","")&amp;IF($DT237&lt;&gt;"",$DT237&amp;", ","")&amp;IF($DU237&lt;&gt;"",$DU237&amp;", ",""))="","OK","Onbekend: "&amp;LEFT((IF($AT237&lt;&gt;"",$AT237&amp;", ","")&amp;IF($AU237&lt;&gt;"",$AU237&amp;", ","")&amp;IF($AV237&lt;&gt;"",$AV237&amp;", ","")&amp;IF($AW237&lt;&gt;"",$AW237&amp;", ","")&amp;IF($AX237&lt;&gt;"",$AX237&amp;", ","")&amp;IF($AY237&lt;&gt;"",$AY237&amp;", ","")&amp;IF($AZ237&lt;&gt;"",$AZ237&amp;", ","")&amp;IF($BA237&lt;&gt;"",$BA237&amp;", ","")&amp;IF($BB237&lt;&gt;"",$BB237&amp;", ","")&amp;IF($BC237&lt;&gt;"",$BC237&amp;", ","")&amp;IF($DL237&lt;&gt;"",$DL237&amp;", ","")&amp;IF($DM237&lt;&gt;"",$DM237&amp;", ","")&amp;IF($DN237&lt;&gt;"",$DN237&amp;", ","")&amp;IF($DO237&lt;&gt;"",$DO237&amp;", ","")&amp;IF($DP237&lt;&gt;"",$DP237&amp;", ","")&amp;IF($DQ237&lt;&gt;"",$DQ237&amp;", ","")&amp;IF($DR237&lt;&gt;"",$DR237&amp;", ","")&amp;IF($DS237&lt;&gt;"",$DS237&amp;", ","")&amp;IF($DT237&lt;&gt;"",$DT237&amp;", ","")&amp;IF($DU237&lt;&gt;"",$DU237&amp;", ","")),LEN((IF($AT237&lt;&gt;"",$AT237&amp;", ","")&amp;IF($AU237&lt;&gt;"",$AU237&amp;", ","")&amp;IF($AV237&lt;&gt;"",$AV237&amp;", ","")&amp;IF($AW237&lt;&gt;"",$AW237&amp;", ","")&amp;IF($AX237&lt;&gt;"",$AX237&amp;", ","")&amp;IF($AY237&lt;&gt;"",$AY237&amp;", ","")&amp;IF($AZ237&lt;&gt;"",$AZ237&amp;", ","")&amp;IF($BA237&lt;&gt;"",$BA237&amp;", ","")&amp;IF($BB237&lt;&gt;"",$BB237&amp;", ","")&amp;IF($BC237&lt;&gt;"",$BC237&amp;", ","")&amp;IF($DL237&lt;&gt;"",$DL237&amp;", ","")&amp;IF($DM237&lt;&gt;"",$DM237&amp;", ","")&amp;IF($DN237&lt;&gt;"",$DN237&amp;", ","")&amp;IF($DO237&lt;&gt;"",$DO237&amp;", ","")&amp;IF($DP237&lt;&gt;"",$DP237&amp;", ","")&amp;IF($DQ237&lt;&gt;"",$DQ237&amp;", ","")&amp;IF($DR237&lt;&gt;"",$DR237&amp;", ","")&amp;IF($DS237&lt;&gt;"",$DS237&amp;", ","")&amp;IF($DT237&lt;&gt;"",$DT237&amp;", ","")&amp;IF($DU237&lt;&gt;"",$DU237&amp;", ","")))-2)))))))</f>
        <v/>
      </c>
      <c r="N237" t="str">
        <f t="shared" si="1776"/>
        <v/>
      </c>
      <c r="O237" t="str">
        <f t="shared" si="1777"/>
        <v/>
      </c>
      <c r="P237" t="str">
        <f t="shared" si="1778"/>
        <v/>
      </c>
      <c r="Q237" t="str">
        <f t="shared" si="1779"/>
        <v/>
      </c>
      <c r="R237" t="str">
        <f>IF($Q237="","",IF(OR($BE237="",$BF237=""),"ONZEKER",IF(AND($BE237=0+1,$BF237=0),IF(OR(COUNTIF(#REF!,$B237)&gt;0,COUNTIF(#REF!,$B237)=0),"SKIP",IF(COUNTIFS(#REF!,$B237,#REF!,$Q237)&gt;0,"OK","ONBEKEND")),IF(AND($BE237=0,$BF237=0+1),IF(OR(COUNTIF(#REF!,$D237)&gt;0,COUNTIF(#REF!,$D237)=0),"SKIP",IF(COUNTIFS(#REF!,$D237,#REF!,$Q237)&gt;0,"OK","ONBEKEND")),"ONZEKER"))))</f>
        <v/>
      </c>
      <c r="S237" t="str">
        <f t="shared" si="1780"/>
        <v/>
      </c>
      <c r="T237" t="str">
        <f t="shared" si="1781"/>
        <v/>
      </c>
      <c r="U237" t="str">
        <f>IF($T237="","",IF(OR($BH237="",$BI237=""),"ONZEKER",IF(OR($BE237="",$BF237=""),"ONZEKER",IF(AND($BH237=$BE237+1,$BI237=$BF237),IF(OR(COUNTIF(#REF!,$B237)&gt;0,COUNTIF(#REF!,$B237)=0),"SKIP",IF(COUNTIFS(#REF!,$B237,#REF!,$T237)&gt;0,"OK","ONBEKEND")),IF(AND($BH237=$BE237,$BI237=$BF237+1),IF(OR(COUNTIF(#REF!,$D237)&gt;0,COUNTIF(#REF!,$D237)=0),"SKIP",IF(COUNTIFS(#REF!,$D237,#REF!,$T237)&gt;0,"OK","ONBEKEND")),"ONZEKER")))))</f>
        <v/>
      </c>
      <c r="V237" t="str">
        <f t="shared" si="1782"/>
        <v/>
      </c>
      <c r="W237" t="str">
        <f t="shared" si="1783"/>
        <v/>
      </c>
      <c r="X237" t="str">
        <f>IF($W237="","",IF(OR($BK237="",$BL237=""),"ONZEKER",IF(OR($BH237="",$BI237=""),"ONZEKER",IF(AND($BK237=$BH237+1,$BL237=$BI237),IF(OR(COUNTIF(#REF!,$B237)&gt;0,COUNTIF(#REF!,$B237)=0),"SKIP",IF(COUNTIFS(#REF!,$B237,#REF!,$W237)&gt;0,"OK","ONBEKEND")),IF(AND($BK237=$BH237,$BL237=$BI237+1),IF(OR(COUNTIF(#REF!,$D237)&gt;0,COUNTIF(#REF!,$D237)=0),"SKIP",IF(COUNTIFS(#REF!,$D237,#REF!,$W237)&gt;0,"OK","ONBEKEND")),"ONZEKER")))))</f>
        <v/>
      </c>
      <c r="Y237" t="str">
        <f t="shared" si="1784"/>
        <v/>
      </c>
      <c r="Z237" t="str">
        <f t="shared" si="1785"/>
        <v/>
      </c>
      <c r="AA237" t="str">
        <f>IF($Z237="","",IF(OR($BN237="",$BO237=""),"ONZEKER",IF(OR($BK237="",$BL237=""),"ONZEKER",IF(AND($BN237=$BK237+1,$BO237=$BL237),IF(OR(COUNTIF(#REF!,$B237)&gt;0,COUNTIF(#REF!,$B237)=0),"SKIP",IF(COUNTIFS(#REF!,$B237,#REF!,$Z237)&gt;0,"OK","ONBEKEND")),IF(AND($BN237=$BK237,$BO237=$BL237+1),IF(OR(COUNTIF(#REF!,$D237)&gt;0,COUNTIF(#REF!,$D237)=0),"SKIP",IF(COUNTIFS(#REF!,$D237,#REF!,$Z237)&gt;0,"OK","ONBEKEND")),"ONZEKER")))))</f>
        <v/>
      </c>
      <c r="AB237" t="str">
        <f t="shared" si="1786"/>
        <v/>
      </c>
      <c r="AC237" t="str">
        <f t="shared" si="1787"/>
        <v/>
      </c>
      <c r="AD237" t="str">
        <f>IF($AC237="","",IF(OR($BQ237="",$BR237=""),"ONZEKER",IF(OR($BN237="",$BO237=""),"ONZEKER",IF(AND($BQ237=$BN237+1,$BR237=$BO237),IF(OR(COUNTIF(#REF!,$B237)&gt;0,COUNTIF(#REF!,$B237)=0),"SKIP",IF(COUNTIFS(#REF!,$B237,#REF!,$AC237)&gt;0,"OK","ONBEKEND")),IF(AND($BQ237=$BN237,$BR237=$BO237+1),IF(OR(COUNTIF(#REF!,$D237)&gt;0,COUNTIF(#REF!,$D237)=0),"SKIP",IF(COUNTIFS(#REF!,$D237,#REF!,$AC237)&gt;0,"OK","ONBEKEND")),"ONZEKER")))))</f>
        <v/>
      </c>
      <c r="AE237" t="str">
        <f t="shared" si="1788"/>
        <v/>
      </c>
      <c r="AF237" t="str">
        <f t="shared" si="1789"/>
        <v/>
      </c>
      <c r="AG237" t="str">
        <f>IF($AF237="","",IF(OR($BT237="",$BU237=""),"ONZEKER",IF(OR($BQ237="",$BR237=""),"ONZEKER",IF(AND($BT237=$BQ237+1,$BU237=$BR237),IF(OR(COUNTIF(#REF!,$B237)&gt;0,COUNTIF(#REF!,$B237)=0),"SKIP",IF(COUNTIFS(#REF!,$B237,#REF!,$AF237)&gt;0,"OK","ONBEKEND")),IF(AND($BT237=$BQ237,$BU237=$BR237+1),IF(OR(COUNTIF(#REF!,$D237)&gt;0,COUNTIF(#REF!,$D237)=0),"SKIP",IF(COUNTIFS(#REF!,$D237,#REF!,$AF237)&gt;0,"OK","ONBEKEND")),"ONZEKER")))))</f>
        <v/>
      </c>
      <c r="AH237" t="str">
        <f t="shared" si="1790"/>
        <v/>
      </c>
      <c r="AI237" t="str">
        <f t="shared" si="1791"/>
        <v/>
      </c>
      <c r="AJ237" t="str">
        <f>IF($AI237="","",IF(OR($BW237="",$BX237=""),"ONZEKER",IF(OR($BT237="",$BU237=""),"ONZEKER",IF(AND($BW237=$BT237+1,$BX237=$BU237),IF(OR(COUNTIF(#REF!,$B237)&gt;0,COUNTIF(#REF!,$B237)=0),"SKIP",IF(COUNTIFS(#REF!,$B237,#REF!,$AI237)&gt;0,"OK","ONBEKEND")),IF(AND($BW237=$BT237,$BX237=$BU237+1),IF(OR(COUNTIF(#REF!,$D237)&gt;0,COUNTIF(#REF!,$D237)=0),"SKIP",IF(COUNTIFS(#REF!,$D237,#REF!,$AI237)&gt;0,"OK","ONBEKEND")),"ONZEKER")))))</f>
        <v/>
      </c>
      <c r="AK237" t="str">
        <f t="shared" si="1792"/>
        <v/>
      </c>
      <c r="AL237" t="str">
        <f t="shared" si="1793"/>
        <v/>
      </c>
      <c r="AM237" t="str">
        <f>IF($AL237="","",IF(OR($BZ237="",$CA237=""),"ONZEKER",IF(OR($BW237="",$BX237=""),"ONZEKER",IF(AND($BZ237=$BW237+1,$CA237=$BX237),IF(OR(COUNTIF(#REF!,$B237)&gt;0,COUNTIF(#REF!,$B237)=0),"SKIP",IF(COUNTIFS(#REF!,$B237,#REF!,$AL237)&gt;0,"OK","ONBEKEND")),IF(AND($BZ237=$BW237,$CA237=$BX237+1),IF(OR(COUNTIF(#REF!,$D237)&gt;0,COUNTIF(#REF!,$D237)=0),"SKIP",IF(COUNTIFS(#REF!,$D237,#REF!,$AL237)&gt;0,"OK","ONBEKEND")),"ONZEKER")))))</f>
        <v/>
      </c>
      <c r="AN237" t="str">
        <f t="shared" si="1794"/>
        <v/>
      </c>
      <c r="AO237" t="str">
        <f t="shared" si="1795"/>
        <v/>
      </c>
      <c r="AP237" t="str">
        <f>IF($AO237="","",IF(OR($CC237="",$CD237=""),"ONZEKER",IF(OR($BZ237="",$CA237=""),"ONZEKER",IF(AND($CC237=$BZ237+1,$CD237=$CA237),IF(OR(COUNTIF(#REF!,$B237)&gt;0,COUNTIF(#REF!,$B237)=0),"SKIP",IF(COUNTIFS(#REF!,$B237,#REF!,$AO237)&gt;0,"OK","ONBEKEND")),IF(AND($CC237=$BZ237,$CD237=$CA237+1),IF(OR(COUNTIF(#REF!,$D237)&gt;0,COUNTIF(#REF!,$D237)=0),"SKIP",IF(COUNTIFS(#REF!,$D237,#REF!,$AO237)&gt;0,"OK","ONBEKEND")),"ONZEKER")))))</f>
        <v/>
      </c>
      <c r="AQ237" t="str">
        <f t="shared" si="1796"/>
        <v/>
      </c>
      <c r="AR237" t="str">
        <f t="shared" si="1797"/>
        <v/>
      </c>
      <c r="AS237" t="str">
        <f>IF($AR237="","",IF(OR($CF237="",$CG237=""),"ONZEKER",IF(OR($CC237="",$CD237=""),"ONZEKER",IF(AND($CF237=$CC237+1,$CG237=$CD237),IF(OR(COUNTIF(#REF!,$B237)&gt;0,COUNTIF(#REF!,$B237)=0),"SKIP",IF(COUNTIFS(#REF!,$B237,#REF!,$AR237)&gt;0,"OK","ONBEKEND")),IF(AND($CF237=$CC237,$CG237=$CD237+1),IF(OR(COUNTIF(#REF!,$D237)&gt;0,COUNTIF(#REF!,$D237)=0),"SKIP",IF(COUNTIFS(#REF!,$D237,#REF!,$AR237)&gt;0,"OK","ONBEKEND")),"ONZEKER")))))</f>
        <v/>
      </c>
      <c r="AT237" t="str">
        <f t="shared" si="1798"/>
        <v/>
      </c>
      <c r="AU237" t="str">
        <f t="shared" si="1799"/>
        <v/>
      </c>
      <c r="AV237" t="str">
        <f t="shared" si="1800"/>
        <v/>
      </c>
      <c r="AW237" t="str">
        <f t="shared" si="1801"/>
        <v/>
      </c>
      <c r="AX237" t="str">
        <f t="shared" si="1802"/>
        <v/>
      </c>
      <c r="AY237" t="str">
        <f t="shared" si="1803"/>
        <v/>
      </c>
      <c r="AZ237" t="str">
        <f t="shared" si="1804"/>
        <v/>
      </c>
      <c r="BA237" t="str">
        <f t="shared" si="1805"/>
        <v/>
      </c>
      <c r="BB237" t="str">
        <f t="shared" si="1806"/>
        <v/>
      </c>
      <c r="BC237" t="str">
        <f t="shared" si="1807"/>
        <v/>
      </c>
      <c r="BD237" t="str">
        <f t="shared" si="1470"/>
        <v/>
      </c>
      <c r="BE237" t="str">
        <f t="shared" si="1471"/>
        <v/>
      </c>
      <c r="BF237" t="str">
        <f t="shared" si="1472"/>
        <v/>
      </c>
      <c r="BG237" t="str">
        <f t="shared" si="1473"/>
        <v/>
      </c>
      <c r="BH237" t="str">
        <f t="shared" si="1474"/>
        <v/>
      </c>
      <c r="BI237" t="str">
        <f t="shared" si="1475"/>
        <v/>
      </c>
      <c r="BJ237" t="str">
        <f t="shared" si="1476"/>
        <v/>
      </c>
      <c r="BK237" t="str">
        <f t="shared" si="1477"/>
        <v/>
      </c>
      <c r="BL237" t="str">
        <f t="shared" si="1478"/>
        <v/>
      </c>
      <c r="BM237" t="str">
        <f t="shared" si="1479"/>
        <v/>
      </c>
      <c r="BN237" t="str">
        <f t="shared" si="1480"/>
        <v/>
      </c>
      <c r="BO237" t="str">
        <f t="shared" si="1481"/>
        <v/>
      </c>
      <c r="BP237" t="str">
        <f t="shared" si="1482"/>
        <v/>
      </c>
      <c r="BQ237" t="str">
        <f t="shared" si="1483"/>
        <v/>
      </c>
      <c r="BR237" t="str">
        <f t="shared" si="1484"/>
        <v/>
      </c>
      <c r="BS237" t="str">
        <f t="shared" si="1485"/>
        <v/>
      </c>
      <c r="BT237" t="str">
        <f t="shared" si="1486"/>
        <v/>
      </c>
      <c r="BU237" t="str">
        <f t="shared" si="1487"/>
        <v/>
      </c>
      <c r="BV237" t="str">
        <f t="shared" si="1488"/>
        <v/>
      </c>
      <c r="BW237" t="str">
        <f t="shared" si="1489"/>
        <v/>
      </c>
      <c r="BX237" t="str">
        <f t="shared" si="1490"/>
        <v/>
      </c>
      <c r="BY237" t="str">
        <f t="shared" si="1491"/>
        <v/>
      </c>
      <c r="BZ237" t="str">
        <f t="shared" si="1492"/>
        <v/>
      </c>
      <c r="CA237" t="str">
        <f t="shared" si="1493"/>
        <v/>
      </c>
      <c r="CB237" t="str">
        <f t="shared" si="1494"/>
        <v/>
      </c>
      <c r="CC237" t="str">
        <f t="shared" si="1495"/>
        <v/>
      </c>
      <c r="CD237" t="str">
        <f t="shared" si="1496"/>
        <v/>
      </c>
      <c r="CE237" t="str">
        <f t="shared" si="1497"/>
        <v/>
      </c>
      <c r="CF237" t="str">
        <f t="shared" si="1498"/>
        <v/>
      </c>
      <c r="CG237" t="str">
        <f t="shared" si="1499"/>
        <v/>
      </c>
      <c r="CH237" t="str">
        <f t="shared" si="1808"/>
        <v/>
      </c>
      <c r="CI237" t="str">
        <f t="shared" si="1809"/>
        <v/>
      </c>
      <c r="CJ237" t="str">
        <f>IF($CI237="","",IF(OR($DW237="",$DX237=""),"ONZEKER",IF(OR($CF237="",$CG237=""),"ONZEKER",IF(AND($DW237=$CF237+1,$DX237=$CG237),IF(OR(COUNTIF(#REF!,$B237)&gt;0,COUNTIF(#REF!,$B237)=0),"SKIP",IF(COUNTIFS(#REF!,$B237,#REF!,$CI237)&gt;0,"OK","ONBEKEND")),IF(AND($DW237=$CF237,$DX237=$CG237+1),IF(OR(COUNTIF(#REF!,$D237)&gt;0,COUNTIF(#REF!,$D237)=0),"SKIP",IF(COUNTIFS(#REF!,$D237,#REF!,$CI237)&gt;0,"OK","ONBEKEND")),"ONZEKER")))))</f>
        <v/>
      </c>
      <c r="CK237" t="str">
        <f t="shared" si="1810"/>
        <v/>
      </c>
      <c r="CL237" t="str">
        <f t="shared" si="1811"/>
        <v/>
      </c>
      <c r="CM237" t="str">
        <f>IF($CL237="","",IF(OR($DZ237="",$EA237=""),"ONZEKER",IF(OR($DW237="",$DX237=""),"ONZEKER",IF(AND($DZ237=$DW237+1,$EA237=$DX237),IF(OR(COUNTIF(#REF!,$B237)&gt;0,COUNTIF(#REF!,$B237)=0),"SKIP",IF(COUNTIFS(#REF!,$B237,#REF!,$CL237)&gt;0,"OK","ONBEKEND")),IF(AND($DZ237=$DW237,$EA237=$DX237+1),IF(OR(COUNTIF(#REF!,$D237)&gt;0,COUNTIF(#REF!,$D237)=0),"SKIP",IF(COUNTIFS(#REF!,$D237,#REF!,$CL237)&gt;0,"OK","ONBEKEND")),"ONZEKER")))))</f>
        <v/>
      </c>
      <c r="CN237" t="str">
        <f t="shared" si="1812"/>
        <v/>
      </c>
      <c r="CO237" t="str">
        <f t="shared" si="1813"/>
        <v/>
      </c>
      <c r="CP237" t="str">
        <f>IF($CO237="","",IF(OR($EC237="",$ED237=""),"ONZEKER",IF(OR($DZ237="",$EA237=""),"ONZEKER",IF(AND($EC237=$DZ237+1,$ED237=$EA237),IF(OR(COUNTIF(#REF!,$B237)&gt;0,COUNTIF(#REF!,$B237)=0),"SKIP",IF(COUNTIFS(#REF!,$B237,#REF!,$CO237)&gt;0,"OK","ONBEKEND")),IF(AND($EC237=$DZ237,$ED237=$EA237+1),IF(OR(COUNTIF(#REF!,$D237)&gt;0,COUNTIF(#REF!,$D237)=0),"SKIP",IF(COUNTIFS(#REF!,$D237,#REF!,$CO237)&gt;0,"OK","ONBEKEND")),"ONZEKER")))))</f>
        <v/>
      </c>
      <c r="CQ237" t="str">
        <f t="shared" si="1814"/>
        <v/>
      </c>
      <c r="CR237" t="str">
        <f t="shared" si="1815"/>
        <v/>
      </c>
      <c r="CS237" t="str">
        <f>IF($CR237="","",IF(OR($EF237="",$EG237=""),"ONZEKER",IF(OR($EC237="",$ED237=""),"ONZEKER",IF(AND($EF237=$EC237+1,$EG237=$ED237),IF(OR(COUNTIF(#REF!,$B237)&gt;0,COUNTIF(#REF!,$B237)=0),"SKIP",IF(COUNTIFS(#REF!,$B237,#REF!,$CR237)&gt;0,"OK","ONBEKEND")),IF(AND($EF237=$EC237,$EG237=$ED237+1),IF(OR(COUNTIF(#REF!,$D237)&gt;0,COUNTIF(#REF!,$D237)=0),"SKIP",IF(COUNTIFS(#REF!,$D237,#REF!,$CR237)&gt;0,"OK","ONBEKEND")),"ONZEKER")))))</f>
        <v/>
      </c>
      <c r="CT237" t="str">
        <f t="shared" si="1816"/>
        <v/>
      </c>
      <c r="CU237" t="str">
        <f t="shared" si="1817"/>
        <v/>
      </c>
      <c r="CV237" t="str">
        <f>IF($CU237="","",IF(OR($EI237="",$EJ237=""),"ONZEKER",IF(OR($EF237="",$EG237=""),"ONZEKER",IF(AND($EI237=$EF237+1,$EJ237=$EG237),IF(OR(COUNTIF(#REF!,$B237)&gt;0,COUNTIF(#REF!,$B237)=0),"SKIP",IF(COUNTIFS(#REF!,$B237,#REF!,$CU237)&gt;0,"OK","ONBEKEND")),IF(AND($EI237=$EF237,$EJ237=$EG237+1),IF(OR(COUNTIF(#REF!,$D237)&gt;0,COUNTIF(#REF!,$D237)=0),"SKIP",IF(COUNTIFS(#REF!,$D237,#REF!,$CU237)&gt;0,"OK","ONBEKEND")),"ONZEKER")))))</f>
        <v/>
      </c>
      <c r="CW237" t="str">
        <f t="shared" si="1818"/>
        <v/>
      </c>
      <c r="CX237" t="str">
        <f t="shared" si="1819"/>
        <v/>
      </c>
      <c r="CY237" t="str">
        <f>IF($CX237="","",IF(OR($EL237="",$EM237=""),"ONZEKER",IF(OR($EI237="",$EJ237=""),"ONZEKER",IF(AND($EL237=$EI237+1,$EM237=$EJ237),IF(OR(COUNTIF(#REF!,$B237)&gt;0,COUNTIF(#REF!,$B237)=0),"SKIP",IF(COUNTIFS(#REF!,$B237,#REF!,$CX237)&gt;0,"OK","ONBEKEND")),IF(AND($EL237=$EI237,$EM237=$EJ237+1),IF(OR(COUNTIF(#REF!,$D237)&gt;0,COUNTIF(#REF!,$D237)=0),"SKIP",IF(COUNTIFS(#REF!,$D237,#REF!,$CX237)&gt;0,"OK","ONBEKEND")),"ONZEKER")))))</f>
        <v/>
      </c>
      <c r="CZ237" t="str">
        <f t="shared" si="1820"/>
        <v/>
      </c>
      <c r="DA237" t="str">
        <f t="shared" si="1821"/>
        <v/>
      </c>
      <c r="DB237" t="str">
        <f>IF($DA237="","",IF(OR($EO237="",$EP237=""),"ONZEKER",IF(OR($EL237="",$EM237=""),"ONZEKER",IF(AND($EO237=$EL237+1,$EP237=$EM237),IF(OR(COUNTIF(#REF!,$B237)&gt;0,COUNTIF(#REF!,$B237)=0),"SKIP",IF(COUNTIFS(#REF!,$B237,#REF!,$DA237)&gt;0,"OK","ONBEKEND")),IF(AND($EO237=$EL237,$EP237=$EM237+1),IF(OR(COUNTIF(#REF!,$D237)&gt;0,COUNTIF(#REF!,$D237)=0),"SKIP",IF(COUNTIFS(#REF!,$D237,#REF!,$DA237)&gt;0,"OK","ONBEKEND")),"ONZEKER")))))</f>
        <v/>
      </c>
      <c r="DC237" t="str">
        <f t="shared" si="1822"/>
        <v/>
      </c>
      <c r="DD237" t="str">
        <f t="shared" si="1823"/>
        <v/>
      </c>
      <c r="DE237" t="str">
        <f>IF($DD237="","",IF(OR($ER237="",$ES237=""),"ONZEKER",IF(OR($EO237="",$EP237=""),"ONZEKER",IF(AND($ER237=$EO237+1,$ES237=$EP237),IF(OR(COUNTIF(#REF!,$B237)&gt;0,COUNTIF(#REF!,$B237)=0),"SKIP",IF(COUNTIFS(#REF!,$B237,#REF!,$DD237)&gt;0,"OK","ONBEKEND")),IF(AND($ER237=$EO237,$ES237=$EP237+1),IF(OR(COUNTIF(#REF!,$D237)&gt;0,COUNTIF(#REF!,$D237)=0),"SKIP",IF(COUNTIFS(#REF!,$D237,#REF!,$DD237)&gt;0,"OK","ONBEKEND")),"ONZEKER")))))</f>
        <v/>
      </c>
      <c r="DF237" t="str">
        <f t="shared" si="1824"/>
        <v/>
      </c>
      <c r="DG237" t="str">
        <f t="shared" si="1825"/>
        <v/>
      </c>
      <c r="DH237" t="str">
        <f>IF($DG237="","",IF(OR($EU237="",$EV237=""),"ONZEKER",IF(OR($ER237="",$ES237=""),"ONZEKER",IF(AND($EU237=$ER237+1,$EV237=$ES237),IF(OR(COUNTIF(#REF!,$B237)&gt;0,COUNTIF(#REF!,$B237)=0),"SKIP",IF(COUNTIFS(#REF!,$B237,#REF!,$DG237)&gt;0,"OK","ONBEKEND")),IF(AND($EU237=$ER237,$EV237=$ES237+1),IF(OR(COUNTIF(#REF!,$D237)&gt;0,COUNTIF(#REF!,$D237)=0),"SKIP",IF(COUNTIFS(#REF!,$D237,#REF!,$DG237)&gt;0,"OK","ONBEKEND")),"ONZEKER")))))</f>
        <v/>
      </c>
      <c r="DI237" t="str">
        <f t="shared" si="1826"/>
        <v/>
      </c>
      <c r="DJ237" t="str">
        <f t="shared" si="1827"/>
        <v/>
      </c>
      <c r="DK237" t="str">
        <f>IF($DJ237="","",IF(OR($EX237="",$EY237=""),"ONZEKER",IF(OR($EU237="",$EV237=""),"ONZEKER",IF(AND($EX237=$EU237+1,$EY237=$EV237),IF(OR(COUNTIF(#REF!,$B237)&gt;0,COUNTIF(#REF!,$B237)=0),"SKIP",IF(COUNTIFS(#REF!,$B237,#REF!,$DJ237)&gt;0,"OK","ONBEKEND")),IF(AND($EX237=$EU237,$EY237=$EV237+1),IF(OR(COUNTIF(#REF!,$D237)&gt;0,COUNTIF(#REF!,$D237)=0),"SKIP",IF(COUNTIFS(#REF!,$D237,#REF!,$DJ237)&gt;0,"OK","ONBEKEND")),"ONZEKER")))))</f>
        <v/>
      </c>
      <c r="DL237" t="str">
        <f t="shared" si="1828"/>
        <v/>
      </c>
      <c r="DM237" t="str">
        <f t="shared" si="1829"/>
        <v/>
      </c>
      <c r="DN237" t="str">
        <f t="shared" si="1830"/>
        <v/>
      </c>
      <c r="DO237" t="str">
        <f t="shared" si="1831"/>
        <v/>
      </c>
      <c r="DP237" t="str">
        <f t="shared" si="1832"/>
        <v/>
      </c>
      <c r="DQ237" t="str">
        <f t="shared" si="1833"/>
        <v/>
      </c>
      <c r="DR237" t="str">
        <f t="shared" si="1834"/>
        <v/>
      </c>
      <c r="DS237" t="str">
        <f t="shared" si="1835"/>
        <v/>
      </c>
      <c r="DT237" t="str">
        <f t="shared" si="1836"/>
        <v/>
      </c>
      <c r="DU237" t="str">
        <f t="shared" si="1837"/>
        <v/>
      </c>
      <c r="DV237" t="str">
        <f t="shared" si="1838"/>
        <v/>
      </c>
      <c r="DW237" t="str">
        <f t="shared" si="1839"/>
        <v/>
      </c>
      <c r="DX237" t="str">
        <f t="shared" si="1840"/>
        <v/>
      </c>
      <c r="DY237" t="str">
        <f t="shared" si="1841"/>
        <v/>
      </c>
      <c r="DZ237" t="str">
        <f t="shared" si="1842"/>
        <v/>
      </c>
      <c r="EA237" t="str">
        <f t="shared" si="1843"/>
        <v/>
      </c>
      <c r="EB237" t="str">
        <f t="shared" si="1844"/>
        <v/>
      </c>
      <c r="EC237" t="str">
        <f t="shared" si="1845"/>
        <v/>
      </c>
      <c r="ED237" t="str">
        <f t="shared" si="1846"/>
        <v/>
      </c>
      <c r="EE237" t="str">
        <f t="shared" si="1847"/>
        <v/>
      </c>
      <c r="EF237" t="str">
        <f t="shared" si="1848"/>
        <v/>
      </c>
      <c r="EG237" t="str">
        <f t="shared" si="1849"/>
        <v/>
      </c>
      <c r="EH237" t="str">
        <f t="shared" si="1850"/>
        <v/>
      </c>
      <c r="EI237" t="str">
        <f t="shared" si="1851"/>
        <v/>
      </c>
      <c r="EJ237" t="str">
        <f t="shared" si="1852"/>
        <v/>
      </c>
      <c r="EK237" t="str">
        <f t="shared" si="1853"/>
        <v/>
      </c>
      <c r="EL237" t="str">
        <f t="shared" si="1854"/>
        <v/>
      </c>
      <c r="EM237" t="str">
        <f t="shared" si="1855"/>
        <v/>
      </c>
      <c r="EN237" t="str">
        <f t="shared" si="1856"/>
        <v/>
      </c>
      <c r="EO237" t="str">
        <f t="shared" si="1857"/>
        <v/>
      </c>
      <c r="EP237" t="str">
        <f t="shared" si="1858"/>
        <v/>
      </c>
      <c r="EQ237" t="str">
        <f t="shared" si="1859"/>
        <v/>
      </c>
      <c r="ER237" t="str">
        <f t="shared" si="1860"/>
        <v/>
      </c>
      <c r="ES237" t="str">
        <f t="shared" si="1861"/>
        <v/>
      </c>
      <c r="ET237" t="str">
        <f t="shared" si="1862"/>
        <v/>
      </c>
      <c r="EU237" t="str">
        <f t="shared" si="1863"/>
        <v/>
      </c>
      <c r="EV237" t="str">
        <f t="shared" si="1864"/>
        <v/>
      </c>
      <c r="EW237" t="str">
        <f t="shared" si="1865"/>
        <v/>
      </c>
      <c r="EX237" t="str">
        <f t="shared" si="1866"/>
        <v/>
      </c>
      <c r="EY237" t="str">
        <f t="shared" si="1867"/>
        <v/>
      </c>
    </row>
    <row r="238" spans="1:155" ht="13.9" customHeight="1" x14ac:dyDescent="0.25">
      <c r="A238" s="7"/>
      <c r="B238" s="17"/>
      <c r="C238" s="8"/>
      <c r="D238" s="17"/>
      <c r="E238" s="8"/>
      <c r="F238" s="18">
        <v>0</v>
      </c>
      <c r="G238" s="7" t="s">
        <v>147</v>
      </c>
      <c r="H238" s="18">
        <v>0</v>
      </c>
      <c r="I238" s="19">
        <v>0</v>
      </c>
      <c r="J238" s="7" t="s">
        <v>147</v>
      </c>
      <c r="K238" s="19">
        <v>0</v>
      </c>
      <c r="L238" s="9"/>
      <c r="M238" s="3" t="str">
        <f>IF($L238="","",IF($L238="DOELPUNTENMAKERS","",IF(AND(COUNTIF(#REF!,$B238)=0,COUNTIF(#REF!,$D238)=0),"OK",IF($O238&gt;20,"LET OP: meer dan 20 items (controle onvolledig)",IF((COUNTIF($R238:$AS238,"ONZEKER")+COUNTIF($CJ238:$DK238,"ONZEKER"))&gt;0,"LET OP: scoreverloop onduidelijk (controle beperkt)",IF((IF($AT238&lt;&gt;"",$AT238&amp;", ","")&amp;IF($AU238&lt;&gt;"",$AU238&amp;", ","")&amp;IF($AV238&lt;&gt;"",$AV238&amp;", ","")&amp;IF($AW238&lt;&gt;"",$AW238&amp;", ","")&amp;IF($AX238&lt;&gt;"",$AX238&amp;", ","")&amp;IF($AY238&lt;&gt;"",$AY238&amp;", ","")&amp;IF($AZ238&lt;&gt;"",$AZ238&amp;", ","")&amp;IF($BA238&lt;&gt;"",$BA238&amp;", ","")&amp;IF($BB238&lt;&gt;"",$BB238&amp;", ","")&amp;IF($BC238&lt;&gt;"",$BC238&amp;", ","")&amp;IF($DL238&lt;&gt;"",$DL238&amp;", ","")&amp;IF($DM238&lt;&gt;"",$DM238&amp;", ","")&amp;IF($DN238&lt;&gt;"",$DN238&amp;", ","")&amp;IF($DO238&lt;&gt;"",$DO238&amp;", ","")&amp;IF($DP238&lt;&gt;"",$DP238&amp;", ","")&amp;IF($DQ238&lt;&gt;"",$DQ238&amp;", ","")&amp;IF($DR238&lt;&gt;"",$DR238&amp;", ","")&amp;IF($DS238&lt;&gt;"",$DS238&amp;", ","")&amp;IF($DT238&lt;&gt;"",$DT238&amp;", ","")&amp;IF($DU238&lt;&gt;"",$DU238&amp;", ",""))="","OK","Onbekend: "&amp;LEFT((IF($AT238&lt;&gt;"",$AT238&amp;", ","")&amp;IF($AU238&lt;&gt;"",$AU238&amp;", ","")&amp;IF($AV238&lt;&gt;"",$AV238&amp;", ","")&amp;IF($AW238&lt;&gt;"",$AW238&amp;", ","")&amp;IF($AX238&lt;&gt;"",$AX238&amp;", ","")&amp;IF($AY238&lt;&gt;"",$AY238&amp;", ","")&amp;IF($AZ238&lt;&gt;"",$AZ238&amp;", ","")&amp;IF($BA238&lt;&gt;"",$BA238&amp;", ","")&amp;IF($BB238&lt;&gt;"",$BB238&amp;", ","")&amp;IF($BC238&lt;&gt;"",$BC238&amp;", ","")&amp;IF($DL238&lt;&gt;"",$DL238&amp;", ","")&amp;IF($DM238&lt;&gt;"",$DM238&amp;", ","")&amp;IF($DN238&lt;&gt;"",$DN238&amp;", ","")&amp;IF($DO238&lt;&gt;"",$DO238&amp;", ","")&amp;IF($DP238&lt;&gt;"",$DP238&amp;", ","")&amp;IF($DQ238&lt;&gt;"",$DQ238&amp;", ","")&amp;IF($DR238&lt;&gt;"",$DR238&amp;", ","")&amp;IF($DS238&lt;&gt;"",$DS238&amp;", ","")&amp;IF($DT238&lt;&gt;"",$DT238&amp;", ","")&amp;IF($DU238&lt;&gt;"",$DU238&amp;", ","")),LEN((IF($AT238&lt;&gt;"",$AT238&amp;", ","")&amp;IF($AU238&lt;&gt;"",$AU238&amp;", ","")&amp;IF($AV238&lt;&gt;"",$AV238&amp;", ","")&amp;IF($AW238&lt;&gt;"",$AW238&amp;", ","")&amp;IF($AX238&lt;&gt;"",$AX238&amp;", ","")&amp;IF($AY238&lt;&gt;"",$AY238&amp;", ","")&amp;IF($AZ238&lt;&gt;"",$AZ238&amp;", ","")&amp;IF($BA238&lt;&gt;"",$BA238&amp;", ","")&amp;IF($BB238&lt;&gt;"",$BB238&amp;", ","")&amp;IF($BC238&lt;&gt;"",$BC238&amp;", ","")&amp;IF($DL238&lt;&gt;"",$DL238&amp;", ","")&amp;IF($DM238&lt;&gt;"",$DM238&amp;", ","")&amp;IF($DN238&lt;&gt;"",$DN238&amp;", ","")&amp;IF($DO238&lt;&gt;"",$DO238&amp;", ","")&amp;IF($DP238&lt;&gt;"",$DP238&amp;", ","")&amp;IF($DQ238&lt;&gt;"",$DQ238&amp;", ","")&amp;IF($DR238&lt;&gt;"",$DR238&amp;", ","")&amp;IF($DS238&lt;&gt;"",$DS238&amp;", ","")&amp;IF($DT238&lt;&gt;"",$DT238&amp;", ","")&amp;IF($DU238&lt;&gt;"",$DU238&amp;", ","")))-2)))))))</f>
        <v/>
      </c>
      <c r="N238" t="str">
        <f t="shared" si="1776"/>
        <v/>
      </c>
      <c r="O238" t="str">
        <f t="shared" si="1777"/>
        <v/>
      </c>
      <c r="P238" t="str">
        <f t="shared" si="1778"/>
        <v/>
      </c>
      <c r="Q238" t="str">
        <f t="shared" si="1779"/>
        <v/>
      </c>
      <c r="R238" t="str">
        <f>IF($Q238="","",IF(OR($BE238="",$BF238=""),"ONZEKER",IF(AND($BE238=0+1,$BF238=0),IF(OR(COUNTIF(#REF!,$B238)&gt;0,COUNTIF(#REF!,$B238)=0),"SKIP",IF(COUNTIFS(#REF!,$B238,#REF!,$Q238)&gt;0,"OK","ONBEKEND")),IF(AND($BE238=0,$BF238=0+1),IF(OR(COUNTIF(#REF!,$D238)&gt;0,COUNTIF(#REF!,$D238)=0),"SKIP",IF(COUNTIFS(#REF!,$D238,#REF!,$Q238)&gt;0,"OK","ONBEKEND")),"ONZEKER"))))</f>
        <v/>
      </c>
      <c r="S238" t="str">
        <f t="shared" si="1780"/>
        <v/>
      </c>
      <c r="T238" t="str">
        <f t="shared" si="1781"/>
        <v/>
      </c>
      <c r="U238" t="str">
        <f>IF($T238="","",IF(OR($BH238="",$BI238=""),"ONZEKER",IF(OR($BE238="",$BF238=""),"ONZEKER",IF(AND($BH238=$BE238+1,$BI238=$BF238),IF(OR(COUNTIF(#REF!,$B238)&gt;0,COUNTIF(#REF!,$B238)=0),"SKIP",IF(COUNTIFS(#REF!,$B238,#REF!,$T238)&gt;0,"OK","ONBEKEND")),IF(AND($BH238=$BE238,$BI238=$BF238+1),IF(OR(COUNTIF(#REF!,$D238)&gt;0,COUNTIF(#REF!,$D238)=0),"SKIP",IF(COUNTIFS(#REF!,$D238,#REF!,$T238)&gt;0,"OK","ONBEKEND")),"ONZEKER")))))</f>
        <v/>
      </c>
      <c r="V238" t="str">
        <f t="shared" si="1782"/>
        <v/>
      </c>
      <c r="W238" t="str">
        <f t="shared" si="1783"/>
        <v/>
      </c>
      <c r="X238" t="str">
        <f>IF($W238="","",IF(OR($BK238="",$BL238=""),"ONZEKER",IF(OR($BH238="",$BI238=""),"ONZEKER",IF(AND($BK238=$BH238+1,$BL238=$BI238),IF(OR(COUNTIF(#REF!,$B238)&gt;0,COUNTIF(#REF!,$B238)=0),"SKIP",IF(COUNTIFS(#REF!,$B238,#REF!,$W238)&gt;0,"OK","ONBEKEND")),IF(AND($BK238=$BH238,$BL238=$BI238+1),IF(OR(COUNTIF(#REF!,$D238)&gt;0,COUNTIF(#REF!,$D238)=0),"SKIP",IF(COUNTIFS(#REF!,$D238,#REF!,$W238)&gt;0,"OK","ONBEKEND")),"ONZEKER")))))</f>
        <v/>
      </c>
      <c r="Y238" t="str">
        <f t="shared" si="1784"/>
        <v/>
      </c>
      <c r="Z238" t="str">
        <f t="shared" si="1785"/>
        <v/>
      </c>
      <c r="AA238" t="str">
        <f>IF($Z238="","",IF(OR($BN238="",$BO238=""),"ONZEKER",IF(OR($BK238="",$BL238=""),"ONZEKER",IF(AND($BN238=$BK238+1,$BO238=$BL238),IF(OR(COUNTIF(#REF!,$B238)&gt;0,COUNTIF(#REF!,$B238)=0),"SKIP",IF(COUNTIFS(#REF!,$B238,#REF!,$Z238)&gt;0,"OK","ONBEKEND")),IF(AND($BN238=$BK238,$BO238=$BL238+1),IF(OR(COUNTIF(#REF!,$D238)&gt;0,COUNTIF(#REF!,$D238)=0),"SKIP",IF(COUNTIFS(#REF!,$D238,#REF!,$Z238)&gt;0,"OK","ONBEKEND")),"ONZEKER")))))</f>
        <v/>
      </c>
      <c r="AB238" t="str">
        <f t="shared" si="1786"/>
        <v/>
      </c>
      <c r="AC238" t="str">
        <f t="shared" si="1787"/>
        <v/>
      </c>
      <c r="AD238" t="str">
        <f>IF($AC238="","",IF(OR($BQ238="",$BR238=""),"ONZEKER",IF(OR($BN238="",$BO238=""),"ONZEKER",IF(AND($BQ238=$BN238+1,$BR238=$BO238),IF(OR(COUNTIF(#REF!,$B238)&gt;0,COUNTIF(#REF!,$B238)=0),"SKIP",IF(COUNTIFS(#REF!,$B238,#REF!,$AC238)&gt;0,"OK","ONBEKEND")),IF(AND($BQ238=$BN238,$BR238=$BO238+1),IF(OR(COUNTIF(#REF!,$D238)&gt;0,COUNTIF(#REF!,$D238)=0),"SKIP",IF(COUNTIFS(#REF!,$D238,#REF!,$AC238)&gt;0,"OK","ONBEKEND")),"ONZEKER")))))</f>
        <v/>
      </c>
      <c r="AE238" t="str">
        <f t="shared" si="1788"/>
        <v/>
      </c>
      <c r="AF238" t="str">
        <f t="shared" si="1789"/>
        <v/>
      </c>
      <c r="AG238" t="str">
        <f>IF($AF238="","",IF(OR($BT238="",$BU238=""),"ONZEKER",IF(OR($BQ238="",$BR238=""),"ONZEKER",IF(AND($BT238=$BQ238+1,$BU238=$BR238),IF(OR(COUNTIF(#REF!,$B238)&gt;0,COUNTIF(#REF!,$B238)=0),"SKIP",IF(COUNTIFS(#REF!,$B238,#REF!,$AF238)&gt;0,"OK","ONBEKEND")),IF(AND($BT238=$BQ238,$BU238=$BR238+1),IF(OR(COUNTIF(#REF!,$D238)&gt;0,COUNTIF(#REF!,$D238)=0),"SKIP",IF(COUNTIFS(#REF!,$D238,#REF!,$AF238)&gt;0,"OK","ONBEKEND")),"ONZEKER")))))</f>
        <v/>
      </c>
      <c r="AH238" t="str">
        <f t="shared" si="1790"/>
        <v/>
      </c>
      <c r="AI238" t="str">
        <f t="shared" si="1791"/>
        <v/>
      </c>
      <c r="AJ238" t="str">
        <f>IF($AI238="","",IF(OR($BW238="",$BX238=""),"ONZEKER",IF(OR($BT238="",$BU238=""),"ONZEKER",IF(AND($BW238=$BT238+1,$BX238=$BU238),IF(OR(COUNTIF(#REF!,$B238)&gt;0,COUNTIF(#REF!,$B238)=0),"SKIP",IF(COUNTIFS(#REF!,$B238,#REF!,$AI238)&gt;0,"OK","ONBEKEND")),IF(AND($BW238=$BT238,$BX238=$BU238+1),IF(OR(COUNTIF(#REF!,$D238)&gt;0,COUNTIF(#REF!,$D238)=0),"SKIP",IF(COUNTIFS(#REF!,$D238,#REF!,$AI238)&gt;0,"OK","ONBEKEND")),"ONZEKER")))))</f>
        <v/>
      </c>
      <c r="AK238" t="str">
        <f t="shared" si="1792"/>
        <v/>
      </c>
      <c r="AL238" t="str">
        <f t="shared" si="1793"/>
        <v/>
      </c>
      <c r="AM238" t="str">
        <f>IF($AL238="","",IF(OR($BZ238="",$CA238=""),"ONZEKER",IF(OR($BW238="",$BX238=""),"ONZEKER",IF(AND($BZ238=$BW238+1,$CA238=$BX238),IF(OR(COUNTIF(#REF!,$B238)&gt;0,COUNTIF(#REF!,$B238)=0),"SKIP",IF(COUNTIFS(#REF!,$B238,#REF!,$AL238)&gt;0,"OK","ONBEKEND")),IF(AND($BZ238=$BW238,$CA238=$BX238+1),IF(OR(COUNTIF(#REF!,$D238)&gt;0,COUNTIF(#REF!,$D238)=0),"SKIP",IF(COUNTIFS(#REF!,$D238,#REF!,$AL238)&gt;0,"OK","ONBEKEND")),"ONZEKER")))))</f>
        <v/>
      </c>
      <c r="AN238" t="str">
        <f t="shared" si="1794"/>
        <v/>
      </c>
      <c r="AO238" t="str">
        <f t="shared" si="1795"/>
        <v/>
      </c>
      <c r="AP238" t="str">
        <f>IF($AO238="","",IF(OR($CC238="",$CD238=""),"ONZEKER",IF(OR($BZ238="",$CA238=""),"ONZEKER",IF(AND($CC238=$BZ238+1,$CD238=$CA238),IF(OR(COUNTIF(#REF!,$B238)&gt;0,COUNTIF(#REF!,$B238)=0),"SKIP",IF(COUNTIFS(#REF!,$B238,#REF!,$AO238)&gt;0,"OK","ONBEKEND")),IF(AND($CC238=$BZ238,$CD238=$CA238+1),IF(OR(COUNTIF(#REF!,$D238)&gt;0,COUNTIF(#REF!,$D238)=0),"SKIP",IF(COUNTIFS(#REF!,$D238,#REF!,$AO238)&gt;0,"OK","ONBEKEND")),"ONZEKER")))))</f>
        <v/>
      </c>
      <c r="AQ238" t="str">
        <f t="shared" si="1796"/>
        <v/>
      </c>
      <c r="AR238" t="str">
        <f t="shared" si="1797"/>
        <v/>
      </c>
      <c r="AS238" t="str">
        <f>IF($AR238="","",IF(OR($CF238="",$CG238=""),"ONZEKER",IF(OR($CC238="",$CD238=""),"ONZEKER",IF(AND($CF238=$CC238+1,$CG238=$CD238),IF(OR(COUNTIF(#REF!,$B238)&gt;0,COUNTIF(#REF!,$B238)=0),"SKIP",IF(COUNTIFS(#REF!,$B238,#REF!,$AR238)&gt;0,"OK","ONBEKEND")),IF(AND($CF238=$CC238,$CG238=$CD238+1),IF(OR(COUNTIF(#REF!,$D238)&gt;0,COUNTIF(#REF!,$D238)=0),"SKIP",IF(COUNTIFS(#REF!,$D238,#REF!,$AR238)&gt;0,"OK","ONBEKEND")),"ONZEKER")))))</f>
        <v/>
      </c>
      <c r="AT238" t="str">
        <f t="shared" si="1798"/>
        <v/>
      </c>
      <c r="AU238" t="str">
        <f t="shared" si="1799"/>
        <v/>
      </c>
      <c r="AV238" t="str">
        <f t="shared" si="1800"/>
        <v/>
      </c>
      <c r="AW238" t="str">
        <f t="shared" si="1801"/>
        <v/>
      </c>
      <c r="AX238" t="str">
        <f t="shared" si="1802"/>
        <v/>
      </c>
      <c r="AY238" t="str">
        <f t="shared" si="1803"/>
        <v/>
      </c>
      <c r="AZ238" t="str">
        <f t="shared" si="1804"/>
        <v/>
      </c>
      <c r="BA238" t="str">
        <f t="shared" si="1805"/>
        <v/>
      </c>
      <c r="BB238" t="str">
        <f t="shared" si="1806"/>
        <v/>
      </c>
      <c r="BC238" t="str">
        <f t="shared" si="1807"/>
        <v/>
      </c>
      <c r="BD238" t="str">
        <f t="shared" si="1470"/>
        <v/>
      </c>
      <c r="BE238" t="str">
        <f t="shared" si="1471"/>
        <v/>
      </c>
      <c r="BF238" t="str">
        <f t="shared" si="1472"/>
        <v/>
      </c>
      <c r="BG238" t="str">
        <f t="shared" si="1473"/>
        <v/>
      </c>
      <c r="BH238" t="str">
        <f t="shared" si="1474"/>
        <v/>
      </c>
      <c r="BI238" t="str">
        <f t="shared" si="1475"/>
        <v/>
      </c>
      <c r="BJ238" t="str">
        <f t="shared" si="1476"/>
        <v/>
      </c>
      <c r="BK238" t="str">
        <f t="shared" si="1477"/>
        <v/>
      </c>
      <c r="BL238" t="str">
        <f t="shared" si="1478"/>
        <v/>
      </c>
      <c r="BM238" t="str">
        <f t="shared" si="1479"/>
        <v/>
      </c>
      <c r="BN238" t="str">
        <f t="shared" si="1480"/>
        <v/>
      </c>
      <c r="BO238" t="str">
        <f t="shared" si="1481"/>
        <v/>
      </c>
      <c r="BP238" t="str">
        <f t="shared" si="1482"/>
        <v/>
      </c>
      <c r="BQ238" t="str">
        <f t="shared" si="1483"/>
        <v/>
      </c>
      <c r="BR238" t="str">
        <f t="shared" si="1484"/>
        <v/>
      </c>
      <c r="BS238" t="str">
        <f t="shared" si="1485"/>
        <v/>
      </c>
      <c r="BT238" t="str">
        <f t="shared" si="1486"/>
        <v/>
      </c>
      <c r="BU238" t="str">
        <f t="shared" si="1487"/>
        <v/>
      </c>
      <c r="BV238" t="str">
        <f t="shared" si="1488"/>
        <v/>
      </c>
      <c r="BW238" t="str">
        <f t="shared" si="1489"/>
        <v/>
      </c>
      <c r="BX238" t="str">
        <f t="shared" si="1490"/>
        <v/>
      </c>
      <c r="BY238" t="str">
        <f t="shared" si="1491"/>
        <v/>
      </c>
      <c r="BZ238" t="str">
        <f t="shared" si="1492"/>
        <v/>
      </c>
      <c r="CA238" t="str">
        <f t="shared" si="1493"/>
        <v/>
      </c>
      <c r="CB238" t="str">
        <f t="shared" si="1494"/>
        <v/>
      </c>
      <c r="CC238" t="str">
        <f t="shared" si="1495"/>
        <v/>
      </c>
      <c r="CD238" t="str">
        <f t="shared" si="1496"/>
        <v/>
      </c>
      <c r="CE238" t="str">
        <f t="shared" si="1497"/>
        <v/>
      </c>
      <c r="CF238" t="str">
        <f t="shared" si="1498"/>
        <v/>
      </c>
      <c r="CG238" t="str">
        <f t="shared" si="1499"/>
        <v/>
      </c>
      <c r="CH238" t="str">
        <f t="shared" si="1808"/>
        <v/>
      </c>
      <c r="CI238" t="str">
        <f t="shared" si="1809"/>
        <v/>
      </c>
      <c r="CJ238" t="str">
        <f>IF($CI238="","",IF(OR($DW238="",$DX238=""),"ONZEKER",IF(OR($CF238="",$CG238=""),"ONZEKER",IF(AND($DW238=$CF238+1,$DX238=$CG238),IF(OR(COUNTIF(#REF!,$B238)&gt;0,COUNTIF(#REF!,$B238)=0),"SKIP",IF(COUNTIFS(#REF!,$B238,#REF!,$CI238)&gt;0,"OK","ONBEKEND")),IF(AND($DW238=$CF238,$DX238=$CG238+1),IF(OR(COUNTIF(#REF!,$D238)&gt;0,COUNTIF(#REF!,$D238)=0),"SKIP",IF(COUNTIFS(#REF!,$D238,#REF!,$CI238)&gt;0,"OK","ONBEKEND")),"ONZEKER")))))</f>
        <v/>
      </c>
      <c r="CK238" t="str">
        <f t="shared" si="1810"/>
        <v/>
      </c>
      <c r="CL238" t="str">
        <f t="shared" si="1811"/>
        <v/>
      </c>
      <c r="CM238" t="str">
        <f>IF($CL238="","",IF(OR($DZ238="",$EA238=""),"ONZEKER",IF(OR($DW238="",$DX238=""),"ONZEKER",IF(AND($DZ238=$DW238+1,$EA238=$DX238),IF(OR(COUNTIF(#REF!,$B238)&gt;0,COUNTIF(#REF!,$B238)=0),"SKIP",IF(COUNTIFS(#REF!,$B238,#REF!,$CL238)&gt;0,"OK","ONBEKEND")),IF(AND($DZ238=$DW238,$EA238=$DX238+1),IF(OR(COUNTIF(#REF!,$D238)&gt;0,COUNTIF(#REF!,$D238)=0),"SKIP",IF(COUNTIFS(#REF!,$D238,#REF!,$CL238)&gt;0,"OK","ONBEKEND")),"ONZEKER")))))</f>
        <v/>
      </c>
      <c r="CN238" t="str">
        <f t="shared" si="1812"/>
        <v/>
      </c>
      <c r="CO238" t="str">
        <f t="shared" si="1813"/>
        <v/>
      </c>
      <c r="CP238" t="str">
        <f>IF($CO238="","",IF(OR($EC238="",$ED238=""),"ONZEKER",IF(OR($DZ238="",$EA238=""),"ONZEKER",IF(AND($EC238=$DZ238+1,$ED238=$EA238),IF(OR(COUNTIF(#REF!,$B238)&gt;0,COUNTIF(#REF!,$B238)=0),"SKIP",IF(COUNTIFS(#REF!,$B238,#REF!,$CO238)&gt;0,"OK","ONBEKEND")),IF(AND($EC238=$DZ238,$ED238=$EA238+1),IF(OR(COUNTIF(#REF!,$D238)&gt;0,COUNTIF(#REF!,$D238)=0),"SKIP",IF(COUNTIFS(#REF!,$D238,#REF!,$CO238)&gt;0,"OK","ONBEKEND")),"ONZEKER")))))</f>
        <v/>
      </c>
      <c r="CQ238" t="str">
        <f t="shared" si="1814"/>
        <v/>
      </c>
      <c r="CR238" t="str">
        <f t="shared" si="1815"/>
        <v/>
      </c>
      <c r="CS238" t="str">
        <f>IF($CR238="","",IF(OR($EF238="",$EG238=""),"ONZEKER",IF(OR($EC238="",$ED238=""),"ONZEKER",IF(AND($EF238=$EC238+1,$EG238=$ED238),IF(OR(COUNTIF(#REF!,$B238)&gt;0,COUNTIF(#REF!,$B238)=0),"SKIP",IF(COUNTIFS(#REF!,$B238,#REF!,$CR238)&gt;0,"OK","ONBEKEND")),IF(AND($EF238=$EC238,$EG238=$ED238+1),IF(OR(COUNTIF(#REF!,$D238)&gt;0,COUNTIF(#REF!,$D238)=0),"SKIP",IF(COUNTIFS(#REF!,$D238,#REF!,$CR238)&gt;0,"OK","ONBEKEND")),"ONZEKER")))))</f>
        <v/>
      </c>
      <c r="CT238" t="str">
        <f t="shared" si="1816"/>
        <v/>
      </c>
      <c r="CU238" t="str">
        <f t="shared" si="1817"/>
        <v/>
      </c>
      <c r="CV238" t="str">
        <f>IF($CU238="","",IF(OR($EI238="",$EJ238=""),"ONZEKER",IF(OR($EF238="",$EG238=""),"ONZEKER",IF(AND($EI238=$EF238+1,$EJ238=$EG238),IF(OR(COUNTIF(#REF!,$B238)&gt;0,COUNTIF(#REF!,$B238)=0),"SKIP",IF(COUNTIFS(#REF!,$B238,#REF!,$CU238)&gt;0,"OK","ONBEKEND")),IF(AND($EI238=$EF238,$EJ238=$EG238+1),IF(OR(COUNTIF(#REF!,$D238)&gt;0,COUNTIF(#REF!,$D238)=0),"SKIP",IF(COUNTIFS(#REF!,$D238,#REF!,$CU238)&gt;0,"OK","ONBEKEND")),"ONZEKER")))))</f>
        <v/>
      </c>
      <c r="CW238" t="str">
        <f t="shared" si="1818"/>
        <v/>
      </c>
      <c r="CX238" t="str">
        <f t="shared" si="1819"/>
        <v/>
      </c>
      <c r="CY238" t="str">
        <f>IF($CX238="","",IF(OR($EL238="",$EM238=""),"ONZEKER",IF(OR($EI238="",$EJ238=""),"ONZEKER",IF(AND($EL238=$EI238+1,$EM238=$EJ238),IF(OR(COUNTIF(#REF!,$B238)&gt;0,COUNTIF(#REF!,$B238)=0),"SKIP",IF(COUNTIFS(#REF!,$B238,#REF!,$CX238)&gt;0,"OK","ONBEKEND")),IF(AND($EL238=$EI238,$EM238=$EJ238+1),IF(OR(COUNTIF(#REF!,$D238)&gt;0,COUNTIF(#REF!,$D238)=0),"SKIP",IF(COUNTIFS(#REF!,$D238,#REF!,$CX238)&gt;0,"OK","ONBEKEND")),"ONZEKER")))))</f>
        <v/>
      </c>
      <c r="CZ238" t="str">
        <f t="shared" si="1820"/>
        <v/>
      </c>
      <c r="DA238" t="str">
        <f t="shared" si="1821"/>
        <v/>
      </c>
      <c r="DB238" t="str">
        <f>IF($DA238="","",IF(OR($EO238="",$EP238=""),"ONZEKER",IF(OR($EL238="",$EM238=""),"ONZEKER",IF(AND($EO238=$EL238+1,$EP238=$EM238),IF(OR(COUNTIF(#REF!,$B238)&gt;0,COUNTIF(#REF!,$B238)=0),"SKIP",IF(COUNTIFS(#REF!,$B238,#REF!,$DA238)&gt;0,"OK","ONBEKEND")),IF(AND($EO238=$EL238,$EP238=$EM238+1),IF(OR(COUNTIF(#REF!,$D238)&gt;0,COUNTIF(#REF!,$D238)=0),"SKIP",IF(COUNTIFS(#REF!,$D238,#REF!,$DA238)&gt;0,"OK","ONBEKEND")),"ONZEKER")))))</f>
        <v/>
      </c>
      <c r="DC238" t="str">
        <f t="shared" si="1822"/>
        <v/>
      </c>
      <c r="DD238" t="str">
        <f t="shared" si="1823"/>
        <v/>
      </c>
      <c r="DE238" t="str">
        <f>IF($DD238="","",IF(OR($ER238="",$ES238=""),"ONZEKER",IF(OR($EO238="",$EP238=""),"ONZEKER",IF(AND($ER238=$EO238+1,$ES238=$EP238),IF(OR(COUNTIF(#REF!,$B238)&gt;0,COUNTIF(#REF!,$B238)=0),"SKIP",IF(COUNTIFS(#REF!,$B238,#REF!,$DD238)&gt;0,"OK","ONBEKEND")),IF(AND($ER238=$EO238,$ES238=$EP238+1),IF(OR(COUNTIF(#REF!,$D238)&gt;0,COUNTIF(#REF!,$D238)=0),"SKIP",IF(COUNTIFS(#REF!,$D238,#REF!,$DD238)&gt;0,"OK","ONBEKEND")),"ONZEKER")))))</f>
        <v/>
      </c>
      <c r="DF238" t="str">
        <f t="shared" si="1824"/>
        <v/>
      </c>
      <c r="DG238" t="str">
        <f t="shared" si="1825"/>
        <v/>
      </c>
      <c r="DH238" t="str">
        <f>IF($DG238="","",IF(OR($EU238="",$EV238=""),"ONZEKER",IF(OR($ER238="",$ES238=""),"ONZEKER",IF(AND($EU238=$ER238+1,$EV238=$ES238),IF(OR(COUNTIF(#REF!,$B238)&gt;0,COUNTIF(#REF!,$B238)=0),"SKIP",IF(COUNTIFS(#REF!,$B238,#REF!,$DG238)&gt;0,"OK","ONBEKEND")),IF(AND($EU238=$ER238,$EV238=$ES238+1),IF(OR(COUNTIF(#REF!,$D238)&gt;0,COUNTIF(#REF!,$D238)=0),"SKIP",IF(COUNTIFS(#REF!,$D238,#REF!,$DG238)&gt;0,"OK","ONBEKEND")),"ONZEKER")))))</f>
        <v/>
      </c>
      <c r="DI238" t="str">
        <f t="shared" si="1826"/>
        <v/>
      </c>
      <c r="DJ238" t="str">
        <f t="shared" si="1827"/>
        <v/>
      </c>
      <c r="DK238" t="str">
        <f>IF($DJ238="","",IF(OR($EX238="",$EY238=""),"ONZEKER",IF(OR($EU238="",$EV238=""),"ONZEKER",IF(AND($EX238=$EU238+1,$EY238=$EV238),IF(OR(COUNTIF(#REF!,$B238)&gt;0,COUNTIF(#REF!,$B238)=0),"SKIP",IF(COUNTIFS(#REF!,$B238,#REF!,$DJ238)&gt;0,"OK","ONBEKEND")),IF(AND($EX238=$EU238,$EY238=$EV238+1),IF(OR(COUNTIF(#REF!,$D238)&gt;0,COUNTIF(#REF!,$D238)=0),"SKIP",IF(COUNTIFS(#REF!,$D238,#REF!,$DJ238)&gt;0,"OK","ONBEKEND")),"ONZEKER")))))</f>
        <v/>
      </c>
      <c r="DL238" t="str">
        <f t="shared" si="1828"/>
        <v/>
      </c>
      <c r="DM238" t="str">
        <f t="shared" si="1829"/>
        <v/>
      </c>
      <c r="DN238" t="str">
        <f t="shared" si="1830"/>
        <v/>
      </c>
      <c r="DO238" t="str">
        <f t="shared" si="1831"/>
        <v/>
      </c>
      <c r="DP238" t="str">
        <f t="shared" si="1832"/>
        <v/>
      </c>
      <c r="DQ238" t="str">
        <f t="shared" si="1833"/>
        <v/>
      </c>
      <c r="DR238" t="str">
        <f t="shared" si="1834"/>
        <v/>
      </c>
      <c r="DS238" t="str">
        <f t="shared" si="1835"/>
        <v/>
      </c>
      <c r="DT238" t="str">
        <f t="shared" si="1836"/>
        <v/>
      </c>
      <c r="DU238" t="str">
        <f t="shared" si="1837"/>
        <v/>
      </c>
      <c r="DV238" t="str">
        <f t="shared" si="1838"/>
        <v/>
      </c>
      <c r="DW238" t="str">
        <f t="shared" si="1839"/>
        <v/>
      </c>
      <c r="DX238" t="str">
        <f t="shared" si="1840"/>
        <v/>
      </c>
      <c r="DY238" t="str">
        <f t="shared" si="1841"/>
        <v/>
      </c>
      <c r="DZ238" t="str">
        <f t="shared" si="1842"/>
        <v/>
      </c>
      <c r="EA238" t="str">
        <f t="shared" si="1843"/>
        <v/>
      </c>
      <c r="EB238" t="str">
        <f t="shared" si="1844"/>
        <v/>
      </c>
      <c r="EC238" t="str">
        <f t="shared" si="1845"/>
        <v/>
      </c>
      <c r="ED238" t="str">
        <f t="shared" si="1846"/>
        <v/>
      </c>
      <c r="EE238" t="str">
        <f t="shared" si="1847"/>
        <v/>
      </c>
      <c r="EF238" t="str">
        <f t="shared" si="1848"/>
        <v/>
      </c>
      <c r="EG238" t="str">
        <f t="shared" si="1849"/>
        <v/>
      </c>
      <c r="EH238" t="str">
        <f t="shared" si="1850"/>
        <v/>
      </c>
      <c r="EI238" t="str">
        <f t="shared" si="1851"/>
        <v/>
      </c>
      <c r="EJ238" t="str">
        <f t="shared" si="1852"/>
        <v/>
      </c>
      <c r="EK238" t="str">
        <f t="shared" si="1853"/>
        <v/>
      </c>
      <c r="EL238" t="str">
        <f t="shared" si="1854"/>
        <v/>
      </c>
      <c r="EM238" t="str">
        <f t="shared" si="1855"/>
        <v/>
      </c>
      <c r="EN238" t="str">
        <f t="shared" si="1856"/>
        <v/>
      </c>
      <c r="EO238" t="str">
        <f t="shared" si="1857"/>
        <v/>
      </c>
      <c r="EP238" t="str">
        <f t="shared" si="1858"/>
        <v/>
      </c>
      <c r="EQ238" t="str">
        <f t="shared" si="1859"/>
        <v/>
      </c>
      <c r="ER238" t="str">
        <f t="shared" si="1860"/>
        <v/>
      </c>
      <c r="ES238" t="str">
        <f t="shared" si="1861"/>
        <v/>
      </c>
      <c r="ET238" t="str">
        <f t="shared" si="1862"/>
        <v/>
      </c>
      <c r="EU238" t="str">
        <f t="shared" si="1863"/>
        <v/>
      </c>
      <c r="EV238" t="str">
        <f t="shared" si="1864"/>
        <v/>
      </c>
      <c r="EW238" t="str">
        <f t="shared" si="1865"/>
        <v/>
      </c>
      <c r="EX238" t="str">
        <f t="shared" si="1866"/>
        <v/>
      </c>
      <c r="EY238" t="str">
        <f t="shared" si="1867"/>
        <v/>
      </c>
    </row>
    <row r="239" spans="1:155" ht="13.9" customHeight="1" x14ac:dyDescent="0.25">
      <c r="A239" s="7"/>
      <c r="B239" s="17"/>
      <c r="C239" s="8"/>
      <c r="D239" s="17"/>
      <c r="E239" s="8"/>
      <c r="F239" s="18">
        <v>0</v>
      </c>
      <c r="G239" s="7" t="s">
        <v>147</v>
      </c>
      <c r="H239" s="18">
        <v>0</v>
      </c>
      <c r="I239" s="19">
        <v>0</v>
      </c>
      <c r="J239" s="7" t="s">
        <v>147</v>
      </c>
      <c r="K239" s="19">
        <v>0</v>
      </c>
      <c r="L239" s="9"/>
      <c r="M239" s="3" t="str">
        <f>IF($L239="","",IF($L239="DOELPUNTENMAKERS","",IF(AND(COUNTIF(#REF!,$B239)=0,COUNTIF(#REF!,$D239)=0),"OK",IF($O239&gt;20,"LET OP: meer dan 20 items (controle onvolledig)",IF((COUNTIF($R239:$AS239,"ONZEKER")+COUNTIF($CJ239:$DK239,"ONZEKER"))&gt;0,"LET OP: scoreverloop onduidelijk (controle beperkt)",IF((IF($AT239&lt;&gt;"",$AT239&amp;", ","")&amp;IF($AU239&lt;&gt;"",$AU239&amp;", ","")&amp;IF($AV239&lt;&gt;"",$AV239&amp;", ","")&amp;IF($AW239&lt;&gt;"",$AW239&amp;", ","")&amp;IF($AX239&lt;&gt;"",$AX239&amp;", ","")&amp;IF($AY239&lt;&gt;"",$AY239&amp;", ","")&amp;IF($AZ239&lt;&gt;"",$AZ239&amp;", ","")&amp;IF($BA239&lt;&gt;"",$BA239&amp;", ","")&amp;IF($BB239&lt;&gt;"",$BB239&amp;", ","")&amp;IF($BC239&lt;&gt;"",$BC239&amp;", ","")&amp;IF($DL239&lt;&gt;"",$DL239&amp;", ","")&amp;IF($DM239&lt;&gt;"",$DM239&amp;", ","")&amp;IF($DN239&lt;&gt;"",$DN239&amp;", ","")&amp;IF($DO239&lt;&gt;"",$DO239&amp;", ","")&amp;IF($DP239&lt;&gt;"",$DP239&amp;", ","")&amp;IF($DQ239&lt;&gt;"",$DQ239&amp;", ","")&amp;IF($DR239&lt;&gt;"",$DR239&amp;", ","")&amp;IF($DS239&lt;&gt;"",$DS239&amp;", ","")&amp;IF($DT239&lt;&gt;"",$DT239&amp;", ","")&amp;IF($DU239&lt;&gt;"",$DU239&amp;", ",""))="","OK","Onbekend: "&amp;LEFT((IF($AT239&lt;&gt;"",$AT239&amp;", ","")&amp;IF($AU239&lt;&gt;"",$AU239&amp;", ","")&amp;IF($AV239&lt;&gt;"",$AV239&amp;", ","")&amp;IF($AW239&lt;&gt;"",$AW239&amp;", ","")&amp;IF($AX239&lt;&gt;"",$AX239&amp;", ","")&amp;IF($AY239&lt;&gt;"",$AY239&amp;", ","")&amp;IF($AZ239&lt;&gt;"",$AZ239&amp;", ","")&amp;IF($BA239&lt;&gt;"",$BA239&amp;", ","")&amp;IF($BB239&lt;&gt;"",$BB239&amp;", ","")&amp;IF($BC239&lt;&gt;"",$BC239&amp;", ","")&amp;IF($DL239&lt;&gt;"",$DL239&amp;", ","")&amp;IF($DM239&lt;&gt;"",$DM239&amp;", ","")&amp;IF($DN239&lt;&gt;"",$DN239&amp;", ","")&amp;IF($DO239&lt;&gt;"",$DO239&amp;", ","")&amp;IF($DP239&lt;&gt;"",$DP239&amp;", ","")&amp;IF($DQ239&lt;&gt;"",$DQ239&amp;", ","")&amp;IF($DR239&lt;&gt;"",$DR239&amp;", ","")&amp;IF($DS239&lt;&gt;"",$DS239&amp;", ","")&amp;IF($DT239&lt;&gt;"",$DT239&amp;", ","")&amp;IF($DU239&lt;&gt;"",$DU239&amp;", ","")),LEN((IF($AT239&lt;&gt;"",$AT239&amp;", ","")&amp;IF($AU239&lt;&gt;"",$AU239&amp;", ","")&amp;IF($AV239&lt;&gt;"",$AV239&amp;", ","")&amp;IF($AW239&lt;&gt;"",$AW239&amp;", ","")&amp;IF($AX239&lt;&gt;"",$AX239&amp;", ","")&amp;IF($AY239&lt;&gt;"",$AY239&amp;", ","")&amp;IF($AZ239&lt;&gt;"",$AZ239&amp;", ","")&amp;IF($BA239&lt;&gt;"",$BA239&amp;", ","")&amp;IF($BB239&lt;&gt;"",$BB239&amp;", ","")&amp;IF($BC239&lt;&gt;"",$BC239&amp;", ","")&amp;IF($DL239&lt;&gt;"",$DL239&amp;", ","")&amp;IF($DM239&lt;&gt;"",$DM239&amp;", ","")&amp;IF($DN239&lt;&gt;"",$DN239&amp;", ","")&amp;IF($DO239&lt;&gt;"",$DO239&amp;", ","")&amp;IF($DP239&lt;&gt;"",$DP239&amp;", ","")&amp;IF($DQ239&lt;&gt;"",$DQ239&amp;", ","")&amp;IF($DR239&lt;&gt;"",$DR239&amp;", ","")&amp;IF($DS239&lt;&gt;"",$DS239&amp;", ","")&amp;IF($DT239&lt;&gt;"",$DT239&amp;", ","")&amp;IF($DU239&lt;&gt;"",$DU239&amp;", ","")))-2)))))))</f>
        <v/>
      </c>
      <c r="N239" t="str">
        <f t="shared" si="1776"/>
        <v/>
      </c>
      <c r="O239" t="str">
        <f t="shared" si="1777"/>
        <v/>
      </c>
      <c r="P239" t="str">
        <f t="shared" si="1778"/>
        <v/>
      </c>
      <c r="Q239" t="str">
        <f t="shared" si="1779"/>
        <v/>
      </c>
      <c r="R239" t="str">
        <f>IF($Q239="","",IF(OR($BE239="",$BF239=""),"ONZEKER",IF(AND($BE239=0+1,$BF239=0),IF(OR(COUNTIF(#REF!,$B239)&gt;0,COUNTIF(#REF!,$B239)=0),"SKIP",IF(COUNTIFS(#REF!,$B239,#REF!,$Q239)&gt;0,"OK","ONBEKEND")),IF(AND($BE239=0,$BF239=0+1),IF(OR(COUNTIF(#REF!,$D239)&gt;0,COUNTIF(#REF!,$D239)=0),"SKIP",IF(COUNTIFS(#REF!,$D239,#REF!,$Q239)&gt;0,"OK","ONBEKEND")),"ONZEKER"))))</f>
        <v/>
      </c>
      <c r="S239" t="str">
        <f t="shared" si="1780"/>
        <v/>
      </c>
      <c r="T239" t="str">
        <f t="shared" si="1781"/>
        <v/>
      </c>
      <c r="U239" t="str">
        <f>IF($T239="","",IF(OR($BH239="",$BI239=""),"ONZEKER",IF(OR($BE239="",$BF239=""),"ONZEKER",IF(AND($BH239=$BE239+1,$BI239=$BF239),IF(OR(COUNTIF(#REF!,$B239)&gt;0,COUNTIF(#REF!,$B239)=0),"SKIP",IF(COUNTIFS(#REF!,$B239,#REF!,$T239)&gt;0,"OK","ONBEKEND")),IF(AND($BH239=$BE239,$BI239=$BF239+1),IF(OR(COUNTIF(#REF!,$D239)&gt;0,COUNTIF(#REF!,$D239)=0),"SKIP",IF(COUNTIFS(#REF!,$D239,#REF!,$T239)&gt;0,"OK","ONBEKEND")),"ONZEKER")))))</f>
        <v/>
      </c>
      <c r="V239" t="str">
        <f t="shared" si="1782"/>
        <v/>
      </c>
      <c r="W239" t="str">
        <f t="shared" si="1783"/>
        <v/>
      </c>
      <c r="X239" t="str">
        <f>IF($W239="","",IF(OR($BK239="",$BL239=""),"ONZEKER",IF(OR($BH239="",$BI239=""),"ONZEKER",IF(AND($BK239=$BH239+1,$BL239=$BI239),IF(OR(COUNTIF(#REF!,$B239)&gt;0,COUNTIF(#REF!,$B239)=0),"SKIP",IF(COUNTIFS(#REF!,$B239,#REF!,$W239)&gt;0,"OK","ONBEKEND")),IF(AND($BK239=$BH239,$BL239=$BI239+1),IF(OR(COUNTIF(#REF!,$D239)&gt;0,COUNTIF(#REF!,$D239)=0),"SKIP",IF(COUNTIFS(#REF!,$D239,#REF!,$W239)&gt;0,"OK","ONBEKEND")),"ONZEKER")))))</f>
        <v/>
      </c>
      <c r="Y239" t="str">
        <f t="shared" si="1784"/>
        <v/>
      </c>
      <c r="Z239" t="str">
        <f t="shared" si="1785"/>
        <v/>
      </c>
      <c r="AA239" t="str">
        <f>IF($Z239="","",IF(OR($BN239="",$BO239=""),"ONZEKER",IF(OR($BK239="",$BL239=""),"ONZEKER",IF(AND($BN239=$BK239+1,$BO239=$BL239),IF(OR(COUNTIF(#REF!,$B239)&gt;0,COUNTIF(#REF!,$B239)=0),"SKIP",IF(COUNTIFS(#REF!,$B239,#REF!,$Z239)&gt;0,"OK","ONBEKEND")),IF(AND($BN239=$BK239,$BO239=$BL239+1),IF(OR(COUNTIF(#REF!,$D239)&gt;0,COUNTIF(#REF!,$D239)=0),"SKIP",IF(COUNTIFS(#REF!,$D239,#REF!,$Z239)&gt;0,"OK","ONBEKEND")),"ONZEKER")))))</f>
        <v/>
      </c>
      <c r="AB239" t="str">
        <f t="shared" si="1786"/>
        <v/>
      </c>
      <c r="AC239" t="str">
        <f t="shared" si="1787"/>
        <v/>
      </c>
      <c r="AD239" t="str">
        <f>IF($AC239="","",IF(OR($BQ239="",$BR239=""),"ONZEKER",IF(OR($BN239="",$BO239=""),"ONZEKER",IF(AND($BQ239=$BN239+1,$BR239=$BO239),IF(OR(COUNTIF(#REF!,$B239)&gt;0,COUNTIF(#REF!,$B239)=0),"SKIP",IF(COUNTIFS(#REF!,$B239,#REF!,$AC239)&gt;0,"OK","ONBEKEND")),IF(AND($BQ239=$BN239,$BR239=$BO239+1),IF(OR(COUNTIF(#REF!,$D239)&gt;0,COUNTIF(#REF!,$D239)=0),"SKIP",IF(COUNTIFS(#REF!,$D239,#REF!,$AC239)&gt;0,"OK","ONBEKEND")),"ONZEKER")))))</f>
        <v/>
      </c>
      <c r="AE239" t="str">
        <f t="shared" si="1788"/>
        <v/>
      </c>
      <c r="AF239" t="str">
        <f t="shared" si="1789"/>
        <v/>
      </c>
      <c r="AG239" t="str">
        <f>IF($AF239="","",IF(OR($BT239="",$BU239=""),"ONZEKER",IF(OR($BQ239="",$BR239=""),"ONZEKER",IF(AND($BT239=$BQ239+1,$BU239=$BR239),IF(OR(COUNTIF(#REF!,$B239)&gt;0,COUNTIF(#REF!,$B239)=0),"SKIP",IF(COUNTIFS(#REF!,$B239,#REF!,$AF239)&gt;0,"OK","ONBEKEND")),IF(AND($BT239=$BQ239,$BU239=$BR239+1),IF(OR(COUNTIF(#REF!,$D239)&gt;0,COUNTIF(#REF!,$D239)=0),"SKIP",IF(COUNTIFS(#REF!,$D239,#REF!,$AF239)&gt;0,"OK","ONBEKEND")),"ONZEKER")))))</f>
        <v/>
      </c>
      <c r="AH239" t="str">
        <f t="shared" si="1790"/>
        <v/>
      </c>
      <c r="AI239" t="str">
        <f t="shared" si="1791"/>
        <v/>
      </c>
      <c r="AJ239" t="str">
        <f>IF($AI239="","",IF(OR($BW239="",$BX239=""),"ONZEKER",IF(OR($BT239="",$BU239=""),"ONZEKER",IF(AND($BW239=$BT239+1,$BX239=$BU239),IF(OR(COUNTIF(#REF!,$B239)&gt;0,COUNTIF(#REF!,$B239)=0),"SKIP",IF(COUNTIFS(#REF!,$B239,#REF!,$AI239)&gt;0,"OK","ONBEKEND")),IF(AND($BW239=$BT239,$BX239=$BU239+1),IF(OR(COUNTIF(#REF!,$D239)&gt;0,COUNTIF(#REF!,$D239)=0),"SKIP",IF(COUNTIFS(#REF!,$D239,#REF!,$AI239)&gt;0,"OK","ONBEKEND")),"ONZEKER")))))</f>
        <v/>
      </c>
      <c r="AK239" t="str">
        <f t="shared" si="1792"/>
        <v/>
      </c>
      <c r="AL239" t="str">
        <f t="shared" si="1793"/>
        <v/>
      </c>
      <c r="AM239" t="str">
        <f>IF($AL239="","",IF(OR($BZ239="",$CA239=""),"ONZEKER",IF(OR($BW239="",$BX239=""),"ONZEKER",IF(AND($BZ239=$BW239+1,$CA239=$BX239),IF(OR(COUNTIF(#REF!,$B239)&gt;0,COUNTIF(#REF!,$B239)=0),"SKIP",IF(COUNTIFS(#REF!,$B239,#REF!,$AL239)&gt;0,"OK","ONBEKEND")),IF(AND($BZ239=$BW239,$CA239=$BX239+1),IF(OR(COUNTIF(#REF!,$D239)&gt;0,COUNTIF(#REF!,$D239)=0),"SKIP",IF(COUNTIFS(#REF!,$D239,#REF!,$AL239)&gt;0,"OK","ONBEKEND")),"ONZEKER")))))</f>
        <v/>
      </c>
      <c r="AN239" t="str">
        <f t="shared" si="1794"/>
        <v/>
      </c>
      <c r="AO239" t="str">
        <f t="shared" si="1795"/>
        <v/>
      </c>
      <c r="AP239" t="str">
        <f>IF($AO239="","",IF(OR($CC239="",$CD239=""),"ONZEKER",IF(OR($BZ239="",$CA239=""),"ONZEKER",IF(AND($CC239=$BZ239+1,$CD239=$CA239),IF(OR(COUNTIF(#REF!,$B239)&gt;0,COUNTIF(#REF!,$B239)=0),"SKIP",IF(COUNTIFS(#REF!,$B239,#REF!,$AO239)&gt;0,"OK","ONBEKEND")),IF(AND($CC239=$BZ239,$CD239=$CA239+1),IF(OR(COUNTIF(#REF!,$D239)&gt;0,COUNTIF(#REF!,$D239)=0),"SKIP",IF(COUNTIFS(#REF!,$D239,#REF!,$AO239)&gt;0,"OK","ONBEKEND")),"ONZEKER")))))</f>
        <v/>
      </c>
      <c r="AQ239" t="str">
        <f t="shared" si="1796"/>
        <v/>
      </c>
      <c r="AR239" t="str">
        <f t="shared" si="1797"/>
        <v/>
      </c>
      <c r="AS239" t="str">
        <f>IF($AR239="","",IF(OR($CF239="",$CG239=""),"ONZEKER",IF(OR($CC239="",$CD239=""),"ONZEKER",IF(AND($CF239=$CC239+1,$CG239=$CD239),IF(OR(COUNTIF(#REF!,$B239)&gt;0,COUNTIF(#REF!,$B239)=0),"SKIP",IF(COUNTIFS(#REF!,$B239,#REF!,$AR239)&gt;0,"OK","ONBEKEND")),IF(AND($CF239=$CC239,$CG239=$CD239+1),IF(OR(COUNTIF(#REF!,$D239)&gt;0,COUNTIF(#REF!,$D239)=0),"SKIP",IF(COUNTIFS(#REF!,$D239,#REF!,$AR239)&gt;0,"OK","ONBEKEND")),"ONZEKER")))))</f>
        <v/>
      </c>
      <c r="AT239" t="str">
        <f t="shared" si="1798"/>
        <v/>
      </c>
      <c r="AU239" t="str">
        <f t="shared" si="1799"/>
        <v/>
      </c>
      <c r="AV239" t="str">
        <f t="shared" si="1800"/>
        <v/>
      </c>
      <c r="AW239" t="str">
        <f t="shared" si="1801"/>
        <v/>
      </c>
      <c r="AX239" t="str">
        <f t="shared" si="1802"/>
        <v/>
      </c>
      <c r="AY239" t="str">
        <f t="shared" si="1803"/>
        <v/>
      </c>
      <c r="AZ239" t="str">
        <f t="shared" si="1804"/>
        <v/>
      </c>
      <c r="BA239" t="str">
        <f t="shared" si="1805"/>
        <v/>
      </c>
      <c r="BB239" t="str">
        <f t="shared" si="1806"/>
        <v/>
      </c>
      <c r="BC239" t="str">
        <f t="shared" si="1807"/>
        <v/>
      </c>
      <c r="BD239" t="str">
        <f t="shared" si="1470"/>
        <v/>
      </c>
      <c r="BE239" t="str">
        <f t="shared" si="1471"/>
        <v/>
      </c>
      <c r="BF239" t="str">
        <f t="shared" si="1472"/>
        <v/>
      </c>
      <c r="BG239" t="str">
        <f t="shared" si="1473"/>
        <v/>
      </c>
      <c r="BH239" t="str">
        <f t="shared" si="1474"/>
        <v/>
      </c>
      <c r="BI239" t="str">
        <f t="shared" si="1475"/>
        <v/>
      </c>
      <c r="BJ239" t="str">
        <f t="shared" si="1476"/>
        <v/>
      </c>
      <c r="BK239" t="str">
        <f t="shared" si="1477"/>
        <v/>
      </c>
      <c r="BL239" t="str">
        <f t="shared" si="1478"/>
        <v/>
      </c>
      <c r="BM239" t="str">
        <f t="shared" si="1479"/>
        <v/>
      </c>
      <c r="BN239" t="str">
        <f t="shared" si="1480"/>
        <v/>
      </c>
      <c r="BO239" t="str">
        <f t="shared" si="1481"/>
        <v/>
      </c>
      <c r="BP239" t="str">
        <f t="shared" si="1482"/>
        <v/>
      </c>
      <c r="BQ239" t="str">
        <f t="shared" si="1483"/>
        <v/>
      </c>
      <c r="BR239" t="str">
        <f t="shared" si="1484"/>
        <v/>
      </c>
      <c r="BS239" t="str">
        <f t="shared" si="1485"/>
        <v/>
      </c>
      <c r="BT239" t="str">
        <f t="shared" si="1486"/>
        <v/>
      </c>
      <c r="BU239" t="str">
        <f t="shared" si="1487"/>
        <v/>
      </c>
      <c r="BV239" t="str">
        <f t="shared" si="1488"/>
        <v/>
      </c>
      <c r="BW239" t="str">
        <f t="shared" si="1489"/>
        <v/>
      </c>
      <c r="BX239" t="str">
        <f t="shared" si="1490"/>
        <v/>
      </c>
      <c r="BY239" t="str">
        <f t="shared" si="1491"/>
        <v/>
      </c>
      <c r="BZ239" t="str">
        <f t="shared" si="1492"/>
        <v/>
      </c>
      <c r="CA239" t="str">
        <f t="shared" si="1493"/>
        <v/>
      </c>
      <c r="CB239" t="str">
        <f t="shared" si="1494"/>
        <v/>
      </c>
      <c r="CC239" t="str">
        <f t="shared" si="1495"/>
        <v/>
      </c>
      <c r="CD239" t="str">
        <f t="shared" si="1496"/>
        <v/>
      </c>
      <c r="CE239" t="str">
        <f t="shared" si="1497"/>
        <v/>
      </c>
      <c r="CF239" t="str">
        <f t="shared" si="1498"/>
        <v/>
      </c>
      <c r="CG239" t="str">
        <f t="shared" si="1499"/>
        <v/>
      </c>
      <c r="CH239" t="str">
        <f t="shared" si="1808"/>
        <v/>
      </c>
      <c r="CI239" t="str">
        <f t="shared" si="1809"/>
        <v/>
      </c>
      <c r="CJ239" t="str">
        <f>IF($CI239="","",IF(OR($DW239="",$DX239=""),"ONZEKER",IF(OR($CF239="",$CG239=""),"ONZEKER",IF(AND($DW239=$CF239+1,$DX239=$CG239),IF(OR(COUNTIF(#REF!,$B239)&gt;0,COUNTIF(#REF!,$B239)=0),"SKIP",IF(COUNTIFS(#REF!,$B239,#REF!,$CI239)&gt;0,"OK","ONBEKEND")),IF(AND($DW239=$CF239,$DX239=$CG239+1),IF(OR(COUNTIF(#REF!,$D239)&gt;0,COUNTIF(#REF!,$D239)=0),"SKIP",IF(COUNTIFS(#REF!,$D239,#REF!,$CI239)&gt;0,"OK","ONBEKEND")),"ONZEKER")))))</f>
        <v/>
      </c>
      <c r="CK239" t="str">
        <f t="shared" si="1810"/>
        <v/>
      </c>
      <c r="CL239" t="str">
        <f t="shared" si="1811"/>
        <v/>
      </c>
      <c r="CM239" t="str">
        <f>IF($CL239="","",IF(OR($DZ239="",$EA239=""),"ONZEKER",IF(OR($DW239="",$DX239=""),"ONZEKER",IF(AND($DZ239=$DW239+1,$EA239=$DX239),IF(OR(COUNTIF(#REF!,$B239)&gt;0,COUNTIF(#REF!,$B239)=0),"SKIP",IF(COUNTIFS(#REF!,$B239,#REF!,$CL239)&gt;0,"OK","ONBEKEND")),IF(AND($DZ239=$DW239,$EA239=$DX239+1),IF(OR(COUNTIF(#REF!,$D239)&gt;0,COUNTIF(#REF!,$D239)=0),"SKIP",IF(COUNTIFS(#REF!,$D239,#REF!,$CL239)&gt;0,"OK","ONBEKEND")),"ONZEKER")))))</f>
        <v/>
      </c>
      <c r="CN239" t="str">
        <f t="shared" si="1812"/>
        <v/>
      </c>
      <c r="CO239" t="str">
        <f t="shared" si="1813"/>
        <v/>
      </c>
      <c r="CP239" t="str">
        <f>IF($CO239="","",IF(OR($EC239="",$ED239=""),"ONZEKER",IF(OR($DZ239="",$EA239=""),"ONZEKER",IF(AND($EC239=$DZ239+1,$ED239=$EA239),IF(OR(COUNTIF(#REF!,$B239)&gt;0,COUNTIF(#REF!,$B239)=0),"SKIP",IF(COUNTIFS(#REF!,$B239,#REF!,$CO239)&gt;0,"OK","ONBEKEND")),IF(AND($EC239=$DZ239,$ED239=$EA239+1),IF(OR(COUNTIF(#REF!,$D239)&gt;0,COUNTIF(#REF!,$D239)=0),"SKIP",IF(COUNTIFS(#REF!,$D239,#REF!,$CO239)&gt;0,"OK","ONBEKEND")),"ONZEKER")))))</f>
        <v/>
      </c>
      <c r="CQ239" t="str">
        <f t="shared" si="1814"/>
        <v/>
      </c>
      <c r="CR239" t="str">
        <f t="shared" si="1815"/>
        <v/>
      </c>
      <c r="CS239" t="str">
        <f>IF($CR239="","",IF(OR($EF239="",$EG239=""),"ONZEKER",IF(OR($EC239="",$ED239=""),"ONZEKER",IF(AND($EF239=$EC239+1,$EG239=$ED239),IF(OR(COUNTIF(#REF!,$B239)&gt;0,COUNTIF(#REF!,$B239)=0),"SKIP",IF(COUNTIFS(#REF!,$B239,#REF!,$CR239)&gt;0,"OK","ONBEKEND")),IF(AND($EF239=$EC239,$EG239=$ED239+1),IF(OR(COUNTIF(#REF!,$D239)&gt;0,COUNTIF(#REF!,$D239)=0),"SKIP",IF(COUNTIFS(#REF!,$D239,#REF!,$CR239)&gt;0,"OK","ONBEKEND")),"ONZEKER")))))</f>
        <v/>
      </c>
      <c r="CT239" t="str">
        <f t="shared" si="1816"/>
        <v/>
      </c>
      <c r="CU239" t="str">
        <f t="shared" si="1817"/>
        <v/>
      </c>
      <c r="CV239" t="str">
        <f>IF($CU239="","",IF(OR($EI239="",$EJ239=""),"ONZEKER",IF(OR($EF239="",$EG239=""),"ONZEKER",IF(AND($EI239=$EF239+1,$EJ239=$EG239),IF(OR(COUNTIF(#REF!,$B239)&gt;0,COUNTIF(#REF!,$B239)=0),"SKIP",IF(COUNTIFS(#REF!,$B239,#REF!,$CU239)&gt;0,"OK","ONBEKEND")),IF(AND($EI239=$EF239,$EJ239=$EG239+1),IF(OR(COUNTIF(#REF!,$D239)&gt;0,COUNTIF(#REF!,$D239)=0),"SKIP",IF(COUNTIFS(#REF!,$D239,#REF!,$CU239)&gt;0,"OK","ONBEKEND")),"ONZEKER")))))</f>
        <v/>
      </c>
      <c r="CW239" t="str">
        <f t="shared" si="1818"/>
        <v/>
      </c>
      <c r="CX239" t="str">
        <f t="shared" si="1819"/>
        <v/>
      </c>
      <c r="CY239" t="str">
        <f>IF($CX239="","",IF(OR($EL239="",$EM239=""),"ONZEKER",IF(OR($EI239="",$EJ239=""),"ONZEKER",IF(AND($EL239=$EI239+1,$EM239=$EJ239),IF(OR(COUNTIF(#REF!,$B239)&gt;0,COUNTIF(#REF!,$B239)=0),"SKIP",IF(COUNTIFS(#REF!,$B239,#REF!,$CX239)&gt;0,"OK","ONBEKEND")),IF(AND($EL239=$EI239,$EM239=$EJ239+1),IF(OR(COUNTIF(#REF!,$D239)&gt;0,COUNTIF(#REF!,$D239)=0),"SKIP",IF(COUNTIFS(#REF!,$D239,#REF!,$CX239)&gt;0,"OK","ONBEKEND")),"ONZEKER")))))</f>
        <v/>
      </c>
      <c r="CZ239" t="str">
        <f t="shared" si="1820"/>
        <v/>
      </c>
      <c r="DA239" t="str">
        <f t="shared" si="1821"/>
        <v/>
      </c>
      <c r="DB239" t="str">
        <f>IF($DA239="","",IF(OR($EO239="",$EP239=""),"ONZEKER",IF(OR($EL239="",$EM239=""),"ONZEKER",IF(AND($EO239=$EL239+1,$EP239=$EM239),IF(OR(COUNTIF(#REF!,$B239)&gt;0,COUNTIF(#REF!,$B239)=0),"SKIP",IF(COUNTIFS(#REF!,$B239,#REF!,$DA239)&gt;0,"OK","ONBEKEND")),IF(AND($EO239=$EL239,$EP239=$EM239+1),IF(OR(COUNTIF(#REF!,$D239)&gt;0,COUNTIF(#REF!,$D239)=0),"SKIP",IF(COUNTIFS(#REF!,$D239,#REF!,$DA239)&gt;0,"OK","ONBEKEND")),"ONZEKER")))))</f>
        <v/>
      </c>
      <c r="DC239" t="str">
        <f t="shared" si="1822"/>
        <v/>
      </c>
      <c r="DD239" t="str">
        <f t="shared" si="1823"/>
        <v/>
      </c>
      <c r="DE239" t="str">
        <f>IF($DD239="","",IF(OR($ER239="",$ES239=""),"ONZEKER",IF(OR($EO239="",$EP239=""),"ONZEKER",IF(AND($ER239=$EO239+1,$ES239=$EP239),IF(OR(COUNTIF(#REF!,$B239)&gt;0,COUNTIF(#REF!,$B239)=0),"SKIP",IF(COUNTIFS(#REF!,$B239,#REF!,$DD239)&gt;0,"OK","ONBEKEND")),IF(AND($ER239=$EO239,$ES239=$EP239+1),IF(OR(COUNTIF(#REF!,$D239)&gt;0,COUNTIF(#REF!,$D239)=0),"SKIP",IF(COUNTIFS(#REF!,$D239,#REF!,$DD239)&gt;0,"OK","ONBEKEND")),"ONZEKER")))))</f>
        <v/>
      </c>
      <c r="DF239" t="str">
        <f t="shared" si="1824"/>
        <v/>
      </c>
      <c r="DG239" t="str">
        <f t="shared" si="1825"/>
        <v/>
      </c>
      <c r="DH239" t="str">
        <f>IF($DG239="","",IF(OR($EU239="",$EV239=""),"ONZEKER",IF(OR($ER239="",$ES239=""),"ONZEKER",IF(AND($EU239=$ER239+1,$EV239=$ES239),IF(OR(COUNTIF(#REF!,$B239)&gt;0,COUNTIF(#REF!,$B239)=0),"SKIP",IF(COUNTIFS(#REF!,$B239,#REF!,$DG239)&gt;0,"OK","ONBEKEND")),IF(AND($EU239=$ER239,$EV239=$ES239+1),IF(OR(COUNTIF(#REF!,$D239)&gt;0,COUNTIF(#REF!,$D239)=0),"SKIP",IF(COUNTIFS(#REF!,$D239,#REF!,$DG239)&gt;0,"OK","ONBEKEND")),"ONZEKER")))))</f>
        <v/>
      </c>
      <c r="DI239" t="str">
        <f t="shared" si="1826"/>
        <v/>
      </c>
      <c r="DJ239" t="str">
        <f t="shared" si="1827"/>
        <v/>
      </c>
      <c r="DK239" t="str">
        <f>IF($DJ239="","",IF(OR($EX239="",$EY239=""),"ONZEKER",IF(OR($EU239="",$EV239=""),"ONZEKER",IF(AND($EX239=$EU239+1,$EY239=$EV239),IF(OR(COUNTIF(#REF!,$B239)&gt;0,COUNTIF(#REF!,$B239)=0),"SKIP",IF(COUNTIFS(#REF!,$B239,#REF!,$DJ239)&gt;0,"OK","ONBEKEND")),IF(AND($EX239=$EU239,$EY239=$EV239+1),IF(OR(COUNTIF(#REF!,$D239)&gt;0,COUNTIF(#REF!,$D239)=0),"SKIP",IF(COUNTIFS(#REF!,$D239,#REF!,$DJ239)&gt;0,"OK","ONBEKEND")),"ONZEKER")))))</f>
        <v/>
      </c>
      <c r="DL239" t="str">
        <f t="shared" si="1828"/>
        <v/>
      </c>
      <c r="DM239" t="str">
        <f t="shared" si="1829"/>
        <v/>
      </c>
      <c r="DN239" t="str">
        <f t="shared" si="1830"/>
        <v/>
      </c>
      <c r="DO239" t="str">
        <f t="shared" si="1831"/>
        <v/>
      </c>
      <c r="DP239" t="str">
        <f t="shared" si="1832"/>
        <v/>
      </c>
      <c r="DQ239" t="str">
        <f t="shared" si="1833"/>
        <v/>
      </c>
      <c r="DR239" t="str">
        <f t="shared" si="1834"/>
        <v/>
      </c>
      <c r="DS239" t="str">
        <f t="shared" si="1835"/>
        <v/>
      </c>
      <c r="DT239" t="str">
        <f t="shared" si="1836"/>
        <v/>
      </c>
      <c r="DU239" t="str">
        <f t="shared" si="1837"/>
        <v/>
      </c>
      <c r="DV239" t="str">
        <f t="shared" si="1838"/>
        <v/>
      </c>
      <c r="DW239" t="str">
        <f t="shared" si="1839"/>
        <v/>
      </c>
      <c r="DX239" t="str">
        <f t="shared" si="1840"/>
        <v/>
      </c>
      <c r="DY239" t="str">
        <f t="shared" si="1841"/>
        <v/>
      </c>
      <c r="DZ239" t="str">
        <f t="shared" si="1842"/>
        <v/>
      </c>
      <c r="EA239" t="str">
        <f t="shared" si="1843"/>
        <v/>
      </c>
      <c r="EB239" t="str">
        <f t="shared" si="1844"/>
        <v/>
      </c>
      <c r="EC239" t="str">
        <f t="shared" si="1845"/>
        <v/>
      </c>
      <c r="ED239" t="str">
        <f t="shared" si="1846"/>
        <v/>
      </c>
      <c r="EE239" t="str">
        <f t="shared" si="1847"/>
        <v/>
      </c>
      <c r="EF239" t="str">
        <f t="shared" si="1848"/>
        <v/>
      </c>
      <c r="EG239" t="str">
        <f t="shared" si="1849"/>
        <v/>
      </c>
      <c r="EH239" t="str">
        <f t="shared" si="1850"/>
        <v/>
      </c>
      <c r="EI239" t="str">
        <f t="shared" si="1851"/>
        <v/>
      </c>
      <c r="EJ239" t="str">
        <f t="shared" si="1852"/>
        <v/>
      </c>
      <c r="EK239" t="str">
        <f t="shared" si="1853"/>
        <v/>
      </c>
      <c r="EL239" t="str">
        <f t="shared" si="1854"/>
        <v/>
      </c>
      <c r="EM239" t="str">
        <f t="shared" si="1855"/>
        <v/>
      </c>
      <c r="EN239" t="str">
        <f t="shared" si="1856"/>
        <v/>
      </c>
      <c r="EO239" t="str">
        <f t="shared" si="1857"/>
        <v/>
      </c>
      <c r="EP239" t="str">
        <f t="shared" si="1858"/>
        <v/>
      </c>
      <c r="EQ239" t="str">
        <f t="shared" si="1859"/>
        <v/>
      </c>
      <c r="ER239" t="str">
        <f t="shared" si="1860"/>
        <v/>
      </c>
      <c r="ES239" t="str">
        <f t="shared" si="1861"/>
        <v/>
      </c>
      <c r="ET239" t="str">
        <f t="shared" si="1862"/>
        <v/>
      </c>
      <c r="EU239" t="str">
        <f t="shared" si="1863"/>
        <v/>
      </c>
      <c r="EV239" t="str">
        <f t="shared" si="1864"/>
        <v/>
      </c>
      <c r="EW239" t="str">
        <f t="shared" si="1865"/>
        <v/>
      </c>
      <c r="EX239" t="str">
        <f t="shared" si="1866"/>
        <v/>
      </c>
      <c r="EY239" t="str">
        <f t="shared" si="1867"/>
        <v/>
      </c>
    </row>
    <row r="240" spans="1:155" ht="13.9" customHeight="1" x14ac:dyDescent="0.25">
      <c r="A240" s="7"/>
      <c r="B240" s="17"/>
      <c r="C240" s="8"/>
      <c r="D240" s="17"/>
      <c r="E240" s="8"/>
      <c r="F240" s="18">
        <v>0</v>
      </c>
      <c r="G240" s="7" t="s">
        <v>147</v>
      </c>
      <c r="H240" s="18">
        <v>0</v>
      </c>
      <c r="I240" s="19">
        <v>0</v>
      </c>
      <c r="J240" s="7" t="s">
        <v>147</v>
      </c>
      <c r="K240" s="19">
        <v>0</v>
      </c>
      <c r="L240" s="9"/>
      <c r="M240" s="3" t="str">
        <f>IF($L240="","",IF($L240="DOELPUNTENMAKERS","",IF(AND(COUNTIF(#REF!,$B240)=0,COUNTIF(#REF!,$D240)=0),"OK",IF($O240&gt;20,"LET OP: meer dan 20 items (controle onvolledig)",IF((COUNTIF($R240:$AS240,"ONZEKER")+COUNTIF($CJ240:$DK240,"ONZEKER"))&gt;0,"LET OP: scoreverloop onduidelijk (controle beperkt)",IF((IF($AT240&lt;&gt;"",$AT240&amp;", ","")&amp;IF($AU240&lt;&gt;"",$AU240&amp;", ","")&amp;IF($AV240&lt;&gt;"",$AV240&amp;", ","")&amp;IF($AW240&lt;&gt;"",$AW240&amp;", ","")&amp;IF($AX240&lt;&gt;"",$AX240&amp;", ","")&amp;IF($AY240&lt;&gt;"",$AY240&amp;", ","")&amp;IF($AZ240&lt;&gt;"",$AZ240&amp;", ","")&amp;IF($BA240&lt;&gt;"",$BA240&amp;", ","")&amp;IF($BB240&lt;&gt;"",$BB240&amp;", ","")&amp;IF($BC240&lt;&gt;"",$BC240&amp;", ","")&amp;IF($DL240&lt;&gt;"",$DL240&amp;", ","")&amp;IF($DM240&lt;&gt;"",$DM240&amp;", ","")&amp;IF($DN240&lt;&gt;"",$DN240&amp;", ","")&amp;IF($DO240&lt;&gt;"",$DO240&amp;", ","")&amp;IF($DP240&lt;&gt;"",$DP240&amp;", ","")&amp;IF($DQ240&lt;&gt;"",$DQ240&amp;", ","")&amp;IF($DR240&lt;&gt;"",$DR240&amp;", ","")&amp;IF($DS240&lt;&gt;"",$DS240&amp;", ","")&amp;IF($DT240&lt;&gt;"",$DT240&amp;", ","")&amp;IF($DU240&lt;&gt;"",$DU240&amp;", ",""))="","OK","Onbekend: "&amp;LEFT((IF($AT240&lt;&gt;"",$AT240&amp;", ","")&amp;IF($AU240&lt;&gt;"",$AU240&amp;", ","")&amp;IF($AV240&lt;&gt;"",$AV240&amp;", ","")&amp;IF($AW240&lt;&gt;"",$AW240&amp;", ","")&amp;IF($AX240&lt;&gt;"",$AX240&amp;", ","")&amp;IF($AY240&lt;&gt;"",$AY240&amp;", ","")&amp;IF($AZ240&lt;&gt;"",$AZ240&amp;", ","")&amp;IF($BA240&lt;&gt;"",$BA240&amp;", ","")&amp;IF($BB240&lt;&gt;"",$BB240&amp;", ","")&amp;IF($BC240&lt;&gt;"",$BC240&amp;", ","")&amp;IF($DL240&lt;&gt;"",$DL240&amp;", ","")&amp;IF($DM240&lt;&gt;"",$DM240&amp;", ","")&amp;IF($DN240&lt;&gt;"",$DN240&amp;", ","")&amp;IF($DO240&lt;&gt;"",$DO240&amp;", ","")&amp;IF($DP240&lt;&gt;"",$DP240&amp;", ","")&amp;IF($DQ240&lt;&gt;"",$DQ240&amp;", ","")&amp;IF($DR240&lt;&gt;"",$DR240&amp;", ","")&amp;IF($DS240&lt;&gt;"",$DS240&amp;", ","")&amp;IF($DT240&lt;&gt;"",$DT240&amp;", ","")&amp;IF($DU240&lt;&gt;"",$DU240&amp;", ","")),LEN((IF($AT240&lt;&gt;"",$AT240&amp;", ","")&amp;IF($AU240&lt;&gt;"",$AU240&amp;", ","")&amp;IF($AV240&lt;&gt;"",$AV240&amp;", ","")&amp;IF($AW240&lt;&gt;"",$AW240&amp;", ","")&amp;IF($AX240&lt;&gt;"",$AX240&amp;", ","")&amp;IF($AY240&lt;&gt;"",$AY240&amp;", ","")&amp;IF($AZ240&lt;&gt;"",$AZ240&amp;", ","")&amp;IF($BA240&lt;&gt;"",$BA240&amp;", ","")&amp;IF($BB240&lt;&gt;"",$BB240&amp;", ","")&amp;IF($BC240&lt;&gt;"",$BC240&amp;", ","")&amp;IF($DL240&lt;&gt;"",$DL240&amp;", ","")&amp;IF($DM240&lt;&gt;"",$DM240&amp;", ","")&amp;IF($DN240&lt;&gt;"",$DN240&amp;", ","")&amp;IF($DO240&lt;&gt;"",$DO240&amp;", ","")&amp;IF($DP240&lt;&gt;"",$DP240&amp;", ","")&amp;IF($DQ240&lt;&gt;"",$DQ240&amp;", ","")&amp;IF($DR240&lt;&gt;"",$DR240&amp;", ","")&amp;IF($DS240&lt;&gt;"",$DS240&amp;", ","")&amp;IF($DT240&lt;&gt;"",$DT240&amp;", ","")&amp;IF($DU240&lt;&gt;"",$DU240&amp;", ","")))-2)))))))</f>
        <v/>
      </c>
      <c r="N240" t="str">
        <f t="shared" si="1776"/>
        <v/>
      </c>
      <c r="O240" t="str">
        <f t="shared" si="1777"/>
        <v/>
      </c>
      <c r="P240" t="str">
        <f t="shared" si="1778"/>
        <v/>
      </c>
      <c r="Q240" t="str">
        <f t="shared" si="1779"/>
        <v/>
      </c>
      <c r="R240" t="str">
        <f>IF($Q240="","",IF(OR($BE240="",$BF240=""),"ONZEKER",IF(AND($BE240=0+1,$BF240=0),IF(OR(COUNTIF(#REF!,$B240)&gt;0,COUNTIF(#REF!,$B240)=0),"SKIP",IF(COUNTIFS(#REF!,$B240,#REF!,$Q240)&gt;0,"OK","ONBEKEND")),IF(AND($BE240=0,$BF240=0+1),IF(OR(COUNTIF(#REF!,$D240)&gt;0,COUNTIF(#REF!,$D240)=0),"SKIP",IF(COUNTIFS(#REF!,$D240,#REF!,$Q240)&gt;0,"OK","ONBEKEND")),"ONZEKER"))))</f>
        <v/>
      </c>
      <c r="S240" t="str">
        <f t="shared" si="1780"/>
        <v/>
      </c>
      <c r="T240" t="str">
        <f t="shared" si="1781"/>
        <v/>
      </c>
      <c r="U240" t="str">
        <f>IF($T240="","",IF(OR($BH240="",$BI240=""),"ONZEKER",IF(OR($BE240="",$BF240=""),"ONZEKER",IF(AND($BH240=$BE240+1,$BI240=$BF240),IF(OR(COUNTIF(#REF!,$B240)&gt;0,COUNTIF(#REF!,$B240)=0),"SKIP",IF(COUNTIFS(#REF!,$B240,#REF!,$T240)&gt;0,"OK","ONBEKEND")),IF(AND($BH240=$BE240,$BI240=$BF240+1),IF(OR(COUNTIF(#REF!,$D240)&gt;0,COUNTIF(#REF!,$D240)=0),"SKIP",IF(COUNTIFS(#REF!,$D240,#REF!,$T240)&gt;0,"OK","ONBEKEND")),"ONZEKER")))))</f>
        <v/>
      </c>
      <c r="V240" t="str">
        <f t="shared" si="1782"/>
        <v/>
      </c>
      <c r="W240" t="str">
        <f t="shared" si="1783"/>
        <v/>
      </c>
      <c r="X240" t="str">
        <f>IF($W240="","",IF(OR($BK240="",$BL240=""),"ONZEKER",IF(OR($BH240="",$BI240=""),"ONZEKER",IF(AND($BK240=$BH240+1,$BL240=$BI240),IF(OR(COUNTIF(#REF!,$B240)&gt;0,COUNTIF(#REF!,$B240)=0),"SKIP",IF(COUNTIFS(#REF!,$B240,#REF!,$W240)&gt;0,"OK","ONBEKEND")),IF(AND($BK240=$BH240,$BL240=$BI240+1),IF(OR(COUNTIF(#REF!,$D240)&gt;0,COUNTIF(#REF!,$D240)=0),"SKIP",IF(COUNTIFS(#REF!,$D240,#REF!,$W240)&gt;0,"OK","ONBEKEND")),"ONZEKER")))))</f>
        <v/>
      </c>
      <c r="Y240" t="str">
        <f t="shared" si="1784"/>
        <v/>
      </c>
      <c r="Z240" t="str">
        <f t="shared" si="1785"/>
        <v/>
      </c>
      <c r="AA240" t="str">
        <f>IF($Z240="","",IF(OR($BN240="",$BO240=""),"ONZEKER",IF(OR($BK240="",$BL240=""),"ONZEKER",IF(AND($BN240=$BK240+1,$BO240=$BL240),IF(OR(COUNTIF(#REF!,$B240)&gt;0,COUNTIF(#REF!,$B240)=0),"SKIP",IF(COUNTIFS(#REF!,$B240,#REF!,$Z240)&gt;0,"OK","ONBEKEND")),IF(AND($BN240=$BK240,$BO240=$BL240+1),IF(OR(COUNTIF(#REF!,$D240)&gt;0,COUNTIF(#REF!,$D240)=0),"SKIP",IF(COUNTIFS(#REF!,$D240,#REF!,$Z240)&gt;0,"OK","ONBEKEND")),"ONZEKER")))))</f>
        <v/>
      </c>
      <c r="AB240" t="str">
        <f t="shared" si="1786"/>
        <v/>
      </c>
      <c r="AC240" t="str">
        <f t="shared" si="1787"/>
        <v/>
      </c>
      <c r="AD240" t="str">
        <f>IF($AC240="","",IF(OR($BQ240="",$BR240=""),"ONZEKER",IF(OR($BN240="",$BO240=""),"ONZEKER",IF(AND($BQ240=$BN240+1,$BR240=$BO240),IF(OR(COUNTIF(#REF!,$B240)&gt;0,COUNTIF(#REF!,$B240)=0),"SKIP",IF(COUNTIFS(#REF!,$B240,#REF!,$AC240)&gt;0,"OK","ONBEKEND")),IF(AND($BQ240=$BN240,$BR240=$BO240+1),IF(OR(COUNTIF(#REF!,$D240)&gt;0,COUNTIF(#REF!,$D240)=0),"SKIP",IF(COUNTIFS(#REF!,$D240,#REF!,$AC240)&gt;0,"OK","ONBEKEND")),"ONZEKER")))))</f>
        <v/>
      </c>
      <c r="AE240" t="str">
        <f t="shared" si="1788"/>
        <v/>
      </c>
      <c r="AF240" t="str">
        <f t="shared" si="1789"/>
        <v/>
      </c>
      <c r="AG240" t="str">
        <f>IF($AF240="","",IF(OR($BT240="",$BU240=""),"ONZEKER",IF(OR($BQ240="",$BR240=""),"ONZEKER",IF(AND($BT240=$BQ240+1,$BU240=$BR240),IF(OR(COUNTIF(#REF!,$B240)&gt;0,COUNTIF(#REF!,$B240)=0),"SKIP",IF(COUNTIFS(#REF!,$B240,#REF!,$AF240)&gt;0,"OK","ONBEKEND")),IF(AND($BT240=$BQ240,$BU240=$BR240+1),IF(OR(COUNTIF(#REF!,$D240)&gt;0,COUNTIF(#REF!,$D240)=0),"SKIP",IF(COUNTIFS(#REF!,$D240,#REF!,$AF240)&gt;0,"OK","ONBEKEND")),"ONZEKER")))))</f>
        <v/>
      </c>
      <c r="AH240" t="str">
        <f t="shared" si="1790"/>
        <v/>
      </c>
      <c r="AI240" t="str">
        <f t="shared" si="1791"/>
        <v/>
      </c>
      <c r="AJ240" t="str">
        <f>IF($AI240="","",IF(OR($BW240="",$BX240=""),"ONZEKER",IF(OR($BT240="",$BU240=""),"ONZEKER",IF(AND($BW240=$BT240+1,$BX240=$BU240),IF(OR(COUNTIF(#REF!,$B240)&gt;0,COUNTIF(#REF!,$B240)=0),"SKIP",IF(COUNTIFS(#REF!,$B240,#REF!,$AI240)&gt;0,"OK","ONBEKEND")),IF(AND($BW240=$BT240,$BX240=$BU240+1),IF(OR(COUNTIF(#REF!,$D240)&gt;0,COUNTIF(#REF!,$D240)=0),"SKIP",IF(COUNTIFS(#REF!,$D240,#REF!,$AI240)&gt;0,"OK","ONBEKEND")),"ONZEKER")))))</f>
        <v/>
      </c>
      <c r="AK240" t="str">
        <f t="shared" si="1792"/>
        <v/>
      </c>
      <c r="AL240" t="str">
        <f t="shared" si="1793"/>
        <v/>
      </c>
      <c r="AM240" t="str">
        <f>IF($AL240="","",IF(OR($BZ240="",$CA240=""),"ONZEKER",IF(OR($BW240="",$BX240=""),"ONZEKER",IF(AND($BZ240=$BW240+1,$CA240=$BX240),IF(OR(COUNTIF(#REF!,$B240)&gt;0,COUNTIF(#REF!,$B240)=0),"SKIP",IF(COUNTIFS(#REF!,$B240,#REF!,$AL240)&gt;0,"OK","ONBEKEND")),IF(AND($BZ240=$BW240,$CA240=$BX240+1),IF(OR(COUNTIF(#REF!,$D240)&gt;0,COUNTIF(#REF!,$D240)=0),"SKIP",IF(COUNTIFS(#REF!,$D240,#REF!,$AL240)&gt;0,"OK","ONBEKEND")),"ONZEKER")))))</f>
        <v/>
      </c>
      <c r="AN240" t="str">
        <f t="shared" si="1794"/>
        <v/>
      </c>
      <c r="AO240" t="str">
        <f t="shared" si="1795"/>
        <v/>
      </c>
      <c r="AP240" t="str">
        <f>IF($AO240="","",IF(OR($CC240="",$CD240=""),"ONZEKER",IF(OR($BZ240="",$CA240=""),"ONZEKER",IF(AND($CC240=$BZ240+1,$CD240=$CA240),IF(OR(COUNTIF(#REF!,$B240)&gt;0,COUNTIF(#REF!,$B240)=0),"SKIP",IF(COUNTIFS(#REF!,$B240,#REF!,$AO240)&gt;0,"OK","ONBEKEND")),IF(AND($CC240=$BZ240,$CD240=$CA240+1),IF(OR(COUNTIF(#REF!,$D240)&gt;0,COUNTIF(#REF!,$D240)=0),"SKIP",IF(COUNTIFS(#REF!,$D240,#REF!,$AO240)&gt;0,"OK","ONBEKEND")),"ONZEKER")))))</f>
        <v/>
      </c>
      <c r="AQ240" t="str">
        <f t="shared" si="1796"/>
        <v/>
      </c>
      <c r="AR240" t="str">
        <f t="shared" si="1797"/>
        <v/>
      </c>
      <c r="AS240" t="str">
        <f>IF($AR240="","",IF(OR($CF240="",$CG240=""),"ONZEKER",IF(OR($CC240="",$CD240=""),"ONZEKER",IF(AND($CF240=$CC240+1,$CG240=$CD240),IF(OR(COUNTIF(#REF!,$B240)&gt;0,COUNTIF(#REF!,$B240)=0),"SKIP",IF(COUNTIFS(#REF!,$B240,#REF!,$AR240)&gt;0,"OK","ONBEKEND")),IF(AND($CF240=$CC240,$CG240=$CD240+1),IF(OR(COUNTIF(#REF!,$D240)&gt;0,COUNTIF(#REF!,$D240)=0),"SKIP",IF(COUNTIFS(#REF!,$D240,#REF!,$AR240)&gt;0,"OK","ONBEKEND")),"ONZEKER")))))</f>
        <v/>
      </c>
      <c r="AT240" t="str">
        <f t="shared" si="1798"/>
        <v/>
      </c>
      <c r="AU240" t="str">
        <f t="shared" si="1799"/>
        <v/>
      </c>
      <c r="AV240" t="str">
        <f t="shared" si="1800"/>
        <v/>
      </c>
      <c r="AW240" t="str">
        <f t="shared" si="1801"/>
        <v/>
      </c>
      <c r="AX240" t="str">
        <f t="shared" si="1802"/>
        <v/>
      </c>
      <c r="AY240" t="str">
        <f t="shared" si="1803"/>
        <v/>
      </c>
      <c r="AZ240" t="str">
        <f t="shared" si="1804"/>
        <v/>
      </c>
      <c r="BA240" t="str">
        <f t="shared" si="1805"/>
        <v/>
      </c>
      <c r="BB240" t="str">
        <f t="shared" si="1806"/>
        <v/>
      </c>
      <c r="BC240" t="str">
        <f t="shared" si="1807"/>
        <v/>
      </c>
      <c r="BD240" t="str">
        <f t="shared" si="1470"/>
        <v/>
      </c>
      <c r="BE240" t="str">
        <f t="shared" si="1471"/>
        <v/>
      </c>
      <c r="BF240" t="str">
        <f t="shared" si="1472"/>
        <v/>
      </c>
      <c r="BG240" t="str">
        <f t="shared" si="1473"/>
        <v/>
      </c>
      <c r="BH240" t="str">
        <f t="shared" si="1474"/>
        <v/>
      </c>
      <c r="BI240" t="str">
        <f t="shared" si="1475"/>
        <v/>
      </c>
      <c r="BJ240" t="str">
        <f t="shared" si="1476"/>
        <v/>
      </c>
      <c r="BK240" t="str">
        <f t="shared" si="1477"/>
        <v/>
      </c>
      <c r="BL240" t="str">
        <f t="shared" si="1478"/>
        <v/>
      </c>
      <c r="BM240" t="str">
        <f t="shared" si="1479"/>
        <v/>
      </c>
      <c r="BN240" t="str">
        <f t="shared" si="1480"/>
        <v/>
      </c>
      <c r="BO240" t="str">
        <f t="shared" si="1481"/>
        <v/>
      </c>
      <c r="BP240" t="str">
        <f t="shared" si="1482"/>
        <v/>
      </c>
      <c r="BQ240" t="str">
        <f t="shared" si="1483"/>
        <v/>
      </c>
      <c r="BR240" t="str">
        <f t="shared" si="1484"/>
        <v/>
      </c>
      <c r="BS240" t="str">
        <f t="shared" si="1485"/>
        <v/>
      </c>
      <c r="BT240" t="str">
        <f t="shared" si="1486"/>
        <v/>
      </c>
      <c r="BU240" t="str">
        <f t="shared" si="1487"/>
        <v/>
      </c>
      <c r="BV240" t="str">
        <f t="shared" si="1488"/>
        <v/>
      </c>
      <c r="BW240" t="str">
        <f t="shared" si="1489"/>
        <v/>
      </c>
      <c r="BX240" t="str">
        <f t="shared" si="1490"/>
        <v/>
      </c>
      <c r="BY240" t="str">
        <f t="shared" si="1491"/>
        <v/>
      </c>
      <c r="BZ240" t="str">
        <f t="shared" si="1492"/>
        <v/>
      </c>
      <c r="CA240" t="str">
        <f t="shared" si="1493"/>
        <v/>
      </c>
      <c r="CB240" t="str">
        <f t="shared" si="1494"/>
        <v/>
      </c>
      <c r="CC240" t="str">
        <f t="shared" si="1495"/>
        <v/>
      </c>
      <c r="CD240" t="str">
        <f t="shared" si="1496"/>
        <v/>
      </c>
      <c r="CE240" t="str">
        <f t="shared" si="1497"/>
        <v/>
      </c>
      <c r="CF240" t="str">
        <f t="shared" si="1498"/>
        <v/>
      </c>
      <c r="CG240" t="str">
        <f t="shared" si="1499"/>
        <v/>
      </c>
      <c r="CH240" t="str">
        <f t="shared" si="1808"/>
        <v/>
      </c>
      <c r="CI240" t="str">
        <f t="shared" si="1809"/>
        <v/>
      </c>
      <c r="CJ240" t="str">
        <f>IF($CI240="","",IF(OR($DW240="",$DX240=""),"ONZEKER",IF(OR($CF240="",$CG240=""),"ONZEKER",IF(AND($DW240=$CF240+1,$DX240=$CG240),IF(OR(COUNTIF(#REF!,$B240)&gt;0,COUNTIF(#REF!,$B240)=0),"SKIP",IF(COUNTIFS(#REF!,$B240,#REF!,$CI240)&gt;0,"OK","ONBEKEND")),IF(AND($DW240=$CF240,$DX240=$CG240+1),IF(OR(COUNTIF(#REF!,$D240)&gt;0,COUNTIF(#REF!,$D240)=0),"SKIP",IF(COUNTIFS(#REF!,$D240,#REF!,$CI240)&gt;0,"OK","ONBEKEND")),"ONZEKER")))))</f>
        <v/>
      </c>
      <c r="CK240" t="str">
        <f t="shared" si="1810"/>
        <v/>
      </c>
      <c r="CL240" t="str">
        <f t="shared" si="1811"/>
        <v/>
      </c>
      <c r="CM240" t="str">
        <f>IF($CL240="","",IF(OR($DZ240="",$EA240=""),"ONZEKER",IF(OR($DW240="",$DX240=""),"ONZEKER",IF(AND($DZ240=$DW240+1,$EA240=$DX240),IF(OR(COUNTIF(#REF!,$B240)&gt;0,COUNTIF(#REF!,$B240)=0),"SKIP",IF(COUNTIFS(#REF!,$B240,#REF!,$CL240)&gt;0,"OK","ONBEKEND")),IF(AND($DZ240=$DW240,$EA240=$DX240+1),IF(OR(COUNTIF(#REF!,$D240)&gt;0,COUNTIF(#REF!,$D240)=0),"SKIP",IF(COUNTIFS(#REF!,$D240,#REF!,$CL240)&gt;0,"OK","ONBEKEND")),"ONZEKER")))))</f>
        <v/>
      </c>
      <c r="CN240" t="str">
        <f t="shared" si="1812"/>
        <v/>
      </c>
      <c r="CO240" t="str">
        <f t="shared" si="1813"/>
        <v/>
      </c>
      <c r="CP240" t="str">
        <f>IF($CO240="","",IF(OR($EC240="",$ED240=""),"ONZEKER",IF(OR($DZ240="",$EA240=""),"ONZEKER",IF(AND($EC240=$DZ240+1,$ED240=$EA240),IF(OR(COUNTIF(#REF!,$B240)&gt;0,COUNTIF(#REF!,$B240)=0),"SKIP",IF(COUNTIFS(#REF!,$B240,#REF!,$CO240)&gt;0,"OK","ONBEKEND")),IF(AND($EC240=$DZ240,$ED240=$EA240+1),IF(OR(COUNTIF(#REF!,$D240)&gt;0,COUNTIF(#REF!,$D240)=0),"SKIP",IF(COUNTIFS(#REF!,$D240,#REF!,$CO240)&gt;0,"OK","ONBEKEND")),"ONZEKER")))))</f>
        <v/>
      </c>
      <c r="CQ240" t="str">
        <f t="shared" si="1814"/>
        <v/>
      </c>
      <c r="CR240" t="str">
        <f t="shared" si="1815"/>
        <v/>
      </c>
      <c r="CS240" t="str">
        <f>IF($CR240="","",IF(OR($EF240="",$EG240=""),"ONZEKER",IF(OR($EC240="",$ED240=""),"ONZEKER",IF(AND($EF240=$EC240+1,$EG240=$ED240),IF(OR(COUNTIF(#REF!,$B240)&gt;0,COUNTIF(#REF!,$B240)=0),"SKIP",IF(COUNTIFS(#REF!,$B240,#REF!,$CR240)&gt;0,"OK","ONBEKEND")),IF(AND($EF240=$EC240,$EG240=$ED240+1),IF(OR(COUNTIF(#REF!,$D240)&gt;0,COUNTIF(#REF!,$D240)=0),"SKIP",IF(COUNTIFS(#REF!,$D240,#REF!,$CR240)&gt;0,"OK","ONBEKEND")),"ONZEKER")))))</f>
        <v/>
      </c>
      <c r="CT240" t="str">
        <f t="shared" si="1816"/>
        <v/>
      </c>
      <c r="CU240" t="str">
        <f t="shared" si="1817"/>
        <v/>
      </c>
      <c r="CV240" t="str">
        <f>IF($CU240="","",IF(OR($EI240="",$EJ240=""),"ONZEKER",IF(OR($EF240="",$EG240=""),"ONZEKER",IF(AND($EI240=$EF240+1,$EJ240=$EG240),IF(OR(COUNTIF(#REF!,$B240)&gt;0,COUNTIF(#REF!,$B240)=0),"SKIP",IF(COUNTIFS(#REF!,$B240,#REF!,$CU240)&gt;0,"OK","ONBEKEND")),IF(AND($EI240=$EF240,$EJ240=$EG240+1),IF(OR(COUNTIF(#REF!,$D240)&gt;0,COUNTIF(#REF!,$D240)=0),"SKIP",IF(COUNTIFS(#REF!,$D240,#REF!,$CU240)&gt;0,"OK","ONBEKEND")),"ONZEKER")))))</f>
        <v/>
      </c>
      <c r="CW240" t="str">
        <f t="shared" si="1818"/>
        <v/>
      </c>
      <c r="CX240" t="str">
        <f t="shared" si="1819"/>
        <v/>
      </c>
      <c r="CY240" t="str">
        <f>IF($CX240="","",IF(OR($EL240="",$EM240=""),"ONZEKER",IF(OR($EI240="",$EJ240=""),"ONZEKER",IF(AND($EL240=$EI240+1,$EM240=$EJ240),IF(OR(COUNTIF(#REF!,$B240)&gt;0,COUNTIF(#REF!,$B240)=0),"SKIP",IF(COUNTIFS(#REF!,$B240,#REF!,$CX240)&gt;0,"OK","ONBEKEND")),IF(AND($EL240=$EI240,$EM240=$EJ240+1),IF(OR(COUNTIF(#REF!,$D240)&gt;0,COUNTIF(#REF!,$D240)=0),"SKIP",IF(COUNTIFS(#REF!,$D240,#REF!,$CX240)&gt;0,"OK","ONBEKEND")),"ONZEKER")))))</f>
        <v/>
      </c>
      <c r="CZ240" t="str">
        <f t="shared" si="1820"/>
        <v/>
      </c>
      <c r="DA240" t="str">
        <f t="shared" si="1821"/>
        <v/>
      </c>
      <c r="DB240" t="str">
        <f>IF($DA240="","",IF(OR($EO240="",$EP240=""),"ONZEKER",IF(OR($EL240="",$EM240=""),"ONZEKER",IF(AND($EO240=$EL240+1,$EP240=$EM240),IF(OR(COUNTIF(#REF!,$B240)&gt;0,COUNTIF(#REF!,$B240)=0),"SKIP",IF(COUNTIFS(#REF!,$B240,#REF!,$DA240)&gt;0,"OK","ONBEKEND")),IF(AND($EO240=$EL240,$EP240=$EM240+1),IF(OR(COUNTIF(#REF!,$D240)&gt;0,COUNTIF(#REF!,$D240)=0),"SKIP",IF(COUNTIFS(#REF!,$D240,#REF!,$DA240)&gt;0,"OK","ONBEKEND")),"ONZEKER")))))</f>
        <v/>
      </c>
      <c r="DC240" t="str">
        <f t="shared" si="1822"/>
        <v/>
      </c>
      <c r="DD240" t="str">
        <f t="shared" si="1823"/>
        <v/>
      </c>
      <c r="DE240" t="str">
        <f>IF($DD240="","",IF(OR($ER240="",$ES240=""),"ONZEKER",IF(OR($EO240="",$EP240=""),"ONZEKER",IF(AND($ER240=$EO240+1,$ES240=$EP240),IF(OR(COUNTIF(#REF!,$B240)&gt;0,COUNTIF(#REF!,$B240)=0),"SKIP",IF(COUNTIFS(#REF!,$B240,#REF!,$DD240)&gt;0,"OK","ONBEKEND")),IF(AND($ER240=$EO240,$ES240=$EP240+1),IF(OR(COUNTIF(#REF!,$D240)&gt;0,COUNTIF(#REF!,$D240)=0),"SKIP",IF(COUNTIFS(#REF!,$D240,#REF!,$DD240)&gt;0,"OK","ONBEKEND")),"ONZEKER")))))</f>
        <v/>
      </c>
      <c r="DF240" t="str">
        <f t="shared" si="1824"/>
        <v/>
      </c>
      <c r="DG240" t="str">
        <f t="shared" si="1825"/>
        <v/>
      </c>
      <c r="DH240" t="str">
        <f>IF($DG240="","",IF(OR($EU240="",$EV240=""),"ONZEKER",IF(OR($ER240="",$ES240=""),"ONZEKER",IF(AND($EU240=$ER240+1,$EV240=$ES240),IF(OR(COUNTIF(#REF!,$B240)&gt;0,COUNTIF(#REF!,$B240)=0),"SKIP",IF(COUNTIFS(#REF!,$B240,#REF!,$DG240)&gt;0,"OK","ONBEKEND")),IF(AND($EU240=$ER240,$EV240=$ES240+1),IF(OR(COUNTIF(#REF!,$D240)&gt;0,COUNTIF(#REF!,$D240)=0),"SKIP",IF(COUNTIFS(#REF!,$D240,#REF!,$DG240)&gt;0,"OK","ONBEKEND")),"ONZEKER")))))</f>
        <v/>
      </c>
      <c r="DI240" t="str">
        <f t="shared" si="1826"/>
        <v/>
      </c>
      <c r="DJ240" t="str">
        <f t="shared" si="1827"/>
        <v/>
      </c>
      <c r="DK240" t="str">
        <f>IF($DJ240="","",IF(OR($EX240="",$EY240=""),"ONZEKER",IF(OR($EU240="",$EV240=""),"ONZEKER",IF(AND($EX240=$EU240+1,$EY240=$EV240),IF(OR(COUNTIF(#REF!,$B240)&gt;0,COUNTIF(#REF!,$B240)=0),"SKIP",IF(COUNTIFS(#REF!,$B240,#REF!,$DJ240)&gt;0,"OK","ONBEKEND")),IF(AND($EX240=$EU240,$EY240=$EV240+1),IF(OR(COUNTIF(#REF!,$D240)&gt;0,COUNTIF(#REF!,$D240)=0),"SKIP",IF(COUNTIFS(#REF!,$D240,#REF!,$DJ240)&gt;0,"OK","ONBEKEND")),"ONZEKER")))))</f>
        <v/>
      </c>
      <c r="DL240" t="str">
        <f t="shared" si="1828"/>
        <v/>
      </c>
      <c r="DM240" t="str">
        <f t="shared" si="1829"/>
        <v/>
      </c>
      <c r="DN240" t="str">
        <f t="shared" si="1830"/>
        <v/>
      </c>
      <c r="DO240" t="str">
        <f t="shared" si="1831"/>
        <v/>
      </c>
      <c r="DP240" t="str">
        <f t="shared" si="1832"/>
        <v/>
      </c>
      <c r="DQ240" t="str">
        <f t="shared" si="1833"/>
        <v/>
      </c>
      <c r="DR240" t="str">
        <f t="shared" si="1834"/>
        <v/>
      </c>
      <c r="DS240" t="str">
        <f t="shared" si="1835"/>
        <v/>
      </c>
      <c r="DT240" t="str">
        <f t="shared" si="1836"/>
        <v/>
      </c>
      <c r="DU240" t="str">
        <f t="shared" si="1837"/>
        <v/>
      </c>
      <c r="DV240" t="str">
        <f t="shared" si="1838"/>
        <v/>
      </c>
      <c r="DW240" t="str">
        <f t="shared" si="1839"/>
        <v/>
      </c>
      <c r="DX240" t="str">
        <f t="shared" si="1840"/>
        <v/>
      </c>
      <c r="DY240" t="str">
        <f t="shared" si="1841"/>
        <v/>
      </c>
      <c r="DZ240" t="str">
        <f t="shared" si="1842"/>
        <v/>
      </c>
      <c r="EA240" t="str">
        <f t="shared" si="1843"/>
        <v/>
      </c>
      <c r="EB240" t="str">
        <f t="shared" si="1844"/>
        <v/>
      </c>
      <c r="EC240" t="str">
        <f t="shared" si="1845"/>
        <v/>
      </c>
      <c r="ED240" t="str">
        <f t="shared" si="1846"/>
        <v/>
      </c>
      <c r="EE240" t="str">
        <f t="shared" si="1847"/>
        <v/>
      </c>
      <c r="EF240" t="str">
        <f t="shared" si="1848"/>
        <v/>
      </c>
      <c r="EG240" t="str">
        <f t="shared" si="1849"/>
        <v/>
      </c>
      <c r="EH240" t="str">
        <f t="shared" si="1850"/>
        <v/>
      </c>
      <c r="EI240" t="str">
        <f t="shared" si="1851"/>
        <v/>
      </c>
      <c r="EJ240" t="str">
        <f t="shared" si="1852"/>
        <v/>
      </c>
      <c r="EK240" t="str">
        <f t="shared" si="1853"/>
        <v/>
      </c>
      <c r="EL240" t="str">
        <f t="shared" si="1854"/>
        <v/>
      </c>
      <c r="EM240" t="str">
        <f t="shared" si="1855"/>
        <v/>
      </c>
      <c r="EN240" t="str">
        <f t="shared" si="1856"/>
        <v/>
      </c>
      <c r="EO240" t="str">
        <f t="shared" si="1857"/>
        <v/>
      </c>
      <c r="EP240" t="str">
        <f t="shared" si="1858"/>
        <v/>
      </c>
      <c r="EQ240" t="str">
        <f t="shared" si="1859"/>
        <v/>
      </c>
      <c r="ER240" t="str">
        <f t="shared" si="1860"/>
        <v/>
      </c>
      <c r="ES240" t="str">
        <f t="shared" si="1861"/>
        <v/>
      </c>
      <c r="ET240" t="str">
        <f t="shared" si="1862"/>
        <v/>
      </c>
      <c r="EU240" t="str">
        <f t="shared" si="1863"/>
        <v/>
      </c>
      <c r="EV240" t="str">
        <f t="shared" si="1864"/>
        <v/>
      </c>
      <c r="EW240" t="str">
        <f t="shared" si="1865"/>
        <v/>
      </c>
      <c r="EX240" t="str">
        <f t="shared" si="1866"/>
        <v/>
      </c>
      <c r="EY240" t="str">
        <f t="shared" si="1867"/>
        <v/>
      </c>
    </row>
    <row r="241" spans="1:155" ht="13.9" customHeight="1" x14ac:dyDescent="0.25">
      <c r="A241" s="7"/>
      <c r="B241" s="17"/>
      <c r="C241" s="8"/>
      <c r="D241" s="17"/>
      <c r="E241" s="8"/>
      <c r="F241" s="18">
        <v>0</v>
      </c>
      <c r="G241" s="7" t="s">
        <v>147</v>
      </c>
      <c r="H241" s="18">
        <v>0</v>
      </c>
      <c r="I241" s="19">
        <v>0</v>
      </c>
      <c r="J241" s="7" t="s">
        <v>147</v>
      </c>
      <c r="K241" s="19">
        <v>0</v>
      </c>
      <c r="L241" s="9"/>
      <c r="M241" s="3" t="str">
        <f>IF($L241="","",IF($L241="DOELPUNTENMAKERS","",IF(AND(COUNTIF(#REF!,$B241)=0,COUNTIF(#REF!,$D241)=0),"OK",IF($O241&gt;20,"LET OP: meer dan 20 items (controle onvolledig)",IF((COUNTIF($R241:$AS241,"ONZEKER")+COUNTIF($CJ241:$DK241,"ONZEKER"))&gt;0,"LET OP: scoreverloop onduidelijk (controle beperkt)",IF((IF($AT241&lt;&gt;"",$AT241&amp;", ","")&amp;IF($AU241&lt;&gt;"",$AU241&amp;", ","")&amp;IF($AV241&lt;&gt;"",$AV241&amp;", ","")&amp;IF($AW241&lt;&gt;"",$AW241&amp;", ","")&amp;IF($AX241&lt;&gt;"",$AX241&amp;", ","")&amp;IF($AY241&lt;&gt;"",$AY241&amp;", ","")&amp;IF($AZ241&lt;&gt;"",$AZ241&amp;", ","")&amp;IF($BA241&lt;&gt;"",$BA241&amp;", ","")&amp;IF($BB241&lt;&gt;"",$BB241&amp;", ","")&amp;IF($BC241&lt;&gt;"",$BC241&amp;", ","")&amp;IF($DL241&lt;&gt;"",$DL241&amp;", ","")&amp;IF($DM241&lt;&gt;"",$DM241&amp;", ","")&amp;IF($DN241&lt;&gt;"",$DN241&amp;", ","")&amp;IF($DO241&lt;&gt;"",$DO241&amp;", ","")&amp;IF($DP241&lt;&gt;"",$DP241&amp;", ","")&amp;IF($DQ241&lt;&gt;"",$DQ241&amp;", ","")&amp;IF($DR241&lt;&gt;"",$DR241&amp;", ","")&amp;IF($DS241&lt;&gt;"",$DS241&amp;", ","")&amp;IF($DT241&lt;&gt;"",$DT241&amp;", ","")&amp;IF($DU241&lt;&gt;"",$DU241&amp;", ",""))="","OK","Onbekend: "&amp;LEFT((IF($AT241&lt;&gt;"",$AT241&amp;", ","")&amp;IF($AU241&lt;&gt;"",$AU241&amp;", ","")&amp;IF($AV241&lt;&gt;"",$AV241&amp;", ","")&amp;IF($AW241&lt;&gt;"",$AW241&amp;", ","")&amp;IF($AX241&lt;&gt;"",$AX241&amp;", ","")&amp;IF($AY241&lt;&gt;"",$AY241&amp;", ","")&amp;IF($AZ241&lt;&gt;"",$AZ241&amp;", ","")&amp;IF($BA241&lt;&gt;"",$BA241&amp;", ","")&amp;IF($BB241&lt;&gt;"",$BB241&amp;", ","")&amp;IF($BC241&lt;&gt;"",$BC241&amp;", ","")&amp;IF($DL241&lt;&gt;"",$DL241&amp;", ","")&amp;IF($DM241&lt;&gt;"",$DM241&amp;", ","")&amp;IF($DN241&lt;&gt;"",$DN241&amp;", ","")&amp;IF($DO241&lt;&gt;"",$DO241&amp;", ","")&amp;IF($DP241&lt;&gt;"",$DP241&amp;", ","")&amp;IF($DQ241&lt;&gt;"",$DQ241&amp;", ","")&amp;IF($DR241&lt;&gt;"",$DR241&amp;", ","")&amp;IF($DS241&lt;&gt;"",$DS241&amp;", ","")&amp;IF($DT241&lt;&gt;"",$DT241&amp;", ","")&amp;IF($DU241&lt;&gt;"",$DU241&amp;", ","")),LEN((IF($AT241&lt;&gt;"",$AT241&amp;", ","")&amp;IF($AU241&lt;&gt;"",$AU241&amp;", ","")&amp;IF($AV241&lt;&gt;"",$AV241&amp;", ","")&amp;IF($AW241&lt;&gt;"",$AW241&amp;", ","")&amp;IF($AX241&lt;&gt;"",$AX241&amp;", ","")&amp;IF($AY241&lt;&gt;"",$AY241&amp;", ","")&amp;IF($AZ241&lt;&gt;"",$AZ241&amp;", ","")&amp;IF($BA241&lt;&gt;"",$BA241&amp;", ","")&amp;IF($BB241&lt;&gt;"",$BB241&amp;", ","")&amp;IF($BC241&lt;&gt;"",$BC241&amp;", ","")&amp;IF($DL241&lt;&gt;"",$DL241&amp;", ","")&amp;IF($DM241&lt;&gt;"",$DM241&amp;", ","")&amp;IF($DN241&lt;&gt;"",$DN241&amp;", ","")&amp;IF($DO241&lt;&gt;"",$DO241&amp;", ","")&amp;IF($DP241&lt;&gt;"",$DP241&amp;", ","")&amp;IF($DQ241&lt;&gt;"",$DQ241&amp;", ","")&amp;IF($DR241&lt;&gt;"",$DR241&amp;", ","")&amp;IF($DS241&lt;&gt;"",$DS241&amp;", ","")&amp;IF($DT241&lt;&gt;"",$DT241&amp;", ","")&amp;IF($DU241&lt;&gt;"",$DU241&amp;", ","")))-2)))))))</f>
        <v/>
      </c>
      <c r="N241" t="str">
        <f t="shared" si="1776"/>
        <v/>
      </c>
      <c r="O241" t="str">
        <f t="shared" si="1777"/>
        <v/>
      </c>
      <c r="P241" t="str">
        <f t="shared" si="1778"/>
        <v/>
      </c>
      <c r="Q241" t="str">
        <f t="shared" si="1779"/>
        <v/>
      </c>
      <c r="R241" t="str">
        <f>IF($Q241="","",IF(OR($BE241="",$BF241=""),"ONZEKER",IF(AND($BE241=0+1,$BF241=0),IF(OR(COUNTIF(#REF!,$B241)&gt;0,COUNTIF(#REF!,$B241)=0),"SKIP",IF(COUNTIFS(#REF!,$B241,#REF!,$Q241)&gt;0,"OK","ONBEKEND")),IF(AND($BE241=0,$BF241=0+1),IF(OR(COUNTIF(#REF!,$D241)&gt;0,COUNTIF(#REF!,$D241)=0),"SKIP",IF(COUNTIFS(#REF!,$D241,#REF!,$Q241)&gt;0,"OK","ONBEKEND")),"ONZEKER"))))</f>
        <v/>
      </c>
      <c r="S241" t="str">
        <f t="shared" si="1780"/>
        <v/>
      </c>
      <c r="T241" t="str">
        <f t="shared" si="1781"/>
        <v/>
      </c>
      <c r="U241" t="str">
        <f>IF($T241="","",IF(OR($BH241="",$BI241=""),"ONZEKER",IF(OR($BE241="",$BF241=""),"ONZEKER",IF(AND($BH241=$BE241+1,$BI241=$BF241),IF(OR(COUNTIF(#REF!,$B241)&gt;0,COUNTIF(#REF!,$B241)=0),"SKIP",IF(COUNTIFS(#REF!,$B241,#REF!,$T241)&gt;0,"OK","ONBEKEND")),IF(AND($BH241=$BE241,$BI241=$BF241+1),IF(OR(COUNTIF(#REF!,$D241)&gt;0,COUNTIF(#REF!,$D241)=0),"SKIP",IF(COUNTIFS(#REF!,$D241,#REF!,$T241)&gt;0,"OK","ONBEKEND")),"ONZEKER")))))</f>
        <v/>
      </c>
      <c r="V241" t="str">
        <f t="shared" si="1782"/>
        <v/>
      </c>
      <c r="W241" t="str">
        <f t="shared" si="1783"/>
        <v/>
      </c>
      <c r="X241" t="str">
        <f>IF($W241="","",IF(OR($BK241="",$BL241=""),"ONZEKER",IF(OR($BH241="",$BI241=""),"ONZEKER",IF(AND($BK241=$BH241+1,$BL241=$BI241),IF(OR(COUNTIF(#REF!,$B241)&gt;0,COUNTIF(#REF!,$B241)=0),"SKIP",IF(COUNTIFS(#REF!,$B241,#REF!,$W241)&gt;0,"OK","ONBEKEND")),IF(AND($BK241=$BH241,$BL241=$BI241+1),IF(OR(COUNTIF(#REF!,$D241)&gt;0,COUNTIF(#REF!,$D241)=0),"SKIP",IF(COUNTIFS(#REF!,$D241,#REF!,$W241)&gt;0,"OK","ONBEKEND")),"ONZEKER")))))</f>
        <v/>
      </c>
      <c r="Y241" t="str">
        <f t="shared" si="1784"/>
        <v/>
      </c>
      <c r="Z241" t="str">
        <f t="shared" si="1785"/>
        <v/>
      </c>
      <c r="AA241" t="str">
        <f>IF($Z241="","",IF(OR($BN241="",$BO241=""),"ONZEKER",IF(OR($BK241="",$BL241=""),"ONZEKER",IF(AND($BN241=$BK241+1,$BO241=$BL241),IF(OR(COUNTIF(#REF!,$B241)&gt;0,COUNTIF(#REF!,$B241)=0),"SKIP",IF(COUNTIFS(#REF!,$B241,#REF!,$Z241)&gt;0,"OK","ONBEKEND")),IF(AND($BN241=$BK241,$BO241=$BL241+1),IF(OR(COUNTIF(#REF!,$D241)&gt;0,COUNTIF(#REF!,$D241)=0),"SKIP",IF(COUNTIFS(#REF!,$D241,#REF!,$Z241)&gt;0,"OK","ONBEKEND")),"ONZEKER")))))</f>
        <v/>
      </c>
      <c r="AB241" t="str">
        <f t="shared" si="1786"/>
        <v/>
      </c>
      <c r="AC241" t="str">
        <f t="shared" si="1787"/>
        <v/>
      </c>
      <c r="AD241" t="str">
        <f>IF($AC241="","",IF(OR($BQ241="",$BR241=""),"ONZEKER",IF(OR($BN241="",$BO241=""),"ONZEKER",IF(AND($BQ241=$BN241+1,$BR241=$BO241),IF(OR(COUNTIF(#REF!,$B241)&gt;0,COUNTIF(#REF!,$B241)=0),"SKIP",IF(COUNTIFS(#REF!,$B241,#REF!,$AC241)&gt;0,"OK","ONBEKEND")),IF(AND($BQ241=$BN241,$BR241=$BO241+1),IF(OR(COUNTIF(#REF!,$D241)&gt;0,COUNTIF(#REF!,$D241)=0),"SKIP",IF(COUNTIFS(#REF!,$D241,#REF!,$AC241)&gt;0,"OK","ONBEKEND")),"ONZEKER")))))</f>
        <v/>
      </c>
      <c r="AE241" t="str">
        <f t="shared" si="1788"/>
        <v/>
      </c>
      <c r="AF241" t="str">
        <f t="shared" si="1789"/>
        <v/>
      </c>
      <c r="AG241" t="str">
        <f>IF($AF241="","",IF(OR($BT241="",$BU241=""),"ONZEKER",IF(OR($BQ241="",$BR241=""),"ONZEKER",IF(AND($BT241=$BQ241+1,$BU241=$BR241),IF(OR(COUNTIF(#REF!,$B241)&gt;0,COUNTIF(#REF!,$B241)=0),"SKIP",IF(COUNTIFS(#REF!,$B241,#REF!,$AF241)&gt;0,"OK","ONBEKEND")),IF(AND($BT241=$BQ241,$BU241=$BR241+1),IF(OR(COUNTIF(#REF!,$D241)&gt;0,COUNTIF(#REF!,$D241)=0),"SKIP",IF(COUNTIFS(#REF!,$D241,#REF!,$AF241)&gt;0,"OK","ONBEKEND")),"ONZEKER")))))</f>
        <v/>
      </c>
      <c r="AH241" t="str">
        <f t="shared" si="1790"/>
        <v/>
      </c>
      <c r="AI241" t="str">
        <f t="shared" si="1791"/>
        <v/>
      </c>
      <c r="AJ241" t="str">
        <f>IF($AI241="","",IF(OR($BW241="",$BX241=""),"ONZEKER",IF(OR($BT241="",$BU241=""),"ONZEKER",IF(AND($BW241=$BT241+1,$BX241=$BU241),IF(OR(COUNTIF(#REF!,$B241)&gt;0,COUNTIF(#REF!,$B241)=0),"SKIP",IF(COUNTIFS(#REF!,$B241,#REF!,$AI241)&gt;0,"OK","ONBEKEND")),IF(AND($BW241=$BT241,$BX241=$BU241+1),IF(OR(COUNTIF(#REF!,$D241)&gt;0,COUNTIF(#REF!,$D241)=0),"SKIP",IF(COUNTIFS(#REF!,$D241,#REF!,$AI241)&gt;0,"OK","ONBEKEND")),"ONZEKER")))))</f>
        <v/>
      </c>
      <c r="AK241" t="str">
        <f t="shared" si="1792"/>
        <v/>
      </c>
      <c r="AL241" t="str">
        <f t="shared" si="1793"/>
        <v/>
      </c>
      <c r="AM241" t="str">
        <f>IF($AL241="","",IF(OR($BZ241="",$CA241=""),"ONZEKER",IF(OR($BW241="",$BX241=""),"ONZEKER",IF(AND($BZ241=$BW241+1,$CA241=$BX241),IF(OR(COUNTIF(#REF!,$B241)&gt;0,COUNTIF(#REF!,$B241)=0),"SKIP",IF(COUNTIFS(#REF!,$B241,#REF!,$AL241)&gt;0,"OK","ONBEKEND")),IF(AND($BZ241=$BW241,$CA241=$BX241+1),IF(OR(COUNTIF(#REF!,$D241)&gt;0,COUNTIF(#REF!,$D241)=0),"SKIP",IF(COUNTIFS(#REF!,$D241,#REF!,$AL241)&gt;0,"OK","ONBEKEND")),"ONZEKER")))))</f>
        <v/>
      </c>
      <c r="AN241" t="str">
        <f t="shared" si="1794"/>
        <v/>
      </c>
      <c r="AO241" t="str">
        <f t="shared" si="1795"/>
        <v/>
      </c>
      <c r="AP241" t="str">
        <f>IF($AO241="","",IF(OR($CC241="",$CD241=""),"ONZEKER",IF(OR($BZ241="",$CA241=""),"ONZEKER",IF(AND($CC241=$BZ241+1,$CD241=$CA241),IF(OR(COUNTIF(#REF!,$B241)&gt;0,COUNTIF(#REF!,$B241)=0),"SKIP",IF(COUNTIFS(#REF!,$B241,#REF!,$AO241)&gt;0,"OK","ONBEKEND")),IF(AND($CC241=$BZ241,$CD241=$CA241+1),IF(OR(COUNTIF(#REF!,$D241)&gt;0,COUNTIF(#REF!,$D241)=0),"SKIP",IF(COUNTIFS(#REF!,$D241,#REF!,$AO241)&gt;0,"OK","ONBEKEND")),"ONZEKER")))))</f>
        <v/>
      </c>
      <c r="AQ241" t="str">
        <f t="shared" si="1796"/>
        <v/>
      </c>
      <c r="AR241" t="str">
        <f t="shared" si="1797"/>
        <v/>
      </c>
      <c r="AS241" t="str">
        <f>IF($AR241="","",IF(OR($CF241="",$CG241=""),"ONZEKER",IF(OR($CC241="",$CD241=""),"ONZEKER",IF(AND($CF241=$CC241+1,$CG241=$CD241),IF(OR(COUNTIF(#REF!,$B241)&gt;0,COUNTIF(#REF!,$B241)=0),"SKIP",IF(COUNTIFS(#REF!,$B241,#REF!,$AR241)&gt;0,"OK","ONBEKEND")),IF(AND($CF241=$CC241,$CG241=$CD241+1),IF(OR(COUNTIF(#REF!,$D241)&gt;0,COUNTIF(#REF!,$D241)=0),"SKIP",IF(COUNTIFS(#REF!,$D241,#REF!,$AR241)&gt;0,"OK","ONBEKEND")),"ONZEKER")))))</f>
        <v/>
      </c>
      <c r="AT241" t="str">
        <f t="shared" si="1798"/>
        <v/>
      </c>
      <c r="AU241" t="str">
        <f t="shared" si="1799"/>
        <v/>
      </c>
      <c r="AV241" t="str">
        <f t="shared" si="1800"/>
        <v/>
      </c>
      <c r="AW241" t="str">
        <f t="shared" si="1801"/>
        <v/>
      </c>
      <c r="AX241" t="str">
        <f t="shared" si="1802"/>
        <v/>
      </c>
      <c r="AY241" t="str">
        <f t="shared" si="1803"/>
        <v/>
      </c>
      <c r="AZ241" t="str">
        <f t="shared" si="1804"/>
        <v/>
      </c>
      <c r="BA241" t="str">
        <f t="shared" si="1805"/>
        <v/>
      </c>
      <c r="BB241" t="str">
        <f t="shared" si="1806"/>
        <v/>
      </c>
      <c r="BC241" t="str">
        <f t="shared" si="1807"/>
        <v/>
      </c>
      <c r="BD241" t="str">
        <f t="shared" si="1470"/>
        <v/>
      </c>
      <c r="BE241" t="str">
        <f t="shared" si="1471"/>
        <v/>
      </c>
      <c r="BF241" t="str">
        <f t="shared" si="1472"/>
        <v/>
      </c>
      <c r="BG241" t="str">
        <f t="shared" si="1473"/>
        <v/>
      </c>
      <c r="BH241" t="str">
        <f t="shared" si="1474"/>
        <v/>
      </c>
      <c r="BI241" t="str">
        <f t="shared" si="1475"/>
        <v/>
      </c>
      <c r="BJ241" t="str">
        <f t="shared" si="1476"/>
        <v/>
      </c>
      <c r="BK241" t="str">
        <f t="shared" si="1477"/>
        <v/>
      </c>
      <c r="BL241" t="str">
        <f t="shared" si="1478"/>
        <v/>
      </c>
      <c r="BM241" t="str">
        <f t="shared" si="1479"/>
        <v/>
      </c>
      <c r="BN241" t="str">
        <f t="shared" si="1480"/>
        <v/>
      </c>
      <c r="BO241" t="str">
        <f t="shared" si="1481"/>
        <v/>
      </c>
      <c r="BP241" t="str">
        <f t="shared" si="1482"/>
        <v/>
      </c>
      <c r="BQ241" t="str">
        <f t="shared" si="1483"/>
        <v/>
      </c>
      <c r="BR241" t="str">
        <f t="shared" si="1484"/>
        <v/>
      </c>
      <c r="BS241" t="str">
        <f t="shared" si="1485"/>
        <v/>
      </c>
      <c r="BT241" t="str">
        <f t="shared" si="1486"/>
        <v/>
      </c>
      <c r="BU241" t="str">
        <f t="shared" si="1487"/>
        <v/>
      </c>
      <c r="BV241" t="str">
        <f t="shared" si="1488"/>
        <v/>
      </c>
      <c r="BW241" t="str">
        <f t="shared" si="1489"/>
        <v/>
      </c>
      <c r="BX241" t="str">
        <f t="shared" si="1490"/>
        <v/>
      </c>
      <c r="BY241" t="str">
        <f t="shared" si="1491"/>
        <v/>
      </c>
      <c r="BZ241" t="str">
        <f t="shared" si="1492"/>
        <v/>
      </c>
      <c r="CA241" t="str">
        <f t="shared" si="1493"/>
        <v/>
      </c>
      <c r="CB241" t="str">
        <f t="shared" si="1494"/>
        <v/>
      </c>
      <c r="CC241" t="str">
        <f t="shared" si="1495"/>
        <v/>
      </c>
      <c r="CD241" t="str">
        <f t="shared" si="1496"/>
        <v/>
      </c>
      <c r="CE241" t="str">
        <f t="shared" si="1497"/>
        <v/>
      </c>
      <c r="CF241" t="str">
        <f t="shared" si="1498"/>
        <v/>
      </c>
      <c r="CG241" t="str">
        <f t="shared" si="1499"/>
        <v/>
      </c>
      <c r="CH241" t="str">
        <f t="shared" si="1808"/>
        <v/>
      </c>
      <c r="CI241" t="str">
        <f t="shared" si="1809"/>
        <v/>
      </c>
      <c r="CJ241" t="str">
        <f>IF($CI241="","",IF(OR($DW241="",$DX241=""),"ONZEKER",IF(OR($CF241="",$CG241=""),"ONZEKER",IF(AND($DW241=$CF241+1,$DX241=$CG241),IF(OR(COUNTIF(#REF!,$B241)&gt;0,COUNTIF(#REF!,$B241)=0),"SKIP",IF(COUNTIFS(#REF!,$B241,#REF!,$CI241)&gt;0,"OK","ONBEKEND")),IF(AND($DW241=$CF241,$DX241=$CG241+1),IF(OR(COUNTIF(#REF!,$D241)&gt;0,COUNTIF(#REF!,$D241)=0),"SKIP",IF(COUNTIFS(#REF!,$D241,#REF!,$CI241)&gt;0,"OK","ONBEKEND")),"ONZEKER")))))</f>
        <v/>
      </c>
      <c r="CK241" t="str">
        <f t="shared" si="1810"/>
        <v/>
      </c>
      <c r="CL241" t="str">
        <f t="shared" si="1811"/>
        <v/>
      </c>
      <c r="CM241" t="str">
        <f>IF($CL241="","",IF(OR($DZ241="",$EA241=""),"ONZEKER",IF(OR($DW241="",$DX241=""),"ONZEKER",IF(AND($DZ241=$DW241+1,$EA241=$DX241),IF(OR(COUNTIF(#REF!,$B241)&gt;0,COUNTIF(#REF!,$B241)=0),"SKIP",IF(COUNTIFS(#REF!,$B241,#REF!,$CL241)&gt;0,"OK","ONBEKEND")),IF(AND($DZ241=$DW241,$EA241=$DX241+1),IF(OR(COUNTIF(#REF!,$D241)&gt;0,COUNTIF(#REF!,$D241)=0),"SKIP",IF(COUNTIFS(#REF!,$D241,#REF!,$CL241)&gt;0,"OK","ONBEKEND")),"ONZEKER")))))</f>
        <v/>
      </c>
      <c r="CN241" t="str">
        <f t="shared" si="1812"/>
        <v/>
      </c>
      <c r="CO241" t="str">
        <f t="shared" si="1813"/>
        <v/>
      </c>
      <c r="CP241" t="str">
        <f>IF($CO241="","",IF(OR($EC241="",$ED241=""),"ONZEKER",IF(OR($DZ241="",$EA241=""),"ONZEKER",IF(AND($EC241=$DZ241+1,$ED241=$EA241),IF(OR(COUNTIF(#REF!,$B241)&gt;0,COUNTIF(#REF!,$B241)=0),"SKIP",IF(COUNTIFS(#REF!,$B241,#REF!,$CO241)&gt;0,"OK","ONBEKEND")),IF(AND($EC241=$DZ241,$ED241=$EA241+1),IF(OR(COUNTIF(#REF!,$D241)&gt;0,COUNTIF(#REF!,$D241)=0),"SKIP",IF(COUNTIFS(#REF!,$D241,#REF!,$CO241)&gt;0,"OK","ONBEKEND")),"ONZEKER")))))</f>
        <v/>
      </c>
      <c r="CQ241" t="str">
        <f t="shared" si="1814"/>
        <v/>
      </c>
      <c r="CR241" t="str">
        <f t="shared" si="1815"/>
        <v/>
      </c>
      <c r="CS241" t="str">
        <f>IF($CR241="","",IF(OR($EF241="",$EG241=""),"ONZEKER",IF(OR($EC241="",$ED241=""),"ONZEKER",IF(AND($EF241=$EC241+1,$EG241=$ED241),IF(OR(COUNTIF(#REF!,$B241)&gt;0,COUNTIF(#REF!,$B241)=0),"SKIP",IF(COUNTIFS(#REF!,$B241,#REF!,$CR241)&gt;0,"OK","ONBEKEND")),IF(AND($EF241=$EC241,$EG241=$ED241+1),IF(OR(COUNTIF(#REF!,$D241)&gt;0,COUNTIF(#REF!,$D241)=0),"SKIP",IF(COUNTIFS(#REF!,$D241,#REF!,$CR241)&gt;0,"OK","ONBEKEND")),"ONZEKER")))))</f>
        <v/>
      </c>
      <c r="CT241" t="str">
        <f t="shared" si="1816"/>
        <v/>
      </c>
      <c r="CU241" t="str">
        <f t="shared" si="1817"/>
        <v/>
      </c>
      <c r="CV241" t="str">
        <f>IF($CU241="","",IF(OR($EI241="",$EJ241=""),"ONZEKER",IF(OR($EF241="",$EG241=""),"ONZEKER",IF(AND($EI241=$EF241+1,$EJ241=$EG241),IF(OR(COUNTIF(#REF!,$B241)&gt;0,COUNTIF(#REF!,$B241)=0),"SKIP",IF(COUNTIFS(#REF!,$B241,#REF!,$CU241)&gt;0,"OK","ONBEKEND")),IF(AND($EI241=$EF241,$EJ241=$EG241+1),IF(OR(COUNTIF(#REF!,$D241)&gt;0,COUNTIF(#REF!,$D241)=0),"SKIP",IF(COUNTIFS(#REF!,$D241,#REF!,$CU241)&gt;0,"OK","ONBEKEND")),"ONZEKER")))))</f>
        <v/>
      </c>
      <c r="CW241" t="str">
        <f t="shared" si="1818"/>
        <v/>
      </c>
      <c r="CX241" t="str">
        <f t="shared" si="1819"/>
        <v/>
      </c>
      <c r="CY241" t="str">
        <f>IF($CX241="","",IF(OR($EL241="",$EM241=""),"ONZEKER",IF(OR($EI241="",$EJ241=""),"ONZEKER",IF(AND($EL241=$EI241+1,$EM241=$EJ241),IF(OR(COUNTIF(#REF!,$B241)&gt;0,COUNTIF(#REF!,$B241)=0),"SKIP",IF(COUNTIFS(#REF!,$B241,#REF!,$CX241)&gt;0,"OK","ONBEKEND")),IF(AND($EL241=$EI241,$EM241=$EJ241+1),IF(OR(COUNTIF(#REF!,$D241)&gt;0,COUNTIF(#REF!,$D241)=0),"SKIP",IF(COUNTIFS(#REF!,$D241,#REF!,$CX241)&gt;0,"OK","ONBEKEND")),"ONZEKER")))))</f>
        <v/>
      </c>
      <c r="CZ241" t="str">
        <f t="shared" si="1820"/>
        <v/>
      </c>
      <c r="DA241" t="str">
        <f t="shared" si="1821"/>
        <v/>
      </c>
      <c r="DB241" t="str">
        <f>IF($DA241="","",IF(OR($EO241="",$EP241=""),"ONZEKER",IF(OR($EL241="",$EM241=""),"ONZEKER",IF(AND($EO241=$EL241+1,$EP241=$EM241),IF(OR(COUNTIF(#REF!,$B241)&gt;0,COUNTIF(#REF!,$B241)=0),"SKIP",IF(COUNTIFS(#REF!,$B241,#REF!,$DA241)&gt;0,"OK","ONBEKEND")),IF(AND($EO241=$EL241,$EP241=$EM241+1),IF(OR(COUNTIF(#REF!,$D241)&gt;0,COUNTIF(#REF!,$D241)=0),"SKIP",IF(COUNTIFS(#REF!,$D241,#REF!,$DA241)&gt;0,"OK","ONBEKEND")),"ONZEKER")))))</f>
        <v/>
      </c>
      <c r="DC241" t="str">
        <f t="shared" si="1822"/>
        <v/>
      </c>
      <c r="DD241" t="str">
        <f t="shared" si="1823"/>
        <v/>
      </c>
      <c r="DE241" t="str">
        <f>IF($DD241="","",IF(OR($ER241="",$ES241=""),"ONZEKER",IF(OR($EO241="",$EP241=""),"ONZEKER",IF(AND($ER241=$EO241+1,$ES241=$EP241),IF(OR(COUNTIF(#REF!,$B241)&gt;0,COUNTIF(#REF!,$B241)=0),"SKIP",IF(COUNTIFS(#REF!,$B241,#REF!,$DD241)&gt;0,"OK","ONBEKEND")),IF(AND($ER241=$EO241,$ES241=$EP241+1),IF(OR(COUNTIF(#REF!,$D241)&gt;0,COUNTIF(#REF!,$D241)=0),"SKIP",IF(COUNTIFS(#REF!,$D241,#REF!,$DD241)&gt;0,"OK","ONBEKEND")),"ONZEKER")))))</f>
        <v/>
      </c>
      <c r="DF241" t="str">
        <f t="shared" si="1824"/>
        <v/>
      </c>
      <c r="DG241" t="str">
        <f t="shared" si="1825"/>
        <v/>
      </c>
      <c r="DH241" t="str">
        <f>IF($DG241="","",IF(OR($EU241="",$EV241=""),"ONZEKER",IF(OR($ER241="",$ES241=""),"ONZEKER",IF(AND($EU241=$ER241+1,$EV241=$ES241),IF(OR(COUNTIF(#REF!,$B241)&gt;0,COUNTIF(#REF!,$B241)=0),"SKIP",IF(COUNTIFS(#REF!,$B241,#REF!,$DG241)&gt;0,"OK","ONBEKEND")),IF(AND($EU241=$ER241,$EV241=$ES241+1),IF(OR(COUNTIF(#REF!,$D241)&gt;0,COUNTIF(#REF!,$D241)=0),"SKIP",IF(COUNTIFS(#REF!,$D241,#REF!,$DG241)&gt;0,"OK","ONBEKEND")),"ONZEKER")))))</f>
        <v/>
      </c>
      <c r="DI241" t="str">
        <f t="shared" si="1826"/>
        <v/>
      </c>
      <c r="DJ241" t="str">
        <f t="shared" si="1827"/>
        <v/>
      </c>
      <c r="DK241" t="str">
        <f>IF($DJ241="","",IF(OR($EX241="",$EY241=""),"ONZEKER",IF(OR($EU241="",$EV241=""),"ONZEKER",IF(AND($EX241=$EU241+1,$EY241=$EV241),IF(OR(COUNTIF(#REF!,$B241)&gt;0,COUNTIF(#REF!,$B241)=0),"SKIP",IF(COUNTIFS(#REF!,$B241,#REF!,$DJ241)&gt;0,"OK","ONBEKEND")),IF(AND($EX241=$EU241,$EY241=$EV241+1),IF(OR(COUNTIF(#REF!,$D241)&gt;0,COUNTIF(#REF!,$D241)=0),"SKIP",IF(COUNTIFS(#REF!,$D241,#REF!,$DJ241)&gt;0,"OK","ONBEKEND")),"ONZEKER")))))</f>
        <v/>
      </c>
      <c r="DL241" t="str">
        <f t="shared" si="1828"/>
        <v/>
      </c>
      <c r="DM241" t="str">
        <f t="shared" si="1829"/>
        <v/>
      </c>
      <c r="DN241" t="str">
        <f t="shared" si="1830"/>
        <v/>
      </c>
      <c r="DO241" t="str">
        <f t="shared" si="1831"/>
        <v/>
      </c>
      <c r="DP241" t="str">
        <f t="shared" si="1832"/>
        <v/>
      </c>
      <c r="DQ241" t="str">
        <f t="shared" si="1833"/>
        <v/>
      </c>
      <c r="DR241" t="str">
        <f t="shared" si="1834"/>
        <v/>
      </c>
      <c r="DS241" t="str">
        <f t="shared" si="1835"/>
        <v/>
      </c>
      <c r="DT241" t="str">
        <f t="shared" si="1836"/>
        <v/>
      </c>
      <c r="DU241" t="str">
        <f t="shared" si="1837"/>
        <v/>
      </c>
      <c r="DV241" t="str">
        <f t="shared" si="1838"/>
        <v/>
      </c>
      <c r="DW241" t="str">
        <f t="shared" si="1839"/>
        <v/>
      </c>
      <c r="DX241" t="str">
        <f t="shared" si="1840"/>
        <v/>
      </c>
      <c r="DY241" t="str">
        <f t="shared" si="1841"/>
        <v/>
      </c>
      <c r="DZ241" t="str">
        <f t="shared" si="1842"/>
        <v/>
      </c>
      <c r="EA241" t="str">
        <f t="shared" si="1843"/>
        <v/>
      </c>
      <c r="EB241" t="str">
        <f t="shared" si="1844"/>
        <v/>
      </c>
      <c r="EC241" t="str">
        <f t="shared" si="1845"/>
        <v/>
      </c>
      <c r="ED241" t="str">
        <f t="shared" si="1846"/>
        <v/>
      </c>
      <c r="EE241" t="str">
        <f t="shared" si="1847"/>
        <v/>
      </c>
      <c r="EF241" t="str">
        <f t="shared" si="1848"/>
        <v/>
      </c>
      <c r="EG241" t="str">
        <f t="shared" si="1849"/>
        <v/>
      </c>
      <c r="EH241" t="str">
        <f t="shared" si="1850"/>
        <v/>
      </c>
      <c r="EI241" t="str">
        <f t="shared" si="1851"/>
        <v/>
      </c>
      <c r="EJ241" t="str">
        <f t="shared" si="1852"/>
        <v/>
      </c>
      <c r="EK241" t="str">
        <f t="shared" si="1853"/>
        <v/>
      </c>
      <c r="EL241" t="str">
        <f t="shared" si="1854"/>
        <v/>
      </c>
      <c r="EM241" t="str">
        <f t="shared" si="1855"/>
        <v/>
      </c>
      <c r="EN241" t="str">
        <f t="shared" si="1856"/>
        <v/>
      </c>
      <c r="EO241" t="str">
        <f t="shared" si="1857"/>
        <v/>
      </c>
      <c r="EP241" t="str">
        <f t="shared" si="1858"/>
        <v/>
      </c>
      <c r="EQ241" t="str">
        <f t="shared" si="1859"/>
        <v/>
      </c>
      <c r="ER241" t="str">
        <f t="shared" si="1860"/>
        <v/>
      </c>
      <c r="ES241" t="str">
        <f t="shared" si="1861"/>
        <v/>
      </c>
      <c r="ET241" t="str">
        <f t="shared" si="1862"/>
        <v/>
      </c>
      <c r="EU241" t="str">
        <f t="shared" si="1863"/>
        <v/>
      </c>
      <c r="EV241" t="str">
        <f t="shared" si="1864"/>
        <v/>
      </c>
      <c r="EW241" t="str">
        <f t="shared" si="1865"/>
        <v/>
      </c>
      <c r="EX241" t="str">
        <f t="shared" si="1866"/>
        <v/>
      </c>
      <c r="EY241" t="str">
        <f t="shared" si="1867"/>
        <v/>
      </c>
    </row>
    <row r="242" spans="1:155" ht="13.9" customHeight="1" x14ac:dyDescent="0.25">
      <c r="A242" s="7"/>
      <c r="B242" s="17"/>
      <c r="C242" s="8"/>
      <c r="D242" s="17"/>
      <c r="E242" s="8"/>
      <c r="F242" s="18">
        <v>0</v>
      </c>
      <c r="G242" s="7" t="s">
        <v>147</v>
      </c>
      <c r="H242" s="18">
        <v>0</v>
      </c>
      <c r="I242" s="19">
        <v>0</v>
      </c>
      <c r="J242" s="7" t="s">
        <v>147</v>
      </c>
      <c r="K242" s="19">
        <v>0</v>
      </c>
      <c r="L242" s="9"/>
      <c r="M242" s="3" t="str">
        <f>IF($L242="","",IF($L242="DOELPUNTENMAKERS","",IF(AND(COUNTIF(#REF!,$B242)=0,COUNTIF(#REF!,$D242)=0),"OK",IF($O242&gt;20,"LET OP: meer dan 20 items (controle onvolledig)",IF((COUNTIF($R242:$AS242,"ONZEKER")+COUNTIF($CJ242:$DK242,"ONZEKER"))&gt;0,"LET OP: scoreverloop onduidelijk (controle beperkt)",IF((IF($AT242&lt;&gt;"",$AT242&amp;", ","")&amp;IF($AU242&lt;&gt;"",$AU242&amp;", ","")&amp;IF($AV242&lt;&gt;"",$AV242&amp;", ","")&amp;IF($AW242&lt;&gt;"",$AW242&amp;", ","")&amp;IF($AX242&lt;&gt;"",$AX242&amp;", ","")&amp;IF($AY242&lt;&gt;"",$AY242&amp;", ","")&amp;IF($AZ242&lt;&gt;"",$AZ242&amp;", ","")&amp;IF($BA242&lt;&gt;"",$BA242&amp;", ","")&amp;IF($BB242&lt;&gt;"",$BB242&amp;", ","")&amp;IF($BC242&lt;&gt;"",$BC242&amp;", ","")&amp;IF($DL242&lt;&gt;"",$DL242&amp;", ","")&amp;IF($DM242&lt;&gt;"",$DM242&amp;", ","")&amp;IF($DN242&lt;&gt;"",$DN242&amp;", ","")&amp;IF($DO242&lt;&gt;"",$DO242&amp;", ","")&amp;IF($DP242&lt;&gt;"",$DP242&amp;", ","")&amp;IF($DQ242&lt;&gt;"",$DQ242&amp;", ","")&amp;IF($DR242&lt;&gt;"",$DR242&amp;", ","")&amp;IF($DS242&lt;&gt;"",$DS242&amp;", ","")&amp;IF($DT242&lt;&gt;"",$DT242&amp;", ","")&amp;IF($DU242&lt;&gt;"",$DU242&amp;", ",""))="","OK","Onbekend: "&amp;LEFT((IF($AT242&lt;&gt;"",$AT242&amp;", ","")&amp;IF($AU242&lt;&gt;"",$AU242&amp;", ","")&amp;IF($AV242&lt;&gt;"",$AV242&amp;", ","")&amp;IF($AW242&lt;&gt;"",$AW242&amp;", ","")&amp;IF($AX242&lt;&gt;"",$AX242&amp;", ","")&amp;IF($AY242&lt;&gt;"",$AY242&amp;", ","")&amp;IF($AZ242&lt;&gt;"",$AZ242&amp;", ","")&amp;IF($BA242&lt;&gt;"",$BA242&amp;", ","")&amp;IF($BB242&lt;&gt;"",$BB242&amp;", ","")&amp;IF($BC242&lt;&gt;"",$BC242&amp;", ","")&amp;IF($DL242&lt;&gt;"",$DL242&amp;", ","")&amp;IF($DM242&lt;&gt;"",$DM242&amp;", ","")&amp;IF($DN242&lt;&gt;"",$DN242&amp;", ","")&amp;IF($DO242&lt;&gt;"",$DO242&amp;", ","")&amp;IF($DP242&lt;&gt;"",$DP242&amp;", ","")&amp;IF($DQ242&lt;&gt;"",$DQ242&amp;", ","")&amp;IF($DR242&lt;&gt;"",$DR242&amp;", ","")&amp;IF($DS242&lt;&gt;"",$DS242&amp;", ","")&amp;IF($DT242&lt;&gt;"",$DT242&amp;", ","")&amp;IF($DU242&lt;&gt;"",$DU242&amp;", ","")),LEN((IF($AT242&lt;&gt;"",$AT242&amp;", ","")&amp;IF($AU242&lt;&gt;"",$AU242&amp;", ","")&amp;IF($AV242&lt;&gt;"",$AV242&amp;", ","")&amp;IF($AW242&lt;&gt;"",$AW242&amp;", ","")&amp;IF($AX242&lt;&gt;"",$AX242&amp;", ","")&amp;IF($AY242&lt;&gt;"",$AY242&amp;", ","")&amp;IF($AZ242&lt;&gt;"",$AZ242&amp;", ","")&amp;IF($BA242&lt;&gt;"",$BA242&amp;", ","")&amp;IF($BB242&lt;&gt;"",$BB242&amp;", ","")&amp;IF($BC242&lt;&gt;"",$BC242&amp;", ","")&amp;IF($DL242&lt;&gt;"",$DL242&amp;", ","")&amp;IF($DM242&lt;&gt;"",$DM242&amp;", ","")&amp;IF($DN242&lt;&gt;"",$DN242&amp;", ","")&amp;IF($DO242&lt;&gt;"",$DO242&amp;", ","")&amp;IF($DP242&lt;&gt;"",$DP242&amp;", ","")&amp;IF($DQ242&lt;&gt;"",$DQ242&amp;", ","")&amp;IF($DR242&lt;&gt;"",$DR242&amp;", ","")&amp;IF($DS242&lt;&gt;"",$DS242&amp;", ","")&amp;IF($DT242&lt;&gt;"",$DT242&amp;", ","")&amp;IF($DU242&lt;&gt;"",$DU242&amp;", ","")))-2)))))))</f>
        <v/>
      </c>
      <c r="N242" t="str">
        <f t="shared" si="1776"/>
        <v/>
      </c>
      <c r="O242" t="str">
        <f t="shared" si="1777"/>
        <v/>
      </c>
      <c r="P242" t="str">
        <f t="shared" si="1778"/>
        <v/>
      </c>
      <c r="Q242" t="str">
        <f t="shared" si="1779"/>
        <v/>
      </c>
      <c r="R242" t="str">
        <f>IF($Q242="","",IF(OR($BE242="",$BF242=""),"ONZEKER",IF(AND($BE242=0+1,$BF242=0),IF(OR(COUNTIF(#REF!,$B242)&gt;0,COUNTIF(#REF!,$B242)=0),"SKIP",IF(COUNTIFS(#REF!,$B242,#REF!,$Q242)&gt;0,"OK","ONBEKEND")),IF(AND($BE242=0,$BF242=0+1),IF(OR(COUNTIF(#REF!,$D242)&gt;0,COUNTIF(#REF!,$D242)=0),"SKIP",IF(COUNTIFS(#REF!,$D242,#REF!,$Q242)&gt;0,"OK","ONBEKEND")),"ONZEKER"))))</f>
        <v/>
      </c>
      <c r="S242" t="str">
        <f t="shared" si="1780"/>
        <v/>
      </c>
      <c r="T242" t="str">
        <f t="shared" si="1781"/>
        <v/>
      </c>
      <c r="U242" t="str">
        <f>IF($T242="","",IF(OR($BH242="",$BI242=""),"ONZEKER",IF(OR($BE242="",$BF242=""),"ONZEKER",IF(AND($BH242=$BE242+1,$BI242=$BF242),IF(OR(COUNTIF(#REF!,$B242)&gt;0,COUNTIF(#REF!,$B242)=0),"SKIP",IF(COUNTIFS(#REF!,$B242,#REF!,$T242)&gt;0,"OK","ONBEKEND")),IF(AND($BH242=$BE242,$BI242=$BF242+1),IF(OR(COUNTIF(#REF!,$D242)&gt;0,COUNTIF(#REF!,$D242)=0),"SKIP",IF(COUNTIFS(#REF!,$D242,#REF!,$T242)&gt;0,"OK","ONBEKEND")),"ONZEKER")))))</f>
        <v/>
      </c>
      <c r="V242" t="str">
        <f t="shared" si="1782"/>
        <v/>
      </c>
      <c r="W242" t="str">
        <f t="shared" si="1783"/>
        <v/>
      </c>
      <c r="X242" t="str">
        <f>IF($W242="","",IF(OR($BK242="",$BL242=""),"ONZEKER",IF(OR($BH242="",$BI242=""),"ONZEKER",IF(AND($BK242=$BH242+1,$BL242=$BI242),IF(OR(COUNTIF(#REF!,$B242)&gt;0,COUNTIF(#REF!,$B242)=0),"SKIP",IF(COUNTIFS(#REF!,$B242,#REF!,$W242)&gt;0,"OK","ONBEKEND")),IF(AND($BK242=$BH242,$BL242=$BI242+1),IF(OR(COUNTIF(#REF!,$D242)&gt;0,COUNTIF(#REF!,$D242)=0),"SKIP",IF(COUNTIFS(#REF!,$D242,#REF!,$W242)&gt;0,"OK","ONBEKEND")),"ONZEKER")))))</f>
        <v/>
      </c>
      <c r="Y242" t="str">
        <f t="shared" si="1784"/>
        <v/>
      </c>
      <c r="Z242" t="str">
        <f t="shared" si="1785"/>
        <v/>
      </c>
      <c r="AA242" t="str">
        <f>IF($Z242="","",IF(OR($BN242="",$BO242=""),"ONZEKER",IF(OR($BK242="",$BL242=""),"ONZEKER",IF(AND($BN242=$BK242+1,$BO242=$BL242),IF(OR(COUNTIF(#REF!,$B242)&gt;0,COUNTIF(#REF!,$B242)=0),"SKIP",IF(COUNTIFS(#REF!,$B242,#REF!,$Z242)&gt;0,"OK","ONBEKEND")),IF(AND($BN242=$BK242,$BO242=$BL242+1),IF(OR(COUNTIF(#REF!,$D242)&gt;0,COUNTIF(#REF!,$D242)=0),"SKIP",IF(COUNTIFS(#REF!,$D242,#REF!,$Z242)&gt;0,"OK","ONBEKEND")),"ONZEKER")))))</f>
        <v/>
      </c>
      <c r="AB242" t="str">
        <f t="shared" si="1786"/>
        <v/>
      </c>
      <c r="AC242" t="str">
        <f t="shared" si="1787"/>
        <v/>
      </c>
      <c r="AD242" t="str">
        <f>IF($AC242="","",IF(OR($BQ242="",$BR242=""),"ONZEKER",IF(OR($BN242="",$BO242=""),"ONZEKER",IF(AND($BQ242=$BN242+1,$BR242=$BO242),IF(OR(COUNTIF(#REF!,$B242)&gt;0,COUNTIF(#REF!,$B242)=0),"SKIP",IF(COUNTIFS(#REF!,$B242,#REF!,$AC242)&gt;0,"OK","ONBEKEND")),IF(AND($BQ242=$BN242,$BR242=$BO242+1),IF(OR(COUNTIF(#REF!,$D242)&gt;0,COUNTIF(#REF!,$D242)=0),"SKIP",IF(COUNTIFS(#REF!,$D242,#REF!,$AC242)&gt;0,"OK","ONBEKEND")),"ONZEKER")))))</f>
        <v/>
      </c>
      <c r="AE242" t="str">
        <f t="shared" si="1788"/>
        <v/>
      </c>
      <c r="AF242" t="str">
        <f t="shared" si="1789"/>
        <v/>
      </c>
      <c r="AG242" t="str">
        <f>IF($AF242="","",IF(OR($BT242="",$BU242=""),"ONZEKER",IF(OR($BQ242="",$BR242=""),"ONZEKER",IF(AND($BT242=$BQ242+1,$BU242=$BR242),IF(OR(COUNTIF(#REF!,$B242)&gt;0,COUNTIF(#REF!,$B242)=0),"SKIP",IF(COUNTIFS(#REF!,$B242,#REF!,$AF242)&gt;0,"OK","ONBEKEND")),IF(AND($BT242=$BQ242,$BU242=$BR242+1),IF(OR(COUNTIF(#REF!,$D242)&gt;0,COUNTIF(#REF!,$D242)=0),"SKIP",IF(COUNTIFS(#REF!,$D242,#REF!,$AF242)&gt;0,"OK","ONBEKEND")),"ONZEKER")))))</f>
        <v/>
      </c>
      <c r="AH242" t="str">
        <f t="shared" si="1790"/>
        <v/>
      </c>
      <c r="AI242" t="str">
        <f t="shared" si="1791"/>
        <v/>
      </c>
      <c r="AJ242" t="str">
        <f>IF($AI242="","",IF(OR($BW242="",$BX242=""),"ONZEKER",IF(OR($BT242="",$BU242=""),"ONZEKER",IF(AND($BW242=$BT242+1,$BX242=$BU242),IF(OR(COUNTIF(#REF!,$B242)&gt;0,COUNTIF(#REF!,$B242)=0),"SKIP",IF(COUNTIFS(#REF!,$B242,#REF!,$AI242)&gt;0,"OK","ONBEKEND")),IF(AND($BW242=$BT242,$BX242=$BU242+1),IF(OR(COUNTIF(#REF!,$D242)&gt;0,COUNTIF(#REF!,$D242)=0),"SKIP",IF(COUNTIFS(#REF!,$D242,#REF!,$AI242)&gt;0,"OK","ONBEKEND")),"ONZEKER")))))</f>
        <v/>
      </c>
      <c r="AK242" t="str">
        <f t="shared" si="1792"/>
        <v/>
      </c>
      <c r="AL242" t="str">
        <f t="shared" si="1793"/>
        <v/>
      </c>
      <c r="AM242" t="str">
        <f>IF($AL242="","",IF(OR($BZ242="",$CA242=""),"ONZEKER",IF(OR($BW242="",$BX242=""),"ONZEKER",IF(AND($BZ242=$BW242+1,$CA242=$BX242),IF(OR(COUNTIF(#REF!,$B242)&gt;0,COUNTIF(#REF!,$B242)=0),"SKIP",IF(COUNTIFS(#REF!,$B242,#REF!,$AL242)&gt;0,"OK","ONBEKEND")),IF(AND($BZ242=$BW242,$CA242=$BX242+1),IF(OR(COUNTIF(#REF!,$D242)&gt;0,COUNTIF(#REF!,$D242)=0),"SKIP",IF(COUNTIFS(#REF!,$D242,#REF!,$AL242)&gt;0,"OK","ONBEKEND")),"ONZEKER")))))</f>
        <v/>
      </c>
      <c r="AN242" t="str">
        <f t="shared" si="1794"/>
        <v/>
      </c>
      <c r="AO242" t="str">
        <f t="shared" si="1795"/>
        <v/>
      </c>
      <c r="AP242" t="str">
        <f>IF($AO242="","",IF(OR($CC242="",$CD242=""),"ONZEKER",IF(OR($BZ242="",$CA242=""),"ONZEKER",IF(AND($CC242=$BZ242+1,$CD242=$CA242),IF(OR(COUNTIF(#REF!,$B242)&gt;0,COUNTIF(#REF!,$B242)=0),"SKIP",IF(COUNTIFS(#REF!,$B242,#REF!,$AO242)&gt;0,"OK","ONBEKEND")),IF(AND($CC242=$BZ242,$CD242=$CA242+1),IF(OR(COUNTIF(#REF!,$D242)&gt;0,COUNTIF(#REF!,$D242)=0),"SKIP",IF(COUNTIFS(#REF!,$D242,#REF!,$AO242)&gt;0,"OK","ONBEKEND")),"ONZEKER")))))</f>
        <v/>
      </c>
      <c r="AQ242" t="str">
        <f t="shared" si="1796"/>
        <v/>
      </c>
      <c r="AR242" t="str">
        <f t="shared" si="1797"/>
        <v/>
      </c>
      <c r="AS242" t="str">
        <f>IF($AR242="","",IF(OR($CF242="",$CG242=""),"ONZEKER",IF(OR($CC242="",$CD242=""),"ONZEKER",IF(AND($CF242=$CC242+1,$CG242=$CD242),IF(OR(COUNTIF(#REF!,$B242)&gt;0,COUNTIF(#REF!,$B242)=0),"SKIP",IF(COUNTIFS(#REF!,$B242,#REF!,$AR242)&gt;0,"OK","ONBEKEND")),IF(AND($CF242=$CC242,$CG242=$CD242+1),IF(OR(COUNTIF(#REF!,$D242)&gt;0,COUNTIF(#REF!,$D242)=0),"SKIP",IF(COUNTIFS(#REF!,$D242,#REF!,$AR242)&gt;0,"OK","ONBEKEND")),"ONZEKER")))))</f>
        <v/>
      </c>
      <c r="AT242" t="str">
        <f t="shared" si="1798"/>
        <v/>
      </c>
      <c r="AU242" t="str">
        <f t="shared" si="1799"/>
        <v/>
      </c>
      <c r="AV242" t="str">
        <f t="shared" si="1800"/>
        <v/>
      </c>
      <c r="AW242" t="str">
        <f t="shared" si="1801"/>
        <v/>
      </c>
      <c r="AX242" t="str">
        <f t="shared" si="1802"/>
        <v/>
      </c>
      <c r="AY242" t="str">
        <f t="shared" si="1803"/>
        <v/>
      </c>
      <c r="AZ242" t="str">
        <f t="shared" si="1804"/>
        <v/>
      </c>
      <c r="BA242" t="str">
        <f t="shared" si="1805"/>
        <v/>
      </c>
      <c r="BB242" t="str">
        <f t="shared" si="1806"/>
        <v/>
      </c>
      <c r="BC242" t="str">
        <f t="shared" si="1807"/>
        <v/>
      </c>
      <c r="BD242" t="str">
        <f t="shared" si="1470"/>
        <v/>
      </c>
      <c r="BE242" t="str">
        <f t="shared" si="1471"/>
        <v/>
      </c>
      <c r="BF242" t="str">
        <f t="shared" si="1472"/>
        <v/>
      </c>
      <c r="BG242" t="str">
        <f t="shared" si="1473"/>
        <v/>
      </c>
      <c r="BH242" t="str">
        <f t="shared" si="1474"/>
        <v/>
      </c>
      <c r="BI242" t="str">
        <f t="shared" si="1475"/>
        <v/>
      </c>
      <c r="BJ242" t="str">
        <f t="shared" si="1476"/>
        <v/>
      </c>
      <c r="BK242" t="str">
        <f t="shared" si="1477"/>
        <v/>
      </c>
      <c r="BL242" t="str">
        <f t="shared" si="1478"/>
        <v/>
      </c>
      <c r="BM242" t="str">
        <f t="shared" si="1479"/>
        <v/>
      </c>
      <c r="BN242" t="str">
        <f t="shared" si="1480"/>
        <v/>
      </c>
      <c r="BO242" t="str">
        <f t="shared" si="1481"/>
        <v/>
      </c>
      <c r="BP242" t="str">
        <f t="shared" si="1482"/>
        <v/>
      </c>
      <c r="BQ242" t="str">
        <f t="shared" si="1483"/>
        <v/>
      </c>
      <c r="BR242" t="str">
        <f t="shared" si="1484"/>
        <v/>
      </c>
      <c r="BS242" t="str">
        <f t="shared" si="1485"/>
        <v/>
      </c>
      <c r="BT242" t="str">
        <f t="shared" si="1486"/>
        <v/>
      </c>
      <c r="BU242" t="str">
        <f t="shared" si="1487"/>
        <v/>
      </c>
      <c r="BV242" t="str">
        <f t="shared" si="1488"/>
        <v/>
      </c>
      <c r="BW242" t="str">
        <f t="shared" si="1489"/>
        <v/>
      </c>
      <c r="BX242" t="str">
        <f t="shared" si="1490"/>
        <v/>
      </c>
      <c r="BY242" t="str">
        <f t="shared" si="1491"/>
        <v/>
      </c>
      <c r="BZ242" t="str">
        <f t="shared" si="1492"/>
        <v/>
      </c>
      <c r="CA242" t="str">
        <f t="shared" si="1493"/>
        <v/>
      </c>
      <c r="CB242" t="str">
        <f t="shared" si="1494"/>
        <v/>
      </c>
      <c r="CC242" t="str">
        <f t="shared" si="1495"/>
        <v/>
      </c>
      <c r="CD242" t="str">
        <f t="shared" si="1496"/>
        <v/>
      </c>
      <c r="CE242" t="str">
        <f t="shared" si="1497"/>
        <v/>
      </c>
      <c r="CF242" t="str">
        <f t="shared" si="1498"/>
        <v/>
      </c>
      <c r="CG242" t="str">
        <f t="shared" si="1499"/>
        <v/>
      </c>
      <c r="CH242" t="str">
        <f t="shared" si="1808"/>
        <v/>
      </c>
      <c r="CI242" t="str">
        <f t="shared" si="1809"/>
        <v/>
      </c>
      <c r="CJ242" t="str">
        <f>IF($CI242="","",IF(OR($DW242="",$DX242=""),"ONZEKER",IF(OR($CF242="",$CG242=""),"ONZEKER",IF(AND($DW242=$CF242+1,$DX242=$CG242),IF(OR(COUNTIF(#REF!,$B242)&gt;0,COUNTIF(#REF!,$B242)=0),"SKIP",IF(COUNTIFS(#REF!,$B242,#REF!,$CI242)&gt;0,"OK","ONBEKEND")),IF(AND($DW242=$CF242,$DX242=$CG242+1),IF(OR(COUNTIF(#REF!,$D242)&gt;0,COUNTIF(#REF!,$D242)=0),"SKIP",IF(COUNTIFS(#REF!,$D242,#REF!,$CI242)&gt;0,"OK","ONBEKEND")),"ONZEKER")))))</f>
        <v/>
      </c>
      <c r="CK242" t="str">
        <f t="shared" si="1810"/>
        <v/>
      </c>
      <c r="CL242" t="str">
        <f t="shared" si="1811"/>
        <v/>
      </c>
      <c r="CM242" t="str">
        <f>IF($CL242="","",IF(OR($DZ242="",$EA242=""),"ONZEKER",IF(OR($DW242="",$DX242=""),"ONZEKER",IF(AND($DZ242=$DW242+1,$EA242=$DX242),IF(OR(COUNTIF(#REF!,$B242)&gt;0,COUNTIF(#REF!,$B242)=0),"SKIP",IF(COUNTIFS(#REF!,$B242,#REF!,$CL242)&gt;0,"OK","ONBEKEND")),IF(AND($DZ242=$DW242,$EA242=$DX242+1),IF(OR(COUNTIF(#REF!,$D242)&gt;0,COUNTIF(#REF!,$D242)=0),"SKIP",IF(COUNTIFS(#REF!,$D242,#REF!,$CL242)&gt;0,"OK","ONBEKEND")),"ONZEKER")))))</f>
        <v/>
      </c>
      <c r="CN242" t="str">
        <f t="shared" si="1812"/>
        <v/>
      </c>
      <c r="CO242" t="str">
        <f t="shared" si="1813"/>
        <v/>
      </c>
      <c r="CP242" t="str">
        <f>IF($CO242="","",IF(OR($EC242="",$ED242=""),"ONZEKER",IF(OR($DZ242="",$EA242=""),"ONZEKER",IF(AND($EC242=$DZ242+1,$ED242=$EA242),IF(OR(COUNTIF(#REF!,$B242)&gt;0,COUNTIF(#REF!,$B242)=0),"SKIP",IF(COUNTIFS(#REF!,$B242,#REF!,$CO242)&gt;0,"OK","ONBEKEND")),IF(AND($EC242=$DZ242,$ED242=$EA242+1),IF(OR(COUNTIF(#REF!,$D242)&gt;0,COUNTIF(#REF!,$D242)=0),"SKIP",IF(COUNTIFS(#REF!,$D242,#REF!,$CO242)&gt;0,"OK","ONBEKEND")),"ONZEKER")))))</f>
        <v/>
      </c>
      <c r="CQ242" t="str">
        <f t="shared" si="1814"/>
        <v/>
      </c>
      <c r="CR242" t="str">
        <f t="shared" si="1815"/>
        <v/>
      </c>
      <c r="CS242" t="str">
        <f>IF($CR242="","",IF(OR($EF242="",$EG242=""),"ONZEKER",IF(OR($EC242="",$ED242=""),"ONZEKER",IF(AND($EF242=$EC242+1,$EG242=$ED242),IF(OR(COUNTIF(#REF!,$B242)&gt;0,COUNTIF(#REF!,$B242)=0),"SKIP",IF(COUNTIFS(#REF!,$B242,#REF!,$CR242)&gt;0,"OK","ONBEKEND")),IF(AND($EF242=$EC242,$EG242=$ED242+1),IF(OR(COUNTIF(#REF!,$D242)&gt;0,COUNTIF(#REF!,$D242)=0),"SKIP",IF(COUNTIFS(#REF!,$D242,#REF!,$CR242)&gt;0,"OK","ONBEKEND")),"ONZEKER")))))</f>
        <v/>
      </c>
      <c r="CT242" t="str">
        <f t="shared" si="1816"/>
        <v/>
      </c>
      <c r="CU242" t="str">
        <f t="shared" si="1817"/>
        <v/>
      </c>
      <c r="CV242" t="str">
        <f>IF($CU242="","",IF(OR($EI242="",$EJ242=""),"ONZEKER",IF(OR($EF242="",$EG242=""),"ONZEKER",IF(AND($EI242=$EF242+1,$EJ242=$EG242),IF(OR(COUNTIF(#REF!,$B242)&gt;0,COUNTIF(#REF!,$B242)=0),"SKIP",IF(COUNTIFS(#REF!,$B242,#REF!,$CU242)&gt;0,"OK","ONBEKEND")),IF(AND($EI242=$EF242,$EJ242=$EG242+1),IF(OR(COUNTIF(#REF!,$D242)&gt;0,COUNTIF(#REF!,$D242)=0),"SKIP",IF(COUNTIFS(#REF!,$D242,#REF!,$CU242)&gt;0,"OK","ONBEKEND")),"ONZEKER")))))</f>
        <v/>
      </c>
      <c r="CW242" t="str">
        <f t="shared" si="1818"/>
        <v/>
      </c>
      <c r="CX242" t="str">
        <f t="shared" si="1819"/>
        <v/>
      </c>
      <c r="CY242" t="str">
        <f>IF($CX242="","",IF(OR($EL242="",$EM242=""),"ONZEKER",IF(OR($EI242="",$EJ242=""),"ONZEKER",IF(AND($EL242=$EI242+1,$EM242=$EJ242),IF(OR(COUNTIF(#REF!,$B242)&gt;0,COUNTIF(#REF!,$B242)=0),"SKIP",IF(COUNTIFS(#REF!,$B242,#REF!,$CX242)&gt;0,"OK","ONBEKEND")),IF(AND($EL242=$EI242,$EM242=$EJ242+1),IF(OR(COUNTIF(#REF!,$D242)&gt;0,COUNTIF(#REF!,$D242)=0),"SKIP",IF(COUNTIFS(#REF!,$D242,#REF!,$CX242)&gt;0,"OK","ONBEKEND")),"ONZEKER")))))</f>
        <v/>
      </c>
      <c r="CZ242" t="str">
        <f t="shared" si="1820"/>
        <v/>
      </c>
      <c r="DA242" t="str">
        <f t="shared" si="1821"/>
        <v/>
      </c>
      <c r="DB242" t="str">
        <f>IF($DA242="","",IF(OR($EO242="",$EP242=""),"ONZEKER",IF(OR($EL242="",$EM242=""),"ONZEKER",IF(AND($EO242=$EL242+1,$EP242=$EM242),IF(OR(COUNTIF(#REF!,$B242)&gt;0,COUNTIF(#REF!,$B242)=0),"SKIP",IF(COUNTIFS(#REF!,$B242,#REF!,$DA242)&gt;0,"OK","ONBEKEND")),IF(AND($EO242=$EL242,$EP242=$EM242+1),IF(OR(COUNTIF(#REF!,$D242)&gt;0,COUNTIF(#REF!,$D242)=0),"SKIP",IF(COUNTIFS(#REF!,$D242,#REF!,$DA242)&gt;0,"OK","ONBEKEND")),"ONZEKER")))))</f>
        <v/>
      </c>
      <c r="DC242" t="str">
        <f t="shared" si="1822"/>
        <v/>
      </c>
      <c r="DD242" t="str">
        <f t="shared" si="1823"/>
        <v/>
      </c>
      <c r="DE242" t="str">
        <f>IF($DD242="","",IF(OR($ER242="",$ES242=""),"ONZEKER",IF(OR($EO242="",$EP242=""),"ONZEKER",IF(AND($ER242=$EO242+1,$ES242=$EP242),IF(OR(COUNTIF(#REF!,$B242)&gt;0,COUNTIF(#REF!,$B242)=0),"SKIP",IF(COUNTIFS(#REF!,$B242,#REF!,$DD242)&gt;0,"OK","ONBEKEND")),IF(AND($ER242=$EO242,$ES242=$EP242+1),IF(OR(COUNTIF(#REF!,$D242)&gt;0,COUNTIF(#REF!,$D242)=0),"SKIP",IF(COUNTIFS(#REF!,$D242,#REF!,$DD242)&gt;0,"OK","ONBEKEND")),"ONZEKER")))))</f>
        <v/>
      </c>
      <c r="DF242" t="str">
        <f t="shared" si="1824"/>
        <v/>
      </c>
      <c r="DG242" t="str">
        <f t="shared" si="1825"/>
        <v/>
      </c>
      <c r="DH242" t="str">
        <f>IF($DG242="","",IF(OR($EU242="",$EV242=""),"ONZEKER",IF(OR($ER242="",$ES242=""),"ONZEKER",IF(AND($EU242=$ER242+1,$EV242=$ES242),IF(OR(COUNTIF(#REF!,$B242)&gt;0,COUNTIF(#REF!,$B242)=0),"SKIP",IF(COUNTIFS(#REF!,$B242,#REF!,$DG242)&gt;0,"OK","ONBEKEND")),IF(AND($EU242=$ER242,$EV242=$ES242+1),IF(OR(COUNTIF(#REF!,$D242)&gt;0,COUNTIF(#REF!,$D242)=0),"SKIP",IF(COUNTIFS(#REF!,$D242,#REF!,$DG242)&gt;0,"OK","ONBEKEND")),"ONZEKER")))))</f>
        <v/>
      </c>
      <c r="DI242" t="str">
        <f t="shared" si="1826"/>
        <v/>
      </c>
      <c r="DJ242" t="str">
        <f t="shared" si="1827"/>
        <v/>
      </c>
      <c r="DK242" t="str">
        <f>IF($DJ242="","",IF(OR($EX242="",$EY242=""),"ONZEKER",IF(OR($EU242="",$EV242=""),"ONZEKER",IF(AND($EX242=$EU242+1,$EY242=$EV242),IF(OR(COUNTIF(#REF!,$B242)&gt;0,COUNTIF(#REF!,$B242)=0),"SKIP",IF(COUNTIFS(#REF!,$B242,#REF!,$DJ242)&gt;0,"OK","ONBEKEND")),IF(AND($EX242=$EU242,$EY242=$EV242+1),IF(OR(COUNTIF(#REF!,$D242)&gt;0,COUNTIF(#REF!,$D242)=0),"SKIP",IF(COUNTIFS(#REF!,$D242,#REF!,$DJ242)&gt;0,"OK","ONBEKEND")),"ONZEKER")))))</f>
        <v/>
      </c>
      <c r="DL242" t="str">
        <f t="shared" si="1828"/>
        <v/>
      </c>
      <c r="DM242" t="str">
        <f t="shared" si="1829"/>
        <v/>
      </c>
      <c r="DN242" t="str">
        <f t="shared" si="1830"/>
        <v/>
      </c>
      <c r="DO242" t="str">
        <f t="shared" si="1831"/>
        <v/>
      </c>
      <c r="DP242" t="str">
        <f t="shared" si="1832"/>
        <v/>
      </c>
      <c r="DQ242" t="str">
        <f t="shared" si="1833"/>
        <v/>
      </c>
      <c r="DR242" t="str">
        <f t="shared" si="1834"/>
        <v/>
      </c>
      <c r="DS242" t="str">
        <f t="shared" si="1835"/>
        <v/>
      </c>
      <c r="DT242" t="str">
        <f t="shared" si="1836"/>
        <v/>
      </c>
      <c r="DU242" t="str">
        <f t="shared" si="1837"/>
        <v/>
      </c>
      <c r="DV242" t="str">
        <f t="shared" si="1838"/>
        <v/>
      </c>
      <c r="DW242" t="str">
        <f t="shared" si="1839"/>
        <v/>
      </c>
      <c r="DX242" t="str">
        <f t="shared" si="1840"/>
        <v/>
      </c>
      <c r="DY242" t="str">
        <f t="shared" si="1841"/>
        <v/>
      </c>
      <c r="DZ242" t="str">
        <f t="shared" si="1842"/>
        <v/>
      </c>
      <c r="EA242" t="str">
        <f t="shared" si="1843"/>
        <v/>
      </c>
      <c r="EB242" t="str">
        <f t="shared" si="1844"/>
        <v/>
      </c>
      <c r="EC242" t="str">
        <f t="shared" si="1845"/>
        <v/>
      </c>
      <c r="ED242" t="str">
        <f t="shared" si="1846"/>
        <v/>
      </c>
      <c r="EE242" t="str">
        <f t="shared" si="1847"/>
        <v/>
      </c>
      <c r="EF242" t="str">
        <f t="shared" si="1848"/>
        <v/>
      </c>
      <c r="EG242" t="str">
        <f t="shared" si="1849"/>
        <v/>
      </c>
      <c r="EH242" t="str">
        <f t="shared" si="1850"/>
        <v/>
      </c>
      <c r="EI242" t="str">
        <f t="shared" si="1851"/>
        <v/>
      </c>
      <c r="EJ242" t="str">
        <f t="shared" si="1852"/>
        <v/>
      </c>
      <c r="EK242" t="str">
        <f t="shared" si="1853"/>
        <v/>
      </c>
      <c r="EL242" t="str">
        <f t="shared" si="1854"/>
        <v/>
      </c>
      <c r="EM242" t="str">
        <f t="shared" si="1855"/>
        <v/>
      </c>
      <c r="EN242" t="str">
        <f t="shared" si="1856"/>
        <v/>
      </c>
      <c r="EO242" t="str">
        <f t="shared" si="1857"/>
        <v/>
      </c>
      <c r="EP242" t="str">
        <f t="shared" si="1858"/>
        <v/>
      </c>
      <c r="EQ242" t="str">
        <f t="shared" si="1859"/>
        <v/>
      </c>
      <c r="ER242" t="str">
        <f t="shared" si="1860"/>
        <v/>
      </c>
      <c r="ES242" t="str">
        <f t="shared" si="1861"/>
        <v/>
      </c>
      <c r="ET242" t="str">
        <f t="shared" si="1862"/>
        <v/>
      </c>
      <c r="EU242" t="str">
        <f t="shared" si="1863"/>
        <v/>
      </c>
      <c r="EV242" t="str">
        <f t="shared" si="1864"/>
        <v/>
      </c>
      <c r="EW242" t="str">
        <f t="shared" si="1865"/>
        <v/>
      </c>
      <c r="EX242" t="str">
        <f t="shared" si="1866"/>
        <v/>
      </c>
      <c r="EY242" t="str">
        <f t="shared" si="1867"/>
        <v/>
      </c>
    </row>
    <row r="243" spans="1:155" ht="13.9" customHeight="1" x14ac:dyDescent="0.25">
      <c r="A243" s="7"/>
      <c r="B243" s="17"/>
      <c r="C243" s="8"/>
      <c r="D243" s="17"/>
      <c r="E243" s="8"/>
      <c r="F243" s="18">
        <v>0</v>
      </c>
      <c r="G243" s="7" t="s">
        <v>147</v>
      </c>
      <c r="H243" s="18">
        <v>0</v>
      </c>
      <c r="I243" s="19">
        <v>0</v>
      </c>
      <c r="J243" s="7" t="s">
        <v>147</v>
      </c>
      <c r="K243" s="19">
        <v>0</v>
      </c>
      <c r="L243" s="9"/>
      <c r="M243" s="3" t="str">
        <f>IF($L243="","",IF($L243="DOELPUNTENMAKERS","",IF(AND(COUNTIF(#REF!,$B243)=0,COUNTIF(#REF!,$D243)=0),"OK",IF($O243&gt;20,"LET OP: meer dan 20 items (controle onvolledig)",IF((COUNTIF($R243:$AS243,"ONZEKER")+COUNTIF($CJ243:$DK243,"ONZEKER"))&gt;0,"LET OP: scoreverloop onduidelijk (controle beperkt)",IF((IF($AT243&lt;&gt;"",$AT243&amp;", ","")&amp;IF($AU243&lt;&gt;"",$AU243&amp;", ","")&amp;IF($AV243&lt;&gt;"",$AV243&amp;", ","")&amp;IF($AW243&lt;&gt;"",$AW243&amp;", ","")&amp;IF($AX243&lt;&gt;"",$AX243&amp;", ","")&amp;IF($AY243&lt;&gt;"",$AY243&amp;", ","")&amp;IF($AZ243&lt;&gt;"",$AZ243&amp;", ","")&amp;IF($BA243&lt;&gt;"",$BA243&amp;", ","")&amp;IF($BB243&lt;&gt;"",$BB243&amp;", ","")&amp;IF($BC243&lt;&gt;"",$BC243&amp;", ","")&amp;IF($DL243&lt;&gt;"",$DL243&amp;", ","")&amp;IF($DM243&lt;&gt;"",$DM243&amp;", ","")&amp;IF($DN243&lt;&gt;"",$DN243&amp;", ","")&amp;IF($DO243&lt;&gt;"",$DO243&amp;", ","")&amp;IF($DP243&lt;&gt;"",$DP243&amp;", ","")&amp;IF($DQ243&lt;&gt;"",$DQ243&amp;", ","")&amp;IF($DR243&lt;&gt;"",$DR243&amp;", ","")&amp;IF($DS243&lt;&gt;"",$DS243&amp;", ","")&amp;IF($DT243&lt;&gt;"",$DT243&amp;", ","")&amp;IF($DU243&lt;&gt;"",$DU243&amp;", ",""))="","OK","Onbekend: "&amp;LEFT((IF($AT243&lt;&gt;"",$AT243&amp;", ","")&amp;IF($AU243&lt;&gt;"",$AU243&amp;", ","")&amp;IF($AV243&lt;&gt;"",$AV243&amp;", ","")&amp;IF($AW243&lt;&gt;"",$AW243&amp;", ","")&amp;IF($AX243&lt;&gt;"",$AX243&amp;", ","")&amp;IF($AY243&lt;&gt;"",$AY243&amp;", ","")&amp;IF($AZ243&lt;&gt;"",$AZ243&amp;", ","")&amp;IF($BA243&lt;&gt;"",$BA243&amp;", ","")&amp;IF($BB243&lt;&gt;"",$BB243&amp;", ","")&amp;IF($BC243&lt;&gt;"",$BC243&amp;", ","")&amp;IF($DL243&lt;&gt;"",$DL243&amp;", ","")&amp;IF($DM243&lt;&gt;"",$DM243&amp;", ","")&amp;IF($DN243&lt;&gt;"",$DN243&amp;", ","")&amp;IF($DO243&lt;&gt;"",$DO243&amp;", ","")&amp;IF($DP243&lt;&gt;"",$DP243&amp;", ","")&amp;IF($DQ243&lt;&gt;"",$DQ243&amp;", ","")&amp;IF($DR243&lt;&gt;"",$DR243&amp;", ","")&amp;IF($DS243&lt;&gt;"",$DS243&amp;", ","")&amp;IF($DT243&lt;&gt;"",$DT243&amp;", ","")&amp;IF($DU243&lt;&gt;"",$DU243&amp;", ","")),LEN((IF($AT243&lt;&gt;"",$AT243&amp;", ","")&amp;IF($AU243&lt;&gt;"",$AU243&amp;", ","")&amp;IF($AV243&lt;&gt;"",$AV243&amp;", ","")&amp;IF($AW243&lt;&gt;"",$AW243&amp;", ","")&amp;IF($AX243&lt;&gt;"",$AX243&amp;", ","")&amp;IF($AY243&lt;&gt;"",$AY243&amp;", ","")&amp;IF($AZ243&lt;&gt;"",$AZ243&amp;", ","")&amp;IF($BA243&lt;&gt;"",$BA243&amp;", ","")&amp;IF($BB243&lt;&gt;"",$BB243&amp;", ","")&amp;IF($BC243&lt;&gt;"",$BC243&amp;", ","")&amp;IF($DL243&lt;&gt;"",$DL243&amp;", ","")&amp;IF($DM243&lt;&gt;"",$DM243&amp;", ","")&amp;IF($DN243&lt;&gt;"",$DN243&amp;", ","")&amp;IF($DO243&lt;&gt;"",$DO243&amp;", ","")&amp;IF($DP243&lt;&gt;"",$DP243&amp;", ","")&amp;IF($DQ243&lt;&gt;"",$DQ243&amp;", ","")&amp;IF($DR243&lt;&gt;"",$DR243&amp;", ","")&amp;IF($DS243&lt;&gt;"",$DS243&amp;", ","")&amp;IF($DT243&lt;&gt;"",$DT243&amp;", ","")&amp;IF($DU243&lt;&gt;"",$DU243&amp;", ","")))-2)))))))</f>
        <v/>
      </c>
      <c r="N243" t="str">
        <f t="shared" si="1776"/>
        <v/>
      </c>
      <c r="O243" t="str">
        <f t="shared" si="1777"/>
        <v/>
      </c>
      <c r="P243" t="str">
        <f t="shared" si="1778"/>
        <v/>
      </c>
      <c r="Q243" t="str">
        <f t="shared" si="1779"/>
        <v/>
      </c>
      <c r="R243" t="str">
        <f>IF($Q243="","",IF(OR($BE243="",$BF243=""),"ONZEKER",IF(AND($BE243=0+1,$BF243=0),IF(OR(COUNTIF(#REF!,$B243)&gt;0,COUNTIF(#REF!,$B243)=0),"SKIP",IF(COUNTIFS(#REF!,$B243,#REF!,$Q243)&gt;0,"OK","ONBEKEND")),IF(AND($BE243=0,$BF243=0+1),IF(OR(COUNTIF(#REF!,$D243)&gt;0,COUNTIF(#REF!,$D243)=0),"SKIP",IF(COUNTIFS(#REF!,$D243,#REF!,$Q243)&gt;0,"OK","ONBEKEND")),"ONZEKER"))))</f>
        <v/>
      </c>
      <c r="S243" t="str">
        <f t="shared" si="1780"/>
        <v/>
      </c>
      <c r="T243" t="str">
        <f t="shared" si="1781"/>
        <v/>
      </c>
      <c r="U243" t="str">
        <f>IF($T243="","",IF(OR($BH243="",$BI243=""),"ONZEKER",IF(OR($BE243="",$BF243=""),"ONZEKER",IF(AND($BH243=$BE243+1,$BI243=$BF243),IF(OR(COUNTIF(#REF!,$B243)&gt;0,COUNTIF(#REF!,$B243)=0),"SKIP",IF(COUNTIFS(#REF!,$B243,#REF!,$T243)&gt;0,"OK","ONBEKEND")),IF(AND($BH243=$BE243,$BI243=$BF243+1),IF(OR(COUNTIF(#REF!,$D243)&gt;0,COUNTIF(#REF!,$D243)=0),"SKIP",IF(COUNTIFS(#REF!,$D243,#REF!,$T243)&gt;0,"OK","ONBEKEND")),"ONZEKER")))))</f>
        <v/>
      </c>
      <c r="V243" t="str">
        <f t="shared" si="1782"/>
        <v/>
      </c>
      <c r="W243" t="str">
        <f t="shared" si="1783"/>
        <v/>
      </c>
      <c r="X243" t="str">
        <f>IF($W243="","",IF(OR($BK243="",$BL243=""),"ONZEKER",IF(OR($BH243="",$BI243=""),"ONZEKER",IF(AND($BK243=$BH243+1,$BL243=$BI243),IF(OR(COUNTIF(#REF!,$B243)&gt;0,COUNTIF(#REF!,$B243)=0),"SKIP",IF(COUNTIFS(#REF!,$B243,#REF!,$W243)&gt;0,"OK","ONBEKEND")),IF(AND($BK243=$BH243,$BL243=$BI243+1),IF(OR(COUNTIF(#REF!,$D243)&gt;0,COUNTIF(#REF!,$D243)=0),"SKIP",IF(COUNTIFS(#REF!,$D243,#REF!,$W243)&gt;0,"OK","ONBEKEND")),"ONZEKER")))))</f>
        <v/>
      </c>
      <c r="Y243" t="str">
        <f t="shared" si="1784"/>
        <v/>
      </c>
      <c r="Z243" t="str">
        <f t="shared" si="1785"/>
        <v/>
      </c>
      <c r="AA243" t="str">
        <f>IF($Z243="","",IF(OR($BN243="",$BO243=""),"ONZEKER",IF(OR($BK243="",$BL243=""),"ONZEKER",IF(AND($BN243=$BK243+1,$BO243=$BL243),IF(OR(COUNTIF(#REF!,$B243)&gt;0,COUNTIF(#REF!,$B243)=0),"SKIP",IF(COUNTIFS(#REF!,$B243,#REF!,$Z243)&gt;0,"OK","ONBEKEND")),IF(AND($BN243=$BK243,$BO243=$BL243+1),IF(OR(COUNTIF(#REF!,$D243)&gt;0,COUNTIF(#REF!,$D243)=0),"SKIP",IF(COUNTIFS(#REF!,$D243,#REF!,$Z243)&gt;0,"OK","ONBEKEND")),"ONZEKER")))))</f>
        <v/>
      </c>
      <c r="AB243" t="str">
        <f t="shared" si="1786"/>
        <v/>
      </c>
      <c r="AC243" t="str">
        <f t="shared" si="1787"/>
        <v/>
      </c>
      <c r="AD243" t="str">
        <f>IF($AC243="","",IF(OR($BQ243="",$BR243=""),"ONZEKER",IF(OR($BN243="",$BO243=""),"ONZEKER",IF(AND($BQ243=$BN243+1,$BR243=$BO243),IF(OR(COUNTIF(#REF!,$B243)&gt;0,COUNTIF(#REF!,$B243)=0),"SKIP",IF(COUNTIFS(#REF!,$B243,#REF!,$AC243)&gt;0,"OK","ONBEKEND")),IF(AND($BQ243=$BN243,$BR243=$BO243+1),IF(OR(COUNTIF(#REF!,$D243)&gt;0,COUNTIF(#REF!,$D243)=0),"SKIP",IF(COUNTIFS(#REF!,$D243,#REF!,$AC243)&gt;0,"OK","ONBEKEND")),"ONZEKER")))))</f>
        <v/>
      </c>
      <c r="AE243" t="str">
        <f t="shared" si="1788"/>
        <v/>
      </c>
      <c r="AF243" t="str">
        <f t="shared" si="1789"/>
        <v/>
      </c>
      <c r="AG243" t="str">
        <f>IF($AF243="","",IF(OR($BT243="",$BU243=""),"ONZEKER",IF(OR($BQ243="",$BR243=""),"ONZEKER",IF(AND($BT243=$BQ243+1,$BU243=$BR243),IF(OR(COUNTIF(#REF!,$B243)&gt;0,COUNTIF(#REF!,$B243)=0),"SKIP",IF(COUNTIFS(#REF!,$B243,#REF!,$AF243)&gt;0,"OK","ONBEKEND")),IF(AND($BT243=$BQ243,$BU243=$BR243+1),IF(OR(COUNTIF(#REF!,$D243)&gt;0,COUNTIF(#REF!,$D243)=0),"SKIP",IF(COUNTIFS(#REF!,$D243,#REF!,$AF243)&gt;0,"OK","ONBEKEND")),"ONZEKER")))))</f>
        <v/>
      </c>
      <c r="AH243" t="str">
        <f t="shared" si="1790"/>
        <v/>
      </c>
      <c r="AI243" t="str">
        <f t="shared" si="1791"/>
        <v/>
      </c>
      <c r="AJ243" t="str">
        <f>IF($AI243="","",IF(OR($BW243="",$BX243=""),"ONZEKER",IF(OR($BT243="",$BU243=""),"ONZEKER",IF(AND($BW243=$BT243+1,$BX243=$BU243),IF(OR(COUNTIF(#REF!,$B243)&gt;0,COUNTIF(#REF!,$B243)=0),"SKIP",IF(COUNTIFS(#REF!,$B243,#REF!,$AI243)&gt;0,"OK","ONBEKEND")),IF(AND($BW243=$BT243,$BX243=$BU243+1),IF(OR(COUNTIF(#REF!,$D243)&gt;0,COUNTIF(#REF!,$D243)=0),"SKIP",IF(COUNTIFS(#REF!,$D243,#REF!,$AI243)&gt;0,"OK","ONBEKEND")),"ONZEKER")))))</f>
        <v/>
      </c>
      <c r="AK243" t="str">
        <f t="shared" si="1792"/>
        <v/>
      </c>
      <c r="AL243" t="str">
        <f t="shared" si="1793"/>
        <v/>
      </c>
      <c r="AM243" t="str">
        <f>IF($AL243="","",IF(OR($BZ243="",$CA243=""),"ONZEKER",IF(OR($BW243="",$BX243=""),"ONZEKER",IF(AND($BZ243=$BW243+1,$CA243=$BX243),IF(OR(COUNTIF(#REF!,$B243)&gt;0,COUNTIF(#REF!,$B243)=0),"SKIP",IF(COUNTIFS(#REF!,$B243,#REF!,$AL243)&gt;0,"OK","ONBEKEND")),IF(AND($BZ243=$BW243,$CA243=$BX243+1),IF(OR(COUNTIF(#REF!,$D243)&gt;0,COUNTIF(#REF!,$D243)=0),"SKIP",IF(COUNTIFS(#REF!,$D243,#REF!,$AL243)&gt;0,"OK","ONBEKEND")),"ONZEKER")))))</f>
        <v/>
      </c>
      <c r="AN243" t="str">
        <f t="shared" si="1794"/>
        <v/>
      </c>
      <c r="AO243" t="str">
        <f t="shared" si="1795"/>
        <v/>
      </c>
      <c r="AP243" t="str">
        <f>IF($AO243="","",IF(OR($CC243="",$CD243=""),"ONZEKER",IF(OR($BZ243="",$CA243=""),"ONZEKER",IF(AND($CC243=$BZ243+1,$CD243=$CA243),IF(OR(COUNTIF(#REF!,$B243)&gt;0,COUNTIF(#REF!,$B243)=0),"SKIP",IF(COUNTIFS(#REF!,$B243,#REF!,$AO243)&gt;0,"OK","ONBEKEND")),IF(AND($CC243=$BZ243,$CD243=$CA243+1),IF(OR(COUNTIF(#REF!,$D243)&gt;0,COUNTIF(#REF!,$D243)=0),"SKIP",IF(COUNTIFS(#REF!,$D243,#REF!,$AO243)&gt;0,"OK","ONBEKEND")),"ONZEKER")))))</f>
        <v/>
      </c>
      <c r="AQ243" t="str">
        <f t="shared" si="1796"/>
        <v/>
      </c>
      <c r="AR243" t="str">
        <f t="shared" si="1797"/>
        <v/>
      </c>
      <c r="AS243" t="str">
        <f>IF($AR243="","",IF(OR($CF243="",$CG243=""),"ONZEKER",IF(OR($CC243="",$CD243=""),"ONZEKER",IF(AND($CF243=$CC243+1,$CG243=$CD243),IF(OR(COUNTIF(#REF!,$B243)&gt;0,COUNTIF(#REF!,$B243)=0),"SKIP",IF(COUNTIFS(#REF!,$B243,#REF!,$AR243)&gt;0,"OK","ONBEKEND")),IF(AND($CF243=$CC243,$CG243=$CD243+1),IF(OR(COUNTIF(#REF!,$D243)&gt;0,COUNTIF(#REF!,$D243)=0),"SKIP",IF(COUNTIFS(#REF!,$D243,#REF!,$AR243)&gt;0,"OK","ONBEKEND")),"ONZEKER")))))</f>
        <v/>
      </c>
      <c r="AT243" t="str">
        <f t="shared" si="1798"/>
        <v/>
      </c>
      <c r="AU243" t="str">
        <f t="shared" si="1799"/>
        <v/>
      </c>
      <c r="AV243" t="str">
        <f t="shared" si="1800"/>
        <v/>
      </c>
      <c r="AW243" t="str">
        <f t="shared" si="1801"/>
        <v/>
      </c>
      <c r="AX243" t="str">
        <f t="shared" si="1802"/>
        <v/>
      </c>
      <c r="AY243" t="str">
        <f t="shared" si="1803"/>
        <v/>
      </c>
      <c r="AZ243" t="str">
        <f t="shared" si="1804"/>
        <v/>
      </c>
      <c r="BA243" t="str">
        <f t="shared" si="1805"/>
        <v/>
      </c>
      <c r="BB243" t="str">
        <f t="shared" si="1806"/>
        <v/>
      </c>
      <c r="BC243" t="str">
        <f t="shared" si="1807"/>
        <v/>
      </c>
      <c r="BD243" t="str">
        <f t="shared" si="1470"/>
        <v/>
      </c>
      <c r="BE243" t="str">
        <f t="shared" si="1471"/>
        <v/>
      </c>
      <c r="BF243" t="str">
        <f t="shared" si="1472"/>
        <v/>
      </c>
      <c r="BG243" t="str">
        <f t="shared" si="1473"/>
        <v/>
      </c>
      <c r="BH243" t="str">
        <f t="shared" si="1474"/>
        <v/>
      </c>
      <c r="BI243" t="str">
        <f t="shared" si="1475"/>
        <v/>
      </c>
      <c r="BJ243" t="str">
        <f t="shared" si="1476"/>
        <v/>
      </c>
      <c r="BK243" t="str">
        <f t="shared" si="1477"/>
        <v/>
      </c>
      <c r="BL243" t="str">
        <f t="shared" si="1478"/>
        <v/>
      </c>
      <c r="BM243" t="str">
        <f t="shared" si="1479"/>
        <v/>
      </c>
      <c r="BN243" t="str">
        <f t="shared" si="1480"/>
        <v/>
      </c>
      <c r="BO243" t="str">
        <f t="shared" si="1481"/>
        <v/>
      </c>
      <c r="BP243" t="str">
        <f t="shared" si="1482"/>
        <v/>
      </c>
      <c r="BQ243" t="str">
        <f t="shared" si="1483"/>
        <v/>
      </c>
      <c r="BR243" t="str">
        <f t="shared" si="1484"/>
        <v/>
      </c>
      <c r="BS243" t="str">
        <f t="shared" si="1485"/>
        <v/>
      </c>
      <c r="BT243" t="str">
        <f t="shared" si="1486"/>
        <v/>
      </c>
      <c r="BU243" t="str">
        <f t="shared" si="1487"/>
        <v/>
      </c>
      <c r="BV243" t="str">
        <f t="shared" si="1488"/>
        <v/>
      </c>
      <c r="BW243" t="str">
        <f t="shared" si="1489"/>
        <v/>
      </c>
      <c r="BX243" t="str">
        <f t="shared" si="1490"/>
        <v/>
      </c>
      <c r="BY243" t="str">
        <f t="shared" si="1491"/>
        <v/>
      </c>
      <c r="BZ243" t="str">
        <f t="shared" si="1492"/>
        <v/>
      </c>
      <c r="CA243" t="str">
        <f t="shared" si="1493"/>
        <v/>
      </c>
      <c r="CB243" t="str">
        <f t="shared" si="1494"/>
        <v/>
      </c>
      <c r="CC243" t="str">
        <f t="shared" si="1495"/>
        <v/>
      </c>
      <c r="CD243" t="str">
        <f t="shared" si="1496"/>
        <v/>
      </c>
      <c r="CE243" t="str">
        <f t="shared" si="1497"/>
        <v/>
      </c>
      <c r="CF243" t="str">
        <f t="shared" si="1498"/>
        <v/>
      </c>
      <c r="CG243" t="str">
        <f t="shared" si="1499"/>
        <v/>
      </c>
      <c r="CH243" t="str">
        <f t="shared" si="1808"/>
        <v/>
      </c>
      <c r="CI243" t="str">
        <f t="shared" si="1809"/>
        <v/>
      </c>
      <c r="CJ243" t="str">
        <f>IF($CI243="","",IF(OR($DW243="",$DX243=""),"ONZEKER",IF(OR($CF243="",$CG243=""),"ONZEKER",IF(AND($DW243=$CF243+1,$DX243=$CG243),IF(OR(COUNTIF(#REF!,$B243)&gt;0,COUNTIF(#REF!,$B243)=0),"SKIP",IF(COUNTIFS(#REF!,$B243,#REF!,$CI243)&gt;0,"OK","ONBEKEND")),IF(AND($DW243=$CF243,$DX243=$CG243+1),IF(OR(COUNTIF(#REF!,$D243)&gt;0,COUNTIF(#REF!,$D243)=0),"SKIP",IF(COUNTIFS(#REF!,$D243,#REF!,$CI243)&gt;0,"OK","ONBEKEND")),"ONZEKER")))))</f>
        <v/>
      </c>
      <c r="CK243" t="str">
        <f t="shared" si="1810"/>
        <v/>
      </c>
      <c r="CL243" t="str">
        <f t="shared" si="1811"/>
        <v/>
      </c>
      <c r="CM243" t="str">
        <f>IF($CL243="","",IF(OR($DZ243="",$EA243=""),"ONZEKER",IF(OR($DW243="",$DX243=""),"ONZEKER",IF(AND($DZ243=$DW243+1,$EA243=$DX243),IF(OR(COUNTIF(#REF!,$B243)&gt;0,COUNTIF(#REF!,$B243)=0),"SKIP",IF(COUNTIFS(#REF!,$B243,#REF!,$CL243)&gt;0,"OK","ONBEKEND")),IF(AND($DZ243=$DW243,$EA243=$DX243+1),IF(OR(COUNTIF(#REF!,$D243)&gt;0,COUNTIF(#REF!,$D243)=0),"SKIP",IF(COUNTIFS(#REF!,$D243,#REF!,$CL243)&gt;0,"OK","ONBEKEND")),"ONZEKER")))))</f>
        <v/>
      </c>
      <c r="CN243" t="str">
        <f t="shared" si="1812"/>
        <v/>
      </c>
      <c r="CO243" t="str">
        <f t="shared" si="1813"/>
        <v/>
      </c>
      <c r="CP243" t="str">
        <f>IF($CO243="","",IF(OR($EC243="",$ED243=""),"ONZEKER",IF(OR($DZ243="",$EA243=""),"ONZEKER",IF(AND($EC243=$DZ243+1,$ED243=$EA243),IF(OR(COUNTIF(#REF!,$B243)&gt;0,COUNTIF(#REF!,$B243)=0),"SKIP",IF(COUNTIFS(#REF!,$B243,#REF!,$CO243)&gt;0,"OK","ONBEKEND")),IF(AND($EC243=$DZ243,$ED243=$EA243+1),IF(OR(COUNTIF(#REF!,$D243)&gt;0,COUNTIF(#REF!,$D243)=0),"SKIP",IF(COUNTIFS(#REF!,$D243,#REF!,$CO243)&gt;0,"OK","ONBEKEND")),"ONZEKER")))))</f>
        <v/>
      </c>
      <c r="CQ243" t="str">
        <f t="shared" si="1814"/>
        <v/>
      </c>
      <c r="CR243" t="str">
        <f t="shared" si="1815"/>
        <v/>
      </c>
      <c r="CS243" t="str">
        <f>IF($CR243="","",IF(OR($EF243="",$EG243=""),"ONZEKER",IF(OR($EC243="",$ED243=""),"ONZEKER",IF(AND($EF243=$EC243+1,$EG243=$ED243),IF(OR(COUNTIF(#REF!,$B243)&gt;0,COUNTIF(#REF!,$B243)=0),"SKIP",IF(COUNTIFS(#REF!,$B243,#REF!,$CR243)&gt;0,"OK","ONBEKEND")),IF(AND($EF243=$EC243,$EG243=$ED243+1),IF(OR(COUNTIF(#REF!,$D243)&gt;0,COUNTIF(#REF!,$D243)=0),"SKIP",IF(COUNTIFS(#REF!,$D243,#REF!,$CR243)&gt;0,"OK","ONBEKEND")),"ONZEKER")))))</f>
        <v/>
      </c>
      <c r="CT243" t="str">
        <f t="shared" si="1816"/>
        <v/>
      </c>
      <c r="CU243" t="str">
        <f t="shared" si="1817"/>
        <v/>
      </c>
      <c r="CV243" t="str">
        <f>IF($CU243="","",IF(OR($EI243="",$EJ243=""),"ONZEKER",IF(OR($EF243="",$EG243=""),"ONZEKER",IF(AND($EI243=$EF243+1,$EJ243=$EG243),IF(OR(COUNTIF(#REF!,$B243)&gt;0,COUNTIF(#REF!,$B243)=0),"SKIP",IF(COUNTIFS(#REF!,$B243,#REF!,$CU243)&gt;0,"OK","ONBEKEND")),IF(AND($EI243=$EF243,$EJ243=$EG243+1),IF(OR(COUNTIF(#REF!,$D243)&gt;0,COUNTIF(#REF!,$D243)=0),"SKIP",IF(COUNTIFS(#REF!,$D243,#REF!,$CU243)&gt;0,"OK","ONBEKEND")),"ONZEKER")))))</f>
        <v/>
      </c>
      <c r="CW243" t="str">
        <f t="shared" si="1818"/>
        <v/>
      </c>
      <c r="CX243" t="str">
        <f t="shared" si="1819"/>
        <v/>
      </c>
      <c r="CY243" t="str">
        <f>IF($CX243="","",IF(OR($EL243="",$EM243=""),"ONZEKER",IF(OR($EI243="",$EJ243=""),"ONZEKER",IF(AND($EL243=$EI243+1,$EM243=$EJ243),IF(OR(COUNTIF(#REF!,$B243)&gt;0,COUNTIF(#REF!,$B243)=0),"SKIP",IF(COUNTIFS(#REF!,$B243,#REF!,$CX243)&gt;0,"OK","ONBEKEND")),IF(AND($EL243=$EI243,$EM243=$EJ243+1),IF(OR(COUNTIF(#REF!,$D243)&gt;0,COUNTIF(#REF!,$D243)=0),"SKIP",IF(COUNTIFS(#REF!,$D243,#REF!,$CX243)&gt;0,"OK","ONBEKEND")),"ONZEKER")))))</f>
        <v/>
      </c>
      <c r="CZ243" t="str">
        <f t="shared" si="1820"/>
        <v/>
      </c>
      <c r="DA243" t="str">
        <f t="shared" si="1821"/>
        <v/>
      </c>
      <c r="DB243" t="str">
        <f>IF($DA243="","",IF(OR($EO243="",$EP243=""),"ONZEKER",IF(OR($EL243="",$EM243=""),"ONZEKER",IF(AND($EO243=$EL243+1,$EP243=$EM243),IF(OR(COUNTIF(#REF!,$B243)&gt;0,COUNTIF(#REF!,$B243)=0),"SKIP",IF(COUNTIFS(#REF!,$B243,#REF!,$DA243)&gt;0,"OK","ONBEKEND")),IF(AND($EO243=$EL243,$EP243=$EM243+1),IF(OR(COUNTIF(#REF!,$D243)&gt;0,COUNTIF(#REF!,$D243)=0),"SKIP",IF(COUNTIFS(#REF!,$D243,#REF!,$DA243)&gt;0,"OK","ONBEKEND")),"ONZEKER")))))</f>
        <v/>
      </c>
      <c r="DC243" t="str">
        <f t="shared" si="1822"/>
        <v/>
      </c>
      <c r="DD243" t="str">
        <f t="shared" si="1823"/>
        <v/>
      </c>
      <c r="DE243" t="str">
        <f>IF($DD243="","",IF(OR($ER243="",$ES243=""),"ONZEKER",IF(OR($EO243="",$EP243=""),"ONZEKER",IF(AND($ER243=$EO243+1,$ES243=$EP243),IF(OR(COUNTIF(#REF!,$B243)&gt;0,COUNTIF(#REF!,$B243)=0),"SKIP",IF(COUNTIFS(#REF!,$B243,#REF!,$DD243)&gt;0,"OK","ONBEKEND")),IF(AND($ER243=$EO243,$ES243=$EP243+1),IF(OR(COUNTIF(#REF!,$D243)&gt;0,COUNTIF(#REF!,$D243)=0),"SKIP",IF(COUNTIFS(#REF!,$D243,#REF!,$DD243)&gt;0,"OK","ONBEKEND")),"ONZEKER")))))</f>
        <v/>
      </c>
      <c r="DF243" t="str">
        <f t="shared" si="1824"/>
        <v/>
      </c>
      <c r="DG243" t="str">
        <f t="shared" si="1825"/>
        <v/>
      </c>
      <c r="DH243" t="str">
        <f>IF($DG243="","",IF(OR($EU243="",$EV243=""),"ONZEKER",IF(OR($ER243="",$ES243=""),"ONZEKER",IF(AND($EU243=$ER243+1,$EV243=$ES243),IF(OR(COUNTIF(#REF!,$B243)&gt;0,COUNTIF(#REF!,$B243)=0),"SKIP",IF(COUNTIFS(#REF!,$B243,#REF!,$DG243)&gt;0,"OK","ONBEKEND")),IF(AND($EU243=$ER243,$EV243=$ES243+1),IF(OR(COUNTIF(#REF!,$D243)&gt;0,COUNTIF(#REF!,$D243)=0),"SKIP",IF(COUNTIFS(#REF!,$D243,#REF!,$DG243)&gt;0,"OK","ONBEKEND")),"ONZEKER")))))</f>
        <v/>
      </c>
      <c r="DI243" t="str">
        <f t="shared" si="1826"/>
        <v/>
      </c>
      <c r="DJ243" t="str">
        <f t="shared" si="1827"/>
        <v/>
      </c>
      <c r="DK243" t="str">
        <f>IF($DJ243="","",IF(OR($EX243="",$EY243=""),"ONZEKER",IF(OR($EU243="",$EV243=""),"ONZEKER",IF(AND($EX243=$EU243+1,$EY243=$EV243),IF(OR(COUNTIF(#REF!,$B243)&gt;0,COUNTIF(#REF!,$B243)=0),"SKIP",IF(COUNTIFS(#REF!,$B243,#REF!,$DJ243)&gt;0,"OK","ONBEKEND")),IF(AND($EX243=$EU243,$EY243=$EV243+1),IF(OR(COUNTIF(#REF!,$D243)&gt;0,COUNTIF(#REF!,$D243)=0),"SKIP",IF(COUNTIFS(#REF!,$D243,#REF!,$DJ243)&gt;0,"OK","ONBEKEND")),"ONZEKER")))))</f>
        <v/>
      </c>
      <c r="DL243" t="str">
        <f t="shared" si="1828"/>
        <v/>
      </c>
      <c r="DM243" t="str">
        <f t="shared" si="1829"/>
        <v/>
      </c>
      <c r="DN243" t="str">
        <f t="shared" si="1830"/>
        <v/>
      </c>
      <c r="DO243" t="str">
        <f t="shared" si="1831"/>
        <v/>
      </c>
      <c r="DP243" t="str">
        <f t="shared" si="1832"/>
        <v/>
      </c>
      <c r="DQ243" t="str">
        <f t="shared" si="1833"/>
        <v/>
      </c>
      <c r="DR243" t="str">
        <f t="shared" si="1834"/>
        <v/>
      </c>
      <c r="DS243" t="str">
        <f t="shared" si="1835"/>
        <v/>
      </c>
      <c r="DT243" t="str">
        <f t="shared" si="1836"/>
        <v/>
      </c>
      <c r="DU243" t="str">
        <f t="shared" si="1837"/>
        <v/>
      </c>
      <c r="DV243" t="str">
        <f t="shared" si="1838"/>
        <v/>
      </c>
      <c r="DW243" t="str">
        <f t="shared" si="1839"/>
        <v/>
      </c>
      <c r="DX243" t="str">
        <f t="shared" si="1840"/>
        <v/>
      </c>
      <c r="DY243" t="str">
        <f t="shared" si="1841"/>
        <v/>
      </c>
      <c r="DZ243" t="str">
        <f t="shared" si="1842"/>
        <v/>
      </c>
      <c r="EA243" t="str">
        <f t="shared" si="1843"/>
        <v/>
      </c>
      <c r="EB243" t="str">
        <f t="shared" si="1844"/>
        <v/>
      </c>
      <c r="EC243" t="str">
        <f t="shared" si="1845"/>
        <v/>
      </c>
      <c r="ED243" t="str">
        <f t="shared" si="1846"/>
        <v/>
      </c>
      <c r="EE243" t="str">
        <f t="shared" si="1847"/>
        <v/>
      </c>
      <c r="EF243" t="str">
        <f t="shared" si="1848"/>
        <v/>
      </c>
      <c r="EG243" t="str">
        <f t="shared" si="1849"/>
        <v/>
      </c>
      <c r="EH243" t="str">
        <f t="shared" si="1850"/>
        <v/>
      </c>
      <c r="EI243" t="str">
        <f t="shared" si="1851"/>
        <v/>
      </c>
      <c r="EJ243" t="str">
        <f t="shared" si="1852"/>
        <v/>
      </c>
      <c r="EK243" t="str">
        <f t="shared" si="1853"/>
        <v/>
      </c>
      <c r="EL243" t="str">
        <f t="shared" si="1854"/>
        <v/>
      </c>
      <c r="EM243" t="str">
        <f t="shared" si="1855"/>
        <v/>
      </c>
      <c r="EN243" t="str">
        <f t="shared" si="1856"/>
        <v/>
      </c>
      <c r="EO243" t="str">
        <f t="shared" si="1857"/>
        <v/>
      </c>
      <c r="EP243" t="str">
        <f t="shared" si="1858"/>
        <v/>
      </c>
      <c r="EQ243" t="str">
        <f t="shared" si="1859"/>
        <v/>
      </c>
      <c r="ER243" t="str">
        <f t="shared" si="1860"/>
        <v/>
      </c>
      <c r="ES243" t="str">
        <f t="shared" si="1861"/>
        <v/>
      </c>
      <c r="ET243" t="str">
        <f t="shared" si="1862"/>
        <v/>
      </c>
      <c r="EU243" t="str">
        <f t="shared" si="1863"/>
        <v/>
      </c>
      <c r="EV243" t="str">
        <f t="shared" si="1864"/>
        <v/>
      </c>
      <c r="EW243" t="str">
        <f t="shared" si="1865"/>
        <v/>
      </c>
      <c r="EX243" t="str">
        <f t="shared" si="1866"/>
        <v/>
      </c>
      <c r="EY243" t="str">
        <f t="shared" si="1867"/>
        <v/>
      </c>
    </row>
    <row r="244" spans="1:155" ht="13.9" customHeight="1" x14ac:dyDescent="0.25">
      <c r="A244" s="7"/>
      <c r="B244" s="17"/>
      <c r="C244" s="8"/>
      <c r="D244" s="17"/>
      <c r="E244" s="8"/>
      <c r="F244" s="18">
        <v>0</v>
      </c>
      <c r="G244" s="7" t="s">
        <v>147</v>
      </c>
      <c r="H244" s="18">
        <v>0</v>
      </c>
      <c r="I244" s="19">
        <v>0</v>
      </c>
      <c r="J244" s="7" t="s">
        <v>147</v>
      </c>
      <c r="K244" s="19">
        <v>0</v>
      </c>
      <c r="L244" s="9"/>
      <c r="M244" s="3" t="str">
        <f>IF($L244="","",IF($L244="DOELPUNTENMAKERS","",IF(AND(COUNTIF(#REF!,$B244)=0,COUNTIF(#REF!,$D244)=0),"OK",IF($O244&gt;20,"LET OP: meer dan 20 items (controle onvolledig)",IF((COUNTIF($R244:$AS244,"ONZEKER")+COUNTIF($CJ244:$DK244,"ONZEKER"))&gt;0,"LET OP: scoreverloop onduidelijk (controle beperkt)",IF((IF($AT244&lt;&gt;"",$AT244&amp;", ","")&amp;IF($AU244&lt;&gt;"",$AU244&amp;", ","")&amp;IF($AV244&lt;&gt;"",$AV244&amp;", ","")&amp;IF($AW244&lt;&gt;"",$AW244&amp;", ","")&amp;IF($AX244&lt;&gt;"",$AX244&amp;", ","")&amp;IF($AY244&lt;&gt;"",$AY244&amp;", ","")&amp;IF($AZ244&lt;&gt;"",$AZ244&amp;", ","")&amp;IF($BA244&lt;&gt;"",$BA244&amp;", ","")&amp;IF($BB244&lt;&gt;"",$BB244&amp;", ","")&amp;IF($BC244&lt;&gt;"",$BC244&amp;", ","")&amp;IF($DL244&lt;&gt;"",$DL244&amp;", ","")&amp;IF($DM244&lt;&gt;"",$DM244&amp;", ","")&amp;IF($DN244&lt;&gt;"",$DN244&amp;", ","")&amp;IF($DO244&lt;&gt;"",$DO244&amp;", ","")&amp;IF($DP244&lt;&gt;"",$DP244&amp;", ","")&amp;IF($DQ244&lt;&gt;"",$DQ244&amp;", ","")&amp;IF($DR244&lt;&gt;"",$DR244&amp;", ","")&amp;IF($DS244&lt;&gt;"",$DS244&amp;", ","")&amp;IF($DT244&lt;&gt;"",$DT244&amp;", ","")&amp;IF($DU244&lt;&gt;"",$DU244&amp;", ",""))="","OK","Onbekend: "&amp;LEFT((IF($AT244&lt;&gt;"",$AT244&amp;", ","")&amp;IF($AU244&lt;&gt;"",$AU244&amp;", ","")&amp;IF($AV244&lt;&gt;"",$AV244&amp;", ","")&amp;IF($AW244&lt;&gt;"",$AW244&amp;", ","")&amp;IF($AX244&lt;&gt;"",$AX244&amp;", ","")&amp;IF($AY244&lt;&gt;"",$AY244&amp;", ","")&amp;IF($AZ244&lt;&gt;"",$AZ244&amp;", ","")&amp;IF($BA244&lt;&gt;"",$BA244&amp;", ","")&amp;IF($BB244&lt;&gt;"",$BB244&amp;", ","")&amp;IF($BC244&lt;&gt;"",$BC244&amp;", ","")&amp;IF($DL244&lt;&gt;"",$DL244&amp;", ","")&amp;IF($DM244&lt;&gt;"",$DM244&amp;", ","")&amp;IF($DN244&lt;&gt;"",$DN244&amp;", ","")&amp;IF($DO244&lt;&gt;"",$DO244&amp;", ","")&amp;IF($DP244&lt;&gt;"",$DP244&amp;", ","")&amp;IF($DQ244&lt;&gt;"",$DQ244&amp;", ","")&amp;IF($DR244&lt;&gt;"",$DR244&amp;", ","")&amp;IF($DS244&lt;&gt;"",$DS244&amp;", ","")&amp;IF($DT244&lt;&gt;"",$DT244&amp;", ","")&amp;IF($DU244&lt;&gt;"",$DU244&amp;", ","")),LEN((IF($AT244&lt;&gt;"",$AT244&amp;", ","")&amp;IF($AU244&lt;&gt;"",$AU244&amp;", ","")&amp;IF($AV244&lt;&gt;"",$AV244&amp;", ","")&amp;IF($AW244&lt;&gt;"",$AW244&amp;", ","")&amp;IF($AX244&lt;&gt;"",$AX244&amp;", ","")&amp;IF($AY244&lt;&gt;"",$AY244&amp;", ","")&amp;IF($AZ244&lt;&gt;"",$AZ244&amp;", ","")&amp;IF($BA244&lt;&gt;"",$BA244&amp;", ","")&amp;IF($BB244&lt;&gt;"",$BB244&amp;", ","")&amp;IF($BC244&lt;&gt;"",$BC244&amp;", ","")&amp;IF($DL244&lt;&gt;"",$DL244&amp;", ","")&amp;IF($DM244&lt;&gt;"",$DM244&amp;", ","")&amp;IF($DN244&lt;&gt;"",$DN244&amp;", ","")&amp;IF($DO244&lt;&gt;"",$DO244&amp;", ","")&amp;IF($DP244&lt;&gt;"",$DP244&amp;", ","")&amp;IF($DQ244&lt;&gt;"",$DQ244&amp;", ","")&amp;IF($DR244&lt;&gt;"",$DR244&amp;", ","")&amp;IF($DS244&lt;&gt;"",$DS244&amp;", ","")&amp;IF($DT244&lt;&gt;"",$DT244&amp;", ","")&amp;IF($DU244&lt;&gt;"",$DU244&amp;", ","")))-2)))))))</f>
        <v/>
      </c>
      <c r="N244" t="str">
        <f t="shared" si="1776"/>
        <v/>
      </c>
      <c r="O244" t="str">
        <f t="shared" si="1777"/>
        <v/>
      </c>
      <c r="P244" t="str">
        <f t="shared" si="1778"/>
        <v/>
      </c>
      <c r="Q244" t="str">
        <f t="shared" si="1779"/>
        <v/>
      </c>
      <c r="R244" t="str">
        <f>IF($Q244="","",IF(OR($BE244="",$BF244=""),"ONZEKER",IF(AND($BE244=0+1,$BF244=0),IF(OR(COUNTIF(#REF!,$B244)&gt;0,COUNTIF(#REF!,$B244)=0),"SKIP",IF(COUNTIFS(#REF!,$B244,#REF!,$Q244)&gt;0,"OK","ONBEKEND")),IF(AND($BE244=0,$BF244=0+1),IF(OR(COUNTIF(#REF!,$D244)&gt;0,COUNTIF(#REF!,$D244)=0),"SKIP",IF(COUNTIFS(#REF!,$D244,#REF!,$Q244)&gt;0,"OK","ONBEKEND")),"ONZEKER"))))</f>
        <v/>
      </c>
      <c r="S244" t="str">
        <f t="shared" si="1780"/>
        <v/>
      </c>
      <c r="T244" t="str">
        <f t="shared" si="1781"/>
        <v/>
      </c>
      <c r="U244" t="str">
        <f>IF($T244="","",IF(OR($BH244="",$BI244=""),"ONZEKER",IF(OR($BE244="",$BF244=""),"ONZEKER",IF(AND($BH244=$BE244+1,$BI244=$BF244),IF(OR(COUNTIF(#REF!,$B244)&gt;0,COUNTIF(#REF!,$B244)=0),"SKIP",IF(COUNTIFS(#REF!,$B244,#REF!,$T244)&gt;0,"OK","ONBEKEND")),IF(AND($BH244=$BE244,$BI244=$BF244+1),IF(OR(COUNTIF(#REF!,$D244)&gt;0,COUNTIF(#REF!,$D244)=0),"SKIP",IF(COUNTIFS(#REF!,$D244,#REF!,$T244)&gt;0,"OK","ONBEKEND")),"ONZEKER")))))</f>
        <v/>
      </c>
      <c r="V244" t="str">
        <f t="shared" si="1782"/>
        <v/>
      </c>
      <c r="W244" t="str">
        <f t="shared" si="1783"/>
        <v/>
      </c>
      <c r="X244" t="str">
        <f>IF($W244="","",IF(OR($BK244="",$BL244=""),"ONZEKER",IF(OR($BH244="",$BI244=""),"ONZEKER",IF(AND($BK244=$BH244+1,$BL244=$BI244),IF(OR(COUNTIF(#REF!,$B244)&gt;0,COUNTIF(#REF!,$B244)=0),"SKIP",IF(COUNTIFS(#REF!,$B244,#REF!,$W244)&gt;0,"OK","ONBEKEND")),IF(AND($BK244=$BH244,$BL244=$BI244+1),IF(OR(COUNTIF(#REF!,$D244)&gt;0,COUNTIF(#REF!,$D244)=0),"SKIP",IF(COUNTIFS(#REF!,$D244,#REF!,$W244)&gt;0,"OK","ONBEKEND")),"ONZEKER")))))</f>
        <v/>
      </c>
      <c r="Y244" t="str">
        <f t="shared" si="1784"/>
        <v/>
      </c>
      <c r="Z244" t="str">
        <f t="shared" si="1785"/>
        <v/>
      </c>
      <c r="AA244" t="str">
        <f>IF($Z244="","",IF(OR($BN244="",$BO244=""),"ONZEKER",IF(OR($BK244="",$BL244=""),"ONZEKER",IF(AND($BN244=$BK244+1,$BO244=$BL244),IF(OR(COUNTIF(#REF!,$B244)&gt;0,COUNTIF(#REF!,$B244)=0),"SKIP",IF(COUNTIFS(#REF!,$B244,#REF!,$Z244)&gt;0,"OK","ONBEKEND")),IF(AND($BN244=$BK244,$BO244=$BL244+1),IF(OR(COUNTIF(#REF!,$D244)&gt;0,COUNTIF(#REF!,$D244)=0),"SKIP",IF(COUNTIFS(#REF!,$D244,#REF!,$Z244)&gt;0,"OK","ONBEKEND")),"ONZEKER")))))</f>
        <v/>
      </c>
      <c r="AB244" t="str">
        <f t="shared" si="1786"/>
        <v/>
      </c>
      <c r="AC244" t="str">
        <f t="shared" si="1787"/>
        <v/>
      </c>
      <c r="AD244" t="str">
        <f>IF($AC244="","",IF(OR($BQ244="",$BR244=""),"ONZEKER",IF(OR($BN244="",$BO244=""),"ONZEKER",IF(AND($BQ244=$BN244+1,$BR244=$BO244),IF(OR(COUNTIF(#REF!,$B244)&gt;0,COUNTIF(#REF!,$B244)=0),"SKIP",IF(COUNTIFS(#REF!,$B244,#REF!,$AC244)&gt;0,"OK","ONBEKEND")),IF(AND($BQ244=$BN244,$BR244=$BO244+1),IF(OR(COUNTIF(#REF!,$D244)&gt;0,COUNTIF(#REF!,$D244)=0),"SKIP",IF(COUNTIFS(#REF!,$D244,#REF!,$AC244)&gt;0,"OK","ONBEKEND")),"ONZEKER")))))</f>
        <v/>
      </c>
      <c r="AE244" t="str">
        <f t="shared" si="1788"/>
        <v/>
      </c>
      <c r="AF244" t="str">
        <f t="shared" si="1789"/>
        <v/>
      </c>
      <c r="AG244" t="str">
        <f>IF($AF244="","",IF(OR($BT244="",$BU244=""),"ONZEKER",IF(OR($BQ244="",$BR244=""),"ONZEKER",IF(AND($BT244=$BQ244+1,$BU244=$BR244),IF(OR(COUNTIF(#REF!,$B244)&gt;0,COUNTIF(#REF!,$B244)=0),"SKIP",IF(COUNTIFS(#REF!,$B244,#REF!,$AF244)&gt;0,"OK","ONBEKEND")),IF(AND($BT244=$BQ244,$BU244=$BR244+1),IF(OR(COUNTIF(#REF!,$D244)&gt;0,COUNTIF(#REF!,$D244)=0),"SKIP",IF(COUNTIFS(#REF!,$D244,#REF!,$AF244)&gt;0,"OK","ONBEKEND")),"ONZEKER")))))</f>
        <v/>
      </c>
      <c r="AH244" t="str">
        <f t="shared" si="1790"/>
        <v/>
      </c>
      <c r="AI244" t="str">
        <f t="shared" si="1791"/>
        <v/>
      </c>
      <c r="AJ244" t="str">
        <f>IF($AI244="","",IF(OR($BW244="",$BX244=""),"ONZEKER",IF(OR($BT244="",$BU244=""),"ONZEKER",IF(AND($BW244=$BT244+1,$BX244=$BU244),IF(OR(COUNTIF(#REF!,$B244)&gt;0,COUNTIF(#REF!,$B244)=0),"SKIP",IF(COUNTIFS(#REF!,$B244,#REF!,$AI244)&gt;0,"OK","ONBEKEND")),IF(AND($BW244=$BT244,$BX244=$BU244+1),IF(OR(COUNTIF(#REF!,$D244)&gt;0,COUNTIF(#REF!,$D244)=0),"SKIP",IF(COUNTIFS(#REF!,$D244,#REF!,$AI244)&gt;0,"OK","ONBEKEND")),"ONZEKER")))))</f>
        <v/>
      </c>
      <c r="AK244" t="str">
        <f t="shared" si="1792"/>
        <v/>
      </c>
      <c r="AL244" t="str">
        <f t="shared" si="1793"/>
        <v/>
      </c>
      <c r="AM244" t="str">
        <f>IF($AL244="","",IF(OR($BZ244="",$CA244=""),"ONZEKER",IF(OR($BW244="",$BX244=""),"ONZEKER",IF(AND($BZ244=$BW244+1,$CA244=$BX244),IF(OR(COUNTIF(#REF!,$B244)&gt;0,COUNTIF(#REF!,$B244)=0),"SKIP",IF(COUNTIFS(#REF!,$B244,#REF!,$AL244)&gt;0,"OK","ONBEKEND")),IF(AND($BZ244=$BW244,$CA244=$BX244+1),IF(OR(COUNTIF(#REF!,$D244)&gt;0,COUNTIF(#REF!,$D244)=0),"SKIP",IF(COUNTIFS(#REF!,$D244,#REF!,$AL244)&gt;0,"OK","ONBEKEND")),"ONZEKER")))))</f>
        <v/>
      </c>
      <c r="AN244" t="str">
        <f t="shared" si="1794"/>
        <v/>
      </c>
      <c r="AO244" t="str">
        <f t="shared" si="1795"/>
        <v/>
      </c>
      <c r="AP244" t="str">
        <f>IF($AO244="","",IF(OR($CC244="",$CD244=""),"ONZEKER",IF(OR($BZ244="",$CA244=""),"ONZEKER",IF(AND($CC244=$BZ244+1,$CD244=$CA244),IF(OR(COUNTIF(#REF!,$B244)&gt;0,COUNTIF(#REF!,$B244)=0),"SKIP",IF(COUNTIFS(#REF!,$B244,#REF!,$AO244)&gt;0,"OK","ONBEKEND")),IF(AND($CC244=$BZ244,$CD244=$CA244+1),IF(OR(COUNTIF(#REF!,$D244)&gt;0,COUNTIF(#REF!,$D244)=0),"SKIP",IF(COUNTIFS(#REF!,$D244,#REF!,$AO244)&gt;0,"OK","ONBEKEND")),"ONZEKER")))))</f>
        <v/>
      </c>
      <c r="AQ244" t="str">
        <f t="shared" si="1796"/>
        <v/>
      </c>
      <c r="AR244" t="str">
        <f t="shared" si="1797"/>
        <v/>
      </c>
      <c r="AS244" t="str">
        <f>IF($AR244="","",IF(OR($CF244="",$CG244=""),"ONZEKER",IF(OR($CC244="",$CD244=""),"ONZEKER",IF(AND($CF244=$CC244+1,$CG244=$CD244),IF(OR(COUNTIF(#REF!,$B244)&gt;0,COUNTIF(#REF!,$B244)=0),"SKIP",IF(COUNTIFS(#REF!,$B244,#REF!,$AR244)&gt;0,"OK","ONBEKEND")),IF(AND($CF244=$CC244,$CG244=$CD244+1),IF(OR(COUNTIF(#REF!,$D244)&gt;0,COUNTIF(#REF!,$D244)=0),"SKIP",IF(COUNTIFS(#REF!,$D244,#REF!,$AR244)&gt;0,"OK","ONBEKEND")),"ONZEKER")))))</f>
        <v/>
      </c>
      <c r="AT244" t="str">
        <f t="shared" si="1798"/>
        <v/>
      </c>
      <c r="AU244" t="str">
        <f t="shared" si="1799"/>
        <v/>
      </c>
      <c r="AV244" t="str">
        <f t="shared" si="1800"/>
        <v/>
      </c>
      <c r="AW244" t="str">
        <f t="shared" si="1801"/>
        <v/>
      </c>
      <c r="AX244" t="str">
        <f t="shared" si="1802"/>
        <v/>
      </c>
      <c r="AY244" t="str">
        <f t="shared" si="1803"/>
        <v/>
      </c>
      <c r="AZ244" t="str">
        <f t="shared" si="1804"/>
        <v/>
      </c>
      <c r="BA244" t="str">
        <f t="shared" si="1805"/>
        <v/>
      </c>
      <c r="BB244" t="str">
        <f t="shared" si="1806"/>
        <v/>
      </c>
      <c r="BC244" t="str">
        <f t="shared" si="1807"/>
        <v/>
      </c>
      <c r="BD244" t="str">
        <f t="shared" si="1470"/>
        <v/>
      </c>
      <c r="BE244" t="str">
        <f t="shared" si="1471"/>
        <v/>
      </c>
      <c r="BF244" t="str">
        <f t="shared" si="1472"/>
        <v/>
      </c>
      <c r="BG244" t="str">
        <f t="shared" si="1473"/>
        <v/>
      </c>
      <c r="BH244" t="str">
        <f t="shared" si="1474"/>
        <v/>
      </c>
      <c r="BI244" t="str">
        <f t="shared" si="1475"/>
        <v/>
      </c>
      <c r="BJ244" t="str">
        <f t="shared" si="1476"/>
        <v/>
      </c>
      <c r="BK244" t="str">
        <f t="shared" si="1477"/>
        <v/>
      </c>
      <c r="BL244" t="str">
        <f t="shared" si="1478"/>
        <v/>
      </c>
      <c r="BM244" t="str">
        <f t="shared" si="1479"/>
        <v/>
      </c>
      <c r="BN244" t="str">
        <f t="shared" si="1480"/>
        <v/>
      </c>
      <c r="BO244" t="str">
        <f t="shared" si="1481"/>
        <v/>
      </c>
      <c r="BP244" t="str">
        <f t="shared" si="1482"/>
        <v/>
      </c>
      <c r="BQ244" t="str">
        <f t="shared" si="1483"/>
        <v/>
      </c>
      <c r="BR244" t="str">
        <f t="shared" si="1484"/>
        <v/>
      </c>
      <c r="BS244" t="str">
        <f t="shared" si="1485"/>
        <v/>
      </c>
      <c r="BT244" t="str">
        <f t="shared" si="1486"/>
        <v/>
      </c>
      <c r="BU244" t="str">
        <f t="shared" si="1487"/>
        <v/>
      </c>
      <c r="BV244" t="str">
        <f t="shared" si="1488"/>
        <v/>
      </c>
      <c r="BW244" t="str">
        <f t="shared" si="1489"/>
        <v/>
      </c>
      <c r="BX244" t="str">
        <f t="shared" si="1490"/>
        <v/>
      </c>
      <c r="BY244" t="str">
        <f t="shared" si="1491"/>
        <v/>
      </c>
      <c r="BZ244" t="str">
        <f t="shared" si="1492"/>
        <v/>
      </c>
      <c r="CA244" t="str">
        <f t="shared" si="1493"/>
        <v/>
      </c>
      <c r="CB244" t="str">
        <f t="shared" si="1494"/>
        <v/>
      </c>
      <c r="CC244" t="str">
        <f t="shared" si="1495"/>
        <v/>
      </c>
      <c r="CD244" t="str">
        <f t="shared" si="1496"/>
        <v/>
      </c>
      <c r="CE244" t="str">
        <f t="shared" si="1497"/>
        <v/>
      </c>
      <c r="CF244" t="str">
        <f t="shared" si="1498"/>
        <v/>
      </c>
      <c r="CG244" t="str">
        <f t="shared" si="1499"/>
        <v/>
      </c>
      <c r="CH244" t="str">
        <f t="shared" si="1808"/>
        <v/>
      </c>
      <c r="CI244" t="str">
        <f t="shared" si="1809"/>
        <v/>
      </c>
      <c r="CJ244" t="str">
        <f>IF($CI244="","",IF(OR($DW244="",$DX244=""),"ONZEKER",IF(OR($CF244="",$CG244=""),"ONZEKER",IF(AND($DW244=$CF244+1,$DX244=$CG244),IF(OR(COUNTIF(#REF!,$B244)&gt;0,COUNTIF(#REF!,$B244)=0),"SKIP",IF(COUNTIFS(#REF!,$B244,#REF!,$CI244)&gt;0,"OK","ONBEKEND")),IF(AND($DW244=$CF244,$DX244=$CG244+1),IF(OR(COUNTIF(#REF!,$D244)&gt;0,COUNTIF(#REF!,$D244)=0),"SKIP",IF(COUNTIFS(#REF!,$D244,#REF!,$CI244)&gt;0,"OK","ONBEKEND")),"ONZEKER")))))</f>
        <v/>
      </c>
      <c r="CK244" t="str">
        <f t="shared" si="1810"/>
        <v/>
      </c>
      <c r="CL244" t="str">
        <f t="shared" si="1811"/>
        <v/>
      </c>
      <c r="CM244" t="str">
        <f>IF($CL244="","",IF(OR($DZ244="",$EA244=""),"ONZEKER",IF(OR($DW244="",$DX244=""),"ONZEKER",IF(AND($DZ244=$DW244+1,$EA244=$DX244),IF(OR(COUNTIF(#REF!,$B244)&gt;0,COUNTIF(#REF!,$B244)=0),"SKIP",IF(COUNTIFS(#REF!,$B244,#REF!,$CL244)&gt;0,"OK","ONBEKEND")),IF(AND($DZ244=$DW244,$EA244=$DX244+1),IF(OR(COUNTIF(#REF!,$D244)&gt;0,COUNTIF(#REF!,$D244)=0),"SKIP",IF(COUNTIFS(#REF!,$D244,#REF!,$CL244)&gt;0,"OK","ONBEKEND")),"ONZEKER")))))</f>
        <v/>
      </c>
      <c r="CN244" t="str">
        <f t="shared" si="1812"/>
        <v/>
      </c>
      <c r="CO244" t="str">
        <f t="shared" si="1813"/>
        <v/>
      </c>
      <c r="CP244" t="str">
        <f>IF($CO244="","",IF(OR($EC244="",$ED244=""),"ONZEKER",IF(OR($DZ244="",$EA244=""),"ONZEKER",IF(AND($EC244=$DZ244+1,$ED244=$EA244),IF(OR(COUNTIF(#REF!,$B244)&gt;0,COUNTIF(#REF!,$B244)=0),"SKIP",IF(COUNTIFS(#REF!,$B244,#REF!,$CO244)&gt;0,"OK","ONBEKEND")),IF(AND($EC244=$DZ244,$ED244=$EA244+1),IF(OR(COUNTIF(#REF!,$D244)&gt;0,COUNTIF(#REF!,$D244)=0),"SKIP",IF(COUNTIFS(#REF!,$D244,#REF!,$CO244)&gt;0,"OK","ONBEKEND")),"ONZEKER")))))</f>
        <v/>
      </c>
      <c r="CQ244" t="str">
        <f t="shared" si="1814"/>
        <v/>
      </c>
      <c r="CR244" t="str">
        <f t="shared" si="1815"/>
        <v/>
      </c>
      <c r="CS244" t="str">
        <f>IF($CR244="","",IF(OR($EF244="",$EG244=""),"ONZEKER",IF(OR($EC244="",$ED244=""),"ONZEKER",IF(AND($EF244=$EC244+1,$EG244=$ED244),IF(OR(COUNTIF(#REF!,$B244)&gt;0,COUNTIF(#REF!,$B244)=0),"SKIP",IF(COUNTIFS(#REF!,$B244,#REF!,$CR244)&gt;0,"OK","ONBEKEND")),IF(AND($EF244=$EC244,$EG244=$ED244+1),IF(OR(COUNTIF(#REF!,$D244)&gt;0,COUNTIF(#REF!,$D244)=0),"SKIP",IF(COUNTIFS(#REF!,$D244,#REF!,$CR244)&gt;0,"OK","ONBEKEND")),"ONZEKER")))))</f>
        <v/>
      </c>
      <c r="CT244" t="str">
        <f t="shared" si="1816"/>
        <v/>
      </c>
      <c r="CU244" t="str">
        <f t="shared" si="1817"/>
        <v/>
      </c>
      <c r="CV244" t="str">
        <f>IF($CU244="","",IF(OR($EI244="",$EJ244=""),"ONZEKER",IF(OR($EF244="",$EG244=""),"ONZEKER",IF(AND($EI244=$EF244+1,$EJ244=$EG244),IF(OR(COUNTIF(#REF!,$B244)&gt;0,COUNTIF(#REF!,$B244)=0),"SKIP",IF(COUNTIFS(#REF!,$B244,#REF!,$CU244)&gt;0,"OK","ONBEKEND")),IF(AND($EI244=$EF244,$EJ244=$EG244+1),IF(OR(COUNTIF(#REF!,$D244)&gt;0,COUNTIF(#REF!,$D244)=0),"SKIP",IF(COUNTIFS(#REF!,$D244,#REF!,$CU244)&gt;0,"OK","ONBEKEND")),"ONZEKER")))))</f>
        <v/>
      </c>
      <c r="CW244" t="str">
        <f t="shared" si="1818"/>
        <v/>
      </c>
      <c r="CX244" t="str">
        <f t="shared" si="1819"/>
        <v/>
      </c>
      <c r="CY244" t="str">
        <f>IF($CX244="","",IF(OR($EL244="",$EM244=""),"ONZEKER",IF(OR($EI244="",$EJ244=""),"ONZEKER",IF(AND($EL244=$EI244+1,$EM244=$EJ244),IF(OR(COUNTIF(#REF!,$B244)&gt;0,COUNTIF(#REF!,$B244)=0),"SKIP",IF(COUNTIFS(#REF!,$B244,#REF!,$CX244)&gt;0,"OK","ONBEKEND")),IF(AND($EL244=$EI244,$EM244=$EJ244+1),IF(OR(COUNTIF(#REF!,$D244)&gt;0,COUNTIF(#REF!,$D244)=0),"SKIP",IF(COUNTIFS(#REF!,$D244,#REF!,$CX244)&gt;0,"OK","ONBEKEND")),"ONZEKER")))))</f>
        <v/>
      </c>
      <c r="CZ244" t="str">
        <f t="shared" si="1820"/>
        <v/>
      </c>
      <c r="DA244" t="str">
        <f t="shared" si="1821"/>
        <v/>
      </c>
      <c r="DB244" t="str">
        <f>IF($DA244="","",IF(OR($EO244="",$EP244=""),"ONZEKER",IF(OR($EL244="",$EM244=""),"ONZEKER",IF(AND($EO244=$EL244+1,$EP244=$EM244),IF(OR(COUNTIF(#REF!,$B244)&gt;0,COUNTIF(#REF!,$B244)=0),"SKIP",IF(COUNTIFS(#REF!,$B244,#REF!,$DA244)&gt;0,"OK","ONBEKEND")),IF(AND($EO244=$EL244,$EP244=$EM244+1),IF(OR(COUNTIF(#REF!,$D244)&gt;0,COUNTIF(#REF!,$D244)=0),"SKIP",IF(COUNTIFS(#REF!,$D244,#REF!,$DA244)&gt;0,"OK","ONBEKEND")),"ONZEKER")))))</f>
        <v/>
      </c>
      <c r="DC244" t="str">
        <f t="shared" si="1822"/>
        <v/>
      </c>
      <c r="DD244" t="str">
        <f t="shared" si="1823"/>
        <v/>
      </c>
      <c r="DE244" t="str">
        <f>IF($DD244="","",IF(OR($ER244="",$ES244=""),"ONZEKER",IF(OR($EO244="",$EP244=""),"ONZEKER",IF(AND($ER244=$EO244+1,$ES244=$EP244),IF(OR(COUNTIF(#REF!,$B244)&gt;0,COUNTIF(#REF!,$B244)=0),"SKIP",IF(COUNTIFS(#REF!,$B244,#REF!,$DD244)&gt;0,"OK","ONBEKEND")),IF(AND($ER244=$EO244,$ES244=$EP244+1),IF(OR(COUNTIF(#REF!,$D244)&gt;0,COUNTIF(#REF!,$D244)=0),"SKIP",IF(COUNTIFS(#REF!,$D244,#REF!,$DD244)&gt;0,"OK","ONBEKEND")),"ONZEKER")))))</f>
        <v/>
      </c>
      <c r="DF244" t="str">
        <f t="shared" si="1824"/>
        <v/>
      </c>
      <c r="DG244" t="str">
        <f t="shared" si="1825"/>
        <v/>
      </c>
      <c r="DH244" t="str">
        <f>IF($DG244="","",IF(OR($EU244="",$EV244=""),"ONZEKER",IF(OR($ER244="",$ES244=""),"ONZEKER",IF(AND($EU244=$ER244+1,$EV244=$ES244),IF(OR(COUNTIF(#REF!,$B244)&gt;0,COUNTIF(#REF!,$B244)=0),"SKIP",IF(COUNTIFS(#REF!,$B244,#REF!,$DG244)&gt;0,"OK","ONBEKEND")),IF(AND($EU244=$ER244,$EV244=$ES244+1),IF(OR(COUNTIF(#REF!,$D244)&gt;0,COUNTIF(#REF!,$D244)=0),"SKIP",IF(COUNTIFS(#REF!,$D244,#REF!,$DG244)&gt;0,"OK","ONBEKEND")),"ONZEKER")))))</f>
        <v/>
      </c>
      <c r="DI244" t="str">
        <f t="shared" si="1826"/>
        <v/>
      </c>
      <c r="DJ244" t="str">
        <f t="shared" si="1827"/>
        <v/>
      </c>
      <c r="DK244" t="str">
        <f>IF($DJ244="","",IF(OR($EX244="",$EY244=""),"ONZEKER",IF(OR($EU244="",$EV244=""),"ONZEKER",IF(AND($EX244=$EU244+1,$EY244=$EV244),IF(OR(COUNTIF(#REF!,$B244)&gt;0,COUNTIF(#REF!,$B244)=0),"SKIP",IF(COUNTIFS(#REF!,$B244,#REF!,$DJ244)&gt;0,"OK","ONBEKEND")),IF(AND($EX244=$EU244,$EY244=$EV244+1),IF(OR(COUNTIF(#REF!,$D244)&gt;0,COUNTIF(#REF!,$D244)=0),"SKIP",IF(COUNTIFS(#REF!,$D244,#REF!,$DJ244)&gt;0,"OK","ONBEKEND")),"ONZEKER")))))</f>
        <v/>
      </c>
      <c r="DL244" t="str">
        <f t="shared" si="1828"/>
        <v/>
      </c>
      <c r="DM244" t="str">
        <f t="shared" si="1829"/>
        <v/>
      </c>
      <c r="DN244" t="str">
        <f t="shared" si="1830"/>
        <v/>
      </c>
      <c r="DO244" t="str">
        <f t="shared" si="1831"/>
        <v/>
      </c>
      <c r="DP244" t="str">
        <f t="shared" si="1832"/>
        <v/>
      </c>
      <c r="DQ244" t="str">
        <f t="shared" si="1833"/>
        <v/>
      </c>
      <c r="DR244" t="str">
        <f t="shared" si="1834"/>
        <v/>
      </c>
      <c r="DS244" t="str">
        <f t="shared" si="1835"/>
        <v/>
      </c>
      <c r="DT244" t="str">
        <f t="shared" si="1836"/>
        <v/>
      </c>
      <c r="DU244" t="str">
        <f t="shared" si="1837"/>
        <v/>
      </c>
      <c r="DV244" t="str">
        <f t="shared" si="1838"/>
        <v/>
      </c>
      <c r="DW244" t="str">
        <f t="shared" si="1839"/>
        <v/>
      </c>
      <c r="DX244" t="str">
        <f t="shared" si="1840"/>
        <v/>
      </c>
      <c r="DY244" t="str">
        <f t="shared" si="1841"/>
        <v/>
      </c>
      <c r="DZ244" t="str">
        <f t="shared" si="1842"/>
        <v/>
      </c>
      <c r="EA244" t="str">
        <f t="shared" si="1843"/>
        <v/>
      </c>
      <c r="EB244" t="str">
        <f t="shared" si="1844"/>
        <v/>
      </c>
      <c r="EC244" t="str">
        <f t="shared" si="1845"/>
        <v/>
      </c>
      <c r="ED244" t="str">
        <f t="shared" si="1846"/>
        <v/>
      </c>
      <c r="EE244" t="str">
        <f t="shared" si="1847"/>
        <v/>
      </c>
      <c r="EF244" t="str">
        <f t="shared" si="1848"/>
        <v/>
      </c>
      <c r="EG244" t="str">
        <f t="shared" si="1849"/>
        <v/>
      </c>
      <c r="EH244" t="str">
        <f t="shared" si="1850"/>
        <v/>
      </c>
      <c r="EI244" t="str">
        <f t="shared" si="1851"/>
        <v/>
      </c>
      <c r="EJ244" t="str">
        <f t="shared" si="1852"/>
        <v/>
      </c>
      <c r="EK244" t="str">
        <f t="shared" si="1853"/>
        <v/>
      </c>
      <c r="EL244" t="str">
        <f t="shared" si="1854"/>
        <v/>
      </c>
      <c r="EM244" t="str">
        <f t="shared" si="1855"/>
        <v/>
      </c>
      <c r="EN244" t="str">
        <f t="shared" si="1856"/>
        <v/>
      </c>
      <c r="EO244" t="str">
        <f t="shared" si="1857"/>
        <v/>
      </c>
      <c r="EP244" t="str">
        <f t="shared" si="1858"/>
        <v/>
      </c>
      <c r="EQ244" t="str">
        <f t="shared" si="1859"/>
        <v/>
      </c>
      <c r="ER244" t="str">
        <f t="shared" si="1860"/>
        <v/>
      </c>
      <c r="ES244" t="str">
        <f t="shared" si="1861"/>
        <v/>
      </c>
      <c r="ET244" t="str">
        <f t="shared" si="1862"/>
        <v/>
      </c>
      <c r="EU244" t="str">
        <f t="shared" si="1863"/>
        <v/>
      </c>
      <c r="EV244" t="str">
        <f t="shared" si="1864"/>
        <v/>
      </c>
      <c r="EW244" t="str">
        <f t="shared" si="1865"/>
        <v/>
      </c>
      <c r="EX244" t="str">
        <f t="shared" si="1866"/>
        <v/>
      </c>
      <c r="EY244" t="str">
        <f t="shared" si="1867"/>
        <v/>
      </c>
    </row>
    <row r="245" spans="1:155" ht="13.9" customHeight="1" x14ac:dyDescent="0.25">
      <c r="A245" s="7"/>
      <c r="B245" s="17"/>
      <c r="C245" s="8"/>
      <c r="D245" s="17"/>
      <c r="E245" s="8"/>
      <c r="F245" s="18">
        <v>0</v>
      </c>
      <c r="G245" s="7" t="s">
        <v>147</v>
      </c>
      <c r="H245" s="18">
        <v>0</v>
      </c>
      <c r="I245" s="19">
        <v>0</v>
      </c>
      <c r="J245" s="7" t="s">
        <v>147</v>
      </c>
      <c r="K245" s="19">
        <v>0</v>
      </c>
      <c r="L245" s="9"/>
      <c r="M245" s="3" t="str">
        <f>IF($L245="","",IF($L245="DOELPUNTENMAKERS","",IF(AND(COUNTIF(#REF!,$B245)=0,COUNTIF(#REF!,$D245)=0),"OK",IF($O245&gt;20,"LET OP: meer dan 20 items (controle onvolledig)",IF((COUNTIF($R245:$AS245,"ONZEKER")+COUNTIF($CJ245:$DK245,"ONZEKER"))&gt;0,"LET OP: scoreverloop onduidelijk (controle beperkt)",IF((IF($AT245&lt;&gt;"",$AT245&amp;", ","")&amp;IF($AU245&lt;&gt;"",$AU245&amp;", ","")&amp;IF($AV245&lt;&gt;"",$AV245&amp;", ","")&amp;IF($AW245&lt;&gt;"",$AW245&amp;", ","")&amp;IF($AX245&lt;&gt;"",$AX245&amp;", ","")&amp;IF($AY245&lt;&gt;"",$AY245&amp;", ","")&amp;IF($AZ245&lt;&gt;"",$AZ245&amp;", ","")&amp;IF($BA245&lt;&gt;"",$BA245&amp;", ","")&amp;IF($BB245&lt;&gt;"",$BB245&amp;", ","")&amp;IF($BC245&lt;&gt;"",$BC245&amp;", ","")&amp;IF($DL245&lt;&gt;"",$DL245&amp;", ","")&amp;IF($DM245&lt;&gt;"",$DM245&amp;", ","")&amp;IF($DN245&lt;&gt;"",$DN245&amp;", ","")&amp;IF($DO245&lt;&gt;"",$DO245&amp;", ","")&amp;IF($DP245&lt;&gt;"",$DP245&amp;", ","")&amp;IF($DQ245&lt;&gt;"",$DQ245&amp;", ","")&amp;IF($DR245&lt;&gt;"",$DR245&amp;", ","")&amp;IF($DS245&lt;&gt;"",$DS245&amp;", ","")&amp;IF($DT245&lt;&gt;"",$DT245&amp;", ","")&amp;IF($DU245&lt;&gt;"",$DU245&amp;", ",""))="","OK","Onbekend: "&amp;LEFT((IF($AT245&lt;&gt;"",$AT245&amp;", ","")&amp;IF($AU245&lt;&gt;"",$AU245&amp;", ","")&amp;IF($AV245&lt;&gt;"",$AV245&amp;", ","")&amp;IF($AW245&lt;&gt;"",$AW245&amp;", ","")&amp;IF($AX245&lt;&gt;"",$AX245&amp;", ","")&amp;IF($AY245&lt;&gt;"",$AY245&amp;", ","")&amp;IF($AZ245&lt;&gt;"",$AZ245&amp;", ","")&amp;IF($BA245&lt;&gt;"",$BA245&amp;", ","")&amp;IF($BB245&lt;&gt;"",$BB245&amp;", ","")&amp;IF($BC245&lt;&gt;"",$BC245&amp;", ","")&amp;IF($DL245&lt;&gt;"",$DL245&amp;", ","")&amp;IF($DM245&lt;&gt;"",$DM245&amp;", ","")&amp;IF($DN245&lt;&gt;"",$DN245&amp;", ","")&amp;IF($DO245&lt;&gt;"",$DO245&amp;", ","")&amp;IF($DP245&lt;&gt;"",$DP245&amp;", ","")&amp;IF($DQ245&lt;&gt;"",$DQ245&amp;", ","")&amp;IF($DR245&lt;&gt;"",$DR245&amp;", ","")&amp;IF($DS245&lt;&gt;"",$DS245&amp;", ","")&amp;IF($DT245&lt;&gt;"",$DT245&amp;", ","")&amp;IF($DU245&lt;&gt;"",$DU245&amp;", ","")),LEN((IF($AT245&lt;&gt;"",$AT245&amp;", ","")&amp;IF($AU245&lt;&gt;"",$AU245&amp;", ","")&amp;IF($AV245&lt;&gt;"",$AV245&amp;", ","")&amp;IF($AW245&lt;&gt;"",$AW245&amp;", ","")&amp;IF($AX245&lt;&gt;"",$AX245&amp;", ","")&amp;IF($AY245&lt;&gt;"",$AY245&amp;", ","")&amp;IF($AZ245&lt;&gt;"",$AZ245&amp;", ","")&amp;IF($BA245&lt;&gt;"",$BA245&amp;", ","")&amp;IF($BB245&lt;&gt;"",$BB245&amp;", ","")&amp;IF($BC245&lt;&gt;"",$BC245&amp;", ","")&amp;IF($DL245&lt;&gt;"",$DL245&amp;", ","")&amp;IF($DM245&lt;&gt;"",$DM245&amp;", ","")&amp;IF($DN245&lt;&gt;"",$DN245&amp;", ","")&amp;IF($DO245&lt;&gt;"",$DO245&amp;", ","")&amp;IF($DP245&lt;&gt;"",$DP245&amp;", ","")&amp;IF($DQ245&lt;&gt;"",$DQ245&amp;", ","")&amp;IF($DR245&lt;&gt;"",$DR245&amp;", ","")&amp;IF($DS245&lt;&gt;"",$DS245&amp;", ","")&amp;IF($DT245&lt;&gt;"",$DT245&amp;", ","")&amp;IF($DU245&lt;&gt;"",$DU245&amp;", ","")))-2)))))))</f>
        <v/>
      </c>
      <c r="N245" t="str">
        <f t="shared" si="1776"/>
        <v/>
      </c>
      <c r="O245" t="str">
        <f t="shared" si="1777"/>
        <v/>
      </c>
      <c r="P245" t="str">
        <f t="shared" si="1778"/>
        <v/>
      </c>
      <c r="Q245" t="str">
        <f t="shared" si="1779"/>
        <v/>
      </c>
      <c r="R245" t="str">
        <f>IF($Q245="","",IF(OR($BE245="",$BF245=""),"ONZEKER",IF(AND($BE245=0+1,$BF245=0),IF(OR(COUNTIF(#REF!,$B245)&gt;0,COUNTIF(#REF!,$B245)=0),"SKIP",IF(COUNTIFS(#REF!,$B245,#REF!,$Q245)&gt;0,"OK","ONBEKEND")),IF(AND($BE245=0,$BF245=0+1),IF(OR(COUNTIF(#REF!,$D245)&gt;0,COUNTIF(#REF!,$D245)=0),"SKIP",IF(COUNTIFS(#REF!,$D245,#REF!,$Q245)&gt;0,"OK","ONBEKEND")),"ONZEKER"))))</f>
        <v/>
      </c>
      <c r="S245" t="str">
        <f t="shared" si="1780"/>
        <v/>
      </c>
      <c r="T245" t="str">
        <f t="shared" si="1781"/>
        <v/>
      </c>
      <c r="U245" t="str">
        <f>IF($T245="","",IF(OR($BH245="",$BI245=""),"ONZEKER",IF(OR($BE245="",$BF245=""),"ONZEKER",IF(AND($BH245=$BE245+1,$BI245=$BF245),IF(OR(COUNTIF(#REF!,$B245)&gt;0,COUNTIF(#REF!,$B245)=0),"SKIP",IF(COUNTIFS(#REF!,$B245,#REF!,$T245)&gt;0,"OK","ONBEKEND")),IF(AND($BH245=$BE245,$BI245=$BF245+1),IF(OR(COUNTIF(#REF!,$D245)&gt;0,COUNTIF(#REF!,$D245)=0),"SKIP",IF(COUNTIFS(#REF!,$D245,#REF!,$T245)&gt;0,"OK","ONBEKEND")),"ONZEKER")))))</f>
        <v/>
      </c>
      <c r="V245" t="str">
        <f t="shared" si="1782"/>
        <v/>
      </c>
      <c r="W245" t="str">
        <f t="shared" si="1783"/>
        <v/>
      </c>
      <c r="X245" t="str">
        <f>IF($W245="","",IF(OR($BK245="",$BL245=""),"ONZEKER",IF(OR($BH245="",$BI245=""),"ONZEKER",IF(AND($BK245=$BH245+1,$BL245=$BI245),IF(OR(COUNTIF(#REF!,$B245)&gt;0,COUNTIF(#REF!,$B245)=0),"SKIP",IF(COUNTIFS(#REF!,$B245,#REF!,$W245)&gt;0,"OK","ONBEKEND")),IF(AND($BK245=$BH245,$BL245=$BI245+1),IF(OR(COUNTIF(#REF!,$D245)&gt;0,COUNTIF(#REF!,$D245)=0),"SKIP",IF(COUNTIFS(#REF!,$D245,#REF!,$W245)&gt;0,"OK","ONBEKEND")),"ONZEKER")))))</f>
        <v/>
      </c>
      <c r="Y245" t="str">
        <f t="shared" si="1784"/>
        <v/>
      </c>
      <c r="Z245" t="str">
        <f t="shared" si="1785"/>
        <v/>
      </c>
      <c r="AA245" t="str">
        <f>IF($Z245="","",IF(OR($BN245="",$BO245=""),"ONZEKER",IF(OR($BK245="",$BL245=""),"ONZEKER",IF(AND($BN245=$BK245+1,$BO245=$BL245),IF(OR(COUNTIF(#REF!,$B245)&gt;0,COUNTIF(#REF!,$B245)=0),"SKIP",IF(COUNTIFS(#REF!,$B245,#REF!,$Z245)&gt;0,"OK","ONBEKEND")),IF(AND($BN245=$BK245,$BO245=$BL245+1),IF(OR(COUNTIF(#REF!,$D245)&gt;0,COUNTIF(#REF!,$D245)=0),"SKIP",IF(COUNTIFS(#REF!,$D245,#REF!,$Z245)&gt;0,"OK","ONBEKEND")),"ONZEKER")))))</f>
        <v/>
      </c>
      <c r="AB245" t="str">
        <f t="shared" si="1786"/>
        <v/>
      </c>
      <c r="AC245" t="str">
        <f t="shared" si="1787"/>
        <v/>
      </c>
      <c r="AD245" t="str">
        <f>IF($AC245="","",IF(OR($BQ245="",$BR245=""),"ONZEKER",IF(OR($BN245="",$BO245=""),"ONZEKER",IF(AND($BQ245=$BN245+1,$BR245=$BO245),IF(OR(COUNTIF(#REF!,$B245)&gt;0,COUNTIF(#REF!,$B245)=0),"SKIP",IF(COUNTIFS(#REF!,$B245,#REF!,$AC245)&gt;0,"OK","ONBEKEND")),IF(AND($BQ245=$BN245,$BR245=$BO245+1),IF(OR(COUNTIF(#REF!,$D245)&gt;0,COUNTIF(#REF!,$D245)=0),"SKIP",IF(COUNTIFS(#REF!,$D245,#REF!,$AC245)&gt;0,"OK","ONBEKEND")),"ONZEKER")))))</f>
        <v/>
      </c>
      <c r="AE245" t="str">
        <f t="shared" si="1788"/>
        <v/>
      </c>
      <c r="AF245" t="str">
        <f t="shared" si="1789"/>
        <v/>
      </c>
      <c r="AG245" t="str">
        <f>IF($AF245="","",IF(OR($BT245="",$BU245=""),"ONZEKER",IF(OR($BQ245="",$BR245=""),"ONZEKER",IF(AND($BT245=$BQ245+1,$BU245=$BR245),IF(OR(COUNTIF(#REF!,$B245)&gt;0,COUNTIF(#REF!,$B245)=0),"SKIP",IF(COUNTIFS(#REF!,$B245,#REF!,$AF245)&gt;0,"OK","ONBEKEND")),IF(AND($BT245=$BQ245,$BU245=$BR245+1),IF(OR(COUNTIF(#REF!,$D245)&gt;0,COUNTIF(#REF!,$D245)=0),"SKIP",IF(COUNTIFS(#REF!,$D245,#REF!,$AF245)&gt;0,"OK","ONBEKEND")),"ONZEKER")))))</f>
        <v/>
      </c>
      <c r="AH245" t="str">
        <f t="shared" si="1790"/>
        <v/>
      </c>
      <c r="AI245" t="str">
        <f t="shared" si="1791"/>
        <v/>
      </c>
      <c r="AJ245" t="str">
        <f>IF($AI245="","",IF(OR($BW245="",$BX245=""),"ONZEKER",IF(OR($BT245="",$BU245=""),"ONZEKER",IF(AND($BW245=$BT245+1,$BX245=$BU245),IF(OR(COUNTIF(#REF!,$B245)&gt;0,COUNTIF(#REF!,$B245)=0),"SKIP",IF(COUNTIFS(#REF!,$B245,#REF!,$AI245)&gt;0,"OK","ONBEKEND")),IF(AND($BW245=$BT245,$BX245=$BU245+1),IF(OR(COUNTIF(#REF!,$D245)&gt;0,COUNTIF(#REF!,$D245)=0),"SKIP",IF(COUNTIFS(#REF!,$D245,#REF!,$AI245)&gt;0,"OK","ONBEKEND")),"ONZEKER")))))</f>
        <v/>
      </c>
      <c r="AK245" t="str">
        <f t="shared" si="1792"/>
        <v/>
      </c>
      <c r="AL245" t="str">
        <f t="shared" si="1793"/>
        <v/>
      </c>
      <c r="AM245" t="str">
        <f>IF($AL245="","",IF(OR($BZ245="",$CA245=""),"ONZEKER",IF(OR($BW245="",$BX245=""),"ONZEKER",IF(AND($BZ245=$BW245+1,$CA245=$BX245),IF(OR(COUNTIF(#REF!,$B245)&gt;0,COUNTIF(#REF!,$B245)=0),"SKIP",IF(COUNTIFS(#REF!,$B245,#REF!,$AL245)&gt;0,"OK","ONBEKEND")),IF(AND($BZ245=$BW245,$CA245=$BX245+1),IF(OR(COUNTIF(#REF!,$D245)&gt;0,COUNTIF(#REF!,$D245)=0),"SKIP",IF(COUNTIFS(#REF!,$D245,#REF!,$AL245)&gt;0,"OK","ONBEKEND")),"ONZEKER")))))</f>
        <v/>
      </c>
      <c r="AN245" t="str">
        <f t="shared" si="1794"/>
        <v/>
      </c>
      <c r="AO245" t="str">
        <f t="shared" si="1795"/>
        <v/>
      </c>
      <c r="AP245" t="str">
        <f>IF($AO245="","",IF(OR($CC245="",$CD245=""),"ONZEKER",IF(OR($BZ245="",$CA245=""),"ONZEKER",IF(AND($CC245=$BZ245+1,$CD245=$CA245),IF(OR(COUNTIF(#REF!,$B245)&gt;0,COUNTIF(#REF!,$B245)=0),"SKIP",IF(COUNTIFS(#REF!,$B245,#REF!,$AO245)&gt;0,"OK","ONBEKEND")),IF(AND($CC245=$BZ245,$CD245=$CA245+1),IF(OR(COUNTIF(#REF!,$D245)&gt;0,COUNTIF(#REF!,$D245)=0),"SKIP",IF(COUNTIFS(#REF!,$D245,#REF!,$AO245)&gt;0,"OK","ONBEKEND")),"ONZEKER")))))</f>
        <v/>
      </c>
      <c r="AQ245" t="str">
        <f t="shared" si="1796"/>
        <v/>
      </c>
      <c r="AR245" t="str">
        <f t="shared" si="1797"/>
        <v/>
      </c>
      <c r="AS245" t="str">
        <f>IF($AR245="","",IF(OR($CF245="",$CG245=""),"ONZEKER",IF(OR($CC245="",$CD245=""),"ONZEKER",IF(AND($CF245=$CC245+1,$CG245=$CD245),IF(OR(COUNTIF(#REF!,$B245)&gt;0,COUNTIF(#REF!,$B245)=0),"SKIP",IF(COUNTIFS(#REF!,$B245,#REF!,$AR245)&gt;0,"OK","ONBEKEND")),IF(AND($CF245=$CC245,$CG245=$CD245+1),IF(OR(COUNTIF(#REF!,$D245)&gt;0,COUNTIF(#REF!,$D245)=0),"SKIP",IF(COUNTIFS(#REF!,$D245,#REF!,$AR245)&gt;0,"OK","ONBEKEND")),"ONZEKER")))))</f>
        <v/>
      </c>
      <c r="AT245" t="str">
        <f t="shared" si="1798"/>
        <v/>
      </c>
      <c r="AU245" t="str">
        <f t="shared" si="1799"/>
        <v/>
      </c>
      <c r="AV245" t="str">
        <f t="shared" si="1800"/>
        <v/>
      </c>
      <c r="AW245" t="str">
        <f t="shared" si="1801"/>
        <v/>
      </c>
      <c r="AX245" t="str">
        <f t="shared" si="1802"/>
        <v/>
      </c>
      <c r="AY245" t="str">
        <f t="shared" si="1803"/>
        <v/>
      </c>
      <c r="AZ245" t="str">
        <f t="shared" si="1804"/>
        <v/>
      </c>
      <c r="BA245" t="str">
        <f t="shared" si="1805"/>
        <v/>
      </c>
      <c r="BB245" t="str">
        <f t="shared" si="1806"/>
        <v/>
      </c>
      <c r="BC245" t="str">
        <f t="shared" si="1807"/>
        <v/>
      </c>
      <c r="BD245" t="str">
        <f t="shared" si="1470"/>
        <v/>
      </c>
      <c r="BE245" t="str">
        <f t="shared" si="1471"/>
        <v/>
      </c>
      <c r="BF245" t="str">
        <f t="shared" si="1472"/>
        <v/>
      </c>
      <c r="BG245" t="str">
        <f t="shared" si="1473"/>
        <v/>
      </c>
      <c r="BH245" t="str">
        <f t="shared" si="1474"/>
        <v/>
      </c>
      <c r="BI245" t="str">
        <f t="shared" si="1475"/>
        <v/>
      </c>
      <c r="BJ245" t="str">
        <f t="shared" si="1476"/>
        <v/>
      </c>
      <c r="BK245" t="str">
        <f t="shared" si="1477"/>
        <v/>
      </c>
      <c r="BL245" t="str">
        <f t="shared" si="1478"/>
        <v/>
      </c>
      <c r="BM245" t="str">
        <f t="shared" si="1479"/>
        <v/>
      </c>
      <c r="BN245" t="str">
        <f t="shared" si="1480"/>
        <v/>
      </c>
      <c r="BO245" t="str">
        <f t="shared" si="1481"/>
        <v/>
      </c>
      <c r="BP245" t="str">
        <f t="shared" si="1482"/>
        <v/>
      </c>
      <c r="BQ245" t="str">
        <f t="shared" si="1483"/>
        <v/>
      </c>
      <c r="BR245" t="str">
        <f t="shared" si="1484"/>
        <v/>
      </c>
      <c r="BS245" t="str">
        <f t="shared" si="1485"/>
        <v/>
      </c>
      <c r="BT245" t="str">
        <f t="shared" si="1486"/>
        <v/>
      </c>
      <c r="BU245" t="str">
        <f t="shared" si="1487"/>
        <v/>
      </c>
      <c r="BV245" t="str">
        <f t="shared" si="1488"/>
        <v/>
      </c>
      <c r="BW245" t="str">
        <f t="shared" si="1489"/>
        <v/>
      </c>
      <c r="BX245" t="str">
        <f t="shared" si="1490"/>
        <v/>
      </c>
      <c r="BY245" t="str">
        <f t="shared" si="1491"/>
        <v/>
      </c>
      <c r="BZ245" t="str">
        <f t="shared" si="1492"/>
        <v/>
      </c>
      <c r="CA245" t="str">
        <f t="shared" si="1493"/>
        <v/>
      </c>
      <c r="CB245" t="str">
        <f t="shared" si="1494"/>
        <v/>
      </c>
      <c r="CC245" t="str">
        <f t="shared" si="1495"/>
        <v/>
      </c>
      <c r="CD245" t="str">
        <f t="shared" si="1496"/>
        <v/>
      </c>
      <c r="CE245" t="str">
        <f t="shared" si="1497"/>
        <v/>
      </c>
      <c r="CF245" t="str">
        <f t="shared" si="1498"/>
        <v/>
      </c>
      <c r="CG245" t="str">
        <f t="shared" si="1499"/>
        <v/>
      </c>
      <c r="CH245" t="str">
        <f t="shared" si="1808"/>
        <v/>
      </c>
      <c r="CI245" t="str">
        <f t="shared" si="1809"/>
        <v/>
      </c>
      <c r="CJ245" t="str">
        <f>IF($CI245="","",IF(OR($DW245="",$DX245=""),"ONZEKER",IF(OR($CF245="",$CG245=""),"ONZEKER",IF(AND($DW245=$CF245+1,$DX245=$CG245),IF(OR(COUNTIF(#REF!,$B245)&gt;0,COUNTIF(#REF!,$B245)=0),"SKIP",IF(COUNTIFS(#REF!,$B245,#REF!,$CI245)&gt;0,"OK","ONBEKEND")),IF(AND($DW245=$CF245,$DX245=$CG245+1),IF(OR(COUNTIF(#REF!,$D245)&gt;0,COUNTIF(#REF!,$D245)=0),"SKIP",IF(COUNTIFS(#REF!,$D245,#REF!,$CI245)&gt;0,"OK","ONBEKEND")),"ONZEKER")))))</f>
        <v/>
      </c>
      <c r="CK245" t="str">
        <f t="shared" si="1810"/>
        <v/>
      </c>
      <c r="CL245" t="str">
        <f t="shared" si="1811"/>
        <v/>
      </c>
      <c r="CM245" t="str">
        <f>IF($CL245="","",IF(OR($DZ245="",$EA245=""),"ONZEKER",IF(OR($DW245="",$DX245=""),"ONZEKER",IF(AND($DZ245=$DW245+1,$EA245=$DX245),IF(OR(COUNTIF(#REF!,$B245)&gt;0,COUNTIF(#REF!,$B245)=0),"SKIP",IF(COUNTIFS(#REF!,$B245,#REF!,$CL245)&gt;0,"OK","ONBEKEND")),IF(AND($DZ245=$DW245,$EA245=$DX245+1),IF(OR(COUNTIF(#REF!,$D245)&gt;0,COUNTIF(#REF!,$D245)=0),"SKIP",IF(COUNTIFS(#REF!,$D245,#REF!,$CL245)&gt;0,"OK","ONBEKEND")),"ONZEKER")))))</f>
        <v/>
      </c>
      <c r="CN245" t="str">
        <f t="shared" si="1812"/>
        <v/>
      </c>
      <c r="CO245" t="str">
        <f t="shared" si="1813"/>
        <v/>
      </c>
      <c r="CP245" t="str">
        <f>IF($CO245="","",IF(OR($EC245="",$ED245=""),"ONZEKER",IF(OR($DZ245="",$EA245=""),"ONZEKER",IF(AND($EC245=$DZ245+1,$ED245=$EA245),IF(OR(COUNTIF(#REF!,$B245)&gt;0,COUNTIF(#REF!,$B245)=0),"SKIP",IF(COUNTIFS(#REF!,$B245,#REF!,$CO245)&gt;0,"OK","ONBEKEND")),IF(AND($EC245=$DZ245,$ED245=$EA245+1),IF(OR(COUNTIF(#REF!,$D245)&gt;0,COUNTIF(#REF!,$D245)=0),"SKIP",IF(COUNTIFS(#REF!,$D245,#REF!,$CO245)&gt;0,"OK","ONBEKEND")),"ONZEKER")))))</f>
        <v/>
      </c>
      <c r="CQ245" t="str">
        <f t="shared" si="1814"/>
        <v/>
      </c>
      <c r="CR245" t="str">
        <f t="shared" si="1815"/>
        <v/>
      </c>
      <c r="CS245" t="str">
        <f>IF($CR245="","",IF(OR($EF245="",$EG245=""),"ONZEKER",IF(OR($EC245="",$ED245=""),"ONZEKER",IF(AND($EF245=$EC245+1,$EG245=$ED245),IF(OR(COUNTIF(#REF!,$B245)&gt;0,COUNTIF(#REF!,$B245)=0),"SKIP",IF(COUNTIFS(#REF!,$B245,#REF!,$CR245)&gt;0,"OK","ONBEKEND")),IF(AND($EF245=$EC245,$EG245=$ED245+1),IF(OR(COUNTIF(#REF!,$D245)&gt;0,COUNTIF(#REF!,$D245)=0),"SKIP",IF(COUNTIFS(#REF!,$D245,#REF!,$CR245)&gt;0,"OK","ONBEKEND")),"ONZEKER")))))</f>
        <v/>
      </c>
      <c r="CT245" t="str">
        <f t="shared" si="1816"/>
        <v/>
      </c>
      <c r="CU245" t="str">
        <f t="shared" si="1817"/>
        <v/>
      </c>
      <c r="CV245" t="str">
        <f>IF($CU245="","",IF(OR($EI245="",$EJ245=""),"ONZEKER",IF(OR($EF245="",$EG245=""),"ONZEKER",IF(AND($EI245=$EF245+1,$EJ245=$EG245),IF(OR(COUNTIF(#REF!,$B245)&gt;0,COUNTIF(#REF!,$B245)=0),"SKIP",IF(COUNTIFS(#REF!,$B245,#REF!,$CU245)&gt;0,"OK","ONBEKEND")),IF(AND($EI245=$EF245,$EJ245=$EG245+1),IF(OR(COUNTIF(#REF!,$D245)&gt;0,COUNTIF(#REF!,$D245)=0),"SKIP",IF(COUNTIFS(#REF!,$D245,#REF!,$CU245)&gt;0,"OK","ONBEKEND")),"ONZEKER")))))</f>
        <v/>
      </c>
      <c r="CW245" t="str">
        <f t="shared" si="1818"/>
        <v/>
      </c>
      <c r="CX245" t="str">
        <f t="shared" si="1819"/>
        <v/>
      </c>
      <c r="CY245" t="str">
        <f>IF($CX245="","",IF(OR($EL245="",$EM245=""),"ONZEKER",IF(OR($EI245="",$EJ245=""),"ONZEKER",IF(AND($EL245=$EI245+1,$EM245=$EJ245),IF(OR(COUNTIF(#REF!,$B245)&gt;0,COUNTIF(#REF!,$B245)=0),"SKIP",IF(COUNTIFS(#REF!,$B245,#REF!,$CX245)&gt;0,"OK","ONBEKEND")),IF(AND($EL245=$EI245,$EM245=$EJ245+1),IF(OR(COUNTIF(#REF!,$D245)&gt;0,COUNTIF(#REF!,$D245)=0),"SKIP",IF(COUNTIFS(#REF!,$D245,#REF!,$CX245)&gt;0,"OK","ONBEKEND")),"ONZEKER")))))</f>
        <v/>
      </c>
      <c r="CZ245" t="str">
        <f t="shared" si="1820"/>
        <v/>
      </c>
      <c r="DA245" t="str">
        <f t="shared" si="1821"/>
        <v/>
      </c>
      <c r="DB245" t="str">
        <f>IF($DA245="","",IF(OR($EO245="",$EP245=""),"ONZEKER",IF(OR($EL245="",$EM245=""),"ONZEKER",IF(AND($EO245=$EL245+1,$EP245=$EM245),IF(OR(COUNTIF(#REF!,$B245)&gt;0,COUNTIF(#REF!,$B245)=0),"SKIP",IF(COUNTIFS(#REF!,$B245,#REF!,$DA245)&gt;0,"OK","ONBEKEND")),IF(AND($EO245=$EL245,$EP245=$EM245+1),IF(OR(COUNTIF(#REF!,$D245)&gt;0,COUNTIF(#REF!,$D245)=0),"SKIP",IF(COUNTIFS(#REF!,$D245,#REF!,$DA245)&gt;0,"OK","ONBEKEND")),"ONZEKER")))))</f>
        <v/>
      </c>
      <c r="DC245" t="str">
        <f t="shared" si="1822"/>
        <v/>
      </c>
      <c r="DD245" t="str">
        <f t="shared" si="1823"/>
        <v/>
      </c>
      <c r="DE245" t="str">
        <f>IF($DD245="","",IF(OR($ER245="",$ES245=""),"ONZEKER",IF(OR($EO245="",$EP245=""),"ONZEKER",IF(AND($ER245=$EO245+1,$ES245=$EP245),IF(OR(COUNTIF(#REF!,$B245)&gt;0,COUNTIF(#REF!,$B245)=0),"SKIP",IF(COUNTIFS(#REF!,$B245,#REF!,$DD245)&gt;0,"OK","ONBEKEND")),IF(AND($ER245=$EO245,$ES245=$EP245+1),IF(OR(COUNTIF(#REF!,$D245)&gt;0,COUNTIF(#REF!,$D245)=0),"SKIP",IF(COUNTIFS(#REF!,$D245,#REF!,$DD245)&gt;0,"OK","ONBEKEND")),"ONZEKER")))))</f>
        <v/>
      </c>
      <c r="DF245" t="str">
        <f t="shared" si="1824"/>
        <v/>
      </c>
      <c r="DG245" t="str">
        <f t="shared" si="1825"/>
        <v/>
      </c>
      <c r="DH245" t="str">
        <f>IF($DG245="","",IF(OR($EU245="",$EV245=""),"ONZEKER",IF(OR($ER245="",$ES245=""),"ONZEKER",IF(AND($EU245=$ER245+1,$EV245=$ES245),IF(OR(COUNTIF(#REF!,$B245)&gt;0,COUNTIF(#REF!,$B245)=0),"SKIP",IF(COUNTIFS(#REF!,$B245,#REF!,$DG245)&gt;0,"OK","ONBEKEND")),IF(AND($EU245=$ER245,$EV245=$ES245+1),IF(OR(COUNTIF(#REF!,$D245)&gt;0,COUNTIF(#REF!,$D245)=0),"SKIP",IF(COUNTIFS(#REF!,$D245,#REF!,$DG245)&gt;0,"OK","ONBEKEND")),"ONZEKER")))))</f>
        <v/>
      </c>
      <c r="DI245" t="str">
        <f t="shared" si="1826"/>
        <v/>
      </c>
      <c r="DJ245" t="str">
        <f t="shared" si="1827"/>
        <v/>
      </c>
      <c r="DK245" t="str">
        <f>IF($DJ245="","",IF(OR($EX245="",$EY245=""),"ONZEKER",IF(OR($EU245="",$EV245=""),"ONZEKER",IF(AND($EX245=$EU245+1,$EY245=$EV245),IF(OR(COUNTIF(#REF!,$B245)&gt;0,COUNTIF(#REF!,$B245)=0),"SKIP",IF(COUNTIFS(#REF!,$B245,#REF!,$DJ245)&gt;0,"OK","ONBEKEND")),IF(AND($EX245=$EU245,$EY245=$EV245+1),IF(OR(COUNTIF(#REF!,$D245)&gt;0,COUNTIF(#REF!,$D245)=0),"SKIP",IF(COUNTIFS(#REF!,$D245,#REF!,$DJ245)&gt;0,"OK","ONBEKEND")),"ONZEKER")))))</f>
        <v/>
      </c>
      <c r="DL245" t="str">
        <f t="shared" si="1828"/>
        <v/>
      </c>
      <c r="DM245" t="str">
        <f t="shared" si="1829"/>
        <v/>
      </c>
      <c r="DN245" t="str">
        <f t="shared" si="1830"/>
        <v/>
      </c>
      <c r="DO245" t="str">
        <f t="shared" si="1831"/>
        <v/>
      </c>
      <c r="DP245" t="str">
        <f t="shared" si="1832"/>
        <v/>
      </c>
      <c r="DQ245" t="str">
        <f t="shared" si="1833"/>
        <v/>
      </c>
      <c r="DR245" t="str">
        <f t="shared" si="1834"/>
        <v/>
      </c>
      <c r="DS245" t="str">
        <f t="shared" si="1835"/>
        <v/>
      </c>
      <c r="DT245" t="str">
        <f t="shared" si="1836"/>
        <v/>
      </c>
      <c r="DU245" t="str">
        <f t="shared" si="1837"/>
        <v/>
      </c>
      <c r="DV245" t="str">
        <f t="shared" si="1838"/>
        <v/>
      </c>
      <c r="DW245" t="str">
        <f t="shared" si="1839"/>
        <v/>
      </c>
      <c r="DX245" t="str">
        <f t="shared" si="1840"/>
        <v/>
      </c>
      <c r="DY245" t="str">
        <f t="shared" si="1841"/>
        <v/>
      </c>
      <c r="DZ245" t="str">
        <f t="shared" si="1842"/>
        <v/>
      </c>
      <c r="EA245" t="str">
        <f t="shared" si="1843"/>
        <v/>
      </c>
      <c r="EB245" t="str">
        <f t="shared" si="1844"/>
        <v/>
      </c>
      <c r="EC245" t="str">
        <f t="shared" si="1845"/>
        <v/>
      </c>
      <c r="ED245" t="str">
        <f t="shared" si="1846"/>
        <v/>
      </c>
      <c r="EE245" t="str">
        <f t="shared" si="1847"/>
        <v/>
      </c>
      <c r="EF245" t="str">
        <f t="shared" si="1848"/>
        <v/>
      </c>
      <c r="EG245" t="str">
        <f t="shared" si="1849"/>
        <v/>
      </c>
      <c r="EH245" t="str">
        <f t="shared" si="1850"/>
        <v/>
      </c>
      <c r="EI245" t="str">
        <f t="shared" si="1851"/>
        <v/>
      </c>
      <c r="EJ245" t="str">
        <f t="shared" si="1852"/>
        <v/>
      </c>
      <c r="EK245" t="str">
        <f t="shared" si="1853"/>
        <v/>
      </c>
      <c r="EL245" t="str">
        <f t="shared" si="1854"/>
        <v/>
      </c>
      <c r="EM245" t="str">
        <f t="shared" si="1855"/>
        <v/>
      </c>
      <c r="EN245" t="str">
        <f t="shared" si="1856"/>
        <v/>
      </c>
      <c r="EO245" t="str">
        <f t="shared" si="1857"/>
        <v/>
      </c>
      <c r="EP245" t="str">
        <f t="shared" si="1858"/>
        <v/>
      </c>
      <c r="EQ245" t="str">
        <f t="shared" si="1859"/>
        <v/>
      </c>
      <c r="ER245" t="str">
        <f t="shared" si="1860"/>
        <v/>
      </c>
      <c r="ES245" t="str">
        <f t="shared" si="1861"/>
        <v/>
      </c>
      <c r="ET245" t="str">
        <f t="shared" si="1862"/>
        <v/>
      </c>
      <c r="EU245" t="str">
        <f t="shared" si="1863"/>
        <v/>
      </c>
      <c r="EV245" t="str">
        <f t="shared" si="1864"/>
        <v/>
      </c>
      <c r="EW245" t="str">
        <f t="shared" si="1865"/>
        <v/>
      </c>
      <c r="EX245" t="str">
        <f t="shared" si="1866"/>
        <v/>
      </c>
      <c r="EY245" t="str">
        <f t="shared" si="1867"/>
        <v/>
      </c>
    </row>
    <row r="246" spans="1:155" ht="13.9" customHeight="1" x14ac:dyDescent="0.25">
      <c r="M246" s="3" t="str">
        <f>IF($L246="","",IF($L246="DOELPUNTENMAKERS","",IF(AND(COUNTIF(#REF!,$B246)=0,COUNTIF(#REF!,$D246)=0),"OK",IF($O246&gt;20,"LET OP: meer dan 20 items (controle onvolledig)",IF((COUNTIF($R246:$AS246,"ONZEKER")+COUNTIF($CJ246:$DK246,"ONZEKER"))&gt;0,"LET OP: scoreverloop onduidelijk (controle beperkt)",IF((IF($AT246&lt;&gt;"",$AT246&amp;", ","")&amp;IF($AU246&lt;&gt;"",$AU246&amp;", ","")&amp;IF($AV246&lt;&gt;"",$AV246&amp;", ","")&amp;IF($AW246&lt;&gt;"",$AW246&amp;", ","")&amp;IF($AX246&lt;&gt;"",$AX246&amp;", ","")&amp;IF($AY246&lt;&gt;"",$AY246&amp;", ","")&amp;IF($AZ246&lt;&gt;"",$AZ246&amp;", ","")&amp;IF($BA246&lt;&gt;"",$BA246&amp;", ","")&amp;IF($BB246&lt;&gt;"",$BB246&amp;", ","")&amp;IF($BC246&lt;&gt;"",$BC246&amp;", ","")&amp;IF($DL246&lt;&gt;"",$DL246&amp;", ","")&amp;IF($DM246&lt;&gt;"",$DM246&amp;", ","")&amp;IF($DN246&lt;&gt;"",$DN246&amp;", ","")&amp;IF($DO246&lt;&gt;"",$DO246&amp;", ","")&amp;IF($DP246&lt;&gt;"",$DP246&amp;", ","")&amp;IF($DQ246&lt;&gt;"",$DQ246&amp;", ","")&amp;IF($DR246&lt;&gt;"",$DR246&amp;", ","")&amp;IF($DS246&lt;&gt;"",$DS246&amp;", ","")&amp;IF($DT246&lt;&gt;"",$DT246&amp;", ","")&amp;IF($DU246&lt;&gt;"",$DU246&amp;", ",""))="","OK","Onbekend: "&amp;LEFT((IF($AT246&lt;&gt;"",$AT246&amp;", ","")&amp;IF($AU246&lt;&gt;"",$AU246&amp;", ","")&amp;IF($AV246&lt;&gt;"",$AV246&amp;", ","")&amp;IF($AW246&lt;&gt;"",$AW246&amp;", ","")&amp;IF($AX246&lt;&gt;"",$AX246&amp;", ","")&amp;IF($AY246&lt;&gt;"",$AY246&amp;", ","")&amp;IF($AZ246&lt;&gt;"",$AZ246&amp;", ","")&amp;IF($BA246&lt;&gt;"",$BA246&amp;", ","")&amp;IF($BB246&lt;&gt;"",$BB246&amp;", ","")&amp;IF($BC246&lt;&gt;"",$BC246&amp;", ","")&amp;IF($DL246&lt;&gt;"",$DL246&amp;", ","")&amp;IF($DM246&lt;&gt;"",$DM246&amp;", ","")&amp;IF($DN246&lt;&gt;"",$DN246&amp;", ","")&amp;IF($DO246&lt;&gt;"",$DO246&amp;", ","")&amp;IF($DP246&lt;&gt;"",$DP246&amp;", ","")&amp;IF($DQ246&lt;&gt;"",$DQ246&amp;", ","")&amp;IF($DR246&lt;&gt;"",$DR246&amp;", ","")&amp;IF($DS246&lt;&gt;"",$DS246&amp;", ","")&amp;IF($DT246&lt;&gt;"",$DT246&amp;", ","")&amp;IF($DU246&lt;&gt;"",$DU246&amp;", ","")),LEN((IF($AT246&lt;&gt;"",$AT246&amp;", ","")&amp;IF($AU246&lt;&gt;"",$AU246&amp;", ","")&amp;IF($AV246&lt;&gt;"",$AV246&amp;", ","")&amp;IF($AW246&lt;&gt;"",$AW246&amp;", ","")&amp;IF($AX246&lt;&gt;"",$AX246&amp;", ","")&amp;IF($AY246&lt;&gt;"",$AY246&amp;", ","")&amp;IF($AZ246&lt;&gt;"",$AZ246&amp;", ","")&amp;IF($BA246&lt;&gt;"",$BA246&amp;", ","")&amp;IF($BB246&lt;&gt;"",$BB246&amp;", ","")&amp;IF($BC246&lt;&gt;"",$BC246&amp;", ","")&amp;IF($DL246&lt;&gt;"",$DL246&amp;", ","")&amp;IF($DM246&lt;&gt;"",$DM246&amp;", ","")&amp;IF($DN246&lt;&gt;"",$DN246&amp;", ","")&amp;IF($DO246&lt;&gt;"",$DO246&amp;", ","")&amp;IF($DP246&lt;&gt;"",$DP246&amp;", ","")&amp;IF($DQ246&lt;&gt;"",$DQ246&amp;", ","")&amp;IF($DR246&lt;&gt;"",$DR246&amp;", ","")&amp;IF($DS246&lt;&gt;"",$DS246&amp;", ","")&amp;IF($DT246&lt;&gt;"",$DT246&amp;", ","")&amp;IF($DU246&lt;&gt;"",$DU246&amp;", ","")))-2)))))))</f>
        <v/>
      </c>
      <c r="N246" t="str">
        <f t="shared" si="1776"/>
        <v/>
      </c>
      <c r="O246" t="str">
        <f t="shared" si="1777"/>
        <v/>
      </c>
      <c r="P246" t="str">
        <f t="shared" si="1778"/>
        <v/>
      </c>
      <c r="Q246" t="str">
        <f t="shared" si="1779"/>
        <v/>
      </c>
      <c r="R246" t="str">
        <f>IF($Q246="","",IF(OR($BE246="",$BF246=""),"ONZEKER",IF(AND($BE246=0+1,$BF246=0),IF(OR(COUNTIF(#REF!,$B246)&gt;0,COUNTIF(#REF!,$B246)=0),"SKIP",IF(COUNTIFS(#REF!,$B246,#REF!,$Q246)&gt;0,"OK","ONBEKEND")),IF(AND($BE246=0,$BF246=0+1),IF(OR(COUNTIF(#REF!,$D246)&gt;0,COUNTIF(#REF!,$D246)=0),"SKIP",IF(COUNTIFS(#REF!,$D246,#REF!,$Q246)&gt;0,"OK","ONBEKEND")),"ONZEKER"))))</f>
        <v/>
      </c>
      <c r="S246" t="str">
        <f t="shared" si="1780"/>
        <v/>
      </c>
      <c r="T246" t="str">
        <f t="shared" si="1781"/>
        <v/>
      </c>
      <c r="U246" t="str">
        <f>IF($T246="","",IF(OR($BH246="",$BI246=""),"ONZEKER",IF(OR($BE246="",$BF246=""),"ONZEKER",IF(AND($BH246=$BE246+1,$BI246=$BF246),IF(OR(COUNTIF(#REF!,$B246)&gt;0,COUNTIF(#REF!,$B246)=0),"SKIP",IF(COUNTIFS(#REF!,$B246,#REF!,$T246)&gt;0,"OK","ONBEKEND")),IF(AND($BH246=$BE246,$BI246=$BF246+1),IF(OR(COUNTIF(#REF!,$D246)&gt;0,COUNTIF(#REF!,$D246)=0),"SKIP",IF(COUNTIFS(#REF!,$D246,#REF!,$T246)&gt;0,"OK","ONBEKEND")),"ONZEKER")))))</f>
        <v/>
      </c>
      <c r="V246" t="str">
        <f t="shared" si="1782"/>
        <v/>
      </c>
      <c r="W246" t="str">
        <f t="shared" si="1783"/>
        <v/>
      </c>
      <c r="X246" t="str">
        <f>IF($W246="","",IF(OR($BK246="",$BL246=""),"ONZEKER",IF(OR($BH246="",$BI246=""),"ONZEKER",IF(AND($BK246=$BH246+1,$BL246=$BI246),IF(OR(COUNTIF(#REF!,$B246)&gt;0,COUNTIF(#REF!,$B246)=0),"SKIP",IF(COUNTIFS(#REF!,$B246,#REF!,$W246)&gt;0,"OK","ONBEKEND")),IF(AND($BK246=$BH246,$BL246=$BI246+1),IF(OR(COUNTIF(#REF!,$D246)&gt;0,COUNTIF(#REF!,$D246)=0),"SKIP",IF(COUNTIFS(#REF!,$D246,#REF!,$W246)&gt;0,"OK","ONBEKEND")),"ONZEKER")))))</f>
        <v/>
      </c>
      <c r="Y246" t="str">
        <f t="shared" si="1784"/>
        <v/>
      </c>
      <c r="Z246" t="str">
        <f t="shared" si="1785"/>
        <v/>
      </c>
      <c r="AA246" t="str">
        <f>IF($Z246="","",IF(OR($BN246="",$BO246=""),"ONZEKER",IF(OR($BK246="",$BL246=""),"ONZEKER",IF(AND($BN246=$BK246+1,$BO246=$BL246),IF(OR(COUNTIF(#REF!,$B246)&gt;0,COUNTIF(#REF!,$B246)=0),"SKIP",IF(COUNTIFS(#REF!,$B246,#REF!,$Z246)&gt;0,"OK","ONBEKEND")),IF(AND($BN246=$BK246,$BO246=$BL246+1),IF(OR(COUNTIF(#REF!,$D246)&gt;0,COUNTIF(#REF!,$D246)=0),"SKIP",IF(COUNTIFS(#REF!,$D246,#REF!,$Z246)&gt;0,"OK","ONBEKEND")),"ONZEKER")))))</f>
        <v/>
      </c>
      <c r="AB246" t="str">
        <f t="shared" si="1786"/>
        <v/>
      </c>
      <c r="AC246" t="str">
        <f t="shared" si="1787"/>
        <v/>
      </c>
      <c r="AD246" t="str">
        <f>IF($AC246="","",IF(OR($BQ246="",$BR246=""),"ONZEKER",IF(OR($BN246="",$BO246=""),"ONZEKER",IF(AND($BQ246=$BN246+1,$BR246=$BO246),IF(OR(COUNTIF(#REF!,$B246)&gt;0,COUNTIF(#REF!,$B246)=0),"SKIP",IF(COUNTIFS(#REF!,$B246,#REF!,$AC246)&gt;0,"OK","ONBEKEND")),IF(AND($BQ246=$BN246,$BR246=$BO246+1),IF(OR(COUNTIF(#REF!,$D246)&gt;0,COUNTIF(#REF!,$D246)=0),"SKIP",IF(COUNTIFS(#REF!,$D246,#REF!,$AC246)&gt;0,"OK","ONBEKEND")),"ONZEKER")))))</f>
        <v/>
      </c>
      <c r="AE246" t="str">
        <f t="shared" si="1788"/>
        <v/>
      </c>
      <c r="AF246" t="str">
        <f t="shared" si="1789"/>
        <v/>
      </c>
      <c r="AG246" t="str">
        <f>IF($AF246="","",IF(OR($BT246="",$BU246=""),"ONZEKER",IF(OR($BQ246="",$BR246=""),"ONZEKER",IF(AND($BT246=$BQ246+1,$BU246=$BR246),IF(OR(COUNTIF(#REF!,$B246)&gt;0,COUNTIF(#REF!,$B246)=0),"SKIP",IF(COUNTIFS(#REF!,$B246,#REF!,$AF246)&gt;0,"OK","ONBEKEND")),IF(AND($BT246=$BQ246,$BU246=$BR246+1),IF(OR(COUNTIF(#REF!,$D246)&gt;0,COUNTIF(#REF!,$D246)=0),"SKIP",IF(COUNTIFS(#REF!,$D246,#REF!,$AF246)&gt;0,"OK","ONBEKEND")),"ONZEKER")))))</f>
        <v/>
      </c>
      <c r="AH246" t="str">
        <f t="shared" si="1790"/>
        <v/>
      </c>
      <c r="AI246" t="str">
        <f t="shared" si="1791"/>
        <v/>
      </c>
      <c r="AJ246" t="str">
        <f>IF($AI246="","",IF(OR($BW246="",$BX246=""),"ONZEKER",IF(OR($BT246="",$BU246=""),"ONZEKER",IF(AND($BW246=$BT246+1,$BX246=$BU246),IF(OR(COUNTIF(#REF!,$B246)&gt;0,COUNTIF(#REF!,$B246)=0),"SKIP",IF(COUNTIFS(#REF!,$B246,#REF!,$AI246)&gt;0,"OK","ONBEKEND")),IF(AND($BW246=$BT246,$BX246=$BU246+1),IF(OR(COUNTIF(#REF!,$D246)&gt;0,COUNTIF(#REF!,$D246)=0),"SKIP",IF(COUNTIFS(#REF!,$D246,#REF!,$AI246)&gt;0,"OK","ONBEKEND")),"ONZEKER")))))</f>
        <v/>
      </c>
      <c r="AK246" t="str">
        <f t="shared" si="1792"/>
        <v/>
      </c>
      <c r="AL246" t="str">
        <f t="shared" si="1793"/>
        <v/>
      </c>
      <c r="AM246" t="str">
        <f>IF($AL246="","",IF(OR($BZ246="",$CA246=""),"ONZEKER",IF(OR($BW246="",$BX246=""),"ONZEKER",IF(AND($BZ246=$BW246+1,$CA246=$BX246),IF(OR(COUNTIF(#REF!,$B246)&gt;0,COUNTIF(#REF!,$B246)=0),"SKIP",IF(COUNTIFS(#REF!,$B246,#REF!,$AL246)&gt;0,"OK","ONBEKEND")),IF(AND($BZ246=$BW246,$CA246=$BX246+1),IF(OR(COUNTIF(#REF!,$D246)&gt;0,COUNTIF(#REF!,$D246)=0),"SKIP",IF(COUNTIFS(#REF!,$D246,#REF!,$AL246)&gt;0,"OK","ONBEKEND")),"ONZEKER")))))</f>
        <v/>
      </c>
      <c r="AN246" t="str">
        <f t="shared" si="1794"/>
        <v/>
      </c>
      <c r="AO246" t="str">
        <f t="shared" si="1795"/>
        <v/>
      </c>
      <c r="AP246" t="str">
        <f>IF($AO246="","",IF(OR($CC246="",$CD246=""),"ONZEKER",IF(OR($BZ246="",$CA246=""),"ONZEKER",IF(AND($CC246=$BZ246+1,$CD246=$CA246),IF(OR(COUNTIF(#REF!,$B246)&gt;0,COUNTIF(#REF!,$B246)=0),"SKIP",IF(COUNTIFS(#REF!,$B246,#REF!,$AO246)&gt;0,"OK","ONBEKEND")),IF(AND($CC246=$BZ246,$CD246=$CA246+1),IF(OR(COUNTIF(#REF!,$D246)&gt;0,COUNTIF(#REF!,$D246)=0),"SKIP",IF(COUNTIFS(#REF!,$D246,#REF!,$AO246)&gt;0,"OK","ONBEKEND")),"ONZEKER")))))</f>
        <v/>
      </c>
      <c r="AQ246" t="str">
        <f t="shared" si="1796"/>
        <v/>
      </c>
      <c r="AR246" t="str">
        <f t="shared" si="1797"/>
        <v/>
      </c>
      <c r="AS246" t="str">
        <f>IF($AR246="","",IF(OR($CF246="",$CG246=""),"ONZEKER",IF(OR($CC246="",$CD246=""),"ONZEKER",IF(AND($CF246=$CC246+1,$CG246=$CD246),IF(OR(COUNTIF(#REF!,$B246)&gt;0,COUNTIF(#REF!,$B246)=0),"SKIP",IF(COUNTIFS(#REF!,$B246,#REF!,$AR246)&gt;0,"OK","ONBEKEND")),IF(AND($CF246=$CC246,$CG246=$CD246+1),IF(OR(COUNTIF(#REF!,$D246)&gt;0,COUNTIF(#REF!,$D246)=0),"SKIP",IF(COUNTIFS(#REF!,$D246,#REF!,$AR246)&gt;0,"OK","ONBEKEND")),"ONZEKER")))))</f>
        <v/>
      </c>
      <c r="AT246" t="str">
        <f t="shared" si="1798"/>
        <v/>
      </c>
      <c r="AU246" t="str">
        <f t="shared" si="1799"/>
        <v/>
      </c>
      <c r="AV246" t="str">
        <f t="shared" si="1800"/>
        <v/>
      </c>
      <c r="AW246" t="str">
        <f t="shared" si="1801"/>
        <v/>
      </c>
      <c r="AX246" t="str">
        <f t="shared" si="1802"/>
        <v/>
      </c>
      <c r="AY246" t="str">
        <f t="shared" si="1803"/>
        <v/>
      </c>
      <c r="AZ246" t="str">
        <f t="shared" si="1804"/>
        <v/>
      </c>
      <c r="BA246" t="str">
        <f t="shared" si="1805"/>
        <v/>
      </c>
      <c r="BB246" t="str">
        <f t="shared" si="1806"/>
        <v/>
      </c>
      <c r="BC246" t="str">
        <f t="shared" si="1807"/>
        <v/>
      </c>
      <c r="BD246" t="str">
        <f t="shared" si="1470"/>
        <v/>
      </c>
      <c r="BE246" t="str">
        <f t="shared" si="1471"/>
        <v/>
      </c>
      <c r="BF246" t="str">
        <f t="shared" si="1472"/>
        <v/>
      </c>
      <c r="BG246" t="str">
        <f t="shared" si="1473"/>
        <v/>
      </c>
      <c r="BH246" t="str">
        <f t="shared" si="1474"/>
        <v/>
      </c>
      <c r="BI246" t="str">
        <f t="shared" si="1475"/>
        <v/>
      </c>
      <c r="BJ246" t="str">
        <f t="shared" si="1476"/>
        <v/>
      </c>
      <c r="BK246" t="str">
        <f t="shared" si="1477"/>
        <v/>
      </c>
      <c r="BL246" t="str">
        <f t="shared" si="1478"/>
        <v/>
      </c>
      <c r="BM246" t="str">
        <f t="shared" si="1479"/>
        <v/>
      </c>
      <c r="BN246" t="str">
        <f t="shared" si="1480"/>
        <v/>
      </c>
      <c r="BO246" t="str">
        <f t="shared" si="1481"/>
        <v/>
      </c>
      <c r="BP246" t="str">
        <f t="shared" si="1482"/>
        <v/>
      </c>
      <c r="BQ246" t="str">
        <f t="shared" si="1483"/>
        <v/>
      </c>
      <c r="BR246" t="str">
        <f t="shared" si="1484"/>
        <v/>
      </c>
      <c r="BS246" t="str">
        <f t="shared" si="1485"/>
        <v/>
      </c>
      <c r="BT246" t="str">
        <f t="shared" si="1486"/>
        <v/>
      </c>
      <c r="BU246" t="str">
        <f t="shared" si="1487"/>
        <v/>
      </c>
      <c r="BV246" t="str">
        <f t="shared" si="1488"/>
        <v/>
      </c>
      <c r="BW246" t="str">
        <f t="shared" si="1489"/>
        <v/>
      </c>
      <c r="BX246" t="str">
        <f t="shared" si="1490"/>
        <v/>
      </c>
      <c r="BY246" t="str">
        <f t="shared" si="1491"/>
        <v/>
      </c>
      <c r="BZ246" t="str">
        <f t="shared" si="1492"/>
        <v/>
      </c>
      <c r="CA246" t="str">
        <f t="shared" si="1493"/>
        <v/>
      </c>
      <c r="CB246" t="str">
        <f t="shared" si="1494"/>
        <v/>
      </c>
      <c r="CC246" t="str">
        <f t="shared" si="1495"/>
        <v/>
      </c>
      <c r="CD246" t="str">
        <f t="shared" si="1496"/>
        <v/>
      </c>
      <c r="CE246" t="str">
        <f t="shared" si="1497"/>
        <v/>
      </c>
      <c r="CF246" t="str">
        <f t="shared" si="1498"/>
        <v/>
      </c>
      <c r="CG246" t="str">
        <f t="shared" si="1499"/>
        <v/>
      </c>
      <c r="CH246" t="str">
        <f t="shared" si="1808"/>
        <v/>
      </c>
      <c r="CI246" t="str">
        <f t="shared" si="1809"/>
        <v/>
      </c>
      <c r="CJ246" t="str">
        <f>IF($CI246="","",IF(OR($DW246="",$DX246=""),"ONZEKER",IF(OR($CF246="",$CG246=""),"ONZEKER",IF(AND($DW246=$CF246+1,$DX246=$CG246),IF(OR(COUNTIF(#REF!,$B246)&gt;0,COUNTIF(#REF!,$B246)=0),"SKIP",IF(COUNTIFS(#REF!,$B246,#REF!,$CI246)&gt;0,"OK","ONBEKEND")),IF(AND($DW246=$CF246,$DX246=$CG246+1),IF(OR(COUNTIF(#REF!,$D246)&gt;0,COUNTIF(#REF!,$D246)=0),"SKIP",IF(COUNTIFS(#REF!,$D246,#REF!,$CI246)&gt;0,"OK","ONBEKEND")),"ONZEKER")))))</f>
        <v/>
      </c>
      <c r="CK246" t="str">
        <f t="shared" si="1810"/>
        <v/>
      </c>
      <c r="CL246" t="str">
        <f t="shared" si="1811"/>
        <v/>
      </c>
      <c r="CM246" t="str">
        <f>IF($CL246="","",IF(OR($DZ246="",$EA246=""),"ONZEKER",IF(OR($DW246="",$DX246=""),"ONZEKER",IF(AND($DZ246=$DW246+1,$EA246=$DX246),IF(OR(COUNTIF(#REF!,$B246)&gt;0,COUNTIF(#REF!,$B246)=0),"SKIP",IF(COUNTIFS(#REF!,$B246,#REF!,$CL246)&gt;0,"OK","ONBEKEND")),IF(AND($DZ246=$DW246,$EA246=$DX246+1),IF(OR(COUNTIF(#REF!,$D246)&gt;0,COUNTIF(#REF!,$D246)=0),"SKIP",IF(COUNTIFS(#REF!,$D246,#REF!,$CL246)&gt;0,"OK","ONBEKEND")),"ONZEKER")))))</f>
        <v/>
      </c>
      <c r="CN246" t="str">
        <f t="shared" si="1812"/>
        <v/>
      </c>
      <c r="CO246" t="str">
        <f t="shared" si="1813"/>
        <v/>
      </c>
      <c r="CP246" t="str">
        <f>IF($CO246="","",IF(OR($EC246="",$ED246=""),"ONZEKER",IF(OR($DZ246="",$EA246=""),"ONZEKER",IF(AND($EC246=$DZ246+1,$ED246=$EA246),IF(OR(COUNTIF(#REF!,$B246)&gt;0,COUNTIF(#REF!,$B246)=0),"SKIP",IF(COUNTIFS(#REF!,$B246,#REF!,$CO246)&gt;0,"OK","ONBEKEND")),IF(AND($EC246=$DZ246,$ED246=$EA246+1),IF(OR(COUNTIF(#REF!,$D246)&gt;0,COUNTIF(#REF!,$D246)=0),"SKIP",IF(COUNTIFS(#REF!,$D246,#REF!,$CO246)&gt;0,"OK","ONBEKEND")),"ONZEKER")))))</f>
        <v/>
      </c>
      <c r="CQ246" t="str">
        <f t="shared" si="1814"/>
        <v/>
      </c>
      <c r="CR246" t="str">
        <f t="shared" si="1815"/>
        <v/>
      </c>
      <c r="CS246" t="str">
        <f>IF($CR246="","",IF(OR($EF246="",$EG246=""),"ONZEKER",IF(OR($EC246="",$ED246=""),"ONZEKER",IF(AND($EF246=$EC246+1,$EG246=$ED246),IF(OR(COUNTIF(#REF!,$B246)&gt;0,COUNTIF(#REF!,$B246)=0),"SKIP",IF(COUNTIFS(#REF!,$B246,#REF!,$CR246)&gt;0,"OK","ONBEKEND")),IF(AND($EF246=$EC246,$EG246=$ED246+1),IF(OR(COUNTIF(#REF!,$D246)&gt;0,COUNTIF(#REF!,$D246)=0),"SKIP",IF(COUNTIFS(#REF!,$D246,#REF!,$CR246)&gt;0,"OK","ONBEKEND")),"ONZEKER")))))</f>
        <v/>
      </c>
      <c r="CT246" t="str">
        <f t="shared" si="1816"/>
        <v/>
      </c>
      <c r="CU246" t="str">
        <f t="shared" si="1817"/>
        <v/>
      </c>
      <c r="CV246" t="str">
        <f>IF($CU246="","",IF(OR($EI246="",$EJ246=""),"ONZEKER",IF(OR($EF246="",$EG246=""),"ONZEKER",IF(AND($EI246=$EF246+1,$EJ246=$EG246),IF(OR(COUNTIF(#REF!,$B246)&gt;0,COUNTIF(#REF!,$B246)=0),"SKIP",IF(COUNTIFS(#REF!,$B246,#REF!,$CU246)&gt;0,"OK","ONBEKEND")),IF(AND($EI246=$EF246,$EJ246=$EG246+1),IF(OR(COUNTIF(#REF!,$D246)&gt;0,COUNTIF(#REF!,$D246)=0),"SKIP",IF(COUNTIFS(#REF!,$D246,#REF!,$CU246)&gt;0,"OK","ONBEKEND")),"ONZEKER")))))</f>
        <v/>
      </c>
      <c r="CW246" t="str">
        <f t="shared" si="1818"/>
        <v/>
      </c>
      <c r="CX246" t="str">
        <f t="shared" si="1819"/>
        <v/>
      </c>
      <c r="CY246" t="str">
        <f>IF($CX246="","",IF(OR($EL246="",$EM246=""),"ONZEKER",IF(OR($EI246="",$EJ246=""),"ONZEKER",IF(AND($EL246=$EI246+1,$EM246=$EJ246),IF(OR(COUNTIF(#REF!,$B246)&gt;0,COUNTIF(#REF!,$B246)=0),"SKIP",IF(COUNTIFS(#REF!,$B246,#REF!,$CX246)&gt;0,"OK","ONBEKEND")),IF(AND($EL246=$EI246,$EM246=$EJ246+1),IF(OR(COUNTIF(#REF!,$D246)&gt;0,COUNTIF(#REF!,$D246)=0),"SKIP",IF(COUNTIFS(#REF!,$D246,#REF!,$CX246)&gt;0,"OK","ONBEKEND")),"ONZEKER")))))</f>
        <v/>
      </c>
      <c r="CZ246" t="str">
        <f t="shared" si="1820"/>
        <v/>
      </c>
      <c r="DA246" t="str">
        <f t="shared" si="1821"/>
        <v/>
      </c>
      <c r="DB246" t="str">
        <f>IF($DA246="","",IF(OR($EO246="",$EP246=""),"ONZEKER",IF(OR($EL246="",$EM246=""),"ONZEKER",IF(AND($EO246=$EL246+1,$EP246=$EM246),IF(OR(COUNTIF(#REF!,$B246)&gt;0,COUNTIF(#REF!,$B246)=0),"SKIP",IF(COUNTIFS(#REF!,$B246,#REF!,$DA246)&gt;0,"OK","ONBEKEND")),IF(AND($EO246=$EL246,$EP246=$EM246+1),IF(OR(COUNTIF(#REF!,$D246)&gt;0,COUNTIF(#REF!,$D246)=0),"SKIP",IF(COUNTIFS(#REF!,$D246,#REF!,$DA246)&gt;0,"OK","ONBEKEND")),"ONZEKER")))))</f>
        <v/>
      </c>
      <c r="DC246" t="str">
        <f t="shared" si="1822"/>
        <v/>
      </c>
      <c r="DD246" t="str">
        <f t="shared" si="1823"/>
        <v/>
      </c>
      <c r="DE246" t="str">
        <f>IF($DD246="","",IF(OR($ER246="",$ES246=""),"ONZEKER",IF(OR($EO246="",$EP246=""),"ONZEKER",IF(AND($ER246=$EO246+1,$ES246=$EP246),IF(OR(COUNTIF(#REF!,$B246)&gt;0,COUNTIF(#REF!,$B246)=0),"SKIP",IF(COUNTIFS(#REF!,$B246,#REF!,$DD246)&gt;0,"OK","ONBEKEND")),IF(AND($ER246=$EO246,$ES246=$EP246+1),IF(OR(COUNTIF(#REF!,$D246)&gt;0,COUNTIF(#REF!,$D246)=0),"SKIP",IF(COUNTIFS(#REF!,$D246,#REF!,$DD246)&gt;0,"OK","ONBEKEND")),"ONZEKER")))))</f>
        <v/>
      </c>
      <c r="DF246" t="str">
        <f t="shared" si="1824"/>
        <v/>
      </c>
      <c r="DG246" t="str">
        <f t="shared" si="1825"/>
        <v/>
      </c>
      <c r="DH246" t="str">
        <f>IF($DG246="","",IF(OR($EU246="",$EV246=""),"ONZEKER",IF(OR($ER246="",$ES246=""),"ONZEKER",IF(AND($EU246=$ER246+1,$EV246=$ES246),IF(OR(COUNTIF(#REF!,$B246)&gt;0,COUNTIF(#REF!,$B246)=0),"SKIP",IF(COUNTIFS(#REF!,$B246,#REF!,$DG246)&gt;0,"OK","ONBEKEND")),IF(AND($EU246=$ER246,$EV246=$ES246+1),IF(OR(COUNTIF(#REF!,$D246)&gt;0,COUNTIF(#REF!,$D246)=0),"SKIP",IF(COUNTIFS(#REF!,$D246,#REF!,$DG246)&gt;0,"OK","ONBEKEND")),"ONZEKER")))))</f>
        <v/>
      </c>
      <c r="DI246" t="str">
        <f t="shared" si="1826"/>
        <v/>
      </c>
      <c r="DJ246" t="str">
        <f t="shared" si="1827"/>
        <v/>
      </c>
      <c r="DK246" t="str">
        <f>IF($DJ246="","",IF(OR($EX246="",$EY246=""),"ONZEKER",IF(OR($EU246="",$EV246=""),"ONZEKER",IF(AND($EX246=$EU246+1,$EY246=$EV246),IF(OR(COUNTIF(#REF!,$B246)&gt;0,COUNTIF(#REF!,$B246)=0),"SKIP",IF(COUNTIFS(#REF!,$B246,#REF!,$DJ246)&gt;0,"OK","ONBEKEND")),IF(AND($EX246=$EU246,$EY246=$EV246+1),IF(OR(COUNTIF(#REF!,$D246)&gt;0,COUNTIF(#REF!,$D246)=0),"SKIP",IF(COUNTIFS(#REF!,$D246,#REF!,$DJ246)&gt;0,"OK","ONBEKEND")),"ONZEKER")))))</f>
        <v/>
      </c>
      <c r="DL246" t="str">
        <f t="shared" si="1828"/>
        <v/>
      </c>
      <c r="DM246" t="str">
        <f t="shared" si="1829"/>
        <v/>
      </c>
      <c r="DN246" t="str">
        <f t="shared" si="1830"/>
        <v/>
      </c>
      <c r="DO246" t="str">
        <f t="shared" si="1831"/>
        <v/>
      </c>
      <c r="DP246" t="str">
        <f t="shared" si="1832"/>
        <v/>
      </c>
      <c r="DQ246" t="str">
        <f t="shared" si="1833"/>
        <v/>
      </c>
      <c r="DR246" t="str">
        <f t="shared" si="1834"/>
        <v/>
      </c>
      <c r="DS246" t="str">
        <f t="shared" si="1835"/>
        <v/>
      </c>
      <c r="DT246" t="str">
        <f t="shared" si="1836"/>
        <v/>
      </c>
      <c r="DU246" t="str">
        <f t="shared" si="1837"/>
        <v/>
      </c>
      <c r="DV246" t="str">
        <f t="shared" si="1838"/>
        <v/>
      </c>
      <c r="DW246" t="str">
        <f t="shared" si="1839"/>
        <v/>
      </c>
      <c r="DX246" t="str">
        <f t="shared" si="1840"/>
        <v/>
      </c>
      <c r="DY246" t="str">
        <f t="shared" si="1841"/>
        <v/>
      </c>
      <c r="DZ246" t="str">
        <f t="shared" si="1842"/>
        <v/>
      </c>
      <c r="EA246" t="str">
        <f t="shared" si="1843"/>
        <v/>
      </c>
      <c r="EB246" t="str">
        <f t="shared" si="1844"/>
        <v/>
      </c>
      <c r="EC246" t="str">
        <f t="shared" si="1845"/>
        <v/>
      </c>
      <c r="ED246" t="str">
        <f t="shared" si="1846"/>
        <v/>
      </c>
      <c r="EE246" t="str">
        <f t="shared" si="1847"/>
        <v/>
      </c>
      <c r="EF246" t="str">
        <f t="shared" si="1848"/>
        <v/>
      </c>
      <c r="EG246" t="str">
        <f t="shared" si="1849"/>
        <v/>
      </c>
      <c r="EH246" t="str">
        <f t="shared" si="1850"/>
        <v/>
      </c>
      <c r="EI246" t="str">
        <f t="shared" si="1851"/>
        <v/>
      </c>
      <c r="EJ246" t="str">
        <f t="shared" si="1852"/>
        <v/>
      </c>
      <c r="EK246" t="str">
        <f t="shared" si="1853"/>
        <v/>
      </c>
      <c r="EL246" t="str">
        <f t="shared" si="1854"/>
        <v/>
      </c>
      <c r="EM246" t="str">
        <f t="shared" si="1855"/>
        <v/>
      </c>
      <c r="EN246" t="str">
        <f t="shared" si="1856"/>
        <v/>
      </c>
      <c r="EO246" t="str">
        <f t="shared" si="1857"/>
        <v/>
      </c>
      <c r="EP246" t="str">
        <f t="shared" si="1858"/>
        <v/>
      </c>
      <c r="EQ246" t="str">
        <f t="shared" si="1859"/>
        <v/>
      </c>
      <c r="ER246" t="str">
        <f t="shared" si="1860"/>
        <v/>
      </c>
      <c r="ES246" t="str">
        <f t="shared" si="1861"/>
        <v/>
      </c>
      <c r="ET246" t="str">
        <f t="shared" si="1862"/>
        <v/>
      </c>
      <c r="EU246" t="str">
        <f t="shared" si="1863"/>
        <v/>
      </c>
      <c r="EV246" t="str">
        <f t="shared" si="1864"/>
        <v/>
      </c>
      <c r="EW246" t="str">
        <f t="shared" si="1865"/>
        <v/>
      </c>
      <c r="EX246" t="str">
        <f t="shared" si="1866"/>
        <v/>
      </c>
      <c r="EY246" t="str">
        <f t="shared" si="1867"/>
        <v/>
      </c>
    </row>
    <row r="247" spans="1:155" ht="13.9" customHeight="1" x14ac:dyDescent="0.25">
      <c r="M247" s="3" t="str">
        <f>IF($L247="","",IF($L247="DOELPUNTENMAKERS","",IF(AND(COUNTIF(#REF!,$B247)=0,COUNTIF(#REF!,$D247)=0),"OK",IF($O247&gt;20,"LET OP: meer dan 20 items (controle onvolledig)",IF((COUNTIF($R247:$AS247,"ONZEKER")+COUNTIF($CJ247:$DK247,"ONZEKER"))&gt;0,"LET OP: scoreverloop onduidelijk (controle beperkt)",IF((IF($AT247&lt;&gt;"",$AT247&amp;", ","")&amp;IF($AU247&lt;&gt;"",$AU247&amp;", ","")&amp;IF($AV247&lt;&gt;"",$AV247&amp;", ","")&amp;IF($AW247&lt;&gt;"",$AW247&amp;", ","")&amp;IF($AX247&lt;&gt;"",$AX247&amp;", ","")&amp;IF($AY247&lt;&gt;"",$AY247&amp;", ","")&amp;IF($AZ247&lt;&gt;"",$AZ247&amp;", ","")&amp;IF($BA247&lt;&gt;"",$BA247&amp;", ","")&amp;IF($BB247&lt;&gt;"",$BB247&amp;", ","")&amp;IF($BC247&lt;&gt;"",$BC247&amp;", ","")&amp;IF($DL247&lt;&gt;"",$DL247&amp;", ","")&amp;IF($DM247&lt;&gt;"",$DM247&amp;", ","")&amp;IF($DN247&lt;&gt;"",$DN247&amp;", ","")&amp;IF($DO247&lt;&gt;"",$DO247&amp;", ","")&amp;IF($DP247&lt;&gt;"",$DP247&amp;", ","")&amp;IF($DQ247&lt;&gt;"",$DQ247&amp;", ","")&amp;IF($DR247&lt;&gt;"",$DR247&amp;", ","")&amp;IF($DS247&lt;&gt;"",$DS247&amp;", ","")&amp;IF($DT247&lt;&gt;"",$DT247&amp;", ","")&amp;IF($DU247&lt;&gt;"",$DU247&amp;", ",""))="","OK","Onbekend: "&amp;LEFT((IF($AT247&lt;&gt;"",$AT247&amp;", ","")&amp;IF($AU247&lt;&gt;"",$AU247&amp;", ","")&amp;IF($AV247&lt;&gt;"",$AV247&amp;", ","")&amp;IF($AW247&lt;&gt;"",$AW247&amp;", ","")&amp;IF($AX247&lt;&gt;"",$AX247&amp;", ","")&amp;IF($AY247&lt;&gt;"",$AY247&amp;", ","")&amp;IF($AZ247&lt;&gt;"",$AZ247&amp;", ","")&amp;IF($BA247&lt;&gt;"",$BA247&amp;", ","")&amp;IF($BB247&lt;&gt;"",$BB247&amp;", ","")&amp;IF($BC247&lt;&gt;"",$BC247&amp;", ","")&amp;IF($DL247&lt;&gt;"",$DL247&amp;", ","")&amp;IF($DM247&lt;&gt;"",$DM247&amp;", ","")&amp;IF($DN247&lt;&gt;"",$DN247&amp;", ","")&amp;IF($DO247&lt;&gt;"",$DO247&amp;", ","")&amp;IF($DP247&lt;&gt;"",$DP247&amp;", ","")&amp;IF($DQ247&lt;&gt;"",$DQ247&amp;", ","")&amp;IF($DR247&lt;&gt;"",$DR247&amp;", ","")&amp;IF($DS247&lt;&gt;"",$DS247&amp;", ","")&amp;IF($DT247&lt;&gt;"",$DT247&amp;", ","")&amp;IF($DU247&lt;&gt;"",$DU247&amp;", ","")),LEN((IF($AT247&lt;&gt;"",$AT247&amp;", ","")&amp;IF($AU247&lt;&gt;"",$AU247&amp;", ","")&amp;IF($AV247&lt;&gt;"",$AV247&amp;", ","")&amp;IF($AW247&lt;&gt;"",$AW247&amp;", ","")&amp;IF($AX247&lt;&gt;"",$AX247&amp;", ","")&amp;IF($AY247&lt;&gt;"",$AY247&amp;", ","")&amp;IF($AZ247&lt;&gt;"",$AZ247&amp;", ","")&amp;IF($BA247&lt;&gt;"",$BA247&amp;", ","")&amp;IF($BB247&lt;&gt;"",$BB247&amp;", ","")&amp;IF($BC247&lt;&gt;"",$BC247&amp;", ","")&amp;IF($DL247&lt;&gt;"",$DL247&amp;", ","")&amp;IF($DM247&lt;&gt;"",$DM247&amp;", ","")&amp;IF($DN247&lt;&gt;"",$DN247&amp;", ","")&amp;IF($DO247&lt;&gt;"",$DO247&amp;", ","")&amp;IF($DP247&lt;&gt;"",$DP247&amp;", ","")&amp;IF($DQ247&lt;&gt;"",$DQ247&amp;", ","")&amp;IF($DR247&lt;&gt;"",$DR247&amp;", ","")&amp;IF($DS247&lt;&gt;"",$DS247&amp;", ","")&amp;IF($DT247&lt;&gt;"",$DT247&amp;", ","")&amp;IF($DU247&lt;&gt;"",$DU247&amp;", ","")))-2)))))))</f>
        <v/>
      </c>
      <c r="N247" t="str">
        <f t="shared" si="1776"/>
        <v/>
      </c>
      <c r="O247" t="str">
        <f t="shared" si="1777"/>
        <v/>
      </c>
      <c r="P247" t="str">
        <f t="shared" si="1778"/>
        <v/>
      </c>
      <c r="Q247" t="str">
        <f t="shared" si="1779"/>
        <v/>
      </c>
      <c r="R247" t="str">
        <f>IF($Q247="","",IF(OR($BE247="",$BF247=""),"ONZEKER",IF(AND($BE247=0+1,$BF247=0),IF(OR(COUNTIF(#REF!,$B247)&gt;0,COUNTIF(#REF!,$B247)=0),"SKIP",IF(COUNTIFS(#REF!,$B247,#REF!,$Q247)&gt;0,"OK","ONBEKEND")),IF(AND($BE247=0,$BF247=0+1),IF(OR(COUNTIF(#REF!,$D247)&gt;0,COUNTIF(#REF!,$D247)=0),"SKIP",IF(COUNTIFS(#REF!,$D247,#REF!,$Q247)&gt;0,"OK","ONBEKEND")),"ONZEKER"))))</f>
        <v/>
      </c>
      <c r="S247" t="str">
        <f t="shared" si="1780"/>
        <v/>
      </c>
      <c r="T247" t="str">
        <f t="shared" si="1781"/>
        <v/>
      </c>
      <c r="U247" t="str">
        <f>IF($T247="","",IF(OR($BH247="",$BI247=""),"ONZEKER",IF(OR($BE247="",$BF247=""),"ONZEKER",IF(AND($BH247=$BE247+1,$BI247=$BF247),IF(OR(COUNTIF(#REF!,$B247)&gt;0,COUNTIF(#REF!,$B247)=0),"SKIP",IF(COUNTIFS(#REF!,$B247,#REF!,$T247)&gt;0,"OK","ONBEKEND")),IF(AND($BH247=$BE247,$BI247=$BF247+1),IF(OR(COUNTIF(#REF!,$D247)&gt;0,COUNTIF(#REF!,$D247)=0),"SKIP",IF(COUNTIFS(#REF!,$D247,#REF!,$T247)&gt;0,"OK","ONBEKEND")),"ONZEKER")))))</f>
        <v/>
      </c>
      <c r="V247" t="str">
        <f t="shared" si="1782"/>
        <v/>
      </c>
      <c r="W247" t="str">
        <f t="shared" si="1783"/>
        <v/>
      </c>
      <c r="X247" t="str">
        <f>IF($W247="","",IF(OR($BK247="",$BL247=""),"ONZEKER",IF(OR($BH247="",$BI247=""),"ONZEKER",IF(AND($BK247=$BH247+1,$BL247=$BI247),IF(OR(COUNTIF(#REF!,$B247)&gt;0,COUNTIF(#REF!,$B247)=0),"SKIP",IF(COUNTIFS(#REF!,$B247,#REF!,$W247)&gt;0,"OK","ONBEKEND")),IF(AND($BK247=$BH247,$BL247=$BI247+1),IF(OR(COUNTIF(#REF!,$D247)&gt;0,COUNTIF(#REF!,$D247)=0),"SKIP",IF(COUNTIFS(#REF!,$D247,#REF!,$W247)&gt;0,"OK","ONBEKEND")),"ONZEKER")))))</f>
        <v/>
      </c>
      <c r="Y247" t="str">
        <f t="shared" si="1784"/>
        <v/>
      </c>
      <c r="Z247" t="str">
        <f t="shared" si="1785"/>
        <v/>
      </c>
      <c r="AA247" t="str">
        <f>IF($Z247="","",IF(OR($BN247="",$BO247=""),"ONZEKER",IF(OR($BK247="",$BL247=""),"ONZEKER",IF(AND($BN247=$BK247+1,$BO247=$BL247),IF(OR(COUNTIF(#REF!,$B247)&gt;0,COUNTIF(#REF!,$B247)=0),"SKIP",IF(COUNTIFS(#REF!,$B247,#REF!,$Z247)&gt;0,"OK","ONBEKEND")),IF(AND($BN247=$BK247,$BO247=$BL247+1),IF(OR(COUNTIF(#REF!,$D247)&gt;0,COUNTIF(#REF!,$D247)=0),"SKIP",IF(COUNTIFS(#REF!,$D247,#REF!,$Z247)&gt;0,"OK","ONBEKEND")),"ONZEKER")))))</f>
        <v/>
      </c>
      <c r="AB247" t="str">
        <f t="shared" si="1786"/>
        <v/>
      </c>
      <c r="AC247" t="str">
        <f t="shared" si="1787"/>
        <v/>
      </c>
      <c r="AD247" t="str">
        <f>IF($AC247="","",IF(OR($BQ247="",$BR247=""),"ONZEKER",IF(OR($BN247="",$BO247=""),"ONZEKER",IF(AND($BQ247=$BN247+1,$BR247=$BO247),IF(OR(COUNTIF(#REF!,$B247)&gt;0,COUNTIF(#REF!,$B247)=0),"SKIP",IF(COUNTIFS(#REF!,$B247,#REF!,$AC247)&gt;0,"OK","ONBEKEND")),IF(AND($BQ247=$BN247,$BR247=$BO247+1),IF(OR(COUNTIF(#REF!,$D247)&gt;0,COUNTIF(#REF!,$D247)=0),"SKIP",IF(COUNTIFS(#REF!,$D247,#REF!,$AC247)&gt;0,"OK","ONBEKEND")),"ONZEKER")))))</f>
        <v/>
      </c>
      <c r="AE247" t="str">
        <f t="shared" si="1788"/>
        <v/>
      </c>
      <c r="AF247" t="str">
        <f t="shared" si="1789"/>
        <v/>
      </c>
      <c r="AG247" t="str">
        <f>IF($AF247="","",IF(OR($BT247="",$BU247=""),"ONZEKER",IF(OR($BQ247="",$BR247=""),"ONZEKER",IF(AND($BT247=$BQ247+1,$BU247=$BR247),IF(OR(COUNTIF(#REF!,$B247)&gt;0,COUNTIF(#REF!,$B247)=0),"SKIP",IF(COUNTIFS(#REF!,$B247,#REF!,$AF247)&gt;0,"OK","ONBEKEND")),IF(AND($BT247=$BQ247,$BU247=$BR247+1),IF(OR(COUNTIF(#REF!,$D247)&gt;0,COUNTIF(#REF!,$D247)=0),"SKIP",IF(COUNTIFS(#REF!,$D247,#REF!,$AF247)&gt;0,"OK","ONBEKEND")),"ONZEKER")))))</f>
        <v/>
      </c>
      <c r="AH247" t="str">
        <f t="shared" si="1790"/>
        <v/>
      </c>
      <c r="AI247" t="str">
        <f t="shared" si="1791"/>
        <v/>
      </c>
      <c r="AJ247" t="str">
        <f>IF($AI247="","",IF(OR($BW247="",$BX247=""),"ONZEKER",IF(OR($BT247="",$BU247=""),"ONZEKER",IF(AND($BW247=$BT247+1,$BX247=$BU247),IF(OR(COUNTIF(#REF!,$B247)&gt;0,COUNTIF(#REF!,$B247)=0),"SKIP",IF(COUNTIFS(#REF!,$B247,#REF!,$AI247)&gt;0,"OK","ONBEKEND")),IF(AND($BW247=$BT247,$BX247=$BU247+1),IF(OR(COUNTIF(#REF!,$D247)&gt;0,COUNTIF(#REF!,$D247)=0),"SKIP",IF(COUNTIFS(#REF!,$D247,#REF!,$AI247)&gt;0,"OK","ONBEKEND")),"ONZEKER")))))</f>
        <v/>
      </c>
      <c r="AK247" t="str">
        <f t="shared" si="1792"/>
        <v/>
      </c>
      <c r="AL247" t="str">
        <f t="shared" si="1793"/>
        <v/>
      </c>
      <c r="AM247" t="str">
        <f>IF($AL247="","",IF(OR($BZ247="",$CA247=""),"ONZEKER",IF(OR($BW247="",$BX247=""),"ONZEKER",IF(AND($BZ247=$BW247+1,$CA247=$BX247),IF(OR(COUNTIF(#REF!,$B247)&gt;0,COUNTIF(#REF!,$B247)=0),"SKIP",IF(COUNTIFS(#REF!,$B247,#REF!,$AL247)&gt;0,"OK","ONBEKEND")),IF(AND($BZ247=$BW247,$CA247=$BX247+1),IF(OR(COUNTIF(#REF!,$D247)&gt;0,COUNTIF(#REF!,$D247)=0),"SKIP",IF(COUNTIFS(#REF!,$D247,#REF!,$AL247)&gt;0,"OK","ONBEKEND")),"ONZEKER")))))</f>
        <v/>
      </c>
      <c r="AN247" t="str">
        <f t="shared" si="1794"/>
        <v/>
      </c>
      <c r="AO247" t="str">
        <f t="shared" si="1795"/>
        <v/>
      </c>
      <c r="AP247" t="str">
        <f>IF($AO247="","",IF(OR($CC247="",$CD247=""),"ONZEKER",IF(OR($BZ247="",$CA247=""),"ONZEKER",IF(AND($CC247=$BZ247+1,$CD247=$CA247),IF(OR(COUNTIF(#REF!,$B247)&gt;0,COUNTIF(#REF!,$B247)=0),"SKIP",IF(COUNTIFS(#REF!,$B247,#REF!,$AO247)&gt;0,"OK","ONBEKEND")),IF(AND($CC247=$BZ247,$CD247=$CA247+1),IF(OR(COUNTIF(#REF!,$D247)&gt;0,COUNTIF(#REF!,$D247)=0),"SKIP",IF(COUNTIFS(#REF!,$D247,#REF!,$AO247)&gt;0,"OK","ONBEKEND")),"ONZEKER")))))</f>
        <v/>
      </c>
      <c r="AQ247" t="str">
        <f t="shared" si="1796"/>
        <v/>
      </c>
      <c r="AR247" t="str">
        <f t="shared" si="1797"/>
        <v/>
      </c>
      <c r="AS247" t="str">
        <f>IF($AR247="","",IF(OR($CF247="",$CG247=""),"ONZEKER",IF(OR($CC247="",$CD247=""),"ONZEKER",IF(AND($CF247=$CC247+1,$CG247=$CD247),IF(OR(COUNTIF(#REF!,$B247)&gt;0,COUNTIF(#REF!,$B247)=0),"SKIP",IF(COUNTIFS(#REF!,$B247,#REF!,$AR247)&gt;0,"OK","ONBEKEND")),IF(AND($CF247=$CC247,$CG247=$CD247+1),IF(OR(COUNTIF(#REF!,$D247)&gt;0,COUNTIF(#REF!,$D247)=0),"SKIP",IF(COUNTIFS(#REF!,$D247,#REF!,$AR247)&gt;0,"OK","ONBEKEND")),"ONZEKER")))))</f>
        <v/>
      </c>
      <c r="AT247" t="str">
        <f t="shared" si="1798"/>
        <v/>
      </c>
      <c r="AU247" t="str">
        <f t="shared" si="1799"/>
        <v/>
      </c>
      <c r="AV247" t="str">
        <f t="shared" si="1800"/>
        <v/>
      </c>
      <c r="AW247" t="str">
        <f t="shared" si="1801"/>
        <v/>
      </c>
      <c r="AX247" t="str">
        <f t="shared" si="1802"/>
        <v/>
      </c>
      <c r="AY247" t="str">
        <f t="shared" si="1803"/>
        <v/>
      </c>
      <c r="AZ247" t="str">
        <f t="shared" si="1804"/>
        <v/>
      </c>
      <c r="BA247" t="str">
        <f t="shared" si="1805"/>
        <v/>
      </c>
      <c r="BB247" t="str">
        <f t="shared" si="1806"/>
        <v/>
      </c>
      <c r="BC247" t="str">
        <f t="shared" si="1807"/>
        <v/>
      </c>
      <c r="BD247" t="str">
        <f t="shared" si="1470"/>
        <v/>
      </c>
      <c r="BE247" t="str">
        <f t="shared" si="1471"/>
        <v/>
      </c>
      <c r="BF247" t="str">
        <f t="shared" si="1472"/>
        <v/>
      </c>
      <c r="BG247" t="str">
        <f t="shared" si="1473"/>
        <v/>
      </c>
      <c r="BH247" t="str">
        <f t="shared" si="1474"/>
        <v/>
      </c>
      <c r="BI247" t="str">
        <f t="shared" si="1475"/>
        <v/>
      </c>
      <c r="BJ247" t="str">
        <f t="shared" si="1476"/>
        <v/>
      </c>
      <c r="BK247" t="str">
        <f t="shared" si="1477"/>
        <v/>
      </c>
      <c r="BL247" t="str">
        <f t="shared" si="1478"/>
        <v/>
      </c>
      <c r="BM247" t="str">
        <f t="shared" si="1479"/>
        <v/>
      </c>
      <c r="BN247" t="str">
        <f t="shared" si="1480"/>
        <v/>
      </c>
      <c r="BO247" t="str">
        <f t="shared" si="1481"/>
        <v/>
      </c>
      <c r="BP247" t="str">
        <f t="shared" si="1482"/>
        <v/>
      </c>
      <c r="BQ247" t="str">
        <f t="shared" si="1483"/>
        <v/>
      </c>
      <c r="BR247" t="str">
        <f t="shared" si="1484"/>
        <v/>
      </c>
      <c r="BS247" t="str">
        <f t="shared" si="1485"/>
        <v/>
      </c>
      <c r="BT247" t="str">
        <f t="shared" si="1486"/>
        <v/>
      </c>
      <c r="BU247" t="str">
        <f t="shared" si="1487"/>
        <v/>
      </c>
      <c r="BV247" t="str">
        <f t="shared" si="1488"/>
        <v/>
      </c>
      <c r="BW247" t="str">
        <f t="shared" si="1489"/>
        <v/>
      </c>
      <c r="BX247" t="str">
        <f t="shared" si="1490"/>
        <v/>
      </c>
      <c r="BY247" t="str">
        <f t="shared" si="1491"/>
        <v/>
      </c>
      <c r="BZ247" t="str">
        <f t="shared" si="1492"/>
        <v/>
      </c>
      <c r="CA247" t="str">
        <f t="shared" si="1493"/>
        <v/>
      </c>
      <c r="CB247" t="str">
        <f t="shared" si="1494"/>
        <v/>
      </c>
      <c r="CC247" t="str">
        <f t="shared" si="1495"/>
        <v/>
      </c>
      <c r="CD247" t="str">
        <f t="shared" si="1496"/>
        <v/>
      </c>
      <c r="CE247" t="str">
        <f t="shared" si="1497"/>
        <v/>
      </c>
      <c r="CF247" t="str">
        <f t="shared" si="1498"/>
        <v/>
      </c>
      <c r="CG247" t="str">
        <f t="shared" si="1499"/>
        <v/>
      </c>
      <c r="CH247" t="str">
        <f t="shared" si="1808"/>
        <v/>
      </c>
      <c r="CI247" t="str">
        <f t="shared" si="1809"/>
        <v/>
      </c>
      <c r="CJ247" t="str">
        <f>IF($CI247="","",IF(OR($DW247="",$DX247=""),"ONZEKER",IF(OR($CF247="",$CG247=""),"ONZEKER",IF(AND($DW247=$CF247+1,$DX247=$CG247),IF(OR(COUNTIF(#REF!,$B247)&gt;0,COUNTIF(#REF!,$B247)=0),"SKIP",IF(COUNTIFS(#REF!,$B247,#REF!,$CI247)&gt;0,"OK","ONBEKEND")),IF(AND($DW247=$CF247,$DX247=$CG247+1),IF(OR(COUNTIF(#REF!,$D247)&gt;0,COUNTIF(#REF!,$D247)=0),"SKIP",IF(COUNTIFS(#REF!,$D247,#REF!,$CI247)&gt;0,"OK","ONBEKEND")),"ONZEKER")))))</f>
        <v/>
      </c>
      <c r="CK247" t="str">
        <f t="shared" si="1810"/>
        <v/>
      </c>
      <c r="CL247" t="str">
        <f t="shared" si="1811"/>
        <v/>
      </c>
      <c r="CM247" t="str">
        <f>IF($CL247="","",IF(OR($DZ247="",$EA247=""),"ONZEKER",IF(OR($DW247="",$DX247=""),"ONZEKER",IF(AND($DZ247=$DW247+1,$EA247=$DX247),IF(OR(COUNTIF(#REF!,$B247)&gt;0,COUNTIF(#REF!,$B247)=0),"SKIP",IF(COUNTIFS(#REF!,$B247,#REF!,$CL247)&gt;0,"OK","ONBEKEND")),IF(AND($DZ247=$DW247,$EA247=$DX247+1),IF(OR(COUNTIF(#REF!,$D247)&gt;0,COUNTIF(#REF!,$D247)=0),"SKIP",IF(COUNTIFS(#REF!,$D247,#REF!,$CL247)&gt;0,"OK","ONBEKEND")),"ONZEKER")))))</f>
        <v/>
      </c>
      <c r="CN247" t="str">
        <f t="shared" si="1812"/>
        <v/>
      </c>
      <c r="CO247" t="str">
        <f t="shared" si="1813"/>
        <v/>
      </c>
      <c r="CP247" t="str">
        <f>IF($CO247="","",IF(OR($EC247="",$ED247=""),"ONZEKER",IF(OR($DZ247="",$EA247=""),"ONZEKER",IF(AND($EC247=$DZ247+1,$ED247=$EA247),IF(OR(COUNTIF(#REF!,$B247)&gt;0,COUNTIF(#REF!,$B247)=0),"SKIP",IF(COUNTIFS(#REF!,$B247,#REF!,$CO247)&gt;0,"OK","ONBEKEND")),IF(AND($EC247=$DZ247,$ED247=$EA247+1),IF(OR(COUNTIF(#REF!,$D247)&gt;0,COUNTIF(#REF!,$D247)=0),"SKIP",IF(COUNTIFS(#REF!,$D247,#REF!,$CO247)&gt;0,"OK","ONBEKEND")),"ONZEKER")))))</f>
        <v/>
      </c>
      <c r="CQ247" t="str">
        <f t="shared" si="1814"/>
        <v/>
      </c>
      <c r="CR247" t="str">
        <f t="shared" si="1815"/>
        <v/>
      </c>
      <c r="CS247" t="str">
        <f>IF($CR247="","",IF(OR($EF247="",$EG247=""),"ONZEKER",IF(OR($EC247="",$ED247=""),"ONZEKER",IF(AND($EF247=$EC247+1,$EG247=$ED247),IF(OR(COUNTIF(#REF!,$B247)&gt;0,COUNTIF(#REF!,$B247)=0),"SKIP",IF(COUNTIFS(#REF!,$B247,#REF!,$CR247)&gt;0,"OK","ONBEKEND")),IF(AND($EF247=$EC247,$EG247=$ED247+1),IF(OR(COUNTIF(#REF!,$D247)&gt;0,COUNTIF(#REF!,$D247)=0),"SKIP",IF(COUNTIFS(#REF!,$D247,#REF!,$CR247)&gt;0,"OK","ONBEKEND")),"ONZEKER")))))</f>
        <v/>
      </c>
      <c r="CT247" t="str">
        <f t="shared" si="1816"/>
        <v/>
      </c>
      <c r="CU247" t="str">
        <f t="shared" si="1817"/>
        <v/>
      </c>
      <c r="CV247" t="str">
        <f>IF($CU247="","",IF(OR($EI247="",$EJ247=""),"ONZEKER",IF(OR($EF247="",$EG247=""),"ONZEKER",IF(AND($EI247=$EF247+1,$EJ247=$EG247),IF(OR(COUNTIF(#REF!,$B247)&gt;0,COUNTIF(#REF!,$B247)=0),"SKIP",IF(COUNTIFS(#REF!,$B247,#REF!,$CU247)&gt;0,"OK","ONBEKEND")),IF(AND($EI247=$EF247,$EJ247=$EG247+1),IF(OR(COUNTIF(#REF!,$D247)&gt;0,COUNTIF(#REF!,$D247)=0),"SKIP",IF(COUNTIFS(#REF!,$D247,#REF!,$CU247)&gt;0,"OK","ONBEKEND")),"ONZEKER")))))</f>
        <v/>
      </c>
      <c r="CW247" t="str">
        <f t="shared" si="1818"/>
        <v/>
      </c>
      <c r="CX247" t="str">
        <f t="shared" si="1819"/>
        <v/>
      </c>
      <c r="CY247" t="str">
        <f>IF($CX247="","",IF(OR($EL247="",$EM247=""),"ONZEKER",IF(OR($EI247="",$EJ247=""),"ONZEKER",IF(AND($EL247=$EI247+1,$EM247=$EJ247),IF(OR(COUNTIF(#REF!,$B247)&gt;0,COUNTIF(#REF!,$B247)=0),"SKIP",IF(COUNTIFS(#REF!,$B247,#REF!,$CX247)&gt;0,"OK","ONBEKEND")),IF(AND($EL247=$EI247,$EM247=$EJ247+1),IF(OR(COUNTIF(#REF!,$D247)&gt;0,COUNTIF(#REF!,$D247)=0),"SKIP",IF(COUNTIFS(#REF!,$D247,#REF!,$CX247)&gt;0,"OK","ONBEKEND")),"ONZEKER")))))</f>
        <v/>
      </c>
      <c r="CZ247" t="str">
        <f t="shared" si="1820"/>
        <v/>
      </c>
      <c r="DA247" t="str">
        <f t="shared" si="1821"/>
        <v/>
      </c>
      <c r="DB247" t="str">
        <f>IF($DA247="","",IF(OR($EO247="",$EP247=""),"ONZEKER",IF(OR($EL247="",$EM247=""),"ONZEKER",IF(AND($EO247=$EL247+1,$EP247=$EM247),IF(OR(COUNTIF(#REF!,$B247)&gt;0,COUNTIF(#REF!,$B247)=0),"SKIP",IF(COUNTIFS(#REF!,$B247,#REF!,$DA247)&gt;0,"OK","ONBEKEND")),IF(AND($EO247=$EL247,$EP247=$EM247+1),IF(OR(COUNTIF(#REF!,$D247)&gt;0,COUNTIF(#REF!,$D247)=0),"SKIP",IF(COUNTIFS(#REF!,$D247,#REF!,$DA247)&gt;0,"OK","ONBEKEND")),"ONZEKER")))))</f>
        <v/>
      </c>
      <c r="DC247" t="str">
        <f t="shared" si="1822"/>
        <v/>
      </c>
      <c r="DD247" t="str">
        <f t="shared" si="1823"/>
        <v/>
      </c>
      <c r="DE247" t="str">
        <f>IF($DD247="","",IF(OR($ER247="",$ES247=""),"ONZEKER",IF(OR($EO247="",$EP247=""),"ONZEKER",IF(AND($ER247=$EO247+1,$ES247=$EP247),IF(OR(COUNTIF(#REF!,$B247)&gt;0,COUNTIF(#REF!,$B247)=0),"SKIP",IF(COUNTIFS(#REF!,$B247,#REF!,$DD247)&gt;0,"OK","ONBEKEND")),IF(AND($ER247=$EO247,$ES247=$EP247+1),IF(OR(COUNTIF(#REF!,$D247)&gt;0,COUNTIF(#REF!,$D247)=0),"SKIP",IF(COUNTIFS(#REF!,$D247,#REF!,$DD247)&gt;0,"OK","ONBEKEND")),"ONZEKER")))))</f>
        <v/>
      </c>
      <c r="DF247" t="str">
        <f t="shared" si="1824"/>
        <v/>
      </c>
      <c r="DG247" t="str">
        <f t="shared" si="1825"/>
        <v/>
      </c>
      <c r="DH247" t="str">
        <f>IF($DG247="","",IF(OR($EU247="",$EV247=""),"ONZEKER",IF(OR($ER247="",$ES247=""),"ONZEKER",IF(AND($EU247=$ER247+1,$EV247=$ES247),IF(OR(COUNTIF(#REF!,$B247)&gt;0,COUNTIF(#REF!,$B247)=0),"SKIP",IF(COUNTIFS(#REF!,$B247,#REF!,$DG247)&gt;0,"OK","ONBEKEND")),IF(AND($EU247=$ER247,$EV247=$ES247+1),IF(OR(COUNTIF(#REF!,$D247)&gt;0,COUNTIF(#REF!,$D247)=0),"SKIP",IF(COUNTIFS(#REF!,$D247,#REF!,$DG247)&gt;0,"OK","ONBEKEND")),"ONZEKER")))))</f>
        <v/>
      </c>
      <c r="DI247" t="str">
        <f t="shared" si="1826"/>
        <v/>
      </c>
      <c r="DJ247" t="str">
        <f t="shared" si="1827"/>
        <v/>
      </c>
      <c r="DK247" t="str">
        <f>IF($DJ247="","",IF(OR($EX247="",$EY247=""),"ONZEKER",IF(OR($EU247="",$EV247=""),"ONZEKER",IF(AND($EX247=$EU247+1,$EY247=$EV247),IF(OR(COUNTIF(#REF!,$B247)&gt;0,COUNTIF(#REF!,$B247)=0),"SKIP",IF(COUNTIFS(#REF!,$B247,#REF!,$DJ247)&gt;0,"OK","ONBEKEND")),IF(AND($EX247=$EU247,$EY247=$EV247+1),IF(OR(COUNTIF(#REF!,$D247)&gt;0,COUNTIF(#REF!,$D247)=0),"SKIP",IF(COUNTIFS(#REF!,$D247,#REF!,$DJ247)&gt;0,"OK","ONBEKEND")),"ONZEKER")))))</f>
        <v/>
      </c>
      <c r="DL247" t="str">
        <f t="shared" si="1828"/>
        <v/>
      </c>
      <c r="DM247" t="str">
        <f t="shared" si="1829"/>
        <v/>
      </c>
      <c r="DN247" t="str">
        <f t="shared" si="1830"/>
        <v/>
      </c>
      <c r="DO247" t="str">
        <f t="shared" si="1831"/>
        <v/>
      </c>
      <c r="DP247" t="str">
        <f t="shared" si="1832"/>
        <v/>
      </c>
      <c r="DQ247" t="str">
        <f t="shared" si="1833"/>
        <v/>
      </c>
      <c r="DR247" t="str">
        <f t="shared" si="1834"/>
        <v/>
      </c>
      <c r="DS247" t="str">
        <f t="shared" si="1835"/>
        <v/>
      </c>
      <c r="DT247" t="str">
        <f t="shared" si="1836"/>
        <v/>
      </c>
      <c r="DU247" t="str">
        <f t="shared" si="1837"/>
        <v/>
      </c>
      <c r="DV247" t="str">
        <f t="shared" si="1838"/>
        <v/>
      </c>
      <c r="DW247" t="str">
        <f t="shared" si="1839"/>
        <v/>
      </c>
      <c r="DX247" t="str">
        <f t="shared" si="1840"/>
        <v/>
      </c>
      <c r="DY247" t="str">
        <f t="shared" si="1841"/>
        <v/>
      </c>
      <c r="DZ247" t="str">
        <f t="shared" si="1842"/>
        <v/>
      </c>
      <c r="EA247" t="str">
        <f t="shared" si="1843"/>
        <v/>
      </c>
      <c r="EB247" t="str">
        <f t="shared" si="1844"/>
        <v/>
      </c>
      <c r="EC247" t="str">
        <f t="shared" si="1845"/>
        <v/>
      </c>
      <c r="ED247" t="str">
        <f t="shared" si="1846"/>
        <v/>
      </c>
      <c r="EE247" t="str">
        <f t="shared" si="1847"/>
        <v/>
      </c>
      <c r="EF247" t="str">
        <f t="shared" si="1848"/>
        <v/>
      </c>
      <c r="EG247" t="str">
        <f t="shared" si="1849"/>
        <v/>
      </c>
      <c r="EH247" t="str">
        <f t="shared" si="1850"/>
        <v/>
      </c>
      <c r="EI247" t="str">
        <f t="shared" si="1851"/>
        <v/>
      </c>
      <c r="EJ247" t="str">
        <f t="shared" si="1852"/>
        <v/>
      </c>
      <c r="EK247" t="str">
        <f t="shared" si="1853"/>
        <v/>
      </c>
      <c r="EL247" t="str">
        <f t="shared" si="1854"/>
        <v/>
      </c>
      <c r="EM247" t="str">
        <f t="shared" si="1855"/>
        <v/>
      </c>
      <c r="EN247" t="str">
        <f t="shared" si="1856"/>
        <v/>
      </c>
      <c r="EO247" t="str">
        <f t="shared" si="1857"/>
        <v/>
      </c>
      <c r="EP247" t="str">
        <f t="shared" si="1858"/>
        <v/>
      </c>
      <c r="EQ247" t="str">
        <f t="shared" si="1859"/>
        <v/>
      </c>
      <c r="ER247" t="str">
        <f t="shared" si="1860"/>
        <v/>
      </c>
      <c r="ES247" t="str">
        <f t="shared" si="1861"/>
        <v/>
      </c>
      <c r="ET247" t="str">
        <f t="shared" si="1862"/>
        <v/>
      </c>
      <c r="EU247" t="str">
        <f t="shared" si="1863"/>
        <v/>
      </c>
      <c r="EV247" t="str">
        <f t="shared" si="1864"/>
        <v/>
      </c>
      <c r="EW247" t="str">
        <f t="shared" si="1865"/>
        <v/>
      </c>
      <c r="EX247" t="str">
        <f t="shared" si="1866"/>
        <v/>
      </c>
      <c r="EY247" t="str">
        <f t="shared" si="1867"/>
        <v/>
      </c>
    </row>
    <row r="248" spans="1:155" ht="13.9" customHeight="1" x14ac:dyDescent="0.25">
      <c r="A248" s="14"/>
      <c r="B248" s="15" t="s">
        <v>1575</v>
      </c>
      <c r="C248" s="16"/>
      <c r="D248" s="16"/>
      <c r="E248" s="16"/>
      <c r="F248" s="31" t="s">
        <v>1</v>
      </c>
      <c r="G248" s="33"/>
      <c r="H248" s="33"/>
      <c r="I248" s="32" t="s">
        <v>2</v>
      </c>
      <c r="J248" s="33"/>
      <c r="K248" s="33"/>
      <c r="L248" s="6" t="s">
        <v>3</v>
      </c>
      <c r="M248" s="2" t="s">
        <v>4</v>
      </c>
      <c r="N248" s="2" t="s">
        <v>5</v>
      </c>
      <c r="O248" s="2" t="s">
        <v>6</v>
      </c>
      <c r="P248" s="2" t="s">
        <v>7</v>
      </c>
      <c r="Q248" s="2" t="s">
        <v>8</v>
      </c>
      <c r="R248" s="2" t="str">
        <f>IF($Q248="","",IF(OR($BE248="",$BF248=""),"ONZEKER",IF(AND($BE248=0+1,$BF248=0),IF(OR(COUNTIF(#REF!,$B248)&gt;0,COUNTIF(#REF!,$B248)=0),"SKIP",IF(COUNTIFS(#REF!,$B248,#REF!,$Q248)&gt;0,"OK","ONBEKEND")),IF(AND($BE248=0,$BF248=0+1),IF(OR(COUNTIF(#REF!,$D248)&gt;0,COUNTIF(#REF!,$D248)=0),"SKIP",IF(COUNTIFS(#REF!,$D248,#REF!,$Q248)&gt;0,"OK","ONBEKEND")),"ONZEKER"))))</f>
        <v>ONZEKER</v>
      </c>
      <c r="S248" s="2" t="s">
        <v>10</v>
      </c>
      <c r="T248" s="2" t="s">
        <v>11</v>
      </c>
      <c r="U248" s="2" t="str">
        <f>IF($T248="","",IF(OR($BH248="",$BI248=""),"ONZEKER",IF(OR($BE248="",$BF248=""),"ONZEKER",IF(AND($BH248=$BE248+1,$BI248=$BF248),IF(OR(COUNTIF(#REF!,$B248)&gt;0,COUNTIF(#REF!,$B248)=0),"SKIP",IF(COUNTIFS(#REF!,$B248,#REF!,$T248)&gt;0,"OK","ONBEKEND")),IF(AND($BH248=$BE248,$BI248=$BF248+1),IF(OR(COUNTIF(#REF!,$D248)&gt;0,COUNTIF(#REF!,$D248)=0),"SKIP",IF(COUNTIFS(#REF!,$D248,#REF!,$T248)&gt;0,"OK","ONBEKEND")),"ONZEKER")))))</f>
        <v>ONZEKER</v>
      </c>
      <c r="V248" s="2" t="s">
        <v>13</v>
      </c>
      <c r="W248" s="2" t="s">
        <v>14</v>
      </c>
      <c r="X248" s="2" t="str">
        <f>IF($W248="","",IF(OR($BK248="",$BL248=""),"ONZEKER",IF(OR($BH248="",$BI248=""),"ONZEKER",IF(AND($BK248=$BH248+1,$BL248=$BI248),IF(OR(COUNTIF(#REF!,$B248)&gt;0,COUNTIF(#REF!,$B248)=0),"SKIP",IF(COUNTIFS(#REF!,$B248,#REF!,$W248)&gt;0,"OK","ONBEKEND")),IF(AND($BK248=$BH248,$BL248=$BI248+1),IF(OR(COUNTIF(#REF!,$D248)&gt;0,COUNTIF(#REF!,$D248)=0),"SKIP",IF(COUNTIFS(#REF!,$D248,#REF!,$W248)&gt;0,"OK","ONBEKEND")),"ONZEKER")))))</f>
        <v>ONZEKER</v>
      </c>
      <c r="Y248" s="2" t="s">
        <v>16</v>
      </c>
      <c r="Z248" s="2" t="s">
        <v>17</v>
      </c>
      <c r="AA248" s="2" t="str">
        <f>IF($Z248="","",IF(OR($BN248="",$BO248=""),"ONZEKER",IF(OR($BK248="",$BL248=""),"ONZEKER",IF(AND($BN248=$BK248+1,$BO248=$BL248),IF(OR(COUNTIF(#REF!,$B248)&gt;0,COUNTIF(#REF!,$B248)=0),"SKIP",IF(COUNTIFS(#REF!,$B248,#REF!,$Z248)&gt;0,"OK","ONBEKEND")),IF(AND($BN248=$BK248,$BO248=$BL248+1),IF(OR(COUNTIF(#REF!,$D248)&gt;0,COUNTIF(#REF!,$D248)=0),"SKIP",IF(COUNTIFS(#REF!,$D248,#REF!,$Z248)&gt;0,"OK","ONBEKEND")),"ONZEKER")))))</f>
        <v>ONZEKER</v>
      </c>
      <c r="AB248" s="2" t="s">
        <v>19</v>
      </c>
      <c r="AC248" s="2" t="s">
        <v>20</v>
      </c>
      <c r="AD248" s="2" t="str">
        <f>IF($AC248="","",IF(OR($BQ248="",$BR248=""),"ONZEKER",IF(OR($BN248="",$BO248=""),"ONZEKER",IF(AND($BQ248=$BN248+1,$BR248=$BO248),IF(OR(COUNTIF(#REF!,$B248)&gt;0,COUNTIF(#REF!,$B248)=0),"SKIP",IF(COUNTIFS(#REF!,$B248,#REF!,$AC248)&gt;0,"OK","ONBEKEND")),IF(AND($BQ248=$BN248,$BR248=$BO248+1),IF(OR(COUNTIF(#REF!,$D248)&gt;0,COUNTIF(#REF!,$D248)=0),"SKIP",IF(COUNTIFS(#REF!,$D248,#REF!,$AC248)&gt;0,"OK","ONBEKEND")),"ONZEKER")))))</f>
        <v>ONZEKER</v>
      </c>
      <c r="AE248" s="2" t="s">
        <v>22</v>
      </c>
      <c r="AF248" s="2" t="s">
        <v>23</v>
      </c>
      <c r="AG248" s="2" t="str">
        <f>IF($AF248="","",IF(OR($BT248="",$BU248=""),"ONZEKER",IF(OR($BQ248="",$BR248=""),"ONZEKER",IF(AND($BT248=$BQ248+1,$BU248=$BR248),IF(OR(COUNTIF(#REF!,$B248)&gt;0,COUNTIF(#REF!,$B248)=0),"SKIP",IF(COUNTIFS(#REF!,$B248,#REF!,$AF248)&gt;0,"OK","ONBEKEND")),IF(AND($BT248=$BQ248,$BU248=$BR248+1),IF(OR(COUNTIF(#REF!,$D248)&gt;0,COUNTIF(#REF!,$D248)=0),"SKIP",IF(COUNTIFS(#REF!,$D248,#REF!,$AF248)&gt;0,"OK","ONBEKEND")),"ONZEKER")))))</f>
        <v>ONZEKER</v>
      </c>
      <c r="AH248" s="2" t="s">
        <v>25</v>
      </c>
      <c r="AI248" s="2" t="s">
        <v>26</v>
      </c>
      <c r="AJ248" s="2" t="str">
        <f>IF($AI248="","",IF(OR($BW248="",$BX248=""),"ONZEKER",IF(OR($BT248="",$BU248=""),"ONZEKER",IF(AND($BW248=$BT248+1,$BX248=$BU248),IF(OR(COUNTIF(#REF!,$B248)&gt;0,COUNTIF(#REF!,$B248)=0),"SKIP",IF(COUNTIFS(#REF!,$B248,#REF!,$AI248)&gt;0,"OK","ONBEKEND")),IF(AND($BW248=$BT248,$BX248=$BU248+1),IF(OR(COUNTIF(#REF!,$D248)&gt;0,COUNTIF(#REF!,$D248)=0),"SKIP",IF(COUNTIFS(#REF!,$D248,#REF!,$AI248)&gt;0,"OK","ONBEKEND")),"ONZEKER")))))</f>
        <v>ONZEKER</v>
      </c>
      <c r="AK248" s="2" t="s">
        <v>28</v>
      </c>
      <c r="AL248" s="2" t="s">
        <v>29</v>
      </c>
      <c r="AM248" s="2" t="str">
        <f>IF($AL248="","",IF(OR($BZ248="",$CA248=""),"ONZEKER",IF(OR($BW248="",$BX248=""),"ONZEKER",IF(AND($BZ248=$BW248+1,$CA248=$BX248),IF(OR(COUNTIF(#REF!,$B248)&gt;0,COUNTIF(#REF!,$B248)=0),"SKIP",IF(COUNTIFS(#REF!,$B248,#REF!,$AL248)&gt;0,"OK","ONBEKEND")),IF(AND($BZ248=$BW248,$CA248=$BX248+1),IF(OR(COUNTIF(#REF!,$D248)&gt;0,COUNTIF(#REF!,$D248)=0),"SKIP",IF(COUNTIFS(#REF!,$D248,#REF!,$AL248)&gt;0,"OK","ONBEKEND")),"ONZEKER")))))</f>
        <v>ONZEKER</v>
      </c>
      <c r="AN248" s="2" t="s">
        <v>31</v>
      </c>
      <c r="AO248" s="2" t="s">
        <v>32</v>
      </c>
      <c r="AP248" s="2" t="str">
        <f>IF($AO248="","",IF(OR($CC248="",$CD248=""),"ONZEKER",IF(OR($BZ248="",$CA248=""),"ONZEKER",IF(AND($CC248=$BZ248+1,$CD248=$CA248),IF(OR(COUNTIF(#REF!,$B248)&gt;0,COUNTIF(#REF!,$B248)=0),"SKIP",IF(COUNTIFS(#REF!,$B248,#REF!,$AO248)&gt;0,"OK","ONBEKEND")),IF(AND($CC248=$BZ248,$CD248=$CA248+1),IF(OR(COUNTIF(#REF!,$D248)&gt;0,COUNTIF(#REF!,$D248)=0),"SKIP",IF(COUNTIFS(#REF!,$D248,#REF!,$AO248)&gt;0,"OK","ONBEKEND")),"ONZEKER")))))</f>
        <v>ONZEKER</v>
      </c>
      <c r="AQ248" s="2" t="s">
        <v>34</v>
      </c>
      <c r="AR248" s="2" t="s">
        <v>35</v>
      </c>
      <c r="AS248" s="2" t="str">
        <f>IF($AR248="","",IF(OR($CF248="",$CG248=""),"ONZEKER",IF(OR($CC248="",$CD248=""),"ONZEKER",IF(AND($CF248=$CC248+1,$CG248=$CD248),IF(OR(COUNTIF(#REF!,$B248)&gt;0,COUNTIF(#REF!,$B248)=0),"SKIP",IF(COUNTIFS(#REF!,$B248,#REF!,$AR248)&gt;0,"OK","ONBEKEND")),IF(AND($CF248=$CC248,$CG248=$CD248+1),IF(OR(COUNTIF(#REF!,$D248)&gt;0,COUNTIF(#REF!,$D248)=0),"SKIP",IF(COUNTIFS(#REF!,$D248,#REF!,$AR248)&gt;0,"OK","ONBEKEND")),"ONZEKER")))))</f>
        <v>ONZEKER</v>
      </c>
      <c r="AT248" s="2" t="s">
        <v>37</v>
      </c>
      <c r="AU248" s="2" t="s">
        <v>38</v>
      </c>
      <c r="AV248" s="2" t="s">
        <v>39</v>
      </c>
      <c r="AW248" s="2" t="s">
        <v>40</v>
      </c>
      <c r="AX248" s="2" t="s">
        <v>41</v>
      </c>
      <c r="AY248" s="2" t="s">
        <v>42</v>
      </c>
      <c r="AZ248" s="2" t="s">
        <v>43</v>
      </c>
      <c r="BA248" s="2" t="s">
        <v>44</v>
      </c>
      <c r="BB248" s="2" t="s">
        <v>45</v>
      </c>
      <c r="BC248" s="2" t="s">
        <v>46</v>
      </c>
      <c r="BD248" t="str">
        <f t="shared" si="1470"/>
        <v/>
      </c>
      <c r="BE248" t="str">
        <f t="shared" si="1471"/>
        <v/>
      </c>
      <c r="BF248" t="str">
        <f t="shared" si="1472"/>
        <v/>
      </c>
      <c r="BG248" t="str">
        <f t="shared" si="1473"/>
        <v/>
      </c>
      <c r="BH248" t="str">
        <f t="shared" si="1474"/>
        <v/>
      </c>
      <c r="BI248" t="str">
        <f t="shared" si="1475"/>
        <v/>
      </c>
      <c r="BJ248" t="str">
        <f t="shared" si="1476"/>
        <v/>
      </c>
      <c r="BK248" t="str">
        <f t="shared" si="1477"/>
        <v/>
      </c>
      <c r="BL248" t="str">
        <f t="shared" si="1478"/>
        <v/>
      </c>
      <c r="BM248" t="str">
        <f t="shared" si="1479"/>
        <v/>
      </c>
      <c r="BN248" t="str">
        <f t="shared" si="1480"/>
        <v/>
      </c>
      <c r="BO248" t="str">
        <f t="shared" si="1481"/>
        <v/>
      </c>
      <c r="BP248" t="str">
        <f t="shared" si="1482"/>
        <v/>
      </c>
      <c r="BQ248" t="str">
        <f t="shared" si="1483"/>
        <v/>
      </c>
      <c r="BR248" t="str">
        <f t="shared" si="1484"/>
        <v/>
      </c>
      <c r="BS248" t="str">
        <f t="shared" si="1485"/>
        <v/>
      </c>
      <c r="BT248" t="str">
        <f t="shared" si="1486"/>
        <v/>
      </c>
      <c r="BU248" t="str">
        <f t="shared" si="1487"/>
        <v/>
      </c>
      <c r="BV248" t="str">
        <f t="shared" si="1488"/>
        <v/>
      </c>
      <c r="BW248" t="str">
        <f t="shared" si="1489"/>
        <v/>
      </c>
      <c r="BX248" t="str">
        <f t="shared" si="1490"/>
        <v/>
      </c>
      <c r="BY248" t="str">
        <f t="shared" si="1491"/>
        <v/>
      </c>
      <c r="BZ248" t="str">
        <f t="shared" si="1492"/>
        <v/>
      </c>
      <c r="CA248" t="str">
        <f t="shared" si="1493"/>
        <v/>
      </c>
      <c r="CB248" t="str">
        <f t="shared" si="1494"/>
        <v/>
      </c>
      <c r="CC248" t="str">
        <f t="shared" si="1495"/>
        <v/>
      </c>
      <c r="CD248" t="str">
        <f t="shared" si="1496"/>
        <v/>
      </c>
      <c r="CE248" t="str">
        <f t="shared" si="1497"/>
        <v/>
      </c>
      <c r="CF248" t="str">
        <f t="shared" si="1498"/>
        <v/>
      </c>
      <c r="CG248" t="str">
        <f t="shared" si="1499"/>
        <v/>
      </c>
      <c r="CH248" s="2" t="s">
        <v>77</v>
      </c>
      <c r="CI248" s="2" t="s">
        <v>78</v>
      </c>
      <c r="CJ248" s="2" t="s">
        <v>79</v>
      </c>
      <c r="CK248" s="2" t="s">
        <v>80</v>
      </c>
      <c r="CL248" s="2" t="s">
        <v>81</v>
      </c>
      <c r="CM248" s="2" t="s">
        <v>82</v>
      </c>
      <c r="CN248" s="2" t="s">
        <v>83</v>
      </c>
      <c r="CO248" s="2" t="s">
        <v>84</v>
      </c>
      <c r="CP248" s="2" t="s">
        <v>85</v>
      </c>
      <c r="CQ248" s="2" t="s">
        <v>86</v>
      </c>
      <c r="CR248" s="2" t="s">
        <v>87</v>
      </c>
      <c r="CS248" s="2" t="s">
        <v>88</v>
      </c>
      <c r="CT248" s="2" t="s">
        <v>89</v>
      </c>
      <c r="CU248" s="2" t="s">
        <v>90</v>
      </c>
      <c r="CV248" s="2" t="s">
        <v>91</v>
      </c>
      <c r="CW248" s="2" t="s">
        <v>92</v>
      </c>
      <c r="CX248" s="2" t="s">
        <v>93</v>
      </c>
      <c r="CY248" s="2" t="s">
        <v>94</v>
      </c>
      <c r="CZ248" s="2" t="s">
        <v>95</v>
      </c>
      <c r="DA248" s="2" t="s">
        <v>96</v>
      </c>
      <c r="DB248" s="2" t="s">
        <v>97</v>
      </c>
      <c r="DC248" s="2" t="s">
        <v>98</v>
      </c>
      <c r="DD248" s="2" t="s">
        <v>99</v>
      </c>
      <c r="DE248" s="2" t="s">
        <v>100</v>
      </c>
      <c r="DF248" s="2" t="s">
        <v>101</v>
      </c>
      <c r="DG248" s="2" t="s">
        <v>102</v>
      </c>
      <c r="DH248" s="2" t="s">
        <v>103</v>
      </c>
      <c r="DI248" s="2" t="s">
        <v>104</v>
      </c>
      <c r="DJ248" s="2" t="s">
        <v>105</v>
      </c>
      <c r="DK248" s="2" t="s">
        <v>106</v>
      </c>
      <c r="DL248" s="2" t="s">
        <v>107</v>
      </c>
      <c r="DM248" s="2" t="s">
        <v>108</v>
      </c>
      <c r="DN248" s="2" t="s">
        <v>109</v>
      </c>
      <c r="DO248" s="2" t="s">
        <v>110</v>
      </c>
      <c r="DP248" s="2" t="s">
        <v>111</v>
      </c>
      <c r="DQ248" s="2" t="s">
        <v>112</v>
      </c>
      <c r="DR248" s="2" t="s">
        <v>113</v>
      </c>
      <c r="DS248" s="2" t="s">
        <v>114</v>
      </c>
      <c r="DT248" s="2" t="s">
        <v>115</v>
      </c>
      <c r="DU248" s="2" t="s">
        <v>116</v>
      </c>
      <c r="DV248" s="2" t="s">
        <v>117</v>
      </c>
      <c r="DW248" s="2" t="s">
        <v>118</v>
      </c>
      <c r="DX248" s="2" t="s">
        <v>119</v>
      </c>
      <c r="DY248" s="2" t="s">
        <v>120</v>
      </c>
      <c r="DZ248" s="2" t="s">
        <v>121</v>
      </c>
      <c r="EA248" s="2" t="s">
        <v>122</v>
      </c>
      <c r="EB248" s="2" t="s">
        <v>123</v>
      </c>
      <c r="EC248" s="2" t="s">
        <v>124</v>
      </c>
      <c r="ED248" s="2" t="s">
        <v>125</v>
      </c>
      <c r="EE248" s="2" t="s">
        <v>126</v>
      </c>
      <c r="EF248" s="2" t="s">
        <v>127</v>
      </c>
      <c r="EG248" s="2" t="s">
        <v>128</v>
      </c>
      <c r="EH248" s="2" t="s">
        <v>129</v>
      </c>
      <c r="EI248" s="2" t="s">
        <v>130</v>
      </c>
      <c r="EJ248" s="2" t="s">
        <v>131</v>
      </c>
      <c r="EK248" s="2" t="s">
        <v>132</v>
      </c>
      <c r="EL248" s="2" t="s">
        <v>133</v>
      </c>
      <c r="EM248" s="2" t="s">
        <v>134</v>
      </c>
      <c r="EN248" s="2" t="s">
        <v>135</v>
      </c>
      <c r="EO248" s="2" t="s">
        <v>136</v>
      </c>
      <c r="EP248" s="2" t="s">
        <v>137</v>
      </c>
      <c r="EQ248" s="2" t="s">
        <v>138</v>
      </c>
      <c r="ER248" s="2" t="s">
        <v>139</v>
      </c>
      <c r="ES248" s="2" t="s">
        <v>140</v>
      </c>
      <c r="ET248" s="2" t="s">
        <v>141</v>
      </c>
      <c r="EU248" s="2" t="s">
        <v>142</v>
      </c>
      <c r="EV248" s="2" t="s">
        <v>143</v>
      </c>
      <c r="EW248" s="2" t="s">
        <v>144</v>
      </c>
      <c r="EX248" s="2" t="s">
        <v>145</v>
      </c>
      <c r="EY248" s="2" t="s">
        <v>146</v>
      </c>
    </row>
    <row r="249" spans="1:155" ht="13.9" customHeight="1" x14ac:dyDescent="0.25">
      <c r="A249" s="7"/>
      <c r="B249" s="17"/>
      <c r="C249" s="8"/>
      <c r="D249" s="17"/>
      <c r="E249" s="8"/>
      <c r="F249" s="18">
        <v>0</v>
      </c>
      <c r="G249" s="7" t="s">
        <v>147</v>
      </c>
      <c r="H249" s="18">
        <v>0</v>
      </c>
      <c r="I249" s="19">
        <v>0</v>
      </c>
      <c r="J249" s="7" t="s">
        <v>147</v>
      </c>
      <c r="K249" s="19">
        <v>0</v>
      </c>
      <c r="L249" s="9"/>
      <c r="M249" s="3" t="str">
        <f>IF($L249="","",IF($L249="DOELPUNTENMAKERS","",IF(AND(COUNTIF(#REF!,$B249)=0,COUNTIF(#REF!,$D249)=0),"OK",IF($O249&gt;20,"LET OP: meer dan 20 items (controle onvolledig)",IF((COUNTIF($R249:$AS249,"ONZEKER")+COUNTIF($CJ249:$DK249,"ONZEKER"))&gt;0,"LET OP: scoreverloop onduidelijk (controle beperkt)",IF((IF($AT249&lt;&gt;"",$AT249&amp;", ","")&amp;IF($AU249&lt;&gt;"",$AU249&amp;", ","")&amp;IF($AV249&lt;&gt;"",$AV249&amp;", ","")&amp;IF($AW249&lt;&gt;"",$AW249&amp;", ","")&amp;IF($AX249&lt;&gt;"",$AX249&amp;", ","")&amp;IF($AY249&lt;&gt;"",$AY249&amp;", ","")&amp;IF($AZ249&lt;&gt;"",$AZ249&amp;", ","")&amp;IF($BA249&lt;&gt;"",$BA249&amp;", ","")&amp;IF($BB249&lt;&gt;"",$BB249&amp;", ","")&amp;IF($BC249&lt;&gt;"",$BC249&amp;", ","")&amp;IF($DL249&lt;&gt;"",$DL249&amp;", ","")&amp;IF($DM249&lt;&gt;"",$DM249&amp;", ","")&amp;IF($DN249&lt;&gt;"",$DN249&amp;", ","")&amp;IF($DO249&lt;&gt;"",$DO249&amp;", ","")&amp;IF($DP249&lt;&gt;"",$DP249&amp;", ","")&amp;IF($DQ249&lt;&gt;"",$DQ249&amp;", ","")&amp;IF($DR249&lt;&gt;"",$DR249&amp;", ","")&amp;IF($DS249&lt;&gt;"",$DS249&amp;", ","")&amp;IF($DT249&lt;&gt;"",$DT249&amp;", ","")&amp;IF($DU249&lt;&gt;"",$DU249&amp;", ",""))="","OK","Onbekend: "&amp;LEFT((IF($AT249&lt;&gt;"",$AT249&amp;", ","")&amp;IF($AU249&lt;&gt;"",$AU249&amp;", ","")&amp;IF($AV249&lt;&gt;"",$AV249&amp;", ","")&amp;IF($AW249&lt;&gt;"",$AW249&amp;", ","")&amp;IF($AX249&lt;&gt;"",$AX249&amp;", ","")&amp;IF($AY249&lt;&gt;"",$AY249&amp;", ","")&amp;IF($AZ249&lt;&gt;"",$AZ249&amp;", ","")&amp;IF($BA249&lt;&gt;"",$BA249&amp;", ","")&amp;IF($BB249&lt;&gt;"",$BB249&amp;", ","")&amp;IF($BC249&lt;&gt;"",$BC249&amp;", ","")&amp;IF($DL249&lt;&gt;"",$DL249&amp;", ","")&amp;IF($DM249&lt;&gt;"",$DM249&amp;", ","")&amp;IF($DN249&lt;&gt;"",$DN249&amp;", ","")&amp;IF($DO249&lt;&gt;"",$DO249&amp;", ","")&amp;IF($DP249&lt;&gt;"",$DP249&amp;", ","")&amp;IF($DQ249&lt;&gt;"",$DQ249&amp;", ","")&amp;IF($DR249&lt;&gt;"",$DR249&amp;", ","")&amp;IF($DS249&lt;&gt;"",$DS249&amp;", ","")&amp;IF($DT249&lt;&gt;"",$DT249&amp;", ","")&amp;IF($DU249&lt;&gt;"",$DU249&amp;", ","")),LEN((IF($AT249&lt;&gt;"",$AT249&amp;", ","")&amp;IF($AU249&lt;&gt;"",$AU249&amp;", ","")&amp;IF($AV249&lt;&gt;"",$AV249&amp;", ","")&amp;IF($AW249&lt;&gt;"",$AW249&amp;", ","")&amp;IF($AX249&lt;&gt;"",$AX249&amp;", ","")&amp;IF($AY249&lt;&gt;"",$AY249&amp;", ","")&amp;IF($AZ249&lt;&gt;"",$AZ249&amp;", ","")&amp;IF($BA249&lt;&gt;"",$BA249&amp;", ","")&amp;IF($BB249&lt;&gt;"",$BB249&amp;", ","")&amp;IF($BC249&lt;&gt;"",$BC249&amp;", ","")&amp;IF($DL249&lt;&gt;"",$DL249&amp;", ","")&amp;IF($DM249&lt;&gt;"",$DM249&amp;", ","")&amp;IF($DN249&lt;&gt;"",$DN249&amp;", ","")&amp;IF($DO249&lt;&gt;"",$DO249&amp;", ","")&amp;IF($DP249&lt;&gt;"",$DP249&amp;", ","")&amp;IF($DQ249&lt;&gt;"",$DQ249&amp;", ","")&amp;IF($DR249&lt;&gt;"",$DR249&amp;", ","")&amp;IF($DS249&lt;&gt;"",$DS249&amp;", ","")&amp;IF($DT249&lt;&gt;"",$DT249&amp;", ","")&amp;IF($DU249&lt;&gt;"",$DU249&amp;", ","")))-2)))))))</f>
        <v/>
      </c>
      <c r="N249" t="str">
        <f t="shared" ref="N249:N260" si="1868">IF($L249="","",TRIM(IF(RIGHT(SUBSTITUTE($L249,CHAR(160)," "),1)=".",LEFT(SUBSTITUTE($L249,CHAR(160)," "),LEN(SUBSTITUTE($L249,CHAR(160)," "))-1),SUBSTITUTE($L249,CHAR(160)," "))))</f>
        <v/>
      </c>
      <c r="O249" t="str">
        <f t="shared" ref="O249:O260" si="1869">IF($N249="","",LEN($N249)-LEN(SUBSTITUTE($N249,",",""))+1)</f>
        <v/>
      </c>
      <c r="P249" t="str">
        <f t="shared" ref="P249:P260" si="1870">IF($N249="","",TRIM(MID(SUBSTITUTE($N249,",",REPT(" ",200)),1,200)))</f>
        <v/>
      </c>
      <c r="Q249" t="str">
        <f t="shared" ref="Q249:Q260" si="1871">IF(P249="","",TRIM(IFERROR(LEFT(P249,FIND("§",SUBSTITUTE(P249," ","§",LEN(P249)-LEN(SUBSTITUTE(P249," ",""))))-1),P249)))</f>
        <v/>
      </c>
      <c r="R249" t="str">
        <f>IF($Q249="","",IF(OR($BE249="",$BF249=""),"ONZEKER",IF(AND($BE249=0+1,$BF249=0),IF(OR(COUNTIF(#REF!,$B249)&gt;0,COUNTIF(#REF!,$B249)=0),"SKIP",IF(COUNTIFS(#REF!,$B249,#REF!,$Q249)&gt;0,"OK","ONBEKEND")),IF(AND($BE249=0,$BF249=0+1),IF(OR(COUNTIF(#REF!,$D249)&gt;0,COUNTIF(#REF!,$D249)=0),"SKIP",IF(COUNTIFS(#REF!,$D249,#REF!,$Q249)&gt;0,"OK","ONBEKEND")),"ONZEKER"))))</f>
        <v/>
      </c>
      <c r="S249" t="str">
        <f t="shared" ref="S249:S260" si="1872">IF($N249="","",TRIM(MID(SUBSTITUTE($N249,",",REPT(" ",200)),201,200)))</f>
        <v/>
      </c>
      <c r="T249" t="str">
        <f t="shared" ref="T249:T260" si="1873">IF(S249="","",TRIM(IFERROR(LEFT(S249,FIND("§",SUBSTITUTE(S249," ","§",LEN(S249)-LEN(SUBSTITUTE(S249," ",""))))-1),S249)))</f>
        <v/>
      </c>
      <c r="U249" t="str">
        <f>IF($T249="","",IF(OR($BH249="",$BI249=""),"ONZEKER",IF(OR($BE249="",$BF249=""),"ONZEKER",IF(AND($BH249=$BE249+1,$BI249=$BF249),IF(OR(COUNTIF(#REF!,$B249)&gt;0,COUNTIF(#REF!,$B249)=0),"SKIP",IF(COUNTIFS(#REF!,$B249,#REF!,$T249)&gt;0,"OK","ONBEKEND")),IF(AND($BH249=$BE249,$BI249=$BF249+1),IF(OR(COUNTIF(#REF!,$D249)&gt;0,COUNTIF(#REF!,$D249)=0),"SKIP",IF(COUNTIFS(#REF!,$D249,#REF!,$T249)&gt;0,"OK","ONBEKEND")),"ONZEKER")))))</f>
        <v/>
      </c>
      <c r="V249" t="str">
        <f t="shared" ref="V249:V260" si="1874">IF($N249="","",TRIM(MID(SUBSTITUTE($N249,",",REPT(" ",200)),401,200)))</f>
        <v/>
      </c>
      <c r="W249" t="str">
        <f t="shared" ref="W249:W260" si="1875">IF(V249="","",TRIM(IFERROR(LEFT(V249,FIND("§",SUBSTITUTE(V249," ","§",LEN(V249)-LEN(SUBSTITUTE(V249," ",""))))-1),V249)))</f>
        <v/>
      </c>
      <c r="X249" t="str">
        <f>IF($W249="","",IF(OR($BK249="",$BL249=""),"ONZEKER",IF(OR($BH249="",$BI249=""),"ONZEKER",IF(AND($BK249=$BH249+1,$BL249=$BI249),IF(OR(COUNTIF(#REF!,$B249)&gt;0,COUNTIF(#REF!,$B249)=0),"SKIP",IF(COUNTIFS(#REF!,$B249,#REF!,$W249)&gt;0,"OK","ONBEKEND")),IF(AND($BK249=$BH249,$BL249=$BI249+1),IF(OR(COUNTIF(#REF!,$D249)&gt;0,COUNTIF(#REF!,$D249)=0),"SKIP",IF(COUNTIFS(#REF!,$D249,#REF!,$W249)&gt;0,"OK","ONBEKEND")),"ONZEKER")))))</f>
        <v/>
      </c>
      <c r="Y249" t="str">
        <f t="shared" ref="Y249:Y260" si="1876">IF($N249="","",TRIM(MID(SUBSTITUTE($N249,",",REPT(" ",200)),601,200)))</f>
        <v/>
      </c>
      <c r="Z249" t="str">
        <f t="shared" ref="Z249:Z260" si="1877">IF(Y249="","",TRIM(IFERROR(LEFT(Y249,FIND("§",SUBSTITUTE(Y249," ","§",LEN(Y249)-LEN(SUBSTITUTE(Y249," ",""))))-1),Y249)))</f>
        <v/>
      </c>
      <c r="AA249" t="str">
        <f>IF($Z249="","",IF(OR($BN249="",$BO249=""),"ONZEKER",IF(OR($BK249="",$BL249=""),"ONZEKER",IF(AND($BN249=$BK249+1,$BO249=$BL249),IF(OR(COUNTIF(#REF!,$B249)&gt;0,COUNTIF(#REF!,$B249)=0),"SKIP",IF(COUNTIFS(#REF!,$B249,#REF!,$Z249)&gt;0,"OK","ONBEKEND")),IF(AND($BN249=$BK249,$BO249=$BL249+1),IF(OR(COUNTIF(#REF!,$D249)&gt;0,COUNTIF(#REF!,$D249)=0),"SKIP",IF(COUNTIFS(#REF!,$D249,#REF!,$Z249)&gt;0,"OK","ONBEKEND")),"ONZEKER")))))</f>
        <v/>
      </c>
      <c r="AB249" t="str">
        <f t="shared" ref="AB249:AB260" si="1878">IF($N249="","",TRIM(MID(SUBSTITUTE($N249,",",REPT(" ",200)),801,200)))</f>
        <v/>
      </c>
      <c r="AC249" t="str">
        <f t="shared" ref="AC249:AC260" si="1879">IF(AB249="","",TRIM(IFERROR(LEFT(AB249,FIND("§",SUBSTITUTE(AB249," ","§",LEN(AB249)-LEN(SUBSTITUTE(AB249," ",""))))-1),AB249)))</f>
        <v/>
      </c>
      <c r="AD249" t="str">
        <f>IF($AC249="","",IF(OR($BQ249="",$BR249=""),"ONZEKER",IF(OR($BN249="",$BO249=""),"ONZEKER",IF(AND($BQ249=$BN249+1,$BR249=$BO249),IF(OR(COUNTIF(#REF!,$B249)&gt;0,COUNTIF(#REF!,$B249)=0),"SKIP",IF(COUNTIFS(#REF!,$B249,#REF!,$AC249)&gt;0,"OK","ONBEKEND")),IF(AND($BQ249=$BN249,$BR249=$BO249+1),IF(OR(COUNTIF(#REF!,$D249)&gt;0,COUNTIF(#REF!,$D249)=0),"SKIP",IF(COUNTIFS(#REF!,$D249,#REF!,$AC249)&gt;0,"OK","ONBEKEND")),"ONZEKER")))))</f>
        <v/>
      </c>
      <c r="AE249" t="str">
        <f t="shared" ref="AE249:AE260" si="1880">IF($N249="","",TRIM(MID(SUBSTITUTE($N249,",",REPT(" ",200)),1001,200)))</f>
        <v/>
      </c>
      <c r="AF249" t="str">
        <f t="shared" ref="AF249:AF260" si="1881">IF(AE249="","",TRIM(IFERROR(LEFT(AE249,FIND("§",SUBSTITUTE(AE249," ","§",LEN(AE249)-LEN(SUBSTITUTE(AE249," ",""))))-1),AE249)))</f>
        <v/>
      </c>
      <c r="AG249" t="str">
        <f>IF($AF249="","",IF(OR($BT249="",$BU249=""),"ONZEKER",IF(OR($BQ249="",$BR249=""),"ONZEKER",IF(AND($BT249=$BQ249+1,$BU249=$BR249),IF(OR(COUNTIF(#REF!,$B249)&gt;0,COUNTIF(#REF!,$B249)=0),"SKIP",IF(COUNTIFS(#REF!,$B249,#REF!,$AF249)&gt;0,"OK","ONBEKEND")),IF(AND($BT249=$BQ249,$BU249=$BR249+1),IF(OR(COUNTIF(#REF!,$D249)&gt;0,COUNTIF(#REF!,$D249)=0),"SKIP",IF(COUNTIFS(#REF!,$D249,#REF!,$AF249)&gt;0,"OK","ONBEKEND")),"ONZEKER")))))</f>
        <v/>
      </c>
      <c r="AH249" t="str">
        <f t="shared" ref="AH249:AH260" si="1882">IF($N249="","",TRIM(MID(SUBSTITUTE($N249,",",REPT(" ",200)),1201,200)))</f>
        <v/>
      </c>
      <c r="AI249" t="str">
        <f t="shared" ref="AI249:AI260" si="1883">IF(AH249="","",TRIM(IFERROR(LEFT(AH249,FIND("§",SUBSTITUTE(AH249," ","§",LEN(AH249)-LEN(SUBSTITUTE(AH249," ",""))))-1),AH249)))</f>
        <v/>
      </c>
      <c r="AJ249" t="str">
        <f>IF($AI249="","",IF(OR($BW249="",$BX249=""),"ONZEKER",IF(OR($BT249="",$BU249=""),"ONZEKER",IF(AND($BW249=$BT249+1,$BX249=$BU249),IF(OR(COUNTIF(#REF!,$B249)&gt;0,COUNTIF(#REF!,$B249)=0),"SKIP",IF(COUNTIFS(#REF!,$B249,#REF!,$AI249)&gt;0,"OK","ONBEKEND")),IF(AND($BW249=$BT249,$BX249=$BU249+1),IF(OR(COUNTIF(#REF!,$D249)&gt;0,COUNTIF(#REF!,$D249)=0),"SKIP",IF(COUNTIFS(#REF!,$D249,#REF!,$AI249)&gt;0,"OK","ONBEKEND")),"ONZEKER")))))</f>
        <v/>
      </c>
      <c r="AK249" t="str">
        <f t="shared" ref="AK249:AK260" si="1884">IF($N249="","",TRIM(MID(SUBSTITUTE($N249,",",REPT(" ",200)),1401,200)))</f>
        <v/>
      </c>
      <c r="AL249" t="str">
        <f t="shared" ref="AL249:AL260" si="1885">IF(AK249="","",TRIM(IFERROR(LEFT(AK249,FIND("§",SUBSTITUTE(AK249," ","§",LEN(AK249)-LEN(SUBSTITUTE(AK249," ",""))))-1),AK249)))</f>
        <v/>
      </c>
      <c r="AM249" t="str">
        <f>IF($AL249="","",IF(OR($BZ249="",$CA249=""),"ONZEKER",IF(OR($BW249="",$BX249=""),"ONZEKER",IF(AND($BZ249=$BW249+1,$CA249=$BX249),IF(OR(COUNTIF(#REF!,$B249)&gt;0,COUNTIF(#REF!,$B249)=0),"SKIP",IF(COUNTIFS(#REF!,$B249,#REF!,$AL249)&gt;0,"OK","ONBEKEND")),IF(AND($BZ249=$BW249,$CA249=$BX249+1),IF(OR(COUNTIF(#REF!,$D249)&gt;0,COUNTIF(#REF!,$D249)=0),"SKIP",IF(COUNTIFS(#REF!,$D249,#REF!,$AL249)&gt;0,"OK","ONBEKEND")),"ONZEKER")))))</f>
        <v/>
      </c>
      <c r="AN249" t="str">
        <f t="shared" ref="AN249:AN260" si="1886">IF($N249="","",TRIM(MID(SUBSTITUTE($N249,",",REPT(" ",200)),1601,200)))</f>
        <v/>
      </c>
      <c r="AO249" t="str">
        <f t="shared" ref="AO249:AO260" si="1887">IF(AN249="","",TRIM(IFERROR(LEFT(AN249,FIND("§",SUBSTITUTE(AN249," ","§",LEN(AN249)-LEN(SUBSTITUTE(AN249," ",""))))-1),AN249)))</f>
        <v/>
      </c>
      <c r="AP249" t="str">
        <f>IF($AO249="","",IF(OR($CC249="",$CD249=""),"ONZEKER",IF(OR($BZ249="",$CA249=""),"ONZEKER",IF(AND($CC249=$BZ249+1,$CD249=$CA249),IF(OR(COUNTIF(#REF!,$B249)&gt;0,COUNTIF(#REF!,$B249)=0),"SKIP",IF(COUNTIFS(#REF!,$B249,#REF!,$AO249)&gt;0,"OK","ONBEKEND")),IF(AND($CC249=$BZ249,$CD249=$CA249+1),IF(OR(COUNTIF(#REF!,$D249)&gt;0,COUNTIF(#REF!,$D249)=0),"SKIP",IF(COUNTIFS(#REF!,$D249,#REF!,$AO249)&gt;0,"OK","ONBEKEND")),"ONZEKER")))))</f>
        <v/>
      </c>
      <c r="AQ249" t="str">
        <f t="shared" ref="AQ249:AQ260" si="1888">IF($N249="","",TRIM(MID(SUBSTITUTE($N249,",",REPT(" ",200)),1801,200)))</f>
        <v/>
      </c>
      <c r="AR249" t="str">
        <f t="shared" ref="AR249:AR260" si="1889">IF(AQ249="","",TRIM(IFERROR(LEFT(AQ249,FIND("§",SUBSTITUTE(AQ249," ","§",LEN(AQ249)-LEN(SUBSTITUTE(AQ249," ",""))))-1),AQ249)))</f>
        <v/>
      </c>
      <c r="AS249" t="str">
        <f>IF($AR249="","",IF(OR($CF249="",$CG249=""),"ONZEKER",IF(OR($CC249="",$CD249=""),"ONZEKER",IF(AND($CF249=$CC249+1,$CG249=$CD249),IF(OR(COUNTIF(#REF!,$B249)&gt;0,COUNTIF(#REF!,$B249)=0),"SKIP",IF(COUNTIFS(#REF!,$B249,#REF!,$AR249)&gt;0,"OK","ONBEKEND")),IF(AND($CF249=$CC249,$CG249=$CD249+1),IF(OR(COUNTIF(#REF!,$D249)&gt;0,COUNTIF(#REF!,$D249)=0),"SKIP",IF(COUNTIFS(#REF!,$D249,#REF!,$AR249)&gt;0,"OK","ONBEKEND")),"ONZEKER")))))</f>
        <v/>
      </c>
      <c r="AT249" t="str">
        <f t="shared" ref="AT249:AT260" si="1890">IF(R249="ONBEKEND",Q249,"")</f>
        <v/>
      </c>
      <c r="AU249" t="str">
        <f t="shared" ref="AU249:AU260" si="1891">IF(U249="ONBEKEND",T249,"")</f>
        <v/>
      </c>
      <c r="AV249" t="str">
        <f t="shared" ref="AV249:AV260" si="1892">IF(X249="ONBEKEND",W249,"")</f>
        <v/>
      </c>
      <c r="AW249" t="str">
        <f t="shared" ref="AW249:AW260" si="1893">IF(AA249="ONBEKEND",Z249,"")</f>
        <v/>
      </c>
      <c r="AX249" t="str">
        <f t="shared" ref="AX249:AX260" si="1894">IF(AD249="ONBEKEND",AC249,"")</f>
        <v/>
      </c>
      <c r="AY249" t="str">
        <f t="shared" ref="AY249:AY260" si="1895">IF(AG249="ONBEKEND",AF249,"")</f>
        <v/>
      </c>
      <c r="AZ249" t="str">
        <f t="shared" ref="AZ249:AZ260" si="1896">IF(AJ249="ONBEKEND",AI249,"")</f>
        <v/>
      </c>
      <c r="BA249" t="str">
        <f t="shared" ref="BA249:BA260" si="1897">IF(AM249="ONBEKEND",AL249,"")</f>
        <v/>
      </c>
      <c r="BB249" t="str">
        <f t="shared" ref="BB249:BB260" si="1898">IF(AP249="ONBEKEND",AO249,"")</f>
        <v/>
      </c>
      <c r="BC249" t="str">
        <f t="shared" ref="BC249:BC260" si="1899">IF(AS249="ONBEKEND",AR249,"")</f>
        <v/>
      </c>
      <c r="BD249" t="str">
        <f t="shared" si="1470"/>
        <v/>
      </c>
      <c r="BE249" t="str">
        <f t="shared" si="1471"/>
        <v/>
      </c>
      <c r="BF249" t="str">
        <f t="shared" si="1472"/>
        <v/>
      </c>
      <c r="BG249" t="str">
        <f t="shared" si="1473"/>
        <v/>
      </c>
      <c r="BH249" t="str">
        <f t="shared" si="1474"/>
        <v/>
      </c>
      <c r="BI249" t="str">
        <f t="shared" si="1475"/>
        <v/>
      </c>
      <c r="BJ249" t="str">
        <f t="shared" si="1476"/>
        <v/>
      </c>
      <c r="BK249" t="str">
        <f t="shared" si="1477"/>
        <v/>
      </c>
      <c r="BL249" t="str">
        <f t="shared" si="1478"/>
        <v/>
      </c>
      <c r="BM249" t="str">
        <f t="shared" si="1479"/>
        <v/>
      </c>
      <c r="BN249" t="str">
        <f t="shared" si="1480"/>
        <v/>
      </c>
      <c r="BO249" t="str">
        <f t="shared" si="1481"/>
        <v/>
      </c>
      <c r="BP249" t="str">
        <f t="shared" si="1482"/>
        <v/>
      </c>
      <c r="BQ249" t="str">
        <f t="shared" si="1483"/>
        <v/>
      </c>
      <c r="BR249" t="str">
        <f t="shared" si="1484"/>
        <v/>
      </c>
      <c r="BS249" t="str">
        <f t="shared" si="1485"/>
        <v/>
      </c>
      <c r="BT249" t="str">
        <f t="shared" si="1486"/>
        <v/>
      </c>
      <c r="BU249" t="str">
        <f t="shared" si="1487"/>
        <v/>
      </c>
      <c r="BV249" t="str">
        <f t="shared" si="1488"/>
        <v/>
      </c>
      <c r="BW249" t="str">
        <f t="shared" si="1489"/>
        <v/>
      </c>
      <c r="BX249" t="str">
        <f t="shared" si="1490"/>
        <v/>
      </c>
      <c r="BY249" t="str">
        <f t="shared" si="1491"/>
        <v/>
      </c>
      <c r="BZ249" t="str">
        <f t="shared" si="1492"/>
        <v/>
      </c>
      <c r="CA249" t="str">
        <f t="shared" si="1493"/>
        <v/>
      </c>
      <c r="CB249" t="str">
        <f t="shared" si="1494"/>
        <v/>
      </c>
      <c r="CC249" t="str">
        <f t="shared" si="1495"/>
        <v/>
      </c>
      <c r="CD249" t="str">
        <f t="shared" si="1496"/>
        <v/>
      </c>
      <c r="CE249" t="str">
        <f t="shared" si="1497"/>
        <v/>
      </c>
      <c r="CF249" t="str">
        <f t="shared" si="1498"/>
        <v/>
      </c>
      <c r="CG249" t="str">
        <f t="shared" si="1499"/>
        <v/>
      </c>
      <c r="CH249" t="str">
        <f t="shared" ref="CH249:CH260" si="1900">IF($N249="","",TRIM(MID(SUBSTITUTE($N249,",",REPT(" ",200)),2001,200)))</f>
        <v/>
      </c>
      <c r="CI249" t="str">
        <f t="shared" ref="CI249:CI260" si="1901">IF(CH249="","",TRIM(IFERROR(LEFT(CH249,FIND("§",SUBSTITUTE(CH249," ","§",LEN(CH249)-LEN(SUBSTITUTE(CH249," ",""))))-1),CH249)))</f>
        <v/>
      </c>
      <c r="CJ249" t="str">
        <f>IF($CI249="","",IF(OR($DW249="",$DX249=""),"ONZEKER",IF(OR($CF249="",$CG249=""),"ONZEKER",IF(AND($DW249=$CF249+1,$DX249=$CG249),IF(OR(COUNTIF(#REF!,$B249)&gt;0,COUNTIF(#REF!,$B249)=0),"SKIP",IF(COUNTIFS(#REF!,$B249,#REF!,$CI249)&gt;0,"OK","ONBEKEND")),IF(AND($DW249=$CF249,$DX249=$CG249+1),IF(OR(COUNTIF(#REF!,$D249)&gt;0,COUNTIF(#REF!,$D249)=0),"SKIP",IF(COUNTIFS(#REF!,$D249,#REF!,$CI249)&gt;0,"OK","ONBEKEND")),"ONZEKER")))))</f>
        <v/>
      </c>
      <c r="CK249" t="str">
        <f t="shared" ref="CK249:CK260" si="1902">IF($N249="","",TRIM(MID(SUBSTITUTE($N249,",",REPT(" ",200)),2201,200)))</f>
        <v/>
      </c>
      <c r="CL249" t="str">
        <f t="shared" ref="CL249:CL260" si="1903">IF(CK249="","",TRIM(IFERROR(LEFT(CK249,FIND("§",SUBSTITUTE(CK249," ","§",LEN(CK249)-LEN(SUBSTITUTE(CK249," ",""))))-1),CK249)))</f>
        <v/>
      </c>
      <c r="CM249" t="str">
        <f>IF($CL249="","",IF(OR($DZ249="",$EA249=""),"ONZEKER",IF(OR($DW249="",$DX249=""),"ONZEKER",IF(AND($DZ249=$DW249+1,$EA249=$DX249),IF(OR(COUNTIF(#REF!,$B249)&gt;0,COUNTIF(#REF!,$B249)=0),"SKIP",IF(COUNTIFS(#REF!,$B249,#REF!,$CL249)&gt;0,"OK","ONBEKEND")),IF(AND($DZ249=$DW249,$EA249=$DX249+1),IF(OR(COUNTIF(#REF!,$D249)&gt;0,COUNTIF(#REF!,$D249)=0),"SKIP",IF(COUNTIFS(#REF!,$D249,#REF!,$CL249)&gt;0,"OK","ONBEKEND")),"ONZEKER")))))</f>
        <v/>
      </c>
      <c r="CN249" t="str">
        <f t="shared" ref="CN249:CN260" si="1904">IF($N249="","",TRIM(MID(SUBSTITUTE($N249,",",REPT(" ",200)),2401,200)))</f>
        <v/>
      </c>
      <c r="CO249" t="str">
        <f t="shared" ref="CO249:CO260" si="1905">IF(CN249="","",TRIM(IFERROR(LEFT(CN249,FIND("§",SUBSTITUTE(CN249," ","§",LEN(CN249)-LEN(SUBSTITUTE(CN249," ",""))))-1),CN249)))</f>
        <v/>
      </c>
      <c r="CP249" t="str">
        <f>IF($CO249="","",IF(OR($EC249="",$ED249=""),"ONZEKER",IF(OR($DZ249="",$EA249=""),"ONZEKER",IF(AND($EC249=$DZ249+1,$ED249=$EA249),IF(OR(COUNTIF(#REF!,$B249)&gt;0,COUNTIF(#REF!,$B249)=0),"SKIP",IF(COUNTIFS(#REF!,$B249,#REF!,$CO249)&gt;0,"OK","ONBEKEND")),IF(AND($EC249=$DZ249,$ED249=$EA249+1),IF(OR(COUNTIF(#REF!,$D249)&gt;0,COUNTIF(#REF!,$D249)=0),"SKIP",IF(COUNTIFS(#REF!,$D249,#REF!,$CO249)&gt;0,"OK","ONBEKEND")),"ONZEKER")))))</f>
        <v/>
      </c>
      <c r="CQ249" t="str">
        <f t="shared" ref="CQ249:CQ260" si="1906">IF($N249="","",TRIM(MID(SUBSTITUTE($N249,",",REPT(" ",200)),2601,200)))</f>
        <v/>
      </c>
      <c r="CR249" t="str">
        <f t="shared" ref="CR249:CR260" si="1907">IF(CQ249="","",TRIM(IFERROR(LEFT(CQ249,FIND("§",SUBSTITUTE(CQ249," ","§",LEN(CQ249)-LEN(SUBSTITUTE(CQ249," ",""))))-1),CQ249)))</f>
        <v/>
      </c>
      <c r="CS249" t="str">
        <f>IF($CR249="","",IF(OR($EF249="",$EG249=""),"ONZEKER",IF(OR($EC249="",$ED249=""),"ONZEKER",IF(AND($EF249=$EC249+1,$EG249=$ED249),IF(OR(COUNTIF(#REF!,$B249)&gt;0,COUNTIF(#REF!,$B249)=0),"SKIP",IF(COUNTIFS(#REF!,$B249,#REF!,$CR249)&gt;0,"OK","ONBEKEND")),IF(AND($EF249=$EC249,$EG249=$ED249+1),IF(OR(COUNTIF(#REF!,$D249)&gt;0,COUNTIF(#REF!,$D249)=0),"SKIP",IF(COUNTIFS(#REF!,$D249,#REF!,$CR249)&gt;0,"OK","ONBEKEND")),"ONZEKER")))))</f>
        <v/>
      </c>
      <c r="CT249" t="str">
        <f t="shared" ref="CT249:CT260" si="1908">IF($N249="","",TRIM(MID(SUBSTITUTE($N249,",",REPT(" ",200)),2801,200)))</f>
        <v/>
      </c>
      <c r="CU249" t="str">
        <f t="shared" ref="CU249:CU260" si="1909">IF(CT249="","",TRIM(IFERROR(LEFT(CT249,FIND("§",SUBSTITUTE(CT249," ","§",LEN(CT249)-LEN(SUBSTITUTE(CT249," ",""))))-1),CT249)))</f>
        <v/>
      </c>
      <c r="CV249" t="str">
        <f>IF($CU249="","",IF(OR($EI249="",$EJ249=""),"ONZEKER",IF(OR($EF249="",$EG249=""),"ONZEKER",IF(AND($EI249=$EF249+1,$EJ249=$EG249),IF(OR(COUNTIF(#REF!,$B249)&gt;0,COUNTIF(#REF!,$B249)=0),"SKIP",IF(COUNTIFS(#REF!,$B249,#REF!,$CU249)&gt;0,"OK","ONBEKEND")),IF(AND($EI249=$EF249,$EJ249=$EG249+1),IF(OR(COUNTIF(#REF!,$D249)&gt;0,COUNTIF(#REF!,$D249)=0),"SKIP",IF(COUNTIFS(#REF!,$D249,#REF!,$CU249)&gt;0,"OK","ONBEKEND")),"ONZEKER")))))</f>
        <v/>
      </c>
      <c r="CW249" t="str">
        <f t="shared" ref="CW249:CW260" si="1910">IF($N249="","",TRIM(MID(SUBSTITUTE($N249,",",REPT(" ",200)),3001,200)))</f>
        <v/>
      </c>
      <c r="CX249" t="str">
        <f t="shared" ref="CX249:CX260" si="1911">IF(CW249="","",TRIM(IFERROR(LEFT(CW249,FIND("§",SUBSTITUTE(CW249," ","§",LEN(CW249)-LEN(SUBSTITUTE(CW249," ",""))))-1),CW249)))</f>
        <v/>
      </c>
      <c r="CY249" t="str">
        <f>IF($CX249="","",IF(OR($EL249="",$EM249=""),"ONZEKER",IF(OR($EI249="",$EJ249=""),"ONZEKER",IF(AND($EL249=$EI249+1,$EM249=$EJ249),IF(OR(COUNTIF(#REF!,$B249)&gt;0,COUNTIF(#REF!,$B249)=0),"SKIP",IF(COUNTIFS(#REF!,$B249,#REF!,$CX249)&gt;0,"OK","ONBEKEND")),IF(AND($EL249=$EI249,$EM249=$EJ249+1),IF(OR(COUNTIF(#REF!,$D249)&gt;0,COUNTIF(#REF!,$D249)=0),"SKIP",IF(COUNTIFS(#REF!,$D249,#REF!,$CX249)&gt;0,"OK","ONBEKEND")),"ONZEKER")))))</f>
        <v/>
      </c>
      <c r="CZ249" t="str">
        <f t="shared" ref="CZ249:CZ260" si="1912">IF($N249="","",TRIM(MID(SUBSTITUTE($N249,",",REPT(" ",200)),3201,200)))</f>
        <v/>
      </c>
      <c r="DA249" t="str">
        <f t="shared" ref="DA249:DA260" si="1913">IF(CZ249="","",TRIM(IFERROR(LEFT(CZ249,FIND("§",SUBSTITUTE(CZ249," ","§",LEN(CZ249)-LEN(SUBSTITUTE(CZ249," ",""))))-1),CZ249)))</f>
        <v/>
      </c>
      <c r="DB249" t="str">
        <f>IF($DA249="","",IF(OR($EO249="",$EP249=""),"ONZEKER",IF(OR($EL249="",$EM249=""),"ONZEKER",IF(AND($EO249=$EL249+1,$EP249=$EM249),IF(OR(COUNTIF(#REF!,$B249)&gt;0,COUNTIF(#REF!,$B249)=0),"SKIP",IF(COUNTIFS(#REF!,$B249,#REF!,$DA249)&gt;0,"OK","ONBEKEND")),IF(AND($EO249=$EL249,$EP249=$EM249+1),IF(OR(COUNTIF(#REF!,$D249)&gt;0,COUNTIF(#REF!,$D249)=0),"SKIP",IF(COUNTIFS(#REF!,$D249,#REF!,$DA249)&gt;0,"OK","ONBEKEND")),"ONZEKER")))))</f>
        <v/>
      </c>
      <c r="DC249" t="str">
        <f t="shared" ref="DC249:DC260" si="1914">IF($N249="","",TRIM(MID(SUBSTITUTE($N249,",",REPT(" ",200)),3401,200)))</f>
        <v/>
      </c>
      <c r="DD249" t="str">
        <f t="shared" ref="DD249:DD260" si="1915">IF(DC249="","",TRIM(IFERROR(LEFT(DC249,FIND("§",SUBSTITUTE(DC249," ","§",LEN(DC249)-LEN(SUBSTITUTE(DC249," ",""))))-1),DC249)))</f>
        <v/>
      </c>
      <c r="DE249" t="str">
        <f>IF($DD249="","",IF(OR($ER249="",$ES249=""),"ONZEKER",IF(OR($EO249="",$EP249=""),"ONZEKER",IF(AND($ER249=$EO249+1,$ES249=$EP249),IF(OR(COUNTIF(#REF!,$B249)&gt;0,COUNTIF(#REF!,$B249)=0),"SKIP",IF(COUNTIFS(#REF!,$B249,#REF!,$DD249)&gt;0,"OK","ONBEKEND")),IF(AND($ER249=$EO249,$ES249=$EP249+1),IF(OR(COUNTIF(#REF!,$D249)&gt;0,COUNTIF(#REF!,$D249)=0),"SKIP",IF(COUNTIFS(#REF!,$D249,#REF!,$DD249)&gt;0,"OK","ONBEKEND")),"ONZEKER")))))</f>
        <v/>
      </c>
      <c r="DF249" t="str">
        <f t="shared" ref="DF249:DF260" si="1916">IF($N249="","",TRIM(MID(SUBSTITUTE($N249,",",REPT(" ",200)),3601,200)))</f>
        <v/>
      </c>
      <c r="DG249" t="str">
        <f t="shared" ref="DG249:DG260" si="1917">IF(DF249="","",TRIM(IFERROR(LEFT(DF249,FIND("§",SUBSTITUTE(DF249," ","§",LEN(DF249)-LEN(SUBSTITUTE(DF249," ",""))))-1),DF249)))</f>
        <v/>
      </c>
      <c r="DH249" t="str">
        <f>IF($DG249="","",IF(OR($EU249="",$EV249=""),"ONZEKER",IF(OR($ER249="",$ES249=""),"ONZEKER",IF(AND($EU249=$ER249+1,$EV249=$ES249),IF(OR(COUNTIF(#REF!,$B249)&gt;0,COUNTIF(#REF!,$B249)=0),"SKIP",IF(COUNTIFS(#REF!,$B249,#REF!,$DG249)&gt;0,"OK","ONBEKEND")),IF(AND($EU249=$ER249,$EV249=$ES249+1),IF(OR(COUNTIF(#REF!,$D249)&gt;0,COUNTIF(#REF!,$D249)=0),"SKIP",IF(COUNTIFS(#REF!,$D249,#REF!,$DG249)&gt;0,"OK","ONBEKEND")),"ONZEKER")))))</f>
        <v/>
      </c>
      <c r="DI249" t="str">
        <f t="shared" ref="DI249:DI260" si="1918">IF($N249="","",TRIM(MID(SUBSTITUTE($N249,",",REPT(" ",200)),3801,200)))</f>
        <v/>
      </c>
      <c r="DJ249" t="str">
        <f t="shared" ref="DJ249:DJ260" si="1919">IF(DI249="","",TRIM(IFERROR(LEFT(DI249,FIND("§",SUBSTITUTE(DI249," ","§",LEN(DI249)-LEN(SUBSTITUTE(DI249," ",""))))-1),DI249)))</f>
        <v/>
      </c>
      <c r="DK249" t="str">
        <f>IF($DJ249="","",IF(OR($EX249="",$EY249=""),"ONZEKER",IF(OR($EU249="",$EV249=""),"ONZEKER",IF(AND($EX249=$EU249+1,$EY249=$EV249),IF(OR(COUNTIF(#REF!,$B249)&gt;0,COUNTIF(#REF!,$B249)=0),"SKIP",IF(COUNTIFS(#REF!,$B249,#REF!,$DJ249)&gt;0,"OK","ONBEKEND")),IF(AND($EX249=$EU249,$EY249=$EV249+1),IF(OR(COUNTIF(#REF!,$D249)&gt;0,COUNTIF(#REF!,$D249)=0),"SKIP",IF(COUNTIFS(#REF!,$D249,#REF!,$DJ249)&gt;0,"OK","ONBEKEND")),"ONZEKER")))))</f>
        <v/>
      </c>
      <c r="DL249" t="str">
        <f t="shared" ref="DL249:DL260" si="1920">IF($CJ249="ONBEKEND",$CI249,"")</f>
        <v/>
      </c>
      <c r="DM249" t="str">
        <f t="shared" ref="DM249:DM260" si="1921">IF($CM249="ONBEKEND",$CL249,"")</f>
        <v/>
      </c>
      <c r="DN249" t="str">
        <f t="shared" ref="DN249:DN260" si="1922">IF($CP249="ONBEKEND",$CO249,"")</f>
        <v/>
      </c>
      <c r="DO249" t="str">
        <f t="shared" ref="DO249:DO260" si="1923">IF($CS249="ONBEKEND",$CR249,"")</f>
        <v/>
      </c>
      <c r="DP249" t="str">
        <f t="shared" ref="DP249:DP260" si="1924">IF($CV249="ONBEKEND",$CU249,"")</f>
        <v/>
      </c>
      <c r="DQ249" t="str">
        <f t="shared" ref="DQ249:DQ260" si="1925">IF($CY249="ONBEKEND",$CX249,"")</f>
        <v/>
      </c>
      <c r="DR249" t="str">
        <f t="shared" ref="DR249:DR260" si="1926">IF($DB249="ONBEKEND",$DA249,"")</f>
        <v/>
      </c>
      <c r="DS249" t="str">
        <f t="shared" ref="DS249:DS260" si="1927">IF($DE249="ONBEKEND",$DD249,"")</f>
        <v/>
      </c>
      <c r="DT249" t="str">
        <f t="shared" ref="DT249:DT260" si="1928">IF($DH249="ONBEKEND",$DG249,"")</f>
        <v/>
      </c>
      <c r="DU249" t="str">
        <f t="shared" ref="DU249:DU260" si="1929">IF($DK249="ONBEKEND",$DJ249,"")</f>
        <v/>
      </c>
      <c r="DV249" t="str">
        <f t="shared" ref="DV249:DV260" si="1930">IF($CH249="","",TRIM(IFERROR(RIGHT($CH249,LEN($CH249)-FIND("§",SUBSTITUTE($CH249," ","§",LEN($CH249)-LEN(SUBSTITUTE($CH249," ",""))))),"")))</f>
        <v/>
      </c>
      <c r="DW249" t="str">
        <f t="shared" ref="DW249:DW260" si="1931">IF($DV249="","",IFERROR(VALUE(LEFT($DV249,FIND("-",$DV249)-1)),""))</f>
        <v/>
      </c>
      <c r="DX249" t="str">
        <f t="shared" ref="DX249:DX260" si="1932">IF($DV249="","",IFERROR(VALUE(MID($DV249,FIND("-",$DV249)+1,99)),""))</f>
        <v/>
      </c>
      <c r="DY249" t="str">
        <f t="shared" ref="DY249:DY260" si="1933">IF($CK249="","",TRIM(IFERROR(RIGHT($CK249,LEN($CK249)-FIND("§",SUBSTITUTE($CK249," ","§",LEN($CK249)-LEN(SUBSTITUTE($CK249," ",""))))),"")))</f>
        <v/>
      </c>
      <c r="DZ249" t="str">
        <f t="shared" ref="DZ249:DZ260" si="1934">IF($DY249="","",IFERROR(VALUE(LEFT($DY249,FIND("-",$DY249)-1)),""))</f>
        <v/>
      </c>
      <c r="EA249" t="str">
        <f t="shared" ref="EA249:EA260" si="1935">IF($DY249="","",IFERROR(VALUE(MID($DY249,FIND("-",$DY249)+1,99)),""))</f>
        <v/>
      </c>
      <c r="EB249" t="str">
        <f t="shared" ref="EB249:EB260" si="1936">IF($CN249="","",TRIM(IFERROR(RIGHT($CN249,LEN($CN249)-FIND("§",SUBSTITUTE($CN249," ","§",LEN($CN249)-LEN(SUBSTITUTE($CN249," ",""))))),"")))</f>
        <v/>
      </c>
      <c r="EC249" t="str">
        <f t="shared" ref="EC249:EC260" si="1937">IF($EB249="","",IFERROR(VALUE(LEFT($EB249,FIND("-",$EB249)-1)),""))</f>
        <v/>
      </c>
      <c r="ED249" t="str">
        <f t="shared" ref="ED249:ED260" si="1938">IF($EB249="","",IFERROR(VALUE(MID($EB249,FIND("-",$EB249)+1,99)),""))</f>
        <v/>
      </c>
      <c r="EE249" t="str">
        <f t="shared" ref="EE249:EE260" si="1939">IF($CQ249="","",TRIM(IFERROR(RIGHT($CQ249,LEN($CQ249)-FIND("§",SUBSTITUTE($CQ249," ","§",LEN($CQ249)-LEN(SUBSTITUTE($CQ249," ",""))))),"")))</f>
        <v/>
      </c>
      <c r="EF249" t="str">
        <f t="shared" ref="EF249:EF260" si="1940">IF($EE249="","",IFERROR(VALUE(LEFT($EE249,FIND("-",$EE249)-1)),""))</f>
        <v/>
      </c>
      <c r="EG249" t="str">
        <f t="shared" ref="EG249:EG260" si="1941">IF($EE249="","",IFERROR(VALUE(MID($EE249,FIND("-",$EE249)+1,99)),""))</f>
        <v/>
      </c>
      <c r="EH249" t="str">
        <f t="shared" ref="EH249:EH260" si="1942">IF($CT249="","",TRIM(IFERROR(RIGHT($CT249,LEN($CT249)-FIND("§",SUBSTITUTE($CT249," ","§",LEN($CT249)-LEN(SUBSTITUTE($CT249," ",""))))),"")))</f>
        <v/>
      </c>
      <c r="EI249" t="str">
        <f t="shared" ref="EI249:EI260" si="1943">IF($EH249="","",IFERROR(VALUE(LEFT($EH249,FIND("-",$EH249)-1)),""))</f>
        <v/>
      </c>
      <c r="EJ249" t="str">
        <f t="shared" ref="EJ249:EJ260" si="1944">IF($EH249="","",IFERROR(VALUE(MID($EH249,FIND("-",$EH249)+1,99)),""))</f>
        <v/>
      </c>
      <c r="EK249" t="str">
        <f t="shared" ref="EK249:EK260" si="1945">IF($CW249="","",TRIM(IFERROR(RIGHT($CW249,LEN($CW249)-FIND("§",SUBSTITUTE($CW249," ","§",LEN($CW249)-LEN(SUBSTITUTE($CW249," ",""))))),"")))</f>
        <v/>
      </c>
      <c r="EL249" t="str">
        <f t="shared" ref="EL249:EL260" si="1946">IF($EK249="","",IFERROR(VALUE(LEFT($EK249,FIND("-",$EK249)-1)),""))</f>
        <v/>
      </c>
      <c r="EM249" t="str">
        <f t="shared" ref="EM249:EM260" si="1947">IF($EK249="","",IFERROR(VALUE(MID($EK249,FIND("-",$EK249)+1,99)),""))</f>
        <v/>
      </c>
      <c r="EN249" t="str">
        <f t="shared" ref="EN249:EN260" si="1948">IF($CZ249="","",TRIM(IFERROR(RIGHT($CZ249,LEN($CZ249)-FIND("§",SUBSTITUTE($CZ249," ","§",LEN($CZ249)-LEN(SUBSTITUTE($CZ249," ",""))))),"")))</f>
        <v/>
      </c>
      <c r="EO249" t="str">
        <f t="shared" ref="EO249:EO260" si="1949">IF($EN249="","",IFERROR(VALUE(LEFT($EN249,FIND("-",$EN249)-1)),""))</f>
        <v/>
      </c>
      <c r="EP249" t="str">
        <f t="shared" ref="EP249:EP260" si="1950">IF($EN249="","",IFERROR(VALUE(MID($EN249,FIND("-",$EN249)+1,99)),""))</f>
        <v/>
      </c>
      <c r="EQ249" t="str">
        <f t="shared" ref="EQ249:EQ260" si="1951">IF($DC249="","",TRIM(IFERROR(RIGHT($DC249,LEN($DC249)-FIND("§",SUBSTITUTE($DC249," ","§",LEN($DC249)-LEN(SUBSTITUTE($DC249," ",""))))),"")))</f>
        <v/>
      </c>
      <c r="ER249" t="str">
        <f t="shared" ref="ER249:ER260" si="1952">IF($EQ249="","",IFERROR(VALUE(LEFT($EQ249,FIND("-",$EQ249)-1)),""))</f>
        <v/>
      </c>
      <c r="ES249" t="str">
        <f t="shared" ref="ES249:ES260" si="1953">IF($EQ249="","",IFERROR(VALUE(MID($EQ249,FIND("-",$EQ249)+1,99)),""))</f>
        <v/>
      </c>
      <c r="ET249" t="str">
        <f t="shared" ref="ET249:ET260" si="1954">IF($DF249="","",TRIM(IFERROR(RIGHT($DF249,LEN($DF249)-FIND("§",SUBSTITUTE($DF249," ","§",LEN($DF249)-LEN(SUBSTITUTE($DF249," ",""))))),"")))</f>
        <v/>
      </c>
      <c r="EU249" t="str">
        <f t="shared" ref="EU249:EU260" si="1955">IF($ET249="","",IFERROR(VALUE(LEFT($ET249,FIND("-",$ET249)-1)),""))</f>
        <v/>
      </c>
      <c r="EV249" t="str">
        <f t="shared" ref="EV249:EV260" si="1956">IF($ET249="","",IFERROR(VALUE(MID($ET249,FIND("-",$ET249)+1,99)),""))</f>
        <v/>
      </c>
      <c r="EW249" t="str">
        <f t="shared" ref="EW249:EW260" si="1957">IF($DI249="","",TRIM(IFERROR(RIGHT($DI249,LEN($DI249)-FIND("§",SUBSTITUTE($DI249," ","§",LEN($DI249)-LEN(SUBSTITUTE($DI249," ",""))))),"")))</f>
        <v/>
      </c>
      <c r="EX249" t="str">
        <f t="shared" ref="EX249:EX260" si="1958">IF($EW249="","",IFERROR(VALUE(LEFT($EW249,FIND("-",$EW249)-1)),""))</f>
        <v/>
      </c>
      <c r="EY249" t="str">
        <f t="shared" ref="EY249:EY260" si="1959">IF($EW249="","",IFERROR(VALUE(MID($EW249,FIND("-",$EW249)+1,99)),""))</f>
        <v/>
      </c>
    </row>
    <row r="250" spans="1:155" ht="13.9" customHeight="1" x14ac:dyDescent="0.25">
      <c r="A250" s="7"/>
      <c r="B250" s="17"/>
      <c r="C250" s="8"/>
      <c r="D250" s="17"/>
      <c r="E250" s="8"/>
      <c r="F250" s="18">
        <v>0</v>
      </c>
      <c r="G250" s="7" t="s">
        <v>147</v>
      </c>
      <c r="H250" s="18">
        <v>0</v>
      </c>
      <c r="I250" s="19">
        <v>0</v>
      </c>
      <c r="J250" s="7" t="s">
        <v>147</v>
      </c>
      <c r="K250" s="19">
        <v>0</v>
      </c>
      <c r="L250" s="9"/>
      <c r="M250" s="3" t="str">
        <f>IF($L250="","",IF($L250="DOELPUNTENMAKERS","",IF(AND(COUNTIF(#REF!,$B250)=0,COUNTIF(#REF!,$D250)=0),"OK",IF($O250&gt;20,"LET OP: meer dan 20 items (controle onvolledig)",IF((COUNTIF($R250:$AS250,"ONZEKER")+COUNTIF($CJ250:$DK250,"ONZEKER"))&gt;0,"LET OP: scoreverloop onduidelijk (controle beperkt)",IF((IF($AT250&lt;&gt;"",$AT250&amp;", ","")&amp;IF($AU250&lt;&gt;"",$AU250&amp;", ","")&amp;IF($AV250&lt;&gt;"",$AV250&amp;", ","")&amp;IF($AW250&lt;&gt;"",$AW250&amp;", ","")&amp;IF($AX250&lt;&gt;"",$AX250&amp;", ","")&amp;IF($AY250&lt;&gt;"",$AY250&amp;", ","")&amp;IF($AZ250&lt;&gt;"",$AZ250&amp;", ","")&amp;IF($BA250&lt;&gt;"",$BA250&amp;", ","")&amp;IF($BB250&lt;&gt;"",$BB250&amp;", ","")&amp;IF($BC250&lt;&gt;"",$BC250&amp;", ","")&amp;IF($DL250&lt;&gt;"",$DL250&amp;", ","")&amp;IF($DM250&lt;&gt;"",$DM250&amp;", ","")&amp;IF($DN250&lt;&gt;"",$DN250&amp;", ","")&amp;IF($DO250&lt;&gt;"",$DO250&amp;", ","")&amp;IF($DP250&lt;&gt;"",$DP250&amp;", ","")&amp;IF($DQ250&lt;&gt;"",$DQ250&amp;", ","")&amp;IF($DR250&lt;&gt;"",$DR250&amp;", ","")&amp;IF($DS250&lt;&gt;"",$DS250&amp;", ","")&amp;IF($DT250&lt;&gt;"",$DT250&amp;", ","")&amp;IF($DU250&lt;&gt;"",$DU250&amp;", ",""))="","OK","Onbekend: "&amp;LEFT((IF($AT250&lt;&gt;"",$AT250&amp;", ","")&amp;IF($AU250&lt;&gt;"",$AU250&amp;", ","")&amp;IF($AV250&lt;&gt;"",$AV250&amp;", ","")&amp;IF($AW250&lt;&gt;"",$AW250&amp;", ","")&amp;IF($AX250&lt;&gt;"",$AX250&amp;", ","")&amp;IF($AY250&lt;&gt;"",$AY250&amp;", ","")&amp;IF($AZ250&lt;&gt;"",$AZ250&amp;", ","")&amp;IF($BA250&lt;&gt;"",$BA250&amp;", ","")&amp;IF($BB250&lt;&gt;"",$BB250&amp;", ","")&amp;IF($BC250&lt;&gt;"",$BC250&amp;", ","")&amp;IF($DL250&lt;&gt;"",$DL250&amp;", ","")&amp;IF($DM250&lt;&gt;"",$DM250&amp;", ","")&amp;IF($DN250&lt;&gt;"",$DN250&amp;", ","")&amp;IF($DO250&lt;&gt;"",$DO250&amp;", ","")&amp;IF($DP250&lt;&gt;"",$DP250&amp;", ","")&amp;IF($DQ250&lt;&gt;"",$DQ250&amp;", ","")&amp;IF($DR250&lt;&gt;"",$DR250&amp;", ","")&amp;IF($DS250&lt;&gt;"",$DS250&amp;", ","")&amp;IF($DT250&lt;&gt;"",$DT250&amp;", ","")&amp;IF($DU250&lt;&gt;"",$DU250&amp;", ","")),LEN((IF($AT250&lt;&gt;"",$AT250&amp;", ","")&amp;IF($AU250&lt;&gt;"",$AU250&amp;", ","")&amp;IF($AV250&lt;&gt;"",$AV250&amp;", ","")&amp;IF($AW250&lt;&gt;"",$AW250&amp;", ","")&amp;IF($AX250&lt;&gt;"",$AX250&amp;", ","")&amp;IF($AY250&lt;&gt;"",$AY250&amp;", ","")&amp;IF($AZ250&lt;&gt;"",$AZ250&amp;", ","")&amp;IF($BA250&lt;&gt;"",$BA250&amp;", ","")&amp;IF($BB250&lt;&gt;"",$BB250&amp;", ","")&amp;IF($BC250&lt;&gt;"",$BC250&amp;", ","")&amp;IF($DL250&lt;&gt;"",$DL250&amp;", ","")&amp;IF($DM250&lt;&gt;"",$DM250&amp;", ","")&amp;IF($DN250&lt;&gt;"",$DN250&amp;", ","")&amp;IF($DO250&lt;&gt;"",$DO250&amp;", ","")&amp;IF($DP250&lt;&gt;"",$DP250&amp;", ","")&amp;IF($DQ250&lt;&gt;"",$DQ250&amp;", ","")&amp;IF($DR250&lt;&gt;"",$DR250&amp;", ","")&amp;IF($DS250&lt;&gt;"",$DS250&amp;", ","")&amp;IF($DT250&lt;&gt;"",$DT250&amp;", ","")&amp;IF($DU250&lt;&gt;"",$DU250&amp;", ","")))-2)))))))</f>
        <v/>
      </c>
      <c r="N250" t="str">
        <f t="shared" si="1868"/>
        <v/>
      </c>
      <c r="O250" t="str">
        <f t="shared" si="1869"/>
        <v/>
      </c>
      <c r="P250" t="str">
        <f t="shared" si="1870"/>
        <v/>
      </c>
      <c r="Q250" t="str">
        <f t="shared" si="1871"/>
        <v/>
      </c>
      <c r="R250" t="str">
        <f>IF($Q250="","",IF(OR($BE250="",$BF250=""),"ONZEKER",IF(AND($BE250=0+1,$BF250=0),IF(OR(COUNTIF(#REF!,$B250)&gt;0,COUNTIF(#REF!,$B250)=0),"SKIP",IF(COUNTIFS(#REF!,$B250,#REF!,$Q250)&gt;0,"OK","ONBEKEND")),IF(AND($BE250=0,$BF250=0+1),IF(OR(COUNTIF(#REF!,$D250)&gt;0,COUNTIF(#REF!,$D250)=0),"SKIP",IF(COUNTIFS(#REF!,$D250,#REF!,$Q250)&gt;0,"OK","ONBEKEND")),"ONZEKER"))))</f>
        <v/>
      </c>
      <c r="S250" t="str">
        <f t="shared" si="1872"/>
        <v/>
      </c>
      <c r="T250" t="str">
        <f t="shared" si="1873"/>
        <v/>
      </c>
      <c r="U250" t="str">
        <f>IF($T250="","",IF(OR($BH250="",$BI250=""),"ONZEKER",IF(OR($BE250="",$BF250=""),"ONZEKER",IF(AND($BH250=$BE250+1,$BI250=$BF250),IF(OR(COUNTIF(#REF!,$B250)&gt;0,COUNTIF(#REF!,$B250)=0),"SKIP",IF(COUNTIFS(#REF!,$B250,#REF!,$T250)&gt;0,"OK","ONBEKEND")),IF(AND($BH250=$BE250,$BI250=$BF250+1),IF(OR(COUNTIF(#REF!,$D250)&gt;0,COUNTIF(#REF!,$D250)=0),"SKIP",IF(COUNTIFS(#REF!,$D250,#REF!,$T250)&gt;0,"OK","ONBEKEND")),"ONZEKER")))))</f>
        <v/>
      </c>
      <c r="V250" t="str">
        <f t="shared" si="1874"/>
        <v/>
      </c>
      <c r="W250" t="str">
        <f t="shared" si="1875"/>
        <v/>
      </c>
      <c r="X250" t="str">
        <f>IF($W250="","",IF(OR($BK250="",$BL250=""),"ONZEKER",IF(OR($BH250="",$BI250=""),"ONZEKER",IF(AND($BK250=$BH250+1,$BL250=$BI250),IF(OR(COUNTIF(#REF!,$B250)&gt;0,COUNTIF(#REF!,$B250)=0),"SKIP",IF(COUNTIFS(#REF!,$B250,#REF!,$W250)&gt;0,"OK","ONBEKEND")),IF(AND($BK250=$BH250,$BL250=$BI250+1),IF(OR(COUNTIF(#REF!,$D250)&gt;0,COUNTIF(#REF!,$D250)=0),"SKIP",IF(COUNTIFS(#REF!,$D250,#REF!,$W250)&gt;0,"OK","ONBEKEND")),"ONZEKER")))))</f>
        <v/>
      </c>
      <c r="Y250" t="str">
        <f t="shared" si="1876"/>
        <v/>
      </c>
      <c r="Z250" t="str">
        <f t="shared" si="1877"/>
        <v/>
      </c>
      <c r="AA250" t="str">
        <f>IF($Z250="","",IF(OR($BN250="",$BO250=""),"ONZEKER",IF(OR($BK250="",$BL250=""),"ONZEKER",IF(AND($BN250=$BK250+1,$BO250=$BL250),IF(OR(COUNTIF(#REF!,$B250)&gt;0,COUNTIF(#REF!,$B250)=0),"SKIP",IF(COUNTIFS(#REF!,$B250,#REF!,$Z250)&gt;0,"OK","ONBEKEND")),IF(AND($BN250=$BK250,$BO250=$BL250+1),IF(OR(COUNTIF(#REF!,$D250)&gt;0,COUNTIF(#REF!,$D250)=0),"SKIP",IF(COUNTIFS(#REF!,$D250,#REF!,$Z250)&gt;0,"OK","ONBEKEND")),"ONZEKER")))))</f>
        <v/>
      </c>
      <c r="AB250" t="str">
        <f t="shared" si="1878"/>
        <v/>
      </c>
      <c r="AC250" t="str">
        <f t="shared" si="1879"/>
        <v/>
      </c>
      <c r="AD250" t="str">
        <f>IF($AC250="","",IF(OR($BQ250="",$BR250=""),"ONZEKER",IF(OR($BN250="",$BO250=""),"ONZEKER",IF(AND($BQ250=$BN250+1,$BR250=$BO250),IF(OR(COUNTIF(#REF!,$B250)&gt;0,COUNTIF(#REF!,$B250)=0),"SKIP",IF(COUNTIFS(#REF!,$B250,#REF!,$AC250)&gt;0,"OK","ONBEKEND")),IF(AND($BQ250=$BN250,$BR250=$BO250+1),IF(OR(COUNTIF(#REF!,$D250)&gt;0,COUNTIF(#REF!,$D250)=0),"SKIP",IF(COUNTIFS(#REF!,$D250,#REF!,$AC250)&gt;0,"OK","ONBEKEND")),"ONZEKER")))))</f>
        <v/>
      </c>
      <c r="AE250" t="str">
        <f t="shared" si="1880"/>
        <v/>
      </c>
      <c r="AF250" t="str">
        <f t="shared" si="1881"/>
        <v/>
      </c>
      <c r="AG250" t="str">
        <f>IF($AF250="","",IF(OR($BT250="",$BU250=""),"ONZEKER",IF(OR($BQ250="",$BR250=""),"ONZEKER",IF(AND($BT250=$BQ250+1,$BU250=$BR250),IF(OR(COUNTIF(#REF!,$B250)&gt;0,COUNTIF(#REF!,$B250)=0),"SKIP",IF(COUNTIFS(#REF!,$B250,#REF!,$AF250)&gt;0,"OK","ONBEKEND")),IF(AND($BT250=$BQ250,$BU250=$BR250+1),IF(OR(COUNTIF(#REF!,$D250)&gt;0,COUNTIF(#REF!,$D250)=0),"SKIP",IF(COUNTIFS(#REF!,$D250,#REF!,$AF250)&gt;0,"OK","ONBEKEND")),"ONZEKER")))))</f>
        <v/>
      </c>
      <c r="AH250" t="str">
        <f t="shared" si="1882"/>
        <v/>
      </c>
      <c r="AI250" t="str">
        <f t="shared" si="1883"/>
        <v/>
      </c>
      <c r="AJ250" t="str">
        <f>IF($AI250="","",IF(OR($BW250="",$BX250=""),"ONZEKER",IF(OR($BT250="",$BU250=""),"ONZEKER",IF(AND($BW250=$BT250+1,$BX250=$BU250),IF(OR(COUNTIF(#REF!,$B250)&gt;0,COUNTIF(#REF!,$B250)=0),"SKIP",IF(COUNTIFS(#REF!,$B250,#REF!,$AI250)&gt;0,"OK","ONBEKEND")),IF(AND($BW250=$BT250,$BX250=$BU250+1),IF(OR(COUNTIF(#REF!,$D250)&gt;0,COUNTIF(#REF!,$D250)=0),"SKIP",IF(COUNTIFS(#REF!,$D250,#REF!,$AI250)&gt;0,"OK","ONBEKEND")),"ONZEKER")))))</f>
        <v/>
      </c>
      <c r="AK250" t="str">
        <f t="shared" si="1884"/>
        <v/>
      </c>
      <c r="AL250" t="str">
        <f t="shared" si="1885"/>
        <v/>
      </c>
      <c r="AM250" t="str">
        <f>IF($AL250="","",IF(OR($BZ250="",$CA250=""),"ONZEKER",IF(OR($BW250="",$BX250=""),"ONZEKER",IF(AND($BZ250=$BW250+1,$CA250=$BX250),IF(OR(COUNTIF(#REF!,$B250)&gt;0,COUNTIF(#REF!,$B250)=0),"SKIP",IF(COUNTIFS(#REF!,$B250,#REF!,$AL250)&gt;0,"OK","ONBEKEND")),IF(AND($BZ250=$BW250,$CA250=$BX250+1),IF(OR(COUNTIF(#REF!,$D250)&gt;0,COUNTIF(#REF!,$D250)=0),"SKIP",IF(COUNTIFS(#REF!,$D250,#REF!,$AL250)&gt;0,"OK","ONBEKEND")),"ONZEKER")))))</f>
        <v/>
      </c>
      <c r="AN250" t="str">
        <f t="shared" si="1886"/>
        <v/>
      </c>
      <c r="AO250" t="str">
        <f t="shared" si="1887"/>
        <v/>
      </c>
      <c r="AP250" t="str">
        <f>IF($AO250="","",IF(OR($CC250="",$CD250=""),"ONZEKER",IF(OR($BZ250="",$CA250=""),"ONZEKER",IF(AND($CC250=$BZ250+1,$CD250=$CA250),IF(OR(COUNTIF(#REF!,$B250)&gt;0,COUNTIF(#REF!,$B250)=0),"SKIP",IF(COUNTIFS(#REF!,$B250,#REF!,$AO250)&gt;0,"OK","ONBEKEND")),IF(AND($CC250=$BZ250,$CD250=$CA250+1),IF(OR(COUNTIF(#REF!,$D250)&gt;0,COUNTIF(#REF!,$D250)=0),"SKIP",IF(COUNTIFS(#REF!,$D250,#REF!,$AO250)&gt;0,"OK","ONBEKEND")),"ONZEKER")))))</f>
        <v/>
      </c>
      <c r="AQ250" t="str">
        <f t="shared" si="1888"/>
        <v/>
      </c>
      <c r="AR250" t="str">
        <f t="shared" si="1889"/>
        <v/>
      </c>
      <c r="AS250" t="str">
        <f>IF($AR250="","",IF(OR($CF250="",$CG250=""),"ONZEKER",IF(OR($CC250="",$CD250=""),"ONZEKER",IF(AND($CF250=$CC250+1,$CG250=$CD250),IF(OR(COUNTIF(#REF!,$B250)&gt;0,COUNTIF(#REF!,$B250)=0),"SKIP",IF(COUNTIFS(#REF!,$B250,#REF!,$AR250)&gt;0,"OK","ONBEKEND")),IF(AND($CF250=$CC250,$CG250=$CD250+1),IF(OR(COUNTIF(#REF!,$D250)&gt;0,COUNTIF(#REF!,$D250)=0),"SKIP",IF(COUNTIFS(#REF!,$D250,#REF!,$AR250)&gt;0,"OK","ONBEKEND")),"ONZEKER")))))</f>
        <v/>
      </c>
      <c r="AT250" t="str">
        <f t="shared" si="1890"/>
        <v/>
      </c>
      <c r="AU250" t="str">
        <f t="shared" si="1891"/>
        <v/>
      </c>
      <c r="AV250" t="str">
        <f t="shared" si="1892"/>
        <v/>
      </c>
      <c r="AW250" t="str">
        <f t="shared" si="1893"/>
        <v/>
      </c>
      <c r="AX250" t="str">
        <f t="shared" si="1894"/>
        <v/>
      </c>
      <c r="AY250" t="str">
        <f t="shared" si="1895"/>
        <v/>
      </c>
      <c r="AZ250" t="str">
        <f t="shared" si="1896"/>
        <v/>
      </c>
      <c r="BA250" t="str">
        <f t="shared" si="1897"/>
        <v/>
      </c>
      <c r="BB250" t="str">
        <f t="shared" si="1898"/>
        <v/>
      </c>
      <c r="BC250" t="str">
        <f t="shared" si="1899"/>
        <v/>
      </c>
      <c r="BD250" t="str">
        <f t="shared" si="1470"/>
        <v/>
      </c>
      <c r="BE250" t="str">
        <f t="shared" si="1471"/>
        <v/>
      </c>
      <c r="BF250" t="str">
        <f t="shared" si="1472"/>
        <v/>
      </c>
      <c r="BG250" t="str">
        <f t="shared" si="1473"/>
        <v/>
      </c>
      <c r="BH250" t="str">
        <f t="shared" si="1474"/>
        <v/>
      </c>
      <c r="BI250" t="str">
        <f t="shared" si="1475"/>
        <v/>
      </c>
      <c r="BJ250" t="str">
        <f t="shared" si="1476"/>
        <v/>
      </c>
      <c r="BK250" t="str">
        <f t="shared" si="1477"/>
        <v/>
      </c>
      <c r="BL250" t="str">
        <f t="shared" si="1478"/>
        <v/>
      </c>
      <c r="BM250" t="str">
        <f t="shared" si="1479"/>
        <v/>
      </c>
      <c r="BN250" t="str">
        <f t="shared" si="1480"/>
        <v/>
      </c>
      <c r="BO250" t="str">
        <f t="shared" si="1481"/>
        <v/>
      </c>
      <c r="BP250" t="str">
        <f t="shared" si="1482"/>
        <v/>
      </c>
      <c r="BQ250" t="str">
        <f t="shared" si="1483"/>
        <v/>
      </c>
      <c r="BR250" t="str">
        <f t="shared" si="1484"/>
        <v/>
      </c>
      <c r="BS250" t="str">
        <f t="shared" si="1485"/>
        <v/>
      </c>
      <c r="BT250" t="str">
        <f t="shared" si="1486"/>
        <v/>
      </c>
      <c r="BU250" t="str">
        <f t="shared" si="1487"/>
        <v/>
      </c>
      <c r="BV250" t="str">
        <f t="shared" si="1488"/>
        <v/>
      </c>
      <c r="BW250" t="str">
        <f t="shared" si="1489"/>
        <v/>
      </c>
      <c r="BX250" t="str">
        <f t="shared" si="1490"/>
        <v/>
      </c>
      <c r="BY250" t="str">
        <f t="shared" si="1491"/>
        <v/>
      </c>
      <c r="BZ250" t="str">
        <f t="shared" si="1492"/>
        <v/>
      </c>
      <c r="CA250" t="str">
        <f t="shared" si="1493"/>
        <v/>
      </c>
      <c r="CB250" t="str">
        <f t="shared" si="1494"/>
        <v/>
      </c>
      <c r="CC250" t="str">
        <f t="shared" si="1495"/>
        <v/>
      </c>
      <c r="CD250" t="str">
        <f t="shared" si="1496"/>
        <v/>
      </c>
      <c r="CE250" t="str">
        <f t="shared" si="1497"/>
        <v/>
      </c>
      <c r="CF250" t="str">
        <f t="shared" si="1498"/>
        <v/>
      </c>
      <c r="CG250" t="str">
        <f t="shared" si="1499"/>
        <v/>
      </c>
      <c r="CH250" t="str">
        <f t="shared" si="1900"/>
        <v/>
      </c>
      <c r="CI250" t="str">
        <f t="shared" si="1901"/>
        <v/>
      </c>
      <c r="CJ250" t="str">
        <f>IF($CI250="","",IF(OR($DW250="",$DX250=""),"ONZEKER",IF(OR($CF250="",$CG250=""),"ONZEKER",IF(AND($DW250=$CF250+1,$DX250=$CG250),IF(OR(COUNTIF(#REF!,$B250)&gt;0,COUNTIF(#REF!,$B250)=0),"SKIP",IF(COUNTIFS(#REF!,$B250,#REF!,$CI250)&gt;0,"OK","ONBEKEND")),IF(AND($DW250=$CF250,$DX250=$CG250+1),IF(OR(COUNTIF(#REF!,$D250)&gt;0,COUNTIF(#REF!,$D250)=0),"SKIP",IF(COUNTIFS(#REF!,$D250,#REF!,$CI250)&gt;0,"OK","ONBEKEND")),"ONZEKER")))))</f>
        <v/>
      </c>
      <c r="CK250" t="str">
        <f t="shared" si="1902"/>
        <v/>
      </c>
      <c r="CL250" t="str">
        <f t="shared" si="1903"/>
        <v/>
      </c>
      <c r="CM250" t="str">
        <f>IF($CL250="","",IF(OR($DZ250="",$EA250=""),"ONZEKER",IF(OR($DW250="",$DX250=""),"ONZEKER",IF(AND($DZ250=$DW250+1,$EA250=$DX250),IF(OR(COUNTIF(#REF!,$B250)&gt;0,COUNTIF(#REF!,$B250)=0),"SKIP",IF(COUNTIFS(#REF!,$B250,#REF!,$CL250)&gt;0,"OK","ONBEKEND")),IF(AND($DZ250=$DW250,$EA250=$DX250+1),IF(OR(COUNTIF(#REF!,$D250)&gt;0,COUNTIF(#REF!,$D250)=0),"SKIP",IF(COUNTIFS(#REF!,$D250,#REF!,$CL250)&gt;0,"OK","ONBEKEND")),"ONZEKER")))))</f>
        <v/>
      </c>
      <c r="CN250" t="str">
        <f t="shared" si="1904"/>
        <v/>
      </c>
      <c r="CO250" t="str">
        <f t="shared" si="1905"/>
        <v/>
      </c>
      <c r="CP250" t="str">
        <f>IF($CO250="","",IF(OR($EC250="",$ED250=""),"ONZEKER",IF(OR($DZ250="",$EA250=""),"ONZEKER",IF(AND($EC250=$DZ250+1,$ED250=$EA250),IF(OR(COUNTIF(#REF!,$B250)&gt;0,COUNTIF(#REF!,$B250)=0),"SKIP",IF(COUNTIFS(#REF!,$B250,#REF!,$CO250)&gt;0,"OK","ONBEKEND")),IF(AND($EC250=$DZ250,$ED250=$EA250+1),IF(OR(COUNTIF(#REF!,$D250)&gt;0,COUNTIF(#REF!,$D250)=0),"SKIP",IF(COUNTIFS(#REF!,$D250,#REF!,$CO250)&gt;0,"OK","ONBEKEND")),"ONZEKER")))))</f>
        <v/>
      </c>
      <c r="CQ250" t="str">
        <f t="shared" si="1906"/>
        <v/>
      </c>
      <c r="CR250" t="str">
        <f t="shared" si="1907"/>
        <v/>
      </c>
      <c r="CS250" t="str">
        <f>IF($CR250="","",IF(OR($EF250="",$EG250=""),"ONZEKER",IF(OR($EC250="",$ED250=""),"ONZEKER",IF(AND($EF250=$EC250+1,$EG250=$ED250),IF(OR(COUNTIF(#REF!,$B250)&gt;0,COUNTIF(#REF!,$B250)=0),"SKIP",IF(COUNTIFS(#REF!,$B250,#REF!,$CR250)&gt;0,"OK","ONBEKEND")),IF(AND($EF250=$EC250,$EG250=$ED250+1),IF(OR(COUNTIF(#REF!,$D250)&gt;0,COUNTIF(#REF!,$D250)=0),"SKIP",IF(COUNTIFS(#REF!,$D250,#REF!,$CR250)&gt;0,"OK","ONBEKEND")),"ONZEKER")))))</f>
        <v/>
      </c>
      <c r="CT250" t="str">
        <f t="shared" si="1908"/>
        <v/>
      </c>
      <c r="CU250" t="str">
        <f t="shared" si="1909"/>
        <v/>
      </c>
      <c r="CV250" t="str">
        <f>IF($CU250="","",IF(OR($EI250="",$EJ250=""),"ONZEKER",IF(OR($EF250="",$EG250=""),"ONZEKER",IF(AND($EI250=$EF250+1,$EJ250=$EG250),IF(OR(COUNTIF(#REF!,$B250)&gt;0,COUNTIF(#REF!,$B250)=0),"SKIP",IF(COUNTIFS(#REF!,$B250,#REF!,$CU250)&gt;0,"OK","ONBEKEND")),IF(AND($EI250=$EF250,$EJ250=$EG250+1),IF(OR(COUNTIF(#REF!,$D250)&gt;0,COUNTIF(#REF!,$D250)=0),"SKIP",IF(COUNTIFS(#REF!,$D250,#REF!,$CU250)&gt;0,"OK","ONBEKEND")),"ONZEKER")))))</f>
        <v/>
      </c>
      <c r="CW250" t="str">
        <f t="shared" si="1910"/>
        <v/>
      </c>
      <c r="CX250" t="str">
        <f t="shared" si="1911"/>
        <v/>
      </c>
      <c r="CY250" t="str">
        <f>IF($CX250="","",IF(OR($EL250="",$EM250=""),"ONZEKER",IF(OR($EI250="",$EJ250=""),"ONZEKER",IF(AND($EL250=$EI250+1,$EM250=$EJ250),IF(OR(COUNTIF(#REF!,$B250)&gt;0,COUNTIF(#REF!,$B250)=0),"SKIP",IF(COUNTIFS(#REF!,$B250,#REF!,$CX250)&gt;0,"OK","ONBEKEND")),IF(AND($EL250=$EI250,$EM250=$EJ250+1),IF(OR(COUNTIF(#REF!,$D250)&gt;0,COUNTIF(#REF!,$D250)=0),"SKIP",IF(COUNTIFS(#REF!,$D250,#REF!,$CX250)&gt;0,"OK","ONBEKEND")),"ONZEKER")))))</f>
        <v/>
      </c>
      <c r="CZ250" t="str">
        <f t="shared" si="1912"/>
        <v/>
      </c>
      <c r="DA250" t="str">
        <f t="shared" si="1913"/>
        <v/>
      </c>
      <c r="DB250" t="str">
        <f>IF($DA250="","",IF(OR($EO250="",$EP250=""),"ONZEKER",IF(OR($EL250="",$EM250=""),"ONZEKER",IF(AND($EO250=$EL250+1,$EP250=$EM250),IF(OR(COUNTIF(#REF!,$B250)&gt;0,COUNTIF(#REF!,$B250)=0),"SKIP",IF(COUNTIFS(#REF!,$B250,#REF!,$DA250)&gt;0,"OK","ONBEKEND")),IF(AND($EO250=$EL250,$EP250=$EM250+1),IF(OR(COUNTIF(#REF!,$D250)&gt;0,COUNTIF(#REF!,$D250)=0),"SKIP",IF(COUNTIFS(#REF!,$D250,#REF!,$DA250)&gt;0,"OK","ONBEKEND")),"ONZEKER")))))</f>
        <v/>
      </c>
      <c r="DC250" t="str">
        <f t="shared" si="1914"/>
        <v/>
      </c>
      <c r="DD250" t="str">
        <f t="shared" si="1915"/>
        <v/>
      </c>
      <c r="DE250" t="str">
        <f>IF($DD250="","",IF(OR($ER250="",$ES250=""),"ONZEKER",IF(OR($EO250="",$EP250=""),"ONZEKER",IF(AND($ER250=$EO250+1,$ES250=$EP250),IF(OR(COUNTIF(#REF!,$B250)&gt;0,COUNTIF(#REF!,$B250)=0),"SKIP",IF(COUNTIFS(#REF!,$B250,#REF!,$DD250)&gt;0,"OK","ONBEKEND")),IF(AND($ER250=$EO250,$ES250=$EP250+1),IF(OR(COUNTIF(#REF!,$D250)&gt;0,COUNTIF(#REF!,$D250)=0),"SKIP",IF(COUNTIFS(#REF!,$D250,#REF!,$DD250)&gt;0,"OK","ONBEKEND")),"ONZEKER")))))</f>
        <v/>
      </c>
      <c r="DF250" t="str">
        <f t="shared" si="1916"/>
        <v/>
      </c>
      <c r="DG250" t="str">
        <f t="shared" si="1917"/>
        <v/>
      </c>
      <c r="DH250" t="str">
        <f>IF($DG250="","",IF(OR($EU250="",$EV250=""),"ONZEKER",IF(OR($ER250="",$ES250=""),"ONZEKER",IF(AND($EU250=$ER250+1,$EV250=$ES250),IF(OR(COUNTIF(#REF!,$B250)&gt;0,COUNTIF(#REF!,$B250)=0),"SKIP",IF(COUNTIFS(#REF!,$B250,#REF!,$DG250)&gt;0,"OK","ONBEKEND")),IF(AND($EU250=$ER250,$EV250=$ES250+1),IF(OR(COUNTIF(#REF!,$D250)&gt;0,COUNTIF(#REF!,$D250)=0),"SKIP",IF(COUNTIFS(#REF!,$D250,#REF!,$DG250)&gt;0,"OK","ONBEKEND")),"ONZEKER")))))</f>
        <v/>
      </c>
      <c r="DI250" t="str">
        <f t="shared" si="1918"/>
        <v/>
      </c>
      <c r="DJ250" t="str">
        <f t="shared" si="1919"/>
        <v/>
      </c>
      <c r="DK250" t="str">
        <f>IF($DJ250="","",IF(OR($EX250="",$EY250=""),"ONZEKER",IF(OR($EU250="",$EV250=""),"ONZEKER",IF(AND($EX250=$EU250+1,$EY250=$EV250),IF(OR(COUNTIF(#REF!,$B250)&gt;0,COUNTIF(#REF!,$B250)=0),"SKIP",IF(COUNTIFS(#REF!,$B250,#REF!,$DJ250)&gt;0,"OK","ONBEKEND")),IF(AND($EX250=$EU250,$EY250=$EV250+1),IF(OR(COUNTIF(#REF!,$D250)&gt;0,COUNTIF(#REF!,$D250)=0),"SKIP",IF(COUNTIFS(#REF!,$D250,#REF!,$DJ250)&gt;0,"OK","ONBEKEND")),"ONZEKER")))))</f>
        <v/>
      </c>
      <c r="DL250" t="str">
        <f t="shared" si="1920"/>
        <v/>
      </c>
      <c r="DM250" t="str">
        <f t="shared" si="1921"/>
        <v/>
      </c>
      <c r="DN250" t="str">
        <f t="shared" si="1922"/>
        <v/>
      </c>
      <c r="DO250" t="str">
        <f t="shared" si="1923"/>
        <v/>
      </c>
      <c r="DP250" t="str">
        <f t="shared" si="1924"/>
        <v/>
      </c>
      <c r="DQ250" t="str">
        <f t="shared" si="1925"/>
        <v/>
      </c>
      <c r="DR250" t="str">
        <f t="shared" si="1926"/>
        <v/>
      </c>
      <c r="DS250" t="str">
        <f t="shared" si="1927"/>
        <v/>
      </c>
      <c r="DT250" t="str">
        <f t="shared" si="1928"/>
        <v/>
      </c>
      <c r="DU250" t="str">
        <f t="shared" si="1929"/>
        <v/>
      </c>
      <c r="DV250" t="str">
        <f t="shared" si="1930"/>
        <v/>
      </c>
      <c r="DW250" t="str">
        <f t="shared" si="1931"/>
        <v/>
      </c>
      <c r="DX250" t="str">
        <f t="shared" si="1932"/>
        <v/>
      </c>
      <c r="DY250" t="str">
        <f t="shared" si="1933"/>
        <v/>
      </c>
      <c r="DZ250" t="str">
        <f t="shared" si="1934"/>
        <v/>
      </c>
      <c r="EA250" t="str">
        <f t="shared" si="1935"/>
        <v/>
      </c>
      <c r="EB250" t="str">
        <f t="shared" si="1936"/>
        <v/>
      </c>
      <c r="EC250" t="str">
        <f t="shared" si="1937"/>
        <v/>
      </c>
      <c r="ED250" t="str">
        <f t="shared" si="1938"/>
        <v/>
      </c>
      <c r="EE250" t="str">
        <f t="shared" si="1939"/>
        <v/>
      </c>
      <c r="EF250" t="str">
        <f t="shared" si="1940"/>
        <v/>
      </c>
      <c r="EG250" t="str">
        <f t="shared" si="1941"/>
        <v/>
      </c>
      <c r="EH250" t="str">
        <f t="shared" si="1942"/>
        <v/>
      </c>
      <c r="EI250" t="str">
        <f t="shared" si="1943"/>
        <v/>
      </c>
      <c r="EJ250" t="str">
        <f t="shared" si="1944"/>
        <v/>
      </c>
      <c r="EK250" t="str">
        <f t="shared" si="1945"/>
        <v/>
      </c>
      <c r="EL250" t="str">
        <f t="shared" si="1946"/>
        <v/>
      </c>
      <c r="EM250" t="str">
        <f t="shared" si="1947"/>
        <v/>
      </c>
      <c r="EN250" t="str">
        <f t="shared" si="1948"/>
        <v/>
      </c>
      <c r="EO250" t="str">
        <f t="shared" si="1949"/>
        <v/>
      </c>
      <c r="EP250" t="str">
        <f t="shared" si="1950"/>
        <v/>
      </c>
      <c r="EQ250" t="str">
        <f t="shared" si="1951"/>
        <v/>
      </c>
      <c r="ER250" t="str">
        <f t="shared" si="1952"/>
        <v/>
      </c>
      <c r="ES250" t="str">
        <f t="shared" si="1953"/>
        <v/>
      </c>
      <c r="ET250" t="str">
        <f t="shared" si="1954"/>
        <v/>
      </c>
      <c r="EU250" t="str">
        <f t="shared" si="1955"/>
        <v/>
      </c>
      <c r="EV250" t="str">
        <f t="shared" si="1956"/>
        <v/>
      </c>
      <c r="EW250" t="str">
        <f t="shared" si="1957"/>
        <v/>
      </c>
      <c r="EX250" t="str">
        <f t="shared" si="1958"/>
        <v/>
      </c>
      <c r="EY250" t="str">
        <f t="shared" si="1959"/>
        <v/>
      </c>
    </row>
    <row r="251" spans="1:155" ht="13.9" customHeight="1" x14ac:dyDescent="0.25">
      <c r="A251" s="7"/>
      <c r="B251" s="17"/>
      <c r="C251" s="8"/>
      <c r="D251" s="17"/>
      <c r="E251" s="8"/>
      <c r="F251" s="18">
        <v>0</v>
      </c>
      <c r="G251" s="7" t="s">
        <v>147</v>
      </c>
      <c r="H251" s="18">
        <v>0</v>
      </c>
      <c r="I251" s="19">
        <v>0</v>
      </c>
      <c r="J251" s="7" t="s">
        <v>147</v>
      </c>
      <c r="K251" s="19">
        <v>0</v>
      </c>
      <c r="L251" s="9"/>
      <c r="M251" s="3" t="str">
        <f>IF($L251="","",IF($L251="DOELPUNTENMAKERS","",IF(AND(COUNTIF(#REF!,$B251)=0,COUNTIF(#REF!,$D251)=0),"OK",IF($O251&gt;20,"LET OP: meer dan 20 items (controle onvolledig)",IF((COUNTIF($R251:$AS251,"ONZEKER")+COUNTIF($CJ251:$DK251,"ONZEKER"))&gt;0,"LET OP: scoreverloop onduidelijk (controle beperkt)",IF((IF($AT251&lt;&gt;"",$AT251&amp;", ","")&amp;IF($AU251&lt;&gt;"",$AU251&amp;", ","")&amp;IF($AV251&lt;&gt;"",$AV251&amp;", ","")&amp;IF($AW251&lt;&gt;"",$AW251&amp;", ","")&amp;IF($AX251&lt;&gt;"",$AX251&amp;", ","")&amp;IF($AY251&lt;&gt;"",$AY251&amp;", ","")&amp;IF($AZ251&lt;&gt;"",$AZ251&amp;", ","")&amp;IF($BA251&lt;&gt;"",$BA251&amp;", ","")&amp;IF($BB251&lt;&gt;"",$BB251&amp;", ","")&amp;IF($BC251&lt;&gt;"",$BC251&amp;", ","")&amp;IF($DL251&lt;&gt;"",$DL251&amp;", ","")&amp;IF($DM251&lt;&gt;"",$DM251&amp;", ","")&amp;IF($DN251&lt;&gt;"",$DN251&amp;", ","")&amp;IF($DO251&lt;&gt;"",$DO251&amp;", ","")&amp;IF($DP251&lt;&gt;"",$DP251&amp;", ","")&amp;IF($DQ251&lt;&gt;"",$DQ251&amp;", ","")&amp;IF($DR251&lt;&gt;"",$DR251&amp;", ","")&amp;IF($DS251&lt;&gt;"",$DS251&amp;", ","")&amp;IF($DT251&lt;&gt;"",$DT251&amp;", ","")&amp;IF($DU251&lt;&gt;"",$DU251&amp;", ",""))="","OK","Onbekend: "&amp;LEFT((IF($AT251&lt;&gt;"",$AT251&amp;", ","")&amp;IF($AU251&lt;&gt;"",$AU251&amp;", ","")&amp;IF($AV251&lt;&gt;"",$AV251&amp;", ","")&amp;IF($AW251&lt;&gt;"",$AW251&amp;", ","")&amp;IF($AX251&lt;&gt;"",$AX251&amp;", ","")&amp;IF($AY251&lt;&gt;"",$AY251&amp;", ","")&amp;IF($AZ251&lt;&gt;"",$AZ251&amp;", ","")&amp;IF($BA251&lt;&gt;"",$BA251&amp;", ","")&amp;IF($BB251&lt;&gt;"",$BB251&amp;", ","")&amp;IF($BC251&lt;&gt;"",$BC251&amp;", ","")&amp;IF($DL251&lt;&gt;"",$DL251&amp;", ","")&amp;IF($DM251&lt;&gt;"",$DM251&amp;", ","")&amp;IF($DN251&lt;&gt;"",$DN251&amp;", ","")&amp;IF($DO251&lt;&gt;"",$DO251&amp;", ","")&amp;IF($DP251&lt;&gt;"",$DP251&amp;", ","")&amp;IF($DQ251&lt;&gt;"",$DQ251&amp;", ","")&amp;IF($DR251&lt;&gt;"",$DR251&amp;", ","")&amp;IF($DS251&lt;&gt;"",$DS251&amp;", ","")&amp;IF($DT251&lt;&gt;"",$DT251&amp;", ","")&amp;IF($DU251&lt;&gt;"",$DU251&amp;", ","")),LEN((IF($AT251&lt;&gt;"",$AT251&amp;", ","")&amp;IF($AU251&lt;&gt;"",$AU251&amp;", ","")&amp;IF($AV251&lt;&gt;"",$AV251&amp;", ","")&amp;IF($AW251&lt;&gt;"",$AW251&amp;", ","")&amp;IF($AX251&lt;&gt;"",$AX251&amp;", ","")&amp;IF($AY251&lt;&gt;"",$AY251&amp;", ","")&amp;IF($AZ251&lt;&gt;"",$AZ251&amp;", ","")&amp;IF($BA251&lt;&gt;"",$BA251&amp;", ","")&amp;IF($BB251&lt;&gt;"",$BB251&amp;", ","")&amp;IF($BC251&lt;&gt;"",$BC251&amp;", ","")&amp;IF($DL251&lt;&gt;"",$DL251&amp;", ","")&amp;IF($DM251&lt;&gt;"",$DM251&amp;", ","")&amp;IF($DN251&lt;&gt;"",$DN251&amp;", ","")&amp;IF($DO251&lt;&gt;"",$DO251&amp;", ","")&amp;IF($DP251&lt;&gt;"",$DP251&amp;", ","")&amp;IF($DQ251&lt;&gt;"",$DQ251&amp;", ","")&amp;IF($DR251&lt;&gt;"",$DR251&amp;", ","")&amp;IF($DS251&lt;&gt;"",$DS251&amp;", ","")&amp;IF($DT251&lt;&gt;"",$DT251&amp;", ","")&amp;IF($DU251&lt;&gt;"",$DU251&amp;", ","")))-2)))))))</f>
        <v/>
      </c>
      <c r="N251" t="str">
        <f t="shared" si="1868"/>
        <v/>
      </c>
      <c r="O251" t="str">
        <f t="shared" si="1869"/>
        <v/>
      </c>
      <c r="P251" t="str">
        <f t="shared" si="1870"/>
        <v/>
      </c>
      <c r="Q251" t="str">
        <f t="shared" si="1871"/>
        <v/>
      </c>
      <c r="R251" t="str">
        <f>IF($Q251="","",IF(OR($BE251="",$BF251=""),"ONZEKER",IF(AND($BE251=0+1,$BF251=0),IF(OR(COUNTIF(#REF!,$B251)&gt;0,COUNTIF(#REF!,$B251)=0),"SKIP",IF(COUNTIFS(#REF!,$B251,#REF!,$Q251)&gt;0,"OK","ONBEKEND")),IF(AND($BE251=0,$BF251=0+1),IF(OR(COUNTIF(#REF!,$D251)&gt;0,COUNTIF(#REF!,$D251)=0),"SKIP",IF(COUNTIFS(#REF!,$D251,#REF!,$Q251)&gt;0,"OK","ONBEKEND")),"ONZEKER"))))</f>
        <v/>
      </c>
      <c r="S251" t="str">
        <f t="shared" si="1872"/>
        <v/>
      </c>
      <c r="T251" t="str">
        <f t="shared" si="1873"/>
        <v/>
      </c>
      <c r="U251" t="str">
        <f>IF($T251="","",IF(OR($BH251="",$BI251=""),"ONZEKER",IF(OR($BE251="",$BF251=""),"ONZEKER",IF(AND($BH251=$BE251+1,$BI251=$BF251),IF(OR(COUNTIF(#REF!,$B251)&gt;0,COUNTIF(#REF!,$B251)=0),"SKIP",IF(COUNTIFS(#REF!,$B251,#REF!,$T251)&gt;0,"OK","ONBEKEND")),IF(AND($BH251=$BE251,$BI251=$BF251+1),IF(OR(COUNTIF(#REF!,$D251)&gt;0,COUNTIF(#REF!,$D251)=0),"SKIP",IF(COUNTIFS(#REF!,$D251,#REF!,$T251)&gt;0,"OK","ONBEKEND")),"ONZEKER")))))</f>
        <v/>
      </c>
      <c r="V251" t="str">
        <f t="shared" si="1874"/>
        <v/>
      </c>
      <c r="W251" t="str">
        <f t="shared" si="1875"/>
        <v/>
      </c>
      <c r="X251" t="str">
        <f>IF($W251="","",IF(OR($BK251="",$BL251=""),"ONZEKER",IF(OR($BH251="",$BI251=""),"ONZEKER",IF(AND($BK251=$BH251+1,$BL251=$BI251),IF(OR(COUNTIF(#REF!,$B251)&gt;0,COUNTIF(#REF!,$B251)=0),"SKIP",IF(COUNTIFS(#REF!,$B251,#REF!,$W251)&gt;0,"OK","ONBEKEND")),IF(AND($BK251=$BH251,$BL251=$BI251+1),IF(OR(COUNTIF(#REF!,$D251)&gt;0,COUNTIF(#REF!,$D251)=0),"SKIP",IF(COUNTIFS(#REF!,$D251,#REF!,$W251)&gt;0,"OK","ONBEKEND")),"ONZEKER")))))</f>
        <v/>
      </c>
      <c r="Y251" t="str">
        <f t="shared" si="1876"/>
        <v/>
      </c>
      <c r="Z251" t="str">
        <f t="shared" si="1877"/>
        <v/>
      </c>
      <c r="AA251" t="str">
        <f>IF($Z251="","",IF(OR($BN251="",$BO251=""),"ONZEKER",IF(OR($BK251="",$BL251=""),"ONZEKER",IF(AND($BN251=$BK251+1,$BO251=$BL251),IF(OR(COUNTIF(#REF!,$B251)&gt;0,COUNTIF(#REF!,$B251)=0),"SKIP",IF(COUNTIFS(#REF!,$B251,#REF!,$Z251)&gt;0,"OK","ONBEKEND")),IF(AND($BN251=$BK251,$BO251=$BL251+1),IF(OR(COUNTIF(#REF!,$D251)&gt;0,COUNTIF(#REF!,$D251)=0),"SKIP",IF(COUNTIFS(#REF!,$D251,#REF!,$Z251)&gt;0,"OK","ONBEKEND")),"ONZEKER")))))</f>
        <v/>
      </c>
      <c r="AB251" t="str">
        <f t="shared" si="1878"/>
        <v/>
      </c>
      <c r="AC251" t="str">
        <f t="shared" si="1879"/>
        <v/>
      </c>
      <c r="AD251" t="str">
        <f>IF($AC251="","",IF(OR($BQ251="",$BR251=""),"ONZEKER",IF(OR($BN251="",$BO251=""),"ONZEKER",IF(AND($BQ251=$BN251+1,$BR251=$BO251),IF(OR(COUNTIF(#REF!,$B251)&gt;0,COUNTIF(#REF!,$B251)=0),"SKIP",IF(COUNTIFS(#REF!,$B251,#REF!,$AC251)&gt;0,"OK","ONBEKEND")),IF(AND($BQ251=$BN251,$BR251=$BO251+1),IF(OR(COUNTIF(#REF!,$D251)&gt;0,COUNTIF(#REF!,$D251)=0),"SKIP",IF(COUNTIFS(#REF!,$D251,#REF!,$AC251)&gt;0,"OK","ONBEKEND")),"ONZEKER")))))</f>
        <v/>
      </c>
      <c r="AE251" t="str">
        <f t="shared" si="1880"/>
        <v/>
      </c>
      <c r="AF251" t="str">
        <f t="shared" si="1881"/>
        <v/>
      </c>
      <c r="AG251" t="str">
        <f>IF($AF251="","",IF(OR($BT251="",$BU251=""),"ONZEKER",IF(OR($BQ251="",$BR251=""),"ONZEKER",IF(AND($BT251=$BQ251+1,$BU251=$BR251),IF(OR(COUNTIF(#REF!,$B251)&gt;0,COUNTIF(#REF!,$B251)=0),"SKIP",IF(COUNTIFS(#REF!,$B251,#REF!,$AF251)&gt;0,"OK","ONBEKEND")),IF(AND($BT251=$BQ251,$BU251=$BR251+1),IF(OR(COUNTIF(#REF!,$D251)&gt;0,COUNTIF(#REF!,$D251)=0),"SKIP",IF(COUNTIFS(#REF!,$D251,#REF!,$AF251)&gt;0,"OK","ONBEKEND")),"ONZEKER")))))</f>
        <v/>
      </c>
      <c r="AH251" t="str">
        <f t="shared" si="1882"/>
        <v/>
      </c>
      <c r="AI251" t="str">
        <f t="shared" si="1883"/>
        <v/>
      </c>
      <c r="AJ251" t="str">
        <f>IF($AI251="","",IF(OR($BW251="",$BX251=""),"ONZEKER",IF(OR($BT251="",$BU251=""),"ONZEKER",IF(AND($BW251=$BT251+1,$BX251=$BU251),IF(OR(COUNTIF(#REF!,$B251)&gt;0,COUNTIF(#REF!,$B251)=0),"SKIP",IF(COUNTIFS(#REF!,$B251,#REF!,$AI251)&gt;0,"OK","ONBEKEND")),IF(AND($BW251=$BT251,$BX251=$BU251+1),IF(OR(COUNTIF(#REF!,$D251)&gt;0,COUNTIF(#REF!,$D251)=0),"SKIP",IF(COUNTIFS(#REF!,$D251,#REF!,$AI251)&gt;0,"OK","ONBEKEND")),"ONZEKER")))))</f>
        <v/>
      </c>
      <c r="AK251" t="str">
        <f t="shared" si="1884"/>
        <v/>
      </c>
      <c r="AL251" t="str">
        <f t="shared" si="1885"/>
        <v/>
      </c>
      <c r="AM251" t="str">
        <f>IF($AL251="","",IF(OR($BZ251="",$CA251=""),"ONZEKER",IF(OR($BW251="",$BX251=""),"ONZEKER",IF(AND($BZ251=$BW251+1,$CA251=$BX251),IF(OR(COUNTIF(#REF!,$B251)&gt;0,COUNTIF(#REF!,$B251)=0),"SKIP",IF(COUNTIFS(#REF!,$B251,#REF!,$AL251)&gt;0,"OK","ONBEKEND")),IF(AND($BZ251=$BW251,$CA251=$BX251+1),IF(OR(COUNTIF(#REF!,$D251)&gt;0,COUNTIF(#REF!,$D251)=0),"SKIP",IF(COUNTIFS(#REF!,$D251,#REF!,$AL251)&gt;0,"OK","ONBEKEND")),"ONZEKER")))))</f>
        <v/>
      </c>
      <c r="AN251" t="str">
        <f t="shared" si="1886"/>
        <v/>
      </c>
      <c r="AO251" t="str">
        <f t="shared" si="1887"/>
        <v/>
      </c>
      <c r="AP251" t="str">
        <f>IF($AO251="","",IF(OR($CC251="",$CD251=""),"ONZEKER",IF(OR($BZ251="",$CA251=""),"ONZEKER",IF(AND($CC251=$BZ251+1,$CD251=$CA251),IF(OR(COUNTIF(#REF!,$B251)&gt;0,COUNTIF(#REF!,$B251)=0),"SKIP",IF(COUNTIFS(#REF!,$B251,#REF!,$AO251)&gt;0,"OK","ONBEKEND")),IF(AND($CC251=$BZ251,$CD251=$CA251+1),IF(OR(COUNTIF(#REF!,$D251)&gt;0,COUNTIF(#REF!,$D251)=0),"SKIP",IF(COUNTIFS(#REF!,$D251,#REF!,$AO251)&gt;0,"OK","ONBEKEND")),"ONZEKER")))))</f>
        <v/>
      </c>
      <c r="AQ251" t="str">
        <f t="shared" si="1888"/>
        <v/>
      </c>
      <c r="AR251" t="str">
        <f t="shared" si="1889"/>
        <v/>
      </c>
      <c r="AS251" t="str">
        <f>IF($AR251="","",IF(OR($CF251="",$CG251=""),"ONZEKER",IF(OR($CC251="",$CD251=""),"ONZEKER",IF(AND($CF251=$CC251+1,$CG251=$CD251),IF(OR(COUNTIF(#REF!,$B251)&gt;0,COUNTIF(#REF!,$B251)=0),"SKIP",IF(COUNTIFS(#REF!,$B251,#REF!,$AR251)&gt;0,"OK","ONBEKEND")),IF(AND($CF251=$CC251,$CG251=$CD251+1),IF(OR(COUNTIF(#REF!,$D251)&gt;0,COUNTIF(#REF!,$D251)=0),"SKIP",IF(COUNTIFS(#REF!,$D251,#REF!,$AR251)&gt;0,"OK","ONBEKEND")),"ONZEKER")))))</f>
        <v/>
      </c>
      <c r="AT251" t="str">
        <f t="shared" si="1890"/>
        <v/>
      </c>
      <c r="AU251" t="str">
        <f t="shared" si="1891"/>
        <v/>
      </c>
      <c r="AV251" t="str">
        <f t="shared" si="1892"/>
        <v/>
      </c>
      <c r="AW251" t="str">
        <f t="shared" si="1893"/>
        <v/>
      </c>
      <c r="AX251" t="str">
        <f t="shared" si="1894"/>
        <v/>
      </c>
      <c r="AY251" t="str">
        <f t="shared" si="1895"/>
        <v/>
      </c>
      <c r="AZ251" t="str">
        <f t="shared" si="1896"/>
        <v/>
      </c>
      <c r="BA251" t="str">
        <f t="shared" si="1897"/>
        <v/>
      </c>
      <c r="BB251" t="str">
        <f t="shared" si="1898"/>
        <v/>
      </c>
      <c r="BC251" t="str">
        <f t="shared" si="1899"/>
        <v/>
      </c>
      <c r="BD251" t="str">
        <f t="shared" si="1470"/>
        <v/>
      </c>
      <c r="BE251" t="str">
        <f t="shared" si="1471"/>
        <v/>
      </c>
      <c r="BF251" t="str">
        <f t="shared" si="1472"/>
        <v/>
      </c>
      <c r="BG251" t="str">
        <f t="shared" si="1473"/>
        <v/>
      </c>
      <c r="BH251" t="str">
        <f t="shared" si="1474"/>
        <v/>
      </c>
      <c r="BI251" t="str">
        <f t="shared" si="1475"/>
        <v/>
      </c>
      <c r="BJ251" t="str">
        <f t="shared" si="1476"/>
        <v/>
      </c>
      <c r="BK251" t="str">
        <f t="shared" si="1477"/>
        <v/>
      </c>
      <c r="BL251" t="str">
        <f t="shared" si="1478"/>
        <v/>
      </c>
      <c r="BM251" t="str">
        <f t="shared" si="1479"/>
        <v/>
      </c>
      <c r="BN251" t="str">
        <f t="shared" si="1480"/>
        <v/>
      </c>
      <c r="BO251" t="str">
        <f t="shared" si="1481"/>
        <v/>
      </c>
      <c r="BP251" t="str">
        <f t="shared" si="1482"/>
        <v/>
      </c>
      <c r="BQ251" t="str">
        <f t="shared" si="1483"/>
        <v/>
      </c>
      <c r="BR251" t="str">
        <f t="shared" si="1484"/>
        <v/>
      </c>
      <c r="BS251" t="str">
        <f t="shared" si="1485"/>
        <v/>
      </c>
      <c r="BT251" t="str">
        <f t="shared" si="1486"/>
        <v/>
      </c>
      <c r="BU251" t="str">
        <f t="shared" si="1487"/>
        <v/>
      </c>
      <c r="BV251" t="str">
        <f t="shared" si="1488"/>
        <v/>
      </c>
      <c r="BW251" t="str">
        <f t="shared" si="1489"/>
        <v/>
      </c>
      <c r="BX251" t="str">
        <f t="shared" si="1490"/>
        <v/>
      </c>
      <c r="BY251" t="str">
        <f t="shared" si="1491"/>
        <v/>
      </c>
      <c r="BZ251" t="str">
        <f t="shared" si="1492"/>
        <v/>
      </c>
      <c r="CA251" t="str">
        <f t="shared" si="1493"/>
        <v/>
      </c>
      <c r="CB251" t="str">
        <f t="shared" si="1494"/>
        <v/>
      </c>
      <c r="CC251" t="str">
        <f t="shared" si="1495"/>
        <v/>
      </c>
      <c r="CD251" t="str">
        <f t="shared" si="1496"/>
        <v/>
      </c>
      <c r="CE251" t="str">
        <f t="shared" si="1497"/>
        <v/>
      </c>
      <c r="CF251" t="str">
        <f t="shared" si="1498"/>
        <v/>
      </c>
      <c r="CG251" t="str">
        <f t="shared" si="1499"/>
        <v/>
      </c>
      <c r="CH251" t="str">
        <f t="shared" si="1900"/>
        <v/>
      </c>
      <c r="CI251" t="str">
        <f t="shared" si="1901"/>
        <v/>
      </c>
      <c r="CJ251" t="str">
        <f>IF($CI251="","",IF(OR($DW251="",$DX251=""),"ONZEKER",IF(OR($CF251="",$CG251=""),"ONZEKER",IF(AND($DW251=$CF251+1,$DX251=$CG251),IF(OR(COUNTIF(#REF!,$B251)&gt;0,COUNTIF(#REF!,$B251)=0),"SKIP",IF(COUNTIFS(#REF!,$B251,#REF!,$CI251)&gt;0,"OK","ONBEKEND")),IF(AND($DW251=$CF251,$DX251=$CG251+1),IF(OR(COUNTIF(#REF!,$D251)&gt;0,COUNTIF(#REF!,$D251)=0),"SKIP",IF(COUNTIFS(#REF!,$D251,#REF!,$CI251)&gt;0,"OK","ONBEKEND")),"ONZEKER")))))</f>
        <v/>
      </c>
      <c r="CK251" t="str">
        <f t="shared" si="1902"/>
        <v/>
      </c>
      <c r="CL251" t="str">
        <f t="shared" si="1903"/>
        <v/>
      </c>
      <c r="CM251" t="str">
        <f>IF($CL251="","",IF(OR($DZ251="",$EA251=""),"ONZEKER",IF(OR($DW251="",$DX251=""),"ONZEKER",IF(AND($DZ251=$DW251+1,$EA251=$DX251),IF(OR(COUNTIF(#REF!,$B251)&gt;0,COUNTIF(#REF!,$B251)=0),"SKIP",IF(COUNTIFS(#REF!,$B251,#REF!,$CL251)&gt;0,"OK","ONBEKEND")),IF(AND($DZ251=$DW251,$EA251=$DX251+1),IF(OR(COUNTIF(#REF!,$D251)&gt;0,COUNTIF(#REF!,$D251)=0),"SKIP",IF(COUNTIFS(#REF!,$D251,#REF!,$CL251)&gt;0,"OK","ONBEKEND")),"ONZEKER")))))</f>
        <v/>
      </c>
      <c r="CN251" t="str">
        <f t="shared" si="1904"/>
        <v/>
      </c>
      <c r="CO251" t="str">
        <f t="shared" si="1905"/>
        <v/>
      </c>
      <c r="CP251" t="str">
        <f>IF($CO251="","",IF(OR($EC251="",$ED251=""),"ONZEKER",IF(OR($DZ251="",$EA251=""),"ONZEKER",IF(AND($EC251=$DZ251+1,$ED251=$EA251),IF(OR(COUNTIF(#REF!,$B251)&gt;0,COUNTIF(#REF!,$B251)=0),"SKIP",IF(COUNTIFS(#REF!,$B251,#REF!,$CO251)&gt;0,"OK","ONBEKEND")),IF(AND($EC251=$DZ251,$ED251=$EA251+1),IF(OR(COUNTIF(#REF!,$D251)&gt;0,COUNTIF(#REF!,$D251)=0),"SKIP",IF(COUNTIFS(#REF!,$D251,#REF!,$CO251)&gt;0,"OK","ONBEKEND")),"ONZEKER")))))</f>
        <v/>
      </c>
      <c r="CQ251" t="str">
        <f t="shared" si="1906"/>
        <v/>
      </c>
      <c r="CR251" t="str">
        <f t="shared" si="1907"/>
        <v/>
      </c>
      <c r="CS251" t="str">
        <f>IF($CR251="","",IF(OR($EF251="",$EG251=""),"ONZEKER",IF(OR($EC251="",$ED251=""),"ONZEKER",IF(AND($EF251=$EC251+1,$EG251=$ED251),IF(OR(COUNTIF(#REF!,$B251)&gt;0,COUNTIF(#REF!,$B251)=0),"SKIP",IF(COUNTIFS(#REF!,$B251,#REF!,$CR251)&gt;0,"OK","ONBEKEND")),IF(AND($EF251=$EC251,$EG251=$ED251+1),IF(OR(COUNTIF(#REF!,$D251)&gt;0,COUNTIF(#REF!,$D251)=0),"SKIP",IF(COUNTIFS(#REF!,$D251,#REF!,$CR251)&gt;0,"OK","ONBEKEND")),"ONZEKER")))))</f>
        <v/>
      </c>
      <c r="CT251" t="str">
        <f t="shared" si="1908"/>
        <v/>
      </c>
      <c r="CU251" t="str">
        <f t="shared" si="1909"/>
        <v/>
      </c>
      <c r="CV251" t="str">
        <f>IF($CU251="","",IF(OR($EI251="",$EJ251=""),"ONZEKER",IF(OR($EF251="",$EG251=""),"ONZEKER",IF(AND($EI251=$EF251+1,$EJ251=$EG251),IF(OR(COUNTIF(#REF!,$B251)&gt;0,COUNTIF(#REF!,$B251)=0),"SKIP",IF(COUNTIFS(#REF!,$B251,#REF!,$CU251)&gt;0,"OK","ONBEKEND")),IF(AND($EI251=$EF251,$EJ251=$EG251+1),IF(OR(COUNTIF(#REF!,$D251)&gt;0,COUNTIF(#REF!,$D251)=0),"SKIP",IF(COUNTIFS(#REF!,$D251,#REF!,$CU251)&gt;0,"OK","ONBEKEND")),"ONZEKER")))))</f>
        <v/>
      </c>
      <c r="CW251" t="str">
        <f t="shared" si="1910"/>
        <v/>
      </c>
      <c r="CX251" t="str">
        <f t="shared" si="1911"/>
        <v/>
      </c>
      <c r="CY251" t="str">
        <f>IF($CX251="","",IF(OR($EL251="",$EM251=""),"ONZEKER",IF(OR($EI251="",$EJ251=""),"ONZEKER",IF(AND($EL251=$EI251+1,$EM251=$EJ251),IF(OR(COUNTIF(#REF!,$B251)&gt;0,COUNTIF(#REF!,$B251)=0),"SKIP",IF(COUNTIFS(#REF!,$B251,#REF!,$CX251)&gt;0,"OK","ONBEKEND")),IF(AND($EL251=$EI251,$EM251=$EJ251+1),IF(OR(COUNTIF(#REF!,$D251)&gt;0,COUNTIF(#REF!,$D251)=0),"SKIP",IF(COUNTIFS(#REF!,$D251,#REF!,$CX251)&gt;0,"OK","ONBEKEND")),"ONZEKER")))))</f>
        <v/>
      </c>
      <c r="CZ251" t="str">
        <f t="shared" si="1912"/>
        <v/>
      </c>
      <c r="DA251" t="str">
        <f t="shared" si="1913"/>
        <v/>
      </c>
      <c r="DB251" t="str">
        <f>IF($DA251="","",IF(OR($EO251="",$EP251=""),"ONZEKER",IF(OR($EL251="",$EM251=""),"ONZEKER",IF(AND($EO251=$EL251+1,$EP251=$EM251),IF(OR(COUNTIF(#REF!,$B251)&gt;0,COUNTIF(#REF!,$B251)=0),"SKIP",IF(COUNTIFS(#REF!,$B251,#REF!,$DA251)&gt;0,"OK","ONBEKEND")),IF(AND($EO251=$EL251,$EP251=$EM251+1),IF(OR(COUNTIF(#REF!,$D251)&gt;0,COUNTIF(#REF!,$D251)=0),"SKIP",IF(COUNTIFS(#REF!,$D251,#REF!,$DA251)&gt;0,"OK","ONBEKEND")),"ONZEKER")))))</f>
        <v/>
      </c>
      <c r="DC251" t="str">
        <f t="shared" si="1914"/>
        <v/>
      </c>
      <c r="DD251" t="str">
        <f t="shared" si="1915"/>
        <v/>
      </c>
      <c r="DE251" t="str">
        <f>IF($DD251="","",IF(OR($ER251="",$ES251=""),"ONZEKER",IF(OR($EO251="",$EP251=""),"ONZEKER",IF(AND($ER251=$EO251+1,$ES251=$EP251),IF(OR(COUNTIF(#REF!,$B251)&gt;0,COUNTIF(#REF!,$B251)=0),"SKIP",IF(COUNTIFS(#REF!,$B251,#REF!,$DD251)&gt;0,"OK","ONBEKEND")),IF(AND($ER251=$EO251,$ES251=$EP251+1),IF(OR(COUNTIF(#REF!,$D251)&gt;0,COUNTIF(#REF!,$D251)=0),"SKIP",IF(COUNTIFS(#REF!,$D251,#REF!,$DD251)&gt;0,"OK","ONBEKEND")),"ONZEKER")))))</f>
        <v/>
      </c>
      <c r="DF251" t="str">
        <f t="shared" si="1916"/>
        <v/>
      </c>
      <c r="DG251" t="str">
        <f t="shared" si="1917"/>
        <v/>
      </c>
      <c r="DH251" t="str">
        <f>IF($DG251="","",IF(OR($EU251="",$EV251=""),"ONZEKER",IF(OR($ER251="",$ES251=""),"ONZEKER",IF(AND($EU251=$ER251+1,$EV251=$ES251),IF(OR(COUNTIF(#REF!,$B251)&gt;0,COUNTIF(#REF!,$B251)=0),"SKIP",IF(COUNTIFS(#REF!,$B251,#REF!,$DG251)&gt;0,"OK","ONBEKEND")),IF(AND($EU251=$ER251,$EV251=$ES251+1),IF(OR(COUNTIF(#REF!,$D251)&gt;0,COUNTIF(#REF!,$D251)=0),"SKIP",IF(COUNTIFS(#REF!,$D251,#REF!,$DG251)&gt;0,"OK","ONBEKEND")),"ONZEKER")))))</f>
        <v/>
      </c>
      <c r="DI251" t="str">
        <f t="shared" si="1918"/>
        <v/>
      </c>
      <c r="DJ251" t="str">
        <f t="shared" si="1919"/>
        <v/>
      </c>
      <c r="DK251" t="str">
        <f>IF($DJ251="","",IF(OR($EX251="",$EY251=""),"ONZEKER",IF(OR($EU251="",$EV251=""),"ONZEKER",IF(AND($EX251=$EU251+1,$EY251=$EV251),IF(OR(COUNTIF(#REF!,$B251)&gt;0,COUNTIF(#REF!,$B251)=0),"SKIP",IF(COUNTIFS(#REF!,$B251,#REF!,$DJ251)&gt;0,"OK","ONBEKEND")),IF(AND($EX251=$EU251,$EY251=$EV251+1),IF(OR(COUNTIF(#REF!,$D251)&gt;0,COUNTIF(#REF!,$D251)=0),"SKIP",IF(COUNTIFS(#REF!,$D251,#REF!,$DJ251)&gt;0,"OK","ONBEKEND")),"ONZEKER")))))</f>
        <v/>
      </c>
      <c r="DL251" t="str">
        <f t="shared" si="1920"/>
        <v/>
      </c>
      <c r="DM251" t="str">
        <f t="shared" si="1921"/>
        <v/>
      </c>
      <c r="DN251" t="str">
        <f t="shared" si="1922"/>
        <v/>
      </c>
      <c r="DO251" t="str">
        <f t="shared" si="1923"/>
        <v/>
      </c>
      <c r="DP251" t="str">
        <f t="shared" si="1924"/>
        <v/>
      </c>
      <c r="DQ251" t="str">
        <f t="shared" si="1925"/>
        <v/>
      </c>
      <c r="DR251" t="str">
        <f t="shared" si="1926"/>
        <v/>
      </c>
      <c r="DS251" t="str">
        <f t="shared" si="1927"/>
        <v/>
      </c>
      <c r="DT251" t="str">
        <f t="shared" si="1928"/>
        <v/>
      </c>
      <c r="DU251" t="str">
        <f t="shared" si="1929"/>
        <v/>
      </c>
      <c r="DV251" t="str">
        <f t="shared" si="1930"/>
        <v/>
      </c>
      <c r="DW251" t="str">
        <f t="shared" si="1931"/>
        <v/>
      </c>
      <c r="DX251" t="str">
        <f t="shared" si="1932"/>
        <v/>
      </c>
      <c r="DY251" t="str">
        <f t="shared" si="1933"/>
        <v/>
      </c>
      <c r="DZ251" t="str">
        <f t="shared" si="1934"/>
        <v/>
      </c>
      <c r="EA251" t="str">
        <f t="shared" si="1935"/>
        <v/>
      </c>
      <c r="EB251" t="str">
        <f t="shared" si="1936"/>
        <v/>
      </c>
      <c r="EC251" t="str">
        <f t="shared" si="1937"/>
        <v/>
      </c>
      <c r="ED251" t="str">
        <f t="shared" si="1938"/>
        <v/>
      </c>
      <c r="EE251" t="str">
        <f t="shared" si="1939"/>
        <v/>
      </c>
      <c r="EF251" t="str">
        <f t="shared" si="1940"/>
        <v/>
      </c>
      <c r="EG251" t="str">
        <f t="shared" si="1941"/>
        <v/>
      </c>
      <c r="EH251" t="str">
        <f t="shared" si="1942"/>
        <v/>
      </c>
      <c r="EI251" t="str">
        <f t="shared" si="1943"/>
        <v/>
      </c>
      <c r="EJ251" t="str">
        <f t="shared" si="1944"/>
        <v/>
      </c>
      <c r="EK251" t="str">
        <f t="shared" si="1945"/>
        <v/>
      </c>
      <c r="EL251" t="str">
        <f t="shared" si="1946"/>
        <v/>
      </c>
      <c r="EM251" t="str">
        <f t="shared" si="1947"/>
        <v/>
      </c>
      <c r="EN251" t="str">
        <f t="shared" si="1948"/>
        <v/>
      </c>
      <c r="EO251" t="str">
        <f t="shared" si="1949"/>
        <v/>
      </c>
      <c r="EP251" t="str">
        <f t="shared" si="1950"/>
        <v/>
      </c>
      <c r="EQ251" t="str">
        <f t="shared" si="1951"/>
        <v/>
      </c>
      <c r="ER251" t="str">
        <f t="shared" si="1952"/>
        <v/>
      </c>
      <c r="ES251" t="str">
        <f t="shared" si="1953"/>
        <v/>
      </c>
      <c r="ET251" t="str">
        <f t="shared" si="1954"/>
        <v/>
      </c>
      <c r="EU251" t="str">
        <f t="shared" si="1955"/>
        <v/>
      </c>
      <c r="EV251" t="str">
        <f t="shared" si="1956"/>
        <v/>
      </c>
      <c r="EW251" t="str">
        <f t="shared" si="1957"/>
        <v/>
      </c>
      <c r="EX251" t="str">
        <f t="shared" si="1958"/>
        <v/>
      </c>
      <c r="EY251" t="str">
        <f t="shared" si="1959"/>
        <v/>
      </c>
    </row>
    <row r="252" spans="1:155" ht="13.9" customHeight="1" x14ac:dyDescent="0.25">
      <c r="A252" s="7"/>
      <c r="B252" s="17"/>
      <c r="C252" s="8"/>
      <c r="D252" s="17"/>
      <c r="E252" s="8"/>
      <c r="F252" s="18">
        <v>0</v>
      </c>
      <c r="G252" s="7" t="s">
        <v>147</v>
      </c>
      <c r="H252" s="18">
        <v>0</v>
      </c>
      <c r="I252" s="19">
        <v>0</v>
      </c>
      <c r="J252" s="7" t="s">
        <v>147</v>
      </c>
      <c r="K252" s="19">
        <v>0</v>
      </c>
      <c r="L252" s="9"/>
      <c r="M252" s="3" t="str">
        <f>IF($L252="","",IF($L252="DOELPUNTENMAKERS","",IF(AND(COUNTIF(#REF!,$B252)=0,COUNTIF(#REF!,$D252)=0),"OK",IF($O252&gt;20,"LET OP: meer dan 20 items (controle onvolledig)",IF((COUNTIF($R252:$AS252,"ONZEKER")+COUNTIF($CJ252:$DK252,"ONZEKER"))&gt;0,"LET OP: scoreverloop onduidelijk (controle beperkt)",IF((IF($AT252&lt;&gt;"",$AT252&amp;", ","")&amp;IF($AU252&lt;&gt;"",$AU252&amp;", ","")&amp;IF($AV252&lt;&gt;"",$AV252&amp;", ","")&amp;IF($AW252&lt;&gt;"",$AW252&amp;", ","")&amp;IF($AX252&lt;&gt;"",$AX252&amp;", ","")&amp;IF($AY252&lt;&gt;"",$AY252&amp;", ","")&amp;IF($AZ252&lt;&gt;"",$AZ252&amp;", ","")&amp;IF($BA252&lt;&gt;"",$BA252&amp;", ","")&amp;IF($BB252&lt;&gt;"",$BB252&amp;", ","")&amp;IF($BC252&lt;&gt;"",$BC252&amp;", ","")&amp;IF($DL252&lt;&gt;"",$DL252&amp;", ","")&amp;IF($DM252&lt;&gt;"",$DM252&amp;", ","")&amp;IF($DN252&lt;&gt;"",$DN252&amp;", ","")&amp;IF($DO252&lt;&gt;"",$DO252&amp;", ","")&amp;IF($DP252&lt;&gt;"",$DP252&amp;", ","")&amp;IF($DQ252&lt;&gt;"",$DQ252&amp;", ","")&amp;IF($DR252&lt;&gt;"",$DR252&amp;", ","")&amp;IF($DS252&lt;&gt;"",$DS252&amp;", ","")&amp;IF($DT252&lt;&gt;"",$DT252&amp;", ","")&amp;IF($DU252&lt;&gt;"",$DU252&amp;", ",""))="","OK","Onbekend: "&amp;LEFT((IF($AT252&lt;&gt;"",$AT252&amp;", ","")&amp;IF($AU252&lt;&gt;"",$AU252&amp;", ","")&amp;IF($AV252&lt;&gt;"",$AV252&amp;", ","")&amp;IF($AW252&lt;&gt;"",$AW252&amp;", ","")&amp;IF($AX252&lt;&gt;"",$AX252&amp;", ","")&amp;IF($AY252&lt;&gt;"",$AY252&amp;", ","")&amp;IF($AZ252&lt;&gt;"",$AZ252&amp;", ","")&amp;IF($BA252&lt;&gt;"",$BA252&amp;", ","")&amp;IF($BB252&lt;&gt;"",$BB252&amp;", ","")&amp;IF($BC252&lt;&gt;"",$BC252&amp;", ","")&amp;IF($DL252&lt;&gt;"",$DL252&amp;", ","")&amp;IF($DM252&lt;&gt;"",$DM252&amp;", ","")&amp;IF($DN252&lt;&gt;"",$DN252&amp;", ","")&amp;IF($DO252&lt;&gt;"",$DO252&amp;", ","")&amp;IF($DP252&lt;&gt;"",$DP252&amp;", ","")&amp;IF($DQ252&lt;&gt;"",$DQ252&amp;", ","")&amp;IF($DR252&lt;&gt;"",$DR252&amp;", ","")&amp;IF($DS252&lt;&gt;"",$DS252&amp;", ","")&amp;IF($DT252&lt;&gt;"",$DT252&amp;", ","")&amp;IF($DU252&lt;&gt;"",$DU252&amp;", ","")),LEN((IF($AT252&lt;&gt;"",$AT252&amp;", ","")&amp;IF($AU252&lt;&gt;"",$AU252&amp;", ","")&amp;IF($AV252&lt;&gt;"",$AV252&amp;", ","")&amp;IF($AW252&lt;&gt;"",$AW252&amp;", ","")&amp;IF($AX252&lt;&gt;"",$AX252&amp;", ","")&amp;IF($AY252&lt;&gt;"",$AY252&amp;", ","")&amp;IF($AZ252&lt;&gt;"",$AZ252&amp;", ","")&amp;IF($BA252&lt;&gt;"",$BA252&amp;", ","")&amp;IF($BB252&lt;&gt;"",$BB252&amp;", ","")&amp;IF($BC252&lt;&gt;"",$BC252&amp;", ","")&amp;IF($DL252&lt;&gt;"",$DL252&amp;", ","")&amp;IF($DM252&lt;&gt;"",$DM252&amp;", ","")&amp;IF($DN252&lt;&gt;"",$DN252&amp;", ","")&amp;IF($DO252&lt;&gt;"",$DO252&amp;", ","")&amp;IF($DP252&lt;&gt;"",$DP252&amp;", ","")&amp;IF($DQ252&lt;&gt;"",$DQ252&amp;", ","")&amp;IF($DR252&lt;&gt;"",$DR252&amp;", ","")&amp;IF($DS252&lt;&gt;"",$DS252&amp;", ","")&amp;IF($DT252&lt;&gt;"",$DT252&amp;", ","")&amp;IF($DU252&lt;&gt;"",$DU252&amp;", ","")))-2)))))))</f>
        <v/>
      </c>
      <c r="N252" t="str">
        <f t="shared" si="1868"/>
        <v/>
      </c>
      <c r="O252" t="str">
        <f t="shared" si="1869"/>
        <v/>
      </c>
      <c r="P252" t="str">
        <f t="shared" si="1870"/>
        <v/>
      </c>
      <c r="Q252" t="str">
        <f t="shared" si="1871"/>
        <v/>
      </c>
      <c r="R252" t="str">
        <f>IF($Q252="","",IF(OR($BE252="",$BF252=""),"ONZEKER",IF(AND($BE252=0+1,$BF252=0),IF(OR(COUNTIF(#REF!,$B252)&gt;0,COUNTIF(#REF!,$B252)=0),"SKIP",IF(COUNTIFS(#REF!,$B252,#REF!,$Q252)&gt;0,"OK","ONBEKEND")),IF(AND($BE252=0,$BF252=0+1),IF(OR(COUNTIF(#REF!,$D252)&gt;0,COUNTIF(#REF!,$D252)=0),"SKIP",IF(COUNTIFS(#REF!,$D252,#REF!,$Q252)&gt;0,"OK","ONBEKEND")),"ONZEKER"))))</f>
        <v/>
      </c>
      <c r="S252" t="str">
        <f t="shared" si="1872"/>
        <v/>
      </c>
      <c r="T252" t="str">
        <f t="shared" si="1873"/>
        <v/>
      </c>
      <c r="U252" t="str">
        <f>IF($T252="","",IF(OR($BH252="",$BI252=""),"ONZEKER",IF(OR($BE252="",$BF252=""),"ONZEKER",IF(AND($BH252=$BE252+1,$BI252=$BF252),IF(OR(COUNTIF(#REF!,$B252)&gt;0,COUNTIF(#REF!,$B252)=0),"SKIP",IF(COUNTIFS(#REF!,$B252,#REF!,$T252)&gt;0,"OK","ONBEKEND")),IF(AND($BH252=$BE252,$BI252=$BF252+1),IF(OR(COUNTIF(#REF!,$D252)&gt;0,COUNTIF(#REF!,$D252)=0),"SKIP",IF(COUNTIFS(#REF!,$D252,#REF!,$T252)&gt;0,"OK","ONBEKEND")),"ONZEKER")))))</f>
        <v/>
      </c>
      <c r="V252" t="str">
        <f t="shared" si="1874"/>
        <v/>
      </c>
      <c r="W252" t="str">
        <f t="shared" si="1875"/>
        <v/>
      </c>
      <c r="X252" t="str">
        <f>IF($W252="","",IF(OR($BK252="",$BL252=""),"ONZEKER",IF(OR($BH252="",$BI252=""),"ONZEKER",IF(AND($BK252=$BH252+1,$BL252=$BI252),IF(OR(COUNTIF(#REF!,$B252)&gt;0,COUNTIF(#REF!,$B252)=0),"SKIP",IF(COUNTIFS(#REF!,$B252,#REF!,$W252)&gt;0,"OK","ONBEKEND")),IF(AND($BK252=$BH252,$BL252=$BI252+1),IF(OR(COUNTIF(#REF!,$D252)&gt;0,COUNTIF(#REF!,$D252)=0),"SKIP",IF(COUNTIFS(#REF!,$D252,#REF!,$W252)&gt;0,"OK","ONBEKEND")),"ONZEKER")))))</f>
        <v/>
      </c>
      <c r="Y252" t="str">
        <f t="shared" si="1876"/>
        <v/>
      </c>
      <c r="Z252" t="str">
        <f t="shared" si="1877"/>
        <v/>
      </c>
      <c r="AA252" t="str">
        <f>IF($Z252="","",IF(OR($BN252="",$BO252=""),"ONZEKER",IF(OR($BK252="",$BL252=""),"ONZEKER",IF(AND($BN252=$BK252+1,$BO252=$BL252),IF(OR(COUNTIF(#REF!,$B252)&gt;0,COUNTIF(#REF!,$B252)=0),"SKIP",IF(COUNTIFS(#REF!,$B252,#REF!,$Z252)&gt;0,"OK","ONBEKEND")),IF(AND($BN252=$BK252,$BO252=$BL252+1),IF(OR(COUNTIF(#REF!,$D252)&gt;0,COUNTIF(#REF!,$D252)=0),"SKIP",IF(COUNTIFS(#REF!,$D252,#REF!,$Z252)&gt;0,"OK","ONBEKEND")),"ONZEKER")))))</f>
        <v/>
      </c>
      <c r="AB252" t="str">
        <f t="shared" si="1878"/>
        <v/>
      </c>
      <c r="AC252" t="str">
        <f t="shared" si="1879"/>
        <v/>
      </c>
      <c r="AD252" t="str">
        <f>IF($AC252="","",IF(OR($BQ252="",$BR252=""),"ONZEKER",IF(OR($BN252="",$BO252=""),"ONZEKER",IF(AND($BQ252=$BN252+1,$BR252=$BO252),IF(OR(COUNTIF(#REF!,$B252)&gt;0,COUNTIF(#REF!,$B252)=0),"SKIP",IF(COUNTIFS(#REF!,$B252,#REF!,$AC252)&gt;0,"OK","ONBEKEND")),IF(AND($BQ252=$BN252,$BR252=$BO252+1),IF(OR(COUNTIF(#REF!,$D252)&gt;0,COUNTIF(#REF!,$D252)=0),"SKIP",IF(COUNTIFS(#REF!,$D252,#REF!,$AC252)&gt;0,"OK","ONBEKEND")),"ONZEKER")))))</f>
        <v/>
      </c>
      <c r="AE252" t="str">
        <f t="shared" si="1880"/>
        <v/>
      </c>
      <c r="AF252" t="str">
        <f t="shared" si="1881"/>
        <v/>
      </c>
      <c r="AG252" t="str">
        <f>IF($AF252="","",IF(OR($BT252="",$BU252=""),"ONZEKER",IF(OR($BQ252="",$BR252=""),"ONZEKER",IF(AND($BT252=$BQ252+1,$BU252=$BR252),IF(OR(COUNTIF(#REF!,$B252)&gt;0,COUNTIF(#REF!,$B252)=0),"SKIP",IF(COUNTIFS(#REF!,$B252,#REF!,$AF252)&gt;0,"OK","ONBEKEND")),IF(AND($BT252=$BQ252,$BU252=$BR252+1),IF(OR(COUNTIF(#REF!,$D252)&gt;0,COUNTIF(#REF!,$D252)=0),"SKIP",IF(COUNTIFS(#REF!,$D252,#REF!,$AF252)&gt;0,"OK","ONBEKEND")),"ONZEKER")))))</f>
        <v/>
      </c>
      <c r="AH252" t="str">
        <f t="shared" si="1882"/>
        <v/>
      </c>
      <c r="AI252" t="str">
        <f t="shared" si="1883"/>
        <v/>
      </c>
      <c r="AJ252" t="str">
        <f>IF($AI252="","",IF(OR($BW252="",$BX252=""),"ONZEKER",IF(OR($BT252="",$BU252=""),"ONZEKER",IF(AND($BW252=$BT252+1,$BX252=$BU252),IF(OR(COUNTIF(#REF!,$B252)&gt;0,COUNTIF(#REF!,$B252)=0),"SKIP",IF(COUNTIFS(#REF!,$B252,#REF!,$AI252)&gt;0,"OK","ONBEKEND")),IF(AND($BW252=$BT252,$BX252=$BU252+1),IF(OR(COUNTIF(#REF!,$D252)&gt;0,COUNTIF(#REF!,$D252)=0),"SKIP",IF(COUNTIFS(#REF!,$D252,#REF!,$AI252)&gt;0,"OK","ONBEKEND")),"ONZEKER")))))</f>
        <v/>
      </c>
      <c r="AK252" t="str">
        <f t="shared" si="1884"/>
        <v/>
      </c>
      <c r="AL252" t="str">
        <f t="shared" si="1885"/>
        <v/>
      </c>
      <c r="AM252" t="str">
        <f>IF($AL252="","",IF(OR($BZ252="",$CA252=""),"ONZEKER",IF(OR($BW252="",$BX252=""),"ONZEKER",IF(AND($BZ252=$BW252+1,$CA252=$BX252),IF(OR(COUNTIF(#REF!,$B252)&gt;0,COUNTIF(#REF!,$B252)=0),"SKIP",IF(COUNTIFS(#REF!,$B252,#REF!,$AL252)&gt;0,"OK","ONBEKEND")),IF(AND($BZ252=$BW252,$CA252=$BX252+1),IF(OR(COUNTIF(#REF!,$D252)&gt;0,COUNTIF(#REF!,$D252)=0),"SKIP",IF(COUNTIFS(#REF!,$D252,#REF!,$AL252)&gt;0,"OK","ONBEKEND")),"ONZEKER")))))</f>
        <v/>
      </c>
      <c r="AN252" t="str">
        <f t="shared" si="1886"/>
        <v/>
      </c>
      <c r="AO252" t="str">
        <f t="shared" si="1887"/>
        <v/>
      </c>
      <c r="AP252" t="str">
        <f>IF($AO252="","",IF(OR($CC252="",$CD252=""),"ONZEKER",IF(OR($BZ252="",$CA252=""),"ONZEKER",IF(AND($CC252=$BZ252+1,$CD252=$CA252),IF(OR(COUNTIF(#REF!,$B252)&gt;0,COUNTIF(#REF!,$B252)=0),"SKIP",IF(COUNTIFS(#REF!,$B252,#REF!,$AO252)&gt;0,"OK","ONBEKEND")),IF(AND($CC252=$BZ252,$CD252=$CA252+1),IF(OR(COUNTIF(#REF!,$D252)&gt;0,COUNTIF(#REF!,$D252)=0),"SKIP",IF(COUNTIFS(#REF!,$D252,#REF!,$AO252)&gt;0,"OK","ONBEKEND")),"ONZEKER")))))</f>
        <v/>
      </c>
      <c r="AQ252" t="str">
        <f t="shared" si="1888"/>
        <v/>
      </c>
      <c r="AR252" t="str">
        <f t="shared" si="1889"/>
        <v/>
      </c>
      <c r="AS252" t="str">
        <f>IF($AR252="","",IF(OR($CF252="",$CG252=""),"ONZEKER",IF(OR($CC252="",$CD252=""),"ONZEKER",IF(AND($CF252=$CC252+1,$CG252=$CD252),IF(OR(COUNTIF(#REF!,$B252)&gt;0,COUNTIF(#REF!,$B252)=0),"SKIP",IF(COUNTIFS(#REF!,$B252,#REF!,$AR252)&gt;0,"OK","ONBEKEND")),IF(AND($CF252=$CC252,$CG252=$CD252+1),IF(OR(COUNTIF(#REF!,$D252)&gt;0,COUNTIF(#REF!,$D252)=0),"SKIP",IF(COUNTIFS(#REF!,$D252,#REF!,$AR252)&gt;0,"OK","ONBEKEND")),"ONZEKER")))))</f>
        <v/>
      </c>
      <c r="AT252" t="str">
        <f t="shared" si="1890"/>
        <v/>
      </c>
      <c r="AU252" t="str">
        <f t="shared" si="1891"/>
        <v/>
      </c>
      <c r="AV252" t="str">
        <f t="shared" si="1892"/>
        <v/>
      </c>
      <c r="AW252" t="str">
        <f t="shared" si="1893"/>
        <v/>
      </c>
      <c r="AX252" t="str">
        <f t="shared" si="1894"/>
        <v/>
      </c>
      <c r="AY252" t="str">
        <f t="shared" si="1895"/>
        <v/>
      </c>
      <c r="AZ252" t="str">
        <f t="shared" si="1896"/>
        <v/>
      </c>
      <c r="BA252" t="str">
        <f t="shared" si="1897"/>
        <v/>
      </c>
      <c r="BB252" t="str">
        <f t="shared" si="1898"/>
        <v/>
      </c>
      <c r="BC252" t="str">
        <f t="shared" si="1899"/>
        <v/>
      </c>
      <c r="BD252" t="str">
        <f t="shared" si="1470"/>
        <v/>
      </c>
      <c r="BE252" t="str">
        <f t="shared" si="1471"/>
        <v/>
      </c>
      <c r="BF252" t="str">
        <f t="shared" si="1472"/>
        <v/>
      </c>
      <c r="BG252" t="str">
        <f t="shared" si="1473"/>
        <v/>
      </c>
      <c r="BH252" t="str">
        <f t="shared" si="1474"/>
        <v/>
      </c>
      <c r="BI252" t="str">
        <f t="shared" si="1475"/>
        <v/>
      </c>
      <c r="BJ252" t="str">
        <f t="shared" si="1476"/>
        <v/>
      </c>
      <c r="BK252" t="str">
        <f t="shared" si="1477"/>
        <v/>
      </c>
      <c r="BL252" t="str">
        <f t="shared" si="1478"/>
        <v/>
      </c>
      <c r="BM252" t="str">
        <f t="shared" si="1479"/>
        <v/>
      </c>
      <c r="BN252" t="str">
        <f t="shared" si="1480"/>
        <v/>
      </c>
      <c r="BO252" t="str">
        <f t="shared" si="1481"/>
        <v/>
      </c>
      <c r="BP252" t="str">
        <f t="shared" si="1482"/>
        <v/>
      </c>
      <c r="BQ252" t="str">
        <f t="shared" si="1483"/>
        <v/>
      </c>
      <c r="BR252" t="str">
        <f t="shared" si="1484"/>
        <v/>
      </c>
      <c r="BS252" t="str">
        <f t="shared" si="1485"/>
        <v/>
      </c>
      <c r="BT252" t="str">
        <f t="shared" si="1486"/>
        <v/>
      </c>
      <c r="BU252" t="str">
        <f t="shared" si="1487"/>
        <v/>
      </c>
      <c r="BV252" t="str">
        <f t="shared" si="1488"/>
        <v/>
      </c>
      <c r="BW252" t="str">
        <f t="shared" si="1489"/>
        <v/>
      </c>
      <c r="BX252" t="str">
        <f t="shared" si="1490"/>
        <v/>
      </c>
      <c r="BY252" t="str">
        <f t="shared" si="1491"/>
        <v/>
      </c>
      <c r="BZ252" t="str">
        <f t="shared" si="1492"/>
        <v/>
      </c>
      <c r="CA252" t="str">
        <f t="shared" si="1493"/>
        <v/>
      </c>
      <c r="CB252" t="str">
        <f t="shared" si="1494"/>
        <v/>
      </c>
      <c r="CC252" t="str">
        <f t="shared" si="1495"/>
        <v/>
      </c>
      <c r="CD252" t="str">
        <f t="shared" si="1496"/>
        <v/>
      </c>
      <c r="CE252" t="str">
        <f t="shared" si="1497"/>
        <v/>
      </c>
      <c r="CF252" t="str">
        <f t="shared" si="1498"/>
        <v/>
      </c>
      <c r="CG252" t="str">
        <f t="shared" si="1499"/>
        <v/>
      </c>
      <c r="CH252" t="str">
        <f t="shared" si="1900"/>
        <v/>
      </c>
      <c r="CI252" t="str">
        <f t="shared" si="1901"/>
        <v/>
      </c>
      <c r="CJ252" t="str">
        <f>IF($CI252="","",IF(OR($DW252="",$DX252=""),"ONZEKER",IF(OR($CF252="",$CG252=""),"ONZEKER",IF(AND($DW252=$CF252+1,$DX252=$CG252),IF(OR(COUNTIF(#REF!,$B252)&gt;0,COUNTIF(#REF!,$B252)=0),"SKIP",IF(COUNTIFS(#REF!,$B252,#REF!,$CI252)&gt;0,"OK","ONBEKEND")),IF(AND($DW252=$CF252,$DX252=$CG252+1),IF(OR(COUNTIF(#REF!,$D252)&gt;0,COUNTIF(#REF!,$D252)=0),"SKIP",IF(COUNTIFS(#REF!,$D252,#REF!,$CI252)&gt;0,"OK","ONBEKEND")),"ONZEKER")))))</f>
        <v/>
      </c>
      <c r="CK252" t="str">
        <f t="shared" si="1902"/>
        <v/>
      </c>
      <c r="CL252" t="str">
        <f t="shared" si="1903"/>
        <v/>
      </c>
      <c r="CM252" t="str">
        <f>IF($CL252="","",IF(OR($DZ252="",$EA252=""),"ONZEKER",IF(OR($DW252="",$DX252=""),"ONZEKER",IF(AND($DZ252=$DW252+1,$EA252=$DX252),IF(OR(COUNTIF(#REF!,$B252)&gt;0,COUNTIF(#REF!,$B252)=0),"SKIP",IF(COUNTIFS(#REF!,$B252,#REF!,$CL252)&gt;0,"OK","ONBEKEND")),IF(AND($DZ252=$DW252,$EA252=$DX252+1),IF(OR(COUNTIF(#REF!,$D252)&gt;0,COUNTIF(#REF!,$D252)=0),"SKIP",IF(COUNTIFS(#REF!,$D252,#REF!,$CL252)&gt;0,"OK","ONBEKEND")),"ONZEKER")))))</f>
        <v/>
      </c>
      <c r="CN252" t="str">
        <f t="shared" si="1904"/>
        <v/>
      </c>
      <c r="CO252" t="str">
        <f t="shared" si="1905"/>
        <v/>
      </c>
      <c r="CP252" t="str">
        <f>IF($CO252="","",IF(OR($EC252="",$ED252=""),"ONZEKER",IF(OR($DZ252="",$EA252=""),"ONZEKER",IF(AND($EC252=$DZ252+1,$ED252=$EA252),IF(OR(COUNTIF(#REF!,$B252)&gt;0,COUNTIF(#REF!,$B252)=0),"SKIP",IF(COUNTIFS(#REF!,$B252,#REF!,$CO252)&gt;0,"OK","ONBEKEND")),IF(AND($EC252=$DZ252,$ED252=$EA252+1),IF(OR(COUNTIF(#REF!,$D252)&gt;0,COUNTIF(#REF!,$D252)=0),"SKIP",IF(COUNTIFS(#REF!,$D252,#REF!,$CO252)&gt;0,"OK","ONBEKEND")),"ONZEKER")))))</f>
        <v/>
      </c>
      <c r="CQ252" t="str">
        <f t="shared" si="1906"/>
        <v/>
      </c>
      <c r="CR252" t="str">
        <f t="shared" si="1907"/>
        <v/>
      </c>
      <c r="CS252" t="str">
        <f>IF($CR252="","",IF(OR($EF252="",$EG252=""),"ONZEKER",IF(OR($EC252="",$ED252=""),"ONZEKER",IF(AND($EF252=$EC252+1,$EG252=$ED252),IF(OR(COUNTIF(#REF!,$B252)&gt;0,COUNTIF(#REF!,$B252)=0),"SKIP",IF(COUNTIFS(#REF!,$B252,#REF!,$CR252)&gt;0,"OK","ONBEKEND")),IF(AND($EF252=$EC252,$EG252=$ED252+1),IF(OR(COUNTIF(#REF!,$D252)&gt;0,COUNTIF(#REF!,$D252)=0),"SKIP",IF(COUNTIFS(#REF!,$D252,#REF!,$CR252)&gt;0,"OK","ONBEKEND")),"ONZEKER")))))</f>
        <v/>
      </c>
      <c r="CT252" t="str">
        <f t="shared" si="1908"/>
        <v/>
      </c>
      <c r="CU252" t="str">
        <f t="shared" si="1909"/>
        <v/>
      </c>
      <c r="CV252" t="str">
        <f>IF($CU252="","",IF(OR($EI252="",$EJ252=""),"ONZEKER",IF(OR($EF252="",$EG252=""),"ONZEKER",IF(AND($EI252=$EF252+1,$EJ252=$EG252),IF(OR(COUNTIF(#REF!,$B252)&gt;0,COUNTIF(#REF!,$B252)=0),"SKIP",IF(COUNTIFS(#REF!,$B252,#REF!,$CU252)&gt;0,"OK","ONBEKEND")),IF(AND($EI252=$EF252,$EJ252=$EG252+1),IF(OR(COUNTIF(#REF!,$D252)&gt;0,COUNTIF(#REF!,$D252)=0),"SKIP",IF(COUNTIFS(#REF!,$D252,#REF!,$CU252)&gt;0,"OK","ONBEKEND")),"ONZEKER")))))</f>
        <v/>
      </c>
      <c r="CW252" t="str">
        <f t="shared" si="1910"/>
        <v/>
      </c>
      <c r="CX252" t="str">
        <f t="shared" si="1911"/>
        <v/>
      </c>
      <c r="CY252" t="str">
        <f>IF($CX252="","",IF(OR($EL252="",$EM252=""),"ONZEKER",IF(OR($EI252="",$EJ252=""),"ONZEKER",IF(AND($EL252=$EI252+1,$EM252=$EJ252),IF(OR(COUNTIF(#REF!,$B252)&gt;0,COUNTIF(#REF!,$B252)=0),"SKIP",IF(COUNTIFS(#REF!,$B252,#REF!,$CX252)&gt;0,"OK","ONBEKEND")),IF(AND($EL252=$EI252,$EM252=$EJ252+1),IF(OR(COUNTIF(#REF!,$D252)&gt;0,COUNTIF(#REF!,$D252)=0),"SKIP",IF(COUNTIFS(#REF!,$D252,#REF!,$CX252)&gt;0,"OK","ONBEKEND")),"ONZEKER")))))</f>
        <v/>
      </c>
      <c r="CZ252" t="str">
        <f t="shared" si="1912"/>
        <v/>
      </c>
      <c r="DA252" t="str">
        <f t="shared" si="1913"/>
        <v/>
      </c>
      <c r="DB252" t="str">
        <f>IF($DA252="","",IF(OR($EO252="",$EP252=""),"ONZEKER",IF(OR($EL252="",$EM252=""),"ONZEKER",IF(AND($EO252=$EL252+1,$EP252=$EM252),IF(OR(COUNTIF(#REF!,$B252)&gt;0,COUNTIF(#REF!,$B252)=0),"SKIP",IF(COUNTIFS(#REF!,$B252,#REF!,$DA252)&gt;0,"OK","ONBEKEND")),IF(AND($EO252=$EL252,$EP252=$EM252+1),IF(OR(COUNTIF(#REF!,$D252)&gt;0,COUNTIF(#REF!,$D252)=0),"SKIP",IF(COUNTIFS(#REF!,$D252,#REF!,$DA252)&gt;0,"OK","ONBEKEND")),"ONZEKER")))))</f>
        <v/>
      </c>
      <c r="DC252" t="str">
        <f t="shared" si="1914"/>
        <v/>
      </c>
      <c r="DD252" t="str">
        <f t="shared" si="1915"/>
        <v/>
      </c>
      <c r="DE252" t="str">
        <f>IF($DD252="","",IF(OR($ER252="",$ES252=""),"ONZEKER",IF(OR($EO252="",$EP252=""),"ONZEKER",IF(AND($ER252=$EO252+1,$ES252=$EP252),IF(OR(COUNTIF(#REF!,$B252)&gt;0,COUNTIF(#REF!,$B252)=0),"SKIP",IF(COUNTIFS(#REF!,$B252,#REF!,$DD252)&gt;0,"OK","ONBEKEND")),IF(AND($ER252=$EO252,$ES252=$EP252+1),IF(OR(COUNTIF(#REF!,$D252)&gt;0,COUNTIF(#REF!,$D252)=0),"SKIP",IF(COUNTIFS(#REF!,$D252,#REF!,$DD252)&gt;0,"OK","ONBEKEND")),"ONZEKER")))))</f>
        <v/>
      </c>
      <c r="DF252" t="str">
        <f t="shared" si="1916"/>
        <v/>
      </c>
      <c r="DG252" t="str">
        <f t="shared" si="1917"/>
        <v/>
      </c>
      <c r="DH252" t="str">
        <f>IF($DG252="","",IF(OR($EU252="",$EV252=""),"ONZEKER",IF(OR($ER252="",$ES252=""),"ONZEKER",IF(AND($EU252=$ER252+1,$EV252=$ES252),IF(OR(COUNTIF(#REF!,$B252)&gt;0,COUNTIF(#REF!,$B252)=0),"SKIP",IF(COUNTIFS(#REF!,$B252,#REF!,$DG252)&gt;0,"OK","ONBEKEND")),IF(AND($EU252=$ER252,$EV252=$ES252+1),IF(OR(COUNTIF(#REF!,$D252)&gt;0,COUNTIF(#REF!,$D252)=0),"SKIP",IF(COUNTIFS(#REF!,$D252,#REF!,$DG252)&gt;0,"OK","ONBEKEND")),"ONZEKER")))))</f>
        <v/>
      </c>
      <c r="DI252" t="str">
        <f t="shared" si="1918"/>
        <v/>
      </c>
      <c r="DJ252" t="str">
        <f t="shared" si="1919"/>
        <v/>
      </c>
      <c r="DK252" t="str">
        <f>IF($DJ252="","",IF(OR($EX252="",$EY252=""),"ONZEKER",IF(OR($EU252="",$EV252=""),"ONZEKER",IF(AND($EX252=$EU252+1,$EY252=$EV252),IF(OR(COUNTIF(#REF!,$B252)&gt;0,COUNTIF(#REF!,$B252)=0),"SKIP",IF(COUNTIFS(#REF!,$B252,#REF!,$DJ252)&gt;0,"OK","ONBEKEND")),IF(AND($EX252=$EU252,$EY252=$EV252+1),IF(OR(COUNTIF(#REF!,$D252)&gt;0,COUNTIF(#REF!,$D252)=0),"SKIP",IF(COUNTIFS(#REF!,$D252,#REF!,$DJ252)&gt;0,"OK","ONBEKEND")),"ONZEKER")))))</f>
        <v/>
      </c>
      <c r="DL252" t="str">
        <f t="shared" si="1920"/>
        <v/>
      </c>
      <c r="DM252" t="str">
        <f t="shared" si="1921"/>
        <v/>
      </c>
      <c r="DN252" t="str">
        <f t="shared" si="1922"/>
        <v/>
      </c>
      <c r="DO252" t="str">
        <f t="shared" si="1923"/>
        <v/>
      </c>
      <c r="DP252" t="str">
        <f t="shared" si="1924"/>
        <v/>
      </c>
      <c r="DQ252" t="str">
        <f t="shared" si="1925"/>
        <v/>
      </c>
      <c r="DR252" t="str">
        <f t="shared" si="1926"/>
        <v/>
      </c>
      <c r="DS252" t="str">
        <f t="shared" si="1927"/>
        <v/>
      </c>
      <c r="DT252" t="str">
        <f t="shared" si="1928"/>
        <v/>
      </c>
      <c r="DU252" t="str">
        <f t="shared" si="1929"/>
        <v/>
      </c>
      <c r="DV252" t="str">
        <f t="shared" si="1930"/>
        <v/>
      </c>
      <c r="DW252" t="str">
        <f t="shared" si="1931"/>
        <v/>
      </c>
      <c r="DX252" t="str">
        <f t="shared" si="1932"/>
        <v/>
      </c>
      <c r="DY252" t="str">
        <f t="shared" si="1933"/>
        <v/>
      </c>
      <c r="DZ252" t="str">
        <f t="shared" si="1934"/>
        <v/>
      </c>
      <c r="EA252" t="str">
        <f t="shared" si="1935"/>
        <v/>
      </c>
      <c r="EB252" t="str">
        <f t="shared" si="1936"/>
        <v/>
      </c>
      <c r="EC252" t="str">
        <f t="shared" si="1937"/>
        <v/>
      </c>
      <c r="ED252" t="str">
        <f t="shared" si="1938"/>
        <v/>
      </c>
      <c r="EE252" t="str">
        <f t="shared" si="1939"/>
        <v/>
      </c>
      <c r="EF252" t="str">
        <f t="shared" si="1940"/>
        <v/>
      </c>
      <c r="EG252" t="str">
        <f t="shared" si="1941"/>
        <v/>
      </c>
      <c r="EH252" t="str">
        <f t="shared" si="1942"/>
        <v/>
      </c>
      <c r="EI252" t="str">
        <f t="shared" si="1943"/>
        <v/>
      </c>
      <c r="EJ252" t="str">
        <f t="shared" si="1944"/>
        <v/>
      </c>
      <c r="EK252" t="str">
        <f t="shared" si="1945"/>
        <v/>
      </c>
      <c r="EL252" t="str">
        <f t="shared" si="1946"/>
        <v/>
      </c>
      <c r="EM252" t="str">
        <f t="shared" si="1947"/>
        <v/>
      </c>
      <c r="EN252" t="str">
        <f t="shared" si="1948"/>
        <v/>
      </c>
      <c r="EO252" t="str">
        <f t="shared" si="1949"/>
        <v/>
      </c>
      <c r="EP252" t="str">
        <f t="shared" si="1950"/>
        <v/>
      </c>
      <c r="EQ252" t="str">
        <f t="shared" si="1951"/>
        <v/>
      </c>
      <c r="ER252" t="str">
        <f t="shared" si="1952"/>
        <v/>
      </c>
      <c r="ES252" t="str">
        <f t="shared" si="1953"/>
        <v/>
      </c>
      <c r="ET252" t="str">
        <f t="shared" si="1954"/>
        <v/>
      </c>
      <c r="EU252" t="str">
        <f t="shared" si="1955"/>
        <v/>
      </c>
      <c r="EV252" t="str">
        <f t="shared" si="1956"/>
        <v/>
      </c>
      <c r="EW252" t="str">
        <f t="shared" si="1957"/>
        <v/>
      </c>
      <c r="EX252" t="str">
        <f t="shared" si="1958"/>
        <v/>
      </c>
      <c r="EY252" t="str">
        <f t="shared" si="1959"/>
        <v/>
      </c>
    </row>
    <row r="253" spans="1:155" ht="13.9" customHeight="1" x14ac:dyDescent="0.25">
      <c r="A253" s="7"/>
      <c r="B253" s="17"/>
      <c r="C253" s="8"/>
      <c r="D253" s="17"/>
      <c r="E253" s="8"/>
      <c r="F253" s="18">
        <v>0</v>
      </c>
      <c r="G253" s="7" t="s">
        <v>147</v>
      </c>
      <c r="H253" s="18">
        <v>0</v>
      </c>
      <c r="I253" s="19">
        <v>0</v>
      </c>
      <c r="J253" s="7" t="s">
        <v>147</v>
      </c>
      <c r="K253" s="19">
        <v>0</v>
      </c>
      <c r="L253" s="9"/>
      <c r="M253" s="3" t="str">
        <f>IF($L253="","",IF($L253="DOELPUNTENMAKERS","",IF(AND(COUNTIF(#REF!,$B253)=0,COUNTIF(#REF!,$D253)=0),"OK",IF($O253&gt;20,"LET OP: meer dan 20 items (controle onvolledig)",IF((COUNTIF($R253:$AS253,"ONZEKER")+COUNTIF($CJ253:$DK253,"ONZEKER"))&gt;0,"LET OP: scoreverloop onduidelijk (controle beperkt)",IF((IF($AT253&lt;&gt;"",$AT253&amp;", ","")&amp;IF($AU253&lt;&gt;"",$AU253&amp;", ","")&amp;IF($AV253&lt;&gt;"",$AV253&amp;", ","")&amp;IF($AW253&lt;&gt;"",$AW253&amp;", ","")&amp;IF($AX253&lt;&gt;"",$AX253&amp;", ","")&amp;IF($AY253&lt;&gt;"",$AY253&amp;", ","")&amp;IF($AZ253&lt;&gt;"",$AZ253&amp;", ","")&amp;IF($BA253&lt;&gt;"",$BA253&amp;", ","")&amp;IF($BB253&lt;&gt;"",$BB253&amp;", ","")&amp;IF($BC253&lt;&gt;"",$BC253&amp;", ","")&amp;IF($DL253&lt;&gt;"",$DL253&amp;", ","")&amp;IF($DM253&lt;&gt;"",$DM253&amp;", ","")&amp;IF($DN253&lt;&gt;"",$DN253&amp;", ","")&amp;IF($DO253&lt;&gt;"",$DO253&amp;", ","")&amp;IF($DP253&lt;&gt;"",$DP253&amp;", ","")&amp;IF($DQ253&lt;&gt;"",$DQ253&amp;", ","")&amp;IF($DR253&lt;&gt;"",$DR253&amp;", ","")&amp;IF($DS253&lt;&gt;"",$DS253&amp;", ","")&amp;IF($DT253&lt;&gt;"",$DT253&amp;", ","")&amp;IF($DU253&lt;&gt;"",$DU253&amp;", ",""))="","OK","Onbekend: "&amp;LEFT((IF($AT253&lt;&gt;"",$AT253&amp;", ","")&amp;IF($AU253&lt;&gt;"",$AU253&amp;", ","")&amp;IF($AV253&lt;&gt;"",$AV253&amp;", ","")&amp;IF($AW253&lt;&gt;"",$AW253&amp;", ","")&amp;IF($AX253&lt;&gt;"",$AX253&amp;", ","")&amp;IF($AY253&lt;&gt;"",$AY253&amp;", ","")&amp;IF($AZ253&lt;&gt;"",$AZ253&amp;", ","")&amp;IF($BA253&lt;&gt;"",$BA253&amp;", ","")&amp;IF($BB253&lt;&gt;"",$BB253&amp;", ","")&amp;IF($BC253&lt;&gt;"",$BC253&amp;", ","")&amp;IF($DL253&lt;&gt;"",$DL253&amp;", ","")&amp;IF($DM253&lt;&gt;"",$DM253&amp;", ","")&amp;IF($DN253&lt;&gt;"",$DN253&amp;", ","")&amp;IF($DO253&lt;&gt;"",$DO253&amp;", ","")&amp;IF($DP253&lt;&gt;"",$DP253&amp;", ","")&amp;IF($DQ253&lt;&gt;"",$DQ253&amp;", ","")&amp;IF($DR253&lt;&gt;"",$DR253&amp;", ","")&amp;IF($DS253&lt;&gt;"",$DS253&amp;", ","")&amp;IF($DT253&lt;&gt;"",$DT253&amp;", ","")&amp;IF($DU253&lt;&gt;"",$DU253&amp;", ","")),LEN((IF($AT253&lt;&gt;"",$AT253&amp;", ","")&amp;IF($AU253&lt;&gt;"",$AU253&amp;", ","")&amp;IF($AV253&lt;&gt;"",$AV253&amp;", ","")&amp;IF($AW253&lt;&gt;"",$AW253&amp;", ","")&amp;IF($AX253&lt;&gt;"",$AX253&amp;", ","")&amp;IF($AY253&lt;&gt;"",$AY253&amp;", ","")&amp;IF($AZ253&lt;&gt;"",$AZ253&amp;", ","")&amp;IF($BA253&lt;&gt;"",$BA253&amp;", ","")&amp;IF($BB253&lt;&gt;"",$BB253&amp;", ","")&amp;IF($BC253&lt;&gt;"",$BC253&amp;", ","")&amp;IF($DL253&lt;&gt;"",$DL253&amp;", ","")&amp;IF($DM253&lt;&gt;"",$DM253&amp;", ","")&amp;IF($DN253&lt;&gt;"",$DN253&amp;", ","")&amp;IF($DO253&lt;&gt;"",$DO253&amp;", ","")&amp;IF($DP253&lt;&gt;"",$DP253&amp;", ","")&amp;IF($DQ253&lt;&gt;"",$DQ253&amp;", ","")&amp;IF($DR253&lt;&gt;"",$DR253&amp;", ","")&amp;IF($DS253&lt;&gt;"",$DS253&amp;", ","")&amp;IF($DT253&lt;&gt;"",$DT253&amp;", ","")&amp;IF($DU253&lt;&gt;"",$DU253&amp;", ","")))-2)))))))</f>
        <v/>
      </c>
      <c r="N253" t="str">
        <f t="shared" si="1868"/>
        <v/>
      </c>
      <c r="O253" t="str">
        <f t="shared" si="1869"/>
        <v/>
      </c>
      <c r="P253" t="str">
        <f t="shared" si="1870"/>
        <v/>
      </c>
      <c r="Q253" t="str">
        <f t="shared" si="1871"/>
        <v/>
      </c>
      <c r="R253" t="str">
        <f>IF($Q253="","",IF(OR($BE253="",$BF253=""),"ONZEKER",IF(AND($BE253=0+1,$BF253=0),IF(OR(COUNTIF(#REF!,$B253)&gt;0,COUNTIF(#REF!,$B253)=0),"SKIP",IF(COUNTIFS(#REF!,$B253,#REF!,$Q253)&gt;0,"OK","ONBEKEND")),IF(AND($BE253=0,$BF253=0+1),IF(OR(COUNTIF(#REF!,$D253)&gt;0,COUNTIF(#REF!,$D253)=0),"SKIP",IF(COUNTIFS(#REF!,$D253,#REF!,$Q253)&gt;0,"OK","ONBEKEND")),"ONZEKER"))))</f>
        <v/>
      </c>
      <c r="S253" t="str">
        <f t="shared" si="1872"/>
        <v/>
      </c>
      <c r="T253" t="str">
        <f t="shared" si="1873"/>
        <v/>
      </c>
      <c r="U253" t="str">
        <f>IF($T253="","",IF(OR($BH253="",$BI253=""),"ONZEKER",IF(OR($BE253="",$BF253=""),"ONZEKER",IF(AND($BH253=$BE253+1,$BI253=$BF253),IF(OR(COUNTIF(#REF!,$B253)&gt;0,COUNTIF(#REF!,$B253)=0),"SKIP",IF(COUNTIFS(#REF!,$B253,#REF!,$T253)&gt;0,"OK","ONBEKEND")),IF(AND($BH253=$BE253,$BI253=$BF253+1),IF(OR(COUNTIF(#REF!,$D253)&gt;0,COUNTIF(#REF!,$D253)=0),"SKIP",IF(COUNTIFS(#REF!,$D253,#REF!,$T253)&gt;0,"OK","ONBEKEND")),"ONZEKER")))))</f>
        <v/>
      </c>
      <c r="V253" t="str">
        <f t="shared" si="1874"/>
        <v/>
      </c>
      <c r="W253" t="str">
        <f t="shared" si="1875"/>
        <v/>
      </c>
      <c r="X253" t="str">
        <f>IF($W253="","",IF(OR($BK253="",$BL253=""),"ONZEKER",IF(OR($BH253="",$BI253=""),"ONZEKER",IF(AND($BK253=$BH253+1,$BL253=$BI253),IF(OR(COUNTIF(#REF!,$B253)&gt;0,COUNTIF(#REF!,$B253)=0),"SKIP",IF(COUNTIFS(#REF!,$B253,#REF!,$W253)&gt;0,"OK","ONBEKEND")),IF(AND($BK253=$BH253,$BL253=$BI253+1),IF(OR(COUNTIF(#REF!,$D253)&gt;0,COUNTIF(#REF!,$D253)=0),"SKIP",IF(COUNTIFS(#REF!,$D253,#REF!,$W253)&gt;0,"OK","ONBEKEND")),"ONZEKER")))))</f>
        <v/>
      </c>
      <c r="Y253" t="str">
        <f t="shared" si="1876"/>
        <v/>
      </c>
      <c r="Z253" t="str">
        <f t="shared" si="1877"/>
        <v/>
      </c>
      <c r="AA253" t="str">
        <f>IF($Z253="","",IF(OR($BN253="",$BO253=""),"ONZEKER",IF(OR($BK253="",$BL253=""),"ONZEKER",IF(AND($BN253=$BK253+1,$BO253=$BL253),IF(OR(COUNTIF(#REF!,$B253)&gt;0,COUNTIF(#REF!,$B253)=0),"SKIP",IF(COUNTIFS(#REF!,$B253,#REF!,$Z253)&gt;0,"OK","ONBEKEND")),IF(AND($BN253=$BK253,$BO253=$BL253+1),IF(OR(COUNTIF(#REF!,$D253)&gt;0,COUNTIF(#REF!,$D253)=0),"SKIP",IF(COUNTIFS(#REF!,$D253,#REF!,$Z253)&gt;0,"OK","ONBEKEND")),"ONZEKER")))))</f>
        <v/>
      </c>
      <c r="AB253" t="str">
        <f t="shared" si="1878"/>
        <v/>
      </c>
      <c r="AC253" t="str">
        <f t="shared" si="1879"/>
        <v/>
      </c>
      <c r="AD253" t="str">
        <f>IF($AC253="","",IF(OR($BQ253="",$BR253=""),"ONZEKER",IF(OR($BN253="",$BO253=""),"ONZEKER",IF(AND($BQ253=$BN253+1,$BR253=$BO253),IF(OR(COUNTIF(#REF!,$B253)&gt;0,COUNTIF(#REF!,$B253)=0),"SKIP",IF(COUNTIFS(#REF!,$B253,#REF!,$AC253)&gt;0,"OK","ONBEKEND")),IF(AND($BQ253=$BN253,$BR253=$BO253+1),IF(OR(COUNTIF(#REF!,$D253)&gt;0,COUNTIF(#REF!,$D253)=0),"SKIP",IF(COUNTIFS(#REF!,$D253,#REF!,$AC253)&gt;0,"OK","ONBEKEND")),"ONZEKER")))))</f>
        <v/>
      </c>
      <c r="AE253" t="str">
        <f t="shared" si="1880"/>
        <v/>
      </c>
      <c r="AF253" t="str">
        <f t="shared" si="1881"/>
        <v/>
      </c>
      <c r="AG253" t="str">
        <f>IF($AF253="","",IF(OR($BT253="",$BU253=""),"ONZEKER",IF(OR($BQ253="",$BR253=""),"ONZEKER",IF(AND($BT253=$BQ253+1,$BU253=$BR253),IF(OR(COUNTIF(#REF!,$B253)&gt;0,COUNTIF(#REF!,$B253)=0),"SKIP",IF(COUNTIFS(#REF!,$B253,#REF!,$AF253)&gt;0,"OK","ONBEKEND")),IF(AND($BT253=$BQ253,$BU253=$BR253+1),IF(OR(COUNTIF(#REF!,$D253)&gt;0,COUNTIF(#REF!,$D253)=0),"SKIP",IF(COUNTIFS(#REF!,$D253,#REF!,$AF253)&gt;0,"OK","ONBEKEND")),"ONZEKER")))))</f>
        <v/>
      </c>
      <c r="AH253" t="str">
        <f t="shared" si="1882"/>
        <v/>
      </c>
      <c r="AI253" t="str">
        <f t="shared" si="1883"/>
        <v/>
      </c>
      <c r="AJ253" t="str">
        <f>IF($AI253="","",IF(OR($BW253="",$BX253=""),"ONZEKER",IF(OR($BT253="",$BU253=""),"ONZEKER",IF(AND($BW253=$BT253+1,$BX253=$BU253),IF(OR(COUNTIF(#REF!,$B253)&gt;0,COUNTIF(#REF!,$B253)=0),"SKIP",IF(COUNTIFS(#REF!,$B253,#REF!,$AI253)&gt;0,"OK","ONBEKEND")),IF(AND($BW253=$BT253,$BX253=$BU253+1),IF(OR(COUNTIF(#REF!,$D253)&gt;0,COUNTIF(#REF!,$D253)=0),"SKIP",IF(COUNTIFS(#REF!,$D253,#REF!,$AI253)&gt;0,"OK","ONBEKEND")),"ONZEKER")))))</f>
        <v/>
      </c>
      <c r="AK253" t="str">
        <f t="shared" si="1884"/>
        <v/>
      </c>
      <c r="AL253" t="str">
        <f t="shared" si="1885"/>
        <v/>
      </c>
      <c r="AM253" t="str">
        <f>IF($AL253="","",IF(OR($BZ253="",$CA253=""),"ONZEKER",IF(OR($BW253="",$BX253=""),"ONZEKER",IF(AND($BZ253=$BW253+1,$CA253=$BX253),IF(OR(COUNTIF(#REF!,$B253)&gt;0,COUNTIF(#REF!,$B253)=0),"SKIP",IF(COUNTIFS(#REF!,$B253,#REF!,$AL253)&gt;0,"OK","ONBEKEND")),IF(AND($BZ253=$BW253,$CA253=$BX253+1),IF(OR(COUNTIF(#REF!,$D253)&gt;0,COUNTIF(#REF!,$D253)=0),"SKIP",IF(COUNTIFS(#REF!,$D253,#REF!,$AL253)&gt;0,"OK","ONBEKEND")),"ONZEKER")))))</f>
        <v/>
      </c>
      <c r="AN253" t="str">
        <f t="shared" si="1886"/>
        <v/>
      </c>
      <c r="AO253" t="str">
        <f t="shared" si="1887"/>
        <v/>
      </c>
      <c r="AP253" t="str">
        <f>IF($AO253="","",IF(OR($CC253="",$CD253=""),"ONZEKER",IF(OR($BZ253="",$CA253=""),"ONZEKER",IF(AND($CC253=$BZ253+1,$CD253=$CA253),IF(OR(COUNTIF(#REF!,$B253)&gt;0,COUNTIF(#REF!,$B253)=0),"SKIP",IF(COUNTIFS(#REF!,$B253,#REF!,$AO253)&gt;0,"OK","ONBEKEND")),IF(AND($CC253=$BZ253,$CD253=$CA253+1),IF(OR(COUNTIF(#REF!,$D253)&gt;0,COUNTIF(#REF!,$D253)=0),"SKIP",IF(COUNTIFS(#REF!,$D253,#REF!,$AO253)&gt;0,"OK","ONBEKEND")),"ONZEKER")))))</f>
        <v/>
      </c>
      <c r="AQ253" t="str">
        <f t="shared" si="1888"/>
        <v/>
      </c>
      <c r="AR253" t="str">
        <f t="shared" si="1889"/>
        <v/>
      </c>
      <c r="AS253" t="str">
        <f>IF($AR253="","",IF(OR($CF253="",$CG253=""),"ONZEKER",IF(OR($CC253="",$CD253=""),"ONZEKER",IF(AND($CF253=$CC253+1,$CG253=$CD253),IF(OR(COUNTIF(#REF!,$B253)&gt;0,COUNTIF(#REF!,$B253)=0),"SKIP",IF(COUNTIFS(#REF!,$B253,#REF!,$AR253)&gt;0,"OK","ONBEKEND")),IF(AND($CF253=$CC253,$CG253=$CD253+1),IF(OR(COUNTIF(#REF!,$D253)&gt;0,COUNTIF(#REF!,$D253)=0),"SKIP",IF(COUNTIFS(#REF!,$D253,#REF!,$AR253)&gt;0,"OK","ONBEKEND")),"ONZEKER")))))</f>
        <v/>
      </c>
      <c r="AT253" t="str">
        <f t="shared" si="1890"/>
        <v/>
      </c>
      <c r="AU253" t="str">
        <f t="shared" si="1891"/>
        <v/>
      </c>
      <c r="AV253" t="str">
        <f t="shared" si="1892"/>
        <v/>
      </c>
      <c r="AW253" t="str">
        <f t="shared" si="1893"/>
        <v/>
      </c>
      <c r="AX253" t="str">
        <f t="shared" si="1894"/>
        <v/>
      </c>
      <c r="AY253" t="str">
        <f t="shared" si="1895"/>
        <v/>
      </c>
      <c r="AZ253" t="str">
        <f t="shared" si="1896"/>
        <v/>
      </c>
      <c r="BA253" t="str">
        <f t="shared" si="1897"/>
        <v/>
      </c>
      <c r="BB253" t="str">
        <f t="shared" si="1898"/>
        <v/>
      </c>
      <c r="BC253" t="str">
        <f t="shared" si="1899"/>
        <v/>
      </c>
      <c r="BD253" t="str">
        <f t="shared" si="1470"/>
        <v/>
      </c>
      <c r="BE253" t="str">
        <f t="shared" si="1471"/>
        <v/>
      </c>
      <c r="BF253" t="str">
        <f t="shared" si="1472"/>
        <v/>
      </c>
      <c r="BG253" t="str">
        <f t="shared" si="1473"/>
        <v/>
      </c>
      <c r="BH253" t="str">
        <f t="shared" si="1474"/>
        <v/>
      </c>
      <c r="BI253" t="str">
        <f t="shared" si="1475"/>
        <v/>
      </c>
      <c r="BJ253" t="str">
        <f t="shared" si="1476"/>
        <v/>
      </c>
      <c r="BK253" t="str">
        <f t="shared" si="1477"/>
        <v/>
      </c>
      <c r="BL253" t="str">
        <f t="shared" si="1478"/>
        <v/>
      </c>
      <c r="BM253" t="str">
        <f t="shared" si="1479"/>
        <v/>
      </c>
      <c r="BN253" t="str">
        <f t="shared" si="1480"/>
        <v/>
      </c>
      <c r="BO253" t="str">
        <f t="shared" si="1481"/>
        <v/>
      </c>
      <c r="BP253" t="str">
        <f t="shared" si="1482"/>
        <v/>
      </c>
      <c r="BQ253" t="str">
        <f t="shared" si="1483"/>
        <v/>
      </c>
      <c r="BR253" t="str">
        <f t="shared" si="1484"/>
        <v/>
      </c>
      <c r="BS253" t="str">
        <f t="shared" si="1485"/>
        <v/>
      </c>
      <c r="BT253" t="str">
        <f t="shared" si="1486"/>
        <v/>
      </c>
      <c r="BU253" t="str">
        <f t="shared" si="1487"/>
        <v/>
      </c>
      <c r="BV253" t="str">
        <f t="shared" si="1488"/>
        <v/>
      </c>
      <c r="BW253" t="str">
        <f t="shared" si="1489"/>
        <v/>
      </c>
      <c r="BX253" t="str">
        <f t="shared" si="1490"/>
        <v/>
      </c>
      <c r="BY253" t="str">
        <f t="shared" si="1491"/>
        <v/>
      </c>
      <c r="BZ253" t="str">
        <f t="shared" si="1492"/>
        <v/>
      </c>
      <c r="CA253" t="str">
        <f t="shared" si="1493"/>
        <v/>
      </c>
      <c r="CB253" t="str">
        <f t="shared" si="1494"/>
        <v/>
      </c>
      <c r="CC253" t="str">
        <f t="shared" si="1495"/>
        <v/>
      </c>
      <c r="CD253" t="str">
        <f t="shared" si="1496"/>
        <v/>
      </c>
      <c r="CE253" t="str">
        <f t="shared" si="1497"/>
        <v/>
      </c>
      <c r="CF253" t="str">
        <f t="shared" si="1498"/>
        <v/>
      </c>
      <c r="CG253" t="str">
        <f t="shared" si="1499"/>
        <v/>
      </c>
      <c r="CH253" t="str">
        <f t="shared" si="1900"/>
        <v/>
      </c>
      <c r="CI253" t="str">
        <f t="shared" si="1901"/>
        <v/>
      </c>
      <c r="CJ253" t="str">
        <f>IF($CI253="","",IF(OR($DW253="",$DX253=""),"ONZEKER",IF(OR($CF253="",$CG253=""),"ONZEKER",IF(AND($DW253=$CF253+1,$DX253=$CG253),IF(OR(COUNTIF(#REF!,$B253)&gt;0,COUNTIF(#REF!,$B253)=0),"SKIP",IF(COUNTIFS(#REF!,$B253,#REF!,$CI253)&gt;0,"OK","ONBEKEND")),IF(AND($DW253=$CF253,$DX253=$CG253+1),IF(OR(COUNTIF(#REF!,$D253)&gt;0,COUNTIF(#REF!,$D253)=0),"SKIP",IF(COUNTIFS(#REF!,$D253,#REF!,$CI253)&gt;0,"OK","ONBEKEND")),"ONZEKER")))))</f>
        <v/>
      </c>
      <c r="CK253" t="str">
        <f t="shared" si="1902"/>
        <v/>
      </c>
      <c r="CL253" t="str">
        <f t="shared" si="1903"/>
        <v/>
      </c>
      <c r="CM253" t="str">
        <f>IF($CL253="","",IF(OR($DZ253="",$EA253=""),"ONZEKER",IF(OR($DW253="",$DX253=""),"ONZEKER",IF(AND($DZ253=$DW253+1,$EA253=$DX253),IF(OR(COUNTIF(#REF!,$B253)&gt;0,COUNTIF(#REF!,$B253)=0),"SKIP",IF(COUNTIFS(#REF!,$B253,#REF!,$CL253)&gt;0,"OK","ONBEKEND")),IF(AND($DZ253=$DW253,$EA253=$DX253+1),IF(OR(COUNTIF(#REF!,$D253)&gt;0,COUNTIF(#REF!,$D253)=0),"SKIP",IF(COUNTIFS(#REF!,$D253,#REF!,$CL253)&gt;0,"OK","ONBEKEND")),"ONZEKER")))))</f>
        <v/>
      </c>
      <c r="CN253" t="str">
        <f t="shared" si="1904"/>
        <v/>
      </c>
      <c r="CO253" t="str">
        <f t="shared" si="1905"/>
        <v/>
      </c>
      <c r="CP253" t="str">
        <f>IF($CO253="","",IF(OR($EC253="",$ED253=""),"ONZEKER",IF(OR($DZ253="",$EA253=""),"ONZEKER",IF(AND($EC253=$DZ253+1,$ED253=$EA253),IF(OR(COUNTIF(#REF!,$B253)&gt;0,COUNTIF(#REF!,$B253)=0),"SKIP",IF(COUNTIFS(#REF!,$B253,#REF!,$CO253)&gt;0,"OK","ONBEKEND")),IF(AND($EC253=$DZ253,$ED253=$EA253+1),IF(OR(COUNTIF(#REF!,$D253)&gt;0,COUNTIF(#REF!,$D253)=0),"SKIP",IF(COUNTIFS(#REF!,$D253,#REF!,$CO253)&gt;0,"OK","ONBEKEND")),"ONZEKER")))))</f>
        <v/>
      </c>
      <c r="CQ253" t="str">
        <f t="shared" si="1906"/>
        <v/>
      </c>
      <c r="CR253" t="str">
        <f t="shared" si="1907"/>
        <v/>
      </c>
      <c r="CS253" t="str">
        <f>IF($CR253="","",IF(OR($EF253="",$EG253=""),"ONZEKER",IF(OR($EC253="",$ED253=""),"ONZEKER",IF(AND($EF253=$EC253+1,$EG253=$ED253),IF(OR(COUNTIF(#REF!,$B253)&gt;0,COUNTIF(#REF!,$B253)=0),"SKIP",IF(COUNTIFS(#REF!,$B253,#REF!,$CR253)&gt;0,"OK","ONBEKEND")),IF(AND($EF253=$EC253,$EG253=$ED253+1),IF(OR(COUNTIF(#REF!,$D253)&gt;0,COUNTIF(#REF!,$D253)=0),"SKIP",IF(COUNTIFS(#REF!,$D253,#REF!,$CR253)&gt;0,"OK","ONBEKEND")),"ONZEKER")))))</f>
        <v/>
      </c>
      <c r="CT253" t="str">
        <f t="shared" si="1908"/>
        <v/>
      </c>
      <c r="CU253" t="str">
        <f t="shared" si="1909"/>
        <v/>
      </c>
      <c r="CV253" t="str">
        <f>IF($CU253="","",IF(OR($EI253="",$EJ253=""),"ONZEKER",IF(OR($EF253="",$EG253=""),"ONZEKER",IF(AND($EI253=$EF253+1,$EJ253=$EG253),IF(OR(COUNTIF(#REF!,$B253)&gt;0,COUNTIF(#REF!,$B253)=0),"SKIP",IF(COUNTIFS(#REF!,$B253,#REF!,$CU253)&gt;0,"OK","ONBEKEND")),IF(AND($EI253=$EF253,$EJ253=$EG253+1),IF(OR(COUNTIF(#REF!,$D253)&gt;0,COUNTIF(#REF!,$D253)=0),"SKIP",IF(COUNTIFS(#REF!,$D253,#REF!,$CU253)&gt;0,"OK","ONBEKEND")),"ONZEKER")))))</f>
        <v/>
      </c>
      <c r="CW253" t="str">
        <f t="shared" si="1910"/>
        <v/>
      </c>
      <c r="CX253" t="str">
        <f t="shared" si="1911"/>
        <v/>
      </c>
      <c r="CY253" t="str">
        <f>IF($CX253="","",IF(OR($EL253="",$EM253=""),"ONZEKER",IF(OR($EI253="",$EJ253=""),"ONZEKER",IF(AND($EL253=$EI253+1,$EM253=$EJ253),IF(OR(COUNTIF(#REF!,$B253)&gt;0,COUNTIF(#REF!,$B253)=0),"SKIP",IF(COUNTIFS(#REF!,$B253,#REF!,$CX253)&gt;0,"OK","ONBEKEND")),IF(AND($EL253=$EI253,$EM253=$EJ253+1),IF(OR(COUNTIF(#REF!,$D253)&gt;0,COUNTIF(#REF!,$D253)=0),"SKIP",IF(COUNTIFS(#REF!,$D253,#REF!,$CX253)&gt;0,"OK","ONBEKEND")),"ONZEKER")))))</f>
        <v/>
      </c>
      <c r="CZ253" t="str">
        <f t="shared" si="1912"/>
        <v/>
      </c>
      <c r="DA253" t="str">
        <f t="shared" si="1913"/>
        <v/>
      </c>
      <c r="DB253" t="str">
        <f>IF($DA253="","",IF(OR($EO253="",$EP253=""),"ONZEKER",IF(OR($EL253="",$EM253=""),"ONZEKER",IF(AND($EO253=$EL253+1,$EP253=$EM253),IF(OR(COUNTIF(#REF!,$B253)&gt;0,COUNTIF(#REF!,$B253)=0),"SKIP",IF(COUNTIFS(#REF!,$B253,#REF!,$DA253)&gt;0,"OK","ONBEKEND")),IF(AND($EO253=$EL253,$EP253=$EM253+1),IF(OR(COUNTIF(#REF!,$D253)&gt;0,COUNTIF(#REF!,$D253)=0),"SKIP",IF(COUNTIFS(#REF!,$D253,#REF!,$DA253)&gt;0,"OK","ONBEKEND")),"ONZEKER")))))</f>
        <v/>
      </c>
      <c r="DC253" t="str">
        <f t="shared" si="1914"/>
        <v/>
      </c>
      <c r="DD253" t="str">
        <f t="shared" si="1915"/>
        <v/>
      </c>
      <c r="DE253" t="str">
        <f>IF($DD253="","",IF(OR($ER253="",$ES253=""),"ONZEKER",IF(OR($EO253="",$EP253=""),"ONZEKER",IF(AND($ER253=$EO253+1,$ES253=$EP253),IF(OR(COUNTIF(#REF!,$B253)&gt;0,COUNTIF(#REF!,$B253)=0),"SKIP",IF(COUNTIFS(#REF!,$B253,#REF!,$DD253)&gt;0,"OK","ONBEKEND")),IF(AND($ER253=$EO253,$ES253=$EP253+1),IF(OR(COUNTIF(#REF!,$D253)&gt;0,COUNTIF(#REF!,$D253)=0),"SKIP",IF(COUNTIFS(#REF!,$D253,#REF!,$DD253)&gt;0,"OK","ONBEKEND")),"ONZEKER")))))</f>
        <v/>
      </c>
      <c r="DF253" t="str">
        <f t="shared" si="1916"/>
        <v/>
      </c>
      <c r="DG253" t="str">
        <f t="shared" si="1917"/>
        <v/>
      </c>
      <c r="DH253" t="str">
        <f>IF($DG253="","",IF(OR($EU253="",$EV253=""),"ONZEKER",IF(OR($ER253="",$ES253=""),"ONZEKER",IF(AND($EU253=$ER253+1,$EV253=$ES253),IF(OR(COUNTIF(#REF!,$B253)&gt;0,COUNTIF(#REF!,$B253)=0),"SKIP",IF(COUNTIFS(#REF!,$B253,#REF!,$DG253)&gt;0,"OK","ONBEKEND")),IF(AND($EU253=$ER253,$EV253=$ES253+1),IF(OR(COUNTIF(#REF!,$D253)&gt;0,COUNTIF(#REF!,$D253)=0),"SKIP",IF(COUNTIFS(#REF!,$D253,#REF!,$DG253)&gt;0,"OK","ONBEKEND")),"ONZEKER")))))</f>
        <v/>
      </c>
      <c r="DI253" t="str">
        <f t="shared" si="1918"/>
        <v/>
      </c>
      <c r="DJ253" t="str">
        <f t="shared" si="1919"/>
        <v/>
      </c>
      <c r="DK253" t="str">
        <f>IF($DJ253="","",IF(OR($EX253="",$EY253=""),"ONZEKER",IF(OR($EU253="",$EV253=""),"ONZEKER",IF(AND($EX253=$EU253+1,$EY253=$EV253),IF(OR(COUNTIF(#REF!,$B253)&gt;0,COUNTIF(#REF!,$B253)=0),"SKIP",IF(COUNTIFS(#REF!,$B253,#REF!,$DJ253)&gt;0,"OK","ONBEKEND")),IF(AND($EX253=$EU253,$EY253=$EV253+1),IF(OR(COUNTIF(#REF!,$D253)&gt;0,COUNTIF(#REF!,$D253)=0),"SKIP",IF(COUNTIFS(#REF!,$D253,#REF!,$DJ253)&gt;0,"OK","ONBEKEND")),"ONZEKER")))))</f>
        <v/>
      </c>
      <c r="DL253" t="str">
        <f t="shared" si="1920"/>
        <v/>
      </c>
      <c r="DM253" t="str">
        <f t="shared" si="1921"/>
        <v/>
      </c>
      <c r="DN253" t="str">
        <f t="shared" si="1922"/>
        <v/>
      </c>
      <c r="DO253" t="str">
        <f t="shared" si="1923"/>
        <v/>
      </c>
      <c r="DP253" t="str">
        <f t="shared" si="1924"/>
        <v/>
      </c>
      <c r="DQ253" t="str">
        <f t="shared" si="1925"/>
        <v/>
      </c>
      <c r="DR253" t="str">
        <f t="shared" si="1926"/>
        <v/>
      </c>
      <c r="DS253" t="str">
        <f t="shared" si="1927"/>
        <v/>
      </c>
      <c r="DT253" t="str">
        <f t="shared" si="1928"/>
        <v/>
      </c>
      <c r="DU253" t="str">
        <f t="shared" si="1929"/>
        <v/>
      </c>
      <c r="DV253" t="str">
        <f t="shared" si="1930"/>
        <v/>
      </c>
      <c r="DW253" t="str">
        <f t="shared" si="1931"/>
        <v/>
      </c>
      <c r="DX253" t="str">
        <f t="shared" si="1932"/>
        <v/>
      </c>
      <c r="DY253" t="str">
        <f t="shared" si="1933"/>
        <v/>
      </c>
      <c r="DZ253" t="str">
        <f t="shared" si="1934"/>
        <v/>
      </c>
      <c r="EA253" t="str">
        <f t="shared" si="1935"/>
        <v/>
      </c>
      <c r="EB253" t="str">
        <f t="shared" si="1936"/>
        <v/>
      </c>
      <c r="EC253" t="str">
        <f t="shared" si="1937"/>
        <v/>
      </c>
      <c r="ED253" t="str">
        <f t="shared" si="1938"/>
        <v/>
      </c>
      <c r="EE253" t="str">
        <f t="shared" si="1939"/>
        <v/>
      </c>
      <c r="EF253" t="str">
        <f t="shared" si="1940"/>
        <v/>
      </c>
      <c r="EG253" t="str">
        <f t="shared" si="1941"/>
        <v/>
      </c>
      <c r="EH253" t="str">
        <f t="shared" si="1942"/>
        <v/>
      </c>
      <c r="EI253" t="str">
        <f t="shared" si="1943"/>
        <v/>
      </c>
      <c r="EJ253" t="str">
        <f t="shared" si="1944"/>
        <v/>
      </c>
      <c r="EK253" t="str">
        <f t="shared" si="1945"/>
        <v/>
      </c>
      <c r="EL253" t="str">
        <f t="shared" si="1946"/>
        <v/>
      </c>
      <c r="EM253" t="str">
        <f t="shared" si="1947"/>
        <v/>
      </c>
      <c r="EN253" t="str">
        <f t="shared" si="1948"/>
        <v/>
      </c>
      <c r="EO253" t="str">
        <f t="shared" si="1949"/>
        <v/>
      </c>
      <c r="EP253" t="str">
        <f t="shared" si="1950"/>
        <v/>
      </c>
      <c r="EQ253" t="str">
        <f t="shared" si="1951"/>
        <v/>
      </c>
      <c r="ER253" t="str">
        <f t="shared" si="1952"/>
        <v/>
      </c>
      <c r="ES253" t="str">
        <f t="shared" si="1953"/>
        <v/>
      </c>
      <c r="ET253" t="str">
        <f t="shared" si="1954"/>
        <v/>
      </c>
      <c r="EU253" t="str">
        <f t="shared" si="1955"/>
        <v/>
      </c>
      <c r="EV253" t="str">
        <f t="shared" si="1956"/>
        <v/>
      </c>
      <c r="EW253" t="str">
        <f t="shared" si="1957"/>
        <v/>
      </c>
      <c r="EX253" t="str">
        <f t="shared" si="1958"/>
        <v/>
      </c>
      <c r="EY253" t="str">
        <f t="shared" si="1959"/>
        <v/>
      </c>
    </row>
    <row r="254" spans="1:155" ht="13.9" customHeight="1" x14ac:dyDescent="0.25">
      <c r="A254" s="7"/>
      <c r="B254" s="17"/>
      <c r="C254" s="8"/>
      <c r="D254" s="17"/>
      <c r="E254" s="8"/>
      <c r="F254" s="18">
        <v>0</v>
      </c>
      <c r="G254" s="7" t="s">
        <v>147</v>
      </c>
      <c r="H254" s="18">
        <v>0</v>
      </c>
      <c r="I254" s="19">
        <v>0</v>
      </c>
      <c r="J254" s="7" t="s">
        <v>147</v>
      </c>
      <c r="K254" s="19">
        <v>0</v>
      </c>
      <c r="L254" s="9"/>
      <c r="M254" s="3" t="str">
        <f>IF($L254="","",IF($L254="DOELPUNTENMAKERS","",IF(AND(COUNTIF(#REF!,$B254)=0,COUNTIF(#REF!,$D254)=0),"OK",IF($O254&gt;20,"LET OP: meer dan 20 items (controle onvolledig)",IF((COUNTIF($R254:$AS254,"ONZEKER")+COUNTIF($CJ254:$DK254,"ONZEKER"))&gt;0,"LET OP: scoreverloop onduidelijk (controle beperkt)",IF((IF($AT254&lt;&gt;"",$AT254&amp;", ","")&amp;IF($AU254&lt;&gt;"",$AU254&amp;", ","")&amp;IF($AV254&lt;&gt;"",$AV254&amp;", ","")&amp;IF($AW254&lt;&gt;"",$AW254&amp;", ","")&amp;IF($AX254&lt;&gt;"",$AX254&amp;", ","")&amp;IF($AY254&lt;&gt;"",$AY254&amp;", ","")&amp;IF($AZ254&lt;&gt;"",$AZ254&amp;", ","")&amp;IF($BA254&lt;&gt;"",$BA254&amp;", ","")&amp;IF($BB254&lt;&gt;"",$BB254&amp;", ","")&amp;IF($BC254&lt;&gt;"",$BC254&amp;", ","")&amp;IF($DL254&lt;&gt;"",$DL254&amp;", ","")&amp;IF($DM254&lt;&gt;"",$DM254&amp;", ","")&amp;IF($DN254&lt;&gt;"",$DN254&amp;", ","")&amp;IF($DO254&lt;&gt;"",$DO254&amp;", ","")&amp;IF($DP254&lt;&gt;"",$DP254&amp;", ","")&amp;IF($DQ254&lt;&gt;"",$DQ254&amp;", ","")&amp;IF($DR254&lt;&gt;"",$DR254&amp;", ","")&amp;IF($DS254&lt;&gt;"",$DS254&amp;", ","")&amp;IF($DT254&lt;&gt;"",$DT254&amp;", ","")&amp;IF($DU254&lt;&gt;"",$DU254&amp;", ",""))="","OK","Onbekend: "&amp;LEFT((IF($AT254&lt;&gt;"",$AT254&amp;", ","")&amp;IF($AU254&lt;&gt;"",$AU254&amp;", ","")&amp;IF($AV254&lt;&gt;"",$AV254&amp;", ","")&amp;IF($AW254&lt;&gt;"",$AW254&amp;", ","")&amp;IF($AX254&lt;&gt;"",$AX254&amp;", ","")&amp;IF($AY254&lt;&gt;"",$AY254&amp;", ","")&amp;IF($AZ254&lt;&gt;"",$AZ254&amp;", ","")&amp;IF($BA254&lt;&gt;"",$BA254&amp;", ","")&amp;IF($BB254&lt;&gt;"",$BB254&amp;", ","")&amp;IF($BC254&lt;&gt;"",$BC254&amp;", ","")&amp;IF($DL254&lt;&gt;"",$DL254&amp;", ","")&amp;IF($DM254&lt;&gt;"",$DM254&amp;", ","")&amp;IF($DN254&lt;&gt;"",$DN254&amp;", ","")&amp;IF($DO254&lt;&gt;"",$DO254&amp;", ","")&amp;IF($DP254&lt;&gt;"",$DP254&amp;", ","")&amp;IF($DQ254&lt;&gt;"",$DQ254&amp;", ","")&amp;IF($DR254&lt;&gt;"",$DR254&amp;", ","")&amp;IF($DS254&lt;&gt;"",$DS254&amp;", ","")&amp;IF($DT254&lt;&gt;"",$DT254&amp;", ","")&amp;IF($DU254&lt;&gt;"",$DU254&amp;", ","")),LEN((IF($AT254&lt;&gt;"",$AT254&amp;", ","")&amp;IF($AU254&lt;&gt;"",$AU254&amp;", ","")&amp;IF($AV254&lt;&gt;"",$AV254&amp;", ","")&amp;IF($AW254&lt;&gt;"",$AW254&amp;", ","")&amp;IF($AX254&lt;&gt;"",$AX254&amp;", ","")&amp;IF($AY254&lt;&gt;"",$AY254&amp;", ","")&amp;IF($AZ254&lt;&gt;"",$AZ254&amp;", ","")&amp;IF($BA254&lt;&gt;"",$BA254&amp;", ","")&amp;IF($BB254&lt;&gt;"",$BB254&amp;", ","")&amp;IF($BC254&lt;&gt;"",$BC254&amp;", ","")&amp;IF($DL254&lt;&gt;"",$DL254&amp;", ","")&amp;IF($DM254&lt;&gt;"",$DM254&amp;", ","")&amp;IF($DN254&lt;&gt;"",$DN254&amp;", ","")&amp;IF($DO254&lt;&gt;"",$DO254&amp;", ","")&amp;IF($DP254&lt;&gt;"",$DP254&amp;", ","")&amp;IF($DQ254&lt;&gt;"",$DQ254&amp;", ","")&amp;IF($DR254&lt;&gt;"",$DR254&amp;", ","")&amp;IF($DS254&lt;&gt;"",$DS254&amp;", ","")&amp;IF($DT254&lt;&gt;"",$DT254&amp;", ","")&amp;IF($DU254&lt;&gt;"",$DU254&amp;", ","")))-2)))))))</f>
        <v/>
      </c>
      <c r="N254" t="str">
        <f t="shared" si="1868"/>
        <v/>
      </c>
      <c r="O254" t="str">
        <f t="shared" si="1869"/>
        <v/>
      </c>
      <c r="P254" t="str">
        <f t="shared" si="1870"/>
        <v/>
      </c>
      <c r="Q254" t="str">
        <f t="shared" si="1871"/>
        <v/>
      </c>
      <c r="R254" t="str">
        <f>IF($Q254="","",IF(OR($BE254="",$BF254=""),"ONZEKER",IF(AND($BE254=0+1,$BF254=0),IF(OR(COUNTIF(#REF!,$B254)&gt;0,COUNTIF(#REF!,$B254)=0),"SKIP",IF(COUNTIFS(#REF!,$B254,#REF!,$Q254)&gt;0,"OK","ONBEKEND")),IF(AND($BE254=0,$BF254=0+1),IF(OR(COUNTIF(#REF!,$D254)&gt;0,COUNTIF(#REF!,$D254)=0),"SKIP",IF(COUNTIFS(#REF!,$D254,#REF!,$Q254)&gt;0,"OK","ONBEKEND")),"ONZEKER"))))</f>
        <v/>
      </c>
      <c r="S254" t="str">
        <f t="shared" si="1872"/>
        <v/>
      </c>
      <c r="T254" t="str">
        <f t="shared" si="1873"/>
        <v/>
      </c>
      <c r="U254" t="str">
        <f>IF($T254="","",IF(OR($BH254="",$BI254=""),"ONZEKER",IF(OR($BE254="",$BF254=""),"ONZEKER",IF(AND($BH254=$BE254+1,$BI254=$BF254),IF(OR(COUNTIF(#REF!,$B254)&gt;0,COUNTIF(#REF!,$B254)=0),"SKIP",IF(COUNTIFS(#REF!,$B254,#REF!,$T254)&gt;0,"OK","ONBEKEND")),IF(AND($BH254=$BE254,$BI254=$BF254+1),IF(OR(COUNTIF(#REF!,$D254)&gt;0,COUNTIF(#REF!,$D254)=0),"SKIP",IF(COUNTIFS(#REF!,$D254,#REF!,$T254)&gt;0,"OK","ONBEKEND")),"ONZEKER")))))</f>
        <v/>
      </c>
      <c r="V254" t="str">
        <f t="shared" si="1874"/>
        <v/>
      </c>
      <c r="W254" t="str">
        <f t="shared" si="1875"/>
        <v/>
      </c>
      <c r="X254" t="str">
        <f>IF($W254="","",IF(OR($BK254="",$BL254=""),"ONZEKER",IF(OR($BH254="",$BI254=""),"ONZEKER",IF(AND($BK254=$BH254+1,$BL254=$BI254),IF(OR(COUNTIF(#REF!,$B254)&gt;0,COUNTIF(#REF!,$B254)=0),"SKIP",IF(COUNTIFS(#REF!,$B254,#REF!,$W254)&gt;0,"OK","ONBEKEND")),IF(AND($BK254=$BH254,$BL254=$BI254+1),IF(OR(COUNTIF(#REF!,$D254)&gt;0,COUNTIF(#REF!,$D254)=0),"SKIP",IF(COUNTIFS(#REF!,$D254,#REF!,$W254)&gt;0,"OK","ONBEKEND")),"ONZEKER")))))</f>
        <v/>
      </c>
      <c r="Y254" t="str">
        <f t="shared" si="1876"/>
        <v/>
      </c>
      <c r="Z254" t="str">
        <f t="shared" si="1877"/>
        <v/>
      </c>
      <c r="AA254" t="str">
        <f>IF($Z254="","",IF(OR($BN254="",$BO254=""),"ONZEKER",IF(OR($BK254="",$BL254=""),"ONZEKER",IF(AND($BN254=$BK254+1,$BO254=$BL254),IF(OR(COUNTIF(#REF!,$B254)&gt;0,COUNTIF(#REF!,$B254)=0),"SKIP",IF(COUNTIFS(#REF!,$B254,#REF!,$Z254)&gt;0,"OK","ONBEKEND")),IF(AND($BN254=$BK254,$BO254=$BL254+1),IF(OR(COUNTIF(#REF!,$D254)&gt;0,COUNTIF(#REF!,$D254)=0),"SKIP",IF(COUNTIFS(#REF!,$D254,#REF!,$Z254)&gt;0,"OK","ONBEKEND")),"ONZEKER")))))</f>
        <v/>
      </c>
      <c r="AB254" t="str">
        <f t="shared" si="1878"/>
        <v/>
      </c>
      <c r="AC254" t="str">
        <f t="shared" si="1879"/>
        <v/>
      </c>
      <c r="AD254" t="str">
        <f>IF($AC254="","",IF(OR($BQ254="",$BR254=""),"ONZEKER",IF(OR($BN254="",$BO254=""),"ONZEKER",IF(AND($BQ254=$BN254+1,$BR254=$BO254),IF(OR(COUNTIF(#REF!,$B254)&gt;0,COUNTIF(#REF!,$B254)=0),"SKIP",IF(COUNTIFS(#REF!,$B254,#REF!,$AC254)&gt;0,"OK","ONBEKEND")),IF(AND($BQ254=$BN254,$BR254=$BO254+1),IF(OR(COUNTIF(#REF!,$D254)&gt;0,COUNTIF(#REF!,$D254)=0),"SKIP",IF(COUNTIFS(#REF!,$D254,#REF!,$AC254)&gt;0,"OK","ONBEKEND")),"ONZEKER")))))</f>
        <v/>
      </c>
      <c r="AE254" t="str">
        <f t="shared" si="1880"/>
        <v/>
      </c>
      <c r="AF254" t="str">
        <f t="shared" si="1881"/>
        <v/>
      </c>
      <c r="AG254" t="str">
        <f>IF($AF254="","",IF(OR($BT254="",$BU254=""),"ONZEKER",IF(OR($BQ254="",$BR254=""),"ONZEKER",IF(AND($BT254=$BQ254+1,$BU254=$BR254),IF(OR(COUNTIF(#REF!,$B254)&gt;0,COUNTIF(#REF!,$B254)=0),"SKIP",IF(COUNTIFS(#REF!,$B254,#REF!,$AF254)&gt;0,"OK","ONBEKEND")),IF(AND($BT254=$BQ254,$BU254=$BR254+1),IF(OR(COUNTIF(#REF!,$D254)&gt;0,COUNTIF(#REF!,$D254)=0),"SKIP",IF(COUNTIFS(#REF!,$D254,#REF!,$AF254)&gt;0,"OK","ONBEKEND")),"ONZEKER")))))</f>
        <v/>
      </c>
      <c r="AH254" t="str">
        <f t="shared" si="1882"/>
        <v/>
      </c>
      <c r="AI254" t="str">
        <f t="shared" si="1883"/>
        <v/>
      </c>
      <c r="AJ254" t="str">
        <f>IF($AI254="","",IF(OR($BW254="",$BX254=""),"ONZEKER",IF(OR($BT254="",$BU254=""),"ONZEKER",IF(AND($BW254=$BT254+1,$BX254=$BU254),IF(OR(COUNTIF(#REF!,$B254)&gt;0,COUNTIF(#REF!,$B254)=0),"SKIP",IF(COUNTIFS(#REF!,$B254,#REF!,$AI254)&gt;0,"OK","ONBEKEND")),IF(AND($BW254=$BT254,$BX254=$BU254+1),IF(OR(COUNTIF(#REF!,$D254)&gt;0,COUNTIF(#REF!,$D254)=0),"SKIP",IF(COUNTIFS(#REF!,$D254,#REF!,$AI254)&gt;0,"OK","ONBEKEND")),"ONZEKER")))))</f>
        <v/>
      </c>
      <c r="AK254" t="str">
        <f t="shared" si="1884"/>
        <v/>
      </c>
      <c r="AL254" t="str">
        <f t="shared" si="1885"/>
        <v/>
      </c>
      <c r="AM254" t="str">
        <f>IF($AL254="","",IF(OR($BZ254="",$CA254=""),"ONZEKER",IF(OR($BW254="",$BX254=""),"ONZEKER",IF(AND($BZ254=$BW254+1,$CA254=$BX254),IF(OR(COUNTIF(#REF!,$B254)&gt;0,COUNTIF(#REF!,$B254)=0),"SKIP",IF(COUNTIFS(#REF!,$B254,#REF!,$AL254)&gt;0,"OK","ONBEKEND")),IF(AND($BZ254=$BW254,$CA254=$BX254+1),IF(OR(COUNTIF(#REF!,$D254)&gt;0,COUNTIF(#REF!,$D254)=0),"SKIP",IF(COUNTIFS(#REF!,$D254,#REF!,$AL254)&gt;0,"OK","ONBEKEND")),"ONZEKER")))))</f>
        <v/>
      </c>
      <c r="AN254" t="str">
        <f t="shared" si="1886"/>
        <v/>
      </c>
      <c r="AO254" t="str">
        <f t="shared" si="1887"/>
        <v/>
      </c>
      <c r="AP254" t="str">
        <f>IF($AO254="","",IF(OR($CC254="",$CD254=""),"ONZEKER",IF(OR($BZ254="",$CA254=""),"ONZEKER",IF(AND($CC254=$BZ254+1,$CD254=$CA254),IF(OR(COUNTIF(#REF!,$B254)&gt;0,COUNTIF(#REF!,$B254)=0),"SKIP",IF(COUNTIFS(#REF!,$B254,#REF!,$AO254)&gt;0,"OK","ONBEKEND")),IF(AND($CC254=$BZ254,$CD254=$CA254+1),IF(OR(COUNTIF(#REF!,$D254)&gt;0,COUNTIF(#REF!,$D254)=0),"SKIP",IF(COUNTIFS(#REF!,$D254,#REF!,$AO254)&gt;0,"OK","ONBEKEND")),"ONZEKER")))))</f>
        <v/>
      </c>
      <c r="AQ254" t="str">
        <f t="shared" si="1888"/>
        <v/>
      </c>
      <c r="AR254" t="str">
        <f t="shared" si="1889"/>
        <v/>
      </c>
      <c r="AS254" t="str">
        <f>IF($AR254="","",IF(OR($CF254="",$CG254=""),"ONZEKER",IF(OR($CC254="",$CD254=""),"ONZEKER",IF(AND($CF254=$CC254+1,$CG254=$CD254),IF(OR(COUNTIF(#REF!,$B254)&gt;0,COUNTIF(#REF!,$B254)=0),"SKIP",IF(COUNTIFS(#REF!,$B254,#REF!,$AR254)&gt;0,"OK","ONBEKEND")),IF(AND($CF254=$CC254,$CG254=$CD254+1),IF(OR(COUNTIF(#REF!,$D254)&gt;0,COUNTIF(#REF!,$D254)=0),"SKIP",IF(COUNTIFS(#REF!,$D254,#REF!,$AR254)&gt;0,"OK","ONBEKEND")),"ONZEKER")))))</f>
        <v/>
      </c>
      <c r="AT254" t="str">
        <f t="shared" si="1890"/>
        <v/>
      </c>
      <c r="AU254" t="str">
        <f t="shared" si="1891"/>
        <v/>
      </c>
      <c r="AV254" t="str">
        <f t="shared" si="1892"/>
        <v/>
      </c>
      <c r="AW254" t="str">
        <f t="shared" si="1893"/>
        <v/>
      </c>
      <c r="AX254" t="str">
        <f t="shared" si="1894"/>
        <v/>
      </c>
      <c r="AY254" t="str">
        <f t="shared" si="1895"/>
        <v/>
      </c>
      <c r="AZ254" t="str">
        <f t="shared" si="1896"/>
        <v/>
      </c>
      <c r="BA254" t="str">
        <f t="shared" si="1897"/>
        <v/>
      </c>
      <c r="BB254" t="str">
        <f t="shared" si="1898"/>
        <v/>
      </c>
      <c r="BC254" t="str">
        <f t="shared" si="1899"/>
        <v/>
      </c>
      <c r="BD254" t="str">
        <f t="shared" si="1470"/>
        <v/>
      </c>
      <c r="BE254" t="str">
        <f t="shared" si="1471"/>
        <v/>
      </c>
      <c r="BF254" t="str">
        <f t="shared" si="1472"/>
        <v/>
      </c>
      <c r="BG254" t="str">
        <f t="shared" si="1473"/>
        <v/>
      </c>
      <c r="BH254" t="str">
        <f t="shared" si="1474"/>
        <v/>
      </c>
      <c r="BI254" t="str">
        <f t="shared" si="1475"/>
        <v/>
      </c>
      <c r="BJ254" t="str">
        <f t="shared" si="1476"/>
        <v/>
      </c>
      <c r="BK254" t="str">
        <f t="shared" si="1477"/>
        <v/>
      </c>
      <c r="BL254" t="str">
        <f t="shared" si="1478"/>
        <v/>
      </c>
      <c r="BM254" t="str">
        <f t="shared" si="1479"/>
        <v/>
      </c>
      <c r="BN254" t="str">
        <f t="shared" si="1480"/>
        <v/>
      </c>
      <c r="BO254" t="str">
        <f t="shared" si="1481"/>
        <v/>
      </c>
      <c r="BP254" t="str">
        <f t="shared" si="1482"/>
        <v/>
      </c>
      <c r="BQ254" t="str">
        <f t="shared" si="1483"/>
        <v/>
      </c>
      <c r="BR254" t="str">
        <f t="shared" si="1484"/>
        <v/>
      </c>
      <c r="BS254" t="str">
        <f t="shared" si="1485"/>
        <v/>
      </c>
      <c r="BT254" t="str">
        <f t="shared" si="1486"/>
        <v/>
      </c>
      <c r="BU254" t="str">
        <f t="shared" si="1487"/>
        <v/>
      </c>
      <c r="BV254" t="str">
        <f t="shared" si="1488"/>
        <v/>
      </c>
      <c r="BW254" t="str">
        <f t="shared" si="1489"/>
        <v/>
      </c>
      <c r="BX254" t="str">
        <f t="shared" si="1490"/>
        <v/>
      </c>
      <c r="BY254" t="str">
        <f t="shared" si="1491"/>
        <v/>
      </c>
      <c r="BZ254" t="str">
        <f t="shared" si="1492"/>
        <v/>
      </c>
      <c r="CA254" t="str">
        <f t="shared" si="1493"/>
        <v/>
      </c>
      <c r="CB254" t="str">
        <f t="shared" si="1494"/>
        <v/>
      </c>
      <c r="CC254" t="str">
        <f t="shared" si="1495"/>
        <v/>
      </c>
      <c r="CD254" t="str">
        <f t="shared" si="1496"/>
        <v/>
      </c>
      <c r="CE254" t="str">
        <f t="shared" si="1497"/>
        <v/>
      </c>
      <c r="CF254" t="str">
        <f t="shared" si="1498"/>
        <v/>
      </c>
      <c r="CG254" t="str">
        <f t="shared" si="1499"/>
        <v/>
      </c>
      <c r="CH254" t="str">
        <f t="shared" si="1900"/>
        <v/>
      </c>
      <c r="CI254" t="str">
        <f t="shared" si="1901"/>
        <v/>
      </c>
      <c r="CJ254" t="str">
        <f>IF($CI254="","",IF(OR($DW254="",$DX254=""),"ONZEKER",IF(OR($CF254="",$CG254=""),"ONZEKER",IF(AND($DW254=$CF254+1,$DX254=$CG254),IF(OR(COUNTIF(#REF!,$B254)&gt;0,COUNTIF(#REF!,$B254)=0),"SKIP",IF(COUNTIFS(#REF!,$B254,#REF!,$CI254)&gt;0,"OK","ONBEKEND")),IF(AND($DW254=$CF254,$DX254=$CG254+1),IF(OR(COUNTIF(#REF!,$D254)&gt;0,COUNTIF(#REF!,$D254)=0),"SKIP",IF(COUNTIFS(#REF!,$D254,#REF!,$CI254)&gt;0,"OK","ONBEKEND")),"ONZEKER")))))</f>
        <v/>
      </c>
      <c r="CK254" t="str">
        <f t="shared" si="1902"/>
        <v/>
      </c>
      <c r="CL254" t="str">
        <f t="shared" si="1903"/>
        <v/>
      </c>
      <c r="CM254" t="str">
        <f>IF($CL254="","",IF(OR($DZ254="",$EA254=""),"ONZEKER",IF(OR($DW254="",$DX254=""),"ONZEKER",IF(AND($DZ254=$DW254+1,$EA254=$DX254),IF(OR(COUNTIF(#REF!,$B254)&gt;0,COUNTIF(#REF!,$B254)=0),"SKIP",IF(COUNTIFS(#REF!,$B254,#REF!,$CL254)&gt;0,"OK","ONBEKEND")),IF(AND($DZ254=$DW254,$EA254=$DX254+1),IF(OR(COUNTIF(#REF!,$D254)&gt;0,COUNTIF(#REF!,$D254)=0),"SKIP",IF(COUNTIFS(#REF!,$D254,#REF!,$CL254)&gt;0,"OK","ONBEKEND")),"ONZEKER")))))</f>
        <v/>
      </c>
      <c r="CN254" t="str">
        <f t="shared" si="1904"/>
        <v/>
      </c>
      <c r="CO254" t="str">
        <f t="shared" si="1905"/>
        <v/>
      </c>
      <c r="CP254" t="str">
        <f>IF($CO254="","",IF(OR($EC254="",$ED254=""),"ONZEKER",IF(OR($DZ254="",$EA254=""),"ONZEKER",IF(AND($EC254=$DZ254+1,$ED254=$EA254),IF(OR(COUNTIF(#REF!,$B254)&gt;0,COUNTIF(#REF!,$B254)=0),"SKIP",IF(COUNTIFS(#REF!,$B254,#REF!,$CO254)&gt;0,"OK","ONBEKEND")),IF(AND($EC254=$DZ254,$ED254=$EA254+1),IF(OR(COUNTIF(#REF!,$D254)&gt;0,COUNTIF(#REF!,$D254)=0),"SKIP",IF(COUNTIFS(#REF!,$D254,#REF!,$CO254)&gt;0,"OK","ONBEKEND")),"ONZEKER")))))</f>
        <v/>
      </c>
      <c r="CQ254" t="str">
        <f t="shared" si="1906"/>
        <v/>
      </c>
      <c r="CR254" t="str">
        <f t="shared" si="1907"/>
        <v/>
      </c>
      <c r="CS254" t="str">
        <f>IF($CR254="","",IF(OR($EF254="",$EG254=""),"ONZEKER",IF(OR($EC254="",$ED254=""),"ONZEKER",IF(AND($EF254=$EC254+1,$EG254=$ED254),IF(OR(COUNTIF(#REF!,$B254)&gt;0,COUNTIF(#REF!,$B254)=0),"SKIP",IF(COUNTIFS(#REF!,$B254,#REF!,$CR254)&gt;0,"OK","ONBEKEND")),IF(AND($EF254=$EC254,$EG254=$ED254+1),IF(OR(COUNTIF(#REF!,$D254)&gt;0,COUNTIF(#REF!,$D254)=0),"SKIP",IF(COUNTIFS(#REF!,$D254,#REF!,$CR254)&gt;0,"OK","ONBEKEND")),"ONZEKER")))))</f>
        <v/>
      </c>
      <c r="CT254" t="str">
        <f t="shared" si="1908"/>
        <v/>
      </c>
      <c r="CU254" t="str">
        <f t="shared" si="1909"/>
        <v/>
      </c>
      <c r="CV254" t="str">
        <f>IF($CU254="","",IF(OR($EI254="",$EJ254=""),"ONZEKER",IF(OR($EF254="",$EG254=""),"ONZEKER",IF(AND($EI254=$EF254+1,$EJ254=$EG254),IF(OR(COUNTIF(#REF!,$B254)&gt;0,COUNTIF(#REF!,$B254)=0),"SKIP",IF(COUNTIFS(#REF!,$B254,#REF!,$CU254)&gt;0,"OK","ONBEKEND")),IF(AND($EI254=$EF254,$EJ254=$EG254+1),IF(OR(COUNTIF(#REF!,$D254)&gt;0,COUNTIF(#REF!,$D254)=0),"SKIP",IF(COUNTIFS(#REF!,$D254,#REF!,$CU254)&gt;0,"OK","ONBEKEND")),"ONZEKER")))))</f>
        <v/>
      </c>
      <c r="CW254" t="str">
        <f t="shared" si="1910"/>
        <v/>
      </c>
      <c r="CX254" t="str">
        <f t="shared" si="1911"/>
        <v/>
      </c>
      <c r="CY254" t="str">
        <f>IF($CX254="","",IF(OR($EL254="",$EM254=""),"ONZEKER",IF(OR($EI254="",$EJ254=""),"ONZEKER",IF(AND($EL254=$EI254+1,$EM254=$EJ254),IF(OR(COUNTIF(#REF!,$B254)&gt;0,COUNTIF(#REF!,$B254)=0),"SKIP",IF(COUNTIFS(#REF!,$B254,#REF!,$CX254)&gt;0,"OK","ONBEKEND")),IF(AND($EL254=$EI254,$EM254=$EJ254+1),IF(OR(COUNTIF(#REF!,$D254)&gt;0,COUNTIF(#REF!,$D254)=0),"SKIP",IF(COUNTIFS(#REF!,$D254,#REF!,$CX254)&gt;0,"OK","ONBEKEND")),"ONZEKER")))))</f>
        <v/>
      </c>
      <c r="CZ254" t="str">
        <f t="shared" si="1912"/>
        <v/>
      </c>
      <c r="DA254" t="str">
        <f t="shared" si="1913"/>
        <v/>
      </c>
      <c r="DB254" t="str">
        <f>IF($DA254="","",IF(OR($EO254="",$EP254=""),"ONZEKER",IF(OR($EL254="",$EM254=""),"ONZEKER",IF(AND($EO254=$EL254+1,$EP254=$EM254),IF(OR(COUNTIF(#REF!,$B254)&gt;0,COUNTIF(#REF!,$B254)=0),"SKIP",IF(COUNTIFS(#REF!,$B254,#REF!,$DA254)&gt;0,"OK","ONBEKEND")),IF(AND($EO254=$EL254,$EP254=$EM254+1),IF(OR(COUNTIF(#REF!,$D254)&gt;0,COUNTIF(#REF!,$D254)=0),"SKIP",IF(COUNTIFS(#REF!,$D254,#REF!,$DA254)&gt;0,"OK","ONBEKEND")),"ONZEKER")))))</f>
        <v/>
      </c>
      <c r="DC254" t="str">
        <f t="shared" si="1914"/>
        <v/>
      </c>
      <c r="DD254" t="str">
        <f t="shared" si="1915"/>
        <v/>
      </c>
      <c r="DE254" t="str">
        <f>IF($DD254="","",IF(OR($ER254="",$ES254=""),"ONZEKER",IF(OR($EO254="",$EP254=""),"ONZEKER",IF(AND($ER254=$EO254+1,$ES254=$EP254),IF(OR(COUNTIF(#REF!,$B254)&gt;0,COUNTIF(#REF!,$B254)=0),"SKIP",IF(COUNTIFS(#REF!,$B254,#REF!,$DD254)&gt;0,"OK","ONBEKEND")),IF(AND($ER254=$EO254,$ES254=$EP254+1),IF(OR(COUNTIF(#REF!,$D254)&gt;0,COUNTIF(#REF!,$D254)=0),"SKIP",IF(COUNTIFS(#REF!,$D254,#REF!,$DD254)&gt;0,"OK","ONBEKEND")),"ONZEKER")))))</f>
        <v/>
      </c>
      <c r="DF254" t="str">
        <f t="shared" si="1916"/>
        <v/>
      </c>
      <c r="DG254" t="str">
        <f t="shared" si="1917"/>
        <v/>
      </c>
      <c r="DH254" t="str">
        <f>IF($DG254="","",IF(OR($EU254="",$EV254=""),"ONZEKER",IF(OR($ER254="",$ES254=""),"ONZEKER",IF(AND($EU254=$ER254+1,$EV254=$ES254),IF(OR(COUNTIF(#REF!,$B254)&gt;0,COUNTIF(#REF!,$B254)=0),"SKIP",IF(COUNTIFS(#REF!,$B254,#REF!,$DG254)&gt;0,"OK","ONBEKEND")),IF(AND($EU254=$ER254,$EV254=$ES254+1),IF(OR(COUNTIF(#REF!,$D254)&gt;0,COUNTIF(#REF!,$D254)=0),"SKIP",IF(COUNTIFS(#REF!,$D254,#REF!,$DG254)&gt;0,"OK","ONBEKEND")),"ONZEKER")))))</f>
        <v/>
      </c>
      <c r="DI254" t="str">
        <f t="shared" si="1918"/>
        <v/>
      </c>
      <c r="DJ254" t="str">
        <f t="shared" si="1919"/>
        <v/>
      </c>
      <c r="DK254" t="str">
        <f>IF($DJ254="","",IF(OR($EX254="",$EY254=""),"ONZEKER",IF(OR($EU254="",$EV254=""),"ONZEKER",IF(AND($EX254=$EU254+1,$EY254=$EV254),IF(OR(COUNTIF(#REF!,$B254)&gt;0,COUNTIF(#REF!,$B254)=0),"SKIP",IF(COUNTIFS(#REF!,$B254,#REF!,$DJ254)&gt;0,"OK","ONBEKEND")),IF(AND($EX254=$EU254,$EY254=$EV254+1),IF(OR(COUNTIF(#REF!,$D254)&gt;0,COUNTIF(#REF!,$D254)=0),"SKIP",IF(COUNTIFS(#REF!,$D254,#REF!,$DJ254)&gt;0,"OK","ONBEKEND")),"ONZEKER")))))</f>
        <v/>
      </c>
      <c r="DL254" t="str">
        <f t="shared" si="1920"/>
        <v/>
      </c>
      <c r="DM254" t="str">
        <f t="shared" si="1921"/>
        <v/>
      </c>
      <c r="DN254" t="str">
        <f t="shared" si="1922"/>
        <v/>
      </c>
      <c r="DO254" t="str">
        <f t="shared" si="1923"/>
        <v/>
      </c>
      <c r="DP254" t="str">
        <f t="shared" si="1924"/>
        <v/>
      </c>
      <c r="DQ254" t="str">
        <f t="shared" si="1925"/>
        <v/>
      </c>
      <c r="DR254" t="str">
        <f t="shared" si="1926"/>
        <v/>
      </c>
      <c r="DS254" t="str">
        <f t="shared" si="1927"/>
        <v/>
      </c>
      <c r="DT254" t="str">
        <f t="shared" si="1928"/>
        <v/>
      </c>
      <c r="DU254" t="str">
        <f t="shared" si="1929"/>
        <v/>
      </c>
      <c r="DV254" t="str">
        <f t="shared" si="1930"/>
        <v/>
      </c>
      <c r="DW254" t="str">
        <f t="shared" si="1931"/>
        <v/>
      </c>
      <c r="DX254" t="str">
        <f t="shared" si="1932"/>
        <v/>
      </c>
      <c r="DY254" t="str">
        <f t="shared" si="1933"/>
        <v/>
      </c>
      <c r="DZ254" t="str">
        <f t="shared" si="1934"/>
        <v/>
      </c>
      <c r="EA254" t="str">
        <f t="shared" si="1935"/>
        <v/>
      </c>
      <c r="EB254" t="str">
        <f t="shared" si="1936"/>
        <v/>
      </c>
      <c r="EC254" t="str">
        <f t="shared" si="1937"/>
        <v/>
      </c>
      <c r="ED254" t="str">
        <f t="shared" si="1938"/>
        <v/>
      </c>
      <c r="EE254" t="str">
        <f t="shared" si="1939"/>
        <v/>
      </c>
      <c r="EF254" t="str">
        <f t="shared" si="1940"/>
        <v/>
      </c>
      <c r="EG254" t="str">
        <f t="shared" si="1941"/>
        <v/>
      </c>
      <c r="EH254" t="str">
        <f t="shared" si="1942"/>
        <v/>
      </c>
      <c r="EI254" t="str">
        <f t="shared" si="1943"/>
        <v/>
      </c>
      <c r="EJ254" t="str">
        <f t="shared" si="1944"/>
        <v/>
      </c>
      <c r="EK254" t="str">
        <f t="shared" si="1945"/>
        <v/>
      </c>
      <c r="EL254" t="str">
        <f t="shared" si="1946"/>
        <v/>
      </c>
      <c r="EM254" t="str">
        <f t="shared" si="1947"/>
        <v/>
      </c>
      <c r="EN254" t="str">
        <f t="shared" si="1948"/>
        <v/>
      </c>
      <c r="EO254" t="str">
        <f t="shared" si="1949"/>
        <v/>
      </c>
      <c r="EP254" t="str">
        <f t="shared" si="1950"/>
        <v/>
      </c>
      <c r="EQ254" t="str">
        <f t="shared" si="1951"/>
        <v/>
      </c>
      <c r="ER254" t="str">
        <f t="shared" si="1952"/>
        <v/>
      </c>
      <c r="ES254" t="str">
        <f t="shared" si="1953"/>
        <v/>
      </c>
      <c r="ET254" t="str">
        <f t="shared" si="1954"/>
        <v/>
      </c>
      <c r="EU254" t="str">
        <f t="shared" si="1955"/>
        <v/>
      </c>
      <c r="EV254" t="str">
        <f t="shared" si="1956"/>
        <v/>
      </c>
      <c r="EW254" t="str">
        <f t="shared" si="1957"/>
        <v/>
      </c>
      <c r="EX254" t="str">
        <f t="shared" si="1958"/>
        <v/>
      </c>
      <c r="EY254" t="str">
        <f t="shared" si="1959"/>
        <v/>
      </c>
    </row>
    <row r="255" spans="1:155" ht="13.9" customHeight="1" x14ac:dyDescent="0.25">
      <c r="A255" s="7"/>
      <c r="B255" s="17"/>
      <c r="C255" s="8"/>
      <c r="D255" s="17"/>
      <c r="E255" s="8"/>
      <c r="F255" s="18">
        <v>0</v>
      </c>
      <c r="G255" s="7" t="s">
        <v>147</v>
      </c>
      <c r="H255" s="18">
        <v>0</v>
      </c>
      <c r="I255" s="19">
        <v>0</v>
      </c>
      <c r="J255" s="7" t="s">
        <v>147</v>
      </c>
      <c r="K255" s="19">
        <v>0</v>
      </c>
      <c r="L255" s="9"/>
      <c r="M255" s="3" t="str">
        <f>IF($L255="","",IF($L255="DOELPUNTENMAKERS","",IF(AND(COUNTIF(#REF!,$B255)=0,COUNTIF(#REF!,$D255)=0),"OK",IF($O255&gt;20,"LET OP: meer dan 20 items (controle onvolledig)",IF((COUNTIF($R255:$AS255,"ONZEKER")+COUNTIF($CJ255:$DK255,"ONZEKER"))&gt;0,"LET OP: scoreverloop onduidelijk (controle beperkt)",IF((IF($AT255&lt;&gt;"",$AT255&amp;", ","")&amp;IF($AU255&lt;&gt;"",$AU255&amp;", ","")&amp;IF($AV255&lt;&gt;"",$AV255&amp;", ","")&amp;IF($AW255&lt;&gt;"",$AW255&amp;", ","")&amp;IF($AX255&lt;&gt;"",$AX255&amp;", ","")&amp;IF($AY255&lt;&gt;"",$AY255&amp;", ","")&amp;IF($AZ255&lt;&gt;"",$AZ255&amp;", ","")&amp;IF($BA255&lt;&gt;"",$BA255&amp;", ","")&amp;IF($BB255&lt;&gt;"",$BB255&amp;", ","")&amp;IF($BC255&lt;&gt;"",$BC255&amp;", ","")&amp;IF($DL255&lt;&gt;"",$DL255&amp;", ","")&amp;IF($DM255&lt;&gt;"",$DM255&amp;", ","")&amp;IF($DN255&lt;&gt;"",$DN255&amp;", ","")&amp;IF($DO255&lt;&gt;"",$DO255&amp;", ","")&amp;IF($DP255&lt;&gt;"",$DP255&amp;", ","")&amp;IF($DQ255&lt;&gt;"",$DQ255&amp;", ","")&amp;IF($DR255&lt;&gt;"",$DR255&amp;", ","")&amp;IF($DS255&lt;&gt;"",$DS255&amp;", ","")&amp;IF($DT255&lt;&gt;"",$DT255&amp;", ","")&amp;IF($DU255&lt;&gt;"",$DU255&amp;", ",""))="","OK","Onbekend: "&amp;LEFT((IF($AT255&lt;&gt;"",$AT255&amp;", ","")&amp;IF($AU255&lt;&gt;"",$AU255&amp;", ","")&amp;IF($AV255&lt;&gt;"",$AV255&amp;", ","")&amp;IF($AW255&lt;&gt;"",$AW255&amp;", ","")&amp;IF($AX255&lt;&gt;"",$AX255&amp;", ","")&amp;IF($AY255&lt;&gt;"",$AY255&amp;", ","")&amp;IF($AZ255&lt;&gt;"",$AZ255&amp;", ","")&amp;IF($BA255&lt;&gt;"",$BA255&amp;", ","")&amp;IF($BB255&lt;&gt;"",$BB255&amp;", ","")&amp;IF($BC255&lt;&gt;"",$BC255&amp;", ","")&amp;IF($DL255&lt;&gt;"",$DL255&amp;", ","")&amp;IF($DM255&lt;&gt;"",$DM255&amp;", ","")&amp;IF($DN255&lt;&gt;"",$DN255&amp;", ","")&amp;IF($DO255&lt;&gt;"",$DO255&amp;", ","")&amp;IF($DP255&lt;&gt;"",$DP255&amp;", ","")&amp;IF($DQ255&lt;&gt;"",$DQ255&amp;", ","")&amp;IF($DR255&lt;&gt;"",$DR255&amp;", ","")&amp;IF($DS255&lt;&gt;"",$DS255&amp;", ","")&amp;IF($DT255&lt;&gt;"",$DT255&amp;", ","")&amp;IF($DU255&lt;&gt;"",$DU255&amp;", ","")),LEN((IF($AT255&lt;&gt;"",$AT255&amp;", ","")&amp;IF($AU255&lt;&gt;"",$AU255&amp;", ","")&amp;IF($AV255&lt;&gt;"",$AV255&amp;", ","")&amp;IF($AW255&lt;&gt;"",$AW255&amp;", ","")&amp;IF($AX255&lt;&gt;"",$AX255&amp;", ","")&amp;IF($AY255&lt;&gt;"",$AY255&amp;", ","")&amp;IF($AZ255&lt;&gt;"",$AZ255&amp;", ","")&amp;IF($BA255&lt;&gt;"",$BA255&amp;", ","")&amp;IF($BB255&lt;&gt;"",$BB255&amp;", ","")&amp;IF($BC255&lt;&gt;"",$BC255&amp;", ","")&amp;IF($DL255&lt;&gt;"",$DL255&amp;", ","")&amp;IF($DM255&lt;&gt;"",$DM255&amp;", ","")&amp;IF($DN255&lt;&gt;"",$DN255&amp;", ","")&amp;IF($DO255&lt;&gt;"",$DO255&amp;", ","")&amp;IF($DP255&lt;&gt;"",$DP255&amp;", ","")&amp;IF($DQ255&lt;&gt;"",$DQ255&amp;", ","")&amp;IF($DR255&lt;&gt;"",$DR255&amp;", ","")&amp;IF($DS255&lt;&gt;"",$DS255&amp;", ","")&amp;IF($DT255&lt;&gt;"",$DT255&amp;", ","")&amp;IF($DU255&lt;&gt;"",$DU255&amp;", ","")))-2)))))))</f>
        <v/>
      </c>
      <c r="N255" t="str">
        <f t="shared" si="1868"/>
        <v/>
      </c>
      <c r="O255" t="str">
        <f t="shared" si="1869"/>
        <v/>
      </c>
      <c r="P255" t="str">
        <f t="shared" si="1870"/>
        <v/>
      </c>
      <c r="Q255" t="str">
        <f t="shared" si="1871"/>
        <v/>
      </c>
      <c r="R255" t="str">
        <f>IF($Q255="","",IF(OR($BE255="",$BF255=""),"ONZEKER",IF(AND($BE255=0+1,$BF255=0),IF(OR(COUNTIF(#REF!,$B255)&gt;0,COUNTIF(#REF!,$B255)=0),"SKIP",IF(COUNTIFS(#REF!,$B255,#REF!,$Q255)&gt;0,"OK","ONBEKEND")),IF(AND($BE255=0,$BF255=0+1),IF(OR(COUNTIF(#REF!,$D255)&gt;0,COUNTIF(#REF!,$D255)=0),"SKIP",IF(COUNTIFS(#REF!,$D255,#REF!,$Q255)&gt;0,"OK","ONBEKEND")),"ONZEKER"))))</f>
        <v/>
      </c>
      <c r="S255" t="str">
        <f t="shared" si="1872"/>
        <v/>
      </c>
      <c r="T255" t="str">
        <f t="shared" si="1873"/>
        <v/>
      </c>
      <c r="U255" t="str">
        <f>IF($T255="","",IF(OR($BH255="",$BI255=""),"ONZEKER",IF(OR($BE255="",$BF255=""),"ONZEKER",IF(AND($BH255=$BE255+1,$BI255=$BF255),IF(OR(COUNTIF(#REF!,$B255)&gt;0,COUNTIF(#REF!,$B255)=0),"SKIP",IF(COUNTIFS(#REF!,$B255,#REF!,$T255)&gt;0,"OK","ONBEKEND")),IF(AND($BH255=$BE255,$BI255=$BF255+1),IF(OR(COUNTIF(#REF!,$D255)&gt;0,COUNTIF(#REF!,$D255)=0),"SKIP",IF(COUNTIFS(#REF!,$D255,#REF!,$T255)&gt;0,"OK","ONBEKEND")),"ONZEKER")))))</f>
        <v/>
      </c>
      <c r="V255" t="str">
        <f t="shared" si="1874"/>
        <v/>
      </c>
      <c r="W255" t="str">
        <f t="shared" si="1875"/>
        <v/>
      </c>
      <c r="X255" t="str">
        <f>IF($W255="","",IF(OR($BK255="",$BL255=""),"ONZEKER",IF(OR($BH255="",$BI255=""),"ONZEKER",IF(AND($BK255=$BH255+1,$BL255=$BI255),IF(OR(COUNTIF(#REF!,$B255)&gt;0,COUNTIF(#REF!,$B255)=0),"SKIP",IF(COUNTIFS(#REF!,$B255,#REF!,$W255)&gt;0,"OK","ONBEKEND")),IF(AND($BK255=$BH255,$BL255=$BI255+1),IF(OR(COUNTIF(#REF!,$D255)&gt;0,COUNTIF(#REF!,$D255)=0),"SKIP",IF(COUNTIFS(#REF!,$D255,#REF!,$W255)&gt;0,"OK","ONBEKEND")),"ONZEKER")))))</f>
        <v/>
      </c>
      <c r="Y255" t="str">
        <f t="shared" si="1876"/>
        <v/>
      </c>
      <c r="Z255" t="str">
        <f t="shared" si="1877"/>
        <v/>
      </c>
      <c r="AA255" t="str">
        <f>IF($Z255="","",IF(OR($BN255="",$BO255=""),"ONZEKER",IF(OR($BK255="",$BL255=""),"ONZEKER",IF(AND($BN255=$BK255+1,$BO255=$BL255),IF(OR(COUNTIF(#REF!,$B255)&gt;0,COUNTIF(#REF!,$B255)=0),"SKIP",IF(COUNTIFS(#REF!,$B255,#REF!,$Z255)&gt;0,"OK","ONBEKEND")),IF(AND($BN255=$BK255,$BO255=$BL255+1),IF(OR(COUNTIF(#REF!,$D255)&gt;0,COUNTIF(#REF!,$D255)=0),"SKIP",IF(COUNTIFS(#REF!,$D255,#REF!,$Z255)&gt;0,"OK","ONBEKEND")),"ONZEKER")))))</f>
        <v/>
      </c>
      <c r="AB255" t="str">
        <f t="shared" si="1878"/>
        <v/>
      </c>
      <c r="AC255" t="str">
        <f t="shared" si="1879"/>
        <v/>
      </c>
      <c r="AD255" t="str">
        <f>IF($AC255="","",IF(OR($BQ255="",$BR255=""),"ONZEKER",IF(OR($BN255="",$BO255=""),"ONZEKER",IF(AND($BQ255=$BN255+1,$BR255=$BO255),IF(OR(COUNTIF(#REF!,$B255)&gt;0,COUNTIF(#REF!,$B255)=0),"SKIP",IF(COUNTIFS(#REF!,$B255,#REF!,$AC255)&gt;0,"OK","ONBEKEND")),IF(AND($BQ255=$BN255,$BR255=$BO255+1),IF(OR(COUNTIF(#REF!,$D255)&gt;0,COUNTIF(#REF!,$D255)=0),"SKIP",IF(COUNTIFS(#REF!,$D255,#REF!,$AC255)&gt;0,"OK","ONBEKEND")),"ONZEKER")))))</f>
        <v/>
      </c>
      <c r="AE255" t="str">
        <f t="shared" si="1880"/>
        <v/>
      </c>
      <c r="AF255" t="str">
        <f t="shared" si="1881"/>
        <v/>
      </c>
      <c r="AG255" t="str">
        <f>IF($AF255="","",IF(OR($BT255="",$BU255=""),"ONZEKER",IF(OR($BQ255="",$BR255=""),"ONZEKER",IF(AND($BT255=$BQ255+1,$BU255=$BR255),IF(OR(COUNTIF(#REF!,$B255)&gt;0,COUNTIF(#REF!,$B255)=0),"SKIP",IF(COUNTIFS(#REF!,$B255,#REF!,$AF255)&gt;0,"OK","ONBEKEND")),IF(AND($BT255=$BQ255,$BU255=$BR255+1),IF(OR(COUNTIF(#REF!,$D255)&gt;0,COUNTIF(#REF!,$D255)=0),"SKIP",IF(COUNTIFS(#REF!,$D255,#REF!,$AF255)&gt;0,"OK","ONBEKEND")),"ONZEKER")))))</f>
        <v/>
      </c>
      <c r="AH255" t="str">
        <f t="shared" si="1882"/>
        <v/>
      </c>
      <c r="AI255" t="str">
        <f t="shared" si="1883"/>
        <v/>
      </c>
      <c r="AJ255" t="str">
        <f>IF($AI255="","",IF(OR($BW255="",$BX255=""),"ONZEKER",IF(OR($BT255="",$BU255=""),"ONZEKER",IF(AND($BW255=$BT255+1,$BX255=$BU255),IF(OR(COUNTIF(#REF!,$B255)&gt;0,COUNTIF(#REF!,$B255)=0),"SKIP",IF(COUNTIFS(#REF!,$B255,#REF!,$AI255)&gt;0,"OK","ONBEKEND")),IF(AND($BW255=$BT255,$BX255=$BU255+1),IF(OR(COUNTIF(#REF!,$D255)&gt;0,COUNTIF(#REF!,$D255)=0),"SKIP",IF(COUNTIFS(#REF!,$D255,#REF!,$AI255)&gt;0,"OK","ONBEKEND")),"ONZEKER")))))</f>
        <v/>
      </c>
      <c r="AK255" t="str">
        <f t="shared" si="1884"/>
        <v/>
      </c>
      <c r="AL255" t="str">
        <f t="shared" si="1885"/>
        <v/>
      </c>
      <c r="AM255" t="str">
        <f>IF($AL255="","",IF(OR($BZ255="",$CA255=""),"ONZEKER",IF(OR($BW255="",$BX255=""),"ONZEKER",IF(AND($BZ255=$BW255+1,$CA255=$BX255),IF(OR(COUNTIF(#REF!,$B255)&gt;0,COUNTIF(#REF!,$B255)=0),"SKIP",IF(COUNTIFS(#REF!,$B255,#REF!,$AL255)&gt;0,"OK","ONBEKEND")),IF(AND($BZ255=$BW255,$CA255=$BX255+1),IF(OR(COUNTIF(#REF!,$D255)&gt;0,COUNTIF(#REF!,$D255)=0),"SKIP",IF(COUNTIFS(#REF!,$D255,#REF!,$AL255)&gt;0,"OK","ONBEKEND")),"ONZEKER")))))</f>
        <v/>
      </c>
      <c r="AN255" t="str">
        <f t="shared" si="1886"/>
        <v/>
      </c>
      <c r="AO255" t="str">
        <f t="shared" si="1887"/>
        <v/>
      </c>
      <c r="AP255" t="str">
        <f>IF($AO255="","",IF(OR($CC255="",$CD255=""),"ONZEKER",IF(OR($BZ255="",$CA255=""),"ONZEKER",IF(AND($CC255=$BZ255+1,$CD255=$CA255),IF(OR(COUNTIF(#REF!,$B255)&gt;0,COUNTIF(#REF!,$B255)=0),"SKIP",IF(COUNTIFS(#REF!,$B255,#REF!,$AO255)&gt;0,"OK","ONBEKEND")),IF(AND($CC255=$BZ255,$CD255=$CA255+1),IF(OR(COUNTIF(#REF!,$D255)&gt;0,COUNTIF(#REF!,$D255)=0),"SKIP",IF(COUNTIFS(#REF!,$D255,#REF!,$AO255)&gt;0,"OK","ONBEKEND")),"ONZEKER")))))</f>
        <v/>
      </c>
      <c r="AQ255" t="str">
        <f t="shared" si="1888"/>
        <v/>
      </c>
      <c r="AR255" t="str">
        <f t="shared" si="1889"/>
        <v/>
      </c>
      <c r="AS255" t="str">
        <f>IF($AR255="","",IF(OR($CF255="",$CG255=""),"ONZEKER",IF(OR($CC255="",$CD255=""),"ONZEKER",IF(AND($CF255=$CC255+1,$CG255=$CD255),IF(OR(COUNTIF(#REF!,$B255)&gt;0,COUNTIF(#REF!,$B255)=0),"SKIP",IF(COUNTIFS(#REF!,$B255,#REF!,$AR255)&gt;0,"OK","ONBEKEND")),IF(AND($CF255=$CC255,$CG255=$CD255+1),IF(OR(COUNTIF(#REF!,$D255)&gt;0,COUNTIF(#REF!,$D255)=0),"SKIP",IF(COUNTIFS(#REF!,$D255,#REF!,$AR255)&gt;0,"OK","ONBEKEND")),"ONZEKER")))))</f>
        <v/>
      </c>
      <c r="AT255" t="str">
        <f t="shared" si="1890"/>
        <v/>
      </c>
      <c r="AU255" t="str">
        <f t="shared" si="1891"/>
        <v/>
      </c>
      <c r="AV255" t="str">
        <f t="shared" si="1892"/>
        <v/>
      </c>
      <c r="AW255" t="str">
        <f t="shared" si="1893"/>
        <v/>
      </c>
      <c r="AX255" t="str">
        <f t="shared" si="1894"/>
        <v/>
      </c>
      <c r="AY255" t="str">
        <f t="shared" si="1895"/>
        <v/>
      </c>
      <c r="AZ255" t="str">
        <f t="shared" si="1896"/>
        <v/>
      </c>
      <c r="BA255" t="str">
        <f t="shared" si="1897"/>
        <v/>
      </c>
      <c r="BB255" t="str">
        <f t="shared" si="1898"/>
        <v/>
      </c>
      <c r="BC255" t="str">
        <f t="shared" si="1899"/>
        <v/>
      </c>
      <c r="BD255" t="str">
        <f t="shared" si="1470"/>
        <v/>
      </c>
      <c r="BE255" t="str">
        <f t="shared" si="1471"/>
        <v/>
      </c>
      <c r="BF255" t="str">
        <f t="shared" si="1472"/>
        <v/>
      </c>
      <c r="BG255" t="str">
        <f t="shared" si="1473"/>
        <v/>
      </c>
      <c r="BH255" t="str">
        <f t="shared" si="1474"/>
        <v/>
      </c>
      <c r="BI255" t="str">
        <f t="shared" si="1475"/>
        <v/>
      </c>
      <c r="BJ255" t="str">
        <f t="shared" si="1476"/>
        <v/>
      </c>
      <c r="BK255" t="str">
        <f t="shared" si="1477"/>
        <v/>
      </c>
      <c r="BL255" t="str">
        <f t="shared" si="1478"/>
        <v/>
      </c>
      <c r="BM255" t="str">
        <f t="shared" si="1479"/>
        <v/>
      </c>
      <c r="BN255" t="str">
        <f t="shared" si="1480"/>
        <v/>
      </c>
      <c r="BO255" t="str">
        <f t="shared" si="1481"/>
        <v/>
      </c>
      <c r="BP255" t="str">
        <f t="shared" si="1482"/>
        <v/>
      </c>
      <c r="BQ255" t="str">
        <f t="shared" si="1483"/>
        <v/>
      </c>
      <c r="BR255" t="str">
        <f t="shared" si="1484"/>
        <v/>
      </c>
      <c r="BS255" t="str">
        <f t="shared" si="1485"/>
        <v/>
      </c>
      <c r="BT255" t="str">
        <f t="shared" si="1486"/>
        <v/>
      </c>
      <c r="BU255" t="str">
        <f t="shared" si="1487"/>
        <v/>
      </c>
      <c r="BV255" t="str">
        <f t="shared" si="1488"/>
        <v/>
      </c>
      <c r="BW255" t="str">
        <f t="shared" si="1489"/>
        <v/>
      </c>
      <c r="BX255" t="str">
        <f t="shared" si="1490"/>
        <v/>
      </c>
      <c r="BY255" t="str">
        <f t="shared" si="1491"/>
        <v/>
      </c>
      <c r="BZ255" t="str">
        <f t="shared" si="1492"/>
        <v/>
      </c>
      <c r="CA255" t="str">
        <f t="shared" si="1493"/>
        <v/>
      </c>
      <c r="CB255" t="str">
        <f t="shared" si="1494"/>
        <v/>
      </c>
      <c r="CC255" t="str">
        <f t="shared" si="1495"/>
        <v/>
      </c>
      <c r="CD255" t="str">
        <f t="shared" si="1496"/>
        <v/>
      </c>
      <c r="CE255" t="str">
        <f t="shared" si="1497"/>
        <v/>
      </c>
      <c r="CF255" t="str">
        <f t="shared" si="1498"/>
        <v/>
      </c>
      <c r="CG255" t="str">
        <f t="shared" si="1499"/>
        <v/>
      </c>
      <c r="CH255" t="str">
        <f t="shared" si="1900"/>
        <v/>
      </c>
      <c r="CI255" t="str">
        <f t="shared" si="1901"/>
        <v/>
      </c>
      <c r="CJ255" t="str">
        <f>IF($CI255="","",IF(OR($DW255="",$DX255=""),"ONZEKER",IF(OR($CF255="",$CG255=""),"ONZEKER",IF(AND($DW255=$CF255+1,$DX255=$CG255),IF(OR(COUNTIF(#REF!,$B255)&gt;0,COUNTIF(#REF!,$B255)=0),"SKIP",IF(COUNTIFS(#REF!,$B255,#REF!,$CI255)&gt;0,"OK","ONBEKEND")),IF(AND($DW255=$CF255,$DX255=$CG255+1),IF(OR(COUNTIF(#REF!,$D255)&gt;0,COUNTIF(#REF!,$D255)=0),"SKIP",IF(COUNTIFS(#REF!,$D255,#REF!,$CI255)&gt;0,"OK","ONBEKEND")),"ONZEKER")))))</f>
        <v/>
      </c>
      <c r="CK255" t="str">
        <f t="shared" si="1902"/>
        <v/>
      </c>
      <c r="CL255" t="str">
        <f t="shared" si="1903"/>
        <v/>
      </c>
      <c r="CM255" t="str">
        <f>IF($CL255="","",IF(OR($DZ255="",$EA255=""),"ONZEKER",IF(OR($DW255="",$DX255=""),"ONZEKER",IF(AND($DZ255=$DW255+1,$EA255=$DX255),IF(OR(COUNTIF(#REF!,$B255)&gt;0,COUNTIF(#REF!,$B255)=0),"SKIP",IF(COUNTIFS(#REF!,$B255,#REF!,$CL255)&gt;0,"OK","ONBEKEND")),IF(AND($DZ255=$DW255,$EA255=$DX255+1),IF(OR(COUNTIF(#REF!,$D255)&gt;0,COUNTIF(#REF!,$D255)=0),"SKIP",IF(COUNTIFS(#REF!,$D255,#REF!,$CL255)&gt;0,"OK","ONBEKEND")),"ONZEKER")))))</f>
        <v/>
      </c>
      <c r="CN255" t="str">
        <f t="shared" si="1904"/>
        <v/>
      </c>
      <c r="CO255" t="str">
        <f t="shared" si="1905"/>
        <v/>
      </c>
      <c r="CP255" t="str">
        <f>IF($CO255="","",IF(OR($EC255="",$ED255=""),"ONZEKER",IF(OR($DZ255="",$EA255=""),"ONZEKER",IF(AND($EC255=$DZ255+1,$ED255=$EA255),IF(OR(COUNTIF(#REF!,$B255)&gt;0,COUNTIF(#REF!,$B255)=0),"SKIP",IF(COUNTIFS(#REF!,$B255,#REF!,$CO255)&gt;0,"OK","ONBEKEND")),IF(AND($EC255=$DZ255,$ED255=$EA255+1),IF(OR(COUNTIF(#REF!,$D255)&gt;0,COUNTIF(#REF!,$D255)=0),"SKIP",IF(COUNTIFS(#REF!,$D255,#REF!,$CO255)&gt;0,"OK","ONBEKEND")),"ONZEKER")))))</f>
        <v/>
      </c>
      <c r="CQ255" t="str">
        <f t="shared" si="1906"/>
        <v/>
      </c>
      <c r="CR255" t="str">
        <f t="shared" si="1907"/>
        <v/>
      </c>
      <c r="CS255" t="str">
        <f>IF($CR255="","",IF(OR($EF255="",$EG255=""),"ONZEKER",IF(OR($EC255="",$ED255=""),"ONZEKER",IF(AND($EF255=$EC255+1,$EG255=$ED255),IF(OR(COUNTIF(#REF!,$B255)&gt;0,COUNTIF(#REF!,$B255)=0),"SKIP",IF(COUNTIFS(#REF!,$B255,#REF!,$CR255)&gt;0,"OK","ONBEKEND")),IF(AND($EF255=$EC255,$EG255=$ED255+1),IF(OR(COUNTIF(#REF!,$D255)&gt;0,COUNTIF(#REF!,$D255)=0),"SKIP",IF(COUNTIFS(#REF!,$D255,#REF!,$CR255)&gt;0,"OK","ONBEKEND")),"ONZEKER")))))</f>
        <v/>
      </c>
      <c r="CT255" t="str">
        <f t="shared" si="1908"/>
        <v/>
      </c>
      <c r="CU255" t="str">
        <f t="shared" si="1909"/>
        <v/>
      </c>
      <c r="CV255" t="str">
        <f>IF($CU255="","",IF(OR($EI255="",$EJ255=""),"ONZEKER",IF(OR($EF255="",$EG255=""),"ONZEKER",IF(AND($EI255=$EF255+1,$EJ255=$EG255),IF(OR(COUNTIF(#REF!,$B255)&gt;0,COUNTIF(#REF!,$B255)=0),"SKIP",IF(COUNTIFS(#REF!,$B255,#REF!,$CU255)&gt;0,"OK","ONBEKEND")),IF(AND($EI255=$EF255,$EJ255=$EG255+1),IF(OR(COUNTIF(#REF!,$D255)&gt;0,COUNTIF(#REF!,$D255)=0),"SKIP",IF(COUNTIFS(#REF!,$D255,#REF!,$CU255)&gt;0,"OK","ONBEKEND")),"ONZEKER")))))</f>
        <v/>
      </c>
      <c r="CW255" t="str">
        <f t="shared" si="1910"/>
        <v/>
      </c>
      <c r="CX255" t="str">
        <f t="shared" si="1911"/>
        <v/>
      </c>
      <c r="CY255" t="str">
        <f>IF($CX255="","",IF(OR($EL255="",$EM255=""),"ONZEKER",IF(OR($EI255="",$EJ255=""),"ONZEKER",IF(AND($EL255=$EI255+1,$EM255=$EJ255),IF(OR(COUNTIF(#REF!,$B255)&gt;0,COUNTIF(#REF!,$B255)=0),"SKIP",IF(COUNTIFS(#REF!,$B255,#REF!,$CX255)&gt;0,"OK","ONBEKEND")),IF(AND($EL255=$EI255,$EM255=$EJ255+1),IF(OR(COUNTIF(#REF!,$D255)&gt;0,COUNTIF(#REF!,$D255)=0),"SKIP",IF(COUNTIFS(#REF!,$D255,#REF!,$CX255)&gt;0,"OK","ONBEKEND")),"ONZEKER")))))</f>
        <v/>
      </c>
      <c r="CZ255" t="str">
        <f t="shared" si="1912"/>
        <v/>
      </c>
      <c r="DA255" t="str">
        <f t="shared" si="1913"/>
        <v/>
      </c>
      <c r="DB255" t="str">
        <f>IF($DA255="","",IF(OR($EO255="",$EP255=""),"ONZEKER",IF(OR($EL255="",$EM255=""),"ONZEKER",IF(AND($EO255=$EL255+1,$EP255=$EM255),IF(OR(COUNTIF(#REF!,$B255)&gt;0,COUNTIF(#REF!,$B255)=0),"SKIP",IF(COUNTIFS(#REF!,$B255,#REF!,$DA255)&gt;0,"OK","ONBEKEND")),IF(AND($EO255=$EL255,$EP255=$EM255+1),IF(OR(COUNTIF(#REF!,$D255)&gt;0,COUNTIF(#REF!,$D255)=0),"SKIP",IF(COUNTIFS(#REF!,$D255,#REF!,$DA255)&gt;0,"OK","ONBEKEND")),"ONZEKER")))))</f>
        <v/>
      </c>
      <c r="DC255" t="str">
        <f t="shared" si="1914"/>
        <v/>
      </c>
      <c r="DD255" t="str">
        <f t="shared" si="1915"/>
        <v/>
      </c>
      <c r="DE255" t="str">
        <f>IF($DD255="","",IF(OR($ER255="",$ES255=""),"ONZEKER",IF(OR($EO255="",$EP255=""),"ONZEKER",IF(AND($ER255=$EO255+1,$ES255=$EP255),IF(OR(COUNTIF(#REF!,$B255)&gt;0,COUNTIF(#REF!,$B255)=0),"SKIP",IF(COUNTIFS(#REF!,$B255,#REF!,$DD255)&gt;0,"OK","ONBEKEND")),IF(AND($ER255=$EO255,$ES255=$EP255+1),IF(OR(COUNTIF(#REF!,$D255)&gt;0,COUNTIF(#REF!,$D255)=0),"SKIP",IF(COUNTIFS(#REF!,$D255,#REF!,$DD255)&gt;0,"OK","ONBEKEND")),"ONZEKER")))))</f>
        <v/>
      </c>
      <c r="DF255" t="str">
        <f t="shared" si="1916"/>
        <v/>
      </c>
      <c r="DG255" t="str">
        <f t="shared" si="1917"/>
        <v/>
      </c>
      <c r="DH255" t="str">
        <f>IF($DG255="","",IF(OR($EU255="",$EV255=""),"ONZEKER",IF(OR($ER255="",$ES255=""),"ONZEKER",IF(AND($EU255=$ER255+1,$EV255=$ES255),IF(OR(COUNTIF(#REF!,$B255)&gt;0,COUNTIF(#REF!,$B255)=0),"SKIP",IF(COUNTIFS(#REF!,$B255,#REF!,$DG255)&gt;0,"OK","ONBEKEND")),IF(AND($EU255=$ER255,$EV255=$ES255+1),IF(OR(COUNTIF(#REF!,$D255)&gt;0,COUNTIF(#REF!,$D255)=0),"SKIP",IF(COUNTIFS(#REF!,$D255,#REF!,$DG255)&gt;0,"OK","ONBEKEND")),"ONZEKER")))))</f>
        <v/>
      </c>
      <c r="DI255" t="str">
        <f t="shared" si="1918"/>
        <v/>
      </c>
      <c r="DJ255" t="str">
        <f t="shared" si="1919"/>
        <v/>
      </c>
      <c r="DK255" t="str">
        <f>IF($DJ255="","",IF(OR($EX255="",$EY255=""),"ONZEKER",IF(OR($EU255="",$EV255=""),"ONZEKER",IF(AND($EX255=$EU255+1,$EY255=$EV255),IF(OR(COUNTIF(#REF!,$B255)&gt;0,COUNTIF(#REF!,$B255)=0),"SKIP",IF(COUNTIFS(#REF!,$B255,#REF!,$DJ255)&gt;0,"OK","ONBEKEND")),IF(AND($EX255=$EU255,$EY255=$EV255+1),IF(OR(COUNTIF(#REF!,$D255)&gt;0,COUNTIF(#REF!,$D255)=0),"SKIP",IF(COUNTIFS(#REF!,$D255,#REF!,$DJ255)&gt;0,"OK","ONBEKEND")),"ONZEKER")))))</f>
        <v/>
      </c>
      <c r="DL255" t="str">
        <f t="shared" si="1920"/>
        <v/>
      </c>
      <c r="DM255" t="str">
        <f t="shared" si="1921"/>
        <v/>
      </c>
      <c r="DN255" t="str">
        <f t="shared" si="1922"/>
        <v/>
      </c>
      <c r="DO255" t="str">
        <f t="shared" si="1923"/>
        <v/>
      </c>
      <c r="DP255" t="str">
        <f t="shared" si="1924"/>
        <v/>
      </c>
      <c r="DQ255" t="str">
        <f t="shared" si="1925"/>
        <v/>
      </c>
      <c r="DR255" t="str">
        <f t="shared" si="1926"/>
        <v/>
      </c>
      <c r="DS255" t="str">
        <f t="shared" si="1927"/>
        <v/>
      </c>
      <c r="DT255" t="str">
        <f t="shared" si="1928"/>
        <v/>
      </c>
      <c r="DU255" t="str">
        <f t="shared" si="1929"/>
        <v/>
      </c>
      <c r="DV255" t="str">
        <f t="shared" si="1930"/>
        <v/>
      </c>
      <c r="DW255" t="str">
        <f t="shared" si="1931"/>
        <v/>
      </c>
      <c r="DX255" t="str">
        <f t="shared" si="1932"/>
        <v/>
      </c>
      <c r="DY255" t="str">
        <f t="shared" si="1933"/>
        <v/>
      </c>
      <c r="DZ255" t="str">
        <f t="shared" si="1934"/>
        <v/>
      </c>
      <c r="EA255" t="str">
        <f t="shared" si="1935"/>
        <v/>
      </c>
      <c r="EB255" t="str">
        <f t="shared" si="1936"/>
        <v/>
      </c>
      <c r="EC255" t="str">
        <f t="shared" si="1937"/>
        <v/>
      </c>
      <c r="ED255" t="str">
        <f t="shared" si="1938"/>
        <v/>
      </c>
      <c r="EE255" t="str">
        <f t="shared" si="1939"/>
        <v/>
      </c>
      <c r="EF255" t="str">
        <f t="shared" si="1940"/>
        <v/>
      </c>
      <c r="EG255" t="str">
        <f t="shared" si="1941"/>
        <v/>
      </c>
      <c r="EH255" t="str">
        <f t="shared" si="1942"/>
        <v/>
      </c>
      <c r="EI255" t="str">
        <f t="shared" si="1943"/>
        <v/>
      </c>
      <c r="EJ255" t="str">
        <f t="shared" si="1944"/>
        <v/>
      </c>
      <c r="EK255" t="str">
        <f t="shared" si="1945"/>
        <v/>
      </c>
      <c r="EL255" t="str">
        <f t="shared" si="1946"/>
        <v/>
      </c>
      <c r="EM255" t="str">
        <f t="shared" si="1947"/>
        <v/>
      </c>
      <c r="EN255" t="str">
        <f t="shared" si="1948"/>
        <v/>
      </c>
      <c r="EO255" t="str">
        <f t="shared" si="1949"/>
        <v/>
      </c>
      <c r="EP255" t="str">
        <f t="shared" si="1950"/>
        <v/>
      </c>
      <c r="EQ255" t="str">
        <f t="shared" si="1951"/>
        <v/>
      </c>
      <c r="ER255" t="str">
        <f t="shared" si="1952"/>
        <v/>
      </c>
      <c r="ES255" t="str">
        <f t="shared" si="1953"/>
        <v/>
      </c>
      <c r="ET255" t="str">
        <f t="shared" si="1954"/>
        <v/>
      </c>
      <c r="EU255" t="str">
        <f t="shared" si="1955"/>
        <v/>
      </c>
      <c r="EV255" t="str">
        <f t="shared" si="1956"/>
        <v/>
      </c>
      <c r="EW255" t="str">
        <f t="shared" si="1957"/>
        <v/>
      </c>
      <c r="EX255" t="str">
        <f t="shared" si="1958"/>
        <v/>
      </c>
      <c r="EY255" t="str">
        <f t="shared" si="1959"/>
        <v/>
      </c>
    </row>
    <row r="256" spans="1:155" ht="13.9" customHeight="1" x14ac:dyDescent="0.25">
      <c r="A256" s="7"/>
      <c r="B256" s="17"/>
      <c r="C256" s="8"/>
      <c r="D256" s="17"/>
      <c r="E256" s="8"/>
      <c r="F256" s="18">
        <v>0</v>
      </c>
      <c r="G256" s="7" t="s">
        <v>147</v>
      </c>
      <c r="H256" s="18">
        <v>0</v>
      </c>
      <c r="I256" s="19">
        <v>0</v>
      </c>
      <c r="J256" s="7" t="s">
        <v>147</v>
      </c>
      <c r="K256" s="19">
        <v>0</v>
      </c>
      <c r="L256" s="9"/>
      <c r="M256" s="3" t="str">
        <f>IF($L256="","",IF($L256="DOELPUNTENMAKERS","",IF(AND(COUNTIF(#REF!,$B256)=0,COUNTIF(#REF!,$D256)=0),"OK",IF($O256&gt;20,"LET OP: meer dan 20 items (controle onvolledig)",IF((COUNTIF($R256:$AS256,"ONZEKER")+COUNTIF($CJ256:$DK256,"ONZEKER"))&gt;0,"LET OP: scoreverloop onduidelijk (controle beperkt)",IF((IF($AT256&lt;&gt;"",$AT256&amp;", ","")&amp;IF($AU256&lt;&gt;"",$AU256&amp;", ","")&amp;IF($AV256&lt;&gt;"",$AV256&amp;", ","")&amp;IF($AW256&lt;&gt;"",$AW256&amp;", ","")&amp;IF($AX256&lt;&gt;"",$AX256&amp;", ","")&amp;IF($AY256&lt;&gt;"",$AY256&amp;", ","")&amp;IF($AZ256&lt;&gt;"",$AZ256&amp;", ","")&amp;IF($BA256&lt;&gt;"",$BA256&amp;", ","")&amp;IF($BB256&lt;&gt;"",$BB256&amp;", ","")&amp;IF($BC256&lt;&gt;"",$BC256&amp;", ","")&amp;IF($DL256&lt;&gt;"",$DL256&amp;", ","")&amp;IF($DM256&lt;&gt;"",$DM256&amp;", ","")&amp;IF($DN256&lt;&gt;"",$DN256&amp;", ","")&amp;IF($DO256&lt;&gt;"",$DO256&amp;", ","")&amp;IF($DP256&lt;&gt;"",$DP256&amp;", ","")&amp;IF($DQ256&lt;&gt;"",$DQ256&amp;", ","")&amp;IF($DR256&lt;&gt;"",$DR256&amp;", ","")&amp;IF($DS256&lt;&gt;"",$DS256&amp;", ","")&amp;IF($DT256&lt;&gt;"",$DT256&amp;", ","")&amp;IF($DU256&lt;&gt;"",$DU256&amp;", ",""))="","OK","Onbekend: "&amp;LEFT((IF($AT256&lt;&gt;"",$AT256&amp;", ","")&amp;IF($AU256&lt;&gt;"",$AU256&amp;", ","")&amp;IF($AV256&lt;&gt;"",$AV256&amp;", ","")&amp;IF($AW256&lt;&gt;"",$AW256&amp;", ","")&amp;IF($AX256&lt;&gt;"",$AX256&amp;", ","")&amp;IF($AY256&lt;&gt;"",$AY256&amp;", ","")&amp;IF($AZ256&lt;&gt;"",$AZ256&amp;", ","")&amp;IF($BA256&lt;&gt;"",$BA256&amp;", ","")&amp;IF($BB256&lt;&gt;"",$BB256&amp;", ","")&amp;IF($BC256&lt;&gt;"",$BC256&amp;", ","")&amp;IF($DL256&lt;&gt;"",$DL256&amp;", ","")&amp;IF($DM256&lt;&gt;"",$DM256&amp;", ","")&amp;IF($DN256&lt;&gt;"",$DN256&amp;", ","")&amp;IF($DO256&lt;&gt;"",$DO256&amp;", ","")&amp;IF($DP256&lt;&gt;"",$DP256&amp;", ","")&amp;IF($DQ256&lt;&gt;"",$DQ256&amp;", ","")&amp;IF($DR256&lt;&gt;"",$DR256&amp;", ","")&amp;IF($DS256&lt;&gt;"",$DS256&amp;", ","")&amp;IF($DT256&lt;&gt;"",$DT256&amp;", ","")&amp;IF($DU256&lt;&gt;"",$DU256&amp;", ","")),LEN((IF($AT256&lt;&gt;"",$AT256&amp;", ","")&amp;IF($AU256&lt;&gt;"",$AU256&amp;", ","")&amp;IF($AV256&lt;&gt;"",$AV256&amp;", ","")&amp;IF($AW256&lt;&gt;"",$AW256&amp;", ","")&amp;IF($AX256&lt;&gt;"",$AX256&amp;", ","")&amp;IF($AY256&lt;&gt;"",$AY256&amp;", ","")&amp;IF($AZ256&lt;&gt;"",$AZ256&amp;", ","")&amp;IF($BA256&lt;&gt;"",$BA256&amp;", ","")&amp;IF($BB256&lt;&gt;"",$BB256&amp;", ","")&amp;IF($BC256&lt;&gt;"",$BC256&amp;", ","")&amp;IF($DL256&lt;&gt;"",$DL256&amp;", ","")&amp;IF($DM256&lt;&gt;"",$DM256&amp;", ","")&amp;IF($DN256&lt;&gt;"",$DN256&amp;", ","")&amp;IF($DO256&lt;&gt;"",$DO256&amp;", ","")&amp;IF($DP256&lt;&gt;"",$DP256&amp;", ","")&amp;IF($DQ256&lt;&gt;"",$DQ256&amp;", ","")&amp;IF($DR256&lt;&gt;"",$DR256&amp;", ","")&amp;IF($DS256&lt;&gt;"",$DS256&amp;", ","")&amp;IF($DT256&lt;&gt;"",$DT256&amp;", ","")&amp;IF($DU256&lt;&gt;"",$DU256&amp;", ","")))-2)))))))</f>
        <v/>
      </c>
      <c r="N256" t="str">
        <f t="shared" si="1868"/>
        <v/>
      </c>
      <c r="O256" t="str">
        <f t="shared" si="1869"/>
        <v/>
      </c>
      <c r="P256" t="str">
        <f t="shared" si="1870"/>
        <v/>
      </c>
      <c r="Q256" t="str">
        <f t="shared" si="1871"/>
        <v/>
      </c>
      <c r="R256" t="str">
        <f>IF($Q256="","",IF(OR($BE256="",$BF256=""),"ONZEKER",IF(AND($BE256=0+1,$BF256=0),IF(OR(COUNTIF(#REF!,$B256)&gt;0,COUNTIF(#REF!,$B256)=0),"SKIP",IF(COUNTIFS(#REF!,$B256,#REF!,$Q256)&gt;0,"OK","ONBEKEND")),IF(AND($BE256=0,$BF256=0+1),IF(OR(COUNTIF(#REF!,$D256)&gt;0,COUNTIF(#REF!,$D256)=0),"SKIP",IF(COUNTIFS(#REF!,$D256,#REF!,$Q256)&gt;0,"OK","ONBEKEND")),"ONZEKER"))))</f>
        <v/>
      </c>
      <c r="S256" t="str">
        <f t="shared" si="1872"/>
        <v/>
      </c>
      <c r="T256" t="str">
        <f t="shared" si="1873"/>
        <v/>
      </c>
      <c r="U256" t="str">
        <f>IF($T256="","",IF(OR($BH256="",$BI256=""),"ONZEKER",IF(OR($BE256="",$BF256=""),"ONZEKER",IF(AND($BH256=$BE256+1,$BI256=$BF256),IF(OR(COUNTIF(#REF!,$B256)&gt;0,COUNTIF(#REF!,$B256)=0),"SKIP",IF(COUNTIFS(#REF!,$B256,#REF!,$T256)&gt;0,"OK","ONBEKEND")),IF(AND($BH256=$BE256,$BI256=$BF256+1),IF(OR(COUNTIF(#REF!,$D256)&gt;0,COUNTIF(#REF!,$D256)=0),"SKIP",IF(COUNTIFS(#REF!,$D256,#REF!,$T256)&gt;0,"OK","ONBEKEND")),"ONZEKER")))))</f>
        <v/>
      </c>
      <c r="V256" t="str">
        <f t="shared" si="1874"/>
        <v/>
      </c>
      <c r="W256" t="str">
        <f t="shared" si="1875"/>
        <v/>
      </c>
      <c r="X256" t="str">
        <f>IF($W256="","",IF(OR($BK256="",$BL256=""),"ONZEKER",IF(OR($BH256="",$BI256=""),"ONZEKER",IF(AND($BK256=$BH256+1,$BL256=$BI256),IF(OR(COUNTIF(#REF!,$B256)&gt;0,COUNTIF(#REF!,$B256)=0),"SKIP",IF(COUNTIFS(#REF!,$B256,#REF!,$W256)&gt;0,"OK","ONBEKEND")),IF(AND($BK256=$BH256,$BL256=$BI256+1),IF(OR(COUNTIF(#REF!,$D256)&gt;0,COUNTIF(#REF!,$D256)=0),"SKIP",IF(COUNTIFS(#REF!,$D256,#REF!,$W256)&gt;0,"OK","ONBEKEND")),"ONZEKER")))))</f>
        <v/>
      </c>
      <c r="Y256" t="str">
        <f t="shared" si="1876"/>
        <v/>
      </c>
      <c r="Z256" t="str">
        <f t="shared" si="1877"/>
        <v/>
      </c>
      <c r="AA256" t="str">
        <f>IF($Z256="","",IF(OR($BN256="",$BO256=""),"ONZEKER",IF(OR($BK256="",$BL256=""),"ONZEKER",IF(AND($BN256=$BK256+1,$BO256=$BL256),IF(OR(COUNTIF(#REF!,$B256)&gt;0,COUNTIF(#REF!,$B256)=0),"SKIP",IF(COUNTIFS(#REF!,$B256,#REF!,$Z256)&gt;0,"OK","ONBEKEND")),IF(AND($BN256=$BK256,$BO256=$BL256+1),IF(OR(COUNTIF(#REF!,$D256)&gt;0,COUNTIF(#REF!,$D256)=0),"SKIP",IF(COUNTIFS(#REF!,$D256,#REF!,$Z256)&gt;0,"OK","ONBEKEND")),"ONZEKER")))))</f>
        <v/>
      </c>
      <c r="AB256" t="str">
        <f t="shared" si="1878"/>
        <v/>
      </c>
      <c r="AC256" t="str">
        <f t="shared" si="1879"/>
        <v/>
      </c>
      <c r="AD256" t="str">
        <f>IF($AC256="","",IF(OR($BQ256="",$BR256=""),"ONZEKER",IF(OR($BN256="",$BO256=""),"ONZEKER",IF(AND($BQ256=$BN256+1,$BR256=$BO256),IF(OR(COUNTIF(#REF!,$B256)&gt;0,COUNTIF(#REF!,$B256)=0),"SKIP",IF(COUNTIFS(#REF!,$B256,#REF!,$AC256)&gt;0,"OK","ONBEKEND")),IF(AND($BQ256=$BN256,$BR256=$BO256+1),IF(OR(COUNTIF(#REF!,$D256)&gt;0,COUNTIF(#REF!,$D256)=0),"SKIP",IF(COUNTIFS(#REF!,$D256,#REF!,$AC256)&gt;0,"OK","ONBEKEND")),"ONZEKER")))))</f>
        <v/>
      </c>
      <c r="AE256" t="str">
        <f t="shared" si="1880"/>
        <v/>
      </c>
      <c r="AF256" t="str">
        <f t="shared" si="1881"/>
        <v/>
      </c>
      <c r="AG256" t="str">
        <f>IF($AF256="","",IF(OR($BT256="",$BU256=""),"ONZEKER",IF(OR($BQ256="",$BR256=""),"ONZEKER",IF(AND($BT256=$BQ256+1,$BU256=$BR256),IF(OR(COUNTIF(#REF!,$B256)&gt;0,COUNTIF(#REF!,$B256)=0),"SKIP",IF(COUNTIFS(#REF!,$B256,#REF!,$AF256)&gt;0,"OK","ONBEKEND")),IF(AND($BT256=$BQ256,$BU256=$BR256+1),IF(OR(COUNTIF(#REF!,$D256)&gt;0,COUNTIF(#REF!,$D256)=0),"SKIP",IF(COUNTIFS(#REF!,$D256,#REF!,$AF256)&gt;0,"OK","ONBEKEND")),"ONZEKER")))))</f>
        <v/>
      </c>
      <c r="AH256" t="str">
        <f t="shared" si="1882"/>
        <v/>
      </c>
      <c r="AI256" t="str">
        <f t="shared" si="1883"/>
        <v/>
      </c>
      <c r="AJ256" t="str">
        <f>IF($AI256="","",IF(OR($BW256="",$BX256=""),"ONZEKER",IF(OR($BT256="",$BU256=""),"ONZEKER",IF(AND($BW256=$BT256+1,$BX256=$BU256),IF(OR(COUNTIF(#REF!,$B256)&gt;0,COUNTIF(#REF!,$B256)=0),"SKIP",IF(COUNTIFS(#REF!,$B256,#REF!,$AI256)&gt;0,"OK","ONBEKEND")),IF(AND($BW256=$BT256,$BX256=$BU256+1),IF(OR(COUNTIF(#REF!,$D256)&gt;0,COUNTIF(#REF!,$D256)=0),"SKIP",IF(COUNTIFS(#REF!,$D256,#REF!,$AI256)&gt;0,"OK","ONBEKEND")),"ONZEKER")))))</f>
        <v/>
      </c>
      <c r="AK256" t="str">
        <f t="shared" si="1884"/>
        <v/>
      </c>
      <c r="AL256" t="str">
        <f t="shared" si="1885"/>
        <v/>
      </c>
      <c r="AM256" t="str">
        <f>IF($AL256="","",IF(OR($BZ256="",$CA256=""),"ONZEKER",IF(OR($BW256="",$BX256=""),"ONZEKER",IF(AND($BZ256=$BW256+1,$CA256=$BX256),IF(OR(COUNTIF(#REF!,$B256)&gt;0,COUNTIF(#REF!,$B256)=0),"SKIP",IF(COUNTIFS(#REF!,$B256,#REF!,$AL256)&gt;0,"OK","ONBEKEND")),IF(AND($BZ256=$BW256,$CA256=$BX256+1),IF(OR(COUNTIF(#REF!,$D256)&gt;0,COUNTIF(#REF!,$D256)=0),"SKIP",IF(COUNTIFS(#REF!,$D256,#REF!,$AL256)&gt;0,"OK","ONBEKEND")),"ONZEKER")))))</f>
        <v/>
      </c>
      <c r="AN256" t="str">
        <f t="shared" si="1886"/>
        <v/>
      </c>
      <c r="AO256" t="str">
        <f t="shared" si="1887"/>
        <v/>
      </c>
      <c r="AP256" t="str">
        <f>IF($AO256="","",IF(OR($CC256="",$CD256=""),"ONZEKER",IF(OR($BZ256="",$CA256=""),"ONZEKER",IF(AND($CC256=$BZ256+1,$CD256=$CA256),IF(OR(COUNTIF(#REF!,$B256)&gt;0,COUNTIF(#REF!,$B256)=0),"SKIP",IF(COUNTIFS(#REF!,$B256,#REF!,$AO256)&gt;0,"OK","ONBEKEND")),IF(AND($CC256=$BZ256,$CD256=$CA256+1),IF(OR(COUNTIF(#REF!,$D256)&gt;0,COUNTIF(#REF!,$D256)=0),"SKIP",IF(COUNTIFS(#REF!,$D256,#REF!,$AO256)&gt;0,"OK","ONBEKEND")),"ONZEKER")))))</f>
        <v/>
      </c>
      <c r="AQ256" t="str">
        <f t="shared" si="1888"/>
        <v/>
      </c>
      <c r="AR256" t="str">
        <f t="shared" si="1889"/>
        <v/>
      </c>
      <c r="AS256" t="str">
        <f>IF($AR256="","",IF(OR($CF256="",$CG256=""),"ONZEKER",IF(OR($CC256="",$CD256=""),"ONZEKER",IF(AND($CF256=$CC256+1,$CG256=$CD256),IF(OR(COUNTIF(#REF!,$B256)&gt;0,COUNTIF(#REF!,$B256)=0),"SKIP",IF(COUNTIFS(#REF!,$B256,#REF!,$AR256)&gt;0,"OK","ONBEKEND")),IF(AND($CF256=$CC256,$CG256=$CD256+1),IF(OR(COUNTIF(#REF!,$D256)&gt;0,COUNTIF(#REF!,$D256)=0),"SKIP",IF(COUNTIFS(#REF!,$D256,#REF!,$AR256)&gt;0,"OK","ONBEKEND")),"ONZEKER")))))</f>
        <v/>
      </c>
      <c r="AT256" t="str">
        <f t="shared" si="1890"/>
        <v/>
      </c>
      <c r="AU256" t="str">
        <f t="shared" si="1891"/>
        <v/>
      </c>
      <c r="AV256" t="str">
        <f t="shared" si="1892"/>
        <v/>
      </c>
      <c r="AW256" t="str">
        <f t="shared" si="1893"/>
        <v/>
      </c>
      <c r="AX256" t="str">
        <f t="shared" si="1894"/>
        <v/>
      </c>
      <c r="AY256" t="str">
        <f t="shared" si="1895"/>
        <v/>
      </c>
      <c r="AZ256" t="str">
        <f t="shared" si="1896"/>
        <v/>
      </c>
      <c r="BA256" t="str">
        <f t="shared" si="1897"/>
        <v/>
      </c>
      <c r="BB256" t="str">
        <f t="shared" si="1898"/>
        <v/>
      </c>
      <c r="BC256" t="str">
        <f t="shared" si="1899"/>
        <v/>
      </c>
      <c r="BD256" t="str">
        <f t="shared" si="1470"/>
        <v/>
      </c>
      <c r="BE256" t="str">
        <f t="shared" si="1471"/>
        <v/>
      </c>
      <c r="BF256" t="str">
        <f t="shared" si="1472"/>
        <v/>
      </c>
      <c r="BG256" t="str">
        <f t="shared" si="1473"/>
        <v/>
      </c>
      <c r="BH256" t="str">
        <f t="shared" si="1474"/>
        <v/>
      </c>
      <c r="BI256" t="str">
        <f t="shared" si="1475"/>
        <v/>
      </c>
      <c r="BJ256" t="str">
        <f t="shared" si="1476"/>
        <v/>
      </c>
      <c r="BK256" t="str">
        <f t="shared" si="1477"/>
        <v/>
      </c>
      <c r="BL256" t="str">
        <f t="shared" si="1478"/>
        <v/>
      </c>
      <c r="BM256" t="str">
        <f t="shared" si="1479"/>
        <v/>
      </c>
      <c r="BN256" t="str">
        <f t="shared" si="1480"/>
        <v/>
      </c>
      <c r="BO256" t="str">
        <f t="shared" si="1481"/>
        <v/>
      </c>
      <c r="BP256" t="str">
        <f t="shared" si="1482"/>
        <v/>
      </c>
      <c r="BQ256" t="str">
        <f t="shared" si="1483"/>
        <v/>
      </c>
      <c r="BR256" t="str">
        <f t="shared" si="1484"/>
        <v/>
      </c>
      <c r="BS256" t="str">
        <f t="shared" si="1485"/>
        <v/>
      </c>
      <c r="BT256" t="str">
        <f t="shared" si="1486"/>
        <v/>
      </c>
      <c r="BU256" t="str">
        <f t="shared" si="1487"/>
        <v/>
      </c>
      <c r="BV256" t="str">
        <f t="shared" si="1488"/>
        <v/>
      </c>
      <c r="BW256" t="str">
        <f t="shared" si="1489"/>
        <v/>
      </c>
      <c r="BX256" t="str">
        <f t="shared" si="1490"/>
        <v/>
      </c>
      <c r="BY256" t="str">
        <f t="shared" si="1491"/>
        <v/>
      </c>
      <c r="BZ256" t="str">
        <f t="shared" si="1492"/>
        <v/>
      </c>
      <c r="CA256" t="str">
        <f t="shared" si="1493"/>
        <v/>
      </c>
      <c r="CB256" t="str">
        <f t="shared" si="1494"/>
        <v/>
      </c>
      <c r="CC256" t="str">
        <f t="shared" si="1495"/>
        <v/>
      </c>
      <c r="CD256" t="str">
        <f t="shared" si="1496"/>
        <v/>
      </c>
      <c r="CE256" t="str">
        <f t="shared" si="1497"/>
        <v/>
      </c>
      <c r="CF256" t="str">
        <f t="shared" si="1498"/>
        <v/>
      </c>
      <c r="CG256" t="str">
        <f t="shared" si="1499"/>
        <v/>
      </c>
      <c r="CH256" t="str">
        <f t="shared" si="1900"/>
        <v/>
      </c>
      <c r="CI256" t="str">
        <f t="shared" si="1901"/>
        <v/>
      </c>
      <c r="CJ256" t="str">
        <f>IF($CI256="","",IF(OR($DW256="",$DX256=""),"ONZEKER",IF(OR($CF256="",$CG256=""),"ONZEKER",IF(AND($DW256=$CF256+1,$DX256=$CG256),IF(OR(COUNTIF(#REF!,$B256)&gt;0,COUNTIF(#REF!,$B256)=0),"SKIP",IF(COUNTIFS(#REF!,$B256,#REF!,$CI256)&gt;0,"OK","ONBEKEND")),IF(AND($DW256=$CF256,$DX256=$CG256+1),IF(OR(COUNTIF(#REF!,$D256)&gt;0,COUNTIF(#REF!,$D256)=0),"SKIP",IF(COUNTIFS(#REF!,$D256,#REF!,$CI256)&gt;0,"OK","ONBEKEND")),"ONZEKER")))))</f>
        <v/>
      </c>
      <c r="CK256" t="str">
        <f t="shared" si="1902"/>
        <v/>
      </c>
      <c r="CL256" t="str">
        <f t="shared" si="1903"/>
        <v/>
      </c>
      <c r="CM256" t="str">
        <f>IF($CL256="","",IF(OR($DZ256="",$EA256=""),"ONZEKER",IF(OR($DW256="",$DX256=""),"ONZEKER",IF(AND($DZ256=$DW256+1,$EA256=$DX256),IF(OR(COUNTIF(#REF!,$B256)&gt;0,COUNTIF(#REF!,$B256)=0),"SKIP",IF(COUNTIFS(#REF!,$B256,#REF!,$CL256)&gt;0,"OK","ONBEKEND")),IF(AND($DZ256=$DW256,$EA256=$DX256+1),IF(OR(COUNTIF(#REF!,$D256)&gt;0,COUNTIF(#REF!,$D256)=0),"SKIP",IF(COUNTIFS(#REF!,$D256,#REF!,$CL256)&gt;0,"OK","ONBEKEND")),"ONZEKER")))))</f>
        <v/>
      </c>
      <c r="CN256" t="str">
        <f t="shared" si="1904"/>
        <v/>
      </c>
      <c r="CO256" t="str">
        <f t="shared" si="1905"/>
        <v/>
      </c>
      <c r="CP256" t="str">
        <f>IF($CO256="","",IF(OR($EC256="",$ED256=""),"ONZEKER",IF(OR($DZ256="",$EA256=""),"ONZEKER",IF(AND($EC256=$DZ256+1,$ED256=$EA256),IF(OR(COUNTIF(#REF!,$B256)&gt;0,COUNTIF(#REF!,$B256)=0),"SKIP",IF(COUNTIFS(#REF!,$B256,#REF!,$CO256)&gt;0,"OK","ONBEKEND")),IF(AND($EC256=$DZ256,$ED256=$EA256+1),IF(OR(COUNTIF(#REF!,$D256)&gt;0,COUNTIF(#REF!,$D256)=0),"SKIP",IF(COUNTIFS(#REF!,$D256,#REF!,$CO256)&gt;0,"OK","ONBEKEND")),"ONZEKER")))))</f>
        <v/>
      </c>
      <c r="CQ256" t="str">
        <f t="shared" si="1906"/>
        <v/>
      </c>
      <c r="CR256" t="str">
        <f t="shared" si="1907"/>
        <v/>
      </c>
      <c r="CS256" t="str">
        <f>IF($CR256="","",IF(OR($EF256="",$EG256=""),"ONZEKER",IF(OR($EC256="",$ED256=""),"ONZEKER",IF(AND($EF256=$EC256+1,$EG256=$ED256),IF(OR(COUNTIF(#REF!,$B256)&gt;0,COUNTIF(#REF!,$B256)=0),"SKIP",IF(COUNTIFS(#REF!,$B256,#REF!,$CR256)&gt;0,"OK","ONBEKEND")),IF(AND($EF256=$EC256,$EG256=$ED256+1),IF(OR(COUNTIF(#REF!,$D256)&gt;0,COUNTIF(#REF!,$D256)=0),"SKIP",IF(COUNTIFS(#REF!,$D256,#REF!,$CR256)&gt;0,"OK","ONBEKEND")),"ONZEKER")))))</f>
        <v/>
      </c>
      <c r="CT256" t="str">
        <f t="shared" si="1908"/>
        <v/>
      </c>
      <c r="CU256" t="str">
        <f t="shared" si="1909"/>
        <v/>
      </c>
      <c r="CV256" t="str">
        <f>IF($CU256="","",IF(OR($EI256="",$EJ256=""),"ONZEKER",IF(OR($EF256="",$EG256=""),"ONZEKER",IF(AND($EI256=$EF256+1,$EJ256=$EG256),IF(OR(COUNTIF(#REF!,$B256)&gt;0,COUNTIF(#REF!,$B256)=0),"SKIP",IF(COUNTIFS(#REF!,$B256,#REF!,$CU256)&gt;0,"OK","ONBEKEND")),IF(AND($EI256=$EF256,$EJ256=$EG256+1),IF(OR(COUNTIF(#REF!,$D256)&gt;0,COUNTIF(#REF!,$D256)=0),"SKIP",IF(COUNTIFS(#REF!,$D256,#REF!,$CU256)&gt;0,"OK","ONBEKEND")),"ONZEKER")))))</f>
        <v/>
      </c>
      <c r="CW256" t="str">
        <f t="shared" si="1910"/>
        <v/>
      </c>
      <c r="CX256" t="str">
        <f t="shared" si="1911"/>
        <v/>
      </c>
      <c r="CY256" t="str">
        <f>IF($CX256="","",IF(OR($EL256="",$EM256=""),"ONZEKER",IF(OR($EI256="",$EJ256=""),"ONZEKER",IF(AND($EL256=$EI256+1,$EM256=$EJ256),IF(OR(COUNTIF(#REF!,$B256)&gt;0,COUNTIF(#REF!,$B256)=0),"SKIP",IF(COUNTIFS(#REF!,$B256,#REF!,$CX256)&gt;0,"OK","ONBEKEND")),IF(AND($EL256=$EI256,$EM256=$EJ256+1),IF(OR(COUNTIF(#REF!,$D256)&gt;0,COUNTIF(#REF!,$D256)=0),"SKIP",IF(COUNTIFS(#REF!,$D256,#REF!,$CX256)&gt;0,"OK","ONBEKEND")),"ONZEKER")))))</f>
        <v/>
      </c>
      <c r="CZ256" t="str">
        <f t="shared" si="1912"/>
        <v/>
      </c>
      <c r="DA256" t="str">
        <f t="shared" si="1913"/>
        <v/>
      </c>
      <c r="DB256" t="str">
        <f>IF($DA256="","",IF(OR($EO256="",$EP256=""),"ONZEKER",IF(OR($EL256="",$EM256=""),"ONZEKER",IF(AND($EO256=$EL256+1,$EP256=$EM256),IF(OR(COUNTIF(#REF!,$B256)&gt;0,COUNTIF(#REF!,$B256)=0),"SKIP",IF(COUNTIFS(#REF!,$B256,#REF!,$DA256)&gt;0,"OK","ONBEKEND")),IF(AND($EO256=$EL256,$EP256=$EM256+1),IF(OR(COUNTIF(#REF!,$D256)&gt;0,COUNTIF(#REF!,$D256)=0),"SKIP",IF(COUNTIFS(#REF!,$D256,#REF!,$DA256)&gt;0,"OK","ONBEKEND")),"ONZEKER")))))</f>
        <v/>
      </c>
      <c r="DC256" t="str">
        <f t="shared" si="1914"/>
        <v/>
      </c>
      <c r="DD256" t="str">
        <f t="shared" si="1915"/>
        <v/>
      </c>
      <c r="DE256" t="str">
        <f>IF($DD256="","",IF(OR($ER256="",$ES256=""),"ONZEKER",IF(OR($EO256="",$EP256=""),"ONZEKER",IF(AND($ER256=$EO256+1,$ES256=$EP256),IF(OR(COUNTIF(#REF!,$B256)&gt;0,COUNTIF(#REF!,$B256)=0),"SKIP",IF(COUNTIFS(#REF!,$B256,#REF!,$DD256)&gt;0,"OK","ONBEKEND")),IF(AND($ER256=$EO256,$ES256=$EP256+1),IF(OR(COUNTIF(#REF!,$D256)&gt;0,COUNTIF(#REF!,$D256)=0),"SKIP",IF(COUNTIFS(#REF!,$D256,#REF!,$DD256)&gt;0,"OK","ONBEKEND")),"ONZEKER")))))</f>
        <v/>
      </c>
      <c r="DF256" t="str">
        <f t="shared" si="1916"/>
        <v/>
      </c>
      <c r="DG256" t="str">
        <f t="shared" si="1917"/>
        <v/>
      </c>
      <c r="DH256" t="str">
        <f>IF($DG256="","",IF(OR($EU256="",$EV256=""),"ONZEKER",IF(OR($ER256="",$ES256=""),"ONZEKER",IF(AND($EU256=$ER256+1,$EV256=$ES256),IF(OR(COUNTIF(#REF!,$B256)&gt;0,COUNTIF(#REF!,$B256)=0),"SKIP",IF(COUNTIFS(#REF!,$B256,#REF!,$DG256)&gt;0,"OK","ONBEKEND")),IF(AND($EU256=$ER256,$EV256=$ES256+1),IF(OR(COUNTIF(#REF!,$D256)&gt;0,COUNTIF(#REF!,$D256)=0),"SKIP",IF(COUNTIFS(#REF!,$D256,#REF!,$DG256)&gt;0,"OK","ONBEKEND")),"ONZEKER")))))</f>
        <v/>
      </c>
      <c r="DI256" t="str">
        <f t="shared" si="1918"/>
        <v/>
      </c>
      <c r="DJ256" t="str">
        <f t="shared" si="1919"/>
        <v/>
      </c>
      <c r="DK256" t="str">
        <f>IF($DJ256="","",IF(OR($EX256="",$EY256=""),"ONZEKER",IF(OR($EU256="",$EV256=""),"ONZEKER",IF(AND($EX256=$EU256+1,$EY256=$EV256),IF(OR(COUNTIF(#REF!,$B256)&gt;0,COUNTIF(#REF!,$B256)=0),"SKIP",IF(COUNTIFS(#REF!,$B256,#REF!,$DJ256)&gt;0,"OK","ONBEKEND")),IF(AND($EX256=$EU256,$EY256=$EV256+1),IF(OR(COUNTIF(#REF!,$D256)&gt;0,COUNTIF(#REF!,$D256)=0),"SKIP",IF(COUNTIFS(#REF!,$D256,#REF!,$DJ256)&gt;0,"OK","ONBEKEND")),"ONZEKER")))))</f>
        <v/>
      </c>
      <c r="DL256" t="str">
        <f t="shared" si="1920"/>
        <v/>
      </c>
      <c r="DM256" t="str">
        <f t="shared" si="1921"/>
        <v/>
      </c>
      <c r="DN256" t="str">
        <f t="shared" si="1922"/>
        <v/>
      </c>
      <c r="DO256" t="str">
        <f t="shared" si="1923"/>
        <v/>
      </c>
      <c r="DP256" t="str">
        <f t="shared" si="1924"/>
        <v/>
      </c>
      <c r="DQ256" t="str">
        <f t="shared" si="1925"/>
        <v/>
      </c>
      <c r="DR256" t="str">
        <f t="shared" si="1926"/>
        <v/>
      </c>
      <c r="DS256" t="str">
        <f t="shared" si="1927"/>
        <v/>
      </c>
      <c r="DT256" t="str">
        <f t="shared" si="1928"/>
        <v/>
      </c>
      <c r="DU256" t="str">
        <f t="shared" si="1929"/>
        <v/>
      </c>
      <c r="DV256" t="str">
        <f t="shared" si="1930"/>
        <v/>
      </c>
      <c r="DW256" t="str">
        <f t="shared" si="1931"/>
        <v/>
      </c>
      <c r="DX256" t="str">
        <f t="shared" si="1932"/>
        <v/>
      </c>
      <c r="DY256" t="str">
        <f t="shared" si="1933"/>
        <v/>
      </c>
      <c r="DZ256" t="str">
        <f t="shared" si="1934"/>
        <v/>
      </c>
      <c r="EA256" t="str">
        <f t="shared" si="1935"/>
        <v/>
      </c>
      <c r="EB256" t="str">
        <f t="shared" si="1936"/>
        <v/>
      </c>
      <c r="EC256" t="str">
        <f t="shared" si="1937"/>
        <v/>
      </c>
      <c r="ED256" t="str">
        <f t="shared" si="1938"/>
        <v/>
      </c>
      <c r="EE256" t="str">
        <f t="shared" si="1939"/>
        <v/>
      </c>
      <c r="EF256" t="str">
        <f t="shared" si="1940"/>
        <v/>
      </c>
      <c r="EG256" t="str">
        <f t="shared" si="1941"/>
        <v/>
      </c>
      <c r="EH256" t="str">
        <f t="shared" si="1942"/>
        <v/>
      </c>
      <c r="EI256" t="str">
        <f t="shared" si="1943"/>
        <v/>
      </c>
      <c r="EJ256" t="str">
        <f t="shared" si="1944"/>
        <v/>
      </c>
      <c r="EK256" t="str">
        <f t="shared" si="1945"/>
        <v/>
      </c>
      <c r="EL256" t="str">
        <f t="shared" si="1946"/>
        <v/>
      </c>
      <c r="EM256" t="str">
        <f t="shared" si="1947"/>
        <v/>
      </c>
      <c r="EN256" t="str">
        <f t="shared" si="1948"/>
        <v/>
      </c>
      <c r="EO256" t="str">
        <f t="shared" si="1949"/>
        <v/>
      </c>
      <c r="EP256" t="str">
        <f t="shared" si="1950"/>
        <v/>
      </c>
      <c r="EQ256" t="str">
        <f t="shared" si="1951"/>
        <v/>
      </c>
      <c r="ER256" t="str">
        <f t="shared" si="1952"/>
        <v/>
      </c>
      <c r="ES256" t="str">
        <f t="shared" si="1953"/>
        <v/>
      </c>
      <c r="ET256" t="str">
        <f t="shared" si="1954"/>
        <v/>
      </c>
      <c r="EU256" t="str">
        <f t="shared" si="1955"/>
        <v/>
      </c>
      <c r="EV256" t="str">
        <f t="shared" si="1956"/>
        <v/>
      </c>
      <c r="EW256" t="str">
        <f t="shared" si="1957"/>
        <v/>
      </c>
      <c r="EX256" t="str">
        <f t="shared" si="1958"/>
        <v/>
      </c>
      <c r="EY256" t="str">
        <f t="shared" si="1959"/>
        <v/>
      </c>
    </row>
    <row r="257" spans="1:155" ht="13.9" customHeight="1" x14ac:dyDescent="0.25">
      <c r="A257" s="7"/>
      <c r="B257" s="17"/>
      <c r="C257" s="8"/>
      <c r="D257" s="17"/>
      <c r="E257" s="8"/>
      <c r="F257" s="18">
        <v>0</v>
      </c>
      <c r="G257" s="7" t="s">
        <v>147</v>
      </c>
      <c r="H257" s="18">
        <v>0</v>
      </c>
      <c r="I257" s="19">
        <v>0</v>
      </c>
      <c r="J257" s="7" t="s">
        <v>147</v>
      </c>
      <c r="K257" s="19">
        <v>0</v>
      </c>
      <c r="L257" s="9"/>
      <c r="M257" s="3" t="str">
        <f>IF($L257="","",IF($L257="DOELPUNTENMAKERS","",IF(AND(COUNTIF(#REF!,$B257)=0,COUNTIF(#REF!,$D257)=0),"OK",IF($O257&gt;20,"LET OP: meer dan 20 items (controle onvolledig)",IF((COUNTIF($R257:$AS257,"ONZEKER")+COUNTIF($CJ257:$DK257,"ONZEKER"))&gt;0,"LET OP: scoreverloop onduidelijk (controle beperkt)",IF((IF($AT257&lt;&gt;"",$AT257&amp;", ","")&amp;IF($AU257&lt;&gt;"",$AU257&amp;", ","")&amp;IF($AV257&lt;&gt;"",$AV257&amp;", ","")&amp;IF($AW257&lt;&gt;"",$AW257&amp;", ","")&amp;IF($AX257&lt;&gt;"",$AX257&amp;", ","")&amp;IF($AY257&lt;&gt;"",$AY257&amp;", ","")&amp;IF($AZ257&lt;&gt;"",$AZ257&amp;", ","")&amp;IF($BA257&lt;&gt;"",$BA257&amp;", ","")&amp;IF($BB257&lt;&gt;"",$BB257&amp;", ","")&amp;IF($BC257&lt;&gt;"",$BC257&amp;", ","")&amp;IF($DL257&lt;&gt;"",$DL257&amp;", ","")&amp;IF($DM257&lt;&gt;"",$DM257&amp;", ","")&amp;IF($DN257&lt;&gt;"",$DN257&amp;", ","")&amp;IF($DO257&lt;&gt;"",$DO257&amp;", ","")&amp;IF($DP257&lt;&gt;"",$DP257&amp;", ","")&amp;IF($DQ257&lt;&gt;"",$DQ257&amp;", ","")&amp;IF($DR257&lt;&gt;"",$DR257&amp;", ","")&amp;IF($DS257&lt;&gt;"",$DS257&amp;", ","")&amp;IF($DT257&lt;&gt;"",$DT257&amp;", ","")&amp;IF($DU257&lt;&gt;"",$DU257&amp;", ",""))="","OK","Onbekend: "&amp;LEFT((IF($AT257&lt;&gt;"",$AT257&amp;", ","")&amp;IF($AU257&lt;&gt;"",$AU257&amp;", ","")&amp;IF($AV257&lt;&gt;"",$AV257&amp;", ","")&amp;IF($AW257&lt;&gt;"",$AW257&amp;", ","")&amp;IF($AX257&lt;&gt;"",$AX257&amp;", ","")&amp;IF($AY257&lt;&gt;"",$AY257&amp;", ","")&amp;IF($AZ257&lt;&gt;"",$AZ257&amp;", ","")&amp;IF($BA257&lt;&gt;"",$BA257&amp;", ","")&amp;IF($BB257&lt;&gt;"",$BB257&amp;", ","")&amp;IF($BC257&lt;&gt;"",$BC257&amp;", ","")&amp;IF($DL257&lt;&gt;"",$DL257&amp;", ","")&amp;IF($DM257&lt;&gt;"",$DM257&amp;", ","")&amp;IF($DN257&lt;&gt;"",$DN257&amp;", ","")&amp;IF($DO257&lt;&gt;"",$DO257&amp;", ","")&amp;IF($DP257&lt;&gt;"",$DP257&amp;", ","")&amp;IF($DQ257&lt;&gt;"",$DQ257&amp;", ","")&amp;IF($DR257&lt;&gt;"",$DR257&amp;", ","")&amp;IF($DS257&lt;&gt;"",$DS257&amp;", ","")&amp;IF($DT257&lt;&gt;"",$DT257&amp;", ","")&amp;IF($DU257&lt;&gt;"",$DU257&amp;", ","")),LEN((IF($AT257&lt;&gt;"",$AT257&amp;", ","")&amp;IF($AU257&lt;&gt;"",$AU257&amp;", ","")&amp;IF($AV257&lt;&gt;"",$AV257&amp;", ","")&amp;IF($AW257&lt;&gt;"",$AW257&amp;", ","")&amp;IF($AX257&lt;&gt;"",$AX257&amp;", ","")&amp;IF($AY257&lt;&gt;"",$AY257&amp;", ","")&amp;IF($AZ257&lt;&gt;"",$AZ257&amp;", ","")&amp;IF($BA257&lt;&gt;"",$BA257&amp;", ","")&amp;IF($BB257&lt;&gt;"",$BB257&amp;", ","")&amp;IF($BC257&lt;&gt;"",$BC257&amp;", ","")&amp;IF($DL257&lt;&gt;"",$DL257&amp;", ","")&amp;IF($DM257&lt;&gt;"",$DM257&amp;", ","")&amp;IF($DN257&lt;&gt;"",$DN257&amp;", ","")&amp;IF($DO257&lt;&gt;"",$DO257&amp;", ","")&amp;IF($DP257&lt;&gt;"",$DP257&amp;", ","")&amp;IF($DQ257&lt;&gt;"",$DQ257&amp;", ","")&amp;IF($DR257&lt;&gt;"",$DR257&amp;", ","")&amp;IF($DS257&lt;&gt;"",$DS257&amp;", ","")&amp;IF($DT257&lt;&gt;"",$DT257&amp;", ","")&amp;IF($DU257&lt;&gt;"",$DU257&amp;", ","")))-2)))))))</f>
        <v/>
      </c>
      <c r="N257" t="str">
        <f t="shared" si="1868"/>
        <v/>
      </c>
      <c r="O257" t="str">
        <f t="shared" si="1869"/>
        <v/>
      </c>
      <c r="P257" t="str">
        <f t="shared" si="1870"/>
        <v/>
      </c>
      <c r="Q257" t="str">
        <f t="shared" si="1871"/>
        <v/>
      </c>
      <c r="R257" t="str">
        <f>IF($Q257="","",IF(OR($BE257="",$BF257=""),"ONZEKER",IF(AND($BE257=0+1,$BF257=0),IF(OR(COUNTIF(#REF!,$B257)&gt;0,COUNTIF(#REF!,$B257)=0),"SKIP",IF(COUNTIFS(#REF!,$B257,#REF!,$Q257)&gt;0,"OK","ONBEKEND")),IF(AND($BE257=0,$BF257=0+1),IF(OR(COUNTIF(#REF!,$D257)&gt;0,COUNTIF(#REF!,$D257)=0),"SKIP",IF(COUNTIFS(#REF!,$D257,#REF!,$Q257)&gt;0,"OK","ONBEKEND")),"ONZEKER"))))</f>
        <v/>
      </c>
      <c r="S257" t="str">
        <f t="shared" si="1872"/>
        <v/>
      </c>
      <c r="T257" t="str">
        <f t="shared" si="1873"/>
        <v/>
      </c>
      <c r="U257" t="str">
        <f>IF($T257="","",IF(OR($BH257="",$BI257=""),"ONZEKER",IF(OR($BE257="",$BF257=""),"ONZEKER",IF(AND($BH257=$BE257+1,$BI257=$BF257),IF(OR(COUNTIF(#REF!,$B257)&gt;0,COUNTIF(#REF!,$B257)=0),"SKIP",IF(COUNTIFS(#REF!,$B257,#REF!,$T257)&gt;0,"OK","ONBEKEND")),IF(AND($BH257=$BE257,$BI257=$BF257+1),IF(OR(COUNTIF(#REF!,$D257)&gt;0,COUNTIF(#REF!,$D257)=0),"SKIP",IF(COUNTIFS(#REF!,$D257,#REF!,$T257)&gt;0,"OK","ONBEKEND")),"ONZEKER")))))</f>
        <v/>
      </c>
      <c r="V257" t="str">
        <f t="shared" si="1874"/>
        <v/>
      </c>
      <c r="W257" t="str">
        <f t="shared" si="1875"/>
        <v/>
      </c>
      <c r="X257" t="str">
        <f>IF($W257="","",IF(OR($BK257="",$BL257=""),"ONZEKER",IF(OR($BH257="",$BI257=""),"ONZEKER",IF(AND($BK257=$BH257+1,$BL257=$BI257),IF(OR(COUNTIF(#REF!,$B257)&gt;0,COUNTIF(#REF!,$B257)=0),"SKIP",IF(COUNTIFS(#REF!,$B257,#REF!,$W257)&gt;0,"OK","ONBEKEND")),IF(AND($BK257=$BH257,$BL257=$BI257+1),IF(OR(COUNTIF(#REF!,$D257)&gt;0,COUNTIF(#REF!,$D257)=0),"SKIP",IF(COUNTIFS(#REF!,$D257,#REF!,$W257)&gt;0,"OK","ONBEKEND")),"ONZEKER")))))</f>
        <v/>
      </c>
      <c r="Y257" t="str">
        <f t="shared" si="1876"/>
        <v/>
      </c>
      <c r="Z257" t="str">
        <f t="shared" si="1877"/>
        <v/>
      </c>
      <c r="AA257" t="str">
        <f>IF($Z257="","",IF(OR($BN257="",$BO257=""),"ONZEKER",IF(OR($BK257="",$BL257=""),"ONZEKER",IF(AND($BN257=$BK257+1,$BO257=$BL257),IF(OR(COUNTIF(#REF!,$B257)&gt;0,COUNTIF(#REF!,$B257)=0),"SKIP",IF(COUNTIFS(#REF!,$B257,#REF!,$Z257)&gt;0,"OK","ONBEKEND")),IF(AND($BN257=$BK257,$BO257=$BL257+1),IF(OR(COUNTIF(#REF!,$D257)&gt;0,COUNTIF(#REF!,$D257)=0),"SKIP",IF(COUNTIFS(#REF!,$D257,#REF!,$Z257)&gt;0,"OK","ONBEKEND")),"ONZEKER")))))</f>
        <v/>
      </c>
      <c r="AB257" t="str">
        <f t="shared" si="1878"/>
        <v/>
      </c>
      <c r="AC257" t="str">
        <f t="shared" si="1879"/>
        <v/>
      </c>
      <c r="AD257" t="str">
        <f>IF($AC257="","",IF(OR($BQ257="",$BR257=""),"ONZEKER",IF(OR($BN257="",$BO257=""),"ONZEKER",IF(AND($BQ257=$BN257+1,$BR257=$BO257),IF(OR(COUNTIF(#REF!,$B257)&gt;0,COUNTIF(#REF!,$B257)=0),"SKIP",IF(COUNTIFS(#REF!,$B257,#REF!,$AC257)&gt;0,"OK","ONBEKEND")),IF(AND($BQ257=$BN257,$BR257=$BO257+1),IF(OR(COUNTIF(#REF!,$D257)&gt;0,COUNTIF(#REF!,$D257)=0),"SKIP",IF(COUNTIFS(#REF!,$D257,#REF!,$AC257)&gt;0,"OK","ONBEKEND")),"ONZEKER")))))</f>
        <v/>
      </c>
      <c r="AE257" t="str">
        <f t="shared" si="1880"/>
        <v/>
      </c>
      <c r="AF257" t="str">
        <f t="shared" si="1881"/>
        <v/>
      </c>
      <c r="AG257" t="str">
        <f>IF($AF257="","",IF(OR($BT257="",$BU257=""),"ONZEKER",IF(OR($BQ257="",$BR257=""),"ONZEKER",IF(AND($BT257=$BQ257+1,$BU257=$BR257),IF(OR(COUNTIF(#REF!,$B257)&gt;0,COUNTIF(#REF!,$B257)=0),"SKIP",IF(COUNTIFS(#REF!,$B257,#REF!,$AF257)&gt;0,"OK","ONBEKEND")),IF(AND($BT257=$BQ257,$BU257=$BR257+1),IF(OR(COUNTIF(#REF!,$D257)&gt;0,COUNTIF(#REF!,$D257)=0),"SKIP",IF(COUNTIFS(#REF!,$D257,#REF!,$AF257)&gt;0,"OK","ONBEKEND")),"ONZEKER")))))</f>
        <v/>
      </c>
      <c r="AH257" t="str">
        <f t="shared" si="1882"/>
        <v/>
      </c>
      <c r="AI257" t="str">
        <f t="shared" si="1883"/>
        <v/>
      </c>
      <c r="AJ257" t="str">
        <f>IF($AI257="","",IF(OR($BW257="",$BX257=""),"ONZEKER",IF(OR($BT257="",$BU257=""),"ONZEKER",IF(AND($BW257=$BT257+1,$BX257=$BU257),IF(OR(COUNTIF(#REF!,$B257)&gt;0,COUNTIF(#REF!,$B257)=0),"SKIP",IF(COUNTIFS(#REF!,$B257,#REF!,$AI257)&gt;0,"OK","ONBEKEND")),IF(AND($BW257=$BT257,$BX257=$BU257+1),IF(OR(COUNTIF(#REF!,$D257)&gt;0,COUNTIF(#REF!,$D257)=0),"SKIP",IF(COUNTIFS(#REF!,$D257,#REF!,$AI257)&gt;0,"OK","ONBEKEND")),"ONZEKER")))))</f>
        <v/>
      </c>
      <c r="AK257" t="str">
        <f t="shared" si="1884"/>
        <v/>
      </c>
      <c r="AL257" t="str">
        <f t="shared" si="1885"/>
        <v/>
      </c>
      <c r="AM257" t="str">
        <f>IF($AL257="","",IF(OR($BZ257="",$CA257=""),"ONZEKER",IF(OR($BW257="",$BX257=""),"ONZEKER",IF(AND($BZ257=$BW257+1,$CA257=$BX257),IF(OR(COUNTIF(#REF!,$B257)&gt;0,COUNTIF(#REF!,$B257)=0),"SKIP",IF(COUNTIFS(#REF!,$B257,#REF!,$AL257)&gt;0,"OK","ONBEKEND")),IF(AND($BZ257=$BW257,$CA257=$BX257+1),IF(OR(COUNTIF(#REF!,$D257)&gt;0,COUNTIF(#REF!,$D257)=0),"SKIP",IF(COUNTIFS(#REF!,$D257,#REF!,$AL257)&gt;0,"OK","ONBEKEND")),"ONZEKER")))))</f>
        <v/>
      </c>
      <c r="AN257" t="str">
        <f t="shared" si="1886"/>
        <v/>
      </c>
      <c r="AO257" t="str">
        <f t="shared" si="1887"/>
        <v/>
      </c>
      <c r="AP257" t="str">
        <f>IF($AO257="","",IF(OR($CC257="",$CD257=""),"ONZEKER",IF(OR($BZ257="",$CA257=""),"ONZEKER",IF(AND($CC257=$BZ257+1,$CD257=$CA257),IF(OR(COUNTIF(#REF!,$B257)&gt;0,COUNTIF(#REF!,$B257)=0),"SKIP",IF(COUNTIFS(#REF!,$B257,#REF!,$AO257)&gt;0,"OK","ONBEKEND")),IF(AND($CC257=$BZ257,$CD257=$CA257+1),IF(OR(COUNTIF(#REF!,$D257)&gt;0,COUNTIF(#REF!,$D257)=0),"SKIP",IF(COUNTIFS(#REF!,$D257,#REF!,$AO257)&gt;0,"OK","ONBEKEND")),"ONZEKER")))))</f>
        <v/>
      </c>
      <c r="AQ257" t="str">
        <f t="shared" si="1888"/>
        <v/>
      </c>
      <c r="AR257" t="str">
        <f t="shared" si="1889"/>
        <v/>
      </c>
      <c r="AS257" t="str">
        <f>IF($AR257="","",IF(OR($CF257="",$CG257=""),"ONZEKER",IF(OR($CC257="",$CD257=""),"ONZEKER",IF(AND($CF257=$CC257+1,$CG257=$CD257),IF(OR(COUNTIF(#REF!,$B257)&gt;0,COUNTIF(#REF!,$B257)=0),"SKIP",IF(COUNTIFS(#REF!,$B257,#REF!,$AR257)&gt;0,"OK","ONBEKEND")),IF(AND($CF257=$CC257,$CG257=$CD257+1),IF(OR(COUNTIF(#REF!,$D257)&gt;0,COUNTIF(#REF!,$D257)=0),"SKIP",IF(COUNTIFS(#REF!,$D257,#REF!,$AR257)&gt;0,"OK","ONBEKEND")),"ONZEKER")))))</f>
        <v/>
      </c>
      <c r="AT257" t="str">
        <f t="shared" si="1890"/>
        <v/>
      </c>
      <c r="AU257" t="str">
        <f t="shared" si="1891"/>
        <v/>
      </c>
      <c r="AV257" t="str">
        <f t="shared" si="1892"/>
        <v/>
      </c>
      <c r="AW257" t="str">
        <f t="shared" si="1893"/>
        <v/>
      </c>
      <c r="AX257" t="str">
        <f t="shared" si="1894"/>
        <v/>
      </c>
      <c r="AY257" t="str">
        <f t="shared" si="1895"/>
        <v/>
      </c>
      <c r="AZ257" t="str">
        <f t="shared" si="1896"/>
        <v/>
      </c>
      <c r="BA257" t="str">
        <f t="shared" si="1897"/>
        <v/>
      </c>
      <c r="BB257" t="str">
        <f t="shared" si="1898"/>
        <v/>
      </c>
      <c r="BC257" t="str">
        <f t="shared" si="1899"/>
        <v/>
      </c>
      <c r="BD257" t="str">
        <f t="shared" si="1470"/>
        <v/>
      </c>
      <c r="BE257" t="str">
        <f t="shared" si="1471"/>
        <v/>
      </c>
      <c r="BF257" t="str">
        <f t="shared" si="1472"/>
        <v/>
      </c>
      <c r="BG257" t="str">
        <f t="shared" si="1473"/>
        <v/>
      </c>
      <c r="BH257" t="str">
        <f t="shared" si="1474"/>
        <v/>
      </c>
      <c r="BI257" t="str">
        <f t="shared" si="1475"/>
        <v/>
      </c>
      <c r="BJ257" t="str">
        <f t="shared" si="1476"/>
        <v/>
      </c>
      <c r="BK257" t="str">
        <f t="shared" si="1477"/>
        <v/>
      </c>
      <c r="BL257" t="str">
        <f t="shared" si="1478"/>
        <v/>
      </c>
      <c r="BM257" t="str">
        <f t="shared" si="1479"/>
        <v/>
      </c>
      <c r="BN257" t="str">
        <f t="shared" si="1480"/>
        <v/>
      </c>
      <c r="BO257" t="str">
        <f t="shared" si="1481"/>
        <v/>
      </c>
      <c r="BP257" t="str">
        <f t="shared" si="1482"/>
        <v/>
      </c>
      <c r="BQ257" t="str">
        <f t="shared" si="1483"/>
        <v/>
      </c>
      <c r="BR257" t="str">
        <f t="shared" si="1484"/>
        <v/>
      </c>
      <c r="BS257" t="str">
        <f t="shared" si="1485"/>
        <v/>
      </c>
      <c r="BT257" t="str">
        <f t="shared" si="1486"/>
        <v/>
      </c>
      <c r="BU257" t="str">
        <f t="shared" si="1487"/>
        <v/>
      </c>
      <c r="BV257" t="str">
        <f t="shared" si="1488"/>
        <v/>
      </c>
      <c r="BW257" t="str">
        <f t="shared" si="1489"/>
        <v/>
      </c>
      <c r="BX257" t="str">
        <f t="shared" si="1490"/>
        <v/>
      </c>
      <c r="BY257" t="str">
        <f t="shared" si="1491"/>
        <v/>
      </c>
      <c r="BZ257" t="str">
        <f t="shared" si="1492"/>
        <v/>
      </c>
      <c r="CA257" t="str">
        <f t="shared" si="1493"/>
        <v/>
      </c>
      <c r="CB257" t="str">
        <f t="shared" si="1494"/>
        <v/>
      </c>
      <c r="CC257" t="str">
        <f t="shared" si="1495"/>
        <v/>
      </c>
      <c r="CD257" t="str">
        <f t="shared" si="1496"/>
        <v/>
      </c>
      <c r="CE257" t="str">
        <f t="shared" si="1497"/>
        <v/>
      </c>
      <c r="CF257" t="str">
        <f t="shared" si="1498"/>
        <v/>
      </c>
      <c r="CG257" t="str">
        <f t="shared" si="1499"/>
        <v/>
      </c>
      <c r="CH257" t="str">
        <f t="shared" si="1900"/>
        <v/>
      </c>
      <c r="CI257" t="str">
        <f t="shared" si="1901"/>
        <v/>
      </c>
      <c r="CJ257" t="str">
        <f>IF($CI257="","",IF(OR($DW257="",$DX257=""),"ONZEKER",IF(OR($CF257="",$CG257=""),"ONZEKER",IF(AND($DW257=$CF257+1,$DX257=$CG257),IF(OR(COUNTIF(#REF!,$B257)&gt;0,COUNTIF(#REF!,$B257)=0),"SKIP",IF(COUNTIFS(#REF!,$B257,#REF!,$CI257)&gt;0,"OK","ONBEKEND")),IF(AND($DW257=$CF257,$DX257=$CG257+1),IF(OR(COUNTIF(#REF!,$D257)&gt;0,COUNTIF(#REF!,$D257)=0),"SKIP",IF(COUNTIFS(#REF!,$D257,#REF!,$CI257)&gt;0,"OK","ONBEKEND")),"ONZEKER")))))</f>
        <v/>
      </c>
      <c r="CK257" t="str">
        <f t="shared" si="1902"/>
        <v/>
      </c>
      <c r="CL257" t="str">
        <f t="shared" si="1903"/>
        <v/>
      </c>
      <c r="CM257" t="str">
        <f>IF($CL257="","",IF(OR($DZ257="",$EA257=""),"ONZEKER",IF(OR($DW257="",$DX257=""),"ONZEKER",IF(AND($DZ257=$DW257+1,$EA257=$DX257),IF(OR(COUNTIF(#REF!,$B257)&gt;0,COUNTIF(#REF!,$B257)=0),"SKIP",IF(COUNTIFS(#REF!,$B257,#REF!,$CL257)&gt;0,"OK","ONBEKEND")),IF(AND($DZ257=$DW257,$EA257=$DX257+1),IF(OR(COUNTIF(#REF!,$D257)&gt;0,COUNTIF(#REF!,$D257)=0),"SKIP",IF(COUNTIFS(#REF!,$D257,#REF!,$CL257)&gt;0,"OK","ONBEKEND")),"ONZEKER")))))</f>
        <v/>
      </c>
      <c r="CN257" t="str">
        <f t="shared" si="1904"/>
        <v/>
      </c>
      <c r="CO257" t="str">
        <f t="shared" si="1905"/>
        <v/>
      </c>
      <c r="CP257" t="str">
        <f>IF($CO257="","",IF(OR($EC257="",$ED257=""),"ONZEKER",IF(OR($DZ257="",$EA257=""),"ONZEKER",IF(AND($EC257=$DZ257+1,$ED257=$EA257),IF(OR(COUNTIF(#REF!,$B257)&gt;0,COUNTIF(#REF!,$B257)=0),"SKIP",IF(COUNTIFS(#REF!,$B257,#REF!,$CO257)&gt;0,"OK","ONBEKEND")),IF(AND($EC257=$DZ257,$ED257=$EA257+1),IF(OR(COUNTIF(#REF!,$D257)&gt;0,COUNTIF(#REF!,$D257)=0),"SKIP",IF(COUNTIFS(#REF!,$D257,#REF!,$CO257)&gt;0,"OK","ONBEKEND")),"ONZEKER")))))</f>
        <v/>
      </c>
      <c r="CQ257" t="str">
        <f t="shared" si="1906"/>
        <v/>
      </c>
      <c r="CR257" t="str">
        <f t="shared" si="1907"/>
        <v/>
      </c>
      <c r="CS257" t="str">
        <f>IF($CR257="","",IF(OR($EF257="",$EG257=""),"ONZEKER",IF(OR($EC257="",$ED257=""),"ONZEKER",IF(AND($EF257=$EC257+1,$EG257=$ED257),IF(OR(COUNTIF(#REF!,$B257)&gt;0,COUNTIF(#REF!,$B257)=0),"SKIP",IF(COUNTIFS(#REF!,$B257,#REF!,$CR257)&gt;0,"OK","ONBEKEND")),IF(AND($EF257=$EC257,$EG257=$ED257+1),IF(OR(COUNTIF(#REF!,$D257)&gt;0,COUNTIF(#REF!,$D257)=0),"SKIP",IF(COUNTIFS(#REF!,$D257,#REF!,$CR257)&gt;0,"OK","ONBEKEND")),"ONZEKER")))))</f>
        <v/>
      </c>
      <c r="CT257" t="str">
        <f t="shared" si="1908"/>
        <v/>
      </c>
      <c r="CU257" t="str">
        <f t="shared" si="1909"/>
        <v/>
      </c>
      <c r="CV257" t="str">
        <f>IF($CU257="","",IF(OR($EI257="",$EJ257=""),"ONZEKER",IF(OR($EF257="",$EG257=""),"ONZEKER",IF(AND($EI257=$EF257+1,$EJ257=$EG257),IF(OR(COUNTIF(#REF!,$B257)&gt;0,COUNTIF(#REF!,$B257)=0),"SKIP",IF(COUNTIFS(#REF!,$B257,#REF!,$CU257)&gt;0,"OK","ONBEKEND")),IF(AND($EI257=$EF257,$EJ257=$EG257+1),IF(OR(COUNTIF(#REF!,$D257)&gt;0,COUNTIF(#REF!,$D257)=0),"SKIP",IF(COUNTIFS(#REF!,$D257,#REF!,$CU257)&gt;0,"OK","ONBEKEND")),"ONZEKER")))))</f>
        <v/>
      </c>
      <c r="CW257" t="str">
        <f t="shared" si="1910"/>
        <v/>
      </c>
      <c r="CX257" t="str">
        <f t="shared" si="1911"/>
        <v/>
      </c>
      <c r="CY257" t="str">
        <f>IF($CX257="","",IF(OR($EL257="",$EM257=""),"ONZEKER",IF(OR($EI257="",$EJ257=""),"ONZEKER",IF(AND($EL257=$EI257+1,$EM257=$EJ257),IF(OR(COUNTIF(#REF!,$B257)&gt;0,COUNTIF(#REF!,$B257)=0),"SKIP",IF(COUNTIFS(#REF!,$B257,#REF!,$CX257)&gt;0,"OK","ONBEKEND")),IF(AND($EL257=$EI257,$EM257=$EJ257+1),IF(OR(COUNTIF(#REF!,$D257)&gt;0,COUNTIF(#REF!,$D257)=0),"SKIP",IF(COUNTIFS(#REF!,$D257,#REF!,$CX257)&gt;0,"OK","ONBEKEND")),"ONZEKER")))))</f>
        <v/>
      </c>
      <c r="CZ257" t="str">
        <f t="shared" si="1912"/>
        <v/>
      </c>
      <c r="DA257" t="str">
        <f t="shared" si="1913"/>
        <v/>
      </c>
      <c r="DB257" t="str">
        <f>IF($DA257="","",IF(OR($EO257="",$EP257=""),"ONZEKER",IF(OR($EL257="",$EM257=""),"ONZEKER",IF(AND($EO257=$EL257+1,$EP257=$EM257),IF(OR(COUNTIF(#REF!,$B257)&gt;0,COUNTIF(#REF!,$B257)=0),"SKIP",IF(COUNTIFS(#REF!,$B257,#REF!,$DA257)&gt;0,"OK","ONBEKEND")),IF(AND($EO257=$EL257,$EP257=$EM257+1),IF(OR(COUNTIF(#REF!,$D257)&gt;0,COUNTIF(#REF!,$D257)=0),"SKIP",IF(COUNTIFS(#REF!,$D257,#REF!,$DA257)&gt;0,"OK","ONBEKEND")),"ONZEKER")))))</f>
        <v/>
      </c>
      <c r="DC257" t="str">
        <f t="shared" si="1914"/>
        <v/>
      </c>
      <c r="DD257" t="str">
        <f t="shared" si="1915"/>
        <v/>
      </c>
      <c r="DE257" t="str">
        <f>IF($DD257="","",IF(OR($ER257="",$ES257=""),"ONZEKER",IF(OR($EO257="",$EP257=""),"ONZEKER",IF(AND($ER257=$EO257+1,$ES257=$EP257),IF(OR(COUNTIF(#REF!,$B257)&gt;0,COUNTIF(#REF!,$B257)=0),"SKIP",IF(COUNTIFS(#REF!,$B257,#REF!,$DD257)&gt;0,"OK","ONBEKEND")),IF(AND($ER257=$EO257,$ES257=$EP257+1),IF(OR(COUNTIF(#REF!,$D257)&gt;0,COUNTIF(#REF!,$D257)=0),"SKIP",IF(COUNTIFS(#REF!,$D257,#REF!,$DD257)&gt;0,"OK","ONBEKEND")),"ONZEKER")))))</f>
        <v/>
      </c>
      <c r="DF257" t="str">
        <f t="shared" si="1916"/>
        <v/>
      </c>
      <c r="DG257" t="str">
        <f t="shared" si="1917"/>
        <v/>
      </c>
      <c r="DH257" t="str">
        <f>IF($DG257="","",IF(OR($EU257="",$EV257=""),"ONZEKER",IF(OR($ER257="",$ES257=""),"ONZEKER",IF(AND($EU257=$ER257+1,$EV257=$ES257),IF(OR(COUNTIF(#REF!,$B257)&gt;0,COUNTIF(#REF!,$B257)=0),"SKIP",IF(COUNTIFS(#REF!,$B257,#REF!,$DG257)&gt;0,"OK","ONBEKEND")),IF(AND($EU257=$ER257,$EV257=$ES257+1),IF(OR(COUNTIF(#REF!,$D257)&gt;0,COUNTIF(#REF!,$D257)=0),"SKIP",IF(COUNTIFS(#REF!,$D257,#REF!,$DG257)&gt;0,"OK","ONBEKEND")),"ONZEKER")))))</f>
        <v/>
      </c>
      <c r="DI257" t="str">
        <f t="shared" si="1918"/>
        <v/>
      </c>
      <c r="DJ257" t="str">
        <f t="shared" si="1919"/>
        <v/>
      </c>
      <c r="DK257" t="str">
        <f>IF($DJ257="","",IF(OR($EX257="",$EY257=""),"ONZEKER",IF(OR($EU257="",$EV257=""),"ONZEKER",IF(AND($EX257=$EU257+1,$EY257=$EV257),IF(OR(COUNTIF(#REF!,$B257)&gt;0,COUNTIF(#REF!,$B257)=0),"SKIP",IF(COUNTIFS(#REF!,$B257,#REF!,$DJ257)&gt;0,"OK","ONBEKEND")),IF(AND($EX257=$EU257,$EY257=$EV257+1),IF(OR(COUNTIF(#REF!,$D257)&gt;0,COUNTIF(#REF!,$D257)=0),"SKIP",IF(COUNTIFS(#REF!,$D257,#REF!,$DJ257)&gt;0,"OK","ONBEKEND")),"ONZEKER")))))</f>
        <v/>
      </c>
      <c r="DL257" t="str">
        <f t="shared" si="1920"/>
        <v/>
      </c>
      <c r="DM257" t="str">
        <f t="shared" si="1921"/>
        <v/>
      </c>
      <c r="DN257" t="str">
        <f t="shared" si="1922"/>
        <v/>
      </c>
      <c r="DO257" t="str">
        <f t="shared" si="1923"/>
        <v/>
      </c>
      <c r="DP257" t="str">
        <f t="shared" si="1924"/>
        <v/>
      </c>
      <c r="DQ257" t="str">
        <f t="shared" si="1925"/>
        <v/>
      </c>
      <c r="DR257" t="str">
        <f t="shared" si="1926"/>
        <v/>
      </c>
      <c r="DS257" t="str">
        <f t="shared" si="1927"/>
        <v/>
      </c>
      <c r="DT257" t="str">
        <f t="shared" si="1928"/>
        <v/>
      </c>
      <c r="DU257" t="str">
        <f t="shared" si="1929"/>
        <v/>
      </c>
      <c r="DV257" t="str">
        <f t="shared" si="1930"/>
        <v/>
      </c>
      <c r="DW257" t="str">
        <f t="shared" si="1931"/>
        <v/>
      </c>
      <c r="DX257" t="str">
        <f t="shared" si="1932"/>
        <v/>
      </c>
      <c r="DY257" t="str">
        <f t="shared" si="1933"/>
        <v/>
      </c>
      <c r="DZ257" t="str">
        <f t="shared" si="1934"/>
        <v/>
      </c>
      <c r="EA257" t="str">
        <f t="shared" si="1935"/>
        <v/>
      </c>
      <c r="EB257" t="str">
        <f t="shared" si="1936"/>
        <v/>
      </c>
      <c r="EC257" t="str">
        <f t="shared" si="1937"/>
        <v/>
      </c>
      <c r="ED257" t="str">
        <f t="shared" si="1938"/>
        <v/>
      </c>
      <c r="EE257" t="str">
        <f t="shared" si="1939"/>
        <v/>
      </c>
      <c r="EF257" t="str">
        <f t="shared" si="1940"/>
        <v/>
      </c>
      <c r="EG257" t="str">
        <f t="shared" si="1941"/>
        <v/>
      </c>
      <c r="EH257" t="str">
        <f t="shared" si="1942"/>
        <v/>
      </c>
      <c r="EI257" t="str">
        <f t="shared" si="1943"/>
        <v/>
      </c>
      <c r="EJ257" t="str">
        <f t="shared" si="1944"/>
        <v/>
      </c>
      <c r="EK257" t="str">
        <f t="shared" si="1945"/>
        <v/>
      </c>
      <c r="EL257" t="str">
        <f t="shared" si="1946"/>
        <v/>
      </c>
      <c r="EM257" t="str">
        <f t="shared" si="1947"/>
        <v/>
      </c>
      <c r="EN257" t="str">
        <f t="shared" si="1948"/>
        <v/>
      </c>
      <c r="EO257" t="str">
        <f t="shared" si="1949"/>
        <v/>
      </c>
      <c r="EP257" t="str">
        <f t="shared" si="1950"/>
        <v/>
      </c>
      <c r="EQ257" t="str">
        <f t="shared" si="1951"/>
        <v/>
      </c>
      <c r="ER257" t="str">
        <f t="shared" si="1952"/>
        <v/>
      </c>
      <c r="ES257" t="str">
        <f t="shared" si="1953"/>
        <v/>
      </c>
      <c r="ET257" t="str">
        <f t="shared" si="1954"/>
        <v/>
      </c>
      <c r="EU257" t="str">
        <f t="shared" si="1955"/>
        <v/>
      </c>
      <c r="EV257" t="str">
        <f t="shared" si="1956"/>
        <v/>
      </c>
      <c r="EW257" t="str">
        <f t="shared" si="1957"/>
        <v/>
      </c>
      <c r="EX257" t="str">
        <f t="shared" si="1958"/>
        <v/>
      </c>
      <c r="EY257" t="str">
        <f t="shared" si="1959"/>
        <v/>
      </c>
    </row>
    <row r="258" spans="1:155" ht="13.9" customHeight="1" x14ac:dyDescent="0.25">
      <c r="A258" s="7"/>
      <c r="B258" s="17"/>
      <c r="C258" s="8"/>
      <c r="D258" s="17"/>
      <c r="E258" s="8"/>
      <c r="F258" s="18">
        <v>0</v>
      </c>
      <c r="G258" s="7" t="s">
        <v>147</v>
      </c>
      <c r="H258" s="18">
        <v>0</v>
      </c>
      <c r="I258" s="19">
        <v>0</v>
      </c>
      <c r="J258" s="7" t="s">
        <v>147</v>
      </c>
      <c r="K258" s="19">
        <v>0</v>
      </c>
      <c r="L258" s="9"/>
      <c r="M258" s="3" t="str">
        <f>IF($L258="","",IF($L258="DOELPUNTENMAKERS","",IF(AND(COUNTIF(#REF!,$B258)=0,COUNTIF(#REF!,$D258)=0),"OK",IF($O258&gt;20,"LET OP: meer dan 20 items (controle onvolledig)",IF((COUNTIF($R258:$AS258,"ONZEKER")+COUNTIF($CJ258:$DK258,"ONZEKER"))&gt;0,"LET OP: scoreverloop onduidelijk (controle beperkt)",IF((IF($AT258&lt;&gt;"",$AT258&amp;", ","")&amp;IF($AU258&lt;&gt;"",$AU258&amp;", ","")&amp;IF($AV258&lt;&gt;"",$AV258&amp;", ","")&amp;IF($AW258&lt;&gt;"",$AW258&amp;", ","")&amp;IF($AX258&lt;&gt;"",$AX258&amp;", ","")&amp;IF($AY258&lt;&gt;"",$AY258&amp;", ","")&amp;IF($AZ258&lt;&gt;"",$AZ258&amp;", ","")&amp;IF($BA258&lt;&gt;"",$BA258&amp;", ","")&amp;IF($BB258&lt;&gt;"",$BB258&amp;", ","")&amp;IF($BC258&lt;&gt;"",$BC258&amp;", ","")&amp;IF($DL258&lt;&gt;"",$DL258&amp;", ","")&amp;IF($DM258&lt;&gt;"",$DM258&amp;", ","")&amp;IF($DN258&lt;&gt;"",$DN258&amp;", ","")&amp;IF($DO258&lt;&gt;"",$DO258&amp;", ","")&amp;IF($DP258&lt;&gt;"",$DP258&amp;", ","")&amp;IF($DQ258&lt;&gt;"",$DQ258&amp;", ","")&amp;IF($DR258&lt;&gt;"",$DR258&amp;", ","")&amp;IF($DS258&lt;&gt;"",$DS258&amp;", ","")&amp;IF($DT258&lt;&gt;"",$DT258&amp;", ","")&amp;IF($DU258&lt;&gt;"",$DU258&amp;", ",""))="","OK","Onbekend: "&amp;LEFT((IF($AT258&lt;&gt;"",$AT258&amp;", ","")&amp;IF($AU258&lt;&gt;"",$AU258&amp;", ","")&amp;IF($AV258&lt;&gt;"",$AV258&amp;", ","")&amp;IF($AW258&lt;&gt;"",$AW258&amp;", ","")&amp;IF($AX258&lt;&gt;"",$AX258&amp;", ","")&amp;IF($AY258&lt;&gt;"",$AY258&amp;", ","")&amp;IF($AZ258&lt;&gt;"",$AZ258&amp;", ","")&amp;IF($BA258&lt;&gt;"",$BA258&amp;", ","")&amp;IF($BB258&lt;&gt;"",$BB258&amp;", ","")&amp;IF($BC258&lt;&gt;"",$BC258&amp;", ","")&amp;IF($DL258&lt;&gt;"",$DL258&amp;", ","")&amp;IF($DM258&lt;&gt;"",$DM258&amp;", ","")&amp;IF($DN258&lt;&gt;"",$DN258&amp;", ","")&amp;IF($DO258&lt;&gt;"",$DO258&amp;", ","")&amp;IF($DP258&lt;&gt;"",$DP258&amp;", ","")&amp;IF($DQ258&lt;&gt;"",$DQ258&amp;", ","")&amp;IF($DR258&lt;&gt;"",$DR258&amp;", ","")&amp;IF($DS258&lt;&gt;"",$DS258&amp;", ","")&amp;IF($DT258&lt;&gt;"",$DT258&amp;", ","")&amp;IF($DU258&lt;&gt;"",$DU258&amp;", ","")),LEN((IF($AT258&lt;&gt;"",$AT258&amp;", ","")&amp;IF($AU258&lt;&gt;"",$AU258&amp;", ","")&amp;IF($AV258&lt;&gt;"",$AV258&amp;", ","")&amp;IF($AW258&lt;&gt;"",$AW258&amp;", ","")&amp;IF($AX258&lt;&gt;"",$AX258&amp;", ","")&amp;IF($AY258&lt;&gt;"",$AY258&amp;", ","")&amp;IF($AZ258&lt;&gt;"",$AZ258&amp;", ","")&amp;IF($BA258&lt;&gt;"",$BA258&amp;", ","")&amp;IF($BB258&lt;&gt;"",$BB258&amp;", ","")&amp;IF($BC258&lt;&gt;"",$BC258&amp;", ","")&amp;IF($DL258&lt;&gt;"",$DL258&amp;", ","")&amp;IF($DM258&lt;&gt;"",$DM258&amp;", ","")&amp;IF($DN258&lt;&gt;"",$DN258&amp;", ","")&amp;IF($DO258&lt;&gt;"",$DO258&amp;", ","")&amp;IF($DP258&lt;&gt;"",$DP258&amp;", ","")&amp;IF($DQ258&lt;&gt;"",$DQ258&amp;", ","")&amp;IF($DR258&lt;&gt;"",$DR258&amp;", ","")&amp;IF($DS258&lt;&gt;"",$DS258&amp;", ","")&amp;IF($DT258&lt;&gt;"",$DT258&amp;", ","")&amp;IF($DU258&lt;&gt;"",$DU258&amp;", ","")))-2)))))))</f>
        <v/>
      </c>
      <c r="N258" t="str">
        <f t="shared" si="1868"/>
        <v/>
      </c>
      <c r="O258" t="str">
        <f t="shared" si="1869"/>
        <v/>
      </c>
      <c r="P258" t="str">
        <f t="shared" si="1870"/>
        <v/>
      </c>
      <c r="Q258" t="str">
        <f t="shared" si="1871"/>
        <v/>
      </c>
      <c r="R258" t="str">
        <f>IF($Q258="","",IF(OR($BE258="",$BF258=""),"ONZEKER",IF(AND($BE258=0+1,$BF258=0),IF(OR(COUNTIF(#REF!,$B258)&gt;0,COUNTIF(#REF!,$B258)=0),"SKIP",IF(COUNTIFS(#REF!,$B258,#REF!,$Q258)&gt;0,"OK","ONBEKEND")),IF(AND($BE258=0,$BF258=0+1),IF(OR(COUNTIF(#REF!,$D258)&gt;0,COUNTIF(#REF!,$D258)=0),"SKIP",IF(COUNTIFS(#REF!,$D258,#REF!,$Q258)&gt;0,"OK","ONBEKEND")),"ONZEKER"))))</f>
        <v/>
      </c>
      <c r="S258" t="str">
        <f t="shared" si="1872"/>
        <v/>
      </c>
      <c r="T258" t="str">
        <f t="shared" si="1873"/>
        <v/>
      </c>
      <c r="U258" t="str">
        <f>IF($T258="","",IF(OR($BH258="",$BI258=""),"ONZEKER",IF(OR($BE258="",$BF258=""),"ONZEKER",IF(AND($BH258=$BE258+1,$BI258=$BF258),IF(OR(COUNTIF(#REF!,$B258)&gt;0,COUNTIF(#REF!,$B258)=0),"SKIP",IF(COUNTIFS(#REF!,$B258,#REF!,$T258)&gt;0,"OK","ONBEKEND")),IF(AND($BH258=$BE258,$BI258=$BF258+1),IF(OR(COUNTIF(#REF!,$D258)&gt;0,COUNTIF(#REF!,$D258)=0),"SKIP",IF(COUNTIFS(#REF!,$D258,#REF!,$T258)&gt;0,"OK","ONBEKEND")),"ONZEKER")))))</f>
        <v/>
      </c>
      <c r="V258" t="str">
        <f t="shared" si="1874"/>
        <v/>
      </c>
      <c r="W258" t="str">
        <f t="shared" si="1875"/>
        <v/>
      </c>
      <c r="X258" t="str">
        <f>IF($W258="","",IF(OR($BK258="",$BL258=""),"ONZEKER",IF(OR($BH258="",$BI258=""),"ONZEKER",IF(AND($BK258=$BH258+1,$BL258=$BI258),IF(OR(COUNTIF(#REF!,$B258)&gt;0,COUNTIF(#REF!,$B258)=0),"SKIP",IF(COUNTIFS(#REF!,$B258,#REF!,$W258)&gt;0,"OK","ONBEKEND")),IF(AND($BK258=$BH258,$BL258=$BI258+1),IF(OR(COUNTIF(#REF!,$D258)&gt;0,COUNTIF(#REF!,$D258)=0),"SKIP",IF(COUNTIFS(#REF!,$D258,#REF!,$W258)&gt;0,"OK","ONBEKEND")),"ONZEKER")))))</f>
        <v/>
      </c>
      <c r="Y258" t="str">
        <f t="shared" si="1876"/>
        <v/>
      </c>
      <c r="Z258" t="str">
        <f t="shared" si="1877"/>
        <v/>
      </c>
      <c r="AA258" t="str">
        <f>IF($Z258="","",IF(OR($BN258="",$BO258=""),"ONZEKER",IF(OR($BK258="",$BL258=""),"ONZEKER",IF(AND($BN258=$BK258+1,$BO258=$BL258),IF(OR(COUNTIF(#REF!,$B258)&gt;0,COUNTIF(#REF!,$B258)=0),"SKIP",IF(COUNTIFS(#REF!,$B258,#REF!,$Z258)&gt;0,"OK","ONBEKEND")),IF(AND($BN258=$BK258,$BO258=$BL258+1),IF(OR(COUNTIF(#REF!,$D258)&gt;0,COUNTIF(#REF!,$D258)=0),"SKIP",IF(COUNTIFS(#REF!,$D258,#REF!,$Z258)&gt;0,"OK","ONBEKEND")),"ONZEKER")))))</f>
        <v/>
      </c>
      <c r="AB258" t="str">
        <f t="shared" si="1878"/>
        <v/>
      </c>
      <c r="AC258" t="str">
        <f t="shared" si="1879"/>
        <v/>
      </c>
      <c r="AD258" t="str">
        <f>IF($AC258="","",IF(OR($BQ258="",$BR258=""),"ONZEKER",IF(OR($BN258="",$BO258=""),"ONZEKER",IF(AND($BQ258=$BN258+1,$BR258=$BO258),IF(OR(COUNTIF(#REF!,$B258)&gt;0,COUNTIF(#REF!,$B258)=0),"SKIP",IF(COUNTIFS(#REF!,$B258,#REF!,$AC258)&gt;0,"OK","ONBEKEND")),IF(AND($BQ258=$BN258,$BR258=$BO258+1),IF(OR(COUNTIF(#REF!,$D258)&gt;0,COUNTIF(#REF!,$D258)=0),"SKIP",IF(COUNTIFS(#REF!,$D258,#REF!,$AC258)&gt;0,"OK","ONBEKEND")),"ONZEKER")))))</f>
        <v/>
      </c>
      <c r="AE258" t="str">
        <f t="shared" si="1880"/>
        <v/>
      </c>
      <c r="AF258" t="str">
        <f t="shared" si="1881"/>
        <v/>
      </c>
      <c r="AG258" t="str">
        <f>IF($AF258="","",IF(OR($BT258="",$BU258=""),"ONZEKER",IF(OR($BQ258="",$BR258=""),"ONZEKER",IF(AND($BT258=$BQ258+1,$BU258=$BR258),IF(OR(COUNTIF(#REF!,$B258)&gt;0,COUNTIF(#REF!,$B258)=0),"SKIP",IF(COUNTIFS(#REF!,$B258,#REF!,$AF258)&gt;0,"OK","ONBEKEND")),IF(AND($BT258=$BQ258,$BU258=$BR258+1),IF(OR(COUNTIF(#REF!,$D258)&gt;0,COUNTIF(#REF!,$D258)=0),"SKIP",IF(COUNTIFS(#REF!,$D258,#REF!,$AF258)&gt;0,"OK","ONBEKEND")),"ONZEKER")))))</f>
        <v/>
      </c>
      <c r="AH258" t="str">
        <f t="shared" si="1882"/>
        <v/>
      </c>
      <c r="AI258" t="str">
        <f t="shared" si="1883"/>
        <v/>
      </c>
      <c r="AJ258" t="str">
        <f>IF($AI258="","",IF(OR($BW258="",$BX258=""),"ONZEKER",IF(OR($BT258="",$BU258=""),"ONZEKER",IF(AND($BW258=$BT258+1,$BX258=$BU258),IF(OR(COUNTIF(#REF!,$B258)&gt;0,COUNTIF(#REF!,$B258)=0),"SKIP",IF(COUNTIFS(#REF!,$B258,#REF!,$AI258)&gt;0,"OK","ONBEKEND")),IF(AND($BW258=$BT258,$BX258=$BU258+1),IF(OR(COUNTIF(#REF!,$D258)&gt;0,COUNTIF(#REF!,$D258)=0),"SKIP",IF(COUNTIFS(#REF!,$D258,#REF!,$AI258)&gt;0,"OK","ONBEKEND")),"ONZEKER")))))</f>
        <v/>
      </c>
      <c r="AK258" t="str">
        <f t="shared" si="1884"/>
        <v/>
      </c>
      <c r="AL258" t="str">
        <f t="shared" si="1885"/>
        <v/>
      </c>
      <c r="AM258" t="str">
        <f>IF($AL258="","",IF(OR($BZ258="",$CA258=""),"ONZEKER",IF(OR($BW258="",$BX258=""),"ONZEKER",IF(AND($BZ258=$BW258+1,$CA258=$BX258),IF(OR(COUNTIF(#REF!,$B258)&gt;0,COUNTIF(#REF!,$B258)=0),"SKIP",IF(COUNTIFS(#REF!,$B258,#REF!,$AL258)&gt;0,"OK","ONBEKEND")),IF(AND($BZ258=$BW258,$CA258=$BX258+1),IF(OR(COUNTIF(#REF!,$D258)&gt;0,COUNTIF(#REF!,$D258)=0),"SKIP",IF(COUNTIFS(#REF!,$D258,#REF!,$AL258)&gt;0,"OK","ONBEKEND")),"ONZEKER")))))</f>
        <v/>
      </c>
      <c r="AN258" t="str">
        <f t="shared" si="1886"/>
        <v/>
      </c>
      <c r="AO258" t="str">
        <f t="shared" si="1887"/>
        <v/>
      </c>
      <c r="AP258" t="str">
        <f>IF($AO258="","",IF(OR($CC258="",$CD258=""),"ONZEKER",IF(OR($BZ258="",$CA258=""),"ONZEKER",IF(AND($CC258=$BZ258+1,$CD258=$CA258),IF(OR(COUNTIF(#REF!,$B258)&gt;0,COUNTIF(#REF!,$B258)=0),"SKIP",IF(COUNTIFS(#REF!,$B258,#REF!,$AO258)&gt;0,"OK","ONBEKEND")),IF(AND($CC258=$BZ258,$CD258=$CA258+1),IF(OR(COUNTIF(#REF!,$D258)&gt;0,COUNTIF(#REF!,$D258)=0),"SKIP",IF(COUNTIFS(#REF!,$D258,#REF!,$AO258)&gt;0,"OK","ONBEKEND")),"ONZEKER")))))</f>
        <v/>
      </c>
      <c r="AQ258" t="str">
        <f t="shared" si="1888"/>
        <v/>
      </c>
      <c r="AR258" t="str">
        <f t="shared" si="1889"/>
        <v/>
      </c>
      <c r="AS258" t="str">
        <f>IF($AR258="","",IF(OR($CF258="",$CG258=""),"ONZEKER",IF(OR($CC258="",$CD258=""),"ONZEKER",IF(AND($CF258=$CC258+1,$CG258=$CD258),IF(OR(COUNTIF(#REF!,$B258)&gt;0,COUNTIF(#REF!,$B258)=0),"SKIP",IF(COUNTIFS(#REF!,$B258,#REF!,$AR258)&gt;0,"OK","ONBEKEND")),IF(AND($CF258=$CC258,$CG258=$CD258+1),IF(OR(COUNTIF(#REF!,$D258)&gt;0,COUNTIF(#REF!,$D258)=0),"SKIP",IF(COUNTIFS(#REF!,$D258,#REF!,$AR258)&gt;0,"OK","ONBEKEND")),"ONZEKER")))))</f>
        <v/>
      </c>
      <c r="AT258" t="str">
        <f t="shared" si="1890"/>
        <v/>
      </c>
      <c r="AU258" t="str">
        <f t="shared" si="1891"/>
        <v/>
      </c>
      <c r="AV258" t="str">
        <f t="shared" si="1892"/>
        <v/>
      </c>
      <c r="AW258" t="str">
        <f t="shared" si="1893"/>
        <v/>
      </c>
      <c r="AX258" t="str">
        <f t="shared" si="1894"/>
        <v/>
      </c>
      <c r="AY258" t="str">
        <f t="shared" si="1895"/>
        <v/>
      </c>
      <c r="AZ258" t="str">
        <f t="shared" si="1896"/>
        <v/>
      </c>
      <c r="BA258" t="str">
        <f t="shared" si="1897"/>
        <v/>
      </c>
      <c r="BB258" t="str">
        <f t="shared" si="1898"/>
        <v/>
      </c>
      <c r="BC258" t="str">
        <f t="shared" si="1899"/>
        <v/>
      </c>
      <c r="BD258" t="str">
        <f t="shared" ref="BD258:BD271" si="1960">IF($P258="","",TRIM(IFERROR(RIGHT($P258,LEN($P258)-FIND("§",SUBSTITUTE($P258," ","§",LEN($P258)-LEN(SUBSTITUTE($P258," ",""))))),"")))</f>
        <v/>
      </c>
      <c r="BE258" t="str">
        <f t="shared" ref="BE258:BE271" si="1961">IF($BD258="","",IFERROR(VALUE(LEFT($BD258,FIND("-",$BD258)-1)),""))</f>
        <v/>
      </c>
      <c r="BF258" t="str">
        <f t="shared" ref="BF258:BF271" si="1962">IF($BD258="","",IFERROR(VALUE(MID($BD258,FIND("-",$BD258)+1,99)),""))</f>
        <v/>
      </c>
      <c r="BG258" t="str">
        <f t="shared" ref="BG258:BG271" si="1963">IF($S258="","",TRIM(IFERROR(RIGHT($S258,LEN($S258)-FIND("§",SUBSTITUTE($S258," ","§",LEN($S258)-LEN(SUBSTITUTE($S258," ",""))))),"")))</f>
        <v/>
      </c>
      <c r="BH258" t="str">
        <f t="shared" ref="BH258:BH271" si="1964">IF($BG258="","",IFERROR(VALUE(LEFT($BG258,FIND("-",$BG258)-1)),""))</f>
        <v/>
      </c>
      <c r="BI258" t="str">
        <f t="shared" ref="BI258:BI271" si="1965">IF($BG258="","",IFERROR(VALUE(MID($BG258,FIND("-",$BG258)+1,99)),""))</f>
        <v/>
      </c>
      <c r="BJ258" t="str">
        <f t="shared" ref="BJ258:BJ271" si="1966">IF($V258="","",TRIM(IFERROR(RIGHT($V258,LEN($V258)-FIND("§",SUBSTITUTE($V258," ","§",LEN($V258)-LEN(SUBSTITUTE($V258," ",""))))),"")))</f>
        <v/>
      </c>
      <c r="BK258" t="str">
        <f t="shared" ref="BK258:BK271" si="1967">IF($BJ258="","",IFERROR(VALUE(LEFT($BJ258,FIND("-",$BJ258)-1)),""))</f>
        <v/>
      </c>
      <c r="BL258" t="str">
        <f t="shared" ref="BL258:BL271" si="1968">IF($BJ258="","",IFERROR(VALUE(MID($BJ258,FIND("-",$BJ258)+1,99)),""))</f>
        <v/>
      </c>
      <c r="BM258" t="str">
        <f t="shared" ref="BM258:BM271" si="1969">IF($Y258="","",TRIM(IFERROR(RIGHT($Y258,LEN($Y258)-FIND("§",SUBSTITUTE($Y258," ","§",LEN($Y258)-LEN(SUBSTITUTE($Y258," ",""))))),"")))</f>
        <v/>
      </c>
      <c r="BN258" t="str">
        <f t="shared" ref="BN258:BN271" si="1970">IF($BM258="","",IFERROR(VALUE(LEFT($BM258,FIND("-",$BM258)-1)),""))</f>
        <v/>
      </c>
      <c r="BO258" t="str">
        <f t="shared" ref="BO258:BO271" si="1971">IF($BM258="","",IFERROR(VALUE(MID($BM258,FIND("-",$BM258)+1,99)),""))</f>
        <v/>
      </c>
      <c r="BP258" t="str">
        <f t="shared" ref="BP258:BP271" si="1972">IF($AB258="","",TRIM(IFERROR(RIGHT($AB258,LEN($AB258)-FIND("§",SUBSTITUTE($AB258," ","§",LEN($AB258)-LEN(SUBSTITUTE($AB258," ",""))))),"")))</f>
        <v/>
      </c>
      <c r="BQ258" t="str">
        <f t="shared" ref="BQ258:BQ271" si="1973">IF($BP258="","",IFERROR(VALUE(LEFT($BP258,FIND("-",$BP258)-1)),""))</f>
        <v/>
      </c>
      <c r="BR258" t="str">
        <f t="shared" ref="BR258:BR271" si="1974">IF($BP258="","",IFERROR(VALUE(MID($BP258,FIND("-",$BP258)+1,99)),""))</f>
        <v/>
      </c>
      <c r="BS258" t="str">
        <f t="shared" ref="BS258:BS271" si="1975">IF($AE258="","",TRIM(IFERROR(RIGHT($AE258,LEN($AE258)-FIND("§",SUBSTITUTE($AE258," ","§",LEN($AE258)-LEN(SUBSTITUTE($AE258," ",""))))),"")))</f>
        <v/>
      </c>
      <c r="BT258" t="str">
        <f t="shared" ref="BT258:BT271" si="1976">IF($BS258="","",IFERROR(VALUE(LEFT($BS258,FIND("-",$BS258)-1)),""))</f>
        <v/>
      </c>
      <c r="BU258" t="str">
        <f t="shared" ref="BU258:BU271" si="1977">IF($BS258="","",IFERROR(VALUE(MID($BS258,FIND("-",$BS258)+1,99)),""))</f>
        <v/>
      </c>
      <c r="BV258" t="str">
        <f t="shared" ref="BV258:BV271" si="1978">IF($AH258="","",TRIM(IFERROR(RIGHT($AH258,LEN($AH258)-FIND("§",SUBSTITUTE($AH258," ","§",LEN($AH258)-LEN(SUBSTITUTE($AH258," ",""))))),"")))</f>
        <v/>
      </c>
      <c r="BW258" t="str">
        <f t="shared" ref="BW258:BW271" si="1979">IF($BV258="","",IFERROR(VALUE(LEFT($BV258,FIND("-",$BV258)-1)),""))</f>
        <v/>
      </c>
      <c r="BX258" t="str">
        <f t="shared" ref="BX258:BX271" si="1980">IF($BV258="","",IFERROR(VALUE(MID($BV258,FIND("-",$BV258)+1,99)),""))</f>
        <v/>
      </c>
      <c r="BY258" t="str">
        <f t="shared" ref="BY258:BY271" si="1981">IF($AK258="","",TRIM(IFERROR(RIGHT($AK258,LEN($AK258)-FIND("§",SUBSTITUTE($AK258," ","§",LEN($AK258)-LEN(SUBSTITUTE($AK258," ",""))))),"")))</f>
        <v/>
      </c>
      <c r="BZ258" t="str">
        <f t="shared" ref="BZ258:BZ271" si="1982">IF($BY258="","",IFERROR(VALUE(LEFT($BY258,FIND("-",$BY258)-1)),""))</f>
        <v/>
      </c>
      <c r="CA258" t="str">
        <f t="shared" ref="CA258:CA271" si="1983">IF($BY258="","",IFERROR(VALUE(MID($BY258,FIND("-",$BY258)+1,99)),""))</f>
        <v/>
      </c>
      <c r="CB258" t="str">
        <f t="shared" ref="CB258:CB271" si="1984">IF($AN258="","",TRIM(IFERROR(RIGHT($AN258,LEN($AN258)-FIND("§",SUBSTITUTE($AN258," ","§",LEN($AN258)-LEN(SUBSTITUTE($AN258," ",""))))),"")))</f>
        <v/>
      </c>
      <c r="CC258" t="str">
        <f t="shared" ref="CC258:CC271" si="1985">IF($CB258="","",IFERROR(VALUE(LEFT($CB258,FIND("-",$CB258)-1)),""))</f>
        <v/>
      </c>
      <c r="CD258" t="str">
        <f t="shared" ref="CD258:CD271" si="1986">IF($CB258="","",IFERROR(VALUE(MID($CB258,FIND("-",$CB258)+1,99)),""))</f>
        <v/>
      </c>
      <c r="CE258" t="str">
        <f t="shared" ref="CE258:CE271" si="1987">IF($AQ258="","",TRIM(IFERROR(RIGHT($AQ258,LEN($AQ258)-FIND("§",SUBSTITUTE($AQ258," ","§",LEN($AQ258)-LEN(SUBSTITUTE($AQ258," ",""))))),"")))</f>
        <v/>
      </c>
      <c r="CF258" t="str">
        <f t="shared" ref="CF258:CF271" si="1988">IF($CE258="","",IFERROR(VALUE(LEFT($CE258,FIND("-",$CE258)-1)),""))</f>
        <v/>
      </c>
      <c r="CG258" t="str">
        <f t="shared" ref="CG258:CG271" si="1989">IF($CE258="","",IFERROR(VALUE(MID($CE258,FIND("-",$CE258)+1,99)),""))</f>
        <v/>
      </c>
      <c r="CH258" t="str">
        <f t="shared" si="1900"/>
        <v/>
      </c>
      <c r="CI258" t="str">
        <f t="shared" si="1901"/>
        <v/>
      </c>
      <c r="CJ258" t="str">
        <f>IF($CI258="","",IF(OR($DW258="",$DX258=""),"ONZEKER",IF(OR($CF258="",$CG258=""),"ONZEKER",IF(AND($DW258=$CF258+1,$DX258=$CG258),IF(OR(COUNTIF(#REF!,$B258)&gt;0,COUNTIF(#REF!,$B258)=0),"SKIP",IF(COUNTIFS(#REF!,$B258,#REF!,$CI258)&gt;0,"OK","ONBEKEND")),IF(AND($DW258=$CF258,$DX258=$CG258+1),IF(OR(COUNTIF(#REF!,$D258)&gt;0,COUNTIF(#REF!,$D258)=0),"SKIP",IF(COUNTIFS(#REF!,$D258,#REF!,$CI258)&gt;0,"OK","ONBEKEND")),"ONZEKER")))))</f>
        <v/>
      </c>
      <c r="CK258" t="str">
        <f t="shared" si="1902"/>
        <v/>
      </c>
      <c r="CL258" t="str">
        <f t="shared" si="1903"/>
        <v/>
      </c>
      <c r="CM258" t="str">
        <f>IF($CL258="","",IF(OR($DZ258="",$EA258=""),"ONZEKER",IF(OR($DW258="",$DX258=""),"ONZEKER",IF(AND($DZ258=$DW258+1,$EA258=$DX258),IF(OR(COUNTIF(#REF!,$B258)&gt;0,COUNTIF(#REF!,$B258)=0),"SKIP",IF(COUNTIFS(#REF!,$B258,#REF!,$CL258)&gt;0,"OK","ONBEKEND")),IF(AND($DZ258=$DW258,$EA258=$DX258+1),IF(OR(COUNTIF(#REF!,$D258)&gt;0,COUNTIF(#REF!,$D258)=0),"SKIP",IF(COUNTIFS(#REF!,$D258,#REF!,$CL258)&gt;0,"OK","ONBEKEND")),"ONZEKER")))))</f>
        <v/>
      </c>
      <c r="CN258" t="str">
        <f t="shared" si="1904"/>
        <v/>
      </c>
      <c r="CO258" t="str">
        <f t="shared" si="1905"/>
        <v/>
      </c>
      <c r="CP258" t="str">
        <f>IF($CO258="","",IF(OR($EC258="",$ED258=""),"ONZEKER",IF(OR($DZ258="",$EA258=""),"ONZEKER",IF(AND($EC258=$DZ258+1,$ED258=$EA258),IF(OR(COUNTIF(#REF!,$B258)&gt;0,COUNTIF(#REF!,$B258)=0),"SKIP",IF(COUNTIFS(#REF!,$B258,#REF!,$CO258)&gt;0,"OK","ONBEKEND")),IF(AND($EC258=$DZ258,$ED258=$EA258+1),IF(OR(COUNTIF(#REF!,$D258)&gt;0,COUNTIF(#REF!,$D258)=0),"SKIP",IF(COUNTIFS(#REF!,$D258,#REF!,$CO258)&gt;0,"OK","ONBEKEND")),"ONZEKER")))))</f>
        <v/>
      </c>
      <c r="CQ258" t="str">
        <f t="shared" si="1906"/>
        <v/>
      </c>
      <c r="CR258" t="str">
        <f t="shared" si="1907"/>
        <v/>
      </c>
      <c r="CS258" t="str">
        <f>IF($CR258="","",IF(OR($EF258="",$EG258=""),"ONZEKER",IF(OR($EC258="",$ED258=""),"ONZEKER",IF(AND($EF258=$EC258+1,$EG258=$ED258),IF(OR(COUNTIF(#REF!,$B258)&gt;0,COUNTIF(#REF!,$B258)=0),"SKIP",IF(COUNTIFS(#REF!,$B258,#REF!,$CR258)&gt;0,"OK","ONBEKEND")),IF(AND($EF258=$EC258,$EG258=$ED258+1),IF(OR(COUNTIF(#REF!,$D258)&gt;0,COUNTIF(#REF!,$D258)=0),"SKIP",IF(COUNTIFS(#REF!,$D258,#REF!,$CR258)&gt;0,"OK","ONBEKEND")),"ONZEKER")))))</f>
        <v/>
      </c>
      <c r="CT258" t="str">
        <f t="shared" si="1908"/>
        <v/>
      </c>
      <c r="CU258" t="str">
        <f t="shared" si="1909"/>
        <v/>
      </c>
      <c r="CV258" t="str">
        <f>IF($CU258="","",IF(OR($EI258="",$EJ258=""),"ONZEKER",IF(OR($EF258="",$EG258=""),"ONZEKER",IF(AND($EI258=$EF258+1,$EJ258=$EG258),IF(OR(COUNTIF(#REF!,$B258)&gt;0,COUNTIF(#REF!,$B258)=0),"SKIP",IF(COUNTIFS(#REF!,$B258,#REF!,$CU258)&gt;0,"OK","ONBEKEND")),IF(AND($EI258=$EF258,$EJ258=$EG258+1),IF(OR(COUNTIF(#REF!,$D258)&gt;0,COUNTIF(#REF!,$D258)=0),"SKIP",IF(COUNTIFS(#REF!,$D258,#REF!,$CU258)&gt;0,"OK","ONBEKEND")),"ONZEKER")))))</f>
        <v/>
      </c>
      <c r="CW258" t="str">
        <f t="shared" si="1910"/>
        <v/>
      </c>
      <c r="CX258" t="str">
        <f t="shared" si="1911"/>
        <v/>
      </c>
      <c r="CY258" t="str">
        <f>IF($CX258="","",IF(OR($EL258="",$EM258=""),"ONZEKER",IF(OR($EI258="",$EJ258=""),"ONZEKER",IF(AND($EL258=$EI258+1,$EM258=$EJ258),IF(OR(COUNTIF(#REF!,$B258)&gt;0,COUNTIF(#REF!,$B258)=0),"SKIP",IF(COUNTIFS(#REF!,$B258,#REF!,$CX258)&gt;0,"OK","ONBEKEND")),IF(AND($EL258=$EI258,$EM258=$EJ258+1),IF(OR(COUNTIF(#REF!,$D258)&gt;0,COUNTIF(#REF!,$D258)=0),"SKIP",IF(COUNTIFS(#REF!,$D258,#REF!,$CX258)&gt;0,"OK","ONBEKEND")),"ONZEKER")))))</f>
        <v/>
      </c>
      <c r="CZ258" t="str">
        <f t="shared" si="1912"/>
        <v/>
      </c>
      <c r="DA258" t="str">
        <f t="shared" si="1913"/>
        <v/>
      </c>
      <c r="DB258" t="str">
        <f>IF($DA258="","",IF(OR($EO258="",$EP258=""),"ONZEKER",IF(OR($EL258="",$EM258=""),"ONZEKER",IF(AND($EO258=$EL258+1,$EP258=$EM258),IF(OR(COUNTIF(#REF!,$B258)&gt;0,COUNTIF(#REF!,$B258)=0),"SKIP",IF(COUNTIFS(#REF!,$B258,#REF!,$DA258)&gt;0,"OK","ONBEKEND")),IF(AND($EO258=$EL258,$EP258=$EM258+1),IF(OR(COUNTIF(#REF!,$D258)&gt;0,COUNTIF(#REF!,$D258)=0),"SKIP",IF(COUNTIFS(#REF!,$D258,#REF!,$DA258)&gt;0,"OK","ONBEKEND")),"ONZEKER")))))</f>
        <v/>
      </c>
      <c r="DC258" t="str">
        <f t="shared" si="1914"/>
        <v/>
      </c>
      <c r="DD258" t="str">
        <f t="shared" si="1915"/>
        <v/>
      </c>
      <c r="DE258" t="str">
        <f>IF($DD258="","",IF(OR($ER258="",$ES258=""),"ONZEKER",IF(OR($EO258="",$EP258=""),"ONZEKER",IF(AND($ER258=$EO258+1,$ES258=$EP258),IF(OR(COUNTIF(#REF!,$B258)&gt;0,COUNTIF(#REF!,$B258)=0),"SKIP",IF(COUNTIFS(#REF!,$B258,#REF!,$DD258)&gt;0,"OK","ONBEKEND")),IF(AND($ER258=$EO258,$ES258=$EP258+1),IF(OR(COUNTIF(#REF!,$D258)&gt;0,COUNTIF(#REF!,$D258)=0),"SKIP",IF(COUNTIFS(#REF!,$D258,#REF!,$DD258)&gt;0,"OK","ONBEKEND")),"ONZEKER")))))</f>
        <v/>
      </c>
      <c r="DF258" t="str">
        <f t="shared" si="1916"/>
        <v/>
      </c>
      <c r="DG258" t="str">
        <f t="shared" si="1917"/>
        <v/>
      </c>
      <c r="DH258" t="str">
        <f>IF($DG258="","",IF(OR($EU258="",$EV258=""),"ONZEKER",IF(OR($ER258="",$ES258=""),"ONZEKER",IF(AND($EU258=$ER258+1,$EV258=$ES258),IF(OR(COUNTIF(#REF!,$B258)&gt;0,COUNTIF(#REF!,$B258)=0),"SKIP",IF(COUNTIFS(#REF!,$B258,#REF!,$DG258)&gt;0,"OK","ONBEKEND")),IF(AND($EU258=$ER258,$EV258=$ES258+1),IF(OR(COUNTIF(#REF!,$D258)&gt;0,COUNTIF(#REF!,$D258)=0),"SKIP",IF(COUNTIFS(#REF!,$D258,#REF!,$DG258)&gt;0,"OK","ONBEKEND")),"ONZEKER")))))</f>
        <v/>
      </c>
      <c r="DI258" t="str">
        <f t="shared" si="1918"/>
        <v/>
      </c>
      <c r="DJ258" t="str">
        <f t="shared" si="1919"/>
        <v/>
      </c>
      <c r="DK258" t="str">
        <f>IF($DJ258="","",IF(OR($EX258="",$EY258=""),"ONZEKER",IF(OR($EU258="",$EV258=""),"ONZEKER",IF(AND($EX258=$EU258+1,$EY258=$EV258),IF(OR(COUNTIF(#REF!,$B258)&gt;0,COUNTIF(#REF!,$B258)=0),"SKIP",IF(COUNTIFS(#REF!,$B258,#REF!,$DJ258)&gt;0,"OK","ONBEKEND")),IF(AND($EX258=$EU258,$EY258=$EV258+1),IF(OR(COUNTIF(#REF!,$D258)&gt;0,COUNTIF(#REF!,$D258)=0),"SKIP",IF(COUNTIFS(#REF!,$D258,#REF!,$DJ258)&gt;0,"OK","ONBEKEND")),"ONZEKER")))))</f>
        <v/>
      </c>
      <c r="DL258" t="str">
        <f t="shared" si="1920"/>
        <v/>
      </c>
      <c r="DM258" t="str">
        <f t="shared" si="1921"/>
        <v/>
      </c>
      <c r="DN258" t="str">
        <f t="shared" si="1922"/>
        <v/>
      </c>
      <c r="DO258" t="str">
        <f t="shared" si="1923"/>
        <v/>
      </c>
      <c r="DP258" t="str">
        <f t="shared" si="1924"/>
        <v/>
      </c>
      <c r="DQ258" t="str">
        <f t="shared" si="1925"/>
        <v/>
      </c>
      <c r="DR258" t="str">
        <f t="shared" si="1926"/>
        <v/>
      </c>
      <c r="DS258" t="str">
        <f t="shared" si="1927"/>
        <v/>
      </c>
      <c r="DT258" t="str">
        <f t="shared" si="1928"/>
        <v/>
      </c>
      <c r="DU258" t="str">
        <f t="shared" si="1929"/>
        <v/>
      </c>
      <c r="DV258" t="str">
        <f t="shared" si="1930"/>
        <v/>
      </c>
      <c r="DW258" t="str">
        <f t="shared" si="1931"/>
        <v/>
      </c>
      <c r="DX258" t="str">
        <f t="shared" si="1932"/>
        <v/>
      </c>
      <c r="DY258" t="str">
        <f t="shared" si="1933"/>
        <v/>
      </c>
      <c r="DZ258" t="str">
        <f t="shared" si="1934"/>
        <v/>
      </c>
      <c r="EA258" t="str">
        <f t="shared" si="1935"/>
        <v/>
      </c>
      <c r="EB258" t="str">
        <f t="shared" si="1936"/>
        <v/>
      </c>
      <c r="EC258" t="str">
        <f t="shared" si="1937"/>
        <v/>
      </c>
      <c r="ED258" t="str">
        <f t="shared" si="1938"/>
        <v/>
      </c>
      <c r="EE258" t="str">
        <f t="shared" si="1939"/>
        <v/>
      </c>
      <c r="EF258" t="str">
        <f t="shared" si="1940"/>
        <v/>
      </c>
      <c r="EG258" t="str">
        <f t="shared" si="1941"/>
        <v/>
      </c>
      <c r="EH258" t="str">
        <f t="shared" si="1942"/>
        <v/>
      </c>
      <c r="EI258" t="str">
        <f t="shared" si="1943"/>
        <v/>
      </c>
      <c r="EJ258" t="str">
        <f t="shared" si="1944"/>
        <v/>
      </c>
      <c r="EK258" t="str">
        <f t="shared" si="1945"/>
        <v/>
      </c>
      <c r="EL258" t="str">
        <f t="shared" si="1946"/>
        <v/>
      </c>
      <c r="EM258" t="str">
        <f t="shared" si="1947"/>
        <v/>
      </c>
      <c r="EN258" t="str">
        <f t="shared" si="1948"/>
        <v/>
      </c>
      <c r="EO258" t="str">
        <f t="shared" si="1949"/>
        <v/>
      </c>
      <c r="EP258" t="str">
        <f t="shared" si="1950"/>
        <v/>
      </c>
      <c r="EQ258" t="str">
        <f t="shared" si="1951"/>
        <v/>
      </c>
      <c r="ER258" t="str">
        <f t="shared" si="1952"/>
        <v/>
      </c>
      <c r="ES258" t="str">
        <f t="shared" si="1953"/>
        <v/>
      </c>
      <c r="ET258" t="str">
        <f t="shared" si="1954"/>
        <v/>
      </c>
      <c r="EU258" t="str">
        <f t="shared" si="1955"/>
        <v/>
      </c>
      <c r="EV258" t="str">
        <f t="shared" si="1956"/>
        <v/>
      </c>
      <c r="EW258" t="str">
        <f t="shared" si="1957"/>
        <v/>
      </c>
      <c r="EX258" t="str">
        <f t="shared" si="1958"/>
        <v/>
      </c>
      <c r="EY258" t="str">
        <f t="shared" si="1959"/>
        <v/>
      </c>
    </row>
    <row r="259" spans="1:155" ht="13.9" customHeight="1" x14ac:dyDescent="0.25">
      <c r="M259" s="3" t="str">
        <f>IF($L259="","",IF($L259="DOELPUNTENMAKERS","",IF(AND(COUNTIF(#REF!,$B259)=0,COUNTIF(#REF!,$D259)=0),"OK",IF($O259&gt;20,"LET OP: meer dan 20 items (controle onvolledig)",IF((COUNTIF($R259:$AS259,"ONZEKER")+COUNTIF($CJ259:$DK259,"ONZEKER"))&gt;0,"LET OP: scoreverloop onduidelijk (controle beperkt)",IF((IF($AT259&lt;&gt;"",$AT259&amp;", ","")&amp;IF($AU259&lt;&gt;"",$AU259&amp;", ","")&amp;IF($AV259&lt;&gt;"",$AV259&amp;", ","")&amp;IF($AW259&lt;&gt;"",$AW259&amp;", ","")&amp;IF($AX259&lt;&gt;"",$AX259&amp;", ","")&amp;IF($AY259&lt;&gt;"",$AY259&amp;", ","")&amp;IF($AZ259&lt;&gt;"",$AZ259&amp;", ","")&amp;IF($BA259&lt;&gt;"",$BA259&amp;", ","")&amp;IF($BB259&lt;&gt;"",$BB259&amp;", ","")&amp;IF($BC259&lt;&gt;"",$BC259&amp;", ","")&amp;IF($DL259&lt;&gt;"",$DL259&amp;", ","")&amp;IF($DM259&lt;&gt;"",$DM259&amp;", ","")&amp;IF($DN259&lt;&gt;"",$DN259&amp;", ","")&amp;IF($DO259&lt;&gt;"",$DO259&amp;", ","")&amp;IF($DP259&lt;&gt;"",$DP259&amp;", ","")&amp;IF($DQ259&lt;&gt;"",$DQ259&amp;", ","")&amp;IF($DR259&lt;&gt;"",$DR259&amp;", ","")&amp;IF($DS259&lt;&gt;"",$DS259&amp;", ","")&amp;IF($DT259&lt;&gt;"",$DT259&amp;", ","")&amp;IF($DU259&lt;&gt;"",$DU259&amp;", ",""))="","OK","Onbekend: "&amp;LEFT((IF($AT259&lt;&gt;"",$AT259&amp;", ","")&amp;IF($AU259&lt;&gt;"",$AU259&amp;", ","")&amp;IF($AV259&lt;&gt;"",$AV259&amp;", ","")&amp;IF($AW259&lt;&gt;"",$AW259&amp;", ","")&amp;IF($AX259&lt;&gt;"",$AX259&amp;", ","")&amp;IF($AY259&lt;&gt;"",$AY259&amp;", ","")&amp;IF($AZ259&lt;&gt;"",$AZ259&amp;", ","")&amp;IF($BA259&lt;&gt;"",$BA259&amp;", ","")&amp;IF($BB259&lt;&gt;"",$BB259&amp;", ","")&amp;IF($BC259&lt;&gt;"",$BC259&amp;", ","")&amp;IF($DL259&lt;&gt;"",$DL259&amp;", ","")&amp;IF($DM259&lt;&gt;"",$DM259&amp;", ","")&amp;IF($DN259&lt;&gt;"",$DN259&amp;", ","")&amp;IF($DO259&lt;&gt;"",$DO259&amp;", ","")&amp;IF($DP259&lt;&gt;"",$DP259&amp;", ","")&amp;IF($DQ259&lt;&gt;"",$DQ259&amp;", ","")&amp;IF($DR259&lt;&gt;"",$DR259&amp;", ","")&amp;IF($DS259&lt;&gt;"",$DS259&amp;", ","")&amp;IF($DT259&lt;&gt;"",$DT259&amp;", ","")&amp;IF($DU259&lt;&gt;"",$DU259&amp;", ","")),LEN((IF($AT259&lt;&gt;"",$AT259&amp;", ","")&amp;IF($AU259&lt;&gt;"",$AU259&amp;", ","")&amp;IF($AV259&lt;&gt;"",$AV259&amp;", ","")&amp;IF($AW259&lt;&gt;"",$AW259&amp;", ","")&amp;IF($AX259&lt;&gt;"",$AX259&amp;", ","")&amp;IF($AY259&lt;&gt;"",$AY259&amp;", ","")&amp;IF($AZ259&lt;&gt;"",$AZ259&amp;", ","")&amp;IF($BA259&lt;&gt;"",$BA259&amp;", ","")&amp;IF($BB259&lt;&gt;"",$BB259&amp;", ","")&amp;IF($BC259&lt;&gt;"",$BC259&amp;", ","")&amp;IF($DL259&lt;&gt;"",$DL259&amp;", ","")&amp;IF($DM259&lt;&gt;"",$DM259&amp;", ","")&amp;IF($DN259&lt;&gt;"",$DN259&amp;", ","")&amp;IF($DO259&lt;&gt;"",$DO259&amp;", ","")&amp;IF($DP259&lt;&gt;"",$DP259&amp;", ","")&amp;IF($DQ259&lt;&gt;"",$DQ259&amp;", ","")&amp;IF($DR259&lt;&gt;"",$DR259&amp;", ","")&amp;IF($DS259&lt;&gt;"",$DS259&amp;", ","")&amp;IF($DT259&lt;&gt;"",$DT259&amp;", ","")&amp;IF($DU259&lt;&gt;"",$DU259&amp;", ","")))-2)))))))</f>
        <v/>
      </c>
      <c r="N259" t="str">
        <f t="shared" si="1868"/>
        <v/>
      </c>
      <c r="O259" t="str">
        <f t="shared" si="1869"/>
        <v/>
      </c>
      <c r="P259" t="str">
        <f t="shared" si="1870"/>
        <v/>
      </c>
      <c r="Q259" t="str">
        <f t="shared" si="1871"/>
        <v/>
      </c>
      <c r="R259" t="str">
        <f>IF($Q259="","",IF(OR($BE259="",$BF259=""),"ONZEKER",IF(AND($BE259=0+1,$BF259=0),IF(OR(COUNTIF(#REF!,$B259)&gt;0,COUNTIF(#REF!,$B259)=0),"SKIP",IF(COUNTIFS(#REF!,$B259,#REF!,$Q259)&gt;0,"OK","ONBEKEND")),IF(AND($BE259=0,$BF259=0+1),IF(OR(COUNTIF(#REF!,$D259)&gt;0,COUNTIF(#REF!,$D259)=0),"SKIP",IF(COUNTIFS(#REF!,$D259,#REF!,$Q259)&gt;0,"OK","ONBEKEND")),"ONZEKER"))))</f>
        <v/>
      </c>
      <c r="S259" t="str">
        <f t="shared" si="1872"/>
        <v/>
      </c>
      <c r="T259" t="str">
        <f t="shared" si="1873"/>
        <v/>
      </c>
      <c r="U259" t="str">
        <f>IF($T259="","",IF(OR($BH259="",$BI259=""),"ONZEKER",IF(OR($BE259="",$BF259=""),"ONZEKER",IF(AND($BH259=$BE259+1,$BI259=$BF259),IF(OR(COUNTIF(#REF!,$B259)&gt;0,COUNTIF(#REF!,$B259)=0),"SKIP",IF(COUNTIFS(#REF!,$B259,#REF!,$T259)&gt;0,"OK","ONBEKEND")),IF(AND($BH259=$BE259,$BI259=$BF259+1),IF(OR(COUNTIF(#REF!,$D259)&gt;0,COUNTIF(#REF!,$D259)=0),"SKIP",IF(COUNTIFS(#REF!,$D259,#REF!,$T259)&gt;0,"OK","ONBEKEND")),"ONZEKER")))))</f>
        <v/>
      </c>
      <c r="V259" t="str">
        <f t="shared" si="1874"/>
        <v/>
      </c>
      <c r="W259" t="str">
        <f t="shared" si="1875"/>
        <v/>
      </c>
      <c r="X259" t="str">
        <f>IF($W259="","",IF(OR($BK259="",$BL259=""),"ONZEKER",IF(OR($BH259="",$BI259=""),"ONZEKER",IF(AND($BK259=$BH259+1,$BL259=$BI259),IF(OR(COUNTIF(#REF!,$B259)&gt;0,COUNTIF(#REF!,$B259)=0),"SKIP",IF(COUNTIFS(#REF!,$B259,#REF!,$W259)&gt;0,"OK","ONBEKEND")),IF(AND($BK259=$BH259,$BL259=$BI259+1),IF(OR(COUNTIF(#REF!,$D259)&gt;0,COUNTIF(#REF!,$D259)=0),"SKIP",IF(COUNTIFS(#REF!,$D259,#REF!,$W259)&gt;0,"OK","ONBEKEND")),"ONZEKER")))))</f>
        <v/>
      </c>
      <c r="Y259" t="str">
        <f t="shared" si="1876"/>
        <v/>
      </c>
      <c r="Z259" t="str">
        <f t="shared" si="1877"/>
        <v/>
      </c>
      <c r="AA259" t="str">
        <f>IF($Z259="","",IF(OR($BN259="",$BO259=""),"ONZEKER",IF(OR($BK259="",$BL259=""),"ONZEKER",IF(AND($BN259=$BK259+1,$BO259=$BL259),IF(OR(COUNTIF(#REF!,$B259)&gt;0,COUNTIF(#REF!,$B259)=0),"SKIP",IF(COUNTIFS(#REF!,$B259,#REF!,$Z259)&gt;0,"OK","ONBEKEND")),IF(AND($BN259=$BK259,$BO259=$BL259+1),IF(OR(COUNTIF(#REF!,$D259)&gt;0,COUNTIF(#REF!,$D259)=0),"SKIP",IF(COUNTIFS(#REF!,$D259,#REF!,$Z259)&gt;0,"OK","ONBEKEND")),"ONZEKER")))))</f>
        <v/>
      </c>
      <c r="AB259" t="str">
        <f t="shared" si="1878"/>
        <v/>
      </c>
      <c r="AC259" t="str">
        <f t="shared" si="1879"/>
        <v/>
      </c>
      <c r="AD259" t="str">
        <f>IF($AC259="","",IF(OR($BQ259="",$BR259=""),"ONZEKER",IF(OR($BN259="",$BO259=""),"ONZEKER",IF(AND($BQ259=$BN259+1,$BR259=$BO259),IF(OR(COUNTIF(#REF!,$B259)&gt;0,COUNTIF(#REF!,$B259)=0),"SKIP",IF(COUNTIFS(#REF!,$B259,#REF!,$AC259)&gt;0,"OK","ONBEKEND")),IF(AND($BQ259=$BN259,$BR259=$BO259+1),IF(OR(COUNTIF(#REF!,$D259)&gt;0,COUNTIF(#REF!,$D259)=0),"SKIP",IF(COUNTIFS(#REF!,$D259,#REF!,$AC259)&gt;0,"OK","ONBEKEND")),"ONZEKER")))))</f>
        <v/>
      </c>
      <c r="AE259" t="str">
        <f t="shared" si="1880"/>
        <v/>
      </c>
      <c r="AF259" t="str">
        <f t="shared" si="1881"/>
        <v/>
      </c>
      <c r="AG259" t="str">
        <f>IF($AF259="","",IF(OR($BT259="",$BU259=""),"ONZEKER",IF(OR($BQ259="",$BR259=""),"ONZEKER",IF(AND($BT259=$BQ259+1,$BU259=$BR259),IF(OR(COUNTIF(#REF!,$B259)&gt;0,COUNTIF(#REF!,$B259)=0),"SKIP",IF(COUNTIFS(#REF!,$B259,#REF!,$AF259)&gt;0,"OK","ONBEKEND")),IF(AND($BT259=$BQ259,$BU259=$BR259+1),IF(OR(COUNTIF(#REF!,$D259)&gt;0,COUNTIF(#REF!,$D259)=0),"SKIP",IF(COUNTIFS(#REF!,$D259,#REF!,$AF259)&gt;0,"OK","ONBEKEND")),"ONZEKER")))))</f>
        <v/>
      </c>
      <c r="AH259" t="str">
        <f t="shared" si="1882"/>
        <v/>
      </c>
      <c r="AI259" t="str">
        <f t="shared" si="1883"/>
        <v/>
      </c>
      <c r="AJ259" t="str">
        <f>IF($AI259="","",IF(OR($BW259="",$BX259=""),"ONZEKER",IF(OR($BT259="",$BU259=""),"ONZEKER",IF(AND($BW259=$BT259+1,$BX259=$BU259),IF(OR(COUNTIF(#REF!,$B259)&gt;0,COUNTIF(#REF!,$B259)=0),"SKIP",IF(COUNTIFS(#REF!,$B259,#REF!,$AI259)&gt;0,"OK","ONBEKEND")),IF(AND($BW259=$BT259,$BX259=$BU259+1),IF(OR(COUNTIF(#REF!,$D259)&gt;0,COUNTIF(#REF!,$D259)=0),"SKIP",IF(COUNTIFS(#REF!,$D259,#REF!,$AI259)&gt;0,"OK","ONBEKEND")),"ONZEKER")))))</f>
        <v/>
      </c>
      <c r="AK259" t="str">
        <f t="shared" si="1884"/>
        <v/>
      </c>
      <c r="AL259" t="str">
        <f t="shared" si="1885"/>
        <v/>
      </c>
      <c r="AM259" t="str">
        <f>IF($AL259="","",IF(OR($BZ259="",$CA259=""),"ONZEKER",IF(OR($BW259="",$BX259=""),"ONZEKER",IF(AND($BZ259=$BW259+1,$CA259=$BX259),IF(OR(COUNTIF(#REF!,$B259)&gt;0,COUNTIF(#REF!,$B259)=0),"SKIP",IF(COUNTIFS(#REF!,$B259,#REF!,$AL259)&gt;0,"OK","ONBEKEND")),IF(AND($BZ259=$BW259,$CA259=$BX259+1),IF(OR(COUNTIF(#REF!,$D259)&gt;0,COUNTIF(#REF!,$D259)=0),"SKIP",IF(COUNTIFS(#REF!,$D259,#REF!,$AL259)&gt;0,"OK","ONBEKEND")),"ONZEKER")))))</f>
        <v/>
      </c>
      <c r="AN259" t="str">
        <f t="shared" si="1886"/>
        <v/>
      </c>
      <c r="AO259" t="str">
        <f t="shared" si="1887"/>
        <v/>
      </c>
      <c r="AP259" t="str">
        <f>IF($AO259="","",IF(OR($CC259="",$CD259=""),"ONZEKER",IF(OR($BZ259="",$CA259=""),"ONZEKER",IF(AND($CC259=$BZ259+1,$CD259=$CA259),IF(OR(COUNTIF(#REF!,$B259)&gt;0,COUNTIF(#REF!,$B259)=0),"SKIP",IF(COUNTIFS(#REF!,$B259,#REF!,$AO259)&gt;0,"OK","ONBEKEND")),IF(AND($CC259=$BZ259,$CD259=$CA259+1),IF(OR(COUNTIF(#REF!,$D259)&gt;0,COUNTIF(#REF!,$D259)=0),"SKIP",IF(COUNTIFS(#REF!,$D259,#REF!,$AO259)&gt;0,"OK","ONBEKEND")),"ONZEKER")))))</f>
        <v/>
      </c>
      <c r="AQ259" t="str">
        <f t="shared" si="1888"/>
        <v/>
      </c>
      <c r="AR259" t="str">
        <f t="shared" si="1889"/>
        <v/>
      </c>
      <c r="AS259" t="str">
        <f>IF($AR259="","",IF(OR($CF259="",$CG259=""),"ONZEKER",IF(OR($CC259="",$CD259=""),"ONZEKER",IF(AND($CF259=$CC259+1,$CG259=$CD259),IF(OR(COUNTIF(#REF!,$B259)&gt;0,COUNTIF(#REF!,$B259)=0),"SKIP",IF(COUNTIFS(#REF!,$B259,#REF!,$AR259)&gt;0,"OK","ONBEKEND")),IF(AND($CF259=$CC259,$CG259=$CD259+1),IF(OR(COUNTIF(#REF!,$D259)&gt;0,COUNTIF(#REF!,$D259)=0),"SKIP",IF(COUNTIFS(#REF!,$D259,#REF!,$AR259)&gt;0,"OK","ONBEKEND")),"ONZEKER")))))</f>
        <v/>
      </c>
      <c r="AT259" t="str">
        <f t="shared" si="1890"/>
        <v/>
      </c>
      <c r="AU259" t="str">
        <f t="shared" si="1891"/>
        <v/>
      </c>
      <c r="AV259" t="str">
        <f t="shared" si="1892"/>
        <v/>
      </c>
      <c r="AW259" t="str">
        <f t="shared" si="1893"/>
        <v/>
      </c>
      <c r="AX259" t="str">
        <f t="shared" si="1894"/>
        <v/>
      </c>
      <c r="AY259" t="str">
        <f t="shared" si="1895"/>
        <v/>
      </c>
      <c r="AZ259" t="str">
        <f t="shared" si="1896"/>
        <v/>
      </c>
      <c r="BA259" t="str">
        <f t="shared" si="1897"/>
        <v/>
      </c>
      <c r="BB259" t="str">
        <f t="shared" si="1898"/>
        <v/>
      </c>
      <c r="BC259" t="str">
        <f t="shared" si="1899"/>
        <v/>
      </c>
      <c r="BD259" t="str">
        <f t="shared" si="1960"/>
        <v/>
      </c>
      <c r="BE259" t="str">
        <f t="shared" si="1961"/>
        <v/>
      </c>
      <c r="BF259" t="str">
        <f t="shared" si="1962"/>
        <v/>
      </c>
      <c r="BG259" t="str">
        <f t="shared" si="1963"/>
        <v/>
      </c>
      <c r="BH259" t="str">
        <f t="shared" si="1964"/>
        <v/>
      </c>
      <c r="BI259" t="str">
        <f t="shared" si="1965"/>
        <v/>
      </c>
      <c r="BJ259" t="str">
        <f t="shared" si="1966"/>
        <v/>
      </c>
      <c r="BK259" t="str">
        <f t="shared" si="1967"/>
        <v/>
      </c>
      <c r="BL259" t="str">
        <f t="shared" si="1968"/>
        <v/>
      </c>
      <c r="BM259" t="str">
        <f t="shared" si="1969"/>
        <v/>
      </c>
      <c r="BN259" t="str">
        <f t="shared" si="1970"/>
        <v/>
      </c>
      <c r="BO259" t="str">
        <f t="shared" si="1971"/>
        <v/>
      </c>
      <c r="BP259" t="str">
        <f t="shared" si="1972"/>
        <v/>
      </c>
      <c r="BQ259" t="str">
        <f t="shared" si="1973"/>
        <v/>
      </c>
      <c r="BR259" t="str">
        <f t="shared" si="1974"/>
        <v/>
      </c>
      <c r="BS259" t="str">
        <f t="shared" si="1975"/>
        <v/>
      </c>
      <c r="BT259" t="str">
        <f t="shared" si="1976"/>
        <v/>
      </c>
      <c r="BU259" t="str">
        <f t="shared" si="1977"/>
        <v/>
      </c>
      <c r="BV259" t="str">
        <f t="shared" si="1978"/>
        <v/>
      </c>
      <c r="BW259" t="str">
        <f t="shared" si="1979"/>
        <v/>
      </c>
      <c r="BX259" t="str">
        <f t="shared" si="1980"/>
        <v/>
      </c>
      <c r="BY259" t="str">
        <f t="shared" si="1981"/>
        <v/>
      </c>
      <c r="BZ259" t="str">
        <f t="shared" si="1982"/>
        <v/>
      </c>
      <c r="CA259" t="str">
        <f t="shared" si="1983"/>
        <v/>
      </c>
      <c r="CB259" t="str">
        <f t="shared" si="1984"/>
        <v/>
      </c>
      <c r="CC259" t="str">
        <f t="shared" si="1985"/>
        <v/>
      </c>
      <c r="CD259" t="str">
        <f t="shared" si="1986"/>
        <v/>
      </c>
      <c r="CE259" t="str">
        <f t="shared" si="1987"/>
        <v/>
      </c>
      <c r="CF259" t="str">
        <f t="shared" si="1988"/>
        <v/>
      </c>
      <c r="CG259" t="str">
        <f t="shared" si="1989"/>
        <v/>
      </c>
      <c r="CH259" t="str">
        <f t="shared" si="1900"/>
        <v/>
      </c>
      <c r="CI259" t="str">
        <f t="shared" si="1901"/>
        <v/>
      </c>
      <c r="CJ259" t="str">
        <f>IF($CI259="","",IF(OR($DW259="",$DX259=""),"ONZEKER",IF(OR($CF259="",$CG259=""),"ONZEKER",IF(AND($DW259=$CF259+1,$DX259=$CG259),IF(OR(COUNTIF(#REF!,$B259)&gt;0,COUNTIF(#REF!,$B259)=0),"SKIP",IF(COUNTIFS(#REF!,$B259,#REF!,$CI259)&gt;0,"OK","ONBEKEND")),IF(AND($DW259=$CF259,$DX259=$CG259+1),IF(OR(COUNTIF(#REF!,$D259)&gt;0,COUNTIF(#REF!,$D259)=0),"SKIP",IF(COUNTIFS(#REF!,$D259,#REF!,$CI259)&gt;0,"OK","ONBEKEND")),"ONZEKER")))))</f>
        <v/>
      </c>
      <c r="CK259" t="str">
        <f t="shared" si="1902"/>
        <v/>
      </c>
      <c r="CL259" t="str">
        <f t="shared" si="1903"/>
        <v/>
      </c>
      <c r="CM259" t="str">
        <f>IF($CL259="","",IF(OR($DZ259="",$EA259=""),"ONZEKER",IF(OR($DW259="",$DX259=""),"ONZEKER",IF(AND($DZ259=$DW259+1,$EA259=$DX259),IF(OR(COUNTIF(#REF!,$B259)&gt;0,COUNTIF(#REF!,$B259)=0),"SKIP",IF(COUNTIFS(#REF!,$B259,#REF!,$CL259)&gt;0,"OK","ONBEKEND")),IF(AND($DZ259=$DW259,$EA259=$DX259+1),IF(OR(COUNTIF(#REF!,$D259)&gt;0,COUNTIF(#REF!,$D259)=0),"SKIP",IF(COUNTIFS(#REF!,$D259,#REF!,$CL259)&gt;0,"OK","ONBEKEND")),"ONZEKER")))))</f>
        <v/>
      </c>
      <c r="CN259" t="str">
        <f t="shared" si="1904"/>
        <v/>
      </c>
      <c r="CO259" t="str">
        <f t="shared" si="1905"/>
        <v/>
      </c>
      <c r="CP259" t="str">
        <f>IF($CO259="","",IF(OR($EC259="",$ED259=""),"ONZEKER",IF(OR($DZ259="",$EA259=""),"ONZEKER",IF(AND($EC259=$DZ259+1,$ED259=$EA259),IF(OR(COUNTIF(#REF!,$B259)&gt;0,COUNTIF(#REF!,$B259)=0),"SKIP",IF(COUNTIFS(#REF!,$B259,#REF!,$CO259)&gt;0,"OK","ONBEKEND")),IF(AND($EC259=$DZ259,$ED259=$EA259+1),IF(OR(COUNTIF(#REF!,$D259)&gt;0,COUNTIF(#REF!,$D259)=0),"SKIP",IF(COUNTIFS(#REF!,$D259,#REF!,$CO259)&gt;0,"OK","ONBEKEND")),"ONZEKER")))))</f>
        <v/>
      </c>
      <c r="CQ259" t="str">
        <f t="shared" si="1906"/>
        <v/>
      </c>
      <c r="CR259" t="str">
        <f t="shared" si="1907"/>
        <v/>
      </c>
      <c r="CS259" t="str">
        <f>IF($CR259="","",IF(OR($EF259="",$EG259=""),"ONZEKER",IF(OR($EC259="",$ED259=""),"ONZEKER",IF(AND($EF259=$EC259+1,$EG259=$ED259),IF(OR(COUNTIF(#REF!,$B259)&gt;0,COUNTIF(#REF!,$B259)=0),"SKIP",IF(COUNTIFS(#REF!,$B259,#REF!,$CR259)&gt;0,"OK","ONBEKEND")),IF(AND($EF259=$EC259,$EG259=$ED259+1),IF(OR(COUNTIF(#REF!,$D259)&gt;0,COUNTIF(#REF!,$D259)=0),"SKIP",IF(COUNTIFS(#REF!,$D259,#REF!,$CR259)&gt;0,"OK","ONBEKEND")),"ONZEKER")))))</f>
        <v/>
      </c>
      <c r="CT259" t="str">
        <f t="shared" si="1908"/>
        <v/>
      </c>
      <c r="CU259" t="str">
        <f t="shared" si="1909"/>
        <v/>
      </c>
      <c r="CV259" t="str">
        <f>IF($CU259="","",IF(OR($EI259="",$EJ259=""),"ONZEKER",IF(OR($EF259="",$EG259=""),"ONZEKER",IF(AND($EI259=$EF259+1,$EJ259=$EG259),IF(OR(COUNTIF(#REF!,$B259)&gt;0,COUNTIF(#REF!,$B259)=0),"SKIP",IF(COUNTIFS(#REF!,$B259,#REF!,$CU259)&gt;0,"OK","ONBEKEND")),IF(AND($EI259=$EF259,$EJ259=$EG259+1),IF(OR(COUNTIF(#REF!,$D259)&gt;0,COUNTIF(#REF!,$D259)=0),"SKIP",IF(COUNTIFS(#REF!,$D259,#REF!,$CU259)&gt;0,"OK","ONBEKEND")),"ONZEKER")))))</f>
        <v/>
      </c>
      <c r="CW259" t="str">
        <f t="shared" si="1910"/>
        <v/>
      </c>
      <c r="CX259" t="str">
        <f t="shared" si="1911"/>
        <v/>
      </c>
      <c r="CY259" t="str">
        <f>IF($CX259="","",IF(OR($EL259="",$EM259=""),"ONZEKER",IF(OR($EI259="",$EJ259=""),"ONZEKER",IF(AND($EL259=$EI259+1,$EM259=$EJ259),IF(OR(COUNTIF(#REF!,$B259)&gt;0,COUNTIF(#REF!,$B259)=0),"SKIP",IF(COUNTIFS(#REF!,$B259,#REF!,$CX259)&gt;0,"OK","ONBEKEND")),IF(AND($EL259=$EI259,$EM259=$EJ259+1),IF(OR(COUNTIF(#REF!,$D259)&gt;0,COUNTIF(#REF!,$D259)=0),"SKIP",IF(COUNTIFS(#REF!,$D259,#REF!,$CX259)&gt;0,"OK","ONBEKEND")),"ONZEKER")))))</f>
        <v/>
      </c>
      <c r="CZ259" t="str">
        <f t="shared" si="1912"/>
        <v/>
      </c>
      <c r="DA259" t="str">
        <f t="shared" si="1913"/>
        <v/>
      </c>
      <c r="DB259" t="str">
        <f>IF($DA259="","",IF(OR($EO259="",$EP259=""),"ONZEKER",IF(OR($EL259="",$EM259=""),"ONZEKER",IF(AND($EO259=$EL259+1,$EP259=$EM259),IF(OR(COUNTIF(#REF!,$B259)&gt;0,COUNTIF(#REF!,$B259)=0),"SKIP",IF(COUNTIFS(#REF!,$B259,#REF!,$DA259)&gt;0,"OK","ONBEKEND")),IF(AND($EO259=$EL259,$EP259=$EM259+1),IF(OR(COUNTIF(#REF!,$D259)&gt;0,COUNTIF(#REF!,$D259)=0),"SKIP",IF(COUNTIFS(#REF!,$D259,#REF!,$DA259)&gt;0,"OK","ONBEKEND")),"ONZEKER")))))</f>
        <v/>
      </c>
      <c r="DC259" t="str">
        <f t="shared" si="1914"/>
        <v/>
      </c>
      <c r="DD259" t="str">
        <f t="shared" si="1915"/>
        <v/>
      </c>
      <c r="DE259" t="str">
        <f>IF($DD259="","",IF(OR($ER259="",$ES259=""),"ONZEKER",IF(OR($EO259="",$EP259=""),"ONZEKER",IF(AND($ER259=$EO259+1,$ES259=$EP259),IF(OR(COUNTIF(#REF!,$B259)&gt;0,COUNTIF(#REF!,$B259)=0),"SKIP",IF(COUNTIFS(#REF!,$B259,#REF!,$DD259)&gt;0,"OK","ONBEKEND")),IF(AND($ER259=$EO259,$ES259=$EP259+1),IF(OR(COUNTIF(#REF!,$D259)&gt;0,COUNTIF(#REF!,$D259)=0),"SKIP",IF(COUNTIFS(#REF!,$D259,#REF!,$DD259)&gt;0,"OK","ONBEKEND")),"ONZEKER")))))</f>
        <v/>
      </c>
      <c r="DF259" t="str">
        <f t="shared" si="1916"/>
        <v/>
      </c>
      <c r="DG259" t="str">
        <f t="shared" si="1917"/>
        <v/>
      </c>
      <c r="DH259" t="str">
        <f>IF($DG259="","",IF(OR($EU259="",$EV259=""),"ONZEKER",IF(OR($ER259="",$ES259=""),"ONZEKER",IF(AND($EU259=$ER259+1,$EV259=$ES259),IF(OR(COUNTIF(#REF!,$B259)&gt;0,COUNTIF(#REF!,$B259)=0),"SKIP",IF(COUNTIFS(#REF!,$B259,#REF!,$DG259)&gt;0,"OK","ONBEKEND")),IF(AND($EU259=$ER259,$EV259=$ES259+1),IF(OR(COUNTIF(#REF!,$D259)&gt;0,COUNTIF(#REF!,$D259)=0),"SKIP",IF(COUNTIFS(#REF!,$D259,#REF!,$DG259)&gt;0,"OK","ONBEKEND")),"ONZEKER")))))</f>
        <v/>
      </c>
      <c r="DI259" t="str">
        <f t="shared" si="1918"/>
        <v/>
      </c>
      <c r="DJ259" t="str">
        <f t="shared" si="1919"/>
        <v/>
      </c>
      <c r="DK259" t="str">
        <f>IF($DJ259="","",IF(OR($EX259="",$EY259=""),"ONZEKER",IF(OR($EU259="",$EV259=""),"ONZEKER",IF(AND($EX259=$EU259+1,$EY259=$EV259),IF(OR(COUNTIF(#REF!,$B259)&gt;0,COUNTIF(#REF!,$B259)=0),"SKIP",IF(COUNTIFS(#REF!,$B259,#REF!,$DJ259)&gt;0,"OK","ONBEKEND")),IF(AND($EX259=$EU259,$EY259=$EV259+1),IF(OR(COUNTIF(#REF!,$D259)&gt;0,COUNTIF(#REF!,$D259)=0),"SKIP",IF(COUNTIFS(#REF!,$D259,#REF!,$DJ259)&gt;0,"OK","ONBEKEND")),"ONZEKER")))))</f>
        <v/>
      </c>
      <c r="DL259" t="str">
        <f t="shared" si="1920"/>
        <v/>
      </c>
      <c r="DM259" t="str">
        <f t="shared" si="1921"/>
        <v/>
      </c>
      <c r="DN259" t="str">
        <f t="shared" si="1922"/>
        <v/>
      </c>
      <c r="DO259" t="str">
        <f t="shared" si="1923"/>
        <v/>
      </c>
      <c r="DP259" t="str">
        <f t="shared" si="1924"/>
        <v/>
      </c>
      <c r="DQ259" t="str">
        <f t="shared" si="1925"/>
        <v/>
      </c>
      <c r="DR259" t="str">
        <f t="shared" si="1926"/>
        <v/>
      </c>
      <c r="DS259" t="str">
        <f t="shared" si="1927"/>
        <v/>
      </c>
      <c r="DT259" t="str">
        <f t="shared" si="1928"/>
        <v/>
      </c>
      <c r="DU259" t="str">
        <f t="shared" si="1929"/>
        <v/>
      </c>
      <c r="DV259" t="str">
        <f t="shared" si="1930"/>
        <v/>
      </c>
      <c r="DW259" t="str">
        <f t="shared" si="1931"/>
        <v/>
      </c>
      <c r="DX259" t="str">
        <f t="shared" si="1932"/>
        <v/>
      </c>
      <c r="DY259" t="str">
        <f t="shared" si="1933"/>
        <v/>
      </c>
      <c r="DZ259" t="str">
        <f t="shared" si="1934"/>
        <v/>
      </c>
      <c r="EA259" t="str">
        <f t="shared" si="1935"/>
        <v/>
      </c>
      <c r="EB259" t="str">
        <f t="shared" si="1936"/>
        <v/>
      </c>
      <c r="EC259" t="str">
        <f t="shared" si="1937"/>
        <v/>
      </c>
      <c r="ED259" t="str">
        <f t="shared" si="1938"/>
        <v/>
      </c>
      <c r="EE259" t="str">
        <f t="shared" si="1939"/>
        <v/>
      </c>
      <c r="EF259" t="str">
        <f t="shared" si="1940"/>
        <v/>
      </c>
      <c r="EG259" t="str">
        <f t="shared" si="1941"/>
        <v/>
      </c>
      <c r="EH259" t="str">
        <f t="shared" si="1942"/>
        <v/>
      </c>
      <c r="EI259" t="str">
        <f t="shared" si="1943"/>
        <v/>
      </c>
      <c r="EJ259" t="str">
        <f t="shared" si="1944"/>
        <v/>
      </c>
      <c r="EK259" t="str">
        <f t="shared" si="1945"/>
        <v/>
      </c>
      <c r="EL259" t="str">
        <f t="shared" si="1946"/>
        <v/>
      </c>
      <c r="EM259" t="str">
        <f t="shared" si="1947"/>
        <v/>
      </c>
      <c r="EN259" t="str">
        <f t="shared" si="1948"/>
        <v/>
      </c>
      <c r="EO259" t="str">
        <f t="shared" si="1949"/>
        <v/>
      </c>
      <c r="EP259" t="str">
        <f t="shared" si="1950"/>
        <v/>
      </c>
      <c r="EQ259" t="str">
        <f t="shared" si="1951"/>
        <v/>
      </c>
      <c r="ER259" t="str">
        <f t="shared" si="1952"/>
        <v/>
      </c>
      <c r="ES259" t="str">
        <f t="shared" si="1953"/>
        <v/>
      </c>
      <c r="ET259" t="str">
        <f t="shared" si="1954"/>
        <v/>
      </c>
      <c r="EU259" t="str">
        <f t="shared" si="1955"/>
        <v/>
      </c>
      <c r="EV259" t="str">
        <f t="shared" si="1956"/>
        <v/>
      </c>
      <c r="EW259" t="str">
        <f t="shared" si="1957"/>
        <v/>
      </c>
      <c r="EX259" t="str">
        <f t="shared" si="1958"/>
        <v/>
      </c>
      <c r="EY259" t="str">
        <f t="shared" si="1959"/>
        <v/>
      </c>
    </row>
    <row r="260" spans="1:155" ht="13.9" customHeight="1" x14ac:dyDescent="0.25">
      <c r="M260" s="3" t="str">
        <f>IF($L260="","",IF($L260="DOELPUNTENMAKERS","",IF(AND(COUNTIF(#REF!,$B260)=0,COUNTIF(#REF!,$D260)=0),"OK",IF($O260&gt;20,"LET OP: meer dan 20 items (controle onvolledig)",IF((COUNTIF($R260:$AS260,"ONZEKER")+COUNTIF($CJ260:$DK260,"ONZEKER"))&gt;0,"LET OP: scoreverloop onduidelijk (controle beperkt)",IF((IF($AT260&lt;&gt;"",$AT260&amp;", ","")&amp;IF($AU260&lt;&gt;"",$AU260&amp;", ","")&amp;IF($AV260&lt;&gt;"",$AV260&amp;", ","")&amp;IF($AW260&lt;&gt;"",$AW260&amp;", ","")&amp;IF($AX260&lt;&gt;"",$AX260&amp;", ","")&amp;IF($AY260&lt;&gt;"",$AY260&amp;", ","")&amp;IF($AZ260&lt;&gt;"",$AZ260&amp;", ","")&amp;IF($BA260&lt;&gt;"",$BA260&amp;", ","")&amp;IF($BB260&lt;&gt;"",$BB260&amp;", ","")&amp;IF($BC260&lt;&gt;"",$BC260&amp;", ","")&amp;IF($DL260&lt;&gt;"",$DL260&amp;", ","")&amp;IF($DM260&lt;&gt;"",$DM260&amp;", ","")&amp;IF($DN260&lt;&gt;"",$DN260&amp;", ","")&amp;IF($DO260&lt;&gt;"",$DO260&amp;", ","")&amp;IF($DP260&lt;&gt;"",$DP260&amp;", ","")&amp;IF($DQ260&lt;&gt;"",$DQ260&amp;", ","")&amp;IF($DR260&lt;&gt;"",$DR260&amp;", ","")&amp;IF($DS260&lt;&gt;"",$DS260&amp;", ","")&amp;IF($DT260&lt;&gt;"",$DT260&amp;", ","")&amp;IF($DU260&lt;&gt;"",$DU260&amp;", ",""))="","OK","Onbekend: "&amp;LEFT((IF($AT260&lt;&gt;"",$AT260&amp;", ","")&amp;IF($AU260&lt;&gt;"",$AU260&amp;", ","")&amp;IF($AV260&lt;&gt;"",$AV260&amp;", ","")&amp;IF($AW260&lt;&gt;"",$AW260&amp;", ","")&amp;IF($AX260&lt;&gt;"",$AX260&amp;", ","")&amp;IF($AY260&lt;&gt;"",$AY260&amp;", ","")&amp;IF($AZ260&lt;&gt;"",$AZ260&amp;", ","")&amp;IF($BA260&lt;&gt;"",$BA260&amp;", ","")&amp;IF($BB260&lt;&gt;"",$BB260&amp;", ","")&amp;IF($BC260&lt;&gt;"",$BC260&amp;", ","")&amp;IF($DL260&lt;&gt;"",$DL260&amp;", ","")&amp;IF($DM260&lt;&gt;"",$DM260&amp;", ","")&amp;IF($DN260&lt;&gt;"",$DN260&amp;", ","")&amp;IF($DO260&lt;&gt;"",$DO260&amp;", ","")&amp;IF($DP260&lt;&gt;"",$DP260&amp;", ","")&amp;IF($DQ260&lt;&gt;"",$DQ260&amp;", ","")&amp;IF($DR260&lt;&gt;"",$DR260&amp;", ","")&amp;IF($DS260&lt;&gt;"",$DS260&amp;", ","")&amp;IF($DT260&lt;&gt;"",$DT260&amp;", ","")&amp;IF($DU260&lt;&gt;"",$DU260&amp;", ","")),LEN((IF($AT260&lt;&gt;"",$AT260&amp;", ","")&amp;IF($AU260&lt;&gt;"",$AU260&amp;", ","")&amp;IF($AV260&lt;&gt;"",$AV260&amp;", ","")&amp;IF($AW260&lt;&gt;"",$AW260&amp;", ","")&amp;IF($AX260&lt;&gt;"",$AX260&amp;", ","")&amp;IF($AY260&lt;&gt;"",$AY260&amp;", ","")&amp;IF($AZ260&lt;&gt;"",$AZ260&amp;", ","")&amp;IF($BA260&lt;&gt;"",$BA260&amp;", ","")&amp;IF($BB260&lt;&gt;"",$BB260&amp;", ","")&amp;IF($BC260&lt;&gt;"",$BC260&amp;", ","")&amp;IF($DL260&lt;&gt;"",$DL260&amp;", ","")&amp;IF($DM260&lt;&gt;"",$DM260&amp;", ","")&amp;IF($DN260&lt;&gt;"",$DN260&amp;", ","")&amp;IF($DO260&lt;&gt;"",$DO260&amp;", ","")&amp;IF($DP260&lt;&gt;"",$DP260&amp;", ","")&amp;IF($DQ260&lt;&gt;"",$DQ260&amp;", ","")&amp;IF($DR260&lt;&gt;"",$DR260&amp;", ","")&amp;IF($DS260&lt;&gt;"",$DS260&amp;", ","")&amp;IF($DT260&lt;&gt;"",$DT260&amp;", ","")&amp;IF($DU260&lt;&gt;"",$DU260&amp;", ","")))-2)))))))</f>
        <v/>
      </c>
      <c r="N260" t="str">
        <f t="shared" si="1868"/>
        <v/>
      </c>
      <c r="O260" t="str">
        <f t="shared" si="1869"/>
        <v/>
      </c>
      <c r="P260" t="str">
        <f t="shared" si="1870"/>
        <v/>
      </c>
      <c r="Q260" t="str">
        <f t="shared" si="1871"/>
        <v/>
      </c>
      <c r="R260" t="str">
        <f>IF($Q260="","",IF(OR($BE260="",$BF260=""),"ONZEKER",IF(AND($BE260=0+1,$BF260=0),IF(OR(COUNTIF(#REF!,$B260)&gt;0,COUNTIF(#REF!,$B260)=0),"SKIP",IF(COUNTIFS(#REF!,$B260,#REF!,$Q260)&gt;0,"OK","ONBEKEND")),IF(AND($BE260=0,$BF260=0+1),IF(OR(COUNTIF(#REF!,$D260)&gt;0,COUNTIF(#REF!,$D260)=0),"SKIP",IF(COUNTIFS(#REF!,$D260,#REF!,$Q260)&gt;0,"OK","ONBEKEND")),"ONZEKER"))))</f>
        <v/>
      </c>
      <c r="S260" t="str">
        <f t="shared" si="1872"/>
        <v/>
      </c>
      <c r="T260" t="str">
        <f t="shared" si="1873"/>
        <v/>
      </c>
      <c r="U260" t="str">
        <f>IF($T260="","",IF(OR($BH260="",$BI260=""),"ONZEKER",IF(OR($BE260="",$BF260=""),"ONZEKER",IF(AND($BH260=$BE260+1,$BI260=$BF260),IF(OR(COUNTIF(#REF!,$B260)&gt;0,COUNTIF(#REF!,$B260)=0),"SKIP",IF(COUNTIFS(#REF!,$B260,#REF!,$T260)&gt;0,"OK","ONBEKEND")),IF(AND($BH260=$BE260,$BI260=$BF260+1),IF(OR(COUNTIF(#REF!,$D260)&gt;0,COUNTIF(#REF!,$D260)=0),"SKIP",IF(COUNTIFS(#REF!,$D260,#REF!,$T260)&gt;0,"OK","ONBEKEND")),"ONZEKER")))))</f>
        <v/>
      </c>
      <c r="V260" t="str">
        <f t="shared" si="1874"/>
        <v/>
      </c>
      <c r="W260" t="str">
        <f t="shared" si="1875"/>
        <v/>
      </c>
      <c r="X260" t="str">
        <f>IF($W260="","",IF(OR($BK260="",$BL260=""),"ONZEKER",IF(OR($BH260="",$BI260=""),"ONZEKER",IF(AND($BK260=$BH260+1,$BL260=$BI260),IF(OR(COUNTIF(#REF!,$B260)&gt;0,COUNTIF(#REF!,$B260)=0),"SKIP",IF(COUNTIFS(#REF!,$B260,#REF!,$W260)&gt;0,"OK","ONBEKEND")),IF(AND($BK260=$BH260,$BL260=$BI260+1),IF(OR(COUNTIF(#REF!,$D260)&gt;0,COUNTIF(#REF!,$D260)=0),"SKIP",IF(COUNTIFS(#REF!,$D260,#REF!,$W260)&gt;0,"OK","ONBEKEND")),"ONZEKER")))))</f>
        <v/>
      </c>
      <c r="Y260" t="str">
        <f t="shared" si="1876"/>
        <v/>
      </c>
      <c r="Z260" t="str">
        <f t="shared" si="1877"/>
        <v/>
      </c>
      <c r="AA260" t="str">
        <f>IF($Z260="","",IF(OR($BN260="",$BO260=""),"ONZEKER",IF(OR($BK260="",$BL260=""),"ONZEKER",IF(AND($BN260=$BK260+1,$BO260=$BL260),IF(OR(COUNTIF(#REF!,$B260)&gt;0,COUNTIF(#REF!,$B260)=0),"SKIP",IF(COUNTIFS(#REF!,$B260,#REF!,$Z260)&gt;0,"OK","ONBEKEND")),IF(AND($BN260=$BK260,$BO260=$BL260+1),IF(OR(COUNTIF(#REF!,$D260)&gt;0,COUNTIF(#REF!,$D260)=0),"SKIP",IF(COUNTIFS(#REF!,$D260,#REF!,$Z260)&gt;0,"OK","ONBEKEND")),"ONZEKER")))))</f>
        <v/>
      </c>
      <c r="AB260" t="str">
        <f t="shared" si="1878"/>
        <v/>
      </c>
      <c r="AC260" t="str">
        <f t="shared" si="1879"/>
        <v/>
      </c>
      <c r="AD260" t="str">
        <f>IF($AC260="","",IF(OR($BQ260="",$BR260=""),"ONZEKER",IF(OR($BN260="",$BO260=""),"ONZEKER",IF(AND($BQ260=$BN260+1,$BR260=$BO260),IF(OR(COUNTIF(#REF!,$B260)&gt;0,COUNTIF(#REF!,$B260)=0),"SKIP",IF(COUNTIFS(#REF!,$B260,#REF!,$AC260)&gt;0,"OK","ONBEKEND")),IF(AND($BQ260=$BN260,$BR260=$BO260+1),IF(OR(COUNTIF(#REF!,$D260)&gt;0,COUNTIF(#REF!,$D260)=0),"SKIP",IF(COUNTIFS(#REF!,$D260,#REF!,$AC260)&gt;0,"OK","ONBEKEND")),"ONZEKER")))))</f>
        <v/>
      </c>
      <c r="AE260" t="str">
        <f t="shared" si="1880"/>
        <v/>
      </c>
      <c r="AF260" t="str">
        <f t="shared" si="1881"/>
        <v/>
      </c>
      <c r="AG260" t="str">
        <f>IF($AF260="","",IF(OR($BT260="",$BU260=""),"ONZEKER",IF(OR($BQ260="",$BR260=""),"ONZEKER",IF(AND($BT260=$BQ260+1,$BU260=$BR260),IF(OR(COUNTIF(#REF!,$B260)&gt;0,COUNTIF(#REF!,$B260)=0),"SKIP",IF(COUNTIFS(#REF!,$B260,#REF!,$AF260)&gt;0,"OK","ONBEKEND")),IF(AND($BT260=$BQ260,$BU260=$BR260+1),IF(OR(COUNTIF(#REF!,$D260)&gt;0,COUNTIF(#REF!,$D260)=0),"SKIP",IF(COUNTIFS(#REF!,$D260,#REF!,$AF260)&gt;0,"OK","ONBEKEND")),"ONZEKER")))))</f>
        <v/>
      </c>
      <c r="AH260" t="str">
        <f t="shared" si="1882"/>
        <v/>
      </c>
      <c r="AI260" t="str">
        <f t="shared" si="1883"/>
        <v/>
      </c>
      <c r="AJ260" t="str">
        <f>IF($AI260="","",IF(OR($BW260="",$BX260=""),"ONZEKER",IF(OR($BT260="",$BU260=""),"ONZEKER",IF(AND($BW260=$BT260+1,$BX260=$BU260),IF(OR(COUNTIF(#REF!,$B260)&gt;0,COUNTIF(#REF!,$B260)=0),"SKIP",IF(COUNTIFS(#REF!,$B260,#REF!,$AI260)&gt;0,"OK","ONBEKEND")),IF(AND($BW260=$BT260,$BX260=$BU260+1),IF(OR(COUNTIF(#REF!,$D260)&gt;0,COUNTIF(#REF!,$D260)=0),"SKIP",IF(COUNTIFS(#REF!,$D260,#REF!,$AI260)&gt;0,"OK","ONBEKEND")),"ONZEKER")))))</f>
        <v/>
      </c>
      <c r="AK260" t="str">
        <f t="shared" si="1884"/>
        <v/>
      </c>
      <c r="AL260" t="str">
        <f t="shared" si="1885"/>
        <v/>
      </c>
      <c r="AM260" t="str">
        <f>IF($AL260="","",IF(OR($BZ260="",$CA260=""),"ONZEKER",IF(OR($BW260="",$BX260=""),"ONZEKER",IF(AND($BZ260=$BW260+1,$CA260=$BX260),IF(OR(COUNTIF(#REF!,$B260)&gt;0,COUNTIF(#REF!,$B260)=0),"SKIP",IF(COUNTIFS(#REF!,$B260,#REF!,$AL260)&gt;0,"OK","ONBEKEND")),IF(AND($BZ260=$BW260,$CA260=$BX260+1),IF(OR(COUNTIF(#REF!,$D260)&gt;0,COUNTIF(#REF!,$D260)=0),"SKIP",IF(COUNTIFS(#REF!,$D260,#REF!,$AL260)&gt;0,"OK","ONBEKEND")),"ONZEKER")))))</f>
        <v/>
      </c>
      <c r="AN260" t="str">
        <f t="shared" si="1886"/>
        <v/>
      </c>
      <c r="AO260" t="str">
        <f t="shared" si="1887"/>
        <v/>
      </c>
      <c r="AP260" t="str">
        <f>IF($AO260="","",IF(OR($CC260="",$CD260=""),"ONZEKER",IF(OR($BZ260="",$CA260=""),"ONZEKER",IF(AND($CC260=$BZ260+1,$CD260=$CA260),IF(OR(COUNTIF(#REF!,$B260)&gt;0,COUNTIF(#REF!,$B260)=0),"SKIP",IF(COUNTIFS(#REF!,$B260,#REF!,$AO260)&gt;0,"OK","ONBEKEND")),IF(AND($CC260=$BZ260,$CD260=$CA260+1),IF(OR(COUNTIF(#REF!,$D260)&gt;0,COUNTIF(#REF!,$D260)=0),"SKIP",IF(COUNTIFS(#REF!,$D260,#REF!,$AO260)&gt;0,"OK","ONBEKEND")),"ONZEKER")))))</f>
        <v/>
      </c>
      <c r="AQ260" t="str">
        <f t="shared" si="1888"/>
        <v/>
      </c>
      <c r="AR260" t="str">
        <f t="shared" si="1889"/>
        <v/>
      </c>
      <c r="AS260" t="str">
        <f>IF($AR260="","",IF(OR($CF260="",$CG260=""),"ONZEKER",IF(OR($CC260="",$CD260=""),"ONZEKER",IF(AND($CF260=$CC260+1,$CG260=$CD260),IF(OR(COUNTIF(#REF!,$B260)&gt;0,COUNTIF(#REF!,$B260)=0),"SKIP",IF(COUNTIFS(#REF!,$B260,#REF!,$AR260)&gt;0,"OK","ONBEKEND")),IF(AND($CF260=$CC260,$CG260=$CD260+1),IF(OR(COUNTIF(#REF!,$D260)&gt;0,COUNTIF(#REF!,$D260)=0),"SKIP",IF(COUNTIFS(#REF!,$D260,#REF!,$AR260)&gt;0,"OK","ONBEKEND")),"ONZEKER")))))</f>
        <v/>
      </c>
      <c r="AT260" t="str">
        <f t="shared" si="1890"/>
        <v/>
      </c>
      <c r="AU260" t="str">
        <f t="shared" si="1891"/>
        <v/>
      </c>
      <c r="AV260" t="str">
        <f t="shared" si="1892"/>
        <v/>
      </c>
      <c r="AW260" t="str">
        <f t="shared" si="1893"/>
        <v/>
      </c>
      <c r="AX260" t="str">
        <f t="shared" si="1894"/>
        <v/>
      </c>
      <c r="AY260" t="str">
        <f t="shared" si="1895"/>
        <v/>
      </c>
      <c r="AZ260" t="str">
        <f t="shared" si="1896"/>
        <v/>
      </c>
      <c r="BA260" t="str">
        <f t="shared" si="1897"/>
        <v/>
      </c>
      <c r="BB260" t="str">
        <f t="shared" si="1898"/>
        <v/>
      </c>
      <c r="BC260" t="str">
        <f t="shared" si="1899"/>
        <v/>
      </c>
      <c r="BD260" t="str">
        <f t="shared" si="1960"/>
        <v/>
      </c>
      <c r="BE260" t="str">
        <f t="shared" si="1961"/>
        <v/>
      </c>
      <c r="BF260" t="str">
        <f t="shared" si="1962"/>
        <v/>
      </c>
      <c r="BG260" t="str">
        <f t="shared" si="1963"/>
        <v/>
      </c>
      <c r="BH260" t="str">
        <f t="shared" si="1964"/>
        <v/>
      </c>
      <c r="BI260" t="str">
        <f t="shared" si="1965"/>
        <v/>
      </c>
      <c r="BJ260" t="str">
        <f t="shared" si="1966"/>
        <v/>
      </c>
      <c r="BK260" t="str">
        <f t="shared" si="1967"/>
        <v/>
      </c>
      <c r="BL260" t="str">
        <f t="shared" si="1968"/>
        <v/>
      </c>
      <c r="BM260" t="str">
        <f t="shared" si="1969"/>
        <v/>
      </c>
      <c r="BN260" t="str">
        <f t="shared" si="1970"/>
        <v/>
      </c>
      <c r="BO260" t="str">
        <f t="shared" si="1971"/>
        <v/>
      </c>
      <c r="BP260" t="str">
        <f t="shared" si="1972"/>
        <v/>
      </c>
      <c r="BQ260" t="str">
        <f t="shared" si="1973"/>
        <v/>
      </c>
      <c r="BR260" t="str">
        <f t="shared" si="1974"/>
        <v/>
      </c>
      <c r="BS260" t="str">
        <f t="shared" si="1975"/>
        <v/>
      </c>
      <c r="BT260" t="str">
        <f t="shared" si="1976"/>
        <v/>
      </c>
      <c r="BU260" t="str">
        <f t="shared" si="1977"/>
        <v/>
      </c>
      <c r="BV260" t="str">
        <f t="shared" si="1978"/>
        <v/>
      </c>
      <c r="BW260" t="str">
        <f t="shared" si="1979"/>
        <v/>
      </c>
      <c r="BX260" t="str">
        <f t="shared" si="1980"/>
        <v/>
      </c>
      <c r="BY260" t="str">
        <f t="shared" si="1981"/>
        <v/>
      </c>
      <c r="BZ260" t="str">
        <f t="shared" si="1982"/>
        <v/>
      </c>
      <c r="CA260" t="str">
        <f t="shared" si="1983"/>
        <v/>
      </c>
      <c r="CB260" t="str">
        <f t="shared" si="1984"/>
        <v/>
      </c>
      <c r="CC260" t="str">
        <f t="shared" si="1985"/>
        <v/>
      </c>
      <c r="CD260" t="str">
        <f t="shared" si="1986"/>
        <v/>
      </c>
      <c r="CE260" t="str">
        <f t="shared" si="1987"/>
        <v/>
      </c>
      <c r="CF260" t="str">
        <f t="shared" si="1988"/>
        <v/>
      </c>
      <c r="CG260" t="str">
        <f t="shared" si="1989"/>
        <v/>
      </c>
      <c r="CH260" t="str">
        <f t="shared" si="1900"/>
        <v/>
      </c>
      <c r="CI260" t="str">
        <f t="shared" si="1901"/>
        <v/>
      </c>
      <c r="CJ260" t="str">
        <f>IF($CI260="","",IF(OR($DW260="",$DX260=""),"ONZEKER",IF(OR($CF260="",$CG260=""),"ONZEKER",IF(AND($DW260=$CF260+1,$DX260=$CG260),IF(OR(COUNTIF(#REF!,$B260)&gt;0,COUNTIF(#REF!,$B260)=0),"SKIP",IF(COUNTIFS(#REF!,$B260,#REF!,$CI260)&gt;0,"OK","ONBEKEND")),IF(AND($DW260=$CF260,$DX260=$CG260+1),IF(OR(COUNTIF(#REF!,$D260)&gt;0,COUNTIF(#REF!,$D260)=0),"SKIP",IF(COUNTIFS(#REF!,$D260,#REF!,$CI260)&gt;0,"OK","ONBEKEND")),"ONZEKER")))))</f>
        <v/>
      </c>
      <c r="CK260" t="str">
        <f t="shared" si="1902"/>
        <v/>
      </c>
      <c r="CL260" t="str">
        <f t="shared" si="1903"/>
        <v/>
      </c>
      <c r="CM260" t="str">
        <f>IF($CL260="","",IF(OR($DZ260="",$EA260=""),"ONZEKER",IF(OR($DW260="",$DX260=""),"ONZEKER",IF(AND($DZ260=$DW260+1,$EA260=$DX260),IF(OR(COUNTIF(#REF!,$B260)&gt;0,COUNTIF(#REF!,$B260)=0),"SKIP",IF(COUNTIFS(#REF!,$B260,#REF!,$CL260)&gt;0,"OK","ONBEKEND")),IF(AND($DZ260=$DW260,$EA260=$DX260+1),IF(OR(COUNTIF(#REF!,$D260)&gt;0,COUNTIF(#REF!,$D260)=0),"SKIP",IF(COUNTIFS(#REF!,$D260,#REF!,$CL260)&gt;0,"OK","ONBEKEND")),"ONZEKER")))))</f>
        <v/>
      </c>
      <c r="CN260" t="str">
        <f t="shared" si="1904"/>
        <v/>
      </c>
      <c r="CO260" t="str">
        <f t="shared" si="1905"/>
        <v/>
      </c>
      <c r="CP260" t="str">
        <f>IF($CO260="","",IF(OR($EC260="",$ED260=""),"ONZEKER",IF(OR($DZ260="",$EA260=""),"ONZEKER",IF(AND($EC260=$DZ260+1,$ED260=$EA260),IF(OR(COUNTIF(#REF!,$B260)&gt;0,COUNTIF(#REF!,$B260)=0),"SKIP",IF(COUNTIFS(#REF!,$B260,#REF!,$CO260)&gt;0,"OK","ONBEKEND")),IF(AND($EC260=$DZ260,$ED260=$EA260+1),IF(OR(COUNTIF(#REF!,$D260)&gt;0,COUNTIF(#REF!,$D260)=0),"SKIP",IF(COUNTIFS(#REF!,$D260,#REF!,$CO260)&gt;0,"OK","ONBEKEND")),"ONZEKER")))))</f>
        <v/>
      </c>
      <c r="CQ260" t="str">
        <f t="shared" si="1906"/>
        <v/>
      </c>
      <c r="CR260" t="str">
        <f t="shared" si="1907"/>
        <v/>
      </c>
      <c r="CS260" t="str">
        <f>IF($CR260="","",IF(OR($EF260="",$EG260=""),"ONZEKER",IF(OR($EC260="",$ED260=""),"ONZEKER",IF(AND($EF260=$EC260+1,$EG260=$ED260),IF(OR(COUNTIF(#REF!,$B260)&gt;0,COUNTIF(#REF!,$B260)=0),"SKIP",IF(COUNTIFS(#REF!,$B260,#REF!,$CR260)&gt;0,"OK","ONBEKEND")),IF(AND($EF260=$EC260,$EG260=$ED260+1),IF(OR(COUNTIF(#REF!,$D260)&gt;0,COUNTIF(#REF!,$D260)=0),"SKIP",IF(COUNTIFS(#REF!,$D260,#REF!,$CR260)&gt;0,"OK","ONBEKEND")),"ONZEKER")))))</f>
        <v/>
      </c>
      <c r="CT260" t="str">
        <f t="shared" si="1908"/>
        <v/>
      </c>
      <c r="CU260" t="str">
        <f t="shared" si="1909"/>
        <v/>
      </c>
      <c r="CV260" t="str">
        <f>IF($CU260="","",IF(OR($EI260="",$EJ260=""),"ONZEKER",IF(OR($EF260="",$EG260=""),"ONZEKER",IF(AND($EI260=$EF260+1,$EJ260=$EG260),IF(OR(COUNTIF(#REF!,$B260)&gt;0,COUNTIF(#REF!,$B260)=0),"SKIP",IF(COUNTIFS(#REF!,$B260,#REF!,$CU260)&gt;0,"OK","ONBEKEND")),IF(AND($EI260=$EF260,$EJ260=$EG260+1),IF(OR(COUNTIF(#REF!,$D260)&gt;0,COUNTIF(#REF!,$D260)=0),"SKIP",IF(COUNTIFS(#REF!,$D260,#REF!,$CU260)&gt;0,"OK","ONBEKEND")),"ONZEKER")))))</f>
        <v/>
      </c>
      <c r="CW260" t="str">
        <f t="shared" si="1910"/>
        <v/>
      </c>
      <c r="CX260" t="str">
        <f t="shared" si="1911"/>
        <v/>
      </c>
      <c r="CY260" t="str">
        <f>IF($CX260="","",IF(OR($EL260="",$EM260=""),"ONZEKER",IF(OR($EI260="",$EJ260=""),"ONZEKER",IF(AND($EL260=$EI260+1,$EM260=$EJ260),IF(OR(COUNTIF(#REF!,$B260)&gt;0,COUNTIF(#REF!,$B260)=0),"SKIP",IF(COUNTIFS(#REF!,$B260,#REF!,$CX260)&gt;0,"OK","ONBEKEND")),IF(AND($EL260=$EI260,$EM260=$EJ260+1),IF(OR(COUNTIF(#REF!,$D260)&gt;0,COUNTIF(#REF!,$D260)=0),"SKIP",IF(COUNTIFS(#REF!,$D260,#REF!,$CX260)&gt;0,"OK","ONBEKEND")),"ONZEKER")))))</f>
        <v/>
      </c>
      <c r="CZ260" t="str">
        <f t="shared" si="1912"/>
        <v/>
      </c>
      <c r="DA260" t="str">
        <f t="shared" si="1913"/>
        <v/>
      </c>
      <c r="DB260" t="str">
        <f>IF($DA260="","",IF(OR($EO260="",$EP260=""),"ONZEKER",IF(OR($EL260="",$EM260=""),"ONZEKER",IF(AND($EO260=$EL260+1,$EP260=$EM260),IF(OR(COUNTIF(#REF!,$B260)&gt;0,COUNTIF(#REF!,$B260)=0),"SKIP",IF(COUNTIFS(#REF!,$B260,#REF!,$DA260)&gt;0,"OK","ONBEKEND")),IF(AND($EO260=$EL260,$EP260=$EM260+1),IF(OR(COUNTIF(#REF!,$D260)&gt;0,COUNTIF(#REF!,$D260)=0),"SKIP",IF(COUNTIFS(#REF!,$D260,#REF!,$DA260)&gt;0,"OK","ONBEKEND")),"ONZEKER")))))</f>
        <v/>
      </c>
      <c r="DC260" t="str">
        <f t="shared" si="1914"/>
        <v/>
      </c>
      <c r="DD260" t="str">
        <f t="shared" si="1915"/>
        <v/>
      </c>
      <c r="DE260" t="str">
        <f>IF($DD260="","",IF(OR($ER260="",$ES260=""),"ONZEKER",IF(OR($EO260="",$EP260=""),"ONZEKER",IF(AND($ER260=$EO260+1,$ES260=$EP260),IF(OR(COUNTIF(#REF!,$B260)&gt;0,COUNTIF(#REF!,$B260)=0),"SKIP",IF(COUNTIFS(#REF!,$B260,#REF!,$DD260)&gt;0,"OK","ONBEKEND")),IF(AND($ER260=$EO260,$ES260=$EP260+1),IF(OR(COUNTIF(#REF!,$D260)&gt;0,COUNTIF(#REF!,$D260)=0),"SKIP",IF(COUNTIFS(#REF!,$D260,#REF!,$DD260)&gt;0,"OK","ONBEKEND")),"ONZEKER")))))</f>
        <v/>
      </c>
      <c r="DF260" t="str">
        <f t="shared" si="1916"/>
        <v/>
      </c>
      <c r="DG260" t="str">
        <f t="shared" si="1917"/>
        <v/>
      </c>
      <c r="DH260" t="str">
        <f>IF($DG260="","",IF(OR($EU260="",$EV260=""),"ONZEKER",IF(OR($ER260="",$ES260=""),"ONZEKER",IF(AND($EU260=$ER260+1,$EV260=$ES260),IF(OR(COUNTIF(#REF!,$B260)&gt;0,COUNTIF(#REF!,$B260)=0),"SKIP",IF(COUNTIFS(#REF!,$B260,#REF!,$DG260)&gt;0,"OK","ONBEKEND")),IF(AND($EU260=$ER260,$EV260=$ES260+1),IF(OR(COUNTIF(#REF!,$D260)&gt;0,COUNTIF(#REF!,$D260)=0),"SKIP",IF(COUNTIFS(#REF!,$D260,#REF!,$DG260)&gt;0,"OK","ONBEKEND")),"ONZEKER")))))</f>
        <v/>
      </c>
      <c r="DI260" t="str">
        <f t="shared" si="1918"/>
        <v/>
      </c>
      <c r="DJ260" t="str">
        <f t="shared" si="1919"/>
        <v/>
      </c>
      <c r="DK260" t="str">
        <f>IF($DJ260="","",IF(OR($EX260="",$EY260=""),"ONZEKER",IF(OR($EU260="",$EV260=""),"ONZEKER",IF(AND($EX260=$EU260+1,$EY260=$EV260),IF(OR(COUNTIF(#REF!,$B260)&gt;0,COUNTIF(#REF!,$B260)=0),"SKIP",IF(COUNTIFS(#REF!,$B260,#REF!,$DJ260)&gt;0,"OK","ONBEKEND")),IF(AND($EX260=$EU260,$EY260=$EV260+1),IF(OR(COUNTIF(#REF!,$D260)&gt;0,COUNTIF(#REF!,$D260)=0),"SKIP",IF(COUNTIFS(#REF!,$D260,#REF!,$DJ260)&gt;0,"OK","ONBEKEND")),"ONZEKER")))))</f>
        <v/>
      </c>
      <c r="DL260" t="str">
        <f t="shared" si="1920"/>
        <v/>
      </c>
      <c r="DM260" t="str">
        <f t="shared" si="1921"/>
        <v/>
      </c>
      <c r="DN260" t="str">
        <f t="shared" si="1922"/>
        <v/>
      </c>
      <c r="DO260" t="str">
        <f t="shared" si="1923"/>
        <v/>
      </c>
      <c r="DP260" t="str">
        <f t="shared" si="1924"/>
        <v/>
      </c>
      <c r="DQ260" t="str">
        <f t="shared" si="1925"/>
        <v/>
      </c>
      <c r="DR260" t="str">
        <f t="shared" si="1926"/>
        <v/>
      </c>
      <c r="DS260" t="str">
        <f t="shared" si="1927"/>
        <v/>
      </c>
      <c r="DT260" t="str">
        <f t="shared" si="1928"/>
        <v/>
      </c>
      <c r="DU260" t="str">
        <f t="shared" si="1929"/>
        <v/>
      </c>
      <c r="DV260" t="str">
        <f t="shared" si="1930"/>
        <v/>
      </c>
      <c r="DW260" t="str">
        <f t="shared" si="1931"/>
        <v/>
      </c>
      <c r="DX260" t="str">
        <f t="shared" si="1932"/>
        <v/>
      </c>
      <c r="DY260" t="str">
        <f t="shared" si="1933"/>
        <v/>
      </c>
      <c r="DZ260" t="str">
        <f t="shared" si="1934"/>
        <v/>
      </c>
      <c r="EA260" t="str">
        <f t="shared" si="1935"/>
        <v/>
      </c>
      <c r="EB260" t="str">
        <f t="shared" si="1936"/>
        <v/>
      </c>
      <c r="EC260" t="str">
        <f t="shared" si="1937"/>
        <v/>
      </c>
      <c r="ED260" t="str">
        <f t="shared" si="1938"/>
        <v/>
      </c>
      <c r="EE260" t="str">
        <f t="shared" si="1939"/>
        <v/>
      </c>
      <c r="EF260" t="str">
        <f t="shared" si="1940"/>
        <v/>
      </c>
      <c r="EG260" t="str">
        <f t="shared" si="1941"/>
        <v/>
      </c>
      <c r="EH260" t="str">
        <f t="shared" si="1942"/>
        <v/>
      </c>
      <c r="EI260" t="str">
        <f t="shared" si="1943"/>
        <v/>
      </c>
      <c r="EJ260" t="str">
        <f t="shared" si="1944"/>
        <v/>
      </c>
      <c r="EK260" t="str">
        <f t="shared" si="1945"/>
        <v/>
      </c>
      <c r="EL260" t="str">
        <f t="shared" si="1946"/>
        <v/>
      </c>
      <c r="EM260" t="str">
        <f t="shared" si="1947"/>
        <v/>
      </c>
      <c r="EN260" t="str">
        <f t="shared" si="1948"/>
        <v/>
      </c>
      <c r="EO260" t="str">
        <f t="shared" si="1949"/>
        <v/>
      </c>
      <c r="EP260" t="str">
        <f t="shared" si="1950"/>
        <v/>
      </c>
      <c r="EQ260" t="str">
        <f t="shared" si="1951"/>
        <v/>
      </c>
      <c r="ER260" t="str">
        <f t="shared" si="1952"/>
        <v/>
      </c>
      <c r="ES260" t="str">
        <f t="shared" si="1953"/>
        <v/>
      </c>
      <c r="ET260" t="str">
        <f t="shared" si="1954"/>
        <v/>
      </c>
      <c r="EU260" t="str">
        <f t="shared" si="1955"/>
        <v/>
      </c>
      <c r="EV260" t="str">
        <f t="shared" si="1956"/>
        <v/>
      </c>
      <c r="EW260" t="str">
        <f t="shared" si="1957"/>
        <v/>
      </c>
      <c r="EX260" t="str">
        <f t="shared" si="1958"/>
        <v/>
      </c>
      <c r="EY260" t="str">
        <f t="shared" si="1959"/>
        <v/>
      </c>
    </row>
    <row r="261" spans="1:155" ht="13.9" customHeight="1" x14ac:dyDescent="0.25">
      <c r="A261" s="14"/>
      <c r="B261" s="15" t="s">
        <v>1576</v>
      </c>
      <c r="C261" s="16"/>
      <c r="D261" s="16"/>
      <c r="E261" s="16"/>
      <c r="F261" s="31" t="s">
        <v>1</v>
      </c>
      <c r="G261" s="33"/>
      <c r="H261" s="33"/>
      <c r="I261" s="32" t="s">
        <v>2</v>
      </c>
      <c r="J261" s="33"/>
      <c r="K261" s="33"/>
      <c r="L261" s="6" t="s">
        <v>3</v>
      </c>
      <c r="M261" s="2" t="s">
        <v>4</v>
      </c>
      <c r="N261" s="2" t="s">
        <v>5</v>
      </c>
      <c r="O261" s="2" t="s">
        <v>6</v>
      </c>
      <c r="P261" s="2" t="s">
        <v>7</v>
      </c>
      <c r="Q261" s="2" t="s">
        <v>8</v>
      </c>
      <c r="R261" s="2" t="str">
        <f>IF($Q261="","",IF(OR($BE261="",$BF261=""),"ONZEKER",IF(AND($BE261=0+1,$BF261=0),IF(OR(COUNTIF(#REF!,$B261)&gt;0,COUNTIF(#REF!,$B261)=0),"SKIP",IF(COUNTIFS(#REF!,$B261,#REF!,$Q261)&gt;0,"OK","ONBEKEND")),IF(AND($BE261=0,$BF261=0+1),IF(OR(COUNTIF(#REF!,$D261)&gt;0,COUNTIF(#REF!,$D261)=0),"SKIP",IF(COUNTIFS(#REF!,$D261,#REF!,$Q261)&gt;0,"OK","ONBEKEND")),"ONZEKER"))))</f>
        <v>ONZEKER</v>
      </c>
      <c r="S261" s="2" t="s">
        <v>10</v>
      </c>
      <c r="T261" s="2" t="s">
        <v>11</v>
      </c>
      <c r="U261" s="2" t="str">
        <f>IF($T261="","",IF(OR($BH261="",$BI261=""),"ONZEKER",IF(OR($BE261="",$BF261=""),"ONZEKER",IF(AND($BH261=$BE261+1,$BI261=$BF261),IF(OR(COUNTIF(#REF!,$B261)&gt;0,COUNTIF(#REF!,$B261)=0),"SKIP",IF(COUNTIFS(#REF!,$B261,#REF!,$T261)&gt;0,"OK","ONBEKEND")),IF(AND($BH261=$BE261,$BI261=$BF261+1),IF(OR(COUNTIF(#REF!,$D261)&gt;0,COUNTIF(#REF!,$D261)=0),"SKIP",IF(COUNTIFS(#REF!,$D261,#REF!,$T261)&gt;0,"OK","ONBEKEND")),"ONZEKER")))))</f>
        <v>ONZEKER</v>
      </c>
      <c r="V261" s="2" t="s">
        <v>13</v>
      </c>
      <c r="W261" s="2" t="s">
        <v>14</v>
      </c>
      <c r="X261" s="2" t="str">
        <f>IF($W261="","",IF(OR($BK261="",$BL261=""),"ONZEKER",IF(OR($BH261="",$BI261=""),"ONZEKER",IF(AND($BK261=$BH261+1,$BL261=$BI261),IF(OR(COUNTIF(#REF!,$B261)&gt;0,COUNTIF(#REF!,$B261)=0),"SKIP",IF(COUNTIFS(#REF!,$B261,#REF!,$W261)&gt;0,"OK","ONBEKEND")),IF(AND($BK261=$BH261,$BL261=$BI261+1),IF(OR(COUNTIF(#REF!,$D261)&gt;0,COUNTIF(#REF!,$D261)=0),"SKIP",IF(COUNTIFS(#REF!,$D261,#REF!,$W261)&gt;0,"OK","ONBEKEND")),"ONZEKER")))))</f>
        <v>ONZEKER</v>
      </c>
      <c r="Y261" s="2" t="s">
        <v>16</v>
      </c>
      <c r="Z261" s="2" t="s">
        <v>17</v>
      </c>
      <c r="AA261" s="2" t="str">
        <f>IF($Z261="","",IF(OR($BN261="",$BO261=""),"ONZEKER",IF(OR($BK261="",$BL261=""),"ONZEKER",IF(AND($BN261=$BK261+1,$BO261=$BL261),IF(OR(COUNTIF(#REF!,$B261)&gt;0,COUNTIF(#REF!,$B261)=0),"SKIP",IF(COUNTIFS(#REF!,$B261,#REF!,$Z261)&gt;0,"OK","ONBEKEND")),IF(AND($BN261=$BK261,$BO261=$BL261+1),IF(OR(COUNTIF(#REF!,$D261)&gt;0,COUNTIF(#REF!,$D261)=0),"SKIP",IF(COUNTIFS(#REF!,$D261,#REF!,$Z261)&gt;0,"OK","ONBEKEND")),"ONZEKER")))))</f>
        <v>ONZEKER</v>
      </c>
      <c r="AB261" s="2" t="s">
        <v>19</v>
      </c>
      <c r="AC261" s="2" t="s">
        <v>20</v>
      </c>
      <c r="AD261" s="2" t="str">
        <f>IF($AC261="","",IF(OR($BQ261="",$BR261=""),"ONZEKER",IF(OR($BN261="",$BO261=""),"ONZEKER",IF(AND($BQ261=$BN261+1,$BR261=$BO261),IF(OR(COUNTIF(#REF!,$B261)&gt;0,COUNTIF(#REF!,$B261)=0),"SKIP",IF(COUNTIFS(#REF!,$B261,#REF!,$AC261)&gt;0,"OK","ONBEKEND")),IF(AND($BQ261=$BN261,$BR261=$BO261+1),IF(OR(COUNTIF(#REF!,$D261)&gt;0,COUNTIF(#REF!,$D261)=0),"SKIP",IF(COUNTIFS(#REF!,$D261,#REF!,$AC261)&gt;0,"OK","ONBEKEND")),"ONZEKER")))))</f>
        <v>ONZEKER</v>
      </c>
      <c r="AE261" s="2" t="s">
        <v>22</v>
      </c>
      <c r="AF261" s="2" t="s">
        <v>23</v>
      </c>
      <c r="AG261" s="2" t="str">
        <f>IF($AF261="","",IF(OR($BT261="",$BU261=""),"ONZEKER",IF(OR($BQ261="",$BR261=""),"ONZEKER",IF(AND($BT261=$BQ261+1,$BU261=$BR261),IF(OR(COUNTIF(#REF!,$B261)&gt;0,COUNTIF(#REF!,$B261)=0),"SKIP",IF(COUNTIFS(#REF!,$B261,#REF!,$AF261)&gt;0,"OK","ONBEKEND")),IF(AND($BT261=$BQ261,$BU261=$BR261+1),IF(OR(COUNTIF(#REF!,$D261)&gt;0,COUNTIF(#REF!,$D261)=0),"SKIP",IF(COUNTIFS(#REF!,$D261,#REF!,$AF261)&gt;0,"OK","ONBEKEND")),"ONZEKER")))))</f>
        <v>ONZEKER</v>
      </c>
      <c r="AH261" s="2" t="s">
        <v>25</v>
      </c>
      <c r="AI261" s="2" t="s">
        <v>26</v>
      </c>
      <c r="AJ261" s="2" t="str">
        <f>IF($AI261="","",IF(OR($BW261="",$BX261=""),"ONZEKER",IF(OR($BT261="",$BU261=""),"ONZEKER",IF(AND($BW261=$BT261+1,$BX261=$BU261),IF(OR(COUNTIF(#REF!,$B261)&gt;0,COUNTIF(#REF!,$B261)=0),"SKIP",IF(COUNTIFS(#REF!,$B261,#REF!,$AI261)&gt;0,"OK","ONBEKEND")),IF(AND($BW261=$BT261,$BX261=$BU261+1),IF(OR(COUNTIF(#REF!,$D261)&gt;0,COUNTIF(#REF!,$D261)=0),"SKIP",IF(COUNTIFS(#REF!,$D261,#REF!,$AI261)&gt;0,"OK","ONBEKEND")),"ONZEKER")))))</f>
        <v>ONZEKER</v>
      </c>
      <c r="AK261" s="2" t="s">
        <v>28</v>
      </c>
      <c r="AL261" s="2" t="s">
        <v>29</v>
      </c>
      <c r="AM261" s="2" t="str">
        <f>IF($AL261="","",IF(OR($BZ261="",$CA261=""),"ONZEKER",IF(OR($BW261="",$BX261=""),"ONZEKER",IF(AND($BZ261=$BW261+1,$CA261=$BX261),IF(OR(COUNTIF(#REF!,$B261)&gt;0,COUNTIF(#REF!,$B261)=0),"SKIP",IF(COUNTIFS(#REF!,$B261,#REF!,$AL261)&gt;0,"OK","ONBEKEND")),IF(AND($BZ261=$BW261,$CA261=$BX261+1),IF(OR(COUNTIF(#REF!,$D261)&gt;0,COUNTIF(#REF!,$D261)=0),"SKIP",IF(COUNTIFS(#REF!,$D261,#REF!,$AL261)&gt;0,"OK","ONBEKEND")),"ONZEKER")))))</f>
        <v>ONZEKER</v>
      </c>
      <c r="AN261" s="2" t="s">
        <v>31</v>
      </c>
      <c r="AO261" s="2" t="s">
        <v>32</v>
      </c>
      <c r="AP261" s="2" t="str">
        <f>IF($AO261="","",IF(OR($CC261="",$CD261=""),"ONZEKER",IF(OR($BZ261="",$CA261=""),"ONZEKER",IF(AND($CC261=$BZ261+1,$CD261=$CA261),IF(OR(COUNTIF(#REF!,$B261)&gt;0,COUNTIF(#REF!,$B261)=0),"SKIP",IF(COUNTIFS(#REF!,$B261,#REF!,$AO261)&gt;0,"OK","ONBEKEND")),IF(AND($CC261=$BZ261,$CD261=$CA261+1),IF(OR(COUNTIF(#REF!,$D261)&gt;0,COUNTIF(#REF!,$D261)=0),"SKIP",IF(COUNTIFS(#REF!,$D261,#REF!,$AO261)&gt;0,"OK","ONBEKEND")),"ONZEKER")))))</f>
        <v>ONZEKER</v>
      </c>
      <c r="AQ261" s="2" t="s">
        <v>34</v>
      </c>
      <c r="AR261" s="2" t="s">
        <v>35</v>
      </c>
      <c r="AS261" s="2" t="str">
        <f>IF($AR261="","",IF(OR($CF261="",$CG261=""),"ONZEKER",IF(OR($CC261="",$CD261=""),"ONZEKER",IF(AND($CF261=$CC261+1,$CG261=$CD261),IF(OR(COUNTIF(#REF!,$B261)&gt;0,COUNTIF(#REF!,$B261)=0),"SKIP",IF(COUNTIFS(#REF!,$B261,#REF!,$AR261)&gt;0,"OK","ONBEKEND")),IF(AND($CF261=$CC261,$CG261=$CD261+1),IF(OR(COUNTIF(#REF!,$D261)&gt;0,COUNTIF(#REF!,$D261)=0),"SKIP",IF(COUNTIFS(#REF!,$D261,#REF!,$AR261)&gt;0,"OK","ONBEKEND")),"ONZEKER")))))</f>
        <v>ONZEKER</v>
      </c>
      <c r="AT261" s="2" t="s">
        <v>37</v>
      </c>
      <c r="AU261" s="2" t="s">
        <v>38</v>
      </c>
      <c r="AV261" s="2" t="s">
        <v>39</v>
      </c>
      <c r="AW261" s="2" t="s">
        <v>40</v>
      </c>
      <c r="AX261" s="2" t="s">
        <v>41</v>
      </c>
      <c r="AY261" s="2" t="s">
        <v>42</v>
      </c>
      <c r="AZ261" s="2" t="s">
        <v>43</v>
      </c>
      <c r="BA261" s="2" t="s">
        <v>44</v>
      </c>
      <c r="BB261" s="2" t="s">
        <v>45</v>
      </c>
      <c r="BC261" s="2" t="s">
        <v>46</v>
      </c>
      <c r="BD261" t="str">
        <f t="shared" si="1960"/>
        <v/>
      </c>
      <c r="BE261" t="str">
        <f t="shared" si="1961"/>
        <v/>
      </c>
      <c r="BF261" t="str">
        <f t="shared" si="1962"/>
        <v/>
      </c>
      <c r="BG261" t="str">
        <f t="shared" si="1963"/>
        <v/>
      </c>
      <c r="BH261" t="str">
        <f t="shared" si="1964"/>
        <v/>
      </c>
      <c r="BI261" t="str">
        <f t="shared" si="1965"/>
        <v/>
      </c>
      <c r="BJ261" t="str">
        <f t="shared" si="1966"/>
        <v/>
      </c>
      <c r="BK261" t="str">
        <f t="shared" si="1967"/>
        <v/>
      </c>
      <c r="BL261" t="str">
        <f t="shared" si="1968"/>
        <v/>
      </c>
      <c r="BM261" t="str">
        <f t="shared" si="1969"/>
        <v/>
      </c>
      <c r="BN261" t="str">
        <f t="shared" si="1970"/>
        <v/>
      </c>
      <c r="BO261" t="str">
        <f t="shared" si="1971"/>
        <v/>
      </c>
      <c r="BP261" t="str">
        <f t="shared" si="1972"/>
        <v/>
      </c>
      <c r="BQ261" t="str">
        <f t="shared" si="1973"/>
        <v/>
      </c>
      <c r="BR261" t="str">
        <f t="shared" si="1974"/>
        <v/>
      </c>
      <c r="BS261" t="str">
        <f t="shared" si="1975"/>
        <v/>
      </c>
      <c r="BT261" t="str">
        <f t="shared" si="1976"/>
        <v/>
      </c>
      <c r="BU261" t="str">
        <f t="shared" si="1977"/>
        <v/>
      </c>
      <c r="BV261" t="str">
        <f t="shared" si="1978"/>
        <v/>
      </c>
      <c r="BW261" t="str">
        <f t="shared" si="1979"/>
        <v/>
      </c>
      <c r="BX261" t="str">
        <f t="shared" si="1980"/>
        <v/>
      </c>
      <c r="BY261" t="str">
        <f t="shared" si="1981"/>
        <v/>
      </c>
      <c r="BZ261" t="str">
        <f t="shared" si="1982"/>
        <v/>
      </c>
      <c r="CA261" t="str">
        <f t="shared" si="1983"/>
        <v/>
      </c>
      <c r="CB261" t="str">
        <f t="shared" si="1984"/>
        <v/>
      </c>
      <c r="CC261" t="str">
        <f t="shared" si="1985"/>
        <v/>
      </c>
      <c r="CD261" t="str">
        <f t="shared" si="1986"/>
        <v/>
      </c>
      <c r="CE261" t="str">
        <f t="shared" si="1987"/>
        <v/>
      </c>
      <c r="CF261" t="str">
        <f t="shared" si="1988"/>
        <v/>
      </c>
      <c r="CG261" t="str">
        <f t="shared" si="1989"/>
        <v/>
      </c>
      <c r="CH261" s="2" t="s">
        <v>77</v>
      </c>
      <c r="CI261" s="2" t="s">
        <v>78</v>
      </c>
      <c r="CJ261" s="2" t="s">
        <v>79</v>
      </c>
      <c r="CK261" s="2" t="s">
        <v>80</v>
      </c>
      <c r="CL261" s="2" t="s">
        <v>81</v>
      </c>
      <c r="CM261" s="2" t="s">
        <v>82</v>
      </c>
      <c r="CN261" s="2" t="s">
        <v>83</v>
      </c>
      <c r="CO261" s="2" t="s">
        <v>84</v>
      </c>
      <c r="CP261" s="2" t="s">
        <v>85</v>
      </c>
      <c r="CQ261" s="2" t="s">
        <v>86</v>
      </c>
      <c r="CR261" s="2" t="s">
        <v>87</v>
      </c>
      <c r="CS261" s="2" t="s">
        <v>88</v>
      </c>
      <c r="CT261" s="2" t="s">
        <v>89</v>
      </c>
      <c r="CU261" s="2" t="s">
        <v>90</v>
      </c>
      <c r="CV261" s="2" t="s">
        <v>91</v>
      </c>
      <c r="CW261" s="2" t="s">
        <v>92</v>
      </c>
      <c r="CX261" s="2" t="s">
        <v>93</v>
      </c>
      <c r="CY261" s="2" t="s">
        <v>94</v>
      </c>
      <c r="CZ261" s="2" t="s">
        <v>95</v>
      </c>
      <c r="DA261" s="2" t="s">
        <v>96</v>
      </c>
      <c r="DB261" s="2" t="s">
        <v>97</v>
      </c>
      <c r="DC261" s="2" t="s">
        <v>98</v>
      </c>
      <c r="DD261" s="2" t="s">
        <v>99</v>
      </c>
      <c r="DE261" s="2" t="s">
        <v>100</v>
      </c>
      <c r="DF261" s="2" t="s">
        <v>101</v>
      </c>
      <c r="DG261" s="2" t="s">
        <v>102</v>
      </c>
      <c r="DH261" s="2" t="s">
        <v>103</v>
      </c>
      <c r="DI261" s="2" t="s">
        <v>104</v>
      </c>
      <c r="DJ261" s="2" t="s">
        <v>105</v>
      </c>
      <c r="DK261" s="2" t="s">
        <v>106</v>
      </c>
      <c r="DL261" s="2" t="s">
        <v>107</v>
      </c>
      <c r="DM261" s="2" t="s">
        <v>108</v>
      </c>
      <c r="DN261" s="2" t="s">
        <v>109</v>
      </c>
      <c r="DO261" s="2" t="s">
        <v>110</v>
      </c>
      <c r="DP261" s="2" t="s">
        <v>111</v>
      </c>
      <c r="DQ261" s="2" t="s">
        <v>112</v>
      </c>
      <c r="DR261" s="2" t="s">
        <v>113</v>
      </c>
      <c r="DS261" s="2" t="s">
        <v>114</v>
      </c>
      <c r="DT261" s="2" t="s">
        <v>115</v>
      </c>
      <c r="DU261" s="2" t="s">
        <v>116</v>
      </c>
      <c r="DV261" s="2" t="s">
        <v>117</v>
      </c>
      <c r="DW261" s="2" t="s">
        <v>118</v>
      </c>
      <c r="DX261" s="2" t="s">
        <v>119</v>
      </c>
      <c r="DY261" s="2" t="s">
        <v>120</v>
      </c>
      <c r="DZ261" s="2" t="s">
        <v>121</v>
      </c>
      <c r="EA261" s="2" t="s">
        <v>122</v>
      </c>
      <c r="EB261" s="2" t="s">
        <v>123</v>
      </c>
      <c r="EC261" s="2" t="s">
        <v>124</v>
      </c>
      <c r="ED261" s="2" t="s">
        <v>125</v>
      </c>
      <c r="EE261" s="2" t="s">
        <v>126</v>
      </c>
      <c r="EF261" s="2" t="s">
        <v>127</v>
      </c>
      <c r="EG261" s="2" t="s">
        <v>128</v>
      </c>
      <c r="EH261" s="2" t="s">
        <v>129</v>
      </c>
      <c r="EI261" s="2" t="s">
        <v>130</v>
      </c>
      <c r="EJ261" s="2" t="s">
        <v>131</v>
      </c>
      <c r="EK261" s="2" t="s">
        <v>132</v>
      </c>
      <c r="EL261" s="2" t="s">
        <v>133</v>
      </c>
      <c r="EM261" s="2" t="s">
        <v>134</v>
      </c>
      <c r="EN261" s="2" t="s">
        <v>135</v>
      </c>
      <c r="EO261" s="2" t="s">
        <v>136</v>
      </c>
      <c r="EP261" s="2" t="s">
        <v>137</v>
      </c>
      <c r="EQ261" s="2" t="s">
        <v>138</v>
      </c>
      <c r="ER261" s="2" t="s">
        <v>139</v>
      </c>
      <c r="ES261" s="2" t="s">
        <v>140</v>
      </c>
      <c r="ET261" s="2" t="s">
        <v>141</v>
      </c>
      <c r="EU261" s="2" t="s">
        <v>142</v>
      </c>
      <c r="EV261" s="2" t="s">
        <v>143</v>
      </c>
      <c r="EW261" s="2" t="s">
        <v>144</v>
      </c>
      <c r="EX261" s="2" t="s">
        <v>145</v>
      </c>
      <c r="EY261" s="2" t="s">
        <v>146</v>
      </c>
    </row>
    <row r="262" spans="1:155" ht="13.9" customHeight="1" x14ac:dyDescent="0.25">
      <c r="A262" s="7"/>
      <c r="B262" s="17"/>
      <c r="C262" s="8"/>
      <c r="D262" s="17"/>
      <c r="E262" s="8"/>
      <c r="F262" s="18">
        <v>0</v>
      </c>
      <c r="G262" s="7" t="s">
        <v>147</v>
      </c>
      <c r="H262" s="18">
        <v>0</v>
      </c>
      <c r="I262" s="19">
        <v>0</v>
      </c>
      <c r="J262" s="7" t="s">
        <v>147</v>
      </c>
      <c r="K262" s="19">
        <v>0</v>
      </c>
      <c r="L262" s="9"/>
      <c r="M262" s="3" t="str">
        <f>IF($L262="","",IF($L262="DOELPUNTENMAKERS","",IF(AND(COUNTIF(#REF!,$B262)=0,COUNTIF(#REF!,$D262)=0),"OK",IF($O262&gt;20,"LET OP: meer dan 20 items (controle onvolledig)",IF((COUNTIF($R262:$AS262,"ONZEKER")+COUNTIF($CJ262:$DK262,"ONZEKER"))&gt;0,"LET OP: scoreverloop onduidelijk (controle beperkt)",IF((IF($AT262&lt;&gt;"",$AT262&amp;", ","")&amp;IF($AU262&lt;&gt;"",$AU262&amp;", ","")&amp;IF($AV262&lt;&gt;"",$AV262&amp;", ","")&amp;IF($AW262&lt;&gt;"",$AW262&amp;", ","")&amp;IF($AX262&lt;&gt;"",$AX262&amp;", ","")&amp;IF($AY262&lt;&gt;"",$AY262&amp;", ","")&amp;IF($AZ262&lt;&gt;"",$AZ262&amp;", ","")&amp;IF($BA262&lt;&gt;"",$BA262&amp;", ","")&amp;IF($BB262&lt;&gt;"",$BB262&amp;", ","")&amp;IF($BC262&lt;&gt;"",$BC262&amp;", ","")&amp;IF($DL262&lt;&gt;"",$DL262&amp;", ","")&amp;IF($DM262&lt;&gt;"",$DM262&amp;", ","")&amp;IF($DN262&lt;&gt;"",$DN262&amp;", ","")&amp;IF($DO262&lt;&gt;"",$DO262&amp;", ","")&amp;IF($DP262&lt;&gt;"",$DP262&amp;", ","")&amp;IF($DQ262&lt;&gt;"",$DQ262&amp;", ","")&amp;IF($DR262&lt;&gt;"",$DR262&amp;", ","")&amp;IF($DS262&lt;&gt;"",$DS262&amp;", ","")&amp;IF($DT262&lt;&gt;"",$DT262&amp;", ","")&amp;IF($DU262&lt;&gt;"",$DU262&amp;", ",""))="","OK","Onbekend: "&amp;LEFT((IF($AT262&lt;&gt;"",$AT262&amp;", ","")&amp;IF($AU262&lt;&gt;"",$AU262&amp;", ","")&amp;IF($AV262&lt;&gt;"",$AV262&amp;", ","")&amp;IF($AW262&lt;&gt;"",$AW262&amp;", ","")&amp;IF($AX262&lt;&gt;"",$AX262&amp;", ","")&amp;IF($AY262&lt;&gt;"",$AY262&amp;", ","")&amp;IF($AZ262&lt;&gt;"",$AZ262&amp;", ","")&amp;IF($BA262&lt;&gt;"",$BA262&amp;", ","")&amp;IF($BB262&lt;&gt;"",$BB262&amp;", ","")&amp;IF($BC262&lt;&gt;"",$BC262&amp;", ","")&amp;IF($DL262&lt;&gt;"",$DL262&amp;", ","")&amp;IF($DM262&lt;&gt;"",$DM262&amp;", ","")&amp;IF($DN262&lt;&gt;"",$DN262&amp;", ","")&amp;IF($DO262&lt;&gt;"",$DO262&amp;", ","")&amp;IF($DP262&lt;&gt;"",$DP262&amp;", ","")&amp;IF($DQ262&lt;&gt;"",$DQ262&amp;", ","")&amp;IF($DR262&lt;&gt;"",$DR262&amp;", ","")&amp;IF($DS262&lt;&gt;"",$DS262&amp;", ","")&amp;IF($DT262&lt;&gt;"",$DT262&amp;", ","")&amp;IF($DU262&lt;&gt;"",$DU262&amp;", ","")),LEN((IF($AT262&lt;&gt;"",$AT262&amp;", ","")&amp;IF($AU262&lt;&gt;"",$AU262&amp;", ","")&amp;IF($AV262&lt;&gt;"",$AV262&amp;", ","")&amp;IF($AW262&lt;&gt;"",$AW262&amp;", ","")&amp;IF($AX262&lt;&gt;"",$AX262&amp;", ","")&amp;IF($AY262&lt;&gt;"",$AY262&amp;", ","")&amp;IF($AZ262&lt;&gt;"",$AZ262&amp;", ","")&amp;IF($BA262&lt;&gt;"",$BA262&amp;", ","")&amp;IF($BB262&lt;&gt;"",$BB262&amp;", ","")&amp;IF($BC262&lt;&gt;"",$BC262&amp;", ","")&amp;IF($DL262&lt;&gt;"",$DL262&amp;", ","")&amp;IF($DM262&lt;&gt;"",$DM262&amp;", ","")&amp;IF($DN262&lt;&gt;"",$DN262&amp;", ","")&amp;IF($DO262&lt;&gt;"",$DO262&amp;", ","")&amp;IF($DP262&lt;&gt;"",$DP262&amp;", ","")&amp;IF($DQ262&lt;&gt;"",$DQ262&amp;", ","")&amp;IF($DR262&lt;&gt;"",$DR262&amp;", ","")&amp;IF($DS262&lt;&gt;"",$DS262&amp;", ","")&amp;IF($DT262&lt;&gt;"",$DT262&amp;", ","")&amp;IF($DU262&lt;&gt;"",$DU262&amp;", ","")))-2)))))))</f>
        <v/>
      </c>
      <c r="N262" t="str">
        <f t="shared" ref="N262:N271" si="1990">IF($L262="","",TRIM(IF(RIGHT(SUBSTITUTE($L262,CHAR(160)," "),1)=".",LEFT(SUBSTITUTE($L262,CHAR(160)," "),LEN(SUBSTITUTE($L262,CHAR(160)," "))-1),SUBSTITUTE($L262,CHAR(160)," "))))</f>
        <v/>
      </c>
      <c r="O262" t="str">
        <f t="shared" ref="O262:O271" si="1991">IF($N262="","",LEN($N262)-LEN(SUBSTITUTE($N262,",",""))+1)</f>
        <v/>
      </c>
      <c r="P262" t="str">
        <f t="shared" ref="P262:P271" si="1992">IF($N262="","",TRIM(MID(SUBSTITUTE($N262,",",REPT(" ",200)),1,200)))</f>
        <v/>
      </c>
      <c r="Q262" t="str">
        <f t="shared" ref="Q262:Q271" si="1993">IF(P262="","",TRIM(IFERROR(LEFT(P262,FIND("§",SUBSTITUTE(P262," ","§",LEN(P262)-LEN(SUBSTITUTE(P262," ",""))))-1),P262)))</f>
        <v/>
      </c>
      <c r="R262" t="str">
        <f>IF($Q262="","",IF(OR($BE262="",$BF262=""),"ONZEKER",IF(AND($BE262=0+1,$BF262=0),IF(OR(COUNTIF(#REF!,$B262)&gt;0,COUNTIF(#REF!,$B262)=0),"SKIP",IF(COUNTIFS(#REF!,$B262,#REF!,$Q262)&gt;0,"OK","ONBEKEND")),IF(AND($BE262=0,$BF262=0+1),IF(OR(COUNTIF(#REF!,$D262)&gt;0,COUNTIF(#REF!,$D262)=0),"SKIP",IF(COUNTIFS(#REF!,$D262,#REF!,$Q262)&gt;0,"OK","ONBEKEND")),"ONZEKER"))))</f>
        <v/>
      </c>
      <c r="S262" t="str">
        <f t="shared" ref="S262:S271" si="1994">IF($N262="","",TRIM(MID(SUBSTITUTE($N262,",",REPT(" ",200)),201,200)))</f>
        <v/>
      </c>
      <c r="T262" t="str">
        <f t="shared" ref="T262:T271" si="1995">IF(S262="","",TRIM(IFERROR(LEFT(S262,FIND("§",SUBSTITUTE(S262," ","§",LEN(S262)-LEN(SUBSTITUTE(S262," ",""))))-1),S262)))</f>
        <v/>
      </c>
      <c r="U262" t="str">
        <f>IF($T262="","",IF(OR($BH262="",$BI262=""),"ONZEKER",IF(OR($BE262="",$BF262=""),"ONZEKER",IF(AND($BH262=$BE262+1,$BI262=$BF262),IF(OR(COUNTIF(#REF!,$B262)&gt;0,COUNTIF(#REF!,$B262)=0),"SKIP",IF(COUNTIFS(#REF!,$B262,#REF!,$T262)&gt;0,"OK","ONBEKEND")),IF(AND($BH262=$BE262,$BI262=$BF262+1),IF(OR(COUNTIF(#REF!,$D262)&gt;0,COUNTIF(#REF!,$D262)=0),"SKIP",IF(COUNTIFS(#REF!,$D262,#REF!,$T262)&gt;0,"OK","ONBEKEND")),"ONZEKER")))))</f>
        <v/>
      </c>
      <c r="V262" t="str">
        <f t="shared" ref="V262:V271" si="1996">IF($N262="","",TRIM(MID(SUBSTITUTE($N262,",",REPT(" ",200)),401,200)))</f>
        <v/>
      </c>
      <c r="W262" t="str">
        <f t="shared" ref="W262:W271" si="1997">IF(V262="","",TRIM(IFERROR(LEFT(V262,FIND("§",SUBSTITUTE(V262," ","§",LEN(V262)-LEN(SUBSTITUTE(V262," ",""))))-1),V262)))</f>
        <v/>
      </c>
      <c r="X262" t="str">
        <f>IF($W262="","",IF(OR($BK262="",$BL262=""),"ONZEKER",IF(OR($BH262="",$BI262=""),"ONZEKER",IF(AND($BK262=$BH262+1,$BL262=$BI262),IF(OR(COUNTIF(#REF!,$B262)&gt;0,COUNTIF(#REF!,$B262)=0),"SKIP",IF(COUNTIFS(#REF!,$B262,#REF!,$W262)&gt;0,"OK","ONBEKEND")),IF(AND($BK262=$BH262,$BL262=$BI262+1),IF(OR(COUNTIF(#REF!,$D262)&gt;0,COUNTIF(#REF!,$D262)=0),"SKIP",IF(COUNTIFS(#REF!,$D262,#REF!,$W262)&gt;0,"OK","ONBEKEND")),"ONZEKER")))))</f>
        <v/>
      </c>
      <c r="Y262" t="str">
        <f t="shared" ref="Y262:Y271" si="1998">IF($N262="","",TRIM(MID(SUBSTITUTE($N262,",",REPT(" ",200)),601,200)))</f>
        <v/>
      </c>
      <c r="Z262" t="str">
        <f t="shared" ref="Z262:Z271" si="1999">IF(Y262="","",TRIM(IFERROR(LEFT(Y262,FIND("§",SUBSTITUTE(Y262," ","§",LEN(Y262)-LEN(SUBSTITUTE(Y262," ",""))))-1),Y262)))</f>
        <v/>
      </c>
      <c r="AA262" t="str">
        <f>IF($Z262="","",IF(OR($BN262="",$BO262=""),"ONZEKER",IF(OR($BK262="",$BL262=""),"ONZEKER",IF(AND($BN262=$BK262+1,$BO262=$BL262),IF(OR(COUNTIF(#REF!,$B262)&gt;0,COUNTIF(#REF!,$B262)=0),"SKIP",IF(COUNTIFS(#REF!,$B262,#REF!,$Z262)&gt;0,"OK","ONBEKEND")),IF(AND($BN262=$BK262,$BO262=$BL262+1),IF(OR(COUNTIF(#REF!,$D262)&gt;0,COUNTIF(#REF!,$D262)=0),"SKIP",IF(COUNTIFS(#REF!,$D262,#REF!,$Z262)&gt;0,"OK","ONBEKEND")),"ONZEKER")))))</f>
        <v/>
      </c>
      <c r="AB262" t="str">
        <f t="shared" ref="AB262:AB271" si="2000">IF($N262="","",TRIM(MID(SUBSTITUTE($N262,",",REPT(" ",200)),801,200)))</f>
        <v/>
      </c>
      <c r="AC262" t="str">
        <f t="shared" ref="AC262:AC271" si="2001">IF(AB262="","",TRIM(IFERROR(LEFT(AB262,FIND("§",SUBSTITUTE(AB262," ","§",LEN(AB262)-LEN(SUBSTITUTE(AB262," ",""))))-1),AB262)))</f>
        <v/>
      </c>
      <c r="AD262" t="str">
        <f>IF($AC262="","",IF(OR($BQ262="",$BR262=""),"ONZEKER",IF(OR($BN262="",$BO262=""),"ONZEKER",IF(AND($BQ262=$BN262+1,$BR262=$BO262),IF(OR(COUNTIF(#REF!,$B262)&gt;0,COUNTIF(#REF!,$B262)=0),"SKIP",IF(COUNTIFS(#REF!,$B262,#REF!,$AC262)&gt;0,"OK","ONBEKEND")),IF(AND($BQ262=$BN262,$BR262=$BO262+1),IF(OR(COUNTIF(#REF!,$D262)&gt;0,COUNTIF(#REF!,$D262)=0),"SKIP",IF(COUNTIFS(#REF!,$D262,#REF!,$AC262)&gt;0,"OK","ONBEKEND")),"ONZEKER")))))</f>
        <v/>
      </c>
      <c r="AE262" t="str">
        <f t="shared" ref="AE262:AE271" si="2002">IF($N262="","",TRIM(MID(SUBSTITUTE($N262,",",REPT(" ",200)),1001,200)))</f>
        <v/>
      </c>
      <c r="AF262" t="str">
        <f t="shared" ref="AF262:AF271" si="2003">IF(AE262="","",TRIM(IFERROR(LEFT(AE262,FIND("§",SUBSTITUTE(AE262," ","§",LEN(AE262)-LEN(SUBSTITUTE(AE262," ",""))))-1),AE262)))</f>
        <v/>
      </c>
      <c r="AG262" t="str">
        <f>IF($AF262="","",IF(OR($BT262="",$BU262=""),"ONZEKER",IF(OR($BQ262="",$BR262=""),"ONZEKER",IF(AND($BT262=$BQ262+1,$BU262=$BR262),IF(OR(COUNTIF(#REF!,$B262)&gt;0,COUNTIF(#REF!,$B262)=0),"SKIP",IF(COUNTIFS(#REF!,$B262,#REF!,$AF262)&gt;0,"OK","ONBEKEND")),IF(AND($BT262=$BQ262,$BU262=$BR262+1),IF(OR(COUNTIF(#REF!,$D262)&gt;0,COUNTIF(#REF!,$D262)=0),"SKIP",IF(COUNTIFS(#REF!,$D262,#REF!,$AF262)&gt;0,"OK","ONBEKEND")),"ONZEKER")))))</f>
        <v/>
      </c>
      <c r="AH262" t="str">
        <f t="shared" ref="AH262:AH271" si="2004">IF($N262="","",TRIM(MID(SUBSTITUTE($N262,",",REPT(" ",200)),1201,200)))</f>
        <v/>
      </c>
      <c r="AI262" t="str">
        <f t="shared" ref="AI262:AI271" si="2005">IF(AH262="","",TRIM(IFERROR(LEFT(AH262,FIND("§",SUBSTITUTE(AH262," ","§",LEN(AH262)-LEN(SUBSTITUTE(AH262," ",""))))-1),AH262)))</f>
        <v/>
      </c>
      <c r="AJ262" t="str">
        <f>IF($AI262="","",IF(OR($BW262="",$BX262=""),"ONZEKER",IF(OR($BT262="",$BU262=""),"ONZEKER",IF(AND($BW262=$BT262+1,$BX262=$BU262),IF(OR(COUNTIF(#REF!,$B262)&gt;0,COUNTIF(#REF!,$B262)=0),"SKIP",IF(COUNTIFS(#REF!,$B262,#REF!,$AI262)&gt;0,"OK","ONBEKEND")),IF(AND($BW262=$BT262,$BX262=$BU262+1),IF(OR(COUNTIF(#REF!,$D262)&gt;0,COUNTIF(#REF!,$D262)=0),"SKIP",IF(COUNTIFS(#REF!,$D262,#REF!,$AI262)&gt;0,"OK","ONBEKEND")),"ONZEKER")))))</f>
        <v/>
      </c>
      <c r="AK262" t="str">
        <f t="shared" ref="AK262:AK271" si="2006">IF($N262="","",TRIM(MID(SUBSTITUTE($N262,",",REPT(" ",200)),1401,200)))</f>
        <v/>
      </c>
      <c r="AL262" t="str">
        <f t="shared" ref="AL262:AL271" si="2007">IF(AK262="","",TRIM(IFERROR(LEFT(AK262,FIND("§",SUBSTITUTE(AK262," ","§",LEN(AK262)-LEN(SUBSTITUTE(AK262," ",""))))-1),AK262)))</f>
        <v/>
      </c>
      <c r="AM262" t="str">
        <f>IF($AL262="","",IF(OR($BZ262="",$CA262=""),"ONZEKER",IF(OR($BW262="",$BX262=""),"ONZEKER",IF(AND($BZ262=$BW262+1,$CA262=$BX262),IF(OR(COUNTIF(#REF!,$B262)&gt;0,COUNTIF(#REF!,$B262)=0),"SKIP",IF(COUNTIFS(#REF!,$B262,#REF!,$AL262)&gt;0,"OK","ONBEKEND")),IF(AND($BZ262=$BW262,$CA262=$BX262+1),IF(OR(COUNTIF(#REF!,$D262)&gt;0,COUNTIF(#REF!,$D262)=0),"SKIP",IF(COUNTIFS(#REF!,$D262,#REF!,$AL262)&gt;0,"OK","ONBEKEND")),"ONZEKER")))))</f>
        <v/>
      </c>
      <c r="AN262" t="str">
        <f t="shared" ref="AN262:AN271" si="2008">IF($N262="","",TRIM(MID(SUBSTITUTE($N262,",",REPT(" ",200)),1601,200)))</f>
        <v/>
      </c>
      <c r="AO262" t="str">
        <f t="shared" ref="AO262:AO271" si="2009">IF(AN262="","",TRIM(IFERROR(LEFT(AN262,FIND("§",SUBSTITUTE(AN262," ","§",LEN(AN262)-LEN(SUBSTITUTE(AN262," ",""))))-1),AN262)))</f>
        <v/>
      </c>
      <c r="AP262" t="str">
        <f>IF($AO262="","",IF(OR($CC262="",$CD262=""),"ONZEKER",IF(OR($BZ262="",$CA262=""),"ONZEKER",IF(AND($CC262=$BZ262+1,$CD262=$CA262),IF(OR(COUNTIF(#REF!,$B262)&gt;0,COUNTIF(#REF!,$B262)=0),"SKIP",IF(COUNTIFS(#REF!,$B262,#REF!,$AO262)&gt;0,"OK","ONBEKEND")),IF(AND($CC262=$BZ262,$CD262=$CA262+1),IF(OR(COUNTIF(#REF!,$D262)&gt;0,COUNTIF(#REF!,$D262)=0),"SKIP",IF(COUNTIFS(#REF!,$D262,#REF!,$AO262)&gt;0,"OK","ONBEKEND")),"ONZEKER")))))</f>
        <v/>
      </c>
      <c r="AQ262" t="str">
        <f t="shared" ref="AQ262:AQ271" si="2010">IF($N262="","",TRIM(MID(SUBSTITUTE($N262,",",REPT(" ",200)),1801,200)))</f>
        <v/>
      </c>
      <c r="AR262" t="str">
        <f t="shared" ref="AR262:AR271" si="2011">IF(AQ262="","",TRIM(IFERROR(LEFT(AQ262,FIND("§",SUBSTITUTE(AQ262," ","§",LEN(AQ262)-LEN(SUBSTITUTE(AQ262," ",""))))-1),AQ262)))</f>
        <v/>
      </c>
      <c r="AS262" t="str">
        <f>IF($AR262="","",IF(OR($CF262="",$CG262=""),"ONZEKER",IF(OR($CC262="",$CD262=""),"ONZEKER",IF(AND($CF262=$CC262+1,$CG262=$CD262),IF(OR(COUNTIF(#REF!,$B262)&gt;0,COUNTIF(#REF!,$B262)=0),"SKIP",IF(COUNTIFS(#REF!,$B262,#REF!,$AR262)&gt;0,"OK","ONBEKEND")),IF(AND($CF262=$CC262,$CG262=$CD262+1),IF(OR(COUNTIF(#REF!,$D262)&gt;0,COUNTIF(#REF!,$D262)=0),"SKIP",IF(COUNTIFS(#REF!,$D262,#REF!,$AR262)&gt;0,"OK","ONBEKEND")),"ONZEKER")))))</f>
        <v/>
      </c>
      <c r="AT262" t="str">
        <f t="shared" ref="AT262:AT271" si="2012">IF(R262="ONBEKEND",Q262,"")</f>
        <v/>
      </c>
      <c r="AU262" t="str">
        <f t="shared" ref="AU262:AU271" si="2013">IF(U262="ONBEKEND",T262,"")</f>
        <v/>
      </c>
      <c r="AV262" t="str">
        <f t="shared" ref="AV262:AV271" si="2014">IF(X262="ONBEKEND",W262,"")</f>
        <v/>
      </c>
      <c r="AW262" t="str">
        <f t="shared" ref="AW262:AW271" si="2015">IF(AA262="ONBEKEND",Z262,"")</f>
        <v/>
      </c>
      <c r="AX262" t="str">
        <f t="shared" ref="AX262:AX271" si="2016">IF(AD262="ONBEKEND",AC262,"")</f>
        <v/>
      </c>
      <c r="AY262" t="str">
        <f t="shared" ref="AY262:AY271" si="2017">IF(AG262="ONBEKEND",AF262,"")</f>
        <v/>
      </c>
      <c r="AZ262" t="str">
        <f t="shared" ref="AZ262:AZ271" si="2018">IF(AJ262="ONBEKEND",AI262,"")</f>
        <v/>
      </c>
      <c r="BA262" t="str">
        <f t="shared" ref="BA262:BA271" si="2019">IF(AM262="ONBEKEND",AL262,"")</f>
        <v/>
      </c>
      <c r="BB262" t="str">
        <f t="shared" ref="BB262:BB271" si="2020">IF(AP262="ONBEKEND",AO262,"")</f>
        <v/>
      </c>
      <c r="BC262" t="str">
        <f t="shared" ref="BC262:BC271" si="2021">IF(AS262="ONBEKEND",AR262,"")</f>
        <v/>
      </c>
      <c r="BD262" t="str">
        <f t="shared" si="1960"/>
        <v/>
      </c>
      <c r="BE262" t="str">
        <f t="shared" si="1961"/>
        <v/>
      </c>
      <c r="BF262" t="str">
        <f t="shared" si="1962"/>
        <v/>
      </c>
      <c r="BG262" t="str">
        <f t="shared" si="1963"/>
        <v/>
      </c>
      <c r="BH262" t="str">
        <f t="shared" si="1964"/>
        <v/>
      </c>
      <c r="BI262" t="str">
        <f t="shared" si="1965"/>
        <v/>
      </c>
      <c r="BJ262" t="str">
        <f t="shared" si="1966"/>
        <v/>
      </c>
      <c r="BK262" t="str">
        <f t="shared" si="1967"/>
        <v/>
      </c>
      <c r="BL262" t="str">
        <f t="shared" si="1968"/>
        <v/>
      </c>
      <c r="BM262" t="str">
        <f t="shared" si="1969"/>
        <v/>
      </c>
      <c r="BN262" t="str">
        <f t="shared" si="1970"/>
        <v/>
      </c>
      <c r="BO262" t="str">
        <f t="shared" si="1971"/>
        <v/>
      </c>
      <c r="BP262" t="str">
        <f t="shared" si="1972"/>
        <v/>
      </c>
      <c r="BQ262" t="str">
        <f t="shared" si="1973"/>
        <v/>
      </c>
      <c r="BR262" t="str">
        <f t="shared" si="1974"/>
        <v/>
      </c>
      <c r="BS262" t="str">
        <f t="shared" si="1975"/>
        <v/>
      </c>
      <c r="BT262" t="str">
        <f t="shared" si="1976"/>
        <v/>
      </c>
      <c r="BU262" t="str">
        <f t="shared" si="1977"/>
        <v/>
      </c>
      <c r="BV262" t="str">
        <f t="shared" si="1978"/>
        <v/>
      </c>
      <c r="BW262" t="str">
        <f t="shared" si="1979"/>
        <v/>
      </c>
      <c r="BX262" t="str">
        <f t="shared" si="1980"/>
        <v/>
      </c>
      <c r="BY262" t="str">
        <f t="shared" si="1981"/>
        <v/>
      </c>
      <c r="BZ262" t="str">
        <f t="shared" si="1982"/>
        <v/>
      </c>
      <c r="CA262" t="str">
        <f t="shared" si="1983"/>
        <v/>
      </c>
      <c r="CB262" t="str">
        <f t="shared" si="1984"/>
        <v/>
      </c>
      <c r="CC262" t="str">
        <f t="shared" si="1985"/>
        <v/>
      </c>
      <c r="CD262" t="str">
        <f t="shared" si="1986"/>
        <v/>
      </c>
      <c r="CE262" t="str">
        <f t="shared" si="1987"/>
        <v/>
      </c>
      <c r="CF262" t="str">
        <f t="shared" si="1988"/>
        <v/>
      </c>
      <c r="CG262" t="str">
        <f t="shared" si="1989"/>
        <v/>
      </c>
      <c r="CH262" t="str">
        <f t="shared" ref="CH262:CH273" si="2022">IF($N262="","",TRIM(MID(SUBSTITUTE($N262,",",REPT(" ",200)),2001,200)))</f>
        <v/>
      </c>
      <c r="CI262" t="str">
        <f t="shared" ref="CI262:CI273" si="2023">IF(CH262="","",TRIM(IFERROR(LEFT(CH262,FIND("§",SUBSTITUTE(CH262," ","§",LEN(CH262)-LEN(SUBSTITUTE(CH262," ",""))))-1),CH262)))</f>
        <v/>
      </c>
      <c r="CJ262" t="str">
        <f>IF($CI262="","",IF(OR($DW262="",$DX262=""),"ONZEKER",IF(OR($CF262="",$CG262=""),"ONZEKER",IF(AND($DW262=$CF262+1,$DX262=$CG262),IF(OR(COUNTIF(#REF!,$B262)&gt;0,COUNTIF(#REF!,$B262)=0),"SKIP",IF(COUNTIFS(#REF!,$B262,#REF!,$CI262)&gt;0,"OK","ONBEKEND")),IF(AND($DW262=$CF262,$DX262=$CG262+1),IF(OR(COUNTIF(#REF!,$D262)&gt;0,COUNTIF(#REF!,$D262)=0),"SKIP",IF(COUNTIFS(#REF!,$D262,#REF!,$CI262)&gt;0,"OK","ONBEKEND")),"ONZEKER")))))</f>
        <v/>
      </c>
      <c r="CK262" t="str">
        <f t="shared" ref="CK262:CK273" si="2024">IF($N262="","",TRIM(MID(SUBSTITUTE($N262,",",REPT(" ",200)),2201,200)))</f>
        <v/>
      </c>
      <c r="CL262" t="str">
        <f t="shared" ref="CL262:CL273" si="2025">IF(CK262="","",TRIM(IFERROR(LEFT(CK262,FIND("§",SUBSTITUTE(CK262," ","§",LEN(CK262)-LEN(SUBSTITUTE(CK262," ",""))))-1),CK262)))</f>
        <v/>
      </c>
      <c r="CM262" t="str">
        <f>IF($CL262="","",IF(OR($DZ262="",$EA262=""),"ONZEKER",IF(OR($DW262="",$DX262=""),"ONZEKER",IF(AND($DZ262=$DW262+1,$EA262=$DX262),IF(OR(COUNTIF(#REF!,$B262)&gt;0,COUNTIF(#REF!,$B262)=0),"SKIP",IF(COUNTIFS(#REF!,$B262,#REF!,$CL262)&gt;0,"OK","ONBEKEND")),IF(AND($DZ262=$DW262,$EA262=$DX262+1),IF(OR(COUNTIF(#REF!,$D262)&gt;0,COUNTIF(#REF!,$D262)=0),"SKIP",IF(COUNTIFS(#REF!,$D262,#REF!,$CL262)&gt;0,"OK","ONBEKEND")),"ONZEKER")))))</f>
        <v/>
      </c>
      <c r="CN262" t="str">
        <f t="shared" ref="CN262:CN273" si="2026">IF($N262="","",TRIM(MID(SUBSTITUTE($N262,",",REPT(" ",200)),2401,200)))</f>
        <v/>
      </c>
      <c r="CO262" t="str">
        <f t="shared" ref="CO262:CO273" si="2027">IF(CN262="","",TRIM(IFERROR(LEFT(CN262,FIND("§",SUBSTITUTE(CN262," ","§",LEN(CN262)-LEN(SUBSTITUTE(CN262," ",""))))-1),CN262)))</f>
        <v/>
      </c>
      <c r="CP262" t="str">
        <f>IF($CO262="","",IF(OR($EC262="",$ED262=""),"ONZEKER",IF(OR($DZ262="",$EA262=""),"ONZEKER",IF(AND($EC262=$DZ262+1,$ED262=$EA262),IF(OR(COUNTIF(#REF!,$B262)&gt;0,COUNTIF(#REF!,$B262)=0),"SKIP",IF(COUNTIFS(#REF!,$B262,#REF!,$CO262)&gt;0,"OK","ONBEKEND")),IF(AND($EC262=$DZ262,$ED262=$EA262+1),IF(OR(COUNTIF(#REF!,$D262)&gt;0,COUNTIF(#REF!,$D262)=0),"SKIP",IF(COUNTIFS(#REF!,$D262,#REF!,$CO262)&gt;0,"OK","ONBEKEND")),"ONZEKER")))))</f>
        <v/>
      </c>
      <c r="CQ262" t="str">
        <f t="shared" ref="CQ262:CQ273" si="2028">IF($N262="","",TRIM(MID(SUBSTITUTE($N262,",",REPT(" ",200)),2601,200)))</f>
        <v/>
      </c>
      <c r="CR262" t="str">
        <f t="shared" ref="CR262:CR273" si="2029">IF(CQ262="","",TRIM(IFERROR(LEFT(CQ262,FIND("§",SUBSTITUTE(CQ262," ","§",LEN(CQ262)-LEN(SUBSTITUTE(CQ262," ",""))))-1),CQ262)))</f>
        <v/>
      </c>
      <c r="CS262" t="str">
        <f>IF($CR262="","",IF(OR($EF262="",$EG262=""),"ONZEKER",IF(OR($EC262="",$ED262=""),"ONZEKER",IF(AND($EF262=$EC262+1,$EG262=$ED262),IF(OR(COUNTIF(#REF!,$B262)&gt;0,COUNTIF(#REF!,$B262)=0),"SKIP",IF(COUNTIFS(#REF!,$B262,#REF!,$CR262)&gt;0,"OK","ONBEKEND")),IF(AND($EF262=$EC262,$EG262=$ED262+1),IF(OR(COUNTIF(#REF!,$D262)&gt;0,COUNTIF(#REF!,$D262)=0),"SKIP",IF(COUNTIFS(#REF!,$D262,#REF!,$CR262)&gt;0,"OK","ONBEKEND")),"ONZEKER")))))</f>
        <v/>
      </c>
      <c r="CT262" t="str">
        <f t="shared" ref="CT262:CT273" si="2030">IF($N262="","",TRIM(MID(SUBSTITUTE($N262,",",REPT(" ",200)),2801,200)))</f>
        <v/>
      </c>
      <c r="CU262" t="str">
        <f t="shared" ref="CU262:CU273" si="2031">IF(CT262="","",TRIM(IFERROR(LEFT(CT262,FIND("§",SUBSTITUTE(CT262," ","§",LEN(CT262)-LEN(SUBSTITUTE(CT262," ",""))))-1),CT262)))</f>
        <v/>
      </c>
      <c r="CV262" t="str">
        <f>IF($CU262="","",IF(OR($EI262="",$EJ262=""),"ONZEKER",IF(OR($EF262="",$EG262=""),"ONZEKER",IF(AND($EI262=$EF262+1,$EJ262=$EG262),IF(OR(COUNTIF(#REF!,$B262)&gt;0,COUNTIF(#REF!,$B262)=0),"SKIP",IF(COUNTIFS(#REF!,$B262,#REF!,$CU262)&gt;0,"OK","ONBEKEND")),IF(AND($EI262=$EF262,$EJ262=$EG262+1),IF(OR(COUNTIF(#REF!,$D262)&gt;0,COUNTIF(#REF!,$D262)=0),"SKIP",IF(COUNTIFS(#REF!,$D262,#REF!,$CU262)&gt;0,"OK","ONBEKEND")),"ONZEKER")))))</f>
        <v/>
      </c>
      <c r="CW262" t="str">
        <f t="shared" ref="CW262:CW273" si="2032">IF($N262="","",TRIM(MID(SUBSTITUTE($N262,",",REPT(" ",200)),3001,200)))</f>
        <v/>
      </c>
      <c r="CX262" t="str">
        <f t="shared" ref="CX262:CX273" si="2033">IF(CW262="","",TRIM(IFERROR(LEFT(CW262,FIND("§",SUBSTITUTE(CW262," ","§",LEN(CW262)-LEN(SUBSTITUTE(CW262," ",""))))-1),CW262)))</f>
        <v/>
      </c>
      <c r="CY262" t="str">
        <f>IF($CX262="","",IF(OR($EL262="",$EM262=""),"ONZEKER",IF(OR($EI262="",$EJ262=""),"ONZEKER",IF(AND($EL262=$EI262+1,$EM262=$EJ262),IF(OR(COUNTIF(#REF!,$B262)&gt;0,COUNTIF(#REF!,$B262)=0),"SKIP",IF(COUNTIFS(#REF!,$B262,#REF!,$CX262)&gt;0,"OK","ONBEKEND")),IF(AND($EL262=$EI262,$EM262=$EJ262+1),IF(OR(COUNTIF(#REF!,$D262)&gt;0,COUNTIF(#REF!,$D262)=0),"SKIP",IF(COUNTIFS(#REF!,$D262,#REF!,$CX262)&gt;0,"OK","ONBEKEND")),"ONZEKER")))))</f>
        <v/>
      </c>
      <c r="CZ262" t="str">
        <f t="shared" ref="CZ262:CZ273" si="2034">IF($N262="","",TRIM(MID(SUBSTITUTE($N262,",",REPT(" ",200)),3201,200)))</f>
        <v/>
      </c>
      <c r="DA262" t="str">
        <f t="shared" ref="DA262:DA273" si="2035">IF(CZ262="","",TRIM(IFERROR(LEFT(CZ262,FIND("§",SUBSTITUTE(CZ262," ","§",LEN(CZ262)-LEN(SUBSTITUTE(CZ262," ",""))))-1),CZ262)))</f>
        <v/>
      </c>
      <c r="DB262" t="str">
        <f>IF($DA262="","",IF(OR($EO262="",$EP262=""),"ONZEKER",IF(OR($EL262="",$EM262=""),"ONZEKER",IF(AND($EO262=$EL262+1,$EP262=$EM262),IF(OR(COUNTIF(#REF!,$B262)&gt;0,COUNTIF(#REF!,$B262)=0),"SKIP",IF(COUNTIFS(#REF!,$B262,#REF!,$DA262)&gt;0,"OK","ONBEKEND")),IF(AND($EO262=$EL262,$EP262=$EM262+1),IF(OR(COUNTIF(#REF!,$D262)&gt;0,COUNTIF(#REF!,$D262)=0),"SKIP",IF(COUNTIFS(#REF!,$D262,#REF!,$DA262)&gt;0,"OK","ONBEKEND")),"ONZEKER")))))</f>
        <v/>
      </c>
      <c r="DC262" t="str">
        <f t="shared" ref="DC262:DC273" si="2036">IF($N262="","",TRIM(MID(SUBSTITUTE($N262,",",REPT(" ",200)),3401,200)))</f>
        <v/>
      </c>
      <c r="DD262" t="str">
        <f t="shared" ref="DD262:DD273" si="2037">IF(DC262="","",TRIM(IFERROR(LEFT(DC262,FIND("§",SUBSTITUTE(DC262," ","§",LEN(DC262)-LEN(SUBSTITUTE(DC262," ",""))))-1),DC262)))</f>
        <v/>
      </c>
      <c r="DE262" t="str">
        <f>IF($DD262="","",IF(OR($ER262="",$ES262=""),"ONZEKER",IF(OR($EO262="",$EP262=""),"ONZEKER",IF(AND($ER262=$EO262+1,$ES262=$EP262),IF(OR(COUNTIF(#REF!,$B262)&gt;0,COUNTIF(#REF!,$B262)=0),"SKIP",IF(COUNTIFS(#REF!,$B262,#REF!,$DD262)&gt;0,"OK","ONBEKEND")),IF(AND($ER262=$EO262,$ES262=$EP262+1),IF(OR(COUNTIF(#REF!,$D262)&gt;0,COUNTIF(#REF!,$D262)=0),"SKIP",IF(COUNTIFS(#REF!,$D262,#REF!,$DD262)&gt;0,"OK","ONBEKEND")),"ONZEKER")))))</f>
        <v/>
      </c>
      <c r="DF262" t="str">
        <f t="shared" ref="DF262:DF273" si="2038">IF($N262="","",TRIM(MID(SUBSTITUTE($N262,",",REPT(" ",200)),3601,200)))</f>
        <v/>
      </c>
      <c r="DG262" t="str">
        <f t="shared" ref="DG262:DG273" si="2039">IF(DF262="","",TRIM(IFERROR(LEFT(DF262,FIND("§",SUBSTITUTE(DF262," ","§",LEN(DF262)-LEN(SUBSTITUTE(DF262," ",""))))-1),DF262)))</f>
        <v/>
      </c>
      <c r="DH262" t="str">
        <f>IF($DG262="","",IF(OR($EU262="",$EV262=""),"ONZEKER",IF(OR($ER262="",$ES262=""),"ONZEKER",IF(AND($EU262=$ER262+1,$EV262=$ES262),IF(OR(COUNTIF(#REF!,$B262)&gt;0,COUNTIF(#REF!,$B262)=0),"SKIP",IF(COUNTIFS(#REF!,$B262,#REF!,$DG262)&gt;0,"OK","ONBEKEND")),IF(AND($EU262=$ER262,$EV262=$ES262+1),IF(OR(COUNTIF(#REF!,$D262)&gt;0,COUNTIF(#REF!,$D262)=0),"SKIP",IF(COUNTIFS(#REF!,$D262,#REF!,$DG262)&gt;0,"OK","ONBEKEND")),"ONZEKER")))))</f>
        <v/>
      </c>
      <c r="DI262" t="str">
        <f t="shared" ref="DI262:DI273" si="2040">IF($N262="","",TRIM(MID(SUBSTITUTE($N262,",",REPT(" ",200)),3801,200)))</f>
        <v/>
      </c>
      <c r="DJ262" t="str">
        <f t="shared" ref="DJ262:DJ273" si="2041">IF(DI262="","",TRIM(IFERROR(LEFT(DI262,FIND("§",SUBSTITUTE(DI262," ","§",LEN(DI262)-LEN(SUBSTITUTE(DI262," ",""))))-1),DI262)))</f>
        <v/>
      </c>
      <c r="DK262" t="str">
        <f>IF($DJ262="","",IF(OR($EX262="",$EY262=""),"ONZEKER",IF(OR($EU262="",$EV262=""),"ONZEKER",IF(AND($EX262=$EU262+1,$EY262=$EV262),IF(OR(COUNTIF(#REF!,$B262)&gt;0,COUNTIF(#REF!,$B262)=0),"SKIP",IF(COUNTIFS(#REF!,$B262,#REF!,$DJ262)&gt;0,"OK","ONBEKEND")),IF(AND($EX262=$EU262,$EY262=$EV262+1),IF(OR(COUNTIF(#REF!,$D262)&gt;0,COUNTIF(#REF!,$D262)=0),"SKIP",IF(COUNTIFS(#REF!,$D262,#REF!,$DJ262)&gt;0,"OK","ONBEKEND")),"ONZEKER")))))</f>
        <v/>
      </c>
      <c r="DL262" t="str">
        <f t="shared" ref="DL262:DL273" si="2042">IF($CJ262="ONBEKEND",$CI262,"")</f>
        <v/>
      </c>
      <c r="DM262" t="str">
        <f t="shared" ref="DM262:DM273" si="2043">IF($CM262="ONBEKEND",$CL262,"")</f>
        <v/>
      </c>
      <c r="DN262" t="str">
        <f t="shared" ref="DN262:DN273" si="2044">IF($CP262="ONBEKEND",$CO262,"")</f>
        <v/>
      </c>
      <c r="DO262" t="str">
        <f t="shared" ref="DO262:DO273" si="2045">IF($CS262="ONBEKEND",$CR262,"")</f>
        <v/>
      </c>
      <c r="DP262" t="str">
        <f t="shared" ref="DP262:DP273" si="2046">IF($CV262="ONBEKEND",$CU262,"")</f>
        <v/>
      </c>
      <c r="DQ262" t="str">
        <f t="shared" ref="DQ262:DQ273" si="2047">IF($CY262="ONBEKEND",$CX262,"")</f>
        <v/>
      </c>
      <c r="DR262" t="str">
        <f t="shared" ref="DR262:DR273" si="2048">IF($DB262="ONBEKEND",$DA262,"")</f>
        <v/>
      </c>
      <c r="DS262" t="str">
        <f t="shared" ref="DS262:DS273" si="2049">IF($DE262="ONBEKEND",$DD262,"")</f>
        <v/>
      </c>
      <c r="DT262" t="str">
        <f t="shared" ref="DT262:DT273" si="2050">IF($DH262="ONBEKEND",$DG262,"")</f>
        <v/>
      </c>
      <c r="DU262" t="str">
        <f t="shared" ref="DU262:DU273" si="2051">IF($DK262="ONBEKEND",$DJ262,"")</f>
        <v/>
      </c>
      <c r="DV262" t="str">
        <f t="shared" ref="DV262:DV273" si="2052">IF($CH262="","",TRIM(IFERROR(RIGHT($CH262,LEN($CH262)-FIND("§",SUBSTITUTE($CH262," ","§",LEN($CH262)-LEN(SUBSTITUTE($CH262," ",""))))),"")))</f>
        <v/>
      </c>
      <c r="DW262" t="str">
        <f t="shared" ref="DW262:DW273" si="2053">IF($DV262="","",IFERROR(VALUE(LEFT($DV262,FIND("-",$DV262)-1)),""))</f>
        <v/>
      </c>
      <c r="DX262" t="str">
        <f t="shared" ref="DX262:DX273" si="2054">IF($DV262="","",IFERROR(VALUE(MID($DV262,FIND("-",$DV262)+1,99)),""))</f>
        <v/>
      </c>
      <c r="DY262" t="str">
        <f t="shared" ref="DY262:DY273" si="2055">IF($CK262="","",TRIM(IFERROR(RIGHT($CK262,LEN($CK262)-FIND("§",SUBSTITUTE($CK262," ","§",LEN($CK262)-LEN(SUBSTITUTE($CK262," ",""))))),"")))</f>
        <v/>
      </c>
      <c r="DZ262" t="str">
        <f t="shared" ref="DZ262:DZ273" si="2056">IF($DY262="","",IFERROR(VALUE(LEFT($DY262,FIND("-",$DY262)-1)),""))</f>
        <v/>
      </c>
      <c r="EA262" t="str">
        <f t="shared" ref="EA262:EA273" si="2057">IF($DY262="","",IFERROR(VALUE(MID($DY262,FIND("-",$DY262)+1,99)),""))</f>
        <v/>
      </c>
      <c r="EB262" t="str">
        <f t="shared" ref="EB262:EB273" si="2058">IF($CN262="","",TRIM(IFERROR(RIGHT($CN262,LEN($CN262)-FIND("§",SUBSTITUTE($CN262," ","§",LEN($CN262)-LEN(SUBSTITUTE($CN262," ",""))))),"")))</f>
        <v/>
      </c>
      <c r="EC262" t="str">
        <f t="shared" ref="EC262:EC273" si="2059">IF($EB262="","",IFERROR(VALUE(LEFT($EB262,FIND("-",$EB262)-1)),""))</f>
        <v/>
      </c>
      <c r="ED262" t="str">
        <f t="shared" ref="ED262:ED273" si="2060">IF($EB262="","",IFERROR(VALUE(MID($EB262,FIND("-",$EB262)+1,99)),""))</f>
        <v/>
      </c>
      <c r="EE262" t="str">
        <f t="shared" ref="EE262:EE273" si="2061">IF($CQ262="","",TRIM(IFERROR(RIGHT($CQ262,LEN($CQ262)-FIND("§",SUBSTITUTE($CQ262," ","§",LEN($CQ262)-LEN(SUBSTITUTE($CQ262," ",""))))),"")))</f>
        <v/>
      </c>
      <c r="EF262" t="str">
        <f t="shared" ref="EF262:EF273" si="2062">IF($EE262="","",IFERROR(VALUE(LEFT($EE262,FIND("-",$EE262)-1)),""))</f>
        <v/>
      </c>
      <c r="EG262" t="str">
        <f t="shared" ref="EG262:EG273" si="2063">IF($EE262="","",IFERROR(VALUE(MID($EE262,FIND("-",$EE262)+1,99)),""))</f>
        <v/>
      </c>
      <c r="EH262" t="str">
        <f t="shared" ref="EH262:EH273" si="2064">IF($CT262="","",TRIM(IFERROR(RIGHT($CT262,LEN($CT262)-FIND("§",SUBSTITUTE($CT262," ","§",LEN($CT262)-LEN(SUBSTITUTE($CT262," ",""))))),"")))</f>
        <v/>
      </c>
      <c r="EI262" t="str">
        <f t="shared" ref="EI262:EI273" si="2065">IF($EH262="","",IFERROR(VALUE(LEFT($EH262,FIND("-",$EH262)-1)),""))</f>
        <v/>
      </c>
      <c r="EJ262" t="str">
        <f t="shared" ref="EJ262:EJ273" si="2066">IF($EH262="","",IFERROR(VALUE(MID($EH262,FIND("-",$EH262)+1,99)),""))</f>
        <v/>
      </c>
      <c r="EK262" t="str">
        <f t="shared" ref="EK262:EK273" si="2067">IF($CW262="","",TRIM(IFERROR(RIGHT($CW262,LEN($CW262)-FIND("§",SUBSTITUTE($CW262," ","§",LEN($CW262)-LEN(SUBSTITUTE($CW262," ",""))))),"")))</f>
        <v/>
      </c>
      <c r="EL262" t="str">
        <f t="shared" ref="EL262:EL273" si="2068">IF($EK262="","",IFERROR(VALUE(LEFT($EK262,FIND("-",$EK262)-1)),""))</f>
        <v/>
      </c>
      <c r="EM262" t="str">
        <f t="shared" ref="EM262:EM273" si="2069">IF($EK262="","",IFERROR(VALUE(MID($EK262,FIND("-",$EK262)+1,99)),""))</f>
        <v/>
      </c>
      <c r="EN262" t="str">
        <f t="shared" ref="EN262:EN273" si="2070">IF($CZ262="","",TRIM(IFERROR(RIGHT($CZ262,LEN($CZ262)-FIND("§",SUBSTITUTE($CZ262," ","§",LEN($CZ262)-LEN(SUBSTITUTE($CZ262," ",""))))),"")))</f>
        <v/>
      </c>
      <c r="EO262" t="str">
        <f t="shared" ref="EO262:EO273" si="2071">IF($EN262="","",IFERROR(VALUE(LEFT($EN262,FIND("-",$EN262)-1)),""))</f>
        <v/>
      </c>
      <c r="EP262" t="str">
        <f t="shared" ref="EP262:EP273" si="2072">IF($EN262="","",IFERROR(VALUE(MID($EN262,FIND("-",$EN262)+1,99)),""))</f>
        <v/>
      </c>
      <c r="EQ262" t="str">
        <f t="shared" ref="EQ262:EQ273" si="2073">IF($DC262="","",TRIM(IFERROR(RIGHT($DC262,LEN($DC262)-FIND("§",SUBSTITUTE($DC262," ","§",LEN($DC262)-LEN(SUBSTITUTE($DC262," ",""))))),"")))</f>
        <v/>
      </c>
      <c r="ER262" t="str">
        <f t="shared" ref="ER262:ER273" si="2074">IF($EQ262="","",IFERROR(VALUE(LEFT($EQ262,FIND("-",$EQ262)-1)),""))</f>
        <v/>
      </c>
      <c r="ES262" t="str">
        <f t="shared" ref="ES262:ES273" si="2075">IF($EQ262="","",IFERROR(VALUE(MID($EQ262,FIND("-",$EQ262)+1,99)),""))</f>
        <v/>
      </c>
      <c r="ET262" t="str">
        <f t="shared" ref="ET262:ET273" si="2076">IF($DF262="","",TRIM(IFERROR(RIGHT($DF262,LEN($DF262)-FIND("§",SUBSTITUTE($DF262," ","§",LEN($DF262)-LEN(SUBSTITUTE($DF262," ",""))))),"")))</f>
        <v/>
      </c>
      <c r="EU262" t="str">
        <f t="shared" ref="EU262:EU273" si="2077">IF($ET262="","",IFERROR(VALUE(LEFT($ET262,FIND("-",$ET262)-1)),""))</f>
        <v/>
      </c>
      <c r="EV262" t="str">
        <f t="shared" ref="EV262:EV273" si="2078">IF($ET262="","",IFERROR(VALUE(MID($ET262,FIND("-",$ET262)+1,99)),""))</f>
        <v/>
      </c>
      <c r="EW262" t="str">
        <f t="shared" ref="EW262:EW273" si="2079">IF($DI262="","",TRIM(IFERROR(RIGHT($DI262,LEN($DI262)-FIND("§",SUBSTITUTE($DI262," ","§",LEN($DI262)-LEN(SUBSTITUTE($DI262," ",""))))),"")))</f>
        <v/>
      </c>
      <c r="EX262" t="str">
        <f t="shared" ref="EX262:EX273" si="2080">IF($EW262="","",IFERROR(VALUE(LEFT($EW262,FIND("-",$EW262)-1)),""))</f>
        <v/>
      </c>
      <c r="EY262" t="str">
        <f t="shared" ref="EY262:EY273" si="2081">IF($EW262="","",IFERROR(VALUE(MID($EW262,FIND("-",$EW262)+1,99)),""))</f>
        <v/>
      </c>
    </row>
    <row r="263" spans="1:155" ht="13.9" customHeight="1" x14ac:dyDescent="0.25">
      <c r="A263" s="7"/>
      <c r="B263" s="17"/>
      <c r="C263" s="8"/>
      <c r="D263" s="17"/>
      <c r="E263" s="8"/>
      <c r="F263" s="18">
        <v>0</v>
      </c>
      <c r="G263" s="7" t="s">
        <v>147</v>
      </c>
      <c r="H263" s="18">
        <v>0</v>
      </c>
      <c r="I263" s="19">
        <v>0</v>
      </c>
      <c r="J263" s="7" t="s">
        <v>147</v>
      </c>
      <c r="K263" s="19">
        <v>0</v>
      </c>
      <c r="L263" s="9"/>
      <c r="M263" s="3" t="str">
        <f>IF($L263="","",IF($L263="DOELPUNTENMAKERS","",IF(AND(COUNTIF(#REF!,$B263)=0,COUNTIF(#REF!,$D263)=0),"OK",IF($O263&gt;20,"LET OP: meer dan 20 items (controle onvolledig)",IF((COUNTIF($R263:$AS263,"ONZEKER")+COUNTIF($CJ263:$DK263,"ONZEKER"))&gt;0,"LET OP: scoreverloop onduidelijk (controle beperkt)",IF((IF($AT263&lt;&gt;"",$AT263&amp;", ","")&amp;IF($AU263&lt;&gt;"",$AU263&amp;", ","")&amp;IF($AV263&lt;&gt;"",$AV263&amp;", ","")&amp;IF($AW263&lt;&gt;"",$AW263&amp;", ","")&amp;IF($AX263&lt;&gt;"",$AX263&amp;", ","")&amp;IF($AY263&lt;&gt;"",$AY263&amp;", ","")&amp;IF($AZ263&lt;&gt;"",$AZ263&amp;", ","")&amp;IF($BA263&lt;&gt;"",$BA263&amp;", ","")&amp;IF($BB263&lt;&gt;"",$BB263&amp;", ","")&amp;IF($BC263&lt;&gt;"",$BC263&amp;", ","")&amp;IF($DL263&lt;&gt;"",$DL263&amp;", ","")&amp;IF($DM263&lt;&gt;"",$DM263&amp;", ","")&amp;IF($DN263&lt;&gt;"",$DN263&amp;", ","")&amp;IF($DO263&lt;&gt;"",$DO263&amp;", ","")&amp;IF($DP263&lt;&gt;"",$DP263&amp;", ","")&amp;IF($DQ263&lt;&gt;"",$DQ263&amp;", ","")&amp;IF($DR263&lt;&gt;"",$DR263&amp;", ","")&amp;IF($DS263&lt;&gt;"",$DS263&amp;", ","")&amp;IF($DT263&lt;&gt;"",$DT263&amp;", ","")&amp;IF($DU263&lt;&gt;"",$DU263&amp;", ",""))="","OK","Onbekend: "&amp;LEFT((IF($AT263&lt;&gt;"",$AT263&amp;", ","")&amp;IF($AU263&lt;&gt;"",$AU263&amp;", ","")&amp;IF($AV263&lt;&gt;"",$AV263&amp;", ","")&amp;IF($AW263&lt;&gt;"",$AW263&amp;", ","")&amp;IF($AX263&lt;&gt;"",$AX263&amp;", ","")&amp;IF($AY263&lt;&gt;"",$AY263&amp;", ","")&amp;IF($AZ263&lt;&gt;"",$AZ263&amp;", ","")&amp;IF($BA263&lt;&gt;"",$BA263&amp;", ","")&amp;IF($BB263&lt;&gt;"",$BB263&amp;", ","")&amp;IF($BC263&lt;&gt;"",$BC263&amp;", ","")&amp;IF($DL263&lt;&gt;"",$DL263&amp;", ","")&amp;IF($DM263&lt;&gt;"",$DM263&amp;", ","")&amp;IF($DN263&lt;&gt;"",$DN263&amp;", ","")&amp;IF($DO263&lt;&gt;"",$DO263&amp;", ","")&amp;IF($DP263&lt;&gt;"",$DP263&amp;", ","")&amp;IF($DQ263&lt;&gt;"",$DQ263&amp;", ","")&amp;IF($DR263&lt;&gt;"",$DR263&amp;", ","")&amp;IF($DS263&lt;&gt;"",$DS263&amp;", ","")&amp;IF($DT263&lt;&gt;"",$DT263&amp;", ","")&amp;IF($DU263&lt;&gt;"",$DU263&amp;", ","")),LEN((IF($AT263&lt;&gt;"",$AT263&amp;", ","")&amp;IF($AU263&lt;&gt;"",$AU263&amp;", ","")&amp;IF($AV263&lt;&gt;"",$AV263&amp;", ","")&amp;IF($AW263&lt;&gt;"",$AW263&amp;", ","")&amp;IF($AX263&lt;&gt;"",$AX263&amp;", ","")&amp;IF($AY263&lt;&gt;"",$AY263&amp;", ","")&amp;IF($AZ263&lt;&gt;"",$AZ263&amp;", ","")&amp;IF($BA263&lt;&gt;"",$BA263&amp;", ","")&amp;IF($BB263&lt;&gt;"",$BB263&amp;", ","")&amp;IF($BC263&lt;&gt;"",$BC263&amp;", ","")&amp;IF($DL263&lt;&gt;"",$DL263&amp;", ","")&amp;IF($DM263&lt;&gt;"",$DM263&amp;", ","")&amp;IF($DN263&lt;&gt;"",$DN263&amp;", ","")&amp;IF($DO263&lt;&gt;"",$DO263&amp;", ","")&amp;IF($DP263&lt;&gt;"",$DP263&amp;", ","")&amp;IF($DQ263&lt;&gt;"",$DQ263&amp;", ","")&amp;IF($DR263&lt;&gt;"",$DR263&amp;", ","")&amp;IF($DS263&lt;&gt;"",$DS263&amp;", ","")&amp;IF($DT263&lt;&gt;"",$DT263&amp;", ","")&amp;IF($DU263&lt;&gt;"",$DU263&amp;", ","")))-2)))))))</f>
        <v/>
      </c>
      <c r="N263" t="str">
        <f t="shared" si="1990"/>
        <v/>
      </c>
      <c r="O263" t="str">
        <f t="shared" si="1991"/>
        <v/>
      </c>
      <c r="P263" t="str">
        <f t="shared" si="1992"/>
        <v/>
      </c>
      <c r="Q263" t="str">
        <f t="shared" si="1993"/>
        <v/>
      </c>
      <c r="R263" t="str">
        <f>IF($Q263="","",IF(OR($BE263="",$BF263=""),"ONZEKER",IF(AND($BE263=0+1,$BF263=0),IF(OR(COUNTIF(#REF!,$B263)&gt;0,COUNTIF(#REF!,$B263)=0),"SKIP",IF(COUNTIFS(#REF!,$B263,#REF!,$Q263)&gt;0,"OK","ONBEKEND")),IF(AND($BE263=0,$BF263=0+1),IF(OR(COUNTIF(#REF!,$D263)&gt;0,COUNTIF(#REF!,$D263)=0),"SKIP",IF(COUNTIFS(#REF!,$D263,#REF!,$Q263)&gt;0,"OK","ONBEKEND")),"ONZEKER"))))</f>
        <v/>
      </c>
      <c r="S263" t="str">
        <f t="shared" si="1994"/>
        <v/>
      </c>
      <c r="T263" t="str">
        <f t="shared" si="1995"/>
        <v/>
      </c>
      <c r="U263" t="str">
        <f>IF($T263="","",IF(OR($BH263="",$BI263=""),"ONZEKER",IF(OR($BE263="",$BF263=""),"ONZEKER",IF(AND($BH263=$BE263+1,$BI263=$BF263),IF(OR(COUNTIF(#REF!,$B263)&gt;0,COUNTIF(#REF!,$B263)=0),"SKIP",IF(COUNTIFS(#REF!,$B263,#REF!,$T263)&gt;0,"OK","ONBEKEND")),IF(AND($BH263=$BE263,$BI263=$BF263+1),IF(OR(COUNTIF(#REF!,$D263)&gt;0,COUNTIF(#REF!,$D263)=0),"SKIP",IF(COUNTIFS(#REF!,$D263,#REF!,$T263)&gt;0,"OK","ONBEKEND")),"ONZEKER")))))</f>
        <v/>
      </c>
      <c r="V263" t="str">
        <f t="shared" si="1996"/>
        <v/>
      </c>
      <c r="W263" t="str">
        <f t="shared" si="1997"/>
        <v/>
      </c>
      <c r="X263" t="str">
        <f>IF($W263="","",IF(OR($BK263="",$BL263=""),"ONZEKER",IF(OR($BH263="",$BI263=""),"ONZEKER",IF(AND($BK263=$BH263+1,$BL263=$BI263),IF(OR(COUNTIF(#REF!,$B263)&gt;0,COUNTIF(#REF!,$B263)=0),"SKIP",IF(COUNTIFS(#REF!,$B263,#REF!,$W263)&gt;0,"OK","ONBEKEND")),IF(AND($BK263=$BH263,$BL263=$BI263+1),IF(OR(COUNTIF(#REF!,$D263)&gt;0,COUNTIF(#REF!,$D263)=0),"SKIP",IF(COUNTIFS(#REF!,$D263,#REF!,$W263)&gt;0,"OK","ONBEKEND")),"ONZEKER")))))</f>
        <v/>
      </c>
      <c r="Y263" t="str">
        <f t="shared" si="1998"/>
        <v/>
      </c>
      <c r="Z263" t="str">
        <f t="shared" si="1999"/>
        <v/>
      </c>
      <c r="AA263" t="str">
        <f>IF($Z263="","",IF(OR($BN263="",$BO263=""),"ONZEKER",IF(OR($BK263="",$BL263=""),"ONZEKER",IF(AND($BN263=$BK263+1,$BO263=$BL263),IF(OR(COUNTIF(#REF!,$B263)&gt;0,COUNTIF(#REF!,$B263)=0),"SKIP",IF(COUNTIFS(#REF!,$B263,#REF!,$Z263)&gt;0,"OK","ONBEKEND")),IF(AND($BN263=$BK263,$BO263=$BL263+1),IF(OR(COUNTIF(#REF!,$D263)&gt;0,COUNTIF(#REF!,$D263)=0),"SKIP",IF(COUNTIFS(#REF!,$D263,#REF!,$Z263)&gt;0,"OK","ONBEKEND")),"ONZEKER")))))</f>
        <v/>
      </c>
      <c r="AB263" t="str">
        <f t="shared" si="2000"/>
        <v/>
      </c>
      <c r="AC263" t="str">
        <f t="shared" si="2001"/>
        <v/>
      </c>
      <c r="AD263" t="str">
        <f>IF($AC263="","",IF(OR($BQ263="",$BR263=""),"ONZEKER",IF(OR($BN263="",$BO263=""),"ONZEKER",IF(AND($BQ263=$BN263+1,$BR263=$BO263),IF(OR(COUNTIF(#REF!,$B263)&gt;0,COUNTIF(#REF!,$B263)=0),"SKIP",IF(COUNTIFS(#REF!,$B263,#REF!,$AC263)&gt;0,"OK","ONBEKEND")),IF(AND($BQ263=$BN263,$BR263=$BO263+1),IF(OR(COUNTIF(#REF!,$D263)&gt;0,COUNTIF(#REF!,$D263)=0),"SKIP",IF(COUNTIFS(#REF!,$D263,#REF!,$AC263)&gt;0,"OK","ONBEKEND")),"ONZEKER")))))</f>
        <v/>
      </c>
      <c r="AE263" t="str">
        <f t="shared" si="2002"/>
        <v/>
      </c>
      <c r="AF263" t="str">
        <f t="shared" si="2003"/>
        <v/>
      </c>
      <c r="AG263" t="str">
        <f>IF($AF263="","",IF(OR($BT263="",$BU263=""),"ONZEKER",IF(OR($BQ263="",$BR263=""),"ONZEKER",IF(AND($BT263=$BQ263+1,$BU263=$BR263),IF(OR(COUNTIF(#REF!,$B263)&gt;0,COUNTIF(#REF!,$B263)=0),"SKIP",IF(COUNTIFS(#REF!,$B263,#REF!,$AF263)&gt;0,"OK","ONBEKEND")),IF(AND($BT263=$BQ263,$BU263=$BR263+1),IF(OR(COUNTIF(#REF!,$D263)&gt;0,COUNTIF(#REF!,$D263)=0),"SKIP",IF(COUNTIFS(#REF!,$D263,#REF!,$AF263)&gt;0,"OK","ONBEKEND")),"ONZEKER")))))</f>
        <v/>
      </c>
      <c r="AH263" t="str">
        <f t="shared" si="2004"/>
        <v/>
      </c>
      <c r="AI263" t="str">
        <f t="shared" si="2005"/>
        <v/>
      </c>
      <c r="AJ263" t="str">
        <f>IF($AI263="","",IF(OR($BW263="",$BX263=""),"ONZEKER",IF(OR($BT263="",$BU263=""),"ONZEKER",IF(AND($BW263=$BT263+1,$BX263=$BU263),IF(OR(COUNTIF(#REF!,$B263)&gt;0,COUNTIF(#REF!,$B263)=0),"SKIP",IF(COUNTIFS(#REF!,$B263,#REF!,$AI263)&gt;0,"OK","ONBEKEND")),IF(AND($BW263=$BT263,$BX263=$BU263+1),IF(OR(COUNTIF(#REF!,$D263)&gt;0,COUNTIF(#REF!,$D263)=0),"SKIP",IF(COUNTIFS(#REF!,$D263,#REF!,$AI263)&gt;0,"OK","ONBEKEND")),"ONZEKER")))))</f>
        <v/>
      </c>
      <c r="AK263" t="str">
        <f t="shared" si="2006"/>
        <v/>
      </c>
      <c r="AL263" t="str">
        <f t="shared" si="2007"/>
        <v/>
      </c>
      <c r="AM263" t="str">
        <f>IF($AL263="","",IF(OR($BZ263="",$CA263=""),"ONZEKER",IF(OR($BW263="",$BX263=""),"ONZEKER",IF(AND($BZ263=$BW263+1,$CA263=$BX263),IF(OR(COUNTIF(#REF!,$B263)&gt;0,COUNTIF(#REF!,$B263)=0),"SKIP",IF(COUNTIFS(#REF!,$B263,#REF!,$AL263)&gt;0,"OK","ONBEKEND")),IF(AND($BZ263=$BW263,$CA263=$BX263+1),IF(OR(COUNTIF(#REF!,$D263)&gt;0,COUNTIF(#REF!,$D263)=0),"SKIP",IF(COUNTIFS(#REF!,$D263,#REF!,$AL263)&gt;0,"OK","ONBEKEND")),"ONZEKER")))))</f>
        <v/>
      </c>
      <c r="AN263" t="str">
        <f t="shared" si="2008"/>
        <v/>
      </c>
      <c r="AO263" t="str">
        <f t="shared" si="2009"/>
        <v/>
      </c>
      <c r="AP263" t="str">
        <f>IF($AO263="","",IF(OR($CC263="",$CD263=""),"ONZEKER",IF(OR($BZ263="",$CA263=""),"ONZEKER",IF(AND($CC263=$BZ263+1,$CD263=$CA263),IF(OR(COUNTIF(#REF!,$B263)&gt;0,COUNTIF(#REF!,$B263)=0),"SKIP",IF(COUNTIFS(#REF!,$B263,#REF!,$AO263)&gt;0,"OK","ONBEKEND")),IF(AND($CC263=$BZ263,$CD263=$CA263+1),IF(OR(COUNTIF(#REF!,$D263)&gt;0,COUNTIF(#REF!,$D263)=0),"SKIP",IF(COUNTIFS(#REF!,$D263,#REF!,$AO263)&gt;0,"OK","ONBEKEND")),"ONZEKER")))))</f>
        <v/>
      </c>
      <c r="AQ263" t="str">
        <f t="shared" si="2010"/>
        <v/>
      </c>
      <c r="AR263" t="str">
        <f t="shared" si="2011"/>
        <v/>
      </c>
      <c r="AS263" t="str">
        <f>IF($AR263="","",IF(OR($CF263="",$CG263=""),"ONZEKER",IF(OR($CC263="",$CD263=""),"ONZEKER",IF(AND($CF263=$CC263+1,$CG263=$CD263),IF(OR(COUNTIF(#REF!,$B263)&gt;0,COUNTIF(#REF!,$B263)=0),"SKIP",IF(COUNTIFS(#REF!,$B263,#REF!,$AR263)&gt;0,"OK","ONBEKEND")),IF(AND($CF263=$CC263,$CG263=$CD263+1),IF(OR(COUNTIF(#REF!,$D263)&gt;0,COUNTIF(#REF!,$D263)=0),"SKIP",IF(COUNTIFS(#REF!,$D263,#REF!,$AR263)&gt;0,"OK","ONBEKEND")),"ONZEKER")))))</f>
        <v/>
      </c>
      <c r="AT263" t="str">
        <f t="shared" si="2012"/>
        <v/>
      </c>
      <c r="AU263" t="str">
        <f t="shared" si="2013"/>
        <v/>
      </c>
      <c r="AV263" t="str">
        <f t="shared" si="2014"/>
        <v/>
      </c>
      <c r="AW263" t="str">
        <f t="shared" si="2015"/>
        <v/>
      </c>
      <c r="AX263" t="str">
        <f t="shared" si="2016"/>
        <v/>
      </c>
      <c r="AY263" t="str">
        <f t="shared" si="2017"/>
        <v/>
      </c>
      <c r="AZ263" t="str">
        <f t="shared" si="2018"/>
        <v/>
      </c>
      <c r="BA263" t="str">
        <f t="shared" si="2019"/>
        <v/>
      </c>
      <c r="BB263" t="str">
        <f t="shared" si="2020"/>
        <v/>
      </c>
      <c r="BC263" t="str">
        <f t="shared" si="2021"/>
        <v/>
      </c>
      <c r="BD263" t="str">
        <f t="shared" si="1960"/>
        <v/>
      </c>
      <c r="BE263" t="str">
        <f t="shared" si="1961"/>
        <v/>
      </c>
      <c r="BF263" t="str">
        <f t="shared" si="1962"/>
        <v/>
      </c>
      <c r="BG263" t="str">
        <f t="shared" si="1963"/>
        <v/>
      </c>
      <c r="BH263" t="str">
        <f t="shared" si="1964"/>
        <v/>
      </c>
      <c r="BI263" t="str">
        <f t="shared" si="1965"/>
        <v/>
      </c>
      <c r="BJ263" t="str">
        <f t="shared" si="1966"/>
        <v/>
      </c>
      <c r="BK263" t="str">
        <f t="shared" si="1967"/>
        <v/>
      </c>
      <c r="BL263" t="str">
        <f t="shared" si="1968"/>
        <v/>
      </c>
      <c r="BM263" t="str">
        <f t="shared" si="1969"/>
        <v/>
      </c>
      <c r="BN263" t="str">
        <f t="shared" si="1970"/>
        <v/>
      </c>
      <c r="BO263" t="str">
        <f t="shared" si="1971"/>
        <v/>
      </c>
      <c r="BP263" t="str">
        <f t="shared" si="1972"/>
        <v/>
      </c>
      <c r="BQ263" t="str">
        <f t="shared" si="1973"/>
        <v/>
      </c>
      <c r="BR263" t="str">
        <f t="shared" si="1974"/>
        <v/>
      </c>
      <c r="BS263" t="str">
        <f t="shared" si="1975"/>
        <v/>
      </c>
      <c r="BT263" t="str">
        <f t="shared" si="1976"/>
        <v/>
      </c>
      <c r="BU263" t="str">
        <f t="shared" si="1977"/>
        <v/>
      </c>
      <c r="BV263" t="str">
        <f t="shared" si="1978"/>
        <v/>
      </c>
      <c r="BW263" t="str">
        <f t="shared" si="1979"/>
        <v/>
      </c>
      <c r="BX263" t="str">
        <f t="shared" si="1980"/>
        <v/>
      </c>
      <c r="BY263" t="str">
        <f t="shared" si="1981"/>
        <v/>
      </c>
      <c r="BZ263" t="str">
        <f t="shared" si="1982"/>
        <v/>
      </c>
      <c r="CA263" t="str">
        <f t="shared" si="1983"/>
        <v/>
      </c>
      <c r="CB263" t="str">
        <f t="shared" si="1984"/>
        <v/>
      </c>
      <c r="CC263" t="str">
        <f t="shared" si="1985"/>
        <v/>
      </c>
      <c r="CD263" t="str">
        <f t="shared" si="1986"/>
        <v/>
      </c>
      <c r="CE263" t="str">
        <f t="shared" si="1987"/>
        <v/>
      </c>
      <c r="CF263" t="str">
        <f t="shared" si="1988"/>
        <v/>
      </c>
      <c r="CG263" t="str">
        <f t="shared" si="1989"/>
        <v/>
      </c>
      <c r="CH263" t="str">
        <f t="shared" si="2022"/>
        <v/>
      </c>
      <c r="CI263" t="str">
        <f t="shared" si="2023"/>
        <v/>
      </c>
      <c r="CJ263" t="str">
        <f>IF($CI263="","",IF(OR($DW263="",$DX263=""),"ONZEKER",IF(OR($CF263="",$CG263=""),"ONZEKER",IF(AND($DW263=$CF263+1,$DX263=$CG263),IF(OR(COUNTIF(#REF!,$B263)&gt;0,COUNTIF(#REF!,$B263)=0),"SKIP",IF(COUNTIFS(#REF!,$B263,#REF!,$CI263)&gt;0,"OK","ONBEKEND")),IF(AND($DW263=$CF263,$DX263=$CG263+1),IF(OR(COUNTIF(#REF!,$D263)&gt;0,COUNTIF(#REF!,$D263)=0),"SKIP",IF(COUNTIFS(#REF!,$D263,#REF!,$CI263)&gt;0,"OK","ONBEKEND")),"ONZEKER")))))</f>
        <v/>
      </c>
      <c r="CK263" t="str">
        <f t="shared" si="2024"/>
        <v/>
      </c>
      <c r="CL263" t="str">
        <f t="shared" si="2025"/>
        <v/>
      </c>
      <c r="CM263" t="str">
        <f>IF($CL263="","",IF(OR($DZ263="",$EA263=""),"ONZEKER",IF(OR($DW263="",$DX263=""),"ONZEKER",IF(AND($DZ263=$DW263+1,$EA263=$DX263),IF(OR(COUNTIF(#REF!,$B263)&gt;0,COUNTIF(#REF!,$B263)=0),"SKIP",IF(COUNTIFS(#REF!,$B263,#REF!,$CL263)&gt;0,"OK","ONBEKEND")),IF(AND($DZ263=$DW263,$EA263=$DX263+1),IF(OR(COUNTIF(#REF!,$D263)&gt;0,COUNTIF(#REF!,$D263)=0),"SKIP",IF(COUNTIFS(#REF!,$D263,#REF!,$CL263)&gt;0,"OK","ONBEKEND")),"ONZEKER")))))</f>
        <v/>
      </c>
      <c r="CN263" t="str">
        <f t="shared" si="2026"/>
        <v/>
      </c>
      <c r="CO263" t="str">
        <f t="shared" si="2027"/>
        <v/>
      </c>
      <c r="CP263" t="str">
        <f>IF($CO263="","",IF(OR($EC263="",$ED263=""),"ONZEKER",IF(OR($DZ263="",$EA263=""),"ONZEKER",IF(AND($EC263=$DZ263+1,$ED263=$EA263),IF(OR(COUNTIF(#REF!,$B263)&gt;0,COUNTIF(#REF!,$B263)=0),"SKIP",IF(COUNTIFS(#REF!,$B263,#REF!,$CO263)&gt;0,"OK","ONBEKEND")),IF(AND($EC263=$DZ263,$ED263=$EA263+1),IF(OR(COUNTIF(#REF!,$D263)&gt;0,COUNTIF(#REF!,$D263)=0),"SKIP",IF(COUNTIFS(#REF!,$D263,#REF!,$CO263)&gt;0,"OK","ONBEKEND")),"ONZEKER")))))</f>
        <v/>
      </c>
      <c r="CQ263" t="str">
        <f t="shared" si="2028"/>
        <v/>
      </c>
      <c r="CR263" t="str">
        <f t="shared" si="2029"/>
        <v/>
      </c>
      <c r="CS263" t="str">
        <f>IF($CR263="","",IF(OR($EF263="",$EG263=""),"ONZEKER",IF(OR($EC263="",$ED263=""),"ONZEKER",IF(AND($EF263=$EC263+1,$EG263=$ED263),IF(OR(COUNTIF(#REF!,$B263)&gt;0,COUNTIF(#REF!,$B263)=0),"SKIP",IF(COUNTIFS(#REF!,$B263,#REF!,$CR263)&gt;0,"OK","ONBEKEND")),IF(AND($EF263=$EC263,$EG263=$ED263+1),IF(OR(COUNTIF(#REF!,$D263)&gt;0,COUNTIF(#REF!,$D263)=0),"SKIP",IF(COUNTIFS(#REF!,$D263,#REF!,$CR263)&gt;0,"OK","ONBEKEND")),"ONZEKER")))))</f>
        <v/>
      </c>
      <c r="CT263" t="str">
        <f t="shared" si="2030"/>
        <v/>
      </c>
      <c r="CU263" t="str">
        <f t="shared" si="2031"/>
        <v/>
      </c>
      <c r="CV263" t="str">
        <f>IF($CU263="","",IF(OR($EI263="",$EJ263=""),"ONZEKER",IF(OR($EF263="",$EG263=""),"ONZEKER",IF(AND($EI263=$EF263+1,$EJ263=$EG263),IF(OR(COUNTIF(#REF!,$B263)&gt;0,COUNTIF(#REF!,$B263)=0),"SKIP",IF(COUNTIFS(#REF!,$B263,#REF!,$CU263)&gt;0,"OK","ONBEKEND")),IF(AND($EI263=$EF263,$EJ263=$EG263+1),IF(OR(COUNTIF(#REF!,$D263)&gt;0,COUNTIF(#REF!,$D263)=0),"SKIP",IF(COUNTIFS(#REF!,$D263,#REF!,$CU263)&gt;0,"OK","ONBEKEND")),"ONZEKER")))))</f>
        <v/>
      </c>
      <c r="CW263" t="str">
        <f t="shared" si="2032"/>
        <v/>
      </c>
      <c r="CX263" t="str">
        <f t="shared" si="2033"/>
        <v/>
      </c>
      <c r="CY263" t="str">
        <f>IF($CX263="","",IF(OR($EL263="",$EM263=""),"ONZEKER",IF(OR($EI263="",$EJ263=""),"ONZEKER",IF(AND($EL263=$EI263+1,$EM263=$EJ263),IF(OR(COUNTIF(#REF!,$B263)&gt;0,COUNTIF(#REF!,$B263)=0),"SKIP",IF(COUNTIFS(#REF!,$B263,#REF!,$CX263)&gt;0,"OK","ONBEKEND")),IF(AND($EL263=$EI263,$EM263=$EJ263+1),IF(OR(COUNTIF(#REF!,$D263)&gt;0,COUNTIF(#REF!,$D263)=0),"SKIP",IF(COUNTIFS(#REF!,$D263,#REF!,$CX263)&gt;0,"OK","ONBEKEND")),"ONZEKER")))))</f>
        <v/>
      </c>
      <c r="CZ263" t="str">
        <f t="shared" si="2034"/>
        <v/>
      </c>
      <c r="DA263" t="str">
        <f t="shared" si="2035"/>
        <v/>
      </c>
      <c r="DB263" t="str">
        <f>IF($DA263="","",IF(OR($EO263="",$EP263=""),"ONZEKER",IF(OR($EL263="",$EM263=""),"ONZEKER",IF(AND($EO263=$EL263+1,$EP263=$EM263),IF(OR(COUNTIF(#REF!,$B263)&gt;0,COUNTIF(#REF!,$B263)=0),"SKIP",IF(COUNTIFS(#REF!,$B263,#REF!,$DA263)&gt;0,"OK","ONBEKEND")),IF(AND($EO263=$EL263,$EP263=$EM263+1),IF(OR(COUNTIF(#REF!,$D263)&gt;0,COUNTIF(#REF!,$D263)=0),"SKIP",IF(COUNTIFS(#REF!,$D263,#REF!,$DA263)&gt;0,"OK","ONBEKEND")),"ONZEKER")))))</f>
        <v/>
      </c>
      <c r="DC263" t="str">
        <f t="shared" si="2036"/>
        <v/>
      </c>
      <c r="DD263" t="str">
        <f t="shared" si="2037"/>
        <v/>
      </c>
      <c r="DE263" t="str">
        <f>IF($DD263="","",IF(OR($ER263="",$ES263=""),"ONZEKER",IF(OR($EO263="",$EP263=""),"ONZEKER",IF(AND($ER263=$EO263+1,$ES263=$EP263),IF(OR(COUNTIF(#REF!,$B263)&gt;0,COUNTIF(#REF!,$B263)=0),"SKIP",IF(COUNTIFS(#REF!,$B263,#REF!,$DD263)&gt;0,"OK","ONBEKEND")),IF(AND($ER263=$EO263,$ES263=$EP263+1),IF(OR(COUNTIF(#REF!,$D263)&gt;0,COUNTIF(#REF!,$D263)=0),"SKIP",IF(COUNTIFS(#REF!,$D263,#REF!,$DD263)&gt;0,"OK","ONBEKEND")),"ONZEKER")))))</f>
        <v/>
      </c>
      <c r="DF263" t="str">
        <f t="shared" si="2038"/>
        <v/>
      </c>
      <c r="DG263" t="str">
        <f t="shared" si="2039"/>
        <v/>
      </c>
      <c r="DH263" t="str">
        <f>IF($DG263="","",IF(OR($EU263="",$EV263=""),"ONZEKER",IF(OR($ER263="",$ES263=""),"ONZEKER",IF(AND($EU263=$ER263+1,$EV263=$ES263),IF(OR(COUNTIF(#REF!,$B263)&gt;0,COUNTIF(#REF!,$B263)=0),"SKIP",IF(COUNTIFS(#REF!,$B263,#REF!,$DG263)&gt;0,"OK","ONBEKEND")),IF(AND($EU263=$ER263,$EV263=$ES263+1),IF(OR(COUNTIF(#REF!,$D263)&gt;0,COUNTIF(#REF!,$D263)=0),"SKIP",IF(COUNTIFS(#REF!,$D263,#REF!,$DG263)&gt;0,"OK","ONBEKEND")),"ONZEKER")))))</f>
        <v/>
      </c>
      <c r="DI263" t="str">
        <f t="shared" si="2040"/>
        <v/>
      </c>
      <c r="DJ263" t="str">
        <f t="shared" si="2041"/>
        <v/>
      </c>
      <c r="DK263" t="str">
        <f>IF($DJ263="","",IF(OR($EX263="",$EY263=""),"ONZEKER",IF(OR($EU263="",$EV263=""),"ONZEKER",IF(AND($EX263=$EU263+1,$EY263=$EV263),IF(OR(COUNTIF(#REF!,$B263)&gt;0,COUNTIF(#REF!,$B263)=0),"SKIP",IF(COUNTIFS(#REF!,$B263,#REF!,$DJ263)&gt;0,"OK","ONBEKEND")),IF(AND($EX263=$EU263,$EY263=$EV263+1),IF(OR(COUNTIF(#REF!,$D263)&gt;0,COUNTIF(#REF!,$D263)=0),"SKIP",IF(COUNTIFS(#REF!,$D263,#REF!,$DJ263)&gt;0,"OK","ONBEKEND")),"ONZEKER")))))</f>
        <v/>
      </c>
      <c r="DL263" t="str">
        <f t="shared" si="2042"/>
        <v/>
      </c>
      <c r="DM263" t="str">
        <f t="shared" si="2043"/>
        <v/>
      </c>
      <c r="DN263" t="str">
        <f t="shared" si="2044"/>
        <v/>
      </c>
      <c r="DO263" t="str">
        <f t="shared" si="2045"/>
        <v/>
      </c>
      <c r="DP263" t="str">
        <f t="shared" si="2046"/>
        <v/>
      </c>
      <c r="DQ263" t="str">
        <f t="shared" si="2047"/>
        <v/>
      </c>
      <c r="DR263" t="str">
        <f t="shared" si="2048"/>
        <v/>
      </c>
      <c r="DS263" t="str">
        <f t="shared" si="2049"/>
        <v/>
      </c>
      <c r="DT263" t="str">
        <f t="shared" si="2050"/>
        <v/>
      </c>
      <c r="DU263" t="str">
        <f t="shared" si="2051"/>
        <v/>
      </c>
      <c r="DV263" t="str">
        <f t="shared" si="2052"/>
        <v/>
      </c>
      <c r="DW263" t="str">
        <f t="shared" si="2053"/>
        <v/>
      </c>
      <c r="DX263" t="str">
        <f t="shared" si="2054"/>
        <v/>
      </c>
      <c r="DY263" t="str">
        <f t="shared" si="2055"/>
        <v/>
      </c>
      <c r="DZ263" t="str">
        <f t="shared" si="2056"/>
        <v/>
      </c>
      <c r="EA263" t="str">
        <f t="shared" si="2057"/>
        <v/>
      </c>
      <c r="EB263" t="str">
        <f t="shared" si="2058"/>
        <v/>
      </c>
      <c r="EC263" t="str">
        <f t="shared" si="2059"/>
        <v/>
      </c>
      <c r="ED263" t="str">
        <f t="shared" si="2060"/>
        <v/>
      </c>
      <c r="EE263" t="str">
        <f t="shared" si="2061"/>
        <v/>
      </c>
      <c r="EF263" t="str">
        <f t="shared" si="2062"/>
        <v/>
      </c>
      <c r="EG263" t="str">
        <f t="shared" si="2063"/>
        <v/>
      </c>
      <c r="EH263" t="str">
        <f t="shared" si="2064"/>
        <v/>
      </c>
      <c r="EI263" t="str">
        <f t="shared" si="2065"/>
        <v/>
      </c>
      <c r="EJ263" t="str">
        <f t="shared" si="2066"/>
        <v/>
      </c>
      <c r="EK263" t="str">
        <f t="shared" si="2067"/>
        <v/>
      </c>
      <c r="EL263" t="str">
        <f t="shared" si="2068"/>
        <v/>
      </c>
      <c r="EM263" t="str">
        <f t="shared" si="2069"/>
        <v/>
      </c>
      <c r="EN263" t="str">
        <f t="shared" si="2070"/>
        <v/>
      </c>
      <c r="EO263" t="str">
        <f t="shared" si="2071"/>
        <v/>
      </c>
      <c r="EP263" t="str">
        <f t="shared" si="2072"/>
        <v/>
      </c>
      <c r="EQ263" t="str">
        <f t="shared" si="2073"/>
        <v/>
      </c>
      <c r="ER263" t="str">
        <f t="shared" si="2074"/>
        <v/>
      </c>
      <c r="ES263" t="str">
        <f t="shared" si="2075"/>
        <v/>
      </c>
      <c r="ET263" t="str">
        <f t="shared" si="2076"/>
        <v/>
      </c>
      <c r="EU263" t="str">
        <f t="shared" si="2077"/>
        <v/>
      </c>
      <c r="EV263" t="str">
        <f t="shared" si="2078"/>
        <v/>
      </c>
      <c r="EW263" t="str">
        <f t="shared" si="2079"/>
        <v/>
      </c>
      <c r="EX263" t="str">
        <f t="shared" si="2080"/>
        <v/>
      </c>
      <c r="EY263" t="str">
        <f t="shared" si="2081"/>
        <v/>
      </c>
    </row>
    <row r="264" spans="1:155" ht="13.9" customHeight="1" x14ac:dyDescent="0.25">
      <c r="A264" s="7"/>
      <c r="B264" s="17"/>
      <c r="C264" s="8"/>
      <c r="D264" s="17"/>
      <c r="E264" s="8"/>
      <c r="F264" s="18">
        <v>0</v>
      </c>
      <c r="G264" s="7" t="s">
        <v>147</v>
      </c>
      <c r="H264" s="18">
        <v>0</v>
      </c>
      <c r="I264" s="19">
        <v>0</v>
      </c>
      <c r="J264" s="7" t="s">
        <v>147</v>
      </c>
      <c r="K264" s="19">
        <v>0</v>
      </c>
      <c r="L264" s="9"/>
      <c r="M264" s="3" t="str">
        <f>IF($L264="","",IF($L264="DOELPUNTENMAKERS","",IF(AND(COUNTIF(#REF!,$B264)=0,COUNTIF(#REF!,$D264)=0),"OK",IF($O264&gt;20,"LET OP: meer dan 20 items (controle onvolledig)",IF((COUNTIF($R264:$AS264,"ONZEKER")+COUNTIF($CJ264:$DK264,"ONZEKER"))&gt;0,"LET OP: scoreverloop onduidelijk (controle beperkt)",IF((IF($AT264&lt;&gt;"",$AT264&amp;", ","")&amp;IF($AU264&lt;&gt;"",$AU264&amp;", ","")&amp;IF($AV264&lt;&gt;"",$AV264&amp;", ","")&amp;IF($AW264&lt;&gt;"",$AW264&amp;", ","")&amp;IF($AX264&lt;&gt;"",$AX264&amp;", ","")&amp;IF($AY264&lt;&gt;"",$AY264&amp;", ","")&amp;IF($AZ264&lt;&gt;"",$AZ264&amp;", ","")&amp;IF($BA264&lt;&gt;"",$BA264&amp;", ","")&amp;IF($BB264&lt;&gt;"",$BB264&amp;", ","")&amp;IF($BC264&lt;&gt;"",$BC264&amp;", ","")&amp;IF($DL264&lt;&gt;"",$DL264&amp;", ","")&amp;IF($DM264&lt;&gt;"",$DM264&amp;", ","")&amp;IF($DN264&lt;&gt;"",$DN264&amp;", ","")&amp;IF($DO264&lt;&gt;"",$DO264&amp;", ","")&amp;IF($DP264&lt;&gt;"",$DP264&amp;", ","")&amp;IF($DQ264&lt;&gt;"",$DQ264&amp;", ","")&amp;IF($DR264&lt;&gt;"",$DR264&amp;", ","")&amp;IF($DS264&lt;&gt;"",$DS264&amp;", ","")&amp;IF($DT264&lt;&gt;"",$DT264&amp;", ","")&amp;IF($DU264&lt;&gt;"",$DU264&amp;", ",""))="","OK","Onbekend: "&amp;LEFT((IF($AT264&lt;&gt;"",$AT264&amp;", ","")&amp;IF($AU264&lt;&gt;"",$AU264&amp;", ","")&amp;IF($AV264&lt;&gt;"",$AV264&amp;", ","")&amp;IF($AW264&lt;&gt;"",$AW264&amp;", ","")&amp;IF($AX264&lt;&gt;"",$AX264&amp;", ","")&amp;IF($AY264&lt;&gt;"",$AY264&amp;", ","")&amp;IF($AZ264&lt;&gt;"",$AZ264&amp;", ","")&amp;IF($BA264&lt;&gt;"",$BA264&amp;", ","")&amp;IF($BB264&lt;&gt;"",$BB264&amp;", ","")&amp;IF($BC264&lt;&gt;"",$BC264&amp;", ","")&amp;IF($DL264&lt;&gt;"",$DL264&amp;", ","")&amp;IF($DM264&lt;&gt;"",$DM264&amp;", ","")&amp;IF($DN264&lt;&gt;"",$DN264&amp;", ","")&amp;IF($DO264&lt;&gt;"",$DO264&amp;", ","")&amp;IF($DP264&lt;&gt;"",$DP264&amp;", ","")&amp;IF($DQ264&lt;&gt;"",$DQ264&amp;", ","")&amp;IF($DR264&lt;&gt;"",$DR264&amp;", ","")&amp;IF($DS264&lt;&gt;"",$DS264&amp;", ","")&amp;IF($DT264&lt;&gt;"",$DT264&amp;", ","")&amp;IF($DU264&lt;&gt;"",$DU264&amp;", ","")),LEN((IF($AT264&lt;&gt;"",$AT264&amp;", ","")&amp;IF($AU264&lt;&gt;"",$AU264&amp;", ","")&amp;IF($AV264&lt;&gt;"",$AV264&amp;", ","")&amp;IF($AW264&lt;&gt;"",$AW264&amp;", ","")&amp;IF($AX264&lt;&gt;"",$AX264&amp;", ","")&amp;IF($AY264&lt;&gt;"",$AY264&amp;", ","")&amp;IF($AZ264&lt;&gt;"",$AZ264&amp;", ","")&amp;IF($BA264&lt;&gt;"",$BA264&amp;", ","")&amp;IF($BB264&lt;&gt;"",$BB264&amp;", ","")&amp;IF($BC264&lt;&gt;"",$BC264&amp;", ","")&amp;IF($DL264&lt;&gt;"",$DL264&amp;", ","")&amp;IF($DM264&lt;&gt;"",$DM264&amp;", ","")&amp;IF($DN264&lt;&gt;"",$DN264&amp;", ","")&amp;IF($DO264&lt;&gt;"",$DO264&amp;", ","")&amp;IF($DP264&lt;&gt;"",$DP264&amp;", ","")&amp;IF($DQ264&lt;&gt;"",$DQ264&amp;", ","")&amp;IF($DR264&lt;&gt;"",$DR264&amp;", ","")&amp;IF($DS264&lt;&gt;"",$DS264&amp;", ","")&amp;IF($DT264&lt;&gt;"",$DT264&amp;", ","")&amp;IF($DU264&lt;&gt;"",$DU264&amp;", ","")))-2)))))))</f>
        <v/>
      </c>
      <c r="N264" t="str">
        <f t="shared" si="1990"/>
        <v/>
      </c>
      <c r="O264" t="str">
        <f t="shared" si="1991"/>
        <v/>
      </c>
      <c r="P264" t="str">
        <f t="shared" si="1992"/>
        <v/>
      </c>
      <c r="Q264" t="str">
        <f t="shared" si="1993"/>
        <v/>
      </c>
      <c r="R264" t="str">
        <f>IF($Q264="","",IF(OR($BE264="",$BF264=""),"ONZEKER",IF(AND($BE264=0+1,$BF264=0),IF(OR(COUNTIF(#REF!,$B264)&gt;0,COUNTIF(#REF!,$B264)=0),"SKIP",IF(COUNTIFS(#REF!,$B264,#REF!,$Q264)&gt;0,"OK","ONBEKEND")),IF(AND($BE264=0,$BF264=0+1),IF(OR(COUNTIF(#REF!,$D264)&gt;0,COUNTIF(#REF!,$D264)=0),"SKIP",IF(COUNTIFS(#REF!,$D264,#REF!,$Q264)&gt;0,"OK","ONBEKEND")),"ONZEKER"))))</f>
        <v/>
      </c>
      <c r="S264" t="str">
        <f t="shared" si="1994"/>
        <v/>
      </c>
      <c r="T264" t="str">
        <f t="shared" si="1995"/>
        <v/>
      </c>
      <c r="U264" t="str">
        <f>IF($T264="","",IF(OR($BH264="",$BI264=""),"ONZEKER",IF(OR($BE264="",$BF264=""),"ONZEKER",IF(AND($BH264=$BE264+1,$BI264=$BF264),IF(OR(COUNTIF(#REF!,$B264)&gt;0,COUNTIF(#REF!,$B264)=0),"SKIP",IF(COUNTIFS(#REF!,$B264,#REF!,$T264)&gt;0,"OK","ONBEKEND")),IF(AND($BH264=$BE264,$BI264=$BF264+1),IF(OR(COUNTIF(#REF!,$D264)&gt;0,COUNTIF(#REF!,$D264)=0),"SKIP",IF(COUNTIFS(#REF!,$D264,#REF!,$T264)&gt;0,"OK","ONBEKEND")),"ONZEKER")))))</f>
        <v/>
      </c>
      <c r="V264" t="str">
        <f t="shared" si="1996"/>
        <v/>
      </c>
      <c r="W264" t="str">
        <f t="shared" si="1997"/>
        <v/>
      </c>
      <c r="X264" t="str">
        <f>IF($W264="","",IF(OR($BK264="",$BL264=""),"ONZEKER",IF(OR($BH264="",$BI264=""),"ONZEKER",IF(AND($BK264=$BH264+1,$BL264=$BI264),IF(OR(COUNTIF(#REF!,$B264)&gt;0,COUNTIF(#REF!,$B264)=0),"SKIP",IF(COUNTIFS(#REF!,$B264,#REF!,$W264)&gt;0,"OK","ONBEKEND")),IF(AND($BK264=$BH264,$BL264=$BI264+1),IF(OR(COUNTIF(#REF!,$D264)&gt;0,COUNTIF(#REF!,$D264)=0),"SKIP",IF(COUNTIFS(#REF!,$D264,#REF!,$W264)&gt;0,"OK","ONBEKEND")),"ONZEKER")))))</f>
        <v/>
      </c>
      <c r="Y264" t="str">
        <f t="shared" si="1998"/>
        <v/>
      </c>
      <c r="Z264" t="str">
        <f t="shared" si="1999"/>
        <v/>
      </c>
      <c r="AA264" t="str">
        <f>IF($Z264="","",IF(OR($BN264="",$BO264=""),"ONZEKER",IF(OR($BK264="",$BL264=""),"ONZEKER",IF(AND($BN264=$BK264+1,$BO264=$BL264),IF(OR(COUNTIF(#REF!,$B264)&gt;0,COUNTIF(#REF!,$B264)=0),"SKIP",IF(COUNTIFS(#REF!,$B264,#REF!,$Z264)&gt;0,"OK","ONBEKEND")),IF(AND($BN264=$BK264,$BO264=$BL264+1),IF(OR(COUNTIF(#REF!,$D264)&gt;0,COUNTIF(#REF!,$D264)=0),"SKIP",IF(COUNTIFS(#REF!,$D264,#REF!,$Z264)&gt;0,"OK","ONBEKEND")),"ONZEKER")))))</f>
        <v/>
      </c>
      <c r="AB264" t="str">
        <f t="shared" si="2000"/>
        <v/>
      </c>
      <c r="AC264" t="str">
        <f t="shared" si="2001"/>
        <v/>
      </c>
      <c r="AD264" t="str">
        <f>IF($AC264="","",IF(OR($BQ264="",$BR264=""),"ONZEKER",IF(OR($BN264="",$BO264=""),"ONZEKER",IF(AND($BQ264=$BN264+1,$BR264=$BO264),IF(OR(COUNTIF(#REF!,$B264)&gt;0,COUNTIF(#REF!,$B264)=0),"SKIP",IF(COUNTIFS(#REF!,$B264,#REF!,$AC264)&gt;0,"OK","ONBEKEND")),IF(AND($BQ264=$BN264,$BR264=$BO264+1),IF(OR(COUNTIF(#REF!,$D264)&gt;0,COUNTIF(#REF!,$D264)=0),"SKIP",IF(COUNTIFS(#REF!,$D264,#REF!,$AC264)&gt;0,"OK","ONBEKEND")),"ONZEKER")))))</f>
        <v/>
      </c>
      <c r="AE264" t="str">
        <f t="shared" si="2002"/>
        <v/>
      </c>
      <c r="AF264" t="str">
        <f t="shared" si="2003"/>
        <v/>
      </c>
      <c r="AG264" t="str">
        <f>IF($AF264="","",IF(OR($BT264="",$BU264=""),"ONZEKER",IF(OR($BQ264="",$BR264=""),"ONZEKER",IF(AND($BT264=$BQ264+1,$BU264=$BR264),IF(OR(COUNTIF(#REF!,$B264)&gt;0,COUNTIF(#REF!,$B264)=0),"SKIP",IF(COUNTIFS(#REF!,$B264,#REF!,$AF264)&gt;0,"OK","ONBEKEND")),IF(AND($BT264=$BQ264,$BU264=$BR264+1),IF(OR(COUNTIF(#REF!,$D264)&gt;0,COUNTIF(#REF!,$D264)=0),"SKIP",IF(COUNTIFS(#REF!,$D264,#REF!,$AF264)&gt;0,"OK","ONBEKEND")),"ONZEKER")))))</f>
        <v/>
      </c>
      <c r="AH264" t="str">
        <f t="shared" si="2004"/>
        <v/>
      </c>
      <c r="AI264" t="str">
        <f t="shared" si="2005"/>
        <v/>
      </c>
      <c r="AJ264" t="str">
        <f>IF($AI264="","",IF(OR($BW264="",$BX264=""),"ONZEKER",IF(OR($BT264="",$BU264=""),"ONZEKER",IF(AND($BW264=$BT264+1,$BX264=$BU264),IF(OR(COUNTIF(#REF!,$B264)&gt;0,COUNTIF(#REF!,$B264)=0),"SKIP",IF(COUNTIFS(#REF!,$B264,#REF!,$AI264)&gt;0,"OK","ONBEKEND")),IF(AND($BW264=$BT264,$BX264=$BU264+1),IF(OR(COUNTIF(#REF!,$D264)&gt;0,COUNTIF(#REF!,$D264)=0),"SKIP",IF(COUNTIFS(#REF!,$D264,#REF!,$AI264)&gt;0,"OK","ONBEKEND")),"ONZEKER")))))</f>
        <v/>
      </c>
      <c r="AK264" t="str">
        <f t="shared" si="2006"/>
        <v/>
      </c>
      <c r="AL264" t="str">
        <f t="shared" si="2007"/>
        <v/>
      </c>
      <c r="AM264" t="str">
        <f>IF($AL264="","",IF(OR($BZ264="",$CA264=""),"ONZEKER",IF(OR($BW264="",$BX264=""),"ONZEKER",IF(AND($BZ264=$BW264+1,$CA264=$BX264),IF(OR(COUNTIF(#REF!,$B264)&gt;0,COUNTIF(#REF!,$B264)=0),"SKIP",IF(COUNTIFS(#REF!,$B264,#REF!,$AL264)&gt;0,"OK","ONBEKEND")),IF(AND($BZ264=$BW264,$CA264=$BX264+1),IF(OR(COUNTIF(#REF!,$D264)&gt;0,COUNTIF(#REF!,$D264)=0),"SKIP",IF(COUNTIFS(#REF!,$D264,#REF!,$AL264)&gt;0,"OK","ONBEKEND")),"ONZEKER")))))</f>
        <v/>
      </c>
      <c r="AN264" t="str">
        <f t="shared" si="2008"/>
        <v/>
      </c>
      <c r="AO264" t="str">
        <f t="shared" si="2009"/>
        <v/>
      </c>
      <c r="AP264" t="str">
        <f>IF($AO264="","",IF(OR($CC264="",$CD264=""),"ONZEKER",IF(OR($BZ264="",$CA264=""),"ONZEKER",IF(AND($CC264=$BZ264+1,$CD264=$CA264),IF(OR(COUNTIF(#REF!,$B264)&gt;0,COUNTIF(#REF!,$B264)=0),"SKIP",IF(COUNTIFS(#REF!,$B264,#REF!,$AO264)&gt;0,"OK","ONBEKEND")),IF(AND($CC264=$BZ264,$CD264=$CA264+1),IF(OR(COUNTIF(#REF!,$D264)&gt;0,COUNTIF(#REF!,$D264)=0),"SKIP",IF(COUNTIFS(#REF!,$D264,#REF!,$AO264)&gt;0,"OK","ONBEKEND")),"ONZEKER")))))</f>
        <v/>
      </c>
      <c r="AQ264" t="str">
        <f t="shared" si="2010"/>
        <v/>
      </c>
      <c r="AR264" t="str">
        <f t="shared" si="2011"/>
        <v/>
      </c>
      <c r="AS264" t="str">
        <f>IF($AR264="","",IF(OR($CF264="",$CG264=""),"ONZEKER",IF(OR($CC264="",$CD264=""),"ONZEKER",IF(AND($CF264=$CC264+1,$CG264=$CD264),IF(OR(COUNTIF(#REF!,$B264)&gt;0,COUNTIF(#REF!,$B264)=0),"SKIP",IF(COUNTIFS(#REF!,$B264,#REF!,$AR264)&gt;0,"OK","ONBEKEND")),IF(AND($CF264=$CC264,$CG264=$CD264+1),IF(OR(COUNTIF(#REF!,$D264)&gt;0,COUNTIF(#REF!,$D264)=0),"SKIP",IF(COUNTIFS(#REF!,$D264,#REF!,$AR264)&gt;0,"OK","ONBEKEND")),"ONZEKER")))))</f>
        <v/>
      </c>
      <c r="AT264" t="str">
        <f t="shared" si="2012"/>
        <v/>
      </c>
      <c r="AU264" t="str">
        <f t="shared" si="2013"/>
        <v/>
      </c>
      <c r="AV264" t="str">
        <f t="shared" si="2014"/>
        <v/>
      </c>
      <c r="AW264" t="str">
        <f t="shared" si="2015"/>
        <v/>
      </c>
      <c r="AX264" t="str">
        <f t="shared" si="2016"/>
        <v/>
      </c>
      <c r="AY264" t="str">
        <f t="shared" si="2017"/>
        <v/>
      </c>
      <c r="AZ264" t="str">
        <f t="shared" si="2018"/>
        <v/>
      </c>
      <c r="BA264" t="str">
        <f t="shared" si="2019"/>
        <v/>
      </c>
      <c r="BB264" t="str">
        <f t="shared" si="2020"/>
        <v/>
      </c>
      <c r="BC264" t="str">
        <f t="shared" si="2021"/>
        <v/>
      </c>
      <c r="BD264" t="str">
        <f t="shared" si="1960"/>
        <v/>
      </c>
      <c r="BE264" t="str">
        <f t="shared" si="1961"/>
        <v/>
      </c>
      <c r="BF264" t="str">
        <f t="shared" si="1962"/>
        <v/>
      </c>
      <c r="BG264" t="str">
        <f t="shared" si="1963"/>
        <v/>
      </c>
      <c r="BH264" t="str">
        <f t="shared" si="1964"/>
        <v/>
      </c>
      <c r="BI264" t="str">
        <f t="shared" si="1965"/>
        <v/>
      </c>
      <c r="BJ264" t="str">
        <f t="shared" si="1966"/>
        <v/>
      </c>
      <c r="BK264" t="str">
        <f t="shared" si="1967"/>
        <v/>
      </c>
      <c r="BL264" t="str">
        <f t="shared" si="1968"/>
        <v/>
      </c>
      <c r="BM264" t="str">
        <f t="shared" si="1969"/>
        <v/>
      </c>
      <c r="BN264" t="str">
        <f t="shared" si="1970"/>
        <v/>
      </c>
      <c r="BO264" t="str">
        <f t="shared" si="1971"/>
        <v/>
      </c>
      <c r="BP264" t="str">
        <f t="shared" si="1972"/>
        <v/>
      </c>
      <c r="BQ264" t="str">
        <f t="shared" si="1973"/>
        <v/>
      </c>
      <c r="BR264" t="str">
        <f t="shared" si="1974"/>
        <v/>
      </c>
      <c r="BS264" t="str">
        <f t="shared" si="1975"/>
        <v/>
      </c>
      <c r="BT264" t="str">
        <f t="shared" si="1976"/>
        <v/>
      </c>
      <c r="BU264" t="str">
        <f t="shared" si="1977"/>
        <v/>
      </c>
      <c r="BV264" t="str">
        <f t="shared" si="1978"/>
        <v/>
      </c>
      <c r="BW264" t="str">
        <f t="shared" si="1979"/>
        <v/>
      </c>
      <c r="BX264" t="str">
        <f t="shared" si="1980"/>
        <v/>
      </c>
      <c r="BY264" t="str">
        <f t="shared" si="1981"/>
        <v/>
      </c>
      <c r="BZ264" t="str">
        <f t="shared" si="1982"/>
        <v/>
      </c>
      <c r="CA264" t="str">
        <f t="shared" si="1983"/>
        <v/>
      </c>
      <c r="CB264" t="str">
        <f t="shared" si="1984"/>
        <v/>
      </c>
      <c r="CC264" t="str">
        <f t="shared" si="1985"/>
        <v/>
      </c>
      <c r="CD264" t="str">
        <f t="shared" si="1986"/>
        <v/>
      </c>
      <c r="CE264" t="str">
        <f t="shared" si="1987"/>
        <v/>
      </c>
      <c r="CF264" t="str">
        <f t="shared" si="1988"/>
        <v/>
      </c>
      <c r="CG264" t="str">
        <f t="shared" si="1989"/>
        <v/>
      </c>
      <c r="CH264" t="str">
        <f t="shared" si="2022"/>
        <v/>
      </c>
      <c r="CI264" t="str">
        <f t="shared" si="2023"/>
        <v/>
      </c>
      <c r="CJ264" t="str">
        <f>IF($CI264="","",IF(OR($DW264="",$DX264=""),"ONZEKER",IF(OR($CF264="",$CG264=""),"ONZEKER",IF(AND($DW264=$CF264+1,$DX264=$CG264),IF(OR(COUNTIF(#REF!,$B264)&gt;0,COUNTIF(#REF!,$B264)=0),"SKIP",IF(COUNTIFS(#REF!,$B264,#REF!,$CI264)&gt;0,"OK","ONBEKEND")),IF(AND($DW264=$CF264,$DX264=$CG264+1),IF(OR(COUNTIF(#REF!,$D264)&gt;0,COUNTIF(#REF!,$D264)=0),"SKIP",IF(COUNTIFS(#REF!,$D264,#REF!,$CI264)&gt;0,"OK","ONBEKEND")),"ONZEKER")))))</f>
        <v/>
      </c>
      <c r="CK264" t="str">
        <f t="shared" si="2024"/>
        <v/>
      </c>
      <c r="CL264" t="str">
        <f t="shared" si="2025"/>
        <v/>
      </c>
      <c r="CM264" t="str">
        <f>IF($CL264="","",IF(OR($DZ264="",$EA264=""),"ONZEKER",IF(OR($DW264="",$DX264=""),"ONZEKER",IF(AND($DZ264=$DW264+1,$EA264=$DX264),IF(OR(COUNTIF(#REF!,$B264)&gt;0,COUNTIF(#REF!,$B264)=0),"SKIP",IF(COUNTIFS(#REF!,$B264,#REF!,$CL264)&gt;0,"OK","ONBEKEND")),IF(AND($DZ264=$DW264,$EA264=$DX264+1),IF(OR(COUNTIF(#REF!,$D264)&gt;0,COUNTIF(#REF!,$D264)=0),"SKIP",IF(COUNTIFS(#REF!,$D264,#REF!,$CL264)&gt;0,"OK","ONBEKEND")),"ONZEKER")))))</f>
        <v/>
      </c>
      <c r="CN264" t="str">
        <f t="shared" si="2026"/>
        <v/>
      </c>
      <c r="CO264" t="str">
        <f t="shared" si="2027"/>
        <v/>
      </c>
      <c r="CP264" t="str">
        <f>IF($CO264="","",IF(OR($EC264="",$ED264=""),"ONZEKER",IF(OR($DZ264="",$EA264=""),"ONZEKER",IF(AND($EC264=$DZ264+1,$ED264=$EA264),IF(OR(COUNTIF(#REF!,$B264)&gt;0,COUNTIF(#REF!,$B264)=0),"SKIP",IF(COUNTIFS(#REF!,$B264,#REF!,$CO264)&gt;0,"OK","ONBEKEND")),IF(AND($EC264=$DZ264,$ED264=$EA264+1),IF(OR(COUNTIF(#REF!,$D264)&gt;0,COUNTIF(#REF!,$D264)=0),"SKIP",IF(COUNTIFS(#REF!,$D264,#REF!,$CO264)&gt;0,"OK","ONBEKEND")),"ONZEKER")))))</f>
        <v/>
      </c>
      <c r="CQ264" t="str">
        <f t="shared" si="2028"/>
        <v/>
      </c>
      <c r="CR264" t="str">
        <f t="shared" si="2029"/>
        <v/>
      </c>
      <c r="CS264" t="str">
        <f>IF($CR264="","",IF(OR($EF264="",$EG264=""),"ONZEKER",IF(OR($EC264="",$ED264=""),"ONZEKER",IF(AND($EF264=$EC264+1,$EG264=$ED264),IF(OR(COUNTIF(#REF!,$B264)&gt;0,COUNTIF(#REF!,$B264)=0),"SKIP",IF(COUNTIFS(#REF!,$B264,#REF!,$CR264)&gt;0,"OK","ONBEKEND")),IF(AND($EF264=$EC264,$EG264=$ED264+1),IF(OR(COUNTIF(#REF!,$D264)&gt;0,COUNTIF(#REF!,$D264)=0),"SKIP",IF(COUNTIFS(#REF!,$D264,#REF!,$CR264)&gt;0,"OK","ONBEKEND")),"ONZEKER")))))</f>
        <v/>
      </c>
      <c r="CT264" t="str">
        <f t="shared" si="2030"/>
        <v/>
      </c>
      <c r="CU264" t="str">
        <f t="shared" si="2031"/>
        <v/>
      </c>
      <c r="CV264" t="str">
        <f>IF($CU264="","",IF(OR($EI264="",$EJ264=""),"ONZEKER",IF(OR($EF264="",$EG264=""),"ONZEKER",IF(AND($EI264=$EF264+1,$EJ264=$EG264),IF(OR(COUNTIF(#REF!,$B264)&gt;0,COUNTIF(#REF!,$B264)=0),"SKIP",IF(COUNTIFS(#REF!,$B264,#REF!,$CU264)&gt;0,"OK","ONBEKEND")),IF(AND($EI264=$EF264,$EJ264=$EG264+1),IF(OR(COUNTIF(#REF!,$D264)&gt;0,COUNTIF(#REF!,$D264)=0),"SKIP",IF(COUNTIFS(#REF!,$D264,#REF!,$CU264)&gt;0,"OK","ONBEKEND")),"ONZEKER")))))</f>
        <v/>
      </c>
      <c r="CW264" t="str">
        <f t="shared" si="2032"/>
        <v/>
      </c>
      <c r="CX264" t="str">
        <f t="shared" si="2033"/>
        <v/>
      </c>
      <c r="CY264" t="str">
        <f>IF($CX264="","",IF(OR($EL264="",$EM264=""),"ONZEKER",IF(OR($EI264="",$EJ264=""),"ONZEKER",IF(AND($EL264=$EI264+1,$EM264=$EJ264),IF(OR(COUNTIF(#REF!,$B264)&gt;0,COUNTIF(#REF!,$B264)=0),"SKIP",IF(COUNTIFS(#REF!,$B264,#REF!,$CX264)&gt;0,"OK","ONBEKEND")),IF(AND($EL264=$EI264,$EM264=$EJ264+1),IF(OR(COUNTIF(#REF!,$D264)&gt;0,COUNTIF(#REF!,$D264)=0),"SKIP",IF(COUNTIFS(#REF!,$D264,#REF!,$CX264)&gt;0,"OK","ONBEKEND")),"ONZEKER")))))</f>
        <v/>
      </c>
      <c r="CZ264" t="str">
        <f t="shared" si="2034"/>
        <v/>
      </c>
      <c r="DA264" t="str">
        <f t="shared" si="2035"/>
        <v/>
      </c>
      <c r="DB264" t="str">
        <f>IF($DA264="","",IF(OR($EO264="",$EP264=""),"ONZEKER",IF(OR($EL264="",$EM264=""),"ONZEKER",IF(AND($EO264=$EL264+1,$EP264=$EM264),IF(OR(COUNTIF(#REF!,$B264)&gt;0,COUNTIF(#REF!,$B264)=0),"SKIP",IF(COUNTIFS(#REF!,$B264,#REF!,$DA264)&gt;0,"OK","ONBEKEND")),IF(AND($EO264=$EL264,$EP264=$EM264+1),IF(OR(COUNTIF(#REF!,$D264)&gt;0,COUNTIF(#REF!,$D264)=0),"SKIP",IF(COUNTIFS(#REF!,$D264,#REF!,$DA264)&gt;0,"OK","ONBEKEND")),"ONZEKER")))))</f>
        <v/>
      </c>
      <c r="DC264" t="str">
        <f t="shared" si="2036"/>
        <v/>
      </c>
      <c r="DD264" t="str">
        <f t="shared" si="2037"/>
        <v/>
      </c>
      <c r="DE264" t="str">
        <f>IF($DD264="","",IF(OR($ER264="",$ES264=""),"ONZEKER",IF(OR($EO264="",$EP264=""),"ONZEKER",IF(AND($ER264=$EO264+1,$ES264=$EP264),IF(OR(COUNTIF(#REF!,$B264)&gt;0,COUNTIF(#REF!,$B264)=0),"SKIP",IF(COUNTIFS(#REF!,$B264,#REF!,$DD264)&gt;0,"OK","ONBEKEND")),IF(AND($ER264=$EO264,$ES264=$EP264+1),IF(OR(COUNTIF(#REF!,$D264)&gt;0,COUNTIF(#REF!,$D264)=0),"SKIP",IF(COUNTIFS(#REF!,$D264,#REF!,$DD264)&gt;0,"OK","ONBEKEND")),"ONZEKER")))))</f>
        <v/>
      </c>
      <c r="DF264" t="str">
        <f t="shared" si="2038"/>
        <v/>
      </c>
      <c r="DG264" t="str">
        <f t="shared" si="2039"/>
        <v/>
      </c>
      <c r="DH264" t="str">
        <f>IF($DG264="","",IF(OR($EU264="",$EV264=""),"ONZEKER",IF(OR($ER264="",$ES264=""),"ONZEKER",IF(AND($EU264=$ER264+1,$EV264=$ES264),IF(OR(COUNTIF(#REF!,$B264)&gt;0,COUNTIF(#REF!,$B264)=0),"SKIP",IF(COUNTIFS(#REF!,$B264,#REF!,$DG264)&gt;0,"OK","ONBEKEND")),IF(AND($EU264=$ER264,$EV264=$ES264+1),IF(OR(COUNTIF(#REF!,$D264)&gt;0,COUNTIF(#REF!,$D264)=0),"SKIP",IF(COUNTIFS(#REF!,$D264,#REF!,$DG264)&gt;0,"OK","ONBEKEND")),"ONZEKER")))))</f>
        <v/>
      </c>
      <c r="DI264" t="str">
        <f t="shared" si="2040"/>
        <v/>
      </c>
      <c r="DJ264" t="str">
        <f t="shared" si="2041"/>
        <v/>
      </c>
      <c r="DK264" t="str">
        <f>IF($DJ264="","",IF(OR($EX264="",$EY264=""),"ONZEKER",IF(OR($EU264="",$EV264=""),"ONZEKER",IF(AND($EX264=$EU264+1,$EY264=$EV264),IF(OR(COUNTIF(#REF!,$B264)&gt;0,COUNTIF(#REF!,$B264)=0),"SKIP",IF(COUNTIFS(#REF!,$B264,#REF!,$DJ264)&gt;0,"OK","ONBEKEND")),IF(AND($EX264=$EU264,$EY264=$EV264+1),IF(OR(COUNTIF(#REF!,$D264)&gt;0,COUNTIF(#REF!,$D264)=0),"SKIP",IF(COUNTIFS(#REF!,$D264,#REF!,$DJ264)&gt;0,"OK","ONBEKEND")),"ONZEKER")))))</f>
        <v/>
      </c>
      <c r="DL264" t="str">
        <f t="shared" si="2042"/>
        <v/>
      </c>
      <c r="DM264" t="str">
        <f t="shared" si="2043"/>
        <v/>
      </c>
      <c r="DN264" t="str">
        <f t="shared" si="2044"/>
        <v/>
      </c>
      <c r="DO264" t="str">
        <f t="shared" si="2045"/>
        <v/>
      </c>
      <c r="DP264" t="str">
        <f t="shared" si="2046"/>
        <v/>
      </c>
      <c r="DQ264" t="str">
        <f t="shared" si="2047"/>
        <v/>
      </c>
      <c r="DR264" t="str">
        <f t="shared" si="2048"/>
        <v/>
      </c>
      <c r="DS264" t="str">
        <f t="shared" si="2049"/>
        <v/>
      </c>
      <c r="DT264" t="str">
        <f t="shared" si="2050"/>
        <v/>
      </c>
      <c r="DU264" t="str">
        <f t="shared" si="2051"/>
        <v/>
      </c>
      <c r="DV264" t="str">
        <f t="shared" si="2052"/>
        <v/>
      </c>
      <c r="DW264" t="str">
        <f t="shared" si="2053"/>
        <v/>
      </c>
      <c r="DX264" t="str">
        <f t="shared" si="2054"/>
        <v/>
      </c>
      <c r="DY264" t="str">
        <f t="shared" si="2055"/>
        <v/>
      </c>
      <c r="DZ264" t="str">
        <f t="shared" si="2056"/>
        <v/>
      </c>
      <c r="EA264" t="str">
        <f t="shared" si="2057"/>
        <v/>
      </c>
      <c r="EB264" t="str">
        <f t="shared" si="2058"/>
        <v/>
      </c>
      <c r="EC264" t="str">
        <f t="shared" si="2059"/>
        <v/>
      </c>
      <c r="ED264" t="str">
        <f t="shared" si="2060"/>
        <v/>
      </c>
      <c r="EE264" t="str">
        <f t="shared" si="2061"/>
        <v/>
      </c>
      <c r="EF264" t="str">
        <f t="shared" si="2062"/>
        <v/>
      </c>
      <c r="EG264" t="str">
        <f t="shared" si="2063"/>
        <v/>
      </c>
      <c r="EH264" t="str">
        <f t="shared" si="2064"/>
        <v/>
      </c>
      <c r="EI264" t="str">
        <f t="shared" si="2065"/>
        <v/>
      </c>
      <c r="EJ264" t="str">
        <f t="shared" si="2066"/>
        <v/>
      </c>
      <c r="EK264" t="str">
        <f t="shared" si="2067"/>
        <v/>
      </c>
      <c r="EL264" t="str">
        <f t="shared" si="2068"/>
        <v/>
      </c>
      <c r="EM264" t="str">
        <f t="shared" si="2069"/>
        <v/>
      </c>
      <c r="EN264" t="str">
        <f t="shared" si="2070"/>
        <v/>
      </c>
      <c r="EO264" t="str">
        <f t="shared" si="2071"/>
        <v/>
      </c>
      <c r="EP264" t="str">
        <f t="shared" si="2072"/>
        <v/>
      </c>
      <c r="EQ264" t="str">
        <f t="shared" si="2073"/>
        <v/>
      </c>
      <c r="ER264" t="str">
        <f t="shared" si="2074"/>
        <v/>
      </c>
      <c r="ES264" t="str">
        <f t="shared" si="2075"/>
        <v/>
      </c>
      <c r="ET264" t="str">
        <f t="shared" si="2076"/>
        <v/>
      </c>
      <c r="EU264" t="str">
        <f t="shared" si="2077"/>
        <v/>
      </c>
      <c r="EV264" t="str">
        <f t="shared" si="2078"/>
        <v/>
      </c>
      <c r="EW264" t="str">
        <f t="shared" si="2079"/>
        <v/>
      </c>
      <c r="EX264" t="str">
        <f t="shared" si="2080"/>
        <v/>
      </c>
      <c r="EY264" t="str">
        <f t="shared" si="2081"/>
        <v/>
      </c>
    </row>
    <row r="265" spans="1:155" ht="13.9" customHeight="1" x14ac:dyDescent="0.25">
      <c r="A265" s="7"/>
      <c r="B265" s="17"/>
      <c r="C265" s="8"/>
      <c r="D265" s="17"/>
      <c r="E265" s="8"/>
      <c r="F265" s="18">
        <v>0</v>
      </c>
      <c r="G265" s="7" t="s">
        <v>147</v>
      </c>
      <c r="H265" s="18">
        <v>0</v>
      </c>
      <c r="I265" s="19">
        <v>0</v>
      </c>
      <c r="J265" s="7" t="s">
        <v>147</v>
      </c>
      <c r="K265" s="19">
        <v>0</v>
      </c>
      <c r="L265" s="9"/>
      <c r="M265" s="3" t="str">
        <f>IF($L265="","",IF($L265="DOELPUNTENMAKERS","",IF(AND(COUNTIF(#REF!,$B265)=0,COUNTIF(#REF!,$D265)=0),"OK",IF($O265&gt;20,"LET OP: meer dan 20 items (controle onvolledig)",IF((COUNTIF($R265:$AS265,"ONZEKER")+COUNTIF($CJ265:$DK265,"ONZEKER"))&gt;0,"LET OP: scoreverloop onduidelijk (controle beperkt)",IF((IF($AT265&lt;&gt;"",$AT265&amp;", ","")&amp;IF($AU265&lt;&gt;"",$AU265&amp;", ","")&amp;IF($AV265&lt;&gt;"",$AV265&amp;", ","")&amp;IF($AW265&lt;&gt;"",$AW265&amp;", ","")&amp;IF($AX265&lt;&gt;"",$AX265&amp;", ","")&amp;IF($AY265&lt;&gt;"",$AY265&amp;", ","")&amp;IF($AZ265&lt;&gt;"",$AZ265&amp;", ","")&amp;IF($BA265&lt;&gt;"",$BA265&amp;", ","")&amp;IF($BB265&lt;&gt;"",$BB265&amp;", ","")&amp;IF($BC265&lt;&gt;"",$BC265&amp;", ","")&amp;IF($DL265&lt;&gt;"",$DL265&amp;", ","")&amp;IF($DM265&lt;&gt;"",$DM265&amp;", ","")&amp;IF($DN265&lt;&gt;"",$DN265&amp;", ","")&amp;IF($DO265&lt;&gt;"",$DO265&amp;", ","")&amp;IF($DP265&lt;&gt;"",$DP265&amp;", ","")&amp;IF($DQ265&lt;&gt;"",$DQ265&amp;", ","")&amp;IF($DR265&lt;&gt;"",$DR265&amp;", ","")&amp;IF($DS265&lt;&gt;"",$DS265&amp;", ","")&amp;IF($DT265&lt;&gt;"",$DT265&amp;", ","")&amp;IF($DU265&lt;&gt;"",$DU265&amp;", ",""))="","OK","Onbekend: "&amp;LEFT((IF($AT265&lt;&gt;"",$AT265&amp;", ","")&amp;IF($AU265&lt;&gt;"",$AU265&amp;", ","")&amp;IF($AV265&lt;&gt;"",$AV265&amp;", ","")&amp;IF($AW265&lt;&gt;"",$AW265&amp;", ","")&amp;IF($AX265&lt;&gt;"",$AX265&amp;", ","")&amp;IF($AY265&lt;&gt;"",$AY265&amp;", ","")&amp;IF($AZ265&lt;&gt;"",$AZ265&amp;", ","")&amp;IF($BA265&lt;&gt;"",$BA265&amp;", ","")&amp;IF($BB265&lt;&gt;"",$BB265&amp;", ","")&amp;IF($BC265&lt;&gt;"",$BC265&amp;", ","")&amp;IF($DL265&lt;&gt;"",$DL265&amp;", ","")&amp;IF($DM265&lt;&gt;"",$DM265&amp;", ","")&amp;IF($DN265&lt;&gt;"",$DN265&amp;", ","")&amp;IF($DO265&lt;&gt;"",$DO265&amp;", ","")&amp;IF($DP265&lt;&gt;"",$DP265&amp;", ","")&amp;IF($DQ265&lt;&gt;"",$DQ265&amp;", ","")&amp;IF($DR265&lt;&gt;"",$DR265&amp;", ","")&amp;IF($DS265&lt;&gt;"",$DS265&amp;", ","")&amp;IF($DT265&lt;&gt;"",$DT265&amp;", ","")&amp;IF($DU265&lt;&gt;"",$DU265&amp;", ","")),LEN((IF($AT265&lt;&gt;"",$AT265&amp;", ","")&amp;IF($AU265&lt;&gt;"",$AU265&amp;", ","")&amp;IF($AV265&lt;&gt;"",$AV265&amp;", ","")&amp;IF($AW265&lt;&gt;"",$AW265&amp;", ","")&amp;IF($AX265&lt;&gt;"",$AX265&amp;", ","")&amp;IF($AY265&lt;&gt;"",$AY265&amp;", ","")&amp;IF($AZ265&lt;&gt;"",$AZ265&amp;", ","")&amp;IF($BA265&lt;&gt;"",$BA265&amp;", ","")&amp;IF($BB265&lt;&gt;"",$BB265&amp;", ","")&amp;IF($BC265&lt;&gt;"",$BC265&amp;", ","")&amp;IF($DL265&lt;&gt;"",$DL265&amp;", ","")&amp;IF($DM265&lt;&gt;"",$DM265&amp;", ","")&amp;IF($DN265&lt;&gt;"",$DN265&amp;", ","")&amp;IF($DO265&lt;&gt;"",$DO265&amp;", ","")&amp;IF($DP265&lt;&gt;"",$DP265&amp;", ","")&amp;IF($DQ265&lt;&gt;"",$DQ265&amp;", ","")&amp;IF($DR265&lt;&gt;"",$DR265&amp;", ","")&amp;IF($DS265&lt;&gt;"",$DS265&amp;", ","")&amp;IF($DT265&lt;&gt;"",$DT265&amp;", ","")&amp;IF($DU265&lt;&gt;"",$DU265&amp;", ","")))-2)))))))</f>
        <v/>
      </c>
      <c r="N265" t="str">
        <f t="shared" si="1990"/>
        <v/>
      </c>
      <c r="O265" t="str">
        <f t="shared" si="1991"/>
        <v/>
      </c>
      <c r="P265" t="str">
        <f t="shared" si="1992"/>
        <v/>
      </c>
      <c r="Q265" t="str">
        <f t="shared" si="1993"/>
        <v/>
      </c>
      <c r="R265" t="str">
        <f>IF($Q265="","",IF(OR($BE265="",$BF265=""),"ONZEKER",IF(AND($BE265=0+1,$BF265=0),IF(OR(COUNTIF(#REF!,$B265)&gt;0,COUNTIF(#REF!,$B265)=0),"SKIP",IF(COUNTIFS(#REF!,$B265,#REF!,$Q265)&gt;0,"OK","ONBEKEND")),IF(AND($BE265=0,$BF265=0+1),IF(OR(COUNTIF(#REF!,$D265)&gt;0,COUNTIF(#REF!,$D265)=0),"SKIP",IF(COUNTIFS(#REF!,$D265,#REF!,$Q265)&gt;0,"OK","ONBEKEND")),"ONZEKER"))))</f>
        <v/>
      </c>
      <c r="S265" t="str">
        <f t="shared" si="1994"/>
        <v/>
      </c>
      <c r="T265" t="str">
        <f t="shared" si="1995"/>
        <v/>
      </c>
      <c r="U265" t="str">
        <f>IF($T265="","",IF(OR($BH265="",$BI265=""),"ONZEKER",IF(OR($BE265="",$BF265=""),"ONZEKER",IF(AND($BH265=$BE265+1,$BI265=$BF265),IF(OR(COUNTIF(#REF!,$B265)&gt;0,COUNTIF(#REF!,$B265)=0),"SKIP",IF(COUNTIFS(#REF!,$B265,#REF!,$T265)&gt;0,"OK","ONBEKEND")),IF(AND($BH265=$BE265,$BI265=$BF265+1),IF(OR(COUNTIF(#REF!,$D265)&gt;0,COUNTIF(#REF!,$D265)=0),"SKIP",IF(COUNTIFS(#REF!,$D265,#REF!,$T265)&gt;0,"OK","ONBEKEND")),"ONZEKER")))))</f>
        <v/>
      </c>
      <c r="V265" t="str">
        <f t="shared" si="1996"/>
        <v/>
      </c>
      <c r="W265" t="str">
        <f t="shared" si="1997"/>
        <v/>
      </c>
      <c r="X265" t="str">
        <f>IF($W265="","",IF(OR($BK265="",$BL265=""),"ONZEKER",IF(OR($BH265="",$BI265=""),"ONZEKER",IF(AND($BK265=$BH265+1,$BL265=$BI265),IF(OR(COUNTIF(#REF!,$B265)&gt;0,COUNTIF(#REF!,$B265)=0),"SKIP",IF(COUNTIFS(#REF!,$B265,#REF!,$W265)&gt;0,"OK","ONBEKEND")),IF(AND($BK265=$BH265,$BL265=$BI265+1),IF(OR(COUNTIF(#REF!,$D265)&gt;0,COUNTIF(#REF!,$D265)=0),"SKIP",IF(COUNTIFS(#REF!,$D265,#REF!,$W265)&gt;0,"OK","ONBEKEND")),"ONZEKER")))))</f>
        <v/>
      </c>
      <c r="Y265" t="str">
        <f t="shared" si="1998"/>
        <v/>
      </c>
      <c r="Z265" t="str">
        <f t="shared" si="1999"/>
        <v/>
      </c>
      <c r="AA265" t="str">
        <f>IF($Z265="","",IF(OR($BN265="",$BO265=""),"ONZEKER",IF(OR($BK265="",$BL265=""),"ONZEKER",IF(AND($BN265=$BK265+1,$BO265=$BL265),IF(OR(COUNTIF(#REF!,$B265)&gt;0,COUNTIF(#REF!,$B265)=0),"SKIP",IF(COUNTIFS(#REF!,$B265,#REF!,$Z265)&gt;0,"OK","ONBEKEND")),IF(AND($BN265=$BK265,$BO265=$BL265+1),IF(OR(COUNTIF(#REF!,$D265)&gt;0,COUNTIF(#REF!,$D265)=0),"SKIP",IF(COUNTIFS(#REF!,$D265,#REF!,$Z265)&gt;0,"OK","ONBEKEND")),"ONZEKER")))))</f>
        <v/>
      </c>
      <c r="AB265" t="str">
        <f t="shared" si="2000"/>
        <v/>
      </c>
      <c r="AC265" t="str">
        <f t="shared" si="2001"/>
        <v/>
      </c>
      <c r="AD265" t="str">
        <f>IF($AC265="","",IF(OR($BQ265="",$BR265=""),"ONZEKER",IF(OR($BN265="",$BO265=""),"ONZEKER",IF(AND($BQ265=$BN265+1,$BR265=$BO265),IF(OR(COUNTIF(#REF!,$B265)&gt;0,COUNTIF(#REF!,$B265)=0),"SKIP",IF(COUNTIFS(#REF!,$B265,#REF!,$AC265)&gt;0,"OK","ONBEKEND")),IF(AND($BQ265=$BN265,$BR265=$BO265+1),IF(OR(COUNTIF(#REF!,$D265)&gt;0,COUNTIF(#REF!,$D265)=0),"SKIP",IF(COUNTIFS(#REF!,$D265,#REF!,$AC265)&gt;0,"OK","ONBEKEND")),"ONZEKER")))))</f>
        <v/>
      </c>
      <c r="AE265" t="str">
        <f t="shared" si="2002"/>
        <v/>
      </c>
      <c r="AF265" t="str">
        <f t="shared" si="2003"/>
        <v/>
      </c>
      <c r="AG265" t="str">
        <f>IF($AF265="","",IF(OR($BT265="",$BU265=""),"ONZEKER",IF(OR($BQ265="",$BR265=""),"ONZEKER",IF(AND($BT265=$BQ265+1,$BU265=$BR265),IF(OR(COUNTIF(#REF!,$B265)&gt;0,COUNTIF(#REF!,$B265)=0),"SKIP",IF(COUNTIFS(#REF!,$B265,#REF!,$AF265)&gt;0,"OK","ONBEKEND")),IF(AND($BT265=$BQ265,$BU265=$BR265+1),IF(OR(COUNTIF(#REF!,$D265)&gt;0,COUNTIF(#REF!,$D265)=0),"SKIP",IF(COUNTIFS(#REF!,$D265,#REF!,$AF265)&gt;0,"OK","ONBEKEND")),"ONZEKER")))))</f>
        <v/>
      </c>
      <c r="AH265" t="str">
        <f t="shared" si="2004"/>
        <v/>
      </c>
      <c r="AI265" t="str">
        <f t="shared" si="2005"/>
        <v/>
      </c>
      <c r="AJ265" t="str">
        <f>IF($AI265="","",IF(OR($BW265="",$BX265=""),"ONZEKER",IF(OR($BT265="",$BU265=""),"ONZEKER",IF(AND($BW265=$BT265+1,$BX265=$BU265),IF(OR(COUNTIF(#REF!,$B265)&gt;0,COUNTIF(#REF!,$B265)=0),"SKIP",IF(COUNTIFS(#REF!,$B265,#REF!,$AI265)&gt;0,"OK","ONBEKEND")),IF(AND($BW265=$BT265,$BX265=$BU265+1),IF(OR(COUNTIF(#REF!,$D265)&gt;0,COUNTIF(#REF!,$D265)=0),"SKIP",IF(COUNTIFS(#REF!,$D265,#REF!,$AI265)&gt;0,"OK","ONBEKEND")),"ONZEKER")))))</f>
        <v/>
      </c>
      <c r="AK265" t="str">
        <f t="shared" si="2006"/>
        <v/>
      </c>
      <c r="AL265" t="str">
        <f t="shared" si="2007"/>
        <v/>
      </c>
      <c r="AM265" t="str">
        <f>IF($AL265="","",IF(OR($BZ265="",$CA265=""),"ONZEKER",IF(OR($BW265="",$BX265=""),"ONZEKER",IF(AND($BZ265=$BW265+1,$CA265=$BX265),IF(OR(COUNTIF(#REF!,$B265)&gt;0,COUNTIF(#REF!,$B265)=0),"SKIP",IF(COUNTIFS(#REF!,$B265,#REF!,$AL265)&gt;0,"OK","ONBEKEND")),IF(AND($BZ265=$BW265,$CA265=$BX265+1),IF(OR(COUNTIF(#REF!,$D265)&gt;0,COUNTIF(#REF!,$D265)=0),"SKIP",IF(COUNTIFS(#REF!,$D265,#REF!,$AL265)&gt;0,"OK","ONBEKEND")),"ONZEKER")))))</f>
        <v/>
      </c>
      <c r="AN265" t="str">
        <f t="shared" si="2008"/>
        <v/>
      </c>
      <c r="AO265" t="str">
        <f t="shared" si="2009"/>
        <v/>
      </c>
      <c r="AP265" t="str">
        <f>IF($AO265="","",IF(OR($CC265="",$CD265=""),"ONZEKER",IF(OR($BZ265="",$CA265=""),"ONZEKER",IF(AND($CC265=$BZ265+1,$CD265=$CA265),IF(OR(COUNTIF(#REF!,$B265)&gt;0,COUNTIF(#REF!,$B265)=0),"SKIP",IF(COUNTIFS(#REF!,$B265,#REF!,$AO265)&gt;0,"OK","ONBEKEND")),IF(AND($CC265=$BZ265,$CD265=$CA265+1),IF(OR(COUNTIF(#REF!,$D265)&gt;0,COUNTIF(#REF!,$D265)=0),"SKIP",IF(COUNTIFS(#REF!,$D265,#REF!,$AO265)&gt;0,"OK","ONBEKEND")),"ONZEKER")))))</f>
        <v/>
      </c>
      <c r="AQ265" t="str">
        <f t="shared" si="2010"/>
        <v/>
      </c>
      <c r="AR265" t="str">
        <f t="shared" si="2011"/>
        <v/>
      </c>
      <c r="AS265" t="str">
        <f>IF($AR265="","",IF(OR($CF265="",$CG265=""),"ONZEKER",IF(OR($CC265="",$CD265=""),"ONZEKER",IF(AND($CF265=$CC265+1,$CG265=$CD265),IF(OR(COUNTIF(#REF!,$B265)&gt;0,COUNTIF(#REF!,$B265)=0),"SKIP",IF(COUNTIFS(#REF!,$B265,#REF!,$AR265)&gt;0,"OK","ONBEKEND")),IF(AND($CF265=$CC265,$CG265=$CD265+1),IF(OR(COUNTIF(#REF!,$D265)&gt;0,COUNTIF(#REF!,$D265)=0),"SKIP",IF(COUNTIFS(#REF!,$D265,#REF!,$AR265)&gt;0,"OK","ONBEKEND")),"ONZEKER")))))</f>
        <v/>
      </c>
      <c r="AT265" t="str">
        <f t="shared" si="2012"/>
        <v/>
      </c>
      <c r="AU265" t="str">
        <f t="shared" si="2013"/>
        <v/>
      </c>
      <c r="AV265" t="str">
        <f t="shared" si="2014"/>
        <v/>
      </c>
      <c r="AW265" t="str">
        <f t="shared" si="2015"/>
        <v/>
      </c>
      <c r="AX265" t="str">
        <f t="shared" si="2016"/>
        <v/>
      </c>
      <c r="AY265" t="str">
        <f t="shared" si="2017"/>
        <v/>
      </c>
      <c r="AZ265" t="str">
        <f t="shared" si="2018"/>
        <v/>
      </c>
      <c r="BA265" t="str">
        <f t="shared" si="2019"/>
        <v/>
      </c>
      <c r="BB265" t="str">
        <f t="shared" si="2020"/>
        <v/>
      </c>
      <c r="BC265" t="str">
        <f t="shared" si="2021"/>
        <v/>
      </c>
      <c r="BD265" t="str">
        <f t="shared" si="1960"/>
        <v/>
      </c>
      <c r="BE265" t="str">
        <f t="shared" si="1961"/>
        <v/>
      </c>
      <c r="BF265" t="str">
        <f t="shared" si="1962"/>
        <v/>
      </c>
      <c r="BG265" t="str">
        <f t="shared" si="1963"/>
        <v/>
      </c>
      <c r="BH265" t="str">
        <f t="shared" si="1964"/>
        <v/>
      </c>
      <c r="BI265" t="str">
        <f t="shared" si="1965"/>
        <v/>
      </c>
      <c r="BJ265" t="str">
        <f t="shared" si="1966"/>
        <v/>
      </c>
      <c r="BK265" t="str">
        <f t="shared" si="1967"/>
        <v/>
      </c>
      <c r="BL265" t="str">
        <f t="shared" si="1968"/>
        <v/>
      </c>
      <c r="BM265" t="str">
        <f t="shared" si="1969"/>
        <v/>
      </c>
      <c r="BN265" t="str">
        <f t="shared" si="1970"/>
        <v/>
      </c>
      <c r="BO265" t="str">
        <f t="shared" si="1971"/>
        <v/>
      </c>
      <c r="BP265" t="str">
        <f t="shared" si="1972"/>
        <v/>
      </c>
      <c r="BQ265" t="str">
        <f t="shared" si="1973"/>
        <v/>
      </c>
      <c r="BR265" t="str">
        <f t="shared" si="1974"/>
        <v/>
      </c>
      <c r="BS265" t="str">
        <f t="shared" si="1975"/>
        <v/>
      </c>
      <c r="BT265" t="str">
        <f t="shared" si="1976"/>
        <v/>
      </c>
      <c r="BU265" t="str">
        <f t="shared" si="1977"/>
        <v/>
      </c>
      <c r="BV265" t="str">
        <f t="shared" si="1978"/>
        <v/>
      </c>
      <c r="BW265" t="str">
        <f t="shared" si="1979"/>
        <v/>
      </c>
      <c r="BX265" t="str">
        <f t="shared" si="1980"/>
        <v/>
      </c>
      <c r="BY265" t="str">
        <f t="shared" si="1981"/>
        <v/>
      </c>
      <c r="BZ265" t="str">
        <f t="shared" si="1982"/>
        <v/>
      </c>
      <c r="CA265" t="str">
        <f t="shared" si="1983"/>
        <v/>
      </c>
      <c r="CB265" t="str">
        <f t="shared" si="1984"/>
        <v/>
      </c>
      <c r="CC265" t="str">
        <f t="shared" si="1985"/>
        <v/>
      </c>
      <c r="CD265" t="str">
        <f t="shared" si="1986"/>
        <v/>
      </c>
      <c r="CE265" t="str">
        <f t="shared" si="1987"/>
        <v/>
      </c>
      <c r="CF265" t="str">
        <f t="shared" si="1988"/>
        <v/>
      </c>
      <c r="CG265" t="str">
        <f t="shared" si="1989"/>
        <v/>
      </c>
      <c r="CH265" t="str">
        <f t="shared" si="2022"/>
        <v/>
      </c>
      <c r="CI265" t="str">
        <f t="shared" si="2023"/>
        <v/>
      </c>
      <c r="CJ265" t="str">
        <f>IF($CI265="","",IF(OR($DW265="",$DX265=""),"ONZEKER",IF(OR($CF265="",$CG265=""),"ONZEKER",IF(AND($DW265=$CF265+1,$DX265=$CG265),IF(OR(COUNTIF(#REF!,$B265)&gt;0,COUNTIF(#REF!,$B265)=0),"SKIP",IF(COUNTIFS(#REF!,$B265,#REF!,$CI265)&gt;0,"OK","ONBEKEND")),IF(AND($DW265=$CF265,$DX265=$CG265+1),IF(OR(COUNTIF(#REF!,$D265)&gt;0,COUNTIF(#REF!,$D265)=0),"SKIP",IF(COUNTIFS(#REF!,$D265,#REF!,$CI265)&gt;0,"OK","ONBEKEND")),"ONZEKER")))))</f>
        <v/>
      </c>
      <c r="CK265" t="str">
        <f t="shared" si="2024"/>
        <v/>
      </c>
      <c r="CL265" t="str">
        <f t="shared" si="2025"/>
        <v/>
      </c>
      <c r="CM265" t="str">
        <f>IF($CL265="","",IF(OR($DZ265="",$EA265=""),"ONZEKER",IF(OR($DW265="",$DX265=""),"ONZEKER",IF(AND($DZ265=$DW265+1,$EA265=$DX265),IF(OR(COUNTIF(#REF!,$B265)&gt;0,COUNTIF(#REF!,$B265)=0),"SKIP",IF(COUNTIFS(#REF!,$B265,#REF!,$CL265)&gt;0,"OK","ONBEKEND")),IF(AND($DZ265=$DW265,$EA265=$DX265+1),IF(OR(COUNTIF(#REF!,$D265)&gt;0,COUNTIF(#REF!,$D265)=0),"SKIP",IF(COUNTIFS(#REF!,$D265,#REF!,$CL265)&gt;0,"OK","ONBEKEND")),"ONZEKER")))))</f>
        <v/>
      </c>
      <c r="CN265" t="str">
        <f t="shared" si="2026"/>
        <v/>
      </c>
      <c r="CO265" t="str">
        <f t="shared" si="2027"/>
        <v/>
      </c>
      <c r="CP265" t="str">
        <f>IF($CO265="","",IF(OR($EC265="",$ED265=""),"ONZEKER",IF(OR($DZ265="",$EA265=""),"ONZEKER",IF(AND($EC265=$DZ265+1,$ED265=$EA265),IF(OR(COUNTIF(#REF!,$B265)&gt;0,COUNTIF(#REF!,$B265)=0),"SKIP",IF(COUNTIFS(#REF!,$B265,#REF!,$CO265)&gt;0,"OK","ONBEKEND")),IF(AND($EC265=$DZ265,$ED265=$EA265+1),IF(OR(COUNTIF(#REF!,$D265)&gt;0,COUNTIF(#REF!,$D265)=0),"SKIP",IF(COUNTIFS(#REF!,$D265,#REF!,$CO265)&gt;0,"OK","ONBEKEND")),"ONZEKER")))))</f>
        <v/>
      </c>
      <c r="CQ265" t="str">
        <f t="shared" si="2028"/>
        <v/>
      </c>
      <c r="CR265" t="str">
        <f t="shared" si="2029"/>
        <v/>
      </c>
      <c r="CS265" t="str">
        <f>IF($CR265="","",IF(OR($EF265="",$EG265=""),"ONZEKER",IF(OR($EC265="",$ED265=""),"ONZEKER",IF(AND($EF265=$EC265+1,$EG265=$ED265),IF(OR(COUNTIF(#REF!,$B265)&gt;0,COUNTIF(#REF!,$B265)=0),"SKIP",IF(COUNTIFS(#REF!,$B265,#REF!,$CR265)&gt;0,"OK","ONBEKEND")),IF(AND($EF265=$EC265,$EG265=$ED265+1),IF(OR(COUNTIF(#REF!,$D265)&gt;0,COUNTIF(#REF!,$D265)=0),"SKIP",IF(COUNTIFS(#REF!,$D265,#REF!,$CR265)&gt;0,"OK","ONBEKEND")),"ONZEKER")))))</f>
        <v/>
      </c>
      <c r="CT265" t="str">
        <f t="shared" si="2030"/>
        <v/>
      </c>
      <c r="CU265" t="str">
        <f t="shared" si="2031"/>
        <v/>
      </c>
      <c r="CV265" t="str">
        <f>IF($CU265="","",IF(OR($EI265="",$EJ265=""),"ONZEKER",IF(OR($EF265="",$EG265=""),"ONZEKER",IF(AND($EI265=$EF265+1,$EJ265=$EG265),IF(OR(COUNTIF(#REF!,$B265)&gt;0,COUNTIF(#REF!,$B265)=0),"SKIP",IF(COUNTIFS(#REF!,$B265,#REF!,$CU265)&gt;0,"OK","ONBEKEND")),IF(AND($EI265=$EF265,$EJ265=$EG265+1),IF(OR(COUNTIF(#REF!,$D265)&gt;0,COUNTIF(#REF!,$D265)=0),"SKIP",IF(COUNTIFS(#REF!,$D265,#REF!,$CU265)&gt;0,"OK","ONBEKEND")),"ONZEKER")))))</f>
        <v/>
      </c>
      <c r="CW265" t="str">
        <f t="shared" si="2032"/>
        <v/>
      </c>
      <c r="CX265" t="str">
        <f t="shared" si="2033"/>
        <v/>
      </c>
      <c r="CY265" t="str">
        <f>IF($CX265="","",IF(OR($EL265="",$EM265=""),"ONZEKER",IF(OR($EI265="",$EJ265=""),"ONZEKER",IF(AND($EL265=$EI265+1,$EM265=$EJ265),IF(OR(COUNTIF(#REF!,$B265)&gt;0,COUNTIF(#REF!,$B265)=0),"SKIP",IF(COUNTIFS(#REF!,$B265,#REF!,$CX265)&gt;0,"OK","ONBEKEND")),IF(AND($EL265=$EI265,$EM265=$EJ265+1),IF(OR(COUNTIF(#REF!,$D265)&gt;0,COUNTIF(#REF!,$D265)=0),"SKIP",IF(COUNTIFS(#REF!,$D265,#REF!,$CX265)&gt;0,"OK","ONBEKEND")),"ONZEKER")))))</f>
        <v/>
      </c>
      <c r="CZ265" t="str">
        <f t="shared" si="2034"/>
        <v/>
      </c>
      <c r="DA265" t="str">
        <f t="shared" si="2035"/>
        <v/>
      </c>
      <c r="DB265" t="str">
        <f>IF($DA265="","",IF(OR($EO265="",$EP265=""),"ONZEKER",IF(OR($EL265="",$EM265=""),"ONZEKER",IF(AND($EO265=$EL265+1,$EP265=$EM265),IF(OR(COUNTIF(#REF!,$B265)&gt;0,COUNTIF(#REF!,$B265)=0),"SKIP",IF(COUNTIFS(#REF!,$B265,#REF!,$DA265)&gt;0,"OK","ONBEKEND")),IF(AND($EO265=$EL265,$EP265=$EM265+1),IF(OR(COUNTIF(#REF!,$D265)&gt;0,COUNTIF(#REF!,$D265)=0),"SKIP",IF(COUNTIFS(#REF!,$D265,#REF!,$DA265)&gt;0,"OK","ONBEKEND")),"ONZEKER")))))</f>
        <v/>
      </c>
      <c r="DC265" t="str">
        <f t="shared" si="2036"/>
        <v/>
      </c>
      <c r="DD265" t="str">
        <f t="shared" si="2037"/>
        <v/>
      </c>
      <c r="DE265" t="str">
        <f>IF($DD265="","",IF(OR($ER265="",$ES265=""),"ONZEKER",IF(OR($EO265="",$EP265=""),"ONZEKER",IF(AND($ER265=$EO265+1,$ES265=$EP265),IF(OR(COUNTIF(#REF!,$B265)&gt;0,COUNTIF(#REF!,$B265)=0),"SKIP",IF(COUNTIFS(#REF!,$B265,#REF!,$DD265)&gt;0,"OK","ONBEKEND")),IF(AND($ER265=$EO265,$ES265=$EP265+1),IF(OR(COUNTIF(#REF!,$D265)&gt;0,COUNTIF(#REF!,$D265)=0),"SKIP",IF(COUNTIFS(#REF!,$D265,#REF!,$DD265)&gt;0,"OK","ONBEKEND")),"ONZEKER")))))</f>
        <v/>
      </c>
      <c r="DF265" t="str">
        <f t="shared" si="2038"/>
        <v/>
      </c>
      <c r="DG265" t="str">
        <f t="shared" si="2039"/>
        <v/>
      </c>
      <c r="DH265" t="str">
        <f>IF($DG265="","",IF(OR($EU265="",$EV265=""),"ONZEKER",IF(OR($ER265="",$ES265=""),"ONZEKER",IF(AND($EU265=$ER265+1,$EV265=$ES265),IF(OR(COUNTIF(#REF!,$B265)&gt;0,COUNTIF(#REF!,$B265)=0),"SKIP",IF(COUNTIFS(#REF!,$B265,#REF!,$DG265)&gt;0,"OK","ONBEKEND")),IF(AND($EU265=$ER265,$EV265=$ES265+1),IF(OR(COUNTIF(#REF!,$D265)&gt;0,COUNTIF(#REF!,$D265)=0),"SKIP",IF(COUNTIFS(#REF!,$D265,#REF!,$DG265)&gt;0,"OK","ONBEKEND")),"ONZEKER")))))</f>
        <v/>
      </c>
      <c r="DI265" t="str">
        <f t="shared" si="2040"/>
        <v/>
      </c>
      <c r="DJ265" t="str">
        <f t="shared" si="2041"/>
        <v/>
      </c>
      <c r="DK265" t="str">
        <f>IF($DJ265="","",IF(OR($EX265="",$EY265=""),"ONZEKER",IF(OR($EU265="",$EV265=""),"ONZEKER",IF(AND($EX265=$EU265+1,$EY265=$EV265),IF(OR(COUNTIF(#REF!,$B265)&gt;0,COUNTIF(#REF!,$B265)=0),"SKIP",IF(COUNTIFS(#REF!,$B265,#REF!,$DJ265)&gt;0,"OK","ONBEKEND")),IF(AND($EX265=$EU265,$EY265=$EV265+1),IF(OR(COUNTIF(#REF!,$D265)&gt;0,COUNTIF(#REF!,$D265)=0),"SKIP",IF(COUNTIFS(#REF!,$D265,#REF!,$DJ265)&gt;0,"OK","ONBEKEND")),"ONZEKER")))))</f>
        <v/>
      </c>
      <c r="DL265" t="str">
        <f t="shared" si="2042"/>
        <v/>
      </c>
      <c r="DM265" t="str">
        <f t="shared" si="2043"/>
        <v/>
      </c>
      <c r="DN265" t="str">
        <f t="shared" si="2044"/>
        <v/>
      </c>
      <c r="DO265" t="str">
        <f t="shared" si="2045"/>
        <v/>
      </c>
      <c r="DP265" t="str">
        <f t="shared" si="2046"/>
        <v/>
      </c>
      <c r="DQ265" t="str">
        <f t="shared" si="2047"/>
        <v/>
      </c>
      <c r="DR265" t="str">
        <f t="shared" si="2048"/>
        <v/>
      </c>
      <c r="DS265" t="str">
        <f t="shared" si="2049"/>
        <v/>
      </c>
      <c r="DT265" t="str">
        <f t="shared" si="2050"/>
        <v/>
      </c>
      <c r="DU265" t="str">
        <f t="shared" si="2051"/>
        <v/>
      </c>
      <c r="DV265" t="str">
        <f t="shared" si="2052"/>
        <v/>
      </c>
      <c r="DW265" t="str">
        <f t="shared" si="2053"/>
        <v/>
      </c>
      <c r="DX265" t="str">
        <f t="shared" si="2054"/>
        <v/>
      </c>
      <c r="DY265" t="str">
        <f t="shared" si="2055"/>
        <v/>
      </c>
      <c r="DZ265" t="str">
        <f t="shared" si="2056"/>
        <v/>
      </c>
      <c r="EA265" t="str">
        <f t="shared" si="2057"/>
        <v/>
      </c>
      <c r="EB265" t="str">
        <f t="shared" si="2058"/>
        <v/>
      </c>
      <c r="EC265" t="str">
        <f t="shared" si="2059"/>
        <v/>
      </c>
      <c r="ED265" t="str">
        <f t="shared" si="2060"/>
        <v/>
      </c>
      <c r="EE265" t="str">
        <f t="shared" si="2061"/>
        <v/>
      </c>
      <c r="EF265" t="str">
        <f t="shared" si="2062"/>
        <v/>
      </c>
      <c r="EG265" t="str">
        <f t="shared" si="2063"/>
        <v/>
      </c>
      <c r="EH265" t="str">
        <f t="shared" si="2064"/>
        <v/>
      </c>
      <c r="EI265" t="str">
        <f t="shared" si="2065"/>
        <v/>
      </c>
      <c r="EJ265" t="str">
        <f t="shared" si="2066"/>
        <v/>
      </c>
      <c r="EK265" t="str">
        <f t="shared" si="2067"/>
        <v/>
      </c>
      <c r="EL265" t="str">
        <f t="shared" si="2068"/>
        <v/>
      </c>
      <c r="EM265" t="str">
        <f t="shared" si="2069"/>
        <v/>
      </c>
      <c r="EN265" t="str">
        <f t="shared" si="2070"/>
        <v/>
      </c>
      <c r="EO265" t="str">
        <f t="shared" si="2071"/>
        <v/>
      </c>
      <c r="EP265" t="str">
        <f t="shared" si="2072"/>
        <v/>
      </c>
      <c r="EQ265" t="str">
        <f t="shared" si="2073"/>
        <v/>
      </c>
      <c r="ER265" t="str">
        <f t="shared" si="2074"/>
        <v/>
      </c>
      <c r="ES265" t="str">
        <f t="shared" si="2075"/>
        <v/>
      </c>
      <c r="ET265" t="str">
        <f t="shared" si="2076"/>
        <v/>
      </c>
      <c r="EU265" t="str">
        <f t="shared" si="2077"/>
        <v/>
      </c>
      <c r="EV265" t="str">
        <f t="shared" si="2078"/>
        <v/>
      </c>
      <c r="EW265" t="str">
        <f t="shared" si="2079"/>
        <v/>
      </c>
      <c r="EX265" t="str">
        <f t="shared" si="2080"/>
        <v/>
      </c>
      <c r="EY265" t="str">
        <f t="shared" si="2081"/>
        <v/>
      </c>
    </row>
    <row r="266" spans="1:155" ht="13.9" customHeight="1" x14ac:dyDescent="0.25">
      <c r="A266" s="7"/>
      <c r="B266" s="17"/>
      <c r="C266" s="8"/>
      <c r="D266" s="17"/>
      <c r="E266" s="8"/>
      <c r="F266" s="18">
        <v>0</v>
      </c>
      <c r="G266" s="7" t="s">
        <v>147</v>
      </c>
      <c r="H266" s="18">
        <v>0</v>
      </c>
      <c r="I266" s="19">
        <v>0</v>
      </c>
      <c r="J266" s="7" t="s">
        <v>147</v>
      </c>
      <c r="K266" s="19">
        <v>0</v>
      </c>
      <c r="L266" s="9"/>
      <c r="M266" s="3" t="str">
        <f>IF($L266="","",IF($L266="DOELPUNTENMAKERS","",IF(AND(COUNTIF(#REF!,$B266)=0,COUNTIF(#REF!,$D266)=0),"OK",IF($O266&gt;20,"LET OP: meer dan 20 items (controle onvolledig)",IF((COUNTIF($R266:$AS266,"ONZEKER")+COUNTIF($CJ266:$DK266,"ONZEKER"))&gt;0,"LET OP: scoreverloop onduidelijk (controle beperkt)",IF((IF($AT266&lt;&gt;"",$AT266&amp;", ","")&amp;IF($AU266&lt;&gt;"",$AU266&amp;", ","")&amp;IF($AV266&lt;&gt;"",$AV266&amp;", ","")&amp;IF($AW266&lt;&gt;"",$AW266&amp;", ","")&amp;IF($AX266&lt;&gt;"",$AX266&amp;", ","")&amp;IF($AY266&lt;&gt;"",$AY266&amp;", ","")&amp;IF($AZ266&lt;&gt;"",$AZ266&amp;", ","")&amp;IF($BA266&lt;&gt;"",$BA266&amp;", ","")&amp;IF($BB266&lt;&gt;"",$BB266&amp;", ","")&amp;IF($BC266&lt;&gt;"",$BC266&amp;", ","")&amp;IF($DL266&lt;&gt;"",$DL266&amp;", ","")&amp;IF($DM266&lt;&gt;"",$DM266&amp;", ","")&amp;IF($DN266&lt;&gt;"",$DN266&amp;", ","")&amp;IF($DO266&lt;&gt;"",$DO266&amp;", ","")&amp;IF($DP266&lt;&gt;"",$DP266&amp;", ","")&amp;IF($DQ266&lt;&gt;"",$DQ266&amp;", ","")&amp;IF($DR266&lt;&gt;"",$DR266&amp;", ","")&amp;IF($DS266&lt;&gt;"",$DS266&amp;", ","")&amp;IF($DT266&lt;&gt;"",$DT266&amp;", ","")&amp;IF($DU266&lt;&gt;"",$DU266&amp;", ",""))="","OK","Onbekend: "&amp;LEFT((IF($AT266&lt;&gt;"",$AT266&amp;", ","")&amp;IF($AU266&lt;&gt;"",$AU266&amp;", ","")&amp;IF($AV266&lt;&gt;"",$AV266&amp;", ","")&amp;IF($AW266&lt;&gt;"",$AW266&amp;", ","")&amp;IF($AX266&lt;&gt;"",$AX266&amp;", ","")&amp;IF($AY266&lt;&gt;"",$AY266&amp;", ","")&amp;IF($AZ266&lt;&gt;"",$AZ266&amp;", ","")&amp;IF($BA266&lt;&gt;"",$BA266&amp;", ","")&amp;IF($BB266&lt;&gt;"",$BB266&amp;", ","")&amp;IF($BC266&lt;&gt;"",$BC266&amp;", ","")&amp;IF($DL266&lt;&gt;"",$DL266&amp;", ","")&amp;IF($DM266&lt;&gt;"",$DM266&amp;", ","")&amp;IF($DN266&lt;&gt;"",$DN266&amp;", ","")&amp;IF($DO266&lt;&gt;"",$DO266&amp;", ","")&amp;IF($DP266&lt;&gt;"",$DP266&amp;", ","")&amp;IF($DQ266&lt;&gt;"",$DQ266&amp;", ","")&amp;IF($DR266&lt;&gt;"",$DR266&amp;", ","")&amp;IF($DS266&lt;&gt;"",$DS266&amp;", ","")&amp;IF($DT266&lt;&gt;"",$DT266&amp;", ","")&amp;IF($DU266&lt;&gt;"",$DU266&amp;", ","")),LEN((IF($AT266&lt;&gt;"",$AT266&amp;", ","")&amp;IF($AU266&lt;&gt;"",$AU266&amp;", ","")&amp;IF($AV266&lt;&gt;"",$AV266&amp;", ","")&amp;IF($AW266&lt;&gt;"",$AW266&amp;", ","")&amp;IF($AX266&lt;&gt;"",$AX266&amp;", ","")&amp;IF($AY266&lt;&gt;"",$AY266&amp;", ","")&amp;IF($AZ266&lt;&gt;"",$AZ266&amp;", ","")&amp;IF($BA266&lt;&gt;"",$BA266&amp;", ","")&amp;IF($BB266&lt;&gt;"",$BB266&amp;", ","")&amp;IF($BC266&lt;&gt;"",$BC266&amp;", ","")&amp;IF($DL266&lt;&gt;"",$DL266&amp;", ","")&amp;IF($DM266&lt;&gt;"",$DM266&amp;", ","")&amp;IF($DN266&lt;&gt;"",$DN266&amp;", ","")&amp;IF($DO266&lt;&gt;"",$DO266&amp;", ","")&amp;IF($DP266&lt;&gt;"",$DP266&amp;", ","")&amp;IF($DQ266&lt;&gt;"",$DQ266&amp;", ","")&amp;IF($DR266&lt;&gt;"",$DR266&amp;", ","")&amp;IF($DS266&lt;&gt;"",$DS266&amp;", ","")&amp;IF($DT266&lt;&gt;"",$DT266&amp;", ","")&amp;IF($DU266&lt;&gt;"",$DU266&amp;", ","")))-2)))))))</f>
        <v/>
      </c>
      <c r="N266" t="str">
        <f t="shared" si="1990"/>
        <v/>
      </c>
      <c r="O266" t="str">
        <f t="shared" si="1991"/>
        <v/>
      </c>
      <c r="P266" t="str">
        <f t="shared" si="1992"/>
        <v/>
      </c>
      <c r="Q266" t="str">
        <f t="shared" si="1993"/>
        <v/>
      </c>
      <c r="R266" t="str">
        <f>IF($Q266="","",IF(OR($BE266="",$BF266=""),"ONZEKER",IF(AND($BE266=0+1,$BF266=0),IF(OR(COUNTIF(#REF!,$B266)&gt;0,COUNTIF(#REF!,$B266)=0),"SKIP",IF(COUNTIFS(#REF!,$B266,#REF!,$Q266)&gt;0,"OK","ONBEKEND")),IF(AND($BE266=0,$BF266=0+1),IF(OR(COUNTIF(#REF!,$D266)&gt;0,COUNTIF(#REF!,$D266)=0),"SKIP",IF(COUNTIFS(#REF!,$D266,#REF!,$Q266)&gt;0,"OK","ONBEKEND")),"ONZEKER"))))</f>
        <v/>
      </c>
      <c r="S266" t="str">
        <f t="shared" si="1994"/>
        <v/>
      </c>
      <c r="T266" t="str">
        <f t="shared" si="1995"/>
        <v/>
      </c>
      <c r="U266" t="str">
        <f>IF($T266="","",IF(OR($BH266="",$BI266=""),"ONZEKER",IF(OR($BE266="",$BF266=""),"ONZEKER",IF(AND($BH266=$BE266+1,$BI266=$BF266),IF(OR(COUNTIF(#REF!,$B266)&gt;0,COUNTIF(#REF!,$B266)=0),"SKIP",IF(COUNTIFS(#REF!,$B266,#REF!,$T266)&gt;0,"OK","ONBEKEND")),IF(AND($BH266=$BE266,$BI266=$BF266+1),IF(OR(COUNTIF(#REF!,$D266)&gt;0,COUNTIF(#REF!,$D266)=0),"SKIP",IF(COUNTIFS(#REF!,$D266,#REF!,$T266)&gt;0,"OK","ONBEKEND")),"ONZEKER")))))</f>
        <v/>
      </c>
      <c r="V266" t="str">
        <f t="shared" si="1996"/>
        <v/>
      </c>
      <c r="W266" t="str">
        <f t="shared" si="1997"/>
        <v/>
      </c>
      <c r="X266" t="str">
        <f>IF($W266="","",IF(OR($BK266="",$BL266=""),"ONZEKER",IF(OR($BH266="",$BI266=""),"ONZEKER",IF(AND($BK266=$BH266+1,$BL266=$BI266),IF(OR(COUNTIF(#REF!,$B266)&gt;0,COUNTIF(#REF!,$B266)=0),"SKIP",IF(COUNTIFS(#REF!,$B266,#REF!,$W266)&gt;0,"OK","ONBEKEND")),IF(AND($BK266=$BH266,$BL266=$BI266+1),IF(OR(COUNTIF(#REF!,$D266)&gt;0,COUNTIF(#REF!,$D266)=0),"SKIP",IF(COUNTIFS(#REF!,$D266,#REF!,$W266)&gt;0,"OK","ONBEKEND")),"ONZEKER")))))</f>
        <v/>
      </c>
      <c r="Y266" t="str">
        <f t="shared" si="1998"/>
        <v/>
      </c>
      <c r="Z266" t="str">
        <f t="shared" si="1999"/>
        <v/>
      </c>
      <c r="AA266" t="str">
        <f>IF($Z266="","",IF(OR($BN266="",$BO266=""),"ONZEKER",IF(OR($BK266="",$BL266=""),"ONZEKER",IF(AND($BN266=$BK266+1,$BO266=$BL266),IF(OR(COUNTIF(#REF!,$B266)&gt;0,COUNTIF(#REF!,$B266)=0),"SKIP",IF(COUNTIFS(#REF!,$B266,#REF!,$Z266)&gt;0,"OK","ONBEKEND")),IF(AND($BN266=$BK266,$BO266=$BL266+1),IF(OR(COUNTIF(#REF!,$D266)&gt;0,COUNTIF(#REF!,$D266)=0),"SKIP",IF(COUNTIFS(#REF!,$D266,#REF!,$Z266)&gt;0,"OK","ONBEKEND")),"ONZEKER")))))</f>
        <v/>
      </c>
      <c r="AB266" t="str">
        <f t="shared" si="2000"/>
        <v/>
      </c>
      <c r="AC266" t="str">
        <f t="shared" si="2001"/>
        <v/>
      </c>
      <c r="AD266" t="str">
        <f>IF($AC266="","",IF(OR($BQ266="",$BR266=""),"ONZEKER",IF(OR($BN266="",$BO266=""),"ONZEKER",IF(AND($BQ266=$BN266+1,$BR266=$BO266),IF(OR(COUNTIF(#REF!,$B266)&gt;0,COUNTIF(#REF!,$B266)=0),"SKIP",IF(COUNTIFS(#REF!,$B266,#REF!,$AC266)&gt;0,"OK","ONBEKEND")),IF(AND($BQ266=$BN266,$BR266=$BO266+1),IF(OR(COUNTIF(#REF!,$D266)&gt;0,COUNTIF(#REF!,$D266)=0),"SKIP",IF(COUNTIFS(#REF!,$D266,#REF!,$AC266)&gt;0,"OK","ONBEKEND")),"ONZEKER")))))</f>
        <v/>
      </c>
      <c r="AE266" t="str">
        <f t="shared" si="2002"/>
        <v/>
      </c>
      <c r="AF266" t="str">
        <f t="shared" si="2003"/>
        <v/>
      </c>
      <c r="AG266" t="str">
        <f>IF($AF266="","",IF(OR($BT266="",$BU266=""),"ONZEKER",IF(OR($BQ266="",$BR266=""),"ONZEKER",IF(AND($BT266=$BQ266+1,$BU266=$BR266),IF(OR(COUNTIF(#REF!,$B266)&gt;0,COUNTIF(#REF!,$B266)=0),"SKIP",IF(COUNTIFS(#REF!,$B266,#REF!,$AF266)&gt;0,"OK","ONBEKEND")),IF(AND($BT266=$BQ266,$BU266=$BR266+1),IF(OR(COUNTIF(#REF!,$D266)&gt;0,COUNTIF(#REF!,$D266)=0),"SKIP",IF(COUNTIFS(#REF!,$D266,#REF!,$AF266)&gt;0,"OK","ONBEKEND")),"ONZEKER")))))</f>
        <v/>
      </c>
      <c r="AH266" t="str">
        <f t="shared" si="2004"/>
        <v/>
      </c>
      <c r="AI266" t="str">
        <f t="shared" si="2005"/>
        <v/>
      </c>
      <c r="AJ266" t="str">
        <f>IF($AI266="","",IF(OR($BW266="",$BX266=""),"ONZEKER",IF(OR($BT266="",$BU266=""),"ONZEKER",IF(AND($BW266=$BT266+1,$BX266=$BU266),IF(OR(COUNTIF(#REF!,$B266)&gt;0,COUNTIF(#REF!,$B266)=0),"SKIP",IF(COUNTIFS(#REF!,$B266,#REF!,$AI266)&gt;0,"OK","ONBEKEND")),IF(AND($BW266=$BT266,$BX266=$BU266+1),IF(OR(COUNTIF(#REF!,$D266)&gt;0,COUNTIF(#REF!,$D266)=0),"SKIP",IF(COUNTIFS(#REF!,$D266,#REF!,$AI266)&gt;0,"OK","ONBEKEND")),"ONZEKER")))))</f>
        <v/>
      </c>
      <c r="AK266" t="str">
        <f t="shared" si="2006"/>
        <v/>
      </c>
      <c r="AL266" t="str">
        <f t="shared" si="2007"/>
        <v/>
      </c>
      <c r="AM266" t="str">
        <f>IF($AL266="","",IF(OR($BZ266="",$CA266=""),"ONZEKER",IF(OR($BW266="",$BX266=""),"ONZEKER",IF(AND($BZ266=$BW266+1,$CA266=$BX266),IF(OR(COUNTIF(#REF!,$B266)&gt;0,COUNTIF(#REF!,$B266)=0),"SKIP",IF(COUNTIFS(#REF!,$B266,#REF!,$AL266)&gt;0,"OK","ONBEKEND")),IF(AND($BZ266=$BW266,$CA266=$BX266+1),IF(OR(COUNTIF(#REF!,$D266)&gt;0,COUNTIF(#REF!,$D266)=0),"SKIP",IF(COUNTIFS(#REF!,$D266,#REF!,$AL266)&gt;0,"OK","ONBEKEND")),"ONZEKER")))))</f>
        <v/>
      </c>
      <c r="AN266" t="str">
        <f t="shared" si="2008"/>
        <v/>
      </c>
      <c r="AO266" t="str">
        <f t="shared" si="2009"/>
        <v/>
      </c>
      <c r="AP266" t="str">
        <f>IF($AO266="","",IF(OR($CC266="",$CD266=""),"ONZEKER",IF(OR($BZ266="",$CA266=""),"ONZEKER",IF(AND($CC266=$BZ266+1,$CD266=$CA266),IF(OR(COUNTIF(#REF!,$B266)&gt;0,COUNTIF(#REF!,$B266)=0),"SKIP",IF(COUNTIFS(#REF!,$B266,#REF!,$AO266)&gt;0,"OK","ONBEKEND")),IF(AND($CC266=$BZ266,$CD266=$CA266+1),IF(OR(COUNTIF(#REF!,$D266)&gt;0,COUNTIF(#REF!,$D266)=0),"SKIP",IF(COUNTIFS(#REF!,$D266,#REF!,$AO266)&gt;0,"OK","ONBEKEND")),"ONZEKER")))))</f>
        <v/>
      </c>
      <c r="AQ266" t="str">
        <f t="shared" si="2010"/>
        <v/>
      </c>
      <c r="AR266" t="str">
        <f t="shared" si="2011"/>
        <v/>
      </c>
      <c r="AS266" t="str">
        <f>IF($AR266="","",IF(OR($CF266="",$CG266=""),"ONZEKER",IF(OR($CC266="",$CD266=""),"ONZEKER",IF(AND($CF266=$CC266+1,$CG266=$CD266),IF(OR(COUNTIF(#REF!,$B266)&gt;0,COUNTIF(#REF!,$B266)=0),"SKIP",IF(COUNTIFS(#REF!,$B266,#REF!,$AR266)&gt;0,"OK","ONBEKEND")),IF(AND($CF266=$CC266,$CG266=$CD266+1),IF(OR(COUNTIF(#REF!,$D266)&gt;0,COUNTIF(#REF!,$D266)=0),"SKIP",IF(COUNTIFS(#REF!,$D266,#REF!,$AR266)&gt;0,"OK","ONBEKEND")),"ONZEKER")))))</f>
        <v/>
      </c>
      <c r="AT266" t="str">
        <f t="shared" si="2012"/>
        <v/>
      </c>
      <c r="AU266" t="str">
        <f t="shared" si="2013"/>
        <v/>
      </c>
      <c r="AV266" t="str">
        <f t="shared" si="2014"/>
        <v/>
      </c>
      <c r="AW266" t="str">
        <f t="shared" si="2015"/>
        <v/>
      </c>
      <c r="AX266" t="str">
        <f t="shared" si="2016"/>
        <v/>
      </c>
      <c r="AY266" t="str">
        <f t="shared" si="2017"/>
        <v/>
      </c>
      <c r="AZ266" t="str">
        <f t="shared" si="2018"/>
        <v/>
      </c>
      <c r="BA266" t="str">
        <f t="shared" si="2019"/>
        <v/>
      </c>
      <c r="BB266" t="str">
        <f t="shared" si="2020"/>
        <v/>
      </c>
      <c r="BC266" t="str">
        <f t="shared" si="2021"/>
        <v/>
      </c>
      <c r="BD266" t="str">
        <f t="shared" si="1960"/>
        <v/>
      </c>
      <c r="BE266" t="str">
        <f t="shared" si="1961"/>
        <v/>
      </c>
      <c r="BF266" t="str">
        <f t="shared" si="1962"/>
        <v/>
      </c>
      <c r="BG266" t="str">
        <f t="shared" si="1963"/>
        <v/>
      </c>
      <c r="BH266" t="str">
        <f t="shared" si="1964"/>
        <v/>
      </c>
      <c r="BI266" t="str">
        <f t="shared" si="1965"/>
        <v/>
      </c>
      <c r="BJ266" t="str">
        <f t="shared" si="1966"/>
        <v/>
      </c>
      <c r="BK266" t="str">
        <f t="shared" si="1967"/>
        <v/>
      </c>
      <c r="BL266" t="str">
        <f t="shared" si="1968"/>
        <v/>
      </c>
      <c r="BM266" t="str">
        <f t="shared" si="1969"/>
        <v/>
      </c>
      <c r="BN266" t="str">
        <f t="shared" si="1970"/>
        <v/>
      </c>
      <c r="BO266" t="str">
        <f t="shared" si="1971"/>
        <v/>
      </c>
      <c r="BP266" t="str">
        <f t="shared" si="1972"/>
        <v/>
      </c>
      <c r="BQ266" t="str">
        <f t="shared" si="1973"/>
        <v/>
      </c>
      <c r="BR266" t="str">
        <f t="shared" si="1974"/>
        <v/>
      </c>
      <c r="BS266" t="str">
        <f t="shared" si="1975"/>
        <v/>
      </c>
      <c r="BT266" t="str">
        <f t="shared" si="1976"/>
        <v/>
      </c>
      <c r="BU266" t="str">
        <f t="shared" si="1977"/>
        <v/>
      </c>
      <c r="BV266" t="str">
        <f t="shared" si="1978"/>
        <v/>
      </c>
      <c r="BW266" t="str">
        <f t="shared" si="1979"/>
        <v/>
      </c>
      <c r="BX266" t="str">
        <f t="shared" si="1980"/>
        <v/>
      </c>
      <c r="BY266" t="str">
        <f t="shared" si="1981"/>
        <v/>
      </c>
      <c r="BZ266" t="str">
        <f t="shared" si="1982"/>
        <v/>
      </c>
      <c r="CA266" t="str">
        <f t="shared" si="1983"/>
        <v/>
      </c>
      <c r="CB266" t="str">
        <f t="shared" si="1984"/>
        <v/>
      </c>
      <c r="CC266" t="str">
        <f t="shared" si="1985"/>
        <v/>
      </c>
      <c r="CD266" t="str">
        <f t="shared" si="1986"/>
        <v/>
      </c>
      <c r="CE266" t="str">
        <f t="shared" si="1987"/>
        <v/>
      </c>
      <c r="CF266" t="str">
        <f t="shared" si="1988"/>
        <v/>
      </c>
      <c r="CG266" t="str">
        <f t="shared" si="1989"/>
        <v/>
      </c>
      <c r="CH266" t="str">
        <f t="shared" si="2022"/>
        <v/>
      </c>
      <c r="CI266" t="str">
        <f t="shared" si="2023"/>
        <v/>
      </c>
      <c r="CJ266" t="str">
        <f>IF($CI266="","",IF(OR($DW266="",$DX266=""),"ONZEKER",IF(OR($CF266="",$CG266=""),"ONZEKER",IF(AND($DW266=$CF266+1,$DX266=$CG266),IF(OR(COUNTIF(#REF!,$B266)&gt;0,COUNTIF(#REF!,$B266)=0),"SKIP",IF(COUNTIFS(#REF!,$B266,#REF!,$CI266)&gt;0,"OK","ONBEKEND")),IF(AND($DW266=$CF266,$DX266=$CG266+1),IF(OR(COUNTIF(#REF!,$D266)&gt;0,COUNTIF(#REF!,$D266)=0),"SKIP",IF(COUNTIFS(#REF!,$D266,#REF!,$CI266)&gt;0,"OK","ONBEKEND")),"ONZEKER")))))</f>
        <v/>
      </c>
      <c r="CK266" t="str">
        <f t="shared" si="2024"/>
        <v/>
      </c>
      <c r="CL266" t="str">
        <f t="shared" si="2025"/>
        <v/>
      </c>
      <c r="CM266" t="str">
        <f>IF($CL266="","",IF(OR($DZ266="",$EA266=""),"ONZEKER",IF(OR($DW266="",$DX266=""),"ONZEKER",IF(AND($DZ266=$DW266+1,$EA266=$DX266),IF(OR(COUNTIF(#REF!,$B266)&gt;0,COUNTIF(#REF!,$B266)=0),"SKIP",IF(COUNTIFS(#REF!,$B266,#REF!,$CL266)&gt;0,"OK","ONBEKEND")),IF(AND($DZ266=$DW266,$EA266=$DX266+1),IF(OR(COUNTIF(#REF!,$D266)&gt;0,COUNTIF(#REF!,$D266)=0),"SKIP",IF(COUNTIFS(#REF!,$D266,#REF!,$CL266)&gt;0,"OK","ONBEKEND")),"ONZEKER")))))</f>
        <v/>
      </c>
      <c r="CN266" t="str">
        <f t="shared" si="2026"/>
        <v/>
      </c>
      <c r="CO266" t="str">
        <f t="shared" si="2027"/>
        <v/>
      </c>
      <c r="CP266" t="str">
        <f>IF($CO266="","",IF(OR($EC266="",$ED266=""),"ONZEKER",IF(OR($DZ266="",$EA266=""),"ONZEKER",IF(AND($EC266=$DZ266+1,$ED266=$EA266),IF(OR(COUNTIF(#REF!,$B266)&gt;0,COUNTIF(#REF!,$B266)=0),"SKIP",IF(COUNTIFS(#REF!,$B266,#REF!,$CO266)&gt;0,"OK","ONBEKEND")),IF(AND($EC266=$DZ266,$ED266=$EA266+1),IF(OR(COUNTIF(#REF!,$D266)&gt;0,COUNTIF(#REF!,$D266)=0),"SKIP",IF(COUNTIFS(#REF!,$D266,#REF!,$CO266)&gt;0,"OK","ONBEKEND")),"ONZEKER")))))</f>
        <v/>
      </c>
      <c r="CQ266" t="str">
        <f t="shared" si="2028"/>
        <v/>
      </c>
      <c r="CR266" t="str">
        <f t="shared" si="2029"/>
        <v/>
      </c>
      <c r="CS266" t="str">
        <f>IF($CR266="","",IF(OR($EF266="",$EG266=""),"ONZEKER",IF(OR($EC266="",$ED266=""),"ONZEKER",IF(AND($EF266=$EC266+1,$EG266=$ED266),IF(OR(COUNTIF(#REF!,$B266)&gt;0,COUNTIF(#REF!,$B266)=0),"SKIP",IF(COUNTIFS(#REF!,$B266,#REF!,$CR266)&gt;0,"OK","ONBEKEND")),IF(AND($EF266=$EC266,$EG266=$ED266+1),IF(OR(COUNTIF(#REF!,$D266)&gt;0,COUNTIF(#REF!,$D266)=0),"SKIP",IF(COUNTIFS(#REF!,$D266,#REF!,$CR266)&gt;0,"OK","ONBEKEND")),"ONZEKER")))))</f>
        <v/>
      </c>
      <c r="CT266" t="str">
        <f t="shared" si="2030"/>
        <v/>
      </c>
      <c r="CU266" t="str">
        <f t="shared" si="2031"/>
        <v/>
      </c>
      <c r="CV266" t="str">
        <f>IF($CU266="","",IF(OR($EI266="",$EJ266=""),"ONZEKER",IF(OR($EF266="",$EG266=""),"ONZEKER",IF(AND($EI266=$EF266+1,$EJ266=$EG266),IF(OR(COUNTIF(#REF!,$B266)&gt;0,COUNTIF(#REF!,$B266)=0),"SKIP",IF(COUNTIFS(#REF!,$B266,#REF!,$CU266)&gt;0,"OK","ONBEKEND")),IF(AND($EI266=$EF266,$EJ266=$EG266+1),IF(OR(COUNTIF(#REF!,$D266)&gt;0,COUNTIF(#REF!,$D266)=0),"SKIP",IF(COUNTIFS(#REF!,$D266,#REF!,$CU266)&gt;0,"OK","ONBEKEND")),"ONZEKER")))))</f>
        <v/>
      </c>
      <c r="CW266" t="str">
        <f t="shared" si="2032"/>
        <v/>
      </c>
      <c r="CX266" t="str">
        <f t="shared" si="2033"/>
        <v/>
      </c>
      <c r="CY266" t="str">
        <f>IF($CX266="","",IF(OR($EL266="",$EM266=""),"ONZEKER",IF(OR($EI266="",$EJ266=""),"ONZEKER",IF(AND($EL266=$EI266+1,$EM266=$EJ266),IF(OR(COUNTIF(#REF!,$B266)&gt;0,COUNTIF(#REF!,$B266)=0),"SKIP",IF(COUNTIFS(#REF!,$B266,#REF!,$CX266)&gt;0,"OK","ONBEKEND")),IF(AND($EL266=$EI266,$EM266=$EJ266+1),IF(OR(COUNTIF(#REF!,$D266)&gt;0,COUNTIF(#REF!,$D266)=0),"SKIP",IF(COUNTIFS(#REF!,$D266,#REF!,$CX266)&gt;0,"OK","ONBEKEND")),"ONZEKER")))))</f>
        <v/>
      </c>
      <c r="CZ266" t="str">
        <f t="shared" si="2034"/>
        <v/>
      </c>
      <c r="DA266" t="str">
        <f t="shared" si="2035"/>
        <v/>
      </c>
      <c r="DB266" t="str">
        <f>IF($DA266="","",IF(OR($EO266="",$EP266=""),"ONZEKER",IF(OR($EL266="",$EM266=""),"ONZEKER",IF(AND($EO266=$EL266+1,$EP266=$EM266),IF(OR(COUNTIF(#REF!,$B266)&gt;0,COUNTIF(#REF!,$B266)=0),"SKIP",IF(COUNTIFS(#REF!,$B266,#REF!,$DA266)&gt;0,"OK","ONBEKEND")),IF(AND($EO266=$EL266,$EP266=$EM266+1),IF(OR(COUNTIF(#REF!,$D266)&gt;0,COUNTIF(#REF!,$D266)=0),"SKIP",IF(COUNTIFS(#REF!,$D266,#REF!,$DA266)&gt;0,"OK","ONBEKEND")),"ONZEKER")))))</f>
        <v/>
      </c>
      <c r="DC266" t="str">
        <f t="shared" si="2036"/>
        <v/>
      </c>
      <c r="DD266" t="str">
        <f t="shared" si="2037"/>
        <v/>
      </c>
      <c r="DE266" t="str">
        <f>IF($DD266="","",IF(OR($ER266="",$ES266=""),"ONZEKER",IF(OR($EO266="",$EP266=""),"ONZEKER",IF(AND($ER266=$EO266+1,$ES266=$EP266),IF(OR(COUNTIF(#REF!,$B266)&gt;0,COUNTIF(#REF!,$B266)=0),"SKIP",IF(COUNTIFS(#REF!,$B266,#REF!,$DD266)&gt;0,"OK","ONBEKEND")),IF(AND($ER266=$EO266,$ES266=$EP266+1),IF(OR(COUNTIF(#REF!,$D266)&gt;0,COUNTIF(#REF!,$D266)=0),"SKIP",IF(COUNTIFS(#REF!,$D266,#REF!,$DD266)&gt;0,"OK","ONBEKEND")),"ONZEKER")))))</f>
        <v/>
      </c>
      <c r="DF266" t="str">
        <f t="shared" si="2038"/>
        <v/>
      </c>
      <c r="DG266" t="str">
        <f t="shared" si="2039"/>
        <v/>
      </c>
      <c r="DH266" t="str">
        <f>IF($DG266="","",IF(OR($EU266="",$EV266=""),"ONZEKER",IF(OR($ER266="",$ES266=""),"ONZEKER",IF(AND($EU266=$ER266+1,$EV266=$ES266),IF(OR(COUNTIF(#REF!,$B266)&gt;0,COUNTIF(#REF!,$B266)=0),"SKIP",IF(COUNTIFS(#REF!,$B266,#REF!,$DG266)&gt;0,"OK","ONBEKEND")),IF(AND($EU266=$ER266,$EV266=$ES266+1),IF(OR(COUNTIF(#REF!,$D266)&gt;0,COUNTIF(#REF!,$D266)=0),"SKIP",IF(COUNTIFS(#REF!,$D266,#REF!,$DG266)&gt;0,"OK","ONBEKEND")),"ONZEKER")))))</f>
        <v/>
      </c>
      <c r="DI266" t="str">
        <f t="shared" si="2040"/>
        <v/>
      </c>
      <c r="DJ266" t="str">
        <f t="shared" si="2041"/>
        <v/>
      </c>
      <c r="DK266" t="str">
        <f>IF($DJ266="","",IF(OR($EX266="",$EY266=""),"ONZEKER",IF(OR($EU266="",$EV266=""),"ONZEKER",IF(AND($EX266=$EU266+1,$EY266=$EV266),IF(OR(COUNTIF(#REF!,$B266)&gt;0,COUNTIF(#REF!,$B266)=0),"SKIP",IF(COUNTIFS(#REF!,$B266,#REF!,$DJ266)&gt;0,"OK","ONBEKEND")),IF(AND($EX266=$EU266,$EY266=$EV266+1),IF(OR(COUNTIF(#REF!,$D266)&gt;0,COUNTIF(#REF!,$D266)=0),"SKIP",IF(COUNTIFS(#REF!,$D266,#REF!,$DJ266)&gt;0,"OK","ONBEKEND")),"ONZEKER")))))</f>
        <v/>
      </c>
      <c r="DL266" t="str">
        <f t="shared" si="2042"/>
        <v/>
      </c>
      <c r="DM266" t="str">
        <f t="shared" si="2043"/>
        <v/>
      </c>
      <c r="DN266" t="str">
        <f t="shared" si="2044"/>
        <v/>
      </c>
      <c r="DO266" t="str">
        <f t="shared" si="2045"/>
        <v/>
      </c>
      <c r="DP266" t="str">
        <f t="shared" si="2046"/>
        <v/>
      </c>
      <c r="DQ266" t="str">
        <f t="shared" si="2047"/>
        <v/>
      </c>
      <c r="DR266" t="str">
        <f t="shared" si="2048"/>
        <v/>
      </c>
      <c r="DS266" t="str">
        <f t="shared" si="2049"/>
        <v/>
      </c>
      <c r="DT266" t="str">
        <f t="shared" si="2050"/>
        <v/>
      </c>
      <c r="DU266" t="str">
        <f t="shared" si="2051"/>
        <v/>
      </c>
      <c r="DV266" t="str">
        <f t="shared" si="2052"/>
        <v/>
      </c>
      <c r="DW266" t="str">
        <f t="shared" si="2053"/>
        <v/>
      </c>
      <c r="DX266" t="str">
        <f t="shared" si="2054"/>
        <v/>
      </c>
      <c r="DY266" t="str">
        <f t="shared" si="2055"/>
        <v/>
      </c>
      <c r="DZ266" t="str">
        <f t="shared" si="2056"/>
        <v/>
      </c>
      <c r="EA266" t="str">
        <f t="shared" si="2057"/>
        <v/>
      </c>
      <c r="EB266" t="str">
        <f t="shared" si="2058"/>
        <v/>
      </c>
      <c r="EC266" t="str">
        <f t="shared" si="2059"/>
        <v/>
      </c>
      <c r="ED266" t="str">
        <f t="shared" si="2060"/>
        <v/>
      </c>
      <c r="EE266" t="str">
        <f t="shared" si="2061"/>
        <v/>
      </c>
      <c r="EF266" t="str">
        <f t="shared" si="2062"/>
        <v/>
      </c>
      <c r="EG266" t="str">
        <f t="shared" si="2063"/>
        <v/>
      </c>
      <c r="EH266" t="str">
        <f t="shared" si="2064"/>
        <v/>
      </c>
      <c r="EI266" t="str">
        <f t="shared" si="2065"/>
        <v/>
      </c>
      <c r="EJ266" t="str">
        <f t="shared" si="2066"/>
        <v/>
      </c>
      <c r="EK266" t="str">
        <f t="shared" si="2067"/>
        <v/>
      </c>
      <c r="EL266" t="str">
        <f t="shared" si="2068"/>
        <v/>
      </c>
      <c r="EM266" t="str">
        <f t="shared" si="2069"/>
        <v/>
      </c>
      <c r="EN266" t="str">
        <f t="shared" si="2070"/>
        <v/>
      </c>
      <c r="EO266" t="str">
        <f t="shared" si="2071"/>
        <v/>
      </c>
      <c r="EP266" t="str">
        <f t="shared" si="2072"/>
        <v/>
      </c>
      <c r="EQ266" t="str">
        <f t="shared" si="2073"/>
        <v/>
      </c>
      <c r="ER266" t="str">
        <f t="shared" si="2074"/>
        <v/>
      </c>
      <c r="ES266" t="str">
        <f t="shared" si="2075"/>
        <v/>
      </c>
      <c r="ET266" t="str">
        <f t="shared" si="2076"/>
        <v/>
      </c>
      <c r="EU266" t="str">
        <f t="shared" si="2077"/>
        <v/>
      </c>
      <c r="EV266" t="str">
        <f t="shared" si="2078"/>
        <v/>
      </c>
      <c r="EW266" t="str">
        <f t="shared" si="2079"/>
        <v/>
      </c>
      <c r="EX266" t="str">
        <f t="shared" si="2080"/>
        <v/>
      </c>
      <c r="EY266" t="str">
        <f t="shared" si="2081"/>
        <v/>
      </c>
    </row>
    <row r="267" spans="1:155" ht="13.9" customHeight="1" x14ac:dyDescent="0.25">
      <c r="A267" s="7"/>
      <c r="B267" s="17"/>
      <c r="C267" s="8"/>
      <c r="D267" s="17"/>
      <c r="E267" s="8"/>
      <c r="F267" s="18">
        <v>0</v>
      </c>
      <c r="G267" s="7" t="s">
        <v>147</v>
      </c>
      <c r="H267" s="18">
        <v>0</v>
      </c>
      <c r="I267" s="19">
        <v>0</v>
      </c>
      <c r="J267" s="7" t="s">
        <v>147</v>
      </c>
      <c r="K267" s="19">
        <v>0</v>
      </c>
      <c r="L267" s="9"/>
      <c r="M267" s="3" t="str">
        <f>IF($L267="","",IF($L267="DOELPUNTENMAKERS","",IF(AND(COUNTIF(#REF!,$B267)=0,COUNTIF(#REF!,$D267)=0),"OK",IF($O267&gt;20,"LET OP: meer dan 20 items (controle onvolledig)",IF((COUNTIF($R267:$AS267,"ONZEKER")+COUNTIF($CJ267:$DK267,"ONZEKER"))&gt;0,"LET OP: scoreverloop onduidelijk (controle beperkt)",IF((IF($AT267&lt;&gt;"",$AT267&amp;", ","")&amp;IF($AU267&lt;&gt;"",$AU267&amp;", ","")&amp;IF($AV267&lt;&gt;"",$AV267&amp;", ","")&amp;IF($AW267&lt;&gt;"",$AW267&amp;", ","")&amp;IF($AX267&lt;&gt;"",$AX267&amp;", ","")&amp;IF($AY267&lt;&gt;"",$AY267&amp;", ","")&amp;IF($AZ267&lt;&gt;"",$AZ267&amp;", ","")&amp;IF($BA267&lt;&gt;"",$BA267&amp;", ","")&amp;IF($BB267&lt;&gt;"",$BB267&amp;", ","")&amp;IF($BC267&lt;&gt;"",$BC267&amp;", ","")&amp;IF($DL267&lt;&gt;"",$DL267&amp;", ","")&amp;IF($DM267&lt;&gt;"",$DM267&amp;", ","")&amp;IF($DN267&lt;&gt;"",$DN267&amp;", ","")&amp;IF($DO267&lt;&gt;"",$DO267&amp;", ","")&amp;IF($DP267&lt;&gt;"",$DP267&amp;", ","")&amp;IF($DQ267&lt;&gt;"",$DQ267&amp;", ","")&amp;IF($DR267&lt;&gt;"",$DR267&amp;", ","")&amp;IF($DS267&lt;&gt;"",$DS267&amp;", ","")&amp;IF($DT267&lt;&gt;"",$DT267&amp;", ","")&amp;IF($DU267&lt;&gt;"",$DU267&amp;", ",""))="","OK","Onbekend: "&amp;LEFT((IF($AT267&lt;&gt;"",$AT267&amp;", ","")&amp;IF($AU267&lt;&gt;"",$AU267&amp;", ","")&amp;IF($AV267&lt;&gt;"",$AV267&amp;", ","")&amp;IF($AW267&lt;&gt;"",$AW267&amp;", ","")&amp;IF($AX267&lt;&gt;"",$AX267&amp;", ","")&amp;IF($AY267&lt;&gt;"",$AY267&amp;", ","")&amp;IF($AZ267&lt;&gt;"",$AZ267&amp;", ","")&amp;IF($BA267&lt;&gt;"",$BA267&amp;", ","")&amp;IF($BB267&lt;&gt;"",$BB267&amp;", ","")&amp;IF($BC267&lt;&gt;"",$BC267&amp;", ","")&amp;IF($DL267&lt;&gt;"",$DL267&amp;", ","")&amp;IF($DM267&lt;&gt;"",$DM267&amp;", ","")&amp;IF($DN267&lt;&gt;"",$DN267&amp;", ","")&amp;IF($DO267&lt;&gt;"",$DO267&amp;", ","")&amp;IF($DP267&lt;&gt;"",$DP267&amp;", ","")&amp;IF($DQ267&lt;&gt;"",$DQ267&amp;", ","")&amp;IF($DR267&lt;&gt;"",$DR267&amp;", ","")&amp;IF($DS267&lt;&gt;"",$DS267&amp;", ","")&amp;IF($DT267&lt;&gt;"",$DT267&amp;", ","")&amp;IF($DU267&lt;&gt;"",$DU267&amp;", ","")),LEN((IF($AT267&lt;&gt;"",$AT267&amp;", ","")&amp;IF($AU267&lt;&gt;"",$AU267&amp;", ","")&amp;IF($AV267&lt;&gt;"",$AV267&amp;", ","")&amp;IF($AW267&lt;&gt;"",$AW267&amp;", ","")&amp;IF($AX267&lt;&gt;"",$AX267&amp;", ","")&amp;IF($AY267&lt;&gt;"",$AY267&amp;", ","")&amp;IF($AZ267&lt;&gt;"",$AZ267&amp;", ","")&amp;IF($BA267&lt;&gt;"",$BA267&amp;", ","")&amp;IF($BB267&lt;&gt;"",$BB267&amp;", ","")&amp;IF($BC267&lt;&gt;"",$BC267&amp;", ","")&amp;IF($DL267&lt;&gt;"",$DL267&amp;", ","")&amp;IF($DM267&lt;&gt;"",$DM267&amp;", ","")&amp;IF($DN267&lt;&gt;"",$DN267&amp;", ","")&amp;IF($DO267&lt;&gt;"",$DO267&amp;", ","")&amp;IF($DP267&lt;&gt;"",$DP267&amp;", ","")&amp;IF($DQ267&lt;&gt;"",$DQ267&amp;", ","")&amp;IF($DR267&lt;&gt;"",$DR267&amp;", ","")&amp;IF($DS267&lt;&gt;"",$DS267&amp;", ","")&amp;IF($DT267&lt;&gt;"",$DT267&amp;", ","")&amp;IF($DU267&lt;&gt;"",$DU267&amp;", ","")))-2)))))))</f>
        <v/>
      </c>
      <c r="N267" t="str">
        <f t="shared" si="1990"/>
        <v/>
      </c>
      <c r="O267" t="str">
        <f t="shared" si="1991"/>
        <v/>
      </c>
      <c r="P267" t="str">
        <f t="shared" si="1992"/>
        <v/>
      </c>
      <c r="Q267" t="str">
        <f t="shared" si="1993"/>
        <v/>
      </c>
      <c r="R267" t="str">
        <f>IF($Q267="","",IF(OR($BE267="",$BF267=""),"ONZEKER",IF(AND($BE267=0+1,$BF267=0),IF(OR(COUNTIF(#REF!,$B267)&gt;0,COUNTIF(#REF!,$B267)=0),"SKIP",IF(COUNTIFS(#REF!,$B267,#REF!,$Q267)&gt;0,"OK","ONBEKEND")),IF(AND($BE267=0,$BF267=0+1),IF(OR(COUNTIF(#REF!,$D267)&gt;0,COUNTIF(#REF!,$D267)=0),"SKIP",IF(COUNTIFS(#REF!,$D267,#REF!,$Q267)&gt;0,"OK","ONBEKEND")),"ONZEKER"))))</f>
        <v/>
      </c>
      <c r="S267" t="str">
        <f t="shared" si="1994"/>
        <v/>
      </c>
      <c r="T267" t="str">
        <f t="shared" si="1995"/>
        <v/>
      </c>
      <c r="U267" t="str">
        <f>IF($T267="","",IF(OR($BH267="",$BI267=""),"ONZEKER",IF(OR($BE267="",$BF267=""),"ONZEKER",IF(AND($BH267=$BE267+1,$BI267=$BF267),IF(OR(COUNTIF(#REF!,$B267)&gt;0,COUNTIF(#REF!,$B267)=0),"SKIP",IF(COUNTIFS(#REF!,$B267,#REF!,$T267)&gt;0,"OK","ONBEKEND")),IF(AND($BH267=$BE267,$BI267=$BF267+1),IF(OR(COUNTIF(#REF!,$D267)&gt;0,COUNTIF(#REF!,$D267)=0),"SKIP",IF(COUNTIFS(#REF!,$D267,#REF!,$T267)&gt;0,"OK","ONBEKEND")),"ONZEKER")))))</f>
        <v/>
      </c>
      <c r="V267" t="str">
        <f t="shared" si="1996"/>
        <v/>
      </c>
      <c r="W267" t="str">
        <f t="shared" si="1997"/>
        <v/>
      </c>
      <c r="X267" t="str">
        <f>IF($W267="","",IF(OR($BK267="",$BL267=""),"ONZEKER",IF(OR($BH267="",$BI267=""),"ONZEKER",IF(AND($BK267=$BH267+1,$BL267=$BI267),IF(OR(COUNTIF(#REF!,$B267)&gt;0,COUNTIF(#REF!,$B267)=0),"SKIP",IF(COUNTIFS(#REF!,$B267,#REF!,$W267)&gt;0,"OK","ONBEKEND")),IF(AND($BK267=$BH267,$BL267=$BI267+1),IF(OR(COUNTIF(#REF!,$D267)&gt;0,COUNTIF(#REF!,$D267)=0),"SKIP",IF(COUNTIFS(#REF!,$D267,#REF!,$W267)&gt;0,"OK","ONBEKEND")),"ONZEKER")))))</f>
        <v/>
      </c>
      <c r="Y267" t="str">
        <f t="shared" si="1998"/>
        <v/>
      </c>
      <c r="Z267" t="str">
        <f t="shared" si="1999"/>
        <v/>
      </c>
      <c r="AA267" t="str">
        <f>IF($Z267="","",IF(OR($BN267="",$BO267=""),"ONZEKER",IF(OR($BK267="",$BL267=""),"ONZEKER",IF(AND($BN267=$BK267+1,$BO267=$BL267),IF(OR(COUNTIF(#REF!,$B267)&gt;0,COUNTIF(#REF!,$B267)=0),"SKIP",IF(COUNTIFS(#REF!,$B267,#REF!,$Z267)&gt;0,"OK","ONBEKEND")),IF(AND($BN267=$BK267,$BO267=$BL267+1),IF(OR(COUNTIF(#REF!,$D267)&gt;0,COUNTIF(#REF!,$D267)=0),"SKIP",IF(COUNTIFS(#REF!,$D267,#REF!,$Z267)&gt;0,"OK","ONBEKEND")),"ONZEKER")))))</f>
        <v/>
      </c>
      <c r="AB267" t="str">
        <f t="shared" si="2000"/>
        <v/>
      </c>
      <c r="AC267" t="str">
        <f t="shared" si="2001"/>
        <v/>
      </c>
      <c r="AD267" t="str">
        <f>IF($AC267="","",IF(OR($BQ267="",$BR267=""),"ONZEKER",IF(OR($BN267="",$BO267=""),"ONZEKER",IF(AND($BQ267=$BN267+1,$BR267=$BO267),IF(OR(COUNTIF(#REF!,$B267)&gt;0,COUNTIF(#REF!,$B267)=0),"SKIP",IF(COUNTIFS(#REF!,$B267,#REF!,$AC267)&gt;0,"OK","ONBEKEND")),IF(AND($BQ267=$BN267,$BR267=$BO267+1),IF(OR(COUNTIF(#REF!,$D267)&gt;0,COUNTIF(#REF!,$D267)=0),"SKIP",IF(COUNTIFS(#REF!,$D267,#REF!,$AC267)&gt;0,"OK","ONBEKEND")),"ONZEKER")))))</f>
        <v/>
      </c>
      <c r="AE267" t="str">
        <f t="shared" si="2002"/>
        <v/>
      </c>
      <c r="AF267" t="str">
        <f t="shared" si="2003"/>
        <v/>
      </c>
      <c r="AG267" t="str">
        <f>IF($AF267="","",IF(OR($BT267="",$BU267=""),"ONZEKER",IF(OR($BQ267="",$BR267=""),"ONZEKER",IF(AND($BT267=$BQ267+1,$BU267=$BR267),IF(OR(COUNTIF(#REF!,$B267)&gt;0,COUNTIF(#REF!,$B267)=0),"SKIP",IF(COUNTIFS(#REF!,$B267,#REF!,$AF267)&gt;0,"OK","ONBEKEND")),IF(AND($BT267=$BQ267,$BU267=$BR267+1),IF(OR(COUNTIF(#REF!,$D267)&gt;0,COUNTIF(#REF!,$D267)=0),"SKIP",IF(COUNTIFS(#REF!,$D267,#REF!,$AF267)&gt;0,"OK","ONBEKEND")),"ONZEKER")))))</f>
        <v/>
      </c>
      <c r="AH267" t="str">
        <f t="shared" si="2004"/>
        <v/>
      </c>
      <c r="AI267" t="str">
        <f t="shared" si="2005"/>
        <v/>
      </c>
      <c r="AJ267" t="str">
        <f>IF($AI267="","",IF(OR($BW267="",$BX267=""),"ONZEKER",IF(OR($BT267="",$BU267=""),"ONZEKER",IF(AND($BW267=$BT267+1,$BX267=$BU267),IF(OR(COUNTIF(#REF!,$B267)&gt;0,COUNTIF(#REF!,$B267)=0),"SKIP",IF(COUNTIFS(#REF!,$B267,#REF!,$AI267)&gt;0,"OK","ONBEKEND")),IF(AND($BW267=$BT267,$BX267=$BU267+1),IF(OR(COUNTIF(#REF!,$D267)&gt;0,COUNTIF(#REF!,$D267)=0),"SKIP",IF(COUNTIFS(#REF!,$D267,#REF!,$AI267)&gt;0,"OK","ONBEKEND")),"ONZEKER")))))</f>
        <v/>
      </c>
      <c r="AK267" t="str">
        <f t="shared" si="2006"/>
        <v/>
      </c>
      <c r="AL267" t="str">
        <f t="shared" si="2007"/>
        <v/>
      </c>
      <c r="AM267" t="str">
        <f>IF($AL267="","",IF(OR($BZ267="",$CA267=""),"ONZEKER",IF(OR($BW267="",$BX267=""),"ONZEKER",IF(AND($BZ267=$BW267+1,$CA267=$BX267),IF(OR(COUNTIF(#REF!,$B267)&gt;0,COUNTIF(#REF!,$B267)=0),"SKIP",IF(COUNTIFS(#REF!,$B267,#REF!,$AL267)&gt;0,"OK","ONBEKEND")),IF(AND($BZ267=$BW267,$CA267=$BX267+1),IF(OR(COUNTIF(#REF!,$D267)&gt;0,COUNTIF(#REF!,$D267)=0),"SKIP",IF(COUNTIFS(#REF!,$D267,#REF!,$AL267)&gt;0,"OK","ONBEKEND")),"ONZEKER")))))</f>
        <v/>
      </c>
      <c r="AN267" t="str">
        <f t="shared" si="2008"/>
        <v/>
      </c>
      <c r="AO267" t="str">
        <f t="shared" si="2009"/>
        <v/>
      </c>
      <c r="AP267" t="str">
        <f>IF($AO267="","",IF(OR($CC267="",$CD267=""),"ONZEKER",IF(OR($BZ267="",$CA267=""),"ONZEKER",IF(AND($CC267=$BZ267+1,$CD267=$CA267),IF(OR(COUNTIF(#REF!,$B267)&gt;0,COUNTIF(#REF!,$B267)=0),"SKIP",IF(COUNTIFS(#REF!,$B267,#REF!,$AO267)&gt;0,"OK","ONBEKEND")),IF(AND($CC267=$BZ267,$CD267=$CA267+1),IF(OR(COUNTIF(#REF!,$D267)&gt;0,COUNTIF(#REF!,$D267)=0),"SKIP",IF(COUNTIFS(#REF!,$D267,#REF!,$AO267)&gt;0,"OK","ONBEKEND")),"ONZEKER")))))</f>
        <v/>
      </c>
      <c r="AQ267" t="str">
        <f t="shared" si="2010"/>
        <v/>
      </c>
      <c r="AR267" t="str">
        <f t="shared" si="2011"/>
        <v/>
      </c>
      <c r="AS267" t="str">
        <f>IF($AR267="","",IF(OR($CF267="",$CG267=""),"ONZEKER",IF(OR($CC267="",$CD267=""),"ONZEKER",IF(AND($CF267=$CC267+1,$CG267=$CD267),IF(OR(COUNTIF(#REF!,$B267)&gt;0,COUNTIF(#REF!,$B267)=0),"SKIP",IF(COUNTIFS(#REF!,$B267,#REF!,$AR267)&gt;0,"OK","ONBEKEND")),IF(AND($CF267=$CC267,$CG267=$CD267+1),IF(OR(COUNTIF(#REF!,$D267)&gt;0,COUNTIF(#REF!,$D267)=0),"SKIP",IF(COUNTIFS(#REF!,$D267,#REF!,$AR267)&gt;0,"OK","ONBEKEND")),"ONZEKER")))))</f>
        <v/>
      </c>
      <c r="AT267" t="str">
        <f t="shared" si="2012"/>
        <v/>
      </c>
      <c r="AU267" t="str">
        <f t="shared" si="2013"/>
        <v/>
      </c>
      <c r="AV267" t="str">
        <f t="shared" si="2014"/>
        <v/>
      </c>
      <c r="AW267" t="str">
        <f t="shared" si="2015"/>
        <v/>
      </c>
      <c r="AX267" t="str">
        <f t="shared" si="2016"/>
        <v/>
      </c>
      <c r="AY267" t="str">
        <f t="shared" si="2017"/>
        <v/>
      </c>
      <c r="AZ267" t="str">
        <f t="shared" si="2018"/>
        <v/>
      </c>
      <c r="BA267" t="str">
        <f t="shared" si="2019"/>
        <v/>
      </c>
      <c r="BB267" t="str">
        <f t="shared" si="2020"/>
        <v/>
      </c>
      <c r="BC267" t="str">
        <f t="shared" si="2021"/>
        <v/>
      </c>
      <c r="BD267" t="str">
        <f t="shared" si="1960"/>
        <v/>
      </c>
      <c r="BE267" t="str">
        <f t="shared" si="1961"/>
        <v/>
      </c>
      <c r="BF267" t="str">
        <f t="shared" si="1962"/>
        <v/>
      </c>
      <c r="BG267" t="str">
        <f t="shared" si="1963"/>
        <v/>
      </c>
      <c r="BH267" t="str">
        <f t="shared" si="1964"/>
        <v/>
      </c>
      <c r="BI267" t="str">
        <f t="shared" si="1965"/>
        <v/>
      </c>
      <c r="BJ267" t="str">
        <f t="shared" si="1966"/>
        <v/>
      </c>
      <c r="BK267" t="str">
        <f t="shared" si="1967"/>
        <v/>
      </c>
      <c r="BL267" t="str">
        <f t="shared" si="1968"/>
        <v/>
      </c>
      <c r="BM267" t="str">
        <f t="shared" si="1969"/>
        <v/>
      </c>
      <c r="BN267" t="str">
        <f t="shared" si="1970"/>
        <v/>
      </c>
      <c r="BO267" t="str">
        <f t="shared" si="1971"/>
        <v/>
      </c>
      <c r="BP267" t="str">
        <f t="shared" si="1972"/>
        <v/>
      </c>
      <c r="BQ267" t="str">
        <f t="shared" si="1973"/>
        <v/>
      </c>
      <c r="BR267" t="str">
        <f t="shared" si="1974"/>
        <v/>
      </c>
      <c r="BS267" t="str">
        <f t="shared" si="1975"/>
        <v/>
      </c>
      <c r="BT267" t="str">
        <f t="shared" si="1976"/>
        <v/>
      </c>
      <c r="BU267" t="str">
        <f t="shared" si="1977"/>
        <v/>
      </c>
      <c r="BV267" t="str">
        <f t="shared" si="1978"/>
        <v/>
      </c>
      <c r="BW267" t="str">
        <f t="shared" si="1979"/>
        <v/>
      </c>
      <c r="BX267" t="str">
        <f t="shared" si="1980"/>
        <v/>
      </c>
      <c r="BY267" t="str">
        <f t="shared" si="1981"/>
        <v/>
      </c>
      <c r="BZ267" t="str">
        <f t="shared" si="1982"/>
        <v/>
      </c>
      <c r="CA267" t="str">
        <f t="shared" si="1983"/>
        <v/>
      </c>
      <c r="CB267" t="str">
        <f t="shared" si="1984"/>
        <v/>
      </c>
      <c r="CC267" t="str">
        <f t="shared" si="1985"/>
        <v/>
      </c>
      <c r="CD267" t="str">
        <f t="shared" si="1986"/>
        <v/>
      </c>
      <c r="CE267" t="str">
        <f t="shared" si="1987"/>
        <v/>
      </c>
      <c r="CF267" t="str">
        <f t="shared" si="1988"/>
        <v/>
      </c>
      <c r="CG267" t="str">
        <f t="shared" si="1989"/>
        <v/>
      </c>
      <c r="CH267" t="str">
        <f t="shared" si="2022"/>
        <v/>
      </c>
      <c r="CI267" t="str">
        <f t="shared" si="2023"/>
        <v/>
      </c>
      <c r="CJ267" t="str">
        <f>IF($CI267="","",IF(OR($DW267="",$DX267=""),"ONZEKER",IF(OR($CF267="",$CG267=""),"ONZEKER",IF(AND($DW267=$CF267+1,$DX267=$CG267),IF(OR(COUNTIF(#REF!,$B267)&gt;0,COUNTIF(#REF!,$B267)=0),"SKIP",IF(COUNTIFS(#REF!,$B267,#REF!,$CI267)&gt;0,"OK","ONBEKEND")),IF(AND($DW267=$CF267,$DX267=$CG267+1),IF(OR(COUNTIF(#REF!,$D267)&gt;0,COUNTIF(#REF!,$D267)=0),"SKIP",IF(COUNTIFS(#REF!,$D267,#REF!,$CI267)&gt;0,"OK","ONBEKEND")),"ONZEKER")))))</f>
        <v/>
      </c>
      <c r="CK267" t="str">
        <f t="shared" si="2024"/>
        <v/>
      </c>
      <c r="CL267" t="str">
        <f t="shared" si="2025"/>
        <v/>
      </c>
      <c r="CM267" t="str">
        <f>IF($CL267="","",IF(OR($DZ267="",$EA267=""),"ONZEKER",IF(OR($DW267="",$DX267=""),"ONZEKER",IF(AND($DZ267=$DW267+1,$EA267=$DX267),IF(OR(COUNTIF(#REF!,$B267)&gt;0,COUNTIF(#REF!,$B267)=0),"SKIP",IF(COUNTIFS(#REF!,$B267,#REF!,$CL267)&gt;0,"OK","ONBEKEND")),IF(AND($DZ267=$DW267,$EA267=$DX267+1),IF(OR(COUNTIF(#REF!,$D267)&gt;0,COUNTIF(#REF!,$D267)=0),"SKIP",IF(COUNTIFS(#REF!,$D267,#REF!,$CL267)&gt;0,"OK","ONBEKEND")),"ONZEKER")))))</f>
        <v/>
      </c>
      <c r="CN267" t="str">
        <f t="shared" si="2026"/>
        <v/>
      </c>
      <c r="CO267" t="str">
        <f t="shared" si="2027"/>
        <v/>
      </c>
      <c r="CP267" t="str">
        <f>IF($CO267="","",IF(OR($EC267="",$ED267=""),"ONZEKER",IF(OR($DZ267="",$EA267=""),"ONZEKER",IF(AND($EC267=$DZ267+1,$ED267=$EA267),IF(OR(COUNTIF(#REF!,$B267)&gt;0,COUNTIF(#REF!,$B267)=0),"SKIP",IF(COUNTIFS(#REF!,$B267,#REF!,$CO267)&gt;0,"OK","ONBEKEND")),IF(AND($EC267=$DZ267,$ED267=$EA267+1),IF(OR(COUNTIF(#REF!,$D267)&gt;0,COUNTIF(#REF!,$D267)=0),"SKIP",IF(COUNTIFS(#REF!,$D267,#REF!,$CO267)&gt;0,"OK","ONBEKEND")),"ONZEKER")))))</f>
        <v/>
      </c>
      <c r="CQ267" t="str">
        <f t="shared" si="2028"/>
        <v/>
      </c>
      <c r="CR267" t="str">
        <f t="shared" si="2029"/>
        <v/>
      </c>
      <c r="CS267" t="str">
        <f>IF($CR267="","",IF(OR($EF267="",$EG267=""),"ONZEKER",IF(OR($EC267="",$ED267=""),"ONZEKER",IF(AND($EF267=$EC267+1,$EG267=$ED267),IF(OR(COUNTIF(#REF!,$B267)&gt;0,COUNTIF(#REF!,$B267)=0),"SKIP",IF(COUNTIFS(#REF!,$B267,#REF!,$CR267)&gt;0,"OK","ONBEKEND")),IF(AND($EF267=$EC267,$EG267=$ED267+1),IF(OR(COUNTIF(#REF!,$D267)&gt;0,COUNTIF(#REF!,$D267)=0),"SKIP",IF(COUNTIFS(#REF!,$D267,#REF!,$CR267)&gt;0,"OK","ONBEKEND")),"ONZEKER")))))</f>
        <v/>
      </c>
      <c r="CT267" t="str">
        <f t="shared" si="2030"/>
        <v/>
      </c>
      <c r="CU267" t="str">
        <f t="shared" si="2031"/>
        <v/>
      </c>
      <c r="CV267" t="str">
        <f>IF($CU267="","",IF(OR($EI267="",$EJ267=""),"ONZEKER",IF(OR($EF267="",$EG267=""),"ONZEKER",IF(AND($EI267=$EF267+1,$EJ267=$EG267),IF(OR(COUNTIF(#REF!,$B267)&gt;0,COUNTIF(#REF!,$B267)=0),"SKIP",IF(COUNTIFS(#REF!,$B267,#REF!,$CU267)&gt;0,"OK","ONBEKEND")),IF(AND($EI267=$EF267,$EJ267=$EG267+1),IF(OR(COUNTIF(#REF!,$D267)&gt;0,COUNTIF(#REF!,$D267)=0),"SKIP",IF(COUNTIFS(#REF!,$D267,#REF!,$CU267)&gt;0,"OK","ONBEKEND")),"ONZEKER")))))</f>
        <v/>
      </c>
      <c r="CW267" t="str">
        <f t="shared" si="2032"/>
        <v/>
      </c>
      <c r="CX267" t="str">
        <f t="shared" si="2033"/>
        <v/>
      </c>
      <c r="CY267" t="str">
        <f>IF($CX267="","",IF(OR($EL267="",$EM267=""),"ONZEKER",IF(OR($EI267="",$EJ267=""),"ONZEKER",IF(AND($EL267=$EI267+1,$EM267=$EJ267),IF(OR(COUNTIF(#REF!,$B267)&gt;0,COUNTIF(#REF!,$B267)=0),"SKIP",IF(COUNTIFS(#REF!,$B267,#REF!,$CX267)&gt;0,"OK","ONBEKEND")),IF(AND($EL267=$EI267,$EM267=$EJ267+1),IF(OR(COUNTIF(#REF!,$D267)&gt;0,COUNTIF(#REF!,$D267)=0),"SKIP",IF(COUNTIFS(#REF!,$D267,#REF!,$CX267)&gt;0,"OK","ONBEKEND")),"ONZEKER")))))</f>
        <v/>
      </c>
      <c r="CZ267" t="str">
        <f t="shared" si="2034"/>
        <v/>
      </c>
      <c r="DA267" t="str">
        <f t="shared" si="2035"/>
        <v/>
      </c>
      <c r="DB267" t="str">
        <f>IF($DA267="","",IF(OR($EO267="",$EP267=""),"ONZEKER",IF(OR($EL267="",$EM267=""),"ONZEKER",IF(AND($EO267=$EL267+1,$EP267=$EM267),IF(OR(COUNTIF(#REF!,$B267)&gt;0,COUNTIF(#REF!,$B267)=0),"SKIP",IF(COUNTIFS(#REF!,$B267,#REF!,$DA267)&gt;0,"OK","ONBEKEND")),IF(AND($EO267=$EL267,$EP267=$EM267+1),IF(OR(COUNTIF(#REF!,$D267)&gt;0,COUNTIF(#REF!,$D267)=0),"SKIP",IF(COUNTIFS(#REF!,$D267,#REF!,$DA267)&gt;0,"OK","ONBEKEND")),"ONZEKER")))))</f>
        <v/>
      </c>
      <c r="DC267" t="str">
        <f t="shared" si="2036"/>
        <v/>
      </c>
      <c r="DD267" t="str">
        <f t="shared" si="2037"/>
        <v/>
      </c>
      <c r="DE267" t="str">
        <f>IF($DD267="","",IF(OR($ER267="",$ES267=""),"ONZEKER",IF(OR($EO267="",$EP267=""),"ONZEKER",IF(AND($ER267=$EO267+1,$ES267=$EP267),IF(OR(COUNTIF(#REF!,$B267)&gt;0,COUNTIF(#REF!,$B267)=0),"SKIP",IF(COUNTIFS(#REF!,$B267,#REF!,$DD267)&gt;0,"OK","ONBEKEND")),IF(AND($ER267=$EO267,$ES267=$EP267+1),IF(OR(COUNTIF(#REF!,$D267)&gt;0,COUNTIF(#REF!,$D267)=0),"SKIP",IF(COUNTIFS(#REF!,$D267,#REF!,$DD267)&gt;0,"OK","ONBEKEND")),"ONZEKER")))))</f>
        <v/>
      </c>
      <c r="DF267" t="str">
        <f t="shared" si="2038"/>
        <v/>
      </c>
      <c r="DG267" t="str">
        <f t="shared" si="2039"/>
        <v/>
      </c>
      <c r="DH267" t="str">
        <f>IF($DG267="","",IF(OR($EU267="",$EV267=""),"ONZEKER",IF(OR($ER267="",$ES267=""),"ONZEKER",IF(AND($EU267=$ER267+1,$EV267=$ES267),IF(OR(COUNTIF(#REF!,$B267)&gt;0,COUNTIF(#REF!,$B267)=0),"SKIP",IF(COUNTIFS(#REF!,$B267,#REF!,$DG267)&gt;0,"OK","ONBEKEND")),IF(AND($EU267=$ER267,$EV267=$ES267+1),IF(OR(COUNTIF(#REF!,$D267)&gt;0,COUNTIF(#REF!,$D267)=0),"SKIP",IF(COUNTIFS(#REF!,$D267,#REF!,$DG267)&gt;0,"OK","ONBEKEND")),"ONZEKER")))))</f>
        <v/>
      </c>
      <c r="DI267" t="str">
        <f t="shared" si="2040"/>
        <v/>
      </c>
      <c r="DJ267" t="str">
        <f t="shared" si="2041"/>
        <v/>
      </c>
      <c r="DK267" t="str">
        <f>IF($DJ267="","",IF(OR($EX267="",$EY267=""),"ONZEKER",IF(OR($EU267="",$EV267=""),"ONZEKER",IF(AND($EX267=$EU267+1,$EY267=$EV267),IF(OR(COUNTIF(#REF!,$B267)&gt;0,COUNTIF(#REF!,$B267)=0),"SKIP",IF(COUNTIFS(#REF!,$B267,#REF!,$DJ267)&gt;0,"OK","ONBEKEND")),IF(AND($EX267=$EU267,$EY267=$EV267+1),IF(OR(COUNTIF(#REF!,$D267)&gt;0,COUNTIF(#REF!,$D267)=0),"SKIP",IF(COUNTIFS(#REF!,$D267,#REF!,$DJ267)&gt;0,"OK","ONBEKEND")),"ONZEKER")))))</f>
        <v/>
      </c>
      <c r="DL267" t="str">
        <f t="shared" si="2042"/>
        <v/>
      </c>
      <c r="DM267" t="str">
        <f t="shared" si="2043"/>
        <v/>
      </c>
      <c r="DN267" t="str">
        <f t="shared" si="2044"/>
        <v/>
      </c>
      <c r="DO267" t="str">
        <f t="shared" si="2045"/>
        <v/>
      </c>
      <c r="DP267" t="str">
        <f t="shared" si="2046"/>
        <v/>
      </c>
      <c r="DQ267" t="str">
        <f t="shared" si="2047"/>
        <v/>
      </c>
      <c r="DR267" t="str">
        <f t="shared" si="2048"/>
        <v/>
      </c>
      <c r="DS267" t="str">
        <f t="shared" si="2049"/>
        <v/>
      </c>
      <c r="DT267" t="str">
        <f t="shared" si="2050"/>
        <v/>
      </c>
      <c r="DU267" t="str">
        <f t="shared" si="2051"/>
        <v/>
      </c>
      <c r="DV267" t="str">
        <f t="shared" si="2052"/>
        <v/>
      </c>
      <c r="DW267" t="str">
        <f t="shared" si="2053"/>
        <v/>
      </c>
      <c r="DX267" t="str">
        <f t="shared" si="2054"/>
        <v/>
      </c>
      <c r="DY267" t="str">
        <f t="shared" si="2055"/>
        <v/>
      </c>
      <c r="DZ267" t="str">
        <f t="shared" si="2056"/>
        <v/>
      </c>
      <c r="EA267" t="str">
        <f t="shared" si="2057"/>
        <v/>
      </c>
      <c r="EB267" t="str">
        <f t="shared" si="2058"/>
        <v/>
      </c>
      <c r="EC267" t="str">
        <f t="shared" si="2059"/>
        <v/>
      </c>
      <c r="ED267" t="str">
        <f t="shared" si="2060"/>
        <v/>
      </c>
      <c r="EE267" t="str">
        <f t="shared" si="2061"/>
        <v/>
      </c>
      <c r="EF267" t="str">
        <f t="shared" si="2062"/>
        <v/>
      </c>
      <c r="EG267" t="str">
        <f t="shared" si="2063"/>
        <v/>
      </c>
      <c r="EH267" t="str">
        <f t="shared" si="2064"/>
        <v/>
      </c>
      <c r="EI267" t="str">
        <f t="shared" si="2065"/>
        <v/>
      </c>
      <c r="EJ267" t="str">
        <f t="shared" si="2066"/>
        <v/>
      </c>
      <c r="EK267" t="str">
        <f t="shared" si="2067"/>
        <v/>
      </c>
      <c r="EL267" t="str">
        <f t="shared" si="2068"/>
        <v/>
      </c>
      <c r="EM267" t="str">
        <f t="shared" si="2069"/>
        <v/>
      </c>
      <c r="EN267" t="str">
        <f t="shared" si="2070"/>
        <v/>
      </c>
      <c r="EO267" t="str">
        <f t="shared" si="2071"/>
        <v/>
      </c>
      <c r="EP267" t="str">
        <f t="shared" si="2072"/>
        <v/>
      </c>
      <c r="EQ267" t="str">
        <f t="shared" si="2073"/>
        <v/>
      </c>
      <c r="ER267" t="str">
        <f t="shared" si="2074"/>
        <v/>
      </c>
      <c r="ES267" t="str">
        <f t="shared" si="2075"/>
        <v/>
      </c>
      <c r="ET267" t="str">
        <f t="shared" si="2076"/>
        <v/>
      </c>
      <c r="EU267" t="str">
        <f t="shared" si="2077"/>
        <v/>
      </c>
      <c r="EV267" t="str">
        <f t="shared" si="2078"/>
        <v/>
      </c>
      <c r="EW267" t="str">
        <f t="shared" si="2079"/>
        <v/>
      </c>
      <c r="EX267" t="str">
        <f t="shared" si="2080"/>
        <v/>
      </c>
      <c r="EY267" t="str">
        <f t="shared" si="2081"/>
        <v/>
      </c>
    </row>
    <row r="268" spans="1:155" ht="13.9" customHeight="1" x14ac:dyDescent="0.25">
      <c r="A268" s="7"/>
      <c r="B268" s="17"/>
      <c r="C268" s="8"/>
      <c r="D268" s="17"/>
      <c r="E268" s="8"/>
      <c r="F268" s="18">
        <v>0</v>
      </c>
      <c r="G268" s="7" t="s">
        <v>147</v>
      </c>
      <c r="H268" s="18">
        <v>0</v>
      </c>
      <c r="I268" s="19">
        <v>0</v>
      </c>
      <c r="J268" s="7" t="s">
        <v>147</v>
      </c>
      <c r="K268" s="19">
        <v>0</v>
      </c>
      <c r="L268" s="9"/>
      <c r="M268" s="3" t="str">
        <f>IF($L268="","",IF($L268="DOELPUNTENMAKERS","",IF(AND(COUNTIF(#REF!,$B268)=0,COUNTIF(#REF!,$D268)=0),"OK",IF($O268&gt;20,"LET OP: meer dan 20 items (controle onvolledig)",IF((COUNTIF($R268:$AS268,"ONZEKER")+COUNTIF($CJ268:$DK268,"ONZEKER"))&gt;0,"LET OP: scoreverloop onduidelijk (controle beperkt)",IF((IF($AT268&lt;&gt;"",$AT268&amp;", ","")&amp;IF($AU268&lt;&gt;"",$AU268&amp;", ","")&amp;IF($AV268&lt;&gt;"",$AV268&amp;", ","")&amp;IF($AW268&lt;&gt;"",$AW268&amp;", ","")&amp;IF($AX268&lt;&gt;"",$AX268&amp;", ","")&amp;IF($AY268&lt;&gt;"",$AY268&amp;", ","")&amp;IF($AZ268&lt;&gt;"",$AZ268&amp;", ","")&amp;IF($BA268&lt;&gt;"",$BA268&amp;", ","")&amp;IF($BB268&lt;&gt;"",$BB268&amp;", ","")&amp;IF($BC268&lt;&gt;"",$BC268&amp;", ","")&amp;IF($DL268&lt;&gt;"",$DL268&amp;", ","")&amp;IF($DM268&lt;&gt;"",$DM268&amp;", ","")&amp;IF($DN268&lt;&gt;"",$DN268&amp;", ","")&amp;IF($DO268&lt;&gt;"",$DO268&amp;", ","")&amp;IF($DP268&lt;&gt;"",$DP268&amp;", ","")&amp;IF($DQ268&lt;&gt;"",$DQ268&amp;", ","")&amp;IF($DR268&lt;&gt;"",$DR268&amp;", ","")&amp;IF($DS268&lt;&gt;"",$DS268&amp;", ","")&amp;IF($DT268&lt;&gt;"",$DT268&amp;", ","")&amp;IF($DU268&lt;&gt;"",$DU268&amp;", ",""))="","OK","Onbekend: "&amp;LEFT((IF($AT268&lt;&gt;"",$AT268&amp;", ","")&amp;IF($AU268&lt;&gt;"",$AU268&amp;", ","")&amp;IF($AV268&lt;&gt;"",$AV268&amp;", ","")&amp;IF($AW268&lt;&gt;"",$AW268&amp;", ","")&amp;IF($AX268&lt;&gt;"",$AX268&amp;", ","")&amp;IF($AY268&lt;&gt;"",$AY268&amp;", ","")&amp;IF($AZ268&lt;&gt;"",$AZ268&amp;", ","")&amp;IF($BA268&lt;&gt;"",$BA268&amp;", ","")&amp;IF($BB268&lt;&gt;"",$BB268&amp;", ","")&amp;IF($BC268&lt;&gt;"",$BC268&amp;", ","")&amp;IF($DL268&lt;&gt;"",$DL268&amp;", ","")&amp;IF($DM268&lt;&gt;"",$DM268&amp;", ","")&amp;IF($DN268&lt;&gt;"",$DN268&amp;", ","")&amp;IF($DO268&lt;&gt;"",$DO268&amp;", ","")&amp;IF($DP268&lt;&gt;"",$DP268&amp;", ","")&amp;IF($DQ268&lt;&gt;"",$DQ268&amp;", ","")&amp;IF($DR268&lt;&gt;"",$DR268&amp;", ","")&amp;IF($DS268&lt;&gt;"",$DS268&amp;", ","")&amp;IF($DT268&lt;&gt;"",$DT268&amp;", ","")&amp;IF($DU268&lt;&gt;"",$DU268&amp;", ","")),LEN((IF($AT268&lt;&gt;"",$AT268&amp;", ","")&amp;IF($AU268&lt;&gt;"",$AU268&amp;", ","")&amp;IF($AV268&lt;&gt;"",$AV268&amp;", ","")&amp;IF($AW268&lt;&gt;"",$AW268&amp;", ","")&amp;IF($AX268&lt;&gt;"",$AX268&amp;", ","")&amp;IF($AY268&lt;&gt;"",$AY268&amp;", ","")&amp;IF($AZ268&lt;&gt;"",$AZ268&amp;", ","")&amp;IF($BA268&lt;&gt;"",$BA268&amp;", ","")&amp;IF($BB268&lt;&gt;"",$BB268&amp;", ","")&amp;IF($BC268&lt;&gt;"",$BC268&amp;", ","")&amp;IF($DL268&lt;&gt;"",$DL268&amp;", ","")&amp;IF($DM268&lt;&gt;"",$DM268&amp;", ","")&amp;IF($DN268&lt;&gt;"",$DN268&amp;", ","")&amp;IF($DO268&lt;&gt;"",$DO268&amp;", ","")&amp;IF($DP268&lt;&gt;"",$DP268&amp;", ","")&amp;IF($DQ268&lt;&gt;"",$DQ268&amp;", ","")&amp;IF($DR268&lt;&gt;"",$DR268&amp;", ","")&amp;IF($DS268&lt;&gt;"",$DS268&amp;", ","")&amp;IF($DT268&lt;&gt;"",$DT268&amp;", ","")&amp;IF($DU268&lt;&gt;"",$DU268&amp;", ","")))-2)))))))</f>
        <v/>
      </c>
      <c r="N268" t="str">
        <f t="shared" si="1990"/>
        <v/>
      </c>
      <c r="O268" t="str">
        <f t="shared" si="1991"/>
        <v/>
      </c>
      <c r="P268" t="str">
        <f t="shared" si="1992"/>
        <v/>
      </c>
      <c r="Q268" t="str">
        <f t="shared" si="1993"/>
        <v/>
      </c>
      <c r="R268" t="str">
        <f>IF($Q268="","",IF(OR($BE268="",$BF268=""),"ONZEKER",IF(AND($BE268=0+1,$BF268=0),IF(OR(COUNTIF(#REF!,$B268)&gt;0,COUNTIF(#REF!,$B268)=0),"SKIP",IF(COUNTIFS(#REF!,$B268,#REF!,$Q268)&gt;0,"OK","ONBEKEND")),IF(AND($BE268=0,$BF268=0+1),IF(OR(COUNTIF(#REF!,$D268)&gt;0,COUNTIF(#REF!,$D268)=0),"SKIP",IF(COUNTIFS(#REF!,$D268,#REF!,$Q268)&gt;0,"OK","ONBEKEND")),"ONZEKER"))))</f>
        <v/>
      </c>
      <c r="S268" t="str">
        <f t="shared" si="1994"/>
        <v/>
      </c>
      <c r="T268" t="str">
        <f t="shared" si="1995"/>
        <v/>
      </c>
      <c r="U268" t="str">
        <f>IF($T268="","",IF(OR($BH268="",$BI268=""),"ONZEKER",IF(OR($BE268="",$BF268=""),"ONZEKER",IF(AND($BH268=$BE268+1,$BI268=$BF268),IF(OR(COUNTIF(#REF!,$B268)&gt;0,COUNTIF(#REF!,$B268)=0),"SKIP",IF(COUNTIFS(#REF!,$B268,#REF!,$T268)&gt;0,"OK","ONBEKEND")),IF(AND($BH268=$BE268,$BI268=$BF268+1),IF(OR(COUNTIF(#REF!,$D268)&gt;0,COUNTIF(#REF!,$D268)=0),"SKIP",IF(COUNTIFS(#REF!,$D268,#REF!,$T268)&gt;0,"OK","ONBEKEND")),"ONZEKER")))))</f>
        <v/>
      </c>
      <c r="V268" t="str">
        <f t="shared" si="1996"/>
        <v/>
      </c>
      <c r="W268" t="str">
        <f t="shared" si="1997"/>
        <v/>
      </c>
      <c r="X268" t="str">
        <f>IF($W268="","",IF(OR($BK268="",$BL268=""),"ONZEKER",IF(OR($BH268="",$BI268=""),"ONZEKER",IF(AND($BK268=$BH268+1,$BL268=$BI268),IF(OR(COUNTIF(#REF!,$B268)&gt;0,COUNTIF(#REF!,$B268)=0),"SKIP",IF(COUNTIFS(#REF!,$B268,#REF!,$W268)&gt;0,"OK","ONBEKEND")),IF(AND($BK268=$BH268,$BL268=$BI268+1),IF(OR(COUNTIF(#REF!,$D268)&gt;0,COUNTIF(#REF!,$D268)=0),"SKIP",IF(COUNTIFS(#REF!,$D268,#REF!,$W268)&gt;0,"OK","ONBEKEND")),"ONZEKER")))))</f>
        <v/>
      </c>
      <c r="Y268" t="str">
        <f t="shared" si="1998"/>
        <v/>
      </c>
      <c r="Z268" t="str">
        <f t="shared" si="1999"/>
        <v/>
      </c>
      <c r="AA268" t="str">
        <f>IF($Z268="","",IF(OR($BN268="",$BO268=""),"ONZEKER",IF(OR($BK268="",$BL268=""),"ONZEKER",IF(AND($BN268=$BK268+1,$BO268=$BL268),IF(OR(COUNTIF(#REF!,$B268)&gt;0,COUNTIF(#REF!,$B268)=0),"SKIP",IF(COUNTIFS(#REF!,$B268,#REF!,$Z268)&gt;0,"OK","ONBEKEND")),IF(AND($BN268=$BK268,$BO268=$BL268+1),IF(OR(COUNTIF(#REF!,$D268)&gt;0,COUNTIF(#REF!,$D268)=0),"SKIP",IF(COUNTIFS(#REF!,$D268,#REF!,$Z268)&gt;0,"OK","ONBEKEND")),"ONZEKER")))))</f>
        <v/>
      </c>
      <c r="AB268" t="str">
        <f t="shared" si="2000"/>
        <v/>
      </c>
      <c r="AC268" t="str">
        <f t="shared" si="2001"/>
        <v/>
      </c>
      <c r="AD268" t="str">
        <f>IF($AC268="","",IF(OR($BQ268="",$BR268=""),"ONZEKER",IF(OR($BN268="",$BO268=""),"ONZEKER",IF(AND($BQ268=$BN268+1,$BR268=$BO268),IF(OR(COUNTIF(#REF!,$B268)&gt;0,COUNTIF(#REF!,$B268)=0),"SKIP",IF(COUNTIFS(#REF!,$B268,#REF!,$AC268)&gt;0,"OK","ONBEKEND")),IF(AND($BQ268=$BN268,$BR268=$BO268+1),IF(OR(COUNTIF(#REF!,$D268)&gt;0,COUNTIF(#REF!,$D268)=0),"SKIP",IF(COUNTIFS(#REF!,$D268,#REF!,$AC268)&gt;0,"OK","ONBEKEND")),"ONZEKER")))))</f>
        <v/>
      </c>
      <c r="AE268" t="str">
        <f t="shared" si="2002"/>
        <v/>
      </c>
      <c r="AF268" t="str">
        <f t="shared" si="2003"/>
        <v/>
      </c>
      <c r="AG268" t="str">
        <f>IF($AF268="","",IF(OR($BT268="",$BU268=""),"ONZEKER",IF(OR($BQ268="",$BR268=""),"ONZEKER",IF(AND($BT268=$BQ268+1,$BU268=$BR268),IF(OR(COUNTIF(#REF!,$B268)&gt;0,COUNTIF(#REF!,$B268)=0),"SKIP",IF(COUNTIFS(#REF!,$B268,#REF!,$AF268)&gt;0,"OK","ONBEKEND")),IF(AND($BT268=$BQ268,$BU268=$BR268+1),IF(OR(COUNTIF(#REF!,$D268)&gt;0,COUNTIF(#REF!,$D268)=0),"SKIP",IF(COUNTIFS(#REF!,$D268,#REF!,$AF268)&gt;0,"OK","ONBEKEND")),"ONZEKER")))))</f>
        <v/>
      </c>
      <c r="AH268" t="str">
        <f t="shared" si="2004"/>
        <v/>
      </c>
      <c r="AI268" t="str">
        <f t="shared" si="2005"/>
        <v/>
      </c>
      <c r="AJ268" t="str">
        <f>IF($AI268="","",IF(OR($BW268="",$BX268=""),"ONZEKER",IF(OR($BT268="",$BU268=""),"ONZEKER",IF(AND($BW268=$BT268+1,$BX268=$BU268),IF(OR(COUNTIF(#REF!,$B268)&gt;0,COUNTIF(#REF!,$B268)=0),"SKIP",IF(COUNTIFS(#REF!,$B268,#REF!,$AI268)&gt;0,"OK","ONBEKEND")),IF(AND($BW268=$BT268,$BX268=$BU268+1),IF(OR(COUNTIF(#REF!,$D268)&gt;0,COUNTIF(#REF!,$D268)=0),"SKIP",IF(COUNTIFS(#REF!,$D268,#REF!,$AI268)&gt;0,"OK","ONBEKEND")),"ONZEKER")))))</f>
        <v/>
      </c>
      <c r="AK268" t="str">
        <f t="shared" si="2006"/>
        <v/>
      </c>
      <c r="AL268" t="str">
        <f t="shared" si="2007"/>
        <v/>
      </c>
      <c r="AM268" t="str">
        <f>IF($AL268="","",IF(OR($BZ268="",$CA268=""),"ONZEKER",IF(OR($BW268="",$BX268=""),"ONZEKER",IF(AND($BZ268=$BW268+1,$CA268=$BX268),IF(OR(COUNTIF(#REF!,$B268)&gt;0,COUNTIF(#REF!,$B268)=0),"SKIP",IF(COUNTIFS(#REF!,$B268,#REF!,$AL268)&gt;0,"OK","ONBEKEND")),IF(AND($BZ268=$BW268,$CA268=$BX268+1),IF(OR(COUNTIF(#REF!,$D268)&gt;0,COUNTIF(#REF!,$D268)=0),"SKIP",IF(COUNTIFS(#REF!,$D268,#REF!,$AL268)&gt;0,"OK","ONBEKEND")),"ONZEKER")))))</f>
        <v/>
      </c>
      <c r="AN268" t="str">
        <f t="shared" si="2008"/>
        <v/>
      </c>
      <c r="AO268" t="str">
        <f t="shared" si="2009"/>
        <v/>
      </c>
      <c r="AP268" t="str">
        <f>IF($AO268="","",IF(OR($CC268="",$CD268=""),"ONZEKER",IF(OR($BZ268="",$CA268=""),"ONZEKER",IF(AND($CC268=$BZ268+1,$CD268=$CA268),IF(OR(COUNTIF(#REF!,$B268)&gt;0,COUNTIF(#REF!,$B268)=0),"SKIP",IF(COUNTIFS(#REF!,$B268,#REF!,$AO268)&gt;0,"OK","ONBEKEND")),IF(AND($CC268=$BZ268,$CD268=$CA268+1),IF(OR(COUNTIF(#REF!,$D268)&gt;0,COUNTIF(#REF!,$D268)=0),"SKIP",IF(COUNTIFS(#REF!,$D268,#REF!,$AO268)&gt;0,"OK","ONBEKEND")),"ONZEKER")))))</f>
        <v/>
      </c>
      <c r="AQ268" t="str">
        <f t="shared" si="2010"/>
        <v/>
      </c>
      <c r="AR268" t="str">
        <f t="shared" si="2011"/>
        <v/>
      </c>
      <c r="AS268" t="str">
        <f>IF($AR268="","",IF(OR($CF268="",$CG268=""),"ONZEKER",IF(OR($CC268="",$CD268=""),"ONZEKER",IF(AND($CF268=$CC268+1,$CG268=$CD268),IF(OR(COUNTIF(#REF!,$B268)&gt;0,COUNTIF(#REF!,$B268)=0),"SKIP",IF(COUNTIFS(#REF!,$B268,#REF!,$AR268)&gt;0,"OK","ONBEKEND")),IF(AND($CF268=$CC268,$CG268=$CD268+1),IF(OR(COUNTIF(#REF!,$D268)&gt;0,COUNTIF(#REF!,$D268)=0),"SKIP",IF(COUNTIFS(#REF!,$D268,#REF!,$AR268)&gt;0,"OK","ONBEKEND")),"ONZEKER")))))</f>
        <v/>
      </c>
      <c r="AT268" t="str">
        <f t="shared" si="2012"/>
        <v/>
      </c>
      <c r="AU268" t="str">
        <f t="shared" si="2013"/>
        <v/>
      </c>
      <c r="AV268" t="str">
        <f t="shared" si="2014"/>
        <v/>
      </c>
      <c r="AW268" t="str">
        <f t="shared" si="2015"/>
        <v/>
      </c>
      <c r="AX268" t="str">
        <f t="shared" si="2016"/>
        <v/>
      </c>
      <c r="AY268" t="str">
        <f t="shared" si="2017"/>
        <v/>
      </c>
      <c r="AZ268" t="str">
        <f t="shared" si="2018"/>
        <v/>
      </c>
      <c r="BA268" t="str">
        <f t="shared" si="2019"/>
        <v/>
      </c>
      <c r="BB268" t="str">
        <f t="shared" si="2020"/>
        <v/>
      </c>
      <c r="BC268" t="str">
        <f t="shared" si="2021"/>
        <v/>
      </c>
      <c r="BD268" t="str">
        <f t="shared" si="1960"/>
        <v/>
      </c>
      <c r="BE268" t="str">
        <f t="shared" si="1961"/>
        <v/>
      </c>
      <c r="BF268" t="str">
        <f t="shared" si="1962"/>
        <v/>
      </c>
      <c r="BG268" t="str">
        <f t="shared" si="1963"/>
        <v/>
      </c>
      <c r="BH268" t="str">
        <f t="shared" si="1964"/>
        <v/>
      </c>
      <c r="BI268" t="str">
        <f t="shared" si="1965"/>
        <v/>
      </c>
      <c r="BJ268" t="str">
        <f t="shared" si="1966"/>
        <v/>
      </c>
      <c r="BK268" t="str">
        <f t="shared" si="1967"/>
        <v/>
      </c>
      <c r="BL268" t="str">
        <f t="shared" si="1968"/>
        <v/>
      </c>
      <c r="BM268" t="str">
        <f t="shared" si="1969"/>
        <v/>
      </c>
      <c r="BN268" t="str">
        <f t="shared" si="1970"/>
        <v/>
      </c>
      <c r="BO268" t="str">
        <f t="shared" si="1971"/>
        <v/>
      </c>
      <c r="BP268" t="str">
        <f t="shared" si="1972"/>
        <v/>
      </c>
      <c r="BQ268" t="str">
        <f t="shared" si="1973"/>
        <v/>
      </c>
      <c r="BR268" t="str">
        <f t="shared" si="1974"/>
        <v/>
      </c>
      <c r="BS268" t="str">
        <f t="shared" si="1975"/>
        <v/>
      </c>
      <c r="BT268" t="str">
        <f t="shared" si="1976"/>
        <v/>
      </c>
      <c r="BU268" t="str">
        <f t="shared" si="1977"/>
        <v/>
      </c>
      <c r="BV268" t="str">
        <f t="shared" si="1978"/>
        <v/>
      </c>
      <c r="BW268" t="str">
        <f t="shared" si="1979"/>
        <v/>
      </c>
      <c r="BX268" t="str">
        <f t="shared" si="1980"/>
        <v/>
      </c>
      <c r="BY268" t="str">
        <f t="shared" si="1981"/>
        <v/>
      </c>
      <c r="BZ268" t="str">
        <f t="shared" si="1982"/>
        <v/>
      </c>
      <c r="CA268" t="str">
        <f t="shared" si="1983"/>
        <v/>
      </c>
      <c r="CB268" t="str">
        <f t="shared" si="1984"/>
        <v/>
      </c>
      <c r="CC268" t="str">
        <f t="shared" si="1985"/>
        <v/>
      </c>
      <c r="CD268" t="str">
        <f t="shared" si="1986"/>
        <v/>
      </c>
      <c r="CE268" t="str">
        <f t="shared" si="1987"/>
        <v/>
      </c>
      <c r="CF268" t="str">
        <f t="shared" si="1988"/>
        <v/>
      </c>
      <c r="CG268" t="str">
        <f t="shared" si="1989"/>
        <v/>
      </c>
      <c r="CH268" t="str">
        <f t="shared" si="2022"/>
        <v/>
      </c>
      <c r="CI268" t="str">
        <f t="shared" si="2023"/>
        <v/>
      </c>
      <c r="CJ268" t="str">
        <f>IF($CI268="","",IF(OR($DW268="",$DX268=""),"ONZEKER",IF(OR($CF268="",$CG268=""),"ONZEKER",IF(AND($DW268=$CF268+1,$DX268=$CG268),IF(OR(COUNTIF(#REF!,$B268)&gt;0,COUNTIF(#REF!,$B268)=0),"SKIP",IF(COUNTIFS(#REF!,$B268,#REF!,$CI268)&gt;0,"OK","ONBEKEND")),IF(AND($DW268=$CF268,$DX268=$CG268+1),IF(OR(COUNTIF(#REF!,$D268)&gt;0,COUNTIF(#REF!,$D268)=0),"SKIP",IF(COUNTIFS(#REF!,$D268,#REF!,$CI268)&gt;0,"OK","ONBEKEND")),"ONZEKER")))))</f>
        <v/>
      </c>
      <c r="CK268" t="str">
        <f t="shared" si="2024"/>
        <v/>
      </c>
      <c r="CL268" t="str">
        <f t="shared" si="2025"/>
        <v/>
      </c>
      <c r="CM268" t="str">
        <f>IF($CL268="","",IF(OR($DZ268="",$EA268=""),"ONZEKER",IF(OR($DW268="",$DX268=""),"ONZEKER",IF(AND($DZ268=$DW268+1,$EA268=$DX268),IF(OR(COUNTIF(#REF!,$B268)&gt;0,COUNTIF(#REF!,$B268)=0),"SKIP",IF(COUNTIFS(#REF!,$B268,#REF!,$CL268)&gt;0,"OK","ONBEKEND")),IF(AND($DZ268=$DW268,$EA268=$DX268+1),IF(OR(COUNTIF(#REF!,$D268)&gt;0,COUNTIF(#REF!,$D268)=0),"SKIP",IF(COUNTIFS(#REF!,$D268,#REF!,$CL268)&gt;0,"OK","ONBEKEND")),"ONZEKER")))))</f>
        <v/>
      </c>
      <c r="CN268" t="str">
        <f t="shared" si="2026"/>
        <v/>
      </c>
      <c r="CO268" t="str">
        <f t="shared" si="2027"/>
        <v/>
      </c>
      <c r="CP268" t="str">
        <f>IF($CO268="","",IF(OR($EC268="",$ED268=""),"ONZEKER",IF(OR($DZ268="",$EA268=""),"ONZEKER",IF(AND($EC268=$DZ268+1,$ED268=$EA268),IF(OR(COUNTIF(#REF!,$B268)&gt;0,COUNTIF(#REF!,$B268)=0),"SKIP",IF(COUNTIFS(#REF!,$B268,#REF!,$CO268)&gt;0,"OK","ONBEKEND")),IF(AND($EC268=$DZ268,$ED268=$EA268+1),IF(OR(COUNTIF(#REF!,$D268)&gt;0,COUNTIF(#REF!,$D268)=0),"SKIP",IF(COUNTIFS(#REF!,$D268,#REF!,$CO268)&gt;0,"OK","ONBEKEND")),"ONZEKER")))))</f>
        <v/>
      </c>
      <c r="CQ268" t="str">
        <f t="shared" si="2028"/>
        <v/>
      </c>
      <c r="CR268" t="str">
        <f t="shared" si="2029"/>
        <v/>
      </c>
      <c r="CS268" t="str">
        <f>IF($CR268="","",IF(OR($EF268="",$EG268=""),"ONZEKER",IF(OR($EC268="",$ED268=""),"ONZEKER",IF(AND($EF268=$EC268+1,$EG268=$ED268),IF(OR(COUNTIF(#REF!,$B268)&gt;0,COUNTIF(#REF!,$B268)=0),"SKIP",IF(COUNTIFS(#REF!,$B268,#REF!,$CR268)&gt;0,"OK","ONBEKEND")),IF(AND($EF268=$EC268,$EG268=$ED268+1),IF(OR(COUNTIF(#REF!,$D268)&gt;0,COUNTIF(#REF!,$D268)=0),"SKIP",IF(COUNTIFS(#REF!,$D268,#REF!,$CR268)&gt;0,"OK","ONBEKEND")),"ONZEKER")))))</f>
        <v/>
      </c>
      <c r="CT268" t="str">
        <f t="shared" si="2030"/>
        <v/>
      </c>
      <c r="CU268" t="str">
        <f t="shared" si="2031"/>
        <v/>
      </c>
      <c r="CV268" t="str">
        <f>IF($CU268="","",IF(OR($EI268="",$EJ268=""),"ONZEKER",IF(OR($EF268="",$EG268=""),"ONZEKER",IF(AND($EI268=$EF268+1,$EJ268=$EG268),IF(OR(COUNTIF(#REF!,$B268)&gt;0,COUNTIF(#REF!,$B268)=0),"SKIP",IF(COUNTIFS(#REF!,$B268,#REF!,$CU268)&gt;0,"OK","ONBEKEND")),IF(AND($EI268=$EF268,$EJ268=$EG268+1),IF(OR(COUNTIF(#REF!,$D268)&gt;0,COUNTIF(#REF!,$D268)=0),"SKIP",IF(COUNTIFS(#REF!,$D268,#REF!,$CU268)&gt;0,"OK","ONBEKEND")),"ONZEKER")))))</f>
        <v/>
      </c>
      <c r="CW268" t="str">
        <f t="shared" si="2032"/>
        <v/>
      </c>
      <c r="CX268" t="str">
        <f t="shared" si="2033"/>
        <v/>
      </c>
      <c r="CY268" t="str">
        <f>IF($CX268="","",IF(OR($EL268="",$EM268=""),"ONZEKER",IF(OR($EI268="",$EJ268=""),"ONZEKER",IF(AND($EL268=$EI268+1,$EM268=$EJ268),IF(OR(COUNTIF(#REF!,$B268)&gt;0,COUNTIF(#REF!,$B268)=0),"SKIP",IF(COUNTIFS(#REF!,$B268,#REF!,$CX268)&gt;0,"OK","ONBEKEND")),IF(AND($EL268=$EI268,$EM268=$EJ268+1),IF(OR(COUNTIF(#REF!,$D268)&gt;0,COUNTIF(#REF!,$D268)=0),"SKIP",IF(COUNTIFS(#REF!,$D268,#REF!,$CX268)&gt;0,"OK","ONBEKEND")),"ONZEKER")))))</f>
        <v/>
      </c>
      <c r="CZ268" t="str">
        <f t="shared" si="2034"/>
        <v/>
      </c>
      <c r="DA268" t="str">
        <f t="shared" si="2035"/>
        <v/>
      </c>
      <c r="DB268" t="str">
        <f>IF($DA268="","",IF(OR($EO268="",$EP268=""),"ONZEKER",IF(OR($EL268="",$EM268=""),"ONZEKER",IF(AND($EO268=$EL268+1,$EP268=$EM268),IF(OR(COUNTIF(#REF!,$B268)&gt;0,COUNTIF(#REF!,$B268)=0),"SKIP",IF(COUNTIFS(#REF!,$B268,#REF!,$DA268)&gt;0,"OK","ONBEKEND")),IF(AND($EO268=$EL268,$EP268=$EM268+1),IF(OR(COUNTIF(#REF!,$D268)&gt;0,COUNTIF(#REF!,$D268)=0),"SKIP",IF(COUNTIFS(#REF!,$D268,#REF!,$DA268)&gt;0,"OK","ONBEKEND")),"ONZEKER")))))</f>
        <v/>
      </c>
      <c r="DC268" t="str">
        <f t="shared" si="2036"/>
        <v/>
      </c>
      <c r="DD268" t="str">
        <f t="shared" si="2037"/>
        <v/>
      </c>
      <c r="DE268" t="str">
        <f>IF($DD268="","",IF(OR($ER268="",$ES268=""),"ONZEKER",IF(OR($EO268="",$EP268=""),"ONZEKER",IF(AND($ER268=$EO268+1,$ES268=$EP268),IF(OR(COUNTIF(#REF!,$B268)&gt;0,COUNTIF(#REF!,$B268)=0),"SKIP",IF(COUNTIFS(#REF!,$B268,#REF!,$DD268)&gt;0,"OK","ONBEKEND")),IF(AND($ER268=$EO268,$ES268=$EP268+1),IF(OR(COUNTIF(#REF!,$D268)&gt;0,COUNTIF(#REF!,$D268)=0),"SKIP",IF(COUNTIFS(#REF!,$D268,#REF!,$DD268)&gt;0,"OK","ONBEKEND")),"ONZEKER")))))</f>
        <v/>
      </c>
      <c r="DF268" t="str">
        <f t="shared" si="2038"/>
        <v/>
      </c>
      <c r="DG268" t="str">
        <f t="shared" si="2039"/>
        <v/>
      </c>
      <c r="DH268" t="str">
        <f>IF($DG268="","",IF(OR($EU268="",$EV268=""),"ONZEKER",IF(OR($ER268="",$ES268=""),"ONZEKER",IF(AND($EU268=$ER268+1,$EV268=$ES268),IF(OR(COUNTIF(#REF!,$B268)&gt;0,COUNTIF(#REF!,$B268)=0),"SKIP",IF(COUNTIFS(#REF!,$B268,#REF!,$DG268)&gt;0,"OK","ONBEKEND")),IF(AND($EU268=$ER268,$EV268=$ES268+1),IF(OR(COUNTIF(#REF!,$D268)&gt;0,COUNTIF(#REF!,$D268)=0),"SKIP",IF(COUNTIFS(#REF!,$D268,#REF!,$DG268)&gt;0,"OK","ONBEKEND")),"ONZEKER")))))</f>
        <v/>
      </c>
      <c r="DI268" t="str">
        <f t="shared" si="2040"/>
        <v/>
      </c>
      <c r="DJ268" t="str">
        <f t="shared" si="2041"/>
        <v/>
      </c>
      <c r="DK268" t="str">
        <f>IF($DJ268="","",IF(OR($EX268="",$EY268=""),"ONZEKER",IF(OR($EU268="",$EV268=""),"ONZEKER",IF(AND($EX268=$EU268+1,$EY268=$EV268),IF(OR(COUNTIF(#REF!,$B268)&gt;0,COUNTIF(#REF!,$B268)=0),"SKIP",IF(COUNTIFS(#REF!,$B268,#REF!,$DJ268)&gt;0,"OK","ONBEKEND")),IF(AND($EX268=$EU268,$EY268=$EV268+1),IF(OR(COUNTIF(#REF!,$D268)&gt;0,COUNTIF(#REF!,$D268)=0),"SKIP",IF(COUNTIFS(#REF!,$D268,#REF!,$DJ268)&gt;0,"OK","ONBEKEND")),"ONZEKER")))))</f>
        <v/>
      </c>
      <c r="DL268" t="str">
        <f t="shared" si="2042"/>
        <v/>
      </c>
      <c r="DM268" t="str">
        <f t="shared" si="2043"/>
        <v/>
      </c>
      <c r="DN268" t="str">
        <f t="shared" si="2044"/>
        <v/>
      </c>
      <c r="DO268" t="str">
        <f t="shared" si="2045"/>
        <v/>
      </c>
      <c r="DP268" t="str">
        <f t="shared" si="2046"/>
        <v/>
      </c>
      <c r="DQ268" t="str">
        <f t="shared" si="2047"/>
        <v/>
      </c>
      <c r="DR268" t="str">
        <f t="shared" si="2048"/>
        <v/>
      </c>
      <c r="DS268" t="str">
        <f t="shared" si="2049"/>
        <v/>
      </c>
      <c r="DT268" t="str">
        <f t="shared" si="2050"/>
        <v/>
      </c>
      <c r="DU268" t="str">
        <f t="shared" si="2051"/>
        <v/>
      </c>
      <c r="DV268" t="str">
        <f t="shared" si="2052"/>
        <v/>
      </c>
      <c r="DW268" t="str">
        <f t="shared" si="2053"/>
        <v/>
      </c>
      <c r="DX268" t="str">
        <f t="shared" si="2054"/>
        <v/>
      </c>
      <c r="DY268" t="str">
        <f t="shared" si="2055"/>
        <v/>
      </c>
      <c r="DZ268" t="str">
        <f t="shared" si="2056"/>
        <v/>
      </c>
      <c r="EA268" t="str">
        <f t="shared" si="2057"/>
        <v/>
      </c>
      <c r="EB268" t="str">
        <f t="shared" si="2058"/>
        <v/>
      </c>
      <c r="EC268" t="str">
        <f t="shared" si="2059"/>
        <v/>
      </c>
      <c r="ED268" t="str">
        <f t="shared" si="2060"/>
        <v/>
      </c>
      <c r="EE268" t="str">
        <f t="shared" si="2061"/>
        <v/>
      </c>
      <c r="EF268" t="str">
        <f t="shared" si="2062"/>
        <v/>
      </c>
      <c r="EG268" t="str">
        <f t="shared" si="2063"/>
        <v/>
      </c>
      <c r="EH268" t="str">
        <f t="shared" si="2064"/>
        <v/>
      </c>
      <c r="EI268" t="str">
        <f t="shared" si="2065"/>
        <v/>
      </c>
      <c r="EJ268" t="str">
        <f t="shared" si="2066"/>
        <v/>
      </c>
      <c r="EK268" t="str">
        <f t="shared" si="2067"/>
        <v/>
      </c>
      <c r="EL268" t="str">
        <f t="shared" si="2068"/>
        <v/>
      </c>
      <c r="EM268" t="str">
        <f t="shared" si="2069"/>
        <v/>
      </c>
      <c r="EN268" t="str">
        <f t="shared" si="2070"/>
        <v/>
      </c>
      <c r="EO268" t="str">
        <f t="shared" si="2071"/>
        <v/>
      </c>
      <c r="EP268" t="str">
        <f t="shared" si="2072"/>
        <v/>
      </c>
      <c r="EQ268" t="str">
        <f t="shared" si="2073"/>
        <v/>
      </c>
      <c r="ER268" t="str">
        <f t="shared" si="2074"/>
        <v/>
      </c>
      <c r="ES268" t="str">
        <f t="shared" si="2075"/>
        <v/>
      </c>
      <c r="ET268" t="str">
        <f t="shared" si="2076"/>
        <v/>
      </c>
      <c r="EU268" t="str">
        <f t="shared" si="2077"/>
        <v/>
      </c>
      <c r="EV268" t="str">
        <f t="shared" si="2078"/>
        <v/>
      </c>
      <c r="EW268" t="str">
        <f t="shared" si="2079"/>
        <v/>
      </c>
      <c r="EX268" t="str">
        <f t="shared" si="2080"/>
        <v/>
      </c>
      <c r="EY268" t="str">
        <f t="shared" si="2081"/>
        <v/>
      </c>
    </row>
    <row r="269" spans="1:155" ht="13.9" customHeight="1" x14ac:dyDescent="0.25">
      <c r="A269" s="7"/>
      <c r="B269" s="17"/>
      <c r="C269" s="8"/>
      <c r="D269" s="17"/>
      <c r="E269" s="8"/>
      <c r="F269" s="18">
        <v>0</v>
      </c>
      <c r="G269" s="7" t="s">
        <v>147</v>
      </c>
      <c r="H269" s="18">
        <v>0</v>
      </c>
      <c r="I269" s="19">
        <v>0</v>
      </c>
      <c r="J269" s="7" t="s">
        <v>147</v>
      </c>
      <c r="K269" s="19">
        <v>0</v>
      </c>
      <c r="L269" s="9"/>
      <c r="M269" s="3" t="str">
        <f>IF($L269="","",IF($L269="DOELPUNTENMAKERS","",IF(AND(COUNTIF(#REF!,$B269)=0,COUNTIF(#REF!,$D269)=0),"OK",IF($O269&gt;20,"LET OP: meer dan 20 items (controle onvolledig)",IF((COUNTIF($R269:$AS269,"ONZEKER")+COUNTIF($CJ269:$DK269,"ONZEKER"))&gt;0,"LET OP: scoreverloop onduidelijk (controle beperkt)",IF((IF($AT269&lt;&gt;"",$AT269&amp;", ","")&amp;IF($AU269&lt;&gt;"",$AU269&amp;", ","")&amp;IF($AV269&lt;&gt;"",$AV269&amp;", ","")&amp;IF($AW269&lt;&gt;"",$AW269&amp;", ","")&amp;IF($AX269&lt;&gt;"",$AX269&amp;", ","")&amp;IF($AY269&lt;&gt;"",$AY269&amp;", ","")&amp;IF($AZ269&lt;&gt;"",$AZ269&amp;", ","")&amp;IF($BA269&lt;&gt;"",$BA269&amp;", ","")&amp;IF($BB269&lt;&gt;"",$BB269&amp;", ","")&amp;IF($BC269&lt;&gt;"",$BC269&amp;", ","")&amp;IF($DL269&lt;&gt;"",$DL269&amp;", ","")&amp;IF($DM269&lt;&gt;"",$DM269&amp;", ","")&amp;IF($DN269&lt;&gt;"",$DN269&amp;", ","")&amp;IF($DO269&lt;&gt;"",$DO269&amp;", ","")&amp;IF($DP269&lt;&gt;"",$DP269&amp;", ","")&amp;IF($DQ269&lt;&gt;"",$DQ269&amp;", ","")&amp;IF($DR269&lt;&gt;"",$DR269&amp;", ","")&amp;IF($DS269&lt;&gt;"",$DS269&amp;", ","")&amp;IF($DT269&lt;&gt;"",$DT269&amp;", ","")&amp;IF($DU269&lt;&gt;"",$DU269&amp;", ",""))="","OK","Onbekend: "&amp;LEFT((IF($AT269&lt;&gt;"",$AT269&amp;", ","")&amp;IF($AU269&lt;&gt;"",$AU269&amp;", ","")&amp;IF($AV269&lt;&gt;"",$AV269&amp;", ","")&amp;IF($AW269&lt;&gt;"",$AW269&amp;", ","")&amp;IF($AX269&lt;&gt;"",$AX269&amp;", ","")&amp;IF($AY269&lt;&gt;"",$AY269&amp;", ","")&amp;IF($AZ269&lt;&gt;"",$AZ269&amp;", ","")&amp;IF($BA269&lt;&gt;"",$BA269&amp;", ","")&amp;IF($BB269&lt;&gt;"",$BB269&amp;", ","")&amp;IF($BC269&lt;&gt;"",$BC269&amp;", ","")&amp;IF($DL269&lt;&gt;"",$DL269&amp;", ","")&amp;IF($DM269&lt;&gt;"",$DM269&amp;", ","")&amp;IF($DN269&lt;&gt;"",$DN269&amp;", ","")&amp;IF($DO269&lt;&gt;"",$DO269&amp;", ","")&amp;IF($DP269&lt;&gt;"",$DP269&amp;", ","")&amp;IF($DQ269&lt;&gt;"",$DQ269&amp;", ","")&amp;IF($DR269&lt;&gt;"",$DR269&amp;", ","")&amp;IF($DS269&lt;&gt;"",$DS269&amp;", ","")&amp;IF($DT269&lt;&gt;"",$DT269&amp;", ","")&amp;IF($DU269&lt;&gt;"",$DU269&amp;", ","")),LEN((IF($AT269&lt;&gt;"",$AT269&amp;", ","")&amp;IF($AU269&lt;&gt;"",$AU269&amp;", ","")&amp;IF($AV269&lt;&gt;"",$AV269&amp;", ","")&amp;IF($AW269&lt;&gt;"",$AW269&amp;", ","")&amp;IF($AX269&lt;&gt;"",$AX269&amp;", ","")&amp;IF($AY269&lt;&gt;"",$AY269&amp;", ","")&amp;IF($AZ269&lt;&gt;"",$AZ269&amp;", ","")&amp;IF($BA269&lt;&gt;"",$BA269&amp;", ","")&amp;IF($BB269&lt;&gt;"",$BB269&amp;", ","")&amp;IF($BC269&lt;&gt;"",$BC269&amp;", ","")&amp;IF($DL269&lt;&gt;"",$DL269&amp;", ","")&amp;IF($DM269&lt;&gt;"",$DM269&amp;", ","")&amp;IF($DN269&lt;&gt;"",$DN269&amp;", ","")&amp;IF($DO269&lt;&gt;"",$DO269&amp;", ","")&amp;IF($DP269&lt;&gt;"",$DP269&amp;", ","")&amp;IF($DQ269&lt;&gt;"",$DQ269&amp;", ","")&amp;IF($DR269&lt;&gt;"",$DR269&amp;", ","")&amp;IF($DS269&lt;&gt;"",$DS269&amp;", ","")&amp;IF($DT269&lt;&gt;"",$DT269&amp;", ","")&amp;IF($DU269&lt;&gt;"",$DU269&amp;", ","")))-2)))))))</f>
        <v/>
      </c>
      <c r="N269" t="str">
        <f t="shared" si="1990"/>
        <v/>
      </c>
      <c r="O269" t="str">
        <f t="shared" si="1991"/>
        <v/>
      </c>
      <c r="P269" t="str">
        <f t="shared" si="1992"/>
        <v/>
      </c>
      <c r="Q269" t="str">
        <f t="shared" si="1993"/>
        <v/>
      </c>
      <c r="R269" t="str">
        <f>IF($Q269="","",IF(OR($BE269="",$BF269=""),"ONZEKER",IF(AND($BE269=0+1,$BF269=0),IF(OR(COUNTIF(#REF!,$B269)&gt;0,COUNTIF(#REF!,$B269)=0),"SKIP",IF(COUNTIFS(#REF!,$B269,#REF!,$Q269)&gt;0,"OK","ONBEKEND")),IF(AND($BE269=0,$BF269=0+1),IF(OR(COUNTIF(#REF!,$D269)&gt;0,COUNTIF(#REF!,$D269)=0),"SKIP",IF(COUNTIFS(#REF!,$D269,#REF!,$Q269)&gt;0,"OK","ONBEKEND")),"ONZEKER"))))</f>
        <v/>
      </c>
      <c r="S269" t="str">
        <f t="shared" si="1994"/>
        <v/>
      </c>
      <c r="T269" t="str">
        <f t="shared" si="1995"/>
        <v/>
      </c>
      <c r="U269" t="str">
        <f>IF($T269="","",IF(OR($BH269="",$BI269=""),"ONZEKER",IF(OR($BE269="",$BF269=""),"ONZEKER",IF(AND($BH269=$BE269+1,$BI269=$BF269),IF(OR(COUNTIF(#REF!,$B269)&gt;0,COUNTIF(#REF!,$B269)=0),"SKIP",IF(COUNTIFS(#REF!,$B269,#REF!,$T269)&gt;0,"OK","ONBEKEND")),IF(AND($BH269=$BE269,$BI269=$BF269+1),IF(OR(COUNTIF(#REF!,$D269)&gt;0,COUNTIF(#REF!,$D269)=0),"SKIP",IF(COUNTIFS(#REF!,$D269,#REF!,$T269)&gt;0,"OK","ONBEKEND")),"ONZEKER")))))</f>
        <v/>
      </c>
      <c r="V269" t="str">
        <f t="shared" si="1996"/>
        <v/>
      </c>
      <c r="W269" t="str">
        <f t="shared" si="1997"/>
        <v/>
      </c>
      <c r="X269" t="str">
        <f>IF($W269="","",IF(OR($BK269="",$BL269=""),"ONZEKER",IF(OR($BH269="",$BI269=""),"ONZEKER",IF(AND($BK269=$BH269+1,$BL269=$BI269),IF(OR(COUNTIF(#REF!,$B269)&gt;0,COUNTIF(#REF!,$B269)=0),"SKIP",IF(COUNTIFS(#REF!,$B269,#REF!,$W269)&gt;0,"OK","ONBEKEND")),IF(AND($BK269=$BH269,$BL269=$BI269+1),IF(OR(COUNTIF(#REF!,$D269)&gt;0,COUNTIF(#REF!,$D269)=0),"SKIP",IF(COUNTIFS(#REF!,$D269,#REF!,$W269)&gt;0,"OK","ONBEKEND")),"ONZEKER")))))</f>
        <v/>
      </c>
      <c r="Y269" t="str">
        <f t="shared" si="1998"/>
        <v/>
      </c>
      <c r="Z269" t="str">
        <f t="shared" si="1999"/>
        <v/>
      </c>
      <c r="AA269" t="str">
        <f>IF($Z269="","",IF(OR($BN269="",$BO269=""),"ONZEKER",IF(OR($BK269="",$BL269=""),"ONZEKER",IF(AND($BN269=$BK269+1,$BO269=$BL269),IF(OR(COUNTIF(#REF!,$B269)&gt;0,COUNTIF(#REF!,$B269)=0),"SKIP",IF(COUNTIFS(#REF!,$B269,#REF!,$Z269)&gt;0,"OK","ONBEKEND")),IF(AND($BN269=$BK269,$BO269=$BL269+1),IF(OR(COUNTIF(#REF!,$D269)&gt;0,COUNTIF(#REF!,$D269)=0),"SKIP",IF(COUNTIFS(#REF!,$D269,#REF!,$Z269)&gt;0,"OK","ONBEKEND")),"ONZEKER")))))</f>
        <v/>
      </c>
      <c r="AB269" t="str">
        <f t="shared" si="2000"/>
        <v/>
      </c>
      <c r="AC269" t="str">
        <f t="shared" si="2001"/>
        <v/>
      </c>
      <c r="AD269" t="str">
        <f>IF($AC269="","",IF(OR($BQ269="",$BR269=""),"ONZEKER",IF(OR($BN269="",$BO269=""),"ONZEKER",IF(AND($BQ269=$BN269+1,$BR269=$BO269),IF(OR(COUNTIF(#REF!,$B269)&gt;0,COUNTIF(#REF!,$B269)=0),"SKIP",IF(COUNTIFS(#REF!,$B269,#REF!,$AC269)&gt;0,"OK","ONBEKEND")),IF(AND($BQ269=$BN269,$BR269=$BO269+1),IF(OR(COUNTIF(#REF!,$D269)&gt;0,COUNTIF(#REF!,$D269)=0),"SKIP",IF(COUNTIFS(#REF!,$D269,#REF!,$AC269)&gt;0,"OK","ONBEKEND")),"ONZEKER")))))</f>
        <v/>
      </c>
      <c r="AE269" t="str">
        <f t="shared" si="2002"/>
        <v/>
      </c>
      <c r="AF269" t="str">
        <f t="shared" si="2003"/>
        <v/>
      </c>
      <c r="AG269" t="str">
        <f>IF($AF269="","",IF(OR($BT269="",$BU269=""),"ONZEKER",IF(OR($BQ269="",$BR269=""),"ONZEKER",IF(AND($BT269=$BQ269+1,$BU269=$BR269),IF(OR(COUNTIF(#REF!,$B269)&gt;0,COUNTIF(#REF!,$B269)=0),"SKIP",IF(COUNTIFS(#REF!,$B269,#REF!,$AF269)&gt;0,"OK","ONBEKEND")),IF(AND($BT269=$BQ269,$BU269=$BR269+1),IF(OR(COUNTIF(#REF!,$D269)&gt;0,COUNTIF(#REF!,$D269)=0),"SKIP",IF(COUNTIFS(#REF!,$D269,#REF!,$AF269)&gt;0,"OK","ONBEKEND")),"ONZEKER")))))</f>
        <v/>
      </c>
      <c r="AH269" t="str">
        <f t="shared" si="2004"/>
        <v/>
      </c>
      <c r="AI269" t="str">
        <f t="shared" si="2005"/>
        <v/>
      </c>
      <c r="AJ269" t="str">
        <f>IF($AI269="","",IF(OR($BW269="",$BX269=""),"ONZEKER",IF(OR($BT269="",$BU269=""),"ONZEKER",IF(AND($BW269=$BT269+1,$BX269=$BU269),IF(OR(COUNTIF(#REF!,$B269)&gt;0,COUNTIF(#REF!,$B269)=0),"SKIP",IF(COUNTIFS(#REF!,$B269,#REF!,$AI269)&gt;0,"OK","ONBEKEND")),IF(AND($BW269=$BT269,$BX269=$BU269+1),IF(OR(COUNTIF(#REF!,$D269)&gt;0,COUNTIF(#REF!,$D269)=0),"SKIP",IF(COUNTIFS(#REF!,$D269,#REF!,$AI269)&gt;0,"OK","ONBEKEND")),"ONZEKER")))))</f>
        <v/>
      </c>
      <c r="AK269" t="str">
        <f t="shared" si="2006"/>
        <v/>
      </c>
      <c r="AL269" t="str">
        <f t="shared" si="2007"/>
        <v/>
      </c>
      <c r="AM269" t="str">
        <f>IF($AL269="","",IF(OR($BZ269="",$CA269=""),"ONZEKER",IF(OR($BW269="",$BX269=""),"ONZEKER",IF(AND($BZ269=$BW269+1,$CA269=$BX269),IF(OR(COUNTIF(#REF!,$B269)&gt;0,COUNTIF(#REF!,$B269)=0),"SKIP",IF(COUNTIFS(#REF!,$B269,#REF!,$AL269)&gt;0,"OK","ONBEKEND")),IF(AND($BZ269=$BW269,$CA269=$BX269+1),IF(OR(COUNTIF(#REF!,$D269)&gt;0,COUNTIF(#REF!,$D269)=0),"SKIP",IF(COUNTIFS(#REF!,$D269,#REF!,$AL269)&gt;0,"OK","ONBEKEND")),"ONZEKER")))))</f>
        <v/>
      </c>
      <c r="AN269" t="str">
        <f t="shared" si="2008"/>
        <v/>
      </c>
      <c r="AO269" t="str">
        <f t="shared" si="2009"/>
        <v/>
      </c>
      <c r="AP269" t="str">
        <f>IF($AO269="","",IF(OR($CC269="",$CD269=""),"ONZEKER",IF(OR($BZ269="",$CA269=""),"ONZEKER",IF(AND($CC269=$BZ269+1,$CD269=$CA269),IF(OR(COUNTIF(#REF!,$B269)&gt;0,COUNTIF(#REF!,$B269)=0),"SKIP",IF(COUNTIFS(#REF!,$B269,#REF!,$AO269)&gt;0,"OK","ONBEKEND")),IF(AND($CC269=$BZ269,$CD269=$CA269+1),IF(OR(COUNTIF(#REF!,$D269)&gt;0,COUNTIF(#REF!,$D269)=0),"SKIP",IF(COUNTIFS(#REF!,$D269,#REF!,$AO269)&gt;0,"OK","ONBEKEND")),"ONZEKER")))))</f>
        <v/>
      </c>
      <c r="AQ269" t="str">
        <f t="shared" si="2010"/>
        <v/>
      </c>
      <c r="AR269" t="str">
        <f t="shared" si="2011"/>
        <v/>
      </c>
      <c r="AS269" t="str">
        <f>IF($AR269="","",IF(OR($CF269="",$CG269=""),"ONZEKER",IF(OR($CC269="",$CD269=""),"ONZEKER",IF(AND($CF269=$CC269+1,$CG269=$CD269),IF(OR(COUNTIF(#REF!,$B269)&gt;0,COUNTIF(#REF!,$B269)=0),"SKIP",IF(COUNTIFS(#REF!,$B269,#REF!,$AR269)&gt;0,"OK","ONBEKEND")),IF(AND($CF269=$CC269,$CG269=$CD269+1),IF(OR(COUNTIF(#REF!,$D269)&gt;0,COUNTIF(#REF!,$D269)=0),"SKIP",IF(COUNTIFS(#REF!,$D269,#REF!,$AR269)&gt;0,"OK","ONBEKEND")),"ONZEKER")))))</f>
        <v/>
      </c>
      <c r="AT269" t="str">
        <f t="shared" si="2012"/>
        <v/>
      </c>
      <c r="AU269" t="str">
        <f t="shared" si="2013"/>
        <v/>
      </c>
      <c r="AV269" t="str">
        <f t="shared" si="2014"/>
        <v/>
      </c>
      <c r="AW269" t="str">
        <f t="shared" si="2015"/>
        <v/>
      </c>
      <c r="AX269" t="str">
        <f t="shared" si="2016"/>
        <v/>
      </c>
      <c r="AY269" t="str">
        <f t="shared" si="2017"/>
        <v/>
      </c>
      <c r="AZ269" t="str">
        <f t="shared" si="2018"/>
        <v/>
      </c>
      <c r="BA269" t="str">
        <f t="shared" si="2019"/>
        <v/>
      </c>
      <c r="BB269" t="str">
        <f t="shared" si="2020"/>
        <v/>
      </c>
      <c r="BC269" t="str">
        <f t="shared" si="2021"/>
        <v/>
      </c>
      <c r="BD269" t="str">
        <f t="shared" si="1960"/>
        <v/>
      </c>
      <c r="BE269" t="str">
        <f t="shared" si="1961"/>
        <v/>
      </c>
      <c r="BF269" t="str">
        <f t="shared" si="1962"/>
        <v/>
      </c>
      <c r="BG269" t="str">
        <f t="shared" si="1963"/>
        <v/>
      </c>
      <c r="BH269" t="str">
        <f t="shared" si="1964"/>
        <v/>
      </c>
      <c r="BI269" t="str">
        <f t="shared" si="1965"/>
        <v/>
      </c>
      <c r="BJ269" t="str">
        <f t="shared" si="1966"/>
        <v/>
      </c>
      <c r="BK269" t="str">
        <f t="shared" si="1967"/>
        <v/>
      </c>
      <c r="BL269" t="str">
        <f t="shared" si="1968"/>
        <v/>
      </c>
      <c r="BM269" t="str">
        <f t="shared" si="1969"/>
        <v/>
      </c>
      <c r="BN269" t="str">
        <f t="shared" si="1970"/>
        <v/>
      </c>
      <c r="BO269" t="str">
        <f t="shared" si="1971"/>
        <v/>
      </c>
      <c r="BP269" t="str">
        <f t="shared" si="1972"/>
        <v/>
      </c>
      <c r="BQ269" t="str">
        <f t="shared" si="1973"/>
        <v/>
      </c>
      <c r="BR269" t="str">
        <f t="shared" si="1974"/>
        <v/>
      </c>
      <c r="BS269" t="str">
        <f t="shared" si="1975"/>
        <v/>
      </c>
      <c r="BT269" t="str">
        <f t="shared" si="1976"/>
        <v/>
      </c>
      <c r="BU269" t="str">
        <f t="shared" si="1977"/>
        <v/>
      </c>
      <c r="BV269" t="str">
        <f t="shared" si="1978"/>
        <v/>
      </c>
      <c r="BW269" t="str">
        <f t="shared" si="1979"/>
        <v/>
      </c>
      <c r="BX269" t="str">
        <f t="shared" si="1980"/>
        <v/>
      </c>
      <c r="BY269" t="str">
        <f t="shared" si="1981"/>
        <v/>
      </c>
      <c r="BZ269" t="str">
        <f t="shared" si="1982"/>
        <v/>
      </c>
      <c r="CA269" t="str">
        <f t="shared" si="1983"/>
        <v/>
      </c>
      <c r="CB269" t="str">
        <f t="shared" si="1984"/>
        <v/>
      </c>
      <c r="CC269" t="str">
        <f t="shared" si="1985"/>
        <v/>
      </c>
      <c r="CD269" t="str">
        <f t="shared" si="1986"/>
        <v/>
      </c>
      <c r="CE269" t="str">
        <f t="shared" si="1987"/>
        <v/>
      </c>
      <c r="CF269" t="str">
        <f t="shared" si="1988"/>
        <v/>
      </c>
      <c r="CG269" t="str">
        <f t="shared" si="1989"/>
        <v/>
      </c>
      <c r="CH269" t="str">
        <f t="shared" si="2022"/>
        <v/>
      </c>
      <c r="CI269" t="str">
        <f t="shared" si="2023"/>
        <v/>
      </c>
      <c r="CJ269" t="str">
        <f>IF($CI269="","",IF(OR($DW269="",$DX269=""),"ONZEKER",IF(OR($CF269="",$CG269=""),"ONZEKER",IF(AND($DW269=$CF269+1,$DX269=$CG269),IF(OR(COUNTIF(#REF!,$B269)&gt;0,COUNTIF(#REF!,$B269)=0),"SKIP",IF(COUNTIFS(#REF!,$B269,#REF!,$CI269)&gt;0,"OK","ONBEKEND")),IF(AND($DW269=$CF269,$DX269=$CG269+1),IF(OR(COUNTIF(#REF!,$D269)&gt;0,COUNTIF(#REF!,$D269)=0),"SKIP",IF(COUNTIFS(#REF!,$D269,#REF!,$CI269)&gt;0,"OK","ONBEKEND")),"ONZEKER")))))</f>
        <v/>
      </c>
      <c r="CK269" t="str">
        <f t="shared" si="2024"/>
        <v/>
      </c>
      <c r="CL269" t="str">
        <f t="shared" si="2025"/>
        <v/>
      </c>
      <c r="CM269" t="str">
        <f>IF($CL269="","",IF(OR($DZ269="",$EA269=""),"ONZEKER",IF(OR($DW269="",$DX269=""),"ONZEKER",IF(AND($DZ269=$DW269+1,$EA269=$DX269),IF(OR(COUNTIF(#REF!,$B269)&gt;0,COUNTIF(#REF!,$B269)=0),"SKIP",IF(COUNTIFS(#REF!,$B269,#REF!,$CL269)&gt;0,"OK","ONBEKEND")),IF(AND($DZ269=$DW269,$EA269=$DX269+1),IF(OR(COUNTIF(#REF!,$D269)&gt;0,COUNTIF(#REF!,$D269)=0),"SKIP",IF(COUNTIFS(#REF!,$D269,#REF!,$CL269)&gt;0,"OK","ONBEKEND")),"ONZEKER")))))</f>
        <v/>
      </c>
      <c r="CN269" t="str">
        <f t="shared" si="2026"/>
        <v/>
      </c>
      <c r="CO269" t="str">
        <f t="shared" si="2027"/>
        <v/>
      </c>
      <c r="CP269" t="str">
        <f>IF($CO269="","",IF(OR($EC269="",$ED269=""),"ONZEKER",IF(OR($DZ269="",$EA269=""),"ONZEKER",IF(AND($EC269=$DZ269+1,$ED269=$EA269),IF(OR(COUNTIF(#REF!,$B269)&gt;0,COUNTIF(#REF!,$B269)=0),"SKIP",IF(COUNTIFS(#REF!,$B269,#REF!,$CO269)&gt;0,"OK","ONBEKEND")),IF(AND($EC269=$DZ269,$ED269=$EA269+1),IF(OR(COUNTIF(#REF!,$D269)&gt;0,COUNTIF(#REF!,$D269)=0),"SKIP",IF(COUNTIFS(#REF!,$D269,#REF!,$CO269)&gt;0,"OK","ONBEKEND")),"ONZEKER")))))</f>
        <v/>
      </c>
      <c r="CQ269" t="str">
        <f t="shared" si="2028"/>
        <v/>
      </c>
      <c r="CR269" t="str">
        <f t="shared" si="2029"/>
        <v/>
      </c>
      <c r="CS269" t="str">
        <f>IF($CR269="","",IF(OR($EF269="",$EG269=""),"ONZEKER",IF(OR($EC269="",$ED269=""),"ONZEKER",IF(AND($EF269=$EC269+1,$EG269=$ED269),IF(OR(COUNTIF(#REF!,$B269)&gt;0,COUNTIF(#REF!,$B269)=0),"SKIP",IF(COUNTIFS(#REF!,$B269,#REF!,$CR269)&gt;0,"OK","ONBEKEND")),IF(AND($EF269=$EC269,$EG269=$ED269+1),IF(OR(COUNTIF(#REF!,$D269)&gt;0,COUNTIF(#REF!,$D269)=0),"SKIP",IF(COUNTIFS(#REF!,$D269,#REF!,$CR269)&gt;0,"OK","ONBEKEND")),"ONZEKER")))))</f>
        <v/>
      </c>
      <c r="CT269" t="str">
        <f t="shared" si="2030"/>
        <v/>
      </c>
      <c r="CU269" t="str">
        <f t="shared" si="2031"/>
        <v/>
      </c>
      <c r="CV269" t="str">
        <f>IF($CU269="","",IF(OR($EI269="",$EJ269=""),"ONZEKER",IF(OR($EF269="",$EG269=""),"ONZEKER",IF(AND($EI269=$EF269+1,$EJ269=$EG269),IF(OR(COUNTIF(#REF!,$B269)&gt;0,COUNTIF(#REF!,$B269)=0),"SKIP",IF(COUNTIFS(#REF!,$B269,#REF!,$CU269)&gt;0,"OK","ONBEKEND")),IF(AND($EI269=$EF269,$EJ269=$EG269+1),IF(OR(COUNTIF(#REF!,$D269)&gt;0,COUNTIF(#REF!,$D269)=0),"SKIP",IF(COUNTIFS(#REF!,$D269,#REF!,$CU269)&gt;0,"OK","ONBEKEND")),"ONZEKER")))))</f>
        <v/>
      </c>
      <c r="CW269" t="str">
        <f t="shared" si="2032"/>
        <v/>
      </c>
      <c r="CX269" t="str">
        <f t="shared" si="2033"/>
        <v/>
      </c>
      <c r="CY269" t="str">
        <f>IF($CX269="","",IF(OR($EL269="",$EM269=""),"ONZEKER",IF(OR($EI269="",$EJ269=""),"ONZEKER",IF(AND($EL269=$EI269+1,$EM269=$EJ269),IF(OR(COUNTIF(#REF!,$B269)&gt;0,COUNTIF(#REF!,$B269)=0),"SKIP",IF(COUNTIFS(#REF!,$B269,#REF!,$CX269)&gt;0,"OK","ONBEKEND")),IF(AND($EL269=$EI269,$EM269=$EJ269+1),IF(OR(COUNTIF(#REF!,$D269)&gt;0,COUNTIF(#REF!,$D269)=0),"SKIP",IF(COUNTIFS(#REF!,$D269,#REF!,$CX269)&gt;0,"OK","ONBEKEND")),"ONZEKER")))))</f>
        <v/>
      </c>
      <c r="CZ269" t="str">
        <f t="shared" si="2034"/>
        <v/>
      </c>
      <c r="DA269" t="str">
        <f t="shared" si="2035"/>
        <v/>
      </c>
      <c r="DB269" t="str">
        <f>IF($DA269="","",IF(OR($EO269="",$EP269=""),"ONZEKER",IF(OR($EL269="",$EM269=""),"ONZEKER",IF(AND($EO269=$EL269+1,$EP269=$EM269),IF(OR(COUNTIF(#REF!,$B269)&gt;0,COUNTIF(#REF!,$B269)=0),"SKIP",IF(COUNTIFS(#REF!,$B269,#REF!,$DA269)&gt;0,"OK","ONBEKEND")),IF(AND($EO269=$EL269,$EP269=$EM269+1),IF(OR(COUNTIF(#REF!,$D269)&gt;0,COUNTIF(#REF!,$D269)=0),"SKIP",IF(COUNTIFS(#REF!,$D269,#REF!,$DA269)&gt;0,"OK","ONBEKEND")),"ONZEKER")))))</f>
        <v/>
      </c>
      <c r="DC269" t="str">
        <f t="shared" si="2036"/>
        <v/>
      </c>
      <c r="DD269" t="str">
        <f t="shared" si="2037"/>
        <v/>
      </c>
      <c r="DE269" t="str">
        <f>IF($DD269="","",IF(OR($ER269="",$ES269=""),"ONZEKER",IF(OR($EO269="",$EP269=""),"ONZEKER",IF(AND($ER269=$EO269+1,$ES269=$EP269),IF(OR(COUNTIF(#REF!,$B269)&gt;0,COUNTIF(#REF!,$B269)=0),"SKIP",IF(COUNTIFS(#REF!,$B269,#REF!,$DD269)&gt;0,"OK","ONBEKEND")),IF(AND($ER269=$EO269,$ES269=$EP269+1),IF(OR(COUNTIF(#REF!,$D269)&gt;0,COUNTIF(#REF!,$D269)=0),"SKIP",IF(COUNTIFS(#REF!,$D269,#REF!,$DD269)&gt;0,"OK","ONBEKEND")),"ONZEKER")))))</f>
        <v/>
      </c>
      <c r="DF269" t="str">
        <f t="shared" si="2038"/>
        <v/>
      </c>
      <c r="DG269" t="str">
        <f t="shared" si="2039"/>
        <v/>
      </c>
      <c r="DH269" t="str">
        <f>IF($DG269="","",IF(OR($EU269="",$EV269=""),"ONZEKER",IF(OR($ER269="",$ES269=""),"ONZEKER",IF(AND($EU269=$ER269+1,$EV269=$ES269),IF(OR(COUNTIF(#REF!,$B269)&gt;0,COUNTIF(#REF!,$B269)=0),"SKIP",IF(COUNTIFS(#REF!,$B269,#REF!,$DG269)&gt;0,"OK","ONBEKEND")),IF(AND($EU269=$ER269,$EV269=$ES269+1),IF(OR(COUNTIF(#REF!,$D269)&gt;0,COUNTIF(#REF!,$D269)=0),"SKIP",IF(COUNTIFS(#REF!,$D269,#REF!,$DG269)&gt;0,"OK","ONBEKEND")),"ONZEKER")))))</f>
        <v/>
      </c>
      <c r="DI269" t="str">
        <f t="shared" si="2040"/>
        <v/>
      </c>
      <c r="DJ269" t="str">
        <f t="shared" si="2041"/>
        <v/>
      </c>
      <c r="DK269" t="str">
        <f>IF($DJ269="","",IF(OR($EX269="",$EY269=""),"ONZEKER",IF(OR($EU269="",$EV269=""),"ONZEKER",IF(AND($EX269=$EU269+1,$EY269=$EV269),IF(OR(COUNTIF(#REF!,$B269)&gt;0,COUNTIF(#REF!,$B269)=0),"SKIP",IF(COUNTIFS(#REF!,$B269,#REF!,$DJ269)&gt;0,"OK","ONBEKEND")),IF(AND($EX269=$EU269,$EY269=$EV269+1),IF(OR(COUNTIF(#REF!,$D269)&gt;0,COUNTIF(#REF!,$D269)=0),"SKIP",IF(COUNTIFS(#REF!,$D269,#REF!,$DJ269)&gt;0,"OK","ONBEKEND")),"ONZEKER")))))</f>
        <v/>
      </c>
      <c r="DL269" t="str">
        <f t="shared" si="2042"/>
        <v/>
      </c>
      <c r="DM269" t="str">
        <f t="shared" si="2043"/>
        <v/>
      </c>
      <c r="DN269" t="str">
        <f t="shared" si="2044"/>
        <v/>
      </c>
      <c r="DO269" t="str">
        <f t="shared" si="2045"/>
        <v/>
      </c>
      <c r="DP269" t="str">
        <f t="shared" si="2046"/>
        <v/>
      </c>
      <c r="DQ269" t="str">
        <f t="shared" si="2047"/>
        <v/>
      </c>
      <c r="DR269" t="str">
        <f t="shared" si="2048"/>
        <v/>
      </c>
      <c r="DS269" t="str">
        <f t="shared" si="2049"/>
        <v/>
      </c>
      <c r="DT269" t="str">
        <f t="shared" si="2050"/>
        <v/>
      </c>
      <c r="DU269" t="str">
        <f t="shared" si="2051"/>
        <v/>
      </c>
      <c r="DV269" t="str">
        <f t="shared" si="2052"/>
        <v/>
      </c>
      <c r="DW269" t="str">
        <f t="shared" si="2053"/>
        <v/>
      </c>
      <c r="DX269" t="str">
        <f t="shared" si="2054"/>
        <v/>
      </c>
      <c r="DY269" t="str">
        <f t="shared" si="2055"/>
        <v/>
      </c>
      <c r="DZ269" t="str">
        <f t="shared" si="2056"/>
        <v/>
      </c>
      <c r="EA269" t="str">
        <f t="shared" si="2057"/>
        <v/>
      </c>
      <c r="EB269" t="str">
        <f t="shared" si="2058"/>
        <v/>
      </c>
      <c r="EC269" t="str">
        <f t="shared" si="2059"/>
        <v/>
      </c>
      <c r="ED269" t="str">
        <f t="shared" si="2060"/>
        <v/>
      </c>
      <c r="EE269" t="str">
        <f t="shared" si="2061"/>
        <v/>
      </c>
      <c r="EF269" t="str">
        <f t="shared" si="2062"/>
        <v/>
      </c>
      <c r="EG269" t="str">
        <f t="shared" si="2063"/>
        <v/>
      </c>
      <c r="EH269" t="str">
        <f t="shared" si="2064"/>
        <v/>
      </c>
      <c r="EI269" t="str">
        <f t="shared" si="2065"/>
        <v/>
      </c>
      <c r="EJ269" t="str">
        <f t="shared" si="2066"/>
        <v/>
      </c>
      <c r="EK269" t="str">
        <f t="shared" si="2067"/>
        <v/>
      </c>
      <c r="EL269" t="str">
        <f t="shared" si="2068"/>
        <v/>
      </c>
      <c r="EM269" t="str">
        <f t="shared" si="2069"/>
        <v/>
      </c>
      <c r="EN269" t="str">
        <f t="shared" si="2070"/>
        <v/>
      </c>
      <c r="EO269" t="str">
        <f t="shared" si="2071"/>
        <v/>
      </c>
      <c r="EP269" t="str">
        <f t="shared" si="2072"/>
        <v/>
      </c>
      <c r="EQ269" t="str">
        <f t="shared" si="2073"/>
        <v/>
      </c>
      <c r="ER269" t="str">
        <f t="shared" si="2074"/>
        <v/>
      </c>
      <c r="ES269" t="str">
        <f t="shared" si="2075"/>
        <v/>
      </c>
      <c r="ET269" t="str">
        <f t="shared" si="2076"/>
        <v/>
      </c>
      <c r="EU269" t="str">
        <f t="shared" si="2077"/>
        <v/>
      </c>
      <c r="EV269" t="str">
        <f t="shared" si="2078"/>
        <v/>
      </c>
      <c r="EW269" t="str">
        <f t="shared" si="2079"/>
        <v/>
      </c>
      <c r="EX269" t="str">
        <f t="shared" si="2080"/>
        <v/>
      </c>
      <c r="EY269" t="str">
        <f t="shared" si="2081"/>
        <v/>
      </c>
    </row>
    <row r="270" spans="1:155" ht="13.9" customHeight="1" x14ac:dyDescent="0.25">
      <c r="A270" s="7"/>
      <c r="B270" s="17"/>
      <c r="C270" s="8"/>
      <c r="D270" s="17"/>
      <c r="E270" s="8"/>
      <c r="F270" s="18">
        <v>0</v>
      </c>
      <c r="G270" s="7" t="s">
        <v>147</v>
      </c>
      <c r="H270" s="18">
        <v>0</v>
      </c>
      <c r="I270" s="19">
        <v>0</v>
      </c>
      <c r="J270" s="7" t="s">
        <v>147</v>
      </c>
      <c r="K270" s="19">
        <v>0</v>
      </c>
      <c r="L270" s="9"/>
      <c r="M270" s="3" t="str">
        <f>IF($L270="","",IF($L270="DOELPUNTENMAKERS","",IF(AND(COUNTIF(#REF!,$B270)=0,COUNTIF(#REF!,$D270)=0),"OK",IF($O270&gt;20,"LET OP: meer dan 20 items (controle onvolledig)",IF((COUNTIF($R270:$AS270,"ONZEKER")+COUNTIF($CJ270:$DK270,"ONZEKER"))&gt;0,"LET OP: scoreverloop onduidelijk (controle beperkt)",IF((IF($AT270&lt;&gt;"",$AT270&amp;", ","")&amp;IF($AU270&lt;&gt;"",$AU270&amp;", ","")&amp;IF($AV270&lt;&gt;"",$AV270&amp;", ","")&amp;IF($AW270&lt;&gt;"",$AW270&amp;", ","")&amp;IF($AX270&lt;&gt;"",$AX270&amp;", ","")&amp;IF($AY270&lt;&gt;"",$AY270&amp;", ","")&amp;IF($AZ270&lt;&gt;"",$AZ270&amp;", ","")&amp;IF($BA270&lt;&gt;"",$BA270&amp;", ","")&amp;IF($BB270&lt;&gt;"",$BB270&amp;", ","")&amp;IF($BC270&lt;&gt;"",$BC270&amp;", ","")&amp;IF($DL270&lt;&gt;"",$DL270&amp;", ","")&amp;IF($DM270&lt;&gt;"",$DM270&amp;", ","")&amp;IF($DN270&lt;&gt;"",$DN270&amp;", ","")&amp;IF($DO270&lt;&gt;"",$DO270&amp;", ","")&amp;IF($DP270&lt;&gt;"",$DP270&amp;", ","")&amp;IF($DQ270&lt;&gt;"",$DQ270&amp;", ","")&amp;IF($DR270&lt;&gt;"",$DR270&amp;", ","")&amp;IF($DS270&lt;&gt;"",$DS270&amp;", ","")&amp;IF($DT270&lt;&gt;"",$DT270&amp;", ","")&amp;IF($DU270&lt;&gt;"",$DU270&amp;", ",""))="","OK","Onbekend: "&amp;LEFT((IF($AT270&lt;&gt;"",$AT270&amp;", ","")&amp;IF($AU270&lt;&gt;"",$AU270&amp;", ","")&amp;IF($AV270&lt;&gt;"",$AV270&amp;", ","")&amp;IF($AW270&lt;&gt;"",$AW270&amp;", ","")&amp;IF($AX270&lt;&gt;"",$AX270&amp;", ","")&amp;IF($AY270&lt;&gt;"",$AY270&amp;", ","")&amp;IF($AZ270&lt;&gt;"",$AZ270&amp;", ","")&amp;IF($BA270&lt;&gt;"",$BA270&amp;", ","")&amp;IF($BB270&lt;&gt;"",$BB270&amp;", ","")&amp;IF($BC270&lt;&gt;"",$BC270&amp;", ","")&amp;IF($DL270&lt;&gt;"",$DL270&amp;", ","")&amp;IF($DM270&lt;&gt;"",$DM270&amp;", ","")&amp;IF($DN270&lt;&gt;"",$DN270&amp;", ","")&amp;IF($DO270&lt;&gt;"",$DO270&amp;", ","")&amp;IF($DP270&lt;&gt;"",$DP270&amp;", ","")&amp;IF($DQ270&lt;&gt;"",$DQ270&amp;", ","")&amp;IF($DR270&lt;&gt;"",$DR270&amp;", ","")&amp;IF($DS270&lt;&gt;"",$DS270&amp;", ","")&amp;IF($DT270&lt;&gt;"",$DT270&amp;", ","")&amp;IF($DU270&lt;&gt;"",$DU270&amp;", ","")),LEN((IF($AT270&lt;&gt;"",$AT270&amp;", ","")&amp;IF($AU270&lt;&gt;"",$AU270&amp;", ","")&amp;IF($AV270&lt;&gt;"",$AV270&amp;", ","")&amp;IF($AW270&lt;&gt;"",$AW270&amp;", ","")&amp;IF($AX270&lt;&gt;"",$AX270&amp;", ","")&amp;IF($AY270&lt;&gt;"",$AY270&amp;", ","")&amp;IF($AZ270&lt;&gt;"",$AZ270&amp;", ","")&amp;IF($BA270&lt;&gt;"",$BA270&amp;", ","")&amp;IF($BB270&lt;&gt;"",$BB270&amp;", ","")&amp;IF($BC270&lt;&gt;"",$BC270&amp;", ","")&amp;IF($DL270&lt;&gt;"",$DL270&amp;", ","")&amp;IF($DM270&lt;&gt;"",$DM270&amp;", ","")&amp;IF($DN270&lt;&gt;"",$DN270&amp;", ","")&amp;IF($DO270&lt;&gt;"",$DO270&amp;", ","")&amp;IF($DP270&lt;&gt;"",$DP270&amp;", ","")&amp;IF($DQ270&lt;&gt;"",$DQ270&amp;", ","")&amp;IF($DR270&lt;&gt;"",$DR270&amp;", ","")&amp;IF($DS270&lt;&gt;"",$DS270&amp;", ","")&amp;IF($DT270&lt;&gt;"",$DT270&amp;", ","")&amp;IF($DU270&lt;&gt;"",$DU270&amp;", ","")))-2)))))))</f>
        <v/>
      </c>
      <c r="N270" t="str">
        <f t="shared" si="1990"/>
        <v/>
      </c>
      <c r="O270" t="str">
        <f t="shared" si="1991"/>
        <v/>
      </c>
      <c r="P270" t="str">
        <f t="shared" si="1992"/>
        <v/>
      </c>
      <c r="Q270" t="str">
        <f t="shared" si="1993"/>
        <v/>
      </c>
      <c r="R270" t="str">
        <f>IF($Q270="","",IF(OR($BE270="",$BF270=""),"ONZEKER",IF(AND($BE270=0+1,$BF270=0),IF(OR(COUNTIF(#REF!,$B270)&gt;0,COUNTIF(#REF!,$B270)=0),"SKIP",IF(COUNTIFS(#REF!,$B270,#REF!,$Q270)&gt;0,"OK","ONBEKEND")),IF(AND($BE270=0,$BF270=0+1),IF(OR(COUNTIF(#REF!,$D270)&gt;0,COUNTIF(#REF!,$D270)=0),"SKIP",IF(COUNTIFS(#REF!,$D270,#REF!,$Q270)&gt;0,"OK","ONBEKEND")),"ONZEKER"))))</f>
        <v/>
      </c>
      <c r="S270" t="str">
        <f t="shared" si="1994"/>
        <v/>
      </c>
      <c r="T270" t="str">
        <f t="shared" si="1995"/>
        <v/>
      </c>
      <c r="U270" t="str">
        <f>IF($T270="","",IF(OR($BH270="",$BI270=""),"ONZEKER",IF(OR($BE270="",$BF270=""),"ONZEKER",IF(AND($BH270=$BE270+1,$BI270=$BF270),IF(OR(COUNTIF(#REF!,$B270)&gt;0,COUNTIF(#REF!,$B270)=0),"SKIP",IF(COUNTIFS(#REF!,$B270,#REF!,$T270)&gt;0,"OK","ONBEKEND")),IF(AND($BH270=$BE270,$BI270=$BF270+1),IF(OR(COUNTIF(#REF!,$D270)&gt;0,COUNTIF(#REF!,$D270)=0),"SKIP",IF(COUNTIFS(#REF!,$D270,#REF!,$T270)&gt;0,"OK","ONBEKEND")),"ONZEKER")))))</f>
        <v/>
      </c>
      <c r="V270" t="str">
        <f t="shared" si="1996"/>
        <v/>
      </c>
      <c r="W270" t="str">
        <f t="shared" si="1997"/>
        <v/>
      </c>
      <c r="X270" t="str">
        <f>IF($W270="","",IF(OR($BK270="",$BL270=""),"ONZEKER",IF(OR($BH270="",$BI270=""),"ONZEKER",IF(AND($BK270=$BH270+1,$BL270=$BI270),IF(OR(COUNTIF(#REF!,$B270)&gt;0,COUNTIF(#REF!,$B270)=0),"SKIP",IF(COUNTIFS(#REF!,$B270,#REF!,$W270)&gt;0,"OK","ONBEKEND")),IF(AND($BK270=$BH270,$BL270=$BI270+1),IF(OR(COUNTIF(#REF!,$D270)&gt;0,COUNTIF(#REF!,$D270)=0),"SKIP",IF(COUNTIFS(#REF!,$D270,#REF!,$W270)&gt;0,"OK","ONBEKEND")),"ONZEKER")))))</f>
        <v/>
      </c>
      <c r="Y270" t="str">
        <f t="shared" si="1998"/>
        <v/>
      </c>
      <c r="Z270" t="str">
        <f t="shared" si="1999"/>
        <v/>
      </c>
      <c r="AA270" t="str">
        <f>IF($Z270="","",IF(OR($BN270="",$BO270=""),"ONZEKER",IF(OR($BK270="",$BL270=""),"ONZEKER",IF(AND($BN270=$BK270+1,$BO270=$BL270),IF(OR(COUNTIF(#REF!,$B270)&gt;0,COUNTIF(#REF!,$B270)=0),"SKIP",IF(COUNTIFS(#REF!,$B270,#REF!,$Z270)&gt;0,"OK","ONBEKEND")),IF(AND($BN270=$BK270,$BO270=$BL270+1),IF(OR(COUNTIF(#REF!,$D270)&gt;0,COUNTIF(#REF!,$D270)=0),"SKIP",IF(COUNTIFS(#REF!,$D270,#REF!,$Z270)&gt;0,"OK","ONBEKEND")),"ONZEKER")))))</f>
        <v/>
      </c>
      <c r="AB270" t="str">
        <f t="shared" si="2000"/>
        <v/>
      </c>
      <c r="AC270" t="str">
        <f t="shared" si="2001"/>
        <v/>
      </c>
      <c r="AD270" t="str">
        <f>IF($AC270="","",IF(OR($BQ270="",$BR270=""),"ONZEKER",IF(OR($BN270="",$BO270=""),"ONZEKER",IF(AND($BQ270=$BN270+1,$BR270=$BO270),IF(OR(COUNTIF(#REF!,$B270)&gt;0,COUNTIF(#REF!,$B270)=0),"SKIP",IF(COUNTIFS(#REF!,$B270,#REF!,$AC270)&gt;0,"OK","ONBEKEND")),IF(AND($BQ270=$BN270,$BR270=$BO270+1),IF(OR(COUNTIF(#REF!,$D270)&gt;0,COUNTIF(#REF!,$D270)=0),"SKIP",IF(COUNTIFS(#REF!,$D270,#REF!,$AC270)&gt;0,"OK","ONBEKEND")),"ONZEKER")))))</f>
        <v/>
      </c>
      <c r="AE270" t="str">
        <f t="shared" si="2002"/>
        <v/>
      </c>
      <c r="AF270" t="str">
        <f t="shared" si="2003"/>
        <v/>
      </c>
      <c r="AG270" t="str">
        <f>IF($AF270="","",IF(OR($BT270="",$BU270=""),"ONZEKER",IF(OR($BQ270="",$BR270=""),"ONZEKER",IF(AND($BT270=$BQ270+1,$BU270=$BR270),IF(OR(COUNTIF(#REF!,$B270)&gt;0,COUNTIF(#REF!,$B270)=0),"SKIP",IF(COUNTIFS(#REF!,$B270,#REF!,$AF270)&gt;0,"OK","ONBEKEND")),IF(AND($BT270=$BQ270,$BU270=$BR270+1),IF(OR(COUNTIF(#REF!,$D270)&gt;0,COUNTIF(#REF!,$D270)=0),"SKIP",IF(COUNTIFS(#REF!,$D270,#REF!,$AF270)&gt;0,"OK","ONBEKEND")),"ONZEKER")))))</f>
        <v/>
      </c>
      <c r="AH270" t="str">
        <f t="shared" si="2004"/>
        <v/>
      </c>
      <c r="AI270" t="str">
        <f t="shared" si="2005"/>
        <v/>
      </c>
      <c r="AJ270" t="str">
        <f>IF($AI270="","",IF(OR($BW270="",$BX270=""),"ONZEKER",IF(OR($BT270="",$BU270=""),"ONZEKER",IF(AND($BW270=$BT270+1,$BX270=$BU270),IF(OR(COUNTIF(#REF!,$B270)&gt;0,COUNTIF(#REF!,$B270)=0),"SKIP",IF(COUNTIFS(#REF!,$B270,#REF!,$AI270)&gt;0,"OK","ONBEKEND")),IF(AND($BW270=$BT270,$BX270=$BU270+1),IF(OR(COUNTIF(#REF!,$D270)&gt;0,COUNTIF(#REF!,$D270)=0),"SKIP",IF(COUNTIFS(#REF!,$D270,#REF!,$AI270)&gt;0,"OK","ONBEKEND")),"ONZEKER")))))</f>
        <v/>
      </c>
      <c r="AK270" t="str">
        <f t="shared" si="2006"/>
        <v/>
      </c>
      <c r="AL270" t="str">
        <f t="shared" si="2007"/>
        <v/>
      </c>
      <c r="AM270" t="str">
        <f>IF($AL270="","",IF(OR($BZ270="",$CA270=""),"ONZEKER",IF(OR($BW270="",$BX270=""),"ONZEKER",IF(AND($BZ270=$BW270+1,$CA270=$BX270),IF(OR(COUNTIF(#REF!,$B270)&gt;0,COUNTIF(#REF!,$B270)=0),"SKIP",IF(COUNTIFS(#REF!,$B270,#REF!,$AL270)&gt;0,"OK","ONBEKEND")),IF(AND($BZ270=$BW270,$CA270=$BX270+1),IF(OR(COUNTIF(#REF!,$D270)&gt;0,COUNTIF(#REF!,$D270)=0),"SKIP",IF(COUNTIFS(#REF!,$D270,#REF!,$AL270)&gt;0,"OK","ONBEKEND")),"ONZEKER")))))</f>
        <v/>
      </c>
      <c r="AN270" t="str">
        <f t="shared" si="2008"/>
        <v/>
      </c>
      <c r="AO270" t="str">
        <f t="shared" si="2009"/>
        <v/>
      </c>
      <c r="AP270" t="str">
        <f>IF($AO270="","",IF(OR($CC270="",$CD270=""),"ONZEKER",IF(OR($BZ270="",$CA270=""),"ONZEKER",IF(AND($CC270=$BZ270+1,$CD270=$CA270),IF(OR(COUNTIF(#REF!,$B270)&gt;0,COUNTIF(#REF!,$B270)=0),"SKIP",IF(COUNTIFS(#REF!,$B270,#REF!,$AO270)&gt;0,"OK","ONBEKEND")),IF(AND($CC270=$BZ270,$CD270=$CA270+1),IF(OR(COUNTIF(#REF!,$D270)&gt;0,COUNTIF(#REF!,$D270)=0),"SKIP",IF(COUNTIFS(#REF!,$D270,#REF!,$AO270)&gt;0,"OK","ONBEKEND")),"ONZEKER")))))</f>
        <v/>
      </c>
      <c r="AQ270" t="str">
        <f t="shared" si="2010"/>
        <v/>
      </c>
      <c r="AR270" t="str">
        <f t="shared" si="2011"/>
        <v/>
      </c>
      <c r="AS270" t="str">
        <f>IF($AR270="","",IF(OR($CF270="",$CG270=""),"ONZEKER",IF(OR($CC270="",$CD270=""),"ONZEKER",IF(AND($CF270=$CC270+1,$CG270=$CD270),IF(OR(COUNTIF(#REF!,$B270)&gt;0,COUNTIF(#REF!,$B270)=0),"SKIP",IF(COUNTIFS(#REF!,$B270,#REF!,$AR270)&gt;0,"OK","ONBEKEND")),IF(AND($CF270=$CC270,$CG270=$CD270+1),IF(OR(COUNTIF(#REF!,$D270)&gt;0,COUNTIF(#REF!,$D270)=0),"SKIP",IF(COUNTIFS(#REF!,$D270,#REF!,$AR270)&gt;0,"OK","ONBEKEND")),"ONZEKER")))))</f>
        <v/>
      </c>
      <c r="AT270" t="str">
        <f t="shared" si="2012"/>
        <v/>
      </c>
      <c r="AU270" t="str">
        <f t="shared" si="2013"/>
        <v/>
      </c>
      <c r="AV270" t="str">
        <f t="shared" si="2014"/>
        <v/>
      </c>
      <c r="AW270" t="str">
        <f t="shared" si="2015"/>
        <v/>
      </c>
      <c r="AX270" t="str">
        <f t="shared" si="2016"/>
        <v/>
      </c>
      <c r="AY270" t="str">
        <f t="shared" si="2017"/>
        <v/>
      </c>
      <c r="AZ270" t="str">
        <f t="shared" si="2018"/>
        <v/>
      </c>
      <c r="BA270" t="str">
        <f t="shared" si="2019"/>
        <v/>
      </c>
      <c r="BB270" t="str">
        <f t="shared" si="2020"/>
        <v/>
      </c>
      <c r="BC270" t="str">
        <f t="shared" si="2021"/>
        <v/>
      </c>
      <c r="BD270" t="str">
        <f t="shared" si="1960"/>
        <v/>
      </c>
      <c r="BE270" t="str">
        <f t="shared" si="1961"/>
        <v/>
      </c>
      <c r="BF270" t="str">
        <f t="shared" si="1962"/>
        <v/>
      </c>
      <c r="BG270" t="str">
        <f t="shared" si="1963"/>
        <v/>
      </c>
      <c r="BH270" t="str">
        <f t="shared" si="1964"/>
        <v/>
      </c>
      <c r="BI270" t="str">
        <f t="shared" si="1965"/>
        <v/>
      </c>
      <c r="BJ270" t="str">
        <f t="shared" si="1966"/>
        <v/>
      </c>
      <c r="BK270" t="str">
        <f t="shared" si="1967"/>
        <v/>
      </c>
      <c r="BL270" t="str">
        <f t="shared" si="1968"/>
        <v/>
      </c>
      <c r="BM270" t="str">
        <f t="shared" si="1969"/>
        <v/>
      </c>
      <c r="BN270" t="str">
        <f t="shared" si="1970"/>
        <v/>
      </c>
      <c r="BO270" t="str">
        <f t="shared" si="1971"/>
        <v/>
      </c>
      <c r="BP270" t="str">
        <f t="shared" si="1972"/>
        <v/>
      </c>
      <c r="BQ270" t="str">
        <f t="shared" si="1973"/>
        <v/>
      </c>
      <c r="BR270" t="str">
        <f t="shared" si="1974"/>
        <v/>
      </c>
      <c r="BS270" t="str">
        <f t="shared" si="1975"/>
        <v/>
      </c>
      <c r="BT270" t="str">
        <f t="shared" si="1976"/>
        <v/>
      </c>
      <c r="BU270" t="str">
        <f t="shared" si="1977"/>
        <v/>
      </c>
      <c r="BV270" t="str">
        <f t="shared" si="1978"/>
        <v/>
      </c>
      <c r="BW270" t="str">
        <f t="shared" si="1979"/>
        <v/>
      </c>
      <c r="BX270" t="str">
        <f t="shared" si="1980"/>
        <v/>
      </c>
      <c r="BY270" t="str">
        <f t="shared" si="1981"/>
        <v/>
      </c>
      <c r="BZ270" t="str">
        <f t="shared" si="1982"/>
        <v/>
      </c>
      <c r="CA270" t="str">
        <f t="shared" si="1983"/>
        <v/>
      </c>
      <c r="CB270" t="str">
        <f t="shared" si="1984"/>
        <v/>
      </c>
      <c r="CC270" t="str">
        <f t="shared" si="1985"/>
        <v/>
      </c>
      <c r="CD270" t="str">
        <f t="shared" si="1986"/>
        <v/>
      </c>
      <c r="CE270" t="str">
        <f t="shared" si="1987"/>
        <v/>
      </c>
      <c r="CF270" t="str">
        <f t="shared" si="1988"/>
        <v/>
      </c>
      <c r="CG270" t="str">
        <f t="shared" si="1989"/>
        <v/>
      </c>
      <c r="CH270" t="str">
        <f t="shared" si="2022"/>
        <v/>
      </c>
      <c r="CI270" t="str">
        <f t="shared" si="2023"/>
        <v/>
      </c>
      <c r="CJ270" t="str">
        <f>IF($CI270="","",IF(OR($DW270="",$DX270=""),"ONZEKER",IF(OR($CF270="",$CG270=""),"ONZEKER",IF(AND($DW270=$CF270+1,$DX270=$CG270),IF(OR(COUNTIF(#REF!,$B270)&gt;0,COUNTIF(#REF!,$B270)=0),"SKIP",IF(COUNTIFS(#REF!,$B270,#REF!,$CI270)&gt;0,"OK","ONBEKEND")),IF(AND($DW270=$CF270,$DX270=$CG270+1),IF(OR(COUNTIF(#REF!,$D270)&gt;0,COUNTIF(#REF!,$D270)=0),"SKIP",IF(COUNTIFS(#REF!,$D270,#REF!,$CI270)&gt;0,"OK","ONBEKEND")),"ONZEKER")))))</f>
        <v/>
      </c>
      <c r="CK270" t="str">
        <f t="shared" si="2024"/>
        <v/>
      </c>
      <c r="CL270" t="str">
        <f t="shared" si="2025"/>
        <v/>
      </c>
      <c r="CM270" t="str">
        <f>IF($CL270="","",IF(OR($DZ270="",$EA270=""),"ONZEKER",IF(OR($DW270="",$DX270=""),"ONZEKER",IF(AND($DZ270=$DW270+1,$EA270=$DX270),IF(OR(COUNTIF(#REF!,$B270)&gt;0,COUNTIF(#REF!,$B270)=0),"SKIP",IF(COUNTIFS(#REF!,$B270,#REF!,$CL270)&gt;0,"OK","ONBEKEND")),IF(AND($DZ270=$DW270,$EA270=$DX270+1),IF(OR(COUNTIF(#REF!,$D270)&gt;0,COUNTIF(#REF!,$D270)=0),"SKIP",IF(COUNTIFS(#REF!,$D270,#REF!,$CL270)&gt;0,"OK","ONBEKEND")),"ONZEKER")))))</f>
        <v/>
      </c>
      <c r="CN270" t="str">
        <f t="shared" si="2026"/>
        <v/>
      </c>
      <c r="CO270" t="str">
        <f t="shared" si="2027"/>
        <v/>
      </c>
      <c r="CP270" t="str">
        <f>IF($CO270="","",IF(OR($EC270="",$ED270=""),"ONZEKER",IF(OR($DZ270="",$EA270=""),"ONZEKER",IF(AND($EC270=$DZ270+1,$ED270=$EA270),IF(OR(COUNTIF(#REF!,$B270)&gt;0,COUNTIF(#REF!,$B270)=0),"SKIP",IF(COUNTIFS(#REF!,$B270,#REF!,$CO270)&gt;0,"OK","ONBEKEND")),IF(AND($EC270=$DZ270,$ED270=$EA270+1),IF(OR(COUNTIF(#REF!,$D270)&gt;0,COUNTIF(#REF!,$D270)=0),"SKIP",IF(COUNTIFS(#REF!,$D270,#REF!,$CO270)&gt;0,"OK","ONBEKEND")),"ONZEKER")))))</f>
        <v/>
      </c>
      <c r="CQ270" t="str">
        <f t="shared" si="2028"/>
        <v/>
      </c>
      <c r="CR270" t="str">
        <f t="shared" si="2029"/>
        <v/>
      </c>
      <c r="CS270" t="str">
        <f>IF($CR270="","",IF(OR($EF270="",$EG270=""),"ONZEKER",IF(OR($EC270="",$ED270=""),"ONZEKER",IF(AND($EF270=$EC270+1,$EG270=$ED270),IF(OR(COUNTIF(#REF!,$B270)&gt;0,COUNTIF(#REF!,$B270)=0),"SKIP",IF(COUNTIFS(#REF!,$B270,#REF!,$CR270)&gt;0,"OK","ONBEKEND")),IF(AND($EF270=$EC270,$EG270=$ED270+1),IF(OR(COUNTIF(#REF!,$D270)&gt;0,COUNTIF(#REF!,$D270)=0),"SKIP",IF(COUNTIFS(#REF!,$D270,#REF!,$CR270)&gt;0,"OK","ONBEKEND")),"ONZEKER")))))</f>
        <v/>
      </c>
      <c r="CT270" t="str">
        <f t="shared" si="2030"/>
        <v/>
      </c>
      <c r="CU270" t="str">
        <f t="shared" si="2031"/>
        <v/>
      </c>
      <c r="CV270" t="str">
        <f>IF($CU270="","",IF(OR($EI270="",$EJ270=""),"ONZEKER",IF(OR($EF270="",$EG270=""),"ONZEKER",IF(AND($EI270=$EF270+1,$EJ270=$EG270),IF(OR(COUNTIF(#REF!,$B270)&gt;0,COUNTIF(#REF!,$B270)=0),"SKIP",IF(COUNTIFS(#REF!,$B270,#REF!,$CU270)&gt;0,"OK","ONBEKEND")),IF(AND($EI270=$EF270,$EJ270=$EG270+1),IF(OR(COUNTIF(#REF!,$D270)&gt;0,COUNTIF(#REF!,$D270)=0),"SKIP",IF(COUNTIFS(#REF!,$D270,#REF!,$CU270)&gt;0,"OK","ONBEKEND")),"ONZEKER")))))</f>
        <v/>
      </c>
      <c r="CW270" t="str">
        <f t="shared" si="2032"/>
        <v/>
      </c>
      <c r="CX270" t="str">
        <f t="shared" si="2033"/>
        <v/>
      </c>
      <c r="CY270" t="str">
        <f>IF($CX270="","",IF(OR($EL270="",$EM270=""),"ONZEKER",IF(OR($EI270="",$EJ270=""),"ONZEKER",IF(AND($EL270=$EI270+1,$EM270=$EJ270),IF(OR(COUNTIF(#REF!,$B270)&gt;0,COUNTIF(#REF!,$B270)=0),"SKIP",IF(COUNTIFS(#REF!,$B270,#REF!,$CX270)&gt;0,"OK","ONBEKEND")),IF(AND($EL270=$EI270,$EM270=$EJ270+1),IF(OR(COUNTIF(#REF!,$D270)&gt;0,COUNTIF(#REF!,$D270)=0),"SKIP",IF(COUNTIFS(#REF!,$D270,#REF!,$CX270)&gt;0,"OK","ONBEKEND")),"ONZEKER")))))</f>
        <v/>
      </c>
      <c r="CZ270" t="str">
        <f t="shared" si="2034"/>
        <v/>
      </c>
      <c r="DA270" t="str">
        <f t="shared" si="2035"/>
        <v/>
      </c>
      <c r="DB270" t="str">
        <f>IF($DA270="","",IF(OR($EO270="",$EP270=""),"ONZEKER",IF(OR($EL270="",$EM270=""),"ONZEKER",IF(AND($EO270=$EL270+1,$EP270=$EM270),IF(OR(COUNTIF(#REF!,$B270)&gt;0,COUNTIF(#REF!,$B270)=0),"SKIP",IF(COUNTIFS(#REF!,$B270,#REF!,$DA270)&gt;0,"OK","ONBEKEND")),IF(AND($EO270=$EL270,$EP270=$EM270+1),IF(OR(COUNTIF(#REF!,$D270)&gt;0,COUNTIF(#REF!,$D270)=0),"SKIP",IF(COUNTIFS(#REF!,$D270,#REF!,$DA270)&gt;0,"OK","ONBEKEND")),"ONZEKER")))))</f>
        <v/>
      </c>
      <c r="DC270" t="str">
        <f t="shared" si="2036"/>
        <v/>
      </c>
      <c r="DD270" t="str">
        <f t="shared" si="2037"/>
        <v/>
      </c>
      <c r="DE270" t="str">
        <f>IF($DD270="","",IF(OR($ER270="",$ES270=""),"ONZEKER",IF(OR($EO270="",$EP270=""),"ONZEKER",IF(AND($ER270=$EO270+1,$ES270=$EP270),IF(OR(COUNTIF(#REF!,$B270)&gt;0,COUNTIF(#REF!,$B270)=0),"SKIP",IF(COUNTIFS(#REF!,$B270,#REF!,$DD270)&gt;0,"OK","ONBEKEND")),IF(AND($ER270=$EO270,$ES270=$EP270+1),IF(OR(COUNTIF(#REF!,$D270)&gt;0,COUNTIF(#REF!,$D270)=0),"SKIP",IF(COUNTIFS(#REF!,$D270,#REF!,$DD270)&gt;0,"OK","ONBEKEND")),"ONZEKER")))))</f>
        <v/>
      </c>
      <c r="DF270" t="str">
        <f t="shared" si="2038"/>
        <v/>
      </c>
      <c r="DG270" t="str">
        <f t="shared" si="2039"/>
        <v/>
      </c>
      <c r="DH270" t="str">
        <f>IF($DG270="","",IF(OR($EU270="",$EV270=""),"ONZEKER",IF(OR($ER270="",$ES270=""),"ONZEKER",IF(AND($EU270=$ER270+1,$EV270=$ES270),IF(OR(COUNTIF(#REF!,$B270)&gt;0,COUNTIF(#REF!,$B270)=0),"SKIP",IF(COUNTIFS(#REF!,$B270,#REF!,$DG270)&gt;0,"OK","ONBEKEND")),IF(AND($EU270=$ER270,$EV270=$ES270+1),IF(OR(COUNTIF(#REF!,$D270)&gt;0,COUNTIF(#REF!,$D270)=0),"SKIP",IF(COUNTIFS(#REF!,$D270,#REF!,$DG270)&gt;0,"OK","ONBEKEND")),"ONZEKER")))))</f>
        <v/>
      </c>
      <c r="DI270" t="str">
        <f t="shared" si="2040"/>
        <v/>
      </c>
      <c r="DJ270" t="str">
        <f t="shared" si="2041"/>
        <v/>
      </c>
      <c r="DK270" t="str">
        <f>IF($DJ270="","",IF(OR($EX270="",$EY270=""),"ONZEKER",IF(OR($EU270="",$EV270=""),"ONZEKER",IF(AND($EX270=$EU270+1,$EY270=$EV270),IF(OR(COUNTIF(#REF!,$B270)&gt;0,COUNTIF(#REF!,$B270)=0),"SKIP",IF(COUNTIFS(#REF!,$B270,#REF!,$DJ270)&gt;0,"OK","ONBEKEND")),IF(AND($EX270=$EU270,$EY270=$EV270+1),IF(OR(COUNTIF(#REF!,$D270)&gt;0,COUNTIF(#REF!,$D270)=0),"SKIP",IF(COUNTIFS(#REF!,$D270,#REF!,$DJ270)&gt;0,"OK","ONBEKEND")),"ONZEKER")))))</f>
        <v/>
      </c>
      <c r="DL270" t="str">
        <f t="shared" si="2042"/>
        <v/>
      </c>
      <c r="DM270" t="str">
        <f t="shared" si="2043"/>
        <v/>
      </c>
      <c r="DN270" t="str">
        <f t="shared" si="2044"/>
        <v/>
      </c>
      <c r="DO270" t="str">
        <f t="shared" si="2045"/>
        <v/>
      </c>
      <c r="DP270" t="str">
        <f t="shared" si="2046"/>
        <v/>
      </c>
      <c r="DQ270" t="str">
        <f t="shared" si="2047"/>
        <v/>
      </c>
      <c r="DR270" t="str">
        <f t="shared" si="2048"/>
        <v/>
      </c>
      <c r="DS270" t="str">
        <f t="shared" si="2049"/>
        <v/>
      </c>
      <c r="DT270" t="str">
        <f t="shared" si="2050"/>
        <v/>
      </c>
      <c r="DU270" t="str">
        <f t="shared" si="2051"/>
        <v/>
      </c>
      <c r="DV270" t="str">
        <f t="shared" si="2052"/>
        <v/>
      </c>
      <c r="DW270" t="str">
        <f t="shared" si="2053"/>
        <v/>
      </c>
      <c r="DX270" t="str">
        <f t="shared" si="2054"/>
        <v/>
      </c>
      <c r="DY270" t="str">
        <f t="shared" si="2055"/>
        <v/>
      </c>
      <c r="DZ270" t="str">
        <f t="shared" si="2056"/>
        <v/>
      </c>
      <c r="EA270" t="str">
        <f t="shared" si="2057"/>
        <v/>
      </c>
      <c r="EB270" t="str">
        <f t="shared" si="2058"/>
        <v/>
      </c>
      <c r="EC270" t="str">
        <f t="shared" si="2059"/>
        <v/>
      </c>
      <c r="ED270" t="str">
        <f t="shared" si="2060"/>
        <v/>
      </c>
      <c r="EE270" t="str">
        <f t="shared" si="2061"/>
        <v/>
      </c>
      <c r="EF270" t="str">
        <f t="shared" si="2062"/>
        <v/>
      </c>
      <c r="EG270" t="str">
        <f t="shared" si="2063"/>
        <v/>
      </c>
      <c r="EH270" t="str">
        <f t="shared" si="2064"/>
        <v/>
      </c>
      <c r="EI270" t="str">
        <f t="shared" si="2065"/>
        <v/>
      </c>
      <c r="EJ270" t="str">
        <f t="shared" si="2066"/>
        <v/>
      </c>
      <c r="EK270" t="str">
        <f t="shared" si="2067"/>
        <v/>
      </c>
      <c r="EL270" t="str">
        <f t="shared" si="2068"/>
        <v/>
      </c>
      <c r="EM270" t="str">
        <f t="shared" si="2069"/>
        <v/>
      </c>
      <c r="EN270" t="str">
        <f t="shared" si="2070"/>
        <v/>
      </c>
      <c r="EO270" t="str">
        <f t="shared" si="2071"/>
        <v/>
      </c>
      <c r="EP270" t="str">
        <f t="shared" si="2072"/>
        <v/>
      </c>
      <c r="EQ270" t="str">
        <f t="shared" si="2073"/>
        <v/>
      </c>
      <c r="ER270" t="str">
        <f t="shared" si="2074"/>
        <v/>
      </c>
      <c r="ES270" t="str">
        <f t="shared" si="2075"/>
        <v/>
      </c>
      <c r="ET270" t="str">
        <f t="shared" si="2076"/>
        <v/>
      </c>
      <c r="EU270" t="str">
        <f t="shared" si="2077"/>
        <v/>
      </c>
      <c r="EV270" t="str">
        <f t="shared" si="2078"/>
        <v/>
      </c>
      <c r="EW270" t="str">
        <f t="shared" si="2079"/>
        <v/>
      </c>
      <c r="EX270" t="str">
        <f t="shared" si="2080"/>
        <v/>
      </c>
      <c r="EY270" t="str">
        <f t="shared" si="2081"/>
        <v/>
      </c>
    </row>
    <row r="271" spans="1:155" ht="13.9" customHeight="1" x14ac:dyDescent="0.25">
      <c r="A271" s="7"/>
      <c r="B271" s="17"/>
      <c r="C271" s="8"/>
      <c r="D271" s="17"/>
      <c r="E271" s="8"/>
      <c r="F271" s="18">
        <v>0</v>
      </c>
      <c r="G271" s="7" t="s">
        <v>147</v>
      </c>
      <c r="H271" s="18">
        <v>0</v>
      </c>
      <c r="I271" s="19">
        <v>0</v>
      </c>
      <c r="J271" s="7" t="s">
        <v>147</v>
      </c>
      <c r="K271" s="19">
        <v>0</v>
      </c>
      <c r="L271" s="9"/>
      <c r="M271" s="3" t="str">
        <f>IF($L271="","",IF($L271="DOELPUNTENMAKERS","",IF(AND(COUNTIF(#REF!,$B271)=0,COUNTIF(#REF!,$D271)=0),"OK",IF($O271&gt;20,"LET OP: meer dan 20 items (controle onvolledig)",IF((COUNTIF($R271:$AS271,"ONZEKER")+COUNTIF($CJ271:$DK271,"ONZEKER"))&gt;0,"LET OP: scoreverloop onduidelijk (controle beperkt)",IF((IF($AT271&lt;&gt;"",$AT271&amp;", ","")&amp;IF($AU271&lt;&gt;"",$AU271&amp;", ","")&amp;IF($AV271&lt;&gt;"",$AV271&amp;", ","")&amp;IF($AW271&lt;&gt;"",$AW271&amp;", ","")&amp;IF($AX271&lt;&gt;"",$AX271&amp;", ","")&amp;IF($AY271&lt;&gt;"",$AY271&amp;", ","")&amp;IF($AZ271&lt;&gt;"",$AZ271&amp;", ","")&amp;IF($BA271&lt;&gt;"",$BA271&amp;", ","")&amp;IF($BB271&lt;&gt;"",$BB271&amp;", ","")&amp;IF($BC271&lt;&gt;"",$BC271&amp;", ","")&amp;IF($DL271&lt;&gt;"",$DL271&amp;", ","")&amp;IF($DM271&lt;&gt;"",$DM271&amp;", ","")&amp;IF($DN271&lt;&gt;"",$DN271&amp;", ","")&amp;IF($DO271&lt;&gt;"",$DO271&amp;", ","")&amp;IF($DP271&lt;&gt;"",$DP271&amp;", ","")&amp;IF($DQ271&lt;&gt;"",$DQ271&amp;", ","")&amp;IF($DR271&lt;&gt;"",$DR271&amp;", ","")&amp;IF($DS271&lt;&gt;"",$DS271&amp;", ","")&amp;IF($DT271&lt;&gt;"",$DT271&amp;", ","")&amp;IF($DU271&lt;&gt;"",$DU271&amp;", ",""))="","OK","Onbekend: "&amp;LEFT((IF($AT271&lt;&gt;"",$AT271&amp;", ","")&amp;IF($AU271&lt;&gt;"",$AU271&amp;", ","")&amp;IF($AV271&lt;&gt;"",$AV271&amp;", ","")&amp;IF($AW271&lt;&gt;"",$AW271&amp;", ","")&amp;IF($AX271&lt;&gt;"",$AX271&amp;", ","")&amp;IF($AY271&lt;&gt;"",$AY271&amp;", ","")&amp;IF($AZ271&lt;&gt;"",$AZ271&amp;", ","")&amp;IF($BA271&lt;&gt;"",$BA271&amp;", ","")&amp;IF($BB271&lt;&gt;"",$BB271&amp;", ","")&amp;IF($BC271&lt;&gt;"",$BC271&amp;", ","")&amp;IF($DL271&lt;&gt;"",$DL271&amp;", ","")&amp;IF($DM271&lt;&gt;"",$DM271&amp;", ","")&amp;IF($DN271&lt;&gt;"",$DN271&amp;", ","")&amp;IF($DO271&lt;&gt;"",$DO271&amp;", ","")&amp;IF($DP271&lt;&gt;"",$DP271&amp;", ","")&amp;IF($DQ271&lt;&gt;"",$DQ271&amp;", ","")&amp;IF($DR271&lt;&gt;"",$DR271&amp;", ","")&amp;IF($DS271&lt;&gt;"",$DS271&amp;", ","")&amp;IF($DT271&lt;&gt;"",$DT271&amp;", ","")&amp;IF($DU271&lt;&gt;"",$DU271&amp;", ","")),LEN((IF($AT271&lt;&gt;"",$AT271&amp;", ","")&amp;IF($AU271&lt;&gt;"",$AU271&amp;", ","")&amp;IF($AV271&lt;&gt;"",$AV271&amp;", ","")&amp;IF($AW271&lt;&gt;"",$AW271&amp;", ","")&amp;IF($AX271&lt;&gt;"",$AX271&amp;", ","")&amp;IF($AY271&lt;&gt;"",$AY271&amp;", ","")&amp;IF($AZ271&lt;&gt;"",$AZ271&amp;", ","")&amp;IF($BA271&lt;&gt;"",$BA271&amp;", ","")&amp;IF($BB271&lt;&gt;"",$BB271&amp;", ","")&amp;IF($BC271&lt;&gt;"",$BC271&amp;", ","")&amp;IF($DL271&lt;&gt;"",$DL271&amp;", ","")&amp;IF($DM271&lt;&gt;"",$DM271&amp;", ","")&amp;IF($DN271&lt;&gt;"",$DN271&amp;", ","")&amp;IF($DO271&lt;&gt;"",$DO271&amp;", ","")&amp;IF($DP271&lt;&gt;"",$DP271&amp;", ","")&amp;IF($DQ271&lt;&gt;"",$DQ271&amp;", ","")&amp;IF($DR271&lt;&gt;"",$DR271&amp;", ","")&amp;IF($DS271&lt;&gt;"",$DS271&amp;", ","")&amp;IF($DT271&lt;&gt;"",$DT271&amp;", ","")&amp;IF($DU271&lt;&gt;"",$DU271&amp;", ","")))-2)))))))</f>
        <v/>
      </c>
      <c r="N271" t="str">
        <f t="shared" si="1990"/>
        <v/>
      </c>
      <c r="O271" t="str">
        <f t="shared" si="1991"/>
        <v/>
      </c>
      <c r="P271" t="str">
        <f t="shared" si="1992"/>
        <v/>
      </c>
      <c r="Q271" t="str">
        <f t="shared" si="1993"/>
        <v/>
      </c>
      <c r="R271" t="str">
        <f>IF($Q271="","",IF(OR($BE271="",$BF271=""),"ONZEKER",IF(AND($BE271=0+1,$BF271=0),IF(OR(COUNTIF(#REF!,$B271)&gt;0,COUNTIF(#REF!,$B271)=0),"SKIP",IF(COUNTIFS(#REF!,$B271,#REF!,$Q271)&gt;0,"OK","ONBEKEND")),IF(AND($BE271=0,$BF271=0+1),IF(OR(COUNTIF(#REF!,$D271)&gt;0,COUNTIF(#REF!,$D271)=0),"SKIP",IF(COUNTIFS(#REF!,$D271,#REF!,$Q271)&gt;0,"OK","ONBEKEND")),"ONZEKER"))))</f>
        <v/>
      </c>
      <c r="S271" t="str">
        <f t="shared" si="1994"/>
        <v/>
      </c>
      <c r="T271" t="str">
        <f t="shared" si="1995"/>
        <v/>
      </c>
      <c r="U271" t="str">
        <f>IF($T271="","",IF(OR($BH271="",$BI271=""),"ONZEKER",IF(OR($BE271="",$BF271=""),"ONZEKER",IF(AND($BH271=$BE271+1,$BI271=$BF271),IF(OR(COUNTIF(#REF!,$B271)&gt;0,COUNTIF(#REF!,$B271)=0),"SKIP",IF(COUNTIFS(#REF!,$B271,#REF!,$T271)&gt;0,"OK","ONBEKEND")),IF(AND($BH271=$BE271,$BI271=$BF271+1),IF(OR(COUNTIF(#REF!,$D271)&gt;0,COUNTIF(#REF!,$D271)=0),"SKIP",IF(COUNTIFS(#REF!,$D271,#REF!,$T271)&gt;0,"OK","ONBEKEND")),"ONZEKER")))))</f>
        <v/>
      </c>
      <c r="V271" t="str">
        <f t="shared" si="1996"/>
        <v/>
      </c>
      <c r="W271" t="str">
        <f t="shared" si="1997"/>
        <v/>
      </c>
      <c r="X271" t="str">
        <f>IF($W271="","",IF(OR($BK271="",$BL271=""),"ONZEKER",IF(OR($BH271="",$BI271=""),"ONZEKER",IF(AND($BK271=$BH271+1,$BL271=$BI271),IF(OR(COUNTIF(#REF!,$B271)&gt;0,COUNTIF(#REF!,$B271)=0),"SKIP",IF(COUNTIFS(#REF!,$B271,#REF!,$W271)&gt;0,"OK","ONBEKEND")),IF(AND($BK271=$BH271,$BL271=$BI271+1),IF(OR(COUNTIF(#REF!,$D271)&gt;0,COUNTIF(#REF!,$D271)=0),"SKIP",IF(COUNTIFS(#REF!,$D271,#REF!,$W271)&gt;0,"OK","ONBEKEND")),"ONZEKER")))))</f>
        <v/>
      </c>
      <c r="Y271" t="str">
        <f t="shared" si="1998"/>
        <v/>
      </c>
      <c r="Z271" t="str">
        <f t="shared" si="1999"/>
        <v/>
      </c>
      <c r="AA271" t="str">
        <f>IF($Z271="","",IF(OR($BN271="",$BO271=""),"ONZEKER",IF(OR($BK271="",$BL271=""),"ONZEKER",IF(AND($BN271=$BK271+1,$BO271=$BL271),IF(OR(COUNTIF(#REF!,$B271)&gt;0,COUNTIF(#REF!,$B271)=0),"SKIP",IF(COUNTIFS(#REF!,$B271,#REF!,$Z271)&gt;0,"OK","ONBEKEND")),IF(AND($BN271=$BK271,$BO271=$BL271+1),IF(OR(COUNTIF(#REF!,$D271)&gt;0,COUNTIF(#REF!,$D271)=0),"SKIP",IF(COUNTIFS(#REF!,$D271,#REF!,$Z271)&gt;0,"OK","ONBEKEND")),"ONZEKER")))))</f>
        <v/>
      </c>
      <c r="AB271" t="str">
        <f t="shared" si="2000"/>
        <v/>
      </c>
      <c r="AC271" t="str">
        <f t="shared" si="2001"/>
        <v/>
      </c>
      <c r="AD271" t="str">
        <f>IF($AC271="","",IF(OR($BQ271="",$BR271=""),"ONZEKER",IF(OR($BN271="",$BO271=""),"ONZEKER",IF(AND($BQ271=$BN271+1,$BR271=$BO271),IF(OR(COUNTIF(#REF!,$B271)&gt;0,COUNTIF(#REF!,$B271)=0),"SKIP",IF(COUNTIFS(#REF!,$B271,#REF!,$AC271)&gt;0,"OK","ONBEKEND")),IF(AND($BQ271=$BN271,$BR271=$BO271+1),IF(OR(COUNTIF(#REF!,$D271)&gt;0,COUNTIF(#REF!,$D271)=0),"SKIP",IF(COUNTIFS(#REF!,$D271,#REF!,$AC271)&gt;0,"OK","ONBEKEND")),"ONZEKER")))))</f>
        <v/>
      </c>
      <c r="AE271" t="str">
        <f t="shared" si="2002"/>
        <v/>
      </c>
      <c r="AF271" t="str">
        <f t="shared" si="2003"/>
        <v/>
      </c>
      <c r="AG271" t="str">
        <f>IF($AF271="","",IF(OR($BT271="",$BU271=""),"ONZEKER",IF(OR($BQ271="",$BR271=""),"ONZEKER",IF(AND($BT271=$BQ271+1,$BU271=$BR271),IF(OR(COUNTIF(#REF!,$B271)&gt;0,COUNTIF(#REF!,$B271)=0),"SKIP",IF(COUNTIFS(#REF!,$B271,#REF!,$AF271)&gt;0,"OK","ONBEKEND")),IF(AND($BT271=$BQ271,$BU271=$BR271+1),IF(OR(COUNTIF(#REF!,$D271)&gt;0,COUNTIF(#REF!,$D271)=0),"SKIP",IF(COUNTIFS(#REF!,$D271,#REF!,$AF271)&gt;0,"OK","ONBEKEND")),"ONZEKER")))))</f>
        <v/>
      </c>
      <c r="AH271" t="str">
        <f t="shared" si="2004"/>
        <v/>
      </c>
      <c r="AI271" t="str">
        <f t="shared" si="2005"/>
        <v/>
      </c>
      <c r="AJ271" t="str">
        <f>IF($AI271="","",IF(OR($BW271="",$BX271=""),"ONZEKER",IF(OR($BT271="",$BU271=""),"ONZEKER",IF(AND($BW271=$BT271+1,$BX271=$BU271),IF(OR(COUNTIF(#REF!,$B271)&gt;0,COUNTIF(#REF!,$B271)=0),"SKIP",IF(COUNTIFS(#REF!,$B271,#REF!,$AI271)&gt;0,"OK","ONBEKEND")),IF(AND($BW271=$BT271,$BX271=$BU271+1),IF(OR(COUNTIF(#REF!,$D271)&gt;0,COUNTIF(#REF!,$D271)=0),"SKIP",IF(COUNTIFS(#REF!,$D271,#REF!,$AI271)&gt;0,"OK","ONBEKEND")),"ONZEKER")))))</f>
        <v/>
      </c>
      <c r="AK271" t="str">
        <f t="shared" si="2006"/>
        <v/>
      </c>
      <c r="AL271" t="str">
        <f t="shared" si="2007"/>
        <v/>
      </c>
      <c r="AM271" t="str">
        <f>IF($AL271="","",IF(OR($BZ271="",$CA271=""),"ONZEKER",IF(OR($BW271="",$BX271=""),"ONZEKER",IF(AND($BZ271=$BW271+1,$CA271=$BX271),IF(OR(COUNTIF(#REF!,$B271)&gt;0,COUNTIF(#REF!,$B271)=0),"SKIP",IF(COUNTIFS(#REF!,$B271,#REF!,$AL271)&gt;0,"OK","ONBEKEND")),IF(AND($BZ271=$BW271,$CA271=$BX271+1),IF(OR(COUNTIF(#REF!,$D271)&gt;0,COUNTIF(#REF!,$D271)=0),"SKIP",IF(COUNTIFS(#REF!,$D271,#REF!,$AL271)&gt;0,"OK","ONBEKEND")),"ONZEKER")))))</f>
        <v/>
      </c>
      <c r="AN271" t="str">
        <f t="shared" si="2008"/>
        <v/>
      </c>
      <c r="AO271" t="str">
        <f t="shared" si="2009"/>
        <v/>
      </c>
      <c r="AP271" t="str">
        <f>IF($AO271="","",IF(OR($CC271="",$CD271=""),"ONZEKER",IF(OR($BZ271="",$CA271=""),"ONZEKER",IF(AND($CC271=$BZ271+1,$CD271=$CA271),IF(OR(COUNTIF(#REF!,$B271)&gt;0,COUNTIF(#REF!,$B271)=0),"SKIP",IF(COUNTIFS(#REF!,$B271,#REF!,$AO271)&gt;0,"OK","ONBEKEND")),IF(AND($CC271=$BZ271,$CD271=$CA271+1),IF(OR(COUNTIF(#REF!,$D271)&gt;0,COUNTIF(#REF!,$D271)=0),"SKIP",IF(COUNTIFS(#REF!,$D271,#REF!,$AO271)&gt;0,"OK","ONBEKEND")),"ONZEKER")))))</f>
        <v/>
      </c>
      <c r="AQ271" t="str">
        <f t="shared" si="2010"/>
        <v/>
      </c>
      <c r="AR271" t="str">
        <f t="shared" si="2011"/>
        <v/>
      </c>
      <c r="AS271" t="str">
        <f>IF($AR271="","",IF(OR($CF271="",$CG271=""),"ONZEKER",IF(OR($CC271="",$CD271=""),"ONZEKER",IF(AND($CF271=$CC271+1,$CG271=$CD271),IF(OR(COUNTIF(#REF!,$B271)&gt;0,COUNTIF(#REF!,$B271)=0),"SKIP",IF(COUNTIFS(#REF!,$B271,#REF!,$AR271)&gt;0,"OK","ONBEKEND")),IF(AND($CF271=$CC271,$CG271=$CD271+1),IF(OR(COUNTIF(#REF!,$D271)&gt;0,COUNTIF(#REF!,$D271)=0),"SKIP",IF(COUNTIFS(#REF!,$D271,#REF!,$AR271)&gt;0,"OK","ONBEKEND")),"ONZEKER")))))</f>
        <v/>
      </c>
      <c r="AT271" t="str">
        <f t="shared" si="2012"/>
        <v/>
      </c>
      <c r="AU271" t="str">
        <f t="shared" si="2013"/>
        <v/>
      </c>
      <c r="AV271" t="str">
        <f t="shared" si="2014"/>
        <v/>
      </c>
      <c r="AW271" t="str">
        <f t="shared" si="2015"/>
        <v/>
      </c>
      <c r="AX271" t="str">
        <f t="shared" si="2016"/>
        <v/>
      </c>
      <c r="AY271" t="str">
        <f t="shared" si="2017"/>
        <v/>
      </c>
      <c r="AZ271" t="str">
        <f t="shared" si="2018"/>
        <v/>
      </c>
      <c r="BA271" t="str">
        <f t="shared" si="2019"/>
        <v/>
      </c>
      <c r="BB271" t="str">
        <f t="shared" si="2020"/>
        <v/>
      </c>
      <c r="BC271" t="str">
        <f t="shared" si="2021"/>
        <v/>
      </c>
      <c r="BD271" t="str">
        <f t="shared" si="1960"/>
        <v/>
      </c>
      <c r="BE271" t="str">
        <f t="shared" si="1961"/>
        <v/>
      </c>
      <c r="BF271" t="str">
        <f t="shared" si="1962"/>
        <v/>
      </c>
      <c r="BG271" t="str">
        <f t="shared" si="1963"/>
        <v/>
      </c>
      <c r="BH271" t="str">
        <f t="shared" si="1964"/>
        <v/>
      </c>
      <c r="BI271" t="str">
        <f t="shared" si="1965"/>
        <v/>
      </c>
      <c r="BJ271" t="str">
        <f t="shared" si="1966"/>
        <v/>
      </c>
      <c r="BK271" t="str">
        <f t="shared" si="1967"/>
        <v/>
      </c>
      <c r="BL271" t="str">
        <f t="shared" si="1968"/>
        <v/>
      </c>
      <c r="BM271" t="str">
        <f t="shared" si="1969"/>
        <v/>
      </c>
      <c r="BN271" t="str">
        <f t="shared" si="1970"/>
        <v/>
      </c>
      <c r="BO271" t="str">
        <f t="shared" si="1971"/>
        <v/>
      </c>
      <c r="BP271" t="str">
        <f t="shared" si="1972"/>
        <v/>
      </c>
      <c r="BQ271" t="str">
        <f t="shared" si="1973"/>
        <v/>
      </c>
      <c r="BR271" t="str">
        <f t="shared" si="1974"/>
        <v/>
      </c>
      <c r="BS271" t="str">
        <f t="shared" si="1975"/>
        <v/>
      </c>
      <c r="BT271" t="str">
        <f t="shared" si="1976"/>
        <v/>
      </c>
      <c r="BU271" t="str">
        <f t="shared" si="1977"/>
        <v/>
      </c>
      <c r="BV271" t="str">
        <f t="shared" si="1978"/>
        <v/>
      </c>
      <c r="BW271" t="str">
        <f t="shared" si="1979"/>
        <v/>
      </c>
      <c r="BX271" t="str">
        <f t="shared" si="1980"/>
        <v/>
      </c>
      <c r="BY271" t="str">
        <f t="shared" si="1981"/>
        <v/>
      </c>
      <c r="BZ271" t="str">
        <f t="shared" si="1982"/>
        <v/>
      </c>
      <c r="CA271" t="str">
        <f t="shared" si="1983"/>
        <v/>
      </c>
      <c r="CB271" t="str">
        <f t="shared" si="1984"/>
        <v/>
      </c>
      <c r="CC271" t="str">
        <f t="shared" si="1985"/>
        <v/>
      </c>
      <c r="CD271" t="str">
        <f t="shared" si="1986"/>
        <v/>
      </c>
      <c r="CE271" t="str">
        <f t="shared" si="1987"/>
        <v/>
      </c>
      <c r="CF271" t="str">
        <f t="shared" si="1988"/>
        <v/>
      </c>
      <c r="CG271" t="str">
        <f t="shared" si="1989"/>
        <v/>
      </c>
      <c r="CH271" t="str">
        <f t="shared" si="2022"/>
        <v/>
      </c>
      <c r="CI271" t="str">
        <f t="shared" si="2023"/>
        <v/>
      </c>
      <c r="CJ271" t="str">
        <f>IF($CI271="","",IF(OR($DW271="",$DX271=""),"ONZEKER",IF(OR($CF271="",$CG271=""),"ONZEKER",IF(AND($DW271=$CF271+1,$DX271=$CG271),IF(OR(COUNTIF(#REF!,$B271)&gt;0,COUNTIF(#REF!,$B271)=0),"SKIP",IF(COUNTIFS(#REF!,$B271,#REF!,$CI271)&gt;0,"OK","ONBEKEND")),IF(AND($DW271=$CF271,$DX271=$CG271+1),IF(OR(COUNTIF(#REF!,$D271)&gt;0,COUNTIF(#REF!,$D271)=0),"SKIP",IF(COUNTIFS(#REF!,$D271,#REF!,$CI271)&gt;0,"OK","ONBEKEND")),"ONZEKER")))))</f>
        <v/>
      </c>
      <c r="CK271" t="str">
        <f t="shared" si="2024"/>
        <v/>
      </c>
      <c r="CL271" t="str">
        <f t="shared" si="2025"/>
        <v/>
      </c>
      <c r="CM271" t="str">
        <f>IF($CL271="","",IF(OR($DZ271="",$EA271=""),"ONZEKER",IF(OR($DW271="",$DX271=""),"ONZEKER",IF(AND($DZ271=$DW271+1,$EA271=$DX271),IF(OR(COUNTIF(#REF!,$B271)&gt;0,COUNTIF(#REF!,$B271)=0),"SKIP",IF(COUNTIFS(#REF!,$B271,#REF!,$CL271)&gt;0,"OK","ONBEKEND")),IF(AND($DZ271=$DW271,$EA271=$DX271+1),IF(OR(COUNTIF(#REF!,$D271)&gt;0,COUNTIF(#REF!,$D271)=0),"SKIP",IF(COUNTIFS(#REF!,$D271,#REF!,$CL271)&gt;0,"OK","ONBEKEND")),"ONZEKER")))))</f>
        <v/>
      </c>
      <c r="CN271" t="str">
        <f t="shared" si="2026"/>
        <v/>
      </c>
      <c r="CO271" t="str">
        <f t="shared" si="2027"/>
        <v/>
      </c>
      <c r="CP271" t="str">
        <f>IF($CO271="","",IF(OR($EC271="",$ED271=""),"ONZEKER",IF(OR($DZ271="",$EA271=""),"ONZEKER",IF(AND($EC271=$DZ271+1,$ED271=$EA271),IF(OR(COUNTIF(#REF!,$B271)&gt;0,COUNTIF(#REF!,$B271)=0),"SKIP",IF(COUNTIFS(#REF!,$B271,#REF!,$CO271)&gt;0,"OK","ONBEKEND")),IF(AND($EC271=$DZ271,$ED271=$EA271+1),IF(OR(COUNTIF(#REF!,$D271)&gt;0,COUNTIF(#REF!,$D271)=0),"SKIP",IF(COUNTIFS(#REF!,$D271,#REF!,$CO271)&gt;0,"OK","ONBEKEND")),"ONZEKER")))))</f>
        <v/>
      </c>
      <c r="CQ271" t="str">
        <f t="shared" si="2028"/>
        <v/>
      </c>
      <c r="CR271" t="str">
        <f t="shared" si="2029"/>
        <v/>
      </c>
      <c r="CS271" t="str">
        <f>IF($CR271="","",IF(OR($EF271="",$EG271=""),"ONZEKER",IF(OR($EC271="",$ED271=""),"ONZEKER",IF(AND($EF271=$EC271+1,$EG271=$ED271),IF(OR(COUNTIF(#REF!,$B271)&gt;0,COUNTIF(#REF!,$B271)=0),"SKIP",IF(COUNTIFS(#REF!,$B271,#REF!,$CR271)&gt;0,"OK","ONBEKEND")),IF(AND($EF271=$EC271,$EG271=$ED271+1),IF(OR(COUNTIF(#REF!,$D271)&gt;0,COUNTIF(#REF!,$D271)=0),"SKIP",IF(COUNTIFS(#REF!,$D271,#REF!,$CR271)&gt;0,"OK","ONBEKEND")),"ONZEKER")))))</f>
        <v/>
      </c>
      <c r="CT271" t="str">
        <f t="shared" si="2030"/>
        <v/>
      </c>
      <c r="CU271" t="str">
        <f t="shared" si="2031"/>
        <v/>
      </c>
      <c r="CV271" t="str">
        <f>IF($CU271="","",IF(OR($EI271="",$EJ271=""),"ONZEKER",IF(OR($EF271="",$EG271=""),"ONZEKER",IF(AND($EI271=$EF271+1,$EJ271=$EG271),IF(OR(COUNTIF(#REF!,$B271)&gt;0,COUNTIF(#REF!,$B271)=0),"SKIP",IF(COUNTIFS(#REF!,$B271,#REF!,$CU271)&gt;0,"OK","ONBEKEND")),IF(AND($EI271=$EF271,$EJ271=$EG271+1),IF(OR(COUNTIF(#REF!,$D271)&gt;0,COUNTIF(#REF!,$D271)=0),"SKIP",IF(COUNTIFS(#REF!,$D271,#REF!,$CU271)&gt;0,"OK","ONBEKEND")),"ONZEKER")))))</f>
        <v/>
      </c>
      <c r="CW271" t="str">
        <f t="shared" si="2032"/>
        <v/>
      </c>
      <c r="CX271" t="str">
        <f t="shared" si="2033"/>
        <v/>
      </c>
      <c r="CY271" t="str">
        <f>IF($CX271="","",IF(OR($EL271="",$EM271=""),"ONZEKER",IF(OR($EI271="",$EJ271=""),"ONZEKER",IF(AND($EL271=$EI271+1,$EM271=$EJ271),IF(OR(COUNTIF(#REF!,$B271)&gt;0,COUNTIF(#REF!,$B271)=0),"SKIP",IF(COUNTIFS(#REF!,$B271,#REF!,$CX271)&gt;0,"OK","ONBEKEND")),IF(AND($EL271=$EI271,$EM271=$EJ271+1),IF(OR(COUNTIF(#REF!,$D271)&gt;0,COUNTIF(#REF!,$D271)=0),"SKIP",IF(COUNTIFS(#REF!,$D271,#REF!,$CX271)&gt;0,"OK","ONBEKEND")),"ONZEKER")))))</f>
        <v/>
      </c>
      <c r="CZ271" t="str">
        <f t="shared" si="2034"/>
        <v/>
      </c>
      <c r="DA271" t="str">
        <f t="shared" si="2035"/>
        <v/>
      </c>
      <c r="DB271" t="str">
        <f>IF($DA271="","",IF(OR($EO271="",$EP271=""),"ONZEKER",IF(OR($EL271="",$EM271=""),"ONZEKER",IF(AND($EO271=$EL271+1,$EP271=$EM271),IF(OR(COUNTIF(#REF!,$B271)&gt;0,COUNTIF(#REF!,$B271)=0),"SKIP",IF(COUNTIFS(#REF!,$B271,#REF!,$DA271)&gt;0,"OK","ONBEKEND")),IF(AND($EO271=$EL271,$EP271=$EM271+1),IF(OR(COUNTIF(#REF!,$D271)&gt;0,COUNTIF(#REF!,$D271)=0),"SKIP",IF(COUNTIFS(#REF!,$D271,#REF!,$DA271)&gt;0,"OK","ONBEKEND")),"ONZEKER")))))</f>
        <v/>
      </c>
      <c r="DC271" t="str">
        <f t="shared" si="2036"/>
        <v/>
      </c>
      <c r="DD271" t="str">
        <f t="shared" si="2037"/>
        <v/>
      </c>
      <c r="DE271" t="str">
        <f>IF($DD271="","",IF(OR($ER271="",$ES271=""),"ONZEKER",IF(OR($EO271="",$EP271=""),"ONZEKER",IF(AND($ER271=$EO271+1,$ES271=$EP271),IF(OR(COUNTIF(#REF!,$B271)&gt;0,COUNTIF(#REF!,$B271)=0),"SKIP",IF(COUNTIFS(#REF!,$B271,#REF!,$DD271)&gt;0,"OK","ONBEKEND")),IF(AND($ER271=$EO271,$ES271=$EP271+1),IF(OR(COUNTIF(#REF!,$D271)&gt;0,COUNTIF(#REF!,$D271)=0),"SKIP",IF(COUNTIFS(#REF!,$D271,#REF!,$DD271)&gt;0,"OK","ONBEKEND")),"ONZEKER")))))</f>
        <v/>
      </c>
      <c r="DF271" t="str">
        <f t="shared" si="2038"/>
        <v/>
      </c>
      <c r="DG271" t="str">
        <f t="shared" si="2039"/>
        <v/>
      </c>
      <c r="DH271" t="str">
        <f>IF($DG271="","",IF(OR($EU271="",$EV271=""),"ONZEKER",IF(OR($ER271="",$ES271=""),"ONZEKER",IF(AND($EU271=$ER271+1,$EV271=$ES271),IF(OR(COUNTIF(#REF!,$B271)&gt;0,COUNTIF(#REF!,$B271)=0),"SKIP",IF(COUNTIFS(#REF!,$B271,#REF!,$DG271)&gt;0,"OK","ONBEKEND")),IF(AND($EU271=$ER271,$EV271=$ES271+1),IF(OR(COUNTIF(#REF!,$D271)&gt;0,COUNTIF(#REF!,$D271)=0),"SKIP",IF(COUNTIFS(#REF!,$D271,#REF!,$DG271)&gt;0,"OK","ONBEKEND")),"ONZEKER")))))</f>
        <v/>
      </c>
      <c r="DI271" t="str">
        <f t="shared" si="2040"/>
        <v/>
      </c>
      <c r="DJ271" t="str">
        <f t="shared" si="2041"/>
        <v/>
      </c>
      <c r="DK271" t="str">
        <f>IF($DJ271="","",IF(OR($EX271="",$EY271=""),"ONZEKER",IF(OR($EU271="",$EV271=""),"ONZEKER",IF(AND($EX271=$EU271+1,$EY271=$EV271),IF(OR(COUNTIF(#REF!,$B271)&gt;0,COUNTIF(#REF!,$B271)=0),"SKIP",IF(COUNTIFS(#REF!,$B271,#REF!,$DJ271)&gt;0,"OK","ONBEKEND")),IF(AND($EX271=$EU271,$EY271=$EV271+1),IF(OR(COUNTIF(#REF!,$D271)&gt;0,COUNTIF(#REF!,$D271)=0),"SKIP",IF(COUNTIFS(#REF!,$D271,#REF!,$DJ271)&gt;0,"OK","ONBEKEND")),"ONZEKER")))))</f>
        <v/>
      </c>
      <c r="DL271" t="str">
        <f t="shared" si="2042"/>
        <v/>
      </c>
      <c r="DM271" t="str">
        <f t="shared" si="2043"/>
        <v/>
      </c>
      <c r="DN271" t="str">
        <f t="shared" si="2044"/>
        <v/>
      </c>
      <c r="DO271" t="str">
        <f t="shared" si="2045"/>
        <v/>
      </c>
      <c r="DP271" t="str">
        <f t="shared" si="2046"/>
        <v/>
      </c>
      <c r="DQ271" t="str">
        <f t="shared" si="2047"/>
        <v/>
      </c>
      <c r="DR271" t="str">
        <f t="shared" si="2048"/>
        <v/>
      </c>
      <c r="DS271" t="str">
        <f t="shared" si="2049"/>
        <v/>
      </c>
      <c r="DT271" t="str">
        <f t="shared" si="2050"/>
        <v/>
      </c>
      <c r="DU271" t="str">
        <f t="shared" si="2051"/>
        <v/>
      </c>
      <c r="DV271" t="str">
        <f t="shared" si="2052"/>
        <v/>
      </c>
      <c r="DW271" t="str">
        <f t="shared" si="2053"/>
        <v/>
      </c>
      <c r="DX271" t="str">
        <f t="shared" si="2054"/>
        <v/>
      </c>
      <c r="DY271" t="str">
        <f t="shared" si="2055"/>
        <v/>
      </c>
      <c r="DZ271" t="str">
        <f t="shared" si="2056"/>
        <v/>
      </c>
      <c r="EA271" t="str">
        <f t="shared" si="2057"/>
        <v/>
      </c>
      <c r="EB271" t="str">
        <f t="shared" si="2058"/>
        <v/>
      </c>
      <c r="EC271" t="str">
        <f t="shared" si="2059"/>
        <v/>
      </c>
      <c r="ED271" t="str">
        <f t="shared" si="2060"/>
        <v/>
      </c>
      <c r="EE271" t="str">
        <f t="shared" si="2061"/>
        <v/>
      </c>
      <c r="EF271" t="str">
        <f t="shared" si="2062"/>
        <v/>
      </c>
      <c r="EG271" t="str">
        <f t="shared" si="2063"/>
        <v/>
      </c>
      <c r="EH271" t="str">
        <f t="shared" si="2064"/>
        <v/>
      </c>
      <c r="EI271" t="str">
        <f t="shared" si="2065"/>
        <v/>
      </c>
      <c r="EJ271" t="str">
        <f t="shared" si="2066"/>
        <v/>
      </c>
      <c r="EK271" t="str">
        <f t="shared" si="2067"/>
        <v/>
      </c>
      <c r="EL271" t="str">
        <f t="shared" si="2068"/>
        <v/>
      </c>
      <c r="EM271" t="str">
        <f t="shared" si="2069"/>
        <v/>
      </c>
      <c r="EN271" t="str">
        <f t="shared" si="2070"/>
        <v/>
      </c>
      <c r="EO271" t="str">
        <f t="shared" si="2071"/>
        <v/>
      </c>
      <c r="EP271" t="str">
        <f t="shared" si="2072"/>
        <v/>
      </c>
      <c r="EQ271" t="str">
        <f t="shared" si="2073"/>
        <v/>
      </c>
      <c r="ER271" t="str">
        <f t="shared" si="2074"/>
        <v/>
      </c>
      <c r="ES271" t="str">
        <f t="shared" si="2075"/>
        <v/>
      </c>
      <c r="ET271" t="str">
        <f t="shared" si="2076"/>
        <v/>
      </c>
      <c r="EU271" t="str">
        <f t="shared" si="2077"/>
        <v/>
      </c>
      <c r="EV271" t="str">
        <f t="shared" si="2078"/>
        <v/>
      </c>
      <c r="EW271" t="str">
        <f t="shared" si="2079"/>
        <v/>
      </c>
      <c r="EX271" t="str">
        <f t="shared" si="2080"/>
        <v/>
      </c>
      <c r="EY271" t="str">
        <f t="shared" si="2081"/>
        <v/>
      </c>
    </row>
    <row r="272" spans="1:155" ht="13.9" customHeight="1" x14ac:dyDescent="0.25">
      <c r="M272" s="13" t="str">
        <f>IF($L272="","",IF($L272="DOELPUNTENMAKERS","",IF(AND(COUNTIF(#REF!,$B272)=0,COUNTIF(#REF!,$D272)=0),"OK",IF($O272&gt;20,"LET OP: meer dan 20 items (controle onvolledig)",IF((COUNTIF($R272:$AS272,"ONZEKER")+COUNTIF($CJ272:$DK272,"ONZEKER"))&gt;0,"LET OP: scoreverloop onduidelijk (controle beperkt)",IF((IF($AT272&lt;&gt;"",$AT272&amp;", ","")&amp;IF($AU272&lt;&gt;"",$AU272&amp;", ","")&amp;IF($AV272&lt;&gt;"",$AV272&amp;", ","")&amp;IF($AW272&lt;&gt;"",$AW272&amp;", ","")&amp;IF($AX272&lt;&gt;"",$AX272&amp;", ","")&amp;IF($AY272&lt;&gt;"",$AY272&amp;", ","")&amp;IF($AZ272&lt;&gt;"",$AZ272&amp;", ","")&amp;IF($BA272&lt;&gt;"",$BA272&amp;", ","")&amp;IF($BB272&lt;&gt;"",$BB272&amp;", ","")&amp;IF($BC272&lt;&gt;"",$BC272&amp;", ","")&amp;IF($DL272&lt;&gt;"",$DL272&amp;", ","")&amp;IF($DM272&lt;&gt;"",$DM272&amp;", ","")&amp;IF($DN272&lt;&gt;"",$DN272&amp;", ","")&amp;IF($DO272&lt;&gt;"",$DO272&amp;", ","")&amp;IF($DP272&lt;&gt;"",$DP272&amp;", ","")&amp;IF($DQ272&lt;&gt;"",$DQ272&amp;", ","")&amp;IF($DR272&lt;&gt;"",$DR272&amp;", ","")&amp;IF($DS272&lt;&gt;"",$DS272&amp;", ","")&amp;IF($DT272&lt;&gt;"",$DT272&amp;", ","")&amp;IF($DU272&lt;&gt;"",$DU272&amp;", ",""))="","OK","Onbekend: "&amp;LEFT((IF($AT272&lt;&gt;"",$AT272&amp;", ","")&amp;IF($AU272&lt;&gt;"",$AU272&amp;", ","")&amp;IF($AV272&lt;&gt;"",$AV272&amp;", ","")&amp;IF($AW272&lt;&gt;"",$AW272&amp;", ","")&amp;IF($AX272&lt;&gt;"",$AX272&amp;", ","")&amp;IF($AY272&lt;&gt;"",$AY272&amp;", ","")&amp;IF($AZ272&lt;&gt;"",$AZ272&amp;", ","")&amp;IF($BA272&lt;&gt;"",$BA272&amp;", ","")&amp;IF($BB272&lt;&gt;"",$BB272&amp;", ","")&amp;IF($BC272&lt;&gt;"",$BC272&amp;", ","")&amp;IF($DL272&lt;&gt;"",$DL272&amp;", ","")&amp;IF($DM272&lt;&gt;"",$DM272&amp;", ","")&amp;IF($DN272&lt;&gt;"",$DN272&amp;", ","")&amp;IF($DO272&lt;&gt;"",$DO272&amp;", ","")&amp;IF($DP272&lt;&gt;"",$DP272&amp;", ","")&amp;IF($DQ272&lt;&gt;"",$DQ272&amp;", ","")&amp;IF($DR272&lt;&gt;"",$DR272&amp;", ","")&amp;IF($DS272&lt;&gt;"",$DS272&amp;", ","")&amp;IF($DT272&lt;&gt;"",$DT272&amp;", ","")&amp;IF($DU272&lt;&gt;"",$DU272&amp;", ","")),LEN((IF($AT272&lt;&gt;"",$AT272&amp;", ","")&amp;IF($AU272&lt;&gt;"",$AU272&amp;", ","")&amp;IF($AV272&lt;&gt;"",$AV272&amp;", ","")&amp;IF($AW272&lt;&gt;"",$AW272&amp;", ","")&amp;IF($AX272&lt;&gt;"",$AX272&amp;", ","")&amp;IF($AY272&lt;&gt;"",$AY272&amp;", ","")&amp;IF($AZ272&lt;&gt;"",$AZ272&amp;", ","")&amp;IF($BA272&lt;&gt;"",$BA272&amp;", ","")&amp;IF($BB272&lt;&gt;"",$BB272&amp;", ","")&amp;IF($BC272&lt;&gt;"",$BC272&amp;", ","")&amp;IF($DL272&lt;&gt;"",$DL272&amp;", ","")&amp;IF($DM272&lt;&gt;"",$DM272&amp;", ","")&amp;IF($DN272&lt;&gt;"",$DN272&amp;", ","")&amp;IF($DO272&lt;&gt;"",$DO272&amp;", ","")&amp;IF($DP272&lt;&gt;"",$DP272&amp;", ","")&amp;IF($DQ272&lt;&gt;"",$DQ272&amp;", ","")&amp;IF($DR272&lt;&gt;"",$DR272&amp;", ","")&amp;IF($DS272&lt;&gt;"",$DS272&amp;", ","")&amp;IF($DT272&lt;&gt;"",$DT272&amp;", ","")&amp;IF($DU272&lt;&gt;"",$DU272&amp;", ","")))-2)))))))</f>
        <v/>
      </c>
      <c r="CH272" t="str">
        <f t="shared" si="2022"/>
        <v/>
      </c>
      <c r="CI272" t="str">
        <f t="shared" si="2023"/>
        <v/>
      </c>
      <c r="CJ272" t="str">
        <f>IF($CI272="","",IF(OR($DW272="",$DX272=""),"ONZEKER",IF(OR($CF272="",$CG272=""),"ONZEKER",IF(AND($DW272=$CF272+1,$DX272=$CG272),IF(OR(COUNTIF(#REF!,$B272)&gt;0,COUNTIF(#REF!,$B272)=0),"SKIP",IF(COUNTIFS(#REF!,$B272,#REF!,$CI272)&gt;0,"OK","ONBEKEND")),IF(AND($DW272=$CF272,$DX272=$CG272+1),IF(OR(COUNTIF(#REF!,$D272)&gt;0,COUNTIF(#REF!,$D272)=0),"SKIP",IF(COUNTIFS(#REF!,$D272,#REF!,$CI272)&gt;0,"OK","ONBEKEND")),"ONZEKER")))))</f>
        <v/>
      </c>
      <c r="CK272" t="str">
        <f t="shared" si="2024"/>
        <v/>
      </c>
      <c r="CL272" t="str">
        <f t="shared" si="2025"/>
        <v/>
      </c>
      <c r="CM272" t="str">
        <f>IF($CL272="","",IF(OR($DZ272="",$EA272=""),"ONZEKER",IF(OR($DW272="",$DX272=""),"ONZEKER",IF(AND($DZ272=$DW272+1,$EA272=$DX272),IF(OR(COUNTIF(#REF!,$B272)&gt;0,COUNTIF(#REF!,$B272)=0),"SKIP",IF(COUNTIFS(#REF!,$B272,#REF!,$CL272)&gt;0,"OK","ONBEKEND")),IF(AND($DZ272=$DW272,$EA272=$DX272+1),IF(OR(COUNTIF(#REF!,$D272)&gt;0,COUNTIF(#REF!,$D272)=0),"SKIP",IF(COUNTIFS(#REF!,$D272,#REF!,$CL272)&gt;0,"OK","ONBEKEND")),"ONZEKER")))))</f>
        <v/>
      </c>
      <c r="CN272" t="str">
        <f t="shared" si="2026"/>
        <v/>
      </c>
      <c r="CO272" t="str">
        <f t="shared" si="2027"/>
        <v/>
      </c>
      <c r="CP272" t="str">
        <f>IF($CO272="","",IF(OR($EC272="",$ED272=""),"ONZEKER",IF(OR($DZ272="",$EA272=""),"ONZEKER",IF(AND($EC272=$DZ272+1,$ED272=$EA272),IF(OR(COUNTIF(#REF!,$B272)&gt;0,COUNTIF(#REF!,$B272)=0),"SKIP",IF(COUNTIFS(#REF!,$B272,#REF!,$CO272)&gt;0,"OK","ONBEKEND")),IF(AND($EC272=$DZ272,$ED272=$EA272+1),IF(OR(COUNTIF(#REF!,$D272)&gt;0,COUNTIF(#REF!,$D272)=0),"SKIP",IF(COUNTIFS(#REF!,$D272,#REF!,$CO272)&gt;0,"OK","ONBEKEND")),"ONZEKER")))))</f>
        <v/>
      </c>
      <c r="CQ272" t="str">
        <f t="shared" si="2028"/>
        <v/>
      </c>
      <c r="CR272" t="str">
        <f t="shared" si="2029"/>
        <v/>
      </c>
      <c r="CS272" t="str">
        <f>IF($CR272="","",IF(OR($EF272="",$EG272=""),"ONZEKER",IF(OR($EC272="",$ED272=""),"ONZEKER",IF(AND($EF272=$EC272+1,$EG272=$ED272),IF(OR(COUNTIF(#REF!,$B272)&gt;0,COUNTIF(#REF!,$B272)=0),"SKIP",IF(COUNTIFS(#REF!,$B272,#REF!,$CR272)&gt;0,"OK","ONBEKEND")),IF(AND($EF272=$EC272,$EG272=$ED272+1),IF(OR(COUNTIF(#REF!,$D272)&gt;0,COUNTIF(#REF!,$D272)=0),"SKIP",IF(COUNTIFS(#REF!,$D272,#REF!,$CR272)&gt;0,"OK","ONBEKEND")),"ONZEKER")))))</f>
        <v/>
      </c>
      <c r="CT272" t="str">
        <f t="shared" si="2030"/>
        <v/>
      </c>
      <c r="CU272" t="str">
        <f t="shared" si="2031"/>
        <v/>
      </c>
      <c r="CV272" t="str">
        <f>IF($CU272="","",IF(OR($EI272="",$EJ272=""),"ONZEKER",IF(OR($EF272="",$EG272=""),"ONZEKER",IF(AND($EI272=$EF272+1,$EJ272=$EG272),IF(OR(COUNTIF(#REF!,$B272)&gt;0,COUNTIF(#REF!,$B272)=0),"SKIP",IF(COUNTIFS(#REF!,$B272,#REF!,$CU272)&gt;0,"OK","ONBEKEND")),IF(AND($EI272=$EF272,$EJ272=$EG272+1),IF(OR(COUNTIF(#REF!,$D272)&gt;0,COUNTIF(#REF!,$D272)=0),"SKIP",IF(COUNTIFS(#REF!,$D272,#REF!,$CU272)&gt;0,"OK","ONBEKEND")),"ONZEKER")))))</f>
        <v/>
      </c>
      <c r="CW272" t="str">
        <f t="shared" si="2032"/>
        <v/>
      </c>
      <c r="CX272" t="str">
        <f t="shared" si="2033"/>
        <v/>
      </c>
      <c r="CY272" t="str">
        <f>IF($CX272="","",IF(OR($EL272="",$EM272=""),"ONZEKER",IF(OR($EI272="",$EJ272=""),"ONZEKER",IF(AND($EL272=$EI272+1,$EM272=$EJ272),IF(OR(COUNTIF(#REF!,$B272)&gt;0,COUNTIF(#REF!,$B272)=0),"SKIP",IF(COUNTIFS(#REF!,$B272,#REF!,$CX272)&gt;0,"OK","ONBEKEND")),IF(AND($EL272=$EI272,$EM272=$EJ272+1),IF(OR(COUNTIF(#REF!,$D272)&gt;0,COUNTIF(#REF!,$D272)=0),"SKIP",IF(COUNTIFS(#REF!,$D272,#REF!,$CX272)&gt;0,"OK","ONBEKEND")),"ONZEKER")))))</f>
        <v/>
      </c>
      <c r="CZ272" t="str">
        <f t="shared" si="2034"/>
        <v/>
      </c>
      <c r="DA272" t="str">
        <f t="shared" si="2035"/>
        <v/>
      </c>
      <c r="DB272" t="str">
        <f>IF($DA272="","",IF(OR($EO272="",$EP272=""),"ONZEKER",IF(OR($EL272="",$EM272=""),"ONZEKER",IF(AND($EO272=$EL272+1,$EP272=$EM272),IF(OR(COUNTIF(#REF!,$B272)&gt;0,COUNTIF(#REF!,$B272)=0),"SKIP",IF(COUNTIFS(#REF!,$B272,#REF!,$DA272)&gt;0,"OK","ONBEKEND")),IF(AND($EO272=$EL272,$EP272=$EM272+1),IF(OR(COUNTIF(#REF!,$D272)&gt;0,COUNTIF(#REF!,$D272)=0),"SKIP",IF(COUNTIFS(#REF!,$D272,#REF!,$DA272)&gt;0,"OK","ONBEKEND")),"ONZEKER")))))</f>
        <v/>
      </c>
      <c r="DC272" t="str">
        <f t="shared" si="2036"/>
        <v/>
      </c>
      <c r="DD272" t="str">
        <f t="shared" si="2037"/>
        <v/>
      </c>
      <c r="DE272" t="str">
        <f>IF($DD272="","",IF(OR($ER272="",$ES272=""),"ONZEKER",IF(OR($EO272="",$EP272=""),"ONZEKER",IF(AND($ER272=$EO272+1,$ES272=$EP272),IF(OR(COUNTIF(#REF!,$B272)&gt;0,COUNTIF(#REF!,$B272)=0),"SKIP",IF(COUNTIFS(#REF!,$B272,#REF!,$DD272)&gt;0,"OK","ONBEKEND")),IF(AND($ER272=$EO272,$ES272=$EP272+1),IF(OR(COUNTIF(#REF!,$D272)&gt;0,COUNTIF(#REF!,$D272)=0),"SKIP",IF(COUNTIFS(#REF!,$D272,#REF!,$DD272)&gt;0,"OK","ONBEKEND")),"ONZEKER")))))</f>
        <v/>
      </c>
      <c r="DF272" t="str">
        <f t="shared" si="2038"/>
        <v/>
      </c>
      <c r="DG272" t="str">
        <f t="shared" si="2039"/>
        <v/>
      </c>
      <c r="DH272" t="str">
        <f>IF($DG272="","",IF(OR($EU272="",$EV272=""),"ONZEKER",IF(OR($ER272="",$ES272=""),"ONZEKER",IF(AND($EU272=$ER272+1,$EV272=$ES272),IF(OR(COUNTIF(#REF!,$B272)&gt;0,COUNTIF(#REF!,$B272)=0),"SKIP",IF(COUNTIFS(#REF!,$B272,#REF!,$DG272)&gt;0,"OK","ONBEKEND")),IF(AND($EU272=$ER272,$EV272=$ES272+1),IF(OR(COUNTIF(#REF!,$D272)&gt;0,COUNTIF(#REF!,$D272)=0),"SKIP",IF(COUNTIFS(#REF!,$D272,#REF!,$DG272)&gt;0,"OK","ONBEKEND")),"ONZEKER")))))</f>
        <v/>
      </c>
      <c r="DI272" t="str">
        <f t="shared" si="2040"/>
        <v/>
      </c>
      <c r="DJ272" t="str">
        <f t="shared" si="2041"/>
        <v/>
      </c>
      <c r="DK272" t="str">
        <f>IF($DJ272="","",IF(OR($EX272="",$EY272=""),"ONZEKER",IF(OR($EU272="",$EV272=""),"ONZEKER",IF(AND($EX272=$EU272+1,$EY272=$EV272),IF(OR(COUNTIF(#REF!,$B272)&gt;0,COUNTIF(#REF!,$B272)=0),"SKIP",IF(COUNTIFS(#REF!,$B272,#REF!,$DJ272)&gt;0,"OK","ONBEKEND")),IF(AND($EX272=$EU272,$EY272=$EV272+1),IF(OR(COUNTIF(#REF!,$D272)&gt;0,COUNTIF(#REF!,$D272)=0),"SKIP",IF(COUNTIFS(#REF!,$D272,#REF!,$DJ272)&gt;0,"OK","ONBEKEND")),"ONZEKER")))))</f>
        <v/>
      </c>
      <c r="DL272" t="str">
        <f t="shared" si="2042"/>
        <v/>
      </c>
      <c r="DM272" t="str">
        <f t="shared" si="2043"/>
        <v/>
      </c>
      <c r="DN272" t="str">
        <f t="shared" si="2044"/>
        <v/>
      </c>
      <c r="DO272" t="str">
        <f t="shared" si="2045"/>
        <v/>
      </c>
      <c r="DP272" t="str">
        <f t="shared" si="2046"/>
        <v/>
      </c>
      <c r="DQ272" t="str">
        <f t="shared" si="2047"/>
        <v/>
      </c>
      <c r="DR272" t="str">
        <f t="shared" si="2048"/>
        <v/>
      </c>
      <c r="DS272" t="str">
        <f t="shared" si="2049"/>
        <v/>
      </c>
      <c r="DT272" t="str">
        <f t="shared" si="2050"/>
        <v/>
      </c>
      <c r="DU272" t="str">
        <f t="shared" si="2051"/>
        <v/>
      </c>
      <c r="DV272" t="str">
        <f t="shared" si="2052"/>
        <v/>
      </c>
      <c r="DW272" t="str">
        <f t="shared" si="2053"/>
        <v/>
      </c>
      <c r="DX272" t="str">
        <f t="shared" si="2054"/>
        <v/>
      </c>
      <c r="DY272" t="str">
        <f t="shared" si="2055"/>
        <v/>
      </c>
      <c r="DZ272" t="str">
        <f t="shared" si="2056"/>
        <v/>
      </c>
      <c r="EA272" t="str">
        <f t="shared" si="2057"/>
        <v/>
      </c>
      <c r="EB272" t="str">
        <f t="shared" si="2058"/>
        <v/>
      </c>
      <c r="EC272" t="str">
        <f t="shared" si="2059"/>
        <v/>
      </c>
      <c r="ED272" t="str">
        <f t="shared" si="2060"/>
        <v/>
      </c>
      <c r="EE272" t="str">
        <f t="shared" si="2061"/>
        <v/>
      </c>
      <c r="EF272" t="str">
        <f t="shared" si="2062"/>
        <v/>
      </c>
      <c r="EG272" t="str">
        <f t="shared" si="2063"/>
        <v/>
      </c>
      <c r="EH272" t="str">
        <f t="shared" si="2064"/>
        <v/>
      </c>
      <c r="EI272" t="str">
        <f t="shared" si="2065"/>
        <v/>
      </c>
      <c r="EJ272" t="str">
        <f t="shared" si="2066"/>
        <v/>
      </c>
      <c r="EK272" t="str">
        <f t="shared" si="2067"/>
        <v/>
      </c>
      <c r="EL272" t="str">
        <f t="shared" si="2068"/>
        <v/>
      </c>
      <c r="EM272" t="str">
        <f t="shared" si="2069"/>
        <v/>
      </c>
      <c r="EN272" t="str">
        <f t="shared" si="2070"/>
        <v/>
      </c>
      <c r="EO272" t="str">
        <f t="shared" si="2071"/>
        <v/>
      </c>
      <c r="EP272" t="str">
        <f t="shared" si="2072"/>
        <v/>
      </c>
      <c r="EQ272" t="str">
        <f t="shared" si="2073"/>
        <v/>
      </c>
      <c r="ER272" t="str">
        <f t="shared" si="2074"/>
        <v/>
      </c>
      <c r="ES272" t="str">
        <f t="shared" si="2075"/>
        <v/>
      </c>
      <c r="ET272" t="str">
        <f t="shared" si="2076"/>
        <v/>
      </c>
      <c r="EU272" t="str">
        <f t="shared" si="2077"/>
        <v/>
      </c>
      <c r="EV272" t="str">
        <f t="shared" si="2078"/>
        <v/>
      </c>
      <c r="EW272" t="str">
        <f t="shared" si="2079"/>
        <v/>
      </c>
      <c r="EX272" t="str">
        <f t="shared" si="2080"/>
        <v/>
      </c>
      <c r="EY272" t="str">
        <f t="shared" si="2081"/>
        <v/>
      </c>
    </row>
    <row r="273" spans="1:155" ht="13.9" customHeight="1" x14ac:dyDescent="0.25">
      <c r="M273" s="13" t="str">
        <f>IF($L273="","",IF($L273="DOELPUNTENMAKERS","",IF(AND(COUNTIF(#REF!,$B273)=0,COUNTIF(#REF!,$D273)=0),"OK",IF($O273&gt;20,"LET OP: meer dan 20 items (controle onvolledig)",IF((COUNTIF($R273:$AS273,"ONZEKER")+COUNTIF($CJ273:$DK273,"ONZEKER"))&gt;0,"LET OP: scoreverloop onduidelijk (controle beperkt)",IF((IF($AT273&lt;&gt;"",$AT273&amp;", ","")&amp;IF($AU273&lt;&gt;"",$AU273&amp;", ","")&amp;IF($AV273&lt;&gt;"",$AV273&amp;", ","")&amp;IF($AW273&lt;&gt;"",$AW273&amp;", ","")&amp;IF($AX273&lt;&gt;"",$AX273&amp;", ","")&amp;IF($AY273&lt;&gt;"",$AY273&amp;", ","")&amp;IF($AZ273&lt;&gt;"",$AZ273&amp;", ","")&amp;IF($BA273&lt;&gt;"",$BA273&amp;", ","")&amp;IF($BB273&lt;&gt;"",$BB273&amp;", ","")&amp;IF($BC273&lt;&gt;"",$BC273&amp;", ","")&amp;IF($DL273&lt;&gt;"",$DL273&amp;", ","")&amp;IF($DM273&lt;&gt;"",$DM273&amp;", ","")&amp;IF($DN273&lt;&gt;"",$DN273&amp;", ","")&amp;IF($DO273&lt;&gt;"",$DO273&amp;", ","")&amp;IF($DP273&lt;&gt;"",$DP273&amp;", ","")&amp;IF($DQ273&lt;&gt;"",$DQ273&amp;", ","")&amp;IF($DR273&lt;&gt;"",$DR273&amp;", ","")&amp;IF($DS273&lt;&gt;"",$DS273&amp;", ","")&amp;IF($DT273&lt;&gt;"",$DT273&amp;", ","")&amp;IF($DU273&lt;&gt;"",$DU273&amp;", ",""))="","OK","Onbekend: "&amp;LEFT((IF($AT273&lt;&gt;"",$AT273&amp;", ","")&amp;IF($AU273&lt;&gt;"",$AU273&amp;", ","")&amp;IF($AV273&lt;&gt;"",$AV273&amp;", ","")&amp;IF($AW273&lt;&gt;"",$AW273&amp;", ","")&amp;IF($AX273&lt;&gt;"",$AX273&amp;", ","")&amp;IF($AY273&lt;&gt;"",$AY273&amp;", ","")&amp;IF($AZ273&lt;&gt;"",$AZ273&amp;", ","")&amp;IF($BA273&lt;&gt;"",$BA273&amp;", ","")&amp;IF($BB273&lt;&gt;"",$BB273&amp;", ","")&amp;IF($BC273&lt;&gt;"",$BC273&amp;", ","")&amp;IF($DL273&lt;&gt;"",$DL273&amp;", ","")&amp;IF($DM273&lt;&gt;"",$DM273&amp;", ","")&amp;IF($DN273&lt;&gt;"",$DN273&amp;", ","")&amp;IF($DO273&lt;&gt;"",$DO273&amp;", ","")&amp;IF($DP273&lt;&gt;"",$DP273&amp;", ","")&amp;IF($DQ273&lt;&gt;"",$DQ273&amp;", ","")&amp;IF($DR273&lt;&gt;"",$DR273&amp;", ","")&amp;IF($DS273&lt;&gt;"",$DS273&amp;", ","")&amp;IF($DT273&lt;&gt;"",$DT273&amp;", ","")&amp;IF($DU273&lt;&gt;"",$DU273&amp;", ","")),LEN((IF($AT273&lt;&gt;"",$AT273&amp;", ","")&amp;IF($AU273&lt;&gt;"",$AU273&amp;", ","")&amp;IF($AV273&lt;&gt;"",$AV273&amp;", ","")&amp;IF($AW273&lt;&gt;"",$AW273&amp;", ","")&amp;IF($AX273&lt;&gt;"",$AX273&amp;", ","")&amp;IF($AY273&lt;&gt;"",$AY273&amp;", ","")&amp;IF($AZ273&lt;&gt;"",$AZ273&amp;", ","")&amp;IF($BA273&lt;&gt;"",$BA273&amp;", ","")&amp;IF($BB273&lt;&gt;"",$BB273&amp;", ","")&amp;IF($BC273&lt;&gt;"",$BC273&amp;", ","")&amp;IF($DL273&lt;&gt;"",$DL273&amp;", ","")&amp;IF($DM273&lt;&gt;"",$DM273&amp;", ","")&amp;IF($DN273&lt;&gt;"",$DN273&amp;", ","")&amp;IF($DO273&lt;&gt;"",$DO273&amp;", ","")&amp;IF($DP273&lt;&gt;"",$DP273&amp;", ","")&amp;IF($DQ273&lt;&gt;"",$DQ273&amp;", ","")&amp;IF($DR273&lt;&gt;"",$DR273&amp;", ","")&amp;IF($DS273&lt;&gt;"",$DS273&amp;", ","")&amp;IF($DT273&lt;&gt;"",$DT273&amp;", ","")&amp;IF($DU273&lt;&gt;"",$DU273&amp;", ","")))-2)))))))</f>
        <v/>
      </c>
      <c r="CH273" t="str">
        <f t="shared" si="2022"/>
        <v/>
      </c>
      <c r="CI273" t="str">
        <f t="shared" si="2023"/>
        <v/>
      </c>
      <c r="CJ273" t="str">
        <f>IF($CI273="","",IF(OR($DW273="",$DX273=""),"ONZEKER",IF(OR($CF273="",$CG273=""),"ONZEKER",IF(AND($DW273=$CF273+1,$DX273=$CG273),IF(OR(COUNTIF(#REF!,$B273)&gt;0,COUNTIF(#REF!,$B273)=0),"SKIP",IF(COUNTIFS(#REF!,$B273,#REF!,$CI273)&gt;0,"OK","ONBEKEND")),IF(AND($DW273=$CF273,$DX273=$CG273+1),IF(OR(COUNTIF(#REF!,$D273)&gt;0,COUNTIF(#REF!,$D273)=0),"SKIP",IF(COUNTIFS(#REF!,$D273,#REF!,$CI273)&gt;0,"OK","ONBEKEND")),"ONZEKER")))))</f>
        <v/>
      </c>
      <c r="CK273" t="str">
        <f t="shared" si="2024"/>
        <v/>
      </c>
      <c r="CL273" t="str">
        <f t="shared" si="2025"/>
        <v/>
      </c>
      <c r="CM273" t="str">
        <f>IF($CL273="","",IF(OR($DZ273="",$EA273=""),"ONZEKER",IF(OR($DW273="",$DX273=""),"ONZEKER",IF(AND($DZ273=$DW273+1,$EA273=$DX273),IF(OR(COUNTIF(#REF!,$B273)&gt;0,COUNTIF(#REF!,$B273)=0),"SKIP",IF(COUNTIFS(#REF!,$B273,#REF!,$CL273)&gt;0,"OK","ONBEKEND")),IF(AND($DZ273=$DW273,$EA273=$DX273+1),IF(OR(COUNTIF(#REF!,$D273)&gt;0,COUNTIF(#REF!,$D273)=0),"SKIP",IF(COUNTIFS(#REF!,$D273,#REF!,$CL273)&gt;0,"OK","ONBEKEND")),"ONZEKER")))))</f>
        <v/>
      </c>
      <c r="CN273" t="str">
        <f t="shared" si="2026"/>
        <v/>
      </c>
      <c r="CO273" t="str">
        <f t="shared" si="2027"/>
        <v/>
      </c>
      <c r="CP273" t="str">
        <f>IF($CO273="","",IF(OR($EC273="",$ED273=""),"ONZEKER",IF(OR($DZ273="",$EA273=""),"ONZEKER",IF(AND($EC273=$DZ273+1,$ED273=$EA273),IF(OR(COUNTIF(#REF!,$B273)&gt;0,COUNTIF(#REF!,$B273)=0),"SKIP",IF(COUNTIFS(#REF!,$B273,#REF!,$CO273)&gt;0,"OK","ONBEKEND")),IF(AND($EC273=$DZ273,$ED273=$EA273+1),IF(OR(COUNTIF(#REF!,$D273)&gt;0,COUNTIF(#REF!,$D273)=0),"SKIP",IF(COUNTIFS(#REF!,$D273,#REF!,$CO273)&gt;0,"OK","ONBEKEND")),"ONZEKER")))))</f>
        <v/>
      </c>
      <c r="CQ273" t="str">
        <f t="shared" si="2028"/>
        <v/>
      </c>
      <c r="CR273" t="str">
        <f t="shared" si="2029"/>
        <v/>
      </c>
      <c r="CS273" t="str">
        <f>IF($CR273="","",IF(OR($EF273="",$EG273=""),"ONZEKER",IF(OR($EC273="",$ED273=""),"ONZEKER",IF(AND($EF273=$EC273+1,$EG273=$ED273),IF(OR(COUNTIF(#REF!,$B273)&gt;0,COUNTIF(#REF!,$B273)=0),"SKIP",IF(COUNTIFS(#REF!,$B273,#REF!,$CR273)&gt;0,"OK","ONBEKEND")),IF(AND($EF273=$EC273,$EG273=$ED273+1),IF(OR(COUNTIF(#REF!,$D273)&gt;0,COUNTIF(#REF!,$D273)=0),"SKIP",IF(COUNTIFS(#REF!,$D273,#REF!,$CR273)&gt;0,"OK","ONBEKEND")),"ONZEKER")))))</f>
        <v/>
      </c>
      <c r="CT273" t="str">
        <f t="shared" si="2030"/>
        <v/>
      </c>
      <c r="CU273" t="str">
        <f t="shared" si="2031"/>
        <v/>
      </c>
      <c r="CV273" t="str">
        <f>IF($CU273="","",IF(OR($EI273="",$EJ273=""),"ONZEKER",IF(OR($EF273="",$EG273=""),"ONZEKER",IF(AND($EI273=$EF273+1,$EJ273=$EG273),IF(OR(COUNTIF(#REF!,$B273)&gt;0,COUNTIF(#REF!,$B273)=0),"SKIP",IF(COUNTIFS(#REF!,$B273,#REF!,$CU273)&gt;0,"OK","ONBEKEND")),IF(AND($EI273=$EF273,$EJ273=$EG273+1),IF(OR(COUNTIF(#REF!,$D273)&gt;0,COUNTIF(#REF!,$D273)=0),"SKIP",IF(COUNTIFS(#REF!,$D273,#REF!,$CU273)&gt;0,"OK","ONBEKEND")),"ONZEKER")))))</f>
        <v/>
      </c>
      <c r="CW273" t="str">
        <f t="shared" si="2032"/>
        <v/>
      </c>
      <c r="CX273" t="str">
        <f t="shared" si="2033"/>
        <v/>
      </c>
      <c r="CY273" t="str">
        <f>IF($CX273="","",IF(OR($EL273="",$EM273=""),"ONZEKER",IF(OR($EI273="",$EJ273=""),"ONZEKER",IF(AND($EL273=$EI273+1,$EM273=$EJ273),IF(OR(COUNTIF(#REF!,$B273)&gt;0,COUNTIF(#REF!,$B273)=0),"SKIP",IF(COUNTIFS(#REF!,$B273,#REF!,$CX273)&gt;0,"OK","ONBEKEND")),IF(AND($EL273=$EI273,$EM273=$EJ273+1),IF(OR(COUNTIF(#REF!,$D273)&gt;0,COUNTIF(#REF!,$D273)=0),"SKIP",IF(COUNTIFS(#REF!,$D273,#REF!,$CX273)&gt;0,"OK","ONBEKEND")),"ONZEKER")))))</f>
        <v/>
      </c>
      <c r="CZ273" t="str">
        <f t="shared" si="2034"/>
        <v/>
      </c>
      <c r="DA273" t="str">
        <f t="shared" si="2035"/>
        <v/>
      </c>
      <c r="DB273" t="str">
        <f>IF($DA273="","",IF(OR($EO273="",$EP273=""),"ONZEKER",IF(OR($EL273="",$EM273=""),"ONZEKER",IF(AND($EO273=$EL273+1,$EP273=$EM273),IF(OR(COUNTIF(#REF!,$B273)&gt;0,COUNTIF(#REF!,$B273)=0),"SKIP",IF(COUNTIFS(#REF!,$B273,#REF!,$DA273)&gt;0,"OK","ONBEKEND")),IF(AND($EO273=$EL273,$EP273=$EM273+1),IF(OR(COUNTIF(#REF!,$D273)&gt;0,COUNTIF(#REF!,$D273)=0),"SKIP",IF(COUNTIFS(#REF!,$D273,#REF!,$DA273)&gt;0,"OK","ONBEKEND")),"ONZEKER")))))</f>
        <v/>
      </c>
      <c r="DC273" t="str">
        <f t="shared" si="2036"/>
        <v/>
      </c>
      <c r="DD273" t="str">
        <f t="shared" si="2037"/>
        <v/>
      </c>
      <c r="DE273" t="str">
        <f>IF($DD273="","",IF(OR($ER273="",$ES273=""),"ONZEKER",IF(OR($EO273="",$EP273=""),"ONZEKER",IF(AND($ER273=$EO273+1,$ES273=$EP273),IF(OR(COUNTIF(#REF!,$B273)&gt;0,COUNTIF(#REF!,$B273)=0),"SKIP",IF(COUNTIFS(#REF!,$B273,#REF!,$DD273)&gt;0,"OK","ONBEKEND")),IF(AND($ER273=$EO273,$ES273=$EP273+1),IF(OR(COUNTIF(#REF!,$D273)&gt;0,COUNTIF(#REF!,$D273)=0),"SKIP",IF(COUNTIFS(#REF!,$D273,#REF!,$DD273)&gt;0,"OK","ONBEKEND")),"ONZEKER")))))</f>
        <v/>
      </c>
      <c r="DF273" t="str">
        <f t="shared" si="2038"/>
        <v/>
      </c>
      <c r="DG273" t="str">
        <f t="shared" si="2039"/>
        <v/>
      </c>
      <c r="DH273" t="str">
        <f>IF($DG273="","",IF(OR($EU273="",$EV273=""),"ONZEKER",IF(OR($ER273="",$ES273=""),"ONZEKER",IF(AND($EU273=$ER273+1,$EV273=$ES273),IF(OR(COUNTIF(#REF!,$B273)&gt;0,COUNTIF(#REF!,$B273)=0),"SKIP",IF(COUNTIFS(#REF!,$B273,#REF!,$DG273)&gt;0,"OK","ONBEKEND")),IF(AND($EU273=$ER273,$EV273=$ES273+1),IF(OR(COUNTIF(#REF!,$D273)&gt;0,COUNTIF(#REF!,$D273)=0),"SKIP",IF(COUNTIFS(#REF!,$D273,#REF!,$DG273)&gt;0,"OK","ONBEKEND")),"ONZEKER")))))</f>
        <v/>
      </c>
      <c r="DI273" t="str">
        <f t="shared" si="2040"/>
        <v/>
      </c>
      <c r="DJ273" t="str">
        <f t="shared" si="2041"/>
        <v/>
      </c>
      <c r="DK273" t="str">
        <f>IF($DJ273="","",IF(OR($EX273="",$EY273=""),"ONZEKER",IF(OR($EU273="",$EV273=""),"ONZEKER",IF(AND($EX273=$EU273+1,$EY273=$EV273),IF(OR(COUNTIF(#REF!,$B273)&gt;0,COUNTIF(#REF!,$B273)=0),"SKIP",IF(COUNTIFS(#REF!,$B273,#REF!,$DJ273)&gt;0,"OK","ONBEKEND")),IF(AND($EX273=$EU273,$EY273=$EV273+1),IF(OR(COUNTIF(#REF!,$D273)&gt;0,COUNTIF(#REF!,$D273)=0),"SKIP",IF(COUNTIFS(#REF!,$D273,#REF!,$DJ273)&gt;0,"OK","ONBEKEND")),"ONZEKER")))))</f>
        <v/>
      </c>
      <c r="DL273" t="str">
        <f t="shared" si="2042"/>
        <v/>
      </c>
      <c r="DM273" t="str">
        <f t="shared" si="2043"/>
        <v/>
      </c>
      <c r="DN273" t="str">
        <f t="shared" si="2044"/>
        <v/>
      </c>
      <c r="DO273" t="str">
        <f t="shared" si="2045"/>
        <v/>
      </c>
      <c r="DP273" t="str">
        <f t="shared" si="2046"/>
        <v/>
      </c>
      <c r="DQ273" t="str">
        <f t="shared" si="2047"/>
        <v/>
      </c>
      <c r="DR273" t="str">
        <f t="shared" si="2048"/>
        <v/>
      </c>
      <c r="DS273" t="str">
        <f t="shared" si="2049"/>
        <v/>
      </c>
      <c r="DT273" t="str">
        <f t="shared" si="2050"/>
        <v/>
      </c>
      <c r="DU273" t="str">
        <f t="shared" si="2051"/>
        <v/>
      </c>
      <c r="DV273" t="str">
        <f t="shared" si="2052"/>
        <v/>
      </c>
      <c r="DW273" t="str">
        <f t="shared" si="2053"/>
        <v/>
      </c>
      <c r="DX273" t="str">
        <f t="shared" si="2054"/>
        <v/>
      </c>
      <c r="DY273" t="str">
        <f t="shared" si="2055"/>
        <v/>
      </c>
      <c r="DZ273" t="str">
        <f t="shared" si="2056"/>
        <v/>
      </c>
      <c r="EA273" t="str">
        <f t="shared" si="2057"/>
        <v/>
      </c>
      <c r="EB273" t="str">
        <f t="shared" si="2058"/>
        <v/>
      </c>
      <c r="EC273" t="str">
        <f t="shared" si="2059"/>
        <v/>
      </c>
      <c r="ED273" t="str">
        <f t="shared" si="2060"/>
        <v/>
      </c>
      <c r="EE273" t="str">
        <f t="shared" si="2061"/>
        <v/>
      </c>
      <c r="EF273" t="str">
        <f t="shared" si="2062"/>
        <v/>
      </c>
      <c r="EG273" t="str">
        <f t="shared" si="2063"/>
        <v/>
      </c>
      <c r="EH273" t="str">
        <f t="shared" si="2064"/>
        <v/>
      </c>
      <c r="EI273" t="str">
        <f t="shared" si="2065"/>
        <v/>
      </c>
      <c r="EJ273" t="str">
        <f t="shared" si="2066"/>
        <v/>
      </c>
      <c r="EK273" t="str">
        <f t="shared" si="2067"/>
        <v/>
      </c>
      <c r="EL273" t="str">
        <f t="shared" si="2068"/>
        <v/>
      </c>
      <c r="EM273" t="str">
        <f t="shared" si="2069"/>
        <v/>
      </c>
      <c r="EN273" t="str">
        <f t="shared" si="2070"/>
        <v/>
      </c>
      <c r="EO273" t="str">
        <f t="shared" si="2071"/>
        <v/>
      </c>
      <c r="EP273" t="str">
        <f t="shared" si="2072"/>
        <v/>
      </c>
      <c r="EQ273" t="str">
        <f t="shared" si="2073"/>
        <v/>
      </c>
      <c r="ER273" t="str">
        <f t="shared" si="2074"/>
        <v/>
      </c>
      <c r="ES273" t="str">
        <f t="shared" si="2075"/>
        <v/>
      </c>
      <c r="ET273" t="str">
        <f t="shared" si="2076"/>
        <v/>
      </c>
      <c r="EU273" t="str">
        <f t="shared" si="2077"/>
        <v/>
      </c>
      <c r="EV273" t="str">
        <f t="shared" si="2078"/>
        <v/>
      </c>
      <c r="EW273" t="str">
        <f t="shared" si="2079"/>
        <v/>
      </c>
      <c r="EX273" t="str">
        <f t="shared" si="2080"/>
        <v/>
      </c>
      <c r="EY273" t="str">
        <f t="shared" si="2081"/>
        <v/>
      </c>
    </row>
    <row r="274" spans="1:155" ht="13.9" customHeight="1" x14ac:dyDescent="0.25">
      <c r="A274" s="22"/>
      <c r="B274" s="15" t="s">
        <v>162</v>
      </c>
      <c r="C274" s="16"/>
      <c r="D274" s="16"/>
      <c r="E274" s="16"/>
      <c r="F274" s="31" t="s">
        <v>1</v>
      </c>
      <c r="G274" s="31"/>
      <c r="H274" s="31"/>
      <c r="I274" s="32" t="s">
        <v>2</v>
      </c>
      <c r="J274" s="32"/>
      <c r="K274" s="32"/>
      <c r="L274" s="6" t="s">
        <v>3</v>
      </c>
      <c r="CH274" s="2" t="s">
        <v>77</v>
      </c>
      <c r="CI274" s="2" t="s">
        <v>78</v>
      </c>
      <c r="CJ274" s="2" t="s">
        <v>79</v>
      </c>
      <c r="CK274" s="2" t="s">
        <v>80</v>
      </c>
      <c r="CL274" s="2" t="s">
        <v>81</v>
      </c>
      <c r="CM274" s="2" t="s">
        <v>82</v>
      </c>
      <c r="CN274" s="2" t="s">
        <v>83</v>
      </c>
      <c r="CO274" s="2" t="s">
        <v>84</v>
      </c>
      <c r="CP274" s="2" t="s">
        <v>85</v>
      </c>
      <c r="CQ274" s="2" t="s">
        <v>86</v>
      </c>
      <c r="CR274" s="2" t="s">
        <v>87</v>
      </c>
      <c r="CS274" s="2" t="s">
        <v>88</v>
      </c>
      <c r="CT274" s="2" t="s">
        <v>89</v>
      </c>
      <c r="CU274" s="2" t="s">
        <v>90</v>
      </c>
      <c r="CV274" s="2" t="s">
        <v>91</v>
      </c>
      <c r="CW274" s="2" t="s">
        <v>92</v>
      </c>
      <c r="CX274" s="2" t="s">
        <v>93</v>
      </c>
      <c r="CY274" s="2" t="s">
        <v>94</v>
      </c>
      <c r="CZ274" s="2" t="s">
        <v>95</v>
      </c>
      <c r="DA274" s="2" t="s">
        <v>96</v>
      </c>
      <c r="DB274" s="2" t="s">
        <v>97</v>
      </c>
      <c r="DC274" s="2" t="s">
        <v>98</v>
      </c>
      <c r="DD274" s="2" t="s">
        <v>99</v>
      </c>
      <c r="DE274" s="2" t="s">
        <v>100</v>
      </c>
      <c r="DF274" s="2" t="s">
        <v>101</v>
      </c>
      <c r="DG274" s="2" t="s">
        <v>102</v>
      </c>
      <c r="DH274" s="2" t="s">
        <v>103</v>
      </c>
      <c r="DI274" s="2" t="s">
        <v>104</v>
      </c>
      <c r="DJ274" s="2" t="s">
        <v>105</v>
      </c>
      <c r="DK274" s="2" t="s">
        <v>106</v>
      </c>
      <c r="DL274" s="2" t="s">
        <v>107</v>
      </c>
      <c r="DM274" s="2" t="s">
        <v>108</v>
      </c>
      <c r="DN274" s="2" t="s">
        <v>109</v>
      </c>
      <c r="DO274" s="2" t="s">
        <v>110</v>
      </c>
      <c r="DP274" s="2" t="s">
        <v>111</v>
      </c>
      <c r="DQ274" s="2" t="s">
        <v>112</v>
      </c>
      <c r="DR274" s="2" t="s">
        <v>113</v>
      </c>
      <c r="DS274" s="2" t="s">
        <v>114</v>
      </c>
      <c r="DT274" s="2" t="s">
        <v>115</v>
      </c>
      <c r="DU274" s="2" t="s">
        <v>116</v>
      </c>
      <c r="DV274" s="2" t="s">
        <v>117</v>
      </c>
      <c r="DW274" s="2" t="s">
        <v>118</v>
      </c>
      <c r="DX274" s="2" t="s">
        <v>119</v>
      </c>
      <c r="DY274" s="2" t="s">
        <v>120</v>
      </c>
      <c r="DZ274" s="2" t="s">
        <v>121</v>
      </c>
      <c r="EA274" s="2" t="s">
        <v>122</v>
      </c>
      <c r="EB274" s="2" t="s">
        <v>123</v>
      </c>
      <c r="EC274" s="2" t="s">
        <v>124</v>
      </c>
      <c r="ED274" s="2" t="s">
        <v>125</v>
      </c>
      <c r="EE274" s="2" t="s">
        <v>126</v>
      </c>
      <c r="EF274" s="2" t="s">
        <v>127</v>
      </c>
      <c r="EG274" s="2" t="s">
        <v>128</v>
      </c>
      <c r="EH274" s="2" t="s">
        <v>129</v>
      </c>
      <c r="EI274" s="2" t="s">
        <v>130</v>
      </c>
      <c r="EJ274" s="2" t="s">
        <v>131</v>
      </c>
      <c r="EK274" s="2" t="s">
        <v>132</v>
      </c>
      <c r="EL274" s="2" t="s">
        <v>133</v>
      </c>
      <c r="EM274" s="2" t="s">
        <v>134</v>
      </c>
      <c r="EN274" s="2" t="s">
        <v>135</v>
      </c>
      <c r="EO274" s="2" t="s">
        <v>136</v>
      </c>
      <c r="EP274" s="2" t="s">
        <v>137</v>
      </c>
      <c r="EQ274" s="2" t="s">
        <v>138</v>
      </c>
      <c r="ER274" s="2" t="s">
        <v>139</v>
      </c>
      <c r="ES274" s="2" t="s">
        <v>140</v>
      </c>
      <c r="ET274" s="2" t="s">
        <v>141</v>
      </c>
      <c r="EU274" s="2" t="s">
        <v>142</v>
      </c>
      <c r="EV274" s="2" t="s">
        <v>143</v>
      </c>
      <c r="EW274" s="2" t="s">
        <v>144</v>
      </c>
      <c r="EX274" s="2" t="s">
        <v>145</v>
      </c>
      <c r="EY274" s="2" t="s">
        <v>146</v>
      </c>
    </row>
    <row r="275" spans="1:155" ht="13.9" customHeight="1" x14ac:dyDescent="0.25">
      <c r="B275" s="23"/>
      <c r="D275" s="23"/>
      <c r="F275" s="18">
        <v>0</v>
      </c>
      <c r="G275" s="7" t="s">
        <v>147</v>
      </c>
      <c r="H275" s="18">
        <v>0</v>
      </c>
      <c r="I275" s="19">
        <v>0</v>
      </c>
      <c r="J275" s="7" t="s">
        <v>147</v>
      </c>
      <c r="K275" s="19">
        <v>0</v>
      </c>
      <c r="L275" s="9"/>
      <c r="M275" s="13" t="str">
        <f>IF($L275="","",IF($L275="DOELPUNTENMAKERS","",IF(AND(COUNTIF(#REF!,$B275)=0,COUNTIF(#REF!,$D275)=0),"OK",IF($O275&gt;20,"LET OP: meer dan 20 items (controle onvolledig)",IF((COUNTIF($R275:$AS275,"ONZEKER")+COUNTIF($CJ275:$DK275,"ONZEKER"))&gt;0,"LET OP: scoreverloop onduidelijk (controle beperkt)",IF((IF($AT275&lt;&gt;"",$AT275&amp;", ","")&amp;IF($AU275&lt;&gt;"",$AU275&amp;", ","")&amp;IF($AV275&lt;&gt;"",$AV275&amp;", ","")&amp;IF($AW275&lt;&gt;"",$AW275&amp;", ","")&amp;IF($AX275&lt;&gt;"",$AX275&amp;", ","")&amp;IF($AY275&lt;&gt;"",$AY275&amp;", ","")&amp;IF($AZ275&lt;&gt;"",$AZ275&amp;", ","")&amp;IF($BA275&lt;&gt;"",$BA275&amp;", ","")&amp;IF($BB275&lt;&gt;"",$BB275&amp;", ","")&amp;IF($BC275&lt;&gt;"",$BC275&amp;", ","")&amp;IF($DL275&lt;&gt;"",$DL275&amp;", ","")&amp;IF($DM275&lt;&gt;"",$DM275&amp;", ","")&amp;IF($DN275&lt;&gt;"",$DN275&amp;", ","")&amp;IF($DO275&lt;&gt;"",$DO275&amp;", ","")&amp;IF($DP275&lt;&gt;"",$DP275&amp;", ","")&amp;IF($DQ275&lt;&gt;"",$DQ275&amp;", ","")&amp;IF($DR275&lt;&gt;"",$DR275&amp;", ","")&amp;IF($DS275&lt;&gt;"",$DS275&amp;", ","")&amp;IF($DT275&lt;&gt;"",$DT275&amp;", ","")&amp;IF($DU275&lt;&gt;"",$DU275&amp;", ",""))="","OK","Onbekend: "&amp;LEFT((IF($AT275&lt;&gt;"",$AT275&amp;", ","")&amp;IF($AU275&lt;&gt;"",$AU275&amp;", ","")&amp;IF($AV275&lt;&gt;"",$AV275&amp;", ","")&amp;IF($AW275&lt;&gt;"",$AW275&amp;", ","")&amp;IF($AX275&lt;&gt;"",$AX275&amp;", ","")&amp;IF($AY275&lt;&gt;"",$AY275&amp;", ","")&amp;IF($AZ275&lt;&gt;"",$AZ275&amp;", ","")&amp;IF($BA275&lt;&gt;"",$BA275&amp;", ","")&amp;IF($BB275&lt;&gt;"",$BB275&amp;", ","")&amp;IF($BC275&lt;&gt;"",$BC275&amp;", ","")&amp;IF($DL275&lt;&gt;"",$DL275&amp;", ","")&amp;IF($DM275&lt;&gt;"",$DM275&amp;", ","")&amp;IF($DN275&lt;&gt;"",$DN275&amp;", ","")&amp;IF($DO275&lt;&gt;"",$DO275&amp;", ","")&amp;IF($DP275&lt;&gt;"",$DP275&amp;", ","")&amp;IF($DQ275&lt;&gt;"",$DQ275&amp;", ","")&amp;IF($DR275&lt;&gt;"",$DR275&amp;", ","")&amp;IF($DS275&lt;&gt;"",$DS275&amp;", ","")&amp;IF($DT275&lt;&gt;"",$DT275&amp;", ","")&amp;IF($DU275&lt;&gt;"",$DU275&amp;", ","")),LEN((IF($AT275&lt;&gt;"",$AT275&amp;", ","")&amp;IF($AU275&lt;&gt;"",$AU275&amp;", ","")&amp;IF($AV275&lt;&gt;"",$AV275&amp;", ","")&amp;IF($AW275&lt;&gt;"",$AW275&amp;", ","")&amp;IF($AX275&lt;&gt;"",$AX275&amp;", ","")&amp;IF($AY275&lt;&gt;"",$AY275&amp;", ","")&amp;IF($AZ275&lt;&gt;"",$AZ275&amp;", ","")&amp;IF($BA275&lt;&gt;"",$BA275&amp;", ","")&amp;IF($BB275&lt;&gt;"",$BB275&amp;", ","")&amp;IF($BC275&lt;&gt;"",$BC275&amp;", ","")&amp;IF($DL275&lt;&gt;"",$DL275&amp;", ","")&amp;IF($DM275&lt;&gt;"",$DM275&amp;", ","")&amp;IF($DN275&lt;&gt;"",$DN275&amp;", ","")&amp;IF($DO275&lt;&gt;"",$DO275&amp;", ","")&amp;IF($DP275&lt;&gt;"",$DP275&amp;", ","")&amp;IF($DQ275&lt;&gt;"",$DQ275&amp;", ","")&amp;IF($DR275&lt;&gt;"",$DR275&amp;", ","")&amp;IF($DS275&lt;&gt;"",$DS275&amp;", ","")&amp;IF($DT275&lt;&gt;"",$DT275&amp;", ","")&amp;IF($DU275&lt;&gt;"",$DU275&amp;", ","")))-2)))))))</f>
        <v/>
      </c>
      <c r="CH275" t="str">
        <f t="shared" ref="CH275:CH304" si="2082">IF($N275="","",TRIM(MID(SUBSTITUTE($N275,",",REPT(" ",200)),2001,200)))</f>
        <v/>
      </c>
      <c r="CI275" t="str">
        <f t="shared" ref="CI275:CI304" si="2083">IF(CH275="","",TRIM(IFERROR(LEFT(CH275,FIND("§",SUBSTITUTE(CH275," ","§",LEN(CH275)-LEN(SUBSTITUTE(CH275," ",""))))-1),CH275)))</f>
        <v/>
      </c>
      <c r="CJ275" t="str">
        <f>IF($CI275="","",IF(OR($DW275="",$DX275=""),"ONZEKER",IF(OR($CF275="",$CG275=""),"ONZEKER",IF(AND($DW275=$CF275+1,$DX275=$CG275),IF(OR(COUNTIF(#REF!,$B275)&gt;0,COUNTIF(#REF!,$B275)=0),"SKIP",IF(COUNTIFS(#REF!,$B275,#REF!,$CI275)&gt;0,"OK","ONBEKEND")),IF(AND($DW275=$CF275,$DX275=$CG275+1),IF(OR(COUNTIF(#REF!,$D275)&gt;0,COUNTIF(#REF!,$D275)=0),"SKIP",IF(COUNTIFS(#REF!,$D275,#REF!,$CI275)&gt;0,"OK","ONBEKEND")),"ONZEKER")))))</f>
        <v/>
      </c>
      <c r="CK275" t="str">
        <f t="shared" ref="CK275:CK304" si="2084">IF($N275="","",TRIM(MID(SUBSTITUTE($N275,",",REPT(" ",200)),2201,200)))</f>
        <v/>
      </c>
      <c r="CL275" t="str">
        <f t="shared" ref="CL275:CL304" si="2085">IF(CK275="","",TRIM(IFERROR(LEFT(CK275,FIND("§",SUBSTITUTE(CK275," ","§",LEN(CK275)-LEN(SUBSTITUTE(CK275," ",""))))-1),CK275)))</f>
        <v/>
      </c>
      <c r="CM275" t="str">
        <f>IF($CL275="","",IF(OR($DZ275="",$EA275=""),"ONZEKER",IF(OR($DW275="",$DX275=""),"ONZEKER",IF(AND($DZ275=$DW275+1,$EA275=$DX275),IF(OR(COUNTIF(#REF!,$B275)&gt;0,COUNTIF(#REF!,$B275)=0),"SKIP",IF(COUNTIFS(#REF!,$B275,#REF!,$CL275)&gt;0,"OK","ONBEKEND")),IF(AND($DZ275=$DW275,$EA275=$DX275+1),IF(OR(COUNTIF(#REF!,$D275)&gt;0,COUNTIF(#REF!,$D275)=0),"SKIP",IF(COUNTIFS(#REF!,$D275,#REF!,$CL275)&gt;0,"OK","ONBEKEND")),"ONZEKER")))))</f>
        <v/>
      </c>
      <c r="CN275" t="str">
        <f t="shared" ref="CN275:CN304" si="2086">IF($N275="","",TRIM(MID(SUBSTITUTE($N275,",",REPT(" ",200)),2401,200)))</f>
        <v/>
      </c>
      <c r="CO275" t="str">
        <f t="shared" ref="CO275:CO304" si="2087">IF(CN275="","",TRIM(IFERROR(LEFT(CN275,FIND("§",SUBSTITUTE(CN275," ","§",LEN(CN275)-LEN(SUBSTITUTE(CN275," ",""))))-1),CN275)))</f>
        <v/>
      </c>
      <c r="CP275" t="str">
        <f>IF($CO275="","",IF(OR($EC275="",$ED275=""),"ONZEKER",IF(OR($DZ275="",$EA275=""),"ONZEKER",IF(AND($EC275=$DZ275+1,$ED275=$EA275),IF(OR(COUNTIF(#REF!,$B275)&gt;0,COUNTIF(#REF!,$B275)=0),"SKIP",IF(COUNTIFS(#REF!,$B275,#REF!,$CO275)&gt;0,"OK","ONBEKEND")),IF(AND($EC275=$DZ275,$ED275=$EA275+1),IF(OR(COUNTIF(#REF!,$D275)&gt;0,COUNTIF(#REF!,$D275)=0),"SKIP",IF(COUNTIFS(#REF!,$D275,#REF!,$CO275)&gt;0,"OK","ONBEKEND")),"ONZEKER")))))</f>
        <v/>
      </c>
      <c r="CQ275" t="str">
        <f t="shared" ref="CQ275:CQ304" si="2088">IF($N275="","",TRIM(MID(SUBSTITUTE($N275,",",REPT(" ",200)),2601,200)))</f>
        <v/>
      </c>
      <c r="CR275" t="str">
        <f t="shared" ref="CR275:CR304" si="2089">IF(CQ275="","",TRIM(IFERROR(LEFT(CQ275,FIND("§",SUBSTITUTE(CQ275," ","§",LEN(CQ275)-LEN(SUBSTITUTE(CQ275," ",""))))-1),CQ275)))</f>
        <v/>
      </c>
      <c r="CS275" t="str">
        <f>IF($CR275="","",IF(OR($EF275="",$EG275=""),"ONZEKER",IF(OR($EC275="",$ED275=""),"ONZEKER",IF(AND($EF275=$EC275+1,$EG275=$ED275),IF(OR(COUNTIF(#REF!,$B275)&gt;0,COUNTIF(#REF!,$B275)=0),"SKIP",IF(COUNTIFS(#REF!,$B275,#REF!,$CR275)&gt;0,"OK","ONBEKEND")),IF(AND($EF275=$EC275,$EG275=$ED275+1),IF(OR(COUNTIF(#REF!,$D275)&gt;0,COUNTIF(#REF!,$D275)=0),"SKIP",IF(COUNTIFS(#REF!,$D275,#REF!,$CR275)&gt;0,"OK","ONBEKEND")),"ONZEKER")))))</f>
        <v/>
      </c>
      <c r="CT275" t="str">
        <f t="shared" ref="CT275:CT304" si="2090">IF($N275="","",TRIM(MID(SUBSTITUTE($N275,",",REPT(" ",200)),2801,200)))</f>
        <v/>
      </c>
      <c r="CU275" t="str">
        <f t="shared" ref="CU275:CU304" si="2091">IF(CT275="","",TRIM(IFERROR(LEFT(CT275,FIND("§",SUBSTITUTE(CT275," ","§",LEN(CT275)-LEN(SUBSTITUTE(CT275," ",""))))-1),CT275)))</f>
        <v/>
      </c>
      <c r="CV275" t="str">
        <f>IF($CU275="","",IF(OR($EI275="",$EJ275=""),"ONZEKER",IF(OR($EF275="",$EG275=""),"ONZEKER",IF(AND($EI275=$EF275+1,$EJ275=$EG275),IF(OR(COUNTIF(#REF!,$B275)&gt;0,COUNTIF(#REF!,$B275)=0),"SKIP",IF(COUNTIFS(#REF!,$B275,#REF!,$CU275)&gt;0,"OK","ONBEKEND")),IF(AND($EI275=$EF275,$EJ275=$EG275+1),IF(OR(COUNTIF(#REF!,$D275)&gt;0,COUNTIF(#REF!,$D275)=0),"SKIP",IF(COUNTIFS(#REF!,$D275,#REF!,$CU275)&gt;0,"OK","ONBEKEND")),"ONZEKER")))))</f>
        <v/>
      </c>
      <c r="CW275" t="str">
        <f t="shared" ref="CW275:CW304" si="2092">IF($N275="","",TRIM(MID(SUBSTITUTE($N275,",",REPT(" ",200)),3001,200)))</f>
        <v/>
      </c>
      <c r="CX275" t="str">
        <f t="shared" ref="CX275:CX304" si="2093">IF(CW275="","",TRIM(IFERROR(LEFT(CW275,FIND("§",SUBSTITUTE(CW275," ","§",LEN(CW275)-LEN(SUBSTITUTE(CW275," ",""))))-1),CW275)))</f>
        <v/>
      </c>
      <c r="CY275" t="str">
        <f>IF($CX275="","",IF(OR($EL275="",$EM275=""),"ONZEKER",IF(OR($EI275="",$EJ275=""),"ONZEKER",IF(AND($EL275=$EI275+1,$EM275=$EJ275),IF(OR(COUNTIF(#REF!,$B275)&gt;0,COUNTIF(#REF!,$B275)=0),"SKIP",IF(COUNTIFS(#REF!,$B275,#REF!,$CX275)&gt;0,"OK","ONBEKEND")),IF(AND($EL275=$EI275,$EM275=$EJ275+1),IF(OR(COUNTIF(#REF!,$D275)&gt;0,COUNTIF(#REF!,$D275)=0),"SKIP",IF(COUNTIFS(#REF!,$D275,#REF!,$CX275)&gt;0,"OK","ONBEKEND")),"ONZEKER")))))</f>
        <v/>
      </c>
      <c r="CZ275" t="str">
        <f t="shared" ref="CZ275:CZ304" si="2094">IF($N275="","",TRIM(MID(SUBSTITUTE($N275,",",REPT(" ",200)),3201,200)))</f>
        <v/>
      </c>
      <c r="DA275" t="str">
        <f t="shared" ref="DA275:DA304" si="2095">IF(CZ275="","",TRIM(IFERROR(LEFT(CZ275,FIND("§",SUBSTITUTE(CZ275," ","§",LEN(CZ275)-LEN(SUBSTITUTE(CZ275," ",""))))-1),CZ275)))</f>
        <v/>
      </c>
      <c r="DB275" t="str">
        <f>IF($DA275="","",IF(OR($EO275="",$EP275=""),"ONZEKER",IF(OR($EL275="",$EM275=""),"ONZEKER",IF(AND($EO275=$EL275+1,$EP275=$EM275),IF(OR(COUNTIF(#REF!,$B275)&gt;0,COUNTIF(#REF!,$B275)=0),"SKIP",IF(COUNTIFS(#REF!,$B275,#REF!,$DA275)&gt;0,"OK","ONBEKEND")),IF(AND($EO275=$EL275,$EP275=$EM275+1),IF(OR(COUNTIF(#REF!,$D275)&gt;0,COUNTIF(#REF!,$D275)=0),"SKIP",IF(COUNTIFS(#REF!,$D275,#REF!,$DA275)&gt;0,"OK","ONBEKEND")),"ONZEKER")))))</f>
        <v/>
      </c>
      <c r="DC275" t="str">
        <f t="shared" ref="DC275:DC304" si="2096">IF($N275="","",TRIM(MID(SUBSTITUTE($N275,",",REPT(" ",200)),3401,200)))</f>
        <v/>
      </c>
      <c r="DD275" t="str">
        <f t="shared" ref="DD275:DD304" si="2097">IF(DC275="","",TRIM(IFERROR(LEFT(DC275,FIND("§",SUBSTITUTE(DC275," ","§",LEN(DC275)-LEN(SUBSTITUTE(DC275," ",""))))-1),DC275)))</f>
        <v/>
      </c>
      <c r="DE275" t="str">
        <f>IF($DD275="","",IF(OR($ER275="",$ES275=""),"ONZEKER",IF(OR($EO275="",$EP275=""),"ONZEKER",IF(AND($ER275=$EO275+1,$ES275=$EP275),IF(OR(COUNTIF(#REF!,$B275)&gt;0,COUNTIF(#REF!,$B275)=0),"SKIP",IF(COUNTIFS(#REF!,$B275,#REF!,$DD275)&gt;0,"OK","ONBEKEND")),IF(AND($ER275=$EO275,$ES275=$EP275+1),IF(OR(COUNTIF(#REF!,$D275)&gt;0,COUNTIF(#REF!,$D275)=0),"SKIP",IF(COUNTIFS(#REF!,$D275,#REF!,$DD275)&gt;0,"OK","ONBEKEND")),"ONZEKER")))))</f>
        <v/>
      </c>
      <c r="DF275" t="str">
        <f t="shared" ref="DF275:DF304" si="2098">IF($N275="","",TRIM(MID(SUBSTITUTE($N275,",",REPT(" ",200)),3601,200)))</f>
        <v/>
      </c>
      <c r="DG275" t="str">
        <f t="shared" ref="DG275:DG304" si="2099">IF(DF275="","",TRIM(IFERROR(LEFT(DF275,FIND("§",SUBSTITUTE(DF275," ","§",LEN(DF275)-LEN(SUBSTITUTE(DF275," ",""))))-1),DF275)))</f>
        <v/>
      </c>
      <c r="DH275" t="str">
        <f>IF($DG275="","",IF(OR($EU275="",$EV275=""),"ONZEKER",IF(OR($ER275="",$ES275=""),"ONZEKER",IF(AND($EU275=$ER275+1,$EV275=$ES275),IF(OR(COUNTIF(#REF!,$B275)&gt;0,COUNTIF(#REF!,$B275)=0),"SKIP",IF(COUNTIFS(#REF!,$B275,#REF!,$DG275)&gt;0,"OK","ONBEKEND")),IF(AND($EU275=$ER275,$EV275=$ES275+1),IF(OR(COUNTIF(#REF!,$D275)&gt;0,COUNTIF(#REF!,$D275)=0),"SKIP",IF(COUNTIFS(#REF!,$D275,#REF!,$DG275)&gt;0,"OK","ONBEKEND")),"ONZEKER")))))</f>
        <v/>
      </c>
      <c r="DI275" t="str">
        <f t="shared" ref="DI275:DI304" si="2100">IF($N275="","",TRIM(MID(SUBSTITUTE($N275,",",REPT(" ",200)),3801,200)))</f>
        <v/>
      </c>
      <c r="DJ275" t="str">
        <f t="shared" ref="DJ275:DJ304" si="2101">IF(DI275="","",TRIM(IFERROR(LEFT(DI275,FIND("§",SUBSTITUTE(DI275," ","§",LEN(DI275)-LEN(SUBSTITUTE(DI275," ",""))))-1),DI275)))</f>
        <v/>
      </c>
      <c r="DK275" t="str">
        <f>IF($DJ275="","",IF(OR($EX275="",$EY275=""),"ONZEKER",IF(OR($EU275="",$EV275=""),"ONZEKER",IF(AND($EX275=$EU275+1,$EY275=$EV275),IF(OR(COUNTIF(#REF!,$B275)&gt;0,COUNTIF(#REF!,$B275)=0),"SKIP",IF(COUNTIFS(#REF!,$B275,#REF!,$DJ275)&gt;0,"OK","ONBEKEND")),IF(AND($EX275=$EU275,$EY275=$EV275+1),IF(OR(COUNTIF(#REF!,$D275)&gt;0,COUNTIF(#REF!,$D275)=0),"SKIP",IF(COUNTIFS(#REF!,$D275,#REF!,$DJ275)&gt;0,"OK","ONBEKEND")),"ONZEKER")))))</f>
        <v/>
      </c>
      <c r="DL275" t="str">
        <f t="shared" ref="DL275:DL304" si="2102">IF($CJ275="ONBEKEND",$CI275,"")</f>
        <v/>
      </c>
      <c r="DM275" t="str">
        <f t="shared" ref="DM275:DM304" si="2103">IF($CM275="ONBEKEND",$CL275,"")</f>
        <v/>
      </c>
      <c r="DN275" t="str">
        <f t="shared" ref="DN275:DN304" si="2104">IF($CP275="ONBEKEND",$CO275,"")</f>
        <v/>
      </c>
      <c r="DO275" t="str">
        <f t="shared" ref="DO275:DO304" si="2105">IF($CS275="ONBEKEND",$CR275,"")</f>
        <v/>
      </c>
      <c r="DP275" t="str">
        <f t="shared" ref="DP275:DP304" si="2106">IF($CV275="ONBEKEND",$CU275,"")</f>
        <v/>
      </c>
      <c r="DQ275" t="str">
        <f t="shared" ref="DQ275:DQ304" si="2107">IF($CY275="ONBEKEND",$CX275,"")</f>
        <v/>
      </c>
      <c r="DR275" t="str">
        <f t="shared" ref="DR275:DR304" si="2108">IF($DB275="ONBEKEND",$DA275,"")</f>
        <v/>
      </c>
      <c r="DS275" t="str">
        <f t="shared" ref="DS275:DS304" si="2109">IF($DE275="ONBEKEND",$DD275,"")</f>
        <v/>
      </c>
      <c r="DT275" t="str">
        <f t="shared" ref="DT275:DT304" si="2110">IF($DH275="ONBEKEND",$DG275,"")</f>
        <v/>
      </c>
      <c r="DU275" t="str">
        <f t="shared" ref="DU275:DU304" si="2111">IF($DK275="ONBEKEND",$DJ275,"")</f>
        <v/>
      </c>
      <c r="DV275" t="str">
        <f t="shared" ref="DV275:DV304" si="2112">IF($CH275="","",TRIM(IFERROR(RIGHT($CH275,LEN($CH275)-FIND("§",SUBSTITUTE($CH275," ","§",LEN($CH275)-LEN(SUBSTITUTE($CH275," ",""))))),"")))</f>
        <v/>
      </c>
      <c r="DW275" t="str">
        <f t="shared" ref="DW275:DW304" si="2113">IF($DV275="","",IFERROR(VALUE(LEFT($DV275,FIND("-",$DV275)-1)),""))</f>
        <v/>
      </c>
      <c r="DX275" t="str">
        <f t="shared" ref="DX275:DX304" si="2114">IF($DV275="","",IFERROR(VALUE(MID($DV275,FIND("-",$DV275)+1,99)),""))</f>
        <v/>
      </c>
      <c r="DY275" t="str">
        <f t="shared" ref="DY275:DY304" si="2115">IF($CK275="","",TRIM(IFERROR(RIGHT($CK275,LEN($CK275)-FIND("§",SUBSTITUTE($CK275," ","§",LEN($CK275)-LEN(SUBSTITUTE($CK275," ",""))))),"")))</f>
        <v/>
      </c>
      <c r="DZ275" t="str">
        <f t="shared" ref="DZ275:DZ304" si="2116">IF($DY275="","",IFERROR(VALUE(LEFT($DY275,FIND("-",$DY275)-1)),""))</f>
        <v/>
      </c>
      <c r="EA275" t="str">
        <f t="shared" ref="EA275:EA304" si="2117">IF($DY275="","",IFERROR(VALUE(MID($DY275,FIND("-",$DY275)+1,99)),""))</f>
        <v/>
      </c>
      <c r="EB275" t="str">
        <f t="shared" ref="EB275:EB304" si="2118">IF($CN275="","",TRIM(IFERROR(RIGHT($CN275,LEN($CN275)-FIND("§",SUBSTITUTE($CN275," ","§",LEN($CN275)-LEN(SUBSTITUTE($CN275," ",""))))),"")))</f>
        <v/>
      </c>
      <c r="EC275" t="str">
        <f t="shared" ref="EC275:EC304" si="2119">IF($EB275="","",IFERROR(VALUE(LEFT($EB275,FIND("-",$EB275)-1)),""))</f>
        <v/>
      </c>
      <c r="ED275" t="str">
        <f t="shared" ref="ED275:ED304" si="2120">IF($EB275="","",IFERROR(VALUE(MID($EB275,FIND("-",$EB275)+1,99)),""))</f>
        <v/>
      </c>
      <c r="EE275" t="str">
        <f t="shared" ref="EE275:EE304" si="2121">IF($CQ275="","",TRIM(IFERROR(RIGHT($CQ275,LEN($CQ275)-FIND("§",SUBSTITUTE($CQ275," ","§",LEN($CQ275)-LEN(SUBSTITUTE($CQ275," ",""))))),"")))</f>
        <v/>
      </c>
      <c r="EF275" t="str">
        <f t="shared" ref="EF275:EF304" si="2122">IF($EE275="","",IFERROR(VALUE(LEFT($EE275,FIND("-",$EE275)-1)),""))</f>
        <v/>
      </c>
      <c r="EG275" t="str">
        <f t="shared" ref="EG275:EG304" si="2123">IF($EE275="","",IFERROR(VALUE(MID($EE275,FIND("-",$EE275)+1,99)),""))</f>
        <v/>
      </c>
      <c r="EH275" t="str">
        <f t="shared" ref="EH275:EH304" si="2124">IF($CT275="","",TRIM(IFERROR(RIGHT($CT275,LEN($CT275)-FIND("§",SUBSTITUTE($CT275," ","§",LEN($CT275)-LEN(SUBSTITUTE($CT275," ",""))))),"")))</f>
        <v/>
      </c>
      <c r="EI275" t="str">
        <f t="shared" ref="EI275:EI304" si="2125">IF($EH275="","",IFERROR(VALUE(LEFT($EH275,FIND("-",$EH275)-1)),""))</f>
        <v/>
      </c>
      <c r="EJ275" t="str">
        <f t="shared" ref="EJ275:EJ304" si="2126">IF($EH275="","",IFERROR(VALUE(MID($EH275,FIND("-",$EH275)+1,99)),""))</f>
        <v/>
      </c>
      <c r="EK275" t="str">
        <f t="shared" ref="EK275:EK304" si="2127">IF($CW275="","",TRIM(IFERROR(RIGHT($CW275,LEN($CW275)-FIND("§",SUBSTITUTE($CW275," ","§",LEN($CW275)-LEN(SUBSTITUTE($CW275," ",""))))),"")))</f>
        <v/>
      </c>
      <c r="EL275" t="str">
        <f t="shared" ref="EL275:EL304" si="2128">IF($EK275="","",IFERROR(VALUE(LEFT($EK275,FIND("-",$EK275)-1)),""))</f>
        <v/>
      </c>
      <c r="EM275" t="str">
        <f t="shared" ref="EM275:EM304" si="2129">IF($EK275="","",IFERROR(VALUE(MID($EK275,FIND("-",$EK275)+1,99)),""))</f>
        <v/>
      </c>
      <c r="EN275" t="str">
        <f t="shared" ref="EN275:EN304" si="2130">IF($CZ275="","",TRIM(IFERROR(RIGHT($CZ275,LEN($CZ275)-FIND("§",SUBSTITUTE($CZ275," ","§",LEN($CZ275)-LEN(SUBSTITUTE($CZ275," ",""))))),"")))</f>
        <v/>
      </c>
      <c r="EO275" t="str">
        <f t="shared" ref="EO275:EO304" si="2131">IF($EN275="","",IFERROR(VALUE(LEFT($EN275,FIND("-",$EN275)-1)),""))</f>
        <v/>
      </c>
      <c r="EP275" t="str">
        <f t="shared" ref="EP275:EP304" si="2132">IF($EN275="","",IFERROR(VALUE(MID($EN275,FIND("-",$EN275)+1,99)),""))</f>
        <v/>
      </c>
      <c r="EQ275" t="str">
        <f t="shared" ref="EQ275:EQ304" si="2133">IF($DC275="","",TRIM(IFERROR(RIGHT($DC275,LEN($DC275)-FIND("§",SUBSTITUTE($DC275," ","§",LEN($DC275)-LEN(SUBSTITUTE($DC275," ",""))))),"")))</f>
        <v/>
      </c>
      <c r="ER275" t="str">
        <f t="shared" ref="ER275:ER304" si="2134">IF($EQ275="","",IFERROR(VALUE(LEFT($EQ275,FIND("-",$EQ275)-1)),""))</f>
        <v/>
      </c>
      <c r="ES275" t="str">
        <f t="shared" ref="ES275:ES304" si="2135">IF($EQ275="","",IFERROR(VALUE(MID($EQ275,FIND("-",$EQ275)+1,99)),""))</f>
        <v/>
      </c>
      <c r="ET275" t="str">
        <f t="shared" ref="ET275:ET304" si="2136">IF($DF275="","",TRIM(IFERROR(RIGHT($DF275,LEN($DF275)-FIND("§",SUBSTITUTE($DF275," ","§",LEN($DF275)-LEN(SUBSTITUTE($DF275," ",""))))),"")))</f>
        <v/>
      </c>
      <c r="EU275" t="str">
        <f t="shared" ref="EU275:EU304" si="2137">IF($ET275="","",IFERROR(VALUE(LEFT($ET275,FIND("-",$ET275)-1)),""))</f>
        <v/>
      </c>
      <c r="EV275" t="str">
        <f t="shared" ref="EV275:EV304" si="2138">IF($ET275="","",IFERROR(VALUE(MID($ET275,FIND("-",$ET275)+1,99)),""))</f>
        <v/>
      </c>
      <c r="EW275" t="str">
        <f t="shared" ref="EW275:EW304" si="2139">IF($DI275="","",TRIM(IFERROR(RIGHT($DI275,LEN($DI275)-FIND("§",SUBSTITUTE($DI275," ","§",LEN($DI275)-LEN(SUBSTITUTE($DI275," ",""))))),"")))</f>
        <v/>
      </c>
      <c r="EX275" t="str">
        <f t="shared" ref="EX275:EX304" si="2140">IF($EW275="","",IFERROR(VALUE(LEFT($EW275,FIND("-",$EW275)-1)),""))</f>
        <v/>
      </c>
      <c r="EY275" t="str">
        <f t="shared" ref="EY275:EY304" si="2141">IF($EW275="","",IFERROR(VALUE(MID($EW275,FIND("-",$EW275)+1,99)),""))</f>
        <v/>
      </c>
    </row>
    <row r="276" spans="1:155" ht="13.9" customHeight="1" x14ac:dyDescent="0.25">
      <c r="B276" s="23"/>
      <c r="D276" s="23"/>
      <c r="F276" s="18">
        <v>0</v>
      </c>
      <c r="G276" s="7" t="s">
        <v>147</v>
      </c>
      <c r="H276" s="18">
        <v>0</v>
      </c>
      <c r="I276" s="19">
        <v>0</v>
      </c>
      <c r="J276" s="7" t="s">
        <v>147</v>
      </c>
      <c r="K276" s="19">
        <v>0</v>
      </c>
      <c r="L276" s="9"/>
      <c r="M276" s="13" t="str">
        <f>IF($L276="","",IF($L276="DOELPUNTENMAKERS","",IF(AND(COUNTIF(#REF!,$B276)=0,COUNTIF(#REF!,$D276)=0),"OK",IF($O276&gt;20,"LET OP: meer dan 20 items (controle onvolledig)",IF((COUNTIF($R276:$AS276,"ONZEKER")+COUNTIF($CJ276:$DK276,"ONZEKER"))&gt;0,"LET OP: scoreverloop onduidelijk (controle beperkt)",IF((IF($AT276&lt;&gt;"",$AT276&amp;", ","")&amp;IF($AU276&lt;&gt;"",$AU276&amp;", ","")&amp;IF($AV276&lt;&gt;"",$AV276&amp;", ","")&amp;IF($AW276&lt;&gt;"",$AW276&amp;", ","")&amp;IF($AX276&lt;&gt;"",$AX276&amp;", ","")&amp;IF($AY276&lt;&gt;"",$AY276&amp;", ","")&amp;IF($AZ276&lt;&gt;"",$AZ276&amp;", ","")&amp;IF($BA276&lt;&gt;"",$BA276&amp;", ","")&amp;IF($BB276&lt;&gt;"",$BB276&amp;", ","")&amp;IF($BC276&lt;&gt;"",$BC276&amp;", ","")&amp;IF($DL276&lt;&gt;"",$DL276&amp;", ","")&amp;IF($DM276&lt;&gt;"",$DM276&amp;", ","")&amp;IF($DN276&lt;&gt;"",$DN276&amp;", ","")&amp;IF($DO276&lt;&gt;"",$DO276&amp;", ","")&amp;IF($DP276&lt;&gt;"",$DP276&amp;", ","")&amp;IF($DQ276&lt;&gt;"",$DQ276&amp;", ","")&amp;IF($DR276&lt;&gt;"",$DR276&amp;", ","")&amp;IF($DS276&lt;&gt;"",$DS276&amp;", ","")&amp;IF($DT276&lt;&gt;"",$DT276&amp;", ","")&amp;IF($DU276&lt;&gt;"",$DU276&amp;", ",""))="","OK","Onbekend: "&amp;LEFT((IF($AT276&lt;&gt;"",$AT276&amp;", ","")&amp;IF($AU276&lt;&gt;"",$AU276&amp;", ","")&amp;IF($AV276&lt;&gt;"",$AV276&amp;", ","")&amp;IF($AW276&lt;&gt;"",$AW276&amp;", ","")&amp;IF($AX276&lt;&gt;"",$AX276&amp;", ","")&amp;IF($AY276&lt;&gt;"",$AY276&amp;", ","")&amp;IF($AZ276&lt;&gt;"",$AZ276&amp;", ","")&amp;IF($BA276&lt;&gt;"",$BA276&amp;", ","")&amp;IF($BB276&lt;&gt;"",$BB276&amp;", ","")&amp;IF($BC276&lt;&gt;"",$BC276&amp;", ","")&amp;IF($DL276&lt;&gt;"",$DL276&amp;", ","")&amp;IF($DM276&lt;&gt;"",$DM276&amp;", ","")&amp;IF($DN276&lt;&gt;"",$DN276&amp;", ","")&amp;IF($DO276&lt;&gt;"",$DO276&amp;", ","")&amp;IF($DP276&lt;&gt;"",$DP276&amp;", ","")&amp;IF($DQ276&lt;&gt;"",$DQ276&amp;", ","")&amp;IF($DR276&lt;&gt;"",$DR276&amp;", ","")&amp;IF($DS276&lt;&gt;"",$DS276&amp;", ","")&amp;IF($DT276&lt;&gt;"",$DT276&amp;", ","")&amp;IF($DU276&lt;&gt;"",$DU276&amp;", ","")),LEN((IF($AT276&lt;&gt;"",$AT276&amp;", ","")&amp;IF($AU276&lt;&gt;"",$AU276&amp;", ","")&amp;IF($AV276&lt;&gt;"",$AV276&amp;", ","")&amp;IF($AW276&lt;&gt;"",$AW276&amp;", ","")&amp;IF($AX276&lt;&gt;"",$AX276&amp;", ","")&amp;IF($AY276&lt;&gt;"",$AY276&amp;", ","")&amp;IF($AZ276&lt;&gt;"",$AZ276&amp;", ","")&amp;IF($BA276&lt;&gt;"",$BA276&amp;", ","")&amp;IF($BB276&lt;&gt;"",$BB276&amp;", ","")&amp;IF($BC276&lt;&gt;"",$BC276&amp;", ","")&amp;IF($DL276&lt;&gt;"",$DL276&amp;", ","")&amp;IF($DM276&lt;&gt;"",$DM276&amp;", ","")&amp;IF($DN276&lt;&gt;"",$DN276&amp;", ","")&amp;IF($DO276&lt;&gt;"",$DO276&amp;", ","")&amp;IF($DP276&lt;&gt;"",$DP276&amp;", ","")&amp;IF($DQ276&lt;&gt;"",$DQ276&amp;", ","")&amp;IF($DR276&lt;&gt;"",$DR276&amp;", ","")&amp;IF($DS276&lt;&gt;"",$DS276&amp;", ","")&amp;IF($DT276&lt;&gt;"",$DT276&amp;", ","")&amp;IF($DU276&lt;&gt;"",$DU276&amp;", ","")))-2)))))))</f>
        <v/>
      </c>
      <c r="CH276" t="str">
        <f t="shared" si="2082"/>
        <v/>
      </c>
      <c r="CI276" t="str">
        <f t="shared" si="2083"/>
        <v/>
      </c>
      <c r="CJ276" t="str">
        <f>IF($CI276="","",IF(OR($DW276="",$DX276=""),"ONZEKER",IF(OR($CF276="",$CG276=""),"ONZEKER",IF(AND($DW276=$CF276+1,$DX276=$CG276),IF(OR(COUNTIF(#REF!,$B276)&gt;0,COUNTIF(#REF!,$B276)=0),"SKIP",IF(COUNTIFS(#REF!,$B276,#REF!,$CI276)&gt;0,"OK","ONBEKEND")),IF(AND($DW276=$CF276,$DX276=$CG276+1),IF(OR(COUNTIF(#REF!,$D276)&gt;0,COUNTIF(#REF!,$D276)=0),"SKIP",IF(COUNTIFS(#REF!,$D276,#REF!,$CI276)&gt;0,"OK","ONBEKEND")),"ONZEKER")))))</f>
        <v/>
      </c>
      <c r="CK276" t="str">
        <f t="shared" si="2084"/>
        <v/>
      </c>
      <c r="CL276" t="str">
        <f t="shared" si="2085"/>
        <v/>
      </c>
      <c r="CM276" t="str">
        <f>IF($CL276="","",IF(OR($DZ276="",$EA276=""),"ONZEKER",IF(OR($DW276="",$DX276=""),"ONZEKER",IF(AND($DZ276=$DW276+1,$EA276=$DX276),IF(OR(COUNTIF(#REF!,$B276)&gt;0,COUNTIF(#REF!,$B276)=0),"SKIP",IF(COUNTIFS(#REF!,$B276,#REF!,$CL276)&gt;0,"OK","ONBEKEND")),IF(AND($DZ276=$DW276,$EA276=$DX276+1),IF(OR(COUNTIF(#REF!,$D276)&gt;0,COUNTIF(#REF!,$D276)=0),"SKIP",IF(COUNTIFS(#REF!,$D276,#REF!,$CL276)&gt;0,"OK","ONBEKEND")),"ONZEKER")))))</f>
        <v/>
      </c>
      <c r="CN276" t="str">
        <f t="shared" si="2086"/>
        <v/>
      </c>
      <c r="CO276" t="str">
        <f t="shared" si="2087"/>
        <v/>
      </c>
      <c r="CP276" t="str">
        <f>IF($CO276="","",IF(OR($EC276="",$ED276=""),"ONZEKER",IF(OR($DZ276="",$EA276=""),"ONZEKER",IF(AND($EC276=$DZ276+1,$ED276=$EA276),IF(OR(COUNTIF(#REF!,$B276)&gt;0,COUNTIF(#REF!,$B276)=0),"SKIP",IF(COUNTIFS(#REF!,$B276,#REF!,$CO276)&gt;0,"OK","ONBEKEND")),IF(AND($EC276=$DZ276,$ED276=$EA276+1),IF(OR(COUNTIF(#REF!,$D276)&gt;0,COUNTIF(#REF!,$D276)=0),"SKIP",IF(COUNTIFS(#REF!,$D276,#REF!,$CO276)&gt;0,"OK","ONBEKEND")),"ONZEKER")))))</f>
        <v/>
      </c>
      <c r="CQ276" t="str">
        <f t="shared" si="2088"/>
        <v/>
      </c>
      <c r="CR276" t="str">
        <f t="shared" si="2089"/>
        <v/>
      </c>
      <c r="CS276" t="str">
        <f>IF($CR276="","",IF(OR($EF276="",$EG276=""),"ONZEKER",IF(OR($EC276="",$ED276=""),"ONZEKER",IF(AND($EF276=$EC276+1,$EG276=$ED276),IF(OR(COUNTIF(#REF!,$B276)&gt;0,COUNTIF(#REF!,$B276)=0),"SKIP",IF(COUNTIFS(#REF!,$B276,#REF!,$CR276)&gt;0,"OK","ONBEKEND")),IF(AND($EF276=$EC276,$EG276=$ED276+1),IF(OR(COUNTIF(#REF!,$D276)&gt;0,COUNTIF(#REF!,$D276)=0),"SKIP",IF(COUNTIFS(#REF!,$D276,#REF!,$CR276)&gt;0,"OK","ONBEKEND")),"ONZEKER")))))</f>
        <v/>
      </c>
      <c r="CT276" t="str">
        <f t="shared" si="2090"/>
        <v/>
      </c>
      <c r="CU276" t="str">
        <f t="shared" si="2091"/>
        <v/>
      </c>
      <c r="CV276" t="str">
        <f>IF($CU276="","",IF(OR($EI276="",$EJ276=""),"ONZEKER",IF(OR($EF276="",$EG276=""),"ONZEKER",IF(AND($EI276=$EF276+1,$EJ276=$EG276),IF(OR(COUNTIF(#REF!,$B276)&gt;0,COUNTIF(#REF!,$B276)=0),"SKIP",IF(COUNTIFS(#REF!,$B276,#REF!,$CU276)&gt;0,"OK","ONBEKEND")),IF(AND($EI276=$EF276,$EJ276=$EG276+1),IF(OR(COUNTIF(#REF!,$D276)&gt;0,COUNTIF(#REF!,$D276)=0),"SKIP",IF(COUNTIFS(#REF!,$D276,#REF!,$CU276)&gt;0,"OK","ONBEKEND")),"ONZEKER")))))</f>
        <v/>
      </c>
      <c r="CW276" t="str">
        <f t="shared" si="2092"/>
        <v/>
      </c>
      <c r="CX276" t="str">
        <f t="shared" si="2093"/>
        <v/>
      </c>
      <c r="CY276" t="str">
        <f>IF($CX276="","",IF(OR($EL276="",$EM276=""),"ONZEKER",IF(OR($EI276="",$EJ276=""),"ONZEKER",IF(AND($EL276=$EI276+1,$EM276=$EJ276),IF(OR(COUNTIF(#REF!,$B276)&gt;0,COUNTIF(#REF!,$B276)=0),"SKIP",IF(COUNTIFS(#REF!,$B276,#REF!,$CX276)&gt;0,"OK","ONBEKEND")),IF(AND($EL276=$EI276,$EM276=$EJ276+1),IF(OR(COUNTIF(#REF!,$D276)&gt;0,COUNTIF(#REF!,$D276)=0),"SKIP",IF(COUNTIFS(#REF!,$D276,#REF!,$CX276)&gt;0,"OK","ONBEKEND")),"ONZEKER")))))</f>
        <v/>
      </c>
      <c r="CZ276" t="str">
        <f t="shared" si="2094"/>
        <v/>
      </c>
      <c r="DA276" t="str">
        <f t="shared" si="2095"/>
        <v/>
      </c>
      <c r="DB276" t="str">
        <f>IF($DA276="","",IF(OR($EO276="",$EP276=""),"ONZEKER",IF(OR($EL276="",$EM276=""),"ONZEKER",IF(AND($EO276=$EL276+1,$EP276=$EM276),IF(OR(COUNTIF(#REF!,$B276)&gt;0,COUNTIF(#REF!,$B276)=0),"SKIP",IF(COUNTIFS(#REF!,$B276,#REF!,$DA276)&gt;0,"OK","ONBEKEND")),IF(AND($EO276=$EL276,$EP276=$EM276+1),IF(OR(COUNTIF(#REF!,$D276)&gt;0,COUNTIF(#REF!,$D276)=0),"SKIP",IF(COUNTIFS(#REF!,$D276,#REF!,$DA276)&gt;0,"OK","ONBEKEND")),"ONZEKER")))))</f>
        <v/>
      </c>
      <c r="DC276" t="str">
        <f t="shared" si="2096"/>
        <v/>
      </c>
      <c r="DD276" t="str">
        <f t="shared" si="2097"/>
        <v/>
      </c>
      <c r="DE276" t="str">
        <f>IF($DD276="","",IF(OR($ER276="",$ES276=""),"ONZEKER",IF(OR($EO276="",$EP276=""),"ONZEKER",IF(AND($ER276=$EO276+1,$ES276=$EP276),IF(OR(COUNTIF(#REF!,$B276)&gt;0,COUNTIF(#REF!,$B276)=0),"SKIP",IF(COUNTIFS(#REF!,$B276,#REF!,$DD276)&gt;0,"OK","ONBEKEND")),IF(AND($ER276=$EO276,$ES276=$EP276+1),IF(OR(COUNTIF(#REF!,$D276)&gt;0,COUNTIF(#REF!,$D276)=0),"SKIP",IF(COUNTIFS(#REF!,$D276,#REF!,$DD276)&gt;0,"OK","ONBEKEND")),"ONZEKER")))))</f>
        <v/>
      </c>
      <c r="DF276" t="str">
        <f t="shared" si="2098"/>
        <v/>
      </c>
      <c r="DG276" t="str">
        <f t="shared" si="2099"/>
        <v/>
      </c>
      <c r="DH276" t="str">
        <f>IF($DG276="","",IF(OR($EU276="",$EV276=""),"ONZEKER",IF(OR($ER276="",$ES276=""),"ONZEKER",IF(AND($EU276=$ER276+1,$EV276=$ES276),IF(OR(COUNTIF(#REF!,$B276)&gt;0,COUNTIF(#REF!,$B276)=0),"SKIP",IF(COUNTIFS(#REF!,$B276,#REF!,$DG276)&gt;0,"OK","ONBEKEND")),IF(AND($EU276=$ER276,$EV276=$ES276+1),IF(OR(COUNTIF(#REF!,$D276)&gt;0,COUNTIF(#REF!,$D276)=0),"SKIP",IF(COUNTIFS(#REF!,$D276,#REF!,$DG276)&gt;0,"OK","ONBEKEND")),"ONZEKER")))))</f>
        <v/>
      </c>
      <c r="DI276" t="str">
        <f t="shared" si="2100"/>
        <v/>
      </c>
      <c r="DJ276" t="str">
        <f t="shared" si="2101"/>
        <v/>
      </c>
      <c r="DK276" t="str">
        <f>IF($DJ276="","",IF(OR($EX276="",$EY276=""),"ONZEKER",IF(OR($EU276="",$EV276=""),"ONZEKER",IF(AND($EX276=$EU276+1,$EY276=$EV276),IF(OR(COUNTIF(#REF!,$B276)&gt;0,COUNTIF(#REF!,$B276)=0),"SKIP",IF(COUNTIFS(#REF!,$B276,#REF!,$DJ276)&gt;0,"OK","ONBEKEND")),IF(AND($EX276=$EU276,$EY276=$EV276+1),IF(OR(COUNTIF(#REF!,$D276)&gt;0,COUNTIF(#REF!,$D276)=0),"SKIP",IF(COUNTIFS(#REF!,$D276,#REF!,$DJ276)&gt;0,"OK","ONBEKEND")),"ONZEKER")))))</f>
        <v/>
      </c>
      <c r="DL276" t="str">
        <f t="shared" si="2102"/>
        <v/>
      </c>
      <c r="DM276" t="str">
        <f t="shared" si="2103"/>
        <v/>
      </c>
      <c r="DN276" t="str">
        <f t="shared" si="2104"/>
        <v/>
      </c>
      <c r="DO276" t="str">
        <f t="shared" si="2105"/>
        <v/>
      </c>
      <c r="DP276" t="str">
        <f t="shared" si="2106"/>
        <v/>
      </c>
      <c r="DQ276" t="str">
        <f t="shared" si="2107"/>
        <v/>
      </c>
      <c r="DR276" t="str">
        <f t="shared" si="2108"/>
        <v/>
      </c>
      <c r="DS276" t="str">
        <f t="shared" si="2109"/>
        <v/>
      </c>
      <c r="DT276" t="str">
        <f t="shared" si="2110"/>
        <v/>
      </c>
      <c r="DU276" t="str">
        <f t="shared" si="2111"/>
        <v/>
      </c>
      <c r="DV276" t="str">
        <f t="shared" si="2112"/>
        <v/>
      </c>
      <c r="DW276" t="str">
        <f t="shared" si="2113"/>
        <v/>
      </c>
      <c r="DX276" t="str">
        <f t="shared" si="2114"/>
        <v/>
      </c>
      <c r="DY276" t="str">
        <f t="shared" si="2115"/>
        <v/>
      </c>
      <c r="DZ276" t="str">
        <f t="shared" si="2116"/>
        <v/>
      </c>
      <c r="EA276" t="str">
        <f t="shared" si="2117"/>
        <v/>
      </c>
      <c r="EB276" t="str">
        <f t="shared" si="2118"/>
        <v/>
      </c>
      <c r="EC276" t="str">
        <f t="shared" si="2119"/>
        <v/>
      </c>
      <c r="ED276" t="str">
        <f t="shared" si="2120"/>
        <v/>
      </c>
      <c r="EE276" t="str">
        <f t="shared" si="2121"/>
        <v/>
      </c>
      <c r="EF276" t="str">
        <f t="shared" si="2122"/>
        <v/>
      </c>
      <c r="EG276" t="str">
        <f t="shared" si="2123"/>
        <v/>
      </c>
      <c r="EH276" t="str">
        <f t="shared" si="2124"/>
        <v/>
      </c>
      <c r="EI276" t="str">
        <f t="shared" si="2125"/>
        <v/>
      </c>
      <c r="EJ276" t="str">
        <f t="shared" si="2126"/>
        <v/>
      </c>
      <c r="EK276" t="str">
        <f t="shared" si="2127"/>
        <v/>
      </c>
      <c r="EL276" t="str">
        <f t="shared" si="2128"/>
        <v/>
      </c>
      <c r="EM276" t="str">
        <f t="shared" si="2129"/>
        <v/>
      </c>
      <c r="EN276" t="str">
        <f t="shared" si="2130"/>
        <v/>
      </c>
      <c r="EO276" t="str">
        <f t="shared" si="2131"/>
        <v/>
      </c>
      <c r="EP276" t="str">
        <f t="shared" si="2132"/>
        <v/>
      </c>
      <c r="EQ276" t="str">
        <f t="shared" si="2133"/>
        <v/>
      </c>
      <c r="ER276" t="str">
        <f t="shared" si="2134"/>
        <v/>
      </c>
      <c r="ES276" t="str">
        <f t="shared" si="2135"/>
        <v/>
      </c>
      <c r="ET276" t="str">
        <f t="shared" si="2136"/>
        <v/>
      </c>
      <c r="EU276" t="str">
        <f t="shared" si="2137"/>
        <v/>
      </c>
      <c r="EV276" t="str">
        <f t="shared" si="2138"/>
        <v/>
      </c>
      <c r="EW276" t="str">
        <f t="shared" si="2139"/>
        <v/>
      </c>
      <c r="EX276" t="str">
        <f t="shared" si="2140"/>
        <v/>
      </c>
      <c r="EY276" t="str">
        <f t="shared" si="2141"/>
        <v/>
      </c>
    </row>
    <row r="277" spans="1:155" ht="13.9" customHeight="1" x14ac:dyDescent="0.25">
      <c r="B277" s="23"/>
      <c r="D277" s="23"/>
      <c r="F277" s="18">
        <v>0</v>
      </c>
      <c r="G277" s="7" t="s">
        <v>147</v>
      </c>
      <c r="H277" s="18">
        <v>0</v>
      </c>
      <c r="I277" s="19">
        <v>0</v>
      </c>
      <c r="J277" s="7" t="s">
        <v>147</v>
      </c>
      <c r="K277" s="19">
        <v>0</v>
      </c>
      <c r="L277" s="9"/>
      <c r="M277" s="13" t="str">
        <f>IF($L277="","",IF($L277="DOELPUNTENMAKERS","",IF(AND(COUNTIF(#REF!,$B277)=0,COUNTIF(#REF!,$D277)=0),"OK",IF($O277&gt;20,"LET OP: meer dan 20 items (controle onvolledig)",IF((COUNTIF($R277:$AS277,"ONZEKER")+COUNTIF($CJ277:$DK277,"ONZEKER"))&gt;0,"LET OP: scoreverloop onduidelijk (controle beperkt)",IF((IF($AT277&lt;&gt;"",$AT277&amp;", ","")&amp;IF($AU277&lt;&gt;"",$AU277&amp;", ","")&amp;IF($AV277&lt;&gt;"",$AV277&amp;", ","")&amp;IF($AW277&lt;&gt;"",$AW277&amp;", ","")&amp;IF($AX277&lt;&gt;"",$AX277&amp;", ","")&amp;IF($AY277&lt;&gt;"",$AY277&amp;", ","")&amp;IF($AZ277&lt;&gt;"",$AZ277&amp;", ","")&amp;IF($BA277&lt;&gt;"",$BA277&amp;", ","")&amp;IF($BB277&lt;&gt;"",$BB277&amp;", ","")&amp;IF($BC277&lt;&gt;"",$BC277&amp;", ","")&amp;IF($DL277&lt;&gt;"",$DL277&amp;", ","")&amp;IF($DM277&lt;&gt;"",$DM277&amp;", ","")&amp;IF($DN277&lt;&gt;"",$DN277&amp;", ","")&amp;IF($DO277&lt;&gt;"",$DO277&amp;", ","")&amp;IF($DP277&lt;&gt;"",$DP277&amp;", ","")&amp;IF($DQ277&lt;&gt;"",$DQ277&amp;", ","")&amp;IF($DR277&lt;&gt;"",$DR277&amp;", ","")&amp;IF($DS277&lt;&gt;"",$DS277&amp;", ","")&amp;IF($DT277&lt;&gt;"",$DT277&amp;", ","")&amp;IF($DU277&lt;&gt;"",$DU277&amp;", ",""))="","OK","Onbekend: "&amp;LEFT((IF($AT277&lt;&gt;"",$AT277&amp;", ","")&amp;IF($AU277&lt;&gt;"",$AU277&amp;", ","")&amp;IF($AV277&lt;&gt;"",$AV277&amp;", ","")&amp;IF($AW277&lt;&gt;"",$AW277&amp;", ","")&amp;IF($AX277&lt;&gt;"",$AX277&amp;", ","")&amp;IF($AY277&lt;&gt;"",$AY277&amp;", ","")&amp;IF($AZ277&lt;&gt;"",$AZ277&amp;", ","")&amp;IF($BA277&lt;&gt;"",$BA277&amp;", ","")&amp;IF($BB277&lt;&gt;"",$BB277&amp;", ","")&amp;IF($BC277&lt;&gt;"",$BC277&amp;", ","")&amp;IF($DL277&lt;&gt;"",$DL277&amp;", ","")&amp;IF($DM277&lt;&gt;"",$DM277&amp;", ","")&amp;IF($DN277&lt;&gt;"",$DN277&amp;", ","")&amp;IF($DO277&lt;&gt;"",$DO277&amp;", ","")&amp;IF($DP277&lt;&gt;"",$DP277&amp;", ","")&amp;IF($DQ277&lt;&gt;"",$DQ277&amp;", ","")&amp;IF($DR277&lt;&gt;"",$DR277&amp;", ","")&amp;IF($DS277&lt;&gt;"",$DS277&amp;", ","")&amp;IF($DT277&lt;&gt;"",$DT277&amp;", ","")&amp;IF($DU277&lt;&gt;"",$DU277&amp;", ","")),LEN((IF($AT277&lt;&gt;"",$AT277&amp;", ","")&amp;IF($AU277&lt;&gt;"",$AU277&amp;", ","")&amp;IF($AV277&lt;&gt;"",$AV277&amp;", ","")&amp;IF($AW277&lt;&gt;"",$AW277&amp;", ","")&amp;IF($AX277&lt;&gt;"",$AX277&amp;", ","")&amp;IF($AY277&lt;&gt;"",$AY277&amp;", ","")&amp;IF($AZ277&lt;&gt;"",$AZ277&amp;", ","")&amp;IF($BA277&lt;&gt;"",$BA277&amp;", ","")&amp;IF($BB277&lt;&gt;"",$BB277&amp;", ","")&amp;IF($BC277&lt;&gt;"",$BC277&amp;", ","")&amp;IF($DL277&lt;&gt;"",$DL277&amp;", ","")&amp;IF($DM277&lt;&gt;"",$DM277&amp;", ","")&amp;IF($DN277&lt;&gt;"",$DN277&amp;", ","")&amp;IF($DO277&lt;&gt;"",$DO277&amp;", ","")&amp;IF($DP277&lt;&gt;"",$DP277&amp;", ","")&amp;IF($DQ277&lt;&gt;"",$DQ277&amp;", ","")&amp;IF($DR277&lt;&gt;"",$DR277&amp;", ","")&amp;IF($DS277&lt;&gt;"",$DS277&amp;", ","")&amp;IF($DT277&lt;&gt;"",$DT277&amp;", ","")&amp;IF($DU277&lt;&gt;"",$DU277&amp;", ","")))-2)))))))</f>
        <v/>
      </c>
      <c r="CH277" t="str">
        <f t="shared" si="2082"/>
        <v/>
      </c>
      <c r="CI277" t="str">
        <f t="shared" si="2083"/>
        <v/>
      </c>
      <c r="CJ277" t="str">
        <f>IF($CI277="","",IF(OR($DW277="",$DX277=""),"ONZEKER",IF(OR($CF277="",$CG277=""),"ONZEKER",IF(AND($DW277=$CF277+1,$DX277=$CG277),IF(OR(COUNTIF(#REF!,$B277)&gt;0,COUNTIF(#REF!,$B277)=0),"SKIP",IF(COUNTIFS(#REF!,$B277,#REF!,$CI277)&gt;0,"OK","ONBEKEND")),IF(AND($DW277=$CF277,$DX277=$CG277+1),IF(OR(COUNTIF(#REF!,$D277)&gt;0,COUNTIF(#REF!,$D277)=0),"SKIP",IF(COUNTIFS(#REF!,$D277,#REF!,$CI277)&gt;0,"OK","ONBEKEND")),"ONZEKER")))))</f>
        <v/>
      </c>
      <c r="CK277" t="str">
        <f t="shared" si="2084"/>
        <v/>
      </c>
      <c r="CL277" t="str">
        <f t="shared" si="2085"/>
        <v/>
      </c>
      <c r="CM277" t="str">
        <f>IF($CL277="","",IF(OR($DZ277="",$EA277=""),"ONZEKER",IF(OR($DW277="",$DX277=""),"ONZEKER",IF(AND($DZ277=$DW277+1,$EA277=$DX277),IF(OR(COUNTIF(#REF!,$B277)&gt;0,COUNTIF(#REF!,$B277)=0),"SKIP",IF(COUNTIFS(#REF!,$B277,#REF!,$CL277)&gt;0,"OK","ONBEKEND")),IF(AND($DZ277=$DW277,$EA277=$DX277+1),IF(OR(COUNTIF(#REF!,$D277)&gt;0,COUNTIF(#REF!,$D277)=0),"SKIP",IF(COUNTIFS(#REF!,$D277,#REF!,$CL277)&gt;0,"OK","ONBEKEND")),"ONZEKER")))))</f>
        <v/>
      </c>
      <c r="CN277" t="str">
        <f t="shared" si="2086"/>
        <v/>
      </c>
      <c r="CO277" t="str">
        <f t="shared" si="2087"/>
        <v/>
      </c>
      <c r="CP277" t="str">
        <f>IF($CO277="","",IF(OR($EC277="",$ED277=""),"ONZEKER",IF(OR($DZ277="",$EA277=""),"ONZEKER",IF(AND($EC277=$DZ277+1,$ED277=$EA277),IF(OR(COUNTIF(#REF!,$B277)&gt;0,COUNTIF(#REF!,$B277)=0),"SKIP",IF(COUNTIFS(#REF!,$B277,#REF!,$CO277)&gt;0,"OK","ONBEKEND")),IF(AND($EC277=$DZ277,$ED277=$EA277+1),IF(OR(COUNTIF(#REF!,$D277)&gt;0,COUNTIF(#REF!,$D277)=0),"SKIP",IF(COUNTIFS(#REF!,$D277,#REF!,$CO277)&gt;0,"OK","ONBEKEND")),"ONZEKER")))))</f>
        <v/>
      </c>
      <c r="CQ277" t="str">
        <f t="shared" si="2088"/>
        <v/>
      </c>
      <c r="CR277" t="str">
        <f t="shared" si="2089"/>
        <v/>
      </c>
      <c r="CS277" t="str">
        <f>IF($CR277="","",IF(OR($EF277="",$EG277=""),"ONZEKER",IF(OR($EC277="",$ED277=""),"ONZEKER",IF(AND($EF277=$EC277+1,$EG277=$ED277),IF(OR(COUNTIF(#REF!,$B277)&gt;0,COUNTIF(#REF!,$B277)=0),"SKIP",IF(COUNTIFS(#REF!,$B277,#REF!,$CR277)&gt;0,"OK","ONBEKEND")),IF(AND($EF277=$EC277,$EG277=$ED277+1),IF(OR(COUNTIF(#REF!,$D277)&gt;0,COUNTIF(#REF!,$D277)=0),"SKIP",IF(COUNTIFS(#REF!,$D277,#REF!,$CR277)&gt;0,"OK","ONBEKEND")),"ONZEKER")))))</f>
        <v/>
      </c>
      <c r="CT277" t="str">
        <f t="shared" si="2090"/>
        <v/>
      </c>
      <c r="CU277" t="str">
        <f t="shared" si="2091"/>
        <v/>
      </c>
      <c r="CV277" t="str">
        <f>IF($CU277="","",IF(OR($EI277="",$EJ277=""),"ONZEKER",IF(OR($EF277="",$EG277=""),"ONZEKER",IF(AND($EI277=$EF277+1,$EJ277=$EG277),IF(OR(COUNTIF(#REF!,$B277)&gt;0,COUNTIF(#REF!,$B277)=0),"SKIP",IF(COUNTIFS(#REF!,$B277,#REF!,$CU277)&gt;0,"OK","ONBEKEND")),IF(AND($EI277=$EF277,$EJ277=$EG277+1),IF(OR(COUNTIF(#REF!,$D277)&gt;0,COUNTIF(#REF!,$D277)=0),"SKIP",IF(COUNTIFS(#REF!,$D277,#REF!,$CU277)&gt;0,"OK","ONBEKEND")),"ONZEKER")))))</f>
        <v/>
      </c>
      <c r="CW277" t="str">
        <f t="shared" si="2092"/>
        <v/>
      </c>
      <c r="CX277" t="str">
        <f t="shared" si="2093"/>
        <v/>
      </c>
      <c r="CY277" t="str">
        <f>IF($CX277="","",IF(OR($EL277="",$EM277=""),"ONZEKER",IF(OR($EI277="",$EJ277=""),"ONZEKER",IF(AND($EL277=$EI277+1,$EM277=$EJ277),IF(OR(COUNTIF(#REF!,$B277)&gt;0,COUNTIF(#REF!,$B277)=0),"SKIP",IF(COUNTIFS(#REF!,$B277,#REF!,$CX277)&gt;0,"OK","ONBEKEND")),IF(AND($EL277=$EI277,$EM277=$EJ277+1),IF(OR(COUNTIF(#REF!,$D277)&gt;0,COUNTIF(#REF!,$D277)=0),"SKIP",IF(COUNTIFS(#REF!,$D277,#REF!,$CX277)&gt;0,"OK","ONBEKEND")),"ONZEKER")))))</f>
        <v/>
      </c>
      <c r="CZ277" t="str">
        <f t="shared" si="2094"/>
        <v/>
      </c>
      <c r="DA277" t="str">
        <f t="shared" si="2095"/>
        <v/>
      </c>
      <c r="DB277" t="str">
        <f>IF($DA277="","",IF(OR($EO277="",$EP277=""),"ONZEKER",IF(OR($EL277="",$EM277=""),"ONZEKER",IF(AND($EO277=$EL277+1,$EP277=$EM277),IF(OR(COUNTIF(#REF!,$B277)&gt;0,COUNTIF(#REF!,$B277)=0),"SKIP",IF(COUNTIFS(#REF!,$B277,#REF!,$DA277)&gt;0,"OK","ONBEKEND")),IF(AND($EO277=$EL277,$EP277=$EM277+1),IF(OR(COUNTIF(#REF!,$D277)&gt;0,COUNTIF(#REF!,$D277)=0),"SKIP",IF(COUNTIFS(#REF!,$D277,#REF!,$DA277)&gt;0,"OK","ONBEKEND")),"ONZEKER")))))</f>
        <v/>
      </c>
      <c r="DC277" t="str">
        <f t="shared" si="2096"/>
        <v/>
      </c>
      <c r="DD277" t="str">
        <f t="shared" si="2097"/>
        <v/>
      </c>
      <c r="DE277" t="str">
        <f>IF($DD277="","",IF(OR($ER277="",$ES277=""),"ONZEKER",IF(OR($EO277="",$EP277=""),"ONZEKER",IF(AND($ER277=$EO277+1,$ES277=$EP277),IF(OR(COUNTIF(#REF!,$B277)&gt;0,COUNTIF(#REF!,$B277)=0),"SKIP",IF(COUNTIFS(#REF!,$B277,#REF!,$DD277)&gt;0,"OK","ONBEKEND")),IF(AND($ER277=$EO277,$ES277=$EP277+1),IF(OR(COUNTIF(#REF!,$D277)&gt;0,COUNTIF(#REF!,$D277)=0),"SKIP",IF(COUNTIFS(#REF!,$D277,#REF!,$DD277)&gt;0,"OK","ONBEKEND")),"ONZEKER")))))</f>
        <v/>
      </c>
      <c r="DF277" t="str">
        <f t="shared" si="2098"/>
        <v/>
      </c>
      <c r="DG277" t="str">
        <f t="shared" si="2099"/>
        <v/>
      </c>
      <c r="DH277" t="str">
        <f>IF($DG277="","",IF(OR($EU277="",$EV277=""),"ONZEKER",IF(OR($ER277="",$ES277=""),"ONZEKER",IF(AND($EU277=$ER277+1,$EV277=$ES277),IF(OR(COUNTIF(#REF!,$B277)&gt;0,COUNTIF(#REF!,$B277)=0),"SKIP",IF(COUNTIFS(#REF!,$B277,#REF!,$DG277)&gt;0,"OK","ONBEKEND")),IF(AND($EU277=$ER277,$EV277=$ES277+1),IF(OR(COUNTIF(#REF!,$D277)&gt;0,COUNTIF(#REF!,$D277)=0),"SKIP",IF(COUNTIFS(#REF!,$D277,#REF!,$DG277)&gt;0,"OK","ONBEKEND")),"ONZEKER")))))</f>
        <v/>
      </c>
      <c r="DI277" t="str">
        <f t="shared" si="2100"/>
        <v/>
      </c>
      <c r="DJ277" t="str">
        <f t="shared" si="2101"/>
        <v/>
      </c>
      <c r="DK277" t="str">
        <f>IF($DJ277="","",IF(OR($EX277="",$EY277=""),"ONZEKER",IF(OR($EU277="",$EV277=""),"ONZEKER",IF(AND($EX277=$EU277+1,$EY277=$EV277),IF(OR(COUNTIF(#REF!,$B277)&gt;0,COUNTIF(#REF!,$B277)=0),"SKIP",IF(COUNTIFS(#REF!,$B277,#REF!,$DJ277)&gt;0,"OK","ONBEKEND")),IF(AND($EX277=$EU277,$EY277=$EV277+1),IF(OR(COUNTIF(#REF!,$D277)&gt;0,COUNTIF(#REF!,$D277)=0),"SKIP",IF(COUNTIFS(#REF!,$D277,#REF!,$DJ277)&gt;0,"OK","ONBEKEND")),"ONZEKER")))))</f>
        <v/>
      </c>
      <c r="DL277" t="str">
        <f t="shared" si="2102"/>
        <v/>
      </c>
      <c r="DM277" t="str">
        <f t="shared" si="2103"/>
        <v/>
      </c>
      <c r="DN277" t="str">
        <f t="shared" si="2104"/>
        <v/>
      </c>
      <c r="DO277" t="str">
        <f t="shared" si="2105"/>
        <v/>
      </c>
      <c r="DP277" t="str">
        <f t="shared" si="2106"/>
        <v/>
      </c>
      <c r="DQ277" t="str">
        <f t="shared" si="2107"/>
        <v/>
      </c>
      <c r="DR277" t="str">
        <f t="shared" si="2108"/>
        <v/>
      </c>
      <c r="DS277" t="str">
        <f t="shared" si="2109"/>
        <v/>
      </c>
      <c r="DT277" t="str">
        <f t="shared" si="2110"/>
        <v/>
      </c>
      <c r="DU277" t="str">
        <f t="shared" si="2111"/>
        <v/>
      </c>
      <c r="DV277" t="str">
        <f t="shared" si="2112"/>
        <v/>
      </c>
      <c r="DW277" t="str">
        <f t="shared" si="2113"/>
        <v/>
      </c>
      <c r="DX277" t="str">
        <f t="shared" si="2114"/>
        <v/>
      </c>
      <c r="DY277" t="str">
        <f t="shared" si="2115"/>
        <v/>
      </c>
      <c r="DZ277" t="str">
        <f t="shared" si="2116"/>
        <v/>
      </c>
      <c r="EA277" t="str">
        <f t="shared" si="2117"/>
        <v/>
      </c>
      <c r="EB277" t="str">
        <f t="shared" si="2118"/>
        <v/>
      </c>
      <c r="EC277" t="str">
        <f t="shared" si="2119"/>
        <v/>
      </c>
      <c r="ED277" t="str">
        <f t="shared" si="2120"/>
        <v/>
      </c>
      <c r="EE277" t="str">
        <f t="shared" si="2121"/>
        <v/>
      </c>
      <c r="EF277" t="str">
        <f t="shared" si="2122"/>
        <v/>
      </c>
      <c r="EG277" t="str">
        <f t="shared" si="2123"/>
        <v/>
      </c>
      <c r="EH277" t="str">
        <f t="shared" si="2124"/>
        <v/>
      </c>
      <c r="EI277" t="str">
        <f t="shared" si="2125"/>
        <v/>
      </c>
      <c r="EJ277" t="str">
        <f t="shared" si="2126"/>
        <v/>
      </c>
      <c r="EK277" t="str">
        <f t="shared" si="2127"/>
        <v/>
      </c>
      <c r="EL277" t="str">
        <f t="shared" si="2128"/>
        <v/>
      </c>
      <c r="EM277" t="str">
        <f t="shared" si="2129"/>
        <v/>
      </c>
      <c r="EN277" t="str">
        <f t="shared" si="2130"/>
        <v/>
      </c>
      <c r="EO277" t="str">
        <f t="shared" si="2131"/>
        <v/>
      </c>
      <c r="EP277" t="str">
        <f t="shared" si="2132"/>
        <v/>
      </c>
      <c r="EQ277" t="str">
        <f t="shared" si="2133"/>
        <v/>
      </c>
      <c r="ER277" t="str">
        <f t="shared" si="2134"/>
        <v/>
      </c>
      <c r="ES277" t="str">
        <f t="shared" si="2135"/>
        <v/>
      </c>
      <c r="ET277" t="str">
        <f t="shared" si="2136"/>
        <v/>
      </c>
      <c r="EU277" t="str">
        <f t="shared" si="2137"/>
        <v/>
      </c>
      <c r="EV277" t="str">
        <f t="shared" si="2138"/>
        <v/>
      </c>
      <c r="EW277" t="str">
        <f t="shared" si="2139"/>
        <v/>
      </c>
      <c r="EX277" t="str">
        <f t="shared" si="2140"/>
        <v/>
      </c>
      <c r="EY277" t="str">
        <f t="shared" si="2141"/>
        <v/>
      </c>
    </row>
    <row r="278" spans="1:155" ht="13.9" customHeight="1" x14ac:dyDescent="0.25">
      <c r="B278" s="23"/>
      <c r="D278" s="23"/>
      <c r="F278" s="18">
        <v>0</v>
      </c>
      <c r="G278" s="7" t="s">
        <v>147</v>
      </c>
      <c r="H278" s="18">
        <v>0</v>
      </c>
      <c r="I278" s="19">
        <v>0</v>
      </c>
      <c r="J278" s="7" t="s">
        <v>147</v>
      </c>
      <c r="K278" s="19">
        <v>0</v>
      </c>
      <c r="L278" s="9"/>
      <c r="M278" s="13" t="str">
        <f>IF($L278="","",IF($L278="DOELPUNTENMAKERS","",IF(AND(COUNTIF(#REF!,$B278)=0,COUNTIF(#REF!,$D278)=0),"OK",IF($O278&gt;20,"LET OP: meer dan 20 items (controle onvolledig)",IF((COUNTIF($R278:$AS278,"ONZEKER")+COUNTIF($CJ278:$DK278,"ONZEKER"))&gt;0,"LET OP: scoreverloop onduidelijk (controle beperkt)",IF((IF($AT278&lt;&gt;"",$AT278&amp;", ","")&amp;IF($AU278&lt;&gt;"",$AU278&amp;", ","")&amp;IF($AV278&lt;&gt;"",$AV278&amp;", ","")&amp;IF($AW278&lt;&gt;"",$AW278&amp;", ","")&amp;IF($AX278&lt;&gt;"",$AX278&amp;", ","")&amp;IF($AY278&lt;&gt;"",$AY278&amp;", ","")&amp;IF($AZ278&lt;&gt;"",$AZ278&amp;", ","")&amp;IF($BA278&lt;&gt;"",$BA278&amp;", ","")&amp;IF($BB278&lt;&gt;"",$BB278&amp;", ","")&amp;IF($BC278&lt;&gt;"",$BC278&amp;", ","")&amp;IF($DL278&lt;&gt;"",$DL278&amp;", ","")&amp;IF($DM278&lt;&gt;"",$DM278&amp;", ","")&amp;IF($DN278&lt;&gt;"",$DN278&amp;", ","")&amp;IF($DO278&lt;&gt;"",$DO278&amp;", ","")&amp;IF($DP278&lt;&gt;"",$DP278&amp;", ","")&amp;IF($DQ278&lt;&gt;"",$DQ278&amp;", ","")&amp;IF($DR278&lt;&gt;"",$DR278&amp;", ","")&amp;IF($DS278&lt;&gt;"",$DS278&amp;", ","")&amp;IF($DT278&lt;&gt;"",$DT278&amp;", ","")&amp;IF($DU278&lt;&gt;"",$DU278&amp;", ",""))="","OK","Onbekend: "&amp;LEFT((IF($AT278&lt;&gt;"",$AT278&amp;", ","")&amp;IF($AU278&lt;&gt;"",$AU278&amp;", ","")&amp;IF($AV278&lt;&gt;"",$AV278&amp;", ","")&amp;IF($AW278&lt;&gt;"",$AW278&amp;", ","")&amp;IF($AX278&lt;&gt;"",$AX278&amp;", ","")&amp;IF($AY278&lt;&gt;"",$AY278&amp;", ","")&amp;IF($AZ278&lt;&gt;"",$AZ278&amp;", ","")&amp;IF($BA278&lt;&gt;"",$BA278&amp;", ","")&amp;IF($BB278&lt;&gt;"",$BB278&amp;", ","")&amp;IF($BC278&lt;&gt;"",$BC278&amp;", ","")&amp;IF($DL278&lt;&gt;"",$DL278&amp;", ","")&amp;IF($DM278&lt;&gt;"",$DM278&amp;", ","")&amp;IF($DN278&lt;&gt;"",$DN278&amp;", ","")&amp;IF($DO278&lt;&gt;"",$DO278&amp;", ","")&amp;IF($DP278&lt;&gt;"",$DP278&amp;", ","")&amp;IF($DQ278&lt;&gt;"",$DQ278&amp;", ","")&amp;IF($DR278&lt;&gt;"",$DR278&amp;", ","")&amp;IF($DS278&lt;&gt;"",$DS278&amp;", ","")&amp;IF($DT278&lt;&gt;"",$DT278&amp;", ","")&amp;IF($DU278&lt;&gt;"",$DU278&amp;", ","")),LEN((IF($AT278&lt;&gt;"",$AT278&amp;", ","")&amp;IF($AU278&lt;&gt;"",$AU278&amp;", ","")&amp;IF($AV278&lt;&gt;"",$AV278&amp;", ","")&amp;IF($AW278&lt;&gt;"",$AW278&amp;", ","")&amp;IF($AX278&lt;&gt;"",$AX278&amp;", ","")&amp;IF($AY278&lt;&gt;"",$AY278&amp;", ","")&amp;IF($AZ278&lt;&gt;"",$AZ278&amp;", ","")&amp;IF($BA278&lt;&gt;"",$BA278&amp;", ","")&amp;IF($BB278&lt;&gt;"",$BB278&amp;", ","")&amp;IF($BC278&lt;&gt;"",$BC278&amp;", ","")&amp;IF($DL278&lt;&gt;"",$DL278&amp;", ","")&amp;IF($DM278&lt;&gt;"",$DM278&amp;", ","")&amp;IF($DN278&lt;&gt;"",$DN278&amp;", ","")&amp;IF($DO278&lt;&gt;"",$DO278&amp;", ","")&amp;IF($DP278&lt;&gt;"",$DP278&amp;", ","")&amp;IF($DQ278&lt;&gt;"",$DQ278&amp;", ","")&amp;IF($DR278&lt;&gt;"",$DR278&amp;", ","")&amp;IF($DS278&lt;&gt;"",$DS278&amp;", ","")&amp;IF($DT278&lt;&gt;"",$DT278&amp;", ","")&amp;IF($DU278&lt;&gt;"",$DU278&amp;", ","")))-2)))))))</f>
        <v/>
      </c>
      <c r="CH278" t="str">
        <f t="shared" si="2082"/>
        <v/>
      </c>
      <c r="CI278" t="str">
        <f t="shared" si="2083"/>
        <v/>
      </c>
      <c r="CJ278" t="str">
        <f>IF($CI278="","",IF(OR($DW278="",$DX278=""),"ONZEKER",IF(OR($CF278="",$CG278=""),"ONZEKER",IF(AND($DW278=$CF278+1,$DX278=$CG278),IF(OR(COUNTIF(#REF!,$B278)&gt;0,COUNTIF(#REF!,$B278)=0),"SKIP",IF(COUNTIFS(#REF!,$B278,#REF!,$CI278)&gt;0,"OK","ONBEKEND")),IF(AND($DW278=$CF278,$DX278=$CG278+1),IF(OR(COUNTIF(#REF!,$D278)&gt;0,COUNTIF(#REF!,$D278)=0),"SKIP",IF(COUNTIFS(#REF!,$D278,#REF!,$CI278)&gt;0,"OK","ONBEKEND")),"ONZEKER")))))</f>
        <v/>
      </c>
      <c r="CK278" t="str">
        <f t="shared" si="2084"/>
        <v/>
      </c>
      <c r="CL278" t="str">
        <f t="shared" si="2085"/>
        <v/>
      </c>
      <c r="CM278" t="str">
        <f>IF($CL278="","",IF(OR($DZ278="",$EA278=""),"ONZEKER",IF(OR($DW278="",$DX278=""),"ONZEKER",IF(AND($DZ278=$DW278+1,$EA278=$DX278),IF(OR(COUNTIF(#REF!,$B278)&gt;0,COUNTIF(#REF!,$B278)=0),"SKIP",IF(COUNTIFS(#REF!,$B278,#REF!,$CL278)&gt;0,"OK","ONBEKEND")),IF(AND($DZ278=$DW278,$EA278=$DX278+1),IF(OR(COUNTIF(#REF!,$D278)&gt;0,COUNTIF(#REF!,$D278)=0),"SKIP",IF(COUNTIFS(#REF!,$D278,#REF!,$CL278)&gt;0,"OK","ONBEKEND")),"ONZEKER")))))</f>
        <v/>
      </c>
      <c r="CN278" t="str">
        <f t="shared" si="2086"/>
        <v/>
      </c>
      <c r="CO278" t="str">
        <f t="shared" si="2087"/>
        <v/>
      </c>
      <c r="CP278" t="str">
        <f>IF($CO278="","",IF(OR($EC278="",$ED278=""),"ONZEKER",IF(OR($DZ278="",$EA278=""),"ONZEKER",IF(AND($EC278=$DZ278+1,$ED278=$EA278),IF(OR(COUNTIF(#REF!,$B278)&gt;0,COUNTIF(#REF!,$B278)=0),"SKIP",IF(COUNTIFS(#REF!,$B278,#REF!,$CO278)&gt;0,"OK","ONBEKEND")),IF(AND($EC278=$DZ278,$ED278=$EA278+1),IF(OR(COUNTIF(#REF!,$D278)&gt;0,COUNTIF(#REF!,$D278)=0),"SKIP",IF(COUNTIFS(#REF!,$D278,#REF!,$CO278)&gt;0,"OK","ONBEKEND")),"ONZEKER")))))</f>
        <v/>
      </c>
      <c r="CQ278" t="str">
        <f t="shared" si="2088"/>
        <v/>
      </c>
      <c r="CR278" t="str">
        <f t="shared" si="2089"/>
        <v/>
      </c>
      <c r="CS278" t="str">
        <f>IF($CR278="","",IF(OR($EF278="",$EG278=""),"ONZEKER",IF(OR($EC278="",$ED278=""),"ONZEKER",IF(AND($EF278=$EC278+1,$EG278=$ED278),IF(OR(COUNTIF(#REF!,$B278)&gt;0,COUNTIF(#REF!,$B278)=0),"SKIP",IF(COUNTIFS(#REF!,$B278,#REF!,$CR278)&gt;0,"OK","ONBEKEND")),IF(AND($EF278=$EC278,$EG278=$ED278+1),IF(OR(COUNTIF(#REF!,$D278)&gt;0,COUNTIF(#REF!,$D278)=0),"SKIP",IF(COUNTIFS(#REF!,$D278,#REF!,$CR278)&gt;0,"OK","ONBEKEND")),"ONZEKER")))))</f>
        <v/>
      </c>
      <c r="CT278" t="str">
        <f t="shared" si="2090"/>
        <v/>
      </c>
      <c r="CU278" t="str">
        <f t="shared" si="2091"/>
        <v/>
      </c>
      <c r="CV278" t="str">
        <f>IF($CU278="","",IF(OR($EI278="",$EJ278=""),"ONZEKER",IF(OR($EF278="",$EG278=""),"ONZEKER",IF(AND($EI278=$EF278+1,$EJ278=$EG278),IF(OR(COUNTIF(#REF!,$B278)&gt;0,COUNTIF(#REF!,$B278)=0),"SKIP",IF(COUNTIFS(#REF!,$B278,#REF!,$CU278)&gt;0,"OK","ONBEKEND")),IF(AND($EI278=$EF278,$EJ278=$EG278+1),IF(OR(COUNTIF(#REF!,$D278)&gt;0,COUNTIF(#REF!,$D278)=0),"SKIP",IF(COUNTIFS(#REF!,$D278,#REF!,$CU278)&gt;0,"OK","ONBEKEND")),"ONZEKER")))))</f>
        <v/>
      </c>
      <c r="CW278" t="str">
        <f t="shared" si="2092"/>
        <v/>
      </c>
      <c r="CX278" t="str">
        <f t="shared" si="2093"/>
        <v/>
      </c>
      <c r="CY278" t="str">
        <f>IF($CX278="","",IF(OR($EL278="",$EM278=""),"ONZEKER",IF(OR($EI278="",$EJ278=""),"ONZEKER",IF(AND($EL278=$EI278+1,$EM278=$EJ278),IF(OR(COUNTIF(#REF!,$B278)&gt;0,COUNTIF(#REF!,$B278)=0),"SKIP",IF(COUNTIFS(#REF!,$B278,#REF!,$CX278)&gt;0,"OK","ONBEKEND")),IF(AND($EL278=$EI278,$EM278=$EJ278+1),IF(OR(COUNTIF(#REF!,$D278)&gt;0,COUNTIF(#REF!,$D278)=0),"SKIP",IF(COUNTIFS(#REF!,$D278,#REF!,$CX278)&gt;0,"OK","ONBEKEND")),"ONZEKER")))))</f>
        <v/>
      </c>
      <c r="CZ278" t="str">
        <f t="shared" si="2094"/>
        <v/>
      </c>
      <c r="DA278" t="str">
        <f t="shared" si="2095"/>
        <v/>
      </c>
      <c r="DB278" t="str">
        <f>IF($DA278="","",IF(OR($EO278="",$EP278=""),"ONZEKER",IF(OR($EL278="",$EM278=""),"ONZEKER",IF(AND($EO278=$EL278+1,$EP278=$EM278),IF(OR(COUNTIF(#REF!,$B278)&gt;0,COUNTIF(#REF!,$B278)=0),"SKIP",IF(COUNTIFS(#REF!,$B278,#REF!,$DA278)&gt;0,"OK","ONBEKEND")),IF(AND($EO278=$EL278,$EP278=$EM278+1),IF(OR(COUNTIF(#REF!,$D278)&gt;0,COUNTIF(#REF!,$D278)=0),"SKIP",IF(COUNTIFS(#REF!,$D278,#REF!,$DA278)&gt;0,"OK","ONBEKEND")),"ONZEKER")))))</f>
        <v/>
      </c>
      <c r="DC278" t="str">
        <f t="shared" si="2096"/>
        <v/>
      </c>
      <c r="DD278" t="str">
        <f t="shared" si="2097"/>
        <v/>
      </c>
      <c r="DE278" t="str">
        <f>IF($DD278="","",IF(OR($ER278="",$ES278=""),"ONZEKER",IF(OR($EO278="",$EP278=""),"ONZEKER",IF(AND($ER278=$EO278+1,$ES278=$EP278),IF(OR(COUNTIF(#REF!,$B278)&gt;0,COUNTIF(#REF!,$B278)=0),"SKIP",IF(COUNTIFS(#REF!,$B278,#REF!,$DD278)&gt;0,"OK","ONBEKEND")),IF(AND($ER278=$EO278,$ES278=$EP278+1),IF(OR(COUNTIF(#REF!,$D278)&gt;0,COUNTIF(#REF!,$D278)=0),"SKIP",IF(COUNTIFS(#REF!,$D278,#REF!,$DD278)&gt;0,"OK","ONBEKEND")),"ONZEKER")))))</f>
        <v/>
      </c>
      <c r="DF278" t="str">
        <f t="shared" si="2098"/>
        <v/>
      </c>
      <c r="DG278" t="str">
        <f t="shared" si="2099"/>
        <v/>
      </c>
      <c r="DH278" t="str">
        <f>IF($DG278="","",IF(OR($EU278="",$EV278=""),"ONZEKER",IF(OR($ER278="",$ES278=""),"ONZEKER",IF(AND($EU278=$ER278+1,$EV278=$ES278),IF(OR(COUNTIF(#REF!,$B278)&gt;0,COUNTIF(#REF!,$B278)=0),"SKIP",IF(COUNTIFS(#REF!,$B278,#REF!,$DG278)&gt;0,"OK","ONBEKEND")),IF(AND($EU278=$ER278,$EV278=$ES278+1),IF(OR(COUNTIF(#REF!,$D278)&gt;0,COUNTIF(#REF!,$D278)=0),"SKIP",IF(COUNTIFS(#REF!,$D278,#REF!,$DG278)&gt;0,"OK","ONBEKEND")),"ONZEKER")))))</f>
        <v/>
      </c>
      <c r="DI278" t="str">
        <f t="shared" si="2100"/>
        <v/>
      </c>
      <c r="DJ278" t="str">
        <f t="shared" si="2101"/>
        <v/>
      </c>
      <c r="DK278" t="str">
        <f>IF($DJ278="","",IF(OR($EX278="",$EY278=""),"ONZEKER",IF(OR($EU278="",$EV278=""),"ONZEKER",IF(AND($EX278=$EU278+1,$EY278=$EV278),IF(OR(COUNTIF(#REF!,$B278)&gt;0,COUNTIF(#REF!,$B278)=0),"SKIP",IF(COUNTIFS(#REF!,$B278,#REF!,$DJ278)&gt;0,"OK","ONBEKEND")),IF(AND($EX278=$EU278,$EY278=$EV278+1),IF(OR(COUNTIF(#REF!,$D278)&gt;0,COUNTIF(#REF!,$D278)=0),"SKIP",IF(COUNTIFS(#REF!,$D278,#REF!,$DJ278)&gt;0,"OK","ONBEKEND")),"ONZEKER")))))</f>
        <v/>
      </c>
      <c r="DL278" t="str">
        <f t="shared" si="2102"/>
        <v/>
      </c>
      <c r="DM278" t="str">
        <f t="shared" si="2103"/>
        <v/>
      </c>
      <c r="DN278" t="str">
        <f t="shared" si="2104"/>
        <v/>
      </c>
      <c r="DO278" t="str">
        <f t="shared" si="2105"/>
        <v/>
      </c>
      <c r="DP278" t="str">
        <f t="shared" si="2106"/>
        <v/>
      </c>
      <c r="DQ278" t="str">
        <f t="shared" si="2107"/>
        <v/>
      </c>
      <c r="DR278" t="str">
        <f t="shared" si="2108"/>
        <v/>
      </c>
      <c r="DS278" t="str">
        <f t="shared" si="2109"/>
        <v/>
      </c>
      <c r="DT278" t="str">
        <f t="shared" si="2110"/>
        <v/>
      </c>
      <c r="DU278" t="str">
        <f t="shared" si="2111"/>
        <v/>
      </c>
      <c r="DV278" t="str">
        <f t="shared" si="2112"/>
        <v/>
      </c>
      <c r="DW278" t="str">
        <f t="shared" si="2113"/>
        <v/>
      </c>
      <c r="DX278" t="str">
        <f t="shared" si="2114"/>
        <v/>
      </c>
      <c r="DY278" t="str">
        <f t="shared" si="2115"/>
        <v/>
      </c>
      <c r="DZ278" t="str">
        <f t="shared" si="2116"/>
        <v/>
      </c>
      <c r="EA278" t="str">
        <f t="shared" si="2117"/>
        <v/>
      </c>
      <c r="EB278" t="str">
        <f t="shared" si="2118"/>
        <v/>
      </c>
      <c r="EC278" t="str">
        <f t="shared" si="2119"/>
        <v/>
      </c>
      <c r="ED278" t="str">
        <f t="shared" si="2120"/>
        <v/>
      </c>
      <c r="EE278" t="str">
        <f t="shared" si="2121"/>
        <v/>
      </c>
      <c r="EF278" t="str">
        <f t="shared" si="2122"/>
        <v/>
      </c>
      <c r="EG278" t="str">
        <f t="shared" si="2123"/>
        <v/>
      </c>
      <c r="EH278" t="str">
        <f t="shared" si="2124"/>
        <v/>
      </c>
      <c r="EI278" t="str">
        <f t="shared" si="2125"/>
        <v/>
      </c>
      <c r="EJ278" t="str">
        <f t="shared" si="2126"/>
        <v/>
      </c>
      <c r="EK278" t="str">
        <f t="shared" si="2127"/>
        <v/>
      </c>
      <c r="EL278" t="str">
        <f t="shared" si="2128"/>
        <v/>
      </c>
      <c r="EM278" t="str">
        <f t="shared" si="2129"/>
        <v/>
      </c>
      <c r="EN278" t="str">
        <f t="shared" si="2130"/>
        <v/>
      </c>
      <c r="EO278" t="str">
        <f t="shared" si="2131"/>
        <v/>
      </c>
      <c r="EP278" t="str">
        <f t="shared" si="2132"/>
        <v/>
      </c>
      <c r="EQ278" t="str">
        <f t="shared" si="2133"/>
        <v/>
      </c>
      <c r="ER278" t="str">
        <f t="shared" si="2134"/>
        <v/>
      </c>
      <c r="ES278" t="str">
        <f t="shared" si="2135"/>
        <v/>
      </c>
      <c r="ET278" t="str">
        <f t="shared" si="2136"/>
        <v/>
      </c>
      <c r="EU278" t="str">
        <f t="shared" si="2137"/>
        <v/>
      </c>
      <c r="EV278" t="str">
        <f t="shared" si="2138"/>
        <v/>
      </c>
      <c r="EW278" t="str">
        <f t="shared" si="2139"/>
        <v/>
      </c>
      <c r="EX278" t="str">
        <f t="shared" si="2140"/>
        <v/>
      </c>
      <c r="EY278" t="str">
        <f t="shared" si="2141"/>
        <v/>
      </c>
    </row>
    <row r="279" spans="1:155" ht="13.9" customHeight="1" x14ac:dyDescent="0.25">
      <c r="B279" s="23"/>
      <c r="D279" s="23"/>
      <c r="F279" s="18">
        <v>0</v>
      </c>
      <c r="G279" s="7" t="s">
        <v>147</v>
      </c>
      <c r="H279" s="18">
        <v>0</v>
      </c>
      <c r="I279" s="19">
        <v>0</v>
      </c>
      <c r="J279" s="7" t="s">
        <v>147</v>
      </c>
      <c r="K279" s="19">
        <v>0</v>
      </c>
      <c r="L279" s="9"/>
      <c r="M279" s="13" t="str">
        <f>IF($L279="","",IF($L279="DOELPUNTENMAKERS","",IF(AND(COUNTIF(#REF!,$B279)=0,COUNTIF(#REF!,$D279)=0),"OK",IF($O279&gt;20,"LET OP: meer dan 20 items (controle onvolledig)",IF((COUNTIF($R279:$AS279,"ONZEKER")+COUNTIF($CJ279:$DK279,"ONZEKER"))&gt;0,"LET OP: scoreverloop onduidelijk (controle beperkt)",IF((IF($AT279&lt;&gt;"",$AT279&amp;", ","")&amp;IF($AU279&lt;&gt;"",$AU279&amp;", ","")&amp;IF($AV279&lt;&gt;"",$AV279&amp;", ","")&amp;IF($AW279&lt;&gt;"",$AW279&amp;", ","")&amp;IF($AX279&lt;&gt;"",$AX279&amp;", ","")&amp;IF($AY279&lt;&gt;"",$AY279&amp;", ","")&amp;IF($AZ279&lt;&gt;"",$AZ279&amp;", ","")&amp;IF($BA279&lt;&gt;"",$BA279&amp;", ","")&amp;IF($BB279&lt;&gt;"",$BB279&amp;", ","")&amp;IF($BC279&lt;&gt;"",$BC279&amp;", ","")&amp;IF($DL279&lt;&gt;"",$DL279&amp;", ","")&amp;IF($DM279&lt;&gt;"",$DM279&amp;", ","")&amp;IF($DN279&lt;&gt;"",$DN279&amp;", ","")&amp;IF($DO279&lt;&gt;"",$DO279&amp;", ","")&amp;IF($DP279&lt;&gt;"",$DP279&amp;", ","")&amp;IF($DQ279&lt;&gt;"",$DQ279&amp;", ","")&amp;IF($DR279&lt;&gt;"",$DR279&amp;", ","")&amp;IF($DS279&lt;&gt;"",$DS279&amp;", ","")&amp;IF($DT279&lt;&gt;"",$DT279&amp;", ","")&amp;IF($DU279&lt;&gt;"",$DU279&amp;", ",""))="","OK","Onbekend: "&amp;LEFT((IF($AT279&lt;&gt;"",$AT279&amp;", ","")&amp;IF($AU279&lt;&gt;"",$AU279&amp;", ","")&amp;IF($AV279&lt;&gt;"",$AV279&amp;", ","")&amp;IF($AW279&lt;&gt;"",$AW279&amp;", ","")&amp;IF($AX279&lt;&gt;"",$AX279&amp;", ","")&amp;IF($AY279&lt;&gt;"",$AY279&amp;", ","")&amp;IF($AZ279&lt;&gt;"",$AZ279&amp;", ","")&amp;IF($BA279&lt;&gt;"",$BA279&amp;", ","")&amp;IF($BB279&lt;&gt;"",$BB279&amp;", ","")&amp;IF($BC279&lt;&gt;"",$BC279&amp;", ","")&amp;IF($DL279&lt;&gt;"",$DL279&amp;", ","")&amp;IF($DM279&lt;&gt;"",$DM279&amp;", ","")&amp;IF($DN279&lt;&gt;"",$DN279&amp;", ","")&amp;IF($DO279&lt;&gt;"",$DO279&amp;", ","")&amp;IF($DP279&lt;&gt;"",$DP279&amp;", ","")&amp;IF($DQ279&lt;&gt;"",$DQ279&amp;", ","")&amp;IF($DR279&lt;&gt;"",$DR279&amp;", ","")&amp;IF($DS279&lt;&gt;"",$DS279&amp;", ","")&amp;IF($DT279&lt;&gt;"",$DT279&amp;", ","")&amp;IF($DU279&lt;&gt;"",$DU279&amp;", ","")),LEN((IF($AT279&lt;&gt;"",$AT279&amp;", ","")&amp;IF($AU279&lt;&gt;"",$AU279&amp;", ","")&amp;IF($AV279&lt;&gt;"",$AV279&amp;", ","")&amp;IF($AW279&lt;&gt;"",$AW279&amp;", ","")&amp;IF($AX279&lt;&gt;"",$AX279&amp;", ","")&amp;IF($AY279&lt;&gt;"",$AY279&amp;", ","")&amp;IF($AZ279&lt;&gt;"",$AZ279&amp;", ","")&amp;IF($BA279&lt;&gt;"",$BA279&amp;", ","")&amp;IF($BB279&lt;&gt;"",$BB279&amp;", ","")&amp;IF($BC279&lt;&gt;"",$BC279&amp;", ","")&amp;IF($DL279&lt;&gt;"",$DL279&amp;", ","")&amp;IF($DM279&lt;&gt;"",$DM279&amp;", ","")&amp;IF($DN279&lt;&gt;"",$DN279&amp;", ","")&amp;IF($DO279&lt;&gt;"",$DO279&amp;", ","")&amp;IF($DP279&lt;&gt;"",$DP279&amp;", ","")&amp;IF($DQ279&lt;&gt;"",$DQ279&amp;", ","")&amp;IF($DR279&lt;&gt;"",$DR279&amp;", ","")&amp;IF($DS279&lt;&gt;"",$DS279&amp;", ","")&amp;IF($DT279&lt;&gt;"",$DT279&amp;", ","")&amp;IF($DU279&lt;&gt;"",$DU279&amp;", ","")))-2)))))))</f>
        <v/>
      </c>
      <c r="CH279" t="str">
        <f t="shared" si="2082"/>
        <v/>
      </c>
      <c r="CI279" t="str">
        <f t="shared" si="2083"/>
        <v/>
      </c>
      <c r="CJ279" t="str">
        <f>IF($CI279="","",IF(OR($DW279="",$DX279=""),"ONZEKER",IF(OR($CF279="",$CG279=""),"ONZEKER",IF(AND($DW279=$CF279+1,$DX279=$CG279),IF(OR(COUNTIF(#REF!,$B279)&gt;0,COUNTIF(#REF!,$B279)=0),"SKIP",IF(COUNTIFS(#REF!,$B279,#REF!,$CI279)&gt;0,"OK","ONBEKEND")),IF(AND($DW279=$CF279,$DX279=$CG279+1),IF(OR(COUNTIF(#REF!,$D279)&gt;0,COUNTIF(#REF!,$D279)=0),"SKIP",IF(COUNTIFS(#REF!,$D279,#REF!,$CI279)&gt;0,"OK","ONBEKEND")),"ONZEKER")))))</f>
        <v/>
      </c>
      <c r="CK279" t="str">
        <f t="shared" si="2084"/>
        <v/>
      </c>
      <c r="CL279" t="str">
        <f t="shared" si="2085"/>
        <v/>
      </c>
      <c r="CM279" t="str">
        <f>IF($CL279="","",IF(OR($DZ279="",$EA279=""),"ONZEKER",IF(OR($DW279="",$DX279=""),"ONZEKER",IF(AND($DZ279=$DW279+1,$EA279=$DX279),IF(OR(COUNTIF(#REF!,$B279)&gt;0,COUNTIF(#REF!,$B279)=0),"SKIP",IF(COUNTIFS(#REF!,$B279,#REF!,$CL279)&gt;0,"OK","ONBEKEND")),IF(AND($DZ279=$DW279,$EA279=$DX279+1),IF(OR(COUNTIF(#REF!,$D279)&gt;0,COUNTIF(#REF!,$D279)=0),"SKIP",IF(COUNTIFS(#REF!,$D279,#REF!,$CL279)&gt;0,"OK","ONBEKEND")),"ONZEKER")))))</f>
        <v/>
      </c>
      <c r="CN279" t="str">
        <f t="shared" si="2086"/>
        <v/>
      </c>
      <c r="CO279" t="str">
        <f t="shared" si="2087"/>
        <v/>
      </c>
      <c r="CP279" t="str">
        <f>IF($CO279="","",IF(OR($EC279="",$ED279=""),"ONZEKER",IF(OR($DZ279="",$EA279=""),"ONZEKER",IF(AND($EC279=$DZ279+1,$ED279=$EA279),IF(OR(COUNTIF(#REF!,$B279)&gt;0,COUNTIF(#REF!,$B279)=0),"SKIP",IF(COUNTIFS(#REF!,$B279,#REF!,$CO279)&gt;0,"OK","ONBEKEND")),IF(AND($EC279=$DZ279,$ED279=$EA279+1),IF(OR(COUNTIF(#REF!,$D279)&gt;0,COUNTIF(#REF!,$D279)=0),"SKIP",IF(COUNTIFS(#REF!,$D279,#REF!,$CO279)&gt;0,"OK","ONBEKEND")),"ONZEKER")))))</f>
        <v/>
      </c>
      <c r="CQ279" t="str">
        <f t="shared" si="2088"/>
        <v/>
      </c>
      <c r="CR279" t="str">
        <f t="shared" si="2089"/>
        <v/>
      </c>
      <c r="CS279" t="str">
        <f>IF($CR279="","",IF(OR($EF279="",$EG279=""),"ONZEKER",IF(OR($EC279="",$ED279=""),"ONZEKER",IF(AND($EF279=$EC279+1,$EG279=$ED279),IF(OR(COUNTIF(#REF!,$B279)&gt;0,COUNTIF(#REF!,$B279)=0),"SKIP",IF(COUNTIFS(#REF!,$B279,#REF!,$CR279)&gt;0,"OK","ONBEKEND")),IF(AND($EF279=$EC279,$EG279=$ED279+1),IF(OR(COUNTIF(#REF!,$D279)&gt;0,COUNTIF(#REF!,$D279)=0),"SKIP",IF(COUNTIFS(#REF!,$D279,#REF!,$CR279)&gt;0,"OK","ONBEKEND")),"ONZEKER")))))</f>
        <v/>
      </c>
      <c r="CT279" t="str">
        <f t="shared" si="2090"/>
        <v/>
      </c>
      <c r="CU279" t="str">
        <f t="shared" si="2091"/>
        <v/>
      </c>
      <c r="CV279" t="str">
        <f>IF($CU279="","",IF(OR($EI279="",$EJ279=""),"ONZEKER",IF(OR($EF279="",$EG279=""),"ONZEKER",IF(AND($EI279=$EF279+1,$EJ279=$EG279),IF(OR(COUNTIF(#REF!,$B279)&gt;0,COUNTIF(#REF!,$B279)=0),"SKIP",IF(COUNTIFS(#REF!,$B279,#REF!,$CU279)&gt;0,"OK","ONBEKEND")),IF(AND($EI279=$EF279,$EJ279=$EG279+1),IF(OR(COUNTIF(#REF!,$D279)&gt;0,COUNTIF(#REF!,$D279)=0),"SKIP",IF(COUNTIFS(#REF!,$D279,#REF!,$CU279)&gt;0,"OK","ONBEKEND")),"ONZEKER")))))</f>
        <v/>
      </c>
      <c r="CW279" t="str">
        <f t="shared" si="2092"/>
        <v/>
      </c>
      <c r="CX279" t="str">
        <f t="shared" si="2093"/>
        <v/>
      </c>
      <c r="CY279" t="str">
        <f>IF($CX279="","",IF(OR($EL279="",$EM279=""),"ONZEKER",IF(OR($EI279="",$EJ279=""),"ONZEKER",IF(AND($EL279=$EI279+1,$EM279=$EJ279),IF(OR(COUNTIF(#REF!,$B279)&gt;0,COUNTIF(#REF!,$B279)=0),"SKIP",IF(COUNTIFS(#REF!,$B279,#REF!,$CX279)&gt;0,"OK","ONBEKEND")),IF(AND($EL279=$EI279,$EM279=$EJ279+1),IF(OR(COUNTIF(#REF!,$D279)&gt;0,COUNTIF(#REF!,$D279)=0),"SKIP",IF(COUNTIFS(#REF!,$D279,#REF!,$CX279)&gt;0,"OK","ONBEKEND")),"ONZEKER")))))</f>
        <v/>
      </c>
      <c r="CZ279" t="str">
        <f t="shared" si="2094"/>
        <v/>
      </c>
      <c r="DA279" t="str">
        <f t="shared" si="2095"/>
        <v/>
      </c>
      <c r="DB279" t="str">
        <f>IF($DA279="","",IF(OR($EO279="",$EP279=""),"ONZEKER",IF(OR($EL279="",$EM279=""),"ONZEKER",IF(AND($EO279=$EL279+1,$EP279=$EM279),IF(OR(COUNTIF(#REF!,$B279)&gt;0,COUNTIF(#REF!,$B279)=0),"SKIP",IF(COUNTIFS(#REF!,$B279,#REF!,$DA279)&gt;0,"OK","ONBEKEND")),IF(AND($EO279=$EL279,$EP279=$EM279+1),IF(OR(COUNTIF(#REF!,$D279)&gt;0,COUNTIF(#REF!,$D279)=0),"SKIP",IF(COUNTIFS(#REF!,$D279,#REF!,$DA279)&gt;0,"OK","ONBEKEND")),"ONZEKER")))))</f>
        <v/>
      </c>
      <c r="DC279" t="str">
        <f t="shared" si="2096"/>
        <v/>
      </c>
      <c r="DD279" t="str">
        <f t="shared" si="2097"/>
        <v/>
      </c>
      <c r="DE279" t="str">
        <f>IF($DD279="","",IF(OR($ER279="",$ES279=""),"ONZEKER",IF(OR($EO279="",$EP279=""),"ONZEKER",IF(AND($ER279=$EO279+1,$ES279=$EP279),IF(OR(COUNTIF(#REF!,$B279)&gt;0,COUNTIF(#REF!,$B279)=0),"SKIP",IF(COUNTIFS(#REF!,$B279,#REF!,$DD279)&gt;0,"OK","ONBEKEND")),IF(AND($ER279=$EO279,$ES279=$EP279+1),IF(OR(COUNTIF(#REF!,$D279)&gt;0,COUNTIF(#REF!,$D279)=0),"SKIP",IF(COUNTIFS(#REF!,$D279,#REF!,$DD279)&gt;0,"OK","ONBEKEND")),"ONZEKER")))))</f>
        <v/>
      </c>
      <c r="DF279" t="str">
        <f t="shared" si="2098"/>
        <v/>
      </c>
      <c r="DG279" t="str">
        <f t="shared" si="2099"/>
        <v/>
      </c>
      <c r="DH279" t="str">
        <f>IF($DG279="","",IF(OR($EU279="",$EV279=""),"ONZEKER",IF(OR($ER279="",$ES279=""),"ONZEKER",IF(AND($EU279=$ER279+1,$EV279=$ES279),IF(OR(COUNTIF(#REF!,$B279)&gt;0,COUNTIF(#REF!,$B279)=0),"SKIP",IF(COUNTIFS(#REF!,$B279,#REF!,$DG279)&gt;0,"OK","ONBEKEND")),IF(AND($EU279=$ER279,$EV279=$ES279+1),IF(OR(COUNTIF(#REF!,$D279)&gt;0,COUNTIF(#REF!,$D279)=0),"SKIP",IF(COUNTIFS(#REF!,$D279,#REF!,$DG279)&gt;0,"OK","ONBEKEND")),"ONZEKER")))))</f>
        <v/>
      </c>
      <c r="DI279" t="str">
        <f t="shared" si="2100"/>
        <v/>
      </c>
      <c r="DJ279" t="str">
        <f t="shared" si="2101"/>
        <v/>
      </c>
      <c r="DK279" t="str">
        <f>IF($DJ279="","",IF(OR($EX279="",$EY279=""),"ONZEKER",IF(OR($EU279="",$EV279=""),"ONZEKER",IF(AND($EX279=$EU279+1,$EY279=$EV279),IF(OR(COUNTIF(#REF!,$B279)&gt;0,COUNTIF(#REF!,$B279)=0),"SKIP",IF(COUNTIFS(#REF!,$B279,#REF!,$DJ279)&gt;0,"OK","ONBEKEND")),IF(AND($EX279=$EU279,$EY279=$EV279+1),IF(OR(COUNTIF(#REF!,$D279)&gt;0,COUNTIF(#REF!,$D279)=0),"SKIP",IF(COUNTIFS(#REF!,$D279,#REF!,$DJ279)&gt;0,"OK","ONBEKEND")),"ONZEKER")))))</f>
        <v/>
      </c>
      <c r="DL279" t="str">
        <f t="shared" si="2102"/>
        <v/>
      </c>
      <c r="DM279" t="str">
        <f t="shared" si="2103"/>
        <v/>
      </c>
      <c r="DN279" t="str">
        <f t="shared" si="2104"/>
        <v/>
      </c>
      <c r="DO279" t="str">
        <f t="shared" si="2105"/>
        <v/>
      </c>
      <c r="DP279" t="str">
        <f t="shared" si="2106"/>
        <v/>
      </c>
      <c r="DQ279" t="str">
        <f t="shared" si="2107"/>
        <v/>
      </c>
      <c r="DR279" t="str">
        <f t="shared" si="2108"/>
        <v/>
      </c>
      <c r="DS279" t="str">
        <f t="shared" si="2109"/>
        <v/>
      </c>
      <c r="DT279" t="str">
        <f t="shared" si="2110"/>
        <v/>
      </c>
      <c r="DU279" t="str">
        <f t="shared" si="2111"/>
        <v/>
      </c>
      <c r="DV279" t="str">
        <f t="shared" si="2112"/>
        <v/>
      </c>
      <c r="DW279" t="str">
        <f t="shared" si="2113"/>
        <v/>
      </c>
      <c r="DX279" t="str">
        <f t="shared" si="2114"/>
        <v/>
      </c>
      <c r="DY279" t="str">
        <f t="shared" si="2115"/>
        <v/>
      </c>
      <c r="DZ279" t="str">
        <f t="shared" si="2116"/>
        <v/>
      </c>
      <c r="EA279" t="str">
        <f t="shared" si="2117"/>
        <v/>
      </c>
      <c r="EB279" t="str">
        <f t="shared" si="2118"/>
        <v/>
      </c>
      <c r="EC279" t="str">
        <f t="shared" si="2119"/>
        <v/>
      </c>
      <c r="ED279" t="str">
        <f t="shared" si="2120"/>
        <v/>
      </c>
      <c r="EE279" t="str">
        <f t="shared" si="2121"/>
        <v/>
      </c>
      <c r="EF279" t="str">
        <f t="shared" si="2122"/>
        <v/>
      </c>
      <c r="EG279" t="str">
        <f t="shared" si="2123"/>
        <v/>
      </c>
      <c r="EH279" t="str">
        <f t="shared" si="2124"/>
        <v/>
      </c>
      <c r="EI279" t="str">
        <f t="shared" si="2125"/>
        <v/>
      </c>
      <c r="EJ279" t="str">
        <f t="shared" si="2126"/>
        <v/>
      </c>
      <c r="EK279" t="str">
        <f t="shared" si="2127"/>
        <v/>
      </c>
      <c r="EL279" t="str">
        <f t="shared" si="2128"/>
        <v/>
      </c>
      <c r="EM279" t="str">
        <f t="shared" si="2129"/>
        <v/>
      </c>
      <c r="EN279" t="str">
        <f t="shared" si="2130"/>
        <v/>
      </c>
      <c r="EO279" t="str">
        <f t="shared" si="2131"/>
        <v/>
      </c>
      <c r="EP279" t="str">
        <f t="shared" si="2132"/>
        <v/>
      </c>
      <c r="EQ279" t="str">
        <f t="shared" si="2133"/>
        <v/>
      </c>
      <c r="ER279" t="str">
        <f t="shared" si="2134"/>
        <v/>
      </c>
      <c r="ES279" t="str">
        <f t="shared" si="2135"/>
        <v/>
      </c>
      <c r="ET279" t="str">
        <f t="shared" si="2136"/>
        <v/>
      </c>
      <c r="EU279" t="str">
        <f t="shared" si="2137"/>
        <v/>
      </c>
      <c r="EV279" t="str">
        <f t="shared" si="2138"/>
        <v/>
      </c>
      <c r="EW279" t="str">
        <f t="shared" si="2139"/>
        <v/>
      </c>
      <c r="EX279" t="str">
        <f t="shared" si="2140"/>
        <v/>
      </c>
      <c r="EY279" t="str">
        <f t="shared" si="2141"/>
        <v/>
      </c>
    </row>
    <row r="280" spans="1:155" ht="13.9" customHeight="1" x14ac:dyDescent="0.25">
      <c r="B280" s="23"/>
      <c r="D280" s="23"/>
      <c r="F280" s="18">
        <v>0</v>
      </c>
      <c r="G280" s="7" t="s">
        <v>147</v>
      </c>
      <c r="H280" s="18">
        <v>0</v>
      </c>
      <c r="I280" s="19">
        <v>0</v>
      </c>
      <c r="J280" s="7" t="s">
        <v>147</v>
      </c>
      <c r="K280" s="19">
        <v>0</v>
      </c>
      <c r="L280" s="9"/>
      <c r="M280" s="13" t="str">
        <f>IF($L280="","",IF($L280="DOELPUNTENMAKERS","",IF(AND(COUNTIF(#REF!,$B280)=0,COUNTIF(#REF!,$D280)=0),"OK",IF($O280&gt;20,"LET OP: meer dan 20 items (controle onvolledig)",IF((COUNTIF($R280:$AS280,"ONZEKER")+COUNTIF($CJ280:$DK280,"ONZEKER"))&gt;0,"LET OP: scoreverloop onduidelijk (controle beperkt)",IF((IF($AT280&lt;&gt;"",$AT280&amp;", ","")&amp;IF($AU280&lt;&gt;"",$AU280&amp;", ","")&amp;IF($AV280&lt;&gt;"",$AV280&amp;", ","")&amp;IF($AW280&lt;&gt;"",$AW280&amp;", ","")&amp;IF($AX280&lt;&gt;"",$AX280&amp;", ","")&amp;IF($AY280&lt;&gt;"",$AY280&amp;", ","")&amp;IF($AZ280&lt;&gt;"",$AZ280&amp;", ","")&amp;IF($BA280&lt;&gt;"",$BA280&amp;", ","")&amp;IF($BB280&lt;&gt;"",$BB280&amp;", ","")&amp;IF($BC280&lt;&gt;"",$BC280&amp;", ","")&amp;IF($DL280&lt;&gt;"",$DL280&amp;", ","")&amp;IF($DM280&lt;&gt;"",$DM280&amp;", ","")&amp;IF($DN280&lt;&gt;"",$DN280&amp;", ","")&amp;IF($DO280&lt;&gt;"",$DO280&amp;", ","")&amp;IF($DP280&lt;&gt;"",$DP280&amp;", ","")&amp;IF($DQ280&lt;&gt;"",$DQ280&amp;", ","")&amp;IF($DR280&lt;&gt;"",$DR280&amp;", ","")&amp;IF($DS280&lt;&gt;"",$DS280&amp;", ","")&amp;IF($DT280&lt;&gt;"",$DT280&amp;", ","")&amp;IF($DU280&lt;&gt;"",$DU280&amp;", ",""))="","OK","Onbekend: "&amp;LEFT((IF($AT280&lt;&gt;"",$AT280&amp;", ","")&amp;IF($AU280&lt;&gt;"",$AU280&amp;", ","")&amp;IF($AV280&lt;&gt;"",$AV280&amp;", ","")&amp;IF($AW280&lt;&gt;"",$AW280&amp;", ","")&amp;IF($AX280&lt;&gt;"",$AX280&amp;", ","")&amp;IF($AY280&lt;&gt;"",$AY280&amp;", ","")&amp;IF($AZ280&lt;&gt;"",$AZ280&amp;", ","")&amp;IF($BA280&lt;&gt;"",$BA280&amp;", ","")&amp;IF($BB280&lt;&gt;"",$BB280&amp;", ","")&amp;IF($BC280&lt;&gt;"",$BC280&amp;", ","")&amp;IF($DL280&lt;&gt;"",$DL280&amp;", ","")&amp;IF($DM280&lt;&gt;"",$DM280&amp;", ","")&amp;IF($DN280&lt;&gt;"",$DN280&amp;", ","")&amp;IF($DO280&lt;&gt;"",$DO280&amp;", ","")&amp;IF($DP280&lt;&gt;"",$DP280&amp;", ","")&amp;IF($DQ280&lt;&gt;"",$DQ280&amp;", ","")&amp;IF($DR280&lt;&gt;"",$DR280&amp;", ","")&amp;IF($DS280&lt;&gt;"",$DS280&amp;", ","")&amp;IF($DT280&lt;&gt;"",$DT280&amp;", ","")&amp;IF($DU280&lt;&gt;"",$DU280&amp;", ","")),LEN((IF($AT280&lt;&gt;"",$AT280&amp;", ","")&amp;IF($AU280&lt;&gt;"",$AU280&amp;", ","")&amp;IF($AV280&lt;&gt;"",$AV280&amp;", ","")&amp;IF($AW280&lt;&gt;"",$AW280&amp;", ","")&amp;IF($AX280&lt;&gt;"",$AX280&amp;", ","")&amp;IF($AY280&lt;&gt;"",$AY280&amp;", ","")&amp;IF($AZ280&lt;&gt;"",$AZ280&amp;", ","")&amp;IF($BA280&lt;&gt;"",$BA280&amp;", ","")&amp;IF($BB280&lt;&gt;"",$BB280&amp;", ","")&amp;IF($BC280&lt;&gt;"",$BC280&amp;", ","")&amp;IF($DL280&lt;&gt;"",$DL280&amp;", ","")&amp;IF($DM280&lt;&gt;"",$DM280&amp;", ","")&amp;IF($DN280&lt;&gt;"",$DN280&amp;", ","")&amp;IF($DO280&lt;&gt;"",$DO280&amp;", ","")&amp;IF($DP280&lt;&gt;"",$DP280&amp;", ","")&amp;IF($DQ280&lt;&gt;"",$DQ280&amp;", ","")&amp;IF($DR280&lt;&gt;"",$DR280&amp;", ","")&amp;IF($DS280&lt;&gt;"",$DS280&amp;", ","")&amp;IF($DT280&lt;&gt;"",$DT280&amp;", ","")&amp;IF($DU280&lt;&gt;"",$DU280&amp;", ","")))-2)))))))</f>
        <v/>
      </c>
      <c r="CH280" t="str">
        <f t="shared" si="2082"/>
        <v/>
      </c>
      <c r="CI280" t="str">
        <f t="shared" si="2083"/>
        <v/>
      </c>
      <c r="CJ280" t="str">
        <f>IF($CI280="","",IF(OR($DW280="",$DX280=""),"ONZEKER",IF(OR($CF280="",$CG280=""),"ONZEKER",IF(AND($DW280=$CF280+1,$DX280=$CG280),IF(OR(COUNTIF(#REF!,$B280)&gt;0,COUNTIF(#REF!,$B280)=0),"SKIP",IF(COUNTIFS(#REF!,$B280,#REF!,$CI280)&gt;0,"OK","ONBEKEND")),IF(AND($DW280=$CF280,$DX280=$CG280+1),IF(OR(COUNTIF(#REF!,$D280)&gt;0,COUNTIF(#REF!,$D280)=0),"SKIP",IF(COUNTIFS(#REF!,$D280,#REF!,$CI280)&gt;0,"OK","ONBEKEND")),"ONZEKER")))))</f>
        <v/>
      </c>
      <c r="CK280" t="str">
        <f t="shared" si="2084"/>
        <v/>
      </c>
      <c r="CL280" t="str">
        <f t="shared" si="2085"/>
        <v/>
      </c>
      <c r="CM280" t="str">
        <f>IF($CL280="","",IF(OR($DZ280="",$EA280=""),"ONZEKER",IF(OR($DW280="",$DX280=""),"ONZEKER",IF(AND($DZ280=$DW280+1,$EA280=$DX280),IF(OR(COUNTIF(#REF!,$B280)&gt;0,COUNTIF(#REF!,$B280)=0),"SKIP",IF(COUNTIFS(#REF!,$B280,#REF!,$CL280)&gt;0,"OK","ONBEKEND")),IF(AND($DZ280=$DW280,$EA280=$DX280+1),IF(OR(COUNTIF(#REF!,$D280)&gt;0,COUNTIF(#REF!,$D280)=0),"SKIP",IF(COUNTIFS(#REF!,$D280,#REF!,$CL280)&gt;0,"OK","ONBEKEND")),"ONZEKER")))))</f>
        <v/>
      </c>
      <c r="CN280" t="str">
        <f t="shared" si="2086"/>
        <v/>
      </c>
      <c r="CO280" t="str">
        <f t="shared" si="2087"/>
        <v/>
      </c>
      <c r="CP280" t="str">
        <f>IF($CO280="","",IF(OR($EC280="",$ED280=""),"ONZEKER",IF(OR($DZ280="",$EA280=""),"ONZEKER",IF(AND($EC280=$DZ280+1,$ED280=$EA280),IF(OR(COUNTIF(#REF!,$B280)&gt;0,COUNTIF(#REF!,$B280)=0),"SKIP",IF(COUNTIFS(#REF!,$B280,#REF!,$CO280)&gt;0,"OK","ONBEKEND")),IF(AND($EC280=$DZ280,$ED280=$EA280+1),IF(OR(COUNTIF(#REF!,$D280)&gt;0,COUNTIF(#REF!,$D280)=0),"SKIP",IF(COUNTIFS(#REF!,$D280,#REF!,$CO280)&gt;0,"OK","ONBEKEND")),"ONZEKER")))))</f>
        <v/>
      </c>
      <c r="CQ280" t="str">
        <f t="shared" si="2088"/>
        <v/>
      </c>
      <c r="CR280" t="str">
        <f t="shared" si="2089"/>
        <v/>
      </c>
      <c r="CS280" t="str">
        <f>IF($CR280="","",IF(OR($EF280="",$EG280=""),"ONZEKER",IF(OR($EC280="",$ED280=""),"ONZEKER",IF(AND($EF280=$EC280+1,$EG280=$ED280),IF(OR(COUNTIF(#REF!,$B280)&gt;0,COUNTIF(#REF!,$B280)=0),"SKIP",IF(COUNTIFS(#REF!,$B280,#REF!,$CR280)&gt;0,"OK","ONBEKEND")),IF(AND($EF280=$EC280,$EG280=$ED280+1),IF(OR(COUNTIF(#REF!,$D280)&gt;0,COUNTIF(#REF!,$D280)=0),"SKIP",IF(COUNTIFS(#REF!,$D280,#REF!,$CR280)&gt;0,"OK","ONBEKEND")),"ONZEKER")))))</f>
        <v/>
      </c>
      <c r="CT280" t="str">
        <f t="shared" si="2090"/>
        <v/>
      </c>
      <c r="CU280" t="str">
        <f t="shared" si="2091"/>
        <v/>
      </c>
      <c r="CV280" t="str">
        <f>IF($CU280="","",IF(OR($EI280="",$EJ280=""),"ONZEKER",IF(OR($EF280="",$EG280=""),"ONZEKER",IF(AND($EI280=$EF280+1,$EJ280=$EG280),IF(OR(COUNTIF(#REF!,$B280)&gt;0,COUNTIF(#REF!,$B280)=0),"SKIP",IF(COUNTIFS(#REF!,$B280,#REF!,$CU280)&gt;0,"OK","ONBEKEND")),IF(AND($EI280=$EF280,$EJ280=$EG280+1),IF(OR(COUNTIF(#REF!,$D280)&gt;0,COUNTIF(#REF!,$D280)=0),"SKIP",IF(COUNTIFS(#REF!,$D280,#REF!,$CU280)&gt;0,"OK","ONBEKEND")),"ONZEKER")))))</f>
        <v/>
      </c>
      <c r="CW280" t="str">
        <f t="shared" si="2092"/>
        <v/>
      </c>
      <c r="CX280" t="str">
        <f t="shared" si="2093"/>
        <v/>
      </c>
      <c r="CY280" t="str">
        <f>IF($CX280="","",IF(OR($EL280="",$EM280=""),"ONZEKER",IF(OR($EI280="",$EJ280=""),"ONZEKER",IF(AND($EL280=$EI280+1,$EM280=$EJ280),IF(OR(COUNTIF(#REF!,$B280)&gt;0,COUNTIF(#REF!,$B280)=0),"SKIP",IF(COUNTIFS(#REF!,$B280,#REF!,$CX280)&gt;0,"OK","ONBEKEND")),IF(AND($EL280=$EI280,$EM280=$EJ280+1),IF(OR(COUNTIF(#REF!,$D280)&gt;0,COUNTIF(#REF!,$D280)=0),"SKIP",IF(COUNTIFS(#REF!,$D280,#REF!,$CX280)&gt;0,"OK","ONBEKEND")),"ONZEKER")))))</f>
        <v/>
      </c>
      <c r="CZ280" t="str">
        <f t="shared" si="2094"/>
        <v/>
      </c>
      <c r="DA280" t="str">
        <f t="shared" si="2095"/>
        <v/>
      </c>
      <c r="DB280" t="str">
        <f>IF($DA280="","",IF(OR($EO280="",$EP280=""),"ONZEKER",IF(OR($EL280="",$EM280=""),"ONZEKER",IF(AND($EO280=$EL280+1,$EP280=$EM280),IF(OR(COUNTIF(#REF!,$B280)&gt;0,COUNTIF(#REF!,$B280)=0),"SKIP",IF(COUNTIFS(#REF!,$B280,#REF!,$DA280)&gt;0,"OK","ONBEKEND")),IF(AND($EO280=$EL280,$EP280=$EM280+1),IF(OR(COUNTIF(#REF!,$D280)&gt;0,COUNTIF(#REF!,$D280)=0),"SKIP",IF(COUNTIFS(#REF!,$D280,#REF!,$DA280)&gt;0,"OK","ONBEKEND")),"ONZEKER")))))</f>
        <v/>
      </c>
      <c r="DC280" t="str">
        <f t="shared" si="2096"/>
        <v/>
      </c>
      <c r="DD280" t="str">
        <f t="shared" si="2097"/>
        <v/>
      </c>
      <c r="DE280" t="str">
        <f>IF($DD280="","",IF(OR($ER280="",$ES280=""),"ONZEKER",IF(OR($EO280="",$EP280=""),"ONZEKER",IF(AND($ER280=$EO280+1,$ES280=$EP280),IF(OR(COUNTIF(#REF!,$B280)&gt;0,COUNTIF(#REF!,$B280)=0),"SKIP",IF(COUNTIFS(#REF!,$B280,#REF!,$DD280)&gt;0,"OK","ONBEKEND")),IF(AND($ER280=$EO280,$ES280=$EP280+1),IF(OR(COUNTIF(#REF!,$D280)&gt;0,COUNTIF(#REF!,$D280)=0),"SKIP",IF(COUNTIFS(#REF!,$D280,#REF!,$DD280)&gt;0,"OK","ONBEKEND")),"ONZEKER")))))</f>
        <v/>
      </c>
      <c r="DF280" t="str">
        <f t="shared" si="2098"/>
        <v/>
      </c>
      <c r="DG280" t="str">
        <f t="shared" si="2099"/>
        <v/>
      </c>
      <c r="DH280" t="str">
        <f>IF($DG280="","",IF(OR($EU280="",$EV280=""),"ONZEKER",IF(OR($ER280="",$ES280=""),"ONZEKER",IF(AND($EU280=$ER280+1,$EV280=$ES280),IF(OR(COUNTIF(#REF!,$B280)&gt;0,COUNTIF(#REF!,$B280)=0),"SKIP",IF(COUNTIFS(#REF!,$B280,#REF!,$DG280)&gt;0,"OK","ONBEKEND")),IF(AND($EU280=$ER280,$EV280=$ES280+1),IF(OR(COUNTIF(#REF!,$D280)&gt;0,COUNTIF(#REF!,$D280)=0),"SKIP",IF(COUNTIFS(#REF!,$D280,#REF!,$DG280)&gt;0,"OK","ONBEKEND")),"ONZEKER")))))</f>
        <v/>
      </c>
      <c r="DI280" t="str">
        <f t="shared" si="2100"/>
        <v/>
      </c>
      <c r="DJ280" t="str">
        <f t="shared" si="2101"/>
        <v/>
      </c>
      <c r="DK280" t="str">
        <f>IF($DJ280="","",IF(OR($EX280="",$EY280=""),"ONZEKER",IF(OR($EU280="",$EV280=""),"ONZEKER",IF(AND($EX280=$EU280+1,$EY280=$EV280),IF(OR(COUNTIF(#REF!,$B280)&gt;0,COUNTIF(#REF!,$B280)=0),"SKIP",IF(COUNTIFS(#REF!,$B280,#REF!,$DJ280)&gt;0,"OK","ONBEKEND")),IF(AND($EX280=$EU280,$EY280=$EV280+1),IF(OR(COUNTIF(#REF!,$D280)&gt;0,COUNTIF(#REF!,$D280)=0),"SKIP",IF(COUNTIFS(#REF!,$D280,#REF!,$DJ280)&gt;0,"OK","ONBEKEND")),"ONZEKER")))))</f>
        <v/>
      </c>
      <c r="DL280" t="str">
        <f t="shared" si="2102"/>
        <v/>
      </c>
      <c r="DM280" t="str">
        <f t="shared" si="2103"/>
        <v/>
      </c>
      <c r="DN280" t="str">
        <f t="shared" si="2104"/>
        <v/>
      </c>
      <c r="DO280" t="str">
        <f t="shared" si="2105"/>
        <v/>
      </c>
      <c r="DP280" t="str">
        <f t="shared" si="2106"/>
        <v/>
      </c>
      <c r="DQ280" t="str">
        <f t="shared" si="2107"/>
        <v/>
      </c>
      <c r="DR280" t="str">
        <f t="shared" si="2108"/>
        <v/>
      </c>
      <c r="DS280" t="str">
        <f t="shared" si="2109"/>
        <v/>
      </c>
      <c r="DT280" t="str">
        <f t="shared" si="2110"/>
        <v/>
      </c>
      <c r="DU280" t="str">
        <f t="shared" si="2111"/>
        <v/>
      </c>
      <c r="DV280" t="str">
        <f t="shared" si="2112"/>
        <v/>
      </c>
      <c r="DW280" t="str">
        <f t="shared" si="2113"/>
        <v/>
      </c>
      <c r="DX280" t="str">
        <f t="shared" si="2114"/>
        <v/>
      </c>
      <c r="DY280" t="str">
        <f t="shared" si="2115"/>
        <v/>
      </c>
      <c r="DZ280" t="str">
        <f t="shared" si="2116"/>
        <v/>
      </c>
      <c r="EA280" t="str">
        <f t="shared" si="2117"/>
        <v/>
      </c>
      <c r="EB280" t="str">
        <f t="shared" si="2118"/>
        <v/>
      </c>
      <c r="EC280" t="str">
        <f t="shared" si="2119"/>
        <v/>
      </c>
      <c r="ED280" t="str">
        <f t="shared" si="2120"/>
        <v/>
      </c>
      <c r="EE280" t="str">
        <f t="shared" si="2121"/>
        <v/>
      </c>
      <c r="EF280" t="str">
        <f t="shared" si="2122"/>
        <v/>
      </c>
      <c r="EG280" t="str">
        <f t="shared" si="2123"/>
        <v/>
      </c>
      <c r="EH280" t="str">
        <f t="shared" si="2124"/>
        <v/>
      </c>
      <c r="EI280" t="str">
        <f t="shared" si="2125"/>
        <v/>
      </c>
      <c r="EJ280" t="str">
        <f t="shared" si="2126"/>
        <v/>
      </c>
      <c r="EK280" t="str">
        <f t="shared" si="2127"/>
        <v/>
      </c>
      <c r="EL280" t="str">
        <f t="shared" si="2128"/>
        <v/>
      </c>
      <c r="EM280" t="str">
        <f t="shared" si="2129"/>
        <v/>
      </c>
      <c r="EN280" t="str">
        <f t="shared" si="2130"/>
        <v/>
      </c>
      <c r="EO280" t="str">
        <f t="shared" si="2131"/>
        <v/>
      </c>
      <c r="EP280" t="str">
        <f t="shared" si="2132"/>
        <v/>
      </c>
      <c r="EQ280" t="str">
        <f t="shared" si="2133"/>
        <v/>
      </c>
      <c r="ER280" t="str">
        <f t="shared" si="2134"/>
        <v/>
      </c>
      <c r="ES280" t="str">
        <f t="shared" si="2135"/>
        <v/>
      </c>
      <c r="ET280" t="str">
        <f t="shared" si="2136"/>
        <v/>
      </c>
      <c r="EU280" t="str">
        <f t="shared" si="2137"/>
        <v/>
      </c>
      <c r="EV280" t="str">
        <f t="shared" si="2138"/>
        <v/>
      </c>
      <c r="EW280" t="str">
        <f t="shared" si="2139"/>
        <v/>
      </c>
      <c r="EX280" t="str">
        <f t="shared" si="2140"/>
        <v/>
      </c>
      <c r="EY280" t="str">
        <f t="shared" si="2141"/>
        <v/>
      </c>
    </row>
    <row r="281" spans="1:155" ht="13.9" customHeight="1" x14ac:dyDescent="0.25">
      <c r="B281" s="23"/>
      <c r="D281" s="23"/>
      <c r="F281" s="18">
        <v>0</v>
      </c>
      <c r="G281" s="7" t="s">
        <v>147</v>
      </c>
      <c r="H281" s="18">
        <v>0</v>
      </c>
      <c r="I281" s="19">
        <v>0</v>
      </c>
      <c r="J281" s="7" t="s">
        <v>147</v>
      </c>
      <c r="K281" s="19">
        <v>0</v>
      </c>
      <c r="L281" s="9"/>
      <c r="M281" s="13" t="str">
        <f>IF($L281="","",IF($L281="DOELPUNTENMAKERS","",IF(AND(COUNTIF(#REF!,$B281)=0,COUNTIF(#REF!,$D281)=0),"OK",IF($O281&gt;20,"LET OP: meer dan 20 items (controle onvolledig)",IF((COUNTIF($R281:$AS281,"ONZEKER")+COUNTIF($CJ281:$DK281,"ONZEKER"))&gt;0,"LET OP: scoreverloop onduidelijk (controle beperkt)",IF((IF($AT281&lt;&gt;"",$AT281&amp;", ","")&amp;IF($AU281&lt;&gt;"",$AU281&amp;", ","")&amp;IF($AV281&lt;&gt;"",$AV281&amp;", ","")&amp;IF($AW281&lt;&gt;"",$AW281&amp;", ","")&amp;IF($AX281&lt;&gt;"",$AX281&amp;", ","")&amp;IF($AY281&lt;&gt;"",$AY281&amp;", ","")&amp;IF($AZ281&lt;&gt;"",$AZ281&amp;", ","")&amp;IF($BA281&lt;&gt;"",$BA281&amp;", ","")&amp;IF($BB281&lt;&gt;"",$BB281&amp;", ","")&amp;IF($BC281&lt;&gt;"",$BC281&amp;", ","")&amp;IF($DL281&lt;&gt;"",$DL281&amp;", ","")&amp;IF($DM281&lt;&gt;"",$DM281&amp;", ","")&amp;IF($DN281&lt;&gt;"",$DN281&amp;", ","")&amp;IF($DO281&lt;&gt;"",$DO281&amp;", ","")&amp;IF($DP281&lt;&gt;"",$DP281&amp;", ","")&amp;IF($DQ281&lt;&gt;"",$DQ281&amp;", ","")&amp;IF($DR281&lt;&gt;"",$DR281&amp;", ","")&amp;IF($DS281&lt;&gt;"",$DS281&amp;", ","")&amp;IF($DT281&lt;&gt;"",$DT281&amp;", ","")&amp;IF($DU281&lt;&gt;"",$DU281&amp;", ",""))="","OK","Onbekend: "&amp;LEFT((IF($AT281&lt;&gt;"",$AT281&amp;", ","")&amp;IF($AU281&lt;&gt;"",$AU281&amp;", ","")&amp;IF($AV281&lt;&gt;"",$AV281&amp;", ","")&amp;IF($AW281&lt;&gt;"",$AW281&amp;", ","")&amp;IF($AX281&lt;&gt;"",$AX281&amp;", ","")&amp;IF($AY281&lt;&gt;"",$AY281&amp;", ","")&amp;IF($AZ281&lt;&gt;"",$AZ281&amp;", ","")&amp;IF($BA281&lt;&gt;"",$BA281&amp;", ","")&amp;IF($BB281&lt;&gt;"",$BB281&amp;", ","")&amp;IF($BC281&lt;&gt;"",$BC281&amp;", ","")&amp;IF($DL281&lt;&gt;"",$DL281&amp;", ","")&amp;IF($DM281&lt;&gt;"",$DM281&amp;", ","")&amp;IF($DN281&lt;&gt;"",$DN281&amp;", ","")&amp;IF($DO281&lt;&gt;"",$DO281&amp;", ","")&amp;IF($DP281&lt;&gt;"",$DP281&amp;", ","")&amp;IF($DQ281&lt;&gt;"",$DQ281&amp;", ","")&amp;IF($DR281&lt;&gt;"",$DR281&amp;", ","")&amp;IF($DS281&lt;&gt;"",$DS281&amp;", ","")&amp;IF($DT281&lt;&gt;"",$DT281&amp;", ","")&amp;IF($DU281&lt;&gt;"",$DU281&amp;", ","")),LEN((IF($AT281&lt;&gt;"",$AT281&amp;", ","")&amp;IF($AU281&lt;&gt;"",$AU281&amp;", ","")&amp;IF($AV281&lt;&gt;"",$AV281&amp;", ","")&amp;IF($AW281&lt;&gt;"",$AW281&amp;", ","")&amp;IF($AX281&lt;&gt;"",$AX281&amp;", ","")&amp;IF($AY281&lt;&gt;"",$AY281&amp;", ","")&amp;IF($AZ281&lt;&gt;"",$AZ281&amp;", ","")&amp;IF($BA281&lt;&gt;"",$BA281&amp;", ","")&amp;IF($BB281&lt;&gt;"",$BB281&amp;", ","")&amp;IF($BC281&lt;&gt;"",$BC281&amp;", ","")&amp;IF($DL281&lt;&gt;"",$DL281&amp;", ","")&amp;IF($DM281&lt;&gt;"",$DM281&amp;", ","")&amp;IF($DN281&lt;&gt;"",$DN281&amp;", ","")&amp;IF($DO281&lt;&gt;"",$DO281&amp;", ","")&amp;IF($DP281&lt;&gt;"",$DP281&amp;", ","")&amp;IF($DQ281&lt;&gt;"",$DQ281&amp;", ","")&amp;IF($DR281&lt;&gt;"",$DR281&amp;", ","")&amp;IF($DS281&lt;&gt;"",$DS281&amp;", ","")&amp;IF($DT281&lt;&gt;"",$DT281&amp;", ","")&amp;IF($DU281&lt;&gt;"",$DU281&amp;", ","")))-2)))))))</f>
        <v/>
      </c>
      <c r="CH281" t="str">
        <f t="shared" si="2082"/>
        <v/>
      </c>
      <c r="CI281" t="str">
        <f t="shared" si="2083"/>
        <v/>
      </c>
      <c r="CJ281" t="str">
        <f>IF($CI281="","",IF(OR($DW281="",$DX281=""),"ONZEKER",IF(OR($CF281="",$CG281=""),"ONZEKER",IF(AND($DW281=$CF281+1,$DX281=$CG281),IF(OR(COUNTIF(#REF!,$B281)&gt;0,COUNTIF(#REF!,$B281)=0),"SKIP",IF(COUNTIFS(#REF!,$B281,#REF!,$CI281)&gt;0,"OK","ONBEKEND")),IF(AND($DW281=$CF281,$DX281=$CG281+1),IF(OR(COUNTIF(#REF!,$D281)&gt;0,COUNTIF(#REF!,$D281)=0),"SKIP",IF(COUNTIFS(#REF!,$D281,#REF!,$CI281)&gt;0,"OK","ONBEKEND")),"ONZEKER")))))</f>
        <v/>
      </c>
      <c r="CK281" t="str">
        <f t="shared" si="2084"/>
        <v/>
      </c>
      <c r="CL281" t="str">
        <f t="shared" si="2085"/>
        <v/>
      </c>
      <c r="CM281" t="str">
        <f>IF($CL281="","",IF(OR($DZ281="",$EA281=""),"ONZEKER",IF(OR($DW281="",$DX281=""),"ONZEKER",IF(AND($DZ281=$DW281+1,$EA281=$DX281),IF(OR(COUNTIF(#REF!,$B281)&gt;0,COUNTIF(#REF!,$B281)=0),"SKIP",IF(COUNTIFS(#REF!,$B281,#REF!,$CL281)&gt;0,"OK","ONBEKEND")),IF(AND($DZ281=$DW281,$EA281=$DX281+1),IF(OR(COUNTIF(#REF!,$D281)&gt;0,COUNTIF(#REF!,$D281)=0),"SKIP",IF(COUNTIFS(#REF!,$D281,#REF!,$CL281)&gt;0,"OK","ONBEKEND")),"ONZEKER")))))</f>
        <v/>
      </c>
      <c r="CN281" t="str">
        <f t="shared" si="2086"/>
        <v/>
      </c>
      <c r="CO281" t="str">
        <f t="shared" si="2087"/>
        <v/>
      </c>
      <c r="CP281" t="str">
        <f>IF($CO281="","",IF(OR($EC281="",$ED281=""),"ONZEKER",IF(OR($DZ281="",$EA281=""),"ONZEKER",IF(AND($EC281=$DZ281+1,$ED281=$EA281),IF(OR(COUNTIF(#REF!,$B281)&gt;0,COUNTIF(#REF!,$B281)=0),"SKIP",IF(COUNTIFS(#REF!,$B281,#REF!,$CO281)&gt;0,"OK","ONBEKEND")),IF(AND($EC281=$DZ281,$ED281=$EA281+1),IF(OR(COUNTIF(#REF!,$D281)&gt;0,COUNTIF(#REF!,$D281)=0),"SKIP",IF(COUNTIFS(#REF!,$D281,#REF!,$CO281)&gt;0,"OK","ONBEKEND")),"ONZEKER")))))</f>
        <v/>
      </c>
      <c r="CQ281" t="str">
        <f t="shared" si="2088"/>
        <v/>
      </c>
      <c r="CR281" t="str">
        <f t="shared" si="2089"/>
        <v/>
      </c>
      <c r="CS281" t="str">
        <f>IF($CR281="","",IF(OR($EF281="",$EG281=""),"ONZEKER",IF(OR($EC281="",$ED281=""),"ONZEKER",IF(AND($EF281=$EC281+1,$EG281=$ED281),IF(OR(COUNTIF(#REF!,$B281)&gt;0,COUNTIF(#REF!,$B281)=0),"SKIP",IF(COUNTIFS(#REF!,$B281,#REF!,$CR281)&gt;0,"OK","ONBEKEND")),IF(AND($EF281=$EC281,$EG281=$ED281+1),IF(OR(COUNTIF(#REF!,$D281)&gt;0,COUNTIF(#REF!,$D281)=0),"SKIP",IF(COUNTIFS(#REF!,$D281,#REF!,$CR281)&gt;0,"OK","ONBEKEND")),"ONZEKER")))))</f>
        <v/>
      </c>
      <c r="CT281" t="str">
        <f t="shared" si="2090"/>
        <v/>
      </c>
      <c r="CU281" t="str">
        <f t="shared" si="2091"/>
        <v/>
      </c>
      <c r="CV281" t="str">
        <f>IF($CU281="","",IF(OR($EI281="",$EJ281=""),"ONZEKER",IF(OR($EF281="",$EG281=""),"ONZEKER",IF(AND($EI281=$EF281+1,$EJ281=$EG281),IF(OR(COUNTIF(#REF!,$B281)&gt;0,COUNTIF(#REF!,$B281)=0),"SKIP",IF(COUNTIFS(#REF!,$B281,#REF!,$CU281)&gt;0,"OK","ONBEKEND")),IF(AND($EI281=$EF281,$EJ281=$EG281+1),IF(OR(COUNTIF(#REF!,$D281)&gt;0,COUNTIF(#REF!,$D281)=0),"SKIP",IF(COUNTIFS(#REF!,$D281,#REF!,$CU281)&gt;0,"OK","ONBEKEND")),"ONZEKER")))))</f>
        <v/>
      </c>
      <c r="CW281" t="str">
        <f t="shared" si="2092"/>
        <v/>
      </c>
      <c r="CX281" t="str">
        <f t="shared" si="2093"/>
        <v/>
      </c>
      <c r="CY281" t="str">
        <f>IF($CX281="","",IF(OR($EL281="",$EM281=""),"ONZEKER",IF(OR($EI281="",$EJ281=""),"ONZEKER",IF(AND($EL281=$EI281+1,$EM281=$EJ281),IF(OR(COUNTIF(#REF!,$B281)&gt;0,COUNTIF(#REF!,$B281)=0),"SKIP",IF(COUNTIFS(#REF!,$B281,#REF!,$CX281)&gt;0,"OK","ONBEKEND")),IF(AND($EL281=$EI281,$EM281=$EJ281+1),IF(OR(COUNTIF(#REF!,$D281)&gt;0,COUNTIF(#REF!,$D281)=0),"SKIP",IF(COUNTIFS(#REF!,$D281,#REF!,$CX281)&gt;0,"OK","ONBEKEND")),"ONZEKER")))))</f>
        <v/>
      </c>
      <c r="CZ281" t="str">
        <f t="shared" si="2094"/>
        <v/>
      </c>
      <c r="DA281" t="str">
        <f t="shared" si="2095"/>
        <v/>
      </c>
      <c r="DB281" t="str">
        <f>IF($DA281="","",IF(OR($EO281="",$EP281=""),"ONZEKER",IF(OR($EL281="",$EM281=""),"ONZEKER",IF(AND($EO281=$EL281+1,$EP281=$EM281),IF(OR(COUNTIF(#REF!,$B281)&gt;0,COUNTIF(#REF!,$B281)=0),"SKIP",IF(COUNTIFS(#REF!,$B281,#REF!,$DA281)&gt;0,"OK","ONBEKEND")),IF(AND($EO281=$EL281,$EP281=$EM281+1),IF(OR(COUNTIF(#REF!,$D281)&gt;0,COUNTIF(#REF!,$D281)=0),"SKIP",IF(COUNTIFS(#REF!,$D281,#REF!,$DA281)&gt;0,"OK","ONBEKEND")),"ONZEKER")))))</f>
        <v/>
      </c>
      <c r="DC281" t="str">
        <f t="shared" si="2096"/>
        <v/>
      </c>
      <c r="DD281" t="str">
        <f t="shared" si="2097"/>
        <v/>
      </c>
      <c r="DE281" t="str">
        <f>IF($DD281="","",IF(OR($ER281="",$ES281=""),"ONZEKER",IF(OR($EO281="",$EP281=""),"ONZEKER",IF(AND($ER281=$EO281+1,$ES281=$EP281),IF(OR(COUNTIF(#REF!,$B281)&gt;0,COUNTIF(#REF!,$B281)=0),"SKIP",IF(COUNTIFS(#REF!,$B281,#REF!,$DD281)&gt;0,"OK","ONBEKEND")),IF(AND($ER281=$EO281,$ES281=$EP281+1),IF(OR(COUNTIF(#REF!,$D281)&gt;0,COUNTIF(#REF!,$D281)=0),"SKIP",IF(COUNTIFS(#REF!,$D281,#REF!,$DD281)&gt;0,"OK","ONBEKEND")),"ONZEKER")))))</f>
        <v/>
      </c>
      <c r="DF281" t="str">
        <f t="shared" si="2098"/>
        <v/>
      </c>
      <c r="DG281" t="str">
        <f t="shared" si="2099"/>
        <v/>
      </c>
      <c r="DH281" t="str">
        <f>IF($DG281="","",IF(OR($EU281="",$EV281=""),"ONZEKER",IF(OR($ER281="",$ES281=""),"ONZEKER",IF(AND($EU281=$ER281+1,$EV281=$ES281),IF(OR(COUNTIF(#REF!,$B281)&gt;0,COUNTIF(#REF!,$B281)=0),"SKIP",IF(COUNTIFS(#REF!,$B281,#REF!,$DG281)&gt;0,"OK","ONBEKEND")),IF(AND($EU281=$ER281,$EV281=$ES281+1),IF(OR(COUNTIF(#REF!,$D281)&gt;0,COUNTIF(#REF!,$D281)=0),"SKIP",IF(COUNTIFS(#REF!,$D281,#REF!,$DG281)&gt;0,"OK","ONBEKEND")),"ONZEKER")))))</f>
        <v/>
      </c>
      <c r="DI281" t="str">
        <f t="shared" si="2100"/>
        <v/>
      </c>
      <c r="DJ281" t="str">
        <f t="shared" si="2101"/>
        <v/>
      </c>
      <c r="DK281" t="str">
        <f>IF($DJ281="","",IF(OR($EX281="",$EY281=""),"ONZEKER",IF(OR($EU281="",$EV281=""),"ONZEKER",IF(AND($EX281=$EU281+1,$EY281=$EV281),IF(OR(COUNTIF(#REF!,$B281)&gt;0,COUNTIF(#REF!,$B281)=0),"SKIP",IF(COUNTIFS(#REF!,$B281,#REF!,$DJ281)&gt;0,"OK","ONBEKEND")),IF(AND($EX281=$EU281,$EY281=$EV281+1),IF(OR(COUNTIF(#REF!,$D281)&gt;0,COUNTIF(#REF!,$D281)=0),"SKIP",IF(COUNTIFS(#REF!,$D281,#REF!,$DJ281)&gt;0,"OK","ONBEKEND")),"ONZEKER")))))</f>
        <v/>
      </c>
      <c r="DL281" t="str">
        <f t="shared" si="2102"/>
        <v/>
      </c>
      <c r="DM281" t="str">
        <f t="shared" si="2103"/>
        <v/>
      </c>
      <c r="DN281" t="str">
        <f t="shared" si="2104"/>
        <v/>
      </c>
      <c r="DO281" t="str">
        <f t="shared" si="2105"/>
        <v/>
      </c>
      <c r="DP281" t="str">
        <f t="shared" si="2106"/>
        <v/>
      </c>
      <c r="DQ281" t="str">
        <f t="shared" si="2107"/>
        <v/>
      </c>
      <c r="DR281" t="str">
        <f t="shared" si="2108"/>
        <v/>
      </c>
      <c r="DS281" t="str">
        <f t="shared" si="2109"/>
        <v/>
      </c>
      <c r="DT281" t="str">
        <f t="shared" si="2110"/>
        <v/>
      </c>
      <c r="DU281" t="str">
        <f t="shared" si="2111"/>
        <v/>
      </c>
      <c r="DV281" t="str">
        <f t="shared" si="2112"/>
        <v/>
      </c>
      <c r="DW281" t="str">
        <f t="shared" si="2113"/>
        <v/>
      </c>
      <c r="DX281" t="str">
        <f t="shared" si="2114"/>
        <v/>
      </c>
      <c r="DY281" t="str">
        <f t="shared" si="2115"/>
        <v/>
      </c>
      <c r="DZ281" t="str">
        <f t="shared" si="2116"/>
        <v/>
      </c>
      <c r="EA281" t="str">
        <f t="shared" si="2117"/>
        <v/>
      </c>
      <c r="EB281" t="str">
        <f t="shared" si="2118"/>
        <v/>
      </c>
      <c r="EC281" t="str">
        <f t="shared" si="2119"/>
        <v/>
      </c>
      <c r="ED281" t="str">
        <f t="shared" si="2120"/>
        <v/>
      </c>
      <c r="EE281" t="str">
        <f t="shared" si="2121"/>
        <v/>
      </c>
      <c r="EF281" t="str">
        <f t="shared" si="2122"/>
        <v/>
      </c>
      <c r="EG281" t="str">
        <f t="shared" si="2123"/>
        <v/>
      </c>
      <c r="EH281" t="str">
        <f t="shared" si="2124"/>
        <v/>
      </c>
      <c r="EI281" t="str">
        <f t="shared" si="2125"/>
        <v/>
      </c>
      <c r="EJ281" t="str">
        <f t="shared" si="2126"/>
        <v/>
      </c>
      <c r="EK281" t="str">
        <f t="shared" si="2127"/>
        <v/>
      </c>
      <c r="EL281" t="str">
        <f t="shared" si="2128"/>
        <v/>
      </c>
      <c r="EM281" t="str">
        <f t="shared" si="2129"/>
        <v/>
      </c>
      <c r="EN281" t="str">
        <f t="shared" si="2130"/>
        <v/>
      </c>
      <c r="EO281" t="str">
        <f t="shared" si="2131"/>
        <v/>
      </c>
      <c r="EP281" t="str">
        <f t="shared" si="2132"/>
        <v/>
      </c>
      <c r="EQ281" t="str">
        <f t="shared" si="2133"/>
        <v/>
      </c>
      <c r="ER281" t="str">
        <f t="shared" si="2134"/>
        <v/>
      </c>
      <c r="ES281" t="str">
        <f t="shared" si="2135"/>
        <v/>
      </c>
      <c r="ET281" t="str">
        <f t="shared" si="2136"/>
        <v/>
      </c>
      <c r="EU281" t="str">
        <f t="shared" si="2137"/>
        <v/>
      </c>
      <c r="EV281" t="str">
        <f t="shared" si="2138"/>
        <v/>
      </c>
      <c r="EW281" t="str">
        <f t="shared" si="2139"/>
        <v/>
      </c>
      <c r="EX281" t="str">
        <f t="shared" si="2140"/>
        <v/>
      </c>
      <c r="EY281" t="str">
        <f t="shared" si="2141"/>
        <v/>
      </c>
    </row>
    <row r="282" spans="1:155" ht="13.9" customHeight="1" x14ac:dyDescent="0.25">
      <c r="B282" s="23"/>
      <c r="D282" s="23"/>
      <c r="F282" s="18">
        <v>0</v>
      </c>
      <c r="G282" s="7" t="s">
        <v>147</v>
      </c>
      <c r="H282" s="18">
        <v>0</v>
      </c>
      <c r="I282" s="19">
        <v>0</v>
      </c>
      <c r="J282" s="7" t="s">
        <v>147</v>
      </c>
      <c r="K282" s="19">
        <v>0</v>
      </c>
      <c r="L282" s="9"/>
      <c r="M282" s="13" t="str">
        <f>IF($L282="","",IF($L282="DOELPUNTENMAKERS","",IF(AND(COUNTIF(#REF!,$B282)=0,COUNTIF(#REF!,$D282)=0),"OK",IF($O282&gt;20,"LET OP: meer dan 20 items (controle onvolledig)",IF((COUNTIF($R282:$AS282,"ONZEKER")+COUNTIF($CJ282:$DK282,"ONZEKER"))&gt;0,"LET OP: scoreverloop onduidelijk (controle beperkt)",IF((IF($AT282&lt;&gt;"",$AT282&amp;", ","")&amp;IF($AU282&lt;&gt;"",$AU282&amp;", ","")&amp;IF($AV282&lt;&gt;"",$AV282&amp;", ","")&amp;IF($AW282&lt;&gt;"",$AW282&amp;", ","")&amp;IF($AX282&lt;&gt;"",$AX282&amp;", ","")&amp;IF($AY282&lt;&gt;"",$AY282&amp;", ","")&amp;IF($AZ282&lt;&gt;"",$AZ282&amp;", ","")&amp;IF($BA282&lt;&gt;"",$BA282&amp;", ","")&amp;IF($BB282&lt;&gt;"",$BB282&amp;", ","")&amp;IF($BC282&lt;&gt;"",$BC282&amp;", ","")&amp;IF($DL282&lt;&gt;"",$DL282&amp;", ","")&amp;IF($DM282&lt;&gt;"",$DM282&amp;", ","")&amp;IF($DN282&lt;&gt;"",$DN282&amp;", ","")&amp;IF($DO282&lt;&gt;"",$DO282&amp;", ","")&amp;IF($DP282&lt;&gt;"",$DP282&amp;", ","")&amp;IF($DQ282&lt;&gt;"",$DQ282&amp;", ","")&amp;IF($DR282&lt;&gt;"",$DR282&amp;", ","")&amp;IF($DS282&lt;&gt;"",$DS282&amp;", ","")&amp;IF($DT282&lt;&gt;"",$DT282&amp;", ","")&amp;IF($DU282&lt;&gt;"",$DU282&amp;", ",""))="","OK","Onbekend: "&amp;LEFT((IF($AT282&lt;&gt;"",$AT282&amp;", ","")&amp;IF($AU282&lt;&gt;"",$AU282&amp;", ","")&amp;IF($AV282&lt;&gt;"",$AV282&amp;", ","")&amp;IF($AW282&lt;&gt;"",$AW282&amp;", ","")&amp;IF($AX282&lt;&gt;"",$AX282&amp;", ","")&amp;IF($AY282&lt;&gt;"",$AY282&amp;", ","")&amp;IF($AZ282&lt;&gt;"",$AZ282&amp;", ","")&amp;IF($BA282&lt;&gt;"",$BA282&amp;", ","")&amp;IF($BB282&lt;&gt;"",$BB282&amp;", ","")&amp;IF($BC282&lt;&gt;"",$BC282&amp;", ","")&amp;IF($DL282&lt;&gt;"",$DL282&amp;", ","")&amp;IF($DM282&lt;&gt;"",$DM282&amp;", ","")&amp;IF($DN282&lt;&gt;"",$DN282&amp;", ","")&amp;IF($DO282&lt;&gt;"",$DO282&amp;", ","")&amp;IF($DP282&lt;&gt;"",$DP282&amp;", ","")&amp;IF($DQ282&lt;&gt;"",$DQ282&amp;", ","")&amp;IF($DR282&lt;&gt;"",$DR282&amp;", ","")&amp;IF($DS282&lt;&gt;"",$DS282&amp;", ","")&amp;IF($DT282&lt;&gt;"",$DT282&amp;", ","")&amp;IF($DU282&lt;&gt;"",$DU282&amp;", ","")),LEN((IF($AT282&lt;&gt;"",$AT282&amp;", ","")&amp;IF($AU282&lt;&gt;"",$AU282&amp;", ","")&amp;IF($AV282&lt;&gt;"",$AV282&amp;", ","")&amp;IF($AW282&lt;&gt;"",$AW282&amp;", ","")&amp;IF($AX282&lt;&gt;"",$AX282&amp;", ","")&amp;IF($AY282&lt;&gt;"",$AY282&amp;", ","")&amp;IF($AZ282&lt;&gt;"",$AZ282&amp;", ","")&amp;IF($BA282&lt;&gt;"",$BA282&amp;", ","")&amp;IF($BB282&lt;&gt;"",$BB282&amp;", ","")&amp;IF($BC282&lt;&gt;"",$BC282&amp;", ","")&amp;IF($DL282&lt;&gt;"",$DL282&amp;", ","")&amp;IF($DM282&lt;&gt;"",$DM282&amp;", ","")&amp;IF($DN282&lt;&gt;"",$DN282&amp;", ","")&amp;IF($DO282&lt;&gt;"",$DO282&amp;", ","")&amp;IF($DP282&lt;&gt;"",$DP282&amp;", ","")&amp;IF($DQ282&lt;&gt;"",$DQ282&amp;", ","")&amp;IF($DR282&lt;&gt;"",$DR282&amp;", ","")&amp;IF($DS282&lt;&gt;"",$DS282&amp;", ","")&amp;IF($DT282&lt;&gt;"",$DT282&amp;", ","")&amp;IF($DU282&lt;&gt;"",$DU282&amp;", ","")))-2)))))))</f>
        <v/>
      </c>
      <c r="CH282" t="str">
        <f t="shared" si="2082"/>
        <v/>
      </c>
      <c r="CI282" t="str">
        <f t="shared" si="2083"/>
        <v/>
      </c>
      <c r="CJ282" t="str">
        <f>IF($CI282="","",IF(OR($DW282="",$DX282=""),"ONZEKER",IF(OR($CF282="",$CG282=""),"ONZEKER",IF(AND($DW282=$CF282+1,$DX282=$CG282),IF(OR(COUNTIF(#REF!,$B282)&gt;0,COUNTIF(#REF!,$B282)=0),"SKIP",IF(COUNTIFS(#REF!,$B282,#REF!,$CI282)&gt;0,"OK","ONBEKEND")),IF(AND($DW282=$CF282,$DX282=$CG282+1),IF(OR(COUNTIF(#REF!,$D282)&gt;0,COUNTIF(#REF!,$D282)=0),"SKIP",IF(COUNTIFS(#REF!,$D282,#REF!,$CI282)&gt;0,"OK","ONBEKEND")),"ONZEKER")))))</f>
        <v/>
      </c>
      <c r="CK282" t="str">
        <f t="shared" si="2084"/>
        <v/>
      </c>
      <c r="CL282" t="str">
        <f t="shared" si="2085"/>
        <v/>
      </c>
      <c r="CM282" t="str">
        <f>IF($CL282="","",IF(OR($DZ282="",$EA282=""),"ONZEKER",IF(OR($DW282="",$DX282=""),"ONZEKER",IF(AND($DZ282=$DW282+1,$EA282=$DX282),IF(OR(COUNTIF(#REF!,$B282)&gt;0,COUNTIF(#REF!,$B282)=0),"SKIP",IF(COUNTIFS(#REF!,$B282,#REF!,$CL282)&gt;0,"OK","ONBEKEND")),IF(AND($DZ282=$DW282,$EA282=$DX282+1),IF(OR(COUNTIF(#REF!,$D282)&gt;0,COUNTIF(#REF!,$D282)=0),"SKIP",IF(COUNTIFS(#REF!,$D282,#REF!,$CL282)&gt;0,"OK","ONBEKEND")),"ONZEKER")))))</f>
        <v/>
      </c>
      <c r="CN282" t="str">
        <f t="shared" si="2086"/>
        <v/>
      </c>
      <c r="CO282" t="str">
        <f t="shared" si="2087"/>
        <v/>
      </c>
      <c r="CP282" t="str">
        <f>IF($CO282="","",IF(OR($EC282="",$ED282=""),"ONZEKER",IF(OR($DZ282="",$EA282=""),"ONZEKER",IF(AND($EC282=$DZ282+1,$ED282=$EA282),IF(OR(COUNTIF(#REF!,$B282)&gt;0,COUNTIF(#REF!,$B282)=0),"SKIP",IF(COUNTIFS(#REF!,$B282,#REF!,$CO282)&gt;0,"OK","ONBEKEND")),IF(AND($EC282=$DZ282,$ED282=$EA282+1),IF(OR(COUNTIF(#REF!,$D282)&gt;0,COUNTIF(#REF!,$D282)=0),"SKIP",IF(COUNTIFS(#REF!,$D282,#REF!,$CO282)&gt;0,"OK","ONBEKEND")),"ONZEKER")))))</f>
        <v/>
      </c>
      <c r="CQ282" t="str">
        <f t="shared" si="2088"/>
        <v/>
      </c>
      <c r="CR282" t="str">
        <f t="shared" si="2089"/>
        <v/>
      </c>
      <c r="CS282" t="str">
        <f>IF($CR282="","",IF(OR($EF282="",$EG282=""),"ONZEKER",IF(OR($EC282="",$ED282=""),"ONZEKER",IF(AND($EF282=$EC282+1,$EG282=$ED282),IF(OR(COUNTIF(#REF!,$B282)&gt;0,COUNTIF(#REF!,$B282)=0),"SKIP",IF(COUNTIFS(#REF!,$B282,#REF!,$CR282)&gt;0,"OK","ONBEKEND")),IF(AND($EF282=$EC282,$EG282=$ED282+1),IF(OR(COUNTIF(#REF!,$D282)&gt;0,COUNTIF(#REF!,$D282)=0),"SKIP",IF(COUNTIFS(#REF!,$D282,#REF!,$CR282)&gt;0,"OK","ONBEKEND")),"ONZEKER")))))</f>
        <v/>
      </c>
      <c r="CT282" t="str">
        <f t="shared" si="2090"/>
        <v/>
      </c>
      <c r="CU282" t="str">
        <f t="shared" si="2091"/>
        <v/>
      </c>
      <c r="CV282" t="str">
        <f>IF($CU282="","",IF(OR($EI282="",$EJ282=""),"ONZEKER",IF(OR($EF282="",$EG282=""),"ONZEKER",IF(AND($EI282=$EF282+1,$EJ282=$EG282),IF(OR(COUNTIF(#REF!,$B282)&gt;0,COUNTIF(#REF!,$B282)=0),"SKIP",IF(COUNTIFS(#REF!,$B282,#REF!,$CU282)&gt;0,"OK","ONBEKEND")),IF(AND($EI282=$EF282,$EJ282=$EG282+1),IF(OR(COUNTIF(#REF!,$D282)&gt;0,COUNTIF(#REF!,$D282)=0),"SKIP",IF(COUNTIFS(#REF!,$D282,#REF!,$CU282)&gt;0,"OK","ONBEKEND")),"ONZEKER")))))</f>
        <v/>
      </c>
      <c r="CW282" t="str">
        <f t="shared" si="2092"/>
        <v/>
      </c>
      <c r="CX282" t="str">
        <f t="shared" si="2093"/>
        <v/>
      </c>
      <c r="CY282" t="str">
        <f>IF($CX282="","",IF(OR($EL282="",$EM282=""),"ONZEKER",IF(OR($EI282="",$EJ282=""),"ONZEKER",IF(AND($EL282=$EI282+1,$EM282=$EJ282),IF(OR(COUNTIF(#REF!,$B282)&gt;0,COUNTIF(#REF!,$B282)=0),"SKIP",IF(COUNTIFS(#REF!,$B282,#REF!,$CX282)&gt;0,"OK","ONBEKEND")),IF(AND($EL282=$EI282,$EM282=$EJ282+1),IF(OR(COUNTIF(#REF!,$D282)&gt;0,COUNTIF(#REF!,$D282)=0),"SKIP",IF(COUNTIFS(#REF!,$D282,#REF!,$CX282)&gt;0,"OK","ONBEKEND")),"ONZEKER")))))</f>
        <v/>
      </c>
      <c r="CZ282" t="str">
        <f t="shared" si="2094"/>
        <v/>
      </c>
      <c r="DA282" t="str">
        <f t="shared" si="2095"/>
        <v/>
      </c>
      <c r="DB282" t="str">
        <f>IF($DA282="","",IF(OR($EO282="",$EP282=""),"ONZEKER",IF(OR($EL282="",$EM282=""),"ONZEKER",IF(AND($EO282=$EL282+1,$EP282=$EM282),IF(OR(COUNTIF(#REF!,$B282)&gt;0,COUNTIF(#REF!,$B282)=0),"SKIP",IF(COUNTIFS(#REF!,$B282,#REF!,$DA282)&gt;0,"OK","ONBEKEND")),IF(AND($EO282=$EL282,$EP282=$EM282+1),IF(OR(COUNTIF(#REF!,$D282)&gt;0,COUNTIF(#REF!,$D282)=0),"SKIP",IF(COUNTIFS(#REF!,$D282,#REF!,$DA282)&gt;0,"OK","ONBEKEND")),"ONZEKER")))))</f>
        <v/>
      </c>
      <c r="DC282" t="str">
        <f t="shared" si="2096"/>
        <v/>
      </c>
      <c r="DD282" t="str">
        <f t="shared" si="2097"/>
        <v/>
      </c>
      <c r="DE282" t="str">
        <f>IF($DD282="","",IF(OR($ER282="",$ES282=""),"ONZEKER",IF(OR($EO282="",$EP282=""),"ONZEKER",IF(AND($ER282=$EO282+1,$ES282=$EP282),IF(OR(COUNTIF(#REF!,$B282)&gt;0,COUNTIF(#REF!,$B282)=0),"SKIP",IF(COUNTIFS(#REF!,$B282,#REF!,$DD282)&gt;0,"OK","ONBEKEND")),IF(AND($ER282=$EO282,$ES282=$EP282+1),IF(OR(COUNTIF(#REF!,$D282)&gt;0,COUNTIF(#REF!,$D282)=0),"SKIP",IF(COUNTIFS(#REF!,$D282,#REF!,$DD282)&gt;0,"OK","ONBEKEND")),"ONZEKER")))))</f>
        <v/>
      </c>
      <c r="DF282" t="str">
        <f t="shared" si="2098"/>
        <v/>
      </c>
      <c r="DG282" t="str">
        <f t="shared" si="2099"/>
        <v/>
      </c>
      <c r="DH282" t="str">
        <f>IF($DG282="","",IF(OR($EU282="",$EV282=""),"ONZEKER",IF(OR($ER282="",$ES282=""),"ONZEKER",IF(AND($EU282=$ER282+1,$EV282=$ES282),IF(OR(COUNTIF(#REF!,$B282)&gt;0,COUNTIF(#REF!,$B282)=0),"SKIP",IF(COUNTIFS(#REF!,$B282,#REF!,$DG282)&gt;0,"OK","ONBEKEND")),IF(AND($EU282=$ER282,$EV282=$ES282+1),IF(OR(COUNTIF(#REF!,$D282)&gt;0,COUNTIF(#REF!,$D282)=0),"SKIP",IF(COUNTIFS(#REF!,$D282,#REF!,$DG282)&gt;0,"OK","ONBEKEND")),"ONZEKER")))))</f>
        <v/>
      </c>
      <c r="DI282" t="str">
        <f t="shared" si="2100"/>
        <v/>
      </c>
      <c r="DJ282" t="str">
        <f t="shared" si="2101"/>
        <v/>
      </c>
      <c r="DK282" t="str">
        <f>IF($DJ282="","",IF(OR($EX282="",$EY282=""),"ONZEKER",IF(OR($EU282="",$EV282=""),"ONZEKER",IF(AND($EX282=$EU282+1,$EY282=$EV282),IF(OR(COUNTIF(#REF!,$B282)&gt;0,COUNTIF(#REF!,$B282)=0),"SKIP",IF(COUNTIFS(#REF!,$B282,#REF!,$DJ282)&gt;0,"OK","ONBEKEND")),IF(AND($EX282=$EU282,$EY282=$EV282+1),IF(OR(COUNTIF(#REF!,$D282)&gt;0,COUNTIF(#REF!,$D282)=0),"SKIP",IF(COUNTIFS(#REF!,$D282,#REF!,$DJ282)&gt;0,"OK","ONBEKEND")),"ONZEKER")))))</f>
        <v/>
      </c>
      <c r="DL282" t="str">
        <f t="shared" si="2102"/>
        <v/>
      </c>
      <c r="DM282" t="str">
        <f t="shared" si="2103"/>
        <v/>
      </c>
      <c r="DN282" t="str">
        <f t="shared" si="2104"/>
        <v/>
      </c>
      <c r="DO282" t="str">
        <f t="shared" si="2105"/>
        <v/>
      </c>
      <c r="DP282" t="str">
        <f t="shared" si="2106"/>
        <v/>
      </c>
      <c r="DQ282" t="str">
        <f t="shared" si="2107"/>
        <v/>
      </c>
      <c r="DR282" t="str">
        <f t="shared" si="2108"/>
        <v/>
      </c>
      <c r="DS282" t="str">
        <f t="shared" si="2109"/>
        <v/>
      </c>
      <c r="DT282" t="str">
        <f t="shared" si="2110"/>
        <v/>
      </c>
      <c r="DU282" t="str">
        <f t="shared" si="2111"/>
        <v/>
      </c>
      <c r="DV282" t="str">
        <f t="shared" si="2112"/>
        <v/>
      </c>
      <c r="DW282" t="str">
        <f t="shared" si="2113"/>
        <v/>
      </c>
      <c r="DX282" t="str">
        <f t="shared" si="2114"/>
        <v/>
      </c>
      <c r="DY282" t="str">
        <f t="shared" si="2115"/>
        <v/>
      </c>
      <c r="DZ282" t="str">
        <f t="shared" si="2116"/>
        <v/>
      </c>
      <c r="EA282" t="str">
        <f t="shared" si="2117"/>
        <v/>
      </c>
      <c r="EB282" t="str">
        <f t="shared" si="2118"/>
        <v/>
      </c>
      <c r="EC282" t="str">
        <f t="shared" si="2119"/>
        <v/>
      </c>
      <c r="ED282" t="str">
        <f t="shared" si="2120"/>
        <v/>
      </c>
      <c r="EE282" t="str">
        <f t="shared" si="2121"/>
        <v/>
      </c>
      <c r="EF282" t="str">
        <f t="shared" si="2122"/>
        <v/>
      </c>
      <c r="EG282" t="str">
        <f t="shared" si="2123"/>
        <v/>
      </c>
      <c r="EH282" t="str">
        <f t="shared" si="2124"/>
        <v/>
      </c>
      <c r="EI282" t="str">
        <f t="shared" si="2125"/>
        <v/>
      </c>
      <c r="EJ282" t="str">
        <f t="shared" si="2126"/>
        <v/>
      </c>
      <c r="EK282" t="str">
        <f t="shared" si="2127"/>
        <v/>
      </c>
      <c r="EL282" t="str">
        <f t="shared" si="2128"/>
        <v/>
      </c>
      <c r="EM282" t="str">
        <f t="shared" si="2129"/>
        <v/>
      </c>
      <c r="EN282" t="str">
        <f t="shared" si="2130"/>
        <v/>
      </c>
      <c r="EO282" t="str">
        <f t="shared" si="2131"/>
        <v/>
      </c>
      <c r="EP282" t="str">
        <f t="shared" si="2132"/>
        <v/>
      </c>
      <c r="EQ282" t="str">
        <f t="shared" si="2133"/>
        <v/>
      </c>
      <c r="ER282" t="str">
        <f t="shared" si="2134"/>
        <v/>
      </c>
      <c r="ES282" t="str">
        <f t="shared" si="2135"/>
        <v/>
      </c>
      <c r="ET282" t="str">
        <f t="shared" si="2136"/>
        <v/>
      </c>
      <c r="EU282" t="str">
        <f t="shared" si="2137"/>
        <v/>
      </c>
      <c r="EV282" t="str">
        <f t="shared" si="2138"/>
        <v/>
      </c>
      <c r="EW282" t="str">
        <f t="shared" si="2139"/>
        <v/>
      </c>
      <c r="EX282" t="str">
        <f t="shared" si="2140"/>
        <v/>
      </c>
      <c r="EY282" t="str">
        <f t="shared" si="2141"/>
        <v/>
      </c>
    </row>
    <row r="283" spans="1:155" ht="13.9" customHeight="1" x14ac:dyDescent="0.25">
      <c r="B283" s="23"/>
      <c r="D283" s="23"/>
      <c r="F283" s="18">
        <v>0</v>
      </c>
      <c r="G283" s="7" t="s">
        <v>147</v>
      </c>
      <c r="H283" s="18">
        <v>0</v>
      </c>
      <c r="I283" s="19">
        <v>0</v>
      </c>
      <c r="J283" s="7" t="s">
        <v>147</v>
      </c>
      <c r="K283" s="19">
        <v>0</v>
      </c>
      <c r="L283" s="9"/>
      <c r="M283" s="13" t="str">
        <f>IF($L283="","",IF($L283="DOELPUNTENMAKERS","",IF(AND(COUNTIF(#REF!,$B283)=0,COUNTIF(#REF!,$D283)=0),"OK",IF($O283&gt;20,"LET OP: meer dan 20 items (controle onvolledig)",IF((COUNTIF($R283:$AS283,"ONZEKER")+COUNTIF($CJ283:$DK283,"ONZEKER"))&gt;0,"LET OP: scoreverloop onduidelijk (controle beperkt)",IF((IF($AT283&lt;&gt;"",$AT283&amp;", ","")&amp;IF($AU283&lt;&gt;"",$AU283&amp;", ","")&amp;IF($AV283&lt;&gt;"",$AV283&amp;", ","")&amp;IF($AW283&lt;&gt;"",$AW283&amp;", ","")&amp;IF($AX283&lt;&gt;"",$AX283&amp;", ","")&amp;IF($AY283&lt;&gt;"",$AY283&amp;", ","")&amp;IF($AZ283&lt;&gt;"",$AZ283&amp;", ","")&amp;IF($BA283&lt;&gt;"",$BA283&amp;", ","")&amp;IF($BB283&lt;&gt;"",$BB283&amp;", ","")&amp;IF($BC283&lt;&gt;"",$BC283&amp;", ","")&amp;IF($DL283&lt;&gt;"",$DL283&amp;", ","")&amp;IF($DM283&lt;&gt;"",$DM283&amp;", ","")&amp;IF($DN283&lt;&gt;"",$DN283&amp;", ","")&amp;IF($DO283&lt;&gt;"",$DO283&amp;", ","")&amp;IF($DP283&lt;&gt;"",$DP283&amp;", ","")&amp;IF($DQ283&lt;&gt;"",$DQ283&amp;", ","")&amp;IF($DR283&lt;&gt;"",$DR283&amp;", ","")&amp;IF($DS283&lt;&gt;"",$DS283&amp;", ","")&amp;IF($DT283&lt;&gt;"",$DT283&amp;", ","")&amp;IF($DU283&lt;&gt;"",$DU283&amp;", ",""))="","OK","Onbekend: "&amp;LEFT((IF($AT283&lt;&gt;"",$AT283&amp;", ","")&amp;IF($AU283&lt;&gt;"",$AU283&amp;", ","")&amp;IF($AV283&lt;&gt;"",$AV283&amp;", ","")&amp;IF($AW283&lt;&gt;"",$AW283&amp;", ","")&amp;IF($AX283&lt;&gt;"",$AX283&amp;", ","")&amp;IF($AY283&lt;&gt;"",$AY283&amp;", ","")&amp;IF($AZ283&lt;&gt;"",$AZ283&amp;", ","")&amp;IF($BA283&lt;&gt;"",$BA283&amp;", ","")&amp;IF($BB283&lt;&gt;"",$BB283&amp;", ","")&amp;IF($BC283&lt;&gt;"",$BC283&amp;", ","")&amp;IF($DL283&lt;&gt;"",$DL283&amp;", ","")&amp;IF($DM283&lt;&gt;"",$DM283&amp;", ","")&amp;IF($DN283&lt;&gt;"",$DN283&amp;", ","")&amp;IF($DO283&lt;&gt;"",$DO283&amp;", ","")&amp;IF($DP283&lt;&gt;"",$DP283&amp;", ","")&amp;IF($DQ283&lt;&gt;"",$DQ283&amp;", ","")&amp;IF($DR283&lt;&gt;"",$DR283&amp;", ","")&amp;IF($DS283&lt;&gt;"",$DS283&amp;", ","")&amp;IF($DT283&lt;&gt;"",$DT283&amp;", ","")&amp;IF($DU283&lt;&gt;"",$DU283&amp;", ","")),LEN((IF($AT283&lt;&gt;"",$AT283&amp;", ","")&amp;IF($AU283&lt;&gt;"",$AU283&amp;", ","")&amp;IF($AV283&lt;&gt;"",$AV283&amp;", ","")&amp;IF($AW283&lt;&gt;"",$AW283&amp;", ","")&amp;IF($AX283&lt;&gt;"",$AX283&amp;", ","")&amp;IF($AY283&lt;&gt;"",$AY283&amp;", ","")&amp;IF($AZ283&lt;&gt;"",$AZ283&amp;", ","")&amp;IF($BA283&lt;&gt;"",$BA283&amp;", ","")&amp;IF($BB283&lt;&gt;"",$BB283&amp;", ","")&amp;IF($BC283&lt;&gt;"",$BC283&amp;", ","")&amp;IF($DL283&lt;&gt;"",$DL283&amp;", ","")&amp;IF($DM283&lt;&gt;"",$DM283&amp;", ","")&amp;IF($DN283&lt;&gt;"",$DN283&amp;", ","")&amp;IF($DO283&lt;&gt;"",$DO283&amp;", ","")&amp;IF($DP283&lt;&gt;"",$DP283&amp;", ","")&amp;IF($DQ283&lt;&gt;"",$DQ283&amp;", ","")&amp;IF($DR283&lt;&gt;"",$DR283&amp;", ","")&amp;IF($DS283&lt;&gt;"",$DS283&amp;", ","")&amp;IF($DT283&lt;&gt;"",$DT283&amp;", ","")&amp;IF($DU283&lt;&gt;"",$DU283&amp;", ","")))-2)))))))</f>
        <v/>
      </c>
      <c r="CH283" t="str">
        <f t="shared" si="2082"/>
        <v/>
      </c>
      <c r="CI283" t="str">
        <f t="shared" si="2083"/>
        <v/>
      </c>
      <c r="CJ283" t="str">
        <f>IF($CI283="","",IF(OR($DW283="",$DX283=""),"ONZEKER",IF(OR($CF283="",$CG283=""),"ONZEKER",IF(AND($DW283=$CF283+1,$DX283=$CG283),IF(OR(COUNTIF(#REF!,$B283)&gt;0,COUNTIF(#REF!,$B283)=0),"SKIP",IF(COUNTIFS(#REF!,$B283,#REF!,$CI283)&gt;0,"OK","ONBEKEND")),IF(AND($DW283=$CF283,$DX283=$CG283+1),IF(OR(COUNTIF(#REF!,$D283)&gt;0,COUNTIF(#REF!,$D283)=0),"SKIP",IF(COUNTIFS(#REF!,$D283,#REF!,$CI283)&gt;0,"OK","ONBEKEND")),"ONZEKER")))))</f>
        <v/>
      </c>
      <c r="CK283" t="str">
        <f t="shared" si="2084"/>
        <v/>
      </c>
      <c r="CL283" t="str">
        <f t="shared" si="2085"/>
        <v/>
      </c>
      <c r="CM283" t="str">
        <f>IF($CL283="","",IF(OR($DZ283="",$EA283=""),"ONZEKER",IF(OR($DW283="",$DX283=""),"ONZEKER",IF(AND($DZ283=$DW283+1,$EA283=$DX283),IF(OR(COUNTIF(#REF!,$B283)&gt;0,COUNTIF(#REF!,$B283)=0),"SKIP",IF(COUNTIFS(#REF!,$B283,#REF!,$CL283)&gt;0,"OK","ONBEKEND")),IF(AND($DZ283=$DW283,$EA283=$DX283+1),IF(OR(COUNTIF(#REF!,$D283)&gt;0,COUNTIF(#REF!,$D283)=0),"SKIP",IF(COUNTIFS(#REF!,$D283,#REF!,$CL283)&gt;0,"OK","ONBEKEND")),"ONZEKER")))))</f>
        <v/>
      </c>
      <c r="CN283" t="str">
        <f t="shared" si="2086"/>
        <v/>
      </c>
      <c r="CO283" t="str">
        <f t="shared" si="2087"/>
        <v/>
      </c>
      <c r="CP283" t="str">
        <f>IF($CO283="","",IF(OR($EC283="",$ED283=""),"ONZEKER",IF(OR($DZ283="",$EA283=""),"ONZEKER",IF(AND($EC283=$DZ283+1,$ED283=$EA283),IF(OR(COUNTIF(#REF!,$B283)&gt;0,COUNTIF(#REF!,$B283)=0),"SKIP",IF(COUNTIFS(#REF!,$B283,#REF!,$CO283)&gt;0,"OK","ONBEKEND")),IF(AND($EC283=$DZ283,$ED283=$EA283+1),IF(OR(COUNTIF(#REF!,$D283)&gt;0,COUNTIF(#REF!,$D283)=0),"SKIP",IF(COUNTIFS(#REF!,$D283,#REF!,$CO283)&gt;0,"OK","ONBEKEND")),"ONZEKER")))))</f>
        <v/>
      </c>
      <c r="CQ283" t="str">
        <f t="shared" si="2088"/>
        <v/>
      </c>
      <c r="CR283" t="str">
        <f t="shared" si="2089"/>
        <v/>
      </c>
      <c r="CS283" t="str">
        <f>IF($CR283="","",IF(OR($EF283="",$EG283=""),"ONZEKER",IF(OR($EC283="",$ED283=""),"ONZEKER",IF(AND($EF283=$EC283+1,$EG283=$ED283),IF(OR(COUNTIF(#REF!,$B283)&gt;0,COUNTIF(#REF!,$B283)=0),"SKIP",IF(COUNTIFS(#REF!,$B283,#REF!,$CR283)&gt;0,"OK","ONBEKEND")),IF(AND($EF283=$EC283,$EG283=$ED283+1),IF(OR(COUNTIF(#REF!,$D283)&gt;0,COUNTIF(#REF!,$D283)=0),"SKIP",IF(COUNTIFS(#REF!,$D283,#REF!,$CR283)&gt;0,"OK","ONBEKEND")),"ONZEKER")))))</f>
        <v/>
      </c>
      <c r="CT283" t="str">
        <f t="shared" si="2090"/>
        <v/>
      </c>
      <c r="CU283" t="str">
        <f t="shared" si="2091"/>
        <v/>
      </c>
      <c r="CV283" t="str">
        <f>IF($CU283="","",IF(OR($EI283="",$EJ283=""),"ONZEKER",IF(OR($EF283="",$EG283=""),"ONZEKER",IF(AND($EI283=$EF283+1,$EJ283=$EG283),IF(OR(COUNTIF(#REF!,$B283)&gt;0,COUNTIF(#REF!,$B283)=0),"SKIP",IF(COUNTIFS(#REF!,$B283,#REF!,$CU283)&gt;0,"OK","ONBEKEND")),IF(AND($EI283=$EF283,$EJ283=$EG283+1),IF(OR(COUNTIF(#REF!,$D283)&gt;0,COUNTIF(#REF!,$D283)=0),"SKIP",IF(COUNTIFS(#REF!,$D283,#REF!,$CU283)&gt;0,"OK","ONBEKEND")),"ONZEKER")))))</f>
        <v/>
      </c>
      <c r="CW283" t="str">
        <f t="shared" si="2092"/>
        <v/>
      </c>
      <c r="CX283" t="str">
        <f t="shared" si="2093"/>
        <v/>
      </c>
      <c r="CY283" t="str">
        <f>IF($CX283="","",IF(OR($EL283="",$EM283=""),"ONZEKER",IF(OR($EI283="",$EJ283=""),"ONZEKER",IF(AND($EL283=$EI283+1,$EM283=$EJ283),IF(OR(COUNTIF(#REF!,$B283)&gt;0,COUNTIF(#REF!,$B283)=0),"SKIP",IF(COUNTIFS(#REF!,$B283,#REF!,$CX283)&gt;0,"OK","ONBEKEND")),IF(AND($EL283=$EI283,$EM283=$EJ283+1),IF(OR(COUNTIF(#REF!,$D283)&gt;0,COUNTIF(#REF!,$D283)=0),"SKIP",IF(COUNTIFS(#REF!,$D283,#REF!,$CX283)&gt;0,"OK","ONBEKEND")),"ONZEKER")))))</f>
        <v/>
      </c>
      <c r="CZ283" t="str">
        <f t="shared" si="2094"/>
        <v/>
      </c>
      <c r="DA283" t="str">
        <f t="shared" si="2095"/>
        <v/>
      </c>
      <c r="DB283" t="str">
        <f>IF($DA283="","",IF(OR($EO283="",$EP283=""),"ONZEKER",IF(OR($EL283="",$EM283=""),"ONZEKER",IF(AND($EO283=$EL283+1,$EP283=$EM283),IF(OR(COUNTIF(#REF!,$B283)&gt;0,COUNTIF(#REF!,$B283)=0),"SKIP",IF(COUNTIFS(#REF!,$B283,#REF!,$DA283)&gt;0,"OK","ONBEKEND")),IF(AND($EO283=$EL283,$EP283=$EM283+1),IF(OR(COUNTIF(#REF!,$D283)&gt;0,COUNTIF(#REF!,$D283)=0),"SKIP",IF(COUNTIFS(#REF!,$D283,#REF!,$DA283)&gt;0,"OK","ONBEKEND")),"ONZEKER")))))</f>
        <v/>
      </c>
      <c r="DC283" t="str">
        <f t="shared" si="2096"/>
        <v/>
      </c>
      <c r="DD283" t="str">
        <f t="shared" si="2097"/>
        <v/>
      </c>
      <c r="DE283" t="str">
        <f>IF($DD283="","",IF(OR($ER283="",$ES283=""),"ONZEKER",IF(OR($EO283="",$EP283=""),"ONZEKER",IF(AND($ER283=$EO283+1,$ES283=$EP283),IF(OR(COUNTIF(#REF!,$B283)&gt;0,COUNTIF(#REF!,$B283)=0),"SKIP",IF(COUNTIFS(#REF!,$B283,#REF!,$DD283)&gt;0,"OK","ONBEKEND")),IF(AND($ER283=$EO283,$ES283=$EP283+1),IF(OR(COUNTIF(#REF!,$D283)&gt;0,COUNTIF(#REF!,$D283)=0),"SKIP",IF(COUNTIFS(#REF!,$D283,#REF!,$DD283)&gt;0,"OK","ONBEKEND")),"ONZEKER")))))</f>
        <v/>
      </c>
      <c r="DF283" t="str">
        <f t="shared" si="2098"/>
        <v/>
      </c>
      <c r="DG283" t="str">
        <f t="shared" si="2099"/>
        <v/>
      </c>
      <c r="DH283" t="str">
        <f>IF($DG283="","",IF(OR($EU283="",$EV283=""),"ONZEKER",IF(OR($ER283="",$ES283=""),"ONZEKER",IF(AND($EU283=$ER283+1,$EV283=$ES283),IF(OR(COUNTIF(#REF!,$B283)&gt;0,COUNTIF(#REF!,$B283)=0),"SKIP",IF(COUNTIFS(#REF!,$B283,#REF!,$DG283)&gt;0,"OK","ONBEKEND")),IF(AND($EU283=$ER283,$EV283=$ES283+1),IF(OR(COUNTIF(#REF!,$D283)&gt;0,COUNTIF(#REF!,$D283)=0),"SKIP",IF(COUNTIFS(#REF!,$D283,#REF!,$DG283)&gt;0,"OK","ONBEKEND")),"ONZEKER")))))</f>
        <v/>
      </c>
      <c r="DI283" t="str">
        <f t="shared" si="2100"/>
        <v/>
      </c>
      <c r="DJ283" t="str">
        <f t="shared" si="2101"/>
        <v/>
      </c>
      <c r="DK283" t="str">
        <f>IF($DJ283="","",IF(OR($EX283="",$EY283=""),"ONZEKER",IF(OR($EU283="",$EV283=""),"ONZEKER",IF(AND($EX283=$EU283+1,$EY283=$EV283),IF(OR(COUNTIF(#REF!,$B283)&gt;0,COUNTIF(#REF!,$B283)=0),"SKIP",IF(COUNTIFS(#REF!,$B283,#REF!,$DJ283)&gt;0,"OK","ONBEKEND")),IF(AND($EX283=$EU283,$EY283=$EV283+1),IF(OR(COUNTIF(#REF!,$D283)&gt;0,COUNTIF(#REF!,$D283)=0),"SKIP",IF(COUNTIFS(#REF!,$D283,#REF!,$DJ283)&gt;0,"OK","ONBEKEND")),"ONZEKER")))))</f>
        <v/>
      </c>
      <c r="DL283" t="str">
        <f t="shared" si="2102"/>
        <v/>
      </c>
      <c r="DM283" t="str">
        <f t="shared" si="2103"/>
        <v/>
      </c>
      <c r="DN283" t="str">
        <f t="shared" si="2104"/>
        <v/>
      </c>
      <c r="DO283" t="str">
        <f t="shared" si="2105"/>
        <v/>
      </c>
      <c r="DP283" t="str">
        <f t="shared" si="2106"/>
        <v/>
      </c>
      <c r="DQ283" t="str">
        <f t="shared" si="2107"/>
        <v/>
      </c>
      <c r="DR283" t="str">
        <f t="shared" si="2108"/>
        <v/>
      </c>
      <c r="DS283" t="str">
        <f t="shared" si="2109"/>
        <v/>
      </c>
      <c r="DT283" t="str">
        <f t="shared" si="2110"/>
        <v/>
      </c>
      <c r="DU283" t="str">
        <f t="shared" si="2111"/>
        <v/>
      </c>
      <c r="DV283" t="str">
        <f t="shared" si="2112"/>
        <v/>
      </c>
      <c r="DW283" t="str">
        <f t="shared" si="2113"/>
        <v/>
      </c>
      <c r="DX283" t="str">
        <f t="shared" si="2114"/>
        <v/>
      </c>
      <c r="DY283" t="str">
        <f t="shared" si="2115"/>
        <v/>
      </c>
      <c r="DZ283" t="str">
        <f t="shared" si="2116"/>
        <v/>
      </c>
      <c r="EA283" t="str">
        <f t="shared" si="2117"/>
        <v/>
      </c>
      <c r="EB283" t="str">
        <f t="shared" si="2118"/>
        <v/>
      </c>
      <c r="EC283" t="str">
        <f t="shared" si="2119"/>
        <v/>
      </c>
      <c r="ED283" t="str">
        <f t="shared" si="2120"/>
        <v/>
      </c>
      <c r="EE283" t="str">
        <f t="shared" si="2121"/>
        <v/>
      </c>
      <c r="EF283" t="str">
        <f t="shared" si="2122"/>
        <v/>
      </c>
      <c r="EG283" t="str">
        <f t="shared" si="2123"/>
        <v/>
      </c>
      <c r="EH283" t="str">
        <f t="shared" si="2124"/>
        <v/>
      </c>
      <c r="EI283" t="str">
        <f t="shared" si="2125"/>
        <v/>
      </c>
      <c r="EJ283" t="str">
        <f t="shared" si="2126"/>
        <v/>
      </c>
      <c r="EK283" t="str">
        <f t="shared" si="2127"/>
        <v/>
      </c>
      <c r="EL283" t="str">
        <f t="shared" si="2128"/>
        <v/>
      </c>
      <c r="EM283" t="str">
        <f t="shared" si="2129"/>
        <v/>
      </c>
      <c r="EN283" t="str">
        <f t="shared" si="2130"/>
        <v/>
      </c>
      <c r="EO283" t="str">
        <f t="shared" si="2131"/>
        <v/>
      </c>
      <c r="EP283" t="str">
        <f t="shared" si="2132"/>
        <v/>
      </c>
      <c r="EQ283" t="str">
        <f t="shared" si="2133"/>
        <v/>
      </c>
      <c r="ER283" t="str">
        <f t="shared" si="2134"/>
        <v/>
      </c>
      <c r="ES283" t="str">
        <f t="shared" si="2135"/>
        <v/>
      </c>
      <c r="ET283" t="str">
        <f t="shared" si="2136"/>
        <v/>
      </c>
      <c r="EU283" t="str">
        <f t="shared" si="2137"/>
        <v/>
      </c>
      <c r="EV283" t="str">
        <f t="shared" si="2138"/>
        <v/>
      </c>
      <c r="EW283" t="str">
        <f t="shared" si="2139"/>
        <v/>
      </c>
      <c r="EX283" t="str">
        <f t="shared" si="2140"/>
        <v/>
      </c>
      <c r="EY283" t="str">
        <f t="shared" si="2141"/>
        <v/>
      </c>
    </row>
    <row r="284" spans="1:155" ht="13.9" customHeight="1" x14ac:dyDescent="0.25">
      <c r="B284" s="23"/>
      <c r="D284" s="23"/>
      <c r="F284" s="18">
        <v>0</v>
      </c>
      <c r="G284" s="7" t="s">
        <v>147</v>
      </c>
      <c r="H284" s="18">
        <v>0</v>
      </c>
      <c r="I284" s="19">
        <v>0</v>
      </c>
      <c r="J284" s="7" t="s">
        <v>147</v>
      </c>
      <c r="K284" s="19">
        <v>0</v>
      </c>
      <c r="L284" s="9"/>
      <c r="M284" s="13" t="str">
        <f>IF($L284="","",IF($L284="DOELPUNTENMAKERS","",IF(AND(COUNTIF(#REF!,$B284)=0,COUNTIF(#REF!,$D284)=0),"OK",IF($O284&gt;20,"LET OP: meer dan 20 items (controle onvolledig)",IF((COUNTIF($R284:$AS284,"ONZEKER")+COUNTIF($CJ284:$DK284,"ONZEKER"))&gt;0,"LET OP: scoreverloop onduidelijk (controle beperkt)",IF((IF($AT284&lt;&gt;"",$AT284&amp;", ","")&amp;IF($AU284&lt;&gt;"",$AU284&amp;", ","")&amp;IF($AV284&lt;&gt;"",$AV284&amp;", ","")&amp;IF($AW284&lt;&gt;"",$AW284&amp;", ","")&amp;IF($AX284&lt;&gt;"",$AX284&amp;", ","")&amp;IF($AY284&lt;&gt;"",$AY284&amp;", ","")&amp;IF($AZ284&lt;&gt;"",$AZ284&amp;", ","")&amp;IF($BA284&lt;&gt;"",$BA284&amp;", ","")&amp;IF($BB284&lt;&gt;"",$BB284&amp;", ","")&amp;IF($BC284&lt;&gt;"",$BC284&amp;", ","")&amp;IF($DL284&lt;&gt;"",$DL284&amp;", ","")&amp;IF($DM284&lt;&gt;"",$DM284&amp;", ","")&amp;IF($DN284&lt;&gt;"",$DN284&amp;", ","")&amp;IF($DO284&lt;&gt;"",$DO284&amp;", ","")&amp;IF($DP284&lt;&gt;"",$DP284&amp;", ","")&amp;IF($DQ284&lt;&gt;"",$DQ284&amp;", ","")&amp;IF($DR284&lt;&gt;"",$DR284&amp;", ","")&amp;IF($DS284&lt;&gt;"",$DS284&amp;", ","")&amp;IF($DT284&lt;&gt;"",$DT284&amp;", ","")&amp;IF($DU284&lt;&gt;"",$DU284&amp;", ",""))="","OK","Onbekend: "&amp;LEFT((IF($AT284&lt;&gt;"",$AT284&amp;", ","")&amp;IF($AU284&lt;&gt;"",$AU284&amp;", ","")&amp;IF($AV284&lt;&gt;"",$AV284&amp;", ","")&amp;IF($AW284&lt;&gt;"",$AW284&amp;", ","")&amp;IF($AX284&lt;&gt;"",$AX284&amp;", ","")&amp;IF($AY284&lt;&gt;"",$AY284&amp;", ","")&amp;IF($AZ284&lt;&gt;"",$AZ284&amp;", ","")&amp;IF($BA284&lt;&gt;"",$BA284&amp;", ","")&amp;IF($BB284&lt;&gt;"",$BB284&amp;", ","")&amp;IF($BC284&lt;&gt;"",$BC284&amp;", ","")&amp;IF($DL284&lt;&gt;"",$DL284&amp;", ","")&amp;IF($DM284&lt;&gt;"",$DM284&amp;", ","")&amp;IF($DN284&lt;&gt;"",$DN284&amp;", ","")&amp;IF($DO284&lt;&gt;"",$DO284&amp;", ","")&amp;IF($DP284&lt;&gt;"",$DP284&amp;", ","")&amp;IF($DQ284&lt;&gt;"",$DQ284&amp;", ","")&amp;IF($DR284&lt;&gt;"",$DR284&amp;", ","")&amp;IF($DS284&lt;&gt;"",$DS284&amp;", ","")&amp;IF($DT284&lt;&gt;"",$DT284&amp;", ","")&amp;IF($DU284&lt;&gt;"",$DU284&amp;", ","")),LEN((IF($AT284&lt;&gt;"",$AT284&amp;", ","")&amp;IF($AU284&lt;&gt;"",$AU284&amp;", ","")&amp;IF($AV284&lt;&gt;"",$AV284&amp;", ","")&amp;IF($AW284&lt;&gt;"",$AW284&amp;", ","")&amp;IF($AX284&lt;&gt;"",$AX284&amp;", ","")&amp;IF($AY284&lt;&gt;"",$AY284&amp;", ","")&amp;IF($AZ284&lt;&gt;"",$AZ284&amp;", ","")&amp;IF($BA284&lt;&gt;"",$BA284&amp;", ","")&amp;IF($BB284&lt;&gt;"",$BB284&amp;", ","")&amp;IF($BC284&lt;&gt;"",$BC284&amp;", ","")&amp;IF($DL284&lt;&gt;"",$DL284&amp;", ","")&amp;IF($DM284&lt;&gt;"",$DM284&amp;", ","")&amp;IF($DN284&lt;&gt;"",$DN284&amp;", ","")&amp;IF($DO284&lt;&gt;"",$DO284&amp;", ","")&amp;IF($DP284&lt;&gt;"",$DP284&amp;", ","")&amp;IF($DQ284&lt;&gt;"",$DQ284&amp;", ","")&amp;IF($DR284&lt;&gt;"",$DR284&amp;", ","")&amp;IF($DS284&lt;&gt;"",$DS284&amp;", ","")&amp;IF($DT284&lt;&gt;"",$DT284&amp;", ","")&amp;IF($DU284&lt;&gt;"",$DU284&amp;", ","")))-2)))))))</f>
        <v/>
      </c>
      <c r="CH284" t="str">
        <f t="shared" si="2082"/>
        <v/>
      </c>
      <c r="CI284" t="str">
        <f t="shared" si="2083"/>
        <v/>
      </c>
      <c r="CJ284" t="str">
        <f>IF($CI284="","",IF(OR($DW284="",$DX284=""),"ONZEKER",IF(OR($CF284="",$CG284=""),"ONZEKER",IF(AND($DW284=$CF284+1,$DX284=$CG284),IF(OR(COUNTIF(#REF!,$B284)&gt;0,COUNTIF(#REF!,$B284)=0),"SKIP",IF(COUNTIFS(#REF!,$B284,#REF!,$CI284)&gt;0,"OK","ONBEKEND")),IF(AND($DW284=$CF284,$DX284=$CG284+1),IF(OR(COUNTIF(#REF!,$D284)&gt;0,COUNTIF(#REF!,$D284)=0),"SKIP",IF(COUNTIFS(#REF!,$D284,#REF!,$CI284)&gt;0,"OK","ONBEKEND")),"ONZEKER")))))</f>
        <v/>
      </c>
      <c r="CK284" t="str">
        <f t="shared" si="2084"/>
        <v/>
      </c>
      <c r="CL284" t="str">
        <f t="shared" si="2085"/>
        <v/>
      </c>
      <c r="CM284" t="str">
        <f>IF($CL284="","",IF(OR($DZ284="",$EA284=""),"ONZEKER",IF(OR($DW284="",$DX284=""),"ONZEKER",IF(AND($DZ284=$DW284+1,$EA284=$DX284),IF(OR(COUNTIF(#REF!,$B284)&gt;0,COUNTIF(#REF!,$B284)=0),"SKIP",IF(COUNTIFS(#REF!,$B284,#REF!,$CL284)&gt;0,"OK","ONBEKEND")),IF(AND($DZ284=$DW284,$EA284=$DX284+1),IF(OR(COUNTIF(#REF!,$D284)&gt;0,COUNTIF(#REF!,$D284)=0),"SKIP",IF(COUNTIFS(#REF!,$D284,#REF!,$CL284)&gt;0,"OK","ONBEKEND")),"ONZEKER")))))</f>
        <v/>
      </c>
      <c r="CN284" t="str">
        <f t="shared" si="2086"/>
        <v/>
      </c>
      <c r="CO284" t="str">
        <f t="shared" si="2087"/>
        <v/>
      </c>
      <c r="CP284" t="str">
        <f>IF($CO284="","",IF(OR($EC284="",$ED284=""),"ONZEKER",IF(OR($DZ284="",$EA284=""),"ONZEKER",IF(AND($EC284=$DZ284+1,$ED284=$EA284),IF(OR(COUNTIF(#REF!,$B284)&gt;0,COUNTIF(#REF!,$B284)=0),"SKIP",IF(COUNTIFS(#REF!,$B284,#REF!,$CO284)&gt;0,"OK","ONBEKEND")),IF(AND($EC284=$DZ284,$ED284=$EA284+1),IF(OR(COUNTIF(#REF!,$D284)&gt;0,COUNTIF(#REF!,$D284)=0),"SKIP",IF(COUNTIFS(#REF!,$D284,#REF!,$CO284)&gt;0,"OK","ONBEKEND")),"ONZEKER")))))</f>
        <v/>
      </c>
      <c r="CQ284" t="str">
        <f t="shared" si="2088"/>
        <v/>
      </c>
      <c r="CR284" t="str">
        <f t="shared" si="2089"/>
        <v/>
      </c>
      <c r="CS284" t="str">
        <f>IF($CR284="","",IF(OR($EF284="",$EG284=""),"ONZEKER",IF(OR($EC284="",$ED284=""),"ONZEKER",IF(AND($EF284=$EC284+1,$EG284=$ED284),IF(OR(COUNTIF(#REF!,$B284)&gt;0,COUNTIF(#REF!,$B284)=0),"SKIP",IF(COUNTIFS(#REF!,$B284,#REF!,$CR284)&gt;0,"OK","ONBEKEND")),IF(AND($EF284=$EC284,$EG284=$ED284+1),IF(OR(COUNTIF(#REF!,$D284)&gt;0,COUNTIF(#REF!,$D284)=0),"SKIP",IF(COUNTIFS(#REF!,$D284,#REF!,$CR284)&gt;0,"OK","ONBEKEND")),"ONZEKER")))))</f>
        <v/>
      </c>
      <c r="CT284" t="str">
        <f t="shared" si="2090"/>
        <v/>
      </c>
      <c r="CU284" t="str">
        <f t="shared" si="2091"/>
        <v/>
      </c>
      <c r="CV284" t="str">
        <f>IF($CU284="","",IF(OR($EI284="",$EJ284=""),"ONZEKER",IF(OR($EF284="",$EG284=""),"ONZEKER",IF(AND($EI284=$EF284+1,$EJ284=$EG284),IF(OR(COUNTIF(#REF!,$B284)&gt;0,COUNTIF(#REF!,$B284)=0),"SKIP",IF(COUNTIFS(#REF!,$B284,#REF!,$CU284)&gt;0,"OK","ONBEKEND")),IF(AND($EI284=$EF284,$EJ284=$EG284+1),IF(OR(COUNTIF(#REF!,$D284)&gt;0,COUNTIF(#REF!,$D284)=0),"SKIP",IF(COUNTIFS(#REF!,$D284,#REF!,$CU284)&gt;0,"OK","ONBEKEND")),"ONZEKER")))))</f>
        <v/>
      </c>
      <c r="CW284" t="str">
        <f t="shared" si="2092"/>
        <v/>
      </c>
      <c r="CX284" t="str">
        <f t="shared" si="2093"/>
        <v/>
      </c>
      <c r="CY284" t="str">
        <f>IF($CX284="","",IF(OR($EL284="",$EM284=""),"ONZEKER",IF(OR($EI284="",$EJ284=""),"ONZEKER",IF(AND($EL284=$EI284+1,$EM284=$EJ284),IF(OR(COUNTIF(#REF!,$B284)&gt;0,COUNTIF(#REF!,$B284)=0),"SKIP",IF(COUNTIFS(#REF!,$B284,#REF!,$CX284)&gt;0,"OK","ONBEKEND")),IF(AND($EL284=$EI284,$EM284=$EJ284+1),IF(OR(COUNTIF(#REF!,$D284)&gt;0,COUNTIF(#REF!,$D284)=0),"SKIP",IF(COUNTIFS(#REF!,$D284,#REF!,$CX284)&gt;0,"OK","ONBEKEND")),"ONZEKER")))))</f>
        <v/>
      </c>
      <c r="CZ284" t="str">
        <f t="shared" si="2094"/>
        <v/>
      </c>
      <c r="DA284" t="str">
        <f t="shared" si="2095"/>
        <v/>
      </c>
      <c r="DB284" t="str">
        <f>IF($DA284="","",IF(OR($EO284="",$EP284=""),"ONZEKER",IF(OR($EL284="",$EM284=""),"ONZEKER",IF(AND($EO284=$EL284+1,$EP284=$EM284),IF(OR(COUNTIF(#REF!,$B284)&gt;0,COUNTIF(#REF!,$B284)=0),"SKIP",IF(COUNTIFS(#REF!,$B284,#REF!,$DA284)&gt;0,"OK","ONBEKEND")),IF(AND($EO284=$EL284,$EP284=$EM284+1),IF(OR(COUNTIF(#REF!,$D284)&gt;0,COUNTIF(#REF!,$D284)=0),"SKIP",IF(COUNTIFS(#REF!,$D284,#REF!,$DA284)&gt;0,"OK","ONBEKEND")),"ONZEKER")))))</f>
        <v/>
      </c>
      <c r="DC284" t="str">
        <f t="shared" si="2096"/>
        <v/>
      </c>
      <c r="DD284" t="str">
        <f t="shared" si="2097"/>
        <v/>
      </c>
      <c r="DE284" t="str">
        <f>IF($DD284="","",IF(OR($ER284="",$ES284=""),"ONZEKER",IF(OR($EO284="",$EP284=""),"ONZEKER",IF(AND($ER284=$EO284+1,$ES284=$EP284),IF(OR(COUNTIF(#REF!,$B284)&gt;0,COUNTIF(#REF!,$B284)=0),"SKIP",IF(COUNTIFS(#REF!,$B284,#REF!,$DD284)&gt;0,"OK","ONBEKEND")),IF(AND($ER284=$EO284,$ES284=$EP284+1),IF(OR(COUNTIF(#REF!,$D284)&gt;0,COUNTIF(#REF!,$D284)=0),"SKIP",IF(COUNTIFS(#REF!,$D284,#REF!,$DD284)&gt;0,"OK","ONBEKEND")),"ONZEKER")))))</f>
        <v/>
      </c>
      <c r="DF284" t="str">
        <f t="shared" si="2098"/>
        <v/>
      </c>
      <c r="DG284" t="str">
        <f t="shared" si="2099"/>
        <v/>
      </c>
      <c r="DH284" t="str">
        <f>IF($DG284="","",IF(OR($EU284="",$EV284=""),"ONZEKER",IF(OR($ER284="",$ES284=""),"ONZEKER",IF(AND($EU284=$ER284+1,$EV284=$ES284),IF(OR(COUNTIF(#REF!,$B284)&gt;0,COUNTIF(#REF!,$B284)=0),"SKIP",IF(COUNTIFS(#REF!,$B284,#REF!,$DG284)&gt;0,"OK","ONBEKEND")),IF(AND($EU284=$ER284,$EV284=$ES284+1),IF(OR(COUNTIF(#REF!,$D284)&gt;0,COUNTIF(#REF!,$D284)=0),"SKIP",IF(COUNTIFS(#REF!,$D284,#REF!,$DG284)&gt;0,"OK","ONBEKEND")),"ONZEKER")))))</f>
        <v/>
      </c>
      <c r="DI284" t="str">
        <f t="shared" si="2100"/>
        <v/>
      </c>
      <c r="DJ284" t="str">
        <f t="shared" si="2101"/>
        <v/>
      </c>
      <c r="DK284" t="str">
        <f>IF($DJ284="","",IF(OR($EX284="",$EY284=""),"ONZEKER",IF(OR($EU284="",$EV284=""),"ONZEKER",IF(AND($EX284=$EU284+1,$EY284=$EV284),IF(OR(COUNTIF(#REF!,$B284)&gt;0,COUNTIF(#REF!,$B284)=0),"SKIP",IF(COUNTIFS(#REF!,$B284,#REF!,$DJ284)&gt;0,"OK","ONBEKEND")),IF(AND($EX284=$EU284,$EY284=$EV284+1),IF(OR(COUNTIF(#REF!,$D284)&gt;0,COUNTIF(#REF!,$D284)=0),"SKIP",IF(COUNTIFS(#REF!,$D284,#REF!,$DJ284)&gt;0,"OK","ONBEKEND")),"ONZEKER")))))</f>
        <v/>
      </c>
      <c r="DL284" t="str">
        <f t="shared" si="2102"/>
        <v/>
      </c>
      <c r="DM284" t="str">
        <f t="shared" si="2103"/>
        <v/>
      </c>
      <c r="DN284" t="str">
        <f t="shared" si="2104"/>
        <v/>
      </c>
      <c r="DO284" t="str">
        <f t="shared" si="2105"/>
        <v/>
      </c>
      <c r="DP284" t="str">
        <f t="shared" si="2106"/>
        <v/>
      </c>
      <c r="DQ284" t="str">
        <f t="shared" si="2107"/>
        <v/>
      </c>
      <c r="DR284" t="str">
        <f t="shared" si="2108"/>
        <v/>
      </c>
      <c r="DS284" t="str">
        <f t="shared" si="2109"/>
        <v/>
      </c>
      <c r="DT284" t="str">
        <f t="shared" si="2110"/>
        <v/>
      </c>
      <c r="DU284" t="str">
        <f t="shared" si="2111"/>
        <v/>
      </c>
      <c r="DV284" t="str">
        <f t="shared" si="2112"/>
        <v/>
      </c>
      <c r="DW284" t="str">
        <f t="shared" si="2113"/>
        <v/>
      </c>
      <c r="DX284" t="str">
        <f t="shared" si="2114"/>
        <v/>
      </c>
      <c r="DY284" t="str">
        <f t="shared" si="2115"/>
        <v/>
      </c>
      <c r="DZ284" t="str">
        <f t="shared" si="2116"/>
        <v/>
      </c>
      <c r="EA284" t="str">
        <f t="shared" si="2117"/>
        <v/>
      </c>
      <c r="EB284" t="str">
        <f t="shared" si="2118"/>
        <v/>
      </c>
      <c r="EC284" t="str">
        <f t="shared" si="2119"/>
        <v/>
      </c>
      <c r="ED284" t="str">
        <f t="shared" si="2120"/>
        <v/>
      </c>
      <c r="EE284" t="str">
        <f t="shared" si="2121"/>
        <v/>
      </c>
      <c r="EF284" t="str">
        <f t="shared" si="2122"/>
        <v/>
      </c>
      <c r="EG284" t="str">
        <f t="shared" si="2123"/>
        <v/>
      </c>
      <c r="EH284" t="str">
        <f t="shared" si="2124"/>
        <v/>
      </c>
      <c r="EI284" t="str">
        <f t="shared" si="2125"/>
        <v/>
      </c>
      <c r="EJ284" t="str">
        <f t="shared" si="2126"/>
        <v/>
      </c>
      <c r="EK284" t="str">
        <f t="shared" si="2127"/>
        <v/>
      </c>
      <c r="EL284" t="str">
        <f t="shared" si="2128"/>
        <v/>
      </c>
      <c r="EM284" t="str">
        <f t="shared" si="2129"/>
        <v/>
      </c>
      <c r="EN284" t="str">
        <f t="shared" si="2130"/>
        <v/>
      </c>
      <c r="EO284" t="str">
        <f t="shared" si="2131"/>
        <v/>
      </c>
      <c r="EP284" t="str">
        <f t="shared" si="2132"/>
        <v/>
      </c>
      <c r="EQ284" t="str">
        <f t="shared" si="2133"/>
        <v/>
      </c>
      <c r="ER284" t="str">
        <f t="shared" si="2134"/>
        <v/>
      </c>
      <c r="ES284" t="str">
        <f t="shared" si="2135"/>
        <v/>
      </c>
      <c r="ET284" t="str">
        <f t="shared" si="2136"/>
        <v/>
      </c>
      <c r="EU284" t="str">
        <f t="shared" si="2137"/>
        <v/>
      </c>
      <c r="EV284" t="str">
        <f t="shared" si="2138"/>
        <v/>
      </c>
      <c r="EW284" t="str">
        <f t="shared" si="2139"/>
        <v/>
      </c>
      <c r="EX284" t="str">
        <f t="shared" si="2140"/>
        <v/>
      </c>
      <c r="EY284" t="str">
        <f t="shared" si="2141"/>
        <v/>
      </c>
    </row>
    <row r="285" spans="1:155" ht="13.9" customHeight="1" x14ac:dyDescent="0.25">
      <c r="B285" s="23"/>
      <c r="D285" s="23"/>
      <c r="F285" s="18">
        <v>0</v>
      </c>
      <c r="G285" s="7" t="s">
        <v>147</v>
      </c>
      <c r="H285" s="18">
        <v>0</v>
      </c>
      <c r="I285" s="19">
        <v>0</v>
      </c>
      <c r="J285" s="7" t="s">
        <v>147</v>
      </c>
      <c r="K285" s="19">
        <v>0</v>
      </c>
      <c r="L285" s="9"/>
      <c r="M285" s="13" t="str">
        <f>IF($L285="","",IF($L285="DOELPUNTENMAKERS","",IF(AND(COUNTIF(#REF!,$B285)=0,COUNTIF(#REF!,$D285)=0),"OK",IF($O285&gt;20,"LET OP: meer dan 20 items (controle onvolledig)",IF((COUNTIF($R285:$AS285,"ONZEKER")+COUNTIF($CJ285:$DK285,"ONZEKER"))&gt;0,"LET OP: scoreverloop onduidelijk (controle beperkt)",IF((IF($AT285&lt;&gt;"",$AT285&amp;", ","")&amp;IF($AU285&lt;&gt;"",$AU285&amp;", ","")&amp;IF($AV285&lt;&gt;"",$AV285&amp;", ","")&amp;IF($AW285&lt;&gt;"",$AW285&amp;", ","")&amp;IF($AX285&lt;&gt;"",$AX285&amp;", ","")&amp;IF($AY285&lt;&gt;"",$AY285&amp;", ","")&amp;IF($AZ285&lt;&gt;"",$AZ285&amp;", ","")&amp;IF($BA285&lt;&gt;"",$BA285&amp;", ","")&amp;IF($BB285&lt;&gt;"",$BB285&amp;", ","")&amp;IF($BC285&lt;&gt;"",$BC285&amp;", ","")&amp;IF($DL285&lt;&gt;"",$DL285&amp;", ","")&amp;IF($DM285&lt;&gt;"",$DM285&amp;", ","")&amp;IF($DN285&lt;&gt;"",$DN285&amp;", ","")&amp;IF($DO285&lt;&gt;"",$DO285&amp;", ","")&amp;IF($DP285&lt;&gt;"",$DP285&amp;", ","")&amp;IF($DQ285&lt;&gt;"",$DQ285&amp;", ","")&amp;IF($DR285&lt;&gt;"",$DR285&amp;", ","")&amp;IF($DS285&lt;&gt;"",$DS285&amp;", ","")&amp;IF($DT285&lt;&gt;"",$DT285&amp;", ","")&amp;IF($DU285&lt;&gt;"",$DU285&amp;", ",""))="","OK","Onbekend: "&amp;LEFT((IF($AT285&lt;&gt;"",$AT285&amp;", ","")&amp;IF($AU285&lt;&gt;"",$AU285&amp;", ","")&amp;IF($AV285&lt;&gt;"",$AV285&amp;", ","")&amp;IF($AW285&lt;&gt;"",$AW285&amp;", ","")&amp;IF($AX285&lt;&gt;"",$AX285&amp;", ","")&amp;IF($AY285&lt;&gt;"",$AY285&amp;", ","")&amp;IF($AZ285&lt;&gt;"",$AZ285&amp;", ","")&amp;IF($BA285&lt;&gt;"",$BA285&amp;", ","")&amp;IF($BB285&lt;&gt;"",$BB285&amp;", ","")&amp;IF($BC285&lt;&gt;"",$BC285&amp;", ","")&amp;IF($DL285&lt;&gt;"",$DL285&amp;", ","")&amp;IF($DM285&lt;&gt;"",$DM285&amp;", ","")&amp;IF($DN285&lt;&gt;"",$DN285&amp;", ","")&amp;IF($DO285&lt;&gt;"",$DO285&amp;", ","")&amp;IF($DP285&lt;&gt;"",$DP285&amp;", ","")&amp;IF($DQ285&lt;&gt;"",$DQ285&amp;", ","")&amp;IF($DR285&lt;&gt;"",$DR285&amp;", ","")&amp;IF($DS285&lt;&gt;"",$DS285&amp;", ","")&amp;IF($DT285&lt;&gt;"",$DT285&amp;", ","")&amp;IF($DU285&lt;&gt;"",$DU285&amp;", ","")),LEN((IF($AT285&lt;&gt;"",$AT285&amp;", ","")&amp;IF($AU285&lt;&gt;"",$AU285&amp;", ","")&amp;IF($AV285&lt;&gt;"",$AV285&amp;", ","")&amp;IF($AW285&lt;&gt;"",$AW285&amp;", ","")&amp;IF($AX285&lt;&gt;"",$AX285&amp;", ","")&amp;IF($AY285&lt;&gt;"",$AY285&amp;", ","")&amp;IF($AZ285&lt;&gt;"",$AZ285&amp;", ","")&amp;IF($BA285&lt;&gt;"",$BA285&amp;", ","")&amp;IF($BB285&lt;&gt;"",$BB285&amp;", ","")&amp;IF($BC285&lt;&gt;"",$BC285&amp;", ","")&amp;IF($DL285&lt;&gt;"",$DL285&amp;", ","")&amp;IF($DM285&lt;&gt;"",$DM285&amp;", ","")&amp;IF($DN285&lt;&gt;"",$DN285&amp;", ","")&amp;IF($DO285&lt;&gt;"",$DO285&amp;", ","")&amp;IF($DP285&lt;&gt;"",$DP285&amp;", ","")&amp;IF($DQ285&lt;&gt;"",$DQ285&amp;", ","")&amp;IF($DR285&lt;&gt;"",$DR285&amp;", ","")&amp;IF($DS285&lt;&gt;"",$DS285&amp;", ","")&amp;IF($DT285&lt;&gt;"",$DT285&amp;", ","")&amp;IF($DU285&lt;&gt;"",$DU285&amp;", ","")))-2)))))))</f>
        <v/>
      </c>
      <c r="CH285" t="str">
        <f t="shared" si="2082"/>
        <v/>
      </c>
      <c r="CI285" t="str">
        <f t="shared" si="2083"/>
        <v/>
      </c>
      <c r="CJ285" t="str">
        <f>IF($CI285="","",IF(OR($DW285="",$DX285=""),"ONZEKER",IF(OR($CF285="",$CG285=""),"ONZEKER",IF(AND($DW285=$CF285+1,$DX285=$CG285),IF(OR(COUNTIF(#REF!,$B285)&gt;0,COUNTIF(#REF!,$B285)=0),"SKIP",IF(COUNTIFS(#REF!,$B285,#REF!,$CI285)&gt;0,"OK","ONBEKEND")),IF(AND($DW285=$CF285,$DX285=$CG285+1),IF(OR(COUNTIF(#REF!,$D285)&gt;0,COUNTIF(#REF!,$D285)=0),"SKIP",IF(COUNTIFS(#REF!,$D285,#REF!,$CI285)&gt;0,"OK","ONBEKEND")),"ONZEKER")))))</f>
        <v/>
      </c>
      <c r="CK285" t="str">
        <f t="shared" si="2084"/>
        <v/>
      </c>
      <c r="CL285" t="str">
        <f t="shared" si="2085"/>
        <v/>
      </c>
      <c r="CM285" t="str">
        <f>IF($CL285="","",IF(OR($DZ285="",$EA285=""),"ONZEKER",IF(OR($DW285="",$DX285=""),"ONZEKER",IF(AND($DZ285=$DW285+1,$EA285=$DX285),IF(OR(COUNTIF(#REF!,$B285)&gt;0,COUNTIF(#REF!,$B285)=0),"SKIP",IF(COUNTIFS(#REF!,$B285,#REF!,$CL285)&gt;0,"OK","ONBEKEND")),IF(AND($DZ285=$DW285,$EA285=$DX285+1),IF(OR(COUNTIF(#REF!,$D285)&gt;0,COUNTIF(#REF!,$D285)=0),"SKIP",IF(COUNTIFS(#REF!,$D285,#REF!,$CL285)&gt;0,"OK","ONBEKEND")),"ONZEKER")))))</f>
        <v/>
      </c>
      <c r="CN285" t="str">
        <f t="shared" si="2086"/>
        <v/>
      </c>
      <c r="CO285" t="str">
        <f t="shared" si="2087"/>
        <v/>
      </c>
      <c r="CP285" t="str">
        <f>IF($CO285="","",IF(OR($EC285="",$ED285=""),"ONZEKER",IF(OR($DZ285="",$EA285=""),"ONZEKER",IF(AND($EC285=$DZ285+1,$ED285=$EA285),IF(OR(COUNTIF(#REF!,$B285)&gt;0,COUNTIF(#REF!,$B285)=0),"SKIP",IF(COUNTIFS(#REF!,$B285,#REF!,$CO285)&gt;0,"OK","ONBEKEND")),IF(AND($EC285=$DZ285,$ED285=$EA285+1),IF(OR(COUNTIF(#REF!,$D285)&gt;0,COUNTIF(#REF!,$D285)=0),"SKIP",IF(COUNTIFS(#REF!,$D285,#REF!,$CO285)&gt;0,"OK","ONBEKEND")),"ONZEKER")))))</f>
        <v/>
      </c>
      <c r="CQ285" t="str">
        <f t="shared" si="2088"/>
        <v/>
      </c>
      <c r="CR285" t="str">
        <f t="shared" si="2089"/>
        <v/>
      </c>
      <c r="CS285" t="str">
        <f>IF($CR285="","",IF(OR($EF285="",$EG285=""),"ONZEKER",IF(OR($EC285="",$ED285=""),"ONZEKER",IF(AND($EF285=$EC285+1,$EG285=$ED285),IF(OR(COUNTIF(#REF!,$B285)&gt;0,COUNTIF(#REF!,$B285)=0),"SKIP",IF(COUNTIFS(#REF!,$B285,#REF!,$CR285)&gt;0,"OK","ONBEKEND")),IF(AND($EF285=$EC285,$EG285=$ED285+1),IF(OR(COUNTIF(#REF!,$D285)&gt;0,COUNTIF(#REF!,$D285)=0),"SKIP",IF(COUNTIFS(#REF!,$D285,#REF!,$CR285)&gt;0,"OK","ONBEKEND")),"ONZEKER")))))</f>
        <v/>
      </c>
      <c r="CT285" t="str">
        <f t="shared" si="2090"/>
        <v/>
      </c>
      <c r="CU285" t="str">
        <f t="shared" si="2091"/>
        <v/>
      </c>
      <c r="CV285" t="str">
        <f>IF($CU285="","",IF(OR($EI285="",$EJ285=""),"ONZEKER",IF(OR($EF285="",$EG285=""),"ONZEKER",IF(AND($EI285=$EF285+1,$EJ285=$EG285),IF(OR(COUNTIF(#REF!,$B285)&gt;0,COUNTIF(#REF!,$B285)=0),"SKIP",IF(COUNTIFS(#REF!,$B285,#REF!,$CU285)&gt;0,"OK","ONBEKEND")),IF(AND($EI285=$EF285,$EJ285=$EG285+1),IF(OR(COUNTIF(#REF!,$D285)&gt;0,COUNTIF(#REF!,$D285)=0),"SKIP",IF(COUNTIFS(#REF!,$D285,#REF!,$CU285)&gt;0,"OK","ONBEKEND")),"ONZEKER")))))</f>
        <v/>
      </c>
      <c r="CW285" t="str">
        <f t="shared" si="2092"/>
        <v/>
      </c>
      <c r="CX285" t="str">
        <f t="shared" si="2093"/>
        <v/>
      </c>
      <c r="CY285" t="str">
        <f>IF($CX285="","",IF(OR($EL285="",$EM285=""),"ONZEKER",IF(OR($EI285="",$EJ285=""),"ONZEKER",IF(AND($EL285=$EI285+1,$EM285=$EJ285),IF(OR(COUNTIF(#REF!,$B285)&gt;0,COUNTIF(#REF!,$B285)=0),"SKIP",IF(COUNTIFS(#REF!,$B285,#REF!,$CX285)&gt;0,"OK","ONBEKEND")),IF(AND($EL285=$EI285,$EM285=$EJ285+1),IF(OR(COUNTIF(#REF!,$D285)&gt;0,COUNTIF(#REF!,$D285)=0),"SKIP",IF(COUNTIFS(#REF!,$D285,#REF!,$CX285)&gt;0,"OK","ONBEKEND")),"ONZEKER")))))</f>
        <v/>
      </c>
      <c r="CZ285" t="str">
        <f t="shared" si="2094"/>
        <v/>
      </c>
      <c r="DA285" t="str">
        <f t="shared" si="2095"/>
        <v/>
      </c>
      <c r="DB285" t="str">
        <f>IF($DA285="","",IF(OR($EO285="",$EP285=""),"ONZEKER",IF(OR($EL285="",$EM285=""),"ONZEKER",IF(AND($EO285=$EL285+1,$EP285=$EM285),IF(OR(COUNTIF(#REF!,$B285)&gt;0,COUNTIF(#REF!,$B285)=0),"SKIP",IF(COUNTIFS(#REF!,$B285,#REF!,$DA285)&gt;0,"OK","ONBEKEND")),IF(AND($EO285=$EL285,$EP285=$EM285+1),IF(OR(COUNTIF(#REF!,$D285)&gt;0,COUNTIF(#REF!,$D285)=0),"SKIP",IF(COUNTIFS(#REF!,$D285,#REF!,$DA285)&gt;0,"OK","ONBEKEND")),"ONZEKER")))))</f>
        <v/>
      </c>
      <c r="DC285" t="str">
        <f t="shared" si="2096"/>
        <v/>
      </c>
      <c r="DD285" t="str">
        <f t="shared" si="2097"/>
        <v/>
      </c>
      <c r="DE285" t="str">
        <f>IF($DD285="","",IF(OR($ER285="",$ES285=""),"ONZEKER",IF(OR($EO285="",$EP285=""),"ONZEKER",IF(AND($ER285=$EO285+1,$ES285=$EP285),IF(OR(COUNTIF(#REF!,$B285)&gt;0,COUNTIF(#REF!,$B285)=0),"SKIP",IF(COUNTIFS(#REF!,$B285,#REF!,$DD285)&gt;0,"OK","ONBEKEND")),IF(AND($ER285=$EO285,$ES285=$EP285+1),IF(OR(COUNTIF(#REF!,$D285)&gt;0,COUNTIF(#REF!,$D285)=0),"SKIP",IF(COUNTIFS(#REF!,$D285,#REF!,$DD285)&gt;0,"OK","ONBEKEND")),"ONZEKER")))))</f>
        <v/>
      </c>
      <c r="DF285" t="str">
        <f t="shared" si="2098"/>
        <v/>
      </c>
      <c r="DG285" t="str">
        <f t="shared" si="2099"/>
        <v/>
      </c>
      <c r="DH285" t="str">
        <f>IF($DG285="","",IF(OR($EU285="",$EV285=""),"ONZEKER",IF(OR($ER285="",$ES285=""),"ONZEKER",IF(AND($EU285=$ER285+1,$EV285=$ES285),IF(OR(COUNTIF(#REF!,$B285)&gt;0,COUNTIF(#REF!,$B285)=0),"SKIP",IF(COUNTIFS(#REF!,$B285,#REF!,$DG285)&gt;0,"OK","ONBEKEND")),IF(AND($EU285=$ER285,$EV285=$ES285+1),IF(OR(COUNTIF(#REF!,$D285)&gt;0,COUNTIF(#REF!,$D285)=0),"SKIP",IF(COUNTIFS(#REF!,$D285,#REF!,$DG285)&gt;0,"OK","ONBEKEND")),"ONZEKER")))))</f>
        <v/>
      </c>
      <c r="DI285" t="str">
        <f t="shared" si="2100"/>
        <v/>
      </c>
      <c r="DJ285" t="str">
        <f t="shared" si="2101"/>
        <v/>
      </c>
      <c r="DK285" t="str">
        <f>IF($DJ285="","",IF(OR($EX285="",$EY285=""),"ONZEKER",IF(OR($EU285="",$EV285=""),"ONZEKER",IF(AND($EX285=$EU285+1,$EY285=$EV285),IF(OR(COUNTIF(#REF!,$B285)&gt;0,COUNTIF(#REF!,$B285)=0),"SKIP",IF(COUNTIFS(#REF!,$B285,#REF!,$DJ285)&gt;0,"OK","ONBEKEND")),IF(AND($EX285=$EU285,$EY285=$EV285+1),IF(OR(COUNTIF(#REF!,$D285)&gt;0,COUNTIF(#REF!,$D285)=0),"SKIP",IF(COUNTIFS(#REF!,$D285,#REF!,$DJ285)&gt;0,"OK","ONBEKEND")),"ONZEKER")))))</f>
        <v/>
      </c>
      <c r="DL285" t="str">
        <f t="shared" si="2102"/>
        <v/>
      </c>
      <c r="DM285" t="str">
        <f t="shared" si="2103"/>
        <v/>
      </c>
      <c r="DN285" t="str">
        <f t="shared" si="2104"/>
        <v/>
      </c>
      <c r="DO285" t="str">
        <f t="shared" si="2105"/>
        <v/>
      </c>
      <c r="DP285" t="str">
        <f t="shared" si="2106"/>
        <v/>
      </c>
      <c r="DQ285" t="str">
        <f t="shared" si="2107"/>
        <v/>
      </c>
      <c r="DR285" t="str">
        <f t="shared" si="2108"/>
        <v/>
      </c>
      <c r="DS285" t="str">
        <f t="shared" si="2109"/>
        <v/>
      </c>
      <c r="DT285" t="str">
        <f t="shared" si="2110"/>
        <v/>
      </c>
      <c r="DU285" t="str">
        <f t="shared" si="2111"/>
        <v/>
      </c>
      <c r="DV285" t="str">
        <f t="shared" si="2112"/>
        <v/>
      </c>
      <c r="DW285" t="str">
        <f t="shared" si="2113"/>
        <v/>
      </c>
      <c r="DX285" t="str">
        <f t="shared" si="2114"/>
        <v/>
      </c>
      <c r="DY285" t="str">
        <f t="shared" si="2115"/>
        <v/>
      </c>
      <c r="DZ285" t="str">
        <f t="shared" si="2116"/>
        <v/>
      </c>
      <c r="EA285" t="str">
        <f t="shared" si="2117"/>
        <v/>
      </c>
      <c r="EB285" t="str">
        <f t="shared" si="2118"/>
        <v/>
      </c>
      <c r="EC285" t="str">
        <f t="shared" si="2119"/>
        <v/>
      </c>
      <c r="ED285" t="str">
        <f t="shared" si="2120"/>
        <v/>
      </c>
      <c r="EE285" t="str">
        <f t="shared" si="2121"/>
        <v/>
      </c>
      <c r="EF285" t="str">
        <f t="shared" si="2122"/>
        <v/>
      </c>
      <c r="EG285" t="str">
        <f t="shared" si="2123"/>
        <v/>
      </c>
      <c r="EH285" t="str">
        <f t="shared" si="2124"/>
        <v/>
      </c>
      <c r="EI285" t="str">
        <f t="shared" si="2125"/>
        <v/>
      </c>
      <c r="EJ285" t="str">
        <f t="shared" si="2126"/>
        <v/>
      </c>
      <c r="EK285" t="str">
        <f t="shared" si="2127"/>
        <v/>
      </c>
      <c r="EL285" t="str">
        <f t="shared" si="2128"/>
        <v/>
      </c>
      <c r="EM285" t="str">
        <f t="shared" si="2129"/>
        <v/>
      </c>
      <c r="EN285" t="str">
        <f t="shared" si="2130"/>
        <v/>
      </c>
      <c r="EO285" t="str">
        <f t="shared" si="2131"/>
        <v/>
      </c>
      <c r="EP285" t="str">
        <f t="shared" si="2132"/>
        <v/>
      </c>
      <c r="EQ285" t="str">
        <f t="shared" si="2133"/>
        <v/>
      </c>
      <c r="ER285" t="str">
        <f t="shared" si="2134"/>
        <v/>
      </c>
      <c r="ES285" t="str">
        <f t="shared" si="2135"/>
        <v/>
      </c>
      <c r="ET285" t="str">
        <f t="shared" si="2136"/>
        <v/>
      </c>
      <c r="EU285" t="str">
        <f t="shared" si="2137"/>
        <v/>
      </c>
      <c r="EV285" t="str">
        <f t="shared" si="2138"/>
        <v/>
      </c>
      <c r="EW285" t="str">
        <f t="shared" si="2139"/>
        <v/>
      </c>
      <c r="EX285" t="str">
        <f t="shared" si="2140"/>
        <v/>
      </c>
      <c r="EY285" t="str">
        <f t="shared" si="2141"/>
        <v/>
      </c>
    </row>
    <row r="286" spans="1:155" ht="13.9" customHeight="1" x14ac:dyDescent="0.25">
      <c r="B286" s="23"/>
      <c r="D286" s="23"/>
      <c r="F286" s="18">
        <v>0</v>
      </c>
      <c r="G286" s="7" t="s">
        <v>147</v>
      </c>
      <c r="H286" s="18">
        <v>0</v>
      </c>
      <c r="I286" s="19">
        <v>0</v>
      </c>
      <c r="J286" s="7" t="s">
        <v>147</v>
      </c>
      <c r="K286" s="19">
        <v>0</v>
      </c>
      <c r="L286" s="9"/>
      <c r="M286" s="13" t="str">
        <f>IF($L286="","",IF($L286="DOELPUNTENMAKERS","",IF(AND(COUNTIF(#REF!,$B286)=0,COUNTIF(#REF!,$D286)=0),"OK",IF($O286&gt;20,"LET OP: meer dan 20 items (controle onvolledig)",IF((COUNTIF($R286:$AS286,"ONZEKER")+COUNTIF($CJ286:$DK286,"ONZEKER"))&gt;0,"LET OP: scoreverloop onduidelijk (controle beperkt)",IF((IF($AT286&lt;&gt;"",$AT286&amp;", ","")&amp;IF($AU286&lt;&gt;"",$AU286&amp;", ","")&amp;IF($AV286&lt;&gt;"",$AV286&amp;", ","")&amp;IF($AW286&lt;&gt;"",$AW286&amp;", ","")&amp;IF($AX286&lt;&gt;"",$AX286&amp;", ","")&amp;IF($AY286&lt;&gt;"",$AY286&amp;", ","")&amp;IF($AZ286&lt;&gt;"",$AZ286&amp;", ","")&amp;IF($BA286&lt;&gt;"",$BA286&amp;", ","")&amp;IF($BB286&lt;&gt;"",$BB286&amp;", ","")&amp;IF($BC286&lt;&gt;"",$BC286&amp;", ","")&amp;IF($DL286&lt;&gt;"",$DL286&amp;", ","")&amp;IF($DM286&lt;&gt;"",$DM286&amp;", ","")&amp;IF($DN286&lt;&gt;"",$DN286&amp;", ","")&amp;IF($DO286&lt;&gt;"",$DO286&amp;", ","")&amp;IF($DP286&lt;&gt;"",$DP286&amp;", ","")&amp;IF($DQ286&lt;&gt;"",$DQ286&amp;", ","")&amp;IF($DR286&lt;&gt;"",$DR286&amp;", ","")&amp;IF($DS286&lt;&gt;"",$DS286&amp;", ","")&amp;IF($DT286&lt;&gt;"",$DT286&amp;", ","")&amp;IF($DU286&lt;&gt;"",$DU286&amp;", ",""))="","OK","Onbekend: "&amp;LEFT((IF($AT286&lt;&gt;"",$AT286&amp;", ","")&amp;IF($AU286&lt;&gt;"",$AU286&amp;", ","")&amp;IF($AV286&lt;&gt;"",$AV286&amp;", ","")&amp;IF($AW286&lt;&gt;"",$AW286&amp;", ","")&amp;IF($AX286&lt;&gt;"",$AX286&amp;", ","")&amp;IF($AY286&lt;&gt;"",$AY286&amp;", ","")&amp;IF($AZ286&lt;&gt;"",$AZ286&amp;", ","")&amp;IF($BA286&lt;&gt;"",$BA286&amp;", ","")&amp;IF($BB286&lt;&gt;"",$BB286&amp;", ","")&amp;IF($BC286&lt;&gt;"",$BC286&amp;", ","")&amp;IF($DL286&lt;&gt;"",$DL286&amp;", ","")&amp;IF($DM286&lt;&gt;"",$DM286&amp;", ","")&amp;IF($DN286&lt;&gt;"",$DN286&amp;", ","")&amp;IF($DO286&lt;&gt;"",$DO286&amp;", ","")&amp;IF($DP286&lt;&gt;"",$DP286&amp;", ","")&amp;IF($DQ286&lt;&gt;"",$DQ286&amp;", ","")&amp;IF($DR286&lt;&gt;"",$DR286&amp;", ","")&amp;IF($DS286&lt;&gt;"",$DS286&amp;", ","")&amp;IF($DT286&lt;&gt;"",$DT286&amp;", ","")&amp;IF($DU286&lt;&gt;"",$DU286&amp;", ","")),LEN((IF($AT286&lt;&gt;"",$AT286&amp;", ","")&amp;IF($AU286&lt;&gt;"",$AU286&amp;", ","")&amp;IF($AV286&lt;&gt;"",$AV286&amp;", ","")&amp;IF($AW286&lt;&gt;"",$AW286&amp;", ","")&amp;IF($AX286&lt;&gt;"",$AX286&amp;", ","")&amp;IF($AY286&lt;&gt;"",$AY286&amp;", ","")&amp;IF($AZ286&lt;&gt;"",$AZ286&amp;", ","")&amp;IF($BA286&lt;&gt;"",$BA286&amp;", ","")&amp;IF($BB286&lt;&gt;"",$BB286&amp;", ","")&amp;IF($BC286&lt;&gt;"",$BC286&amp;", ","")&amp;IF($DL286&lt;&gt;"",$DL286&amp;", ","")&amp;IF($DM286&lt;&gt;"",$DM286&amp;", ","")&amp;IF($DN286&lt;&gt;"",$DN286&amp;", ","")&amp;IF($DO286&lt;&gt;"",$DO286&amp;", ","")&amp;IF($DP286&lt;&gt;"",$DP286&amp;", ","")&amp;IF($DQ286&lt;&gt;"",$DQ286&amp;", ","")&amp;IF($DR286&lt;&gt;"",$DR286&amp;", ","")&amp;IF($DS286&lt;&gt;"",$DS286&amp;", ","")&amp;IF($DT286&lt;&gt;"",$DT286&amp;", ","")&amp;IF($DU286&lt;&gt;"",$DU286&amp;", ","")))-2)))))))</f>
        <v/>
      </c>
      <c r="CH286" t="str">
        <f t="shared" si="2082"/>
        <v/>
      </c>
      <c r="CI286" t="str">
        <f t="shared" si="2083"/>
        <v/>
      </c>
      <c r="CJ286" t="str">
        <f>IF($CI286="","",IF(OR($DW286="",$DX286=""),"ONZEKER",IF(OR($CF286="",$CG286=""),"ONZEKER",IF(AND($DW286=$CF286+1,$DX286=$CG286),IF(OR(COUNTIF(#REF!,$B286)&gt;0,COUNTIF(#REF!,$B286)=0),"SKIP",IF(COUNTIFS(#REF!,$B286,#REF!,$CI286)&gt;0,"OK","ONBEKEND")),IF(AND($DW286=$CF286,$DX286=$CG286+1),IF(OR(COUNTIF(#REF!,$D286)&gt;0,COUNTIF(#REF!,$D286)=0),"SKIP",IF(COUNTIFS(#REF!,$D286,#REF!,$CI286)&gt;0,"OK","ONBEKEND")),"ONZEKER")))))</f>
        <v/>
      </c>
      <c r="CK286" t="str">
        <f t="shared" si="2084"/>
        <v/>
      </c>
      <c r="CL286" t="str">
        <f t="shared" si="2085"/>
        <v/>
      </c>
      <c r="CM286" t="str">
        <f>IF($CL286="","",IF(OR($DZ286="",$EA286=""),"ONZEKER",IF(OR($DW286="",$DX286=""),"ONZEKER",IF(AND($DZ286=$DW286+1,$EA286=$DX286),IF(OR(COUNTIF(#REF!,$B286)&gt;0,COUNTIF(#REF!,$B286)=0),"SKIP",IF(COUNTIFS(#REF!,$B286,#REF!,$CL286)&gt;0,"OK","ONBEKEND")),IF(AND($DZ286=$DW286,$EA286=$DX286+1),IF(OR(COUNTIF(#REF!,$D286)&gt;0,COUNTIF(#REF!,$D286)=0),"SKIP",IF(COUNTIFS(#REF!,$D286,#REF!,$CL286)&gt;0,"OK","ONBEKEND")),"ONZEKER")))))</f>
        <v/>
      </c>
      <c r="CN286" t="str">
        <f t="shared" si="2086"/>
        <v/>
      </c>
      <c r="CO286" t="str">
        <f t="shared" si="2087"/>
        <v/>
      </c>
      <c r="CP286" t="str">
        <f>IF($CO286="","",IF(OR($EC286="",$ED286=""),"ONZEKER",IF(OR($DZ286="",$EA286=""),"ONZEKER",IF(AND($EC286=$DZ286+1,$ED286=$EA286),IF(OR(COUNTIF(#REF!,$B286)&gt;0,COUNTIF(#REF!,$B286)=0),"SKIP",IF(COUNTIFS(#REF!,$B286,#REF!,$CO286)&gt;0,"OK","ONBEKEND")),IF(AND($EC286=$DZ286,$ED286=$EA286+1),IF(OR(COUNTIF(#REF!,$D286)&gt;0,COUNTIF(#REF!,$D286)=0),"SKIP",IF(COUNTIFS(#REF!,$D286,#REF!,$CO286)&gt;0,"OK","ONBEKEND")),"ONZEKER")))))</f>
        <v/>
      </c>
      <c r="CQ286" t="str">
        <f t="shared" si="2088"/>
        <v/>
      </c>
      <c r="CR286" t="str">
        <f t="shared" si="2089"/>
        <v/>
      </c>
      <c r="CS286" t="str">
        <f>IF($CR286="","",IF(OR($EF286="",$EG286=""),"ONZEKER",IF(OR($EC286="",$ED286=""),"ONZEKER",IF(AND($EF286=$EC286+1,$EG286=$ED286),IF(OR(COUNTIF(#REF!,$B286)&gt;0,COUNTIF(#REF!,$B286)=0),"SKIP",IF(COUNTIFS(#REF!,$B286,#REF!,$CR286)&gt;0,"OK","ONBEKEND")),IF(AND($EF286=$EC286,$EG286=$ED286+1),IF(OR(COUNTIF(#REF!,$D286)&gt;0,COUNTIF(#REF!,$D286)=0),"SKIP",IF(COUNTIFS(#REF!,$D286,#REF!,$CR286)&gt;0,"OK","ONBEKEND")),"ONZEKER")))))</f>
        <v/>
      </c>
      <c r="CT286" t="str">
        <f t="shared" si="2090"/>
        <v/>
      </c>
      <c r="CU286" t="str">
        <f t="shared" si="2091"/>
        <v/>
      </c>
      <c r="CV286" t="str">
        <f>IF($CU286="","",IF(OR($EI286="",$EJ286=""),"ONZEKER",IF(OR($EF286="",$EG286=""),"ONZEKER",IF(AND($EI286=$EF286+1,$EJ286=$EG286),IF(OR(COUNTIF(#REF!,$B286)&gt;0,COUNTIF(#REF!,$B286)=0),"SKIP",IF(COUNTIFS(#REF!,$B286,#REF!,$CU286)&gt;0,"OK","ONBEKEND")),IF(AND($EI286=$EF286,$EJ286=$EG286+1),IF(OR(COUNTIF(#REF!,$D286)&gt;0,COUNTIF(#REF!,$D286)=0),"SKIP",IF(COUNTIFS(#REF!,$D286,#REF!,$CU286)&gt;0,"OK","ONBEKEND")),"ONZEKER")))))</f>
        <v/>
      </c>
      <c r="CW286" t="str">
        <f t="shared" si="2092"/>
        <v/>
      </c>
      <c r="CX286" t="str">
        <f t="shared" si="2093"/>
        <v/>
      </c>
      <c r="CY286" t="str">
        <f>IF($CX286="","",IF(OR($EL286="",$EM286=""),"ONZEKER",IF(OR($EI286="",$EJ286=""),"ONZEKER",IF(AND($EL286=$EI286+1,$EM286=$EJ286),IF(OR(COUNTIF(#REF!,$B286)&gt;0,COUNTIF(#REF!,$B286)=0),"SKIP",IF(COUNTIFS(#REF!,$B286,#REF!,$CX286)&gt;0,"OK","ONBEKEND")),IF(AND($EL286=$EI286,$EM286=$EJ286+1),IF(OR(COUNTIF(#REF!,$D286)&gt;0,COUNTIF(#REF!,$D286)=0),"SKIP",IF(COUNTIFS(#REF!,$D286,#REF!,$CX286)&gt;0,"OK","ONBEKEND")),"ONZEKER")))))</f>
        <v/>
      </c>
      <c r="CZ286" t="str">
        <f t="shared" si="2094"/>
        <v/>
      </c>
      <c r="DA286" t="str">
        <f t="shared" si="2095"/>
        <v/>
      </c>
      <c r="DB286" t="str">
        <f>IF($DA286="","",IF(OR($EO286="",$EP286=""),"ONZEKER",IF(OR($EL286="",$EM286=""),"ONZEKER",IF(AND($EO286=$EL286+1,$EP286=$EM286),IF(OR(COUNTIF(#REF!,$B286)&gt;0,COUNTIF(#REF!,$B286)=0),"SKIP",IF(COUNTIFS(#REF!,$B286,#REF!,$DA286)&gt;0,"OK","ONBEKEND")),IF(AND($EO286=$EL286,$EP286=$EM286+1),IF(OR(COUNTIF(#REF!,$D286)&gt;0,COUNTIF(#REF!,$D286)=0),"SKIP",IF(COUNTIFS(#REF!,$D286,#REF!,$DA286)&gt;0,"OK","ONBEKEND")),"ONZEKER")))))</f>
        <v/>
      </c>
      <c r="DC286" t="str">
        <f t="shared" si="2096"/>
        <v/>
      </c>
      <c r="DD286" t="str">
        <f t="shared" si="2097"/>
        <v/>
      </c>
      <c r="DE286" t="str">
        <f>IF($DD286="","",IF(OR($ER286="",$ES286=""),"ONZEKER",IF(OR($EO286="",$EP286=""),"ONZEKER",IF(AND($ER286=$EO286+1,$ES286=$EP286),IF(OR(COUNTIF(#REF!,$B286)&gt;0,COUNTIF(#REF!,$B286)=0),"SKIP",IF(COUNTIFS(#REF!,$B286,#REF!,$DD286)&gt;0,"OK","ONBEKEND")),IF(AND($ER286=$EO286,$ES286=$EP286+1),IF(OR(COUNTIF(#REF!,$D286)&gt;0,COUNTIF(#REF!,$D286)=0),"SKIP",IF(COUNTIFS(#REF!,$D286,#REF!,$DD286)&gt;0,"OK","ONBEKEND")),"ONZEKER")))))</f>
        <v/>
      </c>
      <c r="DF286" t="str">
        <f t="shared" si="2098"/>
        <v/>
      </c>
      <c r="DG286" t="str">
        <f t="shared" si="2099"/>
        <v/>
      </c>
      <c r="DH286" t="str">
        <f>IF($DG286="","",IF(OR($EU286="",$EV286=""),"ONZEKER",IF(OR($ER286="",$ES286=""),"ONZEKER",IF(AND($EU286=$ER286+1,$EV286=$ES286),IF(OR(COUNTIF(#REF!,$B286)&gt;0,COUNTIF(#REF!,$B286)=0),"SKIP",IF(COUNTIFS(#REF!,$B286,#REF!,$DG286)&gt;0,"OK","ONBEKEND")),IF(AND($EU286=$ER286,$EV286=$ES286+1),IF(OR(COUNTIF(#REF!,$D286)&gt;0,COUNTIF(#REF!,$D286)=0),"SKIP",IF(COUNTIFS(#REF!,$D286,#REF!,$DG286)&gt;0,"OK","ONBEKEND")),"ONZEKER")))))</f>
        <v/>
      </c>
      <c r="DI286" t="str">
        <f t="shared" si="2100"/>
        <v/>
      </c>
      <c r="DJ286" t="str">
        <f t="shared" si="2101"/>
        <v/>
      </c>
      <c r="DK286" t="str">
        <f>IF($DJ286="","",IF(OR($EX286="",$EY286=""),"ONZEKER",IF(OR($EU286="",$EV286=""),"ONZEKER",IF(AND($EX286=$EU286+1,$EY286=$EV286),IF(OR(COUNTIF(#REF!,$B286)&gt;0,COUNTIF(#REF!,$B286)=0),"SKIP",IF(COUNTIFS(#REF!,$B286,#REF!,$DJ286)&gt;0,"OK","ONBEKEND")),IF(AND($EX286=$EU286,$EY286=$EV286+1),IF(OR(COUNTIF(#REF!,$D286)&gt;0,COUNTIF(#REF!,$D286)=0),"SKIP",IF(COUNTIFS(#REF!,$D286,#REF!,$DJ286)&gt;0,"OK","ONBEKEND")),"ONZEKER")))))</f>
        <v/>
      </c>
      <c r="DL286" t="str">
        <f t="shared" si="2102"/>
        <v/>
      </c>
      <c r="DM286" t="str">
        <f t="shared" si="2103"/>
        <v/>
      </c>
      <c r="DN286" t="str">
        <f t="shared" si="2104"/>
        <v/>
      </c>
      <c r="DO286" t="str">
        <f t="shared" si="2105"/>
        <v/>
      </c>
      <c r="DP286" t="str">
        <f t="shared" si="2106"/>
        <v/>
      </c>
      <c r="DQ286" t="str">
        <f t="shared" si="2107"/>
        <v/>
      </c>
      <c r="DR286" t="str">
        <f t="shared" si="2108"/>
        <v/>
      </c>
      <c r="DS286" t="str">
        <f t="shared" si="2109"/>
        <v/>
      </c>
      <c r="DT286" t="str">
        <f t="shared" si="2110"/>
        <v/>
      </c>
      <c r="DU286" t="str">
        <f t="shared" si="2111"/>
        <v/>
      </c>
      <c r="DV286" t="str">
        <f t="shared" si="2112"/>
        <v/>
      </c>
      <c r="DW286" t="str">
        <f t="shared" si="2113"/>
        <v/>
      </c>
      <c r="DX286" t="str">
        <f t="shared" si="2114"/>
        <v/>
      </c>
      <c r="DY286" t="str">
        <f t="shared" si="2115"/>
        <v/>
      </c>
      <c r="DZ286" t="str">
        <f t="shared" si="2116"/>
        <v/>
      </c>
      <c r="EA286" t="str">
        <f t="shared" si="2117"/>
        <v/>
      </c>
      <c r="EB286" t="str">
        <f t="shared" si="2118"/>
        <v/>
      </c>
      <c r="EC286" t="str">
        <f t="shared" si="2119"/>
        <v/>
      </c>
      <c r="ED286" t="str">
        <f t="shared" si="2120"/>
        <v/>
      </c>
      <c r="EE286" t="str">
        <f t="shared" si="2121"/>
        <v/>
      </c>
      <c r="EF286" t="str">
        <f t="shared" si="2122"/>
        <v/>
      </c>
      <c r="EG286" t="str">
        <f t="shared" si="2123"/>
        <v/>
      </c>
      <c r="EH286" t="str">
        <f t="shared" si="2124"/>
        <v/>
      </c>
      <c r="EI286" t="str">
        <f t="shared" si="2125"/>
        <v/>
      </c>
      <c r="EJ286" t="str">
        <f t="shared" si="2126"/>
        <v/>
      </c>
      <c r="EK286" t="str">
        <f t="shared" si="2127"/>
        <v/>
      </c>
      <c r="EL286" t="str">
        <f t="shared" si="2128"/>
        <v/>
      </c>
      <c r="EM286" t="str">
        <f t="shared" si="2129"/>
        <v/>
      </c>
      <c r="EN286" t="str">
        <f t="shared" si="2130"/>
        <v/>
      </c>
      <c r="EO286" t="str">
        <f t="shared" si="2131"/>
        <v/>
      </c>
      <c r="EP286" t="str">
        <f t="shared" si="2132"/>
        <v/>
      </c>
      <c r="EQ286" t="str">
        <f t="shared" si="2133"/>
        <v/>
      </c>
      <c r="ER286" t="str">
        <f t="shared" si="2134"/>
        <v/>
      </c>
      <c r="ES286" t="str">
        <f t="shared" si="2135"/>
        <v/>
      </c>
      <c r="ET286" t="str">
        <f t="shared" si="2136"/>
        <v/>
      </c>
      <c r="EU286" t="str">
        <f t="shared" si="2137"/>
        <v/>
      </c>
      <c r="EV286" t="str">
        <f t="shared" si="2138"/>
        <v/>
      </c>
      <c r="EW286" t="str">
        <f t="shared" si="2139"/>
        <v/>
      </c>
      <c r="EX286" t="str">
        <f t="shared" si="2140"/>
        <v/>
      </c>
      <c r="EY286" t="str">
        <f t="shared" si="2141"/>
        <v/>
      </c>
    </row>
    <row r="287" spans="1:155" ht="13.9" customHeight="1" x14ac:dyDescent="0.25">
      <c r="B287" s="23"/>
      <c r="D287" s="23"/>
      <c r="F287" s="18">
        <v>0</v>
      </c>
      <c r="G287" s="7" t="s">
        <v>147</v>
      </c>
      <c r="H287" s="18">
        <v>0</v>
      </c>
      <c r="I287" s="19">
        <v>0</v>
      </c>
      <c r="J287" s="7" t="s">
        <v>147</v>
      </c>
      <c r="K287" s="19">
        <v>0</v>
      </c>
      <c r="L287" s="9"/>
      <c r="M287" s="13" t="str">
        <f>IF($L287="","",IF($L287="DOELPUNTENMAKERS","",IF(AND(COUNTIF(#REF!,$B287)=0,COUNTIF(#REF!,$D287)=0),"OK",IF($O287&gt;20,"LET OP: meer dan 20 items (controle onvolledig)",IF((COUNTIF($R287:$AS287,"ONZEKER")+COUNTIF($CJ287:$DK287,"ONZEKER"))&gt;0,"LET OP: scoreverloop onduidelijk (controle beperkt)",IF((IF($AT287&lt;&gt;"",$AT287&amp;", ","")&amp;IF($AU287&lt;&gt;"",$AU287&amp;", ","")&amp;IF($AV287&lt;&gt;"",$AV287&amp;", ","")&amp;IF($AW287&lt;&gt;"",$AW287&amp;", ","")&amp;IF($AX287&lt;&gt;"",$AX287&amp;", ","")&amp;IF($AY287&lt;&gt;"",$AY287&amp;", ","")&amp;IF($AZ287&lt;&gt;"",$AZ287&amp;", ","")&amp;IF($BA287&lt;&gt;"",$BA287&amp;", ","")&amp;IF($BB287&lt;&gt;"",$BB287&amp;", ","")&amp;IF($BC287&lt;&gt;"",$BC287&amp;", ","")&amp;IF($DL287&lt;&gt;"",$DL287&amp;", ","")&amp;IF($DM287&lt;&gt;"",$DM287&amp;", ","")&amp;IF($DN287&lt;&gt;"",$DN287&amp;", ","")&amp;IF($DO287&lt;&gt;"",$DO287&amp;", ","")&amp;IF($DP287&lt;&gt;"",$DP287&amp;", ","")&amp;IF($DQ287&lt;&gt;"",$DQ287&amp;", ","")&amp;IF($DR287&lt;&gt;"",$DR287&amp;", ","")&amp;IF($DS287&lt;&gt;"",$DS287&amp;", ","")&amp;IF($DT287&lt;&gt;"",$DT287&amp;", ","")&amp;IF($DU287&lt;&gt;"",$DU287&amp;", ",""))="","OK","Onbekend: "&amp;LEFT((IF($AT287&lt;&gt;"",$AT287&amp;", ","")&amp;IF($AU287&lt;&gt;"",$AU287&amp;", ","")&amp;IF($AV287&lt;&gt;"",$AV287&amp;", ","")&amp;IF($AW287&lt;&gt;"",$AW287&amp;", ","")&amp;IF($AX287&lt;&gt;"",$AX287&amp;", ","")&amp;IF($AY287&lt;&gt;"",$AY287&amp;", ","")&amp;IF($AZ287&lt;&gt;"",$AZ287&amp;", ","")&amp;IF($BA287&lt;&gt;"",$BA287&amp;", ","")&amp;IF($BB287&lt;&gt;"",$BB287&amp;", ","")&amp;IF($BC287&lt;&gt;"",$BC287&amp;", ","")&amp;IF($DL287&lt;&gt;"",$DL287&amp;", ","")&amp;IF($DM287&lt;&gt;"",$DM287&amp;", ","")&amp;IF($DN287&lt;&gt;"",$DN287&amp;", ","")&amp;IF($DO287&lt;&gt;"",$DO287&amp;", ","")&amp;IF($DP287&lt;&gt;"",$DP287&amp;", ","")&amp;IF($DQ287&lt;&gt;"",$DQ287&amp;", ","")&amp;IF($DR287&lt;&gt;"",$DR287&amp;", ","")&amp;IF($DS287&lt;&gt;"",$DS287&amp;", ","")&amp;IF($DT287&lt;&gt;"",$DT287&amp;", ","")&amp;IF($DU287&lt;&gt;"",$DU287&amp;", ","")),LEN((IF($AT287&lt;&gt;"",$AT287&amp;", ","")&amp;IF($AU287&lt;&gt;"",$AU287&amp;", ","")&amp;IF($AV287&lt;&gt;"",$AV287&amp;", ","")&amp;IF($AW287&lt;&gt;"",$AW287&amp;", ","")&amp;IF($AX287&lt;&gt;"",$AX287&amp;", ","")&amp;IF($AY287&lt;&gt;"",$AY287&amp;", ","")&amp;IF($AZ287&lt;&gt;"",$AZ287&amp;", ","")&amp;IF($BA287&lt;&gt;"",$BA287&amp;", ","")&amp;IF($BB287&lt;&gt;"",$BB287&amp;", ","")&amp;IF($BC287&lt;&gt;"",$BC287&amp;", ","")&amp;IF($DL287&lt;&gt;"",$DL287&amp;", ","")&amp;IF($DM287&lt;&gt;"",$DM287&amp;", ","")&amp;IF($DN287&lt;&gt;"",$DN287&amp;", ","")&amp;IF($DO287&lt;&gt;"",$DO287&amp;", ","")&amp;IF($DP287&lt;&gt;"",$DP287&amp;", ","")&amp;IF($DQ287&lt;&gt;"",$DQ287&amp;", ","")&amp;IF($DR287&lt;&gt;"",$DR287&amp;", ","")&amp;IF($DS287&lt;&gt;"",$DS287&amp;", ","")&amp;IF($DT287&lt;&gt;"",$DT287&amp;", ","")&amp;IF($DU287&lt;&gt;"",$DU287&amp;", ","")))-2)))))))</f>
        <v/>
      </c>
      <c r="CH287" t="str">
        <f t="shared" si="2082"/>
        <v/>
      </c>
      <c r="CI287" t="str">
        <f t="shared" si="2083"/>
        <v/>
      </c>
      <c r="CJ287" t="str">
        <f>IF($CI287="","",IF(OR($DW287="",$DX287=""),"ONZEKER",IF(OR($CF287="",$CG287=""),"ONZEKER",IF(AND($DW287=$CF287+1,$DX287=$CG287),IF(OR(COUNTIF(#REF!,$B287)&gt;0,COUNTIF(#REF!,$B287)=0),"SKIP",IF(COUNTIFS(#REF!,$B287,#REF!,$CI287)&gt;0,"OK","ONBEKEND")),IF(AND($DW287=$CF287,$DX287=$CG287+1),IF(OR(COUNTIF(#REF!,$D287)&gt;0,COUNTIF(#REF!,$D287)=0),"SKIP",IF(COUNTIFS(#REF!,$D287,#REF!,$CI287)&gt;0,"OK","ONBEKEND")),"ONZEKER")))))</f>
        <v/>
      </c>
      <c r="CK287" t="str">
        <f t="shared" si="2084"/>
        <v/>
      </c>
      <c r="CL287" t="str">
        <f t="shared" si="2085"/>
        <v/>
      </c>
      <c r="CM287" t="str">
        <f>IF($CL287="","",IF(OR($DZ287="",$EA287=""),"ONZEKER",IF(OR($DW287="",$DX287=""),"ONZEKER",IF(AND($DZ287=$DW287+1,$EA287=$DX287),IF(OR(COUNTIF(#REF!,$B287)&gt;0,COUNTIF(#REF!,$B287)=0),"SKIP",IF(COUNTIFS(#REF!,$B287,#REF!,$CL287)&gt;0,"OK","ONBEKEND")),IF(AND($DZ287=$DW287,$EA287=$DX287+1),IF(OR(COUNTIF(#REF!,$D287)&gt;0,COUNTIF(#REF!,$D287)=0),"SKIP",IF(COUNTIFS(#REF!,$D287,#REF!,$CL287)&gt;0,"OK","ONBEKEND")),"ONZEKER")))))</f>
        <v/>
      </c>
      <c r="CN287" t="str">
        <f t="shared" si="2086"/>
        <v/>
      </c>
      <c r="CO287" t="str">
        <f t="shared" si="2087"/>
        <v/>
      </c>
      <c r="CP287" t="str">
        <f>IF($CO287="","",IF(OR($EC287="",$ED287=""),"ONZEKER",IF(OR($DZ287="",$EA287=""),"ONZEKER",IF(AND($EC287=$DZ287+1,$ED287=$EA287),IF(OR(COUNTIF(#REF!,$B287)&gt;0,COUNTIF(#REF!,$B287)=0),"SKIP",IF(COUNTIFS(#REF!,$B287,#REF!,$CO287)&gt;0,"OK","ONBEKEND")),IF(AND($EC287=$DZ287,$ED287=$EA287+1),IF(OR(COUNTIF(#REF!,$D287)&gt;0,COUNTIF(#REF!,$D287)=0),"SKIP",IF(COUNTIFS(#REF!,$D287,#REF!,$CO287)&gt;0,"OK","ONBEKEND")),"ONZEKER")))))</f>
        <v/>
      </c>
      <c r="CQ287" t="str">
        <f t="shared" si="2088"/>
        <v/>
      </c>
      <c r="CR287" t="str">
        <f t="shared" si="2089"/>
        <v/>
      </c>
      <c r="CS287" t="str">
        <f>IF($CR287="","",IF(OR($EF287="",$EG287=""),"ONZEKER",IF(OR($EC287="",$ED287=""),"ONZEKER",IF(AND($EF287=$EC287+1,$EG287=$ED287),IF(OR(COUNTIF(#REF!,$B287)&gt;0,COUNTIF(#REF!,$B287)=0),"SKIP",IF(COUNTIFS(#REF!,$B287,#REF!,$CR287)&gt;0,"OK","ONBEKEND")),IF(AND($EF287=$EC287,$EG287=$ED287+1),IF(OR(COUNTIF(#REF!,$D287)&gt;0,COUNTIF(#REF!,$D287)=0),"SKIP",IF(COUNTIFS(#REF!,$D287,#REF!,$CR287)&gt;0,"OK","ONBEKEND")),"ONZEKER")))))</f>
        <v/>
      </c>
      <c r="CT287" t="str">
        <f t="shared" si="2090"/>
        <v/>
      </c>
      <c r="CU287" t="str">
        <f t="shared" si="2091"/>
        <v/>
      </c>
      <c r="CV287" t="str">
        <f>IF($CU287="","",IF(OR($EI287="",$EJ287=""),"ONZEKER",IF(OR($EF287="",$EG287=""),"ONZEKER",IF(AND($EI287=$EF287+1,$EJ287=$EG287),IF(OR(COUNTIF(#REF!,$B287)&gt;0,COUNTIF(#REF!,$B287)=0),"SKIP",IF(COUNTIFS(#REF!,$B287,#REF!,$CU287)&gt;0,"OK","ONBEKEND")),IF(AND($EI287=$EF287,$EJ287=$EG287+1),IF(OR(COUNTIF(#REF!,$D287)&gt;0,COUNTIF(#REF!,$D287)=0),"SKIP",IF(COUNTIFS(#REF!,$D287,#REF!,$CU287)&gt;0,"OK","ONBEKEND")),"ONZEKER")))))</f>
        <v/>
      </c>
      <c r="CW287" t="str">
        <f t="shared" si="2092"/>
        <v/>
      </c>
      <c r="CX287" t="str">
        <f t="shared" si="2093"/>
        <v/>
      </c>
      <c r="CY287" t="str">
        <f>IF($CX287="","",IF(OR($EL287="",$EM287=""),"ONZEKER",IF(OR($EI287="",$EJ287=""),"ONZEKER",IF(AND($EL287=$EI287+1,$EM287=$EJ287),IF(OR(COUNTIF(#REF!,$B287)&gt;0,COUNTIF(#REF!,$B287)=0),"SKIP",IF(COUNTIFS(#REF!,$B287,#REF!,$CX287)&gt;0,"OK","ONBEKEND")),IF(AND($EL287=$EI287,$EM287=$EJ287+1),IF(OR(COUNTIF(#REF!,$D287)&gt;0,COUNTIF(#REF!,$D287)=0),"SKIP",IF(COUNTIFS(#REF!,$D287,#REF!,$CX287)&gt;0,"OK","ONBEKEND")),"ONZEKER")))))</f>
        <v/>
      </c>
      <c r="CZ287" t="str">
        <f t="shared" si="2094"/>
        <v/>
      </c>
      <c r="DA287" t="str">
        <f t="shared" si="2095"/>
        <v/>
      </c>
      <c r="DB287" t="str">
        <f>IF($DA287="","",IF(OR($EO287="",$EP287=""),"ONZEKER",IF(OR($EL287="",$EM287=""),"ONZEKER",IF(AND($EO287=$EL287+1,$EP287=$EM287),IF(OR(COUNTIF(#REF!,$B287)&gt;0,COUNTIF(#REF!,$B287)=0),"SKIP",IF(COUNTIFS(#REF!,$B287,#REF!,$DA287)&gt;0,"OK","ONBEKEND")),IF(AND($EO287=$EL287,$EP287=$EM287+1),IF(OR(COUNTIF(#REF!,$D287)&gt;0,COUNTIF(#REF!,$D287)=0),"SKIP",IF(COUNTIFS(#REF!,$D287,#REF!,$DA287)&gt;0,"OK","ONBEKEND")),"ONZEKER")))))</f>
        <v/>
      </c>
      <c r="DC287" t="str">
        <f t="shared" si="2096"/>
        <v/>
      </c>
      <c r="DD287" t="str">
        <f t="shared" si="2097"/>
        <v/>
      </c>
      <c r="DE287" t="str">
        <f>IF($DD287="","",IF(OR($ER287="",$ES287=""),"ONZEKER",IF(OR($EO287="",$EP287=""),"ONZEKER",IF(AND($ER287=$EO287+1,$ES287=$EP287),IF(OR(COUNTIF(#REF!,$B287)&gt;0,COUNTIF(#REF!,$B287)=0),"SKIP",IF(COUNTIFS(#REF!,$B287,#REF!,$DD287)&gt;0,"OK","ONBEKEND")),IF(AND($ER287=$EO287,$ES287=$EP287+1),IF(OR(COUNTIF(#REF!,$D287)&gt;0,COUNTIF(#REF!,$D287)=0),"SKIP",IF(COUNTIFS(#REF!,$D287,#REF!,$DD287)&gt;0,"OK","ONBEKEND")),"ONZEKER")))))</f>
        <v/>
      </c>
      <c r="DF287" t="str">
        <f t="shared" si="2098"/>
        <v/>
      </c>
      <c r="DG287" t="str">
        <f t="shared" si="2099"/>
        <v/>
      </c>
      <c r="DH287" t="str">
        <f>IF($DG287="","",IF(OR($EU287="",$EV287=""),"ONZEKER",IF(OR($ER287="",$ES287=""),"ONZEKER",IF(AND($EU287=$ER287+1,$EV287=$ES287),IF(OR(COUNTIF(#REF!,$B287)&gt;0,COUNTIF(#REF!,$B287)=0),"SKIP",IF(COUNTIFS(#REF!,$B287,#REF!,$DG287)&gt;0,"OK","ONBEKEND")),IF(AND($EU287=$ER287,$EV287=$ES287+1),IF(OR(COUNTIF(#REF!,$D287)&gt;0,COUNTIF(#REF!,$D287)=0),"SKIP",IF(COUNTIFS(#REF!,$D287,#REF!,$DG287)&gt;0,"OK","ONBEKEND")),"ONZEKER")))))</f>
        <v/>
      </c>
      <c r="DI287" t="str">
        <f t="shared" si="2100"/>
        <v/>
      </c>
      <c r="DJ287" t="str">
        <f t="shared" si="2101"/>
        <v/>
      </c>
      <c r="DK287" t="str">
        <f>IF($DJ287="","",IF(OR($EX287="",$EY287=""),"ONZEKER",IF(OR($EU287="",$EV287=""),"ONZEKER",IF(AND($EX287=$EU287+1,$EY287=$EV287),IF(OR(COUNTIF(#REF!,$B287)&gt;0,COUNTIF(#REF!,$B287)=0),"SKIP",IF(COUNTIFS(#REF!,$B287,#REF!,$DJ287)&gt;0,"OK","ONBEKEND")),IF(AND($EX287=$EU287,$EY287=$EV287+1),IF(OR(COUNTIF(#REF!,$D287)&gt;0,COUNTIF(#REF!,$D287)=0),"SKIP",IF(COUNTIFS(#REF!,$D287,#REF!,$DJ287)&gt;0,"OK","ONBEKEND")),"ONZEKER")))))</f>
        <v/>
      </c>
      <c r="DL287" t="str">
        <f t="shared" si="2102"/>
        <v/>
      </c>
      <c r="DM287" t="str">
        <f t="shared" si="2103"/>
        <v/>
      </c>
      <c r="DN287" t="str">
        <f t="shared" si="2104"/>
        <v/>
      </c>
      <c r="DO287" t="str">
        <f t="shared" si="2105"/>
        <v/>
      </c>
      <c r="DP287" t="str">
        <f t="shared" si="2106"/>
        <v/>
      </c>
      <c r="DQ287" t="str">
        <f t="shared" si="2107"/>
        <v/>
      </c>
      <c r="DR287" t="str">
        <f t="shared" si="2108"/>
        <v/>
      </c>
      <c r="DS287" t="str">
        <f t="shared" si="2109"/>
        <v/>
      </c>
      <c r="DT287" t="str">
        <f t="shared" si="2110"/>
        <v/>
      </c>
      <c r="DU287" t="str">
        <f t="shared" si="2111"/>
        <v/>
      </c>
      <c r="DV287" t="str">
        <f t="shared" si="2112"/>
        <v/>
      </c>
      <c r="DW287" t="str">
        <f t="shared" si="2113"/>
        <v/>
      </c>
      <c r="DX287" t="str">
        <f t="shared" si="2114"/>
        <v/>
      </c>
      <c r="DY287" t="str">
        <f t="shared" si="2115"/>
        <v/>
      </c>
      <c r="DZ287" t="str">
        <f t="shared" si="2116"/>
        <v/>
      </c>
      <c r="EA287" t="str">
        <f t="shared" si="2117"/>
        <v/>
      </c>
      <c r="EB287" t="str">
        <f t="shared" si="2118"/>
        <v/>
      </c>
      <c r="EC287" t="str">
        <f t="shared" si="2119"/>
        <v/>
      </c>
      <c r="ED287" t="str">
        <f t="shared" si="2120"/>
        <v/>
      </c>
      <c r="EE287" t="str">
        <f t="shared" si="2121"/>
        <v/>
      </c>
      <c r="EF287" t="str">
        <f t="shared" si="2122"/>
        <v/>
      </c>
      <c r="EG287" t="str">
        <f t="shared" si="2123"/>
        <v/>
      </c>
      <c r="EH287" t="str">
        <f t="shared" si="2124"/>
        <v/>
      </c>
      <c r="EI287" t="str">
        <f t="shared" si="2125"/>
        <v/>
      </c>
      <c r="EJ287" t="str">
        <f t="shared" si="2126"/>
        <v/>
      </c>
      <c r="EK287" t="str">
        <f t="shared" si="2127"/>
        <v/>
      </c>
      <c r="EL287" t="str">
        <f t="shared" si="2128"/>
        <v/>
      </c>
      <c r="EM287" t="str">
        <f t="shared" si="2129"/>
        <v/>
      </c>
      <c r="EN287" t="str">
        <f t="shared" si="2130"/>
        <v/>
      </c>
      <c r="EO287" t="str">
        <f t="shared" si="2131"/>
        <v/>
      </c>
      <c r="EP287" t="str">
        <f t="shared" si="2132"/>
        <v/>
      </c>
      <c r="EQ287" t="str">
        <f t="shared" si="2133"/>
        <v/>
      </c>
      <c r="ER287" t="str">
        <f t="shared" si="2134"/>
        <v/>
      </c>
      <c r="ES287" t="str">
        <f t="shared" si="2135"/>
        <v/>
      </c>
      <c r="ET287" t="str">
        <f t="shared" si="2136"/>
        <v/>
      </c>
      <c r="EU287" t="str">
        <f t="shared" si="2137"/>
        <v/>
      </c>
      <c r="EV287" t="str">
        <f t="shared" si="2138"/>
        <v/>
      </c>
      <c r="EW287" t="str">
        <f t="shared" si="2139"/>
        <v/>
      </c>
      <c r="EX287" t="str">
        <f t="shared" si="2140"/>
        <v/>
      </c>
      <c r="EY287" t="str">
        <f t="shared" si="2141"/>
        <v/>
      </c>
    </row>
    <row r="288" spans="1:155" ht="13.9" customHeight="1" x14ac:dyDescent="0.25">
      <c r="B288" s="23"/>
      <c r="D288" s="23"/>
      <c r="F288" s="18">
        <v>0</v>
      </c>
      <c r="G288" s="7" t="s">
        <v>147</v>
      </c>
      <c r="H288" s="18">
        <v>0</v>
      </c>
      <c r="I288" s="19">
        <v>0</v>
      </c>
      <c r="J288" s="7" t="s">
        <v>147</v>
      </c>
      <c r="K288" s="19">
        <v>0</v>
      </c>
      <c r="L288" s="9"/>
      <c r="M288" s="13" t="str">
        <f>IF($L288="","",IF($L288="DOELPUNTENMAKERS","",IF(AND(COUNTIF(#REF!,$B288)=0,COUNTIF(#REF!,$D288)=0),"OK",IF($O288&gt;20,"LET OP: meer dan 20 items (controle onvolledig)",IF((COUNTIF($R288:$AS288,"ONZEKER")+COUNTIF($CJ288:$DK288,"ONZEKER"))&gt;0,"LET OP: scoreverloop onduidelijk (controle beperkt)",IF((IF($AT288&lt;&gt;"",$AT288&amp;", ","")&amp;IF($AU288&lt;&gt;"",$AU288&amp;", ","")&amp;IF($AV288&lt;&gt;"",$AV288&amp;", ","")&amp;IF($AW288&lt;&gt;"",$AW288&amp;", ","")&amp;IF($AX288&lt;&gt;"",$AX288&amp;", ","")&amp;IF($AY288&lt;&gt;"",$AY288&amp;", ","")&amp;IF($AZ288&lt;&gt;"",$AZ288&amp;", ","")&amp;IF($BA288&lt;&gt;"",$BA288&amp;", ","")&amp;IF($BB288&lt;&gt;"",$BB288&amp;", ","")&amp;IF($BC288&lt;&gt;"",$BC288&amp;", ","")&amp;IF($DL288&lt;&gt;"",$DL288&amp;", ","")&amp;IF($DM288&lt;&gt;"",$DM288&amp;", ","")&amp;IF($DN288&lt;&gt;"",$DN288&amp;", ","")&amp;IF($DO288&lt;&gt;"",$DO288&amp;", ","")&amp;IF($DP288&lt;&gt;"",$DP288&amp;", ","")&amp;IF($DQ288&lt;&gt;"",$DQ288&amp;", ","")&amp;IF($DR288&lt;&gt;"",$DR288&amp;", ","")&amp;IF($DS288&lt;&gt;"",$DS288&amp;", ","")&amp;IF($DT288&lt;&gt;"",$DT288&amp;", ","")&amp;IF($DU288&lt;&gt;"",$DU288&amp;", ",""))="","OK","Onbekend: "&amp;LEFT((IF($AT288&lt;&gt;"",$AT288&amp;", ","")&amp;IF($AU288&lt;&gt;"",$AU288&amp;", ","")&amp;IF($AV288&lt;&gt;"",$AV288&amp;", ","")&amp;IF($AW288&lt;&gt;"",$AW288&amp;", ","")&amp;IF($AX288&lt;&gt;"",$AX288&amp;", ","")&amp;IF($AY288&lt;&gt;"",$AY288&amp;", ","")&amp;IF($AZ288&lt;&gt;"",$AZ288&amp;", ","")&amp;IF($BA288&lt;&gt;"",$BA288&amp;", ","")&amp;IF($BB288&lt;&gt;"",$BB288&amp;", ","")&amp;IF($BC288&lt;&gt;"",$BC288&amp;", ","")&amp;IF($DL288&lt;&gt;"",$DL288&amp;", ","")&amp;IF($DM288&lt;&gt;"",$DM288&amp;", ","")&amp;IF($DN288&lt;&gt;"",$DN288&amp;", ","")&amp;IF($DO288&lt;&gt;"",$DO288&amp;", ","")&amp;IF($DP288&lt;&gt;"",$DP288&amp;", ","")&amp;IF($DQ288&lt;&gt;"",$DQ288&amp;", ","")&amp;IF($DR288&lt;&gt;"",$DR288&amp;", ","")&amp;IF($DS288&lt;&gt;"",$DS288&amp;", ","")&amp;IF($DT288&lt;&gt;"",$DT288&amp;", ","")&amp;IF($DU288&lt;&gt;"",$DU288&amp;", ","")),LEN((IF($AT288&lt;&gt;"",$AT288&amp;", ","")&amp;IF($AU288&lt;&gt;"",$AU288&amp;", ","")&amp;IF($AV288&lt;&gt;"",$AV288&amp;", ","")&amp;IF($AW288&lt;&gt;"",$AW288&amp;", ","")&amp;IF($AX288&lt;&gt;"",$AX288&amp;", ","")&amp;IF($AY288&lt;&gt;"",$AY288&amp;", ","")&amp;IF($AZ288&lt;&gt;"",$AZ288&amp;", ","")&amp;IF($BA288&lt;&gt;"",$BA288&amp;", ","")&amp;IF($BB288&lt;&gt;"",$BB288&amp;", ","")&amp;IF($BC288&lt;&gt;"",$BC288&amp;", ","")&amp;IF($DL288&lt;&gt;"",$DL288&amp;", ","")&amp;IF($DM288&lt;&gt;"",$DM288&amp;", ","")&amp;IF($DN288&lt;&gt;"",$DN288&amp;", ","")&amp;IF($DO288&lt;&gt;"",$DO288&amp;", ","")&amp;IF($DP288&lt;&gt;"",$DP288&amp;", ","")&amp;IF($DQ288&lt;&gt;"",$DQ288&amp;", ","")&amp;IF($DR288&lt;&gt;"",$DR288&amp;", ","")&amp;IF($DS288&lt;&gt;"",$DS288&amp;", ","")&amp;IF($DT288&lt;&gt;"",$DT288&amp;", ","")&amp;IF($DU288&lt;&gt;"",$DU288&amp;", ","")))-2)))))))</f>
        <v/>
      </c>
      <c r="CH288" t="str">
        <f t="shared" si="2082"/>
        <v/>
      </c>
      <c r="CI288" t="str">
        <f t="shared" si="2083"/>
        <v/>
      </c>
      <c r="CJ288" t="str">
        <f>IF($CI288="","",IF(OR($DW288="",$DX288=""),"ONZEKER",IF(OR($CF288="",$CG288=""),"ONZEKER",IF(AND($DW288=$CF288+1,$DX288=$CG288),IF(OR(COUNTIF(#REF!,$B288)&gt;0,COUNTIF(#REF!,$B288)=0),"SKIP",IF(COUNTIFS(#REF!,$B288,#REF!,$CI288)&gt;0,"OK","ONBEKEND")),IF(AND($DW288=$CF288,$DX288=$CG288+1),IF(OR(COUNTIF(#REF!,$D288)&gt;0,COUNTIF(#REF!,$D288)=0),"SKIP",IF(COUNTIFS(#REF!,$D288,#REF!,$CI288)&gt;0,"OK","ONBEKEND")),"ONZEKER")))))</f>
        <v/>
      </c>
      <c r="CK288" t="str">
        <f t="shared" si="2084"/>
        <v/>
      </c>
      <c r="CL288" t="str">
        <f t="shared" si="2085"/>
        <v/>
      </c>
      <c r="CM288" t="str">
        <f>IF($CL288="","",IF(OR($DZ288="",$EA288=""),"ONZEKER",IF(OR($DW288="",$DX288=""),"ONZEKER",IF(AND($DZ288=$DW288+1,$EA288=$DX288),IF(OR(COUNTIF(#REF!,$B288)&gt;0,COUNTIF(#REF!,$B288)=0),"SKIP",IF(COUNTIFS(#REF!,$B288,#REF!,$CL288)&gt;0,"OK","ONBEKEND")),IF(AND($DZ288=$DW288,$EA288=$DX288+1),IF(OR(COUNTIF(#REF!,$D288)&gt;0,COUNTIF(#REF!,$D288)=0),"SKIP",IF(COUNTIFS(#REF!,$D288,#REF!,$CL288)&gt;0,"OK","ONBEKEND")),"ONZEKER")))))</f>
        <v/>
      </c>
      <c r="CN288" t="str">
        <f t="shared" si="2086"/>
        <v/>
      </c>
      <c r="CO288" t="str">
        <f t="shared" si="2087"/>
        <v/>
      </c>
      <c r="CP288" t="str">
        <f>IF($CO288="","",IF(OR($EC288="",$ED288=""),"ONZEKER",IF(OR($DZ288="",$EA288=""),"ONZEKER",IF(AND($EC288=$DZ288+1,$ED288=$EA288),IF(OR(COUNTIF(#REF!,$B288)&gt;0,COUNTIF(#REF!,$B288)=0),"SKIP",IF(COUNTIFS(#REF!,$B288,#REF!,$CO288)&gt;0,"OK","ONBEKEND")),IF(AND($EC288=$DZ288,$ED288=$EA288+1),IF(OR(COUNTIF(#REF!,$D288)&gt;0,COUNTIF(#REF!,$D288)=0),"SKIP",IF(COUNTIFS(#REF!,$D288,#REF!,$CO288)&gt;0,"OK","ONBEKEND")),"ONZEKER")))))</f>
        <v/>
      </c>
      <c r="CQ288" t="str">
        <f t="shared" si="2088"/>
        <v/>
      </c>
      <c r="CR288" t="str">
        <f t="shared" si="2089"/>
        <v/>
      </c>
      <c r="CS288" t="str">
        <f>IF($CR288="","",IF(OR($EF288="",$EG288=""),"ONZEKER",IF(OR($EC288="",$ED288=""),"ONZEKER",IF(AND($EF288=$EC288+1,$EG288=$ED288),IF(OR(COUNTIF(#REF!,$B288)&gt;0,COUNTIF(#REF!,$B288)=0),"SKIP",IF(COUNTIFS(#REF!,$B288,#REF!,$CR288)&gt;0,"OK","ONBEKEND")),IF(AND($EF288=$EC288,$EG288=$ED288+1),IF(OR(COUNTIF(#REF!,$D288)&gt;0,COUNTIF(#REF!,$D288)=0),"SKIP",IF(COUNTIFS(#REF!,$D288,#REF!,$CR288)&gt;0,"OK","ONBEKEND")),"ONZEKER")))))</f>
        <v/>
      </c>
      <c r="CT288" t="str">
        <f t="shared" si="2090"/>
        <v/>
      </c>
      <c r="CU288" t="str">
        <f t="shared" si="2091"/>
        <v/>
      </c>
      <c r="CV288" t="str">
        <f>IF($CU288="","",IF(OR($EI288="",$EJ288=""),"ONZEKER",IF(OR($EF288="",$EG288=""),"ONZEKER",IF(AND($EI288=$EF288+1,$EJ288=$EG288),IF(OR(COUNTIF(#REF!,$B288)&gt;0,COUNTIF(#REF!,$B288)=0),"SKIP",IF(COUNTIFS(#REF!,$B288,#REF!,$CU288)&gt;0,"OK","ONBEKEND")),IF(AND($EI288=$EF288,$EJ288=$EG288+1),IF(OR(COUNTIF(#REF!,$D288)&gt;0,COUNTIF(#REF!,$D288)=0),"SKIP",IF(COUNTIFS(#REF!,$D288,#REF!,$CU288)&gt;0,"OK","ONBEKEND")),"ONZEKER")))))</f>
        <v/>
      </c>
      <c r="CW288" t="str">
        <f t="shared" si="2092"/>
        <v/>
      </c>
      <c r="CX288" t="str">
        <f t="shared" si="2093"/>
        <v/>
      </c>
      <c r="CY288" t="str">
        <f>IF($CX288="","",IF(OR($EL288="",$EM288=""),"ONZEKER",IF(OR($EI288="",$EJ288=""),"ONZEKER",IF(AND($EL288=$EI288+1,$EM288=$EJ288),IF(OR(COUNTIF(#REF!,$B288)&gt;0,COUNTIF(#REF!,$B288)=0),"SKIP",IF(COUNTIFS(#REF!,$B288,#REF!,$CX288)&gt;0,"OK","ONBEKEND")),IF(AND($EL288=$EI288,$EM288=$EJ288+1),IF(OR(COUNTIF(#REF!,$D288)&gt;0,COUNTIF(#REF!,$D288)=0),"SKIP",IF(COUNTIFS(#REF!,$D288,#REF!,$CX288)&gt;0,"OK","ONBEKEND")),"ONZEKER")))))</f>
        <v/>
      </c>
      <c r="CZ288" t="str">
        <f t="shared" si="2094"/>
        <v/>
      </c>
      <c r="DA288" t="str">
        <f t="shared" si="2095"/>
        <v/>
      </c>
      <c r="DB288" t="str">
        <f>IF($DA288="","",IF(OR($EO288="",$EP288=""),"ONZEKER",IF(OR($EL288="",$EM288=""),"ONZEKER",IF(AND($EO288=$EL288+1,$EP288=$EM288),IF(OR(COUNTIF(#REF!,$B288)&gt;0,COUNTIF(#REF!,$B288)=0),"SKIP",IF(COUNTIFS(#REF!,$B288,#REF!,$DA288)&gt;0,"OK","ONBEKEND")),IF(AND($EO288=$EL288,$EP288=$EM288+1),IF(OR(COUNTIF(#REF!,$D288)&gt;0,COUNTIF(#REF!,$D288)=0),"SKIP",IF(COUNTIFS(#REF!,$D288,#REF!,$DA288)&gt;0,"OK","ONBEKEND")),"ONZEKER")))))</f>
        <v/>
      </c>
      <c r="DC288" t="str">
        <f t="shared" si="2096"/>
        <v/>
      </c>
      <c r="DD288" t="str">
        <f t="shared" si="2097"/>
        <v/>
      </c>
      <c r="DE288" t="str">
        <f>IF($DD288="","",IF(OR($ER288="",$ES288=""),"ONZEKER",IF(OR($EO288="",$EP288=""),"ONZEKER",IF(AND($ER288=$EO288+1,$ES288=$EP288),IF(OR(COUNTIF(#REF!,$B288)&gt;0,COUNTIF(#REF!,$B288)=0),"SKIP",IF(COUNTIFS(#REF!,$B288,#REF!,$DD288)&gt;0,"OK","ONBEKEND")),IF(AND($ER288=$EO288,$ES288=$EP288+1),IF(OR(COUNTIF(#REF!,$D288)&gt;0,COUNTIF(#REF!,$D288)=0),"SKIP",IF(COUNTIFS(#REF!,$D288,#REF!,$DD288)&gt;0,"OK","ONBEKEND")),"ONZEKER")))))</f>
        <v/>
      </c>
      <c r="DF288" t="str">
        <f t="shared" si="2098"/>
        <v/>
      </c>
      <c r="DG288" t="str">
        <f t="shared" si="2099"/>
        <v/>
      </c>
      <c r="DH288" t="str">
        <f>IF($DG288="","",IF(OR($EU288="",$EV288=""),"ONZEKER",IF(OR($ER288="",$ES288=""),"ONZEKER",IF(AND($EU288=$ER288+1,$EV288=$ES288),IF(OR(COUNTIF(#REF!,$B288)&gt;0,COUNTIF(#REF!,$B288)=0),"SKIP",IF(COUNTIFS(#REF!,$B288,#REF!,$DG288)&gt;0,"OK","ONBEKEND")),IF(AND($EU288=$ER288,$EV288=$ES288+1),IF(OR(COUNTIF(#REF!,$D288)&gt;0,COUNTIF(#REF!,$D288)=0),"SKIP",IF(COUNTIFS(#REF!,$D288,#REF!,$DG288)&gt;0,"OK","ONBEKEND")),"ONZEKER")))))</f>
        <v/>
      </c>
      <c r="DI288" t="str">
        <f t="shared" si="2100"/>
        <v/>
      </c>
      <c r="DJ288" t="str">
        <f t="shared" si="2101"/>
        <v/>
      </c>
      <c r="DK288" t="str">
        <f>IF($DJ288="","",IF(OR($EX288="",$EY288=""),"ONZEKER",IF(OR($EU288="",$EV288=""),"ONZEKER",IF(AND($EX288=$EU288+1,$EY288=$EV288),IF(OR(COUNTIF(#REF!,$B288)&gt;0,COUNTIF(#REF!,$B288)=0),"SKIP",IF(COUNTIFS(#REF!,$B288,#REF!,$DJ288)&gt;0,"OK","ONBEKEND")),IF(AND($EX288=$EU288,$EY288=$EV288+1),IF(OR(COUNTIF(#REF!,$D288)&gt;0,COUNTIF(#REF!,$D288)=0),"SKIP",IF(COUNTIFS(#REF!,$D288,#REF!,$DJ288)&gt;0,"OK","ONBEKEND")),"ONZEKER")))))</f>
        <v/>
      </c>
      <c r="DL288" t="str">
        <f t="shared" si="2102"/>
        <v/>
      </c>
      <c r="DM288" t="str">
        <f t="shared" si="2103"/>
        <v/>
      </c>
      <c r="DN288" t="str">
        <f t="shared" si="2104"/>
        <v/>
      </c>
      <c r="DO288" t="str">
        <f t="shared" si="2105"/>
        <v/>
      </c>
      <c r="DP288" t="str">
        <f t="shared" si="2106"/>
        <v/>
      </c>
      <c r="DQ288" t="str">
        <f t="shared" si="2107"/>
        <v/>
      </c>
      <c r="DR288" t="str">
        <f t="shared" si="2108"/>
        <v/>
      </c>
      <c r="DS288" t="str">
        <f t="shared" si="2109"/>
        <v/>
      </c>
      <c r="DT288" t="str">
        <f t="shared" si="2110"/>
        <v/>
      </c>
      <c r="DU288" t="str">
        <f t="shared" si="2111"/>
        <v/>
      </c>
      <c r="DV288" t="str">
        <f t="shared" si="2112"/>
        <v/>
      </c>
      <c r="DW288" t="str">
        <f t="shared" si="2113"/>
        <v/>
      </c>
      <c r="DX288" t="str">
        <f t="shared" si="2114"/>
        <v/>
      </c>
      <c r="DY288" t="str">
        <f t="shared" si="2115"/>
        <v/>
      </c>
      <c r="DZ288" t="str">
        <f t="shared" si="2116"/>
        <v/>
      </c>
      <c r="EA288" t="str">
        <f t="shared" si="2117"/>
        <v/>
      </c>
      <c r="EB288" t="str">
        <f t="shared" si="2118"/>
        <v/>
      </c>
      <c r="EC288" t="str">
        <f t="shared" si="2119"/>
        <v/>
      </c>
      <c r="ED288" t="str">
        <f t="shared" si="2120"/>
        <v/>
      </c>
      <c r="EE288" t="str">
        <f t="shared" si="2121"/>
        <v/>
      </c>
      <c r="EF288" t="str">
        <f t="shared" si="2122"/>
        <v/>
      </c>
      <c r="EG288" t="str">
        <f t="shared" si="2123"/>
        <v/>
      </c>
      <c r="EH288" t="str">
        <f t="shared" si="2124"/>
        <v/>
      </c>
      <c r="EI288" t="str">
        <f t="shared" si="2125"/>
        <v/>
      </c>
      <c r="EJ288" t="str">
        <f t="shared" si="2126"/>
        <v/>
      </c>
      <c r="EK288" t="str">
        <f t="shared" si="2127"/>
        <v/>
      </c>
      <c r="EL288" t="str">
        <f t="shared" si="2128"/>
        <v/>
      </c>
      <c r="EM288" t="str">
        <f t="shared" si="2129"/>
        <v/>
      </c>
      <c r="EN288" t="str">
        <f t="shared" si="2130"/>
        <v/>
      </c>
      <c r="EO288" t="str">
        <f t="shared" si="2131"/>
        <v/>
      </c>
      <c r="EP288" t="str">
        <f t="shared" si="2132"/>
        <v/>
      </c>
      <c r="EQ288" t="str">
        <f t="shared" si="2133"/>
        <v/>
      </c>
      <c r="ER288" t="str">
        <f t="shared" si="2134"/>
        <v/>
      </c>
      <c r="ES288" t="str">
        <f t="shared" si="2135"/>
        <v/>
      </c>
      <c r="ET288" t="str">
        <f t="shared" si="2136"/>
        <v/>
      </c>
      <c r="EU288" t="str">
        <f t="shared" si="2137"/>
        <v/>
      </c>
      <c r="EV288" t="str">
        <f t="shared" si="2138"/>
        <v/>
      </c>
      <c r="EW288" t="str">
        <f t="shared" si="2139"/>
        <v/>
      </c>
      <c r="EX288" t="str">
        <f t="shared" si="2140"/>
        <v/>
      </c>
      <c r="EY288" t="str">
        <f t="shared" si="2141"/>
        <v/>
      </c>
    </row>
    <row r="289" spans="2:155" ht="13.9" customHeight="1" x14ac:dyDescent="0.25">
      <c r="B289" s="23"/>
      <c r="D289" s="23"/>
      <c r="F289" s="18">
        <v>0</v>
      </c>
      <c r="G289" s="7" t="s">
        <v>147</v>
      </c>
      <c r="H289" s="18">
        <v>0</v>
      </c>
      <c r="I289" s="19">
        <v>0</v>
      </c>
      <c r="J289" s="7" t="s">
        <v>147</v>
      </c>
      <c r="K289" s="19">
        <v>0</v>
      </c>
      <c r="L289" s="9"/>
      <c r="M289" s="13" t="str">
        <f>IF($L289="","",IF($L289="DOELPUNTENMAKERS","",IF(AND(COUNTIF(#REF!,$B289)=0,COUNTIF(#REF!,$D289)=0),"OK",IF($O289&gt;20,"LET OP: meer dan 20 items (controle onvolledig)",IF((COUNTIF($R289:$AS289,"ONZEKER")+COUNTIF($CJ289:$DK289,"ONZEKER"))&gt;0,"LET OP: scoreverloop onduidelijk (controle beperkt)",IF((IF($AT289&lt;&gt;"",$AT289&amp;", ","")&amp;IF($AU289&lt;&gt;"",$AU289&amp;", ","")&amp;IF($AV289&lt;&gt;"",$AV289&amp;", ","")&amp;IF($AW289&lt;&gt;"",$AW289&amp;", ","")&amp;IF($AX289&lt;&gt;"",$AX289&amp;", ","")&amp;IF($AY289&lt;&gt;"",$AY289&amp;", ","")&amp;IF($AZ289&lt;&gt;"",$AZ289&amp;", ","")&amp;IF($BA289&lt;&gt;"",$BA289&amp;", ","")&amp;IF($BB289&lt;&gt;"",$BB289&amp;", ","")&amp;IF($BC289&lt;&gt;"",$BC289&amp;", ","")&amp;IF($DL289&lt;&gt;"",$DL289&amp;", ","")&amp;IF($DM289&lt;&gt;"",$DM289&amp;", ","")&amp;IF($DN289&lt;&gt;"",$DN289&amp;", ","")&amp;IF($DO289&lt;&gt;"",$DO289&amp;", ","")&amp;IF($DP289&lt;&gt;"",$DP289&amp;", ","")&amp;IF($DQ289&lt;&gt;"",$DQ289&amp;", ","")&amp;IF($DR289&lt;&gt;"",$DR289&amp;", ","")&amp;IF($DS289&lt;&gt;"",$DS289&amp;", ","")&amp;IF($DT289&lt;&gt;"",$DT289&amp;", ","")&amp;IF($DU289&lt;&gt;"",$DU289&amp;", ",""))="","OK","Onbekend: "&amp;LEFT((IF($AT289&lt;&gt;"",$AT289&amp;", ","")&amp;IF($AU289&lt;&gt;"",$AU289&amp;", ","")&amp;IF($AV289&lt;&gt;"",$AV289&amp;", ","")&amp;IF($AW289&lt;&gt;"",$AW289&amp;", ","")&amp;IF($AX289&lt;&gt;"",$AX289&amp;", ","")&amp;IF($AY289&lt;&gt;"",$AY289&amp;", ","")&amp;IF($AZ289&lt;&gt;"",$AZ289&amp;", ","")&amp;IF($BA289&lt;&gt;"",$BA289&amp;", ","")&amp;IF($BB289&lt;&gt;"",$BB289&amp;", ","")&amp;IF($BC289&lt;&gt;"",$BC289&amp;", ","")&amp;IF($DL289&lt;&gt;"",$DL289&amp;", ","")&amp;IF($DM289&lt;&gt;"",$DM289&amp;", ","")&amp;IF($DN289&lt;&gt;"",$DN289&amp;", ","")&amp;IF($DO289&lt;&gt;"",$DO289&amp;", ","")&amp;IF($DP289&lt;&gt;"",$DP289&amp;", ","")&amp;IF($DQ289&lt;&gt;"",$DQ289&amp;", ","")&amp;IF($DR289&lt;&gt;"",$DR289&amp;", ","")&amp;IF($DS289&lt;&gt;"",$DS289&amp;", ","")&amp;IF($DT289&lt;&gt;"",$DT289&amp;", ","")&amp;IF($DU289&lt;&gt;"",$DU289&amp;", ","")),LEN((IF($AT289&lt;&gt;"",$AT289&amp;", ","")&amp;IF($AU289&lt;&gt;"",$AU289&amp;", ","")&amp;IF($AV289&lt;&gt;"",$AV289&amp;", ","")&amp;IF($AW289&lt;&gt;"",$AW289&amp;", ","")&amp;IF($AX289&lt;&gt;"",$AX289&amp;", ","")&amp;IF($AY289&lt;&gt;"",$AY289&amp;", ","")&amp;IF($AZ289&lt;&gt;"",$AZ289&amp;", ","")&amp;IF($BA289&lt;&gt;"",$BA289&amp;", ","")&amp;IF($BB289&lt;&gt;"",$BB289&amp;", ","")&amp;IF($BC289&lt;&gt;"",$BC289&amp;", ","")&amp;IF($DL289&lt;&gt;"",$DL289&amp;", ","")&amp;IF($DM289&lt;&gt;"",$DM289&amp;", ","")&amp;IF($DN289&lt;&gt;"",$DN289&amp;", ","")&amp;IF($DO289&lt;&gt;"",$DO289&amp;", ","")&amp;IF($DP289&lt;&gt;"",$DP289&amp;", ","")&amp;IF($DQ289&lt;&gt;"",$DQ289&amp;", ","")&amp;IF($DR289&lt;&gt;"",$DR289&amp;", ","")&amp;IF($DS289&lt;&gt;"",$DS289&amp;", ","")&amp;IF($DT289&lt;&gt;"",$DT289&amp;", ","")&amp;IF($DU289&lt;&gt;"",$DU289&amp;", ","")))-2)))))))</f>
        <v/>
      </c>
      <c r="CH289" t="str">
        <f t="shared" si="2082"/>
        <v/>
      </c>
      <c r="CI289" t="str">
        <f t="shared" si="2083"/>
        <v/>
      </c>
      <c r="CJ289" t="str">
        <f>IF($CI289="","",IF(OR($DW289="",$DX289=""),"ONZEKER",IF(OR($CF289="",$CG289=""),"ONZEKER",IF(AND($DW289=$CF289+1,$DX289=$CG289),IF(OR(COUNTIF(#REF!,$B289)&gt;0,COUNTIF(#REF!,$B289)=0),"SKIP",IF(COUNTIFS(#REF!,$B289,#REF!,$CI289)&gt;0,"OK","ONBEKEND")),IF(AND($DW289=$CF289,$DX289=$CG289+1),IF(OR(COUNTIF(#REF!,$D289)&gt;0,COUNTIF(#REF!,$D289)=0),"SKIP",IF(COUNTIFS(#REF!,$D289,#REF!,$CI289)&gt;0,"OK","ONBEKEND")),"ONZEKER")))))</f>
        <v/>
      </c>
      <c r="CK289" t="str">
        <f t="shared" si="2084"/>
        <v/>
      </c>
      <c r="CL289" t="str">
        <f t="shared" si="2085"/>
        <v/>
      </c>
      <c r="CM289" t="str">
        <f>IF($CL289="","",IF(OR($DZ289="",$EA289=""),"ONZEKER",IF(OR($DW289="",$DX289=""),"ONZEKER",IF(AND($DZ289=$DW289+1,$EA289=$DX289),IF(OR(COUNTIF(#REF!,$B289)&gt;0,COUNTIF(#REF!,$B289)=0),"SKIP",IF(COUNTIFS(#REF!,$B289,#REF!,$CL289)&gt;0,"OK","ONBEKEND")),IF(AND($DZ289=$DW289,$EA289=$DX289+1),IF(OR(COUNTIF(#REF!,$D289)&gt;0,COUNTIF(#REF!,$D289)=0),"SKIP",IF(COUNTIFS(#REF!,$D289,#REF!,$CL289)&gt;0,"OK","ONBEKEND")),"ONZEKER")))))</f>
        <v/>
      </c>
      <c r="CN289" t="str">
        <f t="shared" si="2086"/>
        <v/>
      </c>
      <c r="CO289" t="str">
        <f t="shared" si="2087"/>
        <v/>
      </c>
      <c r="CP289" t="str">
        <f>IF($CO289="","",IF(OR($EC289="",$ED289=""),"ONZEKER",IF(OR($DZ289="",$EA289=""),"ONZEKER",IF(AND($EC289=$DZ289+1,$ED289=$EA289),IF(OR(COUNTIF(#REF!,$B289)&gt;0,COUNTIF(#REF!,$B289)=0),"SKIP",IF(COUNTIFS(#REF!,$B289,#REF!,$CO289)&gt;0,"OK","ONBEKEND")),IF(AND($EC289=$DZ289,$ED289=$EA289+1),IF(OR(COUNTIF(#REF!,$D289)&gt;0,COUNTIF(#REF!,$D289)=0),"SKIP",IF(COUNTIFS(#REF!,$D289,#REF!,$CO289)&gt;0,"OK","ONBEKEND")),"ONZEKER")))))</f>
        <v/>
      </c>
      <c r="CQ289" t="str">
        <f t="shared" si="2088"/>
        <v/>
      </c>
      <c r="CR289" t="str">
        <f t="shared" si="2089"/>
        <v/>
      </c>
      <c r="CS289" t="str">
        <f>IF($CR289="","",IF(OR($EF289="",$EG289=""),"ONZEKER",IF(OR($EC289="",$ED289=""),"ONZEKER",IF(AND($EF289=$EC289+1,$EG289=$ED289),IF(OR(COUNTIF(#REF!,$B289)&gt;0,COUNTIF(#REF!,$B289)=0),"SKIP",IF(COUNTIFS(#REF!,$B289,#REF!,$CR289)&gt;0,"OK","ONBEKEND")),IF(AND($EF289=$EC289,$EG289=$ED289+1),IF(OR(COUNTIF(#REF!,$D289)&gt;0,COUNTIF(#REF!,$D289)=0),"SKIP",IF(COUNTIFS(#REF!,$D289,#REF!,$CR289)&gt;0,"OK","ONBEKEND")),"ONZEKER")))))</f>
        <v/>
      </c>
      <c r="CT289" t="str">
        <f t="shared" si="2090"/>
        <v/>
      </c>
      <c r="CU289" t="str">
        <f t="shared" si="2091"/>
        <v/>
      </c>
      <c r="CV289" t="str">
        <f>IF($CU289="","",IF(OR($EI289="",$EJ289=""),"ONZEKER",IF(OR($EF289="",$EG289=""),"ONZEKER",IF(AND($EI289=$EF289+1,$EJ289=$EG289),IF(OR(COUNTIF(#REF!,$B289)&gt;0,COUNTIF(#REF!,$B289)=0),"SKIP",IF(COUNTIFS(#REF!,$B289,#REF!,$CU289)&gt;0,"OK","ONBEKEND")),IF(AND($EI289=$EF289,$EJ289=$EG289+1),IF(OR(COUNTIF(#REF!,$D289)&gt;0,COUNTIF(#REF!,$D289)=0),"SKIP",IF(COUNTIFS(#REF!,$D289,#REF!,$CU289)&gt;0,"OK","ONBEKEND")),"ONZEKER")))))</f>
        <v/>
      </c>
      <c r="CW289" t="str">
        <f t="shared" si="2092"/>
        <v/>
      </c>
      <c r="CX289" t="str">
        <f t="shared" si="2093"/>
        <v/>
      </c>
      <c r="CY289" t="str">
        <f>IF($CX289="","",IF(OR($EL289="",$EM289=""),"ONZEKER",IF(OR($EI289="",$EJ289=""),"ONZEKER",IF(AND($EL289=$EI289+1,$EM289=$EJ289),IF(OR(COUNTIF(#REF!,$B289)&gt;0,COUNTIF(#REF!,$B289)=0),"SKIP",IF(COUNTIFS(#REF!,$B289,#REF!,$CX289)&gt;0,"OK","ONBEKEND")),IF(AND($EL289=$EI289,$EM289=$EJ289+1),IF(OR(COUNTIF(#REF!,$D289)&gt;0,COUNTIF(#REF!,$D289)=0),"SKIP",IF(COUNTIFS(#REF!,$D289,#REF!,$CX289)&gt;0,"OK","ONBEKEND")),"ONZEKER")))))</f>
        <v/>
      </c>
      <c r="CZ289" t="str">
        <f t="shared" si="2094"/>
        <v/>
      </c>
      <c r="DA289" t="str">
        <f t="shared" si="2095"/>
        <v/>
      </c>
      <c r="DB289" t="str">
        <f>IF($DA289="","",IF(OR($EO289="",$EP289=""),"ONZEKER",IF(OR($EL289="",$EM289=""),"ONZEKER",IF(AND($EO289=$EL289+1,$EP289=$EM289),IF(OR(COUNTIF(#REF!,$B289)&gt;0,COUNTIF(#REF!,$B289)=0),"SKIP",IF(COUNTIFS(#REF!,$B289,#REF!,$DA289)&gt;0,"OK","ONBEKEND")),IF(AND($EO289=$EL289,$EP289=$EM289+1),IF(OR(COUNTIF(#REF!,$D289)&gt;0,COUNTIF(#REF!,$D289)=0),"SKIP",IF(COUNTIFS(#REF!,$D289,#REF!,$DA289)&gt;0,"OK","ONBEKEND")),"ONZEKER")))))</f>
        <v/>
      </c>
      <c r="DC289" t="str">
        <f t="shared" si="2096"/>
        <v/>
      </c>
      <c r="DD289" t="str">
        <f t="shared" si="2097"/>
        <v/>
      </c>
      <c r="DE289" t="str">
        <f>IF($DD289="","",IF(OR($ER289="",$ES289=""),"ONZEKER",IF(OR($EO289="",$EP289=""),"ONZEKER",IF(AND($ER289=$EO289+1,$ES289=$EP289),IF(OR(COUNTIF(#REF!,$B289)&gt;0,COUNTIF(#REF!,$B289)=0),"SKIP",IF(COUNTIFS(#REF!,$B289,#REF!,$DD289)&gt;0,"OK","ONBEKEND")),IF(AND($ER289=$EO289,$ES289=$EP289+1),IF(OR(COUNTIF(#REF!,$D289)&gt;0,COUNTIF(#REF!,$D289)=0),"SKIP",IF(COUNTIFS(#REF!,$D289,#REF!,$DD289)&gt;0,"OK","ONBEKEND")),"ONZEKER")))))</f>
        <v/>
      </c>
      <c r="DF289" t="str">
        <f t="shared" si="2098"/>
        <v/>
      </c>
      <c r="DG289" t="str">
        <f t="shared" si="2099"/>
        <v/>
      </c>
      <c r="DH289" t="str">
        <f>IF($DG289="","",IF(OR($EU289="",$EV289=""),"ONZEKER",IF(OR($ER289="",$ES289=""),"ONZEKER",IF(AND($EU289=$ER289+1,$EV289=$ES289),IF(OR(COUNTIF(#REF!,$B289)&gt;0,COUNTIF(#REF!,$B289)=0),"SKIP",IF(COUNTIFS(#REF!,$B289,#REF!,$DG289)&gt;0,"OK","ONBEKEND")),IF(AND($EU289=$ER289,$EV289=$ES289+1),IF(OR(COUNTIF(#REF!,$D289)&gt;0,COUNTIF(#REF!,$D289)=0),"SKIP",IF(COUNTIFS(#REF!,$D289,#REF!,$DG289)&gt;0,"OK","ONBEKEND")),"ONZEKER")))))</f>
        <v/>
      </c>
      <c r="DI289" t="str">
        <f t="shared" si="2100"/>
        <v/>
      </c>
      <c r="DJ289" t="str">
        <f t="shared" si="2101"/>
        <v/>
      </c>
      <c r="DK289" t="str">
        <f>IF($DJ289="","",IF(OR($EX289="",$EY289=""),"ONZEKER",IF(OR($EU289="",$EV289=""),"ONZEKER",IF(AND($EX289=$EU289+1,$EY289=$EV289),IF(OR(COUNTIF(#REF!,$B289)&gt;0,COUNTIF(#REF!,$B289)=0),"SKIP",IF(COUNTIFS(#REF!,$B289,#REF!,$DJ289)&gt;0,"OK","ONBEKEND")),IF(AND($EX289=$EU289,$EY289=$EV289+1),IF(OR(COUNTIF(#REF!,$D289)&gt;0,COUNTIF(#REF!,$D289)=0),"SKIP",IF(COUNTIFS(#REF!,$D289,#REF!,$DJ289)&gt;0,"OK","ONBEKEND")),"ONZEKER")))))</f>
        <v/>
      </c>
      <c r="DL289" t="str">
        <f t="shared" si="2102"/>
        <v/>
      </c>
      <c r="DM289" t="str">
        <f t="shared" si="2103"/>
        <v/>
      </c>
      <c r="DN289" t="str">
        <f t="shared" si="2104"/>
        <v/>
      </c>
      <c r="DO289" t="str">
        <f t="shared" si="2105"/>
        <v/>
      </c>
      <c r="DP289" t="str">
        <f t="shared" si="2106"/>
        <v/>
      </c>
      <c r="DQ289" t="str">
        <f t="shared" si="2107"/>
        <v/>
      </c>
      <c r="DR289" t="str">
        <f t="shared" si="2108"/>
        <v/>
      </c>
      <c r="DS289" t="str">
        <f t="shared" si="2109"/>
        <v/>
      </c>
      <c r="DT289" t="str">
        <f t="shared" si="2110"/>
        <v/>
      </c>
      <c r="DU289" t="str">
        <f t="shared" si="2111"/>
        <v/>
      </c>
      <c r="DV289" t="str">
        <f t="shared" si="2112"/>
        <v/>
      </c>
      <c r="DW289" t="str">
        <f t="shared" si="2113"/>
        <v/>
      </c>
      <c r="DX289" t="str">
        <f t="shared" si="2114"/>
        <v/>
      </c>
      <c r="DY289" t="str">
        <f t="shared" si="2115"/>
        <v/>
      </c>
      <c r="DZ289" t="str">
        <f t="shared" si="2116"/>
        <v/>
      </c>
      <c r="EA289" t="str">
        <f t="shared" si="2117"/>
        <v/>
      </c>
      <c r="EB289" t="str">
        <f t="shared" si="2118"/>
        <v/>
      </c>
      <c r="EC289" t="str">
        <f t="shared" si="2119"/>
        <v/>
      </c>
      <c r="ED289" t="str">
        <f t="shared" si="2120"/>
        <v/>
      </c>
      <c r="EE289" t="str">
        <f t="shared" si="2121"/>
        <v/>
      </c>
      <c r="EF289" t="str">
        <f t="shared" si="2122"/>
        <v/>
      </c>
      <c r="EG289" t="str">
        <f t="shared" si="2123"/>
        <v/>
      </c>
      <c r="EH289" t="str">
        <f t="shared" si="2124"/>
        <v/>
      </c>
      <c r="EI289" t="str">
        <f t="shared" si="2125"/>
        <v/>
      </c>
      <c r="EJ289" t="str">
        <f t="shared" si="2126"/>
        <v/>
      </c>
      <c r="EK289" t="str">
        <f t="shared" si="2127"/>
        <v/>
      </c>
      <c r="EL289" t="str">
        <f t="shared" si="2128"/>
        <v/>
      </c>
      <c r="EM289" t="str">
        <f t="shared" si="2129"/>
        <v/>
      </c>
      <c r="EN289" t="str">
        <f t="shared" si="2130"/>
        <v/>
      </c>
      <c r="EO289" t="str">
        <f t="shared" si="2131"/>
        <v/>
      </c>
      <c r="EP289" t="str">
        <f t="shared" si="2132"/>
        <v/>
      </c>
      <c r="EQ289" t="str">
        <f t="shared" si="2133"/>
        <v/>
      </c>
      <c r="ER289" t="str">
        <f t="shared" si="2134"/>
        <v/>
      </c>
      <c r="ES289" t="str">
        <f t="shared" si="2135"/>
        <v/>
      </c>
      <c r="ET289" t="str">
        <f t="shared" si="2136"/>
        <v/>
      </c>
      <c r="EU289" t="str">
        <f t="shared" si="2137"/>
        <v/>
      </c>
      <c r="EV289" t="str">
        <f t="shared" si="2138"/>
        <v/>
      </c>
      <c r="EW289" t="str">
        <f t="shared" si="2139"/>
        <v/>
      </c>
      <c r="EX289" t="str">
        <f t="shared" si="2140"/>
        <v/>
      </c>
      <c r="EY289" t="str">
        <f t="shared" si="2141"/>
        <v/>
      </c>
    </row>
    <row r="290" spans="2:155" ht="13.9" customHeight="1" x14ac:dyDescent="0.25">
      <c r="B290" s="23"/>
      <c r="D290" s="23"/>
      <c r="F290" s="18">
        <v>0</v>
      </c>
      <c r="G290" s="7" t="s">
        <v>147</v>
      </c>
      <c r="H290" s="18">
        <v>0</v>
      </c>
      <c r="I290" s="19">
        <v>0</v>
      </c>
      <c r="J290" s="7" t="s">
        <v>147</v>
      </c>
      <c r="K290" s="19">
        <v>0</v>
      </c>
      <c r="L290" s="9"/>
      <c r="M290" s="13" t="str">
        <f>IF($L290="","",IF($L290="DOELPUNTENMAKERS","",IF(AND(COUNTIF(#REF!,$B290)=0,COUNTIF(#REF!,$D290)=0),"OK",IF($O290&gt;20,"LET OP: meer dan 20 items (controle onvolledig)",IF((COUNTIF($R290:$AS290,"ONZEKER")+COUNTIF($CJ290:$DK290,"ONZEKER"))&gt;0,"LET OP: scoreverloop onduidelijk (controle beperkt)",IF((IF($AT290&lt;&gt;"",$AT290&amp;", ","")&amp;IF($AU290&lt;&gt;"",$AU290&amp;", ","")&amp;IF($AV290&lt;&gt;"",$AV290&amp;", ","")&amp;IF($AW290&lt;&gt;"",$AW290&amp;", ","")&amp;IF($AX290&lt;&gt;"",$AX290&amp;", ","")&amp;IF($AY290&lt;&gt;"",$AY290&amp;", ","")&amp;IF($AZ290&lt;&gt;"",$AZ290&amp;", ","")&amp;IF($BA290&lt;&gt;"",$BA290&amp;", ","")&amp;IF($BB290&lt;&gt;"",$BB290&amp;", ","")&amp;IF($BC290&lt;&gt;"",$BC290&amp;", ","")&amp;IF($DL290&lt;&gt;"",$DL290&amp;", ","")&amp;IF($DM290&lt;&gt;"",$DM290&amp;", ","")&amp;IF($DN290&lt;&gt;"",$DN290&amp;", ","")&amp;IF($DO290&lt;&gt;"",$DO290&amp;", ","")&amp;IF($DP290&lt;&gt;"",$DP290&amp;", ","")&amp;IF($DQ290&lt;&gt;"",$DQ290&amp;", ","")&amp;IF($DR290&lt;&gt;"",$DR290&amp;", ","")&amp;IF($DS290&lt;&gt;"",$DS290&amp;", ","")&amp;IF($DT290&lt;&gt;"",$DT290&amp;", ","")&amp;IF($DU290&lt;&gt;"",$DU290&amp;", ",""))="","OK","Onbekend: "&amp;LEFT((IF($AT290&lt;&gt;"",$AT290&amp;", ","")&amp;IF($AU290&lt;&gt;"",$AU290&amp;", ","")&amp;IF($AV290&lt;&gt;"",$AV290&amp;", ","")&amp;IF($AW290&lt;&gt;"",$AW290&amp;", ","")&amp;IF($AX290&lt;&gt;"",$AX290&amp;", ","")&amp;IF($AY290&lt;&gt;"",$AY290&amp;", ","")&amp;IF($AZ290&lt;&gt;"",$AZ290&amp;", ","")&amp;IF($BA290&lt;&gt;"",$BA290&amp;", ","")&amp;IF($BB290&lt;&gt;"",$BB290&amp;", ","")&amp;IF($BC290&lt;&gt;"",$BC290&amp;", ","")&amp;IF($DL290&lt;&gt;"",$DL290&amp;", ","")&amp;IF($DM290&lt;&gt;"",$DM290&amp;", ","")&amp;IF($DN290&lt;&gt;"",$DN290&amp;", ","")&amp;IF($DO290&lt;&gt;"",$DO290&amp;", ","")&amp;IF($DP290&lt;&gt;"",$DP290&amp;", ","")&amp;IF($DQ290&lt;&gt;"",$DQ290&amp;", ","")&amp;IF($DR290&lt;&gt;"",$DR290&amp;", ","")&amp;IF($DS290&lt;&gt;"",$DS290&amp;", ","")&amp;IF($DT290&lt;&gt;"",$DT290&amp;", ","")&amp;IF($DU290&lt;&gt;"",$DU290&amp;", ","")),LEN((IF($AT290&lt;&gt;"",$AT290&amp;", ","")&amp;IF($AU290&lt;&gt;"",$AU290&amp;", ","")&amp;IF($AV290&lt;&gt;"",$AV290&amp;", ","")&amp;IF($AW290&lt;&gt;"",$AW290&amp;", ","")&amp;IF($AX290&lt;&gt;"",$AX290&amp;", ","")&amp;IF($AY290&lt;&gt;"",$AY290&amp;", ","")&amp;IF($AZ290&lt;&gt;"",$AZ290&amp;", ","")&amp;IF($BA290&lt;&gt;"",$BA290&amp;", ","")&amp;IF($BB290&lt;&gt;"",$BB290&amp;", ","")&amp;IF($BC290&lt;&gt;"",$BC290&amp;", ","")&amp;IF($DL290&lt;&gt;"",$DL290&amp;", ","")&amp;IF($DM290&lt;&gt;"",$DM290&amp;", ","")&amp;IF($DN290&lt;&gt;"",$DN290&amp;", ","")&amp;IF($DO290&lt;&gt;"",$DO290&amp;", ","")&amp;IF($DP290&lt;&gt;"",$DP290&amp;", ","")&amp;IF($DQ290&lt;&gt;"",$DQ290&amp;", ","")&amp;IF($DR290&lt;&gt;"",$DR290&amp;", ","")&amp;IF($DS290&lt;&gt;"",$DS290&amp;", ","")&amp;IF($DT290&lt;&gt;"",$DT290&amp;", ","")&amp;IF($DU290&lt;&gt;"",$DU290&amp;", ","")))-2)))))))</f>
        <v/>
      </c>
      <c r="CH290" t="str">
        <f t="shared" si="2082"/>
        <v/>
      </c>
      <c r="CI290" t="str">
        <f t="shared" si="2083"/>
        <v/>
      </c>
      <c r="CJ290" t="str">
        <f>IF($CI290="","",IF(OR($DW290="",$DX290=""),"ONZEKER",IF(OR($CF290="",$CG290=""),"ONZEKER",IF(AND($DW290=$CF290+1,$DX290=$CG290),IF(OR(COUNTIF(#REF!,$B290)&gt;0,COUNTIF(#REF!,$B290)=0),"SKIP",IF(COUNTIFS(#REF!,$B290,#REF!,$CI290)&gt;0,"OK","ONBEKEND")),IF(AND($DW290=$CF290,$DX290=$CG290+1),IF(OR(COUNTIF(#REF!,$D290)&gt;0,COUNTIF(#REF!,$D290)=0),"SKIP",IF(COUNTIFS(#REF!,$D290,#REF!,$CI290)&gt;0,"OK","ONBEKEND")),"ONZEKER")))))</f>
        <v/>
      </c>
      <c r="CK290" t="str">
        <f t="shared" si="2084"/>
        <v/>
      </c>
      <c r="CL290" t="str">
        <f t="shared" si="2085"/>
        <v/>
      </c>
      <c r="CM290" t="str">
        <f>IF($CL290="","",IF(OR($DZ290="",$EA290=""),"ONZEKER",IF(OR($DW290="",$DX290=""),"ONZEKER",IF(AND($DZ290=$DW290+1,$EA290=$DX290),IF(OR(COUNTIF(#REF!,$B290)&gt;0,COUNTIF(#REF!,$B290)=0),"SKIP",IF(COUNTIFS(#REF!,$B290,#REF!,$CL290)&gt;0,"OK","ONBEKEND")),IF(AND($DZ290=$DW290,$EA290=$DX290+1),IF(OR(COUNTIF(#REF!,$D290)&gt;0,COUNTIF(#REF!,$D290)=0),"SKIP",IF(COUNTIFS(#REF!,$D290,#REF!,$CL290)&gt;0,"OK","ONBEKEND")),"ONZEKER")))))</f>
        <v/>
      </c>
      <c r="CN290" t="str">
        <f t="shared" si="2086"/>
        <v/>
      </c>
      <c r="CO290" t="str">
        <f t="shared" si="2087"/>
        <v/>
      </c>
      <c r="CP290" t="str">
        <f>IF($CO290="","",IF(OR($EC290="",$ED290=""),"ONZEKER",IF(OR($DZ290="",$EA290=""),"ONZEKER",IF(AND($EC290=$DZ290+1,$ED290=$EA290),IF(OR(COUNTIF(#REF!,$B290)&gt;0,COUNTIF(#REF!,$B290)=0),"SKIP",IF(COUNTIFS(#REF!,$B290,#REF!,$CO290)&gt;0,"OK","ONBEKEND")),IF(AND($EC290=$DZ290,$ED290=$EA290+1),IF(OR(COUNTIF(#REF!,$D290)&gt;0,COUNTIF(#REF!,$D290)=0),"SKIP",IF(COUNTIFS(#REF!,$D290,#REF!,$CO290)&gt;0,"OK","ONBEKEND")),"ONZEKER")))))</f>
        <v/>
      </c>
      <c r="CQ290" t="str">
        <f t="shared" si="2088"/>
        <v/>
      </c>
      <c r="CR290" t="str">
        <f t="shared" si="2089"/>
        <v/>
      </c>
      <c r="CS290" t="str">
        <f>IF($CR290="","",IF(OR($EF290="",$EG290=""),"ONZEKER",IF(OR($EC290="",$ED290=""),"ONZEKER",IF(AND($EF290=$EC290+1,$EG290=$ED290),IF(OR(COUNTIF(#REF!,$B290)&gt;0,COUNTIF(#REF!,$B290)=0),"SKIP",IF(COUNTIFS(#REF!,$B290,#REF!,$CR290)&gt;0,"OK","ONBEKEND")),IF(AND($EF290=$EC290,$EG290=$ED290+1),IF(OR(COUNTIF(#REF!,$D290)&gt;0,COUNTIF(#REF!,$D290)=0),"SKIP",IF(COUNTIFS(#REF!,$D290,#REF!,$CR290)&gt;0,"OK","ONBEKEND")),"ONZEKER")))))</f>
        <v/>
      </c>
      <c r="CT290" t="str">
        <f t="shared" si="2090"/>
        <v/>
      </c>
      <c r="CU290" t="str">
        <f t="shared" si="2091"/>
        <v/>
      </c>
      <c r="CV290" t="str">
        <f>IF($CU290="","",IF(OR($EI290="",$EJ290=""),"ONZEKER",IF(OR($EF290="",$EG290=""),"ONZEKER",IF(AND($EI290=$EF290+1,$EJ290=$EG290),IF(OR(COUNTIF(#REF!,$B290)&gt;0,COUNTIF(#REF!,$B290)=0),"SKIP",IF(COUNTIFS(#REF!,$B290,#REF!,$CU290)&gt;0,"OK","ONBEKEND")),IF(AND($EI290=$EF290,$EJ290=$EG290+1),IF(OR(COUNTIF(#REF!,$D290)&gt;0,COUNTIF(#REF!,$D290)=0),"SKIP",IF(COUNTIFS(#REF!,$D290,#REF!,$CU290)&gt;0,"OK","ONBEKEND")),"ONZEKER")))))</f>
        <v/>
      </c>
      <c r="CW290" t="str">
        <f t="shared" si="2092"/>
        <v/>
      </c>
      <c r="CX290" t="str">
        <f t="shared" si="2093"/>
        <v/>
      </c>
      <c r="CY290" t="str">
        <f>IF($CX290="","",IF(OR($EL290="",$EM290=""),"ONZEKER",IF(OR($EI290="",$EJ290=""),"ONZEKER",IF(AND($EL290=$EI290+1,$EM290=$EJ290),IF(OR(COUNTIF(#REF!,$B290)&gt;0,COUNTIF(#REF!,$B290)=0),"SKIP",IF(COUNTIFS(#REF!,$B290,#REF!,$CX290)&gt;0,"OK","ONBEKEND")),IF(AND($EL290=$EI290,$EM290=$EJ290+1),IF(OR(COUNTIF(#REF!,$D290)&gt;0,COUNTIF(#REF!,$D290)=0),"SKIP",IF(COUNTIFS(#REF!,$D290,#REF!,$CX290)&gt;0,"OK","ONBEKEND")),"ONZEKER")))))</f>
        <v/>
      </c>
      <c r="CZ290" t="str">
        <f t="shared" si="2094"/>
        <v/>
      </c>
      <c r="DA290" t="str">
        <f t="shared" si="2095"/>
        <v/>
      </c>
      <c r="DB290" t="str">
        <f>IF($DA290="","",IF(OR($EO290="",$EP290=""),"ONZEKER",IF(OR($EL290="",$EM290=""),"ONZEKER",IF(AND($EO290=$EL290+1,$EP290=$EM290),IF(OR(COUNTIF(#REF!,$B290)&gt;0,COUNTIF(#REF!,$B290)=0),"SKIP",IF(COUNTIFS(#REF!,$B290,#REF!,$DA290)&gt;0,"OK","ONBEKEND")),IF(AND($EO290=$EL290,$EP290=$EM290+1),IF(OR(COUNTIF(#REF!,$D290)&gt;0,COUNTIF(#REF!,$D290)=0),"SKIP",IF(COUNTIFS(#REF!,$D290,#REF!,$DA290)&gt;0,"OK","ONBEKEND")),"ONZEKER")))))</f>
        <v/>
      </c>
      <c r="DC290" t="str">
        <f t="shared" si="2096"/>
        <v/>
      </c>
      <c r="DD290" t="str">
        <f t="shared" si="2097"/>
        <v/>
      </c>
      <c r="DE290" t="str">
        <f>IF($DD290="","",IF(OR($ER290="",$ES290=""),"ONZEKER",IF(OR($EO290="",$EP290=""),"ONZEKER",IF(AND($ER290=$EO290+1,$ES290=$EP290),IF(OR(COUNTIF(#REF!,$B290)&gt;0,COUNTIF(#REF!,$B290)=0),"SKIP",IF(COUNTIFS(#REF!,$B290,#REF!,$DD290)&gt;0,"OK","ONBEKEND")),IF(AND($ER290=$EO290,$ES290=$EP290+1),IF(OR(COUNTIF(#REF!,$D290)&gt;0,COUNTIF(#REF!,$D290)=0),"SKIP",IF(COUNTIFS(#REF!,$D290,#REF!,$DD290)&gt;0,"OK","ONBEKEND")),"ONZEKER")))))</f>
        <v/>
      </c>
      <c r="DF290" t="str">
        <f t="shared" si="2098"/>
        <v/>
      </c>
      <c r="DG290" t="str">
        <f t="shared" si="2099"/>
        <v/>
      </c>
      <c r="DH290" t="str">
        <f>IF($DG290="","",IF(OR($EU290="",$EV290=""),"ONZEKER",IF(OR($ER290="",$ES290=""),"ONZEKER",IF(AND($EU290=$ER290+1,$EV290=$ES290),IF(OR(COUNTIF(#REF!,$B290)&gt;0,COUNTIF(#REF!,$B290)=0),"SKIP",IF(COUNTIFS(#REF!,$B290,#REF!,$DG290)&gt;0,"OK","ONBEKEND")),IF(AND($EU290=$ER290,$EV290=$ES290+1),IF(OR(COUNTIF(#REF!,$D290)&gt;0,COUNTIF(#REF!,$D290)=0),"SKIP",IF(COUNTIFS(#REF!,$D290,#REF!,$DG290)&gt;0,"OK","ONBEKEND")),"ONZEKER")))))</f>
        <v/>
      </c>
      <c r="DI290" t="str">
        <f t="shared" si="2100"/>
        <v/>
      </c>
      <c r="DJ290" t="str">
        <f t="shared" si="2101"/>
        <v/>
      </c>
      <c r="DK290" t="str">
        <f>IF($DJ290="","",IF(OR($EX290="",$EY290=""),"ONZEKER",IF(OR($EU290="",$EV290=""),"ONZEKER",IF(AND($EX290=$EU290+1,$EY290=$EV290),IF(OR(COUNTIF(#REF!,$B290)&gt;0,COUNTIF(#REF!,$B290)=0),"SKIP",IF(COUNTIFS(#REF!,$B290,#REF!,$DJ290)&gt;0,"OK","ONBEKEND")),IF(AND($EX290=$EU290,$EY290=$EV290+1),IF(OR(COUNTIF(#REF!,$D290)&gt;0,COUNTIF(#REF!,$D290)=0),"SKIP",IF(COUNTIFS(#REF!,$D290,#REF!,$DJ290)&gt;0,"OK","ONBEKEND")),"ONZEKER")))))</f>
        <v/>
      </c>
      <c r="DL290" t="str">
        <f t="shared" si="2102"/>
        <v/>
      </c>
      <c r="DM290" t="str">
        <f t="shared" si="2103"/>
        <v/>
      </c>
      <c r="DN290" t="str">
        <f t="shared" si="2104"/>
        <v/>
      </c>
      <c r="DO290" t="str">
        <f t="shared" si="2105"/>
        <v/>
      </c>
      <c r="DP290" t="str">
        <f t="shared" si="2106"/>
        <v/>
      </c>
      <c r="DQ290" t="str">
        <f t="shared" si="2107"/>
        <v/>
      </c>
      <c r="DR290" t="str">
        <f t="shared" si="2108"/>
        <v/>
      </c>
      <c r="DS290" t="str">
        <f t="shared" si="2109"/>
        <v/>
      </c>
      <c r="DT290" t="str">
        <f t="shared" si="2110"/>
        <v/>
      </c>
      <c r="DU290" t="str">
        <f t="shared" si="2111"/>
        <v/>
      </c>
      <c r="DV290" t="str">
        <f t="shared" si="2112"/>
        <v/>
      </c>
      <c r="DW290" t="str">
        <f t="shared" si="2113"/>
        <v/>
      </c>
      <c r="DX290" t="str">
        <f t="shared" si="2114"/>
        <v/>
      </c>
      <c r="DY290" t="str">
        <f t="shared" si="2115"/>
        <v/>
      </c>
      <c r="DZ290" t="str">
        <f t="shared" si="2116"/>
        <v/>
      </c>
      <c r="EA290" t="str">
        <f t="shared" si="2117"/>
        <v/>
      </c>
      <c r="EB290" t="str">
        <f t="shared" si="2118"/>
        <v/>
      </c>
      <c r="EC290" t="str">
        <f t="shared" si="2119"/>
        <v/>
      </c>
      <c r="ED290" t="str">
        <f t="shared" si="2120"/>
        <v/>
      </c>
      <c r="EE290" t="str">
        <f t="shared" si="2121"/>
        <v/>
      </c>
      <c r="EF290" t="str">
        <f t="shared" si="2122"/>
        <v/>
      </c>
      <c r="EG290" t="str">
        <f t="shared" si="2123"/>
        <v/>
      </c>
      <c r="EH290" t="str">
        <f t="shared" si="2124"/>
        <v/>
      </c>
      <c r="EI290" t="str">
        <f t="shared" si="2125"/>
        <v/>
      </c>
      <c r="EJ290" t="str">
        <f t="shared" si="2126"/>
        <v/>
      </c>
      <c r="EK290" t="str">
        <f t="shared" si="2127"/>
        <v/>
      </c>
      <c r="EL290" t="str">
        <f t="shared" si="2128"/>
        <v/>
      </c>
      <c r="EM290" t="str">
        <f t="shared" si="2129"/>
        <v/>
      </c>
      <c r="EN290" t="str">
        <f t="shared" si="2130"/>
        <v/>
      </c>
      <c r="EO290" t="str">
        <f t="shared" si="2131"/>
        <v/>
      </c>
      <c r="EP290" t="str">
        <f t="shared" si="2132"/>
        <v/>
      </c>
      <c r="EQ290" t="str">
        <f t="shared" si="2133"/>
        <v/>
      </c>
      <c r="ER290" t="str">
        <f t="shared" si="2134"/>
        <v/>
      </c>
      <c r="ES290" t="str">
        <f t="shared" si="2135"/>
        <v/>
      </c>
      <c r="ET290" t="str">
        <f t="shared" si="2136"/>
        <v/>
      </c>
      <c r="EU290" t="str">
        <f t="shared" si="2137"/>
        <v/>
      </c>
      <c r="EV290" t="str">
        <f t="shared" si="2138"/>
        <v/>
      </c>
      <c r="EW290" t="str">
        <f t="shared" si="2139"/>
        <v/>
      </c>
      <c r="EX290" t="str">
        <f t="shared" si="2140"/>
        <v/>
      </c>
      <c r="EY290" t="str">
        <f t="shared" si="2141"/>
        <v/>
      </c>
    </row>
    <row r="291" spans="2:155" ht="13.9" customHeight="1" x14ac:dyDescent="0.25">
      <c r="B291" s="23"/>
      <c r="D291" s="23"/>
      <c r="F291" s="18">
        <v>0</v>
      </c>
      <c r="G291" s="7" t="s">
        <v>147</v>
      </c>
      <c r="H291" s="18">
        <v>0</v>
      </c>
      <c r="I291" s="19">
        <v>0</v>
      </c>
      <c r="J291" s="7" t="s">
        <v>147</v>
      </c>
      <c r="K291" s="19">
        <v>0</v>
      </c>
      <c r="L291" s="9"/>
      <c r="M291" s="13" t="str">
        <f>IF($L291="","",IF($L291="DOELPUNTENMAKERS","",IF(AND(COUNTIF(#REF!,$B291)=0,COUNTIF(#REF!,$D291)=0),"OK",IF($O291&gt;20,"LET OP: meer dan 20 items (controle onvolledig)",IF((COUNTIF($R291:$AS291,"ONZEKER")+COUNTIF($CJ291:$DK291,"ONZEKER"))&gt;0,"LET OP: scoreverloop onduidelijk (controle beperkt)",IF((IF($AT291&lt;&gt;"",$AT291&amp;", ","")&amp;IF($AU291&lt;&gt;"",$AU291&amp;", ","")&amp;IF($AV291&lt;&gt;"",$AV291&amp;", ","")&amp;IF($AW291&lt;&gt;"",$AW291&amp;", ","")&amp;IF($AX291&lt;&gt;"",$AX291&amp;", ","")&amp;IF($AY291&lt;&gt;"",$AY291&amp;", ","")&amp;IF($AZ291&lt;&gt;"",$AZ291&amp;", ","")&amp;IF($BA291&lt;&gt;"",$BA291&amp;", ","")&amp;IF($BB291&lt;&gt;"",$BB291&amp;", ","")&amp;IF($BC291&lt;&gt;"",$BC291&amp;", ","")&amp;IF($DL291&lt;&gt;"",$DL291&amp;", ","")&amp;IF($DM291&lt;&gt;"",$DM291&amp;", ","")&amp;IF($DN291&lt;&gt;"",$DN291&amp;", ","")&amp;IF($DO291&lt;&gt;"",$DO291&amp;", ","")&amp;IF($DP291&lt;&gt;"",$DP291&amp;", ","")&amp;IF($DQ291&lt;&gt;"",$DQ291&amp;", ","")&amp;IF($DR291&lt;&gt;"",$DR291&amp;", ","")&amp;IF($DS291&lt;&gt;"",$DS291&amp;", ","")&amp;IF($DT291&lt;&gt;"",$DT291&amp;", ","")&amp;IF($DU291&lt;&gt;"",$DU291&amp;", ",""))="","OK","Onbekend: "&amp;LEFT((IF($AT291&lt;&gt;"",$AT291&amp;", ","")&amp;IF($AU291&lt;&gt;"",$AU291&amp;", ","")&amp;IF($AV291&lt;&gt;"",$AV291&amp;", ","")&amp;IF($AW291&lt;&gt;"",$AW291&amp;", ","")&amp;IF($AX291&lt;&gt;"",$AX291&amp;", ","")&amp;IF($AY291&lt;&gt;"",$AY291&amp;", ","")&amp;IF($AZ291&lt;&gt;"",$AZ291&amp;", ","")&amp;IF($BA291&lt;&gt;"",$BA291&amp;", ","")&amp;IF($BB291&lt;&gt;"",$BB291&amp;", ","")&amp;IF($BC291&lt;&gt;"",$BC291&amp;", ","")&amp;IF($DL291&lt;&gt;"",$DL291&amp;", ","")&amp;IF($DM291&lt;&gt;"",$DM291&amp;", ","")&amp;IF($DN291&lt;&gt;"",$DN291&amp;", ","")&amp;IF($DO291&lt;&gt;"",$DO291&amp;", ","")&amp;IF($DP291&lt;&gt;"",$DP291&amp;", ","")&amp;IF($DQ291&lt;&gt;"",$DQ291&amp;", ","")&amp;IF($DR291&lt;&gt;"",$DR291&amp;", ","")&amp;IF($DS291&lt;&gt;"",$DS291&amp;", ","")&amp;IF($DT291&lt;&gt;"",$DT291&amp;", ","")&amp;IF($DU291&lt;&gt;"",$DU291&amp;", ","")),LEN((IF($AT291&lt;&gt;"",$AT291&amp;", ","")&amp;IF($AU291&lt;&gt;"",$AU291&amp;", ","")&amp;IF($AV291&lt;&gt;"",$AV291&amp;", ","")&amp;IF($AW291&lt;&gt;"",$AW291&amp;", ","")&amp;IF($AX291&lt;&gt;"",$AX291&amp;", ","")&amp;IF($AY291&lt;&gt;"",$AY291&amp;", ","")&amp;IF($AZ291&lt;&gt;"",$AZ291&amp;", ","")&amp;IF($BA291&lt;&gt;"",$BA291&amp;", ","")&amp;IF($BB291&lt;&gt;"",$BB291&amp;", ","")&amp;IF($BC291&lt;&gt;"",$BC291&amp;", ","")&amp;IF($DL291&lt;&gt;"",$DL291&amp;", ","")&amp;IF($DM291&lt;&gt;"",$DM291&amp;", ","")&amp;IF($DN291&lt;&gt;"",$DN291&amp;", ","")&amp;IF($DO291&lt;&gt;"",$DO291&amp;", ","")&amp;IF($DP291&lt;&gt;"",$DP291&amp;", ","")&amp;IF($DQ291&lt;&gt;"",$DQ291&amp;", ","")&amp;IF($DR291&lt;&gt;"",$DR291&amp;", ","")&amp;IF($DS291&lt;&gt;"",$DS291&amp;", ","")&amp;IF($DT291&lt;&gt;"",$DT291&amp;", ","")&amp;IF($DU291&lt;&gt;"",$DU291&amp;", ","")))-2)))))))</f>
        <v/>
      </c>
      <c r="CH291" t="str">
        <f t="shared" si="2082"/>
        <v/>
      </c>
      <c r="CI291" t="str">
        <f t="shared" si="2083"/>
        <v/>
      </c>
      <c r="CJ291" t="str">
        <f>IF($CI291="","",IF(OR($DW291="",$DX291=""),"ONZEKER",IF(OR($CF291="",$CG291=""),"ONZEKER",IF(AND($DW291=$CF291+1,$DX291=$CG291),IF(OR(COUNTIF(#REF!,$B291)&gt;0,COUNTIF(#REF!,$B291)=0),"SKIP",IF(COUNTIFS(#REF!,$B291,#REF!,$CI291)&gt;0,"OK","ONBEKEND")),IF(AND($DW291=$CF291,$DX291=$CG291+1),IF(OR(COUNTIF(#REF!,$D291)&gt;0,COUNTIF(#REF!,$D291)=0),"SKIP",IF(COUNTIFS(#REF!,$D291,#REF!,$CI291)&gt;0,"OK","ONBEKEND")),"ONZEKER")))))</f>
        <v/>
      </c>
      <c r="CK291" t="str">
        <f t="shared" si="2084"/>
        <v/>
      </c>
      <c r="CL291" t="str">
        <f t="shared" si="2085"/>
        <v/>
      </c>
      <c r="CM291" t="str">
        <f>IF($CL291="","",IF(OR($DZ291="",$EA291=""),"ONZEKER",IF(OR($DW291="",$DX291=""),"ONZEKER",IF(AND($DZ291=$DW291+1,$EA291=$DX291),IF(OR(COUNTIF(#REF!,$B291)&gt;0,COUNTIF(#REF!,$B291)=0),"SKIP",IF(COUNTIFS(#REF!,$B291,#REF!,$CL291)&gt;0,"OK","ONBEKEND")),IF(AND($DZ291=$DW291,$EA291=$DX291+1),IF(OR(COUNTIF(#REF!,$D291)&gt;0,COUNTIF(#REF!,$D291)=0),"SKIP",IF(COUNTIFS(#REF!,$D291,#REF!,$CL291)&gt;0,"OK","ONBEKEND")),"ONZEKER")))))</f>
        <v/>
      </c>
      <c r="CN291" t="str">
        <f t="shared" si="2086"/>
        <v/>
      </c>
      <c r="CO291" t="str">
        <f t="shared" si="2087"/>
        <v/>
      </c>
      <c r="CP291" t="str">
        <f>IF($CO291="","",IF(OR($EC291="",$ED291=""),"ONZEKER",IF(OR($DZ291="",$EA291=""),"ONZEKER",IF(AND($EC291=$DZ291+1,$ED291=$EA291),IF(OR(COUNTIF(#REF!,$B291)&gt;0,COUNTIF(#REF!,$B291)=0),"SKIP",IF(COUNTIFS(#REF!,$B291,#REF!,$CO291)&gt;0,"OK","ONBEKEND")),IF(AND($EC291=$DZ291,$ED291=$EA291+1),IF(OR(COUNTIF(#REF!,$D291)&gt;0,COUNTIF(#REF!,$D291)=0),"SKIP",IF(COUNTIFS(#REF!,$D291,#REF!,$CO291)&gt;0,"OK","ONBEKEND")),"ONZEKER")))))</f>
        <v/>
      </c>
      <c r="CQ291" t="str">
        <f t="shared" si="2088"/>
        <v/>
      </c>
      <c r="CR291" t="str">
        <f t="shared" si="2089"/>
        <v/>
      </c>
      <c r="CS291" t="str">
        <f>IF($CR291="","",IF(OR($EF291="",$EG291=""),"ONZEKER",IF(OR($EC291="",$ED291=""),"ONZEKER",IF(AND($EF291=$EC291+1,$EG291=$ED291),IF(OR(COUNTIF(#REF!,$B291)&gt;0,COUNTIF(#REF!,$B291)=0),"SKIP",IF(COUNTIFS(#REF!,$B291,#REF!,$CR291)&gt;0,"OK","ONBEKEND")),IF(AND($EF291=$EC291,$EG291=$ED291+1),IF(OR(COUNTIF(#REF!,$D291)&gt;0,COUNTIF(#REF!,$D291)=0),"SKIP",IF(COUNTIFS(#REF!,$D291,#REF!,$CR291)&gt;0,"OK","ONBEKEND")),"ONZEKER")))))</f>
        <v/>
      </c>
      <c r="CT291" t="str">
        <f t="shared" si="2090"/>
        <v/>
      </c>
      <c r="CU291" t="str">
        <f t="shared" si="2091"/>
        <v/>
      </c>
      <c r="CV291" t="str">
        <f>IF($CU291="","",IF(OR($EI291="",$EJ291=""),"ONZEKER",IF(OR($EF291="",$EG291=""),"ONZEKER",IF(AND($EI291=$EF291+1,$EJ291=$EG291),IF(OR(COUNTIF(#REF!,$B291)&gt;0,COUNTIF(#REF!,$B291)=0),"SKIP",IF(COUNTIFS(#REF!,$B291,#REF!,$CU291)&gt;0,"OK","ONBEKEND")),IF(AND($EI291=$EF291,$EJ291=$EG291+1),IF(OR(COUNTIF(#REF!,$D291)&gt;0,COUNTIF(#REF!,$D291)=0),"SKIP",IF(COUNTIFS(#REF!,$D291,#REF!,$CU291)&gt;0,"OK","ONBEKEND")),"ONZEKER")))))</f>
        <v/>
      </c>
      <c r="CW291" t="str">
        <f t="shared" si="2092"/>
        <v/>
      </c>
      <c r="CX291" t="str">
        <f t="shared" si="2093"/>
        <v/>
      </c>
      <c r="CY291" t="str">
        <f>IF($CX291="","",IF(OR($EL291="",$EM291=""),"ONZEKER",IF(OR($EI291="",$EJ291=""),"ONZEKER",IF(AND($EL291=$EI291+1,$EM291=$EJ291),IF(OR(COUNTIF(#REF!,$B291)&gt;0,COUNTIF(#REF!,$B291)=0),"SKIP",IF(COUNTIFS(#REF!,$B291,#REF!,$CX291)&gt;0,"OK","ONBEKEND")),IF(AND($EL291=$EI291,$EM291=$EJ291+1),IF(OR(COUNTIF(#REF!,$D291)&gt;0,COUNTIF(#REF!,$D291)=0),"SKIP",IF(COUNTIFS(#REF!,$D291,#REF!,$CX291)&gt;0,"OK","ONBEKEND")),"ONZEKER")))))</f>
        <v/>
      </c>
      <c r="CZ291" t="str">
        <f t="shared" si="2094"/>
        <v/>
      </c>
      <c r="DA291" t="str">
        <f t="shared" si="2095"/>
        <v/>
      </c>
      <c r="DB291" t="str">
        <f>IF($DA291="","",IF(OR($EO291="",$EP291=""),"ONZEKER",IF(OR($EL291="",$EM291=""),"ONZEKER",IF(AND($EO291=$EL291+1,$EP291=$EM291),IF(OR(COUNTIF(#REF!,$B291)&gt;0,COUNTIF(#REF!,$B291)=0),"SKIP",IF(COUNTIFS(#REF!,$B291,#REF!,$DA291)&gt;0,"OK","ONBEKEND")),IF(AND($EO291=$EL291,$EP291=$EM291+1),IF(OR(COUNTIF(#REF!,$D291)&gt;0,COUNTIF(#REF!,$D291)=0),"SKIP",IF(COUNTIFS(#REF!,$D291,#REF!,$DA291)&gt;0,"OK","ONBEKEND")),"ONZEKER")))))</f>
        <v/>
      </c>
      <c r="DC291" t="str">
        <f t="shared" si="2096"/>
        <v/>
      </c>
      <c r="DD291" t="str">
        <f t="shared" si="2097"/>
        <v/>
      </c>
      <c r="DE291" t="str">
        <f>IF($DD291="","",IF(OR($ER291="",$ES291=""),"ONZEKER",IF(OR($EO291="",$EP291=""),"ONZEKER",IF(AND($ER291=$EO291+1,$ES291=$EP291),IF(OR(COUNTIF(#REF!,$B291)&gt;0,COUNTIF(#REF!,$B291)=0),"SKIP",IF(COUNTIFS(#REF!,$B291,#REF!,$DD291)&gt;0,"OK","ONBEKEND")),IF(AND($ER291=$EO291,$ES291=$EP291+1),IF(OR(COUNTIF(#REF!,$D291)&gt;0,COUNTIF(#REF!,$D291)=0),"SKIP",IF(COUNTIFS(#REF!,$D291,#REF!,$DD291)&gt;0,"OK","ONBEKEND")),"ONZEKER")))))</f>
        <v/>
      </c>
      <c r="DF291" t="str">
        <f t="shared" si="2098"/>
        <v/>
      </c>
      <c r="DG291" t="str">
        <f t="shared" si="2099"/>
        <v/>
      </c>
      <c r="DH291" t="str">
        <f>IF($DG291="","",IF(OR($EU291="",$EV291=""),"ONZEKER",IF(OR($ER291="",$ES291=""),"ONZEKER",IF(AND($EU291=$ER291+1,$EV291=$ES291),IF(OR(COUNTIF(#REF!,$B291)&gt;0,COUNTIF(#REF!,$B291)=0),"SKIP",IF(COUNTIFS(#REF!,$B291,#REF!,$DG291)&gt;0,"OK","ONBEKEND")),IF(AND($EU291=$ER291,$EV291=$ES291+1),IF(OR(COUNTIF(#REF!,$D291)&gt;0,COUNTIF(#REF!,$D291)=0),"SKIP",IF(COUNTIFS(#REF!,$D291,#REF!,$DG291)&gt;0,"OK","ONBEKEND")),"ONZEKER")))))</f>
        <v/>
      </c>
      <c r="DI291" t="str">
        <f t="shared" si="2100"/>
        <v/>
      </c>
      <c r="DJ291" t="str">
        <f t="shared" si="2101"/>
        <v/>
      </c>
      <c r="DK291" t="str">
        <f>IF($DJ291="","",IF(OR($EX291="",$EY291=""),"ONZEKER",IF(OR($EU291="",$EV291=""),"ONZEKER",IF(AND($EX291=$EU291+1,$EY291=$EV291),IF(OR(COUNTIF(#REF!,$B291)&gt;0,COUNTIF(#REF!,$B291)=0),"SKIP",IF(COUNTIFS(#REF!,$B291,#REF!,$DJ291)&gt;0,"OK","ONBEKEND")),IF(AND($EX291=$EU291,$EY291=$EV291+1),IF(OR(COUNTIF(#REF!,$D291)&gt;0,COUNTIF(#REF!,$D291)=0),"SKIP",IF(COUNTIFS(#REF!,$D291,#REF!,$DJ291)&gt;0,"OK","ONBEKEND")),"ONZEKER")))))</f>
        <v/>
      </c>
      <c r="DL291" t="str">
        <f t="shared" si="2102"/>
        <v/>
      </c>
      <c r="DM291" t="str">
        <f t="shared" si="2103"/>
        <v/>
      </c>
      <c r="DN291" t="str">
        <f t="shared" si="2104"/>
        <v/>
      </c>
      <c r="DO291" t="str">
        <f t="shared" si="2105"/>
        <v/>
      </c>
      <c r="DP291" t="str">
        <f t="shared" si="2106"/>
        <v/>
      </c>
      <c r="DQ291" t="str">
        <f t="shared" si="2107"/>
        <v/>
      </c>
      <c r="DR291" t="str">
        <f t="shared" si="2108"/>
        <v/>
      </c>
      <c r="DS291" t="str">
        <f t="shared" si="2109"/>
        <v/>
      </c>
      <c r="DT291" t="str">
        <f t="shared" si="2110"/>
        <v/>
      </c>
      <c r="DU291" t="str">
        <f t="shared" si="2111"/>
        <v/>
      </c>
      <c r="DV291" t="str">
        <f t="shared" si="2112"/>
        <v/>
      </c>
      <c r="DW291" t="str">
        <f t="shared" si="2113"/>
        <v/>
      </c>
      <c r="DX291" t="str">
        <f t="shared" si="2114"/>
        <v/>
      </c>
      <c r="DY291" t="str">
        <f t="shared" si="2115"/>
        <v/>
      </c>
      <c r="DZ291" t="str">
        <f t="shared" si="2116"/>
        <v/>
      </c>
      <c r="EA291" t="str">
        <f t="shared" si="2117"/>
        <v/>
      </c>
      <c r="EB291" t="str">
        <f t="shared" si="2118"/>
        <v/>
      </c>
      <c r="EC291" t="str">
        <f t="shared" si="2119"/>
        <v/>
      </c>
      <c r="ED291" t="str">
        <f t="shared" si="2120"/>
        <v/>
      </c>
      <c r="EE291" t="str">
        <f t="shared" si="2121"/>
        <v/>
      </c>
      <c r="EF291" t="str">
        <f t="shared" si="2122"/>
        <v/>
      </c>
      <c r="EG291" t="str">
        <f t="shared" si="2123"/>
        <v/>
      </c>
      <c r="EH291" t="str">
        <f t="shared" si="2124"/>
        <v/>
      </c>
      <c r="EI291" t="str">
        <f t="shared" si="2125"/>
        <v/>
      </c>
      <c r="EJ291" t="str">
        <f t="shared" si="2126"/>
        <v/>
      </c>
      <c r="EK291" t="str">
        <f t="shared" si="2127"/>
        <v/>
      </c>
      <c r="EL291" t="str">
        <f t="shared" si="2128"/>
        <v/>
      </c>
      <c r="EM291" t="str">
        <f t="shared" si="2129"/>
        <v/>
      </c>
      <c r="EN291" t="str">
        <f t="shared" si="2130"/>
        <v/>
      </c>
      <c r="EO291" t="str">
        <f t="shared" si="2131"/>
        <v/>
      </c>
      <c r="EP291" t="str">
        <f t="shared" si="2132"/>
        <v/>
      </c>
      <c r="EQ291" t="str">
        <f t="shared" si="2133"/>
        <v/>
      </c>
      <c r="ER291" t="str">
        <f t="shared" si="2134"/>
        <v/>
      </c>
      <c r="ES291" t="str">
        <f t="shared" si="2135"/>
        <v/>
      </c>
      <c r="ET291" t="str">
        <f t="shared" si="2136"/>
        <v/>
      </c>
      <c r="EU291" t="str">
        <f t="shared" si="2137"/>
        <v/>
      </c>
      <c r="EV291" t="str">
        <f t="shared" si="2138"/>
        <v/>
      </c>
      <c r="EW291" t="str">
        <f t="shared" si="2139"/>
        <v/>
      </c>
      <c r="EX291" t="str">
        <f t="shared" si="2140"/>
        <v/>
      </c>
      <c r="EY291" t="str">
        <f t="shared" si="2141"/>
        <v/>
      </c>
    </row>
    <row r="292" spans="2:155" ht="13.9" customHeight="1" x14ac:dyDescent="0.25">
      <c r="B292" s="23"/>
      <c r="D292" s="23"/>
      <c r="F292" s="18">
        <v>0</v>
      </c>
      <c r="G292" s="7" t="s">
        <v>147</v>
      </c>
      <c r="H292" s="18">
        <v>0</v>
      </c>
      <c r="I292" s="19">
        <v>0</v>
      </c>
      <c r="J292" s="7" t="s">
        <v>147</v>
      </c>
      <c r="K292" s="19">
        <v>0</v>
      </c>
      <c r="L292" s="9"/>
      <c r="M292" s="13" t="str">
        <f>IF($L292="","",IF($L292="DOELPUNTENMAKERS","",IF(AND(COUNTIF(#REF!,$B292)=0,COUNTIF(#REF!,$D292)=0),"OK",IF($O292&gt;20,"LET OP: meer dan 20 items (controle onvolledig)",IF((COUNTIF($R292:$AS292,"ONZEKER")+COUNTIF($CJ292:$DK292,"ONZEKER"))&gt;0,"LET OP: scoreverloop onduidelijk (controle beperkt)",IF((IF($AT292&lt;&gt;"",$AT292&amp;", ","")&amp;IF($AU292&lt;&gt;"",$AU292&amp;", ","")&amp;IF($AV292&lt;&gt;"",$AV292&amp;", ","")&amp;IF($AW292&lt;&gt;"",$AW292&amp;", ","")&amp;IF($AX292&lt;&gt;"",$AX292&amp;", ","")&amp;IF($AY292&lt;&gt;"",$AY292&amp;", ","")&amp;IF($AZ292&lt;&gt;"",$AZ292&amp;", ","")&amp;IF($BA292&lt;&gt;"",$BA292&amp;", ","")&amp;IF($BB292&lt;&gt;"",$BB292&amp;", ","")&amp;IF($BC292&lt;&gt;"",$BC292&amp;", ","")&amp;IF($DL292&lt;&gt;"",$DL292&amp;", ","")&amp;IF($DM292&lt;&gt;"",$DM292&amp;", ","")&amp;IF($DN292&lt;&gt;"",$DN292&amp;", ","")&amp;IF($DO292&lt;&gt;"",$DO292&amp;", ","")&amp;IF($DP292&lt;&gt;"",$DP292&amp;", ","")&amp;IF($DQ292&lt;&gt;"",$DQ292&amp;", ","")&amp;IF($DR292&lt;&gt;"",$DR292&amp;", ","")&amp;IF($DS292&lt;&gt;"",$DS292&amp;", ","")&amp;IF($DT292&lt;&gt;"",$DT292&amp;", ","")&amp;IF($DU292&lt;&gt;"",$DU292&amp;", ",""))="","OK","Onbekend: "&amp;LEFT((IF($AT292&lt;&gt;"",$AT292&amp;", ","")&amp;IF($AU292&lt;&gt;"",$AU292&amp;", ","")&amp;IF($AV292&lt;&gt;"",$AV292&amp;", ","")&amp;IF($AW292&lt;&gt;"",$AW292&amp;", ","")&amp;IF($AX292&lt;&gt;"",$AX292&amp;", ","")&amp;IF($AY292&lt;&gt;"",$AY292&amp;", ","")&amp;IF($AZ292&lt;&gt;"",$AZ292&amp;", ","")&amp;IF($BA292&lt;&gt;"",$BA292&amp;", ","")&amp;IF($BB292&lt;&gt;"",$BB292&amp;", ","")&amp;IF($BC292&lt;&gt;"",$BC292&amp;", ","")&amp;IF($DL292&lt;&gt;"",$DL292&amp;", ","")&amp;IF($DM292&lt;&gt;"",$DM292&amp;", ","")&amp;IF($DN292&lt;&gt;"",$DN292&amp;", ","")&amp;IF($DO292&lt;&gt;"",$DO292&amp;", ","")&amp;IF($DP292&lt;&gt;"",$DP292&amp;", ","")&amp;IF($DQ292&lt;&gt;"",$DQ292&amp;", ","")&amp;IF($DR292&lt;&gt;"",$DR292&amp;", ","")&amp;IF($DS292&lt;&gt;"",$DS292&amp;", ","")&amp;IF($DT292&lt;&gt;"",$DT292&amp;", ","")&amp;IF($DU292&lt;&gt;"",$DU292&amp;", ","")),LEN((IF($AT292&lt;&gt;"",$AT292&amp;", ","")&amp;IF($AU292&lt;&gt;"",$AU292&amp;", ","")&amp;IF($AV292&lt;&gt;"",$AV292&amp;", ","")&amp;IF($AW292&lt;&gt;"",$AW292&amp;", ","")&amp;IF($AX292&lt;&gt;"",$AX292&amp;", ","")&amp;IF($AY292&lt;&gt;"",$AY292&amp;", ","")&amp;IF($AZ292&lt;&gt;"",$AZ292&amp;", ","")&amp;IF($BA292&lt;&gt;"",$BA292&amp;", ","")&amp;IF($BB292&lt;&gt;"",$BB292&amp;", ","")&amp;IF($BC292&lt;&gt;"",$BC292&amp;", ","")&amp;IF($DL292&lt;&gt;"",$DL292&amp;", ","")&amp;IF($DM292&lt;&gt;"",$DM292&amp;", ","")&amp;IF($DN292&lt;&gt;"",$DN292&amp;", ","")&amp;IF($DO292&lt;&gt;"",$DO292&amp;", ","")&amp;IF($DP292&lt;&gt;"",$DP292&amp;", ","")&amp;IF($DQ292&lt;&gt;"",$DQ292&amp;", ","")&amp;IF($DR292&lt;&gt;"",$DR292&amp;", ","")&amp;IF($DS292&lt;&gt;"",$DS292&amp;", ","")&amp;IF($DT292&lt;&gt;"",$DT292&amp;", ","")&amp;IF($DU292&lt;&gt;"",$DU292&amp;", ","")))-2)))))))</f>
        <v/>
      </c>
      <c r="CH292" t="str">
        <f t="shared" si="2082"/>
        <v/>
      </c>
      <c r="CI292" t="str">
        <f t="shared" si="2083"/>
        <v/>
      </c>
      <c r="CJ292" t="str">
        <f>IF($CI292="","",IF(OR($DW292="",$DX292=""),"ONZEKER",IF(OR($CF292="",$CG292=""),"ONZEKER",IF(AND($DW292=$CF292+1,$DX292=$CG292),IF(OR(COUNTIF(#REF!,$B292)&gt;0,COUNTIF(#REF!,$B292)=0),"SKIP",IF(COUNTIFS(#REF!,$B292,#REF!,$CI292)&gt;0,"OK","ONBEKEND")),IF(AND($DW292=$CF292,$DX292=$CG292+1),IF(OR(COUNTIF(#REF!,$D292)&gt;0,COUNTIF(#REF!,$D292)=0),"SKIP",IF(COUNTIFS(#REF!,$D292,#REF!,$CI292)&gt;0,"OK","ONBEKEND")),"ONZEKER")))))</f>
        <v/>
      </c>
      <c r="CK292" t="str">
        <f t="shared" si="2084"/>
        <v/>
      </c>
      <c r="CL292" t="str">
        <f t="shared" si="2085"/>
        <v/>
      </c>
      <c r="CM292" t="str">
        <f>IF($CL292="","",IF(OR($DZ292="",$EA292=""),"ONZEKER",IF(OR($DW292="",$DX292=""),"ONZEKER",IF(AND($DZ292=$DW292+1,$EA292=$DX292),IF(OR(COUNTIF(#REF!,$B292)&gt;0,COUNTIF(#REF!,$B292)=0),"SKIP",IF(COUNTIFS(#REF!,$B292,#REF!,$CL292)&gt;0,"OK","ONBEKEND")),IF(AND($DZ292=$DW292,$EA292=$DX292+1),IF(OR(COUNTIF(#REF!,$D292)&gt;0,COUNTIF(#REF!,$D292)=0),"SKIP",IF(COUNTIFS(#REF!,$D292,#REF!,$CL292)&gt;0,"OK","ONBEKEND")),"ONZEKER")))))</f>
        <v/>
      </c>
      <c r="CN292" t="str">
        <f t="shared" si="2086"/>
        <v/>
      </c>
      <c r="CO292" t="str">
        <f t="shared" si="2087"/>
        <v/>
      </c>
      <c r="CP292" t="str">
        <f>IF($CO292="","",IF(OR($EC292="",$ED292=""),"ONZEKER",IF(OR($DZ292="",$EA292=""),"ONZEKER",IF(AND($EC292=$DZ292+1,$ED292=$EA292),IF(OR(COUNTIF(#REF!,$B292)&gt;0,COUNTIF(#REF!,$B292)=0),"SKIP",IF(COUNTIFS(#REF!,$B292,#REF!,$CO292)&gt;0,"OK","ONBEKEND")),IF(AND($EC292=$DZ292,$ED292=$EA292+1),IF(OR(COUNTIF(#REF!,$D292)&gt;0,COUNTIF(#REF!,$D292)=0),"SKIP",IF(COUNTIFS(#REF!,$D292,#REF!,$CO292)&gt;0,"OK","ONBEKEND")),"ONZEKER")))))</f>
        <v/>
      </c>
      <c r="CQ292" t="str">
        <f t="shared" si="2088"/>
        <v/>
      </c>
      <c r="CR292" t="str">
        <f t="shared" si="2089"/>
        <v/>
      </c>
      <c r="CS292" t="str">
        <f>IF($CR292="","",IF(OR($EF292="",$EG292=""),"ONZEKER",IF(OR($EC292="",$ED292=""),"ONZEKER",IF(AND($EF292=$EC292+1,$EG292=$ED292),IF(OR(COUNTIF(#REF!,$B292)&gt;0,COUNTIF(#REF!,$B292)=0),"SKIP",IF(COUNTIFS(#REF!,$B292,#REF!,$CR292)&gt;0,"OK","ONBEKEND")),IF(AND($EF292=$EC292,$EG292=$ED292+1),IF(OR(COUNTIF(#REF!,$D292)&gt;0,COUNTIF(#REF!,$D292)=0),"SKIP",IF(COUNTIFS(#REF!,$D292,#REF!,$CR292)&gt;0,"OK","ONBEKEND")),"ONZEKER")))))</f>
        <v/>
      </c>
      <c r="CT292" t="str">
        <f t="shared" si="2090"/>
        <v/>
      </c>
      <c r="CU292" t="str">
        <f t="shared" si="2091"/>
        <v/>
      </c>
      <c r="CV292" t="str">
        <f>IF($CU292="","",IF(OR($EI292="",$EJ292=""),"ONZEKER",IF(OR($EF292="",$EG292=""),"ONZEKER",IF(AND($EI292=$EF292+1,$EJ292=$EG292),IF(OR(COUNTIF(#REF!,$B292)&gt;0,COUNTIF(#REF!,$B292)=0),"SKIP",IF(COUNTIFS(#REF!,$B292,#REF!,$CU292)&gt;0,"OK","ONBEKEND")),IF(AND($EI292=$EF292,$EJ292=$EG292+1),IF(OR(COUNTIF(#REF!,$D292)&gt;0,COUNTIF(#REF!,$D292)=0),"SKIP",IF(COUNTIFS(#REF!,$D292,#REF!,$CU292)&gt;0,"OK","ONBEKEND")),"ONZEKER")))))</f>
        <v/>
      </c>
      <c r="CW292" t="str">
        <f t="shared" si="2092"/>
        <v/>
      </c>
      <c r="CX292" t="str">
        <f t="shared" si="2093"/>
        <v/>
      </c>
      <c r="CY292" t="str">
        <f>IF($CX292="","",IF(OR($EL292="",$EM292=""),"ONZEKER",IF(OR($EI292="",$EJ292=""),"ONZEKER",IF(AND($EL292=$EI292+1,$EM292=$EJ292),IF(OR(COUNTIF(#REF!,$B292)&gt;0,COUNTIF(#REF!,$B292)=0),"SKIP",IF(COUNTIFS(#REF!,$B292,#REF!,$CX292)&gt;0,"OK","ONBEKEND")),IF(AND($EL292=$EI292,$EM292=$EJ292+1),IF(OR(COUNTIF(#REF!,$D292)&gt;0,COUNTIF(#REF!,$D292)=0),"SKIP",IF(COUNTIFS(#REF!,$D292,#REF!,$CX292)&gt;0,"OK","ONBEKEND")),"ONZEKER")))))</f>
        <v/>
      </c>
      <c r="CZ292" t="str">
        <f t="shared" si="2094"/>
        <v/>
      </c>
      <c r="DA292" t="str">
        <f t="shared" si="2095"/>
        <v/>
      </c>
      <c r="DB292" t="str">
        <f>IF($DA292="","",IF(OR($EO292="",$EP292=""),"ONZEKER",IF(OR($EL292="",$EM292=""),"ONZEKER",IF(AND($EO292=$EL292+1,$EP292=$EM292),IF(OR(COUNTIF(#REF!,$B292)&gt;0,COUNTIF(#REF!,$B292)=0),"SKIP",IF(COUNTIFS(#REF!,$B292,#REF!,$DA292)&gt;0,"OK","ONBEKEND")),IF(AND($EO292=$EL292,$EP292=$EM292+1),IF(OR(COUNTIF(#REF!,$D292)&gt;0,COUNTIF(#REF!,$D292)=0),"SKIP",IF(COUNTIFS(#REF!,$D292,#REF!,$DA292)&gt;0,"OK","ONBEKEND")),"ONZEKER")))))</f>
        <v/>
      </c>
      <c r="DC292" t="str">
        <f t="shared" si="2096"/>
        <v/>
      </c>
      <c r="DD292" t="str">
        <f t="shared" si="2097"/>
        <v/>
      </c>
      <c r="DE292" t="str">
        <f>IF($DD292="","",IF(OR($ER292="",$ES292=""),"ONZEKER",IF(OR($EO292="",$EP292=""),"ONZEKER",IF(AND($ER292=$EO292+1,$ES292=$EP292),IF(OR(COUNTIF(#REF!,$B292)&gt;0,COUNTIF(#REF!,$B292)=0),"SKIP",IF(COUNTIFS(#REF!,$B292,#REF!,$DD292)&gt;0,"OK","ONBEKEND")),IF(AND($ER292=$EO292,$ES292=$EP292+1),IF(OR(COUNTIF(#REF!,$D292)&gt;0,COUNTIF(#REF!,$D292)=0),"SKIP",IF(COUNTIFS(#REF!,$D292,#REF!,$DD292)&gt;0,"OK","ONBEKEND")),"ONZEKER")))))</f>
        <v/>
      </c>
      <c r="DF292" t="str">
        <f t="shared" si="2098"/>
        <v/>
      </c>
      <c r="DG292" t="str">
        <f t="shared" si="2099"/>
        <v/>
      </c>
      <c r="DH292" t="str">
        <f>IF($DG292="","",IF(OR($EU292="",$EV292=""),"ONZEKER",IF(OR($ER292="",$ES292=""),"ONZEKER",IF(AND($EU292=$ER292+1,$EV292=$ES292),IF(OR(COUNTIF(#REF!,$B292)&gt;0,COUNTIF(#REF!,$B292)=0),"SKIP",IF(COUNTIFS(#REF!,$B292,#REF!,$DG292)&gt;0,"OK","ONBEKEND")),IF(AND($EU292=$ER292,$EV292=$ES292+1),IF(OR(COUNTIF(#REF!,$D292)&gt;0,COUNTIF(#REF!,$D292)=0),"SKIP",IF(COUNTIFS(#REF!,$D292,#REF!,$DG292)&gt;0,"OK","ONBEKEND")),"ONZEKER")))))</f>
        <v/>
      </c>
      <c r="DI292" t="str">
        <f t="shared" si="2100"/>
        <v/>
      </c>
      <c r="DJ292" t="str">
        <f t="shared" si="2101"/>
        <v/>
      </c>
      <c r="DK292" t="str">
        <f>IF($DJ292="","",IF(OR($EX292="",$EY292=""),"ONZEKER",IF(OR($EU292="",$EV292=""),"ONZEKER",IF(AND($EX292=$EU292+1,$EY292=$EV292),IF(OR(COUNTIF(#REF!,$B292)&gt;0,COUNTIF(#REF!,$B292)=0),"SKIP",IF(COUNTIFS(#REF!,$B292,#REF!,$DJ292)&gt;0,"OK","ONBEKEND")),IF(AND($EX292=$EU292,$EY292=$EV292+1),IF(OR(COUNTIF(#REF!,$D292)&gt;0,COUNTIF(#REF!,$D292)=0),"SKIP",IF(COUNTIFS(#REF!,$D292,#REF!,$DJ292)&gt;0,"OK","ONBEKEND")),"ONZEKER")))))</f>
        <v/>
      </c>
      <c r="DL292" t="str">
        <f t="shared" si="2102"/>
        <v/>
      </c>
      <c r="DM292" t="str">
        <f t="shared" si="2103"/>
        <v/>
      </c>
      <c r="DN292" t="str">
        <f t="shared" si="2104"/>
        <v/>
      </c>
      <c r="DO292" t="str">
        <f t="shared" si="2105"/>
        <v/>
      </c>
      <c r="DP292" t="str">
        <f t="shared" si="2106"/>
        <v/>
      </c>
      <c r="DQ292" t="str">
        <f t="shared" si="2107"/>
        <v/>
      </c>
      <c r="DR292" t="str">
        <f t="shared" si="2108"/>
        <v/>
      </c>
      <c r="DS292" t="str">
        <f t="shared" si="2109"/>
        <v/>
      </c>
      <c r="DT292" t="str">
        <f t="shared" si="2110"/>
        <v/>
      </c>
      <c r="DU292" t="str">
        <f t="shared" si="2111"/>
        <v/>
      </c>
      <c r="DV292" t="str">
        <f t="shared" si="2112"/>
        <v/>
      </c>
      <c r="DW292" t="str">
        <f t="shared" si="2113"/>
        <v/>
      </c>
      <c r="DX292" t="str">
        <f t="shared" si="2114"/>
        <v/>
      </c>
      <c r="DY292" t="str">
        <f t="shared" si="2115"/>
        <v/>
      </c>
      <c r="DZ292" t="str">
        <f t="shared" si="2116"/>
        <v/>
      </c>
      <c r="EA292" t="str">
        <f t="shared" si="2117"/>
        <v/>
      </c>
      <c r="EB292" t="str">
        <f t="shared" si="2118"/>
        <v/>
      </c>
      <c r="EC292" t="str">
        <f t="shared" si="2119"/>
        <v/>
      </c>
      <c r="ED292" t="str">
        <f t="shared" si="2120"/>
        <v/>
      </c>
      <c r="EE292" t="str">
        <f t="shared" si="2121"/>
        <v/>
      </c>
      <c r="EF292" t="str">
        <f t="shared" si="2122"/>
        <v/>
      </c>
      <c r="EG292" t="str">
        <f t="shared" si="2123"/>
        <v/>
      </c>
      <c r="EH292" t="str">
        <f t="shared" si="2124"/>
        <v/>
      </c>
      <c r="EI292" t="str">
        <f t="shared" si="2125"/>
        <v/>
      </c>
      <c r="EJ292" t="str">
        <f t="shared" si="2126"/>
        <v/>
      </c>
      <c r="EK292" t="str">
        <f t="shared" si="2127"/>
        <v/>
      </c>
      <c r="EL292" t="str">
        <f t="shared" si="2128"/>
        <v/>
      </c>
      <c r="EM292" t="str">
        <f t="shared" si="2129"/>
        <v/>
      </c>
      <c r="EN292" t="str">
        <f t="shared" si="2130"/>
        <v/>
      </c>
      <c r="EO292" t="str">
        <f t="shared" si="2131"/>
        <v/>
      </c>
      <c r="EP292" t="str">
        <f t="shared" si="2132"/>
        <v/>
      </c>
      <c r="EQ292" t="str">
        <f t="shared" si="2133"/>
        <v/>
      </c>
      <c r="ER292" t="str">
        <f t="shared" si="2134"/>
        <v/>
      </c>
      <c r="ES292" t="str">
        <f t="shared" si="2135"/>
        <v/>
      </c>
      <c r="ET292" t="str">
        <f t="shared" si="2136"/>
        <v/>
      </c>
      <c r="EU292" t="str">
        <f t="shared" si="2137"/>
        <v/>
      </c>
      <c r="EV292" t="str">
        <f t="shared" si="2138"/>
        <v/>
      </c>
      <c r="EW292" t="str">
        <f t="shared" si="2139"/>
        <v/>
      </c>
      <c r="EX292" t="str">
        <f t="shared" si="2140"/>
        <v/>
      </c>
      <c r="EY292" t="str">
        <f t="shared" si="2141"/>
        <v/>
      </c>
    </row>
    <row r="293" spans="2:155" ht="13.9" customHeight="1" x14ac:dyDescent="0.25">
      <c r="B293" s="23"/>
      <c r="D293" s="23"/>
      <c r="F293" s="18">
        <v>0</v>
      </c>
      <c r="G293" s="7" t="s">
        <v>147</v>
      </c>
      <c r="H293" s="18">
        <v>0</v>
      </c>
      <c r="I293" s="19">
        <v>0</v>
      </c>
      <c r="J293" s="7" t="s">
        <v>147</v>
      </c>
      <c r="K293" s="19">
        <v>0</v>
      </c>
      <c r="L293" s="9"/>
      <c r="M293" s="13" t="str">
        <f>IF($L293="","",IF($L293="DOELPUNTENMAKERS","",IF(AND(COUNTIF(#REF!,$B293)=0,COUNTIF(#REF!,$D293)=0),"OK",IF($O293&gt;20,"LET OP: meer dan 20 items (controle onvolledig)",IF((COUNTIF($R293:$AS293,"ONZEKER")+COUNTIF($CJ293:$DK293,"ONZEKER"))&gt;0,"LET OP: scoreverloop onduidelijk (controle beperkt)",IF((IF($AT293&lt;&gt;"",$AT293&amp;", ","")&amp;IF($AU293&lt;&gt;"",$AU293&amp;", ","")&amp;IF($AV293&lt;&gt;"",$AV293&amp;", ","")&amp;IF($AW293&lt;&gt;"",$AW293&amp;", ","")&amp;IF($AX293&lt;&gt;"",$AX293&amp;", ","")&amp;IF($AY293&lt;&gt;"",$AY293&amp;", ","")&amp;IF($AZ293&lt;&gt;"",$AZ293&amp;", ","")&amp;IF($BA293&lt;&gt;"",$BA293&amp;", ","")&amp;IF($BB293&lt;&gt;"",$BB293&amp;", ","")&amp;IF($BC293&lt;&gt;"",$BC293&amp;", ","")&amp;IF($DL293&lt;&gt;"",$DL293&amp;", ","")&amp;IF($DM293&lt;&gt;"",$DM293&amp;", ","")&amp;IF($DN293&lt;&gt;"",$DN293&amp;", ","")&amp;IF($DO293&lt;&gt;"",$DO293&amp;", ","")&amp;IF($DP293&lt;&gt;"",$DP293&amp;", ","")&amp;IF($DQ293&lt;&gt;"",$DQ293&amp;", ","")&amp;IF($DR293&lt;&gt;"",$DR293&amp;", ","")&amp;IF($DS293&lt;&gt;"",$DS293&amp;", ","")&amp;IF($DT293&lt;&gt;"",$DT293&amp;", ","")&amp;IF($DU293&lt;&gt;"",$DU293&amp;", ",""))="","OK","Onbekend: "&amp;LEFT((IF($AT293&lt;&gt;"",$AT293&amp;", ","")&amp;IF($AU293&lt;&gt;"",$AU293&amp;", ","")&amp;IF($AV293&lt;&gt;"",$AV293&amp;", ","")&amp;IF($AW293&lt;&gt;"",$AW293&amp;", ","")&amp;IF($AX293&lt;&gt;"",$AX293&amp;", ","")&amp;IF($AY293&lt;&gt;"",$AY293&amp;", ","")&amp;IF($AZ293&lt;&gt;"",$AZ293&amp;", ","")&amp;IF($BA293&lt;&gt;"",$BA293&amp;", ","")&amp;IF($BB293&lt;&gt;"",$BB293&amp;", ","")&amp;IF($BC293&lt;&gt;"",$BC293&amp;", ","")&amp;IF($DL293&lt;&gt;"",$DL293&amp;", ","")&amp;IF($DM293&lt;&gt;"",$DM293&amp;", ","")&amp;IF($DN293&lt;&gt;"",$DN293&amp;", ","")&amp;IF($DO293&lt;&gt;"",$DO293&amp;", ","")&amp;IF($DP293&lt;&gt;"",$DP293&amp;", ","")&amp;IF($DQ293&lt;&gt;"",$DQ293&amp;", ","")&amp;IF($DR293&lt;&gt;"",$DR293&amp;", ","")&amp;IF($DS293&lt;&gt;"",$DS293&amp;", ","")&amp;IF($DT293&lt;&gt;"",$DT293&amp;", ","")&amp;IF($DU293&lt;&gt;"",$DU293&amp;", ","")),LEN((IF($AT293&lt;&gt;"",$AT293&amp;", ","")&amp;IF($AU293&lt;&gt;"",$AU293&amp;", ","")&amp;IF($AV293&lt;&gt;"",$AV293&amp;", ","")&amp;IF($AW293&lt;&gt;"",$AW293&amp;", ","")&amp;IF($AX293&lt;&gt;"",$AX293&amp;", ","")&amp;IF($AY293&lt;&gt;"",$AY293&amp;", ","")&amp;IF($AZ293&lt;&gt;"",$AZ293&amp;", ","")&amp;IF($BA293&lt;&gt;"",$BA293&amp;", ","")&amp;IF($BB293&lt;&gt;"",$BB293&amp;", ","")&amp;IF($BC293&lt;&gt;"",$BC293&amp;", ","")&amp;IF($DL293&lt;&gt;"",$DL293&amp;", ","")&amp;IF($DM293&lt;&gt;"",$DM293&amp;", ","")&amp;IF($DN293&lt;&gt;"",$DN293&amp;", ","")&amp;IF($DO293&lt;&gt;"",$DO293&amp;", ","")&amp;IF($DP293&lt;&gt;"",$DP293&amp;", ","")&amp;IF($DQ293&lt;&gt;"",$DQ293&amp;", ","")&amp;IF($DR293&lt;&gt;"",$DR293&amp;", ","")&amp;IF($DS293&lt;&gt;"",$DS293&amp;", ","")&amp;IF($DT293&lt;&gt;"",$DT293&amp;", ","")&amp;IF($DU293&lt;&gt;"",$DU293&amp;", ","")))-2)))))))</f>
        <v/>
      </c>
      <c r="CH293" t="str">
        <f t="shared" si="2082"/>
        <v/>
      </c>
      <c r="CI293" t="str">
        <f t="shared" si="2083"/>
        <v/>
      </c>
      <c r="CJ293" t="str">
        <f>IF($CI293="","",IF(OR($DW293="",$DX293=""),"ONZEKER",IF(OR($CF293="",$CG293=""),"ONZEKER",IF(AND($DW293=$CF293+1,$DX293=$CG293),IF(OR(COUNTIF(#REF!,$B293)&gt;0,COUNTIF(#REF!,$B293)=0),"SKIP",IF(COUNTIFS(#REF!,$B293,#REF!,$CI293)&gt;0,"OK","ONBEKEND")),IF(AND($DW293=$CF293,$DX293=$CG293+1),IF(OR(COUNTIF(#REF!,$D293)&gt;0,COUNTIF(#REF!,$D293)=0),"SKIP",IF(COUNTIFS(#REF!,$D293,#REF!,$CI293)&gt;0,"OK","ONBEKEND")),"ONZEKER")))))</f>
        <v/>
      </c>
      <c r="CK293" t="str">
        <f t="shared" si="2084"/>
        <v/>
      </c>
      <c r="CL293" t="str">
        <f t="shared" si="2085"/>
        <v/>
      </c>
      <c r="CM293" t="str">
        <f>IF($CL293="","",IF(OR($DZ293="",$EA293=""),"ONZEKER",IF(OR($DW293="",$DX293=""),"ONZEKER",IF(AND($DZ293=$DW293+1,$EA293=$DX293),IF(OR(COUNTIF(#REF!,$B293)&gt;0,COUNTIF(#REF!,$B293)=0),"SKIP",IF(COUNTIFS(#REF!,$B293,#REF!,$CL293)&gt;0,"OK","ONBEKEND")),IF(AND($DZ293=$DW293,$EA293=$DX293+1),IF(OR(COUNTIF(#REF!,$D293)&gt;0,COUNTIF(#REF!,$D293)=0),"SKIP",IF(COUNTIFS(#REF!,$D293,#REF!,$CL293)&gt;0,"OK","ONBEKEND")),"ONZEKER")))))</f>
        <v/>
      </c>
      <c r="CN293" t="str">
        <f t="shared" si="2086"/>
        <v/>
      </c>
      <c r="CO293" t="str">
        <f t="shared" si="2087"/>
        <v/>
      </c>
      <c r="CP293" t="str">
        <f>IF($CO293="","",IF(OR($EC293="",$ED293=""),"ONZEKER",IF(OR($DZ293="",$EA293=""),"ONZEKER",IF(AND($EC293=$DZ293+1,$ED293=$EA293),IF(OR(COUNTIF(#REF!,$B293)&gt;0,COUNTIF(#REF!,$B293)=0),"SKIP",IF(COUNTIFS(#REF!,$B293,#REF!,$CO293)&gt;0,"OK","ONBEKEND")),IF(AND($EC293=$DZ293,$ED293=$EA293+1),IF(OR(COUNTIF(#REF!,$D293)&gt;0,COUNTIF(#REF!,$D293)=0),"SKIP",IF(COUNTIFS(#REF!,$D293,#REF!,$CO293)&gt;0,"OK","ONBEKEND")),"ONZEKER")))))</f>
        <v/>
      </c>
      <c r="CQ293" t="str">
        <f t="shared" si="2088"/>
        <v/>
      </c>
      <c r="CR293" t="str">
        <f t="shared" si="2089"/>
        <v/>
      </c>
      <c r="CS293" t="str">
        <f>IF($CR293="","",IF(OR($EF293="",$EG293=""),"ONZEKER",IF(OR($EC293="",$ED293=""),"ONZEKER",IF(AND($EF293=$EC293+1,$EG293=$ED293),IF(OR(COUNTIF(#REF!,$B293)&gt;0,COUNTIF(#REF!,$B293)=0),"SKIP",IF(COUNTIFS(#REF!,$B293,#REF!,$CR293)&gt;0,"OK","ONBEKEND")),IF(AND($EF293=$EC293,$EG293=$ED293+1),IF(OR(COUNTIF(#REF!,$D293)&gt;0,COUNTIF(#REF!,$D293)=0),"SKIP",IF(COUNTIFS(#REF!,$D293,#REF!,$CR293)&gt;0,"OK","ONBEKEND")),"ONZEKER")))))</f>
        <v/>
      </c>
      <c r="CT293" t="str">
        <f t="shared" si="2090"/>
        <v/>
      </c>
      <c r="CU293" t="str">
        <f t="shared" si="2091"/>
        <v/>
      </c>
      <c r="CV293" t="str">
        <f>IF($CU293="","",IF(OR($EI293="",$EJ293=""),"ONZEKER",IF(OR($EF293="",$EG293=""),"ONZEKER",IF(AND($EI293=$EF293+1,$EJ293=$EG293),IF(OR(COUNTIF(#REF!,$B293)&gt;0,COUNTIF(#REF!,$B293)=0),"SKIP",IF(COUNTIFS(#REF!,$B293,#REF!,$CU293)&gt;0,"OK","ONBEKEND")),IF(AND($EI293=$EF293,$EJ293=$EG293+1),IF(OR(COUNTIF(#REF!,$D293)&gt;0,COUNTIF(#REF!,$D293)=0),"SKIP",IF(COUNTIFS(#REF!,$D293,#REF!,$CU293)&gt;0,"OK","ONBEKEND")),"ONZEKER")))))</f>
        <v/>
      </c>
      <c r="CW293" t="str">
        <f t="shared" si="2092"/>
        <v/>
      </c>
      <c r="CX293" t="str">
        <f t="shared" si="2093"/>
        <v/>
      </c>
      <c r="CY293" t="str">
        <f>IF($CX293="","",IF(OR($EL293="",$EM293=""),"ONZEKER",IF(OR($EI293="",$EJ293=""),"ONZEKER",IF(AND($EL293=$EI293+1,$EM293=$EJ293),IF(OR(COUNTIF(#REF!,$B293)&gt;0,COUNTIF(#REF!,$B293)=0),"SKIP",IF(COUNTIFS(#REF!,$B293,#REF!,$CX293)&gt;0,"OK","ONBEKEND")),IF(AND($EL293=$EI293,$EM293=$EJ293+1),IF(OR(COUNTIF(#REF!,$D293)&gt;0,COUNTIF(#REF!,$D293)=0),"SKIP",IF(COUNTIFS(#REF!,$D293,#REF!,$CX293)&gt;0,"OK","ONBEKEND")),"ONZEKER")))))</f>
        <v/>
      </c>
      <c r="CZ293" t="str">
        <f t="shared" si="2094"/>
        <v/>
      </c>
      <c r="DA293" t="str">
        <f t="shared" si="2095"/>
        <v/>
      </c>
      <c r="DB293" t="str">
        <f>IF($DA293="","",IF(OR($EO293="",$EP293=""),"ONZEKER",IF(OR($EL293="",$EM293=""),"ONZEKER",IF(AND($EO293=$EL293+1,$EP293=$EM293),IF(OR(COUNTIF(#REF!,$B293)&gt;0,COUNTIF(#REF!,$B293)=0),"SKIP",IF(COUNTIFS(#REF!,$B293,#REF!,$DA293)&gt;0,"OK","ONBEKEND")),IF(AND($EO293=$EL293,$EP293=$EM293+1),IF(OR(COUNTIF(#REF!,$D293)&gt;0,COUNTIF(#REF!,$D293)=0),"SKIP",IF(COUNTIFS(#REF!,$D293,#REF!,$DA293)&gt;0,"OK","ONBEKEND")),"ONZEKER")))))</f>
        <v/>
      </c>
      <c r="DC293" t="str">
        <f t="shared" si="2096"/>
        <v/>
      </c>
      <c r="DD293" t="str">
        <f t="shared" si="2097"/>
        <v/>
      </c>
      <c r="DE293" t="str">
        <f>IF($DD293="","",IF(OR($ER293="",$ES293=""),"ONZEKER",IF(OR($EO293="",$EP293=""),"ONZEKER",IF(AND($ER293=$EO293+1,$ES293=$EP293),IF(OR(COUNTIF(#REF!,$B293)&gt;0,COUNTIF(#REF!,$B293)=0),"SKIP",IF(COUNTIFS(#REF!,$B293,#REF!,$DD293)&gt;0,"OK","ONBEKEND")),IF(AND($ER293=$EO293,$ES293=$EP293+1),IF(OR(COUNTIF(#REF!,$D293)&gt;0,COUNTIF(#REF!,$D293)=0),"SKIP",IF(COUNTIFS(#REF!,$D293,#REF!,$DD293)&gt;0,"OK","ONBEKEND")),"ONZEKER")))))</f>
        <v/>
      </c>
      <c r="DF293" t="str">
        <f t="shared" si="2098"/>
        <v/>
      </c>
      <c r="DG293" t="str">
        <f t="shared" si="2099"/>
        <v/>
      </c>
      <c r="DH293" t="str">
        <f>IF($DG293="","",IF(OR($EU293="",$EV293=""),"ONZEKER",IF(OR($ER293="",$ES293=""),"ONZEKER",IF(AND($EU293=$ER293+1,$EV293=$ES293),IF(OR(COUNTIF(#REF!,$B293)&gt;0,COUNTIF(#REF!,$B293)=0),"SKIP",IF(COUNTIFS(#REF!,$B293,#REF!,$DG293)&gt;0,"OK","ONBEKEND")),IF(AND($EU293=$ER293,$EV293=$ES293+1),IF(OR(COUNTIF(#REF!,$D293)&gt;0,COUNTIF(#REF!,$D293)=0),"SKIP",IF(COUNTIFS(#REF!,$D293,#REF!,$DG293)&gt;0,"OK","ONBEKEND")),"ONZEKER")))))</f>
        <v/>
      </c>
      <c r="DI293" t="str">
        <f t="shared" si="2100"/>
        <v/>
      </c>
      <c r="DJ293" t="str">
        <f t="shared" si="2101"/>
        <v/>
      </c>
      <c r="DK293" t="str">
        <f>IF($DJ293="","",IF(OR($EX293="",$EY293=""),"ONZEKER",IF(OR($EU293="",$EV293=""),"ONZEKER",IF(AND($EX293=$EU293+1,$EY293=$EV293),IF(OR(COUNTIF(#REF!,$B293)&gt;0,COUNTIF(#REF!,$B293)=0),"SKIP",IF(COUNTIFS(#REF!,$B293,#REF!,$DJ293)&gt;0,"OK","ONBEKEND")),IF(AND($EX293=$EU293,$EY293=$EV293+1),IF(OR(COUNTIF(#REF!,$D293)&gt;0,COUNTIF(#REF!,$D293)=0),"SKIP",IF(COUNTIFS(#REF!,$D293,#REF!,$DJ293)&gt;0,"OK","ONBEKEND")),"ONZEKER")))))</f>
        <v/>
      </c>
      <c r="DL293" t="str">
        <f t="shared" si="2102"/>
        <v/>
      </c>
      <c r="DM293" t="str">
        <f t="shared" si="2103"/>
        <v/>
      </c>
      <c r="DN293" t="str">
        <f t="shared" si="2104"/>
        <v/>
      </c>
      <c r="DO293" t="str">
        <f t="shared" si="2105"/>
        <v/>
      </c>
      <c r="DP293" t="str">
        <f t="shared" si="2106"/>
        <v/>
      </c>
      <c r="DQ293" t="str">
        <f t="shared" si="2107"/>
        <v/>
      </c>
      <c r="DR293" t="str">
        <f t="shared" si="2108"/>
        <v/>
      </c>
      <c r="DS293" t="str">
        <f t="shared" si="2109"/>
        <v/>
      </c>
      <c r="DT293" t="str">
        <f t="shared" si="2110"/>
        <v/>
      </c>
      <c r="DU293" t="str">
        <f t="shared" si="2111"/>
        <v/>
      </c>
      <c r="DV293" t="str">
        <f t="shared" si="2112"/>
        <v/>
      </c>
      <c r="DW293" t="str">
        <f t="shared" si="2113"/>
        <v/>
      </c>
      <c r="DX293" t="str">
        <f t="shared" si="2114"/>
        <v/>
      </c>
      <c r="DY293" t="str">
        <f t="shared" si="2115"/>
        <v/>
      </c>
      <c r="DZ293" t="str">
        <f t="shared" si="2116"/>
        <v/>
      </c>
      <c r="EA293" t="str">
        <f t="shared" si="2117"/>
        <v/>
      </c>
      <c r="EB293" t="str">
        <f t="shared" si="2118"/>
        <v/>
      </c>
      <c r="EC293" t="str">
        <f t="shared" si="2119"/>
        <v/>
      </c>
      <c r="ED293" t="str">
        <f t="shared" si="2120"/>
        <v/>
      </c>
      <c r="EE293" t="str">
        <f t="shared" si="2121"/>
        <v/>
      </c>
      <c r="EF293" t="str">
        <f t="shared" si="2122"/>
        <v/>
      </c>
      <c r="EG293" t="str">
        <f t="shared" si="2123"/>
        <v/>
      </c>
      <c r="EH293" t="str">
        <f t="shared" si="2124"/>
        <v/>
      </c>
      <c r="EI293" t="str">
        <f t="shared" si="2125"/>
        <v/>
      </c>
      <c r="EJ293" t="str">
        <f t="shared" si="2126"/>
        <v/>
      </c>
      <c r="EK293" t="str">
        <f t="shared" si="2127"/>
        <v/>
      </c>
      <c r="EL293" t="str">
        <f t="shared" si="2128"/>
        <v/>
      </c>
      <c r="EM293" t="str">
        <f t="shared" si="2129"/>
        <v/>
      </c>
      <c r="EN293" t="str">
        <f t="shared" si="2130"/>
        <v/>
      </c>
      <c r="EO293" t="str">
        <f t="shared" si="2131"/>
        <v/>
      </c>
      <c r="EP293" t="str">
        <f t="shared" si="2132"/>
        <v/>
      </c>
      <c r="EQ293" t="str">
        <f t="shared" si="2133"/>
        <v/>
      </c>
      <c r="ER293" t="str">
        <f t="shared" si="2134"/>
        <v/>
      </c>
      <c r="ES293" t="str">
        <f t="shared" si="2135"/>
        <v/>
      </c>
      <c r="ET293" t="str">
        <f t="shared" si="2136"/>
        <v/>
      </c>
      <c r="EU293" t="str">
        <f t="shared" si="2137"/>
        <v/>
      </c>
      <c r="EV293" t="str">
        <f t="shared" si="2138"/>
        <v/>
      </c>
      <c r="EW293" t="str">
        <f t="shared" si="2139"/>
        <v/>
      </c>
      <c r="EX293" t="str">
        <f t="shared" si="2140"/>
        <v/>
      </c>
      <c r="EY293" t="str">
        <f t="shared" si="2141"/>
        <v/>
      </c>
    </row>
    <row r="294" spans="2:155" ht="13.9" customHeight="1" x14ac:dyDescent="0.25">
      <c r="B294" s="23"/>
      <c r="D294" s="23"/>
      <c r="F294" s="18">
        <v>0</v>
      </c>
      <c r="G294" s="7" t="s">
        <v>147</v>
      </c>
      <c r="H294" s="18">
        <v>0</v>
      </c>
      <c r="I294" s="19">
        <v>0</v>
      </c>
      <c r="J294" s="7" t="s">
        <v>147</v>
      </c>
      <c r="K294" s="19">
        <v>0</v>
      </c>
      <c r="L294" s="9"/>
      <c r="M294" s="13" t="str">
        <f>IF($L294="","",IF($L294="DOELPUNTENMAKERS","",IF(AND(COUNTIF(#REF!,$B294)=0,COUNTIF(#REF!,$D294)=0),"OK",IF($O294&gt;20,"LET OP: meer dan 20 items (controle onvolledig)",IF((COUNTIF($R294:$AS294,"ONZEKER")+COUNTIF($CJ294:$DK294,"ONZEKER"))&gt;0,"LET OP: scoreverloop onduidelijk (controle beperkt)",IF((IF($AT294&lt;&gt;"",$AT294&amp;", ","")&amp;IF($AU294&lt;&gt;"",$AU294&amp;", ","")&amp;IF($AV294&lt;&gt;"",$AV294&amp;", ","")&amp;IF($AW294&lt;&gt;"",$AW294&amp;", ","")&amp;IF($AX294&lt;&gt;"",$AX294&amp;", ","")&amp;IF($AY294&lt;&gt;"",$AY294&amp;", ","")&amp;IF($AZ294&lt;&gt;"",$AZ294&amp;", ","")&amp;IF($BA294&lt;&gt;"",$BA294&amp;", ","")&amp;IF($BB294&lt;&gt;"",$BB294&amp;", ","")&amp;IF($BC294&lt;&gt;"",$BC294&amp;", ","")&amp;IF($DL294&lt;&gt;"",$DL294&amp;", ","")&amp;IF($DM294&lt;&gt;"",$DM294&amp;", ","")&amp;IF($DN294&lt;&gt;"",$DN294&amp;", ","")&amp;IF($DO294&lt;&gt;"",$DO294&amp;", ","")&amp;IF($DP294&lt;&gt;"",$DP294&amp;", ","")&amp;IF($DQ294&lt;&gt;"",$DQ294&amp;", ","")&amp;IF($DR294&lt;&gt;"",$DR294&amp;", ","")&amp;IF($DS294&lt;&gt;"",$DS294&amp;", ","")&amp;IF($DT294&lt;&gt;"",$DT294&amp;", ","")&amp;IF($DU294&lt;&gt;"",$DU294&amp;", ",""))="","OK","Onbekend: "&amp;LEFT((IF($AT294&lt;&gt;"",$AT294&amp;", ","")&amp;IF($AU294&lt;&gt;"",$AU294&amp;", ","")&amp;IF($AV294&lt;&gt;"",$AV294&amp;", ","")&amp;IF($AW294&lt;&gt;"",$AW294&amp;", ","")&amp;IF($AX294&lt;&gt;"",$AX294&amp;", ","")&amp;IF($AY294&lt;&gt;"",$AY294&amp;", ","")&amp;IF($AZ294&lt;&gt;"",$AZ294&amp;", ","")&amp;IF($BA294&lt;&gt;"",$BA294&amp;", ","")&amp;IF($BB294&lt;&gt;"",$BB294&amp;", ","")&amp;IF($BC294&lt;&gt;"",$BC294&amp;", ","")&amp;IF($DL294&lt;&gt;"",$DL294&amp;", ","")&amp;IF($DM294&lt;&gt;"",$DM294&amp;", ","")&amp;IF($DN294&lt;&gt;"",$DN294&amp;", ","")&amp;IF($DO294&lt;&gt;"",$DO294&amp;", ","")&amp;IF($DP294&lt;&gt;"",$DP294&amp;", ","")&amp;IF($DQ294&lt;&gt;"",$DQ294&amp;", ","")&amp;IF($DR294&lt;&gt;"",$DR294&amp;", ","")&amp;IF($DS294&lt;&gt;"",$DS294&amp;", ","")&amp;IF($DT294&lt;&gt;"",$DT294&amp;", ","")&amp;IF($DU294&lt;&gt;"",$DU294&amp;", ","")),LEN((IF($AT294&lt;&gt;"",$AT294&amp;", ","")&amp;IF($AU294&lt;&gt;"",$AU294&amp;", ","")&amp;IF($AV294&lt;&gt;"",$AV294&amp;", ","")&amp;IF($AW294&lt;&gt;"",$AW294&amp;", ","")&amp;IF($AX294&lt;&gt;"",$AX294&amp;", ","")&amp;IF($AY294&lt;&gt;"",$AY294&amp;", ","")&amp;IF($AZ294&lt;&gt;"",$AZ294&amp;", ","")&amp;IF($BA294&lt;&gt;"",$BA294&amp;", ","")&amp;IF($BB294&lt;&gt;"",$BB294&amp;", ","")&amp;IF($BC294&lt;&gt;"",$BC294&amp;", ","")&amp;IF($DL294&lt;&gt;"",$DL294&amp;", ","")&amp;IF($DM294&lt;&gt;"",$DM294&amp;", ","")&amp;IF($DN294&lt;&gt;"",$DN294&amp;", ","")&amp;IF($DO294&lt;&gt;"",$DO294&amp;", ","")&amp;IF($DP294&lt;&gt;"",$DP294&amp;", ","")&amp;IF($DQ294&lt;&gt;"",$DQ294&amp;", ","")&amp;IF($DR294&lt;&gt;"",$DR294&amp;", ","")&amp;IF($DS294&lt;&gt;"",$DS294&amp;", ","")&amp;IF($DT294&lt;&gt;"",$DT294&amp;", ","")&amp;IF($DU294&lt;&gt;"",$DU294&amp;", ","")))-2)))))))</f>
        <v/>
      </c>
      <c r="CH294" t="str">
        <f t="shared" si="2082"/>
        <v/>
      </c>
      <c r="CI294" t="str">
        <f t="shared" si="2083"/>
        <v/>
      </c>
      <c r="CJ294" t="str">
        <f>IF($CI294="","",IF(OR($DW294="",$DX294=""),"ONZEKER",IF(OR($CF294="",$CG294=""),"ONZEKER",IF(AND($DW294=$CF294+1,$DX294=$CG294),IF(OR(COUNTIF(#REF!,$B294)&gt;0,COUNTIF(#REF!,$B294)=0),"SKIP",IF(COUNTIFS(#REF!,$B294,#REF!,$CI294)&gt;0,"OK","ONBEKEND")),IF(AND($DW294=$CF294,$DX294=$CG294+1),IF(OR(COUNTIF(#REF!,$D294)&gt;0,COUNTIF(#REF!,$D294)=0),"SKIP",IF(COUNTIFS(#REF!,$D294,#REF!,$CI294)&gt;0,"OK","ONBEKEND")),"ONZEKER")))))</f>
        <v/>
      </c>
      <c r="CK294" t="str">
        <f t="shared" si="2084"/>
        <v/>
      </c>
      <c r="CL294" t="str">
        <f t="shared" si="2085"/>
        <v/>
      </c>
      <c r="CM294" t="str">
        <f>IF($CL294="","",IF(OR($DZ294="",$EA294=""),"ONZEKER",IF(OR($DW294="",$DX294=""),"ONZEKER",IF(AND($DZ294=$DW294+1,$EA294=$DX294),IF(OR(COUNTIF(#REF!,$B294)&gt;0,COUNTIF(#REF!,$B294)=0),"SKIP",IF(COUNTIFS(#REF!,$B294,#REF!,$CL294)&gt;0,"OK","ONBEKEND")),IF(AND($DZ294=$DW294,$EA294=$DX294+1),IF(OR(COUNTIF(#REF!,$D294)&gt;0,COUNTIF(#REF!,$D294)=0),"SKIP",IF(COUNTIFS(#REF!,$D294,#REF!,$CL294)&gt;0,"OK","ONBEKEND")),"ONZEKER")))))</f>
        <v/>
      </c>
      <c r="CN294" t="str">
        <f t="shared" si="2086"/>
        <v/>
      </c>
      <c r="CO294" t="str">
        <f t="shared" si="2087"/>
        <v/>
      </c>
      <c r="CP294" t="str">
        <f>IF($CO294="","",IF(OR($EC294="",$ED294=""),"ONZEKER",IF(OR($DZ294="",$EA294=""),"ONZEKER",IF(AND($EC294=$DZ294+1,$ED294=$EA294),IF(OR(COUNTIF(#REF!,$B294)&gt;0,COUNTIF(#REF!,$B294)=0),"SKIP",IF(COUNTIFS(#REF!,$B294,#REF!,$CO294)&gt;0,"OK","ONBEKEND")),IF(AND($EC294=$DZ294,$ED294=$EA294+1),IF(OR(COUNTIF(#REF!,$D294)&gt;0,COUNTIF(#REF!,$D294)=0),"SKIP",IF(COUNTIFS(#REF!,$D294,#REF!,$CO294)&gt;0,"OK","ONBEKEND")),"ONZEKER")))))</f>
        <v/>
      </c>
      <c r="CQ294" t="str">
        <f t="shared" si="2088"/>
        <v/>
      </c>
      <c r="CR294" t="str">
        <f t="shared" si="2089"/>
        <v/>
      </c>
      <c r="CS294" t="str">
        <f>IF($CR294="","",IF(OR($EF294="",$EG294=""),"ONZEKER",IF(OR($EC294="",$ED294=""),"ONZEKER",IF(AND($EF294=$EC294+1,$EG294=$ED294),IF(OR(COUNTIF(#REF!,$B294)&gt;0,COUNTIF(#REF!,$B294)=0),"SKIP",IF(COUNTIFS(#REF!,$B294,#REF!,$CR294)&gt;0,"OK","ONBEKEND")),IF(AND($EF294=$EC294,$EG294=$ED294+1),IF(OR(COUNTIF(#REF!,$D294)&gt;0,COUNTIF(#REF!,$D294)=0),"SKIP",IF(COUNTIFS(#REF!,$D294,#REF!,$CR294)&gt;0,"OK","ONBEKEND")),"ONZEKER")))))</f>
        <v/>
      </c>
      <c r="CT294" t="str">
        <f t="shared" si="2090"/>
        <v/>
      </c>
      <c r="CU294" t="str">
        <f t="shared" si="2091"/>
        <v/>
      </c>
      <c r="CV294" t="str">
        <f>IF($CU294="","",IF(OR($EI294="",$EJ294=""),"ONZEKER",IF(OR($EF294="",$EG294=""),"ONZEKER",IF(AND($EI294=$EF294+1,$EJ294=$EG294),IF(OR(COUNTIF(#REF!,$B294)&gt;0,COUNTIF(#REF!,$B294)=0),"SKIP",IF(COUNTIFS(#REF!,$B294,#REF!,$CU294)&gt;0,"OK","ONBEKEND")),IF(AND($EI294=$EF294,$EJ294=$EG294+1),IF(OR(COUNTIF(#REF!,$D294)&gt;0,COUNTIF(#REF!,$D294)=0),"SKIP",IF(COUNTIFS(#REF!,$D294,#REF!,$CU294)&gt;0,"OK","ONBEKEND")),"ONZEKER")))))</f>
        <v/>
      </c>
      <c r="CW294" t="str">
        <f t="shared" si="2092"/>
        <v/>
      </c>
      <c r="CX294" t="str">
        <f t="shared" si="2093"/>
        <v/>
      </c>
      <c r="CY294" t="str">
        <f>IF($CX294="","",IF(OR($EL294="",$EM294=""),"ONZEKER",IF(OR($EI294="",$EJ294=""),"ONZEKER",IF(AND($EL294=$EI294+1,$EM294=$EJ294),IF(OR(COUNTIF(#REF!,$B294)&gt;0,COUNTIF(#REF!,$B294)=0),"SKIP",IF(COUNTIFS(#REF!,$B294,#REF!,$CX294)&gt;0,"OK","ONBEKEND")),IF(AND($EL294=$EI294,$EM294=$EJ294+1),IF(OR(COUNTIF(#REF!,$D294)&gt;0,COUNTIF(#REF!,$D294)=0),"SKIP",IF(COUNTIFS(#REF!,$D294,#REF!,$CX294)&gt;0,"OK","ONBEKEND")),"ONZEKER")))))</f>
        <v/>
      </c>
      <c r="CZ294" t="str">
        <f t="shared" si="2094"/>
        <v/>
      </c>
      <c r="DA294" t="str">
        <f t="shared" si="2095"/>
        <v/>
      </c>
      <c r="DB294" t="str">
        <f>IF($DA294="","",IF(OR($EO294="",$EP294=""),"ONZEKER",IF(OR($EL294="",$EM294=""),"ONZEKER",IF(AND($EO294=$EL294+1,$EP294=$EM294),IF(OR(COUNTIF(#REF!,$B294)&gt;0,COUNTIF(#REF!,$B294)=0),"SKIP",IF(COUNTIFS(#REF!,$B294,#REF!,$DA294)&gt;0,"OK","ONBEKEND")),IF(AND($EO294=$EL294,$EP294=$EM294+1),IF(OR(COUNTIF(#REF!,$D294)&gt;0,COUNTIF(#REF!,$D294)=0),"SKIP",IF(COUNTIFS(#REF!,$D294,#REF!,$DA294)&gt;0,"OK","ONBEKEND")),"ONZEKER")))))</f>
        <v/>
      </c>
      <c r="DC294" t="str">
        <f t="shared" si="2096"/>
        <v/>
      </c>
      <c r="DD294" t="str">
        <f t="shared" si="2097"/>
        <v/>
      </c>
      <c r="DE294" t="str">
        <f>IF($DD294="","",IF(OR($ER294="",$ES294=""),"ONZEKER",IF(OR($EO294="",$EP294=""),"ONZEKER",IF(AND($ER294=$EO294+1,$ES294=$EP294),IF(OR(COUNTIF(#REF!,$B294)&gt;0,COUNTIF(#REF!,$B294)=0),"SKIP",IF(COUNTIFS(#REF!,$B294,#REF!,$DD294)&gt;0,"OK","ONBEKEND")),IF(AND($ER294=$EO294,$ES294=$EP294+1),IF(OR(COUNTIF(#REF!,$D294)&gt;0,COUNTIF(#REF!,$D294)=0),"SKIP",IF(COUNTIFS(#REF!,$D294,#REF!,$DD294)&gt;0,"OK","ONBEKEND")),"ONZEKER")))))</f>
        <v/>
      </c>
      <c r="DF294" t="str">
        <f t="shared" si="2098"/>
        <v/>
      </c>
      <c r="DG294" t="str">
        <f t="shared" si="2099"/>
        <v/>
      </c>
      <c r="DH294" t="str">
        <f>IF($DG294="","",IF(OR($EU294="",$EV294=""),"ONZEKER",IF(OR($ER294="",$ES294=""),"ONZEKER",IF(AND($EU294=$ER294+1,$EV294=$ES294),IF(OR(COUNTIF(#REF!,$B294)&gt;0,COUNTIF(#REF!,$B294)=0),"SKIP",IF(COUNTIFS(#REF!,$B294,#REF!,$DG294)&gt;0,"OK","ONBEKEND")),IF(AND($EU294=$ER294,$EV294=$ES294+1),IF(OR(COUNTIF(#REF!,$D294)&gt;0,COUNTIF(#REF!,$D294)=0),"SKIP",IF(COUNTIFS(#REF!,$D294,#REF!,$DG294)&gt;0,"OK","ONBEKEND")),"ONZEKER")))))</f>
        <v/>
      </c>
      <c r="DI294" t="str">
        <f t="shared" si="2100"/>
        <v/>
      </c>
      <c r="DJ294" t="str">
        <f t="shared" si="2101"/>
        <v/>
      </c>
      <c r="DK294" t="str">
        <f>IF($DJ294="","",IF(OR($EX294="",$EY294=""),"ONZEKER",IF(OR($EU294="",$EV294=""),"ONZEKER",IF(AND($EX294=$EU294+1,$EY294=$EV294),IF(OR(COUNTIF(#REF!,$B294)&gt;0,COUNTIF(#REF!,$B294)=0),"SKIP",IF(COUNTIFS(#REF!,$B294,#REF!,$DJ294)&gt;0,"OK","ONBEKEND")),IF(AND($EX294=$EU294,$EY294=$EV294+1),IF(OR(COUNTIF(#REF!,$D294)&gt;0,COUNTIF(#REF!,$D294)=0),"SKIP",IF(COUNTIFS(#REF!,$D294,#REF!,$DJ294)&gt;0,"OK","ONBEKEND")),"ONZEKER")))))</f>
        <v/>
      </c>
      <c r="DL294" t="str">
        <f t="shared" si="2102"/>
        <v/>
      </c>
      <c r="DM294" t="str">
        <f t="shared" si="2103"/>
        <v/>
      </c>
      <c r="DN294" t="str">
        <f t="shared" si="2104"/>
        <v/>
      </c>
      <c r="DO294" t="str">
        <f t="shared" si="2105"/>
        <v/>
      </c>
      <c r="DP294" t="str">
        <f t="shared" si="2106"/>
        <v/>
      </c>
      <c r="DQ294" t="str">
        <f t="shared" si="2107"/>
        <v/>
      </c>
      <c r="DR294" t="str">
        <f t="shared" si="2108"/>
        <v/>
      </c>
      <c r="DS294" t="str">
        <f t="shared" si="2109"/>
        <v/>
      </c>
      <c r="DT294" t="str">
        <f t="shared" si="2110"/>
        <v/>
      </c>
      <c r="DU294" t="str">
        <f t="shared" si="2111"/>
        <v/>
      </c>
      <c r="DV294" t="str">
        <f t="shared" si="2112"/>
        <v/>
      </c>
      <c r="DW294" t="str">
        <f t="shared" si="2113"/>
        <v/>
      </c>
      <c r="DX294" t="str">
        <f t="shared" si="2114"/>
        <v/>
      </c>
      <c r="DY294" t="str">
        <f t="shared" si="2115"/>
        <v/>
      </c>
      <c r="DZ294" t="str">
        <f t="shared" si="2116"/>
        <v/>
      </c>
      <c r="EA294" t="str">
        <f t="shared" si="2117"/>
        <v/>
      </c>
      <c r="EB294" t="str">
        <f t="shared" si="2118"/>
        <v/>
      </c>
      <c r="EC294" t="str">
        <f t="shared" si="2119"/>
        <v/>
      </c>
      <c r="ED294" t="str">
        <f t="shared" si="2120"/>
        <v/>
      </c>
      <c r="EE294" t="str">
        <f t="shared" si="2121"/>
        <v/>
      </c>
      <c r="EF294" t="str">
        <f t="shared" si="2122"/>
        <v/>
      </c>
      <c r="EG294" t="str">
        <f t="shared" si="2123"/>
        <v/>
      </c>
      <c r="EH294" t="str">
        <f t="shared" si="2124"/>
        <v/>
      </c>
      <c r="EI294" t="str">
        <f t="shared" si="2125"/>
        <v/>
      </c>
      <c r="EJ294" t="str">
        <f t="shared" si="2126"/>
        <v/>
      </c>
      <c r="EK294" t="str">
        <f t="shared" si="2127"/>
        <v/>
      </c>
      <c r="EL294" t="str">
        <f t="shared" si="2128"/>
        <v/>
      </c>
      <c r="EM294" t="str">
        <f t="shared" si="2129"/>
        <v/>
      </c>
      <c r="EN294" t="str">
        <f t="shared" si="2130"/>
        <v/>
      </c>
      <c r="EO294" t="str">
        <f t="shared" si="2131"/>
        <v/>
      </c>
      <c r="EP294" t="str">
        <f t="shared" si="2132"/>
        <v/>
      </c>
      <c r="EQ294" t="str">
        <f t="shared" si="2133"/>
        <v/>
      </c>
      <c r="ER294" t="str">
        <f t="shared" si="2134"/>
        <v/>
      </c>
      <c r="ES294" t="str">
        <f t="shared" si="2135"/>
        <v/>
      </c>
      <c r="ET294" t="str">
        <f t="shared" si="2136"/>
        <v/>
      </c>
      <c r="EU294" t="str">
        <f t="shared" si="2137"/>
        <v/>
      </c>
      <c r="EV294" t="str">
        <f t="shared" si="2138"/>
        <v/>
      </c>
      <c r="EW294" t="str">
        <f t="shared" si="2139"/>
        <v/>
      </c>
      <c r="EX294" t="str">
        <f t="shared" si="2140"/>
        <v/>
      </c>
      <c r="EY294" t="str">
        <f t="shared" si="2141"/>
        <v/>
      </c>
    </row>
    <row r="295" spans="2:155" ht="13.9" customHeight="1" x14ac:dyDescent="0.25">
      <c r="B295" s="23"/>
      <c r="D295" s="23"/>
      <c r="F295" s="18">
        <v>0</v>
      </c>
      <c r="G295" s="7" t="s">
        <v>147</v>
      </c>
      <c r="H295" s="18">
        <v>0</v>
      </c>
      <c r="I295" s="19">
        <v>0</v>
      </c>
      <c r="J295" s="7" t="s">
        <v>147</v>
      </c>
      <c r="K295" s="19">
        <v>0</v>
      </c>
      <c r="L295" s="9"/>
      <c r="M295" s="13" t="str">
        <f>IF($L295="","",IF($L295="DOELPUNTENMAKERS","",IF(AND(COUNTIF(#REF!,$B295)=0,COUNTIF(#REF!,$D295)=0),"OK",IF($O295&gt;20,"LET OP: meer dan 20 items (controle onvolledig)",IF((COUNTIF($R295:$AS295,"ONZEKER")+COUNTIF($CJ295:$DK295,"ONZEKER"))&gt;0,"LET OP: scoreverloop onduidelijk (controle beperkt)",IF((IF($AT295&lt;&gt;"",$AT295&amp;", ","")&amp;IF($AU295&lt;&gt;"",$AU295&amp;", ","")&amp;IF($AV295&lt;&gt;"",$AV295&amp;", ","")&amp;IF($AW295&lt;&gt;"",$AW295&amp;", ","")&amp;IF($AX295&lt;&gt;"",$AX295&amp;", ","")&amp;IF($AY295&lt;&gt;"",$AY295&amp;", ","")&amp;IF($AZ295&lt;&gt;"",$AZ295&amp;", ","")&amp;IF($BA295&lt;&gt;"",$BA295&amp;", ","")&amp;IF($BB295&lt;&gt;"",$BB295&amp;", ","")&amp;IF($BC295&lt;&gt;"",$BC295&amp;", ","")&amp;IF($DL295&lt;&gt;"",$DL295&amp;", ","")&amp;IF($DM295&lt;&gt;"",$DM295&amp;", ","")&amp;IF($DN295&lt;&gt;"",$DN295&amp;", ","")&amp;IF($DO295&lt;&gt;"",$DO295&amp;", ","")&amp;IF($DP295&lt;&gt;"",$DP295&amp;", ","")&amp;IF($DQ295&lt;&gt;"",$DQ295&amp;", ","")&amp;IF($DR295&lt;&gt;"",$DR295&amp;", ","")&amp;IF($DS295&lt;&gt;"",$DS295&amp;", ","")&amp;IF($DT295&lt;&gt;"",$DT295&amp;", ","")&amp;IF($DU295&lt;&gt;"",$DU295&amp;", ",""))="","OK","Onbekend: "&amp;LEFT((IF($AT295&lt;&gt;"",$AT295&amp;", ","")&amp;IF($AU295&lt;&gt;"",$AU295&amp;", ","")&amp;IF($AV295&lt;&gt;"",$AV295&amp;", ","")&amp;IF($AW295&lt;&gt;"",$AW295&amp;", ","")&amp;IF($AX295&lt;&gt;"",$AX295&amp;", ","")&amp;IF($AY295&lt;&gt;"",$AY295&amp;", ","")&amp;IF($AZ295&lt;&gt;"",$AZ295&amp;", ","")&amp;IF($BA295&lt;&gt;"",$BA295&amp;", ","")&amp;IF($BB295&lt;&gt;"",$BB295&amp;", ","")&amp;IF($BC295&lt;&gt;"",$BC295&amp;", ","")&amp;IF($DL295&lt;&gt;"",$DL295&amp;", ","")&amp;IF($DM295&lt;&gt;"",$DM295&amp;", ","")&amp;IF($DN295&lt;&gt;"",$DN295&amp;", ","")&amp;IF($DO295&lt;&gt;"",$DO295&amp;", ","")&amp;IF($DP295&lt;&gt;"",$DP295&amp;", ","")&amp;IF($DQ295&lt;&gt;"",$DQ295&amp;", ","")&amp;IF($DR295&lt;&gt;"",$DR295&amp;", ","")&amp;IF($DS295&lt;&gt;"",$DS295&amp;", ","")&amp;IF($DT295&lt;&gt;"",$DT295&amp;", ","")&amp;IF($DU295&lt;&gt;"",$DU295&amp;", ","")),LEN((IF($AT295&lt;&gt;"",$AT295&amp;", ","")&amp;IF($AU295&lt;&gt;"",$AU295&amp;", ","")&amp;IF($AV295&lt;&gt;"",$AV295&amp;", ","")&amp;IF($AW295&lt;&gt;"",$AW295&amp;", ","")&amp;IF($AX295&lt;&gt;"",$AX295&amp;", ","")&amp;IF($AY295&lt;&gt;"",$AY295&amp;", ","")&amp;IF($AZ295&lt;&gt;"",$AZ295&amp;", ","")&amp;IF($BA295&lt;&gt;"",$BA295&amp;", ","")&amp;IF($BB295&lt;&gt;"",$BB295&amp;", ","")&amp;IF($BC295&lt;&gt;"",$BC295&amp;", ","")&amp;IF($DL295&lt;&gt;"",$DL295&amp;", ","")&amp;IF($DM295&lt;&gt;"",$DM295&amp;", ","")&amp;IF($DN295&lt;&gt;"",$DN295&amp;", ","")&amp;IF($DO295&lt;&gt;"",$DO295&amp;", ","")&amp;IF($DP295&lt;&gt;"",$DP295&amp;", ","")&amp;IF($DQ295&lt;&gt;"",$DQ295&amp;", ","")&amp;IF($DR295&lt;&gt;"",$DR295&amp;", ","")&amp;IF($DS295&lt;&gt;"",$DS295&amp;", ","")&amp;IF($DT295&lt;&gt;"",$DT295&amp;", ","")&amp;IF($DU295&lt;&gt;"",$DU295&amp;", ","")))-2)))))))</f>
        <v/>
      </c>
      <c r="CH295" t="str">
        <f t="shared" si="2082"/>
        <v/>
      </c>
      <c r="CI295" t="str">
        <f t="shared" si="2083"/>
        <v/>
      </c>
      <c r="CJ295" t="str">
        <f>IF($CI295="","",IF(OR($DW295="",$DX295=""),"ONZEKER",IF(OR($CF295="",$CG295=""),"ONZEKER",IF(AND($DW295=$CF295+1,$DX295=$CG295),IF(OR(COUNTIF(#REF!,$B295)&gt;0,COUNTIF(#REF!,$B295)=0),"SKIP",IF(COUNTIFS(#REF!,$B295,#REF!,$CI295)&gt;0,"OK","ONBEKEND")),IF(AND($DW295=$CF295,$DX295=$CG295+1),IF(OR(COUNTIF(#REF!,$D295)&gt;0,COUNTIF(#REF!,$D295)=0),"SKIP",IF(COUNTIFS(#REF!,$D295,#REF!,$CI295)&gt;0,"OK","ONBEKEND")),"ONZEKER")))))</f>
        <v/>
      </c>
      <c r="CK295" t="str">
        <f t="shared" si="2084"/>
        <v/>
      </c>
      <c r="CL295" t="str">
        <f t="shared" si="2085"/>
        <v/>
      </c>
      <c r="CM295" t="str">
        <f>IF($CL295="","",IF(OR($DZ295="",$EA295=""),"ONZEKER",IF(OR($DW295="",$DX295=""),"ONZEKER",IF(AND($DZ295=$DW295+1,$EA295=$DX295),IF(OR(COUNTIF(#REF!,$B295)&gt;0,COUNTIF(#REF!,$B295)=0),"SKIP",IF(COUNTIFS(#REF!,$B295,#REF!,$CL295)&gt;0,"OK","ONBEKEND")),IF(AND($DZ295=$DW295,$EA295=$DX295+1),IF(OR(COUNTIF(#REF!,$D295)&gt;0,COUNTIF(#REF!,$D295)=0),"SKIP",IF(COUNTIFS(#REF!,$D295,#REF!,$CL295)&gt;0,"OK","ONBEKEND")),"ONZEKER")))))</f>
        <v/>
      </c>
      <c r="CN295" t="str">
        <f t="shared" si="2086"/>
        <v/>
      </c>
      <c r="CO295" t="str">
        <f t="shared" si="2087"/>
        <v/>
      </c>
      <c r="CP295" t="str">
        <f>IF($CO295="","",IF(OR($EC295="",$ED295=""),"ONZEKER",IF(OR($DZ295="",$EA295=""),"ONZEKER",IF(AND($EC295=$DZ295+1,$ED295=$EA295),IF(OR(COUNTIF(#REF!,$B295)&gt;0,COUNTIF(#REF!,$B295)=0),"SKIP",IF(COUNTIFS(#REF!,$B295,#REF!,$CO295)&gt;0,"OK","ONBEKEND")),IF(AND($EC295=$DZ295,$ED295=$EA295+1),IF(OR(COUNTIF(#REF!,$D295)&gt;0,COUNTIF(#REF!,$D295)=0),"SKIP",IF(COUNTIFS(#REF!,$D295,#REF!,$CO295)&gt;0,"OK","ONBEKEND")),"ONZEKER")))))</f>
        <v/>
      </c>
      <c r="CQ295" t="str">
        <f t="shared" si="2088"/>
        <v/>
      </c>
      <c r="CR295" t="str">
        <f t="shared" si="2089"/>
        <v/>
      </c>
      <c r="CS295" t="str">
        <f>IF($CR295="","",IF(OR($EF295="",$EG295=""),"ONZEKER",IF(OR($EC295="",$ED295=""),"ONZEKER",IF(AND($EF295=$EC295+1,$EG295=$ED295),IF(OR(COUNTIF(#REF!,$B295)&gt;0,COUNTIF(#REF!,$B295)=0),"SKIP",IF(COUNTIFS(#REF!,$B295,#REF!,$CR295)&gt;0,"OK","ONBEKEND")),IF(AND($EF295=$EC295,$EG295=$ED295+1),IF(OR(COUNTIF(#REF!,$D295)&gt;0,COUNTIF(#REF!,$D295)=0),"SKIP",IF(COUNTIFS(#REF!,$D295,#REF!,$CR295)&gt;0,"OK","ONBEKEND")),"ONZEKER")))))</f>
        <v/>
      </c>
      <c r="CT295" t="str">
        <f t="shared" si="2090"/>
        <v/>
      </c>
      <c r="CU295" t="str">
        <f t="shared" si="2091"/>
        <v/>
      </c>
      <c r="CV295" t="str">
        <f>IF($CU295="","",IF(OR($EI295="",$EJ295=""),"ONZEKER",IF(OR($EF295="",$EG295=""),"ONZEKER",IF(AND($EI295=$EF295+1,$EJ295=$EG295),IF(OR(COUNTIF(#REF!,$B295)&gt;0,COUNTIF(#REF!,$B295)=0),"SKIP",IF(COUNTIFS(#REF!,$B295,#REF!,$CU295)&gt;0,"OK","ONBEKEND")),IF(AND($EI295=$EF295,$EJ295=$EG295+1),IF(OR(COUNTIF(#REF!,$D295)&gt;0,COUNTIF(#REF!,$D295)=0),"SKIP",IF(COUNTIFS(#REF!,$D295,#REF!,$CU295)&gt;0,"OK","ONBEKEND")),"ONZEKER")))))</f>
        <v/>
      </c>
      <c r="CW295" t="str">
        <f t="shared" si="2092"/>
        <v/>
      </c>
      <c r="CX295" t="str">
        <f t="shared" si="2093"/>
        <v/>
      </c>
      <c r="CY295" t="str">
        <f>IF($CX295="","",IF(OR($EL295="",$EM295=""),"ONZEKER",IF(OR($EI295="",$EJ295=""),"ONZEKER",IF(AND($EL295=$EI295+1,$EM295=$EJ295),IF(OR(COUNTIF(#REF!,$B295)&gt;0,COUNTIF(#REF!,$B295)=0),"SKIP",IF(COUNTIFS(#REF!,$B295,#REF!,$CX295)&gt;0,"OK","ONBEKEND")),IF(AND($EL295=$EI295,$EM295=$EJ295+1),IF(OR(COUNTIF(#REF!,$D295)&gt;0,COUNTIF(#REF!,$D295)=0),"SKIP",IF(COUNTIFS(#REF!,$D295,#REF!,$CX295)&gt;0,"OK","ONBEKEND")),"ONZEKER")))))</f>
        <v/>
      </c>
      <c r="CZ295" t="str">
        <f t="shared" si="2094"/>
        <v/>
      </c>
      <c r="DA295" t="str">
        <f t="shared" si="2095"/>
        <v/>
      </c>
      <c r="DB295" t="str">
        <f>IF($DA295="","",IF(OR($EO295="",$EP295=""),"ONZEKER",IF(OR($EL295="",$EM295=""),"ONZEKER",IF(AND($EO295=$EL295+1,$EP295=$EM295),IF(OR(COUNTIF(#REF!,$B295)&gt;0,COUNTIF(#REF!,$B295)=0),"SKIP",IF(COUNTIFS(#REF!,$B295,#REF!,$DA295)&gt;0,"OK","ONBEKEND")),IF(AND($EO295=$EL295,$EP295=$EM295+1),IF(OR(COUNTIF(#REF!,$D295)&gt;0,COUNTIF(#REF!,$D295)=0),"SKIP",IF(COUNTIFS(#REF!,$D295,#REF!,$DA295)&gt;0,"OK","ONBEKEND")),"ONZEKER")))))</f>
        <v/>
      </c>
      <c r="DC295" t="str">
        <f t="shared" si="2096"/>
        <v/>
      </c>
      <c r="DD295" t="str">
        <f t="shared" si="2097"/>
        <v/>
      </c>
      <c r="DE295" t="str">
        <f>IF($DD295="","",IF(OR($ER295="",$ES295=""),"ONZEKER",IF(OR($EO295="",$EP295=""),"ONZEKER",IF(AND($ER295=$EO295+1,$ES295=$EP295),IF(OR(COUNTIF(#REF!,$B295)&gt;0,COUNTIF(#REF!,$B295)=0),"SKIP",IF(COUNTIFS(#REF!,$B295,#REF!,$DD295)&gt;0,"OK","ONBEKEND")),IF(AND($ER295=$EO295,$ES295=$EP295+1),IF(OR(COUNTIF(#REF!,$D295)&gt;0,COUNTIF(#REF!,$D295)=0),"SKIP",IF(COUNTIFS(#REF!,$D295,#REF!,$DD295)&gt;0,"OK","ONBEKEND")),"ONZEKER")))))</f>
        <v/>
      </c>
      <c r="DF295" t="str">
        <f t="shared" si="2098"/>
        <v/>
      </c>
      <c r="DG295" t="str">
        <f t="shared" si="2099"/>
        <v/>
      </c>
      <c r="DH295" t="str">
        <f>IF($DG295="","",IF(OR($EU295="",$EV295=""),"ONZEKER",IF(OR($ER295="",$ES295=""),"ONZEKER",IF(AND($EU295=$ER295+1,$EV295=$ES295),IF(OR(COUNTIF(#REF!,$B295)&gt;0,COUNTIF(#REF!,$B295)=0),"SKIP",IF(COUNTIFS(#REF!,$B295,#REF!,$DG295)&gt;0,"OK","ONBEKEND")),IF(AND($EU295=$ER295,$EV295=$ES295+1),IF(OR(COUNTIF(#REF!,$D295)&gt;0,COUNTIF(#REF!,$D295)=0),"SKIP",IF(COUNTIFS(#REF!,$D295,#REF!,$DG295)&gt;0,"OK","ONBEKEND")),"ONZEKER")))))</f>
        <v/>
      </c>
      <c r="DI295" t="str">
        <f t="shared" si="2100"/>
        <v/>
      </c>
      <c r="DJ295" t="str">
        <f t="shared" si="2101"/>
        <v/>
      </c>
      <c r="DK295" t="str">
        <f>IF($DJ295="","",IF(OR($EX295="",$EY295=""),"ONZEKER",IF(OR($EU295="",$EV295=""),"ONZEKER",IF(AND($EX295=$EU295+1,$EY295=$EV295),IF(OR(COUNTIF(#REF!,$B295)&gt;0,COUNTIF(#REF!,$B295)=0),"SKIP",IF(COUNTIFS(#REF!,$B295,#REF!,$DJ295)&gt;0,"OK","ONBEKEND")),IF(AND($EX295=$EU295,$EY295=$EV295+1),IF(OR(COUNTIF(#REF!,$D295)&gt;0,COUNTIF(#REF!,$D295)=0),"SKIP",IF(COUNTIFS(#REF!,$D295,#REF!,$DJ295)&gt;0,"OK","ONBEKEND")),"ONZEKER")))))</f>
        <v/>
      </c>
      <c r="DL295" t="str">
        <f t="shared" si="2102"/>
        <v/>
      </c>
      <c r="DM295" t="str">
        <f t="shared" si="2103"/>
        <v/>
      </c>
      <c r="DN295" t="str">
        <f t="shared" si="2104"/>
        <v/>
      </c>
      <c r="DO295" t="str">
        <f t="shared" si="2105"/>
        <v/>
      </c>
      <c r="DP295" t="str">
        <f t="shared" si="2106"/>
        <v/>
      </c>
      <c r="DQ295" t="str">
        <f t="shared" si="2107"/>
        <v/>
      </c>
      <c r="DR295" t="str">
        <f t="shared" si="2108"/>
        <v/>
      </c>
      <c r="DS295" t="str">
        <f t="shared" si="2109"/>
        <v/>
      </c>
      <c r="DT295" t="str">
        <f t="shared" si="2110"/>
        <v/>
      </c>
      <c r="DU295" t="str">
        <f t="shared" si="2111"/>
        <v/>
      </c>
      <c r="DV295" t="str">
        <f t="shared" si="2112"/>
        <v/>
      </c>
      <c r="DW295" t="str">
        <f t="shared" si="2113"/>
        <v/>
      </c>
      <c r="DX295" t="str">
        <f t="shared" si="2114"/>
        <v/>
      </c>
      <c r="DY295" t="str">
        <f t="shared" si="2115"/>
        <v/>
      </c>
      <c r="DZ295" t="str">
        <f t="shared" si="2116"/>
        <v/>
      </c>
      <c r="EA295" t="str">
        <f t="shared" si="2117"/>
        <v/>
      </c>
      <c r="EB295" t="str">
        <f t="shared" si="2118"/>
        <v/>
      </c>
      <c r="EC295" t="str">
        <f t="shared" si="2119"/>
        <v/>
      </c>
      <c r="ED295" t="str">
        <f t="shared" si="2120"/>
        <v/>
      </c>
      <c r="EE295" t="str">
        <f t="shared" si="2121"/>
        <v/>
      </c>
      <c r="EF295" t="str">
        <f t="shared" si="2122"/>
        <v/>
      </c>
      <c r="EG295" t="str">
        <f t="shared" si="2123"/>
        <v/>
      </c>
      <c r="EH295" t="str">
        <f t="shared" si="2124"/>
        <v/>
      </c>
      <c r="EI295" t="str">
        <f t="shared" si="2125"/>
        <v/>
      </c>
      <c r="EJ295" t="str">
        <f t="shared" si="2126"/>
        <v/>
      </c>
      <c r="EK295" t="str">
        <f t="shared" si="2127"/>
        <v/>
      </c>
      <c r="EL295" t="str">
        <f t="shared" si="2128"/>
        <v/>
      </c>
      <c r="EM295" t="str">
        <f t="shared" si="2129"/>
        <v/>
      </c>
      <c r="EN295" t="str">
        <f t="shared" si="2130"/>
        <v/>
      </c>
      <c r="EO295" t="str">
        <f t="shared" si="2131"/>
        <v/>
      </c>
      <c r="EP295" t="str">
        <f t="shared" si="2132"/>
        <v/>
      </c>
      <c r="EQ295" t="str">
        <f t="shared" si="2133"/>
        <v/>
      </c>
      <c r="ER295" t="str">
        <f t="shared" si="2134"/>
        <v/>
      </c>
      <c r="ES295" t="str">
        <f t="shared" si="2135"/>
        <v/>
      </c>
      <c r="ET295" t="str">
        <f t="shared" si="2136"/>
        <v/>
      </c>
      <c r="EU295" t="str">
        <f t="shared" si="2137"/>
        <v/>
      </c>
      <c r="EV295" t="str">
        <f t="shared" si="2138"/>
        <v/>
      </c>
      <c r="EW295" t="str">
        <f t="shared" si="2139"/>
        <v/>
      </c>
      <c r="EX295" t="str">
        <f t="shared" si="2140"/>
        <v/>
      </c>
      <c r="EY295" t="str">
        <f t="shared" si="2141"/>
        <v/>
      </c>
    </row>
    <row r="296" spans="2:155" ht="13.9" customHeight="1" x14ac:dyDescent="0.25">
      <c r="B296" s="23"/>
      <c r="D296" s="23"/>
      <c r="F296" s="18">
        <v>0</v>
      </c>
      <c r="G296" s="7" t="s">
        <v>147</v>
      </c>
      <c r="H296" s="18">
        <v>0</v>
      </c>
      <c r="I296" s="19">
        <v>0</v>
      </c>
      <c r="J296" s="7" t="s">
        <v>147</v>
      </c>
      <c r="K296" s="19">
        <v>0</v>
      </c>
      <c r="L296" s="9"/>
      <c r="M296" s="13" t="str">
        <f>IF($L296="","",IF($L296="DOELPUNTENMAKERS","",IF(AND(COUNTIF(#REF!,$B296)=0,COUNTIF(#REF!,$D296)=0),"OK",IF($O296&gt;20,"LET OP: meer dan 20 items (controle onvolledig)",IF((COUNTIF($R296:$AS296,"ONZEKER")+COUNTIF($CJ296:$DK296,"ONZEKER"))&gt;0,"LET OP: scoreverloop onduidelijk (controle beperkt)",IF((IF($AT296&lt;&gt;"",$AT296&amp;", ","")&amp;IF($AU296&lt;&gt;"",$AU296&amp;", ","")&amp;IF($AV296&lt;&gt;"",$AV296&amp;", ","")&amp;IF($AW296&lt;&gt;"",$AW296&amp;", ","")&amp;IF($AX296&lt;&gt;"",$AX296&amp;", ","")&amp;IF($AY296&lt;&gt;"",$AY296&amp;", ","")&amp;IF($AZ296&lt;&gt;"",$AZ296&amp;", ","")&amp;IF($BA296&lt;&gt;"",$BA296&amp;", ","")&amp;IF($BB296&lt;&gt;"",$BB296&amp;", ","")&amp;IF($BC296&lt;&gt;"",$BC296&amp;", ","")&amp;IF($DL296&lt;&gt;"",$DL296&amp;", ","")&amp;IF($DM296&lt;&gt;"",$DM296&amp;", ","")&amp;IF($DN296&lt;&gt;"",$DN296&amp;", ","")&amp;IF($DO296&lt;&gt;"",$DO296&amp;", ","")&amp;IF($DP296&lt;&gt;"",$DP296&amp;", ","")&amp;IF($DQ296&lt;&gt;"",$DQ296&amp;", ","")&amp;IF($DR296&lt;&gt;"",$DR296&amp;", ","")&amp;IF($DS296&lt;&gt;"",$DS296&amp;", ","")&amp;IF($DT296&lt;&gt;"",$DT296&amp;", ","")&amp;IF($DU296&lt;&gt;"",$DU296&amp;", ",""))="","OK","Onbekend: "&amp;LEFT((IF($AT296&lt;&gt;"",$AT296&amp;", ","")&amp;IF($AU296&lt;&gt;"",$AU296&amp;", ","")&amp;IF($AV296&lt;&gt;"",$AV296&amp;", ","")&amp;IF($AW296&lt;&gt;"",$AW296&amp;", ","")&amp;IF($AX296&lt;&gt;"",$AX296&amp;", ","")&amp;IF($AY296&lt;&gt;"",$AY296&amp;", ","")&amp;IF($AZ296&lt;&gt;"",$AZ296&amp;", ","")&amp;IF($BA296&lt;&gt;"",$BA296&amp;", ","")&amp;IF($BB296&lt;&gt;"",$BB296&amp;", ","")&amp;IF($BC296&lt;&gt;"",$BC296&amp;", ","")&amp;IF($DL296&lt;&gt;"",$DL296&amp;", ","")&amp;IF($DM296&lt;&gt;"",$DM296&amp;", ","")&amp;IF($DN296&lt;&gt;"",$DN296&amp;", ","")&amp;IF($DO296&lt;&gt;"",$DO296&amp;", ","")&amp;IF($DP296&lt;&gt;"",$DP296&amp;", ","")&amp;IF($DQ296&lt;&gt;"",$DQ296&amp;", ","")&amp;IF($DR296&lt;&gt;"",$DR296&amp;", ","")&amp;IF($DS296&lt;&gt;"",$DS296&amp;", ","")&amp;IF($DT296&lt;&gt;"",$DT296&amp;", ","")&amp;IF($DU296&lt;&gt;"",$DU296&amp;", ","")),LEN((IF($AT296&lt;&gt;"",$AT296&amp;", ","")&amp;IF($AU296&lt;&gt;"",$AU296&amp;", ","")&amp;IF($AV296&lt;&gt;"",$AV296&amp;", ","")&amp;IF($AW296&lt;&gt;"",$AW296&amp;", ","")&amp;IF($AX296&lt;&gt;"",$AX296&amp;", ","")&amp;IF($AY296&lt;&gt;"",$AY296&amp;", ","")&amp;IF($AZ296&lt;&gt;"",$AZ296&amp;", ","")&amp;IF($BA296&lt;&gt;"",$BA296&amp;", ","")&amp;IF($BB296&lt;&gt;"",$BB296&amp;", ","")&amp;IF($BC296&lt;&gt;"",$BC296&amp;", ","")&amp;IF($DL296&lt;&gt;"",$DL296&amp;", ","")&amp;IF($DM296&lt;&gt;"",$DM296&amp;", ","")&amp;IF($DN296&lt;&gt;"",$DN296&amp;", ","")&amp;IF($DO296&lt;&gt;"",$DO296&amp;", ","")&amp;IF($DP296&lt;&gt;"",$DP296&amp;", ","")&amp;IF($DQ296&lt;&gt;"",$DQ296&amp;", ","")&amp;IF($DR296&lt;&gt;"",$DR296&amp;", ","")&amp;IF($DS296&lt;&gt;"",$DS296&amp;", ","")&amp;IF($DT296&lt;&gt;"",$DT296&amp;", ","")&amp;IF($DU296&lt;&gt;"",$DU296&amp;", ","")))-2)))))))</f>
        <v/>
      </c>
      <c r="CH296" t="str">
        <f t="shared" si="2082"/>
        <v/>
      </c>
      <c r="CI296" t="str">
        <f t="shared" si="2083"/>
        <v/>
      </c>
      <c r="CJ296" t="str">
        <f>IF($CI296="","",IF(OR($DW296="",$DX296=""),"ONZEKER",IF(OR($CF296="",$CG296=""),"ONZEKER",IF(AND($DW296=$CF296+1,$DX296=$CG296),IF(OR(COUNTIF(#REF!,$B296)&gt;0,COUNTIF(#REF!,$B296)=0),"SKIP",IF(COUNTIFS(#REF!,$B296,#REF!,$CI296)&gt;0,"OK","ONBEKEND")),IF(AND($DW296=$CF296,$DX296=$CG296+1),IF(OR(COUNTIF(#REF!,$D296)&gt;0,COUNTIF(#REF!,$D296)=0),"SKIP",IF(COUNTIFS(#REF!,$D296,#REF!,$CI296)&gt;0,"OK","ONBEKEND")),"ONZEKER")))))</f>
        <v/>
      </c>
      <c r="CK296" t="str">
        <f t="shared" si="2084"/>
        <v/>
      </c>
      <c r="CL296" t="str">
        <f t="shared" si="2085"/>
        <v/>
      </c>
      <c r="CM296" t="str">
        <f>IF($CL296="","",IF(OR($DZ296="",$EA296=""),"ONZEKER",IF(OR($DW296="",$DX296=""),"ONZEKER",IF(AND($DZ296=$DW296+1,$EA296=$DX296),IF(OR(COUNTIF(#REF!,$B296)&gt;0,COUNTIF(#REF!,$B296)=0),"SKIP",IF(COUNTIFS(#REF!,$B296,#REF!,$CL296)&gt;0,"OK","ONBEKEND")),IF(AND($DZ296=$DW296,$EA296=$DX296+1),IF(OR(COUNTIF(#REF!,$D296)&gt;0,COUNTIF(#REF!,$D296)=0),"SKIP",IF(COUNTIFS(#REF!,$D296,#REF!,$CL296)&gt;0,"OK","ONBEKEND")),"ONZEKER")))))</f>
        <v/>
      </c>
      <c r="CN296" t="str">
        <f t="shared" si="2086"/>
        <v/>
      </c>
      <c r="CO296" t="str">
        <f t="shared" si="2087"/>
        <v/>
      </c>
      <c r="CP296" t="str">
        <f>IF($CO296="","",IF(OR($EC296="",$ED296=""),"ONZEKER",IF(OR($DZ296="",$EA296=""),"ONZEKER",IF(AND($EC296=$DZ296+1,$ED296=$EA296),IF(OR(COUNTIF(#REF!,$B296)&gt;0,COUNTIF(#REF!,$B296)=0),"SKIP",IF(COUNTIFS(#REF!,$B296,#REF!,$CO296)&gt;0,"OK","ONBEKEND")),IF(AND($EC296=$DZ296,$ED296=$EA296+1),IF(OR(COUNTIF(#REF!,$D296)&gt;0,COUNTIF(#REF!,$D296)=0),"SKIP",IF(COUNTIFS(#REF!,$D296,#REF!,$CO296)&gt;0,"OK","ONBEKEND")),"ONZEKER")))))</f>
        <v/>
      </c>
      <c r="CQ296" t="str">
        <f t="shared" si="2088"/>
        <v/>
      </c>
      <c r="CR296" t="str">
        <f t="shared" si="2089"/>
        <v/>
      </c>
      <c r="CS296" t="str">
        <f>IF($CR296="","",IF(OR($EF296="",$EG296=""),"ONZEKER",IF(OR($EC296="",$ED296=""),"ONZEKER",IF(AND($EF296=$EC296+1,$EG296=$ED296),IF(OR(COUNTIF(#REF!,$B296)&gt;0,COUNTIF(#REF!,$B296)=0),"SKIP",IF(COUNTIFS(#REF!,$B296,#REF!,$CR296)&gt;0,"OK","ONBEKEND")),IF(AND($EF296=$EC296,$EG296=$ED296+1),IF(OR(COUNTIF(#REF!,$D296)&gt;0,COUNTIF(#REF!,$D296)=0),"SKIP",IF(COUNTIFS(#REF!,$D296,#REF!,$CR296)&gt;0,"OK","ONBEKEND")),"ONZEKER")))))</f>
        <v/>
      </c>
      <c r="CT296" t="str">
        <f t="shared" si="2090"/>
        <v/>
      </c>
      <c r="CU296" t="str">
        <f t="shared" si="2091"/>
        <v/>
      </c>
      <c r="CV296" t="str">
        <f>IF($CU296="","",IF(OR($EI296="",$EJ296=""),"ONZEKER",IF(OR($EF296="",$EG296=""),"ONZEKER",IF(AND($EI296=$EF296+1,$EJ296=$EG296),IF(OR(COUNTIF(#REF!,$B296)&gt;0,COUNTIF(#REF!,$B296)=0),"SKIP",IF(COUNTIFS(#REF!,$B296,#REF!,$CU296)&gt;0,"OK","ONBEKEND")),IF(AND($EI296=$EF296,$EJ296=$EG296+1),IF(OR(COUNTIF(#REF!,$D296)&gt;0,COUNTIF(#REF!,$D296)=0),"SKIP",IF(COUNTIFS(#REF!,$D296,#REF!,$CU296)&gt;0,"OK","ONBEKEND")),"ONZEKER")))))</f>
        <v/>
      </c>
      <c r="CW296" t="str">
        <f t="shared" si="2092"/>
        <v/>
      </c>
      <c r="CX296" t="str">
        <f t="shared" si="2093"/>
        <v/>
      </c>
      <c r="CY296" t="str">
        <f>IF($CX296="","",IF(OR($EL296="",$EM296=""),"ONZEKER",IF(OR($EI296="",$EJ296=""),"ONZEKER",IF(AND($EL296=$EI296+1,$EM296=$EJ296),IF(OR(COUNTIF(#REF!,$B296)&gt;0,COUNTIF(#REF!,$B296)=0),"SKIP",IF(COUNTIFS(#REF!,$B296,#REF!,$CX296)&gt;0,"OK","ONBEKEND")),IF(AND($EL296=$EI296,$EM296=$EJ296+1),IF(OR(COUNTIF(#REF!,$D296)&gt;0,COUNTIF(#REF!,$D296)=0),"SKIP",IF(COUNTIFS(#REF!,$D296,#REF!,$CX296)&gt;0,"OK","ONBEKEND")),"ONZEKER")))))</f>
        <v/>
      </c>
      <c r="CZ296" t="str">
        <f t="shared" si="2094"/>
        <v/>
      </c>
      <c r="DA296" t="str">
        <f t="shared" si="2095"/>
        <v/>
      </c>
      <c r="DB296" t="str">
        <f>IF($DA296="","",IF(OR($EO296="",$EP296=""),"ONZEKER",IF(OR($EL296="",$EM296=""),"ONZEKER",IF(AND($EO296=$EL296+1,$EP296=$EM296),IF(OR(COUNTIF(#REF!,$B296)&gt;0,COUNTIF(#REF!,$B296)=0),"SKIP",IF(COUNTIFS(#REF!,$B296,#REF!,$DA296)&gt;0,"OK","ONBEKEND")),IF(AND($EO296=$EL296,$EP296=$EM296+1),IF(OR(COUNTIF(#REF!,$D296)&gt;0,COUNTIF(#REF!,$D296)=0),"SKIP",IF(COUNTIFS(#REF!,$D296,#REF!,$DA296)&gt;0,"OK","ONBEKEND")),"ONZEKER")))))</f>
        <v/>
      </c>
      <c r="DC296" t="str">
        <f t="shared" si="2096"/>
        <v/>
      </c>
      <c r="DD296" t="str">
        <f t="shared" si="2097"/>
        <v/>
      </c>
      <c r="DE296" t="str">
        <f>IF($DD296="","",IF(OR($ER296="",$ES296=""),"ONZEKER",IF(OR($EO296="",$EP296=""),"ONZEKER",IF(AND($ER296=$EO296+1,$ES296=$EP296),IF(OR(COUNTIF(#REF!,$B296)&gt;0,COUNTIF(#REF!,$B296)=0),"SKIP",IF(COUNTIFS(#REF!,$B296,#REF!,$DD296)&gt;0,"OK","ONBEKEND")),IF(AND($ER296=$EO296,$ES296=$EP296+1),IF(OR(COUNTIF(#REF!,$D296)&gt;0,COUNTIF(#REF!,$D296)=0),"SKIP",IF(COUNTIFS(#REF!,$D296,#REF!,$DD296)&gt;0,"OK","ONBEKEND")),"ONZEKER")))))</f>
        <v/>
      </c>
      <c r="DF296" t="str">
        <f t="shared" si="2098"/>
        <v/>
      </c>
      <c r="DG296" t="str">
        <f t="shared" si="2099"/>
        <v/>
      </c>
      <c r="DH296" t="str">
        <f>IF($DG296="","",IF(OR($EU296="",$EV296=""),"ONZEKER",IF(OR($ER296="",$ES296=""),"ONZEKER",IF(AND($EU296=$ER296+1,$EV296=$ES296),IF(OR(COUNTIF(#REF!,$B296)&gt;0,COUNTIF(#REF!,$B296)=0),"SKIP",IF(COUNTIFS(#REF!,$B296,#REF!,$DG296)&gt;0,"OK","ONBEKEND")),IF(AND($EU296=$ER296,$EV296=$ES296+1),IF(OR(COUNTIF(#REF!,$D296)&gt;0,COUNTIF(#REF!,$D296)=0),"SKIP",IF(COUNTIFS(#REF!,$D296,#REF!,$DG296)&gt;0,"OK","ONBEKEND")),"ONZEKER")))))</f>
        <v/>
      </c>
      <c r="DI296" t="str">
        <f t="shared" si="2100"/>
        <v/>
      </c>
      <c r="DJ296" t="str">
        <f t="shared" si="2101"/>
        <v/>
      </c>
      <c r="DK296" t="str">
        <f>IF($DJ296="","",IF(OR($EX296="",$EY296=""),"ONZEKER",IF(OR($EU296="",$EV296=""),"ONZEKER",IF(AND($EX296=$EU296+1,$EY296=$EV296),IF(OR(COUNTIF(#REF!,$B296)&gt;0,COUNTIF(#REF!,$B296)=0),"SKIP",IF(COUNTIFS(#REF!,$B296,#REF!,$DJ296)&gt;0,"OK","ONBEKEND")),IF(AND($EX296=$EU296,$EY296=$EV296+1),IF(OR(COUNTIF(#REF!,$D296)&gt;0,COUNTIF(#REF!,$D296)=0),"SKIP",IF(COUNTIFS(#REF!,$D296,#REF!,$DJ296)&gt;0,"OK","ONBEKEND")),"ONZEKER")))))</f>
        <v/>
      </c>
      <c r="DL296" t="str">
        <f t="shared" si="2102"/>
        <v/>
      </c>
      <c r="DM296" t="str">
        <f t="shared" si="2103"/>
        <v/>
      </c>
      <c r="DN296" t="str">
        <f t="shared" si="2104"/>
        <v/>
      </c>
      <c r="DO296" t="str">
        <f t="shared" si="2105"/>
        <v/>
      </c>
      <c r="DP296" t="str">
        <f t="shared" si="2106"/>
        <v/>
      </c>
      <c r="DQ296" t="str">
        <f t="shared" si="2107"/>
        <v/>
      </c>
      <c r="DR296" t="str">
        <f t="shared" si="2108"/>
        <v/>
      </c>
      <c r="DS296" t="str">
        <f t="shared" si="2109"/>
        <v/>
      </c>
      <c r="DT296" t="str">
        <f t="shared" si="2110"/>
        <v/>
      </c>
      <c r="DU296" t="str">
        <f t="shared" si="2111"/>
        <v/>
      </c>
      <c r="DV296" t="str">
        <f t="shared" si="2112"/>
        <v/>
      </c>
      <c r="DW296" t="str">
        <f t="shared" si="2113"/>
        <v/>
      </c>
      <c r="DX296" t="str">
        <f t="shared" si="2114"/>
        <v/>
      </c>
      <c r="DY296" t="str">
        <f t="shared" si="2115"/>
        <v/>
      </c>
      <c r="DZ296" t="str">
        <f t="shared" si="2116"/>
        <v/>
      </c>
      <c r="EA296" t="str">
        <f t="shared" si="2117"/>
        <v/>
      </c>
      <c r="EB296" t="str">
        <f t="shared" si="2118"/>
        <v/>
      </c>
      <c r="EC296" t="str">
        <f t="shared" si="2119"/>
        <v/>
      </c>
      <c r="ED296" t="str">
        <f t="shared" si="2120"/>
        <v/>
      </c>
      <c r="EE296" t="str">
        <f t="shared" si="2121"/>
        <v/>
      </c>
      <c r="EF296" t="str">
        <f t="shared" si="2122"/>
        <v/>
      </c>
      <c r="EG296" t="str">
        <f t="shared" si="2123"/>
        <v/>
      </c>
      <c r="EH296" t="str">
        <f t="shared" si="2124"/>
        <v/>
      </c>
      <c r="EI296" t="str">
        <f t="shared" si="2125"/>
        <v/>
      </c>
      <c r="EJ296" t="str">
        <f t="shared" si="2126"/>
        <v/>
      </c>
      <c r="EK296" t="str">
        <f t="shared" si="2127"/>
        <v/>
      </c>
      <c r="EL296" t="str">
        <f t="shared" si="2128"/>
        <v/>
      </c>
      <c r="EM296" t="str">
        <f t="shared" si="2129"/>
        <v/>
      </c>
      <c r="EN296" t="str">
        <f t="shared" si="2130"/>
        <v/>
      </c>
      <c r="EO296" t="str">
        <f t="shared" si="2131"/>
        <v/>
      </c>
      <c r="EP296" t="str">
        <f t="shared" si="2132"/>
        <v/>
      </c>
      <c r="EQ296" t="str">
        <f t="shared" si="2133"/>
        <v/>
      </c>
      <c r="ER296" t="str">
        <f t="shared" si="2134"/>
        <v/>
      </c>
      <c r="ES296" t="str">
        <f t="shared" si="2135"/>
        <v/>
      </c>
      <c r="ET296" t="str">
        <f t="shared" si="2136"/>
        <v/>
      </c>
      <c r="EU296" t="str">
        <f t="shared" si="2137"/>
        <v/>
      </c>
      <c r="EV296" t="str">
        <f t="shared" si="2138"/>
        <v/>
      </c>
      <c r="EW296" t="str">
        <f t="shared" si="2139"/>
        <v/>
      </c>
      <c r="EX296" t="str">
        <f t="shared" si="2140"/>
        <v/>
      </c>
      <c r="EY296" t="str">
        <f t="shared" si="2141"/>
        <v/>
      </c>
    </row>
    <row r="297" spans="2:155" ht="13.9" customHeight="1" x14ac:dyDescent="0.25">
      <c r="B297" s="23"/>
      <c r="D297" s="23"/>
      <c r="F297" s="18">
        <v>0</v>
      </c>
      <c r="G297" s="7" t="s">
        <v>147</v>
      </c>
      <c r="H297" s="18">
        <v>0</v>
      </c>
      <c r="I297" s="19">
        <v>0</v>
      </c>
      <c r="J297" s="7" t="s">
        <v>147</v>
      </c>
      <c r="K297" s="19">
        <v>0</v>
      </c>
      <c r="L297" s="9"/>
      <c r="M297" s="13" t="str">
        <f>IF($L297="","",IF($L297="DOELPUNTENMAKERS","",IF(AND(COUNTIF(#REF!,$B297)=0,COUNTIF(#REF!,$D297)=0),"OK",IF($O297&gt;20,"LET OP: meer dan 20 items (controle onvolledig)",IF((COUNTIF($R297:$AS297,"ONZEKER")+COUNTIF($CJ297:$DK297,"ONZEKER"))&gt;0,"LET OP: scoreverloop onduidelijk (controle beperkt)",IF((IF($AT297&lt;&gt;"",$AT297&amp;", ","")&amp;IF($AU297&lt;&gt;"",$AU297&amp;", ","")&amp;IF($AV297&lt;&gt;"",$AV297&amp;", ","")&amp;IF($AW297&lt;&gt;"",$AW297&amp;", ","")&amp;IF($AX297&lt;&gt;"",$AX297&amp;", ","")&amp;IF($AY297&lt;&gt;"",$AY297&amp;", ","")&amp;IF($AZ297&lt;&gt;"",$AZ297&amp;", ","")&amp;IF($BA297&lt;&gt;"",$BA297&amp;", ","")&amp;IF($BB297&lt;&gt;"",$BB297&amp;", ","")&amp;IF($BC297&lt;&gt;"",$BC297&amp;", ","")&amp;IF($DL297&lt;&gt;"",$DL297&amp;", ","")&amp;IF($DM297&lt;&gt;"",$DM297&amp;", ","")&amp;IF($DN297&lt;&gt;"",$DN297&amp;", ","")&amp;IF($DO297&lt;&gt;"",$DO297&amp;", ","")&amp;IF($DP297&lt;&gt;"",$DP297&amp;", ","")&amp;IF($DQ297&lt;&gt;"",$DQ297&amp;", ","")&amp;IF($DR297&lt;&gt;"",$DR297&amp;", ","")&amp;IF($DS297&lt;&gt;"",$DS297&amp;", ","")&amp;IF($DT297&lt;&gt;"",$DT297&amp;", ","")&amp;IF($DU297&lt;&gt;"",$DU297&amp;", ",""))="","OK","Onbekend: "&amp;LEFT((IF($AT297&lt;&gt;"",$AT297&amp;", ","")&amp;IF($AU297&lt;&gt;"",$AU297&amp;", ","")&amp;IF($AV297&lt;&gt;"",$AV297&amp;", ","")&amp;IF($AW297&lt;&gt;"",$AW297&amp;", ","")&amp;IF($AX297&lt;&gt;"",$AX297&amp;", ","")&amp;IF($AY297&lt;&gt;"",$AY297&amp;", ","")&amp;IF($AZ297&lt;&gt;"",$AZ297&amp;", ","")&amp;IF($BA297&lt;&gt;"",$BA297&amp;", ","")&amp;IF($BB297&lt;&gt;"",$BB297&amp;", ","")&amp;IF($BC297&lt;&gt;"",$BC297&amp;", ","")&amp;IF($DL297&lt;&gt;"",$DL297&amp;", ","")&amp;IF($DM297&lt;&gt;"",$DM297&amp;", ","")&amp;IF($DN297&lt;&gt;"",$DN297&amp;", ","")&amp;IF($DO297&lt;&gt;"",$DO297&amp;", ","")&amp;IF($DP297&lt;&gt;"",$DP297&amp;", ","")&amp;IF($DQ297&lt;&gt;"",$DQ297&amp;", ","")&amp;IF($DR297&lt;&gt;"",$DR297&amp;", ","")&amp;IF($DS297&lt;&gt;"",$DS297&amp;", ","")&amp;IF($DT297&lt;&gt;"",$DT297&amp;", ","")&amp;IF($DU297&lt;&gt;"",$DU297&amp;", ","")),LEN((IF($AT297&lt;&gt;"",$AT297&amp;", ","")&amp;IF($AU297&lt;&gt;"",$AU297&amp;", ","")&amp;IF($AV297&lt;&gt;"",$AV297&amp;", ","")&amp;IF($AW297&lt;&gt;"",$AW297&amp;", ","")&amp;IF($AX297&lt;&gt;"",$AX297&amp;", ","")&amp;IF($AY297&lt;&gt;"",$AY297&amp;", ","")&amp;IF($AZ297&lt;&gt;"",$AZ297&amp;", ","")&amp;IF($BA297&lt;&gt;"",$BA297&amp;", ","")&amp;IF($BB297&lt;&gt;"",$BB297&amp;", ","")&amp;IF($BC297&lt;&gt;"",$BC297&amp;", ","")&amp;IF($DL297&lt;&gt;"",$DL297&amp;", ","")&amp;IF($DM297&lt;&gt;"",$DM297&amp;", ","")&amp;IF($DN297&lt;&gt;"",$DN297&amp;", ","")&amp;IF($DO297&lt;&gt;"",$DO297&amp;", ","")&amp;IF($DP297&lt;&gt;"",$DP297&amp;", ","")&amp;IF($DQ297&lt;&gt;"",$DQ297&amp;", ","")&amp;IF($DR297&lt;&gt;"",$DR297&amp;", ","")&amp;IF($DS297&lt;&gt;"",$DS297&amp;", ","")&amp;IF($DT297&lt;&gt;"",$DT297&amp;", ","")&amp;IF($DU297&lt;&gt;"",$DU297&amp;", ","")))-2)))))))</f>
        <v/>
      </c>
      <c r="CH297" t="str">
        <f t="shared" si="2082"/>
        <v/>
      </c>
      <c r="CI297" t="str">
        <f t="shared" si="2083"/>
        <v/>
      </c>
      <c r="CJ297" t="str">
        <f>IF($CI297="","",IF(OR($DW297="",$DX297=""),"ONZEKER",IF(OR($CF297="",$CG297=""),"ONZEKER",IF(AND($DW297=$CF297+1,$DX297=$CG297),IF(OR(COUNTIF(#REF!,$B297)&gt;0,COUNTIF(#REF!,$B297)=0),"SKIP",IF(COUNTIFS(#REF!,$B297,#REF!,$CI297)&gt;0,"OK","ONBEKEND")),IF(AND($DW297=$CF297,$DX297=$CG297+1),IF(OR(COUNTIF(#REF!,$D297)&gt;0,COUNTIF(#REF!,$D297)=0),"SKIP",IF(COUNTIFS(#REF!,$D297,#REF!,$CI297)&gt;0,"OK","ONBEKEND")),"ONZEKER")))))</f>
        <v/>
      </c>
      <c r="CK297" t="str">
        <f t="shared" si="2084"/>
        <v/>
      </c>
      <c r="CL297" t="str">
        <f t="shared" si="2085"/>
        <v/>
      </c>
      <c r="CM297" t="str">
        <f>IF($CL297="","",IF(OR($DZ297="",$EA297=""),"ONZEKER",IF(OR($DW297="",$DX297=""),"ONZEKER",IF(AND($DZ297=$DW297+1,$EA297=$DX297),IF(OR(COUNTIF(#REF!,$B297)&gt;0,COUNTIF(#REF!,$B297)=0),"SKIP",IF(COUNTIFS(#REF!,$B297,#REF!,$CL297)&gt;0,"OK","ONBEKEND")),IF(AND($DZ297=$DW297,$EA297=$DX297+1),IF(OR(COUNTIF(#REF!,$D297)&gt;0,COUNTIF(#REF!,$D297)=0),"SKIP",IF(COUNTIFS(#REF!,$D297,#REF!,$CL297)&gt;0,"OK","ONBEKEND")),"ONZEKER")))))</f>
        <v/>
      </c>
      <c r="CN297" t="str">
        <f t="shared" si="2086"/>
        <v/>
      </c>
      <c r="CO297" t="str">
        <f t="shared" si="2087"/>
        <v/>
      </c>
      <c r="CP297" t="str">
        <f>IF($CO297="","",IF(OR($EC297="",$ED297=""),"ONZEKER",IF(OR($DZ297="",$EA297=""),"ONZEKER",IF(AND($EC297=$DZ297+1,$ED297=$EA297),IF(OR(COUNTIF(#REF!,$B297)&gt;0,COUNTIF(#REF!,$B297)=0),"SKIP",IF(COUNTIFS(#REF!,$B297,#REF!,$CO297)&gt;0,"OK","ONBEKEND")),IF(AND($EC297=$DZ297,$ED297=$EA297+1),IF(OR(COUNTIF(#REF!,$D297)&gt;0,COUNTIF(#REF!,$D297)=0),"SKIP",IF(COUNTIFS(#REF!,$D297,#REF!,$CO297)&gt;0,"OK","ONBEKEND")),"ONZEKER")))))</f>
        <v/>
      </c>
      <c r="CQ297" t="str">
        <f t="shared" si="2088"/>
        <v/>
      </c>
      <c r="CR297" t="str">
        <f t="shared" si="2089"/>
        <v/>
      </c>
      <c r="CS297" t="str">
        <f>IF($CR297="","",IF(OR($EF297="",$EG297=""),"ONZEKER",IF(OR($EC297="",$ED297=""),"ONZEKER",IF(AND($EF297=$EC297+1,$EG297=$ED297),IF(OR(COUNTIF(#REF!,$B297)&gt;0,COUNTIF(#REF!,$B297)=0),"SKIP",IF(COUNTIFS(#REF!,$B297,#REF!,$CR297)&gt;0,"OK","ONBEKEND")),IF(AND($EF297=$EC297,$EG297=$ED297+1),IF(OR(COUNTIF(#REF!,$D297)&gt;0,COUNTIF(#REF!,$D297)=0),"SKIP",IF(COUNTIFS(#REF!,$D297,#REF!,$CR297)&gt;0,"OK","ONBEKEND")),"ONZEKER")))))</f>
        <v/>
      </c>
      <c r="CT297" t="str">
        <f t="shared" si="2090"/>
        <v/>
      </c>
      <c r="CU297" t="str">
        <f t="shared" si="2091"/>
        <v/>
      </c>
      <c r="CV297" t="str">
        <f>IF($CU297="","",IF(OR($EI297="",$EJ297=""),"ONZEKER",IF(OR($EF297="",$EG297=""),"ONZEKER",IF(AND($EI297=$EF297+1,$EJ297=$EG297),IF(OR(COUNTIF(#REF!,$B297)&gt;0,COUNTIF(#REF!,$B297)=0),"SKIP",IF(COUNTIFS(#REF!,$B297,#REF!,$CU297)&gt;0,"OK","ONBEKEND")),IF(AND($EI297=$EF297,$EJ297=$EG297+1),IF(OR(COUNTIF(#REF!,$D297)&gt;0,COUNTIF(#REF!,$D297)=0),"SKIP",IF(COUNTIFS(#REF!,$D297,#REF!,$CU297)&gt;0,"OK","ONBEKEND")),"ONZEKER")))))</f>
        <v/>
      </c>
      <c r="CW297" t="str">
        <f t="shared" si="2092"/>
        <v/>
      </c>
      <c r="CX297" t="str">
        <f t="shared" si="2093"/>
        <v/>
      </c>
      <c r="CY297" t="str">
        <f>IF($CX297="","",IF(OR($EL297="",$EM297=""),"ONZEKER",IF(OR($EI297="",$EJ297=""),"ONZEKER",IF(AND($EL297=$EI297+1,$EM297=$EJ297),IF(OR(COUNTIF(#REF!,$B297)&gt;0,COUNTIF(#REF!,$B297)=0),"SKIP",IF(COUNTIFS(#REF!,$B297,#REF!,$CX297)&gt;0,"OK","ONBEKEND")),IF(AND($EL297=$EI297,$EM297=$EJ297+1),IF(OR(COUNTIF(#REF!,$D297)&gt;0,COUNTIF(#REF!,$D297)=0),"SKIP",IF(COUNTIFS(#REF!,$D297,#REF!,$CX297)&gt;0,"OK","ONBEKEND")),"ONZEKER")))))</f>
        <v/>
      </c>
      <c r="CZ297" t="str">
        <f t="shared" si="2094"/>
        <v/>
      </c>
      <c r="DA297" t="str">
        <f t="shared" si="2095"/>
        <v/>
      </c>
      <c r="DB297" t="str">
        <f>IF($DA297="","",IF(OR($EO297="",$EP297=""),"ONZEKER",IF(OR($EL297="",$EM297=""),"ONZEKER",IF(AND($EO297=$EL297+1,$EP297=$EM297),IF(OR(COUNTIF(#REF!,$B297)&gt;0,COUNTIF(#REF!,$B297)=0),"SKIP",IF(COUNTIFS(#REF!,$B297,#REF!,$DA297)&gt;0,"OK","ONBEKEND")),IF(AND($EO297=$EL297,$EP297=$EM297+1),IF(OR(COUNTIF(#REF!,$D297)&gt;0,COUNTIF(#REF!,$D297)=0),"SKIP",IF(COUNTIFS(#REF!,$D297,#REF!,$DA297)&gt;0,"OK","ONBEKEND")),"ONZEKER")))))</f>
        <v/>
      </c>
      <c r="DC297" t="str">
        <f t="shared" si="2096"/>
        <v/>
      </c>
      <c r="DD297" t="str">
        <f t="shared" si="2097"/>
        <v/>
      </c>
      <c r="DE297" t="str">
        <f>IF($DD297="","",IF(OR($ER297="",$ES297=""),"ONZEKER",IF(OR($EO297="",$EP297=""),"ONZEKER",IF(AND($ER297=$EO297+1,$ES297=$EP297),IF(OR(COUNTIF(#REF!,$B297)&gt;0,COUNTIF(#REF!,$B297)=0),"SKIP",IF(COUNTIFS(#REF!,$B297,#REF!,$DD297)&gt;0,"OK","ONBEKEND")),IF(AND($ER297=$EO297,$ES297=$EP297+1),IF(OR(COUNTIF(#REF!,$D297)&gt;0,COUNTIF(#REF!,$D297)=0),"SKIP",IF(COUNTIFS(#REF!,$D297,#REF!,$DD297)&gt;0,"OK","ONBEKEND")),"ONZEKER")))))</f>
        <v/>
      </c>
      <c r="DF297" t="str">
        <f t="shared" si="2098"/>
        <v/>
      </c>
      <c r="DG297" t="str">
        <f t="shared" si="2099"/>
        <v/>
      </c>
      <c r="DH297" t="str">
        <f>IF($DG297="","",IF(OR($EU297="",$EV297=""),"ONZEKER",IF(OR($ER297="",$ES297=""),"ONZEKER",IF(AND($EU297=$ER297+1,$EV297=$ES297),IF(OR(COUNTIF(#REF!,$B297)&gt;0,COUNTIF(#REF!,$B297)=0),"SKIP",IF(COUNTIFS(#REF!,$B297,#REF!,$DG297)&gt;0,"OK","ONBEKEND")),IF(AND($EU297=$ER297,$EV297=$ES297+1),IF(OR(COUNTIF(#REF!,$D297)&gt;0,COUNTIF(#REF!,$D297)=0),"SKIP",IF(COUNTIFS(#REF!,$D297,#REF!,$DG297)&gt;0,"OK","ONBEKEND")),"ONZEKER")))))</f>
        <v/>
      </c>
      <c r="DI297" t="str">
        <f t="shared" si="2100"/>
        <v/>
      </c>
      <c r="DJ297" t="str">
        <f t="shared" si="2101"/>
        <v/>
      </c>
      <c r="DK297" t="str">
        <f>IF($DJ297="","",IF(OR($EX297="",$EY297=""),"ONZEKER",IF(OR($EU297="",$EV297=""),"ONZEKER",IF(AND($EX297=$EU297+1,$EY297=$EV297),IF(OR(COUNTIF(#REF!,$B297)&gt;0,COUNTIF(#REF!,$B297)=0),"SKIP",IF(COUNTIFS(#REF!,$B297,#REF!,$DJ297)&gt;0,"OK","ONBEKEND")),IF(AND($EX297=$EU297,$EY297=$EV297+1),IF(OR(COUNTIF(#REF!,$D297)&gt;0,COUNTIF(#REF!,$D297)=0),"SKIP",IF(COUNTIFS(#REF!,$D297,#REF!,$DJ297)&gt;0,"OK","ONBEKEND")),"ONZEKER")))))</f>
        <v/>
      </c>
      <c r="DL297" t="str">
        <f t="shared" si="2102"/>
        <v/>
      </c>
      <c r="DM297" t="str">
        <f t="shared" si="2103"/>
        <v/>
      </c>
      <c r="DN297" t="str">
        <f t="shared" si="2104"/>
        <v/>
      </c>
      <c r="DO297" t="str">
        <f t="shared" si="2105"/>
        <v/>
      </c>
      <c r="DP297" t="str">
        <f t="shared" si="2106"/>
        <v/>
      </c>
      <c r="DQ297" t="str">
        <f t="shared" si="2107"/>
        <v/>
      </c>
      <c r="DR297" t="str">
        <f t="shared" si="2108"/>
        <v/>
      </c>
      <c r="DS297" t="str">
        <f t="shared" si="2109"/>
        <v/>
      </c>
      <c r="DT297" t="str">
        <f t="shared" si="2110"/>
        <v/>
      </c>
      <c r="DU297" t="str">
        <f t="shared" si="2111"/>
        <v/>
      </c>
      <c r="DV297" t="str">
        <f t="shared" si="2112"/>
        <v/>
      </c>
      <c r="DW297" t="str">
        <f t="shared" si="2113"/>
        <v/>
      </c>
      <c r="DX297" t="str">
        <f t="shared" si="2114"/>
        <v/>
      </c>
      <c r="DY297" t="str">
        <f t="shared" si="2115"/>
        <v/>
      </c>
      <c r="DZ297" t="str">
        <f t="shared" si="2116"/>
        <v/>
      </c>
      <c r="EA297" t="str">
        <f t="shared" si="2117"/>
        <v/>
      </c>
      <c r="EB297" t="str">
        <f t="shared" si="2118"/>
        <v/>
      </c>
      <c r="EC297" t="str">
        <f t="shared" si="2119"/>
        <v/>
      </c>
      <c r="ED297" t="str">
        <f t="shared" si="2120"/>
        <v/>
      </c>
      <c r="EE297" t="str">
        <f t="shared" si="2121"/>
        <v/>
      </c>
      <c r="EF297" t="str">
        <f t="shared" si="2122"/>
        <v/>
      </c>
      <c r="EG297" t="str">
        <f t="shared" si="2123"/>
        <v/>
      </c>
      <c r="EH297" t="str">
        <f t="shared" si="2124"/>
        <v/>
      </c>
      <c r="EI297" t="str">
        <f t="shared" si="2125"/>
        <v/>
      </c>
      <c r="EJ297" t="str">
        <f t="shared" si="2126"/>
        <v/>
      </c>
      <c r="EK297" t="str">
        <f t="shared" si="2127"/>
        <v/>
      </c>
      <c r="EL297" t="str">
        <f t="shared" si="2128"/>
        <v/>
      </c>
      <c r="EM297" t="str">
        <f t="shared" si="2129"/>
        <v/>
      </c>
      <c r="EN297" t="str">
        <f t="shared" si="2130"/>
        <v/>
      </c>
      <c r="EO297" t="str">
        <f t="shared" si="2131"/>
        <v/>
      </c>
      <c r="EP297" t="str">
        <f t="shared" si="2132"/>
        <v/>
      </c>
      <c r="EQ297" t="str">
        <f t="shared" si="2133"/>
        <v/>
      </c>
      <c r="ER297" t="str">
        <f t="shared" si="2134"/>
        <v/>
      </c>
      <c r="ES297" t="str">
        <f t="shared" si="2135"/>
        <v/>
      </c>
      <c r="ET297" t="str">
        <f t="shared" si="2136"/>
        <v/>
      </c>
      <c r="EU297" t="str">
        <f t="shared" si="2137"/>
        <v/>
      </c>
      <c r="EV297" t="str">
        <f t="shared" si="2138"/>
        <v/>
      </c>
      <c r="EW297" t="str">
        <f t="shared" si="2139"/>
        <v/>
      </c>
      <c r="EX297" t="str">
        <f t="shared" si="2140"/>
        <v/>
      </c>
      <c r="EY297" t="str">
        <f t="shared" si="2141"/>
        <v/>
      </c>
    </row>
    <row r="298" spans="2:155" ht="13.9" customHeight="1" x14ac:dyDescent="0.25">
      <c r="B298" s="23"/>
      <c r="D298" s="23"/>
      <c r="F298" s="18">
        <v>0</v>
      </c>
      <c r="G298" s="7" t="s">
        <v>147</v>
      </c>
      <c r="H298" s="18">
        <v>0</v>
      </c>
      <c r="I298" s="19">
        <v>0</v>
      </c>
      <c r="J298" s="7" t="s">
        <v>147</v>
      </c>
      <c r="K298" s="19">
        <v>0</v>
      </c>
      <c r="L298" s="9"/>
      <c r="M298" s="13" t="str">
        <f>IF($L298="","",IF($L298="DOELPUNTENMAKERS","",IF(AND(COUNTIF(#REF!,$B298)=0,COUNTIF(#REF!,$D298)=0),"OK",IF($O298&gt;20,"LET OP: meer dan 20 items (controle onvolledig)",IF((COUNTIF($R298:$AS298,"ONZEKER")+COUNTIF($CJ298:$DK298,"ONZEKER"))&gt;0,"LET OP: scoreverloop onduidelijk (controle beperkt)",IF((IF($AT298&lt;&gt;"",$AT298&amp;", ","")&amp;IF($AU298&lt;&gt;"",$AU298&amp;", ","")&amp;IF($AV298&lt;&gt;"",$AV298&amp;", ","")&amp;IF($AW298&lt;&gt;"",$AW298&amp;", ","")&amp;IF($AX298&lt;&gt;"",$AX298&amp;", ","")&amp;IF($AY298&lt;&gt;"",$AY298&amp;", ","")&amp;IF($AZ298&lt;&gt;"",$AZ298&amp;", ","")&amp;IF($BA298&lt;&gt;"",$BA298&amp;", ","")&amp;IF($BB298&lt;&gt;"",$BB298&amp;", ","")&amp;IF($BC298&lt;&gt;"",$BC298&amp;", ","")&amp;IF($DL298&lt;&gt;"",$DL298&amp;", ","")&amp;IF($DM298&lt;&gt;"",$DM298&amp;", ","")&amp;IF($DN298&lt;&gt;"",$DN298&amp;", ","")&amp;IF($DO298&lt;&gt;"",$DO298&amp;", ","")&amp;IF($DP298&lt;&gt;"",$DP298&amp;", ","")&amp;IF($DQ298&lt;&gt;"",$DQ298&amp;", ","")&amp;IF($DR298&lt;&gt;"",$DR298&amp;", ","")&amp;IF($DS298&lt;&gt;"",$DS298&amp;", ","")&amp;IF($DT298&lt;&gt;"",$DT298&amp;", ","")&amp;IF($DU298&lt;&gt;"",$DU298&amp;", ",""))="","OK","Onbekend: "&amp;LEFT((IF($AT298&lt;&gt;"",$AT298&amp;", ","")&amp;IF($AU298&lt;&gt;"",$AU298&amp;", ","")&amp;IF($AV298&lt;&gt;"",$AV298&amp;", ","")&amp;IF($AW298&lt;&gt;"",$AW298&amp;", ","")&amp;IF($AX298&lt;&gt;"",$AX298&amp;", ","")&amp;IF($AY298&lt;&gt;"",$AY298&amp;", ","")&amp;IF($AZ298&lt;&gt;"",$AZ298&amp;", ","")&amp;IF($BA298&lt;&gt;"",$BA298&amp;", ","")&amp;IF($BB298&lt;&gt;"",$BB298&amp;", ","")&amp;IF($BC298&lt;&gt;"",$BC298&amp;", ","")&amp;IF($DL298&lt;&gt;"",$DL298&amp;", ","")&amp;IF($DM298&lt;&gt;"",$DM298&amp;", ","")&amp;IF($DN298&lt;&gt;"",$DN298&amp;", ","")&amp;IF($DO298&lt;&gt;"",$DO298&amp;", ","")&amp;IF($DP298&lt;&gt;"",$DP298&amp;", ","")&amp;IF($DQ298&lt;&gt;"",$DQ298&amp;", ","")&amp;IF($DR298&lt;&gt;"",$DR298&amp;", ","")&amp;IF($DS298&lt;&gt;"",$DS298&amp;", ","")&amp;IF($DT298&lt;&gt;"",$DT298&amp;", ","")&amp;IF($DU298&lt;&gt;"",$DU298&amp;", ","")),LEN((IF($AT298&lt;&gt;"",$AT298&amp;", ","")&amp;IF($AU298&lt;&gt;"",$AU298&amp;", ","")&amp;IF($AV298&lt;&gt;"",$AV298&amp;", ","")&amp;IF($AW298&lt;&gt;"",$AW298&amp;", ","")&amp;IF($AX298&lt;&gt;"",$AX298&amp;", ","")&amp;IF($AY298&lt;&gt;"",$AY298&amp;", ","")&amp;IF($AZ298&lt;&gt;"",$AZ298&amp;", ","")&amp;IF($BA298&lt;&gt;"",$BA298&amp;", ","")&amp;IF($BB298&lt;&gt;"",$BB298&amp;", ","")&amp;IF($BC298&lt;&gt;"",$BC298&amp;", ","")&amp;IF($DL298&lt;&gt;"",$DL298&amp;", ","")&amp;IF($DM298&lt;&gt;"",$DM298&amp;", ","")&amp;IF($DN298&lt;&gt;"",$DN298&amp;", ","")&amp;IF($DO298&lt;&gt;"",$DO298&amp;", ","")&amp;IF($DP298&lt;&gt;"",$DP298&amp;", ","")&amp;IF($DQ298&lt;&gt;"",$DQ298&amp;", ","")&amp;IF($DR298&lt;&gt;"",$DR298&amp;", ","")&amp;IF($DS298&lt;&gt;"",$DS298&amp;", ","")&amp;IF($DT298&lt;&gt;"",$DT298&amp;", ","")&amp;IF($DU298&lt;&gt;"",$DU298&amp;", ","")))-2)))))))</f>
        <v/>
      </c>
      <c r="CH298" t="str">
        <f t="shared" si="2082"/>
        <v/>
      </c>
      <c r="CI298" t="str">
        <f t="shared" si="2083"/>
        <v/>
      </c>
      <c r="CJ298" t="str">
        <f>IF($CI298="","",IF(OR($DW298="",$DX298=""),"ONZEKER",IF(OR($CF298="",$CG298=""),"ONZEKER",IF(AND($DW298=$CF298+1,$DX298=$CG298),IF(OR(COUNTIF(#REF!,$B298)&gt;0,COUNTIF(#REF!,$B298)=0),"SKIP",IF(COUNTIFS(#REF!,$B298,#REF!,$CI298)&gt;0,"OK","ONBEKEND")),IF(AND($DW298=$CF298,$DX298=$CG298+1),IF(OR(COUNTIF(#REF!,$D298)&gt;0,COUNTIF(#REF!,$D298)=0),"SKIP",IF(COUNTIFS(#REF!,$D298,#REF!,$CI298)&gt;0,"OK","ONBEKEND")),"ONZEKER")))))</f>
        <v/>
      </c>
      <c r="CK298" t="str">
        <f t="shared" si="2084"/>
        <v/>
      </c>
      <c r="CL298" t="str">
        <f t="shared" si="2085"/>
        <v/>
      </c>
      <c r="CM298" t="str">
        <f>IF($CL298="","",IF(OR($DZ298="",$EA298=""),"ONZEKER",IF(OR($DW298="",$DX298=""),"ONZEKER",IF(AND($DZ298=$DW298+1,$EA298=$DX298),IF(OR(COUNTIF(#REF!,$B298)&gt;0,COUNTIF(#REF!,$B298)=0),"SKIP",IF(COUNTIFS(#REF!,$B298,#REF!,$CL298)&gt;0,"OK","ONBEKEND")),IF(AND($DZ298=$DW298,$EA298=$DX298+1),IF(OR(COUNTIF(#REF!,$D298)&gt;0,COUNTIF(#REF!,$D298)=0),"SKIP",IF(COUNTIFS(#REF!,$D298,#REF!,$CL298)&gt;0,"OK","ONBEKEND")),"ONZEKER")))))</f>
        <v/>
      </c>
      <c r="CN298" t="str">
        <f t="shared" si="2086"/>
        <v/>
      </c>
      <c r="CO298" t="str">
        <f t="shared" si="2087"/>
        <v/>
      </c>
      <c r="CP298" t="str">
        <f>IF($CO298="","",IF(OR($EC298="",$ED298=""),"ONZEKER",IF(OR($DZ298="",$EA298=""),"ONZEKER",IF(AND($EC298=$DZ298+1,$ED298=$EA298),IF(OR(COUNTIF(#REF!,$B298)&gt;0,COUNTIF(#REF!,$B298)=0),"SKIP",IF(COUNTIFS(#REF!,$B298,#REF!,$CO298)&gt;0,"OK","ONBEKEND")),IF(AND($EC298=$DZ298,$ED298=$EA298+1),IF(OR(COUNTIF(#REF!,$D298)&gt;0,COUNTIF(#REF!,$D298)=0),"SKIP",IF(COUNTIFS(#REF!,$D298,#REF!,$CO298)&gt;0,"OK","ONBEKEND")),"ONZEKER")))))</f>
        <v/>
      </c>
      <c r="CQ298" t="str">
        <f t="shared" si="2088"/>
        <v/>
      </c>
      <c r="CR298" t="str">
        <f t="shared" si="2089"/>
        <v/>
      </c>
      <c r="CS298" t="str">
        <f>IF($CR298="","",IF(OR($EF298="",$EG298=""),"ONZEKER",IF(OR($EC298="",$ED298=""),"ONZEKER",IF(AND($EF298=$EC298+1,$EG298=$ED298),IF(OR(COUNTIF(#REF!,$B298)&gt;0,COUNTIF(#REF!,$B298)=0),"SKIP",IF(COUNTIFS(#REF!,$B298,#REF!,$CR298)&gt;0,"OK","ONBEKEND")),IF(AND($EF298=$EC298,$EG298=$ED298+1),IF(OR(COUNTIF(#REF!,$D298)&gt;0,COUNTIF(#REF!,$D298)=0),"SKIP",IF(COUNTIFS(#REF!,$D298,#REF!,$CR298)&gt;0,"OK","ONBEKEND")),"ONZEKER")))))</f>
        <v/>
      </c>
      <c r="CT298" t="str">
        <f t="shared" si="2090"/>
        <v/>
      </c>
      <c r="CU298" t="str">
        <f t="shared" si="2091"/>
        <v/>
      </c>
      <c r="CV298" t="str">
        <f>IF($CU298="","",IF(OR($EI298="",$EJ298=""),"ONZEKER",IF(OR($EF298="",$EG298=""),"ONZEKER",IF(AND($EI298=$EF298+1,$EJ298=$EG298),IF(OR(COUNTIF(#REF!,$B298)&gt;0,COUNTIF(#REF!,$B298)=0),"SKIP",IF(COUNTIFS(#REF!,$B298,#REF!,$CU298)&gt;0,"OK","ONBEKEND")),IF(AND($EI298=$EF298,$EJ298=$EG298+1),IF(OR(COUNTIF(#REF!,$D298)&gt;0,COUNTIF(#REF!,$D298)=0),"SKIP",IF(COUNTIFS(#REF!,$D298,#REF!,$CU298)&gt;0,"OK","ONBEKEND")),"ONZEKER")))))</f>
        <v/>
      </c>
      <c r="CW298" t="str">
        <f t="shared" si="2092"/>
        <v/>
      </c>
      <c r="CX298" t="str">
        <f t="shared" si="2093"/>
        <v/>
      </c>
      <c r="CY298" t="str">
        <f>IF($CX298="","",IF(OR($EL298="",$EM298=""),"ONZEKER",IF(OR($EI298="",$EJ298=""),"ONZEKER",IF(AND($EL298=$EI298+1,$EM298=$EJ298),IF(OR(COUNTIF(#REF!,$B298)&gt;0,COUNTIF(#REF!,$B298)=0),"SKIP",IF(COUNTIFS(#REF!,$B298,#REF!,$CX298)&gt;0,"OK","ONBEKEND")),IF(AND($EL298=$EI298,$EM298=$EJ298+1),IF(OR(COUNTIF(#REF!,$D298)&gt;0,COUNTIF(#REF!,$D298)=0),"SKIP",IF(COUNTIFS(#REF!,$D298,#REF!,$CX298)&gt;0,"OK","ONBEKEND")),"ONZEKER")))))</f>
        <v/>
      </c>
      <c r="CZ298" t="str">
        <f t="shared" si="2094"/>
        <v/>
      </c>
      <c r="DA298" t="str">
        <f t="shared" si="2095"/>
        <v/>
      </c>
      <c r="DB298" t="str">
        <f>IF($DA298="","",IF(OR($EO298="",$EP298=""),"ONZEKER",IF(OR($EL298="",$EM298=""),"ONZEKER",IF(AND($EO298=$EL298+1,$EP298=$EM298),IF(OR(COUNTIF(#REF!,$B298)&gt;0,COUNTIF(#REF!,$B298)=0),"SKIP",IF(COUNTIFS(#REF!,$B298,#REF!,$DA298)&gt;0,"OK","ONBEKEND")),IF(AND($EO298=$EL298,$EP298=$EM298+1),IF(OR(COUNTIF(#REF!,$D298)&gt;0,COUNTIF(#REF!,$D298)=0),"SKIP",IF(COUNTIFS(#REF!,$D298,#REF!,$DA298)&gt;0,"OK","ONBEKEND")),"ONZEKER")))))</f>
        <v/>
      </c>
      <c r="DC298" t="str">
        <f t="shared" si="2096"/>
        <v/>
      </c>
      <c r="DD298" t="str">
        <f t="shared" si="2097"/>
        <v/>
      </c>
      <c r="DE298" t="str">
        <f>IF($DD298="","",IF(OR($ER298="",$ES298=""),"ONZEKER",IF(OR($EO298="",$EP298=""),"ONZEKER",IF(AND($ER298=$EO298+1,$ES298=$EP298),IF(OR(COUNTIF(#REF!,$B298)&gt;0,COUNTIF(#REF!,$B298)=0),"SKIP",IF(COUNTIFS(#REF!,$B298,#REF!,$DD298)&gt;0,"OK","ONBEKEND")),IF(AND($ER298=$EO298,$ES298=$EP298+1),IF(OR(COUNTIF(#REF!,$D298)&gt;0,COUNTIF(#REF!,$D298)=0),"SKIP",IF(COUNTIFS(#REF!,$D298,#REF!,$DD298)&gt;0,"OK","ONBEKEND")),"ONZEKER")))))</f>
        <v/>
      </c>
      <c r="DF298" t="str">
        <f t="shared" si="2098"/>
        <v/>
      </c>
      <c r="DG298" t="str">
        <f t="shared" si="2099"/>
        <v/>
      </c>
      <c r="DH298" t="str">
        <f>IF($DG298="","",IF(OR($EU298="",$EV298=""),"ONZEKER",IF(OR($ER298="",$ES298=""),"ONZEKER",IF(AND($EU298=$ER298+1,$EV298=$ES298),IF(OR(COUNTIF(#REF!,$B298)&gt;0,COUNTIF(#REF!,$B298)=0),"SKIP",IF(COUNTIFS(#REF!,$B298,#REF!,$DG298)&gt;0,"OK","ONBEKEND")),IF(AND($EU298=$ER298,$EV298=$ES298+1),IF(OR(COUNTIF(#REF!,$D298)&gt;0,COUNTIF(#REF!,$D298)=0),"SKIP",IF(COUNTIFS(#REF!,$D298,#REF!,$DG298)&gt;0,"OK","ONBEKEND")),"ONZEKER")))))</f>
        <v/>
      </c>
      <c r="DI298" t="str">
        <f t="shared" si="2100"/>
        <v/>
      </c>
      <c r="DJ298" t="str">
        <f t="shared" si="2101"/>
        <v/>
      </c>
      <c r="DK298" t="str">
        <f>IF($DJ298="","",IF(OR($EX298="",$EY298=""),"ONZEKER",IF(OR($EU298="",$EV298=""),"ONZEKER",IF(AND($EX298=$EU298+1,$EY298=$EV298),IF(OR(COUNTIF(#REF!,$B298)&gt;0,COUNTIF(#REF!,$B298)=0),"SKIP",IF(COUNTIFS(#REF!,$B298,#REF!,$DJ298)&gt;0,"OK","ONBEKEND")),IF(AND($EX298=$EU298,$EY298=$EV298+1),IF(OR(COUNTIF(#REF!,$D298)&gt;0,COUNTIF(#REF!,$D298)=0),"SKIP",IF(COUNTIFS(#REF!,$D298,#REF!,$DJ298)&gt;0,"OK","ONBEKEND")),"ONZEKER")))))</f>
        <v/>
      </c>
      <c r="DL298" t="str">
        <f t="shared" si="2102"/>
        <v/>
      </c>
      <c r="DM298" t="str">
        <f t="shared" si="2103"/>
        <v/>
      </c>
      <c r="DN298" t="str">
        <f t="shared" si="2104"/>
        <v/>
      </c>
      <c r="DO298" t="str">
        <f t="shared" si="2105"/>
        <v/>
      </c>
      <c r="DP298" t="str">
        <f t="shared" si="2106"/>
        <v/>
      </c>
      <c r="DQ298" t="str">
        <f t="shared" si="2107"/>
        <v/>
      </c>
      <c r="DR298" t="str">
        <f t="shared" si="2108"/>
        <v/>
      </c>
      <c r="DS298" t="str">
        <f t="shared" si="2109"/>
        <v/>
      </c>
      <c r="DT298" t="str">
        <f t="shared" si="2110"/>
        <v/>
      </c>
      <c r="DU298" t="str">
        <f t="shared" si="2111"/>
        <v/>
      </c>
      <c r="DV298" t="str">
        <f t="shared" si="2112"/>
        <v/>
      </c>
      <c r="DW298" t="str">
        <f t="shared" si="2113"/>
        <v/>
      </c>
      <c r="DX298" t="str">
        <f t="shared" si="2114"/>
        <v/>
      </c>
      <c r="DY298" t="str">
        <f t="shared" si="2115"/>
        <v/>
      </c>
      <c r="DZ298" t="str">
        <f t="shared" si="2116"/>
        <v/>
      </c>
      <c r="EA298" t="str">
        <f t="shared" si="2117"/>
        <v/>
      </c>
      <c r="EB298" t="str">
        <f t="shared" si="2118"/>
        <v/>
      </c>
      <c r="EC298" t="str">
        <f t="shared" si="2119"/>
        <v/>
      </c>
      <c r="ED298" t="str">
        <f t="shared" si="2120"/>
        <v/>
      </c>
      <c r="EE298" t="str">
        <f t="shared" si="2121"/>
        <v/>
      </c>
      <c r="EF298" t="str">
        <f t="shared" si="2122"/>
        <v/>
      </c>
      <c r="EG298" t="str">
        <f t="shared" si="2123"/>
        <v/>
      </c>
      <c r="EH298" t="str">
        <f t="shared" si="2124"/>
        <v/>
      </c>
      <c r="EI298" t="str">
        <f t="shared" si="2125"/>
        <v/>
      </c>
      <c r="EJ298" t="str">
        <f t="shared" si="2126"/>
        <v/>
      </c>
      <c r="EK298" t="str">
        <f t="shared" si="2127"/>
        <v/>
      </c>
      <c r="EL298" t="str">
        <f t="shared" si="2128"/>
        <v/>
      </c>
      <c r="EM298" t="str">
        <f t="shared" si="2129"/>
        <v/>
      </c>
      <c r="EN298" t="str">
        <f t="shared" si="2130"/>
        <v/>
      </c>
      <c r="EO298" t="str">
        <f t="shared" si="2131"/>
        <v/>
      </c>
      <c r="EP298" t="str">
        <f t="shared" si="2132"/>
        <v/>
      </c>
      <c r="EQ298" t="str">
        <f t="shared" si="2133"/>
        <v/>
      </c>
      <c r="ER298" t="str">
        <f t="shared" si="2134"/>
        <v/>
      </c>
      <c r="ES298" t="str">
        <f t="shared" si="2135"/>
        <v/>
      </c>
      <c r="ET298" t="str">
        <f t="shared" si="2136"/>
        <v/>
      </c>
      <c r="EU298" t="str">
        <f t="shared" si="2137"/>
        <v/>
      </c>
      <c r="EV298" t="str">
        <f t="shared" si="2138"/>
        <v/>
      </c>
      <c r="EW298" t="str">
        <f t="shared" si="2139"/>
        <v/>
      </c>
      <c r="EX298" t="str">
        <f t="shared" si="2140"/>
        <v/>
      </c>
      <c r="EY298" t="str">
        <f t="shared" si="2141"/>
        <v/>
      </c>
    </row>
    <row r="299" spans="2:155" ht="13.9" customHeight="1" x14ac:dyDescent="0.25">
      <c r="B299" s="23"/>
      <c r="D299" s="23"/>
      <c r="F299" s="18">
        <v>0</v>
      </c>
      <c r="G299" s="7" t="s">
        <v>147</v>
      </c>
      <c r="H299" s="18">
        <v>0</v>
      </c>
      <c r="I299" s="19">
        <v>0</v>
      </c>
      <c r="J299" s="7" t="s">
        <v>147</v>
      </c>
      <c r="K299" s="19">
        <v>0</v>
      </c>
      <c r="L299" s="9"/>
      <c r="M299" s="13" t="str">
        <f>IF($L299="","",IF($L299="DOELPUNTENMAKERS","",IF(AND(COUNTIF(#REF!,$B299)=0,COUNTIF(#REF!,$D299)=0),"OK",IF($O299&gt;20,"LET OP: meer dan 20 items (controle onvolledig)",IF((COUNTIF($R299:$AS299,"ONZEKER")+COUNTIF($CJ299:$DK299,"ONZEKER"))&gt;0,"LET OP: scoreverloop onduidelijk (controle beperkt)",IF((IF($AT299&lt;&gt;"",$AT299&amp;", ","")&amp;IF($AU299&lt;&gt;"",$AU299&amp;", ","")&amp;IF($AV299&lt;&gt;"",$AV299&amp;", ","")&amp;IF($AW299&lt;&gt;"",$AW299&amp;", ","")&amp;IF($AX299&lt;&gt;"",$AX299&amp;", ","")&amp;IF($AY299&lt;&gt;"",$AY299&amp;", ","")&amp;IF($AZ299&lt;&gt;"",$AZ299&amp;", ","")&amp;IF($BA299&lt;&gt;"",$BA299&amp;", ","")&amp;IF($BB299&lt;&gt;"",$BB299&amp;", ","")&amp;IF($BC299&lt;&gt;"",$BC299&amp;", ","")&amp;IF($DL299&lt;&gt;"",$DL299&amp;", ","")&amp;IF($DM299&lt;&gt;"",$DM299&amp;", ","")&amp;IF($DN299&lt;&gt;"",$DN299&amp;", ","")&amp;IF($DO299&lt;&gt;"",$DO299&amp;", ","")&amp;IF($DP299&lt;&gt;"",$DP299&amp;", ","")&amp;IF($DQ299&lt;&gt;"",$DQ299&amp;", ","")&amp;IF($DR299&lt;&gt;"",$DR299&amp;", ","")&amp;IF($DS299&lt;&gt;"",$DS299&amp;", ","")&amp;IF($DT299&lt;&gt;"",$DT299&amp;", ","")&amp;IF($DU299&lt;&gt;"",$DU299&amp;", ",""))="","OK","Onbekend: "&amp;LEFT((IF($AT299&lt;&gt;"",$AT299&amp;", ","")&amp;IF($AU299&lt;&gt;"",$AU299&amp;", ","")&amp;IF($AV299&lt;&gt;"",$AV299&amp;", ","")&amp;IF($AW299&lt;&gt;"",$AW299&amp;", ","")&amp;IF($AX299&lt;&gt;"",$AX299&amp;", ","")&amp;IF($AY299&lt;&gt;"",$AY299&amp;", ","")&amp;IF($AZ299&lt;&gt;"",$AZ299&amp;", ","")&amp;IF($BA299&lt;&gt;"",$BA299&amp;", ","")&amp;IF($BB299&lt;&gt;"",$BB299&amp;", ","")&amp;IF($BC299&lt;&gt;"",$BC299&amp;", ","")&amp;IF($DL299&lt;&gt;"",$DL299&amp;", ","")&amp;IF($DM299&lt;&gt;"",$DM299&amp;", ","")&amp;IF($DN299&lt;&gt;"",$DN299&amp;", ","")&amp;IF($DO299&lt;&gt;"",$DO299&amp;", ","")&amp;IF($DP299&lt;&gt;"",$DP299&amp;", ","")&amp;IF($DQ299&lt;&gt;"",$DQ299&amp;", ","")&amp;IF($DR299&lt;&gt;"",$DR299&amp;", ","")&amp;IF($DS299&lt;&gt;"",$DS299&amp;", ","")&amp;IF($DT299&lt;&gt;"",$DT299&amp;", ","")&amp;IF($DU299&lt;&gt;"",$DU299&amp;", ","")),LEN((IF($AT299&lt;&gt;"",$AT299&amp;", ","")&amp;IF($AU299&lt;&gt;"",$AU299&amp;", ","")&amp;IF($AV299&lt;&gt;"",$AV299&amp;", ","")&amp;IF($AW299&lt;&gt;"",$AW299&amp;", ","")&amp;IF($AX299&lt;&gt;"",$AX299&amp;", ","")&amp;IF($AY299&lt;&gt;"",$AY299&amp;", ","")&amp;IF($AZ299&lt;&gt;"",$AZ299&amp;", ","")&amp;IF($BA299&lt;&gt;"",$BA299&amp;", ","")&amp;IF($BB299&lt;&gt;"",$BB299&amp;", ","")&amp;IF($BC299&lt;&gt;"",$BC299&amp;", ","")&amp;IF($DL299&lt;&gt;"",$DL299&amp;", ","")&amp;IF($DM299&lt;&gt;"",$DM299&amp;", ","")&amp;IF($DN299&lt;&gt;"",$DN299&amp;", ","")&amp;IF($DO299&lt;&gt;"",$DO299&amp;", ","")&amp;IF($DP299&lt;&gt;"",$DP299&amp;", ","")&amp;IF($DQ299&lt;&gt;"",$DQ299&amp;", ","")&amp;IF($DR299&lt;&gt;"",$DR299&amp;", ","")&amp;IF($DS299&lt;&gt;"",$DS299&amp;", ","")&amp;IF($DT299&lt;&gt;"",$DT299&amp;", ","")&amp;IF($DU299&lt;&gt;"",$DU299&amp;", ","")))-2)))))))</f>
        <v/>
      </c>
      <c r="CH299" t="str">
        <f t="shared" si="2082"/>
        <v/>
      </c>
      <c r="CI299" t="str">
        <f t="shared" si="2083"/>
        <v/>
      </c>
      <c r="CJ299" t="str">
        <f>IF($CI299="","",IF(OR($DW299="",$DX299=""),"ONZEKER",IF(OR($CF299="",$CG299=""),"ONZEKER",IF(AND($DW299=$CF299+1,$DX299=$CG299),IF(OR(COUNTIF(#REF!,$B299)&gt;0,COUNTIF(#REF!,$B299)=0),"SKIP",IF(COUNTIFS(#REF!,$B299,#REF!,$CI299)&gt;0,"OK","ONBEKEND")),IF(AND($DW299=$CF299,$DX299=$CG299+1),IF(OR(COUNTIF(#REF!,$D299)&gt;0,COUNTIF(#REF!,$D299)=0),"SKIP",IF(COUNTIFS(#REF!,$D299,#REF!,$CI299)&gt;0,"OK","ONBEKEND")),"ONZEKER")))))</f>
        <v/>
      </c>
      <c r="CK299" t="str">
        <f t="shared" si="2084"/>
        <v/>
      </c>
      <c r="CL299" t="str">
        <f t="shared" si="2085"/>
        <v/>
      </c>
      <c r="CM299" t="str">
        <f>IF($CL299="","",IF(OR($DZ299="",$EA299=""),"ONZEKER",IF(OR($DW299="",$DX299=""),"ONZEKER",IF(AND($DZ299=$DW299+1,$EA299=$DX299),IF(OR(COUNTIF(#REF!,$B299)&gt;0,COUNTIF(#REF!,$B299)=0),"SKIP",IF(COUNTIFS(#REF!,$B299,#REF!,$CL299)&gt;0,"OK","ONBEKEND")),IF(AND($DZ299=$DW299,$EA299=$DX299+1),IF(OR(COUNTIF(#REF!,$D299)&gt;0,COUNTIF(#REF!,$D299)=0),"SKIP",IF(COUNTIFS(#REF!,$D299,#REF!,$CL299)&gt;0,"OK","ONBEKEND")),"ONZEKER")))))</f>
        <v/>
      </c>
      <c r="CN299" t="str">
        <f t="shared" si="2086"/>
        <v/>
      </c>
      <c r="CO299" t="str">
        <f t="shared" si="2087"/>
        <v/>
      </c>
      <c r="CP299" t="str">
        <f>IF($CO299="","",IF(OR($EC299="",$ED299=""),"ONZEKER",IF(OR($DZ299="",$EA299=""),"ONZEKER",IF(AND($EC299=$DZ299+1,$ED299=$EA299),IF(OR(COUNTIF(#REF!,$B299)&gt;0,COUNTIF(#REF!,$B299)=0),"SKIP",IF(COUNTIFS(#REF!,$B299,#REF!,$CO299)&gt;0,"OK","ONBEKEND")),IF(AND($EC299=$DZ299,$ED299=$EA299+1),IF(OR(COUNTIF(#REF!,$D299)&gt;0,COUNTIF(#REF!,$D299)=0),"SKIP",IF(COUNTIFS(#REF!,$D299,#REF!,$CO299)&gt;0,"OK","ONBEKEND")),"ONZEKER")))))</f>
        <v/>
      </c>
      <c r="CQ299" t="str">
        <f t="shared" si="2088"/>
        <v/>
      </c>
      <c r="CR299" t="str">
        <f t="shared" si="2089"/>
        <v/>
      </c>
      <c r="CS299" t="str">
        <f>IF($CR299="","",IF(OR($EF299="",$EG299=""),"ONZEKER",IF(OR($EC299="",$ED299=""),"ONZEKER",IF(AND($EF299=$EC299+1,$EG299=$ED299),IF(OR(COUNTIF(#REF!,$B299)&gt;0,COUNTIF(#REF!,$B299)=0),"SKIP",IF(COUNTIFS(#REF!,$B299,#REF!,$CR299)&gt;0,"OK","ONBEKEND")),IF(AND($EF299=$EC299,$EG299=$ED299+1),IF(OR(COUNTIF(#REF!,$D299)&gt;0,COUNTIF(#REF!,$D299)=0),"SKIP",IF(COUNTIFS(#REF!,$D299,#REF!,$CR299)&gt;0,"OK","ONBEKEND")),"ONZEKER")))))</f>
        <v/>
      </c>
      <c r="CT299" t="str">
        <f t="shared" si="2090"/>
        <v/>
      </c>
      <c r="CU299" t="str">
        <f t="shared" si="2091"/>
        <v/>
      </c>
      <c r="CV299" t="str">
        <f>IF($CU299="","",IF(OR($EI299="",$EJ299=""),"ONZEKER",IF(OR($EF299="",$EG299=""),"ONZEKER",IF(AND($EI299=$EF299+1,$EJ299=$EG299),IF(OR(COUNTIF(#REF!,$B299)&gt;0,COUNTIF(#REF!,$B299)=0),"SKIP",IF(COUNTIFS(#REF!,$B299,#REF!,$CU299)&gt;0,"OK","ONBEKEND")),IF(AND($EI299=$EF299,$EJ299=$EG299+1),IF(OR(COUNTIF(#REF!,$D299)&gt;0,COUNTIF(#REF!,$D299)=0),"SKIP",IF(COUNTIFS(#REF!,$D299,#REF!,$CU299)&gt;0,"OK","ONBEKEND")),"ONZEKER")))))</f>
        <v/>
      </c>
      <c r="CW299" t="str">
        <f t="shared" si="2092"/>
        <v/>
      </c>
      <c r="CX299" t="str">
        <f t="shared" si="2093"/>
        <v/>
      </c>
      <c r="CY299" t="str">
        <f>IF($CX299="","",IF(OR($EL299="",$EM299=""),"ONZEKER",IF(OR($EI299="",$EJ299=""),"ONZEKER",IF(AND($EL299=$EI299+1,$EM299=$EJ299),IF(OR(COUNTIF(#REF!,$B299)&gt;0,COUNTIF(#REF!,$B299)=0),"SKIP",IF(COUNTIFS(#REF!,$B299,#REF!,$CX299)&gt;0,"OK","ONBEKEND")),IF(AND($EL299=$EI299,$EM299=$EJ299+1),IF(OR(COUNTIF(#REF!,$D299)&gt;0,COUNTIF(#REF!,$D299)=0),"SKIP",IF(COUNTIFS(#REF!,$D299,#REF!,$CX299)&gt;0,"OK","ONBEKEND")),"ONZEKER")))))</f>
        <v/>
      </c>
      <c r="CZ299" t="str">
        <f t="shared" si="2094"/>
        <v/>
      </c>
      <c r="DA299" t="str">
        <f t="shared" si="2095"/>
        <v/>
      </c>
      <c r="DB299" t="str">
        <f>IF($DA299="","",IF(OR($EO299="",$EP299=""),"ONZEKER",IF(OR($EL299="",$EM299=""),"ONZEKER",IF(AND($EO299=$EL299+1,$EP299=$EM299),IF(OR(COUNTIF(#REF!,$B299)&gt;0,COUNTIF(#REF!,$B299)=0),"SKIP",IF(COUNTIFS(#REF!,$B299,#REF!,$DA299)&gt;0,"OK","ONBEKEND")),IF(AND($EO299=$EL299,$EP299=$EM299+1),IF(OR(COUNTIF(#REF!,$D299)&gt;0,COUNTIF(#REF!,$D299)=0),"SKIP",IF(COUNTIFS(#REF!,$D299,#REF!,$DA299)&gt;0,"OK","ONBEKEND")),"ONZEKER")))))</f>
        <v/>
      </c>
      <c r="DC299" t="str">
        <f t="shared" si="2096"/>
        <v/>
      </c>
      <c r="DD299" t="str">
        <f t="shared" si="2097"/>
        <v/>
      </c>
      <c r="DE299" t="str">
        <f>IF($DD299="","",IF(OR($ER299="",$ES299=""),"ONZEKER",IF(OR($EO299="",$EP299=""),"ONZEKER",IF(AND($ER299=$EO299+1,$ES299=$EP299),IF(OR(COUNTIF(#REF!,$B299)&gt;0,COUNTIF(#REF!,$B299)=0),"SKIP",IF(COUNTIFS(#REF!,$B299,#REF!,$DD299)&gt;0,"OK","ONBEKEND")),IF(AND($ER299=$EO299,$ES299=$EP299+1),IF(OR(COUNTIF(#REF!,$D299)&gt;0,COUNTIF(#REF!,$D299)=0),"SKIP",IF(COUNTIFS(#REF!,$D299,#REF!,$DD299)&gt;0,"OK","ONBEKEND")),"ONZEKER")))))</f>
        <v/>
      </c>
      <c r="DF299" t="str">
        <f t="shared" si="2098"/>
        <v/>
      </c>
      <c r="DG299" t="str">
        <f t="shared" si="2099"/>
        <v/>
      </c>
      <c r="DH299" t="str">
        <f>IF($DG299="","",IF(OR($EU299="",$EV299=""),"ONZEKER",IF(OR($ER299="",$ES299=""),"ONZEKER",IF(AND($EU299=$ER299+1,$EV299=$ES299),IF(OR(COUNTIF(#REF!,$B299)&gt;0,COUNTIF(#REF!,$B299)=0),"SKIP",IF(COUNTIFS(#REF!,$B299,#REF!,$DG299)&gt;0,"OK","ONBEKEND")),IF(AND($EU299=$ER299,$EV299=$ES299+1),IF(OR(COUNTIF(#REF!,$D299)&gt;0,COUNTIF(#REF!,$D299)=0),"SKIP",IF(COUNTIFS(#REF!,$D299,#REF!,$DG299)&gt;0,"OK","ONBEKEND")),"ONZEKER")))))</f>
        <v/>
      </c>
      <c r="DI299" t="str">
        <f t="shared" si="2100"/>
        <v/>
      </c>
      <c r="DJ299" t="str">
        <f t="shared" si="2101"/>
        <v/>
      </c>
      <c r="DK299" t="str">
        <f>IF($DJ299="","",IF(OR($EX299="",$EY299=""),"ONZEKER",IF(OR($EU299="",$EV299=""),"ONZEKER",IF(AND($EX299=$EU299+1,$EY299=$EV299),IF(OR(COUNTIF(#REF!,$B299)&gt;0,COUNTIF(#REF!,$B299)=0),"SKIP",IF(COUNTIFS(#REF!,$B299,#REF!,$DJ299)&gt;0,"OK","ONBEKEND")),IF(AND($EX299=$EU299,$EY299=$EV299+1),IF(OR(COUNTIF(#REF!,$D299)&gt;0,COUNTIF(#REF!,$D299)=0),"SKIP",IF(COUNTIFS(#REF!,$D299,#REF!,$DJ299)&gt;0,"OK","ONBEKEND")),"ONZEKER")))))</f>
        <v/>
      </c>
      <c r="DL299" t="str">
        <f t="shared" si="2102"/>
        <v/>
      </c>
      <c r="DM299" t="str">
        <f t="shared" si="2103"/>
        <v/>
      </c>
      <c r="DN299" t="str">
        <f t="shared" si="2104"/>
        <v/>
      </c>
      <c r="DO299" t="str">
        <f t="shared" si="2105"/>
        <v/>
      </c>
      <c r="DP299" t="str">
        <f t="shared" si="2106"/>
        <v/>
      </c>
      <c r="DQ299" t="str">
        <f t="shared" si="2107"/>
        <v/>
      </c>
      <c r="DR299" t="str">
        <f t="shared" si="2108"/>
        <v/>
      </c>
      <c r="DS299" t="str">
        <f t="shared" si="2109"/>
        <v/>
      </c>
      <c r="DT299" t="str">
        <f t="shared" si="2110"/>
        <v/>
      </c>
      <c r="DU299" t="str">
        <f t="shared" si="2111"/>
        <v/>
      </c>
      <c r="DV299" t="str">
        <f t="shared" si="2112"/>
        <v/>
      </c>
      <c r="DW299" t="str">
        <f t="shared" si="2113"/>
        <v/>
      </c>
      <c r="DX299" t="str">
        <f t="shared" si="2114"/>
        <v/>
      </c>
      <c r="DY299" t="str">
        <f t="shared" si="2115"/>
        <v/>
      </c>
      <c r="DZ299" t="str">
        <f t="shared" si="2116"/>
        <v/>
      </c>
      <c r="EA299" t="str">
        <f t="shared" si="2117"/>
        <v/>
      </c>
      <c r="EB299" t="str">
        <f t="shared" si="2118"/>
        <v/>
      </c>
      <c r="EC299" t="str">
        <f t="shared" si="2119"/>
        <v/>
      </c>
      <c r="ED299" t="str">
        <f t="shared" si="2120"/>
        <v/>
      </c>
      <c r="EE299" t="str">
        <f t="shared" si="2121"/>
        <v/>
      </c>
      <c r="EF299" t="str">
        <f t="shared" si="2122"/>
        <v/>
      </c>
      <c r="EG299" t="str">
        <f t="shared" si="2123"/>
        <v/>
      </c>
      <c r="EH299" t="str">
        <f t="shared" si="2124"/>
        <v/>
      </c>
      <c r="EI299" t="str">
        <f t="shared" si="2125"/>
        <v/>
      </c>
      <c r="EJ299" t="str">
        <f t="shared" si="2126"/>
        <v/>
      </c>
      <c r="EK299" t="str">
        <f t="shared" si="2127"/>
        <v/>
      </c>
      <c r="EL299" t="str">
        <f t="shared" si="2128"/>
        <v/>
      </c>
      <c r="EM299" t="str">
        <f t="shared" si="2129"/>
        <v/>
      </c>
      <c r="EN299" t="str">
        <f t="shared" si="2130"/>
        <v/>
      </c>
      <c r="EO299" t="str">
        <f t="shared" si="2131"/>
        <v/>
      </c>
      <c r="EP299" t="str">
        <f t="shared" si="2132"/>
        <v/>
      </c>
      <c r="EQ299" t="str">
        <f t="shared" si="2133"/>
        <v/>
      </c>
      <c r="ER299" t="str">
        <f t="shared" si="2134"/>
        <v/>
      </c>
      <c r="ES299" t="str">
        <f t="shared" si="2135"/>
        <v/>
      </c>
      <c r="ET299" t="str">
        <f t="shared" si="2136"/>
        <v/>
      </c>
      <c r="EU299" t="str">
        <f t="shared" si="2137"/>
        <v/>
      </c>
      <c r="EV299" t="str">
        <f t="shared" si="2138"/>
        <v/>
      </c>
      <c r="EW299" t="str">
        <f t="shared" si="2139"/>
        <v/>
      </c>
      <c r="EX299" t="str">
        <f t="shared" si="2140"/>
        <v/>
      </c>
      <c r="EY299" t="str">
        <f t="shared" si="2141"/>
        <v/>
      </c>
    </row>
    <row r="300" spans="2:155" ht="13.9" customHeight="1" x14ac:dyDescent="0.25">
      <c r="B300" s="23"/>
      <c r="D300" s="23"/>
      <c r="F300" s="18">
        <v>0</v>
      </c>
      <c r="G300" s="7" t="s">
        <v>147</v>
      </c>
      <c r="H300" s="18">
        <v>0</v>
      </c>
      <c r="I300" s="19">
        <v>0</v>
      </c>
      <c r="J300" s="7" t="s">
        <v>147</v>
      </c>
      <c r="K300" s="19">
        <v>0</v>
      </c>
      <c r="L300" s="9"/>
      <c r="M300" s="13" t="str">
        <f>IF($L300="","",IF($L300="DOELPUNTENMAKERS","",IF(AND(COUNTIF(#REF!,$B300)=0,COUNTIF(#REF!,$D300)=0),"OK",IF($O300&gt;20,"LET OP: meer dan 20 items (controle onvolledig)",IF((COUNTIF($R300:$AS300,"ONZEKER")+COUNTIF($CJ300:$DK300,"ONZEKER"))&gt;0,"LET OP: scoreverloop onduidelijk (controle beperkt)",IF((IF($AT300&lt;&gt;"",$AT300&amp;", ","")&amp;IF($AU300&lt;&gt;"",$AU300&amp;", ","")&amp;IF($AV300&lt;&gt;"",$AV300&amp;", ","")&amp;IF($AW300&lt;&gt;"",$AW300&amp;", ","")&amp;IF($AX300&lt;&gt;"",$AX300&amp;", ","")&amp;IF($AY300&lt;&gt;"",$AY300&amp;", ","")&amp;IF($AZ300&lt;&gt;"",$AZ300&amp;", ","")&amp;IF($BA300&lt;&gt;"",$BA300&amp;", ","")&amp;IF($BB300&lt;&gt;"",$BB300&amp;", ","")&amp;IF($BC300&lt;&gt;"",$BC300&amp;", ","")&amp;IF($DL300&lt;&gt;"",$DL300&amp;", ","")&amp;IF($DM300&lt;&gt;"",$DM300&amp;", ","")&amp;IF($DN300&lt;&gt;"",$DN300&amp;", ","")&amp;IF($DO300&lt;&gt;"",$DO300&amp;", ","")&amp;IF($DP300&lt;&gt;"",$DP300&amp;", ","")&amp;IF($DQ300&lt;&gt;"",$DQ300&amp;", ","")&amp;IF($DR300&lt;&gt;"",$DR300&amp;", ","")&amp;IF($DS300&lt;&gt;"",$DS300&amp;", ","")&amp;IF($DT300&lt;&gt;"",$DT300&amp;", ","")&amp;IF($DU300&lt;&gt;"",$DU300&amp;", ",""))="","OK","Onbekend: "&amp;LEFT((IF($AT300&lt;&gt;"",$AT300&amp;", ","")&amp;IF($AU300&lt;&gt;"",$AU300&amp;", ","")&amp;IF($AV300&lt;&gt;"",$AV300&amp;", ","")&amp;IF($AW300&lt;&gt;"",$AW300&amp;", ","")&amp;IF($AX300&lt;&gt;"",$AX300&amp;", ","")&amp;IF($AY300&lt;&gt;"",$AY300&amp;", ","")&amp;IF($AZ300&lt;&gt;"",$AZ300&amp;", ","")&amp;IF($BA300&lt;&gt;"",$BA300&amp;", ","")&amp;IF($BB300&lt;&gt;"",$BB300&amp;", ","")&amp;IF($BC300&lt;&gt;"",$BC300&amp;", ","")&amp;IF($DL300&lt;&gt;"",$DL300&amp;", ","")&amp;IF($DM300&lt;&gt;"",$DM300&amp;", ","")&amp;IF($DN300&lt;&gt;"",$DN300&amp;", ","")&amp;IF($DO300&lt;&gt;"",$DO300&amp;", ","")&amp;IF($DP300&lt;&gt;"",$DP300&amp;", ","")&amp;IF($DQ300&lt;&gt;"",$DQ300&amp;", ","")&amp;IF($DR300&lt;&gt;"",$DR300&amp;", ","")&amp;IF($DS300&lt;&gt;"",$DS300&amp;", ","")&amp;IF($DT300&lt;&gt;"",$DT300&amp;", ","")&amp;IF($DU300&lt;&gt;"",$DU300&amp;", ","")),LEN((IF($AT300&lt;&gt;"",$AT300&amp;", ","")&amp;IF($AU300&lt;&gt;"",$AU300&amp;", ","")&amp;IF($AV300&lt;&gt;"",$AV300&amp;", ","")&amp;IF($AW300&lt;&gt;"",$AW300&amp;", ","")&amp;IF($AX300&lt;&gt;"",$AX300&amp;", ","")&amp;IF($AY300&lt;&gt;"",$AY300&amp;", ","")&amp;IF($AZ300&lt;&gt;"",$AZ300&amp;", ","")&amp;IF($BA300&lt;&gt;"",$BA300&amp;", ","")&amp;IF($BB300&lt;&gt;"",$BB300&amp;", ","")&amp;IF($BC300&lt;&gt;"",$BC300&amp;", ","")&amp;IF($DL300&lt;&gt;"",$DL300&amp;", ","")&amp;IF($DM300&lt;&gt;"",$DM300&amp;", ","")&amp;IF($DN300&lt;&gt;"",$DN300&amp;", ","")&amp;IF($DO300&lt;&gt;"",$DO300&amp;", ","")&amp;IF($DP300&lt;&gt;"",$DP300&amp;", ","")&amp;IF($DQ300&lt;&gt;"",$DQ300&amp;", ","")&amp;IF($DR300&lt;&gt;"",$DR300&amp;", ","")&amp;IF($DS300&lt;&gt;"",$DS300&amp;", ","")&amp;IF($DT300&lt;&gt;"",$DT300&amp;", ","")&amp;IF($DU300&lt;&gt;"",$DU300&amp;", ","")))-2)))))))</f>
        <v/>
      </c>
      <c r="CH300" t="str">
        <f t="shared" si="2082"/>
        <v/>
      </c>
      <c r="CI300" t="str">
        <f t="shared" si="2083"/>
        <v/>
      </c>
      <c r="CJ300" t="str">
        <f>IF($CI300="","",IF(OR($DW300="",$DX300=""),"ONZEKER",IF(OR($CF300="",$CG300=""),"ONZEKER",IF(AND($DW300=$CF300+1,$DX300=$CG300),IF(OR(COUNTIF(#REF!,$B300)&gt;0,COUNTIF(#REF!,$B300)=0),"SKIP",IF(COUNTIFS(#REF!,$B300,#REF!,$CI300)&gt;0,"OK","ONBEKEND")),IF(AND($DW300=$CF300,$DX300=$CG300+1),IF(OR(COUNTIF(#REF!,$D300)&gt;0,COUNTIF(#REF!,$D300)=0),"SKIP",IF(COUNTIFS(#REF!,$D300,#REF!,$CI300)&gt;0,"OK","ONBEKEND")),"ONZEKER")))))</f>
        <v/>
      </c>
      <c r="CK300" t="str">
        <f t="shared" si="2084"/>
        <v/>
      </c>
      <c r="CL300" t="str">
        <f t="shared" si="2085"/>
        <v/>
      </c>
      <c r="CM300" t="str">
        <f>IF($CL300="","",IF(OR($DZ300="",$EA300=""),"ONZEKER",IF(OR($DW300="",$DX300=""),"ONZEKER",IF(AND($DZ300=$DW300+1,$EA300=$DX300),IF(OR(COUNTIF(#REF!,$B300)&gt;0,COUNTIF(#REF!,$B300)=0),"SKIP",IF(COUNTIFS(#REF!,$B300,#REF!,$CL300)&gt;0,"OK","ONBEKEND")),IF(AND($DZ300=$DW300,$EA300=$DX300+1),IF(OR(COUNTIF(#REF!,$D300)&gt;0,COUNTIF(#REF!,$D300)=0),"SKIP",IF(COUNTIFS(#REF!,$D300,#REF!,$CL300)&gt;0,"OK","ONBEKEND")),"ONZEKER")))))</f>
        <v/>
      </c>
      <c r="CN300" t="str">
        <f t="shared" si="2086"/>
        <v/>
      </c>
      <c r="CO300" t="str">
        <f t="shared" si="2087"/>
        <v/>
      </c>
      <c r="CP300" t="str">
        <f>IF($CO300="","",IF(OR($EC300="",$ED300=""),"ONZEKER",IF(OR($DZ300="",$EA300=""),"ONZEKER",IF(AND($EC300=$DZ300+1,$ED300=$EA300),IF(OR(COUNTIF(#REF!,$B300)&gt;0,COUNTIF(#REF!,$B300)=0),"SKIP",IF(COUNTIFS(#REF!,$B300,#REF!,$CO300)&gt;0,"OK","ONBEKEND")),IF(AND($EC300=$DZ300,$ED300=$EA300+1),IF(OR(COUNTIF(#REF!,$D300)&gt;0,COUNTIF(#REF!,$D300)=0),"SKIP",IF(COUNTIFS(#REF!,$D300,#REF!,$CO300)&gt;0,"OK","ONBEKEND")),"ONZEKER")))))</f>
        <v/>
      </c>
      <c r="CQ300" t="str">
        <f t="shared" si="2088"/>
        <v/>
      </c>
      <c r="CR300" t="str">
        <f t="shared" si="2089"/>
        <v/>
      </c>
      <c r="CS300" t="str">
        <f>IF($CR300="","",IF(OR($EF300="",$EG300=""),"ONZEKER",IF(OR($EC300="",$ED300=""),"ONZEKER",IF(AND($EF300=$EC300+1,$EG300=$ED300),IF(OR(COUNTIF(#REF!,$B300)&gt;0,COUNTIF(#REF!,$B300)=0),"SKIP",IF(COUNTIFS(#REF!,$B300,#REF!,$CR300)&gt;0,"OK","ONBEKEND")),IF(AND($EF300=$EC300,$EG300=$ED300+1),IF(OR(COUNTIF(#REF!,$D300)&gt;0,COUNTIF(#REF!,$D300)=0),"SKIP",IF(COUNTIFS(#REF!,$D300,#REF!,$CR300)&gt;0,"OK","ONBEKEND")),"ONZEKER")))))</f>
        <v/>
      </c>
      <c r="CT300" t="str">
        <f t="shared" si="2090"/>
        <v/>
      </c>
      <c r="CU300" t="str">
        <f t="shared" si="2091"/>
        <v/>
      </c>
      <c r="CV300" t="str">
        <f>IF($CU300="","",IF(OR($EI300="",$EJ300=""),"ONZEKER",IF(OR($EF300="",$EG300=""),"ONZEKER",IF(AND($EI300=$EF300+1,$EJ300=$EG300),IF(OR(COUNTIF(#REF!,$B300)&gt;0,COUNTIF(#REF!,$B300)=0),"SKIP",IF(COUNTIFS(#REF!,$B300,#REF!,$CU300)&gt;0,"OK","ONBEKEND")),IF(AND($EI300=$EF300,$EJ300=$EG300+1),IF(OR(COUNTIF(#REF!,$D300)&gt;0,COUNTIF(#REF!,$D300)=0),"SKIP",IF(COUNTIFS(#REF!,$D300,#REF!,$CU300)&gt;0,"OK","ONBEKEND")),"ONZEKER")))))</f>
        <v/>
      </c>
      <c r="CW300" t="str">
        <f t="shared" si="2092"/>
        <v/>
      </c>
      <c r="CX300" t="str">
        <f t="shared" si="2093"/>
        <v/>
      </c>
      <c r="CY300" t="str">
        <f>IF($CX300="","",IF(OR($EL300="",$EM300=""),"ONZEKER",IF(OR($EI300="",$EJ300=""),"ONZEKER",IF(AND($EL300=$EI300+1,$EM300=$EJ300),IF(OR(COUNTIF(#REF!,$B300)&gt;0,COUNTIF(#REF!,$B300)=0),"SKIP",IF(COUNTIFS(#REF!,$B300,#REF!,$CX300)&gt;0,"OK","ONBEKEND")),IF(AND($EL300=$EI300,$EM300=$EJ300+1),IF(OR(COUNTIF(#REF!,$D300)&gt;0,COUNTIF(#REF!,$D300)=0),"SKIP",IF(COUNTIFS(#REF!,$D300,#REF!,$CX300)&gt;0,"OK","ONBEKEND")),"ONZEKER")))))</f>
        <v/>
      </c>
      <c r="CZ300" t="str">
        <f t="shared" si="2094"/>
        <v/>
      </c>
      <c r="DA300" t="str">
        <f t="shared" si="2095"/>
        <v/>
      </c>
      <c r="DB300" t="str">
        <f>IF($DA300="","",IF(OR($EO300="",$EP300=""),"ONZEKER",IF(OR($EL300="",$EM300=""),"ONZEKER",IF(AND($EO300=$EL300+1,$EP300=$EM300),IF(OR(COUNTIF(#REF!,$B300)&gt;0,COUNTIF(#REF!,$B300)=0),"SKIP",IF(COUNTIFS(#REF!,$B300,#REF!,$DA300)&gt;0,"OK","ONBEKEND")),IF(AND($EO300=$EL300,$EP300=$EM300+1),IF(OR(COUNTIF(#REF!,$D300)&gt;0,COUNTIF(#REF!,$D300)=0),"SKIP",IF(COUNTIFS(#REF!,$D300,#REF!,$DA300)&gt;0,"OK","ONBEKEND")),"ONZEKER")))))</f>
        <v/>
      </c>
      <c r="DC300" t="str">
        <f t="shared" si="2096"/>
        <v/>
      </c>
      <c r="DD300" t="str">
        <f t="shared" si="2097"/>
        <v/>
      </c>
      <c r="DE300" t="str">
        <f>IF($DD300="","",IF(OR($ER300="",$ES300=""),"ONZEKER",IF(OR($EO300="",$EP300=""),"ONZEKER",IF(AND($ER300=$EO300+1,$ES300=$EP300),IF(OR(COUNTIF(#REF!,$B300)&gt;0,COUNTIF(#REF!,$B300)=0),"SKIP",IF(COUNTIFS(#REF!,$B300,#REF!,$DD300)&gt;0,"OK","ONBEKEND")),IF(AND($ER300=$EO300,$ES300=$EP300+1),IF(OR(COUNTIF(#REF!,$D300)&gt;0,COUNTIF(#REF!,$D300)=0),"SKIP",IF(COUNTIFS(#REF!,$D300,#REF!,$DD300)&gt;0,"OK","ONBEKEND")),"ONZEKER")))))</f>
        <v/>
      </c>
      <c r="DF300" t="str">
        <f t="shared" si="2098"/>
        <v/>
      </c>
      <c r="DG300" t="str">
        <f t="shared" si="2099"/>
        <v/>
      </c>
      <c r="DH300" t="str">
        <f>IF($DG300="","",IF(OR($EU300="",$EV300=""),"ONZEKER",IF(OR($ER300="",$ES300=""),"ONZEKER",IF(AND($EU300=$ER300+1,$EV300=$ES300),IF(OR(COUNTIF(#REF!,$B300)&gt;0,COUNTIF(#REF!,$B300)=0),"SKIP",IF(COUNTIFS(#REF!,$B300,#REF!,$DG300)&gt;0,"OK","ONBEKEND")),IF(AND($EU300=$ER300,$EV300=$ES300+1),IF(OR(COUNTIF(#REF!,$D300)&gt;0,COUNTIF(#REF!,$D300)=0),"SKIP",IF(COUNTIFS(#REF!,$D300,#REF!,$DG300)&gt;0,"OK","ONBEKEND")),"ONZEKER")))))</f>
        <v/>
      </c>
      <c r="DI300" t="str">
        <f t="shared" si="2100"/>
        <v/>
      </c>
      <c r="DJ300" t="str">
        <f t="shared" si="2101"/>
        <v/>
      </c>
      <c r="DK300" t="str">
        <f>IF($DJ300="","",IF(OR($EX300="",$EY300=""),"ONZEKER",IF(OR($EU300="",$EV300=""),"ONZEKER",IF(AND($EX300=$EU300+1,$EY300=$EV300),IF(OR(COUNTIF(#REF!,$B300)&gt;0,COUNTIF(#REF!,$B300)=0),"SKIP",IF(COUNTIFS(#REF!,$B300,#REF!,$DJ300)&gt;0,"OK","ONBEKEND")),IF(AND($EX300=$EU300,$EY300=$EV300+1),IF(OR(COUNTIF(#REF!,$D300)&gt;0,COUNTIF(#REF!,$D300)=0),"SKIP",IF(COUNTIFS(#REF!,$D300,#REF!,$DJ300)&gt;0,"OK","ONBEKEND")),"ONZEKER")))))</f>
        <v/>
      </c>
      <c r="DL300" t="str">
        <f t="shared" si="2102"/>
        <v/>
      </c>
      <c r="DM300" t="str">
        <f t="shared" si="2103"/>
        <v/>
      </c>
      <c r="DN300" t="str">
        <f t="shared" si="2104"/>
        <v/>
      </c>
      <c r="DO300" t="str">
        <f t="shared" si="2105"/>
        <v/>
      </c>
      <c r="DP300" t="str">
        <f t="shared" si="2106"/>
        <v/>
      </c>
      <c r="DQ300" t="str">
        <f t="shared" si="2107"/>
        <v/>
      </c>
      <c r="DR300" t="str">
        <f t="shared" si="2108"/>
        <v/>
      </c>
      <c r="DS300" t="str">
        <f t="shared" si="2109"/>
        <v/>
      </c>
      <c r="DT300" t="str">
        <f t="shared" si="2110"/>
        <v/>
      </c>
      <c r="DU300" t="str">
        <f t="shared" si="2111"/>
        <v/>
      </c>
      <c r="DV300" t="str">
        <f t="shared" si="2112"/>
        <v/>
      </c>
      <c r="DW300" t="str">
        <f t="shared" si="2113"/>
        <v/>
      </c>
      <c r="DX300" t="str">
        <f t="shared" si="2114"/>
        <v/>
      </c>
      <c r="DY300" t="str">
        <f t="shared" si="2115"/>
        <v/>
      </c>
      <c r="DZ300" t="str">
        <f t="shared" si="2116"/>
        <v/>
      </c>
      <c r="EA300" t="str">
        <f t="shared" si="2117"/>
        <v/>
      </c>
      <c r="EB300" t="str">
        <f t="shared" si="2118"/>
        <v/>
      </c>
      <c r="EC300" t="str">
        <f t="shared" si="2119"/>
        <v/>
      </c>
      <c r="ED300" t="str">
        <f t="shared" si="2120"/>
        <v/>
      </c>
      <c r="EE300" t="str">
        <f t="shared" si="2121"/>
        <v/>
      </c>
      <c r="EF300" t="str">
        <f t="shared" si="2122"/>
        <v/>
      </c>
      <c r="EG300" t="str">
        <f t="shared" si="2123"/>
        <v/>
      </c>
      <c r="EH300" t="str">
        <f t="shared" si="2124"/>
        <v/>
      </c>
      <c r="EI300" t="str">
        <f t="shared" si="2125"/>
        <v/>
      </c>
      <c r="EJ300" t="str">
        <f t="shared" si="2126"/>
        <v/>
      </c>
      <c r="EK300" t="str">
        <f t="shared" si="2127"/>
        <v/>
      </c>
      <c r="EL300" t="str">
        <f t="shared" si="2128"/>
        <v/>
      </c>
      <c r="EM300" t="str">
        <f t="shared" si="2129"/>
        <v/>
      </c>
      <c r="EN300" t="str">
        <f t="shared" si="2130"/>
        <v/>
      </c>
      <c r="EO300" t="str">
        <f t="shared" si="2131"/>
        <v/>
      </c>
      <c r="EP300" t="str">
        <f t="shared" si="2132"/>
        <v/>
      </c>
      <c r="EQ300" t="str">
        <f t="shared" si="2133"/>
        <v/>
      </c>
      <c r="ER300" t="str">
        <f t="shared" si="2134"/>
        <v/>
      </c>
      <c r="ES300" t="str">
        <f t="shared" si="2135"/>
        <v/>
      </c>
      <c r="ET300" t="str">
        <f t="shared" si="2136"/>
        <v/>
      </c>
      <c r="EU300" t="str">
        <f t="shared" si="2137"/>
        <v/>
      </c>
      <c r="EV300" t="str">
        <f t="shared" si="2138"/>
        <v/>
      </c>
      <c r="EW300" t="str">
        <f t="shared" si="2139"/>
        <v/>
      </c>
      <c r="EX300" t="str">
        <f t="shared" si="2140"/>
        <v/>
      </c>
      <c r="EY300" t="str">
        <f t="shared" si="2141"/>
        <v/>
      </c>
    </row>
    <row r="301" spans="2:155" ht="13.9" customHeight="1" x14ac:dyDescent="0.25">
      <c r="B301" s="23"/>
      <c r="D301" s="23"/>
      <c r="F301" s="18">
        <v>0</v>
      </c>
      <c r="G301" s="7" t="s">
        <v>147</v>
      </c>
      <c r="H301" s="18">
        <v>0</v>
      </c>
      <c r="I301" s="19">
        <v>0</v>
      </c>
      <c r="J301" s="7" t="s">
        <v>147</v>
      </c>
      <c r="K301" s="19">
        <v>0</v>
      </c>
      <c r="L301" s="9"/>
      <c r="M301" s="13" t="str">
        <f>IF($L301="","",IF($L301="DOELPUNTENMAKERS","",IF(AND(COUNTIF(#REF!,$B301)=0,COUNTIF(#REF!,$D301)=0),"OK",IF($O301&gt;20,"LET OP: meer dan 20 items (controle onvolledig)",IF((COUNTIF($R301:$AS301,"ONZEKER")+COUNTIF($CJ301:$DK301,"ONZEKER"))&gt;0,"LET OP: scoreverloop onduidelijk (controle beperkt)",IF((IF($AT301&lt;&gt;"",$AT301&amp;", ","")&amp;IF($AU301&lt;&gt;"",$AU301&amp;", ","")&amp;IF($AV301&lt;&gt;"",$AV301&amp;", ","")&amp;IF($AW301&lt;&gt;"",$AW301&amp;", ","")&amp;IF($AX301&lt;&gt;"",$AX301&amp;", ","")&amp;IF($AY301&lt;&gt;"",$AY301&amp;", ","")&amp;IF($AZ301&lt;&gt;"",$AZ301&amp;", ","")&amp;IF($BA301&lt;&gt;"",$BA301&amp;", ","")&amp;IF($BB301&lt;&gt;"",$BB301&amp;", ","")&amp;IF($BC301&lt;&gt;"",$BC301&amp;", ","")&amp;IF($DL301&lt;&gt;"",$DL301&amp;", ","")&amp;IF($DM301&lt;&gt;"",$DM301&amp;", ","")&amp;IF($DN301&lt;&gt;"",$DN301&amp;", ","")&amp;IF($DO301&lt;&gt;"",$DO301&amp;", ","")&amp;IF($DP301&lt;&gt;"",$DP301&amp;", ","")&amp;IF($DQ301&lt;&gt;"",$DQ301&amp;", ","")&amp;IF($DR301&lt;&gt;"",$DR301&amp;", ","")&amp;IF($DS301&lt;&gt;"",$DS301&amp;", ","")&amp;IF($DT301&lt;&gt;"",$DT301&amp;", ","")&amp;IF($DU301&lt;&gt;"",$DU301&amp;", ",""))="","OK","Onbekend: "&amp;LEFT((IF($AT301&lt;&gt;"",$AT301&amp;", ","")&amp;IF($AU301&lt;&gt;"",$AU301&amp;", ","")&amp;IF($AV301&lt;&gt;"",$AV301&amp;", ","")&amp;IF($AW301&lt;&gt;"",$AW301&amp;", ","")&amp;IF($AX301&lt;&gt;"",$AX301&amp;", ","")&amp;IF($AY301&lt;&gt;"",$AY301&amp;", ","")&amp;IF($AZ301&lt;&gt;"",$AZ301&amp;", ","")&amp;IF($BA301&lt;&gt;"",$BA301&amp;", ","")&amp;IF($BB301&lt;&gt;"",$BB301&amp;", ","")&amp;IF($BC301&lt;&gt;"",$BC301&amp;", ","")&amp;IF($DL301&lt;&gt;"",$DL301&amp;", ","")&amp;IF($DM301&lt;&gt;"",$DM301&amp;", ","")&amp;IF($DN301&lt;&gt;"",$DN301&amp;", ","")&amp;IF($DO301&lt;&gt;"",$DO301&amp;", ","")&amp;IF($DP301&lt;&gt;"",$DP301&amp;", ","")&amp;IF($DQ301&lt;&gt;"",$DQ301&amp;", ","")&amp;IF($DR301&lt;&gt;"",$DR301&amp;", ","")&amp;IF($DS301&lt;&gt;"",$DS301&amp;", ","")&amp;IF($DT301&lt;&gt;"",$DT301&amp;", ","")&amp;IF($DU301&lt;&gt;"",$DU301&amp;", ","")),LEN((IF($AT301&lt;&gt;"",$AT301&amp;", ","")&amp;IF($AU301&lt;&gt;"",$AU301&amp;", ","")&amp;IF($AV301&lt;&gt;"",$AV301&amp;", ","")&amp;IF($AW301&lt;&gt;"",$AW301&amp;", ","")&amp;IF($AX301&lt;&gt;"",$AX301&amp;", ","")&amp;IF($AY301&lt;&gt;"",$AY301&amp;", ","")&amp;IF($AZ301&lt;&gt;"",$AZ301&amp;", ","")&amp;IF($BA301&lt;&gt;"",$BA301&amp;", ","")&amp;IF($BB301&lt;&gt;"",$BB301&amp;", ","")&amp;IF($BC301&lt;&gt;"",$BC301&amp;", ","")&amp;IF($DL301&lt;&gt;"",$DL301&amp;", ","")&amp;IF($DM301&lt;&gt;"",$DM301&amp;", ","")&amp;IF($DN301&lt;&gt;"",$DN301&amp;", ","")&amp;IF($DO301&lt;&gt;"",$DO301&amp;", ","")&amp;IF($DP301&lt;&gt;"",$DP301&amp;", ","")&amp;IF($DQ301&lt;&gt;"",$DQ301&amp;", ","")&amp;IF($DR301&lt;&gt;"",$DR301&amp;", ","")&amp;IF($DS301&lt;&gt;"",$DS301&amp;", ","")&amp;IF($DT301&lt;&gt;"",$DT301&amp;", ","")&amp;IF($DU301&lt;&gt;"",$DU301&amp;", ","")))-2)))))))</f>
        <v/>
      </c>
      <c r="CH301" t="str">
        <f t="shared" si="2082"/>
        <v/>
      </c>
      <c r="CI301" t="str">
        <f t="shared" si="2083"/>
        <v/>
      </c>
      <c r="CJ301" t="str">
        <f>IF($CI301="","",IF(OR($DW301="",$DX301=""),"ONZEKER",IF(OR($CF301="",$CG301=""),"ONZEKER",IF(AND($DW301=$CF301+1,$DX301=$CG301),IF(OR(COUNTIF(#REF!,$B301)&gt;0,COUNTIF(#REF!,$B301)=0),"SKIP",IF(COUNTIFS(#REF!,$B301,#REF!,$CI301)&gt;0,"OK","ONBEKEND")),IF(AND($DW301=$CF301,$DX301=$CG301+1),IF(OR(COUNTIF(#REF!,$D301)&gt;0,COUNTIF(#REF!,$D301)=0),"SKIP",IF(COUNTIFS(#REF!,$D301,#REF!,$CI301)&gt;0,"OK","ONBEKEND")),"ONZEKER")))))</f>
        <v/>
      </c>
      <c r="CK301" t="str">
        <f t="shared" si="2084"/>
        <v/>
      </c>
      <c r="CL301" t="str">
        <f t="shared" si="2085"/>
        <v/>
      </c>
      <c r="CM301" t="str">
        <f>IF($CL301="","",IF(OR($DZ301="",$EA301=""),"ONZEKER",IF(OR($DW301="",$DX301=""),"ONZEKER",IF(AND($DZ301=$DW301+1,$EA301=$DX301),IF(OR(COUNTIF(#REF!,$B301)&gt;0,COUNTIF(#REF!,$B301)=0),"SKIP",IF(COUNTIFS(#REF!,$B301,#REF!,$CL301)&gt;0,"OK","ONBEKEND")),IF(AND($DZ301=$DW301,$EA301=$DX301+1),IF(OR(COUNTIF(#REF!,$D301)&gt;0,COUNTIF(#REF!,$D301)=0),"SKIP",IF(COUNTIFS(#REF!,$D301,#REF!,$CL301)&gt;0,"OK","ONBEKEND")),"ONZEKER")))))</f>
        <v/>
      </c>
      <c r="CN301" t="str">
        <f t="shared" si="2086"/>
        <v/>
      </c>
      <c r="CO301" t="str">
        <f t="shared" si="2087"/>
        <v/>
      </c>
      <c r="CP301" t="str">
        <f>IF($CO301="","",IF(OR($EC301="",$ED301=""),"ONZEKER",IF(OR($DZ301="",$EA301=""),"ONZEKER",IF(AND($EC301=$DZ301+1,$ED301=$EA301),IF(OR(COUNTIF(#REF!,$B301)&gt;0,COUNTIF(#REF!,$B301)=0),"SKIP",IF(COUNTIFS(#REF!,$B301,#REF!,$CO301)&gt;0,"OK","ONBEKEND")),IF(AND($EC301=$DZ301,$ED301=$EA301+1),IF(OR(COUNTIF(#REF!,$D301)&gt;0,COUNTIF(#REF!,$D301)=0),"SKIP",IF(COUNTIFS(#REF!,$D301,#REF!,$CO301)&gt;0,"OK","ONBEKEND")),"ONZEKER")))))</f>
        <v/>
      </c>
      <c r="CQ301" t="str">
        <f t="shared" si="2088"/>
        <v/>
      </c>
      <c r="CR301" t="str">
        <f t="shared" si="2089"/>
        <v/>
      </c>
      <c r="CS301" t="str">
        <f>IF($CR301="","",IF(OR($EF301="",$EG301=""),"ONZEKER",IF(OR($EC301="",$ED301=""),"ONZEKER",IF(AND($EF301=$EC301+1,$EG301=$ED301),IF(OR(COUNTIF(#REF!,$B301)&gt;0,COUNTIF(#REF!,$B301)=0),"SKIP",IF(COUNTIFS(#REF!,$B301,#REF!,$CR301)&gt;0,"OK","ONBEKEND")),IF(AND($EF301=$EC301,$EG301=$ED301+1),IF(OR(COUNTIF(#REF!,$D301)&gt;0,COUNTIF(#REF!,$D301)=0),"SKIP",IF(COUNTIFS(#REF!,$D301,#REF!,$CR301)&gt;0,"OK","ONBEKEND")),"ONZEKER")))))</f>
        <v/>
      </c>
      <c r="CT301" t="str">
        <f t="shared" si="2090"/>
        <v/>
      </c>
      <c r="CU301" t="str">
        <f t="shared" si="2091"/>
        <v/>
      </c>
      <c r="CV301" t="str">
        <f>IF($CU301="","",IF(OR($EI301="",$EJ301=""),"ONZEKER",IF(OR($EF301="",$EG301=""),"ONZEKER",IF(AND($EI301=$EF301+1,$EJ301=$EG301),IF(OR(COUNTIF(#REF!,$B301)&gt;0,COUNTIF(#REF!,$B301)=0),"SKIP",IF(COUNTIFS(#REF!,$B301,#REF!,$CU301)&gt;0,"OK","ONBEKEND")),IF(AND($EI301=$EF301,$EJ301=$EG301+1),IF(OR(COUNTIF(#REF!,$D301)&gt;0,COUNTIF(#REF!,$D301)=0),"SKIP",IF(COUNTIFS(#REF!,$D301,#REF!,$CU301)&gt;0,"OK","ONBEKEND")),"ONZEKER")))))</f>
        <v/>
      </c>
      <c r="CW301" t="str">
        <f t="shared" si="2092"/>
        <v/>
      </c>
      <c r="CX301" t="str">
        <f t="shared" si="2093"/>
        <v/>
      </c>
      <c r="CY301" t="str">
        <f>IF($CX301="","",IF(OR($EL301="",$EM301=""),"ONZEKER",IF(OR($EI301="",$EJ301=""),"ONZEKER",IF(AND($EL301=$EI301+1,$EM301=$EJ301),IF(OR(COUNTIF(#REF!,$B301)&gt;0,COUNTIF(#REF!,$B301)=0),"SKIP",IF(COUNTIFS(#REF!,$B301,#REF!,$CX301)&gt;0,"OK","ONBEKEND")),IF(AND($EL301=$EI301,$EM301=$EJ301+1),IF(OR(COUNTIF(#REF!,$D301)&gt;0,COUNTIF(#REF!,$D301)=0),"SKIP",IF(COUNTIFS(#REF!,$D301,#REF!,$CX301)&gt;0,"OK","ONBEKEND")),"ONZEKER")))))</f>
        <v/>
      </c>
      <c r="CZ301" t="str">
        <f t="shared" si="2094"/>
        <v/>
      </c>
      <c r="DA301" t="str">
        <f t="shared" si="2095"/>
        <v/>
      </c>
      <c r="DB301" t="str">
        <f>IF($DA301="","",IF(OR($EO301="",$EP301=""),"ONZEKER",IF(OR($EL301="",$EM301=""),"ONZEKER",IF(AND($EO301=$EL301+1,$EP301=$EM301),IF(OR(COUNTIF(#REF!,$B301)&gt;0,COUNTIF(#REF!,$B301)=0),"SKIP",IF(COUNTIFS(#REF!,$B301,#REF!,$DA301)&gt;0,"OK","ONBEKEND")),IF(AND($EO301=$EL301,$EP301=$EM301+1),IF(OR(COUNTIF(#REF!,$D301)&gt;0,COUNTIF(#REF!,$D301)=0),"SKIP",IF(COUNTIFS(#REF!,$D301,#REF!,$DA301)&gt;0,"OK","ONBEKEND")),"ONZEKER")))))</f>
        <v/>
      </c>
      <c r="DC301" t="str">
        <f t="shared" si="2096"/>
        <v/>
      </c>
      <c r="DD301" t="str">
        <f t="shared" si="2097"/>
        <v/>
      </c>
      <c r="DE301" t="str">
        <f>IF($DD301="","",IF(OR($ER301="",$ES301=""),"ONZEKER",IF(OR($EO301="",$EP301=""),"ONZEKER",IF(AND($ER301=$EO301+1,$ES301=$EP301),IF(OR(COUNTIF(#REF!,$B301)&gt;0,COUNTIF(#REF!,$B301)=0),"SKIP",IF(COUNTIFS(#REF!,$B301,#REF!,$DD301)&gt;0,"OK","ONBEKEND")),IF(AND($ER301=$EO301,$ES301=$EP301+1),IF(OR(COUNTIF(#REF!,$D301)&gt;0,COUNTIF(#REF!,$D301)=0),"SKIP",IF(COUNTIFS(#REF!,$D301,#REF!,$DD301)&gt;0,"OK","ONBEKEND")),"ONZEKER")))))</f>
        <v/>
      </c>
      <c r="DF301" t="str">
        <f t="shared" si="2098"/>
        <v/>
      </c>
      <c r="DG301" t="str">
        <f t="shared" si="2099"/>
        <v/>
      </c>
      <c r="DH301" t="str">
        <f>IF($DG301="","",IF(OR($EU301="",$EV301=""),"ONZEKER",IF(OR($ER301="",$ES301=""),"ONZEKER",IF(AND($EU301=$ER301+1,$EV301=$ES301),IF(OR(COUNTIF(#REF!,$B301)&gt;0,COUNTIF(#REF!,$B301)=0),"SKIP",IF(COUNTIFS(#REF!,$B301,#REF!,$DG301)&gt;0,"OK","ONBEKEND")),IF(AND($EU301=$ER301,$EV301=$ES301+1),IF(OR(COUNTIF(#REF!,$D301)&gt;0,COUNTIF(#REF!,$D301)=0),"SKIP",IF(COUNTIFS(#REF!,$D301,#REF!,$DG301)&gt;0,"OK","ONBEKEND")),"ONZEKER")))))</f>
        <v/>
      </c>
      <c r="DI301" t="str">
        <f t="shared" si="2100"/>
        <v/>
      </c>
      <c r="DJ301" t="str">
        <f t="shared" si="2101"/>
        <v/>
      </c>
      <c r="DK301" t="str">
        <f>IF($DJ301="","",IF(OR($EX301="",$EY301=""),"ONZEKER",IF(OR($EU301="",$EV301=""),"ONZEKER",IF(AND($EX301=$EU301+1,$EY301=$EV301),IF(OR(COUNTIF(#REF!,$B301)&gt;0,COUNTIF(#REF!,$B301)=0),"SKIP",IF(COUNTIFS(#REF!,$B301,#REF!,$DJ301)&gt;0,"OK","ONBEKEND")),IF(AND($EX301=$EU301,$EY301=$EV301+1),IF(OR(COUNTIF(#REF!,$D301)&gt;0,COUNTIF(#REF!,$D301)=0),"SKIP",IF(COUNTIFS(#REF!,$D301,#REF!,$DJ301)&gt;0,"OK","ONBEKEND")),"ONZEKER")))))</f>
        <v/>
      </c>
      <c r="DL301" t="str">
        <f t="shared" si="2102"/>
        <v/>
      </c>
      <c r="DM301" t="str">
        <f t="shared" si="2103"/>
        <v/>
      </c>
      <c r="DN301" t="str">
        <f t="shared" si="2104"/>
        <v/>
      </c>
      <c r="DO301" t="str">
        <f t="shared" si="2105"/>
        <v/>
      </c>
      <c r="DP301" t="str">
        <f t="shared" si="2106"/>
        <v/>
      </c>
      <c r="DQ301" t="str">
        <f t="shared" si="2107"/>
        <v/>
      </c>
      <c r="DR301" t="str">
        <f t="shared" si="2108"/>
        <v/>
      </c>
      <c r="DS301" t="str">
        <f t="shared" si="2109"/>
        <v/>
      </c>
      <c r="DT301" t="str">
        <f t="shared" si="2110"/>
        <v/>
      </c>
      <c r="DU301" t="str">
        <f t="shared" si="2111"/>
        <v/>
      </c>
      <c r="DV301" t="str">
        <f t="shared" si="2112"/>
        <v/>
      </c>
      <c r="DW301" t="str">
        <f t="shared" si="2113"/>
        <v/>
      </c>
      <c r="DX301" t="str">
        <f t="shared" si="2114"/>
        <v/>
      </c>
      <c r="DY301" t="str">
        <f t="shared" si="2115"/>
        <v/>
      </c>
      <c r="DZ301" t="str">
        <f t="shared" si="2116"/>
        <v/>
      </c>
      <c r="EA301" t="str">
        <f t="shared" si="2117"/>
        <v/>
      </c>
      <c r="EB301" t="str">
        <f t="shared" si="2118"/>
        <v/>
      </c>
      <c r="EC301" t="str">
        <f t="shared" si="2119"/>
        <v/>
      </c>
      <c r="ED301" t="str">
        <f t="shared" si="2120"/>
        <v/>
      </c>
      <c r="EE301" t="str">
        <f t="shared" si="2121"/>
        <v/>
      </c>
      <c r="EF301" t="str">
        <f t="shared" si="2122"/>
        <v/>
      </c>
      <c r="EG301" t="str">
        <f t="shared" si="2123"/>
        <v/>
      </c>
      <c r="EH301" t="str">
        <f t="shared" si="2124"/>
        <v/>
      </c>
      <c r="EI301" t="str">
        <f t="shared" si="2125"/>
        <v/>
      </c>
      <c r="EJ301" t="str">
        <f t="shared" si="2126"/>
        <v/>
      </c>
      <c r="EK301" t="str">
        <f t="shared" si="2127"/>
        <v/>
      </c>
      <c r="EL301" t="str">
        <f t="shared" si="2128"/>
        <v/>
      </c>
      <c r="EM301" t="str">
        <f t="shared" si="2129"/>
        <v/>
      </c>
      <c r="EN301" t="str">
        <f t="shared" si="2130"/>
        <v/>
      </c>
      <c r="EO301" t="str">
        <f t="shared" si="2131"/>
        <v/>
      </c>
      <c r="EP301" t="str">
        <f t="shared" si="2132"/>
        <v/>
      </c>
      <c r="EQ301" t="str">
        <f t="shared" si="2133"/>
        <v/>
      </c>
      <c r="ER301" t="str">
        <f t="shared" si="2134"/>
        <v/>
      </c>
      <c r="ES301" t="str">
        <f t="shared" si="2135"/>
        <v/>
      </c>
      <c r="ET301" t="str">
        <f t="shared" si="2136"/>
        <v/>
      </c>
      <c r="EU301" t="str">
        <f t="shared" si="2137"/>
        <v/>
      </c>
      <c r="EV301" t="str">
        <f t="shared" si="2138"/>
        <v/>
      </c>
      <c r="EW301" t="str">
        <f t="shared" si="2139"/>
        <v/>
      </c>
      <c r="EX301" t="str">
        <f t="shared" si="2140"/>
        <v/>
      </c>
      <c r="EY301" t="str">
        <f t="shared" si="2141"/>
        <v/>
      </c>
    </row>
    <row r="302" spans="2:155" ht="13.9" customHeight="1" x14ac:dyDescent="0.25">
      <c r="B302" s="23"/>
      <c r="D302" s="23"/>
      <c r="F302" s="18">
        <v>0</v>
      </c>
      <c r="G302" s="7" t="s">
        <v>147</v>
      </c>
      <c r="H302" s="18">
        <v>0</v>
      </c>
      <c r="I302" s="19">
        <v>0</v>
      </c>
      <c r="J302" s="7" t="s">
        <v>147</v>
      </c>
      <c r="K302" s="19">
        <v>0</v>
      </c>
      <c r="L302" s="9"/>
      <c r="M302" s="13" t="str">
        <f>IF($L302="","",IF($L302="DOELPUNTENMAKERS","",IF(AND(COUNTIF(#REF!,$B302)=0,COUNTIF(#REF!,$D302)=0),"OK",IF($O302&gt;20,"LET OP: meer dan 20 items (controle onvolledig)",IF((COUNTIF($R302:$AS302,"ONZEKER")+COUNTIF($CJ302:$DK302,"ONZEKER"))&gt;0,"LET OP: scoreverloop onduidelijk (controle beperkt)",IF((IF($AT302&lt;&gt;"",$AT302&amp;", ","")&amp;IF($AU302&lt;&gt;"",$AU302&amp;", ","")&amp;IF($AV302&lt;&gt;"",$AV302&amp;", ","")&amp;IF($AW302&lt;&gt;"",$AW302&amp;", ","")&amp;IF($AX302&lt;&gt;"",$AX302&amp;", ","")&amp;IF($AY302&lt;&gt;"",$AY302&amp;", ","")&amp;IF($AZ302&lt;&gt;"",$AZ302&amp;", ","")&amp;IF($BA302&lt;&gt;"",$BA302&amp;", ","")&amp;IF($BB302&lt;&gt;"",$BB302&amp;", ","")&amp;IF($BC302&lt;&gt;"",$BC302&amp;", ","")&amp;IF($DL302&lt;&gt;"",$DL302&amp;", ","")&amp;IF($DM302&lt;&gt;"",$DM302&amp;", ","")&amp;IF($DN302&lt;&gt;"",$DN302&amp;", ","")&amp;IF($DO302&lt;&gt;"",$DO302&amp;", ","")&amp;IF($DP302&lt;&gt;"",$DP302&amp;", ","")&amp;IF($DQ302&lt;&gt;"",$DQ302&amp;", ","")&amp;IF($DR302&lt;&gt;"",$DR302&amp;", ","")&amp;IF($DS302&lt;&gt;"",$DS302&amp;", ","")&amp;IF($DT302&lt;&gt;"",$DT302&amp;", ","")&amp;IF($DU302&lt;&gt;"",$DU302&amp;", ",""))="","OK","Onbekend: "&amp;LEFT((IF($AT302&lt;&gt;"",$AT302&amp;", ","")&amp;IF($AU302&lt;&gt;"",$AU302&amp;", ","")&amp;IF($AV302&lt;&gt;"",$AV302&amp;", ","")&amp;IF($AW302&lt;&gt;"",$AW302&amp;", ","")&amp;IF($AX302&lt;&gt;"",$AX302&amp;", ","")&amp;IF($AY302&lt;&gt;"",$AY302&amp;", ","")&amp;IF($AZ302&lt;&gt;"",$AZ302&amp;", ","")&amp;IF($BA302&lt;&gt;"",$BA302&amp;", ","")&amp;IF($BB302&lt;&gt;"",$BB302&amp;", ","")&amp;IF($BC302&lt;&gt;"",$BC302&amp;", ","")&amp;IF($DL302&lt;&gt;"",$DL302&amp;", ","")&amp;IF($DM302&lt;&gt;"",$DM302&amp;", ","")&amp;IF($DN302&lt;&gt;"",$DN302&amp;", ","")&amp;IF($DO302&lt;&gt;"",$DO302&amp;", ","")&amp;IF($DP302&lt;&gt;"",$DP302&amp;", ","")&amp;IF($DQ302&lt;&gt;"",$DQ302&amp;", ","")&amp;IF($DR302&lt;&gt;"",$DR302&amp;", ","")&amp;IF($DS302&lt;&gt;"",$DS302&amp;", ","")&amp;IF($DT302&lt;&gt;"",$DT302&amp;", ","")&amp;IF($DU302&lt;&gt;"",$DU302&amp;", ","")),LEN((IF($AT302&lt;&gt;"",$AT302&amp;", ","")&amp;IF($AU302&lt;&gt;"",$AU302&amp;", ","")&amp;IF($AV302&lt;&gt;"",$AV302&amp;", ","")&amp;IF($AW302&lt;&gt;"",$AW302&amp;", ","")&amp;IF($AX302&lt;&gt;"",$AX302&amp;", ","")&amp;IF($AY302&lt;&gt;"",$AY302&amp;", ","")&amp;IF($AZ302&lt;&gt;"",$AZ302&amp;", ","")&amp;IF($BA302&lt;&gt;"",$BA302&amp;", ","")&amp;IF($BB302&lt;&gt;"",$BB302&amp;", ","")&amp;IF($BC302&lt;&gt;"",$BC302&amp;", ","")&amp;IF($DL302&lt;&gt;"",$DL302&amp;", ","")&amp;IF($DM302&lt;&gt;"",$DM302&amp;", ","")&amp;IF($DN302&lt;&gt;"",$DN302&amp;", ","")&amp;IF($DO302&lt;&gt;"",$DO302&amp;", ","")&amp;IF($DP302&lt;&gt;"",$DP302&amp;", ","")&amp;IF($DQ302&lt;&gt;"",$DQ302&amp;", ","")&amp;IF($DR302&lt;&gt;"",$DR302&amp;", ","")&amp;IF($DS302&lt;&gt;"",$DS302&amp;", ","")&amp;IF($DT302&lt;&gt;"",$DT302&amp;", ","")&amp;IF($DU302&lt;&gt;"",$DU302&amp;", ","")))-2)))))))</f>
        <v/>
      </c>
      <c r="CH302" t="str">
        <f t="shared" si="2082"/>
        <v/>
      </c>
      <c r="CI302" t="str">
        <f t="shared" si="2083"/>
        <v/>
      </c>
      <c r="CJ302" t="str">
        <f>IF($CI302="","",IF(OR($DW302="",$DX302=""),"ONZEKER",IF(OR($CF302="",$CG302=""),"ONZEKER",IF(AND($DW302=$CF302+1,$DX302=$CG302),IF(OR(COUNTIF(#REF!,$B302)&gt;0,COUNTIF(#REF!,$B302)=0),"SKIP",IF(COUNTIFS(#REF!,$B302,#REF!,$CI302)&gt;0,"OK","ONBEKEND")),IF(AND($DW302=$CF302,$DX302=$CG302+1),IF(OR(COUNTIF(#REF!,$D302)&gt;0,COUNTIF(#REF!,$D302)=0),"SKIP",IF(COUNTIFS(#REF!,$D302,#REF!,$CI302)&gt;0,"OK","ONBEKEND")),"ONZEKER")))))</f>
        <v/>
      </c>
      <c r="CK302" t="str">
        <f t="shared" si="2084"/>
        <v/>
      </c>
      <c r="CL302" t="str">
        <f t="shared" si="2085"/>
        <v/>
      </c>
      <c r="CM302" t="str">
        <f>IF($CL302="","",IF(OR($DZ302="",$EA302=""),"ONZEKER",IF(OR($DW302="",$DX302=""),"ONZEKER",IF(AND($DZ302=$DW302+1,$EA302=$DX302),IF(OR(COUNTIF(#REF!,$B302)&gt;0,COUNTIF(#REF!,$B302)=0),"SKIP",IF(COUNTIFS(#REF!,$B302,#REF!,$CL302)&gt;0,"OK","ONBEKEND")),IF(AND($DZ302=$DW302,$EA302=$DX302+1),IF(OR(COUNTIF(#REF!,$D302)&gt;0,COUNTIF(#REF!,$D302)=0),"SKIP",IF(COUNTIFS(#REF!,$D302,#REF!,$CL302)&gt;0,"OK","ONBEKEND")),"ONZEKER")))))</f>
        <v/>
      </c>
      <c r="CN302" t="str">
        <f t="shared" si="2086"/>
        <v/>
      </c>
      <c r="CO302" t="str">
        <f t="shared" si="2087"/>
        <v/>
      </c>
      <c r="CP302" t="str">
        <f>IF($CO302="","",IF(OR($EC302="",$ED302=""),"ONZEKER",IF(OR($DZ302="",$EA302=""),"ONZEKER",IF(AND($EC302=$DZ302+1,$ED302=$EA302),IF(OR(COUNTIF(#REF!,$B302)&gt;0,COUNTIF(#REF!,$B302)=0),"SKIP",IF(COUNTIFS(#REF!,$B302,#REF!,$CO302)&gt;0,"OK","ONBEKEND")),IF(AND($EC302=$DZ302,$ED302=$EA302+1),IF(OR(COUNTIF(#REF!,$D302)&gt;0,COUNTIF(#REF!,$D302)=0),"SKIP",IF(COUNTIFS(#REF!,$D302,#REF!,$CO302)&gt;0,"OK","ONBEKEND")),"ONZEKER")))))</f>
        <v/>
      </c>
      <c r="CQ302" t="str">
        <f t="shared" si="2088"/>
        <v/>
      </c>
      <c r="CR302" t="str">
        <f t="shared" si="2089"/>
        <v/>
      </c>
      <c r="CS302" t="str">
        <f>IF($CR302="","",IF(OR($EF302="",$EG302=""),"ONZEKER",IF(OR($EC302="",$ED302=""),"ONZEKER",IF(AND($EF302=$EC302+1,$EG302=$ED302),IF(OR(COUNTIF(#REF!,$B302)&gt;0,COUNTIF(#REF!,$B302)=0),"SKIP",IF(COUNTIFS(#REF!,$B302,#REF!,$CR302)&gt;0,"OK","ONBEKEND")),IF(AND($EF302=$EC302,$EG302=$ED302+1),IF(OR(COUNTIF(#REF!,$D302)&gt;0,COUNTIF(#REF!,$D302)=0),"SKIP",IF(COUNTIFS(#REF!,$D302,#REF!,$CR302)&gt;0,"OK","ONBEKEND")),"ONZEKER")))))</f>
        <v/>
      </c>
      <c r="CT302" t="str">
        <f t="shared" si="2090"/>
        <v/>
      </c>
      <c r="CU302" t="str">
        <f t="shared" si="2091"/>
        <v/>
      </c>
      <c r="CV302" t="str">
        <f>IF($CU302="","",IF(OR($EI302="",$EJ302=""),"ONZEKER",IF(OR($EF302="",$EG302=""),"ONZEKER",IF(AND($EI302=$EF302+1,$EJ302=$EG302),IF(OR(COUNTIF(#REF!,$B302)&gt;0,COUNTIF(#REF!,$B302)=0),"SKIP",IF(COUNTIFS(#REF!,$B302,#REF!,$CU302)&gt;0,"OK","ONBEKEND")),IF(AND($EI302=$EF302,$EJ302=$EG302+1),IF(OR(COUNTIF(#REF!,$D302)&gt;0,COUNTIF(#REF!,$D302)=0),"SKIP",IF(COUNTIFS(#REF!,$D302,#REF!,$CU302)&gt;0,"OK","ONBEKEND")),"ONZEKER")))))</f>
        <v/>
      </c>
      <c r="CW302" t="str">
        <f t="shared" si="2092"/>
        <v/>
      </c>
      <c r="CX302" t="str">
        <f t="shared" si="2093"/>
        <v/>
      </c>
      <c r="CY302" t="str">
        <f>IF($CX302="","",IF(OR($EL302="",$EM302=""),"ONZEKER",IF(OR($EI302="",$EJ302=""),"ONZEKER",IF(AND($EL302=$EI302+1,$EM302=$EJ302),IF(OR(COUNTIF(#REF!,$B302)&gt;0,COUNTIF(#REF!,$B302)=0),"SKIP",IF(COUNTIFS(#REF!,$B302,#REF!,$CX302)&gt;0,"OK","ONBEKEND")),IF(AND($EL302=$EI302,$EM302=$EJ302+1),IF(OR(COUNTIF(#REF!,$D302)&gt;0,COUNTIF(#REF!,$D302)=0),"SKIP",IF(COUNTIFS(#REF!,$D302,#REF!,$CX302)&gt;0,"OK","ONBEKEND")),"ONZEKER")))))</f>
        <v/>
      </c>
      <c r="CZ302" t="str">
        <f t="shared" si="2094"/>
        <v/>
      </c>
      <c r="DA302" t="str">
        <f t="shared" si="2095"/>
        <v/>
      </c>
      <c r="DB302" t="str">
        <f>IF($DA302="","",IF(OR($EO302="",$EP302=""),"ONZEKER",IF(OR($EL302="",$EM302=""),"ONZEKER",IF(AND($EO302=$EL302+1,$EP302=$EM302),IF(OR(COUNTIF(#REF!,$B302)&gt;0,COUNTIF(#REF!,$B302)=0),"SKIP",IF(COUNTIFS(#REF!,$B302,#REF!,$DA302)&gt;0,"OK","ONBEKEND")),IF(AND($EO302=$EL302,$EP302=$EM302+1),IF(OR(COUNTIF(#REF!,$D302)&gt;0,COUNTIF(#REF!,$D302)=0),"SKIP",IF(COUNTIFS(#REF!,$D302,#REF!,$DA302)&gt;0,"OK","ONBEKEND")),"ONZEKER")))))</f>
        <v/>
      </c>
      <c r="DC302" t="str">
        <f t="shared" si="2096"/>
        <v/>
      </c>
      <c r="DD302" t="str">
        <f t="shared" si="2097"/>
        <v/>
      </c>
      <c r="DE302" t="str">
        <f>IF($DD302="","",IF(OR($ER302="",$ES302=""),"ONZEKER",IF(OR($EO302="",$EP302=""),"ONZEKER",IF(AND($ER302=$EO302+1,$ES302=$EP302),IF(OR(COUNTIF(#REF!,$B302)&gt;0,COUNTIF(#REF!,$B302)=0),"SKIP",IF(COUNTIFS(#REF!,$B302,#REF!,$DD302)&gt;0,"OK","ONBEKEND")),IF(AND($ER302=$EO302,$ES302=$EP302+1),IF(OR(COUNTIF(#REF!,$D302)&gt;0,COUNTIF(#REF!,$D302)=0),"SKIP",IF(COUNTIFS(#REF!,$D302,#REF!,$DD302)&gt;0,"OK","ONBEKEND")),"ONZEKER")))))</f>
        <v/>
      </c>
      <c r="DF302" t="str">
        <f t="shared" si="2098"/>
        <v/>
      </c>
      <c r="DG302" t="str">
        <f t="shared" si="2099"/>
        <v/>
      </c>
      <c r="DH302" t="str">
        <f>IF($DG302="","",IF(OR($EU302="",$EV302=""),"ONZEKER",IF(OR($ER302="",$ES302=""),"ONZEKER",IF(AND($EU302=$ER302+1,$EV302=$ES302),IF(OR(COUNTIF(#REF!,$B302)&gt;0,COUNTIF(#REF!,$B302)=0),"SKIP",IF(COUNTIFS(#REF!,$B302,#REF!,$DG302)&gt;0,"OK","ONBEKEND")),IF(AND($EU302=$ER302,$EV302=$ES302+1),IF(OR(COUNTIF(#REF!,$D302)&gt;0,COUNTIF(#REF!,$D302)=0),"SKIP",IF(COUNTIFS(#REF!,$D302,#REF!,$DG302)&gt;0,"OK","ONBEKEND")),"ONZEKER")))))</f>
        <v/>
      </c>
      <c r="DI302" t="str">
        <f t="shared" si="2100"/>
        <v/>
      </c>
      <c r="DJ302" t="str">
        <f t="shared" si="2101"/>
        <v/>
      </c>
      <c r="DK302" t="str">
        <f>IF($DJ302="","",IF(OR($EX302="",$EY302=""),"ONZEKER",IF(OR($EU302="",$EV302=""),"ONZEKER",IF(AND($EX302=$EU302+1,$EY302=$EV302),IF(OR(COUNTIF(#REF!,$B302)&gt;0,COUNTIF(#REF!,$B302)=0),"SKIP",IF(COUNTIFS(#REF!,$B302,#REF!,$DJ302)&gt;0,"OK","ONBEKEND")),IF(AND($EX302=$EU302,$EY302=$EV302+1),IF(OR(COUNTIF(#REF!,$D302)&gt;0,COUNTIF(#REF!,$D302)=0),"SKIP",IF(COUNTIFS(#REF!,$D302,#REF!,$DJ302)&gt;0,"OK","ONBEKEND")),"ONZEKER")))))</f>
        <v/>
      </c>
      <c r="DL302" t="str">
        <f t="shared" si="2102"/>
        <v/>
      </c>
      <c r="DM302" t="str">
        <f t="shared" si="2103"/>
        <v/>
      </c>
      <c r="DN302" t="str">
        <f t="shared" si="2104"/>
        <v/>
      </c>
      <c r="DO302" t="str">
        <f t="shared" si="2105"/>
        <v/>
      </c>
      <c r="DP302" t="str">
        <f t="shared" si="2106"/>
        <v/>
      </c>
      <c r="DQ302" t="str">
        <f t="shared" si="2107"/>
        <v/>
      </c>
      <c r="DR302" t="str">
        <f t="shared" si="2108"/>
        <v/>
      </c>
      <c r="DS302" t="str">
        <f t="shared" si="2109"/>
        <v/>
      </c>
      <c r="DT302" t="str">
        <f t="shared" si="2110"/>
        <v/>
      </c>
      <c r="DU302" t="str">
        <f t="shared" si="2111"/>
        <v/>
      </c>
      <c r="DV302" t="str">
        <f t="shared" si="2112"/>
        <v/>
      </c>
      <c r="DW302" t="str">
        <f t="shared" si="2113"/>
        <v/>
      </c>
      <c r="DX302" t="str">
        <f t="shared" si="2114"/>
        <v/>
      </c>
      <c r="DY302" t="str">
        <f t="shared" si="2115"/>
        <v/>
      </c>
      <c r="DZ302" t="str">
        <f t="shared" si="2116"/>
        <v/>
      </c>
      <c r="EA302" t="str">
        <f t="shared" si="2117"/>
        <v/>
      </c>
      <c r="EB302" t="str">
        <f t="shared" si="2118"/>
        <v/>
      </c>
      <c r="EC302" t="str">
        <f t="shared" si="2119"/>
        <v/>
      </c>
      <c r="ED302" t="str">
        <f t="shared" si="2120"/>
        <v/>
      </c>
      <c r="EE302" t="str">
        <f t="shared" si="2121"/>
        <v/>
      </c>
      <c r="EF302" t="str">
        <f t="shared" si="2122"/>
        <v/>
      </c>
      <c r="EG302" t="str">
        <f t="shared" si="2123"/>
        <v/>
      </c>
      <c r="EH302" t="str">
        <f t="shared" si="2124"/>
        <v/>
      </c>
      <c r="EI302" t="str">
        <f t="shared" si="2125"/>
        <v/>
      </c>
      <c r="EJ302" t="str">
        <f t="shared" si="2126"/>
        <v/>
      </c>
      <c r="EK302" t="str">
        <f t="shared" si="2127"/>
        <v/>
      </c>
      <c r="EL302" t="str">
        <f t="shared" si="2128"/>
        <v/>
      </c>
      <c r="EM302" t="str">
        <f t="shared" si="2129"/>
        <v/>
      </c>
      <c r="EN302" t="str">
        <f t="shared" si="2130"/>
        <v/>
      </c>
      <c r="EO302" t="str">
        <f t="shared" si="2131"/>
        <v/>
      </c>
      <c r="EP302" t="str">
        <f t="shared" si="2132"/>
        <v/>
      </c>
      <c r="EQ302" t="str">
        <f t="shared" si="2133"/>
        <v/>
      </c>
      <c r="ER302" t="str">
        <f t="shared" si="2134"/>
        <v/>
      </c>
      <c r="ES302" t="str">
        <f t="shared" si="2135"/>
        <v/>
      </c>
      <c r="ET302" t="str">
        <f t="shared" si="2136"/>
        <v/>
      </c>
      <c r="EU302" t="str">
        <f t="shared" si="2137"/>
        <v/>
      </c>
      <c r="EV302" t="str">
        <f t="shared" si="2138"/>
        <v/>
      </c>
      <c r="EW302" t="str">
        <f t="shared" si="2139"/>
        <v/>
      </c>
      <c r="EX302" t="str">
        <f t="shared" si="2140"/>
        <v/>
      </c>
      <c r="EY302" t="str">
        <f t="shared" si="2141"/>
        <v/>
      </c>
    </row>
    <row r="303" spans="2:155" ht="13.9" customHeight="1" x14ac:dyDescent="0.25">
      <c r="B303" s="23"/>
      <c r="D303" s="23"/>
      <c r="F303" s="18">
        <v>0</v>
      </c>
      <c r="G303" s="7" t="s">
        <v>147</v>
      </c>
      <c r="H303" s="18">
        <v>0</v>
      </c>
      <c r="I303" s="19">
        <v>0</v>
      </c>
      <c r="J303" s="7" t="s">
        <v>147</v>
      </c>
      <c r="K303" s="19">
        <v>0</v>
      </c>
      <c r="L303" s="9"/>
      <c r="M303" s="13" t="str">
        <f>IF($L303="","",IF($L303="DOELPUNTENMAKERS","",IF(AND(COUNTIF(#REF!,$B303)=0,COUNTIF(#REF!,$D303)=0),"OK",IF($O303&gt;20,"LET OP: meer dan 20 items (controle onvolledig)",IF((COUNTIF($R303:$AS303,"ONZEKER")+COUNTIF($CJ303:$DK303,"ONZEKER"))&gt;0,"LET OP: scoreverloop onduidelijk (controle beperkt)",IF((IF($AT303&lt;&gt;"",$AT303&amp;", ","")&amp;IF($AU303&lt;&gt;"",$AU303&amp;", ","")&amp;IF($AV303&lt;&gt;"",$AV303&amp;", ","")&amp;IF($AW303&lt;&gt;"",$AW303&amp;", ","")&amp;IF($AX303&lt;&gt;"",$AX303&amp;", ","")&amp;IF($AY303&lt;&gt;"",$AY303&amp;", ","")&amp;IF($AZ303&lt;&gt;"",$AZ303&amp;", ","")&amp;IF($BA303&lt;&gt;"",$BA303&amp;", ","")&amp;IF($BB303&lt;&gt;"",$BB303&amp;", ","")&amp;IF($BC303&lt;&gt;"",$BC303&amp;", ","")&amp;IF($DL303&lt;&gt;"",$DL303&amp;", ","")&amp;IF($DM303&lt;&gt;"",$DM303&amp;", ","")&amp;IF($DN303&lt;&gt;"",$DN303&amp;", ","")&amp;IF($DO303&lt;&gt;"",$DO303&amp;", ","")&amp;IF($DP303&lt;&gt;"",$DP303&amp;", ","")&amp;IF($DQ303&lt;&gt;"",$DQ303&amp;", ","")&amp;IF($DR303&lt;&gt;"",$DR303&amp;", ","")&amp;IF($DS303&lt;&gt;"",$DS303&amp;", ","")&amp;IF($DT303&lt;&gt;"",$DT303&amp;", ","")&amp;IF($DU303&lt;&gt;"",$DU303&amp;", ",""))="","OK","Onbekend: "&amp;LEFT((IF($AT303&lt;&gt;"",$AT303&amp;", ","")&amp;IF($AU303&lt;&gt;"",$AU303&amp;", ","")&amp;IF($AV303&lt;&gt;"",$AV303&amp;", ","")&amp;IF($AW303&lt;&gt;"",$AW303&amp;", ","")&amp;IF($AX303&lt;&gt;"",$AX303&amp;", ","")&amp;IF($AY303&lt;&gt;"",$AY303&amp;", ","")&amp;IF($AZ303&lt;&gt;"",$AZ303&amp;", ","")&amp;IF($BA303&lt;&gt;"",$BA303&amp;", ","")&amp;IF($BB303&lt;&gt;"",$BB303&amp;", ","")&amp;IF($BC303&lt;&gt;"",$BC303&amp;", ","")&amp;IF($DL303&lt;&gt;"",$DL303&amp;", ","")&amp;IF($DM303&lt;&gt;"",$DM303&amp;", ","")&amp;IF($DN303&lt;&gt;"",$DN303&amp;", ","")&amp;IF($DO303&lt;&gt;"",$DO303&amp;", ","")&amp;IF($DP303&lt;&gt;"",$DP303&amp;", ","")&amp;IF($DQ303&lt;&gt;"",$DQ303&amp;", ","")&amp;IF($DR303&lt;&gt;"",$DR303&amp;", ","")&amp;IF($DS303&lt;&gt;"",$DS303&amp;", ","")&amp;IF($DT303&lt;&gt;"",$DT303&amp;", ","")&amp;IF($DU303&lt;&gt;"",$DU303&amp;", ","")),LEN((IF($AT303&lt;&gt;"",$AT303&amp;", ","")&amp;IF($AU303&lt;&gt;"",$AU303&amp;", ","")&amp;IF($AV303&lt;&gt;"",$AV303&amp;", ","")&amp;IF($AW303&lt;&gt;"",$AW303&amp;", ","")&amp;IF($AX303&lt;&gt;"",$AX303&amp;", ","")&amp;IF($AY303&lt;&gt;"",$AY303&amp;", ","")&amp;IF($AZ303&lt;&gt;"",$AZ303&amp;", ","")&amp;IF($BA303&lt;&gt;"",$BA303&amp;", ","")&amp;IF($BB303&lt;&gt;"",$BB303&amp;", ","")&amp;IF($BC303&lt;&gt;"",$BC303&amp;", ","")&amp;IF($DL303&lt;&gt;"",$DL303&amp;", ","")&amp;IF($DM303&lt;&gt;"",$DM303&amp;", ","")&amp;IF($DN303&lt;&gt;"",$DN303&amp;", ","")&amp;IF($DO303&lt;&gt;"",$DO303&amp;", ","")&amp;IF($DP303&lt;&gt;"",$DP303&amp;", ","")&amp;IF($DQ303&lt;&gt;"",$DQ303&amp;", ","")&amp;IF($DR303&lt;&gt;"",$DR303&amp;", ","")&amp;IF($DS303&lt;&gt;"",$DS303&amp;", ","")&amp;IF($DT303&lt;&gt;"",$DT303&amp;", ","")&amp;IF($DU303&lt;&gt;"",$DU303&amp;", ","")))-2)))))))</f>
        <v/>
      </c>
      <c r="CH303" t="str">
        <f t="shared" si="2082"/>
        <v/>
      </c>
      <c r="CI303" t="str">
        <f t="shared" si="2083"/>
        <v/>
      </c>
      <c r="CJ303" t="str">
        <f>IF($CI303="","",IF(OR($DW303="",$DX303=""),"ONZEKER",IF(OR($CF303="",$CG303=""),"ONZEKER",IF(AND($DW303=$CF303+1,$DX303=$CG303),IF(OR(COUNTIF(#REF!,$B303)&gt;0,COUNTIF(#REF!,$B303)=0),"SKIP",IF(COUNTIFS(#REF!,$B303,#REF!,$CI303)&gt;0,"OK","ONBEKEND")),IF(AND($DW303=$CF303,$DX303=$CG303+1),IF(OR(COUNTIF(#REF!,$D303)&gt;0,COUNTIF(#REF!,$D303)=0),"SKIP",IF(COUNTIFS(#REF!,$D303,#REF!,$CI303)&gt;0,"OK","ONBEKEND")),"ONZEKER")))))</f>
        <v/>
      </c>
      <c r="CK303" t="str">
        <f t="shared" si="2084"/>
        <v/>
      </c>
      <c r="CL303" t="str">
        <f t="shared" si="2085"/>
        <v/>
      </c>
      <c r="CM303" t="str">
        <f>IF($CL303="","",IF(OR($DZ303="",$EA303=""),"ONZEKER",IF(OR($DW303="",$DX303=""),"ONZEKER",IF(AND($DZ303=$DW303+1,$EA303=$DX303),IF(OR(COUNTIF(#REF!,$B303)&gt;0,COUNTIF(#REF!,$B303)=0),"SKIP",IF(COUNTIFS(#REF!,$B303,#REF!,$CL303)&gt;0,"OK","ONBEKEND")),IF(AND($DZ303=$DW303,$EA303=$DX303+1),IF(OR(COUNTIF(#REF!,$D303)&gt;0,COUNTIF(#REF!,$D303)=0),"SKIP",IF(COUNTIFS(#REF!,$D303,#REF!,$CL303)&gt;0,"OK","ONBEKEND")),"ONZEKER")))))</f>
        <v/>
      </c>
      <c r="CN303" t="str">
        <f t="shared" si="2086"/>
        <v/>
      </c>
      <c r="CO303" t="str">
        <f t="shared" si="2087"/>
        <v/>
      </c>
      <c r="CP303" t="str">
        <f>IF($CO303="","",IF(OR($EC303="",$ED303=""),"ONZEKER",IF(OR($DZ303="",$EA303=""),"ONZEKER",IF(AND($EC303=$DZ303+1,$ED303=$EA303),IF(OR(COUNTIF(#REF!,$B303)&gt;0,COUNTIF(#REF!,$B303)=0),"SKIP",IF(COUNTIFS(#REF!,$B303,#REF!,$CO303)&gt;0,"OK","ONBEKEND")),IF(AND($EC303=$DZ303,$ED303=$EA303+1),IF(OR(COUNTIF(#REF!,$D303)&gt;0,COUNTIF(#REF!,$D303)=0),"SKIP",IF(COUNTIFS(#REF!,$D303,#REF!,$CO303)&gt;0,"OK","ONBEKEND")),"ONZEKER")))))</f>
        <v/>
      </c>
      <c r="CQ303" t="str">
        <f t="shared" si="2088"/>
        <v/>
      </c>
      <c r="CR303" t="str">
        <f t="shared" si="2089"/>
        <v/>
      </c>
      <c r="CS303" t="str">
        <f>IF($CR303="","",IF(OR($EF303="",$EG303=""),"ONZEKER",IF(OR($EC303="",$ED303=""),"ONZEKER",IF(AND($EF303=$EC303+1,$EG303=$ED303),IF(OR(COUNTIF(#REF!,$B303)&gt;0,COUNTIF(#REF!,$B303)=0),"SKIP",IF(COUNTIFS(#REF!,$B303,#REF!,$CR303)&gt;0,"OK","ONBEKEND")),IF(AND($EF303=$EC303,$EG303=$ED303+1),IF(OR(COUNTIF(#REF!,$D303)&gt;0,COUNTIF(#REF!,$D303)=0),"SKIP",IF(COUNTIFS(#REF!,$D303,#REF!,$CR303)&gt;0,"OK","ONBEKEND")),"ONZEKER")))))</f>
        <v/>
      </c>
      <c r="CT303" t="str">
        <f t="shared" si="2090"/>
        <v/>
      </c>
      <c r="CU303" t="str">
        <f t="shared" si="2091"/>
        <v/>
      </c>
      <c r="CV303" t="str">
        <f>IF($CU303="","",IF(OR($EI303="",$EJ303=""),"ONZEKER",IF(OR($EF303="",$EG303=""),"ONZEKER",IF(AND($EI303=$EF303+1,$EJ303=$EG303),IF(OR(COUNTIF(#REF!,$B303)&gt;0,COUNTIF(#REF!,$B303)=0),"SKIP",IF(COUNTIFS(#REF!,$B303,#REF!,$CU303)&gt;0,"OK","ONBEKEND")),IF(AND($EI303=$EF303,$EJ303=$EG303+1),IF(OR(COUNTIF(#REF!,$D303)&gt;0,COUNTIF(#REF!,$D303)=0),"SKIP",IF(COUNTIFS(#REF!,$D303,#REF!,$CU303)&gt;0,"OK","ONBEKEND")),"ONZEKER")))))</f>
        <v/>
      </c>
      <c r="CW303" t="str">
        <f t="shared" si="2092"/>
        <v/>
      </c>
      <c r="CX303" t="str">
        <f t="shared" si="2093"/>
        <v/>
      </c>
      <c r="CY303" t="str">
        <f>IF($CX303="","",IF(OR($EL303="",$EM303=""),"ONZEKER",IF(OR($EI303="",$EJ303=""),"ONZEKER",IF(AND($EL303=$EI303+1,$EM303=$EJ303),IF(OR(COUNTIF(#REF!,$B303)&gt;0,COUNTIF(#REF!,$B303)=0),"SKIP",IF(COUNTIFS(#REF!,$B303,#REF!,$CX303)&gt;0,"OK","ONBEKEND")),IF(AND($EL303=$EI303,$EM303=$EJ303+1),IF(OR(COUNTIF(#REF!,$D303)&gt;0,COUNTIF(#REF!,$D303)=0),"SKIP",IF(COUNTIFS(#REF!,$D303,#REF!,$CX303)&gt;0,"OK","ONBEKEND")),"ONZEKER")))))</f>
        <v/>
      </c>
      <c r="CZ303" t="str">
        <f t="shared" si="2094"/>
        <v/>
      </c>
      <c r="DA303" t="str">
        <f t="shared" si="2095"/>
        <v/>
      </c>
      <c r="DB303" t="str">
        <f>IF($DA303="","",IF(OR($EO303="",$EP303=""),"ONZEKER",IF(OR($EL303="",$EM303=""),"ONZEKER",IF(AND($EO303=$EL303+1,$EP303=$EM303),IF(OR(COUNTIF(#REF!,$B303)&gt;0,COUNTIF(#REF!,$B303)=0),"SKIP",IF(COUNTIFS(#REF!,$B303,#REF!,$DA303)&gt;0,"OK","ONBEKEND")),IF(AND($EO303=$EL303,$EP303=$EM303+1),IF(OR(COUNTIF(#REF!,$D303)&gt;0,COUNTIF(#REF!,$D303)=0),"SKIP",IF(COUNTIFS(#REF!,$D303,#REF!,$DA303)&gt;0,"OK","ONBEKEND")),"ONZEKER")))))</f>
        <v/>
      </c>
      <c r="DC303" t="str">
        <f t="shared" si="2096"/>
        <v/>
      </c>
      <c r="DD303" t="str">
        <f t="shared" si="2097"/>
        <v/>
      </c>
      <c r="DE303" t="str">
        <f>IF($DD303="","",IF(OR($ER303="",$ES303=""),"ONZEKER",IF(OR($EO303="",$EP303=""),"ONZEKER",IF(AND($ER303=$EO303+1,$ES303=$EP303),IF(OR(COUNTIF(#REF!,$B303)&gt;0,COUNTIF(#REF!,$B303)=0),"SKIP",IF(COUNTIFS(#REF!,$B303,#REF!,$DD303)&gt;0,"OK","ONBEKEND")),IF(AND($ER303=$EO303,$ES303=$EP303+1),IF(OR(COUNTIF(#REF!,$D303)&gt;0,COUNTIF(#REF!,$D303)=0),"SKIP",IF(COUNTIFS(#REF!,$D303,#REF!,$DD303)&gt;0,"OK","ONBEKEND")),"ONZEKER")))))</f>
        <v/>
      </c>
      <c r="DF303" t="str">
        <f t="shared" si="2098"/>
        <v/>
      </c>
      <c r="DG303" t="str">
        <f t="shared" si="2099"/>
        <v/>
      </c>
      <c r="DH303" t="str">
        <f>IF($DG303="","",IF(OR($EU303="",$EV303=""),"ONZEKER",IF(OR($ER303="",$ES303=""),"ONZEKER",IF(AND($EU303=$ER303+1,$EV303=$ES303),IF(OR(COUNTIF(#REF!,$B303)&gt;0,COUNTIF(#REF!,$B303)=0),"SKIP",IF(COUNTIFS(#REF!,$B303,#REF!,$DG303)&gt;0,"OK","ONBEKEND")),IF(AND($EU303=$ER303,$EV303=$ES303+1),IF(OR(COUNTIF(#REF!,$D303)&gt;0,COUNTIF(#REF!,$D303)=0),"SKIP",IF(COUNTIFS(#REF!,$D303,#REF!,$DG303)&gt;0,"OK","ONBEKEND")),"ONZEKER")))))</f>
        <v/>
      </c>
      <c r="DI303" t="str">
        <f t="shared" si="2100"/>
        <v/>
      </c>
      <c r="DJ303" t="str">
        <f t="shared" si="2101"/>
        <v/>
      </c>
      <c r="DK303" t="str">
        <f>IF($DJ303="","",IF(OR($EX303="",$EY303=""),"ONZEKER",IF(OR($EU303="",$EV303=""),"ONZEKER",IF(AND($EX303=$EU303+1,$EY303=$EV303),IF(OR(COUNTIF(#REF!,$B303)&gt;0,COUNTIF(#REF!,$B303)=0),"SKIP",IF(COUNTIFS(#REF!,$B303,#REF!,$DJ303)&gt;0,"OK","ONBEKEND")),IF(AND($EX303=$EU303,$EY303=$EV303+1),IF(OR(COUNTIF(#REF!,$D303)&gt;0,COUNTIF(#REF!,$D303)=0),"SKIP",IF(COUNTIFS(#REF!,$D303,#REF!,$DJ303)&gt;0,"OK","ONBEKEND")),"ONZEKER")))))</f>
        <v/>
      </c>
      <c r="DL303" t="str">
        <f t="shared" si="2102"/>
        <v/>
      </c>
      <c r="DM303" t="str">
        <f t="shared" si="2103"/>
        <v/>
      </c>
      <c r="DN303" t="str">
        <f t="shared" si="2104"/>
        <v/>
      </c>
      <c r="DO303" t="str">
        <f t="shared" si="2105"/>
        <v/>
      </c>
      <c r="DP303" t="str">
        <f t="shared" si="2106"/>
        <v/>
      </c>
      <c r="DQ303" t="str">
        <f t="shared" si="2107"/>
        <v/>
      </c>
      <c r="DR303" t="str">
        <f t="shared" si="2108"/>
        <v/>
      </c>
      <c r="DS303" t="str">
        <f t="shared" si="2109"/>
        <v/>
      </c>
      <c r="DT303" t="str">
        <f t="shared" si="2110"/>
        <v/>
      </c>
      <c r="DU303" t="str">
        <f t="shared" si="2111"/>
        <v/>
      </c>
      <c r="DV303" t="str">
        <f t="shared" si="2112"/>
        <v/>
      </c>
      <c r="DW303" t="str">
        <f t="shared" si="2113"/>
        <v/>
      </c>
      <c r="DX303" t="str">
        <f t="shared" si="2114"/>
        <v/>
      </c>
      <c r="DY303" t="str">
        <f t="shared" si="2115"/>
        <v/>
      </c>
      <c r="DZ303" t="str">
        <f t="shared" si="2116"/>
        <v/>
      </c>
      <c r="EA303" t="str">
        <f t="shared" si="2117"/>
        <v/>
      </c>
      <c r="EB303" t="str">
        <f t="shared" si="2118"/>
        <v/>
      </c>
      <c r="EC303" t="str">
        <f t="shared" si="2119"/>
        <v/>
      </c>
      <c r="ED303" t="str">
        <f t="shared" si="2120"/>
        <v/>
      </c>
      <c r="EE303" t="str">
        <f t="shared" si="2121"/>
        <v/>
      </c>
      <c r="EF303" t="str">
        <f t="shared" si="2122"/>
        <v/>
      </c>
      <c r="EG303" t="str">
        <f t="shared" si="2123"/>
        <v/>
      </c>
      <c r="EH303" t="str">
        <f t="shared" si="2124"/>
        <v/>
      </c>
      <c r="EI303" t="str">
        <f t="shared" si="2125"/>
        <v/>
      </c>
      <c r="EJ303" t="str">
        <f t="shared" si="2126"/>
        <v/>
      </c>
      <c r="EK303" t="str">
        <f t="shared" si="2127"/>
        <v/>
      </c>
      <c r="EL303" t="str">
        <f t="shared" si="2128"/>
        <v/>
      </c>
      <c r="EM303" t="str">
        <f t="shared" si="2129"/>
        <v/>
      </c>
      <c r="EN303" t="str">
        <f t="shared" si="2130"/>
        <v/>
      </c>
      <c r="EO303" t="str">
        <f t="shared" si="2131"/>
        <v/>
      </c>
      <c r="EP303" t="str">
        <f t="shared" si="2132"/>
        <v/>
      </c>
      <c r="EQ303" t="str">
        <f t="shared" si="2133"/>
        <v/>
      </c>
      <c r="ER303" t="str">
        <f t="shared" si="2134"/>
        <v/>
      </c>
      <c r="ES303" t="str">
        <f t="shared" si="2135"/>
        <v/>
      </c>
      <c r="ET303" t="str">
        <f t="shared" si="2136"/>
        <v/>
      </c>
      <c r="EU303" t="str">
        <f t="shared" si="2137"/>
        <v/>
      </c>
      <c r="EV303" t="str">
        <f t="shared" si="2138"/>
        <v/>
      </c>
      <c r="EW303" t="str">
        <f t="shared" si="2139"/>
        <v/>
      </c>
      <c r="EX303" t="str">
        <f t="shared" si="2140"/>
        <v/>
      </c>
      <c r="EY303" t="str">
        <f t="shared" si="2141"/>
        <v/>
      </c>
    </row>
    <row r="304" spans="2:155" ht="13.9" customHeight="1" x14ac:dyDescent="0.25">
      <c r="B304" s="23"/>
      <c r="D304" s="23"/>
      <c r="F304" s="18">
        <v>0</v>
      </c>
      <c r="G304" s="7" t="s">
        <v>147</v>
      </c>
      <c r="H304" s="18">
        <v>0</v>
      </c>
      <c r="I304" s="19">
        <v>0</v>
      </c>
      <c r="J304" s="7" t="s">
        <v>147</v>
      </c>
      <c r="K304" s="19">
        <v>0</v>
      </c>
      <c r="L304" s="9"/>
      <c r="M304" s="13" t="str">
        <f>IF($L304="","",IF($L304="DOELPUNTENMAKERS","",IF(AND(COUNTIF(#REF!,$B304)=0,COUNTIF(#REF!,$D304)=0),"OK",IF($O304&gt;20,"LET OP: meer dan 20 items (controle onvolledig)",IF((COUNTIF($R304:$AS304,"ONZEKER")+COUNTIF($CJ304:$DK304,"ONZEKER"))&gt;0,"LET OP: scoreverloop onduidelijk (controle beperkt)",IF((IF($AT304&lt;&gt;"",$AT304&amp;", ","")&amp;IF($AU304&lt;&gt;"",$AU304&amp;", ","")&amp;IF($AV304&lt;&gt;"",$AV304&amp;", ","")&amp;IF($AW304&lt;&gt;"",$AW304&amp;", ","")&amp;IF($AX304&lt;&gt;"",$AX304&amp;", ","")&amp;IF($AY304&lt;&gt;"",$AY304&amp;", ","")&amp;IF($AZ304&lt;&gt;"",$AZ304&amp;", ","")&amp;IF($BA304&lt;&gt;"",$BA304&amp;", ","")&amp;IF($BB304&lt;&gt;"",$BB304&amp;", ","")&amp;IF($BC304&lt;&gt;"",$BC304&amp;", ","")&amp;IF($DL304&lt;&gt;"",$DL304&amp;", ","")&amp;IF($DM304&lt;&gt;"",$DM304&amp;", ","")&amp;IF($DN304&lt;&gt;"",$DN304&amp;", ","")&amp;IF($DO304&lt;&gt;"",$DO304&amp;", ","")&amp;IF($DP304&lt;&gt;"",$DP304&amp;", ","")&amp;IF($DQ304&lt;&gt;"",$DQ304&amp;", ","")&amp;IF($DR304&lt;&gt;"",$DR304&amp;", ","")&amp;IF($DS304&lt;&gt;"",$DS304&amp;", ","")&amp;IF($DT304&lt;&gt;"",$DT304&amp;", ","")&amp;IF($DU304&lt;&gt;"",$DU304&amp;", ",""))="","OK","Onbekend: "&amp;LEFT((IF($AT304&lt;&gt;"",$AT304&amp;", ","")&amp;IF($AU304&lt;&gt;"",$AU304&amp;", ","")&amp;IF($AV304&lt;&gt;"",$AV304&amp;", ","")&amp;IF($AW304&lt;&gt;"",$AW304&amp;", ","")&amp;IF($AX304&lt;&gt;"",$AX304&amp;", ","")&amp;IF($AY304&lt;&gt;"",$AY304&amp;", ","")&amp;IF($AZ304&lt;&gt;"",$AZ304&amp;", ","")&amp;IF($BA304&lt;&gt;"",$BA304&amp;", ","")&amp;IF($BB304&lt;&gt;"",$BB304&amp;", ","")&amp;IF($BC304&lt;&gt;"",$BC304&amp;", ","")&amp;IF($DL304&lt;&gt;"",$DL304&amp;", ","")&amp;IF($DM304&lt;&gt;"",$DM304&amp;", ","")&amp;IF($DN304&lt;&gt;"",$DN304&amp;", ","")&amp;IF($DO304&lt;&gt;"",$DO304&amp;", ","")&amp;IF($DP304&lt;&gt;"",$DP304&amp;", ","")&amp;IF($DQ304&lt;&gt;"",$DQ304&amp;", ","")&amp;IF($DR304&lt;&gt;"",$DR304&amp;", ","")&amp;IF($DS304&lt;&gt;"",$DS304&amp;", ","")&amp;IF($DT304&lt;&gt;"",$DT304&amp;", ","")&amp;IF($DU304&lt;&gt;"",$DU304&amp;", ","")),LEN((IF($AT304&lt;&gt;"",$AT304&amp;", ","")&amp;IF($AU304&lt;&gt;"",$AU304&amp;", ","")&amp;IF($AV304&lt;&gt;"",$AV304&amp;", ","")&amp;IF($AW304&lt;&gt;"",$AW304&amp;", ","")&amp;IF($AX304&lt;&gt;"",$AX304&amp;", ","")&amp;IF($AY304&lt;&gt;"",$AY304&amp;", ","")&amp;IF($AZ304&lt;&gt;"",$AZ304&amp;", ","")&amp;IF($BA304&lt;&gt;"",$BA304&amp;", ","")&amp;IF($BB304&lt;&gt;"",$BB304&amp;", ","")&amp;IF($BC304&lt;&gt;"",$BC304&amp;", ","")&amp;IF($DL304&lt;&gt;"",$DL304&amp;", ","")&amp;IF($DM304&lt;&gt;"",$DM304&amp;", ","")&amp;IF($DN304&lt;&gt;"",$DN304&amp;", ","")&amp;IF($DO304&lt;&gt;"",$DO304&amp;", ","")&amp;IF($DP304&lt;&gt;"",$DP304&amp;", ","")&amp;IF($DQ304&lt;&gt;"",$DQ304&amp;", ","")&amp;IF($DR304&lt;&gt;"",$DR304&amp;", ","")&amp;IF($DS304&lt;&gt;"",$DS304&amp;", ","")&amp;IF($DT304&lt;&gt;"",$DT304&amp;", ","")&amp;IF($DU304&lt;&gt;"",$DU304&amp;", ","")))-2)))))))</f>
        <v/>
      </c>
      <c r="CH304" t="str">
        <f t="shared" si="2082"/>
        <v/>
      </c>
      <c r="CI304" t="str">
        <f t="shared" si="2083"/>
        <v/>
      </c>
      <c r="CJ304" t="str">
        <f>IF($CI304="","",IF(OR($DW304="",$DX304=""),"ONZEKER",IF(OR($CF304="",$CG304=""),"ONZEKER",IF(AND($DW304=$CF304+1,$DX304=$CG304),IF(OR(COUNTIF(#REF!,$B304)&gt;0,COUNTIF(#REF!,$B304)=0),"SKIP",IF(COUNTIFS(#REF!,$B304,#REF!,$CI304)&gt;0,"OK","ONBEKEND")),IF(AND($DW304=$CF304,$DX304=$CG304+1),IF(OR(COUNTIF(#REF!,$D304)&gt;0,COUNTIF(#REF!,$D304)=0),"SKIP",IF(COUNTIFS(#REF!,$D304,#REF!,$CI304)&gt;0,"OK","ONBEKEND")),"ONZEKER")))))</f>
        <v/>
      </c>
      <c r="CK304" t="str">
        <f t="shared" si="2084"/>
        <v/>
      </c>
      <c r="CL304" t="str">
        <f t="shared" si="2085"/>
        <v/>
      </c>
      <c r="CM304" t="str">
        <f>IF($CL304="","",IF(OR($DZ304="",$EA304=""),"ONZEKER",IF(OR($DW304="",$DX304=""),"ONZEKER",IF(AND($DZ304=$DW304+1,$EA304=$DX304),IF(OR(COUNTIF(#REF!,$B304)&gt;0,COUNTIF(#REF!,$B304)=0),"SKIP",IF(COUNTIFS(#REF!,$B304,#REF!,$CL304)&gt;0,"OK","ONBEKEND")),IF(AND($DZ304=$DW304,$EA304=$DX304+1),IF(OR(COUNTIF(#REF!,$D304)&gt;0,COUNTIF(#REF!,$D304)=0),"SKIP",IF(COUNTIFS(#REF!,$D304,#REF!,$CL304)&gt;0,"OK","ONBEKEND")),"ONZEKER")))))</f>
        <v/>
      </c>
      <c r="CN304" t="str">
        <f t="shared" si="2086"/>
        <v/>
      </c>
      <c r="CO304" t="str">
        <f t="shared" si="2087"/>
        <v/>
      </c>
      <c r="CP304" t="str">
        <f>IF($CO304="","",IF(OR($EC304="",$ED304=""),"ONZEKER",IF(OR($DZ304="",$EA304=""),"ONZEKER",IF(AND($EC304=$DZ304+1,$ED304=$EA304),IF(OR(COUNTIF(#REF!,$B304)&gt;0,COUNTIF(#REF!,$B304)=0),"SKIP",IF(COUNTIFS(#REF!,$B304,#REF!,$CO304)&gt;0,"OK","ONBEKEND")),IF(AND($EC304=$DZ304,$ED304=$EA304+1),IF(OR(COUNTIF(#REF!,$D304)&gt;0,COUNTIF(#REF!,$D304)=0),"SKIP",IF(COUNTIFS(#REF!,$D304,#REF!,$CO304)&gt;0,"OK","ONBEKEND")),"ONZEKER")))))</f>
        <v/>
      </c>
      <c r="CQ304" t="str">
        <f t="shared" si="2088"/>
        <v/>
      </c>
      <c r="CR304" t="str">
        <f t="shared" si="2089"/>
        <v/>
      </c>
      <c r="CS304" t="str">
        <f>IF($CR304="","",IF(OR($EF304="",$EG304=""),"ONZEKER",IF(OR($EC304="",$ED304=""),"ONZEKER",IF(AND($EF304=$EC304+1,$EG304=$ED304),IF(OR(COUNTIF(#REF!,$B304)&gt;0,COUNTIF(#REF!,$B304)=0),"SKIP",IF(COUNTIFS(#REF!,$B304,#REF!,$CR304)&gt;0,"OK","ONBEKEND")),IF(AND($EF304=$EC304,$EG304=$ED304+1),IF(OR(COUNTIF(#REF!,$D304)&gt;0,COUNTIF(#REF!,$D304)=0),"SKIP",IF(COUNTIFS(#REF!,$D304,#REF!,$CR304)&gt;0,"OK","ONBEKEND")),"ONZEKER")))))</f>
        <v/>
      </c>
      <c r="CT304" t="str">
        <f t="shared" si="2090"/>
        <v/>
      </c>
      <c r="CU304" t="str">
        <f t="shared" si="2091"/>
        <v/>
      </c>
      <c r="CV304" t="str">
        <f>IF($CU304="","",IF(OR($EI304="",$EJ304=""),"ONZEKER",IF(OR($EF304="",$EG304=""),"ONZEKER",IF(AND($EI304=$EF304+1,$EJ304=$EG304),IF(OR(COUNTIF(#REF!,$B304)&gt;0,COUNTIF(#REF!,$B304)=0),"SKIP",IF(COUNTIFS(#REF!,$B304,#REF!,$CU304)&gt;0,"OK","ONBEKEND")),IF(AND($EI304=$EF304,$EJ304=$EG304+1),IF(OR(COUNTIF(#REF!,$D304)&gt;0,COUNTIF(#REF!,$D304)=0),"SKIP",IF(COUNTIFS(#REF!,$D304,#REF!,$CU304)&gt;0,"OK","ONBEKEND")),"ONZEKER")))))</f>
        <v/>
      </c>
      <c r="CW304" t="str">
        <f t="shared" si="2092"/>
        <v/>
      </c>
      <c r="CX304" t="str">
        <f t="shared" si="2093"/>
        <v/>
      </c>
      <c r="CY304" t="str">
        <f>IF($CX304="","",IF(OR($EL304="",$EM304=""),"ONZEKER",IF(OR($EI304="",$EJ304=""),"ONZEKER",IF(AND($EL304=$EI304+1,$EM304=$EJ304),IF(OR(COUNTIF(#REF!,$B304)&gt;0,COUNTIF(#REF!,$B304)=0),"SKIP",IF(COUNTIFS(#REF!,$B304,#REF!,$CX304)&gt;0,"OK","ONBEKEND")),IF(AND($EL304=$EI304,$EM304=$EJ304+1),IF(OR(COUNTIF(#REF!,$D304)&gt;0,COUNTIF(#REF!,$D304)=0),"SKIP",IF(COUNTIFS(#REF!,$D304,#REF!,$CX304)&gt;0,"OK","ONBEKEND")),"ONZEKER")))))</f>
        <v/>
      </c>
      <c r="CZ304" t="str">
        <f t="shared" si="2094"/>
        <v/>
      </c>
      <c r="DA304" t="str">
        <f t="shared" si="2095"/>
        <v/>
      </c>
      <c r="DB304" t="str">
        <f>IF($DA304="","",IF(OR($EO304="",$EP304=""),"ONZEKER",IF(OR($EL304="",$EM304=""),"ONZEKER",IF(AND($EO304=$EL304+1,$EP304=$EM304),IF(OR(COUNTIF(#REF!,$B304)&gt;0,COUNTIF(#REF!,$B304)=0),"SKIP",IF(COUNTIFS(#REF!,$B304,#REF!,$DA304)&gt;0,"OK","ONBEKEND")),IF(AND($EO304=$EL304,$EP304=$EM304+1),IF(OR(COUNTIF(#REF!,$D304)&gt;0,COUNTIF(#REF!,$D304)=0),"SKIP",IF(COUNTIFS(#REF!,$D304,#REF!,$DA304)&gt;0,"OK","ONBEKEND")),"ONZEKER")))))</f>
        <v/>
      </c>
      <c r="DC304" t="str">
        <f t="shared" si="2096"/>
        <v/>
      </c>
      <c r="DD304" t="str">
        <f t="shared" si="2097"/>
        <v/>
      </c>
      <c r="DE304" t="str">
        <f>IF($DD304="","",IF(OR($ER304="",$ES304=""),"ONZEKER",IF(OR($EO304="",$EP304=""),"ONZEKER",IF(AND($ER304=$EO304+1,$ES304=$EP304),IF(OR(COUNTIF(#REF!,$B304)&gt;0,COUNTIF(#REF!,$B304)=0),"SKIP",IF(COUNTIFS(#REF!,$B304,#REF!,$DD304)&gt;0,"OK","ONBEKEND")),IF(AND($ER304=$EO304,$ES304=$EP304+1),IF(OR(COUNTIF(#REF!,$D304)&gt;0,COUNTIF(#REF!,$D304)=0),"SKIP",IF(COUNTIFS(#REF!,$D304,#REF!,$DD304)&gt;0,"OK","ONBEKEND")),"ONZEKER")))))</f>
        <v/>
      </c>
      <c r="DF304" t="str">
        <f t="shared" si="2098"/>
        <v/>
      </c>
      <c r="DG304" t="str">
        <f t="shared" si="2099"/>
        <v/>
      </c>
      <c r="DH304" t="str">
        <f>IF($DG304="","",IF(OR($EU304="",$EV304=""),"ONZEKER",IF(OR($ER304="",$ES304=""),"ONZEKER",IF(AND($EU304=$ER304+1,$EV304=$ES304),IF(OR(COUNTIF(#REF!,$B304)&gt;0,COUNTIF(#REF!,$B304)=0),"SKIP",IF(COUNTIFS(#REF!,$B304,#REF!,$DG304)&gt;0,"OK","ONBEKEND")),IF(AND($EU304=$ER304,$EV304=$ES304+1),IF(OR(COUNTIF(#REF!,$D304)&gt;0,COUNTIF(#REF!,$D304)=0),"SKIP",IF(COUNTIFS(#REF!,$D304,#REF!,$DG304)&gt;0,"OK","ONBEKEND")),"ONZEKER")))))</f>
        <v/>
      </c>
      <c r="DI304" t="str">
        <f t="shared" si="2100"/>
        <v/>
      </c>
      <c r="DJ304" t="str">
        <f t="shared" si="2101"/>
        <v/>
      </c>
      <c r="DK304" t="str">
        <f>IF($DJ304="","",IF(OR($EX304="",$EY304=""),"ONZEKER",IF(OR($EU304="",$EV304=""),"ONZEKER",IF(AND($EX304=$EU304+1,$EY304=$EV304),IF(OR(COUNTIF(#REF!,$B304)&gt;0,COUNTIF(#REF!,$B304)=0),"SKIP",IF(COUNTIFS(#REF!,$B304,#REF!,$DJ304)&gt;0,"OK","ONBEKEND")),IF(AND($EX304=$EU304,$EY304=$EV304+1),IF(OR(COUNTIF(#REF!,$D304)&gt;0,COUNTIF(#REF!,$D304)=0),"SKIP",IF(COUNTIFS(#REF!,$D304,#REF!,$DJ304)&gt;0,"OK","ONBEKEND")),"ONZEKER")))))</f>
        <v/>
      </c>
      <c r="DL304" t="str">
        <f t="shared" si="2102"/>
        <v/>
      </c>
      <c r="DM304" t="str">
        <f t="shared" si="2103"/>
        <v/>
      </c>
      <c r="DN304" t="str">
        <f t="shared" si="2104"/>
        <v/>
      </c>
      <c r="DO304" t="str">
        <f t="shared" si="2105"/>
        <v/>
      </c>
      <c r="DP304" t="str">
        <f t="shared" si="2106"/>
        <v/>
      </c>
      <c r="DQ304" t="str">
        <f t="shared" si="2107"/>
        <v/>
      </c>
      <c r="DR304" t="str">
        <f t="shared" si="2108"/>
        <v/>
      </c>
      <c r="DS304" t="str">
        <f t="shared" si="2109"/>
        <v/>
      </c>
      <c r="DT304" t="str">
        <f t="shared" si="2110"/>
        <v/>
      </c>
      <c r="DU304" t="str">
        <f t="shared" si="2111"/>
        <v/>
      </c>
      <c r="DV304" t="str">
        <f t="shared" si="2112"/>
        <v/>
      </c>
      <c r="DW304" t="str">
        <f t="shared" si="2113"/>
        <v/>
      </c>
      <c r="DX304" t="str">
        <f t="shared" si="2114"/>
        <v/>
      </c>
      <c r="DY304" t="str">
        <f t="shared" si="2115"/>
        <v/>
      </c>
      <c r="DZ304" t="str">
        <f t="shared" si="2116"/>
        <v/>
      </c>
      <c r="EA304" t="str">
        <f t="shared" si="2117"/>
        <v/>
      </c>
      <c r="EB304" t="str">
        <f t="shared" si="2118"/>
        <v/>
      </c>
      <c r="EC304" t="str">
        <f t="shared" si="2119"/>
        <v/>
      </c>
      <c r="ED304" t="str">
        <f t="shared" si="2120"/>
        <v/>
      </c>
      <c r="EE304" t="str">
        <f t="shared" si="2121"/>
        <v/>
      </c>
      <c r="EF304" t="str">
        <f t="shared" si="2122"/>
        <v/>
      </c>
      <c r="EG304" t="str">
        <f t="shared" si="2123"/>
        <v/>
      </c>
      <c r="EH304" t="str">
        <f t="shared" si="2124"/>
        <v/>
      </c>
      <c r="EI304" t="str">
        <f t="shared" si="2125"/>
        <v/>
      </c>
      <c r="EJ304" t="str">
        <f t="shared" si="2126"/>
        <v/>
      </c>
      <c r="EK304" t="str">
        <f t="shared" si="2127"/>
        <v/>
      </c>
      <c r="EL304" t="str">
        <f t="shared" si="2128"/>
        <v/>
      </c>
      <c r="EM304" t="str">
        <f t="shared" si="2129"/>
        <v/>
      </c>
      <c r="EN304" t="str">
        <f t="shared" si="2130"/>
        <v/>
      </c>
      <c r="EO304" t="str">
        <f t="shared" si="2131"/>
        <v/>
      </c>
      <c r="EP304" t="str">
        <f t="shared" si="2132"/>
        <v/>
      </c>
      <c r="EQ304" t="str">
        <f t="shared" si="2133"/>
        <v/>
      </c>
      <c r="ER304" t="str">
        <f t="shared" si="2134"/>
        <v/>
      </c>
      <c r="ES304" t="str">
        <f t="shared" si="2135"/>
        <v/>
      </c>
      <c r="ET304" t="str">
        <f t="shared" si="2136"/>
        <v/>
      </c>
      <c r="EU304" t="str">
        <f t="shared" si="2137"/>
        <v/>
      </c>
      <c r="EV304" t="str">
        <f t="shared" si="2138"/>
        <v/>
      </c>
      <c r="EW304" t="str">
        <f t="shared" si="2139"/>
        <v/>
      </c>
      <c r="EX304" t="str">
        <f t="shared" si="2140"/>
        <v/>
      </c>
      <c r="EY304" t="str">
        <f t="shared" si="2141"/>
        <v/>
      </c>
    </row>
    <row r="305" spans="1:12" x14ac:dyDescent="0.25">
      <c r="G305" s="7"/>
      <c r="J305" s="7"/>
    </row>
    <row r="306" spans="1:12" x14ac:dyDescent="0.25">
      <c r="G306" s="7"/>
      <c r="J306" s="7"/>
    </row>
    <row r="307" spans="1:12" x14ac:dyDescent="0.25">
      <c r="A307" s="22"/>
      <c r="B307" s="15" t="s">
        <v>1502</v>
      </c>
      <c r="C307" s="16"/>
      <c r="D307" s="16"/>
      <c r="E307" s="16"/>
      <c r="F307" s="31" t="s">
        <v>1</v>
      </c>
      <c r="G307" s="31"/>
      <c r="H307" s="31"/>
      <c r="I307" s="32" t="s">
        <v>2</v>
      </c>
      <c r="J307" s="32"/>
      <c r="K307" s="32"/>
      <c r="L307" s="24" t="s">
        <v>3</v>
      </c>
    </row>
    <row r="308" spans="1:12" x14ac:dyDescent="0.25">
      <c r="B308" s="23"/>
      <c r="D308" s="23"/>
      <c r="F308" s="18">
        <v>0</v>
      </c>
      <c r="G308" s="7" t="s">
        <v>147</v>
      </c>
      <c r="H308" s="18">
        <v>0</v>
      </c>
      <c r="I308" s="19">
        <v>0</v>
      </c>
      <c r="J308" s="7" t="s">
        <v>147</v>
      </c>
      <c r="K308" s="19">
        <v>0</v>
      </c>
      <c r="L308" s="25"/>
    </row>
    <row r="309" spans="1:12" x14ac:dyDescent="0.25">
      <c r="B309" s="23"/>
      <c r="D309" s="23"/>
      <c r="F309" s="18">
        <v>0</v>
      </c>
      <c r="G309" s="7" t="s">
        <v>147</v>
      </c>
      <c r="H309" s="18">
        <v>0</v>
      </c>
      <c r="I309" s="19">
        <v>0</v>
      </c>
      <c r="J309" s="7" t="s">
        <v>147</v>
      </c>
      <c r="K309" s="19">
        <v>0</v>
      </c>
      <c r="L309" s="25"/>
    </row>
    <row r="310" spans="1:12" x14ac:dyDescent="0.25">
      <c r="B310" s="23"/>
      <c r="D310" s="23"/>
      <c r="F310" s="18">
        <v>0</v>
      </c>
      <c r="G310" s="7" t="s">
        <v>147</v>
      </c>
      <c r="H310" s="18">
        <v>0</v>
      </c>
      <c r="I310" s="19">
        <v>0</v>
      </c>
      <c r="J310" s="7" t="s">
        <v>147</v>
      </c>
      <c r="K310" s="19">
        <v>0</v>
      </c>
      <c r="L310" s="25"/>
    </row>
    <row r="311" spans="1:12" x14ac:dyDescent="0.25">
      <c r="B311" s="23"/>
      <c r="D311" s="23"/>
      <c r="F311" s="18">
        <v>0</v>
      </c>
      <c r="G311" s="7" t="s">
        <v>147</v>
      </c>
      <c r="H311" s="18">
        <v>0</v>
      </c>
      <c r="I311" s="19">
        <v>0</v>
      </c>
      <c r="J311" s="7" t="s">
        <v>147</v>
      </c>
      <c r="K311" s="19">
        <v>0</v>
      </c>
      <c r="L311" s="25"/>
    </row>
    <row r="312" spans="1:12" x14ac:dyDescent="0.25">
      <c r="B312" s="23"/>
      <c r="D312" s="23"/>
      <c r="F312" s="18">
        <v>0</v>
      </c>
      <c r="G312" s="7" t="s">
        <v>147</v>
      </c>
      <c r="H312" s="18">
        <v>0</v>
      </c>
      <c r="I312" s="19">
        <v>0</v>
      </c>
      <c r="J312" s="7" t="s">
        <v>147</v>
      </c>
      <c r="K312" s="19">
        <v>0</v>
      </c>
      <c r="L312" s="25"/>
    </row>
    <row r="313" spans="1:12" x14ac:dyDescent="0.25">
      <c r="B313" s="23"/>
      <c r="D313" s="23"/>
      <c r="F313" s="18">
        <v>0</v>
      </c>
      <c r="G313" s="7" t="s">
        <v>147</v>
      </c>
      <c r="H313" s="18">
        <v>0</v>
      </c>
      <c r="I313" s="19">
        <v>0</v>
      </c>
      <c r="J313" s="7" t="s">
        <v>147</v>
      </c>
      <c r="K313" s="19">
        <v>0</v>
      </c>
      <c r="L313" s="25"/>
    </row>
    <row r="314" spans="1:12" x14ac:dyDescent="0.25">
      <c r="G314" s="7"/>
      <c r="J314" s="7"/>
    </row>
    <row r="315" spans="1:12" x14ac:dyDescent="0.25">
      <c r="G315" s="7"/>
      <c r="J315" s="7"/>
    </row>
    <row r="316" spans="1:12" x14ac:dyDescent="0.25">
      <c r="A316" s="22"/>
      <c r="B316" s="15" t="s">
        <v>1503</v>
      </c>
      <c r="C316" s="16"/>
      <c r="D316" s="16"/>
      <c r="E316" s="16"/>
      <c r="F316" s="31" t="s">
        <v>1</v>
      </c>
      <c r="G316" s="31"/>
      <c r="H316" s="31"/>
      <c r="I316" s="32" t="s">
        <v>2</v>
      </c>
      <c r="J316" s="32"/>
      <c r="K316" s="32"/>
      <c r="L316" s="24" t="s">
        <v>3</v>
      </c>
    </row>
    <row r="317" spans="1:12" x14ac:dyDescent="0.25">
      <c r="B317" s="23"/>
      <c r="D317" s="23"/>
      <c r="F317" s="18">
        <v>0</v>
      </c>
      <c r="G317" s="7" t="s">
        <v>147</v>
      </c>
      <c r="H317" s="18">
        <v>0</v>
      </c>
      <c r="I317" s="19">
        <v>0</v>
      </c>
      <c r="J317" s="7" t="s">
        <v>147</v>
      </c>
      <c r="K317" s="19">
        <v>0</v>
      </c>
      <c r="L317" s="25"/>
    </row>
    <row r="318" spans="1:12" x14ac:dyDescent="0.25">
      <c r="B318" s="23"/>
      <c r="D318" s="23"/>
      <c r="F318" s="18">
        <v>0</v>
      </c>
      <c r="G318" s="7" t="s">
        <v>147</v>
      </c>
      <c r="H318" s="18">
        <v>0</v>
      </c>
      <c r="I318" s="19">
        <v>0</v>
      </c>
      <c r="J318" s="7" t="s">
        <v>147</v>
      </c>
      <c r="K318" s="19">
        <v>0</v>
      </c>
      <c r="L318" s="25"/>
    </row>
    <row r="319" spans="1:12" x14ac:dyDescent="0.25">
      <c r="B319" s="23"/>
      <c r="D319" s="23"/>
      <c r="F319" s="18">
        <v>0</v>
      </c>
      <c r="G319" s="7" t="s">
        <v>147</v>
      </c>
      <c r="H319" s="18">
        <v>0</v>
      </c>
      <c r="I319" s="19">
        <v>0</v>
      </c>
      <c r="J319" s="7" t="s">
        <v>147</v>
      </c>
      <c r="K319" s="19">
        <v>0</v>
      </c>
      <c r="L319" s="25"/>
    </row>
    <row r="320" spans="1:12" x14ac:dyDescent="0.25">
      <c r="B320" s="23"/>
      <c r="D320" s="23"/>
      <c r="F320" s="18">
        <v>0</v>
      </c>
      <c r="G320" s="7" t="s">
        <v>147</v>
      </c>
      <c r="H320" s="18">
        <v>0</v>
      </c>
      <c r="I320" s="19">
        <v>0</v>
      </c>
      <c r="J320" s="7" t="s">
        <v>147</v>
      </c>
      <c r="K320" s="19">
        <v>0</v>
      </c>
      <c r="L320" s="25"/>
    </row>
    <row r="321" spans="1:12" x14ac:dyDescent="0.25">
      <c r="B321" s="23"/>
      <c r="D321" s="23"/>
      <c r="F321" s="18">
        <v>0</v>
      </c>
      <c r="G321" s="7" t="s">
        <v>147</v>
      </c>
      <c r="H321" s="18">
        <v>0</v>
      </c>
      <c r="I321" s="19">
        <v>0</v>
      </c>
      <c r="J321" s="7" t="s">
        <v>147</v>
      </c>
      <c r="K321" s="19">
        <v>0</v>
      </c>
      <c r="L321" s="25"/>
    </row>
    <row r="322" spans="1:12" x14ac:dyDescent="0.25">
      <c r="B322" s="23"/>
      <c r="D322" s="23"/>
      <c r="F322" s="18">
        <v>0</v>
      </c>
      <c r="G322" s="7" t="s">
        <v>147</v>
      </c>
      <c r="H322" s="18">
        <v>0</v>
      </c>
      <c r="I322" s="19">
        <v>0</v>
      </c>
      <c r="J322" s="7" t="s">
        <v>147</v>
      </c>
      <c r="K322" s="19">
        <v>0</v>
      </c>
      <c r="L322" s="25"/>
    </row>
    <row r="323" spans="1:12" x14ac:dyDescent="0.25">
      <c r="G323" s="7"/>
      <c r="J323" s="7"/>
    </row>
    <row r="324" spans="1:12" x14ac:dyDescent="0.25">
      <c r="G324" s="7"/>
      <c r="J324" s="7"/>
    </row>
    <row r="325" spans="1:12" x14ac:dyDescent="0.25">
      <c r="A325" s="22"/>
      <c r="B325" s="15" t="s">
        <v>1504</v>
      </c>
      <c r="C325" s="16"/>
      <c r="D325" s="16"/>
      <c r="E325" s="16"/>
      <c r="F325" s="31" t="s">
        <v>1</v>
      </c>
      <c r="G325" s="31"/>
      <c r="H325" s="31"/>
      <c r="I325" s="32" t="s">
        <v>2</v>
      </c>
      <c r="J325" s="32"/>
      <c r="K325" s="32"/>
      <c r="L325" s="24" t="s">
        <v>3</v>
      </c>
    </row>
    <row r="326" spans="1:12" x14ac:dyDescent="0.25">
      <c r="B326" s="23"/>
      <c r="D326" s="23"/>
      <c r="F326" s="18">
        <v>0</v>
      </c>
      <c r="G326" s="7" t="s">
        <v>147</v>
      </c>
      <c r="H326" s="18">
        <v>0</v>
      </c>
      <c r="I326" s="19">
        <v>0</v>
      </c>
      <c r="J326" s="7" t="s">
        <v>147</v>
      </c>
      <c r="K326" s="19">
        <v>0</v>
      </c>
      <c r="L326" s="25"/>
    </row>
    <row r="327" spans="1:12" x14ac:dyDescent="0.25">
      <c r="B327" s="23"/>
      <c r="D327" s="23"/>
      <c r="F327" s="18">
        <v>0</v>
      </c>
      <c r="G327" s="7" t="s">
        <v>147</v>
      </c>
      <c r="H327" s="18">
        <v>0</v>
      </c>
      <c r="I327" s="19">
        <v>0</v>
      </c>
      <c r="J327" s="7" t="s">
        <v>147</v>
      </c>
      <c r="K327" s="19">
        <v>0</v>
      </c>
      <c r="L327" s="25"/>
    </row>
    <row r="328" spans="1:12" x14ac:dyDescent="0.25">
      <c r="B328" s="23"/>
      <c r="D328" s="23"/>
      <c r="F328" s="18">
        <v>0</v>
      </c>
      <c r="G328" s="7" t="s">
        <v>147</v>
      </c>
      <c r="H328" s="18">
        <v>0</v>
      </c>
      <c r="I328" s="19">
        <v>0</v>
      </c>
      <c r="J328" s="7" t="s">
        <v>147</v>
      </c>
      <c r="K328" s="19">
        <v>0</v>
      </c>
      <c r="L328" s="25"/>
    </row>
    <row r="329" spans="1:12" x14ac:dyDescent="0.25">
      <c r="B329" s="23"/>
      <c r="D329" s="23"/>
      <c r="F329" s="18">
        <v>0</v>
      </c>
      <c r="G329" s="7" t="s">
        <v>147</v>
      </c>
      <c r="H329" s="18">
        <v>0</v>
      </c>
      <c r="I329" s="19">
        <v>0</v>
      </c>
      <c r="J329" s="7" t="s">
        <v>147</v>
      </c>
      <c r="K329" s="19">
        <v>0</v>
      </c>
      <c r="L329" s="25"/>
    </row>
    <row r="330" spans="1:12" x14ac:dyDescent="0.25">
      <c r="B330" s="23"/>
      <c r="D330" s="23"/>
      <c r="F330" s="18">
        <v>0</v>
      </c>
      <c r="G330" s="7" t="s">
        <v>147</v>
      </c>
      <c r="H330" s="18">
        <v>0</v>
      </c>
      <c r="I330" s="19">
        <v>0</v>
      </c>
      <c r="J330" s="7" t="s">
        <v>147</v>
      </c>
      <c r="K330" s="19">
        <v>0</v>
      </c>
      <c r="L330" s="25"/>
    </row>
    <row r="331" spans="1:12" x14ac:dyDescent="0.25">
      <c r="B331" s="23"/>
      <c r="D331" s="23"/>
      <c r="F331" s="18">
        <v>0</v>
      </c>
      <c r="G331" s="7" t="s">
        <v>147</v>
      </c>
      <c r="H331" s="18">
        <v>0</v>
      </c>
      <c r="I331" s="19">
        <v>0</v>
      </c>
      <c r="J331" s="7" t="s">
        <v>147</v>
      </c>
      <c r="K331" s="19">
        <v>0</v>
      </c>
      <c r="L331" s="25"/>
    </row>
    <row r="332" spans="1:12" x14ac:dyDescent="0.25">
      <c r="G332" s="7"/>
      <c r="J332" s="7"/>
    </row>
    <row r="333" spans="1:12" x14ac:dyDescent="0.25">
      <c r="G333" s="7"/>
      <c r="J333" s="7"/>
    </row>
    <row r="334" spans="1:12" x14ac:dyDescent="0.25">
      <c r="A334" s="22"/>
      <c r="B334" s="15" t="s">
        <v>1505</v>
      </c>
      <c r="C334" s="16"/>
      <c r="D334" s="16"/>
      <c r="E334" s="16"/>
      <c r="F334" s="31" t="s">
        <v>1</v>
      </c>
      <c r="G334" s="31"/>
      <c r="H334" s="31"/>
      <c r="I334" s="32" t="s">
        <v>2</v>
      </c>
      <c r="J334" s="32"/>
      <c r="K334" s="32"/>
      <c r="L334" s="24" t="s">
        <v>3</v>
      </c>
    </row>
    <row r="335" spans="1:12" x14ac:dyDescent="0.25">
      <c r="B335" s="23"/>
      <c r="D335" s="23"/>
      <c r="F335" s="18">
        <v>0</v>
      </c>
      <c r="G335" s="7" t="s">
        <v>147</v>
      </c>
      <c r="H335" s="18">
        <v>0</v>
      </c>
      <c r="I335" s="19">
        <v>0</v>
      </c>
      <c r="J335" s="7" t="s">
        <v>147</v>
      </c>
      <c r="K335" s="19">
        <v>0</v>
      </c>
      <c r="L335" s="25"/>
    </row>
    <row r="336" spans="1:12" x14ac:dyDescent="0.25">
      <c r="B336" s="23"/>
      <c r="D336" s="23"/>
      <c r="F336" s="18">
        <v>0</v>
      </c>
      <c r="G336" s="7" t="s">
        <v>147</v>
      </c>
      <c r="H336" s="18">
        <v>0</v>
      </c>
      <c r="I336" s="19">
        <v>0</v>
      </c>
      <c r="J336" s="7" t="s">
        <v>147</v>
      </c>
      <c r="K336" s="19">
        <v>0</v>
      </c>
      <c r="L336" s="25"/>
    </row>
    <row r="337" spans="1:12" x14ac:dyDescent="0.25">
      <c r="B337" s="23"/>
      <c r="D337" s="23"/>
      <c r="F337" s="18">
        <v>0</v>
      </c>
      <c r="G337" s="7" t="s">
        <v>147</v>
      </c>
      <c r="H337" s="18">
        <v>0</v>
      </c>
      <c r="I337" s="19">
        <v>0</v>
      </c>
      <c r="J337" s="7" t="s">
        <v>147</v>
      </c>
      <c r="K337" s="19">
        <v>0</v>
      </c>
      <c r="L337" s="25"/>
    </row>
    <row r="338" spans="1:12" x14ac:dyDescent="0.25">
      <c r="B338" s="23"/>
      <c r="D338" s="23"/>
      <c r="F338" s="18">
        <v>0</v>
      </c>
      <c r="G338" s="7" t="s">
        <v>147</v>
      </c>
      <c r="H338" s="18">
        <v>0</v>
      </c>
      <c r="I338" s="19">
        <v>0</v>
      </c>
      <c r="J338" s="7" t="s">
        <v>147</v>
      </c>
      <c r="K338" s="19">
        <v>0</v>
      </c>
      <c r="L338" s="25"/>
    </row>
    <row r="339" spans="1:12" x14ac:dyDescent="0.25">
      <c r="B339" s="23"/>
      <c r="D339" s="23"/>
      <c r="F339" s="18">
        <v>0</v>
      </c>
      <c r="G339" s="7" t="s">
        <v>147</v>
      </c>
      <c r="H339" s="18">
        <v>0</v>
      </c>
      <c r="I339" s="19">
        <v>0</v>
      </c>
      <c r="J339" s="7" t="s">
        <v>147</v>
      </c>
      <c r="K339" s="19">
        <v>0</v>
      </c>
      <c r="L339" s="25"/>
    </row>
    <row r="340" spans="1:12" x14ac:dyDescent="0.25">
      <c r="B340" s="23"/>
      <c r="D340" s="23"/>
      <c r="F340" s="18">
        <v>0</v>
      </c>
      <c r="G340" s="7" t="s">
        <v>147</v>
      </c>
      <c r="H340" s="18">
        <v>0</v>
      </c>
      <c r="I340" s="19">
        <v>0</v>
      </c>
      <c r="J340" s="7" t="s">
        <v>147</v>
      </c>
      <c r="K340" s="19">
        <v>0</v>
      </c>
      <c r="L340" s="25"/>
    </row>
    <row r="341" spans="1:12" x14ac:dyDescent="0.25">
      <c r="B341" s="23"/>
      <c r="D341" s="23"/>
      <c r="F341" s="18">
        <v>0</v>
      </c>
      <c r="G341" s="7" t="s">
        <v>147</v>
      </c>
      <c r="H341" s="18">
        <v>0</v>
      </c>
      <c r="I341" s="19">
        <v>0</v>
      </c>
      <c r="J341" s="7" t="s">
        <v>147</v>
      </c>
      <c r="K341" s="19">
        <v>0</v>
      </c>
      <c r="L341" s="25"/>
    </row>
    <row r="342" spans="1:12" x14ac:dyDescent="0.25">
      <c r="B342" s="23"/>
      <c r="D342" s="23"/>
      <c r="F342" s="18">
        <v>0</v>
      </c>
      <c r="G342" s="7" t="s">
        <v>147</v>
      </c>
      <c r="H342" s="18">
        <v>0</v>
      </c>
      <c r="I342" s="19">
        <v>0</v>
      </c>
      <c r="J342" s="7" t="s">
        <v>147</v>
      </c>
      <c r="K342" s="19">
        <v>0</v>
      </c>
      <c r="L342" s="25"/>
    </row>
    <row r="343" spans="1:12" x14ac:dyDescent="0.25">
      <c r="G343" s="7"/>
      <c r="J343" s="7"/>
    </row>
    <row r="344" spans="1:12" x14ac:dyDescent="0.25">
      <c r="G344" s="7"/>
      <c r="J344" s="7"/>
    </row>
    <row r="345" spans="1:12" x14ac:dyDescent="0.25">
      <c r="A345" s="22"/>
      <c r="B345" s="15" t="s">
        <v>1506</v>
      </c>
      <c r="C345" s="16"/>
      <c r="D345" s="16"/>
      <c r="E345" s="16"/>
      <c r="F345" s="31" t="s">
        <v>1</v>
      </c>
      <c r="G345" s="31"/>
      <c r="H345" s="31"/>
      <c r="I345" s="32" t="s">
        <v>2</v>
      </c>
      <c r="J345" s="32"/>
      <c r="K345" s="32"/>
      <c r="L345" s="24" t="s">
        <v>3</v>
      </c>
    </row>
    <row r="346" spans="1:12" x14ac:dyDescent="0.25">
      <c r="B346" s="23"/>
      <c r="D346" s="23"/>
      <c r="F346" s="18">
        <v>0</v>
      </c>
      <c r="G346" s="7" t="s">
        <v>147</v>
      </c>
      <c r="H346" s="18">
        <v>0</v>
      </c>
      <c r="I346" s="19">
        <v>0</v>
      </c>
      <c r="J346" s="7" t="s">
        <v>147</v>
      </c>
      <c r="K346" s="19">
        <v>0</v>
      </c>
      <c r="L346" s="25"/>
    </row>
    <row r="347" spans="1:12" x14ac:dyDescent="0.25">
      <c r="B347" s="23"/>
      <c r="D347" s="23"/>
      <c r="F347" s="18">
        <v>0</v>
      </c>
      <c r="G347" s="7" t="s">
        <v>147</v>
      </c>
      <c r="H347" s="18">
        <v>0</v>
      </c>
      <c r="I347" s="19">
        <v>0</v>
      </c>
      <c r="J347" s="7" t="s">
        <v>147</v>
      </c>
      <c r="K347" s="19">
        <v>0</v>
      </c>
      <c r="L347" s="25"/>
    </row>
    <row r="348" spans="1:12" x14ac:dyDescent="0.25">
      <c r="B348" s="23"/>
      <c r="D348" s="23"/>
      <c r="F348" s="18">
        <v>0</v>
      </c>
      <c r="G348" s="7" t="s">
        <v>147</v>
      </c>
      <c r="H348" s="18">
        <v>0</v>
      </c>
      <c r="I348" s="19">
        <v>0</v>
      </c>
      <c r="J348" s="7" t="s">
        <v>147</v>
      </c>
      <c r="K348" s="19">
        <v>0</v>
      </c>
      <c r="L348" s="25"/>
    </row>
    <row r="349" spans="1:12" x14ac:dyDescent="0.25">
      <c r="B349" s="23"/>
      <c r="D349" s="23"/>
      <c r="F349" s="18">
        <v>0</v>
      </c>
      <c r="G349" s="7" t="s">
        <v>147</v>
      </c>
      <c r="H349" s="18">
        <v>0</v>
      </c>
      <c r="I349" s="19">
        <v>0</v>
      </c>
      <c r="J349" s="7" t="s">
        <v>147</v>
      </c>
      <c r="K349" s="19">
        <v>0</v>
      </c>
      <c r="L349" s="25"/>
    </row>
    <row r="350" spans="1:12" x14ac:dyDescent="0.25">
      <c r="B350" s="23"/>
      <c r="D350" s="23"/>
      <c r="F350" s="18">
        <v>0</v>
      </c>
      <c r="G350" s="7" t="s">
        <v>147</v>
      </c>
      <c r="H350" s="18">
        <v>0</v>
      </c>
      <c r="I350" s="19">
        <v>0</v>
      </c>
      <c r="J350" s="7" t="s">
        <v>147</v>
      </c>
      <c r="K350" s="19">
        <v>0</v>
      </c>
      <c r="L350" s="25"/>
    </row>
    <row r="351" spans="1:12" x14ac:dyDescent="0.25">
      <c r="B351" s="23"/>
      <c r="D351" s="23"/>
      <c r="F351" s="18">
        <v>0</v>
      </c>
      <c r="G351" s="7" t="s">
        <v>147</v>
      </c>
      <c r="H351" s="18">
        <v>0</v>
      </c>
      <c r="I351" s="19">
        <v>0</v>
      </c>
      <c r="J351" s="7" t="s">
        <v>147</v>
      </c>
      <c r="K351" s="19">
        <v>0</v>
      </c>
      <c r="L351" s="25"/>
    </row>
    <row r="352" spans="1:12" x14ac:dyDescent="0.25">
      <c r="B352" s="23"/>
      <c r="D352" s="23"/>
      <c r="F352" s="18">
        <v>0</v>
      </c>
      <c r="G352" s="7" t="s">
        <v>147</v>
      </c>
      <c r="H352" s="18">
        <v>0</v>
      </c>
      <c r="I352" s="19">
        <v>0</v>
      </c>
      <c r="J352" s="7" t="s">
        <v>147</v>
      </c>
      <c r="K352" s="19">
        <v>0</v>
      </c>
      <c r="L352" s="25"/>
    </row>
    <row r="353" spans="1:12" x14ac:dyDescent="0.25">
      <c r="B353" s="23"/>
      <c r="D353" s="23"/>
      <c r="F353" s="18">
        <v>0</v>
      </c>
      <c r="G353" s="7" t="s">
        <v>147</v>
      </c>
      <c r="H353" s="18">
        <v>0</v>
      </c>
      <c r="I353" s="19">
        <v>0</v>
      </c>
      <c r="J353" s="7" t="s">
        <v>147</v>
      </c>
      <c r="K353" s="19">
        <v>0</v>
      </c>
      <c r="L353" s="25"/>
    </row>
    <row r="354" spans="1:12" x14ac:dyDescent="0.25">
      <c r="B354" s="23"/>
      <c r="D354" s="23"/>
      <c r="F354" s="18">
        <v>0</v>
      </c>
      <c r="G354" s="7" t="s">
        <v>147</v>
      </c>
      <c r="H354" s="18">
        <v>0</v>
      </c>
      <c r="I354" s="19">
        <v>0</v>
      </c>
      <c r="J354" s="7" t="s">
        <v>147</v>
      </c>
      <c r="K354" s="19">
        <v>0</v>
      </c>
      <c r="L354" s="25"/>
    </row>
    <row r="355" spans="1:12" x14ac:dyDescent="0.25">
      <c r="B355" s="23"/>
      <c r="D355" s="23"/>
      <c r="F355" s="18">
        <v>0</v>
      </c>
      <c r="G355" s="7" t="s">
        <v>147</v>
      </c>
      <c r="H355" s="18">
        <v>0</v>
      </c>
      <c r="I355" s="19">
        <v>0</v>
      </c>
      <c r="J355" s="7" t="s">
        <v>147</v>
      </c>
      <c r="K355" s="19">
        <v>0</v>
      </c>
      <c r="L355" s="25"/>
    </row>
    <row r="356" spans="1:12" x14ac:dyDescent="0.25">
      <c r="B356" s="23"/>
      <c r="D356" s="23"/>
      <c r="F356" s="18">
        <v>0</v>
      </c>
      <c r="G356" s="7" t="s">
        <v>147</v>
      </c>
      <c r="H356" s="18">
        <v>0</v>
      </c>
      <c r="I356" s="19">
        <v>0</v>
      </c>
      <c r="J356" s="7" t="s">
        <v>147</v>
      </c>
      <c r="K356" s="19">
        <v>0</v>
      </c>
      <c r="L356" s="25"/>
    </row>
    <row r="357" spans="1:12" x14ac:dyDescent="0.25">
      <c r="B357" s="23"/>
      <c r="D357" s="23"/>
      <c r="F357" s="18">
        <v>0</v>
      </c>
      <c r="G357" s="7" t="s">
        <v>147</v>
      </c>
      <c r="H357" s="18">
        <v>0</v>
      </c>
      <c r="I357" s="19">
        <v>0</v>
      </c>
      <c r="J357" s="7" t="s">
        <v>147</v>
      </c>
      <c r="K357" s="19">
        <v>0</v>
      </c>
      <c r="L357" s="25"/>
    </row>
    <row r="358" spans="1:12" x14ac:dyDescent="0.25">
      <c r="B358" s="23"/>
      <c r="D358" s="23"/>
      <c r="F358" s="18">
        <v>0</v>
      </c>
      <c r="G358" s="7" t="s">
        <v>147</v>
      </c>
      <c r="H358" s="18">
        <v>0</v>
      </c>
      <c r="I358" s="19">
        <v>0</v>
      </c>
      <c r="J358" s="7" t="s">
        <v>147</v>
      </c>
      <c r="K358" s="19">
        <v>0</v>
      </c>
      <c r="L358" s="25"/>
    </row>
    <row r="359" spans="1:12" x14ac:dyDescent="0.25">
      <c r="B359" s="23"/>
      <c r="D359" s="23"/>
      <c r="F359" s="18">
        <v>0</v>
      </c>
      <c r="G359" s="7" t="s">
        <v>147</v>
      </c>
      <c r="H359" s="18">
        <v>0</v>
      </c>
      <c r="I359" s="19">
        <v>0</v>
      </c>
      <c r="J359" s="7" t="s">
        <v>147</v>
      </c>
      <c r="K359" s="19">
        <v>0</v>
      </c>
      <c r="L359" s="25"/>
    </row>
    <row r="360" spans="1:12" x14ac:dyDescent="0.25">
      <c r="B360" s="23"/>
      <c r="D360" s="23"/>
      <c r="F360" s="18">
        <v>0</v>
      </c>
      <c r="G360" s="7" t="s">
        <v>147</v>
      </c>
      <c r="H360" s="18">
        <v>0</v>
      </c>
      <c r="I360" s="19">
        <v>0</v>
      </c>
      <c r="J360" s="7" t="s">
        <v>147</v>
      </c>
      <c r="K360" s="19">
        <v>0</v>
      </c>
      <c r="L360" s="25"/>
    </row>
    <row r="361" spans="1:12" x14ac:dyDescent="0.25">
      <c r="B361" s="23"/>
      <c r="D361" s="23"/>
      <c r="F361" s="18">
        <v>0</v>
      </c>
      <c r="G361" s="7" t="s">
        <v>147</v>
      </c>
      <c r="H361" s="18">
        <v>0</v>
      </c>
      <c r="I361" s="19">
        <v>0</v>
      </c>
      <c r="J361" s="7" t="s">
        <v>147</v>
      </c>
      <c r="K361" s="19">
        <v>0</v>
      </c>
      <c r="L361" s="25"/>
    </row>
    <row r="362" spans="1:12" x14ac:dyDescent="0.25">
      <c r="B362" s="23"/>
      <c r="D362" s="23"/>
      <c r="F362" s="18">
        <v>0</v>
      </c>
      <c r="G362" s="7" t="s">
        <v>147</v>
      </c>
      <c r="H362" s="18">
        <v>0</v>
      </c>
      <c r="I362" s="19">
        <v>0</v>
      </c>
      <c r="J362" s="7" t="s">
        <v>147</v>
      </c>
      <c r="K362" s="19">
        <v>0</v>
      </c>
      <c r="L362" s="25"/>
    </row>
    <row r="363" spans="1:12" x14ac:dyDescent="0.25">
      <c r="B363" s="23"/>
      <c r="D363" s="23"/>
      <c r="F363" s="18">
        <v>0</v>
      </c>
      <c r="G363" s="7" t="s">
        <v>147</v>
      </c>
      <c r="H363" s="18">
        <v>0</v>
      </c>
      <c r="I363" s="19">
        <v>0</v>
      </c>
      <c r="J363" s="7" t="s">
        <v>147</v>
      </c>
      <c r="K363" s="19">
        <v>0</v>
      </c>
      <c r="L363" s="25"/>
    </row>
    <row r="364" spans="1:12" x14ac:dyDescent="0.25">
      <c r="G364" s="7"/>
      <c r="J364" s="7"/>
    </row>
    <row r="365" spans="1:12" x14ac:dyDescent="0.25">
      <c r="G365" s="7"/>
      <c r="J365" s="7"/>
    </row>
    <row r="366" spans="1:12" x14ac:dyDescent="0.25">
      <c r="A366" s="22"/>
      <c r="B366" s="15" t="s">
        <v>1507</v>
      </c>
      <c r="C366" s="16"/>
      <c r="D366" s="16"/>
      <c r="E366" s="16"/>
      <c r="F366" s="31" t="s">
        <v>1</v>
      </c>
      <c r="G366" s="31"/>
      <c r="H366" s="31"/>
      <c r="I366" s="32" t="s">
        <v>2</v>
      </c>
      <c r="J366" s="32"/>
      <c r="K366" s="32"/>
      <c r="L366" s="24" t="s">
        <v>3</v>
      </c>
    </row>
    <row r="367" spans="1:12" x14ac:dyDescent="0.25">
      <c r="B367" s="23"/>
      <c r="D367" s="23"/>
      <c r="F367" s="18">
        <v>0</v>
      </c>
      <c r="G367" s="7" t="s">
        <v>147</v>
      </c>
      <c r="H367" s="18">
        <v>0</v>
      </c>
      <c r="I367" s="19">
        <v>0</v>
      </c>
      <c r="J367" s="7" t="s">
        <v>147</v>
      </c>
      <c r="K367" s="19">
        <v>0</v>
      </c>
      <c r="L367" s="25"/>
    </row>
    <row r="368" spans="1:12" x14ac:dyDescent="0.25">
      <c r="B368" s="23"/>
      <c r="D368" s="23"/>
      <c r="F368" s="18">
        <v>0</v>
      </c>
      <c r="G368" s="7" t="s">
        <v>147</v>
      </c>
      <c r="H368" s="18">
        <v>0</v>
      </c>
      <c r="I368" s="19">
        <v>0</v>
      </c>
      <c r="J368" s="7" t="s">
        <v>147</v>
      </c>
      <c r="K368" s="19">
        <v>0</v>
      </c>
      <c r="L368" s="25"/>
    </row>
    <row r="369" spans="2:12" x14ac:dyDescent="0.25">
      <c r="B369" s="23"/>
      <c r="D369" s="23"/>
      <c r="F369" s="18">
        <v>0</v>
      </c>
      <c r="G369" s="7" t="s">
        <v>147</v>
      </c>
      <c r="H369" s="18">
        <v>0</v>
      </c>
      <c r="I369" s="19">
        <v>0</v>
      </c>
      <c r="J369" s="7" t="s">
        <v>147</v>
      </c>
      <c r="K369" s="19">
        <v>0</v>
      </c>
      <c r="L369" s="25"/>
    </row>
    <row r="370" spans="2:12" x14ac:dyDescent="0.25">
      <c r="B370" s="23"/>
      <c r="D370" s="23"/>
      <c r="F370" s="18">
        <v>0</v>
      </c>
      <c r="G370" s="7" t="s">
        <v>147</v>
      </c>
      <c r="H370" s="18">
        <v>0</v>
      </c>
      <c r="I370" s="19">
        <v>0</v>
      </c>
      <c r="J370" s="7" t="s">
        <v>147</v>
      </c>
      <c r="K370" s="19">
        <v>0</v>
      </c>
      <c r="L370" s="25"/>
    </row>
    <row r="371" spans="2:12" x14ac:dyDescent="0.25">
      <c r="B371" s="23"/>
      <c r="D371" s="23"/>
      <c r="F371" s="18">
        <v>0</v>
      </c>
      <c r="G371" s="7" t="s">
        <v>147</v>
      </c>
      <c r="H371" s="18">
        <v>0</v>
      </c>
      <c r="I371" s="19">
        <v>0</v>
      </c>
      <c r="J371" s="7" t="s">
        <v>147</v>
      </c>
      <c r="K371" s="19">
        <v>0</v>
      </c>
      <c r="L371" s="25"/>
    </row>
    <row r="372" spans="2:12" x14ac:dyDescent="0.25">
      <c r="B372" s="23"/>
      <c r="D372" s="23"/>
      <c r="F372" s="18">
        <v>0</v>
      </c>
      <c r="G372" s="7" t="s">
        <v>147</v>
      </c>
      <c r="H372" s="18">
        <v>0</v>
      </c>
      <c r="I372" s="19">
        <v>0</v>
      </c>
      <c r="J372" s="7" t="s">
        <v>147</v>
      </c>
      <c r="K372" s="19">
        <v>0</v>
      </c>
      <c r="L372" s="25"/>
    </row>
    <row r="373" spans="2:12" x14ac:dyDescent="0.25">
      <c r="B373" s="23"/>
      <c r="D373" s="23"/>
      <c r="F373" s="18">
        <v>0</v>
      </c>
      <c r="G373" s="7" t="s">
        <v>147</v>
      </c>
      <c r="H373" s="18">
        <v>0</v>
      </c>
      <c r="I373" s="19">
        <v>0</v>
      </c>
      <c r="J373" s="7" t="s">
        <v>147</v>
      </c>
      <c r="K373" s="19">
        <v>0</v>
      </c>
      <c r="L373" s="25"/>
    </row>
    <row r="374" spans="2:12" x14ac:dyDescent="0.25">
      <c r="B374" s="23"/>
      <c r="D374" s="23"/>
      <c r="F374" s="18">
        <v>0</v>
      </c>
      <c r="G374" s="7" t="s">
        <v>147</v>
      </c>
      <c r="H374" s="18">
        <v>0</v>
      </c>
      <c r="I374" s="19">
        <v>0</v>
      </c>
      <c r="J374" s="7" t="s">
        <v>147</v>
      </c>
      <c r="K374" s="19">
        <v>0</v>
      </c>
      <c r="L374" s="25"/>
    </row>
    <row r="375" spans="2:12" x14ac:dyDescent="0.25">
      <c r="B375" s="23"/>
      <c r="D375" s="23"/>
      <c r="F375" s="18">
        <v>0</v>
      </c>
      <c r="G375" s="7" t="s">
        <v>147</v>
      </c>
      <c r="H375" s="18">
        <v>0</v>
      </c>
      <c r="I375" s="19">
        <v>0</v>
      </c>
      <c r="J375" s="7" t="s">
        <v>147</v>
      </c>
      <c r="K375" s="19">
        <v>0</v>
      </c>
      <c r="L375" s="25"/>
    </row>
    <row r="376" spans="2:12" x14ac:dyDescent="0.25">
      <c r="B376" s="23"/>
      <c r="D376" s="23"/>
      <c r="F376" s="18">
        <v>0</v>
      </c>
      <c r="G376" s="7" t="s">
        <v>147</v>
      </c>
      <c r="H376" s="18">
        <v>0</v>
      </c>
      <c r="I376" s="19">
        <v>0</v>
      </c>
      <c r="J376" s="7" t="s">
        <v>147</v>
      </c>
      <c r="K376" s="19">
        <v>0</v>
      </c>
      <c r="L376" s="25"/>
    </row>
    <row r="377" spans="2:12" x14ac:dyDescent="0.25">
      <c r="B377" s="23"/>
      <c r="D377" s="23"/>
      <c r="F377" s="18">
        <v>0</v>
      </c>
      <c r="G377" s="7" t="s">
        <v>147</v>
      </c>
      <c r="H377" s="18">
        <v>0</v>
      </c>
      <c r="I377" s="19">
        <v>0</v>
      </c>
      <c r="J377" s="7" t="s">
        <v>147</v>
      </c>
      <c r="K377" s="19">
        <v>0</v>
      </c>
      <c r="L377" s="25"/>
    </row>
    <row r="378" spans="2:12" x14ac:dyDescent="0.25">
      <c r="B378" s="23"/>
      <c r="D378" s="23"/>
      <c r="F378" s="18">
        <v>0</v>
      </c>
      <c r="G378" s="7" t="s">
        <v>147</v>
      </c>
      <c r="H378" s="18">
        <v>0</v>
      </c>
      <c r="I378" s="19">
        <v>0</v>
      </c>
      <c r="J378" s="7" t="s">
        <v>147</v>
      </c>
      <c r="K378" s="19">
        <v>0</v>
      </c>
      <c r="L378" s="25"/>
    </row>
    <row r="379" spans="2:12" x14ac:dyDescent="0.25">
      <c r="B379" s="23"/>
      <c r="D379" s="23"/>
      <c r="F379" s="18">
        <v>0</v>
      </c>
      <c r="G379" s="7" t="s">
        <v>147</v>
      </c>
      <c r="H379" s="18">
        <v>0</v>
      </c>
      <c r="I379" s="19">
        <v>0</v>
      </c>
      <c r="J379" s="7" t="s">
        <v>147</v>
      </c>
      <c r="K379" s="19">
        <v>0</v>
      </c>
      <c r="L379" s="25"/>
    </row>
    <row r="380" spans="2:12" x14ac:dyDescent="0.25">
      <c r="B380" s="23"/>
      <c r="D380" s="23"/>
      <c r="F380" s="18">
        <v>0</v>
      </c>
      <c r="G380" s="7" t="s">
        <v>147</v>
      </c>
      <c r="H380" s="18">
        <v>0</v>
      </c>
      <c r="I380" s="19">
        <v>0</v>
      </c>
      <c r="J380" s="7" t="s">
        <v>147</v>
      </c>
      <c r="K380" s="19">
        <v>0</v>
      </c>
      <c r="L380" s="25"/>
    </row>
    <row r="381" spans="2:12" x14ac:dyDescent="0.25">
      <c r="B381" s="23"/>
      <c r="D381" s="23"/>
      <c r="F381" s="18">
        <v>0</v>
      </c>
      <c r="G381" s="7" t="s">
        <v>147</v>
      </c>
      <c r="H381" s="18">
        <v>0</v>
      </c>
      <c r="I381" s="19">
        <v>0</v>
      </c>
      <c r="J381" s="7" t="s">
        <v>147</v>
      </c>
      <c r="K381" s="19">
        <v>0</v>
      </c>
      <c r="L381" s="25"/>
    </row>
    <row r="382" spans="2:12" x14ac:dyDescent="0.25">
      <c r="B382" s="23"/>
      <c r="D382" s="23"/>
      <c r="F382" s="18">
        <v>0</v>
      </c>
      <c r="G382" s="7" t="s">
        <v>147</v>
      </c>
      <c r="H382" s="18">
        <v>0</v>
      </c>
      <c r="I382" s="19">
        <v>0</v>
      </c>
      <c r="J382" s="7" t="s">
        <v>147</v>
      </c>
      <c r="K382" s="19">
        <v>0</v>
      </c>
      <c r="L382" s="25"/>
    </row>
    <row r="383" spans="2:12" x14ac:dyDescent="0.25">
      <c r="B383" s="23"/>
      <c r="D383" s="23"/>
      <c r="F383" s="18">
        <v>0</v>
      </c>
      <c r="G383" s="7" t="s">
        <v>147</v>
      </c>
      <c r="H383" s="18">
        <v>0</v>
      </c>
      <c r="I383" s="19">
        <v>0</v>
      </c>
      <c r="J383" s="7" t="s">
        <v>147</v>
      </c>
      <c r="K383" s="19">
        <v>0</v>
      </c>
      <c r="L383" s="25"/>
    </row>
    <row r="384" spans="2:12" x14ac:dyDescent="0.25">
      <c r="B384" s="23"/>
      <c r="D384" s="23"/>
      <c r="F384" s="18">
        <v>0</v>
      </c>
      <c r="G384" s="7" t="s">
        <v>147</v>
      </c>
      <c r="H384" s="18">
        <v>0</v>
      </c>
      <c r="I384" s="19">
        <v>0</v>
      </c>
      <c r="J384" s="7" t="s">
        <v>147</v>
      </c>
      <c r="K384" s="19">
        <v>0</v>
      </c>
      <c r="L384" s="25"/>
    </row>
  </sheetData>
  <mergeCells count="56">
    <mergeCell ref="F274:H274"/>
    <mergeCell ref="I14:K14"/>
    <mergeCell ref="F27:H27"/>
    <mergeCell ref="I1:K1"/>
    <mergeCell ref="F105:H105"/>
    <mergeCell ref="F131:H131"/>
    <mergeCell ref="I79:K79"/>
    <mergeCell ref="I170:K170"/>
    <mergeCell ref="I157:K157"/>
    <mergeCell ref="F92:H92"/>
    <mergeCell ref="F170:H170"/>
    <mergeCell ref="F261:H261"/>
    <mergeCell ref="I274:K274"/>
    <mergeCell ref="F222:H222"/>
    <mergeCell ref="F14:H14"/>
    <mergeCell ref="F1:H1"/>
    <mergeCell ref="I261:K261"/>
    <mergeCell ref="I105:K105"/>
    <mergeCell ref="F196:H196"/>
    <mergeCell ref="F183:H183"/>
    <mergeCell ref="I222:K222"/>
    <mergeCell ref="I183:K183"/>
    <mergeCell ref="I248:K248"/>
    <mergeCell ref="F209:H209"/>
    <mergeCell ref="I235:K235"/>
    <mergeCell ref="I118:K118"/>
    <mergeCell ref="I196:K196"/>
    <mergeCell ref="F235:H235"/>
    <mergeCell ref="I131:K131"/>
    <mergeCell ref="F144:H144"/>
    <mergeCell ref="I27:K27"/>
    <mergeCell ref="F118:H118"/>
    <mergeCell ref="F40:H40"/>
    <mergeCell ref="I144:K144"/>
    <mergeCell ref="F248:H248"/>
    <mergeCell ref="I209:K209"/>
    <mergeCell ref="I40:K40"/>
    <mergeCell ref="F157:H157"/>
    <mergeCell ref="F53:H53"/>
    <mergeCell ref="I92:K92"/>
    <mergeCell ref="I66:K66"/>
    <mergeCell ref="F79:H79"/>
    <mergeCell ref="I53:K53"/>
    <mergeCell ref="F66:H66"/>
    <mergeCell ref="F307:H307"/>
    <mergeCell ref="I307:K307"/>
    <mergeCell ref="F316:H316"/>
    <mergeCell ref="I316:K316"/>
    <mergeCell ref="F325:H325"/>
    <mergeCell ref="I325:K325"/>
    <mergeCell ref="F334:H334"/>
    <mergeCell ref="I334:K334"/>
    <mergeCell ref="F345:H345"/>
    <mergeCell ref="I345:K345"/>
    <mergeCell ref="F366:H366"/>
    <mergeCell ref="I366:K366"/>
  </mergeCells>
  <conditionalFormatting sqref="L2:L384">
    <cfRule type="expression" dxfId="1" priority="3">
      <formula>LEFT($M2,9)="Onbekend:"</formula>
    </cfRule>
    <cfRule type="expression" dxfId="0" priority="4">
      <formula>LEFT($M2,6)="LET OP"</formula>
    </cfRule>
  </conditionalFormatting>
  <dataValidations count="25">
    <dataValidation type="list" allowBlank="1" showInputMessage="1" showErrorMessage="1" sqref="B1 B131 B27 B40 B53 B66 B79 B92 B105 B118 B14 B144 B157 B170 B183 B196 B209 B222 B235 B248 B261 B274 B307 B316 B325 B334 B345 B366" xr:uid="{5EE9CB57-9BD8-4CC5-9255-5617ED99C25A}">
      <formula1>KIES_DIVISIE_KLASSE</formula1>
    </dataValidation>
    <dataValidation type="list" allowBlank="1" showInputMessage="1" showErrorMessage="1" sqref="D2:D11 B2:B11 B76" xr:uid="{CD149FDD-CF66-4060-AEFE-687CA8472D00}">
      <formula1>INDIRECT(SUBSTITUTE($B$1," ","_"))</formula1>
    </dataValidation>
    <dataValidation type="list" allowBlank="1" showDropDown="1" showInputMessage="1" showErrorMessage="1" sqref="G2:G11 J2:J11 E2:E11 G15:G24 G28:G37 G41:G50 G54:G63 G67:G76 G80:G89 G93:G102 G106:G115 G119:G128 J15:J24 J28:J37 J41:J50 J54:J63 J67:J76 J80:J89 J93:J102 J106:J115 J119:J128 E15:E24 E28:E37 E41:E50 E54:E63 E67:E76 E80:E89 E93:E102 E106:E115 E119:E128 E132:E141 G132:G141 J132:J141 E145:E154 G145:G154 J145:J154 E158:E167 G158:G167 J158:J167 E171:E180 G171:G180 J171:J180 E184:E193 G184:G193 J184:J193 E197:E206 G197:G206 J197:J206 E210:E219 G210:G219 J210:J219 E223:E232 G223:G232 J223:J232 E236:E245 G236:G245 J236:J245 E249:E258 G249:G258 J249:J258 E262:E271 J262:J271 G346:G365 J308:J315 G317:G324 J275:J306 G326:G333 G308:G315 G335:G344 J317:J324 J326:J333 G262:G271 G275:G306 J335:J344 J346:J365 G367:G384 J367:J384" xr:uid="{84924ACE-6A46-436B-927C-AB8C8181EFD3}">
      <formula1>"1,2,3,4,5,6,7,8,9,10,11,12,13,14,15"</formula1>
    </dataValidation>
    <dataValidation type="list" allowBlank="1" showInputMessage="1" showErrorMessage="1" sqref="F364:F365 K343:K344 H343:I344 H332:I333 H323:I324 H314:I315 F343:F344 H305:I306 F332:F333 K332:K333 F305:F306 F323:F324 K323:K324 K314:K315 F314:F315 K305:K306 H364:I365 K364:K365" xr:uid="{573EA121-5C2F-4B91-99C9-71C931F5328C}">
      <formula1>"0,1,2,3,4,5,6,7,8,9,10,11,12,13,14,15,16,17,18,19,20,afg.,gest."</formula1>
    </dataValidation>
    <dataValidation type="list" allowBlank="1" showInputMessage="1" showErrorMessage="1" sqref="D15:D24 B15:B24" xr:uid="{7B4701F3-2DEF-48DE-A3D5-303AD901120C}">
      <formula1>INDIRECT(SUBSTITUTE($B$14," ","_"))</formula1>
    </dataValidation>
    <dataValidation type="list" allowBlank="1" showInputMessage="1" showErrorMessage="1" sqref="B28:B37 D28:D37" xr:uid="{6C3BAC1F-4230-410E-8A48-6D50052DC739}">
      <formula1>INDIRECT(SUBSTITUTE($B$27," ","_"))</formula1>
    </dataValidation>
    <dataValidation type="list" allowBlank="1" showInputMessage="1" showErrorMessage="1" sqref="D41:D50 B41:B50" xr:uid="{E1C7A3B8-E41A-47B0-814D-8046F054F7C1}">
      <formula1>INDIRECT(SUBSTITUTE($B$40," ","_"))</formula1>
    </dataValidation>
    <dataValidation type="list" allowBlank="1" showInputMessage="1" showErrorMessage="1" sqref="B54:B63 D54:D63" xr:uid="{66BC344F-33E8-4478-8A72-7D3591182051}">
      <formula1>INDIRECT(SUBSTITUTE($B$53," ","_"))</formula1>
    </dataValidation>
    <dataValidation type="list" allowBlank="1" showInputMessage="1" showErrorMessage="1" sqref="B132:B141 D132:D141" xr:uid="{91AE0AAE-B680-4A61-8173-73E6E280B031}">
      <formula1>INDIRECT(SUBSTITUTE($B$131," ","_"))</formula1>
    </dataValidation>
    <dataValidation type="list" allowBlank="1" showInputMessage="1" showErrorMessage="1" sqref="B119:B128 D119:D128" xr:uid="{5041AF8C-061B-4640-95E9-54AC46B9E472}">
      <formula1>INDIRECT(SUBSTITUTE($B$118," ","_"))</formula1>
    </dataValidation>
    <dataValidation type="list" allowBlank="1" showInputMessage="1" showErrorMessage="1" sqref="B93:B102 D93:D102" xr:uid="{69F4ADFC-8F4A-45B2-8541-64B29E17B25B}">
      <formula1>INDIRECT(SUBSTITUTE($B$92," ","_"))</formula1>
    </dataValidation>
    <dataValidation type="list" allowBlank="1" showInputMessage="1" showErrorMessage="1" sqref="B80:B89 D80:D89" xr:uid="{F2DA8F28-E414-49B2-B57F-46E7E6709546}">
      <formula1>INDIRECT(SUBSTITUTE($B$79," ","_"))</formula1>
    </dataValidation>
    <dataValidation type="list" allowBlank="1" showInputMessage="1" showErrorMessage="1" sqref="B67:B75 D67:D76" xr:uid="{CE641349-DDBE-4664-A37F-923D2A7A21F7}">
      <formula1>INDIRECT(SUBSTITUTE($B$66," ","_"))</formula1>
    </dataValidation>
    <dataValidation type="list" allowBlank="1" showInputMessage="1" showErrorMessage="1" sqref="B106:B115 D106:D115" xr:uid="{995136E8-029B-40DB-B223-E7BDA4B2FD29}">
      <formula1>INDIRECT(SUBSTITUTE($B$105," ","_"))</formula1>
    </dataValidation>
    <dataValidation type="list" allowBlank="1" showInputMessage="1" showErrorMessage="1" sqref="B145:B154 D145:D154" xr:uid="{1F483264-2AE1-43CB-81ED-52C6FD9ABD7C}">
      <formula1>INDIRECT(SUBSTITUTE($B$144," ","_"))</formula1>
    </dataValidation>
    <dataValidation type="list" allowBlank="1" showInputMessage="1" showErrorMessage="1" sqref="B158:B167 D158:D167" xr:uid="{7E7E0D7D-03B4-4254-AACB-78A7ABF2B4ED}">
      <formula1>INDIRECT(SUBSTITUTE($B$157," ","_"))</formula1>
    </dataValidation>
    <dataValidation type="list" allowBlank="1" showInputMessage="1" showErrorMessage="1" sqref="B171:B180 D171:D180" xr:uid="{76E5F206-9669-489D-BA66-7118E89C46FC}">
      <formula1>INDIRECT(SUBSTITUTE($B$170," ","_"))</formula1>
    </dataValidation>
    <dataValidation type="list" allowBlank="1" showInputMessage="1" showErrorMessage="1" sqref="B184:B193 D184:D193" xr:uid="{11D90B6F-D165-472F-BDD4-3399FA7C8EB6}">
      <formula1>INDIRECT(SUBSTITUTE($B$183," ","_"))</formula1>
    </dataValidation>
    <dataValidation type="list" allowBlank="1" showInputMessage="1" showErrorMessage="1" sqref="B197:B206 D197:D206" xr:uid="{BE2D7BC5-EF06-45AA-8FBC-57AE746A8187}">
      <formula1>INDIRECT(SUBSTITUTE($B$196," ","_"))</formula1>
    </dataValidation>
    <dataValidation type="list" allowBlank="1" showInputMessage="1" showErrorMessage="1" sqref="B210:B219 D210:D219" xr:uid="{3B842C2D-5163-444B-8F98-04B3D8BABF47}">
      <formula1>INDIRECT(SUBSTITUTE($B$209," ","_"))</formula1>
    </dataValidation>
    <dataValidation type="list" allowBlank="1" showInputMessage="1" showErrorMessage="1" sqref="B223:B232 D223:D232" xr:uid="{0C62CEE1-A765-49DF-8BAA-7B2710B6BFBB}">
      <formula1>INDIRECT(SUBSTITUTE($B$222," ","_"))</formula1>
    </dataValidation>
    <dataValidation type="list" allowBlank="1" showInputMessage="1" showErrorMessage="1" sqref="B236:B245 D236:D245" xr:uid="{EF9A5F2B-0DCE-40A6-92DE-1DF4468EFE83}">
      <formula1>INDIRECT(SUBSTITUTE($B$235," ","_"))</formula1>
    </dataValidation>
    <dataValidation type="list" allowBlank="1" showInputMessage="1" showErrorMessage="1" sqref="B249:B258 D249:D258" xr:uid="{E12E1E59-2BD6-477D-8B8F-8DFAE9755F05}">
      <formula1>INDIRECT(SUBSTITUTE($B$248," ","_"))</formula1>
    </dataValidation>
    <dataValidation type="list" allowBlank="1" showInputMessage="1" showErrorMessage="1" sqref="B262:B271 D262:D271" xr:uid="{7AF96BE3-C886-4628-A034-B29D49A17A12}">
      <formula1>INDIRECT(SUBSTITUTE($B$261," ","_"))</formula1>
    </dataValidation>
    <dataValidation type="list" allowBlank="1" showInputMessage="1" showErrorMessage="1" sqref="F2:F11 H2:I11 K2:K11 F15:F24 H15:I24 K15:K24 F28:F37 H28:I37 K28:K37 F41:F50 H41:I50 K41:K50 F54:F63 H54:I63 K54:K63 F67:F76 H67:I76 K67:K76 F80:F89 H80:I89 K80:K89 F93:F102 H93:I102 K93:K102 F106:F115 H106:I115 K106:K115 F119:F128 H119:I128 K119:K128 F132:F141 H132:I141 K132:K141 F145:F154 H145:I154 K145:K154 F158:F167 H158:I167 K158:K167 F171:F180 H171:I180 K171:K180 F184:F193 H184:I193 K184:K193 F197:F206 H197:I206 K197:K206 F210:F219 H210:I219 K210:K219 F223:F232 H223:I232 K223:K232 F236:F245 H236:I245 K236:K245 F249:F258 H249:I258 K249:K258 F262:F271 H262:I271 K262:K271 F275:F304 H275:I304 K275:K304 F308:F313 H308:I313 K308:K313 F317:F322 H317:I322 K317:K322 H335:I342 K335:K342 F335:F342 F326:F331 H326:I331 K326:K331 F346:F363 H346:I363 K346:K363 F367:F384 H367:I384 K367:K384" xr:uid="{2F1D8A39-005B-4EED-AFDF-CC9A16B11182}">
      <formula1>"0,1,2,3,4,5,6,7,8,9,10,11,12,13,14,15,16,17,18,19,20,afg.,gest.,uitg."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33"/>
  <sheetViews>
    <sheetView workbookViewId="0">
      <selection activeCell="H7" sqref="H7"/>
    </sheetView>
  </sheetViews>
  <sheetFormatPr defaultColWidth="8.85546875" defaultRowHeight="15" x14ac:dyDescent="0.25"/>
  <cols>
    <col min="2" max="2" width="25.28515625" customWidth="1"/>
    <col min="3" max="3" width="2.7109375" customWidth="1"/>
    <col min="4" max="4" width="27.7109375" bestFit="1" customWidth="1"/>
    <col min="5" max="5" width="2.7109375" customWidth="1"/>
    <col min="6" max="6" width="20.28515625" customWidth="1"/>
    <col min="7" max="7" width="2.7109375" customWidth="1"/>
    <col min="8" max="8" width="18.7109375" customWidth="1"/>
    <col min="9" max="9" width="2.7109375" customWidth="1"/>
    <col min="10" max="10" width="18.7109375" customWidth="1"/>
    <col min="11" max="11" width="2.7109375" customWidth="1"/>
    <col min="12" max="12" width="18.7109375" customWidth="1"/>
    <col min="13" max="13" width="2.7109375" customWidth="1"/>
    <col min="14" max="14" width="18.7109375" customWidth="1"/>
    <col min="15" max="15" width="2.7109375" customWidth="1"/>
    <col min="16" max="16" width="35.28515625" customWidth="1"/>
    <col min="17" max="17" width="2.7109375" customWidth="1"/>
    <col min="18" max="18" width="18.7109375" customWidth="1"/>
    <col min="19" max="19" width="2.7109375" customWidth="1"/>
    <col min="20" max="20" width="18.7109375" customWidth="1"/>
    <col min="21" max="21" width="2.7109375" customWidth="1"/>
    <col min="22" max="22" width="22.5703125" customWidth="1"/>
    <col min="23" max="23" width="2.7109375" customWidth="1"/>
    <col min="24" max="24" width="18.7109375" customWidth="1"/>
    <col min="25" max="25" width="2.7109375" customWidth="1"/>
    <col min="26" max="26" width="18.7109375" customWidth="1"/>
    <col min="27" max="27" width="2.7109375" customWidth="1"/>
    <col min="28" max="28" width="18.7109375" customWidth="1"/>
    <col min="29" max="29" width="2.7109375" customWidth="1"/>
    <col min="30" max="30" width="18.7109375" customWidth="1"/>
    <col min="31" max="31" width="2.7109375" customWidth="1"/>
    <col min="32" max="32" width="19.28515625" bestFit="1" customWidth="1"/>
    <col min="33" max="33" width="2.7109375" customWidth="1"/>
    <col min="34" max="34" width="18.7109375" customWidth="1"/>
    <col min="35" max="35" width="2.7109375" customWidth="1"/>
    <col min="36" max="36" width="18.7109375" customWidth="1"/>
    <col min="37" max="37" width="2.7109375" customWidth="1"/>
    <col min="38" max="38" width="18.7109375" customWidth="1"/>
    <col min="39" max="39" width="2.7109375" customWidth="1"/>
    <col min="40" max="40" width="18.7109375" customWidth="1"/>
    <col min="41" max="41" width="2.7109375" customWidth="1"/>
    <col min="42" max="42" width="18.7109375" customWidth="1"/>
    <col min="43" max="43" width="2.7109375" customWidth="1"/>
    <col min="44" max="44" width="28.140625" customWidth="1"/>
    <col min="45" max="45" width="2.7109375" customWidth="1"/>
    <col min="46" max="46" width="28.140625" customWidth="1"/>
    <col min="47" max="47" width="2.7109375" customWidth="1"/>
    <col min="48" max="48" width="18.7109375" customWidth="1"/>
    <col min="49" max="49" width="2.7109375" customWidth="1"/>
    <col min="50" max="50" width="24.5703125" bestFit="1" customWidth="1"/>
    <col min="51" max="51" width="2.7109375" customWidth="1"/>
    <col min="52" max="52" width="24.5703125" bestFit="1" customWidth="1"/>
    <col min="53" max="53" width="2.7109375" customWidth="1"/>
    <col min="54" max="54" width="24.5703125" bestFit="1" customWidth="1"/>
    <col min="55" max="55" width="2.7109375" customWidth="1"/>
    <col min="56" max="56" width="24.5703125" bestFit="1" customWidth="1"/>
    <col min="57" max="57" width="2.7109375" customWidth="1"/>
    <col min="58" max="58" width="24.5703125" bestFit="1" customWidth="1"/>
    <col min="59" max="59" width="2.7109375" customWidth="1"/>
    <col min="60" max="60" width="24.5703125" bestFit="1" customWidth="1"/>
    <col min="61" max="70" width="2.7109375" customWidth="1"/>
    <col min="71" max="71" width="25.140625" customWidth="1"/>
    <col min="72" max="72" width="26.140625" customWidth="1"/>
  </cols>
  <sheetData>
    <row r="1" spans="1:72" x14ac:dyDescent="0.25">
      <c r="A1" t="s">
        <v>163</v>
      </c>
      <c r="B1" s="1"/>
      <c r="D1" t="s">
        <v>164</v>
      </c>
      <c r="F1" t="s">
        <v>0</v>
      </c>
      <c r="H1" t="s">
        <v>148</v>
      </c>
      <c r="J1" t="s">
        <v>149</v>
      </c>
      <c r="L1" t="s">
        <v>1525</v>
      </c>
      <c r="N1" t="s">
        <v>1526</v>
      </c>
      <c r="P1" t="s">
        <v>1531</v>
      </c>
      <c r="R1" t="s">
        <v>1535</v>
      </c>
      <c r="T1" t="s">
        <v>151</v>
      </c>
      <c r="V1" t="s">
        <v>152</v>
      </c>
      <c r="X1" t="s">
        <v>153</v>
      </c>
      <c r="Z1" t="s">
        <v>154</v>
      </c>
      <c r="AB1" t="s">
        <v>1539</v>
      </c>
      <c r="AD1" t="s">
        <v>155</v>
      </c>
      <c r="AF1" t="s">
        <v>156</v>
      </c>
      <c r="AH1" t="s">
        <v>157</v>
      </c>
      <c r="AJ1" t="s">
        <v>158</v>
      </c>
      <c r="AL1" t="s">
        <v>159</v>
      </c>
      <c r="AN1" t="s">
        <v>160</v>
      </c>
      <c r="AP1" t="s">
        <v>161</v>
      </c>
      <c r="AR1" t="s">
        <v>1575</v>
      </c>
      <c r="AT1" t="s">
        <v>1576</v>
      </c>
      <c r="AV1" t="s">
        <v>162</v>
      </c>
      <c r="AX1" t="s">
        <v>1502</v>
      </c>
      <c r="AZ1" t="s">
        <v>1503</v>
      </c>
      <c r="BB1" t="s">
        <v>1504</v>
      </c>
      <c r="BD1" t="s">
        <v>1505</v>
      </c>
      <c r="BF1" t="s">
        <v>1506</v>
      </c>
      <c r="BH1" t="s">
        <v>1507</v>
      </c>
      <c r="BS1" t="s">
        <v>165</v>
      </c>
      <c r="BT1" t="s">
        <v>166</v>
      </c>
    </row>
    <row r="2" spans="1:72" x14ac:dyDescent="0.25">
      <c r="A2" t="s">
        <v>167</v>
      </c>
      <c r="B2" s="1"/>
      <c r="D2" t="s">
        <v>168</v>
      </c>
      <c r="BS2" t="s">
        <v>0</v>
      </c>
      <c r="BT2" t="s">
        <v>170</v>
      </c>
    </row>
    <row r="3" spans="1:72" x14ac:dyDescent="0.25">
      <c r="D3" t="s">
        <v>0</v>
      </c>
      <c r="F3" t="s">
        <v>171</v>
      </c>
      <c r="H3" t="s">
        <v>188</v>
      </c>
      <c r="J3" s="26" t="s">
        <v>240</v>
      </c>
      <c r="L3" s="26" t="s">
        <v>173</v>
      </c>
      <c r="N3" t="s">
        <v>1527</v>
      </c>
      <c r="P3" s="26" t="s">
        <v>175</v>
      </c>
      <c r="R3" s="26" t="s">
        <v>176</v>
      </c>
      <c r="T3" s="26" t="s">
        <v>177</v>
      </c>
      <c r="V3" s="26" t="s">
        <v>194</v>
      </c>
      <c r="X3" s="26" t="s">
        <v>179</v>
      </c>
      <c r="Z3" s="26" t="s">
        <v>169</v>
      </c>
      <c r="AB3" s="26" t="s">
        <v>235</v>
      </c>
      <c r="AD3" s="26" t="s">
        <v>1547</v>
      </c>
      <c r="AF3" t="s">
        <v>196</v>
      </c>
      <c r="AH3" s="26" t="s">
        <v>199</v>
      </c>
      <c r="AJ3" s="26" t="s">
        <v>182</v>
      </c>
      <c r="AL3" s="26" t="s">
        <v>217</v>
      </c>
      <c r="AN3" s="26" t="s">
        <v>185</v>
      </c>
      <c r="AP3" s="26" t="s">
        <v>180</v>
      </c>
      <c r="AR3" t="s">
        <v>1579</v>
      </c>
      <c r="AT3" t="s">
        <v>1602</v>
      </c>
      <c r="BS3" t="s">
        <v>148</v>
      </c>
      <c r="BT3" t="s">
        <v>186</v>
      </c>
    </row>
    <row r="4" spans="1:72" x14ac:dyDescent="0.25">
      <c r="D4" t="s">
        <v>148</v>
      </c>
      <c r="F4" t="s">
        <v>187</v>
      </c>
      <c r="H4" t="s">
        <v>203</v>
      </c>
      <c r="J4" s="26" t="s">
        <v>172</v>
      </c>
      <c r="L4" s="26" t="s">
        <v>205</v>
      </c>
      <c r="N4" s="26" t="s">
        <v>174</v>
      </c>
      <c r="P4" s="26" t="s">
        <v>191</v>
      </c>
      <c r="R4" s="26" t="s">
        <v>207</v>
      </c>
      <c r="T4" s="26" t="s">
        <v>193</v>
      </c>
      <c r="V4" s="26" t="s">
        <v>260</v>
      </c>
      <c r="X4" s="26" t="s">
        <v>195</v>
      </c>
      <c r="Z4" s="26" t="s">
        <v>184</v>
      </c>
      <c r="AB4" t="s">
        <v>1540</v>
      </c>
      <c r="AD4" t="s">
        <v>249</v>
      </c>
      <c r="AF4" t="s">
        <v>214</v>
      </c>
      <c r="AH4" s="26" t="s">
        <v>181</v>
      </c>
      <c r="AJ4" s="26" t="s">
        <v>298</v>
      </c>
      <c r="AL4" s="26" t="s">
        <v>252</v>
      </c>
      <c r="AN4" s="26" t="s">
        <v>183</v>
      </c>
      <c r="AP4" t="s">
        <v>1555</v>
      </c>
      <c r="AR4" t="s">
        <v>1580</v>
      </c>
      <c r="AT4" t="s">
        <v>1594</v>
      </c>
      <c r="BS4" t="s">
        <v>149</v>
      </c>
      <c r="BT4" t="s">
        <v>201</v>
      </c>
    </row>
    <row r="5" spans="1:72" x14ac:dyDescent="0.25">
      <c r="D5" t="s">
        <v>149</v>
      </c>
      <c r="F5" t="s">
        <v>222</v>
      </c>
      <c r="H5" t="s">
        <v>1517</v>
      </c>
      <c r="J5" t="s">
        <v>189</v>
      </c>
      <c r="L5" s="26" t="s">
        <v>224</v>
      </c>
      <c r="N5" t="s">
        <v>190</v>
      </c>
      <c r="P5" s="26" t="s">
        <v>1532</v>
      </c>
      <c r="R5" s="26" t="s">
        <v>241</v>
      </c>
      <c r="T5" s="26" t="s">
        <v>209</v>
      </c>
      <c r="V5" s="26" t="s">
        <v>309</v>
      </c>
      <c r="X5" s="26" t="s">
        <v>211</v>
      </c>
      <c r="Z5" s="26" t="s">
        <v>218</v>
      </c>
      <c r="AB5" s="26" t="s">
        <v>267</v>
      </c>
      <c r="AD5" s="26" t="s">
        <v>225</v>
      </c>
      <c r="AF5" t="s">
        <v>264</v>
      </c>
      <c r="AH5" s="26" t="s">
        <v>347</v>
      </c>
      <c r="AJ5" s="26" t="s">
        <v>198</v>
      </c>
      <c r="AL5" s="26" t="s">
        <v>234</v>
      </c>
      <c r="AN5" s="26" t="s">
        <v>219</v>
      </c>
      <c r="AP5" t="s">
        <v>1556</v>
      </c>
      <c r="AR5" t="s">
        <v>1582</v>
      </c>
      <c r="AT5" t="s">
        <v>1595</v>
      </c>
      <c r="BS5" t="s">
        <v>1525</v>
      </c>
      <c r="BT5" t="s">
        <v>1567</v>
      </c>
    </row>
    <row r="6" spans="1:72" x14ac:dyDescent="0.25">
      <c r="D6" t="s">
        <v>1525</v>
      </c>
      <c r="F6" s="26" t="s">
        <v>239</v>
      </c>
      <c r="H6" s="26" t="s">
        <v>353</v>
      </c>
      <c r="J6" t="s">
        <v>204</v>
      </c>
      <c r="L6" s="26" t="s">
        <v>255</v>
      </c>
      <c r="N6" t="s">
        <v>233</v>
      </c>
      <c r="P6" s="26" t="s">
        <v>244</v>
      </c>
      <c r="R6" s="26" t="s">
        <v>192</v>
      </c>
      <c r="T6" s="26" t="s">
        <v>197</v>
      </c>
      <c r="V6" s="26" t="s">
        <v>275</v>
      </c>
      <c r="X6" s="26" t="s">
        <v>247</v>
      </c>
      <c r="Z6" s="26" t="s">
        <v>1538</v>
      </c>
      <c r="AB6" t="s">
        <v>232</v>
      </c>
      <c r="AD6" s="26" t="s">
        <v>213</v>
      </c>
      <c r="AF6" t="s">
        <v>296</v>
      </c>
      <c r="AH6" s="26" t="s">
        <v>228</v>
      </c>
      <c r="AJ6" s="26" t="s">
        <v>178</v>
      </c>
      <c r="AL6" s="26" t="s">
        <v>1551</v>
      </c>
      <c r="AN6" s="26" t="s">
        <v>236</v>
      </c>
      <c r="AP6" t="s">
        <v>1557</v>
      </c>
      <c r="AR6" t="s">
        <v>1583</v>
      </c>
      <c r="AT6" s="26" t="s">
        <v>1599</v>
      </c>
      <c r="BS6" t="s">
        <v>1526</v>
      </c>
      <c r="BT6" t="s">
        <v>1568</v>
      </c>
    </row>
    <row r="7" spans="1:72" x14ac:dyDescent="0.25">
      <c r="D7" t="s">
        <v>1526</v>
      </c>
      <c r="F7" t="s">
        <v>1514</v>
      </c>
      <c r="H7" t="s">
        <v>269</v>
      </c>
      <c r="J7" t="s">
        <v>223</v>
      </c>
      <c r="L7" s="26" t="s">
        <v>257</v>
      </c>
      <c r="N7" s="26" t="s">
        <v>206</v>
      </c>
      <c r="P7" s="26" t="s">
        <v>150</v>
      </c>
      <c r="R7" s="26" t="s">
        <v>208</v>
      </c>
      <c r="T7" s="26" t="s">
        <v>227</v>
      </c>
      <c r="V7" s="26" t="s">
        <v>292</v>
      </c>
      <c r="X7" s="26" t="s">
        <v>283</v>
      </c>
      <c r="Z7" s="26" t="s">
        <v>243</v>
      </c>
      <c r="AB7" t="s">
        <v>1541</v>
      </c>
      <c r="AD7" s="26" t="s">
        <v>200</v>
      </c>
      <c r="AF7" t="s">
        <v>1560</v>
      </c>
      <c r="AH7" s="26" t="s">
        <v>216</v>
      </c>
      <c r="AJ7" s="26" t="s">
        <v>215</v>
      </c>
      <c r="AL7" s="26" t="s">
        <v>261</v>
      </c>
      <c r="AN7" s="26" t="s">
        <v>268</v>
      </c>
      <c r="AP7" s="26" t="s">
        <v>350</v>
      </c>
      <c r="AR7" t="s">
        <v>1586</v>
      </c>
      <c r="AT7" t="s">
        <v>1592</v>
      </c>
      <c r="BS7" t="s">
        <v>1531</v>
      </c>
      <c r="BT7" t="s">
        <v>1569</v>
      </c>
    </row>
    <row r="8" spans="1:72" x14ac:dyDescent="0.25">
      <c r="D8" t="s">
        <v>1531</v>
      </c>
      <c r="F8" t="s">
        <v>202</v>
      </c>
      <c r="H8" t="s">
        <v>286</v>
      </c>
      <c r="J8" t="s">
        <v>270</v>
      </c>
      <c r="L8" s="26" t="s">
        <v>256</v>
      </c>
      <c r="N8" s="26" t="s">
        <v>279</v>
      </c>
      <c r="P8" s="26" t="s">
        <v>293</v>
      </c>
      <c r="R8" s="26" t="s">
        <v>226</v>
      </c>
      <c r="T8" s="26" t="s">
        <v>259</v>
      </c>
      <c r="V8" s="26" t="s">
        <v>356</v>
      </c>
      <c r="X8" s="26" t="s">
        <v>276</v>
      </c>
      <c r="Z8" s="26" t="s">
        <v>212</v>
      </c>
      <c r="AB8" t="s">
        <v>278</v>
      </c>
      <c r="AD8" s="26" t="s">
        <v>295</v>
      </c>
      <c r="AF8" t="s">
        <v>1561</v>
      </c>
      <c r="AH8" s="26" t="s">
        <v>250</v>
      </c>
      <c r="AJ8" s="26" t="s">
        <v>1549</v>
      </c>
      <c r="AL8" s="26" t="s">
        <v>262</v>
      </c>
      <c r="AN8" t="s">
        <v>284</v>
      </c>
      <c r="AP8" s="26" t="s">
        <v>220</v>
      </c>
      <c r="AR8" s="26" t="s">
        <v>1603</v>
      </c>
      <c r="AT8" t="s">
        <v>1597</v>
      </c>
      <c r="BS8" t="s">
        <v>1535</v>
      </c>
      <c r="BT8" t="s">
        <v>1570</v>
      </c>
    </row>
    <row r="9" spans="1:72" x14ac:dyDescent="0.25">
      <c r="D9" t="s">
        <v>1535</v>
      </c>
      <c r="F9" t="s">
        <v>221</v>
      </c>
      <c r="H9" s="26" t="s">
        <v>368</v>
      </c>
      <c r="J9" t="s">
        <v>287</v>
      </c>
      <c r="L9" s="26" t="s">
        <v>271</v>
      </c>
      <c r="N9" s="26" t="s">
        <v>242</v>
      </c>
      <c r="P9" s="26" t="s">
        <v>289</v>
      </c>
      <c r="R9" s="26" t="s">
        <v>245</v>
      </c>
      <c r="T9" s="26" t="s">
        <v>1536</v>
      </c>
      <c r="V9" s="26" t="s">
        <v>362</v>
      </c>
      <c r="X9" s="26" t="s">
        <v>308</v>
      </c>
      <c r="Z9" s="26" t="s">
        <v>231</v>
      </c>
      <c r="AB9" t="s">
        <v>1542</v>
      </c>
      <c r="AD9" s="26" t="s">
        <v>248</v>
      </c>
      <c r="AF9" t="s">
        <v>1562</v>
      </c>
      <c r="AH9" s="26" t="s">
        <v>265</v>
      </c>
      <c r="AJ9" s="26" t="s">
        <v>210</v>
      </c>
      <c r="AL9" s="26" t="s">
        <v>300</v>
      </c>
      <c r="AN9" s="26" t="s">
        <v>237</v>
      </c>
      <c r="AP9" t="s">
        <v>1558</v>
      </c>
      <c r="AR9" t="s">
        <v>1585</v>
      </c>
      <c r="AT9" s="26" t="s">
        <v>1593</v>
      </c>
      <c r="BS9" t="s">
        <v>151</v>
      </c>
      <c r="BT9" t="s">
        <v>151</v>
      </c>
    </row>
    <row r="10" spans="1:72" x14ac:dyDescent="0.25">
      <c r="D10" t="s">
        <v>151</v>
      </c>
      <c r="F10" t="s">
        <v>238</v>
      </c>
      <c r="H10" t="s">
        <v>1518</v>
      </c>
      <c r="J10" t="s">
        <v>1521</v>
      </c>
      <c r="L10" s="26" t="s">
        <v>307</v>
      </c>
      <c r="N10" t="s">
        <v>272</v>
      </c>
      <c r="P10" t="s">
        <v>1533</v>
      </c>
      <c r="R10" s="26" t="s">
        <v>258</v>
      </c>
      <c r="T10" s="26" t="s">
        <v>273</v>
      </c>
      <c r="V10" s="26" t="s">
        <v>310</v>
      </c>
      <c r="X10" s="26" t="s">
        <v>311</v>
      </c>
      <c r="Z10" s="26" t="s">
        <v>230</v>
      </c>
      <c r="AB10" s="26" t="s">
        <v>337</v>
      </c>
      <c r="AD10" s="26" t="s">
        <v>263</v>
      </c>
      <c r="AF10" s="26" t="s">
        <v>1563</v>
      </c>
      <c r="AH10" s="26" t="s">
        <v>314</v>
      </c>
      <c r="AJ10" s="26" t="s">
        <v>1550</v>
      </c>
      <c r="AL10" s="26" t="s">
        <v>332</v>
      </c>
      <c r="AN10" s="26" t="s">
        <v>301</v>
      </c>
      <c r="AP10" s="26" t="s">
        <v>253</v>
      </c>
      <c r="AR10" t="s">
        <v>1587</v>
      </c>
      <c r="AT10" t="s">
        <v>1596</v>
      </c>
      <c r="BS10" t="s">
        <v>152</v>
      </c>
      <c r="BT10" t="s">
        <v>304</v>
      </c>
    </row>
    <row r="11" spans="1:72" x14ac:dyDescent="0.25">
      <c r="D11" t="s">
        <v>152</v>
      </c>
      <c r="F11" s="26" t="s">
        <v>254</v>
      </c>
      <c r="H11" t="s">
        <v>303</v>
      </c>
      <c r="J11" s="26" t="s">
        <v>320</v>
      </c>
      <c r="L11" s="26" t="s">
        <v>324</v>
      </c>
      <c r="N11" t="s">
        <v>306</v>
      </c>
      <c r="P11" s="26" t="s">
        <v>338</v>
      </c>
      <c r="R11" s="26" t="s">
        <v>229</v>
      </c>
      <c r="T11" s="26" t="s">
        <v>274</v>
      </c>
      <c r="V11" s="26" t="s">
        <v>326</v>
      </c>
      <c r="X11" s="26" t="s">
        <v>330</v>
      </c>
      <c r="Z11" s="26" t="s">
        <v>277</v>
      </c>
      <c r="AB11" t="s">
        <v>1543</v>
      </c>
      <c r="AD11" t="s">
        <v>1548</v>
      </c>
      <c r="AF11" t="s">
        <v>1564</v>
      </c>
      <c r="AH11" s="26" t="s">
        <v>346</v>
      </c>
      <c r="AJ11" s="26" t="s">
        <v>251</v>
      </c>
      <c r="AL11" s="26" t="s">
        <v>1552</v>
      </c>
      <c r="AN11" s="26" t="s">
        <v>294</v>
      </c>
      <c r="AP11" t="s">
        <v>1559</v>
      </c>
      <c r="AR11" t="s">
        <v>1588</v>
      </c>
      <c r="AT11" t="s">
        <v>1598</v>
      </c>
      <c r="BS11" t="s">
        <v>153</v>
      </c>
      <c r="BT11" t="s">
        <v>318</v>
      </c>
    </row>
    <row r="12" spans="1:72" x14ac:dyDescent="0.25">
      <c r="D12" t="s">
        <v>153</v>
      </c>
      <c r="F12" t="s">
        <v>285</v>
      </c>
      <c r="H12" t="s">
        <v>317</v>
      </c>
      <c r="J12" t="s">
        <v>1522</v>
      </c>
      <c r="L12" s="26" t="s">
        <v>321</v>
      </c>
      <c r="N12" t="s">
        <v>1528</v>
      </c>
      <c r="P12" s="26" t="s">
        <v>339</v>
      </c>
      <c r="R12" s="26" t="s">
        <v>290</v>
      </c>
      <c r="T12" s="26" t="s">
        <v>313</v>
      </c>
      <c r="V12" s="26" t="s">
        <v>341</v>
      </c>
      <c r="X12" s="26" t="s">
        <v>323</v>
      </c>
      <c r="Z12" s="26" t="s">
        <v>327</v>
      </c>
      <c r="AB12" t="s">
        <v>1544</v>
      </c>
      <c r="AD12" t="s">
        <v>329</v>
      </c>
      <c r="AF12" t="s">
        <v>361</v>
      </c>
      <c r="AH12" s="26" t="s">
        <v>282</v>
      </c>
      <c r="AJ12" s="26" t="s">
        <v>280</v>
      </c>
      <c r="AL12" s="26" t="s">
        <v>349</v>
      </c>
      <c r="AN12" t="s">
        <v>333</v>
      </c>
      <c r="AP12" t="s">
        <v>302</v>
      </c>
      <c r="AR12" t="s">
        <v>1581</v>
      </c>
      <c r="AT12" t="s">
        <v>1590</v>
      </c>
      <c r="BS12" t="s">
        <v>154</v>
      </c>
      <c r="BT12" t="s">
        <v>335</v>
      </c>
    </row>
    <row r="13" spans="1:72" x14ac:dyDescent="0.25">
      <c r="D13" t="s">
        <v>154</v>
      </c>
      <c r="F13" t="s">
        <v>305</v>
      </c>
      <c r="H13" t="s">
        <v>1519</v>
      </c>
      <c r="J13" t="s">
        <v>1523</v>
      </c>
      <c r="L13" s="26" t="s">
        <v>354</v>
      </c>
      <c r="N13" s="26" t="s">
        <v>322</v>
      </c>
      <c r="P13" s="26" t="s">
        <v>328</v>
      </c>
      <c r="R13" s="26" t="s">
        <v>288</v>
      </c>
      <c r="T13" s="26" t="s">
        <v>291</v>
      </c>
      <c r="V13" s="26" t="s">
        <v>363</v>
      </c>
      <c r="X13" s="26" t="s">
        <v>342</v>
      </c>
      <c r="Z13" s="26" t="s">
        <v>312</v>
      </c>
      <c r="AB13" t="s">
        <v>1545</v>
      </c>
      <c r="AD13" s="26" t="s">
        <v>344</v>
      </c>
      <c r="AF13" s="26" t="s">
        <v>345</v>
      </c>
      <c r="AH13" s="26" t="s">
        <v>325</v>
      </c>
      <c r="AJ13" s="26" t="s">
        <v>297</v>
      </c>
      <c r="AL13" s="26" t="s">
        <v>299</v>
      </c>
      <c r="AN13" t="s">
        <v>1553</v>
      </c>
      <c r="AP13" t="s">
        <v>316</v>
      </c>
      <c r="AR13" t="s">
        <v>1584</v>
      </c>
      <c r="AT13" s="26" t="s">
        <v>1591</v>
      </c>
      <c r="BS13" t="s">
        <v>1539</v>
      </c>
      <c r="BT13" t="s">
        <v>1571</v>
      </c>
    </row>
    <row r="14" spans="1:72" x14ac:dyDescent="0.25">
      <c r="D14" t="s">
        <v>1539</v>
      </c>
      <c r="F14" t="s">
        <v>319</v>
      </c>
      <c r="H14" t="s">
        <v>352</v>
      </c>
      <c r="J14" t="s">
        <v>370</v>
      </c>
      <c r="L14" s="26" t="s">
        <v>336</v>
      </c>
      <c r="N14" s="26" t="s">
        <v>372</v>
      </c>
      <c r="P14" s="26" t="s">
        <v>1534</v>
      </c>
      <c r="R14" s="26" t="s">
        <v>246</v>
      </c>
      <c r="T14" s="26" t="s">
        <v>340</v>
      </c>
      <c r="V14" s="26" t="s">
        <v>1566</v>
      </c>
      <c r="X14" s="26" t="s">
        <v>1537</v>
      </c>
      <c r="Z14" s="26" t="s">
        <v>343</v>
      </c>
      <c r="AB14" t="s">
        <v>1546</v>
      </c>
      <c r="AD14" s="26" t="s">
        <v>360</v>
      </c>
      <c r="AF14" t="s">
        <v>1565</v>
      </c>
      <c r="AH14" s="26" t="s">
        <v>358</v>
      </c>
      <c r="AJ14" s="26" t="s">
        <v>266</v>
      </c>
      <c r="AL14" s="26" t="s">
        <v>315</v>
      </c>
      <c r="AN14" s="26" t="s">
        <v>1554</v>
      </c>
      <c r="AP14" s="26" t="s">
        <v>365</v>
      </c>
      <c r="AR14" t="s">
        <v>1589</v>
      </c>
      <c r="BS14" t="s">
        <v>155</v>
      </c>
      <c r="BT14" t="s">
        <v>351</v>
      </c>
    </row>
    <row r="15" spans="1:72" x14ac:dyDescent="0.25">
      <c r="D15" t="s">
        <v>155</v>
      </c>
      <c r="F15" t="s">
        <v>1515</v>
      </c>
      <c r="H15" t="s">
        <v>369</v>
      </c>
      <c r="J15" t="s">
        <v>1524</v>
      </c>
      <c r="L15" s="26" t="s">
        <v>355</v>
      </c>
      <c r="N15" s="26" t="s">
        <v>1529</v>
      </c>
      <c r="P15" s="26" t="s">
        <v>373</v>
      </c>
      <c r="R15" s="26" t="s">
        <v>357</v>
      </c>
      <c r="AJ15" s="26" t="s">
        <v>281</v>
      </c>
      <c r="AL15" s="26" t="s">
        <v>331</v>
      </c>
      <c r="BS15" t="s">
        <v>156</v>
      </c>
      <c r="BT15" t="s">
        <v>367</v>
      </c>
    </row>
    <row r="16" spans="1:72" x14ac:dyDescent="0.25">
      <c r="D16" t="s">
        <v>156</v>
      </c>
      <c r="F16" t="s">
        <v>375</v>
      </c>
      <c r="H16" s="26" t="s">
        <v>376</v>
      </c>
      <c r="J16" s="27" t="s">
        <v>371</v>
      </c>
      <c r="L16" s="26" t="s">
        <v>334</v>
      </c>
      <c r="N16" t="s">
        <v>1530</v>
      </c>
      <c r="P16" s="26" t="s">
        <v>377</v>
      </c>
      <c r="R16" s="26" t="s">
        <v>378</v>
      </c>
      <c r="AJ16" s="26" t="s">
        <v>359</v>
      </c>
      <c r="AL16" s="26" t="s">
        <v>364</v>
      </c>
      <c r="BS16" t="s">
        <v>157</v>
      </c>
      <c r="BT16" t="s">
        <v>374</v>
      </c>
    </row>
    <row r="17" spans="4:72" x14ac:dyDescent="0.25">
      <c r="D17" t="s">
        <v>157</v>
      </c>
      <c r="F17" t="s">
        <v>1516</v>
      </c>
      <c r="H17" s="26" t="s">
        <v>366</v>
      </c>
      <c r="BS17" t="s">
        <v>158</v>
      </c>
      <c r="BT17" t="s">
        <v>379</v>
      </c>
    </row>
    <row r="18" spans="4:72" x14ac:dyDescent="0.25">
      <c r="D18" t="s">
        <v>158</v>
      </c>
      <c r="F18" t="s">
        <v>381</v>
      </c>
      <c r="H18" t="s">
        <v>1520</v>
      </c>
      <c r="BS18" t="s">
        <v>159</v>
      </c>
      <c r="BT18" t="s">
        <v>380</v>
      </c>
    </row>
    <row r="19" spans="4:72" x14ac:dyDescent="0.25">
      <c r="D19" t="s">
        <v>159</v>
      </c>
      <c r="F19" t="s">
        <v>383</v>
      </c>
      <c r="BS19" t="s">
        <v>160</v>
      </c>
      <c r="BT19" t="s">
        <v>382</v>
      </c>
    </row>
    <row r="20" spans="4:72" x14ac:dyDescent="0.25">
      <c r="D20" t="s">
        <v>160</v>
      </c>
      <c r="F20" t="s">
        <v>385</v>
      </c>
      <c r="BS20" t="s">
        <v>161</v>
      </c>
      <c r="BT20" t="s">
        <v>384</v>
      </c>
    </row>
    <row r="21" spans="4:72" x14ac:dyDescent="0.25">
      <c r="D21" t="s">
        <v>161</v>
      </c>
      <c r="BS21" t="s">
        <v>1575</v>
      </c>
      <c r="BT21" t="s">
        <v>1577</v>
      </c>
    </row>
    <row r="22" spans="4:72" x14ac:dyDescent="0.25">
      <c r="D22" t="s">
        <v>1575</v>
      </c>
      <c r="F22" s="26"/>
      <c r="H22" s="26"/>
      <c r="J22" s="26"/>
      <c r="L22" s="26"/>
      <c r="N22" s="26"/>
      <c r="P22" s="26"/>
      <c r="R22" s="26"/>
      <c r="T22" s="26"/>
      <c r="V22" s="26"/>
      <c r="X22" s="26"/>
      <c r="Z22" s="26"/>
      <c r="AB22" s="26"/>
      <c r="AD22" s="26"/>
      <c r="AF22" s="26"/>
      <c r="AH22" s="26"/>
      <c r="AJ22" s="26"/>
      <c r="AL22" s="26"/>
      <c r="AN22" s="26"/>
      <c r="AP22" s="26"/>
      <c r="AR22" s="26"/>
      <c r="AT22" s="26"/>
      <c r="BS22" t="s">
        <v>1576</v>
      </c>
      <c r="BT22" t="s">
        <v>1578</v>
      </c>
    </row>
    <row r="23" spans="4:72" x14ac:dyDescent="0.25">
      <c r="D23" t="s">
        <v>1576</v>
      </c>
      <c r="BS23" t="s">
        <v>162</v>
      </c>
      <c r="BT23" t="s">
        <v>162</v>
      </c>
    </row>
    <row r="24" spans="4:72" x14ac:dyDescent="0.25">
      <c r="D24" t="s">
        <v>162</v>
      </c>
      <c r="BS24" t="s">
        <v>1502</v>
      </c>
      <c r="BT24" t="s">
        <v>1508</v>
      </c>
    </row>
    <row r="25" spans="4:72" x14ac:dyDescent="0.25">
      <c r="D25" t="s">
        <v>1502</v>
      </c>
      <c r="BS25" t="s">
        <v>1503</v>
      </c>
      <c r="BT25" t="s">
        <v>1509</v>
      </c>
    </row>
    <row r="26" spans="4:72" x14ac:dyDescent="0.25">
      <c r="D26" t="s">
        <v>1503</v>
      </c>
      <c r="BS26" t="s">
        <v>1504</v>
      </c>
      <c r="BT26" t="s">
        <v>1510</v>
      </c>
    </row>
    <row r="27" spans="4:72" x14ac:dyDescent="0.25">
      <c r="D27" t="s">
        <v>1504</v>
      </c>
      <c r="BS27" t="s">
        <v>1505</v>
      </c>
      <c r="BT27" t="s">
        <v>1511</v>
      </c>
    </row>
    <row r="28" spans="4:72" x14ac:dyDescent="0.25">
      <c r="D28" t="s">
        <v>1505</v>
      </c>
      <c r="BS28" t="s">
        <v>1506</v>
      </c>
      <c r="BT28" t="s">
        <v>1512</v>
      </c>
    </row>
    <row r="29" spans="4:72" x14ac:dyDescent="0.25">
      <c r="D29" t="s">
        <v>1506</v>
      </c>
      <c r="BS29" t="s">
        <v>1507</v>
      </c>
      <c r="BT29" t="s">
        <v>1513</v>
      </c>
    </row>
    <row r="30" spans="4:72" x14ac:dyDescent="0.25">
      <c r="D30" t="s">
        <v>1507</v>
      </c>
    </row>
    <row r="31" spans="4:72" x14ac:dyDescent="0.25">
      <c r="BS31" t="s">
        <v>1572</v>
      </c>
    </row>
    <row r="32" spans="4:72" x14ac:dyDescent="0.25">
      <c r="BS32" t="s">
        <v>1573</v>
      </c>
    </row>
    <row r="33" spans="2:2" x14ac:dyDescent="0.25">
      <c r="B33" t="s">
        <v>1574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3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56"/>
  <sheetViews>
    <sheetView tabSelected="1" topLeftCell="A4028" zoomScale="175" zoomScaleNormal="175" workbookViewId="0">
      <selection activeCell="B4040" sqref="B4040"/>
    </sheetView>
  </sheetViews>
  <sheetFormatPr defaultRowHeight="15" x14ac:dyDescent="0.25"/>
  <cols>
    <col min="1" max="2" width="34" customWidth="1"/>
    <col min="3" max="3" width="79.7109375" bestFit="1" customWidth="1"/>
  </cols>
  <sheetData>
    <row r="1" spans="1:3" x14ac:dyDescent="0.25">
      <c r="A1" t="s">
        <v>167</v>
      </c>
      <c r="B1" t="s">
        <v>386</v>
      </c>
      <c r="C1" t="s">
        <v>542</v>
      </c>
    </row>
    <row r="2" spans="1:3" ht="15.75" customHeight="1" x14ac:dyDescent="0.25">
      <c r="A2" t="s">
        <v>182</v>
      </c>
      <c r="B2" t="s">
        <v>4101</v>
      </c>
      <c r="C2" t="s">
        <v>1600</v>
      </c>
    </row>
    <row r="3" spans="1:3" ht="15.75" customHeight="1" x14ac:dyDescent="0.25">
      <c r="A3" t="s">
        <v>182</v>
      </c>
      <c r="B3" t="s">
        <v>1249</v>
      </c>
    </row>
    <row r="4" spans="1:3" ht="15.75" customHeight="1" x14ac:dyDescent="0.25">
      <c r="A4" t="s">
        <v>182</v>
      </c>
      <c r="B4" t="s">
        <v>3497</v>
      </c>
    </row>
    <row r="5" spans="1:3" ht="15.75" customHeight="1" x14ac:dyDescent="0.25">
      <c r="A5" t="s">
        <v>182</v>
      </c>
      <c r="B5" t="s">
        <v>3498</v>
      </c>
    </row>
    <row r="6" spans="1:3" ht="15.75" customHeight="1" x14ac:dyDescent="0.25">
      <c r="A6" t="s">
        <v>182</v>
      </c>
      <c r="B6" t="s">
        <v>3499</v>
      </c>
    </row>
    <row r="7" spans="1:3" ht="15.75" customHeight="1" x14ac:dyDescent="0.25">
      <c r="A7" t="s">
        <v>182</v>
      </c>
      <c r="B7" t="s">
        <v>3500</v>
      </c>
    </row>
    <row r="8" spans="1:3" ht="15.75" customHeight="1" x14ac:dyDescent="0.25">
      <c r="A8" t="s">
        <v>182</v>
      </c>
      <c r="B8" t="s">
        <v>3501</v>
      </c>
    </row>
    <row r="9" spans="1:3" ht="15.75" customHeight="1" x14ac:dyDescent="0.25">
      <c r="A9" t="s">
        <v>182</v>
      </c>
      <c r="B9" t="s">
        <v>3502</v>
      </c>
    </row>
    <row r="10" spans="1:3" ht="15.75" customHeight="1" x14ac:dyDescent="0.25">
      <c r="A10" t="s">
        <v>182</v>
      </c>
      <c r="B10" t="s">
        <v>3503</v>
      </c>
    </row>
    <row r="11" spans="1:3" ht="15.75" customHeight="1" x14ac:dyDescent="0.25">
      <c r="A11" t="s">
        <v>182</v>
      </c>
      <c r="B11" t="s">
        <v>3504</v>
      </c>
    </row>
    <row r="12" spans="1:3" ht="15.75" customHeight="1" x14ac:dyDescent="0.25">
      <c r="A12" t="s">
        <v>182</v>
      </c>
      <c r="B12" t="s">
        <v>3505</v>
      </c>
    </row>
    <row r="13" spans="1:3" ht="15.75" customHeight="1" x14ac:dyDescent="0.25">
      <c r="A13" t="s">
        <v>182</v>
      </c>
      <c r="B13" t="s">
        <v>3506</v>
      </c>
    </row>
    <row r="14" spans="1:3" ht="15.75" customHeight="1" x14ac:dyDescent="0.25">
      <c r="A14" t="s">
        <v>182</v>
      </c>
      <c r="B14" t="s">
        <v>3507</v>
      </c>
    </row>
    <row r="15" spans="1:3" ht="15.75" customHeight="1" x14ac:dyDescent="0.25">
      <c r="A15" t="s">
        <v>182</v>
      </c>
      <c r="B15" t="s">
        <v>3508</v>
      </c>
    </row>
    <row r="16" spans="1:3" ht="15.75" customHeight="1" x14ac:dyDescent="0.25">
      <c r="A16" t="s">
        <v>182</v>
      </c>
      <c r="B16" t="s">
        <v>3509</v>
      </c>
    </row>
    <row r="17" spans="1:2" ht="15.75" customHeight="1" x14ac:dyDescent="0.25">
      <c r="A17" t="s">
        <v>182</v>
      </c>
      <c r="B17" t="s">
        <v>3510</v>
      </c>
    </row>
    <row r="18" spans="1:2" ht="15.75" customHeight="1" x14ac:dyDescent="0.25">
      <c r="A18" t="s">
        <v>182</v>
      </c>
      <c r="B18" t="s">
        <v>3511</v>
      </c>
    </row>
    <row r="19" spans="1:2" ht="15.75" customHeight="1" x14ac:dyDescent="0.25">
      <c r="A19" t="s">
        <v>182</v>
      </c>
      <c r="B19" t="s">
        <v>3512</v>
      </c>
    </row>
    <row r="20" spans="1:2" ht="15.75" customHeight="1" x14ac:dyDescent="0.25">
      <c r="A20" t="s">
        <v>182</v>
      </c>
      <c r="B20" t="s">
        <v>3513</v>
      </c>
    </row>
    <row r="21" spans="1:2" ht="15.75" customHeight="1" x14ac:dyDescent="0.25">
      <c r="A21" t="s">
        <v>182</v>
      </c>
      <c r="B21" t="s">
        <v>3514</v>
      </c>
    </row>
    <row r="22" spans="1:2" ht="15.75" customHeight="1" x14ac:dyDescent="0.25">
      <c r="A22" t="s">
        <v>182</v>
      </c>
      <c r="B22" t="s">
        <v>3515</v>
      </c>
    </row>
    <row r="23" spans="1:2" ht="15.75" customHeight="1" x14ac:dyDescent="0.25">
      <c r="A23" t="s">
        <v>182</v>
      </c>
      <c r="B23" t="s">
        <v>3516</v>
      </c>
    </row>
    <row r="24" spans="1:2" ht="15.75" customHeight="1" x14ac:dyDescent="0.25">
      <c r="A24" t="s">
        <v>182</v>
      </c>
      <c r="B24" t="s">
        <v>3517</v>
      </c>
    </row>
    <row r="25" spans="1:2" ht="15.75" customHeight="1" x14ac:dyDescent="0.25">
      <c r="A25" t="s">
        <v>182</v>
      </c>
      <c r="B25" t="s">
        <v>3518</v>
      </c>
    </row>
    <row r="26" spans="1:2" ht="15.75" customHeight="1" x14ac:dyDescent="0.25">
      <c r="A26" t="s">
        <v>182</v>
      </c>
      <c r="B26" t="s">
        <v>3519</v>
      </c>
    </row>
    <row r="27" spans="1:2" ht="15.75" customHeight="1" x14ac:dyDescent="0.25">
      <c r="A27" t="s">
        <v>182</v>
      </c>
      <c r="B27" t="s">
        <v>3520</v>
      </c>
    </row>
    <row r="28" spans="1:2" ht="15.75" customHeight="1" x14ac:dyDescent="0.25">
      <c r="A28" t="s">
        <v>182</v>
      </c>
      <c r="B28" t="s">
        <v>3521</v>
      </c>
    </row>
    <row r="29" spans="1:2" ht="15.75" customHeight="1" x14ac:dyDescent="0.25">
      <c r="A29" t="s">
        <v>182</v>
      </c>
      <c r="B29" t="s">
        <v>3522</v>
      </c>
    </row>
    <row r="30" spans="1:2" ht="15.75" customHeight="1" x14ac:dyDescent="0.25">
      <c r="A30" t="s">
        <v>182</v>
      </c>
      <c r="B30" t="s">
        <v>3523</v>
      </c>
    </row>
    <row r="31" spans="1:2" ht="15.75" customHeight="1" x14ac:dyDescent="0.25">
      <c r="A31" t="s">
        <v>182</v>
      </c>
      <c r="B31" t="s">
        <v>3524</v>
      </c>
    </row>
    <row r="32" spans="1:2" ht="15.75" customHeight="1" x14ac:dyDescent="0.25">
      <c r="A32" t="s">
        <v>182</v>
      </c>
      <c r="B32" t="s">
        <v>3525</v>
      </c>
    </row>
    <row r="33" spans="1:2" ht="15.75" customHeight="1" x14ac:dyDescent="0.25">
      <c r="A33" t="s">
        <v>182</v>
      </c>
      <c r="B33" t="s">
        <v>3526</v>
      </c>
    </row>
    <row r="34" spans="1:2" ht="15.75" customHeight="1" x14ac:dyDescent="0.25">
      <c r="A34" t="s">
        <v>182</v>
      </c>
      <c r="B34" t="s">
        <v>3527</v>
      </c>
    </row>
    <row r="35" spans="1:2" ht="15.75" customHeight="1" x14ac:dyDescent="0.25">
      <c r="A35" t="s">
        <v>182</v>
      </c>
      <c r="B35" t="s">
        <v>3528</v>
      </c>
    </row>
    <row r="36" spans="1:2" ht="15.75" customHeight="1" x14ac:dyDescent="0.25">
      <c r="A36" t="s">
        <v>182</v>
      </c>
      <c r="B36" t="s">
        <v>3529</v>
      </c>
    </row>
    <row r="37" spans="1:2" ht="15.75" customHeight="1" x14ac:dyDescent="0.25">
      <c r="A37" t="s">
        <v>182</v>
      </c>
      <c r="B37" t="s">
        <v>3530</v>
      </c>
    </row>
    <row r="38" spans="1:2" ht="15.75" customHeight="1" x14ac:dyDescent="0.25">
      <c r="A38" t="s">
        <v>182</v>
      </c>
      <c r="B38" t="s">
        <v>3531</v>
      </c>
    </row>
    <row r="39" spans="1:2" ht="15.75" customHeight="1" x14ac:dyDescent="0.25">
      <c r="A39" t="s">
        <v>182</v>
      </c>
      <c r="B39" t="s">
        <v>3532</v>
      </c>
    </row>
    <row r="40" spans="1:2" ht="15.75" customHeight="1" x14ac:dyDescent="0.25">
      <c r="A40" t="s">
        <v>345</v>
      </c>
      <c r="B40" t="s">
        <v>4102</v>
      </c>
    </row>
    <row r="41" spans="1:2" ht="15.75" customHeight="1" x14ac:dyDescent="0.25">
      <c r="A41" t="s">
        <v>345</v>
      </c>
      <c r="B41" t="s">
        <v>3533</v>
      </c>
    </row>
    <row r="42" spans="1:2" ht="15.75" customHeight="1" x14ac:dyDescent="0.25">
      <c r="A42" t="s">
        <v>345</v>
      </c>
      <c r="B42" t="s">
        <v>3534</v>
      </c>
    </row>
    <row r="43" spans="1:2" ht="15.75" customHeight="1" x14ac:dyDescent="0.25">
      <c r="A43" t="s">
        <v>345</v>
      </c>
      <c r="B43" t="s">
        <v>3535</v>
      </c>
    </row>
    <row r="44" spans="1:2" ht="15.75" customHeight="1" x14ac:dyDescent="0.25">
      <c r="A44" t="s">
        <v>345</v>
      </c>
      <c r="B44" t="s">
        <v>3536</v>
      </c>
    </row>
    <row r="45" spans="1:2" ht="15.75" customHeight="1" x14ac:dyDescent="0.25">
      <c r="A45" t="s">
        <v>345</v>
      </c>
      <c r="B45" t="s">
        <v>3537</v>
      </c>
    </row>
    <row r="46" spans="1:2" ht="15.75" customHeight="1" x14ac:dyDescent="0.25">
      <c r="A46" t="s">
        <v>345</v>
      </c>
      <c r="B46" t="s">
        <v>3538</v>
      </c>
    </row>
    <row r="47" spans="1:2" ht="15.75" customHeight="1" x14ac:dyDescent="0.25">
      <c r="A47" t="s">
        <v>345</v>
      </c>
      <c r="B47" t="s">
        <v>3539</v>
      </c>
    </row>
    <row r="48" spans="1:2" ht="15.75" customHeight="1" x14ac:dyDescent="0.25">
      <c r="A48" t="s">
        <v>345</v>
      </c>
      <c r="B48" t="s">
        <v>3540</v>
      </c>
    </row>
    <row r="49" spans="1:2" ht="15.75" customHeight="1" x14ac:dyDescent="0.25">
      <c r="A49" t="s">
        <v>345</v>
      </c>
      <c r="B49" t="s">
        <v>3541</v>
      </c>
    </row>
    <row r="50" spans="1:2" ht="15.75" customHeight="1" x14ac:dyDescent="0.25">
      <c r="A50" t="s">
        <v>345</v>
      </c>
      <c r="B50" t="s">
        <v>3542</v>
      </c>
    </row>
    <row r="51" spans="1:2" ht="15.75" customHeight="1" x14ac:dyDescent="0.25">
      <c r="A51" t="s">
        <v>345</v>
      </c>
      <c r="B51" t="s">
        <v>3543</v>
      </c>
    </row>
    <row r="52" spans="1:2" ht="15.75" customHeight="1" x14ac:dyDescent="0.25">
      <c r="A52" t="s">
        <v>345</v>
      </c>
      <c r="B52" t="s">
        <v>3544</v>
      </c>
    </row>
    <row r="53" spans="1:2" ht="15.75" customHeight="1" x14ac:dyDescent="0.25">
      <c r="A53" t="s">
        <v>345</v>
      </c>
      <c r="B53" t="s">
        <v>3545</v>
      </c>
    </row>
    <row r="54" spans="1:2" ht="15.75" customHeight="1" x14ac:dyDescent="0.25">
      <c r="A54" t="s">
        <v>345</v>
      </c>
      <c r="B54" t="s">
        <v>3546</v>
      </c>
    </row>
    <row r="55" spans="1:2" x14ac:dyDescent="0.25">
      <c r="A55" t="s">
        <v>345</v>
      </c>
      <c r="B55" t="s">
        <v>3547</v>
      </c>
    </row>
    <row r="56" spans="1:2" x14ac:dyDescent="0.25">
      <c r="A56" t="s">
        <v>345</v>
      </c>
      <c r="B56" t="s">
        <v>3548</v>
      </c>
    </row>
    <row r="57" spans="1:2" x14ac:dyDescent="0.25">
      <c r="A57" t="s">
        <v>345</v>
      </c>
      <c r="B57" t="s">
        <v>3549</v>
      </c>
    </row>
    <row r="58" spans="1:2" x14ac:dyDescent="0.25">
      <c r="A58" t="s">
        <v>345</v>
      </c>
      <c r="B58" t="s">
        <v>3550</v>
      </c>
    </row>
    <row r="59" spans="1:2" x14ac:dyDescent="0.25">
      <c r="A59" t="s">
        <v>345</v>
      </c>
      <c r="B59" t="s">
        <v>3551</v>
      </c>
    </row>
    <row r="60" spans="1:2" x14ac:dyDescent="0.25">
      <c r="A60" t="s">
        <v>345</v>
      </c>
      <c r="B60" t="s">
        <v>3552</v>
      </c>
    </row>
    <row r="61" spans="1:2" x14ac:dyDescent="0.25">
      <c r="A61" t="s">
        <v>345</v>
      </c>
      <c r="B61" t="s">
        <v>3553</v>
      </c>
    </row>
    <row r="62" spans="1:2" x14ac:dyDescent="0.25">
      <c r="A62" t="s">
        <v>345</v>
      </c>
      <c r="B62" t="s">
        <v>3554</v>
      </c>
    </row>
    <row r="63" spans="1:2" x14ac:dyDescent="0.25">
      <c r="A63" t="s">
        <v>345</v>
      </c>
      <c r="B63" t="s">
        <v>3555</v>
      </c>
    </row>
    <row r="64" spans="1:2" x14ac:dyDescent="0.25">
      <c r="A64" t="s">
        <v>345</v>
      </c>
      <c r="B64" t="s">
        <v>3556</v>
      </c>
    </row>
    <row r="65" spans="1:2" x14ac:dyDescent="0.25">
      <c r="A65" t="s">
        <v>345</v>
      </c>
      <c r="B65" t="s">
        <v>3557</v>
      </c>
    </row>
    <row r="66" spans="1:2" x14ac:dyDescent="0.25">
      <c r="A66" t="s">
        <v>345</v>
      </c>
      <c r="B66" t="s">
        <v>3558</v>
      </c>
    </row>
    <row r="67" spans="1:2" x14ac:dyDescent="0.25">
      <c r="A67" t="s">
        <v>345</v>
      </c>
      <c r="B67" t="s">
        <v>3559</v>
      </c>
    </row>
    <row r="68" spans="1:2" x14ac:dyDescent="0.25">
      <c r="A68" t="s">
        <v>345</v>
      </c>
      <c r="B68" t="s">
        <v>3560</v>
      </c>
    </row>
    <row r="69" spans="1:2" x14ac:dyDescent="0.25">
      <c r="A69" t="s">
        <v>345</v>
      </c>
      <c r="B69" t="s">
        <v>3561</v>
      </c>
    </row>
    <row r="70" spans="1:2" x14ac:dyDescent="0.25">
      <c r="A70" t="s">
        <v>345</v>
      </c>
      <c r="B70" t="s">
        <v>3562</v>
      </c>
    </row>
    <row r="71" spans="1:2" x14ac:dyDescent="0.25">
      <c r="A71" t="s">
        <v>345</v>
      </c>
      <c r="B71" t="s">
        <v>3563</v>
      </c>
    </row>
    <row r="72" spans="1:2" x14ac:dyDescent="0.25">
      <c r="A72" t="s">
        <v>345</v>
      </c>
      <c r="B72" t="s">
        <v>3564</v>
      </c>
    </row>
    <row r="73" spans="1:2" x14ac:dyDescent="0.25">
      <c r="A73" t="s">
        <v>345</v>
      </c>
      <c r="B73" t="s">
        <v>3565</v>
      </c>
    </row>
    <row r="74" spans="1:2" x14ac:dyDescent="0.25">
      <c r="A74" t="s">
        <v>345</v>
      </c>
      <c r="B74" t="s">
        <v>3566</v>
      </c>
    </row>
    <row r="75" spans="1:2" x14ac:dyDescent="0.25">
      <c r="A75" t="s">
        <v>345</v>
      </c>
      <c r="B75" t="s">
        <v>3567</v>
      </c>
    </row>
    <row r="76" spans="1:2" x14ac:dyDescent="0.25">
      <c r="A76" t="s">
        <v>345</v>
      </c>
      <c r="B76" t="s">
        <v>3568</v>
      </c>
    </row>
    <row r="77" spans="1:2" x14ac:dyDescent="0.25">
      <c r="A77" t="s">
        <v>345</v>
      </c>
      <c r="B77" t="s">
        <v>3569</v>
      </c>
    </row>
    <row r="78" spans="1:2" x14ac:dyDescent="0.25">
      <c r="A78" t="s">
        <v>345</v>
      </c>
      <c r="B78" t="s">
        <v>3570</v>
      </c>
    </row>
    <row r="79" spans="1:2" x14ac:dyDescent="0.25">
      <c r="A79" t="s">
        <v>173</v>
      </c>
      <c r="B79" t="s">
        <v>4070</v>
      </c>
    </row>
    <row r="80" spans="1:2" x14ac:dyDescent="0.25">
      <c r="A80" t="s">
        <v>173</v>
      </c>
      <c r="B80" t="s">
        <v>2834</v>
      </c>
    </row>
    <row r="81" spans="1:2" x14ac:dyDescent="0.25">
      <c r="A81" t="s">
        <v>173</v>
      </c>
      <c r="B81" t="s">
        <v>1105</v>
      </c>
    </row>
    <row r="82" spans="1:2" x14ac:dyDescent="0.25">
      <c r="A82" t="s">
        <v>173</v>
      </c>
      <c r="B82" t="s">
        <v>545</v>
      </c>
    </row>
    <row r="83" spans="1:2" x14ac:dyDescent="0.25">
      <c r="A83" t="s">
        <v>173</v>
      </c>
      <c r="B83" t="s">
        <v>549</v>
      </c>
    </row>
    <row r="84" spans="1:2" x14ac:dyDescent="0.25">
      <c r="A84" t="s">
        <v>173</v>
      </c>
      <c r="B84" t="s">
        <v>4662</v>
      </c>
    </row>
    <row r="85" spans="1:2" x14ac:dyDescent="0.25">
      <c r="A85" t="s">
        <v>173</v>
      </c>
      <c r="B85" t="s">
        <v>546</v>
      </c>
    </row>
    <row r="86" spans="1:2" x14ac:dyDescent="0.25">
      <c r="A86" t="s">
        <v>173</v>
      </c>
      <c r="B86" t="s">
        <v>544</v>
      </c>
    </row>
    <row r="87" spans="1:2" x14ac:dyDescent="0.25">
      <c r="A87" t="s">
        <v>173</v>
      </c>
      <c r="B87" t="s">
        <v>553</v>
      </c>
    </row>
    <row r="88" spans="1:2" x14ac:dyDescent="0.25">
      <c r="A88" t="s">
        <v>173</v>
      </c>
      <c r="B88" t="s">
        <v>2835</v>
      </c>
    </row>
    <row r="89" spans="1:2" x14ac:dyDescent="0.25">
      <c r="A89" t="s">
        <v>173</v>
      </c>
      <c r="B89" t="s">
        <v>548</v>
      </c>
    </row>
    <row r="90" spans="1:2" x14ac:dyDescent="0.25">
      <c r="A90" t="s">
        <v>173</v>
      </c>
      <c r="B90" t="s">
        <v>550</v>
      </c>
    </row>
    <row r="91" spans="1:2" x14ac:dyDescent="0.25">
      <c r="A91" t="s">
        <v>173</v>
      </c>
      <c r="B91" t="s">
        <v>2836</v>
      </c>
    </row>
    <row r="92" spans="1:2" x14ac:dyDescent="0.25">
      <c r="A92" t="s">
        <v>173</v>
      </c>
      <c r="B92" t="s">
        <v>558</v>
      </c>
    </row>
    <row r="93" spans="1:2" x14ac:dyDescent="0.25">
      <c r="A93" t="s">
        <v>173</v>
      </c>
      <c r="B93" t="s">
        <v>2837</v>
      </c>
    </row>
    <row r="94" spans="1:2" x14ac:dyDescent="0.25">
      <c r="A94" t="s">
        <v>173</v>
      </c>
      <c r="B94" t="s">
        <v>555</v>
      </c>
    </row>
    <row r="95" spans="1:2" x14ac:dyDescent="0.25">
      <c r="A95" t="s">
        <v>173</v>
      </c>
      <c r="B95" t="s">
        <v>547</v>
      </c>
    </row>
    <row r="96" spans="1:2" x14ac:dyDescent="0.25">
      <c r="A96" t="s">
        <v>173</v>
      </c>
      <c r="B96" t="s">
        <v>551</v>
      </c>
    </row>
    <row r="97" spans="1:2" x14ac:dyDescent="0.25">
      <c r="A97" t="s">
        <v>173</v>
      </c>
      <c r="B97" t="s">
        <v>554</v>
      </c>
    </row>
    <row r="98" spans="1:2" x14ac:dyDescent="0.25">
      <c r="A98" t="s">
        <v>173</v>
      </c>
      <c r="B98" t="s">
        <v>4641</v>
      </c>
    </row>
    <row r="99" spans="1:2" x14ac:dyDescent="0.25">
      <c r="A99" t="s">
        <v>173</v>
      </c>
      <c r="B99" t="s">
        <v>552</v>
      </c>
    </row>
    <row r="100" spans="1:2" x14ac:dyDescent="0.25">
      <c r="A100" t="s">
        <v>185</v>
      </c>
      <c r="B100" t="s">
        <v>4549</v>
      </c>
    </row>
    <row r="101" spans="1:2" x14ac:dyDescent="0.25">
      <c r="A101" t="s">
        <v>185</v>
      </c>
      <c r="B101" t="s">
        <v>3997</v>
      </c>
    </row>
    <row r="102" spans="1:2" x14ac:dyDescent="0.25">
      <c r="A102" t="s">
        <v>185</v>
      </c>
      <c r="B102" t="s">
        <v>4550</v>
      </c>
    </row>
    <row r="103" spans="1:2" x14ac:dyDescent="0.25">
      <c r="A103" t="s">
        <v>185</v>
      </c>
      <c r="B103" t="s">
        <v>4551</v>
      </c>
    </row>
    <row r="104" spans="1:2" x14ac:dyDescent="0.25">
      <c r="A104" t="s">
        <v>185</v>
      </c>
      <c r="B104" t="s">
        <v>4552</v>
      </c>
    </row>
    <row r="105" spans="1:2" x14ac:dyDescent="0.25">
      <c r="A105" t="s">
        <v>185</v>
      </c>
      <c r="B105" t="s">
        <v>4553</v>
      </c>
    </row>
    <row r="106" spans="1:2" x14ac:dyDescent="0.25">
      <c r="A106" t="s">
        <v>185</v>
      </c>
      <c r="B106" t="s">
        <v>4554</v>
      </c>
    </row>
    <row r="107" spans="1:2" x14ac:dyDescent="0.25">
      <c r="A107" t="s">
        <v>185</v>
      </c>
      <c r="B107" t="s">
        <v>4555</v>
      </c>
    </row>
    <row r="108" spans="1:2" x14ac:dyDescent="0.25">
      <c r="A108" t="s">
        <v>185</v>
      </c>
      <c r="B108" t="s">
        <v>4556</v>
      </c>
    </row>
    <row r="109" spans="1:2" x14ac:dyDescent="0.25">
      <c r="A109" t="s">
        <v>185</v>
      </c>
      <c r="B109" t="s">
        <v>4557</v>
      </c>
    </row>
    <row r="110" spans="1:2" x14ac:dyDescent="0.25">
      <c r="A110" t="s">
        <v>185</v>
      </c>
      <c r="B110" t="s">
        <v>4558</v>
      </c>
    </row>
    <row r="111" spans="1:2" x14ac:dyDescent="0.25">
      <c r="A111" t="s">
        <v>185</v>
      </c>
      <c r="B111" t="s">
        <v>3184</v>
      </c>
    </row>
    <row r="112" spans="1:2" x14ac:dyDescent="0.25">
      <c r="A112" t="s">
        <v>185</v>
      </c>
      <c r="B112" t="s">
        <v>4559</v>
      </c>
    </row>
    <row r="113" spans="1:2" x14ac:dyDescent="0.25">
      <c r="A113" t="s">
        <v>185</v>
      </c>
      <c r="B113" t="s">
        <v>4560</v>
      </c>
    </row>
    <row r="114" spans="1:2" x14ac:dyDescent="0.25">
      <c r="A114" t="s">
        <v>179</v>
      </c>
      <c r="B114" t="s">
        <v>723</v>
      </c>
    </row>
    <row r="115" spans="1:2" x14ac:dyDescent="0.25">
      <c r="A115" t="s">
        <v>179</v>
      </c>
      <c r="B115" t="s">
        <v>1263</v>
      </c>
    </row>
    <row r="116" spans="1:2" x14ac:dyDescent="0.25">
      <c r="A116" t="s">
        <v>179</v>
      </c>
      <c r="B116" t="s">
        <v>2971</v>
      </c>
    </row>
    <row r="117" spans="1:2" x14ac:dyDescent="0.25">
      <c r="A117" t="s">
        <v>179</v>
      </c>
      <c r="B117" t="s">
        <v>2972</v>
      </c>
    </row>
    <row r="118" spans="1:2" x14ac:dyDescent="0.25">
      <c r="A118" t="s">
        <v>179</v>
      </c>
      <c r="B118" t="s">
        <v>2973</v>
      </c>
    </row>
    <row r="119" spans="1:2" x14ac:dyDescent="0.25">
      <c r="A119" t="s">
        <v>179</v>
      </c>
      <c r="B119" t="s">
        <v>2097</v>
      </c>
    </row>
    <row r="120" spans="1:2" x14ac:dyDescent="0.25">
      <c r="A120" t="s">
        <v>179</v>
      </c>
      <c r="B120" t="s">
        <v>2974</v>
      </c>
    </row>
    <row r="121" spans="1:2" x14ac:dyDescent="0.25">
      <c r="A121" t="s">
        <v>179</v>
      </c>
      <c r="B121" t="s">
        <v>2975</v>
      </c>
    </row>
    <row r="122" spans="1:2" x14ac:dyDescent="0.25">
      <c r="A122" t="s">
        <v>179</v>
      </c>
      <c r="B122" t="s">
        <v>2976</v>
      </c>
    </row>
    <row r="123" spans="1:2" x14ac:dyDescent="0.25">
      <c r="A123" t="s">
        <v>179</v>
      </c>
      <c r="B123" t="s">
        <v>2977</v>
      </c>
    </row>
    <row r="124" spans="1:2" x14ac:dyDescent="0.25">
      <c r="A124" t="s">
        <v>179</v>
      </c>
      <c r="B124" t="s">
        <v>2978</v>
      </c>
    </row>
    <row r="125" spans="1:2" x14ac:dyDescent="0.25">
      <c r="A125" t="s">
        <v>179</v>
      </c>
      <c r="B125" t="s">
        <v>2979</v>
      </c>
    </row>
    <row r="126" spans="1:2" x14ac:dyDescent="0.25">
      <c r="A126" t="s">
        <v>179</v>
      </c>
      <c r="B126" t="s">
        <v>2980</v>
      </c>
    </row>
    <row r="127" spans="1:2" x14ac:dyDescent="0.25">
      <c r="A127" t="s">
        <v>179</v>
      </c>
      <c r="B127" t="s">
        <v>2981</v>
      </c>
    </row>
    <row r="128" spans="1:2" x14ac:dyDescent="0.25">
      <c r="A128" t="s">
        <v>179</v>
      </c>
      <c r="B128" t="s">
        <v>2982</v>
      </c>
    </row>
    <row r="129" spans="1:2" x14ac:dyDescent="0.25">
      <c r="A129" t="s">
        <v>179</v>
      </c>
      <c r="B129" t="s">
        <v>2983</v>
      </c>
    </row>
    <row r="130" spans="1:2" x14ac:dyDescent="0.25">
      <c r="A130" t="s">
        <v>179</v>
      </c>
      <c r="B130" t="s">
        <v>2984</v>
      </c>
    </row>
    <row r="131" spans="1:2" x14ac:dyDescent="0.25">
      <c r="A131" t="s">
        <v>179</v>
      </c>
      <c r="B131" t="s">
        <v>2985</v>
      </c>
    </row>
    <row r="132" spans="1:2" x14ac:dyDescent="0.25">
      <c r="A132" t="s">
        <v>179</v>
      </c>
      <c r="B132" t="s">
        <v>2986</v>
      </c>
    </row>
    <row r="133" spans="1:2" x14ac:dyDescent="0.25">
      <c r="A133" t="s">
        <v>179</v>
      </c>
      <c r="B133" t="s">
        <v>2915</v>
      </c>
    </row>
    <row r="134" spans="1:2" x14ac:dyDescent="0.25">
      <c r="A134" t="s">
        <v>179</v>
      </c>
      <c r="B134" t="s">
        <v>2987</v>
      </c>
    </row>
    <row r="135" spans="1:2" x14ac:dyDescent="0.25">
      <c r="A135" t="s">
        <v>179</v>
      </c>
      <c r="B135" t="s">
        <v>2988</v>
      </c>
    </row>
    <row r="136" spans="1:2" x14ac:dyDescent="0.25">
      <c r="A136" t="s">
        <v>179</v>
      </c>
      <c r="B136" t="s">
        <v>2989</v>
      </c>
    </row>
    <row r="137" spans="1:2" x14ac:dyDescent="0.25">
      <c r="A137" t="s">
        <v>179</v>
      </c>
      <c r="B137" t="s">
        <v>2990</v>
      </c>
    </row>
    <row r="138" spans="1:2" x14ac:dyDescent="0.25">
      <c r="A138" t="s">
        <v>179</v>
      </c>
      <c r="B138" t="s">
        <v>2991</v>
      </c>
    </row>
    <row r="139" spans="1:2" x14ac:dyDescent="0.25">
      <c r="A139" t="s">
        <v>180</v>
      </c>
      <c r="B139" t="s">
        <v>4622</v>
      </c>
    </row>
    <row r="140" spans="1:2" x14ac:dyDescent="0.25">
      <c r="A140" t="s">
        <v>180</v>
      </c>
      <c r="B140" t="s">
        <v>4623</v>
      </c>
    </row>
    <row r="141" spans="1:2" x14ac:dyDescent="0.25">
      <c r="A141" t="s">
        <v>180</v>
      </c>
      <c r="B141" t="s">
        <v>4624</v>
      </c>
    </row>
    <row r="142" spans="1:2" x14ac:dyDescent="0.25">
      <c r="A142" t="s">
        <v>180</v>
      </c>
      <c r="B142" t="s">
        <v>4625</v>
      </c>
    </row>
    <row r="143" spans="1:2" x14ac:dyDescent="0.25">
      <c r="A143" t="s">
        <v>180</v>
      </c>
      <c r="B143" t="s">
        <v>4626</v>
      </c>
    </row>
    <row r="144" spans="1:2" x14ac:dyDescent="0.25">
      <c r="A144" t="s">
        <v>180</v>
      </c>
      <c r="B144" t="s">
        <v>4627</v>
      </c>
    </row>
    <row r="145" spans="1:2" x14ac:dyDescent="0.25">
      <c r="A145" t="s">
        <v>180</v>
      </c>
      <c r="B145" t="s">
        <v>4628</v>
      </c>
    </row>
    <row r="146" spans="1:2" x14ac:dyDescent="0.25">
      <c r="A146" t="s">
        <v>180</v>
      </c>
      <c r="B146" t="s">
        <v>4629</v>
      </c>
    </row>
    <row r="147" spans="1:2" x14ac:dyDescent="0.25">
      <c r="A147" t="s">
        <v>180</v>
      </c>
      <c r="B147" t="s">
        <v>4630</v>
      </c>
    </row>
    <row r="148" spans="1:2" x14ac:dyDescent="0.25">
      <c r="A148" t="s">
        <v>180</v>
      </c>
      <c r="B148" t="s">
        <v>4631</v>
      </c>
    </row>
    <row r="149" spans="1:2" x14ac:dyDescent="0.25">
      <c r="A149" t="s">
        <v>180</v>
      </c>
      <c r="B149" t="s">
        <v>4632</v>
      </c>
    </row>
    <row r="150" spans="1:2" x14ac:dyDescent="0.25">
      <c r="A150" t="s">
        <v>180</v>
      </c>
      <c r="B150" t="s">
        <v>4633</v>
      </c>
    </row>
    <row r="151" spans="1:2" x14ac:dyDescent="0.25">
      <c r="A151" t="s">
        <v>180</v>
      </c>
      <c r="B151" t="s">
        <v>4634</v>
      </c>
    </row>
    <row r="152" spans="1:2" x14ac:dyDescent="0.25">
      <c r="A152" t="s">
        <v>180</v>
      </c>
      <c r="B152" t="s">
        <v>4635</v>
      </c>
    </row>
    <row r="153" spans="1:2" x14ac:dyDescent="0.25">
      <c r="A153" t="s">
        <v>180</v>
      </c>
      <c r="B153" t="s">
        <v>4636</v>
      </c>
    </row>
    <row r="154" spans="1:2" x14ac:dyDescent="0.25">
      <c r="A154" t="s">
        <v>180</v>
      </c>
      <c r="B154" t="s">
        <v>4637</v>
      </c>
    </row>
    <row r="155" spans="1:2" x14ac:dyDescent="0.25">
      <c r="A155" t="s">
        <v>180</v>
      </c>
      <c r="B155" t="s">
        <v>4638</v>
      </c>
    </row>
    <row r="156" spans="1:2" x14ac:dyDescent="0.25">
      <c r="A156" t="s">
        <v>180</v>
      </c>
      <c r="B156" t="s">
        <v>4640</v>
      </c>
    </row>
    <row r="157" spans="1:2" x14ac:dyDescent="0.25">
      <c r="A157" t="s">
        <v>180</v>
      </c>
      <c r="B157" t="s">
        <v>4639</v>
      </c>
    </row>
    <row r="158" spans="1:2" x14ac:dyDescent="0.25">
      <c r="A158" t="s">
        <v>169</v>
      </c>
      <c r="B158" t="s">
        <v>4465</v>
      </c>
    </row>
    <row r="159" spans="1:2" x14ac:dyDescent="0.25">
      <c r="A159" t="s">
        <v>169</v>
      </c>
      <c r="B159" t="s">
        <v>4466</v>
      </c>
    </row>
    <row r="160" spans="1:2" x14ac:dyDescent="0.25">
      <c r="A160" t="s">
        <v>169</v>
      </c>
      <c r="B160" t="s">
        <v>4467</v>
      </c>
    </row>
    <row r="161" spans="1:3" x14ac:dyDescent="0.25">
      <c r="A161" t="s">
        <v>169</v>
      </c>
      <c r="B161" t="s">
        <v>4468</v>
      </c>
    </row>
    <row r="162" spans="1:3" x14ac:dyDescent="0.25">
      <c r="A162" t="s">
        <v>169</v>
      </c>
      <c r="B162" t="s">
        <v>4469</v>
      </c>
    </row>
    <row r="163" spans="1:3" x14ac:dyDescent="0.25">
      <c r="A163" t="s">
        <v>169</v>
      </c>
      <c r="B163" t="s">
        <v>4470</v>
      </c>
    </row>
    <row r="164" spans="1:3" x14ac:dyDescent="0.25">
      <c r="A164" t="s">
        <v>169</v>
      </c>
      <c r="B164" t="s">
        <v>4471</v>
      </c>
    </row>
    <row r="165" spans="1:3" x14ac:dyDescent="0.25">
      <c r="A165" t="s">
        <v>169</v>
      </c>
      <c r="B165" t="s">
        <v>4472</v>
      </c>
    </row>
    <row r="166" spans="1:3" x14ac:dyDescent="0.25">
      <c r="A166" t="s">
        <v>169</v>
      </c>
      <c r="B166" t="s">
        <v>4473</v>
      </c>
    </row>
    <row r="167" spans="1:3" x14ac:dyDescent="0.25">
      <c r="A167" t="s">
        <v>169</v>
      </c>
      <c r="B167" t="s">
        <v>4474</v>
      </c>
    </row>
    <row r="168" spans="1:3" ht="15.75" customHeight="1" x14ac:dyDescent="0.25">
      <c r="A168" t="s">
        <v>169</v>
      </c>
      <c r="B168" t="s">
        <v>4475</v>
      </c>
      <c r="C168" s="4"/>
    </row>
    <row r="169" spans="1:3" x14ac:dyDescent="0.25">
      <c r="A169" t="s">
        <v>169</v>
      </c>
      <c r="B169" t="s">
        <v>4476</v>
      </c>
    </row>
    <row r="170" spans="1:3" x14ac:dyDescent="0.25">
      <c r="A170" t="s">
        <v>169</v>
      </c>
      <c r="B170" t="s">
        <v>4477</v>
      </c>
    </row>
    <row r="171" spans="1:3" x14ac:dyDescent="0.25">
      <c r="A171" t="s">
        <v>169</v>
      </c>
      <c r="B171" t="s">
        <v>4478</v>
      </c>
    </row>
    <row r="172" spans="1:3" x14ac:dyDescent="0.25">
      <c r="A172" t="s">
        <v>169</v>
      </c>
      <c r="B172" t="s">
        <v>4479</v>
      </c>
    </row>
    <row r="173" spans="1:3" x14ac:dyDescent="0.25">
      <c r="A173" t="s">
        <v>169</v>
      </c>
      <c r="B173" t="s">
        <v>4480</v>
      </c>
    </row>
    <row r="174" spans="1:3" x14ac:dyDescent="0.25">
      <c r="A174" t="s">
        <v>169</v>
      </c>
      <c r="B174" t="s">
        <v>4481</v>
      </c>
    </row>
    <row r="175" spans="1:3" x14ac:dyDescent="0.25">
      <c r="A175" t="s">
        <v>169</v>
      </c>
      <c r="B175" t="s">
        <v>4482</v>
      </c>
    </row>
    <row r="176" spans="1:3" x14ac:dyDescent="0.25">
      <c r="A176" t="s">
        <v>169</v>
      </c>
      <c r="B176" t="s">
        <v>4483</v>
      </c>
    </row>
    <row r="177" spans="1:2" x14ac:dyDescent="0.25">
      <c r="A177" t="s">
        <v>169</v>
      </c>
      <c r="B177" t="s">
        <v>4484</v>
      </c>
    </row>
    <row r="178" spans="1:2" x14ac:dyDescent="0.25">
      <c r="A178" t="s">
        <v>169</v>
      </c>
      <c r="B178" t="s">
        <v>4485</v>
      </c>
    </row>
    <row r="179" spans="1:2" x14ac:dyDescent="0.25">
      <c r="A179" t="s">
        <v>169</v>
      </c>
      <c r="B179" t="s">
        <v>4486</v>
      </c>
    </row>
    <row r="180" spans="1:2" x14ac:dyDescent="0.25">
      <c r="A180" t="s">
        <v>169</v>
      </c>
      <c r="B180" t="s">
        <v>4487</v>
      </c>
    </row>
    <row r="181" spans="1:2" x14ac:dyDescent="0.25">
      <c r="A181" t="s">
        <v>169</v>
      </c>
      <c r="B181" t="s">
        <v>4488</v>
      </c>
    </row>
    <row r="182" spans="1:2" x14ac:dyDescent="0.25">
      <c r="A182" t="s">
        <v>169</v>
      </c>
      <c r="B182" t="s">
        <v>4489</v>
      </c>
    </row>
    <row r="183" spans="1:2" x14ac:dyDescent="0.25">
      <c r="A183" t="s">
        <v>169</v>
      </c>
      <c r="B183" t="s">
        <v>4490</v>
      </c>
    </row>
    <row r="184" spans="1:2" x14ac:dyDescent="0.25">
      <c r="A184" t="s">
        <v>169</v>
      </c>
      <c r="B184" t="s">
        <v>4491</v>
      </c>
    </row>
    <row r="185" spans="1:2" x14ac:dyDescent="0.25">
      <c r="A185" t="s">
        <v>169</v>
      </c>
      <c r="B185" t="s">
        <v>4492</v>
      </c>
    </row>
    <row r="186" spans="1:2" x14ac:dyDescent="0.25">
      <c r="A186" t="s">
        <v>169</v>
      </c>
      <c r="B186" t="s">
        <v>4493</v>
      </c>
    </row>
    <row r="187" spans="1:2" x14ac:dyDescent="0.25">
      <c r="A187" t="s">
        <v>169</v>
      </c>
      <c r="B187" t="s">
        <v>4494</v>
      </c>
    </row>
    <row r="188" spans="1:2" x14ac:dyDescent="0.25">
      <c r="A188" t="s">
        <v>169</v>
      </c>
      <c r="B188" t="s">
        <v>4495</v>
      </c>
    </row>
    <row r="189" spans="1:2" x14ac:dyDescent="0.25">
      <c r="A189" t="s">
        <v>169</v>
      </c>
      <c r="B189" t="s">
        <v>4496</v>
      </c>
    </row>
    <row r="190" spans="1:2" x14ac:dyDescent="0.25">
      <c r="A190" t="s">
        <v>169</v>
      </c>
      <c r="B190" t="s">
        <v>4497</v>
      </c>
    </row>
    <row r="191" spans="1:2" x14ac:dyDescent="0.25">
      <c r="A191" t="s">
        <v>169</v>
      </c>
      <c r="B191" t="s">
        <v>4498</v>
      </c>
    </row>
    <row r="192" spans="1:2" x14ac:dyDescent="0.25">
      <c r="A192" t="s">
        <v>169</v>
      </c>
      <c r="B192" t="s">
        <v>4691</v>
      </c>
    </row>
    <row r="193" spans="1:2" x14ac:dyDescent="0.25">
      <c r="A193" t="s">
        <v>172</v>
      </c>
      <c r="B193" t="s">
        <v>1302</v>
      </c>
    </row>
    <row r="194" spans="1:2" x14ac:dyDescent="0.25">
      <c r="A194" t="s">
        <v>172</v>
      </c>
      <c r="B194" t="s">
        <v>1757</v>
      </c>
    </row>
    <row r="195" spans="1:2" x14ac:dyDescent="0.25">
      <c r="A195" t="s">
        <v>172</v>
      </c>
      <c r="B195" t="s">
        <v>1758</v>
      </c>
    </row>
    <row r="196" spans="1:2" x14ac:dyDescent="0.25">
      <c r="A196" t="s">
        <v>172</v>
      </c>
      <c r="B196" t="s">
        <v>1759</v>
      </c>
    </row>
    <row r="197" spans="1:2" x14ac:dyDescent="0.25">
      <c r="A197" t="s">
        <v>172</v>
      </c>
      <c r="B197" t="s">
        <v>4561</v>
      </c>
    </row>
    <row r="198" spans="1:2" x14ac:dyDescent="0.25">
      <c r="A198" t="s">
        <v>172</v>
      </c>
      <c r="B198" t="s">
        <v>1760</v>
      </c>
    </row>
    <row r="199" spans="1:2" x14ac:dyDescent="0.25">
      <c r="A199" t="s">
        <v>172</v>
      </c>
      <c r="B199" t="s">
        <v>392</v>
      </c>
    </row>
    <row r="200" spans="1:2" x14ac:dyDescent="0.25">
      <c r="A200" t="s">
        <v>172</v>
      </c>
      <c r="B200" t="s">
        <v>1761</v>
      </c>
    </row>
    <row r="201" spans="1:2" x14ac:dyDescent="0.25">
      <c r="A201" t="s">
        <v>172</v>
      </c>
      <c r="B201" t="s">
        <v>1762</v>
      </c>
    </row>
    <row r="202" spans="1:2" x14ac:dyDescent="0.25">
      <c r="A202" t="s">
        <v>172</v>
      </c>
      <c r="B202" t="s">
        <v>393</v>
      </c>
    </row>
    <row r="203" spans="1:2" x14ac:dyDescent="0.25">
      <c r="A203" t="s">
        <v>172</v>
      </c>
      <c r="B203" t="s">
        <v>391</v>
      </c>
    </row>
    <row r="204" spans="1:2" x14ac:dyDescent="0.25">
      <c r="A204" t="s">
        <v>172</v>
      </c>
      <c r="B204" t="s">
        <v>394</v>
      </c>
    </row>
    <row r="205" spans="1:2" x14ac:dyDescent="0.25">
      <c r="A205" t="s">
        <v>172</v>
      </c>
      <c r="B205" t="s">
        <v>395</v>
      </c>
    </row>
    <row r="206" spans="1:2" x14ac:dyDescent="0.25">
      <c r="A206" t="s">
        <v>172</v>
      </c>
      <c r="B206" t="s">
        <v>396</v>
      </c>
    </row>
    <row r="207" spans="1:2" x14ac:dyDescent="0.25">
      <c r="A207" t="s">
        <v>172</v>
      </c>
      <c r="B207" t="s">
        <v>397</v>
      </c>
    </row>
    <row r="208" spans="1:2" x14ac:dyDescent="0.25">
      <c r="A208" t="s">
        <v>172</v>
      </c>
      <c r="B208" t="s">
        <v>399</v>
      </c>
    </row>
    <row r="209" spans="1:2" x14ac:dyDescent="0.25">
      <c r="A209" t="s">
        <v>172</v>
      </c>
      <c r="B209" t="s">
        <v>398</v>
      </c>
    </row>
    <row r="210" spans="1:2" x14ac:dyDescent="0.25">
      <c r="A210" t="s">
        <v>172</v>
      </c>
      <c r="B210" t="s">
        <v>388</v>
      </c>
    </row>
    <row r="211" spans="1:2" x14ac:dyDescent="0.25">
      <c r="A211" t="s">
        <v>172</v>
      </c>
      <c r="B211" t="s">
        <v>389</v>
      </c>
    </row>
    <row r="212" spans="1:2" x14ac:dyDescent="0.25">
      <c r="A212" t="s">
        <v>172</v>
      </c>
      <c r="B212" t="s">
        <v>400</v>
      </c>
    </row>
    <row r="213" spans="1:2" x14ac:dyDescent="0.25">
      <c r="A213" t="s">
        <v>172</v>
      </c>
      <c r="B213" t="s">
        <v>387</v>
      </c>
    </row>
    <row r="214" spans="1:2" x14ac:dyDescent="0.25">
      <c r="A214" t="s">
        <v>172</v>
      </c>
      <c r="B214" t="s">
        <v>402</v>
      </c>
    </row>
    <row r="215" spans="1:2" x14ac:dyDescent="0.25">
      <c r="A215" t="s">
        <v>183</v>
      </c>
      <c r="B215" t="s">
        <v>4035</v>
      </c>
    </row>
    <row r="216" spans="1:2" x14ac:dyDescent="0.25">
      <c r="A216" t="s">
        <v>183</v>
      </c>
      <c r="B216" t="s">
        <v>1920</v>
      </c>
    </row>
    <row r="217" spans="1:2" x14ac:dyDescent="0.25">
      <c r="A217" t="s">
        <v>183</v>
      </c>
      <c r="B217" t="s">
        <v>1921</v>
      </c>
    </row>
    <row r="218" spans="1:2" x14ac:dyDescent="0.25">
      <c r="A218" t="s">
        <v>183</v>
      </c>
      <c r="B218" t="s">
        <v>1922</v>
      </c>
    </row>
    <row r="219" spans="1:2" x14ac:dyDescent="0.25">
      <c r="A219" t="s">
        <v>183</v>
      </c>
      <c r="B219" t="s">
        <v>1923</v>
      </c>
    </row>
    <row r="220" spans="1:2" x14ac:dyDescent="0.25">
      <c r="A220" t="s">
        <v>183</v>
      </c>
      <c r="B220" t="s">
        <v>1924</v>
      </c>
    </row>
    <row r="221" spans="1:2" x14ac:dyDescent="0.25">
      <c r="A221" t="s">
        <v>183</v>
      </c>
      <c r="B221" t="s">
        <v>1925</v>
      </c>
    </row>
    <row r="222" spans="1:2" x14ac:dyDescent="0.25">
      <c r="A222" t="s">
        <v>183</v>
      </c>
      <c r="B222" t="s">
        <v>1926</v>
      </c>
    </row>
    <row r="223" spans="1:2" x14ac:dyDescent="0.25">
      <c r="A223" t="s">
        <v>183</v>
      </c>
      <c r="B223" t="s">
        <v>1927</v>
      </c>
    </row>
    <row r="224" spans="1:2" x14ac:dyDescent="0.25">
      <c r="A224" t="s">
        <v>183</v>
      </c>
      <c r="B224" t="s">
        <v>1928</v>
      </c>
    </row>
    <row r="225" spans="1:2" x14ac:dyDescent="0.25">
      <c r="A225" t="s">
        <v>183</v>
      </c>
      <c r="B225" t="s">
        <v>1929</v>
      </c>
    </row>
    <row r="226" spans="1:2" x14ac:dyDescent="0.25">
      <c r="A226" t="s">
        <v>183</v>
      </c>
      <c r="B226" t="s">
        <v>1930</v>
      </c>
    </row>
    <row r="227" spans="1:2" x14ac:dyDescent="0.25">
      <c r="A227" t="s">
        <v>183</v>
      </c>
      <c r="B227" t="s">
        <v>1931</v>
      </c>
    </row>
    <row r="228" spans="1:2" x14ac:dyDescent="0.25">
      <c r="A228" t="s">
        <v>183</v>
      </c>
      <c r="B228" t="s">
        <v>1932</v>
      </c>
    </row>
    <row r="229" spans="1:2" x14ac:dyDescent="0.25">
      <c r="A229" t="s">
        <v>183</v>
      </c>
      <c r="B229" t="s">
        <v>1933</v>
      </c>
    </row>
    <row r="230" spans="1:2" x14ac:dyDescent="0.25">
      <c r="A230" t="s">
        <v>183</v>
      </c>
      <c r="B230" t="s">
        <v>1934</v>
      </c>
    </row>
    <row r="231" spans="1:2" x14ac:dyDescent="0.25">
      <c r="A231" t="s">
        <v>183</v>
      </c>
      <c r="B231" t="s">
        <v>1935</v>
      </c>
    </row>
    <row r="232" spans="1:2" x14ac:dyDescent="0.25">
      <c r="A232" t="s">
        <v>183</v>
      </c>
      <c r="B232" t="s">
        <v>1936</v>
      </c>
    </row>
    <row r="233" spans="1:2" x14ac:dyDescent="0.25">
      <c r="A233" t="s">
        <v>183</v>
      </c>
      <c r="B233" t="s">
        <v>1937</v>
      </c>
    </row>
    <row r="234" spans="1:2" x14ac:dyDescent="0.25">
      <c r="A234" t="s">
        <v>183</v>
      </c>
      <c r="B234" t="s">
        <v>1938</v>
      </c>
    </row>
    <row r="235" spans="1:2" x14ac:dyDescent="0.25">
      <c r="A235" t="s">
        <v>183</v>
      </c>
      <c r="B235" t="s">
        <v>1939</v>
      </c>
    </row>
    <row r="236" spans="1:2" x14ac:dyDescent="0.25">
      <c r="A236" t="s">
        <v>183</v>
      </c>
      <c r="B236" t="s">
        <v>1940</v>
      </c>
    </row>
    <row r="237" spans="1:2" x14ac:dyDescent="0.25">
      <c r="A237" t="s">
        <v>183</v>
      </c>
      <c r="B237" t="s">
        <v>1941</v>
      </c>
    </row>
    <row r="238" spans="1:2" x14ac:dyDescent="0.25">
      <c r="A238" t="s">
        <v>183</v>
      </c>
      <c r="B238" t="s">
        <v>1942</v>
      </c>
    </row>
    <row r="239" spans="1:2" x14ac:dyDescent="0.25">
      <c r="A239" t="s">
        <v>183</v>
      </c>
      <c r="B239" t="s">
        <v>1943</v>
      </c>
    </row>
    <row r="240" spans="1:2" x14ac:dyDescent="0.25">
      <c r="A240" t="s">
        <v>183</v>
      </c>
      <c r="B240" t="s">
        <v>1944</v>
      </c>
    </row>
    <row r="241" spans="1:2" x14ac:dyDescent="0.25">
      <c r="A241" t="s">
        <v>183</v>
      </c>
      <c r="B241" t="s">
        <v>1945</v>
      </c>
    </row>
    <row r="242" spans="1:2" x14ac:dyDescent="0.25">
      <c r="A242" t="s">
        <v>183</v>
      </c>
      <c r="B242" t="s">
        <v>1946</v>
      </c>
    </row>
    <row r="243" spans="1:2" x14ac:dyDescent="0.25">
      <c r="A243" t="s">
        <v>183</v>
      </c>
      <c r="B243" t="s">
        <v>1947</v>
      </c>
    </row>
    <row r="244" spans="1:2" x14ac:dyDescent="0.25">
      <c r="A244" t="s">
        <v>183</v>
      </c>
      <c r="B244" t="s">
        <v>1948</v>
      </c>
    </row>
    <row r="245" spans="1:2" x14ac:dyDescent="0.25">
      <c r="A245" t="s">
        <v>183</v>
      </c>
      <c r="B245" t="s">
        <v>1949</v>
      </c>
    </row>
    <row r="246" spans="1:2" x14ac:dyDescent="0.25">
      <c r="A246" t="s">
        <v>183</v>
      </c>
      <c r="B246" t="s">
        <v>1950</v>
      </c>
    </row>
    <row r="247" spans="1:2" x14ac:dyDescent="0.25">
      <c r="A247" t="s">
        <v>183</v>
      </c>
      <c r="B247" t="s">
        <v>1951</v>
      </c>
    </row>
    <row r="248" spans="1:2" ht="15.75" customHeight="1" x14ac:dyDescent="0.25">
      <c r="A248" t="s">
        <v>183</v>
      </c>
      <c r="B248" t="s">
        <v>1952</v>
      </c>
    </row>
    <row r="249" spans="1:2" ht="15.75" customHeight="1" x14ac:dyDescent="0.25">
      <c r="A249" t="s">
        <v>183</v>
      </c>
      <c r="B249" t="s">
        <v>1953</v>
      </c>
    </row>
    <row r="250" spans="1:2" ht="15.75" customHeight="1" x14ac:dyDescent="0.25">
      <c r="A250" t="s">
        <v>183</v>
      </c>
      <c r="B250" t="s">
        <v>1954</v>
      </c>
    </row>
    <row r="251" spans="1:2" ht="15.75" customHeight="1" x14ac:dyDescent="0.25">
      <c r="A251" t="s">
        <v>183</v>
      </c>
      <c r="B251" t="s">
        <v>1955</v>
      </c>
    </row>
    <row r="252" spans="1:2" ht="15.75" customHeight="1" x14ac:dyDescent="0.25">
      <c r="A252" t="s">
        <v>183</v>
      </c>
      <c r="B252" t="s">
        <v>1956</v>
      </c>
    </row>
    <row r="253" spans="1:2" ht="15.75" customHeight="1" x14ac:dyDescent="0.25">
      <c r="A253" t="s">
        <v>183</v>
      </c>
      <c r="B253" t="s">
        <v>1957</v>
      </c>
    </row>
    <row r="254" spans="1:2" ht="15.75" customHeight="1" x14ac:dyDescent="0.25">
      <c r="A254" t="s">
        <v>193</v>
      </c>
      <c r="B254" t="s">
        <v>4114</v>
      </c>
    </row>
    <row r="255" spans="1:2" ht="15.75" customHeight="1" x14ac:dyDescent="0.25">
      <c r="A255" t="s">
        <v>193</v>
      </c>
      <c r="B255" t="s">
        <v>3910</v>
      </c>
    </row>
    <row r="256" spans="1:2" ht="15.75" customHeight="1" x14ac:dyDescent="0.25">
      <c r="A256" t="s">
        <v>193</v>
      </c>
      <c r="B256" t="s">
        <v>625</v>
      </c>
    </row>
    <row r="257" spans="1:2" ht="15.75" customHeight="1" x14ac:dyDescent="0.25">
      <c r="A257" t="s">
        <v>193</v>
      </c>
      <c r="B257" t="s">
        <v>1044</v>
      </c>
    </row>
    <row r="258" spans="1:2" ht="15.75" customHeight="1" x14ac:dyDescent="0.25">
      <c r="A258" t="s">
        <v>193</v>
      </c>
      <c r="B258" t="s">
        <v>1045</v>
      </c>
    </row>
    <row r="259" spans="1:2" ht="15.75" customHeight="1" x14ac:dyDescent="0.25">
      <c r="A259" t="s">
        <v>193</v>
      </c>
      <c r="B259" t="s">
        <v>1046</v>
      </c>
    </row>
    <row r="260" spans="1:2" ht="15.75" customHeight="1" x14ac:dyDescent="0.25">
      <c r="A260" t="s">
        <v>193</v>
      </c>
      <c r="B260" t="s">
        <v>1047</v>
      </c>
    </row>
    <row r="261" spans="1:2" ht="15.75" customHeight="1" x14ac:dyDescent="0.25">
      <c r="A261" t="s">
        <v>193</v>
      </c>
      <c r="B261" t="s">
        <v>1048</v>
      </c>
    </row>
    <row r="262" spans="1:2" ht="15.75" customHeight="1" x14ac:dyDescent="0.25">
      <c r="A262" t="s">
        <v>193</v>
      </c>
      <c r="B262" t="s">
        <v>3911</v>
      </c>
    </row>
    <row r="263" spans="1:2" ht="15.75" customHeight="1" x14ac:dyDescent="0.25">
      <c r="A263" t="s">
        <v>193</v>
      </c>
      <c r="B263" t="s">
        <v>3912</v>
      </c>
    </row>
    <row r="264" spans="1:2" ht="15.75" customHeight="1" x14ac:dyDescent="0.25">
      <c r="A264" t="s">
        <v>193</v>
      </c>
      <c r="B264" t="s">
        <v>1049</v>
      </c>
    </row>
    <row r="265" spans="1:2" x14ac:dyDescent="0.25">
      <c r="A265" t="s">
        <v>193</v>
      </c>
      <c r="B265" t="s">
        <v>1050</v>
      </c>
    </row>
    <row r="266" spans="1:2" x14ac:dyDescent="0.25">
      <c r="A266" t="s">
        <v>193</v>
      </c>
      <c r="B266" t="s">
        <v>3913</v>
      </c>
    </row>
    <row r="267" spans="1:2" x14ac:dyDescent="0.25">
      <c r="A267" t="s">
        <v>193</v>
      </c>
      <c r="B267" t="s">
        <v>1041</v>
      </c>
    </row>
    <row r="268" spans="1:2" x14ac:dyDescent="0.25">
      <c r="A268" t="s">
        <v>193</v>
      </c>
      <c r="B268" t="s">
        <v>1051</v>
      </c>
    </row>
    <row r="269" spans="1:2" x14ac:dyDescent="0.25">
      <c r="A269" t="s">
        <v>193</v>
      </c>
      <c r="B269" t="s">
        <v>3914</v>
      </c>
    </row>
    <row r="270" spans="1:2" x14ac:dyDescent="0.25">
      <c r="A270" t="s">
        <v>193</v>
      </c>
      <c r="B270" t="s">
        <v>3915</v>
      </c>
    </row>
    <row r="271" spans="1:2" x14ac:dyDescent="0.25">
      <c r="A271" t="s">
        <v>193</v>
      </c>
      <c r="B271" t="s">
        <v>1040</v>
      </c>
    </row>
    <row r="272" spans="1:2" x14ac:dyDescent="0.25">
      <c r="A272" t="s">
        <v>193</v>
      </c>
      <c r="B272" t="s">
        <v>1052</v>
      </c>
    </row>
    <row r="273" spans="1:2" x14ac:dyDescent="0.25">
      <c r="A273" t="s">
        <v>193</v>
      </c>
      <c r="B273" t="s">
        <v>1043</v>
      </c>
    </row>
    <row r="274" spans="1:2" x14ac:dyDescent="0.25">
      <c r="A274" t="s">
        <v>193</v>
      </c>
      <c r="B274" t="s">
        <v>1042</v>
      </c>
    </row>
    <row r="275" spans="1:2" x14ac:dyDescent="0.25">
      <c r="A275" t="s">
        <v>184</v>
      </c>
      <c r="B275" t="s">
        <v>4128</v>
      </c>
    </row>
    <row r="276" spans="1:2" x14ac:dyDescent="0.25">
      <c r="A276" t="s">
        <v>184</v>
      </c>
      <c r="B276" t="s">
        <v>4129</v>
      </c>
    </row>
    <row r="277" spans="1:2" x14ac:dyDescent="0.25">
      <c r="A277" t="s">
        <v>184</v>
      </c>
      <c r="B277" t="s">
        <v>4130</v>
      </c>
    </row>
    <row r="278" spans="1:2" x14ac:dyDescent="0.25">
      <c r="A278" t="s">
        <v>184</v>
      </c>
      <c r="B278" t="s">
        <v>4131</v>
      </c>
    </row>
    <row r="279" spans="1:2" x14ac:dyDescent="0.25">
      <c r="A279" t="s">
        <v>184</v>
      </c>
      <c r="B279" t="s">
        <v>4132</v>
      </c>
    </row>
    <row r="280" spans="1:2" x14ac:dyDescent="0.25">
      <c r="A280" t="s">
        <v>184</v>
      </c>
      <c r="B280" t="s">
        <v>4133</v>
      </c>
    </row>
    <row r="281" spans="1:2" x14ac:dyDescent="0.25">
      <c r="A281" t="s">
        <v>184</v>
      </c>
      <c r="B281" t="s">
        <v>4134</v>
      </c>
    </row>
    <row r="282" spans="1:2" x14ac:dyDescent="0.25">
      <c r="A282" t="s">
        <v>184</v>
      </c>
      <c r="B282" t="s">
        <v>4135</v>
      </c>
    </row>
    <row r="283" spans="1:2" x14ac:dyDescent="0.25">
      <c r="A283" t="s">
        <v>184</v>
      </c>
      <c r="B283" t="s">
        <v>4136</v>
      </c>
    </row>
    <row r="284" spans="1:2" x14ac:dyDescent="0.25">
      <c r="A284" t="s">
        <v>184</v>
      </c>
      <c r="B284" t="s">
        <v>4137</v>
      </c>
    </row>
    <row r="285" spans="1:2" x14ac:dyDescent="0.25">
      <c r="A285" t="s">
        <v>184</v>
      </c>
      <c r="B285" t="s">
        <v>4138</v>
      </c>
    </row>
    <row r="286" spans="1:2" x14ac:dyDescent="0.25">
      <c r="A286" t="s">
        <v>184</v>
      </c>
      <c r="B286" t="s">
        <v>4139</v>
      </c>
    </row>
    <row r="287" spans="1:2" x14ac:dyDescent="0.25">
      <c r="A287" t="s">
        <v>184</v>
      </c>
      <c r="B287" t="s">
        <v>4140</v>
      </c>
    </row>
    <row r="288" spans="1:2" x14ac:dyDescent="0.25">
      <c r="A288" t="s">
        <v>184</v>
      </c>
      <c r="B288" t="s">
        <v>4141</v>
      </c>
    </row>
    <row r="289" spans="1:2" x14ac:dyDescent="0.25">
      <c r="A289" t="s">
        <v>184</v>
      </c>
      <c r="B289" t="s">
        <v>4142</v>
      </c>
    </row>
    <row r="290" spans="1:2" x14ac:dyDescent="0.25">
      <c r="A290" t="s">
        <v>184</v>
      </c>
      <c r="B290" t="s">
        <v>4143</v>
      </c>
    </row>
    <row r="291" spans="1:2" x14ac:dyDescent="0.25">
      <c r="A291" t="s">
        <v>184</v>
      </c>
      <c r="B291" t="s">
        <v>4033</v>
      </c>
    </row>
    <row r="292" spans="1:2" x14ac:dyDescent="0.25">
      <c r="A292" t="s">
        <v>184</v>
      </c>
      <c r="B292" t="s">
        <v>4144</v>
      </c>
    </row>
    <row r="293" spans="1:2" x14ac:dyDescent="0.25">
      <c r="A293" t="s">
        <v>184</v>
      </c>
      <c r="B293" t="s">
        <v>4145</v>
      </c>
    </row>
    <row r="294" spans="1:2" x14ac:dyDescent="0.25">
      <c r="A294" t="s">
        <v>184</v>
      </c>
      <c r="B294" t="s">
        <v>4562</v>
      </c>
    </row>
    <row r="295" spans="1:2" x14ac:dyDescent="0.25">
      <c r="A295" t="s">
        <v>174</v>
      </c>
      <c r="B295" t="s">
        <v>4055</v>
      </c>
    </row>
    <row r="296" spans="1:2" x14ac:dyDescent="0.25">
      <c r="A296" t="s">
        <v>174</v>
      </c>
      <c r="B296" t="s">
        <v>2505</v>
      </c>
    </row>
    <row r="297" spans="1:2" x14ac:dyDescent="0.25">
      <c r="A297" t="s">
        <v>174</v>
      </c>
      <c r="B297" t="s">
        <v>2506</v>
      </c>
    </row>
    <row r="298" spans="1:2" x14ac:dyDescent="0.25">
      <c r="A298" t="s">
        <v>174</v>
      </c>
      <c r="B298" t="s">
        <v>2507</v>
      </c>
    </row>
    <row r="299" spans="1:2" x14ac:dyDescent="0.25">
      <c r="A299" t="s">
        <v>174</v>
      </c>
      <c r="B299" t="s">
        <v>2508</v>
      </c>
    </row>
    <row r="300" spans="1:2" x14ac:dyDescent="0.25">
      <c r="A300" t="s">
        <v>174</v>
      </c>
      <c r="B300" t="s">
        <v>2509</v>
      </c>
    </row>
    <row r="301" spans="1:2" x14ac:dyDescent="0.25">
      <c r="A301" t="s">
        <v>174</v>
      </c>
      <c r="B301" t="s">
        <v>2510</v>
      </c>
    </row>
    <row r="302" spans="1:2" x14ac:dyDescent="0.25">
      <c r="A302" t="s">
        <v>174</v>
      </c>
      <c r="B302" t="s">
        <v>2511</v>
      </c>
    </row>
    <row r="303" spans="1:2" x14ac:dyDescent="0.25">
      <c r="A303" t="s">
        <v>174</v>
      </c>
      <c r="B303" t="s">
        <v>2512</v>
      </c>
    </row>
    <row r="304" spans="1:2" x14ac:dyDescent="0.25">
      <c r="A304" t="s">
        <v>174</v>
      </c>
      <c r="B304" t="s">
        <v>2513</v>
      </c>
    </row>
    <row r="305" spans="1:2" x14ac:dyDescent="0.25">
      <c r="A305" t="s">
        <v>174</v>
      </c>
      <c r="B305" t="s">
        <v>2514</v>
      </c>
    </row>
    <row r="306" spans="1:2" x14ac:dyDescent="0.25">
      <c r="A306" t="s">
        <v>174</v>
      </c>
      <c r="B306" t="s">
        <v>2515</v>
      </c>
    </row>
    <row r="307" spans="1:2" x14ac:dyDescent="0.25">
      <c r="A307" t="s">
        <v>174</v>
      </c>
      <c r="B307" t="s">
        <v>2516</v>
      </c>
    </row>
    <row r="308" spans="1:2" x14ac:dyDescent="0.25">
      <c r="A308" t="s">
        <v>174</v>
      </c>
      <c r="B308" t="s">
        <v>2517</v>
      </c>
    </row>
    <row r="309" spans="1:2" x14ac:dyDescent="0.25">
      <c r="A309" t="s">
        <v>174</v>
      </c>
      <c r="B309" t="s">
        <v>2518</v>
      </c>
    </row>
    <row r="310" spans="1:2" x14ac:dyDescent="0.25">
      <c r="A310" t="s">
        <v>174</v>
      </c>
      <c r="B310" t="s">
        <v>2519</v>
      </c>
    </row>
    <row r="311" spans="1:2" x14ac:dyDescent="0.25">
      <c r="A311" t="s">
        <v>174</v>
      </c>
      <c r="B311" t="s">
        <v>2520</v>
      </c>
    </row>
    <row r="312" spans="1:2" x14ac:dyDescent="0.25">
      <c r="A312" t="s">
        <v>174</v>
      </c>
      <c r="B312" t="s">
        <v>2521</v>
      </c>
    </row>
    <row r="313" spans="1:2" x14ac:dyDescent="0.25">
      <c r="A313" t="s">
        <v>174</v>
      </c>
      <c r="B313" t="s">
        <v>4382</v>
      </c>
    </row>
    <row r="314" spans="1:2" x14ac:dyDescent="0.25">
      <c r="A314" t="s">
        <v>174</v>
      </c>
      <c r="B314" t="s">
        <v>2522</v>
      </c>
    </row>
    <row r="315" spans="1:2" x14ac:dyDescent="0.25">
      <c r="A315" t="s">
        <v>174</v>
      </c>
      <c r="B315" t="s">
        <v>2523</v>
      </c>
    </row>
    <row r="316" spans="1:2" x14ac:dyDescent="0.25">
      <c r="A316" t="s">
        <v>174</v>
      </c>
      <c r="B316" t="s">
        <v>4383</v>
      </c>
    </row>
    <row r="317" spans="1:2" x14ac:dyDescent="0.25">
      <c r="A317" t="s">
        <v>174</v>
      </c>
      <c r="B317" t="s">
        <v>2524</v>
      </c>
    </row>
    <row r="318" spans="1:2" x14ac:dyDescent="0.25">
      <c r="A318" t="s">
        <v>174</v>
      </c>
      <c r="B318" t="s">
        <v>2525</v>
      </c>
    </row>
    <row r="319" spans="1:2" x14ac:dyDescent="0.25">
      <c r="A319" t="s">
        <v>174</v>
      </c>
      <c r="B319" t="s">
        <v>2526</v>
      </c>
    </row>
    <row r="320" spans="1:2" x14ac:dyDescent="0.25">
      <c r="A320" t="s">
        <v>174</v>
      </c>
      <c r="B320" t="s">
        <v>2527</v>
      </c>
    </row>
    <row r="321" spans="1:2" x14ac:dyDescent="0.25">
      <c r="A321" t="s">
        <v>174</v>
      </c>
      <c r="B321" t="s">
        <v>2528</v>
      </c>
    </row>
    <row r="322" spans="1:2" x14ac:dyDescent="0.25">
      <c r="A322" t="s">
        <v>174</v>
      </c>
      <c r="B322" t="s">
        <v>826</v>
      </c>
    </row>
    <row r="323" spans="1:2" x14ac:dyDescent="0.25">
      <c r="A323" t="s">
        <v>174</v>
      </c>
      <c r="B323" t="s">
        <v>2529</v>
      </c>
    </row>
    <row r="324" spans="1:2" x14ac:dyDescent="0.25">
      <c r="A324" t="s">
        <v>174</v>
      </c>
      <c r="B324" t="s">
        <v>2530</v>
      </c>
    </row>
    <row r="325" spans="1:2" x14ac:dyDescent="0.25">
      <c r="A325" t="s">
        <v>174</v>
      </c>
      <c r="B325" t="s">
        <v>2531</v>
      </c>
    </row>
    <row r="326" spans="1:2" x14ac:dyDescent="0.25">
      <c r="A326" t="s">
        <v>174</v>
      </c>
      <c r="B326" t="s">
        <v>2532</v>
      </c>
    </row>
    <row r="327" spans="1:2" x14ac:dyDescent="0.25">
      <c r="A327" t="s">
        <v>174</v>
      </c>
      <c r="B327" t="s">
        <v>2533</v>
      </c>
    </row>
    <row r="328" spans="1:2" x14ac:dyDescent="0.25">
      <c r="A328" t="s">
        <v>174</v>
      </c>
      <c r="B328" t="s">
        <v>2534</v>
      </c>
    </row>
    <row r="329" spans="1:2" x14ac:dyDescent="0.25">
      <c r="A329" t="s">
        <v>174</v>
      </c>
      <c r="B329" t="s">
        <v>2535</v>
      </c>
    </row>
    <row r="330" spans="1:2" x14ac:dyDescent="0.25">
      <c r="A330" t="s">
        <v>174</v>
      </c>
      <c r="B330" t="s">
        <v>2536</v>
      </c>
    </row>
    <row r="331" spans="1:2" x14ac:dyDescent="0.25">
      <c r="A331" t="s">
        <v>177</v>
      </c>
      <c r="B331" t="s">
        <v>1058</v>
      </c>
    </row>
    <row r="332" spans="1:2" x14ac:dyDescent="0.25">
      <c r="A332" t="s">
        <v>177</v>
      </c>
      <c r="B332" t="s">
        <v>1059</v>
      </c>
    </row>
    <row r="333" spans="1:2" x14ac:dyDescent="0.25">
      <c r="A333" t="s">
        <v>177</v>
      </c>
      <c r="B333" t="s">
        <v>1060</v>
      </c>
    </row>
    <row r="334" spans="1:2" x14ac:dyDescent="0.25">
      <c r="A334" t="s">
        <v>177</v>
      </c>
      <c r="B334" t="s">
        <v>1053</v>
      </c>
    </row>
    <row r="335" spans="1:2" x14ac:dyDescent="0.25">
      <c r="A335" t="s">
        <v>177</v>
      </c>
      <c r="B335" t="s">
        <v>1061</v>
      </c>
    </row>
    <row r="336" spans="1:2" x14ac:dyDescent="0.25">
      <c r="A336" t="s">
        <v>177</v>
      </c>
      <c r="B336" t="s">
        <v>1054</v>
      </c>
    </row>
    <row r="337" spans="1:2" x14ac:dyDescent="0.25">
      <c r="A337" t="s">
        <v>177</v>
      </c>
      <c r="B337" t="s">
        <v>1062</v>
      </c>
    </row>
    <row r="338" spans="1:2" x14ac:dyDescent="0.25">
      <c r="A338" t="s">
        <v>177</v>
      </c>
      <c r="B338" t="s">
        <v>1063</v>
      </c>
    </row>
    <row r="339" spans="1:2" x14ac:dyDescent="0.25">
      <c r="A339" t="s">
        <v>177</v>
      </c>
      <c r="B339" t="s">
        <v>1056</v>
      </c>
    </row>
    <row r="340" spans="1:2" x14ac:dyDescent="0.25">
      <c r="A340" t="s">
        <v>177</v>
      </c>
      <c r="B340" t="s">
        <v>1064</v>
      </c>
    </row>
    <row r="341" spans="1:2" x14ac:dyDescent="0.25">
      <c r="A341" t="s">
        <v>177</v>
      </c>
      <c r="B341" t="s">
        <v>1065</v>
      </c>
    </row>
    <row r="342" spans="1:2" x14ac:dyDescent="0.25">
      <c r="A342" t="s">
        <v>177</v>
      </c>
      <c r="B342" t="s">
        <v>1066</v>
      </c>
    </row>
    <row r="343" spans="1:2" x14ac:dyDescent="0.25">
      <c r="A343" t="s">
        <v>177</v>
      </c>
      <c r="B343" t="s">
        <v>1067</v>
      </c>
    </row>
    <row r="344" spans="1:2" x14ac:dyDescent="0.25">
      <c r="A344" t="s">
        <v>177</v>
      </c>
      <c r="B344" t="s">
        <v>1068</v>
      </c>
    </row>
    <row r="345" spans="1:2" x14ac:dyDescent="0.25">
      <c r="A345" t="s">
        <v>177</v>
      </c>
      <c r="B345" t="s">
        <v>1069</v>
      </c>
    </row>
    <row r="346" spans="1:2" x14ac:dyDescent="0.25">
      <c r="A346" t="s">
        <v>177</v>
      </c>
      <c r="B346" t="s">
        <v>1057</v>
      </c>
    </row>
    <row r="347" spans="1:2" x14ac:dyDescent="0.25">
      <c r="A347" t="s">
        <v>177</v>
      </c>
      <c r="B347" t="s">
        <v>1070</v>
      </c>
    </row>
    <row r="348" spans="1:2" x14ac:dyDescent="0.25">
      <c r="A348" t="s">
        <v>177</v>
      </c>
      <c r="B348" t="s">
        <v>1071</v>
      </c>
    </row>
    <row r="349" spans="1:2" x14ac:dyDescent="0.25">
      <c r="A349" t="s">
        <v>177</v>
      </c>
      <c r="B349" t="s">
        <v>1055</v>
      </c>
    </row>
    <row r="350" spans="1:2" x14ac:dyDescent="0.25">
      <c r="A350" t="s">
        <v>177</v>
      </c>
      <c r="B350" t="s">
        <v>1072</v>
      </c>
    </row>
    <row r="351" spans="1:2" x14ac:dyDescent="0.25">
      <c r="A351" t="s">
        <v>175</v>
      </c>
      <c r="B351" t="s">
        <v>4057</v>
      </c>
    </row>
    <row r="352" spans="1:2" x14ac:dyDescent="0.25">
      <c r="A352" t="s">
        <v>175</v>
      </c>
      <c r="B352" t="s">
        <v>712</v>
      </c>
    </row>
    <row r="353" spans="1:2" x14ac:dyDescent="0.25">
      <c r="A353" t="s">
        <v>175</v>
      </c>
      <c r="B353" t="s">
        <v>2554</v>
      </c>
    </row>
    <row r="354" spans="1:2" x14ac:dyDescent="0.25">
      <c r="A354" t="s">
        <v>175</v>
      </c>
      <c r="B354" t="s">
        <v>2555</v>
      </c>
    </row>
    <row r="355" spans="1:2" x14ac:dyDescent="0.25">
      <c r="A355" t="s">
        <v>175</v>
      </c>
      <c r="B355" t="s">
        <v>714</v>
      </c>
    </row>
    <row r="356" spans="1:2" x14ac:dyDescent="0.25">
      <c r="A356" t="s">
        <v>175</v>
      </c>
      <c r="B356" t="s">
        <v>715</v>
      </c>
    </row>
    <row r="357" spans="1:2" x14ac:dyDescent="0.25">
      <c r="A357" t="s">
        <v>175</v>
      </c>
      <c r="B357" t="s">
        <v>716</v>
      </c>
    </row>
    <row r="358" spans="1:2" x14ac:dyDescent="0.25">
      <c r="A358" t="s">
        <v>175</v>
      </c>
      <c r="B358" t="s">
        <v>717</v>
      </c>
    </row>
    <row r="359" spans="1:2" x14ac:dyDescent="0.25">
      <c r="A359" t="s">
        <v>175</v>
      </c>
      <c r="B359" t="s">
        <v>718</v>
      </c>
    </row>
    <row r="360" spans="1:2" x14ac:dyDescent="0.25">
      <c r="A360" t="s">
        <v>175</v>
      </c>
      <c r="B360" t="s">
        <v>719</v>
      </c>
    </row>
    <row r="361" spans="1:2" x14ac:dyDescent="0.25">
      <c r="A361" t="s">
        <v>175</v>
      </c>
      <c r="B361" t="s">
        <v>2556</v>
      </c>
    </row>
    <row r="362" spans="1:2" x14ac:dyDescent="0.25">
      <c r="A362" t="s">
        <v>175</v>
      </c>
      <c r="B362" t="s">
        <v>720</v>
      </c>
    </row>
    <row r="363" spans="1:2" x14ac:dyDescent="0.25">
      <c r="A363" t="s">
        <v>175</v>
      </c>
      <c r="B363" t="s">
        <v>713</v>
      </c>
    </row>
    <row r="364" spans="1:2" x14ac:dyDescent="0.25">
      <c r="A364" t="s">
        <v>175</v>
      </c>
      <c r="B364" t="s">
        <v>721</v>
      </c>
    </row>
    <row r="365" spans="1:2" x14ac:dyDescent="0.25">
      <c r="A365" t="s">
        <v>175</v>
      </c>
      <c r="B365" t="s">
        <v>706</v>
      </c>
    </row>
    <row r="366" spans="1:2" x14ac:dyDescent="0.25">
      <c r="A366" t="s">
        <v>175</v>
      </c>
      <c r="B366" t="s">
        <v>711</v>
      </c>
    </row>
    <row r="367" spans="1:2" x14ac:dyDescent="0.25">
      <c r="A367" t="s">
        <v>175</v>
      </c>
      <c r="B367" t="s">
        <v>2557</v>
      </c>
    </row>
    <row r="368" spans="1:2" x14ac:dyDescent="0.25">
      <c r="A368" t="s">
        <v>240</v>
      </c>
      <c r="B368" t="s">
        <v>574</v>
      </c>
    </row>
    <row r="369" spans="1:2" x14ac:dyDescent="0.25">
      <c r="A369" t="s">
        <v>240</v>
      </c>
      <c r="B369" t="s">
        <v>683</v>
      </c>
    </row>
    <row r="370" spans="1:2" x14ac:dyDescent="0.25">
      <c r="A370" t="s">
        <v>240</v>
      </c>
      <c r="B370" t="s">
        <v>802</v>
      </c>
    </row>
    <row r="371" spans="1:2" x14ac:dyDescent="0.25">
      <c r="A371" t="s">
        <v>240</v>
      </c>
      <c r="B371" t="s">
        <v>1851</v>
      </c>
    </row>
    <row r="372" spans="1:2" x14ac:dyDescent="0.25">
      <c r="A372" t="s">
        <v>240</v>
      </c>
      <c r="B372" t="s">
        <v>1852</v>
      </c>
    </row>
    <row r="373" spans="1:2" x14ac:dyDescent="0.25">
      <c r="A373" t="s">
        <v>240</v>
      </c>
      <c r="B373" t="s">
        <v>1853</v>
      </c>
    </row>
    <row r="374" spans="1:2" x14ac:dyDescent="0.25">
      <c r="A374" t="s">
        <v>240</v>
      </c>
      <c r="B374" t="s">
        <v>830</v>
      </c>
    </row>
    <row r="375" spans="1:2" x14ac:dyDescent="0.25">
      <c r="A375" t="s">
        <v>240</v>
      </c>
      <c r="B375" t="s">
        <v>1854</v>
      </c>
    </row>
    <row r="376" spans="1:2" x14ac:dyDescent="0.25">
      <c r="A376" t="s">
        <v>240</v>
      </c>
      <c r="B376" t="s">
        <v>404</v>
      </c>
    </row>
    <row r="377" spans="1:2" x14ac:dyDescent="0.25">
      <c r="A377" t="s">
        <v>240</v>
      </c>
      <c r="B377" t="s">
        <v>406</v>
      </c>
    </row>
    <row r="378" spans="1:2" x14ac:dyDescent="0.25">
      <c r="A378" t="s">
        <v>240</v>
      </c>
      <c r="B378" t="s">
        <v>408</v>
      </c>
    </row>
    <row r="379" spans="1:2" x14ac:dyDescent="0.25">
      <c r="A379" t="s">
        <v>240</v>
      </c>
      <c r="B379" t="s">
        <v>407</v>
      </c>
    </row>
    <row r="380" spans="1:2" x14ac:dyDescent="0.25">
      <c r="A380" t="s">
        <v>240</v>
      </c>
      <c r="B380" t="s">
        <v>409</v>
      </c>
    </row>
    <row r="381" spans="1:2" x14ac:dyDescent="0.25">
      <c r="A381" t="s">
        <v>240</v>
      </c>
      <c r="B381" t="s">
        <v>421</v>
      </c>
    </row>
    <row r="382" spans="1:2" x14ac:dyDescent="0.25">
      <c r="A382" t="s">
        <v>240</v>
      </c>
      <c r="B382" t="s">
        <v>1855</v>
      </c>
    </row>
    <row r="383" spans="1:2" x14ac:dyDescent="0.25">
      <c r="A383" t="s">
        <v>240</v>
      </c>
      <c r="B383" t="s">
        <v>410</v>
      </c>
    </row>
    <row r="384" spans="1:2" x14ac:dyDescent="0.25">
      <c r="A384" t="s">
        <v>240</v>
      </c>
      <c r="B384" t="s">
        <v>417</v>
      </c>
    </row>
    <row r="385" spans="1:2" x14ac:dyDescent="0.25">
      <c r="A385" t="s">
        <v>240</v>
      </c>
      <c r="B385" t="s">
        <v>411</v>
      </c>
    </row>
    <row r="386" spans="1:2" x14ac:dyDescent="0.25">
      <c r="A386" t="s">
        <v>240</v>
      </c>
      <c r="B386" t="s">
        <v>415</v>
      </c>
    </row>
    <row r="387" spans="1:2" x14ac:dyDescent="0.25">
      <c r="A387" t="s">
        <v>240</v>
      </c>
      <c r="B387" t="s">
        <v>413</v>
      </c>
    </row>
    <row r="388" spans="1:2" x14ac:dyDescent="0.25">
      <c r="A388" t="s">
        <v>240</v>
      </c>
      <c r="B388" t="s">
        <v>412</v>
      </c>
    </row>
    <row r="389" spans="1:2" x14ac:dyDescent="0.25">
      <c r="A389" t="s">
        <v>240</v>
      </c>
      <c r="B389" t="s">
        <v>414</v>
      </c>
    </row>
    <row r="390" spans="1:2" x14ac:dyDescent="0.25">
      <c r="A390" t="s">
        <v>240</v>
      </c>
      <c r="B390" t="s">
        <v>419</v>
      </c>
    </row>
    <row r="391" spans="1:2" x14ac:dyDescent="0.25">
      <c r="A391" t="s">
        <v>240</v>
      </c>
      <c r="B391" t="s">
        <v>420</v>
      </c>
    </row>
    <row r="392" spans="1:2" x14ac:dyDescent="0.25">
      <c r="A392" t="s">
        <v>176</v>
      </c>
      <c r="B392" t="s">
        <v>4030</v>
      </c>
    </row>
    <row r="393" spans="1:2" x14ac:dyDescent="0.25">
      <c r="A393" t="s">
        <v>176</v>
      </c>
      <c r="B393" t="s">
        <v>1797</v>
      </c>
    </row>
    <row r="394" spans="1:2" x14ac:dyDescent="0.25">
      <c r="A394" t="s">
        <v>176</v>
      </c>
      <c r="B394" t="s">
        <v>1798</v>
      </c>
    </row>
    <row r="395" spans="1:2" x14ac:dyDescent="0.25">
      <c r="A395" t="s">
        <v>176</v>
      </c>
      <c r="B395" t="s">
        <v>471</v>
      </c>
    </row>
    <row r="396" spans="1:2" x14ac:dyDescent="0.25">
      <c r="A396" t="s">
        <v>176</v>
      </c>
      <c r="B396" t="s">
        <v>1799</v>
      </c>
    </row>
    <row r="397" spans="1:2" x14ac:dyDescent="0.25">
      <c r="A397" t="s">
        <v>176</v>
      </c>
      <c r="B397" t="s">
        <v>1800</v>
      </c>
    </row>
    <row r="398" spans="1:2" x14ac:dyDescent="0.25">
      <c r="A398" t="s">
        <v>176</v>
      </c>
      <c r="B398" t="s">
        <v>899</v>
      </c>
    </row>
    <row r="399" spans="1:2" x14ac:dyDescent="0.25">
      <c r="A399" t="s">
        <v>176</v>
      </c>
      <c r="B399" t="s">
        <v>906</v>
      </c>
    </row>
    <row r="400" spans="1:2" x14ac:dyDescent="0.25">
      <c r="A400" t="s">
        <v>176</v>
      </c>
      <c r="B400" t="s">
        <v>901</v>
      </c>
    </row>
    <row r="401" spans="1:2" x14ac:dyDescent="0.25">
      <c r="A401" t="s">
        <v>176</v>
      </c>
      <c r="B401" t="s">
        <v>908</v>
      </c>
    </row>
    <row r="402" spans="1:2" x14ac:dyDescent="0.25">
      <c r="A402" t="s">
        <v>176</v>
      </c>
      <c r="B402" t="s">
        <v>902</v>
      </c>
    </row>
    <row r="403" spans="1:2" x14ac:dyDescent="0.25">
      <c r="A403" t="s">
        <v>176</v>
      </c>
      <c r="B403" t="s">
        <v>903</v>
      </c>
    </row>
    <row r="404" spans="1:2" x14ac:dyDescent="0.25">
      <c r="A404" t="s">
        <v>176</v>
      </c>
      <c r="B404" t="s">
        <v>904</v>
      </c>
    </row>
    <row r="405" spans="1:2" x14ac:dyDescent="0.25">
      <c r="A405" t="s">
        <v>176</v>
      </c>
      <c r="B405" t="s">
        <v>905</v>
      </c>
    </row>
    <row r="406" spans="1:2" x14ac:dyDescent="0.25">
      <c r="A406" t="s">
        <v>176</v>
      </c>
      <c r="B406" t="s">
        <v>912</v>
      </c>
    </row>
    <row r="407" spans="1:2" x14ac:dyDescent="0.25">
      <c r="A407" t="s">
        <v>176</v>
      </c>
      <c r="B407" t="s">
        <v>907</v>
      </c>
    </row>
    <row r="408" spans="1:2" x14ac:dyDescent="0.25">
      <c r="A408" t="s">
        <v>176</v>
      </c>
      <c r="B408" t="s">
        <v>911</v>
      </c>
    </row>
    <row r="409" spans="1:2" x14ac:dyDescent="0.25">
      <c r="A409" t="s">
        <v>176</v>
      </c>
      <c r="B409" t="s">
        <v>910</v>
      </c>
    </row>
    <row r="410" spans="1:2" x14ac:dyDescent="0.25">
      <c r="A410" t="s">
        <v>176</v>
      </c>
      <c r="B410" t="s">
        <v>900</v>
      </c>
    </row>
    <row r="411" spans="1:2" x14ac:dyDescent="0.25">
      <c r="A411" t="s">
        <v>176</v>
      </c>
      <c r="B411" t="s">
        <v>1801</v>
      </c>
    </row>
    <row r="412" spans="1:2" x14ac:dyDescent="0.25">
      <c r="A412" t="s">
        <v>205</v>
      </c>
      <c r="B412" t="s">
        <v>4050</v>
      </c>
    </row>
    <row r="413" spans="1:2" x14ac:dyDescent="0.25">
      <c r="A413" t="s">
        <v>205</v>
      </c>
      <c r="B413" t="s">
        <v>2369</v>
      </c>
    </row>
    <row r="414" spans="1:2" x14ac:dyDescent="0.25">
      <c r="A414" t="s">
        <v>205</v>
      </c>
      <c r="B414" t="s">
        <v>621</v>
      </c>
    </row>
    <row r="415" spans="1:2" x14ac:dyDescent="0.25">
      <c r="A415" t="s">
        <v>205</v>
      </c>
      <c r="B415" t="s">
        <v>2370</v>
      </c>
    </row>
    <row r="416" spans="1:2" x14ac:dyDescent="0.25">
      <c r="A416" t="s">
        <v>205</v>
      </c>
      <c r="B416" t="s">
        <v>560</v>
      </c>
    </row>
    <row r="417" spans="1:2" x14ac:dyDescent="0.25">
      <c r="A417" t="s">
        <v>205</v>
      </c>
      <c r="B417" t="s">
        <v>564</v>
      </c>
    </row>
    <row r="418" spans="1:2" x14ac:dyDescent="0.25">
      <c r="A418" t="s">
        <v>205</v>
      </c>
      <c r="B418" t="s">
        <v>563</v>
      </c>
    </row>
    <row r="419" spans="1:2" x14ac:dyDescent="0.25">
      <c r="A419" t="s">
        <v>205</v>
      </c>
      <c r="B419" t="s">
        <v>561</v>
      </c>
    </row>
    <row r="420" spans="1:2" x14ac:dyDescent="0.25">
      <c r="A420" t="s">
        <v>205</v>
      </c>
      <c r="B420" t="s">
        <v>565</v>
      </c>
    </row>
    <row r="421" spans="1:2" x14ac:dyDescent="0.25">
      <c r="A421" t="s">
        <v>205</v>
      </c>
      <c r="B421" t="s">
        <v>566</v>
      </c>
    </row>
    <row r="422" spans="1:2" x14ac:dyDescent="0.25">
      <c r="A422" t="s">
        <v>205</v>
      </c>
      <c r="B422" t="s">
        <v>2371</v>
      </c>
    </row>
    <row r="423" spans="1:2" x14ac:dyDescent="0.25">
      <c r="A423" t="s">
        <v>205</v>
      </c>
      <c r="B423" t="s">
        <v>567</v>
      </c>
    </row>
    <row r="424" spans="1:2" x14ac:dyDescent="0.25">
      <c r="A424" t="s">
        <v>205</v>
      </c>
      <c r="B424" t="s">
        <v>568</v>
      </c>
    </row>
    <row r="425" spans="1:2" x14ac:dyDescent="0.25">
      <c r="A425" t="s">
        <v>205</v>
      </c>
      <c r="B425" t="s">
        <v>2372</v>
      </c>
    </row>
    <row r="426" spans="1:2" x14ac:dyDescent="0.25">
      <c r="A426" t="s">
        <v>205</v>
      </c>
      <c r="B426" t="s">
        <v>569</v>
      </c>
    </row>
    <row r="427" spans="1:2" x14ac:dyDescent="0.25">
      <c r="A427" t="s">
        <v>205</v>
      </c>
      <c r="B427" t="s">
        <v>2373</v>
      </c>
    </row>
    <row r="428" spans="1:2" x14ac:dyDescent="0.25">
      <c r="A428" t="s">
        <v>205</v>
      </c>
      <c r="B428" t="s">
        <v>2374</v>
      </c>
    </row>
    <row r="429" spans="1:2" x14ac:dyDescent="0.25">
      <c r="A429" t="s">
        <v>205</v>
      </c>
      <c r="B429" t="s">
        <v>562</v>
      </c>
    </row>
    <row r="430" spans="1:2" x14ac:dyDescent="0.25">
      <c r="A430" t="s">
        <v>205</v>
      </c>
      <c r="B430" t="s">
        <v>570</v>
      </c>
    </row>
    <row r="431" spans="1:2" x14ac:dyDescent="0.25">
      <c r="A431" t="s">
        <v>205</v>
      </c>
      <c r="B431" t="s">
        <v>4663</v>
      </c>
    </row>
    <row r="432" spans="1:2" x14ac:dyDescent="0.25">
      <c r="A432" t="s">
        <v>199</v>
      </c>
      <c r="B432" t="s">
        <v>4563</v>
      </c>
    </row>
    <row r="433" spans="1:2" x14ac:dyDescent="0.25">
      <c r="A433" t="s">
        <v>199</v>
      </c>
      <c r="B433" t="s">
        <v>4564</v>
      </c>
    </row>
    <row r="434" spans="1:2" x14ac:dyDescent="0.25">
      <c r="A434" t="s">
        <v>199</v>
      </c>
      <c r="B434" t="s">
        <v>4565</v>
      </c>
    </row>
    <row r="435" spans="1:2" x14ac:dyDescent="0.25">
      <c r="A435" t="s">
        <v>199</v>
      </c>
      <c r="B435" t="s">
        <v>4566</v>
      </c>
    </row>
    <row r="436" spans="1:2" x14ac:dyDescent="0.25">
      <c r="A436" t="s">
        <v>199</v>
      </c>
      <c r="B436" t="s">
        <v>4567</v>
      </c>
    </row>
    <row r="437" spans="1:2" x14ac:dyDescent="0.25">
      <c r="A437" t="s">
        <v>199</v>
      </c>
      <c r="B437" t="s">
        <v>4568</v>
      </c>
    </row>
    <row r="438" spans="1:2" x14ac:dyDescent="0.25">
      <c r="A438" t="s">
        <v>199</v>
      </c>
      <c r="B438" t="s">
        <v>4569</v>
      </c>
    </row>
    <row r="439" spans="1:2" ht="15.75" x14ac:dyDescent="0.25">
      <c r="A439" t="s">
        <v>199</v>
      </c>
      <c r="B439" s="30" t="s">
        <v>4668</v>
      </c>
    </row>
    <row r="440" spans="1:2" ht="15.75" x14ac:dyDescent="0.25">
      <c r="A440" t="s">
        <v>199</v>
      </c>
      <c r="B440" s="30" t="s">
        <v>4670</v>
      </c>
    </row>
    <row r="441" spans="1:2" ht="15.75" x14ac:dyDescent="0.25">
      <c r="A441" t="s">
        <v>199</v>
      </c>
      <c r="B441" s="30" t="s">
        <v>4669</v>
      </c>
    </row>
    <row r="442" spans="1:2" x14ac:dyDescent="0.25">
      <c r="A442" t="s">
        <v>224</v>
      </c>
      <c r="B442" t="s">
        <v>4146</v>
      </c>
    </row>
    <row r="443" spans="1:2" x14ac:dyDescent="0.25">
      <c r="A443" t="s">
        <v>224</v>
      </c>
      <c r="B443" t="s">
        <v>4147</v>
      </c>
    </row>
    <row r="444" spans="1:2" x14ac:dyDescent="0.25">
      <c r="A444" t="s">
        <v>224</v>
      </c>
      <c r="B444" t="s">
        <v>4148</v>
      </c>
    </row>
    <row r="445" spans="1:2" x14ac:dyDescent="0.25">
      <c r="A445" t="s">
        <v>224</v>
      </c>
      <c r="B445" t="s">
        <v>4149</v>
      </c>
    </row>
    <row r="446" spans="1:2" x14ac:dyDescent="0.25">
      <c r="A446" t="s">
        <v>224</v>
      </c>
      <c r="B446" t="s">
        <v>4150</v>
      </c>
    </row>
    <row r="447" spans="1:2" x14ac:dyDescent="0.25">
      <c r="A447" t="s">
        <v>224</v>
      </c>
      <c r="B447" t="s">
        <v>4151</v>
      </c>
    </row>
    <row r="448" spans="1:2" x14ac:dyDescent="0.25">
      <c r="A448" t="s">
        <v>224</v>
      </c>
      <c r="B448" t="s">
        <v>4152</v>
      </c>
    </row>
    <row r="449" spans="1:2" x14ac:dyDescent="0.25">
      <c r="A449" t="s">
        <v>224</v>
      </c>
      <c r="B449" t="s">
        <v>4153</v>
      </c>
    </row>
    <row r="450" spans="1:2" x14ac:dyDescent="0.25">
      <c r="A450" t="s">
        <v>224</v>
      </c>
      <c r="B450" t="s">
        <v>4154</v>
      </c>
    </row>
    <row r="451" spans="1:2" x14ac:dyDescent="0.25">
      <c r="A451" t="s">
        <v>224</v>
      </c>
      <c r="B451" t="s">
        <v>4155</v>
      </c>
    </row>
    <row r="452" spans="1:2" x14ac:dyDescent="0.25">
      <c r="A452" t="s">
        <v>224</v>
      </c>
      <c r="B452" t="s">
        <v>4156</v>
      </c>
    </row>
    <row r="453" spans="1:2" x14ac:dyDescent="0.25">
      <c r="A453" t="s">
        <v>224</v>
      </c>
      <c r="B453" t="s">
        <v>4157</v>
      </c>
    </row>
    <row r="454" spans="1:2" x14ac:dyDescent="0.25">
      <c r="A454" t="s">
        <v>224</v>
      </c>
      <c r="B454" t="s">
        <v>4158</v>
      </c>
    </row>
    <row r="455" spans="1:2" x14ac:dyDescent="0.25">
      <c r="A455" t="s">
        <v>224</v>
      </c>
      <c r="B455" t="s">
        <v>4159</v>
      </c>
    </row>
    <row r="456" spans="1:2" x14ac:dyDescent="0.25">
      <c r="A456" t="s">
        <v>224</v>
      </c>
      <c r="B456" t="s">
        <v>4160</v>
      </c>
    </row>
    <row r="457" spans="1:2" x14ac:dyDescent="0.25">
      <c r="A457" t="s">
        <v>224</v>
      </c>
      <c r="B457" t="s">
        <v>4161</v>
      </c>
    </row>
    <row r="458" spans="1:2" x14ac:dyDescent="0.25">
      <c r="A458" t="s">
        <v>224</v>
      </c>
      <c r="B458" t="s">
        <v>4162</v>
      </c>
    </row>
    <row r="459" spans="1:2" x14ac:dyDescent="0.25">
      <c r="A459" t="s">
        <v>224</v>
      </c>
      <c r="B459" t="s">
        <v>4163</v>
      </c>
    </row>
    <row r="460" spans="1:2" x14ac:dyDescent="0.25">
      <c r="A460" t="s">
        <v>224</v>
      </c>
      <c r="B460" t="s">
        <v>4164</v>
      </c>
    </row>
    <row r="461" spans="1:2" x14ac:dyDescent="0.25">
      <c r="A461" t="s">
        <v>224</v>
      </c>
      <c r="B461" t="s">
        <v>4165</v>
      </c>
    </row>
    <row r="462" spans="1:2" x14ac:dyDescent="0.25">
      <c r="A462" t="s">
        <v>224</v>
      </c>
      <c r="B462" t="s">
        <v>4166</v>
      </c>
    </row>
    <row r="463" spans="1:2" x14ac:dyDescent="0.25">
      <c r="A463" t="s">
        <v>217</v>
      </c>
      <c r="B463" t="s">
        <v>4696</v>
      </c>
    </row>
    <row r="464" spans="1:2" x14ac:dyDescent="0.25">
      <c r="A464" t="s">
        <v>217</v>
      </c>
      <c r="B464" t="s">
        <v>4088</v>
      </c>
    </row>
    <row r="465" spans="1:2" x14ac:dyDescent="0.25">
      <c r="A465" t="s">
        <v>217</v>
      </c>
      <c r="B465" t="s">
        <v>3245</v>
      </c>
    </row>
    <row r="466" spans="1:2" x14ac:dyDescent="0.25">
      <c r="A466" t="s">
        <v>217</v>
      </c>
      <c r="B466" t="s">
        <v>3246</v>
      </c>
    </row>
    <row r="467" spans="1:2" x14ac:dyDescent="0.25">
      <c r="A467" t="s">
        <v>217</v>
      </c>
      <c r="B467" t="s">
        <v>3247</v>
      </c>
    </row>
    <row r="468" spans="1:2" x14ac:dyDescent="0.25">
      <c r="A468" t="s">
        <v>217</v>
      </c>
      <c r="B468" t="s">
        <v>3248</v>
      </c>
    </row>
    <row r="469" spans="1:2" x14ac:dyDescent="0.25">
      <c r="A469" t="s">
        <v>217</v>
      </c>
      <c r="B469" t="s">
        <v>3249</v>
      </c>
    </row>
    <row r="470" spans="1:2" x14ac:dyDescent="0.25">
      <c r="A470" t="s">
        <v>217</v>
      </c>
      <c r="B470" t="s">
        <v>3250</v>
      </c>
    </row>
    <row r="471" spans="1:2" x14ac:dyDescent="0.25">
      <c r="A471" t="s">
        <v>217</v>
      </c>
      <c r="B471" t="s">
        <v>3251</v>
      </c>
    </row>
    <row r="472" spans="1:2" x14ac:dyDescent="0.25">
      <c r="A472" t="s">
        <v>217</v>
      </c>
      <c r="B472" t="s">
        <v>3252</v>
      </c>
    </row>
    <row r="473" spans="1:2" x14ac:dyDescent="0.25">
      <c r="A473" t="s">
        <v>217</v>
      </c>
      <c r="B473" t="s">
        <v>3253</v>
      </c>
    </row>
    <row r="474" spans="1:2" x14ac:dyDescent="0.25">
      <c r="A474" t="s">
        <v>217</v>
      </c>
      <c r="B474" t="s">
        <v>3254</v>
      </c>
    </row>
    <row r="475" spans="1:2" x14ac:dyDescent="0.25">
      <c r="A475" t="s">
        <v>217</v>
      </c>
      <c r="B475" t="s">
        <v>3255</v>
      </c>
    </row>
    <row r="476" spans="1:2" x14ac:dyDescent="0.25">
      <c r="A476" t="s">
        <v>217</v>
      </c>
      <c r="B476" t="s">
        <v>3256</v>
      </c>
    </row>
    <row r="477" spans="1:2" x14ac:dyDescent="0.25">
      <c r="A477" t="s">
        <v>217</v>
      </c>
      <c r="B477" t="s">
        <v>3257</v>
      </c>
    </row>
    <row r="478" spans="1:2" x14ac:dyDescent="0.25">
      <c r="A478" t="s">
        <v>217</v>
      </c>
      <c r="B478" t="s">
        <v>949</v>
      </c>
    </row>
    <row r="479" spans="1:2" x14ac:dyDescent="0.25">
      <c r="A479" t="s">
        <v>217</v>
      </c>
      <c r="B479" t="s">
        <v>3258</v>
      </c>
    </row>
    <row r="480" spans="1:2" x14ac:dyDescent="0.25">
      <c r="A480" t="s">
        <v>217</v>
      </c>
      <c r="B480" t="s">
        <v>3259</v>
      </c>
    </row>
    <row r="481" spans="1:2" x14ac:dyDescent="0.25">
      <c r="A481" t="s">
        <v>217</v>
      </c>
      <c r="B481" t="s">
        <v>3260</v>
      </c>
    </row>
    <row r="482" spans="1:2" x14ac:dyDescent="0.25">
      <c r="A482" t="s">
        <v>217</v>
      </c>
      <c r="B482" t="s">
        <v>3261</v>
      </c>
    </row>
    <row r="483" spans="1:2" x14ac:dyDescent="0.25">
      <c r="A483" t="s">
        <v>217</v>
      </c>
      <c r="B483" t="s">
        <v>3262</v>
      </c>
    </row>
    <row r="484" spans="1:2" x14ac:dyDescent="0.25">
      <c r="A484" t="s">
        <v>217</v>
      </c>
      <c r="B484" t="s">
        <v>3263</v>
      </c>
    </row>
    <row r="485" spans="1:2" x14ac:dyDescent="0.25">
      <c r="A485" t="s">
        <v>217</v>
      </c>
      <c r="B485" t="s">
        <v>3254</v>
      </c>
    </row>
    <row r="486" spans="1:2" x14ac:dyDescent="0.25">
      <c r="A486" t="s">
        <v>217</v>
      </c>
      <c r="B486" t="s">
        <v>3264</v>
      </c>
    </row>
    <row r="487" spans="1:2" x14ac:dyDescent="0.25">
      <c r="A487" t="s">
        <v>217</v>
      </c>
      <c r="B487" t="s">
        <v>3265</v>
      </c>
    </row>
    <row r="488" spans="1:2" x14ac:dyDescent="0.25">
      <c r="A488" t="s">
        <v>217</v>
      </c>
      <c r="B488" t="s">
        <v>3266</v>
      </c>
    </row>
    <row r="489" spans="1:2" x14ac:dyDescent="0.25">
      <c r="A489" t="s">
        <v>217</v>
      </c>
      <c r="B489" t="s">
        <v>3267</v>
      </c>
    </row>
    <row r="490" spans="1:2" x14ac:dyDescent="0.25">
      <c r="A490" t="s">
        <v>217</v>
      </c>
      <c r="B490" t="s">
        <v>3268</v>
      </c>
    </row>
    <row r="491" spans="1:2" x14ac:dyDescent="0.25">
      <c r="A491" t="s">
        <v>217</v>
      </c>
      <c r="B491" t="s">
        <v>3269</v>
      </c>
    </row>
    <row r="492" spans="1:2" x14ac:dyDescent="0.25">
      <c r="A492" t="s">
        <v>217</v>
      </c>
      <c r="B492" t="s">
        <v>3270</v>
      </c>
    </row>
    <row r="493" spans="1:2" x14ac:dyDescent="0.25">
      <c r="A493" t="s">
        <v>217</v>
      </c>
      <c r="B493" t="s">
        <v>3271</v>
      </c>
    </row>
    <row r="494" spans="1:2" x14ac:dyDescent="0.25">
      <c r="A494" t="s">
        <v>209</v>
      </c>
      <c r="B494" t="s">
        <v>4032</v>
      </c>
    </row>
    <row r="495" spans="1:2" x14ac:dyDescent="0.25">
      <c r="A495" t="s">
        <v>209</v>
      </c>
      <c r="B495" t="s">
        <v>1824</v>
      </c>
    </row>
    <row r="496" spans="1:2" x14ac:dyDescent="0.25">
      <c r="A496" t="s">
        <v>209</v>
      </c>
      <c r="B496" t="s">
        <v>1825</v>
      </c>
    </row>
    <row r="497" spans="1:2" x14ac:dyDescent="0.25">
      <c r="A497" t="s">
        <v>209</v>
      </c>
      <c r="B497" t="s">
        <v>1826</v>
      </c>
    </row>
    <row r="498" spans="1:2" x14ac:dyDescent="0.25">
      <c r="A498" t="s">
        <v>209</v>
      </c>
      <c r="B498" t="s">
        <v>1827</v>
      </c>
    </row>
    <row r="499" spans="1:2" x14ac:dyDescent="0.25">
      <c r="A499" t="s">
        <v>209</v>
      </c>
      <c r="B499" t="s">
        <v>4532</v>
      </c>
    </row>
    <row r="500" spans="1:2" x14ac:dyDescent="0.25">
      <c r="A500" t="s">
        <v>209</v>
      </c>
      <c r="B500" t="s">
        <v>1828</v>
      </c>
    </row>
    <row r="501" spans="1:2" x14ac:dyDescent="0.25">
      <c r="A501" t="s">
        <v>209</v>
      </c>
      <c r="B501" t="s">
        <v>1829</v>
      </c>
    </row>
    <row r="502" spans="1:2" x14ac:dyDescent="0.25">
      <c r="A502" t="s">
        <v>209</v>
      </c>
      <c r="B502" t="s">
        <v>1830</v>
      </c>
    </row>
    <row r="503" spans="1:2" x14ac:dyDescent="0.25">
      <c r="A503" t="s">
        <v>209</v>
      </c>
      <c r="B503" t="s">
        <v>1074</v>
      </c>
    </row>
    <row r="504" spans="1:2" x14ac:dyDescent="0.25">
      <c r="A504" t="s">
        <v>209</v>
      </c>
      <c r="B504" t="s">
        <v>1075</v>
      </c>
    </row>
    <row r="505" spans="1:2" x14ac:dyDescent="0.25">
      <c r="A505" t="s">
        <v>209</v>
      </c>
      <c r="B505" t="s">
        <v>1831</v>
      </c>
    </row>
    <row r="506" spans="1:2" x14ac:dyDescent="0.25">
      <c r="A506" t="s">
        <v>209</v>
      </c>
      <c r="B506" t="s">
        <v>1832</v>
      </c>
    </row>
    <row r="507" spans="1:2" x14ac:dyDescent="0.25">
      <c r="A507" t="s">
        <v>209</v>
      </c>
      <c r="B507" t="s">
        <v>1833</v>
      </c>
    </row>
    <row r="508" spans="1:2" x14ac:dyDescent="0.25">
      <c r="A508" t="s">
        <v>209</v>
      </c>
      <c r="B508" t="s">
        <v>1834</v>
      </c>
    </row>
    <row r="509" spans="1:2" x14ac:dyDescent="0.25">
      <c r="A509" t="s">
        <v>209</v>
      </c>
      <c r="B509" t="s">
        <v>1835</v>
      </c>
    </row>
    <row r="510" spans="1:2" x14ac:dyDescent="0.25">
      <c r="A510" t="s">
        <v>209</v>
      </c>
      <c r="B510" t="s">
        <v>1073</v>
      </c>
    </row>
    <row r="511" spans="1:2" x14ac:dyDescent="0.25">
      <c r="A511" t="s">
        <v>209</v>
      </c>
      <c r="B511" t="s">
        <v>1836</v>
      </c>
    </row>
    <row r="512" spans="1:2" x14ac:dyDescent="0.25">
      <c r="A512" t="s">
        <v>209</v>
      </c>
      <c r="B512" t="s">
        <v>1079</v>
      </c>
    </row>
    <row r="513" spans="1:2" x14ac:dyDescent="0.25">
      <c r="A513" t="s">
        <v>209</v>
      </c>
      <c r="B513" t="s">
        <v>1077</v>
      </c>
    </row>
    <row r="514" spans="1:2" x14ac:dyDescent="0.25">
      <c r="A514" t="s">
        <v>209</v>
      </c>
      <c r="B514" t="s">
        <v>1837</v>
      </c>
    </row>
    <row r="515" spans="1:2" x14ac:dyDescent="0.25">
      <c r="A515" t="s">
        <v>209</v>
      </c>
      <c r="B515" t="s">
        <v>1076</v>
      </c>
    </row>
    <row r="516" spans="1:2" x14ac:dyDescent="0.25">
      <c r="A516" t="s">
        <v>209</v>
      </c>
      <c r="B516" t="s">
        <v>1838</v>
      </c>
    </row>
    <row r="517" spans="1:2" x14ac:dyDescent="0.25">
      <c r="A517" t="s">
        <v>209</v>
      </c>
      <c r="B517" t="s">
        <v>1839</v>
      </c>
    </row>
    <row r="518" spans="1:2" x14ac:dyDescent="0.25">
      <c r="A518" t="s">
        <v>209</v>
      </c>
      <c r="B518" t="s">
        <v>1840</v>
      </c>
    </row>
    <row r="519" spans="1:2" x14ac:dyDescent="0.25">
      <c r="A519" t="s">
        <v>209</v>
      </c>
      <c r="B519" t="s">
        <v>1076</v>
      </c>
    </row>
    <row r="520" spans="1:2" x14ac:dyDescent="0.25">
      <c r="A520" t="s">
        <v>209</v>
      </c>
      <c r="B520" t="s">
        <v>1078</v>
      </c>
    </row>
    <row r="521" spans="1:2" x14ac:dyDescent="0.25">
      <c r="A521" t="s">
        <v>181</v>
      </c>
      <c r="B521" t="s">
        <v>4570</v>
      </c>
    </row>
    <row r="522" spans="1:2" x14ac:dyDescent="0.25">
      <c r="A522" t="s">
        <v>181</v>
      </c>
      <c r="B522" t="s">
        <v>4571</v>
      </c>
    </row>
    <row r="523" spans="1:2" x14ac:dyDescent="0.25">
      <c r="A523" t="s">
        <v>181</v>
      </c>
      <c r="B523" t="s">
        <v>4572</v>
      </c>
    </row>
    <row r="524" spans="1:2" x14ac:dyDescent="0.25">
      <c r="A524" t="s">
        <v>181</v>
      </c>
      <c r="B524" t="s">
        <v>4573</v>
      </c>
    </row>
    <row r="525" spans="1:2" x14ac:dyDescent="0.25">
      <c r="A525" t="s">
        <v>181</v>
      </c>
      <c r="B525" t="s">
        <v>4574</v>
      </c>
    </row>
    <row r="526" spans="1:2" x14ac:dyDescent="0.25">
      <c r="A526" t="s">
        <v>181</v>
      </c>
      <c r="B526" t="s">
        <v>4575</v>
      </c>
    </row>
    <row r="527" spans="1:2" x14ac:dyDescent="0.25">
      <c r="A527" t="s">
        <v>181</v>
      </c>
      <c r="B527" t="s">
        <v>4576</v>
      </c>
    </row>
    <row r="528" spans="1:2" x14ac:dyDescent="0.25">
      <c r="A528" t="s">
        <v>181</v>
      </c>
      <c r="B528" t="s">
        <v>4577</v>
      </c>
    </row>
    <row r="529" spans="1:2" x14ac:dyDescent="0.25">
      <c r="A529" t="s">
        <v>181</v>
      </c>
      <c r="B529" t="s">
        <v>4578</v>
      </c>
    </row>
    <row r="530" spans="1:2" x14ac:dyDescent="0.25">
      <c r="A530" t="s">
        <v>181</v>
      </c>
      <c r="B530" t="s">
        <v>4579</v>
      </c>
    </row>
    <row r="531" spans="1:2" x14ac:dyDescent="0.25">
      <c r="A531" t="s">
        <v>181</v>
      </c>
      <c r="B531" t="s">
        <v>4671</v>
      </c>
    </row>
    <row r="532" spans="1:2" x14ac:dyDescent="0.25">
      <c r="A532" t="s">
        <v>181</v>
      </c>
      <c r="B532" t="s">
        <v>4693</v>
      </c>
    </row>
    <row r="533" spans="1:2" x14ac:dyDescent="0.25">
      <c r="A533" t="s">
        <v>298</v>
      </c>
      <c r="B533" t="s">
        <v>4384</v>
      </c>
    </row>
    <row r="534" spans="1:2" x14ac:dyDescent="0.25">
      <c r="A534" t="s">
        <v>298</v>
      </c>
      <c r="B534" t="s">
        <v>4385</v>
      </c>
    </row>
    <row r="535" spans="1:2" x14ac:dyDescent="0.25">
      <c r="A535" t="s">
        <v>298</v>
      </c>
      <c r="B535" t="s">
        <v>4386</v>
      </c>
    </row>
    <row r="536" spans="1:2" x14ac:dyDescent="0.25">
      <c r="A536" t="s">
        <v>298</v>
      </c>
      <c r="B536" t="s">
        <v>4387</v>
      </c>
    </row>
    <row r="537" spans="1:2" x14ac:dyDescent="0.25">
      <c r="A537" t="s">
        <v>298</v>
      </c>
      <c r="B537" t="s">
        <v>4388</v>
      </c>
    </row>
    <row r="538" spans="1:2" x14ac:dyDescent="0.25">
      <c r="A538" t="s">
        <v>298</v>
      </c>
      <c r="B538" t="s">
        <v>4389</v>
      </c>
    </row>
    <row r="539" spans="1:2" x14ac:dyDescent="0.25">
      <c r="A539" t="s">
        <v>298</v>
      </c>
      <c r="B539" t="s">
        <v>4390</v>
      </c>
    </row>
    <row r="540" spans="1:2" x14ac:dyDescent="0.25">
      <c r="A540" t="s">
        <v>298</v>
      </c>
      <c r="B540" t="s">
        <v>4697</v>
      </c>
    </row>
    <row r="541" spans="1:2" x14ac:dyDescent="0.25">
      <c r="A541" t="s">
        <v>298</v>
      </c>
      <c r="B541" t="s">
        <v>4391</v>
      </c>
    </row>
    <row r="542" spans="1:2" x14ac:dyDescent="0.25">
      <c r="A542" t="s">
        <v>298</v>
      </c>
      <c r="B542" t="s">
        <v>4392</v>
      </c>
    </row>
    <row r="543" spans="1:2" x14ac:dyDescent="0.25">
      <c r="A543" t="s">
        <v>298</v>
      </c>
      <c r="B543" t="s">
        <v>4393</v>
      </c>
    </row>
    <row r="544" spans="1:2" x14ac:dyDescent="0.25">
      <c r="A544" t="s">
        <v>298</v>
      </c>
      <c r="B544" t="s">
        <v>4394</v>
      </c>
    </row>
    <row r="545" spans="1:2" x14ac:dyDescent="0.25">
      <c r="A545" t="s">
        <v>298</v>
      </c>
      <c r="B545" t="s">
        <v>4395</v>
      </c>
    </row>
    <row r="546" spans="1:2" x14ac:dyDescent="0.25">
      <c r="A546" t="s">
        <v>298</v>
      </c>
      <c r="B546" t="s">
        <v>4396</v>
      </c>
    </row>
    <row r="547" spans="1:2" x14ac:dyDescent="0.25">
      <c r="A547" t="s">
        <v>298</v>
      </c>
      <c r="B547" t="s">
        <v>4397</v>
      </c>
    </row>
    <row r="548" spans="1:2" x14ac:dyDescent="0.25">
      <c r="A548" t="s">
        <v>298</v>
      </c>
      <c r="B548" t="s">
        <v>4398</v>
      </c>
    </row>
    <row r="549" spans="1:2" x14ac:dyDescent="0.25">
      <c r="A549" t="s">
        <v>298</v>
      </c>
      <c r="B549" t="s">
        <v>4399</v>
      </c>
    </row>
    <row r="550" spans="1:2" x14ac:dyDescent="0.25">
      <c r="A550" t="s">
        <v>298</v>
      </c>
      <c r="B550" t="s">
        <v>4400</v>
      </c>
    </row>
    <row r="551" spans="1:2" x14ac:dyDescent="0.25">
      <c r="A551" t="s">
        <v>298</v>
      </c>
      <c r="B551" t="s">
        <v>4401</v>
      </c>
    </row>
    <row r="552" spans="1:2" x14ac:dyDescent="0.25">
      <c r="A552" t="s">
        <v>298</v>
      </c>
      <c r="B552" t="s">
        <v>4402</v>
      </c>
    </row>
    <row r="553" spans="1:2" x14ac:dyDescent="0.25">
      <c r="A553" t="s">
        <v>298</v>
      </c>
      <c r="B553" t="s">
        <v>4403</v>
      </c>
    </row>
    <row r="554" spans="1:2" x14ac:dyDescent="0.25">
      <c r="A554" t="s">
        <v>298</v>
      </c>
      <c r="B554" t="s">
        <v>4304</v>
      </c>
    </row>
    <row r="555" spans="1:2" x14ac:dyDescent="0.25">
      <c r="A555" t="s">
        <v>298</v>
      </c>
      <c r="B555" t="s">
        <v>4404</v>
      </c>
    </row>
    <row r="556" spans="1:2" x14ac:dyDescent="0.25">
      <c r="A556" t="s">
        <v>298</v>
      </c>
      <c r="B556" t="s">
        <v>4405</v>
      </c>
    </row>
    <row r="557" spans="1:2" x14ac:dyDescent="0.25">
      <c r="A557" t="s">
        <v>298</v>
      </c>
      <c r="B557" t="s">
        <v>4406</v>
      </c>
    </row>
    <row r="558" spans="1:2" x14ac:dyDescent="0.25">
      <c r="A558" t="s">
        <v>298</v>
      </c>
      <c r="B558" t="s">
        <v>4580</v>
      </c>
    </row>
    <row r="559" spans="1:2" x14ac:dyDescent="0.25">
      <c r="A559" t="s">
        <v>298</v>
      </c>
      <c r="B559" t="s">
        <v>4694</v>
      </c>
    </row>
    <row r="560" spans="1:2" x14ac:dyDescent="0.25">
      <c r="A560" t="s">
        <v>207</v>
      </c>
      <c r="B560" t="s">
        <v>4069</v>
      </c>
    </row>
    <row r="561" spans="1:2" x14ac:dyDescent="0.25">
      <c r="A561" t="s">
        <v>207</v>
      </c>
      <c r="B561" t="s">
        <v>951</v>
      </c>
    </row>
    <row r="562" spans="1:2" x14ac:dyDescent="0.25">
      <c r="A562" t="s">
        <v>207</v>
      </c>
      <c r="B562" t="s">
        <v>2824</v>
      </c>
    </row>
    <row r="563" spans="1:2" x14ac:dyDescent="0.25">
      <c r="A563" t="s">
        <v>207</v>
      </c>
      <c r="B563" t="s">
        <v>2825</v>
      </c>
    </row>
    <row r="564" spans="1:2" x14ac:dyDescent="0.25">
      <c r="A564" t="s">
        <v>207</v>
      </c>
      <c r="B564" t="s">
        <v>724</v>
      </c>
    </row>
    <row r="565" spans="1:2" x14ac:dyDescent="0.25">
      <c r="A565" t="s">
        <v>207</v>
      </c>
      <c r="B565" t="s">
        <v>725</v>
      </c>
    </row>
    <row r="566" spans="1:2" x14ac:dyDescent="0.25">
      <c r="A566" t="s">
        <v>207</v>
      </c>
      <c r="B566" t="s">
        <v>2826</v>
      </c>
    </row>
    <row r="567" spans="1:2" x14ac:dyDescent="0.25">
      <c r="A567" t="s">
        <v>207</v>
      </c>
      <c r="B567" t="s">
        <v>2827</v>
      </c>
    </row>
    <row r="568" spans="1:2" x14ac:dyDescent="0.25">
      <c r="A568" t="s">
        <v>207</v>
      </c>
      <c r="B568" t="s">
        <v>2828</v>
      </c>
    </row>
    <row r="569" spans="1:2" x14ac:dyDescent="0.25">
      <c r="A569" t="s">
        <v>207</v>
      </c>
      <c r="B569" t="s">
        <v>728</v>
      </c>
    </row>
    <row r="570" spans="1:2" x14ac:dyDescent="0.25">
      <c r="A570" t="s">
        <v>207</v>
      </c>
      <c r="B570" t="s">
        <v>729</v>
      </c>
    </row>
    <row r="571" spans="1:2" x14ac:dyDescent="0.25">
      <c r="A571" t="s">
        <v>207</v>
      </c>
      <c r="B571" t="s">
        <v>2829</v>
      </c>
    </row>
    <row r="572" spans="1:2" x14ac:dyDescent="0.25">
      <c r="A572" t="s">
        <v>207</v>
      </c>
      <c r="B572" t="s">
        <v>727</v>
      </c>
    </row>
    <row r="573" spans="1:2" x14ac:dyDescent="0.25">
      <c r="A573" t="s">
        <v>207</v>
      </c>
      <c r="B573" t="s">
        <v>2830</v>
      </c>
    </row>
    <row r="574" spans="1:2" x14ac:dyDescent="0.25">
      <c r="A574" t="s">
        <v>207</v>
      </c>
      <c r="B574" t="s">
        <v>730</v>
      </c>
    </row>
    <row r="575" spans="1:2" x14ac:dyDescent="0.25">
      <c r="A575" t="s">
        <v>207</v>
      </c>
      <c r="B575" t="s">
        <v>2831</v>
      </c>
    </row>
    <row r="576" spans="1:2" x14ac:dyDescent="0.25">
      <c r="A576" t="s">
        <v>207</v>
      </c>
      <c r="B576" t="s">
        <v>722</v>
      </c>
    </row>
    <row r="577" spans="1:2" x14ac:dyDescent="0.25">
      <c r="A577" t="s">
        <v>207</v>
      </c>
      <c r="B577" t="s">
        <v>731</v>
      </c>
    </row>
    <row r="578" spans="1:2" x14ac:dyDescent="0.25">
      <c r="A578" t="s">
        <v>207</v>
      </c>
      <c r="B578" t="s">
        <v>732</v>
      </c>
    </row>
    <row r="579" spans="1:2" x14ac:dyDescent="0.25">
      <c r="A579" t="s">
        <v>207</v>
      </c>
      <c r="B579" t="s">
        <v>734</v>
      </c>
    </row>
    <row r="580" spans="1:2" x14ac:dyDescent="0.25">
      <c r="A580" t="s">
        <v>207</v>
      </c>
      <c r="B580" t="s">
        <v>733</v>
      </c>
    </row>
    <row r="581" spans="1:2" x14ac:dyDescent="0.25">
      <c r="A581" t="s">
        <v>207</v>
      </c>
      <c r="B581" t="s">
        <v>735</v>
      </c>
    </row>
    <row r="582" spans="1:2" x14ac:dyDescent="0.25">
      <c r="A582" t="s">
        <v>207</v>
      </c>
      <c r="B582" t="s">
        <v>736</v>
      </c>
    </row>
    <row r="583" spans="1:2" x14ac:dyDescent="0.25">
      <c r="A583" t="s">
        <v>207</v>
      </c>
      <c r="B583" t="s">
        <v>737</v>
      </c>
    </row>
    <row r="584" spans="1:2" x14ac:dyDescent="0.25">
      <c r="A584" t="s">
        <v>207</v>
      </c>
      <c r="B584" t="s">
        <v>2832</v>
      </c>
    </row>
    <row r="585" spans="1:2" x14ac:dyDescent="0.25">
      <c r="A585" t="s">
        <v>207</v>
      </c>
      <c r="B585" t="s">
        <v>2833</v>
      </c>
    </row>
    <row r="586" spans="1:2" x14ac:dyDescent="0.25">
      <c r="A586" t="s">
        <v>255</v>
      </c>
      <c r="B586" t="s">
        <v>1018</v>
      </c>
    </row>
    <row r="587" spans="1:2" x14ac:dyDescent="0.25">
      <c r="A587" t="s">
        <v>255</v>
      </c>
      <c r="B587" t="s">
        <v>850</v>
      </c>
    </row>
    <row r="588" spans="1:2" x14ac:dyDescent="0.25">
      <c r="A588" t="s">
        <v>255</v>
      </c>
      <c r="B588" t="s">
        <v>1705</v>
      </c>
    </row>
    <row r="589" spans="1:2" x14ac:dyDescent="0.25">
      <c r="A589" t="s">
        <v>255</v>
      </c>
      <c r="B589" t="s">
        <v>515</v>
      </c>
    </row>
    <row r="590" spans="1:2" x14ac:dyDescent="0.25">
      <c r="A590" t="s">
        <v>255</v>
      </c>
      <c r="B590" t="s">
        <v>1706</v>
      </c>
    </row>
    <row r="591" spans="1:2" x14ac:dyDescent="0.25">
      <c r="A591" t="s">
        <v>255</v>
      </c>
      <c r="B591" t="s">
        <v>1707</v>
      </c>
    </row>
    <row r="592" spans="1:2" x14ac:dyDescent="0.25">
      <c r="A592" t="s">
        <v>255</v>
      </c>
      <c r="B592" t="s">
        <v>932</v>
      </c>
    </row>
    <row r="593" spans="1:2" x14ac:dyDescent="0.25">
      <c r="A593" t="s">
        <v>255</v>
      </c>
      <c r="B593" t="s">
        <v>425</v>
      </c>
    </row>
    <row r="594" spans="1:2" x14ac:dyDescent="0.25">
      <c r="A594" t="s">
        <v>255</v>
      </c>
      <c r="B594" t="s">
        <v>424</v>
      </c>
    </row>
    <row r="595" spans="1:2" x14ac:dyDescent="0.25">
      <c r="A595" t="s">
        <v>255</v>
      </c>
      <c r="B595" t="s">
        <v>426</v>
      </c>
    </row>
    <row r="596" spans="1:2" x14ac:dyDescent="0.25">
      <c r="A596" t="s">
        <v>255</v>
      </c>
      <c r="B596" t="s">
        <v>427</v>
      </c>
    </row>
    <row r="597" spans="1:2" x14ac:dyDescent="0.25">
      <c r="A597" t="s">
        <v>255</v>
      </c>
      <c r="B597" t="s">
        <v>1708</v>
      </c>
    </row>
    <row r="598" spans="1:2" x14ac:dyDescent="0.25">
      <c r="A598" t="s">
        <v>255</v>
      </c>
      <c r="B598" t="s">
        <v>428</v>
      </c>
    </row>
    <row r="599" spans="1:2" x14ac:dyDescent="0.25">
      <c r="A599" t="s">
        <v>255</v>
      </c>
      <c r="B599" t="s">
        <v>429</v>
      </c>
    </row>
    <row r="600" spans="1:2" x14ac:dyDescent="0.25">
      <c r="A600" t="s">
        <v>255</v>
      </c>
      <c r="B600" t="s">
        <v>430</v>
      </c>
    </row>
    <row r="601" spans="1:2" x14ac:dyDescent="0.25">
      <c r="A601" t="s">
        <v>255</v>
      </c>
      <c r="B601" t="s">
        <v>432</v>
      </c>
    </row>
    <row r="602" spans="1:2" x14ac:dyDescent="0.25">
      <c r="A602" t="s">
        <v>255</v>
      </c>
      <c r="B602" t="s">
        <v>433</v>
      </c>
    </row>
    <row r="603" spans="1:2" x14ac:dyDescent="0.25">
      <c r="A603" t="s">
        <v>255</v>
      </c>
      <c r="B603" t="s">
        <v>434</v>
      </c>
    </row>
    <row r="604" spans="1:2" x14ac:dyDescent="0.25">
      <c r="A604" t="s">
        <v>255</v>
      </c>
      <c r="B604" t="s">
        <v>435</v>
      </c>
    </row>
    <row r="605" spans="1:2" x14ac:dyDescent="0.25">
      <c r="A605" t="s">
        <v>255</v>
      </c>
      <c r="B605" t="s">
        <v>423</v>
      </c>
    </row>
    <row r="606" spans="1:2" x14ac:dyDescent="0.25">
      <c r="A606" t="s">
        <v>218</v>
      </c>
      <c r="B606" t="s">
        <v>4051</v>
      </c>
    </row>
    <row r="607" spans="1:2" x14ac:dyDescent="0.25">
      <c r="A607" t="s">
        <v>218</v>
      </c>
      <c r="B607" t="s">
        <v>2394</v>
      </c>
    </row>
    <row r="608" spans="1:2" x14ac:dyDescent="0.25">
      <c r="A608" t="s">
        <v>218</v>
      </c>
      <c r="B608" t="s">
        <v>2395</v>
      </c>
    </row>
    <row r="609" spans="1:2" x14ac:dyDescent="0.25">
      <c r="A609" t="s">
        <v>218</v>
      </c>
      <c r="B609" t="s">
        <v>2396</v>
      </c>
    </row>
    <row r="610" spans="1:2" x14ac:dyDescent="0.25">
      <c r="A610" t="s">
        <v>218</v>
      </c>
      <c r="B610" t="s">
        <v>2397</v>
      </c>
    </row>
    <row r="611" spans="1:2" x14ac:dyDescent="0.25">
      <c r="A611" t="s">
        <v>218</v>
      </c>
      <c r="B611" t="s">
        <v>2398</v>
      </c>
    </row>
    <row r="612" spans="1:2" x14ac:dyDescent="0.25">
      <c r="A612" t="s">
        <v>218</v>
      </c>
      <c r="B612" t="s">
        <v>2399</v>
      </c>
    </row>
    <row r="613" spans="1:2" x14ac:dyDescent="0.25">
      <c r="A613" t="s">
        <v>218</v>
      </c>
      <c r="B613" t="s">
        <v>2400</v>
      </c>
    </row>
    <row r="614" spans="1:2" x14ac:dyDescent="0.25">
      <c r="A614" t="s">
        <v>218</v>
      </c>
      <c r="B614" t="s">
        <v>2401</v>
      </c>
    </row>
    <row r="615" spans="1:2" x14ac:dyDescent="0.25">
      <c r="A615" t="s">
        <v>218</v>
      </c>
      <c r="B615" t="s">
        <v>578</v>
      </c>
    </row>
    <row r="616" spans="1:2" x14ac:dyDescent="0.25">
      <c r="A616" t="s">
        <v>218</v>
      </c>
      <c r="B616" t="s">
        <v>2402</v>
      </c>
    </row>
    <row r="617" spans="1:2" x14ac:dyDescent="0.25">
      <c r="A617" t="s">
        <v>218</v>
      </c>
      <c r="B617" t="s">
        <v>2403</v>
      </c>
    </row>
    <row r="618" spans="1:2" x14ac:dyDescent="0.25">
      <c r="A618" t="s">
        <v>218</v>
      </c>
      <c r="B618" t="s">
        <v>2404</v>
      </c>
    </row>
    <row r="619" spans="1:2" x14ac:dyDescent="0.25">
      <c r="A619" t="s">
        <v>218</v>
      </c>
      <c r="B619" t="s">
        <v>2405</v>
      </c>
    </row>
    <row r="620" spans="1:2" x14ac:dyDescent="0.25">
      <c r="A620" t="s">
        <v>218</v>
      </c>
      <c r="B620" t="s">
        <v>2406</v>
      </c>
    </row>
    <row r="621" spans="1:2" x14ac:dyDescent="0.25">
      <c r="A621" t="s">
        <v>218</v>
      </c>
      <c r="B621" t="s">
        <v>2407</v>
      </c>
    </row>
    <row r="622" spans="1:2" x14ac:dyDescent="0.25">
      <c r="A622" t="s">
        <v>218</v>
      </c>
      <c r="B622" t="s">
        <v>2408</v>
      </c>
    </row>
    <row r="623" spans="1:2" x14ac:dyDescent="0.25">
      <c r="A623" t="s">
        <v>218</v>
      </c>
      <c r="B623" t="s">
        <v>2409</v>
      </c>
    </row>
    <row r="624" spans="1:2" x14ac:dyDescent="0.25">
      <c r="A624" t="s">
        <v>218</v>
      </c>
      <c r="B624" t="s">
        <v>2410</v>
      </c>
    </row>
    <row r="625" spans="1:2" x14ac:dyDescent="0.25">
      <c r="A625" t="s">
        <v>218</v>
      </c>
      <c r="B625" t="s">
        <v>2411</v>
      </c>
    </row>
    <row r="626" spans="1:2" x14ac:dyDescent="0.25">
      <c r="A626" t="s">
        <v>218</v>
      </c>
      <c r="B626" t="s">
        <v>2412</v>
      </c>
    </row>
    <row r="627" spans="1:2" x14ac:dyDescent="0.25">
      <c r="A627" t="s">
        <v>218</v>
      </c>
      <c r="B627" t="s">
        <v>2413</v>
      </c>
    </row>
    <row r="628" spans="1:2" x14ac:dyDescent="0.25">
      <c r="A628" t="s">
        <v>218</v>
      </c>
      <c r="B628" t="s">
        <v>2414</v>
      </c>
    </row>
    <row r="629" spans="1:2" x14ac:dyDescent="0.25">
      <c r="A629" t="s">
        <v>235</v>
      </c>
      <c r="B629" t="s">
        <v>3769</v>
      </c>
    </row>
    <row r="630" spans="1:2" x14ac:dyDescent="0.25">
      <c r="A630" t="s">
        <v>235</v>
      </c>
      <c r="B630" t="s">
        <v>3770</v>
      </c>
    </row>
    <row r="631" spans="1:2" x14ac:dyDescent="0.25">
      <c r="A631" t="s">
        <v>235</v>
      </c>
      <c r="B631" t="s">
        <v>3771</v>
      </c>
    </row>
    <row r="632" spans="1:2" x14ac:dyDescent="0.25">
      <c r="A632" t="s">
        <v>235</v>
      </c>
      <c r="B632" t="s">
        <v>3772</v>
      </c>
    </row>
    <row r="633" spans="1:2" x14ac:dyDescent="0.25">
      <c r="A633" t="s">
        <v>235</v>
      </c>
      <c r="B633" t="s">
        <v>3773</v>
      </c>
    </row>
    <row r="634" spans="1:2" x14ac:dyDescent="0.25">
      <c r="A634" t="s">
        <v>235</v>
      </c>
      <c r="B634" t="s">
        <v>3774</v>
      </c>
    </row>
    <row r="635" spans="1:2" x14ac:dyDescent="0.25">
      <c r="A635" t="s">
        <v>235</v>
      </c>
      <c r="B635" t="s">
        <v>3775</v>
      </c>
    </row>
    <row r="636" spans="1:2" x14ac:dyDescent="0.25">
      <c r="A636" t="s">
        <v>235</v>
      </c>
      <c r="B636" t="s">
        <v>3776</v>
      </c>
    </row>
    <row r="637" spans="1:2" x14ac:dyDescent="0.25">
      <c r="A637" t="s">
        <v>235</v>
      </c>
      <c r="B637" t="s">
        <v>4581</v>
      </c>
    </row>
    <row r="638" spans="1:2" x14ac:dyDescent="0.25">
      <c r="A638" t="s">
        <v>235</v>
      </c>
      <c r="B638" t="s">
        <v>3777</v>
      </c>
    </row>
    <row r="639" spans="1:2" x14ac:dyDescent="0.25">
      <c r="A639" t="s">
        <v>235</v>
      </c>
      <c r="B639" t="s">
        <v>3778</v>
      </c>
    </row>
    <row r="640" spans="1:2" x14ac:dyDescent="0.25">
      <c r="A640" t="s">
        <v>235</v>
      </c>
      <c r="B640" t="s">
        <v>3779</v>
      </c>
    </row>
    <row r="641" spans="1:2" x14ac:dyDescent="0.25">
      <c r="A641" t="s">
        <v>235</v>
      </c>
      <c r="B641" t="s">
        <v>3780</v>
      </c>
    </row>
    <row r="642" spans="1:2" x14ac:dyDescent="0.25">
      <c r="A642" t="s">
        <v>235</v>
      </c>
      <c r="B642" t="s">
        <v>3781</v>
      </c>
    </row>
    <row r="643" spans="1:2" x14ac:dyDescent="0.25">
      <c r="A643" t="s">
        <v>235</v>
      </c>
      <c r="B643" t="s">
        <v>3782</v>
      </c>
    </row>
    <row r="644" spans="1:2" x14ac:dyDescent="0.25">
      <c r="A644" t="s">
        <v>235</v>
      </c>
      <c r="B644" t="s">
        <v>3783</v>
      </c>
    </row>
    <row r="645" spans="1:2" x14ac:dyDescent="0.25">
      <c r="A645" t="s">
        <v>235</v>
      </c>
      <c r="B645" t="s">
        <v>3784</v>
      </c>
    </row>
    <row r="646" spans="1:2" x14ac:dyDescent="0.25">
      <c r="A646" t="s">
        <v>235</v>
      </c>
      <c r="B646" t="s">
        <v>3785</v>
      </c>
    </row>
    <row r="647" spans="1:2" x14ac:dyDescent="0.25">
      <c r="A647" t="s">
        <v>235</v>
      </c>
      <c r="B647" t="s">
        <v>3786</v>
      </c>
    </row>
    <row r="648" spans="1:2" x14ac:dyDescent="0.25">
      <c r="A648" t="s">
        <v>235</v>
      </c>
      <c r="B648" t="s">
        <v>3787</v>
      </c>
    </row>
    <row r="649" spans="1:2" x14ac:dyDescent="0.25">
      <c r="A649" t="s">
        <v>235</v>
      </c>
      <c r="B649" t="s">
        <v>3788</v>
      </c>
    </row>
    <row r="650" spans="1:2" x14ac:dyDescent="0.25">
      <c r="A650" t="s">
        <v>235</v>
      </c>
      <c r="B650" t="s">
        <v>3789</v>
      </c>
    </row>
    <row r="651" spans="1:2" x14ac:dyDescent="0.25">
      <c r="A651" t="s">
        <v>235</v>
      </c>
      <c r="B651" t="s">
        <v>3790</v>
      </c>
    </row>
    <row r="652" spans="1:2" x14ac:dyDescent="0.25">
      <c r="A652" t="s">
        <v>235</v>
      </c>
      <c r="B652" t="s">
        <v>3791</v>
      </c>
    </row>
    <row r="653" spans="1:2" x14ac:dyDescent="0.25">
      <c r="A653" t="s">
        <v>235</v>
      </c>
      <c r="B653" t="s">
        <v>3792</v>
      </c>
    </row>
    <row r="654" spans="1:2" x14ac:dyDescent="0.25">
      <c r="A654" t="s">
        <v>235</v>
      </c>
      <c r="B654" t="s">
        <v>3793</v>
      </c>
    </row>
    <row r="655" spans="1:2" x14ac:dyDescent="0.25">
      <c r="A655" t="s">
        <v>235</v>
      </c>
      <c r="B655" t="s">
        <v>3794</v>
      </c>
    </row>
    <row r="656" spans="1:2" x14ac:dyDescent="0.25">
      <c r="A656" t="s">
        <v>235</v>
      </c>
      <c r="B656" t="s">
        <v>3795</v>
      </c>
    </row>
    <row r="657" spans="1:2" x14ac:dyDescent="0.25">
      <c r="A657" t="s">
        <v>235</v>
      </c>
      <c r="B657" t="s">
        <v>3796</v>
      </c>
    </row>
    <row r="658" spans="1:2" x14ac:dyDescent="0.25">
      <c r="A658" t="s">
        <v>235</v>
      </c>
      <c r="B658" t="s">
        <v>3797</v>
      </c>
    </row>
    <row r="659" spans="1:2" x14ac:dyDescent="0.25">
      <c r="A659" t="s">
        <v>235</v>
      </c>
      <c r="B659" t="s">
        <v>3798</v>
      </c>
    </row>
    <row r="660" spans="1:2" x14ac:dyDescent="0.25">
      <c r="A660" t="s">
        <v>235</v>
      </c>
      <c r="B660" t="s">
        <v>3799</v>
      </c>
    </row>
    <row r="661" spans="1:2" x14ac:dyDescent="0.25">
      <c r="A661" t="s">
        <v>235</v>
      </c>
      <c r="B661" t="s">
        <v>3800</v>
      </c>
    </row>
    <row r="662" spans="1:2" x14ac:dyDescent="0.25">
      <c r="A662" t="s">
        <v>235</v>
      </c>
      <c r="B662" t="s">
        <v>3801</v>
      </c>
    </row>
    <row r="663" spans="1:2" x14ac:dyDescent="0.25">
      <c r="A663" t="s">
        <v>235</v>
      </c>
      <c r="B663" t="s">
        <v>3802</v>
      </c>
    </row>
    <row r="664" spans="1:2" x14ac:dyDescent="0.25">
      <c r="A664" t="s">
        <v>235</v>
      </c>
      <c r="B664" t="s">
        <v>3803</v>
      </c>
    </row>
    <row r="665" spans="1:2" x14ac:dyDescent="0.25">
      <c r="A665" t="s">
        <v>235</v>
      </c>
      <c r="B665" t="s">
        <v>3804</v>
      </c>
    </row>
    <row r="666" spans="1:2" x14ac:dyDescent="0.25">
      <c r="A666" t="s">
        <v>235</v>
      </c>
      <c r="B666" t="s">
        <v>3805</v>
      </c>
    </row>
    <row r="667" spans="1:2" x14ac:dyDescent="0.25">
      <c r="A667" t="s">
        <v>235</v>
      </c>
      <c r="B667" t="s">
        <v>3806</v>
      </c>
    </row>
    <row r="668" spans="1:2" x14ac:dyDescent="0.25">
      <c r="A668" t="s">
        <v>235</v>
      </c>
      <c r="B668" t="s">
        <v>3807</v>
      </c>
    </row>
    <row r="669" spans="1:2" x14ac:dyDescent="0.25">
      <c r="A669" t="s">
        <v>235</v>
      </c>
      <c r="B669" t="s">
        <v>3808</v>
      </c>
    </row>
    <row r="670" spans="1:2" x14ac:dyDescent="0.25">
      <c r="A670" t="s">
        <v>235</v>
      </c>
      <c r="B670" t="s">
        <v>3809</v>
      </c>
    </row>
    <row r="671" spans="1:2" x14ac:dyDescent="0.25">
      <c r="A671" t="s">
        <v>235</v>
      </c>
      <c r="B671" t="s">
        <v>3810</v>
      </c>
    </row>
    <row r="672" spans="1:2" x14ac:dyDescent="0.25">
      <c r="A672" t="s">
        <v>235</v>
      </c>
      <c r="B672" t="s">
        <v>3811</v>
      </c>
    </row>
    <row r="673" spans="1:2" x14ac:dyDescent="0.25">
      <c r="A673" t="s">
        <v>235</v>
      </c>
      <c r="B673" t="s">
        <v>3812</v>
      </c>
    </row>
    <row r="674" spans="1:2" x14ac:dyDescent="0.25">
      <c r="A674" t="s">
        <v>235</v>
      </c>
      <c r="B674" t="s">
        <v>3813</v>
      </c>
    </row>
    <row r="675" spans="1:2" x14ac:dyDescent="0.25">
      <c r="A675" t="s">
        <v>235</v>
      </c>
      <c r="B675" t="s">
        <v>3814</v>
      </c>
    </row>
    <row r="676" spans="1:2" x14ac:dyDescent="0.25">
      <c r="A676" t="s">
        <v>235</v>
      </c>
      <c r="B676" t="s">
        <v>3815</v>
      </c>
    </row>
    <row r="677" spans="1:2" x14ac:dyDescent="0.25">
      <c r="A677" t="s">
        <v>235</v>
      </c>
      <c r="B677" t="s">
        <v>508</v>
      </c>
    </row>
    <row r="678" spans="1:2" x14ac:dyDescent="0.25">
      <c r="A678" t="s">
        <v>235</v>
      </c>
      <c r="B678" t="s">
        <v>3816</v>
      </c>
    </row>
    <row r="679" spans="1:2" x14ac:dyDescent="0.25">
      <c r="A679" t="s">
        <v>1547</v>
      </c>
      <c r="B679" t="s">
        <v>4104</v>
      </c>
    </row>
    <row r="680" spans="1:2" x14ac:dyDescent="0.25">
      <c r="A680" t="s">
        <v>1547</v>
      </c>
      <c r="B680" t="s">
        <v>3592</v>
      </c>
    </row>
    <row r="681" spans="1:2" x14ac:dyDescent="0.25">
      <c r="A681" t="s">
        <v>1547</v>
      </c>
      <c r="B681" t="s">
        <v>4127</v>
      </c>
    </row>
    <row r="682" spans="1:2" x14ac:dyDescent="0.25">
      <c r="A682" t="s">
        <v>1547</v>
      </c>
      <c r="B682" t="s">
        <v>4540</v>
      </c>
    </row>
    <row r="683" spans="1:2" x14ac:dyDescent="0.25">
      <c r="A683" t="s">
        <v>1547</v>
      </c>
      <c r="B683" t="s">
        <v>4539</v>
      </c>
    </row>
    <row r="684" spans="1:2" x14ac:dyDescent="0.25">
      <c r="A684" t="s">
        <v>1547</v>
      </c>
      <c r="B684" t="s">
        <v>4533</v>
      </c>
    </row>
    <row r="685" spans="1:2" x14ac:dyDescent="0.25">
      <c r="A685" t="s">
        <v>1547</v>
      </c>
      <c r="B685" t="s">
        <v>3593</v>
      </c>
    </row>
    <row r="686" spans="1:2" x14ac:dyDescent="0.25">
      <c r="A686" t="s">
        <v>1547</v>
      </c>
      <c r="B686" t="s">
        <v>3594</v>
      </c>
    </row>
    <row r="687" spans="1:2" x14ac:dyDescent="0.25">
      <c r="A687" t="s">
        <v>1547</v>
      </c>
      <c r="B687" t="s">
        <v>3113</v>
      </c>
    </row>
    <row r="688" spans="1:2" x14ac:dyDescent="0.25">
      <c r="A688" t="s">
        <v>1547</v>
      </c>
      <c r="B688" t="s">
        <v>3595</v>
      </c>
    </row>
    <row r="689" spans="1:2" x14ac:dyDescent="0.25">
      <c r="A689" t="s">
        <v>1547</v>
      </c>
      <c r="B689" t="s">
        <v>3596</v>
      </c>
    </row>
    <row r="690" spans="1:2" x14ac:dyDescent="0.25">
      <c r="A690" t="s">
        <v>1547</v>
      </c>
      <c r="B690" t="s">
        <v>3597</v>
      </c>
    </row>
    <row r="691" spans="1:2" x14ac:dyDescent="0.25">
      <c r="A691" t="s">
        <v>1547</v>
      </c>
      <c r="B691" t="s">
        <v>3598</v>
      </c>
    </row>
    <row r="692" spans="1:2" x14ac:dyDescent="0.25">
      <c r="A692" t="s">
        <v>1547</v>
      </c>
      <c r="B692" t="s">
        <v>3599</v>
      </c>
    </row>
    <row r="693" spans="1:2" x14ac:dyDescent="0.25">
      <c r="A693" t="s">
        <v>1547</v>
      </c>
      <c r="B693" t="s">
        <v>3600</v>
      </c>
    </row>
    <row r="694" spans="1:2" x14ac:dyDescent="0.25">
      <c r="A694" t="s">
        <v>1547</v>
      </c>
      <c r="B694" t="s">
        <v>3601</v>
      </c>
    </row>
    <row r="695" spans="1:2" x14ac:dyDescent="0.25">
      <c r="A695" t="s">
        <v>1547</v>
      </c>
      <c r="B695" t="s">
        <v>3602</v>
      </c>
    </row>
    <row r="696" spans="1:2" x14ac:dyDescent="0.25">
      <c r="A696" t="s">
        <v>1547</v>
      </c>
      <c r="B696" t="s">
        <v>3603</v>
      </c>
    </row>
    <row r="697" spans="1:2" x14ac:dyDescent="0.25">
      <c r="A697" t="s">
        <v>1547</v>
      </c>
      <c r="B697" t="s">
        <v>3604</v>
      </c>
    </row>
    <row r="698" spans="1:2" x14ac:dyDescent="0.25">
      <c r="A698" t="s">
        <v>1547</v>
      </c>
      <c r="B698" t="s">
        <v>3605</v>
      </c>
    </row>
    <row r="699" spans="1:2" x14ac:dyDescent="0.25">
      <c r="A699" t="s">
        <v>1547</v>
      </c>
      <c r="B699" t="s">
        <v>3606</v>
      </c>
    </row>
    <row r="700" spans="1:2" x14ac:dyDescent="0.25">
      <c r="A700" t="s">
        <v>1547</v>
      </c>
      <c r="B700" t="s">
        <v>3607</v>
      </c>
    </row>
    <row r="701" spans="1:2" x14ac:dyDescent="0.25">
      <c r="A701" t="s">
        <v>1547</v>
      </c>
      <c r="B701" t="s">
        <v>3608</v>
      </c>
    </row>
    <row r="702" spans="1:2" x14ac:dyDescent="0.25">
      <c r="A702" t="s">
        <v>1547</v>
      </c>
      <c r="B702" t="s">
        <v>3609</v>
      </c>
    </row>
    <row r="703" spans="1:2" x14ac:dyDescent="0.25">
      <c r="A703" t="s">
        <v>1547</v>
      </c>
      <c r="B703" t="s">
        <v>3610</v>
      </c>
    </row>
    <row r="704" spans="1:2" x14ac:dyDescent="0.25">
      <c r="A704" t="s">
        <v>1547</v>
      </c>
      <c r="B704" t="s">
        <v>3611</v>
      </c>
    </row>
    <row r="705" spans="1:2" x14ac:dyDescent="0.25">
      <c r="A705" t="s">
        <v>1547</v>
      </c>
      <c r="B705" t="s">
        <v>3612</v>
      </c>
    </row>
    <row r="706" spans="1:2" x14ac:dyDescent="0.25">
      <c r="A706" t="s">
        <v>1547</v>
      </c>
      <c r="B706" t="s">
        <v>4582</v>
      </c>
    </row>
    <row r="707" spans="1:2" x14ac:dyDescent="0.25">
      <c r="A707" t="s">
        <v>1547</v>
      </c>
      <c r="B707" t="s">
        <v>3613</v>
      </c>
    </row>
    <row r="708" spans="1:2" x14ac:dyDescent="0.25">
      <c r="A708" t="s">
        <v>1547</v>
      </c>
      <c r="B708" t="s">
        <v>3614</v>
      </c>
    </row>
    <row r="709" spans="1:2" x14ac:dyDescent="0.25">
      <c r="A709" t="s">
        <v>1547</v>
      </c>
      <c r="B709" t="s">
        <v>3615</v>
      </c>
    </row>
    <row r="710" spans="1:2" x14ac:dyDescent="0.25">
      <c r="A710" t="s">
        <v>1547</v>
      </c>
      <c r="B710" t="s">
        <v>4583</v>
      </c>
    </row>
    <row r="711" spans="1:2" x14ac:dyDescent="0.25">
      <c r="A711" t="s">
        <v>1547</v>
      </c>
      <c r="B711" t="s">
        <v>3616</v>
      </c>
    </row>
    <row r="712" spans="1:2" x14ac:dyDescent="0.25">
      <c r="A712" t="s">
        <v>1547</v>
      </c>
      <c r="B712" t="s">
        <v>3617</v>
      </c>
    </row>
    <row r="713" spans="1:2" x14ac:dyDescent="0.25">
      <c r="A713" t="s">
        <v>1547</v>
      </c>
      <c r="B713" t="s">
        <v>4533</v>
      </c>
    </row>
    <row r="714" spans="1:2" x14ac:dyDescent="0.25">
      <c r="A714" t="s">
        <v>1547</v>
      </c>
      <c r="B714" t="s">
        <v>4104</v>
      </c>
    </row>
    <row r="715" spans="1:2" x14ac:dyDescent="0.25">
      <c r="A715" t="s">
        <v>1547</v>
      </c>
      <c r="B715" t="s">
        <v>4539</v>
      </c>
    </row>
    <row r="716" spans="1:2" x14ac:dyDescent="0.25">
      <c r="A716" t="s">
        <v>1547</v>
      </c>
      <c r="B716" t="s">
        <v>3592</v>
      </c>
    </row>
    <row r="717" spans="1:2" x14ac:dyDescent="0.25">
      <c r="A717" t="s">
        <v>1547</v>
      </c>
      <c r="B717" t="s">
        <v>4541</v>
      </c>
    </row>
    <row r="718" spans="1:2" x14ac:dyDescent="0.25">
      <c r="A718" t="s">
        <v>1547</v>
      </c>
      <c r="B718" t="s">
        <v>4542</v>
      </c>
    </row>
    <row r="719" spans="1:2" x14ac:dyDescent="0.25">
      <c r="A719" t="s">
        <v>1547</v>
      </c>
      <c r="B719" t="s">
        <v>3593</v>
      </c>
    </row>
    <row r="720" spans="1:2" x14ac:dyDescent="0.25">
      <c r="A720" t="s">
        <v>1547</v>
      </c>
      <c r="B720" t="s">
        <v>3602</v>
      </c>
    </row>
    <row r="721" spans="1:2" x14ac:dyDescent="0.25">
      <c r="A721" t="s">
        <v>1547</v>
      </c>
      <c r="B721" t="s">
        <v>3597</v>
      </c>
    </row>
    <row r="722" spans="1:2" x14ac:dyDescent="0.25">
      <c r="A722" t="s">
        <v>1547</v>
      </c>
      <c r="B722" t="s">
        <v>3596</v>
      </c>
    </row>
    <row r="723" spans="1:2" x14ac:dyDescent="0.25">
      <c r="A723" t="s">
        <v>1547</v>
      </c>
      <c r="B723" t="s">
        <v>3604</v>
      </c>
    </row>
    <row r="724" spans="1:2" x14ac:dyDescent="0.25">
      <c r="A724" t="s">
        <v>1547</v>
      </c>
      <c r="B724" t="s">
        <v>4584</v>
      </c>
    </row>
    <row r="725" spans="1:2" x14ac:dyDescent="0.25">
      <c r="A725" t="s">
        <v>1547</v>
      </c>
      <c r="B725" t="s">
        <v>3608</v>
      </c>
    </row>
    <row r="726" spans="1:2" x14ac:dyDescent="0.25">
      <c r="A726" t="s">
        <v>1547</v>
      </c>
      <c r="B726" t="s">
        <v>3598</v>
      </c>
    </row>
    <row r="727" spans="1:2" x14ac:dyDescent="0.25">
      <c r="A727" t="s">
        <v>1547</v>
      </c>
      <c r="B727" t="s">
        <v>3603</v>
      </c>
    </row>
    <row r="728" spans="1:2" x14ac:dyDescent="0.25">
      <c r="A728" t="s">
        <v>1547</v>
      </c>
      <c r="B728" t="s">
        <v>3611</v>
      </c>
    </row>
    <row r="729" spans="1:2" x14ac:dyDescent="0.25">
      <c r="A729" t="s">
        <v>1547</v>
      </c>
      <c r="B729" t="s">
        <v>4543</v>
      </c>
    </row>
    <row r="730" spans="1:2" x14ac:dyDescent="0.25">
      <c r="A730" t="s">
        <v>1547</v>
      </c>
      <c r="B730" t="s">
        <v>3600</v>
      </c>
    </row>
    <row r="731" spans="1:2" x14ac:dyDescent="0.25">
      <c r="A731" t="s">
        <v>1547</v>
      </c>
      <c r="B731" t="s">
        <v>3113</v>
      </c>
    </row>
    <row r="732" spans="1:2" x14ac:dyDescent="0.25">
      <c r="A732" t="s">
        <v>1547</v>
      </c>
      <c r="B732" t="s">
        <v>3599</v>
      </c>
    </row>
    <row r="733" spans="1:2" x14ac:dyDescent="0.25">
      <c r="A733" t="s">
        <v>1547</v>
      </c>
      <c r="B733" t="s">
        <v>3595</v>
      </c>
    </row>
    <row r="734" spans="1:2" x14ac:dyDescent="0.25">
      <c r="A734" t="s">
        <v>1547</v>
      </c>
      <c r="B734" t="s">
        <v>3614</v>
      </c>
    </row>
    <row r="735" spans="1:2" x14ac:dyDescent="0.25">
      <c r="A735" t="s">
        <v>1547</v>
      </c>
      <c r="B735" t="s">
        <v>3606</v>
      </c>
    </row>
    <row r="736" spans="1:2" x14ac:dyDescent="0.25">
      <c r="A736" t="s">
        <v>1547</v>
      </c>
      <c r="B736" t="s">
        <v>3601</v>
      </c>
    </row>
    <row r="737" spans="1:2" x14ac:dyDescent="0.25">
      <c r="A737" t="s">
        <v>1547</v>
      </c>
      <c r="B737" t="s">
        <v>3607</v>
      </c>
    </row>
    <row r="738" spans="1:2" x14ac:dyDescent="0.25">
      <c r="A738" t="s">
        <v>1547</v>
      </c>
      <c r="B738" t="s">
        <v>3594</v>
      </c>
    </row>
    <row r="739" spans="1:2" x14ac:dyDescent="0.25">
      <c r="A739" t="s">
        <v>1547</v>
      </c>
      <c r="B739" t="s">
        <v>3610</v>
      </c>
    </row>
    <row r="740" spans="1:2" x14ac:dyDescent="0.25">
      <c r="A740" t="s">
        <v>1547</v>
      </c>
      <c r="B740" t="s">
        <v>3605</v>
      </c>
    </row>
    <row r="741" spans="1:2" x14ac:dyDescent="0.25">
      <c r="A741" t="s">
        <v>1547</v>
      </c>
      <c r="B741" t="s">
        <v>3609</v>
      </c>
    </row>
    <row r="742" spans="1:2" x14ac:dyDescent="0.25">
      <c r="A742" t="s">
        <v>1547</v>
      </c>
      <c r="B742" t="s">
        <v>3612</v>
      </c>
    </row>
    <row r="743" spans="1:2" x14ac:dyDescent="0.25">
      <c r="A743" t="s">
        <v>1547</v>
      </c>
      <c r="B743" t="s">
        <v>3617</v>
      </c>
    </row>
    <row r="744" spans="1:2" x14ac:dyDescent="0.25">
      <c r="A744" t="s">
        <v>1547</v>
      </c>
      <c r="B744" t="s">
        <v>3613</v>
      </c>
    </row>
    <row r="745" spans="1:2" x14ac:dyDescent="0.25">
      <c r="A745" t="s">
        <v>1547</v>
      </c>
      <c r="B745" t="s">
        <v>3616</v>
      </c>
    </row>
    <row r="746" spans="1:2" x14ac:dyDescent="0.25">
      <c r="A746" t="s">
        <v>1547</v>
      </c>
      <c r="B746" t="s">
        <v>3615</v>
      </c>
    </row>
    <row r="747" spans="1:2" x14ac:dyDescent="0.25">
      <c r="A747" t="s">
        <v>1538</v>
      </c>
      <c r="B747" t="s">
        <v>4083</v>
      </c>
    </row>
    <row r="748" spans="1:2" x14ac:dyDescent="0.25">
      <c r="A748" t="s">
        <v>1538</v>
      </c>
      <c r="B748" t="s">
        <v>3118</v>
      </c>
    </row>
    <row r="749" spans="1:2" x14ac:dyDescent="0.25">
      <c r="A749" t="s">
        <v>1538</v>
      </c>
      <c r="B749" t="s">
        <v>3119</v>
      </c>
    </row>
    <row r="750" spans="1:2" x14ac:dyDescent="0.25">
      <c r="A750" t="s">
        <v>1538</v>
      </c>
      <c r="B750" t="s">
        <v>3120</v>
      </c>
    </row>
    <row r="751" spans="1:2" x14ac:dyDescent="0.25">
      <c r="A751" t="s">
        <v>1538</v>
      </c>
      <c r="B751" t="s">
        <v>3121</v>
      </c>
    </row>
    <row r="752" spans="1:2" x14ac:dyDescent="0.25">
      <c r="A752" t="s">
        <v>1538</v>
      </c>
      <c r="B752" t="s">
        <v>3122</v>
      </c>
    </row>
    <row r="753" spans="1:2" x14ac:dyDescent="0.25">
      <c r="A753" t="s">
        <v>1538</v>
      </c>
      <c r="B753" t="s">
        <v>3123</v>
      </c>
    </row>
    <row r="754" spans="1:2" x14ac:dyDescent="0.25">
      <c r="A754" t="s">
        <v>1538</v>
      </c>
      <c r="B754" t="s">
        <v>3124</v>
      </c>
    </row>
    <row r="755" spans="1:2" x14ac:dyDescent="0.25">
      <c r="A755" t="s">
        <v>1538</v>
      </c>
      <c r="B755" t="s">
        <v>3125</v>
      </c>
    </row>
    <row r="756" spans="1:2" x14ac:dyDescent="0.25">
      <c r="A756" t="s">
        <v>1538</v>
      </c>
      <c r="B756" t="s">
        <v>3126</v>
      </c>
    </row>
    <row r="757" spans="1:2" x14ac:dyDescent="0.25">
      <c r="A757" t="s">
        <v>1538</v>
      </c>
      <c r="B757" t="s">
        <v>3127</v>
      </c>
    </row>
    <row r="758" spans="1:2" x14ac:dyDescent="0.25">
      <c r="A758" t="s">
        <v>1538</v>
      </c>
      <c r="B758" t="s">
        <v>3128</v>
      </c>
    </row>
    <row r="759" spans="1:2" x14ac:dyDescent="0.25">
      <c r="A759" t="s">
        <v>1538</v>
      </c>
      <c r="B759" t="s">
        <v>4658</v>
      </c>
    </row>
    <row r="760" spans="1:2" x14ac:dyDescent="0.25">
      <c r="A760" t="s">
        <v>1538</v>
      </c>
      <c r="B760" t="s">
        <v>3129</v>
      </c>
    </row>
    <row r="761" spans="1:2" x14ac:dyDescent="0.25">
      <c r="A761" t="s">
        <v>1538</v>
      </c>
      <c r="B761" t="s">
        <v>3130</v>
      </c>
    </row>
    <row r="762" spans="1:2" x14ac:dyDescent="0.25">
      <c r="A762" t="s">
        <v>1538</v>
      </c>
      <c r="B762" t="s">
        <v>3131</v>
      </c>
    </row>
    <row r="763" spans="1:2" x14ac:dyDescent="0.25">
      <c r="A763" t="s">
        <v>1538</v>
      </c>
      <c r="B763" t="s">
        <v>3132</v>
      </c>
    </row>
    <row r="764" spans="1:2" x14ac:dyDescent="0.25">
      <c r="A764" t="s">
        <v>1538</v>
      </c>
      <c r="B764" t="s">
        <v>3133</v>
      </c>
    </row>
    <row r="765" spans="1:2" x14ac:dyDescent="0.25">
      <c r="A765" t="s">
        <v>1538</v>
      </c>
      <c r="B765" t="s">
        <v>3134</v>
      </c>
    </row>
    <row r="766" spans="1:2" x14ac:dyDescent="0.25">
      <c r="A766" t="s">
        <v>1538</v>
      </c>
      <c r="B766" t="s">
        <v>3135</v>
      </c>
    </row>
    <row r="767" spans="1:2" x14ac:dyDescent="0.25">
      <c r="A767" t="s">
        <v>1538</v>
      </c>
      <c r="B767" t="s">
        <v>3136</v>
      </c>
    </row>
    <row r="768" spans="1:2" x14ac:dyDescent="0.25">
      <c r="A768" t="s">
        <v>1538</v>
      </c>
      <c r="B768" t="s">
        <v>3137</v>
      </c>
    </row>
    <row r="769" spans="1:2" x14ac:dyDescent="0.25">
      <c r="A769" t="s">
        <v>1538</v>
      </c>
      <c r="B769" t="s">
        <v>3138</v>
      </c>
    </row>
    <row r="770" spans="1:2" x14ac:dyDescent="0.25">
      <c r="A770" t="s">
        <v>1538</v>
      </c>
      <c r="B770" t="s">
        <v>3139</v>
      </c>
    </row>
    <row r="771" spans="1:2" x14ac:dyDescent="0.25">
      <c r="A771" t="s">
        <v>1538</v>
      </c>
      <c r="B771" t="s">
        <v>3140</v>
      </c>
    </row>
    <row r="772" spans="1:2" x14ac:dyDescent="0.25">
      <c r="A772" t="s">
        <v>1538</v>
      </c>
      <c r="B772" t="s">
        <v>3141</v>
      </c>
    </row>
    <row r="773" spans="1:2" x14ac:dyDescent="0.25">
      <c r="A773" t="s">
        <v>1538</v>
      </c>
      <c r="B773" t="s">
        <v>3142</v>
      </c>
    </row>
    <row r="774" spans="1:2" x14ac:dyDescent="0.25">
      <c r="A774" t="s">
        <v>1538</v>
      </c>
      <c r="B774" t="s">
        <v>3143</v>
      </c>
    </row>
    <row r="775" spans="1:2" x14ac:dyDescent="0.25">
      <c r="A775" t="s">
        <v>1538</v>
      </c>
      <c r="B775" t="s">
        <v>3144</v>
      </c>
    </row>
    <row r="776" spans="1:2" x14ac:dyDescent="0.25">
      <c r="A776" t="s">
        <v>191</v>
      </c>
      <c r="B776" t="s">
        <v>4066</v>
      </c>
    </row>
    <row r="777" spans="1:2" x14ac:dyDescent="0.25">
      <c r="A777" t="s">
        <v>191</v>
      </c>
      <c r="B777" t="s">
        <v>744</v>
      </c>
    </row>
    <row r="778" spans="1:2" x14ac:dyDescent="0.25">
      <c r="A778" t="s">
        <v>191</v>
      </c>
      <c r="B778" t="s">
        <v>755</v>
      </c>
    </row>
    <row r="779" spans="1:2" x14ac:dyDescent="0.25">
      <c r="A779" t="s">
        <v>191</v>
      </c>
      <c r="B779" t="s">
        <v>769</v>
      </c>
    </row>
    <row r="780" spans="1:2" x14ac:dyDescent="0.25">
      <c r="A780" t="s">
        <v>191</v>
      </c>
      <c r="B780" t="s">
        <v>768</v>
      </c>
    </row>
    <row r="781" spans="1:2" x14ac:dyDescent="0.25">
      <c r="A781" t="s">
        <v>191</v>
      </c>
      <c r="B781" t="s">
        <v>4534</v>
      </c>
    </row>
    <row r="782" spans="1:2" x14ac:dyDescent="0.25">
      <c r="A782" t="s">
        <v>191</v>
      </c>
      <c r="B782" t="s">
        <v>750</v>
      </c>
    </row>
    <row r="783" spans="1:2" x14ac:dyDescent="0.25">
      <c r="A783" t="s">
        <v>191</v>
      </c>
      <c r="B783" t="s">
        <v>751</v>
      </c>
    </row>
    <row r="784" spans="1:2" x14ac:dyDescent="0.25">
      <c r="A784" t="s">
        <v>191</v>
      </c>
      <c r="B784" t="s">
        <v>752</v>
      </c>
    </row>
    <row r="785" spans="1:2" x14ac:dyDescent="0.25">
      <c r="A785" t="s">
        <v>191</v>
      </c>
      <c r="B785" t="s">
        <v>753</v>
      </c>
    </row>
    <row r="786" spans="1:2" x14ac:dyDescent="0.25">
      <c r="A786" t="s">
        <v>191</v>
      </c>
      <c r="B786" t="s">
        <v>754</v>
      </c>
    </row>
    <row r="787" spans="1:2" x14ac:dyDescent="0.25">
      <c r="A787" t="s">
        <v>191</v>
      </c>
      <c r="B787" t="s">
        <v>756</v>
      </c>
    </row>
    <row r="788" spans="1:2" x14ac:dyDescent="0.25">
      <c r="A788" t="s">
        <v>191</v>
      </c>
      <c r="B788" t="s">
        <v>764</v>
      </c>
    </row>
    <row r="789" spans="1:2" x14ac:dyDescent="0.25">
      <c r="A789" t="s">
        <v>191</v>
      </c>
      <c r="B789" t="s">
        <v>765</v>
      </c>
    </row>
    <row r="790" spans="1:2" x14ac:dyDescent="0.25">
      <c r="A790" t="s">
        <v>191</v>
      </c>
      <c r="B790" t="s">
        <v>766</v>
      </c>
    </row>
    <row r="791" spans="1:2" x14ac:dyDescent="0.25">
      <c r="A791" t="s">
        <v>191</v>
      </c>
      <c r="B791" t="s">
        <v>767</v>
      </c>
    </row>
    <row r="792" spans="1:2" x14ac:dyDescent="0.25">
      <c r="A792" t="s">
        <v>191</v>
      </c>
      <c r="B792" t="s">
        <v>757</v>
      </c>
    </row>
    <row r="793" spans="1:2" x14ac:dyDescent="0.25">
      <c r="A793" t="s">
        <v>191</v>
      </c>
      <c r="B793" t="s">
        <v>758</v>
      </c>
    </row>
    <row r="794" spans="1:2" x14ac:dyDescent="0.25">
      <c r="A794" t="s">
        <v>191</v>
      </c>
      <c r="B794" t="s">
        <v>759</v>
      </c>
    </row>
    <row r="795" spans="1:2" x14ac:dyDescent="0.25">
      <c r="A795" t="s">
        <v>191</v>
      </c>
      <c r="B795" t="s">
        <v>738</v>
      </c>
    </row>
    <row r="796" spans="1:2" x14ac:dyDescent="0.25">
      <c r="A796" t="s">
        <v>191</v>
      </c>
      <c r="B796" t="s">
        <v>740</v>
      </c>
    </row>
    <row r="797" spans="1:2" x14ac:dyDescent="0.25">
      <c r="A797" t="s">
        <v>191</v>
      </c>
      <c r="B797" t="s">
        <v>741</v>
      </c>
    </row>
    <row r="798" spans="1:2" x14ac:dyDescent="0.25">
      <c r="A798" t="s">
        <v>191</v>
      </c>
      <c r="B798" t="s">
        <v>743</v>
      </c>
    </row>
    <row r="799" spans="1:2" x14ac:dyDescent="0.25">
      <c r="A799" t="s">
        <v>191</v>
      </c>
      <c r="B799" t="s">
        <v>745</v>
      </c>
    </row>
    <row r="800" spans="1:2" x14ac:dyDescent="0.25">
      <c r="A800" t="s">
        <v>191</v>
      </c>
      <c r="B800" t="s">
        <v>4585</v>
      </c>
    </row>
    <row r="801" spans="1:2" x14ac:dyDescent="0.25">
      <c r="A801" t="s">
        <v>191</v>
      </c>
      <c r="B801" t="s">
        <v>746</v>
      </c>
    </row>
    <row r="802" spans="1:2" x14ac:dyDescent="0.25">
      <c r="A802" t="s">
        <v>191</v>
      </c>
      <c r="B802" t="s">
        <v>747</v>
      </c>
    </row>
    <row r="803" spans="1:2" x14ac:dyDescent="0.25">
      <c r="A803" t="s">
        <v>191</v>
      </c>
      <c r="B803" t="s">
        <v>760</v>
      </c>
    </row>
    <row r="804" spans="1:2" x14ac:dyDescent="0.25">
      <c r="A804" t="s">
        <v>191</v>
      </c>
      <c r="B804" t="s">
        <v>761</v>
      </c>
    </row>
    <row r="805" spans="1:2" x14ac:dyDescent="0.25">
      <c r="A805" t="s">
        <v>191</v>
      </c>
      <c r="B805" t="s">
        <v>762</v>
      </c>
    </row>
    <row r="806" spans="1:2" x14ac:dyDescent="0.25">
      <c r="A806" t="s">
        <v>191</v>
      </c>
      <c r="B806" t="s">
        <v>763</v>
      </c>
    </row>
    <row r="807" spans="1:2" x14ac:dyDescent="0.25">
      <c r="A807" t="s">
        <v>191</v>
      </c>
      <c r="B807" t="s">
        <v>770</v>
      </c>
    </row>
    <row r="808" spans="1:2" x14ac:dyDescent="0.25">
      <c r="A808" t="s">
        <v>191</v>
      </c>
      <c r="B808" t="s">
        <v>771</v>
      </c>
    </row>
    <row r="809" spans="1:2" x14ac:dyDescent="0.25">
      <c r="A809" t="s">
        <v>191</v>
      </c>
      <c r="B809" t="s">
        <v>2757</v>
      </c>
    </row>
    <row r="810" spans="1:2" x14ac:dyDescent="0.25">
      <c r="A810" t="s">
        <v>191</v>
      </c>
      <c r="B810" t="s">
        <v>2758</v>
      </c>
    </row>
    <row r="811" spans="1:2" x14ac:dyDescent="0.25">
      <c r="A811" t="s">
        <v>191</v>
      </c>
      <c r="B811" t="s">
        <v>2759</v>
      </c>
    </row>
    <row r="812" spans="1:2" x14ac:dyDescent="0.25">
      <c r="A812" t="s">
        <v>191</v>
      </c>
      <c r="B812" t="s">
        <v>2760</v>
      </c>
    </row>
    <row r="813" spans="1:2" x14ac:dyDescent="0.25">
      <c r="A813" t="s">
        <v>191</v>
      </c>
      <c r="B813" t="s">
        <v>2761</v>
      </c>
    </row>
    <row r="814" spans="1:2" x14ac:dyDescent="0.25">
      <c r="A814" t="s">
        <v>241</v>
      </c>
      <c r="B814" t="s">
        <v>4121</v>
      </c>
    </row>
    <row r="815" spans="1:2" x14ac:dyDescent="0.25">
      <c r="A815" t="s">
        <v>241</v>
      </c>
      <c r="B815" t="s">
        <v>1199</v>
      </c>
    </row>
    <row r="816" spans="1:2" x14ac:dyDescent="0.25">
      <c r="A816" t="s">
        <v>241</v>
      </c>
      <c r="B816" t="s">
        <v>1104</v>
      </c>
    </row>
    <row r="817" spans="1:2" x14ac:dyDescent="0.25">
      <c r="A817" t="s">
        <v>241</v>
      </c>
      <c r="B817" t="s">
        <v>1885</v>
      </c>
    </row>
    <row r="818" spans="1:2" x14ac:dyDescent="0.25">
      <c r="A818" t="s">
        <v>241</v>
      </c>
      <c r="B818" t="s">
        <v>1886</v>
      </c>
    </row>
    <row r="819" spans="1:2" x14ac:dyDescent="0.25">
      <c r="A819" t="s">
        <v>241</v>
      </c>
      <c r="B819" t="s">
        <v>1887</v>
      </c>
    </row>
    <row r="820" spans="1:2" x14ac:dyDescent="0.25">
      <c r="A820" t="s">
        <v>241</v>
      </c>
      <c r="B820" t="s">
        <v>577</v>
      </c>
    </row>
    <row r="821" spans="1:2" x14ac:dyDescent="0.25">
      <c r="A821" t="s">
        <v>241</v>
      </c>
      <c r="B821" t="s">
        <v>578</v>
      </c>
    </row>
    <row r="822" spans="1:2" x14ac:dyDescent="0.25">
      <c r="A822" t="s">
        <v>241</v>
      </c>
      <c r="B822" t="s">
        <v>1888</v>
      </c>
    </row>
    <row r="823" spans="1:2" x14ac:dyDescent="0.25">
      <c r="A823" t="s">
        <v>241</v>
      </c>
      <c r="B823" t="s">
        <v>576</v>
      </c>
    </row>
    <row r="824" spans="1:2" x14ac:dyDescent="0.25">
      <c r="A824" t="s">
        <v>241</v>
      </c>
      <c r="B824" t="s">
        <v>572</v>
      </c>
    </row>
    <row r="825" spans="1:2" x14ac:dyDescent="0.25">
      <c r="A825" t="s">
        <v>241</v>
      </c>
      <c r="B825" t="s">
        <v>1889</v>
      </c>
    </row>
    <row r="826" spans="1:2" x14ac:dyDescent="0.25">
      <c r="A826" t="s">
        <v>241</v>
      </c>
      <c r="B826" t="s">
        <v>1890</v>
      </c>
    </row>
    <row r="827" spans="1:2" x14ac:dyDescent="0.25">
      <c r="A827" t="s">
        <v>241</v>
      </c>
      <c r="B827" t="s">
        <v>1891</v>
      </c>
    </row>
    <row r="828" spans="1:2" x14ac:dyDescent="0.25">
      <c r="A828" t="s">
        <v>241</v>
      </c>
      <c r="B828" t="s">
        <v>575</v>
      </c>
    </row>
    <row r="829" spans="1:2" x14ac:dyDescent="0.25">
      <c r="A829" t="s">
        <v>241</v>
      </c>
      <c r="B829" t="s">
        <v>1892</v>
      </c>
    </row>
    <row r="830" spans="1:2" x14ac:dyDescent="0.25">
      <c r="A830" t="s">
        <v>241</v>
      </c>
      <c r="B830" t="s">
        <v>573</v>
      </c>
    </row>
    <row r="831" spans="1:2" x14ac:dyDescent="0.25">
      <c r="A831" t="s">
        <v>241</v>
      </c>
      <c r="B831" t="s">
        <v>582</v>
      </c>
    </row>
    <row r="832" spans="1:2" x14ac:dyDescent="0.25">
      <c r="A832" t="s">
        <v>241</v>
      </c>
      <c r="B832" t="s">
        <v>583</v>
      </c>
    </row>
    <row r="833" spans="1:2" x14ac:dyDescent="0.25">
      <c r="A833" t="s">
        <v>241</v>
      </c>
      <c r="B833" t="s">
        <v>580</v>
      </c>
    </row>
    <row r="834" spans="1:2" x14ac:dyDescent="0.25">
      <c r="A834" t="s">
        <v>241</v>
      </c>
      <c r="B834" t="s">
        <v>1893</v>
      </c>
    </row>
    <row r="835" spans="1:2" x14ac:dyDescent="0.25">
      <c r="A835" t="s">
        <v>241</v>
      </c>
      <c r="B835" t="s">
        <v>579</v>
      </c>
    </row>
    <row r="836" spans="1:2" x14ac:dyDescent="0.25">
      <c r="A836" t="s">
        <v>241</v>
      </c>
      <c r="B836" t="s">
        <v>1894</v>
      </c>
    </row>
    <row r="837" spans="1:2" x14ac:dyDescent="0.25">
      <c r="A837" t="s">
        <v>241</v>
      </c>
      <c r="B837" t="s">
        <v>1895</v>
      </c>
    </row>
    <row r="838" spans="1:2" x14ac:dyDescent="0.25">
      <c r="A838" t="s">
        <v>241</v>
      </c>
      <c r="B838" t="s">
        <v>581</v>
      </c>
    </row>
    <row r="839" spans="1:2" x14ac:dyDescent="0.25">
      <c r="A839" t="s">
        <v>241</v>
      </c>
      <c r="B839" t="s">
        <v>571</v>
      </c>
    </row>
    <row r="840" spans="1:2" x14ac:dyDescent="0.25">
      <c r="A840" t="s">
        <v>241</v>
      </c>
      <c r="B840" t="s">
        <v>4586</v>
      </c>
    </row>
    <row r="841" spans="1:2" x14ac:dyDescent="0.25">
      <c r="A841" t="s">
        <v>241</v>
      </c>
      <c r="B841" t="s">
        <v>1896</v>
      </c>
    </row>
    <row r="842" spans="1:2" x14ac:dyDescent="0.25">
      <c r="A842" t="s">
        <v>198</v>
      </c>
      <c r="B842" t="s">
        <v>4095</v>
      </c>
    </row>
    <row r="843" spans="1:2" x14ac:dyDescent="0.25">
      <c r="A843" t="s">
        <v>198</v>
      </c>
      <c r="B843" t="s">
        <v>3357</v>
      </c>
    </row>
    <row r="844" spans="1:2" x14ac:dyDescent="0.25">
      <c r="A844" t="s">
        <v>198</v>
      </c>
      <c r="B844" t="s">
        <v>3358</v>
      </c>
    </row>
    <row r="845" spans="1:2" x14ac:dyDescent="0.25">
      <c r="A845" t="s">
        <v>198</v>
      </c>
      <c r="B845" t="s">
        <v>1351</v>
      </c>
    </row>
    <row r="846" spans="1:2" x14ac:dyDescent="0.25">
      <c r="A846" t="s">
        <v>198</v>
      </c>
      <c r="B846" t="s">
        <v>3359</v>
      </c>
    </row>
    <row r="847" spans="1:2" x14ac:dyDescent="0.25">
      <c r="A847" t="s">
        <v>198</v>
      </c>
      <c r="B847" t="s">
        <v>3360</v>
      </c>
    </row>
    <row r="848" spans="1:2" x14ac:dyDescent="0.25">
      <c r="A848" t="s">
        <v>198</v>
      </c>
      <c r="B848" t="s">
        <v>3361</v>
      </c>
    </row>
    <row r="849" spans="1:2" x14ac:dyDescent="0.25">
      <c r="A849" t="s">
        <v>198</v>
      </c>
      <c r="B849" t="s">
        <v>3362</v>
      </c>
    </row>
    <row r="850" spans="1:2" x14ac:dyDescent="0.25">
      <c r="A850" t="s">
        <v>198</v>
      </c>
      <c r="B850" t="s">
        <v>3363</v>
      </c>
    </row>
    <row r="851" spans="1:2" x14ac:dyDescent="0.25">
      <c r="A851" t="s">
        <v>198</v>
      </c>
      <c r="B851" t="s">
        <v>3364</v>
      </c>
    </row>
    <row r="852" spans="1:2" x14ac:dyDescent="0.25">
      <c r="A852" t="s">
        <v>198</v>
      </c>
      <c r="B852" t="s">
        <v>3365</v>
      </c>
    </row>
    <row r="853" spans="1:2" x14ac:dyDescent="0.25">
      <c r="A853" t="s">
        <v>198</v>
      </c>
      <c r="B853" t="s">
        <v>3366</v>
      </c>
    </row>
    <row r="854" spans="1:2" x14ac:dyDescent="0.25">
      <c r="A854" t="s">
        <v>198</v>
      </c>
      <c r="B854" t="s">
        <v>3367</v>
      </c>
    </row>
    <row r="855" spans="1:2" x14ac:dyDescent="0.25">
      <c r="A855" t="s">
        <v>198</v>
      </c>
      <c r="B855" t="s">
        <v>3368</v>
      </c>
    </row>
    <row r="856" spans="1:2" x14ac:dyDescent="0.25">
      <c r="A856" t="s">
        <v>198</v>
      </c>
      <c r="B856" t="s">
        <v>3369</v>
      </c>
    </row>
    <row r="857" spans="1:2" x14ac:dyDescent="0.25">
      <c r="A857" t="s">
        <v>198</v>
      </c>
      <c r="B857" t="s">
        <v>3370</v>
      </c>
    </row>
    <row r="858" spans="1:2" x14ac:dyDescent="0.25">
      <c r="A858" t="s">
        <v>198</v>
      </c>
      <c r="B858" t="s">
        <v>3371</v>
      </c>
    </row>
    <row r="859" spans="1:2" x14ac:dyDescent="0.25">
      <c r="A859" t="s">
        <v>198</v>
      </c>
      <c r="B859" t="s">
        <v>3372</v>
      </c>
    </row>
    <row r="860" spans="1:2" x14ac:dyDescent="0.25">
      <c r="A860" t="s">
        <v>198</v>
      </c>
      <c r="B860" t="s">
        <v>3373</v>
      </c>
    </row>
    <row r="861" spans="1:2" x14ac:dyDescent="0.25">
      <c r="A861" t="s">
        <v>198</v>
      </c>
      <c r="B861" t="s">
        <v>3374</v>
      </c>
    </row>
    <row r="862" spans="1:2" x14ac:dyDescent="0.25">
      <c r="A862" t="s">
        <v>198</v>
      </c>
      <c r="B862" t="s">
        <v>3375</v>
      </c>
    </row>
    <row r="863" spans="1:2" x14ac:dyDescent="0.25">
      <c r="A863" t="s">
        <v>198</v>
      </c>
      <c r="B863" t="s">
        <v>3376</v>
      </c>
    </row>
    <row r="864" spans="1:2" x14ac:dyDescent="0.25">
      <c r="A864" t="s">
        <v>198</v>
      </c>
      <c r="B864" t="s">
        <v>3377</v>
      </c>
    </row>
    <row r="865" spans="1:2" x14ac:dyDescent="0.25">
      <c r="A865" t="s">
        <v>198</v>
      </c>
      <c r="B865" t="s">
        <v>3378</v>
      </c>
    </row>
    <row r="866" spans="1:2" x14ac:dyDescent="0.25">
      <c r="A866" t="s">
        <v>198</v>
      </c>
      <c r="B866" t="s">
        <v>3379</v>
      </c>
    </row>
    <row r="867" spans="1:2" x14ac:dyDescent="0.25">
      <c r="A867" t="s">
        <v>198</v>
      </c>
      <c r="B867" t="s">
        <v>3380</v>
      </c>
    </row>
    <row r="868" spans="1:2" x14ac:dyDescent="0.25">
      <c r="A868" t="s">
        <v>198</v>
      </c>
      <c r="B868" t="s">
        <v>3381</v>
      </c>
    </row>
    <row r="869" spans="1:2" x14ac:dyDescent="0.25">
      <c r="A869" t="s">
        <v>198</v>
      </c>
      <c r="B869" t="s">
        <v>3382</v>
      </c>
    </row>
    <row r="870" spans="1:2" x14ac:dyDescent="0.25">
      <c r="A870" t="s">
        <v>198</v>
      </c>
      <c r="B870" t="s">
        <v>3383</v>
      </c>
    </row>
    <row r="871" spans="1:2" x14ac:dyDescent="0.25">
      <c r="A871" t="s">
        <v>198</v>
      </c>
      <c r="B871" t="s">
        <v>3384</v>
      </c>
    </row>
    <row r="872" spans="1:2" x14ac:dyDescent="0.25">
      <c r="A872" t="s">
        <v>267</v>
      </c>
      <c r="B872" t="s">
        <v>597</v>
      </c>
    </row>
    <row r="873" spans="1:2" x14ac:dyDescent="0.25">
      <c r="A873" t="s">
        <v>267</v>
      </c>
      <c r="B873" t="s">
        <v>608</v>
      </c>
    </row>
    <row r="874" spans="1:2" x14ac:dyDescent="0.25">
      <c r="A874" t="s">
        <v>267</v>
      </c>
      <c r="B874" t="s">
        <v>2493</v>
      </c>
    </row>
    <row r="875" spans="1:2" x14ac:dyDescent="0.25">
      <c r="A875" t="s">
        <v>267</v>
      </c>
      <c r="B875" t="s">
        <v>2494</v>
      </c>
    </row>
    <row r="876" spans="1:2" x14ac:dyDescent="0.25">
      <c r="A876" t="s">
        <v>267</v>
      </c>
      <c r="B876" t="s">
        <v>2495</v>
      </c>
    </row>
    <row r="877" spans="1:2" x14ac:dyDescent="0.25">
      <c r="A877" t="s">
        <v>267</v>
      </c>
      <c r="B877" t="s">
        <v>2496</v>
      </c>
    </row>
    <row r="878" spans="1:2" x14ac:dyDescent="0.25">
      <c r="A878" t="s">
        <v>267</v>
      </c>
      <c r="B878" t="s">
        <v>2497</v>
      </c>
    </row>
    <row r="879" spans="1:2" x14ac:dyDescent="0.25">
      <c r="A879" t="s">
        <v>267</v>
      </c>
      <c r="B879" t="s">
        <v>4587</v>
      </c>
    </row>
    <row r="880" spans="1:2" x14ac:dyDescent="0.25">
      <c r="A880" t="s">
        <v>267</v>
      </c>
      <c r="B880" t="s">
        <v>2498</v>
      </c>
    </row>
    <row r="881" spans="1:2" x14ac:dyDescent="0.25">
      <c r="A881" t="s">
        <v>267</v>
      </c>
      <c r="B881" t="s">
        <v>2499</v>
      </c>
    </row>
    <row r="882" spans="1:2" x14ac:dyDescent="0.25">
      <c r="A882" t="s">
        <v>267</v>
      </c>
      <c r="B882" t="s">
        <v>2500</v>
      </c>
    </row>
    <row r="883" spans="1:2" x14ac:dyDescent="0.25">
      <c r="A883" t="s">
        <v>267</v>
      </c>
      <c r="B883" t="s">
        <v>4588</v>
      </c>
    </row>
    <row r="884" spans="1:2" x14ac:dyDescent="0.25">
      <c r="A884" t="s">
        <v>267</v>
      </c>
      <c r="B884" t="s">
        <v>2501</v>
      </c>
    </row>
    <row r="885" spans="1:2" x14ac:dyDescent="0.25">
      <c r="A885" t="s">
        <v>267</v>
      </c>
      <c r="B885" t="s">
        <v>2502</v>
      </c>
    </row>
    <row r="886" spans="1:2" x14ac:dyDescent="0.25">
      <c r="A886" t="s">
        <v>267</v>
      </c>
      <c r="B886" t="s">
        <v>2503</v>
      </c>
    </row>
    <row r="887" spans="1:2" x14ac:dyDescent="0.25">
      <c r="A887" t="s">
        <v>267</v>
      </c>
      <c r="B887" t="s">
        <v>4589</v>
      </c>
    </row>
    <row r="888" spans="1:2" x14ac:dyDescent="0.25">
      <c r="A888" t="s">
        <v>267</v>
      </c>
      <c r="B888" t="s">
        <v>2504</v>
      </c>
    </row>
    <row r="889" spans="1:2" x14ac:dyDescent="0.25">
      <c r="A889" t="s">
        <v>267</v>
      </c>
      <c r="B889" s="29" t="s">
        <v>4661</v>
      </c>
    </row>
    <row r="890" spans="1:2" x14ac:dyDescent="0.25">
      <c r="A890" t="s">
        <v>252</v>
      </c>
      <c r="B890" t="s">
        <v>4103</v>
      </c>
    </row>
    <row r="891" spans="1:2" x14ac:dyDescent="0.25">
      <c r="A891" t="s">
        <v>252</v>
      </c>
      <c r="B891" t="s">
        <v>3571</v>
      </c>
    </row>
    <row r="892" spans="1:2" x14ac:dyDescent="0.25">
      <c r="A892" t="s">
        <v>252</v>
      </c>
      <c r="B892" t="s">
        <v>4699</v>
      </c>
    </row>
    <row r="893" spans="1:2" x14ac:dyDescent="0.25">
      <c r="A893" t="s">
        <v>252</v>
      </c>
      <c r="B893" t="s">
        <v>3572</v>
      </c>
    </row>
    <row r="894" spans="1:2" x14ac:dyDescent="0.25">
      <c r="A894" t="s">
        <v>252</v>
      </c>
      <c r="B894" t="s">
        <v>3573</v>
      </c>
    </row>
    <row r="895" spans="1:2" x14ac:dyDescent="0.25">
      <c r="A895" t="s">
        <v>252</v>
      </c>
      <c r="B895" t="s">
        <v>4700</v>
      </c>
    </row>
    <row r="896" spans="1:2" x14ac:dyDescent="0.25">
      <c r="A896" t="s">
        <v>252</v>
      </c>
      <c r="B896" t="s">
        <v>3574</v>
      </c>
    </row>
    <row r="897" spans="1:2" x14ac:dyDescent="0.25">
      <c r="A897" t="s">
        <v>252</v>
      </c>
      <c r="B897" t="s">
        <v>3575</v>
      </c>
    </row>
    <row r="898" spans="1:2" x14ac:dyDescent="0.25">
      <c r="A898" t="s">
        <v>252</v>
      </c>
      <c r="B898" t="s">
        <v>3576</v>
      </c>
    </row>
    <row r="899" spans="1:2" x14ac:dyDescent="0.25">
      <c r="A899" t="s">
        <v>252</v>
      </c>
      <c r="B899" t="s">
        <v>3577</v>
      </c>
    </row>
    <row r="900" spans="1:2" x14ac:dyDescent="0.25">
      <c r="A900" t="s">
        <v>252</v>
      </c>
      <c r="B900" t="s">
        <v>3578</v>
      </c>
    </row>
    <row r="901" spans="1:2" x14ac:dyDescent="0.25">
      <c r="A901" t="s">
        <v>252</v>
      </c>
      <c r="B901" t="s">
        <v>3579</v>
      </c>
    </row>
    <row r="902" spans="1:2" x14ac:dyDescent="0.25">
      <c r="A902" t="s">
        <v>252</v>
      </c>
      <c r="B902" t="s">
        <v>3580</v>
      </c>
    </row>
    <row r="903" spans="1:2" x14ac:dyDescent="0.25">
      <c r="A903" t="s">
        <v>252</v>
      </c>
      <c r="B903" t="s">
        <v>3581</v>
      </c>
    </row>
    <row r="904" spans="1:2" x14ac:dyDescent="0.25">
      <c r="A904" t="s">
        <v>252</v>
      </c>
      <c r="B904" t="s">
        <v>3582</v>
      </c>
    </row>
    <row r="905" spans="1:2" x14ac:dyDescent="0.25">
      <c r="A905" t="s">
        <v>252</v>
      </c>
      <c r="B905" t="s">
        <v>3583</v>
      </c>
    </row>
    <row r="906" spans="1:2" x14ac:dyDescent="0.25">
      <c r="A906" t="s">
        <v>252</v>
      </c>
      <c r="B906" t="s">
        <v>3584</v>
      </c>
    </row>
    <row r="907" spans="1:2" x14ac:dyDescent="0.25">
      <c r="A907" t="s">
        <v>252</v>
      </c>
      <c r="B907" t="s">
        <v>4620</v>
      </c>
    </row>
    <row r="908" spans="1:2" x14ac:dyDescent="0.25">
      <c r="A908" t="s">
        <v>252</v>
      </c>
      <c r="B908" t="s">
        <v>3585</v>
      </c>
    </row>
    <row r="909" spans="1:2" x14ac:dyDescent="0.25">
      <c r="A909" t="s">
        <v>252</v>
      </c>
      <c r="B909" t="s">
        <v>3586</v>
      </c>
    </row>
    <row r="910" spans="1:2" x14ac:dyDescent="0.25">
      <c r="A910" t="s">
        <v>252</v>
      </c>
      <c r="B910" t="s">
        <v>3587</v>
      </c>
    </row>
    <row r="911" spans="1:2" x14ac:dyDescent="0.25">
      <c r="A911" t="s">
        <v>252</v>
      </c>
      <c r="B911" t="s">
        <v>4701</v>
      </c>
    </row>
    <row r="912" spans="1:2" x14ac:dyDescent="0.25">
      <c r="A912" t="s">
        <v>252</v>
      </c>
      <c r="B912" t="s">
        <v>3588</v>
      </c>
    </row>
    <row r="913" spans="1:2" x14ac:dyDescent="0.25">
      <c r="A913" t="s">
        <v>252</v>
      </c>
      <c r="B913" t="s">
        <v>3589</v>
      </c>
    </row>
    <row r="914" spans="1:2" x14ac:dyDescent="0.25">
      <c r="A914" t="s">
        <v>252</v>
      </c>
      <c r="B914" t="s">
        <v>3590</v>
      </c>
    </row>
    <row r="915" spans="1:2" x14ac:dyDescent="0.25">
      <c r="A915" t="s">
        <v>252</v>
      </c>
      <c r="B915" t="s">
        <v>3591</v>
      </c>
    </row>
    <row r="916" spans="1:2" x14ac:dyDescent="0.25">
      <c r="A916" t="s">
        <v>239</v>
      </c>
      <c r="B916" t="s">
        <v>460</v>
      </c>
    </row>
    <row r="917" spans="1:2" x14ac:dyDescent="0.25">
      <c r="A917" t="s">
        <v>239</v>
      </c>
      <c r="B917" t="s">
        <v>4019</v>
      </c>
    </row>
    <row r="918" spans="1:2" x14ac:dyDescent="0.25">
      <c r="A918" t="s">
        <v>239</v>
      </c>
      <c r="B918" t="s">
        <v>1724</v>
      </c>
    </row>
    <row r="919" spans="1:2" x14ac:dyDescent="0.25">
      <c r="A919" t="s">
        <v>239</v>
      </c>
      <c r="B919" t="s">
        <v>1725</v>
      </c>
    </row>
    <row r="920" spans="1:2" x14ac:dyDescent="0.25">
      <c r="A920" t="s">
        <v>239</v>
      </c>
      <c r="B920" t="s">
        <v>440</v>
      </c>
    </row>
    <row r="921" spans="1:2" x14ac:dyDescent="0.25">
      <c r="A921" t="s">
        <v>239</v>
      </c>
      <c r="B921" t="s">
        <v>439</v>
      </c>
    </row>
    <row r="922" spans="1:2" x14ac:dyDescent="0.25">
      <c r="A922" t="s">
        <v>239</v>
      </c>
      <c r="B922" t="s">
        <v>438</v>
      </c>
    </row>
    <row r="923" spans="1:2" x14ac:dyDescent="0.25">
      <c r="A923" t="s">
        <v>239</v>
      </c>
      <c r="B923" t="s">
        <v>442</v>
      </c>
    </row>
    <row r="924" spans="1:2" x14ac:dyDescent="0.25">
      <c r="A924" t="s">
        <v>239</v>
      </c>
      <c r="B924" t="s">
        <v>441</v>
      </c>
    </row>
    <row r="925" spans="1:2" x14ac:dyDescent="0.25">
      <c r="A925" t="s">
        <v>239</v>
      </c>
      <c r="B925" t="s">
        <v>1726</v>
      </c>
    </row>
    <row r="926" spans="1:2" x14ac:dyDescent="0.25">
      <c r="A926" t="s">
        <v>239</v>
      </c>
      <c r="B926" t="s">
        <v>1727</v>
      </c>
    </row>
    <row r="927" spans="1:2" x14ac:dyDescent="0.25">
      <c r="A927" t="s">
        <v>239</v>
      </c>
      <c r="B927" t="s">
        <v>1728</v>
      </c>
    </row>
    <row r="928" spans="1:2" x14ac:dyDescent="0.25">
      <c r="A928" t="s">
        <v>239</v>
      </c>
      <c r="B928" t="s">
        <v>443</v>
      </c>
    </row>
    <row r="929" spans="1:2" x14ac:dyDescent="0.25">
      <c r="A929" t="s">
        <v>239</v>
      </c>
      <c r="B929" t="s">
        <v>448</v>
      </c>
    </row>
    <row r="930" spans="1:2" x14ac:dyDescent="0.25">
      <c r="A930" t="s">
        <v>239</v>
      </c>
      <c r="B930" t="s">
        <v>447</v>
      </c>
    </row>
    <row r="931" spans="1:2" x14ac:dyDescent="0.25">
      <c r="A931" t="s">
        <v>239</v>
      </c>
      <c r="B931" t="s">
        <v>436</v>
      </c>
    </row>
    <row r="932" spans="1:2" x14ac:dyDescent="0.25">
      <c r="A932" t="s">
        <v>239</v>
      </c>
      <c r="B932" t="s">
        <v>1729</v>
      </c>
    </row>
    <row r="933" spans="1:2" x14ac:dyDescent="0.25">
      <c r="A933" t="s">
        <v>239</v>
      </c>
      <c r="B933" t="s">
        <v>446</v>
      </c>
    </row>
    <row r="934" spans="1:2" x14ac:dyDescent="0.25">
      <c r="A934" t="s">
        <v>239</v>
      </c>
      <c r="B934" t="s">
        <v>437</v>
      </c>
    </row>
    <row r="935" spans="1:2" x14ac:dyDescent="0.25">
      <c r="A935" t="s">
        <v>197</v>
      </c>
      <c r="B935" t="s">
        <v>4052</v>
      </c>
    </row>
    <row r="936" spans="1:2" x14ac:dyDescent="0.25">
      <c r="A936" t="s">
        <v>197</v>
      </c>
      <c r="B936" t="s">
        <v>2433</v>
      </c>
    </row>
    <row r="937" spans="1:2" x14ac:dyDescent="0.25">
      <c r="A937" t="s">
        <v>197</v>
      </c>
      <c r="B937" t="s">
        <v>2434</v>
      </c>
    </row>
    <row r="938" spans="1:2" x14ac:dyDescent="0.25">
      <c r="A938" t="s">
        <v>197</v>
      </c>
      <c r="B938" t="s">
        <v>2435</v>
      </c>
    </row>
    <row r="939" spans="1:2" x14ac:dyDescent="0.25">
      <c r="A939" t="s">
        <v>197</v>
      </c>
      <c r="B939" t="s">
        <v>2436</v>
      </c>
    </row>
    <row r="940" spans="1:2" x14ac:dyDescent="0.25">
      <c r="A940" t="s">
        <v>197</v>
      </c>
      <c r="B940" t="s">
        <v>2437</v>
      </c>
    </row>
    <row r="941" spans="1:2" x14ac:dyDescent="0.25">
      <c r="A941" t="s">
        <v>197</v>
      </c>
      <c r="B941" t="s">
        <v>2438</v>
      </c>
    </row>
    <row r="942" spans="1:2" x14ac:dyDescent="0.25">
      <c r="A942" t="s">
        <v>197</v>
      </c>
      <c r="B942" t="s">
        <v>2439</v>
      </c>
    </row>
    <row r="943" spans="1:2" x14ac:dyDescent="0.25">
      <c r="A943" t="s">
        <v>197</v>
      </c>
      <c r="B943" t="s">
        <v>2440</v>
      </c>
    </row>
    <row r="944" spans="1:2" x14ac:dyDescent="0.25">
      <c r="A944" t="s">
        <v>197</v>
      </c>
      <c r="B944" t="s">
        <v>2441</v>
      </c>
    </row>
    <row r="945" spans="1:2" x14ac:dyDescent="0.25">
      <c r="A945" t="s">
        <v>197</v>
      </c>
      <c r="B945" t="s">
        <v>2442</v>
      </c>
    </row>
    <row r="946" spans="1:2" x14ac:dyDescent="0.25">
      <c r="A946" t="s">
        <v>197</v>
      </c>
      <c r="B946" t="s">
        <v>1197</v>
      </c>
    </row>
    <row r="947" spans="1:2" x14ac:dyDescent="0.25">
      <c r="A947" t="s">
        <v>197</v>
      </c>
      <c r="B947" t="s">
        <v>2443</v>
      </c>
    </row>
    <row r="948" spans="1:2" x14ac:dyDescent="0.25">
      <c r="A948" t="s">
        <v>197</v>
      </c>
      <c r="B948" t="s">
        <v>2444</v>
      </c>
    </row>
    <row r="949" spans="1:2" x14ac:dyDescent="0.25">
      <c r="A949" t="s">
        <v>197</v>
      </c>
      <c r="B949" t="s">
        <v>2445</v>
      </c>
    </row>
    <row r="950" spans="1:2" x14ac:dyDescent="0.25">
      <c r="A950" t="s">
        <v>197</v>
      </c>
      <c r="B950" t="s">
        <v>2446</v>
      </c>
    </row>
    <row r="951" spans="1:2" x14ac:dyDescent="0.25">
      <c r="A951" t="s">
        <v>197</v>
      </c>
      <c r="B951" t="s">
        <v>2447</v>
      </c>
    </row>
    <row r="952" spans="1:2" x14ac:dyDescent="0.25">
      <c r="A952" t="s">
        <v>197</v>
      </c>
      <c r="B952" t="s">
        <v>2448</v>
      </c>
    </row>
    <row r="953" spans="1:2" x14ac:dyDescent="0.25">
      <c r="A953" t="s">
        <v>197</v>
      </c>
      <c r="B953" t="s">
        <v>2449</v>
      </c>
    </row>
    <row r="954" spans="1:2" x14ac:dyDescent="0.25">
      <c r="A954" t="s">
        <v>197</v>
      </c>
      <c r="B954" t="s">
        <v>2450</v>
      </c>
    </row>
    <row r="955" spans="1:2" x14ac:dyDescent="0.25">
      <c r="A955" t="s">
        <v>197</v>
      </c>
      <c r="B955" t="s">
        <v>2451</v>
      </c>
    </row>
    <row r="956" spans="1:2" x14ac:dyDescent="0.25">
      <c r="A956" t="s">
        <v>197</v>
      </c>
      <c r="B956" t="s">
        <v>2452</v>
      </c>
    </row>
    <row r="957" spans="1:2" x14ac:dyDescent="0.25">
      <c r="A957" t="s">
        <v>197</v>
      </c>
      <c r="B957" t="s">
        <v>2453</v>
      </c>
    </row>
    <row r="958" spans="1:2" x14ac:dyDescent="0.25">
      <c r="A958" t="s">
        <v>195</v>
      </c>
      <c r="B958" t="s">
        <v>793</v>
      </c>
    </row>
    <row r="959" spans="1:2" x14ac:dyDescent="0.25">
      <c r="A959" t="s">
        <v>195</v>
      </c>
      <c r="B959" t="s">
        <v>749</v>
      </c>
    </row>
    <row r="960" spans="1:2" x14ac:dyDescent="0.25">
      <c r="A960" t="s">
        <v>195</v>
      </c>
      <c r="B960" t="s">
        <v>1383</v>
      </c>
    </row>
    <row r="961" spans="1:2" x14ac:dyDescent="0.25">
      <c r="A961" t="s">
        <v>195</v>
      </c>
      <c r="B961" t="s">
        <v>2683</v>
      </c>
    </row>
    <row r="962" spans="1:2" x14ac:dyDescent="0.25">
      <c r="A962" t="s">
        <v>195</v>
      </c>
      <c r="B962" t="s">
        <v>1381</v>
      </c>
    </row>
    <row r="963" spans="1:2" x14ac:dyDescent="0.25">
      <c r="A963" t="s">
        <v>195</v>
      </c>
      <c r="B963" t="s">
        <v>1380</v>
      </c>
    </row>
    <row r="964" spans="1:2" x14ac:dyDescent="0.25">
      <c r="A964" t="s">
        <v>195</v>
      </c>
      <c r="B964" t="s">
        <v>1374</v>
      </c>
    </row>
    <row r="965" spans="1:2" x14ac:dyDescent="0.25">
      <c r="A965" t="s">
        <v>195</v>
      </c>
      <c r="B965" t="s">
        <v>1379</v>
      </c>
    </row>
    <row r="966" spans="1:2" x14ac:dyDescent="0.25">
      <c r="A966" t="s">
        <v>195</v>
      </c>
      <c r="B966" t="s">
        <v>1371</v>
      </c>
    </row>
    <row r="967" spans="1:2" x14ac:dyDescent="0.25">
      <c r="A967" t="s">
        <v>195</v>
      </c>
      <c r="B967" t="s">
        <v>1375</v>
      </c>
    </row>
    <row r="968" spans="1:2" x14ac:dyDescent="0.25">
      <c r="A968" t="s">
        <v>195</v>
      </c>
      <c r="B968" t="s">
        <v>1384</v>
      </c>
    </row>
    <row r="969" spans="1:2" x14ac:dyDescent="0.25">
      <c r="A969" t="s">
        <v>195</v>
      </c>
      <c r="B969" t="s">
        <v>1373</v>
      </c>
    </row>
    <row r="970" spans="1:2" x14ac:dyDescent="0.25">
      <c r="A970" t="s">
        <v>195</v>
      </c>
      <c r="B970" t="s">
        <v>1378</v>
      </c>
    </row>
    <row r="971" spans="1:2" x14ac:dyDescent="0.25">
      <c r="A971" t="s">
        <v>195</v>
      </c>
      <c r="B971" t="s">
        <v>1387</v>
      </c>
    </row>
    <row r="972" spans="1:2" x14ac:dyDescent="0.25">
      <c r="A972" t="s">
        <v>195</v>
      </c>
      <c r="B972" t="s">
        <v>795</v>
      </c>
    </row>
    <row r="973" spans="1:2" x14ac:dyDescent="0.25">
      <c r="A973" t="s">
        <v>195</v>
      </c>
      <c r="B973" t="s">
        <v>1388</v>
      </c>
    </row>
    <row r="974" spans="1:2" x14ac:dyDescent="0.25">
      <c r="A974" t="s">
        <v>195</v>
      </c>
      <c r="B974" t="s">
        <v>1372</v>
      </c>
    </row>
    <row r="975" spans="1:2" x14ac:dyDescent="0.25">
      <c r="A975" t="s">
        <v>195</v>
      </c>
      <c r="B975" t="s">
        <v>1370</v>
      </c>
    </row>
    <row r="976" spans="1:2" x14ac:dyDescent="0.25">
      <c r="A976" t="s">
        <v>192</v>
      </c>
      <c r="B976" t="s">
        <v>4037</v>
      </c>
    </row>
    <row r="977" spans="1:2" x14ac:dyDescent="0.25">
      <c r="A977" t="s">
        <v>192</v>
      </c>
      <c r="B977" t="s">
        <v>1279</v>
      </c>
    </row>
    <row r="978" spans="1:2" x14ac:dyDescent="0.25">
      <c r="A978" t="s">
        <v>192</v>
      </c>
      <c r="B978" t="s">
        <v>431</v>
      </c>
    </row>
    <row r="979" spans="1:2" x14ac:dyDescent="0.25">
      <c r="A979" t="s">
        <v>192</v>
      </c>
      <c r="B979" t="s">
        <v>1278</v>
      </c>
    </row>
    <row r="980" spans="1:2" x14ac:dyDescent="0.25">
      <c r="A980" t="s">
        <v>192</v>
      </c>
      <c r="B980" t="s">
        <v>1983</v>
      </c>
    </row>
    <row r="981" spans="1:2" x14ac:dyDescent="0.25">
      <c r="A981" t="s">
        <v>192</v>
      </c>
      <c r="B981" t="s">
        <v>1984</v>
      </c>
    </row>
    <row r="982" spans="1:2" x14ac:dyDescent="0.25">
      <c r="A982" t="s">
        <v>192</v>
      </c>
      <c r="B982" t="s">
        <v>1985</v>
      </c>
    </row>
    <row r="983" spans="1:2" x14ac:dyDescent="0.25">
      <c r="A983" t="s">
        <v>192</v>
      </c>
      <c r="B983" t="s">
        <v>1986</v>
      </c>
    </row>
    <row r="984" spans="1:2" x14ac:dyDescent="0.25">
      <c r="A984" t="s">
        <v>192</v>
      </c>
      <c r="B984" t="s">
        <v>1987</v>
      </c>
    </row>
    <row r="985" spans="1:2" x14ac:dyDescent="0.25">
      <c r="A985" t="s">
        <v>192</v>
      </c>
      <c r="B985" t="s">
        <v>1988</v>
      </c>
    </row>
    <row r="986" spans="1:2" x14ac:dyDescent="0.25">
      <c r="A986" t="s">
        <v>192</v>
      </c>
      <c r="B986" t="s">
        <v>1989</v>
      </c>
    </row>
    <row r="987" spans="1:2" x14ac:dyDescent="0.25">
      <c r="A987" t="s">
        <v>192</v>
      </c>
      <c r="B987" t="s">
        <v>1990</v>
      </c>
    </row>
    <row r="988" spans="1:2" x14ac:dyDescent="0.25">
      <c r="A988" t="s">
        <v>192</v>
      </c>
      <c r="B988" t="s">
        <v>1991</v>
      </c>
    </row>
    <row r="989" spans="1:2" x14ac:dyDescent="0.25">
      <c r="A989" t="s">
        <v>192</v>
      </c>
      <c r="B989" t="s">
        <v>1992</v>
      </c>
    </row>
    <row r="990" spans="1:2" x14ac:dyDescent="0.25">
      <c r="A990" t="s">
        <v>192</v>
      </c>
      <c r="B990" t="s">
        <v>1993</v>
      </c>
    </row>
    <row r="991" spans="1:2" x14ac:dyDescent="0.25">
      <c r="A991" t="s">
        <v>192</v>
      </c>
      <c r="B991" t="s">
        <v>1994</v>
      </c>
    </row>
    <row r="992" spans="1:2" x14ac:dyDescent="0.25">
      <c r="A992" t="s">
        <v>192</v>
      </c>
      <c r="B992" t="s">
        <v>1995</v>
      </c>
    </row>
    <row r="993" spans="1:2" x14ac:dyDescent="0.25">
      <c r="A993" t="s">
        <v>192</v>
      </c>
      <c r="B993" t="s">
        <v>1996</v>
      </c>
    </row>
    <row r="994" spans="1:2" x14ac:dyDescent="0.25">
      <c r="A994" t="s">
        <v>192</v>
      </c>
      <c r="B994" t="s">
        <v>1997</v>
      </c>
    </row>
    <row r="995" spans="1:2" x14ac:dyDescent="0.25">
      <c r="A995" t="s">
        <v>192</v>
      </c>
      <c r="B995" t="s">
        <v>1998</v>
      </c>
    </row>
    <row r="996" spans="1:2" x14ac:dyDescent="0.25">
      <c r="A996" t="s">
        <v>208</v>
      </c>
      <c r="B996" t="s">
        <v>4072</v>
      </c>
    </row>
    <row r="997" spans="1:2" x14ac:dyDescent="0.25">
      <c r="A997" t="s">
        <v>208</v>
      </c>
      <c r="B997" t="s">
        <v>2860</v>
      </c>
    </row>
    <row r="998" spans="1:2" x14ac:dyDescent="0.25">
      <c r="A998" t="s">
        <v>208</v>
      </c>
      <c r="B998" t="s">
        <v>2861</v>
      </c>
    </row>
    <row r="999" spans="1:2" x14ac:dyDescent="0.25">
      <c r="A999" t="s">
        <v>208</v>
      </c>
      <c r="B999" t="s">
        <v>1255</v>
      </c>
    </row>
    <row r="1000" spans="1:2" x14ac:dyDescent="0.25">
      <c r="A1000" t="s">
        <v>208</v>
      </c>
      <c r="B1000" t="s">
        <v>1245</v>
      </c>
    </row>
    <row r="1001" spans="1:2" x14ac:dyDescent="0.25">
      <c r="A1001" t="s">
        <v>208</v>
      </c>
      <c r="B1001" t="s">
        <v>2862</v>
      </c>
    </row>
    <row r="1002" spans="1:2" x14ac:dyDescent="0.25">
      <c r="A1002" t="s">
        <v>208</v>
      </c>
      <c r="B1002" t="s">
        <v>957</v>
      </c>
    </row>
    <row r="1003" spans="1:2" x14ac:dyDescent="0.25">
      <c r="A1003" t="s">
        <v>208</v>
      </c>
      <c r="B1003" t="s">
        <v>958</v>
      </c>
    </row>
    <row r="1004" spans="1:2" x14ac:dyDescent="0.25">
      <c r="A1004" t="s">
        <v>208</v>
      </c>
      <c r="B1004" t="s">
        <v>961</v>
      </c>
    </row>
    <row r="1005" spans="1:2" x14ac:dyDescent="0.25">
      <c r="A1005" t="s">
        <v>208</v>
      </c>
      <c r="B1005" t="s">
        <v>966</v>
      </c>
    </row>
    <row r="1006" spans="1:2" x14ac:dyDescent="0.25">
      <c r="A1006" t="s">
        <v>208</v>
      </c>
      <c r="B1006" t="s">
        <v>954</v>
      </c>
    </row>
    <row r="1007" spans="1:2" x14ac:dyDescent="0.25">
      <c r="A1007" t="s">
        <v>208</v>
      </c>
      <c r="B1007" t="s">
        <v>955</v>
      </c>
    </row>
    <row r="1008" spans="1:2" x14ac:dyDescent="0.25">
      <c r="A1008" t="s">
        <v>208</v>
      </c>
      <c r="B1008" t="s">
        <v>963</v>
      </c>
    </row>
    <row r="1009" spans="1:2" x14ac:dyDescent="0.25">
      <c r="A1009" t="s">
        <v>208</v>
      </c>
      <c r="B1009" t="s">
        <v>959</v>
      </c>
    </row>
    <row r="1010" spans="1:2" x14ac:dyDescent="0.25">
      <c r="A1010" t="s">
        <v>208</v>
      </c>
      <c r="B1010" t="s">
        <v>965</v>
      </c>
    </row>
    <row r="1011" spans="1:2" x14ac:dyDescent="0.25">
      <c r="A1011" t="s">
        <v>208</v>
      </c>
      <c r="B1011" t="s">
        <v>962</v>
      </c>
    </row>
    <row r="1012" spans="1:2" x14ac:dyDescent="0.25">
      <c r="A1012" t="s">
        <v>208</v>
      </c>
      <c r="B1012" t="s">
        <v>956</v>
      </c>
    </row>
    <row r="1013" spans="1:2" x14ac:dyDescent="0.25">
      <c r="A1013" t="s">
        <v>208</v>
      </c>
      <c r="B1013" t="s">
        <v>950</v>
      </c>
    </row>
    <row r="1014" spans="1:2" x14ac:dyDescent="0.25">
      <c r="A1014" t="s">
        <v>208</v>
      </c>
      <c r="B1014" t="s">
        <v>953</v>
      </c>
    </row>
    <row r="1015" spans="1:2" x14ac:dyDescent="0.25">
      <c r="A1015" t="s">
        <v>208</v>
      </c>
      <c r="B1015" t="s">
        <v>964</v>
      </c>
    </row>
    <row r="1016" spans="1:2" x14ac:dyDescent="0.25">
      <c r="A1016" t="s">
        <v>208</v>
      </c>
      <c r="B1016" t="s">
        <v>952</v>
      </c>
    </row>
    <row r="1017" spans="1:2" x14ac:dyDescent="0.25">
      <c r="A1017" t="s">
        <v>208</v>
      </c>
      <c r="B1017" t="s">
        <v>626</v>
      </c>
    </row>
    <row r="1018" spans="1:2" x14ac:dyDescent="0.25">
      <c r="A1018" t="s">
        <v>178</v>
      </c>
      <c r="B1018" t="s">
        <v>3177</v>
      </c>
    </row>
    <row r="1019" spans="1:2" x14ac:dyDescent="0.25">
      <c r="A1019" t="s">
        <v>178</v>
      </c>
      <c r="B1019" t="s">
        <v>3178</v>
      </c>
    </row>
    <row r="1020" spans="1:2" x14ac:dyDescent="0.25">
      <c r="A1020" t="s">
        <v>178</v>
      </c>
      <c r="B1020" t="s">
        <v>3179</v>
      </c>
    </row>
    <row r="1021" spans="1:2" x14ac:dyDescent="0.25">
      <c r="A1021" t="s">
        <v>178</v>
      </c>
      <c r="B1021" t="s">
        <v>3180</v>
      </c>
    </row>
    <row r="1022" spans="1:2" x14ac:dyDescent="0.25">
      <c r="A1022" t="s">
        <v>178</v>
      </c>
      <c r="B1022" t="s">
        <v>3181</v>
      </c>
    </row>
    <row r="1023" spans="1:2" x14ac:dyDescent="0.25">
      <c r="A1023" t="s">
        <v>178</v>
      </c>
      <c r="B1023" t="s">
        <v>1230</v>
      </c>
    </row>
    <row r="1024" spans="1:2" x14ac:dyDescent="0.25">
      <c r="A1024" t="s">
        <v>178</v>
      </c>
      <c r="B1024" t="s">
        <v>1228</v>
      </c>
    </row>
    <row r="1025" spans="1:2" x14ac:dyDescent="0.25">
      <c r="A1025" t="s">
        <v>178</v>
      </c>
      <c r="B1025" t="s">
        <v>1229</v>
      </c>
    </row>
    <row r="1026" spans="1:2" x14ac:dyDescent="0.25">
      <c r="A1026" t="s">
        <v>178</v>
      </c>
      <c r="B1026" t="s">
        <v>1227</v>
      </c>
    </row>
    <row r="1027" spans="1:2" x14ac:dyDescent="0.25">
      <c r="A1027" t="s">
        <v>178</v>
      </c>
      <c r="B1027" t="s">
        <v>1241</v>
      </c>
    </row>
    <row r="1028" spans="1:2" x14ac:dyDescent="0.25">
      <c r="A1028" t="s">
        <v>178</v>
      </c>
      <c r="B1028" t="s">
        <v>3182</v>
      </c>
    </row>
    <row r="1029" spans="1:2" x14ac:dyDescent="0.25">
      <c r="A1029" t="s">
        <v>178</v>
      </c>
      <c r="B1029" t="s">
        <v>1242</v>
      </c>
    </row>
    <row r="1030" spans="1:2" x14ac:dyDescent="0.25">
      <c r="A1030" t="s">
        <v>178</v>
      </c>
      <c r="B1030" t="s">
        <v>1233</v>
      </c>
    </row>
    <row r="1031" spans="1:2" x14ac:dyDescent="0.25">
      <c r="A1031" t="s">
        <v>178</v>
      </c>
      <c r="B1031" t="s">
        <v>2911</v>
      </c>
    </row>
    <row r="1032" spans="1:2" x14ac:dyDescent="0.25">
      <c r="A1032" t="s">
        <v>178</v>
      </c>
      <c r="B1032" t="s">
        <v>1235</v>
      </c>
    </row>
    <row r="1033" spans="1:2" x14ac:dyDescent="0.25">
      <c r="A1033" t="s">
        <v>178</v>
      </c>
      <c r="B1033" t="s">
        <v>3183</v>
      </c>
    </row>
    <row r="1034" spans="1:2" x14ac:dyDescent="0.25">
      <c r="A1034" t="s">
        <v>178</v>
      </c>
      <c r="B1034" t="s">
        <v>1238</v>
      </c>
    </row>
    <row r="1035" spans="1:2" x14ac:dyDescent="0.25">
      <c r="A1035" t="s">
        <v>178</v>
      </c>
      <c r="B1035" t="s">
        <v>1234</v>
      </c>
    </row>
    <row r="1036" spans="1:2" x14ac:dyDescent="0.25">
      <c r="A1036" t="s">
        <v>178</v>
      </c>
      <c r="B1036" t="s">
        <v>1237</v>
      </c>
    </row>
    <row r="1037" spans="1:2" x14ac:dyDescent="0.25">
      <c r="A1037" t="s">
        <v>178</v>
      </c>
      <c r="B1037" t="s">
        <v>1232</v>
      </c>
    </row>
    <row r="1038" spans="1:2" x14ac:dyDescent="0.25">
      <c r="A1038" t="s">
        <v>178</v>
      </c>
      <c r="B1038" t="s">
        <v>1231</v>
      </c>
    </row>
    <row r="1039" spans="1:2" x14ac:dyDescent="0.25">
      <c r="A1039" t="s">
        <v>178</v>
      </c>
      <c r="B1039" t="s">
        <v>4590</v>
      </c>
    </row>
    <row r="1040" spans="1:2" x14ac:dyDescent="0.25">
      <c r="A1040" t="s">
        <v>178</v>
      </c>
      <c r="B1040" t="s">
        <v>4675</v>
      </c>
    </row>
    <row r="1041" spans="1:2" x14ac:dyDescent="0.25">
      <c r="A1041" t="s">
        <v>226</v>
      </c>
      <c r="B1041" t="s">
        <v>1091</v>
      </c>
    </row>
    <row r="1042" spans="1:2" x14ac:dyDescent="0.25">
      <c r="A1042" t="s">
        <v>226</v>
      </c>
      <c r="B1042" t="s">
        <v>2203</v>
      </c>
    </row>
    <row r="1043" spans="1:2" x14ac:dyDescent="0.25">
      <c r="A1043" t="s">
        <v>226</v>
      </c>
      <c r="B1043" t="s">
        <v>2204</v>
      </c>
    </row>
    <row r="1044" spans="1:2" x14ac:dyDescent="0.25">
      <c r="A1044" t="s">
        <v>226</v>
      </c>
      <c r="B1044" t="s">
        <v>914</v>
      </c>
    </row>
    <row r="1045" spans="1:2" x14ac:dyDescent="0.25">
      <c r="A1045" t="s">
        <v>226</v>
      </c>
      <c r="B1045" t="s">
        <v>1253</v>
      </c>
    </row>
    <row r="1046" spans="1:2" x14ac:dyDescent="0.25">
      <c r="A1046" t="s">
        <v>226</v>
      </c>
      <c r="B1046" t="s">
        <v>2205</v>
      </c>
    </row>
    <row r="1047" spans="1:2" x14ac:dyDescent="0.25">
      <c r="A1047" t="s">
        <v>226</v>
      </c>
      <c r="B1047" t="s">
        <v>2206</v>
      </c>
    </row>
    <row r="1048" spans="1:2" x14ac:dyDescent="0.25">
      <c r="A1048" t="s">
        <v>226</v>
      </c>
      <c r="B1048" t="s">
        <v>2207</v>
      </c>
    </row>
    <row r="1049" spans="1:2" x14ac:dyDescent="0.25">
      <c r="A1049" t="s">
        <v>226</v>
      </c>
      <c r="B1049" t="s">
        <v>2208</v>
      </c>
    </row>
    <row r="1050" spans="1:2" x14ac:dyDescent="0.25">
      <c r="A1050" t="s">
        <v>226</v>
      </c>
      <c r="B1050" t="s">
        <v>2209</v>
      </c>
    </row>
    <row r="1051" spans="1:2" x14ac:dyDescent="0.25">
      <c r="A1051" t="s">
        <v>226</v>
      </c>
      <c r="B1051" t="s">
        <v>2210</v>
      </c>
    </row>
    <row r="1052" spans="1:2" x14ac:dyDescent="0.25">
      <c r="A1052" t="s">
        <v>226</v>
      </c>
      <c r="B1052" t="s">
        <v>2211</v>
      </c>
    </row>
    <row r="1053" spans="1:2" x14ac:dyDescent="0.25">
      <c r="A1053" t="s">
        <v>226</v>
      </c>
      <c r="B1053" t="s">
        <v>2212</v>
      </c>
    </row>
    <row r="1054" spans="1:2" x14ac:dyDescent="0.25">
      <c r="A1054" t="s">
        <v>226</v>
      </c>
      <c r="B1054" t="s">
        <v>2213</v>
      </c>
    </row>
    <row r="1055" spans="1:2" x14ac:dyDescent="0.25">
      <c r="A1055" t="s">
        <v>226</v>
      </c>
      <c r="B1055" t="s">
        <v>2214</v>
      </c>
    </row>
    <row r="1056" spans="1:2" x14ac:dyDescent="0.25">
      <c r="A1056" t="s">
        <v>226</v>
      </c>
      <c r="B1056" t="s">
        <v>2215</v>
      </c>
    </row>
    <row r="1057" spans="1:2" x14ac:dyDescent="0.25">
      <c r="A1057" t="s">
        <v>226</v>
      </c>
      <c r="B1057" t="s">
        <v>2216</v>
      </c>
    </row>
    <row r="1058" spans="1:2" x14ac:dyDescent="0.25">
      <c r="A1058" t="s">
        <v>226</v>
      </c>
      <c r="B1058" t="s">
        <v>4645</v>
      </c>
    </row>
    <row r="1059" spans="1:2" x14ac:dyDescent="0.25">
      <c r="A1059" t="s">
        <v>226</v>
      </c>
      <c r="B1059" t="s">
        <v>4646</v>
      </c>
    </row>
    <row r="1060" spans="1:2" x14ac:dyDescent="0.25">
      <c r="A1060" t="s">
        <v>226</v>
      </c>
      <c r="B1060" t="s">
        <v>4647</v>
      </c>
    </row>
    <row r="1061" spans="1:2" x14ac:dyDescent="0.25">
      <c r="A1061" t="s">
        <v>243</v>
      </c>
      <c r="B1061" t="s">
        <v>1884</v>
      </c>
    </row>
    <row r="1062" spans="1:2" x14ac:dyDescent="0.25">
      <c r="A1062" t="s">
        <v>243</v>
      </c>
      <c r="B1062" t="s">
        <v>823</v>
      </c>
    </row>
    <row r="1063" spans="1:2" x14ac:dyDescent="0.25">
      <c r="A1063" t="s">
        <v>243</v>
      </c>
      <c r="B1063" t="s">
        <v>822</v>
      </c>
    </row>
    <row r="1064" spans="1:2" x14ac:dyDescent="0.25">
      <c r="A1064" t="s">
        <v>243</v>
      </c>
      <c r="B1064" t="s">
        <v>818</v>
      </c>
    </row>
    <row r="1065" spans="1:2" x14ac:dyDescent="0.25">
      <c r="A1065" t="s">
        <v>243</v>
      </c>
      <c r="B1065" t="s">
        <v>821</v>
      </c>
    </row>
    <row r="1066" spans="1:2" x14ac:dyDescent="0.25">
      <c r="A1066" t="s">
        <v>243</v>
      </c>
      <c r="B1066" t="s">
        <v>811</v>
      </c>
    </row>
    <row r="1067" spans="1:2" x14ac:dyDescent="0.25">
      <c r="A1067" t="s">
        <v>243</v>
      </c>
      <c r="B1067" t="s">
        <v>816</v>
      </c>
    </row>
    <row r="1068" spans="1:2" x14ac:dyDescent="0.25">
      <c r="A1068" t="s">
        <v>243</v>
      </c>
      <c r="B1068" t="s">
        <v>1883</v>
      </c>
    </row>
    <row r="1069" spans="1:2" x14ac:dyDescent="0.25">
      <c r="A1069" t="s">
        <v>243</v>
      </c>
      <c r="B1069" t="s">
        <v>813</v>
      </c>
    </row>
    <row r="1070" spans="1:2" x14ac:dyDescent="0.25">
      <c r="A1070" t="s">
        <v>243</v>
      </c>
      <c r="B1070" t="s">
        <v>815</v>
      </c>
    </row>
    <row r="1071" spans="1:2" x14ac:dyDescent="0.25">
      <c r="A1071" t="s">
        <v>243</v>
      </c>
      <c r="B1071" t="s">
        <v>819</v>
      </c>
    </row>
    <row r="1072" spans="1:2" x14ac:dyDescent="0.25">
      <c r="A1072" t="s">
        <v>243</v>
      </c>
      <c r="B1072" t="s">
        <v>820</v>
      </c>
    </row>
    <row r="1073" spans="1:2" x14ac:dyDescent="0.25">
      <c r="A1073" t="s">
        <v>243</v>
      </c>
      <c r="B1073" t="s">
        <v>812</v>
      </c>
    </row>
    <row r="1074" spans="1:2" x14ac:dyDescent="0.25">
      <c r="A1074" t="s">
        <v>243</v>
      </c>
      <c r="B1074" t="s">
        <v>814</v>
      </c>
    </row>
    <row r="1075" spans="1:2" x14ac:dyDescent="0.25">
      <c r="A1075" t="s">
        <v>243</v>
      </c>
      <c r="B1075" t="s">
        <v>825</v>
      </c>
    </row>
    <row r="1076" spans="1:2" x14ac:dyDescent="0.25">
      <c r="A1076" t="s">
        <v>243</v>
      </c>
      <c r="B1076" t="s">
        <v>817</v>
      </c>
    </row>
    <row r="1077" spans="1:2" x14ac:dyDescent="0.25">
      <c r="A1077" t="s">
        <v>243</v>
      </c>
      <c r="B1077" t="s">
        <v>824</v>
      </c>
    </row>
    <row r="1078" spans="1:2" x14ac:dyDescent="0.25">
      <c r="A1078" t="s">
        <v>243</v>
      </c>
      <c r="B1078" t="s">
        <v>1884</v>
      </c>
    </row>
    <row r="1079" spans="1:2" x14ac:dyDescent="0.25">
      <c r="A1079" t="s">
        <v>1532</v>
      </c>
      <c r="B1079" t="s">
        <v>4058</v>
      </c>
    </row>
    <row r="1080" spans="1:2" x14ac:dyDescent="0.25">
      <c r="A1080" t="s">
        <v>1532</v>
      </c>
      <c r="B1080" t="s">
        <v>2558</v>
      </c>
    </row>
    <row r="1081" spans="1:2" x14ac:dyDescent="0.25">
      <c r="A1081" t="s">
        <v>1532</v>
      </c>
      <c r="B1081" t="s">
        <v>2559</v>
      </c>
    </row>
    <row r="1082" spans="1:2" x14ac:dyDescent="0.25">
      <c r="A1082" t="s">
        <v>1532</v>
      </c>
      <c r="B1082" t="s">
        <v>2560</v>
      </c>
    </row>
    <row r="1083" spans="1:2" x14ac:dyDescent="0.25">
      <c r="A1083" t="s">
        <v>1532</v>
      </c>
      <c r="B1083" t="s">
        <v>2561</v>
      </c>
    </row>
    <row r="1084" spans="1:2" x14ac:dyDescent="0.25">
      <c r="A1084" t="s">
        <v>1532</v>
      </c>
      <c r="B1084" t="s">
        <v>2562</v>
      </c>
    </row>
    <row r="1085" spans="1:2" x14ac:dyDescent="0.25">
      <c r="A1085" t="s">
        <v>1532</v>
      </c>
      <c r="B1085" t="s">
        <v>2563</v>
      </c>
    </row>
    <row r="1086" spans="1:2" x14ac:dyDescent="0.25">
      <c r="A1086" t="s">
        <v>1532</v>
      </c>
      <c r="B1086" t="s">
        <v>2564</v>
      </c>
    </row>
    <row r="1087" spans="1:2" x14ac:dyDescent="0.25">
      <c r="A1087" t="s">
        <v>1532</v>
      </c>
      <c r="B1087" t="s">
        <v>2565</v>
      </c>
    </row>
    <row r="1088" spans="1:2" x14ac:dyDescent="0.25">
      <c r="A1088" t="s">
        <v>1532</v>
      </c>
      <c r="B1088" t="s">
        <v>2566</v>
      </c>
    </row>
    <row r="1089" spans="1:2" x14ac:dyDescent="0.25">
      <c r="A1089" t="s">
        <v>1532</v>
      </c>
      <c r="B1089" t="s">
        <v>2567</v>
      </c>
    </row>
    <row r="1090" spans="1:2" x14ac:dyDescent="0.25">
      <c r="A1090" t="s">
        <v>1532</v>
      </c>
      <c r="B1090" t="s">
        <v>2568</v>
      </c>
    </row>
    <row r="1091" spans="1:2" x14ac:dyDescent="0.25">
      <c r="A1091" t="s">
        <v>1532</v>
      </c>
      <c r="B1091" t="s">
        <v>2569</v>
      </c>
    </row>
    <row r="1092" spans="1:2" x14ac:dyDescent="0.25">
      <c r="A1092" t="s">
        <v>1532</v>
      </c>
      <c r="B1092" t="s">
        <v>2570</v>
      </c>
    </row>
    <row r="1093" spans="1:2" x14ac:dyDescent="0.25">
      <c r="A1093" t="s">
        <v>1532</v>
      </c>
      <c r="B1093" t="s">
        <v>2571</v>
      </c>
    </row>
    <row r="1094" spans="1:2" x14ac:dyDescent="0.25">
      <c r="A1094" t="s">
        <v>1532</v>
      </c>
      <c r="B1094" t="s">
        <v>2572</v>
      </c>
    </row>
    <row r="1095" spans="1:2" x14ac:dyDescent="0.25">
      <c r="A1095" t="s">
        <v>1532</v>
      </c>
      <c r="B1095" t="s">
        <v>2573</v>
      </c>
    </row>
    <row r="1096" spans="1:2" x14ac:dyDescent="0.25">
      <c r="A1096" t="s">
        <v>1532</v>
      </c>
      <c r="B1096" t="s">
        <v>2574</v>
      </c>
    </row>
    <row r="1097" spans="1:2" x14ac:dyDescent="0.25">
      <c r="A1097" t="s">
        <v>1532</v>
      </c>
      <c r="B1097" t="s">
        <v>2575</v>
      </c>
    </row>
    <row r="1098" spans="1:2" x14ac:dyDescent="0.25">
      <c r="A1098" t="s">
        <v>1532</v>
      </c>
      <c r="B1098" t="s">
        <v>2576</v>
      </c>
    </row>
    <row r="1099" spans="1:2" x14ac:dyDescent="0.25">
      <c r="A1099" t="s">
        <v>1532</v>
      </c>
      <c r="B1099" t="s">
        <v>2577</v>
      </c>
    </row>
    <row r="1100" spans="1:2" x14ac:dyDescent="0.25">
      <c r="A1100" t="s">
        <v>1532</v>
      </c>
      <c r="B1100" t="s">
        <v>4591</v>
      </c>
    </row>
    <row r="1101" spans="1:2" x14ac:dyDescent="0.25">
      <c r="A1101" t="s">
        <v>234</v>
      </c>
      <c r="B1101" t="s">
        <v>748</v>
      </c>
    </row>
    <row r="1102" spans="1:2" x14ac:dyDescent="0.25">
      <c r="A1102" t="s">
        <v>234</v>
      </c>
      <c r="B1102" t="s">
        <v>4655</v>
      </c>
    </row>
    <row r="1103" spans="1:2" x14ac:dyDescent="0.25">
      <c r="A1103" t="s">
        <v>234</v>
      </c>
      <c r="B1103" t="s">
        <v>3385</v>
      </c>
    </row>
    <row r="1104" spans="1:2" x14ac:dyDescent="0.25">
      <c r="A1104" t="s">
        <v>234</v>
      </c>
      <c r="B1104" t="s">
        <v>3386</v>
      </c>
    </row>
    <row r="1105" spans="1:2" x14ac:dyDescent="0.25">
      <c r="A1105" t="s">
        <v>234</v>
      </c>
      <c r="B1105" t="s">
        <v>742</v>
      </c>
    </row>
    <row r="1106" spans="1:2" x14ac:dyDescent="0.25">
      <c r="A1106" t="s">
        <v>234</v>
      </c>
      <c r="B1106" t="s">
        <v>3387</v>
      </c>
    </row>
    <row r="1107" spans="1:2" x14ac:dyDescent="0.25">
      <c r="A1107" t="s">
        <v>234</v>
      </c>
      <c r="B1107" t="s">
        <v>3388</v>
      </c>
    </row>
    <row r="1108" spans="1:2" x14ac:dyDescent="0.25">
      <c r="A1108" t="s">
        <v>234</v>
      </c>
      <c r="B1108" t="s">
        <v>3389</v>
      </c>
    </row>
    <row r="1109" spans="1:2" x14ac:dyDescent="0.25">
      <c r="A1109" t="s">
        <v>234</v>
      </c>
      <c r="B1109" t="s">
        <v>3390</v>
      </c>
    </row>
    <row r="1110" spans="1:2" x14ac:dyDescent="0.25">
      <c r="A1110" t="s">
        <v>234</v>
      </c>
      <c r="B1110" t="s">
        <v>3391</v>
      </c>
    </row>
    <row r="1111" spans="1:2" x14ac:dyDescent="0.25">
      <c r="A1111" t="s">
        <v>234</v>
      </c>
      <c r="B1111" t="s">
        <v>3392</v>
      </c>
    </row>
    <row r="1112" spans="1:2" x14ac:dyDescent="0.25">
      <c r="A1112" t="s">
        <v>234</v>
      </c>
      <c r="B1112" t="s">
        <v>3393</v>
      </c>
    </row>
    <row r="1113" spans="1:2" x14ac:dyDescent="0.25">
      <c r="A1113" t="s">
        <v>234</v>
      </c>
      <c r="B1113" t="s">
        <v>3394</v>
      </c>
    </row>
    <row r="1114" spans="1:2" x14ac:dyDescent="0.25">
      <c r="A1114" t="s">
        <v>234</v>
      </c>
      <c r="B1114" t="s">
        <v>4592</v>
      </c>
    </row>
    <row r="1115" spans="1:2" x14ac:dyDescent="0.25">
      <c r="A1115" t="s">
        <v>234</v>
      </c>
      <c r="B1115" t="s">
        <v>3395</v>
      </c>
    </row>
    <row r="1116" spans="1:2" x14ac:dyDescent="0.25">
      <c r="A1116" t="s">
        <v>234</v>
      </c>
      <c r="B1116" t="s">
        <v>3396</v>
      </c>
    </row>
    <row r="1117" spans="1:2" x14ac:dyDescent="0.25">
      <c r="A1117" t="s">
        <v>234</v>
      </c>
      <c r="B1117" t="s">
        <v>4593</v>
      </c>
    </row>
    <row r="1118" spans="1:2" x14ac:dyDescent="0.25">
      <c r="A1118" t="s">
        <v>234</v>
      </c>
      <c r="B1118" t="s">
        <v>3397</v>
      </c>
    </row>
    <row r="1119" spans="1:2" x14ac:dyDescent="0.25">
      <c r="A1119" t="s">
        <v>234</v>
      </c>
      <c r="B1119" t="s">
        <v>3398</v>
      </c>
    </row>
    <row r="1120" spans="1:2" x14ac:dyDescent="0.25">
      <c r="A1120" t="s">
        <v>234</v>
      </c>
      <c r="B1120" t="s">
        <v>3399</v>
      </c>
    </row>
    <row r="1121" spans="1:2" x14ac:dyDescent="0.25">
      <c r="A1121" t="s">
        <v>234</v>
      </c>
      <c r="B1121" t="s">
        <v>3400</v>
      </c>
    </row>
    <row r="1122" spans="1:2" x14ac:dyDescent="0.25">
      <c r="A1122" t="s">
        <v>234</v>
      </c>
      <c r="B1122" t="s">
        <v>3401</v>
      </c>
    </row>
    <row r="1123" spans="1:2" x14ac:dyDescent="0.25">
      <c r="A1123" t="s">
        <v>234</v>
      </c>
      <c r="B1123" t="s">
        <v>3402</v>
      </c>
    </row>
    <row r="1124" spans="1:2" x14ac:dyDescent="0.25">
      <c r="A1124" t="s">
        <v>234</v>
      </c>
      <c r="B1124" t="s">
        <v>3403</v>
      </c>
    </row>
    <row r="1125" spans="1:2" x14ac:dyDescent="0.25">
      <c r="A1125" t="s">
        <v>234</v>
      </c>
      <c r="B1125" t="s">
        <v>3404</v>
      </c>
    </row>
    <row r="1126" spans="1:2" x14ac:dyDescent="0.25">
      <c r="A1126" t="s">
        <v>234</v>
      </c>
      <c r="B1126" t="s">
        <v>3405</v>
      </c>
    </row>
    <row r="1127" spans="1:2" x14ac:dyDescent="0.25">
      <c r="A1127" t="s">
        <v>234</v>
      </c>
      <c r="B1127" t="s">
        <v>3406</v>
      </c>
    </row>
    <row r="1128" spans="1:2" x14ac:dyDescent="0.25">
      <c r="A1128" t="s">
        <v>211</v>
      </c>
      <c r="B1128" t="s">
        <v>483</v>
      </c>
    </row>
    <row r="1129" spans="1:2" x14ac:dyDescent="0.25">
      <c r="A1129" t="s">
        <v>211</v>
      </c>
      <c r="B1129" t="s">
        <v>2950</v>
      </c>
    </row>
    <row r="1130" spans="1:2" x14ac:dyDescent="0.25">
      <c r="A1130" t="s">
        <v>211</v>
      </c>
      <c r="B1130" t="s">
        <v>2951</v>
      </c>
    </row>
    <row r="1131" spans="1:2" x14ac:dyDescent="0.25">
      <c r="A1131" t="s">
        <v>211</v>
      </c>
      <c r="B1131" t="s">
        <v>2952</v>
      </c>
    </row>
    <row r="1132" spans="1:2" x14ac:dyDescent="0.25">
      <c r="A1132" t="s">
        <v>211</v>
      </c>
      <c r="B1132" t="s">
        <v>2953</v>
      </c>
    </row>
    <row r="1133" spans="1:2" x14ac:dyDescent="0.25">
      <c r="A1133" t="s">
        <v>211</v>
      </c>
      <c r="B1133" t="s">
        <v>2954</v>
      </c>
    </row>
    <row r="1134" spans="1:2" x14ac:dyDescent="0.25">
      <c r="A1134" t="s">
        <v>211</v>
      </c>
      <c r="B1134" t="s">
        <v>2955</v>
      </c>
    </row>
    <row r="1135" spans="1:2" x14ac:dyDescent="0.25">
      <c r="A1135" t="s">
        <v>211</v>
      </c>
      <c r="B1135" t="s">
        <v>2956</v>
      </c>
    </row>
    <row r="1136" spans="1:2" x14ac:dyDescent="0.25">
      <c r="A1136" t="s">
        <v>211</v>
      </c>
      <c r="B1136" t="s">
        <v>2957</v>
      </c>
    </row>
    <row r="1137" spans="1:2" x14ac:dyDescent="0.25">
      <c r="A1137" t="s">
        <v>211</v>
      </c>
      <c r="B1137" t="s">
        <v>2958</v>
      </c>
    </row>
    <row r="1138" spans="1:2" x14ac:dyDescent="0.25">
      <c r="A1138" t="s">
        <v>211</v>
      </c>
      <c r="B1138" t="s">
        <v>2959</v>
      </c>
    </row>
    <row r="1139" spans="1:2" x14ac:dyDescent="0.25">
      <c r="A1139" t="s">
        <v>211</v>
      </c>
      <c r="B1139" t="s">
        <v>2960</v>
      </c>
    </row>
    <row r="1140" spans="1:2" x14ac:dyDescent="0.25">
      <c r="A1140" t="s">
        <v>211</v>
      </c>
      <c r="B1140" t="s">
        <v>2961</v>
      </c>
    </row>
    <row r="1141" spans="1:2" x14ac:dyDescent="0.25">
      <c r="A1141" t="s">
        <v>211</v>
      </c>
      <c r="B1141" t="s">
        <v>2962</v>
      </c>
    </row>
    <row r="1142" spans="1:2" x14ac:dyDescent="0.25">
      <c r="A1142" t="s">
        <v>211</v>
      </c>
      <c r="B1142" t="s">
        <v>2963</v>
      </c>
    </row>
    <row r="1143" spans="1:2" x14ac:dyDescent="0.25">
      <c r="A1143" t="s">
        <v>211</v>
      </c>
      <c r="B1143" t="s">
        <v>2964</v>
      </c>
    </row>
    <row r="1144" spans="1:2" x14ac:dyDescent="0.25">
      <c r="A1144" t="s">
        <v>211</v>
      </c>
      <c r="B1144" t="s">
        <v>2965</v>
      </c>
    </row>
    <row r="1145" spans="1:2" x14ac:dyDescent="0.25">
      <c r="A1145" t="s">
        <v>211</v>
      </c>
      <c r="B1145" t="s">
        <v>4594</v>
      </c>
    </row>
    <row r="1146" spans="1:2" x14ac:dyDescent="0.25">
      <c r="A1146" t="s">
        <v>206</v>
      </c>
      <c r="B1146" t="s">
        <v>4167</v>
      </c>
    </row>
    <row r="1147" spans="1:2" x14ac:dyDescent="0.25">
      <c r="A1147" t="s">
        <v>206</v>
      </c>
      <c r="B1147" t="s">
        <v>4168</v>
      </c>
    </row>
    <row r="1148" spans="1:2" x14ac:dyDescent="0.25">
      <c r="A1148" t="s">
        <v>206</v>
      </c>
      <c r="B1148" t="s">
        <v>4169</v>
      </c>
    </row>
    <row r="1149" spans="1:2" x14ac:dyDescent="0.25">
      <c r="A1149" t="s">
        <v>206</v>
      </c>
      <c r="B1149" t="s">
        <v>4170</v>
      </c>
    </row>
    <row r="1150" spans="1:2" x14ac:dyDescent="0.25">
      <c r="A1150" t="s">
        <v>206</v>
      </c>
      <c r="B1150" t="s">
        <v>4171</v>
      </c>
    </row>
    <row r="1151" spans="1:2" x14ac:dyDescent="0.25">
      <c r="A1151" t="s">
        <v>206</v>
      </c>
      <c r="B1151" t="s">
        <v>4172</v>
      </c>
    </row>
    <row r="1152" spans="1:2" x14ac:dyDescent="0.25">
      <c r="A1152" t="s">
        <v>206</v>
      </c>
      <c r="B1152" t="s">
        <v>4173</v>
      </c>
    </row>
    <row r="1153" spans="1:2" x14ac:dyDescent="0.25">
      <c r="A1153" t="s">
        <v>206</v>
      </c>
      <c r="B1153" t="s">
        <v>4174</v>
      </c>
    </row>
    <row r="1154" spans="1:2" x14ac:dyDescent="0.25">
      <c r="A1154" t="s">
        <v>206</v>
      </c>
      <c r="B1154" t="s">
        <v>4175</v>
      </c>
    </row>
    <row r="1155" spans="1:2" x14ac:dyDescent="0.25">
      <c r="A1155" t="s">
        <v>206</v>
      </c>
      <c r="B1155" t="s">
        <v>4176</v>
      </c>
    </row>
    <row r="1156" spans="1:2" x14ac:dyDescent="0.25">
      <c r="A1156" t="s">
        <v>206</v>
      </c>
      <c r="B1156" t="s">
        <v>4177</v>
      </c>
    </row>
    <row r="1157" spans="1:2" x14ac:dyDescent="0.25">
      <c r="A1157" t="s">
        <v>206</v>
      </c>
      <c r="B1157" t="s">
        <v>4178</v>
      </c>
    </row>
    <row r="1158" spans="1:2" x14ac:dyDescent="0.25">
      <c r="A1158" t="s">
        <v>206</v>
      </c>
      <c r="B1158" t="s">
        <v>4179</v>
      </c>
    </row>
    <row r="1159" spans="1:2" x14ac:dyDescent="0.25">
      <c r="A1159" t="s">
        <v>206</v>
      </c>
      <c r="B1159" t="s">
        <v>4180</v>
      </c>
    </row>
    <row r="1160" spans="1:2" x14ac:dyDescent="0.25">
      <c r="A1160" t="s">
        <v>206</v>
      </c>
      <c r="B1160" t="s">
        <v>4181</v>
      </c>
    </row>
    <row r="1161" spans="1:2" x14ac:dyDescent="0.25">
      <c r="A1161" t="s">
        <v>206</v>
      </c>
      <c r="B1161" t="s">
        <v>4182</v>
      </c>
    </row>
    <row r="1162" spans="1:2" x14ac:dyDescent="0.25">
      <c r="A1162" t="s">
        <v>206</v>
      </c>
      <c r="B1162" t="s">
        <v>4183</v>
      </c>
    </row>
    <row r="1163" spans="1:2" x14ac:dyDescent="0.25">
      <c r="A1163" t="s">
        <v>206</v>
      </c>
      <c r="B1163" t="s">
        <v>4184</v>
      </c>
    </row>
    <row r="1164" spans="1:2" x14ac:dyDescent="0.25">
      <c r="A1164" t="s">
        <v>206</v>
      </c>
      <c r="B1164" t="s">
        <v>4185</v>
      </c>
    </row>
    <row r="1165" spans="1:2" x14ac:dyDescent="0.25">
      <c r="A1165" t="s">
        <v>206</v>
      </c>
      <c r="B1165" t="s">
        <v>4186</v>
      </c>
    </row>
    <row r="1166" spans="1:2" x14ac:dyDescent="0.25">
      <c r="A1166" t="s">
        <v>206</v>
      </c>
      <c r="B1166" t="s">
        <v>4187</v>
      </c>
    </row>
    <row r="1167" spans="1:2" x14ac:dyDescent="0.25">
      <c r="A1167" t="s">
        <v>228</v>
      </c>
      <c r="B1167" t="s">
        <v>991</v>
      </c>
    </row>
    <row r="1168" spans="1:2" x14ac:dyDescent="0.25">
      <c r="A1168" t="s">
        <v>228</v>
      </c>
      <c r="B1168" t="s">
        <v>1201</v>
      </c>
    </row>
    <row r="1169" spans="1:2" x14ac:dyDescent="0.25">
      <c r="A1169" t="s">
        <v>228</v>
      </c>
      <c r="B1169" t="s">
        <v>1897</v>
      </c>
    </row>
    <row r="1170" spans="1:2" x14ac:dyDescent="0.25">
      <c r="A1170" t="s">
        <v>228</v>
      </c>
      <c r="B1170" t="s">
        <v>1898</v>
      </c>
    </row>
    <row r="1171" spans="1:2" x14ac:dyDescent="0.25">
      <c r="A1171" t="s">
        <v>228</v>
      </c>
      <c r="B1171" t="s">
        <v>1899</v>
      </c>
    </row>
    <row r="1172" spans="1:2" x14ac:dyDescent="0.25">
      <c r="A1172" t="s">
        <v>228</v>
      </c>
      <c r="B1172" t="s">
        <v>1081</v>
      </c>
    </row>
    <row r="1173" spans="1:2" x14ac:dyDescent="0.25">
      <c r="A1173" t="s">
        <v>228</v>
      </c>
      <c r="B1173" t="s">
        <v>4672</v>
      </c>
    </row>
    <row r="1174" spans="1:2" x14ac:dyDescent="0.25">
      <c r="A1174" t="s">
        <v>228</v>
      </c>
      <c r="B1174" t="s">
        <v>1083</v>
      </c>
    </row>
    <row r="1175" spans="1:2" x14ac:dyDescent="0.25">
      <c r="A1175" t="s">
        <v>228</v>
      </c>
      <c r="B1175" t="s">
        <v>1084</v>
      </c>
    </row>
    <row r="1176" spans="1:2" x14ac:dyDescent="0.25">
      <c r="A1176" t="s">
        <v>228</v>
      </c>
      <c r="B1176" t="s">
        <v>1080</v>
      </c>
    </row>
    <row r="1177" spans="1:2" x14ac:dyDescent="0.25">
      <c r="A1177" t="s">
        <v>228</v>
      </c>
      <c r="B1177" t="s">
        <v>1086</v>
      </c>
    </row>
    <row r="1178" spans="1:2" x14ac:dyDescent="0.25">
      <c r="A1178" t="s">
        <v>228</v>
      </c>
      <c r="B1178" t="s">
        <v>1900</v>
      </c>
    </row>
    <row r="1179" spans="1:2" x14ac:dyDescent="0.25">
      <c r="A1179" t="s">
        <v>228</v>
      </c>
      <c r="B1179" t="s">
        <v>1901</v>
      </c>
    </row>
    <row r="1180" spans="1:2" x14ac:dyDescent="0.25">
      <c r="A1180" t="s">
        <v>228</v>
      </c>
      <c r="B1180" t="s">
        <v>1902</v>
      </c>
    </row>
    <row r="1181" spans="1:2" x14ac:dyDescent="0.25">
      <c r="A1181" t="s">
        <v>228</v>
      </c>
      <c r="B1181" t="s">
        <v>1903</v>
      </c>
    </row>
    <row r="1182" spans="1:2" x14ac:dyDescent="0.25">
      <c r="A1182" t="s">
        <v>228</v>
      </c>
      <c r="B1182" t="s">
        <v>1904</v>
      </c>
    </row>
    <row r="1183" spans="1:2" x14ac:dyDescent="0.25">
      <c r="A1183" t="s">
        <v>228</v>
      </c>
      <c r="B1183" t="s">
        <v>1087</v>
      </c>
    </row>
    <row r="1184" spans="1:2" x14ac:dyDescent="0.25">
      <c r="A1184" t="s">
        <v>228</v>
      </c>
      <c r="B1184" t="s">
        <v>1905</v>
      </c>
    </row>
    <row r="1185" spans="1:2" x14ac:dyDescent="0.25">
      <c r="A1185" t="s">
        <v>228</v>
      </c>
      <c r="B1185" t="s">
        <v>1906</v>
      </c>
    </row>
    <row r="1186" spans="1:2" x14ac:dyDescent="0.25">
      <c r="A1186" t="s">
        <v>228</v>
      </c>
      <c r="B1186" t="s">
        <v>1907</v>
      </c>
    </row>
    <row r="1187" spans="1:2" x14ac:dyDescent="0.25">
      <c r="A1187" t="s">
        <v>228</v>
      </c>
      <c r="B1187" t="s">
        <v>1089</v>
      </c>
    </row>
    <row r="1188" spans="1:2" x14ac:dyDescent="0.25">
      <c r="A1188" t="s">
        <v>228</v>
      </c>
      <c r="B1188" t="s">
        <v>1088</v>
      </c>
    </row>
    <row r="1189" spans="1:2" x14ac:dyDescent="0.25">
      <c r="A1189" t="s">
        <v>228</v>
      </c>
      <c r="B1189" t="s">
        <v>1082</v>
      </c>
    </row>
    <row r="1190" spans="1:2" x14ac:dyDescent="0.25">
      <c r="A1190" t="s">
        <v>216</v>
      </c>
      <c r="B1190" t="s">
        <v>4039</v>
      </c>
    </row>
    <row r="1191" spans="1:2" x14ac:dyDescent="0.25">
      <c r="A1191" t="s">
        <v>216</v>
      </c>
      <c r="B1191" t="s">
        <v>2019</v>
      </c>
    </row>
    <row r="1192" spans="1:2" x14ac:dyDescent="0.25">
      <c r="A1192" t="s">
        <v>216</v>
      </c>
      <c r="B1192" t="s">
        <v>2020</v>
      </c>
    </row>
    <row r="1193" spans="1:2" x14ac:dyDescent="0.25">
      <c r="A1193" t="s">
        <v>216</v>
      </c>
      <c r="B1193" t="s">
        <v>2021</v>
      </c>
    </row>
    <row r="1194" spans="1:2" x14ac:dyDescent="0.25">
      <c r="A1194" t="s">
        <v>216</v>
      </c>
      <c r="B1194" t="s">
        <v>2022</v>
      </c>
    </row>
    <row r="1195" spans="1:2" x14ac:dyDescent="0.25">
      <c r="A1195" t="s">
        <v>216</v>
      </c>
      <c r="B1195" t="s">
        <v>2023</v>
      </c>
    </row>
    <row r="1196" spans="1:2" x14ac:dyDescent="0.25">
      <c r="A1196" t="s">
        <v>216</v>
      </c>
      <c r="B1196" t="s">
        <v>2024</v>
      </c>
    </row>
    <row r="1197" spans="1:2" x14ac:dyDescent="0.25">
      <c r="A1197" t="s">
        <v>216</v>
      </c>
      <c r="B1197" t="s">
        <v>2025</v>
      </c>
    </row>
    <row r="1198" spans="1:2" x14ac:dyDescent="0.25">
      <c r="A1198" t="s">
        <v>216</v>
      </c>
      <c r="B1198" t="s">
        <v>2026</v>
      </c>
    </row>
    <row r="1199" spans="1:2" x14ac:dyDescent="0.25">
      <c r="A1199" t="s">
        <v>216</v>
      </c>
      <c r="B1199" t="s">
        <v>2027</v>
      </c>
    </row>
    <row r="1200" spans="1:2" x14ac:dyDescent="0.25">
      <c r="A1200" t="s">
        <v>216</v>
      </c>
      <c r="B1200" t="s">
        <v>2028</v>
      </c>
    </row>
    <row r="1201" spans="1:2" x14ac:dyDescent="0.25">
      <c r="A1201" t="s">
        <v>216</v>
      </c>
      <c r="B1201" t="s">
        <v>2029</v>
      </c>
    </row>
    <row r="1202" spans="1:2" x14ac:dyDescent="0.25">
      <c r="A1202" t="s">
        <v>216</v>
      </c>
      <c r="B1202" t="s">
        <v>2030</v>
      </c>
    </row>
    <row r="1203" spans="1:2" x14ac:dyDescent="0.25">
      <c r="A1203" t="s">
        <v>216</v>
      </c>
      <c r="B1203" t="s">
        <v>2031</v>
      </c>
    </row>
    <row r="1204" spans="1:2" x14ac:dyDescent="0.25">
      <c r="A1204" t="s">
        <v>216</v>
      </c>
      <c r="B1204" t="s">
        <v>2032</v>
      </c>
    </row>
    <row r="1205" spans="1:2" x14ac:dyDescent="0.25">
      <c r="A1205" t="s">
        <v>216</v>
      </c>
      <c r="B1205" t="s">
        <v>2033</v>
      </c>
    </row>
    <row r="1206" spans="1:2" x14ac:dyDescent="0.25">
      <c r="A1206" t="s">
        <v>216</v>
      </c>
      <c r="B1206" t="s">
        <v>2034</v>
      </c>
    </row>
    <row r="1207" spans="1:2" x14ac:dyDescent="0.25">
      <c r="A1207" t="s">
        <v>216</v>
      </c>
      <c r="B1207" t="s">
        <v>2035</v>
      </c>
    </row>
    <row r="1208" spans="1:2" x14ac:dyDescent="0.25">
      <c r="A1208" t="s">
        <v>216</v>
      </c>
      <c r="B1208" t="s">
        <v>2036</v>
      </c>
    </row>
    <row r="1209" spans="1:2" x14ac:dyDescent="0.25">
      <c r="A1209" t="s">
        <v>216</v>
      </c>
      <c r="B1209" t="s">
        <v>2037</v>
      </c>
    </row>
    <row r="1210" spans="1:2" x14ac:dyDescent="0.25">
      <c r="A1210" t="s">
        <v>216</v>
      </c>
      <c r="B1210" t="s">
        <v>2038</v>
      </c>
    </row>
    <row r="1211" spans="1:2" x14ac:dyDescent="0.25">
      <c r="A1211" t="s">
        <v>216</v>
      </c>
      <c r="B1211" t="s">
        <v>2039</v>
      </c>
    </row>
    <row r="1212" spans="1:2" x14ac:dyDescent="0.25">
      <c r="A1212" t="s">
        <v>216</v>
      </c>
      <c r="B1212" t="s">
        <v>2040</v>
      </c>
    </row>
    <row r="1213" spans="1:2" x14ac:dyDescent="0.25">
      <c r="A1213" t="s">
        <v>216</v>
      </c>
      <c r="B1213" t="s">
        <v>2041</v>
      </c>
    </row>
    <row r="1214" spans="1:2" x14ac:dyDescent="0.25">
      <c r="A1214" t="s">
        <v>216</v>
      </c>
      <c r="B1214" t="s">
        <v>2042</v>
      </c>
    </row>
    <row r="1215" spans="1:2" x14ac:dyDescent="0.25">
      <c r="A1215" t="s">
        <v>216</v>
      </c>
      <c r="B1215" t="s">
        <v>2043</v>
      </c>
    </row>
    <row r="1216" spans="1:2" x14ac:dyDescent="0.25">
      <c r="A1216" t="s">
        <v>216</v>
      </c>
      <c r="B1216" t="s">
        <v>2044</v>
      </c>
    </row>
    <row r="1217" spans="1:2" x14ac:dyDescent="0.25">
      <c r="A1217" t="s">
        <v>227</v>
      </c>
      <c r="B1217" t="s">
        <v>4188</v>
      </c>
    </row>
    <row r="1218" spans="1:2" x14ac:dyDescent="0.25">
      <c r="A1218" t="s">
        <v>227</v>
      </c>
      <c r="B1218" t="s">
        <v>4189</v>
      </c>
    </row>
    <row r="1219" spans="1:2" x14ac:dyDescent="0.25">
      <c r="A1219" t="s">
        <v>227</v>
      </c>
      <c r="B1219" t="s">
        <v>4190</v>
      </c>
    </row>
    <row r="1220" spans="1:2" x14ac:dyDescent="0.25">
      <c r="A1220" t="s">
        <v>227</v>
      </c>
      <c r="B1220" t="s">
        <v>4191</v>
      </c>
    </row>
    <row r="1221" spans="1:2" x14ac:dyDescent="0.25">
      <c r="A1221" t="s">
        <v>227</v>
      </c>
      <c r="B1221" t="s">
        <v>4192</v>
      </c>
    </row>
    <row r="1222" spans="1:2" x14ac:dyDescent="0.25">
      <c r="A1222" t="s">
        <v>227</v>
      </c>
      <c r="B1222" t="s">
        <v>4193</v>
      </c>
    </row>
    <row r="1223" spans="1:2" x14ac:dyDescent="0.25">
      <c r="A1223" t="s">
        <v>227</v>
      </c>
      <c r="B1223" t="s">
        <v>4194</v>
      </c>
    </row>
    <row r="1224" spans="1:2" x14ac:dyDescent="0.25">
      <c r="A1224" t="s">
        <v>227</v>
      </c>
      <c r="B1224" t="s">
        <v>4195</v>
      </c>
    </row>
    <row r="1225" spans="1:2" x14ac:dyDescent="0.25">
      <c r="A1225" t="s">
        <v>227</v>
      </c>
      <c r="B1225" t="s">
        <v>4196</v>
      </c>
    </row>
    <row r="1226" spans="1:2" x14ac:dyDescent="0.25">
      <c r="A1226" t="s">
        <v>227</v>
      </c>
      <c r="B1226" t="s">
        <v>4197</v>
      </c>
    </row>
    <row r="1227" spans="1:2" x14ac:dyDescent="0.25">
      <c r="A1227" t="s">
        <v>227</v>
      </c>
      <c r="B1227" t="s">
        <v>4198</v>
      </c>
    </row>
    <row r="1228" spans="1:2" x14ac:dyDescent="0.25">
      <c r="A1228" t="s">
        <v>227</v>
      </c>
      <c r="B1228" t="s">
        <v>4199</v>
      </c>
    </row>
    <row r="1229" spans="1:2" x14ac:dyDescent="0.25">
      <c r="A1229" t="s">
        <v>227</v>
      </c>
      <c r="B1229" t="s">
        <v>4200</v>
      </c>
    </row>
    <row r="1230" spans="1:2" x14ac:dyDescent="0.25">
      <c r="A1230" t="s">
        <v>227</v>
      </c>
      <c r="B1230" t="s">
        <v>4595</v>
      </c>
    </row>
    <row r="1231" spans="1:2" x14ac:dyDescent="0.25">
      <c r="A1231" t="s">
        <v>227</v>
      </c>
      <c r="B1231" t="s">
        <v>4201</v>
      </c>
    </row>
    <row r="1232" spans="1:2" x14ac:dyDescent="0.25">
      <c r="A1232" t="s">
        <v>227</v>
      </c>
      <c r="B1232" t="s">
        <v>4202</v>
      </c>
    </row>
    <row r="1233" spans="1:2" x14ac:dyDescent="0.25">
      <c r="A1233" t="s">
        <v>227</v>
      </c>
      <c r="B1233" t="s">
        <v>4203</v>
      </c>
    </row>
    <row r="1234" spans="1:2" x14ac:dyDescent="0.25">
      <c r="A1234" t="s">
        <v>227</v>
      </c>
      <c r="B1234" t="s">
        <v>4204</v>
      </c>
    </row>
    <row r="1235" spans="1:2" x14ac:dyDescent="0.25">
      <c r="A1235" t="s">
        <v>227</v>
      </c>
      <c r="B1235" t="s">
        <v>4201</v>
      </c>
    </row>
    <row r="1236" spans="1:2" x14ac:dyDescent="0.25">
      <c r="A1236" t="s">
        <v>227</v>
      </c>
      <c r="B1236" t="s">
        <v>4205</v>
      </c>
    </row>
    <row r="1237" spans="1:2" x14ac:dyDescent="0.25">
      <c r="A1237" t="s">
        <v>227</v>
      </c>
      <c r="B1237" t="s">
        <v>4206</v>
      </c>
    </row>
    <row r="1238" spans="1:2" x14ac:dyDescent="0.25">
      <c r="A1238" t="s">
        <v>227</v>
      </c>
      <c r="B1238" t="s">
        <v>4207</v>
      </c>
    </row>
    <row r="1239" spans="1:2" x14ac:dyDescent="0.25">
      <c r="A1239" t="s">
        <v>227</v>
      </c>
      <c r="B1239" t="s">
        <v>4208</v>
      </c>
    </row>
    <row r="1240" spans="1:2" x14ac:dyDescent="0.25">
      <c r="A1240" t="s">
        <v>227</v>
      </c>
      <c r="B1240" t="s">
        <v>4209</v>
      </c>
    </row>
    <row r="1241" spans="1:2" x14ac:dyDescent="0.25">
      <c r="A1241" t="s">
        <v>227</v>
      </c>
      <c r="B1241" t="s">
        <v>3458</v>
      </c>
    </row>
    <row r="1242" spans="1:2" x14ac:dyDescent="0.25">
      <c r="A1242" t="s">
        <v>227</v>
      </c>
      <c r="B1242" t="s">
        <v>4210</v>
      </c>
    </row>
    <row r="1243" spans="1:2" x14ac:dyDescent="0.25">
      <c r="A1243" t="s">
        <v>227</v>
      </c>
      <c r="B1243" t="s">
        <v>4211</v>
      </c>
    </row>
    <row r="1244" spans="1:2" x14ac:dyDescent="0.25">
      <c r="A1244" t="s">
        <v>219</v>
      </c>
      <c r="B1244" t="s">
        <v>2652</v>
      </c>
    </row>
    <row r="1245" spans="1:2" x14ac:dyDescent="0.25">
      <c r="A1245" t="s">
        <v>219</v>
      </c>
      <c r="B1245" t="s">
        <v>2633</v>
      </c>
    </row>
    <row r="1246" spans="1:2" x14ac:dyDescent="0.25">
      <c r="A1246" t="s">
        <v>219</v>
      </c>
      <c r="B1246" t="s">
        <v>2634</v>
      </c>
    </row>
    <row r="1247" spans="1:2" x14ac:dyDescent="0.25">
      <c r="A1247" t="s">
        <v>219</v>
      </c>
      <c r="B1247" t="s">
        <v>2635</v>
      </c>
    </row>
    <row r="1248" spans="1:2" x14ac:dyDescent="0.25">
      <c r="A1248" t="s">
        <v>219</v>
      </c>
      <c r="B1248" t="s">
        <v>2636</v>
      </c>
    </row>
    <row r="1249" spans="1:2" x14ac:dyDescent="0.25">
      <c r="A1249" t="s">
        <v>219</v>
      </c>
      <c r="B1249" t="s">
        <v>2637</v>
      </c>
    </row>
    <row r="1250" spans="1:2" x14ac:dyDescent="0.25">
      <c r="A1250" t="s">
        <v>219</v>
      </c>
      <c r="B1250" t="s">
        <v>2638</v>
      </c>
    </row>
    <row r="1251" spans="1:2" x14ac:dyDescent="0.25">
      <c r="A1251" t="s">
        <v>219</v>
      </c>
      <c r="B1251" t="s">
        <v>2639</v>
      </c>
    </row>
    <row r="1252" spans="1:2" x14ac:dyDescent="0.25">
      <c r="A1252" t="s">
        <v>219</v>
      </c>
      <c r="B1252" t="s">
        <v>2640</v>
      </c>
    </row>
    <row r="1253" spans="1:2" x14ac:dyDescent="0.25">
      <c r="A1253" t="s">
        <v>219</v>
      </c>
      <c r="B1253" t="s">
        <v>2641</v>
      </c>
    </row>
    <row r="1254" spans="1:2" x14ac:dyDescent="0.25">
      <c r="A1254" t="s">
        <v>219</v>
      </c>
      <c r="B1254" t="s">
        <v>2642</v>
      </c>
    </row>
    <row r="1255" spans="1:2" x14ac:dyDescent="0.25">
      <c r="A1255" t="s">
        <v>219</v>
      </c>
      <c r="B1255" t="s">
        <v>2643</v>
      </c>
    </row>
    <row r="1256" spans="1:2" x14ac:dyDescent="0.25">
      <c r="A1256" t="s">
        <v>219</v>
      </c>
      <c r="B1256" t="s">
        <v>2644</v>
      </c>
    </row>
    <row r="1257" spans="1:2" x14ac:dyDescent="0.25">
      <c r="A1257" t="s">
        <v>219</v>
      </c>
      <c r="B1257" t="s">
        <v>2645</v>
      </c>
    </row>
    <row r="1258" spans="1:2" x14ac:dyDescent="0.25">
      <c r="A1258" t="s">
        <v>219</v>
      </c>
      <c r="B1258" t="s">
        <v>2646</v>
      </c>
    </row>
    <row r="1259" spans="1:2" x14ac:dyDescent="0.25">
      <c r="A1259" t="s">
        <v>219</v>
      </c>
      <c r="B1259" t="s">
        <v>2647</v>
      </c>
    </row>
    <row r="1260" spans="1:2" x14ac:dyDescent="0.25">
      <c r="A1260" t="s">
        <v>219</v>
      </c>
      <c r="B1260" t="s">
        <v>2648</v>
      </c>
    </row>
    <row r="1261" spans="1:2" x14ac:dyDescent="0.25">
      <c r="A1261" t="s">
        <v>219</v>
      </c>
      <c r="B1261" t="s">
        <v>2649</v>
      </c>
    </row>
    <row r="1262" spans="1:2" x14ac:dyDescent="0.25">
      <c r="A1262" t="s">
        <v>219</v>
      </c>
      <c r="B1262" t="s">
        <v>2650</v>
      </c>
    </row>
    <row r="1263" spans="1:2" x14ac:dyDescent="0.25">
      <c r="A1263" t="s">
        <v>219</v>
      </c>
      <c r="B1263" t="s">
        <v>2651</v>
      </c>
    </row>
    <row r="1264" spans="1:2" x14ac:dyDescent="0.25">
      <c r="A1264" t="s">
        <v>219</v>
      </c>
      <c r="B1264" t="s">
        <v>2633</v>
      </c>
    </row>
    <row r="1265" spans="1:2" x14ac:dyDescent="0.25">
      <c r="A1265" t="s">
        <v>219</v>
      </c>
      <c r="B1265" t="s">
        <v>2652</v>
      </c>
    </row>
    <row r="1266" spans="1:2" x14ac:dyDescent="0.25">
      <c r="A1266" t="s">
        <v>219</v>
      </c>
      <c r="B1266" t="s">
        <v>2653</v>
      </c>
    </row>
    <row r="1267" spans="1:2" x14ac:dyDescent="0.25">
      <c r="A1267" t="s">
        <v>219</v>
      </c>
      <c r="B1267" t="s">
        <v>2654</v>
      </c>
    </row>
    <row r="1268" spans="1:2" x14ac:dyDescent="0.25">
      <c r="A1268" t="s">
        <v>219</v>
      </c>
      <c r="B1268" t="s">
        <v>2655</v>
      </c>
    </row>
    <row r="1269" spans="1:2" x14ac:dyDescent="0.25">
      <c r="A1269" t="s">
        <v>219</v>
      </c>
      <c r="B1269" t="s">
        <v>2656</v>
      </c>
    </row>
    <row r="1270" spans="1:2" x14ac:dyDescent="0.25">
      <c r="A1270" t="s">
        <v>219</v>
      </c>
      <c r="B1270" t="s">
        <v>2657</v>
      </c>
    </row>
    <row r="1271" spans="1:2" x14ac:dyDescent="0.25">
      <c r="A1271" t="s">
        <v>219</v>
      </c>
      <c r="B1271" t="s">
        <v>2658</v>
      </c>
    </row>
    <row r="1272" spans="1:2" x14ac:dyDescent="0.25">
      <c r="A1272" t="s">
        <v>219</v>
      </c>
      <c r="B1272" t="s">
        <v>2659</v>
      </c>
    </row>
    <row r="1273" spans="1:2" x14ac:dyDescent="0.25">
      <c r="A1273" t="s">
        <v>219</v>
      </c>
      <c r="B1273" t="s">
        <v>2660</v>
      </c>
    </row>
    <row r="1274" spans="1:2" x14ac:dyDescent="0.25">
      <c r="A1274" t="s">
        <v>219</v>
      </c>
      <c r="B1274" t="s">
        <v>2661</v>
      </c>
    </row>
    <row r="1275" spans="1:2" x14ac:dyDescent="0.25">
      <c r="A1275" t="s">
        <v>219</v>
      </c>
      <c r="B1275" t="s">
        <v>2662</v>
      </c>
    </row>
    <row r="1276" spans="1:2" x14ac:dyDescent="0.25">
      <c r="A1276" t="s">
        <v>219</v>
      </c>
      <c r="B1276" t="s">
        <v>2663</v>
      </c>
    </row>
    <row r="1277" spans="1:2" x14ac:dyDescent="0.25">
      <c r="A1277" t="s">
        <v>219</v>
      </c>
      <c r="B1277" t="s">
        <v>2499</v>
      </c>
    </row>
    <row r="1278" spans="1:2" x14ac:dyDescent="0.25">
      <c r="A1278" t="s">
        <v>219</v>
      </c>
      <c r="B1278" t="s">
        <v>2664</v>
      </c>
    </row>
    <row r="1279" spans="1:2" x14ac:dyDescent="0.25">
      <c r="A1279" t="s">
        <v>219</v>
      </c>
      <c r="B1279" t="s">
        <v>2665</v>
      </c>
    </row>
    <row r="1280" spans="1:2" x14ac:dyDescent="0.25">
      <c r="A1280" t="s">
        <v>219</v>
      </c>
      <c r="B1280" t="s">
        <v>2666</v>
      </c>
    </row>
    <row r="1281" spans="1:2" x14ac:dyDescent="0.25">
      <c r="A1281" t="s">
        <v>254</v>
      </c>
      <c r="B1281" t="s">
        <v>3975</v>
      </c>
    </row>
    <row r="1282" spans="1:2" x14ac:dyDescent="0.25">
      <c r="A1282" t="s">
        <v>254</v>
      </c>
      <c r="B1282" t="s">
        <v>528</v>
      </c>
    </row>
    <row r="1283" spans="1:2" x14ac:dyDescent="0.25">
      <c r="A1283" t="s">
        <v>254</v>
      </c>
      <c r="B1283" t="s">
        <v>644</v>
      </c>
    </row>
    <row r="1284" spans="1:2" x14ac:dyDescent="0.25">
      <c r="A1284" t="s">
        <v>254</v>
      </c>
      <c r="B1284" t="s">
        <v>401</v>
      </c>
    </row>
    <row r="1285" spans="1:2" x14ac:dyDescent="0.25">
      <c r="A1285" t="s">
        <v>254</v>
      </c>
      <c r="B1285" t="s">
        <v>1244</v>
      </c>
    </row>
    <row r="1286" spans="1:2" x14ac:dyDescent="0.25">
      <c r="A1286" t="s">
        <v>254</v>
      </c>
      <c r="B1286" t="s">
        <v>454</v>
      </c>
    </row>
    <row r="1287" spans="1:2" x14ac:dyDescent="0.25">
      <c r="A1287" t="s">
        <v>254</v>
      </c>
      <c r="B1287" t="s">
        <v>461</v>
      </c>
    </row>
    <row r="1288" spans="1:2" x14ac:dyDescent="0.25">
      <c r="A1288" t="s">
        <v>254</v>
      </c>
      <c r="B1288" t="s">
        <v>455</v>
      </c>
    </row>
    <row r="1289" spans="1:2" x14ac:dyDescent="0.25">
      <c r="A1289" t="s">
        <v>254</v>
      </c>
      <c r="B1289" t="s">
        <v>3974</v>
      </c>
    </row>
    <row r="1290" spans="1:2" x14ac:dyDescent="0.25">
      <c r="A1290" t="s">
        <v>254</v>
      </c>
      <c r="B1290" t="s">
        <v>456</v>
      </c>
    </row>
    <row r="1291" spans="1:2" x14ac:dyDescent="0.25">
      <c r="A1291" t="s">
        <v>254</v>
      </c>
      <c r="B1291" t="s">
        <v>453</v>
      </c>
    </row>
    <row r="1292" spans="1:2" x14ac:dyDescent="0.25">
      <c r="A1292" t="s">
        <v>254</v>
      </c>
      <c r="B1292" t="s">
        <v>457</v>
      </c>
    </row>
    <row r="1293" spans="1:2" x14ac:dyDescent="0.25">
      <c r="A1293" t="s">
        <v>254</v>
      </c>
      <c r="B1293" t="s">
        <v>528</v>
      </c>
    </row>
    <row r="1294" spans="1:2" x14ac:dyDescent="0.25">
      <c r="A1294" t="s">
        <v>254</v>
      </c>
      <c r="B1294" t="s">
        <v>450</v>
      </c>
    </row>
    <row r="1295" spans="1:2" x14ac:dyDescent="0.25">
      <c r="A1295" t="s">
        <v>254</v>
      </c>
      <c r="B1295" t="s">
        <v>462</v>
      </c>
    </row>
    <row r="1296" spans="1:2" x14ac:dyDescent="0.25">
      <c r="A1296" t="s">
        <v>254</v>
      </c>
      <c r="B1296" t="s">
        <v>644</v>
      </c>
    </row>
    <row r="1297" spans="1:2" x14ac:dyDescent="0.25">
      <c r="A1297" t="s">
        <v>254</v>
      </c>
      <c r="B1297" t="s">
        <v>3975</v>
      </c>
    </row>
    <row r="1298" spans="1:2" x14ac:dyDescent="0.25">
      <c r="A1298" t="s">
        <v>254</v>
      </c>
      <c r="B1298" t="s">
        <v>458</v>
      </c>
    </row>
    <row r="1299" spans="1:2" x14ac:dyDescent="0.25">
      <c r="A1299" t="s">
        <v>254</v>
      </c>
      <c r="B1299" t="s">
        <v>401</v>
      </c>
    </row>
    <row r="1300" spans="1:2" x14ac:dyDescent="0.25">
      <c r="A1300" t="s">
        <v>254</v>
      </c>
      <c r="B1300" t="s">
        <v>451</v>
      </c>
    </row>
    <row r="1301" spans="1:2" x14ac:dyDescent="0.25">
      <c r="A1301" t="s">
        <v>254</v>
      </c>
      <c r="B1301" t="s">
        <v>3976</v>
      </c>
    </row>
    <row r="1302" spans="1:2" x14ac:dyDescent="0.25">
      <c r="A1302" t="s">
        <v>254</v>
      </c>
      <c r="B1302" t="s">
        <v>459</v>
      </c>
    </row>
    <row r="1303" spans="1:2" x14ac:dyDescent="0.25">
      <c r="A1303" t="s">
        <v>254</v>
      </c>
      <c r="B1303" t="s">
        <v>3977</v>
      </c>
    </row>
    <row r="1304" spans="1:2" x14ac:dyDescent="0.25">
      <c r="A1304" t="s">
        <v>254</v>
      </c>
      <c r="B1304" t="s">
        <v>463</v>
      </c>
    </row>
    <row r="1305" spans="1:2" x14ac:dyDescent="0.25">
      <c r="A1305" t="s">
        <v>254</v>
      </c>
      <c r="B1305" t="s">
        <v>464</v>
      </c>
    </row>
    <row r="1306" spans="1:2" x14ac:dyDescent="0.25">
      <c r="A1306" t="s">
        <v>254</v>
      </c>
      <c r="B1306" t="s">
        <v>452</v>
      </c>
    </row>
    <row r="1307" spans="1:2" x14ac:dyDescent="0.25">
      <c r="A1307" t="s">
        <v>254</v>
      </c>
      <c r="B1307" t="s">
        <v>465</v>
      </c>
    </row>
    <row r="1308" spans="1:2" x14ac:dyDescent="0.25">
      <c r="A1308" t="s">
        <v>254</v>
      </c>
      <c r="B1308" t="s">
        <v>1244</v>
      </c>
    </row>
    <row r="1309" spans="1:2" x14ac:dyDescent="0.25">
      <c r="A1309" t="s">
        <v>254</v>
      </c>
      <c r="B1309" t="s">
        <v>3978</v>
      </c>
    </row>
    <row r="1310" spans="1:2" x14ac:dyDescent="0.25">
      <c r="A1310" t="s">
        <v>320</v>
      </c>
      <c r="B1310" t="s">
        <v>673</v>
      </c>
    </row>
    <row r="1311" spans="1:2" x14ac:dyDescent="0.25">
      <c r="A1311" t="s">
        <v>320</v>
      </c>
      <c r="B1311" t="s">
        <v>647</v>
      </c>
    </row>
    <row r="1312" spans="1:2" x14ac:dyDescent="0.25">
      <c r="A1312" t="s">
        <v>320</v>
      </c>
      <c r="B1312" t="s">
        <v>511</v>
      </c>
    </row>
    <row r="1313" spans="1:2" x14ac:dyDescent="0.25">
      <c r="A1313" t="s">
        <v>320</v>
      </c>
      <c r="B1313" t="s">
        <v>1022</v>
      </c>
    </row>
    <row r="1314" spans="1:2" x14ac:dyDescent="0.25">
      <c r="A1314" t="s">
        <v>320</v>
      </c>
      <c r="B1314" t="s">
        <v>1021</v>
      </c>
    </row>
    <row r="1315" spans="1:2" x14ac:dyDescent="0.25">
      <c r="A1315" t="s">
        <v>320</v>
      </c>
      <c r="B1315" t="s">
        <v>2228</v>
      </c>
    </row>
    <row r="1316" spans="1:2" x14ac:dyDescent="0.25">
      <c r="A1316" t="s">
        <v>320</v>
      </c>
      <c r="B1316" t="s">
        <v>2229</v>
      </c>
    </row>
    <row r="1317" spans="1:2" x14ac:dyDescent="0.25">
      <c r="A1317" t="s">
        <v>320</v>
      </c>
      <c r="B1317" t="s">
        <v>475</v>
      </c>
    </row>
    <row r="1318" spans="1:2" x14ac:dyDescent="0.25">
      <c r="A1318" t="s">
        <v>320</v>
      </c>
      <c r="B1318" t="s">
        <v>469</v>
      </c>
    </row>
    <row r="1319" spans="1:2" x14ac:dyDescent="0.25">
      <c r="A1319" t="s">
        <v>320</v>
      </c>
      <c r="B1319" t="s">
        <v>478</v>
      </c>
    </row>
    <row r="1320" spans="1:2" x14ac:dyDescent="0.25">
      <c r="A1320" t="s">
        <v>320</v>
      </c>
      <c r="B1320" t="s">
        <v>474</v>
      </c>
    </row>
    <row r="1321" spans="1:2" x14ac:dyDescent="0.25">
      <c r="A1321" t="s">
        <v>320</v>
      </c>
      <c r="B1321" t="s">
        <v>477</v>
      </c>
    </row>
    <row r="1322" spans="1:2" x14ac:dyDescent="0.25">
      <c r="A1322" t="s">
        <v>320</v>
      </c>
      <c r="B1322" t="s">
        <v>479</v>
      </c>
    </row>
    <row r="1323" spans="1:2" x14ac:dyDescent="0.25">
      <c r="A1323" t="s">
        <v>320</v>
      </c>
      <c r="B1323" t="s">
        <v>470</v>
      </c>
    </row>
    <row r="1324" spans="1:2" x14ac:dyDescent="0.25">
      <c r="A1324" t="s">
        <v>320</v>
      </c>
      <c r="B1324" t="s">
        <v>476</v>
      </c>
    </row>
    <row r="1325" spans="1:2" x14ac:dyDescent="0.25">
      <c r="A1325" t="s">
        <v>320</v>
      </c>
      <c r="B1325" t="s">
        <v>467</v>
      </c>
    </row>
    <row r="1326" spans="1:2" x14ac:dyDescent="0.25">
      <c r="A1326" t="s">
        <v>320</v>
      </c>
      <c r="B1326" t="s">
        <v>466</v>
      </c>
    </row>
    <row r="1327" spans="1:2" x14ac:dyDescent="0.25">
      <c r="A1327" t="s">
        <v>320</v>
      </c>
      <c r="B1327" t="s">
        <v>468</v>
      </c>
    </row>
    <row r="1328" spans="1:2" x14ac:dyDescent="0.25">
      <c r="A1328" t="s">
        <v>320</v>
      </c>
      <c r="B1328" t="s">
        <v>472</v>
      </c>
    </row>
    <row r="1329" spans="1:2" x14ac:dyDescent="0.25">
      <c r="A1329" t="s">
        <v>320</v>
      </c>
      <c r="B1329" t="s">
        <v>473</v>
      </c>
    </row>
    <row r="1330" spans="1:2" x14ac:dyDescent="0.25">
      <c r="A1330" t="s">
        <v>212</v>
      </c>
      <c r="B1330" t="s">
        <v>4212</v>
      </c>
    </row>
    <row r="1331" spans="1:2" x14ac:dyDescent="0.25">
      <c r="A1331" t="s">
        <v>212</v>
      </c>
      <c r="B1331" t="s">
        <v>4213</v>
      </c>
    </row>
    <row r="1332" spans="1:2" x14ac:dyDescent="0.25">
      <c r="A1332" t="s">
        <v>212</v>
      </c>
      <c r="B1332" t="s">
        <v>4214</v>
      </c>
    </row>
    <row r="1333" spans="1:2" x14ac:dyDescent="0.25">
      <c r="A1333" t="s">
        <v>212</v>
      </c>
      <c r="B1333" t="s">
        <v>4215</v>
      </c>
    </row>
    <row r="1334" spans="1:2" x14ac:dyDescent="0.25">
      <c r="A1334" t="s">
        <v>212</v>
      </c>
      <c r="B1334" t="s">
        <v>4216</v>
      </c>
    </row>
    <row r="1335" spans="1:2" x14ac:dyDescent="0.25">
      <c r="A1335" t="s">
        <v>212</v>
      </c>
      <c r="B1335" t="s">
        <v>4217</v>
      </c>
    </row>
    <row r="1336" spans="1:2" x14ac:dyDescent="0.25">
      <c r="A1336" t="s">
        <v>212</v>
      </c>
      <c r="B1336" t="s">
        <v>4218</v>
      </c>
    </row>
    <row r="1337" spans="1:2" x14ac:dyDescent="0.25">
      <c r="A1337" t="s">
        <v>212</v>
      </c>
      <c r="B1337" t="s">
        <v>4219</v>
      </c>
    </row>
    <row r="1338" spans="1:2" x14ac:dyDescent="0.25">
      <c r="A1338" t="s">
        <v>212</v>
      </c>
      <c r="B1338" t="s">
        <v>4220</v>
      </c>
    </row>
    <row r="1339" spans="1:2" x14ac:dyDescent="0.25">
      <c r="A1339" t="s">
        <v>212</v>
      </c>
      <c r="B1339" t="s">
        <v>2657</v>
      </c>
    </row>
    <row r="1340" spans="1:2" x14ac:dyDescent="0.25">
      <c r="A1340" t="s">
        <v>212</v>
      </c>
      <c r="B1340" t="s">
        <v>4221</v>
      </c>
    </row>
    <row r="1341" spans="1:2" x14ac:dyDescent="0.25">
      <c r="A1341" t="s">
        <v>212</v>
      </c>
      <c r="B1341" t="s">
        <v>4222</v>
      </c>
    </row>
    <row r="1342" spans="1:2" x14ac:dyDescent="0.25">
      <c r="A1342" t="s">
        <v>212</v>
      </c>
      <c r="B1342" t="s">
        <v>4223</v>
      </c>
    </row>
    <row r="1343" spans="1:2" x14ac:dyDescent="0.25">
      <c r="A1343" t="s">
        <v>212</v>
      </c>
      <c r="B1343" t="s">
        <v>4224</v>
      </c>
    </row>
    <row r="1344" spans="1:2" x14ac:dyDescent="0.25">
      <c r="A1344" t="s">
        <v>212</v>
      </c>
      <c r="B1344" t="s">
        <v>4225</v>
      </c>
    </row>
    <row r="1345" spans="1:2" x14ac:dyDescent="0.25">
      <c r="A1345" t="s">
        <v>212</v>
      </c>
      <c r="B1345" t="s">
        <v>4226</v>
      </c>
    </row>
    <row r="1346" spans="1:2" x14ac:dyDescent="0.25">
      <c r="A1346" t="s">
        <v>212</v>
      </c>
      <c r="B1346" t="s">
        <v>4227</v>
      </c>
    </row>
    <row r="1347" spans="1:2" x14ac:dyDescent="0.25">
      <c r="A1347" t="s">
        <v>212</v>
      </c>
      <c r="B1347" t="s">
        <v>4228</v>
      </c>
    </row>
    <row r="1348" spans="1:2" x14ac:dyDescent="0.25">
      <c r="A1348" t="s">
        <v>212</v>
      </c>
      <c r="B1348" t="s">
        <v>4229</v>
      </c>
    </row>
    <row r="1349" spans="1:2" x14ac:dyDescent="0.25">
      <c r="A1349" t="s">
        <v>212</v>
      </c>
      <c r="B1349" t="s">
        <v>4230</v>
      </c>
    </row>
    <row r="1350" spans="1:2" x14ac:dyDescent="0.25">
      <c r="A1350" t="s">
        <v>212</v>
      </c>
      <c r="B1350" t="s">
        <v>4231</v>
      </c>
    </row>
    <row r="1351" spans="1:2" x14ac:dyDescent="0.25">
      <c r="A1351" t="s">
        <v>212</v>
      </c>
      <c r="B1351" t="s">
        <v>4232</v>
      </c>
    </row>
    <row r="1352" spans="1:2" x14ac:dyDescent="0.25">
      <c r="A1352" t="s">
        <v>212</v>
      </c>
      <c r="B1352" t="s">
        <v>4233</v>
      </c>
    </row>
    <row r="1353" spans="1:2" x14ac:dyDescent="0.25">
      <c r="A1353" t="s">
        <v>212</v>
      </c>
      <c r="B1353" t="s">
        <v>4596</v>
      </c>
    </row>
    <row r="1354" spans="1:2" x14ac:dyDescent="0.25">
      <c r="A1354" t="s">
        <v>231</v>
      </c>
      <c r="B1354" t="s">
        <v>4117</v>
      </c>
    </row>
    <row r="1355" spans="1:2" x14ac:dyDescent="0.25">
      <c r="A1355" t="s">
        <v>231</v>
      </c>
      <c r="B1355" t="s">
        <v>3954</v>
      </c>
    </row>
    <row r="1356" spans="1:2" x14ac:dyDescent="0.25">
      <c r="A1356" t="s">
        <v>231</v>
      </c>
      <c r="B1356" t="s">
        <v>3955</v>
      </c>
    </row>
    <row r="1357" spans="1:2" x14ac:dyDescent="0.25">
      <c r="A1357" t="s">
        <v>231</v>
      </c>
      <c r="B1357" t="s">
        <v>3956</v>
      </c>
    </row>
    <row r="1358" spans="1:2" x14ac:dyDescent="0.25">
      <c r="A1358" t="s">
        <v>231</v>
      </c>
      <c r="B1358" t="s">
        <v>1889</v>
      </c>
    </row>
    <row r="1359" spans="1:2" x14ac:dyDescent="0.25">
      <c r="A1359" t="s">
        <v>231</v>
      </c>
      <c r="B1359" t="s">
        <v>3957</v>
      </c>
    </row>
    <row r="1360" spans="1:2" x14ac:dyDescent="0.25">
      <c r="A1360" t="s">
        <v>231</v>
      </c>
      <c r="B1360" t="s">
        <v>3958</v>
      </c>
    </row>
    <row r="1361" spans="1:2" x14ac:dyDescent="0.25">
      <c r="A1361" t="s">
        <v>231</v>
      </c>
      <c r="B1361" t="s">
        <v>3959</v>
      </c>
    </row>
    <row r="1362" spans="1:2" x14ac:dyDescent="0.25">
      <c r="A1362" t="s">
        <v>231</v>
      </c>
      <c r="B1362" t="s">
        <v>3960</v>
      </c>
    </row>
    <row r="1363" spans="1:2" x14ac:dyDescent="0.25">
      <c r="A1363" t="s">
        <v>231</v>
      </c>
      <c r="B1363" t="s">
        <v>3961</v>
      </c>
    </row>
    <row r="1364" spans="1:2" x14ac:dyDescent="0.25">
      <c r="A1364" t="s">
        <v>231</v>
      </c>
      <c r="B1364" t="s">
        <v>3962</v>
      </c>
    </row>
    <row r="1365" spans="1:2" x14ac:dyDescent="0.25">
      <c r="A1365" t="s">
        <v>231</v>
      </c>
      <c r="B1365" t="s">
        <v>3963</v>
      </c>
    </row>
    <row r="1366" spans="1:2" x14ac:dyDescent="0.25">
      <c r="A1366" t="s">
        <v>231</v>
      </c>
      <c r="B1366" t="s">
        <v>3964</v>
      </c>
    </row>
    <row r="1367" spans="1:2" x14ac:dyDescent="0.25">
      <c r="A1367" t="s">
        <v>231</v>
      </c>
      <c r="B1367" t="s">
        <v>3965</v>
      </c>
    </row>
    <row r="1368" spans="1:2" x14ac:dyDescent="0.25">
      <c r="A1368" t="s">
        <v>231</v>
      </c>
      <c r="B1368" t="s">
        <v>3966</v>
      </c>
    </row>
    <row r="1369" spans="1:2" x14ac:dyDescent="0.25">
      <c r="A1369" t="s">
        <v>231</v>
      </c>
      <c r="B1369" t="s">
        <v>3967</v>
      </c>
    </row>
    <row r="1370" spans="1:2" x14ac:dyDescent="0.25">
      <c r="A1370" t="s">
        <v>231</v>
      </c>
      <c r="B1370" t="s">
        <v>3968</v>
      </c>
    </row>
    <row r="1371" spans="1:2" x14ac:dyDescent="0.25">
      <c r="A1371" t="s">
        <v>231</v>
      </c>
      <c r="B1371" t="s">
        <v>3969</v>
      </c>
    </row>
    <row r="1372" spans="1:2" x14ac:dyDescent="0.25">
      <c r="A1372" t="s">
        <v>231</v>
      </c>
      <c r="B1372" t="s">
        <v>3970</v>
      </c>
    </row>
    <row r="1373" spans="1:2" x14ac:dyDescent="0.25">
      <c r="A1373" t="s">
        <v>231</v>
      </c>
      <c r="B1373" t="s">
        <v>3971</v>
      </c>
    </row>
    <row r="1374" spans="1:2" x14ac:dyDescent="0.25">
      <c r="A1374" t="s">
        <v>231</v>
      </c>
      <c r="B1374" t="s">
        <v>3972</v>
      </c>
    </row>
    <row r="1375" spans="1:2" x14ac:dyDescent="0.25">
      <c r="A1375" t="s">
        <v>231</v>
      </c>
      <c r="B1375" t="s">
        <v>3973</v>
      </c>
    </row>
    <row r="1376" spans="1:2" x14ac:dyDescent="0.25">
      <c r="A1376" t="s">
        <v>244</v>
      </c>
      <c r="B1376" t="s">
        <v>4060</v>
      </c>
    </row>
    <row r="1377" spans="1:2" x14ac:dyDescent="0.25">
      <c r="A1377" t="s">
        <v>244</v>
      </c>
      <c r="B1377" t="s">
        <v>843</v>
      </c>
    </row>
    <row r="1378" spans="1:2" x14ac:dyDescent="0.25">
      <c r="A1378" t="s">
        <v>244</v>
      </c>
      <c r="B1378" t="s">
        <v>422</v>
      </c>
    </row>
    <row r="1379" spans="1:2" x14ac:dyDescent="0.25">
      <c r="A1379" t="s">
        <v>244</v>
      </c>
      <c r="B1379" t="s">
        <v>2609</v>
      </c>
    </row>
    <row r="1380" spans="1:2" x14ac:dyDescent="0.25">
      <c r="A1380" t="s">
        <v>244</v>
      </c>
      <c r="B1380" t="s">
        <v>989</v>
      </c>
    </row>
    <row r="1381" spans="1:2" x14ac:dyDescent="0.25">
      <c r="A1381" t="s">
        <v>244</v>
      </c>
      <c r="B1381" t="s">
        <v>988</v>
      </c>
    </row>
    <row r="1382" spans="1:2" x14ac:dyDescent="0.25">
      <c r="A1382" t="s">
        <v>244</v>
      </c>
      <c r="B1382" t="s">
        <v>919</v>
      </c>
    </row>
    <row r="1383" spans="1:2" x14ac:dyDescent="0.25">
      <c r="A1383" t="s">
        <v>244</v>
      </c>
      <c r="B1383" t="s">
        <v>923</v>
      </c>
    </row>
    <row r="1384" spans="1:2" x14ac:dyDescent="0.25">
      <c r="A1384" t="s">
        <v>244</v>
      </c>
      <c r="B1384" t="s">
        <v>917</v>
      </c>
    </row>
    <row r="1385" spans="1:2" x14ac:dyDescent="0.25">
      <c r="A1385" t="s">
        <v>244</v>
      </c>
      <c r="B1385" t="s">
        <v>916</v>
      </c>
    </row>
    <row r="1386" spans="1:2" x14ac:dyDescent="0.25">
      <c r="A1386" t="s">
        <v>244</v>
      </c>
      <c r="B1386" t="s">
        <v>481</v>
      </c>
    </row>
    <row r="1387" spans="1:2" x14ac:dyDescent="0.25">
      <c r="A1387" t="s">
        <v>244</v>
      </c>
      <c r="B1387" t="s">
        <v>918</v>
      </c>
    </row>
    <row r="1388" spans="1:2" x14ac:dyDescent="0.25">
      <c r="A1388" t="s">
        <v>244</v>
      </c>
      <c r="B1388" t="s">
        <v>922</v>
      </c>
    </row>
    <row r="1389" spans="1:2" x14ac:dyDescent="0.25">
      <c r="A1389" t="s">
        <v>244</v>
      </c>
      <c r="B1389" t="s">
        <v>924</v>
      </c>
    </row>
    <row r="1390" spans="1:2" x14ac:dyDescent="0.25">
      <c r="A1390" t="s">
        <v>244</v>
      </c>
      <c r="B1390" t="s">
        <v>927</v>
      </c>
    </row>
    <row r="1391" spans="1:2" x14ac:dyDescent="0.25">
      <c r="A1391" t="s">
        <v>244</v>
      </c>
      <c r="B1391" t="s">
        <v>921</v>
      </c>
    </row>
    <row r="1392" spans="1:2" x14ac:dyDescent="0.25">
      <c r="A1392" t="s">
        <v>244</v>
      </c>
      <c r="B1392" t="s">
        <v>925</v>
      </c>
    </row>
    <row r="1393" spans="1:2" x14ac:dyDescent="0.25">
      <c r="A1393" t="s">
        <v>244</v>
      </c>
      <c r="B1393" t="s">
        <v>926</v>
      </c>
    </row>
    <row r="1394" spans="1:2" x14ac:dyDescent="0.25">
      <c r="A1394" t="s">
        <v>244</v>
      </c>
      <c r="B1394" t="s">
        <v>2610</v>
      </c>
    </row>
    <row r="1395" spans="1:2" x14ac:dyDescent="0.25">
      <c r="A1395" t="s">
        <v>244</v>
      </c>
      <c r="B1395" t="s">
        <v>920</v>
      </c>
    </row>
    <row r="1396" spans="1:2" x14ac:dyDescent="0.25">
      <c r="A1396" t="s">
        <v>244</v>
      </c>
      <c r="B1396" t="s">
        <v>4644</v>
      </c>
    </row>
    <row r="1397" spans="1:2" x14ac:dyDescent="0.25">
      <c r="A1397" t="s">
        <v>1551</v>
      </c>
      <c r="B1397" t="s">
        <v>4099</v>
      </c>
    </row>
    <row r="1398" spans="1:2" x14ac:dyDescent="0.25">
      <c r="A1398" t="s">
        <v>1551</v>
      </c>
      <c r="B1398" t="s">
        <v>3458</v>
      </c>
    </row>
    <row r="1399" spans="1:2" x14ac:dyDescent="0.25">
      <c r="A1399" t="s">
        <v>1551</v>
      </c>
      <c r="B1399" t="s">
        <v>1389</v>
      </c>
    </row>
    <row r="1400" spans="1:2" x14ac:dyDescent="0.25">
      <c r="A1400" t="s">
        <v>1551</v>
      </c>
      <c r="B1400" t="s">
        <v>3459</v>
      </c>
    </row>
    <row r="1401" spans="1:2" x14ac:dyDescent="0.25">
      <c r="A1401" t="s">
        <v>1551</v>
      </c>
      <c r="B1401" t="s">
        <v>3460</v>
      </c>
    </row>
    <row r="1402" spans="1:2" x14ac:dyDescent="0.25">
      <c r="A1402" t="s">
        <v>1551</v>
      </c>
      <c r="B1402" t="s">
        <v>3461</v>
      </c>
    </row>
    <row r="1403" spans="1:2" x14ac:dyDescent="0.25">
      <c r="A1403" t="s">
        <v>1551</v>
      </c>
      <c r="B1403" t="s">
        <v>3462</v>
      </c>
    </row>
    <row r="1404" spans="1:2" x14ac:dyDescent="0.25">
      <c r="A1404" t="s">
        <v>1551</v>
      </c>
      <c r="B1404" t="s">
        <v>3463</v>
      </c>
    </row>
    <row r="1405" spans="1:2" x14ac:dyDescent="0.25">
      <c r="A1405" t="s">
        <v>1551</v>
      </c>
      <c r="B1405" t="s">
        <v>3464</v>
      </c>
    </row>
    <row r="1406" spans="1:2" x14ac:dyDescent="0.25">
      <c r="A1406" t="s">
        <v>1551</v>
      </c>
      <c r="B1406" t="s">
        <v>3465</v>
      </c>
    </row>
    <row r="1407" spans="1:2" x14ac:dyDescent="0.25">
      <c r="A1407" t="s">
        <v>1551</v>
      </c>
      <c r="B1407" t="s">
        <v>3466</v>
      </c>
    </row>
    <row r="1408" spans="1:2" x14ac:dyDescent="0.25">
      <c r="A1408" t="s">
        <v>1551</v>
      </c>
      <c r="B1408" t="s">
        <v>3467</v>
      </c>
    </row>
    <row r="1409" spans="1:2" x14ac:dyDescent="0.25">
      <c r="A1409" t="s">
        <v>1551</v>
      </c>
      <c r="B1409" t="s">
        <v>858</v>
      </c>
    </row>
    <row r="1410" spans="1:2" x14ac:dyDescent="0.25">
      <c r="A1410" t="s">
        <v>1551</v>
      </c>
      <c r="B1410" t="s">
        <v>3468</v>
      </c>
    </row>
    <row r="1411" spans="1:2" x14ac:dyDescent="0.25">
      <c r="A1411" t="s">
        <v>1551</v>
      </c>
      <c r="B1411" t="s">
        <v>3469</v>
      </c>
    </row>
    <row r="1412" spans="1:2" x14ac:dyDescent="0.25">
      <c r="A1412" t="s">
        <v>1551</v>
      </c>
      <c r="B1412" t="s">
        <v>3470</v>
      </c>
    </row>
    <row r="1413" spans="1:2" x14ac:dyDescent="0.25">
      <c r="A1413" t="s">
        <v>1551</v>
      </c>
      <c r="B1413" t="s">
        <v>3471</v>
      </c>
    </row>
    <row r="1414" spans="1:2" x14ac:dyDescent="0.25">
      <c r="A1414" t="s">
        <v>1551</v>
      </c>
      <c r="B1414" t="s">
        <v>3472</v>
      </c>
    </row>
    <row r="1415" spans="1:2" x14ac:dyDescent="0.25">
      <c r="A1415" t="s">
        <v>1551</v>
      </c>
      <c r="B1415" t="s">
        <v>3473</v>
      </c>
    </row>
    <row r="1416" spans="1:2" x14ac:dyDescent="0.25">
      <c r="A1416" t="s">
        <v>1551</v>
      </c>
      <c r="B1416" t="s">
        <v>3474</v>
      </c>
    </row>
    <row r="1417" spans="1:2" x14ac:dyDescent="0.25">
      <c r="A1417" t="s">
        <v>1551</v>
      </c>
      <c r="B1417" t="s">
        <v>3475</v>
      </c>
    </row>
    <row r="1418" spans="1:2" x14ac:dyDescent="0.25">
      <c r="A1418" t="s">
        <v>1551</v>
      </c>
      <c r="B1418" t="s">
        <v>768</v>
      </c>
    </row>
    <row r="1419" spans="1:2" x14ac:dyDescent="0.25">
      <c r="A1419" t="s">
        <v>1551</v>
      </c>
      <c r="B1419" t="s">
        <v>3476</v>
      </c>
    </row>
    <row r="1420" spans="1:2" x14ac:dyDescent="0.25">
      <c r="A1420" t="s">
        <v>1551</v>
      </c>
      <c r="B1420" t="s">
        <v>3477</v>
      </c>
    </row>
    <row r="1421" spans="1:2" x14ac:dyDescent="0.25">
      <c r="A1421" t="s">
        <v>1551</v>
      </c>
      <c r="B1421" t="s">
        <v>3478</v>
      </c>
    </row>
    <row r="1422" spans="1:2" x14ac:dyDescent="0.25">
      <c r="A1422" t="s">
        <v>1551</v>
      </c>
      <c r="B1422" t="s">
        <v>3479</v>
      </c>
    </row>
    <row r="1423" spans="1:2" x14ac:dyDescent="0.25">
      <c r="A1423" t="s">
        <v>1551</v>
      </c>
      <c r="B1423" t="s">
        <v>3480</v>
      </c>
    </row>
    <row r="1424" spans="1:2" x14ac:dyDescent="0.25">
      <c r="A1424" t="s">
        <v>1551</v>
      </c>
      <c r="B1424" t="s">
        <v>3481</v>
      </c>
    </row>
    <row r="1425" spans="1:2" x14ac:dyDescent="0.25">
      <c r="A1425" t="s">
        <v>1551</v>
      </c>
      <c r="B1425" t="s">
        <v>3482</v>
      </c>
    </row>
    <row r="1426" spans="1:2" x14ac:dyDescent="0.25">
      <c r="A1426" t="s">
        <v>1551</v>
      </c>
      <c r="B1426" t="s">
        <v>3483</v>
      </c>
    </row>
    <row r="1427" spans="1:2" x14ac:dyDescent="0.25">
      <c r="A1427" t="s">
        <v>1551</v>
      </c>
      <c r="B1427" t="s">
        <v>3484</v>
      </c>
    </row>
    <row r="1428" spans="1:2" x14ac:dyDescent="0.25">
      <c r="A1428" t="s">
        <v>1551</v>
      </c>
      <c r="B1428" t="s">
        <v>3485</v>
      </c>
    </row>
    <row r="1429" spans="1:2" x14ac:dyDescent="0.25">
      <c r="A1429" t="s">
        <v>259</v>
      </c>
      <c r="B1429" t="s">
        <v>4068</v>
      </c>
    </row>
    <row r="1430" spans="1:2" x14ac:dyDescent="0.25">
      <c r="A1430" t="s">
        <v>259</v>
      </c>
      <c r="B1430" t="s">
        <v>2800</v>
      </c>
    </row>
    <row r="1431" spans="1:2" x14ac:dyDescent="0.25">
      <c r="A1431" t="s">
        <v>259</v>
      </c>
      <c r="B1431" t="s">
        <v>2801</v>
      </c>
    </row>
    <row r="1432" spans="1:2" x14ac:dyDescent="0.25">
      <c r="A1432" t="s">
        <v>259</v>
      </c>
      <c r="B1432" t="s">
        <v>2802</v>
      </c>
    </row>
    <row r="1433" spans="1:2" x14ac:dyDescent="0.25">
      <c r="A1433" t="s">
        <v>259</v>
      </c>
      <c r="B1433" t="s">
        <v>2803</v>
      </c>
    </row>
    <row r="1434" spans="1:2" x14ac:dyDescent="0.25">
      <c r="A1434" t="s">
        <v>259</v>
      </c>
      <c r="B1434" t="s">
        <v>2804</v>
      </c>
    </row>
    <row r="1435" spans="1:2" x14ac:dyDescent="0.25">
      <c r="A1435" t="s">
        <v>259</v>
      </c>
      <c r="B1435" t="s">
        <v>2805</v>
      </c>
    </row>
    <row r="1436" spans="1:2" x14ac:dyDescent="0.25">
      <c r="A1436" t="s">
        <v>259</v>
      </c>
      <c r="B1436" t="s">
        <v>2806</v>
      </c>
    </row>
    <row r="1437" spans="1:2" x14ac:dyDescent="0.25">
      <c r="A1437" t="s">
        <v>259</v>
      </c>
      <c r="B1437" t="s">
        <v>2807</v>
      </c>
    </row>
    <row r="1438" spans="1:2" x14ac:dyDescent="0.25">
      <c r="A1438" t="s">
        <v>259</v>
      </c>
      <c r="B1438" t="s">
        <v>2808</v>
      </c>
    </row>
    <row r="1439" spans="1:2" x14ac:dyDescent="0.25">
      <c r="A1439" t="s">
        <v>259</v>
      </c>
      <c r="B1439" t="s">
        <v>2809</v>
      </c>
    </row>
    <row r="1440" spans="1:2" x14ac:dyDescent="0.25">
      <c r="A1440" t="s">
        <v>259</v>
      </c>
      <c r="B1440" t="s">
        <v>2810</v>
      </c>
    </row>
    <row r="1441" spans="1:2" x14ac:dyDescent="0.25">
      <c r="A1441" t="s">
        <v>259</v>
      </c>
      <c r="B1441" t="s">
        <v>2811</v>
      </c>
    </row>
    <row r="1442" spans="1:2" x14ac:dyDescent="0.25">
      <c r="A1442" t="s">
        <v>259</v>
      </c>
      <c r="B1442" t="s">
        <v>2812</v>
      </c>
    </row>
    <row r="1443" spans="1:2" x14ac:dyDescent="0.25">
      <c r="A1443" t="s">
        <v>259</v>
      </c>
      <c r="B1443" t="s">
        <v>2813</v>
      </c>
    </row>
    <row r="1444" spans="1:2" x14ac:dyDescent="0.25">
      <c r="A1444" t="s">
        <v>259</v>
      </c>
      <c r="B1444" t="s">
        <v>2814</v>
      </c>
    </row>
    <row r="1445" spans="1:2" x14ac:dyDescent="0.25">
      <c r="A1445" t="s">
        <v>259</v>
      </c>
      <c r="B1445" t="s">
        <v>2815</v>
      </c>
    </row>
    <row r="1446" spans="1:2" x14ac:dyDescent="0.25">
      <c r="A1446" t="s">
        <v>259</v>
      </c>
      <c r="B1446" t="s">
        <v>929</v>
      </c>
    </row>
    <row r="1447" spans="1:2" x14ac:dyDescent="0.25">
      <c r="A1447" t="s">
        <v>259</v>
      </c>
      <c r="B1447" t="s">
        <v>930</v>
      </c>
    </row>
    <row r="1448" spans="1:2" x14ac:dyDescent="0.25">
      <c r="A1448" t="s">
        <v>259</v>
      </c>
      <c r="B1448" t="s">
        <v>934</v>
      </c>
    </row>
    <row r="1449" spans="1:2" x14ac:dyDescent="0.25">
      <c r="A1449" t="s">
        <v>259</v>
      </c>
      <c r="B1449" t="s">
        <v>939</v>
      </c>
    </row>
    <row r="1450" spans="1:2" x14ac:dyDescent="0.25">
      <c r="A1450" t="s">
        <v>259</v>
      </c>
      <c r="B1450" t="s">
        <v>933</v>
      </c>
    </row>
    <row r="1451" spans="1:2" x14ac:dyDescent="0.25">
      <c r="A1451" t="s">
        <v>259</v>
      </c>
      <c r="B1451" t="s">
        <v>931</v>
      </c>
    </row>
    <row r="1452" spans="1:2" x14ac:dyDescent="0.25">
      <c r="A1452" t="s">
        <v>259</v>
      </c>
      <c r="B1452" t="s">
        <v>935</v>
      </c>
    </row>
    <row r="1453" spans="1:2" x14ac:dyDescent="0.25">
      <c r="A1453" t="s">
        <v>259</v>
      </c>
      <c r="B1453" t="s">
        <v>936</v>
      </c>
    </row>
    <row r="1454" spans="1:2" x14ac:dyDescent="0.25">
      <c r="A1454" t="s">
        <v>259</v>
      </c>
      <c r="B1454" t="s">
        <v>938</v>
      </c>
    </row>
    <row r="1455" spans="1:2" x14ac:dyDescent="0.25">
      <c r="A1455" t="s">
        <v>259</v>
      </c>
      <c r="B1455" t="s">
        <v>944</v>
      </c>
    </row>
    <row r="1456" spans="1:2" x14ac:dyDescent="0.25">
      <c r="A1456" t="s">
        <v>259</v>
      </c>
      <c r="B1456" t="s">
        <v>2816</v>
      </c>
    </row>
    <row r="1457" spans="1:2" x14ac:dyDescent="0.25">
      <c r="A1457" t="s">
        <v>259</v>
      </c>
      <c r="B1457" t="s">
        <v>937</v>
      </c>
    </row>
    <row r="1458" spans="1:2" x14ac:dyDescent="0.25">
      <c r="A1458" t="s">
        <v>259</v>
      </c>
      <c r="B1458" t="s">
        <v>2817</v>
      </c>
    </row>
    <row r="1459" spans="1:2" x14ac:dyDescent="0.25">
      <c r="A1459" t="s">
        <v>259</v>
      </c>
      <c r="B1459" t="s">
        <v>942</v>
      </c>
    </row>
    <row r="1460" spans="1:2" x14ac:dyDescent="0.25">
      <c r="A1460" t="s">
        <v>259</v>
      </c>
      <c r="B1460" t="s">
        <v>2818</v>
      </c>
    </row>
    <row r="1461" spans="1:2" x14ac:dyDescent="0.25">
      <c r="A1461" t="s">
        <v>259</v>
      </c>
      <c r="B1461" t="s">
        <v>928</v>
      </c>
    </row>
    <row r="1462" spans="1:2" x14ac:dyDescent="0.25">
      <c r="A1462" t="s">
        <v>259</v>
      </c>
      <c r="B1462" t="s">
        <v>945</v>
      </c>
    </row>
    <row r="1463" spans="1:2" x14ac:dyDescent="0.25">
      <c r="A1463" t="s">
        <v>259</v>
      </c>
      <c r="B1463" t="s">
        <v>2819</v>
      </c>
    </row>
    <row r="1464" spans="1:2" x14ac:dyDescent="0.25">
      <c r="A1464" t="s">
        <v>259</v>
      </c>
      <c r="B1464" t="s">
        <v>2820</v>
      </c>
    </row>
    <row r="1465" spans="1:2" x14ac:dyDescent="0.25">
      <c r="A1465" t="s">
        <v>259</v>
      </c>
      <c r="B1465" t="s">
        <v>946</v>
      </c>
    </row>
    <row r="1466" spans="1:2" x14ac:dyDescent="0.25">
      <c r="A1466" t="s">
        <v>259</v>
      </c>
      <c r="B1466" t="s">
        <v>2821</v>
      </c>
    </row>
    <row r="1467" spans="1:2" x14ac:dyDescent="0.25">
      <c r="A1467" t="s">
        <v>259</v>
      </c>
      <c r="B1467" t="s">
        <v>948</v>
      </c>
    </row>
    <row r="1468" spans="1:2" x14ac:dyDescent="0.25">
      <c r="A1468" t="s">
        <v>259</v>
      </c>
      <c r="B1468" t="s">
        <v>2822</v>
      </c>
    </row>
    <row r="1469" spans="1:2" x14ac:dyDescent="0.25">
      <c r="A1469" t="s">
        <v>259</v>
      </c>
      <c r="B1469" t="s">
        <v>943</v>
      </c>
    </row>
    <row r="1470" spans="1:2" x14ac:dyDescent="0.25">
      <c r="A1470" t="s">
        <v>259</v>
      </c>
      <c r="B1470" t="s">
        <v>2823</v>
      </c>
    </row>
    <row r="1471" spans="1:2" x14ac:dyDescent="0.25">
      <c r="A1471" t="s">
        <v>225</v>
      </c>
      <c r="B1471" t="s">
        <v>4097</v>
      </c>
    </row>
    <row r="1472" spans="1:2" x14ac:dyDescent="0.25">
      <c r="A1472" t="s">
        <v>225</v>
      </c>
      <c r="B1472" t="s">
        <v>3429</v>
      </c>
    </row>
    <row r="1473" spans="1:2" x14ac:dyDescent="0.25">
      <c r="A1473" t="s">
        <v>225</v>
      </c>
      <c r="B1473" t="s">
        <v>3430</v>
      </c>
    </row>
    <row r="1474" spans="1:2" x14ac:dyDescent="0.25">
      <c r="A1474" t="s">
        <v>225</v>
      </c>
      <c r="B1474" t="s">
        <v>4667</v>
      </c>
    </row>
    <row r="1475" spans="1:2" x14ac:dyDescent="0.25">
      <c r="A1475" t="s">
        <v>225</v>
      </c>
      <c r="B1475" t="s">
        <v>3431</v>
      </c>
    </row>
    <row r="1476" spans="1:2" x14ac:dyDescent="0.25">
      <c r="A1476" t="s">
        <v>225</v>
      </c>
      <c r="B1476" t="s">
        <v>3432</v>
      </c>
    </row>
    <row r="1477" spans="1:2" x14ac:dyDescent="0.25">
      <c r="A1477" t="s">
        <v>225</v>
      </c>
      <c r="B1477" t="s">
        <v>3433</v>
      </c>
    </row>
    <row r="1478" spans="1:2" x14ac:dyDescent="0.25">
      <c r="A1478" t="s">
        <v>225</v>
      </c>
      <c r="B1478" t="s">
        <v>3434</v>
      </c>
    </row>
    <row r="1479" spans="1:2" x14ac:dyDescent="0.25">
      <c r="A1479" t="s">
        <v>225</v>
      </c>
      <c r="B1479" t="s">
        <v>3435</v>
      </c>
    </row>
    <row r="1480" spans="1:2" x14ac:dyDescent="0.25">
      <c r="A1480" t="s">
        <v>225</v>
      </c>
      <c r="B1480" t="s">
        <v>3436</v>
      </c>
    </row>
    <row r="1481" spans="1:2" x14ac:dyDescent="0.25">
      <c r="A1481" t="s">
        <v>225</v>
      </c>
      <c r="B1481" t="s">
        <v>3437</v>
      </c>
    </row>
    <row r="1482" spans="1:2" x14ac:dyDescent="0.25">
      <c r="A1482" t="s">
        <v>225</v>
      </c>
      <c r="B1482" t="s">
        <v>3438</v>
      </c>
    </row>
    <row r="1483" spans="1:2" x14ac:dyDescent="0.25">
      <c r="A1483" t="s">
        <v>225</v>
      </c>
      <c r="B1483" t="s">
        <v>3439</v>
      </c>
    </row>
    <row r="1484" spans="1:2" x14ac:dyDescent="0.25">
      <c r="A1484" t="s">
        <v>225</v>
      </c>
      <c r="B1484" t="s">
        <v>3440</v>
      </c>
    </row>
    <row r="1485" spans="1:2" x14ac:dyDescent="0.25">
      <c r="A1485" t="s">
        <v>225</v>
      </c>
      <c r="B1485" t="s">
        <v>3441</v>
      </c>
    </row>
    <row r="1486" spans="1:2" x14ac:dyDescent="0.25">
      <c r="A1486" t="s">
        <v>225</v>
      </c>
      <c r="B1486" t="s">
        <v>3442</v>
      </c>
    </row>
    <row r="1487" spans="1:2" x14ac:dyDescent="0.25">
      <c r="A1487" t="s">
        <v>225</v>
      </c>
      <c r="B1487" t="s">
        <v>3443</v>
      </c>
    </row>
    <row r="1488" spans="1:2" x14ac:dyDescent="0.25">
      <c r="A1488" t="s">
        <v>279</v>
      </c>
      <c r="B1488" t="s">
        <v>4119</v>
      </c>
    </row>
    <row r="1489" spans="1:2" x14ac:dyDescent="0.25">
      <c r="A1489" t="s">
        <v>279</v>
      </c>
      <c r="B1489" t="s">
        <v>3993</v>
      </c>
    </row>
    <row r="1490" spans="1:2" x14ac:dyDescent="0.25">
      <c r="A1490" t="s">
        <v>279</v>
      </c>
      <c r="B1490" t="s">
        <v>3994</v>
      </c>
    </row>
    <row r="1491" spans="1:2" x14ac:dyDescent="0.25">
      <c r="A1491" t="s">
        <v>279</v>
      </c>
      <c r="B1491" t="s">
        <v>3995</v>
      </c>
    </row>
    <row r="1492" spans="1:2" x14ac:dyDescent="0.25">
      <c r="A1492" t="s">
        <v>279</v>
      </c>
      <c r="B1492" t="s">
        <v>3996</v>
      </c>
    </row>
    <row r="1493" spans="1:2" x14ac:dyDescent="0.25">
      <c r="A1493" t="s">
        <v>279</v>
      </c>
      <c r="B1493" t="s">
        <v>3997</v>
      </c>
    </row>
    <row r="1494" spans="1:2" x14ac:dyDescent="0.25">
      <c r="A1494" t="s">
        <v>279</v>
      </c>
      <c r="B1494" t="s">
        <v>3998</v>
      </c>
    </row>
    <row r="1495" spans="1:2" x14ac:dyDescent="0.25">
      <c r="A1495" t="s">
        <v>279</v>
      </c>
      <c r="B1495" t="s">
        <v>3999</v>
      </c>
    </row>
    <row r="1496" spans="1:2" x14ac:dyDescent="0.25">
      <c r="A1496" t="s">
        <v>279</v>
      </c>
      <c r="B1496" t="s">
        <v>4000</v>
      </c>
    </row>
    <row r="1497" spans="1:2" x14ac:dyDescent="0.25">
      <c r="A1497" t="s">
        <v>279</v>
      </c>
      <c r="B1497" t="s">
        <v>4001</v>
      </c>
    </row>
    <row r="1498" spans="1:2" x14ac:dyDescent="0.25">
      <c r="A1498" t="s">
        <v>279</v>
      </c>
      <c r="B1498" t="s">
        <v>4002</v>
      </c>
    </row>
    <row r="1499" spans="1:2" x14ac:dyDescent="0.25">
      <c r="A1499" t="s">
        <v>279</v>
      </c>
      <c r="B1499" t="s">
        <v>4003</v>
      </c>
    </row>
    <row r="1500" spans="1:2" x14ac:dyDescent="0.25">
      <c r="A1500" t="s">
        <v>279</v>
      </c>
      <c r="B1500" t="s">
        <v>4004</v>
      </c>
    </row>
    <row r="1501" spans="1:2" x14ac:dyDescent="0.25">
      <c r="A1501" t="s">
        <v>279</v>
      </c>
      <c r="B1501" t="s">
        <v>4005</v>
      </c>
    </row>
    <row r="1502" spans="1:2" x14ac:dyDescent="0.25">
      <c r="A1502" t="s">
        <v>279</v>
      </c>
      <c r="B1502" t="s">
        <v>4006</v>
      </c>
    </row>
    <row r="1503" spans="1:2" x14ac:dyDescent="0.25">
      <c r="A1503" t="s">
        <v>279</v>
      </c>
      <c r="B1503" t="s">
        <v>1468</v>
      </c>
    </row>
    <row r="1504" spans="1:2" x14ac:dyDescent="0.25">
      <c r="A1504" t="s">
        <v>279</v>
      </c>
      <c r="B1504" t="s">
        <v>4007</v>
      </c>
    </row>
    <row r="1505" spans="1:2" x14ac:dyDescent="0.25">
      <c r="A1505" t="s">
        <v>279</v>
      </c>
      <c r="B1505" t="s">
        <v>4008</v>
      </c>
    </row>
    <row r="1506" spans="1:2" x14ac:dyDescent="0.25">
      <c r="A1506" t="s">
        <v>279</v>
      </c>
      <c r="B1506" t="s">
        <v>4009</v>
      </c>
    </row>
    <row r="1507" spans="1:2" x14ac:dyDescent="0.25">
      <c r="A1507" t="s">
        <v>279</v>
      </c>
      <c r="B1507" t="s">
        <v>4010</v>
      </c>
    </row>
    <row r="1508" spans="1:2" x14ac:dyDescent="0.25">
      <c r="A1508" t="s">
        <v>279</v>
      </c>
      <c r="B1508" t="s">
        <v>4011</v>
      </c>
    </row>
    <row r="1509" spans="1:2" x14ac:dyDescent="0.25">
      <c r="A1509" t="s">
        <v>279</v>
      </c>
      <c r="B1509" t="s">
        <v>4012</v>
      </c>
    </row>
    <row r="1510" spans="1:2" x14ac:dyDescent="0.25">
      <c r="A1510" t="s">
        <v>279</v>
      </c>
      <c r="B1510" t="s">
        <v>4013</v>
      </c>
    </row>
    <row r="1511" spans="1:2" x14ac:dyDescent="0.25">
      <c r="A1511" t="s">
        <v>279</v>
      </c>
      <c r="B1511" t="s">
        <v>4014</v>
      </c>
    </row>
    <row r="1512" spans="1:2" x14ac:dyDescent="0.25">
      <c r="A1512" t="s">
        <v>242</v>
      </c>
      <c r="B1512" t="s">
        <v>4118</v>
      </c>
    </row>
    <row r="1513" spans="1:2" x14ac:dyDescent="0.25">
      <c r="A1513" t="s">
        <v>242</v>
      </c>
      <c r="B1513" t="s">
        <v>3979</v>
      </c>
    </row>
    <row r="1514" spans="1:2" x14ac:dyDescent="0.25">
      <c r="A1514" t="s">
        <v>242</v>
      </c>
      <c r="B1514" t="s">
        <v>3980</v>
      </c>
    </row>
    <row r="1515" spans="1:2" x14ac:dyDescent="0.25">
      <c r="A1515" t="s">
        <v>242</v>
      </c>
      <c r="B1515" t="s">
        <v>3981</v>
      </c>
    </row>
    <row r="1516" spans="1:2" x14ac:dyDescent="0.25">
      <c r="A1516" t="s">
        <v>242</v>
      </c>
      <c r="B1516" t="s">
        <v>3982</v>
      </c>
    </row>
    <row r="1517" spans="1:2" x14ac:dyDescent="0.25">
      <c r="A1517" t="s">
        <v>242</v>
      </c>
      <c r="B1517" t="s">
        <v>3983</v>
      </c>
    </row>
    <row r="1518" spans="1:2" x14ac:dyDescent="0.25">
      <c r="A1518" t="s">
        <v>242</v>
      </c>
      <c r="B1518" t="s">
        <v>3984</v>
      </c>
    </row>
    <row r="1519" spans="1:2" x14ac:dyDescent="0.25">
      <c r="A1519" t="s">
        <v>242</v>
      </c>
      <c r="B1519" t="s">
        <v>3985</v>
      </c>
    </row>
    <row r="1520" spans="1:2" x14ac:dyDescent="0.25">
      <c r="A1520" t="s">
        <v>242</v>
      </c>
      <c r="B1520" t="s">
        <v>3865</v>
      </c>
    </row>
    <row r="1521" spans="1:2" x14ac:dyDescent="0.25">
      <c r="A1521" t="s">
        <v>242</v>
      </c>
      <c r="B1521" t="s">
        <v>2593</v>
      </c>
    </row>
    <row r="1522" spans="1:2" x14ac:dyDescent="0.25">
      <c r="A1522" t="s">
        <v>242</v>
      </c>
      <c r="B1522" t="s">
        <v>3986</v>
      </c>
    </row>
    <row r="1523" spans="1:2" x14ac:dyDescent="0.25">
      <c r="A1523" t="s">
        <v>242</v>
      </c>
      <c r="B1523" t="s">
        <v>3987</v>
      </c>
    </row>
    <row r="1524" spans="1:2" x14ac:dyDescent="0.25">
      <c r="A1524" t="s">
        <v>242</v>
      </c>
      <c r="B1524" t="s">
        <v>3988</v>
      </c>
    </row>
    <row r="1525" spans="1:2" x14ac:dyDescent="0.25">
      <c r="A1525" t="s">
        <v>242</v>
      </c>
      <c r="B1525" t="s">
        <v>3989</v>
      </c>
    </row>
    <row r="1526" spans="1:2" x14ac:dyDescent="0.25">
      <c r="A1526" t="s">
        <v>242</v>
      </c>
      <c r="B1526" t="s">
        <v>3990</v>
      </c>
    </row>
    <row r="1527" spans="1:2" x14ac:dyDescent="0.25">
      <c r="A1527" t="s">
        <v>242</v>
      </c>
      <c r="B1527" t="s">
        <v>3991</v>
      </c>
    </row>
    <row r="1528" spans="1:2" x14ac:dyDescent="0.25">
      <c r="A1528" t="s">
        <v>242</v>
      </c>
      <c r="B1528" t="s">
        <v>3992</v>
      </c>
    </row>
    <row r="1529" spans="1:2" x14ac:dyDescent="0.25">
      <c r="A1529" t="s">
        <v>347</v>
      </c>
      <c r="B1529" t="s">
        <v>4041</v>
      </c>
    </row>
    <row r="1530" spans="1:2" x14ac:dyDescent="0.25">
      <c r="A1530" t="s">
        <v>347</v>
      </c>
      <c r="B1530" t="s">
        <v>2132</v>
      </c>
    </row>
    <row r="1531" spans="1:2" x14ac:dyDescent="0.25">
      <c r="A1531" t="s">
        <v>347</v>
      </c>
      <c r="B1531" t="s">
        <v>2133</v>
      </c>
    </row>
    <row r="1532" spans="1:2" x14ac:dyDescent="0.25">
      <c r="A1532" t="s">
        <v>347</v>
      </c>
      <c r="B1532" t="s">
        <v>2134</v>
      </c>
    </row>
    <row r="1533" spans="1:2" x14ac:dyDescent="0.25">
      <c r="A1533" t="s">
        <v>347</v>
      </c>
      <c r="B1533" t="s">
        <v>2135</v>
      </c>
    </row>
    <row r="1534" spans="1:2" x14ac:dyDescent="0.25">
      <c r="A1534" t="s">
        <v>347</v>
      </c>
      <c r="B1534" t="s">
        <v>1301</v>
      </c>
    </row>
    <row r="1535" spans="1:2" x14ac:dyDescent="0.25">
      <c r="A1535" t="s">
        <v>347</v>
      </c>
      <c r="B1535" t="s">
        <v>1497</v>
      </c>
    </row>
    <row r="1536" spans="1:2" x14ac:dyDescent="0.25">
      <c r="A1536" t="s">
        <v>347</v>
      </c>
      <c r="B1536" t="s">
        <v>1486</v>
      </c>
    </row>
    <row r="1537" spans="1:2" x14ac:dyDescent="0.25">
      <c r="A1537" t="s">
        <v>347</v>
      </c>
      <c r="B1537" t="s">
        <v>2136</v>
      </c>
    </row>
    <row r="1538" spans="1:2" x14ac:dyDescent="0.25">
      <c r="A1538" t="s">
        <v>347</v>
      </c>
      <c r="B1538" t="s">
        <v>885</v>
      </c>
    </row>
    <row r="1539" spans="1:2" x14ac:dyDescent="0.25">
      <c r="A1539" t="s">
        <v>347</v>
      </c>
      <c r="B1539" t="s">
        <v>2137</v>
      </c>
    </row>
    <row r="1540" spans="1:2" x14ac:dyDescent="0.25">
      <c r="A1540" t="s">
        <v>347</v>
      </c>
      <c r="B1540" t="s">
        <v>2138</v>
      </c>
    </row>
    <row r="1541" spans="1:2" x14ac:dyDescent="0.25">
      <c r="A1541" t="s">
        <v>347</v>
      </c>
      <c r="B1541" t="s">
        <v>2139</v>
      </c>
    </row>
    <row r="1542" spans="1:2" x14ac:dyDescent="0.25">
      <c r="A1542" t="s">
        <v>347</v>
      </c>
      <c r="B1542" t="s">
        <v>2140</v>
      </c>
    </row>
    <row r="1543" spans="1:2" x14ac:dyDescent="0.25">
      <c r="A1543" t="s">
        <v>347</v>
      </c>
      <c r="B1543" t="s">
        <v>2141</v>
      </c>
    </row>
    <row r="1544" spans="1:2" x14ac:dyDescent="0.25">
      <c r="A1544" t="s">
        <v>347</v>
      </c>
      <c r="B1544" t="s">
        <v>2142</v>
      </c>
    </row>
    <row r="1545" spans="1:2" x14ac:dyDescent="0.25">
      <c r="A1545" t="s">
        <v>347</v>
      </c>
      <c r="B1545" t="s">
        <v>2143</v>
      </c>
    </row>
    <row r="1546" spans="1:2" x14ac:dyDescent="0.25">
      <c r="A1546" t="s">
        <v>347</v>
      </c>
      <c r="B1546" t="s">
        <v>2144</v>
      </c>
    </row>
    <row r="1547" spans="1:2" x14ac:dyDescent="0.25">
      <c r="A1547" t="s">
        <v>347</v>
      </c>
      <c r="B1547" t="s">
        <v>2145</v>
      </c>
    </row>
    <row r="1548" spans="1:2" x14ac:dyDescent="0.25">
      <c r="A1548" t="s">
        <v>347</v>
      </c>
      <c r="B1548" t="s">
        <v>2146</v>
      </c>
    </row>
    <row r="1549" spans="1:2" x14ac:dyDescent="0.25">
      <c r="A1549" t="s">
        <v>347</v>
      </c>
      <c r="B1549" t="s">
        <v>2147</v>
      </c>
    </row>
    <row r="1550" spans="1:2" x14ac:dyDescent="0.25">
      <c r="A1550" t="s">
        <v>347</v>
      </c>
      <c r="B1550" t="s">
        <v>2148</v>
      </c>
    </row>
    <row r="1551" spans="1:2" x14ac:dyDescent="0.25">
      <c r="A1551" t="s">
        <v>347</v>
      </c>
      <c r="B1551" t="s">
        <v>2149</v>
      </c>
    </row>
    <row r="1552" spans="1:2" x14ac:dyDescent="0.25">
      <c r="A1552" t="s">
        <v>347</v>
      </c>
      <c r="B1552" t="s">
        <v>2150</v>
      </c>
    </row>
    <row r="1553" spans="1:2" x14ac:dyDescent="0.25">
      <c r="A1553" t="s">
        <v>347</v>
      </c>
      <c r="B1553" t="s">
        <v>2151</v>
      </c>
    </row>
    <row r="1554" spans="1:2" x14ac:dyDescent="0.25">
      <c r="A1554" t="s">
        <v>347</v>
      </c>
      <c r="B1554" t="s">
        <v>2152</v>
      </c>
    </row>
    <row r="1555" spans="1:2" x14ac:dyDescent="0.25">
      <c r="A1555" t="s">
        <v>347</v>
      </c>
      <c r="B1555" t="s">
        <v>2153</v>
      </c>
    </row>
    <row r="1556" spans="1:2" x14ac:dyDescent="0.25">
      <c r="A1556" t="s">
        <v>347</v>
      </c>
      <c r="B1556" t="s">
        <v>2154</v>
      </c>
    </row>
    <row r="1557" spans="1:2" x14ac:dyDescent="0.25">
      <c r="A1557" t="s">
        <v>347</v>
      </c>
      <c r="B1557" t="s">
        <v>2155</v>
      </c>
    </row>
    <row r="1558" spans="1:2" x14ac:dyDescent="0.25">
      <c r="A1558" t="s">
        <v>347</v>
      </c>
      <c r="B1558" t="s">
        <v>2156</v>
      </c>
    </row>
    <row r="1559" spans="1:2" x14ac:dyDescent="0.25">
      <c r="A1559" t="s">
        <v>347</v>
      </c>
      <c r="B1559" t="s">
        <v>2157</v>
      </c>
    </row>
    <row r="1560" spans="1:2" x14ac:dyDescent="0.25">
      <c r="A1560" t="s">
        <v>347</v>
      </c>
      <c r="B1560" t="s">
        <v>2158</v>
      </c>
    </row>
    <row r="1561" spans="1:2" x14ac:dyDescent="0.25">
      <c r="A1561" t="s">
        <v>350</v>
      </c>
      <c r="B1561" s="28" t="s">
        <v>4621</v>
      </c>
    </row>
    <row r="1562" spans="1:2" x14ac:dyDescent="0.25">
      <c r="A1562" t="s">
        <v>350</v>
      </c>
      <c r="B1562" t="s">
        <v>3472</v>
      </c>
    </row>
    <row r="1563" spans="1:2" x14ac:dyDescent="0.25">
      <c r="A1563" t="s">
        <v>350</v>
      </c>
      <c r="B1563" t="s">
        <v>3473</v>
      </c>
    </row>
    <row r="1564" spans="1:2" x14ac:dyDescent="0.25">
      <c r="A1564" t="s">
        <v>350</v>
      </c>
      <c r="B1564" t="s">
        <v>3474</v>
      </c>
    </row>
    <row r="1565" spans="1:2" x14ac:dyDescent="0.25">
      <c r="A1565" t="s">
        <v>350</v>
      </c>
      <c r="B1565" t="s">
        <v>3475</v>
      </c>
    </row>
    <row r="1566" spans="1:2" x14ac:dyDescent="0.25">
      <c r="A1566" t="s">
        <v>350</v>
      </c>
      <c r="B1566" t="s">
        <v>768</v>
      </c>
    </row>
    <row r="1567" spans="1:2" x14ac:dyDescent="0.25">
      <c r="A1567" t="s">
        <v>350</v>
      </c>
      <c r="B1567" t="s">
        <v>3476</v>
      </c>
    </row>
    <row r="1568" spans="1:2" x14ac:dyDescent="0.25">
      <c r="A1568" t="s">
        <v>350</v>
      </c>
      <c r="B1568" t="s">
        <v>3477</v>
      </c>
    </row>
    <row r="1569" spans="1:2" x14ac:dyDescent="0.25">
      <c r="A1569" t="s">
        <v>350</v>
      </c>
      <c r="B1569" t="s">
        <v>3478</v>
      </c>
    </row>
    <row r="1570" spans="1:2" x14ac:dyDescent="0.25">
      <c r="A1570" t="s">
        <v>350</v>
      </c>
      <c r="B1570" t="s">
        <v>3479</v>
      </c>
    </row>
    <row r="1571" spans="1:2" x14ac:dyDescent="0.25">
      <c r="A1571" t="s">
        <v>350</v>
      </c>
      <c r="B1571" t="s">
        <v>3480</v>
      </c>
    </row>
    <row r="1572" spans="1:2" x14ac:dyDescent="0.25">
      <c r="A1572" t="s">
        <v>350</v>
      </c>
      <c r="B1572" t="s">
        <v>3481</v>
      </c>
    </row>
    <row r="1573" spans="1:2" x14ac:dyDescent="0.25">
      <c r="A1573" t="s">
        <v>350</v>
      </c>
      <c r="B1573" t="s">
        <v>3482</v>
      </c>
    </row>
    <row r="1574" spans="1:2" x14ac:dyDescent="0.25">
      <c r="A1574" t="s">
        <v>350</v>
      </c>
      <c r="B1574" t="s">
        <v>3483</v>
      </c>
    </row>
    <row r="1575" spans="1:2" x14ac:dyDescent="0.25">
      <c r="A1575" t="s">
        <v>350</v>
      </c>
      <c r="B1575" t="s">
        <v>3484</v>
      </c>
    </row>
    <row r="1576" spans="1:2" x14ac:dyDescent="0.25">
      <c r="A1576" t="s">
        <v>350</v>
      </c>
      <c r="B1576" t="s">
        <v>3485</v>
      </c>
    </row>
    <row r="1577" spans="1:2" x14ac:dyDescent="0.25">
      <c r="A1577" s="29" t="s">
        <v>350</v>
      </c>
      <c r="B1577" s="29" t="s">
        <v>4657</v>
      </c>
    </row>
    <row r="1578" spans="1:2" x14ac:dyDescent="0.25">
      <c r="A1578" t="s">
        <v>350</v>
      </c>
      <c r="B1578" t="s">
        <v>4703</v>
      </c>
    </row>
    <row r="1579" spans="1:2" x14ac:dyDescent="0.25">
      <c r="A1579" t="s">
        <v>350</v>
      </c>
      <c r="B1579" t="s">
        <v>3554</v>
      </c>
    </row>
    <row r="1580" spans="1:2" x14ac:dyDescent="0.25">
      <c r="A1580" t="s">
        <v>230</v>
      </c>
      <c r="B1580" t="s">
        <v>2415</v>
      </c>
    </row>
    <row r="1581" spans="1:2" x14ac:dyDescent="0.25">
      <c r="A1581" t="s">
        <v>230</v>
      </c>
      <c r="B1581" t="s">
        <v>2416</v>
      </c>
    </row>
    <row r="1582" spans="1:2" x14ac:dyDescent="0.25">
      <c r="A1582" t="s">
        <v>230</v>
      </c>
      <c r="B1582" t="s">
        <v>2417</v>
      </c>
    </row>
    <row r="1583" spans="1:2" x14ac:dyDescent="0.25">
      <c r="A1583" t="s">
        <v>230</v>
      </c>
      <c r="B1583" t="s">
        <v>2418</v>
      </c>
    </row>
    <row r="1584" spans="1:2" x14ac:dyDescent="0.25">
      <c r="A1584" t="s">
        <v>230</v>
      </c>
      <c r="B1584" t="s">
        <v>2419</v>
      </c>
    </row>
    <row r="1585" spans="1:2" x14ac:dyDescent="0.25">
      <c r="A1585" t="s">
        <v>230</v>
      </c>
      <c r="B1585" t="s">
        <v>2420</v>
      </c>
    </row>
    <row r="1586" spans="1:2" x14ac:dyDescent="0.25">
      <c r="A1586" t="s">
        <v>230</v>
      </c>
      <c r="B1586" t="s">
        <v>2421</v>
      </c>
    </row>
    <row r="1587" spans="1:2" x14ac:dyDescent="0.25">
      <c r="A1587" t="s">
        <v>230</v>
      </c>
      <c r="B1587" t="s">
        <v>2422</v>
      </c>
    </row>
    <row r="1588" spans="1:2" x14ac:dyDescent="0.25">
      <c r="A1588" t="s">
        <v>230</v>
      </c>
      <c r="B1588" t="s">
        <v>2423</v>
      </c>
    </row>
    <row r="1589" spans="1:2" x14ac:dyDescent="0.25">
      <c r="A1589" t="s">
        <v>230</v>
      </c>
      <c r="B1589" t="s">
        <v>2424</v>
      </c>
    </row>
    <row r="1590" spans="1:2" x14ac:dyDescent="0.25">
      <c r="A1590" t="s">
        <v>230</v>
      </c>
      <c r="B1590" t="s">
        <v>2425</v>
      </c>
    </row>
    <row r="1591" spans="1:2" x14ac:dyDescent="0.25">
      <c r="A1591" t="s">
        <v>230</v>
      </c>
      <c r="B1591" t="s">
        <v>2426</v>
      </c>
    </row>
    <row r="1592" spans="1:2" x14ac:dyDescent="0.25">
      <c r="A1592" t="s">
        <v>230</v>
      </c>
      <c r="B1592" t="s">
        <v>2427</v>
      </c>
    </row>
    <row r="1593" spans="1:2" x14ac:dyDescent="0.25">
      <c r="A1593" t="s">
        <v>230</v>
      </c>
      <c r="B1593" t="s">
        <v>2428</v>
      </c>
    </row>
    <row r="1594" spans="1:2" x14ac:dyDescent="0.25">
      <c r="A1594" t="s">
        <v>230</v>
      </c>
      <c r="B1594" t="s">
        <v>2429</v>
      </c>
    </row>
    <row r="1595" spans="1:2" x14ac:dyDescent="0.25">
      <c r="A1595" t="s">
        <v>230</v>
      </c>
      <c r="B1595" t="s">
        <v>2430</v>
      </c>
    </row>
    <row r="1596" spans="1:2" x14ac:dyDescent="0.25">
      <c r="A1596" t="s">
        <v>230</v>
      </c>
      <c r="B1596" t="s">
        <v>2431</v>
      </c>
    </row>
    <row r="1597" spans="1:2" x14ac:dyDescent="0.25">
      <c r="A1597" t="s">
        <v>230</v>
      </c>
      <c r="B1597" t="s">
        <v>2432</v>
      </c>
    </row>
    <row r="1598" spans="1:2" x14ac:dyDescent="0.25">
      <c r="A1598" t="s">
        <v>230</v>
      </c>
      <c r="B1598" t="s">
        <v>4597</v>
      </c>
    </row>
    <row r="1599" spans="1:2" x14ac:dyDescent="0.25">
      <c r="A1599" t="s">
        <v>257</v>
      </c>
      <c r="B1599" t="s">
        <v>4234</v>
      </c>
    </row>
    <row r="1600" spans="1:2" x14ac:dyDescent="0.25">
      <c r="A1600" t="s">
        <v>257</v>
      </c>
      <c r="B1600" t="s">
        <v>4235</v>
      </c>
    </row>
    <row r="1601" spans="1:2" x14ac:dyDescent="0.25">
      <c r="A1601" t="s">
        <v>257</v>
      </c>
      <c r="B1601" t="s">
        <v>4236</v>
      </c>
    </row>
    <row r="1602" spans="1:2" x14ac:dyDescent="0.25">
      <c r="A1602" t="s">
        <v>257</v>
      </c>
      <c r="B1602" t="s">
        <v>4237</v>
      </c>
    </row>
    <row r="1603" spans="1:2" x14ac:dyDescent="0.25">
      <c r="A1603" t="s">
        <v>257</v>
      </c>
      <c r="B1603" t="s">
        <v>4238</v>
      </c>
    </row>
    <row r="1604" spans="1:2" x14ac:dyDescent="0.25">
      <c r="A1604" t="s">
        <v>257</v>
      </c>
      <c r="B1604" t="s">
        <v>4239</v>
      </c>
    </row>
    <row r="1605" spans="1:2" x14ac:dyDescent="0.25">
      <c r="A1605" t="s">
        <v>257</v>
      </c>
      <c r="B1605" t="s">
        <v>4240</v>
      </c>
    </row>
    <row r="1606" spans="1:2" x14ac:dyDescent="0.25">
      <c r="A1606" t="s">
        <v>257</v>
      </c>
      <c r="B1606" t="s">
        <v>4241</v>
      </c>
    </row>
    <row r="1607" spans="1:2" x14ac:dyDescent="0.25">
      <c r="A1607" t="s">
        <v>257</v>
      </c>
      <c r="B1607" t="s">
        <v>4242</v>
      </c>
    </row>
    <row r="1608" spans="1:2" x14ac:dyDescent="0.25">
      <c r="A1608" t="s">
        <v>257</v>
      </c>
      <c r="B1608" t="s">
        <v>4243</v>
      </c>
    </row>
    <row r="1609" spans="1:2" x14ac:dyDescent="0.25">
      <c r="A1609" t="s">
        <v>257</v>
      </c>
      <c r="B1609" t="s">
        <v>4244</v>
      </c>
    </row>
    <row r="1610" spans="1:2" x14ac:dyDescent="0.25">
      <c r="A1610" t="s">
        <v>257</v>
      </c>
      <c r="B1610" t="s">
        <v>4245</v>
      </c>
    </row>
    <row r="1611" spans="1:2" x14ac:dyDescent="0.25">
      <c r="A1611" t="s">
        <v>257</v>
      </c>
      <c r="B1611" t="s">
        <v>4246</v>
      </c>
    </row>
    <row r="1612" spans="1:2" x14ac:dyDescent="0.25">
      <c r="A1612" t="s">
        <v>257</v>
      </c>
      <c r="B1612" t="s">
        <v>4247</v>
      </c>
    </row>
    <row r="1613" spans="1:2" x14ac:dyDescent="0.25">
      <c r="A1613" t="s">
        <v>257</v>
      </c>
      <c r="B1613" t="s">
        <v>4248</v>
      </c>
    </row>
    <row r="1614" spans="1:2" x14ac:dyDescent="0.25">
      <c r="A1614" t="s">
        <v>257</v>
      </c>
      <c r="B1614" t="s">
        <v>4249</v>
      </c>
    </row>
    <row r="1615" spans="1:2" x14ac:dyDescent="0.25">
      <c r="A1615" t="s">
        <v>257</v>
      </c>
      <c r="B1615" t="s">
        <v>4250</v>
      </c>
    </row>
    <row r="1616" spans="1:2" x14ac:dyDescent="0.25">
      <c r="A1616" t="s">
        <v>247</v>
      </c>
      <c r="B1616" t="s">
        <v>4085</v>
      </c>
    </row>
    <row r="1617" spans="1:2" x14ac:dyDescent="0.25">
      <c r="A1617" t="s">
        <v>247</v>
      </c>
      <c r="B1617" t="s">
        <v>3169</v>
      </c>
    </row>
    <row r="1618" spans="1:2" x14ac:dyDescent="0.25">
      <c r="A1618" t="s">
        <v>247</v>
      </c>
      <c r="B1618" t="s">
        <v>1419</v>
      </c>
    </row>
    <row r="1619" spans="1:2" x14ac:dyDescent="0.25">
      <c r="A1619" t="s">
        <v>247</v>
      </c>
      <c r="B1619" t="s">
        <v>1394</v>
      </c>
    </row>
    <row r="1620" spans="1:2" x14ac:dyDescent="0.25">
      <c r="A1620" t="s">
        <v>247</v>
      </c>
      <c r="B1620" t="s">
        <v>3170</v>
      </c>
    </row>
    <row r="1621" spans="1:2" x14ac:dyDescent="0.25">
      <c r="A1621" t="s">
        <v>247</v>
      </c>
      <c r="B1621" t="s">
        <v>1390</v>
      </c>
    </row>
    <row r="1622" spans="1:2" x14ac:dyDescent="0.25">
      <c r="A1622" t="s">
        <v>247</v>
      </c>
      <c r="B1622" t="s">
        <v>1395</v>
      </c>
    </row>
    <row r="1623" spans="1:2" x14ac:dyDescent="0.25">
      <c r="A1623" t="s">
        <v>247</v>
      </c>
      <c r="B1623" t="s">
        <v>3171</v>
      </c>
    </row>
    <row r="1624" spans="1:2" x14ac:dyDescent="0.25">
      <c r="A1624" t="s">
        <v>247</v>
      </c>
      <c r="B1624" t="s">
        <v>1396</v>
      </c>
    </row>
    <row r="1625" spans="1:2" x14ac:dyDescent="0.25">
      <c r="A1625" t="s">
        <v>247</v>
      </c>
      <c r="B1625" t="s">
        <v>1391</v>
      </c>
    </row>
    <row r="1626" spans="1:2" x14ac:dyDescent="0.25">
      <c r="A1626" t="s">
        <v>247</v>
      </c>
      <c r="B1626" t="s">
        <v>1393</v>
      </c>
    </row>
    <row r="1627" spans="1:2" x14ac:dyDescent="0.25">
      <c r="A1627" t="s">
        <v>247</v>
      </c>
      <c r="B1627" t="s">
        <v>4598</v>
      </c>
    </row>
    <row r="1628" spans="1:2" x14ac:dyDescent="0.25">
      <c r="A1628" t="s">
        <v>247</v>
      </c>
      <c r="B1628" t="s">
        <v>3172</v>
      </c>
    </row>
    <row r="1629" spans="1:2" x14ac:dyDescent="0.25">
      <c r="A1629" t="s">
        <v>247</v>
      </c>
      <c r="B1629" t="s">
        <v>1397</v>
      </c>
    </row>
    <row r="1630" spans="1:2" x14ac:dyDescent="0.25">
      <c r="A1630" t="s">
        <v>247</v>
      </c>
      <c r="B1630" t="s">
        <v>4599</v>
      </c>
    </row>
    <row r="1631" spans="1:2" x14ac:dyDescent="0.25">
      <c r="A1631" t="s">
        <v>247</v>
      </c>
      <c r="B1631" t="s">
        <v>1392</v>
      </c>
    </row>
    <row r="1632" spans="1:2" x14ac:dyDescent="0.25">
      <c r="A1632" t="s">
        <v>247</v>
      </c>
      <c r="B1632" t="s">
        <v>3173</v>
      </c>
    </row>
    <row r="1633" spans="1:2" x14ac:dyDescent="0.25">
      <c r="A1633" t="s">
        <v>247</v>
      </c>
      <c r="B1633" t="s">
        <v>3174</v>
      </c>
    </row>
    <row r="1634" spans="1:2" x14ac:dyDescent="0.25">
      <c r="A1634" t="s">
        <v>247</v>
      </c>
      <c r="B1634" t="s">
        <v>3175</v>
      </c>
    </row>
    <row r="1635" spans="1:2" x14ac:dyDescent="0.25">
      <c r="A1635" t="s">
        <v>247</v>
      </c>
      <c r="B1635" t="s">
        <v>3176</v>
      </c>
    </row>
    <row r="1636" spans="1:2" x14ac:dyDescent="0.25">
      <c r="A1636" t="s">
        <v>1549</v>
      </c>
      <c r="B1636" t="s">
        <v>4081</v>
      </c>
    </row>
    <row r="1637" spans="1:2" x14ac:dyDescent="0.25">
      <c r="A1637" t="s">
        <v>1549</v>
      </c>
      <c r="B1637" t="s">
        <v>3061</v>
      </c>
    </row>
    <row r="1638" spans="1:2" x14ac:dyDescent="0.25">
      <c r="A1638" t="s">
        <v>1549</v>
      </c>
      <c r="B1638" t="s">
        <v>3062</v>
      </c>
    </row>
    <row r="1639" spans="1:2" x14ac:dyDescent="0.25">
      <c r="A1639" t="s">
        <v>1549</v>
      </c>
      <c r="B1639" t="s">
        <v>3063</v>
      </c>
    </row>
    <row r="1640" spans="1:2" x14ac:dyDescent="0.25">
      <c r="A1640" t="s">
        <v>1549</v>
      </c>
      <c r="B1640" t="s">
        <v>3064</v>
      </c>
    </row>
    <row r="1641" spans="1:2" x14ac:dyDescent="0.25">
      <c r="A1641" t="s">
        <v>1549</v>
      </c>
      <c r="B1641" t="s">
        <v>3065</v>
      </c>
    </row>
    <row r="1642" spans="1:2" x14ac:dyDescent="0.25">
      <c r="A1642" t="s">
        <v>1549</v>
      </c>
      <c r="B1642" t="s">
        <v>3066</v>
      </c>
    </row>
    <row r="1643" spans="1:2" x14ac:dyDescent="0.25">
      <c r="A1643" t="s">
        <v>1549</v>
      </c>
      <c r="B1643" t="s">
        <v>3067</v>
      </c>
    </row>
    <row r="1644" spans="1:2" x14ac:dyDescent="0.25">
      <c r="A1644" t="s">
        <v>1549</v>
      </c>
      <c r="B1644" t="s">
        <v>3068</v>
      </c>
    </row>
    <row r="1645" spans="1:2" x14ac:dyDescent="0.25">
      <c r="A1645" t="s">
        <v>1549</v>
      </c>
      <c r="B1645" t="s">
        <v>3069</v>
      </c>
    </row>
    <row r="1646" spans="1:2" x14ac:dyDescent="0.25">
      <c r="A1646" t="s">
        <v>1549</v>
      </c>
      <c r="B1646" t="s">
        <v>3070</v>
      </c>
    </row>
    <row r="1647" spans="1:2" x14ac:dyDescent="0.25">
      <c r="A1647" t="s">
        <v>1549</v>
      </c>
      <c r="B1647" t="s">
        <v>3071</v>
      </c>
    </row>
    <row r="1648" spans="1:2" x14ac:dyDescent="0.25">
      <c r="A1648" t="s">
        <v>1549</v>
      </c>
      <c r="B1648" t="s">
        <v>3072</v>
      </c>
    </row>
    <row r="1649" spans="1:2" x14ac:dyDescent="0.25">
      <c r="A1649" t="s">
        <v>1549</v>
      </c>
      <c r="B1649" t="s">
        <v>3073</v>
      </c>
    </row>
    <row r="1650" spans="1:2" x14ac:dyDescent="0.25">
      <c r="A1650" t="s">
        <v>1549</v>
      </c>
      <c r="B1650" t="s">
        <v>3074</v>
      </c>
    </row>
    <row r="1651" spans="1:2" x14ac:dyDescent="0.25">
      <c r="A1651" t="s">
        <v>1549</v>
      </c>
      <c r="B1651" t="s">
        <v>3075</v>
      </c>
    </row>
    <row r="1652" spans="1:2" x14ac:dyDescent="0.25">
      <c r="A1652" t="s">
        <v>1549</v>
      </c>
      <c r="B1652" t="s">
        <v>3076</v>
      </c>
    </row>
    <row r="1653" spans="1:2" x14ac:dyDescent="0.25">
      <c r="A1653" t="s">
        <v>1549</v>
      </c>
      <c r="B1653" t="s">
        <v>3077</v>
      </c>
    </row>
    <row r="1654" spans="1:2" x14ac:dyDescent="0.25">
      <c r="A1654" t="s">
        <v>1549</v>
      </c>
      <c r="B1654" t="s">
        <v>3078</v>
      </c>
    </row>
    <row r="1655" spans="1:2" x14ac:dyDescent="0.25">
      <c r="A1655" t="s">
        <v>1549</v>
      </c>
      <c r="B1655" t="s">
        <v>3079</v>
      </c>
    </row>
    <row r="1656" spans="1:2" x14ac:dyDescent="0.25">
      <c r="A1656" t="s">
        <v>1549</v>
      </c>
      <c r="B1656" t="s">
        <v>3080</v>
      </c>
    </row>
    <row r="1657" spans="1:2" x14ac:dyDescent="0.25">
      <c r="A1657" t="s">
        <v>1549</v>
      </c>
      <c r="B1657" t="s">
        <v>3081</v>
      </c>
    </row>
    <row r="1658" spans="1:2" x14ac:dyDescent="0.25">
      <c r="A1658" t="s">
        <v>1549</v>
      </c>
      <c r="B1658" t="s">
        <v>3082</v>
      </c>
    </row>
    <row r="1659" spans="1:2" x14ac:dyDescent="0.25">
      <c r="A1659" t="s">
        <v>1549</v>
      </c>
      <c r="B1659" t="s">
        <v>3083</v>
      </c>
    </row>
    <row r="1660" spans="1:2" x14ac:dyDescent="0.25">
      <c r="A1660" t="s">
        <v>1549</v>
      </c>
      <c r="B1660" t="s">
        <v>3084</v>
      </c>
    </row>
    <row r="1661" spans="1:2" x14ac:dyDescent="0.25">
      <c r="A1661" t="s">
        <v>1549</v>
      </c>
      <c r="B1661" t="s">
        <v>3085</v>
      </c>
    </row>
    <row r="1662" spans="1:2" x14ac:dyDescent="0.25">
      <c r="A1662" t="s">
        <v>245</v>
      </c>
      <c r="B1662" t="s">
        <v>4251</v>
      </c>
    </row>
    <row r="1663" spans="1:2" x14ac:dyDescent="0.25">
      <c r="A1663" t="s">
        <v>245</v>
      </c>
      <c r="B1663" t="s">
        <v>4252</v>
      </c>
    </row>
    <row r="1664" spans="1:2" x14ac:dyDescent="0.25">
      <c r="A1664" t="s">
        <v>245</v>
      </c>
      <c r="B1664" t="s">
        <v>4253</v>
      </c>
    </row>
    <row r="1665" spans="1:2" x14ac:dyDescent="0.25">
      <c r="A1665" t="s">
        <v>245</v>
      </c>
      <c r="B1665" t="s">
        <v>4254</v>
      </c>
    </row>
    <row r="1666" spans="1:2" x14ac:dyDescent="0.25">
      <c r="A1666" t="s">
        <v>245</v>
      </c>
      <c r="B1666" t="s">
        <v>4255</v>
      </c>
    </row>
    <row r="1667" spans="1:2" x14ac:dyDescent="0.25">
      <c r="A1667" t="s">
        <v>245</v>
      </c>
      <c r="B1667" t="s">
        <v>4256</v>
      </c>
    </row>
    <row r="1668" spans="1:2" x14ac:dyDescent="0.25">
      <c r="A1668" t="s">
        <v>245</v>
      </c>
      <c r="B1668" t="s">
        <v>4257</v>
      </c>
    </row>
    <row r="1669" spans="1:2" x14ac:dyDescent="0.25">
      <c r="A1669" t="s">
        <v>245</v>
      </c>
      <c r="B1669" t="s">
        <v>4258</v>
      </c>
    </row>
    <row r="1670" spans="1:2" x14ac:dyDescent="0.25">
      <c r="A1670" t="s">
        <v>245</v>
      </c>
      <c r="B1670" t="s">
        <v>4259</v>
      </c>
    </row>
    <row r="1671" spans="1:2" x14ac:dyDescent="0.25">
      <c r="A1671" t="s">
        <v>245</v>
      </c>
      <c r="B1671" t="s">
        <v>4260</v>
      </c>
    </row>
    <row r="1672" spans="1:2" x14ac:dyDescent="0.25">
      <c r="A1672" t="s">
        <v>245</v>
      </c>
      <c r="B1672" t="s">
        <v>4261</v>
      </c>
    </row>
    <row r="1673" spans="1:2" x14ac:dyDescent="0.25">
      <c r="A1673" t="s">
        <v>245</v>
      </c>
      <c r="B1673" t="s">
        <v>4262</v>
      </c>
    </row>
    <row r="1674" spans="1:2" x14ac:dyDescent="0.25">
      <c r="A1674" t="s">
        <v>245</v>
      </c>
      <c r="B1674" t="s">
        <v>4263</v>
      </c>
    </row>
    <row r="1675" spans="1:2" x14ac:dyDescent="0.25">
      <c r="A1675" t="s">
        <v>236</v>
      </c>
      <c r="B1675" t="s">
        <v>1742</v>
      </c>
    </row>
    <row r="1676" spans="1:2" x14ac:dyDescent="0.25">
      <c r="A1676" t="s">
        <v>236</v>
      </c>
      <c r="B1676" t="s">
        <v>1743</v>
      </c>
    </row>
    <row r="1677" spans="1:2" x14ac:dyDescent="0.25">
      <c r="A1677" t="s">
        <v>236</v>
      </c>
      <c r="B1677" t="s">
        <v>1744</v>
      </c>
    </row>
    <row r="1678" spans="1:2" x14ac:dyDescent="0.25">
      <c r="A1678" t="s">
        <v>236</v>
      </c>
      <c r="B1678" t="s">
        <v>1745</v>
      </c>
    </row>
    <row r="1679" spans="1:2" x14ac:dyDescent="0.25">
      <c r="A1679" t="s">
        <v>236</v>
      </c>
      <c r="B1679" t="s">
        <v>1746</v>
      </c>
    </row>
    <row r="1680" spans="1:2" x14ac:dyDescent="0.25">
      <c r="A1680" t="s">
        <v>236</v>
      </c>
      <c r="B1680" t="s">
        <v>1747</v>
      </c>
    </row>
    <row r="1681" spans="1:2" x14ac:dyDescent="0.25">
      <c r="A1681" t="s">
        <v>236</v>
      </c>
      <c r="B1681" t="s">
        <v>1748</v>
      </c>
    </row>
    <row r="1682" spans="1:2" x14ac:dyDescent="0.25">
      <c r="A1682" t="s">
        <v>236</v>
      </c>
      <c r="B1682" t="s">
        <v>1749</v>
      </c>
    </row>
    <row r="1683" spans="1:2" x14ac:dyDescent="0.25">
      <c r="A1683" t="s">
        <v>236</v>
      </c>
      <c r="B1683" t="s">
        <v>1750</v>
      </c>
    </row>
    <row r="1684" spans="1:2" x14ac:dyDescent="0.25">
      <c r="A1684" t="s">
        <v>236</v>
      </c>
      <c r="B1684" t="s">
        <v>1751</v>
      </c>
    </row>
    <row r="1685" spans="1:2" x14ac:dyDescent="0.25">
      <c r="A1685" t="s">
        <v>236</v>
      </c>
      <c r="B1685" t="s">
        <v>1752</v>
      </c>
    </row>
    <row r="1686" spans="1:2" x14ac:dyDescent="0.25">
      <c r="A1686" t="s">
        <v>236</v>
      </c>
      <c r="B1686" t="s">
        <v>1753</v>
      </c>
    </row>
    <row r="1687" spans="1:2" x14ac:dyDescent="0.25">
      <c r="A1687" t="s">
        <v>236</v>
      </c>
      <c r="B1687" t="s">
        <v>1754</v>
      </c>
    </row>
    <row r="1688" spans="1:2" x14ac:dyDescent="0.25">
      <c r="A1688" t="s">
        <v>236</v>
      </c>
      <c r="B1688" t="s">
        <v>1755</v>
      </c>
    </row>
    <row r="1689" spans="1:2" x14ac:dyDescent="0.25">
      <c r="A1689" t="s">
        <v>236</v>
      </c>
      <c r="B1689" t="s">
        <v>1756</v>
      </c>
    </row>
    <row r="1690" spans="1:2" x14ac:dyDescent="0.25">
      <c r="A1690" t="s">
        <v>213</v>
      </c>
      <c r="B1690" t="s">
        <v>3618</v>
      </c>
    </row>
    <row r="1691" spans="1:2" x14ac:dyDescent="0.25">
      <c r="A1691" t="s">
        <v>213</v>
      </c>
      <c r="B1691" t="s">
        <v>3619</v>
      </c>
    </row>
    <row r="1692" spans="1:2" x14ac:dyDescent="0.25">
      <c r="A1692" t="s">
        <v>213</v>
      </c>
      <c r="B1692" t="s">
        <v>3620</v>
      </c>
    </row>
    <row r="1693" spans="1:2" x14ac:dyDescent="0.25">
      <c r="A1693" t="s">
        <v>213</v>
      </c>
      <c r="B1693" t="s">
        <v>3621</v>
      </c>
    </row>
    <row r="1694" spans="1:2" x14ac:dyDescent="0.25">
      <c r="A1694" t="s">
        <v>213</v>
      </c>
      <c r="B1694" t="s">
        <v>3622</v>
      </c>
    </row>
    <row r="1695" spans="1:2" x14ac:dyDescent="0.25">
      <c r="A1695" t="s">
        <v>213</v>
      </c>
      <c r="B1695" t="s">
        <v>3623</v>
      </c>
    </row>
    <row r="1696" spans="1:2" x14ac:dyDescent="0.25">
      <c r="A1696" t="s">
        <v>213</v>
      </c>
      <c r="B1696" t="s">
        <v>3624</v>
      </c>
    </row>
    <row r="1697" spans="1:2" x14ac:dyDescent="0.25">
      <c r="A1697" t="s">
        <v>213</v>
      </c>
      <c r="B1697" t="s">
        <v>3625</v>
      </c>
    </row>
    <row r="1698" spans="1:2" x14ac:dyDescent="0.25">
      <c r="A1698" t="s">
        <v>213</v>
      </c>
      <c r="B1698" t="s">
        <v>3626</v>
      </c>
    </row>
    <row r="1699" spans="1:2" x14ac:dyDescent="0.25">
      <c r="A1699" t="s">
        <v>213</v>
      </c>
      <c r="B1699" t="s">
        <v>3627</v>
      </c>
    </row>
    <row r="1700" spans="1:2" x14ac:dyDescent="0.25">
      <c r="A1700" t="s">
        <v>213</v>
      </c>
      <c r="B1700" t="s">
        <v>3628</v>
      </c>
    </row>
    <row r="1701" spans="1:2" x14ac:dyDescent="0.25">
      <c r="A1701" t="s">
        <v>213</v>
      </c>
      <c r="B1701" t="s">
        <v>3629</v>
      </c>
    </row>
    <row r="1702" spans="1:2" x14ac:dyDescent="0.25">
      <c r="A1702" t="s">
        <v>213</v>
      </c>
      <c r="B1702" t="s">
        <v>3630</v>
      </c>
    </row>
    <row r="1703" spans="1:2" x14ac:dyDescent="0.25">
      <c r="A1703" t="s">
        <v>213</v>
      </c>
      <c r="B1703" t="s">
        <v>3631</v>
      </c>
    </row>
    <row r="1704" spans="1:2" x14ac:dyDescent="0.25">
      <c r="A1704" t="s">
        <v>213</v>
      </c>
      <c r="B1704" t="s">
        <v>3632</v>
      </c>
    </row>
    <row r="1705" spans="1:2" x14ac:dyDescent="0.25">
      <c r="A1705" t="s">
        <v>213</v>
      </c>
      <c r="B1705" t="s">
        <v>3633</v>
      </c>
    </row>
    <row r="1706" spans="1:2" x14ac:dyDescent="0.25">
      <c r="A1706" t="s">
        <v>213</v>
      </c>
      <c r="B1706" t="s">
        <v>3634</v>
      </c>
    </row>
    <row r="1707" spans="1:2" x14ac:dyDescent="0.25">
      <c r="A1707" t="s">
        <v>213</v>
      </c>
      <c r="B1707" t="s">
        <v>2724</v>
      </c>
    </row>
    <row r="1708" spans="1:2" x14ac:dyDescent="0.25">
      <c r="A1708" t="s">
        <v>215</v>
      </c>
      <c r="B1708" t="s">
        <v>4073</v>
      </c>
    </row>
    <row r="1709" spans="1:2" x14ac:dyDescent="0.25">
      <c r="A1709" t="s">
        <v>215</v>
      </c>
      <c r="B1709" t="s">
        <v>2908</v>
      </c>
    </row>
    <row r="1710" spans="1:2" x14ac:dyDescent="0.25">
      <c r="A1710" t="s">
        <v>215</v>
      </c>
      <c r="B1710" t="s">
        <v>2909</v>
      </c>
    </row>
    <row r="1711" spans="1:2" x14ac:dyDescent="0.25">
      <c r="A1711" t="s">
        <v>215</v>
      </c>
      <c r="B1711" t="s">
        <v>2910</v>
      </c>
    </row>
    <row r="1712" spans="1:2" x14ac:dyDescent="0.25">
      <c r="A1712" t="s">
        <v>215</v>
      </c>
      <c r="B1712" t="s">
        <v>2911</v>
      </c>
    </row>
    <row r="1713" spans="1:2" x14ac:dyDescent="0.25">
      <c r="A1713" t="s">
        <v>215</v>
      </c>
      <c r="B1713" t="s">
        <v>2912</v>
      </c>
    </row>
    <row r="1714" spans="1:2" x14ac:dyDescent="0.25">
      <c r="A1714" t="s">
        <v>215</v>
      </c>
      <c r="B1714" t="s">
        <v>2913</v>
      </c>
    </row>
    <row r="1715" spans="1:2" x14ac:dyDescent="0.25">
      <c r="A1715" t="s">
        <v>215</v>
      </c>
      <c r="B1715" t="s">
        <v>2914</v>
      </c>
    </row>
    <row r="1716" spans="1:2" x14ac:dyDescent="0.25">
      <c r="A1716" t="s">
        <v>215</v>
      </c>
      <c r="B1716" t="s">
        <v>2915</v>
      </c>
    </row>
    <row r="1717" spans="1:2" x14ac:dyDescent="0.25">
      <c r="A1717" t="s">
        <v>215</v>
      </c>
      <c r="B1717" t="s">
        <v>2916</v>
      </c>
    </row>
    <row r="1718" spans="1:2" x14ac:dyDescent="0.25">
      <c r="A1718" t="s">
        <v>215</v>
      </c>
      <c r="B1718" t="s">
        <v>2917</v>
      </c>
    </row>
    <row r="1719" spans="1:2" x14ac:dyDescent="0.25">
      <c r="A1719" t="s">
        <v>215</v>
      </c>
      <c r="B1719" t="s">
        <v>2918</v>
      </c>
    </row>
    <row r="1720" spans="1:2" x14ac:dyDescent="0.25">
      <c r="A1720" t="s">
        <v>215</v>
      </c>
      <c r="B1720" t="s">
        <v>2919</v>
      </c>
    </row>
    <row r="1721" spans="1:2" x14ac:dyDescent="0.25">
      <c r="A1721" t="s">
        <v>215</v>
      </c>
      <c r="B1721" t="s">
        <v>2920</v>
      </c>
    </row>
    <row r="1722" spans="1:2" x14ac:dyDescent="0.25">
      <c r="A1722" t="s">
        <v>215</v>
      </c>
      <c r="B1722" t="s">
        <v>2921</v>
      </c>
    </row>
    <row r="1723" spans="1:2" x14ac:dyDescent="0.25">
      <c r="A1723" t="s">
        <v>215</v>
      </c>
      <c r="B1723" t="s">
        <v>2922</v>
      </c>
    </row>
    <row r="1724" spans="1:2" x14ac:dyDescent="0.25">
      <c r="A1724" t="s">
        <v>215</v>
      </c>
      <c r="B1724" t="s">
        <v>2923</v>
      </c>
    </row>
    <row r="1725" spans="1:2" x14ac:dyDescent="0.25">
      <c r="A1725" t="s">
        <v>215</v>
      </c>
      <c r="B1725" t="s">
        <v>2924</v>
      </c>
    </row>
    <row r="1726" spans="1:2" x14ac:dyDescent="0.25">
      <c r="A1726" t="s">
        <v>215</v>
      </c>
      <c r="B1726" t="s">
        <v>2925</v>
      </c>
    </row>
    <row r="1727" spans="1:2" x14ac:dyDescent="0.25">
      <c r="A1727" t="s">
        <v>215</v>
      </c>
      <c r="B1727" t="s">
        <v>2926</v>
      </c>
    </row>
    <row r="1728" spans="1:2" x14ac:dyDescent="0.25">
      <c r="A1728" t="s">
        <v>215</v>
      </c>
      <c r="B1728" t="s">
        <v>2927</v>
      </c>
    </row>
    <row r="1729" spans="1:2" x14ac:dyDescent="0.25">
      <c r="A1729" t="s">
        <v>215</v>
      </c>
      <c r="B1729" t="s">
        <v>2928</v>
      </c>
    </row>
    <row r="1730" spans="1:2" x14ac:dyDescent="0.25">
      <c r="A1730" t="s">
        <v>215</v>
      </c>
      <c r="B1730" t="s">
        <v>2929</v>
      </c>
    </row>
    <row r="1731" spans="1:2" x14ac:dyDescent="0.25">
      <c r="A1731" t="s">
        <v>215</v>
      </c>
      <c r="B1731" t="s">
        <v>2930</v>
      </c>
    </row>
    <row r="1732" spans="1:2" x14ac:dyDescent="0.25">
      <c r="A1732" t="s">
        <v>215</v>
      </c>
      <c r="B1732" t="s">
        <v>2931</v>
      </c>
    </row>
    <row r="1733" spans="1:2" x14ac:dyDescent="0.25">
      <c r="A1733" t="s">
        <v>215</v>
      </c>
      <c r="B1733" t="s">
        <v>2932</v>
      </c>
    </row>
    <row r="1734" spans="1:2" x14ac:dyDescent="0.25">
      <c r="A1734" t="s">
        <v>258</v>
      </c>
      <c r="B1734" t="s">
        <v>1034</v>
      </c>
    </row>
    <row r="1735" spans="1:2" x14ac:dyDescent="0.25">
      <c r="A1735" t="s">
        <v>258</v>
      </c>
      <c r="B1735" t="s">
        <v>2077</v>
      </c>
    </row>
    <row r="1736" spans="1:2" x14ac:dyDescent="0.25">
      <c r="A1736" t="s">
        <v>258</v>
      </c>
      <c r="B1736" t="s">
        <v>1035</v>
      </c>
    </row>
    <row r="1737" spans="1:2" x14ac:dyDescent="0.25">
      <c r="A1737" t="s">
        <v>258</v>
      </c>
      <c r="B1737" t="s">
        <v>2078</v>
      </c>
    </row>
    <row r="1738" spans="1:2" x14ac:dyDescent="0.25">
      <c r="A1738" t="s">
        <v>258</v>
      </c>
      <c r="B1738" t="s">
        <v>693</v>
      </c>
    </row>
    <row r="1739" spans="1:2" x14ac:dyDescent="0.25">
      <c r="A1739" t="s">
        <v>258</v>
      </c>
      <c r="B1739" t="s">
        <v>1038</v>
      </c>
    </row>
    <row r="1740" spans="1:2" x14ac:dyDescent="0.25">
      <c r="A1740" t="s">
        <v>258</v>
      </c>
      <c r="B1740" t="s">
        <v>726</v>
      </c>
    </row>
    <row r="1741" spans="1:2" x14ac:dyDescent="0.25">
      <c r="A1741" t="s">
        <v>258</v>
      </c>
      <c r="B1741" t="s">
        <v>418</v>
      </c>
    </row>
    <row r="1742" spans="1:2" x14ac:dyDescent="0.25">
      <c r="A1742" t="s">
        <v>258</v>
      </c>
      <c r="B1742" t="s">
        <v>2079</v>
      </c>
    </row>
    <row r="1743" spans="1:2" x14ac:dyDescent="0.25">
      <c r="A1743" t="s">
        <v>258</v>
      </c>
      <c r="B1743" t="s">
        <v>780</v>
      </c>
    </row>
    <row r="1744" spans="1:2" x14ac:dyDescent="0.25">
      <c r="A1744" t="s">
        <v>258</v>
      </c>
      <c r="B1744" t="s">
        <v>781</v>
      </c>
    </row>
    <row r="1745" spans="1:2" x14ac:dyDescent="0.25">
      <c r="A1745" t="s">
        <v>258</v>
      </c>
      <c r="B1745" t="s">
        <v>773</v>
      </c>
    </row>
    <row r="1746" spans="1:2" x14ac:dyDescent="0.25">
      <c r="A1746" t="s">
        <v>258</v>
      </c>
      <c r="B1746" t="s">
        <v>782</v>
      </c>
    </row>
    <row r="1747" spans="1:2" x14ac:dyDescent="0.25">
      <c r="A1747" t="s">
        <v>258</v>
      </c>
      <c r="B1747" t="s">
        <v>774</v>
      </c>
    </row>
    <row r="1748" spans="1:2" x14ac:dyDescent="0.25">
      <c r="A1748" t="s">
        <v>258</v>
      </c>
      <c r="B1748" t="s">
        <v>784</v>
      </c>
    </row>
    <row r="1749" spans="1:2" x14ac:dyDescent="0.25">
      <c r="A1749" t="s">
        <v>258</v>
      </c>
      <c r="B1749" t="s">
        <v>4600</v>
      </c>
    </row>
    <row r="1750" spans="1:2" x14ac:dyDescent="0.25">
      <c r="A1750" t="s">
        <v>258</v>
      </c>
      <c r="B1750" t="s">
        <v>776</v>
      </c>
    </row>
    <row r="1751" spans="1:2" x14ac:dyDescent="0.25">
      <c r="A1751" t="s">
        <v>258</v>
      </c>
      <c r="B1751" t="s">
        <v>2080</v>
      </c>
    </row>
    <row r="1752" spans="1:2" x14ac:dyDescent="0.25">
      <c r="A1752" t="s">
        <v>258</v>
      </c>
      <c r="B1752" t="s">
        <v>785</v>
      </c>
    </row>
    <row r="1753" spans="1:2" x14ac:dyDescent="0.25">
      <c r="A1753" t="s">
        <v>258</v>
      </c>
      <c r="B1753" t="s">
        <v>777</v>
      </c>
    </row>
    <row r="1754" spans="1:2" x14ac:dyDescent="0.25">
      <c r="A1754" t="s">
        <v>258</v>
      </c>
      <c r="B1754" t="s">
        <v>778</v>
      </c>
    </row>
    <row r="1755" spans="1:2" x14ac:dyDescent="0.25">
      <c r="A1755" t="s">
        <v>258</v>
      </c>
      <c r="B1755" t="s">
        <v>787</v>
      </c>
    </row>
    <row r="1756" spans="1:2" x14ac:dyDescent="0.25">
      <c r="A1756" t="s">
        <v>258</v>
      </c>
      <c r="B1756" t="s">
        <v>788</v>
      </c>
    </row>
    <row r="1757" spans="1:2" x14ac:dyDescent="0.25">
      <c r="A1757" t="s">
        <v>258</v>
      </c>
      <c r="B1757" t="s">
        <v>789</v>
      </c>
    </row>
    <row r="1758" spans="1:2" x14ac:dyDescent="0.25">
      <c r="A1758" t="s">
        <v>258</v>
      </c>
      <c r="B1758" t="s">
        <v>790</v>
      </c>
    </row>
    <row r="1759" spans="1:2" x14ac:dyDescent="0.25">
      <c r="A1759" t="s">
        <v>258</v>
      </c>
      <c r="B1759" t="s">
        <v>779</v>
      </c>
    </row>
    <row r="1760" spans="1:2" x14ac:dyDescent="0.25">
      <c r="A1760" t="s">
        <v>258</v>
      </c>
      <c r="B1760" t="s">
        <v>791</v>
      </c>
    </row>
    <row r="1761" spans="1:2" x14ac:dyDescent="0.25">
      <c r="A1761" t="s">
        <v>258</v>
      </c>
      <c r="B1761" t="s">
        <v>792</v>
      </c>
    </row>
    <row r="1762" spans="1:2" x14ac:dyDescent="0.25">
      <c r="A1762" t="s">
        <v>194</v>
      </c>
      <c r="B1762" t="s">
        <v>4054</v>
      </c>
    </row>
    <row r="1763" spans="1:2" x14ac:dyDescent="0.25">
      <c r="A1763" t="s">
        <v>194</v>
      </c>
      <c r="B1763" t="s">
        <v>2483</v>
      </c>
    </row>
    <row r="1764" spans="1:2" x14ac:dyDescent="0.25">
      <c r="A1764" t="s">
        <v>194</v>
      </c>
      <c r="B1764" t="s">
        <v>1281</v>
      </c>
    </row>
    <row r="1765" spans="1:2" x14ac:dyDescent="0.25">
      <c r="A1765" t="s">
        <v>194</v>
      </c>
      <c r="B1765" t="s">
        <v>960</v>
      </c>
    </row>
    <row r="1766" spans="1:2" x14ac:dyDescent="0.25">
      <c r="A1766" t="s">
        <v>194</v>
      </c>
      <c r="B1766" t="s">
        <v>2484</v>
      </c>
    </row>
    <row r="1767" spans="1:2" x14ac:dyDescent="0.25">
      <c r="A1767" t="s">
        <v>194</v>
      </c>
      <c r="B1767" t="s">
        <v>2485</v>
      </c>
    </row>
    <row r="1768" spans="1:2" x14ac:dyDescent="0.25">
      <c r="A1768" t="s">
        <v>194</v>
      </c>
      <c r="B1768" t="s">
        <v>973</v>
      </c>
    </row>
    <row r="1769" spans="1:2" x14ac:dyDescent="0.25">
      <c r="A1769" t="s">
        <v>194</v>
      </c>
      <c r="B1769" t="s">
        <v>710</v>
      </c>
    </row>
    <row r="1770" spans="1:2" x14ac:dyDescent="0.25">
      <c r="A1770" t="s">
        <v>194</v>
      </c>
      <c r="B1770" t="s">
        <v>2486</v>
      </c>
    </row>
    <row r="1771" spans="1:2" x14ac:dyDescent="0.25">
      <c r="A1771" t="s">
        <v>194</v>
      </c>
      <c r="B1771" t="s">
        <v>2487</v>
      </c>
    </row>
    <row r="1772" spans="1:2" x14ac:dyDescent="0.25">
      <c r="A1772" t="s">
        <v>194</v>
      </c>
      <c r="B1772" t="s">
        <v>1252</v>
      </c>
    </row>
    <row r="1773" spans="1:2" x14ac:dyDescent="0.25">
      <c r="A1773" t="s">
        <v>194</v>
      </c>
      <c r="B1773" t="s">
        <v>1246</v>
      </c>
    </row>
    <row r="1774" spans="1:2" x14ac:dyDescent="0.25">
      <c r="A1774" t="s">
        <v>194</v>
      </c>
      <c r="B1774" t="s">
        <v>2488</v>
      </c>
    </row>
    <row r="1775" spans="1:2" x14ac:dyDescent="0.25">
      <c r="A1775" t="s">
        <v>194</v>
      </c>
      <c r="B1775" t="s">
        <v>1248</v>
      </c>
    </row>
    <row r="1776" spans="1:2" x14ac:dyDescent="0.25">
      <c r="A1776" t="s">
        <v>194</v>
      </c>
      <c r="B1776" t="s">
        <v>1258</v>
      </c>
    </row>
    <row r="1777" spans="1:2" x14ac:dyDescent="0.25">
      <c r="A1777" t="s">
        <v>194</v>
      </c>
      <c r="B1777" t="s">
        <v>2489</v>
      </c>
    </row>
    <row r="1778" spans="1:2" x14ac:dyDescent="0.25">
      <c r="A1778" t="s">
        <v>194</v>
      </c>
      <c r="B1778" t="s">
        <v>1260</v>
      </c>
    </row>
    <row r="1779" spans="1:2" x14ac:dyDescent="0.25">
      <c r="A1779" t="s">
        <v>194</v>
      </c>
      <c r="B1779" t="s">
        <v>2490</v>
      </c>
    </row>
    <row r="1780" spans="1:2" x14ac:dyDescent="0.25">
      <c r="A1780" t="s">
        <v>194</v>
      </c>
      <c r="B1780" t="s">
        <v>1250</v>
      </c>
    </row>
    <row r="1781" spans="1:2" x14ac:dyDescent="0.25">
      <c r="A1781" t="s">
        <v>194</v>
      </c>
      <c r="B1781" t="s">
        <v>1256</v>
      </c>
    </row>
    <row r="1782" spans="1:2" x14ac:dyDescent="0.25">
      <c r="A1782" t="s">
        <v>194</v>
      </c>
      <c r="B1782" t="s">
        <v>1243</v>
      </c>
    </row>
    <row r="1783" spans="1:2" x14ac:dyDescent="0.25">
      <c r="A1783" t="s">
        <v>194</v>
      </c>
      <c r="B1783" t="s">
        <v>2491</v>
      </c>
    </row>
    <row r="1784" spans="1:2" x14ac:dyDescent="0.25">
      <c r="A1784" t="s">
        <v>194</v>
      </c>
      <c r="B1784" t="s">
        <v>1251</v>
      </c>
    </row>
    <row r="1785" spans="1:2" x14ac:dyDescent="0.25">
      <c r="A1785" t="s">
        <v>194</v>
      </c>
      <c r="B1785" t="s">
        <v>2492</v>
      </c>
    </row>
    <row r="1786" spans="1:2" x14ac:dyDescent="0.25">
      <c r="A1786" t="s">
        <v>194</v>
      </c>
      <c r="B1786" t="s">
        <v>1254</v>
      </c>
    </row>
    <row r="1787" spans="1:2" x14ac:dyDescent="0.25">
      <c r="A1787" t="s">
        <v>194</v>
      </c>
      <c r="B1787" t="s">
        <v>1257</v>
      </c>
    </row>
    <row r="1788" spans="1:2" x14ac:dyDescent="0.25">
      <c r="A1788" t="s">
        <v>1536</v>
      </c>
      <c r="B1788" t="s">
        <v>4086</v>
      </c>
    </row>
    <row r="1789" spans="1:2" x14ac:dyDescent="0.25">
      <c r="A1789" t="s">
        <v>1536</v>
      </c>
      <c r="B1789" t="s">
        <v>627</v>
      </c>
    </row>
    <row r="1790" spans="1:2" x14ac:dyDescent="0.25">
      <c r="A1790" t="s">
        <v>1536</v>
      </c>
      <c r="B1790" t="s">
        <v>992</v>
      </c>
    </row>
    <row r="1791" spans="1:2" x14ac:dyDescent="0.25">
      <c r="A1791" t="s">
        <v>1536</v>
      </c>
      <c r="B1791" t="s">
        <v>993</v>
      </c>
    </row>
    <row r="1792" spans="1:2" x14ac:dyDescent="0.25">
      <c r="A1792" t="s">
        <v>1536</v>
      </c>
      <c r="B1792" t="s">
        <v>1118</v>
      </c>
    </row>
    <row r="1793" spans="1:2" x14ac:dyDescent="0.25">
      <c r="A1793" t="s">
        <v>1536</v>
      </c>
      <c r="B1793" t="s">
        <v>1119</v>
      </c>
    </row>
    <row r="1794" spans="1:2" x14ac:dyDescent="0.25">
      <c r="A1794" t="s">
        <v>1536</v>
      </c>
      <c r="B1794" t="s">
        <v>3196</v>
      </c>
    </row>
    <row r="1795" spans="1:2" x14ac:dyDescent="0.25">
      <c r="A1795" t="s">
        <v>1536</v>
      </c>
      <c r="B1795" t="s">
        <v>1120</v>
      </c>
    </row>
    <row r="1796" spans="1:2" x14ac:dyDescent="0.25">
      <c r="A1796" t="s">
        <v>1536</v>
      </c>
      <c r="B1796" t="s">
        <v>1121</v>
      </c>
    </row>
    <row r="1797" spans="1:2" x14ac:dyDescent="0.25">
      <c r="A1797" t="s">
        <v>1536</v>
      </c>
      <c r="B1797" t="s">
        <v>1122</v>
      </c>
    </row>
    <row r="1798" spans="1:2" x14ac:dyDescent="0.25">
      <c r="A1798" t="s">
        <v>1536</v>
      </c>
      <c r="B1798" t="s">
        <v>1112</v>
      </c>
    </row>
    <row r="1799" spans="1:2" x14ac:dyDescent="0.25">
      <c r="A1799" t="s">
        <v>1536</v>
      </c>
      <c r="B1799" t="s">
        <v>1123</v>
      </c>
    </row>
    <row r="1800" spans="1:2" x14ac:dyDescent="0.25">
      <c r="A1800" t="s">
        <v>1536</v>
      </c>
      <c r="B1800" t="s">
        <v>1124</v>
      </c>
    </row>
    <row r="1801" spans="1:2" x14ac:dyDescent="0.25">
      <c r="A1801" t="s">
        <v>1536</v>
      </c>
      <c r="B1801" t="s">
        <v>1125</v>
      </c>
    </row>
    <row r="1802" spans="1:2" x14ac:dyDescent="0.25">
      <c r="A1802" t="s">
        <v>1536</v>
      </c>
      <c r="B1802" t="s">
        <v>1113</v>
      </c>
    </row>
    <row r="1803" spans="1:2" x14ac:dyDescent="0.25">
      <c r="A1803" t="s">
        <v>1536</v>
      </c>
      <c r="B1803" t="s">
        <v>1126</v>
      </c>
    </row>
    <row r="1804" spans="1:2" x14ac:dyDescent="0.25">
      <c r="A1804" t="s">
        <v>1536</v>
      </c>
      <c r="B1804" t="s">
        <v>1127</v>
      </c>
    </row>
    <row r="1805" spans="1:2" x14ac:dyDescent="0.25">
      <c r="A1805" t="s">
        <v>1536</v>
      </c>
      <c r="B1805" t="s">
        <v>1128</v>
      </c>
    </row>
    <row r="1806" spans="1:2" x14ac:dyDescent="0.25">
      <c r="A1806" t="s">
        <v>1536</v>
      </c>
      <c r="B1806" t="s">
        <v>1129</v>
      </c>
    </row>
    <row r="1807" spans="1:2" x14ac:dyDescent="0.25">
      <c r="A1807" t="s">
        <v>1536</v>
      </c>
      <c r="B1807" t="s">
        <v>1114</v>
      </c>
    </row>
    <row r="1808" spans="1:2" x14ac:dyDescent="0.25">
      <c r="A1808" t="s">
        <v>1536</v>
      </c>
      <c r="B1808" t="s">
        <v>3197</v>
      </c>
    </row>
    <row r="1809" spans="1:2" x14ac:dyDescent="0.25">
      <c r="A1809" t="s">
        <v>1536</v>
      </c>
      <c r="B1809" t="s">
        <v>1115</v>
      </c>
    </row>
    <row r="1810" spans="1:2" x14ac:dyDescent="0.25">
      <c r="A1810" t="s">
        <v>1536</v>
      </c>
      <c r="B1810" t="s">
        <v>1130</v>
      </c>
    </row>
    <row r="1811" spans="1:2" x14ac:dyDescent="0.25">
      <c r="A1811" t="s">
        <v>1536</v>
      </c>
      <c r="B1811" t="s">
        <v>1131</v>
      </c>
    </row>
    <row r="1812" spans="1:2" x14ac:dyDescent="0.25">
      <c r="A1812" t="s">
        <v>1536</v>
      </c>
      <c r="B1812" t="s">
        <v>1132</v>
      </c>
    </row>
    <row r="1813" spans="1:2" x14ac:dyDescent="0.25">
      <c r="A1813" t="s">
        <v>1536</v>
      </c>
      <c r="B1813" t="s">
        <v>1133</v>
      </c>
    </row>
    <row r="1814" spans="1:2" x14ac:dyDescent="0.25">
      <c r="A1814" t="s">
        <v>1536</v>
      </c>
      <c r="B1814" t="s">
        <v>1116</v>
      </c>
    </row>
    <row r="1815" spans="1:2" x14ac:dyDescent="0.25">
      <c r="A1815" t="s">
        <v>1536</v>
      </c>
      <c r="B1815" t="s">
        <v>1134</v>
      </c>
    </row>
    <row r="1816" spans="1:2" x14ac:dyDescent="0.25">
      <c r="A1816" t="s">
        <v>1536</v>
      </c>
      <c r="B1816" t="s">
        <v>1135</v>
      </c>
    </row>
    <row r="1817" spans="1:2" x14ac:dyDescent="0.25">
      <c r="A1817" t="s">
        <v>1536</v>
      </c>
      <c r="B1817" t="s">
        <v>1136</v>
      </c>
    </row>
    <row r="1818" spans="1:2" x14ac:dyDescent="0.25">
      <c r="A1818" t="s">
        <v>1536</v>
      </c>
      <c r="B1818" t="s">
        <v>1117</v>
      </c>
    </row>
    <row r="1819" spans="1:2" x14ac:dyDescent="0.25">
      <c r="A1819" t="s">
        <v>1536</v>
      </c>
      <c r="B1819" t="s">
        <v>1137</v>
      </c>
    </row>
    <row r="1820" spans="1:2" x14ac:dyDescent="0.25">
      <c r="A1820" t="s">
        <v>1536</v>
      </c>
      <c r="B1820" t="s">
        <v>1138</v>
      </c>
    </row>
    <row r="1821" spans="1:2" x14ac:dyDescent="0.25">
      <c r="A1821" t="s">
        <v>1536</v>
      </c>
      <c r="B1821" t="s">
        <v>1139</v>
      </c>
    </row>
    <row r="1822" spans="1:2" x14ac:dyDescent="0.25">
      <c r="A1822" t="s">
        <v>1536</v>
      </c>
      <c r="B1822" t="s">
        <v>1140</v>
      </c>
    </row>
    <row r="1823" spans="1:2" x14ac:dyDescent="0.25">
      <c r="A1823" t="s">
        <v>1536</v>
      </c>
      <c r="B1823" t="s">
        <v>4688</v>
      </c>
    </row>
    <row r="1824" spans="1:2" x14ac:dyDescent="0.25">
      <c r="A1824" t="s">
        <v>200</v>
      </c>
      <c r="B1824" t="s">
        <v>3846</v>
      </c>
    </row>
    <row r="1825" spans="1:2" x14ac:dyDescent="0.25">
      <c r="A1825" t="s">
        <v>200</v>
      </c>
      <c r="B1825" t="s">
        <v>3839</v>
      </c>
    </row>
    <row r="1826" spans="1:2" x14ac:dyDescent="0.25">
      <c r="A1826" t="s">
        <v>200</v>
      </c>
      <c r="B1826" t="s">
        <v>3840</v>
      </c>
    </row>
    <row r="1827" spans="1:2" x14ac:dyDescent="0.25">
      <c r="A1827" t="s">
        <v>200</v>
      </c>
      <c r="B1827" t="s">
        <v>3841</v>
      </c>
    </row>
    <row r="1828" spans="1:2" x14ac:dyDescent="0.25">
      <c r="A1828" t="s">
        <v>200</v>
      </c>
      <c r="B1828" t="s">
        <v>3842</v>
      </c>
    </row>
    <row r="1829" spans="1:2" x14ac:dyDescent="0.25">
      <c r="A1829" t="s">
        <v>200</v>
      </c>
      <c r="B1829" t="s">
        <v>3843</v>
      </c>
    </row>
    <row r="1830" spans="1:2" x14ac:dyDescent="0.25">
      <c r="A1830" t="s">
        <v>200</v>
      </c>
      <c r="B1830" t="s">
        <v>3844</v>
      </c>
    </row>
    <row r="1831" spans="1:2" x14ac:dyDescent="0.25">
      <c r="A1831" t="s">
        <v>200</v>
      </c>
      <c r="B1831" t="s">
        <v>3845</v>
      </c>
    </row>
    <row r="1832" spans="1:2" x14ac:dyDescent="0.25">
      <c r="A1832" t="s">
        <v>200</v>
      </c>
      <c r="B1832" t="s">
        <v>3846</v>
      </c>
    </row>
    <row r="1833" spans="1:2" x14ac:dyDescent="0.25">
      <c r="A1833" t="s">
        <v>200</v>
      </c>
      <c r="B1833" t="s">
        <v>3847</v>
      </c>
    </row>
    <row r="1834" spans="1:2" x14ac:dyDescent="0.25">
      <c r="A1834" t="s">
        <v>200</v>
      </c>
      <c r="B1834" t="s">
        <v>3848</v>
      </c>
    </row>
    <row r="1835" spans="1:2" x14ac:dyDescent="0.25">
      <c r="A1835" t="s">
        <v>200</v>
      </c>
      <c r="B1835" t="s">
        <v>3849</v>
      </c>
    </row>
    <row r="1836" spans="1:2" x14ac:dyDescent="0.25">
      <c r="A1836" t="s">
        <v>200</v>
      </c>
      <c r="B1836" t="s">
        <v>3850</v>
      </c>
    </row>
    <row r="1837" spans="1:2" x14ac:dyDescent="0.25">
      <c r="A1837" t="s">
        <v>200</v>
      </c>
      <c r="B1837" t="s">
        <v>3851</v>
      </c>
    </row>
    <row r="1838" spans="1:2" x14ac:dyDescent="0.25">
      <c r="A1838" t="s">
        <v>150</v>
      </c>
      <c r="B1838" t="s">
        <v>4122</v>
      </c>
    </row>
    <row r="1839" spans="1:2" x14ac:dyDescent="0.25">
      <c r="A1839" t="s">
        <v>150</v>
      </c>
      <c r="B1839" t="s">
        <v>615</v>
      </c>
    </row>
    <row r="1840" spans="1:2" x14ac:dyDescent="0.25">
      <c r="A1840" t="s">
        <v>150</v>
      </c>
      <c r="B1840" t="s">
        <v>2863</v>
      </c>
    </row>
    <row r="1841" spans="1:2" x14ac:dyDescent="0.25">
      <c r="A1841" t="s">
        <v>150</v>
      </c>
      <c r="B1841" t="s">
        <v>2864</v>
      </c>
    </row>
    <row r="1842" spans="1:2" x14ac:dyDescent="0.25">
      <c r="A1842" t="s">
        <v>150</v>
      </c>
      <c r="B1842" t="s">
        <v>808</v>
      </c>
    </row>
    <row r="1843" spans="1:2" x14ac:dyDescent="0.25">
      <c r="A1843" t="s">
        <v>150</v>
      </c>
      <c r="B1843" t="s">
        <v>797</v>
      </c>
    </row>
    <row r="1844" spans="1:2" x14ac:dyDescent="0.25">
      <c r="A1844" t="s">
        <v>150</v>
      </c>
      <c r="B1844" t="s">
        <v>806</v>
      </c>
    </row>
    <row r="1845" spans="1:2" x14ac:dyDescent="0.25">
      <c r="A1845" t="s">
        <v>150</v>
      </c>
      <c r="B1845" t="s">
        <v>807</v>
      </c>
    </row>
    <row r="1846" spans="1:2" x14ac:dyDescent="0.25">
      <c r="A1846" t="s">
        <v>150</v>
      </c>
      <c r="B1846" t="s">
        <v>794</v>
      </c>
    </row>
    <row r="1847" spans="1:2" x14ac:dyDescent="0.25">
      <c r="A1847" t="s">
        <v>150</v>
      </c>
      <c r="B1847" t="s">
        <v>803</v>
      </c>
    </row>
    <row r="1848" spans="1:2" x14ac:dyDescent="0.25">
      <c r="A1848" t="s">
        <v>150</v>
      </c>
      <c r="B1848" t="s">
        <v>800</v>
      </c>
    </row>
    <row r="1849" spans="1:2" x14ac:dyDescent="0.25">
      <c r="A1849" t="s">
        <v>150</v>
      </c>
      <c r="B1849" t="s">
        <v>796</v>
      </c>
    </row>
    <row r="1850" spans="1:2" x14ac:dyDescent="0.25">
      <c r="A1850" t="s">
        <v>150</v>
      </c>
      <c r="B1850" t="s">
        <v>810</v>
      </c>
    </row>
    <row r="1851" spans="1:2" x14ac:dyDescent="0.25">
      <c r="A1851" t="s">
        <v>150</v>
      </c>
      <c r="B1851" t="s">
        <v>799</v>
      </c>
    </row>
    <row r="1852" spans="1:2" x14ac:dyDescent="0.25">
      <c r="A1852" t="s">
        <v>150</v>
      </c>
      <c r="B1852" t="s">
        <v>804</v>
      </c>
    </row>
    <row r="1853" spans="1:2" x14ac:dyDescent="0.25">
      <c r="A1853" t="s">
        <v>150</v>
      </c>
      <c r="B1853" t="s">
        <v>805</v>
      </c>
    </row>
    <row r="1854" spans="1:2" x14ac:dyDescent="0.25">
      <c r="A1854" t="s">
        <v>150</v>
      </c>
      <c r="B1854" t="s">
        <v>801</v>
      </c>
    </row>
    <row r="1855" spans="1:2" x14ac:dyDescent="0.25">
      <c r="A1855" t="s">
        <v>261</v>
      </c>
      <c r="B1855" t="s">
        <v>827</v>
      </c>
    </row>
    <row r="1856" spans="1:2" x14ac:dyDescent="0.25">
      <c r="A1856" t="s">
        <v>261</v>
      </c>
      <c r="B1856" t="s">
        <v>3109</v>
      </c>
    </row>
    <row r="1857" spans="1:2" x14ac:dyDescent="0.25">
      <c r="A1857" t="s">
        <v>261</v>
      </c>
      <c r="B1857" t="s">
        <v>1403</v>
      </c>
    </row>
    <row r="1858" spans="1:2" x14ac:dyDescent="0.25">
      <c r="A1858" t="s">
        <v>261</v>
      </c>
      <c r="B1858" t="s">
        <v>4123</v>
      </c>
    </row>
    <row r="1859" spans="1:2" x14ac:dyDescent="0.25">
      <c r="A1859" t="s">
        <v>261</v>
      </c>
      <c r="B1859" t="s">
        <v>3110</v>
      </c>
    </row>
    <row r="1860" spans="1:2" x14ac:dyDescent="0.25">
      <c r="A1860" t="s">
        <v>261</v>
      </c>
      <c r="B1860" t="s">
        <v>3111</v>
      </c>
    </row>
    <row r="1861" spans="1:2" x14ac:dyDescent="0.25">
      <c r="A1861" t="s">
        <v>261</v>
      </c>
      <c r="B1861" t="s">
        <v>3112</v>
      </c>
    </row>
    <row r="1862" spans="1:2" x14ac:dyDescent="0.25">
      <c r="A1862" t="s">
        <v>261</v>
      </c>
      <c r="B1862" t="s">
        <v>3113</v>
      </c>
    </row>
    <row r="1863" spans="1:2" x14ac:dyDescent="0.25">
      <c r="A1863" t="s">
        <v>261</v>
      </c>
      <c r="B1863" t="s">
        <v>3114</v>
      </c>
    </row>
    <row r="1864" spans="1:2" x14ac:dyDescent="0.25">
      <c r="A1864" t="s">
        <v>261</v>
      </c>
      <c r="B1864" t="s">
        <v>1412</v>
      </c>
    </row>
    <row r="1865" spans="1:2" x14ac:dyDescent="0.25">
      <c r="A1865" t="s">
        <v>261</v>
      </c>
      <c r="B1865" t="s">
        <v>1413</v>
      </c>
    </row>
    <row r="1866" spans="1:2" x14ac:dyDescent="0.25">
      <c r="A1866" t="s">
        <v>261</v>
      </c>
      <c r="B1866" t="s">
        <v>1411</v>
      </c>
    </row>
    <row r="1867" spans="1:2" x14ac:dyDescent="0.25">
      <c r="A1867" t="s">
        <v>261</v>
      </c>
      <c r="B1867" t="s">
        <v>1414</v>
      </c>
    </row>
    <row r="1868" spans="1:2" x14ac:dyDescent="0.25">
      <c r="A1868" t="s">
        <v>261</v>
      </c>
      <c r="B1868" t="s">
        <v>1425</v>
      </c>
    </row>
    <row r="1869" spans="1:2" x14ac:dyDescent="0.25">
      <c r="A1869" t="s">
        <v>261</v>
      </c>
      <c r="B1869" t="s">
        <v>1415</v>
      </c>
    </row>
    <row r="1870" spans="1:2" x14ac:dyDescent="0.25">
      <c r="A1870" t="s">
        <v>261</v>
      </c>
      <c r="B1870" t="s">
        <v>1426</v>
      </c>
    </row>
    <row r="1871" spans="1:2" x14ac:dyDescent="0.25">
      <c r="A1871" t="s">
        <v>261</v>
      </c>
      <c r="B1871" t="s">
        <v>1416</v>
      </c>
    </row>
    <row r="1872" spans="1:2" x14ac:dyDescent="0.25">
      <c r="A1872" t="s">
        <v>261</v>
      </c>
      <c r="B1872" t="s">
        <v>1417</v>
      </c>
    </row>
    <row r="1873" spans="1:2" x14ac:dyDescent="0.25">
      <c r="A1873" t="s">
        <v>261</v>
      </c>
      <c r="B1873" t="s">
        <v>1427</v>
      </c>
    </row>
    <row r="1874" spans="1:2" x14ac:dyDescent="0.25">
      <c r="A1874" t="s">
        <v>261</v>
      </c>
      <c r="B1874" t="s">
        <v>3115</v>
      </c>
    </row>
    <row r="1875" spans="1:2" x14ac:dyDescent="0.25">
      <c r="A1875" t="s">
        <v>261</v>
      </c>
      <c r="B1875" t="s">
        <v>1428</v>
      </c>
    </row>
    <row r="1876" spans="1:2" x14ac:dyDescent="0.25">
      <c r="A1876" t="s">
        <v>261</v>
      </c>
      <c r="B1876" t="s">
        <v>1418</v>
      </c>
    </row>
    <row r="1877" spans="1:2" x14ac:dyDescent="0.25">
      <c r="A1877" t="s">
        <v>261</v>
      </c>
      <c r="B1877" t="s">
        <v>1410</v>
      </c>
    </row>
    <row r="1878" spans="1:2" x14ac:dyDescent="0.25">
      <c r="A1878" t="s">
        <v>261</v>
      </c>
      <c r="B1878" t="s">
        <v>1429</v>
      </c>
    </row>
    <row r="1879" spans="1:2" x14ac:dyDescent="0.25">
      <c r="A1879" t="s">
        <v>261</v>
      </c>
      <c r="B1879" t="s">
        <v>1420</v>
      </c>
    </row>
    <row r="1880" spans="1:2" x14ac:dyDescent="0.25">
      <c r="A1880" t="s">
        <v>261</v>
      </c>
      <c r="B1880" t="s">
        <v>1430</v>
      </c>
    </row>
    <row r="1881" spans="1:2" x14ac:dyDescent="0.25">
      <c r="A1881" t="s">
        <v>261</v>
      </c>
      <c r="B1881" t="s">
        <v>1421</v>
      </c>
    </row>
    <row r="1882" spans="1:2" x14ac:dyDescent="0.25">
      <c r="A1882" t="s">
        <v>261</v>
      </c>
      <c r="B1882" t="s">
        <v>1422</v>
      </c>
    </row>
    <row r="1883" spans="1:2" x14ac:dyDescent="0.25">
      <c r="A1883" t="s">
        <v>261</v>
      </c>
      <c r="B1883" t="s">
        <v>3116</v>
      </c>
    </row>
    <row r="1884" spans="1:2" x14ac:dyDescent="0.25">
      <c r="A1884" t="s">
        <v>261</v>
      </c>
      <c r="B1884" t="s">
        <v>3117</v>
      </c>
    </row>
    <row r="1885" spans="1:2" x14ac:dyDescent="0.25">
      <c r="A1885" t="s">
        <v>261</v>
      </c>
      <c r="B1885" t="s">
        <v>1431</v>
      </c>
    </row>
    <row r="1886" spans="1:2" x14ac:dyDescent="0.25">
      <c r="A1886" t="s">
        <v>261</v>
      </c>
      <c r="B1886" t="s">
        <v>1423</v>
      </c>
    </row>
    <row r="1887" spans="1:2" x14ac:dyDescent="0.25">
      <c r="A1887" t="s">
        <v>261</v>
      </c>
      <c r="B1887" t="s">
        <v>1432</v>
      </c>
    </row>
    <row r="1888" spans="1:2" x14ac:dyDescent="0.25">
      <c r="A1888" t="s">
        <v>261</v>
      </c>
      <c r="B1888" t="s">
        <v>1433</v>
      </c>
    </row>
    <row r="1889" spans="1:2" x14ac:dyDescent="0.25">
      <c r="A1889" t="s">
        <v>283</v>
      </c>
      <c r="B1889" t="s">
        <v>4105</v>
      </c>
    </row>
    <row r="1890" spans="1:2" x14ac:dyDescent="0.25">
      <c r="A1890" t="s">
        <v>283</v>
      </c>
      <c r="B1890" t="s">
        <v>3635</v>
      </c>
    </row>
    <row r="1891" spans="1:2" x14ac:dyDescent="0.25">
      <c r="A1891" t="s">
        <v>283</v>
      </c>
      <c r="B1891" t="s">
        <v>1469</v>
      </c>
    </row>
    <row r="1892" spans="1:2" x14ac:dyDescent="0.25">
      <c r="A1892" t="s">
        <v>283</v>
      </c>
      <c r="B1892" t="s">
        <v>3636</v>
      </c>
    </row>
    <row r="1893" spans="1:2" x14ac:dyDescent="0.25">
      <c r="A1893" t="s">
        <v>283</v>
      </c>
      <c r="B1893" t="s">
        <v>3637</v>
      </c>
    </row>
    <row r="1894" spans="1:2" x14ac:dyDescent="0.25">
      <c r="A1894" t="s">
        <v>283</v>
      </c>
      <c r="B1894" t="s">
        <v>3638</v>
      </c>
    </row>
    <row r="1895" spans="1:2" x14ac:dyDescent="0.25">
      <c r="A1895" t="s">
        <v>283</v>
      </c>
      <c r="B1895" t="s">
        <v>3639</v>
      </c>
    </row>
    <row r="1896" spans="1:2" x14ac:dyDescent="0.25">
      <c r="A1896" t="s">
        <v>283</v>
      </c>
      <c r="B1896" t="s">
        <v>3640</v>
      </c>
    </row>
    <row r="1897" spans="1:2" x14ac:dyDescent="0.25">
      <c r="A1897" t="s">
        <v>283</v>
      </c>
      <c r="B1897" t="s">
        <v>3641</v>
      </c>
    </row>
    <row r="1898" spans="1:2" x14ac:dyDescent="0.25">
      <c r="A1898" t="s">
        <v>283</v>
      </c>
      <c r="B1898" t="s">
        <v>3642</v>
      </c>
    </row>
    <row r="1899" spans="1:2" x14ac:dyDescent="0.25">
      <c r="A1899" t="s">
        <v>283</v>
      </c>
      <c r="B1899" t="s">
        <v>3643</v>
      </c>
    </row>
    <row r="1900" spans="1:2" x14ac:dyDescent="0.25">
      <c r="A1900" t="s">
        <v>283</v>
      </c>
      <c r="B1900" t="s">
        <v>3644</v>
      </c>
    </row>
    <row r="1901" spans="1:2" x14ac:dyDescent="0.25">
      <c r="A1901" t="s">
        <v>283</v>
      </c>
      <c r="B1901" t="s">
        <v>3645</v>
      </c>
    </row>
    <row r="1902" spans="1:2" x14ac:dyDescent="0.25">
      <c r="A1902" t="s">
        <v>283</v>
      </c>
      <c r="B1902" t="s">
        <v>3646</v>
      </c>
    </row>
    <row r="1903" spans="1:2" x14ac:dyDescent="0.25">
      <c r="A1903" t="s">
        <v>283</v>
      </c>
      <c r="B1903" t="s">
        <v>3647</v>
      </c>
    </row>
    <row r="1904" spans="1:2" x14ac:dyDescent="0.25">
      <c r="A1904" t="s">
        <v>283</v>
      </c>
      <c r="B1904" t="s">
        <v>3648</v>
      </c>
    </row>
    <row r="1905" spans="1:2" x14ac:dyDescent="0.25">
      <c r="A1905" t="s">
        <v>283</v>
      </c>
      <c r="B1905" t="s">
        <v>3649</v>
      </c>
    </row>
    <row r="1906" spans="1:2" x14ac:dyDescent="0.25">
      <c r="A1906" t="s">
        <v>283</v>
      </c>
      <c r="B1906" t="s">
        <v>3650</v>
      </c>
    </row>
    <row r="1907" spans="1:2" x14ac:dyDescent="0.25">
      <c r="A1907" t="s">
        <v>283</v>
      </c>
      <c r="B1907" t="s">
        <v>3651</v>
      </c>
    </row>
    <row r="1908" spans="1:2" x14ac:dyDescent="0.25">
      <c r="A1908" t="s">
        <v>283</v>
      </c>
      <c r="B1908" t="s">
        <v>3652</v>
      </c>
    </row>
    <row r="1909" spans="1:2" x14ac:dyDescent="0.25">
      <c r="A1909" t="s">
        <v>248</v>
      </c>
      <c r="B1909" t="s">
        <v>4074</v>
      </c>
    </row>
    <row r="1910" spans="1:2" x14ac:dyDescent="0.25">
      <c r="A1910" t="s">
        <v>248</v>
      </c>
      <c r="B1910" t="s">
        <v>2933</v>
      </c>
    </row>
    <row r="1911" spans="1:2" x14ac:dyDescent="0.25">
      <c r="A1911" t="s">
        <v>248</v>
      </c>
      <c r="B1911" t="s">
        <v>2934</v>
      </c>
    </row>
    <row r="1912" spans="1:2" x14ac:dyDescent="0.25">
      <c r="A1912" t="s">
        <v>248</v>
      </c>
      <c r="B1912" t="s">
        <v>2935</v>
      </c>
    </row>
    <row r="1913" spans="1:2" x14ac:dyDescent="0.25">
      <c r="A1913" t="s">
        <v>248</v>
      </c>
      <c r="B1913" t="s">
        <v>2936</v>
      </c>
    </row>
    <row r="1914" spans="1:2" x14ac:dyDescent="0.25">
      <c r="A1914" t="s">
        <v>248</v>
      </c>
      <c r="B1914" t="s">
        <v>2937</v>
      </c>
    </row>
    <row r="1915" spans="1:2" x14ac:dyDescent="0.25">
      <c r="A1915" t="s">
        <v>248</v>
      </c>
      <c r="B1915" t="s">
        <v>2938</v>
      </c>
    </row>
    <row r="1916" spans="1:2" x14ac:dyDescent="0.25">
      <c r="A1916" t="s">
        <v>248</v>
      </c>
      <c r="B1916" t="s">
        <v>2939</v>
      </c>
    </row>
    <row r="1917" spans="1:2" x14ac:dyDescent="0.25">
      <c r="A1917" t="s">
        <v>248</v>
      </c>
      <c r="B1917" t="s">
        <v>2940</v>
      </c>
    </row>
    <row r="1918" spans="1:2" x14ac:dyDescent="0.25">
      <c r="A1918" t="s">
        <v>248</v>
      </c>
      <c r="B1918" t="s">
        <v>2941</v>
      </c>
    </row>
    <row r="1919" spans="1:2" x14ac:dyDescent="0.25">
      <c r="A1919" t="s">
        <v>248</v>
      </c>
      <c r="B1919" t="s">
        <v>2942</v>
      </c>
    </row>
    <row r="1920" spans="1:2" x14ac:dyDescent="0.25">
      <c r="A1920" t="s">
        <v>248</v>
      </c>
      <c r="B1920" t="s">
        <v>2943</v>
      </c>
    </row>
    <row r="1921" spans="1:2" x14ac:dyDescent="0.25">
      <c r="A1921" t="s">
        <v>248</v>
      </c>
      <c r="B1921" t="s">
        <v>2944</v>
      </c>
    </row>
    <row r="1922" spans="1:2" x14ac:dyDescent="0.25">
      <c r="A1922" t="s">
        <v>248</v>
      </c>
      <c r="B1922" t="s">
        <v>2945</v>
      </c>
    </row>
    <row r="1923" spans="1:2" x14ac:dyDescent="0.25">
      <c r="A1923" t="s">
        <v>248</v>
      </c>
      <c r="B1923" t="s">
        <v>2946</v>
      </c>
    </row>
    <row r="1924" spans="1:2" x14ac:dyDescent="0.25">
      <c r="A1924" t="s">
        <v>248</v>
      </c>
      <c r="B1924" t="s">
        <v>2947</v>
      </c>
    </row>
    <row r="1925" spans="1:2" x14ac:dyDescent="0.25">
      <c r="A1925" t="s">
        <v>248</v>
      </c>
      <c r="B1925" t="s">
        <v>2948</v>
      </c>
    </row>
    <row r="1926" spans="1:2" x14ac:dyDescent="0.25">
      <c r="A1926" t="s">
        <v>248</v>
      </c>
      <c r="B1926" t="s">
        <v>2949</v>
      </c>
    </row>
    <row r="1927" spans="1:2" x14ac:dyDescent="0.25">
      <c r="A1927" t="s">
        <v>256</v>
      </c>
      <c r="B1927" t="s">
        <v>444</v>
      </c>
    </row>
    <row r="1928" spans="1:2" x14ac:dyDescent="0.25">
      <c r="A1928" t="s">
        <v>256</v>
      </c>
      <c r="B1928" t="s">
        <v>1856</v>
      </c>
    </row>
    <row r="1929" spans="1:2" x14ac:dyDescent="0.25">
      <c r="A1929" t="s">
        <v>256</v>
      </c>
      <c r="B1929" t="s">
        <v>1857</v>
      </c>
    </row>
    <row r="1930" spans="1:2" x14ac:dyDescent="0.25">
      <c r="A1930" t="s">
        <v>256</v>
      </c>
      <c r="B1930" t="s">
        <v>1858</v>
      </c>
    </row>
    <row r="1931" spans="1:2" x14ac:dyDescent="0.25">
      <c r="A1931" t="s">
        <v>256</v>
      </c>
      <c r="B1931" t="s">
        <v>1859</v>
      </c>
    </row>
    <row r="1932" spans="1:2" x14ac:dyDescent="0.25">
      <c r="A1932" t="s">
        <v>256</v>
      </c>
      <c r="B1932" t="s">
        <v>1860</v>
      </c>
    </row>
    <row r="1933" spans="1:2" x14ac:dyDescent="0.25">
      <c r="A1933" t="s">
        <v>256</v>
      </c>
      <c r="B1933" t="s">
        <v>1861</v>
      </c>
    </row>
    <row r="1934" spans="1:2" x14ac:dyDescent="0.25">
      <c r="A1934" t="s">
        <v>256</v>
      </c>
      <c r="B1934" t="s">
        <v>1862</v>
      </c>
    </row>
    <row r="1935" spans="1:2" x14ac:dyDescent="0.25">
      <c r="A1935" t="s">
        <v>256</v>
      </c>
      <c r="B1935" t="s">
        <v>1863</v>
      </c>
    </row>
    <row r="1936" spans="1:2" x14ac:dyDescent="0.25">
      <c r="A1936" t="s">
        <v>256</v>
      </c>
      <c r="B1936" t="s">
        <v>1864</v>
      </c>
    </row>
    <row r="1937" spans="1:2" x14ac:dyDescent="0.25">
      <c r="A1937" t="s">
        <v>256</v>
      </c>
      <c r="B1937" t="s">
        <v>589</v>
      </c>
    </row>
    <row r="1938" spans="1:2" x14ac:dyDescent="0.25">
      <c r="A1938" t="s">
        <v>256</v>
      </c>
      <c r="B1938" t="s">
        <v>588</v>
      </c>
    </row>
    <row r="1939" spans="1:2" x14ac:dyDescent="0.25">
      <c r="A1939" t="s">
        <v>256</v>
      </c>
      <c r="B1939" t="s">
        <v>590</v>
      </c>
    </row>
    <row r="1940" spans="1:2" x14ac:dyDescent="0.25">
      <c r="A1940" t="s">
        <v>256</v>
      </c>
      <c r="B1940" t="s">
        <v>584</v>
      </c>
    </row>
    <row r="1941" spans="1:2" x14ac:dyDescent="0.25">
      <c r="A1941" t="s">
        <v>256</v>
      </c>
      <c r="B1941" t="s">
        <v>591</v>
      </c>
    </row>
    <row r="1942" spans="1:2" x14ac:dyDescent="0.25">
      <c r="A1942" t="s">
        <v>256</v>
      </c>
      <c r="B1942" t="s">
        <v>586</v>
      </c>
    </row>
    <row r="1943" spans="1:2" x14ac:dyDescent="0.25">
      <c r="A1943" t="s">
        <v>256</v>
      </c>
      <c r="B1943" t="s">
        <v>599</v>
      </c>
    </row>
    <row r="1944" spans="1:2" x14ac:dyDescent="0.25">
      <c r="A1944" t="s">
        <v>256</v>
      </c>
      <c r="B1944" t="s">
        <v>601</v>
      </c>
    </row>
    <row r="1945" spans="1:2" x14ac:dyDescent="0.25">
      <c r="A1945" t="s">
        <v>256</v>
      </c>
      <c r="B1945" t="s">
        <v>600</v>
      </c>
    </row>
    <row r="1946" spans="1:2" x14ac:dyDescent="0.25">
      <c r="A1946" t="s">
        <v>256</v>
      </c>
      <c r="B1946" t="s">
        <v>592</v>
      </c>
    </row>
    <row r="1947" spans="1:2" x14ac:dyDescent="0.25">
      <c r="A1947" t="s">
        <v>256</v>
      </c>
      <c r="B1947" t="s">
        <v>587</v>
      </c>
    </row>
    <row r="1948" spans="1:2" x14ac:dyDescent="0.25">
      <c r="A1948" t="s">
        <v>256</v>
      </c>
      <c r="B1948" t="s">
        <v>593</v>
      </c>
    </row>
    <row r="1949" spans="1:2" x14ac:dyDescent="0.25">
      <c r="A1949" t="s">
        <v>256</v>
      </c>
      <c r="B1949" t="s">
        <v>602</v>
      </c>
    </row>
    <row r="1950" spans="1:2" x14ac:dyDescent="0.25">
      <c r="A1950" t="s">
        <v>256</v>
      </c>
      <c r="B1950" t="s">
        <v>594</v>
      </c>
    </row>
    <row r="1951" spans="1:2" x14ac:dyDescent="0.25">
      <c r="A1951" t="s">
        <v>256</v>
      </c>
      <c r="B1951" t="s">
        <v>603</v>
      </c>
    </row>
    <row r="1952" spans="1:2" x14ac:dyDescent="0.25">
      <c r="A1952" t="s">
        <v>256</v>
      </c>
      <c r="B1952" t="s">
        <v>585</v>
      </c>
    </row>
    <row r="1953" spans="1:2" x14ac:dyDescent="0.25">
      <c r="A1953" t="s">
        <v>256</v>
      </c>
      <c r="B1953" t="s">
        <v>595</v>
      </c>
    </row>
    <row r="1954" spans="1:2" x14ac:dyDescent="0.25">
      <c r="A1954" t="s">
        <v>256</v>
      </c>
      <c r="B1954" t="s">
        <v>604</v>
      </c>
    </row>
    <row r="1955" spans="1:2" x14ac:dyDescent="0.25">
      <c r="A1955" t="s">
        <v>256</v>
      </c>
      <c r="B1955" t="s">
        <v>609</v>
      </c>
    </row>
    <row r="1956" spans="1:2" x14ac:dyDescent="0.25">
      <c r="A1956" t="s">
        <v>256</v>
      </c>
      <c r="B1956" t="s">
        <v>598</v>
      </c>
    </row>
    <row r="1957" spans="1:2" x14ac:dyDescent="0.25">
      <c r="A1957" t="s">
        <v>256</v>
      </c>
      <c r="B1957" t="s">
        <v>605</v>
      </c>
    </row>
    <row r="1958" spans="1:2" x14ac:dyDescent="0.25">
      <c r="A1958" t="s">
        <v>256</v>
      </c>
      <c r="B1958" t="s">
        <v>596</v>
      </c>
    </row>
    <row r="1959" spans="1:2" x14ac:dyDescent="0.25">
      <c r="A1959" t="s">
        <v>256</v>
      </c>
      <c r="B1959" t="s">
        <v>606</v>
      </c>
    </row>
    <row r="1960" spans="1:2" x14ac:dyDescent="0.25">
      <c r="A1960" t="s">
        <v>256</v>
      </c>
      <c r="B1960" t="s">
        <v>607</v>
      </c>
    </row>
    <row r="1961" spans="1:2" x14ac:dyDescent="0.25">
      <c r="A1961" t="s">
        <v>220</v>
      </c>
      <c r="B1961" t="s">
        <v>4115</v>
      </c>
    </row>
    <row r="1962" spans="1:2" x14ac:dyDescent="0.25">
      <c r="A1962" t="s">
        <v>220</v>
      </c>
      <c r="B1962" t="s">
        <v>3916</v>
      </c>
    </row>
    <row r="1963" spans="1:2" x14ac:dyDescent="0.25">
      <c r="A1963" t="s">
        <v>220</v>
      </c>
      <c r="B1963" t="s">
        <v>3216</v>
      </c>
    </row>
    <row r="1964" spans="1:2" x14ac:dyDescent="0.25">
      <c r="A1964" t="s">
        <v>220</v>
      </c>
      <c r="B1964" t="s">
        <v>3917</v>
      </c>
    </row>
    <row r="1965" spans="1:2" x14ac:dyDescent="0.25">
      <c r="A1965" t="s">
        <v>220</v>
      </c>
      <c r="B1965" t="s">
        <v>3918</v>
      </c>
    </row>
    <row r="1966" spans="1:2" x14ac:dyDescent="0.25">
      <c r="A1966" t="s">
        <v>220</v>
      </c>
      <c r="B1966" t="s">
        <v>3919</v>
      </c>
    </row>
    <row r="1967" spans="1:2" x14ac:dyDescent="0.25">
      <c r="A1967" t="s">
        <v>220</v>
      </c>
      <c r="B1967" t="s">
        <v>3920</v>
      </c>
    </row>
    <row r="1968" spans="1:2" x14ac:dyDescent="0.25">
      <c r="A1968" t="s">
        <v>220</v>
      </c>
      <c r="B1968" t="s">
        <v>3921</v>
      </c>
    </row>
    <row r="1969" spans="1:2" x14ac:dyDescent="0.25">
      <c r="A1969" t="s">
        <v>220</v>
      </c>
      <c r="B1969" t="s">
        <v>3922</v>
      </c>
    </row>
    <row r="1970" spans="1:2" x14ac:dyDescent="0.25">
      <c r="A1970" t="s">
        <v>220</v>
      </c>
      <c r="B1970" t="s">
        <v>3923</v>
      </c>
    </row>
    <row r="1971" spans="1:2" x14ac:dyDescent="0.25">
      <c r="A1971" t="s">
        <v>220</v>
      </c>
      <c r="B1971" t="s">
        <v>3924</v>
      </c>
    </row>
    <row r="1972" spans="1:2" x14ac:dyDescent="0.25">
      <c r="A1972" t="s">
        <v>220</v>
      </c>
      <c r="B1972" t="s">
        <v>3925</v>
      </c>
    </row>
    <row r="1973" spans="1:2" x14ac:dyDescent="0.25">
      <c r="A1973" t="s">
        <v>220</v>
      </c>
      <c r="B1973" t="s">
        <v>3926</v>
      </c>
    </row>
    <row r="1974" spans="1:2" x14ac:dyDescent="0.25">
      <c r="A1974" t="s">
        <v>220</v>
      </c>
      <c r="B1974" t="s">
        <v>3927</v>
      </c>
    </row>
    <row r="1975" spans="1:2" x14ac:dyDescent="0.25">
      <c r="A1975" t="s">
        <v>220</v>
      </c>
      <c r="B1975" t="s">
        <v>3928</v>
      </c>
    </row>
    <row r="1976" spans="1:2" x14ac:dyDescent="0.25">
      <c r="A1976" t="s">
        <v>220</v>
      </c>
      <c r="B1976" t="s">
        <v>3929</v>
      </c>
    </row>
    <row r="1977" spans="1:2" x14ac:dyDescent="0.25">
      <c r="A1977" t="s">
        <v>220</v>
      </c>
      <c r="B1977" t="s">
        <v>3930</v>
      </c>
    </row>
    <row r="1978" spans="1:2" x14ac:dyDescent="0.25">
      <c r="A1978" t="s">
        <v>220</v>
      </c>
      <c r="B1978" t="s">
        <v>3931</v>
      </c>
    </row>
    <row r="1979" spans="1:2" x14ac:dyDescent="0.25">
      <c r="A1979" t="s">
        <v>220</v>
      </c>
      <c r="B1979" t="s">
        <v>3932</v>
      </c>
    </row>
    <row r="1980" spans="1:2" x14ac:dyDescent="0.25">
      <c r="A1980" t="s">
        <v>220</v>
      </c>
      <c r="B1980" t="s">
        <v>3933</v>
      </c>
    </row>
    <row r="1981" spans="1:2" x14ac:dyDescent="0.25">
      <c r="A1981" t="s">
        <v>220</v>
      </c>
      <c r="B1981" t="s">
        <v>3934</v>
      </c>
    </row>
    <row r="1982" spans="1:2" x14ac:dyDescent="0.25">
      <c r="A1982" t="s">
        <v>220</v>
      </c>
      <c r="B1982" t="s">
        <v>3935</v>
      </c>
    </row>
    <row r="1983" spans="1:2" x14ac:dyDescent="0.25">
      <c r="A1983" t="s">
        <v>220</v>
      </c>
      <c r="B1983" t="s">
        <v>3936</v>
      </c>
    </row>
    <row r="1984" spans="1:2" x14ac:dyDescent="0.25">
      <c r="A1984" t="s">
        <v>220</v>
      </c>
      <c r="B1984" t="s">
        <v>3937</v>
      </c>
    </row>
    <row r="1985" spans="1:2" x14ac:dyDescent="0.25">
      <c r="A1985" t="s">
        <v>220</v>
      </c>
      <c r="B1985" t="s">
        <v>3938</v>
      </c>
    </row>
    <row r="1986" spans="1:2" x14ac:dyDescent="0.25">
      <c r="A1986" t="s">
        <v>220</v>
      </c>
      <c r="B1986" t="s">
        <v>3939</v>
      </c>
    </row>
    <row r="1987" spans="1:2" x14ac:dyDescent="0.25">
      <c r="A1987" t="s">
        <v>220</v>
      </c>
      <c r="B1987" t="s">
        <v>3940</v>
      </c>
    </row>
    <row r="1988" spans="1:2" x14ac:dyDescent="0.25">
      <c r="A1988" t="s">
        <v>220</v>
      </c>
      <c r="B1988" t="s">
        <v>3941</v>
      </c>
    </row>
    <row r="1989" spans="1:2" x14ac:dyDescent="0.25">
      <c r="A1989" t="s">
        <v>220</v>
      </c>
      <c r="B1989" t="s">
        <v>3942</v>
      </c>
    </row>
    <row r="1990" spans="1:2" x14ac:dyDescent="0.25">
      <c r="A1990" t="s">
        <v>220</v>
      </c>
      <c r="B1990" t="s">
        <v>3943</v>
      </c>
    </row>
    <row r="1991" spans="1:2" x14ac:dyDescent="0.25">
      <c r="A1991" t="s">
        <v>220</v>
      </c>
      <c r="B1991" t="s">
        <v>3944</v>
      </c>
    </row>
    <row r="1992" spans="1:2" x14ac:dyDescent="0.25">
      <c r="A1992" t="s">
        <v>220</v>
      </c>
      <c r="B1992" t="s">
        <v>3945</v>
      </c>
    </row>
    <row r="1993" spans="1:2" x14ac:dyDescent="0.25">
      <c r="A1993" t="s">
        <v>220</v>
      </c>
      <c r="B1993" t="s">
        <v>3946</v>
      </c>
    </row>
    <row r="1994" spans="1:2" x14ac:dyDescent="0.25">
      <c r="A1994" t="s">
        <v>220</v>
      </c>
      <c r="B1994" t="s">
        <v>3947</v>
      </c>
    </row>
    <row r="1995" spans="1:2" x14ac:dyDescent="0.25">
      <c r="A1995" t="s">
        <v>220</v>
      </c>
      <c r="B1995" t="s">
        <v>3948</v>
      </c>
    </row>
    <row r="1996" spans="1:2" x14ac:dyDescent="0.25">
      <c r="A1996" t="s">
        <v>263</v>
      </c>
      <c r="B1996" t="s">
        <v>2251</v>
      </c>
    </row>
    <row r="1997" spans="1:2" x14ac:dyDescent="0.25">
      <c r="A1997" t="s">
        <v>263</v>
      </c>
      <c r="B1997" t="s">
        <v>2230</v>
      </c>
    </row>
    <row r="1998" spans="1:2" x14ac:dyDescent="0.25">
      <c r="A1998" t="s">
        <v>263</v>
      </c>
      <c r="B1998" t="s">
        <v>2231</v>
      </c>
    </row>
    <row r="1999" spans="1:2" x14ac:dyDescent="0.25">
      <c r="A1999" t="s">
        <v>263</v>
      </c>
      <c r="B1999" t="s">
        <v>2232</v>
      </c>
    </row>
    <row r="2000" spans="1:2" x14ac:dyDescent="0.25">
      <c r="A2000" t="s">
        <v>263</v>
      </c>
      <c r="B2000" t="s">
        <v>2233</v>
      </c>
    </row>
    <row r="2001" spans="1:2" x14ac:dyDescent="0.25">
      <c r="A2001" t="s">
        <v>263</v>
      </c>
      <c r="B2001" t="s">
        <v>2234</v>
      </c>
    </row>
    <row r="2002" spans="1:2" x14ac:dyDescent="0.25">
      <c r="A2002" t="s">
        <v>263</v>
      </c>
      <c r="B2002" t="s">
        <v>2235</v>
      </c>
    </row>
    <row r="2003" spans="1:2" x14ac:dyDescent="0.25">
      <c r="A2003" t="s">
        <v>263</v>
      </c>
      <c r="B2003" t="s">
        <v>2236</v>
      </c>
    </row>
    <row r="2004" spans="1:2" x14ac:dyDescent="0.25">
      <c r="A2004" t="s">
        <v>263</v>
      </c>
      <c r="B2004" t="s">
        <v>2237</v>
      </c>
    </row>
    <row r="2005" spans="1:2" x14ac:dyDescent="0.25">
      <c r="A2005" t="s">
        <v>263</v>
      </c>
      <c r="B2005" t="s">
        <v>2238</v>
      </c>
    </row>
    <row r="2006" spans="1:2" x14ac:dyDescent="0.25">
      <c r="A2006" t="s">
        <v>263</v>
      </c>
      <c r="B2006" t="s">
        <v>2239</v>
      </c>
    </row>
    <row r="2007" spans="1:2" x14ac:dyDescent="0.25">
      <c r="A2007" t="s">
        <v>263</v>
      </c>
      <c r="B2007" t="s">
        <v>2240</v>
      </c>
    </row>
    <row r="2008" spans="1:2" x14ac:dyDescent="0.25">
      <c r="A2008" t="s">
        <v>263</v>
      </c>
      <c r="B2008" t="s">
        <v>2241</v>
      </c>
    </row>
    <row r="2009" spans="1:2" x14ac:dyDescent="0.25">
      <c r="A2009" t="s">
        <v>263</v>
      </c>
      <c r="B2009" t="s">
        <v>2242</v>
      </c>
    </row>
    <row r="2010" spans="1:2" x14ac:dyDescent="0.25">
      <c r="A2010" t="s">
        <v>263</v>
      </c>
      <c r="B2010" t="s">
        <v>4601</v>
      </c>
    </row>
    <row r="2011" spans="1:2" x14ac:dyDescent="0.25">
      <c r="A2011" t="s">
        <v>263</v>
      </c>
      <c r="B2011" t="s">
        <v>2243</v>
      </c>
    </row>
    <row r="2012" spans="1:2" x14ac:dyDescent="0.25">
      <c r="A2012" t="s">
        <v>263</v>
      </c>
      <c r="B2012" t="s">
        <v>2244</v>
      </c>
    </row>
    <row r="2013" spans="1:2" x14ac:dyDescent="0.25">
      <c r="A2013" t="s">
        <v>263</v>
      </c>
      <c r="B2013" t="s">
        <v>2245</v>
      </c>
    </row>
    <row r="2014" spans="1:2" x14ac:dyDescent="0.25">
      <c r="A2014" t="s">
        <v>263</v>
      </c>
      <c r="B2014" t="s">
        <v>2246</v>
      </c>
    </row>
    <row r="2015" spans="1:2" x14ac:dyDescent="0.25">
      <c r="A2015" t="s">
        <v>263</v>
      </c>
      <c r="B2015" t="s">
        <v>2247</v>
      </c>
    </row>
    <row r="2016" spans="1:2" x14ac:dyDescent="0.25">
      <c r="A2016" t="s">
        <v>263</v>
      </c>
      <c r="B2016" t="s">
        <v>2248</v>
      </c>
    </row>
    <row r="2017" spans="1:2" x14ac:dyDescent="0.25">
      <c r="A2017" t="s">
        <v>263</v>
      </c>
      <c r="B2017" t="s">
        <v>2249</v>
      </c>
    </row>
    <row r="2018" spans="1:2" x14ac:dyDescent="0.25">
      <c r="A2018" t="s">
        <v>263</v>
      </c>
      <c r="B2018" t="s">
        <v>2250</v>
      </c>
    </row>
    <row r="2019" spans="1:2" x14ac:dyDescent="0.25">
      <c r="A2019" t="s">
        <v>263</v>
      </c>
      <c r="B2019" t="s">
        <v>2251</v>
      </c>
    </row>
    <row r="2020" spans="1:2" x14ac:dyDescent="0.25">
      <c r="A2020" t="s">
        <v>263</v>
      </c>
      <c r="B2020" t="s">
        <v>2252</v>
      </c>
    </row>
    <row r="2021" spans="1:2" x14ac:dyDescent="0.25">
      <c r="A2021" t="s">
        <v>263</v>
      </c>
      <c r="B2021" t="s">
        <v>2253</v>
      </c>
    </row>
    <row r="2022" spans="1:2" x14ac:dyDescent="0.25">
      <c r="A2022" t="s">
        <v>271</v>
      </c>
      <c r="B2022" t="s">
        <v>687</v>
      </c>
    </row>
    <row r="2023" spans="1:2" x14ac:dyDescent="0.25">
      <c r="A2023" t="s">
        <v>271</v>
      </c>
      <c r="B2023" t="s">
        <v>2865</v>
      </c>
    </row>
    <row r="2024" spans="1:2" x14ac:dyDescent="0.25">
      <c r="A2024" t="s">
        <v>271</v>
      </c>
      <c r="B2024" t="s">
        <v>2866</v>
      </c>
    </row>
    <row r="2025" spans="1:2" x14ac:dyDescent="0.25">
      <c r="A2025" t="s">
        <v>271</v>
      </c>
      <c r="B2025" t="s">
        <v>680</v>
      </c>
    </row>
    <row r="2026" spans="1:2" x14ac:dyDescent="0.25">
      <c r="A2026" t="s">
        <v>271</v>
      </c>
      <c r="B2026" t="s">
        <v>2867</v>
      </c>
    </row>
    <row r="2027" spans="1:2" x14ac:dyDescent="0.25">
      <c r="A2027" t="s">
        <v>271</v>
      </c>
      <c r="B2027" t="s">
        <v>4602</v>
      </c>
    </row>
    <row r="2028" spans="1:2" x14ac:dyDescent="0.25">
      <c r="A2028" t="s">
        <v>271</v>
      </c>
      <c r="B2028" t="s">
        <v>2868</v>
      </c>
    </row>
    <row r="2029" spans="1:2" x14ac:dyDescent="0.25">
      <c r="A2029" t="s">
        <v>271</v>
      </c>
      <c r="B2029" t="s">
        <v>2869</v>
      </c>
    </row>
    <row r="2030" spans="1:2" x14ac:dyDescent="0.25">
      <c r="A2030" t="s">
        <v>271</v>
      </c>
      <c r="B2030" t="s">
        <v>624</v>
      </c>
    </row>
    <row r="2031" spans="1:2" x14ac:dyDescent="0.25">
      <c r="A2031" t="s">
        <v>271</v>
      </c>
      <c r="B2031" t="s">
        <v>610</v>
      </c>
    </row>
    <row r="2032" spans="1:2" x14ac:dyDescent="0.25">
      <c r="A2032" t="s">
        <v>271</v>
      </c>
      <c r="B2032" t="s">
        <v>611</v>
      </c>
    </row>
    <row r="2033" spans="1:2" x14ac:dyDescent="0.25">
      <c r="A2033" t="s">
        <v>271</v>
      </c>
      <c r="B2033" t="s">
        <v>620</v>
      </c>
    </row>
    <row r="2034" spans="1:2" x14ac:dyDescent="0.25">
      <c r="A2034" t="s">
        <v>271</v>
      </c>
      <c r="B2034" t="s">
        <v>619</v>
      </c>
    </row>
    <row r="2035" spans="1:2" x14ac:dyDescent="0.25">
      <c r="A2035" t="s">
        <v>271</v>
      </c>
      <c r="B2035" t="s">
        <v>612</v>
      </c>
    </row>
    <row r="2036" spans="1:2" x14ac:dyDescent="0.25">
      <c r="A2036" t="s">
        <v>271</v>
      </c>
      <c r="B2036" t="s">
        <v>613</v>
      </c>
    </row>
    <row r="2037" spans="1:2" x14ac:dyDescent="0.25">
      <c r="A2037" t="s">
        <v>271</v>
      </c>
      <c r="B2037" t="s">
        <v>2870</v>
      </c>
    </row>
    <row r="2038" spans="1:2" x14ac:dyDescent="0.25">
      <c r="A2038" t="s">
        <v>271</v>
      </c>
      <c r="B2038" t="s">
        <v>622</v>
      </c>
    </row>
    <row r="2039" spans="1:2" x14ac:dyDescent="0.25">
      <c r="A2039" t="s">
        <v>271</v>
      </c>
      <c r="B2039" t="s">
        <v>623</v>
      </c>
    </row>
    <row r="2040" spans="1:2" x14ac:dyDescent="0.25">
      <c r="A2040" t="s">
        <v>271</v>
      </c>
      <c r="B2040" t="s">
        <v>616</v>
      </c>
    </row>
    <row r="2041" spans="1:2" x14ac:dyDescent="0.25">
      <c r="A2041" t="s">
        <v>271</v>
      </c>
      <c r="B2041" t="s">
        <v>617</v>
      </c>
    </row>
    <row r="2042" spans="1:2" x14ac:dyDescent="0.25">
      <c r="A2042" t="s">
        <v>271</v>
      </c>
      <c r="B2042" t="s">
        <v>2871</v>
      </c>
    </row>
    <row r="2043" spans="1:2" x14ac:dyDescent="0.25">
      <c r="A2043" t="s">
        <v>271</v>
      </c>
      <c r="B2043" t="s">
        <v>2872</v>
      </c>
    </row>
    <row r="2044" spans="1:2" x14ac:dyDescent="0.25">
      <c r="A2044" t="s">
        <v>271</v>
      </c>
      <c r="B2044" t="s">
        <v>2873</v>
      </c>
    </row>
    <row r="2045" spans="1:2" x14ac:dyDescent="0.25">
      <c r="A2045" t="s">
        <v>271</v>
      </c>
      <c r="B2045" t="s">
        <v>618</v>
      </c>
    </row>
    <row r="2046" spans="1:2" x14ac:dyDescent="0.25">
      <c r="A2046" t="s">
        <v>271</v>
      </c>
      <c r="B2046" t="s">
        <v>2874</v>
      </c>
    </row>
    <row r="2047" spans="1:2" x14ac:dyDescent="0.25">
      <c r="A2047" t="s">
        <v>271</v>
      </c>
      <c r="B2047" t="s">
        <v>4603</v>
      </c>
    </row>
    <row r="2048" spans="1:2" x14ac:dyDescent="0.25">
      <c r="A2048" t="s">
        <v>262</v>
      </c>
      <c r="B2048" t="s">
        <v>4096</v>
      </c>
    </row>
    <row r="2049" spans="1:2" x14ac:dyDescent="0.25">
      <c r="A2049" t="s">
        <v>262</v>
      </c>
      <c r="B2049" t="s">
        <v>3407</v>
      </c>
    </row>
    <row r="2050" spans="1:2" x14ac:dyDescent="0.25">
      <c r="A2050" t="s">
        <v>262</v>
      </c>
      <c r="B2050" t="s">
        <v>3408</v>
      </c>
    </row>
    <row r="2051" spans="1:2" x14ac:dyDescent="0.25">
      <c r="A2051" t="s">
        <v>262</v>
      </c>
      <c r="B2051" t="s">
        <v>3409</v>
      </c>
    </row>
    <row r="2052" spans="1:2" x14ac:dyDescent="0.25">
      <c r="A2052" t="s">
        <v>262</v>
      </c>
      <c r="B2052" t="s">
        <v>3410</v>
      </c>
    </row>
    <row r="2053" spans="1:2" x14ac:dyDescent="0.25">
      <c r="A2053" t="s">
        <v>262</v>
      </c>
      <c r="B2053" t="s">
        <v>3411</v>
      </c>
    </row>
    <row r="2054" spans="1:2" x14ac:dyDescent="0.25">
      <c r="A2054" t="s">
        <v>262</v>
      </c>
      <c r="B2054" t="s">
        <v>3412</v>
      </c>
    </row>
    <row r="2055" spans="1:2" x14ac:dyDescent="0.25">
      <c r="A2055" t="s">
        <v>262</v>
      </c>
      <c r="B2055" t="s">
        <v>3413</v>
      </c>
    </row>
    <row r="2056" spans="1:2" x14ac:dyDescent="0.25">
      <c r="A2056" t="s">
        <v>262</v>
      </c>
      <c r="B2056" t="s">
        <v>3414</v>
      </c>
    </row>
    <row r="2057" spans="1:2" x14ac:dyDescent="0.25">
      <c r="A2057" t="s">
        <v>262</v>
      </c>
      <c r="B2057" t="s">
        <v>3415</v>
      </c>
    </row>
    <row r="2058" spans="1:2" x14ac:dyDescent="0.25">
      <c r="A2058" t="s">
        <v>262</v>
      </c>
      <c r="B2058" t="s">
        <v>3416</v>
      </c>
    </row>
    <row r="2059" spans="1:2" x14ac:dyDescent="0.25">
      <c r="A2059" t="s">
        <v>262</v>
      </c>
      <c r="B2059" t="s">
        <v>3417</v>
      </c>
    </row>
    <row r="2060" spans="1:2" x14ac:dyDescent="0.25">
      <c r="A2060" t="s">
        <v>262</v>
      </c>
      <c r="B2060" t="s">
        <v>3418</v>
      </c>
    </row>
    <row r="2061" spans="1:2" x14ac:dyDescent="0.25">
      <c r="A2061" t="s">
        <v>262</v>
      </c>
      <c r="B2061" t="s">
        <v>3419</v>
      </c>
    </row>
    <row r="2062" spans="1:2" x14ac:dyDescent="0.25">
      <c r="A2062" t="s">
        <v>262</v>
      </c>
      <c r="B2062" t="s">
        <v>3420</v>
      </c>
    </row>
    <row r="2063" spans="1:2" x14ac:dyDescent="0.25">
      <c r="A2063" t="s">
        <v>262</v>
      </c>
      <c r="B2063" t="s">
        <v>3421</v>
      </c>
    </row>
    <row r="2064" spans="1:2" x14ac:dyDescent="0.25">
      <c r="A2064" t="s">
        <v>262</v>
      </c>
      <c r="B2064" t="s">
        <v>3422</v>
      </c>
    </row>
    <row r="2065" spans="1:2" x14ac:dyDescent="0.25">
      <c r="A2065" t="s">
        <v>262</v>
      </c>
      <c r="B2065" t="s">
        <v>3423</v>
      </c>
    </row>
    <row r="2066" spans="1:2" x14ac:dyDescent="0.25">
      <c r="A2066" t="s">
        <v>262</v>
      </c>
      <c r="B2066" t="s">
        <v>3424</v>
      </c>
    </row>
    <row r="2067" spans="1:2" x14ac:dyDescent="0.25">
      <c r="A2067" t="s">
        <v>262</v>
      </c>
      <c r="B2067" t="s">
        <v>3425</v>
      </c>
    </row>
    <row r="2068" spans="1:2" x14ac:dyDescent="0.25">
      <c r="A2068" t="s">
        <v>262</v>
      </c>
      <c r="B2068" t="s">
        <v>3426</v>
      </c>
    </row>
    <row r="2069" spans="1:2" x14ac:dyDescent="0.25">
      <c r="A2069" t="s">
        <v>262</v>
      </c>
      <c r="B2069" t="s">
        <v>3427</v>
      </c>
    </row>
    <row r="2070" spans="1:2" x14ac:dyDescent="0.25">
      <c r="A2070" t="s">
        <v>262</v>
      </c>
      <c r="B2070" t="s">
        <v>3428</v>
      </c>
    </row>
    <row r="2071" spans="1:2" x14ac:dyDescent="0.25">
      <c r="A2071" t="s">
        <v>295</v>
      </c>
      <c r="B2071" t="s">
        <v>3677</v>
      </c>
    </row>
    <row r="2072" spans="1:2" x14ac:dyDescent="0.25">
      <c r="A2072" t="s">
        <v>295</v>
      </c>
      <c r="B2072" t="s">
        <v>2382</v>
      </c>
    </row>
    <row r="2073" spans="1:2" x14ac:dyDescent="0.25">
      <c r="A2073" t="s">
        <v>295</v>
      </c>
      <c r="B2073" t="s">
        <v>3659</v>
      </c>
    </row>
    <row r="2074" spans="1:2" x14ac:dyDescent="0.25">
      <c r="A2074" t="s">
        <v>295</v>
      </c>
      <c r="B2074" t="s">
        <v>3660</v>
      </c>
    </row>
    <row r="2075" spans="1:2" x14ac:dyDescent="0.25">
      <c r="A2075" t="s">
        <v>295</v>
      </c>
      <c r="B2075" t="s">
        <v>3661</v>
      </c>
    </row>
    <row r="2076" spans="1:2" x14ac:dyDescent="0.25">
      <c r="A2076" t="s">
        <v>295</v>
      </c>
      <c r="B2076" t="s">
        <v>3662</v>
      </c>
    </row>
    <row r="2077" spans="1:2" x14ac:dyDescent="0.25">
      <c r="A2077" t="s">
        <v>295</v>
      </c>
      <c r="B2077" t="s">
        <v>3663</v>
      </c>
    </row>
    <row r="2078" spans="1:2" x14ac:dyDescent="0.25">
      <c r="A2078" t="s">
        <v>295</v>
      </c>
      <c r="B2078" t="s">
        <v>3664</v>
      </c>
    </row>
    <row r="2079" spans="1:2" x14ac:dyDescent="0.25">
      <c r="A2079" t="s">
        <v>295</v>
      </c>
      <c r="B2079" t="s">
        <v>3665</v>
      </c>
    </row>
    <row r="2080" spans="1:2" x14ac:dyDescent="0.25">
      <c r="A2080" t="s">
        <v>295</v>
      </c>
      <c r="B2080" t="s">
        <v>3666</v>
      </c>
    </row>
    <row r="2081" spans="1:2" x14ac:dyDescent="0.25">
      <c r="A2081" t="s">
        <v>295</v>
      </c>
      <c r="B2081" t="s">
        <v>3667</v>
      </c>
    </row>
    <row r="2082" spans="1:2" x14ac:dyDescent="0.25">
      <c r="A2082" t="s">
        <v>295</v>
      </c>
      <c r="B2082" t="s">
        <v>3668</v>
      </c>
    </row>
    <row r="2083" spans="1:2" x14ac:dyDescent="0.25">
      <c r="A2083" t="s">
        <v>295</v>
      </c>
      <c r="B2083" t="s">
        <v>3669</v>
      </c>
    </row>
    <row r="2084" spans="1:2" x14ac:dyDescent="0.25">
      <c r="A2084" t="s">
        <v>295</v>
      </c>
      <c r="B2084" t="s">
        <v>3670</v>
      </c>
    </row>
    <row r="2085" spans="1:2" x14ac:dyDescent="0.25">
      <c r="A2085" t="s">
        <v>295</v>
      </c>
      <c r="B2085" t="s">
        <v>3671</v>
      </c>
    </row>
    <row r="2086" spans="1:2" x14ac:dyDescent="0.25">
      <c r="A2086" t="s">
        <v>295</v>
      </c>
      <c r="B2086" t="s">
        <v>3672</v>
      </c>
    </row>
    <row r="2087" spans="1:2" x14ac:dyDescent="0.25">
      <c r="A2087" t="s">
        <v>295</v>
      </c>
      <c r="B2087" t="s">
        <v>3673</v>
      </c>
    </row>
    <row r="2088" spans="1:2" x14ac:dyDescent="0.25">
      <c r="A2088" t="s">
        <v>295</v>
      </c>
      <c r="B2088" t="s">
        <v>2382</v>
      </c>
    </row>
    <row r="2089" spans="1:2" x14ac:dyDescent="0.25">
      <c r="A2089" t="s">
        <v>295</v>
      </c>
      <c r="B2089" t="s">
        <v>3659</v>
      </c>
    </row>
    <row r="2090" spans="1:2" x14ac:dyDescent="0.25">
      <c r="A2090" t="s">
        <v>295</v>
      </c>
      <c r="B2090" t="s">
        <v>3674</v>
      </c>
    </row>
    <row r="2091" spans="1:2" x14ac:dyDescent="0.25">
      <c r="A2091" t="s">
        <v>295</v>
      </c>
      <c r="B2091" t="s">
        <v>3675</v>
      </c>
    </row>
    <row r="2092" spans="1:2" x14ac:dyDescent="0.25">
      <c r="A2092" t="s">
        <v>295</v>
      </c>
      <c r="B2092" t="s">
        <v>3676</v>
      </c>
    </row>
    <row r="2093" spans="1:2" x14ac:dyDescent="0.25">
      <c r="A2093" t="s">
        <v>295</v>
      </c>
      <c r="B2093" t="s">
        <v>3677</v>
      </c>
    </row>
    <row r="2094" spans="1:2" x14ac:dyDescent="0.25">
      <c r="A2094" t="s">
        <v>295</v>
      </c>
      <c r="B2094" t="s">
        <v>3678</v>
      </c>
    </row>
    <row r="2095" spans="1:2" x14ac:dyDescent="0.25">
      <c r="A2095" t="s">
        <v>295</v>
      </c>
      <c r="B2095" t="s">
        <v>3679</v>
      </c>
    </row>
    <row r="2096" spans="1:2" x14ac:dyDescent="0.25">
      <c r="A2096" t="s">
        <v>295</v>
      </c>
      <c r="B2096" t="s">
        <v>3680</v>
      </c>
    </row>
    <row r="2097" spans="1:2" x14ac:dyDescent="0.25">
      <c r="A2097" t="s">
        <v>295</v>
      </c>
      <c r="B2097" t="s">
        <v>3681</v>
      </c>
    </row>
    <row r="2098" spans="1:2" x14ac:dyDescent="0.25">
      <c r="A2098" t="s">
        <v>295</v>
      </c>
      <c r="B2098" t="s">
        <v>3682</v>
      </c>
    </row>
    <row r="2099" spans="1:2" x14ac:dyDescent="0.25">
      <c r="A2099" t="s">
        <v>295</v>
      </c>
      <c r="B2099" t="s">
        <v>3683</v>
      </c>
    </row>
    <row r="2100" spans="1:2" x14ac:dyDescent="0.25">
      <c r="A2100" t="s">
        <v>295</v>
      </c>
      <c r="B2100" t="s">
        <v>3684</v>
      </c>
    </row>
    <row r="2101" spans="1:2" x14ac:dyDescent="0.25">
      <c r="A2101" t="s">
        <v>295</v>
      </c>
      <c r="B2101" t="s">
        <v>3685</v>
      </c>
    </row>
    <row r="2102" spans="1:2" x14ac:dyDescent="0.25">
      <c r="A2102" t="s">
        <v>295</v>
      </c>
      <c r="B2102" t="s">
        <v>3686</v>
      </c>
    </row>
    <row r="2103" spans="1:2" x14ac:dyDescent="0.25">
      <c r="A2103" t="s">
        <v>295</v>
      </c>
      <c r="B2103" t="s">
        <v>3687</v>
      </c>
    </row>
    <row r="2104" spans="1:2" x14ac:dyDescent="0.25">
      <c r="A2104" t="s">
        <v>295</v>
      </c>
      <c r="B2104" t="s">
        <v>3660</v>
      </c>
    </row>
    <row r="2105" spans="1:2" x14ac:dyDescent="0.25">
      <c r="A2105" t="s">
        <v>295</v>
      </c>
      <c r="B2105" t="s">
        <v>3688</v>
      </c>
    </row>
    <row r="2106" spans="1:2" x14ac:dyDescent="0.25">
      <c r="A2106" t="s">
        <v>295</v>
      </c>
      <c r="B2106" t="s">
        <v>3689</v>
      </c>
    </row>
    <row r="2107" spans="1:2" x14ac:dyDescent="0.25">
      <c r="A2107" t="s">
        <v>295</v>
      </c>
      <c r="B2107" t="s">
        <v>3661</v>
      </c>
    </row>
    <row r="2108" spans="1:2" x14ac:dyDescent="0.25">
      <c r="A2108" t="s">
        <v>295</v>
      </c>
      <c r="B2108" t="s">
        <v>3662</v>
      </c>
    </row>
    <row r="2109" spans="1:2" x14ac:dyDescent="0.25">
      <c r="A2109" t="s">
        <v>295</v>
      </c>
      <c r="B2109" t="s">
        <v>3663</v>
      </c>
    </row>
    <row r="2110" spans="1:2" x14ac:dyDescent="0.25">
      <c r="A2110" t="s">
        <v>295</v>
      </c>
      <c r="B2110" t="s">
        <v>3664</v>
      </c>
    </row>
    <row r="2111" spans="1:2" x14ac:dyDescent="0.25">
      <c r="A2111" t="s">
        <v>295</v>
      </c>
      <c r="B2111" t="s">
        <v>3665</v>
      </c>
    </row>
    <row r="2112" spans="1:2" x14ac:dyDescent="0.25">
      <c r="A2112" t="s">
        <v>295</v>
      </c>
      <c r="B2112" t="s">
        <v>3666</v>
      </c>
    </row>
    <row r="2113" spans="1:2" x14ac:dyDescent="0.25">
      <c r="A2113" t="s">
        <v>295</v>
      </c>
      <c r="B2113" t="s">
        <v>3690</v>
      </c>
    </row>
    <row r="2114" spans="1:2" x14ac:dyDescent="0.25">
      <c r="A2114" t="s">
        <v>295</v>
      </c>
      <c r="B2114" t="s">
        <v>3667</v>
      </c>
    </row>
    <row r="2115" spans="1:2" x14ac:dyDescent="0.25">
      <c r="A2115" t="s">
        <v>295</v>
      </c>
      <c r="B2115" t="s">
        <v>3691</v>
      </c>
    </row>
    <row r="2116" spans="1:2" x14ac:dyDescent="0.25">
      <c r="A2116" t="s">
        <v>295</v>
      </c>
      <c r="B2116" t="s">
        <v>3692</v>
      </c>
    </row>
    <row r="2117" spans="1:2" x14ac:dyDescent="0.25">
      <c r="A2117" t="s">
        <v>295</v>
      </c>
      <c r="B2117" t="s">
        <v>3668</v>
      </c>
    </row>
    <row r="2118" spans="1:2" x14ac:dyDescent="0.25">
      <c r="A2118" t="s">
        <v>295</v>
      </c>
      <c r="B2118" t="s">
        <v>3669</v>
      </c>
    </row>
    <row r="2119" spans="1:2" x14ac:dyDescent="0.25">
      <c r="A2119" t="s">
        <v>295</v>
      </c>
      <c r="B2119" t="s">
        <v>3670</v>
      </c>
    </row>
    <row r="2120" spans="1:2" x14ac:dyDescent="0.25">
      <c r="A2120" t="s">
        <v>295</v>
      </c>
      <c r="B2120" t="s">
        <v>3693</v>
      </c>
    </row>
    <row r="2121" spans="1:2" x14ac:dyDescent="0.25">
      <c r="A2121" t="s">
        <v>295</v>
      </c>
      <c r="B2121" t="s">
        <v>3694</v>
      </c>
    </row>
    <row r="2122" spans="1:2" x14ac:dyDescent="0.25">
      <c r="A2122" t="s">
        <v>295</v>
      </c>
      <c r="B2122" t="s">
        <v>3671</v>
      </c>
    </row>
    <row r="2123" spans="1:2" x14ac:dyDescent="0.25">
      <c r="A2123" t="s">
        <v>295</v>
      </c>
      <c r="B2123" t="s">
        <v>4692</v>
      </c>
    </row>
    <row r="2124" spans="1:2" x14ac:dyDescent="0.25">
      <c r="A2124" t="s">
        <v>268</v>
      </c>
      <c r="B2124" t="s">
        <v>4064</v>
      </c>
    </row>
    <row r="2125" spans="1:2" x14ac:dyDescent="0.25">
      <c r="A2125" t="s">
        <v>268</v>
      </c>
      <c r="B2125" t="s">
        <v>2708</v>
      </c>
    </row>
    <row r="2126" spans="1:2" x14ac:dyDescent="0.25">
      <c r="A2126" t="s">
        <v>268</v>
      </c>
      <c r="B2126" t="s">
        <v>2709</v>
      </c>
    </row>
    <row r="2127" spans="1:2" x14ac:dyDescent="0.25">
      <c r="A2127" t="s">
        <v>268</v>
      </c>
      <c r="B2127" t="s">
        <v>2710</v>
      </c>
    </row>
    <row r="2128" spans="1:2" x14ac:dyDescent="0.25">
      <c r="A2128" t="s">
        <v>268</v>
      </c>
      <c r="B2128" t="s">
        <v>2711</v>
      </c>
    </row>
    <row r="2129" spans="1:2" x14ac:dyDescent="0.25">
      <c r="A2129" t="s">
        <v>268</v>
      </c>
      <c r="B2129" t="s">
        <v>2712</v>
      </c>
    </row>
    <row r="2130" spans="1:2" x14ac:dyDescent="0.25">
      <c r="A2130" t="s">
        <v>268</v>
      </c>
      <c r="B2130" t="s">
        <v>2713</v>
      </c>
    </row>
    <row r="2131" spans="1:2" x14ac:dyDescent="0.25">
      <c r="A2131" t="s">
        <v>268</v>
      </c>
      <c r="B2131" t="s">
        <v>2714</v>
      </c>
    </row>
    <row r="2132" spans="1:2" x14ac:dyDescent="0.25">
      <c r="A2132" t="s">
        <v>268</v>
      </c>
      <c r="B2132" t="s">
        <v>2715</v>
      </c>
    </row>
    <row r="2133" spans="1:2" x14ac:dyDescent="0.25">
      <c r="A2133" t="s">
        <v>268</v>
      </c>
      <c r="B2133" t="s">
        <v>2716</v>
      </c>
    </row>
    <row r="2134" spans="1:2" x14ac:dyDescent="0.25">
      <c r="A2134" t="s">
        <v>268</v>
      </c>
      <c r="B2134" t="s">
        <v>2717</v>
      </c>
    </row>
    <row r="2135" spans="1:2" x14ac:dyDescent="0.25">
      <c r="A2135" t="s">
        <v>268</v>
      </c>
      <c r="B2135" t="s">
        <v>2718</v>
      </c>
    </row>
    <row r="2136" spans="1:2" x14ac:dyDescent="0.25">
      <c r="A2136" t="s">
        <v>268</v>
      </c>
      <c r="B2136" t="s">
        <v>2719</v>
      </c>
    </row>
    <row r="2137" spans="1:2" x14ac:dyDescent="0.25">
      <c r="A2137" t="s">
        <v>268</v>
      </c>
      <c r="B2137" t="s">
        <v>2720</v>
      </c>
    </row>
    <row r="2138" spans="1:2" x14ac:dyDescent="0.25">
      <c r="A2138" t="s">
        <v>268</v>
      </c>
      <c r="B2138" t="s">
        <v>2721</v>
      </c>
    </row>
    <row r="2139" spans="1:2" x14ac:dyDescent="0.25">
      <c r="A2139" t="s">
        <v>268</v>
      </c>
      <c r="B2139" t="s">
        <v>2722</v>
      </c>
    </row>
    <row r="2140" spans="1:2" x14ac:dyDescent="0.25">
      <c r="A2140" t="s">
        <v>268</v>
      </c>
      <c r="B2140" t="s">
        <v>2723</v>
      </c>
    </row>
    <row r="2141" spans="1:2" x14ac:dyDescent="0.25">
      <c r="A2141" t="s">
        <v>268</v>
      </c>
      <c r="B2141" t="s">
        <v>2724</v>
      </c>
    </row>
    <row r="2142" spans="1:2" x14ac:dyDescent="0.25">
      <c r="A2142" t="s">
        <v>268</v>
      </c>
      <c r="B2142" t="s">
        <v>2725</v>
      </c>
    </row>
    <row r="2143" spans="1:2" x14ac:dyDescent="0.25">
      <c r="A2143" t="s">
        <v>268</v>
      </c>
      <c r="B2143" t="s">
        <v>2726</v>
      </c>
    </row>
    <row r="2144" spans="1:2" x14ac:dyDescent="0.25">
      <c r="A2144" t="s">
        <v>268</v>
      </c>
      <c r="B2144" t="s">
        <v>2727</v>
      </c>
    </row>
    <row r="2145" spans="1:2" x14ac:dyDescent="0.25">
      <c r="A2145" t="s">
        <v>268</v>
      </c>
      <c r="B2145" t="s">
        <v>2728</v>
      </c>
    </row>
    <row r="2146" spans="1:2" x14ac:dyDescent="0.25">
      <c r="A2146" t="s">
        <v>268</v>
      </c>
      <c r="B2146" t="s">
        <v>2729</v>
      </c>
    </row>
    <row r="2147" spans="1:2" x14ac:dyDescent="0.25">
      <c r="A2147" t="s">
        <v>268</v>
      </c>
      <c r="B2147" t="s">
        <v>2730</v>
      </c>
    </row>
    <row r="2148" spans="1:2" x14ac:dyDescent="0.25">
      <c r="A2148" t="s">
        <v>268</v>
      </c>
      <c r="B2148" t="s">
        <v>2731</v>
      </c>
    </row>
    <row r="2149" spans="1:2" x14ac:dyDescent="0.25">
      <c r="A2149" t="s">
        <v>268</v>
      </c>
      <c r="B2149" t="s">
        <v>2732</v>
      </c>
    </row>
    <row r="2150" spans="1:2" x14ac:dyDescent="0.25">
      <c r="A2150" t="s">
        <v>210</v>
      </c>
      <c r="B2150" t="s">
        <v>4278</v>
      </c>
    </row>
    <row r="2151" spans="1:2" x14ac:dyDescent="0.25">
      <c r="A2151" t="s">
        <v>210</v>
      </c>
      <c r="B2151" t="s">
        <v>4279</v>
      </c>
    </row>
    <row r="2152" spans="1:2" x14ac:dyDescent="0.25">
      <c r="A2152" t="s">
        <v>210</v>
      </c>
      <c r="B2152" t="s">
        <v>4280</v>
      </c>
    </row>
    <row r="2153" spans="1:2" x14ac:dyDescent="0.25">
      <c r="A2153" t="s">
        <v>210</v>
      </c>
      <c r="B2153" t="s">
        <v>4281</v>
      </c>
    </row>
    <row r="2154" spans="1:2" x14ac:dyDescent="0.25">
      <c r="A2154" t="s">
        <v>210</v>
      </c>
      <c r="B2154" t="s">
        <v>4282</v>
      </c>
    </row>
    <row r="2155" spans="1:2" x14ac:dyDescent="0.25">
      <c r="A2155" t="s">
        <v>210</v>
      </c>
      <c r="B2155" t="s">
        <v>4283</v>
      </c>
    </row>
    <row r="2156" spans="1:2" x14ac:dyDescent="0.25">
      <c r="A2156" t="s">
        <v>210</v>
      </c>
      <c r="B2156" t="s">
        <v>4284</v>
      </c>
    </row>
    <row r="2157" spans="1:2" x14ac:dyDescent="0.25">
      <c r="A2157" t="s">
        <v>210</v>
      </c>
      <c r="B2157" t="s">
        <v>4285</v>
      </c>
    </row>
    <row r="2158" spans="1:2" x14ac:dyDescent="0.25">
      <c r="A2158" t="s">
        <v>210</v>
      </c>
      <c r="B2158" t="s">
        <v>4286</v>
      </c>
    </row>
    <row r="2159" spans="1:2" x14ac:dyDescent="0.25">
      <c r="A2159" t="s">
        <v>210</v>
      </c>
      <c r="B2159" t="s">
        <v>4287</v>
      </c>
    </row>
    <row r="2160" spans="1:2" x14ac:dyDescent="0.25">
      <c r="A2160" t="s">
        <v>210</v>
      </c>
      <c r="B2160" t="s">
        <v>4288</v>
      </c>
    </row>
    <row r="2161" spans="1:2" x14ac:dyDescent="0.25">
      <c r="A2161" t="s">
        <v>210</v>
      </c>
      <c r="B2161" t="s">
        <v>4678</v>
      </c>
    </row>
    <row r="2162" spans="1:2" x14ac:dyDescent="0.25">
      <c r="A2162" t="s">
        <v>210</v>
      </c>
      <c r="B2162" t="s">
        <v>4680</v>
      </c>
    </row>
    <row r="2163" spans="1:2" x14ac:dyDescent="0.25">
      <c r="A2163" t="s">
        <v>210</v>
      </c>
      <c r="B2163" t="s">
        <v>4289</v>
      </c>
    </row>
    <row r="2164" spans="1:2" x14ac:dyDescent="0.25">
      <c r="A2164" t="s">
        <v>210</v>
      </c>
      <c r="B2164" t="s">
        <v>4290</v>
      </c>
    </row>
    <row r="2165" spans="1:2" x14ac:dyDescent="0.25">
      <c r="A2165" t="s">
        <v>210</v>
      </c>
      <c r="B2165" t="s">
        <v>4679</v>
      </c>
    </row>
    <row r="2166" spans="1:2" x14ac:dyDescent="0.25">
      <c r="A2166" t="s">
        <v>210</v>
      </c>
      <c r="B2166" t="s">
        <v>4291</v>
      </c>
    </row>
    <row r="2167" spans="1:2" x14ac:dyDescent="0.25">
      <c r="A2167" t="s">
        <v>210</v>
      </c>
      <c r="B2167" t="s">
        <v>4292</v>
      </c>
    </row>
    <row r="2168" spans="1:2" x14ac:dyDescent="0.25">
      <c r="A2168" t="s">
        <v>210</v>
      </c>
      <c r="B2168" t="s">
        <v>4293</v>
      </c>
    </row>
    <row r="2169" spans="1:2" x14ac:dyDescent="0.25">
      <c r="A2169" t="s">
        <v>210</v>
      </c>
      <c r="B2169" t="s">
        <v>4294</v>
      </c>
    </row>
    <row r="2170" spans="1:2" x14ac:dyDescent="0.25">
      <c r="A2170" t="s">
        <v>210</v>
      </c>
      <c r="B2170" t="s">
        <v>4295</v>
      </c>
    </row>
    <row r="2171" spans="1:2" x14ac:dyDescent="0.25">
      <c r="A2171" t="s">
        <v>210</v>
      </c>
      <c r="B2171" t="s">
        <v>4296</v>
      </c>
    </row>
    <row r="2172" spans="1:2" x14ac:dyDescent="0.25">
      <c r="A2172" t="s">
        <v>210</v>
      </c>
      <c r="B2172" t="s">
        <v>4297</v>
      </c>
    </row>
    <row r="2173" spans="1:2" x14ac:dyDescent="0.25">
      <c r="A2173" t="s">
        <v>210</v>
      </c>
      <c r="B2173" t="s">
        <v>4298</v>
      </c>
    </row>
    <row r="2174" spans="1:2" x14ac:dyDescent="0.25">
      <c r="A2174" t="s">
        <v>210</v>
      </c>
      <c r="B2174" t="s">
        <v>4299</v>
      </c>
    </row>
    <row r="2175" spans="1:2" x14ac:dyDescent="0.25">
      <c r="A2175" t="s">
        <v>210</v>
      </c>
      <c r="B2175" t="s">
        <v>4300</v>
      </c>
    </row>
    <row r="2176" spans="1:2" x14ac:dyDescent="0.25">
      <c r="A2176" t="s">
        <v>210</v>
      </c>
      <c r="B2176" t="s">
        <v>4677</v>
      </c>
    </row>
    <row r="2177" spans="1:2" x14ac:dyDescent="0.25">
      <c r="A2177" t="s">
        <v>210</v>
      </c>
      <c r="B2177" t="s">
        <v>4299</v>
      </c>
    </row>
    <row r="2178" spans="1:2" x14ac:dyDescent="0.25">
      <c r="A2178" t="s">
        <v>210</v>
      </c>
      <c r="B2178" t="s">
        <v>4301</v>
      </c>
    </row>
    <row r="2179" spans="1:2" x14ac:dyDescent="0.25">
      <c r="A2179" t="s">
        <v>210</v>
      </c>
      <c r="B2179" t="s">
        <v>4302</v>
      </c>
    </row>
    <row r="2180" spans="1:2" x14ac:dyDescent="0.25">
      <c r="A2180" t="s">
        <v>210</v>
      </c>
      <c r="B2180" t="s">
        <v>4303</v>
      </c>
    </row>
    <row r="2181" spans="1:2" x14ac:dyDescent="0.25">
      <c r="A2181" t="s">
        <v>210</v>
      </c>
      <c r="B2181" t="s">
        <v>4304</v>
      </c>
    </row>
    <row r="2182" spans="1:2" x14ac:dyDescent="0.25">
      <c r="A2182" t="s">
        <v>293</v>
      </c>
      <c r="B2182" t="s">
        <v>1030</v>
      </c>
    </row>
    <row r="2183" spans="1:2" x14ac:dyDescent="0.25">
      <c r="A2183" t="s">
        <v>293</v>
      </c>
      <c r="B2183" t="s">
        <v>2159</v>
      </c>
    </row>
    <row r="2184" spans="1:2" x14ac:dyDescent="0.25">
      <c r="A2184" t="s">
        <v>293</v>
      </c>
      <c r="B2184" t="s">
        <v>2160</v>
      </c>
    </row>
    <row r="2185" spans="1:2" x14ac:dyDescent="0.25">
      <c r="A2185" t="s">
        <v>293</v>
      </c>
      <c r="B2185" t="s">
        <v>1377</v>
      </c>
    </row>
    <row r="2186" spans="1:2" x14ac:dyDescent="0.25">
      <c r="A2186" t="s">
        <v>293</v>
      </c>
      <c r="B2186" t="s">
        <v>2161</v>
      </c>
    </row>
    <row r="2187" spans="1:2" x14ac:dyDescent="0.25">
      <c r="A2187" t="s">
        <v>293</v>
      </c>
      <c r="B2187" t="s">
        <v>2162</v>
      </c>
    </row>
    <row r="2188" spans="1:2" x14ac:dyDescent="0.25">
      <c r="A2188" t="s">
        <v>293</v>
      </c>
      <c r="B2188" t="s">
        <v>2163</v>
      </c>
    </row>
    <row r="2189" spans="1:2" x14ac:dyDescent="0.25">
      <c r="A2189" t="s">
        <v>293</v>
      </c>
      <c r="B2189" t="s">
        <v>2164</v>
      </c>
    </row>
    <row r="2190" spans="1:2" x14ac:dyDescent="0.25">
      <c r="A2190" t="s">
        <v>293</v>
      </c>
      <c r="B2190" t="s">
        <v>4643</v>
      </c>
    </row>
    <row r="2191" spans="1:2" x14ac:dyDescent="0.25">
      <c r="A2191" t="s">
        <v>293</v>
      </c>
      <c r="B2191" t="s">
        <v>1444</v>
      </c>
    </row>
    <row r="2192" spans="1:2" x14ac:dyDescent="0.25">
      <c r="A2192" t="s">
        <v>293</v>
      </c>
      <c r="B2192" t="s">
        <v>1454</v>
      </c>
    </row>
    <row r="2193" spans="1:2" x14ac:dyDescent="0.25">
      <c r="A2193" t="s">
        <v>293</v>
      </c>
      <c r="B2193" t="s">
        <v>1456</v>
      </c>
    </row>
    <row r="2194" spans="1:2" x14ac:dyDescent="0.25">
      <c r="A2194" t="s">
        <v>293</v>
      </c>
      <c r="B2194" t="s">
        <v>1455</v>
      </c>
    </row>
    <row r="2195" spans="1:2" x14ac:dyDescent="0.25">
      <c r="A2195" t="s">
        <v>293</v>
      </c>
      <c r="B2195" t="s">
        <v>1451</v>
      </c>
    </row>
    <row r="2196" spans="1:2" x14ac:dyDescent="0.25">
      <c r="A2196" t="s">
        <v>293</v>
      </c>
      <c r="B2196" t="s">
        <v>1452</v>
      </c>
    </row>
    <row r="2197" spans="1:2" x14ac:dyDescent="0.25">
      <c r="A2197" t="s">
        <v>293</v>
      </c>
      <c r="B2197" t="s">
        <v>2165</v>
      </c>
    </row>
    <row r="2198" spans="1:2" x14ac:dyDescent="0.25">
      <c r="A2198" t="s">
        <v>293</v>
      </c>
      <c r="B2198" t="s">
        <v>1448</v>
      </c>
    </row>
    <row r="2199" spans="1:2" x14ac:dyDescent="0.25">
      <c r="A2199" t="s">
        <v>293</v>
      </c>
      <c r="B2199" t="s">
        <v>1453</v>
      </c>
    </row>
    <row r="2200" spans="1:2" x14ac:dyDescent="0.25">
      <c r="A2200" t="s">
        <v>293</v>
      </c>
      <c r="B2200" t="s">
        <v>2166</v>
      </c>
    </row>
    <row r="2201" spans="1:2" x14ac:dyDescent="0.25">
      <c r="A2201" t="s">
        <v>293</v>
      </c>
      <c r="B2201" t="s">
        <v>1445</v>
      </c>
    </row>
    <row r="2202" spans="1:2" x14ac:dyDescent="0.25">
      <c r="A2202" t="s">
        <v>293</v>
      </c>
      <c r="B2202" t="s">
        <v>1450</v>
      </c>
    </row>
    <row r="2203" spans="1:2" x14ac:dyDescent="0.25">
      <c r="A2203" t="s">
        <v>293</v>
      </c>
      <c r="B2203" t="s">
        <v>1447</v>
      </c>
    </row>
    <row r="2204" spans="1:2" x14ac:dyDescent="0.25">
      <c r="A2204" t="s">
        <v>293</v>
      </c>
      <c r="B2204" t="s">
        <v>1457</v>
      </c>
    </row>
    <row r="2205" spans="1:2" x14ac:dyDescent="0.25">
      <c r="A2205" t="s">
        <v>293</v>
      </c>
      <c r="B2205" t="s">
        <v>1446</v>
      </c>
    </row>
    <row r="2206" spans="1:2" x14ac:dyDescent="0.25">
      <c r="A2206" t="s">
        <v>293</v>
      </c>
      <c r="B2206" t="s">
        <v>1449</v>
      </c>
    </row>
    <row r="2207" spans="1:2" x14ac:dyDescent="0.25">
      <c r="A2207" t="s">
        <v>253</v>
      </c>
      <c r="B2207" t="s">
        <v>4036</v>
      </c>
    </row>
    <row r="2208" spans="1:2" x14ac:dyDescent="0.25">
      <c r="A2208" t="s">
        <v>253</v>
      </c>
      <c r="B2208" t="s">
        <v>1958</v>
      </c>
    </row>
    <row r="2209" spans="1:2" x14ac:dyDescent="0.25">
      <c r="A2209" t="s">
        <v>253</v>
      </c>
      <c r="B2209" t="s">
        <v>1959</v>
      </c>
    </row>
    <row r="2210" spans="1:2" x14ac:dyDescent="0.25">
      <c r="A2210" t="s">
        <v>253</v>
      </c>
      <c r="B2210" t="s">
        <v>1960</v>
      </c>
    </row>
    <row r="2211" spans="1:2" x14ac:dyDescent="0.25">
      <c r="A2211" t="s">
        <v>253</v>
      </c>
      <c r="B2211" t="s">
        <v>1961</v>
      </c>
    </row>
    <row r="2212" spans="1:2" x14ac:dyDescent="0.25">
      <c r="A2212" t="s">
        <v>253</v>
      </c>
      <c r="B2212" t="s">
        <v>1962</v>
      </c>
    </row>
    <row r="2213" spans="1:2" x14ac:dyDescent="0.25">
      <c r="A2213" t="s">
        <v>253</v>
      </c>
      <c r="B2213" t="s">
        <v>1963</v>
      </c>
    </row>
    <row r="2214" spans="1:2" x14ac:dyDescent="0.25">
      <c r="A2214" t="s">
        <v>253</v>
      </c>
      <c r="B2214" t="s">
        <v>1964</v>
      </c>
    </row>
    <row r="2215" spans="1:2" x14ac:dyDescent="0.25">
      <c r="A2215" t="s">
        <v>253</v>
      </c>
      <c r="B2215" t="s">
        <v>1965</v>
      </c>
    </row>
    <row r="2216" spans="1:2" x14ac:dyDescent="0.25">
      <c r="A2216" t="s">
        <v>253</v>
      </c>
      <c r="B2216" t="s">
        <v>1966</v>
      </c>
    </row>
    <row r="2217" spans="1:2" x14ac:dyDescent="0.25">
      <c r="A2217" t="s">
        <v>253</v>
      </c>
      <c r="B2217" t="s">
        <v>1967</v>
      </c>
    </row>
    <row r="2218" spans="1:2" x14ac:dyDescent="0.25">
      <c r="A2218" t="s">
        <v>253</v>
      </c>
      <c r="B2218" t="s">
        <v>1968</v>
      </c>
    </row>
    <row r="2219" spans="1:2" x14ac:dyDescent="0.25">
      <c r="A2219" t="s">
        <v>253</v>
      </c>
      <c r="B2219" t="s">
        <v>1969</v>
      </c>
    </row>
    <row r="2220" spans="1:2" x14ac:dyDescent="0.25">
      <c r="A2220" t="s">
        <v>253</v>
      </c>
      <c r="B2220" t="s">
        <v>1970</v>
      </c>
    </row>
    <row r="2221" spans="1:2" x14ac:dyDescent="0.25">
      <c r="A2221" t="s">
        <v>253</v>
      </c>
      <c r="B2221" t="s">
        <v>1971</v>
      </c>
    </row>
    <row r="2222" spans="1:2" x14ac:dyDescent="0.25">
      <c r="A2222" t="s">
        <v>253</v>
      </c>
      <c r="B2222" t="s">
        <v>1972</v>
      </c>
    </row>
    <row r="2223" spans="1:2" x14ac:dyDescent="0.25">
      <c r="A2223" t="s">
        <v>253</v>
      </c>
      <c r="B2223" t="s">
        <v>1973</v>
      </c>
    </row>
    <row r="2224" spans="1:2" x14ac:dyDescent="0.25">
      <c r="A2224" t="s">
        <v>253</v>
      </c>
      <c r="B2224" t="s">
        <v>1974</v>
      </c>
    </row>
    <row r="2225" spans="1:2" x14ac:dyDescent="0.25">
      <c r="A2225" t="s">
        <v>253</v>
      </c>
      <c r="B2225" t="s">
        <v>1975</v>
      </c>
    </row>
    <row r="2226" spans="1:2" x14ac:dyDescent="0.25">
      <c r="A2226" t="s">
        <v>253</v>
      </c>
      <c r="B2226" t="s">
        <v>1976</v>
      </c>
    </row>
    <row r="2227" spans="1:2" x14ac:dyDescent="0.25">
      <c r="A2227" t="s">
        <v>253</v>
      </c>
      <c r="B2227" t="s">
        <v>1977</v>
      </c>
    </row>
    <row r="2228" spans="1:2" x14ac:dyDescent="0.25">
      <c r="A2228" t="s">
        <v>253</v>
      </c>
      <c r="B2228" t="s">
        <v>1978</v>
      </c>
    </row>
    <row r="2229" spans="1:2" x14ac:dyDescent="0.25">
      <c r="A2229" t="s">
        <v>253</v>
      </c>
      <c r="B2229" t="s">
        <v>1979</v>
      </c>
    </row>
    <row r="2230" spans="1:2" x14ac:dyDescent="0.25">
      <c r="A2230" t="s">
        <v>253</v>
      </c>
      <c r="B2230" t="s">
        <v>1980</v>
      </c>
    </row>
    <row r="2231" spans="1:2" x14ac:dyDescent="0.25">
      <c r="A2231" t="s">
        <v>253</v>
      </c>
      <c r="B2231" t="s">
        <v>1981</v>
      </c>
    </row>
    <row r="2232" spans="1:2" x14ac:dyDescent="0.25">
      <c r="A2232" t="s">
        <v>253</v>
      </c>
      <c r="B2232" t="s">
        <v>1982</v>
      </c>
    </row>
    <row r="2233" spans="1:2" x14ac:dyDescent="0.25">
      <c r="A2233" t="s">
        <v>276</v>
      </c>
      <c r="B2233" t="s">
        <v>4107</v>
      </c>
    </row>
    <row r="2234" spans="1:2" x14ac:dyDescent="0.25">
      <c r="A2234" t="s">
        <v>276</v>
      </c>
      <c r="B2234" t="s">
        <v>3714</v>
      </c>
    </row>
    <row r="2235" spans="1:2" x14ac:dyDescent="0.25">
      <c r="A2235" t="s">
        <v>276</v>
      </c>
      <c r="B2235" t="s">
        <v>3715</v>
      </c>
    </row>
    <row r="2236" spans="1:2" x14ac:dyDescent="0.25">
      <c r="A2236" t="s">
        <v>276</v>
      </c>
      <c r="B2236" t="s">
        <v>3716</v>
      </c>
    </row>
    <row r="2237" spans="1:2" x14ac:dyDescent="0.25">
      <c r="A2237" t="s">
        <v>276</v>
      </c>
      <c r="B2237" t="s">
        <v>3717</v>
      </c>
    </row>
    <row r="2238" spans="1:2" x14ac:dyDescent="0.25">
      <c r="A2238" t="s">
        <v>276</v>
      </c>
      <c r="B2238" t="s">
        <v>3718</v>
      </c>
    </row>
    <row r="2239" spans="1:2" x14ac:dyDescent="0.25">
      <c r="A2239" t="s">
        <v>276</v>
      </c>
      <c r="B2239" t="s">
        <v>3719</v>
      </c>
    </row>
    <row r="2240" spans="1:2" x14ac:dyDescent="0.25">
      <c r="A2240" t="s">
        <v>276</v>
      </c>
      <c r="B2240" t="s">
        <v>3720</v>
      </c>
    </row>
    <row r="2241" spans="1:2" x14ac:dyDescent="0.25">
      <c r="A2241" t="s">
        <v>276</v>
      </c>
      <c r="B2241" t="s">
        <v>1461</v>
      </c>
    </row>
    <row r="2242" spans="1:2" x14ac:dyDescent="0.25">
      <c r="A2242" t="s">
        <v>276</v>
      </c>
      <c r="B2242" t="s">
        <v>3721</v>
      </c>
    </row>
    <row r="2243" spans="1:2" x14ac:dyDescent="0.25">
      <c r="A2243" t="s">
        <v>276</v>
      </c>
      <c r="B2243" t="s">
        <v>1463</v>
      </c>
    </row>
    <row r="2244" spans="1:2" x14ac:dyDescent="0.25">
      <c r="A2244" t="s">
        <v>276</v>
      </c>
      <c r="B2244" t="s">
        <v>1460</v>
      </c>
    </row>
    <row r="2245" spans="1:2" x14ac:dyDescent="0.25">
      <c r="A2245" t="s">
        <v>276</v>
      </c>
      <c r="B2245" t="s">
        <v>3722</v>
      </c>
    </row>
    <row r="2246" spans="1:2" x14ac:dyDescent="0.25">
      <c r="A2246" t="s">
        <v>276</v>
      </c>
      <c r="B2246" t="s">
        <v>1464</v>
      </c>
    </row>
    <row r="2247" spans="1:2" x14ac:dyDescent="0.25">
      <c r="A2247" t="s">
        <v>276</v>
      </c>
      <c r="B2247" t="s">
        <v>1465</v>
      </c>
    </row>
    <row r="2248" spans="1:2" x14ac:dyDescent="0.25">
      <c r="A2248" t="s">
        <v>276</v>
      </c>
      <c r="B2248" t="s">
        <v>1466</v>
      </c>
    </row>
    <row r="2249" spans="1:2" x14ac:dyDescent="0.25">
      <c r="A2249" t="s">
        <v>276</v>
      </c>
      <c r="B2249" t="s">
        <v>4665</v>
      </c>
    </row>
    <row r="2250" spans="1:2" x14ac:dyDescent="0.25">
      <c r="A2250" t="s">
        <v>276</v>
      </c>
      <c r="B2250" t="s">
        <v>3723</v>
      </c>
    </row>
    <row r="2251" spans="1:2" x14ac:dyDescent="0.25">
      <c r="A2251" t="s">
        <v>276</v>
      </c>
      <c r="B2251" t="s">
        <v>1467</v>
      </c>
    </row>
    <row r="2252" spans="1:2" x14ac:dyDescent="0.25">
      <c r="A2252" t="s">
        <v>276</v>
      </c>
      <c r="B2252" t="s">
        <v>1468</v>
      </c>
    </row>
    <row r="2253" spans="1:2" x14ac:dyDescent="0.25">
      <c r="A2253" t="s">
        <v>276</v>
      </c>
      <c r="B2253" t="s">
        <v>1462</v>
      </c>
    </row>
    <row r="2254" spans="1:2" x14ac:dyDescent="0.25">
      <c r="A2254" t="s">
        <v>276</v>
      </c>
      <c r="B2254" t="s">
        <v>1458</v>
      </c>
    </row>
    <row r="2255" spans="1:2" x14ac:dyDescent="0.25">
      <c r="A2255" t="s">
        <v>276</v>
      </c>
      <c r="B2255" t="s">
        <v>3724</v>
      </c>
    </row>
    <row r="2256" spans="1:2" x14ac:dyDescent="0.25">
      <c r="A2256" t="s">
        <v>276</v>
      </c>
      <c r="B2256" t="s">
        <v>3725</v>
      </c>
    </row>
    <row r="2257" spans="1:2" x14ac:dyDescent="0.25">
      <c r="A2257" t="s">
        <v>276</v>
      </c>
      <c r="B2257" t="s">
        <v>3726</v>
      </c>
    </row>
    <row r="2258" spans="1:2" x14ac:dyDescent="0.25">
      <c r="A2258" t="s">
        <v>276</v>
      </c>
      <c r="B2258" t="s">
        <v>3727</v>
      </c>
    </row>
    <row r="2259" spans="1:2" x14ac:dyDescent="0.25">
      <c r="A2259" t="s">
        <v>276</v>
      </c>
      <c r="B2259" t="s">
        <v>3728</v>
      </c>
    </row>
    <row r="2260" spans="1:2" x14ac:dyDescent="0.25">
      <c r="A2260" t="s">
        <v>276</v>
      </c>
      <c r="B2260" t="s">
        <v>3729</v>
      </c>
    </row>
    <row r="2261" spans="1:2" x14ac:dyDescent="0.25">
      <c r="A2261" t="s">
        <v>276</v>
      </c>
      <c r="B2261" t="s">
        <v>1459</v>
      </c>
    </row>
    <row r="2262" spans="1:2" x14ac:dyDescent="0.25">
      <c r="A2262" t="s">
        <v>276</v>
      </c>
      <c r="B2262" t="s">
        <v>3730</v>
      </c>
    </row>
    <row r="2263" spans="1:2" x14ac:dyDescent="0.25">
      <c r="A2263" t="s">
        <v>276</v>
      </c>
      <c r="B2263" t="s">
        <v>3731</v>
      </c>
    </row>
    <row r="2264" spans="1:2" x14ac:dyDescent="0.25">
      <c r="A2264" t="s">
        <v>1550</v>
      </c>
      <c r="B2264" t="s">
        <v>4079</v>
      </c>
    </row>
    <row r="2265" spans="1:2" x14ac:dyDescent="0.25">
      <c r="A2265" t="s">
        <v>1550</v>
      </c>
      <c r="B2265" t="s">
        <v>1485</v>
      </c>
    </row>
    <row r="2266" spans="1:2" x14ac:dyDescent="0.25">
      <c r="A2266" t="s">
        <v>1550</v>
      </c>
      <c r="B2266" t="s">
        <v>739</v>
      </c>
    </row>
    <row r="2267" spans="1:2" x14ac:dyDescent="0.25">
      <c r="A2267" t="s">
        <v>1550</v>
      </c>
      <c r="B2267" t="s">
        <v>3033</v>
      </c>
    </row>
    <row r="2268" spans="1:2" x14ac:dyDescent="0.25">
      <c r="A2268" t="s">
        <v>1550</v>
      </c>
      <c r="B2268" t="s">
        <v>3034</v>
      </c>
    </row>
    <row r="2269" spans="1:2" x14ac:dyDescent="0.25">
      <c r="A2269" t="s">
        <v>1550</v>
      </c>
      <c r="B2269" t="s">
        <v>3035</v>
      </c>
    </row>
    <row r="2270" spans="1:2" x14ac:dyDescent="0.25">
      <c r="A2270" t="s">
        <v>1550</v>
      </c>
      <c r="B2270" t="s">
        <v>1386</v>
      </c>
    </row>
    <row r="2271" spans="1:2" x14ac:dyDescent="0.25">
      <c r="A2271" t="s">
        <v>1550</v>
      </c>
      <c r="B2271" t="s">
        <v>3036</v>
      </c>
    </row>
    <row r="2272" spans="1:2" x14ac:dyDescent="0.25">
      <c r="A2272" t="s">
        <v>1550</v>
      </c>
      <c r="B2272" t="s">
        <v>4698</v>
      </c>
    </row>
    <row r="2273" spans="1:2" x14ac:dyDescent="0.25">
      <c r="A2273" t="s">
        <v>1550</v>
      </c>
      <c r="B2273" t="s">
        <v>3037</v>
      </c>
    </row>
    <row r="2274" spans="1:2" x14ac:dyDescent="0.25">
      <c r="A2274" t="s">
        <v>1550</v>
      </c>
      <c r="B2274" t="s">
        <v>3038</v>
      </c>
    </row>
    <row r="2275" spans="1:2" x14ac:dyDescent="0.25">
      <c r="A2275" t="s">
        <v>1550</v>
      </c>
      <c r="B2275" t="s">
        <v>3039</v>
      </c>
    </row>
    <row r="2276" spans="1:2" x14ac:dyDescent="0.25">
      <c r="A2276" t="s">
        <v>1550</v>
      </c>
      <c r="B2276" t="s">
        <v>3040</v>
      </c>
    </row>
    <row r="2277" spans="1:2" x14ac:dyDescent="0.25">
      <c r="A2277" t="s">
        <v>1550</v>
      </c>
      <c r="B2277" t="s">
        <v>3041</v>
      </c>
    </row>
    <row r="2278" spans="1:2" x14ac:dyDescent="0.25">
      <c r="A2278" t="s">
        <v>1550</v>
      </c>
      <c r="B2278" t="s">
        <v>1382</v>
      </c>
    </row>
    <row r="2279" spans="1:2" x14ac:dyDescent="0.25">
      <c r="A2279" t="s">
        <v>1550</v>
      </c>
      <c r="B2279" t="s">
        <v>3042</v>
      </c>
    </row>
    <row r="2280" spans="1:2" x14ac:dyDescent="0.25">
      <c r="A2280" t="s">
        <v>1550</v>
      </c>
      <c r="B2280" t="s">
        <v>3043</v>
      </c>
    </row>
    <row r="2281" spans="1:2" x14ac:dyDescent="0.25">
      <c r="A2281" t="s">
        <v>1550</v>
      </c>
      <c r="B2281" t="s">
        <v>3044</v>
      </c>
    </row>
    <row r="2282" spans="1:2" x14ac:dyDescent="0.25">
      <c r="A2282" t="s">
        <v>1550</v>
      </c>
      <c r="B2282" t="s">
        <v>3045</v>
      </c>
    </row>
    <row r="2283" spans="1:2" x14ac:dyDescent="0.25">
      <c r="A2283" t="s">
        <v>1550</v>
      </c>
      <c r="B2283" t="s">
        <v>3046</v>
      </c>
    </row>
    <row r="2284" spans="1:2" x14ac:dyDescent="0.25">
      <c r="A2284" t="s">
        <v>1550</v>
      </c>
      <c r="B2284" t="s">
        <v>3047</v>
      </c>
    </row>
    <row r="2285" spans="1:2" x14ac:dyDescent="0.25">
      <c r="A2285" t="s">
        <v>1550</v>
      </c>
      <c r="B2285" t="s">
        <v>3048</v>
      </c>
    </row>
    <row r="2286" spans="1:2" x14ac:dyDescent="0.25">
      <c r="A2286" t="s">
        <v>1550</v>
      </c>
      <c r="B2286" t="s">
        <v>3049</v>
      </c>
    </row>
    <row r="2287" spans="1:2" x14ac:dyDescent="0.25">
      <c r="A2287" t="s">
        <v>1550</v>
      </c>
      <c r="B2287" t="s">
        <v>3050</v>
      </c>
    </row>
    <row r="2288" spans="1:2" x14ac:dyDescent="0.25">
      <c r="A2288" t="s">
        <v>1550</v>
      </c>
      <c r="B2288" t="s">
        <v>3051</v>
      </c>
    </row>
    <row r="2289" spans="1:2" x14ac:dyDescent="0.25">
      <c r="A2289" t="s">
        <v>1550</v>
      </c>
      <c r="B2289" t="s">
        <v>3052</v>
      </c>
    </row>
    <row r="2290" spans="1:2" x14ac:dyDescent="0.25">
      <c r="A2290" t="s">
        <v>251</v>
      </c>
      <c r="B2290" t="s">
        <v>4090</v>
      </c>
    </row>
    <row r="2291" spans="1:2" x14ac:dyDescent="0.25">
      <c r="A2291" t="s">
        <v>251</v>
      </c>
      <c r="B2291" t="s">
        <v>3288</v>
      </c>
    </row>
    <row r="2292" spans="1:2" x14ac:dyDescent="0.25">
      <c r="A2292" t="s">
        <v>251</v>
      </c>
      <c r="B2292" t="s">
        <v>3289</v>
      </c>
    </row>
    <row r="2293" spans="1:2" x14ac:dyDescent="0.25">
      <c r="A2293" t="s">
        <v>251</v>
      </c>
      <c r="B2293" t="s">
        <v>3290</v>
      </c>
    </row>
    <row r="2294" spans="1:2" x14ac:dyDescent="0.25">
      <c r="A2294" t="s">
        <v>251</v>
      </c>
      <c r="B2294" t="s">
        <v>3291</v>
      </c>
    </row>
    <row r="2295" spans="1:2" x14ac:dyDescent="0.25">
      <c r="A2295" t="s">
        <v>251</v>
      </c>
      <c r="B2295" t="s">
        <v>3292</v>
      </c>
    </row>
    <row r="2296" spans="1:2" x14ac:dyDescent="0.25">
      <c r="A2296" t="s">
        <v>251</v>
      </c>
      <c r="B2296" t="s">
        <v>3293</v>
      </c>
    </row>
    <row r="2297" spans="1:2" x14ac:dyDescent="0.25">
      <c r="A2297" t="s">
        <v>251</v>
      </c>
      <c r="B2297" t="s">
        <v>3294</v>
      </c>
    </row>
    <row r="2298" spans="1:2" x14ac:dyDescent="0.25">
      <c r="A2298" t="s">
        <v>251</v>
      </c>
      <c r="B2298" t="s">
        <v>3295</v>
      </c>
    </row>
    <row r="2299" spans="1:2" x14ac:dyDescent="0.25">
      <c r="A2299" t="s">
        <v>251</v>
      </c>
      <c r="B2299" t="s">
        <v>3296</v>
      </c>
    </row>
    <row r="2300" spans="1:2" x14ac:dyDescent="0.25">
      <c r="A2300" t="s">
        <v>251</v>
      </c>
      <c r="B2300" t="s">
        <v>3297</v>
      </c>
    </row>
    <row r="2301" spans="1:2" x14ac:dyDescent="0.25">
      <c r="A2301" t="s">
        <v>251</v>
      </c>
      <c r="B2301" t="s">
        <v>3298</v>
      </c>
    </row>
    <row r="2302" spans="1:2" x14ac:dyDescent="0.25">
      <c r="A2302" t="s">
        <v>251</v>
      </c>
      <c r="B2302" t="s">
        <v>3299</v>
      </c>
    </row>
    <row r="2303" spans="1:2" x14ac:dyDescent="0.25">
      <c r="A2303" t="s">
        <v>251</v>
      </c>
      <c r="B2303" t="s">
        <v>3300</v>
      </c>
    </row>
    <row r="2304" spans="1:2" x14ac:dyDescent="0.25">
      <c r="A2304" t="s">
        <v>251</v>
      </c>
      <c r="B2304" t="s">
        <v>3301</v>
      </c>
    </row>
    <row r="2305" spans="1:2" x14ac:dyDescent="0.25">
      <c r="A2305" t="s">
        <v>251</v>
      </c>
      <c r="B2305" t="s">
        <v>3302</v>
      </c>
    </row>
    <row r="2306" spans="1:2" x14ac:dyDescent="0.25">
      <c r="A2306" t="s">
        <v>251</v>
      </c>
      <c r="B2306" t="s">
        <v>4695</v>
      </c>
    </row>
    <row r="2307" spans="1:2" x14ac:dyDescent="0.25">
      <c r="A2307" t="s">
        <v>322</v>
      </c>
      <c r="B2307" t="s">
        <v>4067</v>
      </c>
    </row>
    <row r="2308" spans="1:2" x14ac:dyDescent="0.25">
      <c r="A2308" t="s">
        <v>322</v>
      </c>
      <c r="B2308" t="s">
        <v>2762</v>
      </c>
    </row>
    <row r="2309" spans="1:2" x14ac:dyDescent="0.25">
      <c r="A2309" t="s">
        <v>322</v>
      </c>
      <c r="B2309" t="s">
        <v>2763</v>
      </c>
    </row>
    <row r="2310" spans="1:2" x14ac:dyDescent="0.25">
      <c r="A2310" t="s">
        <v>322</v>
      </c>
      <c r="B2310" t="s">
        <v>2764</v>
      </c>
    </row>
    <row r="2311" spans="1:2" x14ac:dyDescent="0.25">
      <c r="A2311" t="s">
        <v>322</v>
      </c>
      <c r="B2311" t="s">
        <v>2765</v>
      </c>
    </row>
    <row r="2312" spans="1:2" x14ac:dyDescent="0.25">
      <c r="A2312" t="s">
        <v>322</v>
      </c>
      <c r="B2312" t="s">
        <v>2766</v>
      </c>
    </row>
    <row r="2313" spans="1:2" x14ac:dyDescent="0.25">
      <c r="A2313" t="s">
        <v>322</v>
      </c>
      <c r="B2313" t="s">
        <v>2767</v>
      </c>
    </row>
    <row r="2314" spans="1:2" x14ac:dyDescent="0.25">
      <c r="A2314" t="s">
        <v>322</v>
      </c>
      <c r="B2314" t="s">
        <v>4604</v>
      </c>
    </row>
    <row r="2315" spans="1:2" x14ac:dyDescent="0.25">
      <c r="A2315" t="s">
        <v>322</v>
      </c>
      <c r="B2315" t="s">
        <v>2768</v>
      </c>
    </row>
    <row r="2316" spans="1:2" x14ac:dyDescent="0.25">
      <c r="A2316" t="s">
        <v>322</v>
      </c>
      <c r="B2316" t="s">
        <v>2769</v>
      </c>
    </row>
    <row r="2317" spans="1:2" x14ac:dyDescent="0.25">
      <c r="A2317" t="s">
        <v>322</v>
      </c>
      <c r="B2317" t="s">
        <v>2770</v>
      </c>
    </row>
    <row r="2318" spans="1:2" x14ac:dyDescent="0.25">
      <c r="A2318" t="s">
        <v>322</v>
      </c>
      <c r="B2318" t="s">
        <v>2771</v>
      </c>
    </row>
    <row r="2319" spans="1:2" x14ac:dyDescent="0.25">
      <c r="A2319" t="s">
        <v>322</v>
      </c>
      <c r="B2319" t="s">
        <v>2772</v>
      </c>
    </row>
    <row r="2320" spans="1:2" x14ac:dyDescent="0.25">
      <c r="A2320" t="s">
        <v>322</v>
      </c>
      <c r="B2320" t="s">
        <v>2773</v>
      </c>
    </row>
    <row r="2321" spans="1:2" x14ac:dyDescent="0.25">
      <c r="A2321" t="s">
        <v>322</v>
      </c>
      <c r="B2321" t="s">
        <v>2774</v>
      </c>
    </row>
    <row r="2322" spans="1:2" x14ac:dyDescent="0.25">
      <c r="A2322" t="s">
        <v>322</v>
      </c>
      <c r="B2322" t="s">
        <v>2775</v>
      </c>
    </row>
    <row r="2323" spans="1:2" x14ac:dyDescent="0.25">
      <c r="A2323" t="s">
        <v>322</v>
      </c>
      <c r="B2323" t="s">
        <v>2776</v>
      </c>
    </row>
    <row r="2324" spans="1:2" x14ac:dyDescent="0.25">
      <c r="A2324" t="s">
        <v>322</v>
      </c>
      <c r="B2324" t="s">
        <v>2777</v>
      </c>
    </row>
    <row r="2325" spans="1:2" x14ac:dyDescent="0.25">
      <c r="A2325" t="s">
        <v>322</v>
      </c>
      <c r="B2325" t="s">
        <v>2778</v>
      </c>
    </row>
    <row r="2326" spans="1:2" x14ac:dyDescent="0.25">
      <c r="A2326" t="s">
        <v>322</v>
      </c>
      <c r="B2326" t="s">
        <v>2779</v>
      </c>
    </row>
    <row r="2327" spans="1:2" x14ac:dyDescent="0.25">
      <c r="A2327" t="s">
        <v>322</v>
      </c>
      <c r="B2327" t="s">
        <v>2780</v>
      </c>
    </row>
    <row r="2328" spans="1:2" x14ac:dyDescent="0.25">
      <c r="A2328" t="s">
        <v>322</v>
      </c>
      <c r="B2328" t="s">
        <v>2781</v>
      </c>
    </row>
    <row r="2329" spans="1:2" x14ac:dyDescent="0.25">
      <c r="A2329" t="s">
        <v>322</v>
      </c>
      <c r="B2329" t="s">
        <v>2782</v>
      </c>
    </row>
    <row r="2330" spans="1:2" x14ac:dyDescent="0.25">
      <c r="A2330" t="s">
        <v>322</v>
      </c>
      <c r="B2330" t="s">
        <v>2783</v>
      </c>
    </row>
    <row r="2331" spans="1:2" x14ac:dyDescent="0.25">
      <c r="A2331" t="s">
        <v>322</v>
      </c>
      <c r="B2331" t="s">
        <v>2784</v>
      </c>
    </row>
    <row r="2332" spans="1:2" x14ac:dyDescent="0.25">
      <c r="A2332" t="s">
        <v>322</v>
      </c>
      <c r="B2332" t="s">
        <v>2785</v>
      </c>
    </row>
    <row r="2333" spans="1:2" x14ac:dyDescent="0.25">
      <c r="A2333" t="s">
        <v>322</v>
      </c>
      <c r="B2333" t="s">
        <v>2786</v>
      </c>
    </row>
    <row r="2334" spans="1:2" x14ac:dyDescent="0.25">
      <c r="A2334" t="s">
        <v>322</v>
      </c>
      <c r="B2334" t="s">
        <v>2787</v>
      </c>
    </row>
    <row r="2335" spans="1:2" x14ac:dyDescent="0.25">
      <c r="A2335" t="s">
        <v>322</v>
      </c>
      <c r="B2335" t="s">
        <v>2788</v>
      </c>
    </row>
    <row r="2336" spans="1:2" x14ac:dyDescent="0.25">
      <c r="A2336" t="s">
        <v>322</v>
      </c>
      <c r="B2336" t="s">
        <v>2789</v>
      </c>
    </row>
    <row r="2337" spans="1:2" x14ac:dyDescent="0.25">
      <c r="A2337" t="s">
        <v>322</v>
      </c>
      <c r="B2337" t="s">
        <v>2790</v>
      </c>
    </row>
    <row r="2338" spans="1:2" x14ac:dyDescent="0.25">
      <c r="A2338" t="s">
        <v>322</v>
      </c>
      <c r="B2338" t="s">
        <v>2791</v>
      </c>
    </row>
    <row r="2339" spans="1:2" x14ac:dyDescent="0.25">
      <c r="A2339" t="s">
        <v>322</v>
      </c>
      <c r="B2339" t="s">
        <v>2792</v>
      </c>
    </row>
    <row r="2340" spans="1:2" x14ac:dyDescent="0.25">
      <c r="A2340" t="s">
        <v>322</v>
      </c>
      <c r="B2340" t="s">
        <v>2793</v>
      </c>
    </row>
    <row r="2341" spans="1:2" x14ac:dyDescent="0.25">
      <c r="A2341" t="s">
        <v>322</v>
      </c>
      <c r="B2341" t="s">
        <v>2794</v>
      </c>
    </row>
    <row r="2342" spans="1:2" x14ac:dyDescent="0.25">
      <c r="A2342" t="s">
        <v>322</v>
      </c>
      <c r="B2342" t="s">
        <v>2795</v>
      </c>
    </row>
    <row r="2343" spans="1:2" x14ac:dyDescent="0.25">
      <c r="A2343" t="s">
        <v>322</v>
      </c>
      <c r="B2343" t="s">
        <v>2796</v>
      </c>
    </row>
    <row r="2344" spans="1:2" x14ac:dyDescent="0.25">
      <c r="A2344" t="s">
        <v>322</v>
      </c>
      <c r="B2344" t="s">
        <v>2797</v>
      </c>
    </row>
    <row r="2345" spans="1:2" x14ac:dyDescent="0.25">
      <c r="A2345" t="s">
        <v>322</v>
      </c>
      <c r="B2345" t="s">
        <v>2798</v>
      </c>
    </row>
    <row r="2346" spans="1:2" x14ac:dyDescent="0.25">
      <c r="A2346" t="s">
        <v>322</v>
      </c>
      <c r="B2346" t="s">
        <v>2799</v>
      </c>
    </row>
    <row r="2347" spans="1:2" x14ac:dyDescent="0.25">
      <c r="A2347" t="s">
        <v>277</v>
      </c>
      <c r="B2347" t="s">
        <v>4056</v>
      </c>
    </row>
    <row r="2348" spans="1:2" x14ac:dyDescent="0.25">
      <c r="A2348" t="s">
        <v>277</v>
      </c>
      <c r="B2348" t="s">
        <v>2537</v>
      </c>
    </row>
    <row r="2349" spans="1:2" x14ac:dyDescent="0.25">
      <c r="A2349" t="s">
        <v>277</v>
      </c>
      <c r="B2349" t="s">
        <v>2538</v>
      </c>
    </row>
    <row r="2350" spans="1:2" x14ac:dyDescent="0.25">
      <c r="A2350" t="s">
        <v>277</v>
      </c>
      <c r="B2350" t="s">
        <v>2539</v>
      </c>
    </row>
    <row r="2351" spans="1:2" x14ac:dyDescent="0.25">
      <c r="A2351" t="s">
        <v>277</v>
      </c>
      <c r="B2351" t="s">
        <v>2540</v>
      </c>
    </row>
    <row r="2352" spans="1:2" x14ac:dyDescent="0.25">
      <c r="A2352" t="s">
        <v>277</v>
      </c>
      <c r="B2352" t="s">
        <v>2541</v>
      </c>
    </row>
    <row r="2353" spans="1:2" x14ac:dyDescent="0.25">
      <c r="A2353" t="s">
        <v>277</v>
      </c>
      <c r="B2353" t="s">
        <v>2542</v>
      </c>
    </row>
    <row r="2354" spans="1:2" x14ac:dyDescent="0.25">
      <c r="A2354" t="s">
        <v>277</v>
      </c>
      <c r="B2354" t="s">
        <v>2543</v>
      </c>
    </row>
    <row r="2355" spans="1:2" x14ac:dyDescent="0.25">
      <c r="A2355" t="s">
        <v>277</v>
      </c>
      <c r="B2355" t="s">
        <v>2544</v>
      </c>
    </row>
    <row r="2356" spans="1:2" x14ac:dyDescent="0.25">
      <c r="A2356" t="s">
        <v>277</v>
      </c>
      <c r="B2356" t="s">
        <v>2545</v>
      </c>
    </row>
    <row r="2357" spans="1:2" x14ac:dyDescent="0.25">
      <c r="A2357" t="s">
        <v>277</v>
      </c>
      <c r="B2357" t="s">
        <v>2546</v>
      </c>
    </row>
    <row r="2358" spans="1:2" x14ac:dyDescent="0.25">
      <c r="A2358" t="s">
        <v>277</v>
      </c>
      <c r="B2358" t="s">
        <v>2547</v>
      </c>
    </row>
    <row r="2359" spans="1:2" x14ac:dyDescent="0.25">
      <c r="A2359" t="s">
        <v>277</v>
      </c>
      <c r="B2359" t="s">
        <v>2548</v>
      </c>
    </row>
    <row r="2360" spans="1:2" x14ac:dyDescent="0.25">
      <c r="A2360" t="s">
        <v>277</v>
      </c>
      <c r="B2360" t="s">
        <v>2549</v>
      </c>
    </row>
    <row r="2361" spans="1:2" x14ac:dyDescent="0.25">
      <c r="A2361" t="s">
        <v>277</v>
      </c>
      <c r="B2361" t="s">
        <v>2550</v>
      </c>
    </row>
    <row r="2362" spans="1:2" x14ac:dyDescent="0.25">
      <c r="A2362" t="s">
        <v>277</v>
      </c>
      <c r="B2362" t="s">
        <v>2551</v>
      </c>
    </row>
    <row r="2363" spans="1:2" x14ac:dyDescent="0.25">
      <c r="A2363" t="s">
        <v>277</v>
      </c>
      <c r="B2363" t="s">
        <v>2552</v>
      </c>
    </row>
    <row r="2364" spans="1:2" x14ac:dyDescent="0.25">
      <c r="A2364" t="s">
        <v>277</v>
      </c>
      <c r="B2364" t="s">
        <v>2553</v>
      </c>
    </row>
    <row r="2365" spans="1:2" x14ac:dyDescent="0.25">
      <c r="A2365" t="s">
        <v>266</v>
      </c>
      <c r="B2365" t="s">
        <v>4047</v>
      </c>
    </row>
    <row r="2366" spans="1:2" x14ac:dyDescent="0.25">
      <c r="A2366" t="s">
        <v>266</v>
      </c>
      <c r="B2366" t="s">
        <v>2302</v>
      </c>
    </row>
    <row r="2367" spans="1:2" x14ac:dyDescent="0.25">
      <c r="A2367" t="s">
        <v>266</v>
      </c>
      <c r="B2367" t="s">
        <v>2303</v>
      </c>
    </row>
    <row r="2368" spans="1:2" x14ac:dyDescent="0.25">
      <c r="A2368" t="s">
        <v>266</v>
      </c>
      <c r="B2368" t="s">
        <v>2304</v>
      </c>
    </row>
    <row r="2369" spans="1:2" x14ac:dyDescent="0.25">
      <c r="A2369" t="s">
        <v>266</v>
      </c>
      <c r="B2369" t="s">
        <v>2305</v>
      </c>
    </row>
    <row r="2370" spans="1:2" x14ac:dyDescent="0.25">
      <c r="A2370" t="s">
        <v>266</v>
      </c>
      <c r="B2370" t="s">
        <v>2306</v>
      </c>
    </row>
    <row r="2371" spans="1:2" x14ac:dyDescent="0.25">
      <c r="A2371" t="s">
        <v>266</v>
      </c>
      <c r="B2371" t="s">
        <v>2307</v>
      </c>
    </row>
    <row r="2372" spans="1:2" x14ac:dyDescent="0.25">
      <c r="A2372" t="s">
        <v>266</v>
      </c>
      <c r="B2372" t="s">
        <v>2308</v>
      </c>
    </row>
    <row r="2373" spans="1:2" x14ac:dyDescent="0.25">
      <c r="A2373" t="s">
        <v>266</v>
      </c>
      <c r="B2373" t="s">
        <v>2309</v>
      </c>
    </row>
    <row r="2374" spans="1:2" x14ac:dyDescent="0.25">
      <c r="A2374" t="s">
        <v>266</v>
      </c>
      <c r="B2374" t="s">
        <v>2310</v>
      </c>
    </row>
    <row r="2375" spans="1:2" x14ac:dyDescent="0.25">
      <c r="A2375" t="s">
        <v>266</v>
      </c>
      <c r="B2375" t="s">
        <v>2311</v>
      </c>
    </row>
    <row r="2376" spans="1:2" x14ac:dyDescent="0.25">
      <c r="A2376" t="s">
        <v>266</v>
      </c>
      <c r="B2376" t="s">
        <v>2312</v>
      </c>
    </row>
    <row r="2377" spans="1:2" x14ac:dyDescent="0.25">
      <c r="A2377" t="s">
        <v>266</v>
      </c>
      <c r="B2377" t="s">
        <v>2313</v>
      </c>
    </row>
    <row r="2378" spans="1:2" x14ac:dyDescent="0.25">
      <c r="A2378" t="s">
        <v>266</v>
      </c>
      <c r="B2378" t="s">
        <v>2314</v>
      </c>
    </row>
    <row r="2379" spans="1:2" x14ac:dyDescent="0.25">
      <c r="A2379" t="s">
        <v>266</v>
      </c>
      <c r="B2379" t="s">
        <v>2315</v>
      </c>
    </row>
    <row r="2380" spans="1:2" x14ac:dyDescent="0.25">
      <c r="A2380" t="s">
        <v>266</v>
      </c>
      <c r="B2380" t="s">
        <v>2316</v>
      </c>
    </row>
    <row r="2381" spans="1:2" x14ac:dyDescent="0.25">
      <c r="A2381" t="s">
        <v>266</v>
      </c>
      <c r="B2381" t="s">
        <v>2317</v>
      </c>
    </row>
    <row r="2382" spans="1:2" x14ac:dyDescent="0.25">
      <c r="A2382" t="s">
        <v>266</v>
      </c>
      <c r="B2382" t="s">
        <v>2318</v>
      </c>
    </row>
    <row r="2383" spans="1:2" x14ac:dyDescent="0.25">
      <c r="A2383" t="s">
        <v>266</v>
      </c>
      <c r="B2383" t="s">
        <v>2319</v>
      </c>
    </row>
    <row r="2384" spans="1:2" x14ac:dyDescent="0.25">
      <c r="A2384" t="s">
        <v>266</v>
      </c>
      <c r="B2384" t="s">
        <v>2320</v>
      </c>
    </row>
    <row r="2385" spans="1:2" x14ac:dyDescent="0.25">
      <c r="A2385" t="s">
        <v>266</v>
      </c>
      <c r="B2385" t="s">
        <v>2321</v>
      </c>
    </row>
    <row r="2386" spans="1:2" x14ac:dyDescent="0.25">
      <c r="A2386" t="s">
        <v>266</v>
      </c>
      <c r="B2386" t="s">
        <v>2322</v>
      </c>
    </row>
    <row r="2387" spans="1:2" x14ac:dyDescent="0.25">
      <c r="A2387" t="s">
        <v>266</v>
      </c>
      <c r="B2387" t="s">
        <v>2323</v>
      </c>
    </row>
    <row r="2388" spans="1:2" x14ac:dyDescent="0.25">
      <c r="A2388" t="s">
        <v>266</v>
      </c>
      <c r="B2388" t="s">
        <v>2324</v>
      </c>
    </row>
    <row r="2389" spans="1:2" x14ac:dyDescent="0.25">
      <c r="A2389" t="s">
        <v>266</v>
      </c>
      <c r="B2389" t="s">
        <v>2325</v>
      </c>
    </row>
    <row r="2390" spans="1:2" x14ac:dyDescent="0.25">
      <c r="A2390" t="s">
        <v>266</v>
      </c>
      <c r="B2390" t="s">
        <v>2326</v>
      </c>
    </row>
    <row r="2391" spans="1:2" x14ac:dyDescent="0.25">
      <c r="A2391" t="s">
        <v>266</v>
      </c>
      <c r="B2391" t="s">
        <v>2327</v>
      </c>
    </row>
    <row r="2392" spans="1:2" x14ac:dyDescent="0.25">
      <c r="A2392" t="s">
        <v>266</v>
      </c>
      <c r="B2392" t="s">
        <v>4605</v>
      </c>
    </row>
    <row r="2393" spans="1:2" x14ac:dyDescent="0.25">
      <c r="A2393" t="s">
        <v>266</v>
      </c>
      <c r="B2393" t="s">
        <v>4676</v>
      </c>
    </row>
    <row r="2394" spans="1:2" x14ac:dyDescent="0.25">
      <c r="A2394" t="s">
        <v>273</v>
      </c>
      <c r="B2394" t="s">
        <v>4091</v>
      </c>
    </row>
    <row r="2395" spans="1:2" x14ac:dyDescent="0.25">
      <c r="A2395" t="s">
        <v>273</v>
      </c>
      <c r="B2395" t="s">
        <v>3303</v>
      </c>
    </row>
    <row r="2396" spans="1:2" x14ac:dyDescent="0.25">
      <c r="A2396" t="s">
        <v>273</v>
      </c>
      <c r="B2396" t="s">
        <v>3304</v>
      </c>
    </row>
    <row r="2397" spans="1:2" x14ac:dyDescent="0.25">
      <c r="A2397" t="s">
        <v>273</v>
      </c>
      <c r="B2397" t="s">
        <v>513</v>
      </c>
    </row>
    <row r="2398" spans="1:2" x14ac:dyDescent="0.25">
      <c r="A2398" t="s">
        <v>273</v>
      </c>
      <c r="B2398" t="s">
        <v>3305</v>
      </c>
    </row>
    <row r="2399" spans="1:2" x14ac:dyDescent="0.25">
      <c r="A2399" t="s">
        <v>273</v>
      </c>
      <c r="B2399" t="s">
        <v>3306</v>
      </c>
    </row>
    <row r="2400" spans="1:2" x14ac:dyDescent="0.25">
      <c r="A2400" t="s">
        <v>273</v>
      </c>
      <c r="B2400" t="s">
        <v>4124</v>
      </c>
    </row>
    <row r="2401" spans="1:2" x14ac:dyDescent="0.25">
      <c r="A2401" t="s">
        <v>273</v>
      </c>
      <c r="B2401" t="s">
        <v>4125</v>
      </c>
    </row>
    <row r="2402" spans="1:2" x14ac:dyDescent="0.25">
      <c r="A2402" t="s">
        <v>273</v>
      </c>
      <c r="B2402" t="s">
        <v>4126</v>
      </c>
    </row>
    <row r="2403" spans="1:2" x14ac:dyDescent="0.25">
      <c r="A2403" t="s">
        <v>273</v>
      </c>
      <c r="B2403" t="s">
        <v>3307</v>
      </c>
    </row>
    <row r="2404" spans="1:2" x14ac:dyDescent="0.25">
      <c r="A2404" t="s">
        <v>273</v>
      </c>
      <c r="B2404" t="s">
        <v>990</v>
      </c>
    </row>
    <row r="2405" spans="1:2" x14ac:dyDescent="0.25">
      <c r="A2405" t="s">
        <v>273</v>
      </c>
      <c r="B2405" t="s">
        <v>986</v>
      </c>
    </row>
    <row r="2406" spans="1:2" x14ac:dyDescent="0.25">
      <c r="A2406" t="s">
        <v>273</v>
      </c>
      <c r="B2406" t="s">
        <v>968</v>
      </c>
    </row>
    <row r="2407" spans="1:2" x14ac:dyDescent="0.25">
      <c r="A2407" t="s">
        <v>273</v>
      </c>
      <c r="B2407" t="s">
        <v>3308</v>
      </c>
    </row>
    <row r="2408" spans="1:2" x14ac:dyDescent="0.25">
      <c r="A2408" t="s">
        <v>273</v>
      </c>
      <c r="B2408" t="s">
        <v>984</v>
      </c>
    </row>
    <row r="2409" spans="1:2" x14ac:dyDescent="0.25">
      <c r="A2409" t="s">
        <v>273</v>
      </c>
      <c r="B2409" t="s">
        <v>981</v>
      </c>
    </row>
    <row r="2410" spans="1:2" x14ac:dyDescent="0.25">
      <c r="A2410" t="s">
        <v>273</v>
      </c>
      <c r="B2410" t="s">
        <v>982</v>
      </c>
    </row>
    <row r="2411" spans="1:2" x14ac:dyDescent="0.25">
      <c r="A2411" t="s">
        <v>273</v>
      </c>
      <c r="B2411" t="s">
        <v>971</v>
      </c>
    </row>
    <row r="2412" spans="1:2" x14ac:dyDescent="0.25">
      <c r="A2412" t="s">
        <v>273</v>
      </c>
      <c r="B2412" t="s">
        <v>974</v>
      </c>
    </row>
    <row r="2413" spans="1:2" x14ac:dyDescent="0.25">
      <c r="A2413" t="s">
        <v>273</v>
      </c>
      <c r="B2413" t="s">
        <v>977</v>
      </c>
    </row>
    <row r="2414" spans="1:2" x14ac:dyDescent="0.25">
      <c r="A2414" t="s">
        <v>273</v>
      </c>
      <c r="B2414" t="s">
        <v>976</v>
      </c>
    </row>
    <row r="2415" spans="1:2" x14ac:dyDescent="0.25">
      <c r="A2415" t="s">
        <v>273</v>
      </c>
      <c r="B2415" t="s">
        <v>979</v>
      </c>
    </row>
    <row r="2416" spans="1:2" x14ac:dyDescent="0.25">
      <c r="A2416" t="s">
        <v>273</v>
      </c>
      <c r="B2416" t="s">
        <v>975</v>
      </c>
    </row>
    <row r="2417" spans="1:2" x14ac:dyDescent="0.25">
      <c r="A2417" t="s">
        <v>273</v>
      </c>
      <c r="B2417" t="s">
        <v>969</v>
      </c>
    </row>
    <row r="2418" spans="1:2" x14ac:dyDescent="0.25">
      <c r="A2418" t="s">
        <v>273</v>
      </c>
      <c r="B2418" t="s">
        <v>970</v>
      </c>
    </row>
    <row r="2419" spans="1:2" x14ac:dyDescent="0.25">
      <c r="A2419" t="s">
        <v>273</v>
      </c>
      <c r="B2419" t="s">
        <v>3309</v>
      </c>
    </row>
    <row r="2420" spans="1:2" x14ac:dyDescent="0.25">
      <c r="A2420" t="s">
        <v>273</v>
      </c>
      <c r="B2420" t="s">
        <v>3310</v>
      </c>
    </row>
    <row r="2421" spans="1:2" x14ac:dyDescent="0.25">
      <c r="A2421" t="s">
        <v>273</v>
      </c>
      <c r="B2421" t="s">
        <v>3311</v>
      </c>
    </row>
    <row r="2422" spans="1:2" x14ac:dyDescent="0.25">
      <c r="A2422" t="s">
        <v>273</v>
      </c>
      <c r="B2422" t="s">
        <v>987</v>
      </c>
    </row>
    <row r="2423" spans="1:2" x14ac:dyDescent="0.25">
      <c r="A2423" t="s">
        <v>273</v>
      </c>
      <c r="B2423" t="s">
        <v>983</v>
      </c>
    </row>
    <row r="2424" spans="1:2" x14ac:dyDescent="0.25">
      <c r="A2424" t="s">
        <v>273</v>
      </c>
      <c r="B2424" t="s">
        <v>967</v>
      </c>
    </row>
    <row r="2425" spans="1:2" x14ac:dyDescent="0.25">
      <c r="A2425" t="s">
        <v>273</v>
      </c>
      <c r="B2425" t="s">
        <v>972</v>
      </c>
    </row>
    <row r="2426" spans="1:2" x14ac:dyDescent="0.25">
      <c r="A2426" t="s">
        <v>273</v>
      </c>
      <c r="B2426" t="s">
        <v>985</v>
      </c>
    </row>
    <row r="2427" spans="1:2" x14ac:dyDescent="0.25">
      <c r="A2427" t="s">
        <v>273</v>
      </c>
      <c r="B2427" t="s">
        <v>3312</v>
      </c>
    </row>
    <row r="2428" spans="1:2" x14ac:dyDescent="0.25">
      <c r="A2428" t="s">
        <v>273</v>
      </c>
      <c r="B2428" t="s">
        <v>978</v>
      </c>
    </row>
    <row r="2429" spans="1:2" x14ac:dyDescent="0.25">
      <c r="A2429" t="s">
        <v>300</v>
      </c>
      <c r="B2429" t="s">
        <v>4029</v>
      </c>
    </row>
    <row r="2430" spans="1:2" x14ac:dyDescent="0.25">
      <c r="A2430" t="s">
        <v>300</v>
      </c>
      <c r="B2430" t="s">
        <v>1779</v>
      </c>
    </row>
    <row r="2431" spans="1:2" x14ac:dyDescent="0.25">
      <c r="A2431" t="s">
        <v>300</v>
      </c>
      <c r="B2431" t="s">
        <v>4656</v>
      </c>
    </row>
    <row r="2432" spans="1:2" x14ac:dyDescent="0.25">
      <c r="A2432" t="s">
        <v>300</v>
      </c>
      <c r="B2432" t="s">
        <v>1780</v>
      </c>
    </row>
    <row r="2433" spans="1:2" x14ac:dyDescent="0.25">
      <c r="A2433" t="s">
        <v>300</v>
      </c>
      <c r="B2433" t="s">
        <v>1781</v>
      </c>
    </row>
    <row r="2434" spans="1:2" x14ac:dyDescent="0.25">
      <c r="A2434" t="s">
        <v>300</v>
      </c>
      <c r="B2434" t="s">
        <v>1782</v>
      </c>
    </row>
    <row r="2435" spans="1:2" x14ac:dyDescent="0.25">
      <c r="A2435" t="s">
        <v>300</v>
      </c>
      <c r="B2435" t="s">
        <v>1783</v>
      </c>
    </row>
    <row r="2436" spans="1:2" x14ac:dyDescent="0.25">
      <c r="A2436" t="s">
        <v>300</v>
      </c>
      <c r="B2436" t="s">
        <v>1784</v>
      </c>
    </row>
    <row r="2437" spans="1:2" x14ac:dyDescent="0.25">
      <c r="A2437" t="s">
        <v>300</v>
      </c>
      <c r="B2437" t="s">
        <v>1785</v>
      </c>
    </row>
    <row r="2438" spans="1:2" x14ac:dyDescent="0.25">
      <c r="A2438" t="s">
        <v>300</v>
      </c>
      <c r="B2438" t="s">
        <v>1786</v>
      </c>
    </row>
    <row r="2439" spans="1:2" x14ac:dyDescent="0.25">
      <c r="A2439" t="s">
        <v>300</v>
      </c>
      <c r="B2439" t="s">
        <v>1787</v>
      </c>
    </row>
    <row r="2440" spans="1:2" x14ac:dyDescent="0.25">
      <c r="A2440" t="s">
        <v>300</v>
      </c>
      <c r="B2440" t="s">
        <v>1788</v>
      </c>
    </row>
    <row r="2441" spans="1:2" x14ac:dyDescent="0.25">
      <c r="A2441" t="s">
        <v>300</v>
      </c>
      <c r="B2441" t="s">
        <v>1789</v>
      </c>
    </row>
    <row r="2442" spans="1:2" x14ac:dyDescent="0.25">
      <c r="A2442" t="s">
        <v>300</v>
      </c>
      <c r="B2442" t="s">
        <v>1790</v>
      </c>
    </row>
    <row r="2443" spans="1:2" x14ac:dyDescent="0.25">
      <c r="A2443" t="s">
        <v>300</v>
      </c>
      <c r="B2443" t="s">
        <v>1791</v>
      </c>
    </row>
    <row r="2444" spans="1:2" x14ac:dyDescent="0.25">
      <c r="A2444" t="s">
        <v>300</v>
      </c>
      <c r="B2444" t="s">
        <v>1792</v>
      </c>
    </row>
    <row r="2445" spans="1:2" x14ac:dyDescent="0.25">
      <c r="A2445" t="s">
        <v>300</v>
      </c>
      <c r="B2445" t="s">
        <v>1793</v>
      </c>
    </row>
    <row r="2446" spans="1:2" x14ac:dyDescent="0.25">
      <c r="A2446" t="s">
        <v>300</v>
      </c>
      <c r="B2446" t="s">
        <v>1424</v>
      </c>
    </row>
    <row r="2447" spans="1:2" x14ac:dyDescent="0.25">
      <c r="A2447" t="s">
        <v>300</v>
      </c>
      <c r="B2447" t="s">
        <v>1794</v>
      </c>
    </row>
    <row r="2448" spans="1:2" x14ac:dyDescent="0.25">
      <c r="A2448" t="s">
        <v>300</v>
      </c>
      <c r="B2448" t="s">
        <v>1795</v>
      </c>
    </row>
    <row r="2449" spans="1:2" x14ac:dyDescent="0.25">
      <c r="A2449" t="s">
        <v>300</v>
      </c>
      <c r="B2449" t="s">
        <v>1796</v>
      </c>
    </row>
    <row r="2450" spans="1:2" x14ac:dyDescent="0.25">
      <c r="A2450" t="s">
        <v>237</v>
      </c>
      <c r="B2450" t="s">
        <v>2892</v>
      </c>
    </row>
    <row r="2451" spans="1:2" x14ac:dyDescent="0.25">
      <c r="A2451" t="s">
        <v>237</v>
      </c>
      <c r="B2451" t="s">
        <v>2893</v>
      </c>
    </row>
    <row r="2452" spans="1:2" x14ac:dyDescent="0.25">
      <c r="A2452" t="s">
        <v>237</v>
      </c>
      <c r="B2452" t="s">
        <v>2894</v>
      </c>
    </row>
    <row r="2453" spans="1:2" x14ac:dyDescent="0.25">
      <c r="A2453" t="s">
        <v>237</v>
      </c>
      <c r="B2453" t="s">
        <v>2895</v>
      </c>
    </row>
    <row r="2454" spans="1:2" x14ac:dyDescent="0.25">
      <c r="A2454" t="s">
        <v>237</v>
      </c>
      <c r="B2454" t="s">
        <v>2896</v>
      </c>
    </row>
    <row r="2455" spans="1:2" x14ac:dyDescent="0.25">
      <c r="A2455" t="s">
        <v>237</v>
      </c>
      <c r="B2455" t="s">
        <v>2897</v>
      </c>
    </row>
    <row r="2456" spans="1:2" x14ac:dyDescent="0.25">
      <c r="A2456" t="s">
        <v>237</v>
      </c>
      <c r="B2456" t="s">
        <v>2898</v>
      </c>
    </row>
    <row r="2457" spans="1:2" x14ac:dyDescent="0.25">
      <c r="A2457" t="s">
        <v>237</v>
      </c>
      <c r="B2457" t="s">
        <v>2899</v>
      </c>
    </row>
    <row r="2458" spans="1:2" x14ac:dyDescent="0.25">
      <c r="A2458" t="s">
        <v>237</v>
      </c>
      <c r="B2458" t="s">
        <v>2900</v>
      </c>
    </row>
    <row r="2459" spans="1:2" x14ac:dyDescent="0.25">
      <c r="A2459" t="s">
        <v>237</v>
      </c>
      <c r="B2459" t="s">
        <v>2901</v>
      </c>
    </row>
    <row r="2460" spans="1:2" x14ac:dyDescent="0.25">
      <c r="A2460" t="s">
        <v>237</v>
      </c>
      <c r="B2460" t="s">
        <v>2902</v>
      </c>
    </row>
    <row r="2461" spans="1:2" x14ac:dyDescent="0.25">
      <c r="A2461" t="s">
        <v>237</v>
      </c>
      <c r="B2461" t="s">
        <v>2903</v>
      </c>
    </row>
    <row r="2462" spans="1:2" x14ac:dyDescent="0.25">
      <c r="A2462" t="s">
        <v>237</v>
      </c>
      <c r="B2462" t="s">
        <v>2904</v>
      </c>
    </row>
    <row r="2463" spans="1:2" x14ac:dyDescent="0.25">
      <c r="A2463" t="s">
        <v>237</v>
      </c>
      <c r="B2463" t="s">
        <v>2905</v>
      </c>
    </row>
    <row r="2464" spans="1:2" x14ac:dyDescent="0.25">
      <c r="A2464" t="s">
        <v>237</v>
      </c>
      <c r="B2464" t="s">
        <v>2906</v>
      </c>
    </row>
    <row r="2465" spans="1:2" x14ac:dyDescent="0.25">
      <c r="A2465" t="s">
        <v>237</v>
      </c>
      <c r="B2465" t="s">
        <v>2907</v>
      </c>
    </row>
    <row r="2466" spans="1:2" x14ac:dyDescent="0.25">
      <c r="A2466" t="s">
        <v>229</v>
      </c>
      <c r="B2466" t="s">
        <v>3657</v>
      </c>
    </row>
    <row r="2467" spans="1:2" x14ac:dyDescent="0.25">
      <c r="A2467" t="s">
        <v>229</v>
      </c>
      <c r="B2467" t="s">
        <v>3653</v>
      </c>
    </row>
    <row r="2468" spans="1:2" x14ac:dyDescent="0.25">
      <c r="A2468" t="s">
        <v>229</v>
      </c>
      <c r="B2468" t="s">
        <v>3654</v>
      </c>
    </row>
    <row r="2469" spans="1:2" x14ac:dyDescent="0.25">
      <c r="A2469" t="s">
        <v>229</v>
      </c>
      <c r="B2469" t="s">
        <v>1264</v>
      </c>
    </row>
    <row r="2470" spans="1:2" x14ac:dyDescent="0.25">
      <c r="A2470" t="s">
        <v>229</v>
      </c>
      <c r="B2470" t="s">
        <v>1277</v>
      </c>
    </row>
    <row r="2471" spans="1:2" x14ac:dyDescent="0.25">
      <c r="A2471" t="s">
        <v>229</v>
      </c>
      <c r="B2471" t="s">
        <v>1276</v>
      </c>
    </row>
    <row r="2472" spans="1:2" x14ac:dyDescent="0.25">
      <c r="A2472" t="s">
        <v>229</v>
      </c>
      <c r="B2472" t="s">
        <v>3655</v>
      </c>
    </row>
    <row r="2473" spans="1:2" x14ac:dyDescent="0.25">
      <c r="A2473" t="s">
        <v>229</v>
      </c>
      <c r="B2473" t="s">
        <v>3653</v>
      </c>
    </row>
    <row r="2474" spans="1:2" x14ac:dyDescent="0.25">
      <c r="A2474" t="s">
        <v>229</v>
      </c>
      <c r="B2474" t="s">
        <v>1269</v>
      </c>
    </row>
    <row r="2475" spans="1:2" x14ac:dyDescent="0.25">
      <c r="A2475" t="s">
        <v>229</v>
      </c>
      <c r="B2475" t="s">
        <v>1273</v>
      </c>
    </row>
    <row r="2476" spans="1:2" x14ac:dyDescent="0.25">
      <c r="A2476" t="s">
        <v>229</v>
      </c>
      <c r="B2476" t="s">
        <v>3656</v>
      </c>
    </row>
    <row r="2477" spans="1:2" x14ac:dyDescent="0.25">
      <c r="A2477" t="s">
        <v>229</v>
      </c>
      <c r="B2477" t="s">
        <v>1267</v>
      </c>
    </row>
    <row r="2478" spans="1:2" x14ac:dyDescent="0.25">
      <c r="A2478" t="s">
        <v>229</v>
      </c>
      <c r="B2478" t="s">
        <v>1274</v>
      </c>
    </row>
    <row r="2479" spans="1:2" x14ac:dyDescent="0.25">
      <c r="A2479" t="s">
        <v>229</v>
      </c>
      <c r="B2479" t="s">
        <v>1266</v>
      </c>
    </row>
    <row r="2480" spans="1:2" x14ac:dyDescent="0.25">
      <c r="A2480" t="s">
        <v>229</v>
      </c>
      <c r="B2480" t="s">
        <v>1268</v>
      </c>
    </row>
    <row r="2481" spans="1:2" x14ac:dyDescent="0.25">
      <c r="A2481" t="s">
        <v>229</v>
      </c>
      <c r="B2481" t="s">
        <v>3657</v>
      </c>
    </row>
    <row r="2482" spans="1:2" x14ac:dyDescent="0.25">
      <c r="A2482" t="s">
        <v>229</v>
      </c>
      <c r="B2482" t="s">
        <v>3658</v>
      </c>
    </row>
    <row r="2483" spans="1:2" x14ac:dyDescent="0.25">
      <c r="A2483" t="s">
        <v>229</v>
      </c>
      <c r="B2483" t="s">
        <v>1265</v>
      </c>
    </row>
    <row r="2484" spans="1:2" x14ac:dyDescent="0.25">
      <c r="A2484" t="s">
        <v>229</v>
      </c>
      <c r="B2484" t="s">
        <v>1272</v>
      </c>
    </row>
    <row r="2485" spans="1:2" x14ac:dyDescent="0.25">
      <c r="A2485" t="s">
        <v>229</v>
      </c>
      <c r="B2485" t="s">
        <v>1270</v>
      </c>
    </row>
    <row r="2486" spans="1:2" x14ac:dyDescent="0.25">
      <c r="A2486" t="s">
        <v>229</v>
      </c>
      <c r="B2486" t="s">
        <v>3654</v>
      </c>
    </row>
    <row r="2487" spans="1:2" x14ac:dyDescent="0.25">
      <c r="A2487" t="s">
        <v>229</v>
      </c>
      <c r="B2487" t="s">
        <v>1271</v>
      </c>
    </row>
    <row r="2488" spans="1:2" x14ac:dyDescent="0.25">
      <c r="A2488" t="s">
        <v>1603</v>
      </c>
      <c r="B2488" t="s">
        <v>4092</v>
      </c>
    </row>
    <row r="2489" spans="1:2" x14ac:dyDescent="0.25">
      <c r="A2489" t="s">
        <v>1603</v>
      </c>
      <c r="B2489" t="s">
        <v>3313</v>
      </c>
    </row>
    <row r="2490" spans="1:2" x14ac:dyDescent="0.25">
      <c r="A2490" t="s">
        <v>1603</v>
      </c>
      <c r="B2490" t="s">
        <v>3314</v>
      </c>
    </row>
    <row r="2491" spans="1:2" x14ac:dyDescent="0.25">
      <c r="A2491" t="s">
        <v>1603</v>
      </c>
      <c r="B2491" t="s">
        <v>3315</v>
      </c>
    </row>
    <row r="2492" spans="1:2" x14ac:dyDescent="0.25">
      <c r="A2492" t="s">
        <v>1603</v>
      </c>
      <c r="B2492" t="s">
        <v>3316</v>
      </c>
    </row>
    <row r="2493" spans="1:2" x14ac:dyDescent="0.25">
      <c r="A2493" t="s">
        <v>1603</v>
      </c>
      <c r="B2493" t="s">
        <v>3317</v>
      </c>
    </row>
    <row r="2494" spans="1:2" x14ac:dyDescent="0.25">
      <c r="A2494" t="s">
        <v>1603</v>
      </c>
      <c r="B2494" t="s">
        <v>3318</v>
      </c>
    </row>
    <row r="2495" spans="1:2" x14ac:dyDescent="0.25">
      <c r="A2495" t="s">
        <v>1603</v>
      </c>
      <c r="B2495" t="s">
        <v>3319</v>
      </c>
    </row>
    <row r="2496" spans="1:2" x14ac:dyDescent="0.25">
      <c r="A2496" t="s">
        <v>1603</v>
      </c>
      <c r="B2496" t="s">
        <v>3320</v>
      </c>
    </row>
    <row r="2497" spans="1:2" x14ac:dyDescent="0.25">
      <c r="A2497" t="s">
        <v>1603</v>
      </c>
      <c r="B2497" t="s">
        <v>3321</v>
      </c>
    </row>
    <row r="2498" spans="1:2" x14ac:dyDescent="0.25">
      <c r="A2498" t="s">
        <v>1603</v>
      </c>
      <c r="B2498" t="s">
        <v>3322</v>
      </c>
    </row>
    <row r="2499" spans="1:2" x14ac:dyDescent="0.25">
      <c r="A2499" t="s">
        <v>1603</v>
      </c>
      <c r="B2499" t="s">
        <v>3323</v>
      </c>
    </row>
    <row r="2500" spans="1:2" x14ac:dyDescent="0.25">
      <c r="A2500" t="s">
        <v>1603</v>
      </c>
      <c r="B2500" t="s">
        <v>3324</v>
      </c>
    </row>
    <row r="2501" spans="1:2" x14ac:dyDescent="0.25">
      <c r="A2501" t="s">
        <v>1603</v>
      </c>
      <c r="B2501" t="s">
        <v>3325</v>
      </c>
    </row>
    <row r="2502" spans="1:2" x14ac:dyDescent="0.25">
      <c r="A2502" t="s">
        <v>1603</v>
      </c>
      <c r="B2502" t="s">
        <v>3326</v>
      </c>
    </row>
    <row r="2503" spans="1:2" x14ac:dyDescent="0.25">
      <c r="A2503" t="s">
        <v>1603</v>
      </c>
      <c r="B2503" t="s">
        <v>3327</v>
      </c>
    </row>
    <row r="2504" spans="1:2" x14ac:dyDescent="0.25">
      <c r="A2504" t="s">
        <v>290</v>
      </c>
      <c r="B2504" t="s">
        <v>4305</v>
      </c>
    </row>
    <row r="2505" spans="1:2" x14ac:dyDescent="0.25">
      <c r="A2505" t="s">
        <v>290</v>
      </c>
      <c r="B2505" t="s">
        <v>4306</v>
      </c>
    </row>
    <row r="2506" spans="1:2" x14ac:dyDescent="0.25">
      <c r="A2506" t="s">
        <v>290</v>
      </c>
      <c r="B2506" t="s">
        <v>4307</v>
      </c>
    </row>
    <row r="2507" spans="1:2" x14ac:dyDescent="0.25">
      <c r="A2507" t="s">
        <v>290</v>
      </c>
      <c r="B2507" t="s">
        <v>4308</v>
      </c>
    </row>
    <row r="2508" spans="1:2" x14ac:dyDescent="0.25">
      <c r="A2508" t="s">
        <v>290</v>
      </c>
      <c r="B2508" t="s">
        <v>4309</v>
      </c>
    </row>
    <row r="2509" spans="1:2" x14ac:dyDescent="0.25">
      <c r="A2509" t="s">
        <v>290</v>
      </c>
      <c r="B2509" t="s">
        <v>4310</v>
      </c>
    </row>
    <row r="2510" spans="1:2" x14ac:dyDescent="0.25">
      <c r="A2510" t="s">
        <v>290</v>
      </c>
      <c r="B2510" t="s">
        <v>4687</v>
      </c>
    </row>
    <row r="2511" spans="1:2" x14ac:dyDescent="0.25">
      <c r="A2511" t="s">
        <v>290</v>
      </c>
      <c r="B2511" t="s">
        <v>4535</v>
      </c>
    </row>
    <row r="2512" spans="1:2" x14ac:dyDescent="0.25">
      <c r="A2512" t="s">
        <v>290</v>
      </c>
      <c r="B2512" t="s">
        <v>4536</v>
      </c>
    </row>
    <row r="2513" spans="1:2" x14ac:dyDescent="0.25">
      <c r="A2513" t="s">
        <v>290</v>
      </c>
      <c r="B2513" t="s">
        <v>4537</v>
      </c>
    </row>
    <row r="2514" spans="1:2" x14ac:dyDescent="0.25">
      <c r="A2514" t="s">
        <v>290</v>
      </c>
      <c r="B2514" t="s">
        <v>4311</v>
      </c>
    </row>
    <row r="2515" spans="1:2" x14ac:dyDescent="0.25">
      <c r="A2515" t="s">
        <v>290</v>
      </c>
      <c r="B2515" t="s">
        <v>4312</v>
      </c>
    </row>
    <row r="2516" spans="1:2" x14ac:dyDescent="0.25">
      <c r="A2516" t="s">
        <v>290</v>
      </c>
      <c r="B2516" t="s">
        <v>4313</v>
      </c>
    </row>
    <row r="2517" spans="1:2" x14ac:dyDescent="0.25">
      <c r="A2517" t="s">
        <v>290</v>
      </c>
      <c r="B2517" t="s">
        <v>4314</v>
      </c>
    </row>
    <row r="2518" spans="1:2" x14ac:dyDescent="0.25">
      <c r="A2518" t="s">
        <v>290</v>
      </c>
      <c r="B2518" t="s">
        <v>4315</v>
      </c>
    </row>
    <row r="2519" spans="1:2" x14ac:dyDescent="0.25">
      <c r="A2519" t="s">
        <v>290</v>
      </c>
      <c r="B2519" t="s">
        <v>4316</v>
      </c>
    </row>
    <row r="2520" spans="1:2" x14ac:dyDescent="0.25">
      <c r="A2520" t="s">
        <v>290</v>
      </c>
      <c r="B2520" t="s">
        <v>4317</v>
      </c>
    </row>
    <row r="2521" spans="1:2" x14ac:dyDescent="0.25">
      <c r="A2521" t="s">
        <v>290</v>
      </c>
      <c r="B2521" t="s">
        <v>4318</v>
      </c>
    </row>
    <row r="2522" spans="1:2" x14ac:dyDescent="0.25">
      <c r="A2522" t="s">
        <v>290</v>
      </c>
      <c r="B2522" t="s">
        <v>4319</v>
      </c>
    </row>
    <row r="2523" spans="1:2" x14ac:dyDescent="0.25">
      <c r="A2523" t="s">
        <v>290</v>
      </c>
      <c r="B2523" t="s">
        <v>4320</v>
      </c>
    </row>
    <row r="2524" spans="1:2" x14ac:dyDescent="0.25">
      <c r="A2524" t="s">
        <v>290</v>
      </c>
      <c r="B2524" t="s">
        <v>4321</v>
      </c>
    </row>
    <row r="2525" spans="1:2" x14ac:dyDescent="0.25">
      <c r="A2525" t="s">
        <v>290</v>
      </c>
      <c r="B2525" t="s">
        <v>4322</v>
      </c>
    </row>
    <row r="2526" spans="1:2" x14ac:dyDescent="0.25">
      <c r="A2526" t="s">
        <v>290</v>
      </c>
      <c r="B2526" t="s">
        <v>4323</v>
      </c>
    </row>
    <row r="2527" spans="1:2" x14ac:dyDescent="0.25">
      <c r="A2527" t="s">
        <v>290</v>
      </c>
      <c r="B2527" t="s">
        <v>4324</v>
      </c>
    </row>
    <row r="2528" spans="1:2" x14ac:dyDescent="0.25">
      <c r="A2528" t="s">
        <v>250</v>
      </c>
      <c r="B2528" t="s">
        <v>4063</v>
      </c>
    </row>
    <row r="2529" spans="1:2" x14ac:dyDescent="0.25">
      <c r="A2529" t="s">
        <v>250</v>
      </c>
      <c r="B2529" t="s">
        <v>2684</v>
      </c>
    </row>
    <row r="2530" spans="1:2" x14ac:dyDescent="0.25">
      <c r="A2530" t="s">
        <v>250</v>
      </c>
      <c r="B2530" t="s">
        <v>2685</v>
      </c>
    </row>
    <row r="2531" spans="1:2" x14ac:dyDescent="0.25">
      <c r="A2531" t="s">
        <v>250</v>
      </c>
      <c r="B2531" t="s">
        <v>2686</v>
      </c>
    </row>
    <row r="2532" spans="1:2" x14ac:dyDescent="0.25">
      <c r="A2532" t="s">
        <v>250</v>
      </c>
      <c r="B2532" t="s">
        <v>2687</v>
      </c>
    </row>
    <row r="2533" spans="1:2" x14ac:dyDescent="0.25">
      <c r="A2533" t="s">
        <v>250</v>
      </c>
      <c r="B2533" t="s">
        <v>2688</v>
      </c>
    </row>
    <row r="2534" spans="1:2" x14ac:dyDescent="0.25">
      <c r="A2534" t="s">
        <v>250</v>
      </c>
      <c r="B2534" t="s">
        <v>2689</v>
      </c>
    </row>
    <row r="2535" spans="1:2" x14ac:dyDescent="0.25">
      <c r="A2535" t="s">
        <v>250</v>
      </c>
      <c r="B2535" t="s">
        <v>2690</v>
      </c>
    </row>
    <row r="2536" spans="1:2" x14ac:dyDescent="0.25">
      <c r="A2536" t="s">
        <v>250</v>
      </c>
      <c r="B2536" t="s">
        <v>2691</v>
      </c>
    </row>
    <row r="2537" spans="1:2" x14ac:dyDescent="0.25">
      <c r="A2537" t="s">
        <v>250</v>
      </c>
      <c r="B2537" t="s">
        <v>2692</v>
      </c>
    </row>
    <row r="2538" spans="1:2" x14ac:dyDescent="0.25">
      <c r="A2538" t="s">
        <v>250</v>
      </c>
      <c r="B2538" t="s">
        <v>2693</v>
      </c>
    </row>
    <row r="2539" spans="1:2" x14ac:dyDescent="0.25">
      <c r="A2539" t="s">
        <v>250</v>
      </c>
      <c r="B2539" t="s">
        <v>2694</v>
      </c>
    </row>
    <row r="2540" spans="1:2" x14ac:dyDescent="0.25">
      <c r="A2540" t="s">
        <v>250</v>
      </c>
      <c r="B2540" t="s">
        <v>2695</v>
      </c>
    </row>
    <row r="2541" spans="1:2" x14ac:dyDescent="0.25">
      <c r="A2541" t="s">
        <v>250</v>
      </c>
      <c r="B2541" t="s">
        <v>2696</v>
      </c>
    </row>
    <row r="2542" spans="1:2" x14ac:dyDescent="0.25">
      <c r="A2542" t="s">
        <v>250</v>
      </c>
      <c r="B2542" t="s">
        <v>2697</v>
      </c>
    </row>
    <row r="2543" spans="1:2" x14ac:dyDescent="0.25">
      <c r="A2543" t="s">
        <v>250</v>
      </c>
      <c r="B2543" t="s">
        <v>2698</v>
      </c>
    </row>
    <row r="2544" spans="1:2" x14ac:dyDescent="0.25">
      <c r="A2544" t="s">
        <v>250</v>
      </c>
      <c r="B2544" t="s">
        <v>2699</v>
      </c>
    </row>
    <row r="2545" spans="1:2" x14ac:dyDescent="0.25">
      <c r="A2545" t="s">
        <v>250</v>
      </c>
      <c r="B2545" t="s">
        <v>2700</v>
      </c>
    </row>
    <row r="2546" spans="1:2" x14ac:dyDescent="0.25">
      <c r="A2546" t="s">
        <v>250</v>
      </c>
      <c r="B2546" t="s">
        <v>2701</v>
      </c>
    </row>
    <row r="2547" spans="1:2" x14ac:dyDescent="0.25">
      <c r="A2547" t="s">
        <v>250</v>
      </c>
      <c r="B2547" t="s">
        <v>2702</v>
      </c>
    </row>
    <row r="2548" spans="1:2" x14ac:dyDescent="0.25">
      <c r="A2548" t="s">
        <v>250</v>
      </c>
      <c r="B2548" t="s">
        <v>2703</v>
      </c>
    </row>
    <row r="2549" spans="1:2" x14ac:dyDescent="0.25">
      <c r="A2549" t="s">
        <v>250</v>
      </c>
      <c r="B2549" t="s">
        <v>2704</v>
      </c>
    </row>
    <row r="2550" spans="1:2" x14ac:dyDescent="0.25">
      <c r="A2550" t="s">
        <v>250</v>
      </c>
      <c r="B2550" t="s">
        <v>2705</v>
      </c>
    </row>
    <row r="2551" spans="1:2" x14ac:dyDescent="0.25">
      <c r="A2551" t="s">
        <v>250</v>
      </c>
      <c r="B2551" t="s">
        <v>2706</v>
      </c>
    </row>
    <row r="2552" spans="1:2" x14ac:dyDescent="0.25">
      <c r="A2552" t="s">
        <v>250</v>
      </c>
      <c r="B2552" t="s">
        <v>2707</v>
      </c>
    </row>
    <row r="2553" spans="1:2" x14ac:dyDescent="0.25">
      <c r="A2553" t="s">
        <v>301</v>
      </c>
      <c r="B2553" t="s">
        <v>4059</v>
      </c>
    </row>
    <row r="2554" spans="1:2" x14ac:dyDescent="0.25">
      <c r="A2554" t="s">
        <v>301</v>
      </c>
      <c r="B2554" t="s">
        <v>2578</v>
      </c>
    </row>
    <row r="2555" spans="1:2" x14ac:dyDescent="0.25">
      <c r="A2555" t="s">
        <v>301</v>
      </c>
      <c r="B2555" t="s">
        <v>2579</v>
      </c>
    </row>
    <row r="2556" spans="1:2" x14ac:dyDescent="0.25">
      <c r="A2556" t="s">
        <v>301</v>
      </c>
      <c r="B2556" t="s">
        <v>2580</v>
      </c>
    </row>
    <row r="2557" spans="1:2" x14ac:dyDescent="0.25">
      <c r="A2557" t="s">
        <v>301</v>
      </c>
      <c r="B2557" t="s">
        <v>2581</v>
      </c>
    </row>
    <row r="2558" spans="1:2" x14ac:dyDescent="0.25">
      <c r="A2558" t="s">
        <v>301</v>
      </c>
      <c r="B2558" t="s">
        <v>2582</v>
      </c>
    </row>
    <row r="2559" spans="1:2" x14ac:dyDescent="0.25">
      <c r="A2559" t="s">
        <v>301</v>
      </c>
      <c r="B2559" t="s">
        <v>2583</v>
      </c>
    </row>
    <row r="2560" spans="1:2" x14ac:dyDescent="0.25">
      <c r="A2560" t="s">
        <v>301</v>
      </c>
      <c r="B2560" t="s">
        <v>2584</v>
      </c>
    </row>
    <row r="2561" spans="1:2" x14ac:dyDescent="0.25">
      <c r="A2561" t="s">
        <v>301</v>
      </c>
      <c r="B2561" t="s">
        <v>2585</v>
      </c>
    </row>
    <row r="2562" spans="1:2" x14ac:dyDescent="0.25">
      <c r="A2562" t="s">
        <v>301</v>
      </c>
      <c r="B2562" t="s">
        <v>2586</v>
      </c>
    </row>
    <row r="2563" spans="1:2" x14ac:dyDescent="0.25">
      <c r="A2563" t="s">
        <v>301</v>
      </c>
      <c r="B2563" t="s">
        <v>2587</v>
      </c>
    </row>
    <row r="2564" spans="1:2" x14ac:dyDescent="0.25">
      <c r="A2564" t="s">
        <v>301</v>
      </c>
      <c r="B2564" t="s">
        <v>2588</v>
      </c>
    </row>
    <row r="2565" spans="1:2" x14ac:dyDescent="0.25">
      <c r="A2565" t="s">
        <v>301</v>
      </c>
      <c r="B2565" t="s">
        <v>2589</v>
      </c>
    </row>
    <row r="2566" spans="1:2" x14ac:dyDescent="0.25">
      <c r="A2566" t="s">
        <v>301</v>
      </c>
      <c r="B2566" t="s">
        <v>2590</v>
      </c>
    </row>
    <row r="2567" spans="1:2" x14ac:dyDescent="0.25">
      <c r="A2567" t="s">
        <v>301</v>
      </c>
      <c r="B2567" t="s">
        <v>2591</v>
      </c>
    </row>
    <row r="2568" spans="1:2" x14ac:dyDescent="0.25">
      <c r="A2568" t="s">
        <v>301</v>
      </c>
      <c r="B2568" t="s">
        <v>2592</v>
      </c>
    </row>
    <row r="2569" spans="1:2" x14ac:dyDescent="0.25">
      <c r="A2569" t="s">
        <v>301</v>
      </c>
      <c r="B2569" t="s">
        <v>2593</v>
      </c>
    </row>
    <row r="2570" spans="1:2" x14ac:dyDescent="0.25">
      <c r="A2570" t="s">
        <v>301</v>
      </c>
      <c r="B2570" t="s">
        <v>2594</v>
      </c>
    </row>
    <row r="2571" spans="1:2" x14ac:dyDescent="0.25">
      <c r="A2571" t="s">
        <v>301</v>
      </c>
      <c r="B2571" t="s">
        <v>2595</v>
      </c>
    </row>
    <row r="2572" spans="1:2" x14ac:dyDescent="0.25">
      <c r="A2572" t="s">
        <v>301</v>
      </c>
      <c r="B2572" t="s">
        <v>2596</v>
      </c>
    </row>
    <row r="2573" spans="1:2" x14ac:dyDescent="0.25">
      <c r="A2573" t="s">
        <v>301</v>
      </c>
      <c r="B2573" t="s">
        <v>2597</v>
      </c>
    </row>
    <row r="2574" spans="1:2" x14ac:dyDescent="0.25">
      <c r="A2574" t="s">
        <v>301</v>
      </c>
      <c r="B2574" t="s">
        <v>2598</v>
      </c>
    </row>
    <row r="2575" spans="1:2" x14ac:dyDescent="0.25">
      <c r="A2575" t="s">
        <v>301</v>
      </c>
      <c r="B2575" t="s">
        <v>2599</v>
      </c>
    </row>
    <row r="2576" spans="1:2" x14ac:dyDescent="0.25">
      <c r="A2576" t="s">
        <v>301</v>
      </c>
      <c r="B2576" t="s">
        <v>2600</v>
      </c>
    </row>
    <row r="2577" spans="1:2" x14ac:dyDescent="0.25">
      <c r="A2577" t="s">
        <v>301</v>
      </c>
      <c r="B2577" t="s">
        <v>4682</v>
      </c>
    </row>
    <row r="2578" spans="1:2" x14ac:dyDescent="0.25">
      <c r="A2578" t="s">
        <v>301</v>
      </c>
      <c r="B2578" t="s">
        <v>2601</v>
      </c>
    </row>
    <row r="2579" spans="1:2" x14ac:dyDescent="0.25">
      <c r="A2579" t="s">
        <v>301</v>
      </c>
      <c r="B2579" t="s">
        <v>2602</v>
      </c>
    </row>
    <row r="2580" spans="1:2" x14ac:dyDescent="0.25">
      <c r="A2580" t="s">
        <v>301</v>
      </c>
      <c r="B2580" t="s">
        <v>2603</v>
      </c>
    </row>
    <row r="2581" spans="1:2" x14ac:dyDescent="0.25">
      <c r="A2581" t="s">
        <v>301</v>
      </c>
      <c r="B2581" t="s">
        <v>2604</v>
      </c>
    </row>
    <row r="2582" spans="1:2" x14ac:dyDescent="0.25">
      <c r="A2582" t="s">
        <v>301</v>
      </c>
      <c r="B2582" t="s">
        <v>2605</v>
      </c>
    </row>
    <row r="2583" spans="1:2" x14ac:dyDescent="0.25">
      <c r="A2583" t="s">
        <v>301</v>
      </c>
      <c r="B2583" t="s">
        <v>2606</v>
      </c>
    </row>
    <row r="2584" spans="1:2" x14ac:dyDescent="0.25">
      <c r="A2584" t="s">
        <v>301</v>
      </c>
      <c r="B2584" t="s">
        <v>2607</v>
      </c>
    </row>
    <row r="2585" spans="1:2" x14ac:dyDescent="0.25">
      <c r="A2585" t="s">
        <v>301</v>
      </c>
      <c r="B2585" t="s">
        <v>2608</v>
      </c>
    </row>
    <row r="2586" spans="1:2" x14ac:dyDescent="0.25">
      <c r="A2586" t="s">
        <v>265</v>
      </c>
      <c r="B2586" t="s">
        <v>4606</v>
      </c>
    </row>
    <row r="2587" spans="1:2" x14ac:dyDescent="0.25">
      <c r="A2587" t="s">
        <v>265</v>
      </c>
      <c r="B2587" t="s">
        <v>1188</v>
      </c>
    </row>
    <row r="2588" spans="1:2" x14ac:dyDescent="0.25">
      <c r="A2588" t="s">
        <v>265</v>
      </c>
      <c r="B2588" t="s">
        <v>2330</v>
      </c>
    </row>
    <row r="2589" spans="1:2" x14ac:dyDescent="0.25">
      <c r="A2589" t="s">
        <v>265</v>
      </c>
      <c r="B2589" t="s">
        <v>2331</v>
      </c>
    </row>
    <row r="2590" spans="1:2" x14ac:dyDescent="0.25">
      <c r="A2590" t="s">
        <v>265</v>
      </c>
      <c r="B2590" t="s">
        <v>2332</v>
      </c>
    </row>
    <row r="2591" spans="1:2" x14ac:dyDescent="0.25">
      <c r="A2591" t="s">
        <v>265</v>
      </c>
      <c r="B2591" t="s">
        <v>2333</v>
      </c>
    </row>
    <row r="2592" spans="1:2" x14ac:dyDescent="0.25">
      <c r="A2592" t="s">
        <v>265</v>
      </c>
      <c r="B2592" t="s">
        <v>2334</v>
      </c>
    </row>
    <row r="2593" spans="1:2" x14ac:dyDescent="0.25">
      <c r="A2593" t="s">
        <v>265</v>
      </c>
      <c r="B2593" t="s">
        <v>2335</v>
      </c>
    </row>
    <row r="2594" spans="1:2" x14ac:dyDescent="0.25">
      <c r="A2594" t="s">
        <v>265</v>
      </c>
      <c r="B2594" t="s">
        <v>2336</v>
      </c>
    </row>
    <row r="2595" spans="1:2" x14ac:dyDescent="0.25">
      <c r="A2595" t="s">
        <v>265</v>
      </c>
      <c r="B2595" t="s">
        <v>2337</v>
      </c>
    </row>
    <row r="2596" spans="1:2" x14ac:dyDescent="0.25">
      <c r="A2596" t="s">
        <v>265</v>
      </c>
      <c r="B2596" t="s">
        <v>992</v>
      </c>
    </row>
    <row r="2597" spans="1:2" x14ac:dyDescent="0.25">
      <c r="A2597" t="s">
        <v>265</v>
      </c>
      <c r="B2597" t="s">
        <v>2338</v>
      </c>
    </row>
    <row r="2598" spans="1:2" x14ac:dyDescent="0.25">
      <c r="A2598" t="s">
        <v>265</v>
      </c>
      <c r="B2598" t="s">
        <v>2339</v>
      </c>
    </row>
    <row r="2599" spans="1:2" x14ac:dyDescent="0.25">
      <c r="A2599" t="s">
        <v>265</v>
      </c>
      <c r="B2599" t="s">
        <v>2340</v>
      </c>
    </row>
    <row r="2600" spans="1:2" x14ac:dyDescent="0.25">
      <c r="A2600" t="s">
        <v>265</v>
      </c>
      <c r="B2600" t="s">
        <v>2341</v>
      </c>
    </row>
    <row r="2601" spans="1:2" x14ac:dyDescent="0.25">
      <c r="A2601" t="s">
        <v>265</v>
      </c>
      <c r="B2601" t="s">
        <v>2342</v>
      </c>
    </row>
    <row r="2602" spans="1:2" x14ac:dyDescent="0.25">
      <c r="A2602" s="29" t="s">
        <v>265</v>
      </c>
      <c r="B2602" s="29" t="s">
        <v>4651</v>
      </c>
    </row>
    <row r="2603" spans="1:2" x14ac:dyDescent="0.25">
      <c r="A2603" t="s">
        <v>265</v>
      </c>
      <c r="B2603" t="s">
        <v>4652</v>
      </c>
    </row>
    <row r="2604" spans="1:2" x14ac:dyDescent="0.25">
      <c r="A2604" t="s">
        <v>1599</v>
      </c>
      <c r="B2604" t="s">
        <v>4106</v>
      </c>
    </row>
    <row r="2605" spans="1:2" x14ac:dyDescent="0.25">
      <c r="A2605" t="s">
        <v>1599</v>
      </c>
      <c r="B2605" t="s">
        <v>3703</v>
      </c>
    </row>
    <row r="2606" spans="1:2" x14ac:dyDescent="0.25">
      <c r="A2606" t="s">
        <v>1599</v>
      </c>
      <c r="B2606" t="s">
        <v>3704</v>
      </c>
    </row>
    <row r="2607" spans="1:2" x14ac:dyDescent="0.25">
      <c r="A2607" t="s">
        <v>1599</v>
      </c>
      <c r="B2607" t="s">
        <v>3705</v>
      </c>
    </row>
    <row r="2608" spans="1:2" x14ac:dyDescent="0.25">
      <c r="A2608" t="s">
        <v>1599</v>
      </c>
      <c r="B2608" t="s">
        <v>3706</v>
      </c>
    </row>
    <row r="2609" spans="1:2" x14ac:dyDescent="0.25">
      <c r="A2609" t="s">
        <v>1599</v>
      </c>
      <c r="B2609" t="s">
        <v>3707</v>
      </c>
    </row>
    <row r="2610" spans="1:2" x14ac:dyDescent="0.25">
      <c r="A2610" t="s">
        <v>1599</v>
      </c>
      <c r="B2610" t="s">
        <v>3708</v>
      </c>
    </row>
    <row r="2611" spans="1:2" x14ac:dyDescent="0.25">
      <c r="A2611" t="s">
        <v>1599</v>
      </c>
      <c r="B2611" t="s">
        <v>3709</v>
      </c>
    </row>
    <row r="2612" spans="1:2" x14ac:dyDescent="0.25">
      <c r="A2612" t="s">
        <v>1599</v>
      </c>
      <c r="B2612" t="s">
        <v>3710</v>
      </c>
    </row>
    <row r="2613" spans="1:2" x14ac:dyDescent="0.25">
      <c r="A2613" t="s">
        <v>1599</v>
      </c>
      <c r="B2613" t="s">
        <v>3711</v>
      </c>
    </row>
    <row r="2614" spans="1:2" x14ac:dyDescent="0.25">
      <c r="A2614" t="s">
        <v>1599</v>
      </c>
      <c r="B2614" t="s">
        <v>3712</v>
      </c>
    </row>
    <row r="2615" spans="1:2" x14ac:dyDescent="0.25">
      <c r="A2615" t="s">
        <v>1599</v>
      </c>
      <c r="B2615" t="s">
        <v>3695</v>
      </c>
    </row>
    <row r="2616" spans="1:2" x14ac:dyDescent="0.25">
      <c r="A2616" t="s">
        <v>1599</v>
      </c>
      <c r="B2616" t="s">
        <v>3713</v>
      </c>
    </row>
    <row r="2617" spans="1:2" x14ac:dyDescent="0.25">
      <c r="A2617" t="s">
        <v>1599</v>
      </c>
      <c r="B2617" t="s">
        <v>3696</v>
      </c>
    </row>
    <row r="2618" spans="1:2" x14ac:dyDescent="0.25">
      <c r="A2618" t="s">
        <v>1599</v>
      </c>
      <c r="B2618" t="s">
        <v>3697</v>
      </c>
    </row>
    <row r="2619" spans="1:2" x14ac:dyDescent="0.25">
      <c r="A2619" t="s">
        <v>1599</v>
      </c>
      <c r="B2619" t="s">
        <v>3698</v>
      </c>
    </row>
    <row r="2620" spans="1:2" x14ac:dyDescent="0.25">
      <c r="A2620" t="s">
        <v>1599</v>
      </c>
      <c r="B2620" t="s">
        <v>3699</v>
      </c>
    </row>
    <row r="2621" spans="1:2" x14ac:dyDescent="0.25">
      <c r="A2621" t="s">
        <v>1599</v>
      </c>
      <c r="B2621" t="s">
        <v>3700</v>
      </c>
    </row>
    <row r="2622" spans="1:2" x14ac:dyDescent="0.25">
      <c r="A2622" t="s">
        <v>1599</v>
      </c>
      <c r="B2622" t="s">
        <v>3701</v>
      </c>
    </row>
    <row r="2623" spans="1:2" x14ac:dyDescent="0.25">
      <c r="A2623" t="s">
        <v>1599</v>
      </c>
      <c r="B2623" t="s">
        <v>3702</v>
      </c>
    </row>
    <row r="2624" spans="1:2" x14ac:dyDescent="0.25">
      <c r="A2624" t="s">
        <v>280</v>
      </c>
      <c r="B2624" t="s">
        <v>4043</v>
      </c>
    </row>
    <row r="2625" spans="1:2" x14ac:dyDescent="0.25">
      <c r="A2625" t="s">
        <v>280</v>
      </c>
      <c r="B2625" t="s">
        <v>1330</v>
      </c>
    </row>
    <row r="2626" spans="1:2" x14ac:dyDescent="0.25">
      <c r="A2626" t="s">
        <v>280</v>
      </c>
      <c r="B2626" t="s">
        <v>1313</v>
      </c>
    </row>
    <row r="2627" spans="1:2" x14ac:dyDescent="0.25">
      <c r="A2627" t="s">
        <v>280</v>
      </c>
      <c r="B2627" t="s">
        <v>2186</v>
      </c>
    </row>
    <row r="2628" spans="1:2" x14ac:dyDescent="0.25">
      <c r="A2628" t="s">
        <v>280</v>
      </c>
      <c r="B2628" t="s">
        <v>2187</v>
      </c>
    </row>
    <row r="2629" spans="1:2" x14ac:dyDescent="0.25">
      <c r="A2629" t="s">
        <v>280</v>
      </c>
      <c r="B2629" t="s">
        <v>2188</v>
      </c>
    </row>
    <row r="2630" spans="1:2" x14ac:dyDescent="0.25">
      <c r="A2630" t="s">
        <v>280</v>
      </c>
      <c r="B2630" t="s">
        <v>1275</v>
      </c>
    </row>
    <row r="2631" spans="1:2" x14ac:dyDescent="0.25">
      <c r="A2631" t="s">
        <v>280</v>
      </c>
      <c r="B2631" t="s">
        <v>1247</v>
      </c>
    </row>
    <row r="2632" spans="1:2" x14ac:dyDescent="0.25">
      <c r="A2632" t="s">
        <v>280</v>
      </c>
      <c r="B2632" t="s">
        <v>2189</v>
      </c>
    </row>
    <row r="2633" spans="1:2" x14ac:dyDescent="0.25">
      <c r="A2633" t="s">
        <v>280</v>
      </c>
      <c r="B2633" t="s">
        <v>2190</v>
      </c>
    </row>
    <row r="2634" spans="1:2" x14ac:dyDescent="0.25">
      <c r="A2634" t="s">
        <v>280</v>
      </c>
      <c r="B2634" t="s">
        <v>2191</v>
      </c>
    </row>
    <row r="2635" spans="1:2" x14ac:dyDescent="0.25">
      <c r="A2635" t="s">
        <v>280</v>
      </c>
      <c r="B2635" t="s">
        <v>2192</v>
      </c>
    </row>
    <row r="2636" spans="1:2" x14ac:dyDescent="0.25">
      <c r="A2636" t="s">
        <v>280</v>
      </c>
      <c r="B2636" t="s">
        <v>2193</v>
      </c>
    </row>
    <row r="2637" spans="1:2" x14ac:dyDescent="0.25">
      <c r="A2637" t="s">
        <v>280</v>
      </c>
      <c r="B2637" t="s">
        <v>2194</v>
      </c>
    </row>
    <row r="2638" spans="1:2" x14ac:dyDescent="0.25">
      <c r="A2638" t="s">
        <v>280</v>
      </c>
      <c r="B2638" t="s">
        <v>2195</v>
      </c>
    </row>
    <row r="2639" spans="1:2" x14ac:dyDescent="0.25">
      <c r="A2639" t="s">
        <v>280</v>
      </c>
      <c r="B2639" t="s">
        <v>2196</v>
      </c>
    </row>
    <row r="2640" spans="1:2" x14ac:dyDescent="0.25">
      <c r="A2640" t="s">
        <v>280</v>
      </c>
      <c r="B2640" t="s">
        <v>2197</v>
      </c>
    </row>
    <row r="2641" spans="1:2" x14ac:dyDescent="0.25">
      <c r="A2641" t="s">
        <v>280</v>
      </c>
      <c r="B2641" t="s">
        <v>2198</v>
      </c>
    </row>
    <row r="2642" spans="1:2" x14ac:dyDescent="0.25">
      <c r="A2642" t="s">
        <v>280</v>
      </c>
      <c r="B2642" t="s">
        <v>2199</v>
      </c>
    </row>
    <row r="2643" spans="1:2" x14ac:dyDescent="0.25">
      <c r="A2643" t="s">
        <v>280</v>
      </c>
      <c r="B2643" t="s">
        <v>2200</v>
      </c>
    </row>
    <row r="2644" spans="1:2" x14ac:dyDescent="0.25">
      <c r="A2644" t="s">
        <v>280</v>
      </c>
      <c r="B2644" t="s">
        <v>2201</v>
      </c>
    </row>
    <row r="2645" spans="1:2" x14ac:dyDescent="0.25">
      <c r="A2645" t="s">
        <v>280</v>
      </c>
      <c r="B2645" t="s">
        <v>2202</v>
      </c>
    </row>
    <row r="2646" spans="1:2" x14ac:dyDescent="0.25">
      <c r="A2646" t="s">
        <v>289</v>
      </c>
      <c r="B2646" t="s">
        <v>4337</v>
      </c>
    </row>
    <row r="2647" spans="1:2" x14ac:dyDescent="0.25">
      <c r="A2647" t="s">
        <v>289</v>
      </c>
      <c r="B2647" t="s">
        <v>4338</v>
      </c>
    </row>
    <row r="2648" spans="1:2" x14ac:dyDescent="0.25">
      <c r="A2648" t="s">
        <v>289</v>
      </c>
      <c r="B2648" t="s">
        <v>4339</v>
      </c>
    </row>
    <row r="2649" spans="1:2" x14ac:dyDescent="0.25">
      <c r="A2649" t="s">
        <v>289</v>
      </c>
      <c r="B2649" t="s">
        <v>4340</v>
      </c>
    </row>
    <row r="2650" spans="1:2" x14ac:dyDescent="0.25">
      <c r="A2650" t="s">
        <v>289</v>
      </c>
      <c r="B2650" t="s">
        <v>4341</v>
      </c>
    </row>
    <row r="2651" spans="1:2" x14ac:dyDescent="0.25">
      <c r="A2651" t="s">
        <v>289</v>
      </c>
      <c r="B2651" t="s">
        <v>4342</v>
      </c>
    </row>
    <row r="2652" spans="1:2" x14ac:dyDescent="0.25">
      <c r="A2652" t="s">
        <v>289</v>
      </c>
      <c r="B2652" t="s">
        <v>4343</v>
      </c>
    </row>
    <row r="2653" spans="1:2" x14ac:dyDescent="0.25">
      <c r="A2653" t="s">
        <v>289</v>
      </c>
      <c r="B2653" t="s">
        <v>4344</v>
      </c>
    </row>
    <row r="2654" spans="1:2" x14ac:dyDescent="0.25">
      <c r="A2654" t="s">
        <v>289</v>
      </c>
      <c r="B2654" t="s">
        <v>4345</v>
      </c>
    </row>
    <row r="2655" spans="1:2" x14ac:dyDescent="0.25">
      <c r="A2655" t="s">
        <v>289</v>
      </c>
      <c r="B2655" t="s">
        <v>827</v>
      </c>
    </row>
    <row r="2656" spans="1:2" x14ac:dyDescent="0.25">
      <c r="A2656" t="s">
        <v>289</v>
      </c>
      <c r="B2656" t="s">
        <v>4346</v>
      </c>
    </row>
    <row r="2657" spans="1:2" x14ac:dyDescent="0.25">
      <c r="A2657" t="s">
        <v>289</v>
      </c>
      <c r="B2657" t="s">
        <v>4347</v>
      </c>
    </row>
    <row r="2658" spans="1:2" x14ac:dyDescent="0.25">
      <c r="A2658" t="s">
        <v>289</v>
      </c>
      <c r="B2658" t="s">
        <v>4348</v>
      </c>
    </row>
    <row r="2659" spans="1:2" x14ac:dyDescent="0.25">
      <c r="A2659" t="s">
        <v>289</v>
      </c>
      <c r="B2659" t="s">
        <v>4349</v>
      </c>
    </row>
    <row r="2660" spans="1:2" x14ac:dyDescent="0.25">
      <c r="A2660" t="s">
        <v>337</v>
      </c>
      <c r="B2660" t="s">
        <v>4350</v>
      </c>
    </row>
    <row r="2661" spans="1:2" x14ac:dyDescent="0.25">
      <c r="A2661" t="s">
        <v>337</v>
      </c>
      <c r="B2661" t="s">
        <v>4351</v>
      </c>
    </row>
    <row r="2662" spans="1:2" x14ac:dyDescent="0.25">
      <c r="A2662" t="s">
        <v>337</v>
      </c>
      <c r="B2662" t="s">
        <v>4352</v>
      </c>
    </row>
    <row r="2663" spans="1:2" x14ac:dyDescent="0.25">
      <c r="A2663" t="s">
        <v>337</v>
      </c>
      <c r="B2663" t="s">
        <v>4353</v>
      </c>
    </row>
    <row r="2664" spans="1:2" x14ac:dyDescent="0.25">
      <c r="A2664" t="s">
        <v>337</v>
      </c>
      <c r="B2664" t="s">
        <v>4354</v>
      </c>
    </row>
    <row r="2665" spans="1:2" x14ac:dyDescent="0.25">
      <c r="A2665" t="s">
        <v>337</v>
      </c>
      <c r="B2665" t="s">
        <v>4355</v>
      </c>
    </row>
    <row r="2666" spans="1:2" x14ac:dyDescent="0.25">
      <c r="A2666" t="s">
        <v>337</v>
      </c>
      <c r="B2666" t="s">
        <v>3478</v>
      </c>
    </row>
    <row r="2667" spans="1:2" x14ac:dyDescent="0.25">
      <c r="A2667" t="s">
        <v>337</v>
      </c>
      <c r="B2667" t="s">
        <v>4356</v>
      </c>
    </row>
    <row r="2668" spans="1:2" x14ac:dyDescent="0.25">
      <c r="A2668" t="s">
        <v>337</v>
      </c>
      <c r="B2668" t="s">
        <v>4357</v>
      </c>
    </row>
    <row r="2669" spans="1:2" x14ac:dyDescent="0.25">
      <c r="A2669" t="s">
        <v>337</v>
      </c>
      <c r="B2669" t="s">
        <v>4358</v>
      </c>
    </row>
    <row r="2670" spans="1:2" x14ac:dyDescent="0.25">
      <c r="A2670" t="s">
        <v>337</v>
      </c>
      <c r="B2670" t="s">
        <v>4359</v>
      </c>
    </row>
    <row r="2671" spans="1:2" x14ac:dyDescent="0.25">
      <c r="A2671" t="s">
        <v>337</v>
      </c>
      <c r="B2671" t="s">
        <v>4360</v>
      </c>
    </row>
    <row r="2672" spans="1:2" x14ac:dyDescent="0.25">
      <c r="A2672" t="s">
        <v>337</v>
      </c>
      <c r="B2672" t="s">
        <v>4361</v>
      </c>
    </row>
    <row r="2673" spans="1:2" x14ac:dyDescent="0.25">
      <c r="A2673" t="s">
        <v>337</v>
      </c>
      <c r="B2673" t="s">
        <v>4362</v>
      </c>
    </row>
    <row r="2674" spans="1:2" x14ac:dyDescent="0.25">
      <c r="A2674" t="s">
        <v>337</v>
      </c>
      <c r="B2674" t="s">
        <v>4363</v>
      </c>
    </row>
    <row r="2675" spans="1:2" x14ac:dyDescent="0.25">
      <c r="A2675" t="s">
        <v>337</v>
      </c>
      <c r="B2675" t="s">
        <v>4364</v>
      </c>
    </row>
    <row r="2676" spans="1:2" x14ac:dyDescent="0.25">
      <c r="A2676" t="s">
        <v>337</v>
      </c>
      <c r="B2676" t="s">
        <v>4365</v>
      </c>
    </row>
    <row r="2677" spans="1:2" x14ac:dyDescent="0.25">
      <c r="A2677" t="s">
        <v>337</v>
      </c>
      <c r="B2677" t="s">
        <v>4366</v>
      </c>
    </row>
    <row r="2678" spans="1:2" x14ac:dyDescent="0.25">
      <c r="A2678" t="s">
        <v>337</v>
      </c>
      <c r="B2678" t="s">
        <v>4367</v>
      </c>
    </row>
    <row r="2679" spans="1:2" x14ac:dyDescent="0.25">
      <c r="A2679" t="s">
        <v>337</v>
      </c>
      <c r="B2679" t="s">
        <v>4368</v>
      </c>
    </row>
    <row r="2680" spans="1:2" x14ac:dyDescent="0.25">
      <c r="A2680" t="s">
        <v>297</v>
      </c>
      <c r="B2680" t="s">
        <v>4062</v>
      </c>
    </row>
    <row r="2681" spans="1:2" x14ac:dyDescent="0.25">
      <c r="A2681" t="s">
        <v>297</v>
      </c>
      <c r="B2681" t="s">
        <v>2667</v>
      </c>
    </row>
    <row r="2682" spans="1:2" x14ac:dyDescent="0.25">
      <c r="A2682" t="s">
        <v>297</v>
      </c>
      <c r="B2682" t="s">
        <v>2668</v>
      </c>
    </row>
    <row r="2683" spans="1:2" x14ac:dyDescent="0.25">
      <c r="A2683" t="s">
        <v>297</v>
      </c>
      <c r="B2683" t="s">
        <v>2669</v>
      </c>
    </row>
    <row r="2684" spans="1:2" x14ac:dyDescent="0.25">
      <c r="A2684" t="s">
        <v>297</v>
      </c>
      <c r="B2684" t="s">
        <v>1356</v>
      </c>
    </row>
    <row r="2685" spans="1:2" x14ac:dyDescent="0.25">
      <c r="A2685" t="s">
        <v>297</v>
      </c>
      <c r="B2685" t="s">
        <v>2670</v>
      </c>
    </row>
    <row r="2686" spans="1:2" x14ac:dyDescent="0.25">
      <c r="A2686" t="s">
        <v>297</v>
      </c>
      <c r="B2686" t="s">
        <v>2671</v>
      </c>
    </row>
    <row r="2687" spans="1:2" x14ac:dyDescent="0.25">
      <c r="A2687" t="s">
        <v>297</v>
      </c>
      <c r="B2687" t="s">
        <v>2672</v>
      </c>
    </row>
    <row r="2688" spans="1:2" x14ac:dyDescent="0.25">
      <c r="A2688" t="s">
        <v>297</v>
      </c>
      <c r="B2688" t="s">
        <v>2673</v>
      </c>
    </row>
    <row r="2689" spans="1:2" x14ac:dyDescent="0.25">
      <c r="A2689" t="s">
        <v>297</v>
      </c>
      <c r="B2689" t="s">
        <v>2674</v>
      </c>
    </row>
    <row r="2690" spans="1:2" x14ac:dyDescent="0.25">
      <c r="A2690" t="s">
        <v>297</v>
      </c>
      <c r="B2690" t="s">
        <v>2675</v>
      </c>
    </row>
    <row r="2691" spans="1:2" x14ac:dyDescent="0.25">
      <c r="A2691" t="s">
        <v>297</v>
      </c>
      <c r="B2691" t="s">
        <v>2676</v>
      </c>
    </row>
    <row r="2692" spans="1:2" x14ac:dyDescent="0.25">
      <c r="A2692" t="s">
        <v>297</v>
      </c>
      <c r="B2692" t="s">
        <v>2677</v>
      </c>
    </row>
    <row r="2693" spans="1:2" x14ac:dyDescent="0.25">
      <c r="A2693" t="s">
        <v>297</v>
      </c>
      <c r="B2693" t="s">
        <v>2678</v>
      </c>
    </row>
    <row r="2694" spans="1:2" x14ac:dyDescent="0.25">
      <c r="A2694" t="s">
        <v>297</v>
      </c>
      <c r="B2694" t="s">
        <v>2679</v>
      </c>
    </row>
    <row r="2695" spans="1:2" x14ac:dyDescent="0.25">
      <c r="A2695" t="s">
        <v>297</v>
      </c>
      <c r="B2695" t="s">
        <v>1190</v>
      </c>
    </row>
    <row r="2696" spans="1:2" x14ac:dyDescent="0.25">
      <c r="A2696" t="s">
        <v>297</v>
      </c>
      <c r="B2696" t="s">
        <v>2680</v>
      </c>
    </row>
    <row r="2697" spans="1:2" x14ac:dyDescent="0.25">
      <c r="A2697" t="s">
        <v>297</v>
      </c>
      <c r="B2697" t="s">
        <v>2681</v>
      </c>
    </row>
    <row r="2698" spans="1:2" x14ac:dyDescent="0.25">
      <c r="A2698" t="s">
        <v>297</v>
      </c>
      <c r="B2698" t="s">
        <v>2682</v>
      </c>
    </row>
    <row r="2699" spans="1:2" x14ac:dyDescent="0.25">
      <c r="A2699" t="s">
        <v>308</v>
      </c>
      <c r="B2699" t="s">
        <v>2085</v>
      </c>
    </row>
    <row r="2700" spans="1:2" x14ac:dyDescent="0.25">
      <c r="A2700" t="s">
        <v>308</v>
      </c>
      <c r="B2700" t="s">
        <v>2081</v>
      </c>
    </row>
    <row r="2701" spans="1:2" x14ac:dyDescent="0.25">
      <c r="A2701" t="s">
        <v>308</v>
      </c>
      <c r="B2701" t="s">
        <v>2082</v>
      </c>
    </row>
    <row r="2702" spans="1:2" x14ac:dyDescent="0.25">
      <c r="A2702" t="s">
        <v>308</v>
      </c>
      <c r="B2702" t="s">
        <v>2083</v>
      </c>
    </row>
    <row r="2703" spans="1:2" x14ac:dyDescent="0.25">
      <c r="A2703" t="s">
        <v>308</v>
      </c>
      <c r="B2703" t="s">
        <v>2084</v>
      </c>
    </row>
    <row r="2704" spans="1:2" x14ac:dyDescent="0.25">
      <c r="A2704" t="s">
        <v>308</v>
      </c>
      <c r="B2704" t="s">
        <v>2085</v>
      </c>
    </row>
    <row r="2705" spans="1:2" x14ac:dyDescent="0.25">
      <c r="A2705" t="s">
        <v>308</v>
      </c>
      <c r="B2705" t="s">
        <v>2086</v>
      </c>
    </row>
    <row r="2706" spans="1:2" x14ac:dyDescent="0.25">
      <c r="A2706" t="s">
        <v>308</v>
      </c>
      <c r="B2706" t="s">
        <v>2087</v>
      </c>
    </row>
    <row r="2707" spans="1:2" x14ac:dyDescent="0.25">
      <c r="A2707" t="s">
        <v>308</v>
      </c>
      <c r="B2707" t="s">
        <v>2088</v>
      </c>
    </row>
    <row r="2708" spans="1:2" x14ac:dyDescent="0.25">
      <c r="A2708" t="s">
        <v>308</v>
      </c>
      <c r="B2708" t="s">
        <v>2089</v>
      </c>
    </row>
    <row r="2709" spans="1:2" x14ac:dyDescent="0.25">
      <c r="A2709" t="s">
        <v>308</v>
      </c>
      <c r="B2709" t="s">
        <v>2090</v>
      </c>
    </row>
    <row r="2710" spans="1:2" x14ac:dyDescent="0.25">
      <c r="A2710" t="s">
        <v>308</v>
      </c>
      <c r="B2710" t="s">
        <v>2091</v>
      </c>
    </row>
    <row r="2711" spans="1:2" x14ac:dyDescent="0.25">
      <c r="A2711" t="s">
        <v>308</v>
      </c>
      <c r="B2711" t="s">
        <v>2092</v>
      </c>
    </row>
    <row r="2712" spans="1:2" x14ac:dyDescent="0.25">
      <c r="A2712" t="s">
        <v>308</v>
      </c>
      <c r="B2712" t="s">
        <v>2093</v>
      </c>
    </row>
    <row r="2713" spans="1:2" x14ac:dyDescent="0.25">
      <c r="A2713" t="s">
        <v>308</v>
      </c>
      <c r="B2713" t="s">
        <v>2094</v>
      </c>
    </row>
    <row r="2714" spans="1:2" x14ac:dyDescent="0.25">
      <c r="A2714" t="s">
        <v>308</v>
      </c>
      <c r="B2714" t="s">
        <v>2095</v>
      </c>
    </row>
    <row r="2715" spans="1:2" x14ac:dyDescent="0.25">
      <c r="A2715" t="s">
        <v>308</v>
      </c>
      <c r="B2715" t="s">
        <v>2096</v>
      </c>
    </row>
    <row r="2716" spans="1:2" x14ac:dyDescent="0.25">
      <c r="A2716" t="s">
        <v>308</v>
      </c>
      <c r="B2716" t="s">
        <v>2097</v>
      </c>
    </row>
    <row r="2717" spans="1:2" x14ac:dyDescent="0.25">
      <c r="A2717" t="s">
        <v>308</v>
      </c>
      <c r="B2717" t="s">
        <v>2098</v>
      </c>
    </row>
    <row r="2718" spans="1:2" x14ac:dyDescent="0.25">
      <c r="A2718" t="s">
        <v>308</v>
      </c>
      <c r="B2718" t="s">
        <v>2099</v>
      </c>
    </row>
    <row r="2719" spans="1:2" x14ac:dyDescent="0.25">
      <c r="A2719" t="s">
        <v>308</v>
      </c>
      <c r="B2719" t="s">
        <v>1002</v>
      </c>
    </row>
    <row r="2720" spans="1:2" x14ac:dyDescent="0.25">
      <c r="A2720" t="s">
        <v>308</v>
      </c>
      <c r="B2720" t="s">
        <v>999</v>
      </c>
    </row>
    <row r="2721" spans="1:2" x14ac:dyDescent="0.25">
      <c r="A2721" t="s">
        <v>308</v>
      </c>
      <c r="B2721" t="s">
        <v>994</v>
      </c>
    </row>
    <row r="2722" spans="1:2" x14ac:dyDescent="0.25">
      <c r="A2722" t="s">
        <v>308</v>
      </c>
      <c r="B2722" t="s">
        <v>997</v>
      </c>
    </row>
    <row r="2723" spans="1:2" x14ac:dyDescent="0.25">
      <c r="A2723" t="s">
        <v>308</v>
      </c>
      <c r="B2723" t="s">
        <v>1004</v>
      </c>
    </row>
    <row r="2724" spans="1:2" x14ac:dyDescent="0.25">
      <c r="A2724" t="s">
        <v>308</v>
      </c>
      <c r="B2724" t="s">
        <v>1003</v>
      </c>
    </row>
    <row r="2725" spans="1:2" x14ac:dyDescent="0.25">
      <c r="A2725" t="s">
        <v>308</v>
      </c>
      <c r="B2725" t="s">
        <v>1000</v>
      </c>
    </row>
    <row r="2726" spans="1:2" x14ac:dyDescent="0.25">
      <c r="A2726" t="s">
        <v>308</v>
      </c>
      <c r="B2726" t="s">
        <v>995</v>
      </c>
    </row>
    <row r="2727" spans="1:2" x14ac:dyDescent="0.25">
      <c r="A2727" t="s">
        <v>308</v>
      </c>
      <c r="B2727" t="s">
        <v>1001</v>
      </c>
    </row>
    <row r="2728" spans="1:2" x14ac:dyDescent="0.25">
      <c r="A2728" t="s">
        <v>308</v>
      </c>
      <c r="B2728" t="s">
        <v>2100</v>
      </c>
    </row>
    <row r="2729" spans="1:2" x14ac:dyDescent="0.25">
      <c r="A2729" t="s">
        <v>308</v>
      </c>
      <c r="B2729" t="s">
        <v>1005</v>
      </c>
    </row>
    <row r="2730" spans="1:2" x14ac:dyDescent="0.25">
      <c r="A2730" t="s">
        <v>308</v>
      </c>
      <c r="B2730" t="s">
        <v>998</v>
      </c>
    </row>
    <row r="2731" spans="1:2" x14ac:dyDescent="0.25">
      <c r="A2731" t="s">
        <v>308</v>
      </c>
      <c r="B2731" t="s">
        <v>996</v>
      </c>
    </row>
    <row r="2732" spans="1:2" x14ac:dyDescent="0.25">
      <c r="A2732" t="s">
        <v>308</v>
      </c>
      <c r="B2732" t="s">
        <v>909</v>
      </c>
    </row>
    <row r="2733" spans="1:2" x14ac:dyDescent="0.25">
      <c r="A2733" t="s">
        <v>332</v>
      </c>
      <c r="B2733" t="s">
        <v>4027</v>
      </c>
    </row>
    <row r="2734" spans="1:2" x14ac:dyDescent="0.25">
      <c r="A2734" t="s">
        <v>332</v>
      </c>
      <c r="B2734" t="s">
        <v>1730</v>
      </c>
    </row>
    <row r="2735" spans="1:2" x14ac:dyDescent="0.25">
      <c r="A2735" t="s">
        <v>332</v>
      </c>
      <c r="B2735" t="s">
        <v>1731</v>
      </c>
    </row>
    <row r="2736" spans="1:2" x14ac:dyDescent="0.25">
      <c r="A2736" t="s">
        <v>332</v>
      </c>
      <c r="B2736" t="s">
        <v>1732</v>
      </c>
    </row>
    <row r="2737" spans="1:2" x14ac:dyDescent="0.25">
      <c r="A2737" t="s">
        <v>332</v>
      </c>
      <c r="B2737" t="s">
        <v>1733</v>
      </c>
    </row>
    <row r="2738" spans="1:2" x14ac:dyDescent="0.25">
      <c r="A2738" t="s">
        <v>332</v>
      </c>
      <c r="B2738" t="s">
        <v>1734</v>
      </c>
    </row>
    <row r="2739" spans="1:2" x14ac:dyDescent="0.25">
      <c r="A2739" t="s">
        <v>332</v>
      </c>
      <c r="B2739" t="s">
        <v>1735</v>
      </c>
    </row>
    <row r="2740" spans="1:2" x14ac:dyDescent="0.25">
      <c r="A2740" t="s">
        <v>332</v>
      </c>
      <c r="B2740" t="s">
        <v>1736</v>
      </c>
    </row>
    <row r="2741" spans="1:2" x14ac:dyDescent="0.25">
      <c r="A2741" t="s">
        <v>332</v>
      </c>
      <c r="B2741" t="s">
        <v>1737</v>
      </c>
    </row>
    <row r="2742" spans="1:2" x14ac:dyDescent="0.25">
      <c r="A2742" t="s">
        <v>332</v>
      </c>
      <c r="B2742" t="s">
        <v>1738</v>
      </c>
    </row>
    <row r="2743" spans="1:2" x14ac:dyDescent="0.25">
      <c r="A2743" t="s">
        <v>332</v>
      </c>
      <c r="B2743" t="s">
        <v>1739</v>
      </c>
    </row>
    <row r="2744" spans="1:2" x14ac:dyDescent="0.25">
      <c r="A2744" t="s">
        <v>332</v>
      </c>
      <c r="B2744" t="s">
        <v>1740</v>
      </c>
    </row>
    <row r="2745" spans="1:2" x14ac:dyDescent="0.25">
      <c r="A2745" t="s">
        <v>332</v>
      </c>
      <c r="B2745" t="s">
        <v>1741</v>
      </c>
    </row>
    <row r="2746" spans="1:2" x14ac:dyDescent="0.25">
      <c r="A2746" t="s">
        <v>332</v>
      </c>
      <c r="B2746" t="s">
        <v>4607</v>
      </c>
    </row>
    <row r="2747" spans="1:2" x14ac:dyDescent="0.25">
      <c r="A2747" t="s">
        <v>332</v>
      </c>
      <c r="B2747" t="s">
        <v>4681</v>
      </c>
    </row>
    <row r="2748" spans="1:2" x14ac:dyDescent="0.25">
      <c r="A2748" t="s">
        <v>274</v>
      </c>
      <c r="B2748" t="s">
        <v>3554</v>
      </c>
    </row>
    <row r="2749" spans="1:2" x14ac:dyDescent="0.25">
      <c r="A2749" t="s">
        <v>274</v>
      </c>
      <c r="B2749" t="s">
        <v>2123</v>
      </c>
    </row>
    <row r="2750" spans="1:2" x14ac:dyDescent="0.25">
      <c r="A2750" t="s">
        <v>274</v>
      </c>
      <c r="B2750" t="s">
        <v>2124</v>
      </c>
    </row>
    <row r="2751" spans="1:2" x14ac:dyDescent="0.25">
      <c r="A2751" t="s">
        <v>274</v>
      </c>
      <c r="B2751" t="s">
        <v>2125</v>
      </c>
    </row>
    <row r="2752" spans="1:2" x14ac:dyDescent="0.25">
      <c r="A2752" t="s">
        <v>274</v>
      </c>
      <c r="B2752" t="s">
        <v>2126</v>
      </c>
    </row>
    <row r="2753" spans="1:2" x14ac:dyDescent="0.25">
      <c r="A2753" t="s">
        <v>274</v>
      </c>
      <c r="B2753" t="s">
        <v>2127</v>
      </c>
    </row>
    <row r="2754" spans="1:2" x14ac:dyDescent="0.25">
      <c r="A2754" t="s">
        <v>274</v>
      </c>
      <c r="B2754" t="s">
        <v>2128</v>
      </c>
    </row>
    <row r="2755" spans="1:2" x14ac:dyDescent="0.25">
      <c r="A2755" t="s">
        <v>274</v>
      </c>
      <c r="B2755" t="s">
        <v>2129</v>
      </c>
    </row>
    <row r="2756" spans="1:2" x14ac:dyDescent="0.25">
      <c r="A2756" t="s">
        <v>274</v>
      </c>
      <c r="B2756" t="s">
        <v>1141</v>
      </c>
    </row>
    <row r="2757" spans="1:2" x14ac:dyDescent="0.25">
      <c r="A2757" t="s">
        <v>274</v>
      </c>
      <c r="B2757" t="s">
        <v>1146</v>
      </c>
    </row>
    <row r="2758" spans="1:2" x14ac:dyDescent="0.25">
      <c r="A2758" t="s">
        <v>274</v>
      </c>
      <c r="B2758" t="s">
        <v>1147</v>
      </c>
    </row>
    <row r="2759" spans="1:2" x14ac:dyDescent="0.25">
      <c r="A2759" t="s">
        <v>274</v>
      </c>
      <c r="B2759" t="s">
        <v>1148</v>
      </c>
    </row>
    <row r="2760" spans="1:2" x14ac:dyDescent="0.25">
      <c r="A2760" t="s">
        <v>274</v>
      </c>
      <c r="B2760" t="s">
        <v>1149</v>
      </c>
    </row>
    <row r="2761" spans="1:2" x14ac:dyDescent="0.25">
      <c r="A2761" t="s">
        <v>274</v>
      </c>
      <c r="B2761" t="s">
        <v>1150</v>
      </c>
    </row>
    <row r="2762" spans="1:2" x14ac:dyDescent="0.25">
      <c r="A2762" t="s">
        <v>274</v>
      </c>
      <c r="B2762" t="s">
        <v>2130</v>
      </c>
    </row>
    <row r="2763" spans="1:2" x14ac:dyDescent="0.25">
      <c r="A2763" t="s">
        <v>274</v>
      </c>
      <c r="B2763" t="s">
        <v>1151</v>
      </c>
    </row>
    <row r="2764" spans="1:2" x14ac:dyDescent="0.25">
      <c r="A2764" t="s">
        <v>274</v>
      </c>
      <c r="B2764" t="s">
        <v>1143</v>
      </c>
    </row>
    <row r="2765" spans="1:2" x14ac:dyDescent="0.25">
      <c r="A2765" t="s">
        <v>274</v>
      </c>
      <c r="B2765" t="s">
        <v>2131</v>
      </c>
    </row>
    <row r="2766" spans="1:2" x14ac:dyDescent="0.25">
      <c r="A2766" t="s">
        <v>274</v>
      </c>
      <c r="B2766" t="s">
        <v>1152</v>
      </c>
    </row>
    <row r="2767" spans="1:2" x14ac:dyDescent="0.25">
      <c r="A2767" t="s">
        <v>274</v>
      </c>
      <c r="B2767" t="s">
        <v>1153</v>
      </c>
    </row>
    <row r="2768" spans="1:2" x14ac:dyDescent="0.25">
      <c r="A2768" t="s">
        <v>274</v>
      </c>
      <c r="B2768" t="s">
        <v>1154</v>
      </c>
    </row>
    <row r="2769" spans="1:2" x14ac:dyDescent="0.25">
      <c r="A2769" t="s">
        <v>274</v>
      </c>
      <c r="B2769" t="s">
        <v>1155</v>
      </c>
    </row>
    <row r="2770" spans="1:2" x14ac:dyDescent="0.25">
      <c r="A2770" t="s">
        <v>274</v>
      </c>
      <c r="B2770" t="s">
        <v>1142</v>
      </c>
    </row>
    <row r="2771" spans="1:2" x14ac:dyDescent="0.25">
      <c r="A2771" t="s">
        <v>274</v>
      </c>
      <c r="B2771" t="s">
        <v>1144</v>
      </c>
    </row>
    <row r="2772" spans="1:2" x14ac:dyDescent="0.25">
      <c r="A2772" t="s">
        <v>274</v>
      </c>
      <c r="B2772" t="s">
        <v>1145</v>
      </c>
    </row>
    <row r="2773" spans="1:2" x14ac:dyDescent="0.25">
      <c r="A2773" t="s">
        <v>274</v>
      </c>
      <c r="B2773" t="s">
        <v>1157</v>
      </c>
    </row>
    <row r="2774" spans="1:2" x14ac:dyDescent="0.25">
      <c r="A2774" t="s">
        <v>274</v>
      </c>
      <c r="B2774" t="s">
        <v>1158</v>
      </c>
    </row>
    <row r="2775" spans="1:2" x14ac:dyDescent="0.25">
      <c r="A2775" t="s">
        <v>274</v>
      </c>
      <c r="B2775" t="s">
        <v>1159</v>
      </c>
    </row>
    <row r="2776" spans="1:2" x14ac:dyDescent="0.25">
      <c r="A2776" t="s">
        <v>274</v>
      </c>
      <c r="B2776" t="s">
        <v>1160</v>
      </c>
    </row>
    <row r="2777" spans="1:2" x14ac:dyDescent="0.25">
      <c r="A2777" t="s">
        <v>294</v>
      </c>
      <c r="B2777" t="s">
        <v>3158</v>
      </c>
    </row>
    <row r="2778" spans="1:2" x14ac:dyDescent="0.25">
      <c r="A2778" t="s">
        <v>294</v>
      </c>
      <c r="B2778" t="s">
        <v>3145</v>
      </c>
    </row>
    <row r="2779" spans="1:2" x14ac:dyDescent="0.25">
      <c r="A2779" t="s">
        <v>294</v>
      </c>
      <c r="B2779" t="s">
        <v>3146</v>
      </c>
    </row>
    <row r="2780" spans="1:2" x14ac:dyDescent="0.25">
      <c r="A2780" t="s">
        <v>294</v>
      </c>
      <c r="B2780" t="s">
        <v>3147</v>
      </c>
    </row>
    <row r="2781" spans="1:2" x14ac:dyDescent="0.25">
      <c r="A2781" t="s">
        <v>294</v>
      </c>
      <c r="B2781" t="s">
        <v>3148</v>
      </c>
    </row>
    <row r="2782" spans="1:2" x14ac:dyDescent="0.25">
      <c r="A2782" t="s">
        <v>294</v>
      </c>
      <c r="B2782" t="s">
        <v>3149</v>
      </c>
    </row>
    <row r="2783" spans="1:2" x14ac:dyDescent="0.25">
      <c r="A2783" t="s">
        <v>294</v>
      </c>
      <c r="B2783" t="s">
        <v>3150</v>
      </c>
    </row>
    <row r="2784" spans="1:2" x14ac:dyDescent="0.25">
      <c r="A2784" t="s">
        <v>294</v>
      </c>
      <c r="B2784" t="s">
        <v>3151</v>
      </c>
    </row>
    <row r="2785" spans="1:2" x14ac:dyDescent="0.25">
      <c r="A2785" t="s">
        <v>294</v>
      </c>
      <c r="B2785" t="s">
        <v>3152</v>
      </c>
    </row>
    <row r="2786" spans="1:2" x14ac:dyDescent="0.25">
      <c r="A2786" t="s">
        <v>294</v>
      </c>
      <c r="B2786" t="s">
        <v>3153</v>
      </c>
    </row>
    <row r="2787" spans="1:2" x14ac:dyDescent="0.25">
      <c r="A2787" t="s">
        <v>294</v>
      </c>
      <c r="B2787" t="s">
        <v>3154</v>
      </c>
    </row>
    <row r="2788" spans="1:2" x14ac:dyDescent="0.25">
      <c r="A2788" t="s">
        <v>294</v>
      </c>
      <c r="B2788" t="s">
        <v>3155</v>
      </c>
    </row>
    <row r="2789" spans="1:2" x14ac:dyDescent="0.25">
      <c r="A2789" t="s">
        <v>294</v>
      </c>
      <c r="B2789" t="s">
        <v>3156</v>
      </c>
    </row>
    <row r="2790" spans="1:2" x14ac:dyDescent="0.25">
      <c r="A2790" t="s">
        <v>294</v>
      </c>
      <c r="B2790" t="s">
        <v>3157</v>
      </c>
    </row>
    <row r="2791" spans="1:2" x14ac:dyDescent="0.25">
      <c r="A2791" t="s">
        <v>294</v>
      </c>
      <c r="B2791" t="s">
        <v>3158</v>
      </c>
    </row>
    <row r="2792" spans="1:2" x14ac:dyDescent="0.25">
      <c r="A2792" t="s">
        <v>294</v>
      </c>
      <c r="B2792" t="s">
        <v>3147</v>
      </c>
    </row>
    <row r="2793" spans="1:2" x14ac:dyDescent="0.25">
      <c r="A2793" t="s">
        <v>294</v>
      </c>
      <c r="B2793" t="s">
        <v>3145</v>
      </c>
    </row>
    <row r="2794" spans="1:2" x14ac:dyDescent="0.25">
      <c r="A2794" t="s">
        <v>294</v>
      </c>
      <c r="B2794" t="s">
        <v>3146</v>
      </c>
    </row>
    <row r="2795" spans="1:2" x14ac:dyDescent="0.25">
      <c r="A2795" t="s">
        <v>294</v>
      </c>
      <c r="B2795" t="s">
        <v>3159</v>
      </c>
    </row>
    <row r="2796" spans="1:2" x14ac:dyDescent="0.25">
      <c r="A2796" t="s">
        <v>294</v>
      </c>
      <c r="B2796" t="s">
        <v>3160</v>
      </c>
    </row>
    <row r="2797" spans="1:2" x14ac:dyDescent="0.25">
      <c r="A2797" t="s">
        <v>294</v>
      </c>
      <c r="B2797" t="s">
        <v>3161</v>
      </c>
    </row>
    <row r="2798" spans="1:2" x14ac:dyDescent="0.25">
      <c r="A2798" t="s">
        <v>294</v>
      </c>
      <c r="B2798" t="s">
        <v>3162</v>
      </c>
    </row>
    <row r="2799" spans="1:2" x14ac:dyDescent="0.25">
      <c r="A2799" t="s">
        <v>294</v>
      </c>
      <c r="B2799" t="s">
        <v>3163</v>
      </c>
    </row>
    <row r="2800" spans="1:2" x14ac:dyDescent="0.25">
      <c r="A2800" t="s">
        <v>294</v>
      </c>
      <c r="B2800" t="s">
        <v>3164</v>
      </c>
    </row>
    <row r="2801" spans="1:2" x14ac:dyDescent="0.25">
      <c r="A2801" t="s">
        <v>246</v>
      </c>
      <c r="B2801" t="s">
        <v>4369</v>
      </c>
    </row>
    <row r="2802" spans="1:2" x14ac:dyDescent="0.25">
      <c r="A2802" t="s">
        <v>246</v>
      </c>
      <c r="B2802" t="s">
        <v>4370</v>
      </c>
    </row>
    <row r="2803" spans="1:2" x14ac:dyDescent="0.25">
      <c r="A2803" t="s">
        <v>246</v>
      </c>
      <c r="B2803" t="s">
        <v>4371</v>
      </c>
    </row>
    <row r="2804" spans="1:2" x14ac:dyDescent="0.25">
      <c r="A2804" t="s">
        <v>246</v>
      </c>
      <c r="B2804" t="s">
        <v>4372</v>
      </c>
    </row>
    <row r="2805" spans="1:2" x14ac:dyDescent="0.25">
      <c r="A2805" t="s">
        <v>246</v>
      </c>
      <c r="B2805" t="s">
        <v>4373</v>
      </c>
    </row>
    <row r="2806" spans="1:2" x14ac:dyDescent="0.25">
      <c r="A2806" t="s">
        <v>246</v>
      </c>
      <c r="B2806" t="s">
        <v>4608</v>
      </c>
    </row>
    <row r="2807" spans="1:2" x14ac:dyDescent="0.25">
      <c r="A2807" t="s">
        <v>246</v>
      </c>
      <c r="B2807" t="s">
        <v>4374</v>
      </c>
    </row>
    <row r="2808" spans="1:2" x14ac:dyDescent="0.25">
      <c r="A2808" t="s">
        <v>246</v>
      </c>
      <c r="B2808" t="s">
        <v>4375</v>
      </c>
    </row>
    <row r="2809" spans="1:2" x14ac:dyDescent="0.25">
      <c r="A2809" t="s">
        <v>246</v>
      </c>
      <c r="B2809" t="s">
        <v>4376</v>
      </c>
    </row>
    <row r="2810" spans="1:2" x14ac:dyDescent="0.25">
      <c r="A2810" t="s">
        <v>246</v>
      </c>
      <c r="B2810" t="s">
        <v>4377</v>
      </c>
    </row>
    <row r="2811" spans="1:2" x14ac:dyDescent="0.25">
      <c r="A2811" t="s">
        <v>246</v>
      </c>
      <c r="B2811" t="s">
        <v>4378</v>
      </c>
    </row>
    <row r="2812" spans="1:2" x14ac:dyDescent="0.25">
      <c r="A2812" t="s">
        <v>246</v>
      </c>
      <c r="B2812" t="s">
        <v>4379</v>
      </c>
    </row>
    <row r="2813" spans="1:2" x14ac:dyDescent="0.25">
      <c r="A2813" t="s">
        <v>246</v>
      </c>
      <c r="B2813" s="29" t="s">
        <v>4649</v>
      </c>
    </row>
    <row r="2814" spans="1:2" x14ac:dyDescent="0.25">
      <c r="A2814" t="s">
        <v>246</v>
      </c>
      <c r="B2814" t="s">
        <v>4664</v>
      </c>
    </row>
    <row r="2815" spans="1:2" x14ac:dyDescent="0.25">
      <c r="A2815" t="s">
        <v>311</v>
      </c>
      <c r="B2815" t="s">
        <v>4077</v>
      </c>
    </row>
    <row r="2816" spans="1:2" x14ac:dyDescent="0.25">
      <c r="A2816" t="s">
        <v>311</v>
      </c>
      <c r="B2816" t="s">
        <v>3006</v>
      </c>
    </row>
    <row r="2817" spans="1:2" x14ac:dyDescent="0.25">
      <c r="A2817" t="s">
        <v>311</v>
      </c>
      <c r="B2817" t="s">
        <v>3007</v>
      </c>
    </row>
    <row r="2818" spans="1:2" x14ac:dyDescent="0.25">
      <c r="A2818" t="s">
        <v>311</v>
      </c>
      <c r="B2818" t="s">
        <v>3008</v>
      </c>
    </row>
    <row r="2819" spans="1:2" x14ac:dyDescent="0.25">
      <c r="A2819" t="s">
        <v>311</v>
      </c>
      <c r="B2819" t="s">
        <v>1473</v>
      </c>
    </row>
    <row r="2820" spans="1:2" x14ac:dyDescent="0.25">
      <c r="A2820" t="s">
        <v>311</v>
      </c>
      <c r="B2820" t="s">
        <v>1482</v>
      </c>
    </row>
    <row r="2821" spans="1:2" x14ac:dyDescent="0.25">
      <c r="A2821" t="s">
        <v>311</v>
      </c>
      <c r="B2821" t="s">
        <v>1470</v>
      </c>
    </row>
    <row r="2822" spans="1:2" x14ac:dyDescent="0.25">
      <c r="A2822" t="s">
        <v>311</v>
      </c>
      <c r="B2822" t="s">
        <v>1477</v>
      </c>
    </row>
    <row r="2823" spans="1:2" x14ac:dyDescent="0.25">
      <c r="A2823" t="s">
        <v>311</v>
      </c>
      <c r="B2823" t="s">
        <v>1478</v>
      </c>
    </row>
    <row r="2824" spans="1:2" x14ac:dyDescent="0.25">
      <c r="A2824" t="s">
        <v>311</v>
      </c>
      <c r="B2824" t="s">
        <v>3009</v>
      </c>
    </row>
    <row r="2825" spans="1:2" x14ac:dyDescent="0.25">
      <c r="A2825" t="s">
        <v>311</v>
      </c>
      <c r="B2825" t="s">
        <v>1481</v>
      </c>
    </row>
    <row r="2826" spans="1:2" x14ac:dyDescent="0.25">
      <c r="A2826" t="s">
        <v>311</v>
      </c>
      <c r="B2826" t="s">
        <v>1475</v>
      </c>
    </row>
    <row r="2827" spans="1:2" x14ac:dyDescent="0.25">
      <c r="A2827" t="s">
        <v>311</v>
      </c>
      <c r="B2827" t="s">
        <v>1479</v>
      </c>
    </row>
    <row r="2828" spans="1:2" x14ac:dyDescent="0.25">
      <c r="A2828" t="s">
        <v>311</v>
      </c>
      <c r="B2828" t="s">
        <v>1476</v>
      </c>
    </row>
    <row r="2829" spans="1:2" x14ac:dyDescent="0.25">
      <c r="A2829" t="s">
        <v>311</v>
      </c>
      <c r="B2829" t="s">
        <v>1472</v>
      </c>
    </row>
    <row r="2830" spans="1:2" x14ac:dyDescent="0.25">
      <c r="A2830" t="s">
        <v>311</v>
      </c>
      <c r="B2830" t="s">
        <v>3010</v>
      </c>
    </row>
    <row r="2831" spans="1:2" x14ac:dyDescent="0.25">
      <c r="A2831" t="s">
        <v>311</v>
      </c>
      <c r="B2831" t="s">
        <v>1471</v>
      </c>
    </row>
    <row r="2832" spans="1:2" x14ac:dyDescent="0.25">
      <c r="A2832" t="s">
        <v>311</v>
      </c>
      <c r="B2832" t="s">
        <v>1480</v>
      </c>
    </row>
    <row r="2833" spans="1:2" x14ac:dyDescent="0.25">
      <c r="A2833" t="s">
        <v>311</v>
      </c>
      <c r="B2833" t="s">
        <v>1474</v>
      </c>
    </row>
    <row r="2834" spans="1:2" x14ac:dyDescent="0.25">
      <c r="A2834" t="s">
        <v>311</v>
      </c>
      <c r="B2834" t="s">
        <v>3011</v>
      </c>
    </row>
    <row r="2835" spans="1:2" x14ac:dyDescent="0.25">
      <c r="A2835" t="s">
        <v>288</v>
      </c>
      <c r="B2835" t="s">
        <v>4110</v>
      </c>
    </row>
    <row r="2836" spans="1:2" x14ac:dyDescent="0.25">
      <c r="A2836" t="s">
        <v>288</v>
      </c>
      <c r="B2836" t="s">
        <v>1098</v>
      </c>
    </row>
    <row r="2837" spans="1:2" x14ac:dyDescent="0.25">
      <c r="A2837" t="s">
        <v>288</v>
      </c>
      <c r="B2837" t="s">
        <v>630</v>
      </c>
    </row>
    <row r="2838" spans="1:2" x14ac:dyDescent="0.25">
      <c r="A2838" t="s">
        <v>288</v>
      </c>
      <c r="B2838" t="s">
        <v>3852</v>
      </c>
    </row>
    <row r="2839" spans="1:2" x14ac:dyDescent="0.25">
      <c r="A2839" t="s">
        <v>288</v>
      </c>
      <c r="B2839" t="s">
        <v>3853</v>
      </c>
    </row>
    <row r="2840" spans="1:2" x14ac:dyDescent="0.25">
      <c r="A2840" t="s">
        <v>288</v>
      </c>
      <c r="B2840" t="s">
        <v>1214</v>
      </c>
    </row>
    <row r="2841" spans="1:2" x14ac:dyDescent="0.25">
      <c r="A2841" t="s">
        <v>288</v>
      </c>
      <c r="B2841" t="s">
        <v>1020</v>
      </c>
    </row>
    <row r="2842" spans="1:2" x14ac:dyDescent="0.25">
      <c r="A2842" t="s">
        <v>288</v>
      </c>
      <c r="B2842" t="s">
        <v>947</v>
      </c>
    </row>
    <row r="2843" spans="1:2" x14ac:dyDescent="0.25">
      <c r="A2843" t="s">
        <v>288</v>
      </c>
      <c r="B2843" t="s">
        <v>1215</v>
      </c>
    </row>
    <row r="2844" spans="1:2" x14ac:dyDescent="0.25">
      <c r="A2844" t="s">
        <v>288</v>
      </c>
      <c r="B2844" t="s">
        <v>3854</v>
      </c>
    </row>
    <row r="2845" spans="1:2" x14ac:dyDescent="0.25">
      <c r="A2845" t="s">
        <v>288</v>
      </c>
      <c r="B2845" t="s">
        <v>4020</v>
      </c>
    </row>
    <row r="2846" spans="1:2" x14ac:dyDescent="0.25">
      <c r="A2846" t="s">
        <v>288</v>
      </c>
      <c r="B2846" t="s">
        <v>390</v>
      </c>
    </row>
    <row r="2847" spans="1:2" x14ac:dyDescent="0.25">
      <c r="A2847" t="s">
        <v>288</v>
      </c>
      <c r="B2847" t="s">
        <v>4609</v>
      </c>
    </row>
    <row r="2848" spans="1:2" x14ac:dyDescent="0.25">
      <c r="A2848" t="s">
        <v>288</v>
      </c>
      <c r="B2848" t="s">
        <v>3855</v>
      </c>
    </row>
    <row r="2849" spans="1:2" x14ac:dyDescent="0.25">
      <c r="A2849" t="s">
        <v>288</v>
      </c>
      <c r="B2849" t="s">
        <v>3856</v>
      </c>
    </row>
    <row r="2850" spans="1:2" x14ac:dyDescent="0.25">
      <c r="A2850" t="s">
        <v>288</v>
      </c>
      <c r="B2850" t="s">
        <v>3857</v>
      </c>
    </row>
    <row r="2851" spans="1:2" x14ac:dyDescent="0.25">
      <c r="A2851" t="s">
        <v>288</v>
      </c>
      <c r="B2851" t="s">
        <v>3858</v>
      </c>
    </row>
    <row r="2852" spans="1:2" x14ac:dyDescent="0.25">
      <c r="A2852" t="s">
        <v>288</v>
      </c>
      <c r="B2852" t="s">
        <v>629</v>
      </c>
    </row>
    <row r="2853" spans="1:2" x14ac:dyDescent="0.25">
      <c r="A2853" t="s">
        <v>288</v>
      </c>
      <c r="B2853" t="s">
        <v>631</v>
      </c>
    </row>
    <row r="2854" spans="1:2" x14ac:dyDescent="0.25">
      <c r="A2854" t="s">
        <v>288</v>
      </c>
      <c r="B2854" t="s">
        <v>632</v>
      </c>
    </row>
    <row r="2855" spans="1:2" x14ac:dyDescent="0.25">
      <c r="A2855" t="s">
        <v>288</v>
      </c>
      <c r="B2855" t="s">
        <v>628</v>
      </c>
    </row>
    <row r="2856" spans="1:2" x14ac:dyDescent="0.25">
      <c r="A2856" t="s">
        <v>288</v>
      </c>
      <c r="B2856" t="s">
        <v>634</v>
      </c>
    </row>
    <row r="2857" spans="1:2" x14ac:dyDescent="0.25">
      <c r="A2857" t="s">
        <v>288</v>
      </c>
      <c r="B2857" t="s">
        <v>3859</v>
      </c>
    </row>
    <row r="2858" spans="1:2" x14ac:dyDescent="0.25">
      <c r="A2858" t="s">
        <v>288</v>
      </c>
      <c r="B2858" t="s">
        <v>3860</v>
      </c>
    </row>
    <row r="2859" spans="1:2" x14ac:dyDescent="0.25">
      <c r="A2859" t="s">
        <v>288</v>
      </c>
      <c r="B2859" t="s">
        <v>3861</v>
      </c>
    </row>
    <row r="2860" spans="1:2" x14ac:dyDescent="0.25">
      <c r="A2860" t="s">
        <v>288</v>
      </c>
      <c r="B2860" t="s">
        <v>3862</v>
      </c>
    </row>
    <row r="2861" spans="1:2" x14ac:dyDescent="0.25">
      <c r="A2861" t="s">
        <v>288</v>
      </c>
      <c r="B2861" t="s">
        <v>3863</v>
      </c>
    </row>
    <row r="2862" spans="1:2" x14ac:dyDescent="0.25">
      <c r="A2862" t="s">
        <v>282</v>
      </c>
      <c r="B2862" t="s">
        <v>4108</v>
      </c>
    </row>
    <row r="2863" spans="1:2" x14ac:dyDescent="0.25">
      <c r="A2863" t="s">
        <v>282</v>
      </c>
      <c r="B2863" t="s">
        <v>3752</v>
      </c>
    </row>
    <row r="2864" spans="1:2" x14ac:dyDescent="0.25">
      <c r="A2864" t="s">
        <v>282</v>
      </c>
      <c r="B2864" t="s">
        <v>1376</v>
      </c>
    </row>
    <row r="2865" spans="1:2" x14ac:dyDescent="0.25">
      <c r="A2865" t="s">
        <v>282</v>
      </c>
      <c r="B2865" t="s">
        <v>3753</v>
      </c>
    </row>
    <row r="2866" spans="1:2" x14ac:dyDescent="0.25">
      <c r="A2866" t="s">
        <v>282</v>
      </c>
      <c r="B2866" t="s">
        <v>3754</v>
      </c>
    </row>
    <row r="2867" spans="1:2" x14ac:dyDescent="0.25">
      <c r="A2867" t="s">
        <v>282</v>
      </c>
      <c r="B2867" t="s">
        <v>3755</v>
      </c>
    </row>
    <row r="2868" spans="1:2" x14ac:dyDescent="0.25">
      <c r="A2868" t="s">
        <v>282</v>
      </c>
      <c r="B2868" t="s">
        <v>3756</v>
      </c>
    </row>
    <row r="2869" spans="1:2" x14ac:dyDescent="0.25">
      <c r="A2869" t="s">
        <v>282</v>
      </c>
      <c r="B2869" t="s">
        <v>3757</v>
      </c>
    </row>
    <row r="2870" spans="1:2" x14ac:dyDescent="0.25">
      <c r="A2870" t="s">
        <v>282</v>
      </c>
      <c r="B2870" t="s">
        <v>3758</v>
      </c>
    </row>
    <row r="2871" spans="1:2" x14ac:dyDescent="0.25">
      <c r="A2871" t="s">
        <v>282</v>
      </c>
      <c r="B2871" t="s">
        <v>3759</v>
      </c>
    </row>
    <row r="2872" spans="1:2" x14ac:dyDescent="0.25">
      <c r="A2872" t="s">
        <v>282</v>
      </c>
      <c r="B2872" t="s">
        <v>3760</v>
      </c>
    </row>
    <row r="2873" spans="1:2" x14ac:dyDescent="0.25">
      <c r="A2873" t="s">
        <v>282</v>
      </c>
      <c r="B2873" t="s">
        <v>3761</v>
      </c>
    </row>
    <row r="2874" spans="1:2" x14ac:dyDescent="0.25">
      <c r="A2874" t="s">
        <v>282</v>
      </c>
      <c r="B2874" t="s">
        <v>4654</v>
      </c>
    </row>
    <row r="2875" spans="1:2" x14ac:dyDescent="0.25">
      <c r="A2875" t="s">
        <v>282</v>
      </c>
      <c r="B2875" t="s">
        <v>3762</v>
      </c>
    </row>
    <row r="2876" spans="1:2" x14ac:dyDescent="0.25">
      <c r="A2876" t="s">
        <v>282</v>
      </c>
      <c r="B2876" t="s">
        <v>3763</v>
      </c>
    </row>
    <row r="2877" spans="1:2" x14ac:dyDescent="0.25">
      <c r="A2877" t="s">
        <v>282</v>
      </c>
      <c r="B2877" t="s">
        <v>3764</v>
      </c>
    </row>
    <row r="2878" spans="1:2" x14ac:dyDescent="0.25">
      <c r="A2878" t="s">
        <v>282</v>
      </c>
      <c r="B2878" t="s">
        <v>3765</v>
      </c>
    </row>
    <row r="2879" spans="1:2" x14ac:dyDescent="0.25">
      <c r="A2879" t="s">
        <v>282</v>
      </c>
      <c r="B2879" t="s">
        <v>3766</v>
      </c>
    </row>
    <row r="2880" spans="1:2" x14ac:dyDescent="0.25">
      <c r="A2880" t="s">
        <v>282</v>
      </c>
      <c r="B2880" t="s">
        <v>3767</v>
      </c>
    </row>
    <row r="2881" spans="1:2" x14ac:dyDescent="0.25">
      <c r="A2881" t="s">
        <v>282</v>
      </c>
      <c r="B2881" t="s">
        <v>3768</v>
      </c>
    </row>
    <row r="2882" spans="1:2" x14ac:dyDescent="0.25">
      <c r="A2882" t="s">
        <v>313</v>
      </c>
      <c r="B2882" t="s">
        <v>4113</v>
      </c>
    </row>
    <row r="2883" spans="1:2" x14ac:dyDescent="0.25">
      <c r="A2883" t="s">
        <v>313</v>
      </c>
      <c r="B2883" t="s">
        <v>940</v>
      </c>
    </row>
    <row r="2884" spans="1:2" x14ac:dyDescent="0.25">
      <c r="A2884" t="s">
        <v>313</v>
      </c>
      <c r="B2884" t="s">
        <v>3892</v>
      </c>
    </row>
    <row r="2885" spans="1:2" x14ac:dyDescent="0.25">
      <c r="A2885" t="s">
        <v>313</v>
      </c>
      <c r="B2885" t="s">
        <v>3893</v>
      </c>
    </row>
    <row r="2886" spans="1:2" x14ac:dyDescent="0.25">
      <c r="A2886" t="s">
        <v>313</v>
      </c>
      <c r="B2886" t="s">
        <v>3894</v>
      </c>
    </row>
    <row r="2887" spans="1:2" x14ac:dyDescent="0.25">
      <c r="A2887" t="s">
        <v>313</v>
      </c>
      <c r="B2887" t="s">
        <v>3895</v>
      </c>
    </row>
    <row r="2888" spans="1:2" x14ac:dyDescent="0.25">
      <c r="A2888" t="s">
        <v>313</v>
      </c>
      <c r="B2888" t="s">
        <v>3896</v>
      </c>
    </row>
    <row r="2889" spans="1:2" x14ac:dyDescent="0.25">
      <c r="A2889" t="s">
        <v>313</v>
      </c>
      <c r="B2889" t="s">
        <v>3897</v>
      </c>
    </row>
    <row r="2890" spans="1:2" x14ac:dyDescent="0.25">
      <c r="A2890" t="s">
        <v>313</v>
      </c>
      <c r="B2890" t="s">
        <v>3898</v>
      </c>
    </row>
    <row r="2891" spans="1:2" x14ac:dyDescent="0.25">
      <c r="A2891" t="s">
        <v>313</v>
      </c>
      <c r="B2891" t="s">
        <v>3899</v>
      </c>
    </row>
    <row r="2892" spans="1:2" x14ac:dyDescent="0.25">
      <c r="A2892" t="s">
        <v>313</v>
      </c>
      <c r="B2892" t="s">
        <v>3900</v>
      </c>
    </row>
    <row r="2893" spans="1:2" x14ac:dyDescent="0.25">
      <c r="A2893" t="s">
        <v>313</v>
      </c>
      <c r="B2893" t="s">
        <v>3901</v>
      </c>
    </row>
    <row r="2894" spans="1:2" x14ac:dyDescent="0.25">
      <c r="A2894" t="s">
        <v>313</v>
      </c>
      <c r="B2894" t="s">
        <v>4380</v>
      </c>
    </row>
    <row r="2895" spans="1:2" x14ac:dyDescent="0.25">
      <c r="A2895" t="s">
        <v>313</v>
      </c>
      <c r="B2895" t="s">
        <v>3902</v>
      </c>
    </row>
    <row r="2896" spans="1:2" x14ac:dyDescent="0.25">
      <c r="A2896" t="s">
        <v>313</v>
      </c>
      <c r="B2896" t="s">
        <v>4381</v>
      </c>
    </row>
    <row r="2897" spans="1:2" x14ac:dyDescent="0.25">
      <c r="A2897" t="s">
        <v>313</v>
      </c>
      <c r="B2897" t="s">
        <v>3903</v>
      </c>
    </row>
    <row r="2898" spans="1:2" x14ac:dyDescent="0.25">
      <c r="A2898" t="s">
        <v>313</v>
      </c>
      <c r="B2898" t="s">
        <v>3904</v>
      </c>
    </row>
    <row r="2899" spans="1:2" x14ac:dyDescent="0.25">
      <c r="A2899" t="s">
        <v>313</v>
      </c>
      <c r="B2899" t="s">
        <v>3905</v>
      </c>
    </row>
    <row r="2900" spans="1:2" x14ac:dyDescent="0.25">
      <c r="A2900" t="s">
        <v>313</v>
      </c>
      <c r="B2900" t="s">
        <v>3906</v>
      </c>
    </row>
    <row r="2901" spans="1:2" x14ac:dyDescent="0.25">
      <c r="A2901" t="s">
        <v>313</v>
      </c>
      <c r="B2901" t="s">
        <v>3907</v>
      </c>
    </row>
    <row r="2902" spans="1:2" x14ac:dyDescent="0.25">
      <c r="A2902" t="s">
        <v>313</v>
      </c>
      <c r="B2902" t="s">
        <v>3908</v>
      </c>
    </row>
    <row r="2903" spans="1:2" x14ac:dyDescent="0.25">
      <c r="A2903" t="s">
        <v>313</v>
      </c>
      <c r="B2903" t="s">
        <v>3909</v>
      </c>
    </row>
    <row r="2904" spans="1:2" x14ac:dyDescent="0.25">
      <c r="A2904" t="s">
        <v>324</v>
      </c>
      <c r="B2904" t="s">
        <v>4034</v>
      </c>
    </row>
    <row r="2905" spans="1:2" x14ac:dyDescent="0.25">
      <c r="A2905" t="s">
        <v>324</v>
      </c>
      <c r="B2905" t="s">
        <v>1908</v>
      </c>
    </row>
    <row r="2906" spans="1:2" x14ac:dyDescent="0.25">
      <c r="A2906" t="s">
        <v>324</v>
      </c>
      <c r="B2906" t="s">
        <v>1909</v>
      </c>
    </row>
    <row r="2907" spans="1:2" x14ac:dyDescent="0.25">
      <c r="A2907" t="s">
        <v>324</v>
      </c>
      <c r="B2907" t="s">
        <v>1198</v>
      </c>
    </row>
    <row r="2908" spans="1:2" x14ac:dyDescent="0.25">
      <c r="A2908" t="s">
        <v>324</v>
      </c>
      <c r="B2908" t="s">
        <v>1910</v>
      </c>
    </row>
    <row r="2909" spans="1:2" x14ac:dyDescent="0.25">
      <c r="A2909" t="s">
        <v>324</v>
      </c>
      <c r="B2909" t="s">
        <v>4619</v>
      </c>
    </row>
    <row r="2910" spans="1:2" x14ac:dyDescent="0.25">
      <c r="A2910" t="s">
        <v>324</v>
      </c>
      <c r="B2910" t="s">
        <v>1017</v>
      </c>
    </row>
    <row r="2911" spans="1:2" x14ac:dyDescent="0.25">
      <c r="A2911" t="s">
        <v>324</v>
      </c>
      <c r="B2911" t="s">
        <v>1007</v>
      </c>
    </row>
    <row r="2912" spans="1:2" x14ac:dyDescent="0.25">
      <c r="A2912" t="s">
        <v>324</v>
      </c>
      <c r="B2912" t="s">
        <v>1911</v>
      </c>
    </row>
    <row r="2913" spans="1:2" x14ac:dyDescent="0.25">
      <c r="A2913" t="s">
        <v>324</v>
      </c>
      <c r="B2913" t="s">
        <v>1912</v>
      </c>
    </row>
    <row r="2914" spans="1:2" x14ac:dyDescent="0.25">
      <c r="A2914" t="s">
        <v>324</v>
      </c>
      <c r="B2914" t="s">
        <v>1913</v>
      </c>
    </row>
    <row r="2915" spans="1:2" x14ac:dyDescent="0.25">
      <c r="A2915" t="s">
        <v>324</v>
      </c>
      <c r="B2915" t="s">
        <v>1006</v>
      </c>
    </row>
    <row r="2916" spans="1:2" x14ac:dyDescent="0.25">
      <c r="A2916" t="s">
        <v>324</v>
      </c>
      <c r="B2916" t="s">
        <v>1014</v>
      </c>
    </row>
    <row r="2917" spans="1:2" x14ac:dyDescent="0.25">
      <c r="A2917" t="s">
        <v>324</v>
      </c>
      <c r="B2917" t="s">
        <v>1015</v>
      </c>
    </row>
    <row r="2918" spans="1:2" x14ac:dyDescent="0.25">
      <c r="A2918" t="s">
        <v>324</v>
      </c>
      <c r="B2918" t="s">
        <v>1016</v>
      </c>
    </row>
    <row r="2919" spans="1:2" x14ac:dyDescent="0.25">
      <c r="A2919" t="s">
        <v>324</v>
      </c>
      <c r="B2919" t="s">
        <v>1008</v>
      </c>
    </row>
    <row r="2920" spans="1:2" x14ac:dyDescent="0.25">
      <c r="A2920" t="s">
        <v>324</v>
      </c>
      <c r="B2920" t="s">
        <v>1914</v>
      </c>
    </row>
    <row r="2921" spans="1:2" x14ac:dyDescent="0.25">
      <c r="A2921" t="s">
        <v>324</v>
      </c>
      <c r="B2921" t="s">
        <v>1009</v>
      </c>
    </row>
    <row r="2922" spans="1:2" x14ac:dyDescent="0.25">
      <c r="A2922" t="s">
        <v>324</v>
      </c>
      <c r="B2922" t="s">
        <v>1915</v>
      </c>
    </row>
    <row r="2923" spans="1:2" x14ac:dyDescent="0.25">
      <c r="A2923" t="s">
        <v>324</v>
      </c>
      <c r="B2923" t="s">
        <v>1916</v>
      </c>
    </row>
    <row r="2924" spans="1:2" x14ac:dyDescent="0.25">
      <c r="A2924" t="s">
        <v>324</v>
      </c>
      <c r="B2924" t="s">
        <v>1011</v>
      </c>
    </row>
    <row r="2925" spans="1:2" x14ac:dyDescent="0.25">
      <c r="A2925" t="s">
        <v>324</v>
      </c>
      <c r="B2925" t="s">
        <v>1917</v>
      </c>
    </row>
    <row r="2926" spans="1:2" x14ac:dyDescent="0.25">
      <c r="A2926" t="s">
        <v>324</v>
      </c>
      <c r="B2926" t="s">
        <v>1918</v>
      </c>
    </row>
    <row r="2927" spans="1:2" x14ac:dyDescent="0.25">
      <c r="A2927" t="s">
        <v>324</v>
      </c>
      <c r="B2927" t="s">
        <v>1919</v>
      </c>
    </row>
    <row r="2928" spans="1:2" x14ac:dyDescent="0.25">
      <c r="A2928" t="s">
        <v>324</v>
      </c>
      <c r="B2928" t="s">
        <v>1012</v>
      </c>
    </row>
    <row r="2929" spans="1:2" x14ac:dyDescent="0.25">
      <c r="A2929" t="s">
        <v>325</v>
      </c>
      <c r="B2929" t="s">
        <v>775</v>
      </c>
    </row>
    <row r="2930" spans="1:2" x14ac:dyDescent="0.25">
      <c r="A2930" t="s">
        <v>325</v>
      </c>
      <c r="B2930" t="s">
        <v>2011</v>
      </c>
    </row>
    <row r="2931" spans="1:2" x14ac:dyDescent="0.25">
      <c r="A2931" t="s">
        <v>325</v>
      </c>
      <c r="B2931" t="s">
        <v>2012</v>
      </c>
    </row>
    <row r="2932" spans="1:2" x14ac:dyDescent="0.25">
      <c r="A2932" t="s">
        <v>325</v>
      </c>
      <c r="B2932" t="s">
        <v>2013</v>
      </c>
    </row>
    <row r="2933" spans="1:2" x14ac:dyDescent="0.25">
      <c r="A2933" t="s">
        <v>325</v>
      </c>
      <c r="B2933" t="s">
        <v>2014</v>
      </c>
    </row>
    <row r="2934" spans="1:2" x14ac:dyDescent="0.25">
      <c r="A2934" t="s">
        <v>325</v>
      </c>
      <c r="B2934" t="s">
        <v>2015</v>
      </c>
    </row>
    <row r="2935" spans="1:2" x14ac:dyDescent="0.25">
      <c r="A2935" t="s">
        <v>325</v>
      </c>
      <c r="B2935" t="s">
        <v>2016</v>
      </c>
    </row>
    <row r="2936" spans="1:2" x14ac:dyDescent="0.25">
      <c r="A2936" t="s">
        <v>325</v>
      </c>
      <c r="B2936" t="s">
        <v>2017</v>
      </c>
    </row>
    <row r="2937" spans="1:2" x14ac:dyDescent="0.25">
      <c r="A2937" t="s">
        <v>325</v>
      </c>
      <c r="B2937" t="s">
        <v>2018</v>
      </c>
    </row>
    <row r="2938" spans="1:2" x14ac:dyDescent="0.25">
      <c r="A2938" t="s">
        <v>325</v>
      </c>
      <c r="B2938" t="s">
        <v>1161</v>
      </c>
    </row>
    <row r="2939" spans="1:2" x14ac:dyDescent="0.25">
      <c r="A2939" t="s">
        <v>325</v>
      </c>
      <c r="B2939" t="s">
        <v>1162</v>
      </c>
    </row>
    <row r="2940" spans="1:2" x14ac:dyDescent="0.25">
      <c r="A2940" t="s">
        <v>325</v>
      </c>
      <c r="B2940" t="s">
        <v>1163</v>
      </c>
    </row>
    <row r="2941" spans="1:2" x14ac:dyDescent="0.25">
      <c r="A2941" t="s">
        <v>325</v>
      </c>
      <c r="B2941" t="s">
        <v>1164</v>
      </c>
    </row>
    <row r="2942" spans="1:2" x14ac:dyDescent="0.25">
      <c r="A2942" t="s">
        <v>325</v>
      </c>
      <c r="B2942" t="s">
        <v>1165</v>
      </c>
    </row>
    <row r="2943" spans="1:2" x14ac:dyDescent="0.25">
      <c r="A2943" t="s">
        <v>325</v>
      </c>
      <c r="B2943" t="s">
        <v>1166</v>
      </c>
    </row>
    <row r="2944" spans="1:2" x14ac:dyDescent="0.25">
      <c r="A2944" t="s">
        <v>325</v>
      </c>
      <c r="B2944" t="s">
        <v>1167</v>
      </c>
    </row>
    <row r="2945" spans="1:2" x14ac:dyDescent="0.25">
      <c r="A2945" t="s">
        <v>325</v>
      </c>
      <c r="B2945" t="s">
        <v>1168</v>
      </c>
    </row>
    <row r="2946" spans="1:2" x14ac:dyDescent="0.25">
      <c r="A2946" t="s">
        <v>325</v>
      </c>
      <c r="B2946" t="s">
        <v>1169</v>
      </c>
    </row>
    <row r="2947" spans="1:2" x14ac:dyDescent="0.25">
      <c r="A2947" t="s">
        <v>325</v>
      </c>
      <c r="B2947" t="s">
        <v>1170</v>
      </c>
    </row>
    <row r="2948" spans="1:2" x14ac:dyDescent="0.25">
      <c r="A2948" t="s">
        <v>325</v>
      </c>
      <c r="B2948" t="s">
        <v>1171</v>
      </c>
    </row>
    <row r="2949" spans="1:2" x14ac:dyDescent="0.25">
      <c r="A2949" t="s">
        <v>325</v>
      </c>
      <c r="B2949" t="s">
        <v>1172</v>
      </c>
    </row>
    <row r="2950" spans="1:2" x14ac:dyDescent="0.25">
      <c r="A2950" t="s">
        <v>325</v>
      </c>
      <c r="B2950" t="s">
        <v>1173</v>
      </c>
    </row>
    <row r="2951" spans="1:2" x14ac:dyDescent="0.25">
      <c r="A2951" t="s">
        <v>325</v>
      </c>
      <c r="B2951" t="s">
        <v>1174</v>
      </c>
    </row>
    <row r="2952" spans="1:2" x14ac:dyDescent="0.25">
      <c r="A2952" t="s">
        <v>325</v>
      </c>
      <c r="B2952" t="s">
        <v>1177</v>
      </c>
    </row>
    <row r="2953" spans="1:2" x14ac:dyDescent="0.25">
      <c r="A2953" t="s">
        <v>325</v>
      </c>
      <c r="B2953" t="s">
        <v>1175</v>
      </c>
    </row>
    <row r="2954" spans="1:2" x14ac:dyDescent="0.25">
      <c r="A2954" t="s">
        <v>325</v>
      </c>
      <c r="B2954" t="s">
        <v>1176</v>
      </c>
    </row>
    <row r="2955" spans="1:2" x14ac:dyDescent="0.25">
      <c r="A2955" t="s">
        <v>325</v>
      </c>
      <c r="B2955" t="s">
        <v>4610</v>
      </c>
    </row>
    <row r="2956" spans="1:2" x14ac:dyDescent="0.25">
      <c r="A2956" t="s">
        <v>330</v>
      </c>
      <c r="B2956" t="s">
        <v>1039</v>
      </c>
    </row>
    <row r="2957" spans="1:2" x14ac:dyDescent="0.25">
      <c r="A2957" t="s">
        <v>330</v>
      </c>
      <c r="B2957" t="s">
        <v>2875</v>
      </c>
    </row>
    <row r="2958" spans="1:2" x14ac:dyDescent="0.25">
      <c r="A2958" t="s">
        <v>330</v>
      </c>
      <c r="B2958" t="s">
        <v>2876</v>
      </c>
    </row>
    <row r="2959" spans="1:2" x14ac:dyDescent="0.25">
      <c r="A2959" t="s">
        <v>330</v>
      </c>
      <c r="B2959" t="s">
        <v>1259</v>
      </c>
    </row>
    <row r="2960" spans="1:2" x14ac:dyDescent="0.25">
      <c r="A2960" t="s">
        <v>330</v>
      </c>
      <c r="B2960" t="s">
        <v>1287</v>
      </c>
    </row>
    <row r="2961" spans="1:2" x14ac:dyDescent="0.25">
      <c r="A2961" t="s">
        <v>330</v>
      </c>
      <c r="B2961" t="s">
        <v>2877</v>
      </c>
    </row>
    <row r="2962" spans="1:2" x14ac:dyDescent="0.25">
      <c r="A2962" t="s">
        <v>330</v>
      </c>
      <c r="B2962" t="s">
        <v>2878</v>
      </c>
    </row>
    <row r="2963" spans="1:2" x14ac:dyDescent="0.25">
      <c r="A2963" t="s">
        <v>330</v>
      </c>
      <c r="B2963" t="s">
        <v>2879</v>
      </c>
    </row>
    <row r="2964" spans="1:2" x14ac:dyDescent="0.25">
      <c r="A2964" t="s">
        <v>330</v>
      </c>
      <c r="B2964" t="s">
        <v>2880</v>
      </c>
    </row>
    <row r="2965" spans="1:2" x14ac:dyDescent="0.25">
      <c r="A2965" t="s">
        <v>330</v>
      </c>
      <c r="B2965" t="s">
        <v>2881</v>
      </c>
    </row>
    <row r="2966" spans="1:2" x14ac:dyDescent="0.25">
      <c r="A2966" t="s">
        <v>330</v>
      </c>
      <c r="B2966" t="s">
        <v>2882</v>
      </c>
    </row>
    <row r="2967" spans="1:2" x14ac:dyDescent="0.25">
      <c r="A2967" t="s">
        <v>330</v>
      </c>
      <c r="B2967" t="s">
        <v>2883</v>
      </c>
    </row>
    <row r="2968" spans="1:2" x14ac:dyDescent="0.25">
      <c r="A2968" t="s">
        <v>330</v>
      </c>
      <c r="B2968" t="s">
        <v>2884</v>
      </c>
    </row>
    <row r="2969" spans="1:2" x14ac:dyDescent="0.25">
      <c r="A2969" t="s">
        <v>330</v>
      </c>
      <c r="B2969" t="s">
        <v>2885</v>
      </c>
    </row>
    <row r="2970" spans="1:2" x14ac:dyDescent="0.25">
      <c r="A2970" t="s">
        <v>330</v>
      </c>
      <c r="B2970" t="s">
        <v>2886</v>
      </c>
    </row>
    <row r="2971" spans="1:2" x14ac:dyDescent="0.25">
      <c r="A2971" t="s">
        <v>330</v>
      </c>
      <c r="B2971" t="s">
        <v>2887</v>
      </c>
    </row>
    <row r="2972" spans="1:2" x14ac:dyDescent="0.25">
      <c r="A2972" t="s">
        <v>330</v>
      </c>
      <c r="B2972" t="s">
        <v>2888</v>
      </c>
    </row>
    <row r="2973" spans="1:2" x14ac:dyDescent="0.25">
      <c r="A2973" t="s">
        <v>330</v>
      </c>
      <c r="B2973" t="s">
        <v>2889</v>
      </c>
    </row>
    <row r="2974" spans="1:2" x14ac:dyDescent="0.25">
      <c r="A2974" t="s">
        <v>330</v>
      </c>
      <c r="B2974" t="s">
        <v>2890</v>
      </c>
    </row>
    <row r="2975" spans="1:2" x14ac:dyDescent="0.25">
      <c r="A2975" t="s">
        <v>330</v>
      </c>
      <c r="B2975" t="s">
        <v>2891</v>
      </c>
    </row>
    <row r="2976" spans="1:2" x14ac:dyDescent="0.25">
      <c r="A2976" t="s">
        <v>307</v>
      </c>
      <c r="B2976" t="s">
        <v>4021</v>
      </c>
    </row>
    <row r="2977" spans="1:2" x14ac:dyDescent="0.25">
      <c r="A2977" t="s">
        <v>307</v>
      </c>
      <c r="B2977" t="s">
        <v>1628</v>
      </c>
    </row>
    <row r="2978" spans="1:2" x14ac:dyDescent="0.25">
      <c r="A2978" t="s">
        <v>307</v>
      </c>
      <c r="B2978" t="s">
        <v>1629</v>
      </c>
    </row>
    <row r="2979" spans="1:2" x14ac:dyDescent="0.25">
      <c r="A2979" t="s">
        <v>307</v>
      </c>
      <c r="B2979" t="s">
        <v>1398</v>
      </c>
    </row>
    <row r="2980" spans="1:2" x14ac:dyDescent="0.25">
      <c r="A2980" t="s">
        <v>307</v>
      </c>
      <c r="B2980" t="s">
        <v>832</v>
      </c>
    </row>
    <row r="2981" spans="1:2" x14ac:dyDescent="0.25">
      <c r="A2981" t="s">
        <v>307</v>
      </c>
      <c r="B2981" t="s">
        <v>837</v>
      </c>
    </row>
    <row r="2982" spans="1:2" x14ac:dyDescent="0.25">
      <c r="A2982" t="s">
        <v>307</v>
      </c>
      <c r="B2982" t="s">
        <v>840</v>
      </c>
    </row>
    <row r="2983" spans="1:2" x14ac:dyDescent="0.25">
      <c r="A2983" t="s">
        <v>307</v>
      </c>
      <c r="B2983" t="s">
        <v>839</v>
      </c>
    </row>
    <row r="2984" spans="1:2" x14ac:dyDescent="0.25">
      <c r="A2984" t="s">
        <v>307</v>
      </c>
      <c r="B2984" t="s">
        <v>838</v>
      </c>
    </row>
    <row r="2985" spans="1:2" x14ac:dyDescent="0.25">
      <c r="A2985" t="s">
        <v>307</v>
      </c>
      <c r="B2985" t="s">
        <v>833</v>
      </c>
    </row>
    <row r="2986" spans="1:2" x14ac:dyDescent="0.25">
      <c r="A2986" t="s">
        <v>307</v>
      </c>
      <c r="B2986" t="s">
        <v>834</v>
      </c>
    </row>
    <row r="2987" spans="1:2" x14ac:dyDescent="0.25">
      <c r="A2987" t="s">
        <v>307</v>
      </c>
      <c r="B2987" t="s">
        <v>829</v>
      </c>
    </row>
    <row r="2988" spans="1:2" x14ac:dyDescent="0.25">
      <c r="A2988" t="s">
        <v>307</v>
      </c>
      <c r="B2988" t="s">
        <v>1630</v>
      </c>
    </row>
    <row r="2989" spans="1:2" x14ac:dyDescent="0.25">
      <c r="A2989" t="s">
        <v>307</v>
      </c>
      <c r="B2989" t="s">
        <v>835</v>
      </c>
    </row>
    <row r="2990" spans="1:2" x14ac:dyDescent="0.25">
      <c r="A2990" t="s">
        <v>307</v>
      </c>
      <c r="B2990" t="s">
        <v>1631</v>
      </c>
    </row>
    <row r="2991" spans="1:2" x14ac:dyDescent="0.25">
      <c r="A2991" t="s">
        <v>307</v>
      </c>
      <c r="B2991" t="s">
        <v>831</v>
      </c>
    </row>
    <row r="2992" spans="1:2" x14ac:dyDescent="0.25">
      <c r="A2992" t="s">
        <v>307</v>
      </c>
      <c r="B2992" t="s">
        <v>1632</v>
      </c>
    </row>
    <row r="2993" spans="1:2" x14ac:dyDescent="0.25">
      <c r="A2993" t="s">
        <v>307</v>
      </c>
      <c r="B2993" t="s">
        <v>4642</v>
      </c>
    </row>
    <row r="2994" spans="1:2" x14ac:dyDescent="0.25">
      <c r="A2994" t="s">
        <v>338</v>
      </c>
      <c r="B2994" t="s">
        <v>4038</v>
      </c>
    </row>
    <row r="2995" spans="1:2" x14ac:dyDescent="0.25">
      <c r="A2995" t="s">
        <v>338</v>
      </c>
      <c r="B2995" t="s">
        <v>798</v>
      </c>
    </row>
    <row r="2996" spans="1:2" x14ac:dyDescent="0.25">
      <c r="A2996" t="s">
        <v>338</v>
      </c>
      <c r="B2996" t="s">
        <v>913</v>
      </c>
    </row>
    <row r="2997" spans="1:2" x14ac:dyDescent="0.25">
      <c r="A2997" t="s">
        <v>338</v>
      </c>
      <c r="B2997" t="s">
        <v>4611</v>
      </c>
    </row>
    <row r="2998" spans="1:2" x14ac:dyDescent="0.25">
      <c r="A2998" t="s">
        <v>338</v>
      </c>
      <c r="B2998" t="s">
        <v>1999</v>
      </c>
    </row>
    <row r="2999" spans="1:2" x14ac:dyDescent="0.25">
      <c r="A2999" t="s">
        <v>338</v>
      </c>
      <c r="B2999" t="s">
        <v>403</v>
      </c>
    </row>
    <row r="3000" spans="1:2" x14ac:dyDescent="0.25">
      <c r="A3000" t="s">
        <v>338</v>
      </c>
      <c r="B3000" t="s">
        <v>2000</v>
      </c>
    </row>
    <row r="3001" spans="1:2" x14ac:dyDescent="0.25">
      <c r="A3001" t="s">
        <v>338</v>
      </c>
      <c r="B3001" t="s">
        <v>1385</v>
      </c>
    </row>
    <row r="3002" spans="1:2" x14ac:dyDescent="0.25">
      <c r="A3002" t="s">
        <v>338</v>
      </c>
      <c r="B3002" t="s">
        <v>2001</v>
      </c>
    </row>
    <row r="3003" spans="1:2" x14ac:dyDescent="0.25">
      <c r="A3003" t="s">
        <v>338</v>
      </c>
      <c r="B3003" t="s">
        <v>2002</v>
      </c>
    </row>
    <row r="3004" spans="1:2" x14ac:dyDescent="0.25">
      <c r="A3004" t="s">
        <v>338</v>
      </c>
      <c r="B3004" t="s">
        <v>2003</v>
      </c>
    </row>
    <row r="3005" spans="1:2" x14ac:dyDescent="0.25">
      <c r="A3005" t="s">
        <v>338</v>
      </c>
      <c r="B3005" t="s">
        <v>847</v>
      </c>
    </row>
    <row r="3006" spans="1:2" x14ac:dyDescent="0.25">
      <c r="A3006" t="s">
        <v>338</v>
      </c>
      <c r="B3006" t="s">
        <v>848</v>
      </c>
    </row>
    <row r="3007" spans="1:2" x14ac:dyDescent="0.25">
      <c r="A3007" t="s">
        <v>338</v>
      </c>
      <c r="B3007" t="s">
        <v>849</v>
      </c>
    </row>
    <row r="3008" spans="1:2" x14ac:dyDescent="0.25">
      <c r="A3008" t="s">
        <v>338</v>
      </c>
      <c r="B3008" t="s">
        <v>862</v>
      </c>
    </row>
    <row r="3009" spans="1:2" x14ac:dyDescent="0.25">
      <c r="A3009" t="s">
        <v>338</v>
      </c>
      <c r="B3009" t="s">
        <v>4612</v>
      </c>
    </row>
    <row r="3010" spans="1:2" x14ac:dyDescent="0.25">
      <c r="A3010" t="s">
        <v>338</v>
      </c>
      <c r="B3010" t="s">
        <v>845</v>
      </c>
    </row>
    <row r="3011" spans="1:2" x14ac:dyDescent="0.25">
      <c r="A3011" t="s">
        <v>338</v>
      </c>
      <c r="B3011" t="s">
        <v>863</v>
      </c>
    </row>
    <row r="3012" spans="1:2" x14ac:dyDescent="0.25">
      <c r="A3012" t="s">
        <v>338</v>
      </c>
      <c r="B3012" t="s">
        <v>851</v>
      </c>
    </row>
    <row r="3013" spans="1:2" x14ac:dyDescent="0.25">
      <c r="A3013" t="s">
        <v>338</v>
      </c>
      <c r="B3013" t="s">
        <v>864</v>
      </c>
    </row>
    <row r="3014" spans="1:2" x14ac:dyDescent="0.25">
      <c r="A3014" t="s">
        <v>338</v>
      </c>
      <c r="B3014" t="s">
        <v>852</v>
      </c>
    </row>
    <row r="3015" spans="1:2" x14ac:dyDescent="0.25">
      <c r="A3015" t="s">
        <v>338</v>
      </c>
      <c r="B3015" t="s">
        <v>844</v>
      </c>
    </row>
    <row r="3016" spans="1:2" x14ac:dyDescent="0.25">
      <c r="A3016" t="s">
        <v>338</v>
      </c>
      <c r="B3016" t="s">
        <v>865</v>
      </c>
    </row>
    <row r="3017" spans="1:2" x14ac:dyDescent="0.25">
      <c r="A3017" t="s">
        <v>338</v>
      </c>
      <c r="B3017" t="s">
        <v>866</v>
      </c>
    </row>
    <row r="3018" spans="1:2" x14ac:dyDescent="0.25">
      <c r="A3018" t="s">
        <v>338</v>
      </c>
      <c r="B3018" t="s">
        <v>867</v>
      </c>
    </row>
    <row r="3019" spans="1:2" x14ac:dyDescent="0.25">
      <c r="A3019" t="s">
        <v>338</v>
      </c>
      <c r="B3019" t="s">
        <v>868</v>
      </c>
    </row>
    <row r="3020" spans="1:2" x14ac:dyDescent="0.25">
      <c r="A3020" t="s">
        <v>338</v>
      </c>
      <c r="B3020" t="s">
        <v>2004</v>
      </c>
    </row>
    <row r="3021" spans="1:2" x14ac:dyDescent="0.25">
      <c r="A3021" t="s">
        <v>338</v>
      </c>
      <c r="B3021" t="s">
        <v>853</v>
      </c>
    </row>
    <row r="3022" spans="1:2" x14ac:dyDescent="0.25">
      <c r="A3022" t="s">
        <v>338</v>
      </c>
      <c r="B3022" t="s">
        <v>854</v>
      </c>
    </row>
    <row r="3023" spans="1:2" x14ac:dyDescent="0.25">
      <c r="A3023" t="s">
        <v>338</v>
      </c>
      <c r="B3023" t="s">
        <v>2005</v>
      </c>
    </row>
    <row r="3024" spans="1:2" x14ac:dyDescent="0.25">
      <c r="A3024" t="s">
        <v>338</v>
      </c>
      <c r="B3024" t="s">
        <v>869</v>
      </c>
    </row>
    <row r="3025" spans="1:2" x14ac:dyDescent="0.25">
      <c r="A3025" t="s">
        <v>338</v>
      </c>
      <c r="B3025" t="s">
        <v>842</v>
      </c>
    </row>
    <row r="3026" spans="1:2" x14ac:dyDescent="0.25">
      <c r="A3026" t="s">
        <v>338</v>
      </c>
      <c r="B3026" t="s">
        <v>2006</v>
      </c>
    </row>
    <row r="3027" spans="1:2" x14ac:dyDescent="0.25">
      <c r="A3027" t="s">
        <v>338</v>
      </c>
      <c r="B3027" t="s">
        <v>2007</v>
      </c>
    </row>
    <row r="3028" spans="1:2" x14ac:dyDescent="0.25">
      <c r="A3028" t="s">
        <v>338</v>
      </c>
      <c r="B3028" t="s">
        <v>2008</v>
      </c>
    </row>
    <row r="3029" spans="1:2" x14ac:dyDescent="0.25">
      <c r="A3029" t="s">
        <v>338</v>
      </c>
      <c r="B3029" t="s">
        <v>856</v>
      </c>
    </row>
    <row r="3030" spans="1:2" x14ac:dyDescent="0.25">
      <c r="A3030" t="s">
        <v>338</v>
      </c>
      <c r="B3030" t="s">
        <v>870</v>
      </c>
    </row>
    <row r="3031" spans="1:2" x14ac:dyDescent="0.25">
      <c r="A3031" t="s">
        <v>338</v>
      </c>
      <c r="B3031" t="s">
        <v>871</v>
      </c>
    </row>
    <row r="3032" spans="1:2" x14ac:dyDescent="0.25">
      <c r="A3032" t="s">
        <v>338</v>
      </c>
      <c r="B3032" t="s">
        <v>846</v>
      </c>
    </row>
    <row r="3033" spans="1:2" x14ac:dyDescent="0.25">
      <c r="A3033" t="s">
        <v>338</v>
      </c>
      <c r="B3033" t="s">
        <v>2009</v>
      </c>
    </row>
    <row r="3034" spans="1:2" x14ac:dyDescent="0.25">
      <c r="A3034" t="s">
        <v>338</v>
      </c>
      <c r="B3034" t="s">
        <v>873</v>
      </c>
    </row>
    <row r="3035" spans="1:2" x14ac:dyDescent="0.25">
      <c r="A3035" t="s">
        <v>338</v>
      </c>
      <c r="B3035" t="s">
        <v>872</v>
      </c>
    </row>
    <row r="3036" spans="1:2" x14ac:dyDescent="0.25">
      <c r="A3036" t="s">
        <v>338</v>
      </c>
      <c r="B3036" t="s">
        <v>860</v>
      </c>
    </row>
    <row r="3037" spans="1:2" x14ac:dyDescent="0.25">
      <c r="A3037" t="s">
        <v>338</v>
      </c>
      <c r="B3037" t="s">
        <v>2010</v>
      </c>
    </row>
    <row r="3038" spans="1:2" x14ac:dyDescent="0.25">
      <c r="A3038" t="s">
        <v>338</v>
      </c>
      <c r="B3038" t="s">
        <v>861</v>
      </c>
    </row>
    <row r="3039" spans="1:2" x14ac:dyDescent="0.25">
      <c r="A3039" t="s">
        <v>299</v>
      </c>
      <c r="B3039" t="s">
        <v>2375</v>
      </c>
    </row>
    <row r="3040" spans="1:2" x14ac:dyDescent="0.25">
      <c r="A3040" t="s">
        <v>299</v>
      </c>
      <c r="B3040" t="s">
        <v>2376</v>
      </c>
    </row>
    <row r="3041" spans="1:2" x14ac:dyDescent="0.25">
      <c r="A3041" t="s">
        <v>299</v>
      </c>
      <c r="B3041" t="s">
        <v>2377</v>
      </c>
    </row>
    <row r="3042" spans="1:2" x14ac:dyDescent="0.25">
      <c r="A3042" t="s">
        <v>299</v>
      </c>
      <c r="B3042" t="s">
        <v>2378</v>
      </c>
    </row>
    <row r="3043" spans="1:2" x14ac:dyDescent="0.25">
      <c r="A3043" t="s">
        <v>299</v>
      </c>
      <c r="B3043" t="s">
        <v>2379</v>
      </c>
    </row>
    <row r="3044" spans="1:2" x14ac:dyDescent="0.25">
      <c r="A3044" t="s">
        <v>299</v>
      </c>
      <c r="B3044" t="s">
        <v>4613</v>
      </c>
    </row>
    <row r="3045" spans="1:2" x14ac:dyDescent="0.25">
      <c r="A3045" t="s">
        <v>299</v>
      </c>
      <c r="B3045" t="s">
        <v>2380</v>
      </c>
    </row>
    <row r="3046" spans="1:2" x14ac:dyDescent="0.25">
      <c r="A3046" t="s">
        <v>299</v>
      </c>
      <c r="B3046" t="s">
        <v>2381</v>
      </c>
    </row>
    <row r="3047" spans="1:2" x14ac:dyDescent="0.25">
      <c r="A3047" t="s">
        <v>299</v>
      </c>
      <c r="B3047" t="s">
        <v>2382</v>
      </c>
    </row>
    <row r="3048" spans="1:2" x14ac:dyDescent="0.25">
      <c r="A3048" t="s">
        <v>299</v>
      </c>
      <c r="B3048" t="s">
        <v>2383</v>
      </c>
    </row>
    <row r="3049" spans="1:2" x14ac:dyDescent="0.25">
      <c r="A3049" t="s">
        <v>299</v>
      </c>
      <c r="B3049" t="s">
        <v>2384</v>
      </c>
    </row>
    <row r="3050" spans="1:2" x14ac:dyDescent="0.25">
      <c r="A3050" t="s">
        <v>299</v>
      </c>
      <c r="B3050" t="s">
        <v>2385</v>
      </c>
    </row>
    <row r="3051" spans="1:2" x14ac:dyDescent="0.25">
      <c r="A3051" t="s">
        <v>299</v>
      </c>
      <c r="B3051" t="s">
        <v>2386</v>
      </c>
    </row>
    <row r="3052" spans="1:2" x14ac:dyDescent="0.25">
      <c r="A3052" t="s">
        <v>299</v>
      </c>
      <c r="B3052" t="s">
        <v>2387</v>
      </c>
    </row>
    <row r="3053" spans="1:2" x14ac:dyDescent="0.25">
      <c r="A3053" t="s">
        <v>299</v>
      </c>
      <c r="B3053" t="s">
        <v>2388</v>
      </c>
    </row>
    <row r="3054" spans="1:2" x14ac:dyDescent="0.25">
      <c r="A3054" t="s">
        <v>299</v>
      </c>
      <c r="B3054" t="s">
        <v>2389</v>
      </c>
    </row>
    <row r="3055" spans="1:2" x14ac:dyDescent="0.25">
      <c r="A3055" t="s">
        <v>299</v>
      </c>
      <c r="B3055" t="s">
        <v>2390</v>
      </c>
    </row>
    <row r="3056" spans="1:2" x14ac:dyDescent="0.25">
      <c r="A3056" t="s">
        <v>299</v>
      </c>
      <c r="B3056" t="s">
        <v>2391</v>
      </c>
    </row>
    <row r="3057" spans="1:2" x14ac:dyDescent="0.25">
      <c r="A3057" t="s">
        <v>299</v>
      </c>
      <c r="B3057" t="s">
        <v>2392</v>
      </c>
    </row>
    <row r="3058" spans="1:2" x14ac:dyDescent="0.25">
      <c r="A3058" t="s">
        <v>299</v>
      </c>
      <c r="B3058" t="s">
        <v>2393</v>
      </c>
    </row>
    <row r="3059" spans="1:2" x14ac:dyDescent="0.25">
      <c r="A3059" t="s">
        <v>349</v>
      </c>
      <c r="B3059" t="s">
        <v>4061</v>
      </c>
    </row>
    <row r="3060" spans="1:2" x14ac:dyDescent="0.25">
      <c r="A3060" t="s">
        <v>349</v>
      </c>
      <c r="B3060" t="s">
        <v>2611</v>
      </c>
    </row>
    <row r="3061" spans="1:2" x14ac:dyDescent="0.25">
      <c r="A3061" t="s">
        <v>349</v>
      </c>
      <c r="B3061" t="s">
        <v>2612</v>
      </c>
    </row>
    <row r="3062" spans="1:2" x14ac:dyDescent="0.25">
      <c r="A3062" t="s">
        <v>349</v>
      </c>
      <c r="B3062" t="s">
        <v>2613</v>
      </c>
    </row>
    <row r="3063" spans="1:2" x14ac:dyDescent="0.25">
      <c r="A3063" t="s">
        <v>349</v>
      </c>
      <c r="B3063" t="s">
        <v>2614</v>
      </c>
    </row>
    <row r="3064" spans="1:2" x14ac:dyDescent="0.25">
      <c r="A3064" t="s">
        <v>349</v>
      </c>
      <c r="B3064" t="s">
        <v>2615</v>
      </c>
    </row>
    <row r="3065" spans="1:2" x14ac:dyDescent="0.25">
      <c r="A3065" t="s">
        <v>349</v>
      </c>
      <c r="B3065" t="s">
        <v>2616</v>
      </c>
    </row>
    <row r="3066" spans="1:2" x14ac:dyDescent="0.25">
      <c r="A3066" t="s">
        <v>349</v>
      </c>
      <c r="B3066" t="s">
        <v>2617</v>
      </c>
    </row>
    <row r="3067" spans="1:2" x14ac:dyDescent="0.25">
      <c r="A3067" t="s">
        <v>349</v>
      </c>
      <c r="B3067" t="s">
        <v>2618</v>
      </c>
    </row>
    <row r="3068" spans="1:2" x14ac:dyDescent="0.25">
      <c r="A3068" t="s">
        <v>349</v>
      </c>
      <c r="B3068" t="s">
        <v>2619</v>
      </c>
    </row>
    <row r="3069" spans="1:2" x14ac:dyDescent="0.25">
      <c r="A3069" t="s">
        <v>349</v>
      </c>
      <c r="B3069" t="s">
        <v>2620</v>
      </c>
    </row>
    <row r="3070" spans="1:2" x14ac:dyDescent="0.25">
      <c r="A3070" t="s">
        <v>349</v>
      </c>
      <c r="B3070" t="s">
        <v>2621</v>
      </c>
    </row>
    <row r="3071" spans="1:2" x14ac:dyDescent="0.25">
      <c r="A3071" t="s">
        <v>349</v>
      </c>
      <c r="B3071" t="s">
        <v>2622</v>
      </c>
    </row>
    <row r="3072" spans="1:2" x14ac:dyDescent="0.25">
      <c r="A3072" t="s">
        <v>349</v>
      </c>
      <c r="B3072" t="s">
        <v>2623</v>
      </c>
    </row>
    <row r="3073" spans="1:2" x14ac:dyDescent="0.25">
      <c r="A3073" t="s">
        <v>349</v>
      </c>
      <c r="B3073" t="s">
        <v>2624</v>
      </c>
    </row>
    <row r="3074" spans="1:2" x14ac:dyDescent="0.25">
      <c r="A3074" t="s">
        <v>349</v>
      </c>
      <c r="B3074" t="s">
        <v>2625</v>
      </c>
    </row>
    <row r="3075" spans="1:2" x14ac:dyDescent="0.25">
      <c r="A3075" t="s">
        <v>349</v>
      </c>
      <c r="B3075" t="s">
        <v>2626</v>
      </c>
    </row>
    <row r="3076" spans="1:2" x14ac:dyDescent="0.25">
      <c r="A3076" t="s">
        <v>349</v>
      </c>
      <c r="B3076" t="s">
        <v>2627</v>
      </c>
    </row>
    <row r="3077" spans="1:2" x14ac:dyDescent="0.25">
      <c r="A3077" t="s">
        <v>349</v>
      </c>
      <c r="B3077" t="s">
        <v>2628</v>
      </c>
    </row>
    <row r="3078" spans="1:2" x14ac:dyDescent="0.25">
      <c r="A3078" t="s">
        <v>349</v>
      </c>
      <c r="B3078" t="s">
        <v>2629</v>
      </c>
    </row>
    <row r="3079" spans="1:2" x14ac:dyDescent="0.25">
      <c r="A3079" t="s">
        <v>349</v>
      </c>
      <c r="B3079" t="s">
        <v>2630</v>
      </c>
    </row>
    <row r="3080" spans="1:2" x14ac:dyDescent="0.25">
      <c r="A3080" t="s">
        <v>349</v>
      </c>
      <c r="B3080" t="s">
        <v>2631</v>
      </c>
    </row>
    <row r="3081" spans="1:2" x14ac:dyDescent="0.25">
      <c r="A3081" t="s">
        <v>349</v>
      </c>
      <c r="B3081" t="s">
        <v>2632</v>
      </c>
    </row>
    <row r="3082" spans="1:2" x14ac:dyDescent="0.25">
      <c r="A3082" t="s">
        <v>291</v>
      </c>
      <c r="B3082" t="s">
        <v>4120</v>
      </c>
    </row>
    <row r="3083" spans="1:2" x14ac:dyDescent="0.25">
      <c r="A3083" t="s">
        <v>291</v>
      </c>
      <c r="B3083" t="s">
        <v>4015</v>
      </c>
    </row>
    <row r="3084" spans="1:2" x14ac:dyDescent="0.25">
      <c r="A3084" t="s">
        <v>291</v>
      </c>
      <c r="B3084" t="s">
        <v>1186</v>
      </c>
    </row>
    <row r="3085" spans="1:2" x14ac:dyDescent="0.25">
      <c r="A3085" t="s">
        <v>291</v>
      </c>
      <c r="B3085" t="s">
        <v>1179</v>
      </c>
    </row>
    <row r="3086" spans="1:2" x14ac:dyDescent="0.25">
      <c r="A3086" t="s">
        <v>291</v>
      </c>
      <c r="B3086" t="s">
        <v>1184</v>
      </c>
    </row>
    <row r="3087" spans="1:2" x14ac:dyDescent="0.25">
      <c r="A3087" t="s">
        <v>291</v>
      </c>
      <c r="B3087" t="s">
        <v>1185</v>
      </c>
    </row>
    <row r="3088" spans="1:2" x14ac:dyDescent="0.25">
      <c r="A3088" t="s">
        <v>291</v>
      </c>
      <c r="B3088" t="s">
        <v>1178</v>
      </c>
    </row>
    <row r="3089" spans="1:2" x14ac:dyDescent="0.25">
      <c r="A3089" t="s">
        <v>291</v>
      </c>
      <c r="B3089" t="s">
        <v>1187</v>
      </c>
    </row>
    <row r="3090" spans="1:2" x14ac:dyDescent="0.25">
      <c r="A3090" t="s">
        <v>291</v>
      </c>
      <c r="B3090" t="s">
        <v>1183</v>
      </c>
    </row>
    <row r="3091" spans="1:2" x14ac:dyDescent="0.25">
      <c r="A3091" t="s">
        <v>291</v>
      </c>
      <c r="B3091" t="s">
        <v>1190</v>
      </c>
    </row>
    <row r="3092" spans="1:2" x14ac:dyDescent="0.25">
      <c r="A3092" t="s">
        <v>291</v>
      </c>
      <c r="B3092" t="s">
        <v>1189</v>
      </c>
    </row>
    <row r="3093" spans="1:2" x14ac:dyDescent="0.25">
      <c r="A3093" t="s">
        <v>291</v>
      </c>
      <c r="B3093" t="s">
        <v>1180</v>
      </c>
    </row>
    <row r="3094" spans="1:2" x14ac:dyDescent="0.25">
      <c r="A3094" t="s">
        <v>291</v>
      </c>
      <c r="B3094" t="s">
        <v>4016</v>
      </c>
    </row>
    <row r="3095" spans="1:2" x14ac:dyDescent="0.25">
      <c r="A3095" t="s">
        <v>291</v>
      </c>
      <c r="B3095" t="s">
        <v>1182</v>
      </c>
    </row>
    <row r="3096" spans="1:2" x14ac:dyDescent="0.25">
      <c r="A3096" t="s">
        <v>291</v>
      </c>
      <c r="B3096" t="s">
        <v>1191</v>
      </c>
    </row>
    <row r="3097" spans="1:2" x14ac:dyDescent="0.25">
      <c r="A3097" t="s">
        <v>291</v>
      </c>
      <c r="B3097" t="s">
        <v>4017</v>
      </c>
    </row>
    <row r="3098" spans="1:2" x14ac:dyDescent="0.25">
      <c r="A3098" t="s">
        <v>291</v>
      </c>
      <c r="B3098" t="s">
        <v>1181</v>
      </c>
    </row>
    <row r="3099" spans="1:2" x14ac:dyDescent="0.25">
      <c r="A3099" t="s">
        <v>291</v>
      </c>
      <c r="B3099" t="s">
        <v>4018</v>
      </c>
    </row>
    <row r="3100" spans="1:2" x14ac:dyDescent="0.25">
      <c r="A3100" t="s">
        <v>321</v>
      </c>
      <c r="B3100" t="s">
        <v>654</v>
      </c>
    </row>
    <row r="3101" spans="1:2" x14ac:dyDescent="0.25">
      <c r="A3101" t="s">
        <v>321</v>
      </c>
      <c r="B3101" t="s">
        <v>655</v>
      </c>
    </row>
    <row r="3102" spans="1:2" x14ac:dyDescent="0.25">
      <c r="A3102" t="s">
        <v>321</v>
      </c>
      <c r="B3102" t="s">
        <v>656</v>
      </c>
    </row>
    <row r="3103" spans="1:2" x14ac:dyDescent="0.25">
      <c r="A3103" t="s">
        <v>321</v>
      </c>
      <c r="B3103" t="s">
        <v>657</v>
      </c>
    </row>
    <row r="3104" spans="1:2" x14ac:dyDescent="0.25">
      <c r="A3104" t="s">
        <v>321</v>
      </c>
      <c r="B3104" t="s">
        <v>658</v>
      </c>
    </row>
    <row r="3105" spans="1:2" x14ac:dyDescent="0.25">
      <c r="A3105" t="s">
        <v>321</v>
      </c>
      <c r="B3105" t="s">
        <v>659</v>
      </c>
    </row>
    <row r="3106" spans="1:2" x14ac:dyDescent="0.25">
      <c r="A3106" t="s">
        <v>321</v>
      </c>
      <c r="B3106" t="s">
        <v>660</v>
      </c>
    </row>
    <row r="3107" spans="1:2" x14ac:dyDescent="0.25">
      <c r="A3107" t="s">
        <v>321</v>
      </c>
      <c r="B3107" t="s">
        <v>2838</v>
      </c>
    </row>
    <row r="3108" spans="1:2" x14ac:dyDescent="0.25">
      <c r="A3108" t="s">
        <v>321</v>
      </c>
      <c r="B3108" t="s">
        <v>651</v>
      </c>
    </row>
    <row r="3109" spans="1:2" x14ac:dyDescent="0.25">
      <c r="A3109" t="s">
        <v>321</v>
      </c>
      <c r="B3109" t="s">
        <v>661</v>
      </c>
    </row>
    <row r="3110" spans="1:2" x14ac:dyDescent="0.25">
      <c r="A3110" t="s">
        <v>321</v>
      </c>
      <c r="B3110" t="s">
        <v>662</v>
      </c>
    </row>
    <row r="3111" spans="1:2" x14ac:dyDescent="0.25">
      <c r="A3111" t="s">
        <v>321</v>
      </c>
      <c r="B3111" t="s">
        <v>663</v>
      </c>
    </row>
    <row r="3112" spans="1:2" x14ac:dyDescent="0.25">
      <c r="A3112" t="s">
        <v>321</v>
      </c>
      <c r="B3112" t="s">
        <v>652</v>
      </c>
    </row>
    <row r="3113" spans="1:2" x14ac:dyDescent="0.25">
      <c r="A3113" t="s">
        <v>321</v>
      </c>
      <c r="B3113" t="s">
        <v>559</v>
      </c>
    </row>
    <row r="3114" spans="1:2" x14ac:dyDescent="0.25">
      <c r="A3114" t="s">
        <v>321</v>
      </c>
      <c r="B3114" t="s">
        <v>664</v>
      </c>
    </row>
    <row r="3115" spans="1:2" x14ac:dyDescent="0.25">
      <c r="A3115" t="s">
        <v>321</v>
      </c>
      <c r="B3115" t="s">
        <v>653</v>
      </c>
    </row>
    <row r="3116" spans="1:2" x14ac:dyDescent="0.25">
      <c r="A3116" t="s">
        <v>321</v>
      </c>
      <c r="B3116" t="s">
        <v>665</v>
      </c>
    </row>
    <row r="3117" spans="1:2" x14ac:dyDescent="0.25">
      <c r="A3117" t="s">
        <v>321</v>
      </c>
      <c r="B3117" t="s">
        <v>2839</v>
      </c>
    </row>
    <row r="3118" spans="1:2" x14ac:dyDescent="0.25">
      <c r="A3118" t="s">
        <v>339</v>
      </c>
      <c r="B3118" t="s">
        <v>557</v>
      </c>
    </row>
    <row r="3119" spans="1:2" x14ac:dyDescent="0.25">
      <c r="A3119" t="s">
        <v>339</v>
      </c>
      <c r="B3119" t="s">
        <v>1453</v>
      </c>
    </row>
    <row r="3120" spans="1:2" x14ac:dyDescent="0.25">
      <c r="A3120" t="s">
        <v>339</v>
      </c>
      <c r="B3120" t="s">
        <v>1841</v>
      </c>
    </row>
    <row r="3121" spans="1:2" x14ac:dyDescent="0.25">
      <c r="A3121" t="s">
        <v>339</v>
      </c>
      <c r="B3121" t="s">
        <v>1842</v>
      </c>
    </row>
    <row r="3122" spans="1:2" x14ac:dyDescent="0.25">
      <c r="A3122" t="s">
        <v>339</v>
      </c>
      <c r="B3122" t="s">
        <v>1843</v>
      </c>
    </row>
    <row r="3123" spans="1:2" x14ac:dyDescent="0.25">
      <c r="A3123" t="s">
        <v>339</v>
      </c>
      <c r="B3123" t="s">
        <v>1844</v>
      </c>
    </row>
    <row r="3124" spans="1:2" x14ac:dyDescent="0.25">
      <c r="A3124" t="s">
        <v>339</v>
      </c>
      <c r="B3124" t="s">
        <v>1483</v>
      </c>
    </row>
    <row r="3125" spans="1:2" x14ac:dyDescent="0.25">
      <c r="A3125" t="s">
        <v>339</v>
      </c>
      <c r="B3125" t="s">
        <v>1845</v>
      </c>
    </row>
    <row r="3126" spans="1:2" x14ac:dyDescent="0.25">
      <c r="A3126" t="s">
        <v>339</v>
      </c>
      <c r="B3126" t="s">
        <v>1846</v>
      </c>
    </row>
    <row r="3127" spans="1:2" x14ac:dyDescent="0.25">
      <c r="A3127" t="s">
        <v>339</v>
      </c>
      <c r="B3127" t="s">
        <v>1024</v>
      </c>
    </row>
    <row r="3128" spans="1:2" x14ac:dyDescent="0.25">
      <c r="A3128" t="s">
        <v>339</v>
      </c>
      <c r="B3128" t="s">
        <v>1019</v>
      </c>
    </row>
    <row r="3129" spans="1:2" x14ac:dyDescent="0.25">
      <c r="A3129" t="s">
        <v>339</v>
      </c>
      <c r="B3129" t="s">
        <v>1026</v>
      </c>
    </row>
    <row r="3130" spans="1:2" x14ac:dyDescent="0.25">
      <c r="A3130" t="s">
        <v>339</v>
      </c>
      <c r="B3130" t="s">
        <v>1029</v>
      </c>
    </row>
    <row r="3131" spans="1:2" x14ac:dyDescent="0.25">
      <c r="A3131" t="s">
        <v>339</v>
      </c>
      <c r="B3131" t="s">
        <v>1847</v>
      </c>
    </row>
    <row r="3132" spans="1:2" x14ac:dyDescent="0.25">
      <c r="A3132" t="s">
        <v>339</v>
      </c>
      <c r="B3132" t="s">
        <v>1848</v>
      </c>
    </row>
    <row r="3133" spans="1:2" x14ac:dyDescent="0.25">
      <c r="A3133" t="s">
        <v>339</v>
      </c>
      <c r="B3133" t="s">
        <v>1031</v>
      </c>
    </row>
    <row r="3134" spans="1:2" x14ac:dyDescent="0.25">
      <c r="A3134" t="s">
        <v>339</v>
      </c>
      <c r="B3134" t="s">
        <v>1023</v>
      </c>
    </row>
    <row r="3135" spans="1:2" x14ac:dyDescent="0.25">
      <c r="A3135" t="s">
        <v>339</v>
      </c>
      <c r="B3135" t="s">
        <v>1028</v>
      </c>
    </row>
    <row r="3136" spans="1:2" x14ac:dyDescent="0.25">
      <c r="A3136" t="s">
        <v>339</v>
      </c>
      <c r="B3136" t="s">
        <v>1025</v>
      </c>
    </row>
    <row r="3137" spans="1:2" x14ac:dyDescent="0.25">
      <c r="A3137" t="s">
        <v>339</v>
      </c>
      <c r="B3137" t="s">
        <v>1849</v>
      </c>
    </row>
    <row r="3138" spans="1:2" x14ac:dyDescent="0.25">
      <c r="A3138" t="s">
        <v>339</v>
      </c>
      <c r="B3138" t="s">
        <v>1032</v>
      </c>
    </row>
    <row r="3139" spans="1:2" x14ac:dyDescent="0.25">
      <c r="A3139" t="s">
        <v>339</v>
      </c>
      <c r="B3139" t="s">
        <v>1033</v>
      </c>
    </row>
    <row r="3140" spans="1:2" x14ac:dyDescent="0.25">
      <c r="A3140" t="s">
        <v>339</v>
      </c>
      <c r="B3140" t="s">
        <v>1027</v>
      </c>
    </row>
    <row r="3141" spans="1:2" x14ac:dyDescent="0.25">
      <c r="A3141" t="s">
        <v>339</v>
      </c>
      <c r="B3141" t="s">
        <v>1850</v>
      </c>
    </row>
    <row r="3142" spans="1:2" x14ac:dyDescent="0.25">
      <c r="A3142" t="s">
        <v>357</v>
      </c>
      <c r="B3142" t="s">
        <v>1010</v>
      </c>
    </row>
    <row r="3143" spans="1:2" x14ac:dyDescent="0.25">
      <c r="A3143" t="s">
        <v>357</v>
      </c>
      <c r="B3143" t="s">
        <v>1013</v>
      </c>
    </row>
    <row r="3144" spans="1:2" x14ac:dyDescent="0.25">
      <c r="A3144" t="s">
        <v>357</v>
      </c>
      <c r="B3144" t="s">
        <v>3732</v>
      </c>
    </row>
    <row r="3145" spans="1:2" x14ac:dyDescent="0.25">
      <c r="A3145" t="s">
        <v>357</v>
      </c>
      <c r="B3145" t="s">
        <v>3733</v>
      </c>
    </row>
    <row r="3146" spans="1:2" x14ac:dyDescent="0.25">
      <c r="A3146" t="s">
        <v>357</v>
      </c>
      <c r="B3146" t="s">
        <v>3734</v>
      </c>
    </row>
    <row r="3147" spans="1:2" x14ac:dyDescent="0.25">
      <c r="A3147" t="s">
        <v>357</v>
      </c>
      <c r="B3147" t="s">
        <v>3735</v>
      </c>
    </row>
    <row r="3148" spans="1:2" x14ac:dyDescent="0.25">
      <c r="A3148" t="s">
        <v>357</v>
      </c>
      <c r="B3148" t="s">
        <v>3736</v>
      </c>
    </row>
    <row r="3149" spans="1:2" x14ac:dyDescent="0.25">
      <c r="A3149" t="s">
        <v>357</v>
      </c>
      <c r="B3149" t="s">
        <v>3737</v>
      </c>
    </row>
    <row r="3150" spans="1:2" x14ac:dyDescent="0.25">
      <c r="A3150" t="s">
        <v>357</v>
      </c>
      <c r="B3150" t="s">
        <v>3738</v>
      </c>
    </row>
    <row r="3151" spans="1:2" x14ac:dyDescent="0.25">
      <c r="A3151" t="s">
        <v>357</v>
      </c>
      <c r="B3151" t="s">
        <v>3739</v>
      </c>
    </row>
    <row r="3152" spans="1:2" x14ac:dyDescent="0.25">
      <c r="A3152" t="s">
        <v>357</v>
      </c>
      <c r="B3152" t="s">
        <v>3740</v>
      </c>
    </row>
    <row r="3153" spans="1:2" x14ac:dyDescent="0.25">
      <c r="A3153" t="s">
        <v>357</v>
      </c>
      <c r="B3153" t="s">
        <v>3741</v>
      </c>
    </row>
    <row r="3154" spans="1:2" x14ac:dyDescent="0.25">
      <c r="A3154" t="s">
        <v>357</v>
      </c>
      <c r="B3154" t="s">
        <v>3742</v>
      </c>
    </row>
    <row r="3155" spans="1:2" x14ac:dyDescent="0.25">
      <c r="A3155" t="s">
        <v>357</v>
      </c>
      <c r="B3155" t="s">
        <v>3743</v>
      </c>
    </row>
    <row r="3156" spans="1:2" x14ac:dyDescent="0.25">
      <c r="A3156" t="s">
        <v>357</v>
      </c>
      <c r="B3156" t="s">
        <v>3744</v>
      </c>
    </row>
    <row r="3157" spans="1:2" x14ac:dyDescent="0.25">
      <c r="A3157" t="s">
        <v>357</v>
      </c>
      <c r="B3157" t="s">
        <v>3745</v>
      </c>
    </row>
    <row r="3158" spans="1:2" x14ac:dyDescent="0.25">
      <c r="A3158" t="s">
        <v>357</v>
      </c>
      <c r="B3158" t="s">
        <v>3746</v>
      </c>
    </row>
    <row r="3159" spans="1:2" x14ac:dyDescent="0.25">
      <c r="A3159" t="s">
        <v>357</v>
      </c>
      <c r="B3159" t="s">
        <v>3747</v>
      </c>
    </row>
    <row r="3160" spans="1:2" x14ac:dyDescent="0.25">
      <c r="A3160" t="s">
        <v>357</v>
      </c>
      <c r="B3160" t="s">
        <v>3748</v>
      </c>
    </row>
    <row r="3161" spans="1:2" x14ac:dyDescent="0.25">
      <c r="A3161" t="s">
        <v>357</v>
      </c>
      <c r="B3161" t="s">
        <v>3749</v>
      </c>
    </row>
    <row r="3162" spans="1:2" x14ac:dyDescent="0.25">
      <c r="A3162" t="s">
        <v>357</v>
      </c>
      <c r="B3162" t="s">
        <v>3750</v>
      </c>
    </row>
    <row r="3163" spans="1:2" x14ac:dyDescent="0.25">
      <c r="A3163" t="s">
        <v>357</v>
      </c>
      <c r="B3163" t="s">
        <v>3751</v>
      </c>
    </row>
    <row r="3164" spans="1:2" x14ac:dyDescent="0.25">
      <c r="A3164" t="s">
        <v>357</v>
      </c>
      <c r="B3164" t="s">
        <v>4538</v>
      </c>
    </row>
    <row r="3165" spans="1:2" x14ac:dyDescent="0.25">
      <c r="A3165" t="s">
        <v>327</v>
      </c>
      <c r="B3165" t="s">
        <v>4080</v>
      </c>
    </row>
    <row r="3166" spans="1:2" x14ac:dyDescent="0.25">
      <c r="A3166" t="s">
        <v>327</v>
      </c>
      <c r="B3166" t="s">
        <v>3053</v>
      </c>
    </row>
    <row r="3167" spans="1:2" x14ac:dyDescent="0.25">
      <c r="A3167" t="s">
        <v>327</v>
      </c>
      <c r="B3167" t="s">
        <v>3054</v>
      </c>
    </row>
    <row r="3168" spans="1:2" x14ac:dyDescent="0.25">
      <c r="A3168" t="s">
        <v>327</v>
      </c>
      <c r="B3168" t="s">
        <v>3055</v>
      </c>
    </row>
    <row r="3169" spans="1:2" x14ac:dyDescent="0.25">
      <c r="A3169" t="s">
        <v>327</v>
      </c>
      <c r="B3169" t="s">
        <v>3056</v>
      </c>
    </row>
    <row r="3170" spans="1:2" x14ac:dyDescent="0.25">
      <c r="A3170" t="s">
        <v>327</v>
      </c>
      <c r="B3170" t="s">
        <v>3057</v>
      </c>
    </row>
    <row r="3171" spans="1:2" x14ac:dyDescent="0.25">
      <c r="A3171" t="s">
        <v>327</v>
      </c>
      <c r="B3171" t="s">
        <v>3058</v>
      </c>
    </row>
    <row r="3172" spans="1:2" x14ac:dyDescent="0.25">
      <c r="A3172" t="s">
        <v>327</v>
      </c>
      <c r="B3172" t="s">
        <v>3059</v>
      </c>
    </row>
    <row r="3173" spans="1:2" x14ac:dyDescent="0.25">
      <c r="A3173" t="s">
        <v>327</v>
      </c>
      <c r="B3173" t="s">
        <v>1402</v>
      </c>
    </row>
    <row r="3174" spans="1:2" x14ac:dyDescent="0.25">
      <c r="A3174" t="s">
        <v>327</v>
      </c>
      <c r="B3174" t="s">
        <v>1399</v>
      </c>
    </row>
    <row r="3175" spans="1:2" x14ac:dyDescent="0.25">
      <c r="A3175" t="s">
        <v>327</v>
      </c>
      <c r="B3175" t="s">
        <v>3060</v>
      </c>
    </row>
    <row r="3176" spans="1:2" x14ac:dyDescent="0.25">
      <c r="A3176" t="s">
        <v>327</v>
      </c>
      <c r="B3176" t="s">
        <v>1404</v>
      </c>
    </row>
    <row r="3177" spans="1:2" x14ac:dyDescent="0.25">
      <c r="A3177" t="s">
        <v>327</v>
      </c>
      <c r="B3177" t="s">
        <v>1405</v>
      </c>
    </row>
    <row r="3178" spans="1:2" x14ac:dyDescent="0.25">
      <c r="A3178" t="s">
        <v>327</v>
      </c>
      <c r="B3178" t="s">
        <v>1406</v>
      </c>
    </row>
    <row r="3179" spans="1:2" x14ac:dyDescent="0.25">
      <c r="A3179" t="s">
        <v>327</v>
      </c>
      <c r="B3179" t="s">
        <v>1401</v>
      </c>
    </row>
    <row r="3180" spans="1:2" x14ac:dyDescent="0.25">
      <c r="A3180" t="s">
        <v>327</v>
      </c>
      <c r="B3180" t="s">
        <v>1407</v>
      </c>
    </row>
    <row r="3181" spans="1:2" x14ac:dyDescent="0.25">
      <c r="A3181" t="s">
        <v>327</v>
      </c>
      <c r="B3181" t="s">
        <v>1408</v>
      </c>
    </row>
    <row r="3182" spans="1:2" x14ac:dyDescent="0.25">
      <c r="A3182" t="s">
        <v>327</v>
      </c>
      <c r="B3182" t="s">
        <v>1409</v>
      </c>
    </row>
    <row r="3183" spans="1:2" x14ac:dyDescent="0.25">
      <c r="A3183" t="s">
        <v>327</v>
      </c>
      <c r="B3183" t="s">
        <v>1400</v>
      </c>
    </row>
    <row r="3184" spans="1:2" x14ac:dyDescent="0.25">
      <c r="A3184" t="s">
        <v>354</v>
      </c>
      <c r="B3184" t="s">
        <v>520</v>
      </c>
    </row>
    <row r="3185" spans="1:2" x14ac:dyDescent="0.25">
      <c r="A3185" t="s">
        <v>354</v>
      </c>
      <c r="B3185" t="s">
        <v>2217</v>
      </c>
    </row>
    <row r="3186" spans="1:2" x14ac:dyDescent="0.25">
      <c r="A3186" t="s">
        <v>354</v>
      </c>
      <c r="B3186" t="s">
        <v>497</v>
      </c>
    </row>
    <row r="3187" spans="1:2" x14ac:dyDescent="0.25">
      <c r="A3187" t="s">
        <v>354</v>
      </c>
      <c r="B3187" t="s">
        <v>2218</v>
      </c>
    </row>
    <row r="3188" spans="1:2" x14ac:dyDescent="0.25">
      <c r="A3188" t="s">
        <v>354</v>
      </c>
      <c r="B3188" t="s">
        <v>2219</v>
      </c>
    </row>
    <row r="3189" spans="1:2" x14ac:dyDescent="0.25">
      <c r="A3189" t="s">
        <v>354</v>
      </c>
      <c r="B3189" t="s">
        <v>2220</v>
      </c>
    </row>
    <row r="3190" spans="1:2" x14ac:dyDescent="0.25">
      <c r="A3190" t="s">
        <v>354</v>
      </c>
      <c r="B3190" t="s">
        <v>2221</v>
      </c>
    </row>
    <row r="3191" spans="1:2" x14ac:dyDescent="0.25">
      <c r="A3191" t="s">
        <v>354</v>
      </c>
      <c r="B3191" t="s">
        <v>2222</v>
      </c>
    </row>
    <row r="3192" spans="1:2" x14ac:dyDescent="0.25">
      <c r="A3192" t="s">
        <v>354</v>
      </c>
      <c r="B3192" t="s">
        <v>492</v>
      </c>
    </row>
    <row r="3193" spans="1:2" x14ac:dyDescent="0.25">
      <c r="A3193" t="s">
        <v>354</v>
      </c>
      <c r="B3193" t="s">
        <v>489</v>
      </c>
    </row>
    <row r="3194" spans="1:2" x14ac:dyDescent="0.25">
      <c r="A3194" t="s">
        <v>354</v>
      </c>
      <c r="B3194" t="s">
        <v>2223</v>
      </c>
    </row>
    <row r="3195" spans="1:2" x14ac:dyDescent="0.25">
      <c r="A3195" t="s">
        <v>354</v>
      </c>
      <c r="B3195" t="s">
        <v>482</v>
      </c>
    </row>
    <row r="3196" spans="1:2" x14ac:dyDescent="0.25">
      <c r="A3196" t="s">
        <v>354</v>
      </c>
      <c r="B3196" t="s">
        <v>2224</v>
      </c>
    </row>
    <row r="3197" spans="1:2" x14ac:dyDescent="0.25">
      <c r="A3197" t="s">
        <v>354</v>
      </c>
      <c r="B3197" t="s">
        <v>2225</v>
      </c>
    </row>
    <row r="3198" spans="1:2" x14ac:dyDescent="0.25">
      <c r="A3198" t="s">
        <v>354</v>
      </c>
      <c r="B3198" t="s">
        <v>491</v>
      </c>
    </row>
    <row r="3199" spans="1:2" x14ac:dyDescent="0.25">
      <c r="A3199" t="s">
        <v>354</v>
      </c>
      <c r="B3199" t="s">
        <v>720</v>
      </c>
    </row>
    <row r="3200" spans="1:2" x14ac:dyDescent="0.25">
      <c r="A3200" t="s">
        <v>354</v>
      </c>
      <c r="B3200" t="s">
        <v>2226</v>
      </c>
    </row>
    <row r="3201" spans="1:2" x14ac:dyDescent="0.25">
      <c r="A3201" t="s">
        <v>354</v>
      </c>
      <c r="B3201" t="s">
        <v>2227</v>
      </c>
    </row>
    <row r="3202" spans="1:2" x14ac:dyDescent="0.25">
      <c r="A3202" t="s">
        <v>354</v>
      </c>
      <c r="B3202" t="s">
        <v>487</v>
      </c>
    </row>
    <row r="3203" spans="1:2" x14ac:dyDescent="0.25">
      <c r="A3203" t="s">
        <v>354</v>
      </c>
      <c r="B3203" t="s">
        <v>493</v>
      </c>
    </row>
    <row r="3204" spans="1:2" x14ac:dyDescent="0.25">
      <c r="A3204" t="s">
        <v>354</v>
      </c>
      <c r="B3204" t="s">
        <v>494</v>
      </c>
    </row>
    <row r="3205" spans="1:2" x14ac:dyDescent="0.25">
      <c r="A3205" t="s">
        <v>354</v>
      </c>
      <c r="B3205" t="s">
        <v>488</v>
      </c>
    </row>
    <row r="3206" spans="1:2" x14ac:dyDescent="0.25">
      <c r="A3206" t="s">
        <v>354</v>
      </c>
      <c r="B3206" t="s">
        <v>486</v>
      </c>
    </row>
    <row r="3207" spans="1:2" x14ac:dyDescent="0.25">
      <c r="A3207" t="s">
        <v>354</v>
      </c>
      <c r="B3207" t="s">
        <v>495</v>
      </c>
    </row>
    <row r="3208" spans="1:2" x14ac:dyDescent="0.25">
      <c r="A3208" t="s">
        <v>354</v>
      </c>
      <c r="B3208" t="s">
        <v>480</v>
      </c>
    </row>
    <row r="3209" spans="1:2" x14ac:dyDescent="0.25">
      <c r="A3209" t="s">
        <v>354</v>
      </c>
      <c r="B3209" t="s">
        <v>485</v>
      </c>
    </row>
    <row r="3210" spans="1:2" x14ac:dyDescent="0.25">
      <c r="A3210" t="s">
        <v>354</v>
      </c>
      <c r="B3210" t="s">
        <v>4686</v>
      </c>
    </row>
    <row r="3211" spans="1:2" x14ac:dyDescent="0.25">
      <c r="A3211" t="s">
        <v>336</v>
      </c>
      <c r="B3211" t="s">
        <v>4025</v>
      </c>
    </row>
    <row r="3212" spans="1:2" x14ac:dyDescent="0.25">
      <c r="A3212" t="s">
        <v>336</v>
      </c>
      <c r="B3212" t="s">
        <v>1709</v>
      </c>
    </row>
    <row r="3213" spans="1:2" x14ac:dyDescent="0.25">
      <c r="A3213" t="s">
        <v>336</v>
      </c>
      <c r="B3213" t="s">
        <v>4684</v>
      </c>
    </row>
    <row r="3214" spans="1:2" x14ac:dyDescent="0.25">
      <c r="A3214" t="s">
        <v>336</v>
      </c>
      <c r="B3214" t="s">
        <v>1710</v>
      </c>
    </row>
    <row r="3215" spans="1:2" x14ac:dyDescent="0.25">
      <c r="A3215" t="s">
        <v>336</v>
      </c>
      <c r="B3215" t="s">
        <v>1711</v>
      </c>
    </row>
    <row r="3216" spans="1:2" x14ac:dyDescent="0.25">
      <c r="A3216" t="s">
        <v>336</v>
      </c>
      <c r="B3216" t="s">
        <v>635</v>
      </c>
    </row>
    <row r="3217" spans="1:2" x14ac:dyDescent="0.25">
      <c r="A3217" t="s">
        <v>336</v>
      </c>
      <c r="B3217" t="s">
        <v>671</v>
      </c>
    </row>
    <row r="3218" spans="1:2" x14ac:dyDescent="0.25">
      <c r="A3218" t="s">
        <v>336</v>
      </c>
      <c r="B3218" t="s">
        <v>672</v>
      </c>
    </row>
    <row r="3219" spans="1:2" x14ac:dyDescent="0.25">
      <c r="A3219" t="s">
        <v>336</v>
      </c>
      <c r="B3219" t="s">
        <v>674</v>
      </c>
    </row>
    <row r="3220" spans="1:2" x14ac:dyDescent="0.25">
      <c r="A3220" t="s">
        <v>336</v>
      </c>
      <c r="B3220" t="s">
        <v>675</v>
      </c>
    </row>
    <row r="3221" spans="1:2" x14ac:dyDescent="0.25">
      <c r="A3221" t="s">
        <v>336</v>
      </c>
      <c r="B3221" t="s">
        <v>676</v>
      </c>
    </row>
    <row r="3222" spans="1:2" x14ac:dyDescent="0.25">
      <c r="A3222" t="s">
        <v>336</v>
      </c>
      <c r="B3222" t="s">
        <v>677</v>
      </c>
    </row>
    <row r="3223" spans="1:2" x14ac:dyDescent="0.25">
      <c r="A3223" t="s">
        <v>336</v>
      </c>
      <c r="B3223" t="s">
        <v>678</v>
      </c>
    </row>
    <row r="3224" spans="1:2" x14ac:dyDescent="0.25">
      <c r="A3224" t="s">
        <v>336</v>
      </c>
      <c r="B3224" t="s">
        <v>679</v>
      </c>
    </row>
    <row r="3225" spans="1:2" x14ac:dyDescent="0.25">
      <c r="A3225" t="s">
        <v>336</v>
      </c>
      <c r="B3225" t="s">
        <v>681</v>
      </c>
    </row>
    <row r="3226" spans="1:2" x14ac:dyDescent="0.25">
      <c r="A3226" t="s">
        <v>336</v>
      </c>
      <c r="B3226" t="s">
        <v>682</v>
      </c>
    </row>
    <row r="3227" spans="1:2" x14ac:dyDescent="0.25">
      <c r="A3227" t="s">
        <v>336</v>
      </c>
      <c r="B3227" t="s">
        <v>666</v>
      </c>
    </row>
    <row r="3228" spans="1:2" x14ac:dyDescent="0.25">
      <c r="A3228" t="s">
        <v>336</v>
      </c>
      <c r="B3228" t="s">
        <v>668</v>
      </c>
    </row>
    <row r="3229" spans="1:2" x14ac:dyDescent="0.25">
      <c r="A3229" t="s">
        <v>336</v>
      </c>
      <c r="B3229" t="s">
        <v>669</v>
      </c>
    </row>
    <row r="3230" spans="1:2" x14ac:dyDescent="0.25">
      <c r="A3230" t="s">
        <v>336</v>
      </c>
      <c r="B3230" t="s">
        <v>1712</v>
      </c>
    </row>
    <row r="3231" spans="1:2" x14ac:dyDescent="0.25">
      <c r="A3231" t="s">
        <v>336</v>
      </c>
      <c r="B3231" t="s">
        <v>667</v>
      </c>
    </row>
    <row r="3232" spans="1:2" x14ac:dyDescent="0.25">
      <c r="A3232" t="s">
        <v>336</v>
      </c>
      <c r="B3232" t="s">
        <v>4685</v>
      </c>
    </row>
    <row r="3233" spans="1:2" x14ac:dyDescent="0.25">
      <c r="A3233" t="s">
        <v>292</v>
      </c>
      <c r="B3233" t="s">
        <v>4112</v>
      </c>
    </row>
    <row r="3234" spans="1:2" x14ac:dyDescent="0.25">
      <c r="A3234" t="s">
        <v>292</v>
      </c>
      <c r="B3234" t="s">
        <v>1240</v>
      </c>
    </row>
    <row r="3235" spans="1:2" x14ac:dyDescent="0.25">
      <c r="A3235" t="s">
        <v>292</v>
      </c>
      <c r="B3235" t="s">
        <v>1239</v>
      </c>
    </row>
    <row r="3236" spans="1:2" x14ac:dyDescent="0.25">
      <c r="A3236" t="s">
        <v>292</v>
      </c>
      <c r="B3236" t="s">
        <v>709</v>
      </c>
    </row>
    <row r="3237" spans="1:2" x14ac:dyDescent="0.25">
      <c r="A3237" t="s">
        <v>292</v>
      </c>
      <c r="B3237" t="s">
        <v>3889</v>
      </c>
    </row>
    <row r="3238" spans="1:2" x14ac:dyDescent="0.25">
      <c r="A3238" t="s">
        <v>292</v>
      </c>
      <c r="B3238" t="s">
        <v>1236</v>
      </c>
    </row>
    <row r="3239" spans="1:2" x14ac:dyDescent="0.25">
      <c r="A3239" t="s">
        <v>292</v>
      </c>
      <c r="B3239" t="s">
        <v>1292</v>
      </c>
    </row>
    <row r="3240" spans="1:2" x14ac:dyDescent="0.25">
      <c r="A3240" t="s">
        <v>292</v>
      </c>
      <c r="B3240" t="s">
        <v>1283</v>
      </c>
    </row>
    <row r="3241" spans="1:2" x14ac:dyDescent="0.25">
      <c r="A3241" t="s">
        <v>292</v>
      </c>
      <c r="B3241" t="s">
        <v>1290</v>
      </c>
    </row>
    <row r="3242" spans="1:2" x14ac:dyDescent="0.25">
      <c r="A3242" t="s">
        <v>292</v>
      </c>
      <c r="B3242" t="s">
        <v>1291</v>
      </c>
    </row>
    <row r="3243" spans="1:2" x14ac:dyDescent="0.25">
      <c r="A3243" t="s">
        <v>292</v>
      </c>
      <c r="B3243" t="s">
        <v>1294</v>
      </c>
    </row>
    <row r="3244" spans="1:2" x14ac:dyDescent="0.25">
      <c r="A3244" t="s">
        <v>292</v>
      </c>
      <c r="B3244" t="s">
        <v>3890</v>
      </c>
    </row>
    <row r="3245" spans="1:2" x14ac:dyDescent="0.25">
      <c r="A3245" t="s">
        <v>292</v>
      </c>
      <c r="B3245" t="s">
        <v>1288</v>
      </c>
    </row>
    <row r="3246" spans="1:2" x14ac:dyDescent="0.25">
      <c r="A3246" t="s">
        <v>292</v>
      </c>
      <c r="B3246" t="s">
        <v>1289</v>
      </c>
    </row>
    <row r="3247" spans="1:2" x14ac:dyDescent="0.25">
      <c r="A3247" t="s">
        <v>292</v>
      </c>
      <c r="B3247" t="s">
        <v>1282</v>
      </c>
    </row>
    <row r="3248" spans="1:2" x14ac:dyDescent="0.25">
      <c r="A3248" t="s">
        <v>292</v>
      </c>
      <c r="B3248" t="s">
        <v>1286</v>
      </c>
    </row>
    <row r="3249" spans="1:2" x14ac:dyDescent="0.25">
      <c r="A3249" t="s">
        <v>292</v>
      </c>
      <c r="B3249" t="s">
        <v>1293</v>
      </c>
    </row>
    <row r="3250" spans="1:2" x14ac:dyDescent="0.25">
      <c r="A3250" t="s">
        <v>292</v>
      </c>
      <c r="B3250" t="s">
        <v>3891</v>
      </c>
    </row>
    <row r="3251" spans="1:2" x14ac:dyDescent="0.25">
      <c r="A3251" t="s">
        <v>292</v>
      </c>
      <c r="B3251" t="s">
        <v>1284</v>
      </c>
    </row>
    <row r="3252" spans="1:2" x14ac:dyDescent="0.25">
      <c r="A3252" t="s">
        <v>355</v>
      </c>
      <c r="B3252" t="s">
        <v>416</v>
      </c>
    </row>
    <row r="3253" spans="1:2" x14ac:dyDescent="0.25">
      <c r="A3253" t="s">
        <v>355</v>
      </c>
      <c r="B3253" t="s">
        <v>783</v>
      </c>
    </row>
    <row r="3254" spans="1:2" x14ac:dyDescent="0.25">
      <c r="A3254" t="s">
        <v>355</v>
      </c>
      <c r="B3254" t="s">
        <v>2254</v>
      </c>
    </row>
    <row r="3255" spans="1:2" x14ac:dyDescent="0.25">
      <c r="A3255" t="s">
        <v>355</v>
      </c>
      <c r="B3255" t="s">
        <v>2255</v>
      </c>
    </row>
    <row r="3256" spans="1:2" x14ac:dyDescent="0.25">
      <c r="A3256" t="s">
        <v>355</v>
      </c>
      <c r="B3256" t="s">
        <v>772</v>
      </c>
    </row>
    <row r="3257" spans="1:2" x14ac:dyDescent="0.25">
      <c r="A3257" t="s">
        <v>355</v>
      </c>
      <c r="B3257" t="s">
        <v>786</v>
      </c>
    </row>
    <row r="3258" spans="1:2" x14ac:dyDescent="0.25">
      <c r="A3258" t="s">
        <v>355</v>
      </c>
      <c r="B3258" t="s">
        <v>484</v>
      </c>
    </row>
    <row r="3259" spans="1:2" x14ac:dyDescent="0.25">
      <c r="A3259" t="s">
        <v>355</v>
      </c>
      <c r="B3259" t="s">
        <v>2256</v>
      </c>
    </row>
    <row r="3260" spans="1:2" x14ac:dyDescent="0.25">
      <c r="A3260" t="s">
        <v>355</v>
      </c>
      <c r="B3260" t="s">
        <v>2257</v>
      </c>
    </row>
    <row r="3261" spans="1:2" x14ac:dyDescent="0.25">
      <c r="A3261" t="s">
        <v>355</v>
      </c>
      <c r="B3261" t="s">
        <v>694</v>
      </c>
    </row>
    <row r="3262" spans="1:2" x14ac:dyDescent="0.25">
      <c r="A3262" t="s">
        <v>355</v>
      </c>
      <c r="B3262" t="s">
        <v>684</v>
      </c>
    </row>
    <row r="3263" spans="1:2" x14ac:dyDescent="0.25">
      <c r="A3263" t="s">
        <v>355</v>
      </c>
      <c r="B3263" t="s">
        <v>685</v>
      </c>
    </row>
    <row r="3264" spans="1:2" x14ac:dyDescent="0.25">
      <c r="A3264" t="s">
        <v>355</v>
      </c>
      <c r="B3264" t="s">
        <v>689</v>
      </c>
    </row>
    <row r="3265" spans="1:2" x14ac:dyDescent="0.25">
      <c r="A3265" t="s">
        <v>355</v>
      </c>
      <c r="B3265" t="s">
        <v>686</v>
      </c>
    </row>
    <row r="3266" spans="1:2" x14ac:dyDescent="0.25">
      <c r="A3266" t="s">
        <v>355</v>
      </c>
      <c r="B3266" t="s">
        <v>2258</v>
      </c>
    </row>
    <row r="3267" spans="1:2" x14ac:dyDescent="0.25">
      <c r="A3267" t="s">
        <v>355</v>
      </c>
      <c r="B3267" t="s">
        <v>690</v>
      </c>
    </row>
    <row r="3268" spans="1:2" x14ac:dyDescent="0.25">
      <c r="A3268" t="s">
        <v>355</v>
      </c>
      <c r="B3268" t="s">
        <v>688</v>
      </c>
    </row>
    <row r="3269" spans="1:2" x14ac:dyDescent="0.25">
      <c r="A3269" t="s">
        <v>355</v>
      </c>
      <c r="B3269" t="s">
        <v>692</v>
      </c>
    </row>
    <row r="3270" spans="1:2" x14ac:dyDescent="0.25">
      <c r="A3270" t="s">
        <v>355</v>
      </c>
      <c r="B3270" t="s">
        <v>696</v>
      </c>
    </row>
    <row r="3271" spans="1:2" x14ac:dyDescent="0.25">
      <c r="A3271" t="s">
        <v>355</v>
      </c>
      <c r="B3271" t="s">
        <v>2259</v>
      </c>
    </row>
    <row r="3272" spans="1:2" x14ac:dyDescent="0.25">
      <c r="A3272" t="s">
        <v>355</v>
      </c>
      <c r="B3272" t="s">
        <v>691</v>
      </c>
    </row>
    <row r="3273" spans="1:2" x14ac:dyDescent="0.25">
      <c r="A3273" t="s">
        <v>355</v>
      </c>
      <c r="B3273" t="s">
        <v>695</v>
      </c>
    </row>
    <row r="3274" spans="1:2" x14ac:dyDescent="0.25">
      <c r="A3274" t="s">
        <v>315</v>
      </c>
      <c r="B3274" t="s">
        <v>4076</v>
      </c>
    </row>
    <row r="3275" spans="1:2" x14ac:dyDescent="0.25">
      <c r="A3275" t="s">
        <v>315</v>
      </c>
      <c r="B3275" t="s">
        <v>2992</v>
      </c>
    </row>
    <row r="3276" spans="1:2" x14ac:dyDescent="0.25">
      <c r="A3276" t="s">
        <v>315</v>
      </c>
      <c r="B3276" t="s">
        <v>2993</v>
      </c>
    </row>
    <row r="3277" spans="1:2" x14ac:dyDescent="0.25">
      <c r="A3277" t="s">
        <v>315</v>
      </c>
      <c r="B3277" t="s">
        <v>2994</v>
      </c>
    </row>
    <row r="3278" spans="1:2" x14ac:dyDescent="0.25">
      <c r="A3278" t="s">
        <v>315</v>
      </c>
      <c r="B3278" t="s">
        <v>2995</v>
      </c>
    </row>
    <row r="3279" spans="1:2" x14ac:dyDescent="0.25">
      <c r="A3279" t="s">
        <v>315</v>
      </c>
      <c r="B3279" t="s">
        <v>2996</v>
      </c>
    </row>
    <row r="3280" spans="1:2" x14ac:dyDescent="0.25">
      <c r="A3280" t="s">
        <v>315</v>
      </c>
      <c r="B3280" t="s">
        <v>2997</v>
      </c>
    </row>
    <row r="3281" spans="1:2" x14ac:dyDescent="0.25">
      <c r="A3281" t="s">
        <v>315</v>
      </c>
      <c r="B3281" t="s">
        <v>2998</v>
      </c>
    </row>
    <row r="3282" spans="1:2" x14ac:dyDescent="0.25">
      <c r="A3282" t="s">
        <v>315</v>
      </c>
      <c r="B3282" t="s">
        <v>556</v>
      </c>
    </row>
    <row r="3283" spans="1:2" x14ac:dyDescent="0.25">
      <c r="A3283" t="s">
        <v>315</v>
      </c>
      <c r="B3283" t="s">
        <v>2999</v>
      </c>
    </row>
    <row r="3284" spans="1:2" x14ac:dyDescent="0.25">
      <c r="A3284" t="s">
        <v>315</v>
      </c>
      <c r="B3284" t="s">
        <v>3000</v>
      </c>
    </row>
    <row r="3285" spans="1:2" x14ac:dyDescent="0.25">
      <c r="A3285" t="s">
        <v>315</v>
      </c>
      <c r="B3285" t="s">
        <v>3001</v>
      </c>
    </row>
    <row r="3286" spans="1:2" x14ac:dyDescent="0.25">
      <c r="A3286" t="s">
        <v>315</v>
      </c>
      <c r="B3286" t="s">
        <v>3002</v>
      </c>
    </row>
    <row r="3287" spans="1:2" x14ac:dyDescent="0.25">
      <c r="A3287" t="s">
        <v>315</v>
      </c>
      <c r="B3287" t="s">
        <v>3003</v>
      </c>
    </row>
    <row r="3288" spans="1:2" x14ac:dyDescent="0.25">
      <c r="A3288" t="s">
        <v>315</v>
      </c>
      <c r="B3288" t="s">
        <v>3004</v>
      </c>
    </row>
    <row r="3289" spans="1:2" x14ac:dyDescent="0.25">
      <c r="A3289" t="s">
        <v>315</v>
      </c>
      <c r="B3289" t="s">
        <v>3005</v>
      </c>
    </row>
    <row r="3290" spans="1:2" x14ac:dyDescent="0.25">
      <c r="A3290" t="s">
        <v>331</v>
      </c>
      <c r="B3290" t="s">
        <v>4082</v>
      </c>
    </row>
    <row r="3291" spans="1:2" x14ac:dyDescent="0.25">
      <c r="A3291" t="s">
        <v>331</v>
      </c>
      <c r="B3291" t="s">
        <v>3086</v>
      </c>
    </row>
    <row r="3292" spans="1:2" x14ac:dyDescent="0.25">
      <c r="A3292" t="s">
        <v>331</v>
      </c>
      <c r="B3292" t="s">
        <v>3087</v>
      </c>
    </row>
    <row r="3293" spans="1:2" x14ac:dyDescent="0.25">
      <c r="A3293" t="s">
        <v>331</v>
      </c>
      <c r="B3293" t="s">
        <v>3088</v>
      </c>
    </row>
    <row r="3294" spans="1:2" x14ac:dyDescent="0.25">
      <c r="A3294" t="s">
        <v>331</v>
      </c>
      <c r="B3294" t="s">
        <v>3089</v>
      </c>
    </row>
    <row r="3295" spans="1:2" x14ac:dyDescent="0.25">
      <c r="A3295" t="s">
        <v>331</v>
      </c>
      <c r="B3295" t="s">
        <v>3090</v>
      </c>
    </row>
    <row r="3296" spans="1:2" x14ac:dyDescent="0.25">
      <c r="A3296" t="s">
        <v>331</v>
      </c>
      <c r="B3296" t="s">
        <v>3091</v>
      </c>
    </row>
    <row r="3297" spans="1:2" x14ac:dyDescent="0.25">
      <c r="A3297" t="s">
        <v>331</v>
      </c>
      <c r="B3297" t="s">
        <v>3092</v>
      </c>
    </row>
    <row r="3298" spans="1:2" x14ac:dyDescent="0.25">
      <c r="A3298" t="s">
        <v>331</v>
      </c>
      <c r="B3298" t="s">
        <v>3093</v>
      </c>
    </row>
    <row r="3299" spans="1:2" x14ac:dyDescent="0.25">
      <c r="A3299" t="s">
        <v>331</v>
      </c>
      <c r="B3299" t="s">
        <v>3094</v>
      </c>
    </row>
    <row r="3300" spans="1:2" x14ac:dyDescent="0.25">
      <c r="A3300" t="s">
        <v>331</v>
      </c>
      <c r="B3300" t="s">
        <v>3095</v>
      </c>
    </row>
    <row r="3301" spans="1:2" x14ac:dyDescent="0.25">
      <c r="A3301" t="s">
        <v>331</v>
      </c>
      <c r="B3301" t="s">
        <v>3096</v>
      </c>
    </row>
    <row r="3302" spans="1:2" x14ac:dyDescent="0.25">
      <c r="A3302" t="s">
        <v>331</v>
      </c>
      <c r="B3302" t="s">
        <v>3097</v>
      </c>
    </row>
    <row r="3303" spans="1:2" x14ac:dyDescent="0.25">
      <c r="A3303" t="s">
        <v>331</v>
      </c>
      <c r="B3303" t="s">
        <v>3098</v>
      </c>
    </row>
    <row r="3304" spans="1:2" x14ac:dyDescent="0.25">
      <c r="A3304" t="s">
        <v>331</v>
      </c>
      <c r="B3304" t="s">
        <v>3099</v>
      </c>
    </row>
    <row r="3305" spans="1:2" x14ac:dyDescent="0.25">
      <c r="A3305" t="s">
        <v>331</v>
      </c>
      <c r="B3305" t="s">
        <v>3100</v>
      </c>
    </row>
    <row r="3306" spans="1:2" x14ac:dyDescent="0.25">
      <c r="A3306" t="s">
        <v>331</v>
      </c>
      <c r="B3306" t="s">
        <v>3101</v>
      </c>
    </row>
    <row r="3307" spans="1:2" x14ac:dyDescent="0.25">
      <c r="A3307" t="s">
        <v>331</v>
      </c>
      <c r="B3307" t="s">
        <v>3102</v>
      </c>
    </row>
    <row r="3308" spans="1:2" x14ac:dyDescent="0.25">
      <c r="A3308" t="s">
        <v>331</v>
      </c>
      <c r="B3308" t="s">
        <v>3103</v>
      </c>
    </row>
    <row r="3309" spans="1:2" x14ac:dyDescent="0.25">
      <c r="A3309" t="s">
        <v>331</v>
      </c>
      <c r="B3309" t="s">
        <v>3104</v>
      </c>
    </row>
    <row r="3310" spans="1:2" x14ac:dyDescent="0.25">
      <c r="A3310" t="s">
        <v>331</v>
      </c>
      <c r="B3310" t="s">
        <v>3105</v>
      </c>
    </row>
    <row r="3311" spans="1:2" x14ac:dyDescent="0.25">
      <c r="A3311" t="s">
        <v>331</v>
      </c>
      <c r="B3311" t="s">
        <v>3106</v>
      </c>
    </row>
    <row r="3312" spans="1:2" x14ac:dyDescent="0.25">
      <c r="A3312" t="s">
        <v>331</v>
      </c>
      <c r="B3312" t="s">
        <v>3107</v>
      </c>
    </row>
    <row r="3313" spans="1:2" x14ac:dyDescent="0.25">
      <c r="A3313" t="s">
        <v>331</v>
      </c>
      <c r="B3313" t="s">
        <v>3108</v>
      </c>
    </row>
    <row r="3314" spans="1:2" x14ac:dyDescent="0.25">
      <c r="A3314" t="s">
        <v>1552</v>
      </c>
      <c r="B3314" t="s">
        <v>4031</v>
      </c>
    </row>
    <row r="3315" spans="1:2" x14ac:dyDescent="0.25">
      <c r="A3315" t="s">
        <v>1552</v>
      </c>
      <c r="B3315" t="s">
        <v>1802</v>
      </c>
    </row>
    <row r="3316" spans="1:2" x14ac:dyDescent="0.25">
      <c r="A3316" t="s">
        <v>1552</v>
      </c>
      <c r="B3316" t="s">
        <v>857</v>
      </c>
    </row>
    <row r="3317" spans="1:2" x14ac:dyDescent="0.25">
      <c r="A3317" t="s">
        <v>1552</v>
      </c>
      <c r="B3317" t="s">
        <v>855</v>
      </c>
    </row>
    <row r="3318" spans="1:2" x14ac:dyDescent="0.25">
      <c r="A3318" t="s">
        <v>1552</v>
      </c>
      <c r="B3318" t="s">
        <v>1803</v>
      </c>
    </row>
    <row r="3319" spans="1:2" x14ac:dyDescent="0.25">
      <c r="A3319" t="s">
        <v>1552</v>
      </c>
      <c r="B3319" t="s">
        <v>1804</v>
      </c>
    </row>
    <row r="3320" spans="1:2" x14ac:dyDescent="0.25">
      <c r="A3320" t="s">
        <v>1552</v>
      </c>
      <c r="B3320" t="s">
        <v>1805</v>
      </c>
    </row>
    <row r="3321" spans="1:2" x14ac:dyDescent="0.25">
      <c r="A3321" t="s">
        <v>1552</v>
      </c>
      <c r="B3321" t="s">
        <v>1806</v>
      </c>
    </row>
    <row r="3322" spans="1:2" x14ac:dyDescent="0.25">
      <c r="A3322" t="s">
        <v>1552</v>
      </c>
      <c r="B3322" t="s">
        <v>1807</v>
      </c>
    </row>
    <row r="3323" spans="1:2" x14ac:dyDescent="0.25">
      <c r="A3323" t="s">
        <v>1552</v>
      </c>
      <c r="B3323" t="s">
        <v>1808</v>
      </c>
    </row>
    <row r="3324" spans="1:2" x14ac:dyDescent="0.25">
      <c r="A3324" t="s">
        <v>1552</v>
      </c>
      <c r="B3324" t="s">
        <v>1809</v>
      </c>
    </row>
    <row r="3325" spans="1:2" x14ac:dyDescent="0.25">
      <c r="A3325" t="s">
        <v>1552</v>
      </c>
      <c r="B3325" t="s">
        <v>1810</v>
      </c>
    </row>
    <row r="3326" spans="1:2" x14ac:dyDescent="0.25">
      <c r="A3326" t="s">
        <v>1552</v>
      </c>
      <c r="B3326" t="s">
        <v>1811</v>
      </c>
    </row>
    <row r="3327" spans="1:2" x14ac:dyDescent="0.25">
      <c r="A3327" t="s">
        <v>1552</v>
      </c>
      <c r="B3327" t="s">
        <v>1812</v>
      </c>
    </row>
    <row r="3328" spans="1:2" x14ac:dyDescent="0.25">
      <c r="A3328" t="s">
        <v>1552</v>
      </c>
      <c r="B3328" t="s">
        <v>1813</v>
      </c>
    </row>
    <row r="3329" spans="1:2" x14ac:dyDescent="0.25">
      <c r="A3329" t="s">
        <v>1552</v>
      </c>
      <c r="B3329" t="s">
        <v>1814</v>
      </c>
    </row>
    <row r="3330" spans="1:2" x14ac:dyDescent="0.25">
      <c r="A3330" t="s">
        <v>1552</v>
      </c>
      <c r="B3330" t="s">
        <v>1815</v>
      </c>
    </row>
    <row r="3331" spans="1:2" x14ac:dyDescent="0.25">
      <c r="A3331" t="s">
        <v>1552</v>
      </c>
      <c r="B3331" t="s">
        <v>1816</v>
      </c>
    </row>
    <row r="3332" spans="1:2" x14ac:dyDescent="0.25">
      <c r="A3332" t="s">
        <v>1552</v>
      </c>
      <c r="B3332" t="s">
        <v>1817</v>
      </c>
    </row>
    <row r="3333" spans="1:2" x14ac:dyDescent="0.25">
      <c r="A3333" t="s">
        <v>1552</v>
      </c>
      <c r="B3333" t="s">
        <v>1818</v>
      </c>
    </row>
    <row r="3334" spans="1:2" x14ac:dyDescent="0.25">
      <c r="A3334" t="s">
        <v>1552</v>
      </c>
      <c r="B3334" t="s">
        <v>1819</v>
      </c>
    </row>
    <row r="3335" spans="1:2" x14ac:dyDescent="0.25">
      <c r="A3335" t="s">
        <v>1552</v>
      </c>
      <c r="B3335" t="s">
        <v>1820</v>
      </c>
    </row>
    <row r="3336" spans="1:2" x14ac:dyDescent="0.25">
      <c r="A3336" t="s">
        <v>1552</v>
      </c>
      <c r="B3336" t="s">
        <v>1821</v>
      </c>
    </row>
    <row r="3337" spans="1:2" x14ac:dyDescent="0.25">
      <c r="A3337" t="s">
        <v>1552</v>
      </c>
      <c r="B3337" t="s">
        <v>1822</v>
      </c>
    </row>
    <row r="3338" spans="1:2" x14ac:dyDescent="0.25">
      <c r="A3338" t="s">
        <v>1552</v>
      </c>
      <c r="B3338" t="s">
        <v>1823</v>
      </c>
    </row>
    <row r="3339" spans="1:2" x14ac:dyDescent="0.25">
      <c r="A3339" t="s">
        <v>281</v>
      </c>
      <c r="B3339" t="s">
        <v>4089</v>
      </c>
    </row>
    <row r="3340" spans="1:2" x14ac:dyDescent="0.25">
      <c r="A3340" t="s">
        <v>281</v>
      </c>
      <c r="B3340" t="s">
        <v>3272</v>
      </c>
    </row>
    <row r="3341" spans="1:2" x14ac:dyDescent="0.25">
      <c r="A3341" t="s">
        <v>281</v>
      </c>
      <c r="B3341" t="s">
        <v>1036</v>
      </c>
    </row>
    <row r="3342" spans="1:2" x14ac:dyDescent="0.25">
      <c r="A3342" t="s">
        <v>281</v>
      </c>
      <c r="B3342" t="s">
        <v>1037</v>
      </c>
    </row>
    <row r="3343" spans="1:2" x14ac:dyDescent="0.25">
      <c r="A3343" t="s">
        <v>281</v>
      </c>
      <c r="B3343" t="s">
        <v>3273</v>
      </c>
    </row>
    <row r="3344" spans="1:2" x14ac:dyDescent="0.25">
      <c r="A3344" t="s">
        <v>281</v>
      </c>
      <c r="B3344" t="s">
        <v>3274</v>
      </c>
    </row>
    <row r="3345" spans="1:2" x14ac:dyDescent="0.25">
      <c r="A3345" t="s">
        <v>281</v>
      </c>
      <c r="B3345" t="s">
        <v>3275</v>
      </c>
    </row>
    <row r="3346" spans="1:2" x14ac:dyDescent="0.25">
      <c r="A3346" t="s">
        <v>281</v>
      </c>
      <c r="B3346" t="s">
        <v>3276</v>
      </c>
    </row>
    <row r="3347" spans="1:2" x14ac:dyDescent="0.25">
      <c r="A3347" t="s">
        <v>281</v>
      </c>
      <c r="B3347" t="s">
        <v>3277</v>
      </c>
    </row>
    <row r="3348" spans="1:2" x14ac:dyDescent="0.25">
      <c r="A3348" t="s">
        <v>281</v>
      </c>
      <c r="B3348" t="s">
        <v>3278</v>
      </c>
    </row>
    <row r="3349" spans="1:2" x14ac:dyDescent="0.25">
      <c r="A3349" t="s">
        <v>281</v>
      </c>
      <c r="B3349" t="s">
        <v>3279</v>
      </c>
    </row>
    <row r="3350" spans="1:2" x14ac:dyDescent="0.25">
      <c r="A3350" t="s">
        <v>281</v>
      </c>
      <c r="B3350" t="s">
        <v>3280</v>
      </c>
    </row>
    <row r="3351" spans="1:2" x14ac:dyDescent="0.25">
      <c r="A3351" t="s">
        <v>281</v>
      </c>
      <c r="B3351" t="s">
        <v>3281</v>
      </c>
    </row>
    <row r="3352" spans="1:2" x14ac:dyDescent="0.25">
      <c r="A3352" t="s">
        <v>281</v>
      </c>
      <c r="B3352" t="s">
        <v>3282</v>
      </c>
    </row>
    <row r="3353" spans="1:2" x14ac:dyDescent="0.25">
      <c r="A3353" t="s">
        <v>281</v>
      </c>
      <c r="B3353" t="s">
        <v>3283</v>
      </c>
    </row>
    <row r="3354" spans="1:2" x14ac:dyDescent="0.25">
      <c r="A3354" t="s">
        <v>281</v>
      </c>
      <c r="B3354" t="s">
        <v>1261</v>
      </c>
    </row>
    <row r="3355" spans="1:2" x14ac:dyDescent="0.25">
      <c r="A3355" t="s">
        <v>281</v>
      </c>
      <c r="B3355" t="s">
        <v>3284</v>
      </c>
    </row>
    <row r="3356" spans="1:2" x14ac:dyDescent="0.25">
      <c r="A3356" t="s">
        <v>281</v>
      </c>
      <c r="B3356" t="s">
        <v>3285</v>
      </c>
    </row>
    <row r="3357" spans="1:2" x14ac:dyDescent="0.25">
      <c r="A3357" t="s">
        <v>281</v>
      </c>
      <c r="B3357" t="s">
        <v>3286</v>
      </c>
    </row>
    <row r="3358" spans="1:2" x14ac:dyDescent="0.25">
      <c r="A3358" t="s">
        <v>281</v>
      </c>
      <c r="B3358" t="s">
        <v>3287</v>
      </c>
    </row>
    <row r="3359" spans="1:2" x14ac:dyDescent="0.25">
      <c r="A3359" t="s">
        <v>281</v>
      </c>
      <c r="B3359" t="s">
        <v>4674</v>
      </c>
    </row>
    <row r="3360" spans="1:2" x14ac:dyDescent="0.25">
      <c r="A3360" t="s">
        <v>260</v>
      </c>
      <c r="B3360" t="s">
        <v>4026</v>
      </c>
    </row>
    <row r="3361" spans="1:2" x14ac:dyDescent="0.25">
      <c r="A3361" t="s">
        <v>260</v>
      </c>
      <c r="B3361" t="s">
        <v>1713</v>
      </c>
    </row>
    <row r="3362" spans="1:2" x14ac:dyDescent="0.25">
      <c r="A3362" t="s">
        <v>260</v>
      </c>
      <c r="B3362" t="s">
        <v>1714</v>
      </c>
    </row>
    <row r="3363" spans="1:2" x14ac:dyDescent="0.25">
      <c r="A3363" t="s">
        <v>260</v>
      </c>
      <c r="B3363" t="s">
        <v>1715</v>
      </c>
    </row>
    <row r="3364" spans="1:2" x14ac:dyDescent="0.25">
      <c r="A3364" t="s">
        <v>260</v>
      </c>
      <c r="B3364" t="s">
        <v>1716</v>
      </c>
    </row>
    <row r="3365" spans="1:2" x14ac:dyDescent="0.25">
      <c r="A3365" t="s">
        <v>260</v>
      </c>
      <c r="B3365" t="s">
        <v>1295</v>
      </c>
    </row>
    <row r="3366" spans="1:2" x14ac:dyDescent="0.25">
      <c r="A3366" t="s">
        <v>260</v>
      </c>
      <c r="B3366" t="s">
        <v>1226</v>
      </c>
    </row>
    <row r="3367" spans="1:2" x14ac:dyDescent="0.25">
      <c r="A3367" t="s">
        <v>260</v>
      </c>
      <c r="B3367" t="s">
        <v>1717</v>
      </c>
    </row>
    <row r="3368" spans="1:2" x14ac:dyDescent="0.25">
      <c r="A3368" t="s">
        <v>260</v>
      </c>
      <c r="B3368" t="s">
        <v>1224</v>
      </c>
    </row>
    <row r="3369" spans="1:2" x14ac:dyDescent="0.25">
      <c r="A3369" t="s">
        <v>260</v>
      </c>
      <c r="B3369" t="s">
        <v>1718</v>
      </c>
    </row>
    <row r="3370" spans="1:2" x14ac:dyDescent="0.25">
      <c r="A3370" t="s">
        <v>260</v>
      </c>
      <c r="B3370" t="s">
        <v>1719</v>
      </c>
    </row>
    <row r="3371" spans="1:2" x14ac:dyDescent="0.25">
      <c r="A3371" t="s">
        <v>260</v>
      </c>
      <c r="B3371" t="s">
        <v>1220</v>
      </c>
    </row>
    <row r="3372" spans="1:2" x14ac:dyDescent="0.25">
      <c r="A3372" t="s">
        <v>260</v>
      </c>
      <c r="B3372" t="s">
        <v>1720</v>
      </c>
    </row>
    <row r="3373" spans="1:2" x14ac:dyDescent="0.25">
      <c r="A3373" t="s">
        <v>260</v>
      </c>
      <c r="B3373" t="s">
        <v>1223</v>
      </c>
    </row>
    <row r="3374" spans="1:2" x14ac:dyDescent="0.25">
      <c r="A3374" t="s">
        <v>260</v>
      </c>
      <c r="B3374" t="s">
        <v>1222</v>
      </c>
    </row>
    <row r="3375" spans="1:2" x14ac:dyDescent="0.25">
      <c r="A3375" t="s">
        <v>260</v>
      </c>
      <c r="B3375" t="s">
        <v>1219</v>
      </c>
    </row>
    <row r="3376" spans="1:2" x14ac:dyDescent="0.25">
      <c r="A3376" t="s">
        <v>260</v>
      </c>
      <c r="B3376" t="s">
        <v>1721</v>
      </c>
    </row>
    <row r="3377" spans="1:2" x14ac:dyDescent="0.25">
      <c r="A3377" t="s">
        <v>260</v>
      </c>
      <c r="B3377" t="s">
        <v>1218</v>
      </c>
    </row>
    <row r="3378" spans="1:2" x14ac:dyDescent="0.25">
      <c r="A3378" t="s">
        <v>260</v>
      </c>
      <c r="B3378" t="s">
        <v>4614</v>
      </c>
    </row>
    <row r="3379" spans="1:2" x14ac:dyDescent="0.25">
      <c r="A3379" t="s">
        <v>260</v>
      </c>
      <c r="B3379" t="s">
        <v>1225</v>
      </c>
    </row>
    <row r="3380" spans="1:2" x14ac:dyDescent="0.25">
      <c r="A3380" t="s">
        <v>260</v>
      </c>
      <c r="B3380" t="s">
        <v>1722</v>
      </c>
    </row>
    <row r="3381" spans="1:2" x14ac:dyDescent="0.25">
      <c r="A3381" t="s">
        <v>260</v>
      </c>
      <c r="B3381" t="s">
        <v>1221</v>
      </c>
    </row>
    <row r="3382" spans="1:2" x14ac:dyDescent="0.25">
      <c r="A3382" t="s">
        <v>260</v>
      </c>
      <c r="B3382" t="s">
        <v>1723</v>
      </c>
    </row>
    <row r="3383" spans="1:2" x14ac:dyDescent="0.25">
      <c r="A3383" t="s">
        <v>312</v>
      </c>
      <c r="B3383" t="s">
        <v>4048</v>
      </c>
    </row>
    <row r="3384" spans="1:2" x14ac:dyDescent="0.25">
      <c r="A3384" t="s">
        <v>312</v>
      </c>
      <c r="B3384" t="s">
        <v>2343</v>
      </c>
    </row>
    <row r="3385" spans="1:2" x14ac:dyDescent="0.25">
      <c r="A3385" t="s">
        <v>312</v>
      </c>
      <c r="B3385" t="s">
        <v>2344</v>
      </c>
    </row>
    <row r="3386" spans="1:2" x14ac:dyDescent="0.25">
      <c r="A3386" t="s">
        <v>312</v>
      </c>
      <c r="B3386" t="s">
        <v>2345</v>
      </c>
    </row>
    <row r="3387" spans="1:2" x14ac:dyDescent="0.25">
      <c r="A3387" t="s">
        <v>312</v>
      </c>
      <c r="B3387" t="s">
        <v>2346</v>
      </c>
    </row>
    <row r="3388" spans="1:2" x14ac:dyDescent="0.25">
      <c r="A3388" t="s">
        <v>312</v>
      </c>
      <c r="B3388" t="s">
        <v>2347</v>
      </c>
    </row>
    <row r="3389" spans="1:2" x14ac:dyDescent="0.25">
      <c r="A3389" t="s">
        <v>312</v>
      </c>
      <c r="B3389" t="s">
        <v>2348</v>
      </c>
    </row>
    <row r="3390" spans="1:2" x14ac:dyDescent="0.25">
      <c r="A3390" t="s">
        <v>312</v>
      </c>
      <c r="B3390" t="s">
        <v>2349</v>
      </c>
    </row>
    <row r="3391" spans="1:2" x14ac:dyDescent="0.25">
      <c r="A3391" t="s">
        <v>312</v>
      </c>
      <c r="B3391" t="s">
        <v>2350</v>
      </c>
    </row>
    <row r="3392" spans="1:2" x14ac:dyDescent="0.25">
      <c r="A3392" t="s">
        <v>312</v>
      </c>
      <c r="B3392" t="s">
        <v>2351</v>
      </c>
    </row>
    <row r="3393" spans="1:2" x14ac:dyDescent="0.25">
      <c r="A3393" t="s">
        <v>312</v>
      </c>
      <c r="B3393" t="s">
        <v>2352</v>
      </c>
    </row>
    <row r="3394" spans="1:2" x14ac:dyDescent="0.25">
      <c r="A3394" t="s">
        <v>312</v>
      </c>
      <c r="B3394" t="s">
        <v>2353</v>
      </c>
    </row>
    <row r="3395" spans="1:2" x14ac:dyDescent="0.25">
      <c r="A3395" t="s">
        <v>312</v>
      </c>
      <c r="B3395" t="s">
        <v>2354</v>
      </c>
    </row>
    <row r="3396" spans="1:2" x14ac:dyDescent="0.25">
      <c r="A3396" t="s">
        <v>312</v>
      </c>
      <c r="B3396" t="s">
        <v>2355</v>
      </c>
    </row>
    <row r="3397" spans="1:2" x14ac:dyDescent="0.25">
      <c r="A3397" t="s">
        <v>312</v>
      </c>
      <c r="B3397" t="s">
        <v>2356</v>
      </c>
    </row>
    <row r="3398" spans="1:2" x14ac:dyDescent="0.25">
      <c r="A3398" t="s">
        <v>312</v>
      </c>
      <c r="B3398" t="s">
        <v>2357</v>
      </c>
    </row>
    <row r="3399" spans="1:2" x14ac:dyDescent="0.25">
      <c r="A3399" t="s">
        <v>312</v>
      </c>
      <c r="B3399" t="s">
        <v>2358</v>
      </c>
    </row>
    <row r="3400" spans="1:2" x14ac:dyDescent="0.25">
      <c r="A3400" t="s">
        <v>312</v>
      </c>
      <c r="B3400" t="s">
        <v>2359</v>
      </c>
    </row>
    <row r="3401" spans="1:2" x14ac:dyDescent="0.25">
      <c r="A3401" t="s">
        <v>309</v>
      </c>
      <c r="B3401" t="s">
        <v>4689</v>
      </c>
    </row>
    <row r="3402" spans="1:2" x14ac:dyDescent="0.25">
      <c r="A3402" t="s">
        <v>309</v>
      </c>
      <c r="B3402" t="s">
        <v>405</v>
      </c>
    </row>
    <row r="3403" spans="1:2" x14ac:dyDescent="0.25">
      <c r="A3403" t="s">
        <v>309</v>
      </c>
      <c r="B3403" t="s">
        <v>809</v>
      </c>
    </row>
    <row r="3404" spans="1:2" x14ac:dyDescent="0.25">
      <c r="A3404" t="s">
        <v>309</v>
      </c>
      <c r="B3404" t="s">
        <v>2328</v>
      </c>
    </row>
    <row r="3405" spans="1:2" x14ac:dyDescent="0.25">
      <c r="A3405" t="s">
        <v>309</v>
      </c>
      <c r="B3405" t="s">
        <v>1093</v>
      </c>
    </row>
    <row r="3406" spans="1:2" x14ac:dyDescent="0.25">
      <c r="A3406" t="s">
        <v>309</v>
      </c>
      <c r="B3406" t="s">
        <v>1099</v>
      </c>
    </row>
    <row r="3407" spans="1:2" x14ac:dyDescent="0.25">
      <c r="A3407" t="s">
        <v>309</v>
      </c>
      <c r="B3407" t="s">
        <v>1095</v>
      </c>
    </row>
    <row r="3408" spans="1:2" x14ac:dyDescent="0.25">
      <c r="A3408" t="s">
        <v>309</v>
      </c>
      <c r="B3408" t="s">
        <v>1090</v>
      </c>
    </row>
    <row r="3409" spans="1:2" x14ac:dyDescent="0.25">
      <c r="A3409" t="s">
        <v>309</v>
      </c>
      <c r="B3409" t="s">
        <v>1100</v>
      </c>
    </row>
    <row r="3410" spans="1:2" x14ac:dyDescent="0.25">
      <c r="A3410" t="s">
        <v>309</v>
      </c>
      <c r="B3410" t="s">
        <v>1103</v>
      </c>
    </row>
    <row r="3411" spans="1:2" x14ac:dyDescent="0.25">
      <c r="A3411" t="s">
        <v>309</v>
      </c>
      <c r="B3411" t="s">
        <v>1101</v>
      </c>
    </row>
    <row r="3412" spans="1:2" x14ac:dyDescent="0.25">
      <c r="A3412" t="s">
        <v>309</v>
      </c>
      <c r="B3412" t="s">
        <v>1102</v>
      </c>
    </row>
    <row r="3413" spans="1:2" x14ac:dyDescent="0.25">
      <c r="A3413" t="s">
        <v>309</v>
      </c>
      <c r="B3413" t="s">
        <v>1097</v>
      </c>
    </row>
    <row r="3414" spans="1:2" x14ac:dyDescent="0.25">
      <c r="A3414" t="s">
        <v>309</v>
      </c>
      <c r="B3414" t="s">
        <v>1096</v>
      </c>
    </row>
    <row r="3415" spans="1:2" x14ac:dyDescent="0.25">
      <c r="A3415" t="s">
        <v>309</v>
      </c>
      <c r="B3415" t="s">
        <v>1109</v>
      </c>
    </row>
    <row r="3416" spans="1:2" x14ac:dyDescent="0.25">
      <c r="A3416" t="s">
        <v>309</v>
      </c>
      <c r="B3416" t="s">
        <v>1110</v>
      </c>
    </row>
    <row r="3417" spans="1:2" x14ac:dyDescent="0.25">
      <c r="A3417" t="s">
        <v>309</v>
      </c>
      <c r="B3417" t="s">
        <v>1111</v>
      </c>
    </row>
    <row r="3418" spans="1:2" x14ac:dyDescent="0.25">
      <c r="A3418" t="s">
        <v>309</v>
      </c>
      <c r="B3418" t="s">
        <v>2329</v>
      </c>
    </row>
    <row r="3419" spans="1:2" x14ac:dyDescent="0.25">
      <c r="A3419" t="s">
        <v>309</v>
      </c>
      <c r="B3419" t="s">
        <v>1106</v>
      </c>
    </row>
    <row r="3420" spans="1:2" x14ac:dyDescent="0.25">
      <c r="A3420" t="s">
        <v>309</v>
      </c>
      <c r="B3420" t="s">
        <v>1108</v>
      </c>
    </row>
    <row r="3421" spans="1:2" x14ac:dyDescent="0.25">
      <c r="A3421" t="s">
        <v>309</v>
      </c>
      <c r="B3421" t="s">
        <v>1107</v>
      </c>
    </row>
    <row r="3422" spans="1:2" x14ac:dyDescent="0.25">
      <c r="A3422" t="s">
        <v>353</v>
      </c>
      <c r="B3422" t="s">
        <v>4045</v>
      </c>
    </row>
    <row r="3423" spans="1:2" x14ac:dyDescent="0.25">
      <c r="A3423" t="s">
        <v>353</v>
      </c>
      <c r="B3423" t="s">
        <v>697</v>
      </c>
    </row>
    <row r="3424" spans="1:2" x14ac:dyDescent="0.25">
      <c r="A3424" t="s">
        <v>353</v>
      </c>
      <c r="B3424" t="s">
        <v>2283</v>
      </c>
    </row>
    <row r="3425" spans="1:2" x14ac:dyDescent="0.25">
      <c r="A3425" t="s">
        <v>353</v>
      </c>
      <c r="B3425" t="s">
        <v>698</v>
      </c>
    </row>
    <row r="3426" spans="1:2" x14ac:dyDescent="0.25">
      <c r="A3426" t="s">
        <v>353</v>
      </c>
      <c r="B3426" t="s">
        <v>2284</v>
      </c>
    </row>
    <row r="3427" spans="1:2" x14ac:dyDescent="0.25">
      <c r="A3427" t="s">
        <v>353</v>
      </c>
      <c r="B3427" t="s">
        <v>2285</v>
      </c>
    </row>
    <row r="3428" spans="1:2" x14ac:dyDescent="0.25">
      <c r="A3428" t="s">
        <v>353</v>
      </c>
      <c r="B3428" t="s">
        <v>449</v>
      </c>
    </row>
    <row r="3429" spans="1:2" x14ac:dyDescent="0.25">
      <c r="A3429" t="s">
        <v>353</v>
      </c>
      <c r="B3429" t="s">
        <v>445</v>
      </c>
    </row>
    <row r="3430" spans="1:2" x14ac:dyDescent="0.25">
      <c r="A3430" t="s">
        <v>353</v>
      </c>
      <c r="B3430" t="s">
        <v>501</v>
      </c>
    </row>
    <row r="3431" spans="1:2" x14ac:dyDescent="0.25">
      <c r="A3431" t="s">
        <v>353</v>
      </c>
      <c r="B3431" t="s">
        <v>507</v>
      </c>
    </row>
    <row r="3432" spans="1:2" x14ac:dyDescent="0.25">
      <c r="A3432" t="s">
        <v>353</v>
      </c>
      <c r="B3432" t="s">
        <v>505</v>
      </c>
    </row>
    <row r="3433" spans="1:2" x14ac:dyDescent="0.25">
      <c r="A3433" t="s">
        <v>353</v>
      </c>
      <c r="B3433" t="s">
        <v>500</v>
      </c>
    </row>
    <row r="3434" spans="1:2" x14ac:dyDescent="0.25">
      <c r="A3434" t="s">
        <v>353</v>
      </c>
      <c r="B3434" t="s">
        <v>503</v>
      </c>
    </row>
    <row r="3435" spans="1:2" x14ac:dyDescent="0.25">
      <c r="A3435" t="s">
        <v>353</v>
      </c>
      <c r="B3435" t="s">
        <v>510</v>
      </c>
    </row>
    <row r="3436" spans="1:2" x14ac:dyDescent="0.25">
      <c r="A3436" t="s">
        <v>353</v>
      </c>
      <c r="B3436" t="s">
        <v>498</v>
      </c>
    </row>
    <row r="3437" spans="1:2" x14ac:dyDescent="0.25">
      <c r="A3437" t="s">
        <v>353</v>
      </c>
      <c r="B3437" t="s">
        <v>2286</v>
      </c>
    </row>
    <row r="3438" spans="1:2" x14ac:dyDescent="0.25">
      <c r="A3438" t="s">
        <v>353</v>
      </c>
      <c r="B3438" t="s">
        <v>506</v>
      </c>
    </row>
    <row r="3439" spans="1:2" x14ac:dyDescent="0.25">
      <c r="A3439" t="s">
        <v>353</v>
      </c>
      <c r="B3439" t="s">
        <v>2287</v>
      </c>
    </row>
    <row r="3440" spans="1:2" x14ac:dyDescent="0.25">
      <c r="A3440" t="s">
        <v>353</v>
      </c>
      <c r="B3440" t="s">
        <v>2288</v>
      </c>
    </row>
    <row r="3441" spans="1:2" x14ac:dyDescent="0.25">
      <c r="A3441" t="s">
        <v>353</v>
      </c>
      <c r="B3441" t="s">
        <v>2289</v>
      </c>
    </row>
    <row r="3442" spans="1:2" x14ac:dyDescent="0.25">
      <c r="A3442" t="s">
        <v>353</v>
      </c>
      <c r="B3442" t="s">
        <v>496</v>
      </c>
    </row>
    <row r="3443" spans="1:2" x14ac:dyDescent="0.25">
      <c r="A3443" t="s">
        <v>353</v>
      </c>
      <c r="B3443" t="s">
        <v>502</v>
      </c>
    </row>
    <row r="3444" spans="1:2" x14ac:dyDescent="0.25">
      <c r="A3444" t="s">
        <v>353</v>
      </c>
      <c r="B3444" t="s">
        <v>509</v>
      </c>
    </row>
    <row r="3445" spans="1:2" x14ac:dyDescent="0.25">
      <c r="A3445" t="s">
        <v>353</v>
      </c>
      <c r="B3445" t="s">
        <v>499</v>
      </c>
    </row>
    <row r="3446" spans="1:2" x14ac:dyDescent="0.25">
      <c r="A3446" t="s">
        <v>353</v>
      </c>
      <c r="B3446" t="s">
        <v>504</v>
      </c>
    </row>
    <row r="3447" spans="1:2" x14ac:dyDescent="0.25">
      <c r="A3447" t="s">
        <v>1593</v>
      </c>
      <c r="B3447" t="s">
        <v>4093</v>
      </c>
    </row>
    <row r="3448" spans="1:2" x14ac:dyDescent="0.25">
      <c r="A3448" t="s">
        <v>1593</v>
      </c>
      <c r="B3448" t="s">
        <v>3336</v>
      </c>
    </row>
    <row r="3449" spans="1:2" x14ac:dyDescent="0.25">
      <c r="A3449" t="s">
        <v>1593</v>
      </c>
      <c r="B3449" t="s">
        <v>3337</v>
      </c>
    </row>
    <row r="3450" spans="1:2" x14ac:dyDescent="0.25">
      <c r="A3450" t="s">
        <v>1593</v>
      </c>
      <c r="B3450" t="s">
        <v>3338</v>
      </c>
    </row>
    <row r="3451" spans="1:2" x14ac:dyDescent="0.25">
      <c r="A3451" t="s">
        <v>1593</v>
      </c>
      <c r="B3451" t="s">
        <v>3339</v>
      </c>
    </row>
    <row r="3452" spans="1:2" x14ac:dyDescent="0.25">
      <c r="A3452" t="s">
        <v>1593</v>
      </c>
      <c r="B3452" t="s">
        <v>3340</v>
      </c>
    </row>
    <row r="3453" spans="1:2" x14ac:dyDescent="0.25">
      <c r="A3453" t="s">
        <v>1593</v>
      </c>
      <c r="B3453" t="s">
        <v>3341</v>
      </c>
    </row>
    <row r="3454" spans="1:2" x14ac:dyDescent="0.25">
      <c r="A3454" t="s">
        <v>1593</v>
      </c>
      <c r="B3454" t="s">
        <v>3342</v>
      </c>
    </row>
    <row r="3455" spans="1:2" x14ac:dyDescent="0.25">
      <c r="A3455" t="s">
        <v>1593</v>
      </c>
      <c r="B3455" t="s">
        <v>3343</v>
      </c>
    </row>
    <row r="3456" spans="1:2" x14ac:dyDescent="0.25">
      <c r="A3456" t="s">
        <v>1593</v>
      </c>
      <c r="B3456" t="s">
        <v>3344</v>
      </c>
    </row>
    <row r="3457" spans="1:2" x14ac:dyDescent="0.25">
      <c r="A3457" t="s">
        <v>1593</v>
      </c>
      <c r="B3457" t="s">
        <v>3345</v>
      </c>
    </row>
    <row r="3458" spans="1:2" x14ac:dyDescent="0.25">
      <c r="A3458" t="s">
        <v>1593</v>
      </c>
      <c r="B3458" t="s">
        <v>3328</v>
      </c>
    </row>
    <row r="3459" spans="1:2" x14ac:dyDescent="0.25">
      <c r="A3459" t="s">
        <v>1593</v>
      </c>
      <c r="B3459" t="s">
        <v>3346</v>
      </c>
    </row>
    <row r="3460" spans="1:2" x14ac:dyDescent="0.25">
      <c r="A3460" t="s">
        <v>1593</v>
      </c>
      <c r="B3460" t="s">
        <v>3329</v>
      </c>
    </row>
    <row r="3461" spans="1:2" x14ac:dyDescent="0.25">
      <c r="A3461" t="s">
        <v>1593</v>
      </c>
      <c r="B3461" t="s">
        <v>3330</v>
      </c>
    </row>
    <row r="3462" spans="1:2" x14ac:dyDescent="0.25">
      <c r="A3462" t="s">
        <v>1593</v>
      </c>
      <c r="B3462" t="s">
        <v>3331</v>
      </c>
    </row>
    <row r="3463" spans="1:2" x14ac:dyDescent="0.25">
      <c r="A3463" t="s">
        <v>1593</v>
      </c>
      <c r="B3463" t="s">
        <v>3332</v>
      </c>
    </row>
    <row r="3464" spans="1:2" x14ac:dyDescent="0.25">
      <c r="A3464" t="s">
        <v>1593</v>
      </c>
      <c r="B3464" t="s">
        <v>3333</v>
      </c>
    </row>
    <row r="3465" spans="1:2" x14ac:dyDescent="0.25">
      <c r="A3465" t="s">
        <v>1593</v>
      </c>
      <c r="B3465" t="s">
        <v>3334</v>
      </c>
    </row>
    <row r="3466" spans="1:2" x14ac:dyDescent="0.25">
      <c r="A3466" t="s">
        <v>1593</v>
      </c>
      <c r="B3466" t="s">
        <v>3335</v>
      </c>
    </row>
    <row r="3467" spans="1:2" x14ac:dyDescent="0.25">
      <c r="A3467" t="s">
        <v>368</v>
      </c>
      <c r="B3467" t="s">
        <v>490</v>
      </c>
    </row>
    <row r="3468" spans="1:2" x14ac:dyDescent="0.25">
      <c r="A3468" t="s">
        <v>368</v>
      </c>
      <c r="B3468" t="s">
        <v>2290</v>
      </c>
    </row>
    <row r="3469" spans="1:2" x14ac:dyDescent="0.25">
      <c r="A3469" t="s">
        <v>368</v>
      </c>
      <c r="B3469" t="s">
        <v>2291</v>
      </c>
    </row>
    <row r="3470" spans="1:2" x14ac:dyDescent="0.25">
      <c r="A3470" t="s">
        <v>368</v>
      </c>
      <c r="B3470" t="s">
        <v>512</v>
      </c>
    </row>
    <row r="3471" spans="1:2" x14ac:dyDescent="0.25">
      <c r="A3471" t="s">
        <v>368</v>
      </c>
      <c r="B3471" t="s">
        <v>2292</v>
      </c>
    </row>
    <row r="3472" spans="1:2" x14ac:dyDescent="0.25">
      <c r="A3472" t="s">
        <v>368</v>
      </c>
      <c r="B3472" t="s">
        <v>524</v>
      </c>
    </row>
    <row r="3473" spans="1:2" x14ac:dyDescent="0.25">
      <c r="A3473" t="s">
        <v>368</v>
      </c>
      <c r="B3473" t="s">
        <v>514</v>
      </c>
    </row>
    <row r="3474" spans="1:2" x14ac:dyDescent="0.25">
      <c r="A3474" t="s">
        <v>368</v>
      </c>
      <c r="B3474" t="s">
        <v>516</v>
      </c>
    </row>
    <row r="3475" spans="1:2" x14ac:dyDescent="0.25">
      <c r="A3475" t="s">
        <v>368</v>
      </c>
      <c r="B3475" t="s">
        <v>518</v>
      </c>
    </row>
    <row r="3476" spans="1:2" x14ac:dyDescent="0.25">
      <c r="A3476" t="s">
        <v>368</v>
      </c>
      <c r="B3476" t="s">
        <v>522</v>
      </c>
    </row>
    <row r="3477" spans="1:2" x14ac:dyDescent="0.25">
      <c r="A3477" t="s">
        <v>368</v>
      </c>
      <c r="B3477" t="s">
        <v>519</v>
      </c>
    </row>
    <row r="3478" spans="1:2" x14ac:dyDescent="0.25">
      <c r="A3478" t="s">
        <v>368</v>
      </c>
      <c r="B3478" t="s">
        <v>525</v>
      </c>
    </row>
    <row r="3479" spans="1:2" x14ac:dyDescent="0.25">
      <c r="A3479" t="s">
        <v>368</v>
      </c>
      <c r="B3479" t="s">
        <v>521</v>
      </c>
    </row>
    <row r="3480" spans="1:2" x14ac:dyDescent="0.25">
      <c r="A3480" t="s">
        <v>368</v>
      </c>
      <c r="B3480" t="s">
        <v>517</v>
      </c>
    </row>
    <row r="3481" spans="1:2" x14ac:dyDescent="0.25">
      <c r="A3481" t="s">
        <v>368</v>
      </c>
      <c r="B3481" t="s">
        <v>523</v>
      </c>
    </row>
    <row r="3482" spans="1:2" x14ac:dyDescent="0.25">
      <c r="A3482" t="s">
        <v>368</v>
      </c>
      <c r="B3482" t="s">
        <v>529</v>
      </c>
    </row>
    <row r="3483" spans="1:2" x14ac:dyDescent="0.25">
      <c r="A3483" t="s">
        <v>368</v>
      </c>
      <c r="B3483" t="s">
        <v>526</v>
      </c>
    </row>
    <row r="3484" spans="1:2" x14ac:dyDescent="0.25">
      <c r="A3484" t="s">
        <v>368</v>
      </c>
      <c r="B3484" t="s">
        <v>2293</v>
      </c>
    </row>
    <row r="3485" spans="1:2" x14ac:dyDescent="0.25">
      <c r="A3485" t="s">
        <v>368</v>
      </c>
      <c r="B3485" t="s">
        <v>527</v>
      </c>
    </row>
    <row r="3486" spans="1:2" x14ac:dyDescent="0.25">
      <c r="A3486" t="s">
        <v>368</v>
      </c>
      <c r="B3486" t="s">
        <v>2294</v>
      </c>
    </row>
    <row r="3487" spans="1:2" x14ac:dyDescent="0.25">
      <c r="A3487" t="s">
        <v>368</v>
      </c>
      <c r="B3487" t="s">
        <v>2295</v>
      </c>
    </row>
    <row r="3488" spans="1:2" x14ac:dyDescent="0.25">
      <c r="A3488" t="s">
        <v>368</v>
      </c>
      <c r="B3488" t="s">
        <v>2296</v>
      </c>
    </row>
    <row r="3489" spans="1:2" x14ac:dyDescent="0.25">
      <c r="A3489" t="s">
        <v>1563</v>
      </c>
      <c r="B3489" t="s">
        <v>4111</v>
      </c>
    </row>
    <row r="3490" spans="1:2" x14ac:dyDescent="0.25">
      <c r="A3490" t="s">
        <v>1563</v>
      </c>
      <c r="B3490" t="s">
        <v>3864</v>
      </c>
    </row>
    <row r="3491" spans="1:2" x14ac:dyDescent="0.25">
      <c r="A3491" t="s">
        <v>1563</v>
      </c>
      <c r="B3491" t="s">
        <v>3865</v>
      </c>
    </row>
    <row r="3492" spans="1:2" x14ac:dyDescent="0.25">
      <c r="A3492" t="s">
        <v>1563</v>
      </c>
      <c r="B3492" t="s">
        <v>3866</v>
      </c>
    </row>
    <row r="3493" spans="1:2" x14ac:dyDescent="0.25">
      <c r="A3493" t="s">
        <v>1563</v>
      </c>
      <c r="B3493" t="s">
        <v>3867</v>
      </c>
    </row>
    <row r="3494" spans="1:2" x14ac:dyDescent="0.25">
      <c r="A3494" t="s">
        <v>1563</v>
      </c>
      <c r="B3494" t="s">
        <v>3868</v>
      </c>
    </row>
    <row r="3495" spans="1:2" x14ac:dyDescent="0.25">
      <c r="A3495" t="s">
        <v>1563</v>
      </c>
      <c r="B3495" t="s">
        <v>3869</v>
      </c>
    </row>
    <row r="3496" spans="1:2" x14ac:dyDescent="0.25">
      <c r="A3496" t="s">
        <v>1563</v>
      </c>
      <c r="B3496" t="s">
        <v>3870</v>
      </c>
    </row>
    <row r="3497" spans="1:2" x14ac:dyDescent="0.25">
      <c r="A3497" t="s">
        <v>1563</v>
      </c>
      <c r="B3497" t="s">
        <v>3871</v>
      </c>
    </row>
    <row r="3498" spans="1:2" x14ac:dyDescent="0.25">
      <c r="A3498" t="s">
        <v>1563</v>
      </c>
      <c r="B3498" t="s">
        <v>3872</v>
      </c>
    </row>
    <row r="3499" spans="1:2" x14ac:dyDescent="0.25">
      <c r="A3499" t="s">
        <v>1563</v>
      </c>
      <c r="B3499" t="s">
        <v>3873</v>
      </c>
    </row>
    <row r="3500" spans="1:2" x14ac:dyDescent="0.25">
      <c r="A3500" t="s">
        <v>1563</v>
      </c>
      <c r="B3500" t="s">
        <v>3874</v>
      </c>
    </row>
    <row r="3501" spans="1:2" x14ac:dyDescent="0.25">
      <c r="A3501" t="s">
        <v>1563</v>
      </c>
      <c r="B3501" t="s">
        <v>541</v>
      </c>
    </row>
    <row r="3502" spans="1:2" x14ac:dyDescent="0.25">
      <c r="A3502" t="s">
        <v>1563</v>
      </c>
      <c r="B3502" t="s">
        <v>3875</v>
      </c>
    </row>
    <row r="3503" spans="1:2" x14ac:dyDescent="0.25">
      <c r="A3503" t="s">
        <v>1563</v>
      </c>
      <c r="B3503" t="s">
        <v>3876</v>
      </c>
    </row>
    <row r="3504" spans="1:2" x14ac:dyDescent="0.25">
      <c r="A3504" t="s">
        <v>1563</v>
      </c>
      <c r="B3504" t="s">
        <v>3877</v>
      </c>
    </row>
    <row r="3505" spans="1:2" x14ac:dyDescent="0.25">
      <c r="A3505" t="s">
        <v>1563</v>
      </c>
      <c r="B3505" t="s">
        <v>3878</v>
      </c>
    </row>
    <row r="3506" spans="1:2" x14ac:dyDescent="0.25">
      <c r="A3506" t="s">
        <v>1563</v>
      </c>
      <c r="B3506" t="s">
        <v>3879</v>
      </c>
    </row>
    <row r="3507" spans="1:2" x14ac:dyDescent="0.25">
      <c r="A3507" t="s">
        <v>1563</v>
      </c>
      <c r="B3507" t="s">
        <v>3880</v>
      </c>
    </row>
    <row r="3508" spans="1:2" x14ac:dyDescent="0.25">
      <c r="A3508" t="s">
        <v>1563</v>
      </c>
      <c r="B3508" t="s">
        <v>3881</v>
      </c>
    </row>
    <row r="3509" spans="1:2" x14ac:dyDescent="0.25">
      <c r="A3509" t="s">
        <v>1563</v>
      </c>
      <c r="B3509" t="s">
        <v>3882</v>
      </c>
    </row>
    <row r="3510" spans="1:2" x14ac:dyDescent="0.25">
      <c r="A3510" t="s">
        <v>1563</v>
      </c>
      <c r="B3510" t="s">
        <v>3883</v>
      </c>
    </row>
    <row r="3511" spans="1:2" x14ac:dyDescent="0.25">
      <c r="A3511" t="s">
        <v>1563</v>
      </c>
      <c r="B3511" t="s">
        <v>3884</v>
      </c>
    </row>
    <row r="3512" spans="1:2" x14ac:dyDescent="0.25">
      <c r="A3512" t="s">
        <v>1563</v>
      </c>
      <c r="B3512" t="s">
        <v>3885</v>
      </c>
    </row>
    <row r="3513" spans="1:2" x14ac:dyDescent="0.25">
      <c r="A3513" t="s">
        <v>1563</v>
      </c>
      <c r="B3513" t="s">
        <v>3886</v>
      </c>
    </row>
    <row r="3514" spans="1:2" x14ac:dyDescent="0.25">
      <c r="A3514" t="s">
        <v>1563</v>
      </c>
      <c r="B3514" t="s">
        <v>3887</v>
      </c>
    </row>
    <row r="3515" spans="1:2" x14ac:dyDescent="0.25">
      <c r="A3515" t="s">
        <v>1563</v>
      </c>
      <c r="B3515" t="s">
        <v>4659</v>
      </c>
    </row>
    <row r="3516" spans="1:2" x14ac:dyDescent="0.25">
      <c r="A3516" t="s">
        <v>1563</v>
      </c>
      <c r="B3516" t="s">
        <v>3888</v>
      </c>
    </row>
    <row r="3517" spans="1:2" x14ac:dyDescent="0.25">
      <c r="A3517" t="s">
        <v>275</v>
      </c>
      <c r="B3517" t="s">
        <v>4407</v>
      </c>
    </row>
    <row r="3518" spans="1:2" x14ac:dyDescent="0.25">
      <c r="A3518" t="s">
        <v>275</v>
      </c>
      <c r="B3518" t="s">
        <v>4408</v>
      </c>
    </row>
    <row r="3519" spans="1:2" x14ac:dyDescent="0.25">
      <c r="A3519" t="s">
        <v>275</v>
      </c>
      <c r="B3519" t="s">
        <v>4409</v>
      </c>
    </row>
    <row r="3520" spans="1:2" x14ac:dyDescent="0.25">
      <c r="A3520" t="s">
        <v>275</v>
      </c>
      <c r="B3520" t="s">
        <v>4410</v>
      </c>
    </row>
    <row r="3521" spans="1:2" x14ac:dyDescent="0.25">
      <c r="A3521" t="s">
        <v>275</v>
      </c>
      <c r="B3521" t="s">
        <v>4411</v>
      </c>
    </row>
    <row r="3522" spans="1:2" x14ac:dyDescent="0.25">
      <c r="A3522" t="s">
        <v>275</v>
      </c>
      <c r="B3522" t="s">
        <v>4412</v>
      </c>
    </row>
    <row r="3523" spans="1:2" x14ac:dyDescent="0.25">
      <c r="A3523" t="s">
        <v>275</v>
      </c>
      <c r="B3523" t="s">
        <v>4413</v>
      </c>
    </row>
    <row r="3524" spans="1:2" x14ac:dyDescent="0.25">
      <c r="A3524" t="s">
        <v>275</v>
      </c>
      <c r="B3524" t="s">
        <v>4414</v>
      </c>
    </row>
    <row r="3525" spans="1:2" x14ac:dyDescent="0.25">
      <c r="A3525" t="s">
        <v>275</v>
      </c>
      <c r="B3525" t="s">
        <v>4415</v>
      </c>
    </row>
    <row r="3526" spans="1:2" x14ac:dyDescent="0.25">
      <c r="A3526" t="s">
        <v>275</v>
      </c>
      <c r="B3526" t="s">
        <v>4416</v>
      </c>
    </row>
    <row r="3527" spans="1:2" x14ac:dyDescent="0.25">
      <c r="A3527" t="s">
        <v>275</v>
      </c>
      <c r="B3527" t="s">
        <v>4417</v>
      </c>
    </row>
    <row r="3528" spans="1:2" x14ac:dyDescent="0.25">
      <c r="A3528" t="s">
        <v>275</v>
      </c>
      <c r="B3528" t="s">
        <v>4418</v>
      </c>
    </row>
    <row r="3529" spans="1:2" x14ac:dyDescent="0.25">
      <c r="A3529" t="s">
        <v>275</v>
      </c>
      <c r="B3529" t="s">
        <v>4419</v>
      </c>
    </row>
    <row r="3530" spans="1:2" x14ac:dyDescent="0.25">
      <c r="A3530" t="s">
        <v>275</v>
      </c>
      <c r="B3530" t="s">
        <v>4420</v>
      </c>
    </row>
    <row r="3531" spans="1:2" x14ac:dyDescent="0.25">
      <c r="A3531" t="s">
        <v>275</v>
      </c>
      <c r="B3531" t="s">
        <v>4421</v>
      </c>
    </row>
    <row r="3532" spans="1:2" x14ac:dyDescent="0.25">
      <c r="A3532" t="s">
        <v>275</v>
      </c>
      <c r="B3532" t="s">
        <v>4422</v>
      </c>
    </row>
    <row r="3533" spans="1:2" x14ac:dyDescent="0.25">
      <c r="A3533" t="s">
        <v>275</v>
      </c>
      <c r="B3533" t="s">
        <v>4423</v>
      </c>
    </row>
    <row r="3534" spans="1:2" x14ac:dyDescent="0.25">
      <c r="A3534" t="s">
        <v>275</v>
      </c>
      <c r="B3534" t="s">
        <v>4424</v>
      </c>
    </row>
    <row r="3535" spans="1:2" x14ac:dyDescent="0.25">
      <c r="A3535" t="s">
        <v>275</v>
      </c>
      <c r="B3535" t="s">
        <v>4425</v>
      </c>
    </row>
    <row r="3536" spans="1:2" x14ac:dyDescent="0.25">
      <c r="A3536" t="s">
        <v>275</v>
      </c>
      <c r="B3536" t="s">
        <v>4426</v>
      </c>
    </row>
    <row r="3537" spans="1:2" x14ac:dyDescent="0.25">
      <c r="A3537" t="s">
        <v>275</v>
      </c>
      <c r="B3537" t="s">
        <v>4427</v>
      </c>
    </row>
    <row r="3538" spans="1:2" x14ac:dyDescent="0.25">
      <c r="A3538" t="s">
        <v>275</v>
      </c>
      <c r="B3538" t="s">
        <v>4428</v>
      </c>
    </row>
    <row r="3539" spans="1:2" x14ac:dyDescent="0.25">
      <c r="A3539" t="s">
        <v>275</v>
      </c>
      <c r="B3539" t="s">
        <v>4429</v>
      </c>
    </row>
    <row r="3540" spans="1:2" x14ac:dyDescent="0.25">
      <c r="A3540" t="s">
        <v>275</v>
      </c>
      <c r="B3540" t="s">
        <v>4430</v>
      </c>
    </row>
    <row r="3541" spans="1:2" x14ac:dyDescent="0.25">
      <c r="A3541" t="s">
        <v>275</v>
      </c>
      <c r="B3541" t="s">
        <v>4615</v>
      </c>
    </row>
    <row r="3542" spans="1:2" x14ac:dyDescent="0.25">
      <c r="A3542" t="s">
        <v>372</v>
      </c>
      <c r="B3542" t="s">
        <v>4044</v>
      </c>
    </row>
    <row r="3543" spans="1:2" x14ac:dyDescent="0.25">
      <c r="A3543" t="s">
        <v>372</v>
      </c>
      <c r="B3543" t="s">
        <v>2260</v>
      </c>
    </row>
    <row r="3544" spans="1:2" x14ac:dyDescent="0.25">
      <c r="A3544" t="s">
        <v>372</v>
      </c>
      <c r="B3544" t="s">
        <v>2261</v>
      </c>
    </row>
    <row r="3545" spans="1:2" x14ac:dyDescent="0.25">
      <c r="A3545" t="s">
        <v>372</v>
      </c>
      <c r="B3545" t="s">
        <v>2262</v>
      </c>
    </row>
    <row r="3546" spans="1:2" x14ac:dyDescent="0.25">
      <c r="A3546" t="s">
        <v>372</v>
      </c>
      <c r="B3546" t="s">
        <v>2263</v>
      </c>
    </row>
    <row r="3547" spans="1:2" x14ac:dyDescent="0.25">
      <c r="A3547" t="s">
        <v>372</v>
      </c>
      <c r="B3547" t="s">
        <v>2264</v>
      </c>
    </row>
    <row r="3548" spans="1:2" x14ac:dyDescent="0.25">
      <c r="A3548" t="s">
        <v>372</v>
      </c>
      <c r="B3548" t="s">
        <v>2265</v>
      </c>
    </row>
    <row r="3549" spans="1:2" x14ac:dyDescent="0.25">
      <c r="A3549" t="s">
        <v>372</v>
      </c>
      <c r="B3549" t="s">
        <v>2266</v>
      </c>
    </row>
    <row r="3550" spans="1:2" x14ac:dyDescent="0.25">
      <c r="A3550" t="s">
        <v>372</v>
      </c>
      <c r="B3550" t="s">
        <v>2267</v>
      </c>
    </row>
    <row r="3551" spans="1:2" x14ac:dyDescent="0.25">
      <c r="A3551" t="s">
        <v>372</v>
      </c>
      <c r="B3551" t="s">
        <v>2268</v>
      </c>
    </row>
    <row r="3552" spans="1:2" x14ac:dyDescent="0.25">
      <c r="A3552" t="s">
        <v>372</v>
      </c>
      <c r="B3552" t="s">
        <v>2269</v>
      </c>
    </row>
    <row r="3553" spans="1:2" x14ac:dyDescent="0.25">
      <c r="A3553" t="s">
        <v>372</v>
      </c>
      <c r="B3553" t="s">
        <v>2270</v>
      </c>
    </row>
    <row r="3554" spans="1:2" x14ac:dyDescent="0.25">
      <c r="A3554" t="s">
        <v>372</v>
      </c>
      <c r="B3554" t="s">
        <v>2271</v>
      </c>
    </row>
    <row r="3555" spans="1:2" x14ac:dyDescent="0.25">
      <c r="A3555" t="s">
        <v>372</v>
      </c>
      <c r="B3555" t="s">
        <v>2272</v>
      </c>
    </row>
    <row r="3556" spans="1:2" x14ac:dyDescent="0.25">
      <c r="A3556" t="s">
        <v>372</v>
      </c>
      <c r="B3556" t="s">
        <v>2273</v>
      </c>
    </row>
    <row r="3557" spans="1:2" x14ac:dyDescent="0.25">
      <c r="A3557" t="s">
        <v>372</v>
      </c>
      <c r="B3557" t="s">
        <v>2274</v>
      </c>
    </row>
    <row r="3558" spans="1:2" x14ac:dyDescent="0.25">
      <c r="A3558" t="s">
        <v>372</v>
      </c>
      <c r="B3558" t="s">
        <v>2275</v>
      </c>
    </row>
    <row r="3559" spans="1:2" x14ac:dyDescent="0.25">
      <c r="A3559" t="s">
        <v>372</v>
      </c>
      <c r="B3559" t="s">
        <v>2276</v>
      </c>
    </row>
    <row r="3560" spans="1:2" x14ac:dyDescent="0.25">
      <c r="A3560" t="s">
        <v>372</v>
      </c>
      <c r="B3560" t="s">
        <v>2277</v>
      </c>
    </row>
    <row r="3561" spans="1:2" x14ac:dyDescent="0.25">
      <c r="A3561" t="s">
        <v>372</v>
      </c>
      <c r="B3561" t="s">
        <v>2278</v>
      </c>
    </row>
    <row r="3562" spans="1:2" x14ac:dyDescent="0.25">
      <c r="A3562" t="s">
        <v>372</v>
      </c>
      <c r="B3562" t="s">
        <v>2279</v>
      </c>
    </row>
    <row r="3563" spans="1:2" x14ac:dyDescent="0.25">
      <c r="A3563" t="s">
        <v>372</v>
      </c>
      <c r="B3563" t="s">
        <v>2280</v>
      </c>
    </row>
    <row r="3564" spans="1:2" x14ac:dyDescent="0.25">
      <c r="A3564" t="s">
        <v>372</v>
      </c>
      <c r="B3564" t="s">
        <v>2281</v>
      </c>
    </row>
    <row r="3565" spans="1:2" x14ac:dyDescent="0.25">
      <c r="A3565" t="s">
        <v>372</v>
      </c>
      <c r="B3565" t="s">
        <v>2282</v>
      </c>
    </row>
    <row r="3566" spans="1:2" x14ac:dyDescent="0.25">
      <c r="A3566" t="s">
        <v>376</v>
      </c>
      <c r="B3566" t="s">
        <v>4028</v>
      </c>
    </row>
    <row r="3567" spans="1:2" x14ac:dyDescent="0.25">
      <c r="A3567" t="s">
        <v>376</v>
      </c>
      <c r="B3567" t="s">
        <v>1768</v>
      </c>
    </row>
    <row r="3568" spans="1:2" x14ac:dyDescent="0.25">
      <c r="A3568" t="s">
        <v>376</v>
      </c>
      <c r="B3568" t="s">
        <v>1769</v>
      </c>
    </row>
    <row r="3569" spans="1:2" x14ac:dyDescent="0.25">
      <c r="A3569" t="s">
        <v>376</v>
      </c>
      <c r="B3569" t="s">
        <v>1770</v>
      </c>
    </row>
    <row r="3570" spans="1:2" x14ac:dyDescent="0.25">
      <c r="A3570" t="s">
        <v>376</v>
      </c>
      <c r="B3570" t="s">
        <v>1771</v>
      </c>
    </row>
    <row r="3571" spans="1:2" x14ac:dyDescent="0.25">
      <c r="A3571" t="s">
        <v>376</v>
      </c>
      <c r="B3571" t="s">
        <v>532</v>
      </c>
    </row>
    <row r="3572" spans="1:2" x14ac:dyDescent="0.25">
      <c r="A3572" t="s">
        <v>376</v>
      </c>
      <c r="B3572" t="s">
        <v>1772</v>
      </c>
    </row>
    <row r="3573" spans="1:2" x14ac:dyDescent="0.25">
      <c r="A3573" t="s">
        <v>376</v>
      </c>
      <c r="B3573" t="s">
        <v>530</v>
      </c>
    </row>
    <row r="3574" spans="1:2" x14ac:dyDescent="0.25">
      <c r="A3574" t="s">
        <v>376</v>
      </c>
      <c r="B3574" t="s">
        <v>537</v>
      </c>
    </row>
    <row r="3575" spans="1:2" x14ac:dyDescent="0.25">
      <c r="A3575" t="s">
        <v>376</v>
      </c>
      <c r="B3575" t="s">
        <v>536</v>
      </c>
    </row>
    <row r="3576" spans="1:2" x14ac:dyDescent="0.25">
      <c r="A3576" t="s">
        <v>376</v>
      </c>
      <c r="B3576" t="s">
        <v>534</v>
      </c>
    </row>
    <row r="3577" spans="1:2" x14ac:dyDescent="0.25">
      <c r="A3577" t="s">
        <v>376</v>
      </c>
      <c r="B3577" t="s">
        <v>535</v>
      </c>
    </row>
    <row r="3578" spans="1:2" x14ac:dyDescent="0.25">
      <c r="A3578" t="s">
        <v>376</v>
      </c>
      <c r="B3578" t="s">
        <v>540</v>
      </c>
    </row>
    <row r="3579" spans="1:2" x14ac:dyDescent="0.25">
      <c r="A3579" t="s">
        <v>376</v>
      </c>
      <c r="B3579" t="s">
        <v>1773</v>
      </c>
    </row>
    <row r="3580" spans="1:2" x14ac:dyDescent="0.25">
      <c r="A3580" t="s">
        <v>376</v>
      </c>
      <c r="B3580" t="s">
        <v>538</v>
      </c>
    </row>
    <row r="3581" spans="1:2" x14ac:dyDescent="0.25">
      <c r="A3581" t="s">
        <v>376</v>
      </c>
      <c r="B3581" t="s">
        <v>531</v>
      </c>
    </row>
    <row r="3582" spans="1:2" x14ac:dyDescent="0.25">
      <c r="A3582" t="s">
        <v>376</v>
      </c>
      <c r="B3582" t="s">
        <v>539</v>
      </c>
    </row>
    <row r="3583" spans="1:2" x14ac:dyDescent="0.25">
      <c r="A3583" t="s">
        <v>376</v>
      </c>
      <c r="B3583" t="s">
        <v>1774</v>
      </c>
    </row>
    <row r="3584" spans="1:2" x14ac:dyDescent="0.25">
      <c r="A3584" t="s">
        <v>376</v>
      </c>
      <c r="B3584" t="s">
        <v>1775</v>
      </c>
    </row>
    <row r="3585" spans="1:2" x14ac:dyDescent="0.25">
      <c r="A3585" t="s">
        <v>376</v>
      </c>
      <c r="B3585" t="s">
        <v>1776</v>
      </c>
    </row>
    <row r="3586" spans="1:2" x14ac:dyDescent="0.25">
      <c r="A3586" t="s">
        <v>376</v>
      </c>
      <c r="B3586" t="s">
        <v>1777</v>
      </c>
    </row>
    <row r="3587" spans="1:2" x14ac:dyDescent="0.25">
      <c r="A3587" t="s">
        <v>376</v>
      </c>
      <c r="B3587" t="s">
        <v>1778</v>
      </c>
    </row>
    <row r="3588" spans="1:2" x14ac:dyDescent="0.25">
      <c r="A3588" t="s">
        <v>364</v>
      </c>
      <c r="B3588" t="s">
        <v>4022</v>
      </c>
    </row>
    <row r="3589" spans="1:2" x14ac:dyDescent="0.25">
      <c r="A3589" t="s">
        <v>364</v>
      </c>
      <c r="B3589" t="s">
        <v>1633</v>
      </c>
    </row>
    <row r="3590" spans="1:2" x14ac:dyDescent="0.25">
      <c r="A3590" t="s">
        <v>364</v>
      </c>
      <c r="B3590" t="s">
        <v>1634</v>
      </c>
    </row>
    <row r="3591" spans="1:2" x14ac:dyDescent="0.25">
      <c r="A3591" t="s">
        <v>364</v>
      </c>
      <c r="B3591" t="s">
        <v>1635</v>
      </c>
    </row>
    <row r="3592" spans="1:2" x14ac:dyDescent="0.25">
      <c r="A3592" t="s">
        <v>364</v>
      </c>
      <c r="B3592" t="s">
        <v>1636</v>
      </c>
    </row>
    <row r="3593" spans="1:2" x14ac:dyDescent="0.25">
      <c r="A3593" t="s">
        <v>364</v>
      </c>
      <c r="B3593" t="s">
        <v>1637</v>
      </c>
    </row>
    <row r="3594" spans="1:2" x14ac:dyDescent="0.25">
      <c r="A3594" t="s">
        <v>364</v>
      </c>
      <c r="B3594" t="s">
        <v>1638</v>
      </c>
    </row>
    <row r="3595" spans="1:2" x14ac:dyDescent="0.25">
      <c r="A3595" t="s">
        <v>364</v>
      </c>
      <c r="B3595" t="s">
        <v>1639</v>
      </c>
    </row>
    <row r="3596" spans="1:2" x14ac:dyDescent="0.25">
      <c r="A3596" t="s">
        <v>364</v>
      </c>
      <c r="B3596" t="s">
        <v>1640</v>
      </c>
    </row>
    <row r="3597" spans="1:2" x14ac:dyDescent="0.25">
      <c r="A3597" t="s">
        <v>364</v>
      </c>
      <c r="B3597" t="s">
        <v>1641</v>
      </c>
    </row>
    <row r="3598" spans="1:2" x14ac:dyDescent="0.25">
      <c r="A3598" t="s">
        <v>364</v>
      </c>
      <c r="B3598" t="s">
        <v>1642</v>
      </c>
    </row>
    <row r="3599" spans="1:2" x14ac:dyDescent="0.25">
      <c r="A3599" t="s">
        <v>364</v>
      </c>
      <c r="B3599" t="s">
        <v>1643</v>
      </c>
    </row>
    <row r="3600" spans="1:2" x14ac:dyDescent="0.25">
      <c r="A3600" t="s">
        <v>364</v>
      </c>
      <c r="B3600" t="s">
        <v>1644</v>
      </c>
    </row>
    <row r="3601" spans="1:2" x14ac:dyDescent="0.25">
      <c r="A3601" t="s">
        <v>364</v>
      </c>
      <c r="B3601" t="s">
        <v>1645</v>
      </c>
    </row>
    <row r="3602" spans="1:2" x14ac:dyDescent="0.25">
      <c r="A3602" t="s">
        <v>364</v>
      </c>
      <c r="B3602" t="s">
        <v>1646</v>
      </c>
    </row>
    <row r="3603" spans="1:2" x14ac:dyDescent="0.25">
      <c r="A3603" t="s">
        <v>364</v>
      </c>
      <c r="B3603" t="s">
        <v>1647</v>
      </c>
    </row>
    <row r="3604" spans="1:2" x14ac:dyDescent="0.25">
      <c r="A3604" t="s">
        <v>364</v>
      </c>
      <c r="B3604" t="s">
        <v>1648</v>
      </c>
    </row>
    <row r="3605" spans="1:2" x14ac:dyDescent="0.25">
      <c r="A3605" t="s">
        <v>364</v>
      </c>
      <c r="B3605" t="s">
        <v>4702</v>
      </c>
    </row>
    <row r="3606" spans="1:2" x14ac:dyDescent="0.25">
      <c r="A3606" t="s">
        <v>364</v>
      </c>
      <c r="B3606" t="s">
        <v>1649</v>
      </c>
    </row>
    <row r="3607" spans="1:2" x14ac:dyDescent="0.25">
      <c r="A3607" t="s">
        <v>364</v>
      </c>
      <c r="B3607" t="s">
        <v>1650</v>
      </c>
    </row>
    <row r="3608" spans="1:2" x14ac:dyDescent="0.25">
      <c r="A3608" t="s">
        <v>364</v>
      </c>
      <c r="B3608" t="s">
        <v>1651</v>
      </c>
    </row>
    <row r="3609" spans="1:2" x14ac:dyDescent="0.25">
      <c r="A3609" t="s">
        <v>364</v>
      </c>
      <c r="B3609" t="s">
        <v>1652</v>
      </c>
    </row>
    <row r="3610" spans="1:2" x14ac:dyDescent="0.25">
      <c r="A3610" t="s">
        <v>364</v>
      </c>
      <c r="B3610" t="s">
        <v>1653</v>
      </c>
    </row>
    <row r="3611" spans="1:2" x14ac:dyDescent="0.25">
      <c r="A3611" t="s">
        <v>364</v>
      </c>
      <c r="B3611" t="s">
        <v>1654</v>
      </c>
    </row>
    <row r="3612" spans="1:2" x14ac:dyDescent="0.25">
      <c r="A3612" t="s">
        <v>364</v>
      </c>
      <c r="B3612" t="s">
        <v>1655</v>
      </c>
    </row>
    <row r="3613" spans="1:2" x14ac:dyDescent="0.25">
      <c r="A3613" t="s">
        <v>364</v>
      </c>
      <c r="B3613" t="s">
        <v>1656</v>
      </c>
    </row>
    <row r="3614" spans="1:2" x14ac:dyDescent="0.25">
      <c r="A3614" t="s">
        <v>364</v>
      </c>
      <c r="B3614" t="s">
        <v>1657</v>
      </c>
    </row>
    <row r="3615" spans="1:2" x14ac:dyDescent="0.25">
      <c r="A3615" t="s">
        <v>364</v>
      </c>
      <c r="B3615" t="s">
        <v>1658</v>
      </c>
    </row>
    <row r="3616" spans="1:2" x14ac:dyDescent="0.25">
      <c r="A3616" t="s">
        <v>364</v>
      </c>
      <c r="B3616" t="s">
        <v>1659</v>
      </c>
    </row>
    <row r="3617" spans="1:2" x14ac:dyDescent="0.25">
      <c r="A3617" t="s">
        <v>364</v>
      </c>
      <c r="B3617" t="s">
        <v>1660</v>
      </c>
    </row>
    <row r="3618" spans="1:2" x14ac:dyDescent="0.25">
      <c r="A3618" t="s">
        <v>364</v>
      </c>
      <c r="B3618" t="s">
        <v>1661</v>
      </c>
    </row>
    <row r="3619" spans="1:2" x14ac:dyDescent="0.25">
      <c r="A3619" t="s">
        <v>364</v>
      </c>
      <c r="B3619" t="s">
        <v>1662</v>
      </c>
    </row>
    <row r="3620" spans="1:2" x14ac:dyDescent="0.25">
      <c r="A3620" t="s">
        <v>364</v>
      </c>
      <c r="B3620" t="s">
        <v>1663</v>
      </c>
    </row>
    <row r="3621" spans="1:2" x14ac:dyDescent="0.25">
      <c r="A3621" t="s">
        <v>364</v>
      </c>
      <c r="B3621" t="s">
        <v>1664</v>
      </c>
    </row>
    <row r="3622" spans="1:2" x14ac:dyDescent="0.25">
      <c r="A3622" t="s">
        <v>364</v>
      </c>
      <c r="B3622" t="s">
        <v>4660</v>
      </c>
    </row>
    <row r="3623" spans="1:2" x14ac:dyDescent="0.25">
      <c r="A3623" t="s">
        <v>323</v>
      </c>
      <c r="B3623" t="s">
        <v>3192</v>
      </c>
    </row>
    <row r="3624" spans="1:2" x14ac:dyDescent="0.25">
      <c r="A3624" t="s">
        <v>323</v>
      </c>
      <c r="B3624" t="s">
        <v>3185</v>
      </c>
    </row>
    <row r="3625" spans="1:2" x14ac:dyDescent="0.25">
      <c r="A3625" t="s">
        <v>323</v>
      </c>
      <c r="B3625" t="s">
        <v>3186</v>
      </c>
    </row>
    <row r="3626" spans="1:2" x14ac:dyDescent="0.25">
      <c r="A3626" t="s">
        <v>323</v>
      </c>
      <c r="B3626" t="s">
        <v>879</v>
      </c>
    </row>
    <row r="3627" spans="1:2" x14ac:dyDescent="0.25">
      <c r="A3627" t="s">
        <v>323</v>
      </c>
      <c r="B3627" t="s">
        <v>876</v>
      </c>
    </row>
    <row r="3628" spans="1:2" x14ac:dyDescent="0.25">
      <c r="A3628" t="s">
        <v>323</v>
      </c>
      <c r="B3628" t="s">
        <v>875</v>
      </c>
    </row>
    <row r="3629" spans="1:2" x14ac:dyDescent="0.25">
      <c r="A3629" t="s">
        <v>323</v>
      </c>
      <c r="B3629" t="s">
        <v>878</v>
      </c>
    </row>
    <row r="3630" spans="1:2" x14ac:dyDescent="0.25">
      <c r="A3630" t="s">
        <v>323</v>
      </c>
      <c r="B3630" t="s">
        <v>3187</v>
      </c>
    </row>
    <row r="3631" spans="1:2" x14ac:dyDescent="0.25">
      <c r="A3631" t="s">
        <v>323</v>
      </c>
      <c r="B3631" t="s">
        <v>3188</v>
      </c>
    </row>
    <row r="3632" spans="1:2" x14ac:dyDescent="0.25">
      <c r="A3632" t="s">
        <v>323</v>
      </c>
      <c r="B3632" t="s">
        <v>874</v>
      </c>
    </row>
    <row r="3633" spans="1:2" x14ac:dyDescent="0.25">
      <c r="A3633" t="s">
        <v>323</v>
      </c>
      <c r="B3633" t="s">
        <v>877</v>
      </c>
    </row>
    <row r="3634" spans="1:2" x14ac:dyDescent="0.25">
      <c r="A3634" t="s">
        <v>323</v>
      </c>
      <c r="B3634" t="s">
        <v>881</v>
      </c>
    </row>
    <row r="3635" spans="1:2" x14ac:dyDescent="0.25">
      <c r="A3635" t="s">
        <v>323</v>
      </c>
      <c r="B3635" t="s">
        <v>880</v>
      </c>
    </row>
    <row r="3636" spans="1:2" x14ac:dyDescent="0.25">
      <c r="A3636" t="s">
        <v>323</v>
      </c>
      <c r="B3636" t="s">
        <v>3189</v>
      </c>
    </row>
    <row r="3637" spans="1:2" x14ac:dyDescent="0.25">
      <c r="A3637" t="s">
        <v>323</v>
      </c>
      <c r="B3637" t="s">
        <v>3190</v>
      </c>
    </row>
    <row r="3638" spans="1:2" x14ac:dyDescent="0.25">
      <c r="A3638" t="s">
        <v>323</v>
      </c>
      <c r="B3638" t="s">
        <v>3191</v>
      </c>
    </row>
    <row r="3639" spans="1:2" x14ac:dyDescent="0.25">
      <c r="A3639" t="s">
        <v>323</v>
      </c>
      <c r="B3639" t="s">
        <v>3192</v>
      </c>
    </row>
    <row r="3640" spans="1:2" x14ac:dyDescent="0.25">
      <c r="A3640" t="s">
        <v>323</v>
      </c>
      <c r="B3640" t="s">
        <v>3193</v>
      </c>
    </row>
    <row r="3641" spans="1:2" x14ac:dyDescent="0.25">
      <c r="A3641" t="s">
        <v>323</v>
      </c>
      <c r="B3641" t="s">
        <v>3194</v>
      </c>
    </row>
    <row r="3642" spans="1:2" x14ac:dyDescent="0.25">
      <c r="A3642" t="s">
        <v>323</v>
      </c>
      <c r="B3642" t="s">
        <v>3195</v>
      </c>
    </row>
    <row r="3643" spans="1:2" x14ac:dyDescent="0.25">
      <c r="A3643" t="s">
        <v>314</v>
      </c>
      <c r="B3643" t="s">
        <v>4065</v>
      </c>
    </row>
    <row r="3644" spans="1:2" x14ac:dyDescent="0.25">
      <c r="A3644" t="s">
        <v>314</v>
      </c>
      <c r="B3644" t="s">
        <v>2733</v>
      </c>
    </row>
    <row r="3645" spans="1:2" x14ac:dyDescent="0.25">
      <c r="A3645" t="s">
        <v>314</v>
      </c>
      <c r="B3645" t="s">
        <v>2734</v>
      </c>
    </row>
    <row r="3646" spans="1:2" x14ac:dyDescent="0.25">
      <c r="A3646" t="s">
        <v>314</v>
      </c>
      <c r="B3646" t="s">
        <v>2735</v>
      </c>
    </row>
    <row r="3647" spans="1:2" x14ac:dyDescent="0.25">
      <c r="A3647" t="s">
        <v>314</v>
      </c>
      <c r="B3647" t="s">
        <v>2736</v>
      </c>
    </row>
    <row r="3648" spans="1:2" x14ac:dyDescent="0.25">
      <c r="A3648" t="s">
        <v>314</v>
      </c>
      <c r="B3648" t="s">
        <v>1262</v>
      </c>
    </row>
    <row r="3649" spans="1:2" x14ac:dyDescent="0.25">
      <c r="A3649" t="s">
        <v>314</v>
      </c>
      <c r="B3649" t="s">
        <v>2737</v>
      </c>
    </row>
    <row r="3650" spans="1:2" x14ac:dyDescent="0.25">
      <c r="A3650" t="s">
        <v>314</v>
      </c>
      <c r="B3650" t="s">
        <v>2738</v>
      </c>
    </row>
    <row r="3651" spans="1:2" x14ac:dyDescent="0.25">
      <c r="A3651" t="s">
        <v>314</v>
      </c>
      <c r="B3651" t="s">
        <v>2739</v>
      </c>
    </row>
    <row r="3652" spans="1:2" x14ac:dyDescent="0.25">
      <c r="A3652" t="s">
        <v>314</v>
      </c>
      <c r="B3652" t="s">
        <v>2740</v>
      </c>
    </row>
    <row r="3653" spans="1:2" x14ac:dyDescent="0.25">
      <c r="A3653" t="s">
        <v>314</v>
      </c>
      <c r="B3653" t="s">
        <v>2741</v>
      </c>
    </row>
    <row r="3654" spans="1:2" x14ac:dyDescent="0.25">
      <c r="A3654" t="s">
        <v>314</v>
      </c>
      <c r="B3654" t="s">
        <v>2742</v>
      </c>
    </row>
    <row r="3655" spans="1:2" x14ac:dyDescent="0.25">
      <c r="A3655" t="s">
        <v>314</v>
      </c>
      <c r="B3655" t="s">
        <v>2743</v>
      </c>
    </row>
    <row r="3656" spans="1:2" x14ac:dyDescent="0.25">
      <c r="A3656" t="s">
        <v>314</v>
      </c>
      <c r="B3656" t="s">
        <v>2744</v>
      </c>
    </row>
    <row r="3657" spans="1:2" x14ac:dyDescent="0.25">
      <c r="A3657" t="s">
        <v>314</v>
      </c>
      <c r="B3657" t="s">
        <v>2745</v>
      </c>
    </row>
    <row r="3658" spans="1:2" x14ac:dyDescent="0.25">
      <c r="A3658" t="s">
        <v>314</v>
      </c>
      <c r="B3658" t="s">
        <v>2746</v>
      </c>
    </row>
    <row r="3659" spans="1:2" x14ac:dyDescent="0.25">
      <c r="A3659" t="s">
        <v>314</v>
      </c>
      <c r="B3659" t="s">
        <v>2747</v>
      </c>
    </row>
    <row r="3660" spans="1:2" x14ac:dyDescent="0.25">
      <c r="A3660" t="s">
        <v>314</v>
      </c>
      <c r="B3660" t="s">
        <v>2748</v>
      </c>
    </row>
    <row r="3661" spans="1:2" x14ac:dyDescent="0.25">
      <c r="A3661" t="s">
        <v>314</v>
      </c>
      <c r="B3661" t="s">
        <v>2749</v>
      </c>
    </row>
    <row r="3662" spans="1:2" x14ac:dyDescent="0.25">
      <c r="A3662" t="s">
        <v>314</v>
      </c>
      <c r="B3662" t="s">
        <v>2750</v>
      </c>
    </row>
    <row r="3663" spans="1:2" x14ac:dyDescent="0.25">
      <c r="A3663" t="s">
        <v>314</v>
      </c>
      <c r="B3663" t="s">
        <v>2751</v>
      </c>
    </row>
    <row r="3664" spans="1:2" x14ac:dyDescent="0.25">
      <c r="A3664" t="s">
        <v>314</v>
      </c>
      <c r="B3664" t="s">
        <v>2752</v>
      </c>
    </row>
    <row r="3665" spans="1:2" x14ac:dyDescent="0.25">
      <c r="A3665" t="s">
        <v>314</v>
      </c>
      <c r="B3665" t="s">
        <v>2753</v>
      </c>
    </row>
    <row r="3666" spans="1:2" x14ac:dyDescent="0.25">
      <c r="A3666" t="s">
        <v>314</v>
      </c>
      <c r="B3666" t="s">
        <v>2754</v>
      </c>
    </row>
    <row r="3667" spans="1:2" x14ac:dyDescent="0.25">
      <c r="A3667" t="s">
        <v>314</v>
      </c>
      <c r="B3667" t="s">
        <v>2755</v>
      </c>
    </row>
    <row r="3668" spans="1:2" x14ac:dyDescent="0.25">
      <c r="A3668" t="s">
        <v>314</v>
      </c>
      <c r="B3668" t="s">
        <v>2756</v>
      </c>
    </row>
    <row r="3669" spans="1:2" x14ac:dyDescent="0.25">
      <c r="A3669" t="s">
        <v>346</v>
      </c>
      <c r="B3669" t="s">
        <v>4053</v>
      </c>
    </row>
    <row r="3670" spans="1:2" x14ac:dyDescent="0.25">
      <c r="A3670" t="s">
        <v>346</v>
      </c>
      <c r="B3670" t="s">
        <v>2454</v>
      </c>
    </row>
    <row r="3671" spans="1:2" x14ac:dyDescent="0.25">
      <c r="A3671" t="s">
        <v>346</v>
      </c>
      <c r="B3671" t="s">
        <v>2455</v>
      </c>
    </row>
    <row r="3672" spans="1:2" x14ac:dyDescent="0.25">
      <c r="A3672" t="s">
        <v>346</v>
      </c>
      <c r="B3672" t="s">
        <v>2456</v>
      </c>
    </row>
    <row r="3673" spans="1:2" x14ac:dyDescent="0.25">
      <c r="A3673" t="s">
        <v>346</v>
      </c>
      <c r="B3673" t="s">
        <v>2457</v>
      </c>
    </row>
    <row r="3674" spans="1:2" x14ac:dyDescent="0.25">
      <c r="A3674" t="s">
        <v>346</v>
      </c>
      <c r="B3674" t="s">
        <v>2458</v>
      </c>
    </row>
    <row r="3675" spans="1:2" x14ac:dyDescent="0.25">
      <c r="A3675" t="s">
        <v>346</v>
      </c>
      <c r="B3675" t="s">
        <v>2459</v>
      </c>
    </row>
    <row r="3676" spans="1:2" x14ac:dyDescent="0.25">
      <c r="A3676" t="s">
        <v>346</v>
      </c>
      <c r="B3676" t="s">
        <v>2460</v>
      </c>
    </row>
    <row r="3677" spans="1:2" x14ac:dyDescent="0.25">
      <c r="A3677" t="s">
        <v>346</v>
      </c>
      <c r="B3677" t="s">
        <v>2461</v>
      </c>
    </row>
    <row r="3678" spans="1:2" x14ac:dyDescent="0.25">
      <c r="A3678" t="s">
        <v>346</v>
      </c>
      <c r="B3678" t="s">
        <v>2462</v>
      </c>
    </row>
    <row r="3679" spans="1:2" x14ac:dyDescent="0.25">
      <c r="A3679" t="s">
        <v>346</v>
      </c>
      <c r="B3679" t="s">
        <v>2463</v>
      </c>
    </row>
    <row r="3680" spans="1:2" x14ac:dyDescent="0.25">
      <c r="A3680" t="s">
        <v>346</v>
      </c>
      <c r="B3680" t="s">
        <v>2464</v>
      </c>
    </row>
    <row r="3681" spans="1:2" x14ac:dyDescent="0.25">
      <c r="A3681" t="s">
        <v>346</v>
      </c>
      <c r="B3681" t="s">
        <v>2465</v>
      </c>
    </row>
    <row r="3682" spans="1:2" x14ac:dyDescent="0.25">
      <c r="A3682" t="s">
        <v>346</v>
      </c>
      <c r="B3682" t="s">
        <v>2466</v>
      </c>
    </row>
    <row r="3683" spans="1:2" x14ac:dyDescent="0.25">
      <c r="A3683" t="s">
        <v>346</v>
      </c>
      <c r="B3683" t="s">
        <v>2467</v>
      </c>
    </row>
    <row r="3684" spans="1:2" x14ac:dyDescent="0.25">
      <c r="A3684" t="s">
        <v>346</v>
      </c>
      <c r="B3684" t="s">
        <v>2468</v>
      </c>
    </row>
    <row r="3685" spans="1:2" x14ac:dyDescent="0.25">
      <c r="A3685" t="s">
        <v>346</v>
      </c>
      <c r="B3685" t="s">
        <v>2469</v>
      </c>
    </row>
    <row r="3686" spans="1:2" x14ac:dyDescent="0.25">
      <c r="A3686" t="s">
        <v>346</v>
      </c>
      <c r="B3686" t="s">
        <v>2454</v>
      </c>
    </row>
    <row r="3687" spans="1:2" x14ac:dyDescent="0.25">
      <c r="A3687" t="s">
        <v>346</v>
      </c>
      <c r="B3687" t="s">
        <v>2470</v>
      </c>
    </row>
    <row r="3688" spans="1:2" x14ac:dyDescent="0.25">
      <c r="A3688" t="s">
        <v>346</v>
      </c>
      <c r="B3688" t="s">
        <v>2471</v>
      </c>
    </row>
    <row r="3689" spans="1:2" x14ac:dyDescent="0.25">
      <c r="A3689" t="s">
        <v>346</v>
      </c>
      <c r="B3689" t="s">
        <v>2472</v>
      </c>
    </row>
    <row r="3690" spans="1:2" x14ac:dyDescent="0.25">
      <c r="A3690" t="s">
        <v>346</v>
      </c>
      <c r="B3690" t="s">
        <v>2473</v>
      </c>
    </row>
    <row r="3691" spans="1:2" x14ac:dyDescent="0.25">
      <c r="A3691" t="s">
        <v>346</v>
      </c>
      <c r="B3691" t="s">
        <v>2474</v>
      </c>
    </row>
    <row r="3692" spans="1:2" x14ac:dyDescent="0.25">
      <c r="A3692" t="s">
        <v>346</v>
      </c>
      <c r="B3692" t="s">
        <v>2475</v>
      </c>
    </row>
    <row r="3693" spans="1:2" x14ac:dyDescent="0.25">
      <c r="A3693" t="s">
        <v>346</v>
      </c>
      <c r="B3693" t="s">
        <v>2476</v>
      </c>
    </row>
    <row r="3694" spans="1:2" x14ac:dyDescent="0.25">
      <c r="A3694" t="s">
        <v>346</v>
      </c>
      <c r="B3694" t="s">
        <v>2477</v>
      </c>
    </row>
    <row r="3695" spans="1:2" x14ac:dyDescent="0.25">
      <c r="A3695" t="s">
        <v>346</v>
      </c>
      <c r="B3695" t="s">
        <v>2478</v>
      </c>
    </row>
    <row r="3696" spans="1:2" x14ac:dyDescent="0.25">
      <c r="A3696" t="s">
        <v>346</v>
      </c>
      <c r="B3696" t="s">
        <v>2479</v>
      </c>
    </row>
    <row r="3697" spans="1:2" x14ac:dyDescent="0.25">
      <c r="A3697" t="s">
        <v>346</v>
      </c>
      <c r="B3697" t="s">
        <v>2480</v>
      </c>
    </row>
    <row r="3698" spans="1:2" x14ac:dyDescent="0.25">
      <c r="A3698" t="s">
        <v>346</v>
      </c>
      <c r="B3698" t="s">
        <v>2481</v>
      </c>
    </row>
    <row r="3699" spans="1:2" x14ac:dyDescent="0.25">
      <c r="A3699" t="s">
        <v>346</v>
      </c>
      <c r="B3699" t="s">
        <v>2482</v>
      </c>
    </row>
    <row r="3700" spans="1:2" x14ac:dyDescent="0.25">
      <c r="A3700" t="s">
        <v>344</v>
      </c>
      <c r="B3700" t="s">
        <v>4087</v>
      </c>
    </row>
    <row r="3701" spans="1:2" x14ac:dyDescent="0.25">
      <c r="A3701" t="s">
        <v>344</v>
      </c>
      <c r="B3701" t="s">
        <v>3198</v>
      </c>
    </row>
    <row r="3702" spans="1:2" x14ac:dyDescent="0.25">
      <c r="A3702" t="s">
        <v>344</v>
      </c>
      <c r="B3702" t="s">
        <v>3199</v>
      </c>
    </row>
    <row r="3703" spans="1:2" x14ac:dyDescent="0.25">
      <c r="A3703" t="s">
        <v>344</v>
      </c>
      <c r="B3703" t="s">
        <v>3200</v>
      </c>
    </row>
    <row r="3704" spans="1:2" x14ac:dyDescent="0.25">
      <c r="A3704" t="s">
        <v>344</v>
      </c>
      <c r="B3704" t="s">
        <v>3201</v>
      </c>
    </row>
    <row r="3705" spans="1:2" x14ac:dyDescent="0.25">
      <c r="A3705" t="s">
        <v>344</v>
      </c>
      <c r="B3705" t="s">
        <v>3202</v>
      </c>
    </row>
    <row r="3706" spans="1:2" x14ac:dyDescent="0.25">
      <c r="A3706" t="s">
        <v>344</v>
      </c>
      <c r="B3706" t="s">
        <v>3203</v>
      </c>
    </row>
    <row r="3707" spans="1:2" x14ac:dyDescent="0.25">
      <c r="A3707" t="s">
        <v>344</v>
      </c>
      <c r="B3707" t="s">
        <v>3204</v>
      </c>
    </row>
    <row r="3708" spans="1:2" x14ac:dyDescent="0.25">
      <c r="A3708" t="s">
        <v>344</v>
      </c>
      <c r="B3708" t="s">
        <v>3205</v>
      </c>
    </row>
    <row r="3709" spans="1:2" x14ac:dyDescent="0.25">
      <c r="A3709" t="s">
        <v>344</v>
      </c>
      <c r="B3709" t="s">
        <v>3206</v>
      </c>
    </row>
    <row r="3710" spans="1:2" x14ac:dyDescent="0.25">
      <c r="A3710" t="s">
        <v>344</v>
      </c>
      <c r="B3710" t="s">
        <v>3207</v>
      </c>
    </row>
    <row r="3711" spans="1:2" x14ac:dyDescent="0.25">
      <c r="A3711" t="s">
        <v>344</v>
      </c>
      <c r="B3711" t="s">
        <v>3208</v>
      </c>
    </row>
    <row r="3712" spans="1:2" x14ac:dyDescent="0.25">
      <c r="A3712" t="s">
        <v>344</v>
      </c>
      <c r="B3712" t="s">
        <v>3209</v>
      </c>
    </row>
    <row r="3713" spans="1:2" x14ac:dyDescent="0.25">
      <c r="A3713" t="s">
        <v>344</v>
      </c>
      <c r="B3713" t="s">
        <v>3210</v>
      </c>
    </row>
    <row r="3714" spans="1:2" x14ac:dyDescent="0.25">
      <c r="A3714" t="s">
        <v>344</v>
      </c>
      <c r="B3714" t="s">
        <v>3211</v>
      </c>
    </row>
    <row r="3715" spans="1:2" x14ac:dyDescent="0.25">
      <c r="A3715" t="s">
        <v>344</v>
      </c>
      <c r="B3715" t="s">
        <v>3212</v>
      </c>
    </row>
    <row r="3716" spans="1:2" x14ac:dyDescent="0.25">
      <c r="A3716" t="s">
        <v>344</v>
      </c>
      <c r="B3716" t="s">
        <v>3213</v>
      </c>
    </row>
    <row r="3717" spans="1:2" x14ac:dyDescent="0.25">
      <c r="A3717" t="s">
        <v>344</v>
      </c>
      <c r="B3717" t="s">
        <v>3214</v>
      </c>
    </row>
    <row r="3718" spans="1:2" x14ac:dyDescent="0.25">
      <c r="A3718" t="s">
        <v>344</v>
      </c>
      <c r="B3718" t="s">
        <v>3215</v>
      </c>
    </row>
    <row r="3719" spans="1:2" x14ac:dyDescent="0.25">
      <c r="A3719" t="s">
        <v>344</v>
      </c>
      <c r="B3719" t="s">
        <v>3216</v>
      </c>
    </row>
    <row r="3720" spans="1:2" x14ac:dyDescent="0.25">
      <c r="A3720" t="s">
        <v>344</v>
      </c>
      <c r="B3720" t="s">
        <v>3217</v>
      </c>
    </row>
    <row r="3721" spans="1:2" x14ac:dyDescent="0.25">
      <c r="A3721" t="s">
        <v>344</v>
      </c>
      <c r="B3721" t="s">
        <v>3218</v>
      </c>
    </row>
    <row r="3722" spans="1:2" x14ac:dyDescent="0.25">
      <c r="A3722" t="s">
        <v>344</v>
      </c>
      <c r="B3722" t="s">
        <v>3219</v>
      </c>
    </row>
    <row r="3723" spans="1:2" x14ac:dyDescent="0.25">
      <c r="A3723" t="s">
        <v>344</v>
      </c>
      <c r="B3723" t="s">
        <v>3220</v>
      </c>
    </row>
    <row r="3724" spans="1:2" x14ac:dyDescent="0.25">
      <c r="A3724" t="s">
        <v>328</v>
      </c>
      <c r="B3724" t="s">
        <v>4431</v>
      </c>
    </row>
    <row r="3725" spans="1:2" x14ac:dyDescent="0.25">
      <c r="A3725" t="s">
        <v>328</v>
      </c>
      <c r="B3725" t="s">
        <v>4432</v>
      </c>
    </row>
    <row r="3726" spans="1:2" x14ac:dyDescent="0.25">
      <c r="A3726" t="s">
        <v>328</v>
      </c>
      <c r="B3726" t="s">
        <v>4433</v>
      </c>
    </row>
    <row r="3727" spans="1:2" x14ac:dyDescent="0.25">
      <c r="A3727" t="s">
        <v>328</v>
      </c>
      <c r="B3727" t="s">
        <v>4434</v>
      </c>
    </row>
    <row r="3728" spans="1:2" x14ac:dyDescent="0.25">
      <c r="A3728" t="s">
        <v>328</v>
      </c>
      <c r="B3728" t="s">
        <v>4435</v>
      </c>
    </row>
    <row r="3729" spans="1:2" x14ac:dyDescent="0.25">
      <c r="A3729" t="s">
        <v>328</v>
      </c>
      <c r="B3729" t="s">
        <v>4436</v>
      </c>
    </row>
    <row r="3730" spans="1:2" x14ac:dyDescent="0.25">
      <c r="A3730" t="s">
        <v>328</v>
      </c>
      <c r="B3730" t="s">
        <v>4437</v>
      </c>
    </row>
    <row r="3731" spans="1:2" x14ac:dyDescent="0.25">
      <c r="A3731" t="s">
        <v>328</v>
      </c>
      <c r="B3731" t="s">
        <v>4438</v>
      </c>
    </row>
    <row r="3732" spans="1:2" x14ac:dyDescent="0.25">
      <c r="A3732" t="s">
        <v>328</v>
      </c>
      <c r="B3732" t="s">
        <v>4439</v>
      </c>
    </row>
    <row r="3733" spans="1:2" x14ac:dyDescent="0.25">
      <c r="A3733" t="s">
        <v>328</v>
      </c>
      <c r="B3733" t="s">
        <v>4440</v>
      </c>
    </row>
    <row r="3734" spans="1:2" x14ac:dyDescent="0.25">
      <c r="A3734" t="s">
        <v>328</v>
      </c>
      <c r="B3734" t="s">
        <v>4441</v>
      </c>
    </row>
    <row r="3735" spans="1:2" x14ac:dyDescent="0.25">
      <c r="A3735" t="s">
        <v>328</v>
      </c>
      <c r="B3735" t="s">
        <v>4442</v>
      </c>
    </row>
    <row r="3736" spans="1:2" x14ac:dyDescent="0.25">
      <c r="A3736" t="s">
        <v>328</v>
      </c>
      <c r="B3736" t="s">
        <v>4443</v>
      </c>
    </row>
    <row r="3737" spans="1:2" x14ac:dyDescent="0.25">
      <c r="A3737" t="s">
        <v>328</v>
      </c>
      <c r="B3737" t="s">
        <v>4444</v>
      </c>
    </row>
    <row r="3738" spans="1:2" x14ac:dyDescent="0.25">
      <c r="A3738" t="s">
        <v>328</v>
      </c>
      <c r="B3738" t="s">
        <v>2051</v>
      </c>
    </row>
    <row r="3739" spans="1:2" x14ac:dyDescent="0.25">
      <c r="A3739" t="s">
        <v>328</v>
      </c>
      <c r="B3739" t="s">
        <v>4445</v>
      </c>
    </row>
    <row r="3740" spans="1:2" x14ac:dyDescent="0.25">
      <c r="A3740" t="s">
        <v>328</v>
      </c>
      <c r="B3740" t="s">
        <v>4446</v>
      </c>
    </row>
    <row r="3741" spans="1:2" x14ac:dyDescent="0.25">
      <c r="A3741" t="s">
        <v>328</v>
      </c>
      <c r="B3741" t="s">
        <v>4447</v>
      </c>
    </row>
    <row r="3742" spans="1:2" x14ac:dyDescent="0.25">
      <c r="A3742" t="s">
        <v>328</v>
      </c>
      <c r="B3742" t="s">
        <v>4448</v>
      </c>
    </row>
    <row r="3743" spans="1:2" x14ac:dyDescent="0.25">
      <c r="A3743" t="s">
        <v>328</v>
      </c>
      <c r="B3743" t="s">
        <v>4449</v>
      </c>
    </row>
    <row r="3744" spans="1:2" x14ac:dyDescent="0.25">
      <c r="A3744" t="s">
        <v>356</v>
      </c>
      <c r="B3744" t="s">
        <v>4042</v>
      </c>
    </row>
    <row r="3745" spans="1:2" x14ac:dyDescent="0.25">
      <c r="A3745" t="s">
        <v>356</v>
      </c>
      <c r="B3745" t="s">
        <v>1980</v>
      </c>
    </row>
    <row r="3746" spans="1:2" x14ac:dyDescent="0.25">
      <c r="A3746" t="s">
        <v>356</v>
      </c>
      <c r="B3746" t="s">
        <v>2180</v>
      </c>
    </row>
    <row r="3747" spans="1:2" x14ac:dyDescent="0.25">
      <c r="A3747" t="s">
        <v>356</v>
      </c>
      <c r="B3747" t="s">
        <v>2181</v>
      </c>
    </row>
    <row r="3748" spans="1:2" x14ac:dyDescent="0.25">
      <c r="A3748" t="s">
        <v>356</v>
      </c>
      <c r="B3748" t="s">
        <v>2182</v>
      </c>
    </row>
    <row r="3749" spans="1:2" x14ac:dyDescent="0.25">
      <c r="A3749" t="s">
        <v>356</v>
      </c>
      <c r="B3749" t="s">
        <v>2183</v>
      </c>
    </row>
    <row r="3750" spans="1:2" x14ac:dyDescent="0.25">
      <c r="A3750" t="s">
        <v>356</v>
      </c>
      <c r="B3750" t="s">
        <v>888</v>
      </c>
    </row>
    <row r="3751" spans="1:2" x14ac:dyDescent="0.25">
      <c r="A3751" t="s">
        <v>356</v>
      </c>
      <c r="B3751" t="s">
        <v>883</v>
      </c>
    </row>
    <row r="3752" spans="1:2" x14ac:dyDescent="0.25">
      <c r="A3752" t="s">
        <v>356</v>
      </c>
      <c r="B3752" t="s">
        <v>882</v>
      </c>
    </row>
    <row r="3753" spans="1:2" x14ac:dyDescent="0.25">
      <c r="A3753" t="s">
        <v>356</v>
      </c>
      <c r="B3753" t="s">
        <v>895</v>
      </c>
    </row>
    <row r="3754" spans="1:2" x14ac:dyDescent="0.25">
      <c r="A3754" t="s">
        <v>356</v>
      </c>
      <c r="B3754" t="s">
        <v>893</v>
      </c>
    </row>
    <row r="3755" spans="1:2" x14ac:dyDescent="0.25">
      <c r="A3755" t="s">
        <v>356</v>
      </c>
      <c r="B3755" t="s">
        <v>894</v>
      </c>
    </row>
    <row r="3756" spans="1:2" x14ac:dyDescent="0.25">
      <c r="A3756" t="s">
        <v>356</v>
      </c>
      <c r="B3756" t="s">
        <v>896</v>
      </c>
    </row>
    <row r="3757" spans="1:2" x14ac:dyDescent="0.25">
      <c r="A3757" t="s">
        <v>356</v>
      </c>
      <c r="B3757" t="s">
        <v>898</v>
      </c>
    </row>
    <row r="3758" spans="1:2" x14ac:dyDescent="0.25">
      <c r="A3758" t="s">
        <v>356</v>
      </c>
      <c r="B3758" t="s">
        <v>891</v>
      </c>
    </row>
    <row r="3759" spans="1:2" x14ac:dyDescent="0.25">
      <c r="A3759" t="s">
        <v>356</v>
      </c>
      <c r="B3759" t="s">
        <v>2184</v>
      </c>
    </row>
    <row r="3760" spans="1:2" x14ac:dyDescent="0.25">
      <c r="A3760" t="s">
        <v>356</v>
      </c>
      <c r="B3760" t="s">
        <v>889</v>
      </c>
    </row>
    <row r="3761" spans="1:2" x14ac:dyDescent="0.25">
      <c r="A3761" t="s">
        <v>356</v>
      </c>
      <c r="B3761" t="s">
        <v>2185</v>
      </c>
    </row>
    <row r="3762" spans="1:2" x14ac:dyDescent="0.25">
      <c r="A3762" t="s">
        <v>356</v>
      </c>
      <c r="B3762" t="s">
        <v>892</v>
      </c>
    </row>
    <row r="3763" spans="1:2" x14ac:dyDescent="0.25">
      <c r="A3763" t="s">
        <v>356</v>
      </c>
      <c r="B3763" t="s">
        <v>897</v>
      </c>
    </row>
    <row r="3764" spans="1:2" x14ac:dyDescent="0.25">
      <c r="A3764" t="s">
        <v>356</v>
      </c>
      <c r="B3764" t="s">
        <v>886</v>
      </c>
    </row>
    <row r="3765" spans="1:2" x14ac:dyDescent="0.25">
      <c r="A3765" t="s">
        <v>356</v>
      </c>
      <c r="B3765" t="s">
        <v>887</v>
      </c>
    </row>
    <row r="3766" spans="1:2" x14ac:dyDescent="0.25">
      <c r="A3766" t="s">
        <v>356</v>
      </c>
      <c r="B3766" t="s">
        <v>884</v>
      </c>
    </row>
    <row r="3767" spans="1:2" x14ac:dyDescent="0.25">
      <c r="A3767" t="s">
        <v>356</v>
      </c>
      <c r="B3767" t="s">
        <v>890</v>
      </c>
    </row>
    <row r="3768" spans="1:2" x14ac:dyDescent="0.25">
      <c r="A3768" t="s">
        <v>342</v>
      </c>
      <c r="B3768" t="s">
        <v>4098</v>
      </c>
    </row>
    <row r="3769" spans="1:2" x14ac:dyDescent="0.25">
      <c r="A3769" t="s">
        <v>342</v>
      </c>
      <c r="B3769" t="s">
        <v>3444</v>
      </c>
    </row>
    <row r="3770" spans="1:2" x14ac:dyDescent="0.25">
      <c r="A3770" t="s">
        <v>342</v>
      </c>
      <c r="B3770" t="s">
        <v>3445</v>
      </c>
    </row>
    <row r="3771" spans="1:2" x14ac:dyDescent="0.25">
      <c r="A3771" t="s">
        <v>342</v>
      </c>
      <c r="B3771" t="s">
        <v>3446</v>
      </c>
    </row>
    <row r="3772" spans="1:2" x14ac:dyDescent="0.25">
      <c r="A3772" t="s">
        <v>342</v>
      </c>
      <c r="B3772" t="s">
        <v>3447</v>
      </c>
    </row>
    <row r="3773" spans="1:2" x14ac:dyDescent="0.25">
      <c r="A3773" t="s">
        <v>342</v>
      </c>
      <c r="B3773" t="s">
        <v>3448</v>
      </c>
    </row>
    <row r="3774" spans="1:2" x14ac:dyDescent="0.25">
      <c r="A3774" t="s">
        <v>342</v>
      </c>
      <c r="B3774" t="s">
        <v>1443</v>
      </c>
    </row>
    <row r="3775" spans="1:2" x14ac:dyDescent="0.25">
      <c r="A3775" t="s">
        <v>342</v>
      </c>
      <c r="B3775" t="s">
        <v>3449</v>
      </c>
    </row>
    <row r="3776" spans="1:2" x14ac:dyDescent="0.25">
      <c r="A3776" t="s">
        <v>342</v>
      </c>
      <c r="B3776" t="s">
        <v>1441</v>
      </c>
    </row>
    <row r="3777" spans="1:2" x14ac:dyDescent="0.25">
      <c r="A3777" t="s">
        <v>342</v>
      </c>
      <c r="B3777" t="s">
        <v>1434</v>
      </c>
    </row>
    <row r="3778" spans="1:2" x14ac:dyDescent="0.25">
      <c r="A3778" t="s">
        <v>342</v>
      </c>
      <c r="B3778" t="s">
        <v>1437</v>
      </c>
    </row>
    <row r="3779" spans="1:2" x14ac:dyDescent="0.25">
      <c r="A3779" t="s">
        <v>342</v>
      </c>
      <c r="B3779" t="s">
        <v>1436</v>
      </c>
    </row>
    <row r="3780" spans="1:2" x14ac:dyDescent="0.25">
      <c r="A3780" t="s">
        <v>342</v>
      </c>
      <c r="B3780" t="s">
        <v>3450</v>
      </c>
    </row>
    <row r="3781" spans="1:2" x14ac:dyDescent="0.25">
      <c r="A3781" t="s">
        <v>342</v>
      </c>
      <c r="B3781" t="s">
        <v>3451</v>
      </c>
    </row>
    <row r="3782" spans="1:2" x14ac:dyDescent="0.25">
      <c r="A3782" t="s">
        <v>342</v>
      </c>
      <c r="B3782" t="s">
        <v>3452</v>
      </c>
    </row>
    <row r="3783" spans="1:2" x14ac:dyDescent="0.25">
      <c r="A3783" t="s">
        <v>342</v>
      </c>
      <c r="B3783" t="s">
        <v>3453</v>
      </c>
    </row>
    <row r="3784" spans="1:2" x14ac:dyDescent="0.25">
      <c r="A3784" t="s">
        <v>342</v>
      </c>
      <c r="B3784" t="s">
        <v>1442</v>
      </c>
    </row>
    <row r="3785" spans="1:2" x14ac:dyDescent="0.25">
      <c r="A3785" t="s">
        <v>342</v>
      </c>
      <c r="B3785" t="s">
        <v>3454</v>
      </c>
    </row>
    <row r="3786" spans="1:2" x14ac:dyDescent="0.25">
      <c r="A3786" t="s">
        <v>342</v>
      </c>
      <c r="B3786" t="s">
        <v>3455</v>
      </c>
    </row>
    <row r="3787" spans="1:2" x14ac:dyDescent="0.25">
      <c r="A3787" t="s">
        <v>342</v>
      </c>
      <c r="B3787" t="s">
        <v>1438</v>
      </c>
    </row>
    <row r="3788" spans="1:2" x14ac:dyDescent="0.25">
      <c r="A3788" t="s">
        <v>342</v>
      </c>
      <c r="B3788" t="s">
        <v>1439</v>
      </c>
    </row>
    <row r="3789" spans="1:2" x14ac:dyDescent="0.25">
      <c r="A3789" t="s">
        <v>342</v>
      </c>
      <c r="B3789" t="s">
        <v>1440</v>
      </c>
    </row>
    <row r="3790" spans="1:2" x14ac:dyDescent="0.25">
      <c r="A3790" t="s">
        <v>342</v>
      </c>
      <c r="B3790" t="s">
        <v>3456</v>
      </c>
    </row>
    <row r="3791" spans="1:2" x14ac:dyDescent="0.25">
      <c r="A3791" t="s">
        <v>342</v>
      </c>
      <c r="B3791" t="s">
        <v>3457</v>
      </c>
    </row>
    <row r="3792" spans="1:2" x14ac:dyDescent="0.25">
      <c r="A3792" t="s">
        <v>342</v>
      </c>
      <c r="B3792" t="s">
        <v>1435</v>
      </c>
    </row>
    <row r="3793" spans="1:2" x14ac:dyDescent="0.25">
      <c r="A3793" t="s">
        <v>373</v>
      </c>
      <c r="B3793" t="s">
        <v>4456</v>
      </c>
    </row>
    <row r="3794" spans="1:2" x14ac:dyDescent="0.25">
      <c r="A3794" t="s">
        <v>373</v>
      </c>
      <c r="B3794" t="s">
        <v>4453</v>
      </c>
    </row>
    <row r="3795" spans="1:2" x14ac:dyDescent="0.25">
      <c r="A3795" t="s">
        <v>373</v>
      </c>
      <c r="B3795" t="s">
        <v>4452</v>
      </c>
    </row>
    <row r="3796" spans="1:2" x14ac:dyDescent="0.25">
      <c r="A3796" t="s">
        <v>373</v>
      </c>
      <c r="B3796" t="s">
        <v>4461</v>
      </c>
    </row>
    <row r="3797" spans="1:2" x14ac:dyDescent="0.25">
      <c r="A3797" t="s">
        <v>373</v>
      </c>
      <c r="B3797" t="s">
        <v>4463</v>
      </c>
    </row>
    <row r="3798" spans="1:2" x14ac:dyDescent="0.25">
      <c r="A3798" t="s">
        <v>373</v>
      </c>
      <c r="B3798" t="s">
        <v>4616</v>
      </c>
    </row>
    <row r="3799" spans="1:2" x14ac:dyDescent="0.25">
      <c r="A3799" t="s">
        <v>373</v>
      </c>
      <c r="B3799" t="s">
        <v>4544</v>
      </c>
    </row>
    <row r="3800" spans="1:2" x14ac:dyDescent="0.25">
      <c r="A3800" t="s">
        <v>373</v>
      </c>
      <c r="B3800" t="s">
        <v>4460</v>
      </c>
    </row>
    <row r="3801" spans="1:2" x14ac:dyDescent="0.25">
      <c r="A3801" t="s">
        <v>373</v>
      </c>
      <c r="B3801" t="s">
        <v>4547</v>
      </c>
    </row>
    <row r="3802" spans="1:2" x14ac:dyDescent="0.25">
      <c r="A3802" t="s">
        <v>373</v>
      </c>
      <c r="B3802" t="s">
        <v>4450</v>
      </c>
    </row>
    <row r="3803" spans="1:2" x14ac:dyDescent="0.25">
      <c r="A3803" t="s">
        <v>373</v>
      </c>
      <c r="B3803" t="s">
        <v>4459</v>
      </c>
    </row>
    <row r="3804" spans="1:2" x14ac:dyDescent="0.25">
      <c r="A3804" t="s">
        <v>373</v>
      </c>
      <c r="B3804" t="s">
        <v>4451</v>
      </c>
    </row>
    <row r="3805" spans="1:2" x14ac:dyDescent="0.25">
      <c r="A3805" t="s">
        <v>373</v>
      </c>
      <c r="B3805" t="s">
        <v>4458</v>
      </c>
    </row>
    <row r="3806" spans="1:2" x14ac:dyDescent="0.25">
      <c r="A3806" t="s">
        <v>373</v>
      </c>
      <c r="B3806" t="s">
        <v>4464</v>
      </c>
    </row>
    <row r="3807" spans="1:2" x14ac:dyDescent="0.25">
      <c r="A3807" t="s">
        <v>373</v>
      </c>
      <c r="B3807" t="s">
        <v>4454</v>
      </c>
    </row>
    <row r="3808" spans="1:2" x14ac:dyDescent="0.25">
      <c r="A3808" t="s">
        <v>373</v>
      </c>
      <c r="B3808" t="s">
        <v>4545</v>
      </c>
    </row>
    <row r="3809" spans="1:2" x14ac:dyDescent="0.25">
      <c r="A3809" t="s">
        <v>373</v>
      </c>
      <c r="B3809" t="s">
        <v>4546</v>
      </c>
    </row>
    <row r="3810" spans="1:2" x14ac:dyDescent="0.25">
      <c r="A3810" t="s">
        <v>373</v>
      </c>
      <c r="B3810" t="s">
        <v>4462</v>
      </c>
    </row>
    <row r="3811" spans="1:2" x14ac:dyDescent="0.25">
      <c r="A3811" t="s">
        <v>373</v>
      </c>
      <c r="B3811" t="s">
        <v>4455</v>
      </c>
    </row>
    <row r="3812" spans="1:2" x14ac:dyDescent="0.25">
      <c r="A3812" t="s">
        <v>373</v>
      </c>
      <c r="B3812" t="s">
        <v>4450</v>
      </c>
    </row>
    <row r="3813" spans="1:2" x14ac:dyDescent="0.25">
      <c r="A3813" t="s">
        <v>373</v>
      </c>
      <c r="B3813" t="s">
        <v>4451</v>
      </c>
    </row>
    <row r="3814" spans="1:2" x14ac:dyDescent="0.25">
      <c r="A3814" t="s">
        <v>373</v>
      </c>
      <c r="B3814" t="s">
        <v>4452</v>
      </c>
    </row>
    <row r="3815" spans="1:2" x14ac:dyDescent="0.25">
      <c r="A3815" t="s">
        <v>373</v>
      </c>
      <c r="B3815" t="s">
        <v>4453</v>
      </c>
    </row>
    <row r="3816" spans="1:2" x14ac:dyDescent="0.25">
      <c r="A3816" t="s">
        <v>373</v>
      </c>
      <c r="B3816" t="s">
        <v>4454</v>
      </c>
    </row>
    <row r="3817" spans="1:2" x14ac:dyDescent="0.25">
      <c r="A3817" t="s">
        <v>373</v>
      </c>
      <c r="B3817" t="s">
        <v>4455</v>
      </c>
    </row>
    <row r="3818" spans="1:2" x14ac:dyDescent="0.25">
      <c r="A3818" t="s">
        <v>373</v>
      </c>
      <c r="B3818" t="s">
        <v>4456</v>
      </c>
    </row>
    <row r="3819" spans="1:2" x14ac:dyDescent="0.25">
      <c r="A3819" t="s">
        <v>373</v>
      </c>
      <c r="B3819" t="s">
        <v>4457</v>
      </c>
    </row>
    <row r="3820" spans="1:2" x14ac:dyDescent="0.25">
      <c r="A3820" t="s">
        <v>373</v>
      </c>
      <c r="B3820" t="s">
        <v>4458</v>
      </c>
    </row>
    <row r="3821" spans="1:2" x14ac:dyDescent="0.25">
      <c r="A3821" t="s">
        <v>373</v>
      </c>
      <c r="B3821" t="s">
        <v>4459</v>
      </c>
    </row>
    <row r="3822" spans="1:2" x14ac:dyDescent="0.25">
      <c r="A3822" t="s">
        <v>373</v>
      </c>
      <c r="B3822" t="s">
        <v>4460</v>
      </c>
    </row>
    <row r="3823" spans="1:2" x14ac:dyDescent="0.25">
      <c r="A3823" t="s">
        <v>373</v>
      </c>
      <c r="B3823" t="s">
        <v>4461</v>
      </c>
    </row>
    <row r="3824" spans="1:2" x14ac:dyDescent="0.25">
      <c r="A3824" t="s">
        <v>373</v>
      </c>
      <c r="B3824" t="s">
        <v>4462</v>
      </c>
    </row>
    <row r="3825" spans="1:2" x14ac:dyDescent="0.25">
      <c r="A3825" t="s">
        <v>373</v>
      </c>
      <c r="B3825" t="s">
        <v>4463</v>
      </c>
    </row>
    <row r="3826" spans="1:2" x14ac:dyDescent="0.25">
      <c r="A3826" t="s">
        <v>373</v>
      </c>
      <c r="B3826" t="s">
        <v>4464</v>
      </c>
    </row>
    <row r="3827" spans="1:2" x14ac:dyDescent="0.25">
      <c r="A3827" t="s">
        <v>371</v>
      </c>
      <c r="B3827" t="s">
        <v>533</v>
      </c>
    </row>
    <row r="3828" spans="1:2" x14ac:dyDescent="0.25">
      <c r="A3828" t="s">
        <v>371</v>
      </c>
      <c r="B3828" t="s">
        <v>4548</v>
      </c>
    </row>
    <row r="3829" spans="1:2" x14ac:dyDescent="0.25">
      <c r="A3829" t="s">
        <v>371</v>
      </c>
      <c r="B3829" t="s">
        <v>1604</v>
      </c>
    </row>
    <row r="3830" spans="1:2" x14ac:dyDescent="0.25">
      <c r="A3830" t="s">
        <v>371</v>
      </c>
      <c r="B3830" t="s">
        <v>1605</v>
      </c>
    </row>
    <row r="3831" spans="1:2" x14ac:dyDescent="0.25">
      <c r="A3831" t="s">
        <v>371</v>
      </c>
      <c r="B3831" t="s">
        <v>1606</v>
      </c>
    </row>
    <row r="3832" spans="1:2" x14ac:dyDescent="0.25">
      <c r="A3832" t="s">
        <v>371</v>
      </c>
      <c r="B3832" t="s">
        <v>1607</v>
      </c>
    </row>
    <row r="3833" spans="1:2" x14ac:dyDescent="0.25">
      <c r="A3833" t="s">
        <v>371</v>
      </c>
      <c r="B3833" t="s">
        <v>1608</v>
      </c>
    </row>
    <row r="3834" spans="1:2" x14ac:dyDescent="0.25">
      <c r="A3834" t="s">
        <v>371</v>
      </c>
      <c r="B3834" t="s">
        <v>1609</v>
      </c>
    </row>
    <row r="3835" spans="1:2" x14ac:dyDescent="0.25">
      <c r="A3835" t="s">
        <v>371</v>
      </c>
      <c r="B3835" t="s">
        <v>1610</v>
      </c>
    </row>
    <row r="3836" spans="1:2" x14ac:dyDescent="0.25">
      <c r="A3836" t="s">
        <v>371</v>
      </c>
      <c r="B3836" t="s">
        <v>1611</v>
      </c>
    </row>
    <row r="3837" spans="1:2" x14ac:dyDescent="0.25">
      <c r="A3837" t="s">
        <v>371</v>
      </c>
      <c r="B3837" t="s">
        <v>1612</v>
      </c>
    </row>
    <row r="3838" spans="1:2" x14ac:dyDescent="0.25">
      <c r="A3838" t="s">
        <v>371</v>
      </c>
      <c r="B3838" t="s">
        <v>1613</v>
      </c>
    </row>
    <row r="3839" spans="1:2" x14ac:dyDescent="0.25">
      <c r="A3839" t="s">
        <v>371</v>
      </c>
      <c r="B3839" t="s">
        <v>1614</v>
      </c>
    </row>
    <row r="3840" spans="1:2" x14ac:dyDescent="0.25">
      <c r="A3840" t="s">
        <v>371</v>
      </c>
      <c r="B3840" t="s">
        <v>1615</v>
      </c>
    </row>
    <row r="3841" spans="1:2" x14ac:dyDescent="0.25">
      <c r="A3841" t="s">
        <v>371</v>
      </c>
      <c r="B3841" t="s">
        <v>1616</v>
      </c>
    </row>
    <row r="3842" spans="1:2" x14ac:dyDescent="0.25">
      <c r="A3842" t="s">
        <v>371</v>
      </c>
      <c r="B3842" t="s">
        <v>1617</v>
      </c>
    </row>
    <row r="3843" spans="1:2" x14ac:dyDescent="0.25">
      <c r="A3843" t="s">
        <v>371</v>
      </c>
      <c r="B3843" t="s">
        <v>1618</v>
      </c>
    </row>
    <row r="3844" spans="1:2" x14ac:dyDescent="0.25">
      <c r="A3844" t="s">
        <v>371</v>
      </c>
      <c r="B3844" t="s">
        <v>1619</v>
      </c>
    </row>
    <row r="3845" spans="1:2" x14ac:dyDescent="0.25">
      <c r="A3845" t="s">
        <v>371</v>
      </c>
      <c r="B3845" t="s">
        <v>1620</v>
      </c>
    </row>
    <row r="3846" spans="1:2" x14ac:dyDescent="0.25">
      <c r="A3846" t="s">
        <v>371</v>
      </c>
      <c r="B3846" t="s">
        <v>1621</v>
      </c>
    </row>
    <row r="3847" spans="1:2" x14ac:dyDescent="0.25">
      <c r="A3847" t="s">
        <v>371</v>
      </c>
      <c r="B3847" t="s">
        <v>1622</v>
      </c>
    </row>
    <row r="3848" spans="1:2" x14ac:dyDescent="0.25">
      <c r="A3848" t="s">
        <v>371</v>
      </c>
      <c r="B3848" t="s">
        <v>1623</v>
      </c>
    </row>
    <row r="3849" spans="1:2" x14ac:dyDescent="0.25">
      <c r="A3849" t="s">
        <v>371</v>
      </c>
      <c r="B3849" t="s">
        <v>1624</v>
      </c>
    </row>
    <row r="3850" spans="1:2" x14ac:dyDescent="0.25">
      <c r="A3850" t="s">
        <v>371</v>
      </c>
      <c r="B3850" t="s">
        <v>1625</v>
      </c>
    </row>
    <row r="3851" spans="1:2" x14ac:dyDescent="0.25">
      <c r="A3851" t="s">
        <v>371</v>
      </c>
      <c r="B3851" t="s">
        <v>1626</v>
      </c>
    </row>
    <row r="3852" spans="1:2" x14ac:dyDescent="0.25">
      <c r="A3852" t="s">
        <v>371</v>
      </c>
      <c r="B3852" t="s">
        <v>1627</v>
      </c>
    </row>
    <row r="3853" spans="1:2" x14ac:dyDescent="0.25">
      <c r="A3853" t="s">
        <v>377</v>
      </c>
      <c r="B3853" t="s">
        <v>828</v>
      </c>
    </row>
    <row r="3854" spans="1:2" x14ac:dyDescent="0.25">
      <c r="A3854" t="s">
        <v>377</v>
      </c>
      <c r="B3854" t="s">
        <v>2167</v>
      </c>
    </row>
    <row r="3855" spans="1:2" x14ac:dyDescent="0.25">
      <c r="A3855" t="s">
        <v>377</v>
      </c>
      <c r="B3855" t="s">
        <v>2168</v>
      </c>
    </row>
    <row r="3856" spans="1:2" x14ac:dyDescent="0.25">
      <c r="A3856" t="s">
        <v>377</v>
      </c>
      <c r="B3856" t="s">
        <v>2169</v>
      </c>
    </row>
    <row r="3857" spans="1:2" x14ac:dyDescent="0.25">
      <c r="A3857" t="s">
        <v>377</v>
      </c>
      <c r="B3857" t="s">
        <v>2170</v>
      </c>
    </row>
    <row r="3858" spans="1:2" x14ac:dyDescent="0.25">
      <c r="A3858" t="s">
        <v>377</v>
      </c>
      <c r="B3858" t="s">
        <v>708</v>
      </c>
    </row>
    <row r="3859" spans="1:2" x14ac:dyDescent="0.25">
      <c r="A3859" t="s">
        <v>377</v>
      </c>
      <c r="B3859" t="s">
        <v>705</v>
      </c>
    </row>
    <row r="3860" spans="1:2" x14ac:dyDescent="0.25">
      <c r="A3860" t="s">
        <v>377</v>
      </c>
      <c r="B3860" t="s">
        <v>707</v>
      </c>
    </row>
    <row r="3861" spans="1:2" x14ac:dyDescent="0.25">
      <c r="A3861" t="s">
        <v>377</v>
      </c>
      <c r="B3861" t="s">
        <v>2171</v>
      </c>
    </row>
    <row r="3862" spans="1:2" x14ac:dyDescent="0.25">
      <c r="A3862" t="s">
        <v>377</v>
      </c>
      <c r="B3862" t="s">
        <v>2172</v>
      </c>
    </row>
    <row r="3863" spans="1:2" x14ac:dyDescent="0.25">
      <c r="A3863" t="s">
        <v>377</v>
      </c>
      <c r="B3863" t="s">
        <v>2173</v>
      </c>
    </row>
    <row r="3864" spans="1:2" x14ac:dyDescent="0.25">
      <c r="A3864" t="s">
        <v>377</v>
      </c>
      <c r="B3864" t="s">
        <v>704</v>
      </c>
    </row>
    <row r="3865" spans="1:2" x14ac:dyDescent="0.25">
      <c r="A3865" t="s">
        <v>377</v>
      </c>
      <c r="B3865" t="s">
        <v>2174</v>
      </c>
    </row>
    <row r="3866" spans="1:2" x14ac:dyDescent="0.25">
      <c r="A3866" t="s">
        <v>377</v>
      </c>
      <c r="B3866" t="s">
        <v>2175</v>
      </c>
    </row>
    <row r="3867" spans="1:2" x14ac:dyDescent="0.25">
      <c r="A3867" t="s">
        <v>377</v>
      </c>
      <c r="B3867" t="s">
        <v>2176</v>
      </c>
    </row>
    <row r="3868" spans="1:2" x14ac:dyDescent="0.25">
      <c r="A3868" t="s">
        <v>377</v>
      </c>
      <c r="B3868" t="s">
        <v>2177</v>
      </c>
    </row>
    <row r="3869" spans="1:2" x14ac:dyDescent="0.25">
      <c r="A3869" t="s">
        <v>377</v>
      </c>
      <c r="B3869" t="s">
        <v>2178</v>
      </c>
    </row>
    <row r="3870" spans="1:2" x14ac:dyDescent="0.25">
      <c r="A3870" t="s">
        <v>377</v>
      </c>
      <c r="B3870" t="s">
        <v>2179</v>
      </c>
    </row>
    <row r="3871" spans="1:2" x14ac:dyDescent="0.25">
      <c r="A3871" t="s">
        <v>377</v>
      </c>
      <c r="B3871" t="s">
        <v>702</v>
      </c>
    </row>
    <row r="3872" spans="1:2" x14ac:dyDescent="0.25">
      <c r="A3872" t="s">
        <v>377</v>
      </c>
      <c r="B3872" t="s">
        <v>701</v>
      </c>
    </row>
    <row r="3873" spans="1:2" x14ac:dyDescent="0.25">
      <c r="A3873" t="s">
        <v>377</v>
      </c>
      <c r="B3873" t="s">
        <v>700</v>
      </c>
    </row>
    <row r="3874" spans="1:2" x14ac:dyDescent="0.25">
      <c r="A3874" t="s">
        <v>377</v>
      </c>
      <c r="B3874" t="s">
        <v>703</v>
      </c>
    </row>
    <row r="3875" spans="1:2" x14ac:dyDescent="0.25">
      <c r="A3875" t="s">
        <v>377</v>
      </c>
      <c r="B3875" t="s">
        <v>699</v>
      </c>
    </row>
    <row r="3876" spans="1:2" x14ac:dyDescent="0.25">
      <c r="A3876" t="s">
        <v>1529</v>
      </c>
      <c r="B3876" t="s">
        <v>4071</v>
      </c>
    </row>
    <row r="3877" spans="1:2" x14ac:dyDescent="0.25">
      <c r="A3877" t="s">
        <v>1529</v>
      </c>
      <c r="B3877" t="s">
        <v>2840</v>
      </c>
    </row>
    <row r="3878" spans="1:2" x14ac:dyDescent="0.25">
      <c r="A3878" t="s">
        <v>1529</v>
      </c>
      <c r="B3878" t="s">
        <v>981</v>
      </c>
    </row>
    <row r="3879" spans="1:2" x14ac:dyDescent="0.25">
      <c r="A3879" t="s">
        <v>1529</v>
      </c>
      <c r="B3879" t="s">
        <v>2841</v>
      </c>
    </row>
    <row r="3880" spans="1:2" x14ac:dyDescent="0.25">
      <c r="A3880" t="s">
        <v>1529</v>
      </c>
      <c r="B3880" t="s">
        <v>2842</v>
      </c>
    </row>
    <row r="3881" spans="1:2" x14ac:dyDescent="0.25">
      <c r="A3881" t="s">
        <v>1529</v>
      </c>
      <c r="B3881" t="s">
        <v>2235</v>
      </c>
    </row>
    <row r="3882" spans="1:2" x14ac:dyDescent="0.25">
      <c r="A3882" t="s">
        <v>1529</v>
      </c>
      <c r="B3882" t="s">
        <v>2843</v>
      </c>
    </row>
    <row r="3883" spans="1:2" x14ac:dyDescent="0.25">
      <c r="A3883" t="s">
        <v>1529</v>
      </c>
      <c r="B3883" t="s">
        <v>2844</v>
      </c>
    </row>
    <row r="3884" spans="1:2" x14ac:dyDescent="0.25">
      <c r="A3884" t="s">
        <v>1529</v>
      </c>
      <c r="B3884" t="s">
        <v>2845</v>
      </c>
    </row>
    <row r="3885" spans="1:2" x14ac:dyDescent="0.25">
      <c r="A3885" t="s">
        <v>1529</v>
      </c>
      <c r="B3885" t="s">
        <v>2846</v>
      </c>
    </row>
    <row r="3886" spans="1:2" x14ac:dyDescent="0.25">
      <c r="A3886" t="s">
        <v>1529</v>
      </c>
      <c r="B3886" t="s">
        <v>2847</v>
      </c>
    </row>
    <row r="3887" spans="1:2" x14ac:dyDescent="0.25">
      <c r="A3887" t="s">
        <v>1529</v>
      </c>
      <c r="B3887" t="s">
        <v>2848</v>
      </c>
    </row>
    <row r="3888" spans="1:2" x14ac:dyDescent="0.25">
      <c r="A3888" t="s">
        <v>1529</v>
      </c>
      <c r="B3888" t="s">
        <v>2849</v>
      </c>
    </row>
    <row r="3889" spans="1:2" x14ac:dyDescent="0.25">
      <c r="A3889" t="s">
        <v>1529</v>
      </c>
      <c r="B3889" t="s">
        <v>2850</v>
      </c>
    </row>
    <row r="3890" spans="1:2" x14ac:dyDescent="0.25">
      <c r="A3890" t="s">
        <v>1529</v>
      </c>
      <c r="B3890" t="s">
        <v>2851</v>
      </c>
    </row>
    <row r="3891" spans="1:2" x14ac:dyDescent="0.25">
      <c r="A3891" t="s">
        <v>1529</v>
      </c>
      <c r="B3891" t="s">
        <v>2852</v>
      </c>
    </row>
    <row r="3892" spans="1:2" x14ac:dyDescent="0.25">
      <c r="A3892" t="s">
        <v>1529</v>
      </c>
      <c r="B3892" t="s">
        <v>2853</v>
      </c>
    </row>
    <row r="3893" spans="1:2" x14ac:dyDescent="0.25">
      <c r="A3893" t="s">
        <v>1529</v>
      </c>
      <c r="B3893" t="s">
        <v>2854</v>
      </c>
    </row>
    <row r="3894" spans="1:2" x14ac:dyDescent="0.25">
      <c r="A3894" t="s">
        <v>1529</v>
      </c>
      <c r="B3894" t="s">
        <v>2855</v>
      </c>
    </row>
    <row r="3895" spans="1:2" x14ac:dyDescent="0.25">
      <c r="A3895" t="s">
        <v>1529</v>
      </c>
      <c r="B3895" t="s">
        <v>2856</v>
      </c>
    </row>
    <row r="3896" spans="1:2" x14ac:dyDescent="0.25">
      <c r="A3896" t="s">
        <v>1529</v>
      </c>
      <c r="B3896" t="s">
        <v>2857</v>
      </c>
    </row>
    <row r="3897" spans="1:2" x14ac:dyDescent="0.25">
      <c r="A3897" t="s">
        <v>1529</v>
      </c>
      <c r="B3897" t="s">
        <v>2858</v>
      </c>
    </row>
    <row r="3898" spans="1:2" x14ac:dyDescent="0.25">
      <c r="A3898" t="s">
        <v>1529</v>
      </c>
      <c r="B3898" t="s">
        <v>2859</v>
      </c>
    </row>
    <row r="3899" spans="1:2" x14ac:dyDescent="0.25">
      <c r="A3899" t="s">
        <v>362</v>
      </c>
      <c r="B3899" t="s">
        <v>4033</v>
      </c>
    </row>
    <row r="3900" spans="1:2" x14ac:dyDescent="0.25">
      <c r="A3900" t="s">
        <v>362</v>
      </c>
      <c r="B3900" t="s">
        <v>1865</v>
      </c>
    </row>
    <row r="3901" spans="1:2" x14ac:dyDescent="0.25">
      <c r="A3901" t="s">
        <v>362</v>
      </c>
      <c r="B3901" t="s">
        <v>1866</v>
      </c>
    </row>
    <row r="3902" spans="1:2" x14ac:dyDescent="0.25">
      <c r="A3902" t="s">
        <v>362</v>
      </c>
      <c r="B3902" t="s">
        <v>1867</v>
      </c>
    </row>
    <row r="3903" spans="1:2" x14ac:dyDescent="0.25">
      <c r="A3903" t="s">
        <v>362</v>
      </c>
      <c r="B3903" t="s">
        <v>1868</v>
      </c>
    </row>
    <row r="3904" spans="1:2" x14ac:dyDescent="0.25">
      <c r="A3904" t="s">
        <v>362</v>
      </c>
      <c r="B3904" t="s">
        <v>1869</v>
      </c>
    </row>
    <row r="3905" spans="1:2" x14ac:dyDescent="0.25">
      <c r="A3905" t="s">
        <v>362</v>
      </c>
      <c r="B3905" t="s">
        <v>1870</v>
      </c>
    </row>
    <row r="3906" spans="1:2" x14ac:dyDescent="0.25">
      <c r="A3906" t="s">
        <v>362</v>
      </c>
      <c r="B3906" t="s">
        <v>1871</v>
      </c>
    </row>
    <row r="3907" spans="1:2" x14ac:dyDescent="0.25">
      <c r="A3907" t="s">
        <v>362</v>
      </c>
      <c r="B3907" t="s">
        <v>1872</v>
      </c>
    </row>
    <row r="3908" spans="1:2" x14ac:dyDescent="0.25">
      <c r="A3908" t="s">
        <v>362</v>
      </c>
      <c r="B3908" t="s">
        <v>1873</v>
      </c>
    </row>
    <row r="3909" spans="1:2" x14ac:dyDescent="0.25">
      <c r="A3909" t="s">
        <v>362</v>
      </c>
      <c r="B3909" t="s">
        <v>1874</v>
      </c>
    </row>
    <row r="3910" spans="1:2" x14ac:dyDescent="0.25">
      <c r="A3910" t="s">
        <v>362</v>
      </c>
      <c r="B3910" t="s">
        <v>1875</v>
      </c>
    </row>
    <row r="3911" spans="1:2" x14ac:dyDescent="0.25">
      <c r="A3911" t="s">
        <v>362</v>
      </c>
      <c r="B3911" t="s">
        <v>1876</v>
      </c>
    </row>
    <row r="3912" spans="1:2" x14ac:dyDescent="0.25">
      <c r="A3912" t="s">
        <v>362</v>
      </c>
      <c r="B3912" t="s">
        <v>1877</v>
      </c>
    </row>
    <row r="3913" spans="1:2" x14ac:dyDescent="0.25">
      <c r="A3913" t="s">
        <v>362</v>
      </c>
      <c r="B3913" t="s">
        <v>1878</v>
      </c>
    </row>
    <row r="3914" spans="1:2" x14ac:dyDescent="0.25">
      <c r="A3914" t="s">
        <v>362</v>
      </c>
      <c r="B3914" t="s">
        <v>1879</v>
      </c>
    </row>
    <row r="3915" spans="1:2" x14ac:dyDescent="0.25">
      <c r="A3915" t="s">
        <v>362</v>
      </c>
      <c r="B3915" t="s">
        <v>1880</v>
      </c>
    </row>
    <row r="3916" spans="1:2" x14ac:dyDescent="0.25">
      <c r="A3916" t="s">
        <v>362</v>
      </c>
      <c r="B3916" t="s">
        <v>1881</v>
      </c>
    </row>
    <row r="3917" spans="1:2" x14ac:dyDescent="0.25">
      <c r="A3917" t="s">
        <v>362</v>
      </c>
      <c r="B3917" t="s">
        <v>1094</v>
      </c>
    </row>
    <row r="3918" spans="1:2" x14ac:dyDescent="0.25">
      <c r="A3918" t="s">
        <v>362</v>
      </c>
      <c r="B3918" t="s">
        <v>1882</v>
      </c>
    </row>
    <row r="3919" spans="1:2" x14ac:dyDescent="0.25">
      <c r="A3919" t="s">
        <v>365</v>
      </c>
      <c r="B3919" t="s">
        <v>4078</v>
      </c>
    </row>
    <row r="3920" spans="1:2" x14ac:dyDescent="0.25">
      <c r="A3920" t="s">
        <v>365</v>
      </c>
      <c r="B3920" t="s">
        <v>3012</v>
      </c>
    </row>
    <row r="3921" spans="1:2" x14ac:dyDescent="0.25">
      <c r="A3921" t="s">
        <v>365</v>
      </c>
      <c r="B3921" t="s">
        <v>3013</v>
      </c>
    </row>
    <row r="3922" spans="1:2" x14ac:dyDescent="0.25">
      <c r="A3922" t="s">
        <v>365</v>
      </c>
      <c r="B3922" t="s">
        <v>3014</v>
      </c>
    </row>
    <row r="3923" spans="1:2" x14ac:dyDescent="0.25">
      <c r="A3923" t="s">
        <v>365</v>
      </c>
      <c r="B3923" t="s">
        <v>3015</v>
      </c>
    </row>
    <row r="3924" spans="1:2" x14ac:dyDescent="0.25">
      <c r="A3924" t="s">
        <v>365</v>
      </c>
      <c r="B3924" t="s">
        <v>3016</v>
      </c>
    </row>
    <row r="3925" spans="1:2" x14ac:dyDescent="0.25">
      <c r="A3925" t="s">
        <v>365</v>
      </c>
      <c r="B3925" t="s">
        <v>3017</v>
      </c>
    </row>
    <row r="3926" spans="1:2" x14ac:dyDescent="0.25">
      <c r="A3926" t="s">
        <v>365</v>
      </c>
      <c r="B3926" t="s">
        <v>3018</v>
      </c>
    </row>
    <row r="3927" spans="1:2" x14ac:dyDescent="0.25">
      <c r="A3927" t="s">
        <v>365</v>
      </c>
      <c r="B3927" t="s">
        <v>3019</v>
      </c>
    </row>
    <row r="3928" spans="1:2" x14ac:dyDescent="0.25">
      <c r="A3928" t="s">
        <v>365</v>
      </c>
      <c r="B3928" t="s">
        <v>3020</v>
      </c>
    </row>
    <row r="3929" spans="1:2" x14ac:dyDescent="0.25">
      <c r="A3929" t="s">
        <v>365</v>
      </c>
      <c r="B3929" t="s">
        <v>3021</v>
      </c>
    </row>
    <row r="3930" spans="1:2" x14ac:dyDescent="0.25">
      <c r="A3930" t="s">
        <v>365</v>
      </c>
      <c r="B3930" t="s">
        <v>3022</v>
      </c>
    </row>
    <row r="3931" spans="1:2" x14ac:dyDescent="0.25">
      <c r="A3931" t="s">
        <v>365</v>
      </c>
      <c r="B3931" t="s">
        <v>3023</v>
      </c>
    </row>
    <row r="3932" spans="1:2" x14ac:dyDescent="0.25">
      <c r="A3932" t="s">
        <v>365</v>
      </c>
      <c r="B3932" t="s">
        <v>3024</v>
      </c>
    </row>
    <row r="3933" spans="1:2" x14ac:dyDescent="0.25">
      <c r="A3933" t="s">
        <v>365</v>
      </c>
      <c r="B3933" t="s">
        <v>3025</v>
      </c>
    </row>
    <row r="3934" spans="1:2" x14ac:dyDescent="0.25">
      <c r="A3934" t="s">
        <v>365</v>
      </c>
      <c r="B3934" t="s">
        <v>4683</v>
      </c>
    </row>
    <row r="3935" spans="1:2" x14ac:dyDescent="0.25">
      <c r="A3935" t="s">
        <v>365</v>
      </c>
      <c r="B3935" t="s">
        <v>3026</v>
      </c>
    </row>
    <row r="3936" spans="1:2" x14ac:dyDescent="0.25">
      <c r="A3936" t="s">
        <v>365</v>
      </c>
      <c r="B3936" t="s">
        <v>3027</v>
      </c>
    </row>
    <row r="3937" spans="1:2" x14ac:dyDescent="0.25">
      <c r="A3937" t="s">
        <v>365</v>
      </c>
      <c r="B3937" t="s">
        <v>3028</v>
      </c>
    </row>
    <row r="3938" spans="1:2" x14ac:dyDescent="0.25">
      <c r="A3938" t="s">
        <v>365</v>
      </c>
      <c r="B3938" t="s">
        <v>3029</v>
      </c>
    </row>
    <row r="3939" spans="1:2" x14ac:dyDescent="0.25">
      <c r="A3939" t="s">
        <v>365</v>
      </c>
      <c r="B3939" t="s">
        <v>3030</v>
      </c>
    </row>
    <row r="3940" spans="1:2" x14ac:dyDescent="0.25">
      <c r="A3940" t="s">
        <v>365</v>
      </c>
      <c r="B3940" t="s">
        <v>3031</v>
      </c>
    </row>
    <row r="3941" spans="1:2" x14ac:dyDescent="0.25">
      <c r="A3941" t="s">
        <v>365</v>
      </c>
      <c r="B3941" t="s">
        <v>3032</v>
      </c>
    </row>
    <row r="3942" spans="1:2" x14ac:dyDescent="0.25">
      <c r="A3942" t="s">
        <v>310</v>
      </c>
      <c r="B3942" t="s">
        <v>4049</v>
      </c>
    </row>
    <row r="3943" spans="1:2" x14ac:dyDescent="0.25">
      <c r="A3943" t="s">
        <v>310</v>
      </c>
      <c r="B3943" t="s">
        <v>2360</v>
      </c>
    </row>
    <row r="3944" spans="1:2" x14ac:dyDescent="0.25">
      <c r="A3944" t="s">
        <v>310</v>
      </c>
      <c r="B3944" t="s">
        <v>2361</v>
      </c>
    </row>
    <row r="3945" spans="1:2" x14ac:dyDescent="0.25">
      <c r="A3945" t="s">
        <v>310</v>
      </c>
      <c r="B3945" t="s">
        <v>2362</v>
      </c>
    </row>
    <row r="3946" spans="1:2" x14ac:dyDescent="0.25">
      <c r="A3946" t="s">
        <v>310</v>
      </c>
      <c r="B3946" t="s">
        <v>2363</v>
      </c>
    </row>
    <row r="3947" spans="1:2" x14ac:dyDescent="0.25">
      <c r="A3947" t="s">
        <v>310</v>
      </c>
      <c r="B3947" t="s">
        <v>2364</v>
      </c>
    </row>
    <row r="3948" spans="1:2" x14ac:dyDescent="0.25">
      <c r="A3948" t="s">
        <v>310</v>
      </c>
      <c r="B3948" t="s">
        <v>2365</v>
      </c>
    </row>
    <row r="3949" spans="1:2" x14ac:dyDescent="0.25">
      <c r="A3949" t="s">
        <v>310</v>
      </c>
      <c r="B3949" t="s">
        <v>2366</v>
      </c>
    </row>
    <row r="3950" spans="1:2" x14ac:dyDescent="0.25">
      <c r="A3950" t="s">
        <v>310</v>
      </c>
      <c r="B3950" t="s">
        <v>2367</v>
      </c>
    </row>
    <row r="3951" spans="1:2" x14ac:dyDescent="0.25">
      <c r="A3951" t="s">
        <v>310</v>
      </c>
      <c r="B3951" t="s">
        <v>2368</v>
      </c>
    </row>
    <row r="3952" spans="1:2" x14ac:dyDescent="0.25">
      <c r="A3952" t="s">
        <v>310</v>
      </c>
      <c r="B3952" t="s">
        <v>1285</v>
      </c>
    </row>
    <row r="3953" spans="1:2" x14ac:dyDescent="0.25">
      <c r="A3953" t="s">
        <v>310</v>
      </c>
      <c r="B3953" t="s">
        <v>1298</v>
      </c>
    </row>
    <row r="3954" spans="1:2" x14ac:dyDescent="0.25">
      <c r="A3954" t="s">
        <v>310</v>
      </c>
      <c r="B3954" t="s">
        <v>1307</v>
      </c>
    </row>
    <row r="3955" spans="1:2" x14ac:dyDescent="0.25">
      <c r="A3955" t="s">
        <v>310</v>
      </c>
      <c r="B3955" t="s">
        <v>1310</v>
      </c>
    </row>
    <row r="3956" spans="1:2" x14ac:dyDescent="0.25">
      <c r="A3956" t="s">
        <v>310</v>
      </c>
      <c r="B3956" t="s">
        <v>1299</v>
      </c>
    </row>
    <row r="3957" spans="1:2" x14ac:dyDescent="0.25">
      <c r="A3957" t="s">
        <v>310</v>
      </c>
      <c r="B3957" t="s">
        <v>1300</v>
      </c>
    </row>
    <row r="3958" spans="1:2" x14ac:dyDescent="0.25">
      <c r="A3958" t="s">
        <v>310</v>
      </c>
      <c r="B3958" t="s">
        <v>1314</v>
      </c>
    </row>
    <row r="3959" spans="1:2" x14ac:dyDescent="0.25">
      <c r="A3959" t="s">
        <v>310</v>
      </c>
      <c r="B3959" t="s">
        <v>1311</v>
      </c>
    </row>
    <row r="3960" spans="1:2" x14ac:dyDescent="0.25">
      <c r="A3960" t="s">
        <v>310</v>
      </c>
      <c r="B3960" t="s">
        <v>1312</v>
      </c>
    </row>
    <row r="3961" spans="1:2" x14ac:dyDescent="0.25">
      <c r="A3961" t="s">
        <v>310</v>
      </c>
      <c r="B3961" t="s">
        <v>1315</v>
      </c>
    </row>
    <row r="3962" spans="1:2" x14ac:dyDescent="0.25">
      <c r="A3962" t="s">
        <v>310</v>
      </c>
      <c r="B3962" t="s">
        <v>1297</v>
      </c>
    </row>
    <row r="3963" spans="1:2" x14ac:dyDescent="0.25">
      <c r="A3963" t="s">
        <v>310</v>
      </c>
      <c r="B3963" t="s">
        <v>1305</v>
      </c>
    </row>
    <row r="3964" spans="1:2" x14ac:dyDescent="0.25">
      <c r="A3964" t="s">
        <v>310</v>
      </c>
      <c r="B3964" t="s">
        <v>1306</v>
      </c>
    </row>
    <row r="3965" spans="1:2" x14ac:dyDescent="0.25">
      <c r="A3965" t="s">
        <v>310</v>
      </c>
      <c r="B3965" t="s">
        <v>1303</v>
      </c>
    </row>
    <row r="3966" spans="1:2" x14ac:dyDescent="0.25">
      <c r="A3966" t="s">
        <v>310</v>
      </c>
      <c r="B3966" t="s">
        <v>1309</v>
      </c>
    </row>
    <row r="3967" spans="1:2" x14ac:dyDescent="0.25">
      <c r="A3967" t="s">
        <v>310</v>
      </c>
      <c r="B3967" t="s">
        <v>1304</v>
      </c>
    </row>
    <row r="3968" spans="1:2" x14ac:dyDescent="0.25">
      <c r="A3968" t="s">
        <v>310</v>
      </c>
      <c r="B3968" t="s">
        <v>1308</v>
      </c>
    </row>
    <row r="3969" spans="1:2" x14ac:dyDescent="0.25">
      <c r="A3969" t="s">
        <v>310</v>
      </c>
      <c r="B3969" t="s">
        <v>4650</v>
      </c>
    </row>
    <row r="3970" spans="1:2" x14ac:dyDescent="0.25">
      <c r="A3970" t="s">
        <v>310</v>
      </c>
      <c r="B3970" t="s">
        <v>4690</v>
      </c>
    </row>
    <row r="3971" spans="1:2" x14ac:dyDescent="0.25">
      <c r="A3971" t="s">
        <v>1591</v>
      </c>
      <c r="B3971" t="s">
        <v>4109</v>
      </c>
    </row>
    <row r="3972" spans="1:2" x14ac:dyDescent="0.25">
      <c r="A3972" t="s">
        <v>1591</v>
      </c>
      <c r="B3972" t="s">
        <v>3817</v>
      </c>
    </row>
    <row r="3973" spans="1:2" x14ac:dyDescent="0.25">
      <c r="A3973" t="s">
        <v>1591</v>
      </c>
      <c r="B3973" t="s">
        <v>3818</v>
      </c>
    </row>
    <row r="3974" spans="1:2" x14ac:dyDescent="0.25">
      <c r="A3974" t="s">
        <v>1591</v>
      </c>
      <c r="B3974" t="s">
        <v>3819</v>
      </c>
    </row>
    <row r="3975" spans="1:2" x14ac:dyDescent="0.25">
      <c r="A3975" t="s">
        <v>1591</v>
      </c>
      <c r="B3975" t="s">
        <v>3820</v>
      </c>
    </row>
    <row r="3976" spans="1:2" x14ac:dyDescent="0.25">
      <c r="A3976" t="s">
        <v>1591</v>
      </c>
      <c r="B3976" t="s">
        <v>3821</v>
      </c>
    </row>
    <row r="3977" spans="1:2" x14ac:dyDescent="0.25">
      <c r="A3977" t="s">
        <v>1591</v>
      </c>
      <c r="B3977" t="s">
        <v>3822</v>
      </c>
    </row>
    <row r="3978" spans="1:2" x14ac:dyDescent="0.25">
      <c r="A3978" t="s">
        <v>1591</v>
      </c>
      <c r="B3978" t="s">
        <v>3823</v>
      </c>
    </row>
    <row r="3979" spans="1:2" x14ac:dyDescent="0.25">
      <c r="A3979" t="s">
        <v>1591</v>
      </c>
      <c r="B3979" t="s">
        <v>3824</v>
      </c>
    </row>
    <row r="3980" spans="1:2" x14ac:dyDescent="0.25">
      <c r="A3980" t="s">
        <v>1591</v>
      </c>
      <c r="B3980" t="s">
        <v>3825</v>
      </c>
    </row>
    <row r="3981" spans="1:2" x14ac:dyDescent="0.25">
      <c r="A3981" t="s">
        <v>1591</v>
      </c>
      <c r="B3981" t="s">
        <v>3826</v>
      </c>
    </row>
    <row r="3982" spans="1:2" x14ac:dyDescent="0.25">
      <c r="A3982" t="s">
        <v>1591</v>
      </c>
      <c r="B3982" t="s">
        <v>3827</v>
      </c>
    </row>
    <row r="3983" spans="1:2" x14ac:dyDescent="0.25">
      <c r="A3983" t="s">
        <v>1591</v>
      </c>
      <c r="B3983" t="s">
        <v>3828</v>
      </c>
    </row>
    <row r="3984" spans="1:2" x14ac:dyDescent="0.25">
      <c r="A3984" t="s">
        <v>1591</v>
      </c>
      <c r="B3984" t="s">
        <v>3829</v>
      </c>
    </row>
    <row r="3985" spans="1:2" x14ac:dyDescent="0.25">
      <c r="A3985" t="s">
        <v>1591</v>
      </c>
      <c r="B3985" t="s">
        <v>3830</v>
      </c>
    </row>
    <row r="3986" spans="1:2" x14ac:dyDescent="0.25">
      <c r="A3986" t="s">
        <v>1591</v>
      </c>
      <c r="B3986" t="s">
        <v>3831</v>
      </c>
    </row>
    <row r="3987" spans="1:2" x14ac:dyDescent="0.25">
      <c r="A3987" t="s">
        <v>1591</v>
      </c>
      <c r="B3987" t="s">
        <v>3832</v>
      </c>
    </row>
    <row r="3988" spans="1:2" x14ac:dyDescent="0.25">
      <c r="A3988" t="s">
        <v>1591</v>
      </c>
      <c r="B3988" t="s">
        <v>3833</v>
      </c>
    </row>
    <row r="3989" spans="1:2" x14ac:dyDescent="0.25">
      <c r="A3989" t="s">
        <v>1591</v>
      </c>
      <c r="B3989" t="s">
        <v>3834</v>
      </c>
    </row>
    <row r="3990" spans="1:2" x14ac:dyDescent="0.25">
      <c r="A3990" t="s">
        <v>1591</v>
      </c>
      <c r="B3990" t="s">
        <v>3835</v>
      </c>
    </row>
    <row r="3991" spans="1:2" x14ac:dyDescent="0.25">
      <c r="A3991" t="s">
        <v>1591</v>
      </c>
      <c r="B3991" t="s">
        <v>3836</v>
      </c>
    </row>
    <row r="3992" spans="1:2" x14ac:dyDescent="0.25">
      <c r="A3992" t="s">
        <v>1591</v>
      </c>
      <c r="B3992" t="s">
        <v>3837</v>
      </c>
    </row>
    <row r="3993" spans="1:2" x14ac:dyDescent="0.25">
      <c r="A3993" t="s">
        <v>1591</v>
      </c>
      <c r="B3993" t="s">
        <v>3838</v>
      </c>
    </row>
    <row r="3994" spans="1:2" x14ac:dyDescent="0.25">
      <c r="A3994" t="s">
        <v>1534</v>
      </c>
      <c r="B3994" t="s">
        <v>4499</v>
      </c>
    </row>
    <row r="3995" spans="1:2" x14ac:dyDescent="0.25">
      <c r="A3995" t="s">
        <v>1534</v>
      </c>
      <c r="B3995" t="s">
        <v>4500</v>
      </c>
    </row>
    <row r="3996" spans="1:2" x14ac:dyDescent="0.25">
      <c r="A3996" t="s">
        <v>1534</v>
      </c>
      <c r="B3996" t="s">
        <v>4501</v>
      </c>
    </row>
    <row r="3997" spans="1:2" x14ac:dyDescent="0.25">
      <c r="A3997" t="s">
        <v>1534</v>
      </c>
      <c r="B3997" t="s">
        <v>4502</v>
      </c>
    </row>
    <row r="3998" spans="1:2" x14ac:dyDescent="0.25">
      <c r="A3998" t="s">
        <v>1534</v>
      </c>
      <c r="B3998" t="s">
        <v>4503</v>
      </c>
    </row>
    <row r="3999" spans="1:2" x14ac:dyDescent="0.25">
      <c r="A3999" t="s">
        <v>1534</v>
      </c>
      <c r="B3999" t="s">
        <v>4504</v>
      </c>
    </row>
    <row r="4000" spans="1:2" x14ac:dyDescent="0.25">
      <c r="A4000" t="s">
        <v>1534</v>
      </c>
      <c r="B4000" t="s">
        <v>4505</v>
      </c>
    </row>
    <row r="4001" spans="1:2" x14ac:dyDescent="0.25">
      <c r="A4001" t="s">
        <v>1534</v>
      </c>
      <c r="B4001" t="s">
        <v>4506</v>
      </c>
    </row>
    <row r="4002" spans="1:2" x14ac:dyDescent="0.25">
      <c r="A4002" t="s">
        <v>1534</v>
      </c>
      <c r="B4002" t="s">
        <v>4507</v>
      </c>
    </row>
    <row r="4003" spans="1:2" x14ac:dyDescent="0.25">
      <c r="A4003" t="s">
        <v>1534</v>
      </c>
      <c r="B4003" t="s">
        <v>4508</v>
      </c>
    </row>
    <row r="4004" spans="1:2" x14ac:dyDescent="0.25">
      <c r="A4004" t="s">
        <v>1534</v>
      </c>
      <c r="B4004" t="s">
        <v>4509</v>
      </c>
    </row>
    <row r="4005" spans="1:2" x14ac:dyDescent="0.25">
      <c r="A4005" t="s">
        <v>1534</v>
      </c>
      <c r="B4005" t="s">
        <v>4510</v>
      </c>
    </row>
    <row r="4006" spans="1:2" x14ac:dyDescent="0.25">
      <c r="A4006" t="s">
        <v>1534</v>
      </c>
      <c r="B4006" t="s">
        <v>4511</v>
      </c>
    </row>
    <row r="4007" spans="1:2" x14ac:dyDescent="0.25">
      <c r="A4007" t="s">
        <v>1534</v>
      </c>
      <c r="B4007" t="s">
        <v>4512</v>
      </c>
    </row>
    <row r="4008" spans="1:2" x14ac:dyDescent="0.25">
      <c r="A4008" t="s">
        <v>1534</v>
      </c>
      <c r="B4008" t="s">
        <v>4513</v>
      </c>
    </row>
    <row r="4009" spans="1:2" x14ac:dyDescent="0.25">
      <c r="A4009" t="s">
        <v>1534</v>
      </c>
      <c r="B4009" t="s">
        <v>4514</v>
      </c>
    </row>
    <row r="4010" spans="1:2" x14ac:dyDescent="0.25">
      <c r="A4010" t="s">
        <v>1534</v>
      </c>
      <c r="B4010" t="s">
        <v>4515</v>
      </c>
    </row>
    <row r="4011" spans="1:2" x14ac:dyDescent="0.25">
      <c r="A4011" t="s">
        <v>1534</v>
      </c>
      <c r="B4011" t="s">
        <v>4516</v>
      </c>
    </row>
    <row r="4012" spans="1:2" x14ac:dyDescent="0.25">
      <c r="A4012" t="s">
        <v>1534</v>
      </c>
      <c r="B4012" t="s">
        <v>4517</v>
      </c>
    </row>
    <row r="4013" spans="1:2" x14ac:dyDescent="0.25">
      <c r="A4013" t="s">
        <v>1534</v>
      </c>
      <c r="B4013" t="s">
        <v>4518</v>
      </c>
    </row>
    <row r="4014" spans="1:2" x14ac:dyDescent="0.25">
      <c r="A4014" t="s">
        <v>343</v>
      </c>
      <c r="B4014" t="s">
        <v>4024</v>
      </c>
    </row>
    <row r="4015" spans="1:2" x14ac:dyDescent="0.25">
      <c r="A4015" t="s">
        <v>343</v>
      </c>
      <c r="B4015" t="s">
        <v>1684</v>
      </c>
    </row>
    <row r="4016" spans="1:2" x14ac:dyDescent="0.25">
      <c r="A4016" t="s">
        <v>343</v>
      </c>
      <c r="B4016" t="s">
        <v>1685</v>
      </c>
    </row>
    <row r="4017" spans="1:2" x14ac:dyDescent="0.25">
      <c r="A4017" t="s">
        <v>343</v>
      </c>
      <c r="B4017" t="s">
        <v>1686</v>
      </c>
    </row>
    <row r="4018" spans="1:2" x14ac:dyDescent="0.25">
      <c r="A4018" t="s">
        <v>343</v>
      </c>
      <c r="B4018" t="s">
        <v>1687</v>
      </c>
    </row>
    <row r="4019" spans="1:2" x14ac:dyDescent="0.25">
      <c r="A4019" t="s">
        <v>343</v>
      </c>
      <c r="B4019" t="s">
        <v>1688</v>
      </c>
    </row>
    <row r="4020" spans="1:2" x14ac:dyDescent="0.25">
      <c r="A4020" t="s">
        <v>343</v>
      </c>
      <c r="B4020" t="s">
        <v>1689</v>
      </c>
    </row>
    <row r="4021" spans="1:2" x14ac:dyDescent="0.25">
      <c r="A4021" t="s">
        <v>343</v>
      </c>
      <c r="B4021" t="s">
        <v>1690</v>
      </c>
    </row>
    <row r="4022" spans="1:2" x14ac:dyDescent="0.25">
      <c r="A4022" t="s">
        <v>343</v>
      </c>
      <c r="B4022" t="s">
        <v>1691</v>
      </c>
    </row>
    <row r="4023" spans="1:2" x14ac:dyDescent="0.25">
      <c r="A4023" t="s">
        <v>343</v>
      </c>
      <c r="B4023" t="s">
        <v>1692</v>
      </c>
    </row>
    <row r="4024" spans="1:2" x14ac:dyDescent="0.25">
      <c r="A4024" t="s">
        <v>343</v>
      </c>
      <c r="B4024" t="s">
        <v>826</v>
      </c>
    </row>
    <row r="4025" spans="1:2" x14ac:dyDescent="0.25">
      <c r="A4025" t="s">
        <v>343</v>
      </c>
      <c r="B4025" t="s">
        <v>1693</v>
      </c>
    </row>
    <row r="4026" spans="1:2" x14ac:dyDescent="0.25">
      <c r="A4026" t="s">
        <v>343</v>
      </c>
      <c r="B4026" t="s">
        <v>1694</v>
      </c>
    </row>
    <row r="4027" spans="1:2" x14ac:dyDescent="0.25">
      <c r="A4027" t="s">
        <v>343</v>
      </c>
      <c r="B4027" t="s">
        <v>1695</v>
      </c>
    </row>
    <row r="4028" spans="1:2" x14ac:dyDescent="0.25">
      <c r="A4028" t="s">
        <v>343</v>
      </c>
      <c r="B4028" t="s">
        <v>1696</v>
      </c>
    </row>
    <row r="4029" spans="1:2" x14ac:dyDescent="0.25">
      <c r="A4029" t="s">
        <v>343</v>
      </c>
      <c r="B4029" t="s">
        <v>1697</v>
      </c>
    </row>
    <row r="4030" spans="1:2" x14ac:dyDescent="0.25">
      <c r="A4030" t="s">
        <v>343</v>
      </c>
      <c r="B4030" t="s">
        <v>1698</v>
      </c>
    </row>
    <row r="4031" spans="1:2" x14ac:dyDescent="0.25">
      <c r="A4031" t="s">
        <v>343</v>
      </c>
      <c r="B4031" t="s">
        <v>1699</v>
      </c>
    </row>
    <row r="4032" spans="1:2" x14ac:dyDescent="0.25">
      <c r="A4032" t="s">
        <v>343</v>
      </c>
      <c r="B4032" t="s">
        <v>1700</v>
      </c>
    </row>
    <row r="4033" spans="1:2" x14ac:dyDescent="0.25">
      <c r="A4033" t="s">
        <v>343</v>
      </c>
      <c r="B4033" t="s">
        <v>1701</v>
      </c>
    </row>
    <row r="4034" spans="1:2" x14ac:dyDescent="0.25">
      <c r="A4034" t="s">
        <v>343</v>
      </c>
      <c r="B4034" t="s">
        <v>1702</v>
      </c>
    </row>
    <row r="4035" spans="1:2" x14ac:dyDescent="0.25">
      <c r="A4035" t="s">
        <v>343</v>
      </c>
      <c r="B4035" t="s">
        <v>1703</v>
      </c>
    </row>
    <row r="4036" spans="1:2" x14ac:dyDescent="0.25">
      <c r="A4036" t="s">
        <v>343</v>
      </c>
      <c r="B4036" t="s">
        <v>1704</v>
      </c>
    </row>
    <row r="4037" spans="1:2" x14ac:dyDescent="0.25">
      <c r="A4037" t="s">
        <v>343</v>
      </c>
      <c r="B4037" t="s">
        <v>4666</v>
      </c>
    </row>
    <row r="4038" spans="1:2" x14ac:dyDescent="0.25">
      <c r="A4038" t="s">
        <v>378</v>
      </c>
      <c r="B4038" t="s">
        <v>4704</v>
      </c>
    </row>
    <row r="4039" spans="1:2" x14ac:dyDescent="0.25">
      <c r="A4039" t="s">
        <v>378</v>
      </c>
      <c r="B4039" t="s">
        <v>4264</v>
      </c>
    </row>
    <row r="4040" spans="1:2" x14ac:dyDescent="0.25">
      <c r="A4040" t="s">
        <v>378</v>
      </c>
      <c r="B4040" t="s">
        <v>4265</v>
      </c>
    </row>
    <row r="4041" spans="1:2" x14ac:dyDescent="0.25">
      <c r="A4041" t="s">
        <v>378</v>
      </c>
      <c r="B4041" t="s">
        <v>4266</v>
      </c>
    </row>
    <row r="4042" spans="1:2" x14ac:dyDescent="0.25">
      <c r="A4042" t="s">
        <v>378</v>
      </c>
      <c r="B4042" t="s">
        <v>4267</v>
      </c>
    </row>
    <row r="4043" spans="1:2" x14ac:dyDescent="0.25">
      <c r="A4043" t="s">
        <v>378</v>
      </c>
      <c r="B4043" t="s">
        <v>4268</v>
      </c>
    </row>
    <row r="4044" spans="1:2" x14ac:dyDescent="0.25">
      <c r="A4044" t="s">
        <v>378</v>
      </c>
      <c r="B4044" t="s">
        <v>4269</v>
      </c>
    </row>
    <row r="4045" spans="1:2" x14ac:dyDescent="0.25">
      <c r="A4045" t="s">
        <v>378</v>
      </c>
      <c r="B4045" t="s">
        <v>4270</v>
      </c>
    </row>
    <row r="4046" spans="1:2" x14ac:dyDescent="0.25">
      <c r="A4046" t="s">
        <v>378</v>
      </c>
      <c r="B4046" t="s">
        <v>4271</v>
      </c>
    </row>
    <row r="4047" spans="1:2" x14ac:dyDescent="0.25">
      <c r="A4047" t="s">
        <v>378</v>
      </c>
      <c r="B4047" t="s">
        <v>4272</v>
      </c>
    </row>
    <row r="4048" spans="1:2" x14ac:dyDescent="0.25">
      <c r="A4048" t="s">
        <v>378</v>
      </c>
      <c r="B4048" t="s">
        <v>4273</v>
      </c>
    </row>
    <row r="4049" spans="1:2" x14ac:dyDescent="0.25">
      <c r="A4049" t="s">
        <v>378</v>
      </c>
      <c r="B4049" t="s">
        <v>4274</v>
      </c>
    </row>
    <row r="4050" spans="1:2" x14ac:dyDescent="0.25">
      <c r="A4050" t="s">
        <v>378</v>
      </c>
      <c r="B4050" t="s">
        <v>4275</v>
      </c>
    </row>
    <row r="4051" spans="1:2" x14ac:dyDescent="0.25">
      <c r="A4051" t="s">
        <v>378</v>
      </c>
      <c r="B4051" t="s">
        <v>4276</v>
      </c>
    </row>
    <row r="4052" spans="1:2" x14ac:dyDescent="0.25">
      <c r="A4052" t="s">
        <v>378</v>
      </c>
      <c r="B4052" t="s">
        <v>4277</v>
      </c>
    </row>
    <row r="4053" spans="1:2" x14ac:dyDescent="0.25">
      <c r="A4053" t="s">
        <v>378</v>
      </c>
      <c r="B4053" t="s">
        <v>4648</v>
      </c>
    </row>
    <row r="4054" spans="1:2" x14ac:dyDescent="0.25">
      <c r="A4054" t="s">
        <v>334</v>
      </c>
      <c r="B4054" t="s">
        <v>4075</v>
      </c>
    </row>
    <row r="4055" spans="1:2" x14ac:dyDescent="0.25">
      <c r="A4055" t="s">
        <v>334</v>
      </c>
      <c r="B4055" t="s">
        <v>4617</v>
      </c>
    </row>
    <row r="4056" spans="1:2" x14ac:dyDescent="0.25">
      <c r="A4056" t="s">
        <v>334</v>
      </c>
      <c r="B4056" t="s">
        <v>637</v>
      </c>
    </row>
    <row r="4057" spans="1:2" x14ac:dyDescent="0.25">
      <c r="A4057" t="s">
        <v>334</v>
      </c>
      <c r="B4057" t="s">
        <v>638</v>
      </c>
    </row>
    <row r="4058" spans="1:2" x14ac:dyDescent="0.25">
      <c r="A4058" t="s">
        <v>334</v>
      </c>
      <c r="B4058" t="s">
        <v>641</v>
      </c>
    </row>
    <row r="4059" spans="1:2" x14ac:dyDescent="0.25">
      <c r="A4059" t="s">
        <v>334</v>
      </c>
      <c r="B4059" t="s">
        <v>639</v>
      </c>
    </row>
    <row r="4060" spans="1:2" x14ac:dyDescent="0.25">
      <c r="A4060" t="s">
        <v>334</v>
      </c>
      <c r="B4060" t="s">
        <v>640</v>
      </c>
    </row>
    <row r="4061" spans="1:2" x14ac:dyDescent="0.25">
      <c r="A4061" t="s">
        <v>334</v>
      </c>
      <c r="B4061" t="s">
        <v>642</v>
      </c>
    </row>
    <row r="4062" spans="1:2" x14ac:dyDescent="0.25">
      <c r="A4062" t="s">
        <v>334</v>
      </c>
      <c r="B4062" t="s">
        <v>2966</v>
      </c>
    </row>
    <row r="4063" spans="1:2" x14ac:dyDescent="0.25">
      <c r="A4063" t="s">
        <v>334</v>
      </c>
      <c r="B4063" t="s">
        <v>650</v>
      </c>
    </row>
    <row r="4064" spans="1:2" x14ac:dyDescent="0.25">
      <c r="A4064" t="s">
        <v>334</v>
      </c>
      <c r="B4064" t="s">
        <v>2967</v>
      </c>
    </row>
    <row r="4065" spans="1:2" x14ac:dyDescent="0.25">
      <c r="A4065" t="s">
        <v>334</v>
      </c>
      <c r="B4065" t="s">
        <v>645</v>
      </c>
    </row>
    <row r="4066" spans="1:2" x14ac:dyDescent="0.25">
      <c r="A4066" t="s">
        <v>334</v>
      </c>
      <c r="B4066" t="s">
        <v>643</v>
      </c>
    </row>
    <row r="4067" spans="1:2" x14ac:dyDescent="0.25">
      <c r="A4067" t="s">
        <v>334</v>
      </c>
      <c r="B4067" t="s">
        <v>2968</v>
      </c>
    </row>
    <row r="4068" spans="1:2" x14ac:dyDescent="0.25">
      <c r="A4068" t="s">
        <v>334</v>
      </c>
      <c r="B4068" t="s">
        <v>648</v>
      </c>
    </row>
    <row r="4069" spans="1:2" x14ac:dyDescent="0.25">
      <c r="A4069" t="s">
        <v>334</v>
      </c>
      <c r="B4069" t="s">
        <v>646</v>
      </c>
    </row>
    <row r="4070" spans="1:2" x14ac:dyDescent="0.25">
      <c r="A4070" t="s">
        <v>334</v>
      </c>
      <c r="B4070" t="s">
        <v>2969</v>
      </c>
    </row>
    <row r="4071" spans="1:2" x14ac:dyDescent="0.25">
      <c r="A4071" t="s">
        <v>334</v>
      </c>
      <c r="B4071" t="s">
        <v>2970</v>
      </c>
    </row>
    <row r="4072" spans="1:2" x14ac:dyDescent="0.25">
      <c r="A4072" t="s">
        <v>334</v>
      </c>
      <c r="B4072" t="s">
        <v>649</v>
      </c>
    </row>
    <row r="4073" spans="1:2" x14ac:dyDescent="0.25">
      <c r="A4073" t="s">
        <v>334</v>
      </c>
      <c r="B4073" t="s">
        <v>636</v>
      </c>
    </row>
    <row r="4074" spans="1:2" x14ac:dyDescent="0.25">
      <c r="A4074" t="s">
        <v>1554</v>
      </c>
      <c r="B4074" t="s">
        <v>4519</v>
      </c>
    </row>
    <row r="4075" spans="1:2" x14ac:dyDescent="0.25">
      <c r="A4075" t="s">
        <v>1554</v>
      </c>
      <c r="B4075" t="s">
        <v>4520</v>
      </c>
    </row>
    <row r="4076" spans="1:2" x14ac:dyDescent="0.25">
      <c r="A4076" t="s">
        <v>1554</v>
      </c>
      <c r="B4076" t="s">
        <v>4521</v>
      </c>
    </row>
    <row r="4077" spans="1:2" x14ac:dyDescent="0.25">
      <c r="A4077" t="s">
        <v>1554</v>
      </c>
      <c r="B4077" t="s">
        <v>4522</v>
      </c>
    </row>
    <row r="4078" spans="1:2" x14ac:dyDescent="0.25">
      <c r="A4078" t="s">
        <v>1554</v>
      </c>
      <c r="B4078" t="s">
        <v>4523</v>
      </c>
    </row>
    <row r="4079" spans="1:2" x14ac:dyDescent="0.25">
      <c r="A4079" t="s">
        <v>1554</v>
      </c>
      <c r="B4079" t="s">
        <v>4524</v>
      </c>
    </row>
    <row r="4080" spans="1:2" x14ac:dyDescent="0.25">
      <c r="A4080" t="s">
        <v>1554</v>
      </c>
      <c r="B4080" t="s">
        <v>4525</v>
      </c>
    </row>
    <row r="4081" spans="1:2" x14ac:dyDescent="0.25">
      <c r="A4081" t="s">
        <v>1554</v>
      </c>
      <c r="B4081" t="s">
        <v>4526</v>
      </c>
    </row>
    <row r="4082" spans="1:2" x14ac:dyDescent="0.25">
      <c r="A4082" t="s">
        <v>1554</v>
      </c>
      <c r="B4082" t="s">
        <v>4527</v>
      </c>
    </row>
    <row r="4083" spans="1:2" x14ac:dyDescent="0.25">
      <c r="A4083" t="s">
        <v>1554</v>
      </c>
      <c r="B4083" t="s">
        <v>4528</v>
      </c>
    </row>
    <row r="4084" spans="1:2" x14ac:dyDescent="0.25">
      <c r="A4084" t="s">
        <v>1554</v>
      </c>
      <c r="B4084" t="s">
        <v>4529</v>
      </c>
    </row>
    <row r="4085" spans="1:2" x14ac:dyDescent="0.25">
      <c r="A4085" t="s">
        <v>1554</v>
      </c>
      <c r="B4085" t="s">
        <v>4530</v>
      </c>
    </row>
    <row r="4086" spans="1:2" x14ac:dyDescent="0.25">
      <c r="A4086" t="s">
        <v>1554</v>
      </c>
      <c r="B4086" t="s">
        <v>4531</v>
      </c>
    </row>
    <row r="4087" spans="1:2" x14ac:dyDescent="0.25">
      <c r="A4087" t="s">
        <v>340</v>
      </c>
      <c r="B4087" t="s">
        <v>4116</v>
      </c>
    </row>
    <row r="4088" spans="1:2" x14ac:dyDescent="0.25">
      <c r="A4088" t="s">
        <v>340</v>
      </c>
      <c r="B4088" t="s">
        <v>614</v>
      </c>
    </row>
    <row r="4089" spans="1:2" x14ac:dyDescent="0.25">
      <c r="A4089" t="s">
        <v>340</v>
      </c>
      <c r="B4089" t="s">
        <v>3949</v>
      </c>
    </row>
    <row r="4090" spans="1:2" x14ac:dyDescent="0.25">
      <c r="A4090" t="s">
        <v>340</v>
      </c>
      <c r="B4090" t="s">
        <v>633</v>
      </c>
    </row>
    <row r="4091" spans="1:2" x14ac:dyDescent="0.25">
      <c r="A4091" t="s">
        <v>340</v>
      </c>
      <c r="B4091" t="s">
        <v>3950</v>
      </c>
    </row>
    <row r="4092" spans="1:2" x14ac:dyDescent="0.25">
      <c r="A4092" t="s">
        <v>340</v>
      </c>
      <c r="B4092" t="s">
        <v>1092</v>
      </c>
    </row>
    <row r="4093" spans="1:2" x14ac:dyDescent="0.25">
      <c r="A4093" t="s">
        <v>340</v>
      </c>
      <c r="B4093" t="s">
        <v>3951</v>
      </c>
    </row>
    <row r="4094" spans="1:2" x14ac:dyDescent="0.25">
      <c r="A4094" t="s">
        <v>340</v>
      </c>
      <c r="B4094" t="s">
        <v>941</v>
      </c>
    </row>
    <row r="4095" spans="1:2" x14ac:dyDescent="0.25">
      <c r="A4095" t="s">
        <v>340</v>
      </c>
      <c r="B4095" t="s">
        <v>1205</v>
      </c>
    </row>
    <row r="4096" spans="1:2" x14ac:dyDescent="0.25">
      <c r="A4096" t="s">
        <v>340</v>
      </c>
      <c r="B4096" t="s">
        <v>1195</v>
      </c>
    </row>
    <row r="4097" spans="1:2" x14ac:dyDescent="0.25">
      <c r="A4097" t="s">
        <v>340</v>
      </c>
      <c r="B4097" t="s">
        <v>1209</v>
      </c>
    </row>
    <row r="4098" spans="1:2" x14ac:dyDescent="0.25">
      <c r="A4098" t="s">
        <v>340</v>
      </c>
      <c r="B4098" t="s">
        <v>3952</v>
      </c>
    </row>
    <row r="4099" spans="1:2" x14ac:dyDescent="0.25">
      <c r="A4099" t="s">
        <v>340</v>
      </c>
      <c r="B4099" t="s">
        <v>1204</v>
      </c>
    </row>
    <row r="4100" spans="1:2" x14ac:dyDescent="0.25">
      <c r="A4100" t="s">
        <v>340</v>
      </c>
      <c r="B4100" t="s">
        <v>1192</v>
      </c>
    </row>
    <row r="4101" spans="1:2" x14ac:dyDescent="0.25">
      <c r="A4101" t="s">
        <v>340</v>
      </c>
      <c r="B4101" t="s">
        <v>1203</v>
      </c>
    </row>
    <row r="4102" spans="1:2" x14ac:dyDescent="0.25">
      <c r="A4102" t="s">
        <v>340</v>
      </c>
      <c r="B4102" t="s">
        <v>1194</v>
      </c>
    </row>
    <row r="4103" spans="1:2" x14ac:dyDescent="0.25">
      <c r="A4103" t="s">
        <v>340</v>
      </c>
      <c r="B4103" t="s">
        <v>1196</v>
      </c>
    </row>
    <row r="4104" spans="1:2" x14ac:dyDescent="0.25">
      <c r="A4104" t="s">
        <v>340</v>
      </c>
      <c r="B4104" t="s">
        <v>3953</v>
      </c>
    </row>
    <row r="4105" spans="1:2" x14ac:dyDescent="0.25">
      <c r="A4105" t="s">
        <v>340</v>
      </c>
      <c r="B4105" t="s">
        <v>1200</v>
      </c>
    </row>
    <row r="4106" spans="1:2" x14ac:dyDescent="0.25">
      <c r="A4106" t="s">
        <v>340</v>
      </c>
      <c r="B4106" t="s">
        <v>1193</v>
      </c>
    </row>
    <row r="4107" spans="1:2" x14ac:dyDescent="0.25">
      <c r="A4107" t="s">
        <v>340</v>
      </c>
      <c r="B4107" t="s">
        <v>1206</v>
      </c>
    </row>
    <row r="4108" spans="1:2" x14ac:dyDescent="0.25">
      <c r="A4108" t="s">
        <v>340</v>
      </c>
      <c r="B4108" t="s">
        <v>1202</v>
      </c>
    </row>
    <row r="4109" spans="1:2" x14ac:dyDescent="0.25">
      <c r="A4109" t="s">
        <v>340</v>
      </c>
      <c r="B4109" t="s">
        <v>1207</v>
      </c>
    </row>
    <row r="4110" spans="1:2" x14ac:dyDescent="0.25">
      <c r="A4110" t="s">
        <v>340</v>
      </c>
      <c r="B4110" t="s">
        <v>1195</v>
      </c>
    </row>
    <row r="4111" spans="1:2" x14ac:dyDescent="0.25">
      <c r="A4111" t="s">
        <v>340</v>
      </c>
      <c r="B4111" t="s">
        <v>1208</v>
      </c>
    </row>
    <row r="4112" spans="1:2" x14ac:dyDescent="0.25">
      <c r="A4112" t="s">
        <v>326</v>
      </c>
      <c r="B4112" t="s">
        <v>4046</v>
      </c>
    </row>
    <row r="4113" spans="1:2" x14ac:dyDescent="0.25">
      <c r="A4113" t="s">
        <v>326</v>
      </c>
      <c r="B4113" t="s">
        <v>1280</v>
      </c>
    </row>
    <row r="4114" spans="1:2" x14ac:dyDescent="0.25">
      <c r="A4114" t="s">
        <v>326</v>
      </c>
      <c r="B4114" t="s">
        <v>2297</v>
      </c>
    </row>
    <row r="4115" spans="1:2" x14ac:dyDescent="0.25">
      <c r="A4115" t="s">
        <v>326</v>
      </c>
      <c r="B4115" t="s">
        <v>2298</v>
      </c>
    </row>
    <row r="4116" spans="1:2" x14ac:dyDescent="0.25">
      <c r="A4116" t="s">
        <v>326</v>
      </c>
      <c r="B4116" t="s">
        <v>1350</v>
      </c>
    </row>
    <row r="4117" spans="1:2" x14ac:dyDescent="0.25">
      <c r="A4117" t="s">
        <v>326</v>
      </c>
      <c r="B4117" t="s">
        <v>1344</v>
      </c>
    </row>
    <row r="4118" spans="1:2" x14ac:dyDescent="0.25">
      <c r="A4118" t="s">
        <v>326</v>
      </c>
      <c r="B4118" t="s">
        <v>1343</v>
      </c>
    </row>
    <row r="4119" spans="1:2" x14ac:dyDescent="0.25">
      <c r="A4119" t="s">
        <v>326</v>
      </c>
      <c r="B4119" t="s">
        <v>1324</v>
      </c>
    </row>
    <row r="4120" spans="1:2" x14ac:dyDescent="0.25">
      <c r="A4120" t="s">
        <v>326</v>
      </c>
      <c r="B4120" t="s">
        <v>1323</v>
      </c>
    </row>
    <row r="4121" spans="1:2" x14ac:dyDescent="0.25">
      <c r="A4121" t="s">
        <v>326</v>
      </c>
      <c r="B4121" t="s">
        <v>1322</v>
      </c>
    </row>
    <row r="4122" spans="1:2" x14ac:dyDescent="0.25">
      <c r="A4122" t="s">
        <v>326</v>
      </c>
      <c r="B4122" t="s">
        <v>1317</v>
      </c>
    </row>
    <row r="4123" spans="1:2" x14ac:dyDescent="0.25">
      <c r="A4123" t="s">
        <v>326</v>
      </c>
      <c r="B4123" t="s">
        <v>1347</v>
      </c>
    </row>
    <row r="4124" spans="1:2" x14ac:dyDescent="0.25">
      <c r="A4124" t="s">
        <v>326</v>
      </c>
      <c r="B4124" t="s">
        <v>1319</v>
      </c>
    </row>
    <row r="4125" spans="1:2" x14ac:dyDescent="0.25">
      <c r="A4125" t="s">
        <v>326</v>
      </c>
      <c r="B4125" t="s">
        <v>1325</v>
      </c>
    </row>
    <row r="4126" spans="1:2" x14ac:dyDescent="0.25">
      <c r="A4126" t="s">
        <v>326</v>
      </c>
      <c r="B4126" t="s">
        <v>1316</v>
      </c>
    </row>
    <row r="4127" spans="1:2" x14ac:dyDescent="0.25">
      <c r="A4127" t="s">
        <v>326</v>
      </c>
      <c r="B4127" t="s">
        <v>2299</v>
      </c>
    </row>
    <row r="4128" spans="1:2" x14ac:dyDescent="0.25">
      <c r="A4128" t="s">
        <v>326</v>
      </c>
      <c r="B4128" t="s">
        <v>1348</v>
      </c>
    </row>
    <row r="4129" spans="1:2" x14ac:dyDescent="0.25">
      <c r="A4129" t="s">
        <v>326</v>
      </c>
      <c r="B4129" t="s">
        <v>1327</v>
      </c>
    </row>
    <row r="4130" spans="1:2" x14ac:dyDescent="0.25">
      <c r="A4130" t="s">
        <v>326</v>
      </c>
      <c r="B4130" t="s">
        <v>1318</v>
      </c>
    </row>
    <row r="4131" spans="1:2" x14ac:dyDescent="0.25">
      <c r="A4131" t="s">
        <v>326</v>
      </c>
      <c r="B4131" t="s">
        <v>1326</v>
      </c>
    </row>
    <row r="4132" spans="1:2" x14ac:dyDescent="0.25">
      <c r="A4132" t="s">
        <v>326</v>
      </c>
      <c r="B4132" t="s">
        <v>1321</v>
      </c>
    </row>
    <row r="4133" spans="1:2" x14ac:dyDescent="0.25">
      <c r="A4133" t="s">
        <v>326</v>
      </c>
      <c r="B4133" t="s">
        <v>1328</v>
      </c>
    </row>
    <row r="4134" spans="1:2" x14ac:dyDescent="0.25">
      <c r="A4134" t="s">
        <v>326</v>
      </c>
      <c r="B4134" t="s">
        <v>1329</v>
      </c>
    </row>
    <row r="4135" spans="1:2" x14ac:dyDescent="0.25">
      <c r="A4135" t="s">
        <v>326</v>
      </c>
      <c r="B4135" t="s">
        <v>2300</v>
      </c>
    </row>
    <row r="4136" spans="1:2" x14ac:dyDescent="0.25">
      <c r="A4136" t="s">
        <v>326</v>
      </c>
      <c r="B4136" t="s">
        <v>1334</v>
      </c>
    </row>
    <row r="4137" spans="1:2" x14ac:dyDescent="0.25">
      <c r="A4137" t="s">
        <v>326</v>
      </c>
      <c r="B4137" t="s">
        <v>1331</v>
      </c>
    </row>
    <row r="4138" spans="1:2" x14ac:dyDescent="0.25">
      <c r="A4138" t="s">
        <v>326</v>
      </c>
      <c r="B4138" t="s">
        <v>1346</v>
      </c>
    </row>
    <row r="4139" spans="1:2" x14ac:dyDescent="0.25">
      <c r="A4139" t="s">
        <v>326</v>
      </c>
      <c r="B4139" t="s">
        <v>1156</v>
      </c>
    </row>
    <row r="4140" spans="1:2" x14ac:dyDescent="0.25">
      <c r="A4140" t="s">
        <v>326</v>
      </c>
      <c r="B4140" t="s">
        <v>1345</v>
      </c>
    </row>
    <row r="4141" spans="1:2" x14ac:dyDescent="0.25">
      <c r="A4141" t="s">
        <v>326</v>
      </c>
      <c r="B4141" t="s">
        <v>1335</v>
      </c>
    </row>
    <row r="4142" spans="1:2" x14ac:dyDescent="0.25">
      <c r="A4142" t="s">
        <v>326</v>
      </c>
      <c r="B4142" t="s">
        <v>1333</v>
      </c>
    </row>
    <row r="4143" spans="1:2" x14ac:dyDescent="0.25">
      <c r="A4143" t="s">
        <v>326</v>
      </c>
      <c r="B4143" t="s">
        <v>1332</v>
      </c>
    </row>
    <row r="4144" spans="1:2" x14ac:dyDescent="0.25">
      <c r="A4144" t="s">
        <v>326</v>
      </c>
      <c r="B4144" t="s">
        <v>1337</v>
      </c>
    </row>
    <row r="4145" spans="1:2" x14ac:dyDescent="0.25">
      <c r="A4145" t="s">
        <v>326</v>
      </c>
      <c r="B4145" t="s">
        <v>1320</v>
      </c>
    </row>
    <row r="4146" spans="1:2" x14ac:dyDescent="0.25">
      <c r="A4146" t="s">
        <v>326</v>
      </c>
      <c r="B4146" t="s">
        <v>1339</v>
      </c>
    </row>
    <row r="4147" spans="1:2" x14ac:dyDescent="0.25">
      <c r="A4147" t="s">
        <v>326</v>
      </c>
      <c r="B4147" t="s">
        <v>1336</v>
      </c>
    </row>
    <row r="4148" spans="1:2" x14ac:dyDescent="0.25">
      <c r="A4148" t="s">
        <v>326</v>
      </c>
      <c r="B4148" t="s">
        <v>1338</v>
      </c>
    </row>
    <row r="4149" spans="1:2" x14ac:dyDescent="0.25">
      <c r="A4149" t="s">
        <v>326</v>
      </c>
      <c r="B4149" t="s">
        <v>1340</v>
      </c>
    </row>
    <row r="4150" spans="1:2" x14ac:dyDescent="0.25">
      <c r="A4150" t="s">
        <v>326</v>
      </c>
      <c r="B4150" t="s">
        <v>1342</v>
      </c>
    </row>
    <row r="4151" spans="1:2" x14ac:dyDescent="0.25">
      <c r="A4151" t="s">
        <v>326</v>
      </c>
      <c r="B4151" t="s">
        <v>1349</v>
      </c>
    </row>
    <row r="4152" spans="1:2" x14ac:dyDescent="0.25">
      <c r="A4152" t="s">
        <v>326</v>
      </c>
      <c r="B4152" t="s">
        <v>1339</v>
      </c>
    </row>
    <row r="4153" spans="1:2" x14ac:dyDescent="0.25">
      <c r="A4153" t="s">
        <v>326</v>
      </c>
      <c r="B4153" t="s">
        <v>2301</v>
      </c>
    </row>
    <row r="4154" spans="1:2" x14ac:dyDescent="0.25">
      <c r="A4154" t="s">
        <v>326</v>
      </c>
      <c r="B4154" t="s">
        <v>1341</v>
      </c>
    </row>
    <row r="4155" spans="1:2" x14ac:dyDescent="0.25">
      <c r="A4155" t="s">
        <v>341</v>
      </c>
      <c r="B4155" t="s">
        <v>4084</v>
      </c>
    </row>
    <row r="4156" spans="1:2" x14ac:dyDescent="0.25">
      <c r="A4156" t="s">
        <v>341</v>
      </c>
      <c r="B4156" t="s">
        <v>3165</v>
      </c>
    </row>
    <row r="4157" spans="1:2" x14ac:dyDescent="0.25">
      <c r="A4157" t="s">
        <v>341</v>
      </c>
      <c r="B4157" t="s">
        <v>3166</v>
      </c>
    </row>
    <row r="4158" spans="1:2" x14ac:dyDescent="0.25">
      <c r="A4158" t="s">
        <v>341</v>
      </c>
      <c r="B4158" t="s">
        <v>1357</v>
      </c>
    </row>
    <row r="4159" spans="1:2" x14ac:dyDescent="0.25">
      <c r="A4159" t="s">
        <v>341</v>
      </c>
      <c r="B4159" t="s">
        <v>1358</v>
      </c>
    </row>
    <row r="4160" spans="1:2" x14ac:dyDescent="0.25">
      <c r="A4160" t="s">
        <v>341</v>
      </c>
      <c r="B4160" t="s">
        <v>1352</v>
      </c>
    </row>
    <row r="4161" spans="1:2" x14ac:dyDescent="0.25">
      <c r="A4161" t="s">
        <v>341</v>
      </c>
      <c r="B4161" t="s">
        <v>1359</v>
      </c>
    </row>
    <row r="4162" spans="1:2" x14ac:dyDescent="0.25">
      <c r="A4162" t="s">
        <v>341</v>
      </c>
      <c r="B4162" t="s">
        <v>1360</v>
      </c>
    </row>
    <row r="4163" spans="1:2" x14ac:dyDescent="0.25">
      <c r="A4163" t="s">
        <v>341</v>
      </c>
      <c r="B4163" t="s">
        <v>1361</v>
      </c>
    </row>
    <row r="4164" spans="1:2" x14ac:dyDescent="0.25">
      <c r="A4164" t="s">
        <v>341</v>
      </c>
      <c r="B4164" t="s">
        <v>1353</v>
      </c>
    </row>
    <row r="4165" spans="1:2" x14ac:dyDescent="0.25">
      <c r="A4165" t="s">
        <v>341</v>
      </c>
      <c r="B4165" t="s">
        <v>1362</v>
      </c>
    </row>
    <row r="4166" spans="1:2" x14ac:dyDescent="0.25">
      <c r="A4166" t="s">
        <v>341</v>
      </c>
      <c r="B4166" t="s">
        <v>1363</v>
      </c>
    </row>
    <row r="4167" spans="1:2" x14ac:dyDescent="0.25">
      <c r="A4167" t="s">
        <v>341</v>
      </c>
      <c r="B4167" t="s">
        <v>1354</v>
      </c>
    </row>
    <row r="4168" spans="1:2" x14ac:dyDescent="0.25">
      <c r="A4168" t="s">
        <v>341</v>
      </c>
      <c r="B4168" t="s">
        <v>1355</v>
      </c>
    </row>
    <row r="4169" spans="1:2" x14ac:dyDescent="0.25">
      <c r="A4169" t="s">
        <v>341</v>
      </c>
      <c r="B4169" t="s">
        <v>3167</v>
      </c>
    </row>
    <row r="4170" spans="1:2" x14ac:dyDescent="0.25">
      <c r="A4170" t="s">
        <v>341</v>
      </c>
      <c r="B4170" t="s">
        <v>1364</v>
      </c>
    </row>
    <row r="4171" spans="1:2" x14ac:dyDescent="0.25">
      <c r="A4171" t="s">
        <v>341</v>
      </c>
      <c r="B4171" t="s">
        <v>1365</v>
      </c>
    </row>
    <row r="4172" spans="1:2" x14ac:dyDescent="0.25">
      <c r="A4172" t="s">
        <v>341</v>
      </c>
      <c r="B4172" t="s">
        <v>1366</v>
      </c>
    </row>
    <row r="4173" spans="1:2" x14ac:dyDescent="0.25">
      <c r="A4173" t="s">
        <v>341</v>
      </c>
      <c r="B4173" t="s">
        <v>3168</v>
      </c>
    </row>
    <row r="4174" spans="1:2" x14ac:dyDescent="0.25">
      <c r="A4174" t="s">
        <v>341</v>
      </c>
      <c r="B4174" t="s">
        <v>1367</v>
      </c>
    </row>
    <row r="4175" spans="1:2" x14ac:dyDescent="0.25">
      <c r="A4175" t="s">
        <v>341</v>
      </c>
      <c r="B4175" t="s">
        <v>1368</v>
      </c>
    </row>
    <row r="4176" spans="1:2" x14ac:dyDescent="0.25">
      <c r="A4176" t="s">
        <v>341</v>
      </c>
      <c r="B4176" t="s">
        <v>1369</v>
      </c>
    </row>
    <row r="4177" spans="1:2" x14ac:dyDescent="0.25">
      <c r="A4177" t="s">
        <v>363</v>
      </c>
      <c r="B4177" t="s">
        <v>4023</v>
      </c>
    </row>
    <row r="4178" spans="1:2" x14ac:dyDescent="0.25">
      <c r="A4178" t="s">
        <v>363</v>
      </c>
      <c r="B4178" t="s">
        <v>1665</v>
      </c>
    </row>
    <row r="4179" spans="1:2" x14ac:dyDescent="0.25">
      <c r="A4179" t="s">
        <v>363</v>
      </c>
      <c r="B4179" t="s">
        <v>1666</v>
      </c>
    </row>
    <row r="4180" spans="1:2" x14ac:dyDescent="0.25">
      <c r="A4180" t="s">
        <v>363</v>
      </c>
      <c r="B4180" t="s">
        <v>1667</v>
      </c>
    </row>
    <row r="4181" spans="1:2" x14ac:dyDescent="0.25">
      <c r="A4181" t="s">
        <v>363</v>
      </c>
      <c r="B4181" t="s">
        <v>1668</v>
      </c>
    </row>
    <row r="4182" spans="1:2" x14ac:dyDescent="0.25">
      <c r="A4182" t="s">
        <v>363</v>
      </c>
      <c r="B4182" t="s">
        <v>1669</v>
      </c>
    </row>
    <row r="4183" spans="1:2" x14ac:dyDescent="0.25">
      <c r="A4183" t="s">
        <v>363</v>
      </c>
      <c r="B4183" t="s">
        <v>1670</v>
      </c>
    </row>
    <row r="4184" spans="1:2" x14ac:dyDescent="0.25">
      <c r="A4184" t="s">
        <v>363</v>
      </c>
      <c r="B4184" t="s">
        <v>1671</v>
      </c>
    </row>
    <row r="4185" spans="1:2" x14ac:dyDescent="0.25">
      <c r="A4185" t="s">
        <v>363</v>
      </c>
      <c r="B4185" t="s">
        <v>1672</v>
      </c>
    </row>
    <row r="4186" spans="1:2" x14ac:dyDescent="0.25">
      <c r="A4186" t="s">
        <v>363</v>
      </c>
      <c r="B4186" t="s">
        <v>1673</v>
      </c>
    </row>
    <row r="4187" spans="1:2" x14ac:dyDescent="0.25">
      <c r="A4187" t="s">
        <v>363</v>
      </c>
      <c r="B4187" t="s">
        <v>1674</v>
      </c>
    </row>
    <row r="4188" spans="1:2" x14ac:dyDescent="0.25">
      <c r="A4188" t="s">
        <v>363</v>
      </c>
      <c r="B4188" t="s">
        <v>1675</v>
      </c>
    </row>
    <row r="4189" spans="1:2" x14ac:dyDescent="0.25">
      <c r="A4189" t="s">
        <v>363</v>
      </c>
      <c r="B4189" t="s">
        <v>1676</v>
      </c>
    </row>
    <row r="4190" spans="1:2" x14ac:dyDescent="0.25">
      <c r="A4190" t="s">
        <v>363</v>
      </c>
      <c r="B4190" t="s">
        <v>1677</v>
      </c>
    </row>
    <row r="4191" spans="1:2" x14ac:dyDescent="0.25">
      <c r="A4191" t="s">
        <v>363</v>
      </c>
      <c r="B4191" t="s">
        <v>1678</v>
      </c>
    </row>
    <row r="4192" spans="1:2" x14ac:dyDescent="0.25">
      <c r="A4192" t="s">
        <v>363</v>
      </c>
      <c r="B4192" t="s">
        <v>1679</v>
      </c>
    </row>
    <row r="4193" spans="1:2" x14ac:dyDescent="0.25">
      <c r="A4193" t="s">
        <v>363</v>
      </c>
      <c r="B4193" t="s">
        <v>1680</v>
      </c>
    </row>
    <row r="4194" spans="1:2" x14ac:dyDescent="0.25">
      <c r="A4194" t="s">
        <v>363</v>
      </c>
      <c r="B4194" t="s">
        <v>1681</v>
      </c>
    </row>
    <row r="4195" spans="1:2" x14ac:dyDescent="0.25">
      <c r="A4195" t="s">
        <v>363</v>
      </c>
      <c r="B4195" t="s">
        <v>1682</v>
      </c>
    </row>
    <row r="4196" spans="1:2" x14ac:dyDescent="0.25">
      <c r="A4196" t="s">
        <v>363</v>
      </c>
      <c r="B4196" t="s">
        <v>1683</v>
      </c>
    </row>
    <row r="4197" spans="1:2" x14ac:dyDescent="0.25">
      <c r="A4197" t="s">
        <v>363</v>
      </c>
      <c r="B4197" t="s">
        <v>4618</v>
      </c>
    </row>
    <row r="4198" spans="1:2" x14ac:dyDescent="0.25">
      <c r="A4198" t="s">
        <v>358</v>
      </c>
      <c r="B4198" t="s">
        <v>4100</v>
      </c>
    </row>
    <row r="4199" spans="1:2" x14ac:dyDescent="0.25">
      <c r="A4199" t="s">
        <v>358</v>
      </c>
      <c r="B4199" t="s">
        <v>1085</v>
      </c>
    </row>
    <row r="4200" spans="1:2" x14ac:dyDescent="0.25">
      <c r="A4200" t="s">
        <v>358</v>
      </c>
      <c r="B4200" t="s">
        <v>1217</v>
      </c>
    </row>
    <row r="4201" spans="1:2" x14ac:dyDescent="0.25">
      <c r="A4201" t="s">
        <v>358</v>
      </c>
      <c r="B4201" t="s">
        <v>3486</v>
      </c>
    </row>
    <row r="4202" spans="1:2" x14ac:dyDescent="0.25">
      <c r="A4202" t="s">
        <v>358</v>
      </c>
      <c r="B4202" t="s">
        <v>3487</v>
      </c>
    </row>
    <row r="4203" spans="1:2" x14ac:dyDescent="0.25">
      <c r="A4203" t="s">
        <v>358</v>
      </c>
      <c r="B4203" t="s">
        <v>3488</v>
      </c>
    </row>
    <row r="4204" spans="1:2" x14ac:dyDescent="0.25">
      <c r="A4204" t="s">
        <v>358</v>
      </c>
      <c r="B4204" t="s">
        <v>980</v>
      </c>
    </row>
    <row r="4205" spans="1:2" x14ac:dyDescent="0.25">
      <c r="A4205" t="s">
        <v>358</v>
      </c>
      <c r="B4205" t="s">
        <v>3489</v>
      </c>
    </row>
    <row r="4206" spans="1:2" x14ac:dyDescent="0.25">
      <c r="A4206" t="s">
        <v>358</v>
      </c>
      <c r="B4206" t="s">
        <v>915</v>
      </c>
    </row>
    <row r="4207" spans="1:2" x14ac:dyDescent="0.25">
      <c r="A4207" t="s">
        <v>358</v>
      </c>
      <c r="B4207" t="s">
        <v>3490</v>
      </c>
    </row>
    <row r="4208" spans="1:2" x14ac:dyDescent="0.25">
      <c r="A4208" t="s">
        <v>358</v>
      </c>
      <c r="B4208" t="s">
        <v>3491</v>
      </c>
    </row>
    <row r="4209" spans="1:2" x14ac:dyDescent="0.25">
      <c r="A4209" t="s">
        <v>358</v>
      </c>
      <c r="B4209" t="s">
        <v>3492</v>
      </c>
    </row>
    <row r="4210" spans="1:2" x14ac:dyDescent="0.25">
      <c r="A4210" t="s">
        <v>358</v>
      </c>
      <c r="B4210" t="s">
        <v>3493</v>
      </c>
    </row>
    <row r="4211" spans="1:2" x14ac:dyDescent="0.25">
      <c r="A4211" t="s">
        <v>358</v>
      </c>
      <c r="B4211" t="s">
        <v>1213</v>
      </c>
    </row>
    <row r="4212" spans="1:2" x14ac:dyDescent="0.25">
      <c r="A4212" t="s">
        <v>358</v>
      </c>
      <c r="B4212" t="s">
        <v>1216</v>
      </c>
    </row>
    <row r="4213" spans="1:2" x14ac:dyDescent="0.25">
      <c r="A4213" t="s">
        <v>358</v>
      </c>
      <c r="B4213" t="s">
        <v>3494</v>
      </c>
    </row>
    <row r="4214" spans="1:2" x14ac:dyDescent="0.25">
      <c r="A4214" t="s">
        <v>358</v>
      </c>
      <c r="B4214" t="s">
        <v>3495</v>
      </c>
    </row>
    <row r="4215" spans="1:2" x14ac:dyDescent="0.25">
      <c r="A4215" t="s">
        <v>358</v>
      </c>
      <c r="B4215" t="s">
        <v>1212</v>
      </c>
    </row>
    <row r="4216" spans="1:2" x14ac:dyDescent="0.25">
      <c r="A4216" t="s">
        <v>358</v>
      </c>
      <c r="B4216" t="s">
        <v>3496</v>
      </c>
    </row>
    <row r="4217" spans="1:2" x14ac:dyDescent="0.25">
      <c r="A4217" t="s">
        <v>358</v>
      </c>
      <c r="B4217" t="s">
        <v>1211</v>
      </c>
    </row>
    <row r="4218" spans="1:2" x14ac:dyDescent="0.25">
      <c r="A4218" s="29" t="s">
        <v>358</v>
      </c>
      <c r="B4218" s="29" t="s">
        <v>4653</v>
      </c>
    </row>
    <row r="4219" spans="1:2" x14ac:dyDescent="0.25">
      <c r="A4219" t="s">
        <v>358</v>
      </c>
      <c r="B4219" t="s">
        <v>4673</v>
      </c>
    </row>
    <row r="4220" spans="1:2" x14ac:dyDescent="0.25">
      <c r="A4220" t="s">
        <v>366</v>
      </c>
      <c r="B4220" t="s">
        <v>836</v>
      </c>
    </row>
    <row r="4221" spans="1:2" x14ac:dyDescent="0.25">
      <c r="A4221" t="s">
        <v>366</v>
      </c>
      <c r="B4221" t="s">
        <v>1763</v>
      </c>
    </row>
    <row r="4222" spans="1:2" x14ac:dyDescent="0.25">
      <c r="A4222" t="s">
        <v>366</v>
      </c>
      <c r="B4222" t="s">
        <v>841</v>
      </c>
    </row>
    <row r="4223" spans="1:2" x14ac:dyDescent="0.25">
      <c r="A4223" t="s">
        <v>366</v>
      </c>
      <c r="B4223" t="s">
        <v>1764</v>
      </c>
    </row>
    <row r="4224" spans="1:2" x14ac:dyDescent="0.25">
      <c r="A4224" t="s">
        <v>366</v>
      </c>
      <c r="B4224" t="s">
        <v>1765</v>
      </c>
    </row>
    <row r="4225" spans="1:2" x14ac:dyDescent="0.25">
      <c r="A4225" t="s">
        <v>366</v>
      </c>
      <c r="B4225" t="s">
        <v>1766</v>
      </c>
    </row>
    <row r="4226" spans="1:2" x14ac:dyDescent="0.25">
      <c r="A4226" t="s">
        <v>366</v>
      </c>
      <c r="B4226" t="s">
        <v>1767</v>
      </c>
    </row>
    <row r="4227" spans="1:2" x14ac:dyDescent="0.25">
      <c r="A4227" t="s">
        <v>366</v>
      </c>
      <c r="B4227" t="s">
        <v>4325</v>
      </c>
    </row>
    <row r="4228" spans="1:2" x14ac:dyDescent="0.25">
      <c r="A4228" t="s">
        <v>366</v>
      </c>
      <c r="B4228" t="s">
        <v>4326</v>
      </c>
    </row>
    <row r="4229" spans="1:2" x14ac:dyDescent="0.25">
      <c r="A4229" t="s">
        <v>366</v>
      </c>
      <c r="B4229" t="s">
        <v>4327</v>
      </c>
    </row>
    <row r="4230" spans="1:2" x14ac:dyDescent="0.25">
      <c r="A4230" t="s">
        <v>366</v>
      </c>
      <c r="B4230" t="s">
        <v>4328</v>
      </c>
    </row>
    <row r="4231" spans="1:2" x14ac:dyDescent="0.25">
      <c r="A4231" t="s">
        <v>366</v>
      </c>
      <c r="B4231" t="s">
        <v>4329</v>
      </c>
    </row>
    <row r="4232" spans="1:2" x14ac:dyDescent="0.25">
      <c r="A4232" t="s">
        <v>366</v>
      </c>
      <c r="B4232" t="s">
        <v>4330</v>
      </c>
    </row>
    <row r="4233" spans="1:2" x14ac:dyDescent="0.25">
      <c r="A4233" t="s">
        <v>366</v>
      </c>
      <c r="B4233" t="s">
        <v>4331</v>
      </c>
    </row>
    <row r="4234" spans="1:2" x14ac:dyDescent="0.25">
      <c r="A4234" t="s">
        <v>366</v>
      </c>
      <c r="B4234" t="s">
        <v>4332</v>
      </c>
    </row>
    <row r="4235" spans="1:2" x14ac:dyDescent="0.25">
      <c r="A4235" t="s">
        <v>366</v>
      </c>
      <c r="B4235" t="s">
        <v>4333</v>
      </c>
    </row>
    <row r="4236" spans="1:2" x14ac:dyDescent="0.25">
      <c r="A4236" t="s">
        <v>366</v>
      </c>
      <c r="B4236" t="s">
        <v>4334</v>
      </c>
    </row>
    <row r="4237" spans="1:2" x14ac:dyDescent="0.25">
      <c r="A4237" t="s">
        <v>366</v>
      </c>
      <c r="B4237" t="s">
        <v>1764</v>
      </c>
    </row>
    <row r="4238" spans="1:2" x14ac:dyDescent="0.25">
      <c r="A4238" t="s">
        <v>366</v>
      </c>
      <c r="B4238" t="s">
        <v>4335</v>
      </c>
    </row>
    <row r="4239" spans="1:2" x14ac:dyDescent="0.25">
      <c r="A4239" t="s">
        <v>366</v>
      </c>
      <c r="B4239" t="s">
        <v>4336</v>
      </c>
    </row>
    <row r="4240" spans="1:2" x14ac:dyDescent="0.25">
      <c r="A4240" t="s">
        <v>359</v>
      </c>
      <c r="B4240" t="s">
        <v>4094</v>
      </c>
    </row>
    <row r="4241" spans="1:2" x14ac:dyDescent="0.25">
      <c r="A4241" t="s">
        <v>359</v>
      </c>
      <c r="B4241" t="s">
        <v>3347</v>
      </c>
    </row>
    <row r="4242" spans="1:2" x14ac:dyDescent="0.25">
      <c r="A4242" t="s">
        <v>359</v>
      </c>
      <c r="B4242" t="s">
        <v>3348</v>
      </c>
    </row>
    <row r="4243" spans="1:2" x14ac:dyDescent="0.25">
      <c r="A4243" t="s">
        <v>359</v>
      </c>
      <c r="B4243" t="s">
        <v>1219</v>
      </c>
    </row>
    <row r="4244" spans="1:2" x14ac:dyDescent="0.25">
      <c r="A4244" t="s">
        <v>359</v>
      </c>
      <c r="B4244" t="s">
        <v>3349</v>
      </c>
    </row>
    <row r="4245" spans="1:2" x14ac:dyDescent="0.25">
      <c r="A4245" t="s">
        <v>359</v>
      </c>
      <c r="B4245" t="s">
        <v>3350</v>
      </c>
    </row>
    <row r="4246" spans="1:2" x14ac:dyDescent="0.25">
      <c r="A4246" t="s">
        <v>359</v>
      </c>
      <c r="B4246" t="s">
        <v>3351</v>
      </c>
    </row>
    <row r="4247" spans="1:2" x14ac:dyDescent="0.25">
      <c r="A4247" t="s">
        <v>359</v>
      </c>
      <c r="B4247" t="s">
        <v>3352</v>
      </c>
    </row>
    <row r="4248" spans="1:2" x14ac:dyDescent="0.25">
      <c r="A4248" t="s">
        <v>359</v>
      </c>
      <c r="B4248" t="s">
        <v>1501</v>
      </c>
    </row>
    <row r="4249" spans="1:2" x14ac:dyDescent="0.25">
      <c r="A4249" t="s">
        <v>359</v>
      </c>
      <c r="B4249" t="s">
        <v>1414</v>
      </c>
    </row>
    <row r="4250" spans="1:2" x14ac:dyDescent="0.25">
      <c r="A4250" t="s">
        <v>359</v>
      </c>
      <c r="B4250" t="s">
        <v>1496</v>
      </c>
    </row>
    <row r="4251" spans="1:2" x14ac:dyDescent="0.25">
      <c r="A4251" t="s">
        <v>359</v>
      </c>
      <c r="B4251" t="s">
        <v>1493</v>
      </c>
    </row>
    <row r="4252" spans="1:2" x14ac:dyDescent="0.25">
      <c r="A4252" t="s">
        <v>359</v>
      </c>
      <c r="B4252" t="s">
        <v>3353</v>
      </c>
    </row>
    <row r="4253" spans="1:2" x14ac:dyDescent="0.25">
      <c r="A4253" t="s">
        <v>359</v>
      </c>
      <c r="B4253" t="s">
        <v>1500</v>
      </c>
    </row>
    <row r="4254" spans="1:2" x14ac:dyDescent="0.25">
      <c r="A4254" t="s">
        <v>359</v>
      </c>
      <c r="B4254" t="s">
        <v>1487</v>
      </c>
    </row>
    <row r="4255" spans="1:2" x14ac:dyDescent="0.25">
      <c r="A4255" t="s">
        <v>359</v>
      </c>
      <c r="B4255" t="s">
        <v>1499</v>
      </c>
    </row>
    <row r="4256" spans="1:2" x14ac:dyDescent="0.25">
      <c r="A4256" t="s">
        <v>359</v>
      </c>
      <c r="B4256" t="s">
        <v>3354</v>
      </c>
    </row>
    <row r="4257" spans="1:2" x14ac:dyDescent="0.25">
      <c r="A4257" t="s">
        <v>359</v>
      </c>
      <c r="B4257" t="s">
        <v>3355</v>
      </c>
    </row>
    <row r="4258" spans="1:2" x14ac:dyDescent="0.25">
      <c r="A4258" t="s">
        <v>359</v>
      </c>
      <c r="B4258" t="s">
        <v>1492</v>
      </c>
    </row>
    <row r="4259" spans="1:2" x14ac:dyDescent="0.25">
      <c r="A4259" t="s">
        <v>359</v>
      </c>
      <c r="B4259" t="s">
        <v>1489</v>
      </c>
    </row>
    <row r="4260" spans="1:2" x14ac:dyDescent="0.25">
      <c r="A4260" t="s">
        <v>359</v>
      </c>
      <c r="B4260" t="s">
        <v>1490</v>
      </c>
    </row>
    <row r="4261" spans="1:2" x14ac:dyDescent="0.25">
      <c r="A4261" t="s">
        <v>359</v>
      </c>
      <c r="B4261" t="s">
        <v>1495</v>
      </c>
    </row>
    <row r="4262" spans="1:2" x14ac:dyDescent="0.25">
      <c r="A4262" t="s">
        <v>359</v>
      </c>
      <c r="B4262" t="s">
        <v>1491</v>
      </c>
    </row>
    <row r="4263" spans="1:2" x14ac:dyDescent="0.25">
      <c r="A4263" t="s">
        <v>359</v>
      </c>
      <c r="B4263" t="s">
        <v>1488</v>
      </c>
    </row>
    <row r="4264" spans="1:2" x14ac:dyDescent="0.25">
      <c r="A4264" t="s">
        <v>359</v>
      </c>
      <c r="B4264" t="s">
        <v>1494</v>
      </c>
    </row>
    <row r="4265" spans="1:2" x14ac:dyDescent="0.25">
      <c r="A4265" t="s">
        <v>359</v>
      </c>
      <c r="B4265" t="s">
        <v>1498</v>
      </c>
    </row>
    <row r="4266" spans="1:2" x14ac:dyDescent="0.25">
      <c r="A4266" t="s">
        <v>359</v>
      </c>
      <c r="B4266" t="s">
        <v>3356</v>
      </c>
    </row>
    <row r="4267" spans="1:2" x14ac:dyDescent="0.25">
      <c r="A4267" t="s">
        <v>359</v>
      </c>
      <c r="B4267" t="s">
        <v>1484</v>
      </c>
    </row>
    <row r="4268" spans="1:2" x14ac:dyDescent="0.25">
      <c r="A4268" t="s">
        <v>360</v>
      </c>
      <c r="B4268" t="s">
        <v>4040</v>
      </c>
    </row>
    <row r="4269" spans="1:2" x14ac:dyDescent="0.25">
      <c r="A4269" t="s">
        <v>360</v>
      </c>
      <c r="B4269" t="s">
        <v>2045</v>
      </c>
    </row>
    <row r="4270" spans="1:2" x14ac:dyDescent="0.25">
      <c r="A4270" t="s">
        <v>360</v>
      </c>
      <c r="B4270" t="s">
        <v>1296</v>
      </c>
    </row>
    <row r="4271" spans="1:2" x14ac:dyDescent="0.25">
      <c r="A4271" t="s">
        <v>360</v>
      </c>
      <c r="B4271" t="s">
        <v>2046</v>
      </c>
    </row>
    <row r="4272" spans="1:2" x14ac:dyDescent="0.25">
      <c r="A4272" t="s">
        <v>360</v>
      </c>
      <c r="B4272" t="s">
        <v>2047</v>
      </c>
    </row>
    <row r="4273" spans="1:2" x14ac:dyDescent="0.25">
      <c r="A4273" t="s">
        <v>360</v>
      </c>
      <c r="B4273" t="s">
        <v>2048</v>
      </c>
    </row>
    <row r="4274" spans="1:2" x14ac:dyDescent="0.25">
      <c r="A4274" t="s">
        <v>360</v>
      </c>
      <c r="B4274" t="s">
        <v>2049</v>
      </c>
    </row>
    <row r="4275" spans="1:2" x14ac:dyDescent="0.25">
      <c r="A4275" t="s">
        <v>360</v>
      </c>
      <c r="B4275" t="s">
        <v>2050</v>
      </c>
    </row>
    <row r="4276" spans="1:2" x14ac:dyDescent="0.25">
      <c r="A4276" t="s">
        <v>360</v>
      </c>
      <c r="B4276" t="s">
        <v>2051</v>
      </c>
    </row>
    <row r="4277" spans="1:2" x14ac:dyDescent="0.25">
      <c r="A4277" t="s">
        <v>360</v>
      </c>
      <c r="B4277" t="s">
        <v>2052</v>
      </c>
    </row>
    <row r="4278" spans="1:2" x14ac:dyDescent="0.25">
      <c r="A4278" t="s">
        <v>360</v>
      </c>
      <c r="B4278" t="s">
        <v>2053</v>
      </c>
    </row>
    <row r="4279" spans="1:2" x14ac:dyDescent="0.25">
      <c r="A4279" t="s">
        <v>360</v>
      </c>
      <c r="B4279" t="s">
        <v>2054</v>
      </c>
    </row>
    <row r="4280" spans="1:2" x14ac:dyDescent="0.25">
      <c r="A4280" t="s">
        <v>360</v>
      </c>
      <c r="B4280" t="s">
        <v>2055</v>
      </c>
    </row>
    <row r="4281" spans="1:2" x14ac:dyDescent="0.25">
      <c r="A4281" t="s">
        <v>360</v>
      </c>
      <c r="B4281" t="s">
        <v>2056</v>
      </c>
    </row>
    <row r="4282" spans="1:2" x14ac:dyDescent="0.25">
      <c r="A4282" t="s">
        <v>360</v>
      </c>
      <c r="B4282" t="s">
        <v>2057</v>
      </c>
    </row>
    <row r="4283" spans="1:2" x14ac:dyDescent="0.25">
      <c r="A4283" t="s">
        <v>360</v>
      </c>
      <c r="B4283" t="s">
        <v>2058</v>
      </c>
    </row>
    <row r="4284" spans="1:2" x14ac:dyDescent="0.25">
      <c r="A4284" t="s">
        <v>360</v>
      </c>
      <c r="B4284" t="s">
        <v>2059</v>
      </c>
    </row>
    <row r="4285" spans="1:2" x14ac:dyDescent="0.25">
      <c r="A4285" t="s">
        <v>360</v>
      </c>
      <c r="B4285" t="s">
        <v>2060</v>
      </c>
    </row>
    <row r="4286" spans="1:2" x14ac:dyDescent="0.25">
      <c r="A4286" t="s">
        <v>360</v>
      </c>
      <c r="B4286" t="s">
        <v>2061</v>
      </c>
    </row>
    <row r="4287" spans="1:2" x14ac:dyDescent="0.25">
      <c r="A4287" t="s">
        <v>360</v>
      </c>
      <c r="B4287" t="s">
        <v>2062</v>
      </c>
    </row>
    <row r="4288" spans="1:2" x14ac:dyDescent="0.25">
      <c r="A4288" t="s">
        <v>360</v>
      </c>
      <c r="B4288" t="s">
        <v>2063</v>
      </c>
    </row>
    <row r="4289" spans="1:2" x14ac:dyDescent="0.25">
      <c r="A4289" t="s">
        <v>360</v>
      </c>
      <c r="B4289" t="s">
        <v>2064</v>
      </c>
    </row>
    <row r="4290" spans="1:2" x14ac:dyDescent="0.25">
      <c r="A4290" t="s">
        <v>360</v>
      </c>
      <c r="B4290" t="s">
        <v>2065</v>
      </c>
    </row>
    <row r="4291" spans="1:2" x14ac:dyDescent="0.25">
      <c r="A4291" t="s">
        <v>360</v>
      </c>
      <c r="B4291" t="s">
        <v>2066</v>
      </c>
    </row>
    <row r="4292" spans="1:2" x14ac:dyDescent="0.25">
      <c r="A4292" t="s">
        <v>360</v>
      </c>
      <c r="B4292" t="s">
        <v>2067</v>
      </c>
    </row>
    <row r="4293" spans="1:2" x14ac:dyDescent="0.25">
      <c r="A4293" t="s">
        <v>360</v>
      </c>
      <c r="B4293" t="s">
        <v>2068</v>
      </c>
    </row>
    <row r="4294" spans="1:2" x14ac:dyDescent="0.25">
      <c r="A4294" t="s">
        <v>360</v>
      </c>
      <c r="B4294" t="s">
        <v>2069</v>
      </c>
    </row>
    <row r="4295" spans="1:2" x14ac:dyDescent="0.25">
      <c r="A4295" t="s">
        <v>360</v>
      </c>
      <c r="B4295" t="s">
        <v>2070</v>
      </c>
    </row>
    <row r="4296" spans="1:2" x14ac:dyDescent="0.25">
      <c r="A4296" t="s">
        <v>360</v>
      </c>
      <c r="B4296" t="s">
        <v>2071</v>
      </c>
    </row>
    <row r="4297" spans="1:2" x14ac:dyDescent="0.25">
      <c r="A4297" t="s">
        <v>360</v>
      </c>
      <c r="B4297" t="s">
        <v>2072</v>
      </c>
    </row>
    <row r="4298" spans="1:2" x14ac:dyDescent="0.25">
      <c r="A4298" t="s">
        <v>360</v>
      </c>
      <c r="B4298" t="s">
        <v>2073</v>
      </c>
    </row>
    <row r="4299" spans="1:2" x14ac:dyDescent="0.25">
      <c r="A4299" t="s">
        <v>360</v>
      </c>
      <c r="B4299" t="s">
        <v>2074</v>
      </c>
    </row>
    <row r="4300" spans="1:2" x14ac:dyDescent="0.25">
      <c r="A4300" t="s">
        <v>360</v>
      </c>
      <c r="B4300" t="s">
        <v>2075</v>
      </c>
    </row>
    <row r="4301" spans="1:2" x14ac:dyDescent="0.25">
      <c r="A4301" t="s">
        <v>360</v>
      </c>
      <c r="B4301" t="s">
        <v>2076</v>
      </c>
    </row>
    <row r="4302" spans="1:2" x14ac:dyDescent="0.25">
      <c r="A4302" t="s">
        <v>1566</v>
      </c>
      <c r="B4302" t="s">
        <v>1210</v>
      </c>
    </row>
    <row r="4303" spans="1:2" x14ac:dyDescent="0.25">
      <c r="A4303" t="s">
        <v>1566</v>
      </c>
      <c r="B4303" t="s">
        <v>3221</v>
      </c>
    </row>
    <row r="4304" spans="1:2" x14ac:dyDescent="0.25">
      <c r="A4304" t="s">
        <v>1566</v>
      </c>
      <c r="B4304" t="s">
        <v>670</v>
      </c>
    </row>
    <row r="4305" spans="1:2" x14ac:dyDescent="0.25">
      <c r="A4305" t="s">
        <v>1566</v>
      </c>
      <c r="B4305" t="s">
        <v>3222</v>
      </c>
    </row>
    <row r="4306" spans="1:2" x14ac:dyDescent="0.25">
      <c r="A4306" t="s">
        <v>1566</v>
      </c>
      <c r="B4306" t="s">
        <v>3223</v>
      </c>
    </row>
    <row r="4307" spans="1:2" x14ac:dyDescent="0.25">
      <c r="A4307" t="s">
        <v>1566</v>
      </c>
      <c r="B4307" t="s">
        <v>3224</v>
      </c>
    </row>
    <row r="4308" spans="1:2" x14ac:dyDescent="0.25">
      <c r="A4308" t="s">
        <v>1566</v>
      </c>
      <c r="B4308" t="s">
        <v>3225</v>
      </c>
    </row>
    <row r="4309" spans="1:2" x14ac:dyDescent="0.25">
      <c r="A4309" t="s">
        <v>1566</v>
      </c>
      <c r="B4309" t="s">
        <v>3226</v>
      </c>
    </row>
    <row r="4310" spans="1:2" x14ac:dyDescent="0.25">
      <c r="A4310" t="s">
        <v>1566</v>
      </c>
      <c r="B4310" t="s">
        <v>3227</v>
      </c>
    </row>
    <row r="4311" spans="1:2" x14ac:dyDescent="0.25">
      <c r="A4311" t="s">
        <v>1566</v>
      </c>
      <c r="B4311" t="s">
        <v>3228</v>
      </c>
    </row>
    <row r="4312" spans="1:2" x14ac:dyDescent="0.25">
      <c r="A4312" t="s">
        <v>1566</v>
      </c>
      <c r="B4312" t="s">
        <v>3229</v>
      </c>
    </row>
    <row r="4313" spans="1:2" x14ac:dyDescent="0.25">
      <c r="A4313" t="s">
        <v>1566</v>
      </c>
      <c r="B4313" t="s">
        <v>3230</v>
      </c>
    </row>
    <row r="4314" spans="1:2" x14ac:dyDescent="0.25">
      <c r="A4314" t="s">
        <v>1566</v>
      </c>
      <c r="B4314" t="s">
        <v>3231</v>
      </c>
    </row>
    <row r="4315" spans="1:2" x14ac:dyDescent="0.25">
      <c r="A4315" t="s">
        <v>1566</v>
      </c>
      <c r="B4315" t="s">
        <v>3232</v>
      </c>
    </row>
    <row r="4316" spans="1:2" x14ac:dyDescent="0.25">
      <c r="A4316" t="s">
        <v>1566</v>
      </c>
      <c r="B4316" t="s">
        <v>3233</v>
      </c>
    </row>
    <row r="4317" spans="1:2" x14ac:dyDescent="0.25">
      <c r="A4317" t="s">
        <v>1566</v>
      </c>
      <c r="B4317" t="s">
        <v>3234</v>
      </c>
    </row>
    <row r="4318" spans="1:2" x14ac:dyDescent="0.25">
      <c r="A4318" t="s">
        <v>1566</v>
      </c>
      <c r="B4318" t="s">
        <v>3235</v>
      </c>
    </row>
    <row r="4319" spans="1:2" x14ac:dyDescent="0.25">
      <c r="A4319" t="s">
        <v>1566</v>
      </c>
      <c r="B4319" t="s">
        <v>3236</v>
      </c>
    </row>
    <row r="4320" spans="1:2" x14ac:dyDescent="0.25">
      <c r="A4320" t="s">
        <v>1566</v>
      </c>
      <c r="B4320" t="s">
        <v>3237</v>
      </c>
    </row>
    <row r="4321" spans="1:2" x14ac:dyDescent="0.25">
      <c r="A4321" t="s">
        <v>1566</v>
      </c>
      <c r="B4321" t="s">
        <v>3238</v>
      </c>
    </row>
    <row r="4322" spans="1:2" x14ac:dyDescent="0.25">
      <c r="A4322" t="s">
        <v>1566</v>
      </c>
      <c r="B4322" t="s">
        <v>3239</v>
      </c>
    </row>
    <row r="4323" spans="1:2" x14ac:dyDescent="0.25">
      <c r="A4323" t="s">
        <v>1566</v>
      </c>
      <c r="B4323" t="s">
        <v>3240</v>
      </c>
    </row>
    <row r="4324" spans="1:2" x14ac:dyDescent="0.25">
      <c r="A4324" t="s">
        <v>1566</v>
      </c>
      <c r="B4324" t="s">
        <v>3241</v>
      </c>
    </row>
    <row r="4325" spans="1:2" x14ac:dyDescent="0.25">
      <c r="A4325" t="s">
        <v>1566</v>
      </c>
      <c r="B4325" t="s">
        <v>3242</v>
      </c>
    </row>
    <row r="4326" spans="1:2" x14ac:dyDescent="0.25">
      <c r="A4326" t="s">
        <v>1566</v>
      </c>
      <c r="B4326" t="s">
        <v>3243</v>
      </c>
    </row>
    <row r="4327" spans="1:2" x14ac:dyDescent="0.25">
      <c r="A4327" t="s">
        <v>1566</v>
      </c>
      <c r="B4327" t="s">
        <v>3244</v>
      </c>
    </row>
    <row r="4328" spans="1:2" x14ac:dyDescent="0.25">
      <c r="A4328" t="s">
        <v>348</v>
      </c>
      <c r="B4328" t="s">
        <v>2112</v>
      </c>
    </row>
    <row r="4329" spans="1:2" x14ac:dyDescent="0.25">
      <c r="A4329" t="s">
        <v>348</v>
      </c>
      <c r="B4329" t="s">
        <v>2101</v>
      </c>
    </row>
    <row r="4330" spans="1:2" x14ac:dyDescent="0.25">
      <c r="A4330" t="s">
        <v>348</v>
      </c>
      <c r="B4330" t="s">
        <v>859</v>
      </c>
    </row>
    <row r="4331" spans="1:2" x14ac:dyDescent="0.25">
      <c r="A4331" t="s">
        <v>348</v>
      </c>
      <c r="B4331" t="s">
        <v>2102</v>
      </c>
    </row>
    <row r="4332" spans="1:2" x14ac:dyDescent="0.25">
      <c r="A4332" t="s">
        <v>348</v>
      </c>
      <c r="B4332" t="s">
        <v>2122</v>
      </c>
    </row>
    <row r="4333" spans="1:2" x14ac:dyDescent="0.25">
      <c r="A4333" t="s">
        <v>348</v>
      </c>
      <c r="B4333" t="s">
        <v>2103</v>
      </c>
    </row>
    <row r="4334" spans="1:2" x14ac:dyDescent="0.25">
      <c r="A4334" t="s">
        <v>348</v>
      </c>
      <c r="B4334" t="s">
        <v>2104</v>
      </c>
    </row>
    <row r="4335" spans="1:2" x14ac:dyDescent="0.25">
      <c r="A4335" t="s">
        <v>348</v>
      </c>
      <c r="B4335" t="s">
        <v>2105</v>
      </c>
    </row>
    <row r="4336" spans="1:2" x14ac:dyDescent="0.25">
      <c r="A4336" t="s">
        <v>348</v>
      </c>
      <c r="B4336" t="s">
        <v>2106</v>
      </c>
    </row>
    <row r="4337" spans="1:2" x14ac:dyDescent="0.25">
      <c r="A4337" t="s">
        <v>348</v>
      </c>
      <c r="B4337" t="s">
        <v>2107</v>
      </c>
    </row>
    <row r="4338" spans="1:2" x14ac:dyDescent="0.25">
      <c r="A4338" t="s">
        <v>348</v>
      </c>
      <c r="B4338" t="s">
        <v>2108</v>
      </c>
    </row>
    <row r="4339" spans="1:2" x14ac:dyDescent="0.25">
      <c r="A4339" t="s">
        <v>348</v>
      </c>
      <c r="B4339" t="s">
        <v>2109</v>
      </c>
    </row>
    <row r="4340" spans="1:2" x14ac:dyDescent="0.25">
      <c r="A4340" t="s">
        <v>348</v>
      </c>
      <c r="B4340" t="s">
        <v>2110</v>
      </c>
    </row>
    <row r="4341" spans="1:2" x14ac:dyDescent="0.25">
      <c r="A4341" t="s">
        <v>348</v>
      </c>
      <c r="B4341" t="s">
        <v>2111</v>
      </c>
    </row>
    <row r="4342" spans="1:2" x14ac:dyDescent="0.25">
      <c r="A4342" t="s">
        <v>348</v>
      </c>
      <c r="B4342" t="s">
        <v>2112</v>
      </c>
    </row>
    <row r="4343" spans="1:2" x14ac:dyDescent="0.25">
      <c r="A4343" t="s">
        <v>348</v>
      </c>
      <c r="B4343" t="s">
        <v>2101</v>
      </c>
    </row>
    <row r="4344" spans="1:2" x14ac:dyDescent="0.25">
      <c r="A4344" t="s">
        <v>348</v>
      </c>
      <c r="B4344" t="s">
        <v>2113</v>
      </c>
    </row>
    <row r="4345" spans="1:2" x14ac:dyDescent="0.25">
      <c r="A4345" t="s">
        <v>348</v>
      </c>
      <c r="B4345" t="s">
        <v>2114</v>
      </c>
    </row>
    <row r="4346" spans="1:2" x14ac:dyDescent="0.25">
      <c r="A4346" t="s">
        <v>348</v>
      </c>
      <c r="B4346" t="s">
        <v>2115</v>
      </c>
    </row>
    <row r="4347" spans="1:2" x14ac:dyDescent="0.25">
      <c r="A4347" t="s">
        <v>348</v>
      </c>
      <c r="B4347" t="s">
        <v>2116</v>
      </c>
    </row>
    <row r="4348" spans="1:2" x14ac:dyDescent="0.25">
      <c r="A4348" t="s">
        <v>348</v>
      </c>
      <c r="B4348" t="s">
        <v>859</v>
      </c>
    </row>
    <row r="4349" spans="1:2" x14ac:dyDescent="0.25">
      <c r="A4349" t="s">
        <v>348</v>
      </c>
      <c r="B4349" t="s">
        <v>2102</v>
      </c>
    </row>
    <row r="4350" spans="1:2" x14ac:dyDescent="0.25">
      <c r="A4350" t="s">
        <v>348</v>
      </c>
      <c r="B4350" t="s">
        <v>2117</v>
      </c>
    </row>
    <row r="4351" spans="1:2" x14ac:dyDescent="0.25">
      <c r="A4351" t="s">
        <v>348</v>
      </c>
      <c r="B4351" t="s">
        <v>2118</v>
      </c>
    </row>
    <row r="4352" spans="1:2" x14ac:dyDescent="0.25">
      <c r="A4352" t="s">
        <v>348</v>
      </c>
      <c r="B4352" t="s">
        <v>2119</v>
      </c>
    </row>
    <row r="4353" spans="1:2" x14ac:dyDescent="0.25">
      <c r="A4353" t="s">
        <v>348</v>
      </c>
      <c r="B4353" t="s">
        <v>2120</v>
      </c>
    </row>
    <row r="4354" spans="1:2" x14ac:dyDescent="0.25">
      <c r="A4354" t="s">
        <v>348</v>
      </c>
      <c r="B4354" t="s">
        <v>2103</v>
      </c>
    </row>
    <row r="4355" spans="1:2" x14ac:dyDescent="0.25">
      <c r="A4355" t="s">
        <v>348</v>
      </c>
      <c r="B4355" t="s">
        <v>2121</v>
      </c>
    </row>
    <row r="4356" spans="1:2" x14ac:dyDescent="0.25">
      <c r="A4356" t="s">
        <v>348</v>
      </c>
      <c r="B4356" t="s">
        <v>2122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8"/>
  <sheetViews>
    <sheetView workbookViewId="0">
      <selection sqref="A1:A1048576"/>
    </sheetView>
  </sheetViews>
  <sheetFormatPr defaultRowHeight="15" x14ac:dyDescent="0.25"/>
  <cols>
    <col min="1" max="1" width="35" customWidth="1"/>
    <col min="2" max="2" width="50" customWidth="1"/>
  </cols>
  <sheetData>
    <row r="1" spans="1:2" x14ac:dyDescent="0.25">
      <c r="A1" t="s">
        <v>167</v>
      </c>
      <c r="B1" t="s">
        <v>542</v>
      </c>
    </row>
    <row r="2" spans="1:2" x14ac:dyDescent="0.25">
      <c r="A2" t="s">
        <v>171</v>
      </c>
      <c r="B2" t="s">
        <v>543</v>
      </c>
    </row>
    <row r="3" spans="1:2" x14ac:dyDescent="0.25">
      <c r="A3" t="s">
        <v>1579</v>
      </c>
    </row>
    <row r="4" spans="1:2" x14ac:dyDescent="0.25">
      <c r="A4" t="s">
        <v>1580</v>
      </c>
    </row>
    <row r="5" spans="1:2" x14ac:dyDescent="0.25">
      <c r="A5" t="s">
        <v>1527</v>
      </c>
    </row>
    <row r="6" spans="1:2" x14ac:dyDescent="0.25">
      <c r="A6" t="s">
        <v>188</v>
      </c>
    </row>
    <row r="7" spans="1:2" x14ac:dyDescent="0.25">
      <c r="A7" t="s">
        <v>203</v>
      </c>
    </row>
    <row r="8" spans="1:2" x14ac:dyDescent="0.25">
      <c r="A8" t="s">
        <v>1555</v>
      </c>
    </row>
    <row r="9" spans="1:2" x14ac:dyDescent="0.25">
      <c r="A9" t="s">
        <v>1582</v>
      </c>
    </row>
    <row r="10" spans="1:2" x14ac:dyDescent="0.25">
      <c r="A10" t="s">
        <v>189</v>
      </c>
    </row>
    <row r="11" spans="1:2" x14ac:dyDescent="0.25">
      <c r="A11" t="s">
        <v>204</v>
      </c>
    </row>
    <row r="12" spans="1:2" x14ac:dyDescent="0.25">
      <c r="A12" t="s">
        <v>187</v>
      </c>
    </row>
    <row r="13" spans="1:2" x14ac:dyDescent="0.25">
      <c r="A13" t="s">
        <v>223</v>
      </c>
    </row>
    <row r="14" spans="1:2" x14ac:dyDescent="0.25">
      <c r="A14" t="s">
        <v>190</v>
      </c>
    </row>
    <row r="15" spans="1:2" x14ac:dyDescent="0.25">
      <c r="A15" t="s">
        <v>196</v>
      </c>
    </row>
    <row r="16" spans="1:2" x14ac:dyDescent="0.25">
      <c r="A16" t="s">
        <v>1556</v>
      </c>
    </row>
    <row r="17" spans="1:1" x14ac:dyDescent="0.25">
      <c r="A17" t="s">
        <v>270</v>
      </c>
    </row>
    <row r="18" spans="1:1" x14ac:dyDescent="0.25">
      <c r="A18" t="s">
        <v>214</v>
      </c>
    </row>
    <row r="19" spans="1:1" x14ac:dyDescent="0.25">
      <c r="A19" t="s">
        <v>287</v>
      </c>
    </row>
    <row r="20" spans="1:1" x14ac:dyDescent="0.25">
      <c r="A20" t="s">
        <v>222</v>
      </c>
    </row>
    <row r="21" spans="1:1" x14ac:dyDescent="0.25">
      <c r="A21" t="s">
        <v>1540</v>
      </c>
    </row>
    <row r="22" spans="1:1" x14ac:dyDescent="0.25">
      <c r="A22" t="s">
        <v>233</v>
      </c>
    </row>
    <row r="23" spans="1:1" x14ac:dyDescent="0.25">
      <c r="A23" t="s">
        <v>1521</v>
      </c>
    </row>
    <row r="24" spans="1:1" x14ac:dyDescent="0.25">
      <c r="A24" t="s">
        <v>249</v>
      </c>
    </row>
    <row r="25" spans="1:1" x14ac:dyDescent="0.25">
      <c r="A25" t="s">
        <v>1514</v>
      </c>
    </row>
    <row r="26" spans="1:1" x14ac:dyDescent="0.25">
      <c r="A26" t="s">
        <v>1583</v>
      </c>
    </row>
    <row r="27" spans="1:1" x14ac:dyDescent="0.25">
      <c r="A27" t="s">
        <v>1602</v>
      </c>
    </row>
    <row r="28" spans="1:1" x14ac:dyDescent="0.25">
      <c r="A28" t="s">
        <v>202</v>
      </c>
    </row>
    <row r="29" spans="1:1" x14ac:dyDescent="0.25">
      <c r="A29" t="s">
        <v>1586</v>
      </c>
    </row>
    <row r="30" spans="1:1" x14ac:dyDescent="0.25">
      <c r="A30" t="s">
        <v>1557</v>
      </c>
    </row>
    <row r="31" spans="1:1" x14ac:dyDescent="0.25">
      <c r="A31" t="s">
        <v>221</v>
      </c>
    </row>
    <row r="32" spans="1:1" x14ac:dyDescent="0.25">
      <c r="A32" t="s">
        <v>238</v>
      </c>
    </row>
    <row r="33" spans="1:1" x14ac:dyDescent="0.25">
      <c r="A33" t="s">
        <v>1522</v>
      </c>
    </row>
    <row r="34" spans="1:1" x14ac:dyDescent="0.25">
      <c r="A34" t="s">
        <v>264</v>
      </c>
    </row>
    <row r="35" spans="1:1" x14ac:dyDescent="0.25">
      <c r="A35" t="s">
        <v>296</v>
      </c>
    </row>
    <row r="36" spans="1:1" x14ac:dyDescent="0.25">
      <c r="A36" t="s">
        <v>1517</v>
      </c>
    </row>
    <row r="37" spans="1:1" x14ac:dyDescent="0.25">
      <c r="A37" t="s">
        <v>272</v>
      </c>
    </row>
    <row r="38" spans="1:1" x14ac:dyDescent="0.25">
      <c r="A38" t="s">
        <v>232</v>
      </c>
    </row>
    <row r="39" spans="1:1" x14ac:dyDescent="0.25">
      <c r="A39" t="s">
        <v>269</v>
      </c>
    </row>
    <row r="40" spans="1:1" x14ac:dyDescent="0.25">
      <c r="A40" t="s">
        <v>1541</v>
      </c>
    </row>
    <row r="41" spans="1:1" x14ac:dyDescent="0.25">
      <c r="A41" t="s">
        <v>286</v>
      </c>
    </row>
    <row r="42" spans="1:1" x14ac:dyDescent="0.25">
      <c r="A42" t="s">
        <v>1518</v>
      </c>
    </row>
    <row r="43" spans="1:1" x14ac:dyDescent="0.25">
      <c r="A43" t="s">
        <v>306</v>
      </c>
    </row>
    <row r="44" spans="1:1" x14ac:dyDescent="0.25">
      <c r="A44" t="s">
        <v>1548</v>
      </c>
    </row>
    <row r="45" spans="1:1" x14ac:dyDescent="0.25">
      <c r="A45" t="s">
        <v>1594</v>
      </c>
    </row>
    <row r="46" spans="1:1" x14ac:dyDescent="0.25">
      <c r="A46" t="s">
        <v>278</v>
      </c>
    </row>
    <row r="47" spans="1:1" x14ac:dyDescent="0.25">
      <c r="A47" t="s">
        <v>1523</v>
      </c>
    </row>
    <row r="48" spans="1:1" x14ac:dyDescent="0.25">
      <c r="A48" t="s">
        <v>285</v>
      </c>
    </row>
    <row r="49" spans="1:1" x14ac:dyDescent="0.25">
      <c r="A49" t="s">
        <v>303</v>
      </c>
    </row>
    <row r="50" spans="1:1" x14ac:dyDescent="0.25">
      <c r="A50" t="s">
        <v>1558</v>
      </c>
    </row>
    <row r="51" spans="1:1" x14ac:dyDescent="0.25">
      <c r="A51" t="s">
        <v>284</v>
      </c>
    </row>
    <row r="52" spans="1:1" x14ac:dyDescent="0.25">
      <c r="A52" t="s">
        <v>1528</v>
      </c>
    </row>
    <row r="53" spans="1:1" x14ac:dyDescent="0.25">
      <c r="A53" t="s">
        <v>1542</v>
      </c>
    </row>
    <row r="54" spans="1:1" x14ac:dyDescent="0.25">
      <c r="A54" t="s">
        <v>317</v>
      </c>
    </row>
    <row r="55" spans="1:1" x14ac:dyDescent="0.25">
      <c r="A55" t="s">
        <v>305</v>
      </c>
    </row>
    <row r="56" spans="1:1" x14ac:dyDescent="0.25">
      <c r="A56" t="s">
        <v>319</v>
      </c>
    </row>
    <row r="57" spans="1:1" x14ac:dyDescent="0.25">
      <c r="A57" t="s">
        <v>1585</v>
      </c>
    </row>
    <row r="58" spans="1:1" x14ac:dyDescent="0.25">
      <c r="A58" t="s">
        <v>1595</v>
      </c>
    </row>
    <row r="59" spans="1:1" x14ac:dyDescent="0.25">
      <c r="A59" t="s">
        <v>1519</v>
      </c>
    </row>
    <row r="60" spans="1:1" x14ac:dyDescent="0.25">
      <c r="A60" t="s">
        <v>1533</v>
      </c>
    </row>
    <row r="61" spans="1:1" x14ac:dyDescent="0.25">
      <c r="A61" t="s">
        <v>316</v>
      </c>
    </row>
    <row r="62" spans="1:1" x14ac:dyDescent="0.25">
      <c r="A62" t="s">
        <v>1524</v>
      </c>
    </row>
    <row r="63" spans="1:1" x14ac:dyDescent="0.25">
      <c r="A63" t="s">
        <v>1592</v>
      </c>
    </row>
    <row r="64" spans="1:1" x14ac:dyDescent="0.25">
      <c r="A64" t="s">
        <v>1560</v>
      </c>
    </row>
    <row r="65" spans="1:1" x14ac:dyDescent="0.25">
      <c r="A65" t="s">
        <v>333</v>
      </c>
    </row>
    <row r="66" spans="1:1" x14ac:dyDescent="0.25">
      <c r="A66" t="s">
        <v>1543</v>
      </c>
    </row>
    <row r="67" spans="1:1" x14ac:dyDescent="0.25">
      <c r="A67" t="s">
        <v>1561</v>
      </c>
    </row>
    <row r="68" spans="1:1" x14ac:dyDescent="0.25">
      <c r="A68" t="s">
        <v>1553</v>
      </c>
    </row>
    <row r="69" spans="1:1" x14ac:dyDescent="0.25">
      <c r="A69" t="s">
        <v>1597</v>
      </c>
    </row>
    <row r="70" spans="1:1" x14ac:dyDescent="0.25">
      <c r="A70" t="s">
        <v>329</v>
      </c>
    </row>
    <row r="71" spans="1:1" x14ac:dyDescent="0.25">
      <c r="A71" t="s">
        <v>352</v>
      </c>
    </row>
    <row r="72" spans="1:1" x14ac:dyDescent="0.25">
      <c r="A72" t="s">
        <v>1544</v>
      </c>
    </row>
    <row r="73" spans="1:1" x14ac:dyDescent="0.25">
      <c r="A73" t="s">
        <v>1545</v>
      </c>
    </row>
    <row r="74" spans="1:1" x14ac:dyDescent="0.25">
      <c r="A74" t="s">
        <v>1559</v>
      </c>
    </row>
    <row r="75" spans="1:1" x14ac:dyDescent="0.25">
      <c r="A75" t="s">
        <v>1562</v>
      </c>
    </row>
    <row r="76" spans="1:1" x14ac:dyDescent="0.25">
      <c r="A76" t="s">
        <v>1515</v>
      </c>
    </row>
    <row r="77" spans="1:1" x14ac:dyDescent="0.25">
      <c r="A77" t="s">
        <v>370</v>
      </c>
    </row>
    <row r="78" spans="1:1" x14ac:dyDescent="0.25">
      <c r="A78" t="s">
        <v>1596</v>
      </c>
    </row>
    <row r="79" spans="1:1" x14ac:dyDescent="0.25">
      <c r="A79" t="s">
        <v>369</v>
      </c>
    </row>
    <row r="80" spans="1:1" x14ac:dyDescent="0.25">
      <c r="A80" t="s">
        <v>302</v>
      </c>
    </row>
    <row r="81" spans="1:1" x14ac:dyDescent="0.25">
      <c r="A81" t="s">
        <v>1546</v>
      </c>
    </row>
    <row r="82" spans="1:1" x14ac:dyDescent="0.25">
      <c r="A82" t="s">
        <v>375</v>
      </c>
    </row>
    <row r="83" spans="1:1" x14ac:dyDescent="0.25">
      <c r="A83" t="s">
        <v>1516</v>
      </c>
    </row>
    <row r="84" spans="1:1" x14ac:dyDescent="0.25">
      <c r="A84" t="s">
        <v>1587</v>
      </c>
    </row>
    <row r="85" spans="1:1" x14ac:dyDescent="0.25">
      <c r="A85" t="s">
        <v>381</v>
      </c>
    </row>
    <row r="86" spans="1:1" x14ac:dyDescent="0.25">
      <c r="A86" t="s">
        <v>1588</v>
      </c>
    </row>
    <row r="87" spans="1:1" x14ac:dyDescent="0.25">
      <c r="A87" t="s">
        <v>1564</v>
      </c>
    </row>
    <row r="88" spans="1:1" x14ac:dyDescent="0.25">
      <c r="A88" t="s">
        <v>361</v>
      </c>
    </row>
    <row r="89" spans="1:1" x14ac:dyDescent="0.25">
      <c r="A89" t="s">
        <v>1598</v>
      </c>
    </row>
    <row r="90" spans="1:1" x14ac:dyDescent="0.25">
      <c r="A90" t="s">
        <v>1565</v>
      </c>
    </row>
    <row r="91" spans="1:1" x14ac:dyDescent="0.25">
      <c r="A91" t="s">
        <v>1581</v>
      </c>
    </row>
    <row r="92" spans="1:1" x14ac:dyDescent="0.25">
      <c r="A92" t="s">
        <v>1590</v>
      </c>
    </row>
    <row r="93" spans="1:1" x14ac:dyDescent="0.25">
      <c r="A93" t="s">
        <v>1584</v>
      </c>
    </row>
    <row r="94" spans="1:1" x14ac:dyDescent="0.25">
      <c r="A94" t="s">
        <v>383</v>
      </c>
    </row>
    <row r="95" spans="1:1" x14ac:dyDescent="0.25">
      <c r="A95" t="s">
        <v>1520</v>
      </c>
    </row>
    <row r="96" spans="1:1" x14ac:dyDescent="0.25">
      <c r="A96" t="s">
        <v>1530</v>
      </c>
    </row>
    <row r="97" spans="1:1" x14ac:dyDescent="0.25">
      <c r="A97" t="s">
        <v>1589</v>
      </c>
    </row>
    <row r="98" spans="1:1" x14ac:dyDescent="0.25">
      <c r="A98" t="s">
        <v>385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0"/>
  <sheetViews>
    <sheetView workbookViewId="0">
      <selection activeCell="A30" sqref="A30"/>
    </sheetView>
  </sheetViews>
  <sheetFormatPr defaultRowHeight="15" x14ac:dyDescent="0.25"/>
  <cols>
    <col min="1" max="1" width="35.28515625" bestFit="1" customWidth="1"/>
    <col min="2" max="2" width="58.42578125" bestFit="1" customWidth="1"/>
  </cols>
  <sheetData>
    <row r="1" spans="1:2" x14ac:dyDescent="0.25">
      <c r="A1" t="s">
        <v>167</v>
      </c>
      <c r="B1" t="s">
        <v>542</v>
      </c>
    </row>
    <row r="2" spans="1:2" x14ac:dyDescent="0.25">
      <c r="A2" t="s">
        <v>182</v>
      </c>
      <c r="B2" t="s">
        <v>1601</v>
      </c>
    </row>
    <row r="3" spans="1:2" x14ac:dyDescent="0.25">
      <c r="A3" t="s">
        <v>345</v>
      </c>
    </row>
    <row r="4" spans="1:2" x14ac:dyDescent="0.25">
      <c r="A4" t="s">
        <v>173</v>
      </c>
    </row>
    <row r="5" spans="1:2" x14ac:dyDescent="0.25">
      <c r="A5" t="s">
        <v>185</v>
      </c>
    </row>
    <row r="6" spans="1:2" x14ac:dyDescent="0.25">
      <c r="A6" t="s">
        <v>179</v>
      </c>
    </row>
    <row r="7" spans="1:2" x14ac:dyDescent="0.25">
      <c r="A7" t="s">
        <v>180</v>
      </c>
    </row>
    <row r="8" spans="1:2" x14ac:dyDescent="0.25">
      <c r="A8" t="s">
        <v>169</v>
      </c>
    </row>
    <row r="9" spans="1:2" x14ac:dyDescent="0.25">
      <c r="A9" t="s">
        <v>172</v>
      </c>
    </row>
    <row r="10" spans="1:2" x14ac:dyDescent="0.25">
      <c r="A10" t="s">
        <v>183</v>
      </c>
    </row>
    <row r="11" spans="1:2" x14ac:dyDescent="0.25">
      <c r="A11" t="s">
        <v>193</v>
      </c>
    </row>
    <row r="12" spans="1:2" x14ac:dyDescent="0.25">
      <c r="A12" t="s">
        <v>184</v>
      </c>
    </row>
    <row r="13" spans="1:2" x14ac:dyDescent="0.25">
      <c r="A13" t="s">
        <v>174</v>
      </c>
    </row>
    <row r="14" spans="1:2" x14ac:dyDescent="0.25">
      <c r="A14" t="s">
        <v>177</v>
      </c>
    </row>
    <row r="15" spans="1:2" x14ac:dyDescent="0.25">
      <c r="A15" t="s">
        <v>175</v>
      </c>
    </row>
    <row r="16" spans="1:2" x14ac:dyDescent="0.25">
      <c r="A16" t="s">
        <v>240</v>
      </c>
    </row>
    <row r="17" spans="1:1" x14ac:dyDescent="0.25">
      <c r="A17" t="s">
        <v>176</v>
      </c>
    </row>
    <row r="18" spans="1:1" x14ac:dyDescent="0.25">
      <c r="A18" t="s">
        <v>205</v>
      </c>
    </row>
    <row r="19" spans="1:1" x14ac:dyDescent="0.25">
      <c r="A19" t="s">
        <v>199</v>
      </c>
    </row>
    <row r="20" spans="1:1" x14ac:dyDescent="0.25">
      <c r="A20" t="s">
        <v>224</v>
      </c>
    </row>
    <row r="21" spans="1:1" x14ac:dyDescent="0.25">
      <c r="A21" t="s">
        <v>217</v>
      </c>
    </row>
    <row r="22" spans="1:1" x14ac:dyDescent="0.25">
      <c r="A22" t="s">
        <v>209</v>
      </c>
    </row>
    <row r="23" spans="1:1" x14ac:dyDescent="0.25">
      <c r="A23" t="s">
        <v>181</v>
      </c>
    </row>
    <row r="24" spans="1:1" x14ac:dyDescent="0.25">
      <c r="A24" t="s">
        <v>298</v>
      </c>
    </row>
    <row r="25" spans="1:1" x14ac:dyDescent="0.25">
      <c r="A25" t="s">
        <v>207</v>
      </c>
    </row>
    <row r="26" spans="1:1" x14ac:dyDescent="0.25">
      <c r="A26" t="s">
        <v>255</v>
      </c>
    </row>
    <row r="27" spans="1:1" x14ac:dyDescent="0.25">
      <c r="A27" t="s">
        <v>218</v>
      </c>
    </row>
    <row r="28" spans="1:1" x14ac:dyDescent="0.25">
      <c r="A28" t="s">
        <v>235</v>
      </c>
    </row>
    <row r="29" spans="1:1" x14ac:dyDescent="0.25">
      <c r="A29" t="s">
        <v>1547</v>
      </c>
    </row>
    <row r="30" spans="1:1" x14ac:dyDescent="0.25">
      <c r="A30" t="s">
        <v>1538</v>
      </c>
    </row>
    <row r="31" spans="1:1" x14ac:dyDescent="0.25">
      <c r="A31" t="s">
        <v>191</v>
      </c>
    </row>
    <row r="32" spans="1:1" x14ac:dyDescent="0.25">
      <c r="A32" t="s">
        <v>241</v>
      </c>
    </row>
    <row r="33" spans="1:1" x14ac:dyDescent="0.25">
      <c r="A33" t="s">
        <v>198</v>
      </c>
    </row>
    <row r="34" spans="1:1" x14ac:dyDescent="0.25">
      <c r="A34" t="s">
        <v>267</v>
      </c>
    </row>
    <row r="35" spans="1:1" x14ac:dyDescent="0.25">
      <c r="A35" t="s">
        <v>252</v>
      </c>
    </row>
    <row r="36" spans="1:1" x14ac:dyDescent="0.25">
      <c r="A36" t="s">
        <v>239</v>
      </c>
    </row>
    <row r="37" spans="1:1" x14ac:dyDescent="0.25">
      <c r="A37" t="s">
        <v>197</v>
      </c>
    </row>
    <row r="38" spans="1:1" x14ac:dyDescent="0.25">
      <c r="A38" t="s">
        <v>195</v>
      </c>
    </row>
    <row r="39" spans="1:1" x14ac:dyDescent="0.25">
      <c r="A39" t="s">
        <v>192</v>
      </c>
    </row>
    <row r="40" spans="1:1" x14ac:dyDescent="0.25">
      <c r="A40" t="s">
        <v>208</v>
      </c>
    </row>
    <row r="41" spans="1:1" x14ac:dyDescent="0.25">
      <c r="A41" t="s">
        <v>178</v>
      </c>
    </row>
    <row r="42" spans="1:1" x14ac:dyDescent="0.25">
      <c r="A42" t="s">
        <v>226</v>
      </c>
    </row>
    <row r="43" spans="1:1" x14ac:dyDescent="0.25">
      <c r="A43" t="s">
        <v>243</v>
      </c>
    </row>
    <row r="44" spans="1:1" x14ac:dyDescent="0.25">
      <c r="A44" t="s">
        <v>1532</v>
      </c>
    </row>
    <row r="45" spans="1:1" x14ac:dyDescent="0.25">
      <c r="A45" t="s">
        <v>234</v>
      </c>
    </row>
    <row r="46" spans="1:1" x14ac:dyDescent="0.25">
      <c r="A46" t="s">
        <v>211</v>
      </c>
    </row>
    <row r="47" spans="1:1" x14ac:dyDescent="0.25">
      <c r="A47" t="s">
        <v>206</v>
      </c>
    </row>
    <row r="48" spans="1:1" x14ac:dyDescent="0.25">
      <c r="A48" t="s">
        <v>228</v>
      </c>
    </row>
    <row r="49" spans="1:1" x14ac:dyDescent="0.25">
      <c r="A49" t="s">
        <v>216</v>
      </c>
    </row>
    <row r="50" spans="1:1" x14ac:dyDescent="0.25">
      <c r="A50" t="s">
        <v>227</v>
      </c>
    </row>
    <row r="51" spans="1:1" x14ac:dyDescent="0.25">
      <c r="A51" t="s">
        <v>219</v>
      </c>
    </row>
    <row r="52" spans="1:1" x14ac:dyDescent="0.25">
      <c r="A52" t="s">
        <v>254</v>
      </c>
    </row>
    <row r="53" spans="1:1" x14ac:dyDescent="0.25">
      <c r="A53" t="s">
        <v>320</v>
      </c>
    </row>
    <row r="54" spans="1:1" x14ac:dyDescent="0.25">
      <c r="A54" t="s">
        <v>212</v>
      </c>
    </row>
    <row r="55" spans="1:1" x14ac:dyDescent="0.25">
      <c r="A55" t="s">
        <v>231</v>
      </c>
    </row>
    <row r="56" spans="1:1" x14ac:dyDescent="0.25">
      <c r="A56" t="s">
        <v>244</v>
      </c>
    </row>
    <row r="57" spans="1:1" x14ac:dyDescent="0.25">
      <c r="A57" t="s">
        <v>1551</v>
      </c>
    </row>
    <row r="58" spans="1:1" x14ac:dyDescent="0.25">
      <c r="A58" t="s">
        <v>259</v>
      </c>
    </row>
    <row r="59" spans="1:1" x14ac:dyDescent="0.25">
      <c r="A59" t="s">
        <v>225</v>
      </c>
    </row>
    <row r="60" spans="1:1" x14ac:dyDescent="0.25">
      <c r="A60" t="s">
        <v>279</v>
      </c>
    </row>
    <row r="61" spans="1:1" x14ac:dyDescent="0.25">
      <c r="A61" t="s">
        <v>242</v>
      </c>
    </row>
    <row r="62" spans="1:1" x14ac:dyDescent="0.25">
      <c r="A62" t="s">
        <v>347</v>
      </c>
    </row>
    <row r="63" spans="1:1" x14ac:dyDescent="0.25">
      <c r="A63" t="s">
        <v>350</v>
      </c>
    </row>
    <row r="64" spans="1:1" x14ac:dyDescent="0.25">
      <c r="A64" t="s">
        <v>230</v>
      </c>
    </row>
    <row r="65" spans="1:1" x14ac:dyDescent="0.25">
      <c r="A65" t="s">
        <v>257</v>
      </c>
    </row>
    <row r="66" spans="1:1" x14ac:dyDescent="0.25">
      <c r="A66" t="s">
        <v>247</v>
      </c>
    </row>
    <row r="67" spans="1:1" x14ac:dyDescent="0.25">
      <c r="A67" t="s">
        <v>1549</v>
      </c>
    </row>
    <row r="68" spans="1:1" x14ac:dyDescent="0.25">
      <c r="A68" t="s">
        <v>245</v>
      </c>
    </row>
    <row r="69" spans="1:1" x14ac:dyDescent="0.25">
      <c r="A69" t="s">
        <v>236</v>
      </c>
    </row>
    <row r="70" spans="1:1" x14ac:dyDescent="0.25">
      <c r="A70" t="s">
        <v>213</v>
      </c>
    </row>
    <row r="71" spans="1:1" x14ac:dyDescent="0.25">
      <c r="A71" t="s">
        <v>215</v>
      </c>
    </row>
    <row r="72" spans="1:1" x14ac:dyDescent="0.25">
      <c r="A72" t="s">
        <v>258</v>
      </c>
    </row>
    <row r="73" spans="1:1" x14ac:dyDescent="0.25">
      <c r="A73" t="s">
        <v>194</v>
      </c>
    </row>
    <row r="74" spans="1:1" x14ac:dyDescent="0.25">
      <c r="A74" t="s">
        <v>1536</v>
      </c>
    </row>
    <row r="75" spans="1:1" x14ac:dyDescent="0.25">
      <c r="A75" t="s">
        <v>200</v>
      </c>
    </row>
    <row r="76" spans="1:1" x14ac:dyDescent="0.25">
      <c r="A76" t="s">
        <v>150</v>
      </c>
    </row>
    <row r="77" spans="1:1" x14ac:dyDescent="0.25">
      <c r="A77" t="s">
        <v>261</v>
      </c>
    </row>
    <row r="78" spans="1:1" x14ac:dyDescent="0.25">
      <c r="A78" t="s">
        <v>283</v>
      </c>
    </row>
    <row r="79" spans="1:1" x14ac:dyDescent="0.25">
      <c r="A79" t="s">
        <v>248</v>
      </c>
    </row>
    <row r="80" spans="1:1" x14ac:dyDescent="0.25">
      <c r="A80" t="s">
        <v>256</v>
      </c>
    </row>
    <row r="81" spans="1:1" x14ac:dyDescent="0.25">
      <c r="A81" t="s">
        <v>220</v>
      </c>
    </row>
    <row r="82" spans="1:1" x14ac:dyDescent="0.25">
      <c r="A82" t="s">
        <v>263</v>
      </c>
    </row>
    <row r="83" spans="1:1" x14ac:dyDescent="0.25">
      <c r="A83" t="s">
        <v>271</v>
      </c>
    </row>
    <row r="84" spans="1:1" x14ac:dyDescent="0.25">
      <c r="A84" t="s">
        <v>262</v>
      </c>
    </row>
    <row r="85" spans="1:1" x14ac:dyDescent="0.25">
      <c r="A85" t="s">
        <v>295</v>
      </c>
    </row>
    <row r="86" spans="1:1" x14ac:dyDescent="0.25">
      <c r="A86" t="s">
        <v>268</v>
      </c>
    </row>
    <row r="87" spans="1:1" x14ac:dyDescent="0.25">
      <c r="A87" t="s">
        <v>210</v>
      </c>
    </row>
    <row r="88" spans="1:1" x14ac:dyDescent="0.25">
      <c r="A88" t="s">
        <v>293</v>
      </c>
    </row>
    <row r="89" spans="1:1" x14ac:dyDescent="0.25">
      <c r="A89" t="s">
        <v>253</v>
      </c>
    </row>
    <row r="90" spans="1:1" x14ac:dyDescent="0.25">
      <c r="A90" t="s">
        <v>276</v>
      </c>
    </row>
    <row r="91" spans="1:1" x14ac:dyDescent="0.25">
      <c r="A91" t="s">
        <v>1550</v>
      </c>
    </row>
    <row r="92" spans="1:1" x14ac:dyDescent="0.25">
      <c r="A92" t="s">
        <v>251</v>
      </c>
    </row>
    <row r="93" spans="1:1" x14ac:dyDescent="0.25">
      <c r="A93" t="s">
        <v>322</v>
      </c>
    </row>
    <row r="94" spans="1:1" x14ac:dyDescent="0.25">
      <c r="A94" t="s">
        <v>277</v>
      </c>
    </row>
    <row r="95" spans="1:1" x14ac:dyDescent="0.25">
      <c r="A95" t="s">
        <v>266</v>
      </c>
    </row>
    <row r="96" spans="1:1" x14ac:dyDescent="0.25">
      <c r="A96" t="s">
        <v>273</v>
      </c>
    </row>
    <row r="97" spans="1:1" x14ac:dyDescent="0.25">
      <c r="A97" t="s">
        <v>300</v>
      </c>
    </row>
    <row r="98" spans="1:1" x14ac:dyDescent="0.25">
      <c r="A98" t="s">
        <v>237</v>
      </c>
    </row>
    <row r="99" spans="1:1" x14ac:dyDescent="0.25">
      <c r="A99" t="s">
        <v>229</v>
      </c>
    </row>
    <row r="100" spans="1:1" x14ac:dyDescent="0.25">
      <c r="A100" t="s">
        <v>290</v>
      </c>
    </row>
    <row r="101" spans="1:1" x14ac:dyDescent="0.25">
      <c r="A101" t="s">
        <v>250</v>
      </c>
    </row>
    <row r="102" spans="1:1" x14ac:dyDescent="0.25">
      <c r="A102" t="s">
        <v>301</v>
      </c>
    </row>
    <row r="103" spans="1:1" x14ac:dyDescent="0.25">
      <c r="A103" t="s">
        <v>265</v>
      </c>
    </row>
    <row r="104" spans="1:1" x14ac:dyDescent="0.25">
      <c r="A104" t="s">
        <v>1603</v>
      </c>
    </row>
    <row r="105" spans="1:1" x14ac:dyDescent="0.25">
      <c r="A105" t="s">
        <v>1599</v>
      </c>
    </row>
    <row r="106" spans="1:1" x14ac:dyDescent="0.25">
      <c r="A106" t="s">
        <v>280</v>
      </c>
    </row>
    <row r="107" spans="1:1" x14ac:dyDescent="0.25">
      <c r="A107" t="s">
        <v>289</v>
      </c>
    </row>
    <row r="108" spans="1:1" x14ac:dyDescent="0.25">
      <c r="A108" t="s">
        <v>337</v>
      </c>
    </row>
    <row r="109" spans="1:1" x14ac:dyDescent="0.25">
      <c r="A109" t="s">
        <v>297</v>
      </c>
    </row>
    <row r="110" spans="1:1" x14ac:dyDescent="0.25">
      <c r="A110" t="s">
        <v>308</v>
      </c>
    </row>
    <row r="111" spans="1:1" x14ac:dyDescent="0.25">
      <c r="A111" t="s">
        <v>332</v>
      </c>
    </row>
    <row r="112" spans="1:1" x14ac:dyDescent="0.25">
      <c r="A112" t="s">
        <v>274</v>
      </c>
    </row>
    <row r="113" spans="1:1" x14ac:dyDescent="0.25">
      <c r="A113" t="s">
        <v>294</v>
      </c>
    </row>
    <row r="114" spans="1:1" x14ac:dyDescent="0.25">
      <c r="A114" t="s">
        <v>246</v>
      </c>
    </row>
    <row r="115" spans="1:1" x14ac:dyDescent="0.25">
      <c r="A115" t="s">
        <v>311</v>
      </c>
    </row>
    <row r="116" spans="1:1" x14ac:dyDescent="0.25">
      <c r="A116" t="s">
        <v>288</v>
      </c>
    </row>
    <row r="117" spans="1:1" x14ac:dyDescent="0.25">
      <c r="A117" t="s">
        <v>282</v>
      </c>
    </row>
    <row r="118" spans="1:1" x14ac:dyDescent="0.25">
      <c r="A118" t="s">
        <v>313</v>
      </c>
    </row>
    <row r="119" spans="1:1" x14ac:dyDescent="0.25">
      <c r="A119" t="s">
        <v>324</v>
      </c>
    </row>
    <row r="120" spans="1:1" x14ac:dyDescent="0.25">
      <c r="A120" t="s">
        <v>325</v>
      </c>
    </row>
    <row r="121" spans="1:1" x14ac:dyDescent="0.25">
      <c r="A121" t="s">
        <v>330</v>
      </c>
    </row>
    <row r="122" spans="1:1" x14ac:dyDescent="0.25">
      <c r="A122" t="s">
        <v>307</v>
      </c>
    </row>
    <row r="123" spans="1:1" x14ac:dyDescent="0.25">
      <c r="A123" t="s">
        <v>338</v>
      </c>
    </row>
    <row r="124" spans="1:1" x14ac:dyDescent="0.25">
      <c r="A124" t="s">
        <v>299</v>
      </c>
    </row>
    <row r="125" spans="1:1" x14ac:dyDescent="0.25">
      <c r="A125" t="s">
        <v>349</v>
      </c>
    </row>
    <row r="126" spans="1:1" x14ac:dyDescent="0.25">
      <c r="A126" t="s">
        <v>291</v>
      </c>
    </row>
    <row r="127" spans="1:1" x14ac:dyDescent="0.25">
      <c r="A127" t="s">
        <v>321</v>
      </c>
    </row>
    <row r="128" spans="1:1" x14ac:dyDescent="0.25">
      <c r="A128" t="s">
        <v>339</v>
      </c>
    </row>
    <row r="129" spans="1:1" x14ac:dyDescent="0.25">
      <c r="A129" t="s">
        <v>357</v>
      </c>
    </row>
    <row r="130" spans="1:1" x14ac:dyDescent="0.25">
      <c r="A130" t="s">
        <v>327</v>
      </c>
    </row>
    <row r="131" spans="1:1" x14ac:dyDescent="0.25">
      <c r="A131" t="s">
        <v>354</v>
      </c>
    </row>
    <row r="132" spans="1:1" x14ac:dyDescent="0.25">
      <c r="A132" t="s">
        <v>336</v>
      </c>
    </row>
    <row r="133" spans="1:1" x14ac:dyDescent="0.25">
      <c r="A133" t="s">
        <v>292</v>
      </c>
    </row>
    <row r="134" spans="1:1" x14ac:dyDescent="0.25">
      <c r="A134" t="s">
        <v>355</v>
      </c>
    </row>
    <row r="135" spans="1:1" x14ac:dyDescent="0.25">
      <c r="A135" t="s">
        <v>315</v>
      </c>
    </row>
    <row r="136" spans="1:1" x14ac:dyDescent="0.25">
      <c r="A136" t="s">
        <v>331</v>
      </c>
    </row>
    <row r="137" spans="1:1" x14ac:dyDescent="0.25">
      <c r="A137" t="s">
        <v>1552</v>
      </c>
    </row>
    <row r="138" spans="1:1" x14ac:dyDescent="0.25">
      <c r="A138" t="s">
        <v>281</v>
      </c>
    </row>
    <row r="139" spans="1:1" x14ac:dyDescent="0.25">
      <c r="A139" t="s">
        <v>260</v>
      </c>
    </row>
    <row r="140" spans="1:1" x14ac:dyDescent="0.25">
      <c r="A140" t="s">
        <v>312</v>
      </c>
    </row>
    <row r="141" spans="1:1" x14ac:dyDescent="0.25">
      <c r="A141" t="s">
        <v>309</v>
      </c>
    </row>
    <row r="142" spans="1:1" x14ac:dyDescent="0.25">
      <c r="A142" t="s">
        <v>353</v>
      </c>
    </row>
    <row r="143" spans="1:1" x14ac:dyDescent="0.25">
      <c r="A143" t="s">
        <v>1593</v>
      </c>
    </row>
    <row r="144" spans="1:1" x14ac:dyDescent="0.25">
      <c r="A144" t="s">
        <v>368</v>
      </c>
    </row>
    <row r="145" spans="1:1" x14ac:dyDescent="0.25">
      <c r="A145" t="s">
        <v>1563</v>
      </c>
    </row>
    <row r="146" spans="1:1" x14ac:dyDescent="0.25">
      <c r="A146" t="s">
        <v>275</v>
      </c>
    </row>
    <row r="147" spans="1:1" x14ac:dyDescent="0.25">
      <c r="A147" t="s">
        <v>372</v>
      </c>
    </row>
    <row r="148" spans="1:1" x14ac:dyDescent="0.25">
      <c r="A148" t="s">
        <v>376</v>
      </c>
    </row>
    <row r="149" spans="1:1" x14ac:dyDescent="0.25">
      <c r="A149" t="s">
        <v>364</v>
      </c>
    </row>
    <row r="150" spans="1:1" x14ac:dyDescent="0.25">
      <c r="A150" t="s">
        <v>323</v>
      </c>
    </row>
    <row r="151" spans="1:1" x14ac:dyDescent="0.25">
      <c r="A151" t="s">
        <v>314</v>
      </c>
    </row>
    <row r="152" spans="1:1" x14ac:dyDescent="0.25">
      <c r="A152" t="s">
        <v>346</v>
      </c>
    </row>
    <row r="153" spans="1:1" x14ac:dyDescent="0.25">
      <c r="A153" t="s">
        <v>344</v>
      </c>
    </row>
    <row r="154" spans="1:1" x14ac:dyDescent="0.25">
      <c r="A154" t="s">
        <v>328</v>
      </c>
    </row>
    <row r="155" spans="1:1" x14ac:dyDescent="0.25">
      <c r="A155" t="s">
        <v>356</v>
      </c>
    </row>
    <row r="156" spans="1:1" x14ac:dyDescent="0.25">
      <c r="A156" t="s">
        <v>342</v>
      </c>
    </row>
    <row r="157" spans="1:1" x14ac:dyDescent="0.25">
      <c r="A157" t="s">
        <v>373</v>
      </c>
    </row>
    <row r="158" spans="1:1" x14ac:dyDescent="0.25">
      <c r="A158" t="s">
        <v>371</v>
      </c>
    </row>
    <row r="159" spans="1:1" x14ac:dyDescent="0.25">
      <c r="A159" t="s">
        <v>377</v>
      </c>
    </row>
    <row r="160" spans="1:1" x14ac:dyDescent="0.25">
      <c r="A160" t="s">
        <v>1529</v>
      </c>
    </row>
    <row r="161" spans="1:1" x14ac:dyDescent="0.25">
      <c r="A161" t="s">
        <v>362</v>
      </c>
    </row>
    <row r="162" spans="1:1" x14ac:dyDescent="0.25">
      <c r="A162" t="s">
        <v>365</v>
      </c>
    </row>
    <row r="163" spans="1:1" x14ac:dyDescent="0.25">
      <c r="A163" t="s">
        <v>310</v>
      </c>
    </row>
    <row r="164" spans="1:1" x14ac:dyDescent="0.25">
      <c r="A164" t="s">
        <v>1591</v>
      </c>
    </row>
    <row r="165" spans="1:1" x14ac:dyDescent="0.25">
      <c r="A165" t="s">
        <v>1534</v>
      </c>
    </row>
    <row r="166" spans="1:1" x14ac:dyDescent="0.25">
      <c r="A166" t="s">
        <v>343</v>
      </c>
    </row>
    <row r="167" spans="1:1" x14ac:dyDescent="0.25">
      <c r="A167" t="s">
        <v>378</v>
      </c>
    </row>
    <row r="168" spans="1:1" x14ac:dyDescent="0.25">
      <c r="A168" t="s">
        <v>334</v>
      </c>
    </row>
    <row r="169" spans="1:1" x14ac:dyDescent="0.25">
      <c r="A169" t="s">
        <v>1554</v>
      </c>
    </row>
    <row r="170" spans="1:1" x14ac:dyDescent="0.25">
      <c r="A170" t="s">
        <v>340</v>
      </c>
    </row>
    <row r="171" spans="1:1" x14ac:dyDescent="0.25">
      <c r="A171" t="s">
        <v>326</v>
      </c>
    </row>
    <row r="172" spans="1:1" x14ac:dyDescent="0.25">
      <c r="A172" t="s">
        <v>341</v>
      </c>
    </row>
    <row r="173" spans="1:1" x14ac:dyDescent="0.25">
      <c r="A173" t="s">
        <v>363</v>
      </c>
    </row>
    <row r="174" spans="1:1" x14ac:dyDescent="0.25">
      <c r="A174" t="s">
        <v>358</v>
      </c>
    </row>
    <row r="175" spans="1:1" x14ac:dyDescent="0.25">
      <c r="A175" t="s">
        <v>366</v>
      </c>
    </row>
    <row r="176" spans="1:1" x14ac:dyDescent="0.25">
      <c r="A176" t="s">
        <v>359</v>
      </c>
    </row>
    <row r="177" spans="1:1" x14ac:dyDescent="0.25">
      <c r="A177" t="s">
        <v>360</v>
      </c>
    </row>
    <row r="178" spans="1:1" x14ac:dyDescent="0.25">
      <c r="A178" t="s">
        <v>1566</v>
      </c>
    </row>
    <row r="179" spans="1:1" x14ac:dyDescent="0.25">
      <c r="A179" t="s">
        <v>348</v>
      </c>
    </row>
    <row r="180" spans="1:1" x14ac:dyDescent="0.25">
      <c r="A180" t="s">
        <v>1529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04F0A1-3196-4834-A148-4B4BA6FD37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23</vt:i4>
      </vt:variant>
    </vt:vector>
  </HeadingPairs>
  <TitlesOfParts>
    <vt:vector size="28" baseType="lpstr">
      <vt:lpstr>INVOER</vt:lpstr>
      <vt:lpstr>FORMULE</vt:lpstr>
      <vt:lpstr>SPELERS</vt:lpstr>
      <vt:lpstr>UITGESLOTEN_CLUBS</vt:lpstr>
      <vt:lpstr>CLUBS_CONTROLE</vt:lpstr>
      <vt:lpstr>DERDE_DIVISIE_B</vt:lpstr>
      <vt:lpstr>DERDE_KLASSE_B</vt:lpstr>
      <vt:lpstr>DERDE_KLASSE_C</vt:lpstr>
      <vt:lpstr>DERDE_KLASSE_D</vt:lpstr>
      <vt:lpstr>EERSTE_KLASSE_E</vt:lpstr>
      <vt:lpstr>KIES_DIVISIE_KLASSE</vt:lpstr>
      <vt:lpstr>TWEEDE_KLASSE_E</vt:lpstr>
      <vt:lpstr>TWEEDE_KLASSE_I</vt:lpstr>
      <vt:lpstr>VIERDE_DIVISIE_C</vt:lpstr>
      <vt:lpstr>VIERDE_KLASSE_A</vt:lpstr>
      <vt:lpstr>VIERDE_KLASSE_B</vt:lpstr>
      <vt:lpstr>VIERDE_KLASSE_C</vt:lpstr>
      <vt:lpstr>VIERDE_KLASSE_D</vt:lpstr>
      <vt:lpstr>VIERDE_KLASSE_E</vt:lpstr>
      <vt:lpstr>VIERDE_KLASSE_F</vt:lpstr>
      <vt:lpstr>VIERDE_KLASSE_G</vt:lpstr>
      <vt:lpstr>VIJFDE_KLASSE_A</vt:lpstr>
      <vt:lpstr>VIJFDE_KLASSE_B</vt:lpstr>
      <vt:lpstr>VIJFDE_KLASSE_C</vt:lpstr>
      <vt:lpstr>VIJFDE_KLASSE_D</vt:lpstr>
      <vt:lpstr>VIJFDE_KLASSE_E</vt:lpstr>
      <vt:lpstr>VROUWEN_EERSTE_KLASSE_D</vt:lpstr>
      <vt:lpstr>VROUWEN_HOOFDKLASSE_B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Torsten Faruhn</cp:lastModifiedBy>
  <dcterms:modified xsi:type="dcterms:W3CDTF">2026-10-14T07:29:39Z</dcterms:modified>
</cp:coreProperties>
</file>